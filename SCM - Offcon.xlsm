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U:\1. Empresas\4.2. OffCon\# Biblioteca\Controle\Ordem de compra\"/>
    </mc:Choice>
  </mc:AlternateContent>
  <xr:revisionPtr revIDLastSave="0" documentId="13_ncr:1_{48BB7FB3-2AA4-4A1E-86E7-3F3E014496F0}" xr6:coauthVersionLast="47" xr6:coauthVersionMax="47" xr10:uidLastSave="{00000000-0000-0000-0000-000000000000}"/>
  <bookViews>
    <workbookView xWindow="-28920" yWindow="-120" windowWidth="29040" windowHeight="15720" tabRatio="0" xr2:uid="{260D67E7-72B6-4ED8-A24C-CEB3965F7EE8}"/>
  </bookViews>
  <sheets>
    <sheet name="Ordem de compra" sheetId="24" r:id="rId1"/>
    <sheet name="CAD_CO" sheetId="1" r:id="rId2"/>
    <sheet name="CAD_CL" sheetId="3" r:id="rId3"/>
    <sheet name="CAD_ME" sheetId="4" r:id="rId4"/>
    <sheet name="NEGOCIAÇÕES" sheetId="5" r:id="rId5"/>
    <sheet name="CONTROLE_RM" sheetId="28" r:id="rId6"/>
    <sheet name="CONTROLE_CCI" sheetId="30" r:id="rId7"/>
    <sheet name="REL_ATRASADAS" sheetId="9" r:id="rId8"/>
    <sheet name="REL_FOLLOW UP" sheetId="17" r:id="rId9"/>
    <sheet name="REL_ANDAMENTO" sheetId="18" r:id="rId10"/>
    <sheet name="REL_LIBERADAS" sheetId="19" r:id="rId11"/>
    <sheet name="DASHBOARD" sheetId="22" r:id="rId12"/>
    <sheet name="ANALISE" sheetId="29" r:id="rId13"/>
    <sheet name="INDICADORES" sheetId="27" r:id="rId14"/>
  </sheets>
  <definedNames>
    <definedName name="_xlnm._FilterDatabase" localSheetId="12" hidden="1">ANALISE!$B$4:$U$5</definedName>
    <definedName name="_xlnm._FilterDatabase" localSheetId="2" hidden="1">CAD_CL!$B$4:$K$161</definedName>
    <definedName name="_xlnm._FilterDatabase" localSheetId="3" hidden="1">CAD_ME!$B$4:$G$251</definedName>
    <definedName name="_xlnm._FilterDatabase" localSheetId="6" hidden="1">CONTROLE_CCI!$B$4:$E$204</definedName>
    <definedName name="_xlnm._FilterDatabase" localSheetId="5" hidden="1">CONTROLE_RM!$B$4:$J$305</definedName>
    <definedName name="_xlnm._FilterDatabase" localSheetId="11" hidden="1">DASHBOARD!$B$4:$U$5</definedName>
    <definedName name="_xlnm._FilterDatabase" localSheetId="13" hidden="1">INDICADORES!$B$4:$U$5</definedName>
    <definedName name="_xlnm._FilterDatabase" localSheetId="4" hidden="1">NEGOCIAÇÕES!$B$4:$P$1004</definedName>
    <definedName name="_xlnm._FilterDatabase" localSheetId="9" hidden="1">REL_ANDAMENTO!$B$4:$E$2000</definedName>
    <definedName name="_xlnm._FilterDatabase" localSheetId="7" hidden="1">REL_ATRASADAS!$B$4:$E$2000</definedName>
    <definedName name="_xlnm._FilterDatabase" localSheetId="8" hidden="1">'REL_FOLLOW UP'!$B$4:$D$2000</definedName>
    <definedName name="_xlnm._FilterDatabase" localSheetId="10" hidden="1">REL_LIBERADAS!$B$4:$F$250</definedName>
    <definedName name="_xleta.LEFT" hidden="1" xlm="1">#NAME?</definedName>
    <definedName name="_xleta.MONTH" hidden="1" xlm="1">#NAME?</definedName>
    <definedName name="_xleta.NOT" hidden="1" xlm="1">#NAME?</definedName>
    <definedName name="_xleta.YEAR" hidden="1" xlm="1">#NAME?</definedName>
    <definedName name="_xlnm.Print_Area" localSheetId="0">'Ordem de compra'!$B$2:$L$110</definedName>
    <definedName name="_xlnm.Print_Area" localSheetId="7">REL_ATRASADAS!$A$1:$AC$1282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24" l="1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C107" i="30"/>
  <c r="C108" i="30"/>
  <c r="C109" i="30"/>
  <c r="C110" i="30"/>
  <c r="C111" i="30"/>
  <c r="C112" i="30"/>
  <c r="C113" i="30"/>
  <c r="C114" i="30"/>
  <c r="C115" i="30"/>
  <c r="C116" i="30"/>
  <c r="C117" i="30"/>
  <c r="C118" i="30"/>
  <c r="C119" i="30"/>
  <c r="C120" i="30"/>
  <c r="C121" i="30"/>
  <c r="C122" i="30"/>
  <c r="C123" i="30"/>
  <c r="C124" i="30"/>
  <c r="C125" i="30"/>
  <c r="C126" i="30"/>
  <c r="C127" i="30"/>
  <c r="C128" i="30"/>
  <c r="C129" i="30"/>
  <c r="C130" i="30"/>
  <c r="C131" i="30"/>
  <c r="C132" i="30"/>
  <c r="C133" i="30"/>
  <c r="C134" i="30"/>
  <c r="C135" i="30"/>
  <c r="C136" i="30"/>
  <c r="C137" i="30"/>
  <c r="C138" i="30"/>
  <c r="C139" i="30"/>
  <c r="C140" i="30"/>
  <c r="C141" i="30"/>
  <c r="C142" i="30"/>
  <c r="C143" i="30"/>
  <c r="C144" i="30"/>
  <c r="C145" i="30"/>
  <c r="C146" i="30"/>
  <c r="C147" i="30"/>
  <c r="C148" i="30"/>
  <c r="C149" i="30"/>
  <c r="C150" i="30"/>
  <c r="C151" i="30"/>
  <c r="C152" i="30"/>
  <c r="C153" i="30"/>
  <c r="C154" i="30"/>
  <c r="C155" i="30"/>
  <c r="C156" i="30"/>
  <c r="C157" i="30"/>
  <c r="C158" i="30"/>
  <c r="C159" i="30"/>
  <c r="C160" i="30"/>
  <c r="C161" i="30"/>
  <c r="C162" i="30"/>
  <c r="C163" i="30"/>
  <c r="C164" i="30"/>
  <c r="C165" i="30"/>
  <c r="C166" i="30"/>
  <c r="C167" i="30"/>
  <c r="C168" i="30"/>
  <c r="C169" i="30"/>
  <c r="C170" i="30"/>
  <c r="C171" i="30"/>
  <c r="C172" i="30"/>
  <c r="C173" i="30"/>
  <c r="C174" i="30"/>
  <c r="C175" i="30"/>
  <c r="C176" i="30"/>
  <c r="C177" i="30"/>
  <c r="C178" i="30"/>
  <c r="C179" i="30"/>
  <c r="C180" i="30"/>
  <c r="C181" i="30"/>
  <c r="C182" i="30"/>
  <c r="C183" i="30"/>
  <c r="C184" i="30"/>
  <c r="C185" i="30"/>
  <c r="C186" i="30"/>
  <c r="C187" i="30"/>
  <c r="C188" i="30"/>
  <c r="C189" i="30"/>
  <c r="C190" i="30"/>
  <c r="C191" i="30"/>
  <c r="C192" i="30"/>
  <c r="C193" i="30"/>
  <c r="C194" i="30"/>
  <c r="C195" i="30"/>
  <c r="C196" i="30"/>
  <c r="C197" i="30"/>
  <c r="C198" i="30"/>
  <c r="C199" i="30"/>
  <c r="C200" i="30"/>
  <c r="C201" i="30"/>
  <c r="C202" i="30"/>
  <c r="C203" i="30"/>
  <c r="C12" i="30"/>
  <c r="J1273" i="5" l="1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1307" i="5"/>
  <c r="J1308" i="5"/>
  <c r="J1309" i="5"/>
  <c r="J1310" i="5"/>
  <c r="J1311" i="5"/>
  <c r="J1312" i="5"/>
  <c r="J1313" i="5"/>
  <c r="J1314" i="5"/>
  <c r="J1315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272" i="5"/>
  <c r="J1378" i="5"/>
  <c r="J1379" i="5"/>
  <c r="J1380" i="5"/>
  <c r="J1381" i="5"/>
  <c r="J1382" i="5"/>
  <c r="J1383" i="5"/>
  <c r="J1377" i="5"/>
  <c r="J1375" i="5"/>
  <c r="J1368" i="5"/>
  <c r="J1369" i="5"/>
  <c r="J1370" i="5"/>
  <c r="J1371" i="5"/>
  <c r="J1372" i="5"/>
  <c r="J1367" i="5"/>
  <c r="J1334" i="5"/>
  <c r="J1335" i="5"/>
  <c r="J1336" i="5"/>
  <c r="J1337" i="5"/>
  <c r="J1338" i="5"/>
  <c r="J1339" i="5"/>
  <c r="J1340" i="5"/>
  <c r="J1341" i="5"/>
  <c r="J1342" i="5"/>
  <c r="J1343" i="5"/>
  <c r="J1344" i="5"/>
  <c r="J1345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0" i="5"/>
  <c r="J1361" i="5"/>
  <c r="J1362" i="5"/>
  <c r="J1363" i="5"/>
  <c r="J1364" i="5"/>
  <c r="J1332" i="5"/>
  <c r="J1333" i="5"/>
  <c r="C211" i="28" l="1"/>
  <c r="C212" i="28"/>
  <c r="C200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C2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217" i="28"/>
  <c r="C216" i="28"/>
  <c r="C215" i="28"/>
  <c r="C214" i="28"/>
  <c r="C213" i="28"/>
  <c r="C210" i="28"/>
  <c r="C209" i="28"/>
  <c r="C208" i="28"/>
  <c r="C207" i="28"/>
  <c r="C206" i="28"/>
  <c r="C205" i="28"/>
  <c r="C204" i="28"/>
  <c r="C203" i="28"/>
  <c r="C202" i="28"/>
  <c r="C201" i="28"/>
  <c r="C199" i="28"/>
  <c r="C198" i="28"/>
  <c r="C192" i="28"/>
  <c r="C1427" i="5" l="1"/>
  <c r="K1427" i="5" l="1"/>
  <c r="L1427" i="5"/>
  <c r="C1425" i="5"/>
  <c r="C1426" i="5" s="1"/>
  <c r="B31" i="24"/>
  <c r="B33" i="24"/>
  <c r="B34" i="24"/>
  <c r="H1411" i="5"/>
  <c r="H1410" i="5"/>
  <c r="B1365" i="9"/>
  <c r="B6" i="9"/>
  <c r="C6" i="9"/>
  <c r="D6" i="9"/>
  <c r="E6" i="9"/>
  <c r="B7" i="9"/>
  <c r="C7" i="9"/>
  <c r="D7" i="9"/>
  <c r="E7" i="9"/>
  <c r="B8" i="9"/>
  <c r="C8" i="9"/>
  <c r="D8" i="9"/>
  <c r="E8" i="9"/>
  <c r="B9" i="9"/>
  <c r="C9" i="9"/>
  <c r="D9" i="9"/>
  <c r="E9" i="9"/>
  <c r="B10" i="9"/>
  <c r="C10" i="9"/>
  <c r="D10" i="9"/>
  <c r="E10" i="9"/>
  <c r="B11" i="9"/>
  <c r="C11" i="9"/>
  <c r="D11" i="9"/>
  <c r="E11" i="9"/>
  <c r="B12" i="9"/>
  <c r="C12" i="9"/>
  <c r="D12" i="9"/>
  <c r="E12" i="9"/>
  <c r="B13" i="9"/>
  <c r="C13" i="9"/>
  <c r="D13" i="9"/>
  <c r="E13" i="9"/>
  <c r="B14" i="9"/>
  <c r="C14" i="9"/>
  <c r="D14" i="9"/>
  <c r="E14" i="9"/>
  <c r="B15" i="9"/>
  <c r="C15" i="9"/>
  <c r="D15" i="9"/>
  <c r="E15" i="9"/>
  <c r="B16" i="9"/>
  <c r="C16" i="9"/>
  <c r="D16" i="9"/>
  <c r="E16" i="9"/>
  <c r="B17" i="9"/>
  <c r="C17" i="9"/>
  <c r="D17" i="9"/>
  <c r="E17" i="9"/>
  <c r="B18" i="9"/>
  <c r="C18" i="9"/>
  <c r="D18" i="9"/>
  <c r="E18" i="9"/>
  <c r="B19" i="9"/>
  <c r="C19" i="9"/>
  <c r="D19" i="9"/>
  <c r="E19" i="9"/>
  <c r="B20" i="9"/>
  <c r="C20" i="9"/>
  <c r="D20" i="9"/>
  <c r="E20" i="9"/>
  <c r="B21" i="9"/>
  <c r="C21" i="9"/>
  <c r="D21" i="9"/>
  <c r="E21" i="9"/>
  <c r="B22" i="9"/>
  <c r="C22" i="9"/>
  <c r="D22" i="9"/>
  <c r="E22" i="9"/>
  <c r="B23" i="9"/>
  <c r="C23" i="9"/>
  <c r="D23" i="9"/>
  <c r="E23" i="9"/>
  <c r="B24" i="9"/>
  <c r="C24" i="9"/>
  <c r="D24" i="9"/>
  <c r="E24" i="9"/>
  <c r="B25" i="9"/>
  <c r="C25" i="9"/>
  <c r="D25" i="9"/>
  <c r="E25" i="9"/>
  <c r="B26" i="9"/>
  <c r="C26" i="9"/>
  <c r="D26" i="9"/>
  <c r="E26" i="9"/>
  <c r="B27" i="9"/>
  <c r="C27" i="9"/>
  <c r="D27" i="9"/>
  <c r="E27" i="9"/>
  <c r="B28" i="9"/>
  <c r="C28" i="9"/>
  <c r="D28" i="9"/>
  <c r="E28" i="9"/>
  <c r="B29" i="9"/>
  <c r="C29" i="9"/>
  <c r="D29" i="9"/>
  <c r="E29" i="9"/>
  <c r="B30" i="9"/>
  <c r="C30" i="9"/>
  <c r="D30" i="9"/>
  <c r="E30" i="9"/>
  <c r="B31" i="9"/>
  <c r="C31" i="9"/>
  <c r="D31" i="9"/>
  <c r="E31" i="9"/>
  <c r="B32" i="9"/>
  <c r="C32" i="9"/>
  <c r="D32" i="9"/>
  <c r="E32" i="9"/>
  <c r="B33" i="9"/>
  <c r="C33" i="9"/>
  <c r="D33" i="9"/>
  <c r="E33" i="9"/>
  <c r="B34" i="9"/>
  <c r="C34" i="9"/>
  <c r="D34" i="9"/>
  <c r="E34" i="9"/>
  <c r="B35" i="9"/>
  <c r="C35" i="9"/>
  <c r="D35" i="9"/>
  <c r="E35" i="9"/>
  <c r="B36" i="9"/>
  <c r="C36" i="9"/>
  <c r="D36" i="9"/>
  <c r="E36" i="9"/>
  <c r="B37" i="9"/>
  <c r="C37" i="9"/>
  <c r="D37" i="9"/>
  <c r="E37" i="9"/>
  <c r="B38" i="9"/>
  <c r="C38" i="9"/>
  <c r="D38" i="9"/>
  <c r="E38" i="9"/>
  <c r="B39" i="9"/>
  <c r="C39" i="9"/>
  <c r="D39" i="9"/>
  <c r="E39" i="9"/>
  <c r="B40" i="9"/>
  <c r="C40" i="9"/>
  <c r="D40" i="9"/>
  <c r="E40" i="9"/>
  <c r="B41" i="9"/>
  <c r="C41" i="9"/>
  <c r="D41" i="9"/>
  <c r="E41" i="9"/>
  <c r="B42" i="9"/>
  <c r="C42" i="9"/>
  <c r="D42" i="9"/>
  <c r="E42" i="9"/>
  <c r="B43" i="9"/>
  <c r="C43" i="9"/>
  <c r="D43" i="9"/>
  <c r="E43" i="9"/>
  <c r="B44" i="9"/>
  <c r="C44" i="9"/>
  <c r="D44" i="9"/>
  <c r="E44" i="9"/>
  <c r="B45" i="9"/>
  <c r="C45" i="9"/>
  <c r="D45" i="9"/>
  <c r="E45" i="9"/>
  <c r="B46" i="9"/>
  <c r="C46" i="9"/>
  <c r="D46" i="9"/>
  <c r="E46" i="9"/>
  <c r="B47" i="9"/>
  <c r="C47" i="9"/>
  <c r="D47" i="9"/>
  <c r="E47" i="9"/>
  <c r="B48" i="9"/>
  <c r="C48" i="9"/>
  <c r="D48" i="9"/>
  <c r="E48" i="9"/>
  <c r="B49" i="9"/>
  <c r="C49" i="9"/>
  <c r="D49" i="9"/>
  <c r="E49" i="9"/>
  <c r="B50" i="9"/>
  <c r="C50" i="9"/>
  <c r="D50" i="9"/>
  <c r="E50" i="9"/>
  <c r="B51" i="9"/>
  <c r="C51" i="9"/>
  <c r="D51" i="9"/>
  <c r="E51" i="9"/>
  <c r="B52" i="9"/>
  <c r="C52" i="9"/>
  <c r="D52" i="9"/>
  <c r="E52" i="9"/>
  <c r="B53" i="9"/>
  <c r="C53" i="9"/>
  <c r="D53" i="9"/>
  <c r="E53" i="9"/>
  <c r="B54" i="9"/>
  <c r="C54" i="9"/>
  <c r="D54" i="9"/>
  <c r="E54" i="9"/>
  <c r="B55" i="9"/>
  <c r="C55" i="9"/>
  <c r="D55" i="9"/>
  <c r="E55" i="9"/>
  <c r="B56" i="9"/>
  <c r="C56" i="9"/>
  <c r="D56" i="9"/>
  <c r="E56" i="9"/>
  <c r="B57" i="9"/>
  <c r="C57" i="9"/>
  <c r="D57" i="9"/>
  <c r="E57" i="9"/>
  <c r="B58" i="9"/>
  <c r="C58" i="9"/>
  <c r="D58" i="9"/>
  <c r="E58" i="9"/>
  <c r="B59" i="9"/>
  <c r="C59" i="9"/>
  <c r="D59" i="9"/>
  <c r="E59" i="9"/>
  <c r="B60" i="9"/>
  <c r="C60" i="9"/>
  <c r="D60" i="9"/>
  <c r="E60" i="9"/>
  <c r="B61" i="9"/>
  <c r="C61" i="9"/>
  <c r="D61" i="9"/>
  <c r="E61" i="9"/>
  <c r="B62" i="9"/>
  <c r="C62" i="9"/>
  <c r="D62" i="9"/>
  <c r="E62" i="9"/>
  <c r="B63" i="9"/>
  <c r="C63" i="9"/>
  <c r="D63" i="9"/>
  <c r="E63" i="9"/>
  <c r="B64" i="9"/>
  <c r="C64" i="9"/>
  <c r="D64" i="9"/>
  <c r="E64" i="9"/>
  <c r="B65" i="9"/>
  <c r="C65" i="9"/>
  <c r="D65" i="9"/>
  <c r="E65" i="9"/>
  <c r="B66" i="9"/>
  <c r="C66" i="9"/>
  <c r="D66" i="9"/>
  <c r="E66" i="9"/>
  <c r="B67" i="9"/>
  <c r="C67" i="9"/>
  <c r="D67" i="9"/>
  <c r="E67" i="9"/>
  <c r="B68" i="9"/>
  <c r="C68" i="9"/>
  <c r="D68" i="9"/>
  <c r="E68" i="9"/>
  <c r="B69" i="9"/>
  <c r="C69" i="9"/>
  <c r="D69" i="9"/>
  <c r="E69" i="9"/>
  <c r="B70" i="9"/>
  <c r="C70" i="9"/>
  <c r="D70" i="9"/>
  <c r="E70" i="9"/>
  <c r="B71" i="9"/>
  <c r="C71" i="9"/>
  <c r="D71" i="9"/>
  <c r="E71" i="9"/>
  <c r="B72" i="9"/>
  <c r="C72" i="9"/>
  <c r="D72" i="9"/>
  <c r="E72" i="9"/>
  <c r="B73" i="9"/>
  <c r="C73" i="9"/>
  <c r="D73" i="9"/>
  <c r="E73" i="9"/>
  <c r="B74" i="9"/>
  <c r="C74" i="9"/>
  <c r="D74" i="9"/>
  <c r="E74" i="9"/>
  <c r="B75" i="9"/>
  <c r="C75" i="9"/>
  <c r="D75" i="9"/>
  <c r="E75" i="9"/>
  <c r="B76" i="9"/>
  <c r="C76" i="9"/>
  <c r="D76" i="9"/>
  <c r="E76" i="9"/>
  <c r="B77" i="9"/>
  <c r="C77" i="9"/>
  <c r="D77" i="9"/>
  <c r="E77" i="9"/>
  <c r="B78" i="9"/>
  <c r="C78" i="9"/>
  <c r="D78" i="9"/>
  <c r="E78" i="9"/>
  <c r="B79" i="9"/>
  <c r="C79" i="9"/>
  <c r="D79" i="9"/>
  <c r="E79" i="9"/>
  <c r="B80" i="9"/>
  <c r="C80" i="9"/>
  <c r="D80" i="9"/>
  <c r="E80" i="9"/>
  <c r="B81" i="9"/>
  <c r="C81" i="9"/>
  <c r="D81" i="9"/>
  <c r="E81" i="9"/>
  <c r="B82" i="9"/>
  <c r="C82" i="9"/>
  <c r="D82" i="9"/>
  <c r="E82" i="9"/>
  <c r="B83" i="9"/>
  <c r="C83" i="9"/>
  <c r="D83" i="9"/>
  <c r="E83" i="9"/>
  <c r="B84" i="9"/>
  <c r="C84" i="9"/>
  <c r="D84" i="9"/>
  <c r="E84" i="9"/>
  <c r="B85" i="9"/>
  <c r="C85" i="9"/>
  <c r="D85" i="9"/>
  <c r="E85" i="9"/>
  <c r="B86" i="9"/>
  <c r="C86" i="9"/>
  <c r="D86" i="9"/>
  <c r="E86" i="9"/>
  <c r="B87" i="9"/>
  <c r="C87" i="9"/>
  <c r="D87" i="9"/>
  <c r="E87" i="9"/>
  <c r="B88" i="9"/>
  <c r="C88" i="9"/>
  <c r="D88" i="9"/>
  <c r="E88" i="9"/>
  <c r="B89" i="9"/>
  <c r="C89" i="9"/>
  <c r="D89" i="9"/>
  <c r="E89" i="9"/>
  <c r="B90" i="9"/>
  <c r="C90" i="9"/>
  <c r="D90" i="9"/>
  <c r="E90" i="9"/>
  <c r="B91" i="9"/>
  <c r="C91" i="9"/>
  <c r="D91" i="9"/>
  <c r="E91" i="9"/>
  <c r="B92" i="9"/>
  <c r="C92" i="9"/>
  <c r="D92" i="9"/>
  <c r="E92" i="9"/>
  <c r="B93" i="9"/>
  <c r="C93" i="9"/>
  <c r="D93" i="9"/>
  <c r="E93" i="9"/>
  <c r="B94" i="9"/>
  <c r="C94" i="9"/>
  <c r="D94" i="9"/>
  <c r="E94" i="9"/>
  <c r="B95" i="9"/>
  <c r="C95" i="9"/>
  <c r="D95" i="9"/>
  <c r="E95" i="9"/>
  <c r="B96" i="9"/>
  <c r="C96" i="9"/>
  <c r="D96" i="9"/>
  <c r="E96" i="9"/>
  <c r="B97" i="9"/>
  <c r="C97" i="9"/>
  <c r="D97" i="9"/>
  <c r="E97" i="9"/>
  <c r="B98" i="9"/>
  <c r="C98" i="9"/>
  <c r="D98" i="9"/>
  <c r="E98" i="9"/>
  <c r="B99" i="9"/>
  <c r="C99" i="9"/>
  <c r="D99" i="9"/>
  <c r="E99" i="9"/>
  <c r="B100" i="9"/>
  <c r="C100" i="9"/>
  <c r="D100" i="9"/>
  <c r="E100" i="9"/>
  <c r="B101" i="9"/>
  <c r="C101" i="9"/>
  <c r="D101" i="9"/>
  <c r="E101" i="9"/>
  <c r="B102" i="9"/>
  <c r="C102" i="9"/>
  <c r="D102" i="9"/>
  <c r="E102" i="9"/>
  <c r="B103" i="9"/>
  <c r="C103" i="9"/>
  <c r="D103" i="9"/>
  <c r="E103" i="9"/>
  <c r="B104" i="9"/>
  <c r="C104" i="9"/>
  <c r="D104" i="9"/>
  <c r="E104" i="9"/>
  <c r="B105" i="9"/>
  <c r="C105" i="9"/>
  <c r="D105" i="9"/>
  <c r="E105" i="9"/>
  <c r="B106" i="9"/>
  <c r="C106" i="9"/>
  <c r="D106" i="9"/>
  <c r="E106" i="9"/>
  <c r="B107" i="9"/>
  <c r="C107" i="9"/>
  <c r="D107" i="9"/>
  <c r="E107" i="9"/>
  <c r="B108" i="9"/>
  <c r="C108" i="9"/>
  <c r="D108" i="9"/>
  <c r="E108" i="9"/>
  <c r="B109" i="9"/>
  <c r="C109" i="9"/>
  <c r="D109" i="9"/>
  <c r="E109" i="9"/>
  <c r="B110" i="9"/>
  <c r="C110" i="9"/>
  <c r="D110" i="9"/>
  <c r="E110" i="9"/>
  <c r="B111" i="9"/>
  <c r="C111" i="9"/>
  <c r="D111" i="9"/>
  <c r="E111" i="9"/>
  <c r="B112" i="9"/>
  <c r="C112" i="9"/>
  <c r="D112" i="9"/>
  <c r="E112" i="9"/>
  <c r="B113" i="9"/>
  <c r="C113" i="9"/>
  <c r="D113" i="9"/>
  <c r="E113" i="9"/>
  <c r="B114" i="9"/>
  <c r="C114" i="9"/>
  <c r="D114" i="9"/>
  <c r="E114" i="9"/>
  <c r="B115" i="9"/>
  <c r="C115" i="9"/>
  <c r="D115" i="9"/>
  <c r="E115" i="9"/>
  <c r="B116" i="9"/>
  <c r="C116" i="9"/>
  <c r="D116" i="9"/>
  <c r="E116" i="9"/>
  <c r="B117" i="9"/>
  <c r="C117" i="9"/>
  <c r="D117" i="9"/>
  <c r="E117" i="9"/>
  <c r="B118" i="9"/>
  <c r="C118" i="9"/>
  <c r="D118" i="9"/>
  <c r="E118" i="9"/>
  <c r="B119" i="9"/>
  <c r="C119" i="9"/>
  <c r="D119" i="9"/>
  <c r="E119" i="9"/>
  <c r="B120" i="9"/>
  <c r="C120" i="9"/>
  <c r="D120" i="9"/>
  <c r="E120" i="9"/>
  <c r="B121" i="9"/>
  <c r="C121" i="9"/>
  <c r="D121" i="9"/>
  <c r="E121" i="9"/>
  <c r="B122" i="9"/>
  <c r="C122" i="9"/>
  <c r="D122" i="9"/>
  <c r="E122" i="9"/>
  <c r="B123" i="9"/>
  <c r="C123" i="9"/>
  <c r="D123" i="9"/>
  <c r="E123" i="9"/>
  <c r="B124" i="9"/>
  <c r="C124" i="9"/>
  <c r="D124" i="9"/>
  <c r="E124" i="9"/>
  <c r="B125" i="9"/>
  <c r="C125" i="9"/>
  <c r="D125" i="9"/>
  <c r="E125" i="9"/>
  <c r="B126" i="9"/>
  <c r="C126" i="9"/>
  <c r="D126" i="9"/>
  <c r="E126" i="9"/>
  <c r="B127" i="9"/>
  <c r="C127" i="9"/>
  <c r="D127" i="9"/>
  <c r="E127" i="9"/>
  <c r="B128" i="9"/>
  <c r="C128" i="9"/>
  <c r="D128" i="9"/>
  <c r="E128" i="9"/>
  <c r="B129" i="9"/>
  <c r="C129" i="9"/>
  <c r="D129" i="9"/>
  <c r="E129" i="9"/>
  <c r="B130" i="9"/>
  <c r="C130" i="9"/>
  <c r="D130" i="9"/>
  <c r="E130" i="9"/>
  <c r="B131" i="9"/>
  <c r="C131" i="9"/>
  <c r="D131" i="9"/>
  <c r="E131" i="9"/>
  <c r="B132" i="9"/>
  <c r="C132" i="9"/>
  <c r="D132" i="9"/>
  <c r="E132" i="9"/>
  <c r="B133" i="9"/>
  <c r="C133" i="9"/>
  <c r="D133" i="9"/>
  <c r="E133" i="9"/>
  <c r="B134" i="9"/>
  <c r="C134" i="9"/>
  <c r="D134" i="9"/>
  <c r="E134" i="9"/>
  <c r="B135" i="9"/>
  <c r="C135" i="9"/>
  <c r="D135" i="9"/>
  <c r="E135" i="9"/>
  <c r="B136" i="9"/>
  <c r="C136" i="9"/>
  <c r="D136" i="9"/>
  <c r="E136" i="9"/>
  <c r="B137" i="9"/>
  <c r="C137" i="9"/>
  <c r="D137" i="9"/>
  <c r="E137" i="9"/>
  <c r="B138" i="9"/>
  <c r="C138" i="9"/>
  <c r="D138" i="9"/>
  <c r="E138" i="9"/>
  <c r="B139" i="9"/>
  <c r="C139" i="9"/>
  <c r="D139" i="9"/>
  <c r="E139" i="9"/>
  <c r="B140" i="9"/>
  <c r="C140" i="9"/>
  <c r="D140" i="9"/>
  <c r="E140" i="9"/>
  <c r="B141" i="9"/>
  <c r="C141" i="9"/>
  <c r="D141" i="9"/>
  <c r="E141" i="9"/>
  <c r="B142" i="9"/>
  <c r="C142" i="9"/>
  <c r="D142" i="9"/>
  <c r="E142" i="9"/>
  <c r="B143" i="9"/>
  <c r="C143" i="9"/>
  <c r="D143" i="9"/>
  <c r="E143" i="9"/>
  <c r="B144" i="9"/>
  <c r="C144" i="9"/>
  <c r="D144" i="9"/>
  <c r="E144" i="9"/>
  <c r="B145" i="9"/>
  <c r="C145" i="9"/>
  <c r="D145" i="9"/>
  <c r="E145" i="9"/>
  <c r="B146" i="9"/>
  <c r="C146" i="9"/>
  <c r="D146" i="9"/>
  <c r="E146" i="9"/>
  <c r="B147" i="9"/>
  <c r="C147" i="9"/>
  <c r="D147" i="9"/>
  <c r="E147" i="9"/>
  <c r="B148" i="9"/>
  <c r="C148" i="9"/>
  <c r="D148" i="9"/>
  <c r="E148" i="9"/>
  <c r="B149" i="9"/>
  <c r="C149" i="9"/>
  <c r="D149" i="9"/>
  <c r="E149" i="9"/>
  <c r="B150" i="9"/>
  <c r="C150" i="9"/>
  <c r="D150" i="9"/>
  <c r="E150" i="9"/>
  <c r="B151" i="9"/>
  <c r="C151" i="9"/>
  <c r="D151" i="9"/>
  <c r="E151" i="9"/>
  <c r="B152" i="9"/>
  <c r="C152" i="9"/>
  <c r="D152" i="9"/>
  <c r="E152" i="9"/>
  <c r="B153" i="9"/>
  <c r="C153" i="9"/>
  <c r="D153" i="9"/>
  <c r="E153" i="9"/>
  <c r="B154" i="9"/>
  <c r="C154" i="9"/>
  <c r="D154" i="9"/>
  <c r="E154" i="9"/>
  <c r="B155" i="9"/>
  <c r="C155" i="9"/>
  <c r="D155" i="9"/>
  <c r="E155" i="9"/>
  <c r="B156" i="9"/>
  <c r="C156" i="9"/>
  <c r="D156" i="9"/>
  <c r="E156" i="9"/>
  <c r="B157" i="9"/>
  <c r="C157" i="9"/>
  <c r="D157" i="9"/>
  <c r="E157" i="9"/>
  <c r="B158" i="9"/>
  <c r="C158" i="9"/>
  <c r="D158" i="9"/>
  <c r="E158" i="9"/>
  <c r="B159" i="9"/>
  <c r="C159" i="9"/>
  <c r="D159" i="9"/>
  <c r="E159" i="9"/>
  <c r="B160" i="9"/>
  <c r="C160" i="9"/>
  <c r="D160" i="9"/>
  <c r="E160" i="9"/>
  <c r="B161" i="9"/>
  <c r="C161" i="9"/>
  <c r="D161" i="9"/>
  <c r="E161" i="9"/>
  <c r="B162" i="9"/>
  <c r="C162" i="9"/>
  <c r="D162" i="9"/>
  <c r="E162" i="9"/>
  <c r="B163" i="9"/>
  <c r="C163" i="9"/>
  <c r="D163" i="9"/>
  <c r="E163" i="9"/>
  <c r="B164" i="9"/>
  <c r="C164" i="9"/>
  <c r="D164" i="9"/>
  <c r="E164" i="9"/>
  <c r="B165" i="9"/>
  <c r="C165" i="9"/>
  <c r="D165" i="9"/>
  <c r="E165" i="9"/>
  <c r="B166" i="9"/>
  <c r="C166" i="9"/>
  <c r="D166" i="9"/>
  <c r="E166" i="9"/>
  <c r="B167" i="9"/>
  <c r="C167" i="9"/>
  <c r="D167" i="9"/>
  <c r="E167" i="9"/>
  <c r="B168" i="9"/>
  <c r="C168" i="9"/>
  <c r="D168" i="9"/>
  <c r="E168" i="9"/>
  <c r="B169" i="9"/>
  <c r="C169" i="9"/>
  <c r="D169" i="9"/>
  <c r="E169" i="9"/>
  <c r="B170" i="9"/>
  <c r="C170" i="9"/>
  <c r="D170" i="9"/>
  <c r="E170" i="9"/>
  <c r="B171" i="9"/>
  <c r="C171" i="9"/>
  <c r="D171" i="9"/>
  <c r="E171" i="9"/>
  <c r="B172" i="9"/>
  <c r="C172" i="9"/>
  <c r="D172" i="9"/>
  <c r="E172" i="9"/>
  <c r="B173" i="9"/>
  <c r="C173" i="9"/>
  <c r="D173" i="9"/>
  <c r="E173" i="9"/>
  <c r="B174" i="9"/>
  <c r="C174" i="9"/>
  <c r="D174" i="9"/>
  <c r="E174" i="9"/>
  <c r="B175" i="9"/>
  <c r="C175" i="9"/>
  <c r="D175" i="9"/>
  <c r="E175" i="9"/>
  <c r="B176" i="9"/>
  <c r="C176" i="9"/>
  <c r="D176" i="9"/>
  <c r="E176" i="9"/>
  <c r="B177" i="9"/>
  <c r="C177" i="9"/>
  <c r="D177" i="9"/>
  <c r="E177" i="9"/>
  <c r="B178" i="9"/>
  <c r="C178" i="9"/>
  <c r="D178" i="9"/>
  <c r="E178" i="9"/>
  <c r="B179" i="9"/>
  <c r="C179" i="9"/>
  <c r="D179" i="9"/>
  <c r="E179" i="9"/>
  <c r="B180" i="9"/>
  <c r="C180" i="9"/>
  <c r="D180" i="9"/>
  <c r="E180" i="9"/>
  <c r="B181" i="9"/>
  <c r="C181" i="9"/>
  <c r="D181" i="9"/>
  <c r="E181" i="9"/>
  <c r="B182" i="9"/>
  <c r="C182" i="9"/>
  <c r="D182" i="9"/>
  <c r="E182" i="9"/>
  <c r="B183" i="9"/>
  <c r="C183" i="9"/>
  <c r="D183" i="9"/>
  <c r="E183" i="9"/>
  <c r="B184" i="9"/>
  <c r="C184" i="9"/>
  <c r="D184" i="9"/>
  <c r="E184" i="9"/>
  <c r="B185" i="9"/>
  <c r="C185" i="9"/>
  <c r="D185" i="9"/>
  <c r="E185" i="9"/>
  <c r="B186" i="9"/>
  <c r="C186" i="9"/>
  <c r="D186" i="9"/>
  <c r="E186" i="9"/>
  <c r="B187" i="9"/>
  <c r="C187" i="9"/>
  <c r="D187" i="9"/>
  <c r="E187" i="9"/>
  <c r="B188" i="9"/>
  <c r="C188" i="9"/>
  <c r="D188" i="9"/>
  <c r="E188" i="9"/>
  <c r="B189" i="9"/>
  <c r="C189" i="9"/>
  <c r="D189" i="9"/>
  <c r="E189" i="9"/>
  <c r="B190" i="9"/>
  <c r="C190" i="9"/>
  <c r="D190" i="9"/>
  <c r="E190" i="9"/>
  <c r="B191" i="9"/>
  <c r="C191" i="9"/>
  <c r="D191" i="9"/>
  <c r="E191" i="9"/>
  <c r="B192" i="9"/>
  <c r="C192" i="9"/>
  <c r="D192" i="9"/>
  <c r="E192" i="9"/>
  <c r="B193" i="9"/>
  <c r="C193" i="9"/>
  <c r="D193" i="9"/>
  <c r="E193" i="9"/>
  <c r="B194" i="9"/>
  <c r="C194" i="9"/>
  <c r="D194" i="9"/>
  <c r="E194" i="9"/>
  <c r="B195" i="9"/>
  <c r="C195" i="9"/>
  <c r="D195" i="9"/>
  <c r="E195" i="9"/>
  <c r="B196" i="9"/>
  <c r="C196" i="9"/>
  <c r="D196" i="9"/>
  <c r="E196" i="9"/>
  <c r="B197" i="9"/>
  <c r="C197" i="9"/>
  <c r="D197" i="9"/>
  <c r="E197" i="9"/>
  <c r="B198" i="9"/>
  <c r="C198" i="9"/>
  <c r="D198" i="9"/>
  <c r="E198" i="9"/>
  <c r="B199" i="9"/>
  <c r="C199" i="9"/>
  <c r="D199" i="9"/>
  <c r="E199" i="9"/>
  <c r="B200" i="9"/>
  <c r="C200" i="9"/>
  <c r="D200" i="9"/>
  <c r="E200" i="9"/>
  <c r="B201" i="9"/>
  <c r="C201" i="9"/>
  <c r="D201" i="9"/>
  <c r="E201" i="9"/>
  <c r="B202" i="9"/>
  <c r="C202" i="9"/>
  <c r="D202" i="9"/>
  <c r="E202" i="9"/>
  <c r="B203" i="9"/>
  <c r="C203" i="9"/>
  <c r="D203" i="9"/>
  <c r="E203" i="9"/>
  <c r="B204" i="9"/>
  <c r="C204" i="9"/>
  <c r="D204" i="9"/>
  <c r="E204" i="9"/>
  <c r="B205" i="9"/>
  <c r="C205" i="9"/>
  <c r="D205" i="9"/>
  <c r="E205" i="9"/>
  <c r="B206" i="9"/>
  <c r="C206" i="9"/>
  <c r="D206" i="9"/>
  <c r="E206" i="9"/>
  <c r="B207" i="9"/>
  <c r="C207" i="9"/>
  <c r="D207" i="9"/>
  <c r="E207" i="9"/>
  <c r="B208" i="9"/>
  <c r="C208" i="9"/>
  <c r="D208" i="9"/>
  <c r="E208" i="9"/>
  <c r="B209" i="9"/>
  <c r="C209" i="9"/>
  <c r="D209" i="9"/>
  <c r="E209" i="9"/>
  <c r="B210" i="9"/>
  <c r="C210" i="9"/>
  <c r="D210" i="9"/>
  <c r="E210" i="9"/>
  <c r="B211" i="9"/>
  <c r="C211" i="9"/>
  <c r="D211" i="9"/>
  <c r="E211" i="9"/>
  <c r="B212" i="9"/>
  <c r="C212" i="9"/>
  <c r="D212" i="9"/>
  <c r="E212" i="9"/>
  <c r="B213" i="9"/>
  <c r="C213" i="9"/>
  <c r="D213" i="9"/>
  <c r="E213" i="9"/>
  <c r="B214" i="9"/>
  <c r="C214" i="9"/>
  <c r="D214" i="9"/>
  <c r="E214" i="9"/>
  <c r="B215" i="9"/>
  <c r="C215" i="9"/>
  <c r="D215" i="9"/>
  <c r="E215" i="9"/>
  <c r="B216" i="9"/>
  <c r="C216" i="9"/>
  <c r="D216" i="9"/>
  <c r="E216" i="9"/>
  <c r="B217" i="9"/>
  <c r="C217" i="9"/>
  <c r="D217" i="9"/>
  <c r="E217" i="9"/>
  <c r="B218" i="9"/>
  <c r="C218" i="9"/>
  <c r="D218" i="9"/>
  <c r="E218" i="9"/>
  <c r="B219" i="9"/>
  <c r="C219" i="9"/>
  <c r="D219" i="9"/>
  <c r="E219" i="9"/>
  <c r="B220" i="9"/>
  <c r="C220" i="9"/>
  <c r="D220" i="9"/>
  <c r="E220" i="9"/>
  <c r="B221" i="9"/>
  <c r="C221" i="9"/>
  <c r="D221" i="9"/>
  <c r="E221" i="9"/>
  <c r="B222" i="9"/>
  <c r="C222" i="9"/>
  <c r="D222" i="9"/>
  <c r="E222" i="9"/>
  <c r="B223" i="9"/>
  <c r="C223" i="9"/>
  <c r="D223" i="9"/>
  <c r="E223" i="9"/>
  <c r="B224" i="9"/>
  <c r="C224" i="9"/>
  <c r="D224" i="9"/>
  <c r="E224" i="9"/>
  <c r="B225" i="9"/>
  <c r="C225" i="9"/>
  <c r="D225" i="9"/>
  <c r="E225" i="9"/>
  <c r="B226" i="9"/>
  <c r="C226" i="9"/>
  <c r="D226" i="9"/>
  <c r="E226" i="9"/>
  <c r="B227" i="9"/>
  <c r="C227" i="9"/>
  <c r="D227" i="9"/>
  <c r="E227" i="9"/>
  <c r="B228" i="9"/>
  <c r="C228" i="9"/>
  <c r="D228" i="9"/>
  <c r="E228" i="9"/>
  <c r="B229" i="9"/>
  <c r="C229" i="9"/>
  <c r="D229" i="9"/>
  <c r="E229" i="9"/>
  <c r="B230" i="9"/>
  <c r="C230" i="9"/>
  <c r="D230" i="9"/>
  <c r="E230" i="9"/>
  <c r="B231" i="9"/>
  <c r="C231" i="9"/>
  <c r="D231" i="9"/>
  <c r="E231" i="9"/>
  <c r="B232" i="9"/>
  <c r="C232" i="9"/>
  <c r="D232" i="9"/>
  <c r="E232" i="9"/>
  <c r="B233" i="9"/>
  <c r="C233" i="9"/>
  <c r="D233" i="9"/>
  <c r="E233" i="9"/>
  <c r="B234" i="9"/>
  <c r="C234" i="9"/>
  <c r="D234" i="9"/>
  <c r="E234" i="9"/>
  <c r="B235" i="9"/>
  <c r="C235" i="9"/>
  <c r="D235" i="9"/>
  <c r="E235" i="9"/>
  <c r="B236" i="9"/>
  <c r="C236" i="9"/>
  <c r="D236" i="9"/>
  <c r="E236" i="9"/>
  <c r="B237" i="9"/>
  <c r="C237" i="9"/>
  <c r="D237" i="9"/>
  <c r="E237" i="9"/>
  <c r="B238" i="9"/>
  <c r="C238" i="9"/>
  <c r="D238" i="9"/>
  <c r="E238" i="9"/>
  <c r="B239" i="9"/>
  <c r="C239" i="9"/>
  <c r="D239" i="9"/>
  <c r="E239" i="9"/>
  <c r="B240" i="9"/>
  <c r="C240" i="9"/>
  <c r="D240" i="9"/>
  <c r="E240" i="9"/>
  <c r="B241" i="9"/>
  <c r="C241" i="9"/>
  <c r="D241" i="9"/>
  <c r="E241" i="9"/>
  <c r="B242" i="9"/>
  <c r="C242" i="9"/>
  <c r="D242" i="9"/>
  <c r="E242" i="9"/>
  <c r="B243" i="9"/>
  <c r="C243" i="9"/>
  <c r="D243" i="9"/>
  <c r="E243" i="9"/>
  <c r="B244" i="9"/>
  <c r="C244" i="9"/>
  <c r="D244" i="9"/>
  <c r="E244" i="9"/>
  <c r="B245" i="9"/>
  <c r="C245" i="9"/>
  <c r="D245" i="9"/>
  <c r="E245" i="9"/>
  <c r="B246" i="9"/>
  <c r="C246" i="9"/>
  <c r="D246" i="9"/>
  <c r="E246" i="9"/>
  <c r="B247" i="9"/>
  <c r="C247" i="9"/>
  <c r="D247" i="9"/>
  <c r="E247" i="9"/>
  <c r="B248" i="9"/>
  <c r="C248" i="9"/>
  <c r="D248" i="9"/>
  <c r="E248" i="9"/>
  <c r="B249" i="9"/>
  <c r="C249" i="9"/>
  <c r="D249" i="9"/>
  <c r="E249" i="9"/>
  <c r="B250" i="9"/>
  <c r="C250" i="9"/>
  <c r="D250" i="9"/>
  <c r="E250" i="9"/>
  <c r="B251" i="9"/>
  <c r="C251" i="9"/>
  <c r="D251" i="9"/>
  <c r="E251" i="9"/>
  <c r="B252" i="9"/>
  <c r="C252" i="9"/>
  <c r="D252" i="9"/>
  <c r="E252" i="9"/>
  <c r="B253" i="9"/>
  <c r="C253" i="9"/>
  <c r="D253" i="9"/>
  <c r="E253" i="9"/>
  <c r="B254" i="9"/>
  <c r="C254" i="9"/>
  <c r="D254" i="9"/>
  <c r="E254" i="9"/>
  <c r="B255" i="9"/>
  <c r="C255" i="9"/>
  <c r="D255" i="9"/>
  <c r="E255" i="9"/>
  <c r="B256" i="9"/>
  <c r="C256" i="9"/>
  <c r="D256" i="9"/>
  <c r="E256" i="9"/>
  <c r="B257" i="9"/>
  <c r="C257" i="9"/>
  <c r="D257" i="9"/>
  <c r="E257" i="9"/>
  <c r="B258" i="9"/>
  <c r="C258" i="9"/>
  <c r="D258" i="9"/>
  <c r="E258" i="9"/>
  <c r="B259" i="9"/>
  <c r="C259" i="9"/>
  <c r="D259" i="9"/>
  <c r="E259" i="9"/>
  <c r="B260" i="9"/>
  <c r="C260" i="9"/>
  <c r="D260" i="9"/>
  <c r="E260" i="9"/>
  <c r="B261" i="9"/>
  <c r="C261" i="9"/>
  <c r="D261" i="9"/>
  <c r="E261" i="9"/>
  <c r="B262" i="9"/>
  <c r="C262" i="9"/>
  <c r="D262" i="9"/>
  <c r="E262" i="9"/>
  <c r="B263" i="9"/>
  <c r="C263" i="9"/>
  <c r="D263" i="9"/>
  <c r="E263" i="9"/>
  <c r="B264" i="9"/>
  <c r="C264" i="9"/>
  <c r="D264" i="9"/>
  <c r="E264" i="9"/>
  <c r="B265" i="9"/>
  <c r="C265" i="9"/>
  <c r="D265" i="9"/>
  <c r="E265" i="9"/>
  <c r="B266" i="9"/>
  <c r="C266" i="9"/>
  <c r="D266" i="9"/>
  <c r="E266" i="9"/>
  <c r="B267" i="9"/>
  <c r="C267" i="9"/>
  <c r="D267" i="9"/>
  <c r="E267" i="9"/>
  <c r="B268" i="9"/>
  <c r="C268" i="9"/>
  <c r="D268" i="9"/>
  <c r="E268" i="9"/>
  <c r="B269" i="9"/>
  <c r="C269" i="9"/>
  <c r="D269" i="9"/>
  <c r="E269" i="9"/>
  <c r="B270" i="9"/>
  <c r="C270" i="9"/>
  <c r="D270" i="9"/>
  <c r="E270" i="9"/>
  <c r="B271" i="9"/>
  <c r="C271" i="9"/>
  <c r="D271" i="9"/>
  <c r="E271" i="9"/>
  <c r="B272" i="9"/>
  <c r="C272" i="9"/>
  <c r="D272" i="9"/>
  <c r="E272" i="9"/>
  <c r="B273" i="9"/>
  <c r="C273" i="9"/>
  <c r="D273" i="9"/>
  <c r="E273" i="9"/>
  <c r="B274" i="9"/>
  <c r="C274" i="9"/>
  <c r="D274" i="9"/>
  <c r="E274" i="9"/>
  <c r="B275" i="9"/>
  <c r="C275" i="9"/>
  <c r="D275" i="9"/>
  <c r="E275" i="9"/>
  <c r="B276" i="9"/>
  <c r="C276" i="9"/>
  <c r="D276" i="9"/>
  <c r="E276" i="9"/>
  <c r="B277" i="9"/>
  <c r="C277" i="9"/>
  <c r="D277" i="9"/>
  <c r="E277" i="9"/>
  <c r="B278" i="9"/>
  <c r="C278" i="9"/>
  <c r="D278" i="9"/>
  <c r="E278" i="9"/>
  <c r="B279" i="9"/>
  <c r="C279" i="9"/>
  <c r="D279" i="9"/>
  <c r="E279" i="9"/>
  <c r="B280" i="9"/>
  <c r="C280" i="9"/>
  <c r="D280" i="9"/>
  <c r="E280" i="9"/>
  <c r="B281" i="9"/>
  <c r="C281" i="9"/>
  <c r="D281" i="9"/>
  <c r="E281" i="9"/>
  <c r="B282" i="9"/>
  <c r="C282" i="9"/>
  <c r="D282" i="9"/>
  <c r="E282" i="9"/>
  <c r="B283" i="9"/>
  <c r="C283" i="9"/>
  <c r="D283" i="9"/>
  <c r="E283" i="9"/>
  <c r="B284" i="9"/>
  <c r="C284" i="9"/>
  <c r="D284" i="9"/>
  <c r="E284" i="9"/>
  <c r="B285" i="9"/>
  <c r="C285" i="9"/>
  <c r="D285" i="9"/>
  <c r="E285" i="9"/>
  <c r="B286" i="9"/>
  <c r="C286" i="9"/>
  <c r="D286" i="9"/>
  <c r="E286" i="9"/>
  <c r="B287" i="9"/>
  <c r="C287" i="9"/>
  <c r="D287" i="9"/>
  <c r="E287" i="9"/>
  <c r="B288" i="9"/>
  <c r="C288" i="9"/>
  <c r="D288" i="9"/>
  <c r="E288" i="9"/>
  <c r="B289" i="9"/>
  <c r="C289" i="9"/>
  <c r="D289" i="9"/>
  <c r="E289" i="9"/>
  <c r="B290" i="9"/>
  <c r="C290" i="9"/>
  <c r="D290" i="9"/>
  <c r="E290" i="9"/>
  <c r="B291" i="9"/>
  <c r="C291" i="9"/>
  <c r="D291" i="9"/>
  <c r="E291" i="9"/>
  <c r="B292" i="9"/>
  <c r="C292" i="9"/>
  <c r="D292" i="9"/>
  <c r="E292" i="9"/>
  <c r="B293" i="9"/>
  <c r="C293" i="9"/>
  <c r="D293" i="9"/>
  <c r="E293" i="9"/>
  <c r="B294" i="9"/>
  <c r="C294" i="9"/>
  <c r="D294" i="9"/>
  <c r="E294" i="9"/>
  <c r="B295" i="9"/>
  <c r="C295" i="9"/>
  <c r="D295" i="9"/>
  <c r="E295" i="9"/>
  <c r="B296" i="9"/>
  <c r="C296" i="9"/>
  <c r="D296" i="9"/>
  <c r="E296" i="9"/>
  <c r="B297" i="9"/>
  <c r="C297" i="9"/>
  <c r="D297" i="9"/>
  <c r="E297" i="9"/>
  <c r="B298" i="9"/>
  <c r="C298" i="9"/>
  <c r="D298" i="9"/>
  <c r="E298" i="9"/>
  <c r="B299" i="9"/>
  <c r="C299" i="9"/>
  <c r="D299" i="9"/>
  <c r="E299" i="9"/>
  <c r="B300" i="9"/>
  <c r="C300" i="9"/>
  <c r="D300" i="9"/>
  <c r="E300" i="9"/>
  <c r="B301" i="9"/>
  <c r="C301" i="9"/>
  <c r="D301" i="9"/>
  <c r="E301" i="9"/>
  <c r="B302" i="9"/>
  <c r="C302" i="9"/>
  <c r="D302" i="9"/>
  <c r="E302" i="9"/>
  <c r="B303" i="9"/>
  <c r="C303" i="9"/>
  <c r="D303" i="9"/>
  <c r="E303" i="9"/>
  <c r="B304" i="9"/>
  <c r="C304" i="9"/>
  <c r="D304" i="9"/>
  <c r="E304" i="9"/>
  <c r="B305" i="9"/>
  <c r="C305" i="9"/>
  <c r="D305" i="9"/>
  <c r="E305" i="9"/>
  <c r="B306" i="9"/>
  <c r="C306" i="9"/>
  <c r="D306" i="9"/>
  <c r="E306" i="9"/>
  <c r="B307" i="9"/>
  <c r="C307" i="9"/>
  <c r="D307" i="9"/>
  <c r="E307" i="9"/>
  <c r="B308" i="9"/>
  <c r="C308" i="9"/>
  <c r="D308" i="9"/>
  <c r="E308" i="9"/>
  <c r="B309" i="9"/>
  <c r="C309" i="9"/>
  <c r="D309" i="9"/>
  <c r="E309" i="9"/>
  <c r="B310" i="9"/>
  <c r="C310" i="9"/>
  <c r="D310" i="9"/>
  <c r="E310" i="9"/>
  <c r="B311" i="9"/>
  <c r="C311" i="9"/>
  <c r="D311" i="9"/>
  <c r="E311" i="9"/>
  <c r="B312" i="9"/>
  <c r="C312" i="9"/>
  <c r="D312" i="9"/>
  <c r="E312" i="9"/>
  <c r="B313" i="9"/>
  <c r="C313" i="9"/>
  <c r="D313" i="9"/>
  <c r="E313" i="9"/>
  <c r="B314" i="9"/>
  <c r="C314" i="9"/>
  <c r="D314" i="9"/>
  <c r="E314" i="9"/>
  <c r="B315" i="9"/>
  <c r="C315" i="9"/>
  <c r="D315" i="9"/>
  <c r="E315" i="9"/>
  <c r="B316" i="9"/>
  <c r="C316" i="9"/>
  <c r="D316" i="9"/>
  <c r="E316" i="9"/>
  <c r="B317" i="9"/>
  <c r="C317" i="9"/>
  <c r="D317" i="9"/>
  <c r="E317" i="9"/>
  <c r="B318" i="9"/>
  <c r="C318" i="9"/>
  <c r="D318" i="9"/>
  <c r="E318" i="9"/>
  <c r="B319" i="9"/>
  <c r="C319" i="9"/>
  <c r="D319" i="9"/>
  <c r="E319" i="9"/>
  <c r="B320" i="9"/>
  <c r="C320" i="9"/>
  <c r="D320" i="9"/>
  <c r="E320" i="9"/>
  <c r="B321" i="9"/>
  <c r="C321" i="9"/>
  <c r="D321" i="9"/>
  <c r="E321" i="9"/>
  <c r="B322" i="9"/>
  <c r="C322" i="9"/>
  <c r="D322" i="9"/>
  <c r="E322" i="9"/>
  <c r="B323" i="9"/>
  <c r="C323" i="9"/>
  <c r="D323" i="9"/>
  <c r="E323" i="9"/>
  <c r="B324" i="9"/>
  <c r="C324" i="9"/>
  <c r="D324" i="9"/>
  <c r="E324" i="9"/>
  <c r="B325" i="9"/>
  <c r="C325" i="9"/>
  <c r="D325" i="9"/>
  <c r="E325" i="9"/>
  <c r="B326" i="9"/>
  <c r="C326" i="9"/>
  <c r="D326" i="9"/>
  <c r="E326" i="9"/>
  <c r="B327" i="9"/>
  <c r="C327" i="9"/>
  <c r="D327" i="9"/>
  <c r="E327" i="9"/>
  <c r="B328" i="9"/>
  <c r="C328" i="9"/>
  <c r="D328" i="9"/>
  <c r="E328" i="9"/>
  <c r="B329" i="9"/>
  <c r="C329" i="9"/>
  <c r="D329" i="9"/>
  <c r="E329" i="9"/>
  <c r="B330" i="9"/>
  <c r="C330" i="9"/>
  <c r="D330" i="9"/>
  <c r="E330" i="9"/>
  <c r="B331" i="9"/>
  <c r="C331" i="9"/>
  <c r="D331" i="9"/>
  <c r="E331" i="9"/>
  <c r="B332" i="9"/>
  <c r="C332" i="9"/>
  <c r="D332" i="9"/>
  <c r="E332" i="9"/>
  <c r="B333" i="9"/>
  <c r="C333" i="9"/>
  <c r="D333" i="9"/>
  <c r="E333" i="9"/>
  <c r="B334" i="9"/>
  <c r="C334" i="9"/>
  <c r="D334" i="9"/>
  <c r="E334" i="9"/>
  <c r="B335" i="9"/>
  <c r="C335" i="9"/>
  <c r="D335" i="9"/>
  <c r="E335" i="9"/>
  <c r="B336" i="9"/>
  <c r="C336" i="9"/>
  <c r="D336" i="9"/>
  <c r="E336" i="9"/>
  <c r="B337" i="9"/>
  <c r="C337" i="9"/>
  <c r="D337" i="9"/>
  <c r="E337" i="9"/>
  <c r="B338" i="9"/>
  <c r="C338" i="9"/>
  <c r="D338" i="9"/>
  <c r="E338" i="9"/>
  <c r="B339" i="9"/>
  <c r="C339" i="9"/>
  <c r="D339" i="9"/>
  <c r="E339" i="9"/>
  <c r="B340" i="9"/>
  <c r="C340" i="9"/>
  <c r="D340" i="9"/>
  <c r="E340" i="9"/>
  <c r="B341" i="9"/>
  <c r="C341" i="9"/>
  <c r="D341" i="9"/>
  <c r="E341" i="9"/>
  <c r="B342" i="9"/>
  <c r="C342" i="9"/>
  <c r="D342" i="9"/>
  <c r="E342" i="9"/>
  <c r="B343" i="9"/>
  <c r="C343" i="9"/>
  <c r="D343" i="9"/>
  <c r="E343" i="9"/>
  <c r="B344" i="9"/>
  <c r="C344" i="9"/>
  <c r="D344" i="9"/>
  <c r="E344" i="9"/>
  <c r="B345" i="9"/>
  <c r="C345" i="9"/>
  <c r="D345" i="9"/>
  <c r="E345" i="9"/>
  <c r="B346" i="9"/>
  <c r="C346" i="9"/>
  <c r="D346" i="9"/>
  <c r="E346" i="9"/>
  <c r="B347" i="9"/>
  <c r="C347" i="9"/>
  <c r="D347" i="9"/>
  <c r="E347" i="9"/>
  <c r="B348" i="9"/>
  <c r="C348" i="9"/>
  <c r="D348" i="9"/>
  <c r="E348" i="9"/>
  <c r="B349" i="9"/>
  <c r="C349" i="9"/>
  <c r="D349" i="9"/>
  <c r="E349" i="9"/>
  <c r="B350" i="9"/>
  <c r="C350" i="9"/>
  <c r="D350" i="9"/>
  <c r="E350" i="9"/>
  <c r="B351" i="9"/>
  <c r="C351" i="9"/>
  <c r="D351" i="9"/>
  <c r="E351" i="9"/>
  <c r="B352" i="9"/>
  <c r="C352" i="9"/>
  <c r="D352" i="9"/>
  <c r="E352" i="9"/>
  <c r="B353" i="9"/>
  <c r="C353" i="9"/>
  <c r="D353" i="9"/>
  <c r="E353" i="9"/>
  <c r="B354" i="9"/>
  <c r="C354" i="9"/>
  <c r="D354" i="9"/>
  <c r="E354" i="9"/>
  <c r="B355" i="9"/>
  <c r="C355" i="9"/>
  <c r="D355" i="9"/>
  <c r="E355" i="9"/>
  <c r="B356" i="9"/>
  <c r="C356" i="9"/>
  <c r="D356" i="9"/>
  <c r="E356" i="9"/>
  <c r="B357" i="9"/>
  <c r="C357" i="9"/>
  <c r="D357" i="9"/>
  <c r="E357" i="9"/>
  <c r="B358" i="9"/>
  <c r="C358" i="9"/>
  <c r="D358" i="9"/>
  <c r="E358" i="9"/>
  <c r="B359" i="9"/>
  <c r="C359" i="9"/>
  <c r="D359" i="9"/>
  <c r="E359" i="9"/>
  <c r="B360" i="9"/>
  <c r="C360" i="9"/>
  <c r="D360" i="9"/>
  <c r="E360" i="9"/>
  <c r="B361" i="9"/>
  <c r="C361" i="9"/>
  <c r="D361" i="9"/>
  <c r="E361" i="9"/>
  <c r="B362" i="9"/>
  <c r="C362" i="9"/>
  <c r="D362" i="9"/>
  <c r="E362" i="9"/>
  <c r="B363" i="9"/>
  <c r="C363" i="9"/>
  <c r="D363" i="9"/>
  <c r="E363" i="9"/>
  <c r="B364" i="9"/>
  <c r="C364" i="9"/>
  <c r="D364" i="9"/>
  <c r="E364" i="9"/>
  <c r="B365" i="9"/>
  <c r="C365" i="9"/>
  <c r="D365" i="9"/>
  <c r="E365" i="9"/>
  <c r="B366" i="9"/>
  <c r="C366" i="9"/>
  <c r="D366" i="9"/>
  <c r="E366" i="9"/>
  <c r="B367" i="9"/>
  <c r="C367" i="9"/>
  <c r="D367" i="9"/>
  <c r="E367" i="9"/>
  <c r="B368" i="9"/>
  <c r="C368" i="9"/>
  <c r="D368" i="9"/>
  <c r="E368" i="9"/>
  <c r="B369" i="9"/>
  <c r="C369" i="9"/>
  <c r="D369" i="9"/>
  <c r="E369" i="9"/>
  <c r="B370" i="9"/>
  <c r="C370" i="9"/>
  <c r="D370" i="9"/>
  <c r="E370" i="9"/>
  <c r="B371" i="9"/>
  <c r="C371" i="9"/>
  <c r="D371" i="9"/>
  <c r="E371" i="9"/>
  <c r="B372" i="9"/>
  <c r="C372" i="9"/>
  <c r="D372" i="9"/>
  <c r="E372" i="9"/>
  <c r="B373" i="9"/>
  <c r="C373" i="9"/>
  <c r="D373" i="9"/>
  <c r="E373" i="9"/>
  <c r="B374" i="9"/>
  <c r="C374" i="9"/>
  <c r="D374" i="9"/>
  <c r="E374" i="9"/>
  <c r="B375" i="9"/>
  <c r="C375" i="9"/>
  <c r="D375" i="9"/>
  <c r="E375" i="9"/>
  <c r="B376" i="9"/>
  <c r="C376" i="9"/>
  <c r="D376" i="9"/>
  <c r="E376" i="9"/>
  <c r="B377" i="9"/>
  <c r="C377" i="9"/>
  <c r="D377" i="9"/>
  <c r="E377" i="9"/>
  <c r="B378" i="9"/>
  <c r="C378" i="9"/>
  <c r="D378" i="9"/>
  <c r="E378" i="9"/>
  <c r="B379" i="9"/>
  <c r="C379" i="9"/>
  <c r="D379" i="9"/>
  <c r="E379" i="9"/>
  <c r="B380" i="9"/>
  <c r="C380" i="9"/>
  <c r="D380" i="9"/>
  <c r="E380" i="9"/>
  <c r="B381" i="9"/>
  <c r="C381" i="9"/>
  <c r="D381" i="9"/>
  <c r="E381" i="9"/>
  <c r="B382" i="9"/>
  <c r="C382" i="9"/>
  <c r="D382" i="9"/>
  <c r="E382" i="9"/>
  <c r="B383" i="9"/>
  <c r="C383" i="9"/>
  <c r="D383" i="9"/>
  <c r="E383" i="9"/>
  <c r="B384" i="9"/>
  <c r="C384" i="9"/>
  <c r="D384" i="9"/>
  <c r="E384" i="9"/>
  <c r="B385" i="9"/>
  <c r="C385" i="9"/>
  <c r="D385" i="9"/>
  <c r="E385" i="9"/>
  <c r="B386" i="9"/>
  <c r="C386" i="9"/>
  <c r="D386" i="9"/>
  <c r="E386" i="9"/>
  <c r="B387" i="9"/>
  <c r="C387" i="9"/>
  <c r="D387" i="9"/>
  <c r="E387" i="9"/>
  <c r="B388" i="9"/>
  <c r="C388" i="9"/>
  <c r="D388" i="9"/>
  <c r="E388" i="9"/>
  <c r="B389" i="9"/>
  <c r="C389" i="9"/>
  <c r="D389" i="9"/>
  <c r="E389" i="9"/>
  <c r="B390" i="9"/>
  <c r="C390" i="9"/>
  <c r="D390" i="9"/>
  <c r="E390" i="9"/>
  <c r="B391" i="9"/>
  <c r="C391" i="9"/>
  <c r="D391" i="9"/>
  <c r="E391" i="9"/>
  <c r="B392" i="9"/>
  <c r="C392" i="9"/>
  <c r="D392" i="9"/>
  <c r="E392" i="9"/>
  <c r="B393" i="9"/>
  <c r="C393" i="9"/>
  <c r="D393" i="9"/>
  <c r="E393" i="9"/>
  <c r="B394" i="9"/>
  <c r="C394" i="9"/>
  <c r="D394" i="9"/>
  <c r="E394" i="9"/>
  <c r="B395" i="9"/>
  <c r="C395" i="9"/>
  <c r="D395" i="9"/>
  <c r="E395" i="9"/>
  <c r="B396" i="9"/>
  <c r="C396" i="9"/>
  <c r="D396" i="9"/>
  <c r="E396" i="9"/>
  <c r="B397" i="9"/>
  <c r="C397" i="9"/>
  <c r="D397" i="9"/>
  <c r="E397" i="9"/>
  <c r="B398" i="9"/>
  <c r="C398" i="9"/>
  <c r="D398" i="9"/>
  <c r="E398" i="9"/>
  <c r="B399" i="9"/>
  <c r="C399" i="9"/>
  <c r="D399" i="9"/>
  <c r="E399" i="9"/>
  <c r="B400" i="9"/>
  <c r="C400" i="9"/>
  <c r="D400" i="9"/>
  <c r="E400" i="9"/>
  <c r="B401" i="9"/>
  <c r="C401" i="9"/>
  <c r="D401" i="9"/>
  <c r="E401" i="9"/>
  <c r="B402" i="9"/>
  <c r="C402" i="9"/>
  <c r="D402" i="9"/>
  <c r="E402" i="9"/>
  <c r="B403" i="9"/>
  <c r="C403" i="9"/>
  <c r="D403" i="9"/>
  <c r="E403" i="9"/>
  <c r="B404" i="9"/>
  <c r="C404" i="9"/>
  <c r="D404" i="9"/>
  <c r="E404" i="9"/>
  <c r="B405" i="9"/>
  <c r="C405" i="9"/>
  <c r="D405" i="9"/>
  <c r="E405" i="9"/>
  <c r="B406" i="9"/>
  <c r="C406" i="9"/>
  <c r="D406" i="9"/>
  <c r="E406" i="9"/>
  <c r="B407" i="9"/>
  <c r="C407" i="9"/>
  <c r="D407" i="9"/>
  <c r="E407" i="9"/>
  <c r="B408" i="9"/>
  <c r="C408" i="9"/>
  <c r="D408" i="9"/>
  <c r="E408" i="9"/>
  <c r="B409" i="9"/>
  <c r="C409" i="9"/>
  <c r="D409" i="9"/>
  <c r="E409" i="9"/>
  <c r="B410" i="9"/>
  <c r="C410" i="9"/>
  <c r="D410" i="9"/>
  <c r="E410" i="9"/>
  <c r="B411" i="9"/>
  <c r="C411" i="9"/>
  <c r="D411" i="9"/>
  <c r="E411" i="9"/>
  <c r="B412" i="9"/>
  <c r="C412" i="9"/>
  <c r="D412" i="9"/>
  <c r="E412" i="9"/>
  <c r="B413" i="9"/>
  <c r="C413" i="9"/>
  <c r="D413" i="9"/>
  <c r="E413" i="9"/>
  <c r="B414" i="9"/>
  <c r="C414" i="9"/>
  <c r="D414" i="9"/>
  <c r="E414" i="9"/>
  <c r="B415" i="9"/>
  <c r="C415" i="9"/>
  <c r="D415" i="9"/>
  <c r="E415" i="9"/>
  <c r="B416" i="9"/>
  <c r="C416" i="9"/>
  <c r="D416" i="9"/>
  <c r="E416" i="9"/>
  <c r="B417" i="9"/>
  <c r="C417" i="9"/>
  <c r="D417" i="9"/>
  <c r="E417" i="9"/>
  <c r="B418" i="9"/>
  <c r="C418" i="9"/>
  <c r="D418" i="9"/>
  <c r="E418" i="9"/>
  <c r="B419" i="9"/>
  <c r="C419" i="9"/>
  <c r="D419" i="9"/>
  <c r="E419" i="9"/>
  <c r="B420" i="9"/>
  <c r="C420" i="9"/>
  <c r="D420" i="9"/>
  <c r="E420" i="9"/>
  <c r="B421" i="9"/>
  <c r="C421" i="9"/>
  <c r="D421" i="9"/>
  <c r="E421" i="9"/>
  <c r="B422" i="9"/>
  <c r="C422" i="9"/>
  <c r="D422" i="9"/>
  <c r="E422" i="9"/>
  <c r="B423" i="9"/>
  <c r="C423" i="9"/>
  <c r="D423" i="9"/>
  <c r="E423" i="9"/>
  <c r="B424" i="9"/>
  <c r="C424" i="9"/>
  <c r="D424" i="9"/>
  <c r="E424" i="9"/>
  <c r="B425" i="9"/>
  <c r="C425" i="9"/>
  <c r="D425" i="9"/>
  <c r="E425" i="9"/>
  <c r="B426" i="9"/>
  <c r="C426" i="9"/>
  <c r="D426" i="9"/>
  <c r="E426" i="9"/>
  <c r="B427" i="9"/>
  <c r="C427" i="9"/>
  <c r="D427" i="9"/>
  <c r="E427" i="9"/>
  <c r="B428" i="9"/>
  <c r="C428" i="9"/>
  <c r="D428" i="9"/>
  <c r="E428" i="9"/>
  <c r="B429" i="9"/>
  <c r="C429" i="9"/>
  <c r="D429" i="9"/>
  <c r="E429" i="9"/>
  <c r="B430" i="9"/>
  <c r="C430" i="9"/>
  <c r="D430" i="9"/>
  <c r="E430" i="9"/>
  <c r="B431" i="9"/>
  <c r="C431" i="9"/>
  <c r="D431" i="9"/>
  <c r="E431" i="9"/>
  <c r="B432" i="9"/>
  <c r="C432" i="9"/>
  <c r="D432" i="9"/>
  <c r="E432" i="9"/>
  <c r="B433" i="9"/>
  <c r="C433" i="9"/>
  <c r="D433" i="9"/>
  <c r="E433" i="9"/>
  <c r="B434" i="9"/>
  <c r="C434" i="9"/>
  <c r="D434" i="9"/>
  <c r="E434" i="9"/>
  <c r="B435" i="9"/>
  <c r="C435" i="9"/>
  <c r="D435" i="9"/>
  <c r="E435" i="9"/>
  <c r="B436" i="9"/>
  <c r="C436" i="9"/>
  <c r="D436" i="9"/>
  <c r="E436" i="9"/>
  <c r="B437" i="9"/>
  <c r="C437" i="9"/>
  <c r="D437" i="9"/>
  <c r="E437" i="9"/>
  <c r="B438" i="9"/>
  <c r="C438" i="9"/>
  <c r="D438" i="9"/>
  <c r="E438" i="9"/>
  <c r="B439" i="9"/>
  <c r="C439" i="9"/>
  <c r="D439" i="9"/>
  <c r="E439" i="9"/>
  <c r="B440" i="9"/>
  <c r="C440" i="9"/>
  <c r="D440" i="9"/>
  <c r="E440" i="9"/>
  <c r="B441" i="9"/>
  <c r="C441" i="9"/>
  <c r="D441" i="9"/>
  <c r="E441" i="9"/>
  <c r="B442" i="9"/>
  <c r="C442" i="9"/>
  <c r="D442" i="9"/>
  <c r="E442" i="9"/>
  <c r="B443" i="9"/>
  <c r="C443" i="9"/>
  <c r="D443" i="9"/>
  <c r="E443" i="9"/>
  <c r="B444" i="9"/>
  <c r="C444" i="9"/>
  <c r="D444" i="9"/>
  <c r="E444" i="9"/>
  <c r="B445" i="9"/>
  <c r="C445" i="9"/>
  <c r="D445" i="9"/>
  <c r="E445" i="9"/>
  <c r="B446" i="9"/>
  <c r="C446" i="9"/>
  <c r="D446" i="9"/>
  <c r="E446" i="9"/>
  <c r="B447" i="9"/>
  <c r="C447" i="9"/>
  <c r="D447" i="9"/>
  <c r="E447" i="9"/>
  <c r="B448" i="9"/>
  <c r="C448" i="9"/>
  <c r="D448" i="9"/>
  <c r="E448" i="9"/>
  <c r="B449" i="9"/>
  <c r="C449" i="9"/>
  <c r="D449" i="9"/>
  <c r="E449" i="9"/>
  <c r="B450" i="9"/>
  <c r="C450" i="9"/>
  <c r="D450" i="9"/>
  <c r="E450" i="9"/>
  <c r="B451" i="9"/>
  <c r="C451" i="9"/>
  <c r="D451" i="9"/>
  <c r="E451" i="9"/>
  <c r="B452" i="9"/>
  <c r="C452" i="9"/>
  <c r="D452" i="9"/>
  <c r="E452" i="9"/>
  <c r="B453" i="9"/>
  <c r="C453" i="9"/>
  <c r="D453" i="9"/>
  <c r="E453" i="9"/>
  <c r="B454" i="9"/>
  <c r="C454" i="9"/>
  <c r="D454" i="9"/>
  <c r="E454" i="9"/>
  <c r="B455" i="9"/>
  <c r="C455" i="9"/>
  <c r="D455" i="9"/>
  <c r="E455" i="9"/>
  <c r="B456" i="9"/>
  <c r="C456" i="9"/>
  <c r="D456" i="9"/>
  <c r="E456" i="9"/>
  <c r="B457" i="9"/>
  <c r="C457" i="9"/>
  <c r="D457" i="9"/>
  <c r="E457" i="9"/>
  <c r="B458" i="9"/>
  <c r="C458" i="9"/>
  <c r="D458" i="9"/>
  <c r="E458" i="9"/>
  <c r="B459" i="9"/>
  <c r="C459" i="9"/>
  <c r="D459" i="9"/>
  <c r="E459" i="9"/>
  <c r="B460" i="9"/>
  <c r="C460" i="9"/>
  <c r="D460" i="9"/>
  <c r="E460" i="9"/>
  <c r="B461" i="9"/>
  <c r="C461" i="9"/>
  <c r="D461" i="9"/>
  <c r="E461" i="9"/>
  <c r="B462" i="9"/>
  <c r="C462" i="9"/>
  <c r="D462" i="9"/>
  <c r="E462" i="9"/>
  <c r="B463" i="9"/>
  <c r="C463" i="9"/>
  <c r="D463" i="9"/>
  <c r="E463" i="9"/>
  <c r="B464" i="9"/>
  <c r="C464" i="9"/>
  <c r="D464" i="9"/>
  <c r="E464" i="9"/>
  <c r="B465" i="9"/>
  <c r="C465" i="9"/>
  <c r="D465" i="9"/>
  <c r="E465" i="9"/>
  <c r="B466" i="9"/>
  <c r="C466" i="9"/>
  <c r="D466" i="9"/>
  <c r="E466" i="9"/>
  <c r="B467" i="9"/>
  <c r="C467" i="9"/>
  <c r="D467" i="9"/>
  <c r="E467" i="9"/>
  <c r="B468" i="9"/>
  <c r="C468" i="9"/>
  <c r="D468" i="9"/>
  <c r="E468" i="9"/>
  <c r="B469" i="9"/>
  <c r="C469" i="9"/>
  <c r="D469" i="9"/>
  <c r="E469" i="9"/>
  <c r="B470" i="9"/>
  <c r="C470" i="9"/>
  <c r="D470" i="9"/>
  <c r="E470" i="9"/>
  <c r="B471" i="9"/>
  <c r="C471" i="9"/>
  <c r="D471" i="9"/>
  <c r="E471" i="9"/>
  <c r="B472" i="9"/>
  <c r="C472" i="9"/>
  <c r="D472" i="9"/>
  <c r="E472" i="9"/>
  <c r="B473" i="9"/>
  <c r="C473" i="9"/>
  <c r="D473" i="9"/>
  <c r="E473" i="9"/>
  <c r="B474" i="9"/>
  <c r="C474" i="9"/>
  <c r="D474" i="9"/>
  <c r="E474" i="9"/>
  <c r="B475" i="9"/>
  <c r="C475" i="9"/>
  <c r="D475" i="9"/>
  <c r="E475" i="9"/>
  <c r="B476" i="9"/>
  <c r="C476" i="9"/>
  <c r="D476" i="9"/>
  <c r="E476" i="9"/>
  <c r="B477" i="9"/>
  <c r="C477" i="9"/>
  <c r="D477" i="9"/>
  <c r="E477" i="9"/>
  <c r="B478" i="9"/>
  <c r="C478" i="9"/>
  <c r="D478" i="9"/>
  <c r="E478" i="9"/>
  <c r="B479" i="9"/>
  <c r="C479" i="9"/>
  <c r="D479" i="9"/>
  <c r="E479" i="9"/>
  <c r="B480" i="9"/>
  <c r="C480" i="9"/>
  <c r="D480" i="9"/>
  <c r="E480" i="9"/>
  <c r="B481" i="9"/>
  <c r="C481" i="9"/>
  <c r="D481" i="9"/>
  <c r="E481" i="9"/>
  <c r="B482" i="9"/>
  <c r="C482" i="9"/>
  <c r="D482" i="9"/>
  <c r="E482" i="9"/>
  <c r="B483" i="9"/>
  <c r="C483" i="9"/>
  <c r="D483" i="9"/>
  <c r="E483" i="9"/>
  <c r="B484" i="9"/>
  <c r="C484" i="9"/>
  <c r="D484" i="9"/>
  <c r="E484" i="9"/>
  <c r="B485" i="9"/>
  <c r="C485" i="9"/>
  <c r="D485" i="9"/>
  <c r="E485" i="9"/>
  <c r="B486" i="9"/>
  <c r="C486" i="9"/>
  <c r="D486" i="9"/>
  <c r="E486" i="9"/>
  <c r="B487" i="9"/>
  <c r="C487" i="9"/>
  <c r="D487" i="9"/>
  <c r="E487" i="9"/>
  <c r="B488" i="9"/>
  <c r="C488" i="9"/>
  <c r="D488" i="9"/>
  <c r="E488" i="9"/>
  <c r="B489" i="9"/>
  <c r="C489" i="9"/>
  <c r="D489" i="9"/>
  <c r="E489" i="9"/>
  <c r="B490" i="9"/>
  <c r="C490" i="9"/>
  <c r="D490" i="9"/>
  <c r="E490" i="9"/>
  <c r="B491" i="9"/>
  <c r="C491" i="9"/>
  <c r="D491" i="9"/>
  <c r="E491" i="9"/>
  <c r="B492" i="9"/>
  <c r="C492" i="9"/>
  <c r="D492" i="9"/>
  <c r="E492" i="9"/>
  <c r="B493" i="9"/>
  <c r="C493" i="9"/>
  <c r="D493" i="9"/>
  <c r="E493" i="9"/>
  <c r="B494" i="9"/>
  <c r="C494" i="9"/>
  <c r="D494" i="9"/>
  <c r="E494" i="9"/>
  <c r="B495" i="9"/>
  <c r="C495" i="9"/>
  <c r="D495" i="9"/>
  <c r="E495" i="9"/>
  <c r="B496" i="9"/>
  <c r="C496" i="9"/>
  <c r="D496" i="9"/>
  <c r="E496" i="9"/>
  <c r="B497" i="9"/>
  <c r="C497" i="9"/>
  <c r="D497" i="9"/>
  <c r="E497" i="9"/>
  <c r="B498" i="9"/>
  <c r="C498" i="9"/>
  <c r="D498" i="9"/>
  <c r="E498" i="9"/>
  <c r="B499" i="9"/>
  <c r="C499" i="9"/>
  <c r="D499" i="9"/>
  <c r="E499" i="9"/>
  <c r="B500" i="9"/>
  <c r="C500" i="9"/>
  <c r="D500" i="9"/>
  <c r="E500" i="9"/>
  <c r="B501" i="9"/>
  <c r="C501" i="9"/>
  <c r="D501" i="9"/>
  <c r="E501" i="9"/>
  <c r="B502" i="9"/>
  <c r="C502" i="9"/>
  <c r="D502" i="9"/>
  <c r="E502" i="9"/>
  <c r="B503" i="9"/>
  <c r="C503" i="9"/>
  <c r="D503" i="9"/>
  <c r="E503" i="9"/>
  <c r="B504" i="9"/>
  <c r="C504" i="9"/>
  <c r="D504" i="9"/>
  <c r="E504" i="9"/>
  <c r="B505" i="9"/>
  <c r="C505" i="9"/>
  <c r="D505" i="9"/>
  <c r="E505" i="9"/>
  <c r="B506" i="9"/>
  <c r="C506" i="9"/>
  <c r="D506" i="9"/>
  <c r="E506" i="9"/>
  <c r="B507" i="9"/>
  <c r="C507" i="9"/>
  <c r="D507" i="9"/>
  <c r="E507" i="9"/>
  <c r="B508" i="9"/>
  <c r="C508" i="9"/>
  <c r="D508" i="9"/>
  <c r="E508" i="9"/>
  <c r="B509" i="9"/>
  <c r="C509" i="9"/>
  <c r="D509" i="9"/>
  <c r="E509" i="9"/>
  <c r="B510" i="9"/>
  <c r="C510" i="9"/>
  <c r="D510" i="9"/>
  <c r="E510" i="9"/>
  <c r="B511" i="9"/>
  <c r="C511" i="9"/>
  <c r="D511" i="9"/>
  <c r="E511" i="9"/>
  <c r="B512" i="9"/>
  <c r="C512" i="9"/>
  <c r="D512" i="9"/>
  <c r="E512" i="9"/>
  <c r="B513" i="9"/>
  <c r="C513" i="9"/>
  <c r="D513" i="9"/>
  <c r="E513" i="9"/>
  <c r="B514" i="9"/>
  <c r="C514" i="9"/>
  <c r="D514" i="9"/>
  <c r="E514" i="9"/>
  <c r="B515" i="9"/>
  <c r="C515" i="9"/>
  <c r="D515" i="9"/>
  <c r="E515" i="9"/>
  <c r="B516" i="9"/>
  <c r="C516" i="9"/>
  <c r="D516" i="9"/>
  <c r="E516" i="9"/>
  <c r="B517" i="9"/>
  <c r="C517" i="9"/>
  <c r="D517" i="9"/>
  <c r="E517" i="9"/>
  <c r="B518" i="9"/>
  <c r="C518" i="9"/>
  <c r="D518" i="9"/>
  <c r="E518" i="9"/>
  <c r="B519" i="9"/>
  <c r="C519" i="9"/>
  <c r="D519" i="9"/>
  <c r="E519" i="9"/>
  <c r="B520" i="9"/>
  <c r="C520" i="9"/>
  <c r="D520" i="9"/>
  <c r="E520" i="9"/>
  <c r="B521" i="9"/>
  <c r="C521" i="9"/>
  <c r="D521" i="9"/>
  <c r="E521" i="9"/>
  <c r="B522" i="9"/>
  <c r="C522" i="9"/>
  <c r="D522" i="9"/>
  <c r="E522" i="9"/>
  <c r="B523" i="9"/>
  <c r="C523" i="9"/>
  <c r="D523" i="9"/>
  <c r="E523" i="9"/>
  <c r="B524" i="9"/>
  <c r="C524" i="9"/>
  <c r="D524" i="9"/>
  <c r="E524" i="9"/>
  <c r="B525" i="9"/>
  <c r="C525" i="9"/>
  <c r="D525" i="9"/>
  <c r="E525" i="9"/>
  <c r="B526" i="9"/>
  <c r="C526" i="9"/>
  <c r="D526" i="9"/>
  <c r="E526" i="9"/>
  <c r="B527" i="9"/>
  <c r="C527" i="9"/>
  <c r="D527" i="9"/>
  <c r="E527" i="9"/>
  <c r="B528" i="9"/>
  <c r="C528" i="9"/>
  <c r="D528" i="9"/>
  <c r="E528" i="9"/>
  <c r="B529" i="9"/>
  <c r="C529" i="9"/>
  <c r="D529" i="9"/>
  <c r="E529" i="9"/>
  <c r="B530" i="9"/>
  <c r="C530" i="9"/>
  <c r="D530" i="9"/>
  <c r="E530" i="9"/>
  <c r="B531" i="9"/>
  <c r="C531" i="9"/>
  <c r="D531" i="9"/>
  <c r="E531" i="9"/>
  <c r="B532" i="9"/>
  <c r="C532" i="9"/>
  <c r="D532" i="9"/>
  <c r="E532" i="9"/>
  <c r="B533" i="9"/>
  <c r="C533" i="9"/>
  <c r="D533" i="9"/>
  <c r="E533" i="9"/>
  <c r="B534" i="9"/>
  <c r="C534" i="9"/>
  <c r="D534" i="9"/>
  <c r="E534" i="9"/>
  <c r="B535" i="9"/>
  <c r="C535" i="9"/>
  <c r="D535" i="9"/>
  <c r="E535" i="9"/>
  <c r="B536" i="9"/>
  <c r="C536" i="9"/>
  <c r="D536" i="9"/>
  <c r="E536" i="9"/>
  <c r="B537" i="9"/>
  <c r="C537" i="9"/>
  <c r="D537" i="9"/>
  <c r="E537" i="9"/>
  <c r="B538" i="9"/>
  <c r="C538" i="9"/>
  <c r="D538" i="9"/>
  <c r="E538" i="9"/>
  <c r="B539" i="9"/>
  <c r="C539" i="9"/>
  <c r="D539" i="9"/>
  <c r="E539" i="9"/>
  <c r="B540" i="9"/>
  <c r="C540" i="9"/>
  <c r="D540" i="9"/>
  <c r="E540" i="9"/>
  <c r="B541" i="9"/>
  <c r="C541" i="9"/>
  <c r="D541" i="9"/>
  <c r="E541" i="9"/>
  <c r="B542" i="9"/>
  <c r="C542" i="9"/>
  <c r="D542" i="9"/>
  <c r="E542" i="9"/>
  <c r="B543" i="9"/>
  <c r="C543" i="9"/>
  <c r="D543" i="9"/>
  <c r="E543" i="9"/>
  <c r="B544" i="9"/>
  <c r="C544" i="9"/>
  <c r="D544" i="9"/>
  <c r="E544" i="9"/>
  <c r="B545" i="9"/>
  <c r="C545" i="9"/>
  <c r="D545" i="9"/>
  <c r="E545" i="9"/>
  <c r="B546" i="9"/>
  <c r="C546" i="9"/>
  <c r="D546" i="9"/>
  <c r="E546" i="9"/>
  <c r="B547" i="9"/>
  <c r="C547" i="9"/>
  <c r="D547" i="9"/>
  <c r="E547" i="9"/>
  <c r="B548" i="9"/>
  <c r="C548" i="9"/>
  <c r="D548" i="9"/>
  <c r="E548" i="9"/>
  <c r="B549" i="9"/>
  <c r="C549" i="9"/>
  <c r="D549" i="9"/>
  <c r="E549" i="9"/>
  <c r="B550" i="9"/>
  <c r="C550" i="9"/>
  <c r="D550" i="9"/>
  <c r="E550" i="9"/>
  <c r="B551" i="9"/>
  <c r="C551" i="9"/>
  <c r="D551" i="9"/>
  <c r="E551" i="9"/>
  <c r="B552" i="9"/>
  <c r="C552" i="9"/>
  <c r="D552" i="9"/>
  <c r="E552" i="9"/>
  <c r="B553" i="9"/>
  <c r="C553" i="9"/>
  <c r="D553" i="9"/>
  <c r="E553" i="9"/>
  <c r="B554" i="9"/>
  <c r="C554" i="9"/>
  <c r="D554" i="9"/>
  <c r="E554" i="9"/>
  <c r="B555" i="9"/>
  <c r="C555" i="9"/>
  <c r="D555" i="9"/>
  <c r="E555" i="9"/>
  <c r="B556" i="9"/>
  <c r="C556" i="9"/>
  <c r="D556" i="9"/>
  <c r="E556" i="9"/>
  <c r="B557" i="9"/>
  <c r="C557" i="9"/>
  <c r="D557" i="9"/>
  <c r="E557" i="9"/>
  <c r="B558" i="9"/>
  <c r="C558" i="9"/>
  <c r="D558" i="9"/>
  <c r="E558" i="9"/>
  <c r="B559" i="9"/>
  <c r="C559" i="9"/>
  <c r="D559" i="9"/>
  <c r="E559" i="9"/>
  <c r="B560" i="9"/>
  <c r="C560" i="9"/>
  <c r="D560" i="9"/>
  <c r="E560" i="9"/>
  <c r="B561" i="9"/>
  <c r="C561" i="9"/>
  <c r="D561" i="9"/>
  <c r="E561" i="9"/>
  <c r="B562" i="9"/>
  <c r="C562" i="9"/>
  <c r="D562" i="9"/>
  <c r="E562" i="9"/>
  <c r="B563" i="9"/>
  <c r="C563" i="9"/>
  <c r="D563" i="9"/>
  <c r="E563" i="9"/>
  <c r="B564" i="9"/>
  <c r="C564" i="9"/>
  <c r="D564" i="9"/>
  <c r="E564" i="9"/>
  <c r="B565" i="9"/>
  <c r="C565" i="9"/>
  <c r="D565" i="9"/>
  <c r="E565" i="9"/>
  <c r="B566" i="9"/>
  <c r="C566" i="9"/>
  <c r="D566" i="9"/>
  <c r="E566" i="9"/>
  <c r="B567" i="9"/>
  <c r="C567" i="9"/>
  <c r="D567" i="9"/>
  <c r="E567" i="9"/>
  <c r="B568" i="9"/>
  <c r="C568" i="9"/>
  <c r="D568" i="9"/>
  <c r="E568" i="9"/>
  <c r="B569" i="9"/>
  <c r="C569" i="9"/>
  <c r="D569" i="9"/>
  <c r="E569" i="9"/>
  <c r="B570" i="9"/>
  <c r="C570" i="9"/>
  <c r="D570" i="9"/>
  <c r="E570" i="9"/>
  <c r="B571" i="9"/>
  <c r="C571" i="9"/>
  <c r="D571" i="9"/>
  <c r="E571" i="9"/>
  <c r="B572" i="9"/>
  <c r="C572" i="9"/>
  <c r="D572" i="9"/>
  <c r="E572" i="9"/>
  <c r="B573" i="9"/>
  <c r="C573" i="9"/>
  <c r="D573" i="9"/>
  <c r="E573" i="9"/>
  <c r="B574" i="9"/>
  <c r="C574" i="9"/>
  <c r="D574" i="9"/>
  <c r="E574" i="9"/>
  <c r="B575" i="9"/>
  <c r="C575" i="9"/>
  <c r="D575" i="9"/>
  <c r="E575" i="9"/>
  <c r="B576" i="9"/>
  <c r="C576" i="9"/>
  <c r="D576" i="9"/>
  <c r="E576" i="9"/>
  <c r="B577" i="9"/>
  <c r="C577" i="9"/>
  <c r="D577" i="9"/>
  <c r="E577" i="9"/>
  <c r="B578" i="9"/>
  <c r="C578" i="9"/>
  <c r="D578" i="9"/>
  <c r="E578" i="9"/>
  <c r="B579" i="9"/>
  <c r="C579" i="9"/>
  <c r="D579" i="9"/>
  <c r="E579" i="9"/>
  <c r="B580" i="9"/>
  <c r="C580" i="9"/>
  <c r="D580" i="9"/>
  <c r="E580" i="9"/>
  <c r="B581" i="9"/>
  <c r="C581" i="9"/>
  <c r="D581" i="9"/>
  <c r="E581" i="9"/>
  <c r="B582" i="9"/>
  <c r="C582" i="9"/>
  <c r="D582" i="9"/>
  <c r="E582" i="9"/>
  <c r="B583" i="9"/>
  <c r="C583" i="9"/>
  <c r="D583" i="9"/>
  <c r="E583" i="9"/>
  <c r="B584" i="9"/>
  <c r="C584" i="9"/>
  <c r="D584" i="9"/>
  <c r="E584" i="9"/>
  <c r="B585" i="9"/>
  <c r="C585" i="9"/>
  <c r="D585" i="9"/>
  <c r="E585" i="9"/>
  <c r="B586" i="9"/>
  <c r="C586" i="9"/>
  <c r="D586" i="9"/>
  <c r="E586" i="9"/>
  <c r="B587" i="9"/>
  <c r="C587" i="9"/>
  <c r="D587" i="9"/>
  <c r="E587" i="9"/>
  <c r="B588" i="9"/>
  <c r="C588" i="9"/>
  <c r="D588" i="9"/>
  <c r="E588" i="9"/>
  <c r="B589" i="9"/>
  <c r="C589" i="9"/>
  <c r="D589" i="9"/>
  <c r="E589" i="9"/>
  <c r="B590" i="9"/>
  <c r="C590" i="9"/>
  <c r="D590" i="9"/>
  <c r="E590" i="9"/>
  <c r="B591" i="9"/>
  <c r="C591" i="9"/>
  <c r="D591" i="9"/>
  <c r="E591" i="9"/>
  <c r="B592" i="9"/>
  <c r="C592" i="9"/>
  <c r="D592" i="9"/>
  <c r="E592" i="9"/>
  <c r="B593" i="9"/>
  <c r="C593" i="9"/>
  <c r="D593" i="9"/>
  <c r="E593" i="9"/>
  <c r="B594" i="9"/>
  <c r="C594" i="9"/>
  <c r="D594" i="9"/>
  <c r="E594" i="9"/>
  <c r="B595" i="9"/>
  <c r="C595" i="9"/>
  <c r="D595" i="9"/>
  <c r="E595" i="9"/>
  <c r="B596" i="9"/>
  <c r="C596" i="9"/>
  <c r="D596" i="9"/>
  <c r="E596" i="9"/>
  <c r="B597" i="9"/>
  <c r="C597" i="9"/>
  <c r="D597" i="9"/>
  <c r="E597" i="9"/>
  <c r="B598" i="9"/>
  <c r="C598" i="9"/>
  <c r="D598" i="9"/>
  <c r="E598" i="9"/>
  <c r="B599" i="9"/>
  <c r="C599" i="9"/>
  <c r="D599" i="9"/>
  <c r="E599" i="9"/>
  <c r="B600" i="9"/>
  <c r="C600" i="9"/>
  <c r="D600" i="9"/>
  <c r="E600" i="9"/>
  <c r="B601" i="9"/>
  <c r="C601" i="9"/>
  <c r="D601" i="9"/>
  <c r="E601" i="9"/>
  <c r="B602" i="9"/>
  <c r="C602" i="9"/>
  <c r="D602" i="9"/>
  <c r="E602" i="9"/>
  <c r="B603" i="9"/>
  <c r="C603" i="9"/>
  <c r="D603" i="9"/>
  <c r="E603" i="9"/>
  <c r="B604" i="9"/>
  <c r="C604" i="9"/>
  <c r="D604" i="9"/>
  <c r="E604" i="9"/>
  <c r="B605" i="9"/>
  <c r="C605" i="9"/>
  <c r="D605" i="9"/>
  <c r="E605" i="9"/>
  <c r="B606" i="9"/>
  <c r="C606" i="9"/>
  <c r="D606" i="9"/>
  <c r="E606" i="9"/>
  <c r="B607" i="9"/>
  <c r="C607" i="9"/>
  <c r="D607" i="9"/>
  <c r="E607" i="9"/>
  <c r="B608" i="9"/>
  <c r="C608" i="9"/>
  <c r="D608" i="9"/>
  <c r="E608" i="9"/>
  <c r="B609" i="9"/>
  <c r="C609" i="9"/>
  <c r="D609" i="9"/>
  <c r="E609" i="9"/>
  <c r="B610" i="9"/>
  <c r="C610" i="9"/>
  <c r="D610" i="9"/>
  <c r="E610" i="9"/>
  <c r="B611" i="9"/>
  <c r="C611" i="9"/>
  <c r="D611" i="9"/>
  <c r="E611" i="9"/>
  <c r="B612" i="9"/>
  <c r="C612" i="9"/>
  <c r="D612" i="9"/>
  <c r="E612" i="9"/>
  <c r="B613" i="9"/>
  <c r="C613" i="9"/>
  <c r="D613" i="9"/>
  <c r="E613" i="9"/>
  <c r="B614" i="9"/>
  <c r="C614" i="9"/>
  <c r="D614" i="9"/>
  <c r="E614" i="9"/>
  <c r="B615" i="9"/>
  <c r="C615" i="9"/>
  <c r="D615" i="9"/>
  <c r="E615" i="9"/>
  <c r="B616" i="9"/>
  <c r="C616" i="9"/>
  <c r="D616" i="9"/>
  <c r="E616" i="9"/>
  <c r="B617" i="9"/>
  <c r="C617" i="9"/>
  <c r="D617" i="9"/>
  <c r="E617" i="9"/>
  <c r="B618" i="9"/>
  <c r="C618" i="9"/>
  <c r="D618" i="9"/>
  <c r="E618" i="9"/>
  <c r="B619" i="9"/>
  <c r="C619" i="9"/>
  <c r="D619" i="9"/>
  <c r="E619" i="9"/>
  <c r="B620" i="9"/>
  <c r="C620" i="9"/>
  <c r="D620" i="9"/>
  <c r="E620" i="9"/>
  <c r="B621" i="9"/>
  <c r="C621" i="9"/>
  <c r="D621" i="9"/>
  <c r="E621" i="9"/>
  <c r="B622" i="9"/>
  <c r="C622" i="9"/>
  <c r="D622" i="9"/>
  <c r="E622" i="9"/>
  <c r="B623" i="9"/>
  <c r="C623" i="9"/>
  <c r="D623" i="9"/>
  <c r="E623" i="9"/>
  <c r="B624" i="9"/>
  <c r="C624" i="9"/>
  <c r="D624" i="9"/>
  <c r="E624" i="9"/>
  <c r="B625" i="9"/>
  <c r="C625" i="9"/>
  <c r="D625" i="9"/>
  <c r="E625" i="9"/>
  <c r="B626" i="9"/>
  <c r="C626" i="9"/>
  <c r="D626" i="9"/>
  <c r="E626" i="9"/>
  <c r="B627" i="9"/>
  <c r="C627" i="9"/>
  <c r="D627" i="9"/>
  <c r="E627" i="9"/>
  <c r="B628" i="9"/>
  <c r="C628" i="9"/>
  <c r="D628" i="9"/>
  <c r="E628" i="9"/>
  <c r="B629" i="9"/>
  <c r="C629" i="9"/>
  <c r="D629" i="9"/>
  <c r="E629" i="9"/>
  <c r="B630" i="9"/>
  <c r="C630" i="9"/>
  <c r="D630" i="9"/>
  <c r="E630" i="9"/>
  <c r="B631" i="9"/>
  <c r="C631" i="9"/>
  <c r="D631" i="9"/>
  <c r="E631" i="9"/>
  <c r="B632" i="9"/>
  <c r="C632" i="9"/>
  <c r="D632" i="9"/>
  <c r="E632" i="9"/>
  <c r="B633" i="9"/>
  <c r="C633" i="9"/>
  <c r="D633" i="9"/>
  <c r="E633" i="9"/>
  <c r="B634" i="9"/>
  <c r="C634" i="9"/>
  <c r="D634" i="9"/>
  <c r="E634" i="9"/>
  <c r="B635" i="9"/>
  <c r="C635" i="9"/>
  <c r="D635" i="9"/>
  <c r="E635" i="9"/>
  <c r="B636" i="9"/>
  <c r="C636" i="9"/>
  <c r="D636" i="9"/>
  <c r="E636" i="9"/>
  <c r="B637" i="9"/>
  <c r="C637" i="9"/>
  <c r="D637" i="9"/>
  <c r="E637" i="9"/>
  <c r="B638" i="9"/>
  <c r="C638" i="9"/>
  <c r="D638" i="9"/>
  <c r="E638" i="9"/>
  <c r="B639" i="9"/>
  <c r="C639" i="9"/>
  <c r="D639" i="9"/>
  <c r="E639" i="9"/>
  <c r="B640" i="9"/>
  <c r="C640" i="9"/>
  <c r="D640" i="9"/>
  <c r="E640" i="9"/>
  <c r="B641" i="9"/>
  <c r="C641" i="9"/>
  <c r="D641" i="9"/>
  <c r="E641" i="9"/>
  <c r="B642" i="9"/>
  <c r="C642" i="9"/>
  <c r="D642" i="9"/>
  <c r="E642" i="9"/>
  <c r="B643" i="9"/>
  <c r="C643" i="9"/>
  <c r="D643" i="9"/>
  <c r="E643" i="9"/>
  <c r="B644" i="9"/>
  <c r="C644" i="9"/>
  <c r="D644" i="9"/>
  <c r="E644" i="9"/>
  <c r="B645" i="9"/>
  <c r="C645" i="9"/>
  <c r="D645" i="9"/>
  <c r="E645" i="9"/>
  <c r="B646" i="9"/>
  <c r="C646" i="9"/>
  <c r="D646" i="9"/>
  <c r="E646" i="9"/>
  <c r="B647" i="9"/>
  <c r="C647" i="9"/>
  <c r="D647" i="9"/>
  <c r="E647" i="9"/>
  <c r="B648" i="9"/>
  <c r="C648" i="9"/>
  <c r="D648" i="9"/>
  <c r="E648" i="9"/>
  <c r="B649" i="9"/>
  <c r="C649" i="9"/>
  <c r="D649" i="9"/>
  <c r="E649" i="9"/>
  <c r="B650" i="9"/>
  <c r="C650" i="9"/>
  <c r="D650" i="9"/>
  <c r="E650" i="9"/>
  <c r="B651" i="9"/>
  <c r="C651" i="9"/>
  <c r="D651" i="9"/>
  <c r="E651" i="9"/>
  <c r="B652" i="9"/>
  <c r="C652" i="9"/>
  <c r="D652" i="9"/>
  <c r="E652" i="9"/>
  <c r="B653" i="9"/>
  <c r="C653" i="9"/>
  <c r="D653" i="9"/>
  <c r="E653" i="9"/>
  <c r="B654" i="9"/>
  <c r="C654" i="9"/>
  <c r="D654" i="9"/>
  <c r="E654" i="9"/>
  <c r="B655" i="9"/>
  <c r="C655" i="9"/>
  <c r="D655" i="9"/>
  <c r="E655" i="9"/>
  <c r="B656" i="9"/>
  <c r="C656" i="9"/>
  <c r="D656" i="9"/>
  <c r="E656" i="9"/>
  <c r="B657" i="9"/>
  <c r="C657" i="9"/>
  <c r="D657" i="9"/>
  <c r="E657" i="9"/>
  <c r="B658" i="9"/>
  <c r="C658" i="9"/>
  <c r="D658" i="9"/>
  <c r="E658" i="9"/>
  <c r="B659" i="9"/>
  <c r="C659" i="9"/>
  <c r="D659" i="9"/>
  <c r="E659" i="9"/>
  <c r="B660" i="9"/>
  <c r="C660" i="9"/>
  <c r="D660" i="9"/>
  <c r="E660" i="9"/>
  <c r="B661" i="9"/>
  <c r="C661" i="9"/>
  <c r="D661" i="9"/>
  <c r="E661" i="9"/>
  <c r="B662" i="9"/>
  <c r="C662" i="9"/>
  <c r="D662" i="9"/>
  <c r="E662" i="9"/>
  <c r="B663" i="9"/>
  <c r="C663" i="9"/>
  <c r="D663" i="9"/>
  <c r="E663" i="9"/>
  <c r="B664" i="9"/>
  <c r="C664" i="9"/>
  <c r="D664" i="9"/>
  <c r="E664" i="9"/>
  <c r="B665" i="9"/>
  <c r="C665" i="9"/>
  <c r="D665" i="9"/>
  <c r="E665" i="9"/>
  <c r="B666" i="9"/>
  <c r="C666" i="9"/>
  <c r="D666" i="9"/>
  <c r="E666" i="9"/>
  <c r="B667" i="9"/>
  <c r="C667" i="9"/>
  <c r="D667" i="9"/>
  <c r="E667" i="9"/>
  <c r="B668" i="9"/>
  <c r="C668" i="9"/>
  <c r="D668" i="9"/>
  <c r="E668" i="9"/>
  <c r="B669" i="9"/>
  <c r="C669" i="9"/>
  <c r="D669" i="9"/>
  <c r="E669" i="9"/>
  <c r="B670" i="9"/>
  <c r="C670" i="9"/>
  <c r="D670" i="9"/>
  <c r="E670" i="9"/>
  <c r="B671" i="9"/>
  <c r="C671" i="9"/>
  <c r="D671" i="9"/>
  <c r="E671" i="9"/>
  <c r="B672" i="9"/>
  <c r="C672" i="9"/>
  <c r="D672" i="9"/>
  <c r="E672" i="9"/>
  <c r="B673" i="9"/>
  <c r="C673" i="9"/>
  <c r="D673" i="9"/>
  <c r="E673" i="9"/>
  <c r="B674" i="9"/>
  <c r="C674" i="9"/>
  <c r="D674" i="9"/>
  <c r="E674" i="9"/>
  <c r="B675" i="9"/>
  <c r="C675" i="9"/>
  <c r="D675" i="9"/>
  <c r="E675" i="9"/>
  <c r="B676" i="9"/>
  <c r="C676" i="9"/>
  <c r="D676" i="9"/>
  <c r="E676" i="9"/>
  <c r="B677" i="9"/>
  <c r="C677" i="9"/>
  <c r="D677" i="9"/>
  <c r="E677" i="9"/>
  <c r="B678" i="9"/>
  <c r="C678" i="9"/>
  <c r="D678" i="9"/>
  <c r="E678" i="9"/>
  <c r="B679" i="9"/>
  <c r="C679" i="9"/>
  <c r="D679" i="9"/>
  <c r="E679" i="9"/>
  <c r="B680" i="9"/>
  <c r="C680" i="9"/>
  <c r="D680" i="9"/>
  <c r="E680" i="9"/>
  <c r="B681" i="9"/>
  <c r="C681" i="9"/>
  <c r="D681" i="9"/>
  <c r="E681" i="9"/>
  <c r="B682" i="9"/>
  <c r="C682" i="9"/>
  <c r="D682" i="9"/>
  <c r="E682" i="9"/>
  <c r="B683" i="9"/>
  <c r="C683" i="9"/>
  <c r="D683" i="9"/>
  <c r="E683" i="9"/>
  <c r="B684" i="9"/>
  <c r="C684" i="9"/>
  <c r="D684" i="9"/>
  <c r="E684" i="9"/>
  <c r="B685" i="9"/>
  <c r="C685" i="9"/>
  <c r="D685" i="9"/>
  <c r="E685" i="9"/>
  <c r="B686" i="9"/>
  <c r="C686" i="9"/>
  <c r="D686" i="9"/>
  <c r="E686" i="9"/>
  <c r="B687" i="9"/>
  <c r="C687" i="9"/>
  <c r="D687" i="9"/>
  <c r="E687" i="9"/>
  <c r="B688" i="9"/>
  <c r="C688" i="9"/>
  <c r="D688" i="9"/>
  <c r="E688" i="9"/>
  <c r="B689" i="9"/>
  <c r="C689" i="9"/>
  <c r="D689" i="9"/>
  <c r="E689" i="9"/>
  <c r="B690" i="9"/>
  <c r="C690" i="9"/>
  <c r="D690" i="9"/>
  <c r="E690" i="9"/>
  <c r="B691" i="9"/>
  <c r="C691" i="9"/>
  <c r="D691" i="9"/>
  <c r="E691" i="9"/>
  <c r="B692" i="9"/>
  <c r="C692" i="9"/>
  <c r="D692" i="9"/>
  <c r="E692" i="9"/>
  <c r="B693" i="9"/>
  <c r="C693" i="9"/>
  <c r="D693" i="9"/>
  <c r="E693" i="9"/>
  <c r="B694" i="9"/>
  <c r="C694" i="9"/>
  <c r="D694" i="9"/>
  <c r="E694" i="9"/>
  <c r="B695" i="9"/>
  <c r="C695" i="9"/>
  <c r="D695" i="9"/>
  <c r="E695" i="9"/>
  <c r="B696" i="9"/>
  <c r="C696" i="9"/>
  <c r="D696" i="9"/>
  <c r="E696" i="9"/>
  <c r="B697" i="9"/>
  <c r="C697" i="9"/>
  <c r="D697" i="9"/>
  <c r="E697" i="9"/>
  <c r="B698" i="9"/>
  <c r="C698" i="9"/>
  <c r="D698" i="9"/>
  <c r="E698" i="9"/>
  <c r="B699" i="9"/>
  <c r="C699" i="9"/>
  <c r="D699" i="9"/>
  <c r="E699" i="9"/>
  <c r="B700" i="9"/>
  <c r="C700" i="9"/>
  <c r="D700" i="9"/>
  <c r="E700" i="9"/>
  <c r="B701" i="9"/>
  <c r="C701" i="9"/>
  <c r="D701" i="9"/>
  <c r="E701" i="9"/>
  <c r="B702" i="9"/>
  <c r="C702" i="9"/>
  <c r="D702" i="9"/>
  <c r="E702" i="9"/>
  <c r="B703" i="9"/>
  <c r="C703" i="9"/>
  <c r="D703" i="9"/>
  <c r="E703" i="9"/>
  <c r="B704" i="9"/>
  <c r="C704" i="9"/>
  <c r="D704" i="9"/>
  <c r="E704" i="9"/>
  <c r="B705" i="9"/>
  <c r="C705" i="9"/>
  <c r="D705" i="9"/>
  <c r="E705" i="9"/>
  <c r="B706" i="9"/>
  <c r="C706" i="9"/>
  <c r="D706" i="9"/>
  <c r="E706" i="9"/>
  <c r="B707" i="9"/>
  <c r="C707" i="9"/>
  <c r="D707" i="9"/>
  <c r="E707" i="9"/>
  <c r="B708" i="9"/>
  <c r="C708" i="9"/>
  <c r="D708" i="9"/>
  <c r="E708" i="9"/>
  <c r="B709" i="9"/>
  <c r="C709" i="9"/>
  <c r="D709" i="9"/>
  <c r="E709" i="9"/>
  <c r="B710" i="9"/>
  <c r="C710" i="9"/>
  <c r="D710" i="9"/>
  <c r="E710" i="9"/>
  <c r="B711" i="9"/>
  <c r="C711" i="9"/>
  <c r="D711" i="9"/>
  <c r="E711" i="9"/>
  <c r="B712" i="9"/>
  <c r="C712" i="9"/>
  <c r="D712" i="9"/>
  <c r="E712" i="9"/>
  <c r="B713" i="9"/>
  <c r="C713" i="9"/>
  <c r="D713" i="9"/>
  <c r="E713" i="9"/>
  <c r="B714" i="9"/>
  <c r="C714" i="9"/>
  <c r="D714" i="9"/>
  <c r="E714" i="9"/>
  <c r="B715" i="9"/>
  <c r="C715" i="9"/>
  <c r="D715" i="9"/>
  <c r="E715" i="9"/>
  <c r="B716" i="9"/>
  <c r="C716" i="9"/>
  <c r="D716" i="9"/>
  <c r="E716" i="9"/>
  <c r="B717" i="9"/>
  <c r="C717" i="9"/>
  <c r="D717" i="9"/>
  <c r="E717" i="9"/>
  <c r="B718" i="9"/>
  <c r="C718" i="9"/>
  <c r="D718" i="9"/>
  <c r="E718" i="9"/>
  <c r="B719" i="9"/>
  <c r="C719" i="9"/>
  <c r="D719" i="9"/>
  <c r="E719" i="9"/>
  <c r="B720" i="9"/>
  <c r="C720" i="9"/>
  <c r="D720" i="9"/>
  <c r="E720" i="9"/>
  <c r="B721" i="9"/>
  <c r="C721" i="9"/>
  <c r="D721" i="9"/>
  <c r="E721" i="9"/>
  <c r="B722" i="9"/>
  <c r="C722" i="9"/>
  <c r="D722" i="9"/>
  <c r="E722" i="9"/>
  <c r="B723" i="9"/>
  <c r="C723" i="9"/>
  <c r="D723" i="9"/>
  <c r="E723" i="9"/>
  <c r="B724" i="9"/>
  <c r="C724" i="9"/>
  <c r="D724" i="9"/>
  <c r="E724" i="9"/>
  <c r="B725" i="9"/>
  <c r="C725" i="9"/>
  <c r="D725" i="9"/>
  <c r="E725" i="9"/>
  <c r="B726" i="9"/>
  <c r="C726" i="9"/>
  <c r="D726" i="9"/>
  <c r="E726" i="9"/>
  <c r="B727" i="9"/>
  <c r="C727" i="9"/>
  <c r="D727" i="9"/>
  <c r="E727" i="9"/>
  <c r="B728" i="9"/>
  <c r="C728" i="9"/>
  <c r="D728" i="9"/>
  <c r="E728" i="9"/>
  <c r="B729" i="9"/>
  <c r="C729" i="9"/>
  <c r="D729" i="9"/>
  <c r="E729" i="9"/>
  <c r="B730" i="9"/>
  <c r="C730" i="9"/>
  <c r="D730" i="9"/>
  <c r="E730" i="9"/>
  <c r="B731" i="9"/>
  <c r="C731" i="9"/>
  <c r="D731" i="9"/>
  <c r="E731" i="9"/>
  <c r="B732" i="9"/>
  <c r="C732" i="9"/>
  <c r="D732" i="9"/>
  <c r="E732" i="9"/>
  <c r="B733" i="9"/>
  <c r="C733" i="9"/>
  <c r="D733" i="9"/>
  <c r="E733" i="9"/>
  <c r="B734" i="9"/>
  <c r="C734" i="9"/>
  <c r="D734" i="9"/>
  <c r="E734" i="9"/>
  <c r="B735" i="9"/>
  <c r="C735" i="9"/>
  <c r="D735" i="9"/>
  <c r="E735" i="9"/>
  <c r="B736" i="9"/>
  <c r="C736" i="9"/>
  <c r="D736" i="9"/>
  <c r="E736" i="9"/>
  <c r="B737" i="9"/>
  <c r="C737" i="9"/>
  <c r="D737" i="9"/>
  <c r="E737" i="9"/>
  <c r="B738" i="9"/>
  <c r="C738" i="9"/>
  <c r="D738" i="9"/>
  <c r="E738" i="9"/>
  <c r="B739" i="9"/>
  <c r="C739" i="9"/>
  <c r="D739" i="9"/>
  <c r="E739" i="9"/>
  <c r="B740" i="9"/>
  <c r="C740" i="9"/>
  <c r="D740" i="9"/>
  <c r="E740" i="9"/>
  <c r="B741" i="9"/>
  <c r="C741" i="9"/>
  <c r="D741" i="9"/>
  <c r="E741" i="9"/>
  <c r="B742" i="9"/>
  <c r="C742" i="9"/>
  <c r="D742" i="9"/>
  <c r="E742" i="9"/>
  <c r="B743" i="9"/>
  <c r="C743" i="9"/>
  <c r="D743" i="9"/>
  <c r="E743" i="9"/>
  <c r="B744" i="9"/>
  <c r="C744" i="9"/>
  <c r="D744" i="9"/>
  <c r="E744" i="9"/>
  <c r="B745" i="9"/>
  <c r="C745" i="9"/>
  <c r="D745" i="9"/>
  <c r="E745" i="9"/>
  <c r="B746" i="9"/>
  <c r="C746" i="9"/>
  <c r="D746" i="9"/>
  <c r="E746" i="9"/>
  <c r="B747" i="9"/>
  <c r="C747" i="9"/>
  <c r="D747" i="9"/>
  <c r="E747" i="9"/>
  <c r="B748" i="9"/>
  <c r="C748" i="9"/>
  <c r="D748" i="9"/>
  <c r="E748" i="9"/>
  <c r="B749" i="9"/>
  <c r="C749" i="9"/>
  <c r="D749" i="9"/>
  <c r="E749" i="9"/>
  <c r="B750" i="9"/>
  <c r="C750" i="9"/>
  <c r="D750" i="9"/>
  <c r="E750" i="9"/>
  <c r="B751" i="9"/>
  <c r="C751" i="9"/>
  <c r="D751" i="9"/>
  <c r="E751" i="9"/>
  <c r="B752" i="9"/>
  <c r="C752" i="9"/>
  <c r="D752" i="9"/>
  <c r="E752" i="9"/>
  <c r="B753" i="9"/>
  <c r="C753" i="9"/>
  <c r="D753" i="9"/>
  <c r="E753" i="9"/>
  <c r="B754" i="9"/>
  <c r="C754" i="9"/>
  <c r="D754" i="9"/>
  <c r="E754" i="9"/>
  <c r="B755" i="9"/>
  <c r="C755" i="9"/>
  <c r="D755" i="9"/>
  <c r="E755" i="9"/>
  <c r="B756" i="9"/>
  <c r="C756" i="9"/>
  <c r="D756" i="9"/>
  <c r="E756" i="9"/>
  <c r="B757" i="9"/>
  <c r="C757" i="9"/>
  <c r="D757" i="9"/>
  <c r="E757" i="9"/>
  <c r="B758" i="9"/>
  <c r="C758" i="9"/>
  <c r="D758" i="9"/>
  <c r="E758" i="9"/>
  <c r="B759" i="9"/>
  <c r="C759" i="9"/>
  <c r="D759" i="9"/>
  <c r="E759" i="9"/>
  <c r="B760" i="9"/>
  <c r="C760" i="9"/>
  <c r="D760" i="9"/>
  <c r="E760" i="9"/>
  <c r="B761" i="9"/>
  <c r="C761" i="9"/>
  <c r="D761" i="9"/>
  <c r="E761" i="9"/>
  <c r="B762" i="9"/>
  <c r="C762" i="9"/>
  <c r="D762" i="9"/>
  <c r="E762" i="9"/>
  <c r="B763" i="9"/>
  <c r="C763" i="9"/>
  <c r="D763" i="9"/>
  <c r="E763" i="9"/>
  <c r="B764" i="9"/>
  <c r="C764" i="9"/>
  <c r="D764" i="9"/>
  <c r="E764" i="9"/>
  <c r="B765" i="9"/>
  <c r="C765" i="9"/>
  <c r="D765" i="9"/>
  <c r="E765" i="9"/>
  <c r="B766" i="9"/>
  <c r="C766" i="9"/>
  <c r="D766" i="9"/>
  <c r="E766" i="9"/>
  <c r="B767" i="9"/>
  <c r="C767" i="9"/>
  <c r="D767" i="9"/>
  <c r="E767" i="9"/>
  <c r="B768" i="9"/>
  <c r="C768" i="9"/>
  <c r="D768" i="9"/>
  <c r="E768" i="9"/>
  <c r="B769" i="9"/>
  <c r="C769" i="9"/>
  <c r="D769" i="9"/>
  <c r="E769" i="9"/>
  <c r="B770" i="9"/>
  <c r="C770" i="9"/>
  <c r="D770" i="9"/>
  <c r="E770" i="9"/>
  <c r="B771" i="9"/>
  <c r="C771" i="9"/>
  <c r="D771" i="9"/>
  <c r="E771" i="9"/>
  <c r="B772" i="9"/>
  <c r="C772" i="9"/>
  <c r="D772" i="9"/>
  <c r="E772" i="9"/>
  <c r="B773" i="9"/>
  <c r="C773" i="9"/>
  <c r="D773" i="9"/>
  <c r="E773" i="9"/>
  <c r="B774" i="9"/>
  <c r="C774" i="9"/>
  <c r="D774" i="9"/>
  <c r="E774" i="9"/>
  <c r="B775" i="9"/>
  <c r="C775" i="9"/>
  <c r="D775" i="9"/>
  <c r="E775" i="9"/>
  <c r="B776" i="9"/>
  <c r="C776" i="9"/>
  <c r="D776" i="9"/>
  <c r="E776" i="9"/>
  <c r="B777" i="9"/>
  <c r="C777" i="9"/>
  <c r="D777" i="9"/>
  <c r="E777" i="9"/>
  <c r="B778" i="9"/>
  <c r="C778" i="9"/>
  <c r="D778" i="9"/>
  <c r="E778" i="9"/>
  <c r="B779" i="9"/>
  <c r="C779" i="9"/>
  <c r="D779" i="9"/>
  <c r="E779" i="9"/>
  <c r="B780" i="9"/>
  <c r="C780" i="9"/>
  <c r="D780" i="9"/>
  <c r="E780" i="9"/>
  <c r="B781" i="9"/>
  <c r="C781" i="9"/>
  <c r="D781" i="9"/>
  <c r="E781" i="9"/>
  <c r="B782" i="9"/>
  <c r="C782" i="9"/>
  <c r="D782" i="9"/>
  <c r="E782" i="9"/>
  <c r="B783" i="9"/>
  <c r="C783" i="9"/>
  <c r="D783" i="9"/>
  <c r="E783" i="9"/>
  <c r="B784" i="9"/>
  <c r="C784" i="9"/>
  <c r="D784" i="9"/>
  <c r="E784" i="9"/>
  <c r="B785" i="9"/>
  <c r="C785" i="9"/>
  <c r="D785" i="9"/>
  <c r="E785" i="9"/>
  <c r="B786" i="9"/>
  <c r="C786" i="9"/>
  <c r="D786" i="9"/>
  <c r="E786" i="9"/>
  <c r="B787" i="9"/>
  <c r="C787" i="9"/>
  <c r="D787" i="9"/>
  <c r="E787" i="9"/>
  <c r="B788" i="9"/>
  <c r="C788" i="9"/>
  <c r="D788" i="9"/>
  <c r="E788" i="9"/>
  <c r="B789" i="9"/>
  <c r="C789" i="9"/>
  <c r="D789" i="9"/>
  <c r="E789" i="9"/>
  <c r="B790" i="9"/>
  <c r="C790" i="9"/>
  <c r="D790" i="9"/>
  <c r="E790" i="9"/>
  <c r="B791" i="9"/>
  <c r="C791" i="9"/>
  <c r="D791" i="9"/>
  <c r="E791" i="9"/>
  <c r="B792" i="9"/>
  <c r="C792" i="9"/>
  <c r="D792" i="9"/>
  <c r="E792" i="9"/>
  <c r="B793" i="9"/>
  <c r="C793" i="9"/>
  <c r="D793" i="9"/>
  <c r="E793" i="9"/>
  <c r="B794" i="9"/>
  <c r="C794" i="9"/>
  <c r="D794" i="9"/>
  <c r="E794" i="9"/>
  <c r="B795" i="9"/>
  <c r="C795" i="9"/>
  <c r="D795" i="9"/>
  <c r="E795" i="9"/>
  <c r="B796" i="9"/>
  <c r="C796" i="9"/>
  <c r="D796" i="9"/>
  <c r="E796" i="9"/>
  <c r="B797" i="9"/>
  <c r="C797" i="9"/>
  <c r="D797" i="9"/>
  <c r="E797" i="9"/>
  <c r="B798" i="9"/>
  <c r="C798" i="9"/>
  <c r="D798" i="9"/>
  <c r="E798" i="9"/>
  <c r="B799" i="9"/>
  <c r="C799" i="9"/>
  <c r="D799" i="9"/>
  <c r="E799" i="9"/>
  <c r="B800" i="9"/>
  <c r="C800" i="9"/>
  <c r="D800" i="9"/>
  <c r="E800" i="9"/>
  <c r="B801" i="9"/>
  <c r="C801" i="9"/>
  <c r="D801" i="9"/>
  <c r="E801" i="9"/>
  <c r="B802" i="9"/>
  <c r="C802" i="9"/>
  <c r="D802" i="9"/>
  <c r="E802" i="9"/>
  <c r="B803" i="9"/>
  <c r="C803" i="9"/>
  <c r="D803" i="9"/>
  <c r="E803" i="9"/>
  <c r="B804" i="9"/>
  <c r="C804" i="9"/>
  <c r="D804" i="9"/>
  <c r="E804" i="9"/>
  <c r="B805" i="9"/>
  <c r="C805" i="9"/>
  <c r="D805" i="9"/>
  <c r="E805" i="9"/>
  <c r="B806" i="9"/>
  <c r="C806" i="9"/>
  <c r="D806" i="9"/>
  <c r="E806" i="9"/>
  <c r="B807" i="9"/>
  <c r="C807" i="9"/>
  <c r="D807" i="9"/>
  <c r="E807" i="9"/>
  <c r="B808" i="9"/>
  <c r="C808" i="9"/>
  <c r="D808" i="9"/>
  <c r="E808" i="9"/>
  <c r="B809" i="9"/>
  <c r="C809" i="9"/>
  <c r="D809" i="9"/>
  <c r="E809" i="9"/>
  <c r="B810" i="9"/>
  <c r="C810" i="9"/>
  <c r="D810" i="9"/>
  <c r="E810" i="9"/>
  <c r="B811" i="9"/>
  <c r="C811" i="9"/>
  <c r="D811" i="9"/>
  <c r="E811" i="9"/>
  <c r="B812" i="9"/>
  <c r="C812" i="9"/>
  <c r="D812" i="9"/>
  <c r="E812" i="9"/>
  <c r="B813" i="9"/>
  <c r="C813" i="9"/>
  <c r="D813" i="9"/>
  <c r="E813" i="9"/>
  <c r="B814" i="9"/>
  <c r="C814" i="9"/>
  <c r="D814" i="9"/>
  <c r="E814" i="9"/>
  <c r="B815" i="9"/>
  <c r="C815" i="9"/>
  <c r="D815" i="9"/>
  <c r="E815" i="9"/>
  <c r="B816" i="9"/>
  <c r="C816" i="9"/>
  <c r="D816" i="9"/>
  <c r="E816" i="9"/>
  <c r="B817" i="9"/>
  <c r="C817" i="9"/>
  <c r="D817" i="9"/>
  <c r="E817" i="9"/>
  <c r="B818" i="9"/>
  <c r="C818" i="9"/>
  <c r="D818" i="9"/>
  <c r="E818" i="9"/>
  <c r="B819" i="9"/>
  <c r="C819" i="9"/>
  <c r="D819" i="9"/>
  <c r="E819" i="9"/>
  <c r="B820" i="9"/>
  <c r="C820" i="9"/>
  <c r="D820" i="9"/>
  <c r="E820" i="9"/>
  <c r="B821" i="9"/>
  <c r="C821" i="9"/>
  <c r="D821" i="9"/>
  <c r="E821" i="9"/>
  <c r="B822" i="9"/>
  <c r="C822" i="9"/>
  <c r="D822" i="9"/>
  <c r="E822" i="9"/>
  <c r="B823" i="9"/>
  <c r="C823" i="9"/>
  <c r="D823" i="9"/>
  <c r="E823" i="9"/>
  <c r="B824" i="9"/>
  <c r="C824" i="9"/>
  <c r="D824" i="9"/>
  <c r="E824" i="9"/>
  <c r="B825" i="9"/>
  <c r="C825" i="9"/>
  <c r="D825" i="9"/>
  <c r="E825" i="9"/>
  <c r="B826" i="9"/>
  <c r="C826" i="9"/>
  <c r="D826" i="9"/>
  <c r="E826" i="9"/>
  <c r="B827" i="9"/>
  <c r="C827" i="9"/>
  <c r="D827" i="9"/>
  <c r="E827" i="9"/>
  <c r="B828" i="9"/>
  <c r="C828" i="9"/>
  <c r="D828" i="9"/>
  <c r="E828" i="9"/>
  <c r="B829" i="9"/>
  <c r="C829" i="9"/>
  <c r="D829" i="9"/>
  <c r="E829" i="9"/>
  <c r="B830" i="9"/>
  <c r="C830" i="9"/>
  <c r="D830" i="9"/>
  <c r="E830" i="9"/>
  <c r="B831" i="9"/>
  <c r="C831" i="9"/>
  <c r="D831" i="9"/>
  <c r="E831" i="9"/>
  <c r="B832" i="9"/>
  <c r="C832" i="9"/>
  <c r="D832" i="9"/>
  <c r="E832" i="9"/>
  <c r="B833" i="9"/>
  <c r="C833" i="9"/>
  <c r="D833" i="9"/>
  <c r="E833" i="9"/>
  <c r="B834" i="9"/>
  <c r="C834" i="9"/>
  <c r="D834" i="9"/>
  <c r="E834" i="9"/>
  <c r="B835" i="9"/>
  <c r="C835" i="9"/>
  <c r="D835" i="9"/>
  <c r="E835" i="9"/>
  <c r="B836" i="9"/>
  <c r="C836" i="9"/>
  <c r="D836" i="9"/>
  <c r="E836" i="9"/>
  <c r="B837" i="9"/>
  <c r="C837" i="9"/>
  <c r="D837" i="9"/>
  <c r="E837" i="9"/>
  <c r="B838" i="9"/>
  <c r="C838" i="9"/>
  <c r="D838" i="9"/>
  <c r="E838" i="9"/>
  <c r="B839" i="9"/>
  <c r="C839" i="9"/>
  <c r="D839" i="9"/>
  <c r="E839" i="9"/>
  <c r="B840" i="9"/>
  <c r="C840" i="9"/>
  <c r="D840" i="9"/>
  <c r="E840" i="9"/>
  <c r="B841" i="9"/>
  <c r="C841" i="9"/>
  <c r="D841" i="9"/>
  <c r="E841" i="9"/>
  <c r="B842" i="9"/>
  <c r="C842" i="9"/>
  <c r="D842" i="9"/>
  <c r="E842" i="9"/>
  <c r="B843" i="9"/>
  <c r="C843" i="9"/>
  <c r="D843" i="9"/>
  <c r="E843" i="9"/>
  <c r="B844" i="9"/>
  <c r="C844" i="9"/>
  <c r="D844" i="9"/>
  <c r="E844" i="9"/>
  <c r="B845" i="9"/>
  <c r="C845" i="9"/>
  <c r="D845" i="9"/>
  <c r="E845" i="9"/>
  <c r="B846" i="9"/>
  <c r="C846" i="9"/>
  <c r="D846" i="9"/>
  <c r="E846" i="9"/>
  <c r="B847" i="9"/>
  <c r="C847" i="9"/>
  <c r="D847" i="9"/>
  <c r="E847" i="9"/>
  <c r="B848" i="9"/>
  <c r="C848" i="9"/>
  <c r="D848" i="9"/>
  <c r="E848" i="9"/>
  <c r="B849" i="9"/>
  <c r="C849" i="9"/>
  <c r="D849" i="9"/>
  <c r="E849" i="9"/>
  <c r="B850" i="9"/>
  <c r="C850" i="9"/>
  <c r="D850" i="9"/>
  <c r="E850" i="9"/>
  <c r="B851" i="9"/>
  <c r="C851" i="9"/>
  <c r="D851" i="9"/>
  <c r="E851" i="9"/>
  <c r="B852" i="9"/>
  <c r="C852" i="9"/>
  <c r="D852" i="9"/>
  <c r="E852" i="9"/>
  <c r="B853" i="9"/>
  <c r="C853" i="9"/>
  <c r="D853" i="9"/>
  <c r="E853" i="9"/>
  <c r="B854" i="9"/>
  <c r="C854" i="9"/>
  <c r="D854" i="9"/>
  <c r="E854" i="9"/>
  <c r="B855" i="9"/>
  <c r="C855" i="9"/>
  <c r="D855" i="9"/>
  <c r="E855" i="9"/>
  <c r="B856" i="9"/>
  <c r="C856" i="9"/>
  <c r="D856" i="9"/>
  <c r="E856" i="9"/>
  <c r="B857" i="9"/>
  <c r="C857" i="9"/>
  <c r="D857" i="9"/>
  <c r="E857" i="9"/>
  <c r="B858" i="9"/>
  <c r="C858" i="9"/>
  <c r="D858" i="9"/>
  <c r="E858" i="9"/>
  <c r="B859" i="9"/>
  <c r="C859" i="9"/>
  <c r="D859" i="9"/>
  <c r="E859" i="9"/>
  <c r="B860" i="9"/>
  <c r="C860" i="9"/>
  <c r="D860" i="9"/>
  <c r="E860" i="9"/>
  <c r="B861" i="9"/>
  <c r="C861" i="9"/>
  <c r="D861" i="9"/>
  <c r="E861" i="9"/>
  <c r="B862" i="9"/>
  <c r="C862" i="9"/>
  <c r="D862" i="9"/>
  <c r="E862" i="9"/>
  <c r="B863" i="9"/>
  <c r="C863" i="9"/>
  <c r="D863" i="9"/>
  <c r="E863" i="9"/>
  <c r="B864" i="9"/>
  <c r="C864" i="9"/>
  <c r="D864" i="9"/>
  <c r="E864" i="9"/>
  <c r="B865" i="9"/>
  <c r="C865" i="9"/>
  <c r="D865" i="9"/>
  <c r="E865" i="9"/>
  <c r="B866" i="9"/>
  <c r="C866" i="9"/>
  <c r="D866" i="9"/>
  <c r="E866" i="9"/>
  <c r="B867" i="9"/>
  <c r="C867" i="9"/>
  <c r="D867" i="9"/>
  <c r="E867" i="9"/>
  <c r="B868" i="9"/>
  <c r="C868" i="9"/>
  <c r="D868" i="9"/>
  <c r="E868" i="9"/>
  <c r="B869" i="9"/>
  <c r="C869" i="9"/>
  <c r="D869" i="9"/>
  <c r="E869" i="9"/>
  <c r="B870" i="9"/>
  <c r="C870" i="9"/>
  <c r="D870" i="9"/>
  <c r="E870" i="9"/>
  <c r="B871" i="9"/>
  <c r="C871" i="9"/>
  <c r="D871" i="9"/>
  <c r="E871" i="9"/>
  <c r="B872" i="9"/>
  <c r="C872" i="9"/>
  <c r="D872" i="9"/>
  <c r="E872" i="9"/>
  <c r="B873" i="9"/>
  <c r="C873" i="9"/>
  <c r="D873" i="9"/>
  <c r="E873" i="9"/>
  <c r="B874" i="9"/>
  <c r="C874" i="9"/>
  <c r="D874" i="9"/>
  <c r="E874" i="9"/>
  <c r="B875" i="9"/>
  <c r="C875" i="9"/>
  <c r="D875" i="9"/>
  <c r="E875" i="9"/>
  <c r="B876" i="9"/>
  <c r="C876" i="9"/>
  <c r="D876" i="9"/>
  <c r="E876" i="9"/>
  <c r="B877" i="9"/>
  <c r="C877" i="9"/>
  <c r="D877" i="9"/>
  <c r="E877" i="9"/>
  <c r="B878" i="9"/>
  <c r="C878" i="9"/>
  <c r="D878" i="9"/>
  <c r="E878" i="9"/>
  <c r="B879" i="9"/>
  <c r="C879" i="9"/>
  <c r="D879" i="9"/>
  <c r="E879" i="9"/>
  <c r="B880" i="9"/>
  <c r="C880" i="9"/>
  <c r="D880" i="9"/>
  <c r="E880" i="9"/>
  <c r="B881" i="9"/>
  <c r="C881" i="9"/>
  <c r="D881" i="9"/>
  <c r="E881" i="9"/>
  <c r="B882" i="9"/>
  <c r="C882" i="9"/>
  <c r="D882" i="9"/>
  <c r="E882" i="9"/>
  <c r="B883" i="9"/>
  <c r="C883" i="9"/>
  <c r="D883" i="9"/>
  <c r="E883" i="9"/>
  <c r="B884" i="9"/>
  <c r="C884" i="9"/>
  <c r="D884" i="9"/>
  <c r="E884" i="9"/>
  <c r="B885" i="9"/>
  <c r="C885" i="9"/>
  <c r="D885" i="9"/>
  <c r="E885" i="9"/>
  <c r="B886" i="9"/>
  <c r="C886" i="9"/>
  <c r="D886" i="9"/>
  <c r="E886" i="9"/>
  <c r="B887" i="9"/>
  <c r="C887" i="9"/>
  <c r="D887" i="9"/>
  <c r="E887" i="9"/>
  <c r="B888" i="9"/>
  <c r="C888" i="9"/>
  <c r="D888" i="9"/>
  <c r="E888" i="9"/>
  <c r="B889" i="9"/>
  <c r="C889" i="9"/>
  <c r="D889" i="9"/>
  <c r="E889" i="9"/>
  <c r="B890" i="9"/>
  <c r="C890" i="9"/>
  <c r="D890" i="9"/>
  <c r="E890" i="9"/>
  <c r="B891" i="9"/>
  <c r="C891" i="9"/>
  <c r="D891" i="9"/>
  <c r="E891" i="9"/>
  <c r="B892" i="9"/>
  <c r="C892" i="9"/>
  <c r="D892" i="9"/>
  <c r="E892" i="9"/>
  <c r="B893" i="9"/>
  <c r="C893" i="9"/>
  <c r="D893" i="9"/>
  <c r="E893" i="9"/>
  <c r="B894" i="9"/>
  <c r="C894" i="9"/>
  <c r="D894" i="9"/>
  <c r="E894" i="9"/>
  <c r="B895" i="9"/>
  <c r="C895" i="9"/>
  <c r="D895" i="9"/>
  <c r="E895" i="9"/>
  <c r="B896" i="9"/>
  <c r="C896" i="9"/>
  <c r="D896" i="9"/>
  <c r="E896" i="9"/>
  <c r="B897" i="9"/>
  <c r="C897" i="9"/>
  <c r="D897" i="9"/>
  <c r="E897" i="9"/>
  <c r="B898" i="9"/>
  <c r="C898" i="9"/>
  <c r="D898" i="9"/>
  <c r="E898" i="9"/>
  <c r="B899" i="9"/>
  <c r="C899" i="9"/>
  <c r="D899" i="9"/>
  <c r="E899" i="9"/>
  <c r="B900" i="9"/>
  <c r="C900" i="9"/>
  <c r="D900" i="9"/>
  <c r="E900" i="9"/>
  <c r="B901" i="9"/>
  <c r="C901" i="9"/>
  <c r="D901" i="9"/>
  <c r="E901" i="9"/>
  <c r="B902" i="9"/>
  <c r="C902" i="9"/>
  <c r="D902" i="9"/>
  <c r="E902" i="9"/>
  <c r="B903" i="9"/>
  <c r="C903" i="9"/>
  <c r="D903" i="9"/>
  <c r="E903" i="9"/>
  <c r="B904" i="9"/>
  <c r="C904" i="9"/>
  <c r="D904" i="9"/>
  <c r="E904" i="9"/>
  <c r="B905" i="9"/>
  <c r="C905" i="9"/>
  <c r="D905" i="9"/>
  <c r="E905" i="9"/>
  <c r="B906" i="9"/>
  <c r="C906" i="9"/>
  <c r="D906" i="9"/>
  <c r="E906" i="9"/>
  <c r="B907" i="9"/>
  <c r="C907" i="9"/>
  <c r="D907" i="9"/>
  <c r="E907" i="9"/>
  <c r="B908" i="9"/>
  <c r="C908" i="9"/>
  <c r="D908" i="9"/>
  <c r="E908" i="9"/>
  <c r="B909" i="9"/>
  <c r="C909" i="9"/>
  <c r="D909" i="9"/>
  <c r="E909" i="9"/>
  <c r="B910" i="9"/>
  <c r="C910" i="9"/>
  <c r="D910" i="9"/>
  <c r="E910" i="9"/>
  <c r="B911" i="9"/>
  <c r="C911" i="9"/>
  <c r="D911" i="9"/>
  <c r="E911" i="9"/>
  <c r="B912" i="9"/>
  <c r="C912" i="9"/>
  <c r="D912" i="9"/>
  <c r="E912" i="9"/>
  <c r="B913" i="9"/>
  <c r="C913" i="9"/>
  <c r="D913" i="9"/>
  <c r="E913" i="9"/>
  <c r="B914" i="9"/>
  <c r="C914" i="9"/>
  <c r="D914" i="9"/>
  <c r="E914" i="9"/>
  <c r="B915" i="9"/>
  <c r="C915" i="9"/>
  <c r="D915" i="9"/>
  <c r="E915" i="9"/>
  <c r="B916" i="9"/>
  <c r="C916" i="9"/>
  <c r="D916" i="9"/>
  <c r="E916" i="9"/>
  <c r="B917" i="9"/>
  <c r="C917" i="9"/>
  <c r="D917" i="9"/>
  <c r="E917" i="9"/>
  <c r="B918" i="9"/>
  <c r="C918" i="9"/>
  <c r="D918" i="9"/>
  <c r="E918" i="9"/>
  <c r="B919" i="9"/>
  <c r="C919" i="9"/>
  <c r="D919" i="9"/>
  <c r="E919" i="9"/>
  <c r="B920" i="9"/>
  <c r="C920" i="9"/>
  <c r="D920" i="9"/>
  <c r="E920" i="9"/>
  <c r="B921" i="9"/>
  <c r="C921" i="9"/>
  <c r="D921" i="9"/>
  <c r="E921" i="9"/>
  <c r="B922" i="9"/>
  <c r="C922" i="9"/>
  <c r="D922" i="9"/>
  <c r="E922" i="9"/>
  <c r="B923" i="9"/>
  <c r="C923" i="9"/>
  <c r="D923" i="9"/>
  <c r="E923" i="9"/>
  <c r="B924" i="9"/>
  <c r="C924" i="9"/>
  <c r="D924" i="9"/>
  <c r="E924" i="9"/>
  <c r="B925" i="9"/>
  <c r="C925" i="9"/>
  <c r="D925" i="9"/>
  <c r="E925" i="9"/>
  <c r="B926" i="9"/>
  <c r="C926" i="9"/>
  <c r="D926" i="9"/>
  <c r="E926" i="9"/>
  <c r="B927" i="9"/>
  <c r="C927" i="9"/>
  <c r="D927" i="9"/>
  <c r="E927" i="9"/>
  <c r="B928" i="9"/>
  <c r="C928" i="9"/>
  <c r="D928" i="9"/>
  <c r="E928" i="9"/>
  <c r="B929" i="9"/>
  <c r="C929" i="9"/>
  <c r="D929" i="9"/>
  <c r="E929" i="9"/>
  <c r="B930" i="9"/>
  <c r="C930" i="9"/>
  <c r="D930" i="9"/>
  <c r="E930" i="9"/>
  <c r="B931" i="9"/>
  <c r="C931" i="9"/>
  <c r="D931" i="9"/>
  <c r="E931" i="9"/>
  <c r="B932" i="9"/>
  <c r="C932" i="9"/>
  <c r="D932" i="9"/>
  <c r="E932" i="9"/>
  <c r="B933" i="9"/>
  <c r="C933" i="9"/>
  <c r="D933" i="9"/>
  <c r="E933" i="9"/>
  <c r="B934" i="9"/>
  <c r="C934" i="9"/>
  <c r="D934" i="9"/>
  <c r="E934" i="9"/>
  <c r="B935" i="9"/>
  <c r="C935" i="9"/>
  <c r="D935" i="9"/>
  <c r="E935" i="9"/>
  <c r="B936" i="9"/>
  <c r="C936" i="9"/>
  <c r="D936" i="9"/>
  <c r="E936" i="9"/>
  <c r="B937" i="9"/>
  <c r="C937" i="9"/>
  <c r="D937" i="9"/>
  <c r="E937" i="9"/>
  <c r="B938" i="9"/>
  <c r="C938" i="9"/>
  <c r="D938" i="9"/>
  <c r="E938" i="9"/>
  <c r="B939" i="9"/>
  <c r="C939" i="9"/>
  <c r="D939" i="9"/>
  <c r="E939" i="9"/>
  <c r="B940" i="9"/>
  <c r="C940" i="9"/>
  <c r="D940" i="9"/>
  <c r="E940" i="9"/>
  <c r="B941" i="9"/>
  <c r="C941" i="9"/>
  <c r="D941" i="9"/>
  <c r="E941" i="9"/>
  <c r="B942" i="9"/>
  <c r="C942" i="9"/>
  <c r="D942" i="9"/>
  <c r="E942" i="9"/>
  <c r="B943" i="9"/>
  <c r="C943" i="9"/>
  <c r="D943" i="9"/>
  <c r="E943" i="9"/>
  <c r="B944" i="9"/>
  <c r="C944" i="9"/>
  <c r="D944" i="9"/>
  <c r="E944" i="9"/>
  <c r="B945" i="9"/>
  <c r="C945" i="9"/>
  <c r="D945" i="9"/>
  <c r="E945" i="9"/>
  <c r="B946" i="9"/>
  <c r="C946" i="9"/>
  <c r="D946" i="9"/>
  <c r="E946" i="9"/>
  <c r="B947" i="9"/>
  <c r="C947" i="9"/>
  <c r="D947" i="9"/>
  <c r="E947" i="9"/>
  <c r="B948" i="9"/>
  <c r="C948" i="9"/>
  <c r="D948" i="9"/>
  <c r="E948" i="9"/>
  <c r="B949" i="9"/>
  <c r="C949" i="9"/>
  <c r="D949" i="9"/>
  <c r="E949" i="9"/>
  <c r="B950" i="9"/>
  <c r="C950" i="9"/>
  <c r="D950" i="9"/>
  <c r="E950" i="9"/>
  <c r="B951" i="9"/>
  <c r="C951" i="9"/>
  <c r="D951" i="9"/>
  <c r="E951" i="9"/>
  <c r="B952" i="9"/>
  <c r="C952" i="9"/>
  <c r="D952" i="9"/>
  <c r="E952" i="9"/>
  <c r="B953" i="9"/>
  <c r="C953" i="9"/>
  <c r="D953" i="9"/>
  <c r="E953" i="9"/>
  <c r="B954" i="9"/>
  <c r="C954" i="9"/>
  <c r="D954" i="9"/>
  <c r="E954" i="9"/>
  <c r="B955" i="9"/>
  <c r="C955" i="9"/>
  <c r="D955" i="9"/>
  <c r="E955" i="9"/>
  <c r="B956" i="9"/>
  <c r="C956" i="9"/>
  <c r="D956" i="9"/>
  <c r="E956" i="9"/>
  <c r="B957" i="9"/>
  <c r="C957" i="9"/>
  <c r="D957" i="9"/>
  <c r="E957" i="9"/>
  <c r="B958" i="9"/>
  <c r="C958" i="9"/>
  <c r="D958" i="9"/>
  <c r="E958" i="9"/>
  <c r="B959" i="9"/>
  <c r="C959" i="9"/>
  <c r="D959" i="9"/>
  <c r="E959" i="9"/>
  <c r="B960" i="9"/>
  <c r="C960" i="9"/>
  <c r="D960" i="9"/>
  <c r="E960" i="9"/>
  <c r="B961" i="9"/>
  <c r="C961" i="9"/>
  <c r="D961" i="9"/>
  <c r="E961" i="9"/>
  <c r="B962" i="9"/>
  <c r="C962" i="9"/>
  <c r="D962" i="9"/>
  <c r="E962" i="9"/>
  <c r="B963" i="9"/>
  <c r="C963" i="9"/>
  <c r="D963" i="9"/>
  <c r="E963" i="9"/>
  <c r="B964" i="9"/>
  <c r="C964" i="9"/>
  <c r="D964" i="9"/>
  <c r="E964" i="9"/>
  <c r="B965" i="9"/>
  <c r="C965" i="9"/>
  <c r="D965" i="9"/>
  <c r="E965" i="9"/>
  <c r="B966" i="9"/>
  <c r="C966" i="9"/>
  <c r="D966" i="9"/>
  <c r="E966" i="9"/>
  <c r="B967" i="9"/>
  <c r="C967" i="9"/>
  <c r="D967" i="9"/>
  <c r="E967" i="9"/>
  <c r="B968" i="9"/>
  <c r="C968" i="9"/>
  <c r="D968" i="9"/>
  <c r="E968" i="9"/>
  <c r="B969" i="9"/>
  <c r="C969" i="9"/>
  <c r="D969" i="9"/>
  <c r="E969" i="9"/>
  <c r="B970" i="9"/>
  <c r="C970" i="9"/>
  <c r="D970" i="9"/>
  <c r="E970" i="9"/>
  <c r="B971" i="9"/>
  <c r="C971" i="9"/>
  <c r="D971" i="9"/>
  <c r="E971" i="9"/>
  <c r="B972" i="9"/>
  <c r="C972" i="9"/>
  <c r="D972" i="9"/>
  <c r="E972" i="9"/>
  <c r="B973" i="9"/>
  <c r="C973" i="9"/>
  <c r="D973" i="9"/>
  <c r="E973" i="9"/>
  <c r="B974" i="9"/>
  <c r="C974" i="9"/>
  <c r="D974" i="9"/>
  <c r="E974" i="9"/>
  <c r="B975" i="9"/>
  <c r="C975" i="9"/>
  <c r="D975" i="9"/>
  <c r="E975" i="9"/>
  <c r="B976" i="9"/>
  <c r="C976" i="9"/>
  <c r="D976" i="9"/>
  <c r="E976" i="9"/>
  <c r="B977" i="9"/>
  <c r="C977" i="9"/>
  <c r="D977" i="9"/>
  <c r="E977" i="9"/>
  <c r="B978" i="9"/>
  <c r="C978" i="9"/>
  <c r="D978" i="9"/>
  <c r="E978" i="9"/>
  <c r="B979" i="9"/>
  <c r="C979" i="9"/>
  <c r="D979" i="9"/>
  <c r="E979" i="9"/>
  <c r="B980" i="9"/>
  <c r="C980" i="9"/>
  <c r="D980" i="9"/>
  <c r="E980" i="9"/>
  <c r="B981" i="9"/>
  <c r="C981" i="9"/>
  <c r="D981" i="9"/>
  <c r="E981" i="9"/>
  <c r="B982" i="9"/>
  <c r="C982" i="9"/>
  <c r="D982" i="9"/>
  <c r="E982" i="9"/>
  <c r="B983" i="9"/>
  <c r="C983" i="9"/>
  <c r="D983" i="9"/>
  <c r="E983" i="9"/>
  <c r="B984" i="9"/>
  <c r="C984" i="9"/>
  <c r="D984" i="9"/>
  <c r="E984" i="9"/>
  <c r="B985" i="9"/>
  <c r="C985" i="9"/>
  <c r="D985" i="9"/>
  <c r="E985" i="9"/>
  <c r="B986" i="9"/>
  <c r="C986" i="9"/>
  <c r="D986" i="9"/>
  <c r="E986" i="9"/>
  <c r="B987" i="9"/>
  <c r="C987" i="9"/>
  <c r="D987" i="9"/>
  <c r="E987" i="9"/>
  <c r="B988" i="9"/>
  <c r="C988" i="9"/>
  <c r="D988" i="9"/>
  <c r="E988" i="9"/>
  <c r="B989" i="9"/>
  <c r="C989" i="9"/>
  <c r="D989" i="9"/>
  <c r="E989" i="9"/>
  <c r="B990" i="9"/>
  <c r="C990" i="9"/>
  <c r="D990" i="9"/>
  <c r="E990" i="9"/>
  <c r="B991" i="9"/>
  <c r="C991" i="9"/>
  <c r="D991" i="9"/>
  <c r="E991" i="9"/>
  <c r="B992" i="9"/>
  <c r="C992" i="9"/>
  <c r="D992" i="9"/>
  <c r="E992" i="9"/>
  <c r="B993" i="9"/>
  <c r="C993" i="9"/>
  <c r="D993" i="9"/>
  <c r="E993" i="9"/>
  <c r="B994" i="9"/>
  <c r="C994" i="9"/>
  <c r="D994" i="9"/>
  <c r="E994" i="9"/>
  <c r="B995" i="9"/>
  <c r="C995" i="9"/>
  <c r="D995" i="9"/>
  <c r="E995" i="9"/>
  <c r="B996" i="9"/>
  <c r="C996" i="9"/>
  <c r="D996" i="9"/>
  <c r="E996" i="9"/>
  <c r="B997" i="9"/>
  <c r="C997" i="9"/>
  <c r="D997" i="9"/>
  <c r="E997" i="9"/>
  <c r="B998" i="9"/>
  <c r="C998" i="9"/>
  <c r="D998" i="9"/>
  <c r="E998" i="9"/>
  <c r="B999" i="9"/>
  <c r="C999" i="9"/>
  <c r="D999" i="9"/>
  <c r="E999" i="9"/>
  <c r="B1000" i="9"/>
  <c r="C1000" i="9"/>
  <c r="D1000" i="9"/>
  <c r="E1000" i="9"/>
  <c r="B1001" i="9"/>
  <c r="C1001" i="9"/>
  <c r="D1001" i="9"/>
  <c r="E1001" i="9"/>
  <c r="B1002" i="9"/>
  <c r="C1002" i="9"/>
  <c r="D1002" i="9"/>
  <c r="E1002" i="9"/>
  <c r="B1003" i="9"/>
  <c r="C1003" i="9"/>
  <c r="D1003" i="9"/>
  <c r="E1003" i="9"/>
  <c r="B1004" i="9"/>
  <c r="C1004" i="9"/>
  <c r="D1004" i="9"/>
  <c r="E1004" i="9"/>
  <c r="B1005" i="9"/>
  <c r="C1005" i="9"/>
  <c r="D1005" i="9"/>
  <c r="E1005" i="9"/>
  <c r="B1006" i="9"/>
  <c r="C1006" i="9"/>
  <c r="D1006" i="9"/>
  <c r="E1006" i="9"/>
  <c r="B1007" i="9"/>
  <c r="C1007" i="9"/>
  <c r="D1007" i="9"/>
  <c r="E1007" i="9"/>
  <c r="B1008" i="9"/>
  <c r="C1008" i="9"/>
  <c r="D1008" i="9"/>
  <c r="E1008" i="9"/>
  <c r="B1009" i="9"/>
  <c r="C1009" i="9"/>
  <c r="D1009" i="9"/>
  <c r="E1009" i="9"/>
  <c r="B1010" i="9"/>
  <c r="C1010" i="9"/>
  <c r="D1010" i="9"/>
  <c r="E1010" i="9"/>
  <c r="B1011" i="9"/>
  <c r="C1011" i="9"/>
  <c r="D1011" i="9"/>
  <c r="E1011" i="9"/>
  <c r="B1012" i="9"/>
  <c r="C1012" i="9"/>
  <c r="D1012" i="9"/>
  <c r="E1012" i="9"/>
  <c r="B1013" i="9"/>
  <c r="C1013" i="9"/>
  <c r="D1013" i="9"/>
  <c r="E1013" i="9"/>
  <c r="B1014" i="9"/>
  <c r="C1014" i="9"/>
  <c r="D1014" i="9"/>
  <c r="E1014" i="9"/>
  <c r="B1015" i="9"/>
  <c r="C1015" i="9"/>
  <c r="D1015" i="9"/>
  <c r="E1015" i="9"/>
  <c r="B1016" i="9"/>
  <c r="C1016" i="9"/>
  <c r="D1016" i="9"/>
  <c r="E1016" i="9"/>
  <c r="B1017" i="9"/>
  <c r="C1017" i="9"/>
  <c r="D1017" i="9"/>
  <c r="E1017" i="9"/>
  <c r="B1018" i="9"/>
  <c r="C1018" i="9"/>
  <c r="D1018" i="9"/>
  <c r="E1018" i="9"/>
  <c r="B1019" i="9"/>
  <c r="C1019" i="9"/>
  <c r="D1019" i="9"/>
  <c r="E1019" i="9"/>
  <c r="B1020" i="9"/>
  <c r="C1020" i="9"/>
  <c r="D1020" i="9"/>
  <c r="E1020" i="9"/>
  <c r="B1021" i="9"/>
  <c r="C1021" i="9"/>
  <c r="D1021" i="9"/>
  <c r="E1021" i="9"/>
  <c r="B1022" i="9"/>
  <c r="C1022" i="9"/>
  <c r="D1022" i="9"/>
  <c r="E1022" i="9"/>
  <c r="B1023" i="9"/>
  <c r="C1023" i="9"/>
  <c r="D1023" i="9"/>
  <c r="E1023" i="9"/>
  <c r="B1024" i="9"/>
  <c r="C1024" i="9"/>
  <c r="D1024" i="9"/>
  <c r="E1024" i="9"/>
  <c r="B1025" i="9"/>
  <c r="C1025" i="9"/>
  <c r="D1025" i="9"/>
  <c r="E1025" i="9"/>
  <c r="B1026" i="9"/>
  <c r="C1026" i="9"/>
  <c r="D1026" i="9"/>
  <c r="E1026" i="9"/>
  <c r="B1027" i="9"/>
  <c r="C1027" i="9"/>
  <c r="D1027" i="9"/>
  <c r="E1027" i="9"/>
  <c r="B1028" i="9"/>
  <c r="C1028" i="9"/>
  <c r="D1028" i="9"/>
  <c r="E1028" i="9"/>
  <c r="B1029" i="9"/>
  <c r="C1029" i="9"/>
  <c r="D1029" i="9"/>
  <c r="E1029" i="9"/>
  <c r="B1030" i="9"/>
  <c r="C1030" i="9"/>
  <c r="D1030" i="9"/>
  <c r="E1030" i="9"/>
  <c r="B1031" i="9"/>
  <c r="C1031" i="9"/>
  <c r="D1031" i="9"/>
  <c r="E1031" i="9"/>
  <c r="B1032" i="9"/>
  <c r="C1032" i="9"/>
  <c r="D1032" i="9"/>
  <c r="E1032" i="9"/>
  <c r="B1033" i="9"/>
  <c r="C1033" i="9"/>
  <c r="D1033" i="9"/>
  <c r="E1033" i="9"/>
  <c r="B1034" i="9"/>
  <c r="C1034" i="9"/>
  <c r="D1034" i="9"/>
  <c r="E1034" i="9"/>
  <c r="B1035" i="9"/>
  <c r="C1035" i="9"/>
  <c r="D1035" i="9"/>
  <c r="E1035" i="9"/>
  <c r="B1036" i="9"/>
  <c r="C1036" i="9"/>
  <c r="D1036" i="9"/>
  <c r="E1036" i="9"/>
  <c r="B1037" i="9"/>
  <c r="C1037" i="9"/>
  <c r="D1037" i="9"/>
  <c r="E1037" i="9"/>
  <c r="B1038" i="9"/>
  <c r="C1038" i="9"/>
  <c r="D1038" i="9"/>
  <c r="E1038" i="9"/>
  <c r="B1039" i="9"/>
  <c r="C1039" i="9"/>
  <c r="D1039" i="9"/>
  <c r="E1039" i="9"/>
  <c r="B1040" i="9"/>
  <c r="C1040" i="9"/>
  <c r="D1040" i="9"/>
  <c r="E1040" i="9"/>
  <c r="B1041" i="9"/>
  <c r="C1041" i="9"/>
  <c r="D1041" i="9"/>
  <c r="E1041" i="9"/>
  <c r="B1042" i="9"/>
  <c r="C1042" i="9"/>
  <c r="D1042" i="9"/>
  <c r="E1042" i="9"/>
  <c r="B1043" i="9"/>
  <c r="C1043" i="9"/>
  <c r="D1043" i="9"/>
  <c r="E1043" i="9"/>
  <c r="B1044" i="9"/>
  <c r="C1044" i="9"/>
  <c r="D1044" i="9"/>
  <c r="E1044" i="9"/>
  <c r="B1045" i="9"/>
  <c r="C1045" i="9"/>
  <c r="D1045" i="9"/>
  <c r="E1045" i="9"/>
  <c r="B1046" i="9"/>
  <c r="C1046" i="9"/>
  <c r="D1046" i="9"/>
  <c r="E1046" i="9"/>
  <c r="B1047" i="9"/>
  <c r="C1047" i="9"/>
  <c r="D1047" i="9"/>
  <c r="E1047" i="9"/>
  <c r="B1048" i="9"/>
  <c r="C1048" i="9"/>
  <c r="D1048" i="9"/>
  <c r="E1048" i="9"/>
  <c r="B1049" i="9"/>
  <c r="C1049" i="9"/>
  <c r="D1049" i="9"/>
  <c r="E1049" i="9"/>
  <c r="B1050" i="9"/>
  <c r="C1050" i="9"/>
  <c r="D1050" i="9"/>
  <c r="E1050" i="9"/>
  <c r="B1051" i="9"/>
  <c r="C1051" i="9"/>
  <c r="D1051" i="9"/>
  <c r="E1051" i="9"/>
  <c r="B1052" i="9"/>
  <c r="C1052" i="9"/>
  <c r="D1052" i="9"/>
  <c r="E1052" i="9"/>
  <c r="B1053" i="9"/>
  <c r="C1053" i="9"/>
  <c r="D1053" i="9"/>
  <c r="E1053" i="9"/>
  <c r="B1054" i="9"/>
  <c r="C1054" i="9"/>
  <c r="D1054" i="9"/>
  <c r="E1054" i="9"/>
  <c r="B1055" i="9"/>
  <c r="C1055" i="9"/>
  <c r="D1055" i="9"/>
  <c r="E1055" i="9"/>
  <c r="B1056" i="9"/>
  <c r="C1056" i="9"/>
  <c r="D1056" i="9"/>
  <c r="E1056" i="9"/>
  <c r="B1057" i="9"/>
  <c r="C1057" i="9"/>
  <c r="D1057" i="9"/>
  <c r="E1057" i="9"/>
  <c r="B1058" i="9"/>
  <c r="C1058" i="9"/>
  <c r="D1058" i="9"/>
  <c r="E1058" i="9"/>
  <c r="B1059" i="9"/>
  <c r="C1059" i="9"/>
  <c r="D1059" i="9"/>
  <c r="E1059" i="9"/>
  <c r="B1060" i="9"/>
  <c r="C1060" i="9"/>
  <c r="D1060" i="9"/>
  <c r="E1060" i="9"/>
  <c r="B1061" i="9"/>
  <c r="C1061" i="9"/>
  <c r="D1061" i="9"/>
  <c r="E1061" i="9"/>
  <c r="B1062" i="9"/>
  <c r="C1062" i="9"/>
  <c r="D1062" i="9"/>
  <c r="E1062" i="9"/>
  <c r="B1063" i="9"/>
  <c r="C1063" i="9"/>
  <c r="D1063" i="9"/>
  <c r="E1063" i="9"/>
  <c r="B1064" i="9"/>
  <c r="C1064" i="9"/>
  <c r="D1064" i="9"/>
  <c r="E1064" i="9"/>
  <c r="B1065" i="9"/>
  <c r="C1065" i="9"/>
  <c r="D1065" i="9"/>
  <c r="E1065" i="9"/>
  <c r="B1066" i="9"/>
  <c r="C1066" i="9"/>
  <c r="D1066" i="9"/>
  <c r="E1066" i="9"/>
  <c r="B1067" i="9"/>
  <c r="C1067" i="9"/>
  <c r="D1067" i="9"/>
  <c r="E1067" i="9"/>
  <c r="B1068" i="9"/>
  <c r="C1068" i="9"/>
  <c r="D1068" i="9"/>
  <c r="E1068" i="9"/>
  <c r="B1069" i="9"/>
  <c r="C1069" i="9"/>
  <c r="D1069" i="9"/>
  <c r="E1069" i="9"/>
  <c r="B1070" i="9"/>
  <c r="C1070" i="9"/>
  <c r="D1070" i="9"/>
  <c r="E1070" i="9"/>
  <c r="B1071" i="9"/>
  <c r="C1071" i="9"/>
  <c r="D1071" i="9"/>
  <c r="E1071" i="9"/>
  <c r="B1072" i="9"/>
  <c r="C1072" i="9"/>
  <c r="D1072" i="9"/>
  <c r="E1072" i="9"/>
  <c r="B1073" i="9"/>
  <c r="C1073" i="9"/>
  <c r="D1073" i="9"/>
  <c r="E1073" i="9"/>
  <c r="B1074" i="9"/>
  <c r="C1074" i="9"/>
  <c r="D1074" i="9"/>
  <c r="E1074" i="9"/>
  <c r="B1075" i="9"/>
  <c r="C1075" i="9"/>
  <c r="D1075" i="9"/>
  <c r="E1075" i="9"/>
  <c r="B1076" i="9"/>
  <c r="C1076" i="9"/>
  <c r="D1076" i="9"/>
  <c r="E1076" i="9"/>
  <c r="B1077" i="9"/>
  <c r="C1077" i="9"/>
  <c r="D1077" i="9"/>
  <c r="E1077" i="9"/>
  <c r="B1078" i="9"/>
  <c r="C1078" i="9"/>
  <c r="D1078" i="9"/>
  <c r="E1078" i="9"/>
  <c r="B1079" i="9"/>
  <c r="C1079" i="9"/>
  <c r="D1079" i="9"/>
  <c r="E1079" i="9"/>
  <c r="B1080" i="9"/>
  <c r="C1080" i="9"/>
  <c r="D1080" i="9"/>
  <c r="E1080" i="9"/>
  <c r="B1081" i="9"/>
  <c r="C1081" i="9"/>
  <c r="D1081" i="9"/>
  <c r="E1081" i="9"/>
  <c r="B1082" i="9"/>
  <c r="C1082" i="9"/>
  <c r="D1082" i="9"/>
  <c r="E1082" i="9"/>
  <c r="B1083" i="9"/>
  <c r="C1083" i="9"/>
  <c r="D1083" i="9"/>
  <c r="E1083" i="9"/>
  <c r="B1084" i="9"/>
  <c r="C1084" i="9"/>
  <c r="D1084" i="9"/>
  <c r="E1084" i="9"/>
  <c r="B1085" i="9"/>
  <c r="C1085" i="9"/>
  <c r="D1085" i="9"/>
  <c r="E1085" i="9"/>
  <c r="B1086" i="9"/>
  <c r="C1086" i="9"/>
  <c r="D1086" i="9"/>
  <c r="E1086" i="9"/>
  <c r="B1087" i="9"/>
  <c r="C1087" i="9"/>
  <c r="D1087" i="9"/>
  <c r="E1087" i="9"/>
  <c r="B1088" i="9"/>
  <c r="C1088" i="9"/>
  <c r="D1088" i="9"/>
  <c r="E1088" i="9"/>
  <c r="B1089" i="9"/>
  <c r="C1089" i="9"/>
  <c r="D1089" i="9"/>
  <c r="E1089" i="9"/>
  <c r="B1090" i="9"/>
  <c r="C1090" i="9"/>
  <c r="D1090" i="9"/>
  <c r="E1090" i="9"/>
  <c r="B1091" i="9"/>
  <c r="C1091" i="9"/>
  <c r="D1091" i="9"/>
  <c r="E1091" i="9"/>
  <c r="B1092" i="9"/>
  <c r="C1092" i="9"/>
  <c r="D1092" i="9"/>
  <c r="E1092" i="9"/>
  <c r="B1093" i="9"/>
  <c r="C1093" i="9"/>
  <c r="D1093" i="9"/>
  <c r="E1093" i="9"/>
  <c r="B1094" i="9"/>
  <c r="C1094" i="9"/>
  <c r="D1094" i="9"/>
  <c r="E1094" i="9"/>
  <c r="B1095" i="9"/>
  <c r="C1095" i="9"/>
  <c r="D1095" i="9"/>
  <c r="E1095" i="9"/>
  <c r="B1096" i="9"/>
  <c r="C1096" i="9"/>
  <c r="D1096" i="9"/>
  <c r="E1096" i="9"/>
  <c r="B1097" i="9"/>
  <c r="C1097" i="9"/>
  <c r="D1097" i="9"/>
  <c r="E1097" i="9"/>
  <c r="B1098" i="9"/>
  <c r="C1098" i="9"/>
  <c r="D1098" i="9"/>
  <c r="E1098" i="9"/>
  <c r="B1099" i="9"/>
  <c r="C1099" i="9"/>
  <c r="D1099" i="9"/>
  <c r="E1099" i="9"/>
  <c r="B1100" i="9"/>
  <c r="C1100" i="9"/>
  <c r="D1100" i="9"/>
  <c r="E1100" i="9"/>
  <c r="B1101" i="9"/>
  <c r="C1101" i="9"/>
  <c r="D1101" i="9"/>
  <c r="E1101" i="9"/>
  <c r="B1102" i="9"/>
  <c r="C1102" i="9"/>
  <c r="D1102" i="9"/>
  <c r="E1102" i="9"/>
  <c r="B1103" i="9"/>
  <c r="C1103" i="9"/>
  <c r="D1103" i="9"/>
  <c r="E1103" i="9"/>
  <c r="B1104" i="9"/>
  <c r="C1104" i="9"/>
  <c r="D1104" i="9"/>
  <c r="E1104" i="9"/>
  <c r="B1105" i="9"/>
  <c r="C1105" i="9"/>
  <c r="D1105" i="9"/>
  <c r="E1105" i="9"/>
  <c r="B1106" i="9"/>
  <c r="C1106" i="9"/>
  <c r="D1106" i="9"/>
  <c r="E1106" i="9"/>
  <c r="B1107" i="9"/>
  <c r="C1107" i="9"/>
  <c r="D1107" i="9"/>
  <c r="E1107" i="9"/>
  <c r="B1108" i="9"/>
  <c r="C1108" i="9"/>
  <c r="D1108" i="9"/>
  <c r="E1108" i="9"/>
  <c r="B1109" i="9"/>
  <c r="C1109" i="9"/>
  <c r="D1109" i="9"/>
  <c r="E1109" i="9"/>
  <c r="B1110" i="9"/>
  <c r="C1110" i="9"/>
  <c r="D1110" i="9"/>
  <c r="E1110" i="9"/>
  <c r="B1111" i="9"/>
  <c r="C1111" i="9"/>
  <c r="D1111" i="9"/>
  <c r="E1111" i="9"/>
  <c r="B1112" i="9"/>
  <c r="C1112" i="9"/>
  <c r="D1112" i="9"/>
  <c r="E1112" i="9"/>
  <c r="B1113" i="9"/>
  <c r="C1113" i="9"/>
  <c r="D1113" i="9"/>
  <c r="E1113" i="9"/>
  <c r="B1114" i="9"/>
  <c r="C1114" i="9"/>
  <c r="D1114" i="9"/>
  <c r="E1114" i="9"/>
  <c r="B1115" i="9"/>
  <c r="C1115" i="9"/>
  <c r="D1115" i="9"/>
  <c r="E1115" i="9"/>
  <c r="B1116" i="9"/>
  <c r="C1116" i="9"/>
  <c r="D1116" i="9"/>
  <c r="E1116" i="9"/>
  <c r="B1117" i="9"/>
  <c r="C1117" i="9"/>
  <c r="D1117" i="9"/>
  <c r="E1117" i="9"/>
  <c r="B1118" i="9"/>
  <c r="C1118" i="9"/>
  <c r="D1118" i="9"/>
  <c r="E1118" i="9"/>
  <c r="B1119" i="9"/>
  <c r="C1119" i="9"/>
  <c r="D1119" i="9"/>
  <c r="E1119" i="9"/>
  <c r="B1120" i="9"/>
  <c r="C1120" i="9"/>
  <c r="D1120" i="9"/>
  <c r="E1120" i="9"/>
  <c r="B1121" i="9"/>
  <c r="C1121" i="9"/>
  <c r="D1121" i="9"/>
  <c r="E1121" i="9"/>
  <c r="B1122" i="9"/>
  <c r="C1122" i="9"/>
  <c r="D1122" i="9"/>
  <c r="E1122" i="9"/>
  <c r="B1123" i="9"/>
  <c r="C1123" i="9"/>
  <c r="D1123" i="9"/>
  <c r="E1123" i="9"/>
  <c r="B1124" i="9"/>
  <c r="C1124" i="9"/>
  <c r="D1124" i="9"/>
  <c r="E1124" i="9"/>
  <c r="B1125" i="9"/>
  <c r="C1125" i="9"/>
  <c r="D1125" i="9"/>
  <c r="E1125" i="9"/>
  <c r="B1126" i="9"/>
  <c r="C1126" i="9"/>
  <c r="D1126" i="9"/>
  <c r="E1126" i="9"/>
  <c r="B1127" i="9"/>
  <c r="C1127" i="9"/>
  <c r="D1127" i="9"/>
  <c r="E1127" i="9"/>
  <c r="B1128" i="9"/>
  <c r="C1128" i="9"/>
  <c r="D1128" i="9"/>
  <c r="E1128" i="9"/>
  <c r="B1129" i="9"/>
  <c r="C1129" i="9"/>
  <c r="D1129" i="9"/>
  <c r="E1129" i="9"/>
  <c r="B1130" i="9"/>
  <c r="C1130" i="9"/>
  <c r="D1130" i="9"/>
  <c r="E1130" i="9"/>
  <c r="B1131" i="9"/>
  <c r="C1131" i="9"/>
  <c r="D1131" i="9"/>
  <c r="E1131" i="9"/>
  <c r="B1132" i="9"/>
  <c r="C1132" i="9"/>
  <c r="D1132" i="9"/>
  <c r="E1132" i="9"/>
  <c r="B1133" i="9"/>
  <c r="C1133" i="9"/>
  <c r="D1133" i="9"/>
  <c r="E1133" i="9"/>
  <c r="B1134" i="9"/>
  <c r="C1134" i="9"/>
  <c r="D1134" i="9"/>
  <c r="E1134" i="9"/>
  <c r="B1135" i="9"/>
  <c r="C1135" i="9"/>
  <c r="D1135" i="9"/>
  <c r="E1135" i="9"/>
  <c r="B1136" i="9"/>
  <c r="C1136" i="9"/>
  <c r="D1136" i="9"/>
  <c r="E1136" i="9"/>
  <c r="B1137" i="9"/>
  <c r="C1137" i="9"/>
  <c r="D1137" i="9"/>
  <c r="E1137" i="9"/>
  <c r="B1138" i="9"/>
  <c r="C1138" i="9"/>
  <c r="D1138" i="9"/>
  <c r="E1138" i="9"/>
  <c r="B1139" i="9"/>
  <c r="C1139" i="9"/>
  <c r="D1139" i="9"/>
  <c r="E1139" i="9"/>
  <c r="B1140" i="9"/>
  <c r="C1140" i="9"/>
  <c r="D1140" i="9"/>
  <c r="E1140" i="9"/>
  <c r="B1141" i="9"/>
  <c r="C1141" i="9"/>
  <c r="D1141" i="9"/>
  <c r="E1141" i="9"/>
  <c r="B1142" i="9"/>
  <c r="C1142" i="9"/>
  <c r="D1142" i="9"/>
  <c r="E1142" i="9"/>
  <c r="B1143" i="9"/>
  <c r="C1143" i="9"/>
  <c r="D1143" i="9"/>
  <c r="E1143" i="9"/>
  <c r="B1144" i="9"/>
  <c r="C1144" i="9"/>
  <c r="D1144" i="9"/>
  <c r="E1144" i="9"/>
  <c r="B1145" i="9"/>
  <c r="C1145" i="9"/>
  <c r="D1145" i="9"/>
  <c r="E1145" i="9"/>
  <c r="B1146" i="9"/>
  <c r="C1146" i="9"/>
  <c r="D1146" i="9"/>
  <c r="E1146" i="9"/>
  <c r="B1147" i="9"/>
  <c r="C1147" i="9"/>
  <c r="D1147" i="9"/>
  <c r="E1147" i="9"/>
  <c r="B1148" i="9"/>
  <c r="C1148" i="9"/>
  <c r="D1148" i="9"/>
  <c r="E1148" i="9"/>
  <c r="B1149" i="9"/>
  <c r="C1149" i="9"/>
  <c r="D1149" i="9"/>
  <c r="E1149" i="9"/>
  <c r="B1150" i="9"/>
  <c r="C1150" i="9"/>
  <c r="D1150" i="9"/>
  <c r="E1150" i="9"/>
  <c r="B1151" i="9"/>
  <c r="C1151" i="9"/>
  <c r="D1151" i="9"/>
  <c r="E1151" i="9"/>
  <c r="B1152" i="9"/>
  <c r="C1152" i="9"/>
  <c r="D1152" i="9"/>
  <c r="E1152" i="9"/>
  <c r="B1153" i="9"/>
  <c r="C1153" i="9"/>
  <c r="D1153" i="9"/>
  <c r="E1153" i="9"/>
  <c r="B1154" i="9"/>
  <c r="C1154" i="9"/>
  <c r="D1154" i="9"/>
  <c r="E1154" i="9"/>
  <c r="B1155" i="9"/>
  <c r="C1155" i="9"/>
  <c r="D1155" i="9"/>
  <c r="E1155" i="9"/>
  <c r="B1156" i="9"/>
  <c r="C1156" i="9"/>
  <c r="D1156" i="9"/>
  <c r="E1156" i="9"/>
  <c r="B1157" i="9"/>
  <c r="C1157" i="9"/>
  <c r="D1157" i="9"/>
  <c r="E1157" i="9"/>
  <c r="B1158" i="9"/>
  <c r="C1158" i="9"/>
  <c r="D1158" i="9"/>
  <c r="E1158" i="9"/>
  <c r="B1159" i="9"/>
  <c r="C1159" i="9"/>
  <c r="D1159" i="9"/>
  <c r="E1159" i="9"/>
  <c r="B1160" i="9"/>
  <c r="C1160" i="9"/>
  <c r="D1160" i="9"/>
  <c r="E1160" i="9"/>
  <c r="B1161" i="9"/>
  <c r="C1161" i="9"/>
  <c r="D1161" i="9"/>
  <c r="E1161" i="9"/>
  <c r="B1162" i="9"/>
  <c r="C1162" i="9"/>
  <c r="D1162" i="9"/>
  <c r="E1162" i="9"/>
  <c r="B1163" i="9"/>
  <c r="C1163" i="9"/>
  <c r="D1163" i="9"/>
  <c r="E1163" i="9"/>
  <c r="B1164" i="9"/>
  <c r="C1164" i="9"/>
  <c r="D1164" i="9"/>
  <c r="E1164" i="9"/>
  <c r="B1165" i="9"/>
  <c r="C1165" i="9"/>
  <c r="D1165" i="9"/>
  <c r="E1165" i="9"/>
  <c r="B1166" i="9"/>
  <c r="C1166" i="9"/>
  <c r="D1166" i="9"/>
  <c r="E1166" i="9"/>
  <c r="B1167" i="9"/>
  <c r="C1167" i="9"/>
  <c r="D1167" i="9"/>
  <c r="E1167" i="9"/>
  <c r="B1168" i="9"/>
  <c r="C1168" i="9"/>
  <c r="D1168" i="9"/>
  <c r="E1168" i="9"/>
  <c r="B1169" i="9"/>
  <c r="C1169" i="9"/>
  <c r="D1169" i="9"/>
  <c r="E1169" i="9"/>
  <c r="B1170" i="9"/>
  <c r="C1170" i="9"/>
  <c r="D1170" i="9"/>
  <c r="E1170" i="9"/>
  <c r="B1171" i="9"/>
  <c r="C1171" i="9"/>
  <c r="D1171" i="9"/>
  <c r="E1171" i="9"/>
  <c r="B1172" i="9"/>
  <c r="C1172" i="9"/>
  <c r="D1172" i="9"/>
  <c r="E1172" i="9"/>
  <c r="B1173" i="9"/>
  <c r="C1173" i="9"/>
  <c r="D1173" i="9"/>
  <c r="E1173" i="9"/>
  <c r="B1174" i="9"/>
  <c r="C1174" i="9"/>
  <c r="D1174" i="9"/>
  <c r="E1174" i="9"/>
  <c r="B1175" i="9"/>
  <c r="C1175" i="9"/>
  <c r="D1175" i="9"/>
  <c r="E1175" i="9"/>
  <c r="B1176" i="9"/>
  <c r="C1176" i="9"/>
  <c r="D1176" i="9"/>
  <c r="E1176" i="9"/>
  <c r="B1177" i="9"/>
  <c r="C1177" i="9"/>
  <c r="D1177" i="9"/>
  <c r="E1177" i="9"/>
  <c r="B1178" i="9"/>
  <c r="C1178" i="9"/>
  <c r="D1178" i="9"/>
  <c r="E1178" i="9"/>
  <c r="B1179" i="9"/>
  <c r="C1179" i="9"/>
  <c r="D1179" i="9"/>
  <c r="E1179" i="9"/>
  <c r="B1180" i="9"/>
  <c r="C1180" i="9"/>
  <c r="D1180" i="9"/>
  <c r="E1180" i="9"/>
  <c r="B1181" i="9"/>
  <c r="C1181" i="9"/>
  <c r="D1181" i="9"/>
  <c r="E1181" i="9"/>
  <c r="B1182" i="9"/>
  <c r="C1182" i="9"/>
  <c r="D1182" i="9"/>
  <c r="E1182" i="9"/>
  <c r="B1183" i="9"/>
  <c r="C1183" i="9"/>
  <c r="D1183" i="9"/>
  <c r="E1183" i="9"/>
  <c r="B1184" i="9"/>
  <c r="C1184" i="9"/>
  <c r="D1184" i="9"/>
  <c r="E1184" i="9"/>
  <c r="B1185" i="9"/>
  <c r="C1185" i="9"/>
  <c r="D1185" i="9"/>
  <c r="E1185" i="9"/>
  <c r="B1186" i="9"/>
  <c r="C1186" i="9"/>
  <c r="D1186" i="9"/>
  <c r="E1186" i="9"/>
  <c r="B1187" i="9"/>
  <c r="C1187" i="9"/>
  <c r="D1187" i="9"/>
  <c r="E1187" i="9"/>
  <c r="B1188" i="9"/>
  <c r="C1188" i="9"/>
  <c r="D1188" i="9"/>
  <c r="E1188" i="9"/>
  <c r="B1189" i="9"/>
  <c r="C1189" i="9"/>
  <c r="D1189" i="9"/>
  <c r="E1189" i="9"/>
  <c r="B1190" i="9"/>
  <c r="C1190" i="9"/>
  <c r="D1190" i="9"/>
  <c r="E1190" i="9"/>
  <c r="B1191" i="9"/>
  <c r="C1191" i="9"/>
  <c r="D1191" i="9"/>
  <c r="E1191" i="9"/>
  <c r="B1192" i="9"/>
  <c r="C1192" i="9"/>
  <c r="D1192" i="9"/>
  <c r="E1192" i="9"/>
  <c r="B1193" i="9"/>
  <c r="C1193" i="9"/>
  <c r="D1193" i="9"/>
  <c r="E1193" i="9"/>
  <c r="B1194" i="9"/>
  <c r="C1194" i="9"/>
  <c r="D1194" i="9"/>
  <c r="E1194" i="9"/>
  <c r="B1195" i="9"/>
  <c r="C1195" i="9"/>
  <c r="D1195" i="9"/>
  <c r="E1195" i="9"/>
  <c r="B1196" i="9"/>
  <c r="C1196" i="9"/>
  <c r="D1196" i="9"/>
  <c r="E1196" i="9"/>
  <c r="B1197" i="9"/>
  <c r="C1197" i="9"/>
  <c r="D1197" i="9"/>
  <c r="E1197" i="9"/>
  <c r="B1198" i="9"/>
  <c r="C1198" i="9"/>
  <c r="D1198" i="9"/>
  <c r="E1198" i="9"/>
  <c r="B1199" i="9"/>
  <c r="C1199" i="9"/>
  <c r="D1199" i="9"/>
  <c r="E1199" i="9"/>
  <c r="B1200" i="9"/>
  <c r="C1200" i="9"/>
  <c r="D1200" i="9"/>
  <c r="E1200" i="9"/>
  <c r="B1201" i="9"/>
  <c r="C1201" i="9"/>
  <c r="D1201" i="9"/>
  <c r="E1201" i="9"/>
  <c r="B1202" i="9"/>
  <c r="C1202" i="9"/>
  <c r="D1202" i="9"/>
  <c r="E1202" i="9"/>
  <c r="B1203" i="9"/>
  <c r="C1203" i="9"/>
  <c r="D1203" i="9"/>
  <c r="E1203" i="9"/>
  <c r="B1204" i="9"/>
  <c r="C1204" i="9"/>
  <c r="D1204" i="9"/>
  <c r="E1204" i="9"/>
  <c r="B1205" i="9"/>
  <c r="C1205" i="9"/>
  <c r="D1205" i="9"/>
  <c r="E1205" i="9"/>
  <c r="B1206" i="9"/>
  <c r="C1206" i="9"/>
  <c r="D1206" i="9"/>
  <c r="E1206" i="9"/>
  <c r="B1207" i="9"/>
  <c r="C1207" i="9"/>
  <c r="D1207" i="9"/>
  <c r="E1207" i="9"/>
  <c r="B1208" i="9"/>
  <c r="C1208" i="9"/>
  <c r="D1208" i="9"/>
  <c r="E1208" i="9"/>
  <c r="B1209" i="9"/>
  <c r="C1209" i="9"/>
  <c r="D1209" i="9"/>
  <c r="E1209" i="9"/>
  <c r="B1210" i="9"/>
  <c r="C1210" i="9"/>
  <c r="D1210" i="9"/>
  <c r="E1210" i="9"/>
  <c r="B1211" i="9"/>
  <c r="C1211" i="9"/>
  <c r="D1211" i="9"/>
  <c r="E1211" i="9"/>
  <c r="B1212" i="9"/>
  <c r="C1212" i="9"/>
  <c r="D1212" i="9"/>
  <c r="E1212" i="9"/>
  <c r="B1213" i="9"/>
  <c r="C1213" i="9"/>
  <c r="D1213" i="9"/>
  <c r="E1213" i="9"/>
  <c r="B1214" i="9"/>
  <c r="C1214" i="9"/>
  <c r="D1214" i="9"/>
  <c r="E1214" i="9"/>
  <c r="B1215" i="9"/>
  <c r="C1215" i="9"/>
  <c r="D1215" i="9"/>
  <c r="E1215" i="9"/>
  <c r="B1216" i="9"/>
  <c r="C1216" i="9"/>
  <c r="D1216" i="9"/>
  <c r="E1216" i="9"/>
  <c r="B1217" i="9"/>
  <c r="C1217" i="9"/>
  <c r="D1217" i="9"/>
  <c r="E1217" i="9"/>
  <c r="B1218" i="9"/>
  <c r="C1218" i="9"/>
  <c r="D1218" i="9"/>
  <c r="E1218" i="9"/>
  <c r="B1219" i="9"/>
  <c r="C1219" i="9"/>
  <c r="D1219" i="9"/>
  <c r="E1219" i="9"/>
  <c r="B1220" i="9"/>
  <c r="C1220" i="9"/>
  <c r="D1220" i="9"/>
  <c r="E1220" i="9"/>
  <c r="B1221" i="9"/>
  <c r="C1221" i="9"/>
  <c r="D1221" i="9"/>
  <c r="E1221" i="9"/>
  <c r="B1222" i="9"/>
  <c r="C1222" i="9"/>
  <c r="D1222" i="9"/>
  <c r="E1222" i="9"/>
  <c r="B1223" i="9"/>
  <c r="C1223" i="9"/>
  <c r="D1223" i="9"/>
  <c r="E1223" i="9"/>
  <c r="B1224" i="9"/>
  <c r="C1224" i="9"/>
  <c r="D1224" i="9"/>
  <c r="E1224" i="9"/>
  <c r="B1225" i="9"/>
  <c r="C1225" i="9"/>
  <c r="D1225" i="9"/>
  <c r="E1225" i="9"/>
  <c r="B1226" i="9"/>
  <c r="C1226" i="9"/>
  <c r="D1226" i="9"/>
  <c r="E1226" i="9"/>
  <c r="B1227" i="9"/>
  <c r="C1227" i="9"/>
  <c r="D1227" i="9"/>
  <c r="E1227" i="9"/>
  <c r="B1228" i="9"/>
  <c r="C1228" i="9"/>
  <c r="D1228" i="9"/>
  <c r="E1228" i="9"/>
  <c r="B1229" i="9"/>
  <c r="C1229" i="9"/>
  <c r="D1229" i="9"/>
  <c r="E1229" i="9"/>
  <c r="B1230" i="9"/>
  <c r="C1230" i="9"/>
  <c r="D1230" i="9"/>
  <c r="E1230" i="9"/>
  <c r="B1231" i="9"/>
  <c r="C1231" i="9"/>
  <c r="D1231" i="9"/>
  <c r="E1231" i="9"/>
  <c r="B1232" i="9"/>
  <c r="C1232" i="9"/>
  <c r="D1232" i="9"/>
  <c r="E1232" i="9"/>
  <c r="B1233" i="9"/>
  <c r="C1233" i="9"/>
  <c r="D1233" i="9"/>
  <c r="E1233" i="9"/>
  <c r="B1234" i="9"/>
  <c r="C1234" i="9"/>
  <c r="D1234" i="9"/>
  <c r="E1234" i="9"/>
  <c r="B1235" i="9"/>
  <c r="C1235" i="9"/>
  <c r="D1235" i="9"/>
  <c r="E1235" i="9"/>
  <c r="B1236" i="9"/>
  <c r="C1236" i="9"/>
  <c r="D1236" i="9"/>
  <c r="E1236" i="9"/>
  <c r="B1237" i="9"/>
  <c r="C1237" i="9"/>
  <c r="D1237" i="9"/>
  <c r="E1237" i="9"/>
  <c r="B1238" i="9"/>
  <c r="C1238" i="9"/>
  <c r="D1238" i="9"/>
  <c r="E1238" i="9"/>
  <c r="B1239" i="9"/>
  <c r="C1239" i="9"/>
  <c r="D1239" i="9"/>
  <c r="E1239" i="9"/>
  <c r="B1240" i="9"/>
  <c r="C1240" i="9"/>
  <c r="D1240" i="9"/>
  <c r="E1240" i="9"/>
  <c r="B1241" i="9"/>
  <c r="C1241" i="9"/>
  <c r="D1241" i="9"/>
  <c r="E1241" i="9"/>
  <c r="B1242" i="9"/>
  <c r="C1242" i="9"/>
  <c r="D1242" i="9"/>
  <c r="E1242" i="9"/>
  <c r="B1243" i="9"/>
  <c r="C1243" i="9"/>
  <c r="D1243" i="9"/>
  <c r="E1243" i="9"/>
  <c r="B1244" i="9"/>
  <c r="C1244" i="9"/>
  <c r="D1244" i="9"/>
  <c r="E1244" i="9"/>
  <c r="B1245" i="9"/>
  <c r="C1245" i="9"/>
  <c r="D1245" i="9"/>
  <c r="E1245" i="9"/>
  <c r="B1246" i="9"/>
  <c r="C1246" i="9"/>
  <c r="D1246" i="9"/>
  <c r="E1246" i="9"/>
  <c r="B1247" i="9"/>
  <c r="C1247" i="9"/>
  <c r="D1247" i="9"/>
  <c r="E1247" i="9"/>
  <c r="B1248" i="9"/>
  <c r="C1248" i="9"/>
  <c r="D1248" i="9"/>
  <c r="E1248" i="9"/>
  <c r="B1249" i="9"/>
  <c r="C1249" i="9"/>
  <c r="D1249" i="9"/>
  <c r="E1249" i="9"/>
  <c r="B1250" i="9"/>
  <c r="C1250" i="9"/>
  <c r="D1250" i="9"/>
  <c r="E1250" i="9"/>
  <c r="B1251" i="9"/>
  <c r="C1251" i="9"/>
  <c r="D1251" i="9"/>
  <c r="E1251" i="9"/>
  <c r="B1252" i="9"/>
  <c r="C1252" i="9"/>
  <c r="D1252" i="9"/>
  <c r="E1252" i="9"/>
  <c r="B1253" i="9"/>
  <c r="C1253" i="9"/>
  <c r="D1253" i="9"/>
  <c r="E1253" i="9"/>
  <c r="B1254" i="9"/>
  <c r="C1254" i="9"/>
  <c r="D1254" i="9"/>
  <c r="E1254" i="9"/>
  <c r="B1255" i="9"/>
  <c r="C1255" i="9"/>
  <c r="D1255" i="9"/>
  <c r="E1255" i="9"/>
  <c r="B1256" i="9"/>
  <c r="C1256" i="9"/>
  <c r="D1256" i="9"/>
  <c r="E1256" i="9"/>
  <c r="B1257" i="9"/>
  <c r="C1257" i="9"/>
  <c r="D1257" i="9"/>
  <c r="E1257" i="9"/>
  <c r="B1258" i="9"/>
  <c r="C1258" i="9"/>
  <c r="D1258" i="9"/>
  <c r="E1258" i="9"/>
  <c r="B1259" i="9"/>
  <c r="C1259" i="9"/>
  <c r="D1259" i="9"/>
  <c r="E1259" i="9"/>
  <c r="B1260" i="9"/>
  <c r="C1260" i="9"/>
  <c r="D1260" i="9"/>
  <c r="E1260" i="9"/>
  <c r="B1261" i="9"/>
  <c r="C1261" i="9"/>
  <c r="D1261" i="9"/>
  <c r="E1261" i="9"/>
  <c r="B1262" i="9"/>
  <c r="C1262" i="9"/>
  <c r="D1262" i="9"/>
  <c r="E1262" i="9"/>
  <c r="B1263" i="9"/>
  <c r="C1263" i="9"/>
  <c r="D1263" i="9"/>
  <c r="E1263" i="9"/>
  <c r="B1264" i="9"/>
  <c r="C1264" i="9"/>
  <c r="D1264" i="9"/>
  <c r="E1264" i="9"/>
  <c r="B1265" i="9"/>
  <c r="C1265" i="9"/>
  <c r="D1265" i="9"/>
  <c r="E1265" i="9"/>
  <c r="B1266" i="9"/>
  <c r="C1266" i="9"/>
  <c r="D1266" i="9"/>
  <c r="E1266" i="9"/>
  <c r="B1267" i="9"/>
  <c r="C1267" i="9"/>
  <c r="D1267" i="9"/>
  <c r="E1267" i="9"/>
  <c r="B1268" i="9"/>
  <c r="C1268" i="9"/>
  <c r="D1268" i="9"/>
  <c r="E1268" i="9"/>
  <c r="B1269" i="9"/>
  <c r="C1269" i="9"/>
  <c r="D1269" i="9"/>
  <c r="E1269" i="9"/>
  <c r="B1270" i="9"/>
  <c r="C1270" i="9"/>
  <c r="D1270" i="9"/>
  <c r="E1270" i="9"/>
  <c r="B1271" i="9"/>
  <c r="C1271" i="9"/>
  <c r="D1271" i="9"/>
  <c r="E1271" i="9"/>
  <c r="B1272" i="9"/>
  <c r="C1272" i="9"/>
  <c r="D1272" i="9"/>
  <c r="E1272" i="9"/>
  <c r="B1273" i="9"/>
  <c r="C1273" i="9"/>
  <c r="D1273" i="9"/>
  <c r="E1273" i="9"/>
  <c r="B1274" i="9"/>
  <c r="C1274" i="9"/>
  <c r="D1274" i="9"/>
  <c r="E1274" i="9"/>
  <c r="B1275" i="9"/>
  <c r="C1275" i="9"/>
  <c r="D1275" i="9"/>
  <c r="E1275" i="9"/>
  <c r="B1276" i="9"/>
  <c r="C1276" i="9"/>
  <c r="D1276" i="9"/>
  <c r="E1276" i="9"/>
  <c r="B1277" i="9"/>
  <c r="C1277" i="9"/>
  <c r="D1277" i="9"/>
  <c r="E1277" i="9"/>
  <c r="B1278" i="9"/>
  <c r="C1278" i="9"/>
  <c r="D1278" i="9"/>
  <c r="E1278" i="9"/>
  <c r="B1279" i="9"/>
  <c r="C1279" i="9"/>
  <c r="D1279" i="9"/>
  <c r="E1279" i="9"/>
  <c r="B1280" i="9"/>
  <c r="C1280" i="9"/>
  <c r="D1280" i="9"/>
  <c r="E1280" i="9"/>
  <c r="B1281" i="9"/>
  <c r="C1281" i="9"/>
  <c r="D1281" i="9"/>
  <c r="E1281" i="9"/>
  <c r="B1282" i="9"/>
  <c r="C1282" i="9"/>
  <c r="D1282" i="9"/>
  <c r="E1282" i="9"/>
  <c r="B1283" i="9"/>
  <c r="C1283" i="9"/>
  <c r="D1283" i="9"/>
  <c r="E1283" i="9"/>
  <c r="B1284" i="9"/>
  <c r="C1284" i="9"/>
  <c r="D1284" i="9"/>
  <c r="E1284" i="9"/>
  <c r="B1285" i="9"/>
  <c r="C1285" i="9"/>
  <c r="D1285" i="9"/>
  <c r="E1285" i="9"/>
  <c r="B1286" i="9"/>
  <c r="C1286" i="9"/>
  <c r="D1286" i="9"/>
  <c r="E1286" i="9"/>
  <c r="B1287" i="9"/>
  <c r="C1287" i="9"/>
  <c r="D1287" i="9"/>
  <c r="E1287" i="9"/>
  <c r="B1288" i="9"/>
  <c r="C1288" i="9"/>
  <c r="D1288" i="9"/>
  <c r="E1288" i="9"/>
  <c r="B1289" i="9"/>
  <c r="C1289" i="9"/>
  <c r="D1289" i="9"/>
  <c r="E1289" i="9"/>
  <c r="B1290" i="9"/>
  <c r="C1290" i="9"/>
  <c r="D1290" i="9"/>
  <c r="E1290" i="9"/>
  <c r="B1291" i="9"/>
  <c r="C1291" i="9"/>
  <c r="D1291" i="9"/>
  <c r="E1291" i="9"/>
  <c r="B1292" i="9"/>
  <c r="C1292" i="9"/>
  <c r="D1292" i="9"/>
  <c r="E1292" i="9"/>
  <c r="B1293" i="9"/>
  <c r="C1293" i="9"/>
  <c r="D1293" i="9"/>
  <c r="E1293" i="9"/>
  <c r="B1294" i="9"/>
  <c r="C1294" i="9"/>
  <c r="D1294" i="9"/>
  <c r="E1294" i="9"/>
  <c r="B1295" i="9"/>
  <c r="C1295" i="9"/>
  <c r="D1295" i="9"/>
  <c r="E1295" i="9"/>
  <c r="B1296" i="9"/>
  <c r="C1296" i="9"/>
  <c r="D1296" i="9"/>
  <c r="E1296" i="9"/>
  <c r="B1297" i="9"/>
  <c r="C1297" i="9"/>
  <c r="D1297" i="9"/>
  <c r="E1297" i="9"/>
  <c r="B1298" i="9"/>
  <c r="C1298" i="9"/>
  <c r="D1298" i="9"/>
  <c r="E1298" i="9"/>
  <c r="B1299" i="9"/>
  <c r="C1299" i="9"/>
  <c r="D1299" i="9"/>
  <c r="E1299" i="9"/>
  <c r="B1300" i="9"/>
  <c r="C1300" i="9"/>
  <c r="D1300" i="9"/>
  <c r="E1300" i="9"/>
  <c r="B1301" i="9"/>
  <c r="C1301" i="9"/>
  <c r="D1301" i="9"/>
  <c r="E1301" i="9"/>
  <c r="B1302" i="9"/>
  <c r="C1302" i="9"/>
  <c r="D1302" i="9"/>
  <c r="E1302" i="9"/>
  <c r="B1303" i="9"/>
  <c r="C1303" i="9"/>
  <c r="D1303" i="9"/>
  <c r="E1303" i="9"/>
  <c r="B1304" i="9"/>
  <c r="C1304" i="9"/>
  <c r="D1304" i="9"/>
  <c r="E1304" i="9"/>
  <c r="B1305" i="9"/>
  <c r="C1305" i="9"/>
  <c r="D1305" i="9"/>
  <c r="E1305" i="9"/>
  <c r="B1306" i="9"/>
  <c r="C1306" i="9"/>
  <c r="D1306" i="9"/>
  <c r="E1306" i="9"/>
  <c r="B1307" i="9"/>
  <c r="C1307" i="9"/>
  <c r="D1307" i="9"/>
  <c r="E1307" i="9"/>
  <c r="B1308" i="9"/>
  <c r="C1308" i="9"/>
  <c r="D1308" i="9"/>
  <c r="E1308" i="9"/>
  <c r="B1309" i="9"/>
  <c r="C1309" i="9"/>
  <c r="D1309" i="9"/>
  <c r="E1309" i="9"/>
  <c r="B1310" i="9"/>
  <c r="C1310" i="9"/>
  <c r="D1310" i="9"/>
  <c r="E1310" i="9"/>
  <c r="B1311" i="9"/>
  <c r="C1311" i="9"/>
  <c r="D1311" i="9"/>
  <c r="E1311" i="9"/>
  <c r="B1312" i="9"/>
  <c r="C1312" i="9"/>
  <c r="D1312" i="9"/>
  <c r="E1312" i="9"/>
  <c r="B1313" i="9"/>
  <c r="C1313" i="9"/>
  <c r="D1313" i="9"/>
  <c r="E1313" i="9"/>
  <c r="B1314" i="9"/>
  <c r="C1314" i="9"/>
  <c r="D1314" i="9"/>
  <c r="E1314" i="9"/>
  <c r="B1315" i="9"/>
  <c r="C1315" i="9"/>
  <c r="D1315" i="9"/>
  <c r="E1315" i="9"/>
  <c r="B1316" i="9"/>
  <c r="C1316" i="9"/>
  <c r="D1316" i="9"/>
  <c r="E1316" i="9"/>
  <c r="B1317" i="9"/>
  <c r="C1317" i="9"/>
  <c r="D1317" i="9"/>
  <c r="E1317" i="9"/>
  <c r="B1318" i="9"/>
  <c r="C1318" i="9"/>
  <c r="D1318" i="9"/>
  <c r="E1318" i="9"/>
  <c r="B1319" i="9"/>
  <c r="C1319" i="9"/>
  <c r="D1319" i="9"/>
  <c r="E1319" i="9"/>
  <c r="B1320" i="9"/>
  <c r="C1320" i="9"/>
  <c r="D1320" i="9"/>
  <c r="E1320" i="9"/>
  <c r="B1321" i="9"/>
  <c r="C1321" i="9"/>
  <c r="D1321" i="9"/>
  <c r="E1321" i="9"/>
  <c r="B1322" i="9"/>
  <c r="C1322" i="9"/>
  <c r="D1322" i="9"/>
  <c r="E1322" i="9"/>
  <c r="B1323" i="9"/>
  <c r="C1323" i="9"/>
  <c r="D1323" i="9"/>
  <c r="E1323" i="9"/>
  <c r="B1324" i="9"/>
  <c r="C1324" i="9"/>
  <c r="D1324" i="9"/>
  <c r="E1324" i="9"/>
  <c r="B1325" i="9"/>
  <c r="C1325" i="9"/>
  <c r="D1325" i="9"/>
  <c r="E1325" i="9"/>
  <c r="B1326" i="9"/>
  <c r="C1326" i="9"/>
  <c r="D1326" i="9"/>
  <c r="E1326" i="9"/>
  <c r="B1327" i="9"/>
  <c r="C1327" i="9"/>
  <c r="D1327" i="9"/>
  <c r="E1327" i="9"/>
  <c r="B1328" i="9"/>
  <c r="C1328" i="9"/>
  <c r="D1328" i="9"/>
  <c r="E1328" i="9"/>
  <c r="B1329" i="9"/>
  <c r="C1329" i="9"/>
  <c r="D1329" i="9"/>
  <c r="E1329" i="9"/>
  <c r="B1330" i="9"/>
  <c r="C1330" i="9"/>
  <c r="D1330" i="9"/>
  <c r="E1330" i="9"/>
  <c r="B1331" i="9"/>
  <c r="C1331" i="9"/>
  <c r="D1331" i="9"/>
  <c r="E1331" i="9"/>
  <c r="B1332" i="9"/>
  <c r="C1332" i="9"/>
  <c r="D1332" i="9"/>
  <c r="E1332" i="9"/>
  <c r="B1333" i="9"/>
  <c r="C1333" i="9"/>
  <c r="D1333" i="9"/>
  <c r="E1333" i="9"/>
  <c r="B1334" i="9"/>
  <c r="C1334" i="9"/>
  <c r="D1334" i="9"/>
  <c r="E1334" i="9"/>
  <c r="B1335" i="9"/>
  <c r="C1335" i="9"/>
  <c r="D1335" i="9"/>
  <c r="E1335" i="9"/>
  <c r="B1336" i="9"/>
  <c r="C1336" i="9"/>
  <c r="D1336" i="9"/>
  <c r="E1336" i="9"/>
  <c r="B1337" i="9"/>
  <c r="C1337" i="9"/>
  <c r="D1337" i="9"/>
  <c r="E1337" i="9"/>
  <c r="B1338" i="9"/>
  <c r="C1338" i="9"/>
  <c r="D1338" i="9"/>
  <c r="E1338" i="9"/>
  <c r="B1339" i="9"/>
  <c r="C1339" i="9"/>
  <c r="D1339" i="9"/>
  <c r="E1339" i="9"/>
  <c r="B1340" i="9"/>
  <c r="C1340" i="9"/>
  <c r="D1340" i="9"/>
  <c r="E1340" i="9"/>
  <c r="B1341" i="9"/>
  <c r="C1341" i="9"/>
  <c r="D1341" i="9"/>
  <c r="E1341" i="9"/>
  <c r="B1342" i="9"/>
  <c r="C1342" i="9"/>
  <c r="D1342" i="9"/>
  <c r="E1342" i="9"/>
  <c r="B1343" i="9"/>
  <c r="C1343" i="9"/>
  <c r="D1343" i="9"/>
  <c r="E1343" i="9"/>
  <c r="B1344" i="9"/>
  <c r="C1344" i="9"/>
  <c r="D1344" i="9"/>
  <c r="E1344" i="9"/>
  <c r="B1345" i="9"/>
  <c r="C1345" i="9"/>
  <c r="D1345" i="9"/>
  <c r="E1345" i="9"/>
  <c r="B1346" i="9"/>
  <c r="C1346" i="9"/>
  <c r="D1346" i="9"/>
  <c r="E1346" i="9"/>
  <c r="B1347" i="9"/>
  <c r="C1347" i="9"/>
  <c r="D1347" i="9"/>
  <c r="E1347" i="9"/>
  <c r="B1348" i="9"/>
  <c r="C1348" i="9"/>
  <c r="D1348" i="9"/>
  <c r="E1348" i="9"/>
  <c r="B1349" i="9"/>
  <c r="C1349" i="9"/>
  <c r="D1349" i="9"/>
  <c r="E1349" i="9"/>
  <c r="B1350" i="9"/>
  <c r="C1350" i="9"/>
  <c r="D1350" i="9"/>
  <c r="E1350" i="9"/>
  <c r="B1351" i="9"/>
  <c r="C1351" i="9"/>
  <c r="D1351" i="9"/>
  <c r="E1351" i="9"/>
  <c r="B1352" i="9"/>
  <c r="C1352" i="9"/>
  <c r="D1352" i="9"/>
  <c r="E1352" i="9"/>
  <c r="B1353" i="9"/>
  <c r="C1353" i="9"/>
  <c r="D1353" i="9"/>
  <c r="E1353" i="9"/>
  <c r="B1354" i="9"/>
  <c r="C1354" i="9"/>
  <c r="D1354" i="9"/>
  <c r="E1354" i="9"/>
  <c r="B1355" i="9"/>
  <c r="C1355" i="9"/>
  <c r="D1355" i="9"/>
  <c r="E1355" i="9"/>
  <c r="B1356" i="9"/>
  <c r="C1356" i="9"/>
  <c r="D1356" i="9"/>
  <c r="E1356" i="9"/>
  <c r="B1357" i="9"/>
  <c r="C1357" i="9"/>
  <c r="D1357" i="9"/>
  <c r="E1357" i="9"/>
  <c r="B1358" i="9"/>
  <c r="C1358" i="9"/>
  <c r="D1358" i="9"/>
  <c r="E1358" i="9"/>
  <c r="B1359" i="9"/>
  <c r="C1359" i="9"/>
  <c r="D1359" i="9"/>
  <c r="E1359" i="9"/>
  <c r="B1360" i="9"/>
  <c r="C1360" i="9"/>
  <c r="D1360" i="9"/>
  <c r="E1360" i="9"/>
  <c r="B1361" i="9"/>
  <c r="C1361" i="9"/>
  <c r="D1361" i="9"/>
  <c r="E1361" i="9"/>
  <c r="B1362" i="9"/>
  <c r="C1362" i="9"/>
  <c r="D1362" i="9"/>
  <c r="E1362" i="9"/>
  <c r="B1363" i="9"/>
  <c r="C1363" i="9"/>
  <c r="D1363" i="9"/>
  <c r="E1363" i="9"/>
  <c r="B1364" i="9"/>
  <c r="C1364" i="9"/>
  <c r="D1364" i="9"/>
  <c r="E1364" i="9"/>
  <c r="C1365" i="9"/>
  <c r="D1365" i="9"/>
  <c r="E1365" i="9"/>
  <c r="B1366" i="9"/>
  <c r="C1366" i="9"/>
  <c r="D1366" i="9"/>
  <c r="E1366" i="9"/>
  <c r="B1367" i="9"/>
  <c r="C1367" i="9"/>
  <c r="D1367" i="9"/>
  <c r="E1367" i="9"/>
  <c r="B1368" i="9"/>
  <c r="C1368" i="9"/>
  <c r="D1368" i="9"/>
  <c r="E1368" i="9"/>
  <c r="B1369" i="9"/>
  <c r="C1369" i="9"/>
  <c r="D1369" i="9"/>
  <c r="E1369" i="9"/>
  <c r="B1370" i="9"/>
  <c r="C1370" i="9"/>
  <c r="D1370" i="9"/>
  <c r="E1370" i="9"/>
  <c r="B1371" i="9"/>
  <c r="C1371" i="9"/>
  <c r="D1371" i="9"/>
  <c r="E1371" i="9"/>
  <c r="B1372" i="9"/>
  <c r="C1372" i="9"/>
  <c r="D1372" i="9"/>
  <c r="E1372" i="9"/>
  <c r="B1373" i="9"/>
  <c r="C1373" i="9"/>
  <c r="D1373" i="9"/>
  <c r="E1373" i="9"/>
  <c r="B1374" i="9"/>
  <c r="C1374" i="9"/>
  <c r="D1374" i="9"/>
  <c r="E1374" i="9"/>
  <c r="B1375" i="9"/>
  <c r="C1375" i="9"/>
  <c r="D1375" i="9"/>
  <c r="E1375" i="9"/>
  <c r="B1376" i="9"/>
  <c r="C1376" i="9"/>
  <c r="D1376" i="9"/>
  <c r="E1376" i="9"/>
  <c r="B1377" i="9"/>
  <c r="C1377" i="9"/>
  <c r="D1377" i="9"/>
  <c r="E1377" i="9"/>
  <c r="B1378" i="9"/>
  <c r="C1378" i="9"/>
  <c r="D1378" i="9"/>
  <c r="E1378" i="9"/>
  <c r="B1379" i="9"/>
  <c r="C1379" i="9"/>
  <c r="D1379" i="9"/>
  <c r="E1379" i="9"/>
  <c r="B1380" i="9"/>
  <c r="C1380" i="9"/>
  <c r="D1380" i="9"/>
  <c r="E1380" i="9"/>
  <c r="B1381" i="9"/>
  <c r="C1381" i="9"/>
  <c r="D1381" i="9"/>
  <c r="E1381" i="9"/>
  <c r="B1382" i="9"/>
  <c r="C1382" i="9"/>
  <c r="D1382" i="9"/>
  <c r="E1382" i="9"/>
  <c r="B1383" i="9"/>
  <c r="C1383" i="9"/>
  <c r="D1383" i="9"/>
  <c r="E1383" i="9"/>
  <c r="B1384" i="9"/>
  <c r="C1384" i="9"/>
  <c r="D1384" i="9"/>
  <c r="E1384" i="9"/>
  <c r="B1385" i="9"/>
  <c r="C1385" i="9"/>
  <c r="D1385" i="9"/>
  <c r="E1385" i="9"/>
  <c r="B1386" i="9"/>
  <c r="C1386" i="9"/>
  <c r="D1386" i="9"/>
  <c r="E1386" i="9"/>
  <c r="B1387" i="9"/>
  <c r="C1387" i="9"/>
  <c r="D1387" i="9"/>
  <c r="E1387" i="9"/>
  <c r="B1388" i="9"/>
  <c r="C1388" i="9"/>
  <c r="D1388" i="9"/>
  <c r="E1388" i="9"/>
  <c r="B1389" i="9"/>
  <c r="C1389" i="9"/>
  <c r="D1389" i="9"/>
  <c r="E1389" i="9"/>
  <c r="B1390" i="9"/>
  <c r="C1390" i="9"/>
  <c r="D1390" i="9"/>
  <c r="E1390" i="9"/>
  <c r="B1391" i="9"/>
  <c r="C1391" i="9"/>
  <c r="D1391" i="9"/>
  <c r="E1391" i="9"/>
  <c r="B1392" i="9"/>
  <c r="C1392" i="9"/>
  <c r="D1392" i="9"/>
  <c r="E1392" i="9"/>
  <c r="B1393" i="9"/>
  <c r="C1393" i="9"/>
  <c r="D1393" i="9"/>
  <c r="E1393" i="9"/>
  <c r="B1394" i="9"/>
  <c r="C1394" i="9"/>
  <c r="D1394" i="9"/>
  <c r="E1394" i="9"/>
  <c r="B1395" i="9"/>
  <c r="C1395" i="9"/>
  <c r="D1395" i="9"/>
  <c r="E1395" i="9"/>
  <c r="B1396" i="9"/>
  <c r="C1396" i="9"/>
  <c r="D1396" i="9"/>
  <c r="E1396" i="9"/>
  <c r="B1397" i="9"/>
  <c r="C1397" i="9"/>
  <c r="D1397" i="9"/>
  <c r="E1397" i="9"/>
  <c r="B1398" i="9"/>
  <c r="C1398" i="9"/>
  <c r="D1398" i="9"/>
  <c r="E1398" i="9"/>
  <c r="B1399" i="9"/>
  <c r="C1399" i="9"/>
  <c r="D1399" i="9"/>
  <c r="E1399" i="9"/>
  <c r="B1400" i="9"/>
  <c r="C1400" i="9"/>
  <c r="D1400" i="9"/>
  <c r="E1400" i="9"/>
  <c r="B1401" i="9"/>
  <c r="C1401" i="9"/>
  <c r="D1401" i="9"/>
  <c r="E1401" i="9"/>
  <c r="B1402" i="9"/>
  <c r="C1402" i="9"/>
  <c r="D1402" i="9"/>
  <c r="E1402" i="9"/>
  <c r="C1403" i="9"/>
  <c r="D1403" i="9"/>
  <c r="E1403" i="9"/>
  <c r="C1404" i="9"/>
  <c r="D1404" i="9"/>
  <c r="E1404" i="9"/>
  <c r="C1405" i="9"/>
  <c r="D1405" i="9"/>
  <c r="E1405" i="9"/>
  <c r="C1406" i="9"/>
  <c r="D1406" i="9"/>
  <c r="E1406" i="9"/>
  <c r="C1407" i="9"/>
  <c r="D1407" i="9"/>
  <c r="E1407" i="9"/>
  <c r="C1408" i="9"/>
  <c r="D1408" i="9"/>
  <c r="E1408" i="9"/>
  <c r="C1409" i="9"/>
  <c r="D1409" i="9"/>
  <c r="E1409" i="9"/>
  <c r="C1410" i="9"/>
  <c r="D1410" i="9"/>
  <c r="E1410" i="9"/>
  <c r="C1411" i="9"/>
  <c r="D1411" i="9"/>
  <c r="E1411" i="9"/>
  <c r="C1412" i="9"/>
  <c r="D1412" i="9"/>
  <c r="E1412" i="9"/>
  <c r="C1413" i="9"/>
  <c r="D1413" i="9"/>
  <c r="E1413" i="9"/>
  <c r="C1414" i="9"/>
  <c r="D1414" i="9"/>
  <c r="E1414" i="9"/>
  <c r="C1415" i="9"/>
  <c r="D1415" i="9"/>
  <c r="E1415" i="9"/>
  <c r="C1416" i="9"/>
  <c r="D1416" i="9"/>
  <c r="E1416" i="9"/>
  <c r="C1417" i="9"/>
  <c r="D1417" i="9"/>
  <c r="E1417" i="9"/>
  <c r="C1418" i="9"/>
  <c r="D1418" i="9"/>
  <c r="E1418" i="9"/>
  <c r="C1419" i="9"/>
  <c r="D1419" i="9"/>
  <c r="E1419" i="9"/>
  <c r="C1420" i="9"/>
  <c r="D1420" i="9"/>
  <c r="E1420" i="9"/>
  <c r="C1421" i="9"/>
  <c r="D1421" i="9"/>
  <c r="E1421" i="9"/>
  <c r="C1422" i="9"/>
  <c r="D1422" i="9"/>
  <c r="E1422" i="9"/>
  <c r="C1423" i="9"/>
  <c r="D1423" i="9"/>
  <c r="E1423" i="9"/>
  <c r="C1424" i="9"/>
  <c r="D1424" i="9"/>
  <c r="E1424" i="9"/>
  <c r="C1425" i="9"/>
  <c r="D1425" i="9"/>
  <c r="E1425" i="9"/>
  <c r="C1426" i="9"/>
  <c r="D1426" i="9"/>
  <c r="E1426" i="9"/>
  <c r="C1427" i="9"/>
  <c r="D1427" i="9"/>
  <c r="E1427" i="9"/>
  <c r="C1428" i="9"/>
  <c r="D1428" i="9"/>
  <c r="E1428" i="9"/>
  <c r="C1429" i="9"/>
  <c r="D1429" i="9"/>
  <c r="E1429" i="9"/>
  <c r="C1430" i="9"/>
  <c r="D1430" i="9"/>
  <c r="E1430" i="9"/>
  <c r="C1431" i="9"/>
  <c r="D1431" i="9"/>
  <c r="E1431" i="9"/>
  <c r="C1432" i="9"/>
  <c r="D1432" i="9"/>
  <c r="E1432" i="9"/>
  <c r="C1433" i="9"/>
  <c r="D1433" i="9"/>
  <c r="E1433" i="9"/>
  <c r="C1434" i="9"/>
  <c r="D1434" i="9"/>
  <c r="E1434" i="9"/>
  <c r="C1435" i="9"/>
  <c r="D1435" i="9"/>
  <c r="E1435" i="9"/>
  <c r="C1436" i="9"/>
  <c r="D1436" i="9"/>
  <c r="E1436" i="9"/>
  <c r="C1437" i="9"/>
  <c r="D1437" i="9"/>
  <c r="E1437" i="9"/>
  <c r="C1438" i="9"/>
  <c r="D1438" i="9"/>
  <c r="E1438" i="9"/>
  <c r="C1439" i="9"/>
  <c r="D1439" i="9"/>
  <c r="E1439" i="9"/>
  <c r="C1440" i="9"/>
  <c r="D1440" i="9"/>
  <c r="E1440" i="9"/>
  <c r="C1441" i="9"/>
  <c r="D1441" i="9"/>
  <c r="E1441" i="9"/>
  <c r="C1442" i="9"/>
  <c r="D1442" i="9"/>
  <c r="E1442" i="9"/>
  <c r="C1443" i="9"/>
  <c r="D1443" i="9"/>
  <c r="E1443" i="9"/>
  <c r="C1444" i="9"/>
  <c r="D1444" i="9"/>
  <c r="E1444" i="9"/>
  <c r="C1445" i="9"/>
  <c r="D1445" i="9"/>
  <c r="E1445" i="9"/>
  <c r="C1446" i="9"/>
  <c r="D1446" i="9"/>
  <c r="E1446" i="9"/>
  <c r="C1447" i="9"/>
  <c r="D1447" i="9"/>
  <c r="E1447" i="9"/>
  <c r="C1448" i="9"/>
  <c r="D1448" i="9"/>
  <c r="E1448" i="9"/>
  <c r="C1449" i="9"/>
  <c r="D1449" i="9"/>
  <c r="E1449" i="9"/>
  <c r="C1450" i="9"/>
  <c r="D1450" i="9"/>
  <c r="E1450" i="9"/>
  <c r="C1451" i="9"/>
  <c r="D1451" i="9"/>
  <c r="E1451" i="9"/>
  <c r="C1452" i="9"/>
  <c r="D1452" i="9"/>
  <c r="E1452" i="9"/>
  <c r="C1453" i="9"/>
  <c r="D1453" i="9"/>
  <c r="E1453" i="9"/>
  <c r="C1454" i="9"/>
  <c r="D1454" i="9"/>
  <c r="E1454" i="9"/>
  <c r="C1455" i="9"/>
  <c r="D1455" i="9"/>
  <c r="E1455" i="9"/>
  <c r="C1456" i="9"/>
  <c r="D1456" i="9"/>
  <c r="E1456" i="9"/>
  <c r="C1457" i="9"/>
  <c r="D1457" i="9"/>
  <c r="E1457" i="9"/>
  <c r="C1458" i="9"/>
  <c r="D1458" i="9"/>
  <c r="E1458" i="9"/>
  <c r="C1459" i="9"/>
  <c r="D1459" i="9"/>
  <c r="E1459" i="9"/>
  <c r="C1460" i="9"/>
  <c r="D1460" i="9"/>
  <c r="E1460" i="9"/>
  <c r="C1461" i="9"/>
  <c r="D1461" i="9"/>
  <c r="E1461" i="9"/>
  <c r="C1462" i="9"/>
  <c r="D1462" i="9"/>
  <c r="E1462" i="9"/>
  <c r="C1463" i="9"/>
  <c r="D1463" i="9"/>
  <c r="E1463" i="9"/>
  <c r="C1464" i="9"/>
  <c r="D1464" i="9"/>
  <c r="E1464" i="9"/>
  <c r="C1465" i="9"/>
  <c r="D1465" i="9"/>
  <c r="E1465" i="9"/>
  <c r="C1466" i="9"/>
  <c r="D1466" i="9"/>
  <c r="E1466" i="9"/>
  <c r="C1467" i="9"/>
  <c r="D1467" i="9"/>
  <c r="E1467" i="9"/>
  <c r="C1468" i="9"/>
  <c r="D1468" i="9"/>
  <c r="E1468" i="9"/>
  <c r="C1469" i="9"/>
  <c r="D1469" i="9"/>
  <c r="E1469" i="9"/>
  <c r="C1470" i="9"/>
  <c r="D1470" i="9"/>
  <c r="E1470" i="9"/>
  <c r="C1471" i="9"/>
  <c r="D1471" i="9"/>
  <c r="E1471" i="9"/>
  <c r="C1472" i="9"/>
  <c r="D1472" i="9"/>
  <c r="E1472" i="9"/>
  <c r="C1473" i="9"/>
  <c r="D1473" i="9"/>
  <c r="E1473" i="9"/>
  <c r="C1474" i="9"/>
  <c r="D1474" i="9"/>
  <c r="E1474" i="9"/>
  <c r="C1475" i="9"/>
  <c r="D1475" i="9"/>
  <c r="E1475" i="9"/>
  <c r="C1476" i="9"/>
  <c r="D1476" i="9"/>
  <c r="E1476" i="9"/>
  <c r="C1477" i="9"/>
  <c r="D1477" i="9"/>
  <c r="E1477" i="9"/>
  <c r="C1478" i="9"/>
  <c r="D1478" i="9"/>
  <c r="E1478" i="9"/>
  <c r="C1479" i="9"/>
  <c r="D1479" i="9"/>
  <c r="E1479" i="9"/>
  <c r="C1480" i="9"/>
  <c r="D1480" i="9"/>
  <c r="E1480" i="9"/>
  <c r="C1481" i="9"/>
  <c r="D1481" i="9"/>
  <c r="E1481" i="9"/>
  <c r="C1482" i="9"/>
  <c r="D1482" i="9"/>
  <c r="E1482" i="9"/>
  <c r="C1483" i="9"/>
  <c r="D1483" i="9"/>
  <c r="E1483" i="9"/>
  <c r="C1484" i="9"/>
  <c r="D1484" i="9"/>
  <c r="E1484" i="9"/>
  <c r="C1485" i="9"/>
  <c r="D1485" i="9"/>
  <c r="E1485" i="9"/>
  <c r="C1486" i="9"/>
  <c r="D1486" i="9"/>
  <c r="E1486" i="9"/>
  <c r="C1487" i="9"/>
  <c r="D1487" i="9"/>
  <c r="E1487" i="9"/>
  <c r="C1488" i="9"/>
  <c r="D1488" i="9"/>
  <c r="E1488" i="9"/>
  <c r="C1489" i="9"/>
  <c r="D1489" i="9"/>
  <c r="E1489" i="9"/>
  <c r="C1490" i="9"/>
  <c r="D1490" i="9"/>
  <c r="E1490" i="9"/>
  <c r="C1491" i="9"/>
  <c r="D1491" i="9"/>
  <c r="E1491" i="9"/>
  <c r="C1492" i="9"/>
  <c r="D1492" i="9"/>
  <c r="E1492" i="9"/>
  <c r="C1493" i="9"/>
  <c r="D1493" i="9"/>
  <c r="E1493" i="9"/>
  <c r="C1494" i="9"/>
  <c r="D1494" i="9"/>
  <c r="E1494" i="9"/>
  <c r="C1495" i="9"/>
  <c r="D1495" i="9"/>
  <c r="E1495" i="9"/>
  <c r="C1496" i="9"/>
  <c r="D1496" i="9"/>
  <c r="E1496" i="9"/>
  <c r="C1497" i="9"/>
  <c r="D1497" i="9"/>
  <c r="E1497" i="9"/>
  <c r="C1498" i="9"/>
  <c r="D1498" i="9"/>
  <c r="E1498" i="9"/>
  <c r="C1499" i="9"/>
  <c r="D1499" i="9"/>
  <c r="E1499" i="9"/>
  <c r="C1500" i="9"/>
  <c r="D1500" i="9"/>
  <c r="E1500" i="9"/>
  <c r="C1501" i="9"/>
  <c r="D1501" i="9"/>
  <c r="E1501" i="9"/>
  <c r="C1502" i="9"/>
  <c r="D1502" i="9"/>
  <c r="E1502" i="9"/>
  <c r="C1503" i="9"/>
  <c r="D1503" i="9"/>
  <c r="E1503" i="9"/>
  <c r="C1504" i="9"/>
  <c r="D1504" i="9"/>
  <c r="E1504" i="9"/>
  <c r="C1505" i="9"/>
  <c r="D1505" i="9"/>
  <c r="E1505" i="9"/>
  <c r="C1506" i="9"/>
  <c r="D1506" i="9"/>
  <c r="E1506" i="9"/>
  <c r="C1507" i="9"/>
  <c r="D1507" i="9"/>
  <c r="E1507" i="9"/>
  <c r="C1508" i="9"/>
  <c r="D1508" i="9"/>
  <c r="E1508" i="9"/>
  <c r="C1509" i="9"/>
  <c r="D1509" i="9"/>
  <c r="E1509" i="9"/>
  <c r="C1510" i="9"/>
  <c r="D1510" i="9"/>
  <c r="E1510" i="9"/>
  <c r="C1511" i="9"/>
  <c r="D1511" i="9"/>
  <c r="E1511" i="9"/>
  <c r="C1512" i="9"/>
  <c r="D1512" i="9"/>
  <c r="E1512" i="9"/>
  <c r="C1513" i="9"/>
  <c r="D1513" i="9"/>
  <c r="E1513" i="9"/>
  <c r="C1514" i="9"/>
  <c r="D1514" i="9"/>
  <c r="E1514" i="9"/>
  <c r="C1515" i="9"/>
  <c r="D1515" i="9"/>
  <c r="E1515" i="9"/>
  <c r="C1516" i="9"/>
  <c r="D1516" i="9"/>
  <c r="E1516" i="9"/>
  <c r="C1517" i="9"/>
  <c r="D1517" i="9"/>
  <c r="E1517" i="9"/>
  <c r="C1518" i="9"/>
  <c r="D1518" i="9"/>
  <c r="E1518" i="9"/>
  <c r="C1519" i="9"/>
  <c r="D1519" i="9"/>
  <c r="E1519" i="9"/>
  <c r="C1520" i="9"/>
  <c r="D1520" i="9"/>
  <c r="E1520" i="9"/>
  <c r="C1521" i="9"/>
  <c r="D1521" i="9"/>
  <c r="E1521" i="9"/>
  <c r="C1522" i="9"/>
  <c r="D1522" i="9"/>
  <c r="E1522" i="9"/>
  <c r="C1523" i="9"/>
  <c r="D1523" i="9"/>
  <c r="E1523" i="9"/>
  <c r="C1524" i="9"/>
  <c r="D1524" i="9"/>
  <c r="E1524" i="9"/>
  <c r="C1525" i="9"/>
  <c r="D1525" i="9"/>
  <c r="E1525" i="9"/>
  <c r="C1526" i="9"/>
  <c r="D1526" i="9"/>
  <c r="E1526" i="9"/>
  <c r="C1527" i="9"/>
  <c r="D1527" i="9"/>
  <c r="E1527" i="9"/>
  <c r="C1528" i="9"/>
  <c r="D1528" i="9"/>
  <c r="E1528" i="9"/>
  <c r="C1529" i="9"/>
  <c r="D1529" i="9"/>
  <c r="E1529" i="9"/>
  <c r="C1530" i="9"/>
  <c r="D1530" i="9"/>
  <c r="E1530" i="9"/>
  <c r="C1531" i="9"/>
  <c r="D1531" i="9"/>
  <c r="E1531" i="9"/>
  <c r="C1532" i="9"/>
  <c r="D1532" i="9"/>
  <c r="E1532" i="9"/>
  <c r="C1533" i="9"/>
  <c r="D1533" i="9"/>
  <c r="E1533" i="9"/>
  <c r="C1534" i="9"/>
  <c r="D1534" i="9"/>
  <c r="E1534" i="9"/>
  <c r="C1535" i="9"/>
  <c r="D1535" i="9"/>
  <c r="E1535" i="9"/>
  <c r="C1536" i="9"/>
  <c r="D1536" i="9"/>
  <c r="E1536" i="9"/>
  <c r="C1537" i="9"/>
  <c r="D1537" i="9"/>
  <c r="E1537" i="9"/>
  <c r="C1538" i="9"/>
  <c r="D1538" i="9"/>
  <c r="E1538" i="9"/>
  <c r="C1539" i="9"/>
  <c r="D1539" i="9"/>
  <c r="E1539" i="9"/>
  <c r="C1540" i="9"/>
  <c r="D1540" i="9"/>
  <c r="E1540" i="9"/>
  <c r="C1541" i="9"/>
  <c r="D1541" i="9"/>
  <c r="E1541" i="9"/>
  <c r="C1542" i="9"/>
  <c r="D1542" i="9"/>
  <c r="E1542" i="9"/>
  <c r="C1543" i="9"/>
  <c r="D1543" i="9"/>
  <c r="E1543" i="9"/>
  <c r="C1544" i="9"/>
  <c r="D1544" i="9"/>
  <c r="E1544" i="9"/>
  <c r="C1545" i="9"/>
  <c r="D1545" i="9"/>
  <c r="E1545" i="9"/>
  <c r="C1546" i="9"/>
  <c r="D1546" i="9"/>
  <c r="E1546" i="9"/>
  <c r="C1547" i="9"/>
  <c r="D1547" i="9"/>
  <c r="E1547" i="9"/>
  <c r="C1548" i="9"/>
  <c r="D1548" i="9"/>
  <c r="E1548" i="9"/>
  <c r="C1549" i="9"/>
  <c r="D1549" i="9"/>
  <c r="E1549" i="9"/>
  <c r="C1550" i="9"/>
  <c r="D1550" i="9"/>
  <c r="E1550" i="9"/>
  <c r="C1551" i="9"/>
  <c r="D1551" i="9"/>
  <c r="E1551" i="9"/>
  <c r="C1552" i="9"/>
  <c r="D1552" i="9"/>
  <c r="E1552" i="9"/>
  <c r="C1553" i="9"/>
  <c r="D1553" i="9"/>
  <c r="E1553" i="9"/>
  <c r="C1554" i="9"/>
  <c r="D1554" i="9"/>
  <c r="E1554" i="9"/>
  <c r="C1555" i="9"/>
  <c r="D1555" i="9"/>
  <c r="E1555" i="9"/>
  <c r="C1556" i="9"/>
  <c r="D1556" i="9"/>
  <c r="E1556" i="9"/>
  <c r="C1557" i="9"/>
  <c r="D1557" i="9"/>
  <c r="E1557" i="9"/>
  <c r="C1558" i="9"/>
  <c r="D1558" i="9"/>
  <c r="E1558" i="9"/>
  <c r="C1559" i="9"/>
  <c r="D1559" i="9"/>
  <c r="E1559" i="9"/>
  <c r="C1560" i="9"/>
  <c r="D1560" i="9"/>
  <c r="E1560" i="9"/>
  <c r="C1561" i="9"/>
  <c r="D1561" i="9"/>
  <c r="E1561" i="9"/>
  <c r="C1562" i="9"/>
  <c r="D1562" i="9"/>
  <c r="E1562" i="9"/>
  <c r="C1563" i="9"/>
  <c r="D1563" i="9"/>
  <c r="E1563" i="9"/>
  <c r="C1564" i="9"/>
  <c r="D1564" i="9"/>
  <c r="E1564" i="9"/>
  <c r="C1565" i="9"/>
  <c r="D1565" i="9"/>
  <c r="E1565" i="9"/>
  <c r="C1566" i="9"/>
  <c r="D1566" i="9"/>
  <c r="E1566" i="9"/>
  <c r="C1567" i="9"/>
  <c r="D1567" i="9"/>
  <c r="E1567" i="9"/>
  <c r="C1568" i="9"/>
  <c r="D1568" i="9"/>
  <c r="E1568" i="9"/>
  <c r="C1569" i="9"/>
  <c r="D1569" i="9"/>
  <c r="E1569" i="9"/>
  <c r="C1570" i="9"/>
  <c r="D1570" i="9"/>
  <c r="E1570" i="9"/>
  <c r="C1571" i="9"/>
  <c r="D1571" i="9"/>
  <c r="E1571" i="9"/>
  <c r="C1572" i="9"/>
  <c r="D1572" i="9"/>
  <c r="E1572" i="9"/>
  <c r="C1573" i="9"/>
  <c r="D1573" i="9"/>
  <c r="E1573" i="9"/>
  <c r="C1574" i="9"/>
  <c r="D1574" i="9"/>
  <c r="E1574" i="9"/>
  <c r="C1575" i="9"/>
  <c r="D1575" i="9"/>
  <c r="E1575" i="9"/>
  <c r="C1576" i="9"/>
  <c r="D1576" i="9"/>
  <c r="E1576" i="9"/>
  <c r="C1577" i="9"/>
  <c r="D1577" i="9"/>
  <c r="E1577" i="9"/>
  <c r="C1578" i="9"/>
  <c r="D1578" i="9"/>
  <c r="E1578" i="9"/>
  <c r="C1579" i="9"/>
  <c r="D1579" i="9"/>
  <c r="E1579" i="9"/>
  <c r="C1580" i="9"/>
  <c r="D1580" i="9"/>
  <c r="E1580" i="9"/>
  <c r="C1581" i="9"/>
  <c r="D1581" i="9"/>
  <c r="E1581" i="9"/>
  <c r="C1582" i="9"/>
  <c r="D1582" i="9"/>
  <c r="E1582" i="9"/>
  <c r="C1583" i="9"/>
  <c r="D1583" i="9"/>
  <c r="E1583" i="9"/>
  <c r="C1584" i="9"/>
  <c r="D1584" i="9"/>
  <c r="E1584" i="9"/>
  <c r="C1585" i="9"/>
  <c r="D1585" i="9"/>
  <c r="E1585" i="9"/>
  <c r="C1586" i="9"/>
  <c r="D1586" i="9"/>
  <c r="E1586" i="9"/>
  <c r="C1587" i="9"/>
  <c r="D1587" i="9"/>
  <c r="E1587" i="9"/>
  <c r="C1588" i="9"/>
  <c r="D1588" i="9"/>
  <c r="E1588" i="9"/>
  <c r="C1589" i="9"/>
  <c r="D1589" i="9"/>
  <c r="E1589" i="9"/>
  <c r="C1590" i="9"/>
  <c r="D1590" i="9"/>
  <c r="E1590" i="9"/>
  <c r="C1591" i="9"/>
  <c r="D1591" i="9"/>
  <c r="E1591" i="9"/>
  <c r="C1592" i="9"/>
  <c r="D1592" i="9"/>
  <c r="E1592" i="9"/>
  <c r="C1593" i="9"/>
  <c r="D1593" i="9"/>
  <c r="E1593" i="9"/>
  <c r="C1594" i="9"/>
  <c r="D1594" i="9"/>
  <c r="E1594" i="9"/>
  <c r="C1595" i="9"/>
  <c r="D1595" i="9"/>
  <c r="E1595" i="9"/>
  <c r="C1596" i="9"/>
  <c r="D1596" i="9"/>
  <c r="E1596" i="9"/>
  <c r="C1597" i="9"/>
  <c r="D1597" i="9"/>
  <c r="E1597" i="9"/>
  <c r="C1598" i="9"/>
  <c r="D1598" i="9"/>
  <c r="E1598" i="9"/>
  <c r="C1599" i="9"/>
  <c r="D1599" i="9"/>
  <c r="E1599" i="9"/>
  <c r="C1600" i="9"/>
  <c r="D1600" i="9"/>
  <c r="E1600" i="9"/>
  <c r="C1601" i="9"/>
  <c r="D1601" i="9"/>
  <c r="E1601" i="9"/>
  <c r="C1602" i="9"/>
  <c r="D1602" i="9"/>
  <c r="E1602" i="9"/>
  <c r="C1603" i="9"/>
  <c r="D1603" i="9"/>
  <c r="E1603" i="9"/>
  <c r="C1604" i="9"/>
  <c r="D1604" i="9"/>
  <c r="E1604" i="9"/>
  <c r="C1605" i="9"/>
  <c r="D1605" i="9"/>
  <c r="E1605" i="9"/>
  <c r="C1606" i="9"/>
  <c r="D1606" i="9"/>
  <c r="E1606" i="9"/>
  <c r="C1607" i="9"/>
  <c r="D1607" i="9"/>
  <c r="E1607" i="9"/>
  <c r="C1608" i="9"/>
  <c r="D1608" i="9"/>
  <c r="E1608" i="9"/>
  <c r="C1609" i="9"/>
  <c r="D1609" i="9"/>
  <c r="E1609" i="9"/>
  <c r="C1610" i="9"/>
  <c r="D1610" i="9"/>
  <c r="E1610" i="9"/>
  <c r="C1611" i="9"/>
  <c r="D1611" i="9"/>
  <c r="E1611" i="9"/>
  <c r="C1612" i="9"/>
  <c r="D1612" i="9"/>
  <c r="E1612" i="9"/>
  <c r="C1613" i="9"/>
  <c r="D1613" i="9"/>
  <c r="E1613" i="9"/>
  <c r="C1614" i="9"/>
  <c r="D1614" i="9"/>
  <c r="E1614" i="9"/>
  <c r="C1615" i="9"/>
  <c r="D1615" i="9"/>
  <c r="E1615" i="9"/>
  <c r="C1616" i="9"/>
  <c r="D1616" i="9"/>
  <c r="E1616" i="9"/>
  <c r="C1617" i="9"/>
  <c r="D1617" i="9"/>
  <c r="E1617" i="9"/>
  <c r="C1618" i="9"/>
  <c r="D1618" i="9"/>
  <c r="E1618" i="9"/>
  <c r="C1619" i="9"/>
  <c r="D1619" i="9"/>
  <c r="E1619" i="9"/>
  <c r="C1620" i="9"/>
  <c r="D1620" i="9"/>
  <c r="E1620" i="9"/>
  <c r="C1621" i="9"/>
  <c r="D1621" i="9"/>
  <c r="E1621" i="9"/>
  <c r="C1622" i="9"/>
  <c r="D1622" i="9"/>
  <c r="E1622" i="9"/>
  <c r="C1623" i="9"/>
  <c r="D1623" i="9"/>
  <c r="E1623" i="9"/>
  <c r="C1624" i="9"/>
  <c r="D1624" i="9"/>
  <c r="E1624" i="9"/>
  <c r="C1625" i="9"/>
  <c r="D1625" i="9"/>
  <c r="E1625" i="9"/>
  <c r="C1626" i="9"/>
  <c r="D1626" i="9"/>
  <c r="E1626" i="9"/>
  <c r="C1627" i="9"/>
  <c r="D1627" i="9"/>
  <c r="E1627" i="9"/>
  <c r="C1628" i="9"/>
  <c r="D1628" i="9"/>
  <c r="E1628" i="9"/>
  <c r="C1629" i="9"/>
  <c r="D1629" i="9"/>
  <c r="E1629" i="9"/>
  <c r="C1630" i="9"/>
  <c r="D1630" i="9"/>
  <c r="E1630" i="9"/>
  <c r="C1631" i="9"/>
  <c r="D1631" i="9"/>
  <c r="E1631" i="9"/>
  <c r="C1632" i="9"/>
  <c r="D1632" i="9"/>
  <c r="E1632" i="9"/>
  <c r="C1633" i="9"/>
  <c r="D1633" i="9"/>
  <c r="E1633" i="9"/>
  <c r="C1634" i="9"/>
  <c r="D1634" i="9"/>
  <c r="E1634" i="9"/>
  <c r="C1635" i="9"/>
  <c r="D1635" i="9"/>
  <c r="E1635" i="9"/>
  <c r="C1636" i="9"/>
  <c r="D1636" i="9"/>
  <c r="E1636" i="9"/>
  <c r="C1637" i="9"/>
  <c r="D1637" i="9"/>
  <c r="E1637" i="9"/>
  <c r="C1638" i="9"/>
  <c r="D1638" i="9"/>
  <c r="E1638" i="9"/>
  <c r="C1639" i="9"/>
  <c r="D1639" i="9"/>
  <c r="E1639" i="9"/>
  <c r="C1640" i="9"/>
  <c r="D1640" i="9"/>
  <c r="E1640" i="9"/>
  <c r="C1641" i="9"/>
  <c r="D1641" i="9"/>
  <c r="E1641" i="9"/>
  <c r="C1642" i="9"/>
  <c r="D1642" i="9"/>
  <c r="E1642" i="9"/>
  <c r="C1643" i="9"/>
  <c r="D1643" i="9"/>
  <c r="E1643" i="9"/>
  <c r="C1644" i="9"/>
  <c r="D1644" i="9"/>
  <c r="E1644" i="9"/>
  <c r="C1645" i="9"/>
  <c r="D1645" i="9"/>
  <c r="E1645" i="9"/>
  <c r="C1646" i="9"/>
  <c r="D1646" i="9"/>
  <c r="E1646" i="9"/>
  <c r="C1647" i="9"/>
  <c r="D1647" i="9"/>
  <c r="E1647" i="9"/>
  <c r="C1648" i="9"/>
  <c r="D1648" i="9"/>
  <c r="E1648" i="9"/>
  <c r="C1649" i="9"/>
  <c r="D1649" i="9"/>
  <c r="E1649" i="9"/>
  <c r="C1650" i="9"/>
  <c r="D1650" i="9"/>
  <c r="E1650" i="9"/>
  <c r="C1651" i="9"/>
  <c r="D1651" i="9"/>
  <c r="E1651" i="9"/>
  <c r="C1652" i="9"/>
  <c r="D1652" i="9"/>
  <c r="E1652" i="9"/>
  <c r="C1653" i="9"/>
  <c r="D1653" i="9"/>
  <c r="E1653" i="9"/>
  <c r="C1654" i="9"/>
  <c r="D1654" i="9"/>
  <c r="E1654" i="9"/>
  <c r="C1655" i="9"/>
  <c r="D1655" i="9"/>
  <c r="E1655" i="9"/>
  <c r="C1656" i="9"/>
  <c r="D1656" i="9"/>
  <c r="E1656" i="9"/>
  <c r="C1657" i="9"/>
  <c r="D1657" i="9"/>
  <c r="E1657" i="9"/>
  <c r="C1658" i="9"/>
  <c r="D1658" i="9"/>
  <c r="E1658" i="9"/>
  <c r="C1659" i="9"/>
  <c r="D1659" i="9"/>
  <c r="E1659" i="9"/>
  <c r="C1660" i="9"/>
  <c r="D1660" i="9"/>
  <c r="E1660" i="9"/>
  <c r="C1661" i="9"/>
  <c r="D1661" i="9"/>
  <c r="E1661" i="9"/>
  <c r="C1662" i="9"/>
  <c r="D1662" i="9"/>
  <c r="E1662" i="9"/>
  <c r="C1663" i="9"/>
  <c r="D1663" i="9"/>
  <c r="E1663" i="9"/>
  <c r="C1664" i="9"/>
  <c r="D1664" i="9"/>
  <c r="E1664" i="9"/>
  <c r="C1665" i="9"/>
  <c r="D1665" i="9"/>
  <c r="E1665" i="9"/>
  <c r="C1666" i="9"/>
  <c r="D1666" i="9"/>
  <c r="E1666" i="9"/>
  <c r="C1667" i="9"/>
  <c r="D1667" i="9"/>
  <c r="E1667" i="9"/>
  <c r="C1668" i="9"/>
  <c r="D1668" i="9"/>
  <c r="E1668" i="9"/>
  <c r="C1669" i="9"/>
  <c r="D1669" i="9"/>
  <c r="E1669" i="9"/>
  <c r="C1670" i="9"/>
  <c r="D1670" i="9"/>
  <c r="E1670" i="9"/>
  <c r="C1671" i="9"/>
  <c r="D1671" i="9"/>
  <c r="E1671" i="9"/>
  <c r="C1672" i="9"/>
  <c r="D1672" i="9"/>
  <c r="E1672" i="9"/>
  <c r="C1673" i="9"/>
  <c r="D1673" i="9"/>
  <c r="E1673" i="9"/>
  <c r="C1674" i="9"/>
  <c r="D1674" i="9"/>
  <c r="E1674" i="9"/>
  <c r="C1675" i="9"/>
  <c r="D1675" i="9"/>
  <c r="E1675" i="9"/>
  <c r="C1676" i="9"/>
  <c r="D1676" i="9"/>
  <c r="E1676" i="9"/>
  <c r="C1677" i="9"/>
  <c r="D1677" i="9"/>
  <c r="E1677" i="9"/>
  <c r="C1678" i="9"/>
  <c r="D1678" i="9"/>
  <c r="E1678" i="9"/>
  <c r="C1679" i="9"/>
  <c r="D1679" i="9"/>
  <c r="E1679" i="9"/>
  <c r="C1680" i="9"/>
  <c r="D1680" i="9"/>
  <c r="E1680" i="9"/>
  <c r="C1681" i="9"/>
  <c r="D1681" i="9"/>
  <c r="E1681" i="9"/>
  <c r="C1682" i="9"/>
  <c r="D1682" i="9"/>
  <c r="E1682" i="9"/>
  <c r="C1683" i="9"/>
  <c r="D1683" i="9"/>
  <c r="E1683" i="9"/>
  <c r="C1684" i="9"/>
  <c r="D1684" i="9"/>
  <c r="E1684" i="9"/>
  <c r="C1685" i="9"/>
  <c r="D1685" i="9"/>
  <c r="E1685" i="9"/>
  <c r="C1686" i="9"/>
  <c r="D1686" i="9"/>
  <c r="E1686" i="9"/>
  <c r="C1687" i="9"/>
  <c r="D1687" i="9"/>
  <c r="E1687" i="9"/>
  <c r="C1688" i="9"/>
  <c r="D1688" i="9"/>
  <c r="E1688" i="9"/>
  <c r="C1689" i="9"/>
  <c r="D1689" i="9"/>
  <c r="E1689" i="9"/>
  <c r="C1690" i="9"/>
  <c r="D1690" i="9"/>
  <c r="E1690" i="9"/>
  <c r="C1691" i="9"/>
  <c r="D1691" i="9"/>
  <c r="E1691" i="9"/>
  <c r="C1692" i="9"/>
  <c r="D1692" i="9"/>
  <c r="E1692" i="9"/>
  <c r="C1693" i="9"/>
  <c r="D1693" i="9"/>
  <c r="E1693" i="9"/>
  <c r="C1694" i="9"/>
  <c r="D1694" i="9"/>
  <c r="E1694" i="9"/>
  <c r="C1695" i="9"/>
  <c r="D1695" i="9"/>
  <c r="E1695" i="9"/>
  <c r="C1696" i="9"/>
  <c r="D1696" i="9"/>
  <c r="E1696" i="9"/>
  <c r="C1697" i="9"/>
  <c r="D1697" i="9"/>
  <c r="E1697" i="9"/>
  <c r="C1698" i="9"/>
  <c r="D1698" i="9"/>
  <c r="E1698" i="9"/>
  <c r="C1699" i="9"/>
  <c r="D1699" i="9"/>
  <c r="E1699" i="9"/>
  <c r="C1700" i="9"/>
  <c r="D1700" i="9"/>
  <c r="E1700" i="9"/>
  <c r="C1701" i="9"/>
  <c r="D1701" i="9"/>
  <c r="E1701" i="9"/>
  <c r="C1702" i="9"/>
  <c r="D1702" i="9"/>
  <c r="E1702" i="9"/>
  <c r="C1703" i="9"/>
  <c r="D1703" i="9"/>
  <c r="E1703" i="9"/>
  <c r="C1704" i="9"/>
  <c r="D1704" i="9"/>
  <c r="E1704" i="9"/>
  <c r="C1705" i="9"/>
  <c r="D1705" i="9"/>
  <c r="E1705" i="9"/>
  <c r="C1706" i="9"/>
  <c r="D1706" i="9"/>
  <c r="E1706" i="9"/>
  <c r="C1707" i="9"/>
  <c r="D1707" i="9"/>
  <c r="E1707" i="9"/>
  <c r="C1708" i="9"/>
  <c r="D1708" i="9"/>
  <c r="E1708" i="9"/>
  <c r="C1709" i="9"/>
  <c r="D1709" i="9"/>
  <c r="E1709" i="9"/>
  <c r="C1710" i="9"/>
  <c r="D1710" i="9"/>
  <c r="E1710" i="9"/>
  <c r="C1711" i="9"/>
  <c r="D1711" i="9"/>
  <c r="E1711" i="9"/>
  <c r="C1712" i="9"/>
  <c r="D1712" i="9"/>
  <c r="E1712" i="9"/>
  <c r="C1713" i="9"/>
  <c r="D1713" i="9"/>
  <c r="E1713" i="9"/>
  <c r="C1714" i="9"/>
  <c r="D1714" i="9"/>
  <c r="E1714" i="9"/>
  <c r="C1715" i="9"/>
  <c r="D1715" i="9"/>
  <c r="E1715" i="9"/>
  <c r="C1716" i="9"/>
  <c r="D1716" i="9"/>
  <c r="E1716" i="9"/>
  <c r="C1717" i="9"/>
  <c r="D1717" i="9"/>
  <c r="E1717" i="9"/>
  <c r="C1718" i="9"/>
  <c r="D1718" i="9"/>
  <c r="E1718" i="9"/>
  <c r="C1719" i="9"/>
  <c r="D1719" i="9"/>
  <c r="E1719" i="9"/>
  <c r="C1720" i="9"/>
  <c r="D1720" i="9"/>
  <c r="E1720" i="9"/>
  <c r="C1721" i="9"/>
  <c r="D1721" i="9"/>
  <c r="E1721" i="9"/>
  <c r="C1722" i="9"/>
  <c r="D1722" i="9"/>
  <c r="E1722" i="9"/>
  <c r="C1723" i="9"/>
  <c r="D1723" i="9"/>
  <c r="E1723" i="9"/>
  <c r="C1724" i="9"/>
  <c r="D1724" i="9"/>
  <c r="E1724" i="9"/>
  <c r="C1725" i="9"/>
  <c r="D1725" i="9"/>
  <c r="E1725" i="9"/>
  <c r="C1726" i="9"/>
  <c r="D1726" i="9"/>
  <c r="E1726" i="9"/>
  <c r="C1727" i="9"/>
  <c r="D1727" i="9"/>
  <c r="E1727" i="9"/>
  <c r="C1728" i="9"/>
  <c r="D1728" i="9"/>
  <c r="E1728" i="9"/>
  <c r="C1729" i="9"/>
  <c r="D1729" i="9"/>
  <c r="E1729" i="9"/>
  <c r="C1730" i="9"/>
  <c r="D1730" i="9"/>
  <c r="E1730" i="9"/>
  <c r="C1731" i="9"/>
  <c r="D1731" i="9"/>
  <c r="E1731" i="9"/>
  <c r="C1732" i="9"/>
  <c r="D1732" i="9"/>
  <c r="E1732" i="9"/>
  <c r="C1733" i="9"/>
  <c r="D1733" i="9"/>
  <c r="E1733" i="9"/>
  <c r="C1734" i="9"/>
  <c r="D1734" i="9"/>
  <c r="E1734" i="9"/>
  <c r="C1735" i="9"/>
  <c r="D1735" i="9"/>
  <c r="E1735" i="9"/>
  <c r="C1736" i="9"/>
  <c r="D1736" i="9"/>
  <c r="E1736" i="9"/>
  <c r="C1737" i="9"/>
  <c r="D1737" i="9"/>
  <c r="E1737" i="9"/>
  <c r="C1738" i="9"/>
  <c r="D1738" i="9"/>
  <c r="E1738" i="9"/>
  <c r="C1739" i="9"/>
  <c r="D1739" i="9"/>
  <c r="E1739" i="9"/>
  <c r="C1740" i="9"/>
  <c r="D1740" i="9"/>
  <c r="E1740" i="9"/>
  <c r="C1741" i="9"/>
  <c r="D1741" i="9"/>
  <c r="E1741" i="9"/>
  <c r="C1742" i="9"/>
  <c r="D1742" i="9"/>
  <c r="E1742" i="9"/>
  <c r="C1743" i="9"/>
  <c r="D1743" i="9"/>
  <c r="E1743" i="9"/>
  <c r="C1744" i="9"/>
  <c r="D1744" i="9"/>
  <c r="E1744" i="9"/>
  <c r="C1745" i="9"/>
  <c r="D1745" i="9"/>
  <c r="E1745" i="9"/>
  <c r="C1746" i="9"/>
  <c r="D1746" i="9"/>
  <c r="E1746" i="9"/>
  <c r="C1747" i="9"/>
  <c r="D1747" i="9"/>
  <c r="E1747" i="9"/>
  <c r="C1748" i="9"/>
  <c r="D1748" i="9"/>
  <c r="E1748" i="9"/>
  <c r="C1749" i="9"/>
  <c r="D1749" i="9"/>
  <c r="E1749" i="9"/>
  <c r="C1750" i="9"/>
  <c r="D1750" i="9"/>
  <c r="E1750" i="9"/>
  <c r="C1751" i="9"/>
  <c r="D1751" i="9"/>
  <c r="E1751" i="9"/>
  <c r="C1752" i="9"/>
  <c r="D1752" i="9"/>
  <c r="E1752" i="9"/>
  <c r="C1753" i="9"/>
  <c r="D1753" i="9"/>
  <c r="E1753" i="9"/>
  <c r="C1754" i="9"/>
  <c r="D1754" i="9"/>
  <c r="E1754" i="9"/>
  <c r="C1755" i="9"/>
  <c r="D1755" i="9"/>
  <c r="E1755" i="9"/>
  <c r="C1756" i="9"/>
  <c r="D1756" i="9"/>
  <c r="E1756" i="9"/>
  <c r="C1757" i="9"/>
  <c r="D1757" i="9"/>
  <c r="E1757" i="9"/>
  <c r="C1758" i="9"/>
  <c r="D1758" i="9"/>
  <c r="E1758" i="9"/>
  <c r="C1759" i="9"/>
  <c r="D1759" i="9"/>
  <c r="E1759" i="9"/>
  <c r="C1760" i="9"/>
  <c r="D1760" i="9"/>
  <c r="E1760" i="9"/>
  <c r="C1761" i="9"/>
  <c r="D1761" i="9"/>
  <c r="E1761" i="9"/>
  <c r="C1762" i="9"/>
  <c r="D1762" i="9"/>
  <c r="E1762" i="9"/>
  <c r="C1763" i="9"/>
  <c r="D1763" i="9"/>
  <c r="E1763" i="9"/>
  <c r="C1764" i="9"/>
  <c r="D1764" i="9"/>
  <c r="E1764" i="9"/>
  <c r="C1765" i="9"/>
  <c r="D1765" i="9"/>
  <c r="E1765" i="9"/>
  <c r="C1766" i="9"/>
  <c r="D1766" i="9"/>
  <c r="E1766" i="9"/>
  <c r="C1767" i="9"/>
  <c r="D1767" i="9"/>
  <c r="E1767" i="9"/>
  <c r="C1768" i="9"/>
  <c r="D1768" i="9"/>
  <c r="E1768" i="9"/>
  <c r="C1769" i="9"/>
  <c r="D1769" i="9"/>
  <c r="E1769" i="9"/>
  <c r="C1770" i="9"/>
  <c r="D1770" i="9"/>
  <c r="E1770" i="9"/>
  <c r="C1771" i="9"/>
  <c r="D1771" i="9"/>
  <c r="E1771" i="9"/>
  <c r="C1772" i="9"/>
  <c r="D1772" i="9"/>
  <c r="E1772" i="9"/>
  <c r="C1773" i="9"/>
  <c r="D1773" i="9"/>
  <c r="E1773" i="9"/>
  <c r="C1774" i="9"/>
  <c r="D1774" i="9"/>
  <c r="E1774" i="9"/>
  <c r="C1775" i="9"/>
  <c r="D1775" i="9"/>
  <c r="E1775" i="9"/>
  <c r="C1776" i="9"/>
  <c r="D1776" i="9"/>
  <c r="E1776" i="9"/>
  <c r="C1777" i="9"/>
  <c r="D1777" i="9"/>
  <c r="E1777" i="9"/>
  <c r="C1778" i="9"/>
  <c r="D1778" i="9"/>
  <c r="E1778" i="9"/>
  <c r="C1779" i="9"/>
  <c r="D1779" i="9"/>
  <c r="E1779" i="9"/>
  <c r="C1780" i="9"/>
  <c r="D1780" i="9"/>
  <c r="E1780" i="9"/>
  <c r="C1781" i="9"/>
  <c r="D1781" i="9"/>
  <c r="E1781" i="9"/>
  <c r="C1782" i="9"/>
  <c r="D1782" i="9"/>
  <c r="E1782" i="9"/>
  <c r="C1783" i="9"/>
  <c r="D1783" i="9"/>
  <c r="E1783" i="9"/>
  <c r="C1784" i="9"/>
  <c r="D1784" i="9"/>
  <c r="E1784" i="9"/>
  <c r="C1785" i="9"/>
  <c r="D1785" i="9"/>
  <c r="E1785" i="9"/>
  <c r="C1786" i="9"/>
  <c r="D1786" i="9"/>
  <c r="E1786" i="9"/>
  <c r="C1787" i="9"/>
  <c r="D1787" i="9"/>
  <c r="E1787" i="9"/>
  <c r="C1788" i="9"/>
  <c r="D1788" i="9"/>
  <c r="E1788" i="9"/>
  <c r="C1789" i="9"/>
  <c r="D1789" i="9"/>
  <c r="E1789" i="9"/>
  <c r="C1790" i="9"/>
  <c r="D1790" i="9"/>
  <c r="E1790" i="9"/>
  <c r="C1791" i="9"/>
  <c r="D1791" i="9"/>
  <c r="E1791" i="9"/>
  <c r="C1792" i="9"/>
  <c r="D1792" i="9"/>
  <c r="E1792" i="9"/>
  <c r="C1793" i="9"/>
  <c r="D1793" i="9"/>
  <c r="E1793" i="9"/>
  <c r="C1794" i="9"/>
  <c r="D1794" i="9"/>
  <c r="E1794" i="9"/>
  <c r="C1795" i="9"/>
  <c r="D1795" i="9"/>
  <c r="E1795" i="9"/>
  <c r="C1796" i="9"/>
  <c r="D1796" i="9"/>
  <c r="E1796" i="9"/>
  <c r="C1797" i="9"/>
  <c r="D1797" i="9"/>
  <c r="E1797" i="9"/>
  <c r="C1798" i="9"/>
  <c r="D1798" i="9"/>
  <c r="E1798" i="9"/>
  <c r="C1799" i="9"/>
  <c r="D1799" i="9"/>
  <c r="E1799" i="9"/>
  <c r="C1800" i="9"/>
  <c r="D1800" i="9"/>
  <c r="E1800" i="9"/>
  <c r="C1801" i="9"/>
  <c r="D1801" i="9"/>
  <c r="E1801" i="9"/>
  <c r="C1802" i="9"/>
  <c r="D1802" i="9"/>
  <c r="E1802" i="9"/>
  <c r="C1803" i="9"/>
  <c r="D1803" i="9"/>
  <c r="E1803" i="9"/>
  <c r="C1804" i="9"/>
  <c r="D1804" i="9"/>
  <c r="E1804" i="9"/>
  <c r="C1805" i="9"/>
  <c r="D1805" i="9"/>
  <c r="E1805" i="9"/>
  <c r="C1806" i="9"/>
  <c r="D1806" i="9"/>
  <c r="E1806" i="9"/>
  <c r="C1807" i="9"/>
  <c r="D1807" i="9"/>
  <c r="E1807" i="9"/>
  <c r="C1808" i="9"/>
  <c r="D1808" i="9"/>
  <c r="E1808" i="9"/>
  <c r="C1809" i="9"/>
  <c r="D1809" i="9"/>
  <c r="E1809" i="9"/>
  <c r="C1810" i="9"/>
  <c r="D1810" i="9"/>
  <c r="E1810" i="9"/>
  <c r="C1811" i="9"/>
  <c r="D1811" i="9"/>
  <c r="E1811" i="9"/>
  <c r="C1812" i="9"/>
  <c r="D1812" i="9"/>
  <c r="E1812" i="9"/>
  <c r="C1813" i="9"/>
  <c r="D1813" i="9"/>
  <c r="E1813" i="9"/>
  <c r="C1814" i="9"/>
  <c r="D1814" i="9"/>
  <c r="E1814" i="9"/>
  <c r="C1815" i="9"/>
  <c r="D1815" i="9"/>
  <c r="E1815" i="9"/>
  <c r="C1816" i="9"/>
  <c r="D1816" i="9"/>
  <c r="E1816" i="9"/>
  <c r="C1817" i="9"/>
  <c r="D1817" i="9"/>
  <c r="E1817" i="9"/>
  <c r="C1818" i="9"/>
  <c r="D1818" i="9"/>
  <c r="E1818" i="9"/>
  <c r="C1819" i="9"/>
  <c r="D1819" i="9"/>
  <c r="E1819" i="9"/>
  <c r="C1820" i="9"/>
  <c r="D1820" i="9"/>
  <c r="E1820" i="9"/>
  <c r="C1821" i="9"/>
  <c r="D1821" i="9"/>
  <c r="E1821" i="9"/>
  <c r="C1822" i="9"/>
  <c r="D1822" i="9"/>
  <c r="E1822" i="9"/>
  <c r="C1823" i="9"/>
  <c r="D1823" i="9"/>
  <c r="E1823" i="9"/>
  <c r="C1824" i="9"/>
  <c r="D1824" i="9"/>
  <c r="E1824" i="9"/>
  <c r="C1825" i="9"/>
  <c r="D1825" i="9"/>
  <c r="E1825" i="9"/>
  <c r="C1826" i="9"/>
  <c r="D1826" i="9"/>
  <c r="E1826" i="9"/>
  <c r="C1827" i="9"/>
  <c r="D1827" i="9"/>
  <c r="E1827" i="9"/>
  <c r="C1828" i="9"/>
  <c r="D1828" i="9"/>
  <c r="E1828" i="9"/>
  <c r="C1829" i="9"/>
  <c r="D1829" i="9"/>
  <c r="E1829" i="9"/>
  <c r="C1830" i="9"/>
  <c r="D1830" i="9"/>
  <c r="E1830" i="9"/>
  <c r="C1831" i="9"/>
  <c r="D1831" i="9"/>
  <c r="E1831" i="9"/>
  <c r="C1832" i="9"/>
  <c r="D1832" i="9"/>
  <c r="E1832" i="9"/>
  <c r="C1833" i="9"/>
  <c r="D1833" i="9"/>
  <c r="E1833" i="9"/>
  <c r="C1834" i="9"/>
  <c r="D1834" i="9"/>
  <c r="E1834" i="9"/>
  <c r="C1835" i="9"/>
  <c r="D1835" i="9"/>
  <c r="E1835" i="9"/>
  <c r="C1836" i="9"/>
  <c r="D1836" i="9"/>
  <c r="E1836" i="9"/>
  <c r="C1837" i="9"/>
  <c r="D1837" i="9"/>
  <c r="E1837" i="9"/>
  <c r="C1838" i="9"/>
  <c r="D1838" i="9"/>
  <c r="E1838" i="9"/>
  <c r="C1839" i="9"/>
  <c r="D1839" i="9"/>
  <c r="E1839" i="9"/>
  <c r="C1840" i="9"/>
  <c r="D1840" i="9"/>
  <c r="E1840" i="9"/>
  <c r="C1841" i="9"/>
  <c r="D1841" i="9"/>
  <c r="E1841" i="9"/>
  <c r="C1842" i="9"/>
  <c r="D1842" i="9"/>
  <c r="E1842" i="9"/>
  <c r="C1843" i="9"/>
  <c r="D1843" i="9"/>
  <c r="E1843" i="9"/>
  <c r="C1844" i="9"/>
  <c r="D1844" i="9"/>
  <c r="E1844" i="9"/>
  <c r="C1845" i="9"/>
  <c r="D1845" i="9"/>
  <c r="E1845" i="9"/>
  <c r="C1846" i="9"/>
  <c r="D1846" i="9"/>
  <c r="E1846" i="9"/>
  <c r="C1847" i="9"/>
  <c r="D1847" i="9"/>
  <c r="E1847" i="9"/>
  <c r="C1848" i="9"/>
  <c r="D1848" i="9"/>
  <c r="E1848" i="9"/>
  <c r="C1849" i="9"/>
  <c r="D1849" i="9"/>
  <c r="E1849" i="9"/>
  <c r="C1850" i="9"/>
  <c r="D1850" i="9"/>
  <c r="E1850" i="9"/>
  <c r="C1851" i="9"/>
  <c r="D1851" i="9"/>
  <c r="E1851" i="9"/>
  <c r="C1852" i="9"/>
  <c r="D1852" i="9"/>
  <c r="E1852" i="9"/>
  <c r="C1853" i="9"/>
  <c r="D1853" i="9"/>
  <c r="E1853" i="9"/>
  <c r="C1854" i="9"/>
  <c r="D1854" i="9"/>
  <c r="E1854" i="9"/>
  <c r="C1855" i="9"/>
  <c r="D1855" i="9"/>
  <c r="E1855" i="9"/>
  <c r="C1856" i="9"/>
  <c r="D1856" i="9"/>
  <c r="E1856" i="9"/>
  <c r="C1857" i="9"/>
  <c r="D1857" i="9"/>
  <c r="E1857" i="9"/>
  <c r="C1858" i="9"/>
  <c r="D1858" i="9"/>
  <c r="E1858" i="9"/>
  <c r="C1859" i="9"/>
  <c r="D1859" i="9"/>
  <c r="E1859" i="9"/>
  <c r="C1860" i="9"/>
  <c r="D1860" i="9"/>
  <c r="E1860" i="9"/>
  <c r="C1861" i="9"/>
  <c r="D1861" i="9"/>
  <c r="E1861" i="9"/>
  <c r="C1862" i="9"/>
  <c r="D1862" i="9"/>
  <c r="E1862" i="9"/>
  <c r="C1863" i="9"/>
  <c r="D1863" i="9"/>
  <c r="E1863" i="9"/>
  <c r="C1864" i="9"/>
  <c r="D1864" i="9"/>
  <c r="E1864" i="9"/>
  <c r="C1865" i="9"/>
  <c r="D1865" i="9"/>
  <c r="E1865" i="9"/>
  <c r="C1866" i="9"/>
  <c r="D1866" i="9"/>
  <c r="E1866" i="9"/>
  <c r="C1867" i="9"/>
  <c r="D1867" i="9"/>
  <c r="E1867" i="9"/>
  <c r="C1868" i="9"/>
  <c r="D1868" i="9"/>
  <c r="E1868" i="9"/>
  <c r="C1869" i="9"/>
  <c r="D1869" i="9"/>
  <c r="E1869" i="9"/>
  <c r="C1870" i="9"/>
  <c r="D1870" i="9"/>
  <c r="E1870" i="9"/>
  <c r="C1871" i="9"/>
  <c r="D1871" i="9"/>
  <c r="E1871" i="9"/>
  <c r="C1872" i="9"/>
  <c r="D1872" i="9"/>
  <c r="E1872" i="9"/>
  <c r="C1873" i="9"/>
  <c r="D1873" i="9"/>
  <c r="E1873" i="9"/>
  <c r="C1874" i="9"/>
  <c r="D1874" i="9"/>
  <c r="E1874" i="9"/>
  <c r="C1875" i="9"/>
  <c r="D1875" i="9"/>
  <c r="E1875" i="9"/>
  <c r="C1876" i="9"/>
  <c r="D1876" i="9"/>
  <c r="E1876" i="9"/>
  <c r="C1877" i="9"/>
  <c r="D1877" i="9"/>
  <c r="E1877" i="9"/>
  <c r="C1878" i="9"/>
  <c r="D1878" i="9"/>
  <c r="E1878" i="9"/>
  <c r="C1879" i="9"/>
  <c r="D1879" i="9"/>
  <c r="E1879" i="9"/>
  <c r="C1880" i="9"/>
  <c r="D1880" i="9"/>
  <c r="E1880" i="9"/>
  <c r="C1881" i="9"/>
  <c r="D1881" i="9"/>
  <c r="E1881" i="9"/>
  <c r="C1882" i="9"/>
  <c r="D1882" i="9"/>
  <c r="E1882" i="9"/>
  <c r="C1883" i="9"/>
  <c r="D1883" i="9"/>
  <c r="E1883" i="9"/>
  <c r="C1884" i="9"/>
  <c r="D1884" i="9"/>
  <c r="E1884" i="9"/>
  <c r="C1885" i="9"/>
  <c r="D1885" i="9"/>
  <c r="E1885" i="9"/>
  <c r="C1886" i="9"/>
  <c r="D1886" i="9"/>
  <c r="E1886" i="9"/>
  <c r="C1887" i="9"/>
  <c r="D1887" i="9"/>
  <c r="E1887" i="9"/>
  <c r="C1888" i="9"/>
  <c r="D1888" i="9"/>
  <c r="E1888" i="9"/>
  <c r="C1889" i="9"/>
  <c r="D1889" i="9"/>
  <c r="E1889" i="9"/>
  <c r="C1890" i="9"/>
  <c r="D1890" i="9"/>
  <c r="E1890" i="9"/>
  <c r="C1891" i="9"/>
  <c r="D1891" i="9"/>
  <c r="E1891" i="9"/>
  <c r="C1892" i="9"/>
  <c r="D1892" i="9"/>
  <c r="E1892" i="9"/>
  <c r="C1893" i="9"/>
  <c r="D1893" i="9"/>
  <c r="E1893" i="9"/>
  <c r="C1894" i="9"/>
  <c r="D1894" i="9"/>
  <c r="E1894" i="9"/>
  <c r="C1895" i="9"/>
  <c r="D1895" i="9"/>
  <c r="E1895" i="9"/>
  <c r="C1896" i="9"/>
  <c r="D1896" i="9"/>
  <c r="E1896" i="9"/>
  <c r="C1897" i="9"/>
  <c r="D1897" i="9"/>
  <c r="E1897" i="9"/>
  <c r="C1898" i="9"/>
  <c r="D1898" i="9"/>
  <c r="E1898" i="9"/>
  <c r="C1899" i="9"/>
  <c r="D1899" i="9"/>
  <c r="E1899" i="9"/>
  <c r="C1900" i="9"/>
  <c r="D1900" i="9"/>
  <c r="E1900" i="9"/>
  <c r="C1901" i="9"/>
  <c r="D1901" i="9"/>
  <c r="E1901" i="9"/>
  <c r="C1902" i="9"/>
  <c r="D1902" i="9"/>
  <c r="E1902" i="9"/>
  <c r="C1903" i="9"/>
  <c r="D1903" i="9"/>
  <c r="E1903" i="9"/>
  <c r="C1904" i="9"/>
  <c r="D1904" i="9"/>
  <c r="E1904" i="9"/>
  <c r="C1905" i="9"/>
  <c r="D1905" i="9"/>
  <c r="E1905" i="9"/>
  <c r="C1906" i="9"/>
  <c r="D1906" i="9"/>
  <c r="E1906" i="9"/>
  <c r="C1907" i="9"/>
  <c r="D1907" i="9"/>
  <c r="E1907" i="9"/>
  <c r="C1908" i="9"/>
  <c r="D1908" i="9"/>
  <c r="E1908" i="9"/>
  <c r="C1909" i="9"/>
  <c r="D1909" i="9"/>
  <c r="E1909" i="9"/>
  <c r="C1910" i="9"/>
  <c r="D1910" i="9"/>
  <c r="E1910" i="9"/>
  <c r="C1911" i="9"/>
  <c r="D1911" i="9"/>
  <c r="E1911" i="9"/>
  <c r="C1912" i="9"/>
  <c r="D1912" i="9"/>
  <c r="E1912" i="9"/>
  <c r="C1913" i="9"/>
  <c r="D1913" i="9"/>
  <c r="E1913" i="9"/>
  <c r="C1914" i="9"/>
  <c r="D1914" i="9"/>
  <c r="E1914" i="9"/>
  <c r="C1915" i="9"/>
  <c r="D1915" i="9"/>
  <c r="E1915" i="9"/>
  <c r="C1916" i="9"/>
  <c r="D1916" i="9"/>
  <c r="E1916" i="9"/>
  <c r="C1917" i="9"/>
  <c r="D1917" i="9"/>
  <c r="E1917" i="9"/>
  <c r="C1918" i="9"/>
  <c r="D1918" i="9"/>
  <c r="E1918" i="9"/>
  <c r="C1919" i="9"/>
  <c r="D1919" i="9"/>
  <c r="E1919" i="9"/>
  <c r="C1920" i="9"/>
  <c r="D1920" i="9"/>
  <c r="E1920" i="9"/>
  <c r="C1921" i="9"/>
  <c r="D1921" i="9"/>
  <c r="E1921" i="9"/>
  <c r="C1922" i="9"/>
  <c r="D1922" i="9"/>
  <c r="E1922" i="9"/>
  <c r="C1923" i="9"/>
  <c r="D1923" i="9"/>
  <c r="E1923" i="9"/>
  <c r="C1924" i="9"/>
  <c r="D1924" i="9"/>
  <c r="E1924" i="9"/>
  <c r="C1925" i="9"/>
  <c r="D1925" i="9"/>
  <c r="E1925" i="9"/>
  <c r="C1926" i="9"/>
  <c r="D1926" i="9"/>
  <c r="E1926" i="9"/>
  <c r="C1927" i="9"/>
  <c r="D1927" i="9"/>
  <c r="E1927" i="9"/>
  <c r="C1928" i="9"/>
  <c r="D1928" i="9"/>
  <c r="E1928" i="9"/>
  <c r="C1929" i="9"/>
  <c r="D1929" i="9"/>
  <c r="E1929" i="9"/>
  <c r="C1930" i="9"/>
  <c r="D1930" i="9"/>
  <c r="E1930" i="9"/>
  <c r="C1931" i="9"/>
  <c r="D1931" i="9"/>
  <c r="E1931" i="9"/>
  <c r="C1932" i="9"/>
  <c r="D1932" i="9"/>
  <c r="E1932" i="9"/>
  <c r="C1933" i="9"/>
  <c r="D1933" i="9"/>
  <c r="E1933" i="9"/>
  <c r="C1934" i="9"/>
  <c r="D1934" i="9"/>
  <c r="E1934" i="9"/>
  <c r="C1935" i="9"/>
  <c r="D1935" i="9"/>
  <c r="E1935" i="9"/>
  <c r="C1936" i="9"/>
  <c r="D1936" i="9"/>
  <c r="E1936" i="9"/>
  <c r="C1937" i="9"/>
  <c r="D1937" i="9"/>
  <c r="E1937" i="9"/>
  <c r="C1938" i="9"/>
  <c r="D1938" i="9"/>
  <c r="E1938" i="9"/>
  <c r="C1939" i="9"/>
  <c r="D1939" i="9"/>
  <c r="E1939" i="9"/>
  <c r="C1940" i="9"/>
  <c r="D1940" i="9"/>
  <c r="E1940" i="9"/>
  <c r="C1941" i="9"/>
  <c r="D1941" i="9"/>
  <c r="E1941" i="9"/>
  <c r="C1942" i="9"/>
  <c r="D1942" i="9"/>
  <c r="E1942" i="9"/>
  <c r="C1943" i="9"/>
  <c r="D1943" i="9"/>
  <c r="E1943" i="9"/>
  <c r="C1944" i="9"/>
  <c r="D1944" i="9"/>
  <c r="E1944" i="9"/>
  <c r="C1945" i="9"/>
  <c r="D1945" i="9"/>
  <c r="E1945" i="9"/>
  <c r="C1946" i="9"/>
  <c r="D1946" i="9"/>
  <c r="E1946" i="9"/>
  <c r="C1947" i="9"/>
  <c r="D1947" i="9"/>
  <c r="E1947" i="9"/>
  <c r="C1948" i="9"/>
  <c r="D1948" i="9"/>
  <c r="E1948" i="9"/>
  <c r="C1949" i="9"/>
  <c r="D1949" i="9"/>
  <c r="E1949" i="9"/>
  <c r="C1950" i="9"/>
  <c r="D1950" i="9"/>
  <c r="E1950" i="9"/>
  <c r="C1951" i="9"/>
  <c r="D1951" i="9"/>
  <c r="E1951" i="9"/>
  <c r="C1952" i="9"/>
  <c r="D1952" i="9"/>
  <c r="E1952" i="9"/>
  <c r="C1953" i="9"/>
  <c r="D1953" i="9"/>
  <c r="E1953" i="9"/>
  <c r="C1954" i="9"/>
  <c r="D1954" i="9"/>
  <c r="E1954" i="9"/>
  <c r="C1955" i="9"/>
  <c r="D1955" i="9"/>
  <c r="E1955" i="9"/>
  <c r="C1956" i="9"/>
  <c r="D1956" i="9"/>
  <c r="E1956" i="9"/>
  <c r="C1957" i="9"/>
  <c r="D1957" i="9"/>
  <c r="E1957" i="9"/>
  <c r="C1958" i="9"/>
  <c r="D1958" i="9"/>
  <c r="E1958" i="9"/>
  <c r="C1959" i="9"/>
  <c r="D1959" i="9"/>
  <c r="E1959" i="9"/>
  <c r="C1960" i="9"/>
  <c r="D1960" i="9"/>
  <c r="E1960" i="9"/>
  <c r="C1961" i="9"/>
  <c r="D1961" i="9"/>
  <c r="E1961" i="9"/>
  <c r="C1962" i="9"/>
  <c r="D1962" i="9"/>
  <c r="E1962" i="9"/>
  <c r="C1963" i="9"/>
  <c r="D1963" i="9"/>
  <c r="E1963" i="9"/>
  <c r="C1964" i="9"/>
  <c r="D1964" i="9"/>
  <c r="E1964" i="9"/>
  <c r="C1965" i="9"/>
  <c r="D1965" i="9"/>
  <c r="E1965" i="9"/>
  <c r="C1966" i="9"/>
  <c r="D1966" i="9"/>
  <c r="E1966" i="9"/>
  <c r="C1967" i="9"/>
  <c r="D1967" i="9"/>
  <c r="E1967" i="9"/>
  <c r="C1968" i="9"/>
  <c r="D1968" i="9"/>
  <c r="E1968" i="9"/>
  <c r="C1969" i="9"/>
  <c r="D1969" i="9"/>
  <c r="E1969" i="9"/>
  <c r="C1970" i="9"/>
  <c r="D1970" i="9"/>
  <c r="E1970" i="9"/>
  <c r="C1971" i="9"/>
  <c r="D1971" i="9"/>
  <c r="E1971" i="9"/>
  <c r="C1972" i="9"/>
  <c r="D1972" i="9"/>
  <c r="E1972" i="9"/>
  <c r="C1973" i="9"/>
  <c r="D1973" i="9"/>
  <c r="E1973" i="9"/>
  <c r="C1974" i="9"/>
  <c r="D1974" i="9"/>
  <c r="E1974" i="9"/>
  <c r="C1975" i="9"/>
  <c r="D1975" i="9"/>
  <c r="E1975" i="9"/>
  <c r="C1976" i="9"/>
  <c r="D1976" i="9"/>
  <c r="E1976" i="9"/>
  <c r="C1977" i="9"/>
  <c r="D1977" i="9"/>
  <c r="E1977" i="9"/>
  <c r="C1978" i="9"/>
  <c r="D1978" i="9"/>
  <c r="E1978" i="9"/>
  <c r="C1979" i="9"/>
  <c r="D1979" i="9"/>
  <c r="E1979" i="9"/>
  <c r="C1980" i="9"/>
  <c r="D1980" i="9"/>
  <c r="E1980" i="9"/>
  <c r="C1981" i="9"/>
  <c r="D1981" i="9"/>
  <c r="E1981" i="9"/>
  <c r="C1982" i="9"/>
  <c r="D1982" i="9"/>
  <c r="E1982" i="9"/>
  <c r="C1983" i="9"/>
  <c r="D1983" i="9"/>
  <c r="E1983" i="9"/>
  <c r="C1984" i="9"/>
  <c r="D1984" i="9"/>
  <c r="E1984" i="9"/>
  <c r="C1985" i="9"/>
  <c r="D1985" i="9"/>
  <c r="E1985" i="9"/>
  <c r="C1986" i="9"/>
  <c r="D1986" i="9"/>
  <c r="E1986" i="9"/>
  <c r="C1987" i="9"/>
  <c r="D1987" i="9"/>
  <c r="E1987" i="9"/>
  <c r="C1988" i="9"/>
  <c r="D1988" i="9"/>
  <c r="E1988" i="9"/>
  <c r="C1989" i="9"/>
  <c r="D1989" i="9"/>
  <c r="E1989" i="9"/>
  <c r="C1990" i="9"/>
  <c r="D1990" i="9"/>
  <c r="E1990" i="9"/>
  <c r="C1991" i="9"/>
  <c r="D1991" i="9"/>
  <c r="E1991" i="9"/>
  <c r="C1992" i="9"/>
  <c r="D1992" i="9"/>
  <c r="E1992" i="9"/>
  <c r="C1993" i="9"/>
  <c r="D1993" i="9"/>
  <c r="E1993" i="9"/>
  <c r="C1994" i="9"/>
  <c r="D1994" i="9"/>
  <c r="E1994" i="9"/>
  <c r="C1995" i="9"/>
  <c r="D1995" i="9"/>
  <c r="E1995" i="9"/>
  <c r="C1996" i="9"/>
  <c r="D1996" i="9"/>
  <c r="E1996" i="9"/>
  <c r="C1997" i="9"/>
  <c r="D1997" i="9"/>
  <c r="E1997" i="9"/>
  <c r="C1998" i="9"/>
  <c r="D1998" i="9"/>
  <c r="E1998" i="9"/>
  <c r="C1999" i="9"/>
  <c r="D1999" i="9"/>
  <c r="E1999" i="9"/>
  <c r="C2000" i="9"/>
  <c r="D2000" i="9"/>
  <c r="E2000" i="9"/>
  <c r="B5" i="9"/>
  <c r="C5" i="9"/>
  <c r="H1362" i="5"/>
  <c r="H1361" i="5"/>
  <c r="H1343" i="5"/>
  <c r="B1306" i="17" l="1"/>
  <c r="C1306" i="17"/>
  <c r="D1306" i="17"/>
  <c r="E1306" i="17"/>
  <c r="B1307" i="17"/>
  <c r="C1307" i="17"/>
  <c r="D1307" i="17"/>
  <c r="E1307" i="17"/>
  <c r="B1308" i="17"/>
  <c r="C1308" i="17"/>
  <c r="D1308" i="17"/>
  <c r="E1308" i="17"/>
  <c r="B1309" i="17"/>
  <c r="C1309" i="17"/>
  <c r="D1309" i="17"/>
  <c r="E1309" i="17"/>
  <c r="B1310" i="17"/>
  <c r="C1310" i="17"/>
  <c r="D1310" i="17"/>
  <c r="E1310" i="17"/>
  <c r="B1311" i="17"/>
  <c r="C1311" i="17"/>
  <c r="D1311" i="17"/>
  <c r="E1311" i="17"/>
  <c r="B1312" i="17"/>
  <c r="C1312" i="17"/>
  <c r="D1312" i="17"/>
  <c r="E1312" i="17"/>
  <c r="B1313" i="17"/>
  <c r="C1313" i="17"/>
  <c r="D1313" i="17"/>
  <c r="E1313" i="17"/>
  <c r="B1314" i="17"/>
  <c r="C1314" i="17"/>
  <c r="D1314" i="17"/>
  <c r="E1314" i="17"/>
  <c r="B1315" i="17"/>
  <c r="C1315" i="17"/>
  <c r="D1315" i="17"/>
  <c r="E1315" i="17"/>
  <c r="B1316" i="17"/>
  <c r="C1316" i="17"/>
  <c r="D1316" i="17"/>
  <c r="E1316" i="17"/>
  <c r="B1317" i="17"/>
  <c r="C1317" i="17"/>
  <c r="D1317" i="17"/>
  <c r="E1317" i="17"/>
  <c r="B1318" i="17"/>
  <c r="C1318" i="17"/>
  <c r="D1318" i="17"/>
  <c r="E1318" i="17"/>
  <c r="B1319" i="17"/>
  <c r="C1319" i="17"/>
  <c r="D1319" i="17"/>
  <c r="E1319" i="17"/>
  <c r="B1320" i="17"/>
  <c r="C1320" i="17"/>
  <c r="D1320" i="17"/>
  <c r="E1320" i="17"/>
  <c r="B1321" i="17"/>
  <c r="C1321" i="17"/>
  <c r="D1321" i="17"/>
  <c r="E1321" i="17"/>
  <c r="B1322" i="17"/>
  <c r="C1322" i="17"/>
  <c r="D1322" i="17"/>
  <c r="E1322" i="17"/>
  <c r="B1323" i="17"/>
  <c r="C1323" i="17"/>
  <c r="D1323" i="17"/>
  <c r="E1323" i="17"/>
  <c r="B1324" i="17"/>
  <c r="C1324" i="17"/>
  <c r="D1324" i="17"/>
  <c r="E1324" i="17"/>
  <c r="B1325" i="17"/>
  <c r="C1325" i="17"/>
  <c r="D1325" i="17"/>
  <c r="E1325" i="17"/>
  <c r="B1326" i="17"/>
  <c r="C1326" i="17"/>
  <c r="D1326" i="17"/>
  <c r="E1326" i="17"/>
  <c r="B1327" i="17"/>
  <c r="C1327" i="17"/>
  <c r="D1327" i="17"/>
  <c r="E1327" i="17"/>
  <c r="B1328" i="17"/>
  <c r="C1328" i="17"/>
  <c r="D1328" i="17"/>
  <c r="E1328" i="17"/>
  <c r="B1329" i="17"/>
  <c r="C1329" i="17"/>
  <c r="D1329" i="17"/>
  <c r="E1329" i="17"/>
  <c r="B1330" i="17"/>
  <c r="C1330" i="17"/>
  <c r="D1330" i="17"/>
  <c r="E1330" i="17"/>
  <c r="B1331" i="17"/>
  <c r="C1331" i="17"/>
  <c r="D1331" i="17"/>
  <c r="E1331" i="17"/>
  <c r="B1332" i="17"/>
  <c r="C1332" i="17"/>
  <c r="D1332" i="17"/>
  <c r="E1332" i="17"/>
  <c r="B1333" i="17"/>
  <c r="C1333" i="17"/>
  <c r="D1333" i="17"/>
  <c r="E1333" i="17"/>
  <c r="B1334" i="17"/>
  <c r="C1334" i="17"/>
  <c r="D1334" i="17"/>
  <c r="E1334" i="17"/>
  <c r="C1335" i="17"/>
  <c r="D1335" i="17"/>
  <c r="E1335" i="17"/>
  <c r="C1336" i="17"/>
  <c r="D1336" i="17"/>
  <c r="E1336" i="17"/>
  <c r="C1337" i="17"/>
  <c r="D1337" i="17"/>
  <c r="E1337" i="17"/>
  <c r="C1338" i="17"/>
  <c r="D1338" i="17"/>
  <c r="E1338" i="17"/>
  <c r="C1339" i="17"/>
  <c r="D1339" i="17"/>
  <c r="E1339" i="17"/>
  <c r="C1340" i="17"/>
  <c r="D1340" i="17"/>
  <c r="E1340" i="17"/>
  <c r="C1341" i="17"/>
  <c r="D1341" i="17"/>
  <c r="E1341" i="17"/>
  <c r="C1342" i="17"/>
  <c r="D1342" i="17"/>
  <c r="E1342" i="17"/>
  <c r="C1343" i="17"/>
  <c r="D1343" i="17"/>
  <c r="E1343" i="17"/>
  <c r="C1344" i="17"/>
  <c r="D1344" i="17"/>
  <c r="E1344" i="17"/>
  <c r="C1345" i="17"/>
  <c r="D1345" i="17"/>
  <c r="E1345" i="17"/>
  <c r="C1346" i="17"/>
  <c r="D1346" i="17"/>
  <c r="E1346" i="17"/>
  <c r="C1347" i="17"/>
  <c r="D1347" i="17"/>
  <c r="E1347" i="17"/>
  <c r="C1348" i="17"/>
  <c r="D1348" i="17"/>
  <c r="E1348" i="17"/>
  <c r="C1349" i="17"/>
  <c r="D1349" i="17"/>
  <c r="E1349" i="17"/>
  <c r="C1350" i="17"/>
  <c r="D1350" i="17"/>
  <c r="E1350" i="17"/>
  <c r="C1351" i="17"/>
  <c r="D1351" i="17"/>
  <c r="E1351" i="17"/>
  <c r="C1352" i="17"/>
  <c r="D1352" i="17"/>
  <c r="E1352" i="17"/>
  <c r="C1353" i="17"/>
  <c r="D1353" i="17"/>
  <c r="E1353" i="17"/>
  <c r="C1354" i="17"/>
  <c r="D1354" i="17"/>
  <c r="E1354" i="17"/>
  <c r="C1355" i="17"/>
  <c r="D1355" i="17"/>
  <c r="E1355" i="17"/>
  <c r="C1356" i="17"/>
  <c r="D1356" i="17"/>
  <c r="E1356" i="17"/>
  <c r="C1357" i="17"/>
  <c r="D1357" i="17"/>
  <c r="E1357" i="17"/>
  <c r="C1358" i="17"/>
  <c r="D1358" i="17"/>
  <c r="E1358" i="17"/>
  <c r="C1359" i="17"/>
  <c r="D1359" i="17"/>
  <c r="E1359" i="17"/>
  <c r="C1360" i="17"/>
  <c r="D1360" i="17"/>
  <c r="E1360" i="17"/>
  <c r="C1361" i="17"/>
  <c r="D1361" i="17"/>
  <c r="E1361" i="17"/>
  <c r="C1362" i="17"/>
  <c r="D1362" i="17"/>
  <c r="E1362" i="17"/>
  <c r="C1363" i="17"/>
  <c r="D1363" i="17"/>
  <c r="E1363" i="17"/>
  <c r="C1364" i="17"/>
  <c r="D1364" i="17"/>
  <c r="E1364" i="17"/>
  <c r="C1365" i="17"/>
  <c r="D1365" i="17"/>
  <c r="E1365" i="17"/>
  <c r="C1366" i="17"/>
  <c r="D1366" i="17"/>
  <c r="E1366" i="17"/>
  <c r="C1367" i="17"/>
  <c r="D1367" i="17"/>
  <c r="E1367" i="17"/>
  <c r="C1368" i="17"/>
  <c r="D1368" i="17"/>
  <c r="E1368" i="17"/>
  <c r="C1369" i="17"/>
  <c r="D1369" i="17"/>
  <c r="E1369" i="17"/>
  <c r="C1370" i="17"/>
  <c r="D1370" i="17"/>
  <c r="E1370" i="17"/>
  <c r="C1371" i="17"/>
  <c r="D1371" i="17"/>
  <c r="E1371" i="17"/>
  <c r="C1372" i="17"/>
  <c r="D1372" i="17"/>
  <c r="E1372" i="17"/>
  <c r="C1373" i="17"/>
  <c r="D1373" i="17"/>
  <c r="E1373" i="17"/>
  <c r="C1374" i="17"/>
  <c r="D1374" i="17"/>
  <c r="E1374" i="17"/>
  <c r="C1375" i="17"/>
  <c r="D1375" i="17"/>
  <c r="E1375" i="17"/>
  <c r="B1334" i="18"/>
  <c r="C1334" i="18"/>
  <c r="D1334" i="18"/>
  <c r="E1334" i="18"/>
  <c r="E1878" i="18"/>
  <c r="D1878" i="18"/>
  <c r="C1878" i="18"/>
  <c r="B1878" i="18"/>
  <c r="E1877" i="18"/>
  <c r="D1877" i="18"/>
  <c r="C1877" i="18"/>
  <c r="B1877" i="18"/>
  <c r="E1876" i="18"/>
  <c r="D1876" i="18"/>
  <c r="C1876" i="18"/>
  <c r="B1876" i="18"/>
  <c r="E1875" i="18"/>
  <c r="D1875" i="18"/>
  <c r="C1875" i="18"/>
  <c r="B1875" i="18"/>
  <c r="E1874" i="18"/>
  <c r="D1874" i="18"/>
  <c r="C1874" i="18"/>
  <c r="B1874" i="18"/>
  <c r="E1873" i="18"/>
  <c r="D1873" i="18"/>
  <c r="C1873" i="18"/>
  <c r="B1873" i="18"/>
  <c r="E1872" i="18"/>
  <c r="D1872" i="18"/>
  <c r="C1872" i="18"/>
  <c r="B1872" i="18"/>
  <c r="E1871" i="18"/>
  <c r="D1871" i="18"/>
  <c r="C1871" i="18"/>
  <c r="B1871" i="18"/>
  <c r="E1870" i="18"/>
  <c r="D1870" i="18"/>
  <c r="C1870" i="18"/>
  <c r="B1870" i="18"/>
  <c r="E1869" i="18"/>
  <c r="D1869" i="18"/>
  <c r="C1869" i="18"/>
  <c r="B1869" i="18"/>
  <c r="E1868" i="18"/>
  <c r="D1868" i="18"/>
  <c r="C1868" i="18"/>
  <c r="B1868" i="18"/>
  <c r="E1867" i="18"/>
  <c r="D1867" i="18"/>
  <c r="C1867" i="18"/>
  <c r="B1867" i="18"/>
  <c r="E1866" i="18"/>
  <c r="D1866" i="18"/>
  <c r="C1866" i="18"/>
  <c r="B1866" i="18"/>
  <c r="E1865" i="18"/>
  <c r="D1865" i="18"/>
  <c r="C1865" i="18"/>
  <c r="B1865" i="18"/>
  <c r="E1864" i="18"/>
  <c r="D1864" i="18"/>
  <c r="C1864" i="18"/>
  <c r="B1864" i="18"/>
  <c r="E1863" i="18"/>
  <c r="D1863" i="18"/>
  <c r="C1863" i="18"/>
  <c r="B1863" i="18"/>
  <c r="E1862" i="18"/>
  <c r="D1862" i="18"/>
  <c r="C1862" i="18"/>
  <c r="B1862" i="18"/>
  <c r="E1861" i="18"/>
  <c r="D1861" i="18"/>
  <c r="C1861" i="18"/>
  <c r="B1861" i="18"/>
  <c r="E1860" i="18"/>
  <c r="D1860" i="18"/>
  <c r="C1860" i="18"/>
  <c r="B1860" i="18"/>
  <c r="E1859" i="18"/>
  <c r="D1859" i="18"/>
  <c r="C1859" i="18"/>
  <c r="B1859" i="18"/>
  <c r="E1858" i="18"/>
  <c r="D1858" i="18"/>
  <c r="C1858" i="18"/>
  <c r="B1858" i="18"/>
  <c r="E1857" i="18"/>
  <c r="D1857" i="18"/>
  <c r="C1857" i="18"/>
  <c r="B1857" i="18"/>
  <c r="E1856" i="18"/>
  <c r="D1856" i="18"/>
  <c r="C1856" i="18"/>
  <c r="B1856" i="18"/>
  <c r="E1855" i="18"/>
  <c r="D1855" i="18"/>
  <c r="C1855" i="18"/>
  <c r="B1855" i="18"/>
  <c r="E1854" i="18"/>
  <c r="D1854" i="18"/>
  <c r="C1854" i="18"/>
  <c r="B1854" i="18"/>
  <c r="E1853" i="18"/>
  <c r="D1853" i="18"/>
  <c r="C1853" i="18"/>
  <c r="B1853" i="18"/>
  <c r="E1852" i="18"/>
  <c r="D1852" i="18"/>
  <c r="C1852" i="18"/>
  <c r="B1852" i="18"/>
  <c r="E1851" i="18"/>
  <c r="D1851" i="18"/>
  <c r="C1851" i="18"/>
  <c r="B1851" i="18"/>
  <c r="E1850" i="18"/>
  <c r="D1850" i="18"/>
  <c r="C1850" i="18"/>
  <c r="B1850" i="18"/>
  <c r="E1849" i="18"/>
  <c r="D1849" i="18"/>
  <c r="C1849" i="18"/>
  <c r="B1849" i="18"/>
  <c r="E1848" i="18"/>
  <c r="D1848" i="18"/>
  <c r="C1848" i="18"/>
  <c r="B1848" i="18"/>
  <c r="E1847" i="18"/>
  <c r="D1847" i="18"/>
  <c r="C1847" i="18"/>
  <c r="B1847" i="18"/>
  <c r="E1846" i="18"/>
  <c r="D1846" i="18"/>
  <c r="C1846" i="18"/>
  <c r="B1846" i="18"/>
  <c r="E1845" i="18"/>
  <c r="D1845" i="18"/>
  <c r="C1845" i="18"/>
  <c r="B1845" i="18"/>
  <c r="E1844" i="18"/>
  <c r="D1844" i="18"/>
  <c r="C1844" i="18"/>
  <c r="B1844" i="18"/>
  <c r="E1843" i="18"/>
  <c r="D1843" i="18"/>
  <c r="C1843" i="18"/>
  <c r="B1843" i="18"/>
  <c r="E1842" i="18"/>
  <c r="D1842" i="18"/>
  <c r="C1842" i="18"/>
  <c r="B1842" i="18"/>
  <c r="E1841" i="18"/>
  <c r="D1841" i="18"/>
  <c r="C1841" i="18"/>
  <c r="B1841" i="18"/>
  <c r="E1840" i="18"/>
  <c r="D1840" i="18"/>
  <c r="C1840" i="18"/>
  <c r="B1840" i="18"/>
  <c r="E1839" i="18"/>
  <c r="D1839" i="18"/>
  <c r="C1839" i="18"/>
  <c r="B1839" i="18"/>
  <c r="E1838" i="18"/>
  <c r="D1838" i="18"/>
  <c r="C1838" i="18"/>
  <c r="B1838" i="18"/>
  <c r="E1837" i="18"/>
  <c r="D1837" i="18"/>
  <c r="C1837" i="18"/>
  <c r="B1837" i="18"/>
  <c r="E1836" i="18"/>
  <c r="D1836" i="18"/>
  <c r="C1836" i="18"/>
  <c r="B1836" i="18"/>
  <c r="E1835" i="18"/>
  <c r="D1835" i="18"/>
  <c r="C1835" i="18"/>
  <c r="B1835" i="18"/>
  <c r="E1834" i="18"/>
  <c r="D1834" i="18"/>
  <c r="C1834" i="18"/>
  <c r="B1834" i="18"/>
  <c r="E1833" i="18"/>
  <c r="D1833" i="18"/>
  <c r="C1833" i="18"/>
  <c r="B1833" i="18"/>
  <c r="E1832" i="18"/>
  <c r="D1832" i="18"/>
  <c r="C1832" i="18"/>
  <c r="B1832" i="18"/>
  <c r="E1831" i="18"/>
  <c r="D1831" i="18"/>
  <c r="C1831" i="18"/>
  <c r="B1831" i="18"/>
  <c r="E1830" i="18"/>
  <c r="D1830" i="18"/>
  <c r="C1830" i="18"/>
  <c r="B1830" i="18"/>
  <c r="E1829" i="18"/>
  <c r="D1829" i="18"/>
  <c r="C1829" i="18"/>
  <c r="B1829" i="18"/>
  <c r="E1828" i="18"/>
  <c r="D1828" i="18"/>
  <c r="C1828" i="18"/>
  <c r="B1828" i="18"/>
  <c r="E1827" i="18"/>
  <c r="D1827" i="18"/>
  <c r="C1827" i="18"/>
  <c r="B1827" i="18"/>
  <c r="E1826" i="18"/>
  <c r="D1826" i="18"/>
  <c r="C1826" i="18"/>
  <c r="B1826" i="18"/>
  <c r="E1825" i="18"/>
  <c r="D1825" i="18"/>
  <c r="C1825" i="18"/>
  <c r="B1825" i="18"/>
  <c r="E1824" i="18"/>
  <c r="D1824" i="18"/>
  <c r="C1824" i="18"/>
  <c r="B1824" i="18"/>
  <c r="E1823" i="18"/>
  <c r="D1823" i="18"/>
  <c r="C1823" i="18"/>
  <c r="B1823" i="18"/>
  <c r="E1822" i="18"/>
  <c r="D1822" i="18"/>
  <c r="C1822" i="18"/>
  <c r="B1822" i="18"/>
  <c r="E1821" i="18"/>
  <c r="D1821" i="18"/>
  <c r="C1821" i="18"/>
  <c r="B1821" i="18"/>
  <c r="E1820" i="18"/>
  <c r="D1820" i="18"/>
  <c r="C1820" i="18"/>
  <c r="B1820" i="18"/>
  <c r="E1819" i="18"/>
  <c r="D1819" i="18"/>
  <c r="C1819" i="18"/>
  <c r="B1819" i="18"/>
  <c r="E1818" i="18"/>
  <c r="D1818" i="18"/>
  <c r="C1818" i="18"/>
  <c r="B1818" i="18"/>
  <c r="E1817" i="18"/>
  <c r="D1817" i="18"/>
  <c r="C1817" i="18"/>
  <c r="B1817" i="18"/>
  <c r="E1816" i="18"/>
  <c r="D1816" i="18"/>
  <c r="C1816" i="18"/>
  <c r="B1816" i="18"/>
  <c r="E1815" i="18"/>
  <c r="D1815" i="18"/>
  <c r="C1815" i="18"/>
  <c r="B1815" i="18"/>
  <c r="E1814" i="18"/>
  <c r="D1814" i="18"/>
  <c r="C1814" i="18"/>
  <c r="B1814" i="18"/>
  <c r="E1813" i="18"/>
  <c r="D1813" i="18"/>
  <c r="C1813" i="18"/>
  <c r="B1813" i="18"/>
  <c r="E1812" i="18"/>
  <c r="D1812" i="18"/>
  <c r="C1812" i="18"/>
  <c r="B1812" i="18"/>
  <c r="E1811" i="18"/>
  <c r="D1811" i="18"/>
  <c r="C1811" i="18"/>
  <c r="B1811" i="18"/>
  <c r="E1810" i="18"/>
  <c r="D1810" i="18"/>
  <c r="C1810" i="18"/>
  <c r="B1810" i="18"/>
  <c r="E1809" i="18"/>
  <c r="D1809" i="18"/>
  <c r="C1809" i="18"/>
  <c r="B1809" i="18"/>
  <c r="E1808" i="18"/>
  <c r="D1808" i="18"/>
  <c r="C1808" i="18"/>
  <c r="B1808" i="18"/>
  <c r="E1807" i="18"/>
  <c r="D1807" i="18"/>
  <c r="C1807" i="18"/>
  <c r="B1807" i="18"/>
  <c r="E1806" i="18"/>
  <c r="D1806" i="18"/>
  <c r="C1806" i="18"/>
  <c r="B1806" i="18"/>
  <c r="E1805" i="18"/>
  <c r="D1805" i="18"/>
  <c r="C1805" i="18"/>
  <c r="B1805" i="18"/>
  <c r="E1804" i="18"/>
  <c r="D1804" i="18"/>
  <c r="C1804" i="18"/>
  <c r="B1804" i="18"/>
  <c r="E1803" i="18"/>
  <c r="D1803" i="18"/>
  <c r="C1803" i="18"/>
  <c r="B1803" i="18"/>
  <c r="E1802" i="18"/>
  <c r="D1802" i="18"/>
  <c r="C1802" i="18"/>
  <c r="B1802" i="18"/>
  <c r="E1801" i="18"/>
  <c r="D1801" i="18"/>
  <c r="C1801" i="18"/>
  <c r="B1801" i="18"/>
  <c r="E1800" i="18"/>
  <c r="D1800" i="18"/>
  <c r="C1800" i="18"/>
  <c r="B1800" i="18"/>
  <c r="E1799" i="18"/>
  <c r="D1799" i="18"/>
  <c r="C1799" i="18"/>
  <c r="B1799" i="18"/>
  <c r="E1798" i="18"/>
  <c r="D1798" i="18"/>
  <c r="C1798" i="18"/>
  <c r="B1798" i="18"/>
  <c r="E1797" i="18"/>
  <c r="D1797" i="18"/>
  <c r="C1797" i="18"/>
  <c r="B1797" i="18"/>
  <c r="E1796" i="18"/>
  <c r="D1796" i="18"/>
  <c r="C1796" i="18"/>
  <c r="B1796" i="18"/>
  <c r="E1795" i="18"/>
  <c r="D1795" i="18"/>
  <c r="C1795" i="18"/>
  <c r="B1795" i="18"/>
  <c r="E1794" i="18"/>
  <c r="D1794" i="18"/>
  <c r="C1794" i="18"/>
  <c r="B1794" i="18"/>
  <c r="E1793" i="18"/>
  <c r="D1793" i="18"/>
  <c r="C1793" i="18"/>
  <c r="B1793" i="18"/>
  <c r="E1792" i="18"/>
  <c r="D1792" i="18"/>
  <c r="C1792" i="18"/>
  <c r="B1792" i="18"/>
  <c r="E1791" i="18"/>
  <c r="D1791" i="18"/>
  <c r="C1791" i="18"/>
  <c r="B1791" i="18"/>
  <c r="E1790" i="18"/>
  <c r="D1790" i="18"/>
  <c r="C1790" i="18"/>
  <c r="B1790" i="18"/>
  <c r="E1789" i="18"/>
  <c r="D1789" i="18"/>
  <c r="C1789" i="18"/>
  <c r="B1789" i="18"/>
  <c r="E1788" i="18"/>
  <c r="D1788" i="18"/>
  <c r="C1788" i="18"/>
  <c r="B1788" i="18"/>
  <c r="E1787" i="18"/>
  <c r="D1787" i="18"/>
  <c r="C1787" i="18"/>
  <c r="B1787" i="18"/>
  <c r="E1786" i="18"/>
  <c r="D1786" i="18"/>
  <c r="C1786" i="18"/>
  <c r="B1786" i="18"/>
  <c r="E1785" i="18"/>
  <c r="D1785" i="18"/>
  <c r="C1785" i="18"/>
  <c r="B1785" i="18"/>
  <c r="E1784" i="18"/>
  <c r="D1784" i="18"/>
  <c r="C1784" i="18"/>
  <c r="B1784" i="18"/>
  <c r="E1783" i="18"/>
  <c r="D1783" i="18"/>
  <c r="C1783" i="18"/>
  <c r="B1783" i="18"/>
  <c r="E1782" i="18"/>
  <c r="D1782" i="18"/>
  <c r="C1782" i="18"/>
  <c r="B1782" i="18"/>
  <c r="E1781" i="18"/>
  <c r="D1781" i="18"/>
  <c r="C1781" i="18"/>
  <c r="B1781" i="18"/>
  <c r="E1780" i="18"/>
  <c r="D1780" i="18"/>
  <c r="C1780" i="18"/>
  <c r="B1780" i="18"/>
  <c r="E1779" i="18"/>
  <c r="D1779" i="18"/>
  <c r="C1779" i="18"/>
  <c r="B1779" i="18"/>
  <c r="E1778" i="18"/>
  <c r="D1778" i="18"/>
  <c r="C1778" i="18"/>
  <c r="B1778" i="18"/>
  <c r="E1777" i="18"/>
  <c r="D1777" i="18"/>
  <c r="C1777" i="18"/>
  <c r="B1777" i="18"/>
  <c r="E1776" i="18"/>
  <c r="D1776" i="18"/>
  <c r="C1776" i="18"/>
  <c r="B1776" i="18"/>
  <c r="E1775" i="18"/>
  <c r="D1775" i="18"/>
  <c r="C1775" i="18"/>
  <c r="B1775" i="18"/>
  <c r="E1774" i="18"/>
  <c r="D1774" i="18"/>
  <c r="C1774" i="18"/>
  <c r="B1774" i="18"/>
  <c r="E1773" i="18"/>
  <c r="D1773" i="18"/>
  <c r="C1773" i="18"/>
  <c r="B1773" i="18"/>
  <c r="E1772" i="18"/>
  <c r="D1772" i="18"/>
  <c r="C1772" i="18"/>
  <c r="B1772" i="18"/>
  <c r="E1771" i="18"/>
  <c r="D1771" i="18"/>
  <c r="C1771" i="18"/>
  <c r="B1771" i="18"/>
  <c r="E1770" i="18"/>
  <c r="D1770" i="18"/>
  <c r="C1770" i="18"/>
  <c r="B1770" i="18"/>
  <c r="E1769" i="18"/>
  <c r="D1769" i="18"/>
  <c r="C1769" i="18"/>
  <c r="B1769" i="18"/>
  <c r="E1768" i="18"/>
  <c r="D1768" i="18"/>
  <c r="C1768" i="18"/>
  <c r="B1768" i="18"/>
  <c r="E1767" i="18"/>
  <c r="D1767" i="18"/>
  <c r="C1767" i="18"/>
  <c r="B1767" i="18"/>
  <c r="E1766" i="18"/>
  <c r="D1766" i="18"/>
  <c r="C1766" i="18"/>
  <c r="B1766" i="18"/>
  <c r="E1765" i="18"/>
  <c r="D1765" i="18"/>
  <c r="C1765" i="18"/>
  <c r="B1765" i="18"/>
  <c r="E1764" i="18"/>
  <c r="D1764" i="18"/>
  <c r="C1764" i="18"/>
  <c r="B1764" i="18"/>
  <c r="E1763" i="18"/>
  <c r="D1763" i="18"/>
  <c r="C1763" i="18"/>
  <c r="B1763" i="18"/>
  <c r="E1762" i="18"/>
  <c r="D1762" i="18"/>
  <c r="C1762" i="18"/>
  <c r="B1762" i="18"/>
  <c r="E1761" i="18"/>
  <c r="D1761" i="18"/>
  <c r="C1761" i="18"/>
  <c r="B1761" i="18"/>
  <c r="E1760" i="18"/>
  <c r="D1760" i="18"/>
  <c r="C1760" i="18"/>
  <c r="B1760" i="18"/>
  <c r="E1759" i="18"/>
  <c r="D1759" i="18"/>
  <c r="C1759" i="18"/>
  <c r="B1759" i="18"/>
  <c r="E1758" i="18"/>
  <c r="D1758" i="18"/>
  <c r="C1758" i="18"/>
  <c r="B1758" i="18"/>
  <c r="E1757" i="18"/>
  <c r="D1757" i="18"/>
  <c r="C1757" i="18"/>
  <c r="B1757" i="18"/>
  <c r="E1756" i="18"/>
  <c r="D1756" i="18"/>
  <c r="C1756" i="18"/>
  <c r="B1756" i="18"/>
  <c r="E1755" i="18"/>
  <c r="D1755" i="18"/>
  <c r="C1755" i="18"/>
  <c r="B1755" i="18"/>
  <c r="E1754" i="18"/>
  <c r="D1754" i="18"/>
  <c r="C1754" i="18"/>
  <c r="B1754" i="18"/>
  <c r="E1753" i="18"/>
  <c r="D1753" i="18"/>
  <c r="C1753" i="18"/>
  <c r="B1753" i="18"/>
  <c r="E1752" i="18"/>
  <c r="D1752" i="18"/>
  <c r="C1752" i="18"/>
  <c r="B1752" i="18"/>
  <c r="E1751" i="18"/>
  <c r="D1751" i="18"/>
  <c r="C1751" i="18"/>
  <c r="B1751" i="18"/>
  <c r="E1750" i="18"/>
  <c r="D1750" i="18"/>
  <c r="C1750" i="18"/>
  <c r="B1750" i="18"/>
  <c r="E1749" i="18"/>
  <c r="D1749" i="18"/>
  <c r="C1749" i="18"/>
  <c r="B1749" i="18"/>
  <c r="E1748" i="18"/>
  <c r="D1748" i="18"/>
  <c r="C1748" i="18"/>
  <c r="B1748" i="18"/>
  <c r="E1747" i="18"/>
  <c r="D1747" i="18"/>
  <c r="C1747" i="18"/>
  <c r="B1747" i="18"/>
  <c r="E1746" i="18"/>
  <c r="D1746" i="18"/>
  <c r="C1746" i="18"/>
  <c r="B1746" i="18"/>
  <c r="E1745" i="18"/>
  <c r="D1745" i="18"/>
  <c r="C1745" i="18"/>
  <c r="B1745" i="18"/>
  <c r="E1744" i="18"/>
  <c r="D1744" i="18"/>
  <c r="C1744" i="18"/>
  <c r="B1744" i="18"/>
  <c r="E1743" i="18"/>
  <c r="D1743" i="18"/>
  <c r="C1743" i="18"/>
  <c r="B1743" i="18"/>
  <c r="E1742" i="18"/>
  <c r="D1742" i="18"/>
  <c r="C1742" i="18"/>
  <c r="B1742" i="18"/>
  <c r="E1741" i="18"/>
  <c r="D1741" i="18"/>
  <c r="C1741" i="18"/>
  <c r="B1741" i="18"/>
  <c r="E1740" i="18"/>
  <c r="D1740" i="18"/>
  <c r="C1740" i="18"/>
  <c r="B1740" i="18"/>
  <c r="E1739" i="18"/>
  <c r="D1739" i="18"/>
  <c r="C1739" i="18"/>
  <c r="B1739" i="18"/>
  <c r="E1738" i="18"/>
  <c r="D1738" i="18"/>
  <c r="C1738" i="18"/>
  <c r="B1738" i="18"/>
  <c r="E1737" i="18"/>
  <c r="D1737" i="18"/>
  <c r="C1737" i="18"/>
  <c r="B1737" i="18"/>
  <c r="E1736" i="18"/>
  <c r="D1736" i="18"/>
  <c r="C1736" i="18"/>
  <c r="B1736" i="18"/>
  <c r="E1735" i="18"/>
  <c r="D1735" i="18"/>
  <c r="C1735" i="18"/>
  <c r="B1735" i="18"/>
  <c r="E1734" i="18"/>
  <c r="D1734" i="18"/>
  <c r="C1734" i="18"/>
  <c r="B1734" i="18"/>
  <c r="E1733" i="18"/>
  <c r="D1733" i="18"/>
  <c r="C1733" i="18"/>
  <c r="B1733" i="18"/>
  <c r="E1732" i="18"/>
  <c r="D1732" i="18"/>
  <c r="C1732" i="18"/>
  <c r="B1732" i="18"/>
  <c r="E1731" i="18"/>
  <c r="D1731" i="18"/>
  <c r="C1731" i="18"/>
  <c r="B1731" i="18"/>
  <c r="E1730" i="18"/>
  <c r="D1730" i="18"/>
  <c r="C1730" i="18"/>
  <c r="B1730" i="18"/>
  <c r="E1729" i="18"/>
  <c r="D1729" i="18"/>
  <c r="C1729" i="18"/>
  <c r="B1729" i="18"/>
  <c r="E1728" i="18"/>
  <c r="D1728" i="18"/>
  <c r="C1728" i="18"/>
  <c r="B1728" i="18"/>
  <c r="E1727" i="18"/>
  <c r="D1727" i="18"/>
  <c r="C1727" i="18"/>
  <c r="B1727" i="18"/>
  <c r="E1726" i="18"/>
  <c r="D1726" i="18"/>
  <c r="C1726" i="18"/>
  <c r="B1726" i="18"/>
  <c r="E1725" i="18"/>
  <c r="D1725" i="18"/>
  <c r="C1725" i="18"/>
  <c r="B1725" i="18"/>
  <c r="E1724" i="18"/>
  <c r="D1724" i="18"/>
  <c r="C1724" i="18"/>
  <c r="B1724" i="18"/>
  <c r="E1723" i="18"/>
  <c r="D1723" i="18"/>
  <c r="C1723" i="18"/>
  <c r="B1723" i="18"/>
  <c r="E1722" i="18"/>
  <c r="D1722" i="18"/>
  <c r="C1722" i="18"/>
  <c r="B1722" i="18"/>
  <c r="E1721" i="18"/>
  <c r="D1721" i="18"/>
  <c r="C1721" i="18"/>
  <c r="B1721" i="18"/>
  <c r="E1720" i="18"/>
  <c r="D1720" i="18"/>
  <c r="C1720" i="18"/>
  <c r="B1720" i="18"/>
  <c r="E1719" i="18"/>
  <c r="D1719" i="18"/>
  <c r="C1719" i="18"/>
  <c r="B1719" i="18"/>
  <c r="E1718" i="18"/>
  <c r="D1718" i="18"/>
  <c r="C1718" i="18"/>
  <c r="B1718" i="18"/>
  <c r="E1717" i="18"/>
  <c r="D1717" i="18"/>
  <c r="C1717" i="18"/>
  <c r="B1717" i="18"/>
  <c r="E1716" i="18"/>
  <c r="D1716" i="18"/>
  <c r="C1716" i="18"/>
  <c r="B1716" i="18"/>
  <c r="E1715" i="18"/>
  <c r="D1715" i="18"/>
  <c r="C1715" i="18"/>
  <c r="B1715" i="18"/>
  <c r="E1714" i="18"/>
  <c r="D1714" i="18"/>
  <c r="C1714" i="18"/>
  <c r="B1714" i="18"/>
  <c r="E1713" i="18"/>
  <c r="D1713" i="18"/>
  <c r="C1713" i="18"/>
  <c r="B1713" i="18"/>
  <c r="E1712" i="18"/>
  <c r="D1712" i="18"/>
  <c r="C1712" i="18"/>
  <c r="B1712" i="18"/>
  <c r="E1711" i="18"/>
  <c r="D1711" i="18"/>
  <c r="C1711" i="18"/>
  <c r="B1711" i="18"/>
  <c r="E1710" i="18"/>
  <c r="D1710" i="18"/>
  <c r="C1710" i="18"/>
  <c r="B1710" i="18"/>
  <c r="E1709" i="18"/>
  <c r="D1709" i="18"/>
  <c r="C1709" i="18"/>
  <c r="B1709" i="18"/>
  <c r="E1708" i="18"/>
  <c r="D1708" i="18"/>
  <c r="C1708" i="18"/>
  <c r="B1708" i="18"/>
  <c r="E1707" i="18"/>
  <c r="D1707" i="18"/>
  <c r="C1707" i="18"/>
  <c r="B1707" i="18"/>
  <c r="E1706" i="18"/>
  <c r="D1706" i="18"/>
  <c r="C1706" i="18"/>
  <c r="B1706" i="18"/>
  <c r="E1705" i="18"/>
  <c r="D1705" i="18"/>
  <c r="C1705" i="18"/>
  <c r="B1705" i="18"/>
  <c r="E1704" i="18"/>
  <c r="D1704" i="18"/>
  <c r="C1704" i="18"/>
  <c r="B1704" i="18"/>
  <c r="E1703" i="18"/>
  <c r="D1703" i="18"/>
  <c r="C1703" i="18"/>
  <c r="B1703" i="18"/>
  <c r="E1702" i="18"/>
  <c r="D1702" i="18"/>
  <c r="C1702" i="18"/>
  <c r="B1702" i="18"/>
  <c r="E1701" i="18"/>
  <c r="D1701" i="18"/>
  <c r="C1701" i="18"/>
  <c r="B1701" i="18"/>
  <c r="E1700" i="18"/>
  <c r="D1700" i="18"/>
  <c r="C1700" i="18"/>
  <c r="B1700" i="18"/>
  <c r="E1699" i="18"/>
  <c r="D1699" i="18"/>
  <c r="C1699" i="18"/>
  <c r="B1699" i="18"/>
  <c r="E1698" i="18"/>
  <c r="D1698" i="18"/>
  <c r="C1698" i="18"/>
  <c r="B1698" i="18"/>
  <c r="E1697" i="18"/>
  <c r="D1697" i="18"/>
  <c r="C1697" i="18"/>
  <c r="B1697" i="18"/>
  <c r="E1696" i="18"/>
  <c r="D1696" i="18"/>
  <c r="C1696" i="18"/>
  <c r="B1696" i="18"/>
  <c r="E1695" i="18"/>
  <c r="D1695" i="18"/>
  <c r="C1695" i="18"/>
  <c r="B1695" i="18"/>
  <c r="E1694" i="18"/>
  <c r="D1694" i="18"/>
  <c r="C1694" i="18"/>
  <c r="B1694" i="18"/>
  <c r="E1693" i="18"/>
  <c r="D1693" i="18"/>
  <c r="C1693" i="18"/>
  <c r="B1693" i="18"/>
  <c r="E1692" i="18"/>
  <c r="D1692" i="18"/>
  <c r="C1692" i="18"/>
  <c r="B1692" i="18"/>
  <c r="E1691" i="18"/>
  <c r="D1691" i="18"/>
  <c r="C1691" i="18"/>
  <c r="B1691" i="18"/>
  <c r="E1690" i="18"/>
  <c r="D1690" i="18"/>
  <c r="C1690" i="18"/>
  <c r="B1690" i="18"/>
  <c r="E1689" i="18"/>
  <c r="D1689" i="18"/>
  <c r="C1689" i="18"/>
  <c r="B1689" i="18"/>
  <c r="E1688" i="18"/>
  <c r="D1688" i="18"/>
  <c r="C1688" i="18"/>
  <c r="B1688" i="18"/>
  <c r="E1687" i="18"/>
  <c r="D1687" i="18"/>
  <c r="C1687" i="18"/>
  <c r="B1687" i="18"/>
  <c r="E1686" i="18"/>
  <c r="D1686" i="18"/>
  <c r="C1686" i="18"/>
  <c r="B1686" i="18"/>
  <c r="E1685" i="18"/>
  <c r="D1685" i="18"/>
  <c r="C1685" i="18"/>
  <c r="B1685" i="18"/>
  <c r="E1684" i="18"/>
  <c r="D1684" i="18"/>
  <c r="C1684" i="18"/>
  <c r="B1684" i="18"/>
  <c r="E1683" i="18"/>
  <c r="D1683" i="18"/>
  <c r="C1683" i="18"/>
  <c r="B1683" i="18"/>
  <c r="E1682" i="18"/>
  <c r="D1682" i="18"/>
  <c r="C1682" i="18"/>
  <c r="B1682" i="18"/>
  <c r="E1681" i="18"/>
  <c r="D1681" i="18"/>
  <c r="C1681" i="18"/>
  <c r="B1681" i="18"/>
  <c r="E1680" i="18"/>
  <c r="D1680" i="18"/>
  <c r="C1680" i="18"/>
  <c r="B1680" i="18"/>
  <c r="E1679" i="18"/>
  <c r="D1679" i="18"/>
  <c r="C1679" i="18"/>
  <c r="B1679" i="18"/>
  <c r="E1678" i="18"/>
  <c r="D1678" i="18"/>
  <c r="C1678" i="18"/>
  <c r="B1678" i="18"/>
  <c r="E1677" i="18"/>
  <c r="D1677" i="18"/>
  <c r="C1677" i="18"/>
  <c r="B1677" i="18"/>
  <c r="E1676" i="18"/>
  <c r="D1676" i="18"/>
  <c r="C1676" i="18"/>
  <c r="B1676" i="18"/>
  <c r="E1675" i="18"/>
  <c r="D1675" i="18"/>
  <c r="C1675" i="18"/>
  <c r="B1675" i="18"/>
  <c r="E1674" i="18"/>
  <c r="D1674" i="18"/>
  <c r="C1674" i="18"/>
  <c r="B1674" i="18"/>
  <c r="E1673" i="18"/>
  <c r="D1673" i="18"/>
  <c r="C1673" i="18"/>
  <c r="B1673" i="18"/>
  <c r="E1672" i="18"/>
  <c r="D1672" i="18"/>
  <c r="C1672" i="18"/>
  <c r="B1672" i="18"/>
  <c r="E1671" i="18"/>
  <c r="D1671" i="18"/>
  <c r="C1671" i="18"/>
  <c r="B1671" i="18"/>
  <c r="E1670" i="18"/>
  <c r="D1670" i="18"/>
  <c r="C1670" i="18"/>
  <c r="B1670" i="18"/>
  <c r="E1669" i="18"/>
  <c r="D1669" i="18"/>
  <c r="C1669" i="18"/>
  <c r="B1669" i="18"/>
  <c r="E1668" i="18"/>
  <c r="D1668" i="18"/>
  <c r="C1668" i="18"/>
  <c r="B1668" i="18"/>
  <c r="E1667" i="18"/>
  <c r="D1667" i="18"/>
  <c r="C1667" i="18"/>
  <c r="B1667" i="18"/>
  <c r="E1666" i="18"/>
  <c r="D1666" i="18"/>
  <c r="C1666" i="18"/>
  <c r="B1666" i="18"/>
  <c r="E1665" i="18"/>
  <c r="D1665" i="18"/>
  <c r="C1665" i="18"/>
  <c r="B1665" i="18"/>
  <c r="E1664" i="18"/>
  <c r="D1664" i="18"/>
  <c r="C1664" i="18"/>
  <c r="B1664" i="18"/>
  <c r="E1663" i="18"/>
  <c r="D1663" i="18"/>
  <c r="C1663" i="18"/>
  <c r="B1663" i="18"/>
  <c r="E1662" i="18"/>
  <c r="D1662" i="18"/>
  <c r="C1662" i="18"/>
  <c r="B1662" i="18"/>
  <c r="E1661" i="18"/>
  <c r="D1661" i="18"/>
  <c r="C1661" i="18"/>
  <c r="B1661" i="18"/>
  <c r="E1660" i="18"/>
  <c r="D1660" i="18"/>
  <c r="C1660" i="18"/>
  <c r="B1660" i="18"/>
  <c r="E1659" i="18"/>
  <c r="D1659" i="18"/>
  <c r="C1659" i="18"/>
  <c r="B1659" i="18"/>
  <c r="E1658" i="18"/>
  <c r="D1658" i="18"/>
  <c r="C1658" i="18"/>
  <c r="B1658" i="18"/>
  <c r="E1657" i="18"/>
  <c r="D1657" i="18"/>
  <c r="C1657" i="18"/>
  <c r="B1657" i="18"/>
  <c r="E1656" i="18"/>
  <c r="D1656" i="18"/>
  <c r="C1656" i="18"/>
  <c r="B1656" i="18"/>
  <c r="E1655" i="18"/>
  <c r="D1655" i="18"/>
  <c r="C1655" i="18"/>
  <c r="B1655" i="18"/>
  <c r="E1654" i="18"/>
  <c r="D1654" i="18"/>
  <c r="C1654" i="18"/>
  <c r="B1654" i="18"/>
  <c r="E1653" i="18"/>
  <c r="D1653" i="18"/>
  <c r="C1653" i="18"/>
  <c r="B1653" i="18"/>
  <c r="E1652" i="18"/>
  <c r="D1652" i="18"/>
  <c r="C1652" i="18"/>
  <c r="B1652" i="18"/>
  <c r="E1651" i="18"/>
  <c r="D1651" i="18"/>
  <c r="C1651" i="18"/>
  <c r="B1651" i="18"/>
  <c r="E1650" i="18"/>
  <c r="D1650" i="18"/>
  <c r="C1650" i="18"/>
  <c r="B1650" i="18"/>
  <c r="E1649" i="18"/>
  <c r="D1649" i="18"/>
  <c r="C1649" i="18"/>
  <c r="B1649" i="18"/>
  <c r="E1648" i="18"/>
  <c r="D1648" i="18"/>
  <c r="C1648" i="18"/>
  <c r="B1648" i="18"/>
  <c r="E1647" i="18"/>
  <c r="D1647" i="18"/>
  <c r="C1647" i="18"/>
  <c r="B1647" i="18"/>
  <c r="E1646" i="18"/>
  <c r="D1646" i="18"/>
  <c r="C1646" i="18"/>
  <c r="B1646" i="18"/>
  <c r="E1645" i="18"/>
  <c r="D1645" i="18"/>
  <c r="C1645" i="18"/>
  <c r="B1645" i="18"/>
  <c r="E1644" i="18"/>
  <c r="D1644" i="18"/>
  <c r="C1644" i="18"/>
  <c r="B1644" i="18"/>
  <c r="E1643" i="18"/>
  <c r="D1643" i="18"/>
  <c r="C1643" i="18"/>
  <c r="B1643" i="18"/>
  <c r="E1642" i="18"/>
  <c r="D1642" i="18"/>
  <c r="C1642" i="18"/>
  <c r="B1642" i="18"/>
  <c r="E1641" i="18"/>
  <c r="D1641" i="18"/>
  <c r="C1641" i="18"/>
  <c r="B1641" i="18"/>
  <c r="E1640" i="18"/>
  <c r="D1640" i="18"/>
  <c r="C1640" i="18"/>
  <c r="B1640" i="18"/>
  <c r="E1639" i="18"/>
  <c r="D1639" i="18"/>
  <c r="C1639" i="18"/>
  <c r="B1639" i="18"/>
  <c r="E1638" i="18"/>
  <c r="D1638" i="18"/>
  <c r="C1638" i="18"/>
  <c r="B1638" i="18"/>
  <c r="E1637" i="18"/>
  <c r="D1637" i="18"/>
  <c r="C1637" i="18"/>
  <c r="B1637" i="18"/>
  <c r="E1636" i="18"/>
  <c r="D1636" i="18"/>
  <c r="C1636" i="18"/>
  <c r="B1636" i="18"/>
  <c r="E1635" i="18"/>
  <c r="D1635" i="18"/>
  <c r="C1635" i="18"/>
  <c r="B1635" i="18"/>
  <c r="E1634" i="18"/>
  <c r="D1634" i="18"/>
  <c r="C1634" i="18"/>
  <c r="B1634" i="18"/>
  <c r="E1633" i="18"/>
  <c r="D1633" i="18"/>
  <c r="C1633" i="18"/>
  <c r="B1633" i="18"/>
  <c r="E1632" i="18"/>
  <c r="D1632" i="18"/>
  <c r="C1632" i="18"/>
  <c r="B1632" i="18"/>
  <c r="E1631" i="18"/>
  <c r="D1631" i="18"/>
  <c r="C1631" i="18"/>
  <c r="B1631" i="18"/>
  <c r="E1630" i="18"/>
  <c r="D1630" i="18"/>
  <c r="C1630" i="18"/>
  <c r="B1630" i="18"/>
  <c r="E1629" i="18"/>
  <c r="D1629" i="18"/>
  <c r="C1629" i="18"/>
  <c r="B1629" i="18"/>
  <c r="E1628" i="18"/>
  <c r="D1628" i="18"/>
  <c r="C1628" i="18"/>
  <c r="B1628" i="18"/>
  <c r="E1627" i="18"/>
  <c r="D1627" i="18"/>
  <c r="C1627" i="18"/>
  <c r="B1627" i="18"/>
  <c r="E1626" i="18"/>
  <c r="D1626" i="18"/>
  <c r="C1626" i="18"/>
  <c r="B1626" i="18"/>
  <c r="E1625" i="18"/>
  <c r="D1625" i="18"/>
  <c r="C1625" i="18"/>
  <c r="B1625" i="18"/>
  <c r="E1624" i="18"/>
  <c r="D1624" i="18"/>
  <c r="C1624" i="18"/>
  <c r="B1624" i="18"/>
  <c r="E1623" i="18"/>
  <c r="D1623" i="18"/>
  <c r="C1623" i="18"/>
  <c r="B1623" i="18"/>
  <c r="E1622" i="18"/>
  <c r="D1622" i="18"/>
  <c r="C1622" i="18"/>
  <c r="B1622" i="18"/>
  <c r="E1621" i="18"/>
  <c r="D1621" i="18"/>
  <c r="C1621" i="18"/>
  <c r="B1621" i="18"/>
  <c r="E1620" i="18"/>
  <c r="D1620" i="18"/>
  <c r="C1620" i="18"/>
  <c r="B1620" i="18"/>
  <c r="E1619" i="18"/>
  <c r="D1619" i="18"/>
  <c r="C1619" i="18"/>
  <c r="B1619" i="18"/>
  <c r="E1618" i="18"/>
  <c r="D1618" i="18"/>
  <c r="C1618" i="18"/>
  <c r="B1618" i="18"/>
  <c r="E1617" i="18"/>
  <c r="D1617" i="18"/>
  <c r="C1617" i="18"/>
  <c r="B1617" i="18"/>
  <c r="E1616" i="18"/>
  <c r="D1616" i="18"/>
  <c r="C1616" i="18"/>
  <c r="B1616" i="18"/>
  <c r="E1615" i="18"/>
  <c r="D1615" i="18"/>
  <c r="C1615" i="18"/>
  <c r="B1615" i="18"/>
  <c r="E1614" i="18"/>
  <c r="D1614" i="18"/>
  <c r="C1614" i="18"/>
  <c r="B1614" i="18"/>
  <c r="E1613" i="18"/>
  <c r="D1613" i="18"/>
  <c r="C1613" i="18"/>
  <c r="B1613" i="18"/>
  <c r="E1612" i="18"/>
  <c r="D1612" i="18"/>
  <c r="C1612" i="18"/>
  <c r="B1612" i="18"/>
  <c r="E1611" i="18"/>
  <c r="D1611" i="18"/>
  <c r="C1611" i="18"/>
  <c r="B1611" i="18"/>
  <c r="E1610" i="18"/>
  <c r="D1610" i="18"/>
  <c r="C1610" i="18"/>
  <c r="B1610" i="18"/>
  <c r="E1609" i="18"/>
  <c r="D1609" i="18"/>
  <c r="C1609" i="18"/>
  <c r="B1609" i="18"/>
  <c r="E1608" i="18"/>
  <c r="D1608" i="18"/>
  <c r="C1608" i="18"/>
  <c r="B1608" i="18"/>
  <c r="E1607" i="18"/>
  <c r="D1607" i="18"/>
  <c r="C1607" i="18"/>
  <c r="B1607" i="18"/>
  <c r="E1606" i="18"/>
  <c r="D1606" i="18"/>
  <c r="C1606" i="18"/>
  <c r="B1606" i="18"/>
  <c r="E1605" i="18"/>
  <c r="D1605" i="18"/>
  <c r="C1605" i="18"/>
  <c r="B1605" i="18"/>
  <c r="E1604" i="18"/>
  <c r="D1604" i="18"/>
  <c r="C1604" i="18"/>
  <c r="B1604" i="18"/>
  <c r="E1603" i="18"/>
  <c r="D1603" i="18"/>
  <c r="C1603" i="18"/>
  <c r="B1603" i="18"/>
  <c r="E1602" i="18"/>
  <c r="D1602" i="18"/>
  <c r="C1602" i="18"/>
  <c r="B1602" i="18"/>
  <c r="E1601" i="18"/>
  <c r="D1601" i="18"/>
  <c r="C1601" i="18"/>
  <c r="B1601" i="18"/>
  <c r="E1600" i="18"/>
  <c r="D1600" i="18"/>
  <c r="C1600" i="18"/>
  <c r="B1600" i="18"/>
  <c r="E1599" i="18"/>
  <c r="D1599" i="18"/>
  <c r="C1599" i="18"/>
  <c r="B1599" i="18"/>
  <c r="E1598" i="18"/>
  <c r="D1598" i="18"/>
  <c r="C1598" i="18"/>
  <c r="B1598" i="18"/>
  <c r="E1597" i="18"/>
  <c r="D1597" i="18"/>
  <c r="C1597" i="18"/>
  <c r="B1597" i="18"/>
  <c r="E1596" i="18"/>
  <c r="D1596" i="18"/>
  <c r="C1596" i="18"/>
  <c r="B1596" i="18"/>
  <c r="E1595" i="18"/>
  <c r="D1595" i="18"/>
  <c r="C1595" i="18"/>
  <c r="B1595" i="18"/>
  <c r="E1594" i="18"/>
  <c r="D1594" i="18"/>
  <c r="C1594" i="18"/>
  <c r="B1594" i="18"/>
  <c r="E1593" i="18"/>
  <c r="D1593" i="18"/>
  <c r="C1593" i="18"/>
  <c r="B1593" i="18"/>
  <c r="E1592" i="18"/>
  <c r="D1592" i="18"/>
  <c r="C1592" i="18"/>
  <c r="B1592" i="18"/>
  <c r="E1591" i="18"/>
  <c r="D1591" i="18"/>
  <c r="C1591" i="18"/>
  <c r="B1591" i="18"/>
  <c r="E1590" i="18"/>
  <c r="D1590" i="18"/>
  <c r="C1590" i="18"/>
  <c r="B1590" i="18"/>
  <c r="E1589" i="18"/>
  <c r="D1589" i="18"/>
  <c r="C1589" i="18"/>
  <c r="B1589" i="18"/>
  <c r="E1588" i="18"/>
  <c r="D1588" i="18"/>
  <c r="C1588" i="18"/>
  <c r="B1588" i="18"/>
  <c r="E1587" i="18"/>
  <c r="D1587" i="18"/>
  <c r="C1587" i="18"/>
  <c r="B1587" i="18"/>
  <c r="E1586" i="18"/>
  <c r="D1586" i="18"/>
  <c r="C1586" i="18"/>
  <c r="B1586" i="18"/>
  <c r="E1585" i="18"/>
  <c r="D1585" i="18"/>
  <c r="C1585" i="18"/>
  <c r="B1585" i="18"/>
  <c r="E1584" i="18"/>
  <c r="D1584" i="18"/>
  <c r="C1584" i="18"/>
  <c r="B1584" i="18"/>
  <c r="E1583" i="18"/>
  <c r="D1583" i="18"/>
  <c r="C1583" i="18"/>
  <c r="B1583" i="18"/>
  <c r="E1582" i="18"/>
  <c r="D1582" i="18"/>
  <c r="C1582" i="18"/>
  <c r="B1582" i="18"/>
  <c r="E1581" i="18"/>
  <c r="D1581" i="18"/>
  <c r="C1581" i="18"/>
  <c r="B1581" i="18"/>
  <c r="E1580" i="18"/>
  <c r="D1580" i="18"/>
  <c r="C1580" i="18"/>
  <c r="B1580" i="18"/>
  <c r="E1579" i="18"/>
  <c r="D1579" i="18"/>
  <c r="C1579" i="18"/>
  <c r="B1579" i="18"/>
  <c r="E1578" i="18"/>
  <c r="D1578" i="18"/>
  <c r="C1578" i="18"/>
  <c r="B1578" i="18"/>
  <c r="E1577" i="18"/>
  <c r="D1577" i="18"/>
  <c r="C1577" i="18"/>
  <c r="B1577" i="18"/>
  <c r="E1576" i="18"/>
  <c r="D1576" i="18"/>
  <c r="C1576" i="18"/>
  <c r="B1576" i="18"/>
  <c r="E1575" i="18"/>
  <c r="D1575" i="18"/>
  <c r="C1575" i="18"/>
  <c r="B1575" i="18"/>
  <c r="E1574" i="18"/>
  <c r="D1574" i="18"/>
  <c r="C1574" i="18"/>
  <c r="B1574" i="18"/>
  <c r="E1573" i="18"/>
  <c r="D1573" i="18"/>
  <c r="C1573" i="18"/>
  <c r="B1573" i="18"/>
  <c r="E1572" i="18"/>
  <c r="D1572" i="18"/>
  <c r="C1572" i="18"/>
  <c r="B1572" i="18"/>
  <c r="E1571" i="18"/>
  <c r="D1571" i="18"/>
  <c r="C1571" i="18"/>
  <c r="B1571" i="18"/>
  <c r="E1570" i="18"/>
  <c r="D1570" i="18"/>
  <c r="C1570" i="18"/>
  <c r="B1570" i="18"/>
  <c r="E1569" i="18"/>
  <c r="D1569" i="18"/>
  <c r="C1569" i="18"/>
  <c r="B1569" i="18"/>
  <c r="E1568" i="18"/>
  <c r="D1568" i="18"/>
  <c r="C1568" i="18"/>
  <c r="B1568" i="18"/>
  <c r="E1567" i="18"/>
  <c r="D1567" i="18"/>
  <c r="C1567" i="18"/>
  <c r="B1567" i="18"/>
  <c r="E1566" i="18"/>
  <c r="D1566" i="18"/>
  <c r="C1566" i="18"/>
  <c r="B1566" i="18"/>
  <c r="E1565" i="18"/>
  <c r="D1565" i="18"/>
  <c r="C1565" i="18"/>
  <c r="B1565" i="18"/>
  <c r="E1564" i="18"/>
  <c r="D1564" i="18"/>
  <c r="C1564" i="18"/>
  <c r="B1564" i="18"/>
  <c r="E1563" i="18"/>
  <c r="D1563" i="18"/>
  <c r="C1563" i="18"/>
  <c r="B1563" i="18"/>
  <c r="E1562" i="18"/>
  <c r="D1562" i="18"/>
  <c r="C1562" i="18"/>
  <c r="B1562" i="18"/>
  <c r="E1561" i="18"/>
  <c r="D1561" i="18"/>
  <c r="C1561" i="18"/>
  <c r="B1561" i="18"/>
  <c r="E1560" i="18"/>
  <c r="D1560" i="18"/>
  <c r="C1560" i="18"/>
  <c r="B1560" i="18"/>
  <c r="E1559" i="18"/>
  <c r="D1559" i="18"/>
  <c r="C1559" i="18"/>
  <c r="B1559" i="18"/>
  <c r="E1558" i="18"/>
  <c r="D1558" i="18"/>
  <c r="C1558" i="18"/>
  <c r="B1558" i="18"/>
  <c r="E1557" i="18"/>
  <c r="D1557" i="18"/>
  <c r="C1557" i="18"/>
  <c r="B1557" i="18"/>
  <c r="E1556" i="18"/>
  <c r="D1556" i="18"/>
  <c r="C1556" i="18"/>
  <c r="B1556" i="18"/>
  <c r="E1555" i="18"/>
  <c r="D1555" i="18"/>
  <c r="C1555" i="18"/>
  <c r="B1555" i="18"/>
  <c r="E1554" i="18"/>
  <c r="D1554" i="18"/>
  <c r="C1554" i="18"/>
  <c r="B1554" i="18"/>
  <c r="E1553" i="18"/>
  <c r="D1553" i="18"/>
  <c r="C1553" i="18"/>
  <c r="B1553" i="18"/>
  <c r="E1552" i="18"/>
  <c r="D1552" i="18"/>
  <c r="C1552" i="18"/>
  <c r="B1552" i="18"/>
  <c r="E1551" i="18"/>
  <c r="D1551" i="18"/>
  <c r="C1551" i="18"/>
  <c r="B1551" i="18"/>
  <c r="E1550" i="18"/>
  <c r="D1550" i="18"/>
  <c r="C1550" i="18"/>
  <c r="B1550" i="18"/>
  <c r="E1549" i="18"/>
  <c r="D1549" i="18"/>
  <c r="C1549" i="18"/>
  <c r="B1549" i="18"/>
  <c r="E1548" i="18"/>
  <c r="D1548" i="18"/>
  <c r="C1548" i="18"/>
  <c r="B1548" i="18"/>
  <c r="E1547" i="18"/>
  <c r="D1547" i="18"/>
  <c r="C1547" i="18"/>
  <c r="B1547" i="18"/>
  <c r="E1546" i="18"/>
  <c r="D1546" i="18"/>
  <c r="C1546" i="18"/>
  <c r="B1546" i="18"/>
  <c r="E1545" i="18"/>
  <c r="D1545" i="18"/>
  <c r="C1545" i="18"/>
  <c r="B1545" i="18"/>
  <c r="E1544" i="18"/>
  <c r="D1544" i="18"/>
  <c r="C1544" i="18"/>
  <c r="B1544" i="18"/>
  <c r="E1543" i="18"/>
  <c r="D1543" i="18"/>
  <c r="C1543" i="18"/>
  <c r="B1543" i="18"/>
  <c r="E1542" i="18"/>
  <c r="D1542" i="18"/>
  <c r="C1542" i="18"/>
  <c r="B1542" i="18"/>
  <c r="E1541" i="18"/>
  <c r="D1541" i="18"/>
  <c r="C1541" i="18"/>
  <c r="B1541" i="18"/>
  <c r="E1540" i="18"/>
  <c r="D1540" i="18"/>
  <c r="C1540" i="18"/>
  <c r="B1540" i="18"/>
  <c r="E1539" i="18"/>
  <c r="D1539" i="18"/>
  <c r="C1539" i="18"/>
  <c r="B1539" i="18"/>
  <c r="E1538" i="18"/>
  <c r="D1538" i="18"/>
  <c r="C1538" i="18"/>
  <c r="B1538" i="18"/>
  <c r="E1537" i="18"/>
  <c r="D1537" i="18"/>
  <c r="C1537" i="18"/>
  <c r="B1537" i="18"/>
  <c r="E1536" i="18"/>
  <c r="D1536" i="18"/>
  <c r="C1536" i="18"/>
  <c r="B1536" i="18"/>
  <c r="E1535" i="18"/>
  <c r="D1535" i="18"/>
  <c r="C1535" i="18"/>
  <c r="B1535" i="18"/>
  <c r="E1534" i="18"/>
  <c r="D1534" i="18"/>
  <c r="C1534" i="18"/>
  <c r="B1534" i="18"/>
  <c r="E1533" i="18"/>
  <c r="D1533" i="18"/>
  <c r="C1533" i="18"/>
  <c r="B1533" i="18"/>
  <c r="E1532" i="18"/>
  <c r="D1532" i="18"/>
  <c r="C1532" i="18"/>
  <c r="B1532" i="18"/>
  <c r="E1531" i="18"/>
  <c r="D1531" i="18"/>
  <c r="C1531" i="18"/>
  <c r="B1531" i="18"/>
  <c r="E1530" i="18"/>
  <c r="D1530" i="18"/>
  <c r="C1530" i="18"/>
  <c r="B1530" i="18"/>
  <c r="E1529" i="18"/>
  <c r="D1529" i="18"/>
  <c r="C1529" i="18"/>
  <c r="B1529" i="18"/>
  <c r="E1528" i="18"/>
  <c r="D1528" i="18"/>
  <c r="C1528" i="18"/>
  <c r="B1528" i="18"/>
  <c r="E1527" i="18"/>
  <c r="D1527" i="18"/>
  <c r="C1527" i="18"/>
  <c r="B1527" i="18"/>
  <c r="E1526" i="18"/>
  <c r="D1526" i="18"/>
  <c r="C1526" i="18"/>
  <c r="B1526" i="18"/>
  <c r="E1525" i="18"/>
  <c r="D1525" i="18"/>
  <c r="C1525" i="18"/>
  <c r="B1525" i="18"/>
  <c r="E1524" i="18"/>
  <c r="D1524" i="18"/>
  <c r="C1524" i="18"/>
  <c r="B1524" i="18"/>
  <c r="E1523" i="18"/>
  <c r="D1523" i="18"/>
  <c r="C1523" i="18"/>
  <c r="B1523" i="18"/>
  <c r="E1522" i="18"/>
  <c r="D1522" i="18"/>
  <c r="C1522" i="18"/>
  <c r="B1522" i="18"/>
  <c r="E1521" i="18"/>
  <c r="D1521" i="18"/>
  <c r="C1521" i="18"/>
  <c r="B1521" i="18"/>
  <c r="E1520" i="18"/>
  <c r="D1520" i="18"/>
  <c r="C1520" i="18"/>
  <c r="B1520" i="18"/>
  <c r="E1519" i="18"/>
  <c r="D1519" i="18"/>
  <c r="C1519" i="18"/>
  <c r="B1519" i="18"/>
  <c r="E1518" i="18"/>
  <c r="D1518" i="18"/>
  <c r="C1518" i="18"/>
  <c r="B1518" i="18"/>
  <c r="E1517" i="18"/>
  <c r="D1517" i="18"/>
  <c r="C1517" i="18"/>
  <c r="B1517" i="18"/>
  <c r="E1516" i="18"/>
  <c r="D1516" i="18"/>
  <c r="C1516" i="18"/>
  <c r="B1516" i="18"/>
  <c r="E1515" i="18"/>
  <c r="D1515" i="18"/>
  <c r="C1515" i="18"/>
  <c r="B1515" i="18"/>
  <c r="E1514" i="18"/>
  <c r="D1514" i="18"/>
  <c r="C1514" i="18"/>
  <c r="B1514" i="18"/>
  <c r="E1513" i="18"/>
  <c r="D1513" i="18"/>
  <c r="C1513" i="18"/>
  <c r="B1513" i="18"/>
  <c r="E1512" i="18"/>
  <c r="D1512" i="18"/>
  <c r="C1512" i="18"/>
  <c r="B1512" i="18"/>
  <c r="E1511" i="18"/>
  <c r="D1511" i="18"/>
  <c r="C1511" i="18"/>
  <c r="B1511" i="18"/>
  <c r="E1510" i="18"/>
  <c r="D1510" i="18"/>
  <c r="C1510" i="18"/>
  <c r="B1510" i="18"/>
  <c r="E1509" i="18"/>
  <c r="D1509" i="18"/>
  <c r="C1509" i="18"/>
  <c r="B1509" i="18"/>
  <c r="E1508" i="18"/>
  <c r="D1508" i="18"/>
  <c r="C1508" i="18"/>
  <c r="B1508" i="18"/>
  <c r="E1507" i="18"/>
  <c r="D1507" i="18"/>
  <c r="C1507" i="18"/>
  <c r="B1507" i="18"/>
  <c r="E1506" i="18"/>
  <c r="D1506" i="18"/>
  <c r="C1506" i="18"/>
  <c r="B1506" i="18"/>
  <c r="E1505" i="18"/>
  <c r="D1505" i="18"/>
  <c r="C1505" i="18"/>
  <c r="B1505" i="18"/>
  <c r="E1504" i="18"/>
  <c r="D1504" i="18"/>
  <c r="C1504" i="18"/>
  <c r="B1504" i="18"/>
  <c r="E1503" i="18"/>
  <c r="D1503" i="18"/>
  <c r="C1503" i="18"/>
  <c r="B1503" i="18"/>
  <c r="E1502" i="18"/>
  <c r="D1502" i="18"/>
  <c r="C1502" i="18"/>
  <c r="B1502" i="18"/>
  <c r="E1501" i="18"/>
  <c r="D1501" i="18"/>
  <c r="C1501" i="18"/>
  <c r="B1501" i="18"/>
  <c r="E1500" i="18"/>
  <c r="D1500" i="18"/>
  <c r="C1500" i="18"/>
  <c r="B1500" i="18"/>
  <c r="E1499" i="18"/>
  <c r="D1499" i="18"/>
  <c r="C1499" i="18"/>
  <c r="B1499" i="18"/>
  <c r="E1498" i="18"/>
  <c r="D1498" i="18"/>
  <c r="C1498" i="18"/>
  <c r="B1498" i="18"/>
  <c r="E1497" i="18"/>
  <c r="D1497" i="18"/>
  <c r="C1497" i="18"/>
  <c r="B1497" i="18"/>
  <c r="E1496" i="18"/>
  <c r="D1496" i="18"/>
  <c r="C1496" i="18"/>
  <c r="B1496" i="18"/>
  <c r="E1495" i="18"/>
  <c r="D1495" i="18"/>
  <c r="C1495" i="18"/>
  <c r="B1495" i="18"/>
  <c r="E1494" i="18"/>
  <c r="D1494" i="18"/>
  <c r="C1494" i="18"/>
  <c r="B1494" i="18"/>
  <c r="E1493" i="18"/>
  <c r="D1493" i="18"/>
  <c r="C1493" i="18"/>
  <c r="B1493" i="18"/>
  <c r="E1492" i="18"/>
  <c r="D1492" i="18"/>
  <c r="C1492" i="18"/>
  <c r="B1492" i="18"/>
  <c r="E1491" i="18"/>
  <c r="D1491" i="18"/>
  <c r="C1491" i="18"/>
  <c r="B1491" i="18"/>
  <c r="E1490" i="18"/>
  <c r="D1490" i="18"/>
  <c r="C1490" i="18"/>
  <c r="B1490" i="18"/>
  <c r="E1489" i="18"/>
  <c r="D1489" i="18"/>
  <c r="C1489" i="18"/>
  <c r="B1489" i="18"/>
  <c r="E1488" i="18"/>
  <c r="D1488" i="18"/>
  <c r="C1488" i="18"/>
  <c r="B1488" i="18"/>
  <c r="E1487" i="18"/>
  <c r="D1487" i="18"/>
  <c r="C1487" i="18"/>
  <c r="B1487" i="18"/>
  <c r="E1486" i="18"/>
  <c r="D1486" i="18"/>
  <c r="C1486" i="18"/>
  <c r="B1486" i="18"/>
  <c r="E1485" i="18"/>
  <c r="D1485" i="18"/>
  <c r="C1485" i="18"/>
  <c r="B1485" i="18"/>
  <c r="E1484" i="18"/>
  <c r="D1484" i="18"/>
  <c r="C1484" i="18"/>
  <c r="B1484" i="18"/>
  <c r="E1483" i="18"/>
  <c r="D1483" i="18"/>
  <c r="C1483" i="18"/>
  <c r="B1483" i="18"/>
  <c r="E1482" i="18"/>
  <c r="D1482" i="18"/>
  <c r="C1482" i="18"/>
  <c r="B1482" i="18"/>
  <c r="E1481" i="18"/>
  <c r="D1481" i="18"/>
  <c r="C1481" i="18"/>
  <c r="B1481" i="18"/>
  <c r="E1480" i="18"/>
  <c r="D1480" i="18"/>
  <c r="C1480" i="18"/>
  <c r="B1480" i="18"/>
  <c r="E1479" i="18"/>
  <c r="D1479" i="18"/>
  <c r="C1479" i="18"/>
  <c r="B1479" i="18"/>
  <c r="E1478" i="18"/>
  <c r="D1478" i="18"/>
  <c r="C1478" i="18"/>
  <c r="B1478" i="18"/>
  <c r="E1477" i="18"/>
  <c r="D1477" i="18"/>
  <c r="C1477" i="18"/>
  <c r="B1477" i="18"/>
  <c r="E1476" i="18"/>
  <c r="D1476" i="18"/>
  <c r="C1476" i="18"/>
  <c r="B1476" i="18"/>
  <c r="E1475" i="18"/>
  <c r="D1475" i="18"/>
  <c r="C1475" i="18"/>
  <c r="B1475" i="18"/>
  <c r="E1474" i="18"/>
  <c r="D1474" i="18"/>
  <c r="C1474" i="18"/>
  <c r="B1474" i="18"/>
  <c r="E1473" i="18"/>
  <c r="D1473" i="18"/>
  <c r="C1473" i="18"/>
  <c r="B1473" i="18"/>
  <c r="E1472" i="18"/>
  <c r="D1472" i="18"/>
  <c r="C1472" i="18"/>
  <c r="B1472" i="18"/>
  <c r="E1471" i="18"/>
  <c r="D1471" i="18"/>
  <c r="C1471" i="18"/>
  <c r="B1471" i="18"/>
  <c r="E1470" i="18"/>
  <c r="D1470" i="18"/>
  <c r="C1470" i="18"/>
  <c r="B1470" i="18"/>
  <c r="E1469" i="18"/>
  <c r="D1469" i="18"/>
  <c r="C1469" i="18"/>
  <c r="B1469" i="18"/>
  <c r="E1468" i="18"/>
  <c r="D1468" i="18"/>
  <c r="C1468" i="18"/>
  <c r="B1468" i="18"/>
  <c r="E1467" i="18"/>
  <c r="D1467" i="18"/>
  <c r="C1467" i="18"/>
  <c r="B1467" i="18"/>
  <c r="E1466" i="18"/>
  <c r="D1466" i="18"/>
  <c r="C1466" i="18"/>
  <c r="B1466" i="18"/>
  <c r="E1465" i="18"/>
  <c r="D1465" i="18"/>
  <c r="C1465" i="18"/>
  <c r="B1465" i="18"/>
  <c r="E1464" i="18"/>
  <c r="D1464" i="18"/>
  <c r="C1464" i="18"/>
  <c r="B1464" i="18"/>
  <c r="E1463" i="18"/>
  <c r="D1463" i="18"/>
  <c r="C1463" i="18"/>
  <c r="B1463" i="18"/>
  <c r="E1462" i="18"/>
  <c r="D1462" i="18"/>
  <c r="C1462" i="18"/>
  <c r="B1462" i="18"/>
  <c r="E1461" i="18"/>
  <c r="D1461" i="18"/>
  <c r="C1461" i="18"/>
  <c r="B1461" i="18"/>
  <c r="E1460" i="18"/>
  <c r="D1460" i="18"/>
  <c r="C1460" i="18"/>
  <c r="B1460" i="18"/>
  <c r="E1459" i="18"/>
  <c r="D1459" i="18"/>
  <c r="C1459" i="18"/>
  <c r="B1459" i="18"/>
  <c r="E1458" i="18"/>
  <c r="D1458" i="18"/>
  <c r="C1458" i="18"/>
  <c r="B1458" i="18"/>
  <c r="E1457" i="18"/>
  <c r="D1457" i="18"/>
  <c r="C1457" i="18"/>
  <c r="B1457" i="18"/>
  <c r="E1456" i="18"/>
  <c r="D1456" i="18"/>
  <c r="C1456" i="18"/>
  <c r="B1456" i="18"/>
  <c r="E1455" i="18"/>
  <c r="D1455" i="18"/>
  <c r="C1455" i="18"/>
  <c r="B1455" i="18"/>
  <c r="E1454" i="18"/>
  <c r="D1454" i="18"/>
  <c r="C1454" i="18"/>
  <c r="B1454" i="18"/>
  <c r="E1453" i="18"/>
  <c r="D1453" i="18"/>
  <c r="C1453" i="18"/>
  <c r="B1453" i="18"/>
  <c r="E1452" i="18"/>
  <c r="D1452" i="18"/>
  <c r="C1452" i="18"/>
  <c r="B1452" i="18"/>
  <c r="E1451" i="18"/>
  <c r="D1451" i="18"/>
  <c r="C1451" i="18"/>
  <c r="B1451" i="18"/>
  <c r="E1450" i="18"/>
  <c r="D1450" i="18"/>
  <c r="C1450" i="18"/>
  <c r="B1450" i="18"/>
  <c r="E1449" i="18"/>
  <c r="D1449" i="18"/>
  <c r="C1449" i="18"/>
  <c r="B1449" i="18"/>
  <c r="E1448" i="18"/>
  <c r="D1448" i="18"/>
  <c r="C1448" i="18"/>
  <c r="B1448" i="18"/>
  <c r="E1447" i="18"/>
  <c r="D1447" i="18"/>
  <c r="C1447" i="18"/>
  <c r="B1447" i="18"/>
  <c r="E1446" i="18"/>
  <c r="D1446" i="18"/>
  <c r="C1446" i="18"/>
  <c r="B1446" i="18"/>
  <c r="E1445" i="18"/>
  <c r="D1445" i="18"/>
  <c r="C1445" i="18"/>
  <c r="B1445" i="18"/>
  <c r="E1444" i="18"/>
  <c r="D1444" i="18"/>
  <c r="C1444" i="18"/>
  <c r="B1444" i="18"/>
  <c r="E1443" i="18"/>
  <c r="D1443" i="18"/>
  <c r="C1443" i="18"/>
  <c r="B1443" i="18"/>
  <c r="E1442" i="18"/>
  <c r="D1442" i="18"/>
  <c r="C1442" i="18"/>
  <c r="B1442" i="18"/>
  <c r="E1441" i="18"/>
  <c r="D1441" i="18"/>
  <c r="C1441" i="18"/>
  <c r="B1441" i="18"/>
  <c r="E1440" i="18"/>
  <c r="D1440" i="18"/>
  <c r="C1440" i="18"/>
  <c r="B1440" i="18"/>
  <c r="E1439" i="18"/>
  <c r="D1439" i="18"/>
  <c r="C1439" i="18"/>
  <c r="B1439" i="18"/>
  <c r="E1438" i="18"/>
  <c r="D1438" i="18"/>
  <c r="C1438" i="18"/>
  <c r="E1437" i="18"/>
  <c r="D1437" i="18"/>
  <c r="C1437" i="18"/>
  <c r="B1437" i="18"/>
  <c r="E1436" i="18"/>
  <c r="D1436" i="18"/>
  <c r="C1436" i="18"/>
  <c r="B1436" i="18"/>
  <c r="E1435" i="18"/>
  <c r="D1435" i="18"/>
  <c r="C1435" i="18"/>
  <c r="B1435" i="18"/>
  <c r="E1434" i="18"/>
  <c r="D1434" i="18"/>
  <c r="C1434" i="18"/>
  <c r="B1434" i="18"/>
  <c r="E1433" i="18"/>
  <c r="D1433" i="18"/>
  <c r="C1433" i="18"/>
  <c r="B1433" i="18"/>
  <c r="E1432" i="18"/>
  <c r="D1432" i="18"/>
  <c r="C1432" i="18"/>
  <c r="B1432" i="18"/>
  <c r="E1431" i="18"/>
  <c r="D1431" i="18"/>
  <c r="C1431" i="18"/>
  <c r="B1431" i="18"/>
  <c r="E1430" i="18"/>
  <c r="D1430" i="18"/>
  <c r="C1430" i="18"/>
  <c r="B1430" i="18"/>
  <c r="E1429" i="18"/>
  <c r="D1429" i="18"/>
  <c r="C1429" i="18"/>
  <c r="B1429" i="18"/>
  <c r="E1428" i="18"/>
  <c r="D1428" i="18"/>
  <c r="C1428" i="18"/>
  <c r="E1427" i="18"/>
  <c r="D1427" i="18"/>
  <c r="C1427" i="18"/>
  <c r="B1427" i="18"/>
  <c r="E1426" i="18"/>
  <c r="D1426" i="18"/>
  <c r="C1426" i="18"/>
  <c r="B1426" i="18"/>
  <c r="E1425" i="18"/>
  <c r="D1425" i="18"/>
  <c r="C1425" i="18"/>
  <c r="B1425" i="18"/>
  <c r="E1424" i="18"/>
  <c r="D1424" i="18"/>
  <c r="C1424" i="18"/>
  <c r="B1424" i="18"/>
  <c r="E1423" i="18"/>
  <c r="D1423" i="18"/>
  <c r="C1423" i="18"/>
  <c r="B1423" i="18"/>
  <c r="E1422" i="18"/>
  <c r="D1422" i="18"/>
  <c r="C1422" i="18"/>
  <c r="B1422" i="18"/>
  <c r="E1421" i="18"/>
  <c r="D1421" i="18"/>
  <c r="C1421" i="18"/>
  <c r="B1421" i="18"/>
  <c r="E1420" i="18"/>
  <c r="D1420" i="18"/>
  <c r="C1420" i="18"/>
  <c r="B1420" i="18"/>
  <c r="E1419" i="18"/>
  <c r="D1419" i="18"/>
  <c r="C1419" i="18"/>
  <c r="B1419" i="18"/>
  <c r="E1418" i="18"/>
  <c r="D1418" i="18"/>
  <c r="C1418" i="18"/>
  <c r="B1418" i="18"/>
  <c r="E1417" i="18"/>
  <c r="D1417" i="18"/>
  <c r="C1417" i="18"/>
  <c r="B1417" i="18"/>
  <c r="E1416" i="18"/>
  <c r="D1416" i="18"/>
  <c r="C1416" i="18"/>
  <c r="B1416" i="18"/>
  <c r="E1415" i="18"/>
  <c r="D1415" i="18"/>
  <c r="C1415" i="18"/>
  <c r="B1415" i="18"/>
  <c r="E1414" i="18"/>
  <c r="D1414" i="18"/>
  <c r="C1414" i="18"/>
  <c r="B1414" i="18"/>
  <c r="E1413" i="18"/>
  <c r="D1413" i="18"/>
  <c r="C1413" i="18"/>
  <c r="B1413" i="18"/>
  <c r="E1412" i="18"/>
  <c r="D1412" i="18"/>
  <c r="C1412" i="18"/>
  <c r="B1412" i="18"/>
  <c r="E1411" i="18"/>
  <c r="D1411" i="18"/>
  <c r="C1411" i="18"/>
  <c r="B1411" i="18"/>
  <c r="E1410" i="18"/>
  <c r="D1410" i="18"/>
  <c r="C1410" i="18"/>
  <c r="B1410" i="18"/>
  <c r="E1409" i="18"/>
  <c r="D1409" i="18"/>
  <c r="C1409" i="18"/>
  <c r="B1409" i="18"/>
  <c r="E1408" i="18"/>
  <c r="D1408" i="18"/>
  <c r="C1408" i="18"/>
  <c r="B1408" i="18"/>
  <c r="E1407" i="18"/>
  <c r="D1407" i="18"/>
  <c r="C1407" i="18"/>
  <c r="B1407" i="18"/>
  <c r="E1406" i="18"/>
  <c r="D1406" i="18"/>
  <c r="C1406" i="18"/>
  <c r="B1406" i="18"/>
  <c r="E1405" i="18"/>
  <c r="D1405" i="18"/>
  <c r="C1405" i="18"/>
  <c r="B1405" i="18"/>
  <c r="E1404" i="18"/>
  <c r="D1404" i="18"/>
  <c r="C1404" i="18"/>
  <c r="B1404" i="18"/>
  <c r="E1403" i="18"/>
  <c r="D1403" i="18"/>
  <c r="C1403" i="18"/>
  <c r="B1403" i="18"/>
  <c r="E1402" i="18"/>
  <c r="D1402" i="18"/>
  <c r="C1402" i="18"/>
  <c r="B1402" i="18"/>
  <c r="E1401" i="18"/>
  <c r="D1401" i="18"/>
  <c r="C1401" i="18"/>
  <c r="B1401" i="18"/>
  <c r="E1400" i="18"/>
  <c r="D1400" i="18"/>
  <c r="C1400" i="18"/>
  <c r="B1400" i="18"/>
  <c r="E1399" i="18"/>
  <c r="D1399" i="18"/>
  <c r="C1399" i="18"/>
  <c r="B1399" i="18"/>
  <c r="E1398" i="18"/>
  <c r="D1398" i="18"/>
  <c r="C1398" i="18"/>
  <c r="B1398" i="18"/>
  <c r="E1397" i="18"/>
  <c r="D1397" i="18"/>
  <c r="C1397" i="18"/>
  <c r="E1396" i="18"/>
  <c r="D1396" i="18"/>
  <c r="C1396" i="18"/>
  <c r="B1396" i="18"/>
  <c r="E1395" i="18"/>
  <c r="D1395" i="18"/>
  <c r="C1395" i="18"/>
  <c r="B1395" i="18"/>
  <c r="E1394" i="18"/>
  <c r="D1394" i="18"/>
  <c r="C1394" i="18"/>
  <c r="B1394" i="18"/>
  <c r="E1393" i="18"/>
  <c r="D1393" i="18"/>
  <c r="C1393" i="18"/>
  <c r="B1393" i="18"/>
  <c r="E1392" i="18"/>
  <c r="D1392" i="18"/>
  <c r="C1392" i="18"/>
  <c r="B1392" i="18"/>
  <c r="E1391" i="18"/>
  <c r="D1391" i="18"/>
  <c r="C1391" i="18"/>
  <c r="B1391" i="18"/>
  <c r="E1390" i="18"/>
  <c r="D1390" i="18"/>
  <c r="C1390" i="18"/>
  <c r="B1390" i="18"/>
  <c r="E1389" i="18"/>
  <c r="D1389" i="18"/>
  <c r="C1389" i="18"/>
  <c r="B1389" i="18"/>
  <c r="E1388" i="18"/>
  <c r="D1388" i="18"/>
  <c r="C1388" i="18"/>
  <c r="B1388" i="18"/>
  <c r="E1387" i="18"/>
  <c r="D1387" i="18"/>
  <c r="C1387" i="18"/>
  <c r="B1387" i="18"/>
  <c r="E1386" i="18"/>
  <c r="D1386" i="18"/>
  <c r="C1386" i="18"/>
  <c r="B1386" i="18"/>
  <c r="E1385" i="18"/>
  <c r="D1385" i="18"/>
  <c r="C1385" i="18"/>
  <c r="B1385" i="18"/>
  <c r="E1384" i="18"/>
  <c r="D1384" i="18"/>
  <c r="C1384" i="18"/>
  <c r="B1384" i="18"/>
  <c r="E1383" i="18"/>
  <c r="D1383" i="18"/>
  <c r="C1383" i="18"/>
  <c r="B1383" i="18"/>
  <c r="E1382" i="18"/>
  <c r="D1382" i="18"/>
  <c r="C1382" i="18"/>
  <c r="B1382" i="18"/>
  <c r="E1381" i="18"/>
  <c r="D1381" i="18"/>
  <c r="C1381" i="18"/>
  <c r="B1381" i="18"/>
  <c r="E1380" i="18"/>
  <c r="D1380" i="18"/>
  <c r="C1380" i="18"/>
  <c r="B1380" i="18"/>
  <c r="E1379" i="18"/>
  <c r="D1379" i="18"/>
  <c r="C1379" i="18"/>
  <c r="B1379" i="18"/>
  <c r="E1378" i="18"/>
  <c r="D1378" i="18"/>
  <c r="C1378" i="18"/>
  <c r="B1378" i="18"/>
  <c r="E1377" i="18"/>
  <c r="D1377" i="18"/>
  <c r="C1377" i="18"/>
  <c r="B1377" i="18"/>
  <c r="E1376" i="18"/>
  <c r="D1376" i="18"/>
  <c r="C1376" i="18"/>
  <c r="B1376" i="18"/>
  <c r="E1375" i="18"/>
  <c r="D1375" i="18"/>
  <c r="C1375" i="18"/>
  <c r="B1375" i="18"/>
  <c r="E1374" i="18"/>
  <c r="D1374" i="18"/>
  <c r="C1374" i="18"/>
  <c r="E1373" i="18"/>
  <c r="D1373" i="18"/>
  <c r="C1373" i="18"/>
  <c r="B1373" i="18"/>
  <c r="E1372" i="18"/>
  <c r="D1372" i="18"/>
  <c r="C1372" i="18"/>
  <c r="B1372" i="18"/>
  <c r="E1371" i="18"/>
  <c r="D1371" i="18"/>
  <c r="C1371" i="18"/>
  <c r="B1371" i="18"/>
  <c r="E1370" i="18"/>
  <c r="D1370" i="18"/>
  <c r="C1370" i="18"/>
  <c r="B1370" i="18"/>
  <c r="E1369" i="18"/>
  <c r="D1369" i="18"/>
  <c r="C1369" i="18"/>
  <c r="B1369" i="18"/>
  <c r="E1368" i="18"/>
  <c r="D1368" i="18"/>
  <c r="C1368" i="18"/>
  <c r="B1368" i="18"/>
  <c r="E1367" i="18"/>
  <c r="D1367" i="18"/>
  <c r="C1367" i="18"/>
  <c r="B1367" i="18"/>
  <c r="E1366" i="18"/>
  <c r="D1366" i="18"/>
  <c r="C1366" i="18"/>
  <c r="B1366" i="18"/>
  <c r="E1365" i="18"/>
  <c r="D1365" i="18"/>
  <c r="C1365" i="18"/>
  <c r="B1365" i="18"/>
  <c r="E1364" i="18"/>
  <c r="D1364" i="18"/>
  <c r="C1364" i="18"/>
  <c r="B1364" i="18"/>
  <c r="E1363" i="18"/>
  <c r="D1363" i="18"/>
  <c r="C1363" i="18"/>
  <c r="B1363" i="18"/>
  <c r="E1362" i="18"/>
  <c r="D1362" i="18"/>
  <c r="C1362" i="18"/>
  <c r="B1362" i="18"/>
  <c r="E1361" i="18"/>
  <c r="D1361" i="18"/>
  <c r="C1361" i="18"/>
  <c r="B1361" i="18"/>
  <c r="E1360" i="18"/>
  <c r="D1360" i="18"/>
  <c r="C1360" i="18"/>
  <c r="B1360" i="18"/>
  <c r="E1359" i="18"/>
  <c r="D1359" i="18"/>
  <c r="C1359" i="18"/>
  <c r="B1359" i="18"/>
  <c r="E1358" i="18"/>
  <c r="D1358" i="18"/>
  <c r="C1358" i="18"/>
  <c r="B1358" i="18"/>
  <c r="E1357" i="18"/>
  <c r="D1357" i="18"/>
  <c r="C1357" i="18"/>
  <c r="B1357" i="18"/>
  <c r="E1356" i="18"/>
  <c r="D1356" i="18"/>
  <c r="C1356" i="18"/>
  <c r="B1356" i="18"/>
  <c r="E1355" i="18"/>
  <c r="D1355" i="18"/>
  <c r="C1355" i="18"/>
  <c r="B1355" i="18"/>
  <c r="E1354" i="18"/>
  <c r="D1354" i="18"/>
  <c r="C1354" i="18"/>
  <c r="B1354" i="18"/>
  <c r="E1353" i="18"/>
  <c r="D1353" i="18"/>
  <c r="C1353" i="18"/>
  <c r="B1353" i="18"/>
  <c r="E1352" i="18"/>
  <c r="D1352" i="18"/>
  <c r="C1352" i="18"/>
  <c r="B1352" i="18"/>
  <c r="E1351" i="18"/>
  <c r="D1351" i="18"/>
  <c r="C1351" i="18"/>
  <c r="B1351" i="18"/>
  <c r="E1350" i="18"/>
  <c r="D1350" i="18"/>
  <c r="C1350" i="18"/>
  <c r="B1350" i="18"/>
  <c r="E1349" i="18"/>
  <c r="D1349" i="18"/>
  <c r="C1349" i="18"/>
  <c r="B1349" i="18"/>
  <c r="E1348" i="18"/>
  <c r="D1348" i="18"/>
  <c r="C1348" i="18"/>
  <c r="B1348" i="18"/>
  <c r="E1347" i="18"/>
  <c r="D1347" i="18"/>
  <c r="C1347" i="18"/>
  <c r="B1347" i="18"/>
  <c r="E1346" i="18"/>
  <c r="D1346" i="18"/>
  <c r="C1346" i="18"/>
  <c r="B1346" i="18"/>
  <c r="E1345" i="18"/>
  <c r="D1345" i="18"/>
  <c r="C1345" i="18"/>
  <c r="B1345" i="18"/>
  <c r="E1344" i="18"/>
  <c r="D1344" i="18"/>
  <c r="C1344" i="18"/>
  <c r="B1344" i="18"/>
  <c r="E1343" i="18"/>
  <c r="D1343" i="18"/>
  <c r="C1343" i="18"/>
  <c r="B1343" i="18"/>
  <c r="E1342" i="18"/>
  <c r="D1342" i="18"/>
  <c r="C1342" i="18"/>
  <c r="B1342" i="18"/>
  <c r="E1341" i="18"/>
  <c r="D1341" i="18"/>
  <c r="C1341" i="18"/>
  <c r="B1341" i="18"/>
  <c r="E1340" i="18"/>
  <c r="D1340" i="18"/>
  <c r="C1340" i="18"/>
  <c r="B1340" i="18"/>
  <c r="E1339" i="18"/>
  <c r="D1339" i="18"/>
  <c r="C1339" i="18"/>
  <c r="B1339" i="18"/>
  <c r="E1338" i="18"/>
  <c r="D1338" i="18"/>
  <c r="C1338" i="18"/>
  <c r="B1338" i="18"/>
  <c r="E1337" i="18"/>
  <c r="D1337" i="18"/>
  <c r="C1337" i="18"/>
  <c r="B1337" i="18"/>
  <c r="E1336" i="18"/>
  <c r="D1336" i="18"/>
  <c r="C1336" i="18"/>
  <c r="B1336" i="18"/>
  <c r="E1335" i="18"/>
  <c r="D1335" i="18"/>
  <c r="C1335" i="18"/>
  <c r="B1335" i="18"/>
  <c r="E1333" i="18"/>
  <c r="D1333" i="18"/>
  <c r="C1333" i="18"/>
  <c r="B1333" i="18"/>
  <c r="E1332" i="18"/>
  <c r="D1332" i="18"/>
  <c r="C1332" i="18"/>
  <c r="B1332" i="18"/>
  <c r="E1331" i="18"/>
  <c r="D1331" i="18"/>
  <c r="C1331" i="18"/>
  <c r="B1331" i="18"/>
  <c r="E1330" i="18"/>
  <c r="D1330" i="18"/>
  <c r="C1330" i="18"/>
  <c r="B1330" i="18"/>
  <c r="E1329" i="18"/>
  <c r="D1329" i="18"/>
  <c r="C1329" i="18"/>
  <c r="B1329" i="18"/>
  <c r="E1328" i="18"/>
  <c r="D1328" i="18"/>
  <c r="C1328" i="18"/>
  <c r="B1328" i="18"/>
  <c r="E1327" i="18"/>
  <c r="D1327" i="18"/>
  <c r="C1327" i="18"/>
  <c r="B1327" i="18"/>
  <c r="E1326" i="18"/>
  <c r="D1326" i="18"/>
  <c r="C1326" i="18"/>
  <c r="B1326" i="18"/>
  <c r="E1325" i="18"/>
  <c r="D1325" i="18"/>
  <c r="C1325" i="18"/>
  <c r="B1325" i="18"/>
  <c r="E1324" i="18"/>
  <c r="D1324" i="18"/>
  <c r="C1324" i="18"/>
  <c r="B1324" i="18"/>
  <c r="E1323" i="18"/>
  <c r="D1323" i="18"/>
  <c r="C1323" i="18"/>
  <c r="B1323" i="18"/>
  <c r="E1322" i="18"/>
  <c r="D1322" i="18"/>
  <c r="C1322" i="18"/>
  <c r="B1322" i="18"/>
  <c r="E1321" i="18"/>
  <c r="D1321" i="18"/>
  <c r="C1321" i="18"/>
  <c r="B1321" i="18"/>
  <c r="E1320" i="18"/>
  <c r="D1320" i="18"/>
  <c r="C1320" i="18"/>
  <c r="B1320" i="18"/>
  <c r="E1319" i="18"/>
  <c r="D1319" i="18"/>
  <c r="C1319" i="18"/>
  <c r="B1319" i="18"/>
  <c r="E1318" i="18"/>
  <c r="D1318" i="18"/>
  <c r="C1318" i="18"/>
  <c r="B1318" i="18"/>
  <c r="E1317" i="18"/>
  <c r="D1317" i="18"/>
  <c r="C1317" i="18"/>
  <c r="B1317" i="18"/>
  <c r="E1316" i="18"/>
  <c r="D1316" i="18"/>
  <c r="C1316" i="18"/>
  <c r="B1316" i="18"/>
  <c r="E1315" i="18"/>
  <c r="D1315" i="18"/>
  <c r="C1315" i="18"/>
  <c r="B1315" i="18"/>
  <c r="E1314" i="18"/>
  <c r="D1314" i="18"/>
  <c r="C1314" i="18"/>
  <c r="B1314" i="18"/>
  <c r="E1313" i="18"/>
  <c r="D1313" i="18"/>
  <c r="C1313" i="18"/>
  <c r="B1313" i="18"/>
  <c r="E1312" i="18"/>
  <c r="D1312" i="18"/>
  <c r="C1312" i="18"/>
  <c r="B1312" i="18"/>
  <c r="E1311" i="18"/>
  <c r="D1311" i="18"/>
  <c r="C1311" i="18"/>
  <c r="B1311" i="18"/>
  <c r="E1310" i="18"/>
  <c r="D1310" i="18"/>
  <c r="C1310" i="18"/>
  <c r="B1310" i="18"/>
  <c r="E1309" i="18"/>
  <c r="D1309" i="18"/>
  <c r="C1309" i="18"/>
  <c r="B1309" i="18"/>
  <c r="E1308" i="18"/>
  <c r="D1308" i="18"/>
  <c r="C1308" i="18"/>
  <c r="B1308" i="18"/>
  <c r="E1307" i="18"/>
  <c r="D1307" i="18"/>
  <c r="C1307" i="18"/>
  <c r="B1307" i="18"/>
  <c r="E1306" i="18"/>
  <c r="D1306" i="18"/>
  <c r="C1306" i="18"/>
  <c r="B1306" i="18"/>
  <c r="E1305" i="18"/>
  <c r="D1305" i="18"/>
  <c r="C1305" i="18"/>
  <c r="B1305" i="18"/>
  <c r="E1304" i="18"/>
  <c r="D1304" i="18"/>
  <c r="C1304" i="18"/>
  <c r="B1304" i="18"/>
  <c r="E1303" i="18"/>
  <c r="D1303" i="18"/>
  <c r="C1303" i="18"/>
  <c r="B1303" i="18"/>
  <c r="E1302" i="18"/>
  <c r="D1302" i="18"/>
  <c r="C1302" i="18"/>
  <c r="B1302" i="18"/>
  <c r="E1301" i="18"/>
  <c r="D1301" i="18"/>
  <c r="C1301" i="18"/>
  <c r="B1301" i="18"/>
  <c r="E1300" i="18"/>
  <c r="D1300" i="18"/>
  <c r="C1300" i="18"/>
  <c r="B1300" i="18"/>
  <c r="E1299" i="18"/>
  <c r="D1299" i="18"/>
  <c r="C1299" i="18"/>
  <c r="B1299" i="18"/>
  <c r="E1298" i="18"/>
  <c r="D1298" i="18"/>
  <c r="C1298" i="18"/>
  <c r="B1298" i="18"/>
  <c r="E1297" i="18"/>
  <c r="D1297" i="18"/>
  <c r="C1297" i="18"/>
  <c r="B1297" i="18"/>
  <c r="E1296" i="18"/>
  <c r="D1296" i="18"/>
  <c r="C1296" i="18"/>
  <c r="B1296" i="18"/>
  <c r="E1295" i="18"/>
  <c r="D1295" i="18"/>
  <c r="C1295" i="18"/>
  <c r="B1295" i="18"/>
  <c r="E1294" i="18"/>
  <c r="D1294" i="18"/>
  <c r="C1294" i="18"/>
  <c r="B1294" i="18"/>
  <c r="E1293" i="18"/>
  <c r="D1293" i="18"/>
  <c r="C1293" i="18"/>
  <c r="B1293" i="18"/>
  <c r="E1292" i="18"/>
  <c r="D1292" i="18"/>
  <c r="C1292" i="18"/>
  <c r="B1292" i="18"/>
  <c r="E1291" i="18"/>
  <c r="D1291" i="18"/>
  <c r="C1291" i="18"/>
  <c r="B1291" i="18"/>
  <c r="E1290" i="18"/>
  <c r="D1290" i="18"/>
  <c r="C1290" i="18"/>
  <c r="B1290" i="18"/>
  <c r="E1289" i="18"/>
  <c r="D1289" i="18"/>
  <c r="C1289" i="18"/>
  <c r="B1289" i="18"/>
  <c r="E1288" i="18"/>
  <c r="D1288" i="18"/>
  <c r="C1288" i="18"/>
  <c r="B1288" i="18"/>
  <c r="E1287" i="18"/>
  <c r="D1287" i="18"/>
  <c r="C1287" i="18"/>
  <c r="B1287" i="18"/>
  <c r="E1286" i="18"/>
  <c r="D1286" i="18"/>
  <c r="C1286" i="18"/>
  <c r="B1286" i="18"/>
  <c r="E1285" i="18"/>
  <c r="D1285" i="18"/>
  <c r="C1285" i="18"/>
  <c r="B1285" i="18"/>
  <c r="E1284" i="18"/>
  <c r="D1284" i="18"/>
  <c r="C1284" i="18"/>
  <c r="B1284" i="18"/>
  <c r="E1283" i="18"/>
  <c r="D1283" i="18"/>
  <c r="C1283" i="18"/>
  <c r="B1283" i="18"/>
  <c r="E1282" i="18"/>
  <c r="D1282" i="18"/>
  <c r="C1282" i="18"/>
  <c r="B1282" i="18"/>
  <c r="E1281" i="18"/>
  <c r="D1281" i="18"/>
  <c r="C1281" i="18"/>
  <c r="B1281" i="18"/>
  <c r="E1280" i="18"/>
  <c r="D1280" i="18"/>
  <c r="C1280" i="18"/>
  <c r="B1280" i="18"/>
  <c r="E1279" i="18"/>
  <c r="D1279" i="18"/>
  <c r="C1279" i="18"/>
  <c r="B1279" i="18"/>
  <c r="E1278" i="18"/>
  <c r="D1278" i="18"/>
  <c r="C1278" i="18"/>
  <c r="B1278" i="18"/>
  <c r="E1277" i="18"/>
  <c r="D1277" i="18"/>
  <c r="C1277" i="18"/>
  <c r="B1277" i="18"/>
  <c r="E1276" i="18"/>
  <c r="D1276" i="18"/>
  <c r="C1276" i="18"/>
  <c r="B1276" i="18"/>
  <c r="E1275" i="18"/>
  <c r="D1275" i="18"/>
  <c r="C1275" i="18"/>
  <c r="B1275" i="18"/>
  <c r="E1274" i="18"/>
  <c r="D1274" i="18"/>
  <c r="C1274" i="18"/>
  <c r="B1274" i="18"/>
  <c r="E1273" i="18"/>
  <c r="D1273" i="18"/>
  <c r="C1273" i="18"/>
  <c r="B1273" i="18"/>
  <c r="E1272" i="18"/>
  <c r="D1272" i="18"/>
  <c r="C1272" i="18"/>
  <c r="B1272" i="18"/>
  <c r="E1271" i="18"/>
  <c r="D1271" i="18"/>
  <c r="C1271" i="18"/>
  <c r="B1271" i="18"/>
  <c r="E1270" i="18"/>
  <c r="D1270" i="18"/>
  <c r="C1270" i="18"/>
  <c r="B1270" i="18"/>
  <c r="E1269" i="18"/>
  <c r="D1269" i="18"/>
  <c r="C1269" i="18"/>
  <c r="B1269" i="18"/>
  <c r="E1268" i="18"/>
  <c r="D1268" i="18"/>
  <c r="C1268" i="18"/>
  <c r="B1268" i="18"/>
  <c r="E1267" i="18"/>
  <c r="D1267" i="18"/>
  <c r="C1267" i="18"/>
  <c r="B1267" i="18"/>
  <c r="E1266" i="18"/>
  <c r="D1266" i="18"/>
  <c r="C1266" i="18"/>
  <c r="B1266" i="18"/>
  <c r="E1265" i="18"/>
  <c r="D1265" i="18"/>
  <c r="C1265" i="18"/>
  <c r="B1265" i="18"/>
  <c r="E1264" i="18"/>
  <c r="D1264" i="18"/>
  <c r="C1264" i="18"/>
  <c r="B1264" i="18"/>
  <c r="E1263" i="18"/>
  <c r="D1263" i="18"/>
  <c r="C1263" i="18"/>
  <c r="B1263" i="18"/>
  <c r="E1262" i="18"/>
  <c r="D1262" i="18"/>
  <c r="C1262" i="18"/>
  <c r="B1262" i="18"/>
  <c r="E1261" i="18"/>
  <c r="D1261" i="18"/>
  <c r="C1261" i="18"/>
  <c r="B1261" i="18"/>
  <c r="E1260" i="18"/>
  <c r="D1260" i="18"/>
  <c r="C1260" i="18"/>
  <c r="B1260" i="18"/>
  <c r="E1259" i="18"/>
  <c r="D1259" i="18"/>
  <c r="C1259" i="18"/>
  <c r="B1259" i="18"/>
  <c r="E1258" i="18"/>
  <c r="D1258" i="18"/>
  <c r="C1258" i="18"/>
  <c r="B1258" i="18"/>
  <c r="E1257" i="18"/>
  <c r="D1257" i="18"/>
  <c r="C1257" i="18"/>
  <c r="B1257" i="18"/>
  <c r="E1256" i="18"/>
  <c r="D1256" i="18"/>
  <c r="C1256" i="18"/>
  <c r="B1256" i="18"/>
  <c r="E1255" i="18"/>
  <c r="D1255" i="18"/>
  <c r="C1255" i="18"/>
  <c r="B1255" i="18"/>
  <c r="E1254" i="18"/>
  <c r="D1254" i="18"/>
  <c r="C1254" i="18"/>
  <c r="B1254" i="18"/>
  <c r="E1253" i="18"/>
  <c r="D1253" i="18"/>
  <c r="C1253" i="18"/>
  <c r="B1253" i="18"/>
  <c r="E1252" i="18"/>
  <c r="D1252" i="18"/>
  <c r="C1252" i="18"/>
  <c r="B1252" i="18"/>
  <c r="E1251" i="18"/>
  <c r="D1251" i="18"/>
  <c r="C1251" i="18"/>
  <c r="B1251" i="18"/>
  <c r="E1250" i="18"/>
  <c r="D1250" i="18"/>
  <c r="C1250" i="18"/>
  <c r="B1250" i="18"/>
  <c r="E1249" i="18"/>
  <c r="D1249" i="18"/>
  <c r="C1249" i="18"/>
  <c r="B1249" i="18"/>
  <c r="E1248" i="18"/>
  <c r="D1248" i="18"/>
  <c r="C1248" i="18"/>
  <c r="B1248" i="18"/>
  <c r="E1247" i="18"/>
  <c r="D1247" i="18"/>
  <c r="C1247" i="18"/>
  <c r="B1247" i="18"/>
  <c r="E1246" i="18"/>
  <c r="D1246" i="18"/>
  <c r="C1246" i="18"/>
  <c r="B1246" i="18"/>
  <c r="E1245" i="18"/>
  <c r="D1245" i="18"/>
  <c r="C1245" i="18"/>
  <c r="B1245" i="18"/>
  <c r="E1244" i="18"/>
  <c r="D1244" i="18"/>
  <c r="C1244" i="18"/>
  <c r="B1244" i="18"/>
  <c r="E1243" i="18"/>
  <c r="D1243" i="18"/>
  <c r="C1243" i="18"/>
  <c r="B1243" i="18"/>
  <c r="E1242" i="18"/>
  <c r="D1242" i="18"/>
  <c r="C1242" i="18"/>
  <c r="B1242" i="18"/>
  <c r="E1241" i="18"/>
  <c r="D1241" i="18"/>
  <c r="C1241" i="18"/>
  <c r="B1241" i="18"/>
  <c r="E1240" i="18"/>
  <c r="D1240" i="18"/>
  <c r="C1240" i="18"/>
  <c r="B1240" i="18"/>
  <c r="E1239" i="18"/>
  <c r="D1239" i="18"/>
  <c r="C1239" i="18"/>
  <c r="B1239" i="18"/>
  <c r="E1238" i="18"/>
  <c r="D1238" i="18"/>
  <c r="C1238" i="18"/>
  <c r="B1238" i="18"/>
  <c r="E1237" i="18"/>
  <c r="D1237" i="18"/>
  <c r="C1237" i="18"/>
  <c r="B1237" i="18"/>
  <c r="E1236" i="18"/>
  <c r="D1236" i="18"/>
  <c r="C1236" i="18"/>
  <c r="B1236" i="18"/>
  <c r="E1235" i="18"/>
  <c r="D1235" i="18"/>
  <c r="C1235" i="18"/>
  <c r="B1235" i="18"/>
  <c r="E1234" i="18"/>
  <c r="D1234" i="18"/>
  <c r="C1234" i="18"/>
  <c r="B1234" i="18"/>
  <c r="E1233" i="18"/>
  <c r="D1233" i="18"/>
  <c r="C1233" i="18"/>
  <c r="B1233" i="18"/>
  <c r="E1232" i="18"/>
  <c r="D1232" i="18"/>
  <c r="C1232" i="18"/>
  <c r="B1232" i="18"/>
  <c r="E1231" i="18"/>
  <c r="D1231" i="18"/>
  <c r="C1231" i="18"/>
  <c r="B1231" i="18"/>
  <c r="E1230" i="18"/>
  <c r="D1230" i="18"/>
  <c r="C1230" i="18"/>
  <c r="B1230" i="18"/>
  <c r="E1229" i="18"/>
  <c r="D1229" i="18"/>
  <c r="C1229" i="18"/>
  <c r="B1229" i="18"/>
  <c r="E1228" i="18"/>
  <c r="D1228" i="18"/>
  <c r="C1228" i="18"/>
  <c r="B1228" i="18"/>
  <c r="E1227" i="18"/>
  <c r="D1227" i="18"/>
  <c r="C1227" i="18"/>
  <c r="B1227" i="18"/>
  <c r="E1226" i="18"/>
  <c r="D1226" i="18"/>
  <c r="C1226" i="18"/>
  <c r="B1226" i="18"/>
  <c r="E1225" i="18"/>
  <c r="D1225" i="18"/>
  <c r="C1225" i="18"/>
  <c r="B1225" i="18"/>
  <c r="E1224" i="18"/>
  <c r="D1224" i="18"/>
  <c r="C1224" i="18"/>
  <c r="B1224" i="18"/>
  <c r="E1223" i="18"/>
  <c r="D1223" i="18"/>
  <c r="C1223" i="18"/>
  <c r="B1223" i="18"/>
  <c r="E1222" i="18"/>
  <c r="D1222" i="18"/>
  <c r="C1222" i="18"/>
  <c r="B1222" i="18"/>
  <c r="E1221" i="18"/>
  <c r="D1221" i="18"/>
  <c r="C1221" i="18"/>
  <c r="B1221" i="18"/>
  <c r="E1220" i="18"/>
  <c r="D1220" i="18"/>
  <c r="C1220" i="18"/>
  <c r="B1220" i="18"/>
  <c r="E1219" i="18"/>
  <c r="D1219" i="18"/>
  <c r="C1219" i="18"/>
  <c r="B1219" i="18"/>
  <c r="E1218" i="18"/>
  <c r="D1218" i="18"/>
  <c r="C1218" i="18"/>
  <c r="B1218" i="18"/>
  <c r="E1217" i="18"/>
  <c r="D1217" i="18"/>
  <c r="C1217" i="18"/>
  <c r="B1217" i="18"/>
  <c r="E1216" i="18"/>
  <c r="D1216" i="18"/>
  <c r="C1216" i="18"/>
  <c r="B1216" i="18"/>
  <c r="E1215" i="18"/>
  <c r="D1215" i="18"/>
  <c r="C1215" i="18"/>
  <c r="B1215" i="18"/>
  <c r="E1214" i="18"/>
  <c r="D1214" i="18"/>
  <c r="C1214" i="18"/>
  <c r="B1214" i="18"/>
  <c r="E1213" i="18"/>
  <c r="D1213" i="18"/>
  <c r="C1213" i="18"/>
  <c r="B1213" i="18"/>
  <c r="E1212" i="18"/>
  <c r="D1212" i="18"/>
  <c r="C1212" i="18"/>
  <c r="B1212" i="18"/>
  <c r="E1211" i="18"/>
  <c r="D1211" i="18"/>
  <c r="C1211" i="18"/>
  <c r="B1211" i="18"/>
  <c r="E1210" i="18"/>
  <c r="D1210" i="18"/>
  <c r="C1210" i="18"/>
  <c r="B1210" i="18"/>
  <c r="E1209" i="18"/>
  <c r="D1209" i="18"/>
  <c r="C1209" i="18"/>
  <c r="B1209" i="18"/>
  <c r="E1208" i="18"/>
  <c r="D1208" i="18"/>
  <c r="C1208" i="18"/>
  <c r="B1208" i="18"/>
  <c r="E1207" i="18"/>
  <c r="D1207" i="18"/>
  <c r="C1207" i="18"/>
  <c r="B1207" i="18"/>
  <c r="E1206" i="18"/>
  <c r="D1206" i="18"/>
  <c r="C1206" i="18"/>
  <c r="B1206" i="18"/>
  <c r="E1205" i="18"/>
  <c r="D1205" i="18"/>
  <c r="C1205" i="18"/>
  <c r="B1205" i="18"/>
  <c r="E1204" i="18"/>
  <c r="D1204" i="18"/>
  <c r="C1204" i="18"/>
  <c r="B1204" i="18"/>
  <c r="E1203" i="18"/>
  <c r="D1203" i="18"/>
  <c r="C1203" i="18"/>
  <c r="B1203" i="18"/>
  <c r="E1202" i="18"/>
  <c r="D1202" i="18"/>
  <c r="C1202" i="18"/>
  <c r="B1202" i="18"/>
  <c r="E1201" i="18"/>
  <c r="D1201" i="18"/>
  <c r="C1201" i="18"/>
  <c r="B1201" i="18"/>
  <c r="E1200" i="18"/>
  <c r="D1200" i="18"/>
  <c r="C1200" i="18"/>
  <c r="B1200" i="18"/>
  <c r="E1199" i="18"/>
  <c r="D1199" i="18"/>
  <c r="C1199" i="18"/>
  <c r="B1199" i="18"/>
  <c r="E1198" i="18"/>
  <c r="D1198" i="18"/>
  <c r="C1198" i="18"/>
  <c r="B1198" i="18"/>
  <c r="E1197" i="18"/>
  <c r="D1197" i="18"/>
  <c r="C1197" i="18"/>
  <c r="B1197" i="18"/>
  <c r="E1196" i="18"/>
  <c r="D1196" i="18"/>
  <c r="C1196" i="18"/>
  <c r="B1196" i="18"/>
  <c r="E1195" i="18"/>
  <c r="D1195" i="18"/>
  <c r="C1195" i="18"/>
  <c r="B1195" i="18"/>
  <c r="E1194" i="18"/>
  <c r="D1194" i="18"/>
  <c r="C1194" i="18"/>
  <c r="B1194" i="18"/>
  <c r="E1193" i="18"/>
  <c r="D1193" i="18"/>
  <c r="C1193" i="18"/>
  <c r="B1193" i="18"/>
  <c r="E1192" i="18"/>
  <c r="D1192" i="18"/>
  <c r="C1192" i="18"/>
  <c r="B1192" i="18"/>
  <c r="E1191" i="18"/>
  <c r="D1191" i="18"/>
  <c r="C1191" i="18"/>
  <c r="B1191" i="18"/>
  <c r="E1190" i="18"/>
  <c r="D1190" i="18"/>
  <c r="C1190" i="18"/>
  <c r="B1190" i="18"/>
  <c r="E1189" i="18"/>
  <c r="D1189" i="18"/>
  <c r="C1189" i="18"/>
  <c r="B1189" i="18"/>
  <c r="E1188" i="18"/>
  <c r="D1188" i="18"/>
  <c r="C1188" i="18"/>
  <c r="B1188" i="18"/>
  <c r="E1187" i="18"/>
  <c r="D1187" i="18"/>
  <c r="C1187" i="18"/>
  <c r="B1187" i="18"/>
  <c r="E1186" i="18"/>
  <c r="D1186" i="18"/>
  <c r="C1186" i="18"/>
  <c r="B1186" i="18"/>
  <c r="E1185" i="18"/>
  <c r="D1185" i="18"/>
  <c r="C1185" i="18"/>
  <c r="B1185" i="18"/>
  <c r="E1184" i="18"/>
  <c r="D1184" i="18"/>
  <c r="C1184" i="18"/>
  <c r="B1184" i="18"/>
  <c r="E1183" i="18"/>
  <c r="D1183" i="18"/>
  <c r="C1183" i="18"/>
  <c r="B1183" i="18"/>
  <c r="E1182" i="18"/>
  <c r="D1182" i="18"/>
  <c r="C1182" i="18"/>
  <c r="B1182" i="18"/>
  <c r="E1181" i="18"/>
  <c r="D1181" i="18"/>
  <c r="C1181" i="18"/>
  <c r="B1181" i="18"/>
  <c r="E1180" i="18"/>
  <c r="D1180" i="18"/>
  <c r="C1180" i="18"/>
  <c r="B1180" i="18"/>
  <c r="E1179" i="18"/>
  <c r="D1179" i="18"/>
  <c r="C1179" i="18"/>
  <c r="B1179" i="18"/>
  <c r="E1178" i="18"/>
  <c r="D1178" i="18"/>
  <c r="C1178" i="18"/>
  <c r="B1178" i="18"/>
  <c r="E1177" i="18"/>
  <c r="D1177" i="18"/>
  <c r="C1177" i="18"/>
  <c r="B1177" i="18"/>
  <c r="E1176" i="18"/>
  <c r="D1176" i="18"/>
  <c r="C1176" i="18"/>
  <c r="B1176" i="18"/>
  <c r="E1175" i="18"/>
  <c r="D1175" i="18"/>
  <c r="C1175" i="18"/>
  <c r="B1175" i="18"/>
  <c r="E1174" i="18"/>
  <c r="D1174" i="18"/>
  <c r="C1174" i="18"/>
  <c r="B1174" i="18"/>
  <c r="E1173" i="18"/>
  <c r="D1173" i="18"/>
  <c r="C1173" i="18"/>
  <c r="B1173" i="18"/>
  <c r="E1172" i="18"/>
  <c r="D1172" i="18"/>
  <c r="C1172" i="18"/>
  <c r="B1172" i="18"/>
  <c r="E1171" i="18"/>
  <c r="D1171" i="18"/>
  <c r="C1171" i="18"/>
  <c r="B1171" i="18"/>
  <c r="E1170" i="18"/>
  <c r="D1170" i="18"/>
  <c r="C1170" i="18"/>
  <c r="B1170" i="18"/>
  <c r="E1169" i="18"/>
  <c r="D1169" i="18"/>
  <c r="C1169" i="18"/>
  <c r="B1169" i="18"/>
  <c r="E1168" i="18"/>
  <c r="D1168" i="18"/>
  <c r="C1168" i="18"/>
  <c r="B1168" i="18"/>
  <c r="E1167" i="18"/>
  <c r="D1167" i="18"/>
  <c r="C1167" i="18"/>
  <c r="B1167" i="18"/>
  <c r="E1166" i="18"/>
  <c r="D1166" i="18"/>
  <c r="C1166" i="18"/>
  <c r="B1166" i="18"/>
  <c r="E1165" i="18"/>
  <c r="D1165" i="18"/>
  <c r="C1165" i="18"/>
  <c r="B1165" i="18"/>
  <c r="E1164" i="18"/>
  <c r="D1164" i="18"/>
  <c r="C1164" i="18"/>
  <c r="B1164" i="18"/>
  <c r="E1163" i="18"/>
  <c r="D1163" i="18"/>
  <c r="C1163" i="18"/>
  <c r="B1163" i="18"/>
  <c r="E1162" i="18"/>
  <c r="D1162" i="18"/>
  <c r="C1162" i="18"/>
  <c r="B1162" i="18"/>
  <c r="E1161" i="18"/>
  <c r="D1161" i="18"/>
  <c r="C1161" i="18"/>
  <c r="B1161" i="18"/>
  <c r="E1160" i="18"/>
  <c r="D1160" i="18"/>
  <c r="C1160" i="18"/>
  <c r="B1160" i="18"/>
  <c r="E1159" i="18"/>
  <c r="D1159" i="18"/>
  <c r="C1159" i="18"/>
  <c r="B1159" i="18"/>
  <c r="E1158" i="18"/>
  <c r="D1158" i="18"/>
  <c r="C1158" i="18"/>
  <c r="B1158" i="18"/>
  <c r="E1157" i="18"/>
  <c r="D1157" i="18"/>
  <c r="C1157" i="18"/>
  <c r="B1157" i="18"/>
  <c r="E1156" i="18"/>
  <c r="D1156" i="18"/>
  <c r="C1156" i="18"/>
  <c r="B1156" i="18"/>
  <c r="E1155" i="18"/>
  <c r="D1155" i="18"/>
  <c r="C1155" i="18"/>
  <c r="B1155" i="18"/>
  <c r="E1154" i="18"/>
  <c r="D1154" i="18"/>
  <c r="C1154" i="18"/>
  <c r="B1154" i="18"/>
  <c r="E1153" i="18"/>
  <c r="D1153" i="18"/>
  <c r="C1153" i="18"/>
  <c r="B1153" i="18"/>
  <c r="E1152" i="18"/>
  <c r="D1152" i="18"/>
  <c r="C1152" i="18"/>
  <c r="B1152" i="18"/>
  <c r="E1151" i="18"/>
  <c r="D1151" i="18"/>
  <c r="C1151" i="18"/>
  <c r="B1151" i="18"/>
  <c r="E1150" i="18"/>
  <c r="D1150" i="18"/>
  <c r="C1150" i="18"/>
  <c r="B1150" i="18"/>
  <c r="E1149" i="18"/>
  <c r="D1149" i="18"/>
  <c r="C1149" i="18"/>
  <c r="B1149" i="18"/>
  <c r="E1148" i="18"/>
  <c r="D1148" i="18"/>
  <c r="C1148" i="18"/>
  <c r="B1148" i="18"/>
  <c r="E1147" i="18"/>
  <c r="D1147" i="18"/>
  <c r="C1147" i="18"/>
  <c r="B1147" i="18"/>
  <c r="E1146" i="18"/>
  <c r="D1146" i="18"/>
  <c r="C1146" i="18"/>
  <c r="B1146" i="18"/>
  <c r="E1145" i="18"/>
  <c r="D1145" i="18"/>
  <c r="C1145" i="18"/>
  <c r="B1145" i="18"/>
  <c r="E1144" i="18"/>
  <c r="D1144" i="18"/>
  <c r="C1144" i="18"/>
  <c r="B1144" i="18"/>
  <c r="E1143" i="18"/>
  <c r="D1143" i="18"/>
  <c r="C1143" i="18"/>
  <c r="B1143" i="18"/>
  <c r="E1142" i="18"/>
  <c r="D1142" i="18"/>
  <c r="C1142" i="18"/>
  <c r="B1142" i="18"/>
  <c r="E1141" i="18"/>
  <c r="D1141" i="18"/>
  <c r="C1141" i="18"/>
  <c r="B1141" i="18"/>
  <c r="E1140" i="18"/>
  <c r="D1140" i="18"/>
  <c r="C1140" i="18"/>
  <c r="B1140" i="18"/>
  <c r="E1139" i="18"/>
  <c r="D1139" i="18"/>
  <c r="C1139" i="18"/>
  <c r="B1139" i="18"/>
  <c r="E1138" i="18"/>
  <c r="D1138" i="18"/>
  <c r="C1138" i="18"/>
  <c r="B1138" i="18"/>
  <c r="E1137" i="18"/>
  <c r="D1137" i="18"/>
  <c r="C1137" i="18"/>
  <c r="B1137" i="18"/>
  <c r="E1136" i="18"/>
  <c r="D1136" i="18"/>
  <c r="C1136" i="18"/>
  <c r="B1136" i="18"/>
  <c r="E1135" i="18"/>
  <c r="D1135" i="18"/>
  <c r="C1135" i="18"/>
  <c r="B1135" i="18"/>
  <c r="E1134" i="18"/>
  <c r="D1134" i="18"/>
  <c r="C1134" i="18"/>
  <c r="B1134" i="18"/>
  <c r="E1133" i="18"/>
  <c r="D1133" i="18"/>
  <c r="C1133" i="18"/>
  <c r="B1133" i="18"/>
  <c r="E1132" i="18"/>
  <c r="D1132" i="18"/>
  <c r="C1132" i="18"/>
  <c r="B1132" i="18"/>
  <c r="E1131" i="18"/>
  <c r="D1131" i="18"/>
  <c r="C1131" i="18"/>
  <c r="B1131" i="18"/>
  <c r="E1130" i="18"/>
  <c r="D1130" i="18"/>
  <c r="C1130" i="18"/>
  <c r="B1130" i="18"/>
  <c r="E1129" i="18"/>
  <c r="D1129" i="18"/>
  <c r="C1129" i="18"/>
  <c r="B1129" i="18"/>
  <c r="E1128" i="18"/>
  <c r="D1128" i="18"/>
  <c r="C1128" i="18"/>
  <c r="B1128" i="18"/>
  <c r="E1127" i="18"/>
  <c r="D1127" i="18"/>
  <c r="C1127" i="18"/>
  <c r="B1127" i="18"/>
  <c r="E1126" i="18"/>
  <c r="D1126" i="18"/>
  <c r="C1126" i="18"/>
  <c r="B1126" i="18"/>
  <c r="E1125" i="18"/>
  <c r="D1125" i="18"/>
  <c r="C1125" i="18"/>
  <c r="B1125" i="18"/>
  <c r="E1124" i="18"/>
  <c r="D1124" i="18"/>
  <c r="C1124" i="18"/>
  <c r="B1124" i="18"/>
  <c r="E1123" i="18"/>
  <c r="D1123" i="18"/>
  <c r="C1123" i="18"/>
  <c r="B1123" i="18"/>
  <c r="E1122" i="18"/>
  <c r="D1122" i="18"/>
  <c r="C1122" i="18"/>
  <c r="B1122" i="18"/>
  <c r="E1121" i="18"/>
  <c r="D1121" i="18"/>
  <c r="C1121" i="18"/>
  <c r="B1121" i="18"/>
  <c r="E1120" i="18"/>
  <c r="D1120" i="18"/>
  <c r="C1120" i="18"/>
  <c r="B1120" i="18"/>
  <c r="E1119" i="18"/>
  <c r="D1119" i="18"/>
  <c r="C1119" i="18"/>
  <c r="B1119" i="18"/>
  <c r="E1118" i="18"/>
  <c r="D1118" i="18"/>
  <c r="C1118" i="18"/>
  <c r="B1118" i="18"/>
  <c r="E1117" i="18"/>
  <c r="D1117" i="18"/>
  <c r="C1117" i="18"/>
  <c r="B1117" i="18"/>
  <c r="E1116" i="18"/>
  <c r="D1116" i="18"/>
  <c r="C1116" i="18"/>
  <c r="B1116" i="18"/>
  <c r="E1115" i="18"/>
  <c r="D1115" i="18"/>
  <c r="C1115" i="18"/>
  <c r="B1115" i="18"/>
  <c r="E1114" i="18"/>
  <c r="D1114" i="18"/>
  <c r="C1114" i="18"/>
  <c r="B1114" i="18"/>
  <c r="E1113" i="18"/>
  <c r="D1113" i="18"/>
  <c r="C1113" i="18"/>
  <c r="B1113" i="18"/>
  <c r="E1112" i="18"/>
  <c r="D1112" i="18"/>
  <c r="C1112" i="18"/>
  <c r="B1112" i="18"/>
  <c r="E1111" i="18"/>
  <c r="D1111" i="18"/>
  <c r="C1111" i="18"/>
  <c r="B1111" i="18"/>
  <c r="E1110" i="18"/>
  <c r="D1110" i="18"/>
  <c r="C1110" i="18"/>
  <c r="B1110" i="18"/>
  <c r="E1109" i="18"/>
  <c r="D1109" i="18"/>
  <c r="C1109" i="18"/>
  <c r="B1109" i="18"/>
  <c r="E1108" i="18"/>
  <c r="D1108" i="18"/>
  <c r="C1108" i="18"/>
  <c r="B1108" i="18"/>
  <c r="E1107" i="18"/>
  <c r="D1107" i="18"/>
  <c r="C1107" i="18"/>
  <c r="B1107" i="18"/>
  <c r="E1106" i="18"/>
  <c r="D1106" i="18"/>
  <c r="C1106" i="18"/>
  <c r="B1106" i="18"/>
  <c r="E1105" i="18"/>
  <c r="D1105" i="18"/>
  <c r="C1105" i="18"/>
  <c r="B1105" i="18"/>
  <c r="E1104" i="18"/>
  <c r="D1104" i="18"/>
  <c r="C1104" i="18"/>
  <c r="B1104" i="18"/>
  <c r="E1103" i="18"/>
  <c r="D1103" i="18"/>
  <c r="C1103" i="18"/>
  <c r="B1103" i="18"/>
  <c r="E1102" i="18"/>
  <c r="D1102" i="18"/>
  <c r="C1102" i="18"/>
  <c r="B1102" i="18"/>
  <c r="E1101" i="18"/>
  <c r="D1101" i="18"/>
  <c r="C1101" i="18"/>
  <c r="B1101" i="18"/>
  <c r="E1100" i="18"/>
  <c r="D1100" i="18"/>
  <c r="C1100" i="18"/>
  <c r="B1100" i="18"/>
  <c r="E1099" i="18"/>
  <c r="D1099" i="18"/>
  <c r="C1099" i="18"/>
  <c r="B1099" i="18"/>
  <c r="E1098" i="18"/>
  <c r="D1098" i="18"/>
  <c r="C1098" i="18"/>
  <c r="B1098" i="18"/>
  <c r="E1097" i="18"/>
  <c r="D1097" i="18"/>
  <c r="C1097" i="18"/>
  <c r="B1097" i="18"/>
  <c r="E1096" i="18"/>
  <c r="D1096" i="18"/>
  <c r="C1096" i="18"/>
  <c r="B1096" i="18"/>
  <c r="E1095" i="18"/>
  <c r="D1095" i="18"/>
  <c r="C1095" i="18"/>
  <c r="B1095" i="18"/>
  <c r="E1094" i="18"/>
  <c r="D1094" i="18"/>
  <c r="C1094" i="18"/>
  <c r="B1094" i="18"/>
  <c r="E1093" i="18"/>
  <c r="D1093" i="18"/>
  <c r="C1093" i="18"/>
  <c r="B1093" i="18"/>
  <c r="E1092" i="18"/>
  <c r="D1092" i="18"/>
  <c r="C1092" i="18"/>
  <c r="B1092" i="18"/>
  <c r="E1091" i="18"/>
  <c r="D1091" i="18"/>
  <c r="C1091" i="18"/>
  <c r="B1091" i="18"/>
  <c r="E1090" i="18"/>
  <c r="D1090" i="18"/>
  <c r="C1090" i="18"/>
  <c r="B1090" i="18"/>
  <c r="E1089" i="18"/>
  <c r="D1089" i="18"/>
  <c r="C1089" i="18"/>
  <c r="B1089" i="18"/>
  <c r="E1088" i="18"/>
  <c r="D1088" i="18"/>
  <c r="C1088" i="18"/>
  <c r="B1088" i="18"/>
  <c r="E1087" i="18"/>
  <c r="D1087" i="18"/>
  <c r="C1087" i="18"/>
  <c r="B1087" i="18"/>
  <c r="E1086" i="18"/>
  <c r="D1086" i="18"/>
  <c r="C1086" i="18"/>
  <c r="B1086" i="18"/>
  <c r="E1085" i="18"/>
  <c r="D1085" i="18"/>
  <c r="C1085" i="18"/>
  <c r="B1085" i="18"/>
  <c r="E1084" i="18"/>
  <c r="D1084" i="18"/>
  <c r="C1084" i="18"/>
  <c r="B1084" i="18"/>
  <c r="E1083" i="18"/>
  <c r="D1083" i="18"/>
  <c r="C1083" i="18"/>
  <c r="B1083" i="18"/>
  <c r="E1082" i="18"/>
  <c r="D1082" i="18"/>
  <c r="C1082" i="18"/>
  <c r="B1082" i="18"/>
  <c r="E1081" i="18"/>
  <c r="D1081" i="18"/>
  <c r="C1081" i="18"/>
  <c r="B1081" i="18"/>
  <c r="E1080" i="18"/>
  <c r="D1080" i="18"/>
  <c r="C1080" i="18"/>
  <c r="B1080" i="18"/>
  <c r="E1079" i="18"/>
  <c r="D1079" i="18"/>
  <c r="C1079" i="18"/>
  <c r="B1079" i="18"/>
  <c r="E1078" i="18"/>
  <c r="D1078" i="18"/>
  <c r="C1078" i="18"/>
  <c r="B1078" i="18"/>
  <c r="E1077" i="18"/>
  <c r="D1077" i="18"/>
  <c r="C1077" i="18"/>
  <c r="B1077" i="18"/>
  <c r="E1076" i="18"/>
  <c r="D1076" i="18"/>
  <c r="C1076" i="18"/>
  <c r="B1076" i="18"/>
  <c r="E1075" i="18"/>
  <c r="D1075" i="18"/>
  <c r="C1075" i="18"/>
  <c r="B1075" i="18"/>
  <c r="E1074" i="18"/>
  <c r="D1074" i="18"/>
  <c r="C1074" i="18"/>
  <c r="B1074" i="18"/>
  <c r="E1073" i="18"/>
  <c r="D1073" i="18"/>
  <c r="C1073" i="18"/>
  <c r="B1073" i="18"/>
  <c r="E1072" i="18"/>
  <c r="D1072" i="18"/>
  <c r="C1072" i="18"/>
  <c r="B1072" i="18"/>
  <c r="E1071" i="18"/>
  <c r="D1071" i="18"/>
  <c r="C1071" i="18"/>
  <c r="B1071" i="18"/>
  <c r="E1070" i="18"/>
  <c r="D1070" i="18"/>
  <c r="C1070" i="18"/>
  <c r="B1070" i="18"/>
  <c r="E1069" i="18"/>
  <c r="D1069" i="18"/>
  <c r="C1069" i="18"/>
  <c r="B1069" i="18"/>
  <c r="E1068" i="18"/>
  <c r="D1068" i="18"/>
  <c r="C1068" i="18"/>
  <c r="B1068" i="18"/>
  <c r="E1067" i="18"/>
  <c r="D1067" i="18"/>
  <c r="C1067" i="18"/>
  <c r="B1067" i="18"/>
  <c r="E1066" i="18"/>
  <c r="D1066" i="18"/>
  <c r="C1066" i="18"/>
  <c r="B1066" i="18"/>
  <c r="E1065" i="18"/>
  <c r="D1065" i="18"/>
  <c r="C1065" i="18"/>
  <c r="B1065" i="18"/>
  <c r="E1064" i="18"/>
  <c r="D1064" i="18"/>
  <c r="C1064" i="18"/>
  <c r="B1064" i="18"/>
  <c r="E1063" i="18"/>
  <c r="D1063" i="18"/>
  <c r="C1063" i="18"/>
  <c r="B1063" i="18"/>
  <c r="E1062" i="18"/>
  <c r="D1062" i="18"/>
  <c r="C1062" i="18"/>
  <c r="B1062" i="18"/>
  <c r="E1061" i="18"/>
  <c r="D1061" i="18"/>
  <c r="C1061" i="18"/>
  <c r="B1061" i="18"/>
  <c r="E1060" i="18"/>
  <c r="D1060" i="18"/>
  <c r="C1060" i="18"/>
  <c r="B1060" i="18"/>
  <c r="E1059" i="18"/>
  <c r="D1059" i="18"/>
  <c r="C1059" i="18"/>
  <c r="B1059" i="18"/>
  <c r="E1058" i="18"/>
  <c r="D1058" i="18"/>
  <c r="C1058" i="18"/>
  <c r="B1058" i="18"/>
  <c r="E1057" i="18"/>
  <c r="D1057" i="18"/>
  <c r="C1057" i="18"/>
  <c r="B1057" i="18"/>
  <c r="E1056" i="18"/>
  <c r="D1056" i="18"/>
  <c r="C1056" i="18"/>
  <c r="B1056" i="18"/>
  <c r="E1055" i="18"/>
  <c r="D1055" i="18"/>
  <c r="C1055" i="18"/>
  <c r="B1055" i="18"/>
  <c r="E1054" i="18"/>
  <c r="D1054" i="18"/>
  <c r="C1054" i="18"/>
  <c r="B1054" i="18"/>
  <c r="E1053" i="18"/>
  <c r="D1053" i="18"/>
  <c r="C1053" i="18"/>
  <c r="B1053" i="18"/>
  <c r="E1052" i="18"/>
  <c r="D1052" i="18"/>
  <c r="C1052" i="18"/>
  <c r="B1052" i="18"/>
  <c r="E1051" i="18"/>
  <c r="D1051" i="18"/>
  <c r="C1051" i="18"/>
  <c r="B1051" i="18"/>
  <c r="E1050" i="18"/>
  <c r="D1050" i="18"/>
  <c r="C1050" i="18"/>
  <c r="B1050" i="18"/>
  <c r="E1049" i="18"/>
  <c r="D1049" i="18"/>
  <c r="C1049" i="18"/>
  <c r="B1049" i="18"/>
  <c r="E1048" i="18"/>
  <c r="D1048" i="18"/>
  <c r="C1048" i="18"/>
  <c r="B1048" i="18"/>
  <c r="E1047" i="18"/>
  <c r="D1047" i="18"/>
  <c r="C1047" i="18"/>
  <c r="B1047" i="18"/>
  <c r="E1046" i="18"/>
  <c r="D1046" i="18"/>
  <c r="C1046" i="18"/>
  <c r="B1046" i="18"/>
  <c r="E1045" i="18"/>
  <c r="D1045" i="18"/>
  <c r="C1045" i="18"/>
  <c r="B1045" i="18"/>
  <c r="E1044" i="18"/>
  <c r="D1044" i="18"/>
  <c r="C1044" i="18"/>
  <c r="B1044" i="18"/>
  <c r="E1043" i="18"/>
  <c r="D1043" i="18"/>
  <c r="C1043" i="18"/>
  <c r="B1043" i="18"/>
  <c r="E1042" i="18"/>
  <c r="D1042" i="18"/>
  <c r="C1042" i="18"/>
  <c r="B1042" i="18"/>
  <c r="E1041" i="18"/>
  <c r="D1041" i="18"/>
  <c r="C1041" i="18"/>
  <c r="B1041" i="18"/>
  <c r="E1040" i="18"/>
  <c r="D1040" i="18"/>
  <c r="C1040" i="18"/>
  <c r="B1040" i="18"/>
  <c r="E1039" i="18"/>
  <c r="D1039" i="18"/>
  <c r="C1039" i="18"/>
  <c r="B1039" i="18"/>
  <c r="E1038" i="18"/>
  <c r="D1038" i="18"/>
  <c r="C1038" i="18"/>
  <c r="B1038" i="18"/>
  <c r="E1037" i="18"/>
  <c r="D1037" i="18"/>
  <c r="C1037" i="18"/>
  <c r="B1037" i="18"/>
  <c r="E1036" i="18"/>
  <c r="D1036" i="18"/>
  <c r="C1036" i="18"/>
  <c r="B1036" i="18"/>
  <c r="E1035" i="18"/>
  <c r="D1035" i="18"/>
  <c r="C1035" i="18"/>
  <c r="B1035" i="18"/>
  <c r="E1034" i="18"/>
  <c r="D1034" i="18"/>
  <c r="C1034" i="18"/>
  <c r="B1034" i="18"/>
  <c r="E1033" i="18"/>
  <c r="D1033" i="18"/>
  <c r="C1033" i="18"/>
  <c r="B1033" i="18"/>
  <c r="E1032" i="18"/>
  <c r="D1032" i="18"/>
  <c r="C1032" i="18"/>
  <c r="B1032" i="18"/>
  <c r="E1031" i="18"/>
  <c r="D1031" i="18"/>
  <c r="C1031" i="18"/>
  <c r="B1031" i="18"/>
  <c r="E1030" i="18"/>
  <c r="D1030" i="18"/>
  <c r="C1030" i="18"/>
  <c r="B1030" i="18"/>
  <c r="E1029" i="18"/>
  <c r="D1029" i="18"/>
  <c r="C1029" i="18"/>
  <c r="B1029" i="18"/>
  <c r="E1028" i="18"/>
  <c r="D1028" i="18"/>
  <c r="C1028" i="18"/>
  <c r="B1028" i="18"/>
  <c r="E1027" i="18"/>
  <c r="D1027" i="18"/>
  <c r="C1027" i="18"/>
  <c r="B1027" i="18"/>
  <c r="E1026" i="18"/>
  <c r="D1026" i="18"/>
  <c r="C1026" i="18"/>
  <c r="B1026" i="18"/>
  <c r="E1025" i="18"/>
  <c r="D1025" i="18"/>
  <c r="C1025" i="18"/>
  <c r="B1025" i="18"/>
  <c r="E1024" i="18"/>
  <c r="D1024" i="18"/>
  <c r="C1024" i="18"/>
  <c r="B1024" i="18"/>
  <c r="E1023" i="18"/>
  <c r="D1023" i="18"/>
  <c r="C1023" i="18"/>
  <c r="B1023" i="18"/>
  <c r="E1022" i="18"/>
  <c r="D1022" i="18"/>
  <c r="C1022" i="18"/>
  <c r="B1022" i="18"/>
  <c r="E1021" i="18"/>
  <c r="D1021" i="18"/>
  <c r="C1021" i="18"/>
  <c r="B1021" i="18"/>
  <c r="E1020" i="18"/>
  <c r="D1020" i="18"/>
  <c r="C1020" i="18"/>
  <c r="B1020" i="18"/>
  <c r="E1019" i="18"/>
  <c r="D1019" i="18"/>
  <c r="C1019" i="18"/>
  <c r="B1019" i="18"/>
  <c r="E1018" i="18"/>
  <c r="D1018" i="18"/>
  <c r="C1018" i="18"/>
  <c r="B1018" i="18"/>
  <c r="E1017" i="18"/>
  <c r="D1017" i="18"/>
  <c r="C1017" i="18"/>
  <c r="B1017" i="18"/>
  <c r="E1016" i="18"/>
  <c r="D1016" i="18"/>
  <c r="C1016" i="18"/>
  <c r="B1016" i="18"/>
  <c r="E1015" i="18"/>
  <c r="D1015" i="18"/>
  <c r="C1015" i="18"/>
  <c r="B1015" i="18"/>
  <c r="E1014" i="18"/>
  <c r="D1014" i="18"/>
  <c r="C1014" i="18"/>
  <c r="B1014" i="18"/>
  <c r="E1013" i="18"/>
  <c r="D1013" i="18"/>
  <c r="C1013" i="18"/>
  <c r="B1013" i="18"/>
  <c r="E1012" i="18"/>
  <c r="D1012" i="18"/>
  <c r="C1012" i="18"/>
  <c r="B1012" i="18"/>
  <c r="E1011" i="18"/>
  <c r="D1011" i="18"/>
  <c r="C1011" i="18"/>
  <c r="B1011" i="18"/>
  <c r="E1010" i="18"/>
  <c r="D1010" i="18"/>
  <c r="C1010" i="18"/>
  <c r="B1010" i="18"/>
  <c r="E1009" i="18"/>
  <c r="D1009" i="18"/>
  <c r="C1009" i="18"/>
  <c r="B1009" i="18"/>
  <c r="E1008" i="18"/>
  <c r="D1008" i="18"/>
  <c r="C1008" i="18"/>
  <c r="B1008" i="18"/>
  <c r="E1007" i="18"/>
  <c r="D1007" i="18"/>
  <c r="C1007" i="18"/>
  <c r="B1007" i="18"/>
  <c r="E1006" i="18"/>
  <c r="D1006" i="18"/>
  <c r="C1006" i="18"/>
  <c r="B1006" i="18"/>
  <c r="E1005" i="18"/>
  <c r="D1005" i="18"/>
  <c r="C1005" i="18"/>
  <c r="B1005" i="18"/>
  <c r="E1004" i="18"/>
  <c r="D1004" i="18"/>
  <c r="C1004" i="18"/>
  <c r="B1004" i="18"/>
  <c r="E1003" i="18"/>
  <c r="D1003" i="18"/>
  <c r="C1003" i="18"/>
  <c r="B1003" i="18"/>
  <c r="E1002" i="18"/>
  <c r="D1002" i="18"/>
  <c r="C1002" i="18"/>
  <c r="B1002" i="18"/>
  <c r="E1001" i="18"/>
  <c r="D1001" i="18"/>
  <c r="C1001" i="18"/>
  <c r="B1001" i="18"/>
  <c r="E1000" i="18"/>
  <c r="D1000" i="18"/>
  <c r="C1000" i="18"/>
  <c r="B1000" i="18"/>
  <c r="E999" i="18"/>
  <c r="D999" i="18"/>
  <c r="C999" i="18"/>
  <c r="B999" i="18"/>
  <c r="E998" i="18"/>
  <c r="D998" i="18"/>
  <c r="C998" i="18"/>
  <c r="B998" i="18"/>
  <c r="E997" i="18"/>
  <c r="D997" i="18"/>
  <c r="C997" i="18"/>
  <c r="B997" i="18"/>
  <c r="E996" i="18"/>
  <c r="D996" i="18"/>
  <c r="C996" i="18"/>
  <c r="B996" i="18"/>
  <c r="E995" i="18"/>
  <c r="D995" i="18"/>
  <c r="C995" i="18"/>
  <c r="B995" i="18"/>
  <c r="E994" i="18"/>
  <c r="D994" i="18"/>
  <c r="C994" i="18"/>
  <c r="B994" i="18"/>
  <c r="E993" i="18"/>
  <c r="D993" i="18"/>
  <c r="C993" i="18"/>
  <c r="B993" i="18"/>
  <c r="E992" i="18"/>
  <c r="D992" i="18"/>
  <c r="C992" i="18"/>
  <c r="B992" i="18"/>
  <c r="E991" i="18"/>
  <c r="D991" i="18"/>
  <c r="C991" i="18"/>
  <c r="B991" i="18"/>
  <c r="E990" i="18"/>
  <c r="D990" i="18"/>
  <c r="C990" i="18"/>
  <c r="B990" i="18"/>
  <c r="E989" i="18"/>
  <c r="D989" i="18"/>
  <c r="C989" i="18"/>
  <c r="B989" i="18"/>
  <c r="E988" i="18"/>
  <c r="D988" i="18"/>
  <c r="C988" i="18"/>
  <c r="B988" i="18"/>
  <c r="E987" i="18"/>
  <c r="D987" i="18"/>
  <c r="C987" i="18"/>
  <c r="B987" i="18"/>
  <c r="E986" i="18"/>
  <c r="D986" i="18"/>
  <c r="C986" i="18"/>
  <c r="B986" i="18"/>
  <c r="E985" i="18"/>
  <c r="D985" i="18"/>
  <c r="C985" i="18"/>
  <c r="B985" i="18"/>
  <c r="E984" i="18"/>
  <c r="D984" i="18"/>
  <c r="C984" i="18"/>
  <c r="B984" i="18"/>
  <c r="E983" i="18"/>
  <c r="D983" i="18"/>
  <c r="C983" i="18"/>
  <c r="B983" i="18"/>
  <c r="E982" i="18"/>
  <c r="D982" i="18"/>
  <c r="C982" i="18"/>
  <c r="B982" i="18"/>
  <c r="E981" i="18"/>
  <c r="D981" i="18"/>
  <c r="C981" i="18"/>
  <c r="B981" i="18"/>
  <c r="E980" i="18"/>
  <c r="D980" i="18"/>
  <c r="C980" i="18"/>
  <c r="B980" i="18"/>
  <c r="E979" i="18"/>
  <c r="D979" i="18"/>
  <c r="C979" i="18"/>
  <c r="B979" i="18"/>
  <c r="E978" i="18"/>
  <c r="D978" i="18"/>
  <c r="C978" i="18"/>
  <c r="B978" i="18"/>
  <c r="E977" i="18"/>
  <c r="D977" i="18"/>
  <c r="C977" i="18"/>
  <c r="B977" i="18"/>
  <c r="E976" i="18"/>
  <c r="D976" i="18"/>
  <c r="C976" i="18"/>
  <c r="B976" i="18"/>
  <c r="E975" i="18"/>
  <c r="D975" i="18"/>
  <c r="C975" i="18"/>
  <c r="B975" i="18"/>
  <c r="E974" i="18"/>
  <c r="D974" i="18"/>
  <c r="C974" i="18"/>
  <c r="B974" i="18"/>
  <c r="E973" i="18"/>
  <c r="D973" i="18"/>
  <c r="C973" i="18"/>
  <c r="B973" i="18"/>
  <c r="E972" i="18"/>
  <c r="D972" i="18"/>
  <c r="C972" i="18"/>
  <c r="B972" i="18"/>
  <c r="E971" i="18"/>
  <c r="D971" i="18"/>
  <c r="C971" i="18"/>
  <c r="B971" i="18"/>
  <c r="E970" i="18"/>
  <c r="D970" i="18"/>
  <c r="C970" i="18"/>
  <c r="B970" i="18"/>
  <c r="E969" i="18"/>
  <c r="D969" i="18"/>
  <c r="C969" i="18"/>
  <c r="B969" i="18"/>
  <c r="E968" i="18"/>
  <c r="D968" i="18"/>
  <c r="C968" i="18"/>
  <c r="B968" i="18"/>
  <c r="E967" i="18"/>
  <c r="D967" i="18"/>
  <c r="C967" i="18"/>
  <c r="B967" i="18"/>
  <c r="E966" i="18"/>
  <c r="D966" i="18"/>
  <c r="C966" i="18"/>
  <c r="B966" i="18"/>
  <c r="E965" i="18"/>
  <c r="D965" i="18"/>
  <c r="C965" i="18"/>
  <c r="B965" i="18"/>
  <c r="E964" i="18"/>
  <c r="D964" i="18"/>
  <c r="C964" i="18"/>
  <c r="B964" i="18"/>
  <c r="E963" i="18"/>
  <c r="D963" i="18"/>
  <c r="C963" i="18"/>
  <c r="B963" i="18"/>
  <c r="E962" i="18"/>
  <c r="D962" i="18"/>
  <c r="C962" i="18"/>
  <c r="B962" i="18"/>
  <c r="E961" i="18"/>
  <c r="D961" i="18"/>
  <c r="C961" i="18"/>
  <c r="B961" i="18"/>
  <c r="E960" i="18"/>
  <c r="D960" i="18"/>
  <c r="C960" i="18"/>
  <c r="B960" i="18"/>
  <c r="E959" i="18"/>
  <c r="D959" i="18"/>
  <c r="C959" i="18"/>
  <c r="B959" i="18"/>
  <c r="E958" i="18"/>
  <c r="D958" i="18"/>
  <c r="C958" i="18"/>
  <c r="B958" i="18"/>
  <c r="E957" i="18"/>
  <c r="D957" i="18"/>
  <c r="C957" i="18"/>
  <c r="B957" i="18"/>
  <c r="E956" i="18"/>
  <c r="D956" i="18"/>
  <c r="C956" i="18"/>
  <c r="B956" i="18"/>
  <c r="E955" i="18"/>
  <c r="D955" i="18"/>
  <c r="C955" i="18"/>
  <c r="B955" i="18"/>
  <c r="E954" i="18"/>
  <c r="D954" i="18"/>
  <c r="C954" i="18"/>
  <c r="B954" i="18"/>
  <c r="E953" i="18"/>
  <c r="D953" i="18"/>
  <c r="C953" i="18"/>
  <c r="B953" i="18"/>
  <c r="E952" i="18"/>
  <c r="D952" i="18"/>
  <c r="C952" i="18"/>
  <c r="B952" i="18"/>
  <c r="E951" i="18"/>
  <c r="D951" i="18"/>
  <c r="C951" i="18"/>
  <c r="B951" i="18"/>
  <c r="E950" i="18"/>
  <c r="D950" i="18"/>
  <c r="C950" i="18"/>
  <c r="B950" i="18"/>
  <c r="E949" i="18"/>
  <c r="D949" i="18"/>
  <c r="C949" i="18"/>
  <c r="B949" i="18"/>
  <c r="E948" i="18"/>
  <c r="D948" i="18"/>
  <c r="C948" i="18"/>
  <c r="B948" i="18"/>
  <c r="E947" i="18"/>
  <c r="D947" i="18"/>
  <c r="C947" i="18"/>
  <c r="B947" i="18"/>
  <c r="E946" i="18"/>
  <c r="D946" i="18"/>
  <c r="C946" i="18"/>
  <c r="B946" i="18"/>
  <c r="E945" i="18"/>
  <c r="D945" i="18"/>
  <c r="C945" i="18"/>
  <c r="B945" i="18"/>
  <c r="E944" i="18"/>
  <c r="D944" i="18"/>
  <c r="C944" i="18"/>
  <c r="B944" i="18"/>
  <c r="E943" i="18"/>
  <c r="D943" i="18"/>
  <c r="C943" i="18"/>
  <c r="B943" i="18"/>
  <c r="E942" i="18"/>
  <c r="D942" i="18"/>
  <c r="C942" i="18"/>
  <c r="B942" i="18"/>
  <c r="E941" i="18"/>
  <c r="D941" i="18"/>
  <c r="C941" i="18"/>
  <c r="B941" i="18"/>
  <c r="E940" i="18"/>
  <c r="D940" i="18"/>
  <c r="C940" i="18"/>
  <c r="B940" i="18"/>
  <c r="E939" i="18"/>
  <c r="D939" i="18"/>
  <c r="C939" i="18"/>
  <c r="B939" i="18"/>
  <c r="E938" i="18"/>
  <c r="D938" i="18"/>
  <c r="C938" i="18"/>
  <c r="B938" i="18"/>
  <c r="E937" i="18"/>
  <c r="D937" i="18"/>
  <c r="C937" i="18"/>
  <c r="B937" i="18"/>
  <c r="E936" i="18"/>
  <c r="D936" i="18"/>
  <c r="C936" i="18"/>
  <c r="B936" i="18"/>
  <c r="E935" i="18"/>
  <c r="D935" i="18"/>
  <c r="C935" i="18"/>
  <c r="B935" i="18"/>
  <c r="E934" i="18"/>
  <c r="D934" i="18"/>
  <c r="C934" i="18"/>
  <c r="B934" i="18"/>
  <c r="E933" i="18"/>
  <c r="D933" i="18"/>
  <c r="C933" i="18"/>
  <c r="B933" i="18"/>
  <c r="E932" i="18"/>
  <c r="D932" i="18"/>
  <c r="C932" i="18"/>
  <c r="B932" i="18"/>
  <c r="E931" i="18"/>
  <c r="D931" i="18"/>
  <c r="C931" i="18"/>
  <c r="B931" i="18"/>
  <c r="E930" i="18"/>
  <c r="D930" i="18"/>
  <c r="C930" i="18"/>
  <c r="B930" i="18"/>
  <c r="E929" i="18"/>
  <c r="D929" i="18"/>
  <c r="C929" i="18"/>
  <c r="B929" i="18"/>
  <c r="E928" i="18"/>
  <c r="D928" i="18"/>
  <c r="C928" i="18"/>
  <c r="B928" i="18"/>
  <c r="E927" i="18"/>
  <c r="D927" i="18"/>
  <c r="C927" i="18"/>
  <c r="B927" i="18"/>
  <c r="E926" i="18"/>
  <c r="D926" i="18"/>
  <c r="C926" i="18"/>
  <c r="B926" i="18"/>
  <c r="E925" i="18"/>
  <c r="D925" i="18"/>
  <c r="C925" i="18"/>
  <c r="B925" i="18"/>
  <c r="E924" i="18"/>
  <c r="D924" i="18"/>
  <c r="C924" i="18"/>
  <c r="B924" i="18"/>
  <c r="E923" i="18"/>
  <c r="D923" i="18"/>
  <c r="C923" i="18"/>
  <c r="B923" i="18"/>
  <c r="E922" i="18"/>
  <c r="D922" i="18"/>
  <c r="C922" i="18"/>
  <c r="B922" i="18"/>
  <c r="E921" i="18"/>
  <c r="D921" i="18"/>
  <c r="C921" i="18"/>
  <c r="B921" i="18"/>
  <c r="E920" i="18"/>
  <c r="D920" i="18"/>
  <c r="C920" i="18"/>
  <c r="B920" i="18"/>
  <c r="E919" i="18"/>
  <c r="D919" i="18"/>
  <c r="C919" i="18"/>
  <c r="B919" i="18"/>
  <c r="E918" i="18"/>
  <c r="D918" i="18"/>
  <c r="C918" i="18"/>
  <c r="B918" i="18"/>
  <c r="E917" i="18"/>
  <c r="D917" i="18"/>
  <c r="C917" i="18"/>
  <c r="B917" i="18"/>
  <c r="E916" i="18"/>
  <c r="D916" i="18"/>
  <c r="C916" i="18"/>
  <c r="B916" i="18"/>
  <c r="E915" i="18"/>
  <c r="D915" i="18"/>
  <c r="C915" i="18"/>
  <c r="B915" i="18"/>
  <c r="E914" i="18"/>
  <c r="D914" i="18"/>
  <c r="C914" i="18"/>
  <c r="B914" i="18"/>
  <c r="E913" i="18"/>
  <c r="D913" i="18"/>
  <c r="C913" i="18"/>
  <c r="B913" i="18"/>
  <c r="E912" i="18"/>
  <c r="D912" i="18"/>
  <c r="C912" i="18"/>
  <c r="B912" i="18"/>
  <c r="E911" i="18"/>
  <c r="D911" i="18"/>
  <c r="C911" i="18"/>
  <c r="B911" i="18"/>
  <c r="E910" i="18"/>
  <c r="D910" i="18"/>
  <c r="C910" i="18"/>
  <c r="B910" i="18"/>
  <c r="E909" i="18"/>
  <c r="D909" i="18"/>
  <c r="C909" i="18"/>
  <c r="B909" i="18"/>
  <c r="E908" i="18"/>
  <c r="D908" i="18"/>
  <c r="C908" i="18"/>
  <c r="B908" i="18"/>
  <c r="E907" i="18"/>
  <c r="D907" i="18"/>
  <c r="C907" i="18"/>
  <c r="B907" i="18"/>
  <c r="E906" i="18"/>
  <c r="D906" i="18"/>
  <c r="C906" i="18"/>
  <c r="B906" i="18"/>
  <c r="E905" i="18"/>
  <c r="D905" i="18"/>
  <c r="C905" i="18"/>
  <c r="B905" i="18"/>
  <c r="E904" i="18"/>
  <c r="D904" i="18"/>
  <c r="C904" i="18"/>
  <c r="B904" i="18"/>
  <c r="E903" i="18"/>
  <c r="D903" i="18"/>
  <c r="C903" i="18"/>
  <c r="B903" i="18"/>
  <c r="E902" i="18"/>
  <c r="D902" i="18"/>
  <c r="C902" i="18"/>
  <c r="B902" i="18"/>
  <c r="E901" i="18"/>
  <c r="D901" i="18"/>
  <c r="C901" i="18"/>
  <c r="B901" i="18"/>
  <c r="E900" i="18"/>
  <c r="D900" i="18"/>
  <c r="C900" i="18"/>
  <c r="B900" i="18"/>
  <c r="E899" i="18"/>
  <c r="D899" i="18"/>
  <c r="C899" i="18"/>
  <c r="B899" i="18"/>
  <c r="E898" i="18"/>
  <c r="D898" i="18"/>
  <c r="C898" i="18"/>
  <c r="B898" i="18"/>
  <c r="E897" i="18"/>
  <c r="D897" i="18"/>
  <c r="C897" i="18"/>
  <c r="B897" i="18"/>
  <c r="E896" i="18"/>
  <c r="D896" i="18"/>
  <c r="C896" i="18"/>
  <c r="B896" i="18"/>
  <c r="E895" i="18"/>
  <c r="D895" i="18"/>
  <c r="C895" i="18"/>
  <c r="B895" i="18"/>
  <c r="E894" i="18"/>
  <c r="D894" i="18"/>
  <c r="C894" i="18"/>
  <c r="B894" i="18"/>
  <c r="E893" i="18"/>
  <c r="D893" i="18"/>
  <c r="C893" i="18"/>
  <c r="B893" i="18"/>
  <c r="E892" i="18"/>
  <c r="D892" i="18"/>
  <c r="C892" i="18"/>
  <c r="B892" i="18"/>
  <c r="E891" i="18"/>
  <c r="D891" i="18"/>
  <c r="C891" i="18"/>
  <c r="B891" i="18"/>
  <c r="E890" i="18"/>
  <c r="D890" i="18"/>
  <c r="C890" i="18"/>
  <c r="B890" i="18"/>
  <c r="E889" i="18"/>
  <c r="D889" i="18"/>
  <c r="C889" i="18"/>
  <c r="B889" i="18"/>
  <c r="E888" i="18"/>
  <c r="D888" i="18"/>
  <c r="C888" i="18"/>
  <c r="B888" i="18"/>
  <c r="E887" i="18"/>
  <c r="D887" i="18"/>
  <c r="C887" i="18"/>
  <c r="B887" i="18"/>
  <c r="E886" i="18"/>
  <c r="D886" i="18"/>
  <c r="C886" i="18"/>
  <c r="B886" i="18"/>
  <c r="E885" i="18"/>
  <c r="D885" i="18"/>
  <c r="C885" i="18"/>
  <c r="B885" i="18"/>
  <c r="E884" i="18"/>
  <c r="D884" i="18"/>
  <c r="C884" i="18"/>
  <c r="B884" i="18"/>
  <c r="E883" i="18"/>
  <c r="D883" i="18"/>
  <c r="C883" i="18"/>
  <c r="B883" i="18"/>
  <c r="E882" i="18"/>
  <c r="D882" i="18"/>
  <c r="C882" i="18"/>
  <c r="B882" i="18"/>
  <c r="E881" i="18"/>
  <c r="D881" i="18"/>
  <c r="C881" i="18"/>
  <c r="B881" i="18"/>
  <c r="E880" i="18"/>
  <c r="D880" i="18"/>
  <c r="C880" i="18"/>
  <c r="B880" i="18"/>
  <c r="E879" i="18"/>
  <c r="D879" i="18"/>
  <c r="C879" i="18"/>
  <c r="B879" i="18"/>
  <c r="E878" i="18"/>
  <c r="D878" i="18"/>
  <c r="C878" i="18"/>
  <c r="B878" i="18"/>
  <c r="E877" i="18"/>
  <c r="D877" i="18"/>
  <c r="C877" i="18"/>
  <c r="B877" i="18"/>
  <c r="E876" i="18"/>
  <c r="D876" i="18"/>
  <c r="C876" i="18"/>
  <c r="B876" i="18"/>
  <c r="E875" i="18"/>
  <c r="D875" i="18"/>
  <c r="C875" i="18"/>
  <c r="B875" i="18"/>
  <c r="E874" i="18"/>
  <c r="D874" i="18"/>
  <c r="C874" i="18"/>
  <c r="B874" i="18"/>
  <c r="E873" i="18"/>
  <c r="D873" i="18"/>
  <c r="C873" i="18"/>
  <c r="B873" i="18"/>
  <c r="E872" i="18"/>
  <c r="D872" i="18"/>
  <c r="C872" i="18"/>
  <c r="B872" i="18"/>
  <c r="E871" i="18"/>
  <c r="D871" i="18"/>
  <c r="C871" i="18"/>
  <c r="B871" i="18"/>
  <c r="E870" i="18"/>
  <c r="D870" i="18"/>
  <c r="C870" i="18"/>
  <c r="B870" i="18"/>
  <c r="E869" i="18"/>
  <c r="D869" i="18"/>
  <c r="C869" i="18"/>
  <c r="B869" i="18"/>
  <c r="E868" i="18"/>
  <c r="D868" i="18"/>
  <c r="C868" i="18"/>
  <c r="B868" i="18"/>
  <c r="E867" i="18"/>
  <c r="D867" i="18"/>
  <c r="C867" i="18"/>
  <c r="B867" i="18"/>
  <c r="E866" i="18"/>
  <c r="D866" i="18"/>
  <c r="C866" i="18"/>
  <c r="B866" i="18"/>
  <c r="E865" i="18"/>
  <c r="D865" i="18"/>
  <c r="C865" i="18"/>
  <c r="B865" i="18"/>
  <c r="E864" i="18"/>
  <c r="D864" i="18"/>
  <c r="C864" i="18"/>
  <c r="B864" i="18"/>
  <c r="E863" i="18"/>
  <c r="D863" i="18"/>
  <c r="C863" i="18"/>
  <c r="B863" i="18"/>
  <c r="E862" i="18"/>
  <c r="D862" i="18"/>
  <c r="C862" i="18"/>
  <c r="B862" i="18"/>
  <c r="E861" i="18"/>
  <c r="D861" i="18"/>
  <c r="C861" i="18"/>
  <c r="B861" i="18"/>
  <c r="E860" i="18"/>
  <c r="D860" i="18"/>
  <c r="C860" i="18"/>
  <c r="B860" i="18"/>
  <c r="E859" i="18"/>
  <c r="D859" i="18"/>
  <c r="C859" i="18"/>
  <c r="B859" i="18"/>
  <c r="E858" i="18"/>
  <c r="D858" i="18"/>
  <c r="C858" i="18"/>
  <c r="B858" i="18"/>
  <c r="E857" i="18"/>
  <c r="D857" i="18"/>
  <c r="C857" i="18"/>
  <c r="B857" i="18"/>
  <c r="E856" i="18"/>
  <c r="D856" i="18"/>
  <c r="C856" i="18"/>
  <c r="B856" i="18"/>
  <c r="E855" i="18"/>
  <c r="D855" i="18"/>
  <c r="C855" i="18"/>
  <c r="B855" i="18"/>
  <c r="E854" i="18"/>
  <c r="D854" i="18"/>
  <c r="C854" i="18"/>
  <c r="B854" i="18"/>
  <c r="E853" i="18"/>
  <c r="D853" i="18"/>
  <c r="C853" i="18"/>
  <c r="B853" i="18"/>
  <c r="E852" i="18"/>
  <c r="D852" i="18"/>
  <c r="C852" i="18"/>
  <c r="B852" i="18"/>
  <c r="E851" i="18"/>
  <c r="D851" i="18"/>
  <c r="C851" i="18"/>
  <c r="B851" i="18"/>
  <c r="E850" i="18"/>
  <c r="D850" i="18"/>
  <c r="C850" i="18"/>
  <c r="B850" i="18"/>
  <c r="E849" i="18"/>
  <c r="D849" i="18"/>
  <c r="C849" i="18"/>
  <c r="B849" i="18"/>
  <c r="E848" i="18"/>
  <c r="D848" i="18"/>
  <c r="C848" i="18"/>
  <c r="B848" i="18"/>
  <c r="E847" i="18"/>
  <c r="D847" i="18"/>
  <c r="C847" i="18"/>
  <c r="B847" i="18"/>
  <c r="E846" i="18"/>
  <c r="D846" i="18"/>
  <c r="C846" i="18"/>
  <c r="B846" i="18"/>
  <c r="E845" i="18"/>
  <c r="D845" i="18"/>
  <c r="C845" i="18"/>
  <c r="B845" i="18"/>
  <c r="E844" i="18"/>
  <c r="D844" i="18"/>
  <c r="C844" i="18"/>
  <c r="B844" i="18"/>
  <c r="E843" i="18"/>
  <c r="D843" i="18"/>
  <c r="C843" i="18"/>
  <c r="B843" i="18"/>
  <c r="E842" i="18"/>
  <c r="D842" i="18"/>
  <c r="C842" i="18"/>
  <c r="B842" i="18"/>
  <c r="E841" i="18"/>
  <c r="D841" i="18"/>
  <c r="C841" i="18"/>
  <c r="B841" i="18"/>
  <c r="E840" i="18"/>
  <c r="D840" i="18"/>
  <c r="C840" i="18"/>
  <c r="B840" i="18"/>
  <c r="E839" i="18"/>
  <c r="D839" i="18"/>
  <c r="C839" i="18"/>
  <c r="B839" i="18"/>
  <c r="E838" i="18"/>
  <c r="D838" i="18"/>
  <c r="C838" i="18"/>
  <c r="B838" i="18"/>
  <c r="E837" i="18"/>
  <c r="D837" i="18"/>
  <c r="C837" i="18"/>
  <c r="B837" i="18"/>
  <c r="E836" i="18"/>
  <c r="D836" i="18"/>
  <c r="C836" i="18"/>
  <c r="B836" i="18"/>
  <c r="E835" i="18"/>
  <c r="D835" i="18"/>
  <c r="C835" i="18"/>
  <c r="B835" i="18"/>
  <c r="E834" i="18"/>
  <c r="D834" i="18"/>
  <c r="C834" i="18"/>
  <c r="B834" i="18"/>
  <c r="E833" i="18"/>
  <c r="D833" i="18"/>
  <c r="C833" i="18"/>
  <c r="B833" i="18"/>
  <c r="E832" i="18"/>
  <c r="D832" i="18"/>
  <c r="C832" i="18"/>
  <c r="B832" i="18"/>
  <c r="E831" i="18"/>
  <c r="D831" i="18"/>
  <c r="C831" i="18"/>
  <c r="B831" i="18"/>
  <c r="E830" i="18"/>
  <c r="D830" i="18"/>
  <c r="C830" i="18"/>
  <c r="B830" i="18"/>
  <c r="E829" i="18"/>
  <c r="D829" i="18"/>
  <c r="C829" i="18"/>
  <c r="B829" i="18"/>
  <c r="E828" i="18"/>
  <c r="D828" i="18"/>
  <c r="C828" i="18"/>
  <c r="B828" i="18"/>
  <c r="E827" i="18"/>
  <c r="D827" i="18"/>
  <c r="C827" i="18"/>
  <c r="B827" i="18"/>
  <c r="E826" i="18"/>
  <c r="D826" i="18"/>
  <c r="C826" i="18"/>
  <c r="B826" i="18"/>
  <c r="E825" i="18"/>
  <c r="D825" i="18"/>
  <c r="C825" i="18"/>
  <c r="B825" i="18"/>
  <c r="E824" i="18"/>
  <c r="D824" i="18"/>
  <c r="C824" i="18"/>
  <c r="B824" i="18"/>
  <c r="E823" i="18"/>
  <c r="D823" i="18"/>
  <c r="C823" i="18"/>
  <c r="B823" i="18"/>
  <c r="E822" i="18"/>
  <c r="D822" i="18"/>
  <c r="C822" i="18"/>
  <c r="B822" i="18"/>
  <c r="E821" i="18"/>
  <c r="D821" i="18"/>
  <c r="C821" i="18"/>
  <c r="B821" i="18"/>
  <c r="E820" i="18"/>
  <c r="D820" i="18"/>
  <c r="C820" i="18"/>
  <c r="B820" i="18"/>
  <c r="E819" i="18"/>
  <c r="D819" i="18"/>
  <c r="C819" i="18"/>
  <c r="B819" i="18"/>
  <c r="E818" i="18"/>
  <c r="D818" i="18"/>
  <c r="C818" i="18"/>
  <c r="B818" i="18"/>
  <c r="E817" i="18"/>
  <c r="D817" i="18"/>
  <c r="C817" i="18"/>
  <c r="B817" i="18"/>
  <c r="E816" i="18"/>
  <c r="D816" i="18"/>
  <c r="C816" i="18"/>
  <c r="B816" i="18"/>
  <c r="E815" i="18"/>
  <c r="D815" i="18"/>
  <c r="C815" i="18"/>
  <c r="B815" i="18"/>
  <c r="E814" i="18"/>
  <c r="D814" i="18"/>
  <c r="C814" i="18"/>
  <c r="B814" i="18"/>
  <c r="E813" i="18"/>
  <c r="D813" i="18"/>
  <c r="C813" i="18"/>
  <c r="B813" i="18"/>
  <c r="E812" i="18"/>
  <c r="D812" i="18"/>
  <c r="C812" i="18"/>
  <c r="B812" i="18"/>
  <c r="E811" i="18"/>
  <c r="D811" i="18"/>
  <c r="C811" i="18"/>
  <c r="B811" i="18"/>
  <c r="E810" i="18"/>
  <c r="D810" i="18"/>
  <c r="C810" i="18"/>
  <c r="B810" i="18"/>
  <c r="E809" i="18"/>
  <c r="D809" i="18"/>
  <c r="C809" i="18"/>
  <c r="B809" i="18"/>
  <c r="E808" i="18"/>
  <c r="D808" i="18"/>
  <c r="C808" i="18"/>
  <c r="B808" i="18"/>
  <c r="E807" i="18"/>
  <c r="D807" i="18"/>
  <c r="C807" i="18"/>
  <c r="B807" i="18"/>
  <c r="E806" i="18"/>
  <c r="D806" i="18"/>
  <c r="C806" i="18"/>
  <c r="B806" i="18"/>
  <c r="E805" i="18"/>
  <c r="D805" i="18"/>
  <c r="C805" i="18"/>
  <c r="B805" i="18"/>
  <c r="E804" i="18"/>
  <c r="D804" i="18"/>
  <c r="C804" i="18"/>
  <c r="B804" i="18"/>
  <c r="E803" i="18"/>
  <c r="D803" i="18"/>
  <c r="C803" i="18"/>
  <c r="B803" i="18"/>
  <c r="E802" i="18"/>
  <c r="D802" i="18"/>
  <c r="C802" i="18"/>
  <c r="B802" i="18"/>
  <c r="E801" i="18"/>
  <c r="D801" i="18"/>
  <c r="C801" i="18"/>
  <c r="B801" i="18"/>
  <c r="E800" i="18"/>
  <c r="D800" i="18"/>
  <c r="C800" i="18"/>
  <c r="B800" i="18"/>
  <c r="E799" i="18"/>
  <c r="D799" i="18"/>
  <c r="C799" i="18"/>
  <c r="B799" i="18"/>
  <c r="E798" i="18"/>
  <c r="D798" i="18"/>
  <c r="C798" i="18"/>
  <c r="B798" i="18"/>
  <c r="E797" i="18"/>
  <c r="D797" i="18"/>
  <c r="C797" i="18"/>
  <c r="B797" i="18"/>
  <c r="E796" i="18"/>
  <c r="D796" i="18"/>
  <c r="C796" i="18"/>
  <c r="B796" i="18"/>
  <c r="E795" i="18"/>
  <c r="D795" i="18"/>
  <c r="C795" i="18"/>
  <c r="B795" i="18"/>
  <c r="E794" i="18"/>
  <c r="D794" i="18"/>
  <c r="C794" i="18"/>
  <c r="B794" i="18"/>
  <c r="E793" i="18"/>
  <c r="D793" i="18"/>
  <c r="C793" i="18"/>
  <c r="B793" i="18"/>
  <c r="E792" i="18"/>
  <c r="D792" i="18"/>
  <c r="C792" i="18"/>
  <c r="B792" i="18"/>
  <c r="E791" i="18"/>
  <c r="D791" i="18"/>
  <c r="C791" i="18"/>
  <c r="B791" i="18"/>
  <c r="E790" i="18"/>
  <c r="D790" i="18"/>
  <c r="C790" i="18"/>
  <c r="B790" i="18"/>
  <c r="E789" i="18"/>
  <c r="D789" i="18"/>
  <c r="C789" i="18"/>
  <c r="B789" i="18"/>
  <c r="E788" i="18"/>
  <c r="D788" i="18"/>
  <c r="C788" i="18"/>
  <c r="B788" i="18"/>
  <c r="E787" i="18"/>
  <c r="D787" i="18"/>
  <c r="C787" i="18"/>
  <c r="B787" i="18"/>
  <c r="E786" i="18"/>
  <c r="D786" i="18"/>
  <c r="C786" i="18"/>
  <c r="B786" i="18"/>
  <c r="E785" i="18"/>
  <c r="D785" i="18"/>
  <c r="C785" i="18"/>
  <c r="B785" i="18"/>
  <c r="E784" i="18"/>
  <c r="D784" i="18"/>
  <c r="C784" i="18"/>
  <c r="B784" i="18"/>
  <c r="E783" i="18"/>
  <c r="D783" i="18"/>
  <c r="C783" i="18"/>
  <c r="B783" i="18"/>
  <c r="E782" i="18"/>
  <c r="D782" i="18"/>
  <c r="C782" i="18"/>
  <c r="B782" i="18"/>
  <c r="E781" i="18"/>
  <c r="D781" i="18"/>
  <c r="C781" i="18"/>
  <c r="B781" i="18"/>
  <c r="E780" i="18"/>
  <c r="D780" i="18"/>
  <c r="C780" i="18"/>
  <c r="B780" i="18"/>
  <c r="E779" i="18"/>
  <c r="D779" i="18"/>
  <c r="C779" i="18"/>
  <c r="B779" i="18"/>
  <c r="E778" i="18"/>
  <c r="D778" i="18"/>
  <c r="C778" i="18"/>
  <c r="B778" i="18"/>
  <c r="E777" i="18"/>
  <c r="D777" i="18"/>
  <c r="C777" i="18"/>
  <c r="B777" i="18"/>
  <c r="E776" i="18"/>
  <c r="D776" i="18"/>
  <c r="C776" i="18"/>
  <c r="B776" i="18"/>
  <c r="E775" i="18"/>
  <c r="D775" i="18"/>
  <c r="C775" i="18"/>
  <c r="B775" i="18"/>
  <c r="E774" i="18"/>
  <c r="D774" i="18"/>
  <c r="C774" i="18"/>
  <c r="B774" i="18"/>
  <c r="E773" i="18"/>
  <c r="D773" i="18"/>
  <c r="C773" i="18"/>
  <c r="B773" i="18"/>
  <c r="E772" i="18"/>
  <c r="D772" i="18"/>
  <c r="C772" i="18"/>
  <c r="B772" i="18"/>
  <c r="E771" i="18"/>
  <c r="D771" i="18"/>
  <c r="C771" i="18"/>
  <c r="B771" i="18"/>
  <c r="E770" i="18"/>
  <c r="D770" i="18"/>
  <c r="C770" i="18"/>
  <c r="B770" i="18"/>
  <c r="E769" i="18"/>
  <c r="D769" i="18"/>
  <c r="C769" i="18"/>
  <c r="B769" i="18"/>
  <c r="E768" i="18"/>
  <c r="D768" i="18"/>
  <c r="C768" i="18"/>
  <c r="B768" i="18"/>
  <c r="E767" i="18"/>
  <c r="D767" i="18"/>
  <c r="C767" i="18"/>
  <c r="B767" i="18"/>
  <c r="E766" i="18"/>
  <c r="D766" i="18"/>
  <c r="C766" i="18"/>
  <c r="B766" i="18"/>
  <c r="E765" i="18"/>
  <c r="D765" i="18"/>
  <c r="C765" i="18"/>
  <c r="B765" i="18"/>
  <c r="E764" i="18"/>
  <c r="D764" i="18"/>
  <c r="C764" i="18"/>
  <c r="B764" i="18"/>
  <c r="E763" i="18"/>
  <c r="D763" i="18"/>
  <c r="C763" i="18"/>
  <c r="B763" i="18"/>
  <c r="E762" i="18"/>
  <c r="D762" i="18"/>
  <c r="C762" i="18"/>
  <c r="B762" i="18"/>
  <c r="E761" i="18"/>
  <c r="D761" i="18"/>
  <c r="C761" i="18"/>
  <c r="B761" i="18"/>
  <c r="E760" i="18"/>
  <c r="D760" i="18"/>
  <c r="C760" i="18"/>
  <c r="B760" i="18"/>
  <c r="E759" i="18"/>
  <c r="D759" i="18"/>
  <c r="C759" i="18"/>
  <c r="B759" i="18"/>
  <c r="E758" i="18"/>
  <c r="D758" i="18"/>
  <c r="C758" i="18"/>
  <c r="B758" i="18"/>
  <c r="E757" i="18"/>
  <c r="D757" i="18"/>
  <c r="C757" i="18"/>
  <c r="B757" i="18"/>
  <c r="E756" i="18"/>
  <c r="D756" i="18"/>
  <c r="C756" i="18"/>
  <c r="B756" i="18"/>
  <c r="E755" i="18"/>
  <c r="D755" i="18"/>
  <c r="C755" i="18"/>
  <c r="B755" i="18"/>
  <c r="E754" i="18"/>
  <c r="D754" i="18"/>
  <c r="C754" i="18"/>
  <c r="B754" i="18"/>
  <c r="E753" i="18"/>
  <c r="D753" i="18"/>
  <c r="C753" i="18"/>
  <c r="B753" i="18"/>
  <c r="E752" i="18"/>
  <c r="D752" i="18"/>
  <c r="C752" i="18"/>
  <c r="B752" i="18"/>
  <c r="E751" i="18"/>
  <c r="D751" i="18"/>
  <c r="C751" i="18"/>
  <c r="B751" i="18"/>
  <c r="E750" i="18"/>
  <c r="D750" i="18"/>
  <c r="C750" i="18"/>
  <c r="B750" i="18"/>
  <c r="E749" i="18"/>
  <c r="D749" i="18"/>
  <c r="C749" i="18"/>
  <c r="B749" i="18"/>
  <c r="E748" i="18"/>
  <c r="D748" i="18"/>
  <c r="C748" i="18"/>
  <c r="B748" i="18"/>
  <c r="E747" i="18"/>
  <c r="D747" i="18"/>
  <c r="C747" i="18"/>
  <c r="B747" i="18"/>
  <c r="E746" i="18"/>
  <c r="D746" i="18"/>
  <c r="C746" i="18"/>
  <c r="B746" i="18"/>
  <c r="E745" i="18"/>
  <c r="D745" i="18"/>
  <c r="C745" i="18"/>
  <c r="B745" i="18"/>
  <c r="E744" i="18"/>
  <c r="D744" i="18"/>
  <c r="C744" i="18"/>
  <c r="B744" i="18"/>
  <c r="E743" i="18"/>
  <c r="D743" i="18"/>
  <c r="C743" i="18"/>
  <c r="B743" i="18"/>
  <c r="E742" i="18"/>
  <c r="D742" i="18"/>
  <c r="C742" i="18"/>
  <c r="B742" i="18"/>
  <c r="E741" i="18"/>
  <c r="D741" i="18"/>
  <c r="C741" i="18"/>
  <c r="B741" i="18"/>
  <c r="E740" i="18"/>
  <c r="D740" i="18"/>
  <c r="C740" i="18"/>
  <c r="B740" i="18"/>
  <c r="E739" i="18"/>
  <c r="D739" i="18"/>
  <c r="C739" i="18"/>
  <c r="B739" i="18"/>
  <c r="E738" i="18"/>
  <c r="D738" i="18"/>
  <c r="C738" i="18"/>
  <c r="B738" i="18"/>
  <c r="E737" i="18"/>
  <c r="D737" i="18"/>
  <c r="C737" i="18"/>
  <c r="B737" i="18"/>
  <c r="E736" i="18"/>
  <c r="D736" i="18"/>
  <c r="C736" i="18"/>
  <c r="B736" i="18"/>
  <c r="E735" i="18"/>
  <c r="D735" i="18"/>
  <c r="C735" i="18"/>
  <c r="B735" i="18"/>
  <c r="E734" i="18"/>
  <c r="D734" i="18"/>
  <c r="C734" i="18"/>
  <c r="B734" i="18"/>
  <c r="E733" i="18"/>
  <c r="D733" i="18"/>
  <c r="C733" i="18"/>
  <c r="B733" i="18"/>
  <c r="E732" i="18"/>
  <c r="D732" i="18"/>
  <c r="C732" i="18"/>
  <c r="B732" i="18"/>
  <c r="E731" i="18"/>
  <c r="D731" i="18"/>
  <c r="C731" i="18"/>
  <c r="B731" i="18"/>
  <c r="E730" i="18"/>
  <c r="D730" i="18"/>
  <c r="C730" i="18"/>
  <c r="B730" i="18"/>
  <c r="E729" i="18"/>
  <c r="D729" i="18"/>
  <c r="C729" i="18"/>
  <c r="B729" i="18"/>
  <c r="E728" i="18"/>
  <c r="D728" i="18"/>
  <c r="C728" i="18"/>
  <c r="B728" i="18"/>
  <c r="E727" i="18"/>
  <c r="D727" i="18"/>
  <c r="C727" i="18"/>
  <c r="B727" i="18"/>
  <c r="E726" i="18"/>
  <c r="D726" i="18"/>
  <c r="C726" i="18"/>
  <c r="B726" i="18"/>
  <c r="E725" i="18"/>
  <c r="D725" i="18"/>
  <c r="C725" i="18"/>
  <c r="B725" i="18"/>
  <c r="E724" i="18"/>
  <c r="D724" i="18"/>
  <c r="C724" i="18"/>
  <c r="B724" i="18"/>
  <c r="E723" i="18"/>
  <c r="D723" i="18"/>
  <c r="C723" i="18"/>
  <c r="B723" i="18"/>
  <c r="E722" i="18"/>
  <c r="D722" i="18"/>
  <c r="C722" i="18"/>
  <c r="B722" i="18"/>
  <c r="E721" i="18"/>
  <c r="D721" i="18"/>
  <c r="C721" i="18"/>
  <c r="B721" i="18"/>
  <c r="E720" i="18"/>
  <c r="D720" i="18"/>
  <c r="C720" i="18"/>
  <c r="B720" i="18"/>
  <c r="E719" i="18"/>
  <c r="D719" i="18"/>
  <c r="C719" i="18"/>
  <c r="B719" i="18"/>
  <c r="E718" i="18"/>
  <c r="D718" i="18"/>
  <c r="C718" i="18"/>
  <c r="B718" i="18"/>
  <c r="E717" i="18"/>
  <c r="D717" i="18"/>
  <c r="C717" i="18"/>
  <c r="B717" i="18"/>
  <c r="E716" i="18"/>
  <c r="D716" i="18"/>
  <c r="C716" i="18"/>
  <c r="B716" i="18"/>
  <c r="E715" i="18"/>
  <c r="D715" i="18"/>
  <c r="C715" i="18"/>
  <c r="B715" i="18"/>
  <c r="E714" i="18"/>
  <c r="D714" i="18"/>
  <c r="C714" i="18"/>
  <c r="B714" i="18"/>
  <c r="E713" i="18"/>
  <c r="D713" i="18"/>
  <c r="C713" i="18"/>
  <c r="B713" i="18"/>
  <c r="E712" i="18"/>
  <c r="D712" i="18"/>
  <c r="C712" i="18"/>
  <c r="B712" i="18"/>
  <c r="E711" i="18"/>
  <c r="D711" i="18"/>
  <c r="C711" i="18"/>
  <c r="B711" i="18"/>
  <c r="E710" i="18"/>
  <c r="D710" i="18"/>
  <c r="C710" i="18"/>
  <c r="B710" i="18"/>
  <c r="E709" i="18"/>
  <c r="D709" i="18"/>
  <c r="C709" i="18"/>
  <c r="B709" i="18"/>
  <c r="E708" i="18"/>
  <c r="D708" i="18"/>
  <c r="C708" i="18"/>
  <c r="B708" i="18"/>
  <c r="E707" i="18"/>
  <c r="D707" i="18"/>
  <c r="C707" i="18"/>
  <c r="B707" i="18"/>
  <c r="E706" i="18"/>
  <c r="D706" i="18"/>
  <c r="C706" i="18"/>
  <c r="B706" i="18"/>
  <c r="E705" i="18"/>
  <c r="D705" i="18"/>
  <c r="C705" i="18"/>
  <c r="B705" i="18"/>
  <c r="E704" i="18"/>
  <c r="D704" i="18"/>
  <c r="C704" i="18"/>
  <c r="B704" i="18"/>
  <c r="E703" i="18"/>
  <c r="D703" i="18"/>
  <c r="C703" i="18"/>
  <c r="B703" i="18"/>
  <c r="E702" i="18"/>
  <c r="D702" i="18"/>
  <c r="C702" i="18"/>
  <c r="B702" i="18"/>
  <c r="E701" i="18"/>
  <c r="D701" i="18"/>
  <c r="C701" i="18"/>
  <c r="B701" i="18"/>
  <c r="E700" i="18"/>
  <c r="D700" i="18"/>
  <c r="C700" i="18"/>
  <c r="B700" i="18"/>
  <c r="E699" i="18"/>
  <c r="D699" i="18"/>
  <c r="C699" i="18"/>
  <c r="B699" i="18"/>
  <c r="E698" i="18"/>
  <c r="D698" i="18"/>
  <c r="C698" i="18"/>
  <c r="B698" i="18"/>
  <c r="E697" i="18"/>
  <c r="D697" i="18"/>
  <c r="C697" i="18"/>
  <c r="B697" i="18"/>
  <c r="E696" i="18"/>
  <c r="D696" i="18"/>
  <c r="C696" i="18"/>
  <c r="B696" i="18"/>
  <c r="E695" i="18"/>
  <c r="D695" i="18"/>
  <c r="C695" i="18"/>
  <c r="B695" i="18"/>
  <c r="E694" i="18"/>
  <c r="D694" i="18"/>
  <c r="C694" i="18"/>
  <c r="B694" i="18"/>
  <c r="E693" i="18"/>
  <c r="D693" i="18"/>
  <c r="C693" i="18"/>
  <c r="B693" i="18"/>
  <c r="E692" i="18"/>
  <c r="D692" i="18"/>
  <c r="C692" i="18"/>
  <c r="B692" i="18"/>
  <c r="E691" i="18"/>
  <c r="D691" i="18"/>
  <c r="C691" i="18"/>
  <c r="B691" i="18"/>
  <c r="E690" i="18"/>
  <c r="D690" i="18"/>
  <c r="C690" i="18"/>
  <c r="B690" i="18"/>
  <c r="E689" i="18"/>
  <c r="D689" i="18"/>
  <c r="C689" i="18"/>
  <c r="B689" i="18"/>
  <c r="E688" i="18"/>
  <c r="D688" i="18"/>
  <c r="C688" i="18"/>
  <c r="B688" i="18"/>
  <c r="E687" i="18"/>
  <c r="D687" i="18"/>
  <c r="C687" i="18"/>
  <c r="B687" i="18"/>
  <c r="E686" i="18"/>
  <c r="D686" i="18"/>
  <c r="C686" i="18"/>
  <c r="B686" i="18"/>
  <c r="E685" i="18"/>
  <c r="D685" i="18"/>
  <c r="C685" i="18"/>
  <c r="B685" i="18"/>
  <c r="E684" i="18"/>
  <c r="D684" i="18"/>
  <c r="C684" i="18"/>
  <c r="B684" i="18"/>
  <c r="E683" i="18"/>
  <c r="D683" i="18"/>
  <c r="C683" i="18"/>
  <c r="B683" i="18"/>
  <c r="E682" i="18"/>
  <c r="D682" i="18"/>
  <c r="C682" i="18"/>
  <c r="B682" i="18"/>
  <c r="E681" i="18"/>
  <c r="D681" i="18"/>
  <c r="C681" i="18"/>
  <c r="B681" i="18"/>
  <c r="E680" i="18"/>
  <c r="D680" i="18"/>
  <c r="C680" i="18"/>
  <c r="B680" i="18"/>
  <c r="E679" i="18"/>
  <c r="D679" i="18"/>
  <c r="C679" i="18"/>
  <c r="B679" i="18"/>
  <c r="E678" i="18"/>
  <c r="D678" i="18"/>
  <c r="C678" i="18"/>
  <c r="B678" i="18"/>
  <c r="E677" i="18"/>
  <c r="D677" i="18"/>
  <c r="C677" i="18"/>
  <c r="B677" i="18"/>
  <c r="E676" i="18"/>
  <c r="D676" i="18"/>
  <c r="C676" i="18"/>
  <c r="B676" i="18"/>
  <c r="E675" i="18"/>
  <c r="D675" i="18"/>
  <c r="C675" i="18"/>
  <c r="B675" i="18"/>
  <c r="E674" i="18"/>
  <c r="D674" i="18"/>
  <c r="C674" i="18"/>
  <c r="B674" i="18"/>
  <c r="E673" i="18"/>
  <c r="D673" i="18"/>
  <c r="C673" i="18"/>
  <c r="B673" i="18"/>
  <c r="E672" i="18"/>
  <c r="D672" i="18"/>
  <c r="C672" i="18"/>
  <c r="B672" i="18"/>
  <c r="E671" i="18"/>
  <c r="D671" i="18"/>
  <c r="C671" i="18"/>
  <c r="B671" i="18"/>
  <c r="E670" i="18"/>
  <c r="D670" i="18"/>
  <c r="C670" i="18"/>
  <c r="B670" i="18"/>
  <c r="E669" i="18"/>
  <c r="D669" i="18"/>
  <c r="C669" i="18"/>
  <c r="B669" i="18"/>
  <c r="E668" i="18"/>
  <c r="D668" i="18"/>
  <c r="C668" i="18"/>
  <c r="B668" i="18"/>
  <c r="E667" i="18"/>
  <c r="D667" i="18"/>
  <c r="C667" i="18"/>
  <c r="B667" i="18"/>
  <c r="E666" i="18"/>
  <c r="D666" i="18"/>
  <c r="C666" i="18"/>
  <c r="B666" i="18"/>
  <c r="E665" i="18"/>
  <c r="D665" i="18"/>
  <c r="C665" i="18"/>
  <c r="B665" i="18"/>
  <c r="E664" i="18"/>
  <c r="D664" i="18"/>
  <c r="C664" i="18"/>
  <c r="B664" i="18"/>
  <c r="E663" i="18"/>
  <c r="D663" i="18"/>
  <c r="C663" i="18"/>
  <c r="B663" i="18"/>
  <c r="E662" i="18"/>
  <c r="D662" i="18"/>
  <c r="C662" i="18"/>
  <c r="B662" i="18"/>
  <c r="E661" i="18"/>
  <c r="D661" i="18"/>
  <c r="C661" i="18"/>
  <c r="B661" i="18"/>
  <c r="E660" i="18"/>
  <c r="D660" i="18"/>
  <c r="C660" i="18"/>
  <c r="B660" i="18"/>
  <c r="E659" i="18"/>
  <c r="D659" i="18"/>
  <c r="C659" i="18"/>
  <c r="B659" i="18"/>
  <c r="E658" i="18"/>
  <c r="D658" i="18"/>
  <c r="C658" i="18"/>
  <c r="B658" i="18"/>
  <c r="E657" i="18"/>
  <c r="D657" i="18"/>
  <c r="C657" i="18"/>
  <c r="B657" i="18"/>
  <c r="E656" i="18"/>
  <c r="D656" i="18"/>
  <c r="C656" i="18"/>
  <c r="B656" i="18"/>
  <c r="E655" i="18"/>
  <c r="D655" i="18"/>
  <c r="C655" i="18"/>
  <c r="B655" i="18"/>
  <c r="E654" i="18"/>
  <c r="D654" i="18"/>
  <c r="C654" i="18"/>
  <c r="B654" i="18"/>
  <c r="E653" i="18"/>
  <c r="D653" i="18"/>
  <c r="C653" i="18"/>
  <c r="B653" i="18"/>
  <c r="E652" i="18"/>
  <c r="D652" i="18"/>
  <c r="C652" i="18"/>
  <c r="B652" i="18"/>
  <c r="E651" i="18"/>
  <c r="D651" i="18"/>
  <c r="C651" i="18"/>
  <c r="B651" i="18"/>
  <c r="E650" i="18"/>
  <c r="D650" i="18"/>
  <c r="C650" i="18"/>
  <c r="B650" i="18"/>
  <c r="E649" i="18"/>
  <c r="D649" i="18"/>
  <c r="C649" i="18"/>
  <c r="B649" i="18"/>
  <c r="E648" i="18"/>
  <c r="D648" i="18"/>
  <c r="C648" i="18"/>
  <c r="B648" i="18"/>
  <c r="E647" i="18"/>
  <c r="D647" i="18"/>
  <c r="C647" i="18"/>
  <c r="B647" i="18"/>
  <c r="E646" i="18"/>
  <c r="D646" i="18"/>
  <c r="C646" i="18"/>
  <c r="B646" i="18"/>
  <c r="E645" i="18"/>
  <c r="D645" i="18"/>
  <c r="C645" i="18"/>
  <c r="B645" i="18"/>
  <c r="E644" i="18"/>
  <c r="D644" i="18"/>
  <c r="C644" i="18"/>
  <c r="B644" i="18"/>
  <c r="E643" i="18"/>
  <c r="D643" i="18"/>
  <c r="C643" i="18"/>
  <c r="B643" i="18"/>
  <c r="E642" i="18"/>
  <c r="D642" i="18"/>
  <c r="C642" i="18"/>
  <c r="B642" i="18"/>
  <c r="E641" i="18"/>
  <c r="D641" i="18"/>
  <c r="C641" i="18"/>
  <c r="B641" i="18"/>
  <c r="E640" i="18"/>
  <c r="D640" i="18"/>
  <c r="C640" i="18"/>
  <c r="B640" i="18"/>
  <c r="E639" i="18"/>
  <c r="D639" i="18"/>
  <c r="C639" i="18"/>
  <c r="B639" i="18"/>
  <c r="E638" i="18"/>
  <c r="D638" i="18"/>
  <c r="C638" i="18"/>
  <c r="B638" i="18"/>
  <c r="E637" i="18"/>
  <c r="D637" i="18"/>
  <c r="C637" i="18"/>
  <c r="B637" i="18"/>
  <c r="E636" i="18"/>
  <c r="D636" i="18"/>
  <c r="C636" i="18"/>
  <c r="B636" i="18"/>
  <c r="E635" i="18"/>
  <c r="D635" i="18"/>
  <c r="C635" i="18"/>
  <c r="B635" i="18"/>
  <c r="E634" i="18"/>
  <c r="D634" i="18"/>
  <c r="C634" i="18"/>
  <c r="B634" i="18"/>
  <c r="E633" i="18"/>
  <c r="D633" i="18"/>
  <c r="C633" i="18"/>
  <c r="B633" i="18"/>
  <c r="E632" i="18"/>
  <c r="D632" i="18"/>
  <c r="C632" i="18"/>
  <c r="B632" i="18"/>
  <c r="E631" i="18"/>
  <c r="D631" i="18"/>
  <c r="C631" i="18"/>
  <c r="B631" i="18"/>
  <c r="E630" i="18"/>
  <c r="D630" i="18"/>
  <c r="C630" i="18"/>
  <c r="B630" i="18"/>
  <c r="E629" i="18"/>
  <c r="D629" i="18"/>
  <c r="C629" i="18"/>
  <c r="B629" i="18"/>
  <c r="E628" i="18"/>
  <c r="D628" i="18"/>
  <c r="C628" i="18"/>
  <c r="B628" i="18"/>
  <c r="E627" i="18"/>
  <c r="D627" i="18"/>
  <c r="C627" i="18"/>
  <c r="B627" i="18"/>
  <c r="E626" i="18"/>
  <c r="D626" i="18"/>
  <c r="C626" i="18"/>
  <c r="B626" i="18"/>
  <c r="E625" i="18"/>
  <c r="D625" i="18"/>
  <c r="C625" i="18"/>
  <c r="B625" i="18"/>
  <c r="E624" i="18"/>
  <c r="D624" i="18"/>
  <c r="C624" i="18"/>
  <c r="B624" i="18"/>
  <c r="E623" i="18"/>
  <c r="D623" i="18"/>
  <c r="C623" i="18"/>
  <c r="B623" i="18"/>
  <c r="E622" i="18"/>
  <c r="D622" i="18"/>
  <c r="C622" i="18"/>
  <c r="B622" i="18"/>
  <c r="E621" i="18"/>
  <c r="D621" i="18"/>
  <c r="C621" i="18"/>
  <c r="B621" i="18"/>
  <c r="E620" i="18"/>
  <c r="D620" i="18"/>
  <c r="C620" i="18"/>
  <c r="B620" i="18"/>
  <c r="E619" i="18"/>
  <c r="D619" i="18"/>
  <c r="C619" i="18"/>
  <c r="B619" i="18"/>
  <c r="E618" i="18"/>
  <c r="D618" i="18"/>
  <c r="C618" i="18"/>
  <c r="B618" i="18"/>
  <c r="E617" i="18"/>
  <c r="D617" i="18"/>
  <c r="C617" i="18"/>
  <c r="B617" i="18"/>
  <c r="E616" i="18"/>
  <c r="D616" i="18"/>
  <c r="C616" i="18"/>
  <c r="B616" i="18"/>
  <c r="E615" i="18"/>
  <c r="D615" i="18"/>
  <c r="C615" i="18"/>
  <c r="B615" i="18"/>
  <c r="E614" i="18"/>
  <c r="D614" i="18"/>
  <c r="C614" i="18"/>
  <c r="B614" i="18"/>
  <c r="E613" i="18"/>
  <c r="D613" i="18"/>
  <c r="C613" i="18"/>
  <c r="B613" i="18"/>
  <c r="E612" i="18"/>
  <c r="D612" i="18"/>
  <c r="C612" i="18"/>
  <c r="B612" i="18"/>
  <c r="E611" i="18"/>
  <c r="D611" i="18"/>
  <c r="C611" i="18"/>
  <c r="B611" i="18"/>
  <c r="E610" i="18"/>
  <c r="D610" i="18"/>
  <c r="C610" i="18"/>
  <c r="B610" i="18"/>
  <c r="E609" i="18"/>
  <c r="D609" i="18"/>
  <c r="C609" i="18"/>
  <c r="B609" i="18"/>
  <c r="E608" i="18"/>
  <c r="D608" i="18"/>
  <c r="C608" i="18"/>
  <c r="B608" i="18"/>
  <c r="E607" i="18"/>
  <c r="D607" i="18"/>
  <c r="C607" i="18"/>
  <c r="B607" i="18"/>
  <c r="E606" i="18"/>
  <c r="D606" i="18"/>
  <c r="C606" i="18"/>
  <c r="B606" i="18"/>
  <c r="E605" i="18"/>
  <c r="D605" i="18"/>
  <c r="C605" i="18"/>
  <c r="B605" i="18"/>
  <c r="E604" i="18"/>
  <c r="D604" i="18"/>
  <c r="C604" i="18"/>
  <c r="B604" i="18"/>
  <c r="E603" i="18"/>
  <c r="D603" i="18"/>
  <c r="C603" i="18"/>
  <c r="B603" i="18"/>
  <c r="E602" i="18"/>
  <c r="D602" i="18"/>
  <c r="C602" i="18"/>
  <c r="B602" i="18"/>
  <c r="E601" i="18"/>
  <c r="D601" i="18"/>
  <c r="C601" i="18"/>
  <c r="B601" i="18"/>
  <c r="E600" i="18"/>
  <c r="D600" i="18"/>
  <c r="C600" i="18"/>
  <c r="B600" i="18"/>
  <c r="E599" i="18"/>
  <c r="D599" i="18"/>
  <c r="C599" i="18"/>
  <c r="B599" i="18"/>
  <c r="E598" i="18"/>
  <c r="D598" i="18"/>
  <c r="C598" i="18"/>
  <c r="B598" i="18"/>
  <c r="E597" i="18"/>
  <c r="D597" i="18"/>
  <c r="C597" i="18"/>
  <c r="B597" i="18"/>
  <c r="E596" i="18"/>
  <c r="D596" i="18"/>
  <c r="C596" i="18"/>
  <c r="B596" i="18"/>
  <c r="E595" i="18"/>
  <c r="D595" i="18"/>
  <c r="C595" i="18"/>
  <c r="B595" i="18"/>
  <c r="E594" i="18"/>
  <c r="D594" i="18"/>
  <c r="C594" i="18"/>
  <c r="B594" i="18"/>
  <c r="E593" i="18"/>
  <c r="D593" i="18"/>
  <c r="C593" i="18"/>
  <c r="B593" i="18"/>
  <c r="E592" i="18"/>
  <c r="D592" i="18"/>
  <c r="C592" i="18"/>
  <c r="B592" i="18"/>
  <c r="E591" i="18"/>
  <c r="D591" i="18"/>
  <c r="C591" i="18"/>
  <c r="B591" i="18"/>
  <c r="E590" i="18"/>
  <c r="D590" i="18"/>
  <c r="C590" i="18"/>
  <c r="B590" i="18"/>
  <c r="E589" i="18"/>
  <c r="D589" i="18"/>
  <c r="C589" i="18"/>
  <c r="B589" i="18"/>
  <c r="E588" i="18"/>
  <c r="D588" i="18"/>
  <c r="C588" i="18"/>
  <c r="B588" i="18"/>
  <c r="E587" i="18"/>
  <c r="D587" i="18"/>
  <c r="C587" i="18"/>
  <c r="B587" i="18"/>
  <c r="E586" i="18"/>
  <c r="D586" i="18"/>
  <c r="C586" i="18"/>
  <c r="B586" i="18"/>
  <c r="E585" i="18"/>
  <c r="D585" i="18"/>
  <c r="C585" i="18"/>
  <c r="B585" i="18"/>
  <c r="E584" i="18"/>
  <c r="D584" i="18"/>
  <c r="C584" i="18"/>
  <c r="B584" i="18"/>
  <c r="E583" i="18"/>
  <c r="D583" i="18"/>
  <c r="C583" i="18"/>
  <c r="B583" i="18"/>
  <c r="E582" i="18"/>
  <c r="D582" i="18"/>
  <c r="C582" i="18"/>
  <c r="B582" i="18"/>
  <c r="E581" i="18"/>
  <c r="D581" i="18"/>
  <c r="C581" i="18"/>
  <c r="B581" i="18"/>
  <c r="E580" i="18"/>
  <c r="D580" i="18"/>
  <c r="C580" i="18"/>
  <c r="B580" i="18"/>
  <c r="E579" i="18"/>
  <c r="D579" i="18"/>
  <c r="C579" i="18"/>
  <c r="B579" i="18"/>
  <c r="E578" i="18"/>
  <c r="D578" i="18"/>
  <c r="C578" i="18"/>
  <c r="B578" i="18"/>
  <c r="E577" i="18"/>
  <c r="D577" i="18"/>
  <c r="C577" i="18"/>
  <c r="B577" i="18"/>
  <c r="E576" i="18"/>
  <c r="D576" i="18"/>
  <c r="C576" i="18"/>
  <c r="B576" i="18"/>
  <c r="E575" i="18"/>
  <c r="D575" i="18"/>
  <c r="C575" i="18"/>
  <c r="B575" i="18"/>
  <c r="E574" i="18"/>
  <c r="D574" i="18"/>
  <c r="C574" i="18"/>
  <c r="B574" i="18"/>
  <c r="E573" i="18"/>
  <c r="D573" i="18"/>
  <c r="C573" i="18"/>
  <c r="B573" i="18"/>
  <c r="E572" i="18"/>
  <c r="D572" i="18"/>
  <c r="C572" i="18"/>
  <c r="B572" i="18"/>
  <c r="E571" i="18"/>
  <c r="D571" i="18"/>
  <c r="C571" i="18"/>
  <c r="B571" i="18"/>
  <c r="E570" i="18"/>
  <c r="D570" i="18"/>
  <c r="C570" i="18"/>
  <c r="B570" i="18"/>
  <c r="E569" i="18"/>
  <c r="D569" i="18"/>
  <c r="C569" i="18"/>
  <c r="B569" i="18"/>
  <c r="E568" i="18"/>
  <c r="D568" i="18"/>
  <c r="C568" i="18"/>
  <c r="B568" i="18"/>
  <c r="E567" i="18"/>
  <c r="D567" i="18"/>
  <c r="C567" i="18"/>
  <c r="B567" i="18"/>
  <c r="E566" i="18"/>
  <c r="D566" i="18"/>
  <c r="C566" i="18"/>
  <c r="B566" i="18"/>
  <c r="E565" i="18"/>
  <c r="D565" i="18"/>
  <c r="C565" i="18"/>
  <c r="B565" i="18"/>
  <c r="E564" i="18"/>
  <c r="D564" i="18"/>
  <c r="C564" i="18"/>
  <c r="B564" i="18"/>
  <c r="E563" i="18"/>
  <c r="D563" i="18"/>
  <c r="C563" i="18"/>
  <c r="B563" i="18"/>
  <c r="E562" i="18"/>
  <c r="D562" i="18"/>
  <c r="C562" i="18"/>
  <c r="B562" i="18"/>
  <c r="E561" i="18"/>
  <c r="D561" i="18"/>
  <c r="C561" i="18"/>
  <c r="B561" i="18"/>
  <c r="E560" i="18"/>
  <c r="D560" i="18"/>
  <c r="C560" i="18"/>
  <c r="B560" i="18"/>
  <c r="E559" i="18"/>
  <c r="D559" i="18"/>
  <c r="C559" i="18"/>
  <c r="B559" i="18"/>
  <c r="E558" i="18"/>
  <c r="D558" i="18"/>
  <c r="C558" i="18"/>
  <c r="B558" i="18"/>
  <c r="E557" i="18"/>
  <c r="D557" i="18"/>
  <c r="C557" i="18"/>
  <c r="B557" i="18"/>
  <c r="E556" i="18"/>
  <c r="D556" i="18"/>
  <c r="C556" i="18"/>
  <c r="B556" i="18"/>
  <c r="E555" i="18"/>
  <c r="D555" i="18"/>
  <c r="C555" i="18"/>
  <c r="B555" i="18"/>
  <c r="E554" i="18"/>
  <c r="D554" i="18"/>
  <c r="C554" i="18"/>
  <c r="B554" i="18"/>
  <c r="E553" i="18"/>
  <c r="D553" i="18"/>
  <c r="C553" i="18"/>
  <c r="B553" i="18"/>
  <c r="E552" i="18"/>
  <c r="D552" i="18"/>
  <c r="C552" i="18"/>
  <c r="B552" i="18"/>
  <c r="E551" i="18"/>
  <c r="D551" i="18"/>
  <c r="C551" i="18"/>
  <c r="B551" i="18"/>
  <c r="E550" i="18"/>
  <c r="D550" i="18"/>
  <c r="C550" i="18"/>
  <c r="B550" i="18"/>
  <c r="E549" i="18"/>
  <c r="D549" i="18"/>
  <c r="C549" i="18"/>
  <c r="B549" i="18"/>
  <c r="E548" i="18"/>
  <c r="D548" i="18"/>
  <c r="C548" i="18"/>
  <c r="B548" i="18"/>
  <c r="E547" i="18"/>
  <c r="D547" i="18"/>
  <c r="C547" i="18"/>
  <c r="B547" i="18"/>
  <c r="E546" i="18"/>
  <c r="D546" i="18"/>
  <c r="C546" i="18"/>
  <c r="B546" i="18"/>
  <c r="E545" i="18"/>
  <c r="D545" i="18"/>
  <c r="C545" i="18"/>
  <c r="B545" i="18"/>
  <c r="E544" i="18"/>
  <c r="D544" i="18"/>
  <c r="C544" i="18"/>
  <c r="B544" i="18"/>
  <c r="E543" i="18"/>
  <c r="D543" i="18"/>
  <c r="C543" i="18"/>
  <c r="B543" i="18"/>
  <c r="E542" i="18"/>
  <c r="D542" i="18"/>
  <c r="C542" i="18"/>
  <c r="B542" i="18"/>
  <c r="E541" i="18"/>
  <c r="D541" i="18"/>
  <c r="C541" i="18"/>
  <c r="B541" i="18"/>
  <c r="E540" i="18"/>
  <c r="D540" i="18"/>
  <c r="C540" i="18"/>
  <c r="B540" i="18"/>
  <c r="E539" i="18"/>
  <c r="D539" i="18"/>
  <c r="C539" i="18"/>
  <c r="B539" i="18"/>
  <c r="E538" i="18"/>
  <c r="D538" i="18"/>
  <c r="C538" i="18"/>
  <c r="B538" i="18"/>
  <c r="E537" i="18"/>
  <c r="D537" i="18"/>
  <c r="C537" i="18"/>
  <c r="B537" i="18"/>
  <c r="E536" i="18"/>
  <c r="D536" i="18"/>
  <c r="C536" i="18"/>
  <c r="B536" i="18"/>
  <c r="E535" i="18"/>
  <c r="D535" i="18"/>
  <c r="C535" i="18"/>
  <c r="B535" i="18"/>
  <c r="E534" i="18"/>
  <c r="D534" i="18"/>
  <c r="C534" i="18"/>
  <c r="B534" i="18"/>
  <c r="E533" i="18"/>
  <c r="D533" i="18"/>
  <c r="C533" i="18"/>
  <c r="B533" i="18"/>
  <c r="E532" i="18"/>
  <c r="D532" i="18"/>
  <c r="C532" i="18"/>
  <c r="B532" i="18"/>
  <c r="E531" i="18"/>
  <c r="D531" i="18"/>
  <c r="C531" i="18"/>
  <c r="B531" i="18"/>
  <c r="E530" i="18"/>
  <c r="D530" i="18"/>
  <c r="C530" i="18"/>
  <c r="B530" i="18"/>
  <c r="E529" i="18"/>
  <c r="D529" i="18"/>
  <c r="C529" i="18"/>
  <c r="B529" i="18"/>
  <c r="E528" i="18"/>
  <c r="D528" i="18"/>
  <c r="C528" i="18"/>
  <c r="B528" i="18"/>
  <c r="E527" i="18"/>
  <c r="D527" i="18"/>
  <c r="C527" i="18"/>
  <c r="B527" i="18"/>
  <c r="E526" i="18"/>
  <c r="D526" i="18"/>
  <c r="C526" i="18"/>
  <c r="B526" i="18"/>
  <c r="E525" i="18"/>
  <c r="D525" i="18"/>
  <c r="C525" i="18"/>
  <c r="B525" i="18"/>
  <c r="E524" i="18"/>
  <c r="D524" i="18"/>
  <c r="C524" i="18"/>
  <c r="B524" i="18"/>
  <c r="E523" i="18"/>
  <c r="D523" i="18"/>
  <c r="C523" i="18"/>
  <c r="B523" i="18"/>
  <c r="E522" i="18"/>
  <c r="D522" i="18"/>
  <c r="C522" i="18"/>
  <c r="B522" i="18"/>
  <c r="E521" i="18"/>
  <c r="D521" i="18"/>
  <c r="C521" i="18"/>
  <c r="B521" i="18"/>
  <c r="E520" i="18"/>
  <c r="D520" i="18"/>
  <c r="C520" i="18"/>
  <c r="B520" i="18"/>
  <c r="E519" i="18"/>
  <c r="D519" i="18"/>
  <c r="C519" i="18"/>
  <c r="B519" i="18"/>
  <c r="E518" i="18"/>
  <c r="D518" i="18"/>
  <c r="C518" i="18"/>
  <c r="B518" i="18"/>
  <c r="E517" i="18"/>
  <c r="D517" i="18"/>
  <c r="C517" i="18"/>
  <c r="B517" i="18"/>
  <c r="E516" i="18"/>
  <c r="D516" i="18"/>
  <c r="C516" i="18"/>
  <c r="B516" i="18"/>
  <c r="E515" i="18"/>
  <c r="D515" i="18"/>
  <c r="C515" i="18"/>
  <c r="B515" i="18"/>
  <c r="E514" i="18"/>
  <c r="D514" i="18"/>
  <c r="C514" i="18"/>
  <c r="B514" i="18"/>
  <c r="E513" i="18"/>
  <c r="D513" i="18"/>
  <c r="C513" i="18"/>
  <c r="B513" i="18"/>
  <c r="E512" i="18"/>
  <c r="D512" i="18"/>
  <c r="C512" i="18"/>
  <c r="B512" i="18"/>
  <c r="E511" i="18"/>
  <c r="D511" i="18"/>
  <c r="C511" i="18"/>
  <c r="B511" i="18"/>
  <c r="E510" i="18"/>
  <c r="D510" i="18"/>
  <c r="C510" i="18"/>
  <c r="B510" i="18"/>
  <c r="E509" i="18"/>
  <c r="D509" i="18"/>
  <c r="C509" i="18"/>
  <c r="B509" i="18"/>
  <c r="E508" i="18"/>
  <c r="D508" i="18"/>
  <c r="C508" i="18"/>
  <c r="B508" i="18"/>
  <c r="E507" i="18"/>
  <c r="D507" i="18"/>
  <c r="C507" i="18"/>
  <c r="B507" i="18"/>
  <c r="E506" i="18"/>
  <c r="D506" i="18"/>
  <c r="C506" i="18"/>
  <c r="B506" i="18"/>
  <c r="E505" i="18"/>
  <c r="D505" i="18"/>
  <c r="C505" i="18"/>
  <c r="B505" i="18"/>
  <c r="E504" i="18"/>
  <c r="D504" i="18"/>
  <c r="C504" i="18"/>
  <c r="B504" i="18"/>
  <c r="E503" i="18"/>
  <c r="D503" i="18"/>
  <c r="C503" i="18"/>
  <c r="B503" i="18"/>
  <c r="E502" i="18"/>
  <c r="D502" i="18"/>
  <c r="C502" i="18"/>
  <c r="B502" i="18"/>
  <c r="E501" i="18"/>
  <c r="D501" i="18"/>
  <c r="C501" i="18"/>
  <c r="B501" i="18"/>
  <c r="E500" i="18"/>
  <c r="D500" i="18"/>
  <c r="C500" i="18"/>
  <c r="B500" i="18"/>
  <c r="E499" i="18"/>
  <c r="D499" i="18"/>
  <c r="C499" i="18"/>
  <c r="B499" i="18"/>
  <c r="E498" i="18"/>
  <c r="D498" i="18"/>
  <c r="C498" i="18"/>
  <c r="B498" i="18"/>
  <c r="E497" i="18"/>
  <c r="D497" i="18"/>
  <c r="C497" i="18"/>
  <c r="B497" i="18"/>
  <c r="E496" i="18"/>
  <c r="D496" i="18"/>
  <c r="C496" i="18"/>
  <c r="B496" i="18"/>
  <c r="E495" i="18"/>
  <c r="D495" i="18"/>
  <c r="C495" i="18"/>
  <c r="B495" i="18"/>
  <c r="E494" i="18"/>
  <c r="D494" i="18"/>
  <c r="C494" i="18"/>
  <c r="B494" i="18"/>
  <c r="E493" i="18"/>
  <c r="D493" i="18"/>
  <c r="C493" i="18"/>
  <c r="B493" i="18"/>
  <c r="E492" i="18"/>
  <c r="D492" i="18"/>
  <c r="C492" i="18"/>
  <c r="B492" i="18"/>
  <c r="E491" i="18"/>
  <c r="D491" i="18"/>
  <c r="C491" i="18"/>
  <c r="B491" i="18"/>
  <c r="E490" i="18"/>
  <c r="D490" i="18"/>
  <c r="C490" i="18"/>
  <c r="B490" i="18"/>
  <c r="E489" i="18"/>
  <c r="D489" i="18"/>
  <c r="C489" i="18"/>
  <c r="B489" i="18"/>
  <c r="E488" i="18"/>
  <c r="D488" i="18"/>
  <c r="C488" i="18"/>
  <c r="B488" i="18"/>
  <c r="E487" i="18"/>
  <c r="D487" i="18"/>
  <c r="C487" i="18"/>
  <c r="B487" i="18"/>
  <c r="E486" i="18"/>
  <c r="D486" i="18"/>
  <c r="C486" i="18"/>
  <c r="B486" i="18"/>
  <c r="E485" i="18"/>
  <c r="D485" i="18"/>
  <c r="C485" i="18"/>
  <c r="B485" i="18"/>
  <c r="E484" i="18"/>
  <c r="D484" i="18"/>
  <c r="C484" i="18"/>
  <c r="B484" i="18"/>
  <c r="E483" i="18"/>
  <c r="D483" i="18"/>
  <c r="C483" i="18"/>
  <c r="B483" i="18"/>
  <c r="E482" i="18"/>
  <c r="D482" i="18"/>
  <c r="C482" i="18"/>
  <c r="B482" i="18"/>
  <c r="E481" i="18"/>
  <c r="D481" i="18"/>
  <c r="C481" i="18"/>
  <c r="B481" i="18"/>
  <c r="E480" i="18"/>
  <c r="D480" i="18"/>
  <c r="C480" i="18"/>
  <c r="B480" i="18"/>
  <c r="E479" i="18"/>
  <c r="D479" i="18"/>
  <c r="C479" i="18"/>
  <c r="B479" i="18"/>
  <c r="E478" i="18"/>
  <c r="D478" i="18"/>
  <c r="C478" i="18"/>
  <c r="B478" i="18"/>
  <c r="E477" i="18"/>
  <c r="D477" i="18"/>
  <c r="C477" i="18"/>
  <c r="B477" i="18"/>
  <c r="E476" i="18"/>
  <c r="D476" i="18"/>
  <c r="C476" i="18"/>
  <c r="B476" i="18"/>
  <c r="E475" i="18"/>
  <c r="D475" i="18"/>
  <c r="C475" i="18"/>
  <c r="B475" i="18"/>
  <c r="E474" i="18"/>
  <c r="D474" i="18"/>
  <c r="C474" i="18"/>
  <c r="B474" i="18"/>
  <c r="E473" i="18"/>
  <c r="D473" i="18"/>
  <c r="C473" i="18"/>
  <c r="B473" i="18"/>
  <c r="E472" i="18"/>
  <c r="D472" i="18"/>
  <c r="C472" i="18"/>
  <c r="B472" i="18"/>
  <c r="E471" i="18"/>
  <c r="D471" i="18"/>
  <c r="C471" i="18"/>
  <c r="B471" i="18"/>
  <c r="E470" i="18"/>
  <c r="D470" i="18"/>
  <c r="C470" i="18"/>
  <c r="B470" i="18"/>
  <c r="E469" i="18"/>
  <c r="D469" i="18"/>
  <c r="C469" i="18"/>
  <c r="B469" i="18"/>
  <c r="E468" i="18"/>
  <c r="D468" i="18"/>
  <c r="C468" i="18"/>
  <c r="B468" i="18"/>
  <c r="E467" i="18"/>
  <c r="D467" i="18"/>
  <c r="C467" i="18"/>
  <c r="B467" i="18"/>
  <c r="E466" i="18"/>
  <c r="D466" i="18"/>
  <c r="C466" i="18"/>
  <c r="B466" i="18"/>
  <c r="E465" i="18"/>
  <c r="D465" i="18"/>
  <c r="C465" i="18"/>
  <c r="B465" i="18"/>
  <c r="E464" i="18"/>
  <c r="D464" i="18"/>
  <c r="C464" i="18"/>
  <c r="B464" i="18"/>
  <c r="E463" i="18"/>
  <c r="D463" i="18"/>
  <c r="C463" i="18"/>
  <c r="B463" i="18"/>
  <c r="E462" i="18"/>
  <c r="D462" i="18"/>
  <c r="C462" i="18"/>
  <c r="B462" i="18"/>
  <c r="E461" i="18"/>
  <c r="D461" i="18"/>
  <c r="C461" i="18"/>
  <c r="B461" i="18"/>
  <c r="E460" i="18"/>
  <c r="D460" i="18"/>
  <c r="C460" i="18"/>
  <c r="B460" i="18"/>
  <c r="E459" i="18"/>
  <c r="D459" i="18"/>
  <c r="C459" i="18"/>
  <c r="B459" i="18"/>
  <c r="E458" i="18"/>
  <c r="D458" i="18"/>
  <c r="C458" i="18"/>
  <c r="B458" i="18"/>
  <c r="E457" i="18"/>
  <c r="D457" i="18"/>
  <c r="C457" i="18"/>
  <c r="B457" i="18"/>
  <c r="E456" i="18"/>
  <c r="D456" i="18"/>
  <c r="C456" i="18"/>
  <c r="B456" i="18"/>
  <c r="E455" i="18"/>
  <c r="D455" i="18"/>
  <c r="C455" i="18"/>
  <c r="B455" i="18"/>
  <c r="E454" i="18"/>
  <c r="D454" i="18"/>
  <c r="C454" i="18"/>
  <c r="B454" i="18"/>
  <c r="E453" i="18"/>
  <c r="D453" i="18"/>
  <c r="C453" i="18"/>
  <c r="B453" i="18"/>
  <c r="E452" i="18"/>
  <c r="D452" i="18"/>
  <c r="C452" i="18"/>
  <c r="B452" i="18"/>
  <c r="E451" i="18"/>
  <c r="D451" i="18"/>
  <c r="C451" i="18"/>
  <c r="B451" i="18"/>
  <c r="E450" i="18"/>
  <c r="D450" i="18"/>
  <c r="C450" i="18"/>
  <c r="B450" i="18"/>
  <c r="E449" i="18"/>
  <c r="D449" i="18"/>
  <c r="C449" i="18"/>
  <c r="B449" i="18"/>
  <c r="E448" i="18"/>
  <c r="D448" i="18"/>
  <c r="C448" i="18"/>
  <c r="B448" i="18"/>
  <c r="E447" i="18"/>
  <c r="D447" i="18"/>
  <c r="C447" i="18"/>
  <c r="B447" i="18"/>
  <c r="E446" i="18"/>
  <c r="D446" i="18"/>
  <c r="C446" i="18"/>
  <c r="B446" i="18"/>
  <c r="E445" i="18"/>
  <c r="D445" i="18"/>
  <c r="C445" i="18"/>
  <c r="B445" i="18"/>
  <c r="E444" i="18"/>
  <c r="D444" i="18"/>
  <c r="C444" i="18"/>
  <c r="B444" i="18"/>
  <c r="E443" i="18"/>
  <c r="D443" i="18"/>
  <c r="C443" i="18"/>
  <c r="B443" i="18"/>
  <c r="E442" i="18"/>
  <c r="D442" i="18"/>
  <c r="C442" i="18"/>
  <c r="B442" i="18"/>
  <c r="E441" i="18"/>
  <c r="D441" i="18"/>
  <c r="C441" i="18"/>
  <c r="B441" i="18"/>
  <c r="E440" i="18"/>
  <c r="D440" i="18"/>
  <c r="C440" i="18"/>
  <c r="B440" i="18"/>
  <c r="E439" i="18"/>
  <c r="D439" i="18"/>
  <c r="C439" i="18"/>
  <c r="B439" i="18"/>
  <c r="E438" i="18"/>
  <c r="D438" i="18"/>
  <c r="C438" i="18"/>
  <c r="B438" i="18"/>
  <c r="E437" i="18"/>
  <c r="D437" i="18"/>
  <c r="C437" i="18"/>
  <c r="B437" i="18"/>
  <c r="E436" i="18"/>
  <c r="D436" i="18"/>
  <c r="C436" i="18"/>
  <c r="B436" i="18"/>
  <c r="E435" i="18"/>
  <c r="D435" i="18"/>
  <c r="C435" i="18"/>
  <c r="B435" i="18"/>
  <c r="E434" i="18"/>
  <c r="D434" i="18"/>
  <c r="C434" i="18"/>
  <c r="B434" i="18"/>
  <c r="E433" i="18"/>
  <c r="D433" i="18"/>
  <c r="C433" i="18"/>
  <c r="B433" i="18"/>
  <c r="E432" i="18"/>
  <c r="D432" i="18"/>
  <c r="C432" i="18"/>
  <c r="B432" i="18"/>
  <c r="E431" i="18"/>
  <c r="D431" i="18"/>
  <c r="C431" i="18"/>
  <c r="B431" i="18"/>
  <c r="E430" i="18"/>
  <c r="D430" i="18"/>
  <c r="C430" i="18"/>
  <c r="B430" i="18"/>
  <c r="E429" i="18"/>
  <c r="D429" i="18"/>
  <c r="C429" i="18"/>
  <c r="B429" i="18"/>
  <c r="E428" i="18"/>
  <c r="D428" i="18"/>
  <c r="C428" i="18"/>
  <c r="B428" i="18"/>
  <c r="E427" i="18"/>
  <c r="D427" i="18"/>
  <c r="C427" i="18"/>
  <c r="B427" i="18"/>
  <c r="E426" i="18"/>
  <c r="D426" i="18"/>
  <c r="C426" i="18"/>
  <c r="B426" i="18"/>
  <c r="E425" i="18"/>
  <c r="D425" i="18"/>
  <c r="C425" i="18"/>
  <c r="B425" i="18"/>
  <c r="E424" i="18"/>
  <c r="D424" i="18"/>
  <c r="C424" i="18"/>
  <c r="B424" i="18"/>
  <c r="E423" i="18"/>
  <c r="D423" i="18"/>
  <c r="C423" i="18"/>
  <c r="B423" i="18"/>
  <c r="E422" i="18"/>
  <c r="D422" i="18"/>
  <c r="C422" i="18"/>
  <c r="B422" i="18"/>
  <c r="E421" i="18"/>
  <c r="D421" i="18"/>
  <c r="C421" i="18"/>
  <c r="B421" i="18"/>
  <c r="E420" i="18"/>
  <c r="D420" i="18"/>
  <c r="C420" i="18"/>
  <c r="B420" i="18"/>
  <c r="E419" i="18"/>
  <c r="D419" i="18"/>
  <c r="C419" i="18"/>
  <c r="B419" i="18"/>
  <c r="E418" i="18"/>
  <c r="D418" i="18"/>
  <c r="C418" i="18"/>
  <c r="B418" i="18"/>
  <c r="E417" i="18"/>
  <c r="D417" i="18"/>
  <c r="C417" i="18"/>
  <c r="B417" i="18"/>
  <c r="E416" i="18"/>
  <c r="D416" i="18"/>
  <c r="C416" i="18"/>
  <c r="B416" i="18"/>
  <c r="E415" i="18"/>
  <c r="D415" i="18"/>
  <c r="C415" i="18"/>
  <c r="B415" i="18"/>
  <c r="E414" i="18"/>
  <c r="D414" i="18"/>
  <c r="C414" i="18"/>
  <c r="B414" i="18"/>
  <c r="E413" i="18"/>
  <c r="D413" i="18"/>
  <c r="C413" i="18"/>
  <c r="B413" i="18"/>
  <c r="E412" i="18"/>
  <c r="D412" i="18"/>
  <c r="C412" i="18"/>
  <c r="B412" i="18"/>
  <c r="E411" i="18"/>
  <c r="D411" i="18"/>
  <c r="C411" i="18"/>
  <c r="B411" i="18"/>
  <c r="E410" i="18"/>
  <c r="D410" i="18"/>
  <c r="C410" i="18"/>
  <c r="B410" i="18"/>
  <c r="E409" i="18"/>
  <c r="D409" i="18"/>
  <c r="C409" i="18"/>
  <c r="B409" i="18"/>
  <c r="E408" i="18"/>
  <c r="D408" i="18"/>
  <c r="C408" i="18"/>
  <c r="B408" i="18"/>
  <c r="E407" i="18"/>
  <c r="D407" i="18"/>
  <c r="C407" i="18"/>
  <c r="B407" i="18"/>
  <c r="E406" i="18"/>
  <c r="D406" i="18"/>
  <c r="C406" i="18"/>
  <c r="B406" i="18"/>
  <c r="E405" i="18"/>
  <c r="D405" i="18"/>
  <c r="C405" i="18"/>
  <c r="B405" i="18"/>
  <c r="E404" i="18"/>
  <c r="D404" i="18"/>
  <c r="C404" i="18"/>
  <c r="B404" i="18"/>
  <c r="E403" i="18"/>
  <c r="D403" i="18"/>
  <c r="C403" i="18"/>
  <c r="B403" i="18"/>
  <c r="E402" i="18"/>
  <c r="D402" i="18"/>
  <c r="C402" i="18"/>
  <c r="B402" i="18"/>
  <c r="E401" i="18"/>
  <c r="D401" i="18"/>
  <c r="C401" i="18"/>
  <c r="B401" i="18"/>
  <c r="E400" i="18"/>
  <c r="D400" i="18"/>
  <c r="C400" i="18"/>
  <c r="B400" i="18"/>
  <c r="E399" i="18"/>
  <c r="D399" i="18"/>
  <c r="C399" i="18"/>
  <c r="B399" i="18"/>
  <c r="E398" i="18"/>
  <c r="D398" i="18"/>
  <c r="C398" i="18"/>
  <c r="B398" i="18"/>
  <c r="E397" i="18"/>
  <c r="D397" i="18"/>
  <c r="C397" i="18"/>
  <c r="B397" i="18"/>
  <c r="E396" i="18"/>
  <c r="D396" i="18"/>
  <c r="C396" i="18"/>
  <c r="B396" i="18"/>
  <c r="E395" i="18"/>
  <c r="D395" i="18"/>
  <c r="C395" i="18"/>
  <c r="B395" i="18"/>
  <c r="E394" i="18"/>
  <c r="D394" i="18"/>
  <c r="C394" i="18"/>
  <c r="B394" i="18"/>
  <c r="E393" i="18"/>
  <c r="D393" i="18"/>
  <c r="C393" i="18"/>
  <c r="B393" i="18"/>
  <c r="E392" i="18"/>
  <c r="D392" i="18"/>
  <c r="C392" i="18"/>
  <c r="B392" i="18"/>
  <c r="E391" i="18"/>
  <c r="D391" i="18"/>
  <c r="C391" i="18"/>
  <c r="B391" i="18"/>
  <c r="E390" i="18"/>
  <c r="D390" i="18"/>
  <c r="C390" i="18"/>
  <c r="B390" i="18"/>
  <c r="E389" i="18"/>
  <c r="D389" i="18"/>
  <c r="C389" i="18"/>
  <c r="B389" i="18"/>
  <c r="E388" i="18"/>
  <c r="D388" i="18"/>
  <c r="C388" i="18"/>
  <c r="B388" i="18"/>
  <c r="E387" i="18"/>
  <c r="D387" i="18"/>
  <c r="C387" i="18"/>
  <c r="B387" i="18"/>
  <c r="E386" i="18"/>
  <c r="D386" i="18"/>
  <c r="C386" i="18"/>
  <c r="B386" i="18"/>
  <c r="E385" i="18"/>
  <c r="D385" i="18"/>
  <c r="C385" i="18"/>
  <c r="B385" i="18"/>
  <c r="E384" i="18"/>
  <c r="D384" i="18"/>
  <c r="C384" i="18"/>
  <c r="B384" i="18"/>
  <c r="E383" i="18"/>
  <c r="D383" i="18"/>
  <c r="C383" i="18"/>
  <c r="B383" i="18"/>
  <c r="E382" i="18"/>
  <c r="D382" i="18"/>
  <c r="C382" i="18"/>
  <c r="B382" i="18"/>
  <c r="E381" i="18"/>
  <c r="D381" i="18"/>
  <c r="C381" i="18"/>
  <c r="B381" i="18"/>
  <c r="E380" i="18"/>
  <c r="D380" i="18"/>
  <c r="C380" i="18"/>
  <c r="B380" i="18"/>
  <c r="E379" i="18"/>
  <c r="D379" i="18"/>
  <c r="C379" i="18"/>
  <c r="B379" i="18"/>
  <c r="E378" i="18"/>
  <c r="D378" i="18"/>
  <c r="C378" i="18"/>
  <c r="B378" i="18"/>
  <c r="E377" i="18"/>
  <c r="D377" i="18"/>
  <c r="C377" i="18"/>
  <c r="B377" i="18"/>
  <c r="E376" i="18"/>
  <c r="D376" i="18"/>
  <c r="C376" i="18"/>
  <c r="B376" i="18"/>
  <c r="E375" i="18"/>
  <c r="D375" i="18"/>
  <c r="C375" i="18"/>
  <c r="B375" i="18"/>
  <c r="E374" i="18"/>
  <c r="D374" i="18"/>
  <c r="C374" i="18"/>
  <c r="B374" i="18"/>
  <c r="E373" i="18"/>
  <c r="D373" i="18"/>
  <c r="C373" i="18"/>
  <c r="B373" i="18"/>
  <c r="E372" i="18"/>
  <c r="D372" i="18"/>
  <c r="C372" i="18"/>
  <c r="B372" i="18"/>
  <c r="E371" i="18"/>
  <c r="D371" i="18"/>
  <c r="C371" i="18"/>
  <c r="B371" i="18"/>
  <c r="E370" i="18"/>
  <c r="D370" i="18"/>
  <c r="C370" i="18"/>
  <c r="B370" i="18"/>
  <c r="E369" i="18"/>
  <c r="D369" i="18"/>
  <c r="C369" i="18"/>
  <c r="B369" i="18"/>
  <c r="E368" i="18"/>
  <c r="D368" i="18"/>
  <c r="C368" i="18"/>
  <c r="B368" i="18"/>
  <c r="E367" i="18"/>
  <c r="D367" i="18"/>
  <c r="C367" i="18"/>
  <c r="B367" i="18"/>
  <c r="E366" i="18"/>
  <c r="D366" i="18"/>
  <c r="C366" i="18"/>
  <c r="B366" i="18"/>
  <c r="E365" i="18"/>
  <c r="D365" i="18"/>
  <c r="C365" i="18"/>
  <c r="B365" i="18"/>
  <c r="E364" i="18"/>
  <c r="D364" i="18"/>
  <c r="C364" i="18"/>
  <c r="B364" i="18"/>
  <c r="E363" i="18"/>
  <c r="D363" i="18"/>
  <c r="C363" i="18"/>
  <c r="B363" i="18"/>
  <c r="E362" i="18"/>
  <c r="D362" i="18"/>
  <c r="C362" i="18"/>
  <c r="B362" i="18"/>
  <c r="E361" i="18"/>
  <c r="D361" i="18"/>
  <c r="C361" i="18"/>
  <c r="B361" i="18"/>
  <c r="E360" i="18"/>
  <c r="D360" i="18"/>
  <c r="C360" i="18"/>
  <c r="B360" i="18"/>
  <c r="E359" i="18"/>
  <c r="D359" i="18"/>
  <c r="C359" i="18"/>
  <c r="B359" i="18"/>
  <c r="E358" i="18"/>
  <c r="D358" i="18"/>
  <c r="C358" i="18"/>
  <c r="B358" i="18"/>
  <c r="E357" i="18"/>
  <c r="D357" i="18"/>
  <c r="C357" i="18"/>
  <c r="B357" i="18"/>
  <c r="E356" i="18"/>
  <c r="D356" i="18"/>
  <c r="C356" i="18"/>
  <c r="B356" i="18"/>
  <c r="E355" i="18"/>
  <c r="D355" i="18"/>
  <c r="C355" i="18"/>
  <c r="B355" i="18"/>
  <c r="E354" i="18"/>
  <c r="D354" i="18"/>
  <c r="C354" i="18"/>
  <c r="B354" i="18"/>
  <c r="E353" i="18"/>
  <c r="D353" i="18"/>
  <c r="C353" i="18"/>
  <c r="B353" i="18"/>
  <c r="E352" i="18"/>
  <c r="D352" i="18"/>
  <c r="C352" i="18"/>
  <c r="B352" i="18"/>
  <c r="E351" i="18"/>
  <c r="D351" i="18"/>
  <c r="C351" i="18"/>
  <c r="B351" i="18"/>
  <c r="E350" i="18"/>
  <c r="D350" i="18"/>
  <c r="C350" i="18"/>
  <c r="B350" i="18"/>
  <c r="E349" i="18"/>
  <c r="D349" i="18"/>
  <c r="C349" i="18"/>
  <c r="B349" i="18"/>
  <c r="E348" i="18"/>
  <c r="D348" i="18"/>
  <c r="C348" i="18"/>
  <c r="B348" i="18"/>
  <c r="E347" i="18"/>
  <c r="D347" i="18"/>
  <c r="C347" i="18"/>
  <c r="B347" i="18"/>
  <c r="E346" i="18"/>
  <c r="D346" i="18"/>
  <c r="C346" i="18"/>
  <c r="B346" i="18"/>
  <c r="E345" i="18"/>
  <c r="D345" i="18"/>
  <c r="C345" i="18"/>
  <c r="B345" i="18"/>
  <c r="E344" i="18"/>
  <c r="D344" i="18"/>
  <c r="C344" i="18"/>
  <c r="B344" i="18"/>
  <c r="E343" i="18"/>
  <c r="D343" i="18"/>
  <c r="C343" i="18"/>
  <c r="B343" i="18"/>
  <c r="E342" i="18"/>
  <c r="D342" i="18"/>
  <c r="C342" i="18"/>
  <c r="B342" i="18"/>
  <c r="E341" i="18"/>
  <c r="D341" i="18"/>
  <c r="C341" i="18"/>
  <c r="B341" i="18"/>
  <c r="E340" i="18"/>
  <c r="D340" i="18"/>
  <c r="C340" i="18"/>
  <c r="B340" i="18"/>
  <c r="E339" i="18"/>
  <c r="D339" i="18"/>
  <c r="C339" i="18"/>
  <c r="B339" i="18"/>
  <c r="E338" i="18"/>
  <c r="D338" i="18"/>
  <c r="C338" i="18"/>
  <c r="B338" i="18"/>
  <c r="E337" i="18"/>
  <c r="D337" i="18"/>
  <c r="C337" i="18"/>
  <c r="B337" i="18"/>
  <c r="E336" i="18"/>
  <c r="D336" i="18"/>
  <c r="C336" i="18"/>
  <c r="B336" i="18"/>
  <c r="E335" i="18"/>
  <c r="D335" i="18"/>
  <c r="C335" i="18"/>
  <c r="B335" i="18"/>
  <c r="E334" i="18"/>
  <c r="D334" i="18"/>
  <c r="C334" i="18"/>
  <c r="B334" i="18"/>
  <c r="E333" i="18"/>
  <c r="D333" i="18"/>
  <c r="C333" i="18"/>
  <c r="B333" i="18"/>
  <c r="E332" i="18"/>
  <c r="D332" i="18"/>
  <c r="C332" i="18"/>
  <c r="B332" i="18"/>
  <c r="E331" i="18"/>
  <c r="D331" i="18"/>
  <c r="C331" i="18"/>
  <c r="B331" i="18"/>
  <c r="E330" i="18"/>
  <c r="D330" i="18"/>
  <c r="C330" i="18"/>
  <c r="B330" i="18"/>
  <c r="E329" i="18"/>
  <c r="D329" i="18"/>
  <c r="C329" i="18"/>
  <c r="B329" i="18"/>
  <c r="E328" i="18"/>
  <c r="D328" i="18"/>
  <c r="C328" i="18"/>
  <c r="B328" i="18"/>
  <c r="E327" i="18"/>
  <c r="D327" i="18"/>
  <c r="C327" i="18"/>
  <c r="B327" i="18"/>
  <c r="E326" i="18"/>
  <c r="D326" i="18"/>
  <c r="C326" i="18"/>
  <c r="B326" i="18"/>
  <c r="E325" i="18"/>
  <c r="D325" i="18"/>
  <c r="C325" i="18"/>
  <c r="B325" i="18"/>
  <c r="E324" i="18"/>
  <c r="D324" i="18"/>
  <c r="C324" i="18"/>
  <c r="B324" i="18"/>
  <c r="E323" i="18"/>
  <c r="D323" i="18"/>
  <c r="C323" i="18"/>
  <c r="B323" i="18"/>
  <c r="E322" i="18"/>
  <c r="D322" i="18"/>
  <c r="C322" i="18"/>
  <c r="B322" i="18"/>
  <c r="E321" i="18"/>
  <c r="D321" i="18"/>
  <c r="C321" i="18"/>
  <c r="B321" i="18"/>
  <c r="E320" i="18"/>
  <c r="D320" i="18"/>
  <c r="C320" i="18"/>
  <c r="B320" i="18"/>
  <c r="E319" i="18"/>
  <c r="D319" i="18"/>
  <c r="C319" i="18"/>
  <c r="B319" i="18"/>
  <c r="E318" i="18"/>
  <c r="D318" i="18"/>
  <c r="C318" i="18"/>
  <c r="B318" i="18"/>
  <c r="E317" i="18"/>
  <c r="D317" i="18"/>
  <c r="C317" i="18"/>
  <c r="B317" i="18"/>
  <c r="E316" i="18"/>
  <c r="D316" i="18"/>
  <c r="C316" i="18"/>
  <c r="B316" i="18"/>
  <c r="E315" i="18"/>
  <c r="D315" i="18"/>
  <c r="C315" i="18"/>
  <c r="B315" i="18"/>
  <c r="E314" i="18"/>
  <c r="D314" i="18"/>
  <c r="C314" i="18"/>
  <c r="B314" i="18"/>
  <c r="E313" i="18"/>
  <c r="D313" i="18"/>
  <c r="C313" i="18"/>
  <c r="B313" i="18"/>
  <c r="E312" i="18"/>
  <c r="D312" i="18"/>
  <c r="C312" i="18"/>
  <c r="B312" i="18"/>
  <c r="E311" i="18"/>
  <c r="D311" i="18"/>
  <c r="C311" i="18"/>
  <c r="B311" i="18"/>
  <c r="E310" i="18"/>
  <c r="D310" i="18"/>
  <c r="C310" i="18"/>
  <c r="B310" i="18"/>
  <c r="E309" i="18"/>
  <c r="D309" i="18"/>
  <c r="C309" i="18"/>
  <c r="B309" i="18"/>
  <c r="E308" i="18"/>
  <c r="D308" i="18"/>
  <c r="C308" i="18"/>
  <c r="B308" i="18"/>
  <c r="E307" i="18"/>
  <c r="D307" i="18"/>
  <c r="C307" i="18"/>
  <c r="B307" i="18"/>
  <c r="E306" i="18"/>
  <c r="D306" i="18"/>
  <c r="C306" i="18"/>
  <c r="B306" i="18"/>
  <c r="E305" i="18"/>
  <c r="D305" i="18"/>
  <c r="C305" i="18"/>
  <c r="B305" i="18"/>
  <c r="E304" i="18"/>
  <c r="D304" i="18"/>
  <c r="C304" i="18"/>
  <c r="B304" i="18"/>
  <c r="E303" i="18"/>
  <c r="D303" i="18"/>
  <c r="C303" i="18"/>
  <c r="B303" i="18"/>
  <c r="E302" i="18"/>
  <c r="D302" i="18"/>
  <c r="C302" i="18"/>
  <c r="B302" i="18"/>
  <c r="E301" i="18"/>
  <c r="D301" i="18"/>
  <c r="C301" i="18"/>
  <c r="B301" i="18"/>
  <c r="E300" i="18"/>
  <c r="D300" i="18"/>
  <c r="C300" i="18"/>
  <c r="B300" i="18"/>
  <c r="E299" i="18"/>
  <c r="D299" i="18"/>
  <c r="C299" i="18"/>
  <c r="B299" i="18"/>
  <c r="E298" i="18"/>
  <c r="D298" i="18"/>
  <c r="C298" i="18"/>
  <c r="B298" i="18"/>
  <c r="E297" i="18"/>
  <c r="D297" i="18"/>
  <c r="C297" i="18"/>
  <c r="B297" i="18"/>
  <c r="E296" i="18"/>
  <c r="D296" i="18"/>
  <c r="C296" i="18"/>
  <c r="B296" i="18"/>
  <c r="E295" i="18"/>
  <c r="D295" i="18"/>
  <c r="C295" i="18"/>
  <c r="B295" i="18"/>
  <c r="E294" i="18"/>
  <c r="D294" i="18"/>
  <c r="C294" i="18"/>
  <c r="B294" i="18"/>
  <c r="E293" i="18"/>
  <c r="D293" i="18"/>
  <c r="C293" i="18"/>
  <c r="B293" i="18"/>
  <c r="E292" i="18"/>
  <c r="D292" i="18"/>
  <c r="C292" i="18"/>
  <c r="B292" i="18"/>
  <c r="E291" i="18"/>
  <c r="D291" i="18"/>
  <c r="C291" i="18"/>
  <c r="B291" i="18"/>
  <c r="E290" i="18"/>
  <c r="D290" i="18"/>
  <c r="C290" i="18"/>
  <c r="B290" i="18"/>
  <c r="E289" i="18"/>
  <c r="D289" i="18"/>
  <c r="C289" i="18"/>
  <c r="B289" i="18"/>
  <c r="E288" i="18"/>
  <c r="D288" i="18"/>
  <c r="C288" i="18"/>
  <c r="B288" i="18"/>
  <c r="E287" i="18"/>
  <c r="D287" i="18"/>
  <c r="C287" i="18"/>
  <c r="B287" i="18"/>
  <c r="E286" i="18"/>
  <c r="D286" i="18"/>
  <c r="C286" i="18"/>
  <c r="B286" i="18"/>
  <c r="E285" i="18"/>
  <c r="D285" i="18"/>
  <c r="C285" i="18"/>
  <c r="B285" i="18"/>
  <c r="E284" i="18"/>
  <c r="D284" i="18"/>
  <c r="C284" i="18"/>
  <c r="B284" i="18"/>
  <c r="E283" i="18"/>
  <c r="D283" i="18"/>
  <c r="C283" i="18"/>
  <c r="B283" i="18"/>
  <c r="E282" i="18"/>
  <c r="D282" i="18"/>
  <c r="C282" i="18"/>
  <c r="B282" i="18"/>
  <c r="E281" i="18"/>
  <c r="D281" i="18"/>
  <c r="C281" i="18"/>
  <c r="B281" i="18"/>
  <c r="E280" i="18"/>
  <c r="D280" i="18"/>
  <c r="C280" i="18"/>
  <c r="B280" i="18"/>
  <c r="E279" i="18"/>
  <c r="D279" i="18"/>
  <c r="C279" i="18"/>
  <c r="B279" i="18"/>
  <c r="E278" i="18"/>
  <c r="D278" i="18"/>
  <c r="C278" i="18"/>
  <c r="B278" i="18"/>
  <c r="E277" i="18"/>
  <c r="D277" i="18"/>
  <c r="C277" i="18"/>
  <c r="B277" i="18"/>
  <c r="E276" i="18"/>
  <c r="D276" i="18"/>
  <c r="C276" i="18"/>
  <c r="B276" i="18"/>
  <c r="E275" i="18"/>
  <c r="D275" i="18"/>
  <c r="C275" i="18"/>
  <c r="B275" i="18"/>
  <c r="E274" i="18"/>
  <c r="D274" i="18"/>
  <c r="C274" i="18"/>
  <c r="B274" i="18"/>
  <c r="E273" i="18"/>
  <c r="D273" i="18"/>
  <c r="C273" i="18"/>
  <c r="B273" i="18"/>
  <c r="E272" i="18"/>
  <c r="D272" i="18"/>
  <c r="C272" i="18"/>
  <c r="B272" i="18"/>
  <c r="E271" i="18"/>
  <c r="D271" i="18"/>
  <c r="C271" i="18"/>
  <c r="B271" i="18"/>
  <c r="E270" i="18"/>
  <c r="D270" i="18"/>
  <c r="C270" i="18"/>
  <c r="B270" i="18"/>
  <c r="E269" i="18"/>
  <c r="D269" i="18"/>
  <c r="C269" i="18"/>
  <c r="B269" i="18"/>
  <c r="E268" i="18"/>
  <c r="D268" i="18"/>
  <c r="C268" i="18"/>
  <c r="B268" i="18"/>
  <c r="E267" i="18"/>
  <c r="D267" i="18"/>
  <c r="C267" i="18"/>
  <c r="B267" i="18"/>
  <c r="E266" i="18"/>
  <c r="D266" i="18"/>
  <c r="C266" i="18"/>
  <c r="B266" i="18"/>
  <c r="E265" i="18"/>
  <c r="D265" i="18"/>
  <c r="C265" i="18"/>
  <c r="B265" i="18"/>
  <c r="E264" i="18"/>
  <c r="D264" i="18"/>
  <c r="C264" i="18"/>
  <c r="B264" i="18"/>
  <c r="E263" i="18"/>
  <c r="D263" i="18"/>
  <c r="C263" i="18"/>
  <c r="B263" i="18"/>
  <c r="E262" i="18"/>
  <c r="D262" i="18"/>
  <c r="C262" i="18"/>
  <c r="B262" i="18"/>
  <c r="E261" i="18"/>
  <c r="D261" i="18"/>
  <c r="C261" i="18"/>
  <c r="B261" i="18"/>
  <c r="E260" i="18"/>
  <c r="D260" i="18"/>
  <c r="C260" i="18"/>
  <c r="B260" i="18"/>
  <c r="E259" i="18"/>
  <c r="D259" i="18"/>
  <c r="C259" i="18"/>
  <c r="B259" i="18"/>
  <c r="E258" i="18"/>
  <c r="D258" i="18"/>
  <c r="C258" i="18"/>
  <c r="B258" i="18"/>
  <c r="E257" i="18"/>
  <c r="D257" i="18"/>
  <c r="C257" i="18"/>
  <c r="B257" i="18"/>
  <c r="E256" i="18"/>
  <c r="D256" i="18"/>
  <c r="C256" i="18"/>
  <c r="B256" i="18"/>
  <c r="E255" i="18"/>
  <c r="D255" i="18"/>
  <c r="C255" i="18"/>
  <c r="B255" i="18"/>
  <c r="E254" i="18"/>
  <c r="D254" i="18"/>
  <c r="C254" i="18"/>
  <c r="B254" i="18"/>
  <c r="E253" i="18"/>
  <c r="D253" i="18"/>
  <c r="C253" i="18"/>
  <c r="B253" i="18"/>
  <c r="E252" i="18"/>
  <c r="D252" i="18"/>
  <c r="C252" i="18"/>
  <c r="B252" i="18"/>
  <c r="E251" i="18"/>
  <c r="D251" i="18"/>
  <c r="C251" i="18"/>
  <c r="B251" i="18"/>
  <c r="E250" i="18"/>
  <c r="D250" i="18"/>
  <c r="C250" i="18"/>
  <c r="B250" i="18"/>
  <c r="E249" i="18"/>
  <c r="D249" i="18"/>
  <c r="C249" i="18"/>
  <c r="B249" i="18"/>
  <c r="E248" i="18"/>
  <c r="D248" i="18"/>
  <c r="C248" i="18"/>
  <c r="B248" i="18"/>
  <c r="E247" i="18"/>
  <c r="D247" i="18"/>
  <c r="C247" i="18"/>
  <c r="B247" i="18"/>
  <c r="E246" i="18"/>
  <c r="D246" i="18"/>
  <c r="C246" i="18"/>
  <c r="B246" i="18"/>
  <c r="E245" i="18"/>
  <c r="D245" i="18"/>
  <c r="C245" i="18"/>
  <c r="B245" i="18"/>
  <c r="E244" i="18"/>
  <c r="D244" i="18"/>
  <c r="C244" i="18"/>
  <c r="B244" i="18"/>
  <c r="E243" i="18"/>
  <c r="D243" i="18"/>
  <c r="C243" i="18"/>
  <c r="B243" i="18"/>
  <c r="E242" i="18"/>
  <c r="D242" i="18"/>
  <c r="C242" i="18"/>
  <c r="B242" i="18"/>
  <c r="E241" i="18"/>
  <c r="D241" i="18"/>
  <c r="C241" i="18"/>
  <c r="B241" i="18"/>
  <c r="E240" i="18"/>
  <c r="D240" i="18"/>
  <c r="C240" i="18"/>
  <c r="B240" i="18"/>
  <c r="E239" i="18"/>
  <c r="D239" i="18"/>
  <c r="C239" i="18"/>
  <c r="B239" i="18"/>
  <c r="E238" i="18"/>
  <c r="D238" i="18"/>
  <c r="C238" i="18"/>
  <c r="B238" i="18"/>
  <c r="E237" i="18"/>
  <c r="D237" i="18"/>
  <c r="C237" i="18"/>
  <c r="B237" i="18"/>
  <c r="E236" i="18"/>
  <c r="D236" i="18"/>
  <c r="C236" i="18"/>
  <c r="B236" i="18"/>
  <c r="E235" i="18"/>
  <c r="D235" i="18"/>
  <c r="C235" i="18"/>
  <c r="B235" i="18"/>
  <c r="E234" i="18"/>
  <c r="D234" i="18"/>
  <c r="C234" i="18"/>
  <c r="B234" i="18"/>
  <c r="E233" i="18"/>
  <c r="D233" i="18"/>
  <c r="C233" i="18"/>
  <c r="B233" i="18"/>
  <c r="E232" i="18"/>
  <c r="D232" i="18"/>
  <c r="C232" i="18"/>
  <c r="B232" i="18"/>
  <c r="E231" i="18"/>
  <c r="D231" i="18"/>
  <c r="C231" i="18"/>
  <c r="B231" i="18"/>
  <c r="E230" i="18"/>
  <c r="D230" i="18"/>
  <c r="C230" i="18"/>
  <c r="B230" i="18"/>
  <c r="E229" i="18"/>
  <c r="D229" i="18"/>
  <c r="C229" i="18"/>
  <c r="B229" i="18"/>
  <c r="E228" i="18"/>
  <c r="D228" i="18"/>
  <c r="C228" i="18"/>
  <c r="B228" i="18"/>
  <c r="E227" i="18"/>
  <c r="D227" i="18"/>
  <c r="C227" i="18"/>
  <c r="B227" i="18"/>
  <c r="E226" i="18"/>
  <c r="D226" i="18"/>
  <c r="C226" i="18"/>
  <c r="B226" i="18"/>
  <c r="E225" i="18"/>
  <c r="D225" i="18"/>
  <c r="C225" i="18"/>
  <c r="B225" i="18"/>
  <c r="E224" i="18"/>
  <c r="D224" i="18"/>
  <c r="C224" i="18"/>
  <c r="B224" i="18"/>
  <c r="E223" i="18"/>
  <c r="D223" i="18"/>
  <c r="C223" i="18"/>
  <c r="B223" i="18"/>
  <c r="E222" i="18"/>
  <c r="D222" i="18"/>
  <c r="C222" i="18"/>
  <c r="B222" i="18"/>
  <c r="E221" i="18"/>
  <c r="D221" i="18"/>
  <c r="C221" i="18"/>
  <c r="B221" i="18"/>
  <c r="E220" i="18"/>
  <c r="D220" i="18"/>
  <c r="C220" i="18"/>
  <c r="B220" i="18"/>
  <c r="E219" i="18"/>
  <c r="D219" i="18"/>
  <c r="C219" i="18"/>
  <c r="B219" i="18"/>
  <c r="E218" i="18"/>
  <c r="D218" i="18"/>
  <c r="C218" i="18"/>
  <c r="B218" i="18"/>
  <c r="E217" i="18"/>
  <c r="D217" i="18"/>
  <c r="C217" i="18"/>
  <c r="B217" i="18"/>
  <c r="E216" i="18"/>
  <c r="D216" i="18"/>
  <c r="C216" i="18"/>
  <c r="B216" i="18"/>
  <c r="E215" i="18"/>
  <c r="D215" i="18"/>
  <c r="C215" i="18"/>
  <c r="B215" i="18"/>
  <c r="E214" i="18"/>
  <c r="D214" i="18"/>
  <c r="C214" i="18"/>
  <c r="B214" i="18"/>
  <c r="E213" i="18"/>
  <c r="D213" i="18"/>
  <c r="C213" i="18"/>
  <c r="B213" i="18"/>
  <c r="E212" i="18"/>
  <c r="D212" i="18"/>
  <c r="C212" i="18"/>
  <c r="B212" i="18"/>
  <c r="E211" i="18"/>
  <c r="D211" i="18"/>
  <c r="C211" i="18"/>
  <c r="B211" i="18"/>
  <c r="E210" i="18"/>
  <c r="D210" i="18"/>
  <c r="C210" i="18"/>
  <c r="B210" i="18"/>
  <c r="E209" i="18"/>
  <c r="D209" i="18"/>
  <c r="C209" i="18"/>
  <c r="B209" i="18"/>
  <c r="E208" i="18"/>
  <c r="D208" i="18"/>
  <c r="C208" i="18"/>
  <c r="B208" i="18"/>
  <c r="E207" i="18"/>
  <c r="D207" i="18"/>
  <c r="C207" i="18"/>
  <c r="B207" i="18"/>
  <c r="E206" i="18"/>
  <c r="D206" i="18"/>
  <c r="C206" i="18"/>
  <c r="B206" i="18"/>
  <c r="E205" i="18"/>
  <c r="D205" i="18"/>
  <c r="C205" i="18"/>
  <c r="B205" i="18"/>
  <c r="E204" i="18"/>
  <c r="D204" i="18"/>
  <c r="C204" i="18"/>
  <c r="B204" i="18"/>
  <c r="E203" i="18"/>
  <c r="D203" i="18"/>
  <c r="C203" i="18"/>
  <c r="B203" i="18"/>
  <c r="E202" i="18"/>
  <c r="D202" i="18"/>
  <c r="C202" i="18"/>
  <c r="B202" i="18"/>
  <c r="E201" i="18"/>
  <c r="D201" i="18"/>
  <c r="C201" i="18"/>
  <c r="B201" i="18"/>
  <c r="E200" i="18"/>
  <c r="D200" i="18"/>
  <c r="C200" i="18"/>
  <c r="B200" i="18"/>
  <c r="E199" i="18"/>
  <c r="D199" i="18"/>
  <c r="C199" i="18"/>
  <c r="B199" i="18"/>
  <c r="E198" i="18"/>
  <c r="D198" i="18"/>
  <c r="C198" i="18"/>
  <c r="B198" i="18"/>
  <c r="E197" i="18"/>
  <c r="D197" i="18"/>
  <c r="C197" i="18"/>
  <c r="B197" i="18"/>
  <c r="E196" i="18"/>
  <c r="D196" i="18"/>
  <c r="C196" i="18"/>
  <c r="B196" i="18"/>
  <c r="E195" i="18"/>
  <c r="D195" i="18"/>
  <c r="C195" i="18"/>
  <c r="B195" i="18"/>
  <c r="E194" i="18"/>
  <c r="D194" i="18"/>
  <c r="C194" i="18"/>
  <c r="B194" i="18"/>
  <c r="E193" i="18"/>
  <c r="D193" i="18"/>
  <c r="C193" i="18"/>
  <c r="B193" i="18"/>
  <c r="E192" i="18"/>
  <c r="D192" i="18"/>
  <c r="C192" i="18"/>
  <c r="B192" i="18"/>
  <c r="E191" i="18"/>
  <c r="D191" i="18"/>
  <c r="C191" i="18"/>
  <c r="B191" i="18"/>
  <c r="E190" i="18"/>
  <c r="D190" i="18"/>
  <c r="C190" i="18"/>
  <c r="B190" i="18"/>
  <c r="E189" i="18"/>
  <c r="D189" i="18"/>
  <c r="C189" i="18"/>
  <c r="B189" i="18"/>
  <c r="E188" i="18"/>
  <c r="D188" i="18"/>
  <c r="C188" i="18"/>
  <c r="B188" i="18"/>
  <c r="E187" i="18"/>
  <c r="D187" i="18"/>
  <c r="C187" i="18"/>
  <c r="B187" i="18"/>
  <c r="E186" i="18"/>
  <c r="D186" i="18"/>
  <c r="C186" i="18"/>
  <c r="B186" i="18"/>
  <c r="E185" i="18"/>
  <c r="D185" i="18"/>
  <c r="C185" i="18"/>
  <c r="B185" i="18"/>
  <c r="E184" i="18"/>
  <c r="D184" i="18"/>
  <c r="C184" i="18"/>
  <c r="B184" i="18"/>
  <c r="E183" i="18"/>
  <c r="D183" i="18"/>
  <c r="C183" i="18"/>
  <c r="B183" i="18"/>
  <c r="E182" i="18"/>
  <c r="D182" i="18"/>
  <c r="C182" i="18"/>
  <c r="B182" i="18"/>
  <c r="E181" i="18"/>
  <c r="D181" i="18"/>
  <c r="C181" i="18"/>
  <c r="B181" i="18"/>
  <c r="E180" i="18"/>
  <c r="D180" i="18"/>
  <c r="C180" i="18"/>
  <c r="B180" i="18"/>
  <c r="E179" i="18"/>
  <c r="D179" i="18"/>
  <c r="C179" i="18"/>
  <c r="B179" i="18"/>
  <c r="E178" i="18"/>
  <c r="D178" i="18"/>
  <c r="C178" i="18"/>
  <c r="B178" i="18"/>
  <c r="E177" i="18"/>
  <c r="D177" i="18"/>
  <c r="C177" i="18"/>
  <c r="B177" i="18"/>
  <c r="E176" i="18"/>
  <c r="D176" i="18"/>
  <c r="C176" i="18"/>
  <c r="B176" i="18"/>
  <c r="E175" i="18"/>
  <c r="D175" i="18"/>
  <c r="C175" i="18"/>
  <c r="B175" i="18"/>
  <c r="E174" i="18"/>
  <c r="D174" i="18"/>
  <c r="C174" i="18"/>
  <c r="B174" i="18"/>
  <c r="E173" i="18"/>
  <c r="D173" i="18"/>
  <c r="C173" i="18"/>
  <c r="B173" i="18"/>
  <c r="E172" i="18"/>
  <c r="D172" i="18"/>
  <c r="C172" i="18"/>
  <c r="B172" i="18"/>
  <c r="E171" i="18"/>
  <c r="D171" i="18"/>
  <c r="C171" i="18"/>
  <c r="B171" i="18"/>
  <c r="E170" i="18"/>
  <c r="D170" i="18"/>
  <c r="C170" i="18"/>
  <c r="B170" i="18"/>
  <c r="E169" i="18"/>
  <c r="D169" i="18"/>
  <c r="C169" i="18"/>
  <c r="B169" i="18"/>
  <c r="E168" i="18"/>
  <c r="D168" i="18"/>
  <c r="C168" i="18"/>
  <c r="B168" i="18"/>
  <c r="E167" i="18"/>
  <c r="D167" i="18"/>
  <c r="C167" i="18"/>
  <c r="B167" i="18"/>
  <c r="E166" i="18"/>
  <c r="D166" i="18"/>
  <c r="C166" i="18"/>
  <c r="B166" i="18"/>
  <c r="E165" i="18"/>
  <c r="D165" i="18"/>
  <c r="C165" i="18"/>
  <c r="B165" i="18"/>
  <c r="E164" i="18"/>
  <c r="D164" i="18"/>
  <c r="C164" i="18"/>
  <c r="B164" i="18"/>
  <c r="E163" i="18"/>
  <c r="D163" i="18"/>
  <c r="C163" i="18"/>
  <c r="B163" i="18"/>
  <c r="E162" i="18"/>
  <c r="D162" i="18"/>
  <c r="C162" i="18"/>
  <c r="B162" i="18"/>
  <c r="E161" i="18"/>
  <c r="D161" i="18"/>
  <c r="C161" i="18"/>
  <c r="B161" i="18"/>
  <c r="E160" i="18"/>
  <c r="D160" i="18"/>
  <c r="C160" i="18"/>
  <c r="B160" i="18"/>
  <c r="E159" i="18"/>
  <c r="D159" i="18"/>
  <c r="C159" i="18"/>
  <c r="B159" i="18"/>
  <c r="E158" i="18"/>
  <c r="D158" i="18"/>
  <c r="C158" i="18"/>
  <c r="B158" i="18"/>
  <c r="E157" i="18"/>
  <c r="D157" i="18"/>
  <c r="C157" i="18"/>
  <c r="B157" i="18"/>
  <c r="E156" i="18"/>
  <c r="D156" i="18"/>
  <c r="C156" i="18"/>
  <c r="B156" i="18"/>
  <c r="E155" i="18"/>
  <c r="D155" i="18"/>
  <c r="C155" i="18"/>
  <c r="B155" i="18"/>
  <c r="E154" i="18"/>
  <c r="D154" i="18"/>
  <c r="C154" i="18"/>
  <c r="B154" i="18"/>
  <c r="E153" i="18"/>
  <c r="D153" i="18"/>
  <c r="C153" i="18"/>
  <c r="B153" i="18"/>
  <c r="E152" i="18"/>
  <c r="D152" i="18"/>
  <c r="C152" i="18"/>
  <c r="B152" i="18"/>
  <c r="E151" i="18"/>
  <c r="D151" i="18"/>
  <c r="C151" i="18"/>
  <c r="B151" i="18"/>
  <c r="E150" i="18"/>
  <c r="D150" i="18"/>
  <c r="C150" i="18"/>
  <c r="B150" i="18"/>
  <c r="E149" i="18"/>
  <c r="D149" i="18"/>
  <c r="C149" i="18"/>
  <c r="B149" i="18"/>
  <c r="E148" i="18"/>
  <c r="D148" i="18"/>
  <c r="C148" i="18"/>
  <c r="B148" i="18"/>
  <c r="E147" i="18"/>
  <c r="D147" i="18"/>
  <c r="C147" i="18"/>
  <c r="B147" i="18"/>
  <c r="E146" i="18"/>
  <c r="D146" i="18"/>
  <c r="C146" i="18"/>
  <c r="B146" i="18"/>
  <c r="E145" i="18"/>
  <c r="D145" i="18"/>
  <c r="C145" i="18"/>
  <c r="B145" i="18"/>
  <c r="E144" i="18"/>
  <c r="D144" i="18"/>
  <c r="C144" i="18"/>
  <c r="B144" i="18"/>
  <c r="E143" i="18"/>
  <c r="D143" i="18"/>
  <c r="C143" i="18"/>
  <c r="B143" i="18"/>
  <c r="E142" i="18"/>
  <c r="D142" i="18"/>
  <c r="C142" i="18"/>
  <c r="B142" i="18"/>
  <c r="E141" i="18"/>
  <c r="D141" i="18"/>
  <c r="C141" i="18"/>
  <c r="B141" i="18"/>
  <c r="E140" i="18"/>
  <c r="D140" i="18"/>
  <c r="C140" i="18"/>
  <c r="B140" i="18"/>
  <c r="E139" i="18"/>
  <c r="D139" i="18"/>
  <c r="C139" i="18"/>
  <c r="B139" i="18"/>
  <c r="E138" i="18"/>
  <c r="D138" i="18"/>
  <c r="C138" i="18"/>
  <c r="B138" i="18"/>
  <c r="E137" i="18"/>
  <c r="D137" i="18"/>
  <c r="C137" i="18"/>
  <c r="B137" i="18"/>
  <c r="E136" i="18"/>
  <c r="D136" i="18"/>
  <c r="C136" i="18"/>
  <c r="B136" i="18"/>
  <c r="E135" i="18"/>
  <c r="D135" i="18"/>
  <c r="C135" i="18"/>
  <c r="B135" i="18"/>
  <c r="E134" i="18"/>
  <c r="D134" i="18"/>
  <c r="C134" i="18"/>
  <c r="B134" i="18"/>
  <c r="E133" i="18"/>
  <c r="D133" i="18"/>
  <c r="C133" i="18"/>
  <c r="B133" i="18"/>
  <c r="E132" i="18"/>
  <c r="D132" i="18"/>
  <c r="C132" i="18"/>
  <c r="B132" i="18"/>
  <c r="E131" i="18"/>
  <c r="D131" i="18"/>
  <c r="C131" i="18"/>
  <c r="B131" i="18"/>
  <c r="E130" i="18"/>
  <c r="D130" i="18"/>
  <c r="C130" i="18"/>
  <c r="B130" i="18"/>
  <c r="E129" i="18"/>
  <c r="D129" i="18"/>
  <c r="C129" i="18"/>
  <c r="B129" i="18"/>
  <c r="E128" i="18"/>
  <c r="D128" i="18"/>
  <c r="C128" i="18"/>
  <c r="B128" i="18"/>
  <c r="E127" i="18"/>
  <c r="D127" i="18"/>
  <c r="C127" i="18"/>
  <c r="B127" i="18"/>
  <c r="E126" i="18"/>
  <c r="D126" i="18"/>
  <c r="C126" i="18"/>
  <c r="B126" i="18"/>
  <c r="E125" i="18"/>
  <c r="D125" i="18"/>
  <c r="C125" i="18"/>
  <c r="B125" i="18"/>
  <c r="E124" i="18"/>
  <c r="D124" i="18"/>
  <c r="C124" i="18"/>
  <c r="B124" i="18"/>
  <c r="E123" i="18"/>
  <c r="D123" i="18"/>
  <c r="C123" i="18"/>
  <c r="B123" i="18"/>
  <c r="E122" i="18"/>
  <c r="D122" i="18"/>
  <c r="C122" i="18"/>
  <c r="B122" i="18"/>
  <c r="E121" i="18"/>
  <c r="D121" i="18"/>
  <c r="C121" i="18"/>
  <c r="B121" i="18"/>
  <c r="E120" i="18"/>
  <c r="D120" i="18"/>
  <c r="C120" i="18"/>
  <c r="B120" i="18"/>
  <c r="E119" i="18"/>
  <c r="D119" i="18"/>
  <c r="C119" i="18"/>
  <c r="B119" i="18"/>
  <c r="E118" i="18"/>
  <c r="D118" i="18"/>
  <c r="C118" i="18"/>
  <c r="B118" i="18"/>
  <c r="E117" i="18"/>
  <c r="D117" i="18"/>
  <c r="C117" i="18"/>
  <c r="B117" i="18"/>
  <c r="E116" i="18"/>
  <c r="D116" i="18"/>
  <c r="C116" i="18"/>
  <c r="B116" i="18"/>
  <c r="E115" i="18"/>
  <c r="D115" i="18"/>
  <c r="C115" i="18"/>
  <c r="B115" i="18"/>
  <c r="E114" i="18"/>
  <c r="D114" i="18"/>
  <c r="C114" i="18"/>
  <c r="B114" i="18"/>
  <c r="E113" i="18"/>
  <c r="D113" i="18"/>
  <c r="C113" i="18"/>
  <c r="B113" i="18"/>
  <c r="E112" i="18"/>
  <c r="D112" i="18"/>
  <c r="C112" i="18"/>
  <c r="B112" i="18"/>
  <c r="E111" i="18"/>
  <c r="D111" i="18"/>
  <c r="C111" i="18"/>
  <c r="B111" i="18"/>
  <c r="E110" i="18"/>
  <c r="D110" i="18"/>
  <c r="C110" i="18"/>
  <c r="B110" i="18"/>
  <c r="E109" i="18"/>
  <c r="D109" i="18"/>
  <c r="C109" i="18"/>
  <c r="B109" i="18"/>
  <c r="E108" i="18"/>
  <c r="D108" i="18"/>
  <c r="C108" i="18"/>
  <c r="B108" i="18"/>
  <c r="E107" i="18"/>
  <c r="D107" i="18"/>
  <c r="C107" i="18"/>
  <c r="B107" i="18"/>
  <c r="E106" i="18"/>
  <c r="D106" i="18"/>
  <c r="C106" i="18"/>
  <c r="B106" i="18"/>
  <c r="E105" i="18"/>
  <c r="D105" i="18"/>
  <c r="C105" i="18"/>
  <c r="B105" i="18"/>
  <c r="E104" i="18"/>
  <c r="D104" i="18"/>
  <c r="C104" i="18"/>
  <c r="B104" i="18"/>
  <c r="E103" i="18"/>
  <c r="D103" i="18"/>
  <c r="C103" i="18"/>
  <c r="B103" i="18"/>
  <c r="E102" i="18"/>
  <c r="D102" i="18"/>
  <c r="C102" i="18"/>
  <c r="B102" i="18"/>
  <c r="E101" i="18"/>
  <c r="D101" i="18"/>
  <c r="C101" i="18"/>
  <c r="B101" i="18"/>
  <c r="E100" i="18"/>
  <c r="D100" i="18"/>
  <c r="C100" i="18"/>
  <c r="B100" i="18"/>
  <c r="E99" i="18"/>
  <c r="D99" i="18"/>
  <c r="C99" i="18"/>
  <c r="B99" i="18"/>
  <c r="E98" i="18"/>
  <c r="D98" i="18"/>
  <c r="C98" i="18"/>
  <c r="B98" i="18"/>
  <c r="E97" i="18"/>
  <c r="D97" i="18"/>
  <c r="C97" i="18"/>
  <c r="B97" i="18"/>
  <c r="E96" i="18"/>
  <c r="D96" i="18"/>
  <c r="C96" i="18"/>
  <c r="B96" i="18"/>
  <c r="E95" i="18"/>
  <c r="D95" i="18"/>
  <c r="C95" i="18"/>
  <c r="B95" i="18"/>
  <c r="E94" i="18"/>
  <c r="D94" i="18"/>
  <c r="C94" i="18"/>
  <c r="B94" i="18"/>
  <c r="E93" i="18"/>
  <c r="D93" i="18"/>
  <c r="C93" i="18"/>
  <c r="B93" i="18"/>
  <c r="E92" i="18"/>
  <c r="D92" i="18"/>
  <c r="C92" i="18"/>
  <c r="B92" i="18"/>
  <c r="E91" i="18"/>
  <c r="D91" i="18"/>
  <c r="C91" i="18"/>
  <c r="B91" i="18"/>
  <c r="E90" i="18"/>
  <c r="D90" i="18"/>
  <c r="C90" i="18"/>
  <c r="B90" i="18"/>
  <c r="E89" i="18"/>
  <c r="D89" i="18"/>
  <c r="C89" i="18"/>
  <c r="B89" i="18"/>
  <c r="E88" i="18"/>
  <c r="D88" i="18"/>
  <c r="C88" i="18"/>
  <c r="B88" i="18"/>
  <c r="E87" i="18"/>
  <c r="D87" i="18"/>
  <c r="C87" i="18"/>
  <c r="B87" i="18"/>
  <c r="E86" i="18"/>
  <c r="D86" i="18"/>
  <c r="C86" i="18"/>
  <c r="B86" i="18"/>
  <c r="E85" i="18"/>
  <c r="D85" i="18"/>
  <c r="C85" i="18"/>
  <c r="B85" i="18"/>
  <c r="E84" i="18"/>
  <c r="D84" i="18"/>
  <c r="C84" i="18"/>
  <c r="B84" i="18"/>
  <c r="E83" i="18"/>
  <c r="D83" i="18"/>
  <c r="C83" i="18"/>
  <c r="B83" i="18"/>
  <c r="E82" i="18"/>
  <c r="D82" i="18"/>
  <c r="C82" i="18"/>
  <c r="B82" i="18"/>
  <c r="E81" i="18"/>
  <c r="D81" i="18"/>
  <c r="C81" i="18"/>
  <c r="B81" i="18"/>
  <c r="E80" i="18"/>
  <c r="D80" i="18"/>
  <c r="C80" i="18"/>
  <c r="B80" i="18"/>
  <c r="E79" i="18"/>
  <c r="D79" i="18"/>
  <c r="C79" i="18"/>
  <c r="B79" i="18"/>
  <c r="E78" i="18"/>
  <c r="D78" i="18"/>
  <c r="C78" i="18"/>
  <c r="B78" i="18"/>
  <c r="E77" i="18"/>
  <c r="D77" i="18"/>
  <c r="C77" i="18"/>
  <c r="B77" i="18"/>
  <c r="E76" i="18"/>
  <c r="D76" i="18"/>
  <c r="C76" i="18"/>
  <c r="B76" i="18"/>
  <c r="E75" i="18"/>
  <c r="D75" i="18"/>
  <c r="C75" i="18"/>
  <c r="B75" i="18"/>
  <c r="E74" i="18"/>
  <c r="D74" i="18"/>
  <c r="C74" i="18"/>
  <c r="B74" i="18"/>
  <c r="E73" i="18"/>
  <c r="D73" i="18"/>
  <c r="C73" i="18"/>
  <c r="B73" i="18"/>
  <c r="E72" i="18"/>
  <c r="D72" i="18"/>
  <c r="C72" i="18"/>
  <c r="B72" i="18"/>
  <c r="E71" i="18"/>
  <c r="D71" i="18"/>
  <c r="C71" i="18"/>
  <c r="B71" i="18"/>
  <c r="E70" i="18"/>
  <c r="D70" i="18"/>
  <c r="C70" i="18"/>
  <c r="B70" i="18"/>
  <c r="E69" i="18"/>
  <c r="D69" i="18"/>
  <c r="C69" i="18"/>
  <c r="B69" i="18"/>
  <c r="E68" i="18"/>
  <c r="D68" i="18"/>
  <c r="C68" i="18"/>
  <c r="B68" i="18"/>
  <c r="E67" i="18"/>
  <c r="D67" i="18"/>
  <c r="C67" i="18"/>
  <c r="B67" i="18"/>
  <c r="E66" i="18"/>
  <c r="D66" i="18"/>
  <c r="C66" i="18"/>
  <c r="B66" i="18"/>
  <c r="E65" i="18"/>
  <c r="D65" i="18"/>
  <c r="C65" i="18"/>
  <c r="B65" i="18"/>
  <c r="E64" i="18"/>
  <c r="D64" i="18"/>
  <c r="C64" i="18"/>
  <c r="B64" i="18"/>
  <c r="E63" i="18"/>
  <c r="D63" i="18"/>
  <c r="C63" i="18"/>
  <c r="B63" i="18"/>
  <c r="E62" i="18"/>
  <c r="D62" i="18"/>
  <c r="C62" i="18"/>
  <c r="B62" i="18"/>
  <c r="E61" i="18"/>
  <c r="D61" i="18"/>
  <c r="C61" i="18"/>
  <c r="B61" i="18"/>
  <c r="E60" i="18"/>
  <c r="D60" i="18"/>
  <c r="C60" i="18"/>
  <c r="B60" i="18"/>
  <c r="E59" i="18"/>
  <c r="D59" i="18"/>
  <c r="C59" i="18"/>
  <c r="B59" i="18"/>
  <c r="E58" i="18"/>
  <c r="D58" i="18"/>
  <c r="C58" i="18"/>
  <c r="B58" i="18"/>
  <c r="E57" i="18"/>
  <c r="D57" i="18"/>
  <c r="C57" i="18"/>
  <c r="B57" i="18"/>
  <c r="E56" i="18"/>
  <c r="D56" i="18"/>
  <c r="C56" i="18"/>
  <c r="B56" i="18"/>
  <c r="E55" i="18"/>
  <c r="D55" i="18"/>
  <c r="C55" i="18"/>
  <c r="B55" i="18"/>
  <c r="E54" i="18"/>
  <c r="D54" i="18"/>
  <c r="C54" i="18"/>
  <c r="B54" i="18"/>
  <c r="E53" i="18"/>
  <c r="D53" i="18"/>
  <c r="C53" i="18"/>
  <c r="B53" i="18"/>
  <c r="E52" i="18"/>
  <c r="D52" i="18"/>
  <c r="C52" i="18"/>
  <c r="B52" i="18"/>
  <c r="E51" i="18"/>
  <c r="D51" i="18"/>
  <c r="C51" i="18"/>
  <c r="B51" i="18"/>
  <c r="E50" i="18"/>
  <c r="D50" i="18"/>
  <c r="C50" i="18"/>
  <c r="B50" i="18"/>
  <c r="E49" i="18"/>
  <c r="D49" i="18"/>
  <c r="C49" i="18"/>
  <c r="B49" i="18"/>
  <c r="E48" i="18"/>
  <c r="D48" i="18"/>
  <c r="C48" i="18"/>
  <c r="B48" i="18"/>
  <c r="E47" i="18"/>
  <c r="D47" i="18"/>
  <c r="C47" i="18"/>
  <c r="B47" i="18"/>
  <c r="E46" i="18"/>
  <c r="D46" i="18"/>
  <c r="C46" i="18"/>
  <c r="B46" i="18"/>
  <c r="E45" i="18"/>
  <c r="D45" i="18"/>
  <c r="C45" i="18"/>
  <c r="B45" i="18"/>
  <c r="E44" i="18"/>
  <c r="D44" i="18"/>
  <c r="C44" i="18"/>
  <c r="B44" i="18"/>
  <c r="E43" i="18"/>
  <c r="D43" i="18"/>
  <c r="C43" i="18"/>
  <c r="B43" i="18"/>
  <c r="E42" i="18"/>
  <c r="D42" i="18"/>
  <c r="C42" i="18"/>
  <c r="B42" i="18"/>
  <c r="E41" i="18"/>
  <c r="D41" i="18"/>
  <c r="C41" i="18"/>
  <c r="B41" i="18"/>
  <c r="E40" i="18"/>
  <c r="D40" i="18"/>
  <c r="C40" i="18"/>
  <c r="B40" i="18"/>
  <c r="E39" i="18"/>
  <c r="D39" i="18"/>
  <c r="C39" i="18"/>
  <c r="B39" i="18"/>
  <c r="E38" i="18"/>
  <c r="D38" i="18"/>
  <c r="C38" i="18"/>
  <c r="B38" i="18"/>
  <c r="E37" i="18"/>
  <c r="D37" i="18"/>
  <c r="C37" i="18"/>
  <c r="B37" i="18"/>
  <c r="E36" i="18"/>
  <c r="D36" i="18"/>
  <c r="C36" i="18"/>
  <c r="B36" i="18"/>
  <c r="E35" i="18"/>
  <c r="D35" i="18"/>
  <c r="C35" i="18"/>
  <c r="B35" i="18"/>
  <c r="E34" i="18"/>
  <c r="D34" i="18"/>
  <c r="C34" i="18"/>
  <c r="B34" i="18"/>
  <c r="E33" i="18"/>
  <c r="D33" i="18"/>
  <c r="C33" i="18"/>
  <c r="B33" i="18"/>
  <c r="E32" i="18"/>
  <c r="D32" i="18"/>
  <c r="C32" i="18"/>
  <c r="B32" i="18"/>
  <c r="E31" i="18"/>
  <c r="D31" i="18"/>
  <c r="C31" i="18"/>
  <c r="B31" i="18"/>
  <c r="E30" i="18"/>
  <c r="D30" i="18"/>
  <c r="C30" i="18"/>
  <c r="B30" i="18"/>
  <c r="E29" i="18"/>
  <c r="D29" i="18"/>
  <c r="C29" i="18"/>
  <c r="B29" i="18"/>
  <c r="E28" i="18"/>
  <c r="D28" i="18"/>
  <c r="C28" i="18"/>
  <c r="B28" i="18"/>
  <c r="E27" i="18"/>
  <c r="D27" i="18"/>
  <c r="C27" i="18"/>
  <c r="B27" i="18"/>
  <c r="E26" i="18"/>
  <c r="D26" i="18"/>
  <c r="C26" i="18"/>
  <c r="B26" i="18"/>
  <c r="E25" i="18"/>
  <c r="D25" i="18"/>
  <c r="C25" i="18"/>
  <c r="B25" i="18"/>
  <c r="E24" i="18"/>
  <c r="D24" i="18"/>
  <c r="C24" i="18"/>
  <c r="B24" i="18"/>
  <c r="E23" i="18"/>
  <c r="D23" i="18"/>
  <c r="C23" i="18"/>
  <c r="B23" i="18"/>
  <c r="E22" i="18"/>
  <c r="D22" i="18"/>
  <c r="C22" i="18"/>
  <c r="B22" i="18"/>
  <c r="E21" i="18"/>
  <c r="D21" i="18"/>
  <c r="C21" i="18"/>
  <c r="B21" i="18"/>
  <c r="E20" i="18"/>
  <c r="D20" i="18"/>
  <c r="C20" i="18"/>
  <c r="B20" i="18"/>
  <c r="E19" i="18"/>
  <c r="D19" i="18"/>
  <c r="C19" i="18"/>
  <c r="B19" i="18"/>
  <c r="E18" i="18"/>
  <c r="D18" i="18"/>
  <c r="C18" i="18"/>
  <c r="B18" i="18"/>
  <c r="E17" i="18"/>
  <c r="D17" i="18"/>
  <c r="C17" i="18"/>
  <c r="B17" i="18"/>
  <c r="E16" i="18"/>
  <c r="D16" i="18"/>
  <c r="C16" i="18"/>
  <c r="B16" i="18"/>
  <c r="E15" i="18"/>
  <c r="D15" i="18"/>
  <c r="C15" i="18"/>
  <c r="B15" i="18"/>
  <c r="E14" i="18"/>
  <c r="D14" i="18"/>
  <c r="C14" i="18"/>
  <c r="B14" i="18"/>
  <c r="E13" i="18"/>
  <c r="D13" i="18"/>
  <c r="C13" i="18"/>
  <c r="B13" i="18"/>
  <c r="E12" i="18"/>
  <c r="D12" i="18"/>
  <c r="C12" i="18"/>
  <c r="B12" i="18"/>
  <c r="E11" i="18"/>
  <c r="D11" i="18"/>
  <c r="C11" i="18"/>
  <c r="B11" i="18"/>
  <c r="E10" i="18"/>
  <c r="D10" i="18"/>
  <c r="C10" i="18"/>
  <c r="B10" i="18"/>
  <c r="E9" i="18"/>
  <c r="D9" i="18"/>
  <c r="C9" i="18"/>
  <c r="B9" i="18"/>
  <c r="E8" i="18"/>
  <c r="D8" i="18"/>
  <c r="C8" i="18"/>
  <c r="B8" i="18"/>
  <c r="E7" i="18"/>
  <c r="D7" i="18"/>
  <c r="C7" i="18"/>
  <c r="B7" i="18"/>
  <c r="E6" i="18"/>
  <c r="D6" i="18"/>
  <c r="C6" i="18"/>
  <c r="B6" i="18"/>
  <c r="H1318" i="5"/>
  <c r="H1304" i="5"/>
  <c r="C5" i="30"/>
  <c r="C6" i="30"/>
  <c r="C7" i="30"/>
  <c r="C8" i="30"/>
  <c r="C9" i="30"/>
  <c r="C10" i="30"/>
  <c r="C11" i="30"/>
  <c r="Z11" i="29"/>
  <c r="AA11" i="29"/>
  <c r="AB11" i="29"/>
  <c r="AC11" i="29"/>
  <c r="AD11" i="29"/>
  <c r="AE11" i="29"/>
  <c r="AF11" i="29"/>
  <c r="AG11" i="29"/>
  <c r="AH11" i="29"/>
  <c r="AI11" i="29"/>
  <c r="AJ11" i="29"/>
  <c r="D68" i="29" l="1"/>
  <c r="W14" i="29" s="1"/>
  <c r="D63" i="29"/>
  <c r="V14" i="29" s="1"/>
  <c r="D58" i="29"/>
  <c r="U14" i="29" s="1"/>
  <c r="D53" i="29"/>
  <c r="T14" i="29" s="1"/>
  <c r="D48" i="29"/>
  <c r="S14" i="29" s="1"/>
  <c r="D43" i="29"/>
  <c r="R14" i="29" s="1"/>
  <c r="D38" i="29"/>
  <c r="Q14" i="29" s="1"/>
  <c r="D33" i="29"/>
  <c r="D28" i="29"/>
  <c r="O14" i="29" s="1"/>
  <c r="D23" i="29"/>
  <c r="D18" i="29"/>
  <c r="M14" i="29" s="1"/>
  <c r="Y8" i="29"/>
  <c r="Y7" i="29"/>
  <c r="N14" i="29" l="1"/>
  <c r="P14" i="29"/>
  <c r="J4" i="29"/>
  <c r="E5" i="29"/>
  <c r="C6" i="28" l="1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3" i="28"/>
  <c r="C194" i="28"/>
  <c r="C195" i="28"/>
  <c r="C196" i="28"/>
  <c r="C197" i="28"/>
  <c r="C5" i="28"/>
  <c r="L63" i="5"/>
  <c r="K63" i="5"/>
  <c r="M63" i="5" s="1"/>
  <c r="L59" i="5"/>
  <c r="K59" i="5"/>
  <c r="M59" i="5" s="1"/>
  <c r="L41" i="5"/>
  <c r="K41" i="5"/>
  <c r="M41" i="5" s="1"/>
  <c r="L22" i="5"/>
  <c r="K22" i="5"/>
  <c r="M22" i="5" s="1"/>
  <c r="L106" i="5" l="1"/>
  <c r="K106" i="5"/>
  <c r="M106" i="5" s="1"/>
  <c r="L103" i="5"/>
  <c r="K103" i="5"/>
  <c r="M103" i="5" s="1"/>
  <c r="L102" i="5"/>
  <c r="K102" i="5"/>
  <c r="M102" i="5" s="1"/>
  <c r="L110" i="5"/>
  <c r="K110" i="5"/>
  <c r="M110" i="5" s="1"/>
  <c r="S5" i="5" l="1"/>
  <c r="Q5" i="5"/>
  <c r="V6" i="5"/>
  <c r="W6" i="5"/>
  <c r="V7" i="5"/>
  <c r="W7" i="5"/>
  <c r="V8" i="5"/>
  <c r="W8" i="5"/>
  <c r="V9" i="5"/>
  <c r="W9" i="5"/>
  <c r="V10" i="5"/>
  <c r="W10" i="5"/>
  <c r="V11" i="5"/>
  <c r="W11" i="5"/>
  <c r="V12" i="5"/>
  <c r="W12" i="5"/>
  <c r="V13" i="5"/>
  <c r="W13" i="5"/>
  <c r="V14" i="5"/>
  <c r="W14" i="5"/>
  <c r="V15" i="5"/>
  <c r="W15" i="5"/>
  <c r="V16" i="5"/>
  <c r="W16" i="5"/>
  <c r="V17" i="5"/>
  <c r="W17" i="5"/>
  <c r="V18" i="5"/>
  <c r="W18" i="5"/>
  <c r="V19" i="5"/>
  <c r="W19" i="5"/>
  <c r="V20" i="5"/>
  <c r="W20" i="5"/>
  <c r="V21" i="5"/>
  <c r="W21" i="5"/>
  <c r="V22" i="5"/>
  <c r="W22" i="5"/>
  <c r="V23" i="5"/>
  <c r="W23" i="5"/>
  <c r="V24" i="5"/>
  <c r="W24" i="5"/>
  <c r="V25" i="5"/>
  <c r="W25" i="5"/>
  <c r="V26" i="5"/>
  <c r="W26" i="5"/>
  <c r="V27" i="5"/>
  <c r="W27" i="5"/>
  <c r="V28" i="5"/>
  <c r="W28" i="5"/>
  <c r="V29" i="5"/>
  <c r="W29" i="5"/>
  <c r="V30" i="5"/>
  <c r="W30" i="5"/>
  <c r="V31" i="5"/>
  <c r="W31" i="5"/>
  <c r="V32" i="5"/>
  <c r="W32" i="5"/>
  <c r="V33" i="5"/>
  <c r="W33" i="5"/>
  <c r="V34" i="5"/>
  <c r="W34" i="5"/>
  <c r="V35" i="5"/>
  <c r="W35" i="5"/>
  <c r="V36" i="5"/>
  <c r="W36" i="5"/>
  <c r="V37" i="5"/>
  <c r="W37" i="5"/>
  <c r="V38" i="5"/>
  <c r="W38" i="5"/>
  <c r="V39" i="5"/>
  <c r="W39" i="5"/>
  <c r="V40" i="5"/>
  <c r="W40" i="5"/>
  <c r="V41" i="5"/>
  <c r="W41" i="5"/>
  <c r="V42" i="5"/>
  <c r="W42" i="5"/>
  <c r="V43" i="5"/>
  <c r="W43" i="5"/>
  <c r="V44" i="5"/>
  <c r="W44" i="5"/>
  <c r="V45" i="5"/>
  <c r="W45" i="5"/>
  <c r="V46" i="5"/>
  <c r="W46" i="5"/>
  <c r="V47" i="5"/>
  <c r="W47" i="5"/>
  <c r="V48" i="5"/>
  <c r="W48" i="5"/>
  <c r="V49" i="5"/>
  <c r="W49" i="5"/>
  <c r="V50" i="5"/>
  <c r="W50" i="5"/>
  <c r="V51" i="5"/>
  <c r="W51" i="5"/>
  <c r="V52" i="5"/>
  <c r="W52" i="5"/>
  <c r="V53" i="5"/>
  <c r="W53" i="5"/>
  <c r="V54" i="5"/>
  <c r="W54" i="5"/>
  <c r="V55" i="5"/>
  <c r="W55" i="5"/>
  <c r="V56" i="5"/>
  <c r="W56" i="5"/>
  <c r="V57" i="5"/>
  <c r="W57" i="5"/>
  <c r="V58" i="5"/>
  <c r="W58" i="5"/>
  <c r="V59" i="5"/>
  <c r="W59" i="5"/>
  <c r="V60" i="5"/>
  <c r="W60" i="5"/>
  <c r="V61" i="5"/>
  <c r="W61" i="5"/>
  <c r="V62" i="5"/>
  <c r="W62" i="5"/>
  <c r="V63" i="5"/>
  <c r="W63" i="5"/>
  <c r="V64" i="5"/>
  <c r="W64" i="5"/>
  <c r="V65" i="5"/>
  <c r="W65" i="5"/>
  <c r="V66" i="5"/>
  <c r="W66" i="5"/>
  <c r="V67" i="5"/>
  <c r="W67" i="5"/>
  <c r="V68" i="5"/>
  <c r="W68" i="5"/>
  <c r="V69" i="5"/>
  <c r="W69" i="5"/>
  <c r="V70" i="5"/>
  <c r="W70" i="5"/>
  <c r="V71" i="5"/>
  <c r="W71" i="5"/>
  <c r="V72" i="5"/>
  <c r="W72" i="5"/>
  <c r="V73" i="5"/>
  <c r="W73" i="5"/>
  <c r="V74" i="5"/>
  <c r="W74" i="5"/>
  <c r="V75" i="5"/>
  <c r="W75" i="5"/>
  <c r="V76" i="5"/>
  <c r="W76" i="5"/>
  <c r="V77" i="5"/>
  <c r="W77" i="5"/>
  <c r="V78" i="5"/>
  <c r="W78" i="5"/>
  <c r="V79" i="5"/>
  <c r="W79" i="5"/>
  <c r="V80" i="5"/>
  <c r="W80" i="5"/>
  <c r="V81" i="5"/>
  <c r="W81" i="5"/>
  <c r="V82" i="5"/>
  <c r="W82" i="5"/>
  <c r="V83" i="5"/>
  <c r="W83" i="5"/>
  <c r="V84" i="5"/>
  <c r="W84" i="5"/>
  <c r="V85" i="5"/>
  <c r="W85" i="5"/>
  <c r="V86" i="5"/>
  <c r="W86" i="5"/>
  <c r="V87" i="5"/>
  <c r="W87" i="5"/>
  <c r="V88" i="5"/>
  <c r="W88" i="5"/>
  <c r="V89" i="5"/>
  <c r="W89" i="5"/>
  <c r="V90" i="5"/>
  <c r="W90" i="5"/>
  <c r="V91" i="5"/>
  <c r="W91" i="5"/>
  <c r="V92" i="5"/>
  <c r="W92" i="5"/>
  <c r="V93" i="5"/>
  <c r="W93" i="5"/>
  <c r="V94" i="5"/>
  <c r="W94" i="5"/>
  <c r="V95" i="5"/>
  <c r="W95" i="5"/>
  <c r="V96" i="5"/>
  <c r="W96" i="5"/>
  <c r="V97" i="5"/>
  <c r="W97" i="5"/>
  <c r="V98" i="5"/>
  <c r="W98" i="5"/>
  <c r="V99" i="5"/>
  <c r="W99" i="5"/>
  <c r="V100" i="5"/>
  <c r="W100" i="5"/>
  <c r="V101" i="5"/>
  <c r="W101" i="5"/>
  <c r="V102" i="5"/>
  <c r="W102" i="5"/>
  <c r="V103" i="5"/>
  <c r="W103" i="5"/>
  <c r="V104" i="5"/>
  <c r="W104" i="5"/>
  <c r="V105" i="5"/>
  <c r="W105" i="5"/>
  <c r="V106" i="5"/>
  <c r="W106" i="5"/>
  <c r="V107" i="5"/>
  <c r="W107" i="5"/>
  <c r="V108" i="5"/>
  <c r="W108" i="5"/>
  <c r="V109" i="5"/>
  <c r="W109" i="5"/>
  <c r="V110" i="5"/>
  <c r="W110" i="5"/>
  <c r="V111" i="5"/>
  <c r="W111" i="5"/>
  <c r="V112" i="5"/>
  <c r="W112" i="5"/>
  <c r="V113" i="5"/>
  <c r="W113" i="5"/>
  <c r="V114" i="5"/>
  <c r="W114" i="5"/>
  <c r="V115" i="5"/>
  <c r="W115" i="5"/>
  <c r="V116" i="5"/>
  <c r="W116" i="5"/>
  <c r="V117" i="5"/>
  <c r="W117" i="5"/>
  <c r="V118" i="5"/>
  <c r="W118" i="5"/>
  <c r="V119" i="5"/>
  <c r="W119" i="5"/>
  <c r="V120" i="5"/>
  <c r="W120" i="5"/>
  <c r="V121" i="5"/>
  <c r="W121" i="5"/>
  <c r="V122" i="5"/>
  <c r="W122" i="5"/>
  <c r="V123" i="5"/>
  <c r="W123" i="5"/>
  <c r="V124" i="5"/>
  <c r="W124" i="5"/>
  <c r="V125" i="5"/>
  <c r="W125" i="5"/>
  <c r="V126" i="5"/>
  <c r="W126" i="5"/>
  <c r="V127" i="5"/>
  <c r="W127" i="5"/>
  <c r="V128" i="5"/>
  <c r="W128" i="5"/>
  <c r="V129" i="5"/>
  <c r="W129" i="5"/>
  <c r="V130" i="5"/>
  <c r="W130" i="5"/>
  <c r="V131" i="5"/>
  <c r="W131" i="5"/>
  <c r="V132" i="5"/>
  <c r="W132" i="5"/>
  <c r="V133" i="5"/>
  <c r="W133" i="5"/>
  <c r="V134" i="5"/>
  <c r="W134" i="5"/>
  <c r="V135" i="5"/>
  <c r="W135" i="5"/>
  <c r="V136" i="5"/>
  <c r="W136" i="5"/>
  <c r="V137" i="5"/>
  <c r="W137" i="5"/>
  <c r="V138" i="5"/>
  <c r="W138" i="5"/>
  <c r="V139" i="5"/>
  <c r="W139" i="5"/>
  <c r="V140" i="5"/>
  <c r="W140" i="5"/>
  <c r="V141" i="5"/>
  <c r="W141" i="5"/>
  <c r="V142" i="5"/>
  <c r="W142" i="5"/>
  <c r="V143" i="5"/>
  <c r="W143" i="5"/>
  <c r="V144" i="5"/>
  <c r="W144" i="5"/>
  <c r="V145" i="5"/>
  <c r="W145" i="5"/>
  <c r="V146" i="5"/>
  <c r="W146" i="5"/>
  <c r="V147" i="5"/>
  <c r="W147" i="5"/>
  <c r="V148" i="5"/>
  <c r="W148" i="5"/>
  <c r="V149" i="5"/>
  <c r="W149" i="5"/>
  <c r="V150" i="5"/>
  <c r="W150" i="5"/>
  <c r="V151" i="5"/>
  <c r="W151" i="5"/>
  <c r="V152" i="5"/>
  <c r="W152" i="5"/>
  <c r="V153" i="5"/>
  <c r="W153" i="5"/>
  <c r="V154" i="5"/>
  <c r="W154" i="5"/>
  <c r="V155" i="5"/>
  <c r="W155" i="5"/>
  <c r="V156" i="5"/>
  <c r="W156" i="5"/>
  <c r="V157" i="5"/>
  <c r="W157" i="5"/>
  <c r="V158" i="5"/>
  <c r="W158" i="5"/>
  <c r="V159" i="5"/>
  <c r="W159" i="5"/>
  <c r="V160" i="5"/>
  <c r="W160" i="5"/>
  <c r="V161" i="5"/>
  <c r="W161" i="5"/>
  <c r="V162" i="5"/>
  <c r="W162" i="5"/>
  <c r="V163" i="5"/>
  <c r="W163" i="5"/>
  <c r="V164" i="5"/>
  <c r="W164" i="5"/>
  <c r="V165" i="5"/>
  <c r="W165" i="5"/>
  <c r="V166" i="5"/>
  <c r="W166" i="5"/>
  <c r="V167" i="5"/>
  <c r="W167" i="5"/>
  <c r="V168" i="5"/>
  <c r="W168" i="5"/>
  <c r="V169" i="5"/>
  <c r="W169" i="5"/>
  <c r="V170" i="5"/>
  <c r="W170" i="5"/>
  <c r="V171" i="5"/>
  <c r="W171" i="5"/>
  <c r="V172" i="5"/>
  <c r="W172" i="5"/>
  <c r="V173" i="5"/>
  <c r="W173" i="5"/>
  <c r="V174" i="5"/>
  <c r="W174" i="5"/>
  <c r="V175" i="5"/>
  <c r="W175" i="5"/>
  <c r="V176" i="5"/>
  <c r="W176" i="5"/>
  <c r="V177" i="5"/>
  <c r="W177" i="5"/>
  <c r="V178" i="5"/>
  <c r="W178" i="5"/>
  <c r="V179" i="5"/>
  <c r="W179" i="5"/>
  <c r="V180" i="5"/>
  <c r="W180" i="5"/>
  <c r="V181" i="5"/>
  <c r="W181" i="5"/>
  <c r="V182" i="5"/>
  <c r="W182" i="5"/>
  <c r="V183" i="5"/>
  <c r="W183" i="5"/>
  <c r="V184" i="5"/>
  <c r="W184" i="5"/>
  <c r="V185" i="5"/>
  <c r="W185" i="5"/>
  <c r="V186" i="5"/>
  <c r="W186" i="5"/>
  <c r="V187" i="5"/>
  <c r="W187" i="5"/>
  <c r="V188" i="5"/>
  <c r="W188" i="5"/>
  <c r="V189" i="5"/>
  <c r="W189" i="5"/>
  <c r="V190" i="5"/>
  <c r="W190" i="5"/>
  <c r="V191" i="5"/>
  <c r="W191" i="5"/>
  <c r="V192" i="5"/>
  <c r="W192" i="5"/>
  <c r="V193" i="5"/>
  <c r="W193" i="5"/>
  <c r="V194" i="5"/>
  <c r="W194" i="5"/>
  <c r="V195" i="5"/>
  <c r="W195" i="5"/>
  <c r="V196" i="5"/>
  <c r="W196" i="5"/>
  <c r="V197" i="5"/>
  <c r="W197" i="5"/>
  <c r="V198" i="5"/>
  <c r="W198" i="5"/>
  <c r="V199" i="5"/>
  <c r="W199" i="5"/>
  <c r="V200" i="5"/>
  <c r="W200" i="5"/>
  <c r="V201" i="5"/>
  <c r="W201" i="5"/>
  <c r="V202" i="5"/>
  <c r="W202" i="5"/>
  <c r="V203" i="5"/>
  <c r="W203" i="5"/>
  <c r="V204" i="5"/>
  <c r="W204" i="5"/>
  <c r="V205" i="5"/>
  <c r="W205" i="5"/>
  <c r="V206" i="5"/>
  <c r="W206" i="5"/>
  <c r="V207" i="5"/>
  <c r="W207" i="5"/>
  <c r="V208" i="5"/>
  <c r="W208" i="5"/>
  <c r="V209" i="5"/>
  <c r="W209" i="5"/>
  <c r="V210" i="5"/>
  <c r="W210" i="5"/>
  <c r="V211" i="5"/>
  <c r="W211" i="5"/>
  <c r="V212" i="5"/>
  <c r="W212" i="5"/>
  <c r="V213" i="5"/>
  <c r="W213" i="5"/>
  <c r="V214" i="5"/>
  <c r="W214" i="5"/>
  <c r="V215" i="5"/>
  <c r="W215" i="5"/>
  <c r="V216" i="5"/>
  <c r="W216" i="5"/>
  <c r="V217" i="5"/>
  <c r="W217" i="5"/>
  <c r="V218" i="5"/>
  <c r="W218" i="5"/>
  <c r="V219" i="5"/>
  <c r="W219" i="5"/>
  <c r="V220" i="5"/>
  <c r="W220" i="5"/>
  <c r="V221" i="5"/>
  <c r="W221" i="5"/>
  <c r="V222" i="5"/>
  <c r="W222" i="5"/>
  <c r="V223" i="5"/>
  <c r="W223" i="5"/>
  <c r="V224" i="5"/>
  <c r="W224" i="5"/>
  <c r="V225" i="5"/>
  <c r="W225" i="5"/>
  <c r="V226" i="5"/>
  <c r="W226" i="5"/>
  <c r="V227" i="5"/>
  <c r="W227" i="5"/>
  <c r="V228" i="5"/>
  <c r="W228" i="5"/>
  <c r="V229" i="5"/>
  <c r="W229" i="5"/>
  <c r="V230" i="5"/>
  <c r="W230" i="5"/>
  <c r="V231" i="5"/>
  <c r="W231" i="5"/>
  <c r="V232" i="5"/>
  <c r="W232" i="5"/>
  <c r="V233" i="5"/>
  <c r="W233" i="5"/>
  <c r="V234" i="5"/>
  <c r="W234" i="5"/>
  <c r="V235" i="5"/>
  <c r="W235" i="5"/>
  <c r="V236" i="5"/>
  <c r="W236" i="5"/>
  <c r="V237" i="5"/>
  <c r="W237" i="5"/>
  <c r="V238" i="5"/>
  <c r="W238" i="5"/>
  <c r="V239" i="5"/>
  <c r="W239" i="5"/>
  <c r="V240" i="5"/>
  <c r="W240" i="5"/>
  <c r="V241" i="5"/>
  <c r="W241" i="5"/>
  <c r="V242" i="5"/>
  <c r="W242" i="5"/>
  <c r="V243" i="5"/>
  <c r="W243" i="5"/>
  <c r="V244" i="5"/>
  <c r="W244" i="5"/>
  <c r="V245" i="5"/>
  <c r="W245" i="5"/>
  <c r="V246" i="5"/>
  <c r="W246" i="5"/>
  <c r="V247" i="5"/>
  <c r="W247" i="5"/>
  <c r="V248" i="5"/>
  <c r="W248" i="5"/>
  <c r="V249" i="5"/>
  <c r="W249" i="5"/>
  <c r="V250" i="5"/>
  <c r="W250" i="5"/>
  <c r="V251" i="5"/>
  <c r="W251" i="5"/>
  <c r="V252" i="5"/>
  <c r="W252" i="5"/>
  <c r="V253" i="5"/>
  <c r="W253" i="5"/>
  <c r="V254" i="5"/>
  <c r="W254" i="5"/>
  <c r="V255" i="5"/>
  <c r="W255" i="5"/>
  <c r="V256" i="5"/>
  <c r="W256" i="5"/>
  <c r="V257" i="5"/>
  <c r="W257" i="5"/>
  <c r="V258" i="5"/>
  <c r="W258" i="5"/>
  <c r="V259" i="5"/>
  <c r="W259" i="5"/>
  <c r="V260" i="5"/>
  <c r="W260" i="5"/>
  <c r="V261" i="5"/>
  <c r="W261" i="5"/>
  <c r="V262" i="5"/>
  <c r="W262" i="5"/>
  <c r="V263" i="5"/>
  <c r="W263" i="5"/>
  <c r="V264" i="5"/>
  <c r="W264" i="5"/>
  <c r="V265" i="5"/>
  <c r="W265" i="5"/>
  <c r="V266" i="5"/>
  <c r="W266" i="5"/>
  <c r="V267" i="5"/>
  <c r="W267" i="5"/>
  <c r="V268" i="5"/>
  <c r="W268" i="5"/>
  <c r="V269" i="5"/>
  <c r="W269" i="5"/>
  <c r="V270" i="5"/>
  <c r="W270" i="5"/>
  <c r="V271" i="5"/>
  <c r="W271" i="5"/>
  <c r="V272" i="5"/>
  <c r="W272" i="5"/>
  <c r="V273" i="5"/>
  <c r="W273" i="5"/>
  <c r="V274" i="5"/>
  <c r="W274" i="5"/>
  <c r="V275" i="5"/>
  <c r="W275" i="5"/>
  <c r="V276" i="5"/>
  <c r="W276" i="5"/>
  <c r="V277" i="5"/>
  <c r="W277" i="5"/>
  <c r="V278" i="5"/>
  <c r="W278" i="5"/>
  <c r="V279" i="5"/>
  <c r="W279" i="5"/>
  <c r="V280" i="5"/>
  <c r="W280" i="5"/>
  <c r="V281" i="5"/>
  <c r="W281" i="5"/>
  <c r="V282" i="5"/>
  <c r="W282" i="5"/>
  <c r="V283" i="5"/>
  <c r="W283" i="5"/>
  <c r="V284" i="5"/>
  <c r="W284" i="5"/>
  <c r="V285" i="5"/>
  <c r="W285" i="5"/>
  <c r="V286" i="5"/>
  <c r="W286" i="5"/>
  <c r="V287" i="5"/>
  <c r="W287" i="5"/>
  <c r="V288" i="5"/>
  <c r="W288" i="5"/>
  <c r="V289" i="5"/>
  <c r="W289" i="5"/>
  <c r="V290" i="5"/>
  <c r="W290" i="5"/>
  <c r="V291" i="5"/>
  <c r="W291" i="5"/>
  <c r="V292" i="5"/>
  <c r="W292" i="5"/>
  <c r="V293" i="5"/>
  <c r="W293" i="5"/>
  <c r="V294" i="5"/>
  <c r="W294" i="5"/>
  <c r="V295" i="5"/>
  <c r="W295" i="5"/>
  <c r="V296" i="5"/>
  <c r="W296" i="5"/>
  <c r="V297" i="5"/>
  <c r="W297" i="5"/>
  <c r="V298" i="5"/>
  <c r="W298" i="5"/>
  <c r="V299" i="5"/>
  <c r="W299" i="5"/>
  <c r="V300" i="5"/>
  <c r="W300" i="5"/>
  <c r="V301" i="5"/>
  <c r="W301" i="5"/>
  <c r="V302" i="5"/>
  <c r="W302" i="5"/>
  <c r="V303" i="5"/>
  <c r="W303" i="5"/>
  <c r="V304" i="5"/>
  <c r="W304" i="5"/>
  <c r="V305" i="5"/>
  <c r="W305" i="5"/>
  <c r="V306" i="5"/>
  <c r="W306" i="5"/>
  <c r="V307" i="5"/>
  <c r="W307" i="5"/>
  <c r="V308" i="5"/>
  <c r="W308" i="5"/>
  <c r="V309" i="5"/>
  <c r="W309" i="5"/>
  <c r="V310" i="5"/>
  <c r="W310" i="5"/>
  <c r="V311" i="5"/>
  <c r="W311" i="5"/>
  <c r="V312" i="5"/>
  <c r="W312" i="5"/>
  <c r="V313" i="5"/>
  <c r="W313" i="5"/>
  <c r="V314" i="5"/>
  <c r="W314" i="5"/>
  <c r="V315" i="5"/>
  <c r="W315" i="5"/>
  <c r="V316" i="5"/>
  <c r="W316" i="5"/>
  <c r="V317" i="5"/>
  <c r="W317" i="5"/>
  <c r="V318" i="5"/>
  <c r="W318" i="5"/>
  <c r="V319" i="5"/>
  <c r="W319" i="5"/>
  <c r="V320" i="5"/>
  <c r="W320" i="5"/>
  <c r="V321" i="5"/>
  <c r="W321" i="5"/>
  <c r="V322" i="5"/>
  <c r="W322" i="5"/>
  <c r="V323" i="5"/>
  <c r="W323" i="5"/>
  <c r="V324" i="5"/>
  <c r="W324" i="5"/>
  <c r="V325" i="5"/>
  <c r="W325" i="5"/>
  <c r="V326" i="5"/>
  <c r="W326" i="5"/>
  <c r="V327" i="5"/>
  <c r="W327" i="5"/>
  <c r="V328" i="5"/>
  <c r="W328" i="5"/>
  <c r="V329" i="5"/>
  <c r="W329" i="5"/>
  <c r="V330" i="5"/>
  <c r="W330" i="5"/>
  <c r="V331" i="5"/>
  <c r="W331" i="5"/>
  <c r="V332" i="5"/>
  <c r="W332" i="5"/>
  <c r="V333" i="5"/>
  <c r="W333" i="5"/>
  <c r="V334" i="5"/>
  <c r="W334" i="5"/>
  <c r="V335" i="5"/>
  <c r="W335" i="5"/>
  <c r="V336" i="5"/>
  <c r="W336" i="5"/>
  <c r="V337" i="5"/>
  <c r="W337" i="5"/>
  <c r="V338" i="5"/>
  <c r="W338" i="5"/>
  <c r="V339" i="5"/>
  <c r="W339" i="5"/>
  <c r="V340" i="5"/>
  <c r="W340" i="5"/>
  <c r="V341" i="5"/>
  <c r="W341" i="5"/>
  <c r="V342" i="5"/>
  <c r="W342" i="5"/>
  <c r="V343" i="5"/>
  <c r="W343" i="5"/>
  <c r="V344" i="5"/>
  <c r="W344" i="5"/>
  <c r="V345" i="5"/>
  <c r="W345" i="5"/>
  <c r="V346" i="5"/>
  <c r="W346" i="5"/>
  <c r="V347" i="5"/>
  <c r="W347" i="5"/>
  <c r="V348" i="5"/>
  <c r="W348" i="5"/>
  <c r="V349" i="5"/>
  <c r="W349" i="5"/>
  <c r="V350" i="5"/>
  <c r="W350" i="5"/>
  <c r="V351" i="5"/>
  <c r="W351" i="5"/>
  <c r="V352" i="5"/>
  <c r="W352" i="5"/>
  <c r="V353" i="5"/>
  <c r="W353" i="5"/>
  <c r="V354" i="5"/>
  <c r="W354" i="5"/>
  <c r="V355" i="5"/>
  <c r="W355" i="5"/>
  <c r="V356" i="5"/>
  <c r="W356" i="5"/>
  <c r="V357" i="5"/>
  <c r="W357" i="5"/>
  <c r="V358" i="5"/>
  <c r="W358" i="5"/>
  <c r="V359" i="5"/>
  <c r="W359" i="5"/>
  <c r="V360" i="5"/>
  <c r="W360" i="5"/>
  <c r="V361" i="5"/>
  <c r="W361" i="5"/>
  <c r="V362" i="5"/>
  <c r="W362" i="5"/>
  <c r="V363" i="5"/>
  <c r="W363" i="5"/>
  <c r="V364" i="5"/>
  <c r="W364" i="5"/>
  <c r="V365" i="5"/>
  <c r="W365" i="5"/>
  <c r="V366" i="5"/>
  <c r="W366" i="5"/>
  <c r="V367" i="5"/>
  <c r="W367" i="5"/>
  <c r="V368" i="5"/>
  <c r="W368" i="5"/>
  <c r="V369" i="5"/>
  <c r="W369" i="5"/>
  <c r="V370" i="5"/>
  <c r="W370" i="5"/>
  <c r="V371" i="5"/>
  <c r="W371" i="5"/>
  <c r="V372" i="5"/>
  <c r="W372" i="5"/>
  <c r="V373" i="5"/>
  <c r="W373" i="5"/>
  <c r="V374" i="5"/>
  <c r="W374" i="5"/>
  <c r="V375" i="5"/>
  <c r="W375" i="5"/>
  <c r="V376" i="5"/>
  <c r="W376" i="5"/>
  <c r="V377" i="5"/>
  <c r="W377" i="5"/>
  <c r="V378" i="5"/>
  <c r="W378" i="5"/>
  <c r="V379" i="5"/>
  <c r="W379" i="5"/>
  <c r="V380" i="5"/>
  <c r="W380" i="5"/>
  <c r="V381" i="5"/>
  <c r="W381" i="5"/>
  <c r="V382" i="5"/>
  <c r="W382" i="5"/>
  <c r="V383" i="5"/>
  <c r="W383" i="5"/>
  <c r="V384" i="5"/>
  <c r="W384" i="5"/>
  <c r="V385" i="5"/>
  <c r="W385" i="5"/>
  <c r="V386" i="5"/>
  <c r="W386" i="5"/>
  <c r="V387" i="5"/>
  <c r="W387" i="5"/>
  <c r="V388" i="5"/>
  <c r="W388" i="5"/>
  <c r="V389" i="5"/>
  <c r="W389" i="5"/>
  <c r="V390" i="5"/>
  <c r="W390" i="5"/>
  <c r="V391" i="5"/>
  <c r="W391" i="5"/>
  <c r="V392" i="5"/>
  <c r="W392" i="5"/>
  <c r="V393" i="5"/>
  <c r="W393" i="5"/>
  <c r="V394" i="5"/>
  <c r="W394" i="5"/>
  <c r="V395" i="5"/>
  <c r="W395" i="5"/>
  <c r="V396" i="5"/>
  <c r="W396" i="5"/>
  <c r="V397" i="5"/>
  <c r="W397" i="5"/>
  <c r="V398" i="5"/>
  <c r="W398" i="5"/>
  <c r="V399" i="5"/>
  <c r="W399" i="5"/>
  <c r="V400" i="5"/>
  <c r="W400" i="5"/>
  <c r="V401" i="5"/>
  <c r="W401" i="5"/>
  <c r="V402" i="5"/>
  <c r="W402" i="5"/>
  <c r="V403" i="5"/>
  <c r="W403" i="5"/>
  <c r="V404" i="5"/>
  <c r="W404" i="5"/>
  <c r="V405" i="5"/>
  <c r="W405" i="5"/>
  <c r="V406" i="5"/>
  <c r="W406" i="5"/>
  <c r="V407" i="5"/>
  <c r="W407" i="5"/>
  <c r="V408" i="5"/>
  <c r="W408" i="5"/>
  <c r="V409" i="5"/>
  <c r="W409" i="5"/>
  <c r="V410" i="5"/>
  <c r="W410" i="5"/>
  <c r="V411" i="5"/>
  <c r="W411" i="5"/>
  <c r="V412" i="5"/>
  <c r="W412" i="5"/>
  <c r="V413" i="5"/>
  <c r="W413" i="5"/>
  <c r="V414" i="5"/>
  <c r="W414" i="5"/>
  <c r="V415" i="5"/>
  <c r="W415" i="5"/>
  <c r="V416" i="5"/>
  <c r="W416" i="5"/>
  <c r="V417" i="5"/>
  <c r="W417" i="5"/>
  <c r="V418" i="5"/>
  <c r="W418" i="5"/>
  <c r="V419" i="5"/>
  <c r="W419" i="5"/>
  <c r="V420" i="5"/>
  <c r="W420" i="5"/>
  <c r="V421" i="5"/>
  <c r="W421" i="5"/>
  <c r="V422" i="5"/>
  <c r="W422" i="5"/>
  <c r="V423" i="5"/>
  <c r="W423" i="5"/>
  <c r="V424" i="5"/>
  <c r="W424" i="5"/>
  <c r="V425" i="5"/>
  <c r="W425" i="5"/>
  <c r="V426" i="5"/>
  <c r="W426" i="5"/>
  <c r="V427" i="5"/>
  <c r="W427" i="5"/>
  <c r="V428" i="5"/>
  <c r="W428" i="5"/>
  <c r="V429" i="5"/>
  <c r="W429" i="5"/>
  <c r="V430" i="5"/>
  <c r="W430" i="5"/>
  <c r="V431" i="5"/>
  <c r="W431" i="5"/>
  <c r="V432" i="5"/>
  <c r="W432" i="5"/>
  <c r="V433" i="5"/>
  <c r="W433" i="5"/>
  <c r="V434" i="5"/>
  <c r="W434" i="5"/>
  <c r="V435" i="5"/>
  <c r="W435" i="5"/>
  <c r="V436" i="5"/>
  <c r="W436" i="5"/>
  <c r="V437" i="5"/>
  <c r="W437" i="5"/>
  <c r="V438" i="5"/>
  <c r="W438" i="5"/>
  <c r="V439" i="5"/>
  <c r="W439" i="5"/>
  <c r="V440" i="5"/>
  <c r="W440" i="5"/>
  <c r="V441" i="5"/>
  <c r="W441" i="5"/>
  <c r="V442" i="5"/>
  <c r="W442" i="5"/>
  <c r="V443" i="5"/>
  <c r="W443" i="5"/>
  <c r="V444" i="5"/>
  <c r="W444" i="5"/>
  <c r="V445" i="5"/>
  <c r="W445" i="5"/>
  <c r="V446" i="5"/>
  <c r="W446" i="5"/>
  <c r="V447" i="5"/>
  <c r="W447" i="5"/>
  <c r="V448" i="5"/>
  <c r="W448" i="5"/>
  <c r="V449" i="5"/>
  <c r="W449" i="5"/>
  <c r="V450" i="5"/>
  <c r="W450" i="5"/>
  <c r="V451" i="5"/>
  <c r="W451" i="5"/>
  <c r="V452" i="5"/>
  <c r="W452" i="5"/>
  <c r="V453" i="5"/>
  <c r="W453" i="5"/>
  <c r="V454" i="5"/>
  <c r="W454" i="5"/>
  <c r="V455" i="5"/>
  <c r="W455" i="5"/>
  <c r="V456" i="5"/>
  <c r="W456" i="5"/>
  <c r="V457" i="5"/>
  <c r="W457" i="5"/>
  <c r="V458" i="5"/>
  <c r="W458" i="5"/>
  <c r="V459" i="5"/>
  <c r="W459" i="5"/>
  <c r="V460" i="5"/>
  <c r="W460" i="5"/>
  <c r="V461" i="5"/>
  <c r="W461" i="5"/>
  <c r="V462" i="5"/>
  <c r="W462" i="5"/>
  <c r="V463" i="5"/>
  <c r="W463" i="5"/>
  <c r="V464" i="5"/>
  <c r="W464" i="5"/>
  <c r="V465" i="5"/>
  <c r="W465" i="5"/>
  <c r="V466" i="5"/>
  <c r="W466" i="5"/>
  <c r="V467" i="5"/>
  <c r="W467" i="5"/>
  <c r="V468" i="5"/>
  <c r="W468" i="5"/>
  <c r="V469" i="5"/>
  <c r="W469" i="5"/>
  <c r="V470" i="5"/>
  <c r="W470" i="5"/>
  <c r="V471" i="5"/>
  <c r="W471" i="5"/>
  <c r="V472" i="5"/>
  <c r="W472" i="5"/>
  <c r="V473" i="5"/>
  <c r="W473" i="5"/>
  <c r="V474" i="5"/>
  <c r="W474" i="5"/>
  <c r="V475" i="5"/>
  <c r="W475" i="5"/>
  <c r="V476" i="5"/>
  <c r="W476" i="5"/>
  <c r="V477" i="5"/>
  <c r="W477" i="5"/>
  <c r="V478" i="5"/>
  <c r="W478" i="5"/>
  <c r="V479" i="5"/>
  <c r="W479" i="5"/>
  <c r="V480" i="5"/>
  <c r="W480" i="5"/>
  <c r="V481" i="5"/>
  <c r="W481" i="5"/>
  <c r="V482" i="5"/>
  <c r="W482" i="5"/>
  <c r="V483" i="5"/>
  <c r="W483" i="5"/>
  <c r="V484" i="5"/>
  <c r="W484" i="5"/>
  <c r="V485" i="5"/>
  <c r="W485" i="5"/>
  <c r="V486" i="5"/>
  <c r="W486" i="5"/>
  <c r="V487" i="5"/>
  <c r="W487" i="5"/>
  <c r="V488" i="5"/>
  <c r="W488" i="5"/>
  <c r="V489" i="5"/>
  <c r="W489" i="5"/>
  <c r="V490" i="5"/>
  <c r="W490" i="5"/>
  <c r="V491" i="5"/>
  <c r="W491" i="5"/>
  <c r="V492" i="5"/>
  <c r="W492" i="5"/>
  <c r="V493" i="5"/>
  <c r="W493" i="5"/>
  <c r="V494" i="5"/>
  <c r="W494" i="5"/>
  <c r="V495" i="5"/>
  <c r="W495" i="5"/>
  <c r="V496" i="5"/>
  <c r="W496" i="5"/>
  <c r="V497" i="5"/>
  <c r="W497" i="5"/>
  <c r="V498" i="5"/>
  <c r="W498" i="5"/>
  <c r="V499" i="5"/>
  <c r="W499" i="5"/>
  <c r="V500" i="5"/>
  <c r="W500" i="5"/>
  <c r="V501" i="5"/>
  <c r="W501" i="5"/>
  <c r="V502" i="5"/>
  <c r="W502" i="5"/>
  <c r="V503" i="5"/>
  <c r="W503" i="5"/>
  <c r="V504" i="5"/>
  <c r="W504" i="5"/>
  <c r="V505" i="5"/>
  <c r="W505" i="5"/>
  <c r="V506" i="5"/>
  <c r="W506" i="5"/>
  <c r="V507" i="5"/>
  <c r="W507" i="5"/>
  <c r="V508" i="5"/>
  <c r="W508" i="5"/>
  <c r="V509" i="5"/>
  <c r="W509" i="5"/>
  <c r="V510" i="5"/>
  <c r="W510" i="5"/>
  <c r="V511" i="5"/>
  <c r="W511" i="5"/>
  <c r="V512" i="5"/>
  <c r="W512" i="5"/>
  <c r="V513" i="5"/>
  <c r="W513" i="5"/>
  <c r="V514" i="5"/>
  <c r="W514" i="5"/>
  <c r="V515" i="5"/>
  <c r="W515" i="5"/>
  <c r="V516" i="5"/>
  <c r="W516" i="5"/>
  <c r="V517" i="5"/>
  <c r="W517" i="5"/>
  <c r="V518" i="5"/>
  <c r="W518" i="5"/>
  <c r="V519" i="5"/>
  <c r="W519" i="5"/>
  <c r="V520" i="5"/>
  <c r="W520" i="5"/>
  <c r="V521" i="5"/>
  <c r="W521" i="5"/>
  <c r="V522" i="5"/>
  <c r="W522" i="5"/>
  <c r="V523" i="5"/>
  <c r="W523" i="5"/>
  <c r="V524" i="5"/>
  <c r="W524" i="5"/>
  <c r="V525" i="5"/>
  <c r="W525" i="5"/>
  <c r="V526" i="5"/>
  <c r="W526" i="5"/>
  <c r="V527" i="5"/>
  <c r="W527" i="5"/>
  <c r="V528" i="5"/>
  <c r="W528" i="5"/>
  <c r="V529" i="5"/>
  <c r="W529" i="5"/>
  <c r="V530" i="5"/>
  <c r="W530" i="5"/>
  <c r="V531" i="5"/>
  <c r="W531" i="5"/>
  <c r="V532" i="5"/>
  <c r="W532" i="5"/>
  <c r="V533" i="5"/>
  <c r="W533" i="5"/>
  <c r="V534" i="5"/>
  <c r="W534" i="5"/>
  <c r="V535" i="5"/>
  <c r="W535" i="5"/>
  <c r="V536" i="5"/>
  <c r="W536" i="5"/>
  <c r="V537" i="5"/>
  <c r="W537" i="5"/>
  <c r="V538" i="5"/>
  <c r="W538" i="5"/>
  <c r="V539" i="5"/>
  <c r="W539" i="5"/>
  <c r="V540" i="5"/>
  <c r="W540" i="5"/>
  <c r="V541" i="5"/>
  <c r="W541" i="5"/>
  <c r="V542" i="5"/>
  <c r="W542" i="5"/>
  <c r="V543" i="5"/>
  <c r="W543" i="5"/>
  <c r="V544" i="5"/>
  <c r="W544" i="5"/>
  <c r="V545" i="5"/>
  <c r="W545" i="5"/>
  <c r="V546" i="5"/>
  <c r="W546" i="5"/>
  <c r="V547" i="5"/>
  <c r="W547" i="5"/>
  <c r="V548" i="5"/>
  <c r="W548" i="5"/>
  <c r="V549" i="5"/>
  <c r="W549" i="5"/>
  <c r="V550" i="5"/>
  <c r="W550" i="5"/>
  <c r="V551" i="5"/>
  <c r="W551" i="5"/>
  <c r="V552" i="5"/>
  <c r="W552" i="5"/>
  <c r="V553" i="5"/>
  <c r="W553" i="5"/>
  <c r="V554" i="5"/>
  <c r="W554" i="5"/>
  <c r="V555" i="5"/>
  <c r="W555" i="5"/>
  <c r="V556" i="5"/>
  <c r="W556" i="5"/>
  <c r="V557" i="5"/>
  <c r="W557" i="5"/>
  <c r="V558" i="5"/>
  <c r="W558" i="5"/>
  <c r="V559" i="5"/>
  <c r="W559" i="5"/>
  <c r="V560" i="5"/>
  <c r="W560" i="5"/>
  <c r="V561" i="5"/>
  <c r="W561" i="5"/>
  <c r="V562" i="5"/>
  <c r="W562" i="5"/>
  <c r="V563" i="5"/>
  <c r="W563" i="5"/>
  <c r="V564" i="5"/>
  <c r="W564" i="5"/>
  <c r="V565" i="5"/>
  <c r="W565" i="5"/>
  <c r="V566" i="5"/>
  <c r="W566" i="5"/>
  <c r="V567" i="5"/>
  <c r="W567" i="5"/>
  <c r="V568" i="5"/>
  <c r="W568" i="5"/>
  <c r="V569" i="5"/>
  <c r="W569" i="5"/>
  <c r="V570" i="5"/>
  <c r="W570" i="5"/>
  <c r="V571" i="5"/>
  <c r="W571" i="5"/>
  <c r="V572" i="5"/>
  <c r="W572" i="5"/>
  <c r="V573" i="5"/>
  <c r="W573" i="5"/>
  <c r="V574" i="5"/>
  <c r="W574" i="5"/>
  <c r="V575" i="5"/>
  <c r="W575" i="5"/>
  <c r="V576" i="5"/>
  <c r="W576" i="5"/>
  <c r="V577" i="5"/>
  <c r="W577" i="5"/>
  <c r="V578" i="5"/>
  <c r="W578" i="5"/>
  <c r="V579" i="5"/>
  <c r="W579" i="5"/>
  <c r="V580" i="5"/>
  <c r="W580" i="5"/>
  <c r="V581" i="5"/>
  <c r="W581" i="5"/>
  <c r="V582" i="5"/>
  <c r="W582" i="5"/>
  <c r="V583" i="5"/>
  <c r="W583" i="5"/>
  <c r="V584" i="5"/>
  <c r="W584" i="5"/>
  <c r="V585" i="5"/>
  <c r="W585" i="5"/>
  <c r="V586" i="5"/>
  <c r="W586" i="5"/>
  <c r="V587" i="5"/>
  <c r="W587" i="5"/>
  <c r="V588" i="5"/>
  <c r="W588" i="5"/>
  <c r="V589" i="5"/>
  <c r="W589" i="5"/>
  <c r="V590" i="5"/>
  <c r="W590" i="5"/>
  <c r="V591" i="5"/>
  <c r="W591" i="5"/>
  <c r="V592" i="5"/>
  <c r="W592" i="5"/>
  <c r="V593" i="5"/>
  <c r="W593" i="5"/>
  <c r="V594" i="5"/>
  <c r="W594" i="5"/>
  <c r="V595" i="5"/>
  <c r="W595" i="5"/>
  <c r="V596" i="5"/>
  <c r="W596" i="5"/>
  <c r="V597" i="5"/>
  <c r="W597" i="5"/>
  <c r="V598" i="5"/>
  <c r="W598" i="5"/>
  <c r="V599" i="5"/>
  <c r="W599" i="5"/>
  <c r="V600" i="5"/>
  <c r="W600" i="5"/>
  <c r="V601" i="5"/>
  <c r="W601" i="5"/>
  <c r="V602" i="5"/>
  <c r="W602" i="5"/>
  <c r="V603" i="5"/>
  <c r="W603" i="5"/>
  <c r="V604" i="5"/>
  <c r="W604" i="5"/>
  <c r="V605" i="5"/>
  <c r="W605" i="5"/>
  <c r="V606" i="5"/>
  <c r="W606" i="5"/>
  <c r="V607" i="5"/>
  <c r="W607" i="5"/>
  <c r="V608" i="5"/>
  <c r="W608" i="5"/>
  <c r="V609" i="5"/>
  <c r="W609" i="5"/>
  <c r="V610" i="5"/>
  <c r="W610" i="5"/>
  <c r="V611" i="5"/>
  <c r="W611" i="5"/>
  <c r="V612" i="5"/>
  <c r="W612" i="5"/>
  <c r="V613" i="5"/>
  <c r="W613" i="5"/>
  <c r="V614" i="5"/>
  <c r="W614" i="5"/>
  <c r="V615" i="5"/>
  <c r="W615" i="5"/>
  <c r="V616" i="5"/>
  <c r="W616" i="5"/>
  <c r="V617" i="5"/>
  <c r="W617" i="5"/>
  <c r="V618" i="5"/>
  <c r="W618" i="5"/>
  <c r="V619" i="5"/>
  <c r="W619" i="5"/>
  <c r="V620" i="5"/>
  <c r="W620" i="5"/>
  <c r="V621" i="5"/>
  <c r="W621" i="5"/>
  <c r="V622" i="5"/>
  <c r="W622" i="5"/>
  <c r="V623" i="5"/>
  <c r="W623" i="5"/>
  <c r="V624" i="5"/>
  <c r="W624" i="5"/>
  <c r="V625" i="5"/>
  <c r="W625" i="5"/>
  <c r="V626" i="5"/>
  <c r="W626" i="5"/>
  <c r="V627" i="5"/>
  <c r="W627" i="5"/>
  <c r="V628" i="5"/>
  <c r="W628" i="5"/>
  <c r="V629" i="5"/>
  <c r="W629" i="5"/>
  <c r="V630" i="5"/>
  <c r="W630" i="5"/>
  <c r="V631" i="5"/>
  <c r="W631" i="5"/>
  <c r="V632" i="5"/>
  <c r="W632" i="5"/>
  <c r="V633" i="5"/>
  <c r="W633" i="5"/>
  <c r="V634" i="5"/>
  <c r="W634" i="5"/>
  <c r="V635" i="5"/>
  <c r="W635" i="5"/>
  <c r="V636" i="5"/>
  <c r="W636" i="5"/>
  <c r="V637" i="5"/>
  <c r="W637" i="5"/>
  <c r="V638" i="5"/>
  <c r="W638" i="5"/>
  <c r="V639" i="5"/>
  <c r="W639" i="5"/>
  <c r="V640" i="5"/>
  <c r="W640" i="5"/>
  <c r="V641" i="5"/>
  <c r="W641" i="5"/>
  <c r="V642" i="5"/>
  <c r="W642" i="5"/>
  <c r="V643" i="5"/>
  <c r="W643" i="5"/>
  <c r="V644" i="5"/>
  <c r="W644" i="5"/>
  <c r="V645" i="5"/>
  <c r="W645" i="5"/>
  <c r="V646" i="5"/>
  <c r="W646" i="5"/>
  <c r="V647" i="5"/>
  <c r="W647" i="5"/>
  <c r="V648" i="5"/>
  <c r="W648" i="5"/>
  <c r="V649" i="5"/>
  <c r="W649" i="5"/>
  <c r="V650" i="5"/>
  <c r="W650" i="5"/>
  <c r="V651" i="5"/>
  <c r="W651" i="5"/>
  <c r="V652" i="5"/>
  <c r="W652" i="5"/>
  <c r="V653" i="5"/>
  <c r="W653" i="5"/>
  <c r="V654" i="5"/>
  <c r="W654" i="5"/>
  <c r="V655" i="5"/>
  <c r="W655" i="5"/>
  <c r="V656" i="5"/>
  <c r="W656" i="5"/>
  <c r="V657" i="5"/>
  <c r="W657" i="5"/>
  <c r="V658" i="5"/>
  <c r="W658" i="5"/>
  <c r="V659" i="5"/>
  <c r="W659" i="5"/>
  <c r="V660" i="5"/>
  <c r="W660" i="5"/>
  <c r="V661" i="5"/>
  <c r="W661" i="5"/>
  <c r="V662" i="5"/>
  <c r="W662" i="5"/>
  <c r="V663" i="5"/>
  <c r="W663" i="5"/>
  <c r="V664" i="5"/>
  <c r="W664" i="5"/>
  <c r="V665" i="5"/>
  <c r="W665" i="5"/>
  <c r="V666" i="5"/>
  <c r="W666" i="5"/>
  <c r="V667" i="5"/>
  <c r="W667" i="5"/>
  <c r="V668" i="5"/>
  <c r="W668" i="5"/>
  <c r="V669" i="5"/>
  <c r="W669" i="5"/>
  <c r="V670" i="5"/>
  <c r="W670" i="5"/>
  <c r="V671" i="5"/>
  <c r="W671" i="5"/>
  <c r="V672" i="5"/>
  <c r="W672" i="5"/>
  <c r="V673" i="5"/>
  <c r="W673" i="5"/>
  <c r="V674" i="5"/>
  <c r="W674" i="5"/>
  <c r="V675" i="5"/>
  <c r="W675" i="5"/>
  <c r="V676" i="5"/>
  <c r="W676" i="5"/>
  <c r="V677" i="5"/>
  <c r="W677" i="5"/>
  <c r="V678" i="5"/>
  <c r="W678" i="5"/>
  <c r="V679" i="5"/>
  <c r="W679" i="5"/>
  <c r="V680" i="5"/>
  <c r="W680" i="5"/>
  <c r="V681" i="5"/>
  <c r="W681" i="5"/>
  <c r="V682" i="5"/>
  <c r="W682" i="5"/>
  <c r="V683" i="5"/>
  <c r="W683" i="5"/>
  <c r="V684" i="5"/>
  <c r="W684" i="5"/>
  <c r="V685" i="5"/>
  <c r="W685" i="5"/>
  <c r="V686" i="5"/>
  <c r="W686" i="5"/>
  <c r="V687" i="5"/>
  <c r="W687" i="5"/>
  <c r="V688" i="5"/>
  <c r="W688" i="5"/>
  <c r="V689" i="5"/>
  <c r="W689" i="5"/>
  <c r="V690" i="5"/>
  <c r="W690" i="5"/>
  <c r="V691" i="5"/>
  <c r="W691" i="5"/>
  <c r="V692" i="5"/>
  <c r="W692" i="5"/>
  <c r="V693" i="5"/>
  <c r="W693" i="5"/>
  <c r="V694" i="5"/>
  <c r="W694" i="5"/>
  <c r="V695" i="5"/>
  <c r="W695" i="5"/>
  <c r="V696" i="5"/>
  <c r="W696" i="5"/>
  <c r="V697" i="5"/>
  <c r="W697" i="5"/>
  <c r="V698" i="5"/>
  <c r="W698" i="5"/>
  <c r="V699" i="5"/>
  <c r="W699" i="5"/>
  <c r="V700" i="5"/>
  <c r="W700" i="5"/>
  <c r="V701" i="5"/>
  <c r="W701" i="5"/>
  <c r="V702" i="5"/>
  <c r="W702" i="5"/>
  <c r="V703" i="5"/>
  <c r="W703" i="5"/>
  <c r="V704" i="5"/>
  <c r="W704" i="5"/>
  <c r="V705" i="5"/>
  <c r="W705" i="5"/>
  <c r="V706" i="5"/>
  <c r="W706" i="5"/>
  <c r="V707" i="5"/>
  <c r="W707" i="5"/>
  <c r="V708" i="5"/>
  <c r="W708" i="5"/>
  <c r="V709" i="5"/>
  <c r="W709" i="5"/>
  <c r="V710" i="5"/>
  <c r="W710" i="5"/>
  <c r="V711" i="5"/>
  <c r="W711" i="5"/>
  <c r="V712" i="5"/>
  <c r="W712" i="5"/>
  <c r="V713" i="5"/>
  <c r="W713" i="5"/>
  <c r="V714" i="5"/>
  <c r="W714" i="5"/>
  <c r="V715" i="5"/>
  <c r="W715" i="5"/>
  <c r="V716" i="5"/>
  <c r="W716" i="5"/>
  <c r="V717" i="5"/>
  <c r="W717" i="5"/>
  <c r="V718" i="5"/>
  <c r="W718" i="5"/>
  <c r="V719" i="5"/>
  <c r="W719" i="5"/>
  <c r="V720" i="5"/>
  <c r="W720" i="5"/>
  <c r="V721" i="5"/>
  <c r="W721" i="5"/>
  <c r="V722" i="5"/>
  <c r="W722" i="5"/>
  <c r="V723" i="5"/>
  <c r="W723" i="5"/>
  <c r="V724" i="5"/>
  <c r="W724" i="5"/>
  <c r="V725" i="5"/>
  <c r="W725" i="5"/>
  <c r="V726" i="5"/>
  <c r="W726" i="5"/>
  <c r="V727" i="5"/>
  <c r="W727" i="5"/>
  <c r="V728" i="5"/>
  <c r="W728" i="5"/>
  <c r="V729" i="5"/>
  <c r="W729" i="5"/>
  <c r="V730" i="5"/>
  <c r="W730" i="5"/>
  <c r="V731" i="5"/>
  <c r="W731" i="5"/>
  <c r="V732" i="5"/>
  <c r="W732" i="5"/>
  <c r="V733" i="5"/>
  <c r="W733" i="5"/>
  <c r="V734" i="5"/>
  <c r="W734" i="5"/>
  <c r="V735" i="5"/>
  <c r="W735" i="5"/>
  <c r="V736" i="5"/>
  <c r="W736" i="5"/>
  <c r="V737" i="5"/>
  <c r="W737" i="5"/>
  <c r="V738" i="5"/>
  <c r="W738" i="5"/>
  <c r="V739" i="5"/>
  <c r="W739" i="5"/>
  <c r="V740" i="5"/>
  <c r="W740" i="5"/>
  <c r="V741" i="5"/>
  <c r="W741" i="5"/>
  <c r="V742" i="5"/>
  <c r="W742" i="5"/>
  <c r="V743" i="5"/>
  <c r="W743" i="5"/>
  <c r="V744" i="5"/>
  <c r="W744" i="5"/>
  <c r="V745" i="5"/>
  <c r="W745" i="5"/>
  <c r="V746" i="5"/>
  <c r="W746" i="5"/>
  <c r="V747" i="5"/>
  <c r="W747" i="5"/>
  <c r="V748" i="5"/>
  <c r="W748" i="5"/>
  <c r="V749" i="5"/>
  <c r="W749" i="5"/>
  <c r="V750" i="5"/>
  <c r="W750" i="5"/>
  <c r="V751" i="5"/>
  <c r="W751" i="5"/>
  <c r="V752" i="5"/>
  <c r="W752" i="5"/>
  <c r="V753" i="5"/>
  <c r="W753" i="5"/>
  <c r="V754" i="5"/>
  <c r="W754" i="5"/>
  <c r="V755" i="5"/>
  <c r="W755" i="5"/>
  <c r="V756" i="5"/>
  <c r="W756" i="5"/>
  <c r="V757" i="5"/>
  <c r="W757" i="5"/>
  <c r="V758" i="5"/>
  <c r="W758" i="5"/>
  <c r="V759" i="5"/>
  <c r="W759" i="5"/>
  <c r="V760" i="5"/>
  <c r="W760" i="5"/>
  <c r="V761" i="5"/>
  <c r="W761" i="5"/>
  <c r="V762" i="5"/>
  <c r="W762" i="5"/>
  <c r="V763" i="5"/>
  <c r="W763" i="5"/>
  <c r="V764" i="5"/>
  <c r="W764" i="5"/>
  <c r="V765" i="5"/>
  <c r="W765" i="5"/>
  <c r="V766" i="5"/>
  <c r="W766" i="5"/>
  <c r="V767" i="5"/>
  <c r="W767" i="5"/>
  <c r="V768" i="5"/>
  <c r="W768" i="5"/>
  <c r="V769" i="5"/>
  <c r="W769" i="5"/>
  <c r="V770" i="5"/>
  <c r="W770" i="5"/>
  <c r="V771" i="5"/>
  <c r="W771" i="5"/>
  <c r="V772" i="5"/>
  <c r="W772" i="5"/>
  <c r="V773" i="5"/>
  <c r="W773" i="5"/>
  <c r="V774" i="5"/>
  <c r="W774" i="5"/>
  <c r="V775" i="5"/>
  <c r="W775" i="5"/>
  <c r="V776" i="5"/>
  <c r="W776" i="5"/>
  <c r="V777" i="5"/>
  <c r="W777" i="5"/>
  <c r="V778" i="5"/>
  <c r="W778" i="5"/>
  <c r="V779" i="5"/>
  <c r="W779" i="5"/>
  <c r="V780" i="5"/>
  <c r="W780" i="5"/>
  <c r="V781" i="5"/>
  <c r="W781" i="5"/>
  <c r="V782" i="5"/>
  <c r="W782" i="5"/>
  <c r="V783" i="5"/>
  <c r="W783" i="5"/>
  <c r="V784" i="5"/>
  <c r="W784" i="5"/>
  <c r="V785" i="5"/>
  <c r="W785" i="5"/>
  <c r="V786" i="5"/>
  <c r="W786" i="5"/>
  <c r="V787" i="5"/>
  <c r="W787" i="5"/>
  <c r="V788" i="5"/>
  <c r="W788" i="5"/>
  <c r="V789" i="5"/>
  <c r="W789" i="5"/>
  <c r="V790" i="5"/>
  <c r="W790" i="5"/>
  <c r="V791" i="5"/>
  <c r="W791" i="5"/>
  <c r="V792" i="5"/>
  <c r="W792" i="5"/>
  <c r="V793" i="5"/>
  <c r="W793" i="5"/>
  <c r="V794" i="5"/>
  <c r="W794" i="5"/>
  <c r="V795" i="5"/>
  <c r="W795" i="5"/>
  <c r="V796" i="5"/>
  <c r="W796" i="5"/>
  <c r="V797" i="5"/>
  <c r="W797" i="5"/>
  <c r="V798" i="5"/>
  <c r="W798" i="5"/>
  <c r="V799" i="5"/>
  <c r="W799" i="5"/>
  <c r="V800" i="5"/>
  <c r="W800" i="5"/>
  <c r="V801" i="5"/>
  <c r="W801" i="5"/>
  <c r="V802" i="5"/>
  <c r="W802" i="5"/>
  <c r="V803" i="5"/>
  <c r="W803" i="5"/>
  <c r="V804" i="5"/>
  <c r="W804" i="5"/>
  <c r="V805" i="5"/>
  <c r="W805" i="5"/>
  <c r="V806" i="5"/>
  <c r="W806" i="5"/>
  <c r="V807" i="5"/>
  <c r="W807" i="5"/>
  <c r="V808" i="5"/>
  <c r="W808" i="5"/>
  <c r="V809" i="5"/>
  <c r="W809" i="5"/>
  <c r="V810" i="5"/>
  <c r="W810" i="5"/>
  <c r="V811" i="5"/>
  <c r="W811" i="5"/>
  <c r="V812" i="5"/>
  <c r="W812" i="5"/>
  <c r="V813" i="5"/>
  <c r="W813" i="5"/>
  <c r="V814" i="5"/>
  <c r="W814" i="5"/>
  <c r="V815" i="5"/>
  <c r="W815" i="5"/>
  <c r="V816" i="5"/>
  <c r="W816" i="5"/>
  <c r="V817" i="5"/>
  <c r="W817" i="5"/>
  <c r="V818" i="5"/>
  <c r="W818" i="5"/>
  <c r="V819" i="5"/>
  <c r="W819" i="5"/>
  <c r="V820" i="5"/>
  <c r="W820" i="5"/>
  <c r="V821" i="5"/>
  <c r="W821" i="5"/>
  <c r="V822" i="5"/>
  <c r="W822" i="5"/>
  <c r="V823" i="5"/>
  <c r="W823" i="5"/>
  <c r="V824" i="5"/>
  <c r="W824" i="5"/>
  <c r="V825" i="5"/>
  <c r="W825" i="5"/>
  <c r="V826" i="5"/>
  <c r="W826" i="5"/>
  <c r="V827" i="5"/>
  <c r="W827" i="5"/>
  <c r="V828" i="5"/>
  <c r="W828" i="5"/>
  <c r="V829" i="5"/>
  <c r="W829" i="5"/>
  <c r="V830" i="5"/>
  <c r="W830" i="5"/>
  <c r="V831" i="5"/>
  <c r="W831" i="5"/>
  <c r="V832" i="5"/>
  <c r="W832" i="5"/>
  <c r="V833" i="5"/>
  <c r="W833" i="5"/>
  <c r="V834" i="5"/>
  <c r="W834" i="5"/>
  <c r="V835" i="5"/>
  <c r="W835" i="5"/>
  <c r="V836" i="5"/>
  <c r="W836" i="5"/>
  <c r="V837" i="5"/>
  <c r="W837" i="5"/>
  <c r="V838" i="5"/>
  <c r="W838" i="5"/>
  <c r="V839" i="5"/>
  <c r="W839" i="5"/>
  <c r="V840" i="5"/>
  <c r="W840" i="5"/>
  <c r="V841" i="5"/>
  <c r="W841" i="5"/>
  <c r="V842" i="5"/>
  <c r="W842" i="5"/>
  <c r="V843" i="5"/>
  <c r="W843" i="5"/>
  <c r="V844" i="5"/>
  <c r="W844" i="5"/>
  <c r="V845" i="5"/>
  <c r="W845" i="5"/>
  <c r="V846" i="5"/>
  <c r="W846" i="5"/>
  <c r="V847" i="5"/>
  <c r="W847" i="5"/>
  <c r="V848" i="5"/>
  <c r="W848" i="5"/>
  <c r="V849" i="5"/>
  <c r="W849" i="5"/>
  <c r="V850" i="5"/>
  <c r="W850" i="5"/>
  <c r="V851" i="5"/>
  <c r="W851" i="5"/>
  <c r="V852" i="5"/>
  <c r="W852" i="5"/>
  <c r="V853" i="5"/>
  <c r="W853" i="5"/>
  <c r="V854" i="5"/>
  <c r="W854" i="5"/>
  <c r="V855" i="5"/>
  <c r="W855" i="5"/>
  <c r="V856" i="5"/>
  <c r="W856" i="5"/>
  <c r="V857" i="5"/>
  <c r="W857" i="5"/>
  <c r="V858" i="5"/>
  <c r="W858" i="5"/>
  <c r="V859" i="5"/>
  <c r="W859" i="5"/>
  <c r="V860" i="5"/>
  <c r="W860" i="5"/>
  <c r="V861" i="5"/>
  <c r="W861" i="5"/>
  <c r="V862" i="5"/>
  <c r="W862" i="5"/>
  <c r="V863" i="5"/>
  <c r="W863" i="5"/>
  <c r="V864" i="5"/>
  <c r="W864" i="5"/>
  <c r="V865" i="5"/>
  <c r="W865" i="5"/>
  <c r="V866" i="5"/>
  <c r="W866" i="5"/>
  <c r="V867" i="5"/>
  <c r="W867" i="5"/>
  <c r="V868" i="5"/>
  <c r="W868" i="5"/>
  <c r="V869" i="5"/>
  <c r="W869" i="5"/>
  <c r="V870" i="5"/>
  <c r="W870" i="5"/>
  <c r="V871" i="5"/>
  <c r="W871" i="5"/>
  <c r="V872" i="5"/>
  <c r="W872" i="5"/>
  <c r="V873" i="5"/>
  <c r="W873" i="5"/>
  <c r="V874" i="5"/>
  <c r="W874" i="5"/>
  <c r="V875" i="5"/>
  <c r="W875" i="5"/>
  <c r="V876" i="5"/>
  <c r="W876" i="5"/>
  <c r="V877" i="5"/>
  <c r="W877" i="5"/>
  <c r="V878" i="5"/>
  <c r="W878" i="5"/>
  <c r="V879" i="5"/>
  <c r="W879" i="5"/>
  <c r="V880" i="5"/>
  <c r="W880" i="5"/>
  <c r="V881" i="5"/>
  <c r="W881" i="5"/>
  <c r="V882" i="5"/>
  <c r="W882" i="5"/>
  <c r="V883" i="5"/>
  <c r="W883" i="5"/>
  <c r="V884" i="5"/>
  <c r="W884" i="5"/>
  <c r="V885" i="5"/>
  <c r="W885" i="5"/>
  <c r="V886" i="5"/>
  <c r="W886" i="5"/>
  <c r="V887" i="5"/>
  <c r="W887" i="5"/>
  <c r="V888" i="5"/>
  <c r="W888" i="5"/>
  <c r="V889" i="5"/>
  <c r="W889" i="5"/>
  <c r="V890" i="5"/>
  <c r="W890" i="5"/>
  <c r="V891" i="5"/>
  <c r="W891" i="5"/>
  <c r="V892" i="5"/>
  <c r="W892" i="5"/>
  <c r="V893" i="5"/>
  <c r="W893" i="5"/>
  <c r="V894" i="5"/>
  <c r="W894" i="5"/>
  <c r="V895" i="5"/>
  <c r="W895" i="5"/>
  <c r="V896" i="5"/>
  <c r="W896" i="5"/>
  <c r="V897" i="5"/>
  <c r="W897" i="5"/>
  <c r="V898" i="5"/>
  <c r="W898" i="5"/>
  <c r="V899" i="5"/>
  <c r="W899" i="5"/>
  <c r="V900" i="5"/>
  <c r="W900" i="5"/>
  <c r="V901" i="5"/>
  <c r="W901" i="5"/>
  <c r="V902" i="5"/>
  <c r="W902" i="5"/>
  <c r="V903" i="5"/>
  <c r="W903" i="5"/>
  <c r="V904" i="5"/>
  <c r="W904" i="5"/>
  <c r="V905" i="5"/>
  <c r="W905" i="5"/>
  <c r="V906" i="5"/>
  <c r="W906" i="5"/>
  <c r="V907" i="5"/>
  <c r="W907" i="5"/>
  <c r="V908" i="5"/>
  <c r="W908" i="5"/>
  <c r="V909" i="5"/>
  <c r="W909" i="5"/>
  <c r="V910" i="5"/>
  <c r="W910" i="5"/>
  <c r="V911" i="5"/>
  <c r="W911" i="5"/>
  <c r="V912" i="5"/>
  <c r="W912" i="5"/>
  <c r="V913" i="5"/>
  <c r="W913" i="5"/>
  <c r="V914" i="5"/>
  <c r="W914" i="5"/>
  <c r="V915" i="5"/>
  <c r="W915" i="5"/>
  <c r="V916" i="5"/>
  <c r="W916" i="5"/>
  <c r="V917" i="5"/>
  <c r="W917" i="5"/>
  <c r="V918" i="5"/>
  <c r="W918" i="5"/>
  <c r="V919" i="5"/>
  <c r="W919" i="5"/>
  <c r="V920" i="5"/>
  <c r="W920" i="5"/>
  <c r="V921" i="5"/>
  <c r="W921" i="5"/>
  <c r="V922" i="5"/>
  <c r="W922" i="5"/>
  <c r="V923" i="5"/>
  <c r="W923" i="5"/>
  <c r="V924" i="5"/>
  <c r="W924" i="5"/>
  <c r="V925" i="5"/>
  <c r="W925" i="5"/>
  <c r="V926" i="5"/>
  <c r="W926" i="5"/>
  <c r="V927" i="5"/>
  <c r="W927" i="5"/>
  <c r="V928" i="5"/>
  <c r="W928" i="5"/>
  <c r="V929" i="5"/>
  <c r="W929" i="5"/>
  <c r="V930" i="5"/>
  <c r="W930" i="5"/>
  <c r="V931" i="5"/>
  <c r="W931" i="5"/>
  <c r="V932" i="5"/>
  <c r="W932" i="5"/>
  <c r="V933" i="5"/>
  <c r="W933" i="5"/>
  <c r="V934" i="5"/>
  <c r="W934" i="5"/>
  <c r="V935" i="5"/>
  <c r="W935" i="5"/>
  <c r="V936" i="5"/>
  <c r="W936" i="5"/>
  <c r="V937" i="5"/>
  <c r="W937" i="5"/>
  <c r="V938" i="5"/>
  <c r="W938" i="5"/>
  <c r="V939" i="5"/>
  <c r="W939" i="5"/>
  <c r="V940" i="5"/>
  <c r="W940" i="5"/>
  <c r="V941" i="5"/>
  <c r="W941" i="5"/>
  <c r="V942" i="5"/>
  <c r="W942" i="5"/>
  <c r="V943" i="5"/>
  <c r="W943" i="5"/>
  <c r="V944" i="5"/>
  <c r="W944" i="5"/>
  <c r="V945" i="5"/>
  <c r="W945" i="5"/>
  <c r="V946" i="5"/>
  <c r="W946" i="5"/>
  <c r="V947" i="5"/>
  <c r="W947" i="5"/>
  <c r="V948" i="5"/>
  <c r="W948" i="5"/>
  <c r="V949" i="5"/>
  <c r="W949" i="5"/>
  <c r="V950" i="5"/>
  <c r="W950" i="5"/>
  <c r="V951" i="5"/>
  <c r="W951" i="5"/>
  <c r="V952" i="5"/>
  <c r="W952" i="5"/>
  <c r="V953" i="5"/>
  <c r="W953" i="5"/>
  <c r="V954" i="5"/>
  <c r="W954" i="5"/>
  <c r="V955" i="5"/>
  <c r="W955" i="5"/>
  <c r="V956" i="5"/>
  <c r="W956" i="5"/>
  <c r="V957" i="5"/>
  <c r="W957" i="5"/>
  <c r="V958" i="5"/>
  <c r="W958" i="5"/>
  <c r="V959" i="5"/>
  <c r="W959" i="5"/>
  <c r="V960" i="5"/>
  <c r="W960" i="5"/>
  <c r="V961" i="5"/>
  <c r="W961" i="5"/>
  <c r="V962" i="5"/>
  <c r="W962" i="5"/>
  <c r="V963" i="5"/>
  <c r="W963" i="5"/>
  <c r="V964" i="5"/>
  <c r="W964" i="5"/>
  <c r="V965" i="5"/>
  <c r="W965" i="5"/>
  <c r="V966" i="5"/>
  <c r="W966" i="5"/>
  <c r="V967" i="5"/>
  <c r="W967" i="5"/>
  <c r="V968" i="5"/>
  <c r="W968" i="5"/>
  <c r="V969" i="5"/>
  <c r="W969" i="5"/>
  <c r="V970" i="5"/>
  <c r="W970" i="5"/>
  <c r="V971" i="5"/>
  <c r="W971" i="5"/>
  <c r="V972" i="5"/>
  <c r="W972" i="5"/>
  <c r="V973" i="5"/>
  <c r="W973" i="5"/>
  <c r="V974" i="5"/>
  <c r="W974" i="5"/>
  <c r="V975" i="5"/>
  <c r="W975" i="5"/>
  <c r="V976" i="5"/>
  <c r="W976" i="5"/>
  <c r="V977" i="5"/>
  <c r="W977" i="5"/>
  <c r="V978" i="5"/>
  <c r="W978" i="5"/>
  <c r="V979" i="5"/>
  <c r="W979" i="5"/>
  <c r="V980" i="5"/>
  <c r="W980" i="5"/>
  <c r="V981" i="5"/>
  <c r="W981" i="5"/>
  <c r="V982" i="5"/>
  <c r="W982" i="5"/>
  <c r="V983" i="5"/>
  <c r="W983" i="5"/>
  <c r="V984" i="5"/>
  <c r="W984" i="5"/>
  <c r="V985" i="5"/>
  <c r="W985" i="5"/>
  <c r="V986" i="5"/>
  <c r="W986" i="5"/>
  <c r="V987" i="5"/>
  <c r="W987" i="5"/>
  <c r="V988" i="5"/>
  <c r="W988" i="5"/>
  <c r="V989" i="5"/>
  <c r="W989" i="5"/>
  <c r="V990" i="5"/>
  <c r="W990" i="5"/>
  <c r="V991" i="5"/>
  <c r="W991" i="5"/>
  <c r="V992" i="5"/>
  <c r="W992" i="5"/>
  <c r="V993" i="5"/>
  <c r="W993" i="5"/>
  <c r="V994" i="5"/>
  <c r="W994" i="5"/>
  <c r="V995" i="5"/>
  <c r="W995" i="5"/>
  <c r="V996" i="5"/>
  <c r="W996" i="5"/>
  <c r="V997" i="5"/>
  <c r="W997" i="5"/>
  <c r="V998" i="5"/>
  <c r="W998" i="5"/>
  <c r="V999" i="5"/>
  <c r="W999" i="5"/>
  <c r="V1000" i="5"/>
  <c r="W1000" i="5"/>
  <c r="V1001" i="5"/>
  <c r="W1001" i="5"/>
  <c r="V1002" i="5"/>
  <c r="W1002" i="5"/>
  <c r="V1003" i="5"/>
  <c r="W1003" i="5"/>
  <c r="V1004" i="5"/>
  <c r="W1004" i="5"/>
  <c r="V1005" i="5"/>
  <c r="W1005" i="5"/>
  <c r="V1006" i="5"/>
  <c r="W1006" i="5"/>
  <c r="V1007" i="5"/>
  <c r="W1007" i="5"/>
  <c r="V1008" i="5"/>
  <c r="W1008" i="5"/>
  <c r="V1009" i="5"/>
  <c r="W1009" i="5"/>
  <c r="V1010" i="5"/>
  <c r="W1010" i="5"/>
  <c r="V1011" i="5"/>
  <c r="W1011" i="5"/>
  <c r="V1012" i="5"/>
  <c r="W1012" i="5"/>
  <c r="V1013" i="5"/>
  <c r="W1013" i="5"/>
  <c r="V1014" i="5"/>
  <c r="W1014" i="5"/>
  <c r="V1015" i="5"/>
  <c r="W1015" i="5"/>
  <c r="V1016" i="5"/>
  <c r="W1016" i="5"/>
  <c r="V1017" i="5"/>
  <c r="W1017" i="5"/>
  <c r="V1018" i="5"/>
  <c r="W1018" i="5"/>
  <c r="V1019" i="5"/>
  <c r="W1019" i="5"/>
  <c r="V1020" i="5"/>
  <c r="W1020" i="5"/>
  <c r="V1021" i="5"/>
  <c r="W1021" i="5"/>
  <c r="V1022" i="5"/>
  <c r="W1022" i="5"/>
  <c r="V1023" i="5"/>
  <c r="W1023" i="5"/>
  <c r="V1024" i="5"/>
  <c r="W1024" i="5"/>
  <c r="V1025" i="5"/>
  <c r="W1025" i="5"/>
  <c r="V1026" i="5"/>
  <c r="W1026" i="5"/>
  <c r="V1027" i="5"/>
  <c r="W1027" i="5"/>
  <c r="V1028" i="5"/>
  <c r="W1028" i="5"/>
  <c r="V1029" i="5"/>
  <c r="W1029" i="5"/>
  <c r="V1030" i="5"/>
  <c r="W1030" i="5"/>
  <c r="V1031" i="5"/>
  <c r="W1031" i="5"/>
  <c r="V1032" i="5"/>
  <c r="W1032" i="5"/>
  <c r="V1033" i="5"/>
  <c r="W1033" i="5"/>
  <c r="V1034" i="5"/>
  <c r="W1034" i="5"/>
  <c r="V1035" i="5"/>
  <c r="W1035" i="5"/>
  <c r="V1036" i="5"/>
  <c r="W1036" i="5"/>
  <c r="V1037" i="5"/>
  <c r="W1037" i="5"/>
  <c r="V1038" i="5"/>
  <c r="W1038" i="5"/>
  <c r="V1039" i="5"/>
  <c r="W1039" i="5"/>
  <c r="V1040" i="5"/>
  <c r="W1040" i="5"/>
  <c r="V1041" i="5"/>
  <c r="W1041" i="5"/>
  <c r="V1042" i="5"/>
  <c r="W1042" i="5"/>
  <c r="V1043" i="5"/>
  <c r="W1043" i="5"/>
  <c r="V1044" i="5"/>
  <c r="W1044" i="5"/>
  <c r="V1045" i="5"/>
  <c r="W1045" i="5"/>
  <c r="V1046" i="5"/>
  <c r="W1046" i="5"/>
  <c r="V1047" i="5"/>
  <c r="W1047" i="5"/>
  <c r="V1048" i="5"/>
  <c r="W1048" i="5"/>
  <c r="V1049" i="5"/>
  <c r="W1049" i="5"/>
  <c r="V1050" i="5"/>
  <c r="W1050" i="5"/>
  <c r="V1051" i="5"/>
  <c r="W1051" i="5"/>
  <c r="V1052" i="5"/>
  <c r="W1052" i="5"/>
  <c r="V1053" i="5"/>
  <c r="W1053" i="5"/>
  <c r="V1054" i="5"/>
  <c r="W1054" i="5"/>
  <c r="V1055" i="5"/>
  <c r="W1055" i="5"/>
  <c r="V1056" i="5"/>
  <c r="W1056" i="5"/>
  <c r="V1057" i="5"/>
  <c r="W1057" i="5"/>
  <c r="V1058" i="5"/>
  <c r="W1058" i="5"/>
  <c r="V1059" i="5"/>
  <c r="W1059" i="5"/>
  <c r="V1060" i="5"/>
  <c r="W1060" i="5"/>
  <c r="V1061" i="5"/>
  <c r="W1061" i="5"/>
  <c r="V1062" i="5"/>
  <c r="W1062" i="5"/>
  <c r="V1063" i="5"/>
  <c r="W1063" i="5"/>
  <c r="V1064" i="5"/>
  <c r="W1064" i="5"/>
  <c r="V1065" i="5"/>
  <c r="W1065" i="5"/>
  <c r="V1066" i="5"/>
  <c r="W1066" i="5"/>
  <c r="V1067" i="5"/>
  <c r="W1067" i="5"/>
  <c r="V1068" i="5"/>
  <c r="W1068" i="5"/>
  <c r="V1069" i="5"/>
  <c r="W1069" i="5"/>
  <c r="V1070" i="5"/>
  <c r="W1070" i="5"/>
  <c r="V1071" i="5"/>
  <c r="W1071" i="5"/>
  <c r="V1072" i="5"/>
  <c r="W1072" i="5"/>
  <c r="V1073" i="5"/>
  <c r="W1073" i="5"/>
  <c r="V1074" i="5"/>
  <c r="W1074" i="5"/>
  <c r="V1075" i="5"/>
  <c r="W1075" i="5"/>
  <c r="V1076" i="5"/>
  <c r="W1076" i="5"/>
  <c r="V1077" i="5"/>
  <c r="W1077" i="5"/>
  <c r="V1078" i="5"/>
  <c r="W1078" i="5"/>
  <c r="V1079" i="5"/>
  <c r="W1079" i="5"/>
  <c r="V1080" i="5"/>
  <c r="W1080" i="5"/>
  <c r="V1081" i="5"/>
  <c r="W1081" i="5"/>
  <c r="V1082" i="5"/>
  <c r="W1082" i="5"/>
  <c r="V1083" i="5"/>
  <c r="W1083" i="5"/>
  <c r="V1084" i="5"/>
  <c r="W1084" i="5"/>
  <c r="V1085" i="5"/>
  <c r="W1085" i="5"/>
  <c r="V1086" i="5"/>
  <c r="W1086" i="5"/>
  <c r="V1087" i="5"/>
  <c r="W1087" i="5"/>
  <c r="V1088" i="5"/>
  <c r="W1088" i="5"/>
  <c r="V1089" i="5"/>
  <c r="W1089" i="5"/>
  <c r="V1090" i="5"/>
  <c r="W1090" i="5"/>
  <c r="V1091" i="5"/>
  <c r="W1091" i="5"/>
  <c r="V1092" i="5"/>
  <c r="W1092" i="5"/>
  <c r="V1093" i="5"/>
  <c r="W1093" i="5"/>
  <c r="V1094" i="5"/>
  <c r="W1094" i="5"/>
  <c r="V1095" i="5"/>
  <c r="W1095" i="5"/>
  <c r="V1096" i="5"/>
  <c r="W1096" i="5"/>
  <c r="V1097" i="5"/>
  <c r="W1097" i="5"/>
  <c r="V1098" i="5"/>
  <c r="W1098" i="5"/>
  <c r="V1099" i="5"/>
  <c r="W1099" i="5"/>
  <c r="V1100" i="5"/>
  <c r="W1100" i="5"/>
  <c r="V1101" i="5"/>
  <c r="W1101" i="5"/>
  <c r="V1102" i="5"/>
  <c r="W1102" i="5"/>
  <c r="V1103" i="5"/>
  <c r="W1103" i="5"/>
  <c r="V1104" i="5"/>
  <c r="W1104" i="5"/>
  <c r="V1105" i="5"/>
  <c r="W1105" i="5"/>
  <c r="V1106" i="5"/>
  <c r="W1106" i="5"/>
  <c r="V1107" i="5"/>
  <c r="W1107" i="5"/>
  <c r="V1108" i="5"/>
  <c r="W1108" i="5"/>
  <c r="V1109" i="5"/>
  <c r="W1109" i="5"/>
  <c r="V1110" i="5"/>
  <c r="W1110" i="5"/>
  <c r="V1111" i="5"/>
  <c r="W1111" i="5"/>
  <c r="V1112" i="5"/>
  <c r="W1112" i="5"/>
  <c r="V1113" i="5"/>
  <c r="W1113" i="5"/>
  <c r="V1114" i="5"/>
  <c r="W1114" i="5"/>
  <c r="V1115" i="5"/>
  <c r="W1115" i="5"/>
  <c r="V1116" i="5"/>
  <c r="W1116" i="5"/>
  <c r="V1117" i="5"/>
  <c r="W1117" i="5"/>
  <c r="V1118" i="5"/>
  <c r="W1118" i="5"/>
  <c r="V1119" i="5"/>
  <c r="W1119" i="5"/>
  <c r="V1120" i="5"/>
  <c r="W1120" i="5"/>
  <c r="V1121" i="5"/>
  <c r="W1121" i="5"/>
  <c r="V1122" i="5"/>
  <c r="W1122" i="5"/>
  <c r="V1123" i="5"/>
  <c r="W1123" i="5"/>
  <c r="V1124" i="5"/>
  <c r="W1124" i="5"/>
  <c r="V1125" i="5"/>
  <c r="W1125" i="5"/>
  <c r="V1126" i="5"/>
  <c r="W1126" i="5"/>
  <c r="V1127" i="5"/>
  <c r="W1127" i="5"/>
  <c r="V1128" i="5"/>
  <c r="W1128" i="5"/>
  <c r="V1129" i="5"/>
  <c r="W1129" i="5"/>
  <c r="V1130" i="5"/>
  <c r="W1130" i="5"/>
  <c r="V1131" i="5"/>
  <c r="W1131" i="5"/>
  <c r="V1132" i="5"/>
  <c r="W1132" i="5"/>
  <c r="V1133" i="5"/>
  <c r="W1133" i="5"/>
  <c r="V1134" i="5"/>
  <c r="W1134" i="5"/>
  <c r="V1135" i="5"/>
  <c r="W1135" i="5"/>
  <c r="V1136" i="5"/>
  <c r="W1136" i="5"/>
  <c r="V1137" i="5"/>
  <c r="W1137" i="5"/>
  <c r="V1138" i="5"/>
  <c r="W1138" i="5"/>
  <c r="V1139" i="5"/>
  <c r="W1139" i="5"/>
  <c r="V1140" i="5"/>
  <c r="W1140" i="5"/>
  <c r="V1141" i="5"/>
  <c r="W1141" i="5"/>
  <c r="V1142" i="5"/>
  <c r="W1142" i="5"/>
  <c r="V1143" i="5"/>
  <c r="W1143" i="5"/>
  <c r="V1144" i="5"/>
  <c r="W1144" i="5"/>
  <c r="V1145" i="5"/>
  <c r="W1145" i="5"/>
  <c r="V1146" i="5"/>
  <c r="W1146" i="5"/>
  <c r="V1147" i="5"/>
  <c r="W1147" i="5"/>
  <c r="V1148" i="5"/>
  <c r="W1148" i="5"/>
  <c r="V1149" i="5"/>
  <c r="W1149" i="5"/>
  <c r="V1150" i="5"/>
  <c r="W1150" i="5"/>
  <c r="V1151" i="5"/>
  <c r="W1151" i="5"/>
  <c r="V1152" i="5"/>
  <c r="W1152" i="5"/>
  <c r="V1153" i="5"/>
  <c r="W1153" i="5"/>
  <c r="V1154" i="5"/>
  <c r="W1154" i="5"/>
  <c r="V1155" i="5"/>
  <c r="W1155" i="5"/>
  <c r="V1156" i="5"/>
  <c r="W1156" i="5"/>
  <c r="V1157" i="5"/>
  <c r="W1157" i="5"/>
  <c r="V1158" i="5"/>
  <c r="W1158" i="5"/>
  <c r="V1159" i="5"/>
  <c r="W1159" i="5"/>
  <c r="V1160" i="5"/>
  <c r="W1160" i="5"/>
  <c r="V1161" i="5"/>
  <c r="W1161" i="5"/>
  <c r="V1162" i="5"/>
  <c r="W1162" i="5"/>
  <c r="V1163" i="5"/>
  <c r="W1163" i="5"/>
  <c r="V1164" i="5"/>
  <c r="W1164" i="5"/>
  <c r="V1165" i="5"/>
  <c r="W1165" i="5"/>
  <c r="V1166" i="5"/>
  <c r="W1166" i="5"/>
  <c r="V1167" i="5"/>
  <c r="W1167" i="5"/>
  <c r="V1168" i="5"/>
  <c r="W1168" i="5"/>
  <c r="V1169" i="5"/>
  <c r="W1169" i="5"/>
  <c r="V1170" i="5"/>
  <c r="W1170" i="5"/>
  <c r="V1171" i="5"/>
  <c r="W1171" i="5"/>
  <c r="V1172" i="5"/>
  <c r="W1172" i="5"/>
  <c r="V1173" i="5"/>
  <c r="W1173" i="5"/>
  <c r="V1174" i="5"/>
  <c r="W1174" i="5"/>
  <c r="V1175" i="5"/>
  <c r="W1175" i="5"/>
  <c r="V1176" i="5"/>
  <c r="W1176" i="5"/>
  <c r="V1177" i="5"/>
  <c r="W1177" i="5"/>
  <c r="V1178" i="5"/>
  <c r="W1178" i="5"/>
  <c r="V1179" i="5"/>
  <c r="W1179" i="5"/>
  <c r="V1180" i="5"/>
  <c r="W1180" i="5"/>
  <c r="V1181" i="5"/>
  <c r="W1181" i="5"/>
  <c r="V1182" i="5"/>
  <c r="W1182" i="5"/>
  <c r="V1183" i="5"/>
  <c r="W1183" i="5"/>
  <c r="V1184" i="5"/>
  <c r="W1184" i="5"/>
  <c r="V1185" i="5"/>
  <c r="W1185" i="5"/>
  <c r="V1186" i="5"/>
  <c r="W1186" i="5"/>
  <c r="V1187" i="5"/>
  <c r="W1187" i="5"/>
  <c r="V1188" i="5"/>
  <c r="W1188" i="5"/>
  <c r="V1189" i="5"/>
  <c r="W1189" i="5"/>
  <c r="V1190" i="5"/>
  <c r="W1190" i="5"/>
  <c r="V1191" i="5"/>
  <c r="W1191" i="5"/>
  <c r="V1192" i="5"/>
  <c r="W1192" i="5"/>
  <c r="V1193" i="5"/>
  <c r="W1193" i="5"/>
  <c r="V1194" i="5"/>
  <c r="W1194" i="5"/>
  <c r="V1195" i="5"/>
  <c r="W1195" i="5"/>
  <c r="V1196" i="5"/>
  <c r="W1196" i="5"/>
  <c r="V1197" i="5"/>
  <c r="W1197" i="5"/>
  <c r="V1198" i="5"/>
  <c r="W1198" i="5"/>
  <c r="V1199" i="5"/>
  <c r="W1199" i="5"/>
  <c r="V1200" i="5"/>
  <c r="W1200" i="5"/>
  <c r="V1201" i="5"/>
  <c r="W1201" i="5"/>
  <c r="V1202" i="5"/>
  <c r="W1202" i="5"/>
  <c r="V1203" i="5"/>
  <c r="W1203" i="5"/>
  <c r="V1204" i="5"/>
  <c r="W1204" i="5"/>
  <c r="V1205" i="5"/>
  <c r="W1205" i="5"/>
  <c r="V1206" i="5"/>
  <c r="W1206" i="5"/>
  <c r="V1207" i="5"/>
  <c r="W1207" i="5"/>
  <c r="V1208" i="5"/>
  <c r="W1208" i="5"/>
  <c r="V1209" i="5"/>
  <c r="W1209" i="5"/>
  <c r="V1210" i="5"/>
  <c r="W1210" i="5"/>
  <c r="V1211" i="5"/>
  <c r="W1211" i="5"/>
  <c r="V1212" i="5"/>
  <c r="W1212" i="5"/>
  <c r="V1213" i="5"/>
  <c r="W1213" i="5"/>
  <c r="V1214" i="5"/>
  <c r="W1214" i="5"/>
  <c r="V1215" i="5"/>
  <c r="W1215" i="5"/>
  <c r="V1216" i="5"/>
  <c r="W1216" i="5"/>
  <c r="V1217" i="5"/>
  <c r="W1217" i="5"/>
  <c r="V1218" i="5"/>
  <c r="W1218" i="5"/>
  <c r="V1219" i="5"/>
  <c r="W1219" i="5"/>
  <c r="V1220" i="5"/>
  <c r="W1220" i="5"/>
  <c r="V1221" i="5"/>
  <c r="W1221" i="5"/>
  <c r="V1222" i="5"/>
  <c r="W1222" i="5"/>
  <c r="V1223" i="5"/>
  <c r="W1223" i="5"/>
  <c r="V1224" i="5"/>
  <c r="W1224" i="5"/>
  <c r="V1225" i="5"/>
  <c r="W1225" i="5"/>
  <c r="V1226" i="5"/>
  <c r="W1226" i="5"/>
  <c r="V1227" i="5"/>
  <c r="W1227" i="5"/>
  <c r="V1228" i="5"/>
  <c r="W1228" i="5"/>
  <c r="V1229" i="5"/>
  <c r="W1229" i="5"/>
  <c r="V1230" i="5"/>
  <c r="W1230" i="5"/>
  <c r="V1231" i="5"/>
  <c r="W1231" i="5"/>
  <c r="V1232" i="5"/>
  <c r="W1232" i="5"/>
  <c r="V1233" i="5"/>
  <c r="W1233" i="5"/>
  <c r="V1234" i="5"/>
  <c r="W1234" i="5"/>
  <c r="V1235" i="5"/>
  <c r="W1235" i="5"/>
  <c r="V1236" i="5"/>
  <c r="W1236" i="5"/>
  <c r="V1237" i="5"/>
  <c r="W1237" i="5"/>
  <c r="V1238" i="5"/>
  <c r="W1238" i="5"/>
  <c r="V1239" i="5"/>
  <c r="W1239" i="5"/>
  <c r="V1240" i="5"/>
  <c r="W1240" i="5"/>
  <c r="V1241" i="5"/>
  <c r="W1241" i="5"/>
  <c r="V1242" i="5"/>
  <c r="W1242" i="5"/>
  <c r="V1243" i="5"/>
  <c r="W1243" i="5"/>
  <c r="V1244" i="5"/>
  <c r="W1244" i="5"/>
  <c r="V1245" i="5"/>
  <c r="W1245" i="5"/>
  <c r="V1246" i="5"/>
  <c r="W1246" i="5"/>
  <c r="V1247" i="5"/>
  <c r="W1247" i="5"/>
  <c r="V1248" i="5"/>
  <c r="W1248" i="5"/>
  <c r="V1249" i="5"/>
  <c r="W1249" i="5"/>
  <c r="V1250" i="5"/>
  <c r="W1250" i="5"/>
  <c r="V1251" i="5"/>
  <c r="W1251" i="5"/>
  <c r="V1252" i="5"/>
  <c r="W1252" i="5"/>
  <c r="V1253" i="5"/>
  <c r="W1253" i="5"/>
  <c r="V1254" i="5"/>
  <c r="W1254" i="5"/>
  <c r="V1255" i="5"/>
  <c r="W1255" i="5"/>
  <c r="V1256" i="5"/>
  <c r="W1256" i="5"/>
  <c r="V1257" i="5"/>
  <c r="W1257" i="5"/>
  <c r="V1258" i="5"/>
  <c r="W1258" i="5"/>
  <c r="V1259" i="5"/>
  <c r="W1259" i="5"/>
  <c r="V1260" i="5"/>
  <c r="W1260" i="5"/>
  <c r="V1261" i="5"/>
  <c r="W1261" i="5"/>
  <c r="V1262" i="5"/>
  <c r="W1262" i="5"/>
  <c r="V1263" i="5"/>
  <c r="W1263" i="5"/>
  <c r="V1264" i="5"/>
  <c r="W1264" i="5"/>
  <c r="V1265" i="5"/>
  <c r="W1265" i="5"/>
  <c r="V1266" i="5"/>
  <c r="W1266" i="5"/>
  <c r="V1267" i="5"/>
  <c r="W1267" i="5"/>
  <c r="V1268" i="5"/>
  <c r="W1268" i="5"/>
  <c r="V1269" i="5"/>
  <c r="W1269" i="5"/>
  <c r="V1270" i="5"/>
  <c r="W1270" i="5"/>
  <c r="V1271" i="5"/>
  <c r="W1271" i="5"/>
  <c r="V1272" i="5"/>
  <c r="W1272" i="5"/>
  <c r="V1273" i="5"/>
  <c r="W1273" i="5"/>
  <c r="V1274" i="5"/>
  <c r="W1274" i="5"/>
  <c r="V1275" i="5"/>
  <c r="W1275" i="5"/>
  <c r="V1276" i="5"/>
  <c r="W1276" i="5"/>
  <c r="V1277" i="5"/>
  <c r="W1277" i="5"/>
  <c r="V1278" i="5"/>
  <c r="W1278" i="5"/>
  <c r="V1279" i="5"/>
  <c r="W1279" i="5"/>
  <c r="V1280" i="5"/>
  <c r="W1280" i="5"/>
  <c r="V1281" i="5"/>
  <c r="W1281" i="5"/>
  <c r="V1282" i="5"/>
  <c r="W1282" i="5"/>
  <c r="V1283" i="5"/>
  <c r="W1283" i="5"/>
  <c r="V1284" i="5"/>
  <c r="W1284" i="5"/>
  <c r="V1285" i="5"/>
  <c r="W1285" i="5"/>
  <c r="V1286" i="5"/>
  <c r="W1286" i="5"/>
  <c r="V1287" i="5"/>
  <c r="W1287" i="5"/>
  <c r="V1288" i="5"/>
  <c r="W1288" i="5"/>
  <c r="V1289" i="5"/>
  <c r="W1289" i="5"/>
  <c r="V1290" i="5"/>
  <c r="W1290" i="5"/>
  <c r="V1291" i="5"/>
  <c r="W1291" i="5"/>
  <c r="V1292" i="5"/>
  <c r="W1292" i="5"/>
  <c r="V1293" i="5"/>
  <c r="W1293" i="5"/>
  <c r="V1294" i="5"/>
  <c r="W1294" i="5"/>
  <c r="V1295" i="5"/>
  <c r="W1295" i="5"/>
  <c r="V1296" i="5"/>
  <c r="W1296" i="5"/>
  <c r="V1297" i="5"/>
  <c r="W1297" i="5"/>
  <c r="V1298" i="5"/>
  <c r="W1298" i="5"/>
  <c r="V1299" i="5"/>
  <c r="W1299" i="5"/>
  <c r="V1300" i="5"/>
  <c r="W1300" i="5"/>
  <c r="V1301" i="5"/>
  <c r="W1301" i="5"/>
  <c r="V1302" i="5"/>
  <c r="W1302" i="5"/>
  <c r="V1303" i="5"/>
  <c r="W1303" i="5"/>
  <c r="V1304" i="5"/>
  <c r="W1304" i="5"/>
  <c r="V1305" i="5"/>
  <c r="W1305" i="5"/>
  <c r="V1306" i="5"/>
  <c r="W1306" i="5"/>
  <c r="V1307" i="5"/>
  <c r="W1307" i="5"/>
  <c r="V1308" i="5"/>
  <c r="W1308" i="5"/>
  <c r="V1309" i="5"/>
  <c r="W1309" i="5"/>
  <c r="V1310" i="5"/>
  <c r="W1310" i="5"/>
  <c r="V1311" i="5"/>
  <c r="W1311" i="5"/>
  <c r="V1312" i="5"/>
  <c r="W1312" i="5"/>
  <c r="V1313" i="5"/>
  <c r="W1313" i="5"/>
  <c r="V1314" i="5"/>
  <c r="W1314" i="5"/>
  <c r="V1315" i="5"/>
  <c r="W1315" i="5"/>
  <c r="V1316" i="5"/>
  <c r="W1316" i="5"/>
  <c r="V1317" i="5"/>
  <c r="W1317" i="5"/>
  <c r="V1318" i="5"/>
  <c r="W1318" i="5"/>
  <c r="V1319" i="5"/>
  <c r="W1319" i="5"/>
  <c r="V1320" i="5"/>
  <c r="W1320" i="5"/>
  <c r="V1321" i="5"/>
  <c r="W1321" i="5"/>
  <c r="V1322" i="5"/>
  <c r="W1322" i="5"/>
  <c r="V1323" i="5"/>
  <c r="W1323" i="5"/>
  <c r="V1324" i="5"/>
  <c r="W1324" i="5"/>
  <c r="V1325" i="5"/>
  <c r="W1325" i="5"/>
  <c r="V1326" i="5"/>
  <c r="W1326" i="5"/>
  <c r="V1327" i="5"/>
  <c r="W1327" i="5"/>
  <c r="V1328" i="5"/>
  <c r="W1328" i="5"/>
  <c r="V1329" i="5"/>
  <c r="W1329" i="5"/>
  <c r="V1330" i="5"/>
  <c r="W1330" i="5"/>
  <c r="V1331" i="5"/>
  <c r="W1331" i="5"/>
  <c r="V1332" i="5"/>
  <c r="W1332" i="5"/>
  <c r="V1333" i="5"/>
  <c r="W1333" i="5"/>
  <c r="V1334" i="5"/>
  <c r="W1334" i="5"/>
  <c r="V1335" i="5"/>
  <c r="W1335" i="5"/>
  <c r="V1336" i="5"/>
  <c r="W1336" i="5"/>
  <c r="V1337" i="5"/>
  <c r="W1337" i="5"/>
  <c r="V1338" i="5"/>
  <c r="W1338" i="5"/>
  <c r="V1339" i="5"/>
  <c r="W1339" i="5"/>
  <c r="V1340" i="5"/>
  <c r="W1340" i="5"/>
  <c r="V1341" i="5"/>
  <c r="W1341" i="5"/>
  <c r="V1342" i="5"/>
  <c r="W1342" i="5"/>
  <c r="V1343" i="5"/>
  <c r="W1343" i="5"/>
  <c r="V1344" i="5"/>
  <c r="W1344" i="5"/>
  <c r="V1345" i="5"/>
  <c r="W1345" i="5"/>
  <c r="V1346" i="5"/>
  <c r="W1346" i="5"/>
  <c r="V1347" i="5"/>
  <c r="W1347" i="5"/>
  <c r="V1348" i="5"/>
  <c r="W1348" i="5"/>
  <c r="V1349" i="5"/>
  <c r="W1349" i="5"/>
  <c r="V1350" i="5"/>
  <c r="W1350" i="5"/>
  <c r="V1351" i="5"/>
  <c r="W1351" i="5"/>
  <c r="V1352" i="5"/>
  <c r="W1352" i="5"/>
  <c r="V1353" i="5"/>
  <c r="W1353" i="5"/>
  <c r="V1354" i="5"/>
  <c r="W1354" i="5"/>
  <c r="V1355" i="5"/>
  <c r="W1355" i="5"/>
  <c r="V1356" i="5"/>
  <c r="W1356" i="5"/>
  <c r="V1357" i="5"/>
  <c r="W1357" i="5"/>
  <c r="V1358" i="5"/>
  <c r="W1358" i="5"/>
  <c r="V1359" i="5"/>
  <c r="W1359" i="5"/>
  <c r="V1360" i="5"/>
  <c r="W1360" i="5"/>
  <c r="V1361" i="5"/>
  <c r="W1361" i="5"/>
  <c r="V1362" i="5"/>
  <c r="W1362" i="5"/>
  <c r="V1363" i="5"/>
  <c r="W1363" i="5"/>
  <c r="V1364" i="5"/>
  <c r="W1364" i="5"/>
  <c r="V1365" i="5"/>
  <c r="W1365" i="5"/>
  <c r="V1366" i="5"/>
  <c r="W1366" i="5"/>
  <c r="V1367" i="5"/>
  <c r="W1367" i="5"/>
  <c r="V1368" i="5"/>
  <c r="W1368" i="5"/>
  <c r="V1369" i="5"/>
  <c r="W1369" i="5"/>
  <c r="V1370" i="5"/>
  <c r="W1370" i="5"/>
  <c r="V1371" i="5"/>
  <c r="W1371" i="5"/>
  <c r="V1372" i="5"/>
  <c r="W1372" i="5"/>
  <c r="V1373" i="5"/>
  <c r="W1373" i="5"/>
  <c r="V1374" i="5"/>
  <c r="W1374" i="5"/>
  <c r="V1375" i="5"/>
  <c r="W1375" i="5"/>
  <c r="V1376" i="5"/>
  <c r="W1376" i="5"/>
  <c r="V1377" i="5"/>
  <c r="W1377" i="5"/>
  <c r="V1378" i="5"/>
  <c r="W1378" i="5"/>
  <c r="V1379" i="5"/>
  <c r="W1379" i="5"/>
  <c r="V1380" i="5"/>
  <c r="W1380" i="5"/>
  <c r="V1381" i="5"/>
  <c r="W1381" i="5"/>
  <c r="V1382" i="5"/>
  <c r="W1382" i="5"/>
  <c r="V1383" i="5"/>
  <c r="W1383" i="5"/>
  <c r="V1384" i="5"/>
  <c r="W1384" i="5"/>
  <c r="V1385" i="5"/>
  <c r="W1385" i="5"/>
  <c r="V1386" i="5"/>
  <c r="W1386" i="5"/>
  <c r="V1387" i="5"/>
  <c r="W1387" i="5"/>
  <c r="V1388" i="5"/>
  <c r="W1388" i="5"/>
  <c r="V1389" i="5"/>
  <c r="W1389" i="5"/>
  <c r="V1390" i="5"/>
  <c r="W1390" i="5"/>
  <c r="V1391" i="5"/>
  <c r="W1391" i="5"/>
  <c r="V1392" i="5"/>
  <c r="W1392" i="5"/>
  <c r="V1393" i="5"/>
  <c r="W1393" i="5"/>
  <c r="V1394" i="5"/>
  <c r="W1394" i="5"/>
  <c r="V1395" i="5"/>
  <c r="W1395" i="5"/>
  <c r="V1396" i="5"/>
  <c r="W1396" i="5"/>
  <c r="V1397" i="5"/>
  <c r="W1397" i="5"/>
  <c r="V1398" i="5"/>
  <c r="W1398" i="5"/>
  <c r="V1399" i="5"/>
  <c r="W1399" i="5"/>
  <c r="V1400" i="5"/>
  <c r="W1400" i="5"/>
  <c r="V1401" i="5"/>
  <c r="W1401" i="5"/>
  <c r="V1402" i="5"/>
  <c r="W1402" i="5"/>
  <c r="V1403" i="5"/>
  <c r="W1403" i="5"/>
  <c r="V1404" i="5"/>
  <c r="W1404" i="5"/>
  <c r="V1405" i="5"/>
  <c r="W1405" i="5"/>
  <c r="V1406" i="5"/>
  <c r="W1406" i="5"/>
  <c r="V1407" i="5"/>
  <c r="W1407" i="5"/>
  <c r="V1408" i="5"/>
  <c r="W1408" i="5"/>
  <c r="V1409" i="5"/>
  <c r="W1409" i="5"/>
  <c r="V1410" i="5"/>
  <c r="W1410" i="5"/>
  <c r="V1411" i="5"/>
  <c r="W1411" i="5"/>
  <c r="V1412" i="5"/>
  <c r="W1412" i="5"/>
  <c r="V1413" i="5"/>
  <c r="W1413" i="5"/>
  <c r="V1414" i="5"/>
  <c r="W1414" i="5"/>
  <c r="V1415" i="5"/>
  <c r="W1415" i="5"/>
  <c r="V1416" i="5"/>
  <c r="W1416" i="5"/>
  <c r="V1417" i="5"/>
  <c r="W1417" i="5"/>
  <c r="V1418" i="5"/>
  <c r="W1418" i="5"/>
  <c r="V1419" i="5"/>
  <c r="W1419" i="5"/>
  <c r="V1420" i="5"/>
  <c r="W1420" i="5"/>
  <c r="V1421" i="5"/>
  <c r="W1421" i="5"/>
  <c r="V1422" i="5"/>
  <c r="W1422" i="5"/>
  <c r="V1423" i="5"/>
  <c r="W1423" i="5"/>
  <c r="V1424" i="5"/>
  <c r="W1424" i="5"/>
  <c r="V1425" i="5"/>
  <c r="W1425" i="5"/>
  <c r="V1426" i="5"/>
  <c r="W1426" i="5"/>
  <c r="V1427" i="5"/>
  <c r="W1427" i="5"/>
  <c r="V1428" i="5"/>
  <c r="W1428" i="5"/>
  <c r="V1429" i="5"/>
  <c r="W1429" i="5"/>
  <c r="V1430" i="5"/>
  <c r="W1430" i="5"/>
  <c r="V1431" i="5"/>
  <c r="W1431" i="5"/>
  <c r="V1432" i="5"/>
  <c r="W1432" i="5"/>
  <c r="V1433" i="5"/>
  <c r="W1433" i="5"/>
  <c r="V1434" i="5"/>
  <c r="W1434" i="5"/>
  <c r="V1435" i="5"/>
  <c r="W1435" i="5"/>
  <c r="V1436" i="5"/>
  <c r="W1436" i="5"/>
  <c r="V1437" i="5"/>
  <c r="W1437" i="5"/>
  <c r="V1438" i="5"/>
  <c r="W1438" i="5"/>
  <c r="V1439" i="5"/>
  <c r="W1439" i="5"/>
  <c r="V1440" i="5"/>
  <c r="W1440" i="5"/>
  <c r="V1441" i="5"/>
  <c r="W1441" i="5"/>
  <c r="V1442" i="5"/>
  <c r="W1442" i="5"/>
  <c r="V1443" i="5"/>
  <c r="W1443" i="5"/>
  <c r="V1444" i="5"/>
  <c r="W1444" i="5"/>
  <c r="V1445" i="5"/>
  <c r="W1445" i="5"/>
  <c r="V1446" i="5"/>
  <c r="W1446" i="5"/>
  <c r="V1447" i="5"/>
  <c r="W1447" i="5"/>
  <c r="V1448" i="5"/>
  <c r="W1448" i="5"/>
  <c r="V1449" i="5"/>
  <c r="W1449" i="5"/>
  <c r="V1450" i="5"/>
  <c r="W1450" i="5"/>
  <c r="V1451" i="5"/>
  <c r="W1451" i="5"/>
  <c r="V1452" i="5"/>
  <c r="W1452" i="5"/>
  <c r="V1453" i="5"/>
  <c r="W1453" i="5"/>
  <c r="V1454" i="5"/>
  <c r="W1454" i="5"/>
  <c r="V1455" i="5"/>
  <c r="W1455" i="5"/>
  <c r="V1456" i="5"/>
  <c r="W1456" i="5"/>
  <c r="V1457" i="5"/>
  <c r="W1457" i="5"/>
  <c r="V1458" i="5"/>
  <c r="W1458" i="5"/>
  <c r="V1459" i="5"/>
  <c r="W1459" i="5"/>
  <c r="V1460" i="5"/>
  <c r="W1460" i="5"/>
  <c r="V1461" i="5"/>
  <c r="W1461" i="5"/>
  <c r="V1462" i="5"/>
  <c r="W1462" i="5"/>
  <c r="V1463" i="5"/>
  <c r="W1463" i="5"/>
  <c r="V1464" i="5"/>
  <c r="W1464" i="5"/>
  <c r="V1465" i="5"/>
  <c r="W1465" i="5"/>
  <c r="V1466" i="5"/>
  <c r="W1466" i="5"/>
  <c r="V1467" i="5"/>
  <c r="W1467" i="5"/>
  <c r="V1468" i="5"/>
  <c r="W1468" i="5"/>
  <c r="V1469" i="5"/>
  <c r="W1469" i="5"/>
  <c r="V1470" i="5"/>
  <c r="W1470" i="5"/>
  <c r="V1471" i="5"/>
  <c r="W1471" i="5"/>
  <c r="V1472" i="5"/>
  <c r="W1472" i="5"/>
  <c r="V1473" i="5"/>
  <c r="W1473" i="5"/>
  <c r="V1474" i="5"/>
  <c r="W1474" i="5"/>
  <c r="V1475" i="5"/>
  <c r="W1475" i="5"/>
  <c r="V1476" i="5"/>
  <c r="W1476" i="5"/>
  <c r="V1477" i="5"/>
  <c r="W1477" i="5"/>
  <c r="V1478" i="5"/>
  <c r="W1478" i="5"/>
  <c r="V1479" i="5"/>
  <c r="W1479" i="5"/>
  <c r="V1480" i="5"/>
  <c r="W1480" i="5"/>
  <c r="V1481" i="5"/>
  <c r="W1481" i="5"/>
  <c r="V1482" i="5"/>
  <c r="W1482" i="5"/>
  <c r="V1483" i="5"/>
  <c r="W1483" i="5"/>
  <c r="V1484" i="5"/>
  <c r="W1484" i="5"/>
  <c r="V1485" i="5"/>
  <c r="W1485" i="5"/>
  <c r="V1486" i="5"/>
  <c r="W1486" i="5"/>
  <c r="V1487" i="5"/>
  <c r="W1487" i="5"/>
  <c r="V1488" i="5"/>
  <c r="W1488" i="5"/>
  <c r="V1489" i="5"/>
  <c r="W1489" i="5"/>
  <c r="V1490" i="5"/>
  <c r="W1490" i="5"/>
  <c r="V1491" i="5"/>
  <c r="W1491" i="5"/>
  <c r="V1492" i="5"/>
  <c r="W1492" i="5"/>
  <c r="V1493" i="5"/>
  <c r="W1493" i="5"/>
  <c r="V1494" i="5"/>
  <c r="W1494" i="5"/>
  <c r="V1495" i="5"/>
  <c r="W1495" i="5"/>
  <c r="V1496" i="5"/>
  <c r="W1496" i="5"/>
  <c r="V1497" i="5"/>
  <c r="W1497" i="5"/>
  <c r="V1498" i="5"/>
  <c r="W1498" i="5"/>
  <c r="V1499" i="5"/>
  <c r="W1499" i="5"/>
  <c r="V1500" i="5"/>
  <c r="W1500" i="5"/>
  <c r="V1501" i="5"/>
  <c r="W1501" i="5"/>
  <c r="V1502" i="5"/>
  <c r="W1502" i="5"/>
  <c r="V1503" i="5"/>
  <c r="W1503" i="5"/>
  <c r="V1504" i="5"/>
  <c r="W1504" i="5"/>
  <c r="V1505" i="5"/>
  <c r="W1505" i="5"/>
  <c r="V1506" i="5"/>
  <c r="W1506" i="5"/>
  <c r="V1507" i="5"/>
  <c r="W1507" i="5"/>
  <c r="V1508" i="5"/>
  <c r="W1508" i="5"/>
  <c r="V1509" i="5"/>
  <c r="W1509" i="5"/>
  <c r="V1510" i="5"/>
  <c r="W1510" i="5"/>
  <c r="V1511" i="5"/>
  <c r="W1511" i="5"/>
  <c r="V1512" i="5"/>
  <c r="W1512" i="5"/>
  <c r="V1513" i="5"/>
  <c r="W1513" i="5"/>
  <c r="V1514" i="5"/>
  <c r="W1514" i="5"/>
  <c r="V1515" i="5"/>
  <c r="W1515" i="5"/>
  <c r="V1516" i="5"/>
  <c r="W1516" i="5"/>
  <c r="V1517" i="5"/>
  <c r="W1517" i="5"/>
  <c r="V1518" i="5"/>
  <c r="W1518" i="5"/>
  <c r="V1519" i="5"/>
  <c r="W1519" i="5"/>
  <c r="V1520" i="5"/>
  <c r="W1520" i="5"/>
  <c r="V1521" i="5"/>
  <c r="W1521" i="5"/>
  <c r="V1522" i="5"/>
  <c r="W1522" i="5"/>
  <c r="V1523" i="5"/>
  <c r="W1523" i="5"/>
  <c r="V1524" i="5"/>
  <c r="W1524" i="5"/>
  <c r="V1525" i="5"/>
  <c r="W1525" i="5"/>
  <c r="V1526" i="5"/>
  <c r="W1526" i="5"/>
  <c r="V1527" i="5"/>
  <c r="W1527" i="5"/>
  <c r="V1528" i="5"/>
  <c r="W1528" i="5"/>
  <c r="V1529" i="5"/>
  <c r="W1529" i="5"/>
  <c r="V1530" i="5"/>
  <c r="W1530" i="5"/>
  <c r="V1531" i="5"/>
  <c r="W1531" i="5"/>
  <c r="V1532" i="5"/>
  <c r="W1532" i="5"/>
  <c r="V1533" i="5"/>
  <c r="W1533" i="5"/>
  <c r="V1534" i="5"/>
  <c r="W1534" i="5"/>
  <c r="V1535" i="5"/>
  <c r="W1535" i="5"/>
  <c r="V1536" i="5"/>
  <c r="W1536" i="5"/>
  <c r="V1537" i="5"/>
  <c r="W1537" i="5"/>
  <c r="V1538" i="5"/>
  <c r="W1538" i="5"/>
  <c r="V1539" i="5"/>
  <c r="W1539" i="5"/>
  <c r="V1540" i="5"/>
  <c r="W1540" i="5"/>
  <c r="V1541" i="5"/>
  <c r="W1541" i="5"/>
  <c r="V1542" i="5"/>
  <c r="W1542" i="5"/>
  <c r="V1543" i="5"/>
  <c r="W1543" i="5"/>
  <c r="V1544" i="5"/>
  <c r="W1544" i="5"/>
  <c r="V1545" i="5"/>
  <c r="W1545" i="5"/>
  <c r="V1546" i="5"/>
  <c r="W1546" i="5"/>
  <c r="V1547" i="5"/>
  <c r="W1547" i="5"/>
  <c r="V1548" i="5"/>
  <c r="W1548" i="5"/>
  <c r="V1549" i="5"/>
  <c r="W1549" i="5"/>
  <c r="V1550" i="5"/>
  <c r="W1550" i="5"/>
  <c r="V1551" i="5"/>
  <c r="W1551" i="5"/>
  <c r="V1552" i="5"/>
  <c r="W1552" i="5"/>
  <c r="V1553" i="5"/>
  <c r="W1553" i="5"/>
  <c r="V1554" i="5"/>
  <c r="W1554" i="5"/>
  <c r="V1555" i="5"/>
  <c r="W1555" i="5"/>
  <c r="V1556" i="5"/>
  <c r="W1556" i="5"/>
  <c r="V1557" i="5"/>
  <c r="W1557" i="5"/>
  <c r="V1558" i="5"/>
  <c r="W1558" i="5"/>
  <c r="V1559" i="5"/>
  <c r="W1559" i="5"/>
  <c r="V1560" i="5"/>
  <c r="W1560" i="5"/>
  <c r="V1561" i="5"/>
  <c r="W1561" i="5"/>
  <c r="V1562" i="5"/>
  <c r="W1562" i="5"/>
  <c r="V1563" i="5"/>
  <c r="W1563" i="5"/>
  <c r="V1564" i="5"/>
  <c r="W1564" i="5"/>
  <c r="V1565" i="5"/>
  <c r="W1565" i="5"/>
  <c r="V1566" i="5"/>
  <c r="W1566" i="5"/>
  <c r="V1567" i="5"/>
  <c r="W1567" i="5"/>
  <c r="V1568" i="5"/>
  <c r="W1568" i="5"/>
  <c r="V1569" i="5"/>
  <c r="W1569" i="5"/>
  <c r="V1570" i="5"/>
  <c r="W1570" i="5"/>
  <c r="V1571" i="5"/>
  <c r="W1571" i="5"/>
  <c r="V1572" i="5"/>
  <c r="W1572" i="5"/>
  <c r="V1573" i="5"/>
  <c r="W1573" i="5"/>
  <c r="V1574" i="5"/>
  <c r="W1574" i="5"/>
  <c r="V1575" i="5"/>
  <c r="W1575" i="5"/>
  <c r="V1576" i="5"/>
  <c r="W1576" i="5"/>
  <c r="V1577" i="5"/>
  <c r="W1577" i="5"/>
  <c r="V1578" i="5"/>
  <c r="W1578" i="5"/>
  <c r="V1579" i="5"/>
  <c r="W1579" i="5"/>
  <c r="V1580" i="5"/>
  <c r="W1580" i="5"/>
  <c r="V1581" i="5"/>
  <c r="W1581" i="5"/>
  <c r="V1582" i="5"/>
  <c r="W1582" i="5"/>
  <c r="V1583" i="5"/>
  <c r="W1583" i="5"/>
  <c r="V1584" i="5"/>
  <c r="W1584" i="5"/>
  <c r="V1585" i="5"/>
  <c r="W1585" i="5"/>
  <c r="V1586" i="5"/>
  <c r="W1586" i="5"/>
  <c r="V1587" i="5"/>
  <c r="W1587" i="5"/>
  <c r="V1588" i="5"/>
  <c r="W1588" i="5"/>
  <c r="V1589" i="5"/>
  <c r="W1589" i="5"/>
  <c r="V1590" i="5"/>
  <c r="W1590" i="5"/>
  <c r="V1591" i="5"/>
  <c r="W1591" i="5"/>
  <c r="V1592" i="5"/>
  <c r="W1592" i="5"/>
  <c r="V1593" i="5"/>
  <c r="W1593" i="5"/>
  <c r="V1594" i="5"/>
  <c r="W1594" i="5"/>
  <c r="V1595" i="5"/>
  <c r="W1595" i="5"/>
  <c r="V1596" i="5"/>
  <c r="W1596" i="5"/>
  <c r="V1597" i="5"/>
  <c r="W1597" i="5"/>
  <c r="V1598" i="5"/>
  <c r="W1598" i="5"/>
  <c r="V1599" i="5"/>
  <c r="W1599" i="5"/>
  <c r="V1600" i="5"/>
  <c r="W1600" i="5"/>
  <c r="V1601" i="5"/>
  <c r="W1601" i="5"/>
  <c r="V1602" i="5"/>
  <c r="W1602" i="5"/>
  <c r="V1603" i="5"/>
  <c r="W1603" i="5"/>
  <c r="V1604" i="5"/>
  <c r="W1604" i="5"/>
  <c r="V1605" i="5"/>
  <c r="W1605" i="5"/>
  <c r="V1606" i="5"/>
  <c r="W1606" i="5"/>
  <c r="V1607" i="5"/>
  <c r="W1607" i="5"/>
  <c r="V1608" i="5"/>
  <c r="W1608" i="5"/>
  <c r="V1609" i="5"/>
  <c r="W1609" i="5"/>
  <c r="V1610" i="5"/>
  <c r="W1610" i="5"/>
  <c r="V1611" i="5"/>
  <c r="W1611" i="5"/>
  <c r="V1612" i="5"/>
  <c r="W1612" i="5"/>
  <c r="V1613" i="5"/>
  <c r="W1613" i="5"/>
  <c r="V1614" i="5"/>
  <c r="W1614" i="5"/>
  <c r="V1615" i="5"/>
  <c r="W1615" i="5"/>
  <c r="V1616" i="5"/>
  <c r="W1616" i="5"/>
  <c r="V1617" i="5"/>
  <c r="W1617" i="5"/>
  <c r="V1618" i="5"/>
  <c r="W1618" i="5"/>
  <c r="V1619" i="5"/>
  <c r="W1619" i="5"/>
  <c r="V1620" i="5"/>
  <c r="W1620" i="5"/>
  <c r="V1621" i="5"/>
  <c r="W1621" i="5"/>
  <c r="V1622" i="5"/>
  <c r="W1622" i="5"/>
  <c r="V1623" i="5"/>
  <c r="W1623" i="5"/>
  <c r="V1624" i="5"/>
  <c r="W1624" i="5"/>
  <c r="V1625" i="5"/>
  <c r="W1625" i="5"/>
  <c r="V1626" i="5"/>
  <c r="W1626" i="5"/>
  <c r="V1627" i="5"/>
  <c r="W1627" i="5"/>
  <c r="V1628" i="5"/>
  <c r="W1628" i="5"/>
  <c r="V1629" i="5"/>
  <c r="W1629" i="5"/>
  <c r="V1630" i="5"/>
  <c r="W1630" i="5"/>
  <c r="V1631" i="5"/>
  <c r="W1631" i="5"/>
  <c r="V1632" i="5"/>
  <c r="W1632" i="5"/>
  <c r="V1633" i="5"/>
  <c r="W1633" i="5"/>
  <c r="V1634" i="5"/>
  <c r="W1634" i="5"/>
  <c r="V1635" i="5"/>
  <c r="W1635" i="5"/>
  <c r="V1636" i="5"/>
  <c r="W1636" i="5"/>
  <c r="V1637" i="5"/>
  <c r="W1637" i="5"/>
  <c r="V1638" i="5"/>
  <c r="W1638" i="5"/>
  <c r="V1639" i="5"/>
  <c r="W1639" i="5"/>
  <c r="V1640" i="5"/>
  <c r="W1640" i="5"/>
  <c r="V1641" i="5"/>
  <c r="W1641" i="5"/>
  <c r="V1642" i="5"/>
  <c r="W1642" i="5"/>
  <c r="V1643" i="5"/>
  <c r="W1643" i="5"/>
  <c r="V1644" i="5"/>
  <c r="W1644" i="5"/>
  <c r="V1645" i="5"/>
  <c r="W1645" i="5"/>
  <c r="V1646" i="5"/>
  <c r="W1646" i="5"/>
  <c r="V1647" i="5"/>
  <c r="W1647" i="5"/>
  <c r="V1648" i="5"/>
  <c r="W1648" i="5"/>
  <c r="V1649" i="5"/>
  <c r="W1649" i="5"/>
  <c r="V1650" i="5"/>
  <c r="W1650" i="5"/>
  <c r="V1651" i="5"/>
  <c r="W1651" i="5"/>
  <c r="V1652" i="5"/>
  <c r="W1652" i="5"/>
  <c r="V1653" i="5"/>
  <c r="W1653" i="5"/>
  <c r="V1654" i="5"/>
  <c r="W1654" i="5"/>
  <c r="V1655" i="5"/>
  <c r="W1655" i="5"/>
  <c r="V1656" i="5"/>
  <c r="W1656" i="5"/>
  <c r="V1657" i="5"/>
  <c r="W1657" i="5"/>
  <c r="V1658" i="5"/>
  <c r="W1658" i="5"/>
  <c r="V1659" i="5"/>
  <c r="W1659" i="5"/>
  <c r="V1660" i="5"/>
  <c r="W1660" i="5"/>
  <c r="V1661" i="5"/>
  <c r="W1661" i="5"/>
  <c r="V1662" i="5"/>
  <c r="W1662" i="5"/>
  <c r="V1663" i="5"/>
  <c r="W1663" i="5"/>
  <c r="V1664" i="5"/>
  <c r="W1664" i="5"/>
  <c r="V1665" i="5"/>
  <c r="W1665" i="5"/>
  <c r="V1666" i="5"/>
  <c r="W1666" i="5"/>
  <c r="V1667" i="5"/>
  <c r="W1667" i="5"/>
  <c r="V1668" i="5"/>
  <c r="W1668" i="5"/>
  <c r="V1669" i="5"/>
  <c r="W1669" i="5"/>
  <c r="V1670" i="5"/>
  <c r="W1670" i="5"/>
  <c r="V1671" i="5"/>
  <c r="W1671" i="5"/>
  <c r="V1672" i="5"/>
  <c r="W1672" i="5"/>
  <c r="V1673" i="5"/>
  <c r="W1673" i="5"/>
  <c r="V1674" i="5"/>
  <c r="W1674" i="5"/>
  <c r="V1675" i="5"/>
  <c r="W1675" i="5"/>
  <c r="V1676" i="5"/>
  <c r="W1676" i="5"/>
  <c r="V1677" i="5"/>
  <c r="W1677" i="5"/>
  <c r="V1678" i="5"/>
  <c r="W1678" i="5"/>
  <c r="V1679" i="5"/>
  <c r="W1679" i="5"/>
  <c r="V1680" i="5"/>
  <c r="W1680" i="5"/>
  <c r="V1681" i="5"/>
  <c r="W1681" i="5"/>
  <c r="V1682" i="5"/>
  <c r="W1682" i="5"/>
  <c r="V1683" i="5"/>
  <c r="W1683" i="5"/>
  <c r="V1684" i="5"/>
  <c r="W1684" i="5"/>
  <c r="V1685" i="5"/>
  <c r="W1685" i="5"/>
  <c r="V1686" i="5"/>
  <c r="W1686" i="5"/>
  <c r="V1687" i="5"/>
  <c r="W1687" i="5"/>
  <c r="V1688" i="5"/>
  <c r="W1688" i="5"/>
  <c r="V1689" i="5"/>
  <c r="W1689" i="5"/>
  <c r="V1690" i="5"/>
  <c r="W1690" i="5"/>
  <c r="V1691" i="5"/>
  <c r="W1691" i="5"/>
  <c r="V1692" i="5"/>
  <c r="W1692" i="5"/>
  <c r="V1693" i="5"/>
  <c r="W1693" i="5"/>
  <c r="V1694" i="5"/>
  <c r="W1694" i="5"/>
  <c r="V1695" i="5"/>
  <c r="W1695" i="5"/>
  <c r="V1696" i="5"/>
  <c r="W1696" i="5"/>
  <c r="V1697" i="5"/>
  <c r="W1697" i="5"/>
  <c r="V1698" i="5"/>
  <c r="W1698" i="5"/>
  <c r="V1699" i="5"/>
  <c r="W1699" i="5"/>
  <c r="V1700" i="5"/>
  <c r="W1700" i="5"/>
  <c r="V1701" i="5"/>
  <c r="W1701" i="5"/>
  <c r="V1702" i="5"/>
  <c r="W1702" i="5"/>
  <c r="V1703" i="5"/>
  <c r="W1703" i="5"/>
  <c r="V1704" i="5"/>
  <c r="W1704" i="5"/>
  <c r="V1705" i="5"/>
  <c r="W1705" i="5"/>
  <c r="V1706" i="5"/>
  <c r="W1706" i="5"/>
  <c r="V1707" i="5"/>
  <c r="W1707" i="5"/>
  <c r="V1708" i="5"/>
  <c r="W1708" i="5"/>
  <c r="V1709" i="5"/>
  <c r="W1709" i="5"/>
  <c r="V1710" i="5"/>
  <c r="W1710" i="5"/>
  <c r="V1711" i="5"/>
  <c r="W1711" i="5"/>
  <c r="V1712" i="5"/>
  <c r="W1712" i="5"/>
  <c r="V1713" i="5"/>
  <c r="W1713" i="5"/>
  <c r="V1714" i="5"/>
  <c r="W1714" i="5"/>
  <c r="V1715" i="5"/>
  <c r="W1715" i="5"/>
  <c r="V1716" i="5"/>
  <c r="W1716" i="5"/>
  <c r="V1717" i="5"/>
  <c r="W1717" i="5"/>
  <c r="V1718" i="5"/>
  <c r="W1718" i="5"/>
  <c r="V1719" i="5"/>
  <c r="W1719" i="5"/>
  <c r="V1720" i="5"/>
  <c r="W1720" i="5"/>
  <c r="V1721" i="5"/>
  <c r="W1721" i="5"/>
  <c r="V1722" i="5"/>
  <c r="W1722" i="5"/>
  <c r="V1723" i="5"/>
  <c r="W1723" i="5"/>
  <c r="V1724" i="5"/>
  <c r="W1724" i="5"/>
  <c r="V1725" i="5"/>
  <c r="W1725" i="5"/>
  <c r="V1726" i="5"/>
  <c r="W1726" i="5"/>
  <c r="V1727" i="5"/>
  <c r="W1727" i="5"/>
  <c r="V1728" i="5"/>
  <c r="W1728" i="5"/>
  <c r="V1729" i="5"/>
  <c r="W1729" i="5"/>
  <c r="V1730" i="5"/>
  <c r="W1730" i="5"/>
  <c r="V1731" i="5"/>
  <c r="W1731" i="5"/>
  <c r="V1732" i="5"/>
  <c r="W1732" i="5"/>
  <c r="V1733" i="5"/>
  <c r="W1733" i="5"/>
  <c r="V1734" i="5"/>
  <c r="W1734" i="5"/>
  <c r="V1735" i="5"/>
  <c r="W1735" i="5"/>
  <c r="V1736" i="5"/>
  <c r="W1736" i="5"/>
  <c r="V1737" i="5"/>
  <c r="W1737" i="5"/>
  <c r="V1738" i="5"/>
  <c r="W1738" i="5"/>
  <c r="V1739" i="5"/>
  <c r="W1739" i="5"/>
  <c r="V1740" i="5"/>
  <c r="W1740" i="5"/>
  <c r="V1741" i="5"/>
  <c r="W1741" i="5"/>
  <c r="V1742" i="5"/>
  <c r="W1742" i="5"/>
  <c r="V1743" i="5"/>
  <c r="W1743" i="5"/>
  <c r="V1744" i="5"/>
  <c r="W1744" i="5"/>
  <c r="V1745" i="5"/>
  <c r="W1745" i="5"/>
  <c r="V1746" i="5"/>
  <c r="W1746" i="5"/>
  <c r="V1747" i="5"/>
  <c r="W1747" i="5"/>
  <c r="V1748" i="5"/>
  <c r="W1748" i="5"/>
  <c r="V1749" i="5"/>
  <c r="W1749" i="5"/>
  <c r="V1750" i="5"/>
  <c r="W1750" i="5"/>
  <c r="V1751" i="5"/>
  <c r="W1751" i="5"/>
  <c r="V1752" i="5"/>
  <c r="W1752" i="5"/>
  <c r="V1753" i="5"/>
  <c r="W1753" i="5"/>
  <c r="V1754" i="5"/>
  <c r="W1754" i="5"/>
  <c r="V1755" i="5"/>
  <c r="W1755" i="5"/>
  <c r="V1756" i="5"/>
  <c r="W1756" i="5"/>
  <c r="V1757" i="5"/>
  <c r="W1757" i="5"/>
  <c r="V1758" i="5"/>
  <c r="W1758" i="5"/>
  <c r="V1759" i="5"/>
  <c r="W1759" i="5"/>
  <c r="V1760" i="5"/>
  <c r="W1760" i="5"/>
  <c r="V1761" i="5"/>
  <c r="W1761" i="5"/>
  <c r="V1762" i="5"/>
  <c r="W1762" i="5"/>
  <c r="V1763" i="5"/>
  <c r="W1763" i="5"/>
  <c r="V1764" i="5"/>
  <c r="W1764" i="5"/>
  <c r="V1765" i="5"/>
  <c r="W1765" i="5"/>
  <c r="V1766" i="5"/>
  <c r="W1766" i="5"/>
  <c r="V1767" i="5"/>
  <c r="W1767" i="5"/>
  <c r="V1768" i="5"/>
  <c r="W1768" i="5"/>
  <c r="V1769" i="5"/>
  <c r="W1769" i="5"/>
  <c r="V1770" i="5"/>
  <c r="W1770" i="5"/>
  <c r="V1771" i="5"/>
  <c r="W1771" i="5"/>
  <c r="V1772" i="5"/>
  <c r="W1772" i="5"/>
  <c r="V1773" i="5"/>
  <c r="W1773" i="5"/>
  <c r="V1774" i="5"/>
  <c r="W1774" i="5"/>
  <c r="V1775" i="5"/>
  <c r="W1775" i="5"/>
  <c r="V1776" i="5"/>
  <c r="W1776" i="5"/>
  <c r="V1777" i="5"/>
  <c r="W1777" i="5"/>
  <c r="V1778" i="5"/>
  <c r="W1778" i="5"/>
  <c r="V1779" i="5"/>
  <c r="W1779" i="5"/>
  <c r="V1780" i="5"/>
  <c r="W1780" i="5"/>
  <c r="V1781" i="5"/>
  <c r="W1781" i="5"/>
  <c r="V1782" i="5"/>
  <c r="W1782" i="5"/>
  <c r="V1783" i="5"/>
  <c r="W1783" i="5"/>
  <c r="V1784" i="5"/>
  <c r="W1784" i="5"/>
  <c r="V1785" i="5"/>
  <c r="W1785" i="5"/>
  <c r="V1786" i="5"/>
  <c r="W1786" i="5"/>
  <c r="V1787" i="5"/>
  <c r="W1787" i="5"/>
  <c r="V1788" i="5"/>
  <c r="W1788" i="5"/>
  <c r="V1789" i="5"/>
  <c r="W1789" i="5"/>
  <c r="V1790" i="5"/>
  <c r="W1790" i="5"/>
  <c r="V1791" i="5"/>
  <c r="W1791" i="5"/>
  <c r="V1792" i="5"/>
  <c r="W1792" i="5"/>
  <c r="V1793" i="5"/>
  <c r="W1793" i="5"/>
  <c r="V1794" i="5"/>
  <c r="W1794" i="5"/>
  <c r="V1795" i="5"/>
  <c r="W1795" i="5"/>
  <c r="V1796" i="5"/>
  <c r="W1796" i="5"/>
  <c r="V1797" i="5"/>
  <c r="W1797" i="5"/>
  <c r="V1798" i="5"/>
  <c r="W1798" i="5"/>
  <c r="V1799" i="5"/>
  <c r="W1799" i="5"/>
  <c r="V1800" i="5"/>
  <c r="W1800" i="5"/>
  <c r="V1801" i="5"/>
  <c r="W1801" i="5"/>
  <c r="V1802" i="5"/>
  <c r="W1802" i="5"/>
  <c r="V1803" i="5"/>
  <c r="W1803" i="5"/>
  <c r="V1804" i="5"/>
  <c r="W1804" i="5"/>
  <c r="V1805" i="5"/>
  <c r="W1805" i="5"/>
  <c r="V1806" i="5"/>
  <c r="W1806" i="5"/>
  <c r="V1807" i="5"/>
  <c r="W1807" i="5"/>
  <c r="V1808" i="5"/>
  <c r="W1808" i="5"/>
  <c r="V1809" i="5"/>
  <c r="W1809" i="5"/>
  <c r="V1810" i="5"/>
  <c r="W1810" i="5"/>
  <c r="V1811" i="5"/>
  <c r="W1811" i="5"/>
  <c r="V1812" i="5"/>
  <c r="W1812" i="5"/>
  <c r="V1813" i="5"/>
  <c r="W1813" i="5"/>
  <c r="V1814" i="5"/>
  <c r="W1814" i="5"/>
  <c r="V1815" i="5"/>
  <c r="W1815" i="5"/>
  <c r="V1816" i="5"/>
  <c r="W1816" i="5"/>
  <c r="V1817" i="5"/>
  <c r="W1817" i="5"/>
  <c r="V1818" i="5"/>
  <c r="W1818" i="5"/>
  <c r="V1819" i="5"/>
  <c r="W1819" i="5"/>
  <c r="V1820" i="5"/>
  <c r="W1820" i="5"/>
  <c r="V1821" i="5"/>
  <c r="W1821" i="5"/>
  <c r="V1822" i="5"/>
  <c r="W1822" i="5"/>
  <c r="V1823" i="5"/>
  <c r="W1823" i="5"/>
  <c r="V1824" i="5"/>
  <c r="W1824" i="5"/>
  <c r="V1825" i="5"/>
  <c r="W1825" i="5"/>
  <c r="V1826" i="5"/>
  <c r="W1826" i="5"/>
  <c r="V1827" i="5"/>
  <c r="W1827" i="5"/>
  <c r="V1828" i="5"/>
  <c r="W1828" i="5"/>
  <c r="V1829" i="5"/>
  <c r="W1829" i="5"/>
  <c r="V1830" i="5"/>
  <c r="W1830" i="5"/>
  <c r="V1831" i="5"/>
  <c r="W1831" i="5"/>
  <c r="V1832" i="5"/>
  <c r="W1832" i="5"/>
  <c r="V1833" i="5"/>
  <c r="W1833" i="5"/>
  <c r="V1834" i="5"/>
  <c r="W1834" i="5"/>
  <c r="V1835" i="5"/>
  <c r="W1835" i="5"/>
  <c r="V1836" i="5"/>
  <c r="W1836" i="5"/>
  <c r="V1837" i="5"/>
  <c r="W1837" i="5"/>
  <c r="V1838" i="5"/>
  <c r="W1838" i="5"/>
  <c r="V1839" i="5"/>
  <c r="W1839" i="5"/>
  <c r="V1840" i="5"/>
  <c r="W1840" i="5"/>
  <c r="V1841" i="5"/>
  <c r="W1841" i="5"/>
  <c r="V1842" i="5"/>
  <c r="W1842" i="5"/>
  <c r="V1843" i="5"/>
  <c r="W1843" i="5"/>
  <c r="V1844" i="5"/>
  <c r="W1844" i="5"/>
  <c r="V1845" i="5"/>
  <c r="W1845" i="5"/>
  <c r="V1846" i="5"/>
  <c r="W1846" i="5"/>
  <c r="V1847" i="5"/>
  <c r="W1847" i="5"/>
  <c r="V1848" i="5"/>
  <c r="W1848" i="5"/>
  <c r="V1849" i="5"/>
  <c r="W1849" i="5"/>
  <c r="V1850" i="5"/>
  <c r="W1850" i="5"/>
  <c r="V1851" i="5"/>
  <c r="W1851" i="5"/>
  <c r="V1852" i="5"/>
  <c r="W1852" i="5"/>
  <c r="V1853" i="5"/>
  <c r="W1853" i="5"/>
  <c r="V1854" i="5"/>
  <c r="W1854" i="5"/>
  <c r="V1855" i="5"/>
  <c r="W1855" i="5"/>
  <c r="V1856" i="5"/>
  <c r="W1856" i="5"/>
  <c r="V1857" i="5"/>
  <c r="W1857" i="5"/>
  <c r="V1858" i="5"/>
  <c r="W1858" i="5"/>
  <c r="V1859" i="5"/>
  <c r="W1859" i="5"/>
  <c r="V1860" i="5"/>
  <c r="W1860" i="5"/>
  <c r="V1861" i="5"/>
  <c r="W1861" i="5"/>
  <c r="V1862" i="5"/>
  <c r="W1862" i="5"/>
  <c r="V1863" i="5"/>
  <c r="W1863" i="5"/>
  <c r="V1864" i="5"/>
  <c r="W1864" i="5"/>
  <c r="V1865" i="5"/>
  <c r="W1865" i="5"/>
  <c r="V1866" i="5"/>
  <c r="W1866" i="5"/>
  <c r="V1867" i="5"/>
  <c r="W1867" i="5"/>
  <c r="V1868" i="5"/>
  <c r="W1868" i="5"/>
  <c r="V1869" i="5"/>
  <c r="W1869" i="5"/>
  <c r="V1870" i="5"/>
  <c r="W1870" i="5"/>
  <c r="V1871" i="5"/>
  <c r="W1871" i="5"/>
  <c r="V1872" i="5"/>
  <c r="W1872" i="5"/>
  <c r="V1873" i="5"/>
  <c r="W1873" i="5"/>
  <c r="V1874" i="5"/>
  <c r="W1874" i="5"/>
  <c r="V1875" i="5"/>
  <c r="W1875" i="5"/>
  <c r="V1876" i="5"/>
  <c r="W1876" i="5"/>
  <c r="V1877" i="5"/>
  <c r="W1877" i="5"/>
  <c r="V1878" i="5"/>
  <c r="W1878" i="5"/>
  <c r="V1879" i="5"/>
  <c r="W1879" i="5"/>
  <c r="V1880" i="5"/>
  <c r="W1880" i="5"/>
  <c r="V1881" i="5"/>
  <c r="W1881" i="5"/>
  <c r="V1882" i="5"/>
  <c r="W1882" i="5"/>
  <c r="V1883" i="5"/>
  <c r="W1883" i="5"/>
  <c r="V1884" i="5"/>
  <c r="W1884" i="5"/>
  <c r="V1885" i="5"/>
  <c r="W1885" i="5"/>
  <c r="V1886" i="5"/>
  <c r="W1886" i="5"/>
  <c r="V1887" i="5"/>
  <c r="W1887" i="5"/>
  <c r="V1888" i="5"/>
  <c r="W1888" i="5"/>
  <c r="V1889" i="5"/>
  <c r="W1889" i="5"/>
  <c r="V1890" i="5"/>
  <c r="W1890" i="5"/>
  <c r="V1891" i="5"/>
  <c r="W1891" i="5"/>
  <c r="V1892" i="5"/>
  <c r="W1892" i="5"/>
  <c r="V1893" i="5"/>
  <c r="W1893" i="5"/>
  <c r="V1894" i="5"/>
  <c r="W1894" i="5"/>
  <c r="V1895" i="5"/>
  <c r="W1895" i="5"/>
  <c r="V1896" i="5"/>
  <c r="W1896" i="5"/>
  <c r="V1897" i="5"/>
  <c r="W1897" i="5"/>
  <c r="V1898" i="5"/>
  <c r="W1898" i="5"/>
  <c r="V1899" i="5"/>
  <c r="W1899" i="5"/>
  <c r="V1900" i="5"/>
  <c r="W1900" i="5"/>
  <c r="V1901" i="5"/>
  <c r="W1901" i="5"/>
  <c r="V1902" i="5"/>
  <c r="W1902" i="5"/>
  <c r="V1903" i="5"/>
  <c r="W1903" i="5"/>
  <c r="V1904" i="5"/>
  <c r="W1904" i="5"/>
  <c r="V1905" i="5"/>
  <c r="W1905" i="5"/>
  <c r="V1906" i="5"/>
  <c r="W1906" i="5"/>
  <c r="V1907" i="5"/>
  <c r="W1907" i="5"/>
  <c r="V1908" i="5"/>
  <c r="W1908" i="5"/>
  <c r="V1909" i="5"/>
  <c r="W1909" i="5"/>
  <c r="V1910" i="5"/>
  <c r="W1910" i="5"/>
  <c r="V1911" i="5"/>
  <c r="W1911" i="5"/>
  <c r="V1912" i="5"/>
  <c r="W1912" i="5"/>
  <c r="V1913" i="5"/>
  <c r="W1913" i="5"/>
  <c r="V1914" i="5"/>
  <c r="W1914" i="5"/>
  <c r="V1915" i="5"/>
  <c r="W1915" i="5"/>
  <c r="V1916" i="5"/>
  <c r="W1916" i="5"/>
  <c r="V1917" i="5"/>
  <c r="W1917" i="5"/>
  <c r="V1918" i="5"/>
  <c r="W1918" i="5"/>
  <c r="V1919" i="5"/>
  <c r="W1919" i="5"/>
  <c r="V1920" i="5"/>
  <c r="W1920" i="5"/>
  <c r="V1921" i="5"/>
  <c r="W1921" i="5"/>
  <c r="V1922" i="5"/>
  <c r="W1922" i="5"/>
  <c r="V1923" i="5"/>
  <c r="W1923" i="5"/>
  <c r="V1924" i="5"/>
  <c r="W1924" i="5"/>
  <c r="V1925" i="5"/>
  <c r="W1925" i="5"/>
  <c r="V1926" i="5"/>
  <c r="W1926" i="5"/>
  <c r="V1927" i="5"/>
  <c r="W1927" i="5"/>
  <c r="V1928" i="5"/>
  <c r="W1928" i="5"/>
  <c r="V1929" i="5"/>
  <c r="W1929" i="5"/>
  <c r="V1930" i="5"/>
  <c r="W1930" i="5"/>
  <c r="V1931" i="5"/>
  <c r="W1931" i="5"/>
  <c r="V1932" i="5"/>
  <c r="W1932" i="5"/>
  <c r="V1933" i="5"/>
  <c r="W1933" i="5"/>
  <c r="V1934" i="5"/>
  <c r="W1934" i="5"/>
  <c r="V1935" i="5"/>
  <c r="W1935" i="5"/>
  <c r="V1936" i="5"/>
  <c r="W1936" i="5"/>
  <c r="V1937" i="5"/>
  <c r="W1937" i="5"/>
  <c r="V1938" i="5"/>
  <c r="W1938" i="5"/>
  <c r="V1939" i="5"/>
  <c r="W1939" i="5"/>
  <c r="V1940" i="5"/>
  <c r="W1940" i="5"/>
  <c r="V1941" i="5"/>
  <c r="W1941" i="5"/>
  <c r="V1942" i="5"/>
  <c r="W1942" i="5"/>
  <c r="V1943" i="5"/>
  <c r="W1943" i="5"/>
  <c r="V1944" i="5"/>
  <c r="W1944" i="5"/>
  <c r="V1945" i="5"/>
  <c r="W1945" i="5"/>
  <c r="V1946" i="5"/>
  <c r="W1946" i="5"/>
  <c r="V1947" i="5"/>
  <c r="W1947" i="5"/>
  <c r="V1948" i="5"/>
  <c r="W1948" i="5"/>
  <c r="V1949" i="5"/>
  <c r="W1949" i="5"/>
  <c r="V1950" i="5"/>
  <c r="W1950" i="5"/>
  <c r="V1951" i="5"/>
  <c r="W1951" i="5"/>
  <c r="V1952" i="5"/>
  <c r="W1952" i="5"/>
  <c r="V1953" i="5"/>
  <c r="W1953" i="5"/>
  <c r="V1954" i="5"/>
  <c r="W1954" i="5"/>
  <c r="V1955" i="5"/>
  <c r="W1955" i="5"/>
  <c r="V1956" i="5"/>
  <c r="W1956" i="5"/>
  <c r="V1957" i="5"/>
  <c r="W1957" i="5"/>
  <c r="V1958" i="5"/>
  <c r="W1958" i="5"/>
  <c r="V1959" i="5"/>
  <c r="W1959" i="5"/>
  <c r="V1960" i="5"/>
  <c r="W1960" i="5"/>
  <c r="V1961" i="5"/>
  <c r="W1961" i="5"/>
  <c r="V1962" i="5"/>
  <c r="W1962" i="5"/>
  <c r="V1963" i="5"/>
  <c r="W1963" i="5"/>
  <c r="V1964" i="5"/>
  <c r="W1964" i="5"/>
  <c r="V1965" i="5"/>
  <c r="W1965" i="5"/>
  <c r="V1966" i="5"/>
  <c r="W1966" i="5"/>
  <c r="V1967" i="5"/>
  <c r="W1967" i="5"/>
  <c r="V1968" i="5"/>
  <c r="W1968" i="5"/>
  <c r="V1969" i="5"/>
  <c r="W1969" i="5"/>
  <c r="V1970" i="5"/>
  <c r="W1970" i="5"/>
  <c r="V1971" i="5"/>
  <c r="W1971" i="5"/>
  <c r="V1972" i="5"/>
  <c r="W1972" i="5"/>
  <c r="V1973" i="5"/>
  <c r="W1973" i="5"/>
  <c r="V1974" i="5"/>
  <c r="W1974" i="5"/>
  <c r="V1975" i="5"/>
  <c r="W1975" i="5"/>
  <c r="V1976" i="5"/>
  <c r="W1976" i="5"/>
  <c r="V1977" i="5"/>
  <c r="W1977" i="5"/>
  <c r="V1978" i="5"/>
  <c r="W1978" i="5"/>
  <c r="V1979" i="5"/>
  <c r="W1979" i="5"/>
  <c r="V1980" i="5"/>
  <c r="W1980" i="5"/>
  <c r="V1981" i="5"/>
  <c r="W1981" i="5"/>
  <c r="V1982" i="5"/>
  <c r="W1982" i="5"/>
  <c r="V1983" i="5"/>
  <c r="W1983" i="5"/>
  <c r="V1984" i="5"/>
  <c r="W1984" i="5"/>
  <c r="V1985" i="5"/>
  <c r="W1985" i="5"/>
  <c r="V1986" i="5"/>
  <c r="W1986" i="5"/>
  <c r="V1987" i="5"/>
  <c r="W1987" i="5"/>
  <c r="V1988" i="5"/>
  <c r="W1988" i="5"/>
  <c r="V1989" i="5"/>
  <c r="W1989" i="5"/>
  <c r="V1990" i="5"/>
  <c r="W1990" i="5"/>
  <c r="V1991" i="5"/>
  <c r="W1991" i="5"/>
  <c r="V1992" i="5"/>
  <c r="W1992" i="5"/>
  <c r="V1993" i="5"/>
  <c r="W1993" i="5"/>
  <c r="V1994" i="5"/>
  <c r="W1994" i="5"/>
  <c r="V1995" i="5"/>
  <c r="W1995" i="5"/>
  <c r="V1996" i="5"/>
  <c r="W1996" i="5"/>
  <c r="V1997" i="5"/>
  <c r="W1997" i="5"/>
  <c r="V1998" i="5"/>
  <c r="W1998" i="5"/>
  <c r="V1999" i="5"/>
  <c r="W1999" i="5"/>
  <c r="V2000" i="5"/>
  <c r="W2000" i="5"/>
  <c r="W5" i="5"/>
  <c r="V5" i="5"/>
  <c r="D14" i="27"/>
  <c r="E14" i="27"/>
  <c r="F14" i="27"/>
  <c r="G14" i="27"/>
  <c r="H14" i="27"/>
  <c r="I14" i="27"/>
  <c r="J14" i="27"/>
  <c r="K14" i="27"/>
  <c r="L14" i="27"/>
  <c r="M14" i="27"/>
  <c r="N14" i="27"/>
  <c r="O14" i="27"/>
  <c r="C14" i="27"/>
  <c r="D11" i="27"/>
  <c r="E11" i="27"/>
  <c r="F11" i="27"/>
  <c r="G11" i="27"/>
  <c r="H11" i="27"/>
  <c r="I11" i="27"/>
  <c r="J11" i="27"/>
  <c r="K11" i="27"/>
  <c r="L11" i="27"/>
  <c r="M11" i="27"/>
  <c r="N11" i="27"/>
  <c r="O11" i="27"/>
  <c r="C11" i="27"/>
  <c r="K20" i="24"/>
  <c r="C99" i="24" l="1"/>
  <c r="C98" i="24"/>
  <c r="C97" i="24"/>
  <c r="C96" i="24"/>
  <c r="C95" i="24"/>
  <c r="C94" i="24"/>
  <c r="C93" i="24"/>
  <c r="C92" i="24"/>
  <c r="C91" i="24"/>
  <c r="C90" i="24"/>
  <c r="Y11" i="29"/>
  <c r="D13" i="29"/>
  <c r="I8" i="27"/>
  <c r="E8" i="27"/>
  <c r="C8" i="27"/>
  <c r="D8" i="27"/>
  <c r="N8" i="27"/>
  <c r="L8" i="27"/>
  <c r="K8" i="27"/>
  <c r="M8" i="27"/>
  <c r="J8" i="27"/>
  <c r="H8" i="27"/>
  <c r="G8" i="27"/>
  <c r="F8" i="27"/>
  <c r="B5" i="18"/>
  <c r="B1879" i="18"/>
  <c r="C1879" i="18"/>
  <c r="D1879" i="18"/>
  <c r="E1879" i="18"/>
  <c r="B1880" i="18"/>
  <c r="C1880" i="18"/>
  <c r="D1880" i="18"/>
  <c r="E1880" i="18"/>
  <c r="B1881" i="18"/>
  <c r="C1881" i="18"/>
  <c r="D1881" i="18"/>
  <c r="E1881" i="18"/>
  <c r="B1882" i="18"/>
  <c r="C1882" i="18"/>
  <c r="D1882" i="18"/>
  <c r="E1882" i="18"/>
  <c r="B1883" i="18"/>
  <c r="C1883" i="18"/>
  <c r="D1883" i="18"/>
  <c r="E1883" i="18"/>
  <c r="B1884" i="18"/>
  <c r="C1884" i="18"/>
  <c r="D1884" i="18"/>
  <c r="E1884" i="18"/>
  <c r="B1885" i="18"/>
  <c r="C1885" i="18"/>
  <c r="D1885" i="18"/>
  <c r="E1885" i="18"/>
  <c r="B1886" i="18"/>
  <c r="C1886" i="18"/>
  <c r="D1886" i="18"/>
  <c r="E1886" i="18"/>
  <c r="B1887" i="18"/>
  <c r="C1887" i="18"/>
  <c r="D1887" i="18"/>
  <c r="E1887" i="18"/>
  <c r="B1888" i="18"/>
  <c r="C1888" i="18"/>
  <c r="D1888" i="18"/>
  <c r="E1888" i="18"/>
  <c r="B1889" i="18"/>
  <c r="C1889" i="18"/>
  <c r="D1889" i="18"/>
  <c r="E1889" i="18"/>
  <c r="B1890" i="18"/>
  <c r="C1890" i="18"/>
  <c r="D1890" i="18"/>
  <c r="E1890" i="18"/>
  <c r="B1891" i="18"/>
  <c r="C1891" i="18"/>
  <c r="D1891" i="18"/>
  <c r="E1891" i="18"/>
  <c r="B1892" i="18"/>
  <c r="C1892" i="18"/>
  <c r="D1892" i="18"/>
  <c r="E1892" i="18"/>
  <c r="B1893" i="18"/>
  <c r="C1893" i="18"/>
  <c r="D1893" i="18"/>
  <c r="E1893" i="18"/>
  <c r="B1894" i="18"/>
  <c r="C1894" i="18"/>
  <c r="D1894" i="18"/>
  <c r="E1894" i="18"/>
  <c r="B1895" i="18"/>
  <c r="C1895" i="18"/>
  <c r="D1895" i="18"/>
  <c r="E1895" i="18"/>
  <c r="B1896" i="18"/>
  <c r="C1896" i="18"/>
  <c r="D1896" i="18"/>
  <c r="E1896" i="18"/>
  <c r="B1897" i="18"/>
  <c r="C1897" i="18"/>
  <c r="D1897" i="18"/>
  <c r="E1897" i="18"/>
  <c r="B1898" i="18"/>
  <c r="C1898" i="18"/>
  <c r="D1898" i="18"/>
  <c r="E1898" i="18"/>
  <c r="B1899" i="18"/>
  <c r="C1899" i="18"/>
  <c r="D1899" i="18"/>
  <c r="E1899" i="18"/>
  <c r="B1900" i="18"/>
  <c r="C1900" i="18"/>
  <c r="D1900" i="18"/>
  <c r="E1900" i="18"/>
  <c r="B1901" i="18"/>
  <c r="C1901" i="18"/>
  <c r="D1901" i="18"/>
  <c r="E1901" i="18"/>
  <c r="B1902" i="18"/>
  <c r="C1902" i="18"/>
  <c r="D1902" i="18"/>
  <c r="E1902" i="18"/>
  <c r="B1903" i="18"/>
  <c r="C1903" i="18"/>
  <c r="D1903" i="18"/>
  <c r="E1903" i="18"/>
  <c r="B1904" i="18"/>
  <c r="C1904" i="18"/>
  <c r="D1904" i="18"/>
  <c r="E1904" i="18"/>
  <c r="B1905" i="18"/>
  <c r="C1905" i="18"/>
  <c r="D1905" i="18"/>
  <c r="E1905" i="18"/>
  <c r="B1906" i="18"/>
  <c r="C1906" i="18"/>
  <c r="D1906" i="18"/>
  <c r="E1906" i="18"/>
  <c r="B1907" i="18"/>
  <c r="C1907" i="18"/>
  <c r="D1907" i="18"/>
  <c r="E1907" i="18"/>
  <c r="B1908" i="18"/>
  <c r="C1908" i="18"/>
  <c r="D1908" i="18"/>
  <c r="E1908" i="18"/>
  <c r="B1909" i="18"/>
  <c r="C1909" i="18"/>
  <c r="D1909" i="18"/>
  <c r="E1909" i="18"/>
  <c r="B1910" i="18"/>
  <c r="C1910" i="18"/>
  <c r="D1910" i="18"/>
  <c r="E1910" i="18"/>
  <c r="B1911" i="18"/>
  <c r="C1911" i="18"/>
  <c r="D1911" i="18"/>
  <c r="E1911" i="18"/>
  <c r="B1912" i="18"/>
  <c r="C1912" i="18"/>
  <c r="D1912" i="18"/>
  <c r="E1912" i="18"/>
  <c r="B1913" i="18"/>
  <c r="C1913" i="18"/>
  <c r="D1913" i="18"/>
  <c r="E1913" i="18"/>
  <c r="B1914" i="18"/>
  <c r="C1914" i="18"/>
  <c r="D1914" i="18"/>
  <c r="E1914" i="18"/>
  <c r="B1915" i="18"/>
  <c r="C1915" i="18"/>
  <c r="D1915" i="18"/>
  <c r="E1915" i="18"/>
  <c r="B1916" i="18"/>
  <c r="C1916" i="18"/>
  <c r="D1916" i="18"/>
  <c r="E1916" i="18"/>
  <c r="B1917" i="18"/>
  <c r="C1917" i="18"/>
  <c r="D1917" i="18"/>
  <c r="E1917" i="18"/>
  <c r="B1918" i="18"/>
  <c r="C1918" i="18"/>
  <c r="D1918" i="18"/>
  <c r="E1918" i="18"/>
  <c r="B1919" i="18"/>
  <c r="C1919" i="18"/>
  <c r="D1919" i="18"/>
  <c r="E1919" i="18"/>
  <c r="B1920" i="18"/>
  <c r="C1920" i="18"/>
  <c r="D1920" i="18"/>
  <c r="E1920" i="18"/>
  <c r="B1921" i="18"/>
  <c r="C1921" i="18"/>
  <c r="D1921" i="18"/>
  <c r="E1921" i="18"/>
  <c r="B1922" i="18"/>
  <c r="C1922" i="18"/>
  <c r="D1922" i="18"/>
  <c r="E1922" i="18"/>
  <c r="B1923" i="18"/>
  <c r="C1923" i="18"/>
  <c r="D1923" i="18"/>
  <c r="E1923" i="18"/>
  <c r="B1924" i="18"/>
  <c r="C1924" i="18"/>
  <c r="D1924" i="18"/>
  <c r="E1924" i="18"/>
  <c r="B1925" i="18"/>
  <c r="C1925" i="18"/>
  <c r="D1925" i="18"/>
  <c r="E1925" i="18"/>
  <c r="B1926" i="18"/>
  <c r="C1926" i="18"/>
  <c r="D1926" i="18"/>
  <c r="E1926" i="18"/>
  <c r="B1927" i="18"/>
  <c r="C1927" i="18"/>
  <c r="D1927" i="18"/>
  <c r="E1927" i="18"/>
  <c r="B1928" i="18"/>
  <c r="C1928" i="18"/>
  <c r="D1928" i="18"/>
  <c r="E1928" i="18"/>
  <c r="B1929" i="18"/>
  <c r="C1929" i="18"/>
  <c r="D1929" i="18"/>
  <c r="E1929" i="18"/>
  <c r="B1930" i="18"/>
  <c r="C1930" i="18"/>
  <c r="D1930" i="18"/>
  <c r="E1930" i="18"/>
  <c r="B1931" i="18"/>
  <c r="C1931" i="18"/>
  <c r="D1931" i="18"/>
  <c r="E1931" i="18"/>
  <c r="B1932" i="18"/>
  <c r="C1932" i="18"/>
  <c r="D1932" i="18"/>
  <c r="E1932" i="18"/>
  <c r="B1933" i="18"/>
  <c r="C1933" i="18"/>
  <c r="D1933" i="18"/>
  <c r="E1933" i="18"/>
  <c r="B1934" i="18"/>
  <c r="C1934" i="18"/>
  <c r="D1934" i="18"/>
  <c r="E1934" i="18"/>
  <c r="B1935" i="18"/>
  <c r="C1935" i="18"/>
  <c r="D1935" i="18"/>
  <c r="E1935" i="18"/>
  <c r="B1936" i="18"/>
  <c r="C1936" i="18"/>
  <c r="D1936" i="18"/>
  <c r="E1936" i="18"/>
  <c r="B1937" i="18"/>
  <c r="C1937" i="18"/>
  <c r="D1937" i="18"/>
  <c r="E1937" i="18"/>
  <c r="B1938" i="18"/>
  <c r="C1938" i="18"/>
  <c r="D1938" i="18"/>
  <c r="E1938" i="18"/>
  <c r="B1939" i="18"/>
  <c r="C1939" i="18"/>
  <c r="D1939" i="18"/>
  <c r="E1939" i="18"/>
  <c r="B1940" i="18"/>
  <c r="C1940" i="18"/>
  <c r="D1940" i="18"/>
  <c r="E1940" i="18"/>
  <c r="B1941" i="18"/>
  <c r="C1941" i="18"/>
  <c r="D1941" i="18"/>
  <c r="E1941" i="18"/>
  <c r="B1942" i="18"/>
  <c r="C1942" i="18"/>
  <c r="D1942" i="18"/>
  <c r="E1942" i="18"/>
  <c r="B1943" i="18"/>
  <c r="C1943" i="18"/>
  <c r="D1943" i="18"/>
  <c r="E1943" i="18"/>
  <c r="B1944" i="18"/>
  <c r="C1944" i="18"/>
  <c r="D1944" i="18"/>
  <c r="E1944" i="18"/>
  <c r="B1945" i="18"/>
  <c r="C1945" i="18"/>
  <c r="D1945" i="18"/>
  <c r="E1945" i="18"/>
  <c r="B1946" i="18"/>
  <c r="C1946" i="18"/>
  <c r="D1946" i="18"/>
  <c r="E1946" i="18"/>
  <c r="B1947" i="18"/>
  <c r="C1947" i="18"/>
  <c r="D1947" i="18"/>
  <c r="E1947" i="18"/>
  <c r="B1948" i="18"/>
  <c r="C1948" i="18"/>
  <c r="D1948" i="18"/>
  <c r="E1948" i="18"/>
  <c r="B1949" i="18"/>
  <c r="C1949" i="18"/>
  <c r="D1949" i="18"/>
  <c r="E1949" i="18"/>
  <c r="B1950" i="18"/>
  <c r="C1950" i="18"/>
  <c r="D1950" i="18"/>
  <c r="E1950" i="18"/>
  <c r="B1951" i="18"/>
  <c r="C1951" i="18"/>
  <c r="D1951" i="18"/>
  <c r="E1951" i="18"/>
  <c r="B1952" i="18"/>
  <c r="C1952" i="18"/>
  <c r="D1952" i="18"/>
  <c r="E1952" i="18"/>
  <c r="B1953" i="18"/>
  <c r="C1953" i="18"/>
  <c r="D1953" i="18"/>
  <c r="E1953" i="18"/>
  <c r="B1954" i="18"/>
  <c r="C1954" i="18"/>
  <c r="D1954" i="18"/>
  <c r="E1954" i="18"/>
  <c r="B1955" i="18"/>
  <c r="C1955" i="18"/>
  <c r="D1955" i="18"/>
  <c r="E1955" i="18"/>
  <c r="B1956" i="18"/>
  <c r="C1956" i="18"/>
  <c r="D1956" i="18"/>
  <c r="E1956" i="18"/>
  <c r="B1957" i="18"/>
  <c r="C1957" i="18"/>
  <c r="D1957" i="18"/>
  <c r="E1957" i="18"/>
  <c r="B1958" i="18"/>
  <c r="C1958" i="18"/>
  <c r="D1958" i="18"/>
  <c r="E1958" i="18"/>
  <c r="B1959" i="18"/>
  <c r="C1959" i="18"/>
  <c r="D1959" i="18"/>
  <c r="E1959" i="18"/>
  <c r="B1960" i="18"/>
  <c r="C1960" i="18"/>
  <c r="D1960" i="18"/>
  <c r="E1960" i="18"/>
  <c r="B1961" i="18"/>
  <c r="C1961" i="18"/>
  <c r="D1961" i="18"/>
  <c r="E1961" i="18"/>
  <c r="B1962" i="18"/>
  <c r="C1962" i="18"/>
  <c r="D1962" i="18"/>
  <c r="E1962" i="18"/>
  <c r="B1963" i="18"/>
  <c r="C1963" i="18"/>
  <c r="D1963" i="18"/>
  <c r="E1963" i="18"/>
  <c r="B1964" i="18"/>
  <c r="C1964" i="18"/>
  <c r="D1964" i="18"/>
  <c r="E1964" i="18"/>
  <c r="B1965" i="18"/>
  <c r="C1965" i="18"/>
  <c r="D1965" i="18"/>
  <c r="E1965" i="18"/>
  <c r="B1966" i="18"/>
  <c r="C1966" i="18"/>
  <c r="D1966" i="18"/>
  <c r="E1966" i="18"/>
  <c r="B1967" i="18"/>
  <c r="C1967" i="18"/>
  <c r="D1967" i="18"/>
  <c r="E1967" i="18"/>
  <c r="B1968" i="18"/>
  <c r="C1968" i="18"/>
  <c r="D1968" i="18"/>
  <c r="E1968" i="18"/>
  <c r="B1969" i="18"/>
  <c r="C1969" i="18"/>
  <c r="D1969" i="18"/>
  <c r="E1969" i="18"/>
  <c r="B1970" i="18"/>
  <c r="C1970" i="18"/>
  <c r="D1970" i="18"/>
  <c r="E1970" i="18"/>
  <c r="B1971" i="18"/>
  <c r="C1971" i="18"/>
  <c r="D1971" i="18"/>
  <c r="E1971" i="18"/>
  <c r="B1972" i="18"/>
  <c r="C1972" i="18"/>
  <c r="D1972" i="18"/>
  <c r="E1972" i="18"/>
  <c r="B1973" i="18"/>
  <c r="C1973" i="18"/>
  <c r="D1973" i="18"/>
  <c r="E1973" i="18"/>
  <c r="B1974" i="18"/>
  <c r="C1974" i="18"/>
  <c r="D1974" i="18"/>
  <c r="E1974" i="18"/>
  <c r="B1975" i="18"/>
  <c r="C1975" i="18"/>
  <c r="D1975" i="18"/>
  <c r="E1975" i="18"/>
  <c r="B1976" i="18"/>
  <c r="C1976" i="18"/>
  <c r="D1976" i="18"/>
  <c r="E1976" i="18"/>
  <c r="B1977" i="18"/>
  <c r="C1977" i="18"/>
  <c r="D1977" i="18"/>
  <c r="E1977" i="18"/>
  <c r="B1978" i="18"/>
  <c r="C1978" i="18"/>
  <c r="D1978" i="18"/>
  <c r="E1978" i="18"/>
  <c r="B1979" i="18"/>
  <c r="C1979" i="18"/>
  <c r="D1979" i="18"/>
  <c r="E1979" i="18"/>
  <c r="B1980" i="18"/>
  <c r="C1980" i="18"/>
  <c r="D1980" i="18"/>
  <c r="E1980" i="18"/>
  <c r="B1981" i="18"/>
  <c r="C1981" i="18"/>
  <c r="D1981" i="18"/>
  <c r="E1981" i="18"/>
  <c r="B1982" i="18"/>
  <c r="C1982" i="18"/>
  <c r="D1982" i="18"/>
  <c r="E1982" i="18"/>
  <c r="B1983" i="18"/>
  <c r="C1983" i="18"/>
  <c r="D1983" i="18"/>
  <c r="E1983" i="18"/>
  <c r="B1984" i="18"/>
  <c r="C1984" i="18"/>
  <c r="D1984" i="18"/>
  <c r="E1984" i="18"/>
  <c r="B1985" i="18"/>
  <c r="C1985" i="18"/>
  <c r="D1985" i="18"/>
  <c r="E1985" i="18"/>
  <c r="B1986" i="18"/>
  <c r="C1986" i="18"/>
  <c r="D1986" i="18"/>
  <c r="E1986" i="18"/>
  <c r="B1987" i="18"/>
  <c r="C1987" i="18"/>
  <c r="D1987" i="18"/>
  <c r="E1987" i="18"/>
  <c r="B1988" i="18"/>
  <c r="C1988" i="18"/>
  <c r="D1988" i="18"/>
  <c r="E1988" i="18"/>
  <c r="B1989" i="18"/>
  <c r="C1989" i="18"/>
  <c r="D1989" i="18"/>
  <c r="E1989" i="18"/>
  <c r="B1990" i="18"/>
  <c r="C1990" i="18"/>
  <c r="D1990" i="18"/>
  <c r="E1990" i="18"/>
  <c r="B1991" i="18"/>
  <c r="C1991" i="18"/>
  <c r="D1991" i="18"/>
  <c r="E1991" i="18"/>
  <c r="B1992" i="18"/>
  <c r="C1992" i="18"/>
  <c r="D1992" i="18"/>
  <c r="E1992" i="18"/>
  <c r="B1993" i="18"/>
  <c r="C1993" i="18"/>
  <c r="D1993" i="18"/>
  <c r="E1993" i="18"/>
  <c r="B1994" i="18"/>
  <c r="C1994" i="18"/>
  <c r="D1994" i="18"/>
  <c r="E1994" i="18"/>
  <c r="B1995" i="18"/>
  <c r="C1995" i="18"/>
  <c r="D1995" i="18"/>
  <c r="E1995" i="18"/>
  <c r="B1996" i="18"/>
  <c r="C1996" i="18"/>
  <c r="D1996" i="18"/>
  <c r="E1996" i="18"/>
  <c r="B1997" i="18"/>
  <c r="C1997" i="18"/>
  <c r="D1997" i="18"/>
  <c r="E1997" i="18"/>
  <c r="B1998" i="18"/>
  <c r="C1998" i="18"/>
  <c r="D1998" i="18"/>
  <c r="E1998" i="18"/>
  <c r="B1999" i="18"/>
  <c r="C1999" i="18"/>
  <c r="D1999" i="18"/>
  <c r="E1999" i="18"/>
  <c r="B2000" i="18"/>
  <c r="C2000" i="18"/>
  <c r="D2000" i="18"/>
  <c r="E2000" i="18"/>
  <c r="D5" i="18"/>
  <c r="C5" i="18"/>
  <c r="L1054" i="5"/>
  <c r="K1054" i="5"/>
  <c r="M1054" i="5" s="1"/>
  <c r="L1048" i="5"/>
  <c r="K1048" i="5"/>
  <c r="M1048" i="5" s="1"/>
  <c r="L1044" i="5"/>
  <c r="K1044" i="5"/>
  <c r="M1044" i="5" s="1"/>
  <c r="L1036" i="5"/>
  <c r="K1036" i="5"/>
  <c r="M1036" i="5" s="1"/>
  <c r="L1034" i="5"/>
  <c r="K1034" i="5"/>
  <c r="M1034" i="5" s="1"/>
  <c r="L14" i="29" l="1"/>
  <c r="E6" i="29"/>
  <c r="O8" i="27"/>
  <c r="B5" i="22" s="1"/>
  <c r="O3" i="24" l="1" a="1"/>
  <c r="O3" i="24" s="1"/>
  <c r="F32" i="24" s="1"/>
  <c r="E5" i="18"/>
  <c r="X4" i="24"/>
  <c r="X3" i="24" s="1"/>
  <c r="F31" i="24" l="1"/>
  <c r="E107" i="24"/>
  <c r="E106" i="24"/>
  <c r="E105" i="24"/>
  <c r="C22" i="24"/>
  <c r="C24" i="24"/>
  <c r="C25" i="24"/>
  <c r="C23" i="24"/>
  <c r="C21" i="24"/>
  <c r="E104" i="24" s="1"/>
  <c r="D175" i="19"/>
  <c r="F175" i="19"/>
  <c r="D176" i="19"/>
  <c r="F176" i="19"/>
  <c r="D177" i="19"/>
  <c r="F177" i="19"/>
  <c r="D178" i="19"/>
  <c r="F178" i="19"/>
  <c r="D179" i="19"/>
  <c r="F179" i="19"/>
  <c r="D180" i="19"/>
  <c r="F180" i="19"/>
  <c r="D181" i="19"/>
  <c r="F181" i="19"/>
  <c r="D182" i="19"/>
  <c r="F182" i="19"/>
  <c r="D183" i="19"/>
  <c r="F183" i="19"/>
  <c r="D184" i="19"/>
  <c r="F184" i="19"/>
  <c r="D185" i="19"/>
  <c r="F185" i="19"/>
  <c r="D186" i="19"/>
  <c r="F186" i="19"/>
  <c r="D187" i="19"/>
  <c r="F187" i="19"/>
  <c r="D188" i="19"/>
  <c r="F188" i="19"/>
  <c r="D189" i="19"/>
  <c r="F189" i="19"/>
  <c r="D190" i="19"/>
  <c r="F190" i="19"/>
  <c r="D191" i="19"/>
  <c r="F191" i="19"/>
  <c r="D192" i="19"/>
  <c r="F192" i="19"/>
  <c r="D193" i="19"/>
  <c r="F193" i="19"/>
  <c r="D194" i="19"/>
  <c r="F194" i="19"/>
  <c r="D195" i="19"/>
  <c r="F195" i="19"/>
  <c r="D196" i="19"/>
  <c r="F196" i="19"/>
  <c r="D197" i="19"/>
  <c r="F197" i="19"/>
  <c r="D198" i="19"/>
  <c r="F198" i="19"/>
  <c r="D199" i="19"/>
  <c r="F199" i="19"/>
  <c r="D200" i="19"/>
  <c r="F200" i="19"/>
  <c r="D201" i="19"/>
  <c r="F201" i="19"/>
  <c r="D202" i="19"/>
  <c r="F202" i="19"/>
  <c r="D203" i="19"/>
  <c r="F203" i="19"/>
  <c r="D204" i="19"/>
  <c r="F204" i="19"/>
  <c r="D205" i="19"/>
  <c r="F205" i="19"/>
  <c r="D206" i="19"/>
  <c r="F206" i="19"/>
  <c r="D207" i="19"/>
  <c r="F207" i="19"/>
  <c r="D208" i="19"/>
  <c r="F208" i="19"/>
  <c r="D209" i="19"/>
  <c r="F209" i="19"/>
  <c r="D210" i="19"/>
  <c r="F210" i="19"/>
  <c r="D211" i="19"/>
  <c r="F211" i="19"/>
  <c r="D212" i="19"/>
  <c r="F212" i="19"/>
  <c r="D213" i="19"/>
  <c r="F213" i="19"/>
  <c r="D214" i="19"/>
  <c r="F214" i="19"/>
  <c r="D215" i="19"/>
  <c r="F215" i="19"/>
  <c r="D216" i="19"/>
  <c r="F216" i="19"/>
  <c r="D217" i="19"/>
  <c r="F217" i="19"/>
  <c r="D218" i="19"/>
  <c r="F218" i="19"/>
  <c r="D219" i="19"/>
  <c r="F219" i="19"/>
  <c r="D220" i="19"/>
  <c r="F220" i="19"/>
  <c r="D221" i="19"/>
  <c r="F221" i="19"/>
  <c r="D222" i="19"/>
  <c r="F222" i="19"/>
  <c r="D223" i="19"/>
  <c r="F223" i="19"/>
  <c r="D224" i="19"/>
  <c r="F224" i="19"/>
  <c r="D225" i="19"/>
  <c r="F225" i="19"/>
  <c r="D226" i="19"/>
  <c r="F226" i="19"/>
  <c r="D227" i="19"/>
  <c r="F227" i="19"/>
  <c r="D228" i="19"/>
  <c r="F228" i="19"/>
  <c r="D229" i="19"/>
  <c r="F229" i="19"/>
  <c r="D230" i="19"/>
  <c r="F230" i="19"/>
  <c r="D231" i="19"/>
  <c r="F231" i="19"/>
  <c r="D232" i="19"/>
  <c r="F232" i="19"/>
  <c r="D233" i="19"/>
  <c r="F233" i="19"/>
  <c r="D234" i="19"/>
  <c r="F234" i="19"/>
  <c r="D235" i="19"/>
  <c r="F235" i="19"/>
  <c r="D236" i="19"/>
  <c r="F236" i="19"/>
  <c r="D237" i="19"/>
  <c r="F237" i="19"/>
  <c r="D238" i="19"/>
  <c r="F238" i="19"/>
  <c r="D239" i="19"/>
  <c r="F239" i="19"/>
  <c r="D240" i="19"/>
  <c r="F240" i="19"/>
  <c r="D241" i="19"/>
  <c r="F241" i="19"/>
  <c r="D242" i="19"/>
  <c r="F242" i="19"/>
  <c r="D243" i="19"/>
  <c r="F243" i="19"/>
  <c r="D244" i="19"/>
  <c r="F244" i="19"/>
  <c r="D245" i="19"/>
  <c r="F245" i="19"/>
  <c r="D246" i="19"/>
  <c r="F246" i="19"/>
  <c r="D247" i="19"/>
  <c r="F247" i="19"/>
  <c r="D248" i="19"/>
  <c r="F248" i="19"/>
  <c r="D249" i="19"/>
  <c r="F249" i="19"/>
  <c r="D250" i="19"/>
  <c r="F250" i="19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6" i="5"/>
  <c r="T36" i="5"/>
  <c r="S37" i="5"/>
  <c r="T37" i="5"/>
  <c r="S38" i="5"/>
  <c r="T38" i="5"/>
  <c r="S39" i="5"/>
  <c r="T39" i="5"/>
  <c r="S40" i="5"/>
  <c r="T40" i="5"/>
  <c r="S41" i="5"/>
  <c r="T41" i="5"/>
  <c r="S42" i="5"/>
  <c r="T42" i="5"/>
  <c r="S43" i="5"/>
  <c r="T43" i="5"/>
  <c r="S44" i="5"/>
  <c r="T44" i="5"/>
  <c r="S45" i="5"/>
  <c r="T45" i="5"/>
  <c r="S46" i="5"/>
  <c r="T46" i="5"/>
  <c r="S47" i="5"/>
  <c r="T47" i="5"/>
  <c r="S48" i="5"/>
  <c r="T48" i="5"/>
  <c r="S49" i="5"/>
  <c r="T49" i="5"/>
  <c r="S50" i="5"/>
  <c r="T50" i="5"/>
  <c r="S51" i="5"/>
  <c r="T51" i="5"/>
  <c r="S52" i="5"/>
  <c r="T52" i="5"/>
  <c r="S53" i="5"/>
  <c r="T53" i="5"/>
  <c r="S54" i="5"/>
  <c r="T54" i="5"/>
  <c r="S55" i="5"/>
  <c r="T55" i="5"/>
  <c r="S56" i="5"/>
  <c r="T56" i="5"/>
  <c r="S57" i="5"/>
  <c r="T57" i="5"/>
  <c r="S58" i="5"/>
  <c r="T58" i="5"/>
  <c r="S59" i="5"/>
  <c r="T59" i="5"/>
  <c r="S60" i="5"/>
  <c r="T60" i="5"/>
  <c r="S61" i="5"/>
  <c r="T61" i="5"/>
  <c r="S62" i="5"/>
  <c r="T62" i="5"/>
  <c r="S63" i="5"/>
  <c r="T63" i="5"/>
  <c r="S64" i="5"/>
  <c r="T64" i="5"/>
  <c r="S65" i="5"/>
  <c r="T65" i="5"/>
  <c r="S66" i="5"/>
  <c r="T66" i="5"/>
  <c r="S67" i="5"/>
  <c r="T67" i="5"/>
  <c r="S68" i="5"/>
  <c r="T68" i="5"/>
  <c r="S69" i="5"/>
  <c r="T69" i="5"/>
  <c r="S70" i="5"/>
  <c r="T70" i="5"/>
  <c r="S71" i="5"/>
  <c r="T71" i="5"/>
  <c r="S72" i="5"/>
  <c r="T72" i="5"/>
  <c r="S73" i="5"/>
  <c r="T73" i="5"/>
  <c r="S74" i="5"/>
  <c r="T74" i="5"/>
  <c r="S75" i="5"/>
  <c r="T75" i="5"/>
  <c r="S76" i="5"/>
  <c r="T76" i="5"/>
  <c r="S77" i="5"/>
  <c r="T77" i="5"/>
  <c r="S78" i="5"/>
  <c r="T78" i="5"/>
  <c r="S79" i="5"/>
  <c r="T79" i="5"/>
  <c r="S80" i="5"/>
  <c r="T80" i="5"/>
  <c r="S81" i="5"/>
  <c r="T81" i="5"/>
  <c r="S82" i="5"/>
  <c r="T82" i="5"/>
  <c r="S83" i="5"/>
  <c r="T83" i="5"/>
  <c r="S84" i="5"/>
  <c r="T84" i="5"/>
  <c r="S85" i="5"/>
  <c r="T85" i="5"/>
  <c r="S86" i="5"/>
  <c r="T86" i="5"/>
  <c r="S87" i="5"/>
  <c r="T87" i="5"/>
  <c r="S88" i="5"/>
  <c r="T88" i="5"/>
  <c r="S89" i="5"/>
  <c r="T89" i="5"/>
  <c r="S90" i="5"/>
  <c r="T90" i="5"/>
  <c r="S91" i="5"/>
  <c r="T91" i="5"/>
  <c r="S92" i="5"/>
  <c r="T92" i="5"/>
  <c r="S93" i="5"/>
  <c r="T93" i="5"/>
  <c r="S94" i="5"/>
  <c r="T94" i="5"/>
  <c r="S95" i="5"/>
  <c r="T95" i="5"/>
  <c r="S96" i="5"/>
  <c r="T96" i="5"/>
  <c r="S97" i="5"/>
  <c r="T97" i="5"/>
  <c r="S98" i="5"/>
  <c r="T98" i="5"/>
  <c r="S99" i="5"/>
  <c r="T99" i="5"/>
  <c r="S100" i="5"/>
  <c r="T100" i="5"/>
  <c r="S101" i="5"/>
  <c r="T101" i="5"/>
  <c r="S102" i="5"/>
  <c r="T102" i="5"/>
  <c r="S103" i="5"/>
  <c r="T103" i="5"/>
  <c r="S104" i="5"/>
  <c r="T104" i="5"/>
  <c r="S105" i="5"/>
  <c r="T105" i="5"/>
  <c r="S106" i="5"/>
  <c r="T106" i="5"/>
  <c r="S107" i="5"/>
  <c r="T107" i="5"/>
  <c r="S108" i="5"/>
  <c r="T108" i="5"/>
  <c r="S109" i="5"/>
  <c r="T109" i="5"/>
  <c r="S110" i="5"/>
  <c r="T110" i="5"/>
  <c r="S111" i="5"/>
  <c r="T111" i="5"/>
  <c r="S112" i="5"/>
  <c r="T112" i="5"/>
  <c r="S113" i="5"/>
  <c r="T113" i="5"/>
  <c r="S114" i="5"/>
  <c r="T114" i="5"/>
  <c r="S115" i="5"/>
  <c r="T115" i="5"/>
  <c r="S116" i="5"/>
  <c r="T116" i="5"/>
  <c r="S117" i="5"/>
  <c r="T117" i="5"/>
  <c r="S118" i="5"/>
  <c r="T118" i="5"/>
  <c r="S119" i="5"/>
  <c r="T119" i="5"/>
  <c r="S120" i="5"/>
  <c r="T120" i="5"/>
  <c r="S121" i="5"/>
  <c r="T121" i="5"/>
  <c r="S122" i="5"/>
  <c r="T122" i="5"/>
  <c r="S123" i="5"/>
  <c r="T123" i="5"/>
  <c r="S124" i="5"/>
  <c r="T124" i="5"/>
  <c r="S125" i="5"/>
  <c r="T125" i="5"/>
  <c r="S126" i="5"/>
  <c r="T126" i="5"/>
  <c r="S127" i="5"/>
  <c r="T127" i="5"/>
  <c r="S128" i="5"/>
  <c r="T128" i="5"/>
  <c r="S129" i="5"/>
  <c r="T129" i="5"/>
  <c r="S130" i="5"/>
  <c r="T130" i="5"/>
  <c r="S131" i="5"/>
  <c r="T131" i="5"/>
  <c r="S132" i="5"/>
  <c r="T132" i="5"/>
  <c r="S133" i="5"/>
  <c r="T133" i="5"/>
  <c r="S134" i="5"/>
  <c r="T134" i="5"/>
  <c r="S135" i="5"/>
  <c r="T135" i="5"/>
  <c r="S136" i="5"/>
  <c r="T136" i="5"/>
  <c r="S137" i="5"/>
  <c r="T137" i="5"/>
  <c r="S138" i="5"/>
  <c r="T138" i="5"/>
  <c r="S139" i="5"/>
  <c r="T139" i="5"/>
  <c r="S140" i="5"/>
  <c r="T140" i="5"/>
  <c r="S141" i="5"/>
  <c r="T141" i="5"/>
  <c r="S142" i="5"/>
  <c r="T142" i="5"/>
  <c r="S143" i="5"/>
  <c r="T143" i="5"/>
  <c r="S144" i="5"/>
  <c r="T144" i="5"/>
  <c r="S145" i="5"/>
  <c r="T145" i="5"/>
  <c r="S146" i="5"/>
  <c r="T146" i="5"/>
  <c r="S147" i="5"/>
  <c r="T147" i="5"/>
  <c r="S148" i="5"/>
  <c r="T148" i="5"/>
  <c r="S149" i="5"/>
  <c r="T149" i="5"/>
  <c r="S150" i="5"/>
  <c r="T150" i="5"/>
  <c r="S151" i="5"/>
  <c r="T151" i="5"/>
  <c r="S152" i="5"/>
  <c r="T152" i="5"/>
  <c r="S153" i="5"/>
  <c r="T153" i="5"/>
  <c r="S154" i="5"/>
  <c r="T154" i="5"/>
  <c r="S155" i="5"/>
  <c r="T155" i="5"/>
  <c r="S156" i="5"/>
  <c r="T156" i="5"/>
  <c r="S157" i="5"/>
  <c r="T157" i="5"/>
  <c r="S158" i="5"/>
  <c r="T158" i="5"/>
  <c r="S159" i="5"/>
  <c r="T159" i="5"/>
  <c r="S160" i="5"/>
  <c r="T160" i="5"/>
  <c r="S161" i="5"/>
  <c r="T161" i="5"/>
  <c r="S162" i="5"/>
  <c r="T162" i="5"/>
  <c r="S163" i="5"/>
  <c r="T163" i="5"/>
  <c r="S164" i="5"/>
  <c r="T164" i="5"/>
  <c r="S165" i="5"/>
  <c r="T165" i="5"/>
  <c r="S166" i="5"/>
  <c r="T166" i="5"/>
  <c r="S167" i="5"/>
  <c r="T167" i="5"/>
  <c r="S168" i="5"/>
  <c r="T168" i="5"/>
  <c r="S169" i="5"/>
  <c r="T169" i="5"/>
  <c r="S170" i="5"/>
  <c r="T170" i="5"/>
  <c r="S171" i="5"/>
  <c r="T171" i="5"/>
  <c r="S172" i="5"/>
  <c r="T172" i="5"/>
  <c r="S173" i="5"/>
  <c r="T173" i="5"/>
  <c r="S174" i="5"/>
  <c r="T174" i="5"/>
  <c r="S175" i="5"/>
  <c r="T175" i="5"/>
  <c r="S176" i="5"/>
  <c r="T176" i="5"/>
  <c r="S177" i="5"/>
  <c r="T177" i="5"/>
  <c r="S178" i="5"/>
  <c r="T178" i="5"/>
  <c r="S179" i="5"/>
  <c r="T179" i="5"/>
  <c r="S180" i="5"/>
  <c r="T180" i="5"/>
  <c r="S181" i="5"/>
  <c r="T181" i="5"/>
  <c r="S182" i="5"/>
  <c r="T182" i="5"/>
  <c r="S183" i="5"/>
  <c r="T183" i="5"/>
  <c r="S184" i="5"/>
  <c r="T184" i="5"/>
  <c r="S185" i="5"/>
  <c r="T185" i="5"/>
  <c r="S186" i="5"/>
  <c r="T186" i="5"/>
  <c r="S187" i="5"/>
  <c r="T187" i="5"/>
  <c r="S188" i="5"/>
  <c r="T188" i="5"/>
  <c r="S189" i="5"/>
  <c r="T189" i="5"/>
  <c r="S190" i="5"/>
  <c r="T190" i="5"/>
  <c r="S191" i="5"/>
  <c r="T191" i="5"/>
  <c r="S192" i="5"/>
  <c r="T192" i="5"/>
  <c r="S193" i="5"/>
  <c r="T193" i="5"/>
  <c r="S194" i="5"/>
  <c r="T194" i="5"/>
  <c r="S195" i="5"/>
  <c r="T195" i="5"/>
  <c r="S196" i="5"/>
  <c r="T196" i="5"/>
  <c r="S197" i="5"/>
  <c r="T197" i="5"/>
  <c r="S198" i="5"/>
  <c r="T198" i="5"/>
  <c r="S199" i="5"/>
  <c r="T199" i="5"/>
  <c r="S200" i="5"/>
  <c r="T200" i="5"/>
  <c r="S201" i="5"/>
  <c r="T201" i="5"/>
  <c r="S202" i="5"/>
  <c r="T202" i="5"/>
  <c r="S203" i="5"/>
  <c r="T203" i="5"/>
  <c r="S204" i="5"/>
  <c r="T204" i="5"/>
  <c r="S205" i="5"/>
  <c r="T205" i="5"/>
  <c r="S206" i="5"/>
  <c r="T206" i="5"/>
  <c r="S207" i="5"/>
  <c r="T207" i="5"/>
  <c r="S208" i="5"/>
  <c r="T208" i="5"/>
  <c r="S209" i="5"/>
  <c r="T209" i="5"/>
  <c r="S210" i="5"/>
  <c r="T210" i="5"/>
  <c r="S211" i="5"/>
  <c r="T211" i="5"/>
  <c r="S212" i="5"/>
  <c r="T212" i="5"/>
  <c r="S213" i="5"/>
  <c r="T213" i="5"/>
  <c r="S214" i="5"/>
  <c r="T214" i="5"/>
  <c r="S215" i="5"/>
  <c r="T215" i="5"/>
  <c r="S216" i="5"/>
  <c r="T216" i="5"/>
  <c r="S217" i="5"/>
  <c r="T217" i="5"/>
  <c r="S218" i="5"/>
  <c r="T218" i="5"/>
  <c r="S219" i="5"/>
  <c r="T219" i="5"/>
  <c r="S220" i="5"/>
  <c r="T220" i="5"/>
  <c r="S221" i="5"/>
  <c r="T221" i="5"/>
  <c r="S222" i="5"/>
  <c r="T222" i="5"/>
  <c r="S223" i="5"/>
  <c r="T223" i="5"/>
  <c r="S224" i="5"/>
  <c r="T224" i="5"/>
  <c r="S225" i="5"/>
  <c r="T225" i="5"/>
  <c r="S226" i="5"/>
  <c r="T226" i="5"/>
  <c r="S227" i="5"/>
  <c r="T227" i="5"/>
  <c r="S228" i="5"/>
  <c r="T228" i="5"/>
  <c r="S229" i="5"/>
  <c r="T229" i="5"/>
  <c r="S230" i="5"/>
  <c r="T230" i="5"/>
  <c r="S231" i="5"/>
  <c r="T231" i="5"/>
  <c r="S232" i="5"/>
  <c r="T232" i="5"/>
  <c r="S233" i="5"/>
  <c r="T233" i="5"/>
  <c r="S234" i="5"/>
  <c r="T234" i="5"/>
  <c r="S235" i="5"/>
  <c r="T235" i="5"/>
  <c r="S236" i="5"/>
  <c r="T236" i="5"/>
  <c r="S237" i="5"/>
  <c r="T237" i="5"/>
  <c r="S238" i="5"/>
  <c r="T238" i="5"/>
  <c r="S239" i="5"/>
  <c r="T239" i="5"/>
  <c r="S240" i="5"/>
  <c r="T240" i="5"/>
  <c r="S241" i="5"/>
  <c r="T241" i="5"/>
  <c r="S242" i="5"/>
  <c r="T242" i="5"/>
  <c r="S243" i="5"/>
  <c r="T243" i="5"/>
  <c r="S244" i="5"/>
  <c r="T244" i="5"/>
  <c r="S245" i="5"/>
  <c r="T245" i="5"/>
  <c r="S246" i="5"/>
  <c r="T246" i="5"/>
  <c r="S247" i="5"/>
  <c r="T247" i="5"/>
  <c r="S248" i="5"/>
  <c r="T248" i="5"/>
  <c r="S249" i="5"/>
  <c r="T249" i="5"/>
  <c r="S250" i="5"/>
  <c r="T250" i="5"/>
  <c r="S251" i="5"/>
  <c r="T251" i="5"/>
  <c r="S252" i="5"/>
  <c r="T252" i="5"/>
  <c r="S253" i="5"/>
  <c r="T253" i="5"/>
  <c r="S254" i="5"/>
  <c r="T254" i="5"/>
  <c r="S255" i="5"/>
  <c r="T255" i="5"/>
  <c r="S256" i="5"/>
  <c r="T256" i="5"/>
  <c r="S257" i="5"/>
  <c r="T257" i="5"/>
  <c r="S258" i="5"/>
  <c r="T258" i="5"/>
  <c r="S259" i="5"/>
  <c r="T259" i="5"/>
  <c r="S260" i="5"/>
  <c r="T260" i="5"/>
  <c r="S261" i="5"/>
  <c r="T261" i="5"/>
  <c r="S262" i="5"/>
  <c r="T262" i="5"/>
  <c r="S263" i="5"/>
  <c r="T263" i="5"/>
  <c r="S264" i="5"/>
  <c r="T264" i="5"/>
  <c r="S265" i="5"/>
  <c r="T265" i="5"/>
  <c r="S266" i="5"/>
  <c r="T266" i="5"/>
  <c r="S267" i="5"/>
  <c r="T267" i="5"/>
  <c r="S268" i="5"/>
  <c r="T268" i="5"/>
  <c r="S269" i="5"/>
  <c r="T269" i="5"/>
  <c r="S270" i="5"/>
  <c r="T270" i="5"/>
  <c r="S271" i="5"/>
  <c r="T271" i="5"/>
  <c r="S272" i="5"/>
  <c r="T272" i="5"/>
  <c r="S273" i="5"/>
  <c r="T273" i="5"/>
  <c r="S274" i="5"/>
  <c r="T274" i="5"/>
  <c r="S275" i="5"/>
  <c r="T275" i="5"/>
  <c r="S276" i="5"/>
  <c r="T276" i="5"/>
  <c r="S277" i="5"/>
  <c r="T277" i="5"/>
  <c r="S278" i="5"/>
  <c r="T278" i="5"/>
  <c r="S279" i="5"/>
  <c r="T279" i="5"/>
  <c r="S280" i="5"/>
  <c r="T280" i="5"/>
  <c r="S281" i="5"/>
  <c r="T281" i="5"/>
  <c r="S282" i="5"/>
  <c r="T282" i="5"/>
  <c r="S283" i="5"/>
  <c r="T283" i="5"/>
  <c r="S284" i="5"/>
  <c r="T284" i="5"/>
  <c r="S285" i="5"/>
  <c r="T285" i="5"/>
  <c r="S286" i="5"/>
  <c r="T286" i="5"/>
  <c r="S287" i="5"/>
  <c r="T287" i="5"/>
  <c r="S288" i="5"/>
  <c r="T288" i="5"/>
  <c r="S289" i="5"/>
  <c r="T289" i="5"/>
  <c r="S290" i="5"/>
  <c r="T290" i="5"/>
  <c r="S291" i="5"/>
  <c r="T291" i="5"/>
  <c r="S292" i="5"/>
  <c r="T292" i="5"/>
  <c r="S293" i="5"/>
  <c r="T293" i="5"/>
  <c r="S294" i="5"/>
  <c r="T294" i="5"/>
  <c r="S295" i="5"/>
  <c r="T295" i="5"/>
  <c r="S296" i="5"/>
  <c r="T296" i="5"/>
  <c r="S297" i="5"/>
  <c r="T297" i="5"/>
  <c r="S298" i="5"/>
  <c r="T298" i="5"/>
  <c r="S299" i="5"/>
  <c r="T299" i="5"/>
  <c r="S300" i="5"/>
  <c r="T300" i="5"/>
  <c r="S301" i="5"/>
  <c r="T301" i="5"/>
  <c r="S302" i="5"/>
  <c r="T302" i="5"/>
  <c r="S303" i="5"/>
  <c r="T303" i="5"/>
  <c r="S304" i="5"/>
  <c r="T304" i="5"/>
  <c r="S305" i="5"/>
  <c r="T305" i="5"/>
  <c r="S306" i="5"/>
  <c r="T306" i="5"/>
  <c r="S307" i="5"/>
  <c r="T307" i="5"/>
  <c r="S308" i="5"/>
  <c r="T308" i="5"/>
  <c r="S309" i="5"/>
  <c r="T309" i="5"/>
  <c r="S310" i="5"/>
  <c r="T310" i="5"/>
  <c r="S311" i="5"/>
  <c r="T311" i="5"/>
  <c r="S312" i="5"/>
  <c r="T312" i="5"/>
  <c r="S313" i="5"/>
  <c r="T313" i="5"/>
  <c r="S314" i="5"/>
  <c r="T314" i="5"/>
  <c r="S315" i="5"/>
  <c r="T315" i="5"/>
  <c r="S316" i="5"/>
  <c r="T316" i="5"/>
  <c r="S317" i="5"/>
  <c r="T317" i="5"/>
  <c r="S318" i="5"/>
  <c r="T318" i="5"/>
  <c r="S319" i="5"/>
  <c r="T319" i="5"/>
  <c r="S320" i="5"/>
  <c r="T320" i="5"/>
  <c r="S321" i="5"/>
  <c r="T321" i="5"/>
  <c r="S322" i="5"/>
  <c r="T322" i="5"/>
  <c r="S323" i="5"/>
  <c r="T323" i="5"/>
  <c r="S324" i="5"/>
  <c r="T324" i="5"/>
  <c r="S325" i="5"/>
  <c r="T325" i="5"/>
  <c r="S326" i="5"/>
  <c r="T326" i="5"/>
  <c r="S327" i="5"/>
  <c r="T327" i="5"/>
  <c r="S328" i="5"/>
  <c r="T328" i="5"/>
  <c r="S329" i="5"/>
  <c r="T329" i="5"/>
  <c r="S330" i="5"/>
  <c r="T330" i="5"/>
  <c r="S331" i="5"/>
  <c r="T331" i="5"/>
  <c r="S332" i="5"/>
  <c r="T332" i="5"/>
  <c r="S333" i="5"/>
  <c r="T333" i="5"/>
  <c r="S334" i="5"/>
  <c r="T334" i="5"/>
  <c r="S335" i="5"/>
  <c r="T335" i="5"/>
  <c r="S336" i="5"/>
  <c r="T336" i="5"/>
  <c r="S337" i="5"/>
  <c r="T337" i="5"/>
  <c r="S338" i="5"/>
  <c r="T338" i="5"/>
  <c r="S339" i="5"/>
  <c r="T339" i="5"/>
  <c r="S340" i="5"/>
  <c r="T340" i="5"/>
  <c r="S341" i="5"/>
  <c r="T341" i="5"/>
  <c r="S342" i="5"/>
  <c r="T342" i="5"/>
  <c r="S343" i="5"/>
  <c r="T343" i="5"/>
  <c r="S344" i="5"/>
  <c r="T344" i="5"/>
  <c r="S345" i="5"/>
  <c r="T345" i="5"/>
  <c r="S346" i="5"/>
  <c r="T346" i="5"/>
  <c r="S347" i="5"/>
  <c r="T347" i="5"/>
  <c r="S348" i="5"/>
  <c r="T348" i="5"/>
  <c r="S349" i="5"/>
  <c r="T349" i="5"/>
  <c r="S350" i="5"/>
  <c r="T350" i="5"/>
  <c r="S351" i="5"/>
  <c r="T351" i="5"/>
  <c r="S352" i="5"/>
  <c r="T352" i="5"/>
  <c r="S353" i="5"/>
  <c r="T353" i="5"/>
  <c r="S354" i="5"/>
  <c r="T354" i="5"/>
  <c r="S355" i="5"/>
  <c r="T355" i="5"/>
  <c r="S356" i="5"/>
  <c r="T356" i="5"/>
  <c r="S357" i="5"/>
  <c r="T357" i="5"/>
  <c r="S358" i="5"/>
  <c r="T358" i="5"/>
  <c r="S359" i="5"/>
  <c r="T359" i="5"/>
  <c r="S360" i="5"/>
  <c r="T360" i="5"/>
  <c r="S361" i="5"/>
  <c r="T361" i="5"/>
  <c r="S362" i="5"/>
  <c r="T362" i="5"/>
  <c r="S363" i="5"/>
  <c r="T363" i="5"/>
  <c r="S364" i="5"/>
  <c r="T364" i="5"/>
  <c r="S365" i="5"/>
  <c r="T365" i="5"/>
  <c r="S366" i="5"/>
  <c r="T366" i="5"/>
  <c r="S367" i="5"/>
  <c r="T367" i="5"/>
  <c r="S368" i="5"/>
  <c r="T368" i="5"/>
  <c r="S369" i="5"/>
  <c r="T369" i="5"/>
  <c r="S370" i="5"/>
  <c r="T370" i="5"/>
  <c r="S371" i="5"/>
  <c r="T371" i="5"/>
  <c r="S372" i="5"/>
  <c r="T372" i="5"/>
  <c r="S373" i="5"/>
  <c r="T373" i="5"/>
  <c r="S374" i="5"/>
  <c r="T374" i="5"/>
  <c r="S375" i="5"/>
  <c r="T375" i="5"/>
  <c r="S376" i="5"/>
  <c r="T376" i="5"/>
  <c r="S377" i="5"/>
  <c r="T377" i="5"/>
  <c r="S378" i="5"/>
  <c r="T378" i="5"/>
  <c r="S379" i="5"/>
  <c r="T379" i="5"/>
  <c r="S380" i="5"/>
  <c r="T380" i="5"/>
  <c r="S381" i="5"/>
  <c r="T381" i="5"/>
  <c r="S382" i="5"/>
  <c r="T382" i="5"/>
  <c r="S383" i="5"/>
  <c r="T383" i="5"/>
  <c r="S384" i="5"/>
  <c r="T384" i="5"/>
  <c r="S385" i="5"/>
  <c r="T385" i="5"/>
  <c r="S386" i="5"/>
  <c r="T386" i="5"/>
  <c r="S387" i="5"/>
  <c r="T387" i="5"/>
  <c r="S388" i="5"/>
  <c r="T388" i="5"/>
  <c r="S389" i="5"/>
  <c r="T389" i="5"/>
  <c r="S390" i="5"/>
  <c r="T390" i="5"/>
  <c r="S391" i="5"/>
  <c r="T391" i="5"/>
  <c r="S392" i="5"/>
  <c r="T392" i="5"/>
  <c r="S393" i="5"/>
  <c r="T393" i="5"/>
  <c r="S394" i="5"/>
  <c r="T394" i="5"/>
  <c r="S395" i="5"/>
  <c r="T395" i="5"/>
  <c r="S396" i="5"/>
  <c r="T396" i="5"/>
  <c r="S397" i="5"/>
  <c r="T397" i="5"/>
  <c r="S398" i="5"/>
  <c r="T398" i="5"/>
  <c r="S399" i="5"/>
  <c r="T399" i="5"/>
  <c r="S400" i="5"/>
  <c r="T400" i="5"/>
  <c r="S401" i="5"/>
  <c r="T401" i="5"/>
  <c r="S402" i="5"/>
  <c r="T402" i="5"/>
  <c r="S403" i="5"/>
  <c r="T403" i="5"/>
  <c r="S404" i="5"/>
  <c r="T404" i="5"/>
  <c r="S405" i="5"/>
  <c r="T405" i="5"/>
  <c r="S406" i="5"/>
  <c r="T406" i="5"/>
  <c r="S407" i="5"/>
  <c r="T407" i="5"/>
  <c r="S408" i="5"/>
  <c r="T408" i="5"/>
  <c r="S409" i="5"/>
  <c r="T409" i="5"/>
  <c r="S410" i="5"/>
  <c r="T410" i="5"/>
  <c r="S411" i="5"/>
  <c r="T411" i="5"/>
  <c r="S412" i="5"/>
  <c r="T412" i="5"/>
  <c r="S413" i="5"/>
  <c r="T413" i="5"/>
  <c r="S414" i="5"/>
  <c r="T414" i="5"/>
  <c r="S415" i="5"/>
  <c r="T415" i="5"/>
  <c r="S416" i="5"/>
  <c r="T416" i="5"/>
  <c r="S417" i="5"/>
  <c r="T417" i="5"/>
  <c r="S418" i="5"/>
  <c r="T418" i="5"/>
  <c r="S419" i="5"/>
  <c r="T419" i="5"/>
  <c r="S420" i="5"/>
  <c r="T420" i="5"/>
  <c r="S421" i="5"/>
  <c r="T421" i="5"/>
  <c r="S422" i="5"/>
  <c r="T422" i="5"/>
  <c r="S423" i="5"/>
  <c r="T423" i="5"/>
  <c r="S424" i="5"/>
  <c r="T424" i="5"/>
  <c r="S425" i="5"/>
  <c r="T425" i="5"/>
  <c r="S426" i="5"/>
  <c r="T426" i="5"/>
  <c r="S427" i="5"/>
  <c r="T427" i="5"/>
  <c r="S428" i="5"/>
  <c r="T428" i="5"/>
  <c r="S429" i="5"/>
  <c r="T429" i="5"/>
  <c r="S430" i="5"/>
  <c r="T430" i="5"/>
  <c r="S431" i="5"/>
  <c r="T431" i="5"/>
  <c r="S432" i="5"/>
  <c r="T432" i="5"/>
  <c r="S433" i="5"/>
  <c r="T433" i="5"/>
  <c r="S434" i="5"/>
  <c r="T434" i="5"/>
  <c r="S435" i="5"/>
  <c r="T435" i="5"/>
  <c r="S436" i="5"/>
  <c r="T436" i="5"/>
  <c r="S437" i="5"/>
  <c r="T437" i="5"/>
  <c r="S438" i="5"/>
  <c r="T438" i="5"/>
  <c r="S439" i="5"/>
  <c r="T439" i="5"/>
  <c r="S440" i="5"/>
  <c r="T440" i="5"/>
  <c r="S441" i="5"/>
  <c r="T441" i="5"/>
  <c r="S442" i="5"/>
  <c r="T442" i="5"/>
  <c r="S443" i="5"/>
  <c r="T443" i="5"/>
  <c r="S444" i="5"/>
  <c r="T444" i="5"/>
  <c r="S445" i="5"/>
  <c r="T445" i="5"/>
  <c r="S446" i="5"/>
  <c r="T446" i="5"/>
  <c r="S447" i="5"/>
  <c r="T447" i="5"/>
  <c r="S448" i="5"/>
  <c r="T448" i="5"/>
  <c r="S449" i="5"/>
  <c r="T449" i="5"/>
  <c r="S450" i="5"/>
  <c r="T450" i="5"/>
  <c r="S451" i="5"/>
  <c r="T451" i="5"/>
  <c r="S452" i="5"/>
  <c r="T452" i="5"/>
  <c r="S453" i="5"/>
  <c r="T453" i="5"/>
  <c r="S454" i="5"/>
  <c r="T454" i="5"/>
  <c r="S455" i="5"/>
  <c r="T455" i="5"/>
  <c r="S456" i="5"/>
  <c r="T456" i="5"/>
  <c r="S457" i="5"/>
  <c r="T457" i="5"/>
  <c r="S458" i="5"/>
  <c r="T458" i="5"/>
  <c r="S459" i="5"/>
  <c r="T459" i="5"/>
  <c r="S460" i="5"/>
  <c r="T460" i="5"/>
  <c r="S461" i="5"/>
  <c r="T461" i="5"/>
  <c r="S462" i="5"/>
  <c r="T462" i="5"/>
  <c r="S463" i="5"/>
  <c r="T463" i="5"/>
  <c r="S464" i="5"/>
  <c r="T464" i="5"/>
  <c r="S465" i="5"/>
  <c r="T465" i="5"/>
  <c r="S466" i="5"/>
  <c r="T466" i="5"/>
  <c r="S467" i="5"/>
  <c r="T467" i="5"/>
  <c r="S468" i="5"/>
  <c r="T468" i="5"/>
  <c r="S469" i="5"/>
  <c r="T469" i="5"/>
  <c r="S470" i="5"/>
  <c r="T470" i="5"/>
  <c r="S471" i="5"/>
  <c r="T471" i="5"/>
  <c r="S472" i="5"/>
  <c r="T472" i="5"/>
  <c r="S473" i="5"/>
  <c r="T473" i="5"/>
  <c r="S474" i="5"/>
  <c r="T474" i="5"/>
  <c r="S475" i="5"/>
  <c r="T475" i="5"/>
  <c r="S476" i="5"/>
  <c r="T476" i="5"/>
  <c r="S477" i="5"/>
  <c r="T477" i="5"/>
  <c r="S478" i="5"/>
  <c r="T478" i="5"/>
  <c r="S479" i="5"/>
  <c r="T479" i="5"/>
  <c r="S480" i="5"/>
  <c r="T480" i="5"/>
  <c r="S481" i="5"/>
  <c r="T481" i="5"/>
  <c r="S482" i="5"/>
  <c r="T482" i="5"/>
  <c r="S483" i="5"/>
  <c r="T483" i="5"/>
  <c r="S484" i="5"/>
  <c r="T484" i="5"/>
  <c r="S485" i="5"/>
  <c r="T485" i="5"/>
  <c r="S486" i="5"/>
  <c r="T486" i="5"/>
  <c r="S487" i="5"/>
  <c r="T487" i="5"/>
  <c r="S488" i="5"/>
  <c r="T488" i="5"/>
  <c r="S489" i="5"/>
  <c r="T489" i="5"/>
  <c r="S490" i="5"/>
  <c r="T490" i="5"/>
  <c r="S491" i="5"/>
  <c r="T491" i="5"/>
  <c r="S492" i="5"/>
  <c r="T492" i="5"/>
  <c r="S493" i="5"/>
  <c r="T493" i="5"/>
  <c r="S494" i="5"/>
  <c r="T494" i="5"/>
  <c r="S495" i="5"/>
  <c r="T495" i="5"/>
  <c r="S496" i="5"/>
  <c r="T496" i="5"/>
  <c r="S497" i="5"/>
  <c r="T497" i="5"/>
  <c r="S498" i="5"/>
  <c r="T498" i="5"/>
  <c r="S499" i="5"/>
  <c r="T499" i="5"/>
  <c r="S500" i="5"/>
  <c r="T500" i="5"/>
  <c r="S501" i="5"/>
  <c r="T501" i="5"/>
  <c r="S502" i="5"/>
  <c r="T502" i="5"/>
  <c r="S503" i="5"/>
  <c r="T503" i="5"/>
  <c r="S504" i="5"/>
  <c r="T504" i="5"/>
  <c r="S505" i="5"/>
  <c r="T505" i="5"/>
  <c r="S506" i="5"/>
  <c r="T506" i="5"/>
  <c r="S507" i="5"/>
  <c r="T507" i="5"/>
  <c r="S508" i="5"/>
  <c r="T508" i="5"/>
  <c r="S509" i="5"/>
  <c r="T509" i="5"/>
  <c r="S510" i="5"/>
  <c r="T510" i="5"/>
  <c r="S511" i="5"/>
  <c r="T511" i="5"/>
  <c r="S512" i="5"/>
  <c r="T512" i="5"/>
  <c r="S513" i="5"/>
  <c r="T513" i="5"/>
  <c r="S514" i="5"/>
  <c r="T514" i="5"/>
  <c r="S515" i="5"/>
  <c r="T515" i="5"/>
  <c r="S516" i="5"/>
  <c r="T516" i="5"/>
  <c r="S517" i="5"/>
  <c r="T517" i="5"/>
  <c r="S518" i="5"/>
  <c r="T518" i="5"/>
  <c r="S519" i="5"/>
  <c r="T519" i="5"/>
  <c r="S520" i="5"/>
  <c r="T520" i="5"/>
  <c r="S521" i="5"/>
  <c r="T521" i="5"/>
  <c r="S522" i="5"/>
  <c r="T522" i="5"/>
  <c r="S523" i="5"/>
  <c r="T523" i="5"/>
  <c r="S524" i="5"/>
  <c r="T524" i="5"/>
  <c r="S525" i="5"/>
  <c r="T525" i="5"/>
  <c r="S526" i="5"/>
  <c r="T526" i="5"/>
  <c r="S527" i="5"/>
  <c r="T527" i="5"/>
  <c r="S528" i="5"/>
  <c r="T528" i="5"/>
  <c r="S529" i="5"/>
  <c r="T529" i="5"/>
  <c r="S530" i="5"/>
  <c r="T530" i="5"/>
  <c r="S531" i="5"/>
  <c r="T531" i="5"/>
  <c r="S532" i="5"/>
  <c r="T532" i="5"/>
  <c r="S533" i="5"/>
  <c r="T533" i="5"/>
  <c r="S534" i="5"/>
  <c r="T534" i="5"/>
  <c r="S535" i="5"/>
  <c r="T535" i="5"/>
  <c r="S536" i="5"/>
  <c r="T536" i="5"/>
  <c r="S537" i="5"/>
  <c r="T537" i="5"/>
  <c r="S538" i="5"/>
  <c r="T538" i="5"/>
  <c r="S539" i="5"/>
  <c r="T539" i="5"/>
  <c r="S540" i="5"/>
  <c r="T540" i="5"/>
  <c r="S541" i="5"/>
  <c r="T541" i="5"/>
  <c r="S542" i="5"/>
  <c r="T542" i="5"/>
  <c r="S543" i="5"/>
  <c r="T543" i="5"/>
  <c r="S544" i="5"/>
  <c r="T544" i="5"/>
  <c r="S545" i="5"/>
  <c r="T545" i="5"/>
  <c r="S546" i="5"/>
  <c r="T546" i="5"/>
  <c r="S547" i="5"/>
  <c r="T547" i="5"/>
  <c r="S548" i="5"/>
  <c r="T548" i="5"/>
  <c r="S549" i="5"/>
  <c r="T549" i="5"/>
  <c r="S550" i="5"/>
  <c r="T550" i="5"/>
  <c r="S551" i="5"/>
  <c r="T551" i="5"/>
  <c r="S552" i="5"/>
  <c r="T552" i="5"/>
  <c r="S553" i="5"/>
  <c r="T553" i="5"/>
  <c r="S554" i="5"/>
  <c r="T554" i="5"/>
  <c r="S555" i="5"/>
  <c r="T555" i="5"/>
  <c r="S556" i="5"/>
  <c r="T556" i="5"/>
  <c r="S557" i="5"/>
  <c r="T557" i="5"/>
  <c r="S558" i="5"/>
  <c r="T558" i="5"/>
  <c r="S559" i="5"/>
  <c r="T559" i="5"/>
  <c r="S560" i="5"/>
  <c r="T560" i="5"/>
  <c r="S561" i="5"/>
  <c r="T561" i="5"/>
  <c r="S562" i="5"/>
  <c r="T562" i="5"/>
  <c r="S563" i="5"/>
  <c r="T563" i="5"/>
  <c r="S564" i="5"/>
  <c r="T564" i="5"/>
  <c r="S565" i="5"/>
  <c r="T565" i="5"/>
  <c r="S566" i="5"/>
  <c r="T566" i="5"/>
  <c r="S567" i="5"/>
  <c r="T567" i="5"/>
  <c r="S568" i="5"/>
  <c r="T568" i="5"/>
  <c r="S569" i="5"/>
  <c r="T569" i="5"/>
  <c r="S570" i="5"/>
  <c r="T570" i="5"/>
  <c r="S571" i="5"/>
  <c r="T571" i="5"/>
  <c r="S572" i="5"/>
  <c r="T572" i="5"/>
  <c r="S573" i="5"/>
  <c r="T573" i="5"/>
  <c r="S574" i="5"/>
  <c r="T574" i="5"/>
  <c r="S575" i="5"/>
  <c r="T575" i="5"/>
  <c r="S576" i="5"/>
  <c r="T576" i="5"/>
  <c r="S577" i="5"/>
  <c r="T577" i="5"/>
  <c r="S578" i="5"/>
  <c r="T578" i="5"/>
  <c r="S579" i="5"/>
  <c r="T579" i="5"/>
  <c r="S580" i="5"/>
  <c r="T580" i="5"/>
  <c r="S581" i="5"/>
  <c r="T581" i="5"/>
  <c r="S582" i="5"/>
  <c r="T582" i="5"/>
  <c r="S583" i="5"/>
  <c r="T583" i="5"/>
  <c r="S584" i="5"/>
  <c r="T584" i="5"/>
  <c r="S585" i="5"/>
  <c r="T585" i="5"/>
  <c r="S586" i="5"/>
  <c r="T586" i="5"/>
  <c r="S587" i="5"/>
  <c r="T587" i="5"/>
  <c r="S588" i="5"/>
  <c r="T588" i="5"/>
  <c r="S589" i="5"/>
  <c r="T589" i="5"/>
  <c r="S590" i="5"/>
  <c r="T590" i="5"/>
  <c r="S591" i="5"/>
  <c r="T591" i="5"/>
  <c r="S592" i="5"/>
  <c r="T592" i="5"/>
  <c r="S593" i="5"/>
  <c r="T593" i="5"/>
  <c r="S594" i="5"/>
  <c r="T594" i="5"/>
  <c r="S595" i="5"/>
  <c r="T595" i="5"/>
  <c r="S596" i="5"/>
  <c r="T596" i="5"/>
  <c r="S597" i="5"/>
  <c r="T597" i="5"/>
  <c r="S598" i="5"/>
  <c r="T598" i="5"/>
  <c r="S599" i="5"/>
  <c r="T599" i="5"/>
  <c r="S600" i="5"/>
  <c r="T600" i="5"/>
  <c r="S601" i="5"/>
  <c r="T601" i="5"/>
  <c r="S602" i="5"/>
  <c r="T602" i="5"/>
  <c r="S603" i="5"/>
  <c r="T603" i="5"/>
  <c r="S604" i="5"/>
  <c r="T604" i="5"/>
  <c r="S605" i="5"/>
  <c r="T605" i="5"/>
  <c r="S606" i="5"/>
  <c r="T606" i="5"/>
  <c r="S607" i="5"/>
  <c r="T607" i="5"/>
  <c r="S608" i="5"/>
  <c r="T608" i="5"/>
  <c r="S609" i="5"/>
  <c r="T609" i="5"/>
  <c r="S610" i="5"/>
  <c r="T610" i="5"/>
  <c r="S611" i="5"/>
  <c r="T611" i="5"/>
  <c r="S612" i="5"/>
  <c r="T612" i="5"/>
  <c r="S613" i="5"/>
  <c r="T613" i="5"/>
  <c r="S614" i="5"/>
  <c r="T614" i="5"/>
  <c r="S615" i="5"/>
  <c r="T615" i="5"/>
  <c r="S616" i="5"/>
  <c r="T616" i="5"/>
  <c r="S617" i="5"/>
  <c r="T617" i="5"/>
  <c r="S618" i="5"/>
  <c r="T618" i="5"/>
  <c r="S619" i="5"/>
  <c r="T619" i="5"/>
  <c r="S620" i="5"/>
  <c r="T620" i="5"/>
  <c r="S621" i="5"/>
  <c r="T621" i="5"/>
  <c r="S622" i="5"/>
  <c r="T622" i="5"/>
  <c r="S623" i="5"/>
  <c r="T623" i="5"/>
  <c r="S624" i="5"/>
  <c r="T624" i="5"/>
  <c r="S625" i="5"/>
  <c r="T625" i="5"/>
  <c r="S626" i="5"/>
  <c r="T626" i="5"/>
  <c r="S627" i="5"/>
  <c r="T627" i="5"/>
  <c r="S628" i="5"/>
  <c r="T628" i="5"/>
  <c r="S629" i="5"/>
  <c r="T629" i="5"/>
  <c r="S630" i="5"/>
  <c r="T630" i="5"/>
  <c r="S631" i="5"/>
  <c r="T631" i="5"/>
  <c r="S632" i="5"/>
  <c r="T632" i="5"/>
  <c r="S633" i="5"/>
  <c r="T633" i="5"/>
  <c r="S634" i="5"/>
  <c r="T634" i="5"/>
  <c r="S635" i="5"/>
  <c r="T635" i="5"/>
  <c r="S636" i="5"/>
  <c r="T636" i="5"/>
  <c r="S637" i="5"/>
  <c r="T637" i="5"/>
  <c r="S638" i="5"/>
  <c r="T638" i="5"/>
  <c r="S639" i="5"/>
  <c r="T639" i="5"/>
  <c r="S640" i="5"/>
  <c r="T640" i="5"/>
  <c r="S641" i="5"/>
  <c r="T641" i="5"/>
  <c r="S642" i="5"/>
  <c r="T642" i="5"/>
  <c r="S643" i="5"/>
  <c r="T643" i="5"/>
  <c r="S644" i="5"/>
  <c r="T644" i="5"/>
  <c r="S645" i="5"/>
  <c r="T645" i="5"/>
  <c r="S646" i="5"/>
  <c r="T646" i="5"/>
  <c r="S647" i="5"/>
  <c r="T647" i="5"/>
  <c r="S648" i="5"/>
  <c r="T648" i="5"/>
  <c r="S649" i="5"/>
  <c r="T649" i="5"/>
  <c r="S650" i="5"/>
  <c r="T650" i="5"/>
  <c r="S651" i="5"/>
  <c r="T651" i="5"/>
  <c r="S652" i="5"/>
  <c r="T652" i="5"/>
  <c r="S653" i="5"/>
  <c r="T653" i="5"/>
  <c r="S654" i="5"/>
  <c r="T654" i="5"/>
  <c r="S655" i="5"/>
  <c r="T655" i="5"/>
  <c r="S656" i="5"/>
  <c r="T656" i="5"/>
  <c r="S657" i="5"/>
  <c r="T657" i="5"/>
  <c r="S658" i="5"/>
  <c r="T658" i="5"/>
  <c r="S659" i="5"/>
  <c r="T659" i="5"/>
  <c r="S660" i="5"/>
  <c r="T660" i="5"/>
  <c r="S661" i="5"/>
  <c r="T661" i="5"/>
  <c r="S662" i="5"/>
  <c r="T662" i="5"/>
  <c r="S663" i="5"/>
  <c r="T663" i="5"/>
  <c r="S664" i="5"/>
  <c r="T664" i="5"/>
  <c r="S665" i="5"/>
  <c r="T665" i="5"/>
  <c r="S666" i="5"/>
  <c r="T666" i="5"/>
  <c r="S667" i="5"/>
  <c r="T667" i="5"/>
  <c r="S668" i="5"/>
  <c r="T668" i="5"/>
  <c r="S669" i="5"/>
  <c r="T669" i="5"/>
  <c r="S670" i="5"/>
  <c r="T670" i="5"/>
  <c r="S671" i="5"/>
  <c r="T671" i="5"/>
  <c r="S672" i="5"/>
  <c r="T672" i="5"/>
  <c r="S673" i="5"/>
  <c r="T673" i="5"/>
  <c r="S674" i="5"/>
  <c r="T674" i="5"/>
  <c r="S675" i="5"/>
  <c r="T675" i="5"/>
  <c r="S676" i="5"/>
  <c r="T676" i="5"/>
  <c r="S677" i="5"/>
  <c r="T677" i="5"/>
  <c r="S678" i="5"/>
  <c r="T678" i="5"/>
  <c r="S679" i="5"/>
  <c r="T679" i="5"/>
  <c r="S680" i="5"/>
  <c r="T680" i="5"/>
  <c r="S681" i="5"/>
  <c r="T681" i="5"/>
  <c r="S682" i="5"/>
  <c r="T682" i="5"/>
  <c r="S683" i="5"/>
  <c r="T683" i="5"/>
  <c r="S684" i="5"/>
  <c r="T684" i="5"/>
  <c r="S685" i="5"/>
  <c r="T685" i="5"/>
  <c r="S686" i="5"/>
  <c r="T686" i="5"/>
  <c r="S687" i="5"/>
  <c r="T687" i="5"/>
  <c r="S688" i="5"/>
  <c r="T688" i="5"/>
  <c r="S689" i="5"/>
  <c r="T689" i="5"/>
  <c r="S690" i="5"/>
  <c r="T690" i="5"/>
  <c r="S691" i="5"/>
  <c r="T691" i="5"/>
  <c r="S692" i="5"/>
  <c r="T692" i="5"/>
  <c r="S693" i="5"/>
  <c r="T693" i="5"/>
  <c r="S694" i="5"/>
  <c r="T694" i="5"/>
  <c r="S695" i="5"/>
  <c r="T695" i="5"/>
  <c r="S696" i="5"/>
  <c r="T696" i="5"/>
  <c r="S697" i="5"/>
  <c r="T697" i="5"/>
  <c r="S698" i="5"/>
  <c r="T698" i="5"/>
  <c r="S699" i="5"/>
  <c r="T699" i="5"/>
  <c r="S700" i="5"/>
  <c r="T700" i="5"/>
  <c r="S701" i="5"/>
  <c r="T701" i="5"/>
  <c r="S702" i="5"/>
  <c r="T702" i="5"/>
  <c r="S703" i="5"/>
  <c r="T703" i="5"/>
  <c r="S704" i="5"/>
  <c r="T704" i="5"/>
  <c r="S705" i="5"/>
  <c r="T705" i="5"/>
  <c r="S706" i="5"/>
  <c r="T706" i="5"/>
  <c r="S707" i="5"/>
  <c r="T707" i="5"/>
  <c r="S708" i="5"/>
  <c r="T708" i="5"/>
  <c r="S709" i="5"/>
  <c r="T709" i="5"/>
  <c r="S710" i="5"/>
  <c r="T710" i="5"/>
  <c r="S711" i="5"/>
  <c r="T711" i="5"/>
  <c r="S712" i="5"/>
  <c r="T712" i="5"/>
  <c r="S713" i="5"/>
  <c r="T713" i="5"/>
  <c r="S714" i="5"/>
  <c r="T714" i="5"/>
  <c r="S715" i="5"/>
  <c r="T715" i="5"/>
  <c r="S716" i="5"/>
  <c r="T716" i="5"/>
  <c r="S717" i="5"/>
  <c r="T717" i="5"/>
  <c r="S718" i="5"/>
  <c r="T718" i="5"/>
  <c r="S719" i="5"/>
  <c r="T719" i="5"/>
  <c r="S720" i="5"/>
  <c r="T720" i="5"/>
  <c r="S721" i="5"/>
  <c r="T721" i="5"/>
  <c r="S722" i="5"/>
  <c r="T722" i="5"/>
  <c r="S723" i="5"/>
  <c r="T723" i="5"/>
  <c r="S724" i="5"/>
  <c r="T724" i="5"/>
  <c r="S725" i="5"/>
  <c r="T725" i="5"/>
  <c r="S726" i="5"/>
  <c r="T726" i="5"/>
  <c r="S727" i="5"/>
  <c r="T727" i="5"/>
  <c r="S728" i="5"/>
  <c r="T728" i="5"/>
  <c r="S729" i="5"/>
  <c r="T729" i="5"/>
  <c r="S730" i="5"/>
  <c r="T730" i="5"/>
  <c r="S731" i="5"/>
  <c r="T731" i="5"/>
  <c r="S732" i="5"/>
  <c r="T732" i="5"/>
  <c r="S733" i="5"/>
  <c r="T733" i="5"/>
  <c r="S734" i="5"/>
  <c r="T734" i="5"/>
  <c r="S735" i="5"/>
  <c r="T735" i="5"/>
  <c r="S736" i="5"/>
  <c r="T736" i="5"/>
  <c r="S737" i="5"/>
  <c r="T737" i="5"/>
  <c r="S738" i="5"/>
  <c r="T738" i="5"/>
  <c r="S739" i="5"/>
  <c r="T739" i="5"/>
  <c r="S740" i="5"/>
  <c r="T740" i="5"/>
  <c r="S741" i="5"/>
  <c r="T741" i="5"/>
  <c r="S742" i="5"/>
  <c r="T742" i="5"/>
  <c r="S743" i="5"/>
  <c r="T743" i="5"/>
  <c r="S744" i="5"/>
  <c r="T744" i="5"/>
  <c r="S745" i="5"/>
  <c r="T745" i="5"/>
  <c r="S746" i="5"/>
  <c r="T746" i="5"/>
  <c r="S747" i="5"/>
  <c r="T747" i="5"/>
  <c r="S748" i="5"/>
  <c r="T748" i="5"/>
  <c r="S749" i="5"/>
  <c r="T749" i="5"/>
  <c r="S750" i="5"/>
  <c r="T750" i="5"/>
  <c r="S751" i="5"/>
  <c r="T751" i="5"/>
  <c r="S752" i="5"/>
  <c r="T752" i="5"/>
  <c r="S753" i="5"/>
  <c r="T753" i="5"/>
  <c r="S754" i="5"/>
  <c r="T754" i="5"/>
  <c r="S755" i="5"/>
  <c r="T755" i="5"/>
  <c r="S756" i="5"/>
  <c r="T756" i="5"/>
  <c r="S757" i="5"/>
  <c r="T757" i="5"/>
  <c r="S758" i="5"/>
  <c r="T758" i="5"/>
  <c r="S759" i="5"/>
  <c r="T759" i="5"/>
  <c r="S760" i="5"/>
  <c r="T760" i="5"/>
  <c r="S761" i="5"/>
  <c r="T761" i="5"/>
  <c r="S762" i="5"/>
  <c r="T762" i="5"/>
  <c r="S763" i="5"/>
  <c r="T763" i="5"/>
  <c r="S764" i="5"/>
  <c r="T764" i="5"/>
  <c r="S765" i="5"/>
  <c r="T765" i="5"/>
  <c r="S766" i="5"/>
  <c r="T766" i="5"/>
  <c r="S767" i="5"/>
  <c r="T767" i="5"/>
  <c r="S768" i="5"/>
  <c r="T768" i="5"/>
  <c r="S769" i="5"/>
  <c r="T769" i="5"/>
  <c r="S770" i="5"/>
  <c r="T770" i="5"/>
  <c r="S771" i="5"/>
  <c r="T771" i="5"/>
  <c r="S772" i="5"/>
  <c r="T772" i="5"/>
  <c r="S773" i="5"/>
  <c r="T773" i="5"/>
  <c r="S774" i="5"/>
  <c r="T774" i="5"/>
  <c r="S775" i="5"/>
  <c r="T775" i="5"/>
  <c r="S776" i="5"/>
  <c r="T776" i="5"/>
  <c r="S777" i="5"/>
  <c r="T777" i="5"/>
  <c r="S778" i="5"/>
  <c r="T778" i="5"/>
  <c r="S779" i="5"/>
  <c r="T779" i="5"/>
  <c r="S780" i="5"/>
  <c r="T780" i="5"/>
  <c r="S781" i="5"/>
  <c r="T781" i="5"/>
  <c r="S782" i="5"/>
  <c r="T782" i="5"/>
  <c r="S783" i="5"/>
  <c r="T783" i="5"/>
  <c r="S784" i="5"/>
  <c r="T784" i="5"/>
  <c r="S785" i="5"/>
  <c r="T785" i="5"/>
  <c r="S786" i="5"/>
  <c r="T786" i="5"/>
  <c r="S787" i="5"/>
  <c r="T787" i="5"/>
  <c r="S788" i="5"/>
  <c r="T788" i="5"/>
  <c r="S789" i="5"/>
  <c r="T789" i="5"/>
  <c r="S790" i="5"/>
  <c r="T790" i="5"/>
  <c r="S791" i="5"/>
  <c r="T791" i="5"/>
  <c r="S792" i="5"/>
  <c r="T792" i="5"/>
  <c r="S793" i="5"/>
  <c r="T793" i="5"/>
  <c r="S794" i="5"/>
  <c r="T794" i="5"/>
  <c r="S795" i="5"/>
  <c r="T795" i="5"/>
  <c r="S796" i="5"/>
  <c r="T796" i="5"/>
  <c r="S797" i="5"/>
  <c r="T797" i="5"/>
  <c r="S798" i="5"/>
  <c r="T798" i="5"/>
  <c r="S799" i="5"/>
  <c r="T799" i="5"/>
  <c r="S800" i="5"/>
  <c r="T800" i="5"/>
  <c r="S801" i="5"/>
  <c r="T801" i="5"/>
  <c r="S802" i="5"/>
  <c r="T802" i="5"/>
  <c r="S803" i="5"/>
  <c r="T803" i="5"/>
  <c r="S804" i="5"/>
  <c r="T804" i="5"/>
  <c r="S805" i="5"/>
  <c r="T805" i="5"/>
  <c r="S806" i="5"/>
  <c r="T806" i="5"/>
  <c r="S807" i="5"/>
  <c r="T807" i="5"/>
  <c r="S808" i="5"/>
  <c r="T808" i="5"/>
  <c r="S809" i="5"/>
  <c r="T809" i="5"/>
  <c r="S810" i="5"/>
  <c r="T810" i="5"/>
  <c r="S811" i="5"/>
  <c r="T811" i="5"/>
  <c r="S812" i="5"/>
  <c r="T812" i="5"/>
  <c r="S813" i="5"/>
  <c r="T813" i="5"/>
  <c r="S814" i="5"/>
  <c r="T814" i="5"/>
  <c r="S815" i="5"/>
  <c r="T815" i="5"/>
  <c r="S816" i="5"/>
  <c r="T816" i="5"/>
  <c r="S817" i="5"/>
  <c r="T817" i="5"/>
  <c r="S818" i="5"/>
  <c r="T818" i="5"/>
  <c r="S819" i="5"/>
  <c r="T819" i="5"/>
  <c r="S820" i="5"/>
  <c r="T820" i="5"/>
  <c r="S821" i="5"/>
  <c r="T821" i="5"/>
  <c r="S822" i="5"/>
  <c r="T822" i="5"/>
  <c r="S823" i="5"/>
  <c r="T823" i="5"/>
  <c r="S824" i="5"/>
  <c r="T824" i="5"/>
  <c r="S825" i="5"/>
  <c r="T825" i="5"/>
  <c r="S826" i="5"/>
  <c r="T826" i="5"/>
  <c r="S827" i="5"/>
  <c r="T827" i="5"/>
  <c r="S828" i="5"/>
  <c r="T828" i="5"/>
  <c r="S829" i="5"/>
  <c r="T829" i="5"/>
  <c r="S830" i="5"/>
  <c r="T830" i="5"/>
  <c r="S831" i="5"/>
  <c r="T831" i="5"/>
  <c r="S832" i="5"/>
  <c r="T832" i="5"/>
  <c r="S833" i="5"/>
  <c r="T833" i="5"/>
  <c r="S834" i="5"/>
  <c r="T834" i="5"/>
  <c r="S835" i="5"/>
  <c r="T835" i="5"/>
  <c r="S836" i="5"/>
  <c r="T836" i="5"/>
  <c r="S837" i="5"/>
  <c r="T837" i="5"/>
  <c r="S838" i="5"/>
  <c r="T838" i="5"/>
  <c r="S839" i="5"/>
  <c r="T839" i="5"/>
  <c r="S840" i="5"/>
  <c r="T840" i="5"/>
  <c r="S841" i="5"/>
  <c r="T841" i="5"/>
  <c r="S842" i="5"/>
  <c r="T842" i="5"/>
  <c r="S843" i="5"/>
  <c r="T843" i="5"/>
  <c r="S844" i="5"/>
  <c r="T844" i="5"/>
  <c r="S845" i="5"/>
  <c r="T845" i="5"/>
  <c r="S846" i="5"/>
  <c r="T846" i="5"/>
  <c r="S847" i="5"/>
  <c r="T847" i="5"/>
  <c r="S848" i="5"/>
  <c r="T848" i="5"/>
  <c r="S849" i="5"/>
  <c r="T849" i="5"/>
  <c r="S850" i="5"/>
  <c r="T850" i="5"/>
  <c r="S851" i="5"/>
  <c r="T851" i="5"/>
  <c r="S852" i="5"/>
  <c r="T852" i="5"/>
  <c r="S853" i="5"/>
  <c r="T853" i="5"/>
  <c r="S854" i="5"/>
  <c r="T854" i="5"/>
  <c r="S855" i="5"/>
  <c r="T855" i="5"/>
  <c r="S856" i="5"/>
  <c r="T856" i="5"/>
  <c r="S857" i="5"/>
  <c r="T857" i="5"/>
  <c r="S858" i="5"/>
  <c r="T858" i="5"/>
  <c r="S859" i="5"/>
  <c r="T859" i="5"/>
  <c r="S860" i="5"/>
  <c r="T860" i="5"/>
  <c r="S861" i="5"/>
  <c r="T861" i="5"/>
  <c r="S862" i="5"/>
  <c r="T862" i="5"/>
  <c r="S863" i="5"/>
  <c r="T863" i="5"/>
  <c r="S864" i="5"/>
  <c r="T864" i="5"/>
  <c r="S865" i="5"/>
  <c r="T865" i="5"/>
  <c r="S866" i="5"/>
  <c r="T866" i="5"/>
  <c r="S867" i="5"/>
  <c r="T867" i="5"/>
  <c r="S868" i="5"/>
  <c r="T868" i="5"/>
  <c r="S869" i="5"/>
  <c r="T869" i="5"/>
  <c r="S870" i="5"/>
  <c r="T870" i="5"/>
  <c r="S871" i="5"/>
  <c r="T871" i="5"/>
  <c r="S872" i="5"/>
  <c r="T872" i="5"/>
  <c r="S873" i="5"/>
  <c r="T873" i="5"/>
  <c r="S874" i="5"/>
  <c r="T874" i="5"/>
  <c r="S875" i="5"/>
  <c r="T875" i="5"/>
  <c r="S876" i="5"/>
  <c r="T876" i="5"/>
  <c r="S877" i="5"/>
  <c r="T877" i="5"/>
  <c r="S878" i="5"/>
  <c r="T878" i="5"/>
  <c r="S879" i="5"/>
  <c r="T879" i="5"/>
  <c r="S880" i="5"/>
  <c r="T880" i="5"/>
  <c r="S881" i="5"/>
  <c r="T881" i="5"/>
  <c r="S882" i="5"/>
  <c r="T882" i="5"/>
  <c r="S883" i="5"/>
  <c r="T883" i="5"/>
  <c r="S884" i="5"/>
  <c r="T884" i="5"/>
  <c r="S885" i="5"/>
  <c r="T885" i="5"/>
  <c r="S886" i="5"/>
  <c r="T886" i="5"/>
  <c r="S887" i="5"/>
  <c r="T887" i="5"/>
  <c r="S888" i="5"/>
  <c r="T888" i="5"/>
  <c r="S889" i="5"/>
  <c r="T889" i="5"/>
  <c r="S890" i="5"/>
  <c r="T890" i="5"/>
  <c r="S891" i="5"/>
  <c r="T891" i="5"/>
  <c r="S892" i="5"/>
  <c r="T892" i="5"/>
  <c r="S893" i="5"/>
  <c r="T893" i="5"/>
  <c r="S894" i="5"/>
  <c r="T894" i="5"/>
  <c r="S895" i="5"/>
  <c r="T895" i="5"/>
  <c r="S896" i="5"/>
  <c r="T896" i="5"/>
  <c r="S897" i="5"/>
  <c r="T897" i="5"/>
  <c r="S898" i="5"/>
  <c r="T898" i="5"/>
  <c r="S899" i="5"/>
  <c r="T899" i="5"/>
  <c r="S900" i="5"/>
  <c r="T900" i="5"/>
  <c r="S901" i="5"/>
  <c r="T901" i="5"/>
  <c r="S902" i="5"/>
  <c r="T902" i="5"/>
  <c r="S903" i="5"/>
  <c r="T903" i="5"/>
  <c r="S904" i="5"/>
  <c r="T904" i="5"/>
  <c r="S905" i="5"/>
  <c r="T905" i="5"/>
  <c r="S906" i="5"/>
  <c r="T906" i="5"/>
  <c r="S907" i="5"/>
  <c r="T907" i="5"/>
  <c r="S908" i="5"/>
  <c r="T908" i="5"/>
  <c r="S909" i="5"/>
  <c r="T909" i="5"/>
  <c r="S910" i="5"/>
  <c r="T910" i="5"/>
  <c r="S911" i="5"/>
  <c r="T911" i="5"/>
  <c r="S912" i="5"/>
  <c r="T912" i="5"/>
  <c r="S913" i="5"/>
  <c r="T913" i="5"/>
  <c r="S914" i="5"/>
  <c r="T914" i="5"/>
  <c r="S915" i="5"/>
  <c r="T915" i="5"/>
  <c r="S916" i="5"/>
  <c r="T916" i="5"/>
  <c r="S917" i="5"/>
  <c r="T917" i="5"/>
  <c r="S918" i="5"/>
  <c r="T918" i="5"/>
  <c r="S919" i="5"/>
  <c r="T919" i="5"/>
  <c r="S920" i="5"/>
  <c r="T920" i="5"/>
  <c r="S921" i="5"/>
  <c r="T921" i="5"/>
  <c r="S922" i="5"/>
  <c r="T922" i="5"/>
  <c r="S923" i="5"/>
  <c r="T923" i="5"/>
  <c r="S924" i="5"/>
  <c r="T924" i="5"/>
  <c r="S925" i="5"/>
  <c r="T925" i="5"/>
  <c r="S926" i="5"/>
  <c r="T926" i="5"/>
  <c r="S927" i="5"/>
  <c r="T927" i="5"/>
  <c r="S928" i="5"/>
  <c r="T928" i="5"/>
  <c r="S929" i="5"/>
  <c r="T929" i="5"/>
  <c r="S930" i="5"/>
  <c r="T930" i="5"/>
  <c r="S931" i="5"/>
  <c r="T931" i="5"/>
  <c r="S932" i="5"/>
  <c r="T932" i="5"/>
  <c r="S933" i="5"/>
  <c r="T933" i="5"/>
  <c r="S934" i="5"/>
  <c r="T934" i="5"/>
  <c r="S935" i="5"/>
  <c r="T935" i="5"/>
  <c r="S936" i="5"/>
  <c r="T936" i="5"/>
  <c r="S937" i="5"/>
  <c r="T937" i="5"/>
  <c r="S938" i="5"/>
  <c r="T938" i="5"/>
  <c r="S939" i="5"/>
  <c r="T939" i="5"/>
  <c r="S940" i="5"/>
  <c r="T940" i="5"/>
  <c r="S941" i="5"/>
  <c r="T941" i="5"/>
  <c r="S942" i="5"/>
  <c r="T942" i="5"/>
  <c r="S943" i="5"/>
  <c r="T943" i="5"/>
  <c r="S944" i="5"/>
  <c r="T944" i="5"/>
  <c r="S945" i="5"/>
  <c r="T945" i="5"/>
  <c r="S946" i="5"/>
  <c r="T946" i="5"/>
  <c r="S947" i="5"/>
  <c r="T947" i="5"/>
  <c r="S948" i="5"/>
  <c r="T948" i="5"/>
  <c r="S949" i="5"/>
  <c r="T949" i="5"/>
  <c r="S950" i="5"/>
  <c r="T950" i="5"/>
  <c r="S951" i="5"/>
  <c r="T951" i="5"/>
  <c r="S952" i="5"/>
  <c r="T952" i="5"/>
  <c r="S953" i="5"/>
  <c r="T953" i="5"/>
  <c r="S954" i="5"/>
  <c r="T954" i="5"/>
  <c r="S955" i="5"/>
  <c r="T955" i="5"/>
  <c r="S956" i="5"/>
  <c r="T956" i="5"/>
  <c r="S957" i="5"/>
  <c r="T957" i="5"/>
  <c r="S958" i="5"/>
  <c r="T958" i="5"/>
  <c r="S959" i="5"/>
  <c r="T959" i="5"/>
  <c r="S960" i="5"/>
  <c r="T960" i="5"/>
  <c r="S961" i="5"/>
  <c r="T961" i="5"/>
  <c r="S962" i="5"/>
  <c r="T962" i="5"/>
  <c r="S963" i="5"/>
  <c r="T963" i="5"/>
  <c r="S964" i="5"/>
  <c r="T964" i="5"/>
  <c r="S965" i="5"/>
  <c r="T965" i="5"/>
  <c r="S966" i="5"/>
  <c r="T966" i="5"/>
  <c r="S967" i="5"/>
  <c r="T967" i="5"/>
  <c r="S968" i="5"/>
  <c r="T968" i="5"/>
  <c r="S969" i="5"/>
  <c r="T969" i="5"/>
  <c r="S970" i="5"/>
  <c r="T970" i="5"/>
  <c r="S971" i="5"/>
  <c r="T971" i="5"/>
  <c r="S972" i="5"/>
  <c r="T972" i="5"/>
  <c r="S973" i="5"/>
  <c r="T973" i="5"/>
  <c r="S974" i="5"/>
  <c r="T974" i="5"/>
  <c r="S975" i="5"/>
  <c r="T975" i="5"/>
  <c r="S976" i="5"/>
  <c r="T976" i="5"/>
  <c r="S977" i="5"/>
  <c r="T977" i="5"/>
  <c r="S978" i="5"/>
  <c r="T978" i="5"/>
  <c r="S979" i="5"/>
  <c r="T979" i="5"/>
  <c r="S980" i="5"/>
  <c r="T980" i="5"/>
  <c r="S981" i="5"/>
  <c r="T981" i="5"/>
  <c r="S982" i="5"/>
  <c r="T982" i="5"/>
  <c r="S983" i="5"/>
  <c r="T983" i="5"/>
  <c r="S984" i="5"/>
  <c r="T984" i="5"/>
  <c r="S985" i="5"/>
  <c r="T985" i="5"/>
  <c r="S986" i="5"/>
  <c r="T986" i="5"/>
  <c r="S987" i="5"/>
  <c r="T987" i="5"/>
  <c r="S988" i="5"/>
  <c r="T988" i="5"/>
  <c r="S989" i="5"/>
  <c r="T989" i="5"/>
  <c r="S990" i="5"/>
  <c r="T990" i="5"/>
  <c r="S991" i="5"/>
  <c r="T991" i="5"/>
  <c r="S992" i="5"/>
  <c r="T992" i="5"/>
  <c r="S993" i="5"/>
  <c r="T993" i="5"/>
  <c r="S994" i="5"/>
  <c r="T994" i="5"/>
  <c r="S995" i="5"/>
  <c r="T995" i="5"/>
  <c r="S996" i="5"/>
  <c r="T996" i="5"/>
  <c r="S997" i="5"/>
  <c r="T997" i="5"/>
  <c r="S998" i="5"/>
  <c r="T998" i="5"/>
  <c r="S999" i="5"/>
  <c r="T999" i="5"/>
  <c r="S1000" i="5"/>
  <c r="T1000" i="5"/>
  <c r="S1001" i="5"/>
  <c r="T1001" i="5"/>
  <c r="S1002" i="5"/>
  <c r="T1002" i="5"/>
  <c r="S1003" i="5"/>
  <c r="T1003" i="5"/>
  <c r="S1004" i="5"/>
  <c r="T1004" i="5"/>
  <c r="S1005" i="5"/>
  <c r="T1005" i="5"/>
  <c r="S1006" i="5"/>
  <c r="T1006" i="5"/>
  <c r="S1007" i="5"/>
  <c r="T1007" i="5"/>
  <c r="S1008" i="5"/>
  <c r="T1008" i="5"/>
  <c r="S1009" i="5"/>
  <c r="T1009" i="5"/>
  <c r="S1010" i="5"/>
  <c r="T1010" i="5"/>
  <c r="S1011" i="5"/>
  <c r="T1011" i="5"/>
  <c r="S1012" i="5"/>
  <c r="T1012" i="5"/>
  <c r="S1013" i="5"/>
  <c r="T1013" i="5"/>
  <c r="S1014" i="5"/>
  <c r="T1014" i="5"/>
  <c r="S1015" i="5"/>
  <c r="T1015" i="5"/>
  <c r="S1016" i="5"/>
  <c r="T1016" i="5"/>
  <c r="S1017" i="5"/>
  <c r="T1017" i="5"/>
  <c r="S1018" i="5"/>
  <c r="T1018" i="5"/>
  <c r="S1019" i="5"/>
  <c r="T1019" i="5"/>
  <c r="S1020" i="5"/>
  <c r="T1020" i="5"/>
  <c r="S1021" i="5"/>
  <c r="T1021" i="5"/>
  <c r="S1022" i="5"/>
  <c r="T1022" i="5"/>
  <c r="S1023" i="5"/>
  <c r="T1023" i="5"/>
  <c r="S1024" i="5"/>
  <c r="T1024" i="5"/>
  <c r="S1025" i="5"/>
  <c r="T1025" i="5"/>
  <c r="S1026" i="5"/>
  <c r="T1026" i="5"/>
  <c r="S1027" i="5"/>
  <c r="T1027" i="5"/>
  <c r="S1028" i="5"/>
  <c r="T1028" i="5"/>
  <c r="S1029" i="5"/>
  <c r="T1029" i="5"/>
  <c r="S1030" i="5"/>
  <c r="T1030" i="5"/>
  <c r="S1031" i="5"/>
  <c r="T1031" i="5"/>
  <c r="S1032" i="5"/>
  <c r="T1032" i="5"/>
  <c r="S1033" i="5"/>
  <c r="T1033" i="5"/>
  <c r="S1034" i="5"/>
  <c r="T1034" i="5"/>
  <c r="S1035" i="5"/>
  <c r="T1035" i="5"/>
  <c r="S1036" i="5"/>
  <c r="T1036" i="5"/>
  <c r="S1037" i="5"/>
  <c r="T1037" i="5"/>
  <c r="S1038" i="5"/>
  <c r="T1038" i="5"/>
  <c r="S1039" i="5"/>
  <c r="T1039" i="5"/>
  <c r="S1040" i="5"/>
  <c r="T1040" i="5"/>
  <c r="S1041" i="5"/>
  <c r="T1041" i="5"/>
  <c r="S1042" i="5"/>
  <c r="T1042" i="5"/>
  <c r="S1043" i="5"/>
  <c r="T1043" i="5"/>
  <c r="S1044" i="5"/>
  <c r="T1044" i="5"/>
  <c r="S1045" i="5"/>
  <c r="T1045" i="5"/>
  <c r="S1046" i="5"/>
  <c r="T1046" i="5"/>
  <c r="S1047" i="5"/>
  <c r="T1047" i="5"/>
  <c r="S1048" i="5"/>
  <c r="T1048" i="5"/>
  <c r="S1049" i="5"/>
  <c r="T1049" i="5"/>
  <c r="S1050" i="5"/>
  <c r="T1050" i="5"/>
  <c r="S1051" i="5"/>
  <c r="T1051" i="5"/>
  <c r="S1052" i="5"/>
  <c r="T1052" i="5"/>
  <c r="S1053" i="5"/>
  <c r="T1053" i="5"/>
  <c r="S1054" i="5"/>
  <c r="T1054" i="5"/>
  <c r="S1055" i="5"/>
  <c r="T1055" i="5"/>
  <c r="S1056" i="5"/>
  <c r="T1056" i="5"/>
  <c r="S1057" i="5"/>
  <c r="T1057" i="5"/>
  <c r="S1058" i="5"/>
  <c r="T1058" i="5"/>
  <c r="S1059" i="5"/>
  <c r="T1059" i="5"/>
  <c r="S1060" i="5"/>
  <c r="T1060" i="5"/>
  <c r="S1061" i="5"/>
  <c r="T1061" i="5"/>
  <c r="S1062" i="5"/>
  <c r="T1062" i="5"/>
  <c r="S1063" i="5"/>
  <c r="T1063" i="5"/>
  <c r="S1064" i="5"/>
  <c r="T1064" i="5"/>
  <c r="S1065" i="5"/>
  <c r="T1065" i="5"/>
  <c r="S1066" i="5"/>
  <c r="T1066" i="5"/>
  <c r="S1067" i="5"/>
  <c r="T1067" i="5"/>
  <c r="S1068" i="5"/>
  <c r="T1068" i="5"/>
  <c r="S1069" i="5"/>
  <c r="T1069" i="5"/>
  <c r="S1070" i="5"/>
  <c r="T1070" i="5"/>
  <c r="S1071" i="5"/>
  <c r="T1071" i="5"/>
  <c r="S1072" i="5"/>
  <c r="T1072" i="5"/>
  <c r="S1073" i="5"/>
  <c r="T1073" i="5"/>
  <c r="S1074" i="5"/>
  <c r="T1074" i="5"/>
  <c r="S1075" i="5"/>
  <c r="T1075" i="5"/>
  <c r="S1076" i="5"/>
  <c r="T1076" i="5"/>
  <c r="S1077" i="5"/>
  <c r="T1077" i="5"/>
  <c r="S1078" i="5"/>
  <c r="T1078" i="5"/>
  <c r="S1079" i="5"/>
  <c r="T1079" i="5"/>
  <c r="S1080" i="5"/>
  <c r="T1080" i="5"/>
  <c r="S1081" i="5"/>
  <c r="T1081" i="5"/>
  <c r="S1082" i="5"/>
  <c r="T1082" i="5"/>
  <c r="S1083" i="5"/>
  <c r="T1083" i="5"/>
  <c r="S1084" i="5"/>
  <c r="T1084" i="5"/>
  <c r="S1085" i="5"/>
  <c r="T1085" i="5"/>
  <c r="S1086" i="5"/>
  <c r="T1086" i="5"/>
  <c r="S1087" i="5"/>
  <c r="T1087" i="5"/>
  <c r="S1088" i="5"/>
  <c r="T1088" i="5"/>
  <c r="S1089" i="5"/>
  <c r="T1089" i="5"/>
  <c r="S1090" i="5"/>
  <c r="T1090" i="5"/>
  <c r="S1091" i="5"/>
  <c r="T1091" i="5"/>
  <c r="S1092" i="5"/>
  <c r="T1092" i="5"/>
  <c r="S1093" i="5"/>
  <c r="T1093" i="5"/>
  <c r="S1094" i="5"/>
  <c r="T1094" i="5"/>
  <c r="S1095" i="5"/>
  <c r="T1095" i="5"/>
  <c r="S1096" i="5"/>
  <c r="T1096" i="5"/>
  <c r="S1097" i="5"/>
  <c r="T1097" i="5"/>
  <c r="S1098" i="5"/>
  <c r="T1098" i="5"/>
  <c r="S1099" i="5"/>
  <c r="T1099" i="5"/>
  <c r="S1100" i="5"/>
  <c r="T1100" i="5"/>
  <c r="S1101" i="5"/>
  <c r="T1101" i="5"/>
  <c r="S1102" i="5"/>
  <c r="T1102" i="5"/>
  <c r="S1103" i="5"/>
  <c r="T1103" i="5"/>
  <c r="S1104" i="5"/>
  <c r="T1104" i="5"/>
  <c r="S1105" i="5"/>
  <c r="T1105" i="5"/>
  <c r="S1106" i="5"/>
  <c r="T1106" i="5"/>
  <c r="S1107" i="5"/>
  <c r="T1107" i="5"/>
  <c r="S1108" i="5"/>
  <c r="T1108" i="5"/>
  <c r="S1109" i="5"/>
  <c r="T1109" i="5"/>
  <c r="S1110" i="5"/>
  <c r="T1110" i="5"/>
  <c r="S1111" i="5"/>
  <c r="T1111" i="5"/>
  <c r="S1112" i="5"/>
  <c r="T1112" i="5"/>
  <c r="S1113" i="5"/>
  <c r="T1113" i="5"/>
  <c r="S1114" i="5"/>
  <c r="T1114" i="5"/>
  <c r="S1115" i="5"/>
  <c r="T1115" i="5"/>
  <c r="S1116" i="5"/>
  <c r="T1116" i="5"/>
  <c r="S1117" i="5"/>
  <c r="T1117" i="5"/>
  <c r="S1118" i="5"/>
  <c r="T1118" i="5"/>
  <c r="S1119" i="5"/>
  <c r="T1119" i="5"/>
  <c r="S1120" i="5"/>
  <c r="T1120" i="5"/>
  <c r="S1121" i="5"/>
  <c r="T1121" i="5"/>
  <c r="S1122" i="5"/>
  <c r="T1122" i="5"/>
  <c r="S1123" i="5"/>
  <c r="T1123" i="5"/>
  <c r="S1124" i="5"/>
  <c r="T1124" i="5"/>
  <c r="S1125" i="5"/>
  <c r="T1125" i="5"/>
  <c r="S1126" i="5"/>
  <c r="T1126" i="5"/>
  <c r="S1127" i="5"/>
  <c r="T1127" i="5"/>
  <c r="S1128" i="5"/>
  <c r="T1128" i="5"/>
  <c r="S1129" i="5"/>
  <c r="T1129" i="5"/>
  <c r="S1130" i="5"/>
  <c r="T1130" i="5"/>
  <c r="S1131" i="5"/>
  <c r="T1131" i="5"/>
  <c r="S1132" i="5"/>
  <c r="T1132" i="5"/>
  <c r="S1133" i="5"/>
  <c r="T1133" i="5"/>
  <c r="S1134" i="5"/>
  <c r="T1134" i="5"/>
  <c r="S1135" i="5"/>
  <c r="T1135" i="5"/>
  <c r="S1136" i="5"/>
  <c r="T1136" i="5"/>
  <c r="S1137" i="5"/>
  <c r="T1137" i="5"/>
  <c r="S1138" i="5"/>
  <c r="T1138" i="5"/>
  <c r="S1139" i="5"/>
  <c r="T1139" i="5"/>
  <c r="S1140" i="5"/>
  <c r="T1140" i="5"/>
  <c r="S1141" i="5"/>
  <c r="T1141" i="5"/>
  <c r="S1142" i="5"/>
  <c r="T1142" i="5"/>
  <c r="S1143" i="5"/>
  <c r="T1143" i="5"/>
  <c r="S1144" i="5"/>
  <c r="T1144" i="5"/>
  <c r="S1145" i="5"/>
  <c r="T1145" i="5"/>
  <c r="S1146" i="5"/>
  <c r="T1146" i="5"/>
  <c r="S1147" i="5"/>
  <c r="T1147" i="5"/>
  <c r="S1148" i="5"/>
  <c r="T1148" i="5"/>
  <c r="S1149" i="5"/>
  <c r="T1149" i="5"/>
  <c r="S1150" i="5"/>
  <c r="T1150" i="5"/>
  <c r="S1151" i="5"/>
  <c r="T1151" i="5"/>
  <c r="S1152" i="5"/>
  <c r="T1152" i="5"/>
  <c r="S1153" i="5"/>
  <c r="T1153" i="5"/>
  <c r="S1154" i="5"/>
  <c r="T1154" i="5"/>
  <c r="S1155" i="5"/>
  <c r="T1155" i="5"/>
  <c r="S1156" i="5"/>
  <c r="T1156" i="5"/>
  <c r="S1157" i="5"/>
  <c r="T1157" i="5"/>
  <c r="S1158" i="5"/>
  <c r="T1158" i="5"/>
  <c r="S1159" i="5"/>
  <c r="T1159" i="5"/>
  <c r="S1160" i="5"/>
  <c r="T1160" i="5"/>
  <c r="S1161" i="5"/>
  <c r="T1161" i="5"/>
  <c r="S1162" i="5"/>
  <c r="T1162" i="5"/>
  <c r="S1163" i="5"/>
  <c r="T1163" i="5"/>
  <c r="S1164" i="5"/>
  <c r="T1164" i="5"/>
  <c r="S1165" i="5"/>
  <c r="T1165" i="5"/>
  <c r="S1166" i="5"/>
  <c r="T1166" i="5"/>
  <c r="S1167" i="5"/>
  <c r="T1167" i="5"/>
  <c r="S1168" i="5"/>
  <c r="T1168" i="5"/>
  <c r="S1169" i="5"/>
  <c r="T1169" i="5"/>
  <c r="S1170" i="5"/>
  <c r="T1170" i="5"/>
  <c r="S1171" i="5"/>
  <c r="T1171" i="5"/>
  <c r="S1172" i="5"/>
  <c r="T1172" i="5"/>
  <c r="S1173" i="5"/>
  <c r="T1173" i="5"/>
  <c r="S1174" i="5"/>
  <c r="T1174" i="5"/>
  <c r="S1175" i="5"/>
  <c r="T1175" i="5"/>
  <c r="S1176" i="5"/>
  <c r="T1176" i="5"/>
  <c r="S1177" i="5"/>
  <c r="T1177" i="5"/>
  <c r="S1178" i="5"/>
  <c r="T1178" i="5"/>
  <c r="S1179" i="5"/>
  <c r="T1179" i="5"/>
  <c r="S1180" i="5"/>
  <c r="T1180" i="5"/>
  <c r="S1181" i="5"/>
  <c r="T1181" i="5"/>
  <c r="S1182" i="5"/>
  <c r="T1182" i="5"/>
  <c r="S1183" i="5"/>
  <c r="T1183" i="5"/>
  <c r="S1184" i="5"/>
  <c r="T1184" i="5"/>
  <c r="S1185" i="5"/>
  <c r="T1185" i="5"/>
  <c r="S1186" i="5"/>
  <c r="T1186" i="5"/>
  <c r="S1187" i="5"/>
  <c r="T1187" i="5"/>
  <c r="S1188" i="5"/>
  <c r="T1188" i="5"/>
  <c r="S1189" i="5"/>
  <c r="T1189" i="5"/>
  <c r="S1190" i="5"/>
  <c r="T1190" i="5"/>
  <c r="S1191" i="5"/>
  <c r="T1191" i="5"/>
  <c r="S1192" i="5"/>
  <c r="T1192" i="5"/>
  <c r="S1193" i="5"/>
  <c r="T1193" i="5"/>
  <c r="S1194" i="5"/>
  <c r="T1194" i="5"/>
  <c r="S1195" i="5"/>
  <c r="T1195" i="5"/>
  <c r="S1196" i="5"/>
  <c r="T1196" i="5"/>
  <c r="S1197" i="5"/>
  <c r="T1197" i="5"/>
  <c r="S1198" i="5"/>
  <c r="T1198" i="5"/>
  <c r="S1199" i="5"/>
  <c r="T1199" i="5"/>
  <c r="S1200" i="5"/>
  <c r="T1200" i="5"/>
  <c r="S1201" i="5"/>
  <c r="T1201" i="5"/>
  <c r="S1202" i="5"/>
  <c r="T1202" i="5"/>
  <c r="S1203" i="5"/>
  <c r="T1203" i="5"/>
  <c r="S1204" i="5"/>
  <c r="T1204" i="5"/>
  <c r="S1205" i="5"/>
  <c r="T1205" i="5"/>
  <c r="S1206" i="5"/>
  <c r="T1206" i="5"/>
  <c r="S1207" i="5"/>
  <c r="T1207" i="5"/>
  <c r="S1208" i="5"/>
  <c r="T1208" i="5"/>
  <c r="S1209" i="5"/>
  <c r="T1209" i="5"/>
  <c r="S1210" i="5"/>
  <c r="T1210" i="5"/>
  <c r="S1211" i="5"/>
  <c r="T1211" i="5"/>
  <c r="S1212" i="5"/>
  <c r="T1212" i="5"/>
  <c r="S1213" i="5"/>
  <c r="T1213" i="5"/>
  <c r="S1214" i="5"/>
  <c r="T1214" i="5"/>
  <c r="S1215" i="5"/>
  <c r="T1215" i="5"/>
  <c r="S1216" i="5"/>
  <c r="T1216" i="5"/>
  <c r="S1217" i="5"/>
  <c r="T1217" i="5"/>
  <c r="S1218" i="5"/>
  <c r="T1218" i="5"/>
  <c r="S1219" i="5"/>
  <c r="T1219" i="5"/>
  <c r="S1220" i="5"/>
  <c r="T1220" i="5"/>
  <c r="S1221" i="5"/>
  <c r="T1221" i="5"/>
  <c r="S1222" i="5"/>
  <c r="T1222" i="5"/>
  <c r="S1223" i="5"/>
  <c r="T1223" i="5"/>
  <c r="S1224" i="5"/>
  <c r="T1224" i="5"/>
  <c r="S1225" i="5"/>
  <c r="T1225" i="5"/>
  <c r="S1226" i="5"/>
  <c r="T1226" i="5"/>
  <c r="S1227" i="5"/>
  <c r="T1227" i="5"/>
  <c r="S1228" i="5"/>
  <c r="T1228" i="5"/>
  <c r="S1229" i="5"/>
  <c r="T1229" i="5"/>
  <c r="S1230" i="5"/>
  <c r="T1230" i="5"/>
  <c r="S1231" i="5"/>
  <c r="T1231" i="5"/>
  <c r="S1232" i="5"/>
  <c r="T1232" i="5"/>
  <c r="S1233" i="5"/>
  <c r="T1233" i="5"/>
  <c r="S1234" i="5"/>
  <c r="T1234" i="5"/>
  <c r="S1235" i="5"/>
  <c r="T1235" i="5"/>
  <c r="S1236" i="5"/>
  <c r="T1236" i="5"/>
  <c r="S1237" i="5"/>
  <c r="T1237" i="5"/>
  <c r="S1238" i="5"/>
  <c r="T1238" i="5"/>
  <c r="S1239" i="5"/>
  <c r="T1239" i="5"/>
  <c r="S1240" i="5"/>
  <c r="T1240" i="5"/>
  <c r="S1241" i="5"/>
  <c r="T1241" i="5"/>
  <c r="S1242" i="5"/>
  <c r="T1242" i="5"/>
  <c r="S1243" i="5"/>
  <c r="T1243" i="5"/>
  <c r="S1244" i="5"/>
  <c r="T1244" i="5"/>
  <c r="S1245" i="5"/>
  <c r="T1245" i="5"/>
  <c r="S1246" i="5"/>
  <c r="T1246" i="5"/>
  <c r="S1247" i="5"/>
  <c r="T1247" i="5"/>
  <c r="S1248" i="5"/>
  <c r="T1248" i="5"/>
  <c r="S1249" i="5"/>
  <c r="T1249" i="5"/>
  <c r="S1250" i="5"/>
  <c r="T1250" i="5"/>
  <c r="S1251" i="5"/>
  <c r="T1251" i="5"/>
  <c r="S1252" i="5"/>
  <c r="T1252" i="5"/>
  <c r="S1253" i="5"/>
  <c r="T1253" i="5"/>
  <c r="S1254" i="5"/>
  <c r="T1254" i="5"/>
  <c r="S1255" i="5"/>
  <c r="T1255" i="5"/>
  <c r="S1256" i="5"/>
  <c r="T1256" i="5"/>
  <c r="S1257" i="5"/>
  <c r="T1257" i="5"/>
  <c r="S1258" i="5"/>
  <c r="T1258" i="5"/>
  <c r="S1259" i="5"/>
  <c r="T1259" i="5"/>
  <c r="S1260" i="5"/>
  <c r="T1260" i="5"/>
  <c r="S1261" i="5"/>
  <c r="T1261" i="5"/>
  <c r="S1262" i="5"/>
  <c r="T1262" i="5"/>
  <c r="S1263" i="5"/>
  <c r="T1263" i="5"/>
  <c r="S1264" i="5"/>
  <c r="T1264" i="5"/>
  <c r="S1265" i="5"/>
  <c r="T1265" i="5"/>
  <c r="S1266" i="5"/>
  <c r="T1266" i="5"/>
  <c r="S1267" i="5"/>
  <c r="T1267" i="5"/>
  <c r="S1268" i="5"/>
  <c r="T1268" i="5"/>
  <c r="S1269" i="5"/>
  <c r="T1269" i="5"/>
  <c r="S1270" i="5"/>
  <c r="T1270" i="5"/>
  <c r="S1271" i="5"/>
  <c r="T1271" i="5"/>
  <c r="S1272" i="5"/>
  <c r="T1272" i="5"/>
  <c r="S1273" i="5"/>
  <c r="T1273" i="5"/>
  <c r="S1274" i="5"/>
  <c r="T1274" i="5"/>
  <c r="S1275" i="5"/>
  <c r="T1275" i="5"/>
  <c r="S1276" i="5"/>
  <c r="T1276" i="5"/>
  <c r="S1277" i="5"/>
  <c r="T1277" i="5"/>
  <c r="S1278" i="5"/>
  <c r="T1278" i="5"/>
  <c r="S1279" i="5"/>
  <c r="T1279" i="5"/>
  <c r="S1280" i="5"/>
  <c r="T1280" i="5"/>
  <c r="S1281" i="5"/>
  <c r="T1281" i="5"/>
  <c r="S1282" i="5"/>
  <c r="T1282" i="5"/>
  <c r="S1283" i="5"/>
  <c r="T1283" i="5"/>
  <c r="S1284" i="5"/>
  <c r="T1284" i="5"/>
  <c r="S1285" i="5"/>
  <c r="T1285" i="5"/>
  <c r="S1286" i="5"/>
  <c r="T1286" i="5"/>
  <c r="S1287" i="5"/>
  <c r="T1287" i="5"/>
  <c r="S1288" i="5"/>
  <c r="T1288" i="5"/>
  <c r="S1289" i="5"/>
  <c r="T1289" i="5"/>
  <c r="S1290" i="5"/>
  <c r="T1290" i="5"/>
  <c r="S1291" i="5"/>
  <c r="T1291" i="5"/>
  <c r="S1292" i="5"/>
  <c r="T1292" i="5"/>
  <c r="S1293" i="5"/>
  <c r="T1293" i="5"/>
  <c r="S1294" i="5"/>
  <c r="T1294" i="5"/>
  <c r="S1295" i="5"/>
  <c r="T1295" i="5"/>
  <c r="S1296" i="5"/>
  <c r="T1296" i="5"/>
  <c r="S1297" i="5"/>
  <c r="T1297" i="5"/>
  <c r="S1298" i="5"/>
  <c r="T1298" i="5"/>
  <c r="S1299" i="5"/>
  <c r="T1299" i="5"/>
  <c r="S1300" i="5"/>
  <c r="T1300" i="5"/>
  <c r="S1301" i="5"/>
  <c r="T1301" i="5"/>
  <c r="S1302" i="5"/>
  <c r="T1302" i="5"/>
  <c r="S1303" i="5"/>
  <c r="T1303" i="5"/>
  <c r="S1304" i="5"/>
  <c r="T1304" i="5"/>
  <c r="S1305" i="5"/>
  <c r="T1305" i="5"/>
  <c r="S1306" i="5"/>
  <c r="T1306" i="5"/>
  <c r="S1307" i="5"/>
  <c r="T1307" i="5"/>
  <c r="S1308" i="5"/>
  <c r="T1308" i="5"/>
  <c r="S1309" i="5"/>
  <c r="T1309" i="5"/>
  <c r="S1310" i="5"/>
  <c r="T1310" i="5"/>
  <c r="S1311" i="5"/>
  <c r="T1311" i="5"/>
  <c r="S1312" i="5"/>
  <c r="T1312" i="5"/>
  <c r="S1313" i="5"/>
  <c r="T1313" i="5"/>
  <c r="S1314" i="5"/>
  <c r="T1314" i="5"/>
  <c r="S1315" i="5"/>
  <c r="T1315" i="5"/>
  <c r="S1316" i="5"/>
  <c r="T1316" i="5"/>
  <c r="S1317" i="5"/>
  <c r="T1317" i="5"/>
  <c r="S1318" i="5"/>
  <c r="T1318" i="5"/>
  <c r="S1319" i="5"/>
  <c r="T1319" i="5"/>
  <c r="S1320" i="5"/>
  <c r="T1320" i="5"/>
  <c r="S1321" i="5"/>
  <c r="T1321" i="5"/>
  <c r="S1322" i="5"/>
  <c r="T1322" i="5"/>
  <c r="S1323" i="5"/>
  <c r="T1323" i="5"/>
  <c r="S1324" i="5"/>
  <c r="T1324" i="5"/>
  <c r="S1325" i="5"/>
  <c r="T1325" i="5"/>
  <c r="S1326" i="5"/>
  <c r="T1326" i="5"/>
  <c r="S1327" i="5"/>
  <c r="T1327" i="5"/>
  <c r="S1328" i="5"/>
  <c r="T1328" i="5"/>
  <c r="S1329" i="5"/>
  <c r="T1329" i="5"/>
  <c r="S1330" i="5"/>
  <c r="T1330" i="5"/>
  <c r="S1331" i="5"/>
  <c r="T1331" i="5"/>
  <c r="S1332" i="5"/>
  <c r="T1332" i="5"/>
  <c r="S1333" i="5"/>
  <c r="T1333" i="5"/>
  <c r="S1334" i="5"/>
  <c r="T1334" i="5"/>
  <c r="S1335" i="5"/>
  <c r="T1335" i="5"/>
  <c r="S1336" i="5"/>
  <c r="T1336" i="5"/>
  <c r="S1337" i="5"/>
  <c r="T1337" i="5"/>
  <c r="S1338" i="5"/>
  <c r="T1338" i="5"/>
  <c r="S1339" i="5"/>
  <c r="T1339" i="5"/>
  <c r="S1340" i="5"/>
  <c r="T1340" i="5"/>
  <c r="S1341" i="5"/>
  <c r="T1341" i="5"/>
  <c r="S1342" i="5"/>
  <c r="T1342" i="5"/>
  <c r="S1343" i="5"/>
  <c r="T1343" i="5"/>
  <c r="S1344" i="5"/>
  <c r="T1344" i="5"/>
  <c r="S1345" i="5"/>
  <c r="T1345" i="5"/>
  <c r="S1346" i="5"/>
  <c r="T1346" i="5"/>
  <c r="S1347" i="5"/>
  <c r="T1347" i="5"/>
  <c r="S1348" i="5"/>
  <c r="T1348" i="5"/>
  <c r="S1349" i="5"/>
  <c r="T1349" i="5"/>
  <c r="S1350" i="5"/>
  <c r="T1350" i="5"/>
  <c r="S1351" i="5"/>
  <c r="T1351" i="5"/>
  <c r="S1352" i="5"/>
  <c r="T1352" i="5"/>
  <c r="S1353" i="5"/>
  <c r="T1353" i="5"/>
  <c r="S1354" i="5"/>
  <c r="T1354" i="5"/>
  <c r="S1355" i="5"/>
  <c r="T1355" i="5"/>
  <c r="S1356" i="5"/>
  <c r="T1356" i="5"/>
  <c r="S1357" i="5"/>
  <c r="T1357" i="5"/>
  <c r="S1358" i="5"/>
  <c r="T1358" i="5"/>
  <c r="S1359" i="5"/>
  <c r="T1359" i="5"/>
  <c r="S1360" i="5"/>
  <c r="T1360" i="5"/>
  <c r="S1361" i="5"/>
  <c r="T1361" i="5"/>
  <c r="S1362" i="5"/>
  <c r="T1362" i="5"/>
  <c r="S1363" i="5"/>
  <c r="T1363" i="5"/>
  <c r="S1364" i="5"/>
  <c r="T1364" i="5"/>
  <c r="S1365" i="5"/>
  <c r="T1365" i="5"/>
  <c r="S1366" i="5"/>
  <c r="T1366" i="5"/>
  <c r="S1367" i="5"/>
  <c r="T1367" i="5"/>
  <c r="S1368" i="5"/>
  <c r="T1368" i="5"/>
  <c r="S1369" i="5"/>
  <c r="T1369" i="5"/>
  <c r="S1370" i="5"/>
  <c r="T1370" i="5"/>
  <c r="S1371" i="5"/>
  <c r="T1371" i="5"/>
  <c r="S1372" i="5"/>
  <c r="T1372" i="5"/>
  <c r="S1373" i="5"/>
  <c r="T1373" i="5"/>
  <c r="S1374" i="5"/>
  <c r="T1374" i="5"/>
  <c r="S1375" i="5"/>
  <c r="T1375" i="5"/>
  <c r="S1376" i="5"/>
  <c r="T1376" i="5"/>
  <c r="S1377" i="5"/>
  <c r="T1377" i="5"/>
  <c r="S1378" i="5"/>
  <c r="T1378" i="5"/>
  <c r="S1379" i="5"/>
  <c r="T1379" i="5"/>
  <c r="S1380" i="5"/>
  <c r="T1380" i="5"/>
  <c r="S1381" i="5"/>
  <c r="T1381" i="5"/>
  <c r="S1382" i="5"/>
  <c r="T1382" i="5"/>
  <c r="S1383" i="5"/>
  <c r="T1383" i="5"/>
  <c r="S1384" i="5"/>
  <c r="T1384" i="5"/>
  <c r="S1385" i="5"/>
  <c r="T1385" i="5"/>
  <c r="S1386" i="5"/>
  <c r="T1386" i="5"/>
  <c r="S1387" i="5"/>
  <c r="T1387" i="5"/>
  <c r="S1388" i="5"/>
  <c r="T1388" i="5"/>
  <c r="S1389" i="5"/>
  <c r="T1389" i="5"/>
  <c r="S1390" i="5"/>
  <c r="T1390" i="5"/>
  <c r="S1391" i="5"/>
  <c r="T1391" i="5"/>
  <c r="S1392" i="5"/>
  <c r="T1392" i="5"/>
  <c r="S1393" i="5"/>
  <c r="T1393" i="5"/>
  <c r="S1394" i="5"/>
  <c r="T1394" i="5"/>
  <c r="S1395" i="5"/>
  <c r="T1395" i="5"/>
  <c r="S1396" i="5"/>
  <c r="T1396" i="5"/>
  <c r="S1397" i="5"/>
  <c r="T1397" i="5"/>
  <c r="S1398" i="5"/>
  <c r="T1398" i="5"/>
  <c r="S1399" i="5"/>
  <c r="T1399" i="5"/>
  <c r="S1400" i="5"/>
  <c r="T1400" i="5"/>
  <c r="S1401" i="5"/>
  <c r="T1401" i="5"/>
  <c r="S1402" i="5"/>
  <c r="T1402" i="5"/>
  <c r="S1403" i="5"/>
  <c r="T1403" i="5"/>
  <c r="S1404" i="5"/>
  <c r="T1404" i="5"/>
  <c r="S1405" i="5"/>
  <c r="T1405" i="5"/>
  <c r="S1406" i="5"/>
  <c r="T1406" i="5"/>
  <c r="S1407" i="5"/>
  <c r="T1407" i="5"/>
  <c r="S1408" i="5"/>
  <c r="T1408" i="5"/>
  <c r="S1409" i="5"/>
  <c r="T1409" i="5"/>
  <c r="S1410" i="5"/>
  <c r="T1410" i="5"/>
  <c r="S1411" i="5"/>
  <c r="T1411" i="5"/>
  <c r="S1412" i="5"/>
  <c r="T1412" i="5"/>
  <c r="S1413" i="5"/>
  <c r="T1413" i="5"/>
  <c r="S1414" i="5"/>
  <c r="T1414" i="5"/>
  <c r="S1415" i="5"/>
  <c r="T1415" i="5"/>
  <c r="S1416" i="5"/>
  <c r="T1416" i="5"/>
  <c r="S1417" i="5"/>
  <c r="T1417" i="5"/>
  <c r="S1418" i="5"/>
  <c r="T1418" i="5"/>
  <c r="S1419" i="5"/>
  <c r="T1419" i="5"/>
  <c r="S1420" i="5"/>
  <c r="T1420" i="5"/>
  <c r="S1421" i="5"/>
  <c r="T1421" i="5"/>
  <c r="S1422" i="5"/>
  <c r="T1422" i="5"/>
  <c r="S1423" i="5"/>
  <c r="T1423" i="5"/>
  <c r="S1424" i="5"/>
  <c r="T1424" i="5"/>
  <c r="S1425" i="5"/>
  <c r="T1425" i="5"/>
  <c r="S1426" i="5"/>
  <c r="T1426" i="5"/>
  <c r="S1427" i="5"/>
  <c r="T1427" i="5"/>
  <c r="S1428" i="5"/>
  <c r="T1428" i="5"/>
  <c r="S1429" i="5"/>
  <c r="T1429" i="5"/>
  <c r="S1430" i="5"/>
  <c r="T1430" i="5"/>
  <c r="S1431" i="5"/>
  <c r="T1431" i="5"/>
  <c r="S1432" i="5"/>
  <c r="T1432" i="5"/>
  <c r="S1433" i="5"/>
  <c r="T1433" i="5"/>
  <c r="S1434" i="5"/>
  <c r="T1434" i="5"/>
  <c r="S1435" i="5"/>
  <c r="T1435" i="5"/>
  <c r="S1436" i="5"/>
  <c r="T1436" i="5"/>
  <c r="S1437" i="5"/>
  <c r="T1437" i="5"/>
  <c r="S1438" i="5"/>
  <c r="T1438" i="5"/>
  <c r="S1439" i="5"/>
  <c r="T1439" i="5"/>
  <c r="S1440" i="5"/>
  <c r="T1440" i="5"/>
  <c r="S1441" i="5"/>
  <c r="T1441" i="5"/>
  <c r="S1442" i="5"/>
  <c r="T1442" i="5"/>
  <c r="S1443" i="5"/>
  <c r="T1443" i="5"/>
  <c r="S1444" i="5"/>
  <c r="T1444" i="5"/>
  <c r="S1445" i="5"/>
  <c r="T1445" i="5"/>
  <c r="S1446" i="5"/>
  <c r="T1446" i="5"/>
  <c r="S1447" i="5"/>
  <c r="T1447" i="5"/>
  <c r="S1448" i="5"/>
  <c r="T1448" i="5"/>
  <c r="S1449" i="5"/>
  <c r="T1449" i="5"/>
  <c r="S1450" i="5"/>
  <c r="T1450" i="5"/>
  <c r="S1451" i="5"/>
  <c r="T1451" i="5"/>
  <c r="S1452" i="5"/>
  <c r="T1452" i="5"/>
  <c r="S1453" i="5"/>
  <c r="T1453" i="5"/>
  <c r="S1454" i="5"/>
  <c r="T1454" i="5"/>
  <c r="S1455" i="5"/>
  <c r="T1455" i="5"/>
  <c r="S1456" i="5"/>
  <c r="T1456" i="5"/>
  <c r="S1457" i="5"/>
  <c r="T1457" i="5"/>
  <c r="S1458" i="5"/>
  <c r="T1458" i="5"/>
  <c r="S1459" i="5"/>
  <c r="T1459" i="5"/>
  <c r="S1460" i="5"/>
  <c r="T1460" i="5"/>
  <c r="S1461" i="5"/>
  <c r="T1461" i="5"/>
  <c r="S1462" i="5"/>
  <c r="T1462" i="5"/>
  <c r="S1463" i="5"/>
  <c r="T1463" i="5"/>
  <c r="S1464" i="5"/>
  <c r="T1464" i="5"/>
  <c r="S1465" i="5"/>
  <c r="T1465" i="5"/>
  <c r="S1466" i="5"/>
  <c r="T1466" i="5"/>
  <c r="S1467" i="5"/>
  <c r="T1467" i="5"/>
  <c r="S1468" i="5"/>
  <c r="T1468" i="5"/>
  <c r="S1469" i="5"/>
  <c r="T1469" i="5"/>
  <c r="S1470" i="5"/>
  <c r="T1470" i="5"/>
  <c r="S1471" i="5"/>
  <c r="T1471" i="5"/>
  <c r="S1472" i="5"/>
  <c r="T1472" i="5"/>
  <c r="S1473" i="5"/>
  <c r="T1473" i="5"/>
  <c r="S1474" i="5"/>
  <c r="T1474" i="5"/>
  <c r="S1475" i="5"/>
  <c r="T1475" i="5"/>
  <c r="S1476" i="5"/>
  <c r="T1476" i="5"/>
  <c r="S1477" i="5"/>
  <c r="T1477" i="5"/>
  <c r="S1478" i="5"/>
  <c r="T1478" i="5"/>
  <c r="S1479" i="5"/>
  <c r="T1479" i="5"/>
  <c r="S1480" i="5"/>
  <c r="T1480" i="5"/>
  <c r="S1481" i="5"/>
  <c r="T1481" i="5"/>
  <c r="S1482" i="5"/>
  <c r="T1482" i="5"/>
  <c r="S1483" i="5"/>
  <c r="T1483" i="5"/>
  <c r="S1484" i="5"/>
  <c r="T1484" i="5"/>
  <c r="S1485" i="5"/>
  <c r="T1485" i="5"/>
  <c r="S1486" i="5"/>
  <c r="T1486" i="5"/>
  <c r="S1487" i="5"/>
  <c r="T1487" i="5"/>
  <c r="S1488" i="5"/>
  <c r="T1488" i="5"/>
  <c r="S1489" i="5"/>
  <c r="T1489" i="5"/>
  <c r="S1490" i="5"/>
  <c r="T1490" i="5"/>
  <c r="S1491" i="5"/>
  <c r="T1491" i="5"/>
  <c r="S1492" i="5"/>
  <c r="T1492" i="5"/>
  <c r="S1493" i="5"/>
  <c r="T1493" i="5"/>
  <c r="S1494" i="5"/>
  <c r="T1494" i="5"/>
  <c r="S1495" i="5"/>
  <c r="T1495" i="5"/>
  <c r="S1496" i="5"/>
  <c r="T1496" i="5"/>
  <c r="S1497" i="5"/>
  <c r="T1497" i="5"/>
  <c r="S1498" i="5"/>
  <c r="T1498" i="5"/>
  <c r="S1499" i="5"/>
  <c r="T1499" i="5"/>
  <c r="S1500" i="5"/>
  <c r="T1500" i="5"/>
  <c r="S1501" i="5"/>
  <c r="T1501" i="5"/>
  <c r="S1502" i="5"/>
  <c r="T1502" i="5"/>
  <c r="S1503" i="5"/>
  <c r="T1503" i="5"/>
  <c r="S1504" i="5"/>
  <c r="T1504" i="5"/>
  <c r="S1505" i="5"/>
  <c r="T1505" i="5"/>
  <c r="S1506" i="5"/>
  <c r="T1506" i="5"/>
  <c r="S1507" i="5"/>
  <c r="T1507" i="5"/>
  <c r="S1508" i="5"/>
  <c r="T1508" i="5"/>
  <c r="S1509" i="5"/>
  <c r="T1509" i="5"/>
  <c r="S1510" i="5"/>
  <c r="T1510" i="5"/>
  <c r="S1511" i="5"/>
  <c r="T1511" i="5"/>
  <c r="S1512" i="5"/>
  <c r="T1512" i="5"/>
  <c r="S1513" i="5"/>
  <c r="T1513" i="5"/>
  <c r="S1514" i="5"/>
  <c r="T1514" i="5"/>
  <c r="S1515" i="5"/>
  <c r="T1515" i="5"/>
  <c r="S1516" i="5"/>
  <c r="T1516" i="5"/>
  <c r="S1517" i="5"/>
  <c r="T1517" i="5"/>
  <c r="S1518" i="5"/>
  <c r="T1518" i="5"/>
  <c r="S1519" i="5"/>
  <c r="T1519" i="5"/>
  <c r="S1520" i="5"/>
  <c r="T1520" i="5"/>
  <c r="S1521" i="5"/>
  <c r="T1521" i="5"/>
  <c r="S1522" i="5"/>
  <c r="T1522" i="5"/>
  <c r="S1523" i="5"/>
  <c r="T1523" i="5"/>
  <c r="S1524" i="5"/>
  <c r="T1524" i="5"/>
  <c r="S1525" i="5"/>
  <c r="T1525" i="5"/>
  <c r="S1526" i="5"/>
  <c r="T1526" i="5"/>
  <c r="S1527" i="5"/>
  <c r="T1527" i="5"/>
  <c r="S1528" i="5"/>
  <c r="T1528" i="5"/>
  <c r="S1529" i="5"/>
  <c r="T1529" i="5"/>
  <c r="S1530" i="5"/>
  <c r="T1530" i="5"/>
  <c r="S1531" i="5"/>
  <c r="T1531" i="5"/>
  <c r="S1532" i="5"/>
  <c r="T1532" i="5"/>
  <c r="S1533" i="5"/>
  <c r="T1533" i="5"/>
  <c r="S1534" i="5"/>
  <c r="T1534" i="5"/>
  <c r="S1535" i="5"/>
  <c r="T1535" i="5"/>
  <c r="S1536" i="5"/>
  <c r="T1536" i="5"/>
  <c r="S1537" i="5"/>
  <c r="T1537" i="5"/>
  <c r="S1538" i="5"/>
  <c r="T1538" i="5"/>
  <c r="S1539" i="5"/>
  <c r="T1539" i="5"/>
  <c r="S1540" i="5"/>
  <c r="T1540" i="5"/>
  <c r="S1541" i="5"/>
  <c r="T1541" i="5"/>
  <c r="S1542" i="5"/>
  <c r="T1542" i="5"/>
  <c r="S1543" i="5"/>
  <c r="T1543" i="5"/>
  <c r="S1544" i="5"/>
  <c r="T1544" i="5"/>
  <c r="S1545" i="5"/>
  <c r="T1545" i="5"/>
  <c r="S1546" i="5"/>
  <c r="T1546" i="5"/>
  <c r="S1547" i="5"/>
  <c r="T1547" i="5"/>
  <c r="S1548" i="5"/>
  <c r="T1548" i="5"/>
  <c r="S1549" i="5"/>
  <c r="T1549" i="5"/>
  <c r="S1550" i="5"/>
  <c r="T1550" i="5"/>
  <c r="S1551" i="5"/>
  <c r="T1551" i="5"/>
  <c r="S1552" i="5"/>
  <c r="T1552" i="5"/>
  <c r="S1553" i="5"/>
  <c r="T1553" i="5"/>
  <c r="S1554" i="5"/>
  <c r="T1554" i="5"/>
  <c r="S1555" i="5"/>
  <c r="T1555" i="5"/>
  <c r="S1556" i="5"/>
  <c r="T1556" i="5"/>
  <c r="S1557" i="5"/>
  <c r="T1557" i="5"/>
  <c r="S1558" i="5"/>
  <c r="T1558" i="5"/>
  <c r="S1559" i="5"/>
  <c r="T1559" i="5"/>
  <c r="S1560" i="5"/>
  <c r="T1560" i="5"/>
  <c r="S1561" i="5"/>
  <c r="T1561" i="5"/>
  <c r="S1562" i="5"/>
  <c r="T1562" i="5"/>
  <c r="S1563" i="5"/>
  <c r="T1563" i="5"/>
  <c r="S1564" i="5"/>
  <c r="T1564" i="5"/>
  <c r="S1565" i="5"/>
  <c r="T1565" i="5"/>
  <c r="S1566" i="5"/>
  <c r="T1566" i="5"/>
  <c r="S1567" i="5"/>
  <c r="T1567" i="5"/>
  <c r="S1568" i="5"/>
  <c r="T1568" i="5"/>
  <c r="S1569" i="5"/>
  <c r="T1569" i="5"/>
  <c r="S1570" i="5"/>
  <c r="T1570" i="5"/>
  <c r="S1571" i="5"/>
  <c r="T1571" i="5"/>
  <c r="S1572" i="5"/>
  <c r="T1572" i="5"/>
  <c r="S1573" i="5"/>
  <c r="T1573" i="5"/>
  <c r="S1574" i="5"/>
  <c r="T1574" i="5"/>
  <c r="S1575" i="5"/>
  <c r="T1575" i="5"/>
  <c r="S1576" i="5"/>
  <c r="T1576" i="5"/>
  <c r="S1577" i="5"/>
  <c r="T1577" i="5"/>
  <c r="S1578" i="5"/>
  <c r="T1578" i="5"/>
  <c r="S1579" i="5"/>
  <c r="T1579" i="5"/>
  <c r="S1580" i="5"/>
  <c r="T1580" i="5"/>
  <c r="S1581" i="5"/>
  <c r="T1581" i="5"/>
  <c r="S1582" i="5"/>
  <c r="T1582" i="5"/>
  <c r="S1583" i="5"/>
  <c r="T1583" i="5"/>
  <c r="S1584" i="5"/>
  <c r="T1584" i="5"/>
  <c r="S1585" i="5"/>
  <c r="T1585" i="5"/>
  <c r="S1586" i="5"/>
  <c r="T1586" i="5"/>
  <c r="S1587" i="5"/>
  <c r="T1587" i="5"/>
  <c r="S1588" i="5"/>
  <c r="T1588" i="5"/>
  <c r="S1589" i="5"/>
  <c r="T1589" i="5"/>
  <c r="S1590" i="5"/>
  <c r="T1590" i="5"/>
  <c r="S1591" i="5"/>
  <c r="T1591" i="5"/>
  <c r="S1592" i="5"/>
  <c r="T1592" i="5"/>
  <c r="S1593" i="5"/>
  <c r="T1593" i="5"/>
  <c r="S1594" i="5"/>
  <c r="T1594" i="5"/>
  <c r="S1595" i="5"/>
  <c r="T1595" i="5"/>
  <c r="S1596" i="5"/>
  <c r="T1596" i="5"/>
  <c r="S1597" i="5"/>
  <c r="T1597" i="5"/>
  <c r="S1598" i="5"/>
  <c r="T1598" i="5"/>
  <c r="S1599" i="5"/>
  <c r="T1599" i="5"/>
  <c r="S1600" i="5"/>
  <c r="T1600" i="5"/>
  <c r="S1601" i="5"/>
  <c r="T1601" i="5"/>
  <c r="S1602" i="5"/>
  <c r="T1602" i="5"/>
  <c r="S1603" i="5"/>
  <c r="T1603" i="5"/>
  <c r="S1604" i="5"/>
  <c r="T1604" i="5"/>
  <c r="S1605" i="5"/>
  <c r="T1605" i="5"/>
  <c r="S1606" i="5"/>
  <c r="T1606" i="5"/>
  <c r="S1607" i="5"/>
  <c r="T1607" i="5"/>
  <c r="S1608" i="5"/>
  <c r="T1608" i="5"/>
  <c r="S1609" i="5"/>
  <c r="T1609" i="5"/>
  <c r="S1610" i="5"/>
  <c r="T1610" i="5"/>
  <c r="S1611" i="5"/>
  <c r="T1611" i="5"/>
  <c r="S1612" i="5"/>
  <c r="T1612" i="5"/>
  <c r="S1613" i="5"/>
  <c r="T1613" i="5"/>
  <c r="S1614" i="5"/>
  <c r="T1614" i="5"/>
  <c r="S1615" i="5"/>
  <c r="T1615" i="5"/>
  <c r="S1616" i="5"/>
  <c r="T1616" i="5"/>
  <c r="S1617" i="5"/>
  <c r="T1617" i="5"/>
  <c r="S1618" i="5"/>
  <c r="T1618" i="5"/>
  <c r="S1619" i="5"/>
  <c r="T1619" i="5"/>
  <c r="S1620" i="5"/>
  <c r="T1620" i="5"/>
  <c r="S1621" i="5"/>
  <c r="T1621" i="5"/>
  <c r="S1622" i="5"/>
  <c r="T1622" i="5"/>
  <c r="S1623" i="5"/>
  <c r="T1623" i="5"/>
  <c r="S1624" i="5"/>
  <c r="T1624" i="5"/>
  <c r="S1625" i="5"/>
  <c r="T1625" i="5"/>
  <c r="S1626" i="5"/>
  <c r="T1626" i="5"/>
  <c r="S1627" i="5"/>
  <c r="T1627" i="5"/>
  <c r="S1628" i="5"/>
  <c r="T1628" i="5"/>
  <c r="S1629" i="5"/>
  <c r="T1629" i="5"/>
  <c r="S1630" i="5"/>
  <c r="T1630" i="5"/>
  <c r="S1631" i="5"/>
  <c r="T1631" i="5"/>
  <c r="S1632" i="5"/>
  <c r="T1632" i="5"/>
  <c r="S1633" i="5"/>
  <c r="T1633" i="5"/>
  <c r="S1634" i="5"/>
  <c r="T1634" i="5"/>
  <c r="S1635" i="5"/>
  <c r="T1635" i="5"/>
  <c r="S1636" i="5"/>
  <c r="T1636" i="5"/>
  <c r="S1637" i="5"/>
  <c r="T1637" i="5"/>
  <c r="S1638" i="5"/>
  <c r="T1638" i="5"/>
  <c r="S1639" i="5"/>
  <c r="T1639" i="5"/>
  <c r="S1640" i="5"/>
  <c r="T1640" i="5"/>
  <c r="S1641" i="5"/>
  <c r="T1641" i="5"/>
  <c r="S1642" i="5"/>
  <c r="T1642" i="5"/>
  <c r="S1643" i="5"/>
  <c r="T1643" i="5"/>
  <c r="S1644" i="5"/>
  <c r="T1644" i="5"/>
  <c r="S1645" i="5"/>
  <c r="T1645" i="5"/>
  <c r="S1646" i="5"/>
  <c r="T1646" i="5"/>
  <c r="S1647" i="5"/>
  <c r="T1647" i="5"/>
  <c r="S1648" i="5"/>
  <c r="T1648" i="5"/>
  <c r="S1649" i="5"/>
  <c r="T1649" i="5"/>
  <c r="S1650" i="5"/>
  <c r="T1650" i="5"/>
  <c r="S1651" i="5"/>
  <c r="T1651" i="5"/>
  <c r="S1652" i="5"/>
  <c r="T1652" i="5"/>
  <c r="S1653" i="5"/>
  <c r="T1653" i="5"/>
  <c r="S1654" i="5"/>
  <c r="T1654" i="5"/>
  <c r="S1655" i="5"/>
  <c r="T1655" i="5"/>
  <c r="S1656" i="5"/>
  <c r="T1656" i="5"/>
  <c r="S1657" i="5"/>
  <c r="T1657" i="5"/>
  <c r="S1658" i="5"/>
  <c r="T1658" i="5"/>
  <c r="S1659" i="5"/>
  <c r="T1659" i="5"/>
  <c r="S1660" i="5"/>
  <c r="T1660" i="5"/>
  <c r="S1661" i="5"/>
  <c r="T1661" i="5"/>
  <c r="S1662" i="5"/>
  <c r="T1662" i="5"/>
  <c r="S1663" i="5"/>
  <c r="T1663" i="5"/>
  <c r="S1664" i="5"/>
  <c r="T1664" i="5"/>
  <c r="S1665" i="5"/>
  <c r="T1665" i="5"/>
  <c r="S1666" i="5"/>
  <c r="T1666" i="5"/>
  <c r="S1667" i="5"/>
  <c r="T1667" i="5"/>
  <c r="S1668" i="5"/>
  <c r="T1668" i="5"/>
  <c r="S1669" i="5"/>
  <c r="T1669" i="5"/>
  <c r="S1670" i="5"/>
  <c r="T1670" i="5"/>
  <c r="S1671" i="5"/>
  <c r="T1671" i="5"/>
  <c r="S1672" i="5"/>
  <c r="T1672" i="5"/>
  <c r="S1673" i="5"/>
  <c r="T1673" i="5"/>
  <c r="S1674" i="5"/>
  <c r="T1674" i="5"/>
  <c r="S1675" i="5"/>
  <c r="T1675" i="5"/>
  <c r="S1676" i="5"/>
  <c r="T1676" i="5"/>
  <c r="S1677" i="5"/>
  <c r="T1677" i="5"/>
  <c r="S1678" i="5"/>
  <c r="T1678" i="5"/>
  <c r="S1679" i="5"/>
  <c r="T1679" i="5"/>
  <c r="S1680" i="5"/>
  <c r="T1680" i="5"/>
  <c r="S1681" i="5"/>
  <c r="T1681" i="5"/>
  <c r="S1682" i="5"/>
  <c r="T1682" i="5"/>
  <c r="S1683" i="5"/>
  <c r="T1683" i="5"/>
  <c r="S1684" i="5"/>
  <c r="T1684" i="5"/>
  <c r="S1685" i="5"/>
  <c r="T1685" i="5"/>
  <c r="S1686" i="5"/>
  <c r="T1686" i="5"/>
  <c r="S1687" i="5"/>
  <c r="T1687" i="5"/>
  <c r="S1688" i="5"/>
  <c r="T1688" i="5"/>
  <c r="S1689" i="5"/>
  <c r="T1689" i="5"/>
  <c r="S1690" i="5"/>
  <c r="T1690" i="5"/>
  <c r="S1691" i="5"/>
  <c r="T1691" i="5"/>
  <c r="S1692" i="5"/>
  <c r="T1692" i="5"/>
  <c r="S1693" i="5"/>
  <c r="T1693" i="5"/>
  <c r="S1694" i="5"/>
  <c r="T1694" i="5"/>
  <c r="S1695" i="5"/>
  <c r="T1695" i="5"/>
  <c r="S1696" i="5"/>
  <c r="T1696" i="5"/>
  <c r="S1697" i="5"/>
  <c r="T1697" i="5"/>
  <c r="S1698" i="5"/>
  <c r="T1698" i="5"/>
  <c r="S1699" i="5"/>
  <c r="T1699" i="5"/>
  <c r="S1700" i="5"/>
  <c r="T1700" i="5"/>
  <c r="S1701" i="5"/>
  <c r="T1701" i="5"/>
  <c r="S1702" i="5"/>
  <c r="T1702" i="5"/>
  <c r="S1703" i="5"/>
  <c r="T1703" i="5"/>
  <c r="S1704" i="5"/>
  <c r="T1704" i="5"/>
  <c r="S1705" i="5"/>
  <c r="T1705" i="5"/>
  <c r="S1706" i="5"/>
  <c r="T1706" i="5"/>
  <c r="S1707" i="5"/>
  <c r="T1707" i="5"/>
  <c r="S1708" i="5"/>
  <c r="T1708" i="5"/>
  <c r="S1709" i="5"/>
  <c r="T1709" i="5"/>
  <c r="S1710" i="5"/>
  <c r="T1710" i="5"/>
  <c r="S1711" i="5"/>
  <c r="T1711" i="5"/>
  <c r="S1712" i="5"/>
  <c r="T1712" i="5"/>
  <c r="S1713" i="5"/>
  <c r="T1713" i="5"/>
  <c r="S1714" i="5"/>
  <c r="T1714" i="5"/>
  <c r="S1715" i="5"/>
  <c r="T1715" i="5"/>
  <c r="S1716" i="5"/>
  <c r="T1716" i="5"/>
  <c r="S1717" i="5"/>
  <c r="T1717" i="5"/>
  <c r="S1718" i="5"/>
  <c r="T1718" i="5"/>
  <c r="S1719" i="5"/>
  <c r="T1719" i="5"/>
  <c r="S1720" i="5"/>
  <c r="T1720" i="5"/>
  <c r="S1721" i="5"/>
  <c r="T1721" i="5"/>
  <c r="S1722" i="5"/>
  <c r="T1722" i="5"/>
  <c r="S1723" i="5"/>
  <c r="T1723" i="5"/>
  <c r="S1724" i="5"/>
  <c r="T1724" i="5"/>
  <c r="S1725" i="5"/>
  <c r="T1725" i="5"/>
  <c r="S1726" i="5"/>
  <c r="T1726" i="5"/>
  <c r="S1727" i="5"/>
  <c r="T1727" i="5"/>
  <c r="S1728" i="5"/>
  <c r="T1728" i="5"/>
  <c r="S1729" i="5"/>
  <c r="T1729" i="5"/>
  <c r="S1730" i="5"/>
  <c r="T1730" i="5"/>
  <c r="S1731" i="5"/>
  <c r="T1731" i="5"/>
  <c r="S1732" i="5"/>
  <c r="T1732" i="5"/>
  <c r="S1733" i="5"/>
  <c r="T1733" i="5"/>
  <c r="S1734" i="5"/>
  <c r="T1734" i="5"/>
  <c r="S1735" i="5"/>
  <c r="T1735" i="5"/>
  <c r="S1736" i="5"/>
  <c r="T1736" i="5"/>
  <c r="S1737" i="5"/>
  <c r="T1737" i="5"/>
  <c r="S1738" i="5"/>
  <c r="T1738" i="5"/>
  <c r="S1739" i="5"/>
  <c r="T1739" i="5"/>
  <c r="S1740" i="5"/>
  <c r="T1740" i="5"/>
  <c r="S1741" i="5"/>
  <c r="T1741" i="5"/>
  <c r="S1742" i="5"/>
  <c r="T1742" i="5"/>
  <c r="S1743" i="5"/>
  <c r="T1743" i="5"/>
  <c r="S1744" i="5"/>
  <c r="T1744" i="5"/>
  <c r="S1745" i="5"/>
  <c r="T1745" i="5"/>
  <c r="S1746" i="5"/>
  <c r="T1746" i="5"/>
  <c r="S1747" i="5"/>
  <c r="T1747" i="5"/>
  <c r="S1748" i="5"/>
  <c r="T1748" i="5"/>
  <c r="S1749" i="5"/>
  <c r="T1749" i="5"/>
  <c r="S1750" i="5"/>
  <c r="T1750" i="5"/>
  <c r="S1751" i="5"/>
  <c r="T1751" i="5"/>
  <c r="S1752" i="5"/>
  <c r="T1752" i="5"/>
  <c r="S1753" i="5"/>
  <c r="T1753" i="5"/>
  <c r="S1754" i="5"/>
  <c r="T1754" i="5"/>
  <c r="S1755" i="5"/>
  <c r="T1755" i="5"/>
  <c r="S1756" i="5"/>
  <c r="T1756" i="5"/>
  <c r="S1757" i="5"/>
  <c r="T1757" i="5"/>
  <c r="S1758" i="5"/>
  <c r="T1758" i="5"/>
  <c r="S1759" i="5"/>
  <c r="T1759" i="5"/>
  <c r="S1760" i="5"/>
  <c r="T1760" i="5"/>
  <c r="S1761" i="5"/>
  <c r="T1761" i="5"/>
  <c r="S1762" i="5"/>
  <c r="T1762" i="5"/>
  <c r="S1763" i="5"/>
  <c r="T1763" i="5"/>
  <c r="S1764" i="5"/>
  <c r="T1764" i="5"/>
  <c r="S1765" i="5"/>
  <c r="T1765" i="5"/>
  <c r="S1766" i="5"/>
  <c r="T1766" i="5"/>
  <c r="S1767" i="5"/>
  <c r="T1767" i="5"/>
  <c r="S1768" i="5"/>
  <c r="T1768" i="5"/>
  <c r="S1769" i="5"/>
  <c r="T1769" i="5"/>
  <c r="S1770" i="5"/>
  <c r="T1770" i="5"/>
  <c r="S1771" i="5"/>
  <c r="T1771" i="5"/>
  <c r="S1772" i="5"/>
  <c r="T1772" i="5"/>
  <c r="S1773" i="5"/>
  <c r="T1773" i="5"/>
  <c r="S1774" i="5"/>
  <c r="T1774" i="5"/>
  <c r="S1775" i="5"/>
  <c r="T1775" i="5"/>
  <c r="S1776" i="5"/>
  <c r="T1776" i="5"/>
  <c r="S1777" i="5"/>
  <c r="T1777" i="5"/>
  <c r="S1778" i="5"/>
  <c r="T1778" i="5"/>
  <c r="S1779" i="5"/>
  <c r="T1779" i="5"/>
  <c r="S1780" i="5"/>
  <c r="T1780" i="5"/>
  <c r="S1781" i="5"/>
  <c r="T1781" i="5"/>
  <c r="S1782" i="5"/>
  <c r="T1782" i="5"/>
  <c r="S1783" i="5"/>
  <c r="T1783" i="5"/>
  <c r="S1784" i="5"/>
  <c r="T1784" i="5"/>
  <c r="S1785" i="5"/>
  <c r="T1785" i="5"/>
  <c r="S1786" i="5"/>
  <c r="T1786" i="5"/>
  <c r="S1787" i="5"/>
  <c r="T1787" i="5"/>
  <c r="S1788" i="5"/>
  <c r="T1788" i="5"/>
  <c r="S1789" i="5"/>
  <c r="T1789" i="5"/>
  <c r="S1790" i="5"/>
  <c r="T1790" i="5"/>
  <c r="S1791" i="5"/>
  <c r="T1791" i="5"/>
  <c r="S1792" i="5"/>
  <c r="T1792" i="5"/>
  <c r="S1793" i="5"/>
  <c r="T1793" i="5"/>
  <c r="S1794" i="5"/>
  <c r="T1794" i="5"/>
  <c r="S1795" i="5"/>
  <c r="T1795" i="5"/>
  <c r="S1796" i="5"/>
  <c r="T1796" i="5"/>
  <c r="S1797" i="5"/>
  <c r="T1797" i="5"/>
  <c r="S1798" i="5"/>
  <c r="T1798" i="5"/>
  <c r="S1799" i="5"/>
  <c r="T1799" i="5"/>
  <c r="S1800" i="5"/>
  <c r="T1800" i="5"/>
  <c r="S1801" i="5"/>
  <c r="T1801" i="5"/>
  <c r="S1802" i="5"/>
  <c r="T1802" i="5"/>
  <c r="S1803" i="5"/>
  <c r="T1803" i="5"/>
  <c r="S1804" i="5"/>
  <c r="T1804" i="5"/>
  <c r="S1805" i="5"/>
  <c r="T1805" i="5"/>
  <c r="S1806" i="5"/>
  <c r="T1806" i="5"/>
  <c r="S1807" i="5"/>
  <c r="T1807" i="5"/>
  <c r="S1808" i="5"/>
  <c r="T1808" i="5"/>
  <c r="S1809" i="5"/>
  <c r="T1809" i="5"/>
  <c r="S1810" i="5"/>
  <c r="T1810" i="5"/>
  <c r="S1811" i="5"/>
  <c r="T1811" i="5"/>
  <c r="S1812" i="5"/>
  <c r="T1812" i="5"/>
  <c r="S1813" i="5"/>
  <c r="T1813" i="5"/>
  <c r="S1814" i="5"/>
  <c r="T1814" i="5"/>
  <c r="S1815" i="5"/>
  <c r="T1815" i="5"/>
  <c r="S1816" i="5"/>
  <c r="T1816" i="5"/>
  <c r="S1817" i="5"/>
  <c r="T1817" i="5"/>
  <c r="S1818" i="5"/>
  <c r="T1818" i="5"/>
  <c r="S1819" i="5"/>
  <c r="T1819" i="5"/>
  <c r="S1820" i="5"/>
  <c r="T1820" i="5"/>
  <c r="S1821" i="5"/>
  <c r="T1821" i="5"/>
  <c r="S1822" i="5"/>
  <c r="T1822" i="5"/>
  <c r="S1823" i="5"/>
  <c r="T1823" i="5"/>
  <c r="S1824" i="5"/>
  <c r="T1824" i="5"/>
  <c r="S1825" i="5"/>
  <c r="T1825" i="5"/>
  <c r="S1826" i="5"/>
  <c r="T1826" i="5"/>
  <c r="S1827" i="5"/>
  <c r="T1827" i="5"/>
  <c r="S1828" i="5"/>
  <c r="T1828" i="5"/>
  <c r="S1829" i="5"/>
  <c r="T1829" i="5"/>
  <c r="S1830" i="5"/>
  <c r="T1830" i="5"/>
  <c r="S1831" i="5"/>
  <c r="T1831" i="5"/>
  <c r="S1832" i="5"/>
  <c r="T1832" i="5"/>
  <c r="S1833" i="5"/>
  <c r="T1833" i="5"/>
  <c r="S1834" i="5"/>
  <c r="T1834" i="5"/>
  <c r="S1835" i="5"/>
  <c r="T1835" i="5"/>
  <c r="S1836" i="5"/>
  <c r="T1836" i="5"/>
  <c r="S1837" i="5"/>
  <c r="T1837" i="5"/>
  <c r="S1838" i="5"/>
  <c r="T1838" i="5"/>
  <c r="S1839" i="5"/>
  <c r="T1839" i="5"/>
  <c r="S1840" i="5"/>
  <c r="T1840" i="5"/>
  <c r="S1841" i="5"/>
  <c r="T1841" i="5"/>
  <c r="S1842" i="5"/>
  <c r="T1842" i="5"/>
  <c r="S1843" i="5"/>
  <c r="T1843" i="5"/>
  <c r="S1844" i="5"/>
  <c r="T1844" i="5"/>
  <c r="S1845" i="5"/>
  <c r="T1845" i="5"/>
  <c r="S1846" i="5"/>
  <c r="T1846" i="5"/>
  <c r="S1847" i="5"/>
  <c r="T1847" i="5"/>
  <c r="S1848" i="5"/>
  <c r="T1848" i="5"/>
  <c r="S1849" i="5"/>
  <c r="T1849" i="5"/>
  <c r="S1850" i="5"/>
  <c r="T1850" i="5"/>
  <c r="S1851" i="5"/>
  <c r="T1851" i="5"/>
  <c r="S1852" i="5"/>
  <c r="T1852" i="5"/>
  <c r="S1853" i="5"/>
  <c r="T1853" i="5"/>
  <c r="S1854" i="5"/>
  <c r="T1854" i="5"/>
  <c r="S1855" i="5"/>
  <c r="T1855" i="5"/>
  <c r="S1856" i="5"/>
  <c r="T1856" i="5"/>
  <c r="S1857" i="5"/>
  <c r="T1857" i="5"/>
  <c r="S1858" i="5"/>
  <c r="T1858" i="5"/>
  <c r="S1859" i="5"/>
  <c r="T1859" i="5"/>
  <c r="S1860" i="5"/>
  <c r="T1860" i="5"/>
  <c r="S1861" i="5"/>
  <c r="T1861" i="5"/>
  <c r="S1862" i="5"/>
  <c r="T1862" i="5"/>
  <c r="S1863" i="5"/>
  <c r="T1863" i="5"/>
  <c r="S1864" i="5"/>
  <c r="T1864" i="5"/>
  <c r="S1865" i="5"/>
  <c r="T1865" i="5"/>
  <c r="S1866" i="5"/>
  <c r="T1866" i="5"/>
  <c r="S1867" i="5"/>
  <c r="T1867" i="5"/>
  <c r="S1868" i="5"/>
  <c r="T1868" i="5"/>
  <c r="S1869" i="5"/>
  <c r="T1869" i="5"/>
  <c r="S1870" i="5"/>
  <c r="T1870" i="5"/>
  <c r="S1871" i="5"/>
  <c r="T1871" i="5"/>
  <c r="S1872" i="5"/>
  <c r="T1872" i="5"/>
  <c r="S1873" i="5"/>
  <c r="T1873" i="5"/>
  <c r="S1874" i="5"/>
  <c r="T1874" i="5"/>
  <c r="S1875" i="5"/>
  <c r="T1875" i="5"/>
  <c r="S1876" i="5"/>
  <c r="T1876" i="5"/>
  <c r="S1877" i="5"/>
  <c r="T1877" i="5"/>
  <c r="S1878" i="5"/>
  <c r="T1878" i="5"/>
  <c r="S1879" i="5"/>
  <c r="T1879" i="5"/>
  <c r="S1880" i="5"/>
  <c r="T1880" i="5"/>
  <c r="S1881" i="5"/>
  <c r="T1881" i="5"/>
  <c r="S1882" i="5"/>
  <c r="T1882" i="5"/>
  <c r="S1883" i="5"/>
  <c r="T1883" i="5"/>
  <c r="S1884" i="5"/>
  <c r="T1884" i="5"/>
  <c r="S1885" i="5"/>
  <c r="T1885" i="5"/>
  <c r="S1886" i="5"/>
  <c r="T1886" i="5"/>
  <c r="S1887" i="5"/>
  <c r="T1887" i="5"/>
  <c r="S1888" i="5"/>
  <c r="T1888" i="5"/>
  <c r="S1889" i="5"/>
  <c r="T1889" i="5"/>
  <c r="S1890" i="5"/>
  <c r="T1890" i="5"/>
  <c r="S1891" i="5"/>
  <c r="T1891" i="5"/>
  <c r="S1892" i="5"/>
  <c r="T1892" i="5"/>
  <c r="S1893" i="5"/>
  <c r="T1893" i="5"/>
  <c r="S1894" i="5"/>
  <c r="T1894" i="5"/>
  <c r="S1895" i="5"/>
  <c r="T1895" i="5"/>
  <c r="S1896" i="5"/>
  <c r="T1896" i="5"/>
  <c r="S1897" i="5"/>
  <c r="T1897" i="5"/>
  <c r="S1898" i="5"/>
  <c r="T1898" i="5"/>
  <c r="S1899" i="5"/>
  <c r="T1899" i="5"/>
  <c r="S1900" i="5"/>
  <c r="T1900" i="5"/>
  <c r="S1901" i="5"/>
  <c r="T1901" i="5"/>
  <c r="S1902" i="5"/>
  <c r="T1902" i="5"/>
  <c r="S1903" i="5"/>
  <c r="T1903" i="5"/>
  <c r="S1904" i="5"/>
  <c r="T1904" i="5"/>
  <c r="S1905" i="5"/>
  <c r="T1905" i="5"/>
  <c r="S1906" i="5"/>
  <c r="T1906" i="5"/>
  <c r="S1907" i="5"/>
  <c r="T1907" i="5"/>
  <c r="S1908" i="5"/>
  <c r="T1908" i="5"/>
  <c r="S1909" i="5"/>
  <c r="T1909" i="5"/>
  <c r="S1910" i="5"/>
  <c r="T1910" i="5"/>
  <c r="S1911" i="5"/>
  <c r="T1911" i="5"/>
  <c r="S1912" i="5"/>
  <c r="T1912" i="5"/>
  <c r="S1913" i="5"/>
  <c r="T1913" i="5"/>
  <c r="S1914" i="5"/>
  <c r="T1914" i="5"/>
  <c r="S1915" i="5"/>
  <c r="T1915" i="5"/>
  <c r="S1916" i="5"/>
  <c r="T1916" i="5"/>
  <c r="S1917" i="5"/>
  <c r="T1917" i="5"/>
  <c r="S1918" i="5"/>
  <c r="T1918" i="5"/>
  <c r="S1919" i="5"/>
  <c r="T1919" i="5"/>
  <c r="S1920" i="5"/>
  <c r="T1920" i="5"/>
  <c r="S1921" i="5"/>
  <c r="T1921" i="5"/>
  <c r="S1922" i="5"/>
  <c r="T1922" i="5"/>
  <c r="S1923" i="5"/>
  <c r="T1923" i="5"/>
  <c r="S1924" i="5"/>
  <c r="T1924" i="5"/>
  <c r="S1925" i="5"/>
  <c r="T1925" i="5"/>
  <c r="S1926" i="5"/>
  <c r="T1926" i="5"/>
  <c r="S1927" i="5"/>
  <c r="T1927" i="5"/>
  <c r="S1928" i="5"/>
  <c r="T1928" i="5"/>
  <c r="S1929" i="5"/>
  <c r="T1929" i="5"/>
  <c r="S1930" i="5"/>
  <c r="T1930" i="5"/>
  <c r="S1931" i="5"/>
  <c r="T1931" i="5"/>
  <c r="S1932" i="5"/>
  <c r="T1932" i="5"/>
  <c r="S1933" i="5"/>
  <c r="T1933" i="5"/>
  <c r="S1934" i="5"/>
  <c r="T1934" i="5"/>
  <c r="S1935" i="5"/>
  <c r="T1935" i="5"/>
  <c r="S1936" i="5"/>
  <c r="T1936" i="5"/>
  <c r="S1937" i="5"/>
  <c r="T1937" i="5"/>
  <c r="S1938" i="5"/>
  <c r="T1938" i="5"/>
  <c r="S1939" i="5"/>
  <c r="T1939" i="5"/>
  <c r="S1940" i="5"/>
  <c r="T1940" i="5"/>
  <c r="S1941" i="5"/>
  <c r="T1941" i="5"/>
  <c r="S1942" i="5"/>
  <c r="T1942" i="5"/>
  <c r="S1943" i="5"/>
  <c r="T1943" i="5"/>
  <c r="S1944" i="5"/>
  <c r="T1944" i="5"/>
  <c r="S1945" i="5"/>
  <c r="T1945" i="5"/>
  <c r="S1946" i="5"/>
  <c r="T1946" i="5"/>
  <c r="S1947" i="5"/>
  <c r="T1947" i="5"/>
  <c r="S1948" i="5"/>
  <c r="T1948" i="5"/>
  <c r="S1949" i="5"/>
  <c r="T1949" i="5"/>
  <c r="S1950" i="5"/>
  <c r="T1950" i="5"/>
  <c r="S1951" i="5"/>
  <c r="T1951" i="5"/>
  <c r="S1952" i="5"/>
  <c r="T1952" i="5"/>
  <c r="S1953" i="5"/>
  <c r="T1953" i="5"/>
  <c r="S1954" i="5"/>
  <c r="T1954" i="5"/>
  <c r="S1955" i="5"/>
  <c r="T1955" i="5"/>
  <c r="S1956" i="5"/>
  <c r="T1956" i="5"/>
  <c r="S1957" i="5"/>
  <c r="T1957" i="5"/>
  <c r="S1958" i="5"/>
  <c r="T1958" i="5"/>
  <c r="S1959" i="5"/>
  <c r="T1959" i="5"/>
  <c r="S1960" i="5"/>
  <c r="T1960" i="5"/>
  <c r="S1961" i="5"/>
  <c r="T1961" i="5"/>
  <c r="S1962" i="5"/>
  <c r="T1962" i="5"/>
  <c r="S1963" i="5"/>
  <c r="T1963" i="5"/>
  <c r="S1964" i="5"/>
  <c r="T1964" i="5"/>
  <c r="S1965" i="5"/>
  <c r="T1965" i="5"/>
  <c r="S1966" i="5"/>
  <c r="T1966" i="5"/>
  <c r="S1967" i="5"/>
  <c r="T1967" i="5"/>
  <c r="S1968" i="5"/>
  <c r="T1968" i="5"/>
  <c r="S1969" i="5"/>
  <c r="T1969" i="5"/>
  <c r="S1970" i="5"/>
  <c r="T1970" i="5"/>
  <c r="S1971" i="5"/>
  <c r="T1971" i="5"/>
  <c r="S1972" i="5"/>
  <c r="T1972" i="5"/>
  <c r="S1973" i="5"/>
  <c r="T1973" i="5"/>
  <c r="S1974" i="5"/>
  <c r="T1974" i="5"/>
  <c r="S1975" i="5"/>
  <c r="T1975" i="5"/>
  <c r="S1976" i="5"/>
  <c r="T1976" i="5"/>
  <c r="S1977" i="5"/>
  <c r="T1977" i="5"/>
  <c r="S1978" i="5"/>
  <c r="T1978" i="5"/>
  <c r="S1979" i="5"/>
  <c r="T1979" i="5"/>
  <c r="S1980" i="5"/>
  <c r="T1980" i="5"/>
  <c r="S1981" i="5"/>
  <c r="T1981" i="5"/>
  <c r="S1982" i="5"/>
  <c r="T1982" i="5"/>
  <c r="S1983" i="5"/>
  <c r="T1983" i="5"/>
  <c r="S1984" i="5"/>
  <c r="T1984" i="5"/>
  <c r="S1985" i="5"/>
  <c r="T1985" i="5"/>
  <c r="S1986" i="5"/>
  <c r="T1986" i="5"/>
  <c r="S1987" i="5"/>
  <c r="T1987" i="5"/>
  <c r="S1988" i="5"/>
  <c r="T1988" i="5"/>
  <c r="S1989" i="5"/>
  <c r="T1989" i="5"/>
  <c r="S1990" i="5"/>
  <c r="T1990" i="5"/>
  <c r="S1991" i="5"/>
  <c r="T1991" i="5"/>
  <c r="S1992" i="5"/>
  <c r="T1992" i="5"/>
  <c r="S1993" i="5"/>
  <c r="T1993" i="5"/>
  <c r="S1994" i="5"/>
  <c r="T1994" i="5"/>
  <c r="S1995" i="5"/>
  <c r="T1995" i="5"/>
  <c r="S1996" i="5"/>
  <c r="T1996" i="5"/>
  <c r="S1997" i="5"/>
  <c r="T1997" i="5"/>
  <c r="S1998" i="5"/>
  <c r="T1998" i="5"/>
  <c r="S1999" i="5"/>
  <c r="T1999" i="5"/>
  <c r="S2000" i="5"/>
  <c r="T2000" i="5"/>
  <c r="T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B6" i="17"/>
  <c r="C6" i="17"/>
  <c r="D6" i="17"/>
  <c r="E6" i="17"/>
  <c r="B7" i="17"/>
  <c r="C7" i="17"/>
  <c r="D7" i="17"/>
  <c r="E7" i="17"/>
  <c r="B8" i="17"/>
  <c r="C8" i="17"/>
  <c r="D8" i="17"/>
  <c r="E8" i="17"/>
  <c r="B9" i="17"/>
  <c r="C9" i="17"/>
  <c r="D9" i="17"/>
  <c r="E9" i="17"/>
  <c r="B10" i="17"/>
  <c r="C10" i="17"/>
  <c r="D10" i="17"/>
  <c r="E10" i="17"/>
  <c r="B11" i="17"/>
  <c r="C11" i="17"/>
  <c r="D11" i="17"/>
  <c r="E11" i="17"/>
  <c r="B12" i="17"/>
  <c r="C12" i="17"/>
  <c r="D12" i="17"/>
  <c r="E12" i="17"/>
  <c r="B13" i="17"/>
  <c r="C13" i="17"/>
  <c r="D13" i="17"/>
  <c r="E13" i="17"/>
  <c r="B14" i="17"/>
  <c r="C14" i="17"/>
  <c r="D14" i="17"/>
  <c r="E14" i="17"/>
  <c r="B15" i="17"/>
  <c r="C15" i="17"/>
  <c r="D15" i="17"/>
  <c r="E15" i="17"/>
  <c r="B16" i="17"/>
  <c r="C16" i="17"/>
  <c r="D16" i="17"/>
  <c r="E16" i="17"/>
  <c r="B17" i="17"/>
  <c r="C17" i="17"/>
  <c r="D17" i="17"/>
  <c r="E17" i="17"/>
  <c r="B18" i="17"/>
  <c r="C18" i="17"/>
  <c r="D18" i="17"/>
  <c r="E18" i="17"/>
  <c r="B19" i="17"/>
  <c r="C19" i="17"/>
  <c r="D19" i="17"/>
  <c r="E19" i="17"/>
  <c r="B20" i="17"/>
  <c r="C20" i="17"/>
  <c r="D20" i="17"/>
  <c r="E20" i="17"/>
  <c r="B21" i="17"/>
  <c r="C21" i="17"/>
  <c r="D21" i="17"/>
  <c r="E21" i="17"/>
  <c r="B22" i="17"/>
  <c r="C22" i="17"/>
  <c r="D22" i="17"/>
  <c r="E22" i="17"/>
  <c r="B23" i="17"/>
  <c r="C23" i="17"/>
  <c r="D23" i="17"/>
  <c r="E23" i="17"/>
  <c r="B24" i="17"/>
  <c r="C24" i="17"/>
  <c r="D24" i="17"/>
  <c r="E24" i="17"/>
  <c r="B25" i="17"/>
  <c r="C25" i="17"/>
  <c r="D25" i="17"/>
  <c r="E25" i="17"/>
  <c r="B26" i="17"/>
  <c r="C26" i="17"/>
  <c r="D26" i="17"/>
  <c r="E26" i="17"/>
  <c r="B27" i="17"/>
  <c r="C27" i="17"/>
  <c r="D27" i="17"/>
  <c r="E27" i="17"/>
  <c r="B28" i="17"/>
  <c r="C28" i="17"/>
  <c r="D28" i="17"/>
  <c r="E28" i="17"/>
  <c r="B29" i="17"/>
  <c r="C29" i="17"/>
  <c r="D29" i="17"/>
  <c r="E29" i="17"/>
  <c r="B30" i="17"/>
  <c r="C30" i="17"/>
  <c r="D30" i="17"/>
  <c r="E30" i="17"/>
  <c r="B31" i="17"/>
  <c r="C31" i="17"/>
  <c r="D31" i="17"/>
  <c r="E31" i="17"/>
  <c r="B32" i="17"/>
  <c r="C32" i="17"/>
  <c r="D32" i="17"/>
  <c r="E32" i="17"/>
  <c r="B33" i="17"/>
  <c r="C33" i="17"/>
  <c r="D33" i="17"/>
  <c r="E33" i="17"/>
  <c r="B34" i="17"/>
  <c r="C34" i="17"/>
  <c r="D34" i="17"/>
  <c r="E34" i="17"/>
  <c r="B35" i="17"/>
  <c r="C35" i="17"/>
  <c r="D35" i="17"/>
  <c r="E35" i="17"/>
  <c r="B36" i="17"/>
  <c r="C36" i="17"/>
  <c r="D36" i="17"/>
  <c r="E36" i="17"/>
  <c r="B37" i="17"/>
  <c r="C37" i="17"/>
  <c r="D37" i="17"/>
  <c r="E37" i="17"/>
  <c r="B38" i="17"/>
  <c r="C38" i="17"/>
  <c r="D38" i="17"/>
  <c r="E38" i="17"/>
  <c r="B39" i="17"/>
  <c r="C39" i="17"/>
  <c r="D39" i="17"/>
  <c r="E39" i="17"/>
  <c r="B40" i="17"/>
  <c r="C40" i="17"/>
  <c r="D40" i="17"/>
  <c r="E40" i="17"/>
  <c r="B41" i="17"/>
  <c r="C41" i="17"/>
  <c r="D41" i="17"/>
  <c r="E41" i="17"/>
  <c r="B42" i="17"/>
  <c r="C42" i="17"/>
  <c r="D42" i="17"/>
  <c r="E42" i="17"/>
  <c r="B43" i="17"/>
  <c r="C43" i="17"/>
  <c r="D43" i="17"/>
  <c r="E43" i="17"/>
  <c r="B44" i="17"/>
  <c r="C44" i="17"/>
  <c r="D44" i="17"/>
  <c r="E44" i="17"/>
  <c r="B45" i="17"/>
  <c r="C45" i="17"/>
  <c r="D45" i="17"/>
  <c r="E45" i="17"/>
  <c r="B46" i="17"/>
  <c r="C46" i="17"/>
  <c r="D46" i="17"/>
  <c r="E46" i="17"/>
  <c r="B47" i="17"/>
  <c r="C47" i="17"/>
  <c r="D47" i="17"/>
  <c r="E47" i="17"/>
  <c r="B48" i="17"/>
  <c r="C48" i="17"/>
  <c r="D48" i="17"/>
  <c r="E48" i="17"/>
  <c r="B49" i="17"/>
  <c r="C49" i="17"/>
  <c r="D49" i="17"/>
  <c r="E49" i="17"/>
  <c r="B50" i="17"/>
  <c r="C50" i="17"/>
  <c r="D50" i="17"/>
  <c r="E50" i="17"/>
  <c r="B51" i="17"/>
  <c r="C51" i="17"/>
  <c r="D51" i="17"/>
  <c r="E51" i="17"/>
  <c r="B52" i="17"/>
  <c r="C52" i="17"/>
  <c r="D52" i="17"/>
  <c r="E52" i="17"/>
  <c r="B53" i="17"/>
  <c r="C53" i="17"/>
  <c r="D53" i="17"/>
  <c r="E53" i="17"/>
  <c r="B54" i="17"/>
  <c r="C54" i="17"/>
  <c r="D54" i="17"/>
  <c r="E54" i="17"/>
  <c r="B55" i="17"/>
  <c r="C55" i="17"/>
  <c r="D55" i="17"/>
  <c r="E55" i="17"/>
  <c r="B56" i="17"/>
  <c r="C56" i="17"/>
  <c r="D56" i="17"/>
  <c r="E56" i="17"/>
  <c r="B57" i="17"/>
  <c r="C57" i="17"/>
  <c r="D57" i="17"/>
  <c r="E57" i="17"/>
  <c r="B58" i="17"/>
  <c r="C58" i="17"/>
  <c r="D58" i="17"/>
  <c r="E58" i="17"/>
  <c r="B59" i="17"/>
  <c r="C59" i="17"/>
  <c r="D59" i="17"/>
  <c r="E59" i="17"/>
  <c r="B60" i="17"/>
  <c r="C60" i="17"/>
  <c r="D60" i="17"/>
  <c r="E60" i="17"/>
  <c r="B61" i="17"/>
  <c r="C61" i="17"/>
  <c r="D61" i="17"/>
  <c r="E61" i="17"/>
  <c r="B62" i="17"/>
  <c r="C62" i="17"/>
  <c r="D62" i="17"/>
  <c r="E62" i="17"/>
  <c r="B63" i="17"/>
  <c r="C63" i="17"/>
  <c r="D63" i="17"/>
  <c r="E63" i="17"/>
  <c r="B64" i="17"/>
  <c r="C64" i="17"/>
  <c r="D64" i="17"/>
  <c r="E64" i="17"/>
  <c r="B65" i="17"/>
  <c r="C65" i="17"/>
  <c r="D65" i="17"/>
  <c r="E65" i="17"/>
  <c r="B66" i="17"/>
  <c r="C66" i="17"/>
  <c r="D66" i="17"/>
  <c r="E66" i="17"/>
  <c r="B67" i="17"/>
  <c r="C67" i="17"/>
  <c r="D67" i="17"/>
  <c r="E67" i="17"/>
  <c r="B68" i="17"/>
  <c r="C68" i="17"/>
  <c r="D68" i="17"/>
  <c r="E68" i="17"/>
  <c r="B69" i="17"/>
  <c r="C69" i="17"/>
  <c r="D69" i="17"/>
  <c r="E69" i="17"/>
  <c r="B70" i="17"/>
  <c r="C70" i="17"/>
  <c r="D70" i="17"/>
  <c r="E70" i="17"/>
  <c r="B71" i="17"/>
  <c r="C71" i="17"/>
  <c r="D71" i="17"/>
  <c r="E71" i="17"/>
  <c r="B72" i="17"/>
  <c r="C72" i="17"/>
  <c r="D72" i="17"/>
  <c r="E72" i="17"/>
  <c r="B73" i="17"/>
  <c r="C73" i="17"/>
  <c r="D73" i="17"/>
  <c r="E73" i="17"/>
  <c r="B74" i="17"/>
  <c r="C74" i="17"/>
  <c r="D74" i="17"/>
  <c r="E74" i="17"/>
  <c r="B75" i="17"/>
  <c r="C75" i="17"/>
  <c r="D75" i="17"/>
  <c r="E75" i="17"/>
  <c r="B76" i="17"/>
  <c r="C76" i="17"/>
  <c r="D76" i="17"/>
  <c r="E76" i="17"/>
  <c r="B77" i="17"/>
  <c r="C77" i="17"/>
  <c r="D77" i="17"/>
  <c r="E77" i="17"/>
  <c r="B78" i="17"/>
  <c r="C78" i="17"/>
  <c r="D78" i="17"/>
  <c r="E78" i="17"/>
  <c r="B79" i="17"/>
  <c r="C79" i="17"/>
  <c r="D79" i="17"/>
  <c r="E79" i="17"/>
  <c r="B80" i="17"/>
  <c r="C80" i="17"/>
  <c r="D80" i="17"/>
  <c r="E80" i="17"/>
  <c r="B81" i="17"/>
  <c r="C81" i="17"/>
  <c r="D81" i="17"/>
  <c r="E81" i="17"/>
  <c r="B82" i="17"/>
  <c r="C82" i="17"/>
  <c r="D82" i="17"/>
  <c r="E82" i="17"/>
  <c r="B83" i="17"/>
  <c r="C83" i="17"/>
  <c r="D83" i="17"/>
  <c r="E83" i="17"/>
  <c r="B84" i="17"/>
  <c r="C84" i="17"/>
  <c r="D84" i="17"/>
  <c r="E84" i="17"/>
  <c r="B85" i="17"/>
  <c r="C85" i="17"/>
  <c r="D85" i="17"/>
  <c r="E85" i="17"/>
  <c r="B86" i="17"/>
  <c r="C86" i="17"/>
  <c r="D86" i="17"/>
  <c r="E86" i="17"/>
  <c r="B87" i="17"/>
  <c r="C87" i="17"/>
  <c r="D87" i="17"/>
  <c r="E87" i="17"/>
  <c r="B88" i="17"/>
  <c r="C88" i="17"/>
  <c r="D88" i="17"/>
  <c r="E88" i="17"/>
  <c r="B89" i="17"/>
  <c r="C89" i="17"/>
  <c r="D89" i="17"/>
  <c r="E89" i="17"/>
  <c r="B90" i="17"/>
  <c r="C90" i="17"/>
  <c r="D90" i="17"/>
  <c r="E90" i="17"/>
  <c r="B91" i="17"/>
  <c r="C91" i="17"/>
  <c r="D91" i="17"/>
  <c r="E91" i="17"/>
  <c r="B92" i="17"/>
  <c r="C92" i="17"/>
  <c r="D92" i="17"/>
  <c r="E92" i="17"/>
  <c r="B93" i="17"/>
  <c r="C93" i="17"/>
  <c r="D93" i="17"/>
  <c r="E93" i="17"/>
  <c r="B94" i="17"/>
  <c r="C94" i="17"/>
  <c r="D94" i="17"/>
  <c r="E94" i="17"/>
  <c r="B95" i="17"/>
  <c r="C95" i="17"/>
  <c r="D95" i="17"/>
  <c r="E95" i="17"/>
  <c r="B96" i="17"/>
  <c r="C96" i="17"/>
  <c r="D96" i="17"/>
  <c r="E96" i="17"/>
  <c r="B97" i="17"/>
  <c r="C97" i="17"/>
  <c r="D97" i="17"/>
  <c r="E97" i="17"/>
  <c r="B98" i="17"/>
  <c r="C98" i="17"/>
  <c r="D98" i="17"/>
  <c r="E98" i="17"/>
  <c r="B99" i="17"/>
  <c r="C99" i="17"/>
  <c r="D99" i="17"/>
  <c r="E99" i="17"/>
  <c r="B100" i="17"/>
  <c r="C100" i="17"/>
  <c r="D100" i="17"/>
  <c r="E100" i="17"/>
  <c r="B101" i="17"/>
  <c r="C101" i="17"/>
  <c r="D101" i="17"/>
  <c r="E101" i="17"/>
  <c r="B102" i="17"/>
  <c r="C102" i="17"/>
  <c r="D102" i="17"/>
  <c r="E102" i="17"/>
  <c r="B103" i="17"/>
  <c r="C103" i="17"/>
  <c r="D103" i="17"/>
  <c r="E103" i="17"/>
  <c r="B104" i="17"/>
  <c r="C104" i="17"/>
  <c r="D104" i="17"/>
  <c r="E104" i="17"/>
  <c r="B105" i="17"/>
  <c r="C105" i="17"/>
  <c r="D105" i="17"/>
  <c r="E105" i="17"/>
  <c r="B106" i="17"/>
  <c r="C106" i="17"/>
  <c r="D106" i="17"/>
  <c r="E106" i="17"/>
  <c r="B107" i="17"/>
  <c r="C107" i="17"/>
  <c r="D107" i="17"/>
  <c r="E107" i="17"/>
  <c r="B108" i="17"/>
  <c r="C108" i="17"/>
  <c r="D108" i="17"/>
  <c r="E108" i="17"/>
  <c r="B109" i="17"/>
  <c r="C109" i="17"/>
  <c r="D109" i="17"/>
  <c r="E109" i="17"/>
  <c r="B110" i="17"/>
  <c r="C110" i="17"/>
  <c r="D110" i="17"/>
  <c r="E110" i="17"/>
  <c r="B111" i="17"/>
  <c r="C111" i="17"/>
  <c r="D111" i="17"/>
  <c r="E111" i="17"/>
  <c r="B112" i="17"/>
  <c r="C112" i="17"/>
  <c r="D112" i="17"/>
  <c r="E112" i="17"/>
  <c r="B113" i="17"/>
  <c r="C113" i="17"/>
  <c r="D113" i="17"/>
  <c r="E113" i="17"/>
  <c r="B114" i="17"/>
  <c r="C114" i="17"/>
  <c r="D114" i="17"/>
  <c r="E114" i="17"/>
  <c r="B115" i="17"/>
  <c r="C115" i="17"/>
  <c r="D115" i="17"/>
  <c r="E115" i="17"/>
  <c r="B116" i="17"/>
  <c r="C116" i="17"/>
  <c r="D116" i="17"/>
  <c r="E116" i="17"/>
  <c r="B117" i="17"/>
  <c r="C117" i="17"/>
  <c r="D117" i="17"/>
  <c r="E117" i="17"/>
  <c r="B118" i="17"/>
  <c r="C118" i="17"/>
  <c r="D118" i="17"/>
  <c r="E118" i="17"/>
  <c r="B119" i="17"/>
  <c r="C119" i="17"/>
  <c r="D119" i="17"/>
  <c r="E119" i="17"/>
  <c r="B120" i="17"/>
  <c r="C120" i="17"/>
  <c r="D120" i="17"/>
  <c r="E120" i="17"/>
  <c r="B121" i="17"/>
  <c r="C121" i="17"/>
  <c r="D121" i="17"/>
  <c r="E121" i="17"/>
  <c r="B122" i="17"/>
  <c r="C122" i="17"/>
  <c r="D122" i="17"/>
  <c r="E122" i="17"/>
  <c r="B123" i="17"/>
  <c r="C123" i="17"/>
  <c r="D123" i="17"/>
  <c r="E123" i="17"/>
  <c r="B124" i="17"/>
  <c r="C124" i="17"/>
  <c r="D124" i="17"/>
  <c r="E124" i="17"/>
  <c r="B125" i="17"/>
  <c r="C125" i="17"/>
  <c r="D125" i="17"/>
  <c r="E125" i="17"/>
  <c r="B126" i="17"/>
  <c r="C126" i="17"/>
  <c r="D126" i="17"/>
  <c r="E126" i="17"/>
  <c r="B127" i="17"/>
  <c r="C127" i="17"/>
  <c r="D127" i="17"/>
  <c r="E127" i="17"/>
  <c r="B128" i="17"/>
  <c r="C128" i="17"/>
  <c r="D128" i="17"/>
  <c r="E128" i="17"/>
  <c r="B129" i="17"/>
  <c r="C129" i="17"/>
  <c r="D129" i="17"/>
  <c r="E129" i="17"/>
  <c r="B130" i="17"/>
  <c r="C130" i="17"/>
  <c r="D130" i="17"/>
  <c r="E130" i="17"/>
  <c r="B131" i="17"/>
  <c r="C131" i="17"/>
  <c r="D131" i="17"/>
  <c r="E131" i="17"/>
  <c r="B132" i="17"/>
  <c r="C132" i="17"/>
  <c r="D132" i="17"/>
  <c r="E132" i="17"/>
  <c r="B133" i="17"/>
  <c r="C133" i="17"/>
  <c r="D133" i="17"/>
  <c r="E133" i="17"/>
  <c r="B134" i="17"/>
  <c r="C134" i="17"/>
  <c r="D134" i="17"/>
  <c r="E134" i="17"/>
  <c r="B135" i="17"/>
  <c r="C135" i="17"/>
  <c r="D135" i="17"/>
  <c r="E135" i="17"/>
  <c r="B136" i="17"/>
  <c r="C136" i="17"/>
  <c r="D136" i="17"/>
  <c r="E136" i="17"/>
  <c r="B137" i="17"/>
  <c r="C137" i="17"/>
  <c r="D137" i="17"/>
  <c r="E137" i="17"/>
  <c r="B138" i="17"/>
  <c r="C138" i="17"/>
  <c r="D138" i="17"/>
  <c r="E138" i="17"/>
  <c r="B139" i="17"/>
  <c r="C139" i="17"/>
  <c r="D139" i="17"/>
  <c r="E139" i="17"/>
  <c r="B140" i="17"/>
  <c r="C140" i="17"/>
  <c r="D140" i="17"/>
  <c r="E140" i="17"/>
  <c r="B141" i="17"/>
  <c r="C141" i="17"/>
  <c r="D141" i="17"/>
  <c r="E141" i="17"/>
  <c r="B142" i="17"/>
  <c r="C142" i="17"/>
  <c r="D142" i="17"/>
  <c r="E142" i="17"/>
  <c r="B143" i="17"/>
  <c r="C143" i="17"/>
  <c r="D143" i="17"/>
  <c r="E143" i="17"/>
  <c r="B144" i="17"/>
  <c r="C144" i="17"/>
  <c r="D144" i="17"/>
  <c r="E144" i="17"/>
  <c r="B145" i="17"/>
  <c r="C145" i="17"/>
  <c r="D145" i="17"/>
  <c r="E145" i="17"/>
  <c r="B146" i="17"/>
  <c r="C146" i="17"/>
  <c r="D146" i="17"/>
  <c r="E146" i="17"/>
  <c r="B147" i="17"/>
  <c r="C147" i="17"/>
  <c r="D147" i="17"/>
  <c r="E147" i="17"/>
  <c r="B148" i="17"/>
  <c r="C148" i="17"/>
  <c r="D148" i="17"/>
  <c r="E148" i="17"/>
  <c r="B149" i="17"/>
  <c r="C149" i="17"/>
  <c r="D149" i="17"/>
  <c r="E149" i="17"/>
  <c r="B150" i="17"/>
  <c r="C150" i="17"/>
  <c r="D150" i="17"/>
  <c r="E150" i="17"/>
  <c r="B151" i="17"/>
  <c r="C151" i="17"/>
  <c r="D151" i="17"/>
  <c r="E151" i="17"/>
  <c r="B152" i="17"/>
  <c r="C152" i="17"/>
  <c r="D152" i="17"/>
  <c r="E152" i="17"/>
  <c r="B153" i="17"/>
  <c r="C153" i="17"/>
  <c r="D153" i="17"/>
  <c r="E153" i="17"/>
  <c r="B154" i="17"/>
  <c r="C154" i="17"/>
  <c r="D154" i="17"/>
  <c r="E154" i="17"/>
  <c r="B155" i="17"/>
  <c r="C155" i="17"/>
  <c r="D155" i="17"/>
  <c r="E155" i="17"/>
  <c r="B156" i="17"/>
  <c r="C156" i="17"/>
  <c r="D156" i="17"/>
  <c r="E156" i="17"/>
  <c r="B157" i="17"/>
  <c r="C157" i="17"/>
  <c r="D157" i="17"/>
  <c r="E157" i="17"/>
  <c r="B158" i="17"/>
  <c r="C158" i="17"/>
  <c r="D158" i="17"/>
  <c r="E158" i="17"/>
  <c r="B159" i="17"/>
  <c r="C159" i="17"/>
  <c r="D159" i="17"/>
  <c r="E159" i="17"/>
  <c r="B160" i="17"/>
  <c r="C160" i="17"/>
  <c r="D160" i="17"/>
  <c r="E160" i="17"/>
  <c r="B161" i="17"/>
  <c r="C161" i="17"/>
  <c r="D161" i="17"/>
  <c r="E161" i="17"/>
  <c r="B162" i="17"/>
  <c r="C162" i="17"/>
  <c r="D162" i="17"/>
  <c r="E162" i="17"/>
  <c r="B163" i="17"/>
  <c r="C163" i="17"/>
  <c r="D163" i="17"/>
  <c r="E163" i="17"/>
  <c r="B164" i="17"/>
  <c r="C164" i="17"/>
  <c r="D164" i="17"/>
  <c r="E164" i="17"/>
  <c r="B165" i="17"/>
  <c r="C165" i="17"/>
  <c r="D165" i="17"/>
  <c r="E165" i="17"/>
  <c r="B166" i="17"/>
  <c r="C166" i="17"/>
  <c r="D166" i="17"/>
  <c r="E166" i="17"/>
  <c r="B167" i="17"/>
  <c r="C167" i="17"/>
  <c r="D167" i="17"/>
  <c r="E167" i="17"/>
  <c r="B168" i="17"/>
  <c r="C168" i="17"/>
  <c r="D168" i="17"/>
  <c r="E168" i="17"/>
  <c r="B169" i="17"/>
  <c r="C169" i="17"/>
  <c r="D169" i="17"/>
  <c r="E169" i="17"/>
  <c r="B170" i="17"/>
  <c r="C170" i="17"/>
  <c r="D170" i="17"/>
  <c r="E170" i="17"/>
  <c r="B171" i="17"/>
  <c r="C171" i="17"/>
  <c r="D171" i="17"/>
  <c r="E171" i="17"/>
  <c r="B172" i="17"/>
  <c r="C172" i="17"/>
  <c r="D172" i="17"/>
  <c r="E172" i="17"/>
  <c r="B173" i="17"/>
  <c r="C173" i="17"/>
  <c r="D173" i="17"/>
  <c r="E173" i="17"/>
  <c r="B174" i="17"/>
  <c r="C174" i="17"/>
  <c r="D174" i="17"/>
  <c r="E174" i="17"/>
  <c r="B175" i="17"/>
  <c r="C175" i="17"/>
  <c r="D175" i="17"/>
  <c r="E175" i="17"/>
  <c r="B176" i="17"/>
  <c r="C176" i="17"/>
  <c r="D176" i="17"/>
  <c r="E176" i="17"/>
  <c r="B177" i="17"/>
  <c r="C177" i="17"/>
  <c r="D177" i="17"/>
  <c r="E177" i="17"/>
  <c r="B178" i="17"/>
  <c r="C178" i="17"/>
  <c r="D178" i="17"/>
  <c r="E178" i="17"/>
  <c r="B179" i="17"/>
  <c r="C179" i="17"/>
  <c r="D179" i="17"/>
  <c r="E179" i="17"/>
  <c r="B180" i="17"/>
  <c r="C180" i="17"/>
  <c r="D180" i="17"/>
  <c r="E180" i="17"/>
  <c r="B181" i="17"/>
  <c r="C181" i="17"/>
  <c r="D181" i="17"/>
  <c r="E181" i="17"/>
  <c r="B182" i="17"/>
  <c r="C182" i="17"/>
  <c r="D182" i="17"/>
  <c r="E182" i="17"/>
  <c r="B183" i="17"/>
  <c r="C183" i="17"/>
  <c r="D183" i="17"/>
  <c r="E183" i="17"/>
  <c r="B184" i="17"/>
  <c r="C184" i="17"/>
  <c r="D184" i="17"/>
  <c r="E184" i="17"/>
  <c r="B185" i="17"/>
  <c r="C185" i="17"/>
  <c r="D185" i="17"/>
  <c r="E185" i="17"/>
  <c r="B186" i="17"/>
  <c r="C186" i="17"/>
  <c r="D186" i="17"/>
  <c r="E186" i="17"/>
  <c r="B187" i="17"/>
  <c r="C187" i="17"/>
  <c r="D187" i="17"/>
  <c r="E187" i="17"/>
  <c r="B188" i="17"/>
  <c r="C188" i="17"/>
  <c r="D188" i="17"/>
  <c r="E188" i="17"/>
  <c r="B189" i="17"/>
  <c r="C189" i="17"/>
  <c r="D189" i="17"/>
  <c r="E189" i="17"/>
  <c r="B190" i="17"/>
  <c r="C190" i="17"/>
  <c r="D190" i="17"/>
  <c r="E190" i="17"/>
  <c r="B191" i="17"/>
  <c r="C191" i="17"/>
  <c r="D191" i="17"/>
  <c r="E191" i="17"/>
  <c r="B192" i="17"/>
  <c r="C192" i="17"/>
  <c r="D192" i="17"/>
  <c r="E192" i="17"/>
  <c r="B193" i="17"/>
  <c r="C193" i="17"/>
  <c r="D193" i="17"/>
  <c r="E193" i="17"/>
  <c r="B194" i="17"/>
  <c r="C194" i="17"/>
  <c r="D194" i="17"/>
  <c r="E194" i="17"/>
  <c r="B195" i="17"/>
  <c r="C195" i="17"/>
  <c r="D195" i="17"/>
  <c r="E195" i="17"/>
  <c r="B196" i="17"/>
  <c r="C196" i="17"/>
  <c r="D196" i="17"/>
  <c r="E196" i="17"/>
  <c r="B197" i="17"/>
  <c r="C197" i="17"/>
  <c r="D197" i="17"/>
  <c r="E197" i="17"/>
  <c r="B198" i="17"/>
  <c r="C198" i="17"/>
  <c r="D198" i="17"/>
  <c r="E198" i="17"/>
  <c r="B199" i="17"/>
  <c r="C199" i="17"/>
  <c r="D199" i="17"/>
  <c r="E199" i="17"/>
  <c r="B200" i="17"/>
  <c r="C200" i="17"/>
  <c r="D200" i="17"/>
  <c r="E200" i="17"/>
  <c r="B201" i="17"/>
  <c r="C201" i="17"/>
  <c r="D201" i="17"/>
  <c r="E201" i="17"/>
  <c r="B202" i="17"/>
  <c r="C202" i="17"/>
  <c r="D202" i="17"/>
  <c r="E202" i="17"/>
  <c r="B203" i="17"/>
  <c r="C203" i="17"/>
  <c r="D203" i="17"/>
  <c r="E203" i="17"/>
  <c r="B204" i="17"/>
  <c r="C204" i="17"/>
  <c r="D204" i="17"/>
  <c r="E204" i="17"/>
  <c r="B205" i="17"/>
  <c r="C205" i="17"/>
  <c r="D205" i="17"/>
  <c r="E205" i="17"/>
  <c r="B206" i="17"/>
  <c r="C206" i="17"/>
  <c r="D206" i="17"/>
  <c r="E206" i="17"/>
  <c r="B207" i="17"/>
  <c r="C207" i="17"/>
  <c r="D207" i="17"/>
  <c r="E207" i="17"/>
  <c r="B208" i="17"/>
  <c r="C208" i="17"/>
  <c r="D208" i="17"/>
  <c r="E208" i="17"/>
  <c r="B209" i="17"/>
  <c r="C209" i="17"/>
  <c r="D209" i="17"/>
  <c r="E209" i="17"/>
  <c r="B210" i="17"/>
  <c r="C210" i="17"/>
  <c r="D210" i="17"/>
  <c r="E210" i="17"/>
  <c r="B211" i="17"/>
  <c r="C211" i="17"/>
  <c r="D211" i="17"/>
  <c r="E211" i="17"/>
  <c r="B212" i="17"/>
  <c r="C212" i="17"/>
  <c r="D212" i="17"/>
  <c r="E212" i="17"/>
  <c r="B213" i="17"/>
  <c r="C213" i="17"/>
  <c r="D213" i="17"/>
  <c r="E213" i="17"/>
  <c r="B214" i="17"/>
  <c r="C214" i="17"/>
  <c r="D214" i="17"/>
  <c r="E214" i="17"/>
  <c r="B215" i="17"/>
  <c r="C215" i="17"/>
  <c r="D215" i="17"/>
  <c r="E215" i="17"/>
  <c r="B216" i="17"/>
  <c r="C216" i="17"/>
  <c r="D216" i="17"/>
  <c r="E216" i="17"/>
  <c r="B217" i="17"/>
  <c r="C217" i="17"/>
  <c r="D217" i="17"/>
  <c r="E217" i="17"/>
  <c r="B218" i="17"/>
  <c r="C218" i="17"/>
  <c r="D218" i="17"/>
  <c r="E218" i="17"/>
  <c r="B219" i="17"/>
  <c r="C219" i="17"/>
  <c r="D219" i="17"/>
  <c r="E219" i="17"/>
  <c r="B220" i="17"/>
  <c r="C220" i="17"/>
  <c r="D220" i="17"/>
  <c r="E220" i="17"/>
  <c r="B221" i="17"/>
  <c r="C221" i="17"/>
  <c r="D221" i="17"/>
  <c r="E221" i="17"/>
  <c r="B222" i="17"/>
  <c r="C222" i="17"/>
  <c r="D222" i="17"/>
  <c r="E222" i="17"/>
  <c r="B223" i="17"/>
  <c r="C223" i="17"/>
  <c r="D223" i="17"/>
  <c r="E223" i="17"/>
  <c r="B224" i="17"/>
  <c r="C224" i="17"/>
  <c r="D224" i="17"/>
  <c r="E224" i="17"/>
  <c r="B225" i="17"/>
  <c r="C225" i="17"/>
  <c r="D225" i="17"/>
  <c r="E225" i="17"/>
  <c r="B226" i="17"/>
  <c r="C226" i="17"/>
  <c r="D226" i="17"/>
  <c r="E226" i="17"/>
  <c r="B227" i="17"/>
  <c r="C227" i="17"/>
  <c r="D227" i="17"/>
  <c r="E227" i="17"/>
  <c r="B228" i="17"/>
  <c r="C228" i="17"/>
  <c r="D228" i="17"/>
  <c r="E228" i="17"/>
  <c r="B229" i="17"/>
  <c r="C229" i="17"/>
  <c r="D229" i="17"/>
  <c r="E229" i="17"/>
  <c r="B230" i="17"/>
  <c r="C230" i="17"/>
  <c r="D230" i="17"/>
  <c r="E230" i="17"/>
  <c r="B231" i="17"/>
  <c r="C231" i="17"/>
  <c r="D231" i="17"/>
  <c r="E231" i="17"/>
  <c r="C232" i="17"/>
  <c r="D232" i="17"/>
  <c r="E232" i="17"/>
  <c r="B233" i="17"/>
  <c r="C233" i="17"/>
  <c r="D233" i="17"/>
  <c r="E233" i="17"/>
  <c r="B234" i="17"/>
  <c r="C234" i="17"/>
  <c r="D234" i="17"/>
  <c r="E234" i="17"/>
  <c r="B235" i="17"/>
  <c r="C235" i="17"/>
  <c r="D235" i="17"/>
  <c r="E235" i="17"/>
  <c r="B236" i="17"/>
  <c r="C236" i="17"/>
  <c r="D236" i="17"/>
  <c r="E236" i="17"/>
  <c r="B237" i="17"/>
  <c r="C237" i="17"/>
  <c r="D237" i="17"/>
  <c r="E237" i="17"/>
  <c r="B238" i="17"/>
  <c r="C238" i="17"/>
  <c r="D238" i="17"/>
  <c r="E238" i="17"/>
  <c r="B239" i="17"/>
  <c r="C239" i="17"/>
  <c r="D239" i="17"/>
  <c r="E239" i="17"/>
  <c r="B240" i="17"/>
  <c r="C240" i="17"/>
  <c r="D240" i="17"/>
  <c r="E240" i="17"/>
  <c r="B241" i="17"/>
  <c r="C241" i="17"/>
  <c r="D241" i="17"/>
  <c r="E241" i="17"/>
  <c r="B242" i="17"/>
  <c r="C242" i="17"/>
  <c r="D242" i="17"/>
  <c r="E242" i="17"/>
  <c r="B243" i="17"/>
  <c r="C243" i="17"/>
  <c r="D243" i="17"/>
  <c r="E243" i="17"/>
  <c r="B244" i="17"/>
  <c r="C244" i="17"/>
  <c r="D244" i="17"/>
  <c r="E244" i="17"/>
  <c r="B245" i="17"/>
  <c r="C245" i="17"/>
  <c r="D245" i="17"/>
  <c r="E245" i="17"/>
  <c r="B246" i="17"/>
  <c r="C246" i="17"/>
  <c r="D246" i="17"/>
  <c r="E246" i="17"/>
  <c r="B247" i="17"/>
  <c r="C247" i="17"/>
  <c r="D247" i="17"/>
  <c r="E247" i="17"/>
  <c r="B248" i="17"/>
  <c r="C248" i="17"/>
  <c r="D248" i="17"/>
  <c r="E248" i="17"/>
  <c r="B249" i="17"/>
  <c r="C249" i="17"/>
  <c r="D249" i="17"/>
  <c r="E249" i="17"/>
  <c r="B250" i="17"/>
  <c r="C250" i="17"/>
  <c r="D250" i="17"/>
  <c r="E250" i="17"/>
  <c r="B251" i="17"/>
  <c r="C251" i="17"/>
  <c r="D251" i="17"/>
  <c r="E251" i="17"/>
  <c r="B252" i="17"/>
  <c r="C252" i="17"/>
  <c r="D252" i="17"/>
  <c r="E252" i="17"/>
  <c r="B253" i="17"/>
  <c r="C253" i="17"/>
  <c r="D253" i="17"/>
  <c r="E253" i="17"/>
  <c r="B254" i="17"/>
  <c r="C254" i="17"/>
  <c r="D254" i="17"/>
  <c r="E254" i="17"/>
  <c r="B255" i="17"/>
  <c r="C255" i="17"/>
  <c r="D255" i="17"/>
  <c r="E255" i="17"/>
  <c r="B256" i="17"/>
  <c r="C256" i="17"/>
  <c r="D256" i="17"/>
  <c r="E256" i="17"/>
  <c r="B257" i="17"/>
  <c r="C257" i="17"/>
  <c r="D257" i="17"/>
  <c r="E257" i="17"/>
  <c r="B258" i="17"/>
  <c r="C258" i="17"/>
  <c r="D258" i="17"/>
  <c r="E258" i="17"/>
  <c r="B259" i="17"/>
  <c r="C259" i="17"/>
  <c r="D259" i="17"/>
  <c r="E259" i="17"/>
  <c r="B260" i="17"/>
  <c r="C260" i="17"/>
  <c r="D260" i="17"/>
  <c r="E260" i="17"/>
  <c r="B261" i="17"/>
  <c r="C261" i="17"/>
  <c r="D261" i="17"/>
  <c r="E261" i="17"/>
  <c r="B262" i="17"/>
  <c r="C262" i="17"/>
  <c r="D262" i="17"/>
  <c r="E262" i="17"/>
  <c r="B263" i="17"/>
  <c r="C263" i="17"/>
  <c r="D263" i="17"/>
  <c r="E263" i="17"/>
  <c r="B264" i="17"/>
  <c r="C264" i="17"/>
  <c r="D264" i="17"/>
  <c r="E264" i="17"/>
  <c r="B265" i="17"/>
  <c r="C265" i="17"/>
  <c r="D265" i="17"/>
  <c r="E265" i="17"/>
  <c r="B266" i="17"/>
  <c r="C266" i="17"/>
  <c r="D266" i="17"/>
  <c r="E266" i="17"/>
  <c r="B267" i="17"/>
  <c r="C267" i="17"/>
  <c r="D267" i="17"/>
  <c r="E267" i="17"/>
  <c r="B268" i="17"/>
  <c r="C268" i="17"/>
  <c r="D268" i="17"/>
  <c r="E268" i="17"/>
  <c r="B269" i="17"/>
  <c r="C269" i="17"/>
  <c r="D269" i="17"/>
  <c r="E269" i="17"/>
  <c r="B270" i="17"/>
  <c r="C270" i="17"/>
  <c r="D270" i="17"/>
  <c r="E270" i="17"/>
  <c r="B271" i="17"/>
  <c r="C271" i="17"/>
  <c r="D271" i="17"/>
  <c r="E271" i="17"/>
  <c r="B272" i="17"/>
  <c r="C272" i="17"/>
  <c r="D272" i="17"/>
  <c r="E272" i="17"/>
  <c r="B273" i="17"/>
  <c r="C273" i="17"/>
  <c r="D273" i="17"/>
  <c r="E273" i="17"/>
  <c r="B274" i="17"/>
  <c r="C274" i="17"/>
  <c r="D274" i="17"/>
  <c r="E274" i="17"/>
  <c r="B275" i="17"/>
  <c r="C275" i="17"/>
  <c r="D275" i="17"/>
  <c r="E275" i="17"/>
  <c r="B276" i="17"/>
  <c r="C276" i="17"/>
  <c r="D276" i="17"/>
  <c r="E276" i="17"/>
  <c r="B277" i="17"/>
  <c r="C277" i="17"/>
  <c r="D277" i="17"/>
  <c r="E277" i="17"/>
  <c r="B278" i="17"/>
  <c r="C278" i="17"/>
  <c r="D278" i="17"/>
  <c r="E278" i="17"/>
  <c r="B279" i="17"/>
  <c r="C279" i="17"/>
  <c r="D279" i="17"/>
  <c r="E279" i="17"/>
  <c r="B280" i="17"/>
  <c r="C280" i="17"/>
  <c r="D280" i="17"/>
  <c r="E280" i="17"/>
  <c r="B281" i="17"/>
  <c r="C281" i="17"/>
  <c r="D281" i="17"/>
  <c r="E281" i="17"/>
  <c r="B282" i="17"/>
  <c r="C282" i="17"/>
  <c r="D282" i="17"/>
  <c r="E282" i="17"/>
  <c r="B283" i="17"/>
  <c r="C283" i="17"/>
  <c r="D283" i="17"/>
  <c r="E283" i="17"/>
  <c r="C284" i="17"/>
  <c r="D284" i="17"/>
  <c r="E284" i="17"/>
  <c r="B285" i="17"/>
  <c r="C285" i="17"/>
  <c r="D285" i="17"/>
  <c r="E285" i="17"/>
  <c r="B286" i="17"/>
  <c r="C286" i="17"/>
  <c r="D286" i="17"/>
  <c r="E286" i="17"/>
  <c r="B287" i="17"/>
  <c r="C287" i="17"/>
  <c r="D287" i="17"/>
  <c r="E287" i="17"/>
  <c r="B288" i="17"/>
  <c r="C288" i="17"/>
  <c r="D288" i="17"/>
  <c r="E288" i="17"/>
  <c r="B289" i="17"/>
  <c r="C289" i="17"/>
  <c r="D289" i="17"/>
  <c r="E289" i="17"/>
  <c r="B290" i="17"/>
  <c r="C290" i="17"/>
  <c r="D290" i="17"/>
  <c r="E290" i="17"/>
  <c r="B291" i="17"/>
  <c r="C291" i="17"/>
  <c r="D291" i="17"/>
  <c r="E291" i="17"/>
  <c r="B292" i="17"/>
  <c r="C292" i="17"/>
  <c r="D292" i="17"/>
  <c r="E292" i="17"/>
  <c r="B293" i="17"/>
  <c r="C293" i="17"/>
  <c r="D293" i="17"/>
  <c r="E293" i="17"/>
  <c r="B294" i="17"/>
  <c r="C294" i="17"/>
  <c r="D294" i="17"/>
  <c r="E294" i="17"/>
  <c r="B295" i="17"/>
  <c r="C295" i="17"/>
  <c r="D295" i="17"/>
  <c r="E295" i="17"/>
  <c r="B296" i="17"/>
  <c r="C296" i="17"/>
  <c r="D296" i="17"/>
  <c r="E296" i="17"/>
  <c r="B297" i="17"/>
  <c r="C297" i="17"/>
  <c r="D297" i="17"/>
  <c r="E297" i="17"/>
  <c r="B298" i="17"/>
  <c r="C298" i="17"/>
  <c r="D298" i="17"/>
  <c r="E298" i="17"/>
  <c r="B299" i="17"/>
  <c r="C299" i="17"/>
  <c r="D299" i="17"/>
  <c r="E299" i="17"/>
  <c r="B300" i="17"/>
  <c r="C300" i="17"/>
  <c r="D300" i="17"/>
  <c r="E300" i="17"/>
  <c r="B301" i="17"/>
  <c r="C301" i="17"/>
  <c r="D301" i="17"/>
  <c r="E301" i="17"/>
  <c r="B302" i="17"/>
  <c r="C302" i="17"/>
  <c r="D302" i="17"/>
  <c r="E302" i="17"/>
  <c r="B303" i="17"/>
  <c r="C303" i="17"/>
  <c r="D303" i="17"/>
  <c r="E303" i="17"/>
  <c r="B304" i="17"/>
  <c r="C304" i="17"/>
  <c r="D304" i="17"/>
  <c r="E304" i="17"/>
  <c r="B305" i="17"/>
  <c r="C305" i="17"/>
  <c r="D305" i="17"/>
  <c r="E305" i="17"/>
  <c r="B306" i="17"/>
  <c r="C306" i="17"/>
  <c r="D306" i="17"/>
  <c r="E306" i="17"/>
  <c r="B307" i="17"/>
  <c r="C307" i="17"/>
  <c r="D307" i="17"/>
  <c r="E307" i="17"/>
  <c r="B308" i="17"/>
  <c r="C308" i="17"/>
  <c r="D308" i="17"/>
  <c r="E308" i="17"/>
  <c r="B309" i="17"/>
  <c r="C309" i="17"/>
  <c r="D309" i="17"/>
  <c r="E309" i="17"/>
  <c r="B310" i="17"/>
  <c r="C310" i="17"/>
  <c r="D310" i="17"/>
  <c r="E310" i="17"/>
  <c r="B311" i="17"/>
  <c r="C311" i="17"/>
  <c r="D311" i="17"/>
  <c r="E311" i="17"/>
  <c r="B312" i="17"/>
  <c r="C312" i="17"/>
  <c r="D312" i="17"/>
  <c r="E312" i="17"/>
  <c r="B313" i="17"/>
  <c r="C313" i="17"/>
  <c r="D313" i="17"/>
  <c r="E313" i="17"/>
  <c r="B314" i="17"/>
  <c r="C314" i="17"/>
  <c r="D314" i="17"/>
  <c r="E314" i="17"/>
  <c r="B315" i="17"/>
  <c r="C315" i="17"/>
  <c r="D315" i="17"/>
  <c r="E315" i="17"/>
  <c r="B316" i="17"/>
  <c r="C316" i="17"/>
  <c r="D316" i="17"/>
  <c r="E316" i="17"/>
  <c r="B317" i="17"/>
  <c r="C317" i="17"/>
  <c r="D317" i="17"/>
  <c r="E317" i="17"/>
  <c r="B318" i="17"/>
  <c r="C318" i="17"/>
  <c r="D318" i="17"/>
  <c r="E318" i="17"/>
  <c r="B319" i="17"/>
  <c r="C319" i="17"/>
  <c r="D319" i="17"/>
  <c r="E319" i="17"/>
  <c r="B320" i="17"/>
  <c r="C320" i="17"/>
  <c r="D320" i="17"/>
  <c r="E320" i="17"/>
  <c r="B321" i="17"/>
  <c r="C321" i="17"/>
  <c r="D321" i="17"/>
  <c r="E321" i="17"/>
  <c r="B322" i="17"/>
  <c r="C322" i="17"/>
  <c r="D322" i="17"/>
  <c r="E322" i="17"/>
  <c r="B323" i="17"/>
  <c r="C323" i="17"/>
  <c r="D323" i="17"/>
  <c r="E323" i="17"/>
  <c r="B324" i="17"/>
  <c r="C324" i="17"/>
  <c r="D324" i="17"/>
  <c r="E324" i="17"/>
  <c r="B325" i="17"/>
  <c r="C325" i="17"/>
  <c r="D325" i="17"/>
  <c r="E325" i="17"/>
  <c r="B326" i="17"/>
  <c r="C326" i="17"/>
  <c r="D326" i="17"/>
  <c r="E326" i="17"/>
  <c r="B327" i="17"/>
  <c r="C327" i="17"/>
  <c r="D327" i="17"/>
  <c r="E327" i="17"/>
  <c r="B328" i="17"/>
  <c r="C328" i="17"/>
  <c r="D328" i="17"/>
  <c r="E328" i="17"/>
  <c r="B329" i="17"/>
  <c r="C329" i="17"/>
  <c r="D329" i="17"/>
  <c r="E329" i="17"/>
  <c r="B330" i="17"/>
  <c r="C330" i="17"/>
  <c r="D330" i="17"/>
  <c r="E330" i="17"/>
  <c r="B331" i="17"/>
  <c r="C331" i="17"/>
  <c r="D331" i="17"/>
  <c r="E331" i="17"/>
  <c r="B332" i="17"/>
  <c r="C332" i="17"/>
  <c r="D332" i="17"/>
  <c r="E332" i="17"/>
  <c r="B333" i="17"/>
  <c r="C333" i="17"/>
  <c r="D333" i="17"/>
  <c r="E333" i="17"/>
  <c r="B334" i="17"/>
  <c r="C334" i="17"/>
  <c r="D334" i="17"/>
  <c r="E334" i="17"/>
  <c r="B335" i="17"/>
  <c r="C335" i="17"/>
  <c r="D335" i="17"/>
  <c r="E335" i="17"/>
  <c r="B336" i="17"/>
  <c r="C336" i="17"/>
  <c r="D336" i="17"/>
  <c r="E336" i="17"/>
  <c r="B337" i="17"/>
  <c r="C337" i="17"/>
  <c r="D337" i="17"/>
  <c r="E337" i="17"/>
  <c r="B338" i="17"/>
  <c r="C338" i="17"/>
  <c r="D338" i="17"/>
  <c r="E338" i="17"/>
  <c r="B339" i="17"/>
  <c r="C339" i="17"/>
  <c r="D339" i="17"/>
  <c r="E339" i="17"/>
  <c r="B340" i="17"/>
  <c r="C340" i="17"/>
  <c r="D340" i="17"/>
  <c r="E340" i="17"/>
  <c r="B341" i="17"/>
  <c r="C341" i="17"/>
  <c r="D341" i="17"/>
  <c r="E341" i="17"/>
  <c r="B342" i="17"/>
  <c r="C342" i="17"/>
  <c r="D342" i="17"/>
  <c r="E342" i="17"/>
  <c r="B343" i="17"/>
  <c r="C343" i="17"/>
  <c r="D343" i="17"/>
  <c r="E343" i="17"/>
  <c r="B344" i="17"/>
  <c r="C344" i="17"/>
  <c r="D344" i="17"/>
  <c r="E344" i="17"/>
  <c r="B345" i="17"/>
  <c r="C345" i="17"/>
  <c r="D345" i="17"/>
  <c r="E345" i="17"/>
  <c r="B346" i="17"/>
  <c r="C346" i="17"/>
  <c r="D346" i="17"/>
  <c r="E346" i="17"/>
  <c r="B347" i="17"/>
  <c r="C347" i="17"/>
  <c r="D347" i="17"/>
  <c r="E347" i="17"/>
  <c r="B348" i="17"/>
  <c r="C348" i="17"/>
  <c r="D348" i="17"/>
  <c r="E348" i="17"/>
  <c r="B349" i="17"/>
  <c r="C349" i="17"/>
  <c r="D349" i="17"/>
  <c r="E349" i="17"/>
  <c r="B350" i="17"/>
  <c r="C350" i="17"/>
  <c r="D350" i="17"/>
  <c r="E350" i="17"/>
  <c r="B351" i="17"/>
  <c r="C351" i="17"/>
  <c r="D351" i="17"/>
  <c r="E351" i="17"/>
  <c r="B352" i="17"/>
  <c r="C352" i="17"/>
  <c r="D352" i="17"/>
  <c r="E352" i="17"/>
  <c r="B353" i="17"/>
  <c r="C353" i="17"/>
  <c r="D353" i="17"/>
  <c r="E353" i="17"/>
  <c r="B354" i="17"/>
  <c r="C354" i="17"/>
  <c r="D354" i="17"/>
  <c r="E354" i="17"/>
  <c r="B355" i="17"/>
  <c r="C355" i="17"/>
  <c r="D355" i="17"/>
  <c r="E355" i="17"/>
  <c r="B356" i="17"/>
  <c r="C356" i="17"/>
  <c r="D356" i="17"/>
  <c r="E356" i="17"/>
  <c r="B357" i="17"/>
  <c r="C357" i="17"/>
  <c r="D357" i="17"/>
  <c r="E357" i="17"/>
  <c r="B358" i="17"/>
  <c r="C358" i="17"/>
  <c r="D358" i="17"/>
  <c r="E358" i="17"/>
  <c r="B359" i="17"/>
  <c r="C359" i="17"/>
  <c r="D359" i="17"/>
  <c r="E359" i="17"/>
  <c r="B360" i="17"/>
  <c r="C360" i="17"/>
  <c r="D360" i="17"/>
  <c r="E360" i="17"/>
  <c r="B361" i="17"/>
  <c r="C361" i="17"/>
  <c r="D361" i="17"/>
  <c r="E361" i="17"/>
  <c r="B362" i="17"/>
  <c r="C362" i="17"/>
  <c r="D362" i="17"/>
  <c r="E362" i="17"/>
  <c r="B363" i="17"/>
  <c r="C363" i="17"/>
  <c r="D363" i="17"/>
  <c r="E363" i="17"/>
  <c r="B364" i="17"/>
  <c r="C364" i="17"/>
  <c r="D364" i="17"/>
  <c r="E364" i="17"/>
  <c r="B365" i="17"/>
  <c r="C365" i="17"/>
  <c r="D365" i="17"/>
  <c r="E365" i="17"/>
  <c r="B366" i="17"/>
  <c r="C366" i="17"/>
  <c r="D366" i="17"/>
  <c r="E366" i="17"/>
  <c r="B367" i="17"/>
  <c r="C367" i="17"/>
  <c r="D367" i="17"/>
  <c r="E367" i="17"/>
  <c r="B368" i="17"/>
  <c r="C368" i="17"/>
  <c r="D368" i="17"/>
  <c r="E368" i="17"/>
  <c r="B369" i="17"/>
  <c r="C369" i="17"/>
  <c r="D369" i="17"/>
  <c r="E369" i="17"/>
  <c r="B370" i="17"/>
  <c r="C370" i="17"/>
  <c r="D370" i="17"/>
  <c r="E370" i="17"/>
  <c r="B371" i="17"/>
  <c r="C371" i="17"/>
  <c r="D371" i="17"/>
  <c r="E371" i="17"/>
  <c r="B372" i="17"/>
  <c r="C372" i="17"/>
  <c r="D372" i="17"/>
  <c r="E372" i="17"/>
  <c r="B373" i="17"/>
  <c r="C373" i="17"/>
  <c r="D373" i="17"/>
  <c r="E373" i="17"/>
  <c r="B374" i="17"/>
  <c r="C374" i="17"/>
  <c r="D374" i="17"/>
  <c r="E374" i="17"/>
  <c r="B375" i="17"/>
  <c r="C375" i="17"/>
  <c r="D375" i="17"/>
  <c r="E375" i="17"/>
  <c r="B376" i="17"/>
  <c r="C376" i="17"/>
  <c r="D376" i="17"/>
  <c r="E376" i="17"/>
  <c r="B377" i="17"/>
  <c r="C377" i="17"/>
  <c r="D377" i="17"/>
  <c r="E377" i="17"/>
  <c r="B378" i="17"/>
  <c r="C378" i="17"/>
  <c r="D378" i="17"/>
  <c r="E378" i="17"/>
  <c r="B379" i="17"/>
  <c r="C379" i="17"/>
  <c r="D379" i="17"/>
  <c r="E379" i="17"/>
  <c r="B380" i="17"/>
  <c r="C380" i="17"/>
  <c r="D380" i="17"/>
  <c r="E380" i="17"/>
  <c r="B381" i="17"/>
  <c r="C381" i="17"/>
  <c r="D381" i="17"/>
  <c r="E381" i="17"/>
  <c r="B382" i="17"/>
  <c r="C382" i="17"/>
  <c r="D382" i="17"/>
  <c r="E382" i="17"/>
  <c r="B383" i="17"/>
  <c r="C383" i="17"/>
  <c r="D383" i="17"/>
  <c r="E383" i="17"/>
  <c r="B384" i="17"/>
  <c r="C384" i="17"/>
  <c r="D384" i="17"/>
  <c r="E384" i="17"/>
  <c r="B385" i="17"/>
  <c r="C385" i="17"/>
  <c r="D385" i="17"/>
  <c r="E385" i="17"/>
  <c r="B386" i="17"/>
  <c r="C386" i="17"/>
  <c r="D386" i="17"/>
  <c r="E386" i="17"/>
  <c r="B387" i="17"/>
  <c r="C387" i="17"/>
  <c r="D387" i="17"/>
  <c r="E387" i="17"/>
  <c r="B388" i="17"/>
  <c r="C388" i="17"/>
  <c r="D388" i="17"/>
  <c r="E388" i="17"/>
  <c r="B389" i="17"/>
  <c r="C389" i="17"/>
  <c r="D389" i="17"/>
  <c r="E389" i="17"/>
  <c r="B390" i="17"/>
  <c r="C390" i="17"/>
  <c r="D390" i="17"/>
  <c r="E390" i="17"/>
  <c r="B391" i="17"/>
  <c r="C391" i="17"/>
  <c r="D391" i="17"/>
  <c r="E391" i="17"/>
  <c r="B392" i="17"/>
  <c r="C392" i="17"/>
  <c r="D392" i="17"/>
  <c r="E392" i="17"/>
  <c r="B393" i="17"/>
  <c r="C393" i="17"/>
  <c r="D393" i="17"/>
  <c r="E393" i="17"/>
  <c r="B394" i="17"/>
  <c r="C394" i="17"/>
  <c r="D394" i="17"/>
  <c r="E394" i="17"/>
  <c r="B395" i="17"/>
  <c r="C395" i="17"/>
  <c r="D395" i="17"/>
  <c r="E395" i="17"/>
  <c r="B396" i="17"/>
  <c r="C396" i="17"/>
  <c r="D396" i="17"/>
  <c r="E396" i="17"/>
  <c r="B397" i="17"/>
  <c r="C397" i="17"/>
  <c r="D397" i="17"/>
  <c r="E397" i="17"/>
  <c r="B398" i="17"/>
  <c r="C398" i="17"/>
  <c r="D398" i="17"/>
  <c r="E398" i="17"/>
  <c r="B399" i="17"/>
  <c r="C399" i="17"/>
  <c r="D399" i="17"/>
  <c r="E399" i="17"/>
  <c r="B400" i="17"/>
  <c r="C400" i="17"/>
  <c r="D400" i="17"/>
  <c r="E400" i="17"/>
  <c r="B401" i="17"/>
  <c r="C401" i="17"/>
  <c r="D401" i="17"/>
  <c r="E401" i="17"/>
  <c r="B402" i="17"/>
  <c r="C402" i="17"/>
  <c r="D402" i="17"/>
  <c r="E402" i="17"/>
  <c r="B403" i="17"/>
  <c r="C403" i="17"/>
  <c r="D403" i="17"/>
  <c r="E403" i="17"/>
  <c r="B404" i="17"/>
  <c r="C404" i="17"/>
  <c r="D404" i="17"/>
  <c r="E404" i="17"/>
  <c r="B405" i="17"/>
  <c r="C405" i="17"/>
  <c r="D405" i="17"/>
  <c r="E405" i="17"/>
  <c r="B406" i="17"/>
  <c r="C406" i="17"/>
  <c r="D406" i="17"/>
  <c r="E406" i="17"/>
  <c r="B407" i="17"/>
  <c r="C407" i="17"/>
  <c r="D407" i="17"/>
  <c r="E407" i="17"/>
  <c r="B408" i="17"/>
  <c r="C408" i="17"/>
  <c r="D408" i="17"/>
  <c r="E408" i="17"/>
  <c r="B409" i="17"/>
  <c r="C409" i="17"/>
  <c r="D409" i="17"/>
  <c r="E409" i="17"/>
  <c r="B410" i="17"/>
  <c r="C410" i="17"/>
  <c r="D410" i="17"/>
  <c r="E410" i="17"/>
  <c r="B411" i="17"/>
  <c r="C411" i="17"/>
  <c r="D411" i="17"/>
  <c r="E411" i="17"/>
  <c r="B412" i="17"/>
  <c r="C412" i="17"/>
  <c r="D412" i="17"/>
  <c r="E412" i="17"/>
  <c r="B413" i="17"/>
  <c r="C413" i="17"/>
  <c r="D413" i="17"/>
  <c r="E413" i="17"/>
  <c r="B414" i="17"/>
  <c r="C414" i="17"/>
  <c r="D414" i="17"/>
  <c r="E414" i="17"/>
  <c r="B415" i="17"/>
  <c r="C415" i="17"/>
  <c r="D415" i="17"/>
  <c r="E415" i="17"/>
  <c r="B416" i="17"/>
  <c r="C416" i="17"/>
  <c r="D416" i="17"/>
  <c r="E416" i="17"/>
  <c r="B417" i="17"/>
  <c r="C417" i="17"/>
  <c r="D417" i="17"/>
  <c r="E417" i="17"/>
  <c r="B418" i="17"/>
  <c r="C418" i="17"/>
  <c r="D418" i="17"/>
  <c r="E418" i="17"/>
  <c r="B419" i="17"/>
  <c r="C419" i="17"/>
  <c r="D419" i="17"/>
  <c r="E419" i="17"/>
  <c r="B420" i="17"/>
  <c r="C420" i="17"/>
  <c r="D420" i="17"/>
  <c r="E420" i="17"/>
  <c r="B421" i="17"/>
  <c r="C421" i="17"/>
  <c r="D421" i="17"/>
  <c r="E421" i="17"/>
  <c r="B422" i="17"/>
  <c r="C422" i="17"/>
  <c r="D422" i="17"/>
  <c r="E422" i="17"/>
  <c r="B423" i="17"/>
  <c r="C423" i="17"/>
  <c r="D423" i="17"/>
  <c r="E423" i="17"/>
  <c r="B424" i="17"/>
  <c r="C424" i="17"/>
  <c r="D424" i="17"/>
  <c r="E424" i="17"/>
  <c r="B425" i="17"/>
  <c r="C425" i="17"/>
  <c r="D425" i="17"/>
  <c r="E425" i="17"/>
  <c r="B426" i="17"/>
  <c r="C426" i="17"/>
  <c r="D426" i="17"/>
  <c r="E426" i="17"/>
  <c r="B427" i="17"/>
  <c r="C427" i="17"/>
  <c r="D427" i="17"/>
  <c r="E427" i="17"/>
  <c r="B428" i="17"/>
  <c r="C428" i="17"/>
  <c r="D428" i="17"/>
  <c r="E428" i="17"/>
  <c r="B429" i="17"/>
  <c r="C429" i="17"/>
  <c r="D429" i="17"/>
  <c r="E429" i="17"/>
  <c r="B430" i="17"/>
  <c r="C430" i="17"/>
  <c r="D430" i="17"/>
  <c r="E430" i="17"/>
  <c r="B431" i="17"/>
  <c r="C431" i="17"/>
  <c r="D431" i="17"/>
  <c r="E431" i="17"/>
  <c r="B432" i="17"/>
  <c r="C432" i="17"/>
  <c r="D432" i="17"/>
  <c r="E432" i="17"/>
  <c r="B433" i="17"/>
  <c r="C433" i="17"/>
  <c r="D433" i="17"/>
  <c r="E433" i="17"/>
  <c r="B434" i="17"/>
  <c r="C434" i="17"/>
  <c r="D434" i="17"/>
  <c r="E434" i="17"/>
  <c r="B435" i="17"/>
  <c r="C435" i="17"/>
  <c r="D435" i="17"/>
  <c r="E435" i="17"/>
  <c r="B436" i="17"/>
  <c r="C436" i="17"/>
  <c r="D436" i="17"/>
  <c r="E436" i="17"/>
  <c r="B437" i="17"/>
  <c r="C437" i="17"/>
  <c r="D437" i="17"/>
  <c r="E437" i="17"/>
  <c r="C438" i="17"/>
  <c r="D438" i="17"/>
  <c r="E438" i="17"/>
  <c r="B439" i="17"/>
  <c r="C439" i="17"/>
  <c r="D439" i="17"/>
  <c r="E439" i="17"/>
  <c r="B440" i="17"/>
  <c r="C440" i="17"/>
  <c r="D440" i="17"/>
  <c r="E440" i="17"/>
  <c r="B441" i="17"/>
  <c r="C441" i="17"/>
  <c r="D441" i="17"/>
  <c r="E441" i="17"/>
  <c r="B442" i="17"/>
  <c r="C442" i="17"/>
  <c r="D442" i="17"/>
  <c r="E442" i="17"/>
  <c r="B443" i="17"/>
  <c r="C443" i="17"/>
  <c r="D443" i="17"/>
  <c r="E443" i="17"/>
  <c r="B444" i="17"/>
  <c r="C444" i="17"/>
  <c r="D444" i="17"/>
  <c r="E444" i="17"/>
  <c r="B445" i="17"/>
  <c r="C445" i="17"/>
  <c r="D445" i="17"/>
  <c r="E445" i="17"/>
  <c r="B446" i="17"/>
  <c r="C446" i="17"/>
  <c r="D446" i="17"/>
  <c r="E446" i="17"/>
  <c r="B447" i="17"/>
  <c r="C447" i="17"/>
  <c r="D447" i="17"/>
  <c r="E447" i="17"/>
  <c r="B448" i="17"/>
  <c r="C448" i="17"/>
  <c r="D448" i="17"/>
  <c r="E448" i="17"/>
  <c r="B449" i="17"/>
  <c r="C449" i="17"/>
  <c r="D449" i="17"/>
  <c r="E449" i="17"/>
  <c r="B450" i="17"/>
  <c r="C450" i="17"/>
  <c r="D450" i="17"/>
  <c r="E450" i="17"/>
  <c r="B451" i="17"/>
  <c r="C451" i="17"/>
  <c r="D451" i="17"/>
  <c r="E451" i="17"/>
  <c r="B452" i="17"/>
  <c r="C452" i="17"/>
  <c r="D452" i="17"/>
  <c r="E452" i="17"/>
  <c r="B453" i="17"/>
  <c r="C453" i="17"/>
  <c r="D453" i="17"/>
  <c r="E453" i="17"/>
  <c r="B454" i="17"/>
  <c r="C454" i="17"/>
  <c r="D454" i="17"/>
  <c r="E454" i="17"/>
  <c r="B455" i="17"/>
  <c r="C455" i="17"/>
  <c r="D455" i="17"/>
  <c r="E455" i="17"/>
  <c r="B456" i="17"/>
  <c r="C456" i="17"/>
  <c r="D456" i="17"/>
  <c r="E456" i="17"/>
  <c r="B457" i="17"/>
  <c r="C457" i="17"/>
  <c r="D457" i="17"/>
  <c r="E457" i="17"/>
  <c r="B458" i="17"/>
  <c r="C458" i="17"/>
  <c r="D458" i="17"/>
  <c r="E458" i="17"/>
  <c r="B459" i="17"/>
  <c r="C459" i="17"/>
  <c r="D459" i="17"/>
  <c r="E459" i="17"/>
  <c r="B460" i="17"/>
  <c r="C460" i="17"/>
  <c r="D460" i="17"/>
  <c r="E460" i="17"/>
  <c r="B461" i="17"/>
  <c r="C461" i="17"/>
  <c r="D461" i="17"/>
  <c r="E461" i="17"/>
  <c r="B462" i="17"/>
  <c r="C462" i="17"/>
  <c r="D462" i="17"/>
  <c r="E462" i="17"/>
  <c r="B463" i="17"/>
  <c r="C463" i="17"/>
  <c r="D463" i="17"/>
  <c r="E463" i="17"/>
  <c r="B464" i="17"/>
  <c r="C464" i="17"/>
  <c r="D464" i="17"/>
  <c r="E464" i="17"/>
  <c r="B465" i="17"/>
  <c r="C465" i="17"/>
  <c r="D465" i="17"/>
  <c r="E465" i="17"/>
  <c r="B466" i="17"/>
  <c r="C466" i="17"/>
  <c r="D466" i="17"/>
  <c r="E466" i="17"/>
  <c r="B467" i="17"/>
  <c r="C467" i="17"/>
  <c r="D467" i="17"/>
  <c r="E467" i="17"/>
  <c r="B468" i="17"/>
  <c r="C468" i="17"/>
  <c r="D468" i="17"/>
  <c r="E468" i="17"/>
  <c r="B469" i="17"/>
  <c r="C469" i="17"/>
  <c r="D469" i="17"/>
  <c r="E469" i="17"/>
  <c r="B470" i="17"/>
  <c r="C470" i="17"/>
  <c r="D470" i="17"/>
  <c r="E470" i="17"/>
  <c r="B471" i="17"/>
  <c r="C471" i="17"/>
  <c r="D471" i="17"/>
  <c r="E471" i="17"/>
  <c r="B472" i="17"/>
  <c r="C472" i="17"/>
  <c r="D472" i="17"/>
  <c r="E472" i="17"/>
  <c r="B473" i="17"/>
  <c r="C473" i="17"/>
  <c r="D473" i="17"/>
  <c r="E473" i="17"/>
  <c r="B474" i="17"/>
  <c r="C474" i="17"/>
  <c r="D474" i="17"/>
  <c r="E474" i="17"/>
  <c r="B475" i="17"/>
  <c r="C475" i="17"/>
  <c r="D475" i="17"/>
  <c r="E475" i="17"/>
  <c r="B476" i="17"/>
  <c r="C476" i="17"/>
  <c r="D476" i="17"/>
  <c r="E476" i="17"/>
  <c r="B477" i="17"/>
  <c r="C477" i="17"/>
  <c r="D477" i="17"/>
  <c r="E477" i="17"/>
  <c r="B478" i="17"/>
  <c r="C478" i="17"/>
  <c r="D478" i="17"/>
  <c r="E478" i="17"/>
  <c r="B479" i="17"/>
  <c r="C479" i="17"/>
  <c r="D479" i="17"/>
  <c r="E479" i="17"/>
  <c r="B480" i="17"/>
  <c r="C480" i="17"/>
  <c r="D480" i="17"/>
  <c r="E480" i="17"/>
  <c r="B481" i="17"/>
  <c r="C481" i="17"/>
  <c r="D481" i="17"/>
  <c r="E481" i="17"/>
  <c r="B482" i="17"/>
  <c r="C482" i="17"/>
  <c r="D482" i="17"/>
  <c r="E482" i="17"/>
  <c r="B483" i="17"/>
  <c r="C483" i="17"/>
  <c r="D483" i="17"/>
  <c r="E483" i="17"/>
  <c r="B484" i="17"/>
  <c r="C484" i="17"/>
  <c r="D484" i="17"/>
  <c r="E484" i="17"/>
  <c r="B485" i="17"/>
  <c r="C485" i="17"/>
  <c r="D485" i="17"/>
  <c r="E485" i="17"/>
  <c r="B486" i="17"/>
  <c r="C486" i="17"/>
  <c r="D486" i="17"/>
  <c r="E486" i="17"/>
  <c r="B487" i="17"/>
  <c r="C487" i="17"/>
  <c r="D487" i="17"/>
  <c r="E487" i="17"/>
  <c r="B488" i="17"/>
  <c r="C488" i="17"/>
  <c r="D488" i="17"/>
  <c r="E488" i="17"/>
  <c r="B489" i="17"/>
  <c r="C489" i="17"/>
  <c r="D489" i="17"/>
  <c r="E489" i="17"/>
  <c r="B490" i="17"/>
  <c r="C490" i="17"/>
  <c r="D490" i="17"/>
  <c r="E490" i="17"/>
  <c r="B491" i="17"/>
  <c r="C491" i="17"/>
  <c r="D491" i="17"/>
  <c r="E491" i="17"/>
  <c r="B492" i="17"/>
  <c r="C492" i="17"/>
  <c r="D492" i="17"/>
  <c r="E492" i="17"/>
  <c r="B493" i="17"/>
  <c r="C493" i="17"/>
  <c r="D493" i="17"/>
  <c r="E493" i="17"/>
  <c r="B494" i="17"/>
  <c r="C494" i="17"/>
  <c r="D494" i="17"/>
  <c r="E494" i="17"/>
  <c r="B495" i="17"/>
  <c r="C495" i="17"/>
  <c r="D495" i="17"/>
  <c r="E495" i="17"/>
  <c r="B496" i="17"/>
  <c r="C496" i="17"/>
  <c r="D496" i="17"/>
  <c r="E496" i="17"/>
  <c r="B497" i="17"/>
  <c r="C497" i="17"/>
  <c r="D497" i="17"/>
  <c r="E497" i="17"/>
  <c r="B498" i="17"/>
  <c r="C498" i="17"/>
  <c r="D498" i="17"/>
  <c r="E498" i="17"/>
  <c r="B499" i="17"/>
  <c r="C499" i="17"/>
  <c r="D499" i="17"/>
  <c r="E499" i="17"/>
  <c r="B500" i="17"/>
  <c r="C500" i="17"/>
  <c r="D500" i="17"/>
  <c r="E500" i="17"/>
  <c r="B501" i="17"/>
  <c r="C501" i="17"/>
  <c r="D501" i="17"/>
  <c r="E501" i="17"/>
  <c r="B502" i="17"/>
  <c r="C502" i="17"/>
  <c r="D502" i="17"/>
  <c r="E502" i="17"/>
  <c r="B503" i="17"/>
  <c r="C503" i="17"/>
  <c r="D503" i="17"/>
  <c r="E503" i="17"/>
  <c r="B504" i="17"/>
  <c r="C504" i="17"/>
  <c r="D504" i="17"/>
  <c r="E504" i="17"/>
  <c r="B505" i="17"/>
  <c r="C505" i="17"/>
  <c r="D505" i="17"/>
  <c r="E505" i="17"/>
  <c r="B506" i="17"/>
  <c r="C506" i="17"/>
  <c r="D506" i="17"/>
  <c r="E506" i="17"/>
  <c r="B507" i="17"/>
  <c r="C507" i="17"/>
  <c r="D507" i="17"/>
  <c r="E507" i="17"/>
  <c r="B508" i="17"/>
  <c r="C508" i="17"/>
  <c r="D508" i="17"/>
  <c r="E508" i="17"/>
  <c r="B509" i="17"/>
  <c r="C509" i="17"/>
  <c r="D509" i="17"/>
  <c r="E509" i="17"/>
  <c r="B510" i="17"/>
  <c r="C510" i="17"/>
  <c r="D510" i="17"/>
  <c r="E510" i="17"/>
  <c r="B511" i="17"/>
  <c r="C511" i="17"/>
  <c r="D511" i="17"/>
  <c r="E511" i="17"/>
  <c r="B512" i="17"/>
  <c r="C512" i="17"/>
  <c r="D512" i="17"/>
  <c r="E512" i="17"/>
  <c r="B513" i="17"/>
  <c r="C513" i="17"/>
  <c r="D513" i="17"/>
  <c r="E513" i="17"/>
  <c r="B514" i="17"/>
  <c r="C514" i="17"/>
  <c r="D514" i="17"/>
  <c r="E514" i="17"/>
  <c r="B515" i="17"/>
  <c r="C515" i="17"/>
  <c r="D515" i="17"/>
  <c r="E515" i="17"/>
  <c r="B516" i="17"/>
  <c r="C516" i="17"/>
  <c r="D516" i="17"/>
  <c r="E516" i="17"/>
  <c r="B517" i="17"/>
  <c r="C517" i="17"/>
  <c r="D517" i="17"/>
  <c r="E517" i="17"/>
  <c r="B518" i="17"/>
  <c r="C518" i="17"/>
  <c r="D518" i="17"/>
  <c r="E518" i="17"/>
  <c r="B519" i="17"/>
  <c r="C519" i="17"/>
  <c r="D519" i="17"/>
  <c r="E519" i="17"/>
  <c r="B520" i="17"/>
  <c r="C520" i="17"/>
  <c r="D520" i="17"/>
  <c r="E520" i="17"/>
  <c r="B521" i="17"/>
  <c r="C521" i="17"/>
  <c r="D521" i="17"/>
  <c r="E521" i="17"/>
  <c r="B522" i="17"/>
  <c r="C522" i="17"/>
  <c r="D522" i="17"/>
  <c r="E522" i="17"/>
  <c r="B523" i="17"/>
  <c r="C523" i="17"/>
  <c r="D523" i="17"/>
  <c r="E523" i="17"/>
  <c r="B524" i="17"/>
  <c r="C524" i="17"/>
  <c r="D524" i="17"/>
  <c r="E524" i="17"/>
  <c r="B525" i="17"/>
  <c r="C525" i="17"/>
  <c r="D525" i="17"/>
  <c r="E525" i="17"/>
  <c r="B526" i="17"/>
  <c r="C526" i="17"/>
  <c r="D526" i="17"/>
  <c r="E526" i="17"/>
  <c r="B527" i="17"/>
  <c r="C527" i="17"/>
  <c r="D527" i="17"/>
  <c r="E527" i="17"/>
  <c r="B528" i="17"/>
  <c r="C528" i="17"/>
  <c r="D528" i="17"/>
  <c r="E528" i="17"/>
  <c r="B529" i="17"/>
  <c r="C529" i="17"/>
  <c r="D529" i="17"/>
  <c r="E529" i="17"/>
  <c r="B530" i="17"/>
  <c r="C530" i="17"/>
  <c r="D530" i="17"/>
  <c r="E530" i="17"/>
  <c r="B531" i="17"/>
  <c r="C531" i="17"/>
  <c r="D531" i="17"/>
  <c r="E531" i="17"/>
  <c r="B532" i="17"/>
  <c r="C532" i="17"/>
  <c r="D532" i="17"/>
  <c r="E532" i="17"/>
  <c r="B533" i="17"/>
  <c r="C533" i="17"/>
  <c r="D533" i="17"/>
  <c r="E533" i="17"/>
  <c r="B534" i="17"/>
  <c r="C534" i="17"/>
  <c r="D534" i="17"/>
  <c r="E534" i="17"/>
  <c r="B535" i="17"/>
  <c r="C535" i="17"/>
  <c r="D535" i="17"/>
  <c r="E535" i="17"/>
  <c r="B536" i="17"/>
  <c r="C536" i="17"/>
  <c r="D536" i="17"/>
  <c r="E536" i="17"/>
  <c r="B537" i="17"/>
  <c r="C537" i="17"/>
  <c r="D537" i="17"/>
  <c r="E537" i="17"/>
  <c r="B538" i="17"/>
  <c r="C538" i="17"/>
  <c r="D538" i="17"/>
  <c r="E538" i="17"/>
  <c r="B539" i="17"/>
  <c r="C539" i="17"/>
  <c r="D539" i="17"/>
  <c r="E539" i="17"/>
  <c r="B540" i="17"/>
  <c r="C540" i="17"/>
  <c r="D540" i="17"/>
  <c r="E540" i="17"/>
  <c r="B541" i="17"/>
  <c r="C541" i="17"/>
  <c r="D541" i="17"/>
  <c r="E541" i="17"/>
  <c r="B542" i="17"/>
  <c r="C542" i="17"/>
  <c r="D542" i="17"/>
  <c r="E542" i="17"/>
  <c r="B543" i="17"/>
  <c r="C543" i="17"/>
  <c r="D543" i="17"/>
  <c r="E543" i="17"/>
  <c r="B544" i="17"/>
  <c r="C544" i="17"/>
  <c r="D544" i="17"/>
  <c r="E544" i="17"/>
  <c r="B545" i="17"/>
  <c r="C545" i="17"/>
  <c r="D545" i="17"/>
  <c r="E545" i="17"/>
  <c r="B546" i="17"/>
  <c r="C546" i="17"/>
  <c r="D546" i="17"/>
  <c r="E546" i="17"/>
  <c r="B547" i="17"/>
  <c r="C547" i="17"/>
  <c r="D547" i="17"/>
  <c r="E547" i="17"/>
  <c r="B548" i="17"/>
  <c r="C548" i="17"/>
  <c r="D548" i="17"/>
  <c r="E548" i="17"/>
  <c r="B549" i="17"/>
  <c r="C549" i="17"/>
  <c r="D549" i="17"/>
  <c r="E549" i="17"/>
  <c r="B550" i="17"/>
  <c r="C550" i="17"/>
  <c r="D550" i="17"/>
  <c r="E550" i="17"/>
  <c r="B551" i="17"/>
  <c r="C551" i="17"/>
  <c r="D551" i="17"/>
  <c r="E551" i="17"/>
  <c r="B552" i="17"/>
  <c r="C552" i="17"/>
  <c r="D552" i="17"/>
  <c r="E552" i="17"/>
  <c r="B553" i="17"/>
  <c r="C553" i="17"/>
  <c r="D553" i="17"/>
  <c r="E553" i="17"/>
  <c r="B554" i="17"/>
  <c r="C554" i="17"/>
  <c r="D554" i="17"/>
  <c r="E554" i="17"/>
  <c r="B555" i="17"/>
  <c r="C555" i="17"/>
  <c r="D555" i="17"/>
  <c r="E555" i="17"/>
  <c r="B556" i="17"/>
  <c r="C556" i="17"/>
  <c r="D556" i="17"/>
  <c r="E556" i="17"/>
  <c r="B557" i="17"/>
  <c r="C557" i="17"/>
  <c r="D557" i="17"/>
  <c r="E557" i="17"/>
  <c r="B558" i="17"/>
  <c r="C558" i="17"/>
  <c r="D558" i="17"/>
  <c r="E558" i="17"/>
  <c r="B559" i="17"/>
  <c r="C559" i="17"/>
  <c r="D559" i="17"/>
  <c r="E559" i="17"/>
  <c r="B560" i="17"/>
  <c r="C560" i="17"/>
  <c r="D560" i="17"/>
  <c r="E560" i="17"/>
  <c r="B561" i="17"/>
  <c r="C561" i="17"/>
  <c r="D561" i="17"/>
  <c r="E561" i="17"/>
  <c r="B562" i="17"/>
  <c r="C562" i="17"/>
  <c r="D562" i="17"/>
  <c r="E562" i="17"/>
  <c r="B563" i="17"/>
  <c r="C563" i="17"/>
  <c r="D563" i="17"/>
  <c r="E563" i="17"/>
  <c r="B564" i="17"/>
  <c r="C564" i="17"/>
  <c r="D564" i="17"/>
  <c r="E564" i="17"/>
  <c r="B565" i="17"/>
  <c r="C565" i="17"/>
  <c r="D565" i="17"/>
  <c r="E565" i="17"/>
  <c r="B566" i="17"/>
  <c r="C566" i="17"/>
  <c r="D566" i="17"/>
  <c r="E566" i="17"/>
  <c r="B567" i="17"/>
  <c r="C567" i="17"/>
  <c r="D567" i="17"/>
  <c r="E567" i="17"/>
  <c r="B568" i="17"/>
  <c r="C568" i="17"/>
  <c r="D568" i="17"/>
  <c r="E568" i="17"/>
  <c r="B569" i="17"/>
  <c r="C569" i="17"/>
  <c r="D569" i="17"/>
  <c r="E569" i="17"/>
  <c r="B570" i="17"/>
  <c r="C570" i="17"/>
  <c r="D570" i="17"/>
  <c r="E570" i="17"/>
  <c r="B571" i="17"/>
  <c r="C571" i="17"/>
  <c r="D571" i="17"/>
  <c r="E571" i="17"/>
  <c r="B572" i="17"/>
  <c r="C572" i="17"/>
  <c r="D572" i="17"/>
  <c r="E572" i="17"/>
  <c r="B573" i="17"/>
  <c r="C573" i="17"/>
  <c r="D573" i="17"/>
  <c r="E573" i="17"/>
  <c r="B574" i="17"/>
  <c r="C574" i="17"/>
  <c r="D574" i="17"/>
  <c r="E574" i="17"/>
  <c r="B575" i="17"/>
  <c r="C575" i="17"/>
  <c r="D575" i="17"/>
  <c r="E575" i="17"/>
  <c r="B576" i="17"/>
  <c r="C576" i="17"/>
  <c r="D576" i="17"/>
  <c r="E576" i="17"/>
  <c r="B577" i="17"/>
  <c r="C577" i="17"/>
  <c r="D577" i="17"/>
  <c r="E577" i="17"/>
  <c r="B578" i="17"/>
  <c r="C578" i="17"/>
  <c r="D578" i="17"/>
  <c r="E578" i="17"/>
  <c r="B579" i="17"/>
  <c r="C579" i="17"/>
  <c r="D579" i="17"/>
  <c r="E579" i="17"/>
  <c r="B580" i="17"/>
  <c r="C580" i="17"/>
  <c r="D580" i="17"/>
  <c r="E580" i="17"/>
  <c r="B581" i="17"/>
  <c r="C581" i="17"/>
  <c r="D581" i="17"/>
  <c r="E581" i="17"/>
  <c r="B582" i="17"/>
  <c r="C582" i="17"/>
  <c r="D582" i="17"/>
  <c r="E582" i="17"/>
  <c r="B583" i="17"/>
  <c r="C583" i="17"/>
  <c r="D583" i="17"/>
  <c r="E583" i="17"/>
  <c r="B584" i="17"/>
  <c r="C584" i="17"/>
  <c r="D584" i="17"/>
  <c r="E584" i="17"/>
  <c r="B585" i="17"/>
  <c r="C585" i="17"/>
  <c r="D585" i="17"/>
  <c r="E585" i="17"/>
  <c r="B586" i="17"/>
  <c r="C586" i="17"/>
  <c r="D586" i="17"/>
  <c r="E586" i="17"/>
  <c r="B587" i="17"/>
  <c r="C587" i="17"/>
  <c r="D587" i="17"/>
  <c r="E587" i="17"/>
  <c r="B588" i="17"/>
  <c r="C588" i="17"/>
  <c r="D588" i="17"/>
  <c r="E588" i="17"/>
  <c r="B589" i="17"/>
  <c r="C589" i="17"/>
  <c r="D589" i="17"/>
  <c r="E589" i="17"/>
  <c r="B590" i="17"/>
  <c r="C590" i="17"/>
  <c r="D590" i="17"/>
  <c r="E590" i="17"/>
  <c r="B591" i="17"/>
  <c r="C591" i="17"/>
  <c r="D591" i="17"/>
  <c r="E591" i="17"/>
  <c r="B592" i="17"/>
  <c r="C592" i="17"/>
  <c r="D592" i="17"/>
  <c r="E592" i="17"/>
  <c r="B593" i="17"/>
  <c r="C593" i="17"/>
  <c r="D593" i="17"/>
  <c r="E593" i="17"/>
  <c r="B594" i="17"/>
  <c r="C594" i="17"/>
  <c r="D594" i="17"/>
  <c r="E594" i="17"/>
  <c r="B595" i="17"/>
  <c r="C595" i="17"/>
  <c r="D595" i="17"/>
  <c r="E595" i="17"/>
  <c r="B596" i="17"/>
  <c r="C596" i="17"/>
  <c r="D596" i="17"/>
  <c r="E596" i="17"/>
  <c r="B597" i="17"/>
  <c r="C597" i="17"/>
  <c r="D597" i="17"/>
  <c r="E597" i="17"/>
  <c r="B598" i="17"/>
  <c r="C598" i="17"/>
  <c r="D598" i="17"/>
  <c r="E598" i="17"/>
  <c r="B599" i="17"/>
  <c r="C599" i="17"/>
  <c r="D599" i="17"/>
  <c r="E599" i="17"/>
  <c r="B600" i="17"/>
  <c r="C600" i="17"/>
  <c r="D600" i="17"/>
  <c r="E600" i="17"/>
  <c r="B601" i="17"/>
  <c r="C601" i="17"/>
  <c r="D601" i="17"/>
  <c r="E601" i="17"/>
  <c r="B602" i="17"/>
  <c r="C602" i="17"/>
  <c r="D602" i="17"/>
  <c r="E602" i="17"/>
  <c r="B603" i="17"/>
  <c r="C603" i="17"/>
  <c r="D603" i="17"/>
  <c r="E603" i="17"/>
  <c r="B604" i="17"/>
  <c r="C604" i="17"/>
  <c r="D604" i="17"/>
  <c r="E604" i="17"/>
  <c r="B605" i="17"/>
  <c r="C605" i="17"/>
  <c r="D605" i="17"/>
  <c r="E605" i="17"/>
  <c r="B606" i="17"/>
  <c r="C606" i="17"/>
  <c r="D606" i="17"/>
  <c r="E606" i="17"/>
  <c r="B607" i="17"/>
  <c r="C607" i="17"/>
  <c r="D607" i="17"/>
  <c r="E607" i="17"/>
  <c r="B608" i="17"/>
  <c r="C608" i="17"/>
  <c r="D608" i="17"/>
  <c r="E608" i="17"/>
  <c r="B609" i="17"/>
  <c r="C609" i="17"/>
  <c r="D609" i="17"/>
  <c r="E609" i="17"/>
  <c r="B610" i="17"/>
  <c r="C610" i="17"/>
  <c r="D610" i="17"/>
  <c r="E610" i="17"/>
  <c r="B611" i="17"/>
  <c r="C611" i="17"/>
  <c r="D611" i="17"/>
  <c r="E611" i="17"/>
  <c r="B612" i="17"/>
  <c r="C612" i="17"/>
  <c r="D612" i="17"/>
  <c r="E612" i="17"/>
  <c r="B613" i="17"/>
  <c r="C613" i="17"/>
  <c r="D613" i="17"/>
  <c r="E613" i="17"/>
  <c r="B614" i="17"/>
  <c r="C614" i="17"/>
  <c r="D614" i="17"/>
  <c r="E614" i="17"/>
  <c r="B615" i="17"/>
  <c r="C615" i="17"/>
  <c r="D615" i="17"/>
  <c r="E615" i="17"/>
  <c r="B616" i="17"/>
  <c r="C616" i="17"/>
  <c r="D616" i="17"/>
  <c r="E616" i="17"/>
  <c r="B617" i="17"/>
  <c r="C617" i="17"/>
  <c r="D617" i="17"/>
  <c r="E617" i="17"/>
  <c r="B618" i="17"/>
  <c r="C618" i="17"/>
  <c r="D618" i="17"/>
  <c r="E618" i="17"/>
  <c r="B619" i="17"/>
  <c r="C619" i="17"/>
  <c r="D619" i="17"/>
  <c r="E619" i="17"/>
  <c r="B620" i="17"/>
  <c r="C620" i="17"/>
  <c r="D620" i="17"/>
  <c r="E620" i="17"/>
  <c r="B621" i="17"/>
  <c r="C621" i="17"/>
  <c r="D621" i="17"/>
  <c r="E621" i="17"/>
  <c r="B622" i="17"/>
  <c r="C622" i="17"/>
  <c r="D622" i="17"/>
  <c r="E622" i="17"/>
  <c r="B623" i="17"/>
  <c r="C623" i="17"/>
  <c r="D623" i="17"/>
  <c r="E623" i="17"/>
  <c r="B624" i="17"/>
  <c r="C624" i="17"/>
  <c r="D624" i="17"/>
  <c r="E624" i="17"/>
  <c r="B625" i="17"/>
  <c r="C625" i="17"/>
  <c r="D625" i="17"/>
  <c r="E625" i="17"/>
  <c r="B626" i="17"/>
  <c r="C626" i="17"/>
  <c r="D626" i="17"/>
  <c r="E626" i="17"/>
  <c r="B627" i="17"/>
  <c r="C627" i="17"/>
  <c r="D627" i="17"/>
  <c r="E627" i="17"/>
  <c r="B628" i="17"/>
  <c r="C628" i="17"/>
  <c r="D628" i="17"/>
  <c r="E628" i="17"/>
  <c r="B629" i="17"/>
  <c r="C629" i="17"/>
  <c r="D629" i="17"/>
  <c r="E629" i="17"/>
  <c r="B630" i="17"/>
  <c r="C630" i="17"/>
  <c r="D630" i="17"/>
  <c r="E630" i="17"/>
  <c r="B631" i="17"/>
  <c r="C631" i="17"/>
  <c r="D631" i="17"/>
  <c r="E631" i="17"/>
  <c r="B632" i="17"/>
  <c r="C632" i="17"/>
  <c r="D632" i="17"/>
  <c r="E632" i="17"/>
  <c r="B633" i="17"/>
  <c r="C633" i="17"/>
  <c r="D633" i="17"/>
  <c r="E633" i="17"/>
  <c r="B634" i="17"/>
  <c r="C634" i="17"/>
  <c r="D634" i="17"/>
  <c r="E634" i="17"/>
  <c r="B635" i="17"/>
  <c r="C635" i="17"/>
  <c r="D635" i="17"/>
  <c r="E635" i="17"/>
  <c r="B636" i="17"/>
  <c r="C636" i="17"/>
  <c r="D636" i="17"/>
  <c r="E636" i="17"/>
  <c r="B637" i="17"/>
  <c r="C637" i="17"/>
  <c r="D637" i="17"/>
  <c r="E637" i="17"/>
  <c r="B638" i="17"/>
  <c r="C638" i="17"/>
  <c r="D638" i="17"/>
  <c r="E638" i="17"/>
  <c r="B639" i="17"/>
  <c r="C639" i="17"/>
  <c r="D639" i="17"/>
  <c r="E639" i="17"/>
  <c r="B640" i="17"/>
  <c r="C640" i="17"/>
  <c r="D640" i="17"/>
  <c r="E640" i="17"/>
  <c r="B641" i="17"/>
  <c r="C641" i="17"/>
  <c r="D641" i="17"/>
  <c r="E641" i="17"/>
  <c r="B642" i="17"/>
  <c r="C642" i="17"/>
  <c r="D642" i="17"/>
  <c r="E642" i="17"/>
  <c r="B643" i="17"/>
  <c r="C643" i="17"/>
  <c r="D643" i="17"/>
  <c r="E643" i="17"/>
  <c r="B644" i="17"/>
  <c r="C644" i="17"/>
  <c r="D644" i="17"/>
  <c r="E644" i="17"/>
  <c r="B645" i="17"/>
  <c r="C645" i="17"/>
  <c r="D645" i="17"/>
  <c r="E645" i="17"/>
  <c r="B646" i="17"/>
  <c r="C646" i="17"/>
  <c r="D646" i="17"/>
  <c r="E646" i="17"/>
  <c r="B647" i="17"/>
  <c r="C647" i="17"/>
  <c r="D647" i="17"/>
  <c r="E647" i="17"/>
  <c r="B648" i="17"/>
  <c r="C648" i="17"/>
  <c r="D648" i="17"/>
  <c r="E648" i="17"/>
  <c r="B649" i="17"/>
  <c r="C649" i="17"/>
  <c r="D649" i="17"/>
  <c r="E649" i="17"/>
  <c r="B650" i="17"/>
  <c r="C650" i="17"/>
  <c r="D650" i="17"/>
  <c r="E650" i="17"/>
  <c r="B651" i="17"/>
  <c r="C651" i="17"/>
  <c r="D651" i="17"/>
  <c r="E651" i="17"/>
  <c r="B652" i="17"/>
  <c r="C652" i="17"/>
  <c r="D652" i="17"/>
  <c r="E652" i="17"/>
  <c r="B653" i="17"/>
  <c r="C653" i="17"/>
  <c r="D653" i="17"/>
  <c r="E653" i="17"/>
  <c r="B654" i="17"/>
  <c r="C654" i="17"/>
  <c r="D654" i="17"/>
  <c r="E654" i="17"/>
  <c r="B655" i="17"/>
  <c r="C655" i="17"/>
  <c r="D655" i="17"/>
  <c r="E655" i="17"/>
  <c r="B656" i="17"/>
  <c r="C656" i="17"/>
  <c r="D656" i="17"/>
  <c r="E656" i="17"/>
  <c r="B657" i="17"/>
  <c r="C657" i="17"/>
  <c r="D657" i="17"/>
  <c r="E657" i="17"/>
  <c r="B658" i="17"/>
  <c r="C658" i="17"/>
  <c r="D658" i="17"/>
  <c r="E658" i="17"/>
  <c r="B659" i="17"/>
  <c r="C659" i="17"/>
  <c r="D659" i="17"/>
  <c r="E659" i="17"/>
  <c r="B660" i="17"/>
  <c r="C660" i="17"/>
  <c r="D660" i="17"/>
  <c r="E660" i="17"/>
  <c r="B661" i="17"/>
  <c r="C661" i="17"/>
  <c r="D661" i="17"/>
  <c r="E661" i="17"/>
  <c r="B662" i="17"/>
  <c r="C662" i="17"/>
  <c r="D662" i="17"/>
  <c r="E662" i="17"/>
  <c r="B663" i="17"/>
  <c r="C663" i="17"/>
  <c r="D663" i="17"/>
  <c r="E663" i="17"/>
  <c r="B664" i="17"/>
  <c r="C664" i="17"/>
  <c r="D664" i="17"/>
  <c r="E664" i="17"/>
  <c r="B665" i="17"/>
  <c r="C665" i="17"/>
  <c r="D665" i="17"/>
  <c r="E665" i="17"/>
  <c r="B666" i="17"/>
  <c r="C666" i="17"/>
  <c r="D666" i="17"/>
  <c r="E666" i="17"/>
  <c r="B667" i="17"/>
  <c r="C667" i="17"/>
  <c r="D667" i="17"/>
  <c r="E667" i="17"/>
  <c r="B668" i="17"/>
  <c r="C668" i="17"/>
  <c r="D668" i="17"/>
  <c r="E668" i="17"/>
  <c r="B669" i="17"/>
  <c r="C669" i="17"/>
  <c r="D669" i="17"/>
  <c r="E669" i="17"/>
  <c r="B670" i="17"/>
  <c r="C670" i="17"/>
  <c r="D670" i="17"/>
  <c r="E670" i="17"/>
  <c r="B671" i="17"/>
  <c r="C671" i="17"/>
  <c r="D671" i="17"/>
  <c r="E671" i="17"/>
  <c r="B672" i="17"/>
  <c r="C672" i="17"/>
  <c r="D672" i="17"/>
  <c r="E672" i="17"/>
  <c r="B673" i="17"/>
  <c r="C673" i="17"/>
  <c r="D673" i="17"/>
  <c r="E673" i="17"/>
  <c r="B674" i="17"/>
  <c r="C674" i="17"/>
  <c r="D674" i="17"/>
  <c r="E674" i="17"/>
  <c r="B675" i="17"/>
  <c r="C675" i="17"/>
  <c r="D675" i="17"/>
  <c r="E675" i="17"/>
  <c r="B676" i="17"/>
  <c r="C676" i="17"/>
  <c r="D676" i="17"/>
  <c r="E676" i="17"/>
  <c r="B677" i="17"/>
  <c r="C677" i="17"/>
  <c r="D677" i="17"/>
  <c r="E677" i="17"/>
  <c r="B678" i="17"/>
  <c r="C678" i="17"/>
  <c r="D678" i="17"/>
  <c r="E678" i="17"/>
  <c r="B679" i="17"/>
  <c r="C679" i="17"/>
  <c r="D679" i="17"/>
  <c r="E679" i="17"/>
  <c r="B680" i="17"/>
  <c r="C680" i="17"/>
  <c r="D680" i="17"/>
  <c r="E680" i="17"/>
  <c r="B681" i="17"/>
  <c r="C681" i="17"/>
  <c r="D681" i="17"/>
  <c r="E681" i="17"/>
  <c r="B682" i="17"/>
  <c r="C682" i="17"/>
  <c r="D682" i="17"/>
  <c r="E682" i="17"/>
  <c r="B683" i="17"/>
  <c r="C683" i="17"/>
  <c r="D683" i="17"/>
  <c r="E683" i="17"/>
  <c r="B684" i="17"/>
  <c r="C684" i="17"/>
  <c r="D684" i="17"/>
  <c r="E684" i="17"/>
  <c r="B685" i="17"/>
  <c r="C685" i="17"/>
  <c r="D685" i="17"/>
  <c r="E685" i="17"/>
  <c r="B686" i="17"/>
  <c r="C686" i="17"/>
  <c r="D686" i="17"/>
  <c r="E686" i="17"/>
  <c r="B687" i="17"/>
  <c r="C687" i="17"/>
  <c r="D687" i="17"/>
  <c r="E687" i="17"/>
  <c r="B688" i="17"/>
  <c r="C688" i="17"/>
  <c r="D688" i="17"/>
  <c r="E688" i="17"/>
  <c r="B689" i="17"/>
  <c r="C689" i="17"/>
  <c r="D689" i="17"/>
  <c r="E689" i="17"/>
  <c r="B690" i="17"/>
  <c r="C690" i="17"/>
  <c r="D690" i="17"/>
  <c r="E690" i="17"/>
  <c r="B691" i="17"/>
  <c r="C691" i="17"/>
  <c r="D691" i="17"/>
  <c r="E691" i="17"/>
  <c r="B692" i="17"/>
  <c r="C692" i="17"/>
  <c r="D692" i="17"/>
  <c r="E692" i="17"/>
  <c r="B693" i="17"/>
  <c r="C693" i="17"/>
  <c r="D693" i="17"/>
  <c r="E693" i="17"/>
  <c r="B694" i="17"/>
  <c r="C694" i="17"/>
  <c r="D694" i="17"/>
  <c r="E694" i="17"/>
  <c r="B695" i="17"/>
  <c r="C695" i="17"/>
  <c r="D695" i="17"/>
  <c r="E695" i="17"/>
  <c r="B696" i="17"/>
  <c r="C696" i="17"/>
  <c r="D696" i="17"/>
  <c r="E696" i="17"/>
  <c r="B697" i="17"/>
  <c r="C697" i="17"/>
  <c r="D697" i="17"/>
  <c r="E697" i="17"/>
  <c r="B698" i="17"/>
  <c r="C698" i="17"/>
  <c r="D698" i="17"/>
  <c r="E698" i="17"/>
  <c r="B699" i="17"/>
  <c r="C699" i="17"/>
  <c r="D699" i="17"/>
  <c r="E699" i="17"/>
  <c r="B700" i="17"/>
  <c r="C700" i="17"/>
  <c r="D700" i="17"/>
  <c r="E700" i="17"/>
  <c r="B701" i="17"/>
  <c r="C701" i="17"/>
  <c r="D701" i="17"/>
  <c r="E701" i="17"/>
  <c r="B702" i="17"/>
  <c r="C702" i="17"/>
  <c r="D702" i="17"/>
  <c r="E702" i="17"/>
  <c r="B703" i="17"/>
  <c r="C703" i="17"/>
  <c r="D703" i="17"/>
  <c r="E703" i="17"/>
  <c r="B704" i="17"/>
  <c r="C704" i="17"/>
  <c r="D704" i="17"/>
  <c r="E704" i="17"/>
  <c r="B705" i="17"/>
  <c r="C705" i="17"/>
  <c r="D705" i="17"/>
  <c r="E705" i="17"/>
  <c r="B706" i="17"/>
  <c r="C706" i="17"/>
  <c r="D706" i="17"/>
  <c r="E706" i="17"/>
  <c r="B707" i="17"/>
  <c r="C707" i="17"/>
  <c r="D707" i="17"/>
  <c r="E707" i="17"/>
  <c r="B708" i="17"/>
  <c r="C708" i="17"/>
  <c r="D708" i="17"/>
  <c r="E708" i="17"/>
  <c r="B709" i="17"/>
  <c r="C709" i="17"/>
  <c r="D709" i="17"/>
  <c r="E709" i="17"/>
  <c r="B710" i="17"/>
  <c r="C710" i="17"/>
  <c r="D710" i="17"/>
  <c r="E710" i="17"/>
  <c r="B711" i="17"/>
  <c r="C711" i="17"/>
  <c r="D711" i="17"/>
  <c r="E711" i="17"/>
  <c r="B712" i="17"/>
  <c r="C712" i="17"/>
  <c r="D712" i="17"/>
  <c r="E712" i="17"/>
  <c r="B713" i="17"/>
  <c r="C713" i="17"/>
  <c r="D713" i="17"/>
  <c r="E713" i="17"/>
  <c r="B714" i="17"/>
  <c r="C714" i="17"/>
  <c r="D714" i="17"/>
  <c r="E714" i="17"/>
  <c r="B715" i="17"/>
  <c r="C715" i="17"/>
  <c r="D715" i="17"/>
  <c r="E715" i="17"/>
  <c r="B716" i="17"/>
  <c r="C716" i="17"/>
  <c r="D716" i="17"/>
  <c r="E716" i="17"/>
  <c r="B717" i="17"/>
  <c r="C717" i="17"/>
  <c r="D717" i="17"/>
  <c r="E717" i="17"/>
  <c r="B718" i="17"/>
  <c r="C718" i="17"/>
  <c r="D718" i="17"/>
  <c r="E718" i="17"/>
  <c r="B719" i="17"/>
  <c r="C719" i="17"/>
  <c r="D719" i="17"/>
  <c r="E719" i="17"/>
  <c r="B720" i="17"/>
  <c r="C720" i="17"/>
  <c r="D720" i="17"/>
  <c r="E720" i="17"/>
  <c r="B721" i="17"/>
  <c r="C721" i="17"/>
  <c r="D721" i="17"/>
  <c r="E721" i="17"/>
  <c r="B722" i="17"/>
  <c r="C722" i="17"/>
  <c r="D722" i="17"/>
  <c r="E722" i="17"/>
  <c r="B723" i="17"/>
  <c r="C723" i="17"/>
  <c r="D723" i="17"/>
  <c r="E723" i="17"/>
  <c r="B724" i="17"/>
  <c r="C724" i="17"/>
  <c r="D724" i="17"/>
  <c r="E724" i="17"/>
  <c r="B725" i="17"/>
  <c r="C725" i="17"/>
  <c r="D725" i="17"/>
  <c r="E725" i="17"/>
  <c r="B726" i="17"/>
  <c r="C726" i="17"/>
  <c r="D726" i="17"/>
  <c r="E726" i="17"/>
  <c r="B727" i="17"/>
  <c r="C727" i="17"/>
  <c r="D727" i="17"/>
  <c r="E727" i="17"/>
  <c r="B728" i="17"/>
  <c r="C728" i="17"/>
  <c r="D728" i="17"/>
  <c r="E728" i="17"/>
  <c r="B729" i="17"/>
  <c r="C729" i="17"/>
  <c r="D729" i="17"/>
  <c r="E729" i="17"/>
  <c r="B730" i="17"/>
  <c r="C730" i="17"/>
  <c r="D730" i="17"/>
  <c r="E730" i="17"/>
  <c r="B731" i="17"/>
  <c r="C731" i="17"/>
  <c r="D731" i="17"/>
  <c r="E731" i="17"/>
  <c r="B732" i="17"/>
  <c r="C732" i="17"/>
  <c r="D732" i="17"/>
  <c r="E732" i="17"/>
  <c r="B733" i="17"/>
  <c r="C733" i="17"/>
  <c r="D733" i="17"/>
  <c r="E733" i="17"/>
  <c r="B734" i="17"/>
  <c r="C734" i="17"/>
  <c r="D734" i="17"/>
  <c r="E734" i="17"/>
  <c r="B735" i="17"/>
  <c r="C735" i="17"/>
  <c r="D735" i="17"/>
  <c r="E735" i="17"/>
  <c r="B736" i="17"/>
  <c r="C736" i="17"/>
  <c r="D736" i="17"/>
  <c r="E736" i="17"/>
  <c r="B737" i="17"/>
  <c r="C737" i="17"/>
  <c r="D737" i="17"/>
  <c r="E737" i="17"/>
  <c r="B738" i="17"/>
  <c r="C738" i="17"/>
  <c r="D738" i="17"/>
  <c r="E738" i="17"/>
  <c r="B739" i="17"/>
  <c r="C739" i="17"/>
  <c r="D739" i="17"/>
  <c r="E739" i="17"/>
  <c r="B740" i="17"/>
  <c r="C740" i="17"/>
  <c r="D740" i="17"/>
  <c r="E740" i="17"/>
  <c r="B741" i="17"/>
  <c r="C741" i="17"/>
  <c r="D741" i="17"/>
  <c r="E741" i="17"/>
  <c r="B742" i="17"/>
  <c r="C742" i="17"/>
  <c r="D742" i="17"/>
  <c r="E742" i="17"/>
  <c r="B743" i="17"/>
  <c r="C743" i="17"/>
  <c r="D743" i="17"/>
  <c r="E743" i="17"/>
  <c r="B744" i="17"/>
  <c r="C744" i="17"/>
  <c r="D744" i="17"/>
  <c r="E744" i="17"/>
  <c r="B745" i="17"/>
  <c r="C745" i="17"/>
  <c r="D745" i="17"/>
  <c r="E745" i="17"/>
  <c r="B746" i="17"/>
  <c r="C746" i="17"/>
  <c r="D746" i="17"/>
  <c r="E746" i="17"/>
  <c r="B747" i="17"/>
  <c r="C747" i="17"/>
  <c r="D747" i="17"/>
  <c r="E747" i="17"/>
  <c r="B748" i="17"/>
  <c r="C748" i="17"/>
  <c r="D748" i="17"/>
  <c r="E748" i="17"/>
  <c r="B749" i="17"/>
  <c r="C749" i="17"/>
  <c r="D749" i="17"/>
  <c r="E749" i="17"/>
  <c r="B750" i="17"/>
  <c r="C750" i="17"/>
  <c r="D750" i="17"/>
  <c r="E750" i="17"/>
  <c r="B751" i="17"/>
  <c r="C751" i="17"/>
  <c r="D751" i="17"/>
  <c r="E751" i="17"/>
  <c r="B752" i="17"/>
  <c r="C752" i="17"/>
  <c r="D752" i="17"/>
  <c r="E752" i="17"/>
  <c r="B753" i="17"/>
  <c r="C753" i="17"/>
  <c r="D753" i="17"/>
  <c r="E753" i="17"/>
  <c r="B754" i="17"/>
  <c r="C754" i="17"/>
  <c r="D754" i="17"/>
  <c r="E754" i="17"/>
  <c r="B755" i="17"/>
  <c r="C755" i="17"/>
  <c r="D755" i="17"/>
  <c r="E755" i="17"/>
  <c r="B756" i="17"/>
  <c r="C756" i="17"/>
  <c r="D756" i="17"/>
  <c r="E756" i="17"/>
  <c r="B757" i="17"/>
  <c r="C757" i="17"/>
  <c r="D757" i="17"/>
  <c r="E757" i="17"/>
  <c r="B758" i="17"/>
  <c r="C758" i="17"/>
  <c r="D758" i="17"/>
  <c r="E758" i="17"/>
  <c r="B759" i="17"/>
  <c r="C759" i="17"/>
  <c r="D759" i="17"/>
  <c r="E759" i="17"/>
  <c r="B760" i="17"/>
  <c r="C760" i="17"/>
  <c r="D760" i="17"/>
  <c r="E760" i="17"/>
  <c r="B761" i="17"/>
  <c r="C761" i="17"/>
  <c r="D761" i="17"/>
  <c r="E761" i="17"/>
  <c r="B762" i="17"/>
  <c r="C762" i="17"/>
  <c r="D762" i="17"/>
  <c r="E762" i="17"/>
  <c r="B763" i="17"/>
  <c r="C763" i="17"/>
  <c r="D763" i="17"/>
  <c r="E763" i="17"/>
  <c r="B764" i="17"/>
  <c r="C764" i="17"/>
  <c r="D764" i="17"/>
  <c r="E764" i="17"/>
  <c r="B765" i="17"/>
  <c r="C765" i="17"/>
  <c r="D765" i="17"/>
  <c r="E765" i="17"/>
  <c r="B766" i="17"/>
  <c r="C766" i="17"/>
  <c r="D766" i="17"/>
  <c r="E766" i="17"/>
  <c r="B767" i="17"/>
  <c r="C767" i="17"/>
  <c r="D767" i="17"/>
  <c r="E767" i="17"/>
  <c r="B768" i="17"/>
  <c r="C768" i="17"/>
  <c r="D768" i="17"/>
  <c r="E768" i="17"/>
  <c r="B769" i="17"/>
  <c r="C769" i="17"/>
  <c r="D769" i="17"/>
  <c r="E769" i="17"/>
  <c r="B770" i="17"/>
  <c r="C770" i="17"/>
  <c r="D770" i="17"/>
  <c r="E770" i="17"/>
  <c r="B771" i="17"/>
  <c r="C771" i="17"/>
  <c r="D771" i="17"/>
  <c r="E771" i="17"/>
  <c r="B772" i="17"/>
  <c r="C772" i="17"/>
  <c r="D772" i="17"/>
  <c r="E772" i="17"/>
  <c r="B773" i="17"/>
  <c r="C773" i="17"/>
  <c r="D773" i="17"/>
  <c r="E773" i="17"/>
  <c r="B774" i="17"/>
  <c r="C774" i="17"/>
  <c r="D774" i="17"/>
  <c r="E774" i="17"/>
  <c r="B775" i="17"/>
  <c r="C775" i="17"/>
  <c r="D775" i="17"/>
  <c r="E775" i="17"/>
  <c r="B776" i="17"/>
  <c r="C776" i="17"/>
  <c r="D776" i="17"/>
  <c r="E776" i="17"/>
  <c r="B777" i="17"/>
  <c r="C777" i="17"/>
  <c r="D777" i="17"/>
  <c r="E777" i="17"/>
  <c r="B778" i="17"/>
  <c r="C778" i="17"/>
  <c r="D778" i="17"/>
  <c r="E778" i="17"/>
  <c r="B779" i="17"/>
  <c r="C779" i="17"/>
  <c r="D779" i="17"/>
  <c r="E779" i="17"/>
  <c r="B780" i="17"/>
  <c r="C780" i="17"/>
  <c r="D780" i="17"/>
  <c r="E780" i="17"/>
  <c r="B781" i="17"/>
  <c r="C781" i="17"/>
  <c r="D781" i="17"/>
  <c r="E781" i="17"/>
  <c r="B782" i="17"/>
  <c r="C782" i="17"/>
  <c r="D782" i="17"/>
  <c r="E782" i="17"/>
  <c r="B783" i="17"/>
  <c r="C783" i="17"/>
  <c r="D783" i="17"/>
  <c r="E783" i="17"/>
  <c r="B784" i="17"/>
  <c r="C784" i="17"/>
  <c r="D784" i="17"/>
  <c r="E784" i="17"/>
  <c r="B785" i="17"/>
  <c r="C785" i="17"/>
  <c r="D785" i="17"/>
  <c r="E785" i="17"/>
  <c r="B786" i="17"/>
  <c r="C786" i="17"/>
  <c r="D786" i="17"/>
  <c r="E786" i="17"/>
  <c r="B787" i="17"/>
  <c r="C787" i="17"/>
  <c r="D787" i="17"/>
  <c r="E787" i="17"/>
  <c r="B788" i="17"/>
  <c r="C788" i="17"/>
  <c r="D788" i="17"/>
  <c r="E788" i="17"/>
  <c r="B789" i="17"/>
  <c r="C789" i="17"/>
  <c r="D789" i="17"/>
  <c r="E789" i="17"/>
  <c r="B790" i="17"/>
  <c r="C790" i="17"/>
  <c r="D790" i="17"/>
  <c r="E790" i="17"/>
  <c r="B791" i="17"/>
  <c r="C791" i="17"/>
  <c r="D791" i="17"/>
  <c r="E791" i="17"/>
  <c r="B792" i="17"/>
  <c r="C792" i="17"/>
  <c r="D792" i="17"/>
  <c r="E792" i="17"/>
  <c r="B793" i="17"/>
  <c r="C793" i="17"/>
  <c r="D793" i="17"/>
  <c r="E793" i="17"/>
  <c r="B794" i="17"/>
  <c r="C794" i="17"/>
  <c r="D794" i="17"/>
  <c r="E794" i="17"/>
  <c r="B795" i="17"/>
  <c r="C795" i="17"/>
  <c r="D795" i="17"/>
  <c r="E795" i="17"/>
  <c r="B796" i="17"/>
  <c r="C796" i="17"/>
  <c r="D796" i="17"/>
  <c r="E796" i="17"/>
  <c r="B797" i="17"/>
  <c r="C797" i="17"/>
  <c r="D797" i="17"/>
  <c r="E797" i="17"/>
  <c r="B798" i="17"/>
  <c r="C798" i="17"/>
  <c r="D798" i="17"/>
  <c r="E798" i="17"/>
  <c r="B799" i="17"/>
  <c r="C799" i="17"/>
  <c r="D799" i="17"/>
  <c r="E799" i="17"/>
  <c r="B800" i="17"/>
  <c r="C800" i="17"/>
  <c r="D800" i="17"/>
  <c r="E800" i="17"/>
  <c r="B801" i="17"/>
  <c r="C801" i="17"/>
  <c r="D801" i="17"/>
  <c r="E801" i="17"/>
  <c r="B802" i="17"/>
  <c r="C802" i="17"/>
  <c r="D802" i="17"/>
  <c r="E802" i="17"/>
  <c r="B803" i="17"/>
  <c r="C803" i="17"/>
  <c r="D803" i="17"/>
  <c r="E803" i="17"/>
  <c r="B804" i="17"/>
  <c r="C804" i="17"/>
  <c r="D804" i="17"/>
  <c r="E804" i="17"/>
  <c r="B805" i="17"/>
  <c r="C805" i="17"/>
  <c r="D805" i="17"/>
  <c r="E805" i="17"/>
  <c r="B806" i="17"/>
  <c r="C806" i="17"/>
  <c r="D806" i="17"/>
  <c r="E806" i="17"/>
  <c r="B807" i="17"/>
  <c r="C807" i="17"/>
  <c r="D807" i="17"/>
  <c r="E807" i="17"/>
  <c r="B808" i="17"/>
  <c r="C808" i="17"/>
  <c r="D808" i="17"/>
  <c r="E808" i="17"/>
  <c r="B809" i="17"/>
  <c r="C809" i="17"/>
  <c r="D809" i="17"/>
  <c r="E809" i="17"/>
  <c r="B810" i="17"/>
  <c r="C810" i="17"/>
  <c r="D810" i="17"/>
  <c r="E810" i="17"/>
  <c r="B811" i="17"/>
  <c r="C811" i="17"/>
  <c r="D811" i="17"/>
  <c r="E811" i="17"/>
  <c r="B812" i="17"/>
  <c r="C812" i="17"/>
  <c r="D812" i="17"/>
  <c r="E812" i="17"/>
  <c r="B813" i="17"/>
  <c r="C813" i="17"/>
  <c r="D813" i="17"/>
  <c r="E813" i="17"/>
  <c r="B814" i="17"/>
  <c r="C814" i="17"/>
  <c r="D814" i="17"/>
  <c r="E814" i="17"/>
  <c r="B815" i="17"/>
  <c r="C815" i="17"/>
  <c r="D815" i="17"/>
  <c r="E815" i="17"/>
  <c r="B816" i="17"/>
  <c r="C816" i="17"/>
  <c r="D816" i="17"/>
  <c r="E816" i="17"/>
  <c r="B817" i="17"/>
  <c r="C817" i="17"/>
  <c r="D817" i="17"/>
  <c r="E817" i="17"/>
  <c r="B818" i="17"/>
  <c r="C818" i="17"/>
  <c r="D818" i="17"/>
  <c r="E818" i="17"/>
  <c r="B819" i="17"/>
  <c r="C819" i="17"/>
  <c r="D819" i="17"/>
  <c r="E819" i="17"/>
  <c r="B820" i="17"/>
  <c r="C820" i="17"/>
  <c r="D820" i="17"/>
  <c r="E820" i="17"/>
  <c r="B821" i="17"/>
  <c r="C821" i="17"/>
  <c r="D821" i="17"/>
  <c r="E821" i="17"/>
  <c r="B822" i="17"/>
  <c r="C822" i="17"/>
  <c r="D822" i="17"/>
  <c r="E822" i="17"/>
  <c r="B823" i="17"/>
  <c r="C823" i="17"/>
  <c r="D823" i="17"/>
  <c r="E823" i="17"/>
  <c r="B824" i="17"/>
  <c r="C824" i="17"/>
  <c r="D824" i="17"/>
  <c r="E824" i="17"/>
  <c r="B825" i="17"/>
  <c r="C825" i="17"/>
  <c r="D825" i="17"/>
  <c r="E825" i="17"/>
  <c r="B826" i="17"/>
  <c r="C826" i="17"/>
  <c r="D826" i="17"/>
  <c r="E826" i="17"/>
  <c r="B827" i="17"/>
  <c r="C827" i="17"/>
  <c r="D827" i="17"/>
  <c r="E827" i="17"/>
  <c r="B828" i="17"/>
  <c r="C828" i="17"/>
  <c r="D828" i="17"/>
  <c r="E828" i="17"/>
  <c r="B829" i="17"/>
  <c r="C829" i="17"/>
  <c r="D829" i="17"/>
  <c r="E829" i="17"/>
  <c r="B830" i="17"/>
  <c r="C830" i="17"/>
  <c r="D830" i="17"/>
  <c r="E830" i="17"/>
  <c r="B831" i="17"/>
  <c r="C831" i="17"/>
  <c r="D831" i="17"/>
  <c r="E831" i="17"/>
  <c r="B832" i="17"/>
  <c r="C832" i="17"/>
  <c r="D832" i="17"/>
  <c r="E832" i="17"/>
  <c r="B833" i="17"/>
  <c r="C833" i="17"/>
  <c r="D833" i="17"/>
  <c r="E833" i="17"/>
  <c r="B834" i="17"/>
  <c r="C834" i="17"/>
  <c r="D834" i="17"/>
  <c r="E834" i="17"/>
  <c r="B835" i="17"/>
  <c r="C835" i="17"/>
  <c r="D835" i="17"/>
  <c r="E835" i="17"/>
  <c r="B836" i="17"/>
  <c r="C836" i="17"/>
  <c r="D836" i="17"/>
  <c r="E836" i="17"/>
  <c r="B837" i="17"/>
  <c r="C837" i="17"/>
  <c r="D837" i="17"/>
  <c r="E837" i="17"/>
  <c r="B838" i="17"/>
  <c r="C838" i="17"/>
  <c r="D838" i="17"/>
  <c r="E838" i="17"/>
  <c r="B839" i="17"/>
  <c r="C839" i="17"/>
  <c r="D839" i="17"/>
  <c r="E839" i="17"/>
  <c r="B840" i="17"/>
  <c r="C840" i="17"/>
  <c r="D840" i="17"/>
  <c r="E840" i="17"/>
  <c r="B841" i="17"/>
  <c r="C841" i="17"/>
  <c r="D841" i="17"/>
  <c r="E841" i="17"/>
  <c r="B842" i="17"/>
  <c r="C842" i="17"/>
  <c r="D842" i="17"/>
  <c r="E842" i="17"/>
  <c r="B843" i="17"/>
  <c r="C843" i="17"/>
  <c r="D843" i="17"/>
  <c r="E843" i="17"/>
  <c r="B844" i="17"/>
  <c r="C844" i="17"/>
  <c r="D844" i="17"/>
  <c r="E844" i="17"/>
  <c r="B845" i="17"/>
  <c r="C845" i="17"/>
  <c r="D845" i="17"/>
  <c r="E845" i="17"/>
  <c r="B846" i="17"/>
  <c r="C846" i="17"/>
  <c r="D846" i="17"/>
  <c r="E846" i="17"/>
  <c r="B847" i="17"/>
  <c r="C847" i="17"/>
  <c r="D847" i="17"/>
  <c r="E847" i="17"/>
  <c r="B848" i="17"/>
  <c r="C848" i="17"/>
  <c r="D848" i="17"/>
  <c r="E848" i="17"/>
  <c r="B849" i="17"/>
  <c r="C849" i="17"/>
  <c r="D849" i="17"/>
  <c r="E849" i="17"/>
  <c r="B850" i="17"/>
  <c r="C850" i="17"/>
  <c r="D850" i="17"/>
  <c r="E850" i="17"/>
  <c r="B851" i="17"/>
  <c r="C851" i="17"/>
  <c r="D851" i="17"/>
  <c r="E851" i="17"/>
  <c r="B852" i="17"/>
  <c r="C852" i="17"/>
  <c r="D852" i="17"/>
  <c r="E852" i="17"/>
  <c r="B853" i="17"/>
  <c r="C853" i="17"/>
  <c r="D853" i="17"/>
  <c r="E853" i="17"/>
  <c r="B854" i="17"/>
  <c r="C854" i="17"/>
  <c r="D854" i="17"/>
  <c r="E854" i="17"/>
  <c r="B855" i="17"/>
  <c r="C855" i="17"/>
  <c r="D855" i="17"/>
  <c r="E855" i="17"/>
  <c r="B856" i="17"/>
  <c r="C856" i="17"/>
  <c r="D856" i="17"/>
  <c r="E856" i="17"/>
  <c r="B857" i="17"/>
  <c r="C857" i="17"/>
  <c r="D857" i="17"/>
  <c r="E857" i="17"/>
  <c r="B858" i="17"/>
  <c r="C858" i="17"/>
  <c r="D858" i="17"/>
  <c r="E858" i="17"/>
  <c r="B859" i="17"/>
  <c r="C859" i="17"/>
  <c r="D859" i="17"/>
  <c r="E859" i="17"/>
  <c r="B860" i="17"/>
  <c r="C860" i="17"/>
  <c r="D860" i="17"/>
  <c r="E860" i="17"/>
  <c r="B861" i="17"/>
  <c r="C861" i="17"/>
  <c r="D861" i="17"/>
  <c r="E861" i="17"/>
  <c r="B862" i="17"/>
  <c r="C862" i="17"/>
  <c r="D862" i="17"/>
  <c r="E862" i="17"/>
  <c r="B863" i="17"/>
  <c r="C863" i="17"/>
  <c r="D863" i="17"/>
  <c r="E863" i="17"/>
  <c r="B864" i="17"/>
  <c r="C864" i="17"/>
  <c r="D864" i="17"/>
  <c r="E864" i="17"/>
  <c r="B865" i="17"/>
  <c r="C865" i="17"/>
  <c r="D865" i="17"/>
  <c r="E865" i="17"/>
  <c r="B866" i="17"/>
  <c r="C866" i="17"/>
  <c r="D866" i="17"/>
  <c r="E866" i="17"/>
  <c r="B867" i="17"/>
  <c r="C867" i="17"/>
  <c r="D867" i="17"/>
  <c r="E867" i="17"/>
  <c r="B868" i="17"/>
  <c r="C868" i="17"/>
  <c r="D868" i="17"/>
  <c r="E868" i="17"/>
  <c r="B869" i="17"/>
  <c r="C869" i="17"/>
  <c r="D869" i="17"/>
  <c r="E869" i="17"/>
  <c r="B870" i="17"/>
  <c r="C870" i="17"/>
  <c r="D870" i="17"/>
  <c r="E870" i="17"/>
  <c r="B871" i="17"/>
  <c r="C871" i="17"/>
  <c r="D871" i="17"/>
  <c r="E871" i="17"/>
  <c r="B872" i="17"/>
  <c r="C872" i="17"/>
  <c r="D872" i="17"/>
  <c r="E872" i="17"/>
  <c r="B873" i="17"/>
  <c r="C873" i="17"/>
  <c r="D873" i="17"/>
  <c r="E873" i="17"/>
  <c r="B874" i="17"/>
  <c r="C874" i="17"/>
  <c r="D874" i="17"/>
  <c r="E874" i="17"/>
  <c r="B875" i="17"/>
  <c r="C875" i="17"/>
  <c r="D875" i="17"/>
  <c r="E875" i="17"/>
  <c r="B876" i="17"/>
  <c r="C876" i="17"/>
  <c r="D876" i="17"/>
  <c r="E876" i="17"/>
  <c r="B877" i="17"/>
  <c r="C877" i="17"/>
  <c r="D877" i="17"/>
  <c r="E877" i="17"/>
  <c r="B878" i="17"/>
  <c r="C878" i="17"/>
  <c r="D878" i="17"/>
  <c r="E878" i="17"/>
  <c r="B879" i="17"/>
  <c r="C879" i="17"/>
  <c r="D879" i="17"/>
  <c r="E879" i="17"/>
  <c r="B880" i="17"/>
  <c r="C880" i="17"/>
  <c r="D880" i="17"/>
  <c r="E880" i="17"/>
  <c r="B881" i="17"/>
  <c r="C881" i="17"/>
  <c r="D881" i="17"/>
  <c r="E881" i="17"/>
  <c r="B882" i="17"/>
  <c r="C882" i="17"/>
  <c r="D882" i="17"/>
  <c r="E882" i="17"/>
  <c r="B883" i="17"/>
  <c r="C883" i="17"/>
  <c r="D883" i="17"/>
  <c r="E883" i="17"/>
  <c r="B884" i="17"/>
  <c r="C884" i="17"/>
  <c r="D884" i="17"/>
  <c r="E884" i="17"/>
  <c r="B885" i="17"/>
  <c r="C885" i="17"/>
  <c r="D885" i="17"/>
  <c r="E885" i="17"/>
  <c r="B886" i="17"/>
  <c r="C886" i="17"/>
  <c r="D886" i="17"/>
  <c r="E886" i="17"/>
  <c r="B887" i="17"/>
  <c r="C887" i="17"/>
  <c r="D887" i="17"/>
  <c r="E887" i="17"/>
  <c r="B888" i="17"/>
  <c r="C888" i="17"/>
  <c r="D888" i="17"/>
  <c r="E888" i="17"/>
  <c r="B889" i="17"/>
  <c r="C889" i="17"/>
  <c r="D889" i="17"/>
  <c r="E889" i="17"/>
  <c r="B890" i="17"/>
  <c r="C890" i="17"/>
  <c r="D890" i="17"/>
  <c r="E890" i="17"/>
  <c r="B891" i="17"/>
  <c r="C891" i="17"/>
  <c r="D891" i="17"/>
  <c r="E891" i="17"/>
  <c r="B892" i="17"/>
  <c r="C892" i="17"/>
  <c r="D892" i="17"/>
  <c r="E892" i="17"/>
  <c r="B893" i="17"/>
  <c r="C893" i="17"/>
  <c r="D893" i="17"/>
  <c r="E893" i="17"/>
  <c r="B894" i="17"/>
  <c r="C894" i="17"/>
  <c r="D894" i="17"/>
  <c r="E894" i="17"/>
  <c r="B895" i="17"/>
  <c r="C895" i="17"/>
  <c r="D895" i="17"/>
  <c r="E895" i="17"/>
  <c r="B896" i="17"/>
  <c r="C896" i="17"/>
  <c r="D896" i="17"/>
  <c r="E896" i="17"/>
  <c r="B897" i="17"/>
  <c r="C897" i="17"/>
  <c r="D897" i="17"/>
  <c r="E897" i="17"/>
  <c r="B898" i="17"/>
  <c r="C898" i="17"/>
  <c r="D898" i="17"/>
  <c r="E898" i="17"/>
  <c r="B899" i="17"/>
  <c r="C899" i="17"/>
  <c r="D899" i="17"/>
  <c r="E899" i="17"/>
  <c r="B900" i="17"/>
  <c r="C900" i="17"/>
  <c r="D900" i="17"/>
  <c r="E900" i="17"/>
  <c r="B901" i="17"/>
  <c r="C901" i="17"/>
  <c r="D901" i="17"/>
  <c r="E901" i="17"/>
  <c r="B902" i="17"/>
  <c r="C902" i="17"/>
  <c r="D902" i="17"/>
  <c r="E902" i="17"/>
  <c r="B903" i="17"/>
  <c r="C903" i="17"/>
  <c r="D903" i="17"/>
  <c r="E903" i="17"/>
  <c r="B904" i="17"/>
  <c r="C904" i="17"/>
  <c r="D904" i="17"/>
  <c r="E904" i="17"/>
  <c r="B905" i="17"/>
  <c r="C905" i="17"/>
  <c r="D905" i="17"/>
  <c r="E905" i="17"/>
  <c r="B906" i="17"/>
  <c r="C906" i="17"/>
  <c r="D906" i="17"/>
  <c r="E906" i="17"/>
  <c r="B907" i="17"/>
  <c r="C907" i="17"/>
  <c r="D907" i="17"/>
  <c r="E907" i="17"/>
  <c r="B908" i="17"/>
  <c r="C908" i="17"/>
  <c r="D908" i="17"/>
  <c r="E908" i="17"/>
  <c r="B909" i="17"/>
  <c r="C909" i="17"/>
  <c r="D909" i="17"/>
  <c r="E909" i="17"/>
  <c r="B910" i="17"/>
  <c r="C910" i="17"/>
  <c r="D910" i="17"/>
  <c r="E910" i="17"/>
  <c r="B911" i="17"/>
  <c r="C911" i="17"/>
  <c r="D911" i="17"/>
  <c r="E911" i="17"/>
  <c r="B912" i="17"/>
  <c r="C912" i="17"/>
  <c r="D912" i="17"/>
  <c r="E912" i="17"/>
  <c r="B913" i="17"/>
  <c r="C913" i="17"/>
  <c r="D913" i="17"/>
  <c r="E913" i="17"/>
  <c r="B914" i="17"/>
  <c r="C914" i="17"/>
  <c r="D914" i="17"/>
  <c r="E914" i="17"/>
  <c r="B915" i="17"/>
  <c r="C915" i="17"/>
  <c r="D915" i="17"/>
  <c r="E915" i="17"/>
  <c r="B916" i="17"/>
  <c r="C916" i="17"/>
  <c r="D916" i="17"/>
  <c r="E916" i="17"/>
  <c r="B917" i="17"/>
  <c r="C917" i="17"/>
  <c r="D917" i="17"/>
  <c r="E917" i="17"/>
  <c r="B918" i="17"/>
  <c r="C918" i="17"/>
  <c r="D918" i="17"/>
  <c r="E918" i="17"/>
  <c r="B919" i="17"/>
  <c r="C919" i="17"/>
  <c r="D919" i="17"/>
  <c r="E919" i="17"/>
  <c r="B920" i="17"/>
  <c r="C920" i="17"/>
  <c r="D920" i="17"/>
  <c r="E920" i="17"/>
  <c r="B921" i="17"/>
  <c r="C921" i="17"/>
  <c r="D921" i="17"/>
  <c r="E921" i="17"/>
  <c r="B922" i="17"/>
  <c r="C922" i="17"/>
  <c r="D922" i="17"/>
  <c r="E922" i="17"/>
  <c r="B923" i="17"/>
  <c r="C923" i="17"/>
  <c r="D923" i="17"/>
  <c r="E923" i="17"/>
  <c r="B924" i="17"/>
  <c r="C924" i="17"/>
  <c r="D924" i="17"/>
  <c r="E924" i="17"/>
  <c r="B925" i="17"/>
  <c r="C925" i="17"/>
  <c r="D925" i="17"/>
  <c r="E925" i="17"/>
  <c r="B926" i="17"/>
  <c r="C926" i="17"/>
  <c r="D926" i="17"/>
  <c r="E926" i="17"/>
  <c r="B927" i="17"/>
  <c r="C927" i="17"/>
  <c r="D927" i="17"/>
  <c r="E927" i="17"/>
  <c r="B928" i="17"/>
  <c r="C928" i="17"/>
  <c r="D928" i="17"/>
  <c r="E928" i="17"/>
  <c r="B929" i="17"/>
  <c r="C929" i="17"/>
  <c r="D929" i="17"/>
  <c r="E929" i="17"/>
  <c r="B930" i="17"/>
  <c r="C930" i="17"/>
  <c r="D930" i="17"/>
  <c r="E930" i="17"/>
  <c r="B931" i="17"/>
  <c r="C931" i="17"/>
  <c r="D931" i="17"/>
  <c r="E931" i="17"/>
  <c r="B932" i="17"/>
  <c r="C932" i="17"/>
  <c r="D932" i="17"/>
  <c r="E932" i="17"/>
  <c r="B933" i="17"/>
  <c r="C933" i="17"/>
  <c r="D933" i="17"/>
  <c r="E933" i="17"/>
  <c r="B934" i="17"/>
  <c r="C934" i="17"/>
  <c r="D934" i="17"/>
  <c r="E934" i="17"/>
  <c r="B935" i="17"/>
  <c r="C935" i="17"/>
  <c r="D935" i="17"/>
  <c r="E935" i="17"/>
  <c r="B936" i="17"/>
  <c r="C936" i="17"/>
  <c r="D936" i="17"/>
  <c r="E936" i="17"/>
  <c r="B937" i="17"/>
  <c r="C937" i="17"/>
  <c r="D937" i="17"/>
  <c r="E937" i="17"/>
  <c r="B938" i="17"/>
  <c r="C938" i="17"/>
  <c r="D938" i="17"/>
  <c r="E938" i="17"/>
  <c r="B939" i="17"/>
  <c r="C939" i="17"/>
  <c r="D939" i="17"/>
  <c r="E939" i="17"/>
  <c r="B940" i="17"/>
  <c r="C940" i="17"/>
  <c r="D940" i="17"/>
  <c r="E940" i="17"/>
  <c r="B941" i="17"/>
  <c r="C941" i="17"/>
  <c r="D941" i="17"/>
  <c r="E941" i="17"/>
  <c r="B942" i="17"/>
  <c r="C942" i="17"/>
  <c r="D942" i="17"/>
  <c r="E942" i="17"/>
  <c r="B943" i="17"/>
  <c r="C943" i="17"/>
  <c r="D943" i="17"/>
  <c r="E943" i="17"/>
  <c r="B944" i="17"/>
  <c r="C944" i="17"/>
  <c r="D944" i="17"/>
  <c r="E944" i="17"/>
  <c r="B945" i="17"/>
  <c r="C945" i="17"/>
  <c r="D945" i="17"/>
  <c r="E945" i="17"/>
  <c r="B946" i="17"/>
  <c r="C946" i="17"/>
  <c r="D946" i="17"/>
  <c r="E946" i="17"/>
  <c r="B947" i="17"/>
  <c r="C947" i="17"/>
  <c r="D947" i="17"/>
  <c r="E947" i="17"/>
  <c r="B948" i="17"/>
  <c r="C948" i="17"/>
  <c r="D948" i="17"/>
  <c r="E948" i="17"/>
  <c r="B949" i="17"/>
  <c r="C949" i="17"/>
  <c r="D949" i="17"/>
  <c r="E949" i="17"/>
  <c r="B950" i="17"/>
  <c r="C950" i="17"/>
  <c r="D950" i="17"/>
  <c r="E950" i="17"/>
  <c r="B951" i="17"/>
  <c r="C951" i="17"/>
  <c r="D951" i="17"/>
  <c r="E951" i="17"/>
  <c r="B952" i="17"/>
  <c r="C952" i="17"/>
  <c r="D952" i="17"/>
  <c r="E952" i="17"/>
  <c r="B953" i="17"/>
  <c r="C953" i="17"/>
  <c r="D953" i="17"/>
  <c r="E953" i="17"/>
  <c r="B954" i="17"/>
  <c r="C954" i="17"/>
  <c r="D954" i="17"/>
  <c r="E954" i="17"/>
  <c r="B955" i="17"/>
  <c r="C955" i="17"/>
  <c r="D955" i="17"/>
  <c r="E955" i="17"/>
  <c r="B956" i="17"/>
  <c r="C956" i="17"/>
  <c r="D956" i="17"/>
  <c r="E956" i="17"/>
  <c r="B957" i="17"/>
  <c r="C957" i="17"/>
  <c r="D957" i="17"/>
  <c r="E957" i="17"/>
  <c r="B958" i="17"/>
  <c r="C958" i="17"/>
  <c r="D958" i="17"/>
  <c r="E958" i="17"/>
  <c r="B959" i="17"/>
  <c r="C959" i="17"/>
  <c r="D959" i="17"/>
  <c r="E959" i="17"/>
  <c r="B960" i="17"/>
  <c r="C960" i="17"/>
  <c r="D960" i="17"/>
  <c r="E960" i="17"/>
  <c r="B961" i="17"/>
  <c r="C961" i="17"/>
  <c r="D961" i="17"/>
  <c r="E961" i="17"/>
  <c r="B962" i="17"/>
  <c r="C962" i="17"/>
  <c r="D962" i="17"/>
  <c r="E962" i="17"/>
  <c r="B963" i="17"/>
  <c r="C963" i="17"/>
  <c r="D963" i="17"/>
  <c r="E963" i="17"/>
  <c r="B964" i="17"/>
  <c r="C964" i="17"/>
  <c r="D964" i="17"/>
  <c r="E964" i="17"/>
  <c r="B965" i="17"/>
  <c r="C965" i="17"/>
  <c r="D965" i="17"/>
  <c r="E965" i="17"/>
  <c r="B966" i="17"/>
  <c r="C966" i="17"/>
  <c r="D966" i="17"/>
  <c r="E966" i="17"/>
  <c r="B967" i="17"/>
  <c r="C967" i="17"/>
  <c r="D967" i="17"/>
  <c r="E967" i="17"/>
  <c r="B968" i="17"/>
  <c r="C968" i="17"/>
  <c r="D968" i="17"/>
  <c r="E968" i="17"/>
  <c r="B969" i="17"/>
  <c r="C969" i="17"/>
  <c r="D969" i="17"/>
  <c r="E969" i="17"/>
  <c r="B970" i="17"/>
  <c r="C970" i="17"/>
  <c r="D970" i="17"/>
  <c r="E970" i="17"/>
  <c r="B971" i="17"/>
  <c r="C971" i="17"/>
  <c r="D971" i="17"/>
  <c r="E971" i="17"/>
  <c r="B972" i="17"/>
  <c r="C972" i="17"/>
  <c r="D972" i="17"/>
  <c r="E972" i="17"/>
  <c r="B973" i="17"/>
  <c r="C973" i="17"/>
  <c r="D973" i="17"/>
  <c r="E973" i="17"/>
  <c r="B974" i="17"/>
  <c r="C974" i="17"/>
  <c r="D974" i="17"/>
  <c r="E974" i="17"/>
  <c r="B975" i="17"/>
  <c r="C975" i="17"/>
  <c r="D975" i="17"/>
  <c r="E975" i="17"/>
  <c r="B976" i="17"/>
  <c r="C976" i="17"/>
  <c r="D976" i="17"/>
  <c r="E976" i="17"/>
  <c r="B977" i="17"/>
  <c r="C977" i="17"/>
  <c r="D977" i="17"/>
  <c r="E977" i="17"/>
  <c r="B978" i="17"/>
  <c r="C978" i="17"/>
  <c r="D978" i="17"/>
  <c r="E978" i="17"/>
  <c r="B979" i="17"/>
  <c r="C979" i="17"/>
  <c r="D979" i="17"/>
  <c r="E979" i="17"/>
  <c r="B980" i="17"/>
  <c r="C980" i="17"/>
  <c r="D980" i="17"/>
  <c r="E980" i="17"/>
  <c r="B981" i="17"/>
  <c r="C981" i="17"/>
  <c r="D981" i="17"/>
  <c r="E981" i="17"/>
  <c r="B982" i="17"/>
  <c r="C982" i="17"/>
  <c r="D982" i="17"/>
  <c r="E982" i="17"/>
  <c r="B983" i="17"/>
  <c r="C983" i="17"/>
  <c r="D983" i="17"/>
  <c r="E983" i="17"/>
  <c r="B984" i="17"/>
  <c r="C984" i="17"/>
  <c r="D984" i="17"/>
  <c r="E984" i="17"/>
  <c r="B985" i="17"/>
  <c r="C985" i="17"/>
  <c r="D985" i="17"/>
  <c r="E985" i="17"/>
  <c r="B986" i="17"/>
  <c r="C986" i="17"/>
  <c r="D986" i="17"/>
  <c r="E986" i="17"/>
  <c r="B987" i="17"/>
  <c r="C987" i="17"/>
  <c r="D987" i="17"/>
  <c r="E987" i="17"/>
  <c r="B988" i="17"/>
  <c r="C988" i="17"/>
  <c r="D988" i="17"/>
  <c r="E988" i="17"/>
  <c r="B989" i="17"/>
  <c r="C989" i="17"/>
  <c r="D989" i="17"/>
  <c r="E989" i="17"/>
  <c r="B990" i="17"/>
  <c r="C990" i="17"/>
  <c r="D990" i="17"/>
  <c r="E990" i="17"/>
  <c r="B991" i="17"/>
  <c r="C991" i="17"/>
  <c r="D991" i="17"/>
  <c r="E991" i="17"/>
  <c r="B992" i="17"/>
  <c r="C992" i="17"/>
  <c r="D992" i="17"/>
  <c r="E992" i="17"/>
  <c r="B993" i="17"/>
  <c r="C993" i="17"/>
  <c r="D993" i="17"/>
  <c r="E993" i="17"/>
  <c r="B994" i="17"/>
  <c r="C994" i="17"/>
  <c r="D994" i="17"/>
  <c r="E994" i="17"/>
  <c r="B995" i="17"/>
  <c r="C995" i="17"/>
  <c r="D995" i="17"/>
  <c r="E995" i="17"/>
  <c r="B996" i="17"/>
  <c r="C996" i="17"/>
  <c r="D996" i="17"/>
  <c r="E996" i="17"/>
  <c r="B997" i="17"/>
  <c r="C997" i="17"/>
  <c r="D997" i="17"/>
  <c r="E997" i="17"/>
  <c r="B998" i="17"/>
  <c r="C998" i="17"/>
  <c r="D998" i="17"/>
  <c r="E998" i="17"/>
  <c r="B999" i="17"/>
  <c r="C999" i="17"/>
  <c r="D999" i="17"/>
  <c r="E999" i="17"/>
  <c r="B1000" i="17"/>
  <c r="C1000" i="17"/>
  <c r="D1000" i="17"/>
  <c r="E1000" i="17"/>
  <c r="B1001" i="17"/>
  <c r="C1001" i="17"/>
  <c r="D1001" i="17"/>
  <c r="E1001" i="17"/>
  <c r="B1002" i="17"/>
  <c r="C1002" i="17"/>
  <c r="D1002" i="17"/>
  <c r="E1002" i="17"/>
  <c r="B1003" i="17"/>
  <c r="C1003" i="17"/>
  <c r="D1003" i="17"/>
  <c r="E1003" i="17"/>
  <c r="B1004" i="17"/>
  <c r="C1004" i="17"/>
  <c r="D1004" i="17"/>
  <c r="E1004" i="17"/>
  <c r="B1005" i="17"/>
  <c r="C1005" i="17"/>
  <c r="D1005" i="17"/>
  <c r="E1005" i="17"/>
  <c r="B1006" i="17"/>
  <c r="C1006" i="17"/>
  <c r="D1006" i="17"/>
  <c r="E1006" i="17"/>
  <c r="B1007" i="17"/>
  <c r="C1007" i="17"/>
  <c r="D1007" i="17"/>
  <c r="E1007" i="17"/>
  <c r="B1008" i="17"/>
  <c r="C1008" i="17"/>
  <c r="D1008" i="17"/>
  <c r="E1008" i="17"/>
  <c r="B1009" i="17"/>
  <c r="C1009" i="17"/>
  <c r="D1009" i="17"/>
  <c r="E1009" i="17"/>
  <c r="B1010" i="17"/>
  <c r="C1010" i="17"/>
  <c r="D1010" i="17"/>
  <c r="E1010" i="17"/>
  <c r="B1011" i="17"/>
  <c r="C1011" i="17"/>
  <c r="D1011" i="17"/>
  <c r="E1011" i="17"/>
  <c r="B1012" i="17"/>
  <c r="C1012" i="17"/>
  <c r="D1012" i="17"/>
  <c r="E1012" i="17"/>
  <c r="B1013" i="17"/>
  <c r="C1013" i="17"/>
  <c r="D1013" i="17"/>
  <c r="E1013" i="17"/>
  <c r="B1014" i="17"/>
  <c r="C1014" i="17"/>
  <c r="D1014" i="17"/>
  <c r="E1014" i="17"/>
  <c r="B1015" i="17"/>
  <c r="C1015" i="17"/>
  <c r="D1015" i="17"/>
  <c r="E1015" i="17"/>
  <c r="B1016" i="17"/>
  <c r="C1016" i="17"/>
  <c r="D1016" i="17"/>
  <c r="E1016" i="17"/>
  <c r="B1017" i="17"/>
  <c r="C1017" i="17"/>
  <c r="D1017" i="17"/>
  <c r="E1017" i="17"/>
  <c r="B1018" i="17"/>
  <c r="C1018" i="17"/>
  <c r="D1018" i="17"/>
  <c r="E1018" i="17"/>
  <c r="B1019" i="17"/>
  <c r="C1019" i="17"/>
  <c r="D1019" i="17"/>
  <c r="E1019" i="17"/>
  <c r="B1020" i="17"/>
  <c r="C1020" i="17"/>
  <c r="D1020" i="17"/>
  <c r="E1020" i="17"/>
  <c r="B1021" i="17"/>
  <c r="C1021" i="17"/>
  <c r="D1021" i="17"/>
  <c r="E1021" i="17"/>
  <c r="B1022" i="17"/>
  <c r="C1022" i="17"/>
  <c r="D1022" i="17"/>
  <c r="E1022" i="17"/>
  <c r="B1023" i="17"/>
  <c r="C1023" i="17"/>
  <c r="D1023" i="17"/>
  <c r="E1023" i="17"/>
  <c r="B1024" i="17"/>
  <c r="C1024" i="17"/>
  <c r="D1024" i="17"/>
  <c r="E1024" i="17"/>
  <c r="B1025" i="17"/>
  <c r="C1025" i="17"/>
  <c r="D1025" i="17"/>
  <c r="E1025" i="17"/>
  <c r="B1026" i="17"/>
  <c r="C1026" i="17"/>
  <c r="D1026" i="17"/>
  <c r="E1026" i="17"/>
  <c r="B1027" i="17"/>
  <c r="C1027" i="17"/>
  <c r="D1027" i="17"/>
  <c r="E1027" i="17"/>
  <c r="B1028" i="17"/>
  <c r="C1028" i="17"/>
  <c r="D1028" i="17"/>
  <c r="E1028" i="17"/>
  <c r="B1029" i="17"/>
  <c r="C1029" i="17"/>
  <c r="D1029" i="17"/>
  <c r="E1029" i="17"/>
  <c r="B1030" i="17"/>
  <c r="C1030" i="17"/>
  <c r="D1030" i="17"/>
  <c r="E1030" i="17"/>
  <c r="B1031" i="17"/>
  <c r="C1031" i="17"/>
  <c r="D1031" i="17"/>
  <c r="E1031" i="17"/>
  <c r="B1032" i="17"/>
  <c r="C1032" i="17"/>
  <c r="D1032" i="17"/>
  <c r="E1032" i="17"/>
  <c r="B1033" i="17"/>
  <c r="C1033" i="17"/>
  <c r="D1033" i="17"/>
  <c r="E1033" i="17"/>
  <c r="B1034" i="17"/>
  <c r="C1034" i="17"/>
  <c r="D1034" i="17"/>
  <c r="E1034" i="17"/>
  <c r="B1035" i="17"/>
  <c r="C1035" i="17"/>
  <c r="D1035" i="17"/>
  <c r="E1035" i="17"/>
  <c r="B1036" i="17"/>
  <c r="C1036" i="17"/>
  <c r="D1036" i="17"/>
  <c r="E1036" i="17"/>
  <c r="B1037" i="17"/>
  <c r="C1037" i="17"/>
  <c r="D1037" i="17"/>
  <c r="E1037" i="17"/>
  <c r="B1038" i="17"/>
  <c r="C1038" i="17"/>
  <c r="D1038" i="17"/>
  <c r="E1038" i="17"/>
  <c r="B1039" i="17"/>
  <c r="C1039" i="17"/>
  <c r="D1039" i="17"/>
  <c r="E1039" i="17"/>
  <c r="B1040" i="17"/>
  <c r="C1040" i="17"/>
  <c r="D1040" i="17"/>
  <c r="E1040" i="17"/>
  <c r="B1041" i="17"/>
  <c r="C1041" i="17"/>
  <c r="D1041" i="17"/>
  <c r="E1041" i="17"/>
  <c r="B1042" i="17"/>
  <c r="C1042" i="17"/>
  <c r="D1042" i="17"/>
  <c r="E1042" i="17"/>
  <c r="B1043" i="17"/>
  <c r="C1043" i="17"/>
  <c r="D1043" i="17"/>
  <c r="E1043" i="17"/>
  <c r="B1044" i="17"/>
  <c r="C1044" i="17"/>
  <c r="D1044" i="17"/>
  <c r="E1044" i="17"/>
  <c r="B1045" i="17"/>
  <c r="C1045" i="17"/>
  <c r="D1045" i="17"/>
  <c r="E1045" i="17"/>
  <c r="B1046" i="17"/>
  <c r="C1046" i="17"/>
  <c r="D1046" i="17"/>
  <c r="E1046" i="17"/>
  <c r="B1047" i="17"/>
  <c r="C1047" i="17"/>
  <c r="D1047" i="17"/>
  <c r="E1047" i="17"/>
  <c r="B1048" i="17"/>
  <c r="C1048" i="17"/>
  <c r="D1048" i="17"/>
  <c r="E1048" i="17"/>
  <c r="B1049" i="17"/>
  <c r="C1049" i="17"/>
  <c r="D1049" i="17"/>
  <c r="E1049" i="17"/>
  <c r="B1050" i="17"/>
  <c r="C1050" i="17"/>
  <c r="D1050" i="17"/>
  <c r="E1050" i="17"/>
  <c r="B1051" i="17"/>
  <c r="C1051" i="17"/>
  <c r="D1051" i="17"/>
  <c r="E1051" i="17"/>
  <c r="B1052" i="17"/>
  <c r="C1052" i="17"/>
  <c r="D1052" i="17"/>
  <c r="E1052" i="17"/>
  <c r="B1053" i="17"/>
  <c r="C1053" i="17"/>
  <c r="D1053" i="17"/>
  <c r="E1053" i="17"/>
  <c r="B1054" i="17"/>
  <c r="C1054" i="17"/>
  <c r="D1054" i="17"/>
  <c r="E1054" i="17"/>
  <c r="B1055" i="17"/>
  <c r="C1055" i="17"/>
  <c r="D1055" i="17"/>
  <c r="E1055" i="17"/>
  <c r="B1056" i="17"/>
  <c r="C1056" i="17"/>
  <c r="D1056" i="17"/>
  <c r="E1056" i="17"/>
  <c r="B1057" i="17"/>
  <c r="C1057" i="17"/>
  <c r="D1057" i="17"/>
  <c r="E1057" i="17"/>
  <c r="B1058" i="17"/>
  <c r="C1058" i="17"/>
  <c r="D1058" i="17"/>
  <c r="E1058" i="17"/>
  <c r="B1059" i="17"/>
  <c r="C1059" i="17"/>
  <c r="D1059" i="17"/>
  <c r="E1059" i="17"/>
  <c r="B1060" i="17"/>
  <c r="C1060" i="17"/>
  <c r="D1060" i="17"/>
  <c r="E1060" i="17"/>
  <c r="B1061" i="17"/>
  <c r="C1061" i="17"/>
  <c r="D1061" i="17"/>
  <c r="E1061" i="17"/>
  <c r="B1062" i="17"/>
  <c r="C1062" i="17"/>
  <c r="D1062" i="17"/>
  <c r="E1062" i="17"/>
  <c r="B1063" i="17"/>
  <c r="C1063" i="17"/>
  <c r="D1063" i="17"/>
  <c r="E1063" i="17"/>
  <c r="B1064" i="17"/>
  <c r="C1064" i="17"/>
  <c r="D1064" i="17"/>
  <c r="E1064" i="17"/>
  <c r="B1065" i="17"/>
  <c r="C1065" i="17"/>
  <c r="D1065" i="17"/>
  <c r="E1065" i="17"/>
  <c r="B1066" i="17"/>
  <c r="C1066" i="17"/>
  <c r="D1066" i="17"/>
  <c r="E1066" i="17"/>
  <c r="B1067" i="17"/>
  <c r="C1067" i="17"/>
  <c r="D1067" i="17"/>
  <c r="E1067" i="17"/>
  <c r="B1068" i="17"/>
  <c r="C1068" i="17"/>
  <c r="D1068" i="17"/>
  <c r="E1068" i="17"/>
  <c r="B1069" i="17"/>
  <c r="C1069" i="17"/>
  <c r="D1069" i="17"/>
  <c r="E1069" i="17"/>
  <c r="B1070" i="17"/>
  <c r="C1070" i="17"/>
  <c r="D1070" i="17"/>
  <c r="E1070" i="17"/>
  <c r="B1071" i="17"/>
  <c r="C1071" i="17"/>
  <c r="D1071" i="17"/>
  <c r="E1071" i="17"/>
  <c r="B1072" i="17"/>
  <c r="C1072" i="17"/>
  <c r="D1072" i="17"/>
  <c r="E1072" i="17"/>
  <c r="B1073" i="17"/>
  <c r="C1073" i="17"/>
  <c r="D1073" i="17"/>
  <c r="E1073" i="17"/>
  <c r="B1074" i="17"/>
  <c r="C1074" i="17"/>
  <c r="D1074" i="17"/>
  <c r="E1074" i="17"/>
  <c r="B1075" i="17"/>
  <c r="C1075" i="17"/>
  <c r="D1075" i="17"/>
  <c r="E1075" i="17"/>
  <c r="B1076" i="17"/>
  <c r="C1076" i="17"/>
  <c r="D1076" i="17"/>
  <c r="E1076" i="17"/>
  <c r="B1077" i="17"/>
  <c r="C1077" i="17"/>
  <c r="D1077" i="17"/>
  <c r="E1077" i="17"/>
  <c r="B1078" i="17"/>
  <c r="C1078" i="17"/>
  <c r="D1078" i="17"/>
  <c r="E1078" i="17"/>
  <c r="B1079" i="17"/>
  <c r="C1079" i="17"/>
  <c r="D1079" i="17"/>
  <c r="E1079" i="17"/>
  <c r="B1080" i="17"/>
  <c r="C1080" i="17"/>
  <c r="D1080" i="17"/>
  <c r="E1080" i="17"/>
  <c r="B1081" i="17"/>
  <c r="C1081" i="17"/>
  <c r="D1081" i="17"/>
  <c r="E1081" i="17"/>
  <c r="B1082" i="17"/>
  <c r="C1082" i="17"/>
  <c r="D1082" i="17"/>
  <c r="E1082" i="17"/>
  <c r="B1083" i="17"/>
  <c r="C1083" i="17"/>
  <c r="D1083" i="17"/>
  <c r="E1083" i="17"/>
  <c r="B1084" i="17"/>
  <c r="C1084" i="17"/>
  <c r="D1084" i="17"/>
  <c r="E1084" i="17"/>
  <c r="B1085" i="17"/>
  <c r="C1085" i="17"/>
  <c r="D1085" i="17"/>
  <c r="E1085" i="17"/>
  <c r="B1086" i="17"/>
  <c r="C1086" i="17"/>
  <c r="D1086" i="17"/>
  <c r="E1086" i="17"/>
  <c r="B1087" i="17"/>
  <c r="C1087" i="17"/>
  <c r="D1087" i="17"/>
  <c r="E1087" i="17"/>
  <c r="B1088" i="17"/>
  <c r="C1088" i="17"/>
  <c r="D1088" i="17"/>
  <c r="E1088" i="17"/>
  <c r="B1089" i="17"/>
  <c r="C1089" i="17"/>
  <c r="D1089" i="17"/>
  <c r="E1089" i="17"/>
  <c r="B1090" i="17"/>
  <c r="C1090" i="17"/>
  <c r="D1090" i="17"/>
  <c r="E1090" i="17"/>
  <c r="B1091" i="17"/>
  <c r="C1091" i="17"/>
  <c r="D1091" i="17"/>
  <c r="E1091" i="17"/>
  <c r="B1092" i="17"/>
  <c r="C1092" i="17"/>
  <c r="D1092" i="17"/>
  <c r="E1092" i="17"/>
  <c r="B1093" i="17"/>
  <c r="C1093" i="17"/>
  <c r="D1093" i="17"/>
  <c r="E1093" i="17"/>
  <c r="B1094" i="17"/>
  <c r="C1094" i="17"/>
  <c r="D1094" i="17"/>
  <c r="E1094" i="17"/>
  <c r="B1095" i="17"/>
  <c r="C1095" i="17"/>
  <c r="D1095" i="17"/>
  <c r="E1095" i="17"/>
  <c r="B1096" i="17"/>
  <c r="C1096" i="17"/>
  <c r="D1096" i="17"/>
  <c r="E1096" i="17"/>
  <c r="B1097" i="17"/>
  <c r="C1097" i="17"/>
  <c r="D1097" i="17"/>
  <c r="E1097" i="17"/>
  <c r="B1098" i="17"/>
  <c r="C1098" i="17"/>
  <c r="D1098" i="17"/>
  <c r="E1098" i="17"/>
  <c r="B1099" i="17"/>
  <c r="C1099" i="17"/>
  <c r="D1099" i="17"/>
  <c r="E1099" i="17"/>
  <c r="B1100" i="17"/>
  <c r="C1100" i="17"/>
  <c r="D1100" i="17"/>
  <c r="E1100" i="17"/>
  <c r="B1101" i="17"/>
  <c r="C1101" i="17"/>
  <c r="D1101" i="17"/>
  <c r="E1101" i="17"/>
  <c r="B1102" i="17"/>
  <c r="C1102" i="17"/>
  <c r="D1102" i="17"/>
  <c r="E1102" i="17"/>
  <c r="B1103" i="17"/>
  <c r="C1103" i="17"/>
  <c r="D1103" i="17"/>
  <c r="E1103" i="17"/>
  <c r="B1104" i="17"/>
  <c r="C1104" i="17"/>
  <c r="D1104" i="17"/>
  <c r="E1104" i="17"/>
  <c r="B1105" i="17"/>
  <c r="C1105" i="17"/>
  <c r="D1105" i="17"/>
  <c r="E1105" i="17"/>
  <c r="B1106" i="17"/>
  <c r="C1106" i="17"/>
  <c r="D1106" i="17"/>
  <c r="E1106" i="17"/>
  <c r="B1107" i="17"/>
  <c r="C1107" i="17"/>
  <c r="D1107" i="17"/>
  <c r="E1107" i="17"/>
  <c r="B1108" i="17"/>
  <c r="C1108" i="17"/>
  <c r="D1108" i="17"/>
  <c r="E1108" i="17"/>
  <c r="B1109" i="17"/>
  <c r="C1109" i="17"/>
  <c r="D1109" i="17"/>
  <c r="E1109" i="17"/>
  <c r="B1110" i="17"/>
  <c r="C1110" i="17"/>
  <c r="D1110" i="17"/>
  <c r="E1110" i="17"/>
  <c r="B1111" i="17"/>
  <c r="C1111" i="17"/>
  <c r="D1111" i="17"/>
  <c r="E1111" i="17"/>
  <c r="B1112" i="17"/>
  <c r="C1112" i="17"/>
  <c r="D1112" i="17"/>
  <c r="E1112" i="17"/>
  <c r="B1113" i="17"/>
  <c r="C1113" i="17"/>
  <c r="D1113" i="17"/>
  <c r="E1113" i="17"/>
  <c r="B1114" i="17"/>
  <c r="C1114" i="17"/>
  <c r="D1114" i="17"/>
  <c r="E1114" i="17"/>
  <c r="B1115" i="17"/>
  <c r="C1115" i="17"/>
  <c r="D1115" i="17"/>
  <c r="E1115" i="17"/>
  <c r="B1116" i="17"/>
  <c r="C1116" i="17"/>
  <c r="D1116" i="17"/>
  <c r="E1116" i="17"/>
  <c r="B1117" i="17"/>
  <c r="C1117" i="17"/>
  <c r="D1117" i="17"/>
  <c r="E1117" i="17"/>
  <c r="B1118" i="17"/>
  <c r="C1118" i="17"/>
  <c r="D1118" i="17"/>
  <c r="E1118" i="17"/>
  <c r="B1119" i="17"/>
  <c r="C1119" i="17"/>
  <c r="D1119" i="17"/>
  <c r="E1119" i="17"/>
  <c r="B1120" i="17"/>
  <c r="C1120" i="17"/>
  <c r="D1120" i="17"/>
  <c r="E1120" i="17"/>
  <c r="B1121" i="17"/>
  <c r="C1121" i="17"/>
  <c r="D1121" i="17"/>
  <c r="E1121" i="17"/>
  <c r="B1122" i="17"/>
  <c r="C1122" i="17"/>
  <c r="D1122" i="17"/>
  <c r="E1122" i="17"/>
  <c r="B1123" i="17"/>
  <c r="C1123" i="17"/>
  <c r="D1123" i="17"/>
  <c r="E1123" i="17"/>
  <c r="B1124" i="17"/>
  <c r="C1124" i="17"/>
  <c r="D1124" i="17"/>
  <c r="E1124" i="17"/>
  <c r="B1125" i="17"/>
  <c r="C1125" i="17"/>
  <c r="D1125" i="17"/>
  <c r="E1125" i="17"/>
  <c r="B1126" i="17"/>
  <c r="C1126" i="17"/>
  <c r="D1126" i="17"/>
  <c r="E1126" i="17"/>
  <c r="B1127" i="17"/>
  <c r="C1127" i="17"/>
  <c r="D1127" i="17"/>
  <c r="E1127" i="17"/>
  <c r="B1128" i="17"/>
  <c r="C1128" i="17"/>
  <c r="D1128" i="17"/>
  <c r="E1128" i="17"/>
  <c r="B1129" i="17"/>
  <c r="C1129" i="17"/>
  <c r="D1129" i="17"/>
  <c r="E1129" i="17"/>
  <c r="B1130" i="17"/>
  <c r="C1130" i="17"/>
  <c r="D1130" i="17"/>
  <c r="E1130" i="17"/>
  <c r="B1131" i="17"/>
  <c r="C1131" i="17"/>
  <c r="D1131" i="17"/>
  <c r="E1131" i="17"/>
  <c r="B1132" i="17"/>
  <c r="C1132" i="17"/>
  <c r="D1132" i="17"/>
  <c r="E1132" i="17"/>
  <c r="B1133" i="17"/>
  <c r="C1133" i="17"/>
  <c r="D1133" i="17"/>
  <c r="E1133" i="17"/>
  <c r="B1134" i="17"/>
  <c r="C1134" i="17"/>
  <c r="D1134" i="17"/>
  <c r="E1134" i="17"/>
  <c r="B1135" i="17"/>
  <c r="C1135" i="17"/>
  <c r="D1135" i="17"/>
  <c r="E1135" i="17"/>
  <c r="B1136" i="17"/>
  <c r="C1136" i="17"/>
  <c r="D1136" i="17"/>
  <c r="E1136" i="17"/>
  <c r="B1137" i="17"/>
  <c r="C1137" i="17"/>
  <c r="D1137" i="17"/>
  <c r="E1137" i="17"/>
  <c r="B1138" i="17"/>
  <c r="C1138" i="17"/>
  <c r="D1138" i="17"/>
  <c r="E1138" i="17"/>
  <c r="B1139" i="17"/>
  <c r="C1139" i="17"/>
  <c r="D1139" i="17"/>
  <c r="E1139" i="17"/>
  <c r="B1140" i="17"/>
  <c r="C1140" i="17"/>
  <c r="D1140" i="17"/>
  <c r="E1140" i="17"/>
  <c r="B1141" i="17"/>
  <c r="C1141" i="17"/>
  <c r="D1141" i="17"/>
  <c r="E1141" i="17"/>
  <c r="B1142" i="17"/>
  <c r="C1142" i="17"/>
  <c r="D1142" i="17"/>
  <c r="E1142" i="17"/>
  <c r="B1143" i="17"/>
  <c r="C1143" i="17"/>
  <c r="D1143" i="17"/>
  <c r="E1143" i="17"/>
  <c r="B1144" i="17"/>
  <c r="C1144" i="17"/>
  <c r="D1144" i="17"/>
  <c r="E1144" i="17"/>
  <c r="B1145" i="17"/>
  <c r="C1145" i="17"/>
  <c r="D1145" i="17"/>
  <c r="E1145" i="17"/>
  <c r="B1146" i="17"/>
  <c r="C1146" i="17"/>
  <c r="D1146" i="17"/>
  <c r="E1146" i="17"/>
  <c r="B1147" i="17"/>
  <c r="C1147" i="17"/>
  <c r="D1147" i="17"/>
  <c r="E1147" i="17"/>
  <c r="B1148" i="17"/>
  <c r="C1148" i="17"/>
  <c r="D1148" i="17"/>
  <c r="E1148" i="17"/>
  <c r="B1149" i="17"/>
  <c r="C1149" i="17"/>
  <c r="D1149" i="17"/>
  <c r="E1149" i="17"/>
  <c r="B1150" i="17"/>
  <c r="C1150" i="17"/>
  <c r="D1150" i="17"/>
  <c r="E1150" i="17"/>
  <c r="B1151" i="17"/>
  <c r="C1151" i="17"/>
  <c r="D1151" i="17"/>
  <c r="E1151" i="17"/>
  <c r="B1152" i="17"/>
  <c r="C1152" i="17"/>
  <c r="D1152" i="17"/>
  <c r="E1152" i="17"/>
  <c r="B1153" i="17"/>
  <c r="C1153" i="17"/>
  <c r="D1153" i="17"/>
  <c r="E1153" i="17"/>
  <c r="B1154" i="17"/>
  <c r="C1154" i="17"/>
  <c r="D1154" i="17"/>
  <c r="E1154" i="17"/>
  <c r="B1155" i="17"/>
  <c r="C1155" i="17"/>
  <c r="D1155" i="17"/>
  <c r="E1155" i="17"/>
  <c r="B1156" i="17"/>
  <c r="C1156" i="17"/>
  <c r="D1156" i="17"/>
  <c r="E1156" i="17"/>
  <c r="B1157" i="17"/>
  <c r="C1157" i="17"/>
  <c r="D1157" i="17"/>
  <c r="E1157" i="17"/>
  <c r="B1158" i="17"/>
  <c r="C1158" i="17"/>
  <c r="D1158" i="17"/>
  <c r="E1158" i="17"/>
  <c r="B1159" i="17"/>
  <c r="C1159" i="17"/>
  <c r="D1159" i="17"/>
  <c r="E1159" i="17"/>
  <c r="B1160" i="17"/>
  <c r="C1160" i="17"/>
  <c r="D1160" i="17"/>
  <c r="E1160" i="17"/>
  <c r="B1161" i="17"/>
  <c r="C1161" i="17"/>
  <c r="D1161" i="17"/>
  <c r="E1161" i="17"/>
  <c r="B1162" i="17"/>
  <c r="C1162" i="17"/>
  <c r="D1162" i="17"/>
  <c r="E1162" i="17"/>
  <c r="B1163" i="17"/>
  <c r="C1163" i="17"/>
  <c r="D1163" i="17"/>
  <c r="E1163" i="17"/>
  <c r="B1164" i="17"/>
  <c r="C1164" i="17"/>
  <c r="D1164" i="17"/>
  <c r="E1164" i="17"/>
  <c r="B1165" i="17"/>
  <c r="C1165" i="17"/>
  <c r="D1165" i="17"/>
  <c r="E1165" i="17"/>
  <c r="B1166" i="17"/>
  <c r="C1166" i="17"/>
  <c r="D1166" i="17"/>
  <c r="E1166" i="17"/>
  <c r="B1167" i="17"/>
  <c r="C1167" i="17"/>
  <c r="D1167" i="17"/>
  <c r="E1167" i="17"/>
  <c r="B1168" i="17"/>
  <c r="C1168" i="17"/>
  <c r="D1168" i="17"/>
  <c r="E1168" i="17"/>
  <c r="B1169" i="17"/>
  <c r="C1169" i="17"/>
  <c r="D1169" i="17"/>
  <c r="E1169" i="17"/>
  <c r="B1170" i="17"/>
  <c r="C1170" i="17"/>
  <c r="D1170" i="17"/>
  <c r="E1170" i="17"/>
  <c r="B1171" i="17"/>
  <c r="C1171" i="17"/>
  <c r="D1171" i="17"/>
  <c r="E1171" i="17"/>
  <c r="B1172" i="17"/>
  <c r="C1172" i="17"/>
  <c r="D1172" i="17"/>
  <c r="E1172" i="17"/>
  <c r="B1173" i="17"/>
  <c r="C1173" i="17"/>
  <c r="D1173" i="17"/>
  <c r="E1173" i="17"/>
  <c r="B1174" i="17"/>
  <c r="C1174" i="17"/>
  <c r="D1174" i="17"/>
  <c r="E1174" i="17"/>
  <c r="B1175" i="17"/>
  <c r="C1175" i="17"/>
  <c r="D1175" i="17"/>
  <c r="E1175" i="17"/>
  <c r="B1176" i="17"/>
  <c r="C1176" i="17"/>
  <c r="D1176" i="17"/>
  <c r="E1176" i="17"/>
  <c r="B1177" i="17"/>
  <c r="C1177" i="17"/>
  <c r="D1177" i="17"/>
  <c r="E1177" i="17"/>
  <c r="B1178" i="17"/>
  <c r="C1178" i="17"/>
  <c r="D1178" i="17"/>
  <c r="E1178" i="17"/>
  <c r="B1179" i="17"/>
  <c r="C1179" i="17"/>
  <c r="D1179" i="17"/>
  <c r="E1179" i="17"/>
  <c r="B1180" i="17"/>
  <c r="C1180" i="17"/>
  <c r="D1180" i="17"/>
  <c r="E1180" i="17"/>
  <c r="B1181" i="17"/>
  <c r="C1181" i="17"/>
  <c r="D1181" i="17"/>
  <c r="E1181" i="17"/>
  <c r="B1182" i="17"/>
  <c r="C1182" i="17"/>
  <c r="D1182" i="17"/>
  <c r="E1182" i="17"/>
  <c r="B1183" i="17"/>
  <c r="C1183" i="17"/>
  <c r="D1183" i="17"/>
  <c r="E1183" i="17"/>
  <c r="B1184" i="17"/>
  <c r="C1184" i="17"/>
  <c r="D1184" i="17"/>
  <c r="E1184" i="17"/>
  <c r="B1185" i="17"/>
  <c r="C1185" i="17"/>
  <c r="D1185" i="17"/>
  <c r="E1185" i="17"/>
  <c r="B1186" i="17"/>
  <c r="C1186" i="17"/>
  <c r="D1186" i="17"/>
  <c r="E1186" i="17"/>
  <c r="B1187" i="17"/>
  <c r="C1187" i="17"/>
  <c r="D1187" i="17"/>
  <c r="E1187" i="17"/>
  <c r="B1188" i="17"/>
  <c r="C1188" i="17"/>
  <c r="D1188" i="17"/>
  <c r="E1188" i="17"/>
  <c r="B1189" i="17"/>
  <c r="C1189" i="17"/>
  <c r="D1189" i="17"/>
  <c r="E1189" i="17"/>
  <c r="B1190" i="17"/>
  <c r="C1190" i="17"/>
  <c r="D1190" i="17"/>
  <c r="E1190" i="17"/>
  <c r="B1191" i="17"/>
  <c r="C1191" i="17"/>
  <c r="D1191" i="17"/>
  <c r="E1191" i="17"/>
  <c r="B1192" i="17"/>
  <c r="C1192" i="17"/>
  <c r="D1192" i="17"/>
  <c r="E1192" i="17"/>
  <c r="B1193" i="17"/>
  <c r="C1193" i="17"/>
  <c r="D1193" i="17"/>
  <c r="E1193" i="17"/>
  <c r="B1194" i="17"/>
  <c r="C1194" i="17"/>
  <c r="D1194" i="17"/>
  <c r="E1194" i="17"/>
  <c r="B1195" i="17"/>
  <c r="C1195" i="17"/>
  <c r="D1195" i="17"/>
  <c r="E1195" i="17"/>
  <c r="B1196" i="17"/>
  <c r="C1196" i="17"/>
  <c r="D1196" i="17"/>
  <c r="E1196" i="17"/>
  <c r="B1197" i="17"/>
  <c r="C1197" i="17"/>
  <c r="D1197" i="17"/>
  <c r="E1197" i="17"/>
  <c r="B1198" i="17"/>
  <c r="C1198" i="17"/>
  <c r="D1198" i="17"/>
  <c r="E1198" i="17"/>
  <c r="B1199" i="17"/>
  <c r="C1199" i="17"/>
  <c r="D1199" i="17"/>
  <c r="E1199" i="17"/>
  <c r="B1200" i="17"/>
  <c r="C1200" i="17"/>
  <c r="D1200" i="17"/>
  <c r="E1200" i="17"/>
  <c r="B1201" i="17"/>
  <c r="C1201" i="17"/>
  <c r="D1201" i="17"/>
  <c r="E1201" i="17"/>
  <c r="B1202" i="17"/>
  <c r="C1202" i="17"/>
  <c r="D1202" i="17"/>
  <c r="E1202" i="17"/>
  <c r="B1203" i="17"/>
  <c r="C1203" i="17"/>
  <c r="D1203" i="17"/>
  <c r="E1203" i="17"/>
  <c r="B1204" i="17"/>
  <c r="C1204" i="17"/>
  <c r="D1204" i="17"/>
  <c r="E1204" i="17"/>
  <c r="B1205" i="17"/>
  <c r="C1205" i="17"/>
  <c r="D1205" i="17"/>
  <c r="E1205" i="17"/>
  <c r="B1206" i="17"/>
  <c r="C1206" i="17"/>
  <c r="D1206" i="17"/>
  <c r="E1206" i="17"/>
  <c r="B1207" i="17"/>
  <c r="C1207" i="17"/>
  <c r="D1207" i="17"/>
  <c r="E1207" i="17"/>
  <c r="B1208" i="17"/>
  <c r="C1208" i="17"/>
  <c r="D1208" i="17"/>
  <c r="E1208" i="17"/>
  <c r="B1209" i="17"/>
  <c r="C1209" i="17"/>
  <c r="D1209" i="17"/>
  <c r="E1209" i="17"/>
  <c r="B1210" i="17"/>
  <c r="C1210" i="17"/>
  <c r="D1210" i="17"/>
  <c r="E1210" i="17"/>
  <c r="B1211" i="17"/>
  <c r="C1211" i="17"/>
  <c r="D1211" i="17"/>
  <c r="E1211" i="17"/>
  <c r="B1212" i="17"/>
  <c r="C1212" i="17"/>
  <c r="D1212" i="17"/>
  <c r="E1212" i="17"/>
  <c r="B1213" i="17"/>
  <c r="C1213" i="17"/>
  <c r="D1213" i="17"/>
  <c r="E1213" i="17"/>
  <c r="C1214" i="17"/>
  <c r="D1214" i="17"/>
  <c r="E1214" i="17"/>
  <c r="C1215" i="17"/>
  <c r="D1215" i="17"/>
  <c r="E1215" i="17"/>
  <c r="C1216" i="17"/>
  <c r="D1216" i="17"/>
  <c r="E1216" i="17"/>
  <c r="C1217" i="17"/>
  <c r="D1217" i="17"/>
  <c r="E1217" i="17"/>
  <c r="C1218" i="17"/>
  <c r="D1218" i="17"/>
  <c r="E1218" i="17"/>
  <c r="C1219" i="17"/>
  <c r="D1219" i="17"/>
  <c r="E1219" i="17"/>
  <c r="C1220" i="17"/>
  <c r="D1220" i="17"/>
  <c r="E1220" i="17"/>
  <c r="C1221" i="17"/>
  <c r="D1221" i="17"/>
  <c r="E1221" i="17"/>
  <c r="C1222" i="17"/>
  <c r="D1222" i="17"/>
  <c r="E1222" i="17"/>
  <c r="C1223" i="17"/>
  <c r="D1223" i="17"/>
  <c r="E1223" i="17"/>
  <c r="B1224" i="17"/>
  <c r="C1224" i="17"/>
  <c r="D1224" i="17"/>
  <c r="E1224" i="17"/>
  <c r="B1225" i="17"/>
  <c r="C1225" i="17"/>
  <c r="D1225" i="17"/>
  <c r="E1225" i="17"/>
  <c r="C1226" i="17"/>
  <c r="D1226" i="17"/>
  <c r="E1226" i="17"/>
  <c r="B1227" i="17"/>
  <c r="C1227" i="17"/>
  <c r="D1227" i="17"/>
  <c r="E1227" i="17"/>
  <c r="C1228" i="17"/>
  <c r="D1228" i="17"/>
  <c r="E1228" i="17"/>
  <c r="C1229" i="17"/>
  <c r="D1229" i="17"/>
  <c r="E1229" i="17"/>
  <c r="C1230" i="17"/>
  <c r="D1230" i="17"/>
  <c r="E1230" i="17"/>
  <c r="C1231" i="17"/>
  <c r="D1231" i="17"/>
  <c r="E1231" i="17"/>
  <c r="C1232" i="17"/>
  <c r="D1232" i="17"/>
  <c r="E1232" i="17"/>
  <c r="C1233" i="17"/>
  <c r="D1233" i="17"/>
  <c r="E1233" i="17"/>
  <c r="B1234" i="17"/>
  <c r="C1234" i="17"/>
  <c r="D1234" i="17"/>
  <c r="E1234" i="17"/>
  <c r="B1235" i="17"/>
  <c r="C1235" i="17"/>
  <c r="D1235" i="17"/>
  <c r="E1235" i="17"/>
  <c r="B1236" i="17"/>
  <c r="C1236" i="17"/>
  <c r="D1236" i="17"/>
  <c r="E1236" i="17"/>
  <c r="B1237" i="17"/>
  <c r="C1237" i="17"/>
  <c r="D1237" i="17"/>
  <c r="E1237" i="17"/>
  <c r="C1238" i="17"/>
  <c r="D1238" i="17"/>
  <c r="E1238" i="17"/>
  <c r="C1239" i="17"/>
  <c r="D1239" i="17"/>
  <c r="E1239" i="17"/>
  <c r="C1240" i="17"/>
  <c r="D1240" i="17"/>
  <c r="E1240" i="17"/>
  <c r="C1241" i="17"/>
  <c r="D1241" i="17"/>
  <c r="E1241" i="17"/>
  <c r="C1242" i="17"/>
  <c r="D1242" i="17"/>
  <c r="E1242" i="17"/>
  <c r="C1243" i="17"/>
  <c r="D1243" i="17"/>
  <c r="E1243" i="17"/>
  <c r="C1244" i="17"/>
  <c r="D1244" i="17"/>
  <c r="E1244" i="17"/>
  <c r="C1245" i="17"/>
  <c r="D1245" i="17"/>
  <c r="E1245" i="17"/>
  <c r="C1246" i="17"/>
  <c r="D1246" i="17"/>
  <c r="E1246" i="17"/>
  <c r="C1247" i="17"/>
  <c r="D1247" i="17"/>
  <c r="E1247" i="17"/>
  <c r="C1248" i="17"/>
  <c r="D1248" i="17"/>
  <c r="E1248" i="17"/>
  <c r="C1249" i="17"/>
  <c r="D1249" i="17"/>
  <c r="E1249" i="17"/>
  <c r="C1250" i="17"/>
  <c r="D1250" i="17"/>
  <c r="E1250" i="17"/>
  <c r="C1251" i="17"/>
  <c r="D1251" i="17"/>
  <c r="E1251" i="17"/>
  <c r="C1252" i="17"/>
  <c r="D1252" i="17"/>
  <c r="E1252" i="17"/>
  <c r="C1253" i="17"/>
  <c r="D1253" i="17"/>
  <c r="E1253" i="17"/>
  <c r="C1254" i="17"/>
  <c r="D1254" i="17"/>
  <c r="E1254" i="17"/>
  <c r="C1255" i="17"/>
  <c r="D1255" i="17"/>
  <c r="E1255" i="17"/>
  <c r="C1256" i="17"/>
  <c r="D1256" i="17"/>
  <c r="E1256" i="17"/>
  <c r="C1257" i="17"/>
  <c r="D1257" i="17"/>
  <c r="E1257" i="17"/>
  <c r="C1258" i="17"/>
  <c r="D1258" i="17"/>
  <c r="E1258" i="17"/>
  <c r="C1259" i="17"/>
  <c r="D1259" i="17"/>
  <c r="E1259" i="17"/>
  <c r="C1260" i="17"/>
  <c r="D1260" i="17"/>
  <c r="E1260" i="17"/>
  <c r="C1261" i="17"/>
  <c r="D1261" i="17"/>
  <c r="E1261" i="17"/>
  <c r="C1262" i="17"/>
  <c r="D1262" i="17"/>
  <c r="E1262" i="17"/>
  <c r="C1263" i="17"/>
  <c r="D1263" i="17"/>
  <c r="E1263" i="17"/>
  <c r="C1264" i="17"/>
  <c r="D1264" i="17"/>
  <c r="E1264" i="17"/>
  <c r="C1265" i="17"/>
  <c r="D1265" i="17"/>
  <c r="E1265" i="17"/>
  <c r="C1266" i="17"/>
  <c r="D1266" i="17"/>
  <c r="E1266" i="17"/>
  <c r="C1267" i="17"/>
  <c r="D1267" i="17"/>
  <c r="E1267" i="17"/>
  <c r="C1268" i="17"/>
  <c r="D1268" i="17"/>
  <c r="E1268" i="17"/>
  <c r="C1269" i="17"/>
  <c r="D1269" i="17"/>
  <c r="E1269" i="17"/>
  <c r="C1270" i="17"/>
  <c r="D1270" i="17"/>
  <c r="E1270" i="17"/>
  <c r="C1271" i="17"/>
  <c r="D1271" i="17"/>
  <c r="E1271" i="17"/>
  <c r="C1272" i="17"/>
  <c r="D1272" i="17"/>
  <c r="E1272" i="17"/>
  <c r="C1273" i="17"/>
  <c r="D1273" i="17"/>
  <c r="E1273" i="17"/>
  <c r="C1274" i="17"/>
  <c r="D1274" i="17"/>
  <c r="E1274" i="17"/>
  <c r="C1275" i="17"/>
  <c r="D1275" i="17"/>
  <c r="E1275" i="17"/>
  <c r="C1276" i="17"/>
  <c r="D1276" i="17"/>
  <c r="E1276" i="17"/>
  <c r="C1277" i="17"/>
  <c r="D1277" i="17"/>
  <c r="E1277" i="17"/>
  <c r="C1278" i="17"/>
  <c r="D1278" i="17"/>
  <c r="E1278" i="17"/>
  <c r="C1279" i="17"/>
  <c r="D1279" i="17"/>
  <c r="E1279" i="17"/>
  <c r="C1280" i="17"/>
  <c r="D1280" i="17"/>
  <c r="E1280" i="17"/>
  <c r="C1281" i="17"/>
  <c r="D1281" i="17"/>
  <c r="E1281" i="17"/>
  <c r="C1282" i="17"/>
  <c r="D1282" i="17"/>
  <c r="E1282" i="17"/>
  <c r="C1283" i="17"/>
  <c r="D1283" i="17"/>
  <c r="E1283" i="17"/>
  <c r="C1284" i="17"/>
  <c r="D1284" i="17"/>
  <c r="E1284" i="17"/>
  <c r="C1285" i="17"/>
  <c r="D1285" i="17"/>
  <c r="E1285" i="17"/>
  <c r="C1286" i="17"/>
  <c r="D1286" i="17"/>
  <c r="E1286" i="17"/>
  <c r="C1287" i="17"/>
  <c r="D1287" i="17"/>
  <c r="E1287" i="17"/>
  <c r="C1288" i="17"/>
  <c r="D1288" i="17"/>
  <c r="E1288" i="17"/>
  <c r="C1289" i="17"/>
  <c r="D1289" i="17"/>
  <c r="E1289" i="17"/>
  <c r="C1290" i="17"/>
  <c r="D1290" i="17"/>
  <c r="E1290" i="17"/>
  <c r="C1291" i="17"/>
  <c r="D1291" i="17"/>
  <c r="E1291" i="17"/>
  <c r="C1292" i="17"/>
  <c r="D1292" i="17"/>
  <c r="E1292" i="17"/>
  <c r="C1293" i="17"/>
  <c r="D1293" i="17"/>
  <c r="E1293" i="17"/>
  <c r="C1294" i="17"/>
  <c r="D1294" i="17"/>
  <c r="E1294" i="17"/>
  <c r="C1295" i="17"/>
  <c r="D1295" i="17"/>
  <c r="E1295" i="17"/>
  <c r="C1296" i="17"/>
  <c r="D1296" i="17"/>
  <c r="E1296" i="17"/>
  <c r="C1297" i="17"/>
  <c r="D1297" i="17"/>
  <c r="E1297" i="17"/>
  <c r="C1298" i="17"/>
  <c r="D1298" i="17"/>
  <c r="E1298" i="17"/>
  <c r="C1299" i="17"/>
  <c r="D1299" i="17"/>
  <c r="E1299" i="17"/>
  <c r="C1300" i="17"/>
  <c r="D1300" i="17"/>
  <c r="E1300" i="17"/>
  <c r="C1301" i="17"/>
  <c r="D1301" i="17"/>
  <c r="E1301" i="17"/>
  <c r="C1302" i="17"/>
  <c r="D1302" i="17"/>
  <c r="E1302" i="17"/>
  <c r="C1303" i="17"/>
  <c r="D1303" i="17"/>
  <c r="E1303" i="17"/>
  <c r="C1304" i="17"/>
  <c r="D1304" i="17"/>
  <c r="E1304" i="17"/>
  <c r="C1305" i="17"/>
  <c r="D1305" i="17"/>
  <c r="E1305" i="17"/>
  <c r="C1376" i="17"/>
  <c r="D1376" i="17"/>
  <c r="E1376" i="17"/>
  <c r="C1377" i="17"/>
  <c r="D1377" i="17"/>
  <c r="E1377" i="17"/>
  <c r="C1378" i="17"/>
  <c r="D1378" i="17"/>
  <c r="E1378" i="17"/>
  <c r="C1379" i="17"/>
  <c r="D1379" i="17"/>
  <c r="E1379" i="17"/>
  <c r="C1380" i="17"/>
  <c r="D1380" i="17"/>
  <c r="E1380" i="17"/>
  <c r="C1381" i="17"/>
  <c r="D1381" i="17"/>
  <c r="E1381" i="17"/>
  <c r="C1382" i="17"/>
  <c r="D1382" i="17"/>
  <c r="E1382" i="17"/>
  <c r="C1383" i="17"/>
  <c r="D1383" i="17"/>
  <c r="E1383" i="17"/>
  <c r="C1384" i="17"/>
  <c r="D1384" i="17"/>
  <c r="E1384" i="17"/>
  <c r="C1385" i="17"/>
  <c r="D1385" i="17"/>
  <c r="E1385" i="17"/>
  <c r="C1386" i="17"/>
  <c r="D1386" i="17"/>
  <c r="E1386" i="17"/>
  <c r="C1387" i="17"/>
  <c r="D1387" i="17"/>
  <c r="E1387" i="17"/>
  <c r="C1388" i="17"/>
  <c r="D1388" i="17"/>
  <c r="E1388" i="17"/>
  <c r="C1389" i="17"/>
  <c r="D1389" i="17"/>
  <c r="E1389" i="17"/>
  <c r="C1390" i="17"/>
  <c r="D1390" i="17"/>
  <c r="E1390" i="17"/>
  <c r="C1391" i="17"/>
  <c r="D1391" i="17"/>
  <c r="E1391" i="17"/>
  <c r="C1392" i="17"/>
  <c r="D1392" i="17"/>
  <c r="E1392" i="17"/>
  <c r="C1393" i="17"/>
  <c r="D1393" i="17"/>
  <c r="E1393" i="17"/>
  <c r="C1394" i="17"/>
  <c r="D1394" i="17"/>
  <c r="E1394" i="17"/>
  <c r="C1395" i="17"/>
  <c r="D1395" i="17"/>
  <c r="E1395" i="17"/>
  <c r="C1396" i="17"/>
  <c r="D1396" i="17"/>
  <c r="E1396" i="17"/>
  <c r="C1397" i="17"/>
  <c r="D1397" i="17"/>
  <c r="E1397" i="17"/>
  <c r="C1398" i="17"/>
  <c r="D1398" i="17"/>
  <c r="E1398" i="17"/>
  <c r="C1399" i="17"/>
  <c r="D1399" i="17"/>
  <c r="E1399" i="17"/>
  <c r="C1400" i="17"/>
  <c r="D1400" i="17"/>
  <c r="E1400" i="17"/>
  <c r="C1401" i="17"/>
  <c r="D1401" i="17"/>
  <c r="E1401" i="17"/>
  <c r="C1402" i="17"/>
  <c r="D1402" i="17"/>
  <c r="E1402" i="17"/>
  <c r="C1403" i="17"/>
  <c r="D1403" i="17"/>
  <c r="E1403" i="17"/>
  <c r="C1404" i="17"/>
  <c r="D1404" i="17"/>
  <c r="E1404" i="17"/>
  <c r="C1405" i="17"/>
  <c r="D1405" i="17"/>
  <c r="E1405" i="17"/>
  <c r="C1406" i="17"/>
  <c r="D1406" i="17"/>
  <c r="E1406" i="17"/>
  <c r="C1407" i="17"/>
  <c r="D1407" i="17"/>
  <c r="E1407" i="17"/>
  <c r="C1408" i="17"/>
  <c r="D1408" i="17"/>
  <c r="E1408" i="17"/>
  <c r="C1409" i="17"/>
  <c r="D1409" i="17"/>
  <c r="E1409" i="17"/>
  <c r="C1410" i="17"/>
  <c r="D1410" i="17"/>
  <c r="E1410" i="17"/>
  <c r="C1411" i="17"/>
  <c r="D1411" i="17"/>
  <c r="E1411" i="17"/>
  <c r="C1412" i="17"/>
  <c r="D1412" i="17"/>
  <c r="E1412" i="17"/>
  <c r="C1413" i="17"/>
  <c r="D1413" i="17"/>
  <c r="E1413" i="17"/>
  <c r="C1414" i="17"/>
  <c r="D1414" i="17"/>
  <c r="E1414" i="17"/>
  <c r="C1415" i="17"/>
  <c r="D1415" i="17"/>
  <c r="E1415" i="17"/>
  <c r="C1416" i="17"/>
  <c r="D1416" i="17"/>
  <c r="E1416" i="17"/>
  <c r="C1417" i="17"/>
  <c r="D1417" i="17"/>
  <c r="E1417" i="17"/>
  <c r="C1418" i="17"/>
  <c r="D1418" i="17"/>
  <c r="E1418" i="17"/>
  <c r="C1419" i="17"/>
  <c r="D1419" i="17"/>
  <c r="E1419" i="17"/>
  <c r="C1420" i="17"/>
  <c r="D1420" i="17"/>
  <c r="E1420" i="17"/>
  <c r="C1421" i="17"/>
  <c r="D1421" i="17"/>
  <c r="E1421" i="17"/>
  <c r="C1422" i="17"/>
  <c r="D1422" i="17"/>
  <c r="E1422" i="17"/>
  <c r="C1423" i="17"/>
  <c r="D1423" i="17"/>
  <c r="E1423" i="17"/>
  <c r="C1424" i="17"/>
  <c r="D1424" i="17"/>
  <c r="E1424" i="17"/>
  <c r="C1425" i="17"/>
  <c r="D1425" i="17"/>
  <c r="E1425" i="17"/>
  <c r="C1426" i="17"/>
  <c r="D1426" i="17"/>
  <c r="E1426" i="17"/>
  <c r="C1427" i="17"/>
  <c r="D1427" i="17"/>
  <c r="E1427" i="17"/>
  <c r="C1428" i="17"/>
  <c r="D1428" i="17"/>
  <c r="E1428" i="17"/>
  <c r="C1429" i="17"/>
  <c r="D1429" i="17"/>
  <c r="E1429" i="17"/>
  <c r="C1430" i="17"/>
  <c r="D1430" i="17"/>
  <c r="E1430" i="17"/>
  <c r="C1431" i="17"/>
  <c r="D1431" i="17"/>
  <c r="E1431" i="17"/>
  <c r="C1432" i="17"/>
  <c r="D1432" i="17"/>
  <c r="E1432" i="17"/>
  <c r="C1433" i="17"/>
  <c r="D1433" i="17"/>
  <c r="E1433" i="17"/>
  <c r="C1434" i="17"/>
  <c r="D1434" i="17"/>
  <c r="E1434" i="17"/>
  <c r="C1435" i="17"/>
  <c r="D1435" i="17"/>
  <c r="E1435" i="17"/>
  <c r="C1436" i="17"/>
  <c r="D1436" i="17"/>
  <c r="E1436" i="17"/>
  <c r="C1437" i="17"/>
  <c r="D1437" i="17"/>
  <c r="E1437" i="17"/>
  <c r="C1438" i="17"/>
  <c r="D1438" i="17"/>
  <c r="E1438" i="17"/>
  <c r="C1439" i="17"/>
  <c r="D1439" i="17"/>
  <c r="E1439" i="17"/>
  <c r="C1440" i="17"/>
  <c r="D1440" i="17"/>
  <c r="E1440" i="17"/>
  <c r="C1441" i="17"/>
  <c r="D1441" i="17"/>
  <c r="E1441" i="17"/>
  <c r="C1442" i="17"/>
  <c r="D1442" i="17"/>
  <c r="E1442" i="17"/>
  <c r="C1443" i="17"/>
  <c r="D1443" i="17"/>
  <c r="E1443" i="17"/>
  <c r="C1444" i="17"/>
  <c r="D1444" i="17"/>
  <c r="E1444" i="17"/>
  <c r="C1445" i="17"/>
  <c r="D1445" i="17"/>
  <c r="E1445" i="17"/>
  <c r="C1446" i="17"/>
  <c r="D1446" i="17"/>
  <c r="E1446" i="17"/>
  <c r="C1447" i="17"/>
  <c r="D1447" i="17"/>
  <c r="E1447" i="17"/>
  <c r="C1448" i="17"/>
  <c r="D1448" i="17"/>
  <c r="E1448" i="17"/>
  <c r="C1449" i="17"/>
  <c r="D1449" i="17"/>
  <c r="E1449" i="17"/>
  <c r="C1450" i="17"/>
  <c r="D1450" i="17"/>
  <c r="E1450" i="17"/>
  <c r="C1451" i="17"/>
  <c r="D1451" i="17"/>
  <c r="E1451" i="17"/>
  <c r="C1452" i="17"/>
  <c r="D1452" i="17"/>
  <c r="E1452" i="17"/>
  <c r="C1453" i="17"/>
  <c r="D1453" i="17"/>
  <c r="E1453" i="17"/>
  <c r="C1454" i="17"/>
  <c r="D1454" i="17"/>
  <c r="E1454" i="17"/>
  <c r="C1455" i="17"/>
  <c r="D1455" i="17"/>
  <c r="E1455" i="17"/>
  <c r="C1456" i="17"/>
  <c r="D1456" i="17"/>
  <c r="E1456" i="17"/>
  <c r="C1457" i="17"/>
  <c r="D1457" i="17"/>
  <c r="E1457" i="17"/>
  <c r="C1458" i="17"/>
  <c r="D1458" i="17"/>
  <c r="E1458" i="17"/>
  <c r="C1459" i="17"/>
  <c r="D1459" i="17"/>
  <c r="E1459" i="17"/>
  <c r="C1460" i="17"/>
  <c r="D1460" i="17"/>
  <c r="E1460" i="17"/>
  <c r="C1461" i="17"/>
  <c r="D1461" i="17"/>
  <c r="E1461" i="17"/>
  <c r="C1462" i="17"/>
  <c r="D1462" i="17"/>
  <c r="E1462" i="17"/>
  <c r="C1463" i="17"/>
  <c r="D1463" i="17"/>
  <c r="E1463" i="17"/>
  <c r="C1464" i="17"/>
  <c r="D1464" i="17"/>
  <c r="E1464" i="17"/>
  <c r="C1465" i="17"/>
  <c r="D1465" i="17"/>
  <c r="E1465" i="17"/>
  <c r="C1466" i="17"/>
  <c r="D1466" i="17"/>
  <c r="E1466" i="17"/>
  <c r="C1467" i="17"/>
  <c r="D1467" i="17"/>
  <c r="E1467" i="17"/>
  <c r="C1468" i="17"/>
  <c r="D1468" i="17"/>
  <c r="E1468" i="17"/>
  <c r="C1469" i="17"/>
  <c r="D1469" i="17"/>
  <c r="E1469" i="17"/>
  <c r="C1470" i="17"/>
  <c r="D1470" i="17"/>
  <c r="E1470" i="17"/>
  <c r="C1471" i="17"/>
  <c r="D1471" i="17"/>
  <c r="E1471" i="17"/>
  <c r="C1472" i="17"/>
  <c r="D1472" i="17"/>
  <c r="E1472" i="17"/>
  <c r="C1473" i="17"/>
  <c r="D1473" i="17"/>
  <c r="E1473" i="17"/>
  <c r="C1474" i="17"/>
  <c r="D1474" i="17"/>
  <c r="E1474" i="17"/>
  <c r="C1475" i="17"/>
  <c r="D1475" i="17"/>
  <c r="E1475" i="17"/>
  <c r="C1476" i="17"/>
  <c r="D1476" i="17"/>
  <c r="E1476" i="17"/>
  <c r="C1477" i="17"/>
  <c r="D1477" i="17"/>
  <c r="E1477" i="17"/>
  <c r="C1478" i="17"/>
  <c r="D1478" i="17"/>
  <c r="E1478" i="17"/>
  <c r="C1479" i="17"/>
  <c r="D1479" i="17"/>
  <c r="E1479" i="17"/>
  <c r="C1480" i="17"/>
  <c r="D1480" i="17"/>
  <c r="E1480" i="17"/>
  <c r="C1481" i="17"/>
  <c r="D1481" i="17"/>
  <c r="E1481" i="17"/>
  <c r="C1482" i="17"/>
  <c r="D1482" i="17"/>
  <c r="E1482" i="17"/>
  <c r="C1483" i="17"/>
  <c r="D1483" i="17"/>
  <c r="E1483" i="17"/>
  <c r="C1484" i="17"/>
  <c r="D1484" i="17"/>
  <c r="E1484" i="17"/>
  <c r="C1485" i="17"/>
  <c r="D1485" i="17"/>
  <c r="E1485" i="17"/>
  <c r="C1486" i="17"/>
  <c r="D1486" i="17"/>
  <c r="E1486" i="17"/>
  <c r="C1487" i="17"/>
  <c r="D1487" i="17"/>
  <c r="E1487" i="17"/>
  <c r="C1488" i="17"/>
  <c r="D1488" i="17"/>
  <c r="E1488" i="17"/>
  <c r="C1489" i="17"/>
  <c r="D1489" i="17"/>
  <c r="E1489" i="17"/>
  <c r="C1490" i="17"/>
  <c r="D1490" i="17"/>
  <c r="E1490" i="17"/>
  <c r="C1491" i="17"/>
  <c r="D1491" i="17"/>
  <c r="E1491" i="17"/>
  <c r="C1492" i="17"/>
  <c r="D1492" i="17"/>
  <c r="E1492" i="17"/>
  <c r="C1493" i="17"/>
  <c r="D1493" i="17"/>
  <c r="E1493" i="17"/>
  <c r="C1494" i="17"/>
  <c r="D1494" i="17"/>
  <c r="E1494" i="17"/>
  <c r="C1495" i="17"/>
  <c r="D1495" i="17"/>
  <c r="E1495" i="17"/>
  <c r="C1496" i="17"/>
  <c r="D1496" i="17"/>
  <c r="E1496" i="17"/>
  <c r="C1497" i="17"/>
  <c r="D1497" i="17"/>
  <c r="E1497" i="17"/>
  <c r="C1498" i="17"/>
  <c r="D1498" i="17"/>
  <c r="E1498" i="17"/>
  <c r="C1499" i="17"/>
  <c r="D1499" i="17"/>
  <c r="E1499" i="17"/>
  <c r="C1500" i="17"/>
  <c r="D1500" i="17"/>
  <c r="E1500" i="17"/>
  <c r="C1501" i="17"/>
  <c r="D1501" i="17"/>
  <c r="E1501" i="17"/>
  <c r="C1502" i="17"/>
  <c r="D1502" i="17"/>
  <c r="E1502" i="17"/>
  <c r="C1503" i="17"/>
  <c r="D1503" i="17"/>
  <c r="E1503" i="17"/>
  <c r="C1504" i="17"/>
  <c r="D1504" i="17"/>
  <c r="E1504" i="17"/>
  <c r="C1505" i="17"/>
  <c r="D1505" i="17"/>
  <c r="E1505" i="17"/>
  <c r="C1506" i="17"/>
  <c r="D1506" i="17"/>
  <c r="E1506" i="17"/>
  <c r="C1507" i="17"/>
  <c r="D1507" i="17"/>
  <c r="E1507" i="17"/>
  <c r="C1508" i="17"/>
  <c r="D1508" i="17"/>
  <c r="E1508" i="17"/>
  <c r="C1509" i="17"/>
  <c r="D1509" i="17"/>
  <c r="E1509" i="17"/>
  <c r="C1510" i="17"/>
  <c r="D1510" i="17"/>
  <c r="E1510" i="17"/>
  <c r="C1511" i="17"/>
  <c r="D1511" i="17"/>
  <c r="E1511" i="17"/>
  <c r="C1512" i="17"/>
  <c r="D1512" i="17"/>
  <c r="E1512" i="17"/>
  <c r="C1513" i="17"/>
  <c r="D1513" i="17"/>
  <c r="E1513" i="17"/>
  <c r="C1514" i="17"/>
  <c r="D1514" i="17"/>
  <c r="E1514" i="17"/>
  <c r="C1515" i="17"/>
  <c r="D1515" i="17"/>
  <c r="E1515" i="17"/>
  <c r="C1516" i="17"/>
  <c r="D1516" i="17"/>
  <c r="E1516" i="17"/>
  <c r="C1517" i="17"/>
  <c r="D1517" i="17"/>
  <c r="E1517" i="17"/>
  <c r="C1518" i="17"/>
  <c r="D1518" i="17"/>
  <c r="E1518" i="17"/>
  <c r="C1519" i="17"/>
  <c r="D1519" i="17"/>
  <c r="E1519" i="17"/>
  <c r="C1520" i="17"/>
  <c r="D1520" i="17"/>
  <c r="E1520" i="17"/>
  <c r="C1521" i="17"/>
  <c r="D1521" i="17"/>
  <c r="E1521" i="17"/>
  <c r="C1522" i="17"/>
  <c r="D1522" i="17"/>
  <c r="E1522" i="17"/>
  <c r="C1523" i="17"/>
  <c r="D1523" i="17"/>
  <c r="E1523" i="17"/>
  <c r="C1524" i="17"/>
  <c r="D1524" i="17"/>
  <c r="E1524" i="17"/>
  <c r="C1525" i="17"/>
  <c r="D1525" i="17"/>
  <c r="E1525" i="17"/>
  <c r="C1526" i="17"/>
  <c r="D1526" i="17"/>
  <c r="E1526" i="17"/>
  <c r="C1527" i="17"/>
  <c r="D1527" i="17"/>
  <c r="E1527" i="17"/>
  <c r="C1528" i="17"/>
  <c r="D1528" i="17"/>
  <c r="E1528" i="17"/>
  <c r="C1529" i="17"/>
  <c r="D1529" i="17"/>
  <c r="E1529" i="17"/>
  <c r="C1530" i="17"/>
  <c r="D1530" i="17"/>
  <c r="E1530" i="17"/>
  <c r="C1531" i="17"/>
  <c r="D1531" i="17"/>
  <c r="E1531" i="17"/>
  <c r="C1532" i="17"/>
  <c r="D1532" i="17"/>
  <c r="E1532" i="17"/>
  <c r="C1533" i="17"/>
  <c r="D1533" i="17"/>
  <c r="E1533" i="17"/>
  <c r="C1534" i="17"/>
  <c r="D1534" i="17"/>
  <c r="E1534" i="17"/>
  <c r="C1535" i="17"/>
  <c r="D1535" i="17"/>
  <c r="E1535" i="17"/>
  <c r="C1536" i="17"/>
  <c r="D1536" i="17"/>
  <c r="E1536" i="17"/>
  <c r="C1537" i="17"/>
  <c r="D1537" i="17"/>
  <c r="E1537" i="17"/>
  <c r="C1538" i="17"/>
  <c r="D1538" i="17"/>
  <c r="E1538" i="17"/>
  <c r="C1539" i="17"/>
  <c r="D1539" i="17"/>
  <c r="E1539" i="17"/>
  <c r="C1540" i="17"/>
  <c r="D1540" i="17"/>
  <c r="E1540" i="17"/>
  <c r="C1541" i="17"/>
  <c r="D1541" i="17"/>
  <c r="E1541" i="17"/>
  <c r="C1542" i="17"/>
  <c r="D1542" i="17"/>
  <c r="E1542" i="17"/>
  <c r="C1543" i="17"/>
  <c r="D1543" i="17"/>
  <c r="E1543" i="17"/>
  <c r="C1544" i="17"/>
  <c r="D1544" i="17"/>
  <c r="E1544" i="17"/>
  <c r="C1545" i="17"/>
  <c r="D1545" i="17"/>
  <c r="E1545" i="17"/>
  <c r="C1546" i="17"/>
  <c r="D1546" i="17"/>
  <c r="E1546" i="17"/>
  <c r="C1547" i="17"/>
  <c r="D1547" i="17"/>
  <c r="E1547" i="17"/>
  <c r="C1548" i="17"/>
  <c r="D1548" i="17"/>
  <c r="E1548" i="17"/>
  <c r="C1549" i="17"/>
  <c r="D1549" i="17"/>
  <c r="E1549" i="17"/>
  <c r="C1550" i="17"/>
  <c r="D1550" i="17"/>
  <c r="E1550" i="17"/>
  <c r="C1551" i="17"/>
  <c r="D1551" i="17"/>
  <c r="E1551" i="17"/>
  <c r="C1552" i="17"/>
  <c r="D1552" i="17"/>
  <c r="E1552" i="17"/>
  <c r="C1553" i="17"/>
  <c r="D1553" i="17"/>
  <c r="E1553" i="17"/>
  <c r="C1554" i="17"/>
  <c r="D1554" i="17"/>
  <c r="E1554" i="17"/>
  <c r="C1555" i="17"/>
  <c r="D1555" i="17"/>
  <c r="E1555" i="17"/>
  <c r="C1556" i="17"/>
  <c r="D1556" i="17"/>
  <c r="E1556" i="17"/>
  <c r="C1557" i="17"/>
  <c r="D1557" i="17"/>
  <c r="E1557" i="17"/>
  <c r="C1558" i="17"/>
  <c r="D1558" i="17"/>
  <c r="E1558" i="17"/>
  <c r="C1559" i="17"/>
  <c r="D1559" i="17"/>
  <c r="E1559" i="17"/>
  <c r="C1560" i="17"/>
  <c r="D1560" i="17"/>
  <c r="E1560" i="17"/>
  <c r="C1561" i="17"/>
  <c r="D1561" i="17"/>
  <c r="E1561" i="17"/>
  <c r="C1562" i="17"/>
  <c r="D1562" i="17"/>
  <c r="E1562" i="17"/>
  <c r="C1563" i="17"/>
  <c r="D1563" i="17"/>
  <c r="E1563" i="17"/>
  <c r="C1564" i="17"/>
  <c r="D1564" i="17"/>
  <c r="E1564" i="17"/>
  <c r="C1565" i="17"/>
  <c r="D1565" i="17"/>
  <c r="E1565" i="17"/>
  <c r="C1566" i="17"/>
  <c r="D1566" i="17"/>
  <c r="E1566" i="17"/>
  <c r="C1567" i="17"/>
  <c r="D1567" i="17"/>
  <c r="E1567" i="17"/>
  <c r="C1568" i="17"/>
  <c r="D1568" i="17"/>
  <c r="E1568" i="17"/>
  <c r="C1569" i="17"/>
  <c r="D1569" i="17"/>
  <c r="E1569" i="17"/>
  <c r="C1570" i="17"/>
  <c r="D1570" i="17"/>
  <c r="E1570" i="17"/>
  <c r="C1571" i="17"/>
  <c r="D1571" i="17"/>
  <c r="E1571" i="17"/>
  <c r="C1572" i="17"/>
  <c r="D1572" i="17"/>
  <c r="E1572" i="17"/>
  <c r="C1573" i="17"/>
  <c r="D1573" i="17"/>
  <c r="E1573" i="17"/>
  <c r="C1574" i="17"/>
  <c r="D1574" i="17"/>
  <c r="E1574" i="17"/>
  <c r="C1575" i="17"/>
  <c r="D1575" i="17"/>
  <c r="E1575" i="17"/>
  <c r="C1576" i="17"/>
  <c r="D1576" i="17"/>
  <c r="E1576" i="17"/>
  <c r="C1577" i="17"/>
  <c r="D1577" i="17"/>
  <c r="E1577" i="17"/>
  <c r="C1578" i="17"/>
  <c r="D1578" i="17"/>
  <c r="E1578" i="17"/>
  <c r="C1579" i="17"/>
  <c r="D1579" i="17"/>
  <c r="E1579" i="17"/>
  <c r="C1580" i="17"/>
  <c r="D1580" i="17"/>
  <c r="E1580" i="17"/>
  <c r="C1581" i="17"/>
  <c r="D1581" i="17"/>
  <c r="E1581" i="17"/>
  <c r="C1582" i="17"/>
  <c r="D1582" i="17"/>
  <c r="E1582" i="17"/>
  <c r="C1583" i="17"/>
  <c r="D1583" i="17"/>
  <c r="E1583" i="17"/>
  <c r="C1584" i="17"/>
  <c r="D1584" i="17"/>
  <c r="E1584" i="17"/>
  <c r="C1585" i="17"/>
  <c r="D1585" i="17"/>
  <c r="E1585" i="17"/>
  <c r="C1586" i="17"/>
  <c r="D1586" i="17"/>
  <c r="E1586" i="17"/>
  <c r="C1587" i="17"/>
  <c r="D1587" i="17"/>
  <c r="E1587" i="17"/>
  <c r="C1588" i="17"/>
  <c r="D1588" i="17"/>
  <c r="E1588" i="17"/>
  <c r="C1589" i="17"/>
  <c r="D1589" i="17"/>
  <c r="E1589" i="17"/>
  <c r="C1590" i="17"/>
  <c r="D1590" i="17"/>
  <c r="E1590" i="17"/>
  <c r="C1591" i="17"/>
  <c r="D1591" i="17"/>
  <c r="E1591" i="17"/>
  <c r="C1592" i="17"/>
  <c r="D1592" i="17"/>
  <c r="E1592" i="17"/>
  <c r="C1593" i="17"/>
  <c r="D1593" i="17"/>
  <c r="E1593" i="17"/>
  <c r="C1594" i="17"/>
  <c r="D1594" i="17"/>
  <c r="E1594" i="17"/>
  <c r="C1595" i="17"/>
  <c r="D1595" i="17"/>
  <c r="E1595" i="17"/>
  <c r="C1596" i="17"/>
  <c r="D1596" i="17"/>
  <c r="E1596" i="17"/>
  <c r="C1597" i="17"/>
  <c r="D1597" i="17"/>
  <c r="E1597" i="17"/>
  <c r="C1598" i="17"/>
  <c r="D1598" i="17"/>
  <c r="E1598" i="17"/>
  <c r="C1599" i="17"/>
  <c r="D1599" i="17"/>
  <c r="E1599" i="17"/>
  <c r="C1600" i="17"/>
  <c r="D1600" i="17"/>
  <c r="E1600" i="17"/>
  <c r="C1601" i="17"/>
  <c r="D1601" i="17"/>
  <c r="E1601" i="17"/>
  <c r="C1602" i="17"/>
  <c r="D1602" i="17"/>
  <c r="E1602" i="17"/>
  <c r="C1603" i="17"/>
  <c r="D1603" i="17"/>
  <c r="E1603" i="17"/>
  <c r="C1604" i="17"/>
  <c r="D1604" i="17"/>
  <c r="E1604" i="17"/>
  <c r="C1605" i="17"/>
  <c r="D1605" i="17"/>
  <c r="E1605" i="17"/>
  <c r="C1606" i="17"/>
  <c r="D1606" i="17"/>
  <c r="E1606" i="17"/>
  <c r="C1607" i="17"/>
  <c r="D1607" i="17"/>
  <c r="E1607" i="17"/>
  <c r="C1608" i="17"/>
  <c r="D1608" i="17"/>
  <c r="E1608" i="17"/>
  <c r="C1609" i="17"/>
  <c r="D1609" i="17"/>
  <c r="E1609" i="17"/>
  <c r="C1610" i="17"/>
  <c r="D1610" i="17"/>
  <c r="E1610" i="17"/>
  <c r="C1611" i="17"/>
  <c r="D1611" i="17"/>
  <c r="E1611" i="17"/>
  <c r="C1612" i="17"/>
  <c r="D1612" i="17"/>
  <c r="E1612" i="17"/>
  <c r="C1613" i="17"/>
  <c r="D1613" i="17"/>
  <c r="E1613" i="17"/>
  <c r="C1614" i="17"/>
  <c r="D1614" i="17"/>
  <c r="E1614" i="17"/>
  <c r="C1615" i="17"/>
  <c r="D1615" i="17"/>
  <c r="E1615" i="17"/>
  <c r="C1616" i="17"/>
  <c r="D1616" i="17"/>
  <c r="E1616" i="17"/>
  <c r="C1617" i="17"/>
  <c r="D1617" i="17"/>
  <c r="E1617" i="17"/>
  <c r="C1618" i="17"/>
  <c r="D1618" i="17"/>
  <c r="E1618" i="17"/>
  <c r="C1619" i="17"/>
  <c r="D1619" i="17"/>
  <c r="E1619" i="17"/>
  <c r="C1620" i="17"/>
  <c r="D1620" i="17"/>
  <c r="E1620" i="17"/>
  <c r="C1621" i="17"/>
  <c r="D1621" i="17"/>
  <c r="E1621" i="17"/>
  <c r="C1622" i="17"/>
  <c r="D1622" i="17"/>
  <c r="E1622" i="17"/>
  <c r="C1623" i="17"/>
  <c r="D1623" i="17"/>
  <c r="E1623" i="17"/>
  <c r="C1624" i="17"/>
  <c r="D1624" i="17"/>
  <c r="E1624" i="17"/>
  <c r="C1625" i="17"/>
  <c r="D1625" i="17"/>
  <c r="E1625" i="17"/>
  <c r="C1626" i="17"/>
  <c r="D1626" i="17"/>
  <c r="E1626" i="17"/>
  <c r="C1627" i="17"/>
  <c r="D1627" i="17"/>
  <c r="E1627" i="17"/>
  <c r="C1628" i="17"/>
  <c r="D1628" i="17"/>
  <c r="E1628" i="17"/>
  <c r="C1629" i="17"/>
  <c r="D1629" i="17"/>
  <c r="E1629" i="17"/>
  <c r="C1630" i="17"/>
  <c r="D1630" i="17"/>
  <c r="E1630" i="17"/>
  <c r="C1631" i="17"/>
  <c r="D1631" i="17"/>
  <c r="E1631" i="17"/>
  <c r="C1632" i="17"/>
  <c r="D1632" i="17"/>
  <c r="E1632" i="17"/>
  <c r="C1633" i="17"/>
  <c r="D1633" i="17"/>
  <c r="E1633" i="17"/>
  <c r="C1634" i="17"/>
  <c r="D1634" i="17"/>
  <c r="E1634" i="17"/>
  <c r="C1635" i="17"/>
  <c r="D1635" i="17"/>
  <c r="E1635" i="17"/>
  <c r="C1636" i="17"/>
  <c r="D1636" i="17"/>
  <c r="E1636" i="17"/>
  <c r="C1637" i="17"/>
  <c r="D1637" i="17"/>
  <c r="E1637" i="17"/>
  <c r="C1638" i="17"/>
  <c r="D1638" i="17"/>
  <c r="E1638" i="17"/>
  <c r="C1639" i="17"/>
  <c r="D1639" i="17"/>
  <c r="E1639" i="17"/>
  <c r="C1640" i="17"/>
  <c r="D1640" i="17"/>
  <c r="E1640" i="17"/>
  <c r="C1641" i="17"/>
  <c r="D1641" i="17"/>
  <c r="E1641" i="17"/>
  <c r="C1642" i="17"/>
  <c r="D1642" i="17"/>
  <c r="E1642" i="17"/>
  <c r="C1643" i="17"/>
  <c r="D1643" i="17"/>
  <c r="E1643" i="17"/>
  <c r="C1644" i="17"/>
  <c r="D1644" i="17"/>
  <c r="E1644" i="17"/>
  <c r="C1645" i="17"/>
  <c r="D1645" i="17"/>
  <c r="E1645" i="17"/>
  <c r="C1646" i="17"/>
  <c r="D1646" i="17"/>
  <c r="E1646" i="17"/>
  <c r="C1647" i="17"/>
  <c r="D1647" i="17"/>
  <c r="E1647" i="17"/>
  <c r="C1648" i="17"/>
  <c r="D1648" i="17"/>
  <c r="E1648" i="17"/>
  <c r="C1649" i="17"/>
  <c r="D1649" i="17"/>
  <c r="E1649" i="17"/>
  <c r="C1650" i="17"/>
  <c r="D1650" i="17"/>
  <c r="E1650" i="17"/>
  <c r="C1651" i="17"/>
  <c r="D1651" i="17"/>
  <c r="E1651" i="17"/>
  <c r="C1652" i="17"/>
  <c r="D1652" i="17"/>
  <c r="E1652" i="17"/>
  <c r="C1653" i="17"/>
  <c r="D1653" i="17"/>
  <c r="E1653" i="17"/>
  <c r="C1654" i="17"/>
  <c r="D1654" i="17"/>
  <c r="E1654" i="17"/>
  <c r="C1655" i="17"/>
  <c r="D1655" i="17"/>
  <c r="E1655" i="17"/>
  <c r="C1656" i="17"/>
  <c r="D1656" i="17"/>
  <c r="E1656" i="17"/>
  <c r="C1657" i="17"/>
  <c r="D1657" i="17"/>
  <c r="E1657" i="17"/>
  <c r="C1658" i="17"/>
  <c r="D1658" i="17"/>
  <c r="E1658" i="17"/>
  <c r="C1659" i="17"/>
  <c r="D1659" i="17"/>
  <c r="E1659" i="17"/>
  <c r="C1660" i="17"/>
  <c r="D1660" i="17"/>
  <c r="E1660" i="17"/>
  <c r="C1661" i="17"/>
  <c r="D1661" i="17"/>
  <c r="E1661" i="17"/>
  <c r="C1662" i="17"/>
  <c r="D1662" i="17"/>
  <c r="E1662" i="17"/>
  <c r="C1663" i="17"/>
  <c r="D1663" i="17"/>
  <c r="E1663" i="17"/>
  <c r="C1664" i="17"/>
  <c r="D1664" i="17"/>
  <c r="E1664" i="17"/>
  <c r="C1665" i="17"/>
  <c r="D1665" i="17"/>
  <c r="E1665" i="17"/>
  <c r="C1666" i="17"/>
  <c r="D1666" i="17"/>
  <c r="E1666" i="17"/>
  <c r="C1667" i="17"/>
  <c r="D1667" i="17"/>
  <c r="E1667" i="17"/>
  <c r="C1668" i="17"/>
  <c r="D1668" i="17"/>
  <c r="E1668" i="17"/>
  <c r="C1669" i="17"/>
  <c r="D1669" i="17"/>
  <c r="E1669" i="17"/>
  <c r="C1670" i="17"/>
  <c r="D1670" i="17"/>
  <c r="E1670" i="17"/>
  <c r="C1671" i="17"/>
  <c r="D1671" i="17"/>
  <c r="E1671" i="17"/>
  <c r="C1672" i="17"/>
  <c r="D1672" i="17"/>
  <c r="E1672" i="17"/>
  <c r="C1673" i="17"/>
  <c r="D1673" i="17"/>
  <c r="E1673" i="17"/>
  <c r="C1674" i="17"/>
  <c r="D1674" i="17"/>
  <c r="E1674" i="17"/>
  <c r="C1675" i="17"/>
  <c r="D1675" i="17"/>
  <c r="E1675" i="17"/>
  <c r="C1676" i="17"/>
  <c r="D1676" i="17"/>
  <c r="E1676" i="17"/>
  <c r="C1677" i="17"/>
  <c r="D1677" i="17"/>
  <c r="E1677" i="17"/>
  <c r="C1678" i="17"/>
  <c r="D1678" i="17"/>
  <c r="E1678" i="17"/>
  <c r="C1679" i="17"/>
  <c r="D1679" i="17"/>
  <c r="E1679" i="17"/>
  <c r="C1680" i="17"/>
  <c r="D1680" i="17"/>
  <c r="E1680" i="17"/>
  <c r="C1681" i="17"/>
  <c r="D1681" i="17"/>
  <c r="E1681" i="17"/>
  <c r="C1682" i="17"/>
  <c r="D1682" i="17"/>
  <c r="E1682" i="17"/>
  <c r="C1683" i="17"/>
  <c r="D1683" i="17"/>
  <c r="E1683" i="17"/>
  <c r="C1684" i="17"/>
  <c r="D1684" i="17"/>
  <c r="E1684" i="17"/>
  <c r="C1685" i="17"/>
  <c r="D1685" i="17"/>
  <c r="E1685" i="17"/>
  <c r="C1686" i="17"/>
  <c r="D1686" i="17"/>
  <c r="E1686" i="17"/>
  <c r="C1687" i="17"/>
  <c r="D1687" i="17"/>
  <c r="E1687" i="17"/>
  <c r="C1688" i="17"/>
  <c r="D1688" i="17"/>
  <c r="E1688" i="17"/>
  <c r="C1689" i="17"/>
  <c r="D1689" i="17"/>
  <c r="E1689" i="17"/>
  <c r="C1690" i="17"/>
  <c r="D1690" i="17"/>
  <c r="E1690" i="17"/>
  <c r="C1691" i="17"/>
  <c r="D1691" i="17"/>
  <c r="E1691" i="17"/>
  <c r="C1692" i="17"/>
  <c r="D1692" i="17"/>
  <c r="E1692" i="17"/>
  <c r="C1693" i="17"/>
  <c r="D1693" i="17"/>
  <c r="E1693" i="17"/>
  <c r="C1694" i="17"/>
  <c r="D1694" i="17"/>
  <c r="E1694" i="17"/>
  <c r="C1695" i="17"/>
  <c r="D1695" i="17"/>
  <c r="E1695" i="17"/>
  <c r="C1696" i="17"/>
  <c r="D1696" i="17"/>
  <c r="E1696" i="17"/>
  <c r="C1697" i="17"/>
  <c r="D1697" i="17"/>
  <c r="E1697" i="17"/>
  <c r="C1698" i="17"/>
  <c r="D1698" i="17"/>
  <c r="E1698" i="17"/>
  <c r="C1699" i="17"/>
  <c r="D1699" i="17"/>
  <c r="E1699" i="17"/>
  <c r="C1700" i="17"/>
  <c r="D1700" i="17"/>
  <c r="E1700" i="17"/>
  <c r="C1701" i="17"/>
  <c r="D1701" i="17"/>
  <c r="E1701" i="17"/>
  <c r="C1702" i="17"/>
  <c r="D1702" i="17"/>
  <c r="E1702" i="17"/>
  <c r="C1703" i="17"/>
  <c r="D1703" i="17"/>
  <c r="E1703" i="17"/>
  <c r="C1704" i="17"/>
  <c r="D1704" i="17"/>
  <c r="E1704" i="17"/>
  <c r="C1705" i="17"/>
  <c r="D1705" i="17"/>
  <c r="E1705" i="17"/>
  <c r="C1706" i="17"/>
  <c r="D1706" i="17"/>
  <c r="E1706" i="17"/>
  <c r="C1707" i="17"/>
  <c r="D1707" i="17"/>
  <c r="E1707" i="17"/>
  <c r="C1708" i="17"/>
  <c r="D1708" i="17"/>
  <c r="E1708" i="17"/>
  <c r="C1709" i="17"/>
  <c r="D1709" i="17"/>
  <c r="E1709" i="17"/>
  <c r="C1710" i="17"/>
  <c r="D1710" i="17"/>
  <c r="E1710" i="17"/>
  <c r="C1711" i="17"/>
  <c r="D1711" i="17"/>
  <c r="E1711" i="17"/>
  <c r="C1712" i="17"/>
  <c r="D1712" i="17"/>
  <c r="E1712" i="17"/>
  <c r="C1713" i="17"/>
  <c r="D1713" i="17"/>
  <c r="E1713" i="17"/>
  <c r="C1714" i="17"/>
  <c r="D1714" i="17"/>
  <c r="E1714" i="17"/>
  <c r="C1715" i="17"/>
  <c r="D1715" i="17"/>
  <c r="E1715" i="17"/>
  <c r="C1716" i="17"/>
  <c r="D1716" i="17"/>
  <c r="E1716" i="17"/>
  <c r="C1717" i="17"/>
  <c r="D1717" i="17"/>
  <c r="E1717" i="17"/>
  <c r="C1718" i="17"/>
  <c r="D1718" i="17"/>
  <c r="E1718" i="17"/>
  <c r="C1719" i="17"/>
  <c r="D1719" i="17"/>
  <c r="E1719" i="17"/>
  <c r="C1720" i="17"/>
  <c r="D1720" i="17"/>
  <c r="E1720" i="17"/>
  <c r="C1721" i="17"/>
  <c r="D1721" i="17"/>
  <c r="E1721" i="17"/>
  <c r="C1722" i="17"/>
  <c r="D1722" i="17"/>
  <c r="E1722" i="17"/>
  <c r="C1723" i="17"/>
  <c r="D1723" i="17"/>
  <c r="E1723" i="17"/>
  <c r="C1724" i="17"/>
  <c r="D1724" i="17"/>
  <c r="E1724" i="17"/>
  <c r="C1725" i="17"/>
  <c r="D1725" i="17"/>
  <c r="E1725" i="17"/>
  <c r="C1726" i="17"/>
  <c r="D1726" i="17"/>
  <c r="E1726" i="17"/>
  <c r="C1727" i="17"/>
  <c r="D1727" i="17"/>
  <c r="E1727" i="17"/>
  <c r="C1728" i="17"/>
  <c r="D1728" i="17"/>
  <c r="E1728" i="17"/>
  <c r="C1729" i="17"/>
  <c r="D1729" i="17"/>
  <c r="E1729" i="17"/>
  <c r="C1730" i="17"/>
  <c r="D1730" i="17"/>
  <c r="E1730" i="17"/>
  <c r="C1731" i="17"/>
  <c r="D1731" i="17"/>
  <c r="E1731" i="17"/>
  <c r="C1732" i="17"/>
  <c r="D1732" i="17"/>
  <c r="E1732" i="17"/>
  <c r="C1733" i="17"/>
  <c r="D1733" i="17"/>
  <c r="E1733" i="17"/>
  <c r="C1734" i="17"/>
  <c r="D1734" i="17"/>
  <c r="E1734" i="17"/>
  <c r="C1735" i="17"/>
  <c r="D1735" i="17"/>
  <c r="E1735" i="17"/>
  <c r="C1736" i="17"/>
  <c r="D1736" i="17"/>
  <c r="E1736" i="17"/>
  <c r="C1737" i="17"/>
  <c r="D1737" i="17"/>
  <c r="E1737" i="17"/>
  <c r="C1738" i="17"/>
  <c r="D1738" i="17"/>
  <c r="E1738" i="17"/>
  <c r="C1739" i="17"/>
  <c r="D1739" i="17"/>
  <c r="E1739" i="17"/>
  <c r="C1740" i="17"/>
  <c r="D1740" i="17"/>
  <c r="E1740" i="17"/>
  <c r="C1741" i="17"/>
  <c r="D1741" i="17"/>
  <c r="E1741" i="17"/>
  <c r="C1742" i="17"/>
  <c r="D1742" i="17"/>
  <c r="E1742" i="17"/>
  <c r="C1743" i="17"/>
  <c r="D1743" i="17"/>
  <c r="E1743" i="17"/>
  <c r="C1744" i="17"/>
  <c r="D1744" i="17"/>
  <c r="E1744" i="17"/>
  <c r="C1745" i="17"/>
  <c r="D1745" i="17"/>
  <c r="E1745" i="17"/>
  <c r="C1746" i="17"/>
  <c r="D1746" i="17"/>
  <c r="E1746" i="17"/>
  <c r="C1747" i="17"/>
  <c r="D1747" i="17"/>
  <c r="E1747" i="17"/>
  <c r="C1748" i="17"/>
  <c r="D1748" i="17"/>
  <c r="E1748" i="17"/>
  <c r="C1749" i="17"/>
  <c r="D1749" i="17"/>
  <c r="E1749" i="17"/>
  <c r="C1750" i="17"/>
  <c r="D1750" i="17"/>
  <c r="E1750" i="17"/>
  <c r="C1751" i="17"/>
  <c r="D1751" i="17"/>
  <c r="E1751" i="17"/>
  <c r="C1752" i="17"/>
  <c r="D1752" i="17"/>
  <c r="E1752" i="17"/>
  <c r="C1753" i="17"/>
  <c r="D1753" i="17"/>
  <c r="E1753" i="17"/>
  <c r="C1754" i="17"/>
  <c r="D1754" i="17"/>
  <c r="E1754" i="17"/>
  <c r="C1755" i="17"/>
  <c r="D1755" i="17"/>
  <c r="E1755" i="17"/>
  <c r="C1756" i="17"/>
  <c r="D1756" i="17"/>
  <c r="E1756" i="17"/>
  <c r="C1757" i="17"/>
  <c r="D1757" i="17"/>
  <c r="E1757" i="17"/>
  <c r="C1758" i="17"/>
  <c r="D1758" i="17"/>
  <c r="E1758" i="17"/>
  <c r="C1759" i="17"/>
  <c r="D1759" i="17"/>
  <c r="E1759" i="17"/>
  <c r="C1760" i="17"/>
  <c r="D1760" i="17"/>
  <c r="E1760" i="17"/>
  <c r="C1761" i="17"/>
  <c r="D1761" i="17"/>
  <c r="E1761" i="17"/>
  <c r="C1762" i="17"/>
  <c r="D1762" i="17"/>
  <c r="E1762" i="17"/>
  <c r="C1763" i="17"/>
  <c r="D1763" i="17"/>
  <c r="E1763" i="17"/>
  <c r="C1764" i="17"/>
  <c r="D1764" i="17"/>
  <c r="E1764" i="17"/>
  <c r="C1765" i="17"/>
  <c r="D1765" i="17"/>
  <c r="E1765" i="17"/>
  <c r="C1766" i="17"/>
  <c r="D1766" i="17"/>
  <c r="E1766" i="17"/>
  <c r="C1767" i="17"/>
  <c r="D1767" i="17"/>
  <c r="E1767" i="17"/>
  <c r="C1768" i="17"/>
  <c r="D1768" i="17"/>
  <c r="E1768" i="17"/>
  <c r="C1769" i="17"/>
  <c r="D1769" i="17"/>
  <c r="E1769" i="17"/>
  <c r="C1770" i="17"/>
  <c r="D1770" i="17"/>
  <c r="E1770" i="17"/>
  <c r="C1771" i="17"/>
  <c r="D1771" i="17"/>
  <c r="E1771" i="17"/>
  <c r="C1772" i="17"/>
  <c r="D1772" i="17"/>
  <c r="E1772" i="17"/>
  <c r="C1773" i="17"/>
  <c r="D1773" i="17"/>
  <c r="E1773" i="17"/>
  <c r="C1774" i="17"/>
  <c r="D1774" i="17"/>
  <c r="E1774" i="17"/>
  <c r="C1775" i="17"/>
  <c r="D1775" i="17"/>
  <c r="E1775" i="17"/>
  <c r="C1776" i="17"/>
  <c r="D1776" i="17"/>
  <c r="E1776" i="17"/>
  <c r="C1777" i="17"/>
  <c r="D1777" i="17"/>
  <c r="E1777" i="17"/>
  <c r="C1778" i="17"/>
  <c r="D1778" i="17"/>
  <c r="E1778" i="17"/>
  <c r="C1779" i="17"/>
  <c r="D1779" i="17"/>
  <c r="E1779" i="17"/>
  <c r="C1780" i="17"/>
  <c r="D1780" i="17"/>
  <c r="E1780" i="17"/>
  <c r="C1781" i="17"/>
  <c r="D1781" i="17"/>
  <c r="E1781" i="17"/>
  <c r="C1782" i="17"/>
  <c r="D1782" i="17"/>
  <c r="E1782" i="17"/>
  <c r="C1783" i="17"/>
  <c r="D1783" i="17"/>
  <c r="E1783" i="17"/>
  <c r="C1784" i="17"/>
  <c r="D1784" i="17"/>
  <c r="E1784" i="17"/>
  <c r="C1785" i="17"/>
  <c r="D1785" i="17"/>
  <c r="E1785" i="17"/>
  <c r="C1786" i="17"/>
  <c r="D1786" i="17"/>
  <c r="E1786" i="17"/>
  <c r="C1787" i="17"/>
  <c r="D1787" i="17"/>
  <c r="E1787" i="17"/>
  <c r="C1788" i="17"/>
  <c r="D1788" i="17"/>
  <c r="E1788" i="17"/>
  <c r="C1789" i="17"/>
  <c r="D1789" i="17"/>
  <c r="E1789" i="17"/>
  <c r="C1790" i="17"/>
  <c r="D1790" i="17"/>
  <c r="E1790" i="17"/>
  <c r="C1791" i="17"/>
  <c r="D1791" i="17"/>
  <c r="E1791" i="17"/>
  <c r="C1792" i="17"/>
  <c r="D1792" i="17"/>
  <c r="E1792" i="17"/>
  <c r="C1793" i="17"/>
  <c r="D1793" i="17"/>
  <c r="E1793" i="17"/>
  <c r="C1794" i="17"/>
  <c r="D1794" i="17"/>
  <c r="E1794" i="17"/>
  <c r="C1795" i="17"/>
  <c r="D1795" i="17"/>
  <c r="E1795" i="17"/>
  <c r="C1796" i="17"/>
  <c r="D1796" i="17"/>
  <c r="E1796" i="17"/>
  <c r="C1797" i="17"/>
  <c r="D1797" i="17"/>
  <c r="E1797" i="17"/>
  <c r="C1798" i="17"/>
  <c r="D1798" i="17"/>
  <c r="E1798" i="17"/>
  <c r="C1799" i="17"/>
  <c r="D1799" i="17"/>
  <c r="E1799" i="17"/>
  <c r="C1800" i="17"/>
  <c r="D1800" i="17"/>
  <c r="E1800" i="17"/>
  <c r="C1801" i="17"/>
  <c r="D1801" i="17"/>
  <c r="E1801" i="17"/>
  <c r="C1802" i="17"/>
  <c r="D1802" i="17"/>
  <c r="E1802" i="17"/>
  <c r="C1803" i="17"/>
  <c r="D1803" i="17"/>
  <c r="E1803" i="17"/>
  <c r="C1804" i="17"/>
  <c r="D1804" i="17"/>
  <c r="E1804" i="17"/>
  <c r="C1805" i="17"/>
  <c r="D1805" i="17"/>
  <c r="E1805" i="17"/>
  <c r="C1806" i="17"/>
  <c r="D1806" i="17"/>
  <c r="E1806" i="17"/>
  <c r="C1807" i="17"/>
  <c r="D1807" i="17"/>
  <c r="E1807" i="17"/>
  <c r="C1808" i="17"/>
  <c r="D1808" i="17"/>
  <c r="E1808" i="17"/>
  <c r="C1809" i="17"/>
  <c r="D1809" i="17"/>
  <c r="E1809" i="17"/>
  <c r="C1810" i="17"/>
  <c r="D1810" i="17"/>
  <c r="E1810" i="17"/>
  <c r="C1811" i="17"/>
  <c r="D1811" i="17"/>
  <c r="E1811" i="17"/>
  <c r="C1812" i="17"/>
  <c r="D1812" i="17"/>
  <c r="E1812" i="17"/>
  <c r="C1813" i="17"/>
  <c r="D1813" i="17"/>
  <c r="E1813" i="17"/>
  <c r="C1814" i="17"/>
  <c r="D1814" i="17"/>
  <c r="E1814" i="17"/>
  <c r="C1815" i="17"/>
  <c r="D1815" i="17"/>
  <c r="E1815" i="17"/>
  <c r="C1816" i="17"/>
  <c r="D1816" i="17"/>
  <c r="E1816" i="17"/>
  <c r="C1817" i="17"/>
  <c r="D1817" i="17"/>
  <c r="E1817" i="17"/>
  <c r="C1818" i="17"/>
  <c r="D1818" i="17"/>
  <c r="E1818" i="17"/>
  <c r="C1819" i="17"/>
  <c r="D1819" i="17"/>
  <c r="E1819" i="17"/>
  <c r="C1820" i="17"/>
  <c r="D1820" i="17"/>
  <c r="E1820" i="17"/>
  <c r="C1821" i="17"/>
  <c r="D1821" i="17"/>
  <c r="E1821" i="17"/>
  <c r="C1822" i="17"/>
  <c r="D1822" i="17"/>
  <c r="E1822" i="17"/>
  <c r="C1823" i="17"/>
  <c r="D1823" i="17"/>
  <c r="E1823" i="17"/>
  <c r="C1824" i="17"/>
  <c r="D1824" i="17"/>
  <c r="E1824" i="17"/>
  <c r="C1825" i="17"/>
  <c r="D1825" i="17"/>
  <c r="E1825" i="17"/>
  <c r="C1826" i="17"/>
  <c r="D1826" i="17"/>
  <c r="E1826" i="17"/>
  <c r="C1827" i="17"/>
  <c r="D1827" i="17"/>
  <c r="E1827" i="17"/>
  <c r="C1828" i="17"/>
  <c r="D1828" i="17"/>
  <c r="E1828" i="17"/>
  <c r="C1829" i="17"/>
  <c r="D1829" i="17"/>
  <c r="E1829" i="17"/>
  <c r="C1830" i="17"/>
  <c r="D1830" i="17"/>
  <c r="E1830" i="17"/>
  <c r="C1831" i="17"/>
  <c r="D1831" i="17"/>
  <c r="E1831" i="17"/>
  <c r="C1832" i="17"/>
  <c r="D1832" i="17"/>
  <c r="E1832" i="17"/>
  <c r="C1833" i="17"/>
  <c r="D1833" i="17"/>
  <c r="E1833" i="17"/>
  <c r="C1834" i="17"/>
  <c r="D1834" i="17"/>
  <c r="E1834" i="17"/>
  <c r="C1835" i="17"/>
  <c r="D1835" i="17"/>
  <c r="E1835" i="17"/>
  <c r="C1836" i="17"/>
  <c r="D1836" i="17"/>
  <c r="E1836" i="17"/>
  <c r="C1837" i="17"/>
  <c r="D1837" i="17"/>
  <c r="E1837" i="17"/>
  <c r="C1838" i="17"/>
  <c r="D1838" i="17"/>
  <c r="E1838" i="17"/>
  <c r="C1839" i="17"/>
  <c r="D1839" i="17"/>
  <c r="E1839" i="17"/>
  <c r="C1840" i="17"/>
  <c r="D1840" i="17"/>
  <c r="E1840" i="17"/>
  <c r="C1841" i="17"/>
  <c r="D1841" i="17"/>
  <c r="E1841" i="17"/>
  <c r="C1842" i="17"/>
  <c r="D1842" i="17"/>
  <c r="E1842" i="17"/>
  <c r="C1843" i="17"/>
  <c r="D1843" i="17"/>
  <c r="E1843" i="17"/>
  <c r="C1844" i="17"/>
  <c r="D1844" i="17"/>
  <c r="E1844" i="17"/>
  <c r="C1845" i="17"/>
  <c r="D1845" i="17"/>
  <c r="E1845" i="17"/>
  <c r="C1846" i="17"/>
  <c r="D1846" i="17"/>
  <c r="E1846" i="17"/>
  <c r="C1847" i="17"/>
  <c r="D1847" i="17"/>
  <c r="E1847" i="17"/>
  <c r="C1848" i="17"/>
  <c r="D1848" i="17"/>
  <c r="E1848" i="17"/>
  <c r="C1849" i="17"/>
  <c r="D1849" i="17"/>
  <c r="E1849" i="17"/>
  <c r="C1850" i="17"/>
  <c r="D1850" i="17"/>
  <c r="E1850" i="17"/>
  <c r="C1851" i="17"/>
  <c r="D1851" i="17"/>
  <c r="E1851" i="17"/>
  <c r="C1852" i="17"/>
  <c r="D1852" i="17"/>
  <c r="E1852" i="17"/>
  <c r="C1853" i="17"/>
  <c r="D1853" i="17"/>
  <c r="E1853" i="17"/>
  <c r="C1854" i="17"/>
  <c r="D1854" i="17"/>
  <c r="E1854" i="17"/>
  <c r="C1855" i="17"/>
  <c r="D1855" i="17"/>
  <c r="E1855" i="17"/>
  <c r="C1856" i="17"/>
  <c r="D1856" i="17"/>
  <c r="E1856" i="17"/>
  <c r="C1857" i="17"/>
  <c r="D1857" i="17"/>
  <c r="E1857" i="17"/>
  <c r="C1858" i="17"/>
  <c r="D1858" i="17"/>
  <c r="E1858" i="17"/>
  <c r="C1859" i="17"/>
  <c r="D1859" i="17"/>
  <c r="E1859" i="17"/>
  <c r="C1860" i="17"/>
  <c r="D1860" i="17"/>
  <c r="E1860" i="17"/>
  <c r="C1861" i="17"/>
  <c r="D1861" i="17"/>
  <c r="E1861" i="17"/>
  <c r="C1862" i="17"/>
  <c r="D1862" i="17"/>
  <c r="E1862" i="17"/>
  <c r="C1863" i="17"/>
  <c r="D1863" i="17"/>
  <c r="E1863" i="17"/>
  <c r="C1864" i="17"/>
  <c r="D1864" i="17"/>
  <c r="E1864" i="17"/>
  <c r="C1865" i="17"/>
  <c r="D1865" i="17"/>
  <c r="E1865" i="17"/>
  <c r="C1866" i="17"/>
  <c r="D1866" i="17"/>
  <c r="E1866" i="17"/>
  <c r="C1867" i="17"/>
  <c r="D1867" i="17"/>
  <c r="E1867" i="17"/>
  <c r="C1868" i="17"/>
  <c r="D1868" i="17"/>
  <c r="E1868" i="17"/>
  <c r="C1869" i="17"/>
  <c r="D1869" i="17"/>
  <c r="E1869" i="17"/>
  <c r="C1870" i="17"/>
  <c r="D1870" i="17"/>
  <c r="E1870" i="17"/>
  <c r="C1871" i="17"/>
  <c r="D1871" i="17"/>
  <c r="E1871" i="17"/>
  <c r="C1872" i="17"/>
  <c r="D1872" i="17"/>
  <c r="E1872" i="17"/>
  <c r="C1873" i="17"/>
  <c r="D1873" i="17"/>
  <c r="E1873" i="17"/>
  <c r="C1874" i="17"/>
  <c r="D1874" i="17"/>
  <c r="E1874" i="17"/>
  <c r="C1875" i="17"/>
  <c r="D1875" i="17"/>
  <c r="E1875" i="17"/>
  <c r="C1876" i="17"/>
  <c r="D1876" i="17"/>
  <c r="E1876" i="17"/>
  <c r="C1877" i="17"/>
  <c r="D1877" i="17"/>
  <c r="E1877" i="17"/>
  <c r="C1878" i="17"/>
  <c r="D1878" i="17"/>
  <c r="E1878" i="17"/>
  <c r="C1879" i="17"/>
  <c r="D1879" i="17"/>
  <c r="E1879" i="17"/>
  <c r="C1880" i="17"/>
  <c r="D1880" i="17"/>
  <c r="E1880" i="17"/>
  <c r="C1881" i="17"/>
  <c r="D1881" i="17"/>
  <c r="E1881" i="17"/>
  <c r="C1882" i="17"/>
  <c r="D1882" i="17"/>
  <c r="E1882" i="17"/>
  <c r="C1883" i="17"/>
  <c r="D1883" i="17"/>
  <c r="E1883" i="17"/>
  <c r="C1884" i="17"/>
  <c r="D1884" i="17"/>
  <c r="E1884" i="17"/>
  <c r="C1885" i="17"/>
  <c r="D1885" i="17"/>
  <c r="E1885" i="17"/>
  <c r="C1886" i="17"/>
  <c r="D1886" i="17"/>
  <c r="E1886" i="17"/>
  <c r="C1887" i="17"/>
  <c r="D1887" i="17"/>
  <c r="E1887" i="17"/>
  <c r="C1888" i="17"/>
  <c r="D1888" i="17"/>
  <c r="E1888" i="17"/>
  <c r="C1889" i="17"/>
  <c r="D1889" i="17"/>
  <c r="E1889" i="17"/>
  <c r="C1890" i="17"/>
  <c r="D1890" i="17"/>
  <c r="E1890" i="17"/>
  <c r="C1891" i="17"/>
  <c r="D1891" i="17"/>
  <c r="E1891" i="17"/>
  <c r="C1892" i="17"/>
  <c r="D1892" i="17"/>
  <c r="E1892" i="17"/>
  <c r="C1893" i="17"/>
  <c r="D1893" i="17"/>
  <c r="E1893" i="17"/>
  <c r="C1894" i="17"/>
  <c r="D1894" i="17"/>
  <c r="E1894" i="17"/>
  <c r="C1895" i="17"/>
  <c r="D1895" i="17"/>
  <c r="E1895" i="17"/>
  <c r="C1896" i="17"/>
  <c r="D1896" i="17"/>
  <c r="E1896" i="17"/>
  <c r="C1897" i="17"/>
  <c r="D1897" i="17"/>
  <c r="E1897" i="17"/>
  <c r="C1898" i="17"/>
  <c r="D1898" i="17"/>
  <c r="E1898" i="17"/>
  <c r="C1899" i="17"/>
  <c r="D1899" i="17"/>
  <c r="E1899" i="17"/>
  <c r="C1900" i="17"/>
  <c r="D1900" i="17"/>
  <c r="E1900" i="17"/>
  <c r="C1901" i="17"/>
  <c r="D1901" i="17"/>
  <c r="E1901" i="17"/>
  <c r="C1902" i="17"/>
  <c r="D1902" i="17"/>
  <c r="E1902" i="17"/>
  <c r="C1903" i="17"/>
  <c r="D1903" i="17"/>
  <c r="E1903" i="17"/>
  <c r="C1904" i="17"/>
  <c r="D1904" i="17"/>
  <c r="E1904" i="17"/>
  <c r="C1905" i="17"/>
  <c r="D1905" i="17"/>
  <c r="E1905" i="17"/>
  <c r="C1906" i="17"/>
  <c r="D1906" i="17"/>
  <c r="E1906" i="17"/>
  <c r="C1907" i="17"/>
  <c r="D1907" i="17"/>
  <c r="E1907" i="17"/>
  <c r="C1908" i="17"/>
  <c r="D1908" i="17"/>
  <c r="E1908" i="17"/>
  <c r="C1909" i="17"/>
  <c r="D1909" i="17"/>
  <c r="E1909" i="17"/>
  <c r="C1910" i="17"/>
  <c r="D1910" i="17"/>
  <c r="E1910" i="17"/>
  <c r="C1911" i="17"/>
  <c r="D1911" i="17"/>
  <c r="E1911" i="17"/>
  <c r="C1912" i="17"/>
  <c r="D1912" i="17"/>
  <c r="E1912" i="17"/>
  <c r="C1913" i="17"/>
  <c r="D1913" i="17"/>
  <c r="E1913" i="17"/>
  <c r="C1914" i="17"/>
  <c r="D1914" i="17"/>
  <c r="E1914" i="17"/>
  <c r="C1915" i="17"/>
  <c r="D1915" i="17"/>
  <c r="E1915" i="17"/>
  <c r="C1916" i="17"/>
  <c r="D1916" i="17"/>
  <c r="E1916" i="17"/>
  <c r="C1917" i="17"/>
  <c r="D1917" i="17"/>
  <c r="E1917" i="17"/>
  <c r="C1918" i="17"/>
  <c r="D1918" i="17"/>
  <c r="E1918" i="17"/>
  <c r="C1919" i="17"/>
  <c r="D1919" i="17"/>
  <c r="E1919" i="17"/>
  <c r="C1920" i="17"/>
  <c r="D1920" i="17"/>
  <c r="E1920" i="17"/>
  <c r="C1921" i="17"/>
  <c r="D1921" i="17"/>
  <c r="E1921" i="17"/>
  <c r="C1922" i="17"/>
  <c r="D1922" i="17"/>
  <c r="E1922" i="17"/>
  <c r="C1923" i="17"/>
  <c r="D1923" i="17"/>
  <c r="E1923" i="17"/>
  <c r="C1924" i="17"/>
  <c r="D1924" i="17"/>
  <c r="E1924" i="17"/>
  <c r="C1925" i="17"/>
  <c r="D1925" i="17"/>
  <c r="E1925" i="17"/>
  <c r="C1926" i="17"/>
  <c r="D1926" i="17"/>
  <c r="E1926" i="17"/>
  <c r="C1927" i="17"/>
  <c r="D1927" i="17"/>
  <c r="E1927" i="17"/>
  <c r="C1928" i="17"/>
  <c r="D1928" i="17"/>
  <c r="E1928" i="17"/>
  <c r="C1929" i="17"/>
  <c r="D1929" i="17"/>
  <c r="E1929" i="17"/>
  <c r="C1930" i="17"/>
  <c r="D1930" i="17"/>
  <c r="E1930" i="17"/>
  <c r="C1931" i="17"/>
  <c r="D1931" i="17"/>
  <c r="E1931" i="17"/>
  <c r="C1932" i="17"/>
  <c r="D1932" i="17"/>
  <c r="E1932" i="17"/>
  <c r="C1933" i="17"/>
  <c r="D1933" i="17"/>
  <c r="E1933" i="17"/>
  <c r="C1934" i="17"/>
  <c r="D1934" i="17"/>
  <c r="E1934" i="17"/>
  <c r="C1935" i="17"/>
  <c r="D1935" i="17"/>
  <c r="E1935" i="17"/>
  <c r="C1936" i="17"/>
  <c r="D1936" i="17"/>
  <c r="E1936" i="17"/>
  <c r="C1937" i="17"/>
  <c r="D1937" i="17"/>
  <c r="E1937" i="17"/>
  <c r="C1938" i="17"/>
  <c r="D1938" i="17"/>
  <c r="E1938" i="17"/>
  <c r="C1939" i="17"/>
  <c r="D1939" i="17"/>
  <c r="E1939" i="17"/>
  <c r="C1940" i="17"/>
  <c r="D1940" i="17"/>
  <c r="E1940" i="17"/>
  <c r="C1941" i="17"/>
  <c r="D1941" i="17"/>
  <c r="E1941" i="17"/>
  <c r="C1942" i="17"/>
  <c r="D1942" i="17"/>
  <c r="E1942" i="17"/>
  <c r="C1943" i="17"/>
  <c r="D1943" i="17"/>
  <c r="E1943" i="17"/>
  <c r="C1944" i="17"/>
  <c r="D1944" i="17"/>
  <c r="E1944" i="17"/>
  <c r="C1945" i="17"/>
  <c r="D1945" i="17"/>
  <c r="E1945" i="17"/>
  <c r="C1946" i="17"/>
  <c r="D1946" i="17"/>
  <c r="E1946" i="17"/>
  <c r="C1947" i="17"/>
  <c r="D1947" i="17"/>
  <c r="E1947" i="17"/>
  <c r="C1948" i="17"/>
  <c r="D1948" i="17"/>
  <c r="E1948" i="17"/>
  <c r="C1949" i="17"/>
  <c r="D1949" i="17"/>
  <c r="E1949" i="17"/>
  <c r="C1950" i="17"/>
  <c r="D1950" i="17"/>
  <c r="E1950" i="17"/>
  <c r="C1951" i="17"/>
  <c r="D1951" i="17"/>
  <c r="E1951" i="17"/>
  <c r="C1952" i="17"/>
  <c r="D1952" i="17"/>
  <c r="E1952" i="17"/>
  <c r="C1953" i="17"/>
  <c r="D1953" i="17"/>
  <c r="E1953" i="17"/>
  <c r="C1954" i="17"/>
  <c r="D1954" i="17"/>
  <c r="E1954" i="17"/>
  <c r="C1955" i="17"/>
  <c r="D1955" i="17"/>
  <c r="E1955" i="17"/>
  <c r="C1956" i="17"/>
  <c r="D1956" i="17"/>
  <c r="E1956" i="17"/>
  <c r="C1957" i="17"/>
  <c r="D1957" i="17"/>
  <c r="E1957" i="17"/>
  <c r="C1958" i="17"/>
  <c r="D1958" i="17"/>
  <c r="E1958" i="17"/>
  <c r="C1959" i="17"/>
  <c r="D1959" i="17"/>
  <c r="E1959" i="17"/>
  <c r="C1960" i="17"/>
  <c r="D1960" i="17"/>
  <c r="E1960" i="17"/>
  <c r="C1961" i="17"/>
  <c r="D1961" i="17"/>
  <c r="E1961" i="17"/>
  <c r="C1962" i="17"/>
  <c r="D1962" i="17"/>
  <c r="E1962" i="17"/>
  <c r="C1963" i="17"/>
  <c r="D1963" i="17"/>
  <c r="E1963" i="17"/>
  <c r="C1964" i="17"/>
  <c r="D1964" i="17"/>
  <c r="E1964" i="17"/>
  <c r="C1965" i="17"/>
  <c r="D1965" i="17"/>
  <c r="E1965" i="17"/>
  <c r="C1966" i="17"/>
  <c r="D1966" i="17"/>
  <c r="E1966" i="17"/>
  <c r="C1967" i="17"/>
  <c r="D1967" i="17"/>
  <c r="E1967" i="17"/>
  <c r="C1968" i="17"/>
  <c r="D1968" i="17"/>
  <c r="E1968" i="17"/>
  <c r="C1969" i="17"/>
  <c r="D1969" i="17"/>
  <c r="E1969" i="17"/>
  <c r="C1970" i="17"/>
  <c r="D1970" i="17"/>
  <c r="E1970" i="17"/>
  <c r="C1971" i="17"/>
  <c r="D1971" i="17"/>
  <c r="E1971" i="17"/>
  <c r="C1972" i="17"/>
  <c r="D1972" i="17"/>
  <c r="E1972" i="17"/>
  <c r="C1973" i="17"/>
  <c r="D1973" i="17"/>
  <c r="E1973" i="17"/>
  <c r="C1974" i="17"/>
  <c r="D1974" i="17"/>
  <c r="E1974" i="17"/>
  <c r="C1975" i="17"/>
  <c r="D1975" i="17"/>
  <c r="E1975" i="17"/>
  <c r="C1976" i="17"/>
  <c r="D1976" i="17"/>
  <c r="E1976" i="17"/>
  <c r="C1977" i="17"/>
  <c r="D1977" i="17"/>
  <c r="E1977" i="17"/>
  <c r="C1978" i="17"/>
  <c r="D1978" i="17"/>
  <c r="E1978" i="17"/>
  <c r="C1979" i="17"/>
  <c r="D1979" i="17"/>
  <c r="E1979" i="17"/>
  <c r="C1980" i="17"/>
  <c r="D1980" i="17"/>
  <c r="E1980" i="17"/>
  <c r="C1981" i="17"/>
  <c r="D1981" i="17"/>
  <c r="E1981" i="17"/>
  <c r="C1982" i="17"/>
  <c r="D1982" i="17"/>
  <c r="E1982" i="17"/>
  <c r="C1983" i="17"/>
  <c r="D1983" i="17"/>
  <c r="E1983" i="17"/>
  <c r="C1984" i="17"/>
  <c r="D1984" i="17"/>
  <c r="E1984" i="17"/>
  <c r="C1985" i="17"/>
  <c r="D1985" i="17"/>
  <c r="E1985" i="17"/>
  <c r="C1986" i="17"/>
  <c r="D1986" i="17"/>
  <c r="E1986" i="17"/>
  <c r="C1987" i="17"/>
  <c r="D1987" i="17"/>
  <c r="E1987" i="17"/>
  <c r="C1988" i="17"/>
  <c r="D1988" i="17"/>
  <c r="E1988" i="17"/>
  <c r="C1989" i="17"/>
  <c r="D1989" i="17"/>
  <c r="E1989" i="17"/>
  <c r="C1990" i="17"/>
  <c r="D1990" i="17"/>
  <c r="E1990" i="17"/>
  <c r="C1991" i="17"/>
  <c r="D1991" i="17"/>
  <c r="E1991" i="17"/>
  <c r="C1992" i="17"/>
  <c r="D1992" i="17"/>
  <c r="E1992" i="17"/>
  <c r="C1993" i="17"/>
  <c r="D1993" i="17"/>
  <c r="E1993" i="17"/>
  <c r="C1994" i="17"/>
  <c r="D1994" i="17"/>
  <c r="E1994" i="17"/>
  <c r="C1995" i="17"/>
  <c r="D1995" i="17"/>
  <c r="E1995" i="17"/>
  <c r="C1996" i="17"/>
  <c r="D1996" i="17"/>
  <c r="E1996" i="17"/>
  <c r="C1997" i="17"/>
  <c r="D1997" i="17"/>
  <c r="E1997" i="17"/>
  <c r="C1998" i="17"/>
  <c r="D1998" i="17"/>
  <c r="E1998" i="17"/>
  <c r="C1999" i="17"/>
  <c r="D1999" i="17"/>
  <c r="E1999" i="17"/>
  <c r="C2000" i="17"/>
  <c r="D2000" i="17"/>
  <c r="E2000" i="17"/>
  <c r="E5" i="9"/>
  <c r="E5" i="17"/>
  <c r="D5" i="17"/>
  <c r="C5" i="17"/>
  <c r="B5" i="17"/>
  <c r="D5" i="9"/>
  <c r="T3" i="24"/>
  <c r="N12" i="27" l="1"/>
  <c r="N9" i="27"/>
  <c r="N10" i="27"/>
  <c r="N13" i="27"/>
  <c r="M9" i="27"/>
  <c r="M12" i="27"/>
  <c r="M13" i="27"/>
  <c r="M10" i="27"/>
  <c r="L12" i="27"/>
  <c r="L9" i="27"/>
  <c r="L13" i="27"/>
  <c r="L10" i="27"/>
  <c r="K12" i="27"/>
  <c r="K9" i="27"/>
  <c r="K10" i="27"/>
  <c r="K13" i="27"/>
  <c r="E12" i="27"/>
  <c r="E9" i="27"/>
  <c r="E13" i="27"/>
  <c r="E10" i="27"/>
  <c r="C12" i="27"/>
  <c r="C9" i="27"/>
  <c r="C13" i="27"/>
  <c r="C10" i="27"/>
  <c r="G12" i="27"/>
  <c r="G9" i="27"/>
  <c r="G13" i="27"/>
  <c r="G10" i="27"/>
  <c r="F12" i="27"/>
  <c r="F9" i="27"/>
  <c r="F13" i="27"/>
  <c r="F10" i="27"/>
  <c r="D9" i="27"/>
  <c r="D12" i="27"/>
  <c r="D13" i="27"/>
  <c r="D10" i="27"/>
  <c r="H12" i="27"/>
  <c r="H9" i="27"/>
  <c r="H13" i="27"/>
  <c r="H10" i="27"/>
  <c r="J12" i="27"/>
  <c r="J9" i="27"/>
  <c r="J13" i="27"/>
  <c r="J10" i="27"/>
  <c r="I12" i="27"/>
  <c r="I9" i="27"/>
  <c r="I13" i="27"/>
  <c r="I10" i="27"/>
  <c r="J78" i="24"/>
  <c r="H78" i="24"/>
  <c r="F78" i="24"/>
  <c r="B78" i="24"/>
  <c r="J77" i="24"/>
  <c r="H77" i="24"/>
  <c r="F77" i="24"/>
  <c r="B77" i="24"/>
  <c r="J76" i="24"/>
  <c r="H76" i="24"/>
  <c r="F76" i="24"/>
  <c r="B76" i="24"/>
  <c r="J75" i="24"/>
  <c r="H75" i="24"/>
  <c r="F75" i="24"/>
  <c r="B75" i="24"/>
  <c r="J74" i="24"/>
  <c r="H74" i="24"/>
  <c r="F74" i="24"/>
  <c r="B74" i="24"/>
  <c r="J73" i="24"/>
  <c r="H73" i="24"/>
  <c r="F73" i="24"/>
  <c r="B73" i="24"/>
  <c r="J72" i="24"/>
  <c r="H72" i="24"/>
  <c r="F72" i="24"/>
  <c r="B72" i="24"/>
  <c r="J71" i="24"/>
  <c r="H71" i="24"/>
  <c r="F71" i="24"/>
  <c r="B71" i="24"/>
  <c r="J70" i="24"/>
  <c r="H70" i="24"/>
  <c r="F70" i="24"/>
  <c r="B70" i="24"/>
  <c r="J69" i="24"/>
  <c r="H69" i="24"/>
  <c r="F69" i="24"/>
  <c r="B69" i="24"/>
  <c r="J68" i="24"/>
  <c r="H68" i="24"/>
  <c r="F68" i="24"/>
  <c r="B68" i="24"/>
  <c r="J67" i="24"/>
  <c r="H67" i="24"/>
  <c r="F67" i="24"/>
  <c r="B67" i="24"/>
  <c r="J66" i="24"/>
  <c r="H66" i="24"/>
  <c r="F66" i="24"/>
  <c r="B66" i="24"/>
  <c r="J65" i="24"/>
  <c r="H65" i="24"/>
  <c r="F65" i="24"/>
  <c r="B65" i="24"/>
  <c r="J64" i="24"/>
  <c r="H64" i="24"/>
  <c r="F64" i="24"/>
  <c r="B64" i="24"/>
  <c r="J63" i="24"/>
  <c r="H63" i="24"/>
  <c r="F63" i="24"/>
  <c r="B63" i="24"/>
  <c r="J62" i="24"/>
  <c r="H62" i="24"/>
  <c r="F62" i="24"/>
  <c r="B62" i="24"/>
  <c r="J61" i="24"/>
  <c r="H61" i="24"/>
  <c r="F61" i="24"/>
  <c r="B61" i="24"/>
  <c r="J60" i="24"/>
  <c r="H60" i="24"/>
  <c r="F60" i="24"/>
  <c r="B60" i="24"/>
  <c r="J59" i="24"/>
  <c r="H59" i="24"/>
  <c r="F59" i="24"/>
  <c r="B59" i="24"/>
  <c r="J58" i="24"/>
  <c r="H58" i="24"/>
  <c r="F58" i="24"/>
  <c r="B58" i="24"/>
  <c r="J57" i="24"/>
  <c r="H57" i="24"/>
  <c r="F57" i="24"/>
  <c r="B57" i="24"/>
  <c r="J56" i="24"/>
  <c r="H56" i="24"/>
  <c r="F56" i="24"/>
  <c r="B56" i="24"/>
  <c r="J55" i="24"/>
  <c r="H55" i="24"/>
  <c r="F55" i="24"/>
  <c r="B55" i="24"/>
  <c r="J54" i="24"/>
  <c r="H54" i="24"/>
  <c r="F54" i="24"/>
  <c r="B54" i="24"/>
  <c r="J53" i="24"/>
  <c r="H53" i="24"/>
  <c r="F53" i="24"/>
  <c r="B53" i="24"/>
  <c r="J52" i="24"/>
  <c r="H52" i="24"/>
  <c r="F52" i="24"/>
  <c r="B52" i="24"/>
  <c r="J51" i="24"/>
  <c r="H51" i="24"/>
  <c r="F51" i="24"/>
  <c r="B51" i="24"/>
  <c r="J50" i="24"/>
  <c r="H50" i="24"/>
  <c r="F50" i="24"/>
  <c r="B50" i="24"/>
  <c r="J49" i="24"/>
  <c r="H49" i="24"/>
  <c r="F49" i="24"/>
  <c r="B49" i="24"/>
  <c r="J48" i="24"/>
  <c r="H48" i="24"/>
  <c r="F48" i="24"/>
  <c r="B48" i="24"/>
  <c r="J47" i="24"/>
  <c r="H47" i="24"/>
  <c r="F47" i="24"/>
  <c r="B47" i="24"/>
  <c r="J46" i="24"/>
  <c r="H46" i="24"/>
  <c r="F46" i="24"/>
  <c r="B46" i="24"/>
  <c r="L45" i="24"/>
  <c r="J45" i="24"/>
  <c r="H45" i="24"/>
  <c r="F45" i="24"/>
  <c r="B45" i="24"/>
  <c r="L44" i="24"/>
  <c r="J44" i="24"/>
  <c r="H44" i="24"/>
  <c r="F44" i="24"/>
  <c r="B44" i="24"/>
  <c r="L43" i="24"/>
  <c r="J43" i="24"/>
  <c r="H43" i="24"/>
  <c r="F43" i="24"/>
  <c r="B43" i="24"/>
  <c r="L42" i="24"/>
  <c r="H42" i="24"/>
  <c r="J42" i="24" s="1"/>
  <c r="F42" i="24"/>
  <c r="B42" i="24"/>
  <c r="L41" i="24"/>
  <c r="H41" i="24"/>
  <c r="J41" i="24" s="1"/>
  <c r="F41" i="24"/>
  <c r="B41" i="24"/>
  <c r="L40" i="24"/>
  <c r="H40" i="24"/>
  <c r="J40" i="24" s="1"/>
  <c r="F40" i="24"/>
  <c r="B40" i="24"/>
  <c r="L39" i="24"/>
  <c r="H39" i="24"/>
  <c r="J39" i="24" s="1"/>
  <c r="F39" i="24"/>
  <c r="B39" i="24"/>
  <c r="L38" i="24"/>
  <c r="H38" i="24"/>
  <c r="J38" i="24" s="1"/>
  <c r="F38" i="24"/>
  <c r="B38" i="24"/>
  <c r="L37" i="24"/>
  <c r="H37" i="24"/>
  <c r="J37" i="24" s="1"/>
  <c r="F37" i="24"/>
  <c r="B37" i="24"/>
  <c r="L36" i="24"/>
  <c r="H36" i="24"/>
  <c r="J36" i="24" s="1"/>
  <c r="F36" i="24"/>
  <c r="B36" i="24"/>
  <c r="L35" i="24"/>
  <c r="H35" i="24"/>
  <c r="J35" i="24" s="1"/>
  <c r="F35" i="24"/>
  <c r="B35" i="24"/>
  <c r="L34" i="24"/>
  <c r="H34" i="24"/>
  <c r="J34" i="24" s="1"/>
  <c r="F34" i="24"/>
  <c r="L33" i="24"/>
  <c r="H33" i="24"/>
  <c r="J33" i="24" s="1"/>
  <c r="F33" i="24"/>
  <c r="H32" i="24"/>
  <c r="J32" i="24" s="1"/>
  <c r="H31" i="24"/>
  <c r="J31" i="24" s="1"/>
  <c r="H3" i="24"/>
  <c r="B6" i="19"/>
  <c r="B7" i="19"/>
  <c r="B8" i="19"/>
  <c r="B9" i="19"/>
  <c r="B10" i="19"/>
  <c r="B11" i="19"/>
  <c r="B12" i="19"/>
  <c r="F12" i="19" s="1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F28" i="19" s="1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F66" i="19" s="1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C105" i="19" s="1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C175" i="19" s="1"/>
  <c r="E175" i="19" s="1"/>
  <c r="B176" i="19"/>
  <c r="C176" i="19" s="1"/>
  <c r="E176" i="19" s="1"/>
  <c r="B177" i="19"/>
  <c r="C177" i="19" s="1"/>
  <c r="G177" i="19" s="1"/>
  <c r="B178" i="19"/>
  <c r="C178" i="19" s="1"/>
  <c r="G178" i="19" s="1"/>
  <c r="B179" i="19"/>
  <c r="C179" i="19" s="1"/>
  <c r="G179" i="19" s="1"/>
  <c r="B180" i="19"/>
  <c r="C180" i="19" s="1"/>
  <c r="E180" i="19" s="1"/>
  <c r="B181" i="19"/>
  <c r="C181" i="19" s="1"/>
  <c r="E181" i="19" s="1"/>
  <c r="B182" i="19"/>
  <c r="C182" i="19" s="1"/>
  <c r="E182" i="19" s="1"/>
  <c r="B183" i="19"/>
  <c r="C183" i="19" s="1"/>
  <c r="G183" i="19" s="1"/>
  <c r="B184" i="19"/>
  <c r="C184" i="19" s="1"/>
  <c r="G184" i="19" s="1"/>
  <c r="B185" i="19"/>
  <c r="C185" i="19" s="1"/>
  <c r="G185" i="19" s="1"/>
  <c r="B186" i="19"/>
  <c r="C186" i="19" s="1"/>
  <c r="G186" i="19" s="1"/>
  <c r="B187" i="19"/>
  <c r="C187" i="19" s="1"/>
  <c r="E187" i="19" s="1"/>
  <c r="B188" i="19"/>
  <c r="C188" i="19" s="1"/>
  <c r="E188" i="19" s="1"/>
  <c r="B189" i="19"/>
  <c r="C189" i="19" s="1"/>
  <c r="E189" i="19" s="1"/>
  <c r="B190" i="19"/>
  <c r="C190" i="19" s="1"/>
  <c r="G190" i="19" s="1"/>
  <c r="B191" i="19"/>
  <c r="C191" i="19" s="1"/>
  <c r="G191" i="19" s="1"/>
  <c r="B192" i="19"/>
  <c r="C192" i="19" s="1"/>
  <c r="G192" i="19" s="1"/>
  <c r="B193" i="19"/>
  <c r="C193" i="19" s="1"/>
  <c r="E193" i="19" s="1"/>
  <c r="B194" i="19"/>
  <c r="C194" i="19" s="1"/>
  <c r="E194" i="19" s="1"/>
  <c r="B195" i="19"/>
  <c r="C195" i="19" s="1"/>
  <c r="E195" i="19" s="1"/>
  <c r="B196" i="19"/>
  <c r="C196" i="19" s="1"/>
  <c r="G196" i="19" s="1"/>
  <c r="B197" i="19"/>
  <c r="C197" i="19" s="1"/>
  <c r="G197" i="19" s="1"/>
  <c r="B198" i="19"/>
  <c r="C198" i="19" s="1"/>
  <c r="G198" i="19" s="1"/>
  <c r="B199" i="19"/>
  <c r="C199" i="19" s="1"/>
  <c r="G199" i="19" s="1"/>
  <c r="B200" i="19"/>
  <c r="C200" i="19" s="1"/>
  <c r="E200" i="19" s="1"/>
  <c r="B201" i="19"/>
  <c r="C201" i="19" s="1"/>
  <c r="E201" i="19" s="1"/>
  <c r="B202" i="19"/>
  <c r="C202" i="19" s="1"/>
  <c r="E202" i="19" s="1"/>
  <c r="B203" i="19"/>
  <c r="C203" i="19" s="1"/>
  <c r="G203" i="19" s="1"/>
  <c r="B204" i="19"/>
  <c r="C204" i="19" s="1"/>
  <c r="G204" i="19" s="1"/>
  <c r="B205" i="19"/>
  <c r="C205" i="19" s="1"/>
  <c r="G205" i="19" s="1"/>
  <c r="B206" i="19"/>
  <c r="C206" i="19" s="1"/>
  <c r="G206" i="19" s="1"/>
  <c r="B207" i="19"/>
  <c r="C207" i="19" s="1"/>
  <c r="E207" i="19" s="1"/>
  <c r="B208" i="19"/>
  <c r="C208" i="19" s="1"/>
  <c r="E208" i="19" s="1"/>
  <c r="B209" i="19"/>
  <c r="C209" i="19" s="1"/>
  <c r="G209" i="19" s="1"/>
  <c r="B210" i="19"/>
  <c r="C210" i="19" s="1"/>
  <c r="G210" i="19" s="1"/>
  <c r="B211" i="19"/>
  <c r="C211" i="19" s="1"/>
  <c r="G211" i="19" s="1"/>
  <c r="B212" i="19"/>
  <c r="C212" i="19" s="1"/>
  <c r="G212" i="19" s="1"/>
  <c r="B213" i="19"/>
  <c r="C213" i="19" s="1"/>
  <c r="E213" i="19" s="1"/>
  <c r="B214" i="19"/>
  <c r="C214" i="19" s="1"/>
  <c r="E214" i="19" s="1"/>
  <c r="B215" i="19"/>
  <c r="C215" i="19" s="1"/>
  <c r="E215" i="19" s="1"/>
  <c r="B216" i="19"/>
  <c r="C216" i="19" s="1"/>
  <c r="G216" i="19" s="1"/>
  <c r="B217" i="19"/>
  <c r="C217" i="19" s="1"/>
  <c r="G217" i="19" s="1"/>
  <c r="B218" i="19"/>
  <c r="C218" i="19" s="1"/>
  <c r="G218" i="19" s="1"/>
  <c r="B219" i="19"/>
  <c r="C219" i="19" s="1"/>
  <c r="G219" i="19" s="1"/>
  <c r="B220" i="19"/>
  <c r="C220" i="19" s="1"/>
  <c r="E220" i="19" s="1"/>
  <c r="B221" i="19"/>
  <c r="C221" i="19" s="1"/>
  <c r="E221" i="19" s="1"/>
  <c r="B222" i="19"/>
  <c r="C222" i="19" s="1"/>
  <c r="G222" i="19" s="1"/>
  <c r="B223" i="19"/>
  <c r="C223" i="19" s="1"/>
  <c r="G223" i="19" s="1"/>
  <c r="B224" i="19"/>
  <c r="C224" i="19" s="1"/>
  <c r="G224" i="19" s="1"/>
  <c r="B225" i="19"/>
  <c r="C225" i="19" s="1"/>
  <c r="G225" i="19" s="1"/>
  <c r="B226" i="19"/>
  <c r="C226" i="19" s="1"/>
  <c r="E226" i="19" s="1"/>
  <c r="B227" i="19"/>
  <c r="C227" i="19" s="1"/>
  <c r="E227" i="19" s="1"/>
  <c r="B228" i="19"/>
  <c r="C228" i="19" s="1"/>
  <c r="E228" i="19" s="1"/>
  <c r="B229" i="19"/>
  <c r="C229" i="19" s="1"/>
  <c r="G229" i="19" s="1"/>
  <c r="B230" i="19"/>
  <c r="C230" i="19" s="1"/>
  <c r="G230" i="19" s="1"/>
  <c r="B231" i="19"/>
  <c r="C231" i="19" s="1"/>
  <c r="G231" i="19" s="1"/>
  <c r="B232" i="19"/>
  <c r="C232" i="19" s="1"/>
  <c r="G232" i="19" s="1"/>
  <c r="B233" i="19"/>
  <c r="C233" i="19" s="1"/>
  <c r="E233" i="19" s="1"/>
  <c r="B234" i="19"/>
  <c r="C234" i="19" s="1"/>
  <c r="E234" i="19" s="1"/>
  <c r="B235" i="19"/>
  <c r="C235" i="19" s="1"/>
  <c r="G235" i="19" s="1"/>
  <c r="B236" i="19"/>
  <c r="C236" i="19" s="1"/>
  <c r="G236" i="19" s="1"/>
  <c r="B237" i="19"/>
  <c r="C237" i="19" s="1"/>
  <c r="G237" i="19" s="1"/>
  <c r="B238" i="19"/>
  <c r="C238" i="19" s="1"/>
  <c r="G238" i="19" s="1"/>
  <c r="B239" i="19"/>
  <c r="C239" i="19" s="1"/>
  <c r="E239" i="19" s="1"/>
  <c r="B240" i="19"/>
  <c r="C240" i="19" s="1"/>
  <c r="E240" i="19" s="1"/>
  <c r="B241" i="19"/>
  <c r="C241" i="19" s="1"/>
  <c r="E241" i="19" s="1"/>
  <c r="B242" i="19"/>
  <c r="C242" i="19" s="1"/>
  <c r="G242" i="19" s="1"/>
  <c r="B243" i="19"/>
  <c r="C243" i="19" s="1"/>
  <c r="G243" i="19" s="1"/>
  <c r="B244" i="19"/>
  <c r="C244" i="19" s="1"/>
  <c r="G244" i="19" s="1"/>
  <c r="B245" i="19"/>
  <c r="C245" i="19" s="1"/>
  <c r="G245" i="19" s="1"/>
  <c r="B246" i="19"/>
  <c r="C246" i="19" s="1"/>
  <c r="E246" i="19" s="1"/>
  <c r="B247" i="19"/>
  <c r="C247" i="19" s="1"/>
  <c r="E247" i="19" s="1"/>
  <c r="B248" i="19"/>
  <c r="C248" i="19" s="1"/>
  <c r="E248" i="19" s="1"/>
  <c r="B249" i="19"/>
  <c r="C249" i="19" s="1"/>
  <c r="G249" i="19" s="1"/>
  <c r="B250" i="19"/>
  <c r="C250" i="19" s="1"/>
  <c r="G250" i="19" s="1"/>
  <c r="B5" i="19"/>
  <c r="L1228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B1335" i="17" s="1"/>
  <c r="C1336" i="5"/>
  <c r="B1336" i="17" s="1"/>
  <c r="C1337" i="5"/>
  <c r="B1337" i="17" s="1"/>
  <c r="C1338" i="5"/>
  <c r="B1338" i="17" s="1"/>
  <c r="C1339" i="5"/>
  <c r="B1339" i="17" s="1"/>
  <c r="C1340" i="5"/>
  <c r="B1340" i="17" s="1"/>
  <c r="C1341" i="5"/>
  <c r="B1341" i="17" s="1"/>
  <c r="C1342" i="5"/>
  <c r="B1342" i="17" s="1"/>
  <c r="C1343" i="5"/>
  <c r="B1343" i="17" s="1"/>
  <c r="C1344" i="5"/>
  <c r="B1344" i="17" s="1"/>
  <c r="C1345" i="5"/>
  <c r="B1345" i="17" s="1"/>
  <c r="C1346" i="5"/>
  <c r="B1346" i="17" s="1"/>
  <c r="C1347" i="5"/>
  <c r="B1347" i="17" s="1"/>
  <c r="C1348" i="5"/>
  <c r="B1348" i="17" s="1"/>
  <c r="C1349" i="5"/>
  <c r="B1349" i="17" s="1"/>
  <c r="C1350" i="5"/>
  <c r="B1350" i="17" s="1"/>
  <c r="C1351" i="5"/>
  <c r="B1351" i="17" s="1"/>
  <c r="C1352" i="5"/>
  <c r="B1352" i="17" s="1"/>
  <c r="C1353" i="5"/>
  <c r="B1353" i="17" s="1"/>
  <c r="C1354" i="5"/>
  <c r="B1354" i="17" s="1"/>
  <c r="C1355" i="5"/>
  <c r="B1355" i="17" s="1"/>
  <c r="C1356" i="5"/>
  <c r="B1356" i="17" s="1"/>
  <c r="C1357" i="5"/>
  <c r="B1357" i="17" s="1"/>
  <c r="C1358" i="5"/>
  <c r="B1358" i="17" s="1"/>
  <c r="C1359" i="5"/>
  <c r="B1359" i="17" s="1"/>
  <c r="C1360" i="5"/>
  <c r="B1360" i="17" s="1"/>
  <c r="C1361" i="5"/>
  <c r="B1361" i="17" s="1"/>
  <c r="C1362" i="5"/>
  <c r="B1362" i="17" s="1"/>
  <c r="C1363" i="5"/>
  <c r="B1363" i="17" s="1"/>
  <c r="C1364" i="5"/>
  <c r="B1364" i="17" s="1"/>
  <c r="C1365" i="5"/>
  <c r="B1365" i="17" s="1"/>
  <c r="C1366" i="5"/>
  <c r="B1366" i="17" s="1"/>
  <c r="C1367" i="5"/>
  <c r="B1367" i="17" s="1"/>
  <c r="C1368" i="5"/>
  <c r="B1368" i="17" s="1"/>
  <c r="C1369" i="5"/>
  <c r="B1369" i="17" s="1"/>
  <c r="C1370" i="5"/>
  <c r="B1370" i="17" s="1"/>
  <c r="C1371" i="5"/>
  <c r="B1371" i="17" s="1"/>
  <c r="C1372" i="5"/>
  <c r="B1372" i="17" s="1"/>
  <c r="C1373" i="5"/>
  <c r="B1373" i="17" s="1"/>
  <c r="C1374" i="5"/>
  <c r="C1375" i="5"/>
  <c r="B1375" i="17" s="1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B1397" i="18" s="1"/>
  <c r="C1398" i="5"/>
  <c r="C1399" i="5"/>
  <c r="C1400" i="5"/>
  <c r="C1401" i="5"/>
  <c r="C1402" i="5"/>
  <c r="C1403" i="5"/>
  <c r="B1403" i="9" s="1"/>
  <c r="C1404" i="5"/>
  <c r="B1404" i="9" s="1"/>
  <c r="C1405" i="5"/>
  <c r="B1405" i="9" s="1"/>
  <c r="C1406" i="5"/>
  <c r="B1406" i="9" s="1"/>
  <c r="C1407" i="5"/>
  <c r="B1407" i="9" s="1"/>
  <c r="C1408" i="5"/>
  <c r="B1408" i="9" s="1"/>
  <c r="C1409" i="5"/>
  <c r="B1409" i="9" s="1"/>
  <c r="C1410" i="5"/>
  <c r="B1410" i="9" s="1"/>
  <c r="C1411" i="5"/>
  <c r="B1411" i="9" s="1"/>
  <c r="C1412" i="5"/>
  <c r="B1412" i="9" s="1"/>
  <c r="C1413" i="5"/>
  <c r="B1413" i="9" s="1"/>
  <c r="C1414" i="5"/>
  <c r="B1414" i="9" s="1"/>
  <c r="C1415" i="5"/>
  <c r="B1415" i="9" s="1"/>
  <c r="C1416" i="5"/>
  <c r="B1416" i="9" s="1"/>
  <c r="C1417" i="5"/>
  <c r="B1417" i="9" s="1"/>
  <c r="C1418" i="5"/>
  <c r="B1418" i="9" s="1"/>
  <c r="C1419" i="5"/>
  <c r="B1419" i="9" s="1"/>
  <c r="C1420" i="5"/>
  <c r="B1420" i="9" s="1"/>
  <c r="C1421" i="5"/>
  <c r="B1421" i="9" s="1"/>
  <c r="C1422" i="5"/>
  <c r="B1422" i="9" s="1"/>
  <c r="C1423" i="5"/>
  <c r="B1423" i="9" s="1"/>
  <c r="C1424" i="5"/>
  <c r="B1424" i="9" s="1"/>
  <c r="B1425" i="9"/>
  <c r="B1426" i="9"/>
  <c r="B1427" i="9"/>
  <c r="C1428" i="5"/>
  <c r="C1429" i="5"/>
  <c r="B1429" i="9" s="1"/>
  <c r="C1430" i="5"/>
  <c r="B1430" i="9" s="1"/>
  <c r="C1431" i="5"/>
  <c r="B1431" i="9" s="1"/>
  <c r="B1432" i="9"/>
  <c r="C1433" i="5"/>
  <c r="B1433" i="9" s="1"/>
  <c r="C1434" i="5"/>
  <c r="B1434" i="9" s="1"/>
  <c r="C1435" i="5"/>
  <c r="B1435" i="9" s="1"/>
  <c r="C1436" i="5"/>
  <c r="B1436" i="9" s="1"/>
  <c r="C1437" i="5"/>
  <c r="B1437" i="9" s="1"/>
  <c r="C1438" i="5"/>
  <c r="C1439" i="5"/>
  <c r="B1439" i="9" s="1"/>
  <c r="C1440" i="5"/>
  <c r="B1440" i="9" s="1"/>
  <c r="C1441" i="5"/>
  <c r="B1441" i="9" s="1"/>
  <c r="C1442" i="5"/>
  <c r="B1442" i="9" s="1"/>
  <c r="C1443" i="5"/>
  <c r="B1443" i="9" s="1"/>
  <c r="C1444" i="5"/>
  <c r="B1444" i="9" s="1"/>
  <c r="C1445" i="5"/>
  <c r="B1445" i="9" s="1"/>
  <c r="C1446" i="5"/>
  <c r="B1446" i="9" s="1"/>
  <c r="C1447" i="5"/>
  <c r="B1447" i="9" s="1"/>
  <c r="C1448" i="5"/>
  <c r="B1448" i="9" s="1"/>
  <c r="C1449" i="5"/>
  <c r="B1449" i="9" s="1"/>
  <c r="C1450" i="5"/>
  <c r="B1450" i="9" s="1"/>
  <c r="C1451" i="5"/>
  <c r="B1451" i="9" s="1"/>
  <c r="C1452" i="5"/>
  <c r="B1452" i="9" s="1"/>
  <c r="C1453" i="5"/>
  <c r="B1453" i="9" s="1"/>
  <c r="C1454" i="5"/>
  <c r="B1454" i="9" s="1"/>
  <c r="C1455" i="5"/>
  <c r="B1455" i="9" s="1"/>
  <c r="C1456" i="5"/>
  <c r="B1456" i="9" s="1"/>
  <c r="C1457" i="5"/>
  <c r="B1457" i="9" s="1"/>
  <c r="C1458" i="5"/>
  <c r="B1458" i="9" s="1"/>
  <c r="C1459" i="5"/>
  <c r="B1459" i="9" s="1"/>
  <c r="C1460" i="5"/>
  <c r="B1460" i="9" s="1"/>
  <c r="C1461" i="5"/>
  <c r="B1461" i="9" s="1"/>
  <c r="C1462" i="5"/>
  <c r="B1462" i="9" s="1"/>
  <c r="C1463" i="5"/>
  <c r="B1463" i="9" s="1"/>
  <c r="C1464" i="5"/>
  <c r="B1464" i="9" s="1"/>
  <c r="C1465" i="5"/>
  <c r="B1465" i="9" s="1"/>
  <c r="C1466" i="5"/>
  <c r="B1466" i="9" s="1"/>
  <c r="C1467" i="5"/>
  <c r="B1467" i="9" s="1"/>
  <c r="C1468" i="5"/>
  <c r="B1468" i="9" s="1"/>
  <c r="C1469" i="5"/>
  <c r="B1469" i="9" s="1"/>
  <c r="C1470" i="5"/>
  <c r="B1470" i="9" s="1"/>
  <c r="C1474" i="5"/>
  <c r="B1474" i="9" s="1"/>
  <c r="C1475" i="5"/>
  <c r="B1475" i="9" s="1"/>
  <c r="C1476" i="5"/>
  <c r="B1476" i="9" s="1"/>
  <c r="C1477" i="5"/>
  <c r="B1477" i="9" s="1"/>
  <c r="C1478" i="5"/>
  <c r="B1478" i="9" s="1"/>
  <c r="C1479" i="5"/>
  <c r="B1479" i="9" s="1"/>
  <c r="C1480" i="5"/>
  <c r="B1480" i="9" s="1"/>
  <c r="C1481" i="5"/>
  <c r="B1481" i="9" s="1"/>
  <c r="C1482" i="5"/>
  <c r="B1482" i="9" s="1"/>
  <c r="C1483" i="5"/>
  <c r="B1483" i="9" s="1"/>
  <c r="C1484" i="5"/>
  <c r="B1484" i="9" s="1"/>
  <c r="C1485" i="5"/>
  <c r="B1485" i="9" s="1"/>
  <c r="C1486" i="5"/>
  <c r="B1486" i="9" s="1"/>
  <c r="C1487" i="5"/>
  <c r="B1487" i="9" s="1"/>
  <c r="C1488" i="5"/>
  <c r="B1488" i="9" s="1"/>
  <c r="C1489" i="5"/>
  <c r="B1489" i="9" s="1"/>
  <c r="C1490" i="5"/>
  <c r="B1490" i="9" s="1"/>
  <c r="C1491" i="5"/>
  <c r="B1491" i="9" s="1"/>
  <c r="C1492" i="5"/>
  <c r="B1492" i="9" s="1"/>
  <c r="C1493" i="5"/>
  <c r="B1493" i="9" s="1"/>
  <c r="C1494" i="5"/>
  <c r="B1494" i="9" s="1"/>
  <c r="C1495" i="5"/>
  <c r="B1495" i="9" s="1"/>
  <c r="C1496" i="5"/>
  <c r="B1496" i="9" s="1"/>
  <c r="C1497" i="5"/>
  <c r="B1497" i="9" s="1"/>
  <c r="C1498" i="5"/>
  <c r="B1498" i="9" s="1"/>
  <c r="C1499" i="5"/>
  <c r="B1499" i="9" s="1"/>
  <c r="C1500" i="5"/>
  <c r="B1500" i="9" s="1"/>
  <c r="C1501" i="5"/>
  <c r="B1501" i="9" s="1"/>
  <c r="C1502" i="5"/>
  <c r="B1502" i="9" s="1"/>
  <c r="C1503" i="5"/>
  <c r="B1503" i="9" s="1"/>
  <c r="C1504" i="5"/>
  <c r="B1504" i="9" s="1"/>
  <c r="C1505" i="5"/>
  <c r="B1505" i="9" s="1"/>
  <c r="C1506" i="5"/>
  <c r="B1506" i="9" s="1"/>
  <c r="C1507" i="5"/>
  <c r="B1507" i="9" s="1"/>
  <c r="C1508" i="5"/>
  <c r="B1508" i="9" s="1"/>
  <c r="C1509" i="5"/>
  <c r="B1509" i="9" s="1"/>
  <c r="C1510" i="5"/>
  <c r="B1510" i="9" s="1"/>
  <c r="C1511" i="5"/>
  <c r="B1511" i="9" s="1"/>
  <c r="C1512" i="5"/>
  <c r="B1512" i="9" s="1"/>
  <c r="C1513" i="5"/>
  <c r="B1513" i="9" s="1"/>
  <c r="C1514" i="5"/>
  <c r="B1514" i="9" s="1"/>
  <c r="C1515" i="5"/>
  <c r="B1515" i="9" s="1"/>
  <c r="C1516" i="5"/>
  <c r="B1516" i="9" s="1"/>
  <c r="C1517" i="5"/>
  <c r="B1517" i="9" s="1"/>
  <c r="C1518" i="5"/>
  <c r="B1518" i="9" s="1"/>
  <c r="C1519" i="5"/>
  <c r="B1519" i="9" s="1"/>
  <c r="C1520" i="5"/>
  <c r="B1520" i="9" s="1"/>
  <c r="C1521" i="5"/>
  <c r="B1521" i="9" s="1"/>
  <c r="C1522" i="5"/>
  <c r="B1522" i="9" s="1"/>
  <c r="C1523" i="5"/>
  <c r="B1523" i="9" s="1"/>
  <c r="C1524" i="5"/>
  <c r="B1524" i="9" s="1"/>
  <c r="C1525" i="5"/>
  <c r="B1525" i="9" s="1"/>
  <c r="C1526" i="5"/>
  <c r="B1526" i="9" s="1"/>
  <c r="C1527" i="5"/>
  <c r="B1527" i="9" s="1"/>
  <c r="C1528" i="5"/>
  <c r="B1528" i="9" s="1"/>
  <c r="C1529" i="5"/>
  <c r="B1529" i="9" s="1"/>
  <c r="C1530" i="5"/>
  <c r="B1530" i="9" s="1"/>
  <c r="C1531" i="5"/>
  <c r="B1531" i="9" s="1"/>
  <c r="C1532" i="5"/>
  <c r="B1532" i="9" s="1"/>
  <c r="C1533" i="5"/>
  <c r="B1533" i="9" s="1"/>
  <c r="C1534" i="5"/>
  <c r="B1534" i="9" s="1"/>
  <c r="C1535" i="5"/>
  <c r="B1535" i="9" s="1"/>
  <c r="C1536" i="5"/>
  <c r="B1536" i="9" s="1"/>
  <c r="C1537" i="5"/>
  <c r="B1537" i="9" s="1"/>
  <c r="C1538" i="5"/>
  <c r="B1538" i="9" s="1"/>
  <c r="C1539" i="5"/>
  <c r="B1539" i="9" s="1"/>
  <c r="C1540" i="5"/>
  <c r="B1540" i="9" s="1"/>
  <c r="C1541" i="5"/>
  <c r="B1541" i="9" s="1"/>
  <c r="C1542" i="5"/>
  <c r="B1542" i="9" s="1"/>
  <c r="C1543" i="5"/>
  <c r="B1543" i="9" s="1"/>
  <c r="C1544" i="5"/>
  <c r="B1544" i="9" s="1"/>
  <c r="C1545" i="5"/>
  <c r="B1545" i="9" s="1"/>
  <c r="C1546" i="5"/>
  <c r="B1546" i="9" s="1"/>
  <c r="C1547" i="5"/>
  <c r="B1547" i="9" s="1"/>
  <c r="C1548" i="5"/>
  <c r="B1548" i="9" s="1"/>
  <c r="C1549" i="5"/>
  <c r="B1549" i="9" s="1"/>
  <c r="C1550" i="5"/>
  <c r="B1550" i="9" s="1"/>
  <c r="C1551" i="5"/>
  <c r="B1551" i="9" s="1"/>
  <c r="C1552" i="5"/>
  <c r="B1552" i="9" s="1"/>
  <c r="C1553" i="5"/>
  <c r="B1553" i="9" s="1"/>
  <c r="C1554" i="5"/>
  <c r="B1554" i="9" s="1"/>
  <c r="C1555" i="5"/>
  <c r="B1555" i="9" s="1"/>
  <c r="C1556" i="5"/>
  <c r="B1556" i="9" s="1"/>
  <c r="C1557" i="5"/>
  <c r="B1557" i="9" s="1"/>
  <c r="C1558" i="5"/>
  <c r="B1558" i="9" s="1"/>
  <c r="C1559" i="5"/>
  <c r="B1559" i="9" s="1"/>
  <c r="C1560" i="5"/>
  <c r="B1560" i="9" s="1"/>
  <c r="C1561" i="5"/>
  <c r="B1561" i="9" s="1"/>
  <c r="C1562" i="5"/>
  <c r="B1562" i="9" s="1"/>
  <c r="C1563" i="5"/>
  <c r="B1563" i="9" s="1"/>
  <c r="C1564" i="5"/>
  <c r="B1564" i="9" s="1"/>
  <c r="C1565" i="5"/>
  <c r="B1565" i="9" s="1"/>
  <c r="C1566" i="5"/>
  <c r="B1566" i="9" s="1"/>
  <c r="C1567" i="5"/>
  <c r="B1567" i="9" s="1"/>
  <c r="C1568" i="5"/>
  <c r="B1568" i="9" s="1"/>
  <c r="C1569" i="5"/>
  <c r="B1569" i="9" s="1"/>
  <c r="C1570" i="5"/>
  <c r="B1570" i="9" s="1"/>
  <c r="C1571" i="5"/>
  <c r="B1571" i="9" s="1"/>
  <c r="C1572" i="5"/>
  <c r="B1572" i="9" s="1"/>
  <c r="C1573" i="5"/>
  <c r="B1573" i="9" s="1"/>
  <c r="C1574" i="5"/>
  <c r="B1574" i="9" s="1"/>
  <c r="C1575" i="5"/>
  <c r="B1575" i="9" s="1"/>
  <c r="C1576" i="5"/>
  <c r="B1576" i="9" s="1"/>
  <c r="C1577" i="5"/>
  <c r="B1577" i="9" s="1"/>
  <c r="C1578" i="5"/>
  <c r="B1578" i="9" s="1"/>
  <c r="C1579" i="5"/>
  <c r="B1579" i="9" s="1"/>
  <c r="C1580" i="5"/>
  <c r="B1580" i="9" s="1"/>
  <c r="C1581" i="5"/>
  <c r="B1581" i="9" s="1"/>
  <c r="C1582" i="5"/>
  <c r="B1582" i="9" s="1"/>
  <c r="C1583" i="5"/>
  <c r="B1583" i="9" s="1"/>
  <c r="C1584" i="5"/>
  <c r="B1584" i="9" s="1"/>
  <c r="C1585" i="5"/>
  <c r="B1585" i="9" s="1"/>
  <c r="C1586" i="5"/>
  <c r="B1586" i="9" s="1"/>
  <c r="C1587" i="5"/>
  <c r="B1587" i="9" s="1"/>
  <c r="C1588" i="5"/>
  <c r="B1588" i="9" s="1"/>
  <c r="C1589" i="5"/>
  <c r="B1589" i="9" s="1"/>
  <c r="C1590" i="5"/>
  <c r="B1590" i="9" s="1"/>
  <c r="C1591" i="5"/>
  <c r="B1591" i="9" s="1"/>
  <c r="C1592" i="5"/>
  <c r="B1592" i="9" s="1"/>
  <c r="C1593" i="5"/>
  <c r="B1593" i="9" s="1"/>
  <c r="C1594" i="5"/>
  <c r="B1594" i="9" s="1"/>
  <c r="C1595" i="5"/>
  <c r="B1595" i="9" s="1"/>
  <c r="C1596" i="5"/>
  <c r="B1596" i="9" s="1"/>
  <c r="C1597" i="5"/>
  <c r="B1597" i="9" s="1"/>
  <c r="C1598" i="5"/>
  <c r="B1598" i="9" s="1"/>
  <c r="C1599" i="5"/>
  <c r="B1599" i="9" s="1"/>
  <c r="C1600" i="5"/>
  <c r="B1600" i="9" s="1"/>
  <c r="C1601" i="5"/>
  <c r="B1601" i="9" s="1"/>
  <c r="C1602" i="5"/>
  <c r="B1602" i="9" s="1"/>
  <c r="C1603" i="5"/>
  <c r="B1603" i="9" s="1"/>
  <c r="C1604" i="5"/>
  <c r="B1604" i="9" s="1"/>
  <c r="C1605" i="5"/>
  <c r="B1605" i="9" s="1"/>
  <c r="C1606" i="5"/>
  <c r="B1606" i="9" s="1"/>
  <c r="C1607" i="5"/>
  <c r="B1607" i="9" s="1"/>
  <c r="C1608" i="5"/>
  <c r="B1608" i="9" s="1"/>
  <c r="C1609" i="5"/>
  <c r="B1609" i="9" s="1"/>
  <c r="C1610" i="5"/>
  <c r="B1610" i="9" s="1"/>
  <c r="C1611" i="5"/>
  <c r="B1611" i="9" s="1"/>
  <c r="C1612" i="5"/>
  <c r="B1612" i="9" s="1"/>
  <c r="C1613" i="5"/>
  <c r="B1613" i="9" s="1"/>
  <c r="C1614" i="5"/>
  <c r="B1614" i="9" s="1"/>
  <c r="C1615" i="5"/>
  <c r="B1615" i="9" s="1"/>
  <c r="C1616" i="5"/>
  <c r="B1616" i="9" s="1"/>
  <c r="C1617" i="5"/>
  <c r="B1617" i="9" s="1"/>
  <c r="C1618" i="5"/>
  <c r="B1618" i="9" s="1"/>
  <c r="C1619" i="5"/>
  <c r="B1619" i="9" s="1"/>
  <c r="C1620" i="5"/>
  <c r="B1620" i="9" s="1"/>
  <c r="C1621" i="5"/>
  <c r="B1621" i="9" s="1"/>
  <c r="C1622" i="5"/>
  <c r="B1622" i="9" s="1"/>
  <c r="C1623" i="5"/>
  <c r="B1623" i="9" s="1"/>
  <c r="C1624" i="5"/>
  <c r="B1624" i="9" s="1"/>
  <c r="C1625" i="5"/>
  <c r="B1625" i="9" s="1"/>
  <c r="C1626" i="5"/>
  <c r="B1626" i="9" s="1"/>
  <c r="C1627" i="5"/>
  <c r="B1627" i="9" s="1"/>
  <c r="C1628" i="5"/>
  <c r="B1628" i="9" s="1"/>
  <c r="C1629" i="5"/>
  <c r="B1629" i="9" s="1"/>
  <c r="C1630" i="5"/>
  <c r="B1630" i="9" s="1"/>
  <c r="C1631" i="5"/>
  <c r="B1631" i="9" s="1"/>
  <c r="C1632" i="5"/>
  <c r="B1632" i="9" s="1"/>
  <c r="C1633" i="5"/>
  <c r="B1633" i="9" s="1"/>
  <c r="C1634" i="5"/>
  <c r="B1634" i="9" s="1"/>
  <c r="C1635" i="5"/>
  <c r="B1635" i="9" s="1"/>
  <c r="C1636" i="5"/>
  <c r="B1636" i="9" s="1"/>
  <c r="C1637" i="5"/>
  <c r="B1637" i="9" s="1"/>
  <c r="C1638" i="5"/>
  <c r="B1638" i="9" s="1"/>
  <c r="C1639" i="5"/>
  <c r="B1639" i="9" s="1"/>
  <c r="C1640" i="5"/>
  <c r="B1640" i="9" s="1"/>
  <c r="C1641" i="5"/>
  <c r="B1641" i="9" s="1"/>
  <c r="C1642" i="5"/>
  <c r="B1642" i="9" s="1"/>
  <c r="C1643" i="5"/>
  <c r="B1643" i="9" s="1"/>
  <c r="C1644" i="5"/>
  <c r="B1644" i="9" s="1"/>
  <c r="C1645" i="5"/>
  <c r="B1645" i="9" s="1"/>
  <c r="C1646" i="5"/>
  <c r="B1646" i="9" s="1"/>
  <c r="C1647" i="5"/>
  <c r="B1647" i="9" s="1"/>
  <c r="C1648" i="5"/>
  <c r="B1648" i="9" s="1"/>
  <c r="C1649" i="5"/>
  <c r="B1649" i="9" s="1"/>
  <c r="C1650" i="5"/>
  <c r="B1650" i="9" s="1"/>
  <c r="C1651" i="5"/>
  <c r="B1651" i="9" s="1"/>
  <c r="C1652" i="5"/>
  <c r="B1652" i="9" s="1"/>
  <c r="C1653" i="5"/>
  <c r="B1653" i="9" s="1"/>
  <c r="C1654" i="5"/>
  <c r="B1654" i="9" s="1"/>
  <c r="C1655" i="5"/>
  <c r="B1655" i="9" s="1"/>
  <c r="C1656" i="5"/>
  <c r="B1656" i="9" s="1"/>
  <c r="C1657" i="5"/>
  <c r="B1657" i="9" s="1"/>
  <c r="C1658" i="5"/>
  <c r="B1658" i="9" s="1"/>
  <c r="C1659" i="5"/>
  <c r="B1659" i="9" s="1"/>
  <c r="C1660" i="5"/>
  <c r="B1660" i="9" s="1"/>
  <c r="C1661" i="5"/>
  <c r="B1661" i="9" s="1"/>
  <c r="C1662" i="5"/>
  <c r="B1662" i="9" s="1"/>
  <c r="C1663" i="5"/>
  <c r="B1663" i="9" s="1"/>
  <c r="C1664" i="5"/>
  <c r="B1664" i="9" s="1"/>
  <c r="C1665" i="5"/>
  <c r="B1665" i="9" s="1"/>
  <c r="C1666" i="5"/>
  <c r="B1666" i="9" s="1"/>
  <c r="C1667" i="5"/>
  <c r="B1667" i="9" s="1"/>
  <c r="C1668" i="5"/>
  <c r="B1668" i="9" s="1"/>
  <c r="C1669" i="5"/>
  <c r="B1669" i="9" s="1"/>
  <c r="C1670" i="5"/>
  <c r="B1670" i="9" s="1"/>
  <c r="C1671" i="5"/>
  <c r="B1671" i="9" s="1"/>
  <c r="C1672" i="5"/>
  <c r="B1672" i="9" s="1"/>
  <c r="C1673" i="5"/>
  <c r="B1673" i="9" s="1"/>
  <c r="C1674" i="5"/>
  <c r="B1674" i="9" s="1"/>
  <c r="C1675" i="5"/>
  <c r="B1675" i="9" s="1"/>
  <c r="C1676" i="5"/>
  <c r="B1676" i="9" s="1"/>
  <c r="C1677" i="5"/>
  <c r="B1677" i="9" s="1"/>
  <c r="C1678" i="5"/>
  <c r="B1678" i="9" s="1"/>
  <c r="C1679" i="5"/>
  <c r="B1679" i="9" s="1"/>
  <c r="C1680" i="5"/>
  <c r="B1680" i="9" s="1"/>
  <c r="C1681" i="5"/>
  <c r="B1681" i="9" s="1"/>
  <c r="C1682" i="5"/>
  <c r="B1682" i="9" s="1"/>
  <c r="C1683" i="5"/>
  <c r="B1683" i="9" s="1"/>
  <c r="C1684" i="5"/>
  <c r="B1684" i="9" s="1"/>
  <c r="C1685" i="5"/>
  <c r="B1685" i="9" s="1"/>
  <c r="C1686" i="5"/>
  <c r="B1686" i="9" s="1"/>
  <c r="C1687" i="5"/>
  <c r="B1687" i="9" s="1"/>
  <c r="C1688" i="5"/>
  <c r="B1688" i="9" s="1"/>
  <c r="C1689" i="5"/>
  <c r="B1689" i="9" s="1"/>
  <c r="C1690" i="5"/>
  <c r="B1690" i="9" s="1"/>
  <c r="C1691" i="5"/>
  <c r="B1691" i="9" s="1"/>
  <c r="C1692" i="5"/>
  <c r="B1692" i="9" s="1"/>
  <c r="C1693" i="5"/>
  <c r="B1693" i="9" s="1"/>
  <c r="C1694" i="5"/>
  <c r="B1694" i="9" s="1"/>
  <c r="C1695" i="5"/>
  <c r="B1695" i="9" s="1"/>
  <c r="C1696" i="5"/>
  <c r="B1696" i="9" s="1"/>
  <c r="C1697" i="5"/>
  <c r="B1697" i="9" s="1"/>
  <c r="C1698" i="5"/>
  <c r="B1698" i="9" s="1"/>
  <c r="C1699" i="5"/>
  <c r="B1699" i="9" s="1"/>
  <c r="C1700" i="5"/>
  <c r="B1700" i="9" s="1"/>
  <c r="C1701" i="5"/>
  <c r="B1701" i="9" s="1"/>
  <c r="C1702" i="5"/>
  <c r="B1702" i="9" s="1"/>
  <c r="C1703" i="5"/>
  <c r="B1703" i="9" s="1"/>
  <c r="C1704" i="5"/>
  <c r="B1704" i="9" s="1"/>
  <c r="C1705" i="5"/>
  <c r="B1705" i="9" s="1"/>
  <c r="C1706" i="5"/>
  <c r="B1706" i="9" s="1"/>
  <c r="C1707" i="5"/>
  <c r="B1707" i="9" s="1"/>
  <c r="C1708" i="5"/>
  <c r="B1708" i="9" s="1"/>
  <c r="C1709" i="5"/>
  <c r="B1709" i="9" s="1"/>
  <c r="C1710" i="5"/>
  <c r="B1710" i="9" s="1"/>
  <c r="C1711" i="5"/>
  <c r="B1711" i="9" s="1"/>
  <c r="C1712" i="5"/>
  <c r="B1712" i="9" s="1"/>
  <c r="C1713" i="5"/>
  <c r="B1713" i="9" s="1"/>
  <c r="C1714" i="5"/>
  <c r="B1714" i="9" s="1"/>
  <c r="C1715" i="5"/>
  <c r="B1715" i="9" s="1"/>
  <c r="C1716" i="5"/>
  <c r="B1716" i="9" s="1"/>
  <c r="C1717" i="5"/>
  <c r="B1717" i="9" s="1"/>
  <c r="C1718" i="5"/>
  <c r="B1718" i="9" s="1"/>
  <c r="C1719" i="5"/>
  <c r="B1719" i="9" s="1"/>
  <c r="C1720" i="5"/>
  <c r="B1720" i="9" s="1"/>
  <c r="C1721" i="5"/>
  <c r="B1721" i="9" s="1"/>
  <c r="C1722" i="5"/>
  <c r="B1722" i="9" s="1"/>
  <c r="C1723" i="5"/>
  <c r="B1723" i="9" s="1"/>
  <c r="C1724" i="5"/>
  <c r="B1724" i="9" s="1"/>
  <c r="C1725" i="5"/>
  <c r="B1725" i="9" s="1"/>
  <c r="C1726" i="5"/>
  <c r="B1726" i="9" s="1"/>
  <c r="C1727" i="5"/>
  <c r="B1727" i="9" s="1"/>
  <c r="C1728" i="5"/>
  <c r="B1728" i="9" s="1"/>
  <c r="C1729" i="5"/>
  <c r="B1729" i="9" s="1"/>
  <c r="C1730" i="5"/>
  <c r="B1730" i="9" s="1"/>
  <c r="C1731" i="5"/>
  <c r="B1731" i="9" s="1"/>
  <c r="C1732" i="5"/>
  <c r="B1732" i="9" s="1"/>
  <c r="C1733" i="5"/>
  <c r="B1733" i="9" s="1"/>
  <c r="C1734" i="5"/>
  <c r="B1734" i="9" s="1"/>
  <c r="C1735" i="5"/>
  <c r="B1735" i="9" s="1"/>
  <c r="C1736" i="5"/>
  <c r="B1736" i="9" s="1"/>
  <c r="C1737" i="5"/>
  <c r="B1737" i="9" s="1"/>
  <c r="C1738" i="5"/>
  <c r="B1738" i="9" s="1"/>
  <c r="C1739" i="5"/>
  <c r="B1739" i="9" s="1"/>
  <c r="C1740" i="5"/>
  <c r="B1740" i="9" s="1"/>
  <c r="C1741" i="5"/>
  <c r="B1741" i="9" s="1"/>
  <c r="C1742" i="5"/>
  <c r="B1742" i="9" s="1"/>
  <c r="C1743" i="5"/>
  <c r="B1743" i="9" s="1"/>
  <c r="C1744" i="5"/>
  <c r="B1744" i="9" s="1"/>
  <c r="C1745" i="5"/>
  <c r="B1745" i="9" s="1"/>
  <c r="C1746" i="5"/>
  <c r="B1746" i="9" s="1"/>
  <c r="C1747" i="5"/>
  <c r="B1747" i="9" s="1"/>
  <c r="C1748" i="5"/>
  <c r="B1748" i="9" s="1"/>
  <c r="C1749" i="5"/>
  <c r="B1749" i="9" s="1"/>
  <c r="C1750" i="5"/>
  <c r="B1750" i="9" s="1"/>
  <c r="C1751" i="5"/>
  <c r="B1751" i="9" s="1"/>
  <c r="C1752" i="5"/>
  <c r="B1752" i="9" s="1"/>
  <c r="C1753" i="5"/>
  <c r="B1753" i="9" s="1"/>
  <c r="C1754" i="5"/>
  <c r="B1754" i="9" s="1"/>
  <c r="C1755" i="5"/>
  <c r="B1755" i="9" s="1"/>
  <c r="C1756" i="5"/>
  <c r="B1756" i="9" s="1"/>
  <c r="C1757" i="5"/>
  <c r="B1757" i="9" s="1"/>
  <c r="C1758" i="5"/>
  <c r="B1758" i="9" s="1"/>
  <c r="C1759" i="5"/>
  <c r="B1759" i="9" s="1"/>
  <c r="C1760" i="5"/>
  <c r="B1760" i="9" s="1"/>
  <c r="C1761" i="5"/>
  <c r="B1761" i="9" s="1"/>
  <c r="C1762" i="5"/>
  <c r="B1762" i="9" s="1"/>
  <c r="C1763" i="5"/>
  <c r="B1763" i="9" s="1"/>
  <c r="C1764" i="5"/>
  <c r="B1764" i="9" s="1"/>
  <c r="C1765" i="5"/>
  <c r="B1765" i="9" s="1"/>
  <c r="C1766" i="5"/>
  <c r="B1766" i="9" s="1"/>
  <c r="C1767" i="5"/>
  <c r="B1767" i="9" s="1"/>
  <c r="C1768" i="5"/>
  <c r="B1768" i="9" s="1"/>
  <c r="C1769" i="5"/>
  <c r="B1769" i="9" s="1"/>
  <c r="C1770" i="5"/>
  <c r="B1770" i="9" s="1"/>
  <c r="C1771" i="5"/>
  <c r="B1771" i="9" s="1"/>
  <c r="C1772" i="5"/>
  <c r="B1772" i="9" s="1"/>
  <c r="C1773" i="5"/>
  <c r="B1773" i="9" s="1"/>
  <c r="C1774" i="5"/>
  <c r="B1774" i="9" s="1"/>
  <c r="C1775" i="5"/>
  <c r="B1775" i="9" s="1"/>
  <c r="C1776" i="5"/>
  <c r="B1776" i="9" s="1"/>
  <c r="C1777" i="5"/>
  <c r="B1777" i="9" s="1"/>
  <c r="C1778" i="5"/>
  <c r="B1778" i="9" s="1"/>
  <c r="C1779" i="5"/>
  <c r="B1779" i="9" s="1"/>
  <c r="C1780" i="5"/>
  <c r="B1780" i="9" s="1"/>
  <c r="C1781" i="5"/>
  <c r="B1781" i="9" s="1"/>
  <c r="C1782" i="5"/>
  <c r="B1782" i="9" s="1"/>
  <c r="C1783" i="5"/>
  <c r="B1783" i="9" s="1"/>
  <c r="C1784" i="5"/>
  <c r="B1784" i="9" s="1"/>
  <c r="C1785" i="5"/>
  <c r="B1785" i="9" s="1"/>
  <c r="C1786" i="5"/>
  <c r="B1786" i="9" s="1"/>
  <c r="C1787" i="5"/>
  <c r="B1787" i="9" s="1"/>
  <c r="C1788" i="5"/>
  <c r="B1788" i="9" s="1"/>
  <c r="C1789" i="5"/>
  <c r="B1789" i="9" s="1"/>
  <c r="C1790" i="5"/>
  <c r="B1790" i="9" s="1"/>
  <c r="C1791" i="5"/>
  <c r="B1791" i="9" s="1"/>
  <c r="C1792" i="5"/>
  <c r="B1792" i="9" s="1"/>
  <c r="C1793" i="5"/>
  <c r="B1793" i="9" s="1"/>
  <c r="C1794" i="5"/>
  <c r="B1794" i="9" s="1"/>
  <c r="C1795" i="5"/>
  <c r="B1795" i="9" s="1"/>
  <c r="C1796" i="5"/>
  <c r="B1796" i="9" s="1"/>
  <c r="C1797" i="5"/>
  <c r="B1797" i="9" s="1"/>
  <c r="C1798" i="5"/>
  <c r="B1798" i="9" s="1"/>
  <c r="C1799" i="5"/>
  <c r="B1799" i="9" s="1"/>
  <c r="C1800" i="5"/>
  <c r="B1800" i="9" s="1"/>
  <c r="C1801" i="5"/>
  <c r="B1801" i="9" s="1"/>
  <c r="C1802" i="5"/>
  <c r="B1802" i="9" s="1"/>
  <c r="C1803" i="5"/>
  <c r="B1803" i="9" s="1"/>
  <c r="C1804" i="5"/>
  <c r="B1804" i="9" s="1"/>
  <c r="C1805" i="5"/>
  <c r="B1805" i="9" s="1"/>
  <c r="C1806" i="5"/>
  <c r="B1806" i="9" s="1"/>
  <c r="C1807" i="5"/>
  <c r="B1807" i="9" s="1"/>
  <c r="C1808" i="5"/>
  <c r="B1808" i="9" s="1"/>
  <c r="C1809" i="5"/>
  <c r="B1809" i="9" s="1"/>
  <c r="C1810" i="5"/>
  <c r="B1810" i="9" s="1"/>
  <c r="C1811" i="5"/>
  <c r="B1811" i="9" s="1"/>
  <c r="C1812" i="5"/>
  <c r="B1812" i="9" s="1"/>
  <c r="C1813" i="5"/>
  <c r="B1813" i="9" s="1"/>
  <c r="C1814" i="5"/>
  <c r="B1814" i="9" s="1"/>
  <c r="C1815" i="5"/>
  <c r="B1815" i="9" s="1"/>
  <c r="C1816" i="5"/>
  <c r="B1816" i="9" s="1"/>
  <c r="C1817" i="5"/>
  <c r="B1817" i="9" s="1"/>
  <c r="C1818" i="5"/>
  <c r="B1818" i="9" s="1"/>
  <c r="C1819" i="5"/>
  <c r="B1819" i="9" s="1"/>
  <c r="C1820" i="5"/>
  <c r="B1820" i="9" s="1"/>
  <c r="C1821" i="5"/>
  <c r="B1821" i="9" s="1"/>
  <c r="C1822" i="5"/>
  <c r="B1822" i="9" s="1"/>
  <c r="C1823" i="5"/>
  <c r="B1823" i="9" s="1"/>
  <c r="C1824" i="5"/>
  <c r="B1824" i="9" s="1"/>
  <c r="C1825" i="5"/>
  <c r="B1825" i="9" s="1"/>
  <c r="C1826" i="5"/>
  <c r="B1826" i="9" s="1"/>
  <c r="C1827" i="5"/>
  <c r="B1827" i="9" s="1"/>
  <c r="C1828" i="5"/>
  <c r="B1828" i="9" s="1"/>
  <c r="C1829" i="5"/>
  <c r="B1829" i="9" s="1"/>
  <c r="C1830" i="5"/>
  <c r="B1830" i="9" s="1"/>
  <c r="C1831" i="5"/>
  <c r="B1831" i="9" s="1"/>
  <c r="C1832" i="5"/>
  <c r="B1832" i="9" s="1"/>
  <c r="C1833" i="5"/>
  <c r="B1833" i="9" s="1"/>
  <c r="C1834" i="5"/>
  <c r="B1834" i="9" s="1"/>
  <c r="C1835" i="5"/>
  <c r="B1835" i="9" s="1"/>
  <c r="C1836" i="5"/>
  <c r="B1836" i="9" s="1"/>
  <c r="C1837" i="5"/>
  <c r="B1837" i="9" s="1"/>
  <c r="C1838" i="5"/>
  <c r="B1838" i="9" s="1"/>
  <c r="C1839" i="5"/>
  <c r="B1839" i="9" s="1"/>
  <c r="C1840" i="5"/>
  <c r="B1840" i="9" s="1"/>
  <c r="C1841" i="5"/>
  <c r="B1841" i="9" s="1"/>
  <c r="C1842" i="5"/>
  <c r="B1842" i="9" s="1"/>
  <c r="C1843" i="5"/>
  <c r="B1843" i="9" s="1"/>
  <c r="C1844" i="5"/>
  <c r="B1844" i="9" s="1"/>
  <c r="C1845" i="5"/>
  <c r="B1845" i="9" s="1"/>
  <c r="C1846" i="5"/>
  <c r="B1846" i="9" s="1"/>
  <c r="C1847" i="5"/>
  <c r="B1847" i="9" s="1"/>
  <c r="C1848" i="5"/>
  <c r="B1848" i="9" s="1"/>
  <c r="C1849" i="5"/>
  <c r="B1849" i="9" s="1"/>
  <c r="C1850" i="5"/>
  <c r="B1850" i="9" s="1"/>
  <c r="C1851" i="5"/>
  <c r="B1851" i="9" s="1"/>
  <c r="C1852" i="5"/>
  <c r="B1852" i="9" s="1"/>
  <c r="C1853" i="5"/>
  <c r="B1853" i="9" s="1"/>
  <c r="C1854" i="5"/>
  <c r="B1854" i="9" s="1"/>
  <c r="C1855" i="5"/>
  <c r="B1855" i="9" s="1"/>
  <c r="C1856" i="5"/>
  <c r="B1856" i="9" s="1"/>
  <c r="C1857" i="5"/>
  <c r="B1857" i="9" s="1"/>
  <c r="C1858" i="5"/>
  <c r="B1858" i="9" s="1"/>
  <c r="C1859" i="5"/>
  <c r="B1859" i="9" s="1"/>
  <c r="C1860" i="5"/>
  <c r="B1860" i="9" s="1"/>
  <c r="C1861" i="5"/>
  <c r="B1861" i="9" s="1"/>
  <c r="C1862" i="5"/>
  <c r="B1862" i="9" s="1"/>
  <c r="C1863" i="5"/>
  <c r="B1863" i="9" s="1"/>
  <c r="C1864" i="5"/>
  <c r="B1864" i="9" s="1"/>
  <c r="C1865" i="5"/>
  <c r="B1865" i="9" s="1"/>
  <c r="C1866" i="5"/>
  <c r="B1866" i="9" s="1"/>
  <c r="C1867" i="5"/>
  <c r="B1867" i="9" s="1"/>
  <c r="C1868" i="5"/>
  <c r="B1868" i="9" s="1"/>
  <c r="C1869" i="5"/>
  <c r="B1869" i="9" s="1"/>
  <c r="C1870" i="5"/>
  <c r="B1870" i="9" s="1"/>
  <c r="C1871" i="5"/>
  <c r="B1871" i="9" s="1"/>
  <c r="C1872" i="5"/>
  <c r="B1872" i="9" s="1"/>
  <c r="C1873" i="5"/>
  <c r="B1873" i="9" s="1"/>
  <c r="C1874" i="5"/>
  <c r="B1874" i="9" s="1"/>
  <c r="C1875" i="5"/>
  <c r="B1875" i="9" s="1"/>
  <c r="C1876" i="5"/>
  <c r="B1876" i="9" s="1"/>
  <c r="C1877" i="5"/>
  <c r="B1877" i="9" s="1"/>
  <c r="C1878" i="5"/>
  <c r="B1878" i="9" s="1"/>
  <c r="C1879" i="5"/>
  <c r="B1879" i="9" s="1"/>
  <c r="C1880" i="5"/>
  <c r="B1880" i="9" s="1"/>
  <c r="C1881" i="5"/>
  <c r="B1881" i="9" s="1"/>
  <c r="C1882" i="5"/>
  <c r="B1882" i="9" s="1"/>
  <c r="C1883" i="5"/>
  <c r="B1883" i="9" s="1"/>
  <c r="C1884" i="5"/>
  <c r="B1884" i="9" s="1"/>
  <c r="C1885" i="5"/>
  <c r="B1885" i="9" s="1"/>
  <c r="C1886" i="5"/>
  <c r="B1886" i="9" s="1"/>
  <c r="C1887" i="5"/>
  <c r="B1887" i="9" s="1"/>
  <c r="C1888" i="5"/>
  <c r="B1888" i="9" s="1"/>
  <c r="C1889" i="5"/>
  <c r="B1889" i="9" s="1"/>
  <c r="C1890" i="5"/>
  <c r="B1890" i="9" s="1"/>
  <c r="C1891" i="5"/>
  <c r="B1891" i="9" s="1"/>
  <c r="C1892" i="5"/>
  <c r="B1892" i="9" s="1"/>
  <c r="C1893" i="5"/>
  <c r="B1893" i="9" s="1"/>
  <c r="C1894" i="5"/>
  <c r="B1894" i="9" s="1"/>
  <c r="C1895" i="5"/>
  <c r="B1895" i="9" s="1"/>
  <c r="C1896" i="5"/>
  <c r="B1896" i="9" s="1"/>
  <c r="C1897" i="5"/>
  <c r="B1897" i="9" s="1"/>
  <c r="C1898" i="5"/>
  <c r="B1898" i="9" s="1"/>
  <c r="C1899" i="5"/>
  <c r="B1899" i="9" s="1"/>
  <c r="C1900" i="5"/>
  <c r="B1900" i="9" s="1"/>
  <c r="C1901" i="5"/>
  <c r="B1901" i="9" s="1"/>
  <c r="C1902" i="5"/>
  <c r="B1902" i="9" s="1"/>
  <c r="C1903" i="5"/>
  <c r="B1903" i="9" s="1"/>
  <c r="C1904" i="5"/>
  <c r="B1904" i="9" s="1"/>
  <c r="C1905" i="5"/>
  <c r="B1905" i="9" s="1"/>
  <c r="C1906" i="5"/>
  <c r="B1906" i="9" s="1"/>
  <c r="C1907" i="5"/>
  <c r="B1907" i="9" s="1"/>
  <c r="C1908" i="5"/>
  <c r="B1908" i="9" s="1"/>
  <c r="C1909" i="5"/>
  <c r="B1909" i="9" s="1"/>
  <c r="C1910" i="5"/>
  <c r="B1910" i="9" s="1"/>
  <c r="C1911" i="5"/>
  <c r="B1911" i="9" s="1"/>
  <c r="C1912" i="5"/>
  <c r="B1912" i="9" s="1"/>
  <c r="C1913" i="5"/>
  <c r="B1913" i="9" s="1"/>
  <c r="C1914" i="5"/>
  <c r="B1914" i="9" s="1"/>
  <c r="C1915" i="5"/>
  <c r="B1915" i="9" s="1"/>
  <c r="C1916" i="5"/>
  <c r="B1916" i="9" s="1"/>
  <c r="C1917" i="5"/>
  <c r="B1917" i="9" s="1"/>
  <c r="C1918" i="5"/>
  <c r="B1918" i="9" s="1"/>
  <c r="C1919" i="5"/>
  <c r="B1919" i="9" s="1"/>
  <c r="C1920" i="5"/>
  <c r="B1920" i="9" s="1"/>
  <c r="C1921" i="5"/>
  <c r="B1921" i="9" s="1"/>
  <c r="C1922" i="5"/>
  <c r="B1922" i="9" s="1"/>
  <c r="C1923" i="5"/>
  <c r="B1923" i="9" s="1"/>
  <c r="C1924" i="5"/>
  <c r="B1924" i="9" s="1"/>
  <c r="C1925" i="5"/>
  <c r="B1925" i="9" s="1"/>
  <c r="C1926" i="5"/>
  <c r="B1926" i="9" s="1"/>
  <c r="C1927" i="5"/>
  <c r="B1927" i="9" s="1"/>
  <c r="C1928" i="5"/>
  <c r="B1928" i="9" s="1"/>
  <c r="C1929" i="5"/>
  <c r="B1929" i="9" s="1"/>
  <c r="C1930" i="5"/>
  <c r="B1930" i="9" s="1"/>
  <c r="C1931" i="5"/>
  <c r="B1931" i="9" s="1"/>
  <c r="C1932" i="5"/>
  <c r="B1932" i="9" s="1"/>
  <c r="C1933" i="5"/>
  <c r="B1933" i="9" s="1"/>
  <c r="C1934" i="5"/>
  <c r="B1934" i="9" s="1"/>
  <c r="C1935" i="5"/>
  <c r="B1935" i="9" s="1"/>
  <c r="C1936" i="5"/>
  <c r="B1936" i="9" s="1"/>
  <c r="C1937" i="5"/>
  <c r="B1937" i="9" s="1"/>
  <c r="C1938" i="5"/>
  <c r="B1938" i="9" s="1"/>
  <c r="C1939" i="5"/>
  <c r="B1939" i="9" s="1"/>
  <c r="C1940" i="5"/>
  <c r="B1940" i="9" s="1"/>
  <c r="C1941" i="5"/>
  <c r="B1941" i="9" s="1"/>
  <c r="C1942" i="5"/>
  <c r="B1942" i="9" s="1"/>
  <c r="C1943" i="5"/>
  <c r="B1943" i="9" s="1"/>
  <c r="C1944" i="5"/>
  <c r="B1944" i="9" s="1"/>
  <c r="C1945" i="5"/>
  <c r="B1945" i="9" s="1"/>
  <c r="C1946" i="5"/>
  <c r="B1946" i="9" s="1"/>
  <c r="C1947" i="5"/>
  <c r="B1947" i="9" s="1"/>
  <c r="C1948" i="5"/>
  <c r="B1948" i="9" s="1"/>
  <c r="C1949" i="5"/>
  <c r="B1949" i="9" s="1"/>
  <c r="C1950" i="5"/>
  <c r="B1950" i="9" s="1"/>
  <c r="C1951" i="5"/>
  <c r="B1951" i="9" s="1"/>
  <c r="C1952" i="5"/>
  <c r="B1952" i="9" s="1"/>
  <c r="C1953" i="5"/>
  <c r="B1953" i="9" s="1"/>
  <c r="C1954" i="5"/>
  <c r="B1954" i="9" s="1"/>
  <c r="C1955" i="5"/>
  <c r="B1955" i="9" s="1"/>
  <c r="C1956" i="5"/>
  <c r="B1956" i="9" s="1"/>
  <c r="C1957" i="5"/>
  <c r="B1957" i="9" s="1"/>
  <c r="C1958" i="5"/>
  <c r="B1958" i="9" s="1"/>
  <c r="C1959" i="5"/>
  <c r="B1959" i="9" s="1"/>
  <c r="C1960" i="5"/>
  <c r="B1960" i="9" s="1"/>
  <c r="C1961" i="5"/>
  <c r="B1961" i="9" s="1"/>
  <c r="C1962" i="5"/>
  <c r="B1962" i="9" s="1"/>
  <c r="C1963" i="5"/>
  <c r="B1963" i="9" s="1"/>
  <c r="C1964" i="5"/>
  <c r="B1964" i="9" s="1"/>
  <c r="C1965" i="5"/>
  <c r="B1965" i="9" s="1"/>
  <c r="C1966" i="5"/>
  <c r="B1966" i="9" s="1"/>
  <c r="C1967" i="5"/>
  <c r="B1967" i="9" s="1"/>
  <c r="C1968" i="5"/>
  <c r="B1968" i="9" s="1"/>
  <c r="C1969" i="5"/>
  <c r="B1969" i="9" s="1"/>
  <c r="C1970" i="5"/>
  <c r="B1970" i="9" s="1"/>
  <c r="C1971" i="5"/>
  <c r="B1971" i="9" s="1"/>
  <c r="C1972" i="5"/>
  <c r="B1972" i="9" s="1"/>
  <c r="C1973" i="5"/>
  <c r="B1973" i="9" s="1"/>
  <c r="C1974" i="5"/>
  <c r="B1974" i="9" s="1"/>
  <c r="C1975" i="5"/>
  <c r="B1975" i="9" s="1"/>
  <c r="C1976" i="5"/>
  <c r="B1976" i="9" s="1"/>
  <c r="C1977" i="5"/>
  <c r="B1977" i="9" s="1"/>
  <c r="C1978" i="5"/>
  <c r="B1978" i="9" s="1"/>
  <c r="C1979" i="5"/>
  <c r="B1979" i="9" s="1"/>
  <c r="C1980" i="5"/>
  <c r="B1980" i="9" s="1"/>
  <c r="C1981" i="5"/>
  <c r="B1981" i="9" s="1"/>
  <c r="C1982" i="5"/>
  <c r="B1982" i="9" s="1"/>
  <c r="C1983" i="5"/>
  <c r="B1983" i="9" s="1"/>
  <c r="C1984" i="5"/>
  <c r="B1984" i="9" s="1"/>
  <c r="C1985" i="5"/>
  <c r="B1985" i="9" s="1"/>
  <c r="C1986" i="5"/>
  <c r="B1986" i="9" s="1"/>
  <c r="C1987" i="5"/>
  <c r="B1987" i="9" s="1"/>
  <c r="C1988" i="5"/>
  <c r="B1988" i="9" s="1"/>
  <c r="C1989" i="5"/>
  <c r="B1989" i="9" s="1"/>
  <c r="C1990" i="5"/>
  <c r="B1990" i="9" s="1"/>
  <c r="C1991" i="5"/>
  <c r="B1991" i="9" s="1"/>
  <c r="C1992" i="5"/>
  <c r="B1992" i="9" s="1"/>
  <c r="C1993" i="5"/>
  <c r="B1993" i="9" s="1"/>
  <c r="C1994" i="5"/>
  <c r="B1994" i="9" s="1"/>
  <c r="C1995" i="5"/>
  <c r="B1995" i="9" s="1"/>
  <c r="C1996" i="5"/>
  <c r="B1996" i="9" s="1"/>
  <c r="C1997" i="5"/>
  <c r="B1997" i="9" s="1"/>
  <c r="C1998" i="5"/>
  <c r="B1998" i="9" s="1"/>
  <c r="C1999" i="5"/>
  <c r="B1999" i="9" s="1"/>
  <c r="C2000" i="5"/>
  <c r="B2000" i="9" s="1"/>
  <c r="C6" i="5"/>
  <c r="K1005" i="5"/>
  <c r="M1005" i="5" s="1"/>
  <c r="L1005" i="5"/>
  <c r="K1006" i="5"/>
  <c r="M1006" i="5" s="1"/>
  <c r="L1006" i="5"/>
  <c r="K1007" i="5"/>
  <c r="M1007" i="5" s="1"/>
  <c r="L1007" i="5"/>
  <c r="K1008" i="5"/>
  <c r="M1008" i="5" s="1"/>
  <c r="L1008" i="5"/>
  <c r="K1009" i="5"/>
  <c r="M1009" i="5" s="1"/>
  <c r="L1009" i="5"/>
  <c r="K1010" i="5"/>
  <c r="M1010" i="5" s="1"/>
  <c r="L1010" i="5"/>
  <c r="K1011" i="5"/>
  <c r="M1011" i="5" s="1"/>
  <c r="L1011" i="5"/>
  <c r="K1012" i="5"/>
  <c r="M1012" i="5" s="1"/>
  <c r="L1012" i="5"/>
  <c r="K1013" i="5"/>
  <c r="M1013" i="5" s="1"/>
  <c r="L1013" i="5"/>
  <c r="K1014" i="5"/>
  <c r="M1014" i="5" s="1"/>
  <c r="L1014" i="5"/>
  <c r="K1015" i="5"/>
  <c r="M1015" i="5" s="1"/>
  <c r="L1015" i="5"/>
  <c r="K1016" i="5"/>
  <c r="M1016" i="5" s="1"/>
  <c r="L1016" i="5"/>
  <c r="K1017" i="5"/>
  <c r="M1017" i="5" s="1"/>
  <c r="L1017" i="5"/>
  <c r="K1018" i="5"/>
  <c r="M1018" i="5" s="1"/>
  <c r="L1018" i="5"/>
  <c r="K1019" i="5"/>
  <c r="M1019" i="5" s="1"/>
  <c r="L1019" i="5"/>
  <c r="K1020" i="5"/>
  <c r="M1020" i="5" s="1"/>
  <c r="L1020" i="5"/>
  <c r="K1021" i="5"/>
  <c r="M1021" i="5" s="1"/>
  <c r="L1021" i="5"/>
  <c r="K1022" i="5"/>
  <c r="M1022" i="5" s="1"/>
  <c r="L1022" i="5"/>
  <c r="K1023" i="5"/>
  <c r="M1023" i="5" s="1"/>
  <c r="L1023" i="5"/>
  <c r="K1024" i="5"/>
  <c r="M1024" i="5" s="1"/>
  <c r="L1024" i="5"/>
  <c r="K1025" i="5"/>
  <c r="M1025" i="5" s="1"/>
  <c r="L1025" i="5"/>
  <c r="K1026" i="5"/>
  <c r="M1026" i="5" s="1"/>
  <c r="L1026" i="5"/>
  <c r="K1027" i="5"/>
  <c r="M1027" i="5" s="1"/>
  <c r="L1027" i="5"/>
  <c r="K1028" i="5"/>
  <c r="M1028" i="5" s="1"/>
  <c r="L1028" i="5"/>
  <c r="K1029" i="5"/>
  <c r="M1029" i="5" s="1"/>
  <c r="L1029" i="5"/>
  <c r="K1030" i="5"/>
  <c r="M1030" i="5" s="1"/>
  <c r="L1030" i="5"/>
  <c r="K1031" i="5"/>
  <c r="M1031" i="5" s="1"/>
  <c r="L1031" i="5"/>
  <c r="K1032" i="5"/>
  <c r="M1032" i="5" s="1"/>
  <c r="L1032" i="5"/>
  <c r="K1033" i="5"/>
  <c r="M1033" i="5" s="1"/>
  <c r="L1033" i="5"/>
  <c r="K1035" i="5"/>
  <c r="M1035" i="5" s="1"/>
  <c r="L1035" i="5"/>
  <c r="K1037" i="5"/>
  <c r="M1037" i="5" s="1"/>
  <c r="L1037" i="5"/>
  <c r="K1038" i="5"/>
  <c r="M1038" i="5" s="1"/>
  <c r="L1038" i="5"/>
  <c r="K1039" i="5"/>
  <c r="M1039" i="5" s="1"/>
  <c r="L1039" i="5"/>
  <c r="K1040" i="5"/>
  <c r="M1040" i="5" s="1"/>
  <c r="L1040" i="5"/>
  <c r="K1041" i="5"/>
  <c r="M1041" i="5" s="1"/>
  <c r="L1041" i="5"/>
  <c r="K1042" i="5"/>
  <c r="M1042" i="5" s="1"/>
  <c r="L1042" i="5"/>
  <c r="K1043" i="5"/>
  <c r="M1043" i="5" s="1"/>
  <c r="L1043" i="5"/>
  <c r="K1045" i="5"/>
  <c r="M1045" i="5" s="1"/>
  <c r="L1045" i="5"/>
  <c r="K1046" i="5"/>
  <c r="M1046" i="5" s="1"/>
  <c r="L1046" i="5"/>
  <c r="K1047" i="5"/>
  <c r="M1047" i="5" s="1"/>
  <c r="L1047" i="5"/>
  <c r="K1049" i="5"/>
  <c r="M1049" i="5" s="1"/>
  <c r="L1049" i="5"/>
  <c r="K1050" i="5"/>
  <c r="M1050" i="5" s="1"/>
  <c r="L1050" i="5"/>
  <c r="K1051" i="5"/>
  <c r="M1051" i="5" s="1"/>
  <c r="L1051" i="5"/>
  <c r="K1052" i="5"/>
  <c r="M1052" i="5" s="1"/>
  <c r="L1052" i="5"/>
  <c r="K1053" i="5"/>
  <c r="M1053" i="5" s="1"/>
  <c r="L1053" i="5"/>
  <c r="K1055" i="5"/>
  <c r="M1055" i="5" s="1"/>
  <c r="L1055" i="5"/>
  <c r="K1056" i="5"/>
  <c r="M1056" i="5" s="1"/>
  <c r="L1056" i="5"/>
  <c r="K1057" i="5"/>
  <c r="M1057" i="5" s="1"/>
  <c r="L1057" i="5"/>
  <c r="K1058" i="5"/>
  <c r="M1058" i="5" s="1"/>
  <c r="L1058" i="5"/>
  <c r="K1059" i="5"/>
  <c r="M1059" i="5" s="1"/>
  <c r="L1059" i="5"/>
  <c r="K1060" i="5"/>
  <c r="M1060" i="5" s="1"/>
  <c r="L1060" i="5"/>
  <c r="K1061" i="5"/>
  <c r="M1061" i="5" s="1"/>
  <c r="L1061" i="5"/>
  <c r="K1062" i="5"/>
  <c r="M1062" i="5" s="1"/>
  <c r="L1062" i="5"/>
  <c r="K1063" i="5"/>
  <c r="M1063" i="5" s="1"/>
  <c r="L1063" i="5"/>
  <c r="K1064" i="5"/>
  <c r="M1064" i="5" s="1"/>
  <c r="L1064" i="5"/>
  <c r="K1065" i="5"/>
  <c r="M1065" i="5" s="1"/>
  <c r="L1065" i="5"/>
  <c r="K1066" i="5"/>
  <c r="M1066" i="5" s="1"/>
  <c r="L1066" i="5"/>
  <c r="K1067" i="5"/>
  <c r="M1067" i="5" s="1"/>
  <c r="L1067" i="5"/>
  <c r="K1068" i="5"/>
  <c r="M1068" i="5" s="1"/>
  <c r="L1068" i="5"/>
  <c r="K1069" i="5"/>
  <c r="M1069" i="5" s="1"/>
  <c r="L1069" i="5"/>
  <c r="K1070" i="5"/>
  <c r="M1070" i="5" s="1"/>
  <c r="L1070" i="5"/>
  <c r="K1071" i="5"/>
  <c r="M1071" i="5" s="1"/>
  <c r="L1071" i="5"/>
  <c r="K1072" i="5"/>
  <c r="M1072" i="5" s="1"/>
  <c r="L1072" i="5"/>
  <c r="K1073" i="5"/>
  <c r="M1073" i="5" s="1"/>
  <c r="L1073" i="5"/>
  <c r="K1074" i="5"/>
  <c r="M1074" i="5" s="1"/>
  <c r="L1074" i="5"/>
  <c r="K1075" i="5"/>
  <c r="M1075" i="5" s="1"/>
  <c r="L1075" i="5"/>
  <c r="K1076" i="5"/>
  <c r="M1076" i="5" s="1"/>
  <c r="L1076" i="5"/>
  <c r="K1077" i="5"/>
  <c r="M1077" i="5" s="1"/>
  <c r="L1077" i="5"/>
  <c r="K1078" i="5"/>
  <c r="M1078" i="5" s="1"/>
  <c r="L1078" i="5"/>
  <c r="K1079" i="5"/>
  <c r="M1079" i="5" s="1"/>
  <c r="L1079" i="5"/>
  <c r="K1080" i="5"/>
  <c r="M1080" i="5" s="1"/>
  <c r="L1080" i="5"/>
  <c r="K1081" i="5"/>
  <c r="M1081" i="5" s="1"/>
  <c r="L1081" i="5"/>
  <c r="K1082" i="5"/>
  <c r="M1082" i="5" s="1"/>
  <c r="L1082" i="5"/>
  <c r="K1083" i="5"/>
  <c r="M1083" i="5" s="1"/>
  <c r="L1083" i="5"/>
  <c r="K1084" i="5"/>
  <c r="M1084" i="5" s="1"/>
  <c r="L1084" i="5"/>
  <c r="K1085" i="5"/>
  <c r="M1085" i="5" s="1"/>
  <c r="L1085" i="5"/>
  <c r="K1086" i="5"/>
  <c r="M1086" i="5" s="1"/>
  <c r="L1086" i="5"/>
  <c r="K1087" i="5"/>
  <c r="M1087" i="5" s="1"/>
  <c r="L1087" i="5"/>
  <c r="K1088" i="5"/>
  <c r="M1088" i="5" s="1"/>
  <c r="L1088" i="5"/>
  <c r="K1089" i="5"/>
  <c r="M1089" i="5" s="1"/>
  <c r="L1089" i="5"/>
  <c r="K1090" i="5"/>
  <c r="M1090" i="5" s="1"/>
  <c r="L1090" i="5"/>
  <c r="K1091" i="5"/>
  <c r="M1091" i="5" s="1"/>
  <c r="L1091" i="5"/>
  <c r="K1092" i="5"/>
  <c r="M1092" i="5" s="1"/>
  <c r="L1092" i="5"/>
  <c r="K1093" i="5"/>
  <c r="M1093" i="5" s="1"/>
  <c r="L1093" i="5"/>
  <c r="K1094" i="5"/>
  <c r="M1094" i="5" s="1"/>
  <c r="L1094" i="5"/>
  <c r="K1095" i="5"/>
  <c r="M1095" i="5" s="1"/>
  <c r="L1095" i="5"/>
  <c r="K1096" i="5"/>
  <c r="M1096" i="5" s="1"/>
  <c r="L1096" i="5"/>
  <c r="K1097" i="5"/>
  <c r="M1097" i="5" s="1"/>
  <c r="L1097" i="5"/>
  <c r="K1098" i="5"/>
  <c r="M1098" i="5" s="1"/>
  <c r="L1098" i="5"/>
  <c r="K1099" i="5"/>
  <c r="M1099" i="5" s="1"/>
  <c r="L1099" i="5"/>
  <c r="K1100" i="5"/>
  <c r="M1100" i="5" s="1"/>
  <c r="L1100" i="5"/>
  <c r="K1101" i="5"/>
  <c r="M1101" i="5" s="1"/>
  <c r="L1101" i="5"/>
  <c r="K1102" i="5"/>
  <c r="M1102" i="5" s="1"/>
  <c r="L1102" i="5"/>
  <c r="K1103" i="5"/>
  <c r="M1103" i="5" s="1"/>
  <c r="L1103" i="5"/>
  <c r="K1104" i="5"/>
  <c r="M1104" i="5" s="1"/>
  <c r="L1104" i="5"/>
  <c r="K1105" i="5"/>
  <c r="M1105" i="5" s="1"/>
  <c r="L1105" i="5"/>
  <c r="K1106" i="5"/>
  <c r="M1106" i="5" s="1"/>
  <c r="L1106" i="5"/>
  <c r="K1107" i="5"/>
  <c r="M1107" i="5" s="1"/>
  <c r="L1107" i="5"/>
  <c r="K1108" i="5"/>
  <c r="M1108" i="5" s="1"/>
  <c r="L1108" i="5"/>
  <c r="K1109" i="5"/>
  <c r="M1109" i="5" s="1"/>
  <c r="L1109" i="5"/>
  <c r="K1110" i="5"/>
  <c r="M1110" i="5" s="1"/>
  <c r="L1110" i="5"/>
  <c r="K1111" i="5"/>
  <c r="M1111" i="5" s="1"/>
  <c r="L1111" i="5"/>
  <c r="K1112" i="5"/>
  <c r="M1112" i="5" s="1"/>
  <c r="L1112" i="5"/>
  <c r="K1113" i="5"/>
  <c r="M1113" i="5" s="1"/>
  <c r="L1113" i="5"/>
  <c r="K1114" i="5"/>
  <c r="M1114" i="5" s="1"/>
  <c r="L1114" i="5"/>
  <c r="K1115" i="5"/>
  <c r="M1115" i="5" s="1"/>
  <c r="L1115" i="5"/>
  <c r="K1116" i="5"/>
  <c r="M1116" i="5" s="1"/>
  <c r="L1116" i="5"/>
  <c r="K1117" i="5"/>
  <c r="M1117" i="5" s="1"/>
  <c r="L1117" i="5"/>
  <c r="K1118" i="5"/>
  <c r="M1118" i="5" s="1"/>
  <c r="L1118" i="5"/>
  <c r="K1119" i="5"/>
  <c r="M1119" i="5" s="1"/>
  <c r="L1119" i="5"/>
  <c r="K1120" i="5"/>
  <c r="M1120" i="5" s="1"/>
  <c r="L1120" i="5"/>
  <c r="K1121" i="5"/>
  <c r="M1121" i="5" s="1"/>
  <c r="L1121" i="5"/>
  <c r="K1122" i="5"/>
  <c r="M1122" i="5" s="1"/>
  <c r="L1122" i="5"/>
  <c r="K1123" i="5"/>
  <c r="M1123" i="5" s="1"/>
  <c r="L1123" i="5"/>
  <c r="K1124" i="5"/>
  <c r="M1124" i="5" s="1"/>
  <c r="L1124" i="5"/>
  <c r="K1125" i="5"/>
  <c r="M1125" i="5" s="1"/>
  <c r="L1125" i="5"/>
  <c r="K1126" i="5"/>
  <c r="M1126" i="5" s="1"/>
  <c r="L1126" i="5"/>
  <c r="K1127" i="5"/>
  <c r="M1127" i="5" s="1"/>
  <c r="L1127" i="5"/>
  <c r="K1128" i="5"/>
  <c r="M1128" i="5" s="1"/>
  <c r="L1128" i="5"/>
  <c r="K1129" i="5"/>
  <c r="M1129" i="5" s="1"/>
  <c r="L1129" i="5"/>
  <c r="K1130" i="5"/>
  <c r="M1130" i="5" s="1"/>
  <c r="L1130" i="5"/>
  <c r="K1131" i="5"/>
  <c r="M1131" i="5" s="1"/>
  <c r="L1131" i="5"/>
  <c r="K1132" i="5"/>
  <c r="M1132" i="5" s="1"/>
  <c r="L1132" i="5"/>
  <c r="K1133" i="5"/>
  <c r="M1133" i="5" s="1"/>
  <c r="L1133" i="5"/>
  <c r="K1134" i="5"/>
  <c r="M1134" i="5" s="1"/>
  <c r="L1134" i="5"/>
  <c r="K1135" i="5"/>
  <c r="M1135" i="5" s="1"/>
  <c r="L1135" i="5"/>
  <c r="K1136" i="5"/>
  <c r="M1136" i="5" s="1"/>
  <c r="L1136" i="5"/>
  <c r="K1137" i="5"/>
  <c r="M1137" i="5" s="1"/>
  <c r="L1137" i="5"/>
  <c r="K1138" i="5"/>
  <c r="M1138" i="5" s="1"/>
  <c r="L1138" i="5"/>
  <c r="K1139" i="5"/>
  <c r="M1139" i="5" s="1"/>
  <c r="L1139" i="5"/>
  <c r="K1140" i="5"/>
  <c r="M1140" i="5" s="1"/>
  <c r="L1140" i="5"/>
  <c r="K1141" i="5"/>
  <c r="M1141" i="5" s="1"/>
  <c r="L1141" i="5"/>
  <c r="K1142" i="5"/>
  <c r="M1142" i="5" s="1"/>
  <c r="L1142" i="5"/>
  <c r="K1143" i="5"/>
  <c r="M1143" i="5" s="1"/>
  <c r="L1143" i="5"/>
  <c r="K1144" i="5"/>
  <c r="M1144" i="5" s="1"/>
  <c r="L1144" i="5"/>
  <c r="K1145" i="5"/>
  <c r="M1145" i="5" s="1"/>
  <c r="L1145" i="5"/>
  <c r="K1146" i="5"/>
  <c r="M1146" i="5" s="1"/>
  <c r="L1146" i="5"/>
  <c r="K1147" i="5"/>
  <c r="M1147" i="5" s="1"/>
  <c r="L1147" i="5"/>
  <c r="K1148" i="5"/>
  <c r="M1148" i="5" s="1"/>
  <c r="L1148" i="5"/>
  <c r="K1149" i="5"/>
  <c r="M1149" i="5" s="1"/>
  <c r="L1149" i="5"/>
  <c r="K1150" i="5"/>
  <c r="M1150" i="5" s="1"/>
  <c r="L1150" i="5"/>
  <c r="K1151" i="5"/>
  <c r="M1151" i="5" s="1"/>
  <c r="L1151" i="5"/>
  <c r="K1152" i="5"/>
  <c r="M1152" i="5" s="1"/>
  <c r="L1152" i="5"/>
  <c r="K1153" i="5"/>
  <c r="M1153" i="5" s="1"/>
  <c r="L1153" i="5"/>
  <c r="K1154" i="5"/>
  <c r="M1154" i="5" s="1"/>
  <c r="L1154" i="5"/>
  <c r="K1155" i="5"/>
  <c r="M1155" i="5" s="1"/>
  <c r="L1155" i="5"/>
  <c r="K1156" i="5"/>
  <c r="M1156" i="5" s="1"/>
  <c r="L1156" i="5"/>
  <c r="K1157" i="5"/>
  <c r="M1157" i="5" s="1"/>
  <c r="L1157" i="5"/>
  <c r="K1158" i="5"/>
  <c r="M1158" i="5" s="1"/>
  <c r="L1158" i="5"/>
  <c r="K1159" i="5"/>
  <c r="M1159" i="5" s="1"/>
  <c r="L1159" i="5"/>
  <c r="K1160" i="5"/>
  <c r="M1160" i="5" s="1"/>
  <c r="L1160" i="5"/>
  <c r="K1161" i="5"/>
  <c r="M1161" i="5" s="1"/>
  <c r="L1161" i="5"/>
  <c r="K1162" i="5"/>
  <c r="M1162" i="5" s="1"/>
  <c r="L1162" i="5"/>
  <c r="K1163" i="5"/>
  <c r="M1163" i="5" s="1"/>
  <c r="L1163" i="5"/>
  <c r="K1164" i="5"/>
  <c r="M1164" i="5" s="1"/>
  <c r="L1164" i="5"/>
  <c r="K1165" i="5"/>
  <c r="M1165" i="5" s="1"/>
  <c r="L1165" i="5"/>
  <c r="K1166" i="5"/>
  <c r="M1166" i="5" s="1"/>
  <c r="L1166" i="5"/>
  <c r="K1167" i="5"/>
  <c r="M1167" i="5" s="1"/>
  <c r="L1167" i="5"/>
  <c r="K1168" i="5"/>
  <c r="M1168" i="5" s="1"/>
  <c r="L1168" i="5"/>
  <c r="K1169" i="5"/>
  <c r="M1169" i="5" s="1"/>
  <c r="L1169" i="5"/>
  <c r="K1170" i="5"/>
  <c r="M1170" i="5" s="1"/>
  <c r="L1170" i="5"/>
  <c r="K1171" i="5"/>
  <c r="M1171" i="5" s="1"/>
  <c r="L1171" i="5"/>
  <c r="K1172" i="5"/>
  <c r="M1172" i="5" s="1"/>
  <c r="L1172" i="5"/>
  <c r="K1173" i="5"/>
  <c r="M1173" i="5" s="1"/>
  <c r="L1173" i="5"/>
  <c r="K1174" i="5"/>
  <c r="M1174" i="5" s="1"/>
  <c r="L1174" i="5"/>
  <c r="K1175" i="5"/>
  <c r="M1175" i="5" s="1"/>
  <c r="L1175" i="5"/>
  <c r="K1176" i="5"/>
  <c r="M1176" i="5" s="1"/>
  <c r="L1176" i="5"/>
  <c r="K1177" i="5"/>
  <c r="M1177" i="5" s="1"/>
  <c r="L1177" i="5"/>
  <c r="K1178" i="5"/>
  <c r="M1178" i="5" s="1"/>
  <c r="L1178" i="5"/>
  <c r="K1179" i="5"/>
  <c r="M1179" i="5" s="1"/>
  <c r="L1179" i="5"/>
  <c r="K1180" i="5"/>
  <c r="M1180" i="5" s="1"/>
  <c r="L1180" i="5"/>
  <c r="K1181" i="5"/>
  <c r="M1181" i="5" s="1"/>
  <c r="L1181" i="5"/>
  <c r="K1182" i="5"/>
  <c r="M1182" i="5" s="1"/>
  <c r="L1182" i="5"/>
  <c r="K1183" i="5"/>
  <c r="M1183" i="5" s="1"/>
  <c r="L1183" i="5"/>
  <c r="K1184" i="5"/>
  <c r="M1184" i="5" s="1"/>
  <c r="L1184" i="5"/>
  <c r="K1185" i="5"/>
  <c r="M1185" i="5" s="1"/>
  <c r="L1185" i="5"/>
  <c r="K1186" i="5"/>
  <c r="M1186" i="5" s="1"/>
  <c r="L1186" i="5"/>
  <c r="K1187" i="5"/>
  <c r="M1187" i="5" s="1"/>
  <c r="L1187" i="5"/>
  <c r="K1188" i="5"/>
  <c r="M1188" i="5" s="1"/>
  <c r="L1188" i="5"/>
  <c r="K1189" i="5"/>
  <c r="M1189" i="5" s="1"/>
  <c r="L1189" i="5"/>
  <c r="K1190" i="5"/>
  <c r="M1190" i="5" s="1"/>
  <c r="L1190" i="5"/>
  <c r="K1191" i="5"/>
  <c r="M1191" i="5" s="1"/>
  <c r="L1191" i="5"/>
  <c r="K1192" i="5"/>
  <c r="M1192" i="5" s="1"/>
  <c r="L1192" i="5"/>
  <c r="K1193" i="5"/>
  <c r="M1193" i="5" s="1"/>
  <c r="L1193" i="5"/>
  <c r="K1194" i="5"/>
  <c r="M1194" i="5" s="1"/>
  <c r="L1194" i="5"/>
  <c r="K1195" i="5"/>
  <c r="M1195" i="5" s="1"/>
  <c r="L1195" i="5"/>
  <c r="K1196" i="5"/>
  <c r="M1196" i="5" s="1"/>
  <c r="L1196" i="5"/>
  <c r="K1197" i="5"/>
  <c r="M1197" i="5" s="1"/>
  <c r="L1197" i="5"/>
  <c r="K1198" i="5"/>
  <c r="M1198" i="5" s="1"/>
  <c r="L1198" i="5"/>
  <c r="K1199" i="5"/>
  <c r="M1199" i="5" s="1"/>
  <c r="L1199" i="5"/>
  <c r="K1200" i="5"/>
  <c r="M1200" i="5" s="1"/>
  <c r="L1200" i="5"/>
  <c r="K1201" i="5"/>
  <c r="M1201" i="5" s="1"/>
  <c r="L1201" i="5"/>
  <c r="K1202" i="5"/>
  <c r="M1202" i="5" s="1"/>
  <c r="L1202" i="5"/>
  <c r="K1203" i="5"/>
  <c r="M1203" i="5" s="1"/>
  <c r="L1203" i="5"/>
  <c r="K1204" i="5"/>
  <c r="M1204" i="5" s="1"/>
  <c r="L1204" i="5"/>
  <c r="K1205" i="5"/>
  <c r="M1205" i="5" s="1"/>
  <c r="L1205" i="5"/>
  <c r="K1206" i="5"/>
  <c r="M1206" i="5" s="1"/>
  <c r="L1206" i="5"/>
  <c r="K1207" i="5"/>
  <c r="M1207" i="5" s="1"/>
  <c r="L1207" i="5"/>
  <c r="K1208" i="5"/>
  <c r="M1208" i="5" s="1"/>
  <c r="L1208" i="5"/>
  <c r="K1209" i="5"/>
  <c r="M1209" i="5" s="1"/>
  <c r="L1209" i="5"/>
  <c r="K1210" i="5"/>
  <c r="M1210" i="5" s="1"/>
  <c r="L1210" i="5"/>
  <c r="K1211" i="5"/>
  <c r="M1211" i="5" s="1"/>
  <c r="L1211" i="5"/>
  <c r="K1212" i="5"/>
  <c r="M1212" i="5" s="1"/>
  <c r="L1212" i="5"/>
  <c r="K1213" i="5"/>
  <c r="M1213" i="5" s="1"/>
  <c r="L1213" i="5"/>
  <c r="K1214" i="5"/>
  <c r="M1214" i="5" s="1"/>
  <c r="L1214" i="5"/>
  <c r="K1215" i="5"/>
  <c r="M1215" i="5" s="1"/>
  <c r="L1215" i="5"/>
  <c r="K1216" i="5"/>
  <c r="M1216" i="5" s="1"/>
  <c r="L1216" i="5"/>
  <c r="K1217" i="5"/>
  <c r="M1217" i="5" s="1"/>
  <c r="L1217" i="5"/>
  <c r="K1218" i="5"/>
  <c r="M1218" i="5" s="1"/>
  <c r="L1218" i="5"/>
  <c r="K1219" i="5"/>
  <c r="M1219" i="5" s="1"/>
  <c r="L1219" i="5"/>
  <c r="K1220" i="5"/>
  <c r="M1220" i="5" s="1"/>
  <c r="L1220" i="5"/>
  <c r="K1221" i="5"/>
  <c r="M1221" i="5" s="1"/>
  <c r="L1221" i="5"/>
  <c r="K1222" i="5"/>
  <c r="M1222" i="5" s="1"/>
  <c r="L1222" i="5"/>
  <c r="K1223" i="5"/>
  <c r="M1223" i="5" s="1"/>
  <c r="L1223" i="5"/>
  <c r="K1224" i="5"/>
  <c r="M1224" i="5" s="1"/>
  <c r="L1224" i="5"/>
  <c r="K1225" i="5"/>
  <c r="M1225" i="5" s="1"/>
  <c r="L1225" i="5"/>
  <c r="K1226" i="5"/>
  <c r="M1226" i="5" s="1"/>
  <c r="L1226" i="5"/>
  <c r="K1227" i="5"/>
  <c r="M1227" i="5" s="1"/>
  <c r="L1227" i="5"/>
  <c r="K1228" i="5"/>
  <c r="M1228" i="5" s="1"/>
  <c r="K1229" i="5"/>
  <c r="M1229" i="5" s="1"/>
  <c r="L1229" i="5"/>
  <c r="K1230" i="5"/>
  <c r="M1230" i="5" s="1"/>
  <c r="L1230" i="5"/>
  <c r="K1231" i="5"/>
  <c r="M1231" i="5" s="1"/>
  <c r="L1231" i="5"/>
  <c r="K1232" i="5"/>
  <c r="M1232" i="5" s="1"/>
  <c r="L1232" i="5"/>
  <c r="K1233" i="5"/>
  <c r="M1233" i="5" s="1"/>
  <c r="L1233" i="5"/>
  <c r="K1234" i="5"/>
  <c r="M1234" i="5" s="1"/>
  <c r="L1234" i="5"/>
  <c r="K1235" i="5"/>
  <c r="M1235" i="5" s="1"/>
  <c r="L1235" i="5"/>
  <c r="K1236" i="5"/>
  <c r="M1236" i="5" s="1"/>
  <c r="L1236" i="5"/>
  <c r="K1237" i="5"/>
  <c r="M1237" i="5" s="1"/>
  <c r="L1237" i="5"/>
  <c r="K1238" i="5"/>
  <c r="M1238" i="5" s="1"/>
  <c r="L1238" i="5"/>
  <c r="K1239" i="5"/>
  <c r="M1239" i="5" s="1"/>
  <c r="L1239" i="5"/>
  <c r="K1240" i="5"/>
  <c r="M1240" i="5" s="1"/>
  <c r="L1240" i="5"/>
  <c r="K1241" i="5"/>
  <c r="M1241" i="5" s="1"/>
  <c r="L1241" i="5"/>
  <c r="K1242" i="5"/>
  <c r="M1242" i="5" s="1"/>
  <c r="L1242" i="5"/>
  <c r="K1243" i="5"/>
  <c r="M1243" i="5" s="1"/>
  <c r="L1243" i="5"/>
  <c r="K1244" i="5"/>
  <c r="M1244" i="5" s="1"/>
  <c r="L1244" i="5"/>
  <c r="K1245" i="5"/>
  <c r="M1245" i="5" s="1"/>
  <c r="L1245" i="5"/>
  <c r="K1246" i="5"/>
  <c r="M1246" i="5" s="1"/>
  <c r="L1246" i="5"/>
  <c r="K1247" i="5"/>
  <c r="M1247" i="5" s="1"/>
  <c r="L1247" i="5"/>
  <c r="K1248" i="5"/>
  <c r="M1248" i="5" s="1"/>
  <c r="L1248" i="5"/>
  <c r="K1249" i="5"/>
  <c r="M1249" i="5" s="1"/>
  <c r="L1249" i="5"/>
  <c r="K1250" i="5"/>
  <c r="M1250" i="5" s="1"/>
  <c r="L1250" i="5"/>
  <c r="K1251" i="5"/>
  <c r="M1251" i="5" s="1"/>
  <c r="L1251" i="5"/>
  <c r="K1252" i="5"/>
  <c r="M1252" i="5" s="1"/>
  <c r="L1252" i="5"/>
  <c r="K1253" i="5"/>
  <c r="M1253" i="5" s="1"/>
  <c r="L1253" i="5"/>
  <c r="K1254" i="5"/>
  <c r="M1254" i="5" s="1"/>
  <c r="L1254" i="5"/>
  <c r="K1255" i="5"/>
  <c r="M1255" i="5" s="1"/>
  <c r="L1255" i="5"/>
  <c r="K1256" i="5"/>
  <c r="M1256" i="5" s="1"/>
  <c r="L1256" i="5"/>
  <c r="K1257" i="5"/>
  <c r="M1257" i="5" s="1"/>
  <c r="L1257" i="5"/>
  <c r="K1258" i="5"/>
  <c r="M1258" i="5" s="1"/>
  <c r="L1258" i="5"/>
  <c r="K1259" i="5"/>
  <c r="M1259" i="5" s="1"/>
  <c r="L1259" i="5"/>
  <c r="K1260" i="5"/>
  <c r="M1260" i="5" s="1"/>
  <c r="L1260" i="5"/>
  <c r="K1261" i="5"/>
  <c r="M1261" i="5" s="1"/>
  <c r="L1261" i="5"/>
  <c r="K1262" i="5"/>
  <c r="M1262" i="5" s="1"/>
  <c r="L1262" i="5"/>
  <c r="K1263" i="5"/>
  <c r="M1263" i="5" s="1"/>
  <c r="L1263" i="5"/>
  <c r="K1264" i="5"/>
  <c r="M1264" i="5" s="1"/>
  <c r="L1264" i="5"/>
  <c r="K1265" i="5"/>
  <c r="M1265" i="5" s="1"/>
  <c r="L1265" i="5"/>
  <c r="K1266" i="5"/>
  <c r="M1266" i="5" s="1"/>
  <c r="L1266" i="5"/>
  <c r="K1267" i="5"/>
  <c r="M1267" i="5" s="1"/>
  <c r="L1267" i="5"/>
  <c r="K1268" i="5"/>
  <c r="M1268" i="5" s="1"/>
  <c r="L1268" i="5"/>
  <c r="K1269" i="5"/>
  <c r="M1269" i="5" s="1"/>
  <c r="L1269" i="5"/>
  <c r="K1270" i="5"/>
  <c r="M1270" i="5" s="1"/>
  <c r="L1270" i="5"/>
  <c r="K1271" i="5"/>
  <c r="M1271" i="5" s="1"/>
  <c r="L1271" i="5"/>
  <c r="K1272" i="5"/>
  <c r="M1272" i="5" s="1"/>
  <c r="L1272" i="5"/>
  <c r="K1273" i="5"/>
  <c r="M1273" i="5" s="1"/>
  <c r="L1273" i="5"/>
  <c r="K1274" i="5"/>
  <c r="M1274" i="5" s="1"/>
  <c r="L1274" i="5"/>
  <c r="K1275" i="5"/>
  <c r="M1275" i="5" s="1"/>
  <c r="L1275" i="5"/>
  <c r="K1276" i="5"/>
  <c r="M1276" i="5" s="1"/>
  <c r="L1276" i="5"/>
  <c r="K1277" i="5"/>
  <c r="M1277" i="5" s="1"/>
  <c r="L1277" i="5"/>
  <c r="K1278" i="5"/>
  <c r="M1278" i="5" s="1"/>
  <c r="L1278" i="5"/>
  <c r="K1279" i="5"/>
  <c r="M1279" i="5" s="1"/>
  <c r="L1279" i="5"/>
  <c r="K1280" i="5"/>
  <c r="M1280" i="5" s="1"/>
  <c r="L1280" i="5"/>
  <c r="K1281" i="5"/>
  <c r="M1281" i="5" s="1"/>
  <c r="L1281" i="5"/>
  <c r="K1282" i="5"/>
  <c r="M1282" i="5" s="1"/>
  <c r="L1282" i="5"/>
  <c r="K1283" i="5"/>
  <c r="M1283" i="5" s="1"/>
  <c r="L1283" i="5"/>
  <c r="K1284" i="5"/>
  <c r="M1284" i="5" s="1"/>
  <c r="L1284" i="5"/>
  <c r="K1285" i="5"/>
  <c r="M1285" i="5" s="1"/>
  <c r="L1285" i="5"/>
  <c r="K1286" i="5"/>
  <c r="M1286" i="5" s="1"/>
  <c r="L1286" i="5"/>
  <c r="K1287" i="5"/>
  <c r="M1287" i="5" s="1"/>
  <c r="L1287" i="5"/>
  <c r="K1288" i="5"/>
  <c r="M1288" i="5" s="1"/>
  <c r="L1288" i="5"/>
  <c r="K1289" i="5"/>
  <c r="M1289" i="5" s="1"/>
  <c r="L1289" i="5"/>
  <c r="K1290" i="5"/>
  <c r="M1290" i="5" s="1"/>
  <c r="L1290" i="5"/>
  <c r="K1291" i="5"/>
  <c r="M1291" i="5" s="1"/>
  <c r="L1291" i="5"/>
  <c r="K1292" i="5"/>
  <c r="M1292" i="5" s="1"/>
  <c r="L1292" i="5"/>
  <c r="K1293" i="5"/>
  <c r="M1293" i="5" s="1"/>
  <c r="L1293" i="5"/>
  <c r="K1294" i="5"/>
  <c r="M1294" i="5" s="1"/>
  <c r="L1294" i="5"/>
  <c r="K1295" i="5"/>
  <c r="M1295" i="5" s="1"/>
  <c r="L1295" i="5"/>
  <c r="K1296" i="5"/>
  <c r="M1296" i="5" s="1"/>
  <c r="L1296" i="5"/>
  <c r="K1297" i="5"/>
  <c r="M1297" i="5" s="1"/>
  <c r="L1297" i="5"/>
  <c r="K1298" i="5"/>
  <c r="M1298" i="5" s="1"/>
  <c r="L1298" i="5"/>
  <c r="K1299" i="5"/>
  <c r="M1299" i="5" s="1"/>
  <c r="L1299" i="5"/>
  <c r="K1300" i="5"/>
  <c r="M1300" i="5" s="1"/>
  <c r="L1300" i="5"/>
  <c r="K1301" i="5"/>
  <c r="M1301" i="5" s="1"/>
  <c r="L1301" i="5"/>
  <c r="K1302" i="5"/>
  <c r="M1302" i="5" s="1"/>
  <c r="L1302" i="5"/>
  <c r="K1303" i="5"/>
  <c r="M1303" i="5" s="1"/>
  <c r="L1303" i="5"/>
  <c r="K1304" i="5"/>
  <c r="M1304" i="5" s="1"/>
  <c r="L1304" i="5"/>
  <c r="K1305" i="5"/>
  <c r="M1305" i="5" s="1"/>
  <c r="L1305" i="5"/>
  <c r="K1306" i="5"/>
  <c r="M1306" i="5" s="1"/>
  <c r="L1306" i="5"/>
  <c r="K1307" i="5"/>
  <c r="M1307" i="5" s="1"/>
  <c r="L1307" i="5"/>
  <c r="K1308" i="5"/>
  <c r="M1308" i="5" s="1"/>
  <c r="L1308" i="5"/>
  <c r="K1309" i="5"/>
  <c r="M1309" i="5" s="1"/>
  <c r="L1309" i="5"/>
  <c r="K1310" i="5"/>
  <c r="M1310" i="5" s="1"/>
  <c r="L1310" i="5"/>
  <c r="K1311" i="5"/>
  <c r="M1311" i="5" s="1"/>
  <c r="L1311" i="5"/>
  <c r="K1312" i="5"/>
  <c r="M1312" i="5" s="1"/>
  <c r="L1312" i="5"/>
  <c r="K1313" i="5"/>
  <c r="M1313" i="5" s="1"/>
  <c r="L1313" i="5"/>
  <c r="K1314" i="5"/>
  <c r="M1314" i="5" s="1"/>
  <c r="L1314" i="5"/>
  <c r="K1315" i="5"/>
  <c r="M1315" i="5" s="1"/>
  <c r="L1315" i="5"/>
  <c r="K1316" i="5"/>
  <c r="M1316" i="5" s="1"/>
  <c r="L1316" i="5"/>
  <c r="K1317" i="5"/>
  <c r="M1317" i="5" s="1"/>
  <c r="L1317" i="5"/>
  <c r="K1318" i="5"/>
  <c r="M1318" i="5" s="1"/>
  <c r="L1318" i="5"/>
  <c r="K1319" i="5"/>
  <c r="M1319" i="5" s="1"/>
  <c r="L1319" i="5"/>
  <c r="K1320" i="5"/>
  <c r="M1320" i="5" s="1"/>
  <c r="L1320" i="5"/>
  <c r="K1321" i="5"/>
  <c r="M1321" i="5" s="1"/>
  <c r="L1321" i="5"/>
  <c r="K1322" i="5"/>
  <c r="M1322" i="5" s="1"/>
  <c r="L1322" i="5"/>
  <c r="K1323" i="5"/>
  <c r="M1323" i="5" s="1"/>
  <c r="L1323" i="5"/>
  <c r="K1324" i="5"/>
  <c r="M1324" i="5" s="1"/>
  <c r="L1324" i="5"/>
  <c r="K1325" i="5"/>
  <c r="M1325" i="5" s="1"/>
  <c r="L1325" i="5"/>
  <c r="K1326" i="5"/>
  <c r="M1326" i="5" s="1"/>
  <c r="L1326" i="5"/>
  <c r="K1327" i="5"/>
  <c r="M1327" i="5" s="1"/>
  <c r="L1327" i="5"/>
  <c r="K1328" i="5"/>
  <c r="M1328" i="5" s="1"/>
  <c r="L1328" i="5"/>
  <c r="K1329" i="5"/>
  <c r="M1329" i="5" s="1"/>
  <c r="L1329" i="5"/>
  <c r="K1330" i="5"/>
  <c r="M1330" i="5" s="1"/>
  <c r="L1330" i="5"/>
  <c r="K1331" i="5"/>
  <c r="M1331" i="5" s="1"/>
  <c r="L1331" i="5"/>
  <c r="K1332" i="5"/>
  <c r="M1332" i="5" s="1"/>
  <c r="L1332" i="5"/>
  <c r="K1333" i="5"/>
  <c r="M1333" i="5" s="1"/>
  <c r="L1333" i="5"/>
  <c r="K1334" i="5"/>
  <c r="M1334" i="5" s="1"/>
  <c r="L1334" i="5"/>
  <c r="K1335" i="5"/>
  <c r="M1335" i="5" s="1"/>
  <c r="L1335" i="5"/>
  <c r="K1336" i="5"/>
  <c r="M1336" i="5" s="1"/>
  <c r="L1336" i="5"/>
  <c r="K1337" i="5"/>
  <c r="M1337" i="5" s="1"/>
  <c r="L1337" i="5"/>
  <c r="K1338" i="5"/>
  <c r="M1338" i="5" s="1"/>
  <c r="L1338" i="5"/>
  <c r="K1339" i="5"/>
  <c r="M1339" i="5" s="1"/>
  <c r="L1339" i="5"/>
  <c r="K1340" i="5"/>
  <c r="M1340" i="5" s="1"/>
  <c r="L1340" i="5"/>
  <c r="K1341" i="5"/>
  <c r="M1341" i="5" s="1"/>
  <c r="L1341" i="5"/>
  <c r="K1342" i="5"/>
  <c r="M1342" i="5" s="1"/>
  <c r="L1342" i="5"/>
  <c r="K1343" i="5"/>
  <c r="M1343" i="5" s="1"/>
  <c r="L1343" i="5"/>
  <c r="K1344" i="5"/>
  <c r="M1344" i="5" s="1"/>
  <c r="L1344" i="5"/>
  <c r="K1345" i="5"/>
  <c r="M1345" i="5" s="1"/>
  <c r="L1345" i="5"/>
  <c r="K1346" i="5"/>
  <c r="M1346" i="5" s="1"/>
  <c r="L1346" i="5"/>
  <c r="K1347" i="5"/>
  <c r="M1347" i="5" s="1"/>
  <c r="L1347" i="5"/>
  <c r="K1348" i="5"/>
  <c r="M1348" i="5" s="1"/>
  <c r="L1348" i="5"/>
  <c r="K1349" i="5"/>
  <c r="M1349" i="5" s="1"/>
  <c r="L1349" i="5"/>
  <c r="K1350" i="5"/>
  <c r="M1350" i="5" s="1"/>
  <c r="L1350" i="5"/>
  <c r="K1351" i="5"/>
  <c r="M1351" i="5" s="1"/>
  <c r="L1351" i="5"/>
  <c r="K1352" i="5"/>
  <c r="M1352" i="5" s="1"/>
  <c r="L1352" i="5"/>
  <c r="K1353" i="5"/>
  <c r="M1353" i="5" s="1"/>
  <c r="L1353" i="5"/>
  <c r="K1354" i="5"/>
  <c r="M1354" i="5" s="1"/>
  <c r="L1354" i="5"/>
  <c r="K1355" i="5"/>
  <c r="M1355" i="5" s="1"/>
  <c r="L1355" i="5"/>
  <c r="K1356" i="5"/>
  <c r="M1356" i="5" s="1"/>
  <c r="L1356" i="5"/>
  <c r="K1357" i="5"/>
  <c r="M1357" i="5" s="1"/>
  <c r="L1357" i="5"/>
  <c r="K1358" i="5"/>
  <c r="M1358" i="5" s="1"/>
  <c r="L1358" i="5"/>
  <c r="K1359" i="5"/>
  <c r="M1359" i="5" s="1"/>
  <c r="L1359" i="5"/>
  <c r="K1360" i="5"/>
  <c r="M1360" i="5" s="1"/>
  <c r="L1360" i="5"/>
  <c r="K1361" i="5"/>
  <c r="M1361" i="5" s="1"/>
  <c r="L1361" i="5"/>
  <c r="K1362" i="5"/>
  <c r="M1362" i="5" s="1"/>
  <c r="L1362" i="5"/>
  <c r="K1363" i="5"/>
  <c r="M1363" i="5" s="1"/>
  <c r="L1363" i="5"/>
  <c r="K1364" i="5"/>
  <c r="M1364" i="5" s="1"/>
  <c r="L1364" i="5"/>
  <c r="K1365" i="5"/>
  <c r="M1365" i="5" s="1"/>
  <c r="L1365" i="5"/>
  <c r="K1366" i="5"/>
  <c r="M1366" i="5" s="1"/>
  <c r="L1366" i="5"/>
  <c r="K1367" i="5"/>
  <c r="M1367" i="5" s="1"/>
  <c r="L1367" i="5"/>
  <c r="K1368" i="5"/>
  <c r="M1368" i="5" s="1"/>
  <c r="L1368" i="5"/>
  <c r="K1369" i="5"/>
  <c r="M1369" i="5" s="1"/>
  <c r="L1369" i="5"/>
  <c r="K1370" i="5"/>
  <c r="M1370" i="5" s="1"/>
  <c r="L1370" i="5"/>
  <c r="K1371" i="5"/>
  <c r="M1371" i="5" s="1"/>
  <c r="L1371" i="5"/>
  <c r="K1372" i="5"/>
  <c r="M1372" i="5" s="1"/>
  <c r="L1372" i="5"/>
  <c r="K1373" i="5"/>
  <c r="M1373" i="5" s="1"/>
  <c r="L1373" i="5"/>
  <c r="K1374" i="5"/>
  <c r="M1374" i="5" s="1"/>
  <c r="L1374" i="5"/>
  <c r="K1375" i="5"/>
  <c r="M1375" i="5" s="1"/>
  <c r="L1375" i="5"/>
  <c r="K1376" i="5"/>
  <c r="M1376" i="5" s="1"/>
  <c r="L1376" i="5"/>
  <c r="K1377" i="5"/>
  <c r="M1377" i="5" s="1"/>
  <c r="L1377" i="5"/>
  <c r="K1378" i="5"/>
  <c r="M1378" i="5" s="1"/>
  <c r="L1378" i="5"/>
  <c r="K1379" i="5"/>
  <c r="M1379" i="5" s="1"/>
  <c r="L1379" i="5"/>
  <c r="K1380" i="5"/>
  <c r="M1380" i="5" s="1"/>
  <c r="L1380" i="5"/>
  <c r="K1381" i="5"/>
  <c r="M1381" i="5" s="1"/>
  <c r="L1381" i="5"/>
  <c r="K1382" i="5"/>
  <c r="M1382" i="5" s="1"/>
  <c r="L1382" i="5"/>
  <c r="K1383" i="5"/>
  <c r="M1383" i="5" s="1"/>
  <c r="L1383" i="5"/>
  <c r="K1384" i="5"/>
  <c r="M1384" i="5" s="1"/>
  <c r="L1384" i="5"/>
  <c r="K1385" i="5"/>
  <c r="M1385" i="5" s="1"/>
  <c r="L1385" i="5"/>
  <c r="K1386" i="5"/>
  <c r="M1386" i="5" s="1"/>
  <c r="L1386" i="5"/>
  <c r="K1387" i="5"/>
  <c r="M1387" i="5" s="1"/>
  <c r="L1387" i="5"/>
  <c r="K1388" i="5"/>
  <c r="M1388" i="5" s="1"/>
  <c r="L1388" i="5"/>
  <c r="K1389" i="5"/>
  <c r="M1389" i="5" s="1"/>
  <c r="L1389" i="5"/>
  <c r="K1390" i="5"/>
  <c r="M1390" i="5" s="1"/>
  <c r="L1390" i="5"/>
  <c r="K1391" i="5"/>
  <c r="M1391" i="5" s="1"/>
  <c r="L1391" i="5"/>
  <c r="K1392" i="5"/>
  <c r="M1392" i="5" s="1"/>
  <c r="L1392" i="5"/>
  <c r="K1393" i="5"/>
  <c r="M1393" i="5" s="1"/>
  <c r="L1393" i="5"/>
  <c r="K1394" i="5"/>
  <c r="M1394" i="5" s="1"/>
  <c r="L1394" i="5"/>
  <c r="K1395" i="5"/>
  <c r="M1395" i="5" s="1"/>
  <c r="L1395" i="5"/>
  <c r="K1396" i="5"/>
  <c r="M1396" i="5" s="1"/>
  <c r="L1396" i="5"/>
  <c r="K1397" i="5"/>
  <c r="M1397" i="5" s="1"/>
  <c r="L1397" i="5"/>
  <c r="K1398" i="5"/>
  <c r="M1398" i="5" s="1"/>
  <c r="L1398" i="5"/>
  <c r="K1399" i="5"/>
  <c r="M1399" i="5" s="1"/>
  <c r="L1399" i="5"/>
  <c r="K1400" i="5"/>
  <c r="M1400" i="5" s="1"/>
  <c r="L1400" i="5"/>
  <c r="K1401" i="5"/>
  <c r="M1401" i="5" s="1"/>
  <c r="L1401" i="5"/>
  <c r="K1402" i="5"/>
  <c r="M1402" i="5" s="1"/>
  <c r="L1402" i="5"/>
  <c r="K1403" i="5"/>
  <c r="M1403" i="5" s="1"/>
  <c r="L1403" i="5"/>
  <c r="K1404" i="5"/>
  <c r="M1404" i="5" s="1"/>
  <c r="L1404" i="5"/>
  <c r="K1405" i="5"/>
  <c r="M1405" i="5" s="1"/>
  <c r="L1405" i="5"/>
  <c r="K1406" i="5"/>
  <c r="M1406" i="5" s="1"/>
  <c r="L1406" i="5"/>
  <c r="K1407" i="5"/>
  <c r="M1407" i="5" s="1"/>
  <c r="L1407" i="5"/>
  <c r="K1408" i="5"/>
  <c r="M1408" i="5" s="1"/>
  <c r="L1408" i="5"/>
  <c r="K1409" i="5"/>
  <c r="M1409" i="5" s="1"/>
  <c r="L1409" i="5"/>
  <c r="K1410" i="5"/>
  <c r="M1410" i="5" s="1"/>
  <c r="L1410" i="5"/>
  <c r="K1411" i="5"/>
  <c r="M1411" i="5" s="1"/>
  <c r="L1411" i="5"/>
  <c r="K1412" i="5"/>
  <c r="M1412" i="5" s="1"/>
  <c r="L1412" i="5"/>
  <c r="K1413" i="5"/>
  <c r="M1413" i="5" s="1"/>
  <c r="L1413" i="5"/>
  <c r="K1414" i="5"/>
  <c r="M1414" i="5" s="1"/>
  <c r="L1414" i="5"/>
  <c r="K1415" i="5"/>
  <c r="M1415" i="5" s="1"/>
  <c r="L1415" i="5"/>
  <c r="K1416" i="5"/>
  <c r="M1416" i="5" s="1"/>
  <c r="L1416" i="5"/>
  <c r="K1417" i="5"/>
  <c r="M1417" i="5" s="1"/>
  <c r="L1417" i="5"/>
  <c r="K1418" i="5"/>
  <c r="M1418" i="5" s="1"/>
  <c r="L1418" i="5"/>
  <c r="K1419" i="5"/>
  <c r="M1419" i="5" s="1"/>
  <c r="L1419" i="5"/>
  <c r="K1420" i="5"/>
  <c r="M1420" i="5" s="1"/>
  <c r="L1420" i="5"/>
  <c r="K1421" i="5"/>
  <c r="M1421" i="5" s="1"/>
  <c r="L1421" i="5"/>
  <c r="K1422" i="5"/>
  <c r="M1422" i="5" s="1"/>
  <c r="L1422" i="5"/>
  <c r="K1423" i="5"/>
  <c r="M1423" i="5" s="1"/>
  <c r="L1423" i="5"/>
  <c r="K1424" i="5"/>
  <c r="M1424" i="5" s="1"/>
  <c r="L1424" i="5"/>
  <c r="K1425" i="5"/>
  <c r="M1425" i="5" s="1"/>
  <c r="L1425" i="5"/>
  <c r="K1426" i="5"/>
  <c r="M1426" i="5" s="1"/>
  <c r="M1427" i="5"/>
  <c r="K1428" i="5"/>
  <c r="M1428" i="5" s="1"/>
  <c r="L1428" i="5"/>
  <c r="K1429" i="5"/>
  <c r="M1429" i="5" s="1"/>
  <c r="L1429" i="5"/>
  <c r="K1430" i="5"/>
  <c r="M1430" i="5" s="1"/>
  <c r="L1430" i="5"/>
  <c r="K1431" i="5"/>
  <c r="M1431" i="5" s="1"/>
  <c r="L1431" i="5"/>
  <c r="K1432" i="5"/>
  <c r="M1432" i="5" s="1"/>
  <c r="L1432" i="5"/>
  <c r="K1433" i="5"/>
  <c r="M1433" i="5" s="1"/>
  <c r="L1433" i="5"/>
  <c r="K1434" i="5"/>
  <c r="M1434" i="5" s="1"/>
  <c r="L1434" i="5"/>
  <c r="K1435" i="5"/>
  <c r="M1435" i="5" s="1"/>
  <c r="L1435" i="5"/>
  <c r="K1436" i="5"/>
  <c r="M1436" i="5" s="1"/>
  <c r="L1436" i="5"/>
  <c r="K1437" i="5"/>
  <c r="M1437" i="5" s="1"/>
  <c r="L1437" i="5"/>
  <c r="K1438" i="5"/>
  <c r="M1438" i="5" s="1"/>
  <c r="L1438" i="5"/>
  <c r="K1439" i="5"/>
  <c r="M1439" i="5" s="1"/>
  <c r="L1439" i="5"/>
  <c r="K1440" i="5"/>
  <c r="M1440" i="5" s="1"/>
  <c r="L1440" i="5"/>
  <c r="K1441" i="5"/>
  <c r="M1441" i="5" s="1"/>
  <c r="L1441" i="5"/>
  <c r="K1442" i="5"/>
  <c r="M1442" i="5" s="1"/>
  <c r="L1442" i="5"/>
  <c r="K1443" i="5"/>
  <c r="M1443" i="5" s="1"/>
  <c r="L1443" i="5"/>
  <c r="K1444" i="5"/>
  <c r="M1444" i="5" s="1"/>
  <c r="L1444" i="5"/>
  <c r="K1445" i="5"/>
  <c r="M1445" i="5" s="1"/>
  <c r="L1445" i="5"/>
  <c r="K1446" i="5"/>
  <c r="M1446" i="5" s="1"/>
  <c r="L1446" i="5"/>
  <c r="K1447" i="5"/>
  <c r="M1447" i="5" s="1"/>
  <c r="L1447" i="5"/>
  <c r="K1448" i="5"/>
  <c r="M1448" i="5" s="1"/>
  <c r="L1448" i="5"/>
  <c r="K1449" i="5"/>
  <c r="M1449" i="5" s="1"/>
  <c r="L1449" i="5"/>
  <c r="K1450" i="5"/>
  <c r="M1450" i="5" s="1"/>
  <c r="L1450" i="5"/>
  <c r="K1451" i="5"/>
  <c r="M1451" i="5" s="1"/>
  <c r="L1451" i="5"/>
  <c r="K1452" i="5"/>
  <c r="M1452" i="5" s="1"/>
  <c r="L1452" i="5"/>
  <c r="K1453" i="5"/>
  <c r="M1453" i="5" s="1"/>
  <c r="L1453" i="5"/>
  <c r="K1454" i="5"/>
  <c r="M1454" i="5" s="1"/>
  <c r="L1454" i="5"/>
  <c r="K1455" i="5"/>
  <c r="M1455" i="5" s="1"/>
  <c r="L1455" i="5"/>
  <c r="K1456" i="5"/>
  <c r="M1456" i="5" s="1"/>
  <c r="L1456" i="5"/>
  <c r="K1457" i="5"/>
  <c r="M1457" i="5" s="1"/>
  <c r="L1457" i="5"/>
  <c r="K1458" i="5"/>
  <c r="M1458" i="5" s="1"/>
  <c r="L1458" i="5"/>
  <c r="K1459" i="5"/>
  <c r="M1459" i="5" s="1"/>
  <c r="L1459" i="5"/>
  <c r="K1460" i="5"/>
  <c r="M1460" i="5" s="1"/>
  <c r="L1460" i="5"/>
  <c r="K1461" i="5"/>
  <c r="M1461" i="5" s="1"/>
  <c r="L1461" i="5"/>
  <c r="K1462" i="5"/>
  <c r="M1462" i="5" s="1"/>
  <c r="L1462" i="5"/>
  <c r="K1463" i="5"/>
  <c r="M1463" i="5" s="1"/>
  <c r="L1463" i="5"/>
  <c r="K1464" i="5"/>
  <c r="M1464" i="5" s="1"/>
  <c r="L1464" i="5"/>
  <c r="K1465" i="5"/>
  <c r="M1465" i="5" s="1"/>
  <c r="L1465" i="5"/>
  <c r="K1466" i="5"/>
  <c r="M1466" i="5" s="1"/>
  <c r="L1466" i="5"/>
  <c r="K1467" i="5"/>
  <c r="M1467" i="5" s="1"/>
  <c r="L1467" i="5"/>
  <c r="K1468" i="5"/>
  <c r="M1468" i="5" s="1"/>
  <c r="L1468" i="5"/>
  <c r="K1469" i="5"/>
  <c r="M1469" i="5" s="1"/>
  <c r="L1469" i="5"/>
  <c r="K1470" i="5"/>
  <c r="M1470" i="5" s="1"/>
  <c r="L1470" i="5"/>
  <c r="K1471" i="5"/>
  <c r="M1471" i="5" s="1"/>
  <c r="L1471" i="5"/>
  <c r="K1472" i="5"/>
  <c r="M1472" i="5" s="1"/>
  <c r="L1472" i="5"/>
  <c r="K1473" i="5"/>
  <c r="M1473" i="5" s="1"/>
  <c r="L1473" i="5"/>
  <c r="K1474" i="5"/>
  <c r="M1474" i="5" s="1"/>
  <c r="L1474" i="5"/>
  <c r="K1475" i="5"/>
  <c r="M1475" i="5" s="1"/>
  <c r="L1475" i="5"/>
  <c r="K1476" i="5"/>
  <c r="M1476" i="5" s="1"/>
  <c r="L1476" i="5"/>
  <c r="K1477" i="5"/>
  <c r="M1477" i="5" s="1"/>
  <c r="L1477" i="5"/>
  <c r="K1478" i="5"/>
  <c r="M1478" i="5" s="1"/>
  <c r="L1478" i="5"/>
  <c r="K1479" i="5"/>
  <c r="M1479" i="5" s="1"/>
  <c r="L1479" i="5"/>
  <c r="K1480" i="5"/>
  <c r="M1480" i="5" s="1"/>
  <c r="L1480" i="5"/>
  <c r="K1481" i="5"/>
  <c r="M1481" i="5" s="1"/>
  <c r="L1481" i="5"/>
  <c r="K1482" i="5"/>
  <c r="M1482" i="5" s="1"/>
  <c r="L1482" i="5"/>
  <c r="K1483" i="5"/>
  <c r="M1483" i="5" s="1"/>
  <c r="L1483" i="5"/>
  <c r="K1484" i="5"/>
  <c r="M1484" i="5" s="1"/>
  <c r="L1484" i="5"/>
  <c r="K1485" i="5"/>
  <c r="M1485" i="5" s="1"/>
  <c r="L1485" i="5"/>
  <c r="K1486" i="5"/>
  <c r="M1486" i="5" s="1"/>
  <c r="L1486" i="5"/>
  <c r="K1487" i="5"/>
  <c r="M1487" i="5" s="1"/>
  <c r="L1487" i="5"/>
  <c r="K1488" i="5"/>
  <c r="M1488" i="5" s="1"/>
  <c r="L1488" i="5"/>
  <c r="K1489" i="5"/>
  <c r="M1489" i="5" s="1"/>
  <c r="L1489" i="5"/>
  <c r="K1490" i="5"/>
  <c r="M1490" i="5" s="1"/>
  <c r="L1490" i="5"/>
  <c r="K1491" i="5"/>
  <c r="M1491" i="5" s="1"/>
  <c r="L1491" i="5"/>
  <c r="K1492" i="5"/>
  <c r="M1492" i="5" s="1"/>
  <c r="L1492" i="5"/>
  <c r="K1493" i="5"/>
  <c r="M1493" i="5" s="1"/>
  <c r="L1493" i="5"/>
  <c r="K1494" i="5"/>
  <c r="M1494" i="5" s="1"/>
  <c r="L1494" i="5"/>
  <c r="K1495" i="5"/>
  <c r="M1495" i="5" s="1"/>
  <c r="L1495" i="5"/>
  <c r="K1496" i="5"/>
  <c r="M1496" i="5" s="1"/>
  <c r="L1496" i="5"/>
  <c r="K1497" i="5"/>
  <c r="M1497" i="5" s="1"/>
  <c r="L1497" i="5"/>
  <c r="K1498" i="5"/>
  <c r="M1498" i="5" s="1"/>
  <c r="L1498" i="5"/>
  <c r="K1499" i="5"/>
  <c r="M1499" i="5" s="1"/>
  <c r="L1499" i="5"/>
  <c r="K1500" i="5"/>
  <c r="M1500" i="5" s="1"/>
  <c r="L1500" i="5"/>
  <c r="K1501" i="5"/>
  <c r="M1501" i="5" s="1"/>
  <c r="L1501" i="5"/>
  <c r="K1502" i="5"/>
  <c r="M1502" i="5" s="1"/>
  <c r="L1502" i="5"/>
  <c r="K1503" i="5"/>
  <c r="M1503" i="5" s="1"/>
  <c r="L1503" i="5"/>
  <c r="K1504" i="5"/>
  <c r="M1504" i="5" s="1"/>
  <c r="L1504" i="5"/>
  <c r="K1505" i="5"/>
  <c r="M1505" i="5" s="1"/>
  <c r="L1505" i="5"/>
  <c r="K1506" i="5"/>
  <c r="M1506" i="5" s="1"/>
  <c r="L1506" i="5"/>
  <c r="K1507" i="5"/>
  <c r="M1507" i="5" s="1"/>
  <c r="L1507" i="5"/>
  <c r="K1508" i="5"/>
  <c r="M1508" i="5" s="1"/>
  <c r="L1508" i="5"/>
  <c r="K1509" i="5"/>
  <c r="M1509" i="5" s="1"/>
  <c r="L1509" i="5"/>
  <c r="K1510" i="5"/>
  <c r="M1510" i="5" s="1"/>
  <c r="L1510" i="5"/>
  <c r="K1511" i="5"/>
  <c r="M1511" i="5" s="1"/>
  <c r="L1511" i="5"/>
  <c r="K1512" i="5"/>
  <c r="M1512" i="5" s="1"/>
  <c r="L1512" i="5"/>
  <c r="K1513" i="5"/>
  <c r="M1513" i="5" s="1"/>
  <c r="L1513" i="5"/>
  <c r="K1514" i="5"/>
  <c r="M1514" i="5" s="1"/>
  <c r="L1514" i="5"/>
  <c r="K1515" i="5"/>
  <c r="M1515" i="5" s="1"/>
  <c r="L1515" i="5"/>
  <c r="K1516" i="5"/>
  <c r="M1516" i="5" s="1"/>
  <c r="L1516" i="5"/>
  <c r="K1517" i="5"/>
  <c r="M1517" i="5" s="1"/>
  <c r="L1517" i="5"/>
  <c r="K1518" i="5"/>
  <c r="M1518" i="5" s="1"/>
  <c r="L1518" i="5"/>
  <c r="K1519" i="5"/>
  <c r="M1519" i="5" s="1"/>
  <c r="L1519" i="5"/>
  <c r="K1520" i="5"/>
  <c r="M1520" i="5" s="1"/>
  <c r="L1520" i="5"/>
  <c r="K1521" i="5"/>
  <c r="M1521" i="5" s="1"/>
  <c r="L1521" i="5"/>
  <c r="K1522" i="5"/>
  <c r="M1522" i="5" s="1"/>
  <c r="L1522" i="5"/>
  <c r="K1523" i="5"/>
  <c r="M1523" i="5" s="1"/>
  <c r="L1523" i="5"/>
  <c r="K1524" i="5"/>
  <c r="M1524" i="5" s="1"/>
  <c r="L1524" i="5"/>
  <c r="K1525" i="5"/>
  <c r="M1525" i="5" s="1"/>
  <c r="L1525" i="5"/>
  <c r="K1526" i="5"/>
  <c r="M1526" i="5" s="1"/>
  <c r="L1526" i="5"/>
  <c r="K1527" i="5"/>
  <c r="M1527" i="5" s="1"/>
  <c r="L1527" i="5"/>
  <c r="K1528" i="5"/>
  <c r="M1528" i="5" s="1"/>
  <c r="L1528" i="5"/>
  <c r="K1529" i="5"/>
  <c r="M1529" i="5" s="1"/>
  <c r="L1529" i="5"/>
  <c r="K1530" i="5"/>
  <c r="M1530" i="5" s="1"/>
  <c r="L1530" i="5"/>
  <c r="K1531" i="5"/>
  <c r="M1531" i="5" s="1"/>
  <c r="L1531" i="5"/>
  <c r="K1532" i="5"/>
  <c r="M1532" i="5" s="1"/>
  <c r="L1532" i="5"/>
  <c r="K1533" i="5"/>
  <c r="M1533" i="5" s="1"/>
  <c r="L1533" i="5"/>
  <c r="K1534" i="5"/>
  <c r="M1534" i="5" s="1"/>
  <c r="L1534" i="5"/>
  <c r="K1535" i="5"/>
  <c r="M1535" i="5" s="1"/>
  <c r="L1535" i="5"/>
  <c r="K1536" i="5"/>
  <c r="M1536" i="5" s="1"/>
  <c r="L1536" i="5"/>
  <c r="K1537" i="5"/>
  <c r="M1537" i="5" s="1"/>
  <c r="L1537" i="5"/>
  <c r="K1538" i="5"/>
  <c r="M1538" i="5" s="1"/>
  <c r="L1538" i="5"/>
  <c r="K1539" i="5"/>
  <c r="M1539" i="5" s="1"/>
  <c r="L1539" i="5"/>
  <c r="K1540" i="5"/>
  <c r="M1540" i="5" s="1"/>
  <c r="L1540" i="5"/>
  <c r="K1541" i="5"/>
  <c r="M1541" i="5" s="1"/>
  <c r="L1541" i="5"/>
  <c r="K1542" i="5"/>
  <c r="M1542" i="5" s="1"/>
  <c r="L1542" i="5"/>
  <c r="K1543" i="5"/>
  <c r="M1543" i="5" s="1"/>
  <c r="L1543" i="5"/>
  <c r="K1544" i="5"/>
  <c r="M1544" i="5" s="1"/>
  <c r="L1544" i="5"/>
  <c r="K1545" i="5"/>
  <c r="M1545" i="5" s="1"/>
  <c r="L1545" i="5"/>
  <c r="K1546" i="5"/>
  <c r="M1546" i="5" s="1"/>
  <c r="L1546" i="5"/>
  <c r="K1547" i="5"/>
  <c r="M1547" i="5" s="1"/>
  <c r="L1547" i="5"/>
  <c r="K1548" i="5"/>
  <c r="M1548" i="5" s="1"/>
  <c r="L1548" i="5"/>
  <c r="K1549" i="5"/>
  <c r="M1549" i="5" s="1"/>
  <c r="L1549" i="5"/>
  <c r="K1550" i="5"/>
  <c r="M1550" i="5" s="1"/>
  <c r="L1550" i="5"/>
  <c r="K1551" i="5"/>
  <c r="M1551" i="5" s="1"/>
  <c r="L1551" i="5"/>
  <c r="K1552" i="5"/>
  <c r="M1552" i="5" s="1"/>
  <c r="L1552" i="5"/>
  <c r="K1553" i="5"/>
  <c r="M1553" i="5" s="1"/>
  <c r="L1553" i="5"/>
  <c r="K1554" i="5"/>
  <c r="M1554" i="5" s="1"/>
  <c r="L1554" i="5"/>
  <c r="K1555" i="5"/>
  <c r="M1555" i="5" s="1"/>
  <c r="L1555" i="5"/>
  <c r="K1556" i="5"/>
  <c r="M1556" i="5" s="1"/>
  <c r="L1556" i="5"/>
  <c r="K1557" i="5"/>
  <c r="M1557" i="5" s="1"/>
  <c r="L1557" i="5"/>
  <c r="K1558" i="5"/>
  <c r="M1558" i="5" s="1"/>
  <c r="L1558" i="5"/>
  <c r="K1559" i="5"/>
  <c r="M1559" i="5" s="1"/>
  <c r="L1559" i="5"/>
  <c r="K1560" i="5"/>
  <c r="M1560" i="5" s="1"/>
  <c r="L1560" i="5"/>
  <c r="K1561" i="5"/>
  <c r="M1561" i="5" s="1"/>
  <c r="L1561" i="5"/>
  <c r="K1562" i="5"/>
  <c r="M1562" i="5" s="1"/>
  <c r="L1562" i="5"/>
  <c r="K1563" i="5"/>
  <c r="M1563" i="5" s="1"/>
  <c r="L1563" i="5"/>
  <c r="K1564" i="5"/>
  <c r="M1564" i="5" s="1"/>
  <c r="L1564" i="5"/>
  <c r="K1565" i="5"/>
  <c r="M1565" i="5" s="1"/>
  <c r="L1565" i="5"/>
  <c r="K1566" i="5"/>
  <c r="M1566" i="5" s="1"/>
  <c r="L1566" i="5"/>
  <c r="K1567" i="5"/>
  <c r="M1567" i="5" s="1"/>
  <c r="L1567" i="5"/>
  <c r="K1568" i="5"/>
  <c r="M1568" i="5" s="1"/>
  <c r="L1568" i="5"/>
  <c r="K1569" i="5"/>
  <c r="M1569" i="5" s="1"/>
  <c r="L1569" i="5"/>
  <c r="K1570" i="5"/>
  <c r="M1570" i="5" s="1"/>
  <c r="L1570" i="5"/>
  <c r="K1571" i="5"/>
  <c r="M1571" i="5" s="1"/>
  <c r="L1571" i="5"/>
  <c r="K1572" i="5"/>
  <c r="M1572" i="5" s="1"/>
  <c r="L1572" i="5"/>
  <c r="K1573" i="5"/>
  <c r="M1573" i="5" s="1"/>
  <c r="L1573" i="5"/>
  <c r="K1574" i="5"/>
  <c r="M1574" i="5" s="1"/>
  <c r="L1574" i="5"/>
  <c r="K1575" i="5"/>
  <c r="M1575" i="5" s="1"/>
  <c r="L1575" i="5"/>
  <c r="K1576" i="5"/>
  <c r="M1576" i="5" s="1"/>
  <c r="L1576" i="5"/>
  <c r="K1577" i="5"/>
  <c r="M1577" i="5" s="1"/>
  <c r="L1577" i="5"/>
  <c r="K1578" i="5"/>
  <c r="M1578" i="5" s="1"/>
  <c r="L1578" i="5"/>
  <c r="K1579" i="5"/>
  <c r="M1579" i="5" s="1"/>
  <c r="L1579" i="5"/>
  <c r="K1580" i="5"/>
  <c r="M1580" i="5" s="1"/>
  <c r="L1580" i="5"/>
  <c r="K1581" i="5"/>
  <c r="M1581" i="5" s="1"/>
  <c r="L1581" i="5"/>
  <c r="K1582" i="5"/>
  <c r="M1582" i="5" s="1"/>
  <c r="L1582" i="5"/>
  <c r="K1583" i="5"/>
  <c r="M1583" i="5" s="1"/>
  <c r="L1583" i="5"/>
  <c r="K1584" i="5"/>
  <c r="M1584" i="5" s="1"/>
  <c r="L1584" i="5"/>
  <c r="K1585" i="5"/>
  <c r="M1585" i="5" s="1"/>
  <c r="L1585" i="5"/>
  <c r="K1586" i="5"/>
  <c r="M1586" i="5" s="1"/>
  <c r="L1586" i="5"/>
  <c r="K1587" i="5"/>
  <c r="M1587" i="5" s="1"/>
  <c r="L1587" i="5"/>
  <c r="K1588" i="5"/>
  <c r="M1588" i="5" s="1"/>
  <c r="L1588" i="5"/>
  <c r="K1589" i="5"/>
  <c r="M1589" i="5" s="1"/>
  <c r="L1589" i="5"/>
  <c r="K1590" i="5"/>
  <c r="M1590" i="5" s="1"/>
  <c r="L1590" i="5"/>
  <c r="K1591" i="5"/>
  <c r="M1591" i="5" s="1"/>
  <c r="L1591" i="5"/>
  <c r="K1592" i="5"/>
  <c r="M1592" i="5" s="1"/>
  <c r="L1592" i="5"/>
  <c r="K1593" i="5"/>
  <c r="M1593" i="5" s="1"/>
  <c r="L1593" i="5"/>
  <c r="K1594" i="5"/>
  <c r="M1594" i="5" s="1"/>
  <c r="L1594" i="5"/>
  <c r="K1595" i="5"/>
  <c r="M1595" i="5" s="1"/>
  <c r="L1595" i="5"/>
  <c r="K1596" i="5"/>
  <c r="M1596" i="5" s="1"/>
  <c r="L1596" i="5"/>
  <c r="K1597" i="5"/>
  <c r="M1597" i="5" s="1"/>
  <c r="L1597" i="5"/>
  <c r="K1598" i="5"/>
  <c r="M1598" i="5" s="1"/>
  <c r="L1598" i="5"/>
  <c r="K1599" i="5"/>
  <c r="M1599" i="5" s="1"/>
  <c r="L1599" i="5"/>
  <c r="K1600" i="5"/>
  <c r="M1600" i="5" s="1"/>
  <c r="L1600" i="5"/>
  <c r="K1601" i="5"/>
  <c r="M1601" i="5" s="1"/>
  <c r="L1601" i="5"/>
  <c r="K1602" i="5"/>
  <c r="M1602" i="5" s="1"/>
  <c r="L1602" i="5"/>
  <c r="K1603" i="5"/>
  <c r="M1603" i="5" s="1"/>
  <c r="L1603" i="5"/>
  <c r="K1604" i="5"/>
  <c r="M1604" i="5" s="1"/>
  <c r="L1604" i="5"/>
  <c r="K1605" i="5"/>
  <c r="M1605" i="5" s="1"/>
  <c r="L1605" i="5"/>
  <c r="K1606" i="5"/>
  <c r="M1606" i="5" s="1"/>
  <c r="L1606" i="5"/>
  <c r="K1607" i="5"/>
  <c r="M1607" i="5" s="1"/>
  <c r="L1607" i="5"/>
  <c r="K1608" i="5"/>
  <c r="M1608" i="5" s="1"/>
  <c r="L1608" i="5"/>
  <c r="K1609" i="5"/>
  <c r="M1609" i="5" s="1"/>
  <c r="L1609" i="5"/>
  <c r="K1610" i="5"/>
  <c r="M1610" i="5" s="1"/>
  <c r="L1610" i="5"/>
  <c r="K1611" i="5"/>
  <c r="M1611" i="5" s="1"/>
  <c r="L1611" i="5"/>
  <c r="K1612" i="5"/>
  <c r="M1612" i="5" s="1"/>
  <c r="L1612" i="5"/>
  <c r="K1613" i="5"/>
  <c r="M1613" i="5" s="1"/>
  <c r="L1613" i="5"/>
  <c r="K1614" i="5"/>
  <c r="M1614" i="5" s="1"/>
  <c r="L1614" i="5"/>
  <c r="K1615" i="5"/>
  <c r="M1615" i="5" s="1"/>
  <c r="L1615" i="5"/>
  <c r="K1616" i="5"/>
  <c r="M1616" i="5" s="1"/>
  <c r="L1616" i="5"/>
  <c r="K1617" i="5"/>
  <c r="M1617" i="5" s="1"/>
  <c r="L1617" i="5"/>
  <c r="K1618" i="5"/>
  <c r="M1618" i="5" s="1"/>
  <c r="L1618" i="5"/>
  <c r="K1619" i="5"/>
  <c r="M1619" i="5" s="1"/>
  <c r="L1619" i="5"/>
  <c r="K1620" i="5"/>
  <c r="M1620" i="5" s="1"/>
  <c r="L1620" i="5"/>
  <c r="K1621" i="5"/>
  <c r="M1621" i="5" s="1"/>
  <c r="L1621" i="5"/>
  <c r="K1622" i="5"/>
  <c r="M1622" i="5" s="1"/>
  <c r="L1622" i="5"/>
  <c r="K1623" i="5"/>
  <c r="M1623" i="5" s="1"/>
  <c r="L1623" i="5"/>
  <c r="K1624" i="5"/>
  <c r="M1624" i="5" s="1"/>
  <c r="L1624" i="5"/>
  <c r="K1625" i="5"/>
  <c r="M1625" i="5" s="1"/>
  <c r="L1625" i="5"/>
  <c r="K1626" i="5"/>
  <c r="M1626" i="5" s="1"/>
  <c r="L1626" i="5"/>
  <c r="K1627" i="5"/>
  <c r="M1627" i="5" s="1"/>
  <c r="L1627" i="5"/>
  <c r="K1628" i="5"/>
  <c r="M1628" i="5" s="1"/>
  <c r="L1628" i="5"/>
  <c r="K1629" i="5"/>
  <c r="M1629" i="5" s="1"/>
  <c r="L1629" i="5"/>
  <c r="K1630" i="5"/>
  <c r="M1630" i="5" s="1"/>
  <c r="L1630" i="5"/>
  <c r="K1631" i="5"/>
  <c r="M1631" i="5" s="1"/>
  <c r="L1631" i="5"/>
  <c r="K1632" i="5"/>
  <c r="M1632" i="5" s="1"/>
  <c r="L1632" i="5"/>
  <c r="K1633" i="5"/>
  <c r="M1633" i="5" s="1"/>
  <c r="L1633" i="5"/>
  <c r="K1634" i="5"/>
  <c r="M1634" i="5" s="1"/>
  <c r="L1634" i="5"/>
  <c r="K1635" i="5"/>
  <c r="M1635" i="5" s="1"/>
  <c r="L1635" i="5"/>
  <c r="K1636" i="5"/>
  <c r="M1636" i="5" s="1"/>
  <c r="L1636" i="5"/>
  <c r="K1637" i="5"/>
  <c r="M1637" i="5" s="1"/>
  <c r="L1637" i="5"/>
  <c r="K1638" i="5"/>
  <c r="M1638" i="5" s="1"/>
  <c r="L1638" i="5"/>
  <c r="K1639" i="5"/>
  <c r="M1639" i="5" s="1"/>
  <c r="L1639" i="5"/>
  <c r="K1640" i="5"/>
  <c r="M1640" i="5" s="1"/>
  <c r="L1640" i="5"/>
  <c r="K1641" i="5"/>
  <c r="M1641" i="5" s="1"/>
  <c r="L1641" i="5"/>
  <c r="K1642" i="5"/>
  <c r="M1642" i="5" s="1"/>
  <c r="L1642" i="5"/>
  <c r="K1643" i="5"/>
  <c r="M1643" i="5" s="1"/>
  <c r="L1643" i="5"/>
  <c r="K1644" i="5"/>
  <c r="M1644" i="5" s="1"/>
  <c r="L1644" i="5"/>
  <c r="K1645" i="5"/>
  <c r="M1645" i="5" s="1"/>
  <c r="L1645" i="5"/>
  <c r="K1646" i="5"/>
  <c r="M1646" i="5" s="1"/>
  <c r="L1646" i="5"/>
  <c r="K1647" i="5"/>
  <c r="M1647" i="5" s="1"/>
  <c r="L1647" i="5"/>
  <c r="K1648" i="5"/>
  <c r="M1648" i="5" s="1"/>
  <c r="L1648" i="5"/>
  <c r="K1649" i="5"/>
  <c r="M1649" i="5" s="1"/>
  <c r="L1649" i="5"/>
  <c r="K1650" i="5"/>
  <c r="M1650" i="5" s="1"/>
  <c r="L1650" i="5"/>
  <c r="K1651" i="5"/>
  <c r="M1651" i="5" s="1"/>
  <c r="L1651" i="5"/>
  <c r="K1652" i="5"/>
  <c r="M1652" i="5" s="1"/>
  <c r="L1652" i="5"/>
  <c r="K1653" i="5"/>
  <c r="M1653" i="5" s="1"/>
  <c r="L1653" i="5"/>
  <c r="K1654" i="5"/>
  <c r="M1654" i="5" s="1"/>
  <c r="L1654" i="5"/>
  <c r="K1655" i="5"/>
  <c r="M1655" i="5" s="1"/>
  <c r="L1655" i="5"/>
  <c r="K1656" i="5"/>
  <c r="M1656" i="5" s="1"/>
  <c r="L1656" i="5"/>
  <c r="K1657" i="5"/>
  <c r="M1657" i="5" s="1"/>
  <c r="L1657" i="5"/>
  <c r="K1658" i="5"/>
  <c r="M1658" i="5" s="1"/>
  <c r="L1658" i="5"/>
  <c r="K1659" i="5"/>
  <c r="M1659" i="5" s="1"/>
  <c r="L1659" i="5"/>
  <c r="K1660" i="5"/>
  <c r="M1660" i="5" s="1"/>
  <c r="L1660" i="5"/>
  <c r="K1661" i="5"/>
  <c r="M1661" i="5" s="1"/>
  <c r="L1661" i="5"/>
  <c r="K1662" i="5"/>
  <c r="M1662" i="5" s="1"/>
  <c r="L1662" i="5"/>
  <c r="K1663" i="5"/>
  <c r="M1663" i="5" s="1"/>
  <c r="L1663" i="5"/>
  <c r="K1664" i="5"/>
  <c r="M1664" i="5" s="1"/>
  <c r="L1664" i="5"/>
  <c r="K1665" i="5"/>
  <c r="M1665" i="5" s="1"/>
  <c r="L1665" i="5"/>
  <c r="K1666" i="5"/>
  <c r="M1666" i="5" s="1"/>
  <c r="L1666" i="5"/>
  <c r="K1667" i="5"/>
  <c r="M1667" i="5" s="1"/>
  <c r="L1667" i="5"/>
  <c r="K1668" i="5"/>
  <c r="M1668" i="5" s="1"/>
  <c r="L1668" i="5"/>
  <c r="K1669" i="5"/>
  <c r="M1669" i="5" s="1"/>
  <c r="L1669" i="5"/>
  <c r="K1670" i="5"/>
  <c r="M1670" i="5" s="1"/>
  <c r="L1670" i="5"/>
  <c r="K1671" i="5"/>
  <c r="M1671" i="5" s="1"/>
  <c r="L1671" i="5"/>
  <c r="K1672" i="5"/>
  <c r="M1672" i="5" s="1"/>
  <c r="L1672" i="5"/>
  <c r="K1673" i="5"/>
  <c r="M1673" i="5" s="1"/>
  <c r="L1673" i="5"/>
  <c r="K1674" i="5"/>
  <c r="M1674" i="5" s="1"/>
  <c r="L1674" i="5"/>
  <c r="K1675" i="5"/>
  <c r="M1675" i="5" s="1"/>
  <c r="L1675" i="5"/>
  <c r="K1676" i="5"/>
  <c r="M1676" i="5" s="1"/>
  <c r="L1676" i="5"/>
  <c r="K1677" i="5"/>
  <c r="M1677" i="5" s="1"/>
  <c r="L1677" i="5"/>
  <c r="K1678" i="5"/>
  <c r="M1678" i="5" s="1"/>
  <c r="L1678" i="5"/>
  <c r="K1679" i="5"/>
  <c r="M1679" i="5" s="1"/>
  <c r="L1679" i="5"/>
  <c r="K1680" i="5"/>
  <c r="M1680" i="5" s="1"/>
  <c r="L1680" i="5"/>
  <c r="K1681" i="5"/>
  <c r="M1681" i="5" s="1"/>
  <c r="L1681" i="5"/>
  <c r="K1682" i="5"/>
  <c r="M1682" i="5" s="1"/>
  <c r="L1682" i="5"/>
  <c r="K1683" i="5"/>
  <c r="M1683" i="5" s="1"/>
  <c r="L1683" i="5"/>
  <c r="K1684" i="5"/>
  <c r="M1684" i="5" s="1"/>
  <c r="L1684" i="5"/>
  <c r="K1685" i="5"/>
  <c r="M1685" i="5" s="1"/>
  <c r="L1685" i="5"/>
  <c r="K1686" i="5"/>
  <c r="M1686" i="5" s="1"/>
  <c r="L1686" i="5"/>
  <c r="K1687" i="5"/>
  <c r="M1687" i="5" s="1"/>
  <c r="L1687" i="5"/>
  <c r="K1688" i="5"/>
  <c r="M1688" i="5" s="1"/>
  <c r="L1688" i="5"/>
  <c r="K1689" i="5"/>
  <c r="M1689" i="5" s="1"/>
  <c r="L1689" i="5"/>
  <c r="K1690" i="5"/>
  <c r="M1690" i="5" s="1"/>
  <c r="L1690" i="5"/>
  <c r="K1691" i="5"/>
  <c r="M1691" i="5" s="1"/>
  <c r="L1691" i="5"/>
  <c r="K1692" i="5"/>
  <c r="M1692" i="5" s="1"/>
  <c r="L1692" i="5"/>
  <c r="K1693" i="5"/>
  <c r="M1693" i="5" s="1"/>
  <c r="L1693" i="5"/>
  <c r="K1694" i="5"/>
  <c r="M1694" i="5" s="1"/>
  <c r="L1694" i="5"/>
  <c r="K1695" i="5"/>
  <c r="M1695" i="5" s="1"/>
  <c r="L1695" i="5"/>
  <c r="K1696" i="5"/>
  <c r="M1696" i="5" s="1"/>
  <c r="L1696" i="5"/>
  <c r="K1697" i="5"/>
  <c r="M1697" i="5" s="1"/>
  <c r="L1697" i="5"/>
  <c r="K1698" i="5"/>
  <c r="M1698" i="5" s="1"/>
  <c r="L1698" i="5"/>
  <c r="K1699" i="5"/>
  <c r="M1699" i="5" s="1"/>
  <c r="L1699" i="5"/>
  <c r="K1700" i="5"/>
  <c r="M1700" i="5" s="1"/>
  <c r="L1700" i="5"/>
  <c r="K1701" i="5"/>
  <c r="M1701" i="5" s="1"/>
  <c r="L1701" i="5"/>
  <c r="K1702" i="5"/>
  <c r="M1702" i="5" s="1"/>
  <c r="L1702" i="5"/>
  <c r="K1703" i="5"/>
  <c r="M1703" i="5" s="1"/>
  <c r="L1703" i="5"/>
  <c r="K1704" i="5"/>
  <c r="M1704" i="5" s="1"/>
  <c r="L1704" i="5"/>
  <c r="K1705" i="5"/>
  <c r="M1705" i="5" s="1"/>
  <c r="L1705" i="5"/>
  <c r="K1706" i="5"/>
  <c r="M1706" i="5" s="1"/>
  <c r="L1706" i="5"/>
  <c r="K1707" i="5"/>
  <c r="M1707" i="5" s="1"/>
  <c r="L1707" i="5"/>
  <c r="K1708" i="5"/>
  <c r="M1708" i="5" s="1"/>
  <c r="L1708" i="5"/>
  <c r="K1709" i="5"/>
  <c r="M1709" i="5" s="1"/>
  <c r="L1709" i="5"/>
  <c r="K1710" i="5"/>
  <c r="M1710" i="5" s="1"/>
  <c r="L1710" i="5"/>
  <c r="K1711" i="5"/>
  <c r="M1711" i="5" s="1"/>
  <c r="L1711" i="5"/>
  <c r="K1712" i="5"/>
  <c r="M1712" i="5" s="1"/>
  <c r="L1712" i="5"/>
  <c r="K1713" i="5"/>
  <c r="M1713" i="5" s="1"/>
  <c r="L1713" i="5"/>
  <c r="K1714" i="5"/>
  <c r="M1714" i="5" s="1"/>
  <c r="L1714" i="5"/>
  <c r="K1715" i="5"/>
  <c r="M1715" i="5" s="1"/>
  <c r="L1715" i="5"/>
  <c r="K1716" i="5"/>
  <c r="M1716" i="5" s="1"/>
  <c r="L1716" i="5"/>
  <c r="K1717" i="5"/>
  <c r="M1717" i="5" s="1"/>
  <c r="L1717" i="5"/>
  <c r="K1718" i="5"/>
  <c r="M1718" i="5" s="1"/>
  <c r="L1718" i="5"/>
  <c r="K1719" i="5"/>
  <c r="M1719" i="5" s="1"/>
  <c r="L1719" i="5"/>
  <c r="K1720" i="5"/>
  <c r="M1720" i="5" s="1"/>
  <c r="L1720" i="5"/>
  <c r="K1721" i="5"/>
  <c r="M1721" i="5" s="1"/>
  <c r="L1721" i="5"/>
  <c r="K1722" i="5"/>
  <c r="M1722" i="5" s="1"/>
  <c r="L1722" i="5"/>
  <c r="K1723" i="5"/>
  <c r="M1723" i="5" s="1"/>
  <c r="L1723" i="5"/>
  <c r="K1724" i="5"/>
  <c r="M1724" i="5" s="1"/>
  <c r="L1724" i="5"/>
  <c r="K1725" i="5"/>
  <c r="M1725" i="5" s="1"/>
  <c r="L1725" i="5"/>
  <c r="K1726" i="5"/>
  <c r="M1726" i="5" s="1"/>
  <c r="L1726" i="5"/>
  <c r="K1727" i="5"/>
  <c r="M1727" i="5" s="1"/>
  <c r="L1727" i="5"/>
  <c r="K1728" i="5"/>
  <c r="M1728" i="5" s="1"/>
  <c r="L1728" i="5"/>
  <c r="K1729" i="5"/>
  <c r="M1729" i="5" s="1"/>
  <c r="L1729" i="5"/>
  <c r="K1730" i="5"/>
  <c r="M1730" i="5" s="1"/>
  <c r="L1730" i="5"/>
  <c r="K1731" i="5"/>
  <c r="M1731" i="5" s="1"/>
  <c r="L1731" i="5"/>
  <c r="K1732" i="5"/>
  <c r="M1732" i="5" s="1"/>
  <c r="L1732" i="5"/>
  <c r="K1733" i="5"/>
  <c r="M1733" i="5" s="1"/>
  <c r="L1733" i="5"/>
  <c r="K1734" i="5"/>
  <c r="M1734" i="5" s="1"/>
  <c r="L1734" i="5"/>
  <c r="K1735" i="5"/>
  <c r="M1735" i="5" s="1"/>
  <c r="L1735" i="5"/>
  <c r="K1736" i="5"/>
  <c r="M1736" i="5" s="1"/>
  <c r="L1736" i="5"/>
  <c r="K1737" i="5"/>
  <c r="M1737" i="5" s="1"/>
  <c r="L1737" i="5"/>
  <c r="K1738" i="5"/>
  <c r="M1738" i="5" s="1"/>
  <c r="L1738" i="5"/>
  <c r="K1739" i="5"/>
  <c r="M1739" i="5" s="1"/>
  <c r="L1739" i="5"/>
  <c r="K1740" i="5"/>
  <c r="M1740" i="5" s="1"/>
  <c r="L1740" i="5"/>
  <c r="K1741" i="5"/>
  <c r="M1741" i="5" s="1"/>
  <c r="L1741" i="5"/>
  <c r="K1742" i="5"/>
  <c r="M1742" i="5" s="1"/>
  <c r="L1742" i="5"/>
  <c r="K1743" i="5"/>
  <c r="M1743" i="5" s="1"/>
  <c r="L1743" i="5"/>
  <c r="K1744" i="5"/>
  <c r="M1744" i="5" s="1"/>
  <c r="L1744" i="5"/>
  <c r="K1745" i="5"/>
  <c r="M1745" i="5" s="1"/>
  <c r="L1745" i="5"/>
  <c r="K1746" i="5"/>
  <c r="M1746" i="5" s="1"/>
  <c r="L1746" i="5"/>
  <c r="K1747" i="5"/>
  <c r="M1747" i="5" s="1"/>
  <c r="L1747" i="5"/>
  <c r="K1748" i="5"/>
  <c r="M1748" i="5" s="1"/>
  <c r="L1748" i="5"/>
  <c r="K1749" i="5"/>
  <c r="M1749" i="5" s="1"/>
  <c r="L1749" i="5"/>
  <c r="K1750" i="5"/>
  <c r="M1750" i="5" s="1"/>
  <c r="L1750" i="5"/>
  <c r="K1751" i="5"/>
  <c r="M1751" i="5" s="1"/>
  <c r="L1751" i="5"/>
  <c r="K1752" i="5"/>
  <c r="M1752" i="5" s="1"/>
  <c r="L1752" i="5"/>
  <c r="K1753" i="5"/>
  <c r="M1753" i="5" s="1"/>
  <c r="L1753" i="5"/>
  <c r="K1754" i="5"/>
  <c r="M1754" i="5" s="1"/>
  <c r="L1754" i="5"/>
  <c r="K1755" i="5"/>
  <c r="M1755" i="5" s="1"/>
  <c r="L1755" i="5"/>
  <c r="K1756" i="5"/>
  <c r="M1756" i="5" s="1"/>
  <c r="L1756" i="5"/>
  <c r="K1757" i="5"/>
  <c r="M1757" i="5" s="1"/>
  <c r="L1757" i="5"/>
  <c r="K1758" i="5"/>
  <c r="M1758" i="5" s="1"/>
  <c r="L1758" i="5"/>
  <c r="K1759" i="5"/>
  <c r="M1759" i="5" s="1"/>
  <c r="L1759" i="5"/>
  <c r="K1760" i="5"/>
  <c r="M1760" i="5" s="1"/>
  <c r="L1760" i="5"/>
  <c r="K1761" i="5"/>
  <c r="M1761" i="5" s="1"/>
  <c r="L1761" i="5"/>
  <c r="K1762" i="5"/>
  <c r="M1762" i="5" s="1"/>
  <c r="L1762" i="5"/>
  <c r="K1763" i="5"/>
  <c r="M1763" i="5" s="1"/>
  <c r="L1763" i="5"/>
  <c r="K1764" i="5"/>
  <c r="M1764" i="5" s="1"/>
  <c r="L1764" i="5"/>
  <c r="K1765" i="5"/>
  <c r="M1765" i="5" s="1"/>
  <c r="L1765" i="5"/>
  <c r="K1766" i="5"/>
  <c r="M1766" i="5" s="1"/>
  <c r="L1766" i="5"/>
  <c r="K1767" i="5"/>
  <c r="M1767" i="5" s="1"/>
  <c r="L1767" i="5"/>
  <c r="K1768" i="5"/>
  <c r="M1768" i="5" s="1"/>
  <c r="L1768" i="5"/>
  <c r="K1769" i="5"/>
  <c r="M1769" i="5" s="1"/>
  <c r="L1769" i="5"/>
  <c r="K1770" i="5"/>
  <c r="M1770" i="5" s="1"/>
  <c r="L1770" i="5"/>
  <c r="K1771" i="5"/>
  <c r="M1771" i="5" s="1"/>
  <c r="L1771" i="5"/>
  <c r="K1772" i="5"/>
  <c r="M1772" i="5" s="1"/>
  <c r="L1772" i="5"/>
  <c r="K1773" i="5"/>
  <c r="M1773" i="5" s="1"/>
  <c r="L1773" i="5"/>
  <c r="K1774" i="5"/>
  <c r="M1774" i="5" s="1"/>
  <c r="L1774" i="5"/>
  <c r="K1775" i="5"/>
  <c r="M1775" i="5" s="1"/>
  <c r="L1775" i="5"/>
  <c r="K1776" i="5"/>
  <c r="M1776" i="5" s="1"/>
  <c r="L1776" i="5"/>
  <c r="K1777" i="5"/>
  <c r="M1777" i="5" s="1"/>
  <c r="L1777" i="5"/>
  <c r="K1778" i="5"/>
  <c r="M1778" i="5" s="1"/>
  <c r="L1778" i="5"/>
  <c r="K1779" i="5"/>
  <c r="M1779" i="5" s="1"/>
  <c r="L1779" i="5"/>
  <c r="K1780" i="5"/>
  <c r="M1780" i="5" s="1"/>
  <c r="L1780" i="5"/>
  <c r="K1781" i="5"/>
  <c r="M1781" i="5" s="1"/>
  <c r="L1781" i="5"/>
  <c r="K1782" i="5"/>
  <c r="M1782" i="5" s="1"/>
  <c r="L1782" i="5"/>
  <c r="K1783" i="5"/>
  <c r="M1783" i="5" s="1"/>
  <c r="L1783" i="5"/>
  <c r="K1784" i="5"/>
  <c r="M1784" i="5" s="1"/>
  <c r="L1784" i="5"/>
  <c r="K1785" i="5"/>
  <c r="M1785" i="5" s="1"/>
  <c r="L1785" i="5"/>
  <c r="K1786" i="5"/>
  <c r="M1786" i="5" s="1"/>
  <c r="L1786" i="5"/>
  <c r="K1787" i="5"/>
  <c r="M1787" i="5" s="1"/>
  <c r="L1787" i="5"/>
  <c r="K1788" i="5"/>
  <c r="M1788" i="5" s="1"/>
  <c r="L1788" i="5"/>
  <c r="K1789" i="5"/>
  <c r="M1789" i="5" s="1"/>
  <c r="L1789" i="5"/>
  <c r="K1790" i="5"/>
  <c r="M1790" i="5" s="1"/>
  <c r="L1790" i="5"/>
  <c r="K1791" i="5"/>
  <c r="M1791" i="5" s="1"/>
  <c r="L1791" i="5"/>
  <c r="K1792" i="5"/>
  <c r="M1792" i="5" s="1"/>
  <c r="L1792" i="5"/>
  <c r="K1793" i="5"/>
  <c r="M1793" i="5" s="1"/>
  <c r="L1793" i="5"/>
  <c r="K1794" i="5"/>
  <c r="M1794" i="5" s="1"/>
  <c r="L1794" i="5"/>
  <c r="K1795" i="5"/>
  <c r="M1795" i="5" s="1"/>
  <c r="L1795" i="5"/>
  <c r="K1796" i="5"/>
  <c r="M1796" i="5" s="1"/>
  <c r="L1796" i="5"/>
  <c r="K1797" i="5"/>
  <c r="M1797" i="5" s="1"/>
  <c r="L1797" i="5"/>
  <c r="K1798" i="5"/>
  <c r="M1798" i="5" s="1"/>
  <c r="L1798" i="5"/>
  <c r="K1799" i="5"/>
  <c r="M1799" i="5" s="1"/>
  <c r="L1799" i="5"/>
  <c r="K1800" i="5"/>
  <c r="M1800" i="5" s="1"/>
  <c r="L1800" i="5"/>
  <c r="K1801" i="5"/>
  <c r="M1801" i="5" s="1"/>
  <c r="L1801" i="5"/>
  <c r="K1802" i="5"/>
  <c r="M1802" i="5" s="1"/>
  <c r="L1802" i="5"/>
  <c r="K1803" i="5"/>
  <c r="M1803" i="5" s="1"/>
  <c r="L1803" i="5"/>
  <c r="K1804" i="5"/>
  <c r="M1804" i="5" s="1"/>
  <c r="L1804" i="5"/>
  <c r="K1805" i="5"/>
  <c r="M1805" i="5" s="1"/>
  <c r="L1805" i="5"/>
  <c r="K1806" i="5"/>
  <c r="M1806" i="5" s="1"/>
  <c r="L1806" i="5"/>
  <c r="K1807" i="5"/>
  <c r="M1807" i="5" s="1"/>
  <c r="L1807" i="5"/>
  <c r="K1808" i="5"/>
  <c r="M1808" i="5" s="1"/>
  <c r="L1808" i="5"/>
  <c r="K1809" i="5"/>
  <c r="M1809" i="5" s="1"/>
  <c r="L1809" i="5"/>
  <c r="K1810" i="5"/>
  <c r="M1810" i="5" s="1"/>
  <c r="L1810" i="5"/>
  <c r="K1811" i="5"/>
  <c r="M1811" i="5" s="1"/>
  <c r="L1811" i="5"/>
  <c r="K1812" i="5"/>
  <c r="M1812" i="5" s="1"/>
  <c r="L1812" i="5"/>
  <c r="K1813" i="5"/>
  <c r="M1813" i="5" s="1"/>
  <c r="L1813" i="5"/>
  <c r="K1814" i="5"/>
  <c r="M1814" i="5" s="1"/>
  <c r="L1814" i="5"/>
  <c r="K1815" i="5"/>
  <c r="M1815" i="5" s="1"/>
  <c r="L1815" i="5"/>
  <c r="K1816" i="5"/>
  <c r="M1816" i="5" s="1"/>
  <c r="L1816" i="5"/>
  <c r="K1817" i="5"/>
  <c r="M1817" i="5" s="1"/>
  <c r="L1817" i="5"/>
  <c r="K1818" i="5"/>
  <c r="M1818" i="5" s="1"/>
  <c r="L1818" i="5"/>
  <c r="K1819" i="5"/>
  <c r="M1819" i="5" s="1"/>
  <c r="L1819" i="5"/>
  <c r="K1820" i="5"/>
  <c r="M1820" i="5" s="1"/>
  <c r="L1820" i="5"/>
  <c r="K1821" i="5"/>
  <c r="M1821" i="5" s="1"/>
  <c r="L1821" i="5"/>
  <c r="K1822" i="5"/>
  <c r="M1822" i="5" s="1"/>
  <c r="L1822" i="5"/>
  <c r="K1823" i="5"/>
  <c r="M1823" i="5" s="1"/>
  <c r="L1823" i="5"/>
  <c r="K1824" i="5"/>
  <c r="M1824" i="5" s="1"/>
  <c r="L1824" i="5"/>
  <c r="K1825" i="5"/>
  <c r="M1825" i="5" s="1"/>
  <c r="L1825" i="5"/>
  <c r="K1826" i="5"/>
  <c r="M1826" i="5" s="1"/>
  <c r="L1826" i="5"/>
  <c r="K1827" i="5"/>
  <c r="M1827" i="5" s="1"/>
  <c r="L1827" i="5"/>
  <c r="K1828" i="5"/>
  <c r="M1828" i="5" s="1"/>
  <c r="L1828" i="5"/>
  <c r="K1829" i="5"/>
  <c r="M1829" i="5" s="1"/>
  <c r="L1829" i="5"/>
  <c r="K1830" i="5"/>
  <c r="M1830" i="5" s="1"/>
  <c r="L1830" i="5"/>
  <c r="K1831" i="5"/>
  <c r="M1831" i="5" s="1"/>
  <c r="L1831" i="5"/>
  <c r="K1832" i="5"/>
  <c r="M1832" i="5" s="1"/>
  <c r="L1832" i="5"/>
  <c r="K1833" i="5"/>
  <c r="M1833" i="5" s="1"/>
  <c r="L1833" i="5"/>
  <c r="K1834" i="5"/>
  <c r="M1834" i="5" s="1"/>
  <c r="L1834" i="5"/>
  <c r="K1835" i="5"/>
  <c r="M1835" i="5" s="1"/>
  <c r="L1835" i="5"/>
  <c r="K1836" i="5"/>
  <c r="M1836" i="5" s="1"/>
  <c r="L1836" i="5"/>
  <c r="K1837" i="5"/>
  <c r="M1837" i="5" s="1"/>
  <c r="L1837" i="5"/>
  <c r="K1838" i="5"/>
  <c r="M1838" i="5" s="1"/>
  <c r="L1838" i="5"/>
  <c r="K1839" i="5"/>
  <c r="M1839" i="5" s="1"/>
  <c r="L1839" i="5"/>
  <c r="K1840" i="5"/>
  <c r="M1840" i="5" s="1"/>
  <c r="L1840" i="5"/>
  <c r="K1841" i="5"/>
  <c r="M1841" i="5" s="1"/>
  <c r="L1841" i="5"/>
  <c r="K1842" i="5"/>
  <c r="M1842" i="5" s="1"/>
  <c r="L1842" i="5"/>
  <c r="K1843" i="5"/>
  <c r="M1843" i="5" s="1"/>
  <c r="L1843" i="5"/>
  <c r="K1844" i="5"/>
  <c r="M1844" i="5" s="1"/>
  <c r="L1844" i="5"/>
  <c r="K1845" i="5"/>
  <c r="M1845" i="5" s="1"/>
  <c r="L1845" i="5"/>
  <c r="K1846" i="5"/>
  <c r="M1846" i="5" s="1"/>
  <c r="L1846" i="5"/>
  <c r="K1847" i="5"/>
  <c r="M1847" i="5" s="1"/>
  <c r="L1847" i="5"/>
  <c r="K1848" i="5"/>
  <c r="M1848" i="5" s="1"/>
  <c r="L1848" i="5"/>
  <c r="K1849" i="5"/>
  <c r="M1849" i="5" s="1"/>
  <c r="L1849" i="5"/>
  <c r="K1850" i="5"/>
  <c r="M1850" i="5" s="1"/>
  <c r="L1850" i="5"/>
  <c r="K1851" i="5"/>
  <c r="M1851" i="5" s="1"/>
  <c r="L1851" i="5"/>
  <c r="K1852" i="5"/>
  <c r="M1852" i="5" s="1"/>
  <c r="L1852" i="5"/>
  <c r="K1853" i="5"/>
  <c r="M1853" i="5" s="1"/>
  <c r="L1853" i="5"/>
  <c r="K1854" i="5"/>
  <c r="M1854" i="5" s="1"/>
  <c r="L1854" i="5"/>
  <c r="K1855" i="5"/>
  <c r="M1855" i="5" s="1"/>
  <c r="L1855" i="5"/>
  <c r="K1856" i="5"/>
  <c r="M1856" i="5" s="1"/>
  <c r="L1856" i="5"/>
  <c r="K1857" i="5"/>
  <c r="M1857" i="5" s="1"/>
  <c r="L1857" i="5"/>
  <c r="K1858" i="5"/>
  <c r="M1858" i="5" s="1"/>
  <c r="L1858" i="5"/>
  <c r="K1859" i="5"/>
  <c r="M1859" i="5" s="1"/>
  <c r="L1859" i="5"/>
  <c r="K1860" i="5"/>
  <c r="M1860" i="5" s="1"/>
  <c r="L1860" i="5"/>
  <c r="K1861" i="5"/>
  <c r="M1861" i="5" s="1"/>
  <c r="L1861" i="5"/>
  <c r="K1862" i="5"/>
  <c r="M1862" i="5" s="1"/>
  <c r="L1862" i="5"/>
  <c r="K1863" i="5"/>
  <c r="M1863" i="5" s="1"/>
  <c r="L1863" i="5"/>
  <c r="K1864" i="5"/>
  <c r="M1864" i="5" s="1"/>
  <c r="L1864" i="5"/>
  <c r="K1865" i="5"/>
  <c r="M1865" i="5" s="1"/>
  <c r="L1865" i="5"/>
  <c r="K1866" i="5"/>
  <c r="M1866" i="5" s="1"/>
  <c r="L1866" i="5"/>
  <c r="K1867" i="5"/>
  <c r="M1867" i="5" s="1"/>
  <c r="L1867" i="5"/>
  <c r="K1868" i="5"/>
  <c r="M1868" i="5" s="1"/>
  <c r="L1868" i="5"/>
  <c r="K1869" i="5"/>
  <c r="M1869" i="5" s="1"/>
  <c r="L1869" i="5"/>
  <c r="K1870" i="5"/>
  <c r="M1870" i="5" s="1"/>
  <c r="L1870" i="5"/>
  <c r="K1871" i="5"/>
  <c r="M1871" i="5" s="1"/>
  <c r="L1871" i="5"/>
  <c r="K1872" i="5"/>
  <c r="M1872" i="5" s="1"/>
  <c r="L1872" i="5"/>
  <c r="K1873" i="5"/>
  <c r="M1873" i="5" s="1"/>
  <c r="L1873" i="5"/>
  <c r="K1874" i="5"/>
  <c r="M1874" i="5" s="1"/>
  <c r="L1874" i="5"/>
  <c r="K1875" i="5"/>
  <c r="M1875" i="5" s="1"/>
  <c r="L1875" i="5"/>
  <c r="K1876" i="5"/>
  <c r="M1876" i="5" s="1"/>
  <c r="L1876" i="5"/>
  <c r="K1877" i="5"/>
  <c r="M1877" i="5" s="1"/>
  <c r="L1877" i="5"/>
  <c r="K1878" i="5"/>
  <c r="M1878" i="5" s="1"/>
  <c r="L1878" i="5"/>
  <c r="K1879" i="5"/>
  <c r="M1879" i="5" s="1"/>
  <c r="L1879" i="5"/>
  <c r="K1880" i="5"/>
  <c r="M1880" i="5" s="1"/>
  <c r="L1880" i="5"/>
  <c r="K1881" i="5"/>
  <c r="M1881" i="5" s="1"/>
  <c r="L1881" i="5"/>
  <c r="K1882" i="5"/>
  <c r="M1882" i="5" s="1"/>
  <c r="L1882" i="5"/>
  <c r="K1883" i="5"/>
  <c r="M1883" i="5" s="1"/>
  <c r="L1883" i="5"/>
  <c r="K1884" i="5"/>
  <c r="M1884" i="5" s="1"/>
  <c r="L1884" i="5"/>
  <c r="K1885" i="5"/>
  <c r="M1885" i="5" s="1"/>
  <c r="L1885" i="5"/>
  <c r="K1886" i="5"/>
  <c r="M1886" i="5" s="1"/>
  <c r="L1886" i="5"/>
  <c r="K1887" i="5"/>
  <c r="M1887" i="5" s="1"/>
  <c r="L1887" i="5"/>
  <c r="K1888" i="5"/>
  <c r="M1888" i="5" s="1"/>
  <c r="L1888" i="5"/>
  <c r="K1889" i="5"/>
  <c r="M1889" i="5" s="1"/>
  <c r="L1889" i="5"/>
  <c r="K1890" i="5"/>
  <c r="M1890" i="5" s="1"/>
  <c r="L1890" i="5"/>
  <c r="K1891" i="5"/>
  <c r="M1891" i="5" s="1"/>
  <c r="L1891" i="5"/>
  <c r="K1892" i="5"/>
  <c r="M1892" i="5" s="1"/>
  <c r="L1892" i="5"/>
  <c r="K1893" i="5"/>
  <c r="M1893" i="5" s="1"/>
  <c r="L1893" i="5"/>
  <c r="K1894" i="5"/>
  <c r="M1894" i="5" s="1"/>
  <c r="L1894" i="5"/>
  <c r="K1895" i="5"/>
  <c r="M1895" i="5" s="1"/>
  <c r="L1895" i="5"/>
  <c r="K1896" i="5"/>
  <c r="M1896" i="5" s="1"/>
  <c r="L1896" i="5"/>
  <c r="K1897" i="5"/>
  <c r="M1897" i="5" s="1"/>
  <c r="L1897" i="5"/>
  <c r="K1898" i="5"/>
  <c r="M1898" i="5" s="1"/>
  <c r="L1898" i="5"/>
  <c r="K1899" i="5"/>
  <c r="M1899" i="5" s="1"/>
  <c r="L1899" i="5"/>
  <c r="K1900" i="5"/>
  <c r="M1900" i="5" s="1"/>
  <c r="L1900" i="5"/>
  <c r="K1901" i="5"/>
  <c r="M1901" i="5" s="1"/>
  <c r="L1901" i="5"/>
  <c r="K1902" i="5"/>
  <c r="M1902" i="5" s="1"/>
  <c r="L1902" i="5"/>
  <c r="K1903" i="5"/>
  <c r="M1903" i="5" s="1"/>
  <c r="L1903" i="5"/>
  <c r="K1904" i="5"/>
  <c r="M1904" i="5" s="1"/>
  <c r="L1904" i="5"/>
  <c r="K1905" i="5"/>
  <c r="M1905" i="5" s="1"/>
  <c r="L1905" i="5"/>
  <c r="K1906" i="5"/>
  <c r="M1906" i="5" s="1"/>
  <c r="L1906" i="5"/>
  <c r="K1907" i="5"/>
  <c r="M1907" i="5" s="1"/>
  <c r="L1907" i="5"/>
  <c r="K1908" i="5"/>
  <c r="M1908" i="5" s="1"/>
  <c r="L1908" i="5"/>
  <c r="K1909" i="5"/>
  <c r="M1909" i="5" s="1"/>
  <c r="L1909" i="5"/>
  <c r="K1910" i="5"/>
  <c r="M1910" i="5" s="1"/>
  <c r="L1910" i="5"/>
  <c r="K1911" i="5"/>
  <c r="M1911" i="5" s="1"/>
  <c r="L1911" i="5"/>
  <c r="K1912" i="5"/>
  <c r="M1912" i="5" s="1"/>
  <c r="L1912" i="5"/>
  <c r="K1913" i="5"/>
  <c r="M1913" i="5" s="1"/>
  <c r="L1913" i="5"/>
  <c r="K1914" i="5"/>
  <c r="M1914" i="5" s="1"/>
  <c r="L1914" i="5"/>
  <c r="K1915" i="5"/>
  <c r="M1915" i="5" s="1"/>
  <c r="L1915" i="5"/>
  <c r="K1916" i="5"/>
  <c r="M1916" i="5" s="1"/>
  <c r="L1916" i="5"/>
  <c r="K1917" i="5"/>
  <c r="M1917" i="5" s="1"/>
  <c r="L1917" i="5"/>
  <c r="K1918" i="5"/>
  <c r="M1918" i="5" s="1"/>
  <c r="L1918" i="5"/>
  <c r="K1919" i="5"/>
  <c r="M1919" i="5" s="1"/>
  <c r="L1919" i="5"/>
  <c r="K1920" i="5"/>
  <c r="M1920" i="5" s="1"/>
  <c r="L1920" i="5"/>
  <c r="K1921" i="5"/>
  <c r="M1921" i="5" s="1"/>
  <c r="L1921" i="5"/>
  <c r="K1922" i="5"/>
  <c r="M1922" i="5" s="1"/>
  <c r="L1922" i="5"/>
  <c r="K1923" i="5"/>
  <c r="M1923" i="5" s="1"/>
  <c r="L1923" i="5"/>
  <c r="K1924" i="5"/>
  <c r="M1924" i="5" s="1"/>
  <c r="L1924" i="5"/>
  <c r="K1925" i="5"/>
  <c r="M1925" i="5" s="1"/>
  <c r="L1925" i="5"/>
  <c r="K1926" i="5"/>
  <c r="M1926" i="5" s="1"/>
  <c r="L1926" i="5"/>
  <c r="K1927" i="5"/>
  <c r="M1927" i="5" s="1"/>
  <c r="L1927" i="5"/>
  <c r="K1928" i="5"/>
  <c r="M1928" i="5" s="1"/>
  <c r="L1928" i="5"/>
  <c r="K1929" i="5"/>
  <c r="M1929" i="5" s="1"/>
  <c r="L1929" i="5"/>
  <c r="K1930" i="5"/>
  <c r="M1930" i="5" s="1"/>
  <c r="L1930" i="5"/>
  <c r="K1931" i="5"/>
  <c r="M1931" i="5" s="1"/>
  <c r="L1931" i="5"/>
  <c r="K1932" i="5"/>
  <c r="M1932" i="5" s="1"/>
  <c r="L1932" i="5"/>
  <c r="K1933" i="5"/>
  <c r="M1933" i="5" s="1"/>
  <c r="L1933" i="5"/>
  <c r="K1934" i="5"/>
  <c r="M1934" i="5" s="1"/>
  <c r="L1934" i="5"/>
  <c r="K1935" i="5"/>
  <c r="M1935" i="5" s="1"/>
  <c r="L1935" i="5"/>
  <c r="K1936" i="5"/>
  <c r="M1936" i="5" s="1"/>
  <c r="L1936" i="5"/>
  <c r="K1937" i="5"/>
  <c r="M1937" i="5" s="1"/>
  <c r="L1937" i="5"/>
  <c r="K1938" i="5"/>
  <c r="M1938" i="5" s="1"/>
  <c r="L1938" i="5"/>
  <c r="K1939" i="5"/>
  <c r="M1939" i="5" s="1"/>
  <c r="L1939" i="5"/>
  <c r="K1940" i="5"/>
  <c r="M1940" i="5" s="1"/>
  <c r="L1940" i="5"/>
  <c r="K1941" i="5"/>
  <c r="M1941" i="5" s="1"/>
  <c r="L1941" i="5"/>
  <c r="K1942" i="5"/>
  <c r="M1942" i="5" s="1"/>
  <c r="L1942" i="5"/>
  <c r="K1943" i="5"/>
  <c r="M1943" i="5" s="1"/>
  <c r="L1943" i="5"/>
  <c r="K1944" i="5"/>
  <c r="M1944" i="5" s="1"/>
  <c r="L1944" i="5"/>
  <c r="K1945" i="5"/>
  <c r="M1945" i="5" s="1"/>
  <c r="L1945" i="5"/>
  <c r="K1946" i="5"/>
  <c r="M1946" i="5" s="1"/>
  <c r="L1946" i="5"/>
  <c r="K1947" i="5"/>
  <c r="M1947" i="5" s="1"/>
  <c r="L1947" i="5"/>
  <c r="K1948" i="5"/>
  <c r="M1948" i="5" s="1"/>
  <c r="L1948" i="5"/>
  <c r="K1949" i="5"/>
  <c r="M1949" i="5" s="1"/>
  <c r="L1949" i="5"/>
  <c r="K1950" i="5"/>
  <c r="M1950" i="5" s="1"/>
  <c r="L1950" i="5"/>
  <c r="K1951" i="5"/>
  <c r="M1951" i="5" s="1"/>
  <c r="L1951" i="5"/>
  <c r="K1952" i="5"/>
  <c r="M1952" i="5" s="1"/>
  <c r="L1952" i="5"/>
  <c r="K1953" i="5"/>
  <c r="M1953" i="5" s="1"/>
  <c r="L1953" i="5"/>
  <c r="K1954" i="5"/>
  <c r="M1954" i="5" s="1"/>
  <c r="L1954" i="5"/>
  <c r="K1955" i="5"/>
  <c r="M1955" i="5" s="1"/>
  <c r="L1955" i="5"/>
  <c r="K1956" i="5"/>
  <c r="M1956" i="5" s="1"/>
  <c r="L1956" i="5"/>
  <c r="K1957" i="5"/>
  <c r="M1957" i="5" s="1"/>
  <c r="L1957" i="5"/>
  <c r="K1958" i="5"/>
  <c r="M1958" i="5" s="1"/>
  <c r="L1958" i="5"/>
  <c r="K1959" i="5"/>
  <c r="M1959" i="5" s="1"/>
  <c r="L1959" i="5"/>
  <c r="K1960" i="5"/>
  <c r="M1960" i="5" s="1"/>
  <c r="L1960" i="5"/>
  <c r="K1961" i="5"/>
  <c r="M1961" i="5" s="1"/>
  <c r="L1961" i="5"/>
  <c r="K1962" i="5"/>
  <c r="M1962" i="5" s="1"/>
  <c r="L1962" i="5"/>
  <c r="K1963" i="5"/>
  <c r="M1963" i="5" s="1"/>
  <c r="L1963" i="5"/>
  <c r="K1964" i="5"/>
  <c r="M1964" i="5" s="1"/>
  <c r="L1964" i="5"/>
  <c r="K1965" i="5"/>
  <c r="M1965" i="5" s="1"/>
  <c r="L1965" i="5"/>
  <c r="K1966" i="5"/>
  <c r="M1966" i="5" s="1"/>
  <c r="L1966" i="5"/>
  <c r="K1967" i="5"/>
  <c r="M1967" i="5" s="1"/>
  <c r="L1967" i="5"/>
  <c r="K1968" i="5"/>
  <c r="M1968" i="5" s="1"/>
  <c r="L1968" i="5"/>
  <c r="K1969" i="5"/>
  <c r="M1969" i="5" s="1"/>
  <c r="L1969" i="5"/>
  <c r="K1970" i="5"/>
  <c r="M1970" i="5" s="1"/>
  <c r="L1970" i="5"/>
  <c r="K1971" i="5"/>
  <c r="M1971" i="5" s="1"/>
  <c r="L1971" i="5"/>
  <c r="K1972" i="5"/>
  <c r="M1972" i="5" s="1"/>
  <c r="L1972" i="5"/>
  <c r="K1973" i="5"/>
  <c r="M1973" i="5" s="1"/>
  <c r="L1973" i="5"/>
  <c r="K1974" i="5"/>
  <c r="M1974" i="5" s="1"/>
  <c r="L1974" i="5"/>
  <c r="K1975" i="5"/>
  <c r="M1975" i="5" s="1"/>
  <c r="L1975" i="5"/>
  <c r="K1976" i="5"/>
  <c r="M1976" i="5" s="1"/>
  <c r="L1976" i="5"/>
  <c r="K1977" i="5"/>
  <c r="M1977" i="5" s="1"/>
  <c r="L1977" i="5"/>
  <c r="K1978" i="5"/>
  <c r="M1978" i="5" s="1"/>
  <c r="L1978" i="5"/>
  <c r="K1979" i="5"/>
  <c r="M1979" i="5" s="1"/>
  <c r="L1979" i="5"/>
  <c r="K1980" i="5"/>
  <c r="M1980" i="5" s="1"/>
  <c r="L1980" i="5"/>
  <c r="K1981" i="5"/>
  <c r="M1981" i="5" s="1"/>
  <c r="L1981" i="5"/>
  <c r="K1982" i="5"/>
  <c r="M1982" i="5" s="1"/>
  <c r="L1982" i="5"/>
  <c r="K1983" i="5"/>
  <c r="M1983" i="5" s="1"/>
  <c r="L1983" i="5"/>
  <c r="K1984" i="5"/>
  <c r="M1984" i="5" s="1"/>
  <c r="L1984" i="5"/>
  <c r="K1985" i="5"/>
  <c r="M1985" i="5" s="1"/>
  <c r="L1985" i="5"/>
  <c r="K1986" i="5"/>
  <c r="M1986" i="5" s="1"/>
  <c r="L1986" i="5"/>
  <c r="K1987" i="5"/>
  <c r="M1987" i="5" s="1"/>
  <c r="L1987" i="5"/>
  <c r="K1988" i="5"/>
  <c r="M1988" i="5" s="1"/>
  <c r="L1988" i="5"/>
  <c r="K1989" i="5"/>
  <c r="M1989" i="5" s="1"/>
  <c r="L1989" i="5"/>
  <c r="K1990" i="5"/>
  <c r="M1990" i="5" s="1"/>
  <c r="L1990" i="5"/>
  <c r="K1991" i="5"/>
  <c r="M1991" i="5" s="1"/>
  <c r="L1991" i="5"/>
  <c r="K1992" i="5"/>
  <c r="M1992" i="5" s="1"/>
  <c r="L1992" i="5"/>
  <c r="K1993" i="5"/>
  <c r="M1993" i="5" s="1"/>
  <c r="L1993" i="5"/>
  <c r="K1994" i="5"/>
  <c r="M1994" i="5" s="1"/>
  <c r="L1994" i="5"/>
  <c r="K1995" i="5"/>
  <c r="M1995" i="5" s="1"/>
  <c r="L1995" i="5"/>
  <c r="K1996" i="5"/>
  <c r="M1996" i="5" s="1"/>
  <c r="L1996" i="5"/>
  <c r="K1997" i="5"/>
  <c r="M1997" i="5" s="1"/>
  <c r="L1997" i="5"/>
  <c r="K1998" i="5"/>
  <c r="M1998" i="5" s="1"/>
  <c r="L1998" i="5"/>
  <c r="K1999" i="5"/>
  <c r="M1999" i="5" s="1"/>
  <c r="L1999" i="5"/>
  <c r="K2000" i="5"/>
  <c r="M2000" i="5" s="1"/>
  <c r="L2000" i="5"/>
  <c r="C1471" i="5" l="1"/>
  <c r="C174" i="19"/>
  <c r="D174" i="19"/>
  <c r="F174" i="19"/>
  <c r="C173" i="19"/>
  <c r="D173" i="19"/>
  <c r="F173" i="19"/>
  <c r="K105" i="24"/>
  <c r="C172" i="19"/>
  <c r="D172" i="19"/>
  <c r="F172" i="19"/>
  <c r="B1438" i="9"/>
  <c r="B1438" i="18"/>
  <c r="B1428" i="9"/>
  <c r="B1428" i="18"/>
  <c r="C171" i="19"/>
  <c r="D171" i="19"/>
  <c r="F171" i="19"/>
  <c r="C170" i="19"/>
  <c r="D170" i="19"/>
  <c r="F170" i="19"/>
  <c r="C169" i="19"/>
  <c r="D169" i="19"/>
  <c r="F169" i="19"/>
  <c r="C168" i="19"/>
  <c r="D168" i="19"/>
  <c r="F168" i="19"/>
  <c r="C167" i="19"/>
  <c r="D167" i="19"/>
  <c r="F167" i="19"/>
  <c r="B1374" i="17"/>
  <c r="B1374" i="18"/>
  <c r="C166" i="19"/>
  <c r="D166" i="19"/>
  <c r="F166" i="19"/>
  <c r="C165" i="19"/>
  <c r="D165" i="19"/>
  <c r="F165" i="19"/>
  <c r="AJ10" i="29"/>
  <c r="C68" i="29"/>
  <c r="C63" i="29"/>
  <c r="AI10" i="29"/>
  <c r="AH10" i="29"/>
  <c r="C58" i="29"/>
  <c r="C164" i="19"/>
  <c r="D164" i="19"/>
  <c r="F164" i="19"/>
  <c r="AG10" i="29"/>
  <c r="C53" i="29"/>
  <c r="C163" i="19"/>
  <c r="D163" i="19"/>
  <c r="F163" i="19"/>
  <c r="C162" i="19"/>
  <c r="D162" i="19"/>
  <c r="F162" i="19"/>
  <c r="C161" i="19"/>
  <c r="D161" i="19"/>
  <c r="F161" i="19"/>
  <c r="AC10" i="29"/>
  <c r="C33" i="29"/>
  <c r="AD10" i="29"/>
  <c r="C38" i="29"/>
  <c r="AE10" i="29"/>
  <c r="C43" i="29"/>
  <c r="Z10" i="29"/>
  <c r="C18" i="29"/>
  <c r="Y10" i="29"/>
  <c r="C13" i="29"/>
  <c r="AF10" i="29"/>
  <c r="C48" i="29"/>
  <c r="AB10" i="29"/>
  <c r="C28" i="29"/>
  <c r="AA10" i="29"/>
  <c r="C23" i="29"/>
  <c r="C160" i="19"/>
  <c r="F160" i="19"/>
  <c r="D160" i="19"/>
  <c r="O10" i="27"/>
  <c r="O13" i="27"/>
  <c r="O12" i="27"/>
  <c r="F5" i="22" s="1"/>
  <c r="O9" i="27"/>
  <c r="D5" i="22" s="1"/>
  <c r="C159" i="19"/>
  <c r="F159" i="19"/>
  <c r="D159" i="19"/>
  <c r="K104" i="24"/>
  <c r="C85" i="19"/>
  <c r="D85" i="19"/>
  <c r="F85" i="19"/>
  <c r="C73" i="19"/>
  <c r="D73" i="19"/>
  <c r="F73" i="19"/>
  <c r="C61" i="19"/>
  <c r="D61" i="19"/>
  <c r="F61" i="19"/>
  <c r="C49" i="19"/>
  <c r="D49" i="19"/>
  <c r="F49" i="19"/>
  <c r="C37" i="19"/>
  <c r="D37" i="19"/>
  <c r="F37" i="19"/>
  <c r="C25" i="19"/>
  <c r="D25" i="19"/>
  <c r="F25" i="19"/>
  <c r="C110" i="19"/>
  <c r="D110" i="19"/>
  <c r="F110" i="19"/>
  <c r="C145" i="19"/>
  <c r="D145" i="19"/>
  <c r="F145" i="19"/>
  <c r="C109" i="19"/>
  <c r="D109" i="19"/>
  <c r="F109" i="19"/>
  <c r="C156" i="19"/>
  <c r="D156" i="19"/>
  <c r="F156" i="19"/>
  <c r="C144" i="19"/>
  <c r="D144" i="19"/>
  <c r="F144" i="19"/>
  <c r="C132" i="19"/>
  <c r="D132" i="19"/>
  <c r="F132" i="19"/>
  <c r="C120" i="19"/>
  <c r="D120" i="19"/>
  <c r="F120" i="19"/>
  <c r="C108" i="19"/>
  <c r="D108" i="19"/>
  <c r="F108" i="19"/>
  <c r="C96" i="19"/>
  <c r="D96" i="19"/>
  <c r="F96" i="19"/>
  <c r="C84" i="19"/>
  <c r="D84" i="19"/>
  <c r="F84" i="19"/>
  <c r="C72" i="19"/>
  <c r="D72" i="19"/>
  <c r="F72" i="19"/>
  <c r="C60" i="19"/>
  <c r="D60" i="19"/>
  <c r="F60" i="19"/>
  <c r="C48" i="19"/>
  <c r="D48" i="19"/>
  <c r="F48" i="19"/>
  <c r="C36" i="19"/>
  <c r="D36" i="19"/>
  <c r="F36" i="19"/>
  <c r="C24" i="19"/>
  <c r="D24" i="19"/>
  <c r="F24" i="19"/>
  <c r="C12" i="19"/>
  <c r="G12" i="19" s="1"/>
  <c r="E12" i="4" s="1"/>
  <c r="D12" i="19"/>
  <c r="C86" i="19"/>
  <c r="D86" i="19"/>
  <c r="F86" i="19"/>
  <c r="C157" i="19"/>
  <c r="D157" i="19"/>
  <c r="F157" i="19"/>
  <c r="C133" i="19"/>
  <c r="D133" i="19"/>
  <c r="F133" i="19"/>
  <c r="C121" i="19"/>
  <c r="D121" i="19"/>
  <c r="F121" i="19"/>
  <c r="C97" i="19"/>
  <c r="D97" i="19"/>
  <c r="F97" i="19"/>
  <c r="C5" i="19"/>
  <c r="F5" i="19"/>
  <c r="D5" i="19"/>
  <c r="C155" i="19"/>
  <c r="F155" i="19"/>
  <c r="D155" i="19"/>
  <c r="C143" i="19"/>
  <c r="F143" i="19"/>
  <c r="D143" i="19"/>
  <c r="C131" i="19"/>
  <c r="F131" i="19"/>
  <c r="D131" i="19"/>
  <c r="C119" i="19"/>
  <c r="F119" i="19"/>
  <c r="D119" i="19"/>
  <c r="C107" i="19"/>
  <c r="F107" i="19"/>
  <c r="D107" i="19"/>
  <c r="C95" i="19"/>
  <c r="D95" i="19"/>
  <c r="F95" i="19"/>
  <c r="C83" i="19"/>
  <c r="D83" i="19"/>
  <c r="F83" i="19"/>
  <c r="C71" i="19"/>
  <c r="D71" i="19"/>
  <c r="F71" i="19"/>
  <c r="C59" i="19"/>
  <c r="D59" i="19"/>
  <c r="F59" i="19"/>
  <c r="C47" i="19"/>
  <c r="D47" i="19"/>
  <c r="F47" i="19"/>
  <c r="C35" i="19"/>
  <c r="D35" i="19"/>
  <c r="F35" i="19"/>
  <c r="C23" i="19"/>
  <c r="D23" i="19"/>
  <c r="F23" i="19"/>
  <c r="C11" i="19"/>
  <c r="D11" i="19"/>
  <c r="F11" i="19"/>
  <c r="C46" i="19"/>
  <c r="D46" i="19"/>
  <c r="F46" i="19"/>
  <c r="C34" i="19"/>
  <c r="D34" i="19"/>
  <c r="F34" i="19"/>
  <c r="C22" i="19"/>
  <c r="D22" i="19"/>
  <c r="F22" i="19"/>
  <c r="C10" i="19"/>
  <c r="D10" i="19"/>
  <c r="F10" i="19"/>
  <c r="C74" i="19"/>
  <c r="D74" i="19"/>
  <c r="F74" i="19"/>
  <c r="C70" i="19"/>
  <c r="F70" i="19"/>
  <c r="D70" i="19"/>
  <c r="C153" i="19"/>
  <c r="D153" i="19"/>
  <c r="F153" i="19"/>
  <c r="C141" i="19"/>
  <c r="D141" i="19"/>
  <c r="F141" i="19"/>
  <c r="C129" i="19"/>
  <c r="D129" i="19"/>
  <c r="F129" i="19"/>
  <c r="C117" i="19"/>
  <c r="D117" i="19"/>
  <c r="F117" i="19"/>
  <c r="C93" i="19"/>
  <c r="D93" i="19"/>
  <c r="F93" i="19"/>
  <c r="C69" i="19"/>
  <c r="D69" i="19"/>
  <c r="F69" i="19"/>
  <c r="C57" i="19"/>
  <c r="D57" i="19"/>
  <c r="F57" i="19"/>
  <c r="C45" i="19"/>
  <c r="D45" i="19"/>
  <c r="F45" i="19"/>
  <c r="C21" i="19"/>
  <c r="F21" i="19"/>
  <c r="D21" i="19"/>
  <c r="C9" i="19"/>
  <c r="D9" i="19"/>
  <c r="F9" i="19"/>
  <c r="C81" i="19"/>
  <c r="D81" i="19"/>
  <c r="F81" i="19"/>
  <c r="C33" i="19"/>
  <c r="D33" i="19"/>
  <c r="F33" i="19"/>
  <c r="C152" i="19"/>
  <c r="D152" i="19"/>
  <c r="F152" i="19"/>
  <c r="C140" i="19"/>
  <c r="D140" i="19"/>
  <c r="F140" i="19"/>
  <c r="C128" i="19"/>
  <c r="D128" i="19"/>
  <c r="F128" i="19"/>
  <c r="C116" i="19"/>
  <c r="D116" i="19"/>
  <c r="F116" i="19"/>
  <c r="C104" i="19"/>
  <c r="D104" i="19"/>
  <c r="F104" i="19"/>
  <c r="C92" i="19"/>
  <c r="D92" i="19"/>
  <c r="F92" i="19"/>
  <c r="C80" i="19"/>
  <c r="D80" i="19"/>
  <c r="F80" i="19"/>
  <c r="C68" i="19"/>
  <c r="D68" i="19"/>
  <c r="F68" i="19"/>
  <c r="C56" i="19"/>
  <c r="D56" i="19"/>
  <c r="F56" i="19"/>
  <c r="C44" i="19"/>
  <c r="D44" i="19"/>
  <c r="F44" i="19"/>
  <c r="C32" i="19"/>
  <c r="D32" i="19"/>
  <c r="F32" i="19"/>
  <c r="C20" i="19"/>
  <c r="D20" i="19"/>
  <c r="F20" i="19"/>
  <c r="C8" i="19"/>
  <c r="D8" i="19"/>
  <c r="F8" i="19"/>
  <c r="C50" i="19"/>
  <c r="D50" i="19"/>
  <c r="F50" i="19"/>
  <c r="C154" i="19"/>
  <c r="D154" i="19"/>
  <c r="F154" i="19"/>
  <c r="C130" i="19"/>
  <c r="D130" i="19"/>
  <c r="F130" i="19"/>
  <c r="C94" i="19"/>
  <c r="F94" i="19"/>
  <c r="D94" i="19"/>
  <c r="C58" i="19"/>
  <c r="D58" i="19"/>
  <c r="F58" i="19"/>
  <c r="C151" i="19"/>
  <c r="D151" i="19"/>
  <c r="F151" i="19"/>
  <c r="C139" i="19"/>
  <c r="D139" i="19"/>
  <c r="F139" i="19"/>
  <c r="C127" i="19"/>
  <c r="D127" i="19"/>
  <c r="F127" i="19"/>
  <c r="C115" i="19"/>
  <c r="D115" i="19"/>
  <c r="F115" i="19"/>
  <c r="C103" i="19"/>
  <c r="D103" i="19"/>
  <c r="F103" i="19"/>
  <c r="C91" i="19"/>
  <c r="D91" i="19"/>
  <c r="F91" i="19"/>
  <c r="C79" i="19"/>
  <c r="D79" i="19"/>
  <c r="F79" i="19"/>
  <c r="C67" i="19"/>
  <c r="D67" i="19"/>
  <c r="F67" i="19"/>
  <c r="C55" i="19"/>
  <c r="D55" i="19"/>
  <c r="F55" i="19"/>
  <c r="C43" i="19"/>
  <c r="D43" i="19"/>
  <c r="F43" i="19"/>
  <c r="C31" i="19"/>
  <c r="D31" i="19"/>
  <c r="F31" i="19"/>
  <c r="C19" i="19"/>
  <c r="D19" i="19"/>
  <c r="F19" i="19"/>
  <c r="C7" i="19"/>
  <c r="D7" i="19"/>
  <c r="C62" i="19"/>
  <c r="D62" i="19"/>
  <c r="F62" i="19"/>
  <c r="C142" i="19"/>
  <c r="D142" i="19"/>
  <c r="F142" i="19"/>
  <c r="C118" i="19"/>
  <c r="D118" i="19"/>
  <c r="F118" i="19"/>
  <c r="C106" i="19"/>
  <c r="D106" i="19"/>
  <c r="F106" i="19"/>
  <c r="C82" i="19"/>
  <c r="F82" i="19"/>
  <c r="D82" i="19"/>
  <c r="C150" i="19"/>
  <c r="D150" i="19"/>
  <c r="F150" i="19"/>
  <c r="C138" i="19"/>
  <c r="D138" i="19"/>
  <c r="F138" i="19"/>
  <c r="C126" i="19"/>
  <c r="D126" i="19"/>
  <c r="F126" i="19"/>
  <c r="C114" i="19"/>
  <c r="D114" i="19"/>
  <c r="F114" i="19"/>
  <c r="C102" i="19"/>
  <c r="D102" i="19"/>
  <c r="F102" i="19"/>
  <c r="C90" i="19"/>
  <c r="D90" i="19"/>
  <c r="F90" i="19"/>
  <c r="C78" i="19"/>
  <c r="D78" i="19"/>
  <c r="F78" i="19"/>
  <c r="C66" i="19"/>
  <c r="G66" i="19" s="1"/>
  <c r="E67" i="4" s="1"/>
  <c r="D66" i="19"/>
  <c r="C54" i="19"/>
  <c r="D54" i="19"/>
  <c r="F54" i="19"/>
  <c r="C42" i="19"/>
  <c r="D42" i="19"/>
  <c r="F42" i="19"/>
  <c r="C30" i="19"/>
  <c r="D30" i="19"/>
  <c r="F30" i="19"/>
  <c r="C18" i="19"/>
  <c r="D18" i="19"/>
  <c r="F18" i="19"/>
  <c r="C6" i="19"/>
  <c r="F6" i="19"/>
  <c r="D6" i="19"/>
  <c r="C149" i="19"/>
  <c r="F149" i="19"/>
  <c r="D149" i="19"/>
  <c r="C137" i="19"/>
  <c r="F137" i="19"/>
  <c r="D137" i="19"/>
  <c r="C125" i="19"/>
  <c r="F125" i="19"/>
  <c r="D125" i="19"/>
  <c r="C113" i="19"/>
  <c r="F113" i="19"/>
  <c r="D113" i="19"/>
  <c r="C101" i="19"/>
  <c r="D101" i="19"/>
  <c r="F101" i="19"/>
  <c r="C89" i="19"/>
  <c r="D89" i="19"/>
  <c r="F89" i="19"/>
  <c r="C77" i="19"/>
  <c r="D77" i="19"/>
  <c r="F77" i="19"/>
  <c r="C65" i="19"/>
  <c r="D65" i="19"/>
  <c r="F65" i="19"/>
  <c r="C53" i="19"/>
  <c r="D53" i="19"/>
  <c r="F53" i="19"/>
  <c r="C41" i="19"/>
  <c r="D41" i="19"/>
  <c r="F41" i="19"/>
  <c r="C29" i="19"/>
  <c r="D29" i="19"/>
  <c r="F29" i="19"/>
  <c r="C17" i="19"/>
  <c r="D17" i="19"/>
  <c r="F17" i="19"/>
  <c r="C148" i="19"/>
  <c r="D148" i="19"/>
  <c r="F148" i="19"/>
  <c r="C136" i="19"/>
  <c r="D136" i="19"/>
  <c r="F136" i="19"/>
  <c r="C124" i="19"/>
  <c r="D124" i="19"/>
  <c r="F124" i="19"/>
  <c r="C112" i="19"/>
  <c r="D112" i="19"/>
  <c r="F112" i="19"/>
  <c r="C100" i="19"/>
  <c r="F100" i="19"/>
  <c r="D100" i="19"/>
  <c r="C88" i="19"/>
  <c r="F88" i="19"/>
  <c r="D88" i="19"/>
  <c r="C76" i="19"/>
  <c r="F76" i="19"/>
  <c r="D76" i="19"/>
  <c r="C64" i="19"/>
  <c r="D64" i="19"/>
  <c r="F64" i="19"/>
  <c r="C52" i="19"/>
  <c r="D52" i="19"/>
  <c r="F52" i="19"/>
  <c r="C40" i="19"/>
  <c r="D40" i="19"/>
  <c r="F40" i="19"/>
  <c r="C28" i="19"/>
  <c r="G28" i="19" s="1"/>
  <c r="E29" i="4" s="1"/>
  <c r="D28" i="19"/>
  <c r="C16" i="19"/>
  <c r="D16" i="19"/>
  <c r="F16" i="19"/>
  <c r="F7" i="19"/>
  <c r="C147" i="19"/>
  <c r="D147" i="19"/>
  <c r="F147" i="19"/>
  <c r="C135" i="19"/>
  <c r="D135" i="19"/>
  <c r="F135" i="19"/>
  <c r="C123" i="19"/>
  <c r="D123" i="19"/>
  <c r="F123" i="19"/>
  <c r="C111" i="19"/>
  <c r="D111" i="19"/>
  <c r="F111" i="19"/>
  <c r="C99" i="19"/>
  <c r="D99" i="19"/>
  <c r="F99" i="19"/>
  <c r="C87" i="19"/>
  <c r="D87" i="19"/>
  <c r="F87" i="19"/>
  <c r="C75" i="19"/>
  <c r="D75" i="19"/>
  <c r="F75" i="19"/>
  <c r="C63" i="19"/>
  <c r="D63" i="19"/>
  <c r="F63" i="19"/>
  <c r="C51" i="19"/>
  <c r="D51" i="19"/>
  <c r="F51" i="19"/>
  <c r="C39" i="19"/>
  <c r="D39" i="19"/>
  <c r="F39" i="19"/>
  <c r="C27" i="19"/>
  <c r="F27" i="19"/>
  <c r="D27" i="19"/>
  <c r="C15" i="19"/>
  <c r="F15" i="19"/>
  <c r="D15" i="19"/>
  <c r="D105" i="19"/>
  <c r="E105" i="19" s="1"/>
  <c r="D106" i="4" s="1"/>
  <c r="C158" i="19"/>
  <c r="D158" i="19"/>
  <c r="F158" i="19"/>
  <c r="C146" i="19"/>
  <c r="D146" i="19"/>
  <c r="F146" i="19"/>
  <c r="C134" i="19"/>
  <c r="D134" i="19"/>
  <c r="F134" i="19"/>
  <c r="C122" i="19"/>
  <c r="D122" i="19"/>
  <c r="F122" i="19"/>
  <c r="C98" i="19"/>
  <c r="D98" i="19"/>
  <c r="F98" i="19"/>
  <c r="C38" i="19"/>
  <c r="D38" i="19"/>
  <c r="F38" i="19"/>
  <c r="C26" i="19"/>
  <c r="D26" i="19"/>
  <c r="F26" i="19"/>
  <c r="C14" i="19"/>
  <c r="D14" i="19"/>
  <c r="F14" i="19"/>
  <c r="F105" i="19"/>
  <c r="G105" i="19" s="1"/>
  <c r="E106" i="4" s="1"/>
  <c r="C13" i="19"/>
  <c r="D13" i="19"/>
  <c r="F13" i="19"/>
  <c r="G228" i="19"/>
  <c r="E232" i="19"/>
  <c r="G176" i="19"/>
  <c r="G248" i="19"/>
  <c r="E199" i="19"/>
  <c r="G202" i="19"/>
  <c r="E219" i="19"/>
  <c r="G215" i="19"/>
  <c r="G241" i="19"/>
  <c r="G189" i="19"/>
  <c r="E186" i="19"/>
  <c r="E206" i="19"/>
  <c r="G234" i="19"/>
  <c r="E205" i="19"/>
  <c r="G175" i="19"/>
  <c r="G247" i="19"/>
  <c r="E212" i="19"/>
  <c r="G182" i="19"/>
  <c r="E225" i="19"/>
  <c r="G195" i="19"/>
  <c r="E238" i="19"/>
  <c r="G208" i="19"/>
  <c r="E179" i="19"/>
  <c r="G221" i="19"/>
  <c r="E192" i="19"/>
  <c r="G240" i="19"/>
  <c r="E211" i="19"/>
  <c r="G181" i="19"/>
  <c r="E218" i="19"/>
  <c r="G188" i="19"/>
  <c r="E231" i="19"/>
  <c r="G201" i="19"/>
  <c r="E244" i="19"/>
  <c r="G214" i="19"/>
  <c r="E185" i="19"/>
  <c r="G227" i="19"/>
  <c r="E198" i="19"/>
  <c r="G246" i="19"/>
  <c r="E217" i="19"/>
  <c r="G187" i="19"/>
  <c r="E224" i="19"/>
  <c r="G194" i="19"/>
  <c r="E237" i="19"/>
  <c r="G207" i="19"/>
  <c r="E178" i="19"/>
  <c r="E250" i="19"/>
  <c r="G220" i="19"/>
  <c r="E191" i="19"/>
  <c r="G233" i="19"/>
  <c r="E204" i="19"/>
  <c r="E245" i="19"/>
  <c r="G180" i="19"/>
  <c r="E223" i="19"/>
  <c r="G193" i="19"/>
  <c r="E230" i="19"/>
  <c r="G200" i="19"/>
  <c r="E171" i="19"/>
  <c r="E243" i="19"/>
  <c r="G213" i="19"/>
  <c r="E184" i="19"/>
  <c r="G226" i="19"/>
  <c r="E197" i="19"/>
  <c r="G239" i="19"/>
  <c r="E210" i="19"/>
  <c r="E229" i="19"/>
  <c r="E236" i="19"/>
  <c r="E177" i="19"/>
  <c r="E249" i="19"/>
  <c r="E190" i="19"/>
  <c r="E203" i="19"/>
  <c r="E216" i="19"/>
  <c r="E235" i="19"/>
  <c r="E242" i="19"/>
  <c r="E183" i="19"/>
  <c r="E196" i="19"/>
  <c r="E209" i="19"/>
  <c r="E222" i="19"/>
  <c r="B1975" i="17"/>
  <c r="B1855" i="17"/>
  <c r="B1735" i="17"/>
  <c r="B1603" i="17"/>
  <c r="B1495" i="17"/>
  <c r="B1255" i="17"/>
  <c r="B1962" i="17"/>
  <c r="B1926" i="17"/>
  <c r="B1902" i="17"/>
  <c r="B1866" i="17"/>
  <c r="B1830" i="17"/>
  <c r="B1794" i="17"/>
  <c r="B1758" i="17"/>
  <c r="B1734" i="17"/>
  <c r="B1698" i="17"/>
  <c r="B1662" i="17"/>
  <c r="B1638" i="17"/>
  <c r="B1602" i="17"/>
  <c r="B1566" i="17"/>
  <c r="B1530" i="17"/>
  <c r="B1506" i="17"/>
  <c r="B1470" i="17"/>
  <c r="B1458" i="17"/>
  <c r="B1422" i="17"/>
  <c r="B1398" i="17"/>
  <c r="B1290" i="17"/>
  <c r="B1242" i="17"/>
  <c r="B1997" i="17"/>
  <c r="B1985" i="17"/>
  <c r="B1973" i="17"/>
  <c r="B1961" i="17"/>
  <c r="B1949" i="17"/>
  <c r="B1937" i="17"/>
  <c r="B1925" i="17"/>
  <c r="B1913" i="17"/>
  <c r="B1901" i="17"/>
  <c r="B1889" i="17"/>
  <c r="B1877" i="17"/>
  <c r="B1865" i="17"/>
  <c r="B1853" i="17"/>
  <c r="B1841" i="17"/>
  <c r="B1829" i="17"/>
  <c r="B1817" i="17"/>
  <c r="B1805" i="17"/>
  <c r="B1793" i="17"/>
  <c r="B1781" i="17"/>
  <c r="B1769" i="17"/>
  <c r="B1757" i="17"/>
  <c r="B1745" i="17"/>
  <c r="B1733" i="17"/>
  <c r="B1721" i="17"/>
  <c r="B1709" i="17"/>
  <c r="B1697" i="17"/>
  <c r="B1685" i="17"/>
  <c r="B1673" i="17"/>
  <c r="B1661" i="17"/>
  <c r="B1649" i="17"/>
  <c r="B1637" i="17"/>
  <c r="B1625" i="17"/>
  <c r="B1613" i="17"/>
  <c r="B1601" i="17"/>
  <c r="B1589" i="17"/>
  <c r="B1577" i="17"/>
  <c r="B1565" i="17"/>
  <c r="B1553" i="17"/>
  <c r="B1541" i="17"/>
  <c r="B1529" i="17"/>
  <c r="B1517" i="17"/>
  <c r="B1505" i="17"/>
  <c r="B1493" i="17"/>
  <c r="B1481" i="17"/>
  <c r="B1469" i="17"/>
  <c r="B1457" i="17"/>
  <c r="B1445" i="17"/>
  <c r="B1433" i="17"/>
  <c r="B1421" i="17"/>
  <c r="B1409" i="17"/>
  <c r="B1397" i="17"/>
  <c r="B1385" i="17"/>
  <c r="B1301" i="17"/>
  <c r="B1289" i="17"/>
  <c r="B1277" i="17"/>
  <c r="B1265" i="17"/>
  <c r="B1963" i="17"/>
  <c r="B1591" i="17"/>
  <c r="B1986" i="17"/>
  <c r="B1938" i="17"/>
  <c r="B1890" i="17"/>
  <c r="B1854" i="17"/>
  <c r="B1818" i="17"/>
  <c r="B1782" i="17"/>
  <c r="B1746" i="17"/>
  <c r="B1710" i="17"/>
  <c r="B1686" i="17"/>
  <c r="B1650" i="17"/>
  <c r="B1614" i="17"/>
  <c r="B1590" i="17"/>
  <c r="B1554" i="17"/>
  <c r="B1518" i="17"/>
  <c r="B1482" i="17"/>
  <c r="B1446" i="17"/>
  <c r="B1410" i="17"/>
  <c r="B1996" i="17"/>
  <c r="B1984" i="17"/>
  <c r="B1972" i="17"/>
  <c r="B1960" i="17"/>
  <c r="B1948" i="17"/>
  <c r="B1936" i="17"/>
  <c r="B1924" i="17"/>
  <c r="B1912" i="17"/>
  <c r="B1900" i="17"/>
  <c r="B1888" i="17"/>
  <c r="B1876" i="17"/>
  <c r="B1864" i="17"/>
  <c r="B1852" i="17"/>
  <c r="B1840" i="17"/>
  <c r="B1828" i="17"/>
  <c r="B1816" i="17"/>
  <c r="B1804" i="17"/>
  <c r="B1792" i="17"/>
  <c r="B1780" i="17"/>
  <c r="B1768" i="17"/>
  <c r="B1756" i="17"/>
  <c r="B1744" i="17"/>
  <c r="B1732" i="17"/>
  <c r="B1720" i="17"/>
  <c r="B1708" i="17"/>
  <c r="B1696" i="17"/>
  <c r="B1684" i="17"/>
  <c r="B1672" i="17"/>
  <c r="B1660" i="17"/>
  <c r="B1648" i="17"/>
  <c r="B1636" i="17"/>
  <c r="B1624" i="17"/>
  <c r="B1612" i="17"/>
  <c r="B1600" i="17"/>
  <c r="B1588" i="17"/>
  <c r="B1576" i="17"/>
  <c r="B1564" i="17"/>
  <c r="B1552" i="17"/>
  <c r="B1540" i="17"/>
  <c r="B1528" i="17"/>
  <c r="B1516" i="17"/>
  <c r="B1504" i="17"/>
  <c r="B1492" i="17"/>
  <c r="B1480" i="17"/>
  <c r="B1468" i="17"/>
  <c r="B1456" i="17"/>
  <c r="B1444" i="17"/>
  <c r="B1432" i="17"/>
  <c r="B1420" i="17"/>
  <c r="B1408" i="17"/>
  <c r="B1396" i="17"/>
  <c r="B1384" i="17"/>
  <c r="B1300" i="17"/>
  <c r="B1288" i="17"/>
  <c r="B1276" i="17"/>
  <c r="B1252" i="17"/>
  <c r="B1240" i="17"/>
  <c r="B1987" i="17"/>
  <c r="B1867" i="17"/>
  <c r="B1771" i="17"/>
  <c r="B1663" i="17"/>
  <c r="B1543" i="17"/>
  <c r="B1423" i="17"/>
  <c r="B1974" i="17"/>
  <c r="B1950" i="17"/>
  <c r="B1914" i="17"/>
  <c r="B1878" i="17"/>
  <c r="B1842" i="17"/>
  <c r="B1806" i="17"/>
  <c r="B1770" i="17"/>
  <c r="B1722" i="17"/>
  <c r="B1674" i="17"/>
  <c r="B1626" i="17"/>
  <c r="B1578" i="17"/>
  <c r="B1542" i="17"/>
  <c r="B1494" i="17"/>
  <c r="B1434" i="17"/>
  <c r="B1386" i="17"/>
  <c r="B1995" i="17"/>
  <c r="B1983" i="17"/>
  <c r="B1971" i="17"/>
  <c r="B1959" i="17"/>
  <c r="B1947" i="17"/>
  <c r="B1935" i="17"/>
  <c r="B1923" i="17"/>
  <c r="B1911" i="17"/>
  <c r="B1899" i="17"/>
  <c r="B1887" i="17"/>
  <c r="B1875" i="17"/>
  <c r="B1863" i="17"/>
  <c r="B1851" i="17"/>
  <c r="B1839" i="17"/>
  <c r="B1827" i="17"/>
  <c r="B1815" i="17"/>
  <c r="B1803" i="17"/>
  <c r="B1791" i="17"/>
  <c r="B1779" i="17"/>
  <c r="B1767" i="17"/>
  <c r="B1755" i="17"/>
  <c r="B1743" i="17"/>
  <c r="B1731" i="17"/>
  <c r="B1719" i="17"/>
  <c r="B1707" i="17"/>
  <c r="B1695" i="17"/>
  <c r="B1683" i="17"/>
  <c r="B1671" i="17"/>
  <c r="B1659" i="17"/>
  <c r="B1647" i="17"/>
  <c r="B1635" i="17"/>
  <c r="B1623" i="17"/>
  <c r="B1611" i="17"/>
  <c r="B1599" i="17"/>
  <c r="B1587" i="17"/>
  <c r="B1575" i="17"/>
  <c r="B1563" i="17"/>
  <c r="B1551" i="17"/>
  <c r="B1539" i="17"/>
  <c r="B1527" i="17"/>
  <c r="B1515" i="17"/>
  <c r="B1503" i="17"/>
  <c r="B1491" i="17"/>
  <c r="B1479" i="17"/>
  <c r="B1467" i="17"/>
  <c r="B1455" i="17"/>
  <c r="B1443" i="17"/>
  <c r="B1431" i="17"/>
  <c r="B1419" i="17"/>
  <c r="B1407" i="17"/>
  <c r="B1395" i="17"/>
  <c r="B1383" i="17"/>
  <c r="B1299" i="17"/>
  <c r="B1287" i="17"/>
  <c r="B1275" i="17"/>
  <c r="B1239" i="17"/>
  <c r="B1903" i="17"/>
  <c r="B1699" i="17"/>
  <c r="B1411" i="17"/>
  <c r="B1994" i="17"/>
  <c r="B1982" i="17"/>
  <c r="B1970" i="17"/>
  <c r="B1958" i="17"/>
  <c r="B1946" i="17"/>
  <c r="B1934" i="17"/>
  <c r="B1922" i="17"/>
  <c r="B1910" i="17"/>
  <c r="B1898" i="17"/>
  <c r="B1886" i="17"/>
  <c r="B1874" i="17"/>
  <c r="B1862" i="17"/>
  <c r="B1850" i="17"/>
  <c r="B1838" i="17"/>
  <c r="B1826" i="17"/>
  <c r="B1814" i="17"/>
  <c r="B1802" i="17"/>
  <c r="B1790" i="17"/>
  <c r="B1778" i="17"/>
  <c r="B1766" i="17"/>
  <c r="B1754" i="17"/>
  <c r="B1742" i="17"/>
  <c r="B1730" i="17"/>
  <c r="B1718" i="17"/>
  <c r="B1706" i="17"/>
  <c r="B1694" i="17"/>
  <c r="B1682" i="17"/>
  <c r="B1670" i="17"/>
  <c r="B1658" i="17"/>
  <c r="B1646" i="17"/>
  <c r="B1634" i="17"/>
  <c r="B1622" i="17"/>
  <c r="B1610" i="17"/>
  <c r="B1598" i="17"/>
  <c r="B1586" i="17"/>
  <c r="B1574" i="17"/>
  <c r="B1562" i="17"/>
  <c r="B1550" i="17"/>
  <c r="B1538" i="17"/>
  <c r="B1526" i="17"/>
  <c r="B1514" i="17"/>
  <c r="B1502" i="17"/>
  <c r="B1490" i="17"/>
  <c r="B1478" i="17"/>
  <c r="B1466" i="17"/>
  <c r="B1454" i="17"/>
  <c r="B1442" i="17"/>
  <c r="B1430" i="17"/>
  <c r="B1418" i="17"/>
  <c r="B1406" i="17"/>
  <c r="B1394" i="17"/>
  <c r="B1382" i="17"/>
  <c r="B1298" i="17"/>
  <c r="B1286" i="17"/>
  <c r="B1274" i="17"/>
  <c r="B1250" i="17"/>
  <c r="B1927" i="17"/>
  <c r="B1831" i="17"/>
  <c r="B1747" i="17"/>
  <c r="B1639" i="17"/>
  <c r="B1579" i="17"/>
  <c r="B1483" i="17"/>
  <c r="B1399" i="17"/>
  <c r="B1291" i="17"/>
  <c r="B1998" i="17"/>
  <c r="B1993" i="17"/>
  <c r="B1981" i="17"/>
  <c r="B1969" i="17"/>
  <c r="B1957" i="17"/>
  <c r="B1945" i="17"/>
  <c r="B1933" i="17"/>
  <c r="B1921" i="17"/>
  <c r="B1909" i="17"/>
  <c r="B1897" i="17"/>
  <c r="B1885" i="17"/>
  <c r="B1873" i="17"/>
  <c r="B1861" i="17"/>
  <c r="B1849" i="17"/>
  <c r="B1837" i="17"/>
  <c r="B1825" i="17"/>
  <c r="B1813" i="17"/>
  <c r="B1801" i="17"/>
  <c r="B1789" i="17"/>
  <c r="B1777" i="17"/>
  <c r="B1765" i="17"/>
  <c r="B1753" i="17"/>
  <c r="B1741" i="17"/>
  <c r="B1729" i="17"/>
  <c r="B1717" i="17"/>
  <c r="B1705" i="17"/>
  <c r="B1693" i="17"/>
  <c r="B1681" i="17"/>
  <c r="B1669" i="17"/>
  <c r="B1657" i="17"/>
  <c r="B1645" i="17"/>
  <c r="B1633" i="17"/>
  <c r="B1621" i="17"/>
  <c r="B1609" i="17"/>
  <c r="B1597" i="17"/>
  <c r="B1585" i="17"/>
  <c r="B1573" i="17"/>
  <c r="B1561" i="17"/>
  <c r="B1549" i="17"/>
  <c r="B1537" i="17"/>
  <c r="B1525" i="17"/>
  <c r="B1513" i="17"/>
  <c r="B1501" i="17"/>
  <c r="B1489" i="17"/>
  <c r="B1477" i="17"/>
  <c r="B1465" i="17"/>
  <c r="B1453" i="17"/>
  <c r="B1441" i="17"/>
  <c r="B1429" i="17"/>
  <c r="B1417" i="17"/>
  <c r="B1405" i="17"/>
  <c r="B1393" i="17"/>
  <c r="B1381" i="17"/>
  <c r="B1297" i="17"/>
  <c r="B1285" i="17"/>
  <c r="B1261" i="17"/>
  <c r="B1249" i="17"/>
  <c r="B1999" i="17"/>
  <c r="B1879" i="17"/>
  <c r="B1807" i="17"/>
  <c r="B1723" i="17"/>
  <c r="B1627" i="17"/>
  <c r="B1531" i="17"/>
  <c r="B1459" i="17"/>
  <c r="B1279" i="17"/>
  <c r="B1992" i="17"/>
  <c r="B1980" i="17"/>
  <c r="B1968" i="17"/>
  <c r="B1956" i="17"/>
  <c r="B1944" i="17"/>
  <c r="B1932" i="17"/>
  <c r="B1920" i="17"/>
  <c r="B1908" i="17"/>
  <c r="B1896" i="17"/>
  <c r="B1884" i="17"/>
  <c r="B1872" i="17"/>
  <c r="B1860" i="17"/>
  <c r="B1848" i="17"/>
  <c r="B1836" i="17"/>
  <c r="B1824" i="17"/>
  <c r="B1812" i="17"/>
  <c r="B1800" i="17"/>
  <c r="B1788" i="17"/>
  <c r="B1776" i="17"/>
  <c r="B1764" i="17"/>
  <c r="B1752" i="17"/>
  <c r="B1740" i="17"/>
  <c r="B1728" i="17"/>
  <c r="B1716" i="17"/>
  <c r="B1704" i="17"/>
  <c r="B1692" i="17"/>
  <c r="B1680" i="17"/>
  <c r="B1668" i="17"/>
  <c r="B1656" i="17"/>
  <c r="B1644" i="17"/>
  <c r="B1632" i="17"/>
  <c r="B1620" i="17"/>
  <c r="B1608" i="17"/>
  <c r="B1596" i="17"/>
  <c r="B1584" i="17"/>
  <c r="B1572" i="17"/>
  <c r="B1560" i="17"/>
  <c r="B1548" i="17"/>
  <c r="B1536" i="17"/>
  <c r="B1524" i="17"/>
  <c r="B1512" i="17"/>
  <c r="B1500" i="17"/>
  <c r="B1488" i="17"/>
  <c r="B1476" i="17"/>
  <c r="B1464" i="17"/>
  <c r="B1452" i="17"/>
  <c r="B1440" i="17"/>
  <c r="B1428" i="17"/>
  <c r="B1416" i="17"/>
  <c r="B1404" i="17"/>
  <c r="B1392" i="17"/>
  <c r="B1380" i="17"/>
  <c r="B1296" i="17"/>
  <c r="B1272" i="17"/>
  <c r="B1260" i="17"/>
  <c r="B1951" i="17"/>
  <c r="B1819" i="17"/>
  <c r="B1711" i="17"/>
  <c r="B1615" i="17"/>
  <c r="B1507" i="17"/>
  <c r="B1387" i="17"/>
  <c r="B1243" i="17"/>
  <c r="B1302" i="17"/>
  <c r="B1991" i="17"/>
  <c r="B1979" i="17"/>
  <c r="B1967" i="17"/>
  <c r="B1955" i="17"/>
  <c r="B1943" i="17"/>
  <c r="B1931" i="17"/>
  <c r="B1919" i="17"/>
  <c r="B1907" i="17"/>
  <c r="B1895" i="17"/>
  <c r="B1883" i="17"/>
  <c r="B1871" i="17"/>
  <c r="B1859" i="17"/>
  <c r="B1847" i="17"/>
  <c r="B1835" i="17"/>
  <c r="B1823" i="17"/>
  <c r="B1811" i="17"/>
  <c r="B1799" i="17"/>
  <c r="B1787" i="17"/>
  <c r="B1775" i="17"/>
  <c r="B1763" i="17"/>
  <c r="B1751" i="17"/>
  <c r="B1739" i="17"/>
  <c r="B1727" i="17"/>
  <c r="B1715" i="17"/>
  <c r="B1703" i="17"/>
  <c r="B1691" i="17"/>
  <c r="B1679" i="17"/>
  <c r="B1667" i="17"/>
  <c r="B1655" i="17"/>
  <c r="B1643" i="17"/>
  <c r="B1631" i="17"/>
  <c r="B1619" i="17"/>
  <c r="B1607" i="17"/>
  <c r="B1595" i="17"/>
  <c r="B1583" i="17"/>
  <c r="B1571" i="17"/>
  <c r="B1559" i="17"/>
  <c r="B1547" i="17"/>
  <c r="B1535" i="17"/>
  <c r="B1523" i="17"/>
  <c r="B1511" i="17"/>
  <c r="B1499" i="17"/>
  <c r="B1487" i="17"/>
  <c r="B1475" i="17"/>
  <c r="B1463" i="17"/>
  <c r="B1451" i="17"/>
  <c r="B1439" i="17"/>
  <c r="B1427" i="17"/>
  <c r="B1415" i="17"/>
  <c r="B1403" i="17"/>
  <c r="B1391" i="17"/>
  <c r="B1379" i="17"/>
  <c r="B1295" i="17"/>
  <c r="B1271" i="17"/>
  <c r="B1939" i="17"/>
  <c r="B1843" i="17"/>
  <c r="B1759" i="17"/>
  <c r="B1651" i="17"/>
  <c r="B1567" i="17"/>
  <c r="B1471" i="17"/>
  <c r="B1303" i="17"/>
  <c r="B1990" i="17"/>
  <c r="B1978" i="17"/>
  <c r="B1966" i="17"/>
  <c r="B1954" i="17"/>
  <c r="B1942" i="17"/>
  <c r="B1930" i="17"/>
  <c r="B1918" i="17"/>
  <c r="B1906" i="17"/>
  <c r="B1894" i="17"/>
  <c r="B1882" i="17"/>
  <c r="B1870" i="17"/>
  <c r="B1858" i="17"/>
  <c r="B1846" i="17"/>
  <c r="B1834" i="17"/>
  <c r="B1822" i="17"/>
  <c r="B1810" i="17"/>
  <c r="B1798" i="17"/>
  <c r="B1786" i="17"/>
  <c r="B1774" i="17"/>
  <c r="B1762" i="17"/>
  <c r="B1750" i="17"/>
  <c r="B1738" i="17"/>
  <c r="B1726" i="17"/>
  <c r="B1714" i="17"/>
  <c r="B1702" i="17"/>
  <c r="B1690" i="17"/>
  <c r="B1678" i="17"/>
  <c r="B1666" i="17"/>
  <c r="B1654" i="17"/>
  <c r="B1642" i="17"/>
  <c r="B1630" i="17"/>
  <c r="B1618" i="17"/>
  <c r="B1606" i="17"/>
  <c r="B1594" i="17"/>
  <c r="B1582" i="17"/>
  <c r="B1570" i="17"/>
  <c r="B1558" i="17"/>
  <c r="B1546" i="17"/>
  <c r="B1534" i="17"/>
  <c r="B1522" i="17"/>
  <c r="B1510" i="17"/>
  <c r="B1498" i="17"/>
  <c r="B1486" i="17"/>
  <c r="B1474" i="17"/>
  <c r="B1462" i="17"/>
  <c r="B1450" i="17"/>
  <c r="B1438" i="17"/>
  <c r="B1426" i="17"/>
  <c r="B1414" i="17"/>
  <c r="B1402" i="17"/>
  <c r="B1390" i="17"/>
  <c r="B1378" i="17"/>
  <c r="B1294" i="17"/>
  <c r="B1282" i="17"/>
  <c r="B1270" i="17"/>
  <c r="B1258" i="17"/>
  <c r="B1246" i="17"/>
  <c r="B1915" i="17"/>
  <c r="B1783" i="17"/>
  <c r="B1675" i="17"/>
  <c r="B1519" i="17"/>
  <c r="B1447" i="17"/>
  <c r="B1267" i="17"/>
  <c r="B1278" i="17"/>
  <c r="B1989" i="17"/>
  <c r="B1977" i="17"/>
  <c r="B1965" i="17"/>
  <c r="B1953" i="17"/>
  <c r="B1941" i="17"/>
  <c r="B1929" i="17"/>
  <c r="B1917" i="17"/>
  <c r="B1905" i="17"/>
  <c r="B1893" i="17"/>
  <c r="B1881" i="17"/>
  <c r="B1869" i="17"/>
  <c r="B1857" i="17"/>
  <c r="B1845" i="17"/>
  <c r="B1833" i="17"/>
  <c r="B1821" i="17"/>
  <c r="B1809" i="17"/>
  <c r="B1797" i="17"/>
  <c r="B1785" i="17"/>
  <c r="B1773" i="17"/>
  <c r="B1761" i="17"/>
  <c r="B1749" i="17"/>
  <c r="B1737" i="17"/>
  <c r="B1725" i="17"/>
  <c r="B1713" i="17"/>
  <c r="B1701" i="17"/>
  <c r="B1689" i="17"/>
  <c r="B1677" i="17"/>
  <c r="B1665" i="17"/>
  <c r="B1653" i="17"/>
  <c r="B1641" i="17"/>
  <c r="B1629" i="17"/>
  <c r="B1617" i="17"/>
  <c r="B1605" i="17"/>
  <c r="B1593" i="17"/>
  <c r="B1581" i="17"/>
  <c r="B1569" i="17"/>
  <c r="B1557" i="17"/>
  <c r="B1545" i="17"/>
  <c r="B1533" i="17"/>
  <c r="B1521" i="17"/>
  <c r="B1509" i="17"/>
  <c r="B1497" i="17"/>
  <c r="B1485" i="17"/>
  <c r="B1461" i="17"/>
  <c r="B1449" i="17"/>
  <c r="B1437" i="17"/>
  <c r="B1425" i="17"/>
  <c r="B1413" i="17"/>
  <c r="B1401" i="17"/>
  <c r="B1389" i="17"/>
  <c r="B1377" i="17"/>
  <c r="B1305" i="17"/>
  <c r="B1293" i="17"/>
  <c r="B1269" i="17"/>
  <c r="B1257" i="17"/>
  <c r="B1891" i="17"/>
  <c r="B1795" i="17"/>
  <c r="B1687" i="17"/>
  <c r="B1555" i="17"/>
  <c r="B1435" i="17"/>
  <c r="B2000" i="17"/>
  <c r="B1988" i="17"/>
  <c r="B1976" i="17"/>
  <c r="B1964" i="17"/>
  <c r="B1952" i="17"/>
  <c r="B1940" i="17"/>
  <c r="B1928" i="17"/>
  <c r="B1916" i="17"/>
  <c r="B1904" i="17"/>
  <c r="B1892" i="17"/>
  <c r="B1880" i="17"/>
  <c r="B1868" i="17"/>
  <c r="B1856" i="17"/>
  <c r="B1844" i="17"/>
  <c r="B1832" i="17"/>
  <c r="B1820" i="17"/>
  <c r="B1808" i="17"/>
  <c r="B1796" i="17"/>
  <c r="B1784" i="17"/>
  <c r="B1772" i="17"/>
  <c r="B1760" i="17"/>
  <c r="B1748" i="17"/>
  <c r="B1736" i="17"/>
  <c r="B1724" i="17"/>
  <c r="B1712" i="17"/>
  <c r="B1700" i="17"/>
  <c r="B1688" i="17"/>
  <c r="B1676" i="17"/>
  <c r="B1664" i="17"/>
  <c r="B1652" i="17"/>
  <c r="B1640" i="17"/>
  <c r="B1628" i="17"/>
  <c r="B1616" i="17"/>
  <c r="B1604" i="17"/>
  <c r="B1592" i="17"/>
  <c r="B1580" i="17"/>
  <c r="B1568" i="17"/>
  <c r="B1556" i="17"/>
  <c r="B1544" i="17"/>
  <c r="B1532" i="17"/>
  <c r="B1520" i="17"/>
  <c r="B1508" i="17"/>
  <c r="B1496" i="17"/>
  <c r="B1484" i="17"/>
  <c r="B1460" i="17"/>
  <c r="B1448" i="17"/>
  <c r="B1436" i="17"/>
  <c r="B1424" i="17"/>
  <c r="B1412" i="17"/>
  <c r="B1400" i="17"/>
  <c r="B1388" i="17"/>
  <c r="B1376" i="17"/>
  <c r="B1304" i="17"/>
  <c r="B1292" i="17"/>
  <c r="B1280" i="17"/>
  <c r="B1268" i="17"/>
  <c r="B1256" i="17"/>
  <c r="B1244" i="17"/>
  <c r="C7" i="5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156" i="5" s="1"/>
  <c r="C157" i="5" s="1"/>
  <c r="C158" i="5" s="1"/>
  <c r="C159" i="5" s="1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C170" i="5" s="1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C182" i="5" s="1"/>
  <c r="C183" i="5" s="1"/>
  <c r="C184" i="5" s="1"/>
  <c r="C185" i="5" s="1"/>
  <c r="C186" i="5" s="1"/>
  <c r="C187" i="5" s="1"/>
  <c r="C188" i="5" s="1"/>
  <c r="C189" i="5" s="1"/>
  <c r="C190" i="5" s="1"/>
  <c r="C191" i="5" s="1"/>
  <c r="C192" i="5" s="1"/>
  <c r="C193" i="5" s="1"/>
  <c r="C194" i="5" s="1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C206" i="5" s="1"/>
  <c r="C207" i="5" s="1"/>
  <c r="C208" i="5" s="1"/>
  <c r="C209" i="5" s="1"/>
  <c r="C210" i="5" s="1"/>
  <c r="C211" i="5" s="1"/>
  <c r="C212" i="5" s="1"/>
  <c r="C213" i="5" s="1"/>
  <c r="C214" i="5" s="1"/>
  <c r="C215" i="5" s="1"/>
  <c r="C216" i="5" s="1"/>
  <c r="C217" i="5" s="1"/>
  <c r="C218" i="5" s="1"/>
  <c r="C219" i="5" s="1"/>
  <c r="C220" i="5" s="1"/>
  <c r="C221" i="5" s="1"/>
  <c r="C222" i="5" s="1"/>
  <c r="C223" i="5" s="1"/>
  <c r="C224" i="5" s="1"/>
  <c r="C225" i="5" s="1"/>
  <c r="C226" i="5" s="1"/>
  <c r="C227" i="5" s="1"/>
  <c r="C228" i="5" s="1"/>
  <c r="C229" i="5" s="1"/>
  <c r="C230" i="5" s="1"/>
  <c r="C231" i="5" s="1"/>
  <c r="C232" i="5" s="1"/>
  <c r="K6" i="5"/>
  <c r="M6" i="5" s="1"/>
  <c r="L6" i="5"/>
  <c r="K7" i="5"/>
  <c r="M7" i="5" s="1"/>
  <c r="L7" i="5"/>
  <c r="K8" i="5"/>
  <c r="M8" i="5" s="1"/>
  <c r="L8" i="5"/>
  <c r="K9" i="5"/>
  <c r="M9" i="5" s="1"/>
  <c r="L9" i="5"/>
  <c r="K10" i="5"/>
  <c r="M10" i="5" s="1"/>
  <c r="L10" i="5"/>
  <c r="K11" i="5"/>
  <c r="M11" i="5" s="1"/>
  <c r="L11" i="5"/>
  <c r="K12" i="5"/>
  <c r="M12" i="5" s="1"/>
  <c r="L12" i="5"/>
  <c r="K13" i="5"/>
  <c r="M13" i="5" s="1"/>
  <c r="L13" i="5"/>
  <c r="K14" i="5"/>
  <c r="M14" i="5" s="1"/>
  <c r="L14" i="5"/>
  <c r="K15" i="5"/>
  <c r="M15" i="5" s="1"/>
  <c r="L15" i="5"/>
  <c r="K16" i="5"/>
  <c r="M16" i="5" s="1"/>
  <c r="L16" i="5"/>
  <c r="K17" i="5"/>
  <c r="M17" i="5" s="1"/>
  <c r="L17" i="5"/>
  <c r="K18" i="5"/>
  <c r="M18" i="5" s="1"/>
  <c r="L18" i="5"/>
  <c r="K19" i="5"/>
  <c r="M19" i="5" s="1"/>
  <c r="L19" i="5"/>
  <c r="K20" i="5"/>
  <c r="M20" i="5" s="1"/>
  <c r="L20" i="5"/>
  <c r="K21" i="5"/>
  <c r="M21" i="5" s="1"/>
  <c r="L21" i="5"/>
  <c r="K23" i="5"/>
  <c r="M23" i="5" s="1"/>
  <c r="L23" i="5"/>
  <c r="K24" i="5"/>
  <c r="M24" i="5" s="1"/>
  <c r="L24" i="5"/>
  <c r="K25" i="5"/>
  <c r="M25" i="5" s="1"/>
  <c r="L25" i="5"/>
  <c r="K26" i="5"/>
  <c r="M26" i="5" s="1"/>
  <c r="L26" i="5"/>
  <c r="K27" i="5"/>
  <c r="M27" i="5" s="1"/>
  <c r="L27" i="5"/>
  <c r="K28" i="5"/>
  <c r="M28" i="5" s="1"/>
  <c r="L28" i="5"/>
  <c r="K29" i="5"/>
  <c r="M29" i="5" s="1"/>
  <c r="L29" i="5"/>
  <c r="K30" i="5"/>
  <c r="M30" i="5" s="1"/>
  <c r="L30" i="5"/>
  <c r="K31" i="5"/>
  <c r="M31" i="5" s="1"/>
  <c r="L31" i="5"/>
  <c r="K32" i="5"/>
  <c r="M32" i="5" s="1"/>
  <c r="L32" i="5"/>
  <c r="K33" i="5"/>
  <c r="M33" i="5" s="1"/>
  <c r="L33" i="5"/>
  <c r="K34" i="5"/>
  <c r="M34" i="5" s="1"/>
  <c r="L34" i="5"/>
  <c r="K35" i="5"/>
  <c r="M35" i="5" s="1"/>
  <c r="L35" i="5"/>
  <c r="K36" i="5"/>
  <c r="M36" i="5" s="1"/>
  <c r="L36" i="5"/>
  <c r="K37" i="5"/>
  <c r="M37" i="5" s="1"/>
  <c r="L37" i="5"/>
  <c r="K38" i="5"/>
  <c r="M38" i="5" s="1"/>
  <c r="L38" i="5"/>
  <c r="K39" i="5"/>
  <c r="M39" i="5" s="1"/>
  <c r="L39" i="5"/>
  <c r="K40" i="5"/>
  <c r="M40" i="5" s="1"/>
  <c r="L40" i="5"/>
  <c r="K42" i="5"/>
  <c r="M42" i="5" s="1"/>
  <c r="L42" i="5"/>
  <c r="K43" i="5"/>
  <c r="M43" i="5" s="1"/>
  <c r="L43" i="5"/>
  <c r="K44" i="5"/>
  <c r="M44" i="5" s="1"/>
  <c r="L44" i="5"/>
  <c r="K45" i="5"/>
  <c r="M45" i="5" s="1"/>
  <c r="L45" i="5"/>
  <c r="K46" i="5"/>
  <c r="M46" i="5" s="1"/>
  <c r="L46" i="5"/>
  <c r="K47" i="5"/>
  <c r="M47" i="5" s="1"/>
  <c r="L47" i="5"/>
  <c r="K48" i="5"/>
  <c r="M48" i="5" s="1"/>
  <c r="L48" i="5"/>
  <c r="K49" i="5"/>
  <c r="M49" i="5" s="1"/>
  <c r="L49" i="5"/>
  <c r="K50" i="5"/>
  <c r="M50" i="5" s="1"/>
  <c r="L50" i="5"/>
  <c r="K51" i="5"/>
  <c r="M51" i="5" s="1"/>
  <c r="L51" i="5"/>
  <c r="K52" i="5"/>
  <c r="M52" i="5" s="1"/>
  <c r="L52" i="5"/>
  <c r="K53" i="5"/>
  <c r="M53" i="5" s="1"/>
  <c r="L53" i="5"/>
  <c r="K54" i="5"/>
  <c r="M54" i="5" s="1"/>
  <c r="L54" i="5"/>
  <c r="K55" i="5"/>
  <c r="M55" i="5" s="1"/>
  <c r="L55" i="5"/>
  <c r="K56" i="5"/>
  <c r="M56" i="5" s="1"/>
  <c r="L56" i="5"/>
  <c r="K57" i="5"/>
  <c r="M57" i="5" s="1"/>
  <c r="L57" i="5"/>
  <c r="K58" i="5"/>
  <c r="M58" i="5" s="1"/>
  <c r="L58" i="5"/>
  <c r="K60" i="5"/>
  <c r="M60" i="5" s="1"/>
  <c r="L60" i="5"/>
  <c r="K61" i="5"/>
  <c r="M61" i="5" s="1"/>
  <c r="L61" i="5"/>
  <c r="K62" i="5"/>
  <c r="M62" i="5" s="1"/>
  <c r="L62" i="5"/>
  <c r="K64" i="5"/>
  <c r="M64" i="5" s="1"/>
  <c r="L64" i="5"/>
  <c r="K65" i="5"/>
  <c r="M65" i="5" s="1"/>
  <c r="L65" i="5"/>
  <c r="K66" i="5"/>
  <c r="M66" i="5" s="1"/>
  <c r="L66" i="5"/>
  <c r="K67" i="5"/>
  <c r="M67" i="5" s="1"/>
  <c r="L67" i="5"/>
  <c r="K68" i="5"/>
  <c r="M68" i="5" s="1"/>
  <c r="L68" i="5"/>
  <c r="K69" i="5"/>
  <c r="M69" i="5" s="1"/>
  <c r="L69" i="5"/>
  <c r="K70" i="5"/>
  <c r="M70" i="5" s="1"/>
  <c r="L70" i="5"/>
  <c r="K71" i="5"/>
  <c r="M71" i="5" s="1"/>
  <c r="L71" i="5"/>
  <c r="K72" i="5"/>
  <c r="M72" i="5" s="1"/>
  <c r="L72" i="5"/>
  <c r="K73" i="5"/>
  <c r="M73" i="5" s="1"/>
  <c r="L73" i="5"/>
  <c r="K74" i="5"/>
  <c r="M74" i="5" s="1"/>
  <c r="L74" i="5"/>
  <c r="K75" i="5"/>
  <c r="M75" i="5" s="1"/>
  <c r="L75" i="5"/>
  <c r="K76" i="5"/>
  <c r="M76" i="5" s="1"/>
  <c r="L76" i="5"/>
  <c r="K77" i="5"/>
  <c r="M77" i="5" s="1"/>
  <c r="L77" i="5"/>
  <c r="K78" i="5"/>
  <c r="M78" i="5" s="1"/>
  <c r="L78" i="5"/>
  <c r="K79" i="5"/>
  <c r="M79" i="5" s="1"/>
  <c r="L79" i="5"/>
  <c r="K80" i="5"/>
  <c r="M80" i="5" s="1"/>
  <c r="L80" i="5"/>
  <c r="K81" i="5"/>
  <c r="M81" i="5" s="1"/>
  <c r="L81" i="5"/>
  <c r="K82" i="5"/>
  <c r="M82" i="5" s="1"/>
  <c r="L82" i="5"/>
  <c r="K83" i="5"/>
  <c r="M83" i="5" s="1"/>
  <c r="L83" i="5"/>
  <c r="K84" i="5"/>
  <c r="M84" i="5" s="1"/>
  <c r="L84" i="5"/>
  <c r="K85" i="5"/>
  <c r="M85" i="5" s="1"/>
  <c r="L85" i="5"/>
  <c r="K86" i="5"/>
  <c r="M86" i="5" s="1"/>
  <c r="L86" i="5"/>
  <c r="K87" i="5"/>
  <c r="M87" i="5" s="1"/>
  <c r="L87" i="5"/>
  <c r="K88" i="5"/>
  <c r="M88" i="5" s="1"/>
  <c r="L88" i="5"/>
  <c r="K89" i="5"/>
  <c r="M89" i="5" s="1"/>
  <c r="L89" i="5"/>
  <c r="K90" i="5"/>
  <c r="M90" i="5" s="1"/>
  <c r="L90" i="5"/>
  <c r="K91" i="5"/>
  <c r="M91" i="5" s="1"/>
  <c r="L91" i="5"/>
  <c r="K92" i="5"/>
  <c r="M92" i="5" s="1"/>
  <c r="L92" i="5"/>
  <c r="K93" i="5"/>
  <c r="M93" i="5" s="1"/>
  <c r="L93" i="5"/>
  <c r="K94" i="5"/>
  <c r="M94" i="5" s="1"/>
  <c r="L94" i="5"/>
  <c r="K95" i="5"/>
  <c r="M95" i="5" s="1"/>
  <c r="L95" i="5"/>
  <c r="K96" i="5"/>
  <c r="M96" i="5" s="1"/>
  <c r="L96" i="5"/>
  <c r="K97" i="5"/>
  <c r="M97" i="5" s="1"/>
  <c r="L97" i="5"/>
  <c r="K98" i="5"/>
  <c r="M98" i="5" s="1"/>
  <c r="L98" i="5"/>
  <c r="K99" i="5"/>
  <c r="M99" i="5" s="1"/>
  <c r="L99" i="5"/>
  <c r="K100" i="5"/>
  <c r="M100" i="5" s="1"/>
  <c r="L100" i="5"/>
  <c r="K101" i="5"/>
  <c r="M101" i="5" s="1"/>
  <c r="L101" i="5"/>
  <c r="K104" i="5"/>
  <c r="M104" i="5" s="1"/>
  <c r="L104" i="5"/>
  <c r="K105" i="5"/>
  <c r="M105" i="5" s="1"/>
  <c r="L105" i="5"/>
  <c r="K107" i="5"/>
  <c r="M107" i="5" s="1"/>
  <c r="L107" i="5"/>
  <c r="K108" i="5"/>
  <c r="M108" i="5" s="1"/>
  <c r="L108" i="5"/>
  <c r="K109" i="5"/>
  <c r="M109" i="5" s="1"/>
  <c r="L109" i="5"/>
  <c r="K111" i="5"/>
  <c r="M111" i="5" s="1"/>
  <c r="L111" i="5"/>
  <c r="K112" i="5"/>
  <c r="M112" i="5" s="1"/>
  <c r="L112" i="5"/>
  <c r="K113" i="5"/>
  <c r="M113" i="5" s="1"/>
  <c r="L113" i="5"/>
  <c r="K114" i="5"/>
  <c r="M114" i="5" s="1"/>
  <c r="L114" i="5"/>
  <c r="K115" i="5"/>
  <c r="M115" i="5" s="1"/>
  <c r="L115" i="5"/>
  <c r="K116" i="5"/>
  <c r="M116" i="5" s="1"/>
  <c r="L116" i="5"/>
  <c r="K117" i="5"/>
  <c r="M117" i="5" s="1"/>
  <c r="L117" i="5"/>
  <c r="K118" i="5"/>
  <c r="M118" i="5" s="1"/>
  <c r="L118" i="5"/>
  <c r="K119" i="5"/>
  <c r="M119" i="5" s="1"/>
  <c r="L119" i="5"/>
  <c r="K120" i="5"/>
  <c r="M120" i="5" s="1"/>
  <c r="L120" i="5"/>
  <c r="K121" i="5"/>
  <c r="M121" i="5" s="1"/>
  <c r="L121" i="5"/>
  <c r="K122" i="5"/>
  <c r="M122" i="5" s="1"/>
  <c r="L122" i="5"/>
  <c r="K123" i="5"/>
  <c r="M123" i="5" s="1"/>
  <c r="L123" i="5"/>
  <c r="K124" i="5"/>
  <c r="M124" i="5" s="1"/>
  <c r="L124" i="5"/>
  <c r="K125" i="5"/>
  <c r="M125" i="5" s="1"/>
  <c r="L125" i="5"/>
  <c r="K126" i="5"/>
  <c r="M126" i="5" s="1"/>
  <c r="L126" i="5"/>
  <c r="K127" i="5"/>
  <c r="M127" i="5" s="1"/>
  <c r="L127" i="5"/>
  <c r="K128" i="5"/>
  <c r="M128" i="5" s="1"/>
  <c r="L128" i="5"/>
  <c r="K129" i="5"/>
  <c r="M129" i="5" s="1"/>
  <c r="L129" i="5"/>
  <c r="K130" i="5"/>
  <c r="M130" i="5" s="1"/>
  <c r="L130" i="5"/>
  <c r="K131" i="5"/>
  <c r="M131" i="5" s="1"/>
  <c r="L131" i="5"/>
  <c r="K132" i="5"/>
  <c r="M132" i="5" s="1"/>
  <c r="L132" i="5"/>
  <c r="K133" i="5"/>
  <c r="M133" i="5" s="1"/>
  <c r="L133" i="5"/>
  <c r="K134" i="5"/>
  <c r="M134" i="5" s="1"/>
  <c r="L134" i="5"/>
  <c r="K135" i="5"/>
  <c r="M135" i="5" s="1"/>
  <c r="L135" i="5"/>
  <c r="K136" i="5"/>
  <c r="M136" i="5" s="1"/>
  <c r="L136" i="5"/>
  <c r="K137" i="5"/>
  <c r="M137" i="5" s="1"/>
  <c r="L137" i="5"/>
  <c r="K138" i="5"/>
  <c r="M138" i="5" s="1"/>
  <c r="L138" i="5"/>
  <c r="K139" i="5"/>
  <c r="M139" i="5" s="1"/>
  <c r="L139" i="5"/>
  <c r="K140" i="5"/>
  <c r="M140" i="5" s="1"/>
  <c r="L140" i="5"/>
  <c r="K141" i="5"/>
  <c r="M141" i="5" s="1"/>
  <c r="L141" i="5"/>
  <c r="K142" i="5"/>
  <c r="M142" i="5" s="1"/>
  <c r="L142" i="5"/>
  <c r="K143" i="5"/>
  <c r="M143" i="5" s="1"/>
  <c r="L143" i="5"/>
  <c r="K144" i="5"/>
  <c r="M144" i="5" s="1"/>
  <c r="L144" i="5"/>
  <c r="K145" i="5"/>
  <c r="M145" i="5" s="1"/>
  <c r="L145" i="5"/>
  <c r="K146" i="5"/>
  <c r="M146" i="5" s="1"/>
  <c r="L146" i="5"/>
  <c r="K147" i="5"/>
  <c r="M147" i="5" s="1"/>
  <c r="L147" i="5"/>
  <c r="K148" i="5"/>
  <c r="M148" i="5" s="1"/>
  <c r="L148" i="5"/>
  <c r="K149" i="5"/>
  <c r="M149" i="5" s="1"/>
  <c r="L149" i="5"/>
  <c r="K150" i="5"/>
  <c r="M150" i="5" s="1"/>
  <c r="L150" i="5"/>
  <c r="K151" i="5"/>
  <c r="M151" i="5" s="1"/>
  <c r="L151" i="5"/>
  <c r="K152" i="5"/>
  <c r="M152" i="5" s="1"/>
  <c r="L152" i="5"/>
  <c r="K153" i="5"/>
  <c r="M153" i="5" s="1"/>
  <c r="L153" i="5"/>
  <c r="K154" i="5"/>
  <c r="M154" i="5" s="1"/>
  <c r="L154" i="5"/>
  <c r="K155" i="5"/>
  <c r="M155" i="5" s="1"/>
  <c r="L155" i="5"/>
  <c r="K156" i="5"/>
  <c r="M156" i="5" s="1"/>
  <c r="L156" i="5"/>
  <c r="K157" i="5"/>
  <c r="M157" i="5" s="1"/>
  <c r="L157" i="5"/>
  <c r="K158" i="5"/>
  <c r="M158" i="5" s="1"/>
  <c r="L158" i="5"/>
  <c r="K159" i="5"/>
  <c r="M159" i="5" s="1"/>
  <c r="L159" i="5"/>
  <c r="K160" i="5"/>
  <c r="M160" i="5" s="1"/>
  <c r="L160" i="5"/>
  <c r="K161" i="5"/>
  <c r="M161" i="5" s="1"/>
  <c r="L161" i="5"/>
  <c r="K162" i="5"/>
  <c r="M162" i="5" s="1"/>
  <c r="L162" i="5"/>
  <c r="K163" i="5"/>
  <c r="M163" i="5" s="1"/>
  <c r="L163" i="5"/>
  <c r="K164" i="5"/>
  <c r="M164" i="5" s="1"/>
  <c r="L164" i="5"/>
  <c r="K165" i="5"/>
  <c r="M165" i="5" s="1"/>
  <c r="L165" i="5"/>
  <c r="K166" i="5"/>
  <c r="M166" i="5" s="1"/>
  <c r="L166" i="5"/>
  <c r="K167" i="5"/>
  <c r="M167" i="5" s="1"/>
  <c r="L167" i="5"/>
  <c r="K168" i="5"/>
  <c r="M168" i="5" s="1"/>
  <c r="L168" i="5"/>
  <c r="K169" i="5"/>
  <c r="M169" i="5" s="1"/>
  <c r="L169" i="5"/>
  <c r="K170" i="5"/>
  <c r="M170" i="5" s="1"/>
  <c r="L170" i="5"/>
  <c r="K171" i="5"/>
  <c r="M171" i="5" s="1"/>
  <c r="L171" i="5"/>
  <c r="K172" i="5"/>
  <c r="M172" i="5" s="1"/>
  <c r="L172" i="5"/>
  <c r="K173" i="5"/>
  <c r="M173" i="5" s="1"/>
  <c r="L173" i="5"/>
  <c r="K174" i="5"/>
  <c r="M174" i="5" s="1"/>
  <c r="L174" i="5"/>
  <c r="K175" i="5"/>
  <c r="M175" i="5" s="1"/>
  <c r="L175" i="5"/>
  <c r="K176" i="5"/>
  <c r="M176" i="5" s="1"/>
  <c r="L176" i="5"/>
  <c r="K177" i="5"/>
  <c r="M177" i="5" s="1"/>
  <c r="L177" i="5"/>
  <c r="K178" i="5"/>
  <c r="M178" i="5" s="1"/>
  <c r="L178" i="5"/>
  <c r="K179" i="5"/>
  <c r="M179" i="5" s="1"/>
  <c r="L179" i="5"/>
  <c r="K180" i="5"/>
  <c r="M180" i="5" s="1"/>
  <c r="L180" i="5"/>
  <c r="K181" i="5"/>
  <c r="M181" i="5" s="1"/>
  <c r="L181" i="5"/>
  <c r="K182" i="5"/>
  <c r="M182" i="5" s="1"/>
  <c r="L182" i="5"/>
  <c r="K183" i="5"/>
  <c r="M183" i="5" s="1"/>
  <c r="L183" i="5"/>
  <c r="K184" i="5"/>
  <c r="M184" i="5" s="1"/>
  <c r="L184" i="5"/>
  <c r="K185" i="5"/>
  <c r="M185" i="5" s="1"/>
  <c r="L185" i="5"/>
  <c r="K186" i="5"/>
  <c r="M186" i="5" s="1"/>
  <c r="L186" i="5"/>
  <c r="K187" i="5"/>
  <c r="M187" i="5" s="1"/>
  <c r="L187" i="5"/>
  <c r="K188" i="5"/>
  <c r="M188" i="5" s="1"/>
  <c r="L188" i="5"/>
  <c r="K189" i="5"/>
  <c r="M189" i="5" s="1"/>
  <c r="L189" i="5"/>
  <c r="K190" i="5"/>
  <c r="M190" i="5" s="1"/>
  <c r="L190" i="5"/>
  <c r="K191" i="5"/>
  <c r="M191" i="5" s="1"/>
  <c r="L191" i="5"/>
  <c r="K192" i="5"/>
  <c r="M192" i="5" s="1"/>
  <c r="L192" i="5"/>
  <c r="K193" i="5"/>
  <c r="M193" i="5" s="1"/>
  <c r="L193" i="5"/>
  <c r="K194" i="5"/>
  <c r="M194" i="5" s="1"/>
  <c r="L194" i="5"/>
  <c r="K195" i="5"/>
  <c r="M195" i="5" s="1"/>
  <c r="L195" i="5"/>
  <c r="K196" i="5"/>
  <c r="M196" i="5" s="1"/>
  <c r="L196" i="5"/>
  <c r="K197" i="5"/>
  <c r="M197" i="5" s="1"/>
  <c r="L197" i="5"/>
  <c r="K198" i="5"/>
  <c r="M198" i="5" s="1"/>
  <c r="L198" i="5"/>
  <c r="K199" i="5"/>
  <c r="M199" i="5" s="1"/>
  <c r="L199" i="5"/>
  <c r="K200" i="5"/>
  <c r="M200" i="5" s="1"/>
  <c r="L200" i="5"/>
  <c r="K201" i="5"/>
  <c r="M201" i="5" s="1"/>
  <c r="L201" i="5"/>
  <c r="K202" i="5"/>
  <c r="M202" i="5" s="1"/>
  <c r="L202" i="5"/>
  <c r="K203" i="5"/>
  <c r="M203" i="5" s="1"/>
  <c r="L203" i="5"/>
  <c r="K204" i="5"/>
  <c r="M204" i="5" s="1"/>
  <c r="L204" i="5"/>
  <c r="K205" i="5"/>
  <c r="M205" i="5" s="1"/>
  <c r="L205" i="5"/>
  <c r="K206" i="5"/>
  <c r="M206" i="5" s="1"/>
  <c r="L206" i="5"/>
  <c r="K207" i="5"/>
  <c r="M207" i="5" s="1"/>
  <c r="L207" i="5"/>
  <c r="K208" i="5"/>
  <c r="M208" i="5" s="1"/>
  <c r="L208" i="5"/>
  <c r="K209" i="5"/>
  <c r="M209" i="5" s="1"/>
  <c r="L209" i="5"/>
  <c r="K210" i="5"/>
  <c r="M210" i="5" s="1"/>
  <c r="L210" i="5"/>
  <c r="K211" i="5"/>
  <c r="M211" i="5" s="1"/>
  <c r="L211" i="5"/>
  <c r="K212" i="5"/>
  <c r="M212" i="5" s="1"/>
  <c r="L212" i="5"/>
  <c r="K213" i="5"/>
  <c r="M213" i="5" s="1"/>
  <c r="L213" i="5"/>
  <c r="K214" i="5"/>
  <c r="M214" i="5" s="1"/>
  <c r="L214" i="5"/>
  <c r="K215" i="5"/>
  <c r="M215" i="5" s="1"/>
  <c r="L215" i="5"/>
  <c r="K216" i="5"/>
  <c r="M216" i="5" s="1"/>
  <c r="L216" i="5"/>
  <c r="K217" i="5"/>
  <c r="M217" i="5" s="1"/>
  <c r="L217" i="5"/>
  <c r="K218" i="5"/>
  <c r="M218" i="5" s="1"/>
  <c r="L218" i="5"/>
  <c r="K219" i="5"/>
  <c r="M219" i="5" s="1"/>
  <c r="L219" i="5"/>
  <c r="K220" i="5"/>
  <c r="M220" i="5" s="1"/>
  <c r="L220" i="5"/>
  <c r="K221" i="5"/>
  <c r="M221" i="5" s="1"/>
  <c r="L221" i="5"/>
  <c r="K222" i="5"/>
  <c r="M222" i="5" s="1"/>
  <c r="L222" i="5"/>
  <c r="K223" i="5"/>
  <c r="M223" i="5" s="1"/>
  <c r="L223" i="5"/>
  <c r="K224" i="5"/>
  <c r="M224" i="5" s="1"/>
  <c r="L224" i="5"/>
  <c r="K225" i="5"/>
  <c r="M225" i="5" s="1"/>
  <c r="L225" i="5"/>
  <c r="K226" i="5"/>
  <c r="M226" i="5" s="1"/>
  <c r="L226" i="5"/>
  <c r="K227" i="5"/>
  <c r="M227" i="5" s="1"/>
  <c r="L227" i="5"/>
  <c r="K228" i="5"/>
  <c r="M228" i="5" s="1"/>
  <c r="L228" i="5"/>
  <c r="K229" i="5"/>
  <c r="M229" i="5" s="1"/>
  <c r="L229" i="5"/>
  <c r="K230" i="5"/>
  <c r="M230" i="5" s="1"/>
  <c r="L230" i="5"/>
  <c r="K231" i="5"/>
  <c r="M231" i="5" s="1"/>
  <c r="L231" i="5"/>
  <c r="K232" i="5"/>
  <c r="M232" i="5" s="1"/>
  <c r="L232" i="5"/>
  <c r="K233" i="5"/>
  <c r="M233" i="5" s="1"/>
  <c r="L233" i="5"/>
  <c r="K234" i="5"/>
  <c r="M234" i="5" s="1"/>
  <c r="L234" i="5"/>
  <c r="K235" i="5"/>
  <c r="M235" i="5" s="1"/>
  <c r="L235" i="5"/>
  <c r="K236" i="5"/>
  <c r="M236" i="5" s="1"/>
  <c r="L236" i="5"/>
  <c r="K237" i="5"/>
  <c r="M237" i="5" s="1"/>
  <c r="L237" i="5"/>
  <c r="K238" i="5"/>
  <c r="M238" i="5" s="1"/>
  <c r="L238" i="5"/>
  <c r="K239" i="5"/>
  <c r="M239" i="5" s="1"/>
  <c r="L239" i="5"/>
  <c r="K240" i="5"/>
  <c r="M240" i="5" s="1"/>
  <c r="L240" i="5"/>
  <c r="K241" i="5"/>
  <c r="M241" i="5" s="1"/>
  <c r="L241" i="5"/>
  <c r="K242" i="5"/>
  <c r="M242" i="5" s="1"/>
  <c r="L242" i="5"/>
  <c r="K243" i="5"/>
  <c r="M243" i="5" s="1"/>
  <c r="L243" i="5"/>
  <c r="K244" i="5"/>
  <c r="M244" i="5" s="1"/>
  <c r="L244" i="5"/>
  <c r="K245" i="5"/>
  <c r="M245" i="5" s="1"/>
  <c r="L245" i="5"/>
  <c r="K246" i="5"/>
  <c r="M246" i="5" s="1"/>
  <c r="L246" i="5"/>
  <c r="K247" i="5"/>
  <c r="M247" i="5" s="1"/>
  <c r="L247" i="5"/>
  <c r="K248" i="5"/>
  <c r="M248" i="5" s="1"/>
  <c r="L248" i="5"/>
  <c r="K249" i="5"/>
  <c r="M249" i="5" s="1"/>
  <c r="L249" i="5"/>
  <c r="K250" i="5"/>
  <c r="M250" i="5" s="1"/>
  <c r="L250" i="5"/>
  <c r="K251" i="5"/>
  <c r="M251" i="5" s="1"/>
  <c r="L251" i="5"/>
  <c r="K252" i="5"/>
  <c r="M252" i="5" s="1"/>
  <c r="L252" i="5"/>
  <c r="K253" i="5"/>
  <c r="M253" i="5" s="1"/>
  <c r="L253" i="5"/>
  <c r="K254" i="5"/>
  <c r="M254" i="5" s="1"/>
  <c r="L254" i="5"/>
  <c r="K255" i="5"/>
  <c r="M255" i="5" s="1"/>
  <c r="L255" i="5"/>
  <c r="K256" i="5"/>
  <c r="M256" i="5" s="1"/>
  <c r="L256" i="5"/>
  <c r="K257" i="5"/>
  <c r="M257" i="5" s="1"/>
  <c r="L257" i="5"/>
  <c r="K258" i="5"/>
  <c r="M258" i="5" s="1"/>
  <c r="L258" i="5"/>
  <c r="K259" i="5"/>
  <c r="M259" i="5" s="1"/>
  <c r="L259" i="5"/>
  <c r="K260" i="5"/>
  <c r="M260" i="5" s="1"/>
  <c r="L260" i="5"/>
  <c r="K261" i="5"/>
  <c r="M261" i="5" s="1"/>
  <c r="L261" i="5"/>
  <c r="K262" i="5"/>
  <c r="M262" i="5" s="1"/>
  <c r="L262" i="5"/>
  <c r="K263" i="5"/>
  <c r="M263" i="5" s="1"/>
  <c r="L263" i="5"/>
  <c r="K264" i="5"/>
  <c r="M264" i="5" s="1"/>
  <c r="L264" i="5"/>
  <c r="K265" i="5"/>
  <c r="M265" i="5" s="1"/>
  <c r="L265" i="5"/>
  <c r="K266" i="5"/>
  <c r="M266" i="5" s="1"/>
  <c r="L266" i="5"/>
  <c r="K267" i="5"/>
  <c r="M267" i="5" s="1"/>
  <c r="L267" i="5"/>
  <c r="K268" i="5"/>
  <c r="M268" i="5" s="1"/>
  <c r="L268" i="5"/>
  <c r="K269" i="5"/>
  <c r="M269" i="5" s="1"/>
  <c r="L269" i="5"/>
  <c r="K270" i="5"/>
  <c r="M270" i="5" s="1"/>
  <c r="L270" i="5"/>
  <c r="K271" i="5"/>
  <c r="M271" i="5" s="1"/>
  <c r="L271" i="5"/>
  <c r="K272" i="5"/>
  <c r="M272" i="5" s="1"/>
  <c r="L272" i="5"/>
  <c r="K273" i="5"/>
  <c r="M273" i="5" s="1"/>
  <c r="L273" i="5"/>
  <c r="K274" i="5"/>
  <c r="M274" i="5" s="1"/>
  <c r="L274" i="5"/>
  <c r="K275" i="5"/>
  <c r="M275" i="5" s="1"/>
  <c r="L275" i="5"/>
  <c r="K276" i="5"/>
  <c r="M276" i="5" s="1"/>
  <c r="L276" i="5"/>
  <c r="K277" i="5"/>
  <c r="M277" i="5" s="1"/>
  <c r="L277" i="5"/>
  <c r="K278" i="5"/>
  <c r="M278" i="5" s="1"/>
  <c r="L278" i="5"/>
  <c r="K279" i="5"/>
  <c r="M279" i="5" s="1"/>
  <c r="L279" i="5"/>
  <c r="K280" i="5"/>
  <c r="M280" i="5" s="1"/>
  <c r="L280" i="5"/>
  <c r="K281" i="5"/>
  <c r="M281" i="5" s="1"/>
  <c r="L281" i="5"/>
  <c r="K282" i="5"/>
  <c r="M282" i="5" s="1"/>
  <c r="L282" i="5"/>
  <c r="K283" i="5"/>
  <c r="M283" i="5" s="1"/>
  <c r="L283" i="5"/>
  <c r="K284" i="5"/>
  <c r="M284" i="5" s="1"/>
  <c r="L284" i="5"/>
  <c r="K285" i="5"/>
  <c r="M285" i="5" s="1"/>
  <c r="L285" i="5"/>
  <c r="K286" i="5"/>
  <c r="M286" i="5" s="1"/>
  <c r="L286" i="5"/>
  <c r="K287" i="5"/>
  <c r="M287" i="5" s="1"/>
  <c r="L287" i="5"/>
  <c r="K288" i="5"/>
  <c r="M288" i="5" s="1"/>
  <c r="L288" i="5"/>
  <c r="K289" i="5"/>
  <c r="M289" i="5" s="1"/>
  <c r="L289" i="5"/>
  <c r="K290" i="5"/>
  <c r="M290" i="5" s="1"/>
  <c r="L290" i="5"/>
  <c r="K291" i="5"/>
  <c r="M291" i="5" s="1"/>
  <c r="L291" i="5"/>
  <c r="K292" i="5"/>
  <c r="M292" i="5" s="1"/>
  <c r="L292" i="5"/>
  <c r="K293" i="5"/>
  <c r="M293" i="5" s="1"/>
  <c r="L293" i="5"/>
  <c r="K294" i="5"/>
  <c r="M294" i="5" s="1"/>
  <c r="L294" i="5"/>
  <c r="K295" i="5"/>
  <c r="M295" i="5" s="1"/>
  <c r="L295" i="5"/>
  <c r="K296" i="5"/>
  <c r="M296" i="5" s="1"/>
  <c r="L296" i="5"/>
  <c r="K297" i="5"/>
  <c r="M297" i="5" s="1"/>
  <c r="L297" i="5"/>
  <c r="K298" i="5"/>
  <c r="M298" i="5" s="1"/>
  <c r="L298" i="5"/>
  <c r="K299" i="5"/>
  <c r="M299" i="5" s="1"/>
  <c r="L299" i="5"/>
  <c r="K300" i="5"/>
  <c r="M300" i="5" s="1"/>
  <c r="L300" i="5"/>
  <c r="K301" i="5"/>
  <c r="M301" i="5" s="1"/>
  <c r="L301" i="5"/>
  <c r="K302" i="5"/>
  <c r="M302" i="5" s="1"/>
  <c r="L302" i="5"/>
  <c r="K303" i="5"/>
  <c r="M303" i="5" s="1"/>
  <c r="L303" i="5"/>
  <c r="K304" i="5"/>
  <c r="M304" i="5" s="1"/>
  <c r="L304" i="5"/>
  <c r="K305" i="5"/>
  <c r="M305" i="5" s="1"/>
  <c r="L305" i="5"/>
  <c r="K306" i="5"/>
  <c r="M306" i="5" s="1"/>
  <c r="L306" i="5"/>
  <c r="K307" i="5"/>
  <c r="M307" i="5" s="1"/>
  <c r="L307" i="5"/>
  <c r="K308" i="5"/>
  <c r="M308" i="5" s="1"/>
  <c r="L308" i="5"/>
  <c r="K309" i="5"/>
  <c r="M309" i="5" s="1"/>
  <c r="L309" i="5"/>
  <c r="K310" i="5"/>
  <c r="M310" i="5" s="1"/>
  <c r="L310" i="5"/>
  <c r="K311" i="5"/>
  <c r="M311" i="5" s="1"/>
  <c r="L311" i="5"/>
  <c r="K312" i="5"/>
  <c r="M312" i="5" s="1"/>
  <c r="L312" i="5"/>
  <c r="K313" i="5"/>
  <c r="M313" i="5" s="1"/>
  <c r="L313" i="5"/>
  <c r="K314" i="5"/>
  <c r="M314" i="5" s="1"/>
  <c r="L314" i="5"/>
  <c r="K315" i="5"/>
  <c r="M315" i="5" s="1"/>
  <c r="L315" i="5"/>
  <c r="K316" i="5"/>
  <c r="M316" i="5" s="1"/>
  <c r="L316" i="5"/>
  <c r="K317" i="5"/>
  <c r="M317" i="5" s="1"/>
  <c r="L317" i="5"/>
  <c r="K318" i="5"/>
  <c r="M318" i="5" s="1"/>
  <c r="L318" i="5"/>
  <c r="K319" i="5"/>
  <c r="M319" i="5" s="1"/>
  <c r="L319" i="5"/>
  <c r="K320" i="5"/>
  <c r="M320" i="5" s="1"/>
  <c r="L320" i="5"/>
  <c r="K321" i="5"/>
  <c r="M321" i="5" s="1"/>
  <c r="L321" i="5"/>
  <c r="K322" i="5"/>
  <c r="M322" i="5" s="1"/>
  <c r="L322" i="5"/>
  <c r="K323" i="5"/>
  <c r="M323" i="5" s="1"/>
  <c r="L323" i="5"/>
  <c r="K324" i="5"/>
  <c r="M324" i="5" s="1"/>
  <c r="L324" i="5"/>
  <c r="K325" i="5"/>
  <c r="M325" i="5" s="1"/>
  <c r="L325" i="5"/>
  <c r="K326" i="5"/>
  <c r="M326" i="5" s="1"/>
  <c r="L326" i="5"/>
  <c r="K327" i="5"/>
  <c r="M327" i="5" s="1"/>
  <c r="L327" i="5"/>
  <c r="K328" i="5"/>
  <c r="M328" i="5" s="1"/>
  <c r="L328" i="5"/>
  <c r="K329" i="5"/>
  <c r="M329" i="5" s="1"/>
  <c r="L329" i="5"/>
  <c r="K330" i="5"/>
  <c r="M330" i="5" s="1"/>
  <c r="L330" i="5"/>
  <c r="K331" i="5"/>
  <c r="M331" i="5" s="1"/>
  <c r="L331" i="5"/>
  <c r="K332" i="5"/>
  <c r="M332" i="5" s="1"/>
  <c r="L332" i="5"/>
  <c r="K333" i="5"/>
  <c r="M333" i="5" s="1"/>
  <c r="L333" i="5"/>
  <c r="K334" i="5"/>
  <c r="M334" i="5" s="1"/>
  <c r="L334" i="5"/>
  <c r="K335" i="5"/>
  <c r="M335" i="5" s="1"/>
  <c r="L335" i="5"/>
  <c r="K336" i="5"/>
  <c r="M336" i="5" s="1"/>
  <c r="L336" i="5"/>
  <c r="K337" i="5"/>
  <c r="M337" i="5" s="1"/>
  <c r="L337" i="5"/>
  <c r="K338" i="5"/>
  <c r="M338" i="5" s="1"/>
  <c r="L338" i="5"/>
  <c r="K339" i="5"/>
  <c r="M339" i="5" s="1"/>
  <c r="L339" i="5"/>
  <c r="K340" i="5"/>
  <c r="M340" i="5" s="1"/>
  <c r="L340" i="5"/>
  <c r="K341" i="5"/>
  <c r="M341" i="5" s="1"/>
  <c r="L341" i="5"/>
  <c r="K342" i="5"/>
  <c r="M342" i="5" s="1"/>
  <c r="L342" i="5"/>
  <c r="K343" i="5"/>
  <c r="M343" i="5" s="1"/>
  <c r="L343" i="5"/>
  <c r="K344" i="5"/>
  <c r="M344" i="5" s="1"/>
  <c r="L344" i="5"/>
  <c r="K345" i="5"/>
  <c r="M345" i="5" s="1"/>
  <c r="L345" i="5"/>
  <c r="K346" i="5"/>
  <c r="M346" i="5" s="1"/>
  <c r="L346" i="5"/>
  <c r="K347" i="5"/>
  <c r="M347" i="5" s="1"/>
  <c r="L347" i="5"/>
  <c r="K348" i="5"/>
  <c r="M348" i="5" s="1"/>
  <c r="L348" i="5"/>
  <c r="K349" i="5"/>
  <c r="M349" i="5" s="1"/>
  <c r="L349" i="5"/>
  <c r="K350" i="5"/>
  <c r="M350" i="5" s="1"/>
  <c r="L350" i="5"/>
  <c r="K351" i="5"/>
  <c r="M351" i="5" s="1"/>
  <c r="L351" i="5"/>
  <c r="K352" i="5"/>
  <c r="M352" i="5" s="1"/>
  <c r="L352" i="5"/>
  <c r="K353" i="5"/>
  <c r="M353" i="5" s="1"/>
  <c r="L353" i="5"/>
  <c r="K354" i="5"/>
  <c r="M354" i="5" s="1"/>
  <c r="L354" i="5"/>
  <c r="K355" i="5"/>
  <c r="M355" i="5" s="1"/>
  <c r="L355" i="5"/>
  <c r="K356" i="5"/>
  <c r="M356" i="5" s="1"/>
  <c r="L356" i="5"/>
  <c r="K357" i="5"/>
  <c r="M357" i="5" s="1"/>
  <c r="L357" i="5"/>
  <c r="K358" i="5"/>
  <c r="M358" i="5" s="1"/>
  <c r="L358" i="5"/>
  <c r="K359" i="5"/>
  <c r="M359" i="5" s="1"/>
  <c r="L359" i="5"/>
  <c r="K360" i="5"/>
  <c r="M360" i="5" s="1"/>
  <c r="L360" i="5"/>
  <c r="K361" i="5"/>
  <c r="M361" i="5" s="1"/>
  <c r="L361" i="5"/>
  <c r="K362" i="5"/>
  <c r="M362" i="5" s="1"/>
  <c r="L362" i="5"/>
  <c r="K363" i="5"/>
  <c r="M363" i="5" s="1"/>
  <c r="L363" i="5"/>
  <c r="K364" i="5"/>
  <c r="M364" i="5" s="1"/>
  <c r="L364" i="5"/>
  <c r="K365" i="5"/>
  <c r="M365" i="5" s="1"/>
  <c r="L365" i="5"/>
  <c r="K366" i="5"/>
  <c r="M366" i="5" s="1"/>
  <c r="L366" i="5"/>
  <c r="K367" i="5"/>
  <c r="M367" i="5" s="1"/>
  <c r="L367" i="5"/>
  <c r="K368" i="5"/>
  <c r="M368" i="5" s="1"/>
  <c r="L368" i="5"/>
  <c r="K369" i="5"/>
  <c r="M369" i="5" s="1"/>
  <c r="L369" i="5"/>
  <c r="K370" i="5"/>
  <c r="M370" i="5" s="1"/>
  <c r="L370" i="5"/>
  <c r="K371" i="5"/>
  <c r="M371" i="5" s="1"/>
  <c r="L371" i="5"/>
  <c r="K372" i="5"/>
  <c r="M372" i="5" s="1"/>
  <c r="L372" i="5"/>
  <c r="K373" i="5"/>
  <c r="M373" i="5" s="1"/>
  <c r="L373" i="5"/>
  <c r="K374" i="5"/>
  <c r="M374" i="5" s="1"/>
  <c r="L374" i="5"/>
  <c r="K375" i="5"/>
  <c r="M375" i="5" s="1"/>
  <c r="L375" i="5"/>
  <c r="K376" i="5"/>
  <c r="M376" i="5" s="1"/>
  <c r="L376" i="5"/>
  <c r="K377" i="5"/>
  <c r="M377" i="5" s="1"/>
  <c r="L377" i="5"/>
  <c r="K378" i="5"/>
  <c r="M378" i="5" s="1"/>
  <c r="L378" i="5"/>
  <c r="K379" i="5"/>
  <c r="M379" i="5" s="1"/>
  <c r="L379" i="5"/>
  <c r="K380" i="5"/>
  <c r="M380" i="5" s="1"/>
  <c r="L380" i="5"/>
  <c r="K381" i="5"/>
  <c r="M381" i="5" s="1"/>
  <c r="L381" i="5"/>
  <c r="K382" i="5"/>
  <c r="M382" i="5" s="1"/>
  <c r="L382" i="5"/>
  <c r="K383" i="5"/>
  <c r="M383" i="5" s="1"/>
  <c r="L383" i="5"/>
  <c r="K384" i="5"/>
  <c r="M384" i="5" s="1"/>
  <c r="L384" i="5"/>
  <c r="K385" i="5"/>
  <c r="M385" i="5" s="1"/>
  <c r="L385" i="5"/>
  <c r="K386" i="5"/>
  <c r="M386" i="5" s="1"/>
  <c r="L386" i="5"/>
  <c r="K387" i="5"/>
  <c r="M387" i="5" s="1"/>
  <c r="L387" i="5"/>
  <c r="K388" i="5"/>
  <c r="M388" i="5" s="1"/>
  <c r="L388" i="5"/>
  <c r="K389" i="5"/>
  <c r="M389" i="5" s="1"/>
  <c r="L389" i="5"/>
  <c r="K390" i="5"/>
  <c r="M390" i="5" s="1"/>
  <c r="L390" i="5"/>
  <c r="K391" i="5"/>
  <c r="M391" i="5" s="1"/>
  <c r="L391" i="5"/>
  <c r="K392" i="5"/>
  <c r="M392" i="5" s="1"/>
  <c r="L392" i="5"/>
  <c r="K393" i="5"/>
  <c r="M393" i="5" s="1"/>
  <c r="L393" i="5"/>
  <c r="K394" i="5"/>
  <c r="M394" i="5" s="1"/>
  <c r="L394" i="5"/>
  <c r="K395" i="5"/>
  <c r="M395" i="5" s="1"/>
  <c r="L395" i="5"/>
  <c r="K396" i="5"/>
  <c r="M396" i="5" s="1"/>
  <c r="L396" i="5"/>
  <c r="K397" i="5"/>
  <c r="M397" i="5" s="1"/>
  <c r="L397" i="5"/>
  <c r="K398" i="5"/>
  <c r="M398" i="5" s="1"/>
  <c r="L398" i="5"/>
  <c r="K399" i="5"/>
  <c r="M399" i="5" s="1"/>
  <c r="L399" i="5"/>
  <c r="K400" i="5"/>
  <c r="M400" i="5" s="1"/>
  <c r="L400" i="5"/>
  <c r="K401" i="5"/>
  <c r="M401" i="5" s="1"/>
  <c r="L401" i="5"/>
  <c r="K402" i="5"/>
  <c r="M402" i="5" s="1"/>
  <c r="L402" i="5"/>
  <c r="K403" i="5"/>
  <c r="M403" i="5" s="1"/>
  <c r="L403" i="5"/>
  <c r="K404" i="5"/>
  <c r="M404" i="5" s="1"/>
  <c r="L404" i="5"/>
  <c r="K405" i="5"/>
  <c r="M405" i="5" s="1"/>
  <c r="L405" i="5"/>
  <c r="K406" i="5"/>
  <c r="M406" i="5" s="1"/>
  <c r="L406" i="5"/>
  <c r="K407" i="5"/>
  <c r="M407" i="5" s="1"/>
  <c r="L407" i="5"/>
  <c r="K408" i="5"/>
  <c r="M408" i="5" s="1"/>
  <c r="L408" i="5"/>
  <c r="K409" i="5"/>
  <c r="M409" i="5" s="1"/>
  <c r="L409" i="5"/>
  <c r="K410" i="5"/>
  <c r="M410" i="5" s="1"/>
  <c r="L410" i="5"/>
  <c r="K411" i="5"/>
  <c r="M411" i="5" s="1"/>
  <c r="L411" i="5"/>
  <c r="K412" i="5"/>
  <c r="M412" i="5" s="1"/>
  <c r="L412" i="5"/>
  <c r="K413" i="5"/>
  <c r="M413" i="5" s="1"/>
  <c r="L413" i="5"/>
  <c r="K414" i="5"/>
  <c r="M414" i="5" s="1"/>
  <c r="L414" i="5"/>
  <c r="K415" i="5"/>
  <c r="M415" i="5" s="1"/>
  <c r="L415" i="5"/>
  <c r="K416" i="5"/>
  <c r="M416" i="5" s="1"/>
  <c r="L416" i="5"/>
  <c r="K417" i="5"/>
  <c r="M417" i="5" s="1"/>
  <c r="L417" i="5"/>
  <c r="K418" i="5"/>
  <c r="M418" i="5" s="1"/>
  <c r="L418" i="5"/>
  <c r="K419" i="5"/>
  <c r="M419" i="5" s="1"/>
  <c r="L419" i="5"/>
  <c r="K420" i="5"/>
  <c r="M420" i="5" s="1"/>
  <c r="L420" i="5"/>
  <c r="K421" i="5"/>
  <c r="M421" i="5" s="1"/>
  <c r="L421" i="5"/>
  <c r="K422" i="5"/>
  <c r="M422" i="5" s="1"/>
  <c r="L422" i="5"/>
  <c r="K423" i="5"/>
  <c r="M423" i="5" s="1"/>
  <c r="L423" i="5"/>
  <c r="K424" i="5"/>
  <c r="M424" i="5" s="1"/>
  <c r="L424" i="5"/>
  <c r="K425" i="5"/>
  <c r="M425" i="5" s="1"/>
  <c r="L425" i="5"/>
  <c r="K426" i="5"/>
  <c r="M426" i="5" s="1"/>
  <c r="L426" i="5"/>
  <c r="K427" i="5"/>
  <c r="M427" i="5" s="1"/>
  <c r="L427" i="5"/>
  <c r="K428" i="5"/>
  <c r="M428" i="5" s="1"/>
  <c r="L428" i="5"/>
  <c r="K429" i="5"/>
  <c r="M429" i="5" s="1"/>
  <c r="L429" i="5"/>
  <c r="K430" i="5"/>
  <c r="M430" i="5" s="1"/>
  <c r="L430" i="5"/>
  <c r="K431" i="5"/>
  <c r="M431" i="5" s="1"/>
  <c r="L431" i="5"/>
  <c r="K432" i="5"/>
  <c r="M432" i="5" s="1"/>
  <c r="L432" i="5"/>
  <c r="K433" i="5"/>
  <c r="M433" i="5" s="1"/>
  <c r="L433" i="5"/>
  <c r="K434" i="5"/>
  <c r="M434" i="5" s="1"/>
  <c r="L434" i="5"/>
  <c r="K435" i="5"/>
  <c r="M435" i="5" s="1"/>
  <c r="L435" i="5"/>
  <c r="K436" i="5"/>
  <c r="M436" i="5" s="1"/>
  <c r="L436" i="5"/>
  <c r="K437" i="5"/>
  <c r="M437" i="5" s="1"/>
  <c r="L437" i="5"/>
  <c r="K438" i="5"/>
  <c r="M438" i="5" s="1"/>
  <c r="L438" i="5"/>
  <c r="K439" i="5"/>
  <c r="M439" i="5" s="1"/>
  <c r="L439" i="5"/>
  <c r="K440" i="5"/>
  <c r="M440" i="5" s="1"/>
  <c r="L440" i="5"/>
  <c r="K441" i="5"/>
  <c r="M441" i="5" s="1"/>
  <c r="L441" i="5"/>
  <c r="K442" i="5"/>
  <c r="M442" i="5" s="1"/>
  <c r="L442" i="5"/>
  <c r="K443" i="5"/>
  <c r="M443" i="5" s="1"/>
  <c r="L443" i="5"/>
  <c r="K444" i="5"/>
  <c r="M444" i="5" s="1"/>
  <c r="L444" i="5"/>
  <c r="K445" i="5"/>
  <c r="M445" i="5" s="1"/>
  <c r="L445" i="5"/>
  <c r="K446" i="5"/>
  <c r="M446" i="5" s="1"/>
  <c r="L446" i="5"/>
  <c r="K447" i="5"/>
  <c r="M447" i="5" s="1"/>
  <c r="L447" i="5"/>
  <c r="K448" i="5"/>
  <c r="M448" i="5" s="1"/>
  <c r="L448" i="5"/>
  <c r="K449" i="5"/>
  <c r="M449" i="5" s="1"/>
  <c r="L449" i="5"/>
  <c r="K450" i="5"/>
  <c r="M450" i="5" s="1"/>
  <c r="L450" i="5"/>
  <c r="K451" i="5"/>
  <c r="M451" i="5" s="1"/>
  <c r="L451" i="5"/>
  <c r="K452" i="5"/>
  <c r="M452" i="5" s="1"/>
  <c r="L452" i="5"/>
  <c r="K453" i="5"/>
  <c r="M453" i="5" s="1"/>
  <c r="L453" i="5"/>
  <c r="K454" i="5"/>
  <c r="M454" i="5" s="1"/>
  <c r="L454" i="5"/>
  <c r="K455" i="5"/>
  <c r="M455" i="5" s="1"/>
  <c r="L455" i="5"/>
  <c r="K456" i="5"/>
  <c r="M456" i="5" s="1"/>
  <c r="L456" i="5"/>
  <c r="K457" i="5"/>
  <c r="M457" i="5" s="1"/>
  <c r="L457" i="5"/>
  <c r="K458" i="5"/>
  <c r="M458" i="5" s="1"/>
  <c r="L458" i="5"/>
  <c r="K459" i="5"/>
  <c r="M459" i="5" s="1"/>
  <c r="L459" i="5"/>
  <c r="K460" i="5"/>
  <c r="M460" i="5" s="1"/>
  <c r="L460" i="5"/>
  <c r="K461" i="5"/>
  <c r="M461" i="5" s="1"/>
  <c r="L461" i="5"/>
  <c r="K462" i="5"/>
  <c r="M462" i="5" s="1"/>
  <c r="L462" i="5"/>
  <c r="K463" i="5"/>
  <c r="M463" i="5" s="1"/>
  <c r="L463" i="5"/>
  <c r="K464" i="5"/>
  <c r="M464" i="5" s="1"/>
  <c r="L464" i="5"/>
  <c r="K465" i="5"/>
  <c r="M465" i="5" s="1"/>
  <c r="L465" i="5"/>
  <c r="K466" i="5"/>
  <c r="M466" i="5" s="1"/>
  <c r="L466" i="5"/>
  <c r="K467" i="5"/>
  <c r="M467" i="5" s="1"/>
  <c r="L467" i="5"/>
  <c r="K468" i="5"/>
  <c r="M468" i="5" s="1"/>
  <c r="L468" i="5"/>
  <c r="K469" i="5"/>
  <c r="M469" i="5" s="1"/>
  <c r="L469" i="5"/>
  <c r="K470" i="5"/>
  <c r="M470" i="5" s="1"/>
  <c r="L470" i="5"/>
  <c r="K471" i="5"/>
  <c r="M471" i="5" s="1"/>
  <c r="L471" i="5"/>
  <c r="K472" i="5"/>
  <c r="M472" i="5" s="1"/>
  <c r="L472" i="5"/>
  <c r="K473" i="5"/>
  <c r="M473" i="5" s="1"/>
  <c r="L473" i="5"/>
  <c r="K474" i="5"/>
  <c r="M474" i="5" s="1"/>
  <c r="L474" i="5"/>
  <c r="K475" i="5"/>
  <c r="M475" i="5" s="1"/>
  <c r="L475" i="5"/>
  <c r="K476" i="5"/>
  <c r="M476" i="5" s="1"/>
  <c r="L476" i="5"/>
  <c r="K477" i="5"/>
  <c r="M477" i="5" s="1"/>
  <c r="L477" i="5"/>
  <c r="K478" i="5"/>
  <c r="M478" i="5" s="1"/>
  <c r="L478" i="5"/>
  <c r="K479" i="5"/>
  <c r="M479" i="5" s="1"/>
  <c r="L479" i="5"/>
  <c r="K480" i="5"/>
  <c r="M480" i="5" s="1"/>
  <c r="L480" i="5"/>
  <c r="K481" i="5"/>
  <c r="M481" i="5" s="1"/>
  <c r="L481" i="5"/>
  <c r="K482" i="5"/>
  <c r="M482" i="5" s="1"/>
  <c r="L482" i="5"/>
  <c r="K483" i="5"/>
  <c r="M483" i="5" s="1"/>
  <c r="L483" i="5"/>
  <c r="K484" i="5"/>
  <c r="M484" i="5" s="1"/>
  <c r="L484" i="5"/>
  <c r="K485" i="5"/>
  <c r="M485" i="5" s="1"/>
  <c r="L485" i="5"/>
  <c r="K486" i="5"/>
  <c r="M486" i="5" s="1"/>
  <c r="L486" i="5"/>
  <c r="K487" i="5"/>
  <c r="M487" i="5" s="1"/>
  <c r="L487" i="5"/>
  <c r="K488" i="5"/>
  <c r="M488" i="5" s="1"/>
  <c r="L488" i="5"/>
  <c r="K489" i="5"/>
  <c r="M489" i="5" s="1"/>
  <c r="L489" i="5"/>
  <c r="K490" i="5"/>
  <c r="M490" i="5" s="1"/>
  <c r="L490" i="5"/>
  <c r="K491" i="5"/>
  <c r="M491" i="5" s="1"/>
  <c r="L491" i="5"/>
  <c r="K492" i="5"/>
  <c r="M492" i="5" s="1"/>
  <c r="L492" i="5"/>
  <c r="K493" i="5"/>
  <c r="M493" i="5" s="1"/>
  <c r="L493" i="5"/>
  <c r="K494" i="5"/>
  <c r="M494" i="5" s="1"/>
  <c r="L494" i="5"/>
  <c r="K495" i="5"/>
  <c r="M495" i="5" s="1"/>
  <c r="L495" i="5"/>
  <c r="K496" i="5"/>
  <c r="M496" i="5" s="1"/>
  <c r="L496" i="5"/>
  <c r="K497" i="5"/>
  <c r="M497" i="5" s="1"/>
  <c r="L497" i="5"/>
  <c r="K498" i="5"/>
  <c r="M498" i="5" s="1"/>
  <c r="L498" i="5"/>
  <c r="K499" i="5"/>
  <c r="M499" i="5" s="1"/>
  <c r="L499" i="5"/>
  <c r="K500" i="5"/>
  <c r="M500" i="5" s="1"/>
  <c r="L500" i="5"/>
  <c r="K501" i="5"/>
  <c r="M501" i="5" s="1"/>
  <c r="L501" i="5"/>
  <c r="K502" i="5"/>
  <c r="M502" i="5" s="1"/>
  <c r="L502" i="5"/>
  <c r="K503" i="5"/>
  <c r="M503" i="5" s="1"/>
  <c r="L503" i="5"/>
  <c r="K504" i="5"/>
  <c r="M504" i="5" s="1"/>
  <c r="L504" i="5"/>
  <c r="K505" i="5"/>
  <c r="M505" i="5" s="1"/>
  <c r="L505" i="5"/>
  <c r="K506" i="5"/>
  <c r="M506" i="5" s="1"/>
  <c r="L506" i="5"/>
  <c r="K507" i="5"/>
  <c r="M507" i="5" s="1"/>
  <c r="L507" i="5"/>
  <c r="K508" i="5"/>
  <c r="M508" i="5" s="1"/>
  <c r="L508" i="5"/>
  <c r="K509" i="5"/>
  <c r="M509" i="5" s="1"/>
  <c r="L509" i="5"/>
  <c r="K510" i="5"/>
  <c r="M510" i="5" s="1"/>
  <c r="L510" i="5"/>
  <c r="K511" i="5"/>
  <c r="M511" i="5" s="1"/>
  <c r="L511" i="5"/>
  <c r="K512" i="5"/>
  <c r="M512" i="5" s="1"/>
  <c r="L512" i="5"/>
  <c r="K513" i="5"/>
  <c r="M513" i="5" s="1"/>
  <c r="L513" i="5"/>
  <c r="K514" i="5"/>
  <c r="M514" i="5" s="1"/>
  <c r="L514" i="5"/>
  <c r="K515" i="5"/>
  <c r="M515" i="5" s="1"/>
  <c r="L515" i="5"/>
  <c r="K516" i="5"/>
  <c r="M516" i="5" s="1"/>
  <c r="L516" i="5"/>
  <c r="K517" i="5"/>
  <c r="M517" i="5" s="1"/>
  <c r="L517" i="5"/>
  <c r="K518" i="5"/>
  <c r="M518" i="5" s="1"/>
  <c r="L518" i="5"/>
  <c r="K519" i="5"/>
  <c r="M519" i="5" s="1"/>
  <c r="L519" i="5"/>
  <c r="K520" i="5"/>
  <c r="M520" i="5" s="1"/>
  <c r="L520" i="5"/>
  <c r="K521" i="5"/>
  <c r="M521" i="5" s="1"/>
  <c r="L521" i="5"/>
  <c r="K522" i="5"/>
  <c r="M522" i="5" s="1"/>
  <c r="L522" i="5"/>
  <c r="K523" i="5"/>
  <c r="M523" i="5" s="1"/>
  <c r="L523" i="5"/>
  <c r="K524" i="5"/>
  <c r="M524" i="5" s="1"/>
  <c r="L524" i="5"/>
  <c r="K525" i="5"/>
  <c r="M525" i="5" s="1"/>
  <c r="L525" i="5"/>
  <c r="K526" i="5"/>
  <c r="M526" i="5" s="1"/>
  <c r="L526" i="5"/>
  <c r="K527" i="5"/>
  <c r="M527" i="5" s="1"/>
  <c r="L527" i="5"/>
  <c r="K528" i="5"/>
  <c r="M528" i="5" s="1"/>
  <c r="L528" i="5"/>
  <c r="K529" i="5"/>
  <c r="M529" i="5" s="1"/>
  <c r="L529" i="5"/>
  <c r="K530" i="5"/>
  <c r="M530" i="5" s="1"/>
  <c r="L530" i="5"/>
  <c r="K531" i="5"/>
  <c r="M531" i="5" s="1"/>
  <c r="L531" i="5"/>
  <c r="K532" i="5"/>
  <c r="M532" i="5" s="1"/>
  <c r="L532" i="5"/>
  <c r="K533" i="5"/>
  <c r="M533" i="5" s="1"/>
  <c r="L533" i="5"/>
  <c r="K534" i="5"/>
  <c r="M534" i="5" s="1"/>
  <c r="L534" i="5"/>
  <c r="K535" i="5"/>
  <c r="M535" i="5" s="1"/>
  <c r="L535" i="5"/>
  <c r="K536" i="5"/>
  <c r="M536" i="5" s="1"/>
  <c r="L536" i="5"/>
  <c r="K537" i="5"/>
  <c r="M537" i="5" s="1"/>
  <c r="L537" i="5"/>
  <c r="K538" i="5"/>
  <c r="M538" i="5" s="1"/>
  <c r="L538" i="5"/>
  <c r="K539" i="5"/>
  <c r="M539" i="5" s="1"/>
  <c r="L539" i="5"/>
  <c r="K540" i="5"/>
  <c r="M540" i="5" s="1"/>
  <c r="L540" i="5"/>
  <c r="K541" i="5"/>
  <c r="M541" i="5" s="1"/>
  <c r="L541" i="5"/>
  <c r="K542" i="5"/>
  <c r="M542" i="5" s="1"/>
  <c r="L542" i="5"/>
  <c r="K543" i="5"/>
  <c r="M543" i="5" s="1"/>
  <c r="L543" i="5"/>
  <c r="K544" i="5"/>
  <c r="M544" i="5" s="1"/>
  <c r="L544" i="5"/>
  <c r="K545" i="5"/>
  <c r="M545" i="5" s="1"/>
  <c r="L545" i="5"/>
  <c r="K546" i="5"/>
  <c r="M546" i="5" s="1"/>
  <c r="L546" i="5"/>
  <c r="K547" i="5"/>
  <c r="M547" i="5" s="1"/>
  <c r="L547" i="5"/>
  <c r="K548" i="5"/>
  <c r="M548" i="5" s="1"/>
  <c r="L548" i="5"/>
  <c r="K549" i="5"/>
  <c r="M549" i="5" s="1"/>
  <c r="L549" i="5"/>
  <c r="K550" i="5"/>
  <c r="M550" i="5" s="1"/>
  <c r="L550" i="5"/>
  <c r="K551" i="5"/>
  <c r="M551" i="5" s="1"/>
  <c r="L551" i="5"/>
  <c r="K552" i="5"/>
  <c r="M552" i="5" s="1"/>
  <c r="L552" i="5"/>
  <c r="K553" i="5"/>
  <c r="M553" i="5" s="1"/>
  <c r="L553" i="5"/>
  <c r="K554" i="5"/>
  <c r="M554" i="5" s="1"/>
  <c r="L554" i="5"/>
  <c r="K555" i="5"/>
  <c r="M555" i="5" s="1"/>
  <c r="L555" i="5"/>
  <c r="K556" i="5"/>
  <c r="M556" i="5" s="1"/>
  <c r="L556" i="5"/>
  <c r="K557" i="5"/>
  <c r="M557" i="5" s="1"/>
  <c r="L557" i="5"/>
  <c r="K558" i="5"/>
  <c r="M558" i="5" s="1"/>
  <c r="L558" i="5"/>
  <c r="K559" i="5"/>
  <c r="M559" i="5" s="1"/>
  <c r="L559" i="5"/>
  <c r="K560" i="5"/>
  <c r="M560" i="5" s="1"/>
  <c r="L560" i="5"/>
  <c r="K561" i="5"/>
  <c r="M561" i="5" s="1"/>
  <c r="L561" i="5"/>
  <c r="K562" i="5"/>
  <c r="M562" i="5" s="1"/>
  <c r="L562" i="5"/>
  <c r="K563" i="5"/>
  <c r="M563" i="5" s="1"/>
  <c r="L563" i="5"/>
  <c r="K564" i="5"/>
  <c r="M564" i="5" s="1"/>
  <c r="L564" i="5"/>
  <c r="K565" i="5"/>
  <c r="M565" i="5" s="1"/>
  <c r="L565" i="5"/>
  <c r="K566" i="5"/>
  <c r="M566" i="5" s="1"/>
  <c r="L566" i="5"/>
  <c r="K567" i="5"/>
  <c r="M567" i="5" s="1"/>
  <c r="L567" i="5"/>
  <c r="K568" i="5"/>
  <c r="M568" i="5" s="1"/>
  <c r="L568" i="5"/>
  <c r="K569" i="5"/>
  <c r="M569" i="5" s="1"/>
  <c r="L569" i="5"/>
  <c r="K570" i="5"/>
  <c r="M570" i="5" s="1"/>
  <c r="L570" i="5"/>
  <c r="K571" i="5"/>
  <c r="M571" i="5" s="1"/>
  <c r="L571" i="5"/>
  <c r="K572" i="5"/>
  <c r="M572" i="5" s="1"/>
  <c r="L572" i="5"/>
  <c r="K573" i="5"/>
  <c r="M573" i="5" s="1"/>
  <c r="L573" i="5"/>
  <c r="K574" i="5"/>
  <c r="M574" i="5" s="1"/>
  <c r="L574" i="5"/>
  <c r="K575" i="5"/>
  <c r="M575" i="5" s="1"/>
  <c r="L575" i="5"/>
  <c r="K576" i="5"/>
  <c r="M576" i="5" s="1"/>
  <c r="L576" i="5"/>
  <c r="K577" i="5"/>
  <c r="M577" i="5" s="1"/>
  <c r="L577" i="5"/>
  <c r="K578" i="5"/>
  <c r="M578" i="5" s="1"/>
  <c r="L578" i="5"/>
  <c r="K579" i="5"/>
  <c r="M579" i="5" s="1"/>
  <c r="L579" i="5"/>
  <c r="K580" i="5"/>
  <c r="M580" i="5" s="1"/>
  <c r="L580" i="5"/>
  <c r="K581" i="5"/>
  <c r="M581" i="5" s="1"/>
  <c r="L581" i="5"/>
  <c r="K582" i="5"/>
  <c r="M582" i="5" s="1"/>
  <c r="L582" i="5"/>
  <c r="K583" i="5"/>
  <c r="M583" i="5" s="1"/>
  <c r="L583" i="5"/>
  <c r="K584" i="5"/>
  <c r="M584" i="5" s="1"/>
  <c r="L584" i="5"/>
  <c r="K585" i="5"/>
  <c r="M585" i="5" s="1"/>
  <c r="L585" i="5"/>
  <c r="K586" i="5"/>
  <c r="M586" i="5" s="1"/>
  <c r="L586" i="5"/>
  <c r="K587" i="5"/>
  <c r="M587" i="5" s="1"/>
  <c r="L587" i="5"/>
  <c r="K588" i="5"/>
  <c r="M588" i="5" s="1"/>
  <c r="L588" i="5"/>
  <c r="K589" i="5"/>
  <c r="M589" i="5" s="1"/>
  <c r="L589" i="5"/>
  <c r="K590" i="5"/>
  <c r="M590" i="5" s="1"/>
  <c r="L590" i="5"/>
  <c r="K591" i="5"/>
  <c r="M591" i="5" s="1"/>
  <c r="L591" i="5"/>
  <c r="K592" i="5"/>
  <c r="M592" i="5" s="1"/>
  <c r="L592" i="5"/>
  <c r="K593" i="5"/>
  <c r="M593" i="5" s="1"/>
  <c r="L593" i="5"/>
  <c r="K594" i="5"/>
  <c r="M594" i="5" s="1"/>
  <c r="L594" i="5"/>
  <c r="K595" i="5"/>
  <c r="M595" i="5" s="1"/>
  <c r="L595" i="5"/>
  <c r="K596" i="5"/>
  <c r="M596" i="5" s="1"/>
  <c r="L596" i="5"/>
  <c r="K597" i="5"/>
  <c r="M597" i="5" s="1"/>
  <c r="L597" i="5"/>
  <c r="K598" i="5"/>
  <c r="M598" i="5" s="1"/>
  <c r="L598" i="5"/>
  <c r="K599" i="5"/>
  <c r="M599" i="5" s="1"/>
  <c r="L599" i="5"/>
  <c r="K600" i="5"/>
  <c r="M600" i="5" s="1"/>
  <c r="L600" i="5"/>
  <c r="K601" i="5"/>
  <c r="M601" i="5" s="1"/>
  <c r="L601" i="5"/>
  <c r="K602" i="5"/>
  <c r="M602" i="5" s="1"/>
  <c r="L602" i="5"/>
  <c r="K603" i="5"/>
  <c r="M603" i="5" s="1"/>
  <c r="L603" i="5"/>
  <c r="K604" i="5"/>
  <c r="M604" i="5" s="1"/>
  <c r="L604" i="5"/>
  <c r="K605" i="5"/>
  <c r="M605" i="5" s="1"/>
  <c r="L605" i="5"/>
  <c r="K606" i="5"/>
  <c r="M606" i="5" s="1"/>
  <c r="L606" i="5"/>
  <c r="K607" i="5"/>
  <c r="M607" i="5" s="1"/>
  <c r="L607" i="5"/>
  <c r="K608" i="5"/>
  <c r="M608" i="5" s="1"/>
  <c r="L608" i="5"/>
  <c r="K609" i="5"/>
  <c r="M609" i="5" s="1"/>
  <c r="L609" i="5"/>
  <c r="K610" i="5"/>
  <c r="M610" i="5" s="1"/>
  <c r="L610" i="5"/>
  <c r="K611" i="5"/>
  <c r="M611" i="5" s="1"/>
  <c r="L611" i="5"/>
  <c r="K612" i="5"/>
  <c r="M612" i="5" s="1"/>
  <c r="L612" i="5"/>
  <c r="K613" i="5"/>
  <c r="M613" i="5" s="1"/>
  <c r="L613" i="5"/>
  <c r="K614" i="5"/>
  <c r="M614" i="5" s="1"/>
  <c r="L614" i="5"/>
  <c r="K615" i="5"/>
  <c r="M615" i="5" s="1"/>
  <c r="L615" i="5"/>
  <c r="K616" i="5"/>
  <c r="M616" i="5" s="1"/>
  <c r="L616" i="5"/>
  <c r="K617" i="5"/>
  <c r="M617" i="5" s="1"/>
  <c r="L617" i="5"/>
  <c r="K618" i="5"/>
  <c r="M618" i="5" s="1"/>
  <c r="L618" i="5"/>
  <c r="K619" i="5"/>
  <c r="M619" i="5" s="1"/>
  <c r="L619" i="5"/>
  <c r="K620" i="5"/>
  <c r="M620" i="5" s="1"/>
  <c r="L620" i="5"/>
  <c r="K621" i="5"/>
  <c r="M621" i="5" s="1"/>
  <c r="L621" i="5"/>
  <c r="K622" i="5"/>
  <c r="M622" i="5" s="1"/>
  <c r="L622" i="5"/>
  <c r="K623" i="5"/>
  <c r="M623" i="5" s="1"/>
  <c r="L623" i="5"/>
  <c r="K624" i="5"/>
  <c r="M624" i="5" s="1"/>
  <c r="L624" i="5"/>
  <c r="K625" i="5"/>
  <c r="M625" i="5" s="1"/>
  <c r="L625" i="5"/>
  <c r="K626" i="5"/>
  <c r="M626" i="5" s="1"/>
  <c r="L626" i="5"/>
  <c r="K627" i="5"/>
  <c r="M627" i="5" s="1"/>
  <c r="L627" i="5"/>
  <c r="K628" i="5"/>
  <c r="M628" i="5" s="1"/>
  <c r="L628" i="5"/>
  <c r="K629" i="5"/>
  <c r="M629" i="5" s="1"/>
  <c r="L629" i="5"/>
  <c r="K630" i="5"/>
  <c r="M630" i="5" s="1"/>
  <c r="L630" i="5"/>
  <c r="K631" i="5"/>
  <c r="M631" i="5" s="1"/>
  <c r="L631" i="5"/>
  <c r="K632" i="5"/>
  <c r="M632" i="5" s="1"/>
  <c r="L632" i="5"/>
  <c r="K633" i="5"/>
  <c r="M633" i="5" s="1"/>
  <c r="L633" i="5"/>
  <c r="K634" i="5"/>
  <c r="M634" i="5" s="1"/>
  <c r="L634" i="5"/>
  <c r="K635" i="5"/>
  <c r="M635" i="5" s="1"/>
  <c r="L635" i="5"/>
  <c r="K636" i="5"/>
  <c r="M636" i="5" s="1"/>
  <c r="L636" i="5"/>
  <c r="K637" i="5"/>
  <c r="M637" i="5" s="1"/>
  <c r="L637" i="5"/>
  <c r="K638" i="5"/>
  <c r="M638" i="5" s="1"/>
  <c r="L638" i="5"/>
  <c r="K639" i="5"/>
  <c r="M639" i="5" s="1"/>
  <c r="L639" i="5"/>
  <c r="K640" i="5"/>
  <c r="M640" i="5" s="1"/>
  <c r="L640" i="5"/>
  <c r="K641" i="5"/>
  <c r="M641" i="5" s="1"/>
  <c r="L641" i="5"/>
  <c r="K642" i="5"/>
  <c r="M642" i="5" s="1"/>
  <c r="L642" i="5"/>
  <c r="K643" i="5"/>
  <c r="M643" i="5" s="1"/>
  <c r="L643" i="5"/>
  <c r="K644" i="5"/>
  <c r="M644" i="5" s="1"/>
  <c r="L644" i="5"/>
  <c r="K645" i="5"/>
  <c r="M645" i="5" s="1"/>
  <c r="L645" i="5"/>
  <c r="K646" i="5"/>
  <c r="M646" i="5" s="1"/>
  <c r="L646" i="5"/>
  <c r="K647" i="5"/>
  <c r="M647" i="5" s="1"/>
  <c r="L647" i="5"/>
  <c r="K648" i="5"/>
  <c r="M648" i="5" s="1"/>
  <c r="L648" i="5"/>
  <c r="K649" i="5"/>
  <c r="M649" i="5" s="1"/>
  <c r="L649" i="5"/>
  <c r="K650" i="5"/>
  <c r="M650" i="5" s="1"/>
  <c r="L650" i="5"/>
  <c r="K651" i="5"/>
  <c r="M651" i="5" s="1"/>
  <c r="L651" i="5"/>
  <c r="K652" i="5"/>
  <c r="M652" i="5" s="1"/>
  <c r="L652" i="5"/>
  <c r="K653" i="5"/>
  <c r="M653" i="5" s="1"/>
  <c r="L653" i="5"/>
  <c r="K654" i="5"/>
  <c r="M654" i="5" s="1"/>
  <c r="L654" i="5"/>
  <c r="K655" i="5"/>
  <c r="M655" i="5" s="1"/>
  <c r="L655" i="5"/>
  <c r="K656" i="5"/>
  <c r="M656" i="5" s="1"/>
  <c r="L656" i="5"/>
  <c r="K657" i="5"/>
  <c r="M657" i="5" s="1"/>
  <c r="L657" i="5"/>
  <c r="K658" i="5"/>
  <c r="M658" i="5" s="1"/>
  <c r="L658" i="5"/>
  <c r="K659" i="5"/>
  <c r="M659" i="5" s="1"/>
  <c r="L659" i="5"/>
  <c r="K660" i="5"/>
  <c r="M660" i="5" s="1"/>
  <c r="L660" i="5"/>
  <c r="K661" i="5"/>
  <c r="M661" i="5" s="1"/>
  <c r="L661" i="5"/>
  <c r="K662" i="5"/>
  <c r="M662" i="5" s="1"/>
  <c r="L662" i="5"/>
  <c r="K663" i="5"/>
  <c r="M663" i="5" s="1"/>
  <c r="L663" i="5"/>
  <c r="K664" i="5"/>
  <c r="M664" i="5" s="1"/>
  <c r="L664" i="5"/>
  <c r="K665" i="5"/>
  <c r="M665" i="5" s="1"/>
  <c r="L665" i="5"/>
  <c r="K666" i="5"/>
  <c r="M666" i="5" s="1"/>
  <c r="L666" i="5"/>
  <c r="K667" i="5"/>
  <c r="M667" i="5" s="1"/>
  <c r="L667" i="5"/>
  <c r="K668" i="5"/>
  <c r="M668" i="5" s="1"/>
  <c r="L668" i="5"/>
  <c r="K669" i="5"/>
  <c r="M669" i="5" s="1"/>
  <c r="L669" i="5"/>
  <c r="K670" i="5"/>
  <c r="M670" i="5" s="1"/>
  <c r="L670" i="5"/>
  <c r="K671" i="5"/>
  <c r="M671" i="5" s="1"/>
  <c r="L671" i="5"/>
  <c r="K672" i="5"/>
  <c r="M672" i="5" s="1"/>
  <c r="L672" i="5"/>
  <c r="K673" i="5"/>
  <c r="M673" i="5" s="1"/>
  <c r="L673" i="5"/>
  <c r="K674" i="5"/>
  <c r="M674" i="5" s="1"/>
  <c r="L674" i="5"/>
  <c r="K675" i="5"/>
  <c r="M675" i="5" s="1"/>
  <c r="L675" i="5"/>
  <c r="K676" i="5"/>
  <c r="M676" i="5" s="1"/>
  <c r="L676" i="5"/>
  <c r="K677" i="5"/>
  <c r="M677" i="5" s="1"/>
  <c r="L677" i="5"/>
  <c r="K678" i="5"/>
  <c r="M678" i="5" s="1"/>
  <c r="L678" i="5"/>
  <c r="K679" i="5"/>
  <c r="M679" i="5" s="1"/>
  <c r="L679" i="5"/>
  <c r="K680" i="5"/>
  <c r="M680" i="5" s="1"/>
  <c r="L680" i="5"/>
  <c r="K681" i="5"/>
  <c r="M681" i="5" s="1"/>
  <c r="L681" i="5"/>
  <c r="K682" i="5"/>
  <c r="M682" i="5" s="1"/>
  <c r="L682" i="5"/>
  <c r="K683" i="5"/>
  <c r="M683" i="5" s="1"/>
  <c r="L683" i="5"/>
  <c r="K684" i="5"/>
  <c r="M684" i="5" s="1"/>
  <c r="L684" i="5"/>
  <c r="K685" i="5"/>
  <c r="M685" i="5" s="1"/>
  <c r="L685" i="5"/>
  <c r="K686" i="5"/>
  <c r="M686" i="5" s="1"/>
  <c r="L686" i="5"/>
  <c r="K687" i="5"/>
  <c r="M687" i="5" s="1"/>
  <c r="L687" i="5"/>
  <c r="K688" i="5"/>
  <c r="M688" i="5" s="1"/>
  <c r="L688" i="5"/>
  <c r="K689" i="5"/>
  <c r="M689" i="5" s="1"/>
  <c r="L689" i="5"/>
  <c r="K690" i="5"/>
  <c r="M690" i="5" s="1"/>
  <c r="L690" i="5"/>
  <c r="K691" i="5"/>
  <c r="M691" i="5" s="1"/>
  <c r="L691" i="5"/>
  <c r="K692" i="5"/>
  <c r="M692" i="5" s="1"/>
  <c r="L692" i="5"/>
  <c r="K693" i="5"/>
  <c r="M693" i="5" s="1"/>
  <c r="L693" i="5"/>
  <c r="K694" i="5"/>
  <c r="M694" i="5" s="1"/>
  <c r="L694" i="5"/>
  <c r="K695" i="5"/>
  <c r="M695" i="5" s="1"/>
  <c r="L695" i="5"/>
  <c r="K696" i="5"/>
  <c r="M696" i="5" s="1"/>
  <c r="L696" i="5"/>
  <c r="K697" i="5"/>
  <c r="M697" i="5" s="1"/>
  <c r="L697" i="5"/>
  <c r="K698" i="5"/>
  <c r="M698" i="5" s="1"/>
  <c r="L698" i="5"/>
  <c r="K699" i="5"/>
  <c r="M699" i="5" s="1"/>
  <c r="L699" i="5"/>
  <c r="K700" i="5"/>
  <c r="M700" i="5" s="1"/>
  <c r="L700" i="5"/>
  <c r="K701" i="5"/>
  <c r="M701" i="5" s="1"/>
  <c r="L701" i="5"/>
  <c r="K702" i="5"/>
  <c r="M702" i="5" s="1"/>
  <c r="L702" i="5"/>
  <c r="K703" i="5"/>
  <c r="M703" i="5" s="1"/>
  <c r="L703" i="5"/>
  <c r="K704" i="5"/>
  <c r="M704" i="5" s="1"/>
  <c r="L704" i="5"/>
  <c r="K705" i="5"/>
  <c r="M705" i="5" s="1"/>
  <c r="L705" i="5"/>
  <c r="K706" i="5"/>
  <c r="M706" i="5" s="1"/>
  <c r="L706" i="5"/>
  <c r="K707" i="5"/>
  <c r="M707" i="5" s="1"/>
  <c r="L707" i="5"/>
  <c r="K708" i="5"/>
  <c r="M708" i="5" s="1"/>
  <c r="L708" i="5"/>
  <c r="K709" i="5"/>
  <c r="M709" i="5" s="1"/>
  <c r="L709" i="5"/>
  <c r="K710" i="5"/>
  <c r="M710" i="5" s="1"/>
  <c r="L710" i="5"/>
  <c r="K711" i="5"/>
  <c r="M711" i="5" s="1"/>
  <c r="L711" i="5"/>
  <c r="K712" i="5"/>
  <c r="M712" i="5" s="1"/>
  <c r="L712" i="5"/>
  <c r="K713" i="5"/>
  <c r="M713" i="5" s="1"/>
  <c r="L713" i="5"/>
  <c r="K714" i="5"/>
  <c r="M714" i="5" s="1"/>
  <c r="L714" i="5"/>
  <c r="K715" i="5"/>
  <c r="M715" i="5" s="1"/>
  <c r="L715" i="5"/>
  <c r="K716" i="5"/>
  <c r="M716" i="5" s="1"/>
  <c r="L716" i="5"/>
  <c r="K717" i="5"/>
  <c r="M717" i="5" s="1"/>
  <c r="L717" i="5"/>
  <c r="K718" i="5"/>
  <c r="M718" i="5" s="1"/>
  <c r="L718" i="5"/>
  <c r="K719" i="5"/>
  <c r="M719" i="5" s="1"/>
  <c r="L719" i="5"/>
  <c r="K720" i="5"/>
  <c r="M720" i="5" s="1"/>
  <c r="L720" i="5"/>
  <c r="K721" i="5"/>
  <c r="M721" i="5" s="1"/>
  <c r="L721" i="5"/>
  <c r="K722" i="5"/>
  <c r="M722" i="5" s="1"/>
  <c r="L722" i="5"/>
  <c r="K723" i="5"/>
  <c r="M723" i="5" s="1"/>
  <c r="L723" i="5"/>
  <c r="K724" i="5"/>
  <c r="M724" i="5" s="1"/>
  <c r="L724" i="5"/>
  <c r="K725" i="5"/>
  <c r="M725" i="5" s="1"/>
  <c r="L725" i="5"/>
  <c r="K726" i="5"/>
  <c r="M726" i="5" s="1"/>
  <c r="L726" i="5"/>
  <c r="K727" i="5"/>
  <c r="M727" i="5" s="1"/>
  <c r="L727" i="5"/>
  <c r="K728" i="5"/>
  <c r="M728" i="5" s="1"/>
  <c r="L728" i="5"/>
  <c r="K729" i="5"/>
  <c r="M729" i="5" s="1"/>
  <c r="L729" i="5"/>
  <c r="K730" i="5"/>
  <c r="M730" i="5" s="1"/>
  <c r="L730" i="5"/>
  <c r="K731" i="5"/>
  <c r="M731" i="5" s="1"/>
  <c r="L731" i="5"/>
  <c r="K732" i="5"/>
  <c r="M732" i="5" s="1"/>
  <c r="L732" i="5"/>
  <c r="K733" i="5"/>
  <c r="M733" i="5" s="1"/>
  <c r="L733" i="5"/>
  <c r="K734" i="5"/>
  <c r="M734" i="5" s="1"/>
  <c r="L734" i="5"/>
  <c r="K735" i="5"/>
  <c r="M735" i="5" s="1"/>
  <c r="L735" i="5"/>
  <c r="K736" i="5"/>
  <c r="M736" i="5" s="1"/>
  <c r="L736" i="5"/>
  <c r="K737" i="5"/>
  <c r="M737" i="5" s="1"/>
  <c r="L737" i="5"/>
  <c r="K738" i="5"/>
  <c r="M738" i="5" s="1"/>
  <c r="L738" i="5"/>
  <c r="K739" i="5"/>
  <c r="M739" i="5" s="1"/>
  <c r="L739" i="5"/>
  <c r="K740" i="5"/>
  <c r="M740" i="5" s="1"/>
  <c r="L740" i="5"/>
  <c r="K741" i="5"/>
  <c r="M741" i="5" s="1"/>
  <c r="L741" i="5"/>
  <c r="K742" i="5"/>
  <c r="M742" i="5" s="1"/>
  <c r="L742" i="5"/>
  <c r="K743" i="5"/>
  <c r="M743" i="5" s="1"/>
  <c r="L743" i="5"/>
  <c r="K744" i="5"/>
  <c r="M744" i="5" s="1"/>
  <c r="L744" i="5"/>
  <c r="K745" i="5"/>
  <c r="M745" i="5" s="1"/>
  <c r="L745" i="5"/>
  <c r="K746" i="5"/>
  <c r="M746" i="5" s="1"/>
  <c r="L746" i="5"/>
  <c r="K747" i="5"/>
  <c r="M747" i="5" s="1"/>
  <c r="L747" i="5"/>
  <c r="K748" i="5"/>
  <c r="M748" i="5" s="1"/>
  <c r="L748" i="5"/>
  <c r="K749" i="5"/>
  <c r="M749" i="5" s="1"/>
  <c r="L749" i="5"/>
  <c r="K750" i="5"/>
  <c r="M750" i="5" s="1"/>
  <c r="L750" i="5"/>
  <c r="K751" i="5"/>
  <c r="M751" i="5" s="1"/>
  <c r="L751" i="5"/>
  <c r="K752" i="5"/>
  <c r="M752" i="5" s="1"/>
  <c r="L752" i="5"/>
  <c r="K753" i="5"/>
  <c r="M753" i="5" s="1"/>
  <c r="L753" i="5"/>
  <c r="K754" i="5"/>
  <c r="M754" i="5" s="1"/>
  <c r="L754" i="5"/>
  <c r="K755" i="5"/>
  <c r="M755" i="5" s="1"/>
  <c r="L755" i="5"/>
  <c r="K756" i="5"/>
  <c r="M756" i="5" s="1"/>
  <c r="L756" i="5"/>
  <c r="K757" i="5"/>
  <c r="M757" i="5" s="1"/>
  <c r="L757" i="5"/>
  <c r="K758" i="5"/>
  <c r="M758" i="5" s="1"/>
  <c r="L758" i="5"/>
  <c r="K759" i="5"/>
  <c r="M759" i="5" s="1"/>
  <c r="L759" i="5"/>
  <c r="K760" i="5"/>
  <c r="M760" i="5" s="1"/>
  <c r="L760" i="5"/>
  <c r="K761" i="5"/>
  <c r="M761" i="5" s="1"/>
  <c r="L761" i="5"/>
  <c r="K762" i="5"/>
  <c r="M762" i="5" s="1"/>
  <c r="L762" i="5"/>
  <c r="K763" i="5"/>
  <c r="M763" i="5" s="1"/>
  <c r="L763" i="5"/>
  <c r="K764" i="5"/>
  <c r="M764" i="5" s="1"/>
  <c r="L764" i="5"/>
  <c r="K765" i="5"/>
  <c r="M765" i="5" s="1"/>
  <c r="L765" i="5"/>
  <c r="K766" i="5"/>
  <c r="M766" i="5" s="1"/>
  <c r="L766" i="5"/>
  <c r="K767" i="5"/>
  <c r="M767" i="5" s="1"/>
  <c r="L767" i="5"/>
  <c r="K768" i="5"/>
  <c r="M768" i="5" s="1"/>
  <c r="L768" i="5"/>
  <c r="K769" i="5"/>
  <c r="M769" i="5" s="1"/>
  <c r="L769" i="5"/>
  <c r="K770" i="5"/>
  <c r="M770" i="5" s="1"/>
  <c r="L770" i="5"/>
  <c r="K771" i="5"/>
  <c r="M771" i="5" s="1"/>
  <c r="L771" i="5"/>
  <c r="K772" i="5"/>
  <c r="M772" i="5" s="1"/>
  <c r="L772" i="5"/>
  <c r="K773" i="5"/>
  <c r="M773" i="5" s="1"/>
  <c r="L773" i="5"/>
  <c r="K774" i="5"/>
  <c r="M774" i="5" s="1"/>
  <c r="L774" i="5"/>
  <c r="K775" i="5"/>
  <c r="M775" i="5" s="1"/>
  <c r="L775" i="5"/>
  <c r="K776" i="5"/>
  <c r="M776" i="5" s="1"/>
  <c r="L776" i="5"/>
  <c r="K777" i="5"/>
  <c r="M777" i="5" s="1"/>
  <c r="L777" i="5"/>
  <c r="K778" i="5"/>
  <c r="M778" i="5" s="1"/>
  <c r="L778" i="5"/>
  <c r="K779" i="5"/>
  <c r="M779" i="5" s="1"/>
  <c r="L779" i="5"/>
  <c r="K780" i="5"/>
  <c r="M780" i="5" s="1"/>
  <c r="L780" i="5"/>
  <c r="K781" i="5"/>
  <c r="M781" i="5" s="1"/>
  <c r="L781" i="5"/>
  <c r="K782" i="5"/>
  <c r="M782" i="5" s="1"/>
  <c r="L782" i="5"/>
  <c r="K783" i="5"/>
  <c r="M783" i="5" s="1"/>
  <c r="L783" i="5"/>
  <c r="K784" i="5"/>
  <c r="M784" i="5" s="1"/>
  <c r="L784" i="5"/>
  <c r="K785" i="5"/>
  <c r="M785" i="5" s="1"/>
  <c r="L785" i="5"/>
  <c r="K786" i="5"/>
  <c r="M786" i="5" s="1"/>
  <c r="L786" i="5"/>
  <c r="K787" i="5"/>
  <c r="M787" i="5" s="1"/>
  <c r="L787" i="5"/>
  <c r="K788" i="5"/>
  <c r="M788" i="5" s="1"/>
  <c r="L788" i="5"/>
  <c r="K789" i="5"/>
  <c r="M789" i="5" s="1"/>
  <c r="L789" i="5"/>
  <c r="K790" i="5"/>
  <c r="M790" i="5" s="1"/>
  <c r="L790" i="5"/>
  <c r="K791" i="5"/>
  <c r="M791" i="5" s="1"/>
  <c r="L791" i="5"/>
  <c r="K792" i="5"/>
  <c r="M792" i="5" s="1"/>
  <c r="L792" i="5"/>
  <c r="K793" i="5"/>
  <c r="M793" i="5" s="1"/>
  <c r="L793" i="5"/>
  <c r="K794" i="5"/>
  <c r="M794" i="5" s="1"/>
  <c r="L794" i="5"/>
  <c r="K795" i="5"/>
  <c r="M795" i="5" s="1"/>
  <c r="L795" i="5"/>
  <c r="K796" i="5"/>
  <c r="M796" i="5" s="1"/>
  <c r="L796" i="5"/>
  <c r="K797" i="5"/>
  <c r="M797" i="5" s="1"/>
  <c r="L797" i="5"/>
  <c r="K798" i="5"/>
  <c r="M798" i="5" s="1"/>
  <c r="L798" i="5"/>
  <c r="K799" i="5"/>
  <c r="M799" i="5" s="1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5" i="5"/>
  <c r="K5" i="5"/>
  <c r="M5" i="5" s="1"/>
  <c r="B1471" i="9" l="1"/>
  <c r="C1472" i="5"/>
  <c r="G174" i="19"/>
  <c r="E174" i="19"/>
  <c r="G169" i="19"/>
  <c r="G173" i="19"/>
  <c r="E173" i="19"/>
  <c r="E170" i="19"/>
  <c r="G172" i="19"/>
  <c r="E172" i="19"/>
  <c r="G171" i="19"/>
  <c r="G170" i="19"/>
  <c r="E169" i="19"/>
  <c r="G168" i="19"/>
  <c r="E168" i="19"/>
  <c r="K107" i="24"/>
  <c r="E166" i="19"/>
  <c r="E167" i="19"/>
  <c r="G167" i="19"/>
  <c r="G166" i="19"/>
  <c r="G165" i="19"/>
  <c r="E165" i="19"/>
  <c r="W13" i="29"/>
  <c r="E68" i="29"/>
  <c r="F68" i="29" s="1"/>
  <c r="G68" i="29" s="1"/>
  <c r="C66" i="29"/>
  <c r="F66" i="29"/>
  <c r="H66" i="29"/>
  <c r="V13" i="29"/>
  <c r="H61" i="29"/>
  <c r="F61" i="29"/>
  <c r="E63" i="29"/>
  <c r="F63" i="29" s="1"/>
  <c r="G63" i="29" s="1"/>
  <c r="C61" i="29"/>
  <c r="U13" i="29"/>
  <c r="H56" i="29"/>
  <c r="F56" i="29"/>
  <c r="E58" i="29"/>
  <c r="F58" i="29" s="1"/>
  <c r="G58" i="29" s="1"/>
  <c r="C56" i="29"/>
  <c r="G162" i="19"/>
  <c r="E163" i="19"/>
  <c r="E164" i="19"/>
  <c r="G164" i="19"/>
  <c r="E162" i="19"/>
  <c r="E53" i="29"/>
  <c r="F53" i="29" s="1"/>
  <c r="G53" i="29" s="1"/>
  <c r="F51" i="29"/>
  <c r="T13" i="29"/>
  <c r="C51" i="29"/>
  <c r="H51" i="29"/>
  <c r="G163" i="19"/>
  <c r="E161" i="19"/>
  <c r="G161" i="19"/>
  <c r="S13" i="29"/>
  <c r="H46" i="29"/>
  <c r="F46" i="29"/>
  <c r="E48" i="29"/>
  <c r="F48" i="29" s="1"/>
  <c r="G48" i="29" s="1"/>
  <c r="C46" i="29"/>
  <c r="L13" i="29"/>
  <c r="F11" i="29"/>
  <c r="C11" i="29"/>
  <c r="H11" i="29"/>
  <c r="E13" i="29"/>
  <c r="F13" i="29" s="1"/>
  <c r="G13" i="29" s="1"/>
  <c r="M13" i="29"/>
  <c r="H16" i="29"/>
  <c r="E18" i="29"/>
  <c r="F18" i="29" s="1"/>
  <c r="G18" i="29" s="1"/>
  <c r="C16" i="29"/>
  <c r="F16" i="29"/>
  <c r="R13" i="29"/>
  <c r="F41" i="29"/>
  <c r="H41" i="29"/>
  <c r="C41" i="29"/>
  <c r="E43" i="29"/>
  <c r="F43" i="29" s="1"/>
  <c r="G43" i="29" s="1"/>
  <c r="N13" i="29"/>
  <c r="H21" i="29"/>
  <c r="E23" i="29"/>
  <c r="F23" i="29" s="1"/>
  <c r="G23" i="29" s="1"/>
  <c r="C21" i="29"/>
  <c r="F21" i="29"/>
  <c r="Q13" i="29"/>
  <c r="E38" i="29"/>
  <c r="F38" i="29" s="1"/>
  <c r="G38" i="29" s="1"/>
  <c r="C36" i="29"/>
  <c r="H36" i="29"/>
  <c r="F36" i="29"/>
  <c r="O13" i="29"/>
  <c r="H26" i="29"/>
  <c r="E28" i="29"/>
  <c r="F28" i="29" s="1"/>
  <c r="G28" i="29" s="1"/>
  <c r="C26" i="29"/>
  <c r="F26" i="29"/>
  <c r="P13" i="29"/>
  <c r="F31" i="29"/>
  <c r="H31" i="29"/>
  <c r="E33" i="29"/>
  <c r="F33" i="29" s="1"/>
  <c r="G33" i="29" s="1"/>
  <c r="C31" i="29"/>
  <c r="E160" i="19"/>
  <c r="D17" i="4" s="1"/>
  <c r="G160" i="19"/>
  <c r="E17" i="4" s="1"/>
  <c r="E159" i="19"/>
  <c r="D112" i="4" s="1"/>
  <c r="G159" i="19"/>
  <c r="E112" i="4" s="1"/>
  <c r="E85" i="19"/>
  <c r="D86" i="4" s="1"/>
  <c r="E120" i="19"/>
  <c r="D122" i="4" s="1"/>
  <c r="E73" i="19"/>
  <c r="D74" i="4" s="1"/>
  <c r="E72" i="19"/>
  <c r="D73" i="4" s="1"/>
  <c r="G109" i="19"/>
  <c r="E110" i="4" s="1"/>
  <c r="G37" i="19"/>
  <c r="E38" i="4" s="1"/>
  <c r="G143" i="19"/>
  <c r="E146" i="4" s="1"/>
  <c r="E74" i="19"/>
  <c r="D75" i="4" s="1"/>
  <c r="E46" i="19"/>
  <c r="D47" i="4" s="1"/>
  <c r="G24" i="19"/>
  <c r="E25" i="4" s="1"/>
  <c r="E47" i="19"/>
  <c r="D48" i="4" s="1"/>
  <c r="G128" i="19"/>
  <c r="E130" i="4" s="1"/>
  <c r="G57" i="19"/>
  <c r="E58" i="4" s="1"/>
  <c r="G129" i="19"/>
  <c r="E131" i="4" s="1"/>
  <c r="E60" i="19"/>
  <c r="D61" i="4" s="1"/>
  <c r="G95" i="19"/>
  <c r="E96" i="4" s="1"/>
  <c r="G121" i="19"/>
  <c r="E123" i="4" s="1"/>
  <c r="G154" i="19"/>
  <c r="E157" i="4" s="1"/>
  <c r="G7" i="19"/>
  <c r="E7" i="4" s="1"/>
  <c r="G108" i="19"/>
  <c r="E109" i="4" s="1"/>
  <c r="G83" i="19"/>
  <c r="E84" i="4" s="1"/>
  <c r="E131" i="19"/>
  <c r="D133" i="4" s="1"/>
  <c r="G97" i="19"/>
  <c r="E98" i="4" s="1"/>
  <c r="G116" i="19"/>
  <c r="E118" i="4" s="1"/>
  <c r="G117" i="19"/>
  <c r="E119" i="4" s="1"/>
  <c r="E106" i="19"/>
  <c r="D107" i="4" s="1"/>
  <c r="G30" i="19"/>
  <c r="E31" i="4" s="1"/>
  <c r="E66" i="19"/>
  <c r="D67" i="4" s="1"/>
  <c r="F67" i="4" s="1"/>
  <c r="G67" i="4" s="1"/>
  <c r="G82" i="19"/>
  <c r="E83" i="4" s="1"/>
  <c r="E62" i="19"/>
  <c r="D63" i="4" s="1"/>
  <c r="G43" i="19"/>
  <c r="E44" i="4" s="1"/>
  <c r="G130" i="19"/>
  <c r="E132" i="4" s="1"/>
  <c r="E78" i="19"/>
  <c r="D79" i="4" s="1"/>
  <c r="E126" i="19"/>
  <c r="D128" i="4" s="1"/>
  <c r="G17" i="19"/>
  <c r="E18" i="4" s="1"/>
  <c r="E91" i="19"/>
  <c r="D92" i="4" s="1"/>
  <c r="E139" i="19"/>
  <c r="D142" i="4" s="1"/>
  <c r="E20" i="19"/>
  <c r="D21" i="4" s="1"/>
  <c r="E68" i="19"/>
  <c r="D69" i="4" s="1"/>
  <c r="E33" i="19"/>
  <c r="D34" i="4" s="1"/>
  <c r="G70" i="19"/>
  <c r="E71" i="4" s="1"/>
  <c r="E34" i="19"/>
  <c r="D35" i="4" s="1"/>
  <c r="E35" i="19"/>
  <c r="D36" i="4" s="1"/>
  <c r="E86" i="19"/>
  <c r="D87" i="4" s="1"/>
  <c r="E48" i="19"/>
  <c r="D49" i="4" s="1"/>
  <c r="F49" i="4" s="1"/>
  <c r="G49" i="4" s="1"/>
  <c r="E144" i="19"/>
  <c r="D147" i="4" s="1"/>
  <c r="E61" i="19"/>
  <c r="D62" i="4" s="1"/>
  <c r="G149" i="19"/>
  <c r="E152" i="4" s="1"/>
  <c r="E132" i="19"/>
  <c r="D134" i="4" s="1"/>
  <c r="E145" i="19"/>
  <c r="D148" i="4" s="1"/>
  <c r="F148" i="4" s="1"/>
  <c r="G148" i="4" s="1"/>
  <c r="G96" i="19"/>
  <c r="E97" i="4" s="1"/>
  <c r="G110" i="19"/>
  <c r="E111" i="4" s="1"/>
  <c r="G56" i="19"/>
  <c r="E57" i="4" s="1"/>
  <c r="E21" i="19"/>
  <c r="D22" i="4" s="1"/>
  <c r="F22" i="4" s="1"/>
  <c r="G22" i="4" s="1"/>
  <c r="G23" i="19"/>
  <c r="E24" i="4" s="1"/>
  <c r="G71" i="19"/>
  <c r="E72" i="4" s="1"/>
  <c r="E119" i="19"/>
  <c r="D121" i="4" s="1"/>
  <c r="E151" i="19"/>
  <c r="D154" i="4" s="1"/>
  <c r="E137" i="19"/>
  <c r="D140" i="4" s="1"/>
  <c r="E80" i="19"/>
  <c r="D81" i="4" s="1"/>
  <c r="E81" i="19"/>
  <c r="D82" i="4" s="1"/>
  <c r="F82" i="4" s="1"/>
  <c r="G82" i="4" s="1"/>
  <c r="G122" i="19"/>
  <c r="E124" i="4" s="1"/>
  <c r="G102" i="19"/>
  <c r="E103" i="4" s="1"/>
  <c r="G142" i="19"/>
  <c r="E145" i="4" s="1"/>
  <c r="E8" i="19"/>
  <c r="D8" i="4" s="1"/>
  <c r="F8" i="4" s="1"/>
  <c r="G8" i="4" s="1"/>
  <c r="E93" i="19"/>
  <c r="D94" i="4" s="1"/>
  <c r="E153" i="19"/>
  <c r="D156" i="4" s="1"/>
  <c r="E22" i="19"/>
  <c r="D23" i="4" s="1"/>
  <c r="G26" i="19"/>
  <c r="E27" i="4" s="1"/>
  <c r="G90" i="19"/>
  <c r="E91" i="4" s="1"/>
  <c r="E98" i="19"/>
  <c r="D99" i="4" s="1"/>
  <c r="E158" i="19"/>
  <c r="D137" i="4" s="1"/>
  <c r="G51" i="19"/>
  <c r="E52" i="4" s="1"/>
  <c r="E100" i="19"/>
  <c r="D101" i="4" s="1"/>
  <c r="G148" i="19"/>
  <c r="E151" i="4" s="1"/>
  <c r="E138" i="19"/>
  <c r="D141" i="4" s="1"/>
  <c r="E118" i="19"/>
  <c r="D120" i="4" s="1"/>
  <c r="E101" i="19"/>
  <c r="D102" i="4" s="1"/>
  <c r="E42" i="19"/>
  <c r="D43" i="4" s="1"/>
  <c r="F43" i="4" s="1"/>
  <c r="G43" i="4" s="1"/>
  <c r="E5" i="19"/>
  <c r="D5" i="4" s="1"/>
  <c r="E157" i="19"/>
  <c r="D160" i="4" s="1"/>
  <c r="E26" i="19"/>
  <c r="D27" i="4" s="1"/>
  <c r="F27" i="4" s="1"/>
  <c r="G27" i="4" s="1"/>
  <c r="E134" i="19"/>
  <c r="D136" i="4" s="1"/>
  <c r="E114" i="19"/>
  <c r="D116" i="4" s="1"/>
  <c r="E112" i="19"/>
  <c r="D114" i="4" s="1"/>
  <c r="G45" i="19"/>
  <c r="E46" i="4" s="1"/>
  <c r="G156" i="19"/>
  <c r="E159" i="4" s="1"/>
  <c r="G25" i="19"/>
  <c r="E26" i="4" s="1"/>
  <c r="E41" i="19"/>
  <c r="D42" i="4" s="1"/>
  <c r="G39" i="19"/>
  <c r="E40" i="4" s="1"/>
  <c r="G87" i="19"/>
  <c r="E88" i="4" s="1"/>
  <c r="G135" i="19"/>
  <c r="E138" i="4" s="1"/>
  <c r="G40" i="19"/>
  <c r="E41" i="4" s="1"/>
  <c r="G136" i="19"/>
  <c r="E139" i="4" s="1"/>
  <c r="E16" i="19"/>
  <c r="D16" i="4" s="1"/>
  <c r="E14" i="19"/>
  <c r="D14" i="4" s="1"/>
  <c r="E150" i="19"/>
  <c r="D153" i="4" s="1"/>
  <c r="G103" i="19"/>
  <c r="E104" i="4" s="1"/>
  <c r="G32" i="19"/>
  <c r="E33" i="4" s="1"/>
  <c r="G123" i="19"/>
  <c r="E125" i="4" s="1"/>
  <c r="G77" i="19"/>
  <c r="E78" i="4" s="1"/>
  <c r="E55" i="19"/>
  <c r="D56" i="4" s="1"/>
  <c r="G41" i="19"/>
  <c r="E42" i="4" s="1"/>
  <c r="G84" i="19"/>
  <c r="E85" i="4" s="1"/>
  <c r="G49" i="19"/>
  <c r="E50" i="4" s="1"/>
  <c r="E53" i="19"/>
  <c r="D54" i="4" s="1"/>
  <c r="E113" i="19"/>
  <c r="D115" i="4" s="1"/>
  <c r="E6" i="19"/>
  <c r="D6" i="4" s="1"/>
  <c r="F6" i="4" s="1"/>
  <c r="G6" i="4" s="1"/>
  <c r="E54" i="19"/>
  <c r="D55" i="4" s="1"/>
  <c r="E28" i="19"/>
  <c r="D29" i="4" s="1"/>
  <c r="F29" i="4" s="1"/>
  <c r="G29" i="4" s="1"/>
  <c r="E39" i="19"/>
  <c r="D40" i="4" s="1"/>
  <c r="E40" i="19"/>
  <c r="D41" i="4" s="1"/>
  <c r="G13" i="19"/>
  <c r="E13" i="4" s="1"/>
  <c r="G19" i="19"/>
  <c r="E20" i="4" s="1"/>
  <c r="G67" i="19"/>
  <c r="E68" i="4" s="1"/>
  <c r="E115" i="19"/>
  <c r="D117" i="4" s="1"/>
  <c r="E58" i="19"/>
  <c r="D59" i="4" s="1"/>
  <c r="E50" i="19"/>
  <c r="D51" i="4" s="1"/>
  <c r="E44" i="19"/>
  <c r="D45" i="4" s="1"/>
  <c r="G92" i="19"/>
  <c r="E93" i="4" s="1"/>
  <c r="G140" i="19"/>
  <c r="E143" i="4" s="1"/>
  <c r="G9" i="19"/>
  <c r="E9" i="4" s="1"/>
  <c r="G69" i="19"/>
  <c r="E70" i="4" s="1"/>
  <c r="G141" i="19"/>
  <c r="E144" i="4" s="1"/>
  <c r="G10" i="19"/>
  <c r="E10" i="4" s="1"/>
  <c r="G11" i="19"/>
  <c r="E11" i="4" s="1"/>
  <c r="G59" i="19"/>
  <c r="E60" i="4" s="1"/>
  <c r="E107" i="19"/>
  <c r="D108" i="4" s="1"/>
  <c r="F108" i="4" s="1"/>
  <c r="G108" i="4" s="1"/>
  <c r="E155" i="19"/>
  <c r="D158" i="4" s="1"/>
  <c r="G133" i="19"/>
  <c r="E135" i="4" s="1"/>
  <c r="E99" i="19"/>
  <c r="D100" i="4" s="1"/>
  <c r="E147" i="19"/>
  <c r="D150" i="4" s="1"/>
  <c r="E49" i="19"/>
  <c r="D50" i="4" s="1"/>
  <c r="G79" i="19"/>
  <c r="E80" i="4" s="1"/>
  <c r="G127" i="19"/>
  <c r="E129" i="4" s="1"/>
  <c r="G8" i="19"/>
  <c r="E8" i="4" s="1"/>
  <c r="G152" i="19"/>
  <c r="E155" i="4" s="1"/>
  <c r="G93" i="19"/>
  <c r="E94" i="4" s="1"/>
  <c r="G153" i="19"/>
  <c r="E156" i="4" s="1"/>
  <c r="G22" i="19"/>
  <c r="E23" i="4" s="1"/>
  <c r="G157" i="19"/>
  <c r="E160" i="4" s="1"/>
  <c r="G48" i="19"/>
  <c r="E49" i="4" s="1"/>
  <c r="G34" i="19"/>
  <c r="E35" i="4" s="1"/>
  <c r="G35" i="19"/>
  <c r="E36" i="4" s="1"/>
  <c r="G86" i="19"/>
  <c r="E87" i="4" s="1"/>
  <c r="E75" i="19"/>
  <c r="D76" i="4" s="1"/>
  <c r="G76" i="19"/>
  <c r="E77" i="4" s="1"/>
  <c r="E124" i="19"/>
  <c r="D126" i="4" s="1"/>
  <c r="E29" i="19"/>
  <c r="D30" i="4" s="1"/>
  <c r="E77" i="19"/>
  <c r="D78" i="4" s="1"/>
  <c r="G125" i="19"/>
  <c r="E127" i="4" s="1"/>
  <c r="E18" i="19"/>
  <c r="D19" i="4" s="1"/>
  <c r="G74" i="19"/>
  <c r="E75" i="4" s="1"/>
  <c r="G46" i="19"/>
  <c r="E47" i="4" s="1"/>
  <c r="G47" i="19"/>
  <c r="E48" i="4" s="1"/>
  <c r="E143" i="19"/>
  <c r="D146" i="4" s="1"/>
  <c r="E89" i="19"/>
  <c r="D90" i="4" s="1"/>
  <c r="F90" i="4" s="1"/>
  <c r="G98" i="19"/>
  <c r="E99" i="4" s="1"/>
  <c r="G158" i="19"/>
  <c r="E137" i="4" s="1"/>
  <c r="E52" i="19"/>
  <c r="D53" i="4" s="1"/>
  <c r="G138" i="19"/>
  <c r="E141" i="4" s="1"/>
  <c r="G118" i="19"/>
  <c r="E120" i="4" s="1"/>
  <c r="G94" i="19"/>
  <c r="E95" i="4" s="1"/>
  <c r="G14" i="19"/>
  <c r="E14" i="4" s="1"/>
  <c r="G150" i="19"/>
  <c r="E153" i="4" s="1"/>
  <c r="E65" i="19"/>
  <c r="D66" i="4" s="1"/>
  <c r="E27" i="19"/>
  <c r="D28" i="4" s="1"/>
  <c r="E125" i="19"/>
  <c r="D127" i="4" s="1"/>
  <c r="G114" i="19"/>
  <c r="E116" i="4" s="1"/>
  <c r="G62" i="19"/>
  <c r="E63" i="4" s="1"/>
  <c r="E88" i="19"/>
  <c r="D89" i="4" s="1"/>
  <c r="G146" i="19"/>
  <c r="E149" i="4" s="1"/>
  <c r="G137" i="19"/>
  <c r="E140" i="4" s="1"/>
  <c r="E30" i="19"/>
  <c r="D31" i="4" s="1"/>
  <c r="G72" i="19"/>
  <c r="E73" i="4" s="1"/>
  <c r="G120" i="19"/>
  <c r="E122" i="4" s="1"/>
  <c r="G85" i="19"/>
  <c r="E86" i="4" s="1"/>
  <c r="G58" i="19"/>
  <c r="E59" i="4" s="1"/>
  <c r="G155" i="19"/>
  <c r="E158" i="4" s="1"/>
  <c r="E36" i="19"/>
  <c r="D37" i="4" s="1"/>
  <c r="E84" i="19"/>
  <c r="D85" i="4" s="1"/>
  <c r="E15" i="19"/>
  <c r="D15" i="4" s="1"/>
  <c r="G63" i="19"/>
  <c r="E64" i="4" s="1"/>
  <c r="G64" i="19"/>
  <c r="E65" i="4" s="1"/>
  <c r="E31" i="19"/>
  <c r="D32" i="4" s="1"/>
  <c r="E56" i="19"/>
  <c r="D57" i="4" s="1"/>
  <c r="E104" i="19"/>
  <c r="D105" i="4" s="1"/>
  <c r="G89" i="19"/>
  <c r="E90" i="4" s="1"/>
  <c r="G18" i="19"/>
  <c r="E19" i="4" s="1"/>
  <c r="E111" i="19"/>
  <c r="D113" i="4" s="1"/>
  <c r="E140" i="19"/>
  <c r="D143" i="4" s="1"/>
  <c r="E96" i="19"/>
  <c r="D97" i="4" s="1"/>
  <c r="E110" i="19"/>
  <c r="D111" i="4" s="1"/>
  <c r="E87" i="19"/>
  <c r="D88" i="4" s="1"/>
  <c r="E43" i="19"/>
  <c r="D44" i="4" s="1"/>
  <c r="E130" i="19"/>
  <c r="D132" i="4" s="1"/>
  <c r="E116" i="19"/>
  <c r="D118" i="4" s="1"/>
  <c r="E70" i="19"/>
  <c r="D71" i="4" s="1"/>
  <c r="E82" i="19"/>
  <c r="D83" i="4" s="1"/>
  <c r="E57" i="19"/>
  <c r="D58" i="4" s="1"/>
  <c r="E129" i="19"/>
  <c r="D131" i="4" s="1"/>
  <c r="E95" i="19"/>
  <c r="D96" i="4" s="1"/>
  <c r="E121" i="19"/>
  <c r="D123" i="4" s="1"/>
  <c r="E38" i="19"/>
  <c r="D39" i="4" s="1"/>
  <c r="E133" i="19"/>
  <c r="D135" i="4" s="1"/>
  <c r="E9" i="19"/>
  <c r="D9" i="4" s="1"/>
  <c r="E59" i="19"/>
  <c r="D60" i="4" s="1"/>
  <c r="E24" i="19"/>
  <c r="D25" i="4" s="1"/>
  <c r="F25" i="4" s="1"/>
  <c r="G25" i="4" s="1"/>
  <c r="E109" i="19"/>
  <c r="D110" i="4" s="1"/>
  <c r="E37" i="19"/>
  <c r="D38" i="4" s="1"/>
  <c r="E79" i="19"/>
  <c r="D80" i="4" s="1"/>
  <c r="E152" i="19"/>
  <c r="D155" i="4" s="1"/>
  <c r="E90" i="19"/>
  <c r="D91" i="4" s="1"/>
  <c r="F91" i="4" s="1"/>
  <c r="G91" i="4" s="1"/>
  <c r="E69" i="19"/>
  <c r="D70" i="4" s="1"/>
  <c r="E141" i="19"/>
  <c r="D144" i="4" s="1"/>
  <c r="E10" i="19"/>
  <c r="D10" i="4" s="1"/>
  <c r="E11" i="19"/>
  <c r="D11" i="4" s="1"/>
  <c r="G107" i="19"/>
  <c r="E108" i="4" s="1"/>
  <c r="E19" i="19"/>
  <c r="D20" i="4" s="1"/>
  <c r="E67" i="19"/>
  <c r="D68" i="4" s="1"/>
  <c r="E51" i="19"/>
  <c r="D52" i="4" s="1"/>
  <c r="G99" i="19"/>
  <c r="E100" i="4" s="1"/>
  <c r="G147" i="19"/>
  <c r="E150" i="4" s="1"/>
  <c r="G52" i="19"/>
  <c r="E53" i="4" s="1"/>
  <c r="G100" i="19"/>
  <c r="E101" i="4" s="1"/>
  <c r="E148" i="19"/>
  <c r="D151" i="4" s="1"/>
  <c r="F151" i="4" s="1"/>
  <c r="G151" i="4" s="1"/>
  <c r="G53" i="19"/>
  <c r="E54" i="4" s="1"/>
  <c r="G101" i="19"/>
  <c r="E102" i="4" s="1"/>
  <c r="E149" i="19"/>
  <c r="D152" i="4" s="1"/>
  <c r="F152" i="4" s="1"/>
  <c r="G152" i="4" s="1"/>
  <c r="G42" i="19"/>
  <c r="E43" i="4" s="1"/>
  <c r="G132" i="19"/>
  <c r="E134" i="4" s="1"/>
  <c r="G145" i="19"/>
  <c r="E148" i="4" s="1"/>
  <c r="G44" i="19"/>
  <c r="E45" i="4" s="1"/>
  <c r="G31" i="19"/>
  <c r="E32" i="4" s="1"/>
  <c r="G104" i="19"/>
  <c r="E105" i="4" s="1"/>
  <c r="E122" i="19"/>
  <c r="D124" i="4" s="1"/>
  <c r="E102" i="19"/>
  <c r="D103" i="4" s="1"/>
  <c r="E142" i="19"/>
  <c r="D145" i="4" s="1"/>
  <c r="G21" i="19"/>
  <c r="E22" i="4" s="1"/>
  <c r="E23" i="19"/>
  <c r="D24" i="4" s="1"/>
  <c r="E71" i="19"/>
  <c r="D72" i="4" s="1"/>
  <c r="G119" i="19"/>
  <c r="E121" i="4" s="1"/>
  <c r="G5" i="19"/>
  <c r="E5" i="4" s="1"/>
  <c r="F106" i="4"/>
  <c r="G106" i="4" s="1"/>
  <c r="G36" i="19"/>
  <c r="E37" i="4" s="1"/>
  <c r="G115" i="19"/>
  <c r="E117" i="4" s="1"/>
  <c r="G15" i="19"/>
  <c r="E15" i="4" s="1"/>
  <c r="E63" i="19"/>
  <c r="D64" i="4" s="1"/>
  <c r="F64" i="4" s="1"/>
  <c r="G64" i="4" s="1"/>
  <c r="G111" i="19"/>
  <c r="E113" i="4" s="1"/>
  <c r="E64" i="19"/>
  <c r="D65" i="4" s="1"/>
  <c r="G112" i="19"/>
  <c r="E114" i="4" s="1"/>
  <c r="E17" i="19"/>
  <c r="D18" i="4" s="1"/>
  <c r="G65" i="19"/>
  <c r="E66" i="4" s="1"/>
  <c r="G113" i="19"/>
  <c r="E115" i="4" s="1"/>
  <c r="G6" i="19"/>
  <c r="E6" i="4" s="1"/>
  <c r="G54" i="19"/>
  <c r="E55" i="4" s="1"/>
  <c r="E146" i="19"/>
  <c r="D149" i="4" s="1"/>
  <c r="G16" i="19"/>
  <c r="E16" i="4" s="1"/>
  <c r="G91" i="19"/>
  <c r="E92" i="4" s="1"/>
  <c r="G139" i="19"/>
  <c r="E142" i="4" s="1"/>
  <c r="G20" i="19"/>
  <c r="E21" i="4" s="1"/>
  <c r="G68" i="19"/>
  <c r="E69" i="4" s="1"/>
  <c r="G33" i="19"/>
  <c r="E34" i="4" s="1"/>
  <c r="G144" i="19"/>
  <c r="E147" i="4" s="1"/>
  <c r="G61" i="19"/>
  <c r="E62" i="4" s="1"/>
  <c r="E92" i="19"/>
  <c r="D93" i="4" s="1"/>
  <c r="G134" i="19"/>
  <c r="E136" i="4" s="1"/>
  <c r="E45" i="19"/>
  <c r="D46" i="4" s="1"/>
  <c r="E117" i="19"/>
  <c r="D119" i="4" s="1"/>
  <c r="E83" i="19"/>
  <c r="D84" i="4" s="1"/>
  <c r="G131" i="19"/>
  <c r="E133" i="4" s="1"/>
  <c r="E97" i="19"/>
  <c r="D98" i="4" s="1"/>
  <c r="G27" i="19"/>
  <c r="E28" i="4" s="1"/>
  <c r="G75" i="19"/>
  <c r="E76" i="4" s="1"/>
  <c r="E123" i="19"/>
  <c r="D125" i="4" s="1"/>
  <c r="E76" i="19"/>
  <c r="D77" i="4" s="1"/>
  <c r="G124" i="19"/>
  <c r="E126" i="4" s="1"/>
  <c r="G29" i="19"/>
  <c r="E30" i="4" s="1"/>
  <c r="G38" i="19"/>
  <c r="E39" i="4" s="1"/>
  <c r="E7" i="19"/>
  <c r="D7" i="4" s="1"/>
  <c r="G55" i="19"/>
  <c r="E56" i="4" s="1"/>
  <c r="E103" i="19"/>
  <c r="D104" i="4" s="1"/>
  <c r="G151" i="19"/>
  <c r="E154" i="4" s="1"/>
  <c r="E154" i="19"/>
  <c r="D157" i="4" s="1"/>
  <c r="E32" i="19"/>
  <c r="D33" i="4" s="1"/>
  <c r="G80" i="19"/>
  <c r="E81" i="4" s="1"/>
  <c r="E128" i="19"/>
  <c r="D130" i="4" s="1"/>
  <c r="G81" i="19"/>
  <c r="E82" i="4" s="1"/>
  <c r="E12" i="19"/>
  <c r="D12" i="4" s="1"/>
  <c r="F12" i="4" s="1"/>
  <c r="G12" i="4" s="1"/>
  <c r="G60" i="19"/>
  <c r="E61" i="4" s="1"/>
  <c r="E108" i="19"/>
  <c r="D109" i="4" s="1"/>
  <c r="E156" i="19"/>
  <c r="D159" i="4" s="1"/>
  <c r="E25" i="19"/>
  <c r="D26" i="4" s="1"/>
  <c r="G73" i="19"/>
  <c r="E74" i="4" s="1"/>
  <c r="E94" i="19"/>
  <c r="D95" i="4" s="1"/>
  <c r="G78" i="19"/>
  <c r="E79" i="4" s="1"/>
  <c r="G126" i="19"/>
  <c r="E128" i="4" s="1"/>
  <c r="G106" i="19"/>
  <c r="E107" i="4" s="1"/>
  <c r="G50" i="19"/>
  <c r="E51" i="4" s="1"/>
  <c r="E127" i="19"/>
  <c r="D129" i="4" s="1"/>
  <c r="E135" i="19"/>
  <c r="D138" i="4" s="1"/>
  <c r="G88" i="19"/>
  <c r="E89" i="4" s="1"/>
  <c r="E136" i="19"/>
  <c r="D139" i="4" s="1"/>
  <c r="E13" i="19"/>
  <c r="D13" i="4" s="1"/>
  <c r="C233" i="5"/>
  <c r="C234" i="5" s="1"/>
  <c r="C235" i="5" s="1"/>
  <c r="C236" i="5" s="1"/>
  <c r="C237" i="5" s="1"/>
  <c r="C238" i="5" s="1"/>
  <c r="C239" i="5" s="1"/>
  <c r="C240" i="5" s="1"/>
  <c r="C241" i="5" s="1"/>
  <c r="C242" i="5" s="1"/>
  <c r="C243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C260" i="5" s="1"/>
  <c r="C261" i="5" s="1"/>
  <c r="C262" i="5" s="1"/>
  <c r="C263" i="5" s="1"/>
  <c r="C264" i="5" s="1"/>
  <c r="C265" i="5" s="1"/>
  <c r="C266" i="5" s="1"/>
  <c r="C267" i="5" s="1"/>
  <c r="C268" i="5" s="1"/>
  <c r="C269" i="5" s="1"/>
  <c r="C270" i="5" s="1"/>
  <c r="C271" i="5" s="1"/>
  <c r="C272" i="5" s="1"/>
  <c r="C273" i="5" s="1"/>
  <c r="C274" i="5" s="1"/>
  <c r="C275" i="5" s="1"/>
  <c r="C276" i="5" s="1"/>
  <c r="C277" i="5" s="1"/>
  <c r="C278" i="5" s="1"/>
  <c r="C279" i="5" s="1"/>
  <c r="C280" i="5" s="1"/>
  <c r="C281" i="5" s="1"/>
  <c r="C282" i="5" s="1"/>
  <c r="C283" i="5" s="1"/>
  <c r="C284" i="5" s="1"/>
  <c r="B232" i="17"/>
  <c r="B1472" i="9" l="1"/>
  <c r="C1473" i="5"/>
  <c r="B1472" i="17"/>
  <c r="F110" i="4"/>
  <c r="G110" i="4" s="1"/>
  <c r="F26" i="4"/>
  <c r="G26" i="4" s="1"/>
  <c r="F113" i="4"/>
  <c r="G113" i="4" s="1"/>
  <c r="F145" i="4"/>
  <c r="G145" i="4" s="1"/>
  <c r="F56" i="4"/>
  <c r="G56" i="4" s="1"/>
  <c r="F89" i="4"/>
  <c r="G89" i="4" s="1"/>
  <c r="F150" i="4"/>
  <c r="G150" i="4" s="1"/>
  <c r="F24" i="4"/>
  <c r="G24" i="4" s="1"/>
  <c r="F112" i="4"/>
  <c r="G112" i="4" s="1"/>
  <c r="F75" i="4"/>
  <c r="G75" i="4" s="1"/>
  <c r="F63" i="4"/>
  <c r="G63" i="4" s="1"/>
  <c r="F30" i="4"/>
  <c r="G30" i="4" s="1"/>
  <c r="F42" i="4"/>
  <c r="G42" i="4" s="1"/>
  <c r="F141" i="4"/>
  <c r="G141" i="4" s="1"/>
  <c r="F61" i="4"/>
  <c r="G61" i="4" s="1"/>
  <c r="F21" i="4"/>
  <c r="G21" i="4" s="1"/>
  <c r="F107" i="4"/>
  <c r="G107" i="4" s="1"/>
  <c r="F72" i="4"/>
  <c r="G72" i="4" s="1"/>
  <c r="F97" i="4"/>
  <c r="G97" i="4" s="1"/>
  <c r="F137" i="4"/>
  <c r="G137" i="4" s="1"/>
  <c r="F81" i="4"/>
  <c r="G81" i="4" s="1"/>
  <c r="F48" i="4"/>
  <c r="G48" i="4" s="1"/>
  <c r="F54" i="4"/>
  <c r="G54" i="4" s="1"/>
  <c r="F51" i="4"/>
  <c r="G51" i="4" s="1"/>
  <c r="F103" i="4"/>
  <c r="G103" i="4" s="1"/>
  <c r="F17" i="4"/>
  <c r="G17" i="4" s="1"/>
  <c r="F124" i="4"/>
  <c r="G124" i="4" s="1"/>
  <c r="F44" i="4"/>
  <c r="G44" i="4" s="1"/>
  <c r="F127" i="4"/>
  <c r="G127" i="4" s="1"/>
  <c r="F50" i="4"/>
  <c r="G50" i="4" s="1"/>
  <c r="F123" i="4"/>
  <c r="G123" i="4" s="1"/>
  <c r="F57" i="4"/>
  <c r="G57" i="4" s="1"/>
  <c r="F159" i="4"/>
  <c r="G159" i="4" s="1"/>
  <c r="F35" i="4"/>
  <c r="G35" i="4" s="1"/>
  <c r="F87" i="4"/>
  <c r="G87" i="4" s="1"/>
  <c r="F156" i="4"/>
  <c r="G156" i="4" s="1"/>
  <c r="F134" i="4"/>
  <c r="G134" i="4" s="1"/>
  <c r="F133" i="4"/>
  <c r="G133" i="4" s="1"/>
  <c r="F131" i="4"/>
  <c r="G131" i="4" s="1"/>
  <c r="F125" i="4"/>
  <c r="G125" i="4" s="1"/>
  <c r="F62" i="4"/>
  <c r="G62" i="4" s="1"/>
  <c r="F86" i="4"/>
  <c r="G86" i="4" s="1"/>
  <c r="F126" i="4"/>
  <c r="G126" i="4" s="1"/>
  <c r="F136" i="4"/>
  <c r="G136" i="4" s="1"/>
  <c r="F139" i="4"/>
  <c r="G139" i="4" s="1"/>
  <c r="F78" i="4"/>
  <c r="G78" i="4" s="1"/>
  <c r="F122" i="4"/>
  <c r="G122" i="4" s="1"/>
  <c r="F10" i="4"/>
  <c r="G10" i="4" s="1"/>
  <c r="F9" i="4"/>
  <c r="G9" i="4" s="1"/>
  <c r="F138" i="4"/>
  <c r="G138" i="4" s="1"/>
  <c r="F71" i="4"/>
  <c r="G71" i="4" s="1"/>
  <c r="F114" i="4"/>
  <c r="G114" i="4" s="1"/>
  <c r="F13" i="4"/>
  <c r="G13" i="4" s="1"/>
  <c r="F73" i="4"/>
  <c r="G73" i="4" s="1"/>
  <c r="F47" i="4"/>
  <c r="G47" i="4" s="1"/>
  <c r="F18" i="4"/>
  <c r="G18" i="4" s="1"/>
  <c r="F84" i="4"/>
  <c r="G84" i="4" s="1"/>
  <c r="F76" i="4"/>
  <c r="G76" i="4" s="1"/>
  <c r="F88" i="4"/>
  <c r="G88" i="4" s="1"/>
  <c r="F115" i="4"/>
  <c r="G115" i="4" s="1"/>
  <c r="F74" i="4"/>
  <c r="G74" i="4" s="1"/>
  <c r="F96" i="4"/>
  <c r="G96" i="4" s="1"/>
  <c r="F40" i="4"/>
  <c r="G40" i="4" s="1"/>
  <c r="F69" i="4"/>
  <c r="G69" i="4" s="1"/>
  <c r="F33" i="4"/>
  <c r="G33" i="4" s="1"/>
  <c r="F38" i="4"/>
  <c r="G38" i="4" s="1"/>
  <c r="F32" i="4"/>
  <c r="G32" i="4" s="1"/>
  <c r="F5" i="4"/>
  <c r="G5" i="4" s="1"/>
  <c r="F146" i="4"/>
  <c r="G146" i="4" s="1"/>
  <c r="F135" i="4"/>
  <c r="G135" i="4" s="1"/>
  <c r="F14" i="4"/>
  <c r="G14" i="4" s="1"/>
  <c r="F65" i="4"/>
  <c r="G65" i="4" s="1"/>
  <c r="F99" i="4"/>
  <c r="G99" i="4" s="1"/>
  <c r="F58" i="4"/>
  <c r="G58" i="4" s="1"/>
  <c r="F132" i="4"/>
  <c r="G132" i="4" s="1"/>
  <c r="F158" i="4"/>
  <c r="G158" i="4" s="1"/>
  <c r="F157" i="4"/>
  <c r="G157" i="4" s="1"/>
  <c r="F130" i="4"/>
  <c r="G130" i="4" s="1"/>
  <c r="F7" i="4"/>
  <c r="G7" i="4" s="1"/>
  <c r="F116" i="4"/>
  <c r="G116" i="4" s="1"/>
  <c r="F109" i="4"/>
  <c r="G109" i="4" s="1"/>
  <c r="F34" i="4"/>
  <c r="G34" i="4" s="1"/>
  <c r="F129" i="4"/>
  <c r="G129" i="4" s="1"/>
  <c r="F119" i="4"/>
  <c r="G119" i="4" s="1"/>
  <c r="F94" i="4"/>
  <c r="G94" i="4" s="1"/>
  <c r="F140" i="4"/>
  <c r="G140" i="4" s="1"/>
  <c r="F37" i="4"/>
  <c r="G37" i="4" s="1"/>
  <c r="F39" i="4"/>
  <c r="G39" i="4" s="1"/>
  <c r="F31" i="4"/>
  <c r="G31" i="4" s="1"/>
  <c r="F83" i="4"/>
  <c r="G83" i="4" s="1"/>
  <c r="F144" i="4"/>
  <c r="G144" i="4" s="1"/>
  <c r="F45" i="4"/>
  <c r="G45" i="4" s="1"/>
  <c r="F16" i="4"/>
  <c r="G16" i="4" s="1"/>
  <c r="F98" i="4"/>
  <c r="G98" i="4" s="1"/>
  <c r="F102" i="4"/>
  <c r="G102" i="4" s="1"/>
  <c r="F85" i="4"/>
  <c r="G85" i="4" s="1"/>
  <c r="F118" i="4"/>
  <c r="G118" i="4" s="1"/>
  <c r="F154" i="4"/>
  <c r="G154" i="4" s="1"/>
  <c r="F79" i="4"/>
  <c r="G79" i="4" s="1"/>
  <c r="F53" i="4"/>
  <c r="G53" i="4" s="1"/>
  <c r="F23" i="4"/>
  <c r="G23" i="4" s="1"/>
  <c r="F160" i="4"/>
  <c r="G160" i="4" s="1"/>
  <c r="F142" i="4"/>
  <c r="G142" i="4" s="1"/>
  <c r="F128" i="4"/>
  <c r="G128" i="4" s="1"/>
  <c r="F92" i="4"/>
  <c r="G92" i="4" s="1"/>
  <c r="F101" i="4"/>
  <c r="G101" i="4" s="1"/>
  <c r="F104" i="4"/>
  <c r="G104" i="4" s="1"/>
  <c r="F111" i="4"/>
  <c r="G111" i="4" s="1"/>
  <c r="F36" i="4"/>
  <c r="G36" i="4" s="1"/>
  <c r="F41" i="4"/>
  <c r="G41" i="4" s="1"/>
  <c r="F117" i="4"/>
  <c r="G117" i="4" s="1"/>
  <c r="F147" i="4"/>
  <c r="G147" i="4" s="1"/>
  <c r="F121" i="4"/>
  <c r="G121" i="4" s="1"/>
  <c r="F11" i="4"/>
  <c r="G11" i="4" s="1"/>
  <c r="F46" i="4"/>
  <c r="G46" i="4" s="1"/>
  <c r="F143" i="4"/>
  <c r="G143" i="4" s="1"/>
  <c r="F120" i="4"/>
  <c r="G120" i="4" s="1"/>
  <c r="F19" i="4"/>
  <c r="G19" i="4" s="1"/>
  <c r="F55" i="4"/>
  <c r="G55" i="4" s="1"/>
  <c r="F52" i="4"/>
  <c r="G52" i="4" s="1"/>
  <c r="F70" i="4"/>
  <c r="G70" i="4" s="1"/>
  <c r="F153" i="4"/>
  <c r="G153" i="4" s="1"/>
  <c r="G90" i="4"/>
  <c r="F59" i="4"/>
  <c r="G59" i="4" s="1"/>
  <c r="F105" i="4"/>
  <c r="G105" i="4" s="1"/>
  <c r="F66" i="4"/>
  <c r="G66" i="4" s="1"/>
  <c r="F60" i="4"/>
  <c r="G60" i="4" s="1"/>
  <c r="F100" i="4"/>
  <c r="G100" i="4" s="1"/>
  <c r="F77" i="4"/>
  <c r="G77" i="4" s="1"/>
  <c r="F28" i="4"/>
  <c r="G28" i="4" s="1"/>
  <c r="F15" i="4"/>
  <c r="G15" i="4" s="1"/>
  <c r="F20" i="4"/>
  <c r="G20" i="4" s="1"/>
  <c r="F93" i="4"/>
  <c r="G93" i="4" s="1"/>
  <c r="F155" i="4"/>
  <c r="G155" i="4" s="1"/>
  <c r="F95" i="4"/>
  <c r="G95" i="4" s="1"/>
  <c r="F68" i="4"/>
  <c r="G68" i="4" s="1"/>
  <c r="F80" i="4"/>
  <c r="G80" i="4" s="1"/>
  <c r="F149" i="4"/>
  <c r="G149" i="4" s="1"/>
  <c r="C285" i="5"/>
  <c r="C286" i="5" s="1"/>
  <c r="C287" i="5" s="1"/>
  <c r="C288" i="5" s="1"/>
  <c r="C289" i="5" s="1"/>
  <c r="C290" i="5" s="1"/>
  <c r="C291" i="5" s="1"/>
  <c r="C292" i="5" s="1"/>
  <c r="C293" i="5" s="1"/>
  <c r="C294" i="5" s="1"/>
  <c r="C295" i="5" s="1"/>
  <c r="C296" i="5" s="1"/>
  <c r="C297" i="5" s="1"/>
  <c r="C298" i="5" s="1"/>
  <c r="C299" i="5" s="1"/>
  <c r="C300" i="5" s="1"/>
  <c r="C301" i="5" s="1"/>
  <c r="C302" i="5" s="1"/>
  <c r="C303" i="5" s="1"/>
  <c r="C304" i="5" s="1"/>
  <c r="C305" i="5" s="1"/>
  <c r="C306" i="5" s="1"/>
  <c r="C307" i="5" s="1"/>
  <c r="C308" i="5" s="1"/>
  <c r="C309" i="5" s="1"/>
  <c r="C310" i="5" s="1"/>
  <c r="C311" i="5" s="1"/>
  <c r="C312" i="5" s="1"/>
  <c r="C313" i="5" s="1"/>
  <c r="C314" i="5" s="1"/>
  <c r="C315" i="5" s="1"/>
  <c r="C316" i="5" s="1"/>
  <c r="C317" i="5" s="1"/>
  <c r="C318" i="5" s="1"/>
  <c r="C319" i="5" s="1"/>
  <c r="C320" i="5" s="1"/>
  <c r="C321" i="5" s="1"/>
  <c r="C322" i="5" s="1"/>
  <c r="C323" i="5" s="1"/>
  <c r="C324" i="5" s="1"/>
  <c r="C325" i="5" s="1"/>
  <c r="C326" i="5" s="1"/>
  <c r="C327" i="5" s="1"/>
  <c r="C328" i="5" s="1"/>
  <c r="C329" i="5" s="1"/>
  <c r="C330" i="5" s="1"/>
  <c r="C331" i="5" s="1"/>
  <c r="C332" i="5" s="1"/>
  <c r="C333" i="5" s="1"/>
  <c r="C334" i="5" s="1"/>
  <c r="C335" i="5" s="1"/>
  <c r="C336" i="5" s="1"/>
  <c r="C337" i="5" s="1"/>
  <c r="C338" i="5" s="1"/>
  <c r="C339" i="5" s="1"/>
  <c r="C340" i="5" s="1"/>
  <c r="C341" i="5" s="1"/>
  <c r="C342" i="5" s="1"/>
  <c r="C343" i="5" s="1"/>
  <c r="C344" i="5" s="1"/>
  <c r="C345" i="5" s="1"/>
  <c r="C346" i="5" s="1"/>
  <c r="C347" i="5" s="1"/>
  <c r="C348" i="5" s="1"/>
  <c r="C349" i="5" s="1"/>
  <c r="C350" i="5" s="1"/>
  <c r="C351" i="5" s="1"/>
  <c r="C352" i="5" s="1"/>
  <c r="C353" i="5" s="1"/>
  <c r="C354" i="5" s="1"/>
  <c r="C355" i="5" s="1"/>
  <c r="C356" i="5" s="1"/>
  <c r="C357" i="5" s="1"/>
  <c r="C358" i="5" s="1"/>
  <c r="C359" i="5" s="1"/>
  <c r="C360" i="5" s="1"/>
  <c r="C361" i="5" s="1"/>
  <c r="C362" i="5" s="1"/>
  <c r="C363" i="5" s="1"/>
  <c r="C364" i="5" s="1"/>
  <c r="C365" i="5" s="1"/>
  <c r="C366" i="5" s="1"/>
  <c r="C367" i="5" s="1"/>
  <c r="C368" i="5" s="1"/>
  <c r="C369" i="5" s="1"/>
  <c r="C370" i="5" s="1"/>
  <c r="C371" i="5" s="1"/>
  <c r="C372" i="5" s="1"/>
  <c r="C373" i="5" s="1"/>
  <c r="C374" i="5" s="1"/>
  <c r="C375" i="5" s="1"/>
  <c r="C376" i="5" s="1"/>
  <c r="C377" i="5" s="1"/>
  <c r="C378" i="5" s="1"/>
  <c r="C379" i="5" s="1"/>
  <c r="C380" i="5" s="1"/>
  <c r="C381" i="5" s="1"/>
  <c r="C382" i="5" s="1"/>
  <c r="C383" i="5" s="1"/>
  <c r="C384" i="5" s="1"/>
  <c r="C385" i="5" s="1"/>
  <c r="C386" i="5" s="1"/>
  <c r="C387" i="5" s="1"/>
  <c r="C388" i="5" s="1"/>
  <c r="C389" i="5" s="1"/>
  <c r="C390" i="5" s="1"/>
  <c r="C391" i="5" s="1"/>
  <c r="C392" i="5" s="1"/>
  <c r="C393" i="5" s="1"/>
  <c r="C394" i="5" s="1"/>
  <c r="C395" i="5" s="1"/>
  <c r="C396" i="5" s="1"/>
  <c r="C397" i="5" s="1"/>
  <c r="C398" i="5" s="1"/>
  <c r="C399" i="5" s="1"/>
  <c r="C400" i="5" s="1"/>
  <c r="C401" i="5" s="1"/>
  <c r="C402" i="5" s="1"/>
  <c r="C403" i="5" s="1"/>
  <c r="C404" i="5" s="1"/>
  <c r="C405" i="5" s="1"/>
  <c r="C406" i="5" s="1"/>
  <c r="C407" i="5" s="1"/>
  <c r="C408" i="5" s="1"/>
  <c r="C409" i="5" s="1"/>
  <c r="C410" i="5" s="1"/>
  <c r="C411" i="5" s="1"/>
  <c r="C412" i="5" s="1"/>
  <c r="C413" i="5" s="1"/>
  <c r="C414" i="5" s="1"/>
  <c r="C415" i="5" s="1"/>
  <c r="C416" i="5" s="1"/>
  <c r="C417" i="5" s="1"/>
  <c r="C418" i="5" s="1"/>
  <c r="C419" i="5" s="1"/>
  <c r="C420" i="5" s="1"/>
  <c r="C421" i="5" s="1"/>
  <c r="C422" i="5" s="1"/>
  <c r="C423" i="5" s="1"/>
  <c r="C424" i="5" s="1"/>
  <c r="C425" i="5" s="1"/>
  <c r="C426" i="5" s="1"/>
  <c r="C427" i="5" s="1"/>
  <c r="C428" i="5" s="1"/>
  <c r="C429" i="5" s="1"/>
  <c r="C430" i="5" s="1"/>
  <c r="C431" i="5" s="1"/>
  <c r="C432" i="5" s="1"/>
  <c r="C433" i="5" s="1"/>
  <c r="C434" i="5" s="1"/>
  <c r="C435" i="5" s="1"/>
  <c r="C436" i="5" s="1"/>
  <c r="C437" i="5" s="1"/>
  <c r="C438" i="5" s="1"/>
  <c r="B284" i="17"/>
  <c r="B1473" i="9" l="1"/>
  <c r="B1473" i="17"/>
  <c r="K21" i="24"/>
  <c r="C439" i="5"/>
  <c r="C440" i="5" s="1"/>
  <c r="C441" i="5" s="1"/>
  <c r="C442" i="5" s="1"/>
  <c r="C443" i="5" s="1"/>
  <c r="C444" i="5" s="1"/>
  <c r="C445" i="5" s="1"/>
  <c r="C446" i="5" s="1"/>
  <c r="C447" i="5" s="1"/>
  <c r="C448" i="5" s="1"/>
  <c r="C449" i="5" s="1"/>
  <c r="C450" i="5" s="1"/>
  <c r="C451" i="5" s="1"/>
  <c r="C452" i="5" s="1"/>
  <c r="C453" i="5" s="1"/>
  <c r="C454" i="5" s="1"/>
  <c r="C455" i="5" s="1"/>
  <c r="C456" i="5" s="1"/>
  <c r="C457" i="5" s="1"/>
  <c r="C458" i="5" s="1"/>
  <c r="C459" i="5" s="1"/>
  <c r="C460" i="5" s="1"/>
  <c r="C461" i="5" s="1"/>
  <c r="C462" i="5" s="1"/>
  <c r="C463" i="5" s="1"/>
  <c r="C464" i="5" s="1"/>
  <c r="C465" i="5" s="1"/>
  <c r="C466" i="5" s="1"/>
  <c r="C467" i="5" s="1"/>
  <c r="C468" i="5" s="1"/>
  <c r="C469" i="5" s="1"/>
  <c r="C470" i="5" s="1"/>
  <c r="C471" i="5" s="1"/>
  <c r="C472" i="5" s="1"/>
  <c r="C473" i="5" s="1"/>
  <c r="C474" i="5" s="1"/>
  <c r="C475" i="5" s="1"/>
  <c r="C476" i="5" s="1"/>
  <c r="C477" i="5" s="1"/>
  <c r="C478" i="5" s="1"/>
  <c r="C479" i="5" s="1"/>
  <c r="C480" i="5" s="1"/>
  <c r="C481" i="5" s="1"/>
  <c r="C482" i="5" s="1"/>
  <c r="C483" i="5" s="1"/>
  <c r="C484" i="5" s="1"/>
  <c r="C485" i="5" s="1"/>
  <c r="C486" i="5" s="1"/>
  <c r="C487" i="5" s="1"/>
  <c r="C488" i="5" s="1"/>
  <c r="C489" i="5" s="1"/>
  <c r="C490" i="5" s="1"/>
  <c r="C491" i="5" s="1"/>
  <c r="C492" i="5" s="1"/>
  <c r="C493" i="5" s="1"/>
  <c r="C494" i="5" s="1"/>
  <c r="C495" i="5" s="1"/>
  <c r="C496" i="5" s="1"/>
  <c r="C497" i="5" s="1"/>
  <c r="C498" i="5" s="1"/>
  <c r="C499" i="5" s="1"/>
  <c r="C500" i="5" s="1"/>
  <c r="C501" i="5" s="1"/>
  <c r="C502" i="5" s="1"/>
  <c r="C503" i="5" s="1"/>
  <c r="C504" i="5" s="1"/>
  <c r="C505" i="5" s="1"/>
  <c r="C506" i="5" s="1"/>
  <c r="C507" i="5" s="1"/>
  <c r="C508" i="5" s="1"/>
  <c r="C509" i="5" s="1"/>
  <c r="C510" i="5" s="1"/>
  <c r="C511" i="5" s="1"/>
  <c r="C512" i="5" s="1"/>
  <c r="C513" i="5" s="1"/>
  <c r="C514" i="5" s="1"/>
  <c r="C515" i="5" s="1"/>
  <c r="C516" i="5" s="1"/>
  <c r="C517" i="5" s="1"/>
  <c r="C518" i="5" s="1"/>
  <c r="C519" i="5" s="1"/>
  <c r="C520" i="5" s="1"/>
  <c r="C521" i="5" s="1"/>
  <c r="C522" i="5" s="1"/>
  <c r="C523" i="5" s="1"/>
  <c r="C524" i="5" s="1"/>
  <c r="C525" i="5" s="1"/>
  <c r="C526" i="5" s="1"/>
  <c r="C527" i="5" s="1"/>
  <c r="C528" i="5" s="1"/>
  <c r="C529" i="5" s="1"/>
  <c r="C530" i="5" s="1"/>
  <c r="C531" i="5" s="1"/>
  <c r="C532" i="5" s="1"/>
  <c r="C533" i="5" s="1"/>
  <c r="C534" i="5" s="1"/>
  <c r="C535" i="5" s="1"/>
  <c r="C536" i="5" s="1"/>
  <c r="C537" i="5" s="1"/>
  <c r="C538" i="5" s="1"/>
  <c r="C539" i="5" s="1"/>
  <c r="C540" i="5" s="1"/>
  <c r="C541" i="5" s="1"/>
  <c r="C542" i="5" s="1"/>
  <c r="C543" i="5" s="1"/>
  <c r="C544" i="5" s="1"/>
  <c r="C545" i="5" s="1"/>
  <c r="C546" i="5" s="1"/>
  <c r="C547" i="5" s="1"/>
  <c r="C548" i="5" s="1"/>
  <c r="C549" i="5" s="1"/>
  <c r="C550" i="5" s="1"/>
  <c r="C551" i="5" s="1"/>
  <c r="C552" i="5" s="1"/>
  <c r="C553" i="5" s="1"/>
  <c r="C554" i="5" s="1"/>
  <c r="C555" i="5" s="1"/>
  <c r="C556" i="5" s="1"/>
  <c r="C557" i="5" s="1"/>
  <c r="C558" i="5" s="1"/>
  <c r="C559" i="5" s="1"/>
  <c r="C560" i="5" s="1"/>
  <c r="C561" i="5" s="1"/>
  <c r="C562" i="5" s="1"/>
  <c r="C563" i="5" s="1"/>
  <c r="C564" i="5" s="1"/>
  <c r="C565" i="5" s="1"/>
  <c r="C566" i="5" s="1"/>
  <c r="C567" i="5" s="1"/>
  <c r="C568" i="5" s="1"/>
  <c r="C569" i="5" s="1"/>
  <c r="C570" i="5" s="1"/>
  <c r="C571" i="5" s="1"/>
  <c r="C572" i="5" s="1"/>
  <c r="C573" i="5" s="1"/>
  <c r="C574" i="5" s="1"/>
  <c r="C575" i="5" s="1"/>
  <c r="C576" i="5" s="1"/>
  <c r="C577" i="5" s="1"/>
  <c r="C578" i="5" s="1"/>
  <c r="C579" i="5" s="1"/>
  <c r="C580" i="5" s="1"/>
  <c r="C581" i="5" s="1"/>
  <c r="C582" i="5" s="1"/>
  <c r="C583" i="5" s="1"/>
  <c r="C584" i="5" s="1"/>
  <c r="C585" i="5" s="1"/>
  <c r="C586" i="5" s="1"/>
  <c r="C587" i="5" s="1"/>
  <c r="C588" i="5" s="1"/>
  <c r="C589" i="5" s="1"/>
  <c r="C590" i="5" s="1"/>
  <c r="C591" i="5" s="1"/>
  <c r="C592" i="5" s="1"/>
  <c r="C593" i="5" s="1"/>
  <c r="C594" i="5" s="1"/>
  <c r="C595" i="5" s="1"/>
  <c r="C596" i="5" s="1"/>
  <c r="C597" i="5" s="1"/>
  <c r="C598" i="5" s="1"/>
  <c r="C599" i="5" s="1"/>
  <c r="C600" i="5" s="1"/>
  <c r="C601" i="5" s="1"/>
  <c r="C602" i="5" s="1"/>
  <c r="C603" i="5" s="1"/>
  <c r="C604" i="5" s="1"/>
  <c r="C605" i="5" s="1"/>
  <c r="C606" i="5" s="1"/>
  <c r="C607" i="5" s="1"/>
  <c r="C608" i="5" s="1"/>
  <c r="C609" i="5" s="1"/>
  <c r="C610" i="5" s="1"/>
  <c r="C611" i="5" s="1"/>
  <c r="C612" i="5" s="1"/>
  <c r="C613" i="5" s="1"/>
  <c r="C614" i="5" s="1"/>
  <c r="C615" i="5" s="1"/>
  <c r="C616" i="5" s="1"/>
  <c r="C617" i="5" s="1"/>
  <c r="C618" i="5" s="1"/>
  <c r="C619" i="5" s="1"/>
  <c r="C620" i="5" s="1"/>
  <c r="C621" i="5" s="1"/>
  <c r="C622" i="5" s="1"/>
  <c r="C623" i="5" s="1"/>
  <c r="C624" i="5" s="1"/>
  <c r="C625" i="5" s="1"/>
  <c r="C626" i="5" s="1"/>
  <c r="C627" i="5" s="1"/>
  <c r="C628" i="5" s="1"/>
  <c r="C629" i="5" s="1"/>
  <c r="C630" i="5" s="1"/>
  <c r="C631" i="5" s="1"/>
  <c r="C632" i="5" s="1"/>
  <c r="C633" i="5" s="1"/>
  <c r="C634" i="5" s="1"/>
  <c r="C635" i="5" s="1"/>
  <c r="C636" i="5" s="1"/>
  <c r="C637" i="5" s="1"/>
  <c r="C638" i="5" s="1"/>
  <c r="C639" i="5" s="1"/>
  <c r="C640" i="5" s="1"/>
  <c r="C641" i="5" s="1"/>
  <c r="C642" i="5" s="1"/>
  <c r="C643" i="5" s="1"/>
  <c r="C644" i="5" s="1"/>
  <c r="C645" i="5" s="1"/>
  <c r="C646" i="5" s="1"/>
  <c r="C647" i="5" s="1"/>
  <c r="C648" i="5" s="1"/>
  <c r="C649" i="5" s="1"/>
  <c r="C650" i="5" s="1"/>
  <c r="C651" i="5" s="1"/>
  <c r="C652" i="5" s="1"/>
  <c r="C653" i="5" s="1"/>
  <c r="C654" i="5" s="1"/>
  <c r="C655" i="5" s="1"/>
  <c r="C656" i="5" s="1"/>
  <c r="C657" i="5" s="1"/>
  <c r="C658" i="5" s="1"/>
  <c r="C659" i="5" s="1"/>
  <c r="C660" i="5" s="1"/>
  <c r="C661" i="5" s="1"/>
  <c r="C662" i="5" s="1"/>
  <c r="C663" i="5" s="1"/>
  <c r="C664" i="5" s="1"/>
  <c r="C665" i="5" s="1"/>
  <c r="C666" i="5" s="1"/>
  <c r="C667" i="5" s="1"/>
  <c r="C668" i="5" s="1"/>
  <c r="C669" i="5" s="1"/>
  <c r="C670" i="5" s="1"/>
  <c r="C671" i="5" s="1"/>
  <c r="C672" i="5" s="1"/>
  <c r="C673" i="5" s="1"/>
  <c r="C674" i="5" s="1"/>
  <c r="C675" i="5" s="1"/>
  <c r="C676" i="5" s="1"/>
  <c r="C677" i="5" s="1"/>
  <c r="C678" i="5" s="1"/>
  <c r="C679" i="5" s="1"/>
  <c r="C680" i="5" s="1"/>
  <c r="C681" i="5" s="1"/>
  <c r="C682" i="5" s="1"/>
  <c r="C683" i="5" s="1"/>
  <c r="C684" i="5" s="1"/>
  <c r="C685" i="5" s="1"/>
  <c r="C686" i="5" s="1"/>
  <c r="C687" i="5" s="1"/>
  <c r="C688" i="5" s="1"/>
  <c r="C689" i="5" s="1"/>
  <c r="C690" i="5" s="1"/>
  <c r="C691" i="5" s="1"/>
  <c r="C692" i="5" s="1"/>
  <c r="C693" i="5" s="1"/>
  <c r="C694" i="5" s="1"/>
  <c r="C695" i="5" s="1"/>
  <c r="C696" i="5" s="1"/>
  <c r="C697" i="5" s="1"/>
  <c r="C698" i="5" s="1"/>
  <c r="C699" i="5" s="1"/>
  <c r="C700" i="5" s="1"/>
  <c r="C701" i="5" s="1"/>
  <c r="C702" i="5" s="1"/>
  <c r="C703" i="5" s="1"/>
  <c r="C704" i="5" s="1"/>
  <c r="C705" i="5" s="1"/>
  <c r="C706" i="5" s="1"/>
  <c r="C707" i="5" s="1"/>
  <c r="C708" i="5" s="1"/>
  <c r="C709" i="5" s="1"/>
  <c r="C710" i="5" s="1"/>
  <c r="C711" i="5" s="1"/>
  <c r="C712" i="5" s="1"/>
  <c r="C713" i="5" s="1"/>
  <c r="C714" i="5" s="1"/>
  <c r="C715" i="5" s="1"/>
  <c r="C716" i="5" s="1"/>
  <c r="C717" i="5" s="1"/>
  <c r="C718" i="5" s="1"/>
  <c r="C719" i="5" s="1"/>
  <c r="C720" i="5" s="1"/>
  <c r="C721" i="5" s="1"/>
  <c r="C722" i="5" s="1"/>
  <c r="C723" i="5" s="1"/>
  <c r="C724" i="5" s="1"/>
  <c r="C725" i="5" s="1"/>
  <c r="C726" i="5" s="1"/>
  <c r="C727" i="5" s="1"/>
  <c r="C728" i="5" s="1"/>
  <c r="C729" i="5" s="1"/>
  <c r="C730" i="5" s="1"/>
  <c r="C731" i="5" s="1"/>
  <c r="C732" i="5" s="1"/>
  <c r="C733" i="5" s="1"/>
  <c r="C734" i="5" s="1"/>
  <c r="C735" i="5" s="1"/>
  <c r="C736" i="5" s="1"/>
  <c r="C737" i="5" s="1"/>
  <c r="C738" i="5" s="1"/>
  <c r="C739" i="5" s="1"/>
  <c r="C740" i="5" s="1"/>
  <c r="C741" i="5" s="1"/>
  <c r="C742" i="5" s="1"/>
  <c r="C743" i="5" s="1"/>
  <c r="C744" i="5" s="1"/>
  <c r="C745" i="5" s="1"/>
  <c r="C746" i="5" s="1"/>
  <c r="C747" i="5" s="1"/>
  <c r="C748" i="5" s="1"/>
  <c r="C749" i="5" s="1"/>
  <c r="C750" i="5" s="1"/>
  <c r="C751" i="5" s="1"/>
  <c r="C752" i="5" s="1"/>
  <c r="C753" i="5" s="1"/>
  <c r="C754" i="5" s="1"/>
  <c r="C755" i="5" s="1"/>
  <c r="C756" i="5" s="1"/>
  <c r="C757" i="5" s="1"/>
  <c r="C758" i="5" s="1"/>
  <c r="C759" i="5" s="1"/>
  <c r="C760" i="5" s="1"/>
  <c r="C761" i="5" s="1"/>
  <c r="C762" i="5" s="1"/>
  <c r="C763" i="5" s="1"/>
  <c r="C764" i="5" s="1"/>
  <c r="C765" i="5" s="1"/>
  <c r="C766" i="5" s="1"/>
  <c r="C767" i="5" s="1"/>
  <c r="C768" i="5" s="1"/>
  <c r="C769" i="5" s="1"/>
  <c r="C770" i="5" s="1"/>
  <c r="C771" i="5" s="1"/>
  <c r="C772" i="5" s="1"/>
  <c r="C773" i="5" s="1"/>
  <c r="C774" i="5" s="1"/>
  <c r="C775" i="5" s="1"/>
  <c r="C776" i="5" s="1"/>
  <c r="C777" i="5" s="1"/>
  <c r="C778" i="5" s="1"/>
  <c r="C779" i="5" s="1"/>
  <c r="C780" i="5" s="1"/>
  <c r="C781" i="5" s="1"/>
  <c r="C782" i="5" s="1"/>
  <c r="C783" i="5" s="1"/>
  <c r="C784" i="5" s="1"/>
  <c r="C785" i="5" s="1"/>
  <c r="C786" i="5" s="1"/>
  <c r="C787" i="5" s="1"/>
  <c r="C788" i="5" s="1"/>
  <c r="C789" i="5" s="1"/>
  <c r="C790" i="5" s="1"/>
  <c r="C791" i="5" s="1"/>
  <c r="C792" i="5" s="1"/>
  <c r="C793" i="5" s="1"/>
  <c r="C794" i="5" s="1"/>
  <c r="C795" i="5" s="1"/>
  <c r="C796" i="5" s="1"/>
  <c r="C797" i="5" s="1"/>
  <c r="C798" i="5" s="1"/>
  <c r="C799" i="5" s="1"/>
  <c r="C800" i="5" s="1"/>
  <c r="C801" i="5" s="1"/>
  <c r="C802" i="5" s="1"/>
  <c r="C803" i="5" s="1"/>
  <c r="C804" i="5" s="1"/>
  <c r="C805" i="5" s="1"/>
  <c r="C806" i="5" s="1"/>
  <c r="C807" i="5" s="1"/>
  <c r="C808" i="5" s="1"/>
  <c r="C809" i="5" s="1"/>
  <c r="C810" i="5" s="1"/>
  <c r="C811" i="5" s="1"/>
  <c r="C812" i="5" s="1"/>
  <c r="C813" i="5" s="1"/>
  <c r="C814" i="5" s="1"/>
  <c r="C815" i="5" s="1"/>
  <c r="C816" i="5" s="1"/>
  <c r="C817" i="5" s="1"/>
  <c r="C818" i="5" s="1"/>
  <c r="C819" i="5" s="1"/>
  <c r="C820" i="5" s="1"/>
  <c r="C821" i="5" s="1"/>
  <c r="C822" i="5" s="1"/>
  <c r="C823" i="5" s="1"/>
  <c r="C824" i="5" s="1"/>
  <c r="C825" i="5" s="1"/>
  <c r="C826" i="5" s="1"/>
  <c r="C827" i="5" s="1"/>
  <c r="C828" i="5" s="1"/>
  <c r="C829" i="5" s="1"/>
  <c r="C830" i="5" s="1"/>
  <c r="C831" i="5" s="1"/>
  <c r="C832" i="5" s="1"/>
  <c r="C833" i="5" s="1"/>
  <c r="C834" i="5" s="1"/>
  <c r="C835" i="5" s="1"/>
  <c r="C836" i="5" s="1"/>
  <c r="C837" i="5" s="1"/>
  <c r="C838" i="5" s="1"/>
  <c r="C839" i="5" s="1"/>
  <c r="C840" i="5" s="1"/>
  <c r="C841" i="5" s="1"/>
  <c r="C842" i="5" s="1"/>
  <c r="C843" i="5" s="1"/>
  <c r="C844" i="5" s="1"/>
  <c r="C845" i="5" s="1"/>
  <c r="C846" i="5" s="1"/>
  <c r="C847" i="5" s="1"/>
  <c r="C848" i="5" s="1"/>
  <c r="C849" i="5" s="1"/>
  <c r="C850" i="5" s="1"/>
  <c r="C851" i="5" s="1"/>
  <c r="C852" i="5" s="1"/>
  <c r="C853" i="5" s="1"/>
  <c r="C854" i="5" s="1"/>
  <c r="C855" i="5" s="1"/>
  <c r="C856" i="5" s="1"/>
  <c r="C857" i="5" s="1"/>
  <c r="C858" i="5" s="1"/>
  <c r="C859" i="5" s="1"/>
  <c r="C860" i="5" s="1"/>
  <c r="C861" i="5" s="1"/>
  <c r="C862" i="5" s="1"/>
  <c r="C863" i="5" s="1"/>
  <c r="C864" i="5" s="1"/>
  <c r="C865" i="5" s="1"/>
  <c r="C866" i="5" s="1"/>
  <c r="C867" i="5" s="1"/>
  <c r="C868" i="5" s="1"/>
  <c r="C869" i="5" s="1"/>
  <c r="C870" i="5" s="1"/>
  <c r="C871" i="5" s="1"/>
  <c r="C872" i="5" s="1"/>
  <c r="C873" i="5" s="1"/>
  <c r="C874" i="5" s="1"/>
  <c r="C875" i="5" s="1"/>
  <c r="C876" i="5" s="1"/>
  <c r="C877" i="5" s="1"/>
  <c r="C878" i="5" s="1"/>
  <c r="C879" i="5" s="1"/>
  <c r="C880" i="5" s="1"/>
  <c r="C881" i="5" s="1"/>
  <c r="C882" i="5" s="1"/>
  <c r="C883" i="5" s="1"/>
  <c r="C884" i="5" s="1"/>
  <c r="C885" i="5" s="1"/>
  <c r="C886" i="5" s="1"/>
  <c r="C887" i="5" s="1"/>
  <c r="C888" i="5" s="1"/>
  <c r="C889" i="5" s="1"/>
  <c r="C890" i="5" s="1"/>
  <c r="C891" i="5" s="1"/>
  <c r="C892" i="5" s="1"/>
  <c r="C893" i="5" s="1"/>
  <c r="C894" i="5" s="1"/>
  <c r="C895" i="5" s="1"/>
  <c r="C896" i="5" s="1"/>
  <c r="C897" i="5" s="1"/>
  <c r="C898" i="5" s="1"/>
  <c r="C899" i="5" s="1"/>
  <c r="C900" i="5" s="1"/>
  <c r="C901" i="5" s="1"/>
  <c r="C902" i="5" s="1"/>
  <c r="C903" i="5" s="1"/>
  <c r="C904" i="5" s="1"/>
  <c r="C905" i="5" s="1"/>
  <c r="C906" i="5" s="1"/>
  <c r="C907" i="5" s="1"/>
  <c r="C908" i="5" s="1"/>
  <c r="C909" i="5" s="1"/>
  <c r="C910" i="5" s="1"/>
  <c r="C911" i="5" s="1"/>
  <c r="C912" i="5" s="1"/>
  <c r="C913" i="5" s="1"/>
  <c r="C914" i="5" s="1"/>
  <c r="C915" i="5" s="1"/>
  <c r="C916" i="5" s="1"/>
  <c r="C917" i="5" s="1"/>
  <c r="C918" i="5" s="1"/>
  <c r="C919" i="5" s="1"/>
  <c r="C920" i="5" s="1"/>
  <c r="C921" i="5" s="1"/>
  <c r="C922" i="5" s="1"/>
  <c r="C923" i="5" s="1"/>
  <c r="C924" i="5" s="1"/>
  <c r="C925" i="5" s="1"/>
  <c r="C926" i="5" s="1"/>
  <c r="C927" i="5" s="1"/>
  <c r="C928" i="5" s="1"/>
  <c r="C929" i="5" s="1"/>
  <c r="C930" i="5" s="1"/>
  <c r="C931" i="5" s="1"/>
  <c r="C932" i="5" s="1"/>
  <c r="C933" i="5" s="1"/>
  <c r="C934" i="5" s="1"/>
  <c r="C935" i="5" s="1"/>
  <c r="C936" i="5" s="1"/>
  <c r="C937" i="5" s="1"/>
  <c r="C938" i="5" s="1"/>
  <c r="C939" i="5" s="1"/>
  <c r="C940" i="5" s="1"/>
  <c r="C941" i="5" s="1"/>
  <c r="C942" i="5" s="1"/>
  <c r="C943" i="5" s="1"/>
  <c r="C944" i="5" s="1"/>
  <c r="C945" i="5" s="1"/>
  <c r="C946" i="5" s="1"/>
  <c r="C947" i="5" s="1"/>
  <c r="C948" i="5" s="1"/>
  <c r="C949" i="5" s="1"/>
  <c r="C950" i="5" s="1"/>
  <c r="C951" i="5" s="1"/>
  <c r="C952" i="5" s="1"/>
  <c r="C953" i="5" s="1"/>
  <c r="C954" i="5" s="1"/>
  <c r="C955" i="5" s="1"/>
  <c r="C956" i="5" s="1"/>
  <c r="C957" i="5" s="1"/>
  <c r="C958" i="5" s="1"/>
  <c r="C959" i="5" s="1"/>
  <c r="C960" i="5" s="1"/>
  <c r="C961" i="5" s="1"/>
  <c r="C962" i="5" s="1"/>
  <c r="C963" i="5" s="1"/>
  <c r="C964" i="5" s="1"/>
  <c r="C965" i="5" s="1"/>
  <c r="C966" i="5" s="1"/>
  <c r="C967" i="5" s="1"/>
  <c r="C968" i="5" s="1"/>
  <c r="C969" i="5" s="1"/>
  <c r="C970" i="5" s="1"/>
  <c r="C971" i="5" s="1"/>
  <c r="C972" i="5" s="1"/>
  <c r="C973" i="5" s="1"/>
  <c r="C974" i="5" s="1"/>
  <c r="C975" i="5" s="1"/>
  <c r="C976" i="5" s="1"/>
  <c r="C977" i="5" s="1"/>
  <c r="C978" i="5" s="1"/>
  <c r="C979" i="5" s="1"/>
  <c r="C980" i="5" s="1"/>
  <c r="C981" i="5" s="1"/>
  <c r="C982" i="5" s="1"/>
  <c r="C983" i="5" s="1"/>
  <c r="C984" i="5" s="1"/>
  <c r="C985" i="5" s="1"/>
  <c r="C986" i="5" s="1"/>
  <c r="C987" i="5" s="1"/>
  <c r="C988" i="5" s="1"/>
  <c r="C989" i="5" s="1"/>
  <c r="C990" i="5" s="1"/>
  <c r="C991" i="5" s="1"/>
  <c r="C992" i="5" s="1"/>
  <c r="C993" i="5" s="1"/>
  <c r="C994" i="5" s="1"/>
  <c r="C995" i="5" s="1"/>
  <c r="C996" i="5" s="1"/>
  <c r="C997" i="5" s="1"/>
  <c r="C998" i="5" s="1"/>
  <c r="C999" i="5" s="1"/>
  <c r="C1000" i="5" s="1"/>
  <c r="C1001" i="5" s="1"/>
  <c r="C1002" i="5" s="1"/>
  <c r="C1003" i="5" s="1"/>
  <c r="C1004" i="5" s="1"/>
  <c r="C1005" i="5" s="1"/>
  <c r="C1006" i="5" s="1"/>
  <c r="C1007" i="5" s="1"/>
  <c r="C1008" i="5" s="1"/>
  <c r="C1009" i="5" s="1"/>
  <c r="C1010" i="5" s="1"/>
  <c r="C1011" i="5" s="1"/>
  <c r="C1012" i="5" s="1"/>
  <c r="C1013" i="5" s="1"/>
  <c r="C1014" i="5" s="1"/>
  <c r="C1015" i="5" s="1"/>
  <c r="C1016" i="5" s="1"/>
  <c r="C1017" i="5" s="1"/>
  <c r="C1018" i="5" s="1"/>
  <c r="C1019" i="5" s="1"/>
  <c r="C1020" i="5" s="1"/>
  <c r="C1021" i="5" s="1"/>
  <c r="C1022" i="5" s="1"/>
  <c r="C1023" i="5" s="1"/>
  <c r="C1024" i="5" s="1"/>
  <c r="C1025" i="5" s="1"/>
  <c r="C1026" i="5" s="1"/>
  <c r="C1027" i="5" s="1"/>
  <c r="C1028" i="5" s="1"/>
  <c r="C1029" i="5" s="1"/>
  <c r="C1030" i="5" s="1"/>
  <c r="C1031" i="5" s="1"/>
  <c r="C1032" i="5" s="1"/>
  <c r="C1033" i="5" s="1"/>
  <c r="C1034" i="5" s="1"/>
  <c r="C1035" i="5" s="1"/>
  <c r="C1036" i="5" s="1"/>
  <c r="C1037" i="5" s="1"/>
  <c r="C1038" i="5" s="1"/>
  <c r="C1039" i="5" s="1"/>
  <c r="C1040" i="5" s="1"/>
  <c r="C1041" i="5" s="1"/>
  <c r="C1042" i="5" s="1"/>
  <c r="C1043" i="5" s="1"/>
  <c r="C1044" i="5" s="1"/>
  <c r="C1045" i="5" s="1"/>
  <c r="C1046" i="5" s="1"/>
  <c r="C1047" i="5" s="1"/>
  <c r="C1048" i="5" s="1"/>
  <c r="C1049" i="5" s="1"/>
  <c r="C1050" i="5" s="1"/>
  <c r="C1051" i="5" s="1"/>
  <c r="C1052" i="5" s="1"/>
  <c r="C1053" i="5" s="1"/>
  <c r="C1054" i="5" s="1"/>
  <c r="C1055" i="5" s="1"/>
  <c r="C1056" i="5" s="1"/>
  <c r="C1057" i="5" s="1"/>
  <c r="C1058" i="5" s="1"/>
  <c r="C1059" i="5" s="1"/>
  <c r="C1060" i="5" s="1"/>
  <c r="C1061" i="5" s="1"/>
  <c r="C1062" i="5" s="1"/>
  <c r="C1063" i="5" s="1"/>
  <c r="C1064" i="5" s="1"/>
  <c r="C1065" i="5" s="1"/>
  <c r="C1066" i="5" s="1"/>
  <c r="C1067" i="5" s="1"/>
  <c r="C1068" i="5" s="1"/>
  <c r="C1069" i="5" s="1"/>
  <c r="C1070" i="5" s="1"/>
  <c r="C1071" i="5" s="1"/>
  <c r="C1072" i="5" s="1"/>
  <c r="C1073" i="5" s="1"/>
  <c r="C1074" i="5" s="1"/>
  <c r="C1075" i="5" s="1"/>
  <c r="C1076" i="5" s="1"/>
  <c r="C1077" i="5" s="1"/>
  <c r="C1078" i="5" s="1"/>
  <c r="C1079" i="5" s="1"/>
  <c r="C1080" i="5" s="1"/>
  <c r="C1081" i="5" s="1"/>
  <c r="C1082" i="5" s="1"/>
  <c r="C1083" i="5" s="1"/>
  <c r="C1084" i="5" s="1"/>
  <c r="C1085" i="5" s="1"/>
  <c r="C1086" i="5" s="1"/>
  <c r="C1087" i="5" s="1"/>
  <c r="C1088" i="5" s="1"/>
  <c r="C1089" i="5" s="1"/>
  <c r="C1090" i="5" s="1"/>
  <c r="C1091" i="5" s="1"/>
  <c r="C1092" i="5" s="1"/>
  <c r="C1093" i="5" s="1"/>
  <c r="C1094" i="5" s="1"/>
  <c r="C1095" i="5" s="1"/>
  <c r="C1096" i="5" s="1"/>
  <c r="C1097" i="5" s="1"/>
  <c r="C1098" i="5" s="1"/>
  <c r="C1099" i="5" s="1"/>
  <c r="C1100" i="5" s="1"/>
  <c r="C1101" i="5" s="1"/>
  <c r="C1102" i="5" s="1"/>
  <c r="C1103" i="5" s="1"/>
  <c r="C1104" i="5" s="1"/>
  <c r="C1105" i="5" s="1"/>
  <c r="C1106" i="5" s="1"/>
  <c r="C1107" i="5" s="1"/>
  <c r="C1108" i="5" s="1"/>
  <c r="C1109" i="5" s="1"/>
  <c r="C1110" i="5" s="1"/>
  <c r="C1111" i="5" s="1"/>
  <c r="C1112" i="5" s="1"/>
  <c r="C1113" i="5" s="1"/>
  <c r="C1114" i="5" s="1"/>
  <c r="C1115" i="5" s="1"/>
  <c r="C1116" i="5" s="1"/>
  <c r="C1117" i="5" s="1"/>
  <c r="C1118" i="5" s="1"/>
  <c r="C1119" i="5" s="1"/>
  <c r="C1120" i="5" s="1"/>
  <c r="C1121" i="5" s="1"/>
  <c r="C1122" i="5" s="1"/>
  <c r="C1123" i="5" s="1"/>
  <c r="C1124" i="5" s="1"/>
  <c r="C1125" i="5" s="1"/>
  <c r="C1126" i="5" s="1"/>
  <c r="C1127" i="5" s="1"/>
  <c r="C1128" i="5" s="1"/>
  <c r="C1129" i="5" s="1"/>
  <c r="C1130" i="5" s="1"/>
  <c r="C1131" i="5" s="1"/>
  <c r="C1132" i="5" s="1"/>
  <c r="C1133" i="5" s="1"/>
  <c r="C1134" i="5" s="1"/>
  <c r="C1135" i="5" s="1"/>
  <c r="C1136" i="5" s="1"/>
  <c r="C1137" i="5" s="1"/>
  <c r="C1138" i="5" s="1"/>
  <c r="C1139" i="5" s="1"/>
  <c r="C1140" i="5" s="1"/>
  <c r="C1141" i="5" s="1"/>
  <c r="C1142" i="5" s="1"/>
  <c r="C1143" i="5" s="1"/>
  <c r="C1144" i="5" s="1"/>
  <c r="C1145" i="5" s="1"/>
  <c r="C1146" i="5" s="1"/>
  <c r="C1147" i="5" s="1"/>
  <c r="C1148" i="5" s="1"/>
  <c r="C1149" i="5" s="1"/>
  <c r="C1150" i="5" s="1"/>
  <c r="C1151" i="5" s="1"/>
  <c r="C1152" i="5" s="1"/>
  <c r="C1153" i="5" s="1"/>
  <c r="C1154" i="5" s="1"/>
  <c r="C1155" i="5" s="1"/>
  <c r="C1156" i="5" s="1"/>
  <c r="C1157" i="5" s="1"/>
  <c r="C1158" i="5" s="1"/>
  <c r="C1159" i="5" s="1"/>
  <c r="C1160" i="5" s="1"/>
  <c r="C1161" i="5" s="1"/>
  <c r="C1162" i="5" s="1"/>
  <c r="C1163" i="5" s="1"/>
  <c r="C1164" i="5" s="1"/>
  <c r="C1165" i="5" s="1"/>
  <c r="C1166" i="5" s="1"/>
  <c r="C1167" i="5" s="1"/>
  <c r="C1168" i="5" s="1"/>
  <c r="C1169" i="5" s="1"/>
  <c r="C1170" i="5" s="1"/>
  <c r="C1171" i="5" s="1"/>
  <c r="C1172" i="5" s="1"/>
  <c r="C1173" i="5" s="1"/>
  <c r="C1174" i="5" s="1"/>
  <c r="C1175" i="5" s="1"/>
  <c r="C1176" i="5" s="1"/>
  <c r="C1177" i="5" s="1"/>
  <c r="C1178" i="5" s="1"/>
  <c r="C1179" i="5" s="1"/>
  <c r="C1180" i="5" s="1"/>
  <c r="C1181" i="5" s="1"/>
  <c r="C1182" i="5" s="1"/>
  <c r="C1183" i="5" s="1"/>
  <c r="C1184" i="5" s="1"/>
  <c r="C1185" i="5" s="1"/>
  <c r="C1186" i="5" s="1"/>
  <c r="C1187" i="5" s="1"/>
  <c r="C1188" i="5" s="1"/>
  <c r="C1189" i="5" s="1"/>
  <c r="C1190" i="5" s="1"/>
  <c r="C1191" i="5" s="1"/>
  <c r="C1192" i="5" s="1"/>
  <c r="C1193" i="5" s="1"/>
  <c r="C1194" i="5" s="1"/>
  <c r="C1195" i="5" s="1"/>
  <c r="C1196" i="5" s="1"/>
  <c r="C1197" i="5" s="1"/>
  <c r="C1198" i="5" s="1"/>
  <c r="C1199" i="5" s="1"/>
  <c r="C1200" i="5" s="1"/>
  <c r="C1201" i="5" s="1"/>
  <c r="C1202" i="5" s="1"/>
  <c r="C1203" i="5" s="1"/>
  <c r="C1204" i="5" s="1"/>
  <c r="C1205" i="5" s="1"/>
  <c r="C1206" i="5" s="1"/>
  <c r="C1207" i="5" s="1"/>
  <c r="C1208" i="5" s="1"/>
  <c r="C1209" i="5" s="1"/>
  <c r="C1210" i="5" s="1"/>
  <c r="C1211" i="5" s="1"/>
  <c r="C1212" i="5" s="1"/>
  <c r="C1213" i="5" s="1"/>
  <c r="C1214" i="5" s="1"/>
  <c r="B438" i="17"/>
  <c r="C1215" i="5" l="1"/>
  <c r="B1214" i="17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656" i="5"/>
  <c r="A704" i="5"/>
  <c r="A752" i="5"/>
  <c r="A5" i="5"/>
  <c r="A684" i="5"/>
  <c r="A686" i="5"/>
  <c r="A698" i="5"/>
  <c r="A701" i="5"/>
  <c r="A705" i="5"/>
  <c r="A707" i="5"/>
  <c r="A713" i="5"/>
  <c r="A716" i="5"/>
  <c r="A722" i="5"/>
  <c r="A726" i="5"/>
  <c r="A732" i="5"/>
  <c r="A734" i="5"/>
  <c r="A748" i="5"/>
  <c r="A749" i="5"/>
  <c r="A756" i="5"/>
  <c r="A765" i="5"/>
  <c r="A771" i="5"/>
  <c r="A778" i="5"/>
  <c r="A780" i="5"/>
  <c r="A792" i="5"/>
  <c r="A794" i="5"/>
  <c r="A646" i="5"/>
  <c r="A652" i="5"/>
  <c r="A660" i="5"/>
  <c r="A667" i="5"/>
  <c r="A674" i="5"/>
  <c r="C1216" i="5" l="1"/>
  <c r="B1215" i="17"/>
  <c r="A661" i="5"/>
  <c r="A649" i="5"/>
  <c r="A637" i="5"/>
  <c r="A759" i="5"/>
  <c r="A675" i="5"/>
  <c r="A663" i="5"/>
  <c r="A651" i="5"/>
  <c r="A639" i="5"/>
  <c r="A763" i="5"/>
  <c r="A715" i="5"/>
  <c r="A797" i="5"/>
  <c r="A785" i="5"/>
  <c r="A773" i="5"/>
  <c r="A761" i="5"/>
  <c r="A737" i="5"/>
  <c r="A725" i="5"/>
  <c r="A689" i="5"/>
  <c r="A662" i="5"/>
  <c r="A650" i="5"/>
  <c r="A638" i="5"/>
  <c r="A796" i="5"/>
  <c r="A784" i="5"/>
  <c r="A772" i="5"/>
  <c r="A760" i="5"/>
  <c r="A736" i="5"/>
  <c r="A724" i="5"/>
  <c r="A712" i="5"/>
  <c r="A700" i="5"/>
  <c r="A688" i="5"/>
  <c r="A762" i="5"/>
  <c r="A714" i="5"/>
  <c r="A666" i="5"/>
  <c r="A673" i="5"/>
  <c r="A747" i="5"/>
  <c r="A687" i="5"/>
  <c r="A672" i="5"/>
  <c r="A648" i="5"/>
  <c r="A636" i="5"/>
  <c r="A782" i="5"/>
  <c r="A770" i="5"/>
  <c r="A758" i="5"/>
  <c r="A746" i="5"/>
  <c r="A710" i="5"/>
  <c r="A799" i="5"/>
  <c r="A751" i="5"/>
  <c r="A703" i="5"/>
  <c r="A655" i="5"/>
  <c r="A671" i="5"/>
  <c r="A659" i="5"/>
  <c r="A647" i="5"/>
  <c r="A635" i="5"/>
  <c r="A793" i="5"/>
  <c r="A781" i="5"/>
  <c r="A769" i="5"/>
  <c r="A757" i="5"/>
  <c r="A745" i="5"/>
  <c r="A733" i="5"/>
  <c r="A721" i="5"/>
  <c r="A709" i="5"/>
  <c r="A697" i="5"/>
  <c r="A685" i="5"/>
  <c r="A798" i="5"/>
  <c r="A750" i="5"/>
  <c r="A702" i="5"/>
  <c r="A654" i="5"/>
  <c r="A658" i="5"/>
  <c r="A634" i="5"/>
  <c r="A768" i="5"/>
  <c r="A744" i="5"/>
  <c r="A720" i="5"/>
  <c r="A708" i="5"/>
  <c r="A696" i="5"/>
  <c r="A788" i="5"/>
  <c r="A740" i="5"/>
  <c r="A692" i="5"/>
  <c r="A644" i="5"/>
  <c r="A711" i="5"/>
  <c r="A669" i="5"/>
  <c r="A645" i="5"/>
  <c r="A791" i="5"/>
  <c r="A779" i="5"/>
  <c r="A767" i="5"/>
  <c r="A755" i="5"/>
  <c r="A743" i="5"/>
  <c r="A731" i="5"/>
  <c r="A719" i="5"/>
  <c r="A695" i="5"/>
  <c r="A683" i="5"/>
  <c r="A787" i="5"/>
  <c r="A739" i="5"/>
  <c r="A691" i="5"/>
  <c r="A643" i="5"/>
  <c r="A783" i="5"/>
  <c r="A670" i="5"/>
  <c r="A681" i="5"/>
  <c r="A657" i="5"/>
  <c r="A633" i="5"/>
  <c r="A790" i="5"/>
  <c r="A766" i="5"/>
  <c r="A754" i="5"/>
  <c r="A742" i="5"/>
  <c r="A730" i="5"/>
  <c r="A718" i="5"/>
  <c r="A706" i="5"/>
  <c r="A694" i="5"/>
  <c r="A682" i="5"/>
  <c r="A786" i="5"/>
  <c r="A738" i="5"/>
  <c r="A690" i="5"/>
  <c r="A642" i="5"/>
  <c r="A789" i="5"/>
  <c r="A777" i="5"/>
  <c r="A753" i="5"/>
  <c r="A741" i="5"/>
  <c r="A729" i="5"/>
  <c r="A717" i="5"/>
  <c r="A693" i="5"/>
  <c r="A776" i="5"/>
  <c r="A728" i="5"/>
  <c r="A680" i="5"/>
  <c r="A632" i="5"/>
  <c r="A723" i="5"/>
  <c r="A775" i="5"/>
  <c r="A727" i="5"/>
  <c r="A679" i="5"/>
  <c r="A699" i="5"/>
  <c r="A641" i="5"/>
  <c r="A774" i="5"/>
  <c r="A678" i="5"/>
  <c r="A795" i="5"/>
  <c r="A735" i="5"/>
  <c r="A677" i="5"/>
  <c r="A665" i="5"/>
  <c r="A653" i="5"/>
  <c r="A676" i="5"/>
  <c r="A664" i="5"/>
  <c r="A640" i="5"/>
  <c r="A764" i="5"/>
  <c r="A668" i="5"/>
  <c r="C1217" i="5" l="1"/>
  <c r="B1216" i="17"/>
  <c r="K800" i="5"/>
  <c r="M800" i="5" s="1"/>
  <c r="A800" i="5"/>
  <c r="K912" i="5"/>
  <c r="M912" i="5" s="1"/>
  <c r="A912" i="5"/>
  <c r="K868" i="5"/>
  <c r="M868" i="5" s="1"/>
  <c r="A868" i="5"/>
  <c r="A888" i="5"/>
  <c r="K888" i="5"/>
  <c r="M888" i="5" s="1"/>
  <c r="K811" i="5"/>
  <c r="M811" i="5" s="1"/>
  <c r="A811" i="5"/>
  <c r="K835" i="5"/>
  <c r="M835" i="5" s="1"/>
  <c r="A835" i="5"/>
  <c r="K916" i="5"/>
  <c r="M916" i="5" s="1"/>
  <c r="A916" i="5"/>
  <c r="K979" i="5"/>
  <c r="M979" i="5" s="1"/>
  <c r="A979" i="5"/>
  <c r="K907" i="5"/>
  <c r="M907" i="5" s="1"/>
  <c r="A907" i="5"/>
  <c r="A926" i="5"/>
  <c r="K926" i="5"/>
  <c r="M926" i="5" s="1"/>
  <c r="K817" i="5"/>
  <c r="M817" i="5" s="1"/>
  <c r="A817" i="5"/>
  <c r="K923" i="5"/>
  <c r="M923" i="5" s="1"/>
  <c r="A923" i="5"/>
  <c r="K922" i="5"/>
  <c r="M922" i="5" s="1"/>
  <c r="A922" i="5"/>
  <c r="K921" i="5"/>
  <c r="M921" i="5" s="1"/>
  <c r="A921" i="5"/>
  <c r="K932" i="5"/>
  <c r="M932" i="5" s="1"/>
  <c r="A932" i="5"/>
  <c r="K954" i="5"/>
  <c r="M954" i="5" s="1"/>
  <c r="A954" i="5"/>
  <c r="K810" i="5"/>
  <c r="M810" i="5" s="1"/>
  <c r="A810" i="5"/>
  <c r="A950" i="5"/>
  <c r="K950" i="5"/>
  <c r="M950" i="5" s="1"/>
  <c r="K831" i="5"/>
  <c r="M831" i="5" s="1"/>
  <c r="A831" i="5"/>
  <c r="K929" i="5"/>
  <c r="M929" i="5" s="1"/>
  <c r="A929" i="5"/>
  <c r="A961" i="5"/>
  <c r="K961" i="5"/>
  <c r="M961" i="5" s="1"/>
  <c r="K883" i="5"/>
  <c r="M883" i="5" s="1"/>
  <c r="A883" i="5"/>
  <c r="K952" i="5"/>
  <c r="M952" i="5" s="1"/>
  <c r="A952" i="5"/>
  <c r="K902" i="5"/>
  <c r="M902" i="5" s="1"/>
  <c r="A902" i="5"/>
  <c r="K949" i="5"/>
  <c r="M949" i="5" s="1"/>
  <c r="A949" i="5"/>
  <c r="K805" i="5"/>
  <c r="M805" i="5" s="1"/>
  <c r="A805" i="5"/>
  <c r="K911" i="5"/>
  <c r="M911" i="5" s="1"/>
  <c r="A911" i="5"/>
  <c r="K910" i="5"/>
  <c r="M910" i="5" s="1"/>
  <c r="A910" i="5"/>
  <c r="K909" i="5"/>
  <c r="M909" i="5" s="1"/>
  <c r="A909" i="5"/>
  <c r="K920" i="5"/>
  <c r="M920" i="5" s="1"/>
  <c r="A920" i="5"/>
  <c r="K942" i="5"/>
  <c r="M942" i="5" s="1"/>
  <c r="A942" i="5"/>
  <c r="K977" i="5"/>
  <c r="M977" i="5" s="1"/>
  <c r="A977" i="5"/>
  <c r="K964" i="5"/>
  <c r="M964" i="5" s="1"/>
  <c r="A964" i="5"/>
  <c r="K1001" i="5"/>
  <c r="M1001" i="5" s="1"/>
  <c r="A1001" i="5"/>
  <c r="K938" i="5"/>
  <c r="M938" i="5" s="1"/>
  <c r="A938" i="5"/>
  <c r="K856" i="5"/>
  <c r="M856" i="5" s="1"/>
  <c r="A856" i="5"/>
  <c r="K928" i="5"/>
  <c r="M928" i="5" s="1"/>
  <c r="A928" i="5"/>
  <c r="K878" i="5"/>
  <c r="M878" i="5" s="1"/>
  <c r="A878" i="5"/>
  <c r="K937" i="5"/>
  <c r="M937" i="5" s="1"/>
  <c r="A937" i="5"/>
  <c r="K899" i="5"/>
  <c r="M899" i="5" s="1"/>
  <c r="A899" i="5"/>
  <c r="K898" i="5"/>
  <c r="M898" i="5" s="1"/>
  <c r="A898" i="5"/>
  <c r="K897" i="5"/>
  <c r="M897" i="5" s="1"/>
  <c r="A897" i="5"/>
  <c r="K908" i="5"/>
  <c r="M908" i="5" s="1"/>
  <c r="A908" i="5"/>
  <c r="K930" i="5"/>
  <c r="M930" i="5" s="1"/>
  <c r="A930" i="5"/>
  <c r="A892" i="5"/>
  <c r="K892" i="5"/>
  <c r="M892" i="5" s="1"/>
  <c r="K986" i="5"/>
  <c r="M986" i="5" s="1"/>
  <c r="A986" i="5"/>
  <c r="K857" i="5"/>
  <c r="M857" i="5" s="1"/>
  <c r="A857" i="5"/>
  <c r="K917" i="5"/>
  <c r="M917" i="5" s="1"/>
  <c r="A917" i="5"/>
  <c r="K893" i="5"/>
  <c r="M893" i="5" s="1"/>
  <c r="A893" i="5"/>
  <c r="K984" i="5"/>
  <c r="M984" i="5" s="1"/>
  <c r="A984" i="5"/>
  <c r="K914" i="5"/>
  <c r="M914" i="5" s="1"/>
  <c r="A914" i="5"/>
  <c r="K830" i="5"/>
  <c r="M830" i="5" s="1"/>
  <c r="A830" i="5"/>
  <c r="K904" i="5"/>
  <c r="M904" i="5" s="1"/>
  <c r="A904" i="5"/>
  <c r="K845" i="5"/>
  <c r="M845" i="5" s="1"/>
  <c r="A845" i="5"/>
  <c r="K925" i="5"/>
  <c r="M925" i="5" s="1"/>
  <c r="A925" i="5"/>
  <c r="K887" i="5"/>
  <c r="M887" i="5" s="1"/>
  <c r="A887" i="5"/>
  <c r="K886" i="5"/>
  <c r="M886" i="5" s="1"/>
  <c r="A886" i="5"/>
  <c r="K885" i="5"/>
  <c r="M885" i="5" s="1"/>
  <c r="A885" i="5"/>
  <c r="K896" i="5"/>
  <c r="M896" i="5" s="1"/>
  <c r="A896" i="5"/>
  <c r="K918" i="5"/>
  <c r="M918" i="5" s="1"/>
  <c r="A918" i="5"/>
  <c r="K933" i="5"/>
  <c r="M933" i="5" s="1"/>
  <c r="A933" i="5"/>
  <c r="K948" i="5"/>
  <c r="M948" i="5" s="1"/>
  <c r="A948" i="5"/>
  <c r="K844" i="5"/>
  <c r="M844" i="5" s="1"/>
  <c r="A844" i="5"/>
  <c r="K809" i="5"/>
  <c r="M809" i="5" s="1"/>
  <c r="A809" i="5"/>
  <c r="K962" i="5"/>
  <c r="M962" i="5" s="1"/>
  <c r="A962" i="5"/>
  <c r="K890" i="5"/>
  <c r="M890" i="5" s="1"/>
  <c r="A890" i="5"/>
  <c r="K880" i="5"/>
  <c r="M880" i="5" s="1"/>
  <c r="A880" i="5"/>
  <c r="K991" i="5"/>
  <c r="M991" i="5" s="1"/>
  <c r="A991" i="5"/>
  <c r="K819" i="5"/>
  <c r="M819" i="5" s="1"/>
  <c r="A819" i="5"/>
  <c r="K913" i="5"/>
  <c r="M913" i="5" s="1"/>
  <c r="A913" i="5"/>
  <c r="K875" i="5"/>
  <c r="M875" i="5" s="1"/>
  <c r="A875" i="5"/>
  <c r="K874" i="5"/>
  <c r="M874" i="5" s="1"/>
  <c r="A874" i="5"/>
  <c r="K873" i="5"/>
  <c r="M873" i="5" s="1"/>
  <c r="A873" i="5"/>
  <c r="K884" i="5"/>
  <c r="M884" i="5" s="1"/>
  <c r="A884" i="5"/>
  <c r="K906" i="5"/>
  <c r="M906" i="5" s="1"/>
  <c r="A906" i="5"/>
  <c r="K963" i="5"/>
  <c r="M963" i="5" s="1"/>
  <c r="A963" i="5"/>
  <c r="K829" i="5"/>
  <c r="M829" i="5" s="1"/>
  <c r="A829" i="5"/>
  <c r="K822" i="5"/>
  <c r="M822" i="5" s="1"/>
  <c r="A822" i="5"/>
  <c r="K967" i="5"/>
  <c r="M967" i="5" s="1"/>
  <c r="A967" i="5"/>
  <c r="K987" i="5"/>
  <c r="M987" i="5" s="1"/>
  <c r="A987" i="5"/>
  <c r="K939" i="5"/>
  <c r="M939" i="5" s="1"/>
  <c r="A939" i="5"/>
  <c r="K859" i="5"/>
  <c r="M859" i="5" s="1"/>
  <c r="A859" i="5"/>
  <c r="K854" i="5"/>
  <c r="M854" i="5" s="1"/>
  <c r="A854" i="5"/>
  <c r="K973" i="5"/>
  <c r="M973" i="5" s="1"/>
  <c r="A973" i="5"/>
  <c r="K901" i="5"/>
  <c r="M901" i="5" s="1"/>
  <c r="A901" i="5"/>
  <c r="K816" i="5"/>
  <c r="M816" i="5" s="1"/>
  <c r="A816" i="5"/>
  <c r="K863" i="5"/>
  <c r="M863" i="5" s="1"/>
  <c r="A863" i="5"/>
  <c r="K828" i="5"/>
  <c r="M828" i="5" s="1"/>
  <c r="A828" i="5"/>
  <c r="K862" i="5"/>
  <c r="M862" i="5" s="1"/>
  <c r="A862" i="5"/>
  <c r="K852" i="5"/>
  <c r="M852" i="5" s="1"/>
  <c r="A852" i="5"/>
  <c r="K861" i="5"/>
  <c r="M861" i="5" s="1"/>
  <c r="A861" i="5"/>
  <c r="K864" i="5"/>
  <c r="M864" i="5" s="1"/>
  <c r="A864" i="5"/>
  <c r="K872" i="5"/>
  <c r="M872" i="5" s="1"/>
  <c r="A872" i="5"/>
  <c r="K894" i="5"/>
  <c r="M894" i="5" s="1"/>
  <c r="A894" i="5"/>
  <c r="K843" i="5"/>
  <c r="M843" i="5" s="1"/>
  <c r="A843" i="5"/>
  <c r="A820" i="5"/>
  <c r="K820" i="5"/>
  <c r="M820" i="5" s="1"/>
  <c r="K944" i="5"/>
  <c r="M944" i="5" s="1"/>
  <c r="A944" i="5"/>
  <c r="K988" i="5"/>
  <c r="M988" i="5" s="1"/>
  <c r="A988" i="5"/>
  <c r="A900" i="5"/>
  <c r="K900" i="5"/>
  <c r="M900" i="5" s="1"/>
  <c r="K965" i="5"/>
  <c r="M965" i="5" s="1"/>
  <c r="A965" i="5"/>
  <c r="K915" i="5"/>
  <c r="M915" i="5" s="1"/>
  <c r="A915" i="5"/>
  <c r="K832" i="5"/>
  <c r="M832" i="5" s="1"/>
  <c r="A832" i="5"/>
  <c r="K821" i="5"/>
  <c r="M821" i="5" s="1"/>
  <c r="A821" i="5"/>
  <c r="K951" i="5"/>
  <c r="M951" i="5" s="1"/>
  <c r="A951" i="5"/>
  <c r="K889" i="5"/>
  <c r="M889" i="5" s="1"/>
  <c r="A889" i="5"/>
  <c r="K995" i="5"/>
  <c r="M995" i="5" s="1"/>
  <c r="A995" i="5"/>
  <c r="K851" i="5"/>
  <c r="M851" i="5" s="1"/>
  <c r="A851" i="5"/>
  <c r="K994" i="5"/>
  <c r="M994" i="5" s="1"/>
  <c r="A994" i="5"/>
  <c r="K850" i="5"/>
  <c r="M850" i="5" s="1"/>
  <c r="A850" i="5"/>
  <c r="K993" i="5"/>
  <c r="M993" i="5" s="1"/>
  <c r="A993" i="5"/>
  <c r="K849" i="5"/>
  <c r="M849" i="5" s="1"/>
  <c r="A849" i="5"/>
  <c r="K1004" i="5"/>
  <c r="M1004" i="5" s="1"/>
  <c r="A1004" i="5"/>
  <c r="K860" i="5"/>
  <c r="M860" i="5" s="1"/>
  <c r="A860" i="5"/>
  <c r="K882" i="5"/>
  <c r="M882" i="5" s="1"/>
  <c r="A882" i="5"/>
  <c r="K1000" i="5"/>
  <c r="M1000" i="5" s="1"/>
  <c r="A1000" i="5"/>
  <c r="K997" i="5"/>
  <c r="M997" i="5" s="1"/>
  <c r="A997" i="5"/>
  <c r="K842" i="5"/>
  <c r="M842" i="5" s="1"/>
  <c r="A842" i="5"/>
  <c r="K855" i="5"/>
  <c r="M855" i="5" s="1"/>
  <c r="A855" i="5"/>
  <c r="K974" i="5"/>
  <c r="M974" i="5" s="1"/>
  <c r="A974" i="5"/>
  <c r="K941" i="5"/>
  <c r="M941" i="5" s="1"/>
  <c r="A941" i="5"/>
  <c r="K818" i="5"/>
  <c r="M818" i="5" s="1"/>
  <c r="A818" i="5"/>
  <c r="K943" i="5"/>
  <c r="M943" i="5" s="1"/>
  <c r="A943" i="5"/>
  <c r="K891" i="5"/>
  <c r="M891" i="5" s="1"/>
  <c r="A891" i="5"/>
  <c r="K1003" i="5"/>
  <c r="M1003" i="5" s="1"/>
  <c r="A1003" i="5"/>
  <c r="K806" i="5"/>
  <c r="M806" i="5" s="1"/>
  <c r="A806" i="5"/>
  <c r="K927" i="5"/>
  <c r="M927" i="5" s="1"/>
  <c r="A927" i="5"/>
  <c r="K877" i="5"/>
  <c r="M877" i="5" s="1"/>
  <c r="A877" i="5"/>
  <c r="K983" i="5"/>
  <c r="M983" i="5" s="1"/>
  <c r="A983" i="5"/>
  <c r="K839" i="5"/>
  <c r="M839" i="5" s="1"/>
  <c r="A839" i="5"/>
  <c r="A982" i="5"/>
  <c r="K982" i="5"/>
  <c r="M982" i="5" s="1"/>
  <c r="K838" i="5"/>
  <c r="M838" i="5" s="1"/>
  <c r="A838" i="5"/>
  <c r="K981" i="5"/>
  <c r="M981" i="5" s="1"/>
  <c r="A981" i="5"/>
  <c r="K837" i="5"/>
  <c r="M837" i="5" s="1"/>
  <c r="A837" i="5"/>
  <c r="K992" i="5"/>
  <c r="M992" i="5" s="1"/>
  <c r="A992" i="5"/>
  <c r="K848" i="5"/>
  <c r="M848" i="5" s="1"/>
  <c r="A848" i="5"/>
  <c r="K870" i="5"/>
  <c r="M870" i="5" s="1"/>
  <c r="A870" i="5"/>
  <c r="K960" i="5"/>
  <c r="M960" i="5" s="1"/>
  <c r="A960" i="5"/>
  <c r="K999" i="5"/>
  <c r="M999" i="5" s="1"/>
  <c r="A999" i="5"/>
  <c r="K905" i="5"/>
  <c r="M905" i="5" s="1"/>
  <c r="A905" i="5"/>
  <c r="K953" i="5"/>
  <c r="M953" i="5" s="1"/>
  <c r="A953" i="5"/>
  <c r="K919" i="5"/>
  <c r="M919" i="5" s="1"/>
  <c r="A919" i="5"/>
  <c r="K866" i="5"/>
  <c r="M866" i="5" s="1"/>
  <c r="A866" i="5"/>
  <c r="K940" i="5"/>
  <c r="M940" i="5" s="1"/>
  <c r="A940" i="5"/>
  <c r="A998" i="5"/>
  <c r="K998" i="5"/>
  <c r="M998" i="5" s="1"/>
  <c r="K903" i="5"/>
  <c r="M903" i="5" s="1"/>
  <c r="A903" i="5"/>
  <c r="K865" i="5"/>
  <c r="M865" i="5" s="1"/>
  <c r="A865" i="5"/>
  <c r="K876" i="5"/>
  <c r="M876" i="5" s="1"/>
  <c r="A876" i="5"/>
  <c r="K971" i="5"/>
  <c r="M971" i="5" s="1"/>
  <c r="A971" i="5"/>
  <c r="K827" i="5"/>
  <c r="M827" i="5" s="1"/>
  <c r="A827" i="5"/>
  <c r="K970" i="5"/>
  <c r="M970" i="5" s="1"/>
  <c r="A970" i="5"/>
  <c r="K826" i="5"/>
  <c r="M826" i="5" s="1"/>
  <c r="A826" i="5"/>
  <c r="K969" i="5"/>
  <c r="M969" i="5" s="1"/>
  <c r="A969" i="5"/>
  <c r="K825" i="5"/>
  <c r="M825" i="5" s="1"/>
  <c r="A825" i="5"/>
  <c r="K980" i="5"/>
  <c r="M980" i="5" s="1"/>
  <c r="A980" i="5"/>
  <c r="K836" i="5"/>
  <c r="M836" i="5" s="1"/>
  <c r="A836" i="5"/>
  <c r="K1002" i="5"/>
  <c r="M1002" i="5" s="1"/>
  <c r="A1002" i="5"/>
  <c r="K858" i="5"/>
  <c r="M858" i="5" s="1"/>
  <c r="A858" i="5"/>
  <c r="A931" i="5"/>
  <c r="K931" i="5"/>
  <c r="M931" i="5" s="1"/>
  <c r="K935" i="5"/>
  <c r="M935" i="5" s="1"/>
  <c r="A935" i="5"/>
  <c r="K871" i="5"/>
  <c r="M871" i="5" s="1"/>
  <c r="A871" i="5"/>
  <c r="K823" i="5"/>
  <c r="M823" i="5" s="1"/>
  <c r="A823" i="5"/>
  <c r="A881" i="5"/>
  <c r="K881" i="5"/>
  <c r="M881" i="5" s="1"/>
  <c r="K895" i="5"/>
  <c r="M895" i="5" s="1"/>
  <c r="A895" i="5"/>
  <c r="K833" i="5"/>
  <c r="M833" i="5" s="1"/>
  <c r="A833" i="5"/>
  <c r="K867" i="5"/>
  <c r="M867" i="5" s="1"/>
  <c r="A867" i="5"/>
  <c r="K976" i="5"/>
  <c r="M976" i="5" s="1"/>
  <c r="A976" i="5"/>
  <c r="K879" i="5"/>
  <c r="M879" i="5" s="1"/>
  <c r="A879" i="5"/>
  <c r="K989" i="5"/>
  <c r="M989" i="5" s="1"/>
  <c r="A989" i="5"/>
  <c r="K853" i="5"/>
  <c r="M853" i="5" s="1"/>
  <c r="A853" i="5"/>
  <c r="K840" i="5"/>
  <c r="M840" i="5" s="1"/>
  <c r="A840" i="5"/>
  <c r="K959" i="5"/>
  <c r="M959" i="5" s="1"/>
  <c r="A959" i="5"/>
  <c r="K815" i="5"/>
  <c r="M815" i="5" s="1"/>
  <c r="A815" i="5"/>
  <c r="K958" i="5"/>
  <c r="M958" i="5" s="1"/>
  <c r="A958" i="5"/>
  <c r="A814" i="5"/>
  <c r="K814" i="5"/>
  <c r="M814" i="5" s="1"/>
  <c r="K957" i="5"/>
  <c r="M957" i="5" s="1"/>
  <c r="A957" i="5"/>
  <c r="K813" i="5"/>
  <c r="M813" i="5" s="1"/>
  <c r="A813" i="5"/>
  <c r="K968" i="5"/>
  <c r="M968" i="5" s="1"/>
  <c r="A968" i="5"/>
  <c r="K824" i="5"/>
  <c r="M824" i="5" s="1"/>
  <c r="A824" i="5"/>
  <c r="K990" i="5"/>
  <c r="M990" i="5" s="1"/>
  <c r="A990" i="5"/>
  <c r="K846" i="5"/>
  <c r="M846" i="5" s="1"/>
  <c r="A846" i="5"/>
  <c r="K975" i="5"/>
  <c r="M975" i="5" s="1"/>
  <c r="A975" i="5"/>
  <c r="K934" i="5"/>
  <c r="M934" i="5" s="1"/>
  <c r="A934" i="5"/>
  <c r="K966" i="5"/>
  <c r="M966" i="5" s="1"/>
  <c r="A966" i="5"/>
  <c r="K996" i="5"/>
  <c r="M996" i="5" s="1"/>
  <c r="A996" i="5"/>
  <c r="K924" i="5"/>
  <c r="M924" i="5" s="1"/>
  <c r="A924" i="5"/>
  <c r="K936" i="5"/>
  <c r="M936" i="5" s="1"/>
  <c r="A936" i="5"/>
  <c r="K869" i="5"/>
  <c r="M869" i="5" s="1"/>
  <c r="A869" i="5"/>
  <c r="K985" i="5"/>
  <c r="M985" i="5" s="1"/>
  <c r="A985" i="5"/>
  <c r="A807" i="5"/>
  <c r="K807" i="5"/>
  <c r="M807" i="5" s="1"/>
  <c r="K808" i="5"/>
  <c r="M808" i="5" s="1"/>
  <c r="A808" i="5"/>
  <c r="K955" i="5"/>
  <c r="M955" i="5" s="1"/>
  <c r="A955" i="5"/>
  <c r="K847" i="5"/>
  <c r="M847" i="5" s="1"/>
  <c r="A847" i="5"/>
  <c r="A972" i="5"/>
  <c r="K972" i="5"/>
  <c r="M972" i="5" s="1"/>
  <c r="K841" i="5"/>
  <c r="M841" i="5" s="1"/>
  <c r="A841" i="5"/>
  <c r="K804" i="5"/>
  <c r="M804" i="5" s="1"/>
  <c r="A804" i="5"/>
  <c r="K947" i="5"/>
  <c r="M947" i="5" s="1"/>
  <c r="A947" i="5"/>
  <c r="K803" i="5"/>
  <c r="M803" i="5" s="1"/>
  <c r="A803" i="5"/>
  <c r="K946" i="5"/>
  <c r="M946" i="5" s="1"/>
  <c r="A946" i="5"/>
  <c r="K802" i="5"/>
  <c r="M802" i="5" s="1"/>
  <c r="A802" i="5"/>
  <c r="K945" i="5"/>
  <c r="M945" i="5" s="1"/>
  <c r="A945" i="5"/>
  <c r="K801" i="5"/>
  <c r="M801" i="5" s="1"/>
  <c r="A801" i="5"/>
  <c r="A956" i="5"/>
  <c r="K956" i="5"/>
  <c r="M956" i="5" s="1"/>
  <c r="K812" i="5"/>
  <c r="M812" i="5" s="1"/>
  <c r="A812" i="5"/>
  <c r="A978" i="5"/>
  <c r="K978" i="5"/>
  <c r="M978" i="5" s="1"/>
  <c r="K834" i="5"/>
  <c r="M834" i="5" s="1"/>
  <c r="A834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523" i="5"/>
  <c r="A580" i="5"/>
  <c r="A544" i="5"/>
  <c r="A586" i="5"/>
  <c r="A585" i="5"/>
  <c r="A581" i="5"/>
  <c r="A599" i="5"/>
  <c r="A545" i="5"/>
  <c r="A594" i="5"/>
  <c r="A550" i="5"/>
  <c r="A540" i="5"/>
  <c r="A539" i="5"/>
  <c r="A538" i="5"/>
  <c r="A527" i="5"/>
  <c r="A525" i="5"/>
  <c r="A546" i="5"/>
  <c r="A595" i="5"/>
  <c r="A541" i="5"/>
  <c r="A534" i="5"/>
  <c r="A533" i="5"/>
  <c r="A535" i="5"/>
  <c r="A529" i="5"/>
  <c r="A520" i="5"/>
  <c r="A521" i="5"/>
  <c r="A516" i="5"/>
  <c r="A515" i="5"/>
  <c r="A517" i="5"/>
  <c r="A519" i="5"/>
  <c r="A518" i="5"/>
  <c r="A514" i="5"/>
  <c r="A513" i="5"/>
  <c r="A512" i="5"/>
  <c r="A510" i="5"/>
  <c r="A508" i="5"/>
  <c r="A507" i="5"/>
  <c r="A509" i="5"/>
  <c r="A511" i="5"/>
  <c r="A504" i="5"/>
  <c r="A503" i="5"/>
  <c r="A502" i="5"/>
  <c r="A501" i="5"/>
  <c r="A505" i="5"/>
  <c r="A506" i="5"/>
  <c r="A500" i="5"/>
  <c r="A497" i="5"/>
  <c r="A499" i="5"/>
  <c r="A498" i="5"/>
  <c r="A496" i="5"/>
  <c r="A494" i="5"/>
  <c r="A484" i="5"/>
  <c r="A492" i="5"/>
  <c r="A491" i="5"/>
  <c r="A490" i="5"/>
  <c r="A489" i="5"/>
  <c r="A488" i="5"/>
  <c r="A487" i="5"/>
  <c r="A493" i="5"/>
  <c r="A486" i="5"/>
  <c r="A485" i="5"/>
  <c r="A495" i="5"/>
  <c r="A483" i="5"/>
  <c r="A482" i="5"/>
  <c r="A475" i="5"/>
  <c r="A480" i="5"/>
  <c r="A479" i="5"/>
  <c r="A478" i="5"/>
  <c r="A477" i="5"/>
  <c r="A476" i="5"/>
  <c r="A481" i="5"/>
  <c r="A459" i="5"/>
  <c r="A470" i="5"/>
  <c r="A461" i="5"/>
  <c r="A463" i="5"/>
  <c r="A468" i="5"/>
  <c r="A467" i="5"/>
  <c r="A466" i="5"/>
  <c r="A465" i="5"/>
  <c r="A464" i="5"/>
  <c r="A474" i="5"/>
  <c r="A472" i="5"/>
  <c r="A460" i="5"/>
  <c r="A469" i="5"/>
  <c r="A462" i="5"/>
  <c r="A473" i="5"/>
  <c r="A471" i="5"/>
  <c r="A446" i="5"/>
  <c r="A458" i="5"/>
  <c r="A447" i="5"/>
  <c r="A448" i="5"/>
  <c r="A449" i="5"/>
  <c r="A451" i="5"/>
  <c r="A456" i="5"/>
  <c r="A455" i="5"/>
  <c r="A454" i="5"/>
  <c r="A453" i="5"/>
  <c r="A444" i="5"/>
  <c r="A443" i="5"/>
  <c r="A442" i="5"/>
  <c r="A441" i="5"/>
  <c r="A452" i="5"/>
  <c r="A457" i="5"/>
  <c r="A450" i="5"/>
  <c r="A445" i="5"/>
  <c r="A437" i="5"/>
  <c r="A439" i="5"/>
  <c r="A435" i="5"/>
  <c r="A427" i="5"/>
  <c r="A434" i="5"/>
  <c r="A432" i="5"/>
  <c r="A431" i="5"/>
  <c r="A430" i="5"/>
  <c r="A429" i="5"/>
  <c r="A440" i="5"/>
  <c r="A436" i="5"/>
  <c r="A428" i="5"/>
  <c r="A438" i="5"/>
  <c r="A433" i="5"/>
  <c r="A374" i="5"/>
  <c r="A421" i="5"/>
  <c r="A384" i="5"/>
  <c r="A383" i="5"/>
  <c r="A382" i="5"/>
  <c r="A381" i="5"/>
  <c r="A392" i="5"/>
  <c r="A414" i="5"/>
  <c r="A401" i="5"/>
  <c r="A409" i="5"/>
  <c r="A372" i="5"/>
  <c r="A371" i="5"/>
  <c r="A370" i="5"/>
  <c r="A369" i="5"/>
  <c r="A380" i="5"/>
  <c r="A402" i="5"/>
  <c r="A413" i="5"/>
  <c r="A403" i="5"/>
  <c r="A365" i="5"/>
  <c r="A422" i="5"/>
  <c r="A397" i="5"/>
  <c r="A360" i="5"/>
  <c r="A359" i="5"/>
  <c r="A358" i="5"/>
  <c r="A368" i="5"/>
  <c r="A390" i="5"/>
  <c r="A412" i="5"/>
  <c r="A367" i="5"/>
  <c r="A386" i="5"/>
  <c r="A423" i="5"/>
  <c r="A385" i="5"/>
  <c r="A378" i="5"/>
  <c r="A425" i="5"/>
  <c r="A376" i="5"/>
  <c r="A411" i="5"/>
  <c r="A373" i="5"/>
  <c r="A366" i="5"/>
  <c r="A389" i="5"/>
  <c r="A399" i="5"/>
  <c r="A361" i="5"/>
  <c r="A387" i="5"/>
  <c r="A391" i="5"/>
  <c r="A415" i="5"/>
  <c r="A375" i="5"/>
  <c r="A362" i="5"/>
  <c r="A398" i="5"/>
  <c r="A379" i="5"/>
  <c r="A363" i="5"/>
  <c r="A377" i="5"/>
  <c r="A424" i="5"/>
  <c r="A420" i="5"/>
  <c r="A419" i="5"/>
  <c r="A418" i="5"/>
  <c r="A417" i="5"/>
  <c r="A400" i="5"/>
  <c r="A388" i="5"/>
  <c r="A408" i="5"/>
  <c r="A407" i="5"/>
  <c r="A406" i="5"/>
  <c r="A405" i="5"/>
  <c r="A416" i="5"/>
  <c r="A410" i="5"/>
  <c r="A364" i="5"/>
  <c r="A396" i="5"/>
  <c r="A395" i="5"/>
  <c r="A394" i="5"/>
  <c r="A393" i="5"/>
  <c r="A404" i="5"/>
  <c r="A426" i="5"/>
  <c r="A353" i="5"/>
  <c r="A338" i="5"/>
  <c r="A357" i="5"/>
  <c r="A348" i="5"/>
  <c r="A347" i="5"/>
  <c r="A346" i="5"/>
  <c r="A345" i="5"/>
  <c r="A356" i="5"/>
  <c r="A341" i="5"/>
  <c r="A350" i="5"/>
  <c r="A336" i="5"/>
  <c r="A335" i="5"/>
  <c r="A344" i="5"/>
  <c r="A340" i="5"/>
  <c r="A354" i="5"/>
  <c r="A349" i="5"/>
  <c r="A342" i="5"/>
  <c r="A337" i="5"/>
  <c r="A355" i="5"/>
  <c r="A343" i="5"/>
  <c r="A351" i="5"/>
  <c r="A339" i="5"/>
  <c r="A352" i="5"/>
  <c r="A329" i="5"/>
  <c r="A331" i="5"/>
  <c r="A334" i="5"/>
  <c r="A333" i="5"/>
  <c r="A324" i="5"/>
  <c r="A323" i="5"/>
  <c r="A322" i="5"/>
  <c r="A321" i="5"/>
  <c r="A332" i="5"/>
  <c r="A320" i="5"/>
  <c r="A330" i="5"/>
  <c r="A328" i="5"/>
  <c r="A325" i="5"/>
  <c r="A326" i="5"/>
  <c r="A327" i="5"/>
  <c r="A316" i="5"/>
  <c r="A315" i="5"/>
  <c r="A317" i="5"/>
  <c r="A314" i="5"/>
  <c r="A312" i="5"/>
  <c r="A311" i="5"/>
  <c r="A310" i="5"/>
  <c r="A309" i="5"/>
  <c r="A308" i="5"/>
  <c r="A318" i="5"/>
  <c r="A319" i="5"/>
  <c r="A313" i="5"/>
  <c r="A306" i="5"/>
  <c r="A307" i="5"/>
  <c r="A305" i="5"/>
  <c r="A292" i="5"/>
  <c r="A291" i="5"/>
  <c r="A293" i="5"/>
  <c r="A295" i="5"/>
  <c r="A288" i="5"/>
  <c r="A287" i="5"/>
  <c r="A286" i="5"/>
  <c r="A285" i="5"/>
  <c r="A296" i="5"/>
  <c r="A290" i="5"/>
  <c r="A284" i="5"/>
  <c r="A283" i="5"/>
  <c r="A294" i="5"/>
  <c r="A289" i="5"/>
  <c r="A282" i="5"/>
  <c r="A277" i="5"/>
  <c r="A280" i="5"/>
  <c r="A279" i="5"/>
  <c r="A281" i="5"/>
  <c r="A278" i="5"/>
  <c r="A276" i="5"/>
  <c r="A275" i="5"/>
  <c r="A274" i="5"/>
  <c r="A273" i="5"/>
  <c r="A270" i="5"/>
  <c r="A265" i="5"/>
  <c r="A269" i="5"/>
  <c r="A267" i="5"/>
  <c r="A268" i="5"/>
  <c r="A264" i="5"/>
  <c r="A263" i="5"/>
  <c r="A262" i="5"/>
  <c r="A272" i="5"/>
  <c r="A266" i="5"/>
  <c r="A271" i="5"/>
  <c r="A258" i="5"/>
  <c r="A256" i="5"/>
  <c r="A253" i="5"/>
  <c r="A246" i="5"/>
  <c r="A248" i="5"/>
  <c r="A254" i="5"/>
  <c r="A257" i="5"/>
  <c r="A255" i="5"/>
  <c r="A259" i="5"/>
  <c r="A261" i="5"/>
  <c r="A247" i="5"/>
  <c r="A252" i="5"/>
  <c r="A251" i="5"/>
  <c r="A250" i="5"/>
  <c r="A249" i="5"/>
  <c r="A260" i="5"/>
  <c r="A235" i="5"/>
  <c r="A237" i="5"/>
  <c r="A236" i="5"/>
  <c r="A230" i="5"/>
  <c r="A228" i="5"/>
  <c r="A227" i="5"/>
  <c r="A226" i="5"/>
  <c r="A225" i="5"/>
  <c r="A224" i="5"/>
  <c r="A220" i="5"/>
  <c r="A234" i="5"/>
  <c r="A229" i="5"/>
  <c r="A222" i="5"/>
  <c r="A233" i="5"/>
  <c r="A221" i="5"/>
  <c r="A223" i="5"/>
  <c r="A218" i="5"/>
  <c r="A231" i="5"/>
  <c r="A232" i="5"/>
  <c r="A219" i="5"/>
  <c r="A211" i="5"/>
  <c r="A216" i="5"/>
  <c r="A215" i="5"/>
  <c r="A214" i="5"/>
  <c r="A213" i="5"/>
  <c r="A208" i="5"/>
  <c r="A204" i="5"/>
  <c r="A203" i="5"/>
  <c r="A212" i="5"/>
  <c r="A217" i="5"/>
  <c r="A210" i="5"/>
  <c r="A205" i="5"/>
  <c r="A206" i="5"/>
  <c r="A209" i="5"/>
  <c r="A207" i="5"/>
  <c r="A194" i="5"/>
  <c r="A199" i="5"/>
  <c r="A202" i="5"/>
  <c r="A201" i="5"/>
  <c r="A192" i="5"/>
  <c r="A191" i="5"/>
  <c r="A190" i="5"/>
  <c r="A189" i="5"/>
  <c r="A200" i="5"/>
  <c r="A188" i="5"/>
  <c r="A198" i="5"/>
  <c r="A193" i="5"/>
  <c r="A187" i="5"/>
  <c r="A197" i="5"/>
  <c r="A196" i="5"/>
  <c r="A195" i="5"/>
  <c r="A173" i="5"/>
  <c r="A171" i="5"/>
  <c r="A170" i="5"/>
  <c r="A184" i="5"/>
  <c r="A180" i="5"/>
  <c r="A179" i="5"/>
  <c r="A178" i="5"/>
  <c r="A177" i="5"/>
  <c r="A168" i="5"/>
  <c r="A167" i="5"/>
  <c r="A166" i="5"/>
  <c r="A165" i="5"/>
  <c r="A176" i="5"/>
  <c r="A185" i="5"/>
  <c r="A186" i="5"/>
  <c r="A182" i="5"/>
  <c r="A181" i="5"/>
  <c r="A174" i="5"/>
  <c r="A169" i="5"/>
  <c r="A175" i="5"/>
  <c r="A172" i="5"/>
  <c r="A183" i="5"/>
  <c r="A159" i="5"/>
  <c r="A151" i="5"/>
  <c r="A147" i="5"/>
  <c r="A158" i="5"/>
  <c r="A161" i="5"/>
  <c r="A146" i="5"/>
  <c r="A149" i="5"/>
  <c r="A156" i="5"/>
  <c r="A155" i="5"/>
  <c r="A154" i="5"/>
  <c r="A153" i="5"/>
  <c r="A164" i="5"/>
  <c r="A144" i="5"/>
  <c r="A143" i="5"/>
  <c r="A142" i="5"/>
  <c r="A152" i="5"/>
  <c r="A160" i="5"/>
  <c r="A162" i="5"/>
  <c r="A148" i="5"/>
  <c r="A157" i="5"/>
  <c r="A163" i="5"/>
  <c r="A150" i="5"/>
  <c r="A145" i="5"/>
  <c r="A133" i="5"/>
  <c r="A127" i="5"/>
  <c r="A135" i="5"/>
  <c r="A137" i="5"/>
  <c r="A134" i="5"/>
  <c r="A141" i="5"/>
  <c r="A136" i="5"/>
  <c r="A132" i="5"/>
  <c r="A131" i="5"/>
  <c r="A130" i="5"/>
  <c r="A129" i="5"/>
  <c r="A140" i="5"/>
  <c r="A128" i="5"/>
  <c r="A139" i="5"/>
  <c r="A138" i="5"/>
  <c r="A121" i="5"/>
  <c r="A126" i="5"/>
  <c r="A123" i="5"/>
  <c r="A124" i="5"/>
  <c r="A122" i="5"/>
  <c r="A125" i="5"/>
  <c r="A120" i="5"/>
  <c r="A119" i="5"/>
  <c r="A115" i="5"/>
  <c r="A114" i="5"/>
  <c r="A112" i="5"/>
  <c r="A109" i="5"/>
  <c r="A111" i="5"/>
  <c r="A110" i="5"/>
  <c r="A113" i="5"/>
  <c r="A118" i="5"/>
  <c r="A117" i="5"/>
  <c r="A116" i="5"/>
  <c r="A104" i="5"/>
  <c r="A108" i="5"/>
  <c r="A107" i="5"/>
  <c r="A106" i="5"/>
  <c r="A105" i="5"/>
  <c r="A101" i="5"/>
  <c r="A103" i="5"/>
  <c r="A102" i="5"/>
  <c r="A97" i="5"/>
  <c r="A100" i="5"/>
  <c r="A99" i="5"/>
  <c r="A98" i="5"/>
  <c r="A96" i="5"/>
  <c r="A95" i="5"/>
  <c r="A94" i="5"/>
  <c r="A93" i="5"/>
  <c r="A92" i="5"/>
  <c r="A88" i="5"/>
  <c r="A91" i="5"/>
  <c r="A90" i="5"/>
  <c r="A87" i="5"/>
  <c r="A89" i="5"/>
  <c r="A84" i="5"/>
  <c r="A83" i="5"/>
  <c r="A82" i="5"/>
  <c r="A81" i="5"/>
  <c r="A85" i="5"/>
  <c r="A79" i="5"/>
  <c r="A80" i="5"/>
  <c r="A86" i="5"/>
  <c r="A65" i="5"/>
  <c r="A72" i="5"/>
  <c r="A71" i="5"/>
  <c r="A70" i="5"/>
  <c r="A69" i="5"/>
  <c r="A60" i="5"/>
  <c r="A59" i="5"/>
  <c r="A58" i="5"/>
  <c r="A68" i="5"/>
  <c r="A78" i="5"/>
  <c r="A73" i="5"/>
  <c r="A67" i="5"/>
  <c r="A66" i="5"/>
  <c r="A61" i="5"/>
  <c r="A75" i="5"/>
  <c r="A63" i="5"/>
  <c r="A77" i="5"/>
  <c r="A64" i="5"/>
  <c r="A74" i="5"/>
  <c r="A76" i="5"/>
  <c r="A62" i="5"/>
  <c r="A50" i="5"/>
  <c r="A40" i="5"/>
  <c r="A57" i="5"/>
  <c r="A48" i="5"/>
  <c r="A47" i="5"/>
  <c r="A46" i="5"/>
  <c r="A45" i="5"/>
  <c r="A56" i="5"/>
  <c r="A44" i="5"/>
  <c r="A52" i="5"/>
  <c r="A55" i="5"/>
  <c r="A54" i="5"/>
  <c r="A49" i="5"/>
  <c r="A43" i="5"/>
  <c r="A42" i="5"/>
  <c r="A53" i="5"/>
  <c r="A41" i="5"/>
  <c r="A51" i="5"/>
  <c r="A38" i="5"/>
  <c r="A26" i="5"/>
  <c r="A27" i="5"/>
  <c r="A36" i="5"/>
  <c r="A35" i="5"/>
  <c r="A34" i="5"/>
  <c r="A33" i="5"/>
  <c r="A28" i="5"/>
  <c r="A32" i="5"/>
  <c r="A29" i="5"/>
  <c r="A37" i="5"/>
  <c r="A31" i="5"/>
  <c r="A30" i="5"/>
  <c r="A39" i="5"/>
  <c r="A24" i="5"/>
  <c r="A23" i="5"/>
  <c r="A22" i="5"/>
  <c r="A25" i="5"/>
  <c r="C1218" i="5" l="1"/>
  <c r="B1217" i="17"/>
  <c r="A589" i="5"/>
  <c r="A242" i="5"/>
  <c r="A590" i="5"/>
  <c r="A300" i="5"/>
  <c r="A542" i="5"/>
  <c r="A299" i="5"/>
  <c r="A245" i="5"/>
  <c r="A531" i="5"/>
  <c r="A573" i="5"/>
  <c r="A537" i="5"/>
  <c r="A561" i="5"/>
  <c r="A575" i="5"/>
  <c r="A574" i="5"/>
  <c r="A556" i="5"/>
  <c r="A243" i="5"/>
  <c r="A304" i="5"/>
  <c r="A549" i="5"/>
  <c r="A583" i="5"/>
  <c r="A240" i="5"/>
  <c r="A562" i="5"/>
  <c r="A543" i="5"/>
  <c r="A303" i="5"/>
  <c r="A551" i="5"/>
  <c r="A557" i="5"/>
  <c r="A597" i="5"/>
  <c r="A526" i="5"/>
  <c r="A566" i="5"/>
  <c r="A598" i="5"/>
  <c r="A298" i="5"/>
  <c r="A601" i="5"/>
  <c r="A593" i="5"/>
  <c r="A301" i="5"/>
  <c r="A576" i="5"/>
  <c r="A239" i="5"/>
  <c r="A600" i="5"/>
  <c r="A547" i="5"/>
  <c r="A587" i="5"/>
  <c r="A588" i="5"/>
  <c r="A596" i="5"/>
  <c r="A559" i="5"/>
  <c r="A603" i="5"/>
  <c r="A302" i="5"/>
  <c r="A606" i="5"/>
  <c r="A297" i="5"/>
  <c r="A592" i="5"/>
  <c r="A524" i="5"/>
  <c r="A569" i="5"/>
  <c r="A553" i="5"/>
  <c r="A532" i="5"/>
  <c r="A563" i="5"/>
  <c r="A558" i="5"/>
  <c r="A522" i="5"/>
  <c r="A568" i="5"/>
  <c r="A582" i="5"/>
  <c r="A528" i="5"/>
  <c r="A536" i="5"/>
  <c r="A555" i="5"/>
  <c r="A591" i="5"/>
  <c r="A572" i="5"/>
  <c r="A570" i="5"/>
  <c r="A564" i="5"/>
  <c r="A548" i="5"/>
  <c r="A552" i="5"/>
  <c r="A554" i="5"/>
  <c r="A241" i="5"/>
  <c r="A604" i="5"/>
  <c r="A607" i="5"/>
  <c r="A578" i="5"/>
  <c r="A602" i="5"/>
  <c r="A530" i="5"/>
  <c r="A560" i="5"/>
  <c r="A565" i="5"/>
  <c r="A584" i="5"/>
  <c r="A579" i="5"/>
  <c r="A605" i="5"/>
  <c r="A577" i="5"/>
  <c r="A571" i="5"/>
  <c r="A567" i="5"/>
  <c r="A244" i="5"/>
  <c r="A238" i="5"/>
  <c r="C1219" i="5" l="1"/>
  <c r="B1218" i="17"/>
  <c r="C1220" i="5" l="1"/>
  <c r="B1219" i="17"/>
  <c r="C1221" i="5" l="1"/>
  <c r="B1220" i="17"/>
  <c r="C1222" i="5" l="1"/>
  <c r="B1221" i="17"/>
  <c r="C1223" i="5" l="1"/>
  <c r="B1222" i="17"/>
  <c r="C1224" i="5" l="1"/>
  <c r="B1223" i="17"/>
  <c r="C1225" i="5" l="1"/>
  <c r="C1226" i="5" s="1"/>
  <c r="C1227" i="5" s="1"/>
  <c r="C1228" i="5" s="1"/>
  <c r="B1226" i="17"/>
  <c r="C1229" i="5" l="1"/>
  <c r="B1228" i="17"/>
  <c r="C1230" i="5" l="1"/>
  <c r="B1229" i="17"/>
  <c r="C1231" i="5" l="1"/>
  <c r="B1231" i="17" s="1"/>
  <c r="B1230" i="17"/>
  <c r="C1232" i="5" l="1"/>
  <c r="C1233" i="5" s="1"/>
  <c r="B1232" i="17"/>
  <c r="C1234" i="5" l="1"/>
  <c r="C1235" i="5" s="1"/>
  <c r="C1236" i="5" s="1"/>
  <c r="C1237" i="5" s="1"/>
  <c r="B1233" i="17"/>
  <c r="C1238" i="5" l="1"/>
  <c r="C1239" i="5" l="1"/>
  <c r="C1240" i="5" s="1"/>
  <c r="C1241" i="5" s="1"/>
  <c r="B1238" i="17"/>
  <c r="C1242" i="5" l="1"/>
  <c r="B1241" i="17"/>
  <c r="C1243" i="5" l="1"/>
  <c r="C1244" i="5" l="1"/>
  <c r="C1245" i="5" s="1"/>
  <c r="C1246" i="5" l="1"/>
  <c r="B1245" i="17"/>
  <c r="C1247" i="5" l="1"/>
  <c r="C1248" i="5" l="1"/>
  <c r="B1247" i="17"/>
  <c r="C1249" i="5" l="1"/>
  <c r="B1248" i="17"/>
  <c r="C1250" i="5" l="1"/>
  <c r="C1251" i="5" l="1"/>
  <c r="C1252" i="5" l="1"/>
  <c r="B1251" i="17"/>
  <c r="C1253" i="5" l="1"/>
  <c r="C1254" i="5" l="1"/>
  <c r="B1253" i="17"/>
  <c r="C1255" i="5" l="1"/>
  <c r="B1254" i="17"/>
  <c r="C1256" i="5" l="1"/>
  <c r="C1257" i="5" l="1"/>
  <c r="C1258" i="5" l="1"/>
  <c r="C1259" i="5" l="1"/>
  <c r="B1259" i="17" s="1"/>
  <c r="C1260" i="5" l="1"/>
  <c r="C1261" i="5" s="1"/>
  <c r="C1262" i="5" s="1"/>
  <c r="B1262" i="17" s="1"/>
  <c r="C1263" i="5" l="1"/>
  <c r="B1263" i="17" s="1"/>
  <c r="C1264" i="5" l="1"/>
  <c r="C1265" i="5" l="1"/>
  <c r="C1266" i="5" s="1"/>
  <c r="B1264" i="17"/>
  <c r="C1267" i="5" l="1"/>
  <c r="B1266" i="17"/>
  <c r="C1268" i="5" l="1"/>
  <c r="C1269" i="5" s="1"/>
  <c r="C1270" i="5" s="1"/>
  <c r="C1271" i="5" s="1"/>
  <c r="C1272" i="5" s="1"/>
  <c r="C1273" i="5" l="1"/>
  <c r="C1274" i="5" l="1"/>
  <c r="C1275" i="5" s="1"/>
  <c r="B1273" i="17"/>
  <c r="C1276" i="5" l="1"/>
  <c r="C1277" i="5" l="1"/>
  <c r="C1278" i="5" l="1"/>
  <c r="C1279" i="5" l="1"/>
  <c r="C1280" i="5" l="1"/>
  <c r="C1281" i="5" l="1"/>
  <c r="C1282" i="5" l="1"/>
  <c r="B1281" i="17"/>
  <c r="C1283" i="5" l="1"/>
  <c r="C1284" i="5" l="1"/>
  <c r="C1285" i="5" s="1"/>
  <c r="B1283" i="17"/>
  <c r="B1284" i="17" l="1"/>
  <c r="R4" i="5"/>
  <c r="H6" i="24" l="1"/>
  <c r="K6" i="24"/>
  <c r="K3" i="24"/>
  <c r="S4" i="5"/>
  <c r="D2" i="24" l="1"/>
  <c r="O5" i="24"/>
  <c r="X6" i="2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<sst xmlns="http://schemas.openxmlformats.org/spreadsheetml/2006/main" count="8613" uniqueCount="1852">
  <si>
    <t>Preço</t>
  </si>
  <si>
    <t>Telefone</t>
  </si>
  <si>
    <t>E-mail</t>
  </si>
  <si>
    <t>Ano</t>
  </si>
  <si>
    <t>N° DA OS</t>
  </si>
  <si>
    <t>PRAZO</t>
  </si>
  <si>
    <t>8.22</t>
  </si>
  <si>
    <t>9.22</t>
  </si>
  <si>
    <t>12.22</t>
  </si>
  <si>
    <t>15.22</t>
  </si>
  <si>
    <t>16.22</t>
  </si>
  <si>
    <t>-</t>
  </si>
  <si>
    <t>Anos</t>
  </si>
  <si>
    <t>19.22</t>
  </si>
  <si>
    <t>18.22</t>
  </si>
  <si>
    <t>23.22</t>
  </si>
  <si>
    <t>21.22</t>
  </si>
  <si>
    <t>25.22</t>
  </si>
  <si>
    <t>30.22</t>
  </si>
  <si>
    <t>36.22</t>
  </si>
  <si>
    <t>34.22</t>
  </si>
  <si>
    <t>28.22</t>
  </si>
  <si>
    <t>26.22</t>
  </si>
  <si>
    <t>27.22</t>
  </si>
  <si>
    <t>31.22</t>
  </si>
  <si>
    <t>44.22</t>
  </si>
  <si>
    <t>33.22</t>
  </si>
  <si>
    <t>35.22</t>
  </si>
  <si>
    <t>43.22</t>
  </si>
  <si>
    <t>40.22</t>
  </si>
  <si>
    <t>41.22</t>
  </si>
  <si>
    <t>48.22</t>
  </si>
  <si>
    <t>50.22</t>
  </si>
  <si>
    <t>53.22</t>
  </si>
  <si>
    <t>54.22</t>
  </si>
  <si>
    <t>55.22</t>
  </si>
  <si>
    <t>51.22</t>
  </si>
  <si>
    <t>56.22</t>
  </si>
  <si>
    <t>57.22</t>
  </si>
  <si>
    <t>58.22</t>
  </si>
  <si>
    <t>61.22</t>
  </si>
  <si>
    <t>62.22</t>
  </si>
  <si>
    <t>63.22</t>
  </si>
  <si>
    <t>64.22</t>
  </si>
  <si>
    <t>75.22</t>
  </si>
  <si>
    <t>70.22</t>
  </si>
  <si>
    <t>73.22</t>
  </si>
  <si>
    <t>78.22</t>
  </si>
  <si>
    <t>76.22</t>
  </si>
  <si>
    <t>80.22</t>
  </si>
  <si>
    <t>79.22</t>
  </si>
  <si>
    <t>85.22</t>
  </si>
  <si>
    <t>87.22</t>
  </si>
  <si>
    <t>94.23</t>
  </si>
  <si>
    <t>37.22</t>
  </si>
  <si>
    <t>39.22</t>
  </si>
  <si>
    <t>88.22</t>
  </si>
  <si>
    <t>89.22</t>
  </si>
  <si>
    <t>92.22</t>
  </si>
  <si>
    <t>94.22</t>
  </si>
  <si>
    <t>95.22</t>
  </si>
  <si>
    <t>96.22</t>
  </si>
  <si>
    <t>97.22</t>
  </si>
  <si>
    <t>113.22</t>
  </si>
  <si>
    <t>138.23</t>
  </si>
  <si>
    <t>140.23</t>
  </si>
  <si>
    <t>141.23</t>
  </si>
  <si>
    <t>142.23</t>
  </si>
  <si>
    <t>144.23</t>
  </si>
  <si>
    <t>145.23</t>
  </si>
  <si>
    <t>147.23</t>
  </si>
  <si>
    <t>149.23</t>
  </si>
  <si>
    <t>150.23</t>
  </si>
  <si>
    <t>151.23</t>
  </si>
  <si>
    <t>154.23</t>
  </si>
  <si>
    <t>157.23</t>
  </si>
  <si>
    <t>158.23</t>
  </si>
  <si>
    <t>159.23</t>
  </si>
  <si>
    <t>92.23</t>
  </si>
  <si>
    <t>96.23</t>
  </si>
  <si>
    <t>97.23</t>
  </si>
  <si>
    <t>126.23</t>
  </si>
  <si>
    <t>113.23</t>
  </si>
  <si>
    <t>114.23</t>
  </si>
  <si>
    <t>111.23</t>
  </si>
  <si>
    <t>112.23</t>
  </si>
  <si>
    <t>124.23</t>
  </si>
  <si>
    <t>163.23</t>
  </si>
  <si>
    <t>164.23</t>
  </si>
  <si>
    <t>172.23</t>
  </si>
  <si>
    <t>173.23</t>
  </si>
  <si>
    <t>176.23</t>
  </si>
  <si>
    <t>177.23</t>
  </si>
  <si>
    <t>178.23</t>
  </si>
  <si>
    <t>179.23</t>
  </si>
  <si>
    <t>180.23</t>
  </si>
  <si>
    <t>182.23</t>
  </si>
  <si>
    <t>119.23</t>
  </si>
  <si>
    <t>115.23</t>
  </si>
  <si>
    <t>132.23</t>
  </si>
  <si>
    <t>120.23</t>
  </si>
  <si>
    <t>125.23</t>
  </si>
  <si>
    <t>123.23</t>
  </si>
  <si>
    <t>127.23</t>
  </si>
  <si>
    <t>184.23</t>
  </si>
  <si>
    <t>185.23</t>
  </si>
  <si>
    <t>186.23</t>
  </si>
  <si>
    <t>187.23</t>
  </si>
  <si>
    <t>189.23</t>
  </si>
  <si>
    <t>190.23</t>
  </si>
  <si>
    <t>191.23</t>
  </si>
  <si>
    <t>193.23</t>
  </si>
  <si>
    <t>195.23</t>
  </si>
  <si>
    <t>196.23</t>
  </si>
  <si>
    <t>197.23</t>
  </si>
  <si>
    <t>198.23</t>
  </si>
  <si>
    <t>118.23</t>
  </si>
  <si>
    <t>130.23</t>
  </si>
  <si>
    <t>131.23</t>
  </si>
  <si>
    <t>129.23</t>
  </si>
  <si>
    <t>133.23</t>
  </si>
  <si>
    <t>199.23</t>
  </si>
  <si>
    <t>200.23</t>
  </si>
  <si>
    <t>201.23</t>
  </si>
  <si>
    <t>202.23</t>
  </si>
  <si>
    <t>203.23</t>
  </si>
  <si>
    <t>204.23</t>
  </si>
  <si>
    <t>206.23</t>
  </si>
  <si>
    <t>218.23</t>
  </si>
  <si>
    <t>219.23</t>
  </si>
  <si>
    <t>220.23</t>
  </si>
  <si>
    <t>221.23</t>
  </si>
  <si>
    <t>224.23</t>
  </si>
  <si>
    <t>225.23</t>
  </si>
  <si>
    <t>226.23</t>
  </si>
  <si>
    <t>215.23</t>
  </si>
  <si>
    <t>Ricardo</t>
  </si>
  <si>
    <t>244.24</t>
  </si>
  <si>
    <t>226.24</t>
  </si>
  <si>
    <t>248.24</t>
  </si>
  <si>
    <t>231.24</t>
  </si>
  <si>
    <t>251.24</t>
  </si>
  <si>
    <t>240.24</t>
  </si>
  <si>
    <t>242.24</t>
  </si>
  <si>
    <t>241.24</t>
  </si>
  <si>
    <t>261.24</t>
  </si>
  <si>
    <t>243.24</t>
  </si>
  <si>
    <t>250.24</t>
  </si>
  <si>
    <t>232.24</t>
  </si>
  <si>
    <t>262.24</t>
  </si>
  <si>
    <t>265.24</t>
  </si>
  <si>
    <t>237.24</t>
  </si>
  <si>
    <t>239.24</t>
  </si>
  <si>
    <t>235.24</t>
  </si>
  <si>
    <t>247.24</t>
  </si>
  <si>
    <t>249.24</t>
  </si>
  <si>
    <t>252.24</t>
  </si>
  <si>
    <t>274.24</t>
  </si>
  <si>
    <t>260.24</t>
  </si>
  <si>
    <t>257.24</t>
  </si>
  <si>
    <t>273.24</t>
  </si>
  <si>
    <t>255.24</t>
  </si>
  <si>
    <t>275.24</t>
  </si>
  <si>
    <t>258.24</t>
  </si>
  <si>
    <t>256.24</t>
  </si>
  <si>
    <t>278.24</t>
  </si>
  <si>
    <t>263.24</t>
  </si>
  <si>
    <t>267.24</t>
  </si>
  <si>
    <t>264.24</t>
  </si>
  <si>
    <t>272.24</t>
  </si>
  <si>
    <t>276.24</t>
  </si>
  <si>
    <t>279.24</t>
  </si>
  <si>
    <t>282.24</t>
  </si>
  <si>
    <t>285.24</t>
  </si>
  <si>
    <t>284.24</t>
  </si>
  <si>
    <t>485.24</t>
  </si>
  <si>
    <t>295.24</t>
  </si>
  <si>
    <t>298.24</t>
  </si>
  <si>
    <t>304.25</t>
  </si>
  <si>
    <t>306.25</t>
  </si>
  <si>
    <t>307.25</t>
  </si>
  <si>
    <t>309.25</t>
  </si>
  <si>
    <t>312.25</t>
  </si>
  <si>
    <t>Cliente</t>
  </si>
  <si>
    <t>Jose Carlos</t>
  </si>
  <si>
    <t>Wagner</t>
  </si>
  <si>
    <t>316.25</t>
  </si>
  <si>
    <t>317.25</t>
  </si>
  <si>
    <t>319.25</t>
  </si>
  <si>
    <t>320.25</t>
  </si>
  <si>
    <t>321.25</t>
  </si>
  <si>
    <t>325.25</t>
  </si>
  <si>
    <t>328.25</t>
  </si>
  <si>
    <t>329.25</t>
  </si>
  <si>
    <t>331.25</t>
  </si>
  <si>
    <t>332.25</t>
  </si>
  <si>
    <t>334.25</t>
  </si>
  <si>
    <t>338.25</t>
  </si>
  <si>
    <t>341.25</t>
  </si>
  <si>
    <t>344.25</t>
  </si>
  <si>
    <t>346.25</t>
  </si>
  <si>
    <t>347.25</t>
  </si>
  <si>
    <t>Descrição</t>
  </si>
  <si>
    <t>348.25</t>
  </si>
  <si>
    <t>349.25</t>
  </si>
  <si>
    <t>Marcelo</t>
  </si>
  <si>
    <t>352.25</t>
  </si>
  <si>
    <t>353.25</t>
  </si>
  <si>
    <t>354.25</t>
  </si>
  <si>
    <t>356.25</t>
  </si>
  <si>
    <t>357.25</t>
  </si>
  <si>
    <t>Prazo de pagamento</t>
  </si>
  <si>
    <t>á vista</t>
  </si>
  <si>
    <t>15dd</t>
  </si>
  <si>
    <t>28dd</t>
  </si>
  <si>
    <t>30dd</t>
  </si>
  <si>
    <t>45dd</t>
  </si>
  <si>
    <t>Dinheiro na coleta</t>
  </si>
  <si>
    <t>50 % entrada + balanço em 28dd</t>
  </si>
  <si>
    <t>Conforme observação acima</t>
  </si>
  <si>
    <t>50 % entrada + balanço ao término da fabricação</t>
  </si>
  <si>
    <t>30 / 45 / 60 dias</t>
  </si>
  <si>
    <t>Parcelado em 10x sem juros no boleto</t>
  </si>
  <si>
    <t>Unidades</t>
  </si>
  <si>
    <t>Kg</t>
  </si>
  <si>
    <t>Pç</t>
  </si>
  <si>
    <t>GL 3,6L</t>
  </si>
  <si>
    <t>Diária</t>
  </si>
  <si>
    <t>GL 5L</t>
  </si>
  <si>
    <t>Cj</t>
  </si>
  <si>
    <t>M</t>
  </si>
  <si>
    <t>Unid.</t>
  </si>
  <si>
    <t>GL 3,2L</t>
  </si>
  <si>
    <t>Litro</t>
  </si>
  <si>
    <t>Pares</t>
  </si>
  <si>
    <t>Mês</t>
  </si>
  <si>
    <t>Semana</t>
  </si>
  <si>
    <t>Horas</t>
  </si>
  <si>
    <t>Coleta</t>
  </si>
  <si>
    <t>feita pela Renova</t>
  </si>
  <si>
    <t>Feita pelo fornecedor</t>
  </si>
  <si>
    <t>Entrega</t>
  </si>
  <si>
    <t>Atendido</t>
  </si>
  <si>
    <t>Atendido com Restrição</t>
  </si>
  <si>
    <t>Atendido com Atraso</t>
  </si>
  <si>
    <t>Não Atendido</t>
  </si>
  <si>
    <t>Pontuação</t>
  </si>
  <si>
    <t>Empresa</t>
  </si>
  <si>
    <t>CNPJ</t>
  </si>
  <si>
    <t>Endereço</t>
  </si>
  <si>
    <t>Banco</t>
  </si>
  <si>
    <t>Agência</t>
  </si>
  <si>
    <t>Conta</t>
  </si>
  <si>
    <t>Contato</t>
  </si>
  <si>
    <t>Tipo de fornecedor</t>
  </si>
  <si>
    <t>A.N.J COMERCIAL LTDA</t>
  </si>
  <si>
    <t>42.866.787/0001-19</t>
  </si>
  <si>
    <t>Rua Barão do Amazonas, 86 - Centro - Niterói</t>
  </si>
  <si>
    <t>sabrina@aenejota.com.br</t>
  </si>
  <si>
    <t>Sabrina</t>
  </si>
  <si>
    <t>21 97952-2390</t>
  </si>
  <si>
    <t>ABC AÇOS COMÉRCIO DE PRODUTOS METALÚRGICOS EIRELI ME.</t>
  </si>
  <si>
    <t>21.677.229/0001-35</t>
  </si>
  <si>
    <t>Av. dos Estados, 5879 - Parque Jaçatuba - Santo André / SP CEP: 09290-520</t>
  </si>
  <si>
    <t>atendimento@tubosabc.com.br</t>
  </si>
  <si>
    <t>Banco do Brasil</t>
  </si>
  <si>
    <t>127693-0</t>
  </si>
  <si>
    <t>Felipe</t>
  </si>
  <si>
    <t>11 4437-3713</t>
  </si>
  <si>
    <t>ABRASEG COMERCIAL SOLDAS LTDA</t>
  </si>
  <si>
    <t>10.894.768/0001-00</t>
  </si>
  <si>
    <t>Av. Lobo Junior, 1045 - Penha</t>
  </si>
  <si>
    <t>vendas5@abrasegcomercial.com.br</t>
  </si>
  <si>
    <t>Banco Santander</t>
  </si>
  <si>
    <t>13001871-1</t>
  </si>
  <si>
    <t>Bruna Ribeiro</t>
  </si>
  <si>
    <t>21 96422-0241</t>
  </si>
  <si>
    <t>ACEPIL COMERCIAL E IMPORTADORA LTDA.</t>
  </si>
  <si>
    <t>43.455.179/0001-84</t>
  </si>
  <si>
    <t>RUA MAGARINOS TORRES, 1130 - VILA MARIA - SAO PAULO</t>
  </si>
  <si>
    <t>ACIVA PRODUTOS SIDERÚRGICOS LTDA</t>
  </si>
  <si>
    <t xml:space="preserve">04.768.721/0001-05     </t>
  </si>
  <si>
    <t>Rua João Canzi, 1045  – Nucleo Itaim - Cep 08538-200   - Ferraz de Vasconcelos  – SP</t>
  </si>
  <si>
    <t>luis@aciva.com.br</t>
  </si>
  <si>
    <t>Banco Arbi S.A</t>
  </si>
  <si>
    <t>001-9</t>
  </si>
  <si>
    <t>372596-8</t>
  </si>
  <si>
    <t>Luis</t>
  </si>
  <si>
    <t>11 97755-1856</t>
  </si>
  <si>
    <t>AÇOS GRANJO COMERCIAL LTDA</t>
  </si>
  <si>
    <t>72.842.685/0001-24</t>
  </si>
  <si>
    <t>Av.NicolaDemarchi,170 - B.Demarchi - São Bernardo do Campo - São Paulo - CEP:09820-655</t>
  </si>
  <si>
    <t>amanda@acosgranjo.com.br</t>
  </si>
  <si>
    <t>Banco Bradesco</t>
  </si>
  <si>
    <t>5400-3</t>
  </si>
  <si>
    <t>Amanda</t>
  </si>
  <si>
    <t>11 98702-4024</t>
  </si>
  <si>
    <t>ACOTUBO INDUSTRIA E COMERCIO LTDA - TUBOS E AÇOS RJ</t>
  </si>
  <si>
    <t>43.919.968/0009-86</t>
  </si>
  <si>
    <t>Rua Santa Tereza, 1653 Setor I Vl São Luiz - Duque de Caxias - RJ</t>
  </si>
  <si>
    <t>CARBONORJ2@acotubo.com.br</t>
  </si>
  <si>
    <t>3397-9</t>
  </si>
  <si>
    <t>87364-0</t>
  </si>
  <si>
    <t>Francielli</t>
  </si>
  <si>
    <t>21 2197-7600 - Ramal 7622</t>
  </si>
  <si>
    <t>AENEJOTA FERRAGENS LTDA</t>
  </si>
  <si>
    <t>29.567.179/0001- 45</t>
  </si>
  <si>
    <t>Rua Barão do Amazonas, N°82 - Centro - Niterói - RJ</t>
  </si>
  <si>
    <t>21 9 7952-2390</t>
  </si>
  <si>
    <t>Banco Itau</t>
  </si>
  <si>
    <t>Paulo</t>
  </si>
  <si>
    <t>AMJ COMÉRCIO DE EQUIPAMENTOS INDUSTRIAIS EIRELI - EPP</t>
  </si>
  <si>
    <t>24.239.418/0001-14</t>
  </si>
  <si>
    <t>Av. Affonso da Silveira, 618 - Lj - Anil - RJ - CEP 22.753-400</t>
  </si>
  <si>
    <t>vendas1@amjcomercio.com.br</t>
  </si>
  <si>
    <t>Marcos</t>
  </si>
  <si>
    <t>21 98711-1231</t>
  </si>
  <si>
    <t>ANJ COMERCIAL LTDA</t>
  </si>
  <si>
    <t>RUA BARÃO DO AMAZONAS 86, PONTA D AREIA - NITEROI, RJ - CEP: 24030-110</t>
  </si>
  <si>
    <t xml:space="preserve">sabrina@aenejota.com.br </t>
  </si>
  <si>
    <t>21 2717-4133</t>
  </si>
  <si>
    <t>ANJ TINTAS NAVAIS E INDUSTRIAL LTDA</t>
  </si>
  <si>
    <t>08.794.584/0001-26</t>
  </si>
  <si>
    <t>RUA BARÃO DO AMAZONAS N° 77 - CENTRO - NITERÓI - RJ</t>
  </si>
  <si>
    <t>contato.tintas@aenejota.com.br</t>
  </si>
  <si>
    <t>21 2704-5732</t>
  </si>
  <si>
    <t>ANSINOX TUBOS E CONEXOES LTDA</t>
  </si>
  <si>
    <t>10.494.582/0001-63</t>
  </si>
  <si>
    <t>Rua Alzira Maruyama, 55-63 - 03480-060 - Vila Nova York - São Paulo / SP</t>
  </si>
  <si>
    <t>patricia@ansinox.com.br</t>
  </si>
  <si>
    <t>0137</t>
  </si>
  <si>
    <t>113752-2</t>
  </si>
  <si>
    <t>Patricia</t>
  </si>
  <si>
    <t>11 2724-2730</t>
  </si>
  <si>
    <t>ARCELORMITTAL BRASIL AS</t>
  </si>
  <si>
    <t xml:space="preserve">17.469.701/0161-70 </t>
  </si>
  <si>
    <t>RUA CAPITAO GUYNEMER, 13 – B - XEREM</t>
  </si>
  <si>
    <t>rosane.carvalho@arcelormittal.com.br</t>
  </si>
  <si>
    <t>Rosane</t>
  </si>
  <si>
    <t>24 99885-1487</t>
  </si>
  <si>
    <t>ARLE PARAFUSOS E FERRAGENS LTDA</t>
  </si>
  <si>
    <t xml:space="preserve">27.200.476.0001-22   </t>
  </si>
  <si>
    <t>Lucas Rodrigues 26B, Parada de Lucas - RJ</t>
  </si>
  <si>
    <t>arleparafusos@yahoo.com.br</t>
  </si>
  <si>
    <t>ARM NITEROI PRODUTOS E SERVIÇOS</t>
  </si>
  <si>
    <t>08.363.108/0001-50</t>
  </si>
  <si>
    <t>RUA BARÃO DO AMAZONAS, 124 - CENTRO - NITERÓI, RJ - CEP: 24030-110</t>
  </si>
  <si>
    <t>contato@mplniteroi.com.br</t>
  </si>
  <si>
    <t>9216</t>
  </si>
  <si>
    <t>09183-6</t>
  </si>
  <si>
    <t>Cadmo</t>
  </si>
  <si>
    <t>21 2719-6062</t>
  </si>
  <si>
    <t>ASTM ACESSORIOS SERVIÇOS TÉCNICOS METALÚRGICOS LTDA</t>
  </si>
  <si>
    <t>63.034.847/0001-07</t>
  </si>
  <si>
    <t>RUA EMANUEL BAZIN, 26/40 - JD MARIA ESTELA - SÃO PAULO - CEP: 04180-200</t>
  </si>
  <si>
    <t>wellington@astm.com.br</t>
  </si>
  <si>
    <t>Banco Itaú</t>
  </si>
  <si>
    <t>0069</t>
  </si>
  <si>
    <t>11843-8</t>
  </si>
  <si>
    <t xml:space="preserve">Wellington </t>
  </si>
  <si>
    <t>11 2946-3522</t>
  </si>
  <si>
    <t>ATLANTA FERRO E AÇO</t>
  </si>
  <si>
    <t>04.539.563/0001-03</t>
  </si>
  <si>
    <t>Av. Dalila, 677 - Vila Dalila - São Paulo / SP</t>
  </si>
  <si>
    <t>atlanta.luiz@terra.com.br</t>
  </si>
  <si>
    <t>13000031-4</t>
  </si>
  <si>
    <t>Luiz / Vitor</t>
  </si>
  <si>
    <t>11  2082-9292</t>
  </si>
  <si>
    <t>Autrotec Sistemas Eletrônicos Ltda.</t>
  </si>
  <si>
    <t>39.181.052/0001-47</t>
  </si>
  <si>
    <t>Rua dos Araújos, 119 - Tijuca  - Rio de Janeiro - RJ - CEP: 20521-000</t>
  </si>
  <si>
    <t>fernandaabreu@autrotec.com.br</t>
  </si>
  <si>
    <t>Fernanda</t>
  </si>
  <si>
    <t>21 2568-6164</t>
  </si>
  <si>
    <t>BENAFER SA COMÉRCIO E INDÚSTRIA.</t>
  </si>
  <si>
    <t>33.049.412/0001-75</t>
  </si>
  <si>
    <t>Rua Porena, 76  - Ramos - Rio de Janeiro</t>
  </si>
  <si>
    <t>gilda.vendas.rj@benafer.com.br</t>
  </si>
  <si>
    <t>0309</t>
  </si>
  <si>
    <t>72567-9</t>
  </si>
  <si>
    <t>Gilda</t>
  </si>
  <si>
    <t>21 3278-9998</t>
  </si>
  <si>
    <t>BRASFORGE CONEXÕES E VÁLVULAS LTDA</t>
  </si>
  <si>
    <t>11.396.451/0001-06</t>
  </si>
  <si>
    <t>Rua Vieira da Silva, 54 – Sampaio</t>
  </si>
  <si>
    <t>vendas@brasforge.com.br</t>
  </si>
  <si>
    <t>22720-0</t>
  </si>
  <si>
    <t>Alan</t>
  </si>
  <si>
    <t>21 2501-0454</t>
  </si>
  <si>
    <t>BRAZAO COMERCIAL E IMPORTADORA EIRELI</t>
  </si>
  <si>
    <t xml:space="preserve">33.102.138/0001-50 </t>
  </si>
  <si>
    <t>Rua Figueira de Melo, 261 - SAO CRISTOVAO</t>
  </si>
  <si>
    <t>vendas@brazaoborrachas.com.br</t>
  </si>
  <si>
    <t>Jonatan</t>
  </si>
  <si>
    <t>21 3077-1989</t>
  </si>
  <si>
    <t>BUZAS INDUSTRIA E COMÉRCIO LTDA</t>
  </si>
  <si>
    <t>00.735.616/0001-00</t>
  </si>
  <si>
    <t>Rua Serra Redonda, 450 - Vila Industrial</t>
  </si>
  <si>
    <t>BIC2@BUZAS.COM.BR</t>
  </si>
  <si>
    <t>0140</t>
  </si>
  <si>
    <t>51222-9</t>
  </si>
  <si>
    <t>C B INSP. - CONTROLE DE QUALIDADE ENDS LTDA</t>
  </si>
  <si>
    <t>55.537.494/0001-30</t>
  </si>
  <si>
    <t>R JARDEL FILHO 57</t>
  </si>
  <si>
    <t>CBINSPECOES1@GMAIL.COM</t>
  </si>
  <si>
    <t>Banco Inter</t>
  </si>
  <si>
    <t>0001</t>
  </si>
  <si>
    <t>36937495-9</t>
  </si>
  <si>
    <t>Bruno</t>
  </si>
  <si>
    <t>(21) 2035-1480</t>
  </si>
  <si>
    <t>CALIBRARIO SERVIÇOS DE CALIBRAÇÃO EIRELI EPP</t>
  </si>
  <si>
    <t>14.373.725/0001-30</t>
  </si>
  <si>
    <t>Rua Diogo de Vasconcelos, 39, Parte – Manguinhos – Rio de Janeiro – RJ CEP 21.041-180</t>
  </si>
  <si>
    <t>comercial@calibrario.com.br</t>
  </si>
  <si>
    <t>0778</t>
  </si>
  <si>
    <t>01570-1</t>
  </si>
  <si>
    <t>Jéssiaca</t>
  </si>
  <si>
    <t>21 2560-2483</t>
  </si>
  <si>
    <t>CALINOX AÇOS E METAIS LTDA</t>
  </si>
  <si>
    <t>31.264.716/0001-20</t>
  </si>
  <si>
    <t>Rua ITIRAPINA – 39 -B - Thomás Coelho</t>
  </si>
  <si>
    <t>calinox@ig.com.br</t>
  </si>
  <si>
    <t>02363-8</t>
  </si>
  <si>
    <t>CAMARC COMERCIO DE ACESSORIOS INDUSTRIAIS LTDA</t>
  </si>
  <si>
    <t>11.037.048/0001-90</t>
  </si>
  <si>
    <t>RUA TAUFIK DIB, S/N LOTE 26 QUADRA C</t>
  </si>
  <si>
    <t>comercial@camarc.com.br</t>
  </si>
  <si>
    <t xml:space="preserve">CENTRO MANUFATUREIRO DO AÇO LTDA. </t>
  </si>
  <si>
    <t>04.565.265/0002-79</t>
  </si>
  <si>
    <t>Av. Eurico Ambrogi Santos, 2.333 – Bairro Piracangagua – Taubaté – SP</t>
  </si>
  <si>
    <t xml:space="preserve">danissa@cemacobr.com.br </t>
  </si>
  <si>
    <t>01586-9</t>
  </si>
  <si>
    <t>Danissa</t>
  </si>
  <si>
    <t>011 4082-1267</t>
  </si>
  <si>
    <t>Century Comércio de Tubos LTDA</t>
  </si>
  <si>
    <t>26.192.307/0001-25</t>
  </si>
  <si>
    <t>Rua Costa Barros, 2504 - São Paulo SP, 03210-001</t>
  </si>
  <si>
    <t>contato@centurytubos.com.br</t>
  </si>
  <si>
    <t>0109</t>
  </si>
  <si>
    <t>13012256-8</t>
  </si>
  <si>
    <t>Priscila</t>
  </si>
  <si>
    <t>11 95309-7684</t>
  </si>
  <si>
    <t>CIMEQ - CENTRO INTEGRADO DE METROLOGIA E QUALIDADE INDUSTRIAL LTDA</t>
  </si>
  <si>
    <t>10.612.094/0001-03</t>
  </si>
  <si>
    <t>RUA PROFESSOR OLIVEIRA DE MENEZES, 126 - ROCHA - RJ - CEP: 20960-070</t>
  </si>
  <si>
    <t>comercial@cimeq.com.br</t>
  </si>
  <si>
    <t>Caixa Econômica</t>
  </si>
  <si>
    <t>0542</t>
  </si>
  <si>
    <t>00002012-7</t>
  </si>
  <si>
    <t>Liana</t>
  </si>
  <si>
    <t>21 2261-2060</t>
  </si>
  <si>
    <t>CONECTAR MANGUEIRAS COMERCIO LTDA</t>
  </si>
  <si>
    <t>24.933.697/0001-11</t>
  </si>
  <si>
    <t>RUA SALO BRAND, 16 - ILHA DA CONCEIÇÃO - NITEROI - RJ</t>
  </si>
  <si>
    <t>contato@conectarmangueiras.com.br</t>
  </si>
  <si>
    <t>Mylena</t>
  </si>
  <si>
    <t>21 3254-9394</t>
  </si>
  <si>
    <t>CRISTIANO R. FUZARO COMERCIO DE BORRACHAS LTDA</t>
  </si>
  <si>
    <t>46.204.412/0001-44</t>
  </si>
  <si>
    <t>RUA CARLOS DOS SANTOS, 1346 - JARDIM BRASIL - SÃO PAULO /SP</t>
  </si>
  <si>
    <t>vendas10@engbor.com.br</t>
  </si>
  <si>
    <t>0157</t>
  </si>
  <si>
    <t>99638-0</t>
  </si>
  <si>
    <t>Nunes</t>
  </si>
  <si>
    <t>11 2372-0100</t>
  </si>
  <si>
    <t>DECAPAMETAL QUALIDADE E TECNOLOGIA</t>
  </si>
  <si>
    <t>27.863.570/0001-61</t>
  </si>
  <si>
    <t>comercial@decapametal.com.br</t>
  </si>
  <si>
    <t>Andréa</t>
  </si>
  <si>
    <t>(21) 2777-5050</t>
  </si>
  <si>
    <t>DILMAR - Comércio de Materiais Elétrcios Ltda</t>
  </si>
  <si>
    <t>31.268.410/0001-41</t>
  </si>
  <si>
    <t>Rua Mal Deodoro, 231 Centro Niteroi RJ</t>
  </si>
  <si>
    <t>gilliard@dilmar.com.br</t>
  </si>
  <si>
    <t>Gilliard</t>
  </si>
  <si>
    <t>DINATÉCNICA INDÚSTRIA E COMÉRCIO LTDA</t>
  </si>
  <si>
    <t>62.522.453/0001-35</t>
  </si>
  <si>
    <t xml:space="preserve">Rua José Semião Rodrigues Agostinho, nº 382 - CEP 06833-300 </t>
  </si>
  <si>
    <t>comercial@dinatecnica.com.br</t>
  </si>
  <si>
    <t>000297-6</t>
  </si>
  <si>
    <t>DNV CLASSIFICAÇÃO, CERTIFICAÇÃO E CONSULTORIA BRASIL LTDA</t>
  </si>
  <si>
    <t>42.360.404/0001-36</t>
  </si>
  <si>
    <t>Rua da Conceição, 95 – Sala 710, Centro, Niterói - RJ - Brazil - CEP 24020-085</t>
  </si>
  <si>
    <t>christian.borges@dnv.com</t>
  </si>
  <si>
    <t>BANCO CITIBANK</t>
  </si>
  <si>
    <t>003</t>
  </si>
  <si>
    <t>5232670-5</t>
  </si>
  <si>
    <t>Christian</t>
  </si>
  <si>
    <t>DS RIO VEDAÇÕES  - EIRELI</t>
  </si>
  <si>
    <t>06.164.592/0001-63</t>
  </si>
  <si>
    <t>Rua General Venâncio Flores, 43/55 – CEP 25071-230</t>
  </si>
  <si>
    <t>financeiro1@dsrio.com</t>
  </si>
  <si>
    <t>Banco Caixa Econômica</t>
  </si>
  <si>
    <t>2988-0</t>
  </si>
  <si>
    <t>Wanderson</t>
  </si>
  <si>
    <t>21 3848-0010</t>
  </si>
  <si>
    <t>DUFERRO COMÉRCIO DE FERROS E AÇOS LTDA.</t>
  </si>
  <si>
    <t>41.867.427/0001-79</t>
  </si>
  <si>
    <t>Rua Aristides Pileggi, 47 - Sala 1 - CEP 03137-060</t>
  </si>
  <si>
    <t>cleide@dufertubos.com.br</t>
  </si>
  <si>
    <t>0275</t>
  </si>
  <si>
    <t>2597-7</t>
  </si>
  <si>
    <t>Cleide</t>
  </si>
  <si>
    <t>11 99523-4423</t>
  </si>
  <si>
    <t>E M DE OLIVEIRA LABORATORIO DE METROLOGIA EIRELI – ME</t>
  </si>
  <si>
    <t>20.895.640/0002-03</t>
  </si>
  <si>
    <t>Rua Haddock Lobo, 226, Tijuca-RJ (Em frente ao banco Santander)</t>
  </si>
  <si>
    <t>medicaorio@medicao.rio.br</t>
  </si>
  <si>
    <t>62939-6</t>
  </si>
  <si>
    <t>Flávia</t>
  </si>
  <si>
    <t>21 3264-4187</t>
  </si>
  <si>
    <t>EDEN GASES E SOLDAS LTDA</t>
  </si>
  <si>
    <t>74.187.840/0001-41</t>
  </si>
  <si>
    <t>AV PRESIDENTE KENNEDY L 52 GALPAO - PARQUE SAO JUDAS TADEU - CEP 25.540-413</t>
  </si>
  <si>
    <t>pedido@edengases.com.br</t>
  </si>
  <si>
    <t>0544</t>
  </si>
  <si>
    <t>1023-5</t>
  </si>
  <si>
    <t>21 2656-2674</t>
  </si>
  <si>
    <t>ELINOX CENTRAL DE AÇO INOXIDÁVEL LTDA.</t>
  </si>
  <si>
    <t>04.330.905/0001-80</t>
  </si>
  <si>
    <t>Rua Ruzzi, 701 - Sertãozinho - Maua - SP</t>
  </si>
  <si>
    <t>vendas@elinox.com.br</t>
  </si>
  <si>
    <t>0018</t>
  </si>
  <si>
    <t>35005-8</t>
  </si>
  <si>
    <t>ESTRELAÇO TUBOS E CONEXÕES COMERCIO E SERVIÇO LTDA</t>
  </si>
  <si>
    <t>03.801.691/0001-10</t>
  </si>
  <si>
    <t>RUA GUATEMALA, 380 - PENHA - RIO DE JANEIRO - RJ - BRASIL</t>
  </si>
  <si>
    <t>elvis.barroso@estrelaco.com.br</t>
  </si>
  <si>
    <t>6315</t>
  </si>
  <si>
    <t>363-8</t>
  </si>
  <si>
    <t>Elvis</t>
  </si>
  <si>
    <t>21 3043-6363</t>
  </si>
  <si>
    <t>FARO TECHNOLOGIES DO BRASIL LTDA.</t>
  </si>
  <si>
    <t>12.513.912/0001-46</t>
  </si>
  <si>
    <t>Rua San José, 360 - Pq. Ind. San José - Cotia - SP CEP: 06715-862</t>
  </si>
  <si>
    <t>ricardo.cardial@faro.com</t>
  </si>
  <si>
    <t>21 98813-1042</t>
  </si>
  <si>
    <t>FATOR K ISOLANTES TÉRMICOS E REFRATÁRIOS LTDA</t>
  </si>
  <si>
    <t>00.631.494/0001-02</t>
  </si>
  <si>
    <t>Rua Nova Jerusalém, 164 - Maré - RJ</t>
  </si>
  <si>
    <t>fatork@fatork.com.br</t>
  </si>
  <si>
    <t>02431-3</t>
  </si>
  <si>
    <t>FERRAGENS DUAS PATRIAS DE BONSUCESSO LTDA</t>
  </si>
  <si>
    <t>31.193.006/0001-56</t>
  </si>
  <si>
    <t>Avenida dos Democraticos, 536 - HIGIENOPOLIS - Rio de Janeiro</t>
  </si>
  <si>
    <t xml:space="preserve"> duaspatrias@duaspatrias.com.br</t>
  </si>
  <si>
    <t>FF PEREIRA PRODUTOS INDUSTRIAIS LTDA</t>
  </si>
  <si>
    <t>07.966.521/0001-47</t>
  </si>
  <si>
    <t>AV 22 DE MAIO 3934 LJ 06 - SHOPPING NÁPOLES - OUTEIRO DAS PEDRAS - ITABORAÍ - RJ - CEP: 24812-222</t>
  </si>
  <si>
    <t>ffvendas@hotmail.com</t>
  </si>
  <si>
    <t>Fernando</t>
  </si>
  <si>
    <t>2196484-6668</t>
  </si>
  <si>
    <t xml:space="preserve">FIBERTEX LOUVEIRA PRODUTOS TÊXTEIS LTDA. </t>
  </si>
  <si>
    <t xml:space="preserve">72.847.429/0001-20 </t>
  </si>
  <si>
    <t xml:space="preserve">Estrada da Boiada, 4001 - CEP: 13.281-672  Vinhedo /SP </t>
  </si>
  <si>
    <t xml:space="preserve">fibertex@fibertex.com.br </t>
  </si>
  <si>
    <t>0323</t>
  </si>
  <si>
    <t>035227-6</t>
  </si>
  <si>
    <t>FLAVIENSE INDUSTRIA DE SOLUCOES EM MADEIRA LTDA</t>
  </si>
  <si>
    <t>12.858.507/0001-60</t>
  </si>
  <si>
    <t>FREI CANECA, 139 - DUQUE DE CAXIAS</t>
  </si>
  <si>
    <t>BANCO ITAU</t>
  </si>
  <si>
    <t>60871-1</t>
  </si>
  <si>
    <t>Breno</t>
  </si>
  <si>
    <t>FLUTROL RIO EQUIPAMENTOS INDUSTRIAIS LTDA.</t>
  </si>
  <si>
    <t>04.122.068/0001-02</t>
  </si>
  <si>
    <t>Rua Maria Rodrigues, 235 - Olaria - Rio de Janeiro CEP: 21031-490</t>
  </si>
  <si>
    <t>alexandre.santos@flutrol.com.br</t>
  </si>
  <si>
    <t>Alexandre</t>
  </si>
  <si>
    <t>21 97028-1684</t>
  </si>
  <si>
    <t>FRANIK VÁLVULAS E CONEXÕES LTDA EPP</t>
  </si>
  <si>
    <t>26.481.299/0001-37</t>
  </si>
  <si>
    <t>Est.do Pedregoso, 2311 - Dist. industrial de Campo Grande – RJ</t>
  </si>
  <si>
    <t>vendas1@franik.com.br</t>
  </si>
  <si>
    <t>20300-2</t>
  </si>
  <si>
    <t>FULL SET ENGENHARIA INTERMODAL E METALURGICA EIRELI</t>
  </si>
  <si>
    <t>23.964.267/0001-02</t>
  </si>
  <si>
    <t>RUA HERCULES MAZZONI, 1126 - INDAIATUBA - SP - CEP 13.330-250</t>
  </si>
  <si>
    <t>comercial@fullset.net.br</t>
  </si>
  <si>
    <t>0041</t>
  </si>
  <si>
    <t>34177-7</t>
  </si>
  <si>
    <t>Guilherme</t>
  </si>
  <si>
    <t>19 3816-1100</t>
  </si>
  <si>
    <t>GALILEIA FERRO E AÇO LTDA</t>
  </si>
  <si>
    <t>01.350.338/0001-36</t>
  </si>
  <si>
    <t>Av. Guarulhos, 1101 - Gopouva, Guarulhos - SP</t>
  </si>
  <si>
    <t>galileiaretalhos@terra.com.br</t>
  </si>
  <si>
    <t>29234-6</t>
  </si>
  <si>
    <t>GAL-TEC GALVANIZAÇÃO TÉCNICA LTDA</t>
  </si>
  <si>
    <t>32.193.732.0001/31</t>
  </si>
  <si>
    <t>Rua do cajá 877A</t>
  </si>
  <si>
    <t>galtecrio@gmail.com</t>
  </si>
  <si>
    <t>Rosa</t>
  </si>
  <si>
    <t>21 3287-9092</t>
  </si>
  <si>
    <t>GB JUNTAS EQUIPAMENTOS INDUSTRIAIS LITDA</t>
  </si>
  <si>
    <t>31.544.036/0001-60</t>
  </si>
  <si>
    <t>Rua Anequirá, 313 - Cordovil</t>
  </si>
  <si>
    <t>vendas@gbjuntas.com.br</t>
  </si>
  <si>
    <t xml:space="preserve">Banco do Brasil </t>
  </si>
  <si>
    <t xml:space="preserve">3189-5 </t>
  </si>
  <si>
    <t>3.013-9</t>
  </si>
  <si>
    <t>Ismar</t>
  </si>
  <si>
    <t>GON PETRO COMERCIAL LTDA</t>
  </si>
  <si>
    <t>32.150.187/0001-04</t>
  </si>
  <si>
    <t>Avenida Lacerda Agostinho, 2.175 – Virgem Santa – Macaé – RJ – CEP: 27.948-005</t>
  </si>
  <si>
    <t>julio@gonpetro.com.br</t>
  </si>
  <si>
    <t>0941</t>
  </si>
  <si>
    <t>15857-8</t>
  </si>
  <si>
    <t>Julio</t>
  </si>
  <si>
    <t>22 2773-5555</t>
  </si>
  <si>
    <t>Gradefuros Grades e Metais Perfurados Eireli – EPP</t>
  </si>
  <si>
    <t>07.704.731/0001-67</t>
  </si>
  <si>
    <t>Rua Bernardo Matorell, 16 –Sapopemba (Faz. Da Juta) – São Paulo/SP</t>
  </si>
  <si>
    <t>gradefuros@gradefuros.com.br</t>
  </si>
  <si>
    <t>91-4</t>
  </si>
  <si>
    <t>11 2011-6688</t>
  </si>
  <si>
    <t>GRADETEC INDUSTRIAL LTDA.</t>
  </si>
  <si>
    <t>04.012.619/0001-77</t>
  </si>
  <si>
    <t>Estrada Sadae Takagi, 3235 - Cooperativa - São Bernardo</t>
  </si>
  <si>
    <t>Vendas@gradetec.com.br</t>
  </si>
  <si>
    <t>0653</t>
  </si>
  <si>
    <t>13005753-8</t>
  </si>
  <si>
    <t>Cleber</t>
  </si>
  <si>
    <t>11 4070-5570</t>
  </si>
  <si>
    <t>HIDEO NAKAYAMA IMPORTAÇÃO E EXPORTAÇÃO COMÉRCIO E INDÚSTRIA LTDA.</t>
  </si>
  <si>
    <t>28.683.597/0001-35</t>
  </si>
  <si>
    <t>Rua Santa Amélia, 33
Praça da Bandeira – Rio de Janeiro/RJ Cep.: 20.260-030</t>
  </si>
  <si>
    <t>vendas02@nakayama.com.br</t>
  </si>
  <si>
    <t>3462</t>
  </si>
  <si>
    <t>13003706-1</t>
  </si>
  <si>
    <t>Mariana</t>
  </si>
  <si>
    <t>21 2590-3496</t>
  </si>
  <si>
    <t>HYPNEUMAT SOLUÇÕES EM HIDRÁULICA, PNEUMÁTICA E DECAP.</t>
  </si>
  <si>
    <t>03.132.736/0001-01</t>
  </si>
  <si>
    <t>Rua Belizário Pena,52 - Penha - RJ</t>
  </si>
  <si>
    <t>vendas1@hypneumat.com.br</t>
  </si>
  <si>
    <t>21 '2173-1100</t>
  </si>
  <si>
    <t>IMI INSTITUTO DE METROLOGIA INDUSTRIAL LTDA.</t>
  </si>
  <si>
    <t>01.808.942/0001-63</t>
  </si>
  <si>
    <t>RUA LUÍS LEMOS CALDAS, Lote 13 - Quadra 09 - CAMPO GRANDE – RJ.
CEP: 23071-480</t>
  </si>
  <si>
    <t>Comercial.usitec26@gmail.com</t>
  </si>
  <si>
    <t>23256-4</t>
  </si>
  <si>
    <t>Daniel</t>
  </si>
  <si>
    <t>(21) 96424-8349</t>
  </si>
  <si>
    <t>INCAL SERVICE LTDA-ME</t>
  </si>
  <si>
    <t>23.095.983/0001-92</t>
  </si>
  <si>
    <t>Rua Cadete Polônia N° 147, Sampaio - Rio de Janeiro</t>
  </si>
  <si>
    <t>csilva@incalservice.com.br</t>
  </si>
  <si>
    <t xml:space="preserve">Banco Santander </t>
  </si>
  <si>
    <t>13002746-3</t>
  </si>
  <si>
    <t>Clodoaldo</t>
  </si>
  <si>
    <t>21 97303-4620</t>
  </si>
  <si>
    <t>INCOMPLAST POLÍMEROS E METAIS</t>
  </si>
  <si>
    <t>08.924.210/0001-88</t>
  </si>
  <si>
    <t xml:space="preserve">Rua Castro Lopes, 96 e 106 – Inhaúma – Rio de Janeiro/RJ </t>
  </si>
  <si>
    <t>andreia.incomplast@gmail.com</t>
  </si>
  <si>
    <t>Banco Itaiu</t>
  </si>
  <si>
    <t>0023</t>
  </si>
  <si>
    <t>30510-5</t>
  </si>
  <si>
    <t>Andreia</t>
  </si>
  <si>
    <t>21 2269-4095</t>
  </si>
  <si>
    <t>INDÚSTRIA DE TELAS METÁLICAS MM LTDA.</t>
  </si>
  <si>
    <t>48.138.812/0001-24</t>
  </si>
  <si>
    <t>Avenida Industrial, 120 – Itaquaquecetuba – SP</t>
  </si>
  <si>
    <t>mm@telasmm.com.br</t>
  </si>
  <si>
    <t>00045-7</t>
  </si>
  <si>
    <t>INOX CONEXÕES, VALVULAS E TUBOS LTDA - ME</t>
  </si>
  <si>
    <t>27.026.311/0001-86</t>
  </si>
  <si>
    <t>RUA IJUCAPIRAMA 98 - PQ SAVOY CITY - SÃO PAULO - SP - 03572-150</t>
  </si>
  <si>
    <t>vendas5@inoxconexoes.com.br</t>
  </si>
  <si>
    <t>10318-7</t>
  </si>
  <si>
    <t>Inove</t>
  </si>
  <si>
    <t>11 2723-2020</t>
  </si>
  <si>
    <t>INOXPLASMA COMÉRCIO DE METAIS LTDA</t>
  </si>
  <si>
    <t>67.423.111/0001-81</t>
  </si>
  <si>
    <t>Rua Marques de Santo Amaro,1026 a 1058 - Vila Califórnia / SP</t>
  </si>
  <si>
    <t>gabriel@inoxplasma.com.br</t>
  </si>
  <si>
    <t>INOX-TECH COMÉRCIO DE AÇOS INOXIDÁVEIS LTDA  (FEITAL)</t>
  </si>
  <si>
    <t xml:space="preserve">49.934.250/0013-21   </t>
  </si>
  <si>
    <t>D. Pedro Ripoli, 2380 – Vl Oásis – 09410-020 - Ribeirão Pires – SP</t>
  </si>
  <si>
    <t>maraujo.rio@feital.com.br</t>
  </si>
  <si>
    <t>24013-7</t>
  </si>
  <si>
    <t>Márcia</t>
  </si>
  <si>
    <t>21 2270-9922</t>
  </si>
  <si>
    <t xml:space="preserve">INTERCABOS INDUSTRIAL E COMERCIAL LTDA </t>
  </si>
  <si>
    <t xml:space="preserve">01.402.461/0001-53 </t>
  </si>
  <si>
    <t>Rua Magnólia, nº 767 - Bairro Pedro II - CEP 30770-020 Belo Horizonte/MG</t>
  </si>
  <si>
    <t xml:space="preserve">intercabos@intercabos.com.br </t>
  </si>
  <si>
    <t xml:space="preserve">2146-6 </t>
  </si>
  <si>
    <t>29210-9</t>
  </si>
  <si>
    <t>Getulio</t>
  </si>
  <si>
    <t>31 2519-5400</t>
  </si>
  <si>
    <t xml:space="preserve">IPH DO BRASIL COMERCIO E REPRESENTAÇÕES LTDA </t>
  </si>
  <si>
    <t xml:space="preserve">66.966.714/0001-67 </t>
  </si>
  <si>
    <t>Rua Nova São Paulo, 110 - Refúgio dos Pinheiros - Itapevi - SP - CEP 06696-100</t>
  </si>
  <si>
    <t>jmartins@iphglobal.com</t>
  </si>
  <si>
    <t>0211</t>
  </si>
  <si>
    <t>08568-3</t>
  </si>
  <si>
    <t>Juliana</t>
  </si>
  <si>
    <t>11 4774-7000</t>
  </si>
  <si>
    <t>ISAR ISOLAMENTOS TÉRMICOS E ACÚSTICOS LTDA</t>
  </si>
  <si>
    <t xml:space="preserve">46.085.486/0001-09 </t>
  </si>
  <si>
    <t>Av. Forte do Leme, 115 – Parque São Lourenço São Paulo, SP</t>
  </si>
  <si>
    <t xml:space="preserve">vendas@isar.com.br </t>
  </si>
  <si>
    <t>13000359-9</t>
  </si>
  <si>
    <t>ISOPRO COMERCIO DE JUNTAS E SOLDAS LTDA</t>
  </si>
  <si>
    <t>39.536.024/0001-03</t>
  </si>
  <si>
    <t>RUA BARAO DO AMAZONAS N° 49 B - PONTA DA AREIA, NITERÓI - RJ - CEP: 24030-110</t>
  </si>
  <si>
    <t>ISOVAL VÁLVULAS  E CONEXÕES LTDA</t>
  </si>
  <si>
    <t>00.337.085/0001-06</t>
  </si>
  <si>
    <t>R. ARUMÃ , 76 - JAÇANÃ - SÃO PAULO - SP - CEP: 02237-030</t>
  </si>
  <si>
    <t xml:space="preserve"> isoval@isoval.com.br</t>
  </si>
  <si>
    <t>0155</t>
  </si>
  <si>
    <t>224284-2</t>
  </si>
  <si>
    <t>JEVINETWORK COMÉCIO E SERVIÇOS LTDA-ME</t>
  </si>
  <si>
    <t>09.305.646/0001-51</t>
  </si>
  <si>
    <t>Av. Carlos Augusto Tinoco Garcia n° 1766 - Partes</t>
  </si>
  <si>
    <t>comercial4-mce@jevin.com.br</t>
  </si>
  <si>
    <t>0051</t>
  </si>
  <si>
    <t>67001-4</t>
  </si>
  <si>
    <t>Daniella</t>
  </si>
  <si>
    <t>22 2105-7330</t>
  </si>
  <si>
    <t>JOTUN BRASIL IMP.EXP.E INDUSTRIA DE TINTAS LTDA.</t>
  </si>
  <si>
    <t>02.907.585/0001-53</t>
  </si>
  <si>
    <t>Estrada Ademar Ferreira Torres 250, Caluge - Itaborai (RJ) CEP (ZIP code) 24808-520</t>
  </si>
  <si>
    <t>rio.vendas@taecotintas.com.br</t>
  </si>
  <si>
    <t>JOY TUBOS COMERCIAL EIRELI</t>
  </si>
  <si>
    <t>13.863.368/0001-25</t>
  </si>
  <si>
    <t>RUA CACHOEIRA DO ARARI, 687 - PARQUE SÃO LUIZ GUARULHOS - SP - CEP: 07170-380</t>
  </si>
  <si>
    <t>marcelo@joytubos.com.br</t>
  </si>
  <si>
    <t>Banci Bradesco</t>
  </si>
  <si>
    <t>26464-4</t>
  </si>
  <si>
    <t>11 2745-5790</t>
  </si>
  <si>
    <t>KROMINOX AÇOS E METAIS LTDA</t>
  </si>
  <si>
    <t>01.606.452/0001-84</t>
  </si>
  <si>
    <t>Via de acesso João de Goés, 2385 - Jardim Alvorada - Jandira -SP - CEP 06.612-000</t>
  </si>
  <si>
    <t>danila.oliveira@krominox.com.br</t>
  </si>
  <si>
    <t>0559</t>
  </si>
  <si>
    <t>74037-8</t>
  </si>
  <si>
    <t>Danila</t>
  </si>
  <si>
    <t>11 2126-0621</t>
  </si>
  <si>
    <t>L E M CALIBRAÇÃO E METROLOGIA PADRÃO LTDA</t>
  </si>
  <si>
    <t>44.005.553/0001-02</t>
  </si>
  <si>
    <t>Rua Domício Da Gama, 00019, - Rio De Janeiro/RJ - Brasil - 20.260-150</t>
  </si>
  <si>
    <t>comercialrio2@medicao.rio.br</t>
  </si>
  <si>
    <t>Richardson</t>
  </si>
  <si>
    <t>21 3495-0898</t>
  </si>
  <si>
    <t>LABOMETRIQ METROLOGIA E ENSAIOS TECNICOS EIRELLI</t>
  </si>
  <si>
    <t>26.272.298/0001-82</t>
  </si>
  <si>
    <t>PAULO  ANTUNES RIBEIRO, 330 - CASA - 01 - RECREIO DOS BANDEIRANTES - RJ - CEP: 22790-450</t>
  </si>
  <si>
    <t>comercial@labometriq.com.br</t>
  </si>
  <si>
    <t>24872-6</t>
  </si>
  <si>
    <t>Laryssa</t>
  </si>
  <si>
    <t>21 35565411</t>
  </si>
  <si>
    <t>LABY AMBIENTAL</t>
  </si>
  <si>
    <t>72.160.765/0001-08</t>
  </si>
  <si>
    <t>RUA SAO SEBASTIAO , 50 - Niterói</t>
  </si>
  <si>
    <t>emerson.brito@labagua.com.br</t>
  </si>
  <si>
    <t>0720</t>
  </si>
  <si>
    <t>30166-2</t>
  </si>
  <si>
    <t>Emerson</t>
  </si>
  <si>
    <t>(21) 3257-5454</t>
  </si>
  <si>
    <t xml:space="preserve">Lapefer Comércio e Indústria de Laminados Ltda </t>
  </si>
  <si>
    <t>60.869.203/0001-40</t>
  </si>
  <si>
    <t>Rua Cadiriri, 873/975 - São Paulo</t>
  </si>
  <si>
    <t>vagner@lapefer.com.br</t>
  </si>
  <si>
    <t xml:space="preserve">11 2915 8211 </t>
  </si>
  <si>
    <t>LARREF COMÉRCIO DE MATERIAL ELÉTRICO E CONSTRUÇÃO LTDA</t>
  </si>
  <si>
    <t>33.603.119/0001-08</t>
  </si>
  <si>
    <t>Av. Dom Hélder Câmara, 4831 – Cachambi – RJ/RJ Cep: 20771-001</t>
  </si>
  <si>
    <t>comercial@larref.com.br</t>
  </si>
  <si>
    <t>157-8</t>
  </si>
  <si>
    <t>21 97491-2961</t>
  </si>
  <si>
    <t>LFC INOX LTDA</t>
  </si>
  <si>
    <t>12.227.081/0001-46</t>
  </si>
  <si>
    <t>RUA JOAO HADDAD, 425</t>
  </si>
  <si>
    <t>Camilla</t>
  </si>
  <si>
    <t>(42)3238-3233</t>
  </si>
  <si>
    <t>LORRING UNITED KINGDOM</t>
  </si>
  <si>
    <t>UNIT 5, BLOCK 2, SOUTER HEAD ROOAD, ALTENS INDUSTRIAL ESTATE, ABERDEEN, AB12 3LF - UNITED KINGDOM</t>
  </si>
  <si>
    <t>VERONICA</t>
  </si>
  <si>
    <t>M.P.L NITEROI PRODUTOS E SERVIÇOS LTDA</t>
  </si>
  <si>
    <t>10.819.574/0001-40</t>
  </si>
  <si>
    <t>RUA BARÃO DO AMAZONAS,108 A - CENTRO -</t>
  </si>
  <si>
    <t>MACCAFER COMÉRCIO DE MÁQUINAS E EQUIPAMENTOS LTDA</t>
  </si>
  <si>
    <t>18.672.510/0001-70</t>
  </si>
  <si>
    <t>Rua Francisco de MoraiS 253, Sala 01 – Chácara Santo Antônio - CEP: 04714-010 São Paulo/SP</t>
  </si>
  <si>
    <t>maccafer@bol.com.br</t>
  </si>
  <si>
    <t>107636-1</t>
  </si>
  <si>
    <t>Victor</t>
  </si>
  <si>
    <t>11 3743-2084</t>
  </si>
  <si>
    <t>MADIBA LIGAS ESPECIAIS IMPORTAÇÕES E EXPORTAÇÕES LTDA.</t>
  </si>
  <si>
    <t>21.571.713/0001-85</t>
  </si>
  <si>
    <t>Rua Euclides Pacheco, 1.530 - Vila Gomes Cardim - SP</t>
  </si>
  <si>
    <t>comercial4@madibametals.com.br</t>
  </si>
  <si>
    <t>14100-7</t>
  </si>
  <si>
    <t>MASTER MAQUINAS E EQUIPAMENTOS LTDA</t>
  </si>
  <si>
    <t>29.464.682/0001-75</t>
  </si>
  <si>
    <t>Rua Ingaí, 18 – Penha – Rio de Janeiro / RJ - CEP: 21020-260</t>
  </si>
  <si>
    <t>comercial@mastermaquinasrj.com.br</t>
  </si>
  <si>
    <t>4927-1</t>
  </si>
  <si>
    <t>Bianca</t>
  </si>
  <si>
    <t>21 96403-3756</t>
  </si>
  <si>
    <t>MATERIALS TEST CENTER LTDA</t>
  </si>
  <si>
    <t>23.791.906/0001-77</t>
  </si>
  <si>
    <t>Rua Leopoldino de Oliveira, 392 - Madureira</t>
  </si>
  <si>
    <t>cecilia@laboratoriomtc.com.br</t>
  </si>
  <si>
    <t>METAL CUT COMERCIO CORTE LASER CALÇOS CALIBRADOS E FOTO FABRICAÇÃO EIRELI</t>
  </si>
  <si>
    <t>36.908.874/0001-99</t>
  </si>
  <si>
    <t>RUA ORMINDA, N°86 - VILA SANTA MARIA - SÃO PAULO - CEP 02.729-010</t>
  </si>
  <si>
    <t>henrique.savone@lasermastercut.com.br</t>
  </si>
  <si>
    <t>BANCO SICRED</t>
  </si>
  <si>
    <t>0726</t>
  </si>
  <si>
    <t>97293-3</t>
  </si>
  <si>
    <t>Henrique</t>
  </si>
  <si>
    <t>11 3936-1625</t>
  </si>
  <si>
    <t>METAL FECHO IND. E COM. LTDA</t>
  </si>
  <si>
    <t>03.039.024/0001-42</t>
  </si>
  <si>
    <t>Rua Soldado José Reymão, 244 - Parque Novo Mundo - São Paulo - SP</t>
  </si>
  <si>
    <t>metalfecho@metalfecho.com.br</t>
  </si>
  <si>
    <t>0206</t>
  </si>
  <si>
    <t>13002767-2</t>
  </si>
  <si>
    <t>METALRIO VÁLVULAS, TUBOS E CONEXÕES INDUSTRIAIS LTDA</t>
  </si>
  <si>
    <t>40.666.178/0001-90</t>
  </si>
  <si>
    <t>RUA MOREIRA, 00018 LOJA D PARTE - ABOLIÇÃO - RIO DE JANEIRO - RJ - CEP 20751-190</t>
  </si>
  <si>
    <t>vendas04@metalriodistribuidora.com.br</t>
  </si>
  <si>
    <t>0958</t>
  </si>
  <si>
    <t>16871-8</t>
  </si>
  <si>
    <t>21 99285-7502</t>
  </si>
  <si>
    <t>MG3 COMERCIAL</t>
  </si>
  <si>
    <t>39.275.310/0001-54</t>
  </si>
  <si>
    <t>Avenida Antonio Munhaz Bonilha, 95 - Vila Palmeiras - São Paulo</t>
  </si>
  <si>
    <t>balcao@mg3comercial.com.br</t>
  </si>
  <si>
    <t>Bradesco</t>
  </si>
  <si>
    <t>0293</t>
  </si>
  <si>
    <t>020440-4</t>
  </si>
  <si>
    <t>Renato</t>
  </si>
  <si>
    <t>11 97563-1466</t>
  </si>
  <si>
    <t>MJS COMERCIO E SERVIÇOS LTDA</t>
  </si>
  <si>
    <t>15.061.018/0001-70</t>
  </si>
  <si>
    <t>RUA TAMBAU,593 - RAMOS - RIO DE JANEIRO - RJ</t>
  </si>
  <si>
    <t>maryene@rjmcomercio.com.br</t>
  </si>
  <si>
    <t>Maryene</t>
  </si>
  <si>
    <t>21 3283-6505</t>
  </si>
  <si>
    <t>MULTIAÇO COMÉRCIO DE FERRO E AÇO LTDA.</t>
  </si>
  <si>
    <t>07.075.822/0001-80</t>
  </si>
  <si>
    <t>Rua Vicente Leite, 115 - Cordovil - Rio de Janeiro</t>
  </si>
  <si>
    <t>ideaco@ideaco.com.br</t>
  </si>
  <si>
    <t>0022513-4</t>
  </si>
  <si>
    <t>(21) 2561-3131</t>
  </si>
  <si>
    <t>MVS INSPEÇÕES E CONTROLE DA QUALIDADE LTDA</t>
  </si>
  <si>
    <t>Mauro</t>
  </si>
  <si>
    <t>21 3654-6494</t>
  </si>
  <si>
    <t>NOBRE DISTRIBUIDORA DE PRODUTOS METALICOS LTDA</t>
  </si>
  <si>
    <t xml:space="preserve">01.454.778/0001-33   </t>
  </si>
  <si>
    <t>AV ANA BEATRIZ BIERREMBACH, 823 – VL MIMOSA – CAMPINAS – SP</t>
  </si>
  <si>
    <t>jose@nobredistribuidora.com.br</t>
  </si>
  <si>
    <t>15945-2</t>
  </si>
  <si>
    <t>NOVA SUPPLY COMERCIAL LTDA</t>
  </si>
  <si>
    <t xml:space="preserve">03.054.833/0001-23 </t>
  </si>
  <si>
    <t>RUA BARÃO DO AMAZONAS 49 - CENTRO - NITEROI, RJ - CEP: 24030-111</t>
  </si>
  <si>
    <t xml:space="preserve">gustavo@aenejota.com.br </t>
  </si>
  <si>
    <t>Gustavo</t>
  </si>
  <si>
    <t>NOVALLOY INDUSTRIA COMERCIO DE AÇOS E LIGAS ESPECIAIS LTDA</t>
  </si>
  <si>
    <t>12.936.095001-39</t>
  </si>
  <si>
    <t>Rua Cerrados, 15 - Parque Rincão CEP:0671-040 CIDADE: Cotia/SP</t>
  </si>
  <si>
    <t>claudio@novalloy.com.br</t>
  </si>
  <si>
    <t>0277</t>
  </si>
  <si>
    <t>130003619-7</t>
  </si>
  <si>
    <t>Claudio</t>
  </si>
  <si>
    <t xml:space="preserve">11 98507-4434 </t>
  </si>
  <si>
    <t>NOVO MUNDO VEDAÇÕES LTDA</t>
  </si>
  <si>
    <t xml:space="preserve">48.144.261/0001-01  </t>
  </si>
  <si>
    <t>Praia das Pitangueiras, 221 – Ilha do Governador - Rio de Janeiro – RJ CEP: 21930-360</t>
  </si>
  <si>
    <t>novomundoveda@gmail.com</t>
  </si>
  <si>
    <t>0302</t>
  </si>
  <si>
    <t>99859-6</t>
  </si>
  <si>
    <t>Walter</t>
  </si>
  <si>
    <t>(21) 99772-0999</t>
  </si>
  <si>
    <t>NOXI QUÍMICA LTDA</t>
  </si>
  <si>
    <t>52.793.197/0001-67</t>
  </si>
  <si>
    <t>Rua José Joaquim, 680 – Caixa Postal 11 – Bairro Paraíso - CEP 18.530-000 - Município: Tietê</t>
  </si>
  <si>
    <t>roque@noxi.com.br</t>
  </si>
  <si>
    <t>0346</t>
  </si>
  <si>
    <t>21.996-6</t>
  </si>
  <si>
    <t>OX-FER IND. E COM. DE FERRO E ACO</t>
  </si>
  <si>
    <t>56.690.498/0001-16</t>
  </si>
  <si>
    <t>Rua Hisaji Morita,651 - São Paulo</t>
  </si>
  <si>
    <t>juliana@oxfer.com.br</t>
  </si>
  <si>
    <t>30140-0</t>
  </si>
  <si>
    <t>PAFER COMÉRCIO E REPRESENTAÇÕES LTDA</t>
  </si>
  <si>
    <t>33.847.179/0001-76</t>
  </si>
  <si>
    <t xml:space="preserve">AV. PARIS, 549 – BONSUCESSO </t>
  </si>
  <si>
    <t>rpmachado@pafer.com.br</t>
  </si>
  <si>
    <t>36564-6</t>
  </si>
  <si>
    <t>Laurentino</t>
  </si>
  <si>
    <t>21 2560-6349</t>
  </si>
  <si>
    <t>PARAFUSOS UNC COMERCIAL E INDUSTRIAL LTDA.</t>
  </si>
  <si>
    <t>03.821.135/0001-06</t>
  </si>
  <si>
    <t>Rua Ápia, 956 – LJ. A. – Vila da Penha</t>
  </si>
  <si>
    <t>contato@parafusosunc.com.br</t>
  </si>
  <si>
    <t>67025-1</t>
  </si>
  <si>
    <t>PAULO ROBERTO VICTORINO – ME (TERINOX)</t>
  </si>
  <si>
    <t>21.794.960/0001-40</t>
  </si>
  <si>
    <t>Rua: Baquiá, 629 – Sala 01 - SP</t>
  </si>
  <si>
    <t>terinoxsp@gmail.com</t>
  </si>
  <si>
    <t>1415-0</t>
  </si>
  <si>
    <t>7462-4</t>
  </si>
  <si>
    <t>POLIFIX ENGENHARIA MONTAGEM INDÚSTRIA E COMÉRCIO EI</t>
  </si>
  <si>
    <t>02.281.654/0001-66</t>
  </si>
  <si>
    <t>Rua Expedicionário Benedito Esteves da Silva, 4111 – Portão do Rosa
São Gonçalo – RJ - CEP. 24.472-030</t>
  </si>
  <si>
    <t>comercial@parafusospolifix.com.br</t>
  </si>
  <si>
    <t>7203-6</t>
  </si>
  <si>
    <t>Ademar</t>
  </si>
  <si>
    <t>21 3709-3890</t>
  </si>
  <si>
    <t>PORTELLA CABOS DE AÇO E SERVIÇOS EMPRESARIAIS EIRELI</t>
  </si>
  <si>
    <t>24.284.482/0001-17</t>
  </si>
  <si>
    <t>Rua Andirá 96 – Olaria - Rio de Janeiro - RJ - Cep 21031-450</t>
  </si>
  <si>
    <t>vendas@portellacabos.com.br</t>
  </si>
  <si>
    <t>47013-1</t>
  </si>
  <si>
    <t>Leidiane</t>
  </si>
  <si>
    <t>21 2209-1050</t>
  </si>
  <si>
    <t>PRESSURE COMERCIAL LTDA</t>
  </si>
  <si>
    <t>02.268.410/0001-43</t>
  </si>
  <si>
    <t>AV JURUÁ , 105 - GALPÃO 7 - ALPHAVILLE, BARUERI - SP - CEP: 6455-010</t>
  </si>
  <si>
    <t>contato@pws.com.br</t>
  </si>
  <si>
    <t>Leticia</t>
  </si>
  <si>
    <t>(11) 4688-2113</t>
  </si>
  <si>
    <t xml:space="preserve">Project Indústria e Comércio de Grades e Elementos Metálicos Ltda. </t>
  </si>
  <si>
    <t>44.621.066/0001-74</t>
  </si>
  <si>
    <t>Rua Sitha, 39 Jd. União / Diadema - SP - Cep: 09981-070</t>
  </si>
  <si>
    <t>fibraco@fibraco.com.br</t>
  </si>
  <si>
    <t>11 4044-8174</t>
  </si>
  <si>
    <t>PROPER MARINE PROJETO, CONSULTORIA E SERVIÇOS DE ENGENHARIA</t>
  </si>
  <si>
    <t>11.874.590/0001-06</t>
  </si>
  <si>
    <t>RUA SANTA LUZIA, 776 SALA 2011 - CENTRO RIO DE JANEIRO/RJ - CEP 20.030-042</t>
  </si>
  <si>
    <t>Hugo.jordao@propermarine.com</t>
  </si>
  <si>
    <t>Hugo Jordão</t>
  </si>
  <si>
    <t>21 97236-2823</t>
  </si>
  <si>
    <t>QUALITY FIX DO BRASIL INDUSTRIA, COMERCIO, IMPORTAÇÃO E EXPORTAÇÃO LTDA.</t>
  </si>
  <si>
    <t>06.234.065/0001-88</t>
  </si>
  <si>
    <t>Rua Capitão João, 126 - Jardim Alzira Franco - Santo André - SP - CEP 09.290-342</t>
  </si>
  <si>
    <t>2894-0</t>
  </si>
  <si>
    <t>38117-9</t>
  </si>
  <si>
    <t>11 97352-4687</t>
  </si>
  <si>
    <t>RAITZ RESENDE LTDA</t>
  </si>
  <si>
    <t>45.881.275/0001-10</t>
  </si>
  <si>
    <t>Rua Paolo Capitanio, 465 - Fazenda da Barra 3 - Resende / RJ - 27.540-172 - Rodovia Presidente Dutra KM 300</t>
  </si>
  <si>
    <t>glasiele@galvanizacaoraitz.com.br</t>
  </si>
  <si>
    <t>Banco Sicredi</t>
  </si>
  <si>
    <t>67159-6</t>
  </si>
  <si>
    <t>Glasiele</t>
  </si>
  <si>
    <t>24 99829-3570</t>
  </si>
  <si>
    <t>RENAVI ENGENHARIA</t>
  </si>
  <si>
    <t>30.392.823/0001-70</t>
  </si>
  <si>
    <t>RODOVIA AMARAL PEIXOTO, 2.389</t>
  </si>
  <si>
    <t>comercial@renavi.com.br</t>
  </si>
  <si>
    <t>Igor Rangel</t>
  </si>
  <si>
    <t>(22) 2772-4477</t>
  </si>
  <si>
    <t>Rental Parts do Brasil Ltda</t>
  </si>
  <si>
    <t>02.932.783/0002-58</t>
  </si>
  <si>
    <t>Av. Embaixador Pimentel Brandão, nº 15 - Loja G - Bangu - Rio de Janeiro / RJ - Cep: 21830-380</t>
  </si>
  <si>
    <t>vivian@air parts.com.br</t>
  </si>
  <si>
    <t>Vivian</t>
  </si>
  <si>
    <t>21 99216-3328</t>
  </si>
  <si>
    <t>RIO LAB NDT LTDA</t>
  </si>
  <si>
    <t>34.154.647/0001-90</t>
  </si>
  <si>
    <t>AV CESARIO DE MELO, 1465 - Senador Vasconcelos/RJ</t>
  </si>
  <si>
    <t>adm@riolabensaios.com.br</t>
  </si>
  <si>
    <t>Rafaela</t>
  </si>
  <si>
    <t>21 2413-4459</t>
  </si>
  <si>
    <t>RIO SUPERCORTE FERRO E AÇO LTDA.</t>
  </si>
  <si>
    <t>04.773.174/0001-48</t>
  </si>
  <si>
    <t>Estrada João Paulo, 130 - Honório Gurgel - RJ - CEP: 21.512-002</t>
  </si>
  <si>
    <t>carlosh@riosupercorte.com.br</t>
  </si>
  <si>
    <t>13001042-0</t>
  </si>
  <si>
    <t>Carlos</t>
  </si>
  <si>
    <t>21 98074-3449</t>
  </si>
  <si>
    <t xml:space="preserve">RJM COMERCIO E CONEXÕES EIRELI </t>
  </si>
  <si>
    <t>22.203.759-0001-04</t>
  </si>
  <si>
    <t>Rua Nabor do Rêgo, 531</t>
  </si>
  <si>
    <t>52000-0</t>
  </si>
  <si>
    <t>RMT Aços Especiais Ltda - Cavallo Aço</t>
  </si>
  <si>
    <t>05.605.600/0001-05</t>
  </si>
  <si>
    <t>Rua Jose Clemente, 155 - Sao Cristovao, Rio de Janeiro - RJ, 20.930-420.</t>
  </si>
  <si>
    <t>renato@cavalloacos.com.br</t>
  </si>
  <si>
    <t>0496</t>
  </si>
  <si>
    <t>71256-3</t>
  </si>
  <si>
    <t>ROBUSTA GRADES IND. COM. DE ESTRUTURAS E ARTEFATOS METÁLICOS EIRELI</t>
  </si>
  <si>
    <t>35.502.176/0001-26</t>
  </si>
  <si>
    <t>Rua Virginia, nº 116 – Jd. Inamar / Diadema - SP - Cep: 09981-050</t>
  </si>
  <si>
    <t>robustagrades@gmail.com</t>
  </si>
  <si>
    <t>77015-9</t>
  </si>
  <si>
    <t>11 3230-779</t>
  </si>
  <si>
    <t>RODOMAC DE MACAÉ RODOVIÁRIO LTDA</t>
  </si>
  <si>
    <t>36.578.458/0001-70</t>
  </si>
  <si>
    <t>financeiro@rodomacmacae.com.br</t>
  </si>
  <si>
    <t>44791-9</t>
  </si>
  <si>
    <t>Warley</t>
  </si>
  <si>
    <t>22 2791-8883</t>
  </si>
  <si>
    <t>ROXTEC LATIN AMÉRICA LTDA</t>
  </si>
  <si>
    <t>05.461.822/0001-93</t>
  </si>
  <si>
    <t>AV DAS AMÉRICAS 3500 BLOCO 7 SALAS 433/434</t>
  </si>
  <si>
    <t>Monique.Chamma@roxtec.com</t>
  </si>
  <si>
    <t>71693-1</t>
  </si>
  <si>
    <t>Monique</t>
  </si>
  <si>
    <t>21 99168-7799</t>
  </si>
  <si>
    <t>SAFE-TEC EQUIPAMENTOS DE SEGURANÇA LTDA. - EPP</t>
  </si>
  <si>
    <t>04.416.565/0001-05</t>
  </si>
  <si>
    <t>RUA CORONEL DUARTE DA SILVEIRA, 512 – DUARTE DA SILVEIRA CEP. 25.665-470 - PETRÓPOLIS / RJ</t>
  </si>
  <si>
    <t>vendedor01@safetecbr.com.br</t>
  </si>
  <si>
    <t>552-5</t>
  </si>
  <si>
    <t>Denis</t>
  </si>
  <si>
    <t>24 2249-5339</t>
  </si>
  <si>
    <t>SEAFER COMERCIAL LTDA.</t>
  </si>
  <si>
    <t>00.906.356/0001-99</t>
  </si>
  <si>
    <t>Av. Guadalajara, 1.176, Praia Campista, Macaé – Rio de Janeiro – CEP: 27923-220 (LOJA)</t>
  </si>
  <si>
    <t>seafer@seafer.com.br</t>
  </si>
  <si>
    <t>15907-7</t>
  </si>
  <si>
    <t>Flavio</t>
  </si>
  <si>
    <t>22 2105-5252</t>
  </si>
  <si>
    <t>SEAFIX DO BRASIL SOCIEDADE UNIPESSOAL LTDA.</t>
  </si>
  <si>
    <t>08.924.280/0001-36</t>
  </si>
  <si>
    <t>Rua São Gabriel, 690 - Maria da Graça - Rio de Janeiro - RJ Cep: 20785-295</t>
  </si>
  <si>
    <t>lorena@seafix.com.br</t>
  </si>
  <si>
    <t>39366-3</t>
  </si>
  <si>
    <t>Lorena</t>
  </si>
  <si>
    <t>21 3866+0231</t>
  </si>
  <si>
    <t>SERFER COMERCIO E INDUSTRIA DE FERRO E AÇO LTDA</t>
  </si>
  <si>
    <t>42.561.167/0001-71</t>
  </si>
  <si>
    <t>Av. Pelotas, 809 - Jardim Gramacho, Duque de Caxias</t>
  </si>
  <si>
    <t>renato@serferacos.com.br</t>
  </si>
  <si>
    <t>52513-9</t>
  </si>
  <si>
    <t>21 98838-0611</t>
  </si>
  <si>
    <t>SERVIÇOS REPAROS NAVAIS LTDA</t>
  </si>
  <si>
    <t>26.393.037/0001-10</t>
  </si>
  <si>
    <t>Av. Carlos Marighella 2339 – Estrada de Itaipuaçu Próximo ao nº 300, Inoã – Maricá - RJ</t>
  </si>
  <si>
    <t>neilsonsouza@ssreparosnavais.com.br</t>
  </si>
  <si>
    <t>13003355-8</t>
  </si>
  <si>
    <t>Neilson</t>
  </si>
  <si>
    <t>21 2603 9001</t>
  </si>
  <si>
    <t>SFFAL SOCIEDADE FABRICADORA DE FIXADORES E AFINS LTDA</t>
  </si>
  <si>
    <t>23.631.899/0001-46</t>
  </si>
  <si>
    <t>Rua Gentil Braga, 437 – CEP: 03737-020 – São Paulo -SP</t>
  </si>
  <si>
    <t>sffal@sffal.com.br</t>
  </si>
  <si>
    <t>0648</t>
  </si>
  <si>
    <t>10171-5</t>
  </si>
  <si>
    <t>Edmilson</t>
  </si>
  <si>
    <t>11 99596-2340</t>
  </si>
  <si>
    <t>SHUTTLE LOGISTICA INTEGRADA LTDA.</t>
  </si>
  <si>
    <t>04.711.147/0012-01</t>
  </si>
  <si>
    <t>Rua Olando Motta, 150 - Jandira - SP</t>
  </si>
  <si>
    <t>shuttlerj@shutttle.com.br</t>
  </si>
  <si>
    <t>11 94727-2349</t>
  </si>
  <si>
    <t>SIDERACO S.A.</t>
  </si>
  <si>
    <t>06.245.870/0001-07</t>
  </si>
  <si>
    <t>R Sargento Silvio Hollenbach, 405 - Barros Filho - RJ</t>
  </si>
  <si>
    <t>carlosmachado@sideraco.com.br</t>
  </si>
  <si>
    <t>114000-0</t>
  </si>
  <si>
    <t>(21) 2197-2264</t>
  </si>
  <si>
    <t>SIENA JUNTAS INDUSTRIAIS EIRELI</t>
  </si>
  <si>
    <t>34.183.334/0001-60</t>
  </si>
  <si>
    <t>RUA SAMPAIO CORRÊA 265, JD. PEREIRA LEITE, SÃO PAULO/SP - CEP: 02710-080</t>
  </si>
  <si>
    <t>alexandre@sienavedacoes.com.br</t>
  </si>
  <si>
    <t>0428</t>
  </si>
  <si>
    <t>14213-7</t>
  </si>
  <si>
    <t>113931-1977</t>
  </si>
  <si>
    <t xml:space="preserve">SIENA VEDAÇÕES INDUSTRIAIS </t>
  </si>
  <si>
    <t>26.662.248/0001-01</t>
  </si>
  <si>
    <t>0244</t>
  </si>
  <si>
    <t>2443-2</t>
  </si>
  <si>
    <t>SINTO BRASIL PRODUTOS LIMITADA</t>
  </si>
  <si>
    <t>43.735.901/0001-34</t>
  </si>
  <si>
    <t>Estrada Municipal Yuzuru Nagai, 1  Bairro Ponte Alta CEP 12.952-823 Atibaia - SP-  Brasil</t>
  </si>
  <si>
    <t>regiane.ribeiro@sinto.com.br</t>
  </si>
  <si>
    <t>0149</t>
  </si>
  <si>
    <t>17500-2</t>
  </si>
  <si>
    <t>Regiane</t>
  </si>
  <si>
    <t>11 33219689</t>
  </si>
  <si>
    <t>SOLDAS BRASIL COMERCIAL IMPORTADORA LTDA</t>
  </si>
  <si>
    <t>05.218.030/0001-92</t>
  </si>
  <si>
    <t>José de Alencar, 64 Vila Sofia - São Paulo – SP - Cep 04671-030</t>
  </si>
  <si>
    <t>comercial@soldasbrasil.com.br</t>
  </si>
  <si>
    <t>28895-0</t>
  </si>
  <si>
    <t>Jefferson</t>
  </si>
  <si>
    <t>11 97693-9058</t>
  </si>
  <si>
    <t>SPANSET DO BRASIL LTDA</t>
  </si>
  <si>
    <t>02.728.994/0001-92</t>
  </si>
  <si>
    <t>AV. DOUTOR JEFFERSON GERALDO BRUNO, 18 - JARDIM DO SOL - RESENDE - RJ</t>
  </si>
  <si>
    <t>allan.marks@spanset.com.br</t>
  </si>
  <si>
    <t>Allan</t>
  </si>
  <si>
    <t>24 992688967</t>
  </si>
  <si>
    <t>STAUFF BRASIL LTDA.</t>
  </si>
  <si>
    <t>03.279.094/0001-78</t>
  </si>
  <si>
    <t>WT Empresarial Parque Castello Branco
Av. Gupê, 10.767 – Bloco A – Galpão 2 - Jardim Belval–Barueri - CEP: 06422-120</t>
  </si>
  <si>
    <t>A.Nogueira@stauff.com</t>
  </si>
  <si>
    <t>4807</t>
  </si>
  <si>
    <t>02644-0</t>
  </si>
  <si>
    <t>Antonio</t>
  </si>
  <si>
    <t>11 98369-3086</t>
  </si>
  <si>
    <t>SUB &amp; SUB ROUPAS DE MERGULHO EIRELI</t>
  </si>
  <si>
    <t>28.016.178/0001-40</t>
  </si>
  <si>
    <t>Rua da Alfandega, 98 - SL - Rio de Janeiro</t>
  </si>
  <si>
    <t>subsub@subsub.com.br</t>
  </si>
  <si>
    <t>0769</t>
  </si>
  <si>
    <t>62411-5</t>
  </si>
  <si>
    <t>Vagner</t>
  </si>
  <si>
    <t>21 98045-3998</t>
  </si>
  <si>
    <t>SUPERALLOY - EDUARDO OLIVEIRA WILLIANS</t>
  </si>
  <si>
    <t>34.620.241/0001-55</t>
  </si>
  <si>
    <t>R. Brasil-Japao, 511 - Jd Cruzeiro - Mairinque-SP</t>
  </si>
  <si>
    <t>eduardo@superalloy.com.br</t>
  </si>
  <si>
    <t>Banco Sicoob</t>
  </si>
  <si>
    <t>15957-3</t>
  </si>
  <si>
    <t>SUPRINDO AMPARO INDUSTRIAL EIRELI</t>
  </si>
  <si>
    <t>27.695.868/0001-00</t>
  </si>
  <si>
    <t>Rua Gama Lobo, 1120 - Armazém 1 - Vila D. Pedro I - São Paulo - SP
CEP: 04269-000</t>
  </si>
  <si>
    <t>mauricio@suprindo.com.br</t>
  </si>
  <si>
    <t>9027-1</t>
  </si>
  <si>
    <t>Mauricio</t>
  </si>
  <si>
    <t>11 2274-3455</t>
  </si>
  <si>
    <t>TAECO RIO COMÉRCIO DE TINTAS LTDA</t>
  </si>
  <si>
    <t>31.679.313/0001-41</t>
  </si>
  <si>
    <t>Rua Conde de Bonfim, 98 Tijuca, Rio de Janeiro – RJ
CEP 20520-053</t>
  </si>
  <si>
    <t>tijuca@taecotintas.com.br</t>
  </si>
  <si>
    <t>14871-8</t>
  </si>
  <si>
    <t>Fabio</t>
  </si>
  <si>
    <t>21 3858-3012</t>
  </si>
  <si>
    <t>TCA -TUBOS E CONEXÕES DE AÇO LTDA</t>
  </si>
  <si>
    <t>38.951.406/0001-22</t>
  </si>
  <si>
    <t>Rua Serra de Paracaina, 680 – CEP: 03107-020 – Mooca - SP</t>
  </si>
  <si>
    <t>vilma@tcainox.com.br</t>
  </si>
  <si>
    <t>0090</t>
  </si>
  <si>
    <t>560611-0</t>
  </si>
  <si>
    <t>Vilma</t>
  </si>
  <si>
    <t>11 2065-6565</t>
  </si>
  <si>
    <t>TECFLUX LTDA.</t>
  </si>
  <si>
    <t>60.933.017/0001-23</t>
  </si>
  <si>
    <t>Estrada da Aldeinha, 1150 - Chácara do Refúgio, Carapicuíba SP - CEP 06343-040</t>
  </si>
  <si>
    <t>felipe.monteiro@tecflux.com.br</t>
  </si>
  <si>
    <t>0440</t>
  </si>
  <si>
    <t>58515-6</t>
  </si>
  <si>
    <t>22 2105-4636</t>
  </si>
  <si>
    <t>TECNOGRAPH LTDA</t>
  </si>
  <si>
    <t>03.954.780/0001-05</t>
  </si>
  <si>
    <t>Rua Etiopia, 361 - Rio Cotia - Cotia - SP</t>
  </si>
  <si>
    <t>contato@tecnograph.com.br</t>
  </si>
  <si>
    <t>37774333-3</t>
  </si>
  <si>
    <t>Daniela</t>
  </si>
  <si>
    <t>11 96478-4521</t>
  </si>
  <si>
    <t>TENAX ACO E FERRO MATRIZ</t>
  </si>
  <si>
    <t>33.097.536/0001-26</t>
  </si>
  <si>
    <t>TRAVESSA LEONOR MASCARENHAS,101 - RAMOS</t>
  </si>
  <si>
    <t>vendas@tenax.com.br</t>
  </si>
  <si>
    <t>02423-0</t>
  </si>
  <si>
    <t>Sandra</t>
  </si>
  <si>
    <t>21 3865-4400</t>
  </si>
  <si>
    <t>TERCONLIGAS ACESSÓRIOS INDUSTRIAIS LTDA</t>
  </si>
  <si>
    <t>16.942.354/0001-95</t>
  </si>
  <si>
    <t>Rua da União, 270 - Jd. Sônia Maria - Mauá - SP  CEP: 09380-250</t>
  </si>
  <si>
    <t>carlos@terconligas.com.br</t>
  </si>
  <si>
    <t>29116-1</t>
  </si>
  <si>
    <t>11 4549-7161</t>
  </si>
  <si>
    <t xml:space="preserve">TFI DO BRASIL COMERCIAL E IMPORTADORA LTDA. </t>
  </si>
  <si>
    <t>00.100.408/0001-35</t>
  </si>
  <si>
    <t>Rua Edmundo Pereira, n.º 08 – Engenho da Rainha -   Rio de Janeiro/ RJ</t>
  </si>
  <si>
    <t xml:space="preserve">tfi@tfidobrasil.com.br  </t>
  </si>
  <si>
    <t>01572-1</t>
  </si>
  <si>
    <t>Gilson</t>
  </si>
  <si>
    <t>21 2583-9255</t>
  </si>
  <si>
    <t>TGM ENGENHARIA DE INSPECAO INDUSTRIAL LTDA</t>
  </si>
  <si>
    <t>42.669.384/0001-80</t>
  </si>
  <si>
    <t>Vila Paula Castro, 19 - Nova Friburgo - RJ</t>
  </si>
  <si>
    <t>contato@tgmengenharia.com.br</t>
  </si>
  <si>
    <t>Banco Nubank</t>
  </si>
  <si>
    <t>5818588-2</t>
  </si>
  <si>
    <t>Thiago</t>
  </si>
  <si>
    <t>21 96722-4060</t>
  </si>
  <si>
    <t xml:space="preserve">TOGNI S/A MATERIAIS REFRATARIOS </t>
  </si>
  <si>
    <t>23.637.093/0016-41</t>
  </si>
  <si>
    <t>PARQUE INDUSTRIAL ELYSEU ANGELO TOGNI  - VILA CRUZ, POÇO DE CALDAS - MG - CEP: 37704-356</t>
  </si>
  <si>
    <t>natallie.vendas@togni.com.br</t>
  </si>
  <si>
    <t>3368-5</t>
  </si>
  <si>
    <t>186-4</t>
  </si>
  <si>
    <t>Natallie</t>
  </si>
  <si>
    <t>35 2101 2211</t>
  </si>
  <si>
    <t>TRANPOSRTE SANTA RITA LTDA</t>
  </si>
  <si>
    <t>20.394.896/0001-48</t>
  </si>
  <si>
    <t>ALAMEDA DR NELSON PAIVA 100 - CALDAS - MINAS GERAIS. MG -  CEP: 37780-000</t>
  </si>
  <si>
    <t>tsantaritaltda@gmail.com</t>
  </si>
  <si>
    <t xml:space="preserve">1704-3 </t>
  </si>
  <si>
    <t xml:space="preserve">20712-8 </t>
  </si>
  <si>
    <t xml:space="preserve">(35) 3735-1580/1003 </t>
  </si>
  <si>
    <t>TRATAMENTO TÉRMICO DE AÇO E METAIS LTDA</t>
  </si>
  <si>
    <t>42.200.162/0001-13</t>
  </si>
  <si>
    <t>Rua Cascais, 191/203/207/211 – Penha Circular – Rio de Janeiro</t>
  </si>
  <si>
    <t>a.becker@terperacorio.com.br</t>
  </si>
  <si>
    <t>00024121-0</t>
  </si>
  <si>
    <t>Ari</t>
  </si>
  <si>
    <t>21 2560-7741</t>
  </si>
  <si>
    <t>TRIDIMENSIONAL LEKAS MEDIÇÕES LTDA</t>
  </si>
  <si>
    <t>32.173.395/0001-10</t>
  </si>
  <si>
    <t>RUA RIO APA, 564 – GALPÃO</t>
  </si>
  <si>
    <t>COMERCIAL@LEKAS.COM.BR</t>
  </si>
  <si>
    <t>23783-3</t>
  </si>
  <si>
    <t>21 3458-9449</t>
  </si>
  <si>
    <t>TRIZELL ASSESSORIA PLANEJAMENTO E EXECUCAO DE SERVICOS EIRELI</t>
  </si>
  <si>
    <t>03.978.635/0001-56</t>
  </si>
  <si>
    <t>BRFARIA@MASTERSERV.COM.BR</t>
  </si>
  <si>
    <t>TUBOS OLIVEIRA LTDA.</t>
  </si>
  <si>
    <t>57.424.244/0001-19</t>
  </si>
  <si>
    <t>Endereço: Av. Amâncio Gaiolli, 1065, Fazenda Itaim Bonsucesso,
Guarulhos/SP, CEP: 07.251-250</t>
  </si>
  <si>
    <t>felipe@tubosoliveira.com.br</t>
  </si>
  <si>
    <t>0154</t>
  </si>
  <si>
    <t>243811-9</t>
  </si>
  <si>
    <t>11 3186-8007</t>
  </si>
  <si>
    <t>VEDATEC COMÉRCIO DE VEDAÇÕES LTDA</t>
  </si>
  <si>
    <t>21.244.933/0001-02</t>
  </si>
  <si>
    <t>Rua Barão de Campinas, 534 - Campos Eliseos - SP</t>
  </si>
  <si>
    <t>vedatec@vedatec.com.br</t>
  </si>
  <si>
    <t>0296-8</t>
  </si>
  <si>
    <t>0001599-7</t>
  </si>
  <si>
    <t>Ulisses</t>
  </si>
  <si>
    <t>11 96904-4199</t>
  </si>
  <si>
    <t>VIDRAK VISORES DE VIDROS INDUSTRIAIS</t>
  </si>
  <si>
    <t>22.633.336/0001-24</t>
  </si>
  <si>
    <t>R. Áureliano César do Nascimento, 355 Iporanga – CEP 18087-115 – Sorocaba - SP</t>
  </si>
  <si>
    <t>vendas10@vidrak.com.br</t>
  </si>
  <si>
    <t>1178</t>
  </si>
  <si>
    <t>15890-1</t>
  </si>
  <si>
    <t>Grasieli</t>
  </si>
  <si>
    <t>11 49033113</t>
  </si>
  <si>
    <t>WAN INDUSTRIA E BENEFICIAMENTO DE CHAPAS LTDA</t>
  </si>
  <si>
    <t>02.836.223/0001-19</t>
  </si>
  <si>
    <t>AVENIDA MARGINAL RIO JUNDIAI, 680 - LOTE 5 - CEP 13.221-800 - VARZEA PAULISTA - SP</t>
  </si>
  <si>
    <t>wan.vendas@wanacos.com.br</t>
  </si>
  <si>
    <t>Marcia</t>
  </si>
  <si>
    <t>11 98782-1606</t>
  </si>
  <si>
    <t>WELD-INOX SOLDAS ESPECIAIS LTDA</t>
  </si>
  <si>
    <t>50.479.443/0001-85</t>
  </si>
  <si>
    <t>TEYUPA, 106 JARDIM YAMBERE - DIADEMA / SP - CEP: 09970-340</t>
  </si>
  <si>
    <t>vendas31@weldinox.com.br</t>
  </si>
  <si>
    <t>(11) 4059-9944</t>
  </si>
  <si>
    <t>1 - Calibração</t>
  </si>
  <si>
    <t>2 - Conexões</t>
  </si>
  <si>
    <t>3 - Consumiveis</t>
  </si>
  <si>
    <t>4 - Diversos</t>
  </si>
  <si>
    <t>5 - Ensaios, tratamento térmico, análise química</t>
  </si>
  <si>
    <t>6 - Fixadores</t>
  </si>
  <si>
    <t>7 - Galvanização</t>
  </si>
  <si>
    <t>8 - Grade de Piso</t>
  </si>
  <si>
    <t>9 - Juntas</t>
  </si>
  <si>
    <t>10 - Perfis</t>
  </si>
  <si>
    <t>11 - Tubos</t>
  </si>
  <si>
    <t>12 - Usinagem</t>
  </si>
  <si>
    <t>Tipo Fornecedor</t>
  </si>
  <si>
    <t>Fornecer certificados via e-mail até a data de entrega do material;</t>
  </si>
  <si>
    <t>Sempre que houver revisão no procedimento, deverá ser enviado até a entrega do serviço ou produto;</t>
  </si>
  <si>
    <t>Fornecer certificado de fabricação juntamente com a ISO 9001;</t>
  </si>
  <si>
    <t>Fornecer certificado de origem (tubo, barra) juntamente com a ISO 9001;</t>
  </si>
  <si>
    <t>Para curvas A234, o mesmo deve estar estampado no produto;</t>
  </si>
  <si>
    <t>Fornecer etiqueta do fabricante quando não tiver marcação do próprio fabricante;</t>
  </si>
  <si>
    <t>O produto deve possuir todas as marcações conforme as normas de referência;</t>
  </si>
  <si>
    <t>Possuir ISO 9001, Ser acreditado NBR 17025 e/ou possuir padrões rastreáveis; Caso o fornecedor não seja acreditado pela NBR ISO 17025, deverá ser enviado o certificado dos padrões rastreáveis;</t>
  </si>
  <si>
    <t>Reenviar instrumento com etiqueta de calibração;</t>
  </si>
  <si>
    <t>Instrumentos de medição identificado/calibrado e disponível para consulta no ato da inspeção;</t>
  </si>
  <si>
    <t>Os relatórios devem ser gerados no ato da inspeção;</t>
  </si>
  <si>
    <t>Qualificação</t>
  </si>
  <si>
    <t>Qualificado</t>
  </si>
  <si>
    <t>Qualificado com restrição</t>
  </si>
  <si>
    <t>Não recomendado</t>
  </si>
  <si>
    <t>Ficha de Avaliação</t>
  </si>
  <si>
    <t>Pontuação Minima</t>
  </si>
  <si>
    <t>Prazo de entrega</t>
  </si>
  <si>
    <t>Pontuação Média</t>
  </si>
  <si>
    <t>FORNECEDOR</t>
  </si>
  <si>
    <t>N° DA OC</t>
  </si>
  <si>
    <t>Data</t>
  </si>
  <si>
    <t>Número da OC</t>
  </si>
  <si>
    <t>Fornecedor</t>
  </si>
  <si>
    <t>Data de Recebimento</t>
  </si>
  <si>
    <t>Entrega Certificado</t>
  </si>
  <si>
    <t>Entrega cert.</t>
  </si>
  <si>
    <t>Total de Ocs</t>
  </si>
  <si>
    <t>Ocs Entregues no prazo</t>
  </si>
  <si>
    <t>Cert. Entregues no prazo</t>
  </si>
  <si>
    <t>%</t>
  </si>
  <si>
    <t>09.22</t>
  </si>
  <si>
    <t>26 / 30 / 31.22</t>
  </si>
  <si>
    <t>30 / 31.22</t>
  </si>
  <si>
    <t>31.21</t>
  </si>
  <si>
    <t>51.22 A</t>
  </si>
  <si>
    <t>51.22 B</t>
  </si>
  <si>
    <t>51.22 C</t>
  </si>
  <si>
    <t>40 / 41 / 53 / 54 / 55.22</t>
  </si>
  <si>
    <t>OS40, 41, 53, 54, 55.22</t>
  </si>
  <si>
    <t>40, 41, 53, 54, 55.22</t>
  </si>
  <si>
    <t>87.12</t>
  </si>
  <si>
    <t>21/02/202</t>
  </si>
  <si>
    <t>95.23</t>
  </si>
  <si>
    <t>108.23</t>
  </si>
  <si>
    <t>110.23</t>
  </si>
  <si>
    <t>91.23</t>
  </si>
  <si>
    <t>123.21</t>
  </si>
  <si>
    <t>RM Nr. 90</t>
  </si>
  <si>
    <t>136, 137 e 146.23</t>
  </si>
  <si>
    <t>176 / 177 / 178 / 179 / 180.23</t>
  </si>
  <si>
    <t>190 / 191.23</t>
  </si>
  <si>
    <t>224.24</t>
  </si>
  <si>
    <t>228.24</t>
  </si>
  <si>
    <t>231.34</t>
  </si>
  <si>
    <t>244.22</t>
  </si>
  <si>
    <t>273 74 e 75.24</t>
  </si>
  <si>
    <t>--</t>
  </si>
  <si>
    <t>Entregue</t>
  </si>
  <si>
    <t>imadiato</t>
  </si>
  <si>
    <t>304.24</t>
  </si>
  <si>
    <t>306.24</t>
  </si>
  <si>
    <t>293.24</t>
  </si>
  <si>
    <t>Estoque</t>
  </si>
  <si>
    <t>293.25</t>
  </si>
  <si>
    <t>Rede Incendio</t>
  </si>
  <si>
    <t>Nome:</t>
  </si>
  <si>
    <t>Emissão:</t>
  </si>
  <si>
    <t>N° OS:</t>
  </si>
  <si>
    <t>Empresa:</t>
  </si>
  <si>
    <t>CNPJ:</t>
  </si>
  <si>
    <t>Endereço:</t>
  </si>
  <si>
    <t>E-mail:</t>
  </si>
  <si>
    <t>Código:</t>
  </si>
  <si>
    <t>Vendedor:</t>
  </si>
  <si>
    <t>Telefone:</t>
  </si>
  <si>
    <t>Pedido</t>
  </si>
  <si>
    <t>Item</t>
  </si>
  <si>
    <t>Quant.</t>
  </si>
  <si>
    <t>IPI</t>
  </si>
  <si>
    <t xml:space="preserve">Unitário </t>
  </si>
  <si>
    <t>Sub-total</t>
  </si>
  <si>
    <t>Valor</t>
  </si>
  <si>
    <t>Observações:</t>
  </si>
  <si>
    <t>Notas Gerais:</t>
  </si>
  <si>
    <t>Dados bancários fornecedor:</t>
  </si>
  <si>
    <t>Sub-total:</t>
  </si>
  <si>
    <t>Banco:</t>
  </si>
  <si>
    <t>Impostos:</t>
  </si>
  <si>
    <t>Ag:</t>
  </si>
  <si>
    <t>Cnt:</t>
  </si>
  <si>
    <t>Total:</t>
  </si>
  <si>
    <t>Entrega/Retirada:</t>
  </si>
  <si>
    <t>Condição de pagamento:</t>
  </si>
  <si>
    <t>Proxima</t>
  </si>
  <si>
    <t>Desqualificado</t>
  </si>
  <si>
    <t>Caminho Gravação:</t>
  </si>
  <si>
    <t>Pasta:</t>
  </si>
  <si>
    <t>Form. Gravação:</t>
  </si>
  <si>
    <t>350.25</t>
  </si>
  <si>
    <t>Flanges devem conter a marcação do N (Normalização), certificados devem constar a normalização;</t>
  </si>
  <si>
    <t>O certificado deve conter espessura de camada, teor de zinco níquel (Quando aplicavel);</t>
  </si>
  <si>
    <t>355.25</t>
  </si>
  <si>
    <t>Status:</t>
  </si>
  <si>
    <t>ANO</t>
  </si>
  <si>
    <t>TOTAL DE OC</t>
  </si>
  <si>
    <t>ENTREGUE NO PRAZO</t>
  </si>
  <si>
    <t>CERTIFICADO NO PRAZO</t>
  </si>
  <si>
    <t>META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</si>
  <si>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</si>
  <si>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</si>
  <si>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</si>
  <si>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</si>
  <si>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</si>
  <si>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</si>
  <si>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</si>
  <si>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</si>
  <si>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</si>
  <si>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</si>
  <si>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</si>
  <si>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</si>
  <si>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</si>
  <si>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</si>
  <si>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CERTIFICADOS NO PRAZO</t>
  </si>
  <si>
    <t>OCS NO PRAZO</t>
  </si>
  <si>
    <t>TOTAL DE OCS</t>
  </si>
  <si>
    <t>Soluel Soluções Industriais Comercio De Produtos Intermediários Ltda</t>
  </si>
  <si>
    <t>Rua Conceição N°233 Sala 916</t>
  </si>
  <si>
    <t>49.623.070/0001-95</t>
  </si>
  <si>
    <t>vendas@soluel.com.br</t>
  </si>
  <si>
    <t>Sicredi S.A</t>
  </si>
  <si>
    <t>40673-2</t>
  </si>
  <si>
    <t>Camilli</t>
  </si>
  <si>
    <t>19 98965-3183</t>
  </si>
  <si>
    <t>Promar Tratamento Anticorrosivo Ltda</t>
  </si>
  <si>
    <t>55.931.745/0001-66</t>
  </si>
  <si>
    <t>Rua Manoel Maria Fernandes, 622 fundos</t>
  </si>
  <si>
    <t>2799-5</t>
  </si>
  <si>
    <t>4411-3</t>
  </si>
  <si>
    <t>comercial2@promarpintura.com.br</t>
  </si>
  <si>
    <t>Elias</t>
  </si>
  <si>
    <t>11 4138-4232</t>
  </si>
  <si>
    <t>OS 361.25</t>
  </si>
  <si>
    <t>OS 357.25</t>
  </si>
  <si>
    <t>Número RM</t>
  </si>
  <si>
    <t>Quantidade de itens</t>
  </si>
  <si>
    <t>Quantidade de itens atendidos</t>
  </si>
  <si>
    <t>% atendido da OC</t>
  </si>
  <si>
    <t>Quantidade não conforme</t>
  </si>
  <si>
    <t>% não conforme</t>
  </si>
  <si>
    <t>Sim</t>
  </si>
  <si>
    <t>Não</t>
  </si>
  <si>
    <t>RM 144.25</t>
  </si>
  <si>
    <t>Número da RM</t>
  </si>
  <si>
    <t>Quantidade de Itens</t>
  </si>
  <si>
    <t>Quantidade atendida</t>
  </si>
  <si>
    <t>Fechada</t>
  </si>
  <si>
    <t>Abertura</t>
  </si>
  <si>
    <t>RM 146.25</t>
  </si>
  <si>
    <t>OC</t>
  </si>
  <si>
    <t>Internet</t>
  </si>
  <si>
    <t>RM 145.25</t>
  </si>
  <si>
    <t>Observação</t>
  </si>
  <si>
    <t>Maior ou igual a 8,00</t>
  </si>
  <si>
    <t>Maior ou igual a 6,00, menor que 8,00</t>
  </si>
  <si>
    <t>Maior ou igual a 4,00, menor que 6,00</t>
  </si>
  <si>
    <t>menor que 4,00</t>
  </si>
  <si>
    <t>OS 359.25</t>
  </si>
  <si>
    <t>OS 358.25</t>
  </si>
  <si>
    <t>Comprado ML - Chega 07/08</t>
  </si>
  <si>
    <t>RM 107.25</t>
  </si>
  <si>
    <t>OC / Internet</t>
  </si>
  <si>
    <t>Item 1-7 comprados na OC 1253.25
Item 8-10 comprados na internet - ML</t>
  </si>
  <si>
    <t>Comprado ML</t>
  </si>
  <si>
    <t>Indicador</t>
  </si>
  <si>
    <t>Objetivo</t>
  </si>
  <si>
    <t>Meta</t>
  </si>
  <si>
    <t>Resultado anual</t>
  </si>
  <si>
    <t>Setor</t>
  </si>
  <si>
    <t>Responsável</t>
  </si>
  <si>
    <t>Marcelo Pimentel</t>
  </si>
  <si>
    <t>Análise</t>
  </si>
  <si>
    <t>Causas</t>
  </si>
  <si>
    <t>Ação</t>
  </si>
  <si>
    <t>Prazo</t>
  </si>
  <si>
    <t>Resultado</t>
  </si>
  <si>
    <t>Janeiro</t>
  </si>
  <si>
    <t>Real</t>
  </si>
  <si>
    <t>Alcançada</t>
  </si>
  <si>
    <t>Meta Comprometida</t>
  </si>
  <si>
    <t>Tomar Ação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</si>
  <si>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</si>
  <si>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</si>
  <si>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</si>
  <si>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</si>
  <si>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</si>
  <si>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</si>
  <si>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</si>
  <si>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</si>
  <si>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</si>
  <si>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</si>
  <si>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</si>
  <si>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</si>
  <si>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Ordem de Compra entregue no prazo</t>
  </si>
  <si>
    <t>Certificado Entregue no prazo</t>
  </si>
  <si>
    <t>Departamento Suprimentos</t>
  </si>
  <si>
    <t xml:space="preserve">Medir o prazo de entrega dos clientes </t>
  </si>
  <si>
    <t>Medir a entrega dos certificados</t>
  </si>
  <si>
    <t>Tomada steck comprada na internet</t>
  </si>
  <si>
    <t>RM 149.25</t>
  </si>
  <si>
    <t>OS 352.25</t>
  </si>
  <si>
    <t>Cantoreira com tubo da casa e parafuso sendo visto junto com RM 144.25</t>
  </si>
  <si>
    <t>Cancelada - Tem as cintas em casa</t>
  </si>
  <si>
    <t>Eletrocalha e união comprados na internet - (SANTIL) - Grampo Usou da Casa</t>
  </si>
  <si>
    <t>OS 364.25</t>
  </si>
  <si>
    <t>CANCELADA</t>
  </si>
  <si>
    <t>APY SOLDAS COMERCIO E SERVICOS DE SOLDAS PECAS E ACESSORIOS</t>
  </si>
  <si>
    <t>48.813.626/0001-43</t>
  </si>
  <si>
    <t>EST. DO GOIABAL, 685, PAU GRANDE, MAGÉ-RJ</t>
  </si>
  <si>
    <t>apy.adm@outlook.com</t>
  </si>
  <si>
    <t>0053600-8</t>
  </si>
  <si>
    <t>Alex</t>
  </si>
  <si>
    <t>21 96448-3310</t>
  </si>
  <si>
    <t>OS 360.25</t>
  </si>
  <si>
    <t>RM 153.25</t>
  </si>
  <si>
    <t>RM 156.25</t>
  </si>
  <si>
    <t>META ENTREGA</t>
  </si>
  <si>
    <t>META CERTIFICADO</t>
  </si>
  <si>
    <t>Est. Velha do Pilar, 3135, Quadra 19, Lote 40 Duque de Caxias – RJ – Cep. 25230-610</t>
  </si>
  <si>
    <t>13 - Aluguel equipamentos</t>
  </si>
  <si>
    <t>Fornecer certificados de calibração do equipamento via e-mail até a data de entrega do material;</t>
  </si>
  <si>
    <t>14 - Chapas</t>
  </si>
  <si>
    <t>RM 155.25</t>
  </si>
  <si>
    <t>Sergio comprou no cartão</t>
  </si>
  <si>
    <t>OS 363.25</t>
  </si>
  <si>
    <t>RM 160.25</t>
  </si>
  <si>
    <t>RM 159.25</t>
  </si>
  <si>
    <t>JR VÁLVULAS E CONEXÕES EIRELI</t>
  </si>
  <si>
    <t>28.929.411/0001-85</t>
  </si>
  <si>
    <t>AVENIDA MORAIS COSTA N° 229 C – VILA INDUSTRIAL CEP. 03253-000 – SÃO PAULO - SP</t>
  </si>
  <si>
    <t>contato@jrconexoesevalvulas.com.br</t>
  </si>
  <si>
    <t>Banco BMP</t>
  </si>
  <si>
    <t>0001-8</t>
  </si>
  <si>
    <t>0908186-0</t>
  </si>
  <si>
    <t>Jéssica</t>
  </si>
  <si>
    <t>11 97474-9794</t>
  </si>
  <si>
    <t>Item 20 ao 24 comprados no ML
Item 25 - Não comprar - Comprado na RM 154.25</t>
  </si>
  <si>
    <t>Item 9, 10 comprados RM 155.25
Item 13 comprado RM 154.25 
Restante comprado no ML</t>
  </si>
  <si>
    <t>Mercado Livre</t>
  </si>
  <si>
    <t>Item 01 e 04 já foram comprados RM 155.25
Item 02 ML</t>
  </si>
  <si>
    <t>RM 161.25</t>
  </si>
  <si>
    <t>N° RM:</t>
  </si>
  <si>
    <t>Comprada pelo Sérgio</t>
  </si>
  <si>
    <t>Comprada pelo Sérgio na ANJ</t>
  </si>
  <si>
    <t>Item 8 não vou comprar ainda</t>
  </si>
  <si>
    <t>N° CCI:</t>
  </si>
  <si>
    <t>Número CCI</t>
  </si>
  <si>
    <t>Número OS</t>
  </si>
  <si>
    <t>Status</t>
  </si>
  <si>
    <t>Fechado</t>
  </si>
  <si>
    <t>Aberto</t>
  </si>
  <si>
    <t>Reforma base Renova</t>
  </si>
  <si>
    <t>Estoque Agosto/25</t>
  </si>
  <si>
    <t>RM 173.25</t>
  </si>
  <si>
    <t>CCI 2.25</t>
  </si>
  <si>
    <t>10.</t>
  </si>
  <si>
    <t>01.</t>
  </si>
  <si>
    <t>02.</t>
  </si>
  <si>
    <t>03.</t>
  </si>
  <si>
    <t>04.</t>
  </si>
  <si>
    <t>05.</t>
  </si>
  <si>
    <t>06.</t>
  </si>
  <si>
    <t>07.</t>
  </si>
  <si>
    <t>08.</t>
  </si>
  <si>
    <t>09.</t>
  </si>
  <si>
    <t xml:space="preserve">OS 367.25 </t>
  </si>
  <si>
    <t>RM 177.25</t>
  </si>
  <si>
    <t>MERCADO LIVRE</t>
  </si>
  <si>
    <t>CARTÃO DE CRÉDITO</t>
  </si>
  <si>
    <t>Estoque Setembro/25</t>
  </si>
  <si>
    <t>RM 179.25</t>
  </si>
  <si>
    <t>CCI 4.25</t>
  </si>
  <si>
    <t>ICMS</t>
  </si>
  <si>
    <t>RM 180.25</t>
  </si>
  <si>
    <t>Item 1-10 e 13 - comprados no ML
Item 14-17 comprado online - RFT Componentes
item 11-12 retirado na loja</t>
  </si>
  <si>
    <t>Item 02 atendido, não atender aos outros itens.</t>
  </si>
  <si>
    <t>RM 172.25</t>
  </si>
  <si>
    <t>RM 175.25</t>
  </si>
  <si>
    <t>RM 176.25</t>
  </si>
  <si>
    <t>RM 178.25</t>
  </si>
  <si>
    <t>Item 1-2 Mercado Livre
Item 3-5 atendidos</t>
  </si>
  <si>
    <t>OS 368.25</t>
  </si>
  <si>
    <t>RM 184.25</t>
  </si>
  <si>
    <t>RM 186.25</t>
  </si>
  <si>
    <t>Item 3-4 comprados ML</t>
  </si>
  <si>
    <t>RM 185.25</t>
  </si>
  <si>
    <t>MN SERVICE ENGENHARIA LTDA</t>
  </si>
  <si>
    <t>54.066.594/0001-62</t>
  </si>
  <si>
    <t>R BATISTA DE LACERDA S/N LOTE 695 - Duque de Caxias</t>
  </si>
  <si>
    <t>mnservice.rio@gmail.com</t>
  </si>
  <si>
    <t>Caixa</t>
  </si>
  <si>
    <t>RM 183.25</t>
  </si>
  <si>
    <t>RM 187.25</t>
  </si>
  <si>
    <t>RM 188.25</t>
  </si>
  <si>
    <t>RM 189.25</t>
  </si>
  <si>
    <t>AUTOTRAFO SERVIÇOS E COMÉRCIO DE EQUIP. ELÉTRICOS LTDA</t>
  </si>
  <si>
    <t>08.605.692/0001-03</t>
  </si>
  <si>
    <t>Rua João Vicente, 497 - Parte - Rio de Janeiro - RJ - 21.340-020</t>
  </si>
  <si>
    <t>anderson.silva@autotrafo.com.br</t>
  </si>
  <si>
    <t>Anderson</t>
  </si>
  <si>
    <t>21 2450-4444</t>
  </si>
  <si>
    <t>Duplicada - 192.25</t>
  </si>
  <si>
    <t>Item 4 - ML</t>
  </si>
  <si>
    <t>RM 194.25</t>
  </si>
  <si>
    <t>Veio com Numeração errada, veio 194.25
Comprado pelo Sérgio no cartão - 11/09</t>
  </si>
  <si>
    <t>OS 360.26</t>
  </si>
  <si>
    <t>OS 360.27</t>
  </si>
  <si>
    <t>OS 360.28</t>
  </si>
  <si>
    <t>RM 190.25</t>
  </si>
  <si>
    <t>RM 191.25</t>
  </si>
  <si>
    <t>RM 192.25</t>
  </si>
  <si>
    <t>OS 370.25</t>
  </si>
  <si>
    <t>RM 200.25</t>
  </si>
  <si>
    <t>Mesma da RM 200</t>
  </si>
  <si>
    <t>RM 203.25</t>
  </si>
  <si>
    <t>Sergio Leroy</t>
  </si>
  <si>
    <t>RM 204.25</t>
  </si>
  <si>
    <t>RM 206.25</t>
  </si>
  <si>
    <t>RM 207.25</t>
  </si>
  <si>
    <t>OS 372.25</t>
  </si>
  <si>
    <t>RM 208.25</t>
  </si>
  <si>
    <t>Faltou um item mas atendida</t>
  </si>
  <si>
    <t>Obra das caixas elétricas na bancada</t>
  </si>
  <si>
    <t>Conectores RJ45</t>
  </si>
  <si>
    <t>Cancelar - Refazer</t>
  </si>
  <si>
    <t>Item 4 atendido na RM 196.25</t>
  </si>
  <si>
    <t>RM 196.25</t>
  </si>
  <si>
    <t>RM 210.25</t>
  </si>
  <si>
    <t>RM 209.25</t>
  </si>
  <si>
    <t>Estoque Outrubro/25</t>
  </si>
  <si>
    <t>CCI 5.25</t>
  </si>
  <si>
    <t>RM 211.25</t>
  </si>
  <si>
    <t>Vestiário</t>
  </si>
  <si>
    <t>Rede de Incêndio</t>
  </si>
  <si>
    <t>OS 378.25</t>
  </si>
  <si>
    <t>Trenas, NÃO COMPREI</t>
  </si>
  <si>
    <t>Tem na casa</t>
  </si>
  <si>
    <t>RM 213.25</t>
  </si>
  <si>
    <t>RM 215.25</t>
  </si>
  <si>
    <t>RM 220.25</t>
  </si>
  <si>
    <t>CCI 3.25</t>
  </si>
  <si>
    <t>Comprado 01 item loja do mecânico</t>
  </si>
  <si>
    <t>Arrumou na Edwal</t>
  </si>
  <si>
    <t>RM 224.25</t>
  </si>
  <si>
    <t>Placa para máquina de solda</t>
  </si>
  <si>
    <t>Serra fita</t>
  </si>
  <si>
    <t>OS 379.25</t>
  </si>
  <si>
    <t>OS 380.25</t>
  </si>
  <si>
    <t>OS 366.25</t>
  </si>
  <si>
    <t>OS Yinson - Subst. 225.25</t>
  </si>
  <si>
    <t>OS Yinson - Subst. 226.25</t>
  </si>
  <si>
    <t>OS 376.25</t>
  </si>
  <si>
    <t>RM 234.25</t>
  </si>
  <si>
    <t>Manutenção</t>
  </si>
  <si>
    <t>RM 232.25</t>
  </si>
  <si>
    <t>RM 231.25</t>
  </si>
  <si>
    <t>RM 233.25</t>
  </si>
  <si>
    <t>RM 226.25</t>
  </si>
  <si>
    <t>31/11/2025</t>
  </si>
  <si>
    <t>Reforma interna</t>
  </si>
  <si>
    <t>Mesa Mecânica</t>
  </si>
  <si>
    <t>RM 235.25</t>
  </si>
  <si>
    <t>Estoque Novembro/25</t>
  </si>
  <si>
    <t>Todo material deve ser inspecionado pelo fornecedor antes do envio. Na chegada à RENOVA, será novamente verificado e, se estiver em desacordo, será devolvido e registrada uma não conformidade.</t>
  </si>
  <si>
    <t>Rede de Incêndio - Item 4 e 5 adquiridos</t>
  </si>
  <si>
    <t>Cancelada</t>
  </si>
  <si>
    <t>Reforma mesa mecânica</t>
  </si>
  <si>
    <t>RM 243.25</t>
  </si>
  <si>
    <t>CCI 6.25</t>
  </si>
  <si>
    <t>RM 247.25</t>
  </si>
  <si>
    <t>Máquina compactadora - Não vai precisar</t>
  </si>
  <si>
    <t>RM 251.25</t>
  </si>
  <si>
    <t>Barra chata escada</t>
  </si>
  <si>
    <t>OS 385.25</t>
  </si>
  <si>
    <t>Referente a RNC</t>
  </si>
  <si>
    <t>RM 229.25</t>
  </si>
  <si>
    <t>CCI 6.26</t>
  </si>
  <si>
    <t>Calibração de equipamentos</t>
  </si>
  <si>
    <t>RM 254.25</t>
  </si>
  <si>
    <t>Espuma expansiva</t>
  </si>
  <si>
    <t>Tinta esmante rede de incêncio</t>
  </si>
  <si>
    <t>Calha coleta de chuva</t>
  </si>
  <si>
    <t>RM 260.25</t>
  </si>
  <si>
    <t>RM 259.25</t>
  </si>
  <si>
    <t xml:space="preserve">Peças pré-fabricadas em Inox, Duplex e Super Duplex devem ser inspecionadas previamente pelo fornecedor a fim de atender as normas e evitar o envio de produtos não conforme. Evidência dessa inspeção deve ser enviada junto ao produto. </t>
  </si>
  <si>
    <t>OS 386.25</t>
  </si>
  <si>
    <t>RM 261.25</t>
  </si>
  <si>
    <t>Pastilha torno</t>
  </si>
  <si>
    <t>Eletrocalha</t>
  </si>
  <si>
    <t>EPI Suelen</t>
  </si>
  <si>
    <t>RM 216.25</t>
  </si>
  <si>
    <t>Estoque Dezembro/25</t>
  </si>
  <si>
    <t>CCI 1.25</t>
  </si>
  <si>
    <t>RM 237.25</t>
  </si>
  <si>
    <t>RM 239.25</t>
  </si>
  <si>
    <t>RM 253.25</t>
  </si>
  <si>
    <t>RM 256.25</t>
  </si>
  <si>
    <t>RV - COMPOSITOS</t>
  </si>
  <si>
    <t>03.920.078/0001-12</t>
  </si>
  <si>
    <t>AV 4-IM , 50 GALPÃO B PQ IND MARGARET</t>
  </si>
  <si>
    <t>comercial3@rvcompositos.com.br</t>
  </si>
  <si>
    <t>Banco Itáu</t>
  </si>
  <si>
    <t>04416-9</t>
  </si>
  <si>
    <t>Jucilei</t>
  </si>
  <si>
    <t>19 99965-2492</t>
  </si>
  <si>
    <t>OS 392.25</t>
  </si>
  <si>
    <t>RM 269.25</t>
  </si>
  <si>
    <t>M²</t>
  </si>
  <si>
    <t>30% de entrada - Saldo 28 ddl</t>
  </si>
  <si>
    <t>Equipamento irata</t>
  </si>
  <si>
    <t>RM 266.25</t>
  </si>
  <si>
    <t>CCI 7.25</t>
  </si>
  <si>
    <t>RM 265.25</t>
  </si>
  <si>
    <t>RM 268.25</t>
  </si>
  <si>
    <t>Maziero Máquinas e equipamentos</t>
  </si>
  <si>
    <t>10.213.340/0001-54</t>
  </si>
  <si>
    <t>Rua Fidencio Franciosi 162A - Bairro Armando Annes - CEP 9990-10-590</t>
  </si>
  <si>
    <t>maziero@maziero.com.br</t>
  </si>
  <si>
    <t>Nilson Maziero</t>
  </si>
  <si>
    <t>RM 272.25</t>
  </si>
  <si>
    <t>OS 392.25 / Tinta</t>
  </si>
  <si>
    <t>OS 392.25 / Materiais</t>
  </si>
  <si>
    <t>SPECIAL TUBOS E AÇOS LTDA.</t>
  </si>
  <si>
    <t>Av.Carlos Ferreira Endres, 466/474
Bairro: Vila Endres - Guarulhos – SP CEP.07041-030</t>
  </si>
  <si>
    <t>01.744.586/0001-61</t>
  </si>
  <si>
    <t>mayara@specialtb.com.br</t>
  </si>
  <si>
    <t>0593-2</t>
  </si>
  <si>
    <t>204285-1</t>
  </si>
  <si>
    <t>Mayara</t>
  </si>
  <si>
    <t>11  2414-2322</t>
  </si>
  <si>
    <t>RM 270.25</t>
  </si>
  <si>
    <t>RM 271.25</t>
  </si>
  <si>
    <t>28 / 42 Dias</t>
  </si>
  <si>
    <t>OS 376.25 / Adicionais</t>
  </si>
  <si>
    <t>OS 376.25; Item 5, 6 e 8 cancelados;</t>
  </si>
  <si>
    <t>RM 225.25</t>
  </si>
  <si>
    <t>OS 398.25</t>
  </si>
  <si>
    <t>OS 400.25</t>
  </si>
  <si>
    <t>Frete:</t>
  </si>
  <si>
    <t>OS 396.25</t>
  </si>
  <si>
    <t>OS 401.25</t>
  </si>
  <si>
    <t>OS 397.25</t>
  </si>
  <si>
    <t>RM 276.25</t>
  </si>
  <si>
    <t>RM 275.25</t>
  </si>
  <si>
    <t>Rede de Incêndio - Item 5 pendente</t>
  </si>
  <si>
    <t>RM 283.25</t>
  </si>
  <si>
    <t>Estoque Janeiro/26</t>
  </si>
  <si>
    <t>RM 284.25</t>
  </si>
  <si>
    <t>RM 281.25</t>
  </si>
  <si>
    <t>RM 278.25</t>
  </si>
  <si>
    <t>RM 274.25</t>
  </si>
  <si>
    <t>CCI 8.25</t>
  </si>
  <si>
    <t>RM 273.25</t>
  </si>
  <si>
    <t>RM 279.25</t>
  </si>
  <si>
    <t>RM 280.25</t>
  </si>
  <si>
    <t>MERCANTE TUBOS E AÇOS LTDA.</t>
  </si>
  <si>
    <t>43.432.624/0001-90</t>
  </si>
  <si>
    <t xml:space="preserve">Rua Uruçuí, nº 436 – Jd. Aracília  CEP: 07.250-140 – Guarulhos/SP </t>
  </si>
  <si>
    <t>(11) 2147 7000</t>
  </si>
  <si>
    <t>elisangela.vendas@mercantetubos.com.br</t>
  </si>
  <si>
    <t>Elisangela</t>
  </si>
  <si>
    <t>RM 285.25</t>
  </si>
  <si>
    <t>RM 277.25</t>
  </si>
  <si>
    <t>RM 288.25</t>
  </si>
  <si>
    <t>RM 289.25</t>
  </si>
  <si>
    <t>OS 407.25</t>
  </si>
  <si>
    <t>OS 405.26</t>
  </si>
  <si>
    <t>OS 407.26</t>
  </si>
  <si>
    <t>RM 290.25</t>
  </si>
  <si>
    <t>CONEC RIO Conexões e Peças Ltda</t>
  </si>
  <si>
    <t>40.361.826/0001-09</t>
  </si>
  <si>
    <t>Rua Figueira de Mello, 388 - São Cristovão - Rio de Janeiro CEP 20941-000</t>
  </si>
  <si>
    <t>vendas@conecrio.com.br</t>
  </si>
  <si>
    <t>Silvio</t>
  </si>
  <si>
    <t>(21) 99359-2035</t>
  </si>
  <si>
    <t>397.25</t>
  </si>
  <si>
    <t>OS 408.26</t>
  </si>
  <si>
    <t>OS 248.26</t>
  </si>
  <si>
    <t>OS 409.26</t>
  </si>
  <si>
    <t>TECNOLUVA INDUSTRIA E COMERCIO LTDA</t>
  </si>
  <si>
    <t>48.482.517/0001-90</t>
  </si>
  <si>
    <t>RUA ALTO BELO, 1110, SÃO PAULO, SO CEP 03478-040</t>
  </si>
  <si>
    <t>vendas1@tecnoluva.com.br</t>
  </si>
  <si>
    <t xml:space="preserve">DAYANA </t>
  </si>
  <si>
    <t>(11) 93256-4167</t>
  </si>
  <si>
    <t>IVM - ITALY VÁLVULAS E METAIS LTDA</t>
  </si>
  <si>
    <t>01.149.960/0001-80</t>
  </si>
  <si>
    <t>RUA BELGRADO, 270 - VILA MOINHO VELHO - SAO PAULO/SP. CEP: 04285 - 040</t>
  </si>
  <si>
    <t>rafael@italy.com.br</t>
  </si>
  <si>
    <t>Rafael</t>
  </si>
  <si>
    <t>(11) 99190-8619</t>
  </si>
  <si>
    <t>505-3</t>
  </si>
  <si>
    <t>0299518-2</t>
  </si>
  <si>
    <t>OS 393.25</t>
  </si>
  <si>
    <t>RM 286.25</t>
  </si>
  <si>
    <t>OS 415.26</t>
  </si>
  <si>
    <t>OS 416.26</t>
  </si>
  <si>
    <t>OS 413.26</t>
  </si>
  <si>
    <t>OS 417.26</t>
  </si>
  <si>
    <t>Botinas para estoque</t>
  </si>
  <si>
    <t>Aferição equipamento</t>
  </si>
  <si>
    <t>Aferição</t>
  </si>
  <si>
    <t>Manutenção Furadeira</t>
  </si>
  <si>
    <t>Ordem de compras</t>
  </si>
  <si>
    <t>OC 1440.26</t>
  </si>
  <si>
    <t>RM 294.26</t>
  </si>
  <si>
    <t>RM 296.26</t>
  </si>
  <si>
    <t>RM 298.26</t>
  </si>
  <si>
    <t>RM 299.26</t>
  </si>
  <si>
    <t>RM 300.26</t>
  </si>
  <si>
    <t>RM 301.26</t>
  </si>
  <si>
    <t>RM 302.26</t>
  </si>
  <si>
    <t>RM 304.26</t>
  </si>
  <si>
    <t>RM 306.26</t>
  </si>
  <si>
    <t>RM 309.26</t>
  </si>
  <si>
    <t>RM 312.26</t>
  </si>
  <si>
    <t>RM 308.26</t>
  </si>
  <si>
    <t>RM 311.26</t>
  </si>
  <si>
    <t>RM 307.26</t>
  </si>
  <si>
    <t>GRADISA SOLUÇÕES EM FERRO LTDA</t>
  </si>
  <si>
    <t>21.899.982/0002-56</t>
  </si>
  <si>
    <t>priscila@gradisa.com.br</t>
  </si>
  <si>
    <t>RM 310.26</t>
  </si>
  <si>
    <t>OS 418.26</t>
  </si>
  <si>
    <t>RM 313.26</t>
  </si>
  <si>
    <t>28 / 35 / 42 Dias</t>
  </si>
  <si>
    <t>552.48</t>
  </si>
  <si>
    <t>RM 314.26</t>
  </si>
  <si>
    <t>RM 316.26</t>
  </si>
  <si>
    <t>NHJ DO BRASIL</t>
  </si>
  <si>
    <t>00.185.997/0001-97</t>
  </si>
  <si>
    <t>Av. Zen Lote 1, 2A e 2B Quadra G - ZONA ZEN - CEP 28.890-000 - Rio das Ostras - RJ</t>
  </si>
  <si>
    <t>comercialro02@nhjdobrasil.com.br</t>
  </si>
  <si>
    <t>21 Dias</t>
  </si>
  <si>
    <t>Ruanna Vianna</t>
  </si>
  <si>
    <t>(22) 99612.0565</t>
  </si>
  <si>
    <t>RM 315.26</t>
  </si>
  <si>
    <t>OS 406.26</t>
  </si>
  <si>
    <t>RM 100.25</t>
  </si>
  <si>
    <t>RM 317.26</t>
  </si>
  <si>
    <t>RM 318.26</t>
  </si>
  <si>
    <t>RM 322.26</t>
  </si>
  <si>
    <t>UNIVERSO ROUPAS EIRELI EPP</t>
  </si>
  <si>
    <t>21.673.952/0001-46</t>
  </si>
  <si>
    <r>
      <t> </t>
    </r>
    <r>
      <rPr>
        <sz val="11"/>
        <color rgb="FF1F1F1F"/>
        <rFont val="Arial"/>
        <family val="2"/>
      </rPr>
      <t>R. Cap. Juvenal Figueiredo, 447 - Colubandê, São Gonçalo - RJ, 24744-560</t>
    </r>
  </si>
  <si>
    <t>universo-roupas@outlook.com</t>
  </si>
  <si>
    <t>Jorge Bazhuni</t>
  </si>
  <si>
    <t>(21) 98866-3874</t>
  </si>
  <si>
    <t>30 / 60</t>
  </si>
  <si>
    <t>RM 323.26</t>
  </si>
  <si>
    <t>RM 325.26</t>
  </si>
  <si>
    <t>RM 319.26</t>
  </si>
  <si>
    <t>Calibração de manômetro</t>
  </si>
  <si>
    <t>OC 1412.25 / OC 1465.26</t>
  </si>
  <si>
    <t>OC 1413.26</t>
  </si>
  <si>
    <t>OC 1414.26 / 1415.26</t>
  </si>
  <si>
    <t>OC 1416.26 / 1417.26 / 1418.26</t>
  </si>
  <si>
    <t>OC 1419.26 / 1422.26</t>
  </si>
  <si>
    <t>OC 1422.26</t>
  </si>
  <si>
    <t>OC 1425.26</t>
  </si>
  <si>
    <t>OC 1427.26</t>
  </si>
  <si>
    <t>RM 305.26</t>
  </si>
  <si>
    <t>OC 1426.26</t>
  </si>
  <si>
    <t>OC 1429.26</t>
  </si>
  <si>
    <t>OC 1437.25 /1443.25 / 1448.26 / 1416.26</t>
  </si>
  <si>
    <t>OC 1458.26</t>
  </si>
  <si>
    <t>OC 1459.26</t>
  </si>
  <si>
    <t>OC 1469.26</t>
  </si>
  <si>
    <t>OC 1461.26</t>
  </si>
  <si>
    <t>OC 1463.26</t>
  </si>
  <si>
    <t>OC 1664.26</t>
  </si>
  <si>
    <t>OC 1439.26</t>
  </si>
  <si>
    <t>OC 1436.26 / 1444.26 / 1445.26 / 1447.26 / 1460.26</t>
  </si>
  <si>
    <t>OC 1438.25 / 1442.25 / 1449.26 / 1460.26</t>
  </si>
  <si>
    <t>OC 1446.26</t>
  </si>
  <si>
    <t>OC 1450.26 / 1451.26</t>
  </si>
  <si>
    <t>OC 1452.26</t>
  </si>
  <si>
    <t>OC 1455.26</t>
  </si>
  <si>
    <t>OS 423.26</t>
  </si>
  <si>
    <t>RM 328.26</t>
  </si>
  <si>
    <t>RM 321.26</t>
  </si>
  <si>
    <t>OS 418.25</t>
  </si>
  <si>
    <t>Offshore Containers do Brasil LTDA</t>
  </si>
  <si>
    <t>63.502.600/0001-78</t>
  </si>
  <si>
    <t>Rua Mário Trilha, 215 - Ilha da Conceição - Niterói - Rj - CEP: 24.050-190</t>
  </si>
  <si>
    <t>Comercial - comercial@offcon.com.br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</si>
</sst>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#,##0"/>
    <numFmt numFmtId="165" formatCode="&quot;R$&quot;\ #,##0.00"/>
    <numFmt numFmtId="166" formatCode="_-[$R$-416]\ * #,##0.00_-;\-[$R$-416]\ * #,##0.00_-;_-[$R$-416]\ * &quot;-&quot;??_-;_-@_-"/>
  </numFmts>
  <fonts count="4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Aptos Narrow"/>
      <family val="2"/>
      <scheme val="minor"/>
    </font>
    <font>
      <sz val="11"/>
      <color theme="0"/>
      <name val="Calibri"/>
      <family val="2"/>
    </font>
    <font>
      <u/>
      <sz val="11"/>
      <color theme="1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sz val="11"/>
      <color rgb="FFFF0000"/>
      <name val="Calibri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22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4" tint="-0.249977111117893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sz val="11"/>
      <name val="Aptos Narrow"/>
      <family val="2"/>
      <scheme val="minor"/>
    </font>
    <font>
      <sz val="16"/>
      <color rgb="FFFF0000"/>
      <name val="Aptos Narrow"/>
      <family val="2"/>
      <scheme val="minor"/>
    </font>
    <font>
      <u/>
      <sz val="9"/>
      <color rgb="FFFF0000"/>
      <name val="Aptos Narrow"/>
      <family val="2"/>
      <scheme val="minor"/>
    </font>
    <font>
      <u/>
      <sz val="11"/>
      <color rgb="FFFF0000"/>
      <name val="Aptos Narrow"/>
      <family val="2"/>
      <scheme val="minor"/>
    </font>
    <font>
      <sz val="9"/>
      <color rgb="FFFF0000"/>
      <name val="Aptos Narrow"/>
      <family val="2"/>
      <scheme val="minor"/>
    </font>
    <font>
      <b/>
      <sz val="10.5"/>
      <color theme="1"/>
      <name val="Aptos Narrow"/>
      <family val="2"/>
      <scheme val="minor"/>
    </font>
    <font>
      <sz val="10.5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name val="Aptos Narrow"/>
      <family val="2"/>
      <scheme val="minor"/>
    </font>
    <font>
      <sz val="11"/>
      <name val="Calibri"/>
      <family val="2"/>
    </font>
    <font>
      <b/>
      <sz val="11"/>
      <name val="Aptos Narrow"/>
      <family val="2"/>
      <scheme val="minor"/>
    </font>
    <font>
      <b/>
      <sz val="11"/>
      <name val="Calibri"/>
      <family val="2"/>
    </font>
    <font>
      <b/>
      <sz val="16"/>
      <color theme="0"/>
      <name val="Aptos Narrow"/>
      <family val="2"/>
      <scheme val="minor"/>
    </font>
    <font>
      <b/>
      <sz val="48"/>
      <name val="Calibri"/>
      <family val="2"/>
    </font>
    <font>
      <b/>
      <sz val="11"/>
      <color theme="0"/>
      <name val="Calibri"/>
      <family val="2"/>
    </font>
    <font>
      <b/>
      <sz val="11"/>
      <color rgb="FF1F1F1F"/>
      <name val="Arial"/>
      <family val="2"/>
    </font>
    <font>
      <sz val="11"/>
      <color rgb="FF1F1F1F"/>
      <name val="Arial"/>
      <family val="2"/>
    </font>
    <font>
      <sz val="11"/>
      <color rgb="FF242424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1FFA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E13A3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CF6D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F3855"/>
        <bgColor indexed="64"/>
      </patternFill>
    </fill>
    <fill>
      <patternFill patternType="solid">
        <fgColor rgb="FF1F3855"/>
        <bgColor rgb="FF000000"/>
      </patternFill>
    </fill>
    <fill>
      <patternFill patternType="solid">
        <fgColor rgb="FF78C8F0"/>
        <bgColor indexed="64"/>
      </patternFill>
    </fill>
    <fill>
      <patternFill patternType="solid">
        <fgColor rgb="FFC8C8F0"/>
        <bgColor indexed="64"/>
      </patternFill>
    </fill>
  </fills>
  <borders count="57">
    <border>
      <left/>
      <right/>
      <top/>
      <bottom/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thin">
        <color theme="0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/>
      </left>
      <right style="thin">
        <color theme="0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4.9989318521683403E-2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71">
    <xf numFmtId="0" fontId="0" fillId="0" borderId="0" xfId="0"/>
    <xf numFmtId="0" fontId="2" fillId="2" borderId="0" xfId="0" applyFont="1" applyFill="1"/>
    <xf numFmtId="0" fontId="2" fillId="0" borderId="0" xfId="0" applyFont="1"/>
    <xf numFmtId="0" fontId="2" fillId="3" borderId="0" xfId="0" applyFont="1" applyFill="1"/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 wrapText="1"/>
    </xf>
    <xf numFmtId="0" fontId="3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3" fillId="7" borderId="2" xfId="0" applyFont="1" applyFill="1" applyBorder="1" applyAlignment="1">
      <alignment horizontal="left" vertical="center"/>
    </xf>
    <xf numFmtId="0" fontId="3" fillId="7" borderId="2" xfId="0" applyFont="1" applyFill="1" applyBorder="1" applyAlignment="1">
      <alignment horizontal="left" vertical="center" wrapText="1"/>
    </xf>
    <xf numFmtId="44" fontId="2" fillId="0" borderId="0" xfId="1" applyFont="1" applyFill="1" applyAlignment="1">
      <alignment horizontal="left" wrapText="1"/>
    </xf>
    <xf numFmtId="0" fontId="5" fillId="0" borderId="0" xfId="0" applyFont="1"/>
    <xf numFmtId="0" fontId="8" fillId="0" borderId="0" xfId="0" applyFont="1" applyAlignment="1">
      <alignment horizontal="left" vertical="center" indent="1"/>
    </xf>
    <xf numFmtId="0" fontId="7" fillId="0" borderId="0" xfId="0" applyFont="1"/>
    <xf numFmtId="2" fontId="9" fillId="8" borderId="6" xfId="3" applyNumberFormat="1" applyFont="1" applyFill="1" applyBorder="1" applyAlignment="1" applyProtection="1">
      <alignment horizontal="center" vertical="center"/>
    </xf>
    <xf numFmtId="2" fontId="9" fillId="9" borderId="6" xfId="3" applyNumberFormat="1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Protection="1">
      <protection locked="0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14" fontId="2" fillId="0" borderId="3" xfId="0" applyNumberFormat="1" applyFont="1" applyBorder="1" applyAlignment="1" applyProtection="1">
      <alignment horizontal="left" wrapText="1"/>
      <protection locked="0"/>
    </xf>
    <xf numFmtId="0" fontId="2" fillId="0" borderId="3" xfId="0" applyFont="1" applyBorder="1" applyAlignment="1" applyProtection="1">
      <alignment horizontal="left" wrapText="1"/>
      <protection locked="0"/>
    </xf>
    <xf numFmtId="14" fontId="2" fillId="0" borderId="3" xfId="0" quotePrefix="1" applyNumberFormat="1" applyFont="1" applyBorder="1" applyAlignment="1" applyProtection="1">
      <alignment horizontal="left" wrapText="1"/>
      <protection locked="0"/>
    </xf>
    <xf numFmtId="0" fontId="3" fillId="4" borderId="2" xfId="0" applyFont="1" applyFill="1" applyBorder="1" applyAlignment="1" applyProtection="1">
      <alignment horizontal="left" vertical="center"/>
      <protection locked="0"/>
    </xf>
    <xf numFmtId="0" fontId="3" fillId="4" borderId="2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left" wrapText="1"/>
      <protection locked="0"/>
    </xf>
    <xf numFmtId="0" fontId="2" fillId="2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0" borderId="1" xfId="0" applyFont="1" applyBorder="1" applyAlignment="1" applyProtection="1">
      <alignment horizontal="left" vertical="center"/>
      <protection locked="0"/>
    </xf>
    <xf numFmtId="44" fontId="2" fillId="0" borderId="0" xfId="1" applyFont="1" applyFill="1" applyAlignment="1">
      <alignment horizontal="left" vertical="center"/>
    </xf>
    <xf numFmtId="44" fontId="2" fillId="0" borderId="0" xfId="1" applyFont="1" applyFill="1" applyAlignment="1" applyProtection="1">
      <alignment horizontal="left" vertical="center"/>
      <protection locked="0"/>
    </xf>
    <xf numFmtId="0" fontId="14" fillId="0" borderId="2" xfId="0" applyFont="1" applyBorder="1" applyAlignment="1">
      <alignment horizontal="left" vertical="center"/>
    </xf>
    <xf numFmtId="0" fontId="3" fillId="4" borderId="0" xfId="0" applyFont="1" applyFill="1"/>
    <xf numFmtId="0" fontId="3" fillId="4" borderId="7" xfId="0" applyFont="1" applyFill="1" applyBorder="1"/>
    <xf numFmtId="2" fontId="2" fillId="0" borderId="0" xfId="1" applyNumberFormat="1" applyFont="1" applyFill="1" applyAlignment="1">
      <alignment horizontal="left" vertical="center"/>
    </xf>
    <xf numFmtId="0" fontId="2" fillId="11" borderId="2" xfId="0" applyFont="1" applyFill="1" applyBorder="1" applyAlignment="1">
      <alignment horizontal="left" vertical="center"/>
    </xf>
    <xf numFmtId="44" fontId="2" fillId="6" borderId="0" xfId="1" applyFont="1" applyFill="1" applyAlignment="1">
      <alignment horizontal="left" vertical="center"/>
    </xf>
    <xf numFmtId="44" fontId="2" fillId="10" borderId="0" xfId="1" applyFont="1" applyFill="1" applyAlignment="1">
      <alignment horizontal="left" vertical="center"/>
    </xf>
    <xf numFmtId="0" fontId="3" fillId="4" borderId="7" xfId="0" applyFont="1" applyFill="1" applyBorder="1" applyAlignment="1">
      <alignment wrapText="1"/>
    </xf>
    <xf numFmtId="0" fontId="3" fillId="0" borderId="7" xfId="0" applyFont="1" applyBorder="1" applyAlignment="1">
      <alignment wrapText="1"/>
    </xf>
    <xf numFmtId="0" fontId="3" fillId="4" borderId="5" xfId="0" applyFont="1" applyFill="1" applyBorder="1" applyAlignment="1">
      <alignment horizontal="left" vertical="center" wrapText="1"/>
    </xf>
    <xf numFmtId="2" fontId="14" fillId="0" borderId="2" xfId="0" applyNumberFormat="1" applyFont="1" applyBorder="1" applyAlignment="1">
      <alignment horizontal="left" vertical="center"/>
    </xf>
    <xf numFmtId="44" fontId="2" fillId="5" borderId="0" xfId="1" applyFont="1" applyFill="1" applyAlignment="1">
      <alignment horizontal="left" vertical="center"/>
    </xf>
    <xf numFmtId="2" fontId="2" fillId="0" borderId="3" xfId="0" applyNumberFormat="1" applyFont="1" applyBorder="1" applyAlignment="1" applyProtection="1">
      <alignment horizontal="left" wrapText="1"/>
      <protection locked="0"/>
    </xf>
    <xf numFmtId="14" fontId="10" fillId="0" borderId="3" xfId="0" applyNumberFormat="1" applyFont="1" applyBorder="1" applyAlignment="1" applyProtection="1">
      <alignment horizontal="left" wrapText="1"/>
      <protection locked="0"/>
    </xf>
    <xf numFmtId="0" fontId="2" fillId="11" borderId="3" xfId="0" applyFont="1" applyFill="1" applyBorder="1" applyAlignment="1">
      <alignment horizontal="left" wrapText="1"/>
    </xf>
    <xf numFmtId="10" fontId="2" fillId="11" borderId="3" xfId="0" applyNumberFormat="1" applyFont="1" applyFill="1" applyBorder="1" applyAlignment="1">
      <alignment horizontal="left" wrapText="1"/>
    </xf>
    <xf numFmtId="0" fontId="3" fillId="4" borderId="7" xfId="0" applyFont="1" applyFill="1" applyBorder="1" applyAlignment="1">
      <alignment horizontal="left" wrapText="1"/>
    </xf>
    <xf numFmtId="0" fontId="2" fillId="2" borderId="0" xfId="0" applyFont="1" applyFill="1" applyAlignment="1">
      <alignment horizontal="left" wrapText="1"/>
    </xf>
    <xf numFmtId="0" fontId="2" fillId="3" borderId="0" xfId="0" applyFont="1" applyFill="1" applyAlignment="1">
      <alignment horizontal="left" wrapText="1"/>
    </xf>
    <xf numFmtId="0" fontId="0" fillId="13" borderId="0" xfId="0" applyFill="1" applyProtection="1"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14" borderId="0" xfId="0" applyFill="1" applyAlignment="1" applyProtection="1">
      <alignment horizontal="center" vertical="center"/>
      <protection locked="0"/>
    </xf>
    <xf numFmtId="0" fontId="13" fillId="12" borderId="0" xfId="0" applyFont="1" applyFill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3" fillId="0" borderId="16" xfId="0" applyFont="1" applyBorder="1" applyAlignment="1" applyProtection="1">
      <alignment horizontal="left" vertical="center"/>
      <protection locked="0"/>
    </xf>
    <xf numFmtId="0" fontId="13" fillId="0" borderId="21" xfId="0" applyFont="1" applyBorder="1" applyAlignment="1" applyProtection="1">
      <alignment horizontal="left" vertical="center"/>
      <protection locked="0"/>
    </xf>
    <xf numFmtId="0" fontId="13" fillId="0" borderId="21" xfId="0" applyFont="1" applyBorder="1" applyAlignment="1" applyProtection="1">
      <alignment vertical="center" wrapText="1"/>
      <protection locked="0"/>
    </xf>
    <xf numFmtId="0" fontId="20" fillId="0" borderId="19" xfId="0" applyFont="1" applyBorder="1" applyAlignment="1" applyProtection="1">
      <alignment horizontal="left" vertical="center"/>
      <protection locked="0"/>
    </xf>
    <xf numFmtId="0" fontId="13" fillId="0" borderId="19" xfId="0" applyFont="1" applyBorder="1" applyAlignment="1" applyProtection="1">
      <alignment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6" fillId="0" borderId="19" xfId="2" applyBorder="1" applyAlignment="1" applyProtection="1">
      <alignment horizontal="left" vertical="center"/>
      <protection locked="0"/>
    </xf>
    <xf numFmtId="0" fontId="13" fillId="0" borderId="22" xfId="0" applyFont="1" applyBorder="1" applyAlignment="1" applyProtection="1">
      <alignment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13" fillId="0" borderId="23" xfId="0" applyFont="1" applyBorder="1" applyAlignment="1" applyProtection="1">
      <alignment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13" fillId="0" borderId="17" xfId="0" applyFont="1" applyBorder="1" applyAlignment="1" applyProtection="1">
      <alignment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7" borderId="0" xfId="0" applyFill="1" applyAlignment="1" applyProtection="1">
      <alignment horizontal="left" vertical="center"/>
      <protection locked="0"/>
    </xf>
    <xf numFmtId="0" fontId="13" fillId="0" borderId="22" xfId="0" applyFont="1" applyBorder="1" applyAlignment="1" applyProtection="1">
      <alignment horizontal="left" vertical="center"/>
      <protection locked="0"/>
    </xf>
    <xf numFmtId="0" fontId="0" fillId="0" borderId="23" xfId="0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 applyProtection="1">
      <alignment horizontal="left" vertical="center"/>
      <protection locked="0"/>
    </xf>
    <xf numFmtId="0" fontId="0" fillId="7" borderId="26" xfId="0" applyFill="1" applyBorder="1" applyAlignment="1" applyProtection="1">
      <alignment vertical="center"/>
      <protection locked="0"/>
    </xf>
    <xf numFmtId="0" fontId="0" fillId="0" borderId="26" xfId="0" applyBorder="1" applyAlignment="1" applyProtection="1">
      <alignment horizontal="left" vertical="center"/>
      <protection locked="0"/>
    </xf>
    <xf numFmtId="165" fontId="0" fillId="7" borderId="26" xfId="0" applyNumberFormat="1" applyFill="1" applyBorder="1" applyAlignment="1" applyProtection="1">
      <alignment vertical="center"/>
      <protection locked="0"/>
    </xf>
    <xf numFmtId="165" fontId="0" fillId="7" borderId="27" xfId="0" applyNumberFormat="1" applyFill="1" applyBorder="1" applyAlignment="1" applyProtection="1">
      <alignment vertical="center"/>
      <protection locked="0"/>
    </xf>
    <xf numFmtId="0" fontId="13" fillId="7" borderId="33" xfId="0" applyFont="1" applyFill="1" applyBorder="1" applyAlignment="1" applyProtection="1">
      <alignment horizontal="center" vertical="center"/>
      <protection locked="0"/>
    </xf>
    <xf numFmtId="165" fontId="13" fillId="7" borderId="33" xfId="0" applyNumberFormat="1" applyFont="1" applyFill="1" applyBorder="1" applyAlignment="1" applyProtection="1">
      <alignment horizontal="center" vertical="center"/>
      <protection locked="0"/>
    </xf>
    <xf numFmtId="0" fontId="13" fillId="7" borderId="35" xfId="0" applyFont="1" applyFill="1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2" fontId="0" fillId="0" borderId="37" xfId="0" applyNumberForma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16" fontId="12" fillId="11" borderId="37" xfId="0" quotePrefix="1" applyNumberFormat="1" applyFont="1" applyFill="1" applyBorder="1" applyAlignment="1" applyProtection="1">
      <alignment horizontal="center" vertical="center" wrapText="1"/>
      <protection locked="0"/>
    </xf>
    <xf numFmtId="166" fontId="0" fillId="0" borderId="38" xfId="0" applyNumberFormat="1" applyBorder="1" applyAlignment="1">
      <alignment horizontal="center" vertical="center"/>
    </xf>
    <xf numFmtId="165" fontId="0" fillId="11" borderId="38" xfId="0" applyNumberFormat="1" applyFill="1" applyBorder="1" applyAlignment="1">
      <alignment horizontal="center" vertical="center"/>
    </xf>
    <xf numFmtId="10" fontId="0" fillId="7" borderId="38" xfId="0" applyNumberFormat="1" applyFill="1" applyBorder="1" applyAlignment="1" applyProtection="1">
      <alignment horizontal="center" vertical="center"/>
      <protection locked="0"/>
    </xf>
    <xf numFmtId="10" fontId="0" fillId="7" borderId="39" xfId="0" applyNumberFormat="1" applyFill="1" applyBorder="1" applyAlignment="1" applyProtection="1">
      <alignment horizontal="center" vertical="center"/>
      <protection locked="0"/>
    </xf>
    <xf numFmtId="165" fontId="0" fillId="11" borderId="40" xfId="0" applyNumberFormat="1" applyFill="1" applyBorder="1" applyAlignment="1">
      <alignment horizontal="center" vertical="center"/>
    </xf>
    <xf numFmtId="0" fontId="0" fillId="0" borderId="0" xfId="0" quotePrefix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165" fontId="0" fillId="11" borderId="37" xfId="0" applyNumberFormat="1" applyFill="1" applyBorder="1" applyAlignment="1">
      <alignment horizontal="center" vertical="center"/>
    </xf>
    <xf numFmtId="0" fontId="22" fillId="0" borderId="37" xfId="0" applyFont="1" applyBorder="1" applyAlignment="1" applyProtection="1">
      <alignment horizontal="center" vertical="center" wrapText="1"/>
      <protection locked="0"/>
    </xf>
    <xf numFmtId="166" fontId="0" fillId="0" borderId="37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0" fillId="15" borderId="0" xfId="0" applyFill="1" applyAlignment="1" applyProtection="1">
      <alignment horizontal="center" vertical="center"/>
      <protection locked="0"/>
    </xf>
    <xf numFmtId="10" fontId="0" fillId="7" borderId="37" xfId="0" applyNumberForma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vertical="top"/>
      <protection locked="0"/>
    </xf>
    <xf numFmtId="0" fontId="0" fillId="2" borderId="23" xfId="0" applyFill="1" applyBorder="1" applyAlignment="1" applyProtection="1">
      <alignment vertical="top"/>
      <protection locked="0"/>
    </xf>
    <xf numFmtId="0" fontId="0" fillId="2" borderId="24" xfId="0" applyFill="1" applyBorder="1" applyAlignment="1" applyProtection="1">
      <alignment vertical="top"/>
      <protection locked="0"/>
    </xf>
    <xf numFmtId="0" fontId="0" fillId="0" borderId="11" xfId="0" quotePrefix="1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12" fillId="0" borderId="11" xfId="0" quotePrefix="1" applyFont="1" applyBorder="1" applyAlignment="1" applyProtection="1">
      <alignment vertical="top"/>
      <protection locked="0"/>
    </xf>
    <xf numFmtId="0" fontId="12" fillId="0" borderId="0" xfId="0" quotePrefix="1" applyFont="1" applyAlignment="1" applyProtection="1">
      <alignment vertical="top"/>
      <protection locked="0"/>
    </xf>
    <xf numFmtId="0" fontId="12" fillId="0" borderId="0" xfId="0" applyFont="1" applyAlignment="1" applyProtection="1">
      <alignment vertical="top"/>
      <protection locked="0"/>
    </xf>
    <xf numFmtId="0" fontId="12" fillId="0" borderId="12" xfId="0" applyFont="1" applyBorder="1" applyAlignment="1" applyProtection="1">
      <alignment vertical="top"/>
      <protection locked="0"/>
    </xf>
    <xf numFmtId="0" fontId="12" fillId="0" borderId="0" xfId="0" quotePrefix="1" applyFont="1" applyAlignment="1" applyProtection="1">
      <alignment vertical="top" wrapText="1"/>
      <protection locked="0"/>
    </xf>
    <xf numFmtId="0" fontId="12" fillId="0" borderId="12" xfId="0" quotePrefix="1" applyFont="1" applyBorder="1" applyAlignment="1" applyProtection="1">
      <alignment vertical="top" wrapText="1"/>
      <protection locked="0"/>
    </xf>
    <xf numFmtId="0" fontId="0" fillId="0" borderId="12" xfId="0" applyBorder="1" applyAlignment="1" applyProtection="1">
      <alignment vertical="top"/>
      <protection locked="0"/>
    </xf>
    <xf numFmtId="0" fontId="24" fillId="0" borderId="11" xfId="0" quotePrefix="1" applyFont="1" applyBorder="1" applyAlignment="1" applyProtection="1">
      <alignment vertical="top"/>
      <protection locked="0"/>
    </xf>
    <xf numFmtId="0" fontId="25" fillId="2" borderId="11" xfId="0" quotePrefix="1" applyFont="1" applyFill="1" applyBorder="1" applyAlignment="1" applyProtection="1">
      <alignment vertical="top"/>
      <protection locked="0"/>
    </xf>
    <xf numFmtId="0" fontId="0" fillId="2" borderId="0" xfId="0" applyFill="1" applyAlignment="1" applyProtection="1">
      <alignment vertical="top"/>
      <protection locked="0"/>
    </xf>
    <xf numFmtId="0" fontId="0" fillId="2" borderId="12" xfId="0" applyFill="1" applyBorder="1" applyAlignment="1" applyProtection="1">
      <alignment vertical="top"/>
      <protection locked="0"/>
    </xf>
    <xf numFmtId="0" fontId="0" fillId="0" borderId="11" xfId="0" quotePrefix="1" applyBorder="1" applyAlignment="1" applyProtection="1">
      <alignment horizontal="left" vertical="center"/>
      <protection locked="0"/>
    </xf>
    <xf numFmtId="0" fontId="12" fillId="0" borderId="0" xfId="0" applyFont="1" applyAlignment="1">
      <alignment vertical="top"/>
    </xf>
    <xf numFmtId="0" fontId="0" fillId="0" borderId="11" xfId="0" applyBorder="1" applyAlignment="1" applyProtection="1">
      <alignment horizontal="left" vertical="center"/>
      <protection locked="0"/>
    </xf>
    <xf numFmtId="0" fontId="0" fillId="7" borderId="12" xfId="0" applyFill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left"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2" xfId="0" applyBorder="1" applyAlignment="1">
      <alignment horizontal="left" vertical="center"/>
    </xf>
    <xf numFmtId="165" fontId="0" fillId="0" borderId="0" xfId="0" applyNumberFormat="1" applyAlignment="1" applyProtection="1">
      <alignment horizontal="center" vertical="center"/>
      <protection locked="0"/>
    </xf>
    <xf numFmtId="0" fontId="26" fillId="0" borderId="11" xfId="0" applyFont="1" applyBorder="1" applyProtection="1">
      <protection locked="0"/>
    </xf>
    <xf numFmtId="0" fontId="26" fillId="0" borderId="0" xfId="0" applyFont="1" applyProtection="1"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5" xfId="0" applyBorder="1" applyAlignment="1">
      <alignment horizontal="left" vertical="center"/>
    </xf>
    <xf numFmtId="0" fontId="13" fillId="0" borderId="43" xfId="0" applyFont="1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0" fontId="13" fillId="0" borderId="32" xfId="0" applyFont="1" applyBorder="1" applyAlignment="1" applyProtection="1">
      <alignment vertical="center"/>
      <protection locked="0"/>
    </xf>
    <xf numFmtId="0" fontId="0" fillId="0" borderId="33" xfId="0" applyBorder="1" applyAlignment="1" applyProtection="1">
      <alignment vertical="center"/>
      <protection locked="0"/>
    </xf>
    <xf numFmtId="0" fontId="0" fillId="0" borderId="48" xfId="0" applyBorder="1" applyAlignment="1" applyProtection="1">
      <alignment vertical="center"/>
      <protection locked="0"/>
    </xf>
    <xf numFmtId="0" fontId="0" fillId="0" borderId="49" xfId="0" applyBorder="1" applyAlignment="1" applyProtection="1">
      <alignment vertical="center"/>
      <protection locked="0"/>
    </xf>
    <xf numFmtId="14" fontId="2" fillId="0" borderId="0" xfId="0" applyNumberFormat="1" applyFont="1"/>
    <xf numFmtId="0" fontId="0" fillId="0" borderId="0" xfId="0" applyAlignment="1" applyProtection="1">
      <alignment horizontal="right"/>
      <protection locked="0"/>
    </xf>
    <xf numFmtId="2" fontId="2" fillId="0" borderId="0" xfId="0" applyNumberFormat="1" applyFont="1" applyAlignment="1">
      <alignment horizontal="left" wrapText="1"/>
    </xf>
    <xf numFmtId="0" fontId="2" fillId="0" borderId="0" xfId="0" applyFont="1" applyAlignment="1">
      <alignment horizontal="center"/>
    </xf>
    <xf numFmtId="10" fontId="2" fillId="0" borderId="0" xfId="0" applyNumberFormat="1" applyFont="1" applyAlignment="1">
      <alignment horizontal="left" wrapText="1"/>
    </xf>
    <xf numFmtId="0" fontId="2" fillId="0" borderId="2" xfId="0" applyFont="1" applyBorder="1" applyAlignment="1">
      <alignment horizontal="left" vertical="center"/>
    </xf>
    <xf numFmtId="2" fontId="2" fillId="0" borderId="2" xfId="0" applyNumberFormat="1" applyFont="1" applyBorder="1" applyAlignment="1">
      <alignment horizontal="left" vertical="center"/>
    </xf>
    <xf numFmtId="0" fontId="0" fillId="0" borderId="19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13" fillId="0" borderId="19" xfId="0" applyFont="1" applyBorder="1" applyAlignment="1">
      <alignment vertical="center"/>
    </xf>
    <xf numFmtId="0" fontId="27" fillId="12" borderId="0" xfId="0" applyFont="1" applyFill="1" applyAlignment="1" applyProtection="1">
      <alignment horizontal="center" vertical="center"/>
      <protection locked="0"/>
    </xf>
    <xf numFmtId="0" fontId="28" fillId="12" borderId="0" xfId="0" applyFont="1" applyFill="1" applyAlignment="1" applyProtection="1">
      <alignment horizontal="left" vertical="center"/>
      <protection locked="0"/>
    </xf>
    <xf numFmtId="2" fontId="2" fillId="0" borderId="3" xfId="0" quotePrefix="1" applyNumberFormat="1" applyFont="1" applyBorder="1" applyAlignment="1" applyProtection="1">
      <alignment horizontal="left" wrapText="1"/>
      <protection locked="0"/>
    </xf>
    <xf numFmtId="0" fontId="6" fillId="2" borderId="0" xfId="2" applyFill="1" applyAlignment="1">
      <alignment vertical="center"/>
    </xf>
    <xf numFmtId="14" fontId="12" fillId="11" borderId="37" xfId="0" quotePrefix="1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2" fillId="7" borderId="3" xfId="0" applyFont="1" applyFill="1" applyBorder="1" applyAlignment="1" applyProtection="1">
      <alignment horizontal="left" wrapText="1"/>
      <protection locked="0"/>
    </xf>
    <xf numFmtId="0" fontId="8" fillId="0" borderId="0" xfId="0" applyFont="1" applyAlignment="1">
      <alignment vertical="center"/>
    </xf>
    <xf numFmtId="2" fontId="29" fillId="0" borderId="20" xfId="0" applyNumberFormat="1" applyFont="1" applyBorder="1" applyAlignment="1">
      <alignment vertical="center" wrapText="1"/>
    </xf>
    <xf numFmtId="0" fontId="0" fillId="0" borderId="17" xfId="0" applyBorder="1" applyAlignment="1" applyProtection="1">
      <alignment vertical="center"/>
      <protection locked="0"/>
    </xf>
    <xf numFmtId="0" fontId="0" fillId="0" borderId="19" xfId="0" applyBorder="1" applyAlignment="1">
      <alignment vertical="center"/>
    </xf>
    <xf numFmtId="2" fontId="9" fillId="0" borderId="0" xfId="3" applyNumberFormat="1" applyFont="1" applyFill="1" applyBorder="1" applyAlignment="1" applyProtection="1">
      <alignment horizontal="center" vertical="center"/>
    </xf>
    <xf numFmtId="9" fontId="9" fillId="0" borderId="0" xfId="3" applyFont="1" applyFill="1" applyBorder="1" applyAlignment="1" applyProtection="1">
      <alignment horizontal="center" vertical="center"/>
    </xf>
    <xf numFmtId="164" fontId="9" fillId="0" borderId="0" xfId="3" applyNumberFormat="1" applyFont="1" applyFill="1" applyBorder="1" applyAlignment="1" applyProtection="1">
      <alignment horizontal="center" vertical="center"/>
    </xf>
    <xf numFmtId="0" fontId="13" fillId="11" borderId="0" xfId="0" applyFont="1" applyFill="1" applyAlignment="1">
      <alignment horizontal="left"/>
    </xf>
    <xf numFmtId="2" fontId="30" fillId="4" borderId="0" xfId="3" applyNumberFormat="1" applyFont="1" applyFill="1" applyBorder="1" applyAlignment="1" applyProtection="1">
      <alignment horizontal="left"/>
    </xf>
    <xf numFmtId="0" fontId="13" fillId="4" borderId="0" xfId="0" applyFont="1" applyFill="1"/>
    <xf numFmtId="0" fontId="22" fillId="0" borderId="0" xfId="0" applyFont="1"/>
    <xf numFmtId="0" fontId="31" fillId="0" borderId="0" xfId="0" applyFont="1"/>
    <xf numFmtId="9" fontId="22" fillId="0" borderId="0" xfId="3" applyFont="1" applyFill="1"/>
    <xf numFmtId="9" fontId="31" fillId="0" borderId="0" xfId="3" applyFont="1" applyFill="1"/>
    <xf numFmtId="0" fontId="13" fillId="4" borderId="0" xfId="0" applyFont="1" applyFill="1" applyAlignment="1">
      <alignment horizontal="left"/>
    </xf>
    <xf numFmtId="0" fontId="32" fillId="4" borderId="0" xfId="0" applyFont="1" applyFill="1"/>
    <xf numFmtId="0" fontId="0" fillId="16" borderId="0" xfId="0" applyFill="1" applyAlignment="1">
      <alignment horizontal="left"/>
    </xf>
    <xf numFmtId="9" fontId="22" fillId="6" borderId="0" xfId="3" applyFont="1" applyFill="1" applyAlignment="1">
      <alignment horizontal="left"/>
    </xf>
    <xf numFmtId="0" fontId="13" fillId="4" borderId="0" xfId="0" applyFont="1" applyFill="1" applyAlignment="1">
      <alignment wrapText="1"/>
    </xf>
    <xf numFmtId="2" fontId="2" fillId="0" borderId="0" xfId="0" applyNumberFormat="1" applyFont="1" applyAlignment="1">
      <alignment horizontal="left"/>
    </xf>
    <xf numFmtId="0" fontId="0" fillId="6" borderId="0" xfId="0" applyFill="1" applyAlignment="1">
      <alignment horizontal="left"/>
    </xf>
    <xf numFmtId="0" fontId="32" fillId="16" borderId="0" xfId="0" applyFont="1" applyFill="1"/>
    <xf numFmtId="0" fontId="33" fillId="16" borderId="0" xfId="0" applyFont="1" applyFill="1"/>
    <xf numFmtId="9" fontId="22" fillId="16" borderId="0" xfId="3" applyFont="1" applyFill="1" applyBorder="1" applyAlignment="1">
      <alignment horizontal="left"/>
    </xf>
    <xf numFmtId="9" fontId="31" fillId="16" borderId="0" xfId="0" applyNumberFormat="1" applyFont="1" applyFill="1" applyAlignment="1">
      <alignment horizontal="left"/>
    </xf>
    <xf numFmtId="0" fontId="2" fillId="6" borderId="0" xfId="0" applyFont="1" applyFill="1" applyAlignment="1">
      <alignment horizontal="left"/>
    </xf>
    <xf numFmtId="0" fontId="7" fillId="7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8" fillId="7" borderId="0" xfId="0" applyFont="1" applyFill="1" applyAlignment="1">
      <alignment horizontal="left" vertical="center" indent="1"/>
    </xf>
    <xf numFmtId="0" fontId="7" fillId="7" borderId="0" xfId="0" applyFont="1" applyFill="1"/>
    <xf numFmtId="164" fontId="9" fillId="7" borderId="0" xfId="3" applyNumberFormat="1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>
      <alignment horizontal="left" wrapText="1"/>
    </xf>
    <xf numFmtId="0" fontId="3" fillId="4" borderId="2" xfId="0" applyFont="1" applyFill="1" applyBorder="1" applyAlignment="1">
      <alignment horizontal="left"/>
    </xf>
    <xf numFmtId="0" fontId="6" fillId="2" borderId="0" xfId="2" applyFill="1" applyAlignment="1">
      <alignment horizontal="left"/>
    </xf>
    <xf numFmtId="0" fontId="6" fillId="0" borderId="0" xfId="2" applyAlignment="1" applyProtection="1">
      <alignment horizontal="left"/>
      <protection locked="0"/>
    </xf>
    <xf numFmtId="0" fontId="6" fillId="0" borderId="0" xfId="2" applyAlignment="1">
      <alignment horizontal="left"/>
    </xf>
    <xf numFmtId="2" fontId="2" fillId="5" borderId="3" xfId="1" applyNumberFormat="1" applyFont="1" applyFill="1" applyBorder="1" applyAlignment="1" applyProtection="1">
      <alignment horizontal="left" wrapText="1"/>
    </xf>
    <xf numFmtId="10" fontId="2" fillId="5" borderId="3" xfId="0" applyNumberFormat="1" applyFont="1" applyFill="1" applyBorder="1" applyAlignment="1">
      <alignment horizontal="left" wrapText="1"/>
    </xf>
    <xf numFmtId="0" fontId="2" fillId="17" borderId="3" xfId="0" applyFont="1" applyFill="1" applyBorder="1" applyAlignment="1">
      <alignment horizontal="left" wrapText="1"/>
    </xf>
    <xf numFmtId="2" fontId="14" fillId="0" borderId="2" xfId="0" applyNumberFormat="1" applyFont="1" applyBorder="1" applyAlignment="1">
      <alignment horizontal="left" vertical="center" wrapText="1"/>
    </xf>
    <xf numFmtId="2" fontId="14" fillId="0" borderId="0" xfId="1" applyNumberFormat="1" applyFont="1" applyFill="1" applyAlignment="1">
      <alignment horizontal="left" vertical="center" wrapText="1"/>
    </xf>
    <xf numFmtId="0" fontId="2" fillId="6" borderId="0" xfId="0" applyFont="1" applyFill="1"/>
    <xf numFmtId="0" fontId="5" fillId="0" borderId="0" xfId="0" applyFont="1" applyAlignment="1">
      <alignment horizontal="center" vertical="center"/>
    </xf>
    <xf numFmtId="0" fontId="32" fillId="0" borderId="0" xfId="0" applyFont="1"/>
    <xf numFmtId="0" fontId="11" fillId="2" borderId="54" xfId="0" applyFont="1" applyFill="1" applyBorder="1" applyAlignment="1">
      <alignment horizontal="center" vertical="center" textRotation="90"/>
    </xf>
    <xf numFmtId="10" fontId="11" fillId="2" borderId="55" xfId="0" applyNumberFormat="1" applyFont="1" applyFill="1" applyBorder="1" applyAlignment="1">
      <alignment horizontal="center" vertical="center"/>
    </xf>
    <xf numFmtId="0" fontId="36" fillId="2" borderId="55" xfId="0" applyFont="1" applyFill="1" applyBorder="1" applyAlignment="1">
      <alignment horizontal="center" vertical="center"/>
    </xf>
    <xf numFmtId="0" fontId="36" fillId="2" borderId="56" xfId="0" applyFont="1" applyFill="1" applyBorder="1" applyAlignment="1">
      <alignment horizontal="center" vertical="center"/>
    </xf>
    <xf numFmtId="10" fontId="22" fillId="4" borderId="37" xfId="0" applyNumberFormat="1" applyFont="1" applyFill="1" applyBorder="1" applyAlignment="1">
      <alignment horizontal="center" vertical="center"/>
    </xf>
    <xf numFmtId="9" fontId="22" fillId="4" borderId="37" xfId="3" applyFont="1" applyFill="1" applyBorder="1" applyAlignment="1">
      <alignment horizontal="center" vertical="center"/>
    </xf>
    <xf numFmtId="0" fontId="22" fillId="4" borderId="37" xfId="0" applyFont="1" applyFill="1" applyBorder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9" fontId="22" fillId="0" borderId="37" xfId="3" applyFont="1" applyFill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10" fontId="22" fillId="0" borderId="37" xfId="0" applyNumberFormat="1" applyFont="1" applyBorder="1" applyAlignment="1">
      <alignment horizontal="center" vertical="center"/>
    </xf>
    <xf numFmtId="0" fontId="22" fillId="0" borderId="0" xfId="0" applyFont="1" applyAlignment="1">
      <alignment horizontal="left"/>
    </xf>
    <xf numFmtId="10" fontId="22" fillId="0" borderId="0" xfId="0" applyNumberFormat="1" applyFont="1" applyAlignment="1">
      <alignment horizontal="left"/>
    </xf>
    <xf numFmtId="9" fontId="22" fillId="0" borderId="0" xfId="3" applyFont="1" applyFill="1" applyBorder="1" applyAlignment="1">
      <alignment horizontal="left"/>
    </xf>
    <xf numFmtId="0" fontId="31" fillId="0" borderId="0" xfId="0" applyFont="1" applyProtection="1">
      <protection locked="0"/>
    </xf>
    <xf numFmtId="9" fontId="5" fillId="0" borderId="0" xfId="3" applyFont="1" applyAlignment="1">
      <alignment horizontal="center" vertical="center"/>
    </xf>
    <xf numFmtId="0" fontId="36" fillId="2" borderId="55" xfId="0" applyFont="1" applyFill="1" applyBorder="1" applyAlignment="1" applyProtection="1">
      <alignment horizontal="center" vertical="center"/>
      <protection locked="0"/>
    </xf>
    <xf numFmtId="0" fontId="36" fillId="2" borderId="56" xfId="0" applyFont="1" applyFill="1" applyBorder="1" applyAlignment="1" applyProtection="1">
      <alignment horizontal="center" vertical="center"/>
      <protection locked="0"/>
    </xf>
    <xf numFmtId="2" fontId="2" fillId="5" borderId="3" xfId="0" applyNumberFormat="1" applyFont="1" applyFill="1" applyBorder="1" applyAlignment="1" applyProtection="1">
      <alignment horizontal="left" wrapText="1"/>
      <protection locked="0"/>
    </xf>
    <xf numFmtId="0" fontId="2" fillId="5" borderId="0" xfId="0" applyFont="1" applyFill="1"/>
    <xf numFmtId="0" fontId="2" fillId="5" borderId="0" xfId="0" applyFont="1" applyFill="1" applyAlignment="1">
      <alignment horizontal="left"/>
    </xf>
    <xf numFmtId="14" fontId="2" fillId="5" borderId="3" xfId="0" applyNumberFormat="1" applyFont="1" applyFill="1" applyBorder="1" applyAlignment="1" applyProtection="1">
      <alignment horizontal="left" wrapText="1"/>
      <protection locked="0"/>
    </xf>
    <xf numFmtId="0" fontId="2" fillId="5" borderId="3" xfId="0" applyFont="1" applyFill="1" applyBorder="1" applyAlignment="1">
      <alignment horizontal="left" wrapText="1"/>
    </xf>
    <xf numFmtId="0" fontId="2" fillId="0" borderId="0" xfId="0" quotePrefix="1" applyFont="1" applyAlignment="1">
      <alignment horizontal="left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9" fontId="10" fillId="0" borderId="0" xfId="0" applyNumberFormat="1" applyFont="1"/>
    <xf numFmtId="9" fontId="2" fillId="0" borderId="0" xfId="3" applyFont="1"/>
    <xf numFmtId="9" fontId="2" fillId="0" borderId="0" xfId="0" applyNumberFormat="1" applyFont="1"/>
    <xf numFmtId="0" fontId="2" fillId="10" borderId="0" xfId="0" applyFont="1" applyFill="1" applyAlignment="1">
      <alignment horizontal="left"/>
    </xf>
    <xf numFmtId="2" fontId="2" fillId="7" borderId="3" xfId="0" applyNumberFormat="1" applyFont="1" applyFill="1" applyBorder="1" applyAlignment="1" applyProtection="1">
      <alignment horizontal="left" wrapText="1"/>
      <protection locked="0"/>
    </xf>
    <xf numFmtId="2" fontId="14" fillId="0" borderId="3" xfId="0" applyNumberFormat="1" applyFont="1" applyBorder="1" applyAlignment="1" applyProtection="1">
      <alignment horizontal="left"/>
      <protection locked="0"/>
    </xf>
    <xf numFmtId="0" fontId="2" fillId="17" borderId="3" xfId="0" quotePrefix="1" applyFont="1" applyFill="1" applyBorder="1" applyAlignment="1">
      <alignment horizontal="left" wrapText="1"/>
    </xf>
    <xf numFmtId="44" fontId="2" fillId="2" borderId="0" xfId="1" applyFont="1" applyFill="1"/>
    <xf numFmtId="44" fontId="2" fillId="3" borderId="0" xfId="1" applyFont="1" applyFill="1"/>
    <xf numFmtId="44" fontId="2" fillId="0" borderId="0" xfId="1" applyFont="1"/>
    <xf numFmtId="44" fontId="3" fillId="4" borderId="5" xfId="1" applyFont="1" applyFill="1" applyBorder="1" applyAlignment="1">
      <alignment horizontal="left" vertical="center"/>
    </xf>
    <xf numFmtId="44" fontId="2" fillId="0" borderId="3" xfId="1" quotePrefix="1" applyFont="1" applyBorder="1" applyAlignment="1" applyProtection="1">
      <alignment horizontal="left" wrapText="1"/>
      <protection locked="0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quotePrefix="1" applyFont="1" applyAlignment="1" applyProtection="1">
      <alignment horizontal="left"/>
      <protection locked="0"/>
    </xf>
    <xf numFmtId="14" fontId="2" fillId="19" borderId="3" xfId="0" applyNumberFormat="1" applyFont="1" applyFill="1" applyBorder="1" applyAlignment="1" applyProtection="1">
      <alignment horizontal="left" wrapText="1"/>
      <protection locked="0"/>
    </xf>
    <xf numFmtId="44" fontId="2" fillId="0" borderId="3" xfId="1" applyFont="1" applyBorder="1" applyAlignment="1" applyProtection="1">
      <alignment horizontal="left" wrapText="1"/>
      <protection locked="0"/>
    </xf>
    <xf numFmtId="0" fontId="2" fillId="0" borderId="3" xfId="0" quotePrefix="1" applyFont="1" applyBorder="1" applyAlignment="1" applyProtection="1">
      <alignment horizontal="left" wrapText="1"/>
      <protection locked="0"/>
    </xf>
    <xf numFmtId="0" fontId="2" fillId="0" borderId="0" xfId="0" quotePrefix="1" applyFont="1" applyAlignment="1">
      <alignment horizontal="left" wrapText="1"/>
    </xf>
    <xf numFmtId="0" fontId="37" fillId="0" borderId="0" xfId="0" applyFont="1" applyAlignment="1">
      <alignment wrapText="1"/>
    </xf>
    <xf numFmtId="0" fontId="39" fillId="0" borderId="0" xfId="0" applyFont="1" applyAlignment="1">
      <alignment horizontal="center" vertical="center" wrapText="1"/>
    </xf>
    <xf numFmtId="0" fontId="0" fillId="0" borderId="17" xfId="0" applyBorder="1" applyAlignment="1" applyProtection="1">
      <alignment horizontal="left" vertical="center"/>
      <protection locked="0"/>
    </xf>
    <xf numFmtId="0" fontId="13" fillId="3" borderId="28" xfId="0" applyFont="1" applyFill="1" applyBorder="1" applyAlignment="1" applyProtection="1">
      <alignment horizontal="center" vertical="center"/>
      <protection locked="0"/>
    </xf>
    <xf numFmtId="0" fontId="13" fillId="3" borderId="3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5" fontId="13" fillId="7" borderId="29" xfId="0" applyNumberFormat="1" applyFont="1" applyFill="1" applyBorder="1" applyAlignment="1" applyProtection="1">
      <alignment horizontal="center" vertical="center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32" xfId="0" applyFont="1" applyBorder="1" applyAlignment="1" applyProtection="1">
      <alignment horizontal="center" vertical="center"/>
      <protection locked="0"/>
    </xf>
    <xf numFmtId="0" fontId="13" fillId="7" borderId="29" xfId="0" applyFont="1" applyFill="1" applyBorder="1" applyAlignment="1" applyProtection="1">
      <alignment horizontal="center" vertical="center" wrapText="1"/>
      <protection locked="0"/>
    </xf>
    <xf numFmtId="0" fontId="13" fillId="7" borderId="33" xfId="0" applyFont="1" applyFill="1" applyBorder="1" applyAlignment="1" applyProtection="1">
      <alignment horizontal="center" vertical="center" wrapText="1"/>
      <protection locked="0"/>
    </xf>
    <xf numFmtId="0" fontId="13" fillId="7" borderId="29" xfId="0" applyFont="1" applyFill="1" applyBorder="1" applyAlignment="1" applyProtection="1">
      <alignment horizontal="center" vertical="center"/>
      <protection locked="0"/>
    </xf>
    <xf numFmtId="0" fontId="13" fillId="7" borderId="33" xfId="0" applyFont="1" applyFill="1" applyBorder="1" applyAlignment="1" applyProtection="1">
      <alignment horizontal="center" vertical="center"/>
      <protection locked="0"/>
    </xf>
    <xf numFmtId="0" fontId="13" fillId="7" borderId="30" xfId="0" applyFont="1" applyFill="1" applyBorder="1" applyAlignment="1" applyProtection="1">
      <alignment horizontal="center" vertical="center" wrapText="1"/>
      <protection locked="0"/>
    </xf>
    <xf numFmtId="0" fontId="13" fillId="7" borderId="34" xfId="0" applyFont="1" applyFill="1" applyBorder="1" applyAlignment="1" applyProtection="1">
      <alignment horizontal="center" vertical="center" wrapText="1"/>
      <protection locked="0"/>
    </xf>
    <xf numFmtId="0" fontId="13" fillId="7" borderId="31" xfId="0" applyFont="1" applyFill="1" applyBorder="1" applyAlignment="1" applyProtection="1">
      <alignment horizontal="center" vertical="center"/>
      <protection locked="0"/>
    </xf>
    <xf numFmtId="165" fontId="12" fillId="0" borderId="0" xfId="0" applyNumberFormat="1" applyFont="1" applyAlignment="1" applyProtection="1">
      <alignment horizontal="center" vertical="center"/>
      <protection locked="0"/>
    </xf>
    <xf numFmtId="165" fontId="12" fillId="0" borderId="12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left" vertical="top"/>
      <protection locked="0"/>
    </xf>
    <xf numFmtId="0" fontId="23" fillId="0" borderId="12" xfId="0" applyFont="1" applyBorder="1" applyAlignment="1" applyProtection="1">
      <alignment horizontal="left" vertical="top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65" fontId="0" fillId="2" borderId="0" xfId="0" applyNumberFormat="1" applyFill="1" applyAlignment="1">
      <alignment horizontal="center" vertical="center"/>
    </xf>
    <xf numFmtId="165" fontId="0" fillId="2" borderId="12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0" fontId="13" fillId="0" borderId="33" xfId="0" applyFont="1" applyBorder="1" applyAlignment="1" applyProtection="1">
      <alignment horizontal="left" vertical="center"/>
      <protection locked="0"/>
    </xf>
    <xf numFmtId="0" fontId="0" fillId="0" borderId="33" xfId="0" applyBorder="1" applyAlignment="1" applyProtection="1">
      <alignment horizontal="left" vertical="center"/>
      <protection locked="0"/>
    </xf>
    <xf numFmtId="0" fontId="0" fillId="0" borderId="35" xfId="0" applyBorder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12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165" fontId="0" fillId="0" borderId="9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0" fontId="26" fillId="0" borderId="13" xfId="0" applyFont="1" applyBorder="1" applyAlignment="1" applyProtection="1">
      <alignment horizontal="left" vertical="center"/>
      <protection locked="0"/>
    </xf>
    <xf numFmtId="0" fontId="26" fillId="0" borderId="14" xfId="0" applyFont="1" applyBorder="1" applyAlignment="1" applyProtection="1">
      <alignment horizontal="left" vertical="center"/>
      <protection locked="0"/>
    </xf>
    <xf numFmtId="0" fontId="26" fillId="0" borderId="15" xfId="0" applyFont="1" applyBorder="1" applyAlignment="1" applyProtection="1">
      <alignment horizontal="left" vertical="center"/>
      <protection locked="0"/>
    </xf>
    <xf numFmtId="0" fontId="13" fillId="0" borderId="46" xfId="0" applyFont="1" applyBorder="1" applyAlignment="1" applyProtection="1">
      <alignment horizontal="left" vertical="center"/>
      <protection locked="0"/>
    </xf>
    <xf numFmtId="0" fontId="13" fillId="0" borderId="45" xfId="0" applyFont="1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left" vertical="center"/>
      <protection locked="0"/>
    </xf>
    <xf numFmtId="0" fontId="0" fillId="0" borderId="44" xfId="0" applyBorder="1" applyAlignment="1" applyProtection="1">
      <alignment horizontal="left" vertical="center"/>
      <protection locked="0"/>
    </xf>
    <xf numFmtId="0" fontId="0" fillId="7" borderId="19" xfId="0" applyFill="1" applyBorder="1" applyAlignment="1">
      <alignment horizontal="left" vertical="center"/>
    </xf>
    <xf numFmtId="0" fontId="0" fillId="7" borderId="20" xfId="0" applyFill="1" applyBorder="1" applyAlignment="1">
      <alignment horizontal="left" vertical="center"/>
    </xf>
    <xf numFmtId="0" fontId="20" fillId="0" borderId="19" xfId="0" applyFont="1" applyBorder="1" applyAlignment="1" applyProtection="1">
      <alignment horizontal="left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left" vertical="center"/>
      <protection locked="0"/>
    </xf>
    <xf numFmtId="0" fontId="35" fillId="18" borderId="0" xfId="0" applyFont="1" applyFill="1" applyAlignment="1">
      <alignment horizontal="center" vertical="center"/>
    </xf>
    <xf numFmtId="0" fontId="34" fillId="2" borderId="53" xfId="0" applyFont="1" applyFill="1" applyBorder="1" applyAlignment="1">
      <alignment horizontal="center" vertical="center"/>
    </xf>
    <xf numFmtId="0" fontId="22" fillId="0" borderId="37" xfId="0" applyFont="1" applyBorder="1" applyAlignment="1">
      <alignment horizontal="left" vertical="center"/>
    </xf>
    <xf numFmtId="9" fontId="22" fillId="0" borderId="37" xfId="0" applyNumberFormat="1" applyFont="1" applyBorder="1" applyAlignment="1">
      <alignment horizontal="left" vertical="center"/>
    </xf>
    <xf numFmtId="10" fontId="11" fillId="2" borderId="55" xfId="0" applyNumberFormat="1" applyFont="1" applyFill="1" applyBorder="1" applyAlignment="1">
      <alignment horizontal="center" vertical="center"/>
    </xf>
    <xf numFmtId="0" fontId="32" fillId="11" borderId="37" xfId="0" applyFont="1" applyFill="1" applyBorder="1" applyAlignment="1">
      <alignment horizontal="center" vertical="center" textRotation="90"/>
    </xf>
    <xf numFmtId="10" fontId="22" fillId="0" borderId="37" xfId="0" quotePrefix="1" applyNumberFormat="1" applyFont="1" applyBorder="1" applyAlignment="1">
      <alignment horizontal="center" vertical="center" wrapText="1"/>
    </xf>
    <xf numFmtId="10" fontId="22" fillId="0" borderId="37" xfId="0" applyNumberFormat="1" applyFont="1" applyBorder="1" applyAlignment="1">
      <alignment horizontal="center" vertical="center" wrapText="1"/>
    </xf>
    <xf numFmtId="0" fontId="34" fillId="2" borderId="50" xfId="0" applyFont="1" applyFill="1" applyBorder="1" applyAlignment="1">
      <alignment horizontal="center" vertical="center"/>
    </xf>
    <xf numFmtId="0" fontId="22" fillId="0" borderId="51" xfId="0" applyFont="1" applyBorder="1" applyAlignment="1">
      <alignment horizontal="left" vertical="center"/>
    </xf>
    <xf numFmtId="0" fontId="22" fillId="0" borderId="19" xfId="0" applyFont="1" applyBorder="1" applyAlignment="1">
      <alignment horizontal="left" vertical="center"/>
    </xf>
    <xf numFmtId="0" fontId="22" fillId="0" borderId="52" xfId="0" applyFont="1" applyBorder="1" applyAlignment="1">
      <alignment horizontal="left" vertical="center"/>
    </xf>
    <xf numFmtId="14" fontId="31" fillId="0" borderId="37" xfId="0" quotePrefix="1" applyNumberFormat="1" applyFont="1" applyBorder="1" applyAlignment="1" applyProtection="1">
      <alignment horizontal="center" vertical="center" textRotation="90"/>
      <protection locked="0"/>
    </xf>
    <xf numFmtId="14" fontId="31" fillId="0" borderId="37" xfId="0" applyNumberFormat="1" applyFont="1" applyBorder="1" applyAlignment="1" applyProtection="1">
      <alignment horizontal="center" vertical="center" textRotation="90"/>
      <protection locked="0"/>
    </xf>
    <xf numFmtId="0" fontId="31" fillId="0" borderId="37" xfId="0" quotePrefix="1" applyFont="1" applyBorder="1" applyAlignment="1" applyProtection="1">
      <alignment horizontal="center" vertical="center"/>
      <protection locked="0"/>
    </xf>
    <xf numFmtId="0" fontId="31" fillId="0" borderId="37" xfId="0" applyFont="1" applyBorder="1" applyAlignment="1" applyProtection="1">
      <alignment horizontal="center" vertical="center"/>
      <protection locked="0"/>
    </xf>
    <xf numFmtId="0" fontId="15" fillId="20" borderId="8" xfId="0" applyFont="1" applyFill="1" applyBorder="1" applyAlignment="1" applyProtection="1">
      <alignment vertical="center"/>
      <protection locked="0"/>
    </xf>
    <xf numFmtId="0" fontId="15" fillId="20" borderId="9" xfId="0" applyFont="1" applyFill="1" applyBorder="1" applyAlignment="1" applyProtection="1">
      <alignment vertical="center"/>
      <protection locked="0"/>
    </xf>
    <xf numFmtId="0" fontId="15" fillId="20" borderId="9" xfId="0" applyFont="1" applyFill="1" applyBorder="1" applyAlignment="1" applyProtection="1">
      <alignment horizontal="center" vertical="center"/>
      <protection locked="0"/>
    </xf>
    <xf numFmtId="0" fontId="15" fillId="20" borderId="9" xfId="0" applyFont="1" applyFill="1" applyBorder="1" applyAlignment="1" applyProtection="1">
      <alignment horizontal="center" vertical="center"/>
      <protection locked="0"/>
    </xf>
    <xf numFmtId="0" fontId="11" fillId="20" borderId="9" xfId="0" applyFont="1" applyFill="1" applyBorder="1" applyAlignment="1" applyProtection="1">
      <alignment vertical="center"/>
      <protection locked="0"/>
    </xf>
    <xf numFmtId="0" fontId="16" fillId="20" borderId="9" xfId="0" applyFont="1" applyFill="1" applyBorder="1" applyAlignment="1" applyProtection="1">
      <alignment horizontal="center" vertical="center"/>
      <protection locked="0"/>
    </xf>
    <xf numFmtId="0" fontId="17" fillId="20" borderId="9" xfId="0" applyFont="1" applyFill="1" applyBorder="1" applyAlignment="1" applyProtection="1">
      <alignment horizontal="center" vertical="center"/>
      <protection locked="0"/>
    </xf>
    <xf numFmtId="0" fontId="16" fillId="20" borderId="9" xfId="0" applyFont="1" applyFill="1" applyBorder="1" applyAlignment="1" applyProtection="1">
      <alignment vertical="center"/>
      <protection locked="0"/>
    </xf>
    <xf numFmtId="0" fontId="7" fillId="21" borderId="9" xfId="0" applyFont="1" applyFill="1" applyBorder="1" applyAlignment="1" applyProtection="1">
      <alignment horizontal="center" vertical="center"/>
      <protection locked="0"/>
    </xf>
    <xf numFmtId="0" fontId="7" fillId="21" borderId="10" xfId="0" applyFont="1" applyFill="1" applyBorder="1" applyAlignment="1" applyProtection="1">
      <alignment horizontal="center" vertical="center"/>
      <protection locked="0"/>
    </xf>
    <xf numFmtId="0" fontId="15" fillId="20" borderId="11" xfId="0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 vertical="center"/>
      <protection locked="0"/>
    </xf>
    <xf numFmtId="165" fontId="17" fillId="20" borderId="0" xfId="0" applyNumberFormat="1" applyFont="1" applyFill="1" applyAlignment="1" applyProtection="1">
      <alignment horizontal="center" vertical="center"/>
      <protection locked="0"/>
    </xf>
    <xf numFmtId="14" fontId="17" fillId="20" borderId="0" xfId="0" applyNumberFormat="1" applyFont="1" applyFill="1" applyAlignment="1" applyProtection="1">
      <alignment horizontal="center" vertical="center"/>
      <protection locked="0"/>
    </xf>
    <xf numFmtId="0" fontId="17" fillId="20" borderId="0" xfId="0" applyFont="1" applyFill="1" applyAlignment="1" applyProtection="1">
      <alignment horizontal="center" vertical="center"/>
      <protection locked="0"/>
    </xf>
    <xf numFmtId="0" fontId="17" fillId="21" borderId="0" xfId="0" quotePrefix="1" applyFont="1" applyFill="1" applyAlignment="1">
      <alignment horizontal="center" vertical="center"/>
    </xf>
    <xf numFmtId="0" fontId="17" fillId="21" borderId="12" xfId="0" quotePrefix="1" applyFont="1" applyFill="1" applyBorder="1" applyAlignment="1">
      <alignment horizontal="center" vertical="center"/>
    </xf>
    <xf numFmtId="165" fontId="17" fillId="20" borderId="0" xfId="0" applyNumberFormat="1" applyFont="1" applyFill="1" applyAlignment="1" applyProtection="1">
      <alignment vertical="center"/>
      <protection locked="0"/>
    </xf>
    <xf numFmtId="14" fontId="18" fillId="20" borderId="0" xfId="0" applyNumberFormat="1" applyFont="1" applyFill="1" applyAlignment="1" applyProtection="1">
      <alignment vertical="center"/>
      <protection locked="0"/>
    </xf>
    <xf numFmtId="14" fontId="16" fillId="20" borderId="0" xfId="0" applyNumberFormat="1" applyFont="1" applyFill="1" applyAlignment="1" applyProtection="1">
      <alignment vertical="center"/>
      <protection locked="0"/>
    </xf>
    <xf numFmtId="0" fontId="17" fillId="20" borderId="0" xfId="0" applyFont="1" applyFill="1" applyAlignment="1" applyProtection="1">
      <alignment vertical="center"/>
      <protection locked="0"/>
    </xf>
    <xf numFmtId="0" fontId="17" fillId="21" borderId="0" xfId="0" quotePrefix="1" applyFont="1" applyFill="1" applyAlignment="1">
      <alignment vertical="center"/>
    </xf>
    <xf numFmtId="0" fontId="17" fillId="21" borderId="12" xfId="0" quotePrefix="1" applyFont="1" applyFill="1" applyBorder="1" applyAlignment="1">
      <alignment vertical="center"/>
    </xf>
    <xf numFmtId="0" fontId="15" fillId="20" borderId="11" xfId="0" applyFont="1" applyFill="1" applyBorder="1" applyAlignment="1" applyProtection="1">
      <alignment vertical="center"/>
      <protection locked="0"/>
    </xf>
    <xf numFmtId="0" fontId="15" fillId="20" borderId="0" xfId="0" applyFont="1" applyFill="1" applyAlignment="1" applyProtection="1">
      <alignment vertical="center"/>
      <protection locked="0"/>
    </xf>
    <xf numFmtId="165" fontId="16" fillId="20" borderId="0" xfId="0" applyNumberFormat="1" applyFont="1" applyFill="1" applyAlignment="1" applyProtection="1">
      <alignment horizontal="center" vertical="center"/>
      <protection locked="0"/>
    </xf>
    <xf numFmtId="0" fontId="16" fillId="20" borderId="0" xfId="0" applyFont="1" applyFill="1" applyAlignment="1" applyProtection="1">
      <alignment vertical="center"/>
      <protection locked="0"/>
    </xf>
    <xf numFmtId="0" fontId="16" fillId="20" borderId="12" xfId="0" applyFont="1" applyFill="1" applyBorder="1" applyAlignment="1" applyProtection="1">
      <alignment vertical="center"/>
      <protection locked="0"/>
    </xf>
    <xf numFmtId="0" fontId="19" fillId="22" borderId="8" xfId="0" applyFont="1" applyFill="1" applyBorder="1" applyAlignment="1" applyProtection="1">
      <alignment horizontal="center" vertical="center"/>
      <protection locked="0"/>
    </xf>
    <xf numFmtId="0" fontId="19" fillId="22" borderId="9" xfId="0" applyFont="1" applyFill="1" applyBorder="1" applyAlignment="1" applyProtection="1">
      <alignment horizontal="center" vertical="center"/>
      <protection locked="0"/>
    </xf>
    <xf numFmtId="0" fontId="19" fillId="22" borderId="10" xfId="0" applyFont="1" applyFill="1" applyBorder="1" applyAlignment="1" applyProtection="1">
      <alignment horizontal="center" vertical="center"/>
      <protection locked="0"/>
    </xf>
    <xf numFmtId="0" fontId="19" fillId="22" borderId="13" xfId="0" applyFont="1" applyFill="1" applyBorder="1" applyAlignment="1" applyProtection="1">
      <alignment horizontal="center" vertical="center"/>
      <protection locked="0"/>
    </xf>
    <xf numFmtId="0" fontId="19" fillId="22" borderId="14" xfId="0" applyFont="1" applyFill="1" applyBorder="1" applyAlignment="1" applyProtection="1">
      <alignment horizontal="center" vertical="center"/>
      <protection locked="0"/>
    </xf>
    <xf numFmtId="0" fontId="19" fillId="22" borderId="15" xfId="0" applyFont="1" applyFill="1" applyBorder="1" applyAlignment="1" applyProtection="1">
      <alignment horizontal="center" vertical="center"/>
      <protection locked="0"/>
    </xf>
    <xf numFmtId="0" fontId="17" fillId="21" borderId="0" xfId="0" quotePrefix="1" applyFont="1" applyFill="1" applyBorder="1" applyAlignment="1">
      <alignment horizontal="center" vertical="center"/>
    </xf>
    <xf numFmtId="0" fontId="17" fillId="20" borderId="0" xfId="0" applyFont="1" applyFill="1" applyBorder="1" applyAlignment="1" applyProtection="1">
      <alignment horizontal="center" vertical="center"/>
      <protection locked="0"/>
    </xf>
    <xf numFmtId="14" fontId="12" fillId="23" borderId="37" xfId="0" quotePrefix="1" applyNumberFormat="1" applyFont="1" applyFill="1" applyBorder="1" applyAlignment="1" applyProtection="1">
      <alignment horizontal="center" vertical="center" wrapText="1"/>
      <protection locked="0"/>
    </xf>
    <xf numFmtId="165" fontId="0" fillId="23" borderId="38" xfId="0" applyNumberFormat="1" applyFill="1" applyBorder="1" applyAlignment="1">
      <alignment horizontal="center" vertical="center"/>
    </xf>
    <xf numFmtId="165" fontId="0" fillId="23" borderId="37" xfId="0" applyNumberFormat="1" applyFill="1" applyBorder="1" applyAlignment="1">
      <alignment horizontal="center" vertical="center"/>
    </xf>
    <xf numFmtId="165" fontId="0" fillId="23" borderId="40" xfId="0" applyNumberFormat="1" applyFill="1" applyBorder="1" applyAlignment="1">
      <alignment horizontal="center" vertical="center"/>
    </xf>
    <xf numFmtId="0" fontId="21" fillId="0" borderId="19" xfId="0" applyFont="1" applyBorder="1" applyAlignment="1" applyProtection="1">
      <alignment horizontal="left" vertical="center"/>
      <protection locked="0"/>
    </xf>
  </cellXfs>
  <cellStyles count="4">
    <cellStyle name="Hiperlink" xfId="2" builtinId="8"/>
    <cellStyle name="Moeda" xfId="1" builtinId="4"/>
    <cellStyle name="Normal" xfId="0" builtinId="0"/>
    <cellStyle name="Porcentagem" xfId="3" builtinId="5"/>
  </cellStyles>
  <dxfs count="15"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theme="0"/>
          <bgColor theme="9" tint="0.79998168889431442"/>
        </patternFill>
      </fill>
    </dxf>
    <dxf>
      <fill>
        <patternFill>
          <fgColor theme="9" tint="0.79995117038483843"/>
          <bgColor theme="8" tint="0.79998168889431442"/>
        </patternFill>
      </fill>
    </dxf>
    <dxf>
      <fill>
        <patternFill>
          <fgColor theme="9" tint="0.79992065187536243"/>
          <bgColor rgb="FFFFFF00"/>
        </patternFill>
      </fill>
    </dxf>
    <dxf>
      <fill>
        <patternFill>
          <fgColor theme="9" tint="0.79989013336588644"/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3" tint="0.89996032593768116"/>
        </patternFill>
      </fill>
    </dxf>
    <dxf>
      <font>
        <color theme="1"/>
      </font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C8C8F0"/>
      <color rgb="FF78C8F0"/>
      <color rgb="FF1F3855"/>
      <color rgb="FF01FFA5"/>
      <color rgb="FFFCF6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INDICADORES!$B$8</c:f>
              <c:strCache>
                <c:ptCount val="1"/>
                <c:pt idx="0">
                  <c:v>TOTAL DE 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INDICADORES!$C$8:$N$8</c:f>
              <c:numCache>
                <c:formatCode>General</c:formatCode>
                <c:ptCount val="12"/>
                <c:pt idx="0">
                  <c:v>15</c:v>
                </c:pt>
                <c:pt idx="1">
                  <c:v>9</c:v>
                </c:pt>
                <c:pt idx="2">
                  <c:v>23</c:v>
                </c:pt>
                <c:pt idx="3">
                  <c:v>30</c:v>
                </c:pt>
                <c:pt idx="4">
                  <c:v>26</c:v>
                </c:pt>
                <c:pt idx="5">
                  <c:v>32</c:v>
                </c:pt>
                <c:pt idx="6">
                  <c:v>48</c:v>
                </c:pt>
                <c:pt idx="7">
                  <c:v>27</c:v>
                </c:pt>
                <c:pt idx="8">
                  <c:v>39</c:v>
                </c:pt>
                <c:pt idx="9">
                  <c:v>18</c:v>
                </c:pt>
                <c:pt idx="10">
                  <c:v>14</c:v>
                </c:pt>
                <c:pt idx="11">
                  <c:v>25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Lit>
                    <c:ptCount val="12"/>
                    <c:pt idx="0">
                      <c:v>JANEIRO</c:v>
                    </c:pt>
                    <c:pt idx="1">
                      <c:v>FEVEREIRO</c:v>
                    </c:pt>
                    <c:pt idx="2">
                      <c:v>MARÇO</c:v>
                    </c:pt>
                    <c:pt idx="3">
                      <c:v>ABRIL</c:v>
                    </c:pt>
                    <c:pt idx="4">
                      <c:v>MAIO</c:v>
                    </c:pt>
                    <c:pt idx="5">
                      <c:v>JUNHO</c:v>
                    </c:pt>
                    <c:pt idx="6">
                      <c:v>JULHO</c:v>
                    </c:pt>
                    <c:pt idx="7">
                      <c:v>AGOSTO</c:v>
                    </c:pt>
                    <c:pt idx="8">
                      <c:v>SETEMBRO</c:v>
                    </c:pt>
                    <c:pt idx="9">
                      <c:v>OUTUBRO</c:v>
                    </c:pt>
                    <c:pt idx="10">
                      <c:v>NOVEMBRO</c:v>
                    </c:pt>
                    <c:pt idx="11">
                      <c:v>DEZEMBRO</c:v>
                    </c:pt>
                  </c:strLit>
                </c15:cat>
              </c15:filteredCategoryTitle>
            </c:ext>
            <c:ext xmlns:c16="http://schemas.microsoft.com/office/drawing/2014/chart" uri="{C3380CC4-5D6E-409C-BE32-E72D297353CC}">
              <c16:uniqueId val="{00000000-C5E6-4CD8-97F8-86BDEB295F34}"/>
            </c:ext>
          </c:extLst>
        </c:ser>
        <c:ser>
          <c:idx val="1"/>
          <c:order val="1"/>
          <c:tx>
            <c:strRef>
              <c:f>INDICADORES!$B$10</c:f>
              <c:strCache>
                <c:ptCount val="1"/>
                <c:pt idx="0">
                  <c:v>ENTREGUE NO PRAZO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INDICADORES!$C$9:$N$9</c:f>
              <c:numCache>
                <c:formatCode>General</c:formatCode>
                <c:ptCount val="12"/>
                <c:pt idx="0">
                  <c:v>15</c:v>
                </c:pt>
                <c:pt idx="1">
                  <c:v>9</c:v>
                </c:pt>
                <c:pt idx="2">
                  <c:v>23</c:v>
                </c:pt>
                <c:pt idx="3">
                  <c:v>30</c:v>
                </c:pt>
                <c:pt idx="4">
                  <c:v>26</c:v>
                </c:pt>
                <c:pt idx="5">
                  <c:v>32</c:v>
                </c:pt>
                <c:pt idx="6">
                  <c:v>45</c:v>
                </c:pt>
                <c:pt idx="7">
                  <c:v>27</c:v>
                </c:pt>
                <c:pt idx="8">
                  <c:v>39</c:v>
                </c:pt>
                <c:pt idx="9">
                  <c:v>17</c:v>
                </c:pt>
                <c:pt idx="10">
                  <c:v>14</c:v>
                </c:pt>
                <c:pt idx="11">
                  <c:v>19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Lit>
                    <c:ptCount val="12"/>
                    <c:pt idx="0">
                      <c:v>JANEIRO</c:v>
                    </c:pt>
                    <c:pt idx="1">
                      <c:v>FEVEREIRO</c:v>
                    </c:pt>
                    <c:pt idx="2">
                      <c:v>MARÇO</c:v>
                    </c:pt>
                    <c:pt idx="3">
                      <c:v>ABRIL</c:v>
                    </c:pt>
                    <c:pt idx="4">
                      <c:v>MAIO</c:v>
                    </c:pt>
                    <c:pt idx="5">
                      <c:v>JUNHO</c:v>
                    </c:pt>
                    <c:pt idx="6">
                      <c:v>JULHO</c:v>
                    </c:pt>
                    <c:pt idx="7">
                      <c:v>AGOSTO</c:v>
                    </c:pt>
                    <c:pt idx="8">
                      <c:v>SETEMBRO</c:v>
                    </c:pt>
                    <c:pt idx="9">
                      <c:v>OUTUBRO</c:v>
                    </c:pt>
                    <c:pt idx="10">
                      <c:v>NOVEMBRO</c:v>
                    </c:pt>
                    <c:pt idx="11">
                      <c:v>DEZEMBRO</c:v>
                    </c:pt>
                  </c:strLit>
                </c15:cat>
              </c15:filteredCategoryTitle>
            </c:ext>
            <c:ext xmlns:c16="http://schemas.microsoft.com/office/drawing/2014/chart" uri="{C3380CC4-5D6E-409C-BE32-E72D297353CC}">
              <c16:uniqueId val="{00000001-C5E6-4CD8-97F8-86BDEB295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71003632"/>
        <c:axId val="571003304"/>
      </c:barChart>
      <c:catAx>
        <c:axId val="57100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003304"/>
        <c:crosses val="autoZero"/>
        <c:auto val="1"/>
        <c:lblAlgn val="ctr"/>
        <c:lblOffset val="100"/>
        <c:noMultiLvlLbl val="0"/>
      </c:catAx>
      <c:valAx>
        <c:axId val="571003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7100363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INDICADORES!$B$8</c:f>
              <c:strCache>
                <c:ptCount val="1"/>
                <c:pt idx="0">
                  <c:v>TOTAL DE 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INDICADORES!$C$8:$N$8</c:f>
              <c:numCache>
                <c:formatCode>General</c:formatCode>
                <c:ptCount val="12"/>
                <c:pt idx="0">
                  <c:v>15</c:v>
                </c:pt>
                <c:pt idx="1">
                  <c:v>9</c:v>
                </c:pt>
                <c:pt idx="2">
                  <c:v>23</c:v>
                </c:pt>
                <c:pt idx="3">
                  <c:v>30</c:v>
                </c:pt>
                <c:pt idx="4">
                  <c:v>26</c:v>
                </c:pt>
                <c:pt idx="5">
                  <c:v>32</c:v>
                </c:pt>
                <c:pt idx="6">
                  <c:v>48</c:v>
                </c:pt>
                <c:pt idx="7">
                  <c:v>27</c:v>
                </c:pt>
                <c:pt idx="8">
                  <c:v>39</c:v>
                </c:pt>
                <c:pt idx="9">
                  <c:v>18</c:v>
                </c:pt>
                <c:pt idx="10">
                  <c:v>14</c:v>
                </c:pt>
                <c:pt idx="11">
                  <c:v>25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Lit>
                    <c:ptCount val="12"/>
                    <c:pt idx="0">
                      <c:v>JANEIRO</c:v>
                    </c:pt>
                    <c:pt idx="1">
                      <c:v>FEVEREIRO</c:v>
                    </c:pt>
                    <c:pt idx="2">
                      <c:v>MARÇO</c:v>
                    </c:pt>
                    <c:pt idx="3">
                      <c:v>ABRIL</c:v>
                    </c:pt>
                    <c:pt idx="4">
                      <c:v>MAIO</c:v>
                    </c:pt>
                    <c:pt idx="5">
                      <c:v>JUNHO</c:v>
                    </c:pt>
                    <c:pt idx="6">
                      <c:v>JULHO</c:v>
                    </c:pt>
                    <c:pt idx="7">
                      <c:v>AGOSTO</c:v>
                    </c:pt>
                    <c:pt idx="8">
                      <c:v>SETEMBRO</c:v>
                    </c:pt>
                    <c:pt idx="9">
                      <c:v>OUTUBRO</c:v>
                    </c:pt>
                    <c:pt idx="10">
                      <c:v>NOVEMBRO</c:v>
                    </c:pt>
                    <c:pt idx="11">
                      <c:v>DEZEMBRO</c:v>
                    </c:pt>
                  </c:strLit>
                </c15:cat>
              </c15:filteredCategoryTitle>
            </c:ext>
            <c:ext xmlns:c16="http://schemas.microsoft.com/office/drawing/2014/chart" uri="{C3380CC4-5D6E-409C-BE32-E72D297353CC}">
              <c16:uniqueId val="{00000000-8C46-4140-90C5-C293F7AFE337}"/>
            </c:ext>
          </c:extLst>
        </c:ser>
        <c:ser>
          <c:idx val="1"/>
          <c:order val="1"/>
          <c:tx>
            <c:strRef>
              <c:f>INDICADORES!$B$13</c:f>
              <c:strCache>
                <c:ptCount val="1"/>
                <c:pt idx="0">
                  <c:v>CERTIFICADO NO PRAZO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INDICADORES!$C$12:$N$12</c:f>
              <c:numCache>
                <c:formatCode>General</c:formatCode>
                <c:ptCount val="12"/>
                <c:pt idx="0">
                  <c:v>15</c:v>
                </c:pt>
                <c:pt idx="1">
                  <c:v>9</c:v>
                </c:pt>
                <c:pt idx="2">
                  <c:v>23</c:v>
                </c:pt>
                <c:pt idx="3">
                  <c:v>30</c:v>
                </c:pt>
                <c:pt idx="4">
                  <c:v>26</c:v>
                </c:pt>
                <c:pt idx="5">
                  <c:v>32</c:v>
                </c:pt>
                <c:pt idx="6">
                  <c:v>45</c:v>
                </c:pt>
                <c:pt idx="7">
                  <c:v>27</c:v>
                </c:pt>
                <c:pt idx="8">
                  <c:v>39</c:v>
                </c:pt>
                <c:pt idx="9">
                  <c:v>17</c:v>
                </c:pt>
                <c:pt idx="10">
                  <c:v>14</c:v>
                </c:pt>
                <c:pt idx="11">
                  <c:v>19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Lit>
                    <c:ptCount val="12"/>
                    <c:pt idx="0">
                      <c:v>JANEIRO</c:v>
                    </c:pt>
                    <c:pt idx="1">
                      <c:v>FEVEREIRO</c:v>
                    </c:pt>
                    <c:pt idx="2">
                      <c:v>MARÇO</c:v>
                    </c:pt>
                    <c:pt idx="3">
                      <c:v>ABRIL</c:v>
                    </c:pt>
                    <c:pt idx="4">
                      <c:v>MAIO</c:v>
                    </c:pt>
                    <c:pt idx="5">
                      <c:v>JUNHO</c:v>
                    </c:pt>
                    <c:pt idx="6">
                      <c:v>JULHO</c:v>
                    </c:pt>
                    <c:pt idx="7">
                      <c:v>AGOSTO</c:v>
                    </c:pt>
                    <c:pt idx="8">
                      <c:v>SETEMBRO</c:v>
                    </c:pt>
                    <c:pt idx="9">
                      <c:v>OUTUBRO</c:v>
                    </c:pt>
                    <c:pt idx="10">
                      <c:v>NOVEMBRO</c:v>
                    </c:pt>
                    <c:pt idx="11">
                      <c:v>DEZEMBRO</c:v>
                    </c:pt>
                  </c:strLit>
                </c15:cat>
              </c15:filteredCategoryTitle>
            </c:ext>
            <c:ext xmlns:c16="http://schemas.microsoft.com/office/drawing/2014/chart" uri="{C3380CC4-5D6E-409C-BE32-E72D297353CC}">
              <c16:uniqueId val="{00000001-8C46-4140-90C5-C293F7AFE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71003632"/>
        <c:axId val="571003304"/>
      </c:barChart>
      <c:catAx>
        <c:axId val="57100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003304"/>
        <c:crosses val="autoZero"/>
        <c:auto val="1"/>
        <c:lblAlgn val="ctr"/>
        <c:lblOffset val="100"/>
        <c:noMultiLvlLbl val="0"/>
      </c:catAx>
      <c:valAx>
        <c:axId val="571003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7100363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JANEIRO</c:v>
              </c:pt>
              <c:pt idx="1">
                <c:v>FEVEREIRO</c:v>
              </c:pt>
              <c:pt idx="2">
                <c:v>MARÇO</c:v>
              </c:pt>
              <c:pt idx="3">
                <c:v>ABRIL</c:v>
              </c:pt>
              <c:pt idx="4">
                <c:v>MAIO</c:v>
              </c:pt>
              <c:pt idx="5">
                <c:v>JUNHO</c:v>
              </c:pt>
              <c:pt idx="6">
                <c:v>JULHO</c:v>
              </c:pt>
              <c:pt idx="7">
                <c:v>AGOSTO</c:v>
              </c:pt>
              <c:pt idx="8">
                <c:v>SETEMBRO</c:v>
              </c:pt>
              <c:pt idx="9">
                <c:v>OUTUBRO</c:v>
              </c:pt>
              <c:pt idx="10">
                <c:v>NOVEMBRO</c:v>
              </c:pt>
              <c:pt idx="11">
                <c:v>DEZEMBRO</c:v>
              </c:pt>
            </c:strLit>
          </c:cat>
          <c:val>
            <c:numRef>
              <c:f>ANALISE!$Y$10:$AJ$10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0.9375</c:v>
                </c:pt>
                <c:pt idx="7">
                  <c:v>1</c:v>
                </c:pt>
                <c:pt idx="8">
                  <c:v>1</c:v>
                </c:pt>
                <c:pt idx="9">
                  <c:v>0.94444444444444442</c:v>
                </c:pt>
                <c:pt idx="10">
                  <c:v>1</c:v>
                </c:pt>
                <c:pt idx="11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7E-4F97-BD71-4C967AB0FB6D}"/>
            </c:ext>
          </c:extLst>
        </c:ser>
        <c:ser>
          <c:idx val="1"/>
          <c:order val="1"/>
          <c:tx>
            <c:v>Meta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JANEIRO</c:v>
              </c:pt>
              <c:pt idx="1">
                <c:v>FEVEREIRO</c:v>
              </c:pt>
              <c:pt idx="2">
                <c:v>MARÇO</c:v>
              </c:pt>
              <c:pt idx="3">
                <c:v>ABRIL</c:v>
              </c:pt>
              <c:pt idx="4">
                <c:v>MAIO</c:v>
              </c:pt>
              <c:pt idx="5">
                <c:v>JUNHO</c:v>
              </c:pt>
              <c:pt idx="6">
                <c:v>JULHO</c:v>
              </c:pt>
              <c:pt idx="7">
                <c:v>AGOSTO</c:v>
              </c:pt>
              <c:pt idx="8">
                <c:v>SETEMBRO</c:v>
              </c:pt>
              <c:pt idx="9">
                <c:v>OUTUBRO</c:v>
              </c:pt>
              <c:pt idx="10">
                <c:v>NOVEMBRO</c:v>
              </c:pt>
              <c:pt idx="11">
                <c:v>DEZEMBRO</c:v>
              </c:pt>
            </c:strLit>
          </c:cat>
          <c:val>
            <c:numRef>
              <c:f>ANALISE!$Y$11:$AJ$11</c:f>
              <c:numCache>
                <c:formatCode>0%</c:formatCode>
                <c:ptCount val="12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7E-4F97-BD71-4C967AB0F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71003632"/>
        <c:axId val="571003304"/>
      </c:barChart>
      <c:catAx>
        <c:axId val="57100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003304"/>
        <c:crosses val="autoZero"/>
        <c:auto val="1"/>
        <c:lblAlgn val="ctr"/>
        <c:lblOffset val="100"/>
        <c:noMultiLvlLbl val="0"/>
      </c:catAx>
      <c:valAx>
        <c:axId val="571003304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7100363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342566956145918"/>
          <c:y val="0.18221625928043911"/>
          <c:w val="0.10741472067278039"/>
          <c:h val="0.434150549617052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NEGOCIA&#199;&#213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CAD_ME!A1"/><Relationship Id="rId5" Type="http://schemas.openxmlformats.org/officeDocument/2006/relationships/hyperlink" Target="#CAD_CL!A1"/><Relationship Id="rId4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CAD_ME!A1"/><Relationship Id="rId5" Type="http://schemas.openxmlformats.org/officeDocument/2006/relationships/hyperlink" Target="#CAD_CL!A1"/><Relationship Id="rId4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CAD_ME!A1"/><Relationship Id="rId5" Type="http://schemas.openxmlformats.org/officeDocument/2006/relationships/hyperlink" Target="#CAD_CL!A1"/><Relationship Id="rId4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CONTROLE_CCI!A1"/><Relationship Id="rId5" Type="http://schemas.openxmlformats.org/officeDocument/2006/relationships/hyperlink" Target="#CONTROLE_RM!A1"/><Relationship Id="rId4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CONTROLE_CCI!A1"/><Relationship Id="rId5" Type="http://schemas.openxmlformats.org/officeDocument/2006/relationships/hyperlink" Target="#CONTROLE_RM!A1"/><Relationship Id="rId4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CONTROLE_CCI!A1"/><Relationship Id="rId5" Type="http://schemas.openxmlformats.org/officeDocument/2006/relationships/hyperlink" Target="#CONTROLE_RM!A1"/><Relationship Id="rId4" Type="http://schemas.openxmlformats.org/officeDocument/2006/relationships/hyperlink" Target="#DASHBOARD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7" Type="http://schemas.openxmlformats.org/officeDocument/2006/relationships/hyperlink" Target="#REL_LIBERADAS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'REL_FOLLOW UP'!A1"/><Relationship Id="rId5" Type="http://schemas.openxmlformats.org/officeDocument/2006/relationships/hyperlink" Target="#REL_ATRASADAS!A1"/><Relationship Id="rId4" Type="http://schemas.openxmlformats.org/officeDocument/2006/relationships/hyperlink" Target="#DASHBOARD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7" Type="http://schemas.openxmlformats.org/officeDocument/2006/relationships/hyperlink" Target="#REL_LIBERADAS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'REL_FOLLOW UP'!A1"/><Relationship Id="rId5" Type="http://schemas.openxmlformats.org/officeDocument/2006/relationships/hyperlink" Target="#REL_ATRASADAS!A1"/><Relationship Id="rId4" Type="http://schemas.openxmlformats.org/officeDocument/2006/relationships/hyperlink" Target="#DASHBOARD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7" Type="http://schemas.openxmlformats.org/officeDocument/2006/relationships/hyperlink" Target="#REL_LIBERADAS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'REL_FOLLOW UP'!A1"/><Relationship Id="rId5" Type="http://schemas.openxmlformats.org/officeDocument/2006/relationships/hyperlink" Target="#REL_ATRASADAS!A1"/><Relationship Id="rId4" Type="http://schemas.openxmlformats.org/officeDocument/2006/relationships/hyperlink" Target="#DASHBOARD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7" Type="http://schemas.openxmlformats.org/officeDocument/2006/relationships/hyperlink" Target="#REL_LIBERADAS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'REL_FOLLOW UP'!A1"/><Relationship Id="rId5" Type="http://schemas.openxmlformats.org/officeDocument/2006/relationships/hyperlink" Target="#REL_ATRASADAS!A1"/><Relationship Id="rId4" Type="http://schemas.openxmlformats.org/officeDocument/2006/relationships/hyperlink" Target="#DASHBOARD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#REL_ANDAMENTO!A1"/><Relationship Id="rId7" Type="http://schemas.openxmlformats.org/officeDocument/2006/relationships/chart" Target="../charts/chart2.xml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chart" Target="../charts/chart1.xml"/><Relationship Id="rId5" Type="http://schemas.openxmlformats.org/officeDocument/2006/relationships/hyperlink" Target="#ANALISE!A1"/><Relationship Id="rId4" Type="http://schemas.openxmlformats.org/officeDocument/2006/relationships/hyperlink" Target="#DASHBOARD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7" Type="http://schemas.openxmlformats.org/officeDocument/2006/relationships/chart" Target="../charts/chart3.xml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INDICADORES!A1"/><Relationship Id="rId5" Type="http://schemas.openxmlformats.org/officeDocument/2006/relationships/hyperlink" Target="#ANALISE!A1"/><Relationship Id="rId4" Type="http://schemas.openxmlformats.org/officeDocument/2006/relationships/hyperlink" Target="#DASHBOARD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REL_ANDAMENTO!A1"/><Relationship Id="rId2" Type="http://schemas.openxmlformats.org/officeDocument/2006/relationships/hyperlink" Target="#NEGOCIA&#199;&#213;ES!A1"/><Relationship Id="rId1" Type="http://schemas.openxmlformats.org/officeDocument/2006/relationships/hyperlink" Target="#CAD_CO!A1"/><Relationship Id="rId6" Type="http://schemas.openxmlformats.org/officeDocument/2006/relationships/hyperlink" Target="#INDICADORES!A1"/><Relationship Id="rId5" Type="http://schemas.openxmlformats.org/officeDocument/2006/relationships/hyperlink" Target="#ANALISE!A1"/><Relationship Id="rId4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257176</xdr:colOff>
      <xdr:row>1</xdr:row>
      <xdr:rowOff>0</xdr:rowOff>
    </xdr:from>
    <xdr:to>
      <xdr:col>13</xdr:col>
      <xdr:colOff>502584</xdr:colOff>
      <xdr:row>5</xdr:row>
      <xdr:rowOff>69588</xdr:rowOff>
    </xdr:to>
    <xdr:sp macro="[0]!GravaArquiv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C743C05-AF4B-452D-9D08-6249A3B527B6}"/>
            </a:ext>
          </a:extLst>
        </xdr:cNvPr>
        <xdr:cNvSpPr/>
      </xdr:nvSpPr>
      <xdr:spPr>
        <a:xfrm>
          <a:off x="13180696" y="400050"/>
          <a:ext cx="1325543" cy="829683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Salvar em pdf</a:t>
          </a:r>
        </a:p>
      </xdr:txBody>
    </xdr:sp>
    <xdr:clientData/>
  </xdr:twoCellAnchor>
  <xdr:twoCellAnchor editAs="absolute">
    <xdr:from>
      <xdr:col>12</xdr:col>
      <xdr:colOff>268941</xdr:colOff>
      <xdr:row>5</xdr:row>
      <xdr:rowOff>132340</xdr:rowOff>
    </xdr:from>
    <xdr:to>
      <xdr:col>13</xdr:col>
      <xdr:colOff>515695</xdr:colOff>
      <xdr:row>9</xdr:row>
      <xdr:rowOff>169768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D9355A-5F02-41C0-8D24-8F0922BFFCDC}"/>
            </a:ext>
          </a:extLst>
        </xdr:cNvPr>
        <xdr:cNvSpPr/>
      </xdr:nvSpPr>
      <xdr:spPr>
        <a:xfrm>
          <a:off x="13200529" y="1305372"/>
          <a:ext cx="1311089" cy="799428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1</xdr:col>
      <xdr:colOff>1219200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59839E-2798-97FB-A3BE-0BE7E1370CAD}"/>
            </a:ext>
          </a:extLst>
        </xdr:cNvPr>
        <xdr:cNvSpPr/>
      </xdr:nvSpPr>
      <xdr:spPr>
        <a:xfrm>
          <a:off x="821055" y="287655"/>
          <a:ext cx="1143000" cy="39624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1426845</xdr:colOff>
      <xdr:row>0</xdr:row>
      <xdr:rowOff>281940</xdr:rowOff>
    </xdr:from>
    <xdr:to>
      <xdr:col>3</xdr:col>
      <xdr:colOff>472440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BC3747B-D501-4A07-A465-93C2B3F10851}"/>
            </a:ext>
          </a:extLst>
        </xdr:cNvPr>
        <xdr:cNvSpPr/>
      </xdr:nvSpPr>
      <xdr:spPr>
        <a:xfrm>
          <a:off x="2167890" y="285750"/>
          <a:ext cx="1143000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781050</xdr:colOff>
      <xdr:row>0</xdr:row>
      <xdr:rowOff>287654</xdr:rowOff>
    </xdr:from>
    <xdr:to>
      <xdr:col>4</xdr:col>
      <xdr:colOff>135255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39D1290-B6AB-46B0-8202-63DA096396F4}"/>
            </a:ext>
          </a:extLst>
        </xdr:cNvPr>
        <xdr:cNvSpPr/>
      </xdr:nvSpPr>
      <xdr:spPr>
        <a:xfrm>
          <a:off x="3598545" y="274319"/>
          <a:ext cx="1143000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4</xdr:col>
      <xdr:colOff>287655</xdr:colOff>
      <xdr:row>0</xdr:row>
      <xdr:rowOff>266700</xdr:rowOff>
    </xdr:from>
    <xdr:to>
      <xdr:col>5</xdr:col>
      <xdr:colOff>1123950</xdr:colOff>
      <xdr:row>0</xdr:row>
      <xdr:rowOff>670110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E87F559-359B-482B-A859-DBD57846E0B8}"/>
            </a:ext>
          </a:extLst>
        </xdr:cNvPr>
        <xdr:cNvSpPr/>
      </xdr:nvSpPr>
      <xdr:spPr>
        <a:xfrm>
          <a:off x="4897755" y="266700"/>
          <a:ext cx="116014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706754</xdr:colOff>
      <xdr:row>1</xdr:row>
      <xdr:rowOff>76200</xdr:rowOff>
    </xdr:from>
    <xdr:to>
      <xdr:col>1</xdr:col>
      <xdr:colOff>1221104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0AF58F-5A08-0797-597D-F846759BEE33}"/>
            </a:ext>
          </a:extLst>
        </xdr:cNvPr>
        <xdr:cNvSpPr/>
      </xdr:nvSpPr>
      <xdr:spPr>
        <a:xfrm>
          <a:off x="706754" y="1123950"/>
          <a:ext cx="1259205" cy="32194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CONFIGURAÇÕES</a:t>
          </a:r>
        </a:p>
      </xdr:txBody>
    </xdr:sp>
    <xdr:clientData/>
  </xdr:twoCellAnchor>
  <xdr:twoCellAnchor editAs="absolute">
    <xdr:from>
      <xdr:col>1</xdr:col>
      <xdr:colOff>1337309</xdr:colOff>
      <xdr:row>1</xdr:row>
      <xdr:rowOff>80009</xdr:rowOff>
    </xdr:from>
    <xdr:to>
      <xdr:col>3</xdr:col>
      <xdr:colOff>510914</xdr:colOff>
      <xdr:row>2</xdr:row>
      <xdr:rowOff>359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1BD55E-3C1A-490A-A70B-D85CEAA7E39C}"/>
            </a:ext>
          </a:extLst>
        </xdr:cNvPr>
        <xdr:cNvSpPr/>
      </xdr:nvSpPr>
      <xdr:spPr>
        <a:xfrm>
          <a:off x="2076449" y="1127759"/>
          <a:ext cx="1267200" cy="320400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FORNECEDORES</a:t>
          </a:r>
        </a:p>
      </xdr:txBody>
    </xdr:sp>
    <xdr:clientData/>
  </xdr:twoCellAnchor>
  <xdr:twoCellAnchor editAs="absolute">
    <xdr:from>
      <xdr:col>3</xdr:col>
      <xdr:colOff>548640</xdr:colOff>
      <xdr:row>1</xdr:row>
      <xdr:rowOff>78105</xdr:rowOff>
    </xdr:from>
    <xdr:to>
      <xdr:col>4</xdr:col>
      <xdr:colOff>59430</xdr:colOff>
      <xdr:row>2</xdr:row>
      <xdr:rowOff>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55A64FF-756A-4BC5-8962-01B780316C53}"/>
            </a:ext>
          </a:extLst>
        </xdr:cNvPr>
        <xdr:cNvSpPr/>
      </xdr:nvSpPr>
      <xdr:spPr>
        <a:xfrm>
          <a:off x="3392805" y="1125855"/>
          <a:ext cx="1267200" cy="32194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CAD.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78105</xdr:colOff>
      <xdr:row>0</xdr:row>
      <xdr:rowOff>283845</xdr:rowOff>
    </xdr:from>
    <xdr:to>
      <xdr:col>1</xdr:col>
      <xdr:colOff>1221105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28EF70-0151-456E-A2B7-995CB6D94791}"/>
            </a:ext>
          </a:extLst>
        </xdr:cNvPr>
        <xdr:cNvSpPr/>
      </xdr:nvSpPr>
      <xdr:spPr>
        <a:xfrm>
          <a:off x="817245" y="283845"/>
          <a:ext cx="1143000" cy="40005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1428750</xdr:colOff>
      <xdr:row>0</xdr:row>
      <xdr:rowOff>281940</xdr:rowOff>
    </xdr:from>
    <xdr:to>
      <xdr:col>1</xdr:col>
      <xdr:colOff>2569845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14551D-1CD7-40D6-B61D-38EAA7DD3068}"/>
            </a:ext>
          </a:extLst>
        </xdr:cNvPr>
        <xdr:cNvSpPr/>
      </xdr:nvSpPr>
      <xdr:spPr>
        <a:xfrm>
          <a:off x="2167890" y="281940"/>
          <a:ext cx="1143000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1</xdr:col>
      <xdr:colOff>2853690</xdr:colOff>
      <xdr:row>0</xdr:row>
      <xdr:rowOff>287654</xdr:rowOff>
    </xdr:from>
    <xdr:to>
      <xdr:col>2</xdr:col>
      <xdr:colOff>510540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792EA9F-3C84-4B0D-AAC2-0460EA903281}"/>
            </a:ext>
          </a:extLst>
        </xdr:cNvPr>
        <xdr:cNvSpPr/>
      </xdr:nvSpPr>
      <xdr:spPr>
        <a:xfrm>
          <a:off x="3602355" y="276224"/>
          <a:ext cx="1143000" cy="39388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2</xdr:col>
      <xdr:colOff>662940</xdr:colOff>
      <xdr:row>0</xdr:row>
      <xdr:rowOff>262890</xdr:rowOff>
    </xdr:from>
    <xdr:to>
      <xdr:col>3</xdr:col>
      <xdr:colOff>34290</xdr:colOff>
      <xdr:row>0</xdr:row>
      <xdr:rowOff>666300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792C0C-5D67-41D8-A4FA-6E0644CE9668}"/>
            </a:ext>
          </a:extLst>
        </xdr:cNvPr>
        <xdr:cNvSpPr/>
      </xdr:nvSpPr>
      <xdr:spPr>
        <a:xfrm>
          <a:off x="4892040" y="262890"/>
          <a:ext cx="1143000" cy="40722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706753</xdr:colOff>
      <xdr:row>1</xdr:row>
      <xdr:rowOff>76200</xdr:rowOff>
    </xdr:from>
    <xdr:to>
      <xdr:col>1</xdr:col>
      <xdr:colOff>1238623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5F2940-6B84-4199-8805-43328596FEE3}"/>
            </a:ext>
          </a:extLst>
        </xdr:cNvPr>
        <xdr:cNvSpPr/>
      </xdr:nvSpPr>
      <xdr:spPr>
        <a:xfrm>
          <a:off x="706753" y="1123950"/>
          <a:ext cx="1263390" cy="32194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CONFIGURAÇÕES</a:t>
          </a:r>
        </a:p>
      </xdr:txBody>
    </xdr:sp>
    <xdr:clientData/>
  </xdr:twoCellAnchor>
  <xdr:twoCellAnchor editAs="absolute">
    <xdr:from>
      <xdr:col>1</xdr:col>
      <xdr:colOff>1333499</xdr:colOff>
      <xdr:row>1</xdr:row>
      <xdr:rowOff>80009</xdr:rowOff>
    </xdr:from>
    <xdr:to>
      <xdr:col>1</xdr:col>
      <xdr:colOff>2608319</xdr:colOff>
      <xdr:row>2</xdr:row>
      <xdr:rowOff>359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A5402D-F595-4704-8925-1E2580207C85}"/>
            </a:ext>
          </a:extLst>
        </xdr:cNvPr>
        <xdr:cNvSpPr/>
      </xdr:nvSpPr>
      <xdr:spPr>
        <a:xfrm>
          <a:off x="2080259" y="1127759"/>
          <a:ext cx="1261485" cy="3204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FORNECEDORES</a:t>
          </a:r>
        </a:p>
      </xdr:txBody>
    </xdr:sp>
    <xdr:clientData/>
  </xdr:twoCellAnchor>
  <xdr:twoCellAnchor editAs="absolute">
    <xdr:from>
      <xdr:col>1</xdr:col>
      <xdr:colOff>2644140</xdr:colOff>
      <xdr:row>1</xdr:row>
      <xdr:rowOff>78105</xdr:rowOff>
    </xdr:from>
    <xdr:to>
      <xdr:col>2</xdr:col>
      <xdr:colOff>436620</xdr:colOff>
      <xdr:row>2</xdr:row>
      <xdr:rowOff>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BECF637-FC15-4905-9B86-C189D5AFD0FC}"/>
            </a:ext>
          </a:extLst>
        </xdr:cNvPr>
        <xdr:cNvSpPr/>
      </xdr:nvSpPr>
      <xdr:spPr>
        <a:xfrm>
          <a:off x="3392805" y="1125855"/>
          <a:ext cx="1271010" cy="32194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CAD.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74295</xdr:colOff>
      <xdr:row>0</xdr:row>
      <xdr:rowOff>283845</xdr:rowOff>
    </xdr:from>
    <xdr:to>
      <xdr:col>1</xdr:col>
      <xdr:colOff>1217295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872894-555C-4DAE-B1B0-99AABFF67E27}"/>
            </a:ext>
          </a:extLst>
        </xdr:cNvPr>
        <xdr:cNvSpPr/>
      </xdr:nvSpPr>
      <xdr:spPr>
        <a:xfrm>
          <a:off x="821055" y="287655"/>
          <a:ext cx="1143000" cy="39624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1424940</xdr:colOff>
      <xdr:row>0</xdr:row>
      <xdr:rowOff>281940</xdr:rowOff>
    </xdr:from>
    <xdr:to>
      <xdr:col>1</xdr:col>
      <xdr:colOff>2571750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2B6DC9-0750-4C66-9E22-B826CB09F90A}"/>
            </a:ext>
          </a:extLst>
        </xdr:cNvPr>
        <xdr:cNvSpPr/>
      </xdr:nvSpPr>
      <xdr:spPr>
        <a:xfrm>
          <a:off x="2167890" y="285750"/>
          <a:ext cx="1143000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1</xdr:col>
      <xdr:colOff>2836545</xdr:colOff>
      <xdr:row>0</xdr:row>
      <xdr:rowOff>287654</xdr:rowOff>
    </xdr:from>
    <xdr:to>
      <xdr:col>1</xdr:col>
      <xdr:colOff>3979545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451104-BEF8-4458-BC2C-32E0B870F20B}"/>
            </a:ext>
          </a:extLst>
        </xdr:cNvPr>
        <xdr:cNvSpPr/>
      </xdr:nvSpPr>
      <xdr:spPr>
        <a:xfrm>
          <a:off x="3598545" y="278129"/>
          <a:ext cx="1143000" cy="38817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1</xdr:col>
      <xdr:colOff>4130040</xdr:colOff>
      <xdr:row>0</xdr:row>
      <xdr:rowOff>262890</xdr:rowOff>
    </xdr:from>
    <xdr:to>
      <xdr:col>2</xdr:col>
      <xdr:colOff>571500</xdr:colOff>
      <xdr:row>0</xdr:row>
      <xdr:rowOff>666300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5904DF1-682B-44D8-8F6F-684D6A158632}"/>
            </a:ext>
          </a:extLst>
        </xdr:cNvPr>
        <xdr:cNvSpPr/>
      </xdr:nvSpPr>
      <xdr:spPr>
        <a:xfrm>
          <a:off x="4895850" y="262890"/>
          <a:ext cx="1143000" cy="40722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702943</xdr:colOff>
      <xdr:row>1</xdr:row>
      <xdr:rowOff>76200</xdr:rowOff>
    </xdr:from>
    <xdr:to>
      <xdr:col>1</xdr:col>
      <xdr:colOff>1198618</xdr:colOff>
      <xdr:row>2</xdr:row>
      <xdr:rowOff>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E258A8-A0CA-4CDA-AEC6-6C6B0DCD4CC8}"/>
            </a:ext>
          </a:extLst>
        </xdr:cNvPr>
        <xdr:cNvSpPr/>
      </xdr:nvSpPr>
      <xdr:spPr>
        <a:xfrm>
          <a:off x="702943" y="1123950"/>
          <a:ext cx="1261485" cy="316230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CONFIGURAÇÕES</a:t>
          </a:r>
        </a:p>
      </xdr:txBody>
    </xdr:sp>
    <xdr:clientData/>
  </xdr:twoCellAnchor>
  <xdr:twoCellAnchor editAs="absolute">
    <xdr:from>
      <xdr:col>1</xdr:col>
      <xdr:colOff>1314449</xdr:colOff>
      <xdr:row>1</xdr:row>
      <xdr:rowOff>80009</xdr:rowOff>
    </xdr:from>
    <xdr:to>
      <xdr:col>1</xdr:col>
      <xdr:colOff>2570219</xdr:colOff>
      <xdr:row>2</xdr:row>
      <xdr:rowOff>359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C9AA7B2-A0B5-4400-A056-8C806C2E8ABD}"/>
            </a:ext>
          </a:extLst>
        </xdr:cNvPr>
        <xdr:cNvSpPr/>
      </xdr:nvSpPr>
      <xdr:spPr>
        <a:xfrm>
          <a:off x="2076449" y="1127759"/>
          <a:ext cx="1263390" cy="320400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FORNECEDORES</a:t>
          </a:r>
        </a:p>
      </xdr:txBody>
    </xdr:sp>
    <xdr:clientData/>
  </xdr:twoCellAnchor>
  <xdr:twoCellAnchor editAs="absolute">
    <xdr:from>
      <xdr:col>1</xdr:col>
      <xdr:colOff>2644140</xdr:colOff>
      <xdr:row>1</xdr:row>
      <xdr:rowOff>78105</xdr:rowOff>
    </xdr:from>
    <xdr:to>
      <xdr:col>1</xdr:col>
      <xdr:colOff>3907530</xdr:colOff>
      <xdr:row>2</xdr:row>
      <xdr:rowOff>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C2A8B36-FB8C-4D23-A335-3CEA27B53C1E}"/>
            </a:ext>
          </a:extLst>
        </xdr:cNvPr>
        <xdr:cNvSpPr/>
      </xdr:nvSpPr>
      <xdr:spPr>
        <a:xfrm>
          <a:off x="3392805" y="1125855"/>
          <a:ext cx="1274820" cy="32194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</a:t>
          </a:r>
          <a:r>
            <a:rPr lang="pt-BR" sz="1100" b="1" baseline="0">
              <a:solidFill>
                <a:sysClr val="windowText" lastClr="000000"/>
              </a:solidFill>
            </a:rPr>
            <a:t> CAD.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2</xdr:col>
      <xdr:colOff>129540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2EF5FF-490D-48DE-A145-842B2FB7449B}"/>
            </a:ext>
          </a:extLst>
        </xdr:cNvPr>
        <xdr:cNvSpPr/>
      </xdr:nvSpPr>
      <xdr:spPr>
        <a:xfrm>
          <a:off x="802005" y="283845"/>
          <a:ext cx="1160145" cy="40005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344805</xdr:colOff>
      <xdr:row>0</xdr:row>
      <xdr:rowOff>281940</xdr:rowOff>
    </xdr:from>
    <xdr:to>
      <xdr:col>3</xdr:col>
      <xdr:colOff>400050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195456-7613-495A-BB09-D472D43A3187}"/>
            </a:ext>
          </a:extLst>
        </xdr:cNvPr>
        <xdr:cNvSpPr/>
      </xdr:nvSpPr>
      <xdr:spPr>
        <a:xfrm>
          <a:off x="2169795" y="281940"/>
          <a:ext cx="114109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701040</xdr:colOff>
      <xdr:row>0</xdr:row>
      <xdr:rowOff>287654</xdr:rowOff>
    </xdr:from>
    <xdr:to>
      <xdr:col>3</xdr:col>
      <xdr:colOff>1828588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2557A63-37FB-498C-9E6E-1A8C7F1AA89F}"/>
            </a:ext>
          </a:extLst>
        </xdr:cNvPr>
        <xdr:cNvSpPr/>
      </xdr:nvSpPr>
      <xdr:spPr>
        <a:xfrm>
          <a:off x="3619500" y="287654"/>
          <a:ext cx="112585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1980988</xdr:colOff>
      <xdr:row>0</xdr:row>
      <xdr:rowOff>266700</xdr:rowOff>
    </xdr:from>
    <xdr:to>
      <xdr:col>4</xdr:col>
      <xdr:colOff>210608</xdr:colOff>
      <xdr:row>0</xdr:row>
      <xdr:rowOff>670110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3A0A02-ECC9-4B41-A58B-1C5D43B28826}"/>
            </a:ext>
          </a:extLst>
        </xdr:cNvPr>
        <xdr:cNvSpPr/>
      </xdr:nvSpPr>
      <xdr:spPr>
        <a:xfrm>
          <a:off x="4893945" y="266700"/>
          <a:ext cx="116395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702944</xdr:colOff>
      <xdr:row>1</xdr:row>
      <xdr:rowOff>76201</xdr:rowOff>
    </xdr:from>
    <xdr:to>
      <xdr:col>2</xdr:col>
      <xdr:colOff>135254</xdr:colOff>
      <xdr:row>2</xdr:row>
      <xdr:rowOff>474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5F6F0C2-5F8B-4C99-82BD-AE0EEBC88C6F}"/>
            </a:ext>
          </a:extLst>
        </xdr:cNvPr>
        <xdr:cNvSpPr/>
      </xdr:nvSpPr>
      <xdr:spPr>
        <a:xfrm>
          <a:off x="706754" y="1129554"/>
          <a:ext cx="1251249" cy="31942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OC</a:t>
          </a:r>
        </a:p>
      </xdr:txBody>
    </xdr:sp>
    <xdr:clientData/>
  </xdr:twoCellAnchor>
  <xdr:twoCellAnchor editAs="absolute">
    <xdr:from>
      <xdr:col>2</xdr:col>
      <xdr:colOff>289223</xdr:colOff>
      <xdr:row>1</xdr:row>
      <xdr:rowOff>72951</xdr:rowOff>
    </xdr:from>
    <xdr:to>
      <xdr:col>3</xdr:col>
      <xdr:colOff>457312</xdr:colOff>
      <xdr:row>2</xdr:row>
      <xdr:rowOff>1905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DF1542-770A-456E-8C20-B5F0812128B3}"/>
            </a:ext>
          </a:extLst>
        </xdr:cNvPr>
        <xdr:cNvSpPr/>
      </xdr:nvSpPr>
      <xdr:spPr>
        <a:xfrm>
          <a:off x="2119592" y="1126304"/>
          <a:ext cx="1251249" cy="332366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RM</a:t>
          </a:r>
        </a:p>
      </xdr:txBody>
    </xdr:sp>
    <xdr:clientData/>
  </xdr:twoCellAnchor>
  <xdr:twoCellAnchor editAs="absolute">
    <xdr:from>
      <xdr:col>3</xdr:col>
      <xdr:colOff>592008</xdr:colOff>
      <xdr:row>1</xdr:row>
      <xdr:rowOff>78441</xdr:rowOff>
    </xdr:from>
    <xdr:to>
      <xdr:col>3</xdr:col>
      <xdr:colOff>1851213</xdr:colOff>
      <xdr:row>1</xdr:row>
      <xdr:rowOff>401675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ABA6EBF-370A-4FBA-A68C-DCA8FCED03A6}"/>
            </a:ext>
          </a:extLst>
        </xdr:cNvPr>
        <xdr:cNvSpPr/>
      </xdr:nvSpPr>
      <xdr:spPr>
        <a:xfrm>
          <a:off x="3509347" y="1131794"/>
          <a:ext cx="1263015" cy="319424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CCI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2</xdr:col>
      <xdr:colOff>129540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ACA9C8-A2B9-4D80-B56E-6B221E156057}"/>
            </a:ext>
          </a:extLst>
        </xdr:cNvPr>
        <xdr:cNvSpPr/>
      </xdr:nvSpPr>
      <xdr:spPr>
        <a:xfrm>
          <a:off x="802005" y="283845"/>
          <a:ext cx="1156335" cy="40005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344805</xdr:colOff>
      <xdr:row>0</xdr:row>
      <xdr:rowOff>281940</xdr:rowOff>
    </xdr:from>
    <xdr:to>
      <xdr:col>3</xdr:col>
      <xdr:colOff>400050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2F1E02C-ED57-4111-86DC-CBFCD7961534}"/>
            </a:ext>
          </a:extLst>
        </xdr:cNvPr>
        <xdr:cNvSpPr/>
      </xdr:nvSpPr>
      <xdr:spPr>
        <a:xfrm>
          <a:off x="2173605" y="281940"/>
          <a:ext cx="114109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701040</xdr:colOff>
      <xdr:row>0</xdr:row>
      <xdr:rowOff>287654</xdr:rowOff>
    </xdr:from>
    <xdr:to>
      <xdr:col>4</xdr:col>
      <xdr:colOff>401855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072B0F-3FA3-44D8-8239-54770411A123}"/>
            </a:ext>
          </a:extLst>
        </xdr:cNvPr>
        <xdr:cNvSpPr/>
      </xdr:nvSpPr>
      <xdr:spPr>
        <a:xfrm>
          <a:off x="3615690" y="287654"/>
          <a:ext cx="1127548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4</xdr:col>
      <xdr:colOff>554255</xdr:colOff>
      <xdr:row>0</xdr:row>
      <xdr:rowOff>266700</xdr:rowOff>
    </xdr:from>
    <xdr:to>
      <xdr:col>5</xdr:col>
      <xdr:colOff>287369</xdr:colOff>
      <xdr:row>0</xdr:row>
      <xdr:rowOff>670110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F97A52-4E55-4C89-8C91-C6450610C0F0}"/>
            </a:ext>
          </a:extLst>
        </xdr:cNvPr>
        <xdr:cNvSpPr/>
      </xdr:nvSpPr>
      <xdr:spPr>
        <a:xfrm>
          <a:off x="4895638" y="266700"/>
          <a:ext cx="1163320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702944</xdr:colOff>
      <xdr:row>1</xdr:row>
      <xdr:rowOff>76201</xdr:rowOff>
    </xdr:from>
    <xdr:to>
      <xdr:col>2</xdr:col>
      <xdr:colOff>135254</xdr:colOff>
      <xdr:row>2</xdr:row>
      <xdr:rowOff>3195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CBB1A7-E9C2-4812-8832-AFB02C70E792}"/>
            </a:ext>
          </a:extLst>
        </xdr:cNvPr>
        <xdr:cNvSpPr/>
      </xdr:nvSpPr>
      <xdr:spPr>
        <a:xfrm>
          <a:off x="702944" y="1123951"/>
          <a:ext cx="1261110" cy="323234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OC</a:t>
          </a:r>
        </a:p>
      </xdr:txBody>
    </xdr:sp>
    <xdr:clientData/>
  </xdr:twoCellAnchor>
  <xdr:twoCellAnchor editAs="absolute">
    <xdr:from>
      <xdr:col>2</xdr:col>
      <xdr:colOff>289223</xdr:colOff>
      <xdr:row>1</xdr:row>
      <xdr:rowOff>72951</xdr:rowOff>
    </xdr:from>
    <xdr:to>
      <xdr:col>3</xdr:col>
      <xdr:colOff>457312</xdr:colOff>
      <xdr:row>2</xdr:row>
      <xdr:rowOff>1905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92FA791-0BA8-4EF7-AEA9-F5E9DF470915}"/>
            </a:ext>
          </a:extLst>
        </xdr:cNvPr>
        <xdr:cNvSpPr/>
      </xdr:nvSpPr>
      <xdr:spPr>
        <a:xfrm>
          <a:off x="2118023" y="1120701"/>
          <a:ext cx="1253939" cy="32900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RM</a:t>
          </a:r>
        </a:p>
      </xdr:txBody>
    </xdr:sp>
    <xdr:clientData/>
  </xdr:twoCellAnchor>
  <xdr:twoCellAnchor editAs="absolute">
    <xdr:from>
      <xdr:col>3</xdr:col>
      <xdr:colOff>624840</xdr:colOff>
      <xdr:row>1</xdr:row>
      <xdr:rowOff>59055</xdr:rowOff>
    </xdr:from>
    <xdr:to>
      <xdr:col>4</xdr:col>
      <xdr:colOff>476250</xdr:colOff>
      <xdr:row>2</xdr:row>
      <xdr:rowOff>3194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C3CD1C6-E571-430E-A5D8-BDCA426F7722}"/>
            </a:ext>
          </a:extLst>
        </xdr:cNvPr>
        <xdr:cNvSpPr/>
      </xdr:nvSpPr>
      <xdr:spPr>
        <a:xfrm>
          <a:off x="3531870" y="1114425"/>
          <a:ext cx="1278255" cy="336569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CCI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2</xdr:col>
      <xdr:colOff>129540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423E76-ED73-4004-98D7-F4B2FBB23795}"/>
            </a:ext>
          </a:extLst>
        </xdr:cNvPr>
        <xdr:cNvSpPr/>
      </xdr:nvSpPr>
      <xdr:spPr>
        <a:xfrm>
          <a:off x="802005" y="283845"/>
          <a:ext cx="1156335" cy="40005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344805</xdr:colOff>
      <xdr:row>0</xdr:row>
      <xdr:rowOff>281940</xdr:rowOff>
    </xdr:from>
    <xdr:to>
      <xdr:col>3</xdr:col>
      <xdr:colOff>400050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6FE3DAD-CD3F-415F-AB1D-D4C467A9AE0D}"/>
            </a:ext>
          </a:extLst>
        </xdr:cNvPr>
        <xdr:cNvSpPr/>
      </xdr:nvSpPr>
      <xdr:spPr>
        <a:xfrm>
          <a:off x="2173605" y="281940"/>
          <a:ext cx="114109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701040</xdr:colOff>
      <xdr:row>0</xdr:row>
      <xdr:rowOff>287654</xdr:rowOff>
    </xdr:from>
    <xdr:to>
      <xdr:col>3</xdr:col>
      <xdr:colOff>1830605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63621D-35D3-425C-824D-B364B80CC139}"/>
            </a:ext>
          </a:extLst>
        </xdr:cNvPr>
        <xdr:cNvSpPr/>
      </xdr:nvSpPr>
      <xdr:spPr>
        <a:xfrm>
          <a:off x="3615690" y="287654"/>
          <a:ext cx="112956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1983005</xdr:colOff>
      <xdr:row>0</xdr:row>
      <xdr:rowOff>266700</xdr:rowOff>
    </xdr:from>
    <xdr:to>
      <xdr:col>3</xdr:col>
      <xdr:colOff>3144869</xdr:colOff>
      <xdr:row>0</xdr:row>
      <xdr:rowOff>670110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D108B0-8F14-4CDB-A610-3D5CB2363E99}"/>
            </a:ext>
          </a:extLst>
        </xdr:cNvPr>
        <xdr:cNvSpPr/>
      </xdr:nvSpPr>
      <xdr:spPr>
        <a:xfrm>
          <a:off x="4897655" y="266700"/>
          <a:ext cx="1161864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702944</xdr:colOff>
      <xdr:row>1</xdr:row>
      <xdr:rowOff>76201</xdr:rowOff>
    </xdr:from>
    <xdr:to>
      <xdr:col>2</xdr:col>
      <xdr:colOff>135254</xdr:colOff>
      <xdr:row>2</xdr:row>
      <xdr:rowOff>3195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B244BC-B826-4FC5-B7D3-B2AE2A1FA765}"/>
            </a:ext>
          </a:extLst>
        </xdr:cNvPr>
        <xdr:cNvSpPr/>
      </xdr:nvSpPr>
      <xdr:spPr>
        <a:xfrm>
          <a:off x="702944" y="1123951"/>
          <a:ext cx="1261110" cy="327044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OC</a:t>
          </a:r>
        </a:p>
      </xdr:txBody>
    </xdr:sp>
    <xdr:clientData/>
  </xdr:twoCellAnchor>
  <xdr:twoCellAnchor editAs="absolute">
    <xdr:from>
      <xdr:col>2</xdr:col>
      <xdr:colOff>289223</xdr:colOff>
      <xdr:row>1</xdr:row>
      <xdr:rowOff>72951</xdr:rowOff>
    </xdr:from>
    <xdr:to>
      <xdr:col>3</xdr:col>
      <xdr:colOff>457312</xdr:colOff>
      <xdr:row>2</xdr:row>
      <xdr:rowOff>1905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8FDD2BB-D7F4-4BF1-B9C2-517C2EA463D7}"/>
            </a:ext>
          </a:extLst>
        </xdr:cNvPr>
        <xdr:cNvSpPr/>
      </xdr:nvSpPr>
      <xdr:spPr>
        <a:xfrm>
          <a:off x="2118023" y="1120701"/>
          <a:ext cx="1253939" cy="329004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RM</a:t>
          </a:r>
        </a:p>
      </xdr:txBody>
    </xdr:sp>
    <xdr:clientData/>
  </xdr:twoCellAnchor>
  <xdr:twoCellAnchor editAs="absolute">
    <xdr:from>
      <xdr:col>3</xdr:col>
      <xdr:colOff>628650</xdr:colOff>
      <xdr:row>1</xdr:row>
      <xdr:rowOff>76200</xdr:rowOff>
    </xdr:from>
    <xdr:to>
      <xdr:col>3</xdr:col>
      <xdr:colOff>1884045</xdr:colOff>
      <xdr:row>2</xdr:row>
      <xdr:rowOff>3194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10981EC-0ED8-41C4-9042-99F0579C3CDB}"/>
            </a:ext>
          </a:extLst>
        </xdr:cNvPr>
        <xdr:cNvSpPr/>
      </xdr:nvSpPr>
      <xdr:spPr>
        <a:xfrm>
          <a:off x="3529965" y="1123950"/>
          <a:ext cx="1268730" cy="32704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CONTROLE CCI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2</xdr:col>
      <xdr:colOff>129540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164E9E-50A3-4186-AFAA-E97501044B90}"/>
            </a:ext>
          </a:extLst>
        </xdr:cNvPr>
        <xdr:cNvSpPr/>
      </xdr:nvSpPr>
      <xdr:spPr>
        <a:xfrm>
          <a:off x="798195" y="287655"/>
          <a:ext cx="1163955" cy="39624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344805</xdr:colOff>
      <xdr:row>0</xdr:row>
      <xdr:rowOff>281940</xdr:rowOff>
    </xdr:from>
    <xdr:to>
      <xdr:col>3</xdr:col>
      <xdr:colOff>400050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BDD0F8B-175F-4DF7-B9EB-5E4DB738A24B}"/>
            </a:ext>
          </a:extLst>
        </xdr:cNvPr>
        <xdr:cNvSpPr/>
      </xdr:nvSpPr>
      <xdr:spPr>
        <a:xfrm>
          <a:off x="2173605" y="285750"/>
          <a:ext cx="1137285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701040</xdr:colOff>
      <xdr:row>0</xdr:row>
      <xdr:rowOff>287654</xdr:rowOff>
    </xdr:from>
    <xdr:to>
      <xdr:col>3</xdr:col>
      <xdr:colOff>1830705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A3AD79-15AB-43FF-90CA-6429751E813F}"/>
            </a:ext>
          </a:extLst>
        </xdr:cNvPr>
        <xdr:cNvSpPr/>
      </xdr:nvSpPr>
      <xdr:spPr>
        <a:xfrm>
          <a:off x="3619500" y="283844"/>
          <a:ext cx="112585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1983105</xdr:colOff>
      <xdr:row>0</xdr:row>
      <xdr:rowOff>266700</xdr:rowOff>
    </xdr:from>
    <xdr:to>
      <xdr:col>4</xdr:col>
      <xdr:colOff>209550</xdr:colOff>
      <xdr:row>0</xdr:row>
      <xdr:rowOff>670110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96EBDA-2213-4D81-BEAB-92F24E4A2F84}"/>
            </a:ext>
          </a:extLst>
        </xdr:cNvPr>
        <xdr:cNvSpPr/>
      </xdr:nvSpPr>
      <xdr:spPr>
        <a:xfrm>
          <a:off x="4897755" y="266700"/>
          <a:ext cx="115633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706754</xdr:colOff>
      <xdr:row>1</xdr:row>
      <xdr:rowOff>76200</xdr:rowOff>
    </xdr:from>
    <xdr:to>
      <xdr:col>2</xdr:col>
      <xdr:colOff>131444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C68676-1315-4D36-BBE1-F4048DAF5549}"/>
            </a:ext>
          </a:extLst>
        </xdr:cNvPr>
        <xdr:cNvSpPr/>
      </xdr:nvSpPr>
      <xdr:spPr>
        <a:xfrm>
          <a:off x="702944" y="1123950"/>
          <a:ext cx="1261110" cy="32575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ATRASADAS</a:t>
          </a:r>
        </a:p>
      </xdr:txBody>
    </xdr:sp>
    <xdr:clientData/>
  </xdr:twoCellAnchor>
  <xdr:twoCellAnchor editAs="absolute">
    <xdr:from>
      <xdr:col>2</xdr:col>
      <xdr:colOff>205740</xdr:colOff>
      <xdr:row>1</xdr:row>
      <xdr:rowOff>76200</xdr:rowOff>
    </xdr:from>
    <xdr:to>
      <xdr:col>3</xdr:col>
      <xdr:colOff>360045</xdr:colOff>
      <xdr:row>2</xdr:row>
      <xdr:rowOff>1905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5924EF5-5530-4871-A246-98D894E81C74}"/>
            </a:ext>
          </a:extLst>
        </xdr:cNvPr>
        <xdr:cNvSpPr/>
      </xdr:nvSpPr>
      <xdr:spPr>
        <a:xfrm>
          <a:off x="2038350" y="1123950"/>
          <a:ext cx="1240155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CERTIFICADOS</a:t>
          </a:r>
        </a:p>
      </xdr:txBody>
    </xdr:sp>
    <xdr:clientData/>
  </xdr:twoCellAnchor>
  <xdr:twoCellAnchor editAs="absolute">
    <xdr:from>
      <xdr:col>3</xdr:col>
      <xdr:colOff>457200</xdr:colOff>
      <xdr:row>1</xdr:row>
      <xdr:rowOff>76200</xdr:rowOff>
    </xdr:from>
    <xdr:to>
      <xdr:col>3</xdr:col>
      <xdr:colOff>1693545</xdr:colOff>
      <xdr:row>2</xdr:row>
      <xdr:rowOff>1905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3B9C449-47FF-4F7A-BD3B-F1FF2229A19E}"/>
            </a:ext>
          </a:extLst>
        </xdr:cNvPr>
        <xdr:cNvSpPr/>
      </xdr:nvSpPr>
      <xdr:spPr>
        <a:xfrm>
          <a:off x="3371850" y="1123950"/>
          <a:ext cx="1240155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EM</a:t>
          </a:r>
          <a:r>
            <a:rPr lang="pt-BR" sz="1100" b="1" baseline="0">
              <a:solidFill>
                <a:schemeClr val="tx1"/>
              </a:solidFill>
            </a:rPr>
            <a:t> ANDAMENTO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1828800</xdr:colOff>
      <xdr:row>1</xdr:row>
      <xdr:rowOff>76200</xdr:rowOff>
    </xdr:from>
    <xdr:to>
      <xdr:col>4</xdr:col>
      <xdr:colOff>133350</xdr:colOff>
      <xdr:row>2</xdr:row>
      <xdr:rowOff>1905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DABC38F-1C51-422A-B132-3B625E215AE4}"/>
            </a:ext>
          </a:extLst>
        </xdr:cNvPr>
        <xdr:cNvSpPr/>
      </xdr:nvSpPr>
      <xdr:spPr>
        <a:xfrm>
          <a:off x="4735830" y="1123950"/>
          <a:ext cx="124206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AVALIAÇÃO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2</xdr:col>
      <xdr:colOff>129540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0934CE-81C7-4AEF-AEA7-7098764B10A7}"/>
            </a:ext>
          </a:extLst>
        </xdr:cNvPr>
        <xdr:cNvSpPr/>
      </xdr:nvSpPr>
      <xdr:spPr>
        <a:xfrm>
          <a:off x="802005" y="283845"/>
          <a:ext cx="1156335" cy="40005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344805</xdr:colOff>
      <xdr:row>0</xdr:row>
      <xdr:rowOff>281940</xdr:rowOff>
    </xdr:from>
    <xdr:to>
      <xdr:col>3</xdr:col>
      <xdr:colOff>400050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0595F2-FAF6-46B2-9910-782A3FE9E929}"/>
            </a:ext>
          </a:extLst>
        </xdr:cNvPr>
        <xdr:cNvSpPr/>
      </xdr:nvSpPr>
      <xdr:spPr>
        <a:xfrm>
          <a:off x="2173605" y="281940"/>
          <a:ext cx="114109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701040</xdr:colOff>
      <xdr:row>0</xdr:row>
      <xdr:rowOff>287654</xdr:rowOff>
    </xdr:from>
    <xdr:to>
      <xdr:col>3</xdr:col>
      <xdr:colOff>1830705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E308F-BA50-44BD-9524-07180261A902}"/>
            </a:ext>
          </a:extLst>
        </xdr:cNvPr>
        <xdr:cNvSpPr/>
      </xdr:nvSpPr>
      <xdr:spPr>
        <a:xfrm>
          <a:off x="3615690" y="287654"/>
          <a:ext cx="112966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1983105</xdr:colOff>
      <xdr:row>0</xdr:row>
      <xdr:rowOff>266700</xdr:rowOff>
    </xdr:from>
    <xdr:to>
      <xdr:col>4</xdr:col>
      <xdr:colOff>209550</xdr:colOff>
      <xdr:row>0</xdr:row>
      <xdr:rowOff>670110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5BB552A-E236-4B30-8734-CB2A601DEFE5}"/>
            </a:ext>
          </a:extLst>
        </xdr:cNvPr>
        <xdr:cNvSpPr/>
      </xdr:nvSpPr>
      <xdr:spPr>
        <a:xfrm>
          <a:off x="4897755" y="266700"/>
          <a:ext cx="115633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706754</xdr:colOff>
      <xdr:row>1</xdr:row>
      <xdr:rowOff>76200</xdr:rowOff>
    </xdr:from>
    <xdr:to>
      <xdr:col>2</xdr:col>
      <xdr:colOff>131444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2AC0F2B-3A73-4569-827D-22C10D895287}"/>
            </a:ext>
          </a:extLst>
        </xdr:cNvPr>
        <xdr:cNvSpPr/>
      </xdr:nvSpPr>
      <xdr:spPr>
        <a:xfrm>
          <a:off x="706754" y="1123950"/>
          <a:ext cx="125349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ATRASADAS</a:t>
          </a:r>
        </a:p>
      </xdr:txBody>
    </xdr:sp>
    <xdr:clientData/>
  </xdr:twoCellAnchor>
  <xdr:twoCellAnchor editAs="absolute">
    <xdr:from>
      <xdr:col>2</xdr:col>
      <xdr:colOff>205740</xdr:colOff>
      <xdr:row>1</xdr:row>
      <xdr:rowOff>76200</xdr:rowOff>
    </xdr:from>
    <xdr:to>
      <xdr:col>3</xdr:col>
      <xdr:colOff>360045</xdr:colOff>
      <xdr:row>2</xdr:row>
      <xdr:rowOff>1905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E3DA3C-A2DD-4329-A5CC-0576E363C9A3}"/>
            </a:ext>
          </a:extLst>
        </xdr:cNvPr>
        <xdr:cNvSpPr/>
      </xdr:nvSpPr>
      <xdr:spPr>
        <a:xfrm>
          <a:off x="2034540" y="1123950"/>
          <a:ext cx="1240155" cy="32575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CERTIFICADOS</a:t>
          </a:r>
        </a:p>
      </xdr:txBody>
    </xdr:sp>
    <xdr:clientData/>
  </xdr:twoCellAnchor>
  <xdr:twoCellAnchor editAs="absolute">
    <xdr:from>
      <xdr:col>3</xdr:col>
      <xdr:colOff>457200</xdr:colOff>
      <xdr:row>1</xdr:row>
      <xdr:rowOff>76200</xdr:rowOff>
    </xdr:from>
    <xdr:to>
      <xdr:col>3</xdr:col>
      <xdr:colOff>1693545</xdr:colOff>
      <xdr:row>2</xdr:row>
      <xdr:rowOff>1905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1C9FC6B-CE87-41C7-A092-0BD71E0D9C15}"/>
            </a:ext>
          </a:extLst>
        </xdr:cNvPr>
        <xdr:cNvSpPr/>
      </xdr:nvSpPr>
      <xdr:spPr>
        <a:xfrm>
          <a:off x="3371850" y="1123950"/>
          <a:ext cx="1236345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EM</a:t>
          </a:r>
          <a:r>
            <a:rPr lang="pt-BR" sz="1100" b="1" baseline="0">
              <a:solidFill>
                <a:schemeClr val="tx1"/>
              </a:solidFill>
            </a:rPr>
            <a:t> ANDAMENTO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1828800</xdr:colOff>
      <xdr:row>1</xdr:row>
      <xdr:rowOff>76200</xdr:rowOff>
    </xdr:from>
    <xdr:to>
      <xdr:col>4</xdr:col>
      <xdr:colOff>133350</xdr:colOff>
      <xdr:row>2</xdr:row>
      <xdr:rowOff>1905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257627F-57A8-4F2E-AF0E-8502A88E69CD}"/>
            </a:ext>
          </a:extLst>
        </xdr:cNvPr>
        <xdr:cNvSpPr/>
      </xdr:nvSpPr>
      <xdr:spPr>
        <a:xfrm>
          <a:off x="4743450" y="1123950"/>
          <a:ext cx="123444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AVALIAÇÃO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2</xdr:col>
      <xdr:colOff>129540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581497-C000-4B59-B215-2EC3627F40A9}"/>
            </a:ext>
          </a:extLst>
        </xdr:cNvPr>
        <xdr:cNvSpPr/>
      </xdr:nvSpPr>
      <xdr:spPr>
        <a:xfrm>
          <a:off x="798195" y="287655"/>
          <a:ext cx="1163955" cy="39624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344805</xdr:colOff>
      <xdr:row>0</xdr:row>
      <xdr:rowOff>281940</xdr:rowOff>
    </xdr:from>
    <xdr:to>
      <xdr:col>3</xdr:col>
      <xdr:colOff>400050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7E058BA-F109-4D36-A6BF-8DC86C3F031E}"/>
            </a:ext>
          </a:extLst>
        </xdr:cNvPr>
        <xdr:cNvSpPr/>
      </xdr:nvSpPr>
      <xdr:spPr>
        <a:xfrm>
          <a:off x="2173605" y="285750"/>
          <a:ext cx="1137285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701040</xdr:colOff>
      <xdr:row>0</xdr:row>
      <xdr:rowOff>287654</xdr:rowOff>
    </xdr:from>
    <xdr:to>
      <xdr:col>3</xdr:col>
      <xdr:colOff>1826895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B5B8A7-A3FE-406B-89E6-CE9DAF9806F6}"/>
            </a:ext>
          </a:extLst>
        </xdr:cNvPr>
        <xdr:cNvSpPr/>
      </xdr:nvSpPr>
      <xdr:spPr>
        <a:xfrm>
          <a:off x="3619500" y="283844"/>
          <a:ext cx="112585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1979295</xdr:colOff>
      <xdr:row>0</xdr:row>
      <xdr:rowOff>262890</xdr:rowOff>
    </xdr:from>
    <xdr:to>
      <xdr:col>4</xdr:col>
      <xdr:colOff>205740</xdr:colOff>
      <xdr:row>0</xdr:row>
      <xdr:rowOff>666300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E2F7AA-C210-496C-9182-24A606B6B25A}"/>
            </a:ext>
          </a:extLst>
        </xdr:cNvPr>
        <xdr:cNvSpPr/>
      </xdr:nvSpPr>
      <xdr:spPr>
        <a:xfrm>
          <a:off x="4897755" y="262890"/>
          <a:ext cx="1156335" cy="40722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706754</xdr:colOff>
      <xdr:row>1</xdr:row>
      <xdr:rowOff>76200</xdr:rowOff>
    </xdr:from>
    <xdr:to>
      <xdr:col>2</xdr:col>
      <xdr:colOff>131444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A83A1C-5B6F-4F00-A7E1-D5D737A5927A}"/>
            </a:ext>
          </a:extLst>
        </xdr:cNvPr>
        <xdr:cNvSpPr/>
      </xdr:nvSpPr>
      <xdr:spPr>
        <a:xfrm>
          <a:off x="702944" y="1123950"/>
          <a:ext cx="126111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ATRASADAS</a:t>
          </a:r>
        </a:p>
      </xdr:txBody>
    </xdr:sp>
    <xdr:clientData/>
  </xdr:twoCellAnchor>
  <xdr:twoCellAnchor editAs="absolute">
    <xdr:from>
      <xdr:col>2</xdr:col>
      <xdr:colOff>205740</xdr:colOff>
      <xdr:row>1</xdr:row>
      <xdr:rowOff>76200</xdr:rowOff>
    </xdr:from>
    <xdr:to>
      <xdr:col>3</xdr:col>
      <xdr:colOff>360045</xdr:colOff>
      <xdr:row>2</xdr:row>
      <xdr:rowOff>1905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1BFC13-CFDB-47AD-BE5D-ABBD25D00385}"/>
            </a:ext>
          </a:extLst>
        </xdr:cNvPr>
        <xdr:cNvSpPr/>
      </xdr:nvSpPr>
      <xdr:spPr>
        <a:xfrm>
          <a:off x="2038350" y="1123950"/>
          <a:ext cx="1240155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CERTIFICADOS</a:t>
          </a:r>
        </a:p>
      </xdr:txBody>
    </xdr:sp>
    <xdr:clientData/>
  </xdr:twoCellAnchor>
  <xdr:twoCellAnchor editAs="absolute">
    <xdr:from>
      <xdr:col>3</xdr:col>
      <xdr:colOff>457200</xdr:colOff>
      <xdr:row>1</xdr:row>
      <xdr:rowOff>76200</xdr:rowOff>
    </xdr:from>
    <xdr:to>
      <xdr:col>3</xdr:col>
      <xdr:colOff>1697355</xdr:colOff>
      <xdr:row>2</xdr:row>
      <xdr:rowOff>1905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89ED22D-0923-4850-935F-FE4639E139DF}"/>
            </a:ext>
          </a:extLst>
        </xdr:cNvPr>
        <xdr:cNvSpPr/>
      </xdr:nvSpPr>
      <xdr:spPr>
        <a:xfrm>
          <a:off x="3371850" y="1123950"/>
          <a:ext cx="1240155" cy="32575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EM</a:t>
          </a:r>
          <a:r>
            <a:rPr lang="pt-BR" sz="1100" b="1" baseline="0">
              <a:solidFill>
                <a:schemeClr val="tx1"/>
              </a:solidFill>
            </a:rPr>
            <a:t> ANDAMENTO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1824990</xdr:colOff>
      <xdr:row>1</xdr:row>
      <xdr:rowOff>76200</xdr:rowOff>
    </xdr:from>
    <xdr:to>
      <xdr:col>4</xdr:col>
      <xdr:colOff>129540</xdr:colOff>
      <xdr:row>2</xdr:row>
      <xdr:rowOff>1905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82482FD-2BE4-4D81-A619-E78B8746C57E}"/>
            </a:ext>
          </a:extLst>
        </xdr:cNvPr>
        <xdr:cNvSpPr/>
      </xdr:nvSpPr>
      <xdr:spPr>
        <a:xfrm>
          <a:off x="4743450" y="1123950"/>
          <a:ext cx="123444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AVALIAÇÃO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1</xdr:col>
      <xdr:colOff>1202055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3C2F46-3495-4FE8-8F8B-3A6F797BA203}"/>
            </a:ext>
          </a:extLst>
        </xdr:cNvPr>
        <xdr:cNvSpPr/>
      </xdr:nvSpPr>
      <xdr:spPr>
        <a:xfrm>
          <a:off x="802005" y="283845"/>
          <a:ext cx="1156335" cy="40005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1426845</xdr:colOff>
      <xdr:row>0</xdr:row>
      <xdr:rowOff>281940</xdr:rowOff>
    </xdr:from>
    <xdr:to>
      <xdr:col>1</xdr:col>
      <xdr:colOff>2571750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68CAE02-8961-4E9E-8AC8-945733779359}"/>
            </a:ext>
          </a:extLst>
        </xdr:cNvPr>
        <xdr:cNvSpPr/>
      </xdr:nvSpPr>
      <xdr:spPr>
        <a:xfrm>
          <a:off x="2173605" y="281940"/>
          <a:ext cx="114109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1</xdr:col>
      <xdr:colOff>2876550</xdr:colOff>
      <xdr:row>0</xdr:row>
      <xdr:rowOff>287654</xdr:rowOff>
    </xdr:from>
    <xdr:to>
      <xdr:col>2</xdr:col>
      <xdr:colOff>1045845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8396AF8-9DF5-4693-A527-7C9DA3B63C02}"/>
            </a:ext>
          </a:extLst>
        </xdr:cNvPr>
        <xdr:cNvSpPr/>
      </xdr:nvSpPr>
      <xdr:spPr>
        <a:xfrm>
          <a:off x="3615690" y="287654"/>
          <a:ext cx="112966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129540</xdr:colOff>
      <xdr:row>0</xdr:row>
      <xdr:rowOff>262890</xdr:rowOff>
    </xdr:from>
    <xdr:to>
      <xdr:col>4</xdr:col>
      <xdr:colOff>209550</xdr:colOff>
      <xdr:row>0</xdr:row>
      <xdr:rowOff>666300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D8DCB-5691-4232-913D-1037B2CE3C27}"/>
            </a:ext>
          </a:extLst>
        </xdr:cNvPr>
        <xdr:cNvSpPr/>
      </xdr:nvSpPr>
      <xdr:spPr>
        <a:xfrm>
          <a:off x="4897755" y="262890"/>
          <a:ext cx="1156335" cy="40722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706754</xdr:colOff>
      <xdr:row>1</xdr:row>
      <xdr:rowOff>76200</xdr:rowOff>
    </xdr:from>
    <xdr:to>
      <xdr:col>1</xdr:col>
      <xdr:colOff>1203959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D18C3F7-4E59-45FE-B34A-9A18A95C9E0E}"/>
            </a:ext>
          </a:extLst>
        </xdr:cNvPr>
        <xdr:cNvSpPr/>
      </xdr:nvSpPr>
      <xdr:spPr>
        <a:xfrm>
          <a:off x="706754" y="1123950"/>
          <a:ext cx="125349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ATRASADAS</a:t>
          </a:r>
        </a:p>
      </xdr:txBody>
    </xdr:sp>
    <xdr:clientData/>
  </xdr:twoCellAnchor>
  <xdr:twoCellAnchor editAs="absolute">
    <xdr:from>
      <xdr:col>1</xdr:col>
      <xdr:colOff>1278255</xdr:colOff>
      <xdr:row>1</xdr:row>
      <xdr:rowOff>76200</xdr:rowOff>
    </xdr:from>
    <xdr:to>
      <xdr:col>1</xdr:col>
      <xdr:colOff>2529840</xdr:colOff>
      <xdr:row>2</xdr:row>
      <xdr:rowOff>1905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82A668-9698-4BBD-84E5-5D6350BED825}"/>
            </a:ext>
          </a:extLst>
        </xdr:cNvPr>
        <xdr:cNvSpPr/>
      </xdr:nvSpPr>
      <xdr:spPr>
        <a:xfrm>
          <a:off x="2034540" y="1123950"/>
          <a:ext cx="1240155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CERTIFICADOS</a:t>
          </a:r>
        </a:p>
      </xdr:txBody>
    </xdr:sp>
    <xdr:clientData/>
  </xdr:twoCellAnchor>
  <xdr:twoCellAnchor editAs="absolute">
    <xdr:from>
      <xdr:col>1</xdr:col>
      <xdr:colOff>2611755</xdr:colOff>
      <xdr:row>1</xdr:row>
      <xdr:rowOff>76200</xdr:rowOff>
    </xdr:from>
    <xdr:to>
      <xdr:col>2</xdr:col>
      <xdr:colOff>929640</xdr:colOff>
      <xdr:row>2</xdr:row>
      <xdr:rowOff>1905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4636CA-7358-4498-9018-60C8645689B5}"/>
            </a:ext>
          </a:extLst>
        </xdr:cNvPr>
        <xdr:cNvSpPr/>
      </xdr:nvSpPr>
      <xdr:spPr>
        <a:xfrm>
          <a:off x="3371850" y="1123950"/>
          <a:ext cx="1236345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EM</a:t>
          </a:r>
          <a:r>
            <a:rPr lang="pt-BR" sz="1100" b="1" baseline="0">
              <a:solidFill>
                <a:schemeClr val="tx1"/>
              </a:solidFill>
            </a:rPr>
            <a:t> ANDAMENTO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1043940</xdr:colOff>
      <xdr:row>1</xdr:row>
      <xdr:rowOff>76200</xdr:rowOff>
    </xdr:from>
    <xdr:to>
      <xdr:col>4</xdr:col>
      <xdr:colOff>133350</xdr:colOff>
      <xdr:row>2</xdr:row>
      <xdr:rowOff>1905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91AA10C-521D-4D2C-B01D-4ADDE74932C0}"/>
            </a:ext>
          </a:extLst>
        </xdr:cNvPr>
        <xdr:cNvSpPr/>
      </xdr:nvSpPr>
      <xdr:spPr>
        <a:xfrm>
          <a:off x="4743450" y="1123950"/>
          <a:ext cx="1234440" cy="32575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AVALIAÇÃO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1</xdr:col>
      <xdr:colOff>1215390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E4CB26-042A-4F44-90FB-9B1607583FC9}"/>
            </a:ext>
          </a:extLst>
        </xdr:cNvPr>
        <xdr:cNvSpPr/>
      </xdr:nvSpPr>
      <xdr:spPr>
        <a:xfrm>
          <a:off x="798195" y="287655"/>
          <a:ext cx="1163955" cy="39624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1430655</xdr:colOff>
      <xdr:row>0</xdr:row>
      <xdr:rowOff>281940</xdr:rowOff>
    </xdr:from>
    <xdr:to>
      <xdr:col>3</xdr:col>
      <xdr:colOff>57150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61796-BB7D-455C-B13F-05F438D1455B}"/>
            </a:ext>
          </a:extLst>
        </xdr:cNvPr>
        <xdr:cNvSpPr/>
      </xdr:nvSpPr>
      <xdr:spPr>
        <a:xfrm>
          <a:off x="2173605" y="285750"/>
          <a:ext cx="1137285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358140</xdr:colOff>
      <xdr:row>0</xdr:row>
      <xdr:rowOff>287654</xdr:rowOff>
    </xdr:from>
    <xdr:to>
      <xdr:col>3</xdr:col>
      <xdr:colOff>1483995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9D30992-B913-43BE-BCC1-F8EBEAB43B65}"/>
            </a:ext>
          </a:extLst>
        </xdr:cNvPr>
        <xdr:cNvSpPr/>
      </xdr:nvSpPr>
      <xdr:spPr>
        <a:xfrm>
          <a:off x="3619500" y="283844"/>
          <a:ext cx="112585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1636395</xdr:colOff>
      <xdr:row>0</xdr:row>
      <xdr:rowOff>266700</xdr:rowOff>
    </xdr:from>
    <xdr:to>
      <xdr:col>5</xdr:col>
      <xdr:colOff>285750</xdr:colOff>
      <xdr:row>0</xdr:row>
      <xdr:rowOff>670110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83275D-4CB0-489A-978A-28745FD95187}"/>
            </a:ext>
          </a:extLst>
        </xdr:cNvPr>
        <xdr:cNvSpPr/>
      </xdr:nvSpPr>
      <xdr:spPr>
        <a:xfrm>
          <a:off x="4897755" y="266700"/>
          <a:ext cx="1156335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706754</xdr:colOff>
      <xdr:row>1</xdr:row>
      <xdr:rowOff>76200</xdr:rowOff>
    </xdr:from>
    <xdr:to>
      <xdr:col>1</xdr:col>
      <xdr:colOff>1217294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19A31F8-050F-4033-AF4D-1055C0655793}"/>
            </a:ext>
          </a:extLst>
        </xdr:cNvPr>
        <xdr:cNvSpPr/>
      </xdr:nvSpPr>
      <xdr:spPr>
        <a:xfrm>
          <a:off x="702944" y="1120140"/>
          <a:ext cx="1253490" cy="32956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KPI</a:t>
          </a:r>
        </a:p>
      </xdr:txBody>
    </xdr:sp>
    <xdr:clientData/>
  </xdr:twoCellAnchor>
  <xdr:twoCellAnchor editAs="absolute">
    <xdr:from>
      <xdr:col>1</xdr:col>
      <xdr:colOff>1312545</xdr:colOff>
      <xdr:row>1</xdr:row>
      <xdr:rowOff>74295</xdr:rowOff>
    </xdr:from>
    <xdr:to>
      <xdr:col>3</xdr:col>
      <xdr:colOff>55245</xdr:colOff>
      <xdr:row>2</xdr:row>
      <xdr:rowOff>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916184D-EC69-4DC8-B121-7E3CEB3F7DB0}"/>
            </a:ext>
          </a:extLst>
        </xdr:cNvPr>
        <xdr:cNvSpPr/>
      </xdr:nvSpPr>
      <xdr:spPr>
        <a:xfrm>
          <a:off x="2065020" y="1122045"/>
          <a:ext cx="1251585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ANÁLISE GERAL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10</xdr:col>
      <xdr:colOff>0</xdr:colOff>
      <xdr:row>13</xdr:row>
      <xdr:rowOff>56726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FEC9BF4-FF9E-4443-B0ED-4004F849C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10</xdr:col>
      <xdr:colOff>0</xdr:colOff>
      <xdr:row>21</xdr:row>
      <xdr:rowOff>60536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5E11A94-0534-4D1D-8DFE-D1E6A137A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</xdr:col>
      <xdr:colOff>161925</xdr:colOff>
      <xdr:row>1</xdr:row>
      <xdr:rowOff>74295</xdr:rowOff>
    </xdr:from>
    <xdr:to>
      <xdr:col>3</xdr:col>
      <xdr:colOff>1419225</xdr:colOff>
      <xdr:row>2</xdr:row>
      <xdr:rowOff>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BAD37A8-4C69-4DE2-8C39-044480876860}"/>
            </a:ext>
          </a:extLst>
        </xdr:cNvPr>
        <xdr:cNvSpPr/>
      </xdr:nvSpPr>
      <xdr:spPr>
        <a:xfrm>
          <a:off x="3419475" y="1122045"/>
          <a:ext cx="125730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INDICADORES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</xdr:colOff>
      <xdr:row>0</xdr:row>
      <xdr:rowOff>283845</xdr:rowOff>
    </xdr:from>
    <xdr:to>
      <xdr:col>3</xdr:col>
      <xdr:colOff>91440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FC0BFB-53D0-40FC-99E1-5B2003C9D5B7}"/>
            </a:ext>
          </a:extLst>
        </xdr:cNvPr>
        <xdr:cNvSpPr/>
      </xdr:nvSpPr>
      <xdr:spPr>
        <a:xfrm>
          <a:off x="798195" y="287655"/>
          <a:ext cx="1160145" cy="39624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3</xdr:col>
      <xdr:colOff>287655</xdr:colOff>
      <xdr:row>0</xdr:row>
      <xdr:rowOff>281940</xdr:rowOff>
    </xdr:from>
    <xdr:to>
      <xdr:col>4</xdr:col>
      <xdr:colOff>702945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F3711D-2996-4DE8-8426-C251BBC98C1A}"/>
            </a:ext>
          </a:extLst>
        </xdr:cNvPr>
        <xdr:cNvSpPr/>
      </xdr:nvSpPr>
      <xdr:spPr>
        <a:xfrm>
          <a:off x="2169795" y="285750"/>
          <a:ext cx="1141095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4</xdr:col>
      <xdr:colOff>1005840</xdr:colOff>
      <xdr:row>0</xdr:row>
      <xdr:rowOff>287654</xdr:rowOff>
    </xdr:from>
    <xdr:to>
      <xdr:col>5</xdr:col>
      <xdr:colOff>706755</xdr:colOff>
      <xdr:row>0</xdr:row>
      <xdr:rowOff>670109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8D2D80F-CC97-41D1-B543-DEAECBD14ED7}"/>
            </a:ext>
          </a:extLst>
        </xdr:cNvPr>
        <xdr:cNvSpPr/>
      </xdr:nvSpPr>
      <xdr:spPr>
        <a:xfrm>
          <a:off x="3619500" y="283844"/>
          <a:ext cx="112204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5</xdr:col>
      <xdr:colOff>859155</xdr:colOff>
      <xdr:row>0</xdr:row>
      <xdr:rowOff>266700</xdr:rowOff>
    </xdr:from>
    <xdr:to>
      <xdr:col>6</xdr:col>
      <xdr:colOff>609600</xdr:colOff>
      <xdr:row>0</xdr:row>
      <xdr:rowOff>670110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C96E56E-6534-4EB2-B123-07AE8C2A0BBD}"/>
            </a:ext>
          </a:extLst>
        </xdr:cNvPr>
        <xdr:cNvSpPr/>
      </xdr:nvSpPr>
      <xdr:spPr>
        <a:xfrm>
          <a:off x="4893945" y="266700"/>
          <a:ext cx="1160145" cy="39960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706754</xdr:colOff>
      <xdr:row>1</xdr:row>
      <xdr:rowOff>76200</xdr:rowOff>
    </xdr:from>
    <xdr:to>
      <xdr:col>3</xdr:col>
      <xdr:colOff>93344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50045D0-5292-471B-9C72-8319E172E7BE}"/>
            </a:ext>
          </a:extLst>
        </xdr:cNvPr>
        <xdr:cNvSpPr/>
      </xdr:nvSpPr>
      <xdr:spPr>
        <a:xfrm>
          <a:off x="702944" y="1123950"/>
          <a:ext cx="125730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KPI</a:t>
          </a:r>
        </a:p>
      </xdr:txBody>
    </xdr:sp>
    <xdr:clientData/>
  </xdr:twoCellAnchor>
  <xdr:twoCellAnchor editAs="absolute">
    <xdr:from>
      <xdr:col>3</xdr:col>
      <xdr:colOff>173355</xdr:colOff>
      <xdr:row>1</xdr:row>
      <xdr:rowOff>74295</xdr:rowOff>
    </xdr:from>
    <xdr:to>
      <xdr:col>4</xdr:col>
      <xdr:colOff>701040</xdr:colOff>
      <xdr:row>2</xdr:row>
      <xdr:rowOff>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4F67CE7-2D11-4BC0-B990-2DD3C81E848B}"/>
            </a:ext>
          </a:extLst>
        </xdr:cNvPr>
        <xdr:cNvSpPr/>
      </xdr:nvSpPr>
      <xdr:spPr>
        <a:xfrm>
          <a:off x="2059305" y="1122045"/>
          <a:ext cx="1257300" cy="32575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ANÁLISE GERAL</a:t>
          </a:r>
        </a:p>
      </xdr:txBody>
    </xdr:sp>
    <xdr:clientData/>
  </xdr:twoCellAnchor>
  <xdr:twoCellAnchor editAs="absolute">
    <xdr:from>
      <xdr:col>4</xdr:col>
      <xdr:colOff>815340</xdr:colOff>
      <xdr:row>1</xdr:row>
      <xdr:rowOff>74295</xdr:rowOff>
    </xdr:from>
    <xdr:to>
      <xdr:col>5</xdr:col>
      <xdr:colOff>645795</xdr:colOff>
      <xdr:row>2</xdr:row>
      <xdr:rowOff>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2B17BE2-65B8-4565-B51C-368E8CCF84DA}"/>
            </a:ext>
          </a:extLst>
        </xdr:cNvPr>
        <xdr:cNvSpPr/>
      </xdr:nvSpPr>
      <xdr:spPr>
        <a:xfrm>
          <a:off x="3421380" y="1122045"/>
          <a:ext cx="125730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INDICADORES</a:t>
          </a:r>
        </a:p>
      </xdr:txBody>
    </xdr:sp>
    <xdr:clientData/>
  </xdr:twoCellAnchor>
  <xdr:twoCellAnchor>
    <xdr:from>
      <xdr:col>10</xdr:col>
      <xdr:colOff>247650</xdr:colOff>
      <xdr:row>2</xdr:row>
      <xdr:rowOff>93346</xdr:rowOff>
    </xdr:from>
    <xdr:to>
      <xdr:col>15</xdr:col>
      <xdr:colOff>369570</xdr:colOff>
      <xdr:row>8</xdr:row>
      <xdr:rowOff>15241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449F376-B739-4DDD-85FD-677508B05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55245</xdr:colOff>
      <xdr:row>0</xdr:row>
      <xdr:rowOff>287655</xdr:rowOff>
    </xdr:from>
    <xdr:to>
      <xdr:col>1</xdr:col>
      <xdr:colOff>1215390</xdr:colOff>
      <xdr:row>0</xdr:row>
      <xdr:rowOff>683895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890689-3E90-4603-B98D-4FC5D3EDE086}"/>
            </a:ext>
          </a:extLst>
        </xdr:cNvPr>
        <xdr:cNvSpPr/>
      </xdr:nvSpPr>
      <xdr:spPr>
        <a:xfrm>
          <a:off x="802005" y="283845"/>
          <a:ext cx="1156335" cy="40005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1426845</xdr:colOff>
      <xdr:row>0</xdr:row>
      <xdr:rowOff>285750</xdr:rowOff>
    </xdr:from>
    <xdr:to>
      <xdr:col>2</xdr:col>
      <xdr:colOff>800100</xdr:colOff>
      <xdr:row>0</xdr:row>
      <xdr:rowOff>685350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DA60312-05CE-4F98-93D5-DAEEACFFAB74}"/>
            </a:ext>
          </a:extLst>
        </xdr:cNvPr>
        <xdr:cNvSpPr/>
      </xdr:nvSpPr>
      <xdr:spPr>
        <a:xfrm>
          <a:off x="2173605" y="281940"/>
          <a:ext cx="114109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NEGOCIAÇÕES</a:t>
          </a:r>
        </a:p>
      </xdr:txBody>
    </xdr:sp>
    <xdr:clientData/>
  </xdr:twoCellAnchor>
  <xdr:twoCellAnchor editAs="absolute">
    <xdr:from>
      <xdr:col>3</xdr:col>
      <xdr:colOff>19050</xdr:colOff>
      <xdr:row>0</xdr:row>
      <xdr:rowOff>283844</xdr:rowOff>
    </xdr:from>
    <xdr:to>
      <xdr:col>4</xdr:col>
      <xdr:colOff>55245</xdr:colOff>
      <xdr:row>0</xdr:row>
      <xdr:rowOff>666299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70F0E3-CCE6-4A4E-B08F-BCEDD73F1512}"/>
            </a:ext>
          </a:extLst>
        </xdr:cNvPr>
        <xdr:cNvSpPr/>
      </xdr:nvSpPr>
      <xdr:spPr>
        <a:xfrm>
          <a:off x="3615690" y="287654"/>
          <a:ext cx="1125855" cy="38245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4</xdr:col>
      <xdr:colOff>207645</xdr:colOff>
      <xdr:row>0</xdr:row>
      <xdr:rowOff>266700</xdr:rowOff>
    </xdr:from>
    <xdr:to>
      <xdr:col>5</xdr:col>
      <xdr:colOff>281940</xdr:colOff>
      <xdr:row>0</xdr:row>
      <xdr:rowOff>666300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F786E5-AF3F-48D0-8D0B-819B049765FA}"/>
            </a:ext>
          </a:extLst>
        </xdr:cNvPr>
        <xdr:cNvSpPr/>
      </xdr:nvSpPr>
      <xdr:spPr>
        <a:xfrm>
          <a:off x="4893945" y="266700"/>
          <a:ext cx="1163955" cy="40341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1FFA5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DASHBOARDS</a:t>
          </a:r>
        </a:p>
      </xdr:txBody>
    </xdr:sp>
    <xdr:clientData/>
  </xdr:twoCellAnchor>
  <xdr:twoCellAnchor editAs="absolute">
    <xdr:from>
      <xdr:col>0</xdr:col>
      <xdr:colOff>702944</xdr:colOff>
      <xdr:row>1</xdr:row>
      <xdr:rowOff>76200</xdr:rowOff>
    </xdr:from>
    <xdr:to>
      <xdr:col>1</xdr:col>
      <xdr:colOff>1217294</xdr:colOff>
      <xdr:row>2</xdr:row>
      <xdr:rowOff>1905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9DE9D21-7654-40B1-A2E7-5322CAFF5D34}"/>
            </a:ext>
          </a:extLst>
        </xdr:cNvPr>
        <xdr:cNvSpPr/>
      </xdr:nvSpPr>
      <xdr:spPr>
        <a:xfrm>
          <a:off x="706754" y="1123950"/>
          <a:ext cx="125349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KPI</a:t>
          </a:r>
        </a:p>
      </xdr:txBody>
    </xdr:sp>
    <xdr:clientData/>
  </xdr:twoCellAnchor>
  <xdr:twoCellAnchor editAs="absolute">
    <xdr:from>
      <xdr:col>1</xdr:col>
      <xdr:colOff>1316355</xdr:colOff>
      <xdr:row>1</xdr:row>
      <xdr:rowOff>74295</xdr:rowOff>
    </xdr:from>
    <xdr:to>
      <xdr:col>2</xdr:col>
      <xdr:colOff>798195</xdr:colOff>
      <xdr:row>2</xdr:row>
      <xdr:rowOff>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D6AC4E3-8DB4-4C37-8D72-B84FFD5C3BB3}"/>
            </a:ext>
          </a:extLst>
        </xdr:cNvPr>
        <xdr:cNvSpPr/>
      </xdr:nvSpPr>
      <xdr:spPr>
        <a:xfrm>
          <a:off x="2063115" y="1122045"/>
          <a:ext cx="1249680" cy="325755"/>
        </a:xfrm>
        <a:prstGeom prst="rect">
          <a:avLst/>
        </a:prstGeom>
        <a:solidFill>
          <a:srgbClr val="01FFA5"/>
        </a:solidFill>
        <a:ln>
          <a:solidFill>
            <a:srgbClr val="01FF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ANÁLISE GERAL</a:t>
          </a:r>
        </a:p>
      </xdr:txBody>
    </xdr:sp>
    <xdr:clientData/>
  </xdr:twoCellAnchor>
  <xdr:twoCellAnchor editAs="absolute">
    <xdr:from>
      <xdr:col>2</xdr:col>
      <xdr:colOff>914400</xdr:colOff>
      <xdr:row>1</xdr:row>
      <xdr:rowOff>76200</xdr:rowOff>
    </xdr:from>
    <xdr:to>
      <xdr:col>3</xdr:col>
      <xdr:colOff>1082040</xdr:colOff>
      <xdr:row>1</xdr:row>
      <xdr:rowOff>398145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A6FCF24-6C7C-49FF-ABD7-0A113A3FE776}"/>
            </a:ext>
          </a:extLst>
        </xdr:cNvPr>
        <xdr:cNvSpPr/>
      </xdr:nvSpPr>
      <xdr:spPr>
        <a:xfrm>
          <a:off x="3429000" y="1123950"/>
          <a:ext cx="1253490" cy="32194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INDICADORES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nderson.silva@autotrafo.com.br" TargetMode="External"/><Relationship Id="rId13" Type="http://schemas.openxmlformats.org/officeDocument/2006/relationships/hyperlink" Target="mailto:vendas@conecrio.com.br" TargetMode="External"/><Relationship Id="rId18" Type="http://schemas.openxmlformats.org/officeDocument/2006/relationships/hyperlink" Target="mailto:universo-roupas@outlook.com" TargetMode="External"/><Relationship Id="rId3" Type="http://schemas.openxmlformats.org/officeDocument/2006/relationships/hyperlink" Target="mailto:contato@mplniteroi.com.br" TargetMode="External"/><Relationship Id="rId7" Type="http://schemas.openxmlformats.org/officeDocument/2006/relationships/hyperlink" Target="mailto:mnservice.rio@gmail.com" TargetMode="External"/><Relationship Id="rId12" Type="http://schemas.openxmlformats.org/officeDocument/2006/relationships/hyperlink" Target="mailto:elisangela.vendas@mercantetubos.com.br" TargetMode="External"/><Relationship Id="rId17" Type="http://schemas.openxmlformats.org/officeDocument/2006/relationships/hyperlink" Target="mailto:comercialro02@nhjdobrasil.com.br" TargetMode="External"/><Relationship Id="rId2" Type="http://schemas.openxmlformats.org/officeDocument/2006/relationships/hyperlink" Target="mailto:vendas1@amjcomercio.com.br" TargetMode="External"/><Relationship Id="rId16" Type="http://schemas.openxmlformats.org/officeDocument/2006/relationships/hyperlink" Target="mailto:priscila@gradisa.com.br" TargetMode="External"/><Relationship Id="rId1" Type="http://schemas.openxmlformats.org/officeDocument/2006/relationships/hyperlink" Target="mailto:vendas@soluel.com.br" TargetMode="External"/><Relationship Id="rId6" Type="http://schemas.openxmlformats.org/officeDocument/2006/relationships/hyperlink" Target="mailto:contato@jrconexoesevalvulas.com.br" TargetMode="External"/><Relationship Id="rId11" Type="http://schemas.openxmlformats.org/officeDocument/2006/relationships/hyperlink" Target="mailto:mayara@specialtb.com.br" TargetMode="External"/><Relationship Id="rId5" Type="http://schemas.openxmlformats.org/officeDocument/2006/relationships/hyperlink" Target="mailto:apy.adm@outlook.com" TargetMode="External"/><Relationship Id="rId15" Type="http://schemas.openxmlformats.org/officeDocument/2006/relationships/hyperlink" Target="mailto:rafael@italy.com.br" TargetMode="External"/><Relationship Id="rId10" Type="http://schemas.openxmlformats.org/officeDocument/2006/relationships/hyperlink" Target="mailto:maziero@maziero.com.br" TargetMode="External"/><Relationship Id="rId19" Type="http://schemas.openxmlformats.org/officeDocument/2006/relationships/drawing" Target="../drawings/drawing3.xml"/><Relationship Id="rId4" Type="http://schemas.openxmlformats.org/officeDocument/2006/relationships/hyperlink" Target="mailto:comercial2@promarpintura.com.br" TargetMode="External"/><Relationship Id="rId9" Type="http://schemas.openxmlformats.org/officeDocument/2006/relationships/hyperlink" Target="mailto:comercial3@rvcompositos.com.br" TargetMode="External"/><Relationship Id="rId14" Type="http://schemas.openxmlformats.org/officeDocument/2006/relationships/hyperlink" Target="mailto:vendas1@tecnoluva.com.br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AE155-B1FA-4618-81DA-3844C87BD03C}">
  <sheetPr codeName="Plan16">
    <pageSetUpPr fitToPage="1"/>
  </sheetPr>
  <dimension ref="A1:AR110"/>
  <sheetViews>
    <sheetView showGridLines="0" tabSelected="1" view="pageBreakPreview" zoomScale="85" zoomScaleNormal="100" zoomScaleSheetLayoutView="85" zoomScalePageLayoutView="90" workbookViewId="0">
      <selection activeCell="E34" sqref="E34"/>
    </sheetView>
  </sheetViews>
  <sheetFormatPr defaultColWidth="0" defaultRowHeight="14.4" x14ac:dyDescent="0.3"/>
  <cols>
    <col min="1" max="1" width="10.6640625" style="56" customWidth="1"/>
    <col min="2" max="2" width="10.33203125" style="137" customWidth="1"/>
    <col min="3" max="4" width="8.6640625" style="61" customWidth="1"/>
    <col min="5" max="5" width="47.6640625" style="61" bestFit="1" customWidth="1"/>
    <col min="6" max="6" width="14.33203125" style="61" customWidth="1"/>
    <col min="7" max="11" width="14.6640625" style="61" customWidth="1"/>
    <col min="12" max="12" width="14.6640625" style="133" customWidth="1"/>
    <col min="13" max="14" width="15.6640625" style="61" customWidth="1"/>
    <col min="15" max="15" width="15.6640625" style="61" hidden="1" customWidth="1"/>
    <col min="16" max="16" width="17.6640625" style="61" hidden="1" customWidth="1"/>
    <col min="17" max="25" width="8.88671875" style="62" hidden="1" customWidth="1"/>
    <col min="26" max="27" width="8.88671875" style="62" customWidth="1"/>
    <col min="28" max="44" width="8.88671875" style="62" hidden="1" customWidth="1"/>
    <col min="45" max="45" width="0" style="62" hidden="1" customWidth="1"/>
    <col min="46" max="16384" width="0" style="62" hidden="1"/>
  </cols>
  <sheetData>
    <row r="1" spans="1:24" s="57" customFormat="1" ht="31.95" customHeight="1" thickBot="1" x14ac:dyDescent="0.35">
      <c r="A1" s="56"/>
      <c r="K1" s="58"/>
      <c r="L1" s="58"/>
      <c r="P1" s="59"/>
      <c r="Q1" s="60"/>
    </row>
    <row r="2" spans="1:24" ht="15" customHeight="1" x14ac:dyDescent="0.3">
      <c r="B2" s="329"/>
      <c r="C2" s="330"/>
      <c r="D2" s="331" t="str">
        <f>CONCATENATE("Ordem de compra"," - ",NEGOCIAÇÕES!S4)</f>
        <v>Ordem de compra - 1475.25</v>
      </c>
      <c r="E2" s="331"/>
      <c r="F2" s="332"/>
      <c r="G2" s="333"/>
      <c r="H2" s="334"/>
      <c r="I2" s="335"/>
      <c r="J2" s="336"/>
      <c r="K2" s="337"/>
      <c r="L2" s="338"/>
    </row>
    <row r="3" spans="1:24" ht="15" customHeight="1" x14ac:dyDescent="0.3">
      <c r="B3" s="339"/>
      <c r="C3" s="340"/>
      <c r="D3" s="340"/>
      <c r="E3" s="340"/>
      <c r="F3" s="341"/>
      <c r="G3" s="342" t="s">
        <v>1323</v>
      </c>
      <c r="H3" s="343">
        <f ca="1">TODAY()</f>
        <v>46063</v>
      </c>
      <c r="I3" s="343"/>
      <c r="J3" s="344" t="s">
        <v>1324</v>
      </c>
      <c r="K3" s="345" t="str">
        <f>VLOOKUP(NEGOCIAÇÕES!R4,NEGOCIAÇÕES!$C$5:$E$2000,3,0)</f>
        <v>OS 418.25</v>
      </c>
      <c r="L3" s="346"/>
      <c r="O3" s="63" cm="1">
        <f t="array" ref="O3">LOOKUP(2,1/(NEGOCIAÇÕES!N:N&lt;&gt;""),NEGOCIAÇÕES!N:N)</f>
        <v>46059</v>
      </c>
      <c r="S3" s="62">
        <v>2025</v>
      </c>
      <c r="T3" s="155" t="str">
        <f>RIGHT(S3,2)</f>
        <v>25</v>
      </c>
      <c r="V3" s="59" t="s">
        <v>1352</v>
      </c>
      <c r="X3" s="60" t="str">
        <f ca="1">LEFT(X4,FIND("[",X4)-2)</f>
        <v>U:\1. Empresas\4.2. OffCon\# Biblioteca\Controle\Ordem de compra</v>
      </c>
    </row>
    <row r="4" spans="1:24" ht="15" customHeight="1" x14ac:dyDescent="0.3">
      <c r="B4" s="339"/>
      <c r="C4" s="340"/>
      <c r="D4" s="340"/>
      <c r="E4" s="340"/>
      <c r="F4" s="341"/>
      <c r="G4" s="342"/>
      <c r="H4" s="343"/>
      <c r="I4" s="343"/>
      <c r="J4" s="344"/>
      <c r="K4" s="345"/>
      <c r="L4" s="346"/>
      <c r="V4" s="164" t="s">
        <v>1353</v>
      </c>
      <c r="X4" s="165" t="str">
        <f ca="1">CELL("nome.arquivo",Y459)</f>
        <v>U:\1. Empresas\4.2. OffCon\# Biblioteca\Controle\Ordem de compra\[SCM - Offcon.xlsm]Ordem de compra</v>
      </c>
    </row>
    <row r="5" spans="1:24" ht="15" customHeight="1" x14ac:dyDescent="0.3">
      <c r="B5" s="339"/>
      <c r="C5" s="340"/>
      <c r="D5" s="340"/>
      <c r="E5" s="340"/>
      <c r="F5" s="341"/>
      <c r="G5" s="347"/>
      <c r="H5" s="348"/>
      <c r="I5" s="349"/>
      <c r="J5" s="350"/>
      <c r="K5" s="351"/>
      <c r="L5" s="352"/>
      <c r="M5" s="64"/>
      <c r="N5" s="64"/>
      <c r="O5" s="61" t="str">
        <f>NEGOCIAÇÕES!S4</f>
        <v>1475.25</v>
      </c>
      <c r="V5" s="59" t="s">
        <v>1354</v>
      </c>
      <c r="X5" s="60">
        <v>1</v>
      </c>
    </row>
    <row r="6" spans="1:24" ht="15" customHeight="1" x14ac:dyDescent="0.3">
      <c r="B6" s="339"/>
      <c r="C6" s="340"/>
      <c r="D6" s="340"/>
      <c r="E6" s="340"/>
      <c r="F6" s="341"/>
      <c r="G6" s="344" t="s">
        <v>1511</v>
      </c>
      <c r="H6" s="345" t="str">
        <f>VLOOKUP(NEGOCIAÇÕES!R4,NEGOCIAÇÕES!$C$5:$G$2000,5,0)</f>
        <v>-</v>
      </c>
      <c r="I6" s="364"/>
      <c r="J6" s="365" t="s">
        <v>1507</v>
      </c>
      <c r="K6" s="345" t="str">
        <f>VLOOKUP(NEGOCIAÇÕES!R4,NEGOCIAÇÕES!$C$5:$F$2000,4,0)</f>
        <v>RM 313.26</v>
      </c>
      <c r="L6" s="346"/>
      <c r="M6" s="64"/>
      <c r="N6" s="64"/>
      <c r="V6" s="59" t="s">
        <v>1322</v>
      </c>
      <c r="X6" s="60" t="str">
        <f>CONCATENATE("Renova"," - ","OC"," - ",O5," - ",C20)</f>
        <v>Renova - OC - 1475.25 - ANJ TINTAS NAVAIS E INDUSTRIAL LTDA</v>
      </c>
    </row>
    <row r="7" spans="1:24" ht="15" customHeight="1" x14ac:dyDescent="0.3">
      <c r="B7" s="339"/>
      <c r="C7" s="340"/>
      <c r="D7" s="340"/>
      <c r="E7" s="340"/>
      <c r="F7" s="341"/>
      <c r="G7" s="344"/>
      <c r="H7" s="345"/>
      <c r="I7" s="364"/>
      <c r="J7" s="365"/>
      <c r="K7" s="345"/>
      <c r="L7" s="346"/>
      <c r="M7" s="64"/>
      <c r="N7" s="64"/>
    </row>
    <row r="8" spans="1:24" ht="15" customHeight="1" thickBot="1" x14ac:dyDescent="0.35">
      <c r="B8" s="353"/>
      <c r="C8" s="354"/>
      <c r="D8" s="340"/>
      <c r="E8" s="340"/>
      <c r="F8" s="341"/>
      <c r="G8" s="355"/>
      <c r="H8" s="355"/>
      <c r="I8" s="355"/>
      <c r="J8" s="356"/>
      <c r="K8" s="356"/>
      <c r="L8" s="357"/>
      <c r="M8" s="64"/>
      <c r="N8" s="64"/>
    </row>
    <row r="9" spans="1:24" ht="15" customHeight="1" x14ac:dyDescent="0.3">
      <c r="B9" s="358" t="s">
        <v>183</v>
      </c>
      <c r="C9" s="359"/>
      <c r="D9" s="359"/>
      <c r="E9" s="359"/>
      <c r="F9" s="359"/>
      <c r="G9" s="359"/>
      <c r="H9" s="359"/>
      <c r="I9" s="359"/>
      <c r="J9" s="359"/>
      <c r="K9" s="359"/>
      <c r="L9" s="360"/>
      <c r="M9" s="64"/>
      <c r="N9" s="64"/>
    </row>
    <row r="10" spans="1:24" ht="15" customHeight="1" thickBot="1" x14ac:dyDescent="0.35">
      <c r="B10" s="361"/>
      <c r="C10" s="362"/>
      <c r="D10" s="362"/>
      <c r="E10" s="362"/>
      <c r="F10" s="362"/>
      <c r="G10" s="362"/>
      <c r="H10" s="362"/>
      <c r="I10" s="362"/>
      <c r="J10" s="362"/>
      <c r="K10" s="362"/>
      <c r="L10" s="363"/>
      <c r="M10" s="64"/>
      <c r="N10" s="64"/>
    </row>
    <row r="11" spans="1:24" ht="15" customHeight="1" x14ac:dyDescent="0.3">
      <c r="B11" s="65" t="s">
        <v>1325</v>
      </c>
      <c r="C11" s="265" t="s">
        <v>1848</v>
      </c>
      <c r="D11" s="265"/>
      <c r="E11" s="265"/>
      <c r="F11" s="265"/>
      <c r="G11" s="265"/>
      <c r="H11" s="265"/>
      <c r="I11" s="265"/>
      <c r="J11" s="265"/>
      <c r="K11" s="265"/>
      <c r="L11" s="312"/>
      <c r="M11" s="66"/>
      <c r="N11" s="64"/>
      <c r="O11" s="64"/>
      <c r="P11" s="64"/>
    </row>
    <row r="12" spans="1:24" ht="15" customHeight="1" x14ac:dyDescent="0.3">
      <c r="B12" s="67" t="s">
        <v>1326</v>
      </c>
      <c r="C12" s="307" t="s">
        <v>1849</v>
      </c>
      <c r="D12" s="307"/>
      <c r="E12" s="307"/>
      <c r="F12" s="307"/>
      <c r="G12" s="307"/>
      <c r="H12" s="307"/>
      <c r="I12" s="307"/>
      <c r="J12" s="307"/>
      <c r="K12" s="307"/>
      <c r="L12" s="308"/>
      <c r="N12" s="64"/>
      <c r="O12" s="64"/>
      <c r="P12" s="64"/>
    </row>
    <row r="13" spans="1:24" ht="15" customHeight="1" x14ac:dyDescent="0.3">
      <c r="B13" s="68" t="s">
        <v>1327</v>
      </c>
      <c r="C13" s="307" t="s">
        <v>1850</v>
      </c>
      <c r="D13" s="307"/>
      <c r="E13" s="307"/>
      <c r="F13" s="307"/>
      <c r="G13" s="307"/>
      <c r="H13" s="307"/>
      <c r="I13" s="307"/>
      <c r="J13" s="307"/>
      <c r="K13" s="307"/>
      <c r="L13" s="308"/>
      <c r="M13" s="66"/>
      <c r="N13" s="64"/>
      <c r="O13" s="64"/>
      <c r="P13" s="66"/>
    </row>
    <row r="14" spans="1:24" ht="15" customHeight="1" x14ac:dyDescent="0.3">
      <c r="B14" s="69" t="s">
        <v>1328</v>
      </c>
      <c r="C14" s="370" t="s">
        <v>1851</v>
      </c>
      <c r="D14" s="309"/>
      <c r="E14" s="309"/>
      <c r="F14" s="70"/>
      <c r="G14" s="71"/>
      <c r="H14" s="310"/>
      <c r="I14" s="310"/>
      <c r="J14" s="71"/>
      <c r="K14" s="310"/>
      <c r="L14" s="311"/>
      <c r="M14" s="66"/>
      <c r="N14" s="64"/>
      <c r="O14" s="64"/>
      <c r="P14" s="66"/>
    </row>
    <row r="15" spans="1:24" ht="15" customHeight="1" x14ac:dyDescent="0.3">
      <c r="B15" s="69"/>
      <c r="C15" s="74"/>
      <c r="D15" s="70"/>
      <c r="E15" s="70"/>
      <c r="F15" s="70"/>
      <c r="G15" s="71"/>
      <c r="H15" s="72"/>
      <c r="I15" s="72"/>
      <c r="J15" s="71"/>
      <c r="K15" s="72"/>
      <c r="L15" s="73"/>
      <c r="M15" s="66"/>
      <c r="N15" s="64"/>
      <c r="O15" s="64"/>
      <c r="P15" s="66"/>
    </row>
    <row r="16" spans="1:24" ht="15" customHeight="1" x14ac:dyDescent="0.3">
      <c r="B16" s="69"/>
      <c r="C16" s="74"/>
      <c r="D16" s="70"/>
      <c r="E16" s="70"/>
      <c r="F16" s="70"/>
      <c r="G16" s="71"/>
      <c r="H16" s="72"/>
      <c r="I16" s="72"/>
      <c r="J16" s="71"/>
      <c r="K16" s="72"/>
      <c r="L16" s="73"/>
      <c r="M16" s="66"/>
      <c r="N16" s="64"/>
      <c r="O16" s="64"/>
      <c r="P16" s="66"/>
    </row>
    <row r="17" spans="2:26" ht="15" customHeight="1" thickBot="1" x14ac:dyDescent="0.35">
      <c r="B17" s="75"/>
      <c r="C17" s="76"/>
      <c r="D17" s="76"/>
      <c r="E17" s="76"/>
      <c r="F17" s="76"/>
      <c r="G17" s="77"/>
      <c r="H17" s="76"/>
      <c r="I17" s="76"/>
      <c r="J17" s="77"/>
      <c r="K17" s="76"/>
      <c r="L17" s="78"/>
      <c r="M17" s="66"/>
      <c r="N17" s="64"/>
      <c r="O17" s="64"/>
      <c r="P17" s="66"/>
    </row>
    <row r="18" spans="2:26" ht="15" customHeight="1" x14ac:dyDescent="0.3">
      <c r="B18" s="358" t="s">
        <v>1279</v>
      </c>
      <c r="C18" s="359"/>
      <c r="D18" s="359"/>
      <c r="E18" s="359"/>
      <c r="F18" s="359"/>
      <c r="G18" s="359"/>
      <c r="H18" s="359"/>
      <c r="I18" s="359"/>
      <c r="J18" s="359"/>
      <c r="K18" s="359"/>
      <c r="L18" s="360"/>
      <c r="N18" s="64"/>
      <c r="O18" s="64"/>
    </row>
    <row r="19" spans="2:26" ht="15" customHeight="1" thickBot="1" x14ac:dyDescent="0.35">
      <c r="B19" s="361"/>
      <c r="C19" s="362"/>
      <c r="D19" s="362"/>
      <c r="E19" s="362"/>
      <c r="F19" s="362"/>
      <c r="G19" s="362"/>
      <c r="H19" s="362"/>
      <c r="I19" s="362"/>
      <c r="J19" s="362"/>
      <c r="K19" s="362"/>
      <c r="L19" s="363"/>
      <c r="N19" s="64"/>
      <c r="O19" s="64"/>
    </row>
    <row r="20" spans="2:26" ht="15" customHeight="1" x14ac:dyDescent="0.3">
      <c r="B20" s="65" t="s">
        <v>1325</v>
      </c>
      <c r="C20" s="306" t="s">
        <v>321</v>
      </c>
      <c r="D20" s="306"/>
      <c r="E20" s="306"/>
      <c r="F20" s="306"/>
      <c r="G20" s="306"/>
      <c r="H20" s="306"/>
      <c r="I20" s="306"/>
      <c r="J20" s="79" t="s">
        <v>1329</v>
      </c>
      <c r="K20" s="174" t="str">
        <f>VLOOKUP($C$20,CAD_CL!$B$5:$K$250,10,0)</f>
        <v>3 - Consumiveis</v>
      </c>
      <c r="L20" s="80"/>
      <c r="M20" s="66"/>
      <c r="N20" s="64"/>
      <c r="O20" s="64"/>
      <c r="P20" s="66"/>
    </row>
    <row r="21" spans="2:26" ht="15" customHeight="1" x14ac:dyDescent="0.3">
      <c r="B21" s="67" t="s">
        <v>1326</v>
      </c>
      <c r="C21" s="305" t="str">
        <f>VLOOKUP($C$20,CAD_CL!$B$5:$K$250,2,0)</f>
        <v>08.794.584/0001-26</v>
      </c>
      <c r="D21" s="305"/>
      <c r="E21" s="305"/>
      <c r="F21" s="305"/>
      <c r="G21" s="305"/>
      <c r="H21" s="305"/>
      <c r="I21" s="305"/>
      <c r="J21" s="163" t="s">
        <v>1359</v>
      </c>
      <c r="K21" s="175" t="str">
        <f>VLOOKUP($C$20,CAD_ME!$B$5:$G$251,6,0)</f>
        <v>Qualificado</v>
      </c>
      <c r="L21" s="173"/>
      <c r="N21" s="64"/>
      <c r="O21" s="64"/>
      <c r="P21" s="64"/>
    </row>
    <row r="22" spans="2:26" ht="15" customHeight="1" x14ac:dyDescent="0.3">
      <c r="B22" s="68" t="s">
        <v>1327</v>
      </c>
      <c r="C22" s="265" t="str">
        <f>VLOOKUP($C$20,CAD_CL!$B$5:$K$250,3,0)</f>
        <v>RUA BARÃO DO AMAZONAS N° 77 - CENTRO - NITERÓI - RJ</v>
      </c>
      <c r="D22" s="265"/>
      <c r="E22" s="265"/>
      <c r="F22" s="265"/>
      <c r="G22" s="265"/>
      <c r="H22" s="265"/>
      <c r="I22" s="265"/>
      <c r="J22" s="265"/>
      <c r="K22" s="161"/>
      <c r="L22" s="162"/>
      <c r="M22" s="81"/>
      <c r="N22" s="81"/>
      <c r="O22" s="64"/>
      <c r="P22" s="82"/>
    </row>
    <row r="23" spans="2:26" ht="15" customHeight="1" x14ac:dyDescent="0.3">
      <c r="B23" s="83" t="s">
        <v>1330</v>
      </c>
      <c r="C23" s="265" t="str">
        <f>VLOOKUP($C$20,CAD_CL!$B$5:$K$250,8,0)</f>
        <v>Sabrina</v>
      </c>
      <c r="D23" s="265"/>
      <c r="E23" s="265"/>
      <c r="F23" s="265"/>
      <c r="G23" s="265"/>
      <c r="H23" s="265"/>
      <c r="I23" s="265"/>
      <c r="J23" s="265"/>
      <c r="K23" s="84"/>
      <c r="L23" s="85"/>
      <c r="M23" s="81"/>
      <c r="N23" s="81"/>
      <c r="O23" s="64"/>
      <c r="P23" s="82"/>
    </row>
    <row r="24" spans="2:26" ht="15" customHeight="1" x14ac:dyDescent="0.3">
      <c r="B24" s="83" t="s">
        <v>1328</v>
      </c>
      <c r="C24" s="265" t="str">
        <f>VLOOKUP($C$20,CAD_CL!$B$5:$K$250,4,0)</f>
        <v>contato.tintas@aenejota.com.br</v>
      </c>
      <c r="D24" s="265"/>
      <c r="E24" s="265"/>
      <c r="F24" s="265"/>
      <c r="G24" s="265"/>
      <c r="H24" s="265"/>
      <c r="I24" s="265"/>
      <c r="J24" s="265"/>
      <c r="K24" s="84"/>
      <c r="L24" s="85"/>
      <c r="M24" s="81"/>
      <c r="N24" s="81"/>
      <c r="O24" s="64"/>
      <c r="P24" s="82"/>
    </row>
    <row r="25" spans="2:26" ht="15" customHeight="1" x14ac:dyDescent="0.3">
      <c r="B25" s="83" t="s">
        <v>1331</v>
      </c>
      <c r="C25" s="265" t="str">
        <f>VLOOKUP($C$20,CAD_CL!$B$5:$K$250,9,0)</f>
        <v>21 2704-5732</v>
      </c>
      <c r="D25" s="265"/>
      <c r="E25" s="265"/>
      <c r="F25" s="265"/>
      <c r="G25" s="265"/>
      <c r="H25" s="265"/>
      <c r="I25" s="265"/>
      <c r="J25" s="265"/>
      <c r="K25" s="84"/>
      <c r="L25" s="85"/>
      <c r="M25" s="81"/>
      <c r="N25" s="81"/>
      <c r="O25" s="64"/>
      <c r="P25" s="82"/>
    </row>
    <row r="26" spans="2:26" ht="15" customHeight="1" thickBot="1" x14ac:dyDescent="0.35">
      <c r="B26" s="86"/>
      <c r="C26" s="87"/>
      <c r="D26" s="87"/>
      <c r="E26" s="87"/>
      <c r="F26" s="87"/>
      <c r="G26" s="88"/>
      <c r="H26" s="89"/>
      <c r="I26" s="89"/>
      <c r="J26" s="89"/>
      <c r="K26" s="89"/>
      <c r="L26" s="90"/>
      <c r="M26" s="66"/>
      <c r="N26" s="64"/>
      <c r="O26" s="64"/>
      <c r="P26" s="82"/>
    </row>
    <row r="27" spans="2:26" ht="15" customHeight="1" x14ac:dyDescent="0.3">
      <c r="B27" s="358" t="s">
        <v>1332</v>
      </c>
      <c r="C27" s="359"/>
      <c r="D27" s="359"/>
      <c r="E27" s="359"/>
      <c r="F27" s="359"/>
      <c r="G27" s="359"/>
      <c r="H27" s="359"/>
      <c r="I27" s="359"/>
      <c r="J27" s="359"/>
      <c r="K27" s="359"/>
      <c r="L27" s="360"/>
      <c r="M27" s="66"/>
      <c r="N27" s="64"/>
      <c r="O27" s="64"/>
      <c r="P27" s="66"/>
    </row>
    <row r="28" spans="2:26" ht="15" customHeight="1" thickBot="1" x14ac:dyDescent="0.35">
      <c r="B28" s="361"/>
      <c r="C28" s="362"/>
      <c r="D28" s="362"/>
      <c r="E28" s="362"/>
      <c r="F28" s="362"/>
      <c r="G28" s="362"/>
      <c r="H28" s="362"/>
      <c r="I28" s="362"/>
      <c r="J28" s="362"/>
      <c r="K28" s="362"/>
      <c r="L28" s="363"/>
      <c r="M28" s="66"/>
      <c r="N28" s="64"/>
      <c r="O28" s="64"/>
      <c r="P28" s="66"/>
    </row>
    <row r="29" spans="2:26" ht="15" customHeight="1" x14ac:dyDescent="0.3">
      <c r="B29" s="270" t="s">
        <v>1333</v>
      </c>
      <c r="C29" s="272" t="s">
        <v>1334</v>
      </c>
      <c r="D29" s="274" t="s">
        <v>231</v>
      </c>
      <c r="E29" s="274" t="s">
        <v>202</v>
      </c>
      <c r="F29" s="276" t="s">
        <v>1273</v>
      </c>
      <c r="G29" s="269" t="s">
        <v>0</v>
      </c>
      <c r="H29" s="269"/>
      <c r="I29" s="269" t="s">
        <v>1335</v>
      </c>
      <c r="J29" s="269"/>
      <c r="K29" s="274" t="s">
        <v>1538</v>
      </c>
      <c r="L29" s="278"/>
      <c r="M29" s="64"/>
      <c r="N29" s="64"/>
    </row>
    <row r="30" spans="2:26" ht="15" customHeight="1" thickBot="1" x14ac:dyDescent="0.35">
      <c r="B30" s="271"/>
      <c r="C30" s="273"/>
      <c r="D30" s="275"/>
      <c r="E30" s="275"/>
      <c r="F30" s="277"/>
      <c r="G30" s="92" t="s">
        <v>1336</v>
      </c>
      <c r="H30" s="92" t="s">
        <v>1337</v>
      </c>
      <c r="I30" s="92" t="s">
        <v>1286</v>
      </c>
      <c r="J30" s="91" t="s">
        <v>1338</v>
      </c>
      <c r="K30" s="92" t="s">
        <v>1286</v>
      </c>
      <c r="L30" s="93" t="s">
        <v>1338</v>
      </c>
      <c r="M30" s="64"/>
      <c r="N30" s="64"/>
      <c r="Q30" s="61"/>
      <c r="R30" s="61"/>
      <c r="S30" s="61"/>
      <c r="T30" s="61"/>
      <c r="U30" s="61"/>
      <c r="V30" s="61"/>
      <c r="W30" s="61"/>
      <c r="X30" s="61"/>
      <c r="Y30" s="61"/>
      <c r="Z30" s="61"/>
    </row>
    <row r="31" spans="2:26" ht="42" customHeight="1" x14ac:dyDescent="0.3">
      <c r="B31" s="94" t="str">
        <f>IF(C31="","",1)</f>
        <v/>
      </c>
      <c r="C31" s="95"/>
      <c r="D31" s="96"/>
      <c r="E31" s="264"/>
      <c r="F31" s="366" t="str">
        <f>IF(C31="","",$O$3)</f>
        <v/>
      </c>
      <c r="G31" s="99"/>
      <c r="H31" s="367" t="str">
        <f t="shared" ref="H31:H78" si="0">IF(C31="","",G31*C31)</f>
        <v/>
      </c>
      <c r="I31" s="101"/>
      <c r="J31" s="368" t="str">
        <f t="shared" ref="J31:J42" si="1">IFERROR(IF(I31="","",I31*H31),"")</f>
        <v/>
      </c>
      <c r="K31" s="102"/>
      <c r="L31" s="369"/>
      <c r="M31" s="64"/>
      <c r="N31" s="64"/>
      <c r="Q31" s="61"/>
      <c r="R31" s="61"/>
      <c r="S31" s="61"/>
      <c r="T31" s="61"/>
      <c r="U31" s="61"/>
      <c r="V31" s="61"/>
      <c r="W31" s="104"/>
      <c r="X31" s="61"/>
      <c r="Y31" s="61"/>
      <c r="Z31" s="61"/>
    </row>
    <row r="32" spans="2:26" ht="38.25" customHeight="1" x14ac:dyDescent="0.3">
      <c r="B32" s="94" t="str">
        <f>IF(C32="","",2)</f>
        <v/>
      </c>
      <c r="C32" s="95"/>
      <c r="D32" s="96"/>
      <c r="E32" s="97"/>
      <c r="F32" s="366" t="str">
        <f t="shared" ref="F32:F78" si="2">IF(C32="","",$O$3)</f>
        <v/>
      </c>
      <c r="G32" s="99"/>
      <c r="H32" s="367" t="str">
        <f t="shared" si="0"/>
        <v/>
      </c>
      <c r="I32" s="101"/>
      <c r="J32" s="368" t="str">
        <f t="shared" si="1"/>
        <v/>
      </c>
      <c r="K32" s="101"/>
      <c r="L32" s="369"/>
      <c r="M32" s="64"/>
      <c r="N32" s="64"/>
      <c r="Q32" s="61"/>
      <c r="R32" s="61"/>
      <c r="S32" s="61"/>
      <c r="T32" s="61"/>
      <c r="U32" s="61"/>
      <c r="V32" s="61"/>
      <c r="W32" s="61"/>
      <c r="X32" s="61"/>
      <c r="Y32" s="61"/>
      <c r="Z32" s="61"/>
    </row>
    <row r="33" spans="2:26" ht="49.5" customHeight="1" x14ac:dyDescent="0.3">
      <c r="B33" s="105" t="str">
        <f>IF(C33="","",3)</f>
        <v/>
      </c>
      <c r="C33" s="95"/>
      <c r="D33" s="96"/>
      <c r="E33" s="97"/>
      <c r="F33" s="366" t="str">
        <f t="shared" si="2"/>
        <v/>
      </c>
      <c r="G33" s="99"/>
      <c r="H33" s="367" t="str">
        <f t="shared" si="0"/>
        <v/>
      </c>
      <c r="I33" s="101"/>
      <c r="J33" s="368" t="str">
        <f t="shared" si="1"/>
        <v/>
      </c>
      <c r="K33" s="101"/>
      <c r="L33" s="369" t="str">
        <f t="shared" ref="L33:L45" si="3">IFERROR(IF(K33="","",K33*H33),"")</f>
        <v/>
      </c>
      <c r="M33" s="64"/>
      <c r="N33" s="64"/>
      <c r="Q33" s="61"/>
      <c r="R33" s="61"/>
      <c r="S33" s="61"/>
      <c r="T33" s="61"/>
      <c r="U33" s="61"/>
      <c r="V33" s="61"/>
      <c r="W33" s="61"/>
      <c r="X33" s="61"/>
      <c r="Y33" s="61"/>
      <c r="Z33" s="61"/>
    </row>
    <row r="34" spans="2:26" ht="49.5" customHeight="1" x14ac:dyDescent="0.3">
      <c r="B34" s="105" t="str">
        <f>IF(C34="","",4)</f>
        <v/>
      </c>
      <c r="C34" s="95"/>
      <c r="D34" s="96"/>
      <c r="E34" s="97"/>
      <c r="F34" s="366" t="str">
        <f t="shared" si="2"/>
        <v/>
      </c>
      <c r="G34" s="99"/>
      <c r="H34" s="367" t="str">
        <f t="shared" si="0"/>
        <v/>
      </c>
      <c r="I34" s="101"/>
      <c r="J34" s="368" t="str">
        <f t="shared" si="1"/>
        <v/>
      </c>
      <c r="K34" s="101"/>
      <c r="L34" s="369" t="str">
        <f t="shared" si="3"/>
        <v/>
      </c>
      <c r="M34" s="64"/>
      <c r="N34" s="64"/>
      <c r="Q34" s="61"/>
      <c r="R34" s="61"/>
      <c r="S34" s="61"/>
      <c r="T34" s="61"/>
      <c r="U34" s="61"/>
      <c r="V34" s="61"/>
      <c r="W34" s="61"/>
      <c r="X34" s="61"/>
      <c r="Y34" s="61"/>
      <c r="Z34" s="61"/>
    </row>
    <row r="35" spans="2:26" ht="49.5" customHeight="1" x14ac:dyDescent="0.3">
      <c r="B35" s="105" t="str">
        <f>IF(C35="","",5)</f>
        <v/>
      </c>
      <c r="C35" s="95"/>
      <c r="D35" s="96"/>
      <c r="E35" s="107"/>
      <c r="F35" s="366" t="str">
        <f t="shared" si="2"/>
        <v/>
      </c>
      <c r="G35" s="99"/>
      <c r="H35" s="367" t="str">
        <f t="shared" si="0"/>
        <v/>
      </c>
      <c r="I35" s="101"/>
      <c r="J35" s="368" t="str">
        <f t="shared" si="1"/>
        <v/>
      </c>
      <c r="K35" s="101"/>
      <c r="L35" s="369" t="str">
        <f t="shared" si="3"/>
        <v/>
      </c>
      <c r="M35" s="64"/>
      <c r="N35" s="64"/>
      <c r="Q35" s="61"/>
      <c r="R35" s="61"/>
      <c r="S35" s="61"/>
      <c r="T35" s="61"/>
      <c r="U35" s="61"/>
      <c r="V35" s="61"/>
      <c r="W35" s="61"/>
      <c r="X35" s="61"/>
      <c r="Y35" s="61"/>
      <c r="Z35" s="61"/>
    </row>
    <row r="36" spans="2:26" ht="49.5" customHeight="1" x14ac:dyDescent="0.3">
      <c r="B36" s="105" t="str">
        <f>IF(C36="","",6)</f>
        <v/>
      </c>
      <c r="C36" s="95"/>
      <c r="D36" s="96"/>
      <c r="E36" s="107"/>
      <c r="F36" s="366" t="str">
        <f t="shared" si="2"/>
        <v/>
      </c>
      <c r="G36" s="99"/>
      <c r="H36" s="367" t="str">
        <f t="shared" si="0"/>
        <v/>
      </c>
      <c r="I36" s="101"/>
      <c r="J36" s="368" t="str">
        <f t="shared" si="1"/>
        <v/>
      </c>
      <c r="K36" s="101"/>
      <c r="L36" s="369" t="str">
        <f t="shared" si="3"/>
        <v/>
      </c>
      <c r="M36" s="64"/>
      <c r="N36" s="64"/>
      <c r="Q36" s="61"/>
      <c r="R36" s="61"/>
      <c r="S36" s="61"/>
      <c r="T36" s="61"/>
      <c r="U36" s="61"/>
      <c r="V36" s="61"/>
      <c r="W36" s="61"/>
      <c r="X36" s="61"/>
      <c r="Y36" s="61"/>
      <c r="Z36" s="61"/>
    </row>
    <row r="37" spans="2:26" ht="49.5" customHeight="1" x14ac:dyDescent="0.3">
      <c r="B37" s="105" t="str">
        <f>IF(C37="","",7)</f>
        <v/>
      </c>
      <c r="C37" s="95"/>
      <c r="D37" s="96"/>
      <c r="E37" s="107"/>
      <c r="F37" s="366" t="str">
        <f t="shared" si="2"/>
        <v/>
      </c>
      <c r="G37" s="99"/>
      <c r="H37" s="367" t="str">
        <f t="shared" si="0"/>
        <v/>
      </c>
      <c r="I37" s="101"/>
      <c r="J37" s="368" t="str">
        <f t="shared" si="1"/>
        <v/>
      </c>
      <c r="K37" s="101"/>
      <c r="L37" s="369" t="str">
        <f t="shared" si="3"/>
        <v/>
      </c>
      <c r="M37" s="64"/>
      <c r="N37" s="64"/>
      <c r="Q37" s="61"/>
      <c r="R37" s="61"/>
      <c r="S37" s="61"/>
      <c r="T37" s="61"/>
      <c r="U37" s="61"/>
      <c r="V37" s="61"/>
      <c r="W37" s="61"/>
      <c r="X37" s="61"/>
      <c r="Y37" s="61"/>
      <c r="Z37" s="61"/>
    </row>
    <row r="38" spans="2:26" ht="49.5" customHeight="1" x14ac:dyDescent="0.3">
      <c r="B38" s="105" t="str">
        <f>IF(C38="","",8)</f>
        <v/>
      </c>
      <c r="C38" s="95"/>
      <c r="D38" s="96"/>
      <c r="E38" s="107"/>
      <c r="F38" s="366" t="str">
        <f t="shared" si="2"/>
        <v/>
      </c>
      <c r="G38" s="99"/>
      <c r="H38" s="367" t="str">
        <f t="shared" si="0"/>
        <v/>
      </c>
      <c r="I38" s="101"/>
      <c r="J38" s="368" t="str">
        <f t="shared" si="1"/>
        <v/>
      </c>
      <c r="K38" s="101"/>
      <c r="L38" s="369" t="str">
        <f t="shared" si="3"/>
        <v/>
      </c>
      <c r="M38" s="64"/>
      <c r="N38" s="64"/>
      <c r="Q38" s="61"/>
      <c r="R38" s="61"/>
      <c r="S38" s="61"/>
      <c r="T38" s="61"/>
      <c r="U38" s="61"/>
      <c r="V38" s="61"/>
      <c r="W38" s="61"/>
      <c r="X38" s="61"/>
      <c r="Y38" s="61"/>
      <c r="Z38" s="61"/>
    </row>
    <row r="39" spans="2:26" ht="49.95" customHeight="1" x14ac:dyDescent="0.3">
      <c r="B39" s="105" t="str">
        <f>IF(C39="","",9)</f>
        <v/>
      </c>
      <c r="C39" s="95"/>
      <c r="D39" s="96"/>
      <c r="E39" s="109"/>
      <c r="F39" s="366" t="str">
        <f t="shared" si="2"/>
        <v/>
      </c>
      <c r="G39" s="99"/>
      <c r="H39" s="367" t="str">
        <f t="shared" si="0"/>
        <v/>
      </c>
      <c r="I39" s="101"/>
      <c r="J39" s="368" t="str">
        <f t="shared" si="1"/>
        <v/>
      </c>
      <c r="K39" s="101"/>
      <c r="L39" s="369" t="str">
        <f t="shared" si="3"/>
        <v/>
      </c>
      <c r="M39" s="64"/>
      <c r="N39" s="64"/>
      <c r="Q39" s="61"/>
      <c r="R39" s="61"/>
      <c r="S39" s="110"/>
      <c r="T39" s="61"/>
      <c r="U39" s="61"/>
      <c r="V39" s="61"/>
      <c r="W39" s="61"/>
      <c r="X39" s="61"/>
      <c r="Y39" s="61"/>
      <c r="Z39" s="61"/>
    </row>
    <row r="40" spans="2:26" ht="49.95" customHeight="1" x14ac:dyDescent="0.3">
      <c r="B40" s="105" t="str">
        <f>IF(C40="","",10)</f>
        <v/>
      </c>
      <c r="C40" s="95"/>
      <c r="D40" s="96"/>
      <c r="E40" s="109"/>
      <c r="F40" s="366" t="str">
        <f t="shared" si="2"/>
        <v/>
      </c>
      <c r="G40" s="99"/>
      <c r="H40" s="367" t="str">
        <f t="shared" si="0"/>
        <v/>
      </c>
      <c r="I40" s="101"/>
      <c r="J40" s="368" t="str">
        <f t="shared" si="1"/>
        <v/>
      </c>
      <c r="K40" s="101"/>
      <c r="L40" s="369" t="str">
        <f t="shared" si="3"/>
        <v/>
      </c>
      <c r="M40" s="64"/>
      <c r="N40" s="64"/>
      <c r="Q40" s="61"/>
      <c r="R40" s="61"/>
      <c r="S40" s="61"/>
      <c r="T40" s="61"/>
      <c r="U40" s="61"/>
      <c r="V40" s="61"/>
      <c r="W40" s="61"/>
      <c r="X40" s="61"/>
      <c r="Y40" s="61"/>
      <c r="Z40" s="61"/>
    </row>
    <row r="41" spans="2:26" ht="49.95" customHeight="1" x14ac:dyDescent="0.3">
      <c r="B41" s="105" t="str">
        <f>IF(C41="","",11)</f>
        <v/>
      </c>
      <c r="C41" s="95"/>
      <c r="D41" s="96"/>
      <c r="E41" s="109"/>
      <c r="F41" s="366" t="str">
        <f t="shared" si="2"/>
        <v/>
      </c>
      <c r="G41" s="99"/>
      <c r="H41" s="367" t="str">
        <f t="shared" si="0"/>
        <v/>
      </c>
      <c r="I41" s="101"/>
      <c r="J41" s="368" t="str">
        <f t="shared" si="1"/>
        <v/>
      </c>
      <c r="K41" s="111"/>
      <c r="L41" s="369" t="str">
        <f t="shared" si="3"/>
        <v/>
      </c>
      <c r="M41" s="64"/>
      <c r="N41" s="64"/>
      <c r="T41" s="61"/>
      <c r="V41" s="61"/>
    </row>
    <row r="42" spans="2:26" ht="49.95" customHeight="1" x14ac:dyDescent="0.3">
      <c r="B42" s="105" t="str">
        <f>IF(C42="","",12)</f>
        <v/>
      </c>
      <c r="C42" s="95"/>
      <c r="D42" s="96"/>
      <c r="E42" s="109"/>
      <c r="F42" s="366" t="str">
        <f t="shared" si="2"/>
        <v/>
      </c>
      <c r="G42" s="99"/>
      <c r="H42" s="367" t="str">
        <f t="shared" si="0"/>
        <v/>
      </c>
      <c r="I42" s="101"/>
      <c r="J42" s="368" t="str">
        <f t="shared" si="1"/>
        <v/>
      </c>
      <c r="K42" s="111"/>
      <c r="L42" s="369" t="str">
        <f t="shared" si="3"/>
        <v/>
      </c>
      <c r="M42" s="64"/>
      <c r="N42" s="64"/>
    </row>
    <row r="43" spans="2:26" ht="49.95" hidden="1" customHeight="1" x14ac:dyDescent="0.3">
      <c r="B43" s="105" t="str">
        <f>IF(C43="","",13)</f>
        <v/>
      </c>
      <c r="C43" s="95"/>
      <c r="D43" s="96"/>
      <c r="E43" s="109"/>
      <c r="F43" s="168" t="str">
        <f t="shared" si="2"/>
        <v/>
      </c>
      <c r="G43" s="99">
        <v>382.56</v>
      </c>
      <c r="H43" s="100" t="str">
        <f t="shared" si="0"/>
        <v/>
      </c>
      <c r="I43" s="101"/>
      <c r="J43" s="106" t="str">
        <f t="shared" ref="J43:J51" si="4">IFERROR(IF(I43="","",I43*G43),"")</f>
        <v/>
      </c>
      <c r="K43" s="111"/>
      <c r="L43" s="103" t="str">
        <f t="shared" si="3"/>
        <v/>
      </c>
      <c r="M43" s="64"/>
      <c r="N43" s="64"/>
    </row>
    <row r="44" spans="2:26" ht="49.95" hidden="1" customHeight="1" x14ac:dyDescent="0.3">
      <c r="B44" s="105" t="str">
        <f>IF(C44="","",14)</f>
        <v/>
      </c>
      <c r="C44" s="95"/>
      <c r="D44" s="96"/>
      <c r="E44" s="109"/>
      <c r="F44" s="168" t="str">
        <f t="shared" si="2"/>
        <v/>
      </c>
      <c r="G44" s="108">
        <v>1211.75</v>
      </c>
      <c r="H44" s="100" t="str">
        <f t="shared" si="0"/>
        <v/>
      </c>
      <c r="I44" s="101"/>
      <c r="J44" s="106" t="str">
        <f t="shared" si="4"/>
        <v/>
      </c>
      <c r="K44" s="111"/>
      <c r="L44" s="103" t="str">
        <f t="shared" si="3"/>
        <v/>
      </c>
      <c r="M44" s="64"/>
      <c r="N44" s="64"/>
    </row>
    <row r="45" spans="2:26" ht="49.95" hidden="1" customHeight="1" x14ac:dyDescent="0.3">
      <c r="B45" s="105" t="str">
        <f>IF(C45="","",15)</f>
        <v/>
      </c>
      <c r="C45" s="95"/>
      <c r="D45" s="96"/>
      <c r="E45" s="109"/>
      <c r="F45" s="168" t="str">
        <f t="shared" si="2"/>
        <v/>
      </c>
      <c r="G45" s="108">
        <v>128.09</v>
      </c>
      <c r="H45" s="100" t="str">
        <f t="shared" si="0"/>
        <v/>
      </c>
      <c r="I45" s="101"/>
      <c r="J45" s="106" t="str">
        <f t="shared" si="4"/>
        <v/>
      </c>
      <c r="K45" s="111"/>
      <c r="L45" s="103" t="str">
        <f t="shared" si="3"/>
        <v/>
      </c>
      <c r="M45" s="64"/>
      <c r="N45" s="64"/>
    </row>
    <row r="46" spans="2:26" ht="49.95" hidden="1" customHeight="1" x14ac:dyDescent="0.3">
      <c r="B46" s="105" t="str">
        <f>IF(C46="","",16)</f>
        <v/>
      </c>
      <c r="C46" s="95"/>
      <c r="D46" s="96"/>
      <c r="E46" s="109"/>
      <c r="F46" s="168" t="str">
        <f t="shared" si="2"/>
        <v/>
      </c>
      <c r="G46" s="108">
        <v>53.37</v>
      </c>
      <c r="H46" s="100" t="str">
        <f t="shared" si="0"/>
        <v/>
      </c>
      <c r="I46" s="101"/>
      <c r="J46" s="106" t="str">
        <f t="shared" si="4"/>
        <v/>
      </c>
      <c r="K46" s="111"/>
      <c r="L46" s="103"/>
      <c r="M46" s="64"/>
      <c r="N46" s="64"/>
    </row>
    <row r="47" spans="2:26" ht="49.95" hidden="1" customHeight="1" x14ac:dyDescent="0.3">
      <c r="B47" s="105" t="str">
        <f>IF(C47="","",17)</f>
        <v/>
      </c>
      <c r="C47" s="95"/>
      <c r="D47" s="96"/>
      <c r="E47" s="109"/>
      <c r="F47" s="98" t="str">
        <f t="shared" si="2"/>
        <v/>
      </c>
      <c r="G47" s="108">
        <v>241.13</v>
      </c>
      <c r="H47" s="100" t="str">
        <f t="shared" si="0"/>
        <v/>
      </c>
      <c r="I47" s="101"/>
      <c r="J47" s="106" t="str">
        <f t="shared" si="4"/>
        <v/>
      </c>
      <c r="K47" s="111"/>
      <c r="L47" s="103"/>
      <c r="M47" s="64"/>
      <c r="N47" s="64"/>
    </row>
    <row r="48" spans="2:26" ht="49.95" hidden="1" customHeight="1" x14ac:dyDescent="0.3">
      <c r="B48" s="105" t="str">
        <f>IF(C48="","",18)</f>
        <v/>
      </c>
      <c r="C48" s="95"/>
      <c r="D48" s="96"/>
      <c r="E48" s="109"/>
      <c r="F48" s="98" t="str">
        <f t="shared" si="2"/>
        <v/>
      </c>
      <c r="G48" s="108"/>
      <c r="H48" s="100" t="str">
        <f t="shared" si="0"/>
        <v/>
      </c>
      <c r="I48" s="101"/>
      <c r="J48" s="106" t="str">
        <f t="shared" si="4"/>
        <v/>
      </c>
      <c r="K48" s="111"/>
      <c r="L48" s="103"/>
      <c r="M48" s="64"/>
      <c r="N48" s="64"/>
    </row>
    <row r="49" spans="2:14" ht="49.95" hidden="1" customHeight="1" x14ac:dyDescent="0.3">
      <c r="B49" s="105" t="str">
        <f>IF(C49="","",19)</f>
        <v/>
      </c>
      <c r="C49" s="95"/>
      <c r="D49" s="96"/>
      <c r="E49" s="109"/>
      <c r="F49" s="98" t="str">
        <f t="shared" si="2"/>
        <v/>
      </c>
      <c r="G49" s="108"/>
      <c r="H49" s="100" t="str">
        <f t="shared" si="0"/>
        <v/>
      </c>
      <c r="I49" s="101"/>
      <c r="J49" s="106" t="str">
        <f t="shared" si="4"/>
        <v/>
      </c>
      <c r="K49" s="111"/>
      <c r="L49" s="103"/>
      <c r="M49" s="64"/>
      <c r="N49" s="64"/>
    </row>
    <row r="50" spans="2:14" ht="49.95" hidden="1" customHeight="1" x14ac:dyDescent="0.3">
      <c r="B50" s="105" t="str">
        <f>IF(C50="","",20)</f>
        <v/>
      </c>
      <c r="C50" s="95"/>
      <c r="D50" s="96"/>
      <c r="E50" s="109"/>
      <c r="F50" s="98" t="str">
        <f t="shared" si="2"/>
        <v/>
      </c>
      <c r="G50" s="108"/>
      <c r="H50" s="100" t="str">
        <f t="shared" si="0"/>
        <v/>
      </c>
      <c r="I50" s="111"/>
      <c r="J50" s="106" t="str">
        <f t="shared" si="4"/>
        <v/>
      </c>
      <c r="K50" s="111"/>
      <c r="L50" s="103"/>
      <c r="M50" s="64"/>
      <c r="N50" s="64"/>
    </row>
    <row r="51" spans="2:14" ht="49.95" hidden="1" customHeight="1" x14ac:dyDescent="0.3">
      <c r="B51" s="105" t="str">
        <f>IF(C51="","",21)</f>
        <v/>
      </c>
      <c r="C51" s="95"/>
      <c r="D51" s="96"/>
      <c r="E51" s="109"/>
      <c r="F51" s="98" t="str">
        <f t="shared" si="2"/>
        <v/>
      </c>
      <c r="G51" s="108"/>
      <c r="H51" s="100" t="str">
        <f t="shared" si="0"/>
        <v/>
      </c>
      <c r="I51" s="111"/>
      <c r="J51" s="106" t="str">
        <f t="shared" si="4"/>
        <v/>
      </c>
      <c r="K51" s="111"/>
      <c r="L51" s="103"/>
      <c r="M51" s="64"/>
      <c r="N51" s="64"/>
    </row>
    <row r="52" spans="2:14" ht="49.95" hidden="1" customHeight="1" x14ac:dyDescent="0.3">
      <c r="B52" s="105" t="str">
        <f>IF(C52="","",22)</f>
        <v/>
      </c>
      <c r="C52" s="95"/>
      <c r="D52" s="96"/>
      <c r="E52" s="109"/>
      <c r="F52" s="98" t="str">
        <f t="shared" si="2"/>
        <v/>
      </c>
      <c r="G52" s="108"/>
      <c r="H52" s="100" t="str">
        <f t="shared" si="0"/>
        <v/>
      </c>
      <c r="I52" s="111"/>
      <c r="J52" s="106" t="str">
        <f t="shared" ref="J52:J78" si="5">IFERROR(IF(I52="","",I52*F52),"")</f>
        <v/>
      </c>
      <c r="K52" s="111"/>
      <c r="L52" s="103"/>
      <c r="M52" s="64"/>
      <c r="N52" s="64"/>
    </row>
    <row r="53" spans="2:14" ht="49.95" hidden="1" customHeight="1" x14ac:dyDescent="0.3">
      <c r="B53" s="105" t="str">
        <f>IF(C53="","",23)</f>
        <v/>
      </c>
      <c r="C53" s="95"/>
      <c r="D53" s="96"/>
      <c r="E53" s="109"/>
      <c r="F53" s="98" t="str">
        <f t="shared" si="2"/>
        <v/>
      </c>
      <c r="G53" s="108"/>
      <c r="H53" s="100" t="str">
        <f t="shared" si="0"/>
        <v/>
      </c>
      <c r="I53" s="111"/>
      <c r="J53" s="106" t="str">
        <f t="shared" si="5"/>
        <v/>
      </c>
      <c r="K53" s="111"/>
      <c r="L53" s="103"/>
      <c r="M53" s="64"/>
      <c r="N53" s="64"/>
    </row>
    <row r="54" spans="2:14" ht="49.95" hidden="1" customHeight="1" x14ac:dyDescent="0.3">
      <c r="B54" s="105" t="str">
        <f>IF(C54="","",24)</f>
        <v/>
      </c>
      <c r="C54" s="95"/>
      <c r="D54" s="96"/>
      <c r="E54" s="109"/>
      <c r="F54" s="98" t="str">
        <f t="shared" si="2"/>
        <v/>
      </c>
      <c r="G54" s="108"/>
      <c r="H54" s="100" t="str">
        <f t="shared" si="0"/>
        <v/>
      </c>
      <c r="I54" s="111"/>
      <c r="J54" s="106" t="str">
        <f t="shared" si="5"/>
        <v/>
      </c>
      <c r="K54" s="111"/>
      <c r="L54" s="103"/>
      <c r="M54" s="64"/>
      <c r="N54" s="64"/>
    </row>
    <row r="55" spans="2:14" ht="49.95" hidden="1" customHeight="1" x14ac:dyDescent="0.3">
      <c r="B55" s="105" t="str">
        <f>IF(C55="","",25)</f>
        <v/>
      </c>
      <c r="C55" s="95"/>
      <c r="D55" s="96"/>
      <c r="E55" s="109"/>
      <c r="F55" s="98" t="str">
        <f t="shared" si="2"/>
        <v/>
      </c>
      <c r="G55" s="108"/>
      <c r="H55" s="100" t="str">
        <f t="shared" si="0"/>
        <v/>
      </c>
      <c r="I55" s="111"/>
      <c r="J55" s="106" t="str">
        <f t="shared" si="5"/>
        <v/>
      </c>
      <c r="K55" s="111"/>
      <c r="L55" s="103"/>
      <c r="M55" s="64"/>
      <c r="N55" s="64"/>
    </row>
    <row r="56" spans="2:14" ht="49.95" hidden="1" customHeight="1" x14ac:dyDescent="0.3">
      <c r="B56" s="105" t="str">
        <f>IF(C56="","",26)</f>
        <v/>
      </c>
      <c r="C56" s="95"/>
      <c r="D56" s="96"/>
      <c r="E56" s="109"/>
      <c r="F56" s="98" t="str">
        <f t="shared" si="2"/>
        <v/>
      </c>
      <c r="G56" s="108"/>
      <c r="H56" s="100" t="str">
        <f t="shared" si="0"/>
        <v/>
      </c>
      <c r="I56" s="111"/>
      <c r="J56" s="106" t="str">
        <f t="shared" si="5"/>
        <v/>
      </c>
      <c r="K56" s="111"/>
      <c r="L56" s="103"/>
      <c r="M56" s="64"/>
      <c r="N56" s="64"/>
    </row>
    <row r="57" spans="2:14" ht="49.95" hidden="1" customHeight="1" x14ac:dyDescent="0.3">
      <c r="B57" s="105" t="str">
        <f>IF(C57="","",27)</f>
        <v/>
      </c>
      <c r="C57" s="95"/>
      <c r="D57" s="96"/>
      <c r="E57" s="109"/>
      <c r="F57" s="98" t="str">
        <f t="shared" si="2"/>
        <v/>
      </c>
      <c r="G57" s="108"/>
      <c r="H57" s="100" t="str">
        <f t="shared" si="0"/>
        <v/>
      </c>
      <c r="I57" s="111"/>
      <c r="J57" s="106" t="str">
        <f t="shared" si="5"/>
        <v/>
      </c>
      <c r="K57" s="111"/>
      <c r="L57" s="103"/>
      <c r="M57" s="64"/>
      <c r="N57" s="64"/>
    </row>
    <row r="58" spans="2:14" ht="49.95" hidden="1" customHeight="1" x14ac:dyDescent="0.3">
      <c r="B58" s="105" t="str">
        <f>IF(C58="","",28)</f>
        <v/>
      </c>
      <c r="C58" s="95"/>
      <c r="D58" s="96"/>
      <c r="E58" s="109"/>
      <c r="F58" s="98" t="str">
        <f t="shared" si="2"/>
        <v/>
      </c>
      <c r="G58" s="108"/>
      <c r="H58" s="100" t="str">
        <f t="shared" si="0"/>
        <v/>
      </c>
      <c r="I58" s="111"/>
      <c r="J58" s="106" t="str">
        <f t="shared" si="5"/>
        <v/>
      </c>
      <c r="K58" s="111"/>
      <c r="L58" s="103"/>
      <c r="M58" s="64"/>
      <c r="N58" s="64"/>
    </row>
    <row r="59" spans="2:14" ht="49.95" hidden="1" customHeight="1" x14ac:dyDescent="0.3">
      <c r="B59" s="105" t="str">
        <f>IF(C59="","",29)</f>
        <v/>
      </c>
      <c r="C59" s="95"/>
      <c r="D59" s="96"/>
      <c r="E59" s="109"/>
      <c r="F59" s="98" t="str">
        <f t="shared" si="2"/>
        <v/>
      </c>
      <c r="G59" s="108"/>
      <c r="H59" s="100" t="str">
        <f t="shared" si="0"/>
        <v/>
      </c>
      <c r="I59" s="111"/>
      <c r="J59" s="106" t="str">
        <f t="shared" si="5"/>
        <v/>
      </c>
      <c r="K59" s="111"/>
      <c r="L59" s="103"/>
      <c r="M59" s="64"/>
      <c r="N59" s="64"/>
    </row>
    <row r="60" spans="2:14" ht="49.95" hidden="1" customHeight="1" x14ac:dyDescent="0.3">
      <c r="B60" s="105" t="str">
        <f>IF(C60="","",30)</f>
        <v/>
      </c>
      <c r="C60" s="95"/>
      <c r="D60" s="96"/>
      <c r="E60" s="109"/>
      <c r="F60" s="98" t="str">
        <f t="shared" si="2"/>
        <v/>
      </c>
      <c r="G60" s="108"/>
      <c r="H60" s="100" t="str">
        <f t="shared" si="0"/>
        <v/>
      </c>
      <c r="I60" s="111"/>
      <c r="J60" s="106" t="str">
        <f t="shared" si="5"/>
        <v/>
      </c>
      <c r="K60" s="111"/>
      <c r="L60" s="103"/>
      <c r="M60" s="64"/>
      <c r="N60" s="64"/>
    </row>
    <row r="61" spans="2:14" ht="49.95" hidden="1" customHeight="1" x14ac:dyDescent="0.3">
      <c r="B61" s="105" t="str">
        <f>IF(C61="","",31)</f>
        <v/>
      </c>
      <c r="C61" s="95"/>
      <c r="D61" s="96"/>
      <c r="E61" s="109"/>
      <c r="F61" s="98" t="str">
        <f t="shared" si="2"/>
        <v/>
      </c>
      <c r="G61" s="108"/>
      <c r="H61" s="100" t="str">
        <f t="shared" si="0"/>
        <v/>
      </c>
      <c r="I61" s="111"/>
      <c r="J61" s="106" t="str">
        <f t="shared" si="5"/>
        <v/>
      </c>
      <c r="K61" s="111"/>
      <c r="L61" s="103"/>
      <c r="M61" s="64"/>
      <c r="N61" s="64"/>
    </row>
    <row r="62" spans="2:14" ht="49.95" hidden="1" customHeight="1" x14ac:dyDescent="0.3">
      <c r="B62" s="105" t="str">
        <f>IF(C62="","",32)</f>
        <v/>
      </c>
      <c r="C62" s="95"/>
      <c r="D62" s="96"/>
      <c r="E62" s="109"/>
      <c r="F62" s="98" t="str">
        <f t="shared" si="2"/>
        <v/>
      </c>
      <c r="G62" s="108"/>
      <c r="H62" s="100" t="str">
        <f t="shared" si="0"/>
        <v/>
      </c>
      <c r="I62" s="111"/>
      <c r="J62" s="106" t="str">
        <f t="shared" si="5"/>
        <v/>
      </c>
      <c r="K62" s="111"/>
      <c r="L62" s="103"/>
      <c r="M62" s="64"/>
      <c r="N62" s="64"/>
    </row>
    <row r="63" spans="2:14" ht="49.95" hidden="1" customHeight="1" x14ac:dyDescent="0.3">
      <c r="B63" s="105" t="str">
        <f>IF(C63="","",33)</f>
        <v/>
      </c>
      <c r="C63" s="95"/>
      <c r="D63" s="96"/>
      <c r="E63" s="109"/>
      <c r="F63" s="98" t="str">
        <f t="shared" si="2"/>
        <v/>
      </c>
      <c r="G63" s="108"/>
      <c r="H63" s="100" t="str">
        <f t="shared" si="0"/>
        <v/>
      </c>
      <c r="I63" s="111"/>
      <c r="J63" s="106" t="str">
        <f t="shared" si="5"/>
        <v/>
      </c>
      <c r="K63" s="111"/>
      <c r="L63" s="103"/>
      <c r="M63" s="64"/>
      <c r="N63" s="64"/>
    </row>
    <row r="64" spans="2:14" ht="49.95" hidden="1" customHeight="1" x14ac:dyDescent="0.3">
      <c r="B64" s="105" t="str">
        <f>IF(C64="","",34)</f>
        <v/>
      </c>
      <c r="C64" s="95"/>
      <c r="D64" s="96"/>
      <c r="E64" s="109"/>
      <c r="F64" s="98" t="str">
        <f t="shared" si="2"/>
        <v/>
      </c>
      <c r="G64" s="108"/>
      <c r="H64" s="100" t="str">
        <f t="shared" si="0"/>
        <v/>
      </c>
      <c r="I64" s="111"/>
      <c r="J64" s="106" t="str">
        <f t="shared" si="5"/>
        <v/>
      </c>
      <c r="K64" s="111"/>
      <c r="L64" s="103"/>
      <c r="M64" s="64"/>
      <c r="N64" s="64"/>
    </row>
    <row r="65" spans="2:14" ht="49.95" hidden="1" customHeight="1" x14ac:dyDescent="0.3">
      <c r="B65" s="105" t="str">
        <f>IF(C65="","",35)</f>
        <v/>
      </c>
      <c r="C65" s="95"/>
      <c r="D65" s="96"/>
      <c r="E65" s="109"/>
      <c r="F65" s="98" t="str">
        <f t="shared" si="2"/>
        <v/>
      </c>
      <c r="G65" s="108"/>
      <c r="H65" s="100" t="str">
        <f t="shared" si="0"/>
        <v/>
      </c>
      <c r="I65" s="111"/>
      <c r="J65" s="106" t="str">
        <f t="shared" si="5"/>
        <v/>
      </c>
      <c r="K65" s="111"/>
      <c r="L65" s="103"/>
      <c r="M65" s="64"/>
      <c r="N65" s="64"/>
    </row>
    <row r="66" spans="2:14" ht="49.95" hidden="1" customHeight="1" x14ac:dyDescent="0.3">
      <c r="B66" s="105" t="str">
        <f>IF(C66="","",36)</f>
        <v/>
      </c>
      <c r="C66" s="95"/>
      <c r="D66" s="96"/>
      <c r="E66" s="109"/>
      <c r="F66" s="98" t="str">
        <f t="shared" si="2"/>
        <v/>
      </c>
      <c r="G66" s="108"/>
      <c r="H66" s="100" t="str">
        <f t="shared" si="0"/>
        <v/>
      </c>
      <c r="I66" s="111"/>
      <c r="J66" s="106" t="str">
        <f t="shared" si="5"/>
        <v/>
      </c>
      <c r="K66" s="111"/>
      <c r="L66" s="103"/>
      <c r="M66" s="64"/>
      <c r="N66" s="64"/>
    </row>
    <row r="67" spans="2:14" ht="49.95" hidden="1" customHeight="1" x14ac:dyDescent="0.3">
      <c r="B67" s="105" t="str">
        <f>IF(C67="","",37)</f>
        <v/>
      </c>
      <c r="C67" s="95"/>
      <c r="D67" s="96"/>
      <c r="E67" s="109"/>
      <c r="F67" s="98" t="str">
        <f t="shared" si="2"/>
        <v/>
      </c>
      <c r="G67" s="108"/>
      <c r="H67" s="100" t="str">
        <f t="shared" si="0"/>
        <v/>
      </c>
      <c r="I67" s="111"/>
      <c r="J67" s="106" t="str">
        <f t="shared" si="5"/>
        <v/>
      </c>
      <c r="K67" s="111"/>
      <c r="L67" s="103"/>
      <c r="M67" s="64"/>
      <c r="N67" s="64"/>
    </row>
    <row r="68" spans="2:14" ht="49.95" hidden="1" customHeight="1" x14ac:dyDescent="0.3">
      <c r="B68" s="105" t="str">
        <f>IF(C68="","",38)</f>
        <v/>
      </c>
      <c r="C68" s="95"/>
      <c r="D68" s="96"/>
      <c r="E68" s="109"/>
      <c r="F68" s="98" t="str">
        <f t="shared" si="2"/>
        <v/>
      </c>
      <c r="G68" s="108"/>
      <c r="H68" s="100" t="str">
        <f t="shared" si="0"/>
        <v/>
      </c>
      <c r="I68" s="111"/>
      <c r="J68" s="106" t="str">
        <f t="shared" si="5"/>
        <v/>
      </c>
      <c r="K68" s="111"/>
      <c r="L68" s="103"/>
      <c r="M68" s="64"/>
      <c r="N68" s="64"/>
    </row>
    <row r="69" spans="2:14" ht="49.95" hidden="1" customHeight="1" x14ac:dyDescent="0.3">
      <c r="B69" s="105" t="str">
        <f>IF(C69="","",39)</f>
        <v/>
      </c>
      <c r="C69" s="95"/>
      <c r="D69" s="96"/>
      <c r="E69" s="109"/>
      <c r="F69" s="98" t="str">
        <f t="shared" si="2"/>
        <v/>
      </c>
      <c r="G69" s="108"/>
      <c r="H69" s="100" t="str">
        <f t="shared" si="0"/>
        <v/>
      </c>
      <c r="I69" s="111"/>
      <c r="J69" s="106" t="str">
        <f t="shared" si="5"/>
        <v/>
      </c>
      <c r="K69" s="111"/>
      <c r="L69" s="103"/>
      <c r="M69" s="64"/>
      <c r="N69" s="64"/>
    </row>
    <row r="70" spans="2:14" ht="49.95" hidden="1" customHeight="1" x14ac:dyDescent="0.3">
      <c r="B70" s="105" t="str">
        <f>IF(C70="","",40)</f>
        <v/>
      </c>
      <c r="C70" s="95"/>
      <c r="D70" s="96"/>
      <c r="E70" s="109"/>
      <c r="F70" s="98" t="str">
        <f t="shared" si="2"/>
        <v/>
      </c>
      <c r="G70" s="108"/>
      <c r="H70" s="100" t="str">
        <f t="shared" si="0"/>
        <v/>
      </c>
      <c r="I70" s="111"/>
      <c r="J70" s="106" t="str">
        <f t="shared" si="5"/>
        <v/>
      </c>
      <c r="K70" s="111"/>
      <c r="L70" s="103"/>
      <c r="M70" s="64"/>
      <c r="N70" s="64"/>
    </row>
    <row r="71" spans="2:14" ht="49.95" hidden="1" customHeight="1" x14ac:dyDescent="0.3">
      <c r="B71" s="105" t="str">
        <f>IF(C71="","",41)</f>
        <v/>
      </c>
      <c r="C71" s="95"/>
      <c r="D71" s="96"/>
      <c r="E71" s="109"/>
      <c r="F71" s="98" t="str">
        <f t="shared" si="2"/>
        <v/>
      </c>
      <c r="G71" s="108"/>
      <c r="H71" s="100" t="str">
        <f t="shared" si="0"/>
        <v/>
      </c>
      <c r="I71" s="111"/>
      <c r="J71" s="106" t="str">
        <f t="shared" si="5"/>
        <v/>
      </c>
      <c r="K71" s="111"/>
      <c r="L71" s="103"/>
      <c r="M71" s="64"/>
      <c r="N71" s="64"/>
    </row>
    <row r="72" spans="2:14" ht="49.95" hidden="1" customHeight="1" x14ac:dyDescent="0.3">
      <c r="B72" s="105" t="str">
        <f>IF(C72="","",42)</f>
        <v/>
      </c>
      <c r="C72" s="95"/>
      <c r="D72" s="96"/>
      <c r="E72" s="109"/>
      <c r="F72" s="98" t="str">
        <f t="shared" si="2"/>
        <v/>
      </c>
      <c r="G72" s="108"/>
      <c r="H72" s="100" t="str">
        <f t="shared" si="0"/>
        <v/>
      </c>
      <c r="I72" s="111"/>
      <c r="J72" s="106" t="str">
        <f t="shared" si="5"/>
        <v/>
      </c>
      <c r="K72" s="111"/>
      <c r="L72" s="103"/>
      <c r="M72" s="64"/>
      <c r="N72" s="64"/>
    </row>
    <row r="73" spans="2:14" ht="49.95" hidden="1" customHeight="1" x14ac:dyDescent="0.3">
      <c r="B73" s="105" t="str">
        <f>IF(C73="","",43)</f>
        <v/>
      </c>
      <c r="C73" s="95"/>
      <c r="D73" s="96"/>
      <c r="E73" s="109"/>
      <c r="F73" s="98" t="str">
        <f t="shared" si="2"/>
        <v/>
      </c>
      <c r="G73" s="108"/>
      <c r="H73" s="100" t="str">
        <f t="shared" si="0"/>
        <v/>
      </c>
      <c r="I73" s="111"/>
      <c r="J73" s="106" t="str">
        <f t="shared" si="5"/>
        <v/>
      </c>
      <c r="K73" s="111"/>
      <c r="L73" s="103"/>
      <c r="M73" s="64"/>
      <c r="N73" s="64"/>
    </row>
    <row r="74" spans="2:14" ht="49.95" hidden="1" customHeight="1" x14ac:dyDescent="0.3">
      <c r="B74" s="105" t="str">
        <f>IF(C74="","",44)</f>
        <v/>
      </c>
      <c r="C74" s="95"/>
      <c r="D74" s="96"/>
      <c r="E74" s="109"/>
      <c r="F74" s="98" t="str">
        <f t="shared" si="2"/>
        <v/>
      </c>
      <c r="G74" s="108"/>
      <c r="H74" s="100" t="str">
        <f t="shared" si="0"/>
        <v/>
      </c>
      <c r="I74" s="111"/>
      <c r="J74" s="106" t="str">
        <f t="shared" si="5"/>
        <v/>
      </c>
      <c r="K74" s="111"/>
      <c r="L74" s="103"/>
      <c r="M74" s="64"/>
      <c r="N74" s="64"/>
    </row>
    <row r="75" spans="2:14" ht="49.95" hidden="1" customHeight="1" x14ac:dyDescent="0.3">
      <c r="B75" s="105" t="str">
        <f>IF(C75="","",45)</f>
        <v/>
      </c>
      <c r="C75" s="95"/>
      <c r="D75" s="96"/>
      <c r="E75" s="109"/>
      <c r="F75" s="98" t="str">
        <f t="shared" si="2"/>
        <v/>
      </c>
      <c r="G75" s="108"/>
      <c r="H75" s="100" t="str">
        <f t="shared" si="0"/>
        <v/>
      </c>
      <c r="I75" s="111"/>
      <c r="J75" s="106" t="str">
        <f t="shared" si="5"/>
        <v/>
      </c>
      <c r="K75" s="111"/>
      <c r="L75" s="103"/>
      <c r="M75" s="64"/>
      <c r="N75" s="64"/>
    </row>
    <row r="76" spans="2:14" ht="49.95" hidden="1" customHeight="1" x14ac:dyDescent="0.3">
      <c r="B76" s="105" t="str">
        <f>IF(C76="","",46)</f>
        <v/>
      </c>
      <c r="C76" s="95"/>
      <c r="D76" s="96"/>
      <c r="E76" s="109"/>
      <c r="F76" s="98" t="str">
        <f t="shared" si="2"/>
        <v/>
      </c>
      <c r="G76" s="108"/>
      <c r="H76" s="100" t="str">
        <f t="shared" si="0"/>
        <v/>
      </c>
      <c r="I76" s="111"/>
      <c r="J76" s="106" t="str">
        <f t="shared" si="5"/>
        <v/>
      </c>
      <c r="K76" s="111"/>
      <c r="L76" s="103"/>
      <c r="M76" s="64"/>
      <c r="N76" s="64"/>
    </row>
    <row r="77" spans="2:14" ht="49.95" hidden="1" customHeight="1" x14ac:dyDescent="0.3">
      <c r="B77" s="105" t="str">
        <f>IF(C77="","",47)</f>
        <v/>
      </c>
      <c r="C77" s="95"/>
      <c r="D77" s="96"/>
      <c r="E77" s="109"/>
      <c r="F77" s="98" t="str">
        <f t="shared" si="2"/>
        <v/>
      </c>
      <c r="G77" s="108"/>
      <c r="H77" s="100" t="str">
        <f t="shared" si="0"/>
        <v/>
      </c>
      <c r="I77" s="111"/>
      <c r="J77" s="106" t="str">
        <f t="shared" si="5"/>
        <v/>
      </c>
      <c r="K77" s="111"/>
      <c r="L77" s="103"/>
      <c r="M77" s="64"/>
      <c r="N77" s="64"/>
    </row>
    <row r="78" spans="2:14" ht="49.95" hidden="1" customHeight="1" x14ac:dyDescent="0.3">
      <c r="B78" s="105" t="str">
        <f>IF(C78="","",48)</f>
        <v/>
      </c>
      <c r="C78" s="95"/>
      <c r="D78" s="96"/>
      <c r="E78" s="109"/>
      <c r="F78" s="98" t="str">
        <f t="shared" si="2"/>
        <v/>
      </c>
      <c r="G78" s="108"/>
      <c r="H78" s="100" t="str">
        <f t="shared" si="0"/>
        <v/>
      </c>
      <c r="I78" s="111"/>
      <c r="J78" s="106" t="str">
        <f t="shared" si="5"/>
        <v/>
      </c>
      <c r="K78" s="111"/>
      <c r="L78" s="103"/>
      <c r="M78" s="64"/>
      <c r="N78" s="64"/>
    </row>
    <row r="79" spans="2:14" x14ac:dyDescent="0.3">
      <c r="B79" s="112"/>
      <c r="C79" s="113"/>
      <c r="D79" s="113"/>
      <c r="E79" s="113"/>
      <c r="F79" s="113"/>
      <c r="G79" s="113"/>
      <c r="H79" s="113"/>
      <c r="I79" s="113"/>
      <c r="J79" s="113"/>
      <c r="K79" s="113"/>
      <c r="L79" s="114"/>
      <c r="M79" s="64"/>
      <c r="N79" s="64"/>
    </row>
    <row r="80" spans="2:14" ht="14.4" customHeight="1" x14ac:dyDescent="0.3">
      <c r="B80" s="115" t="s">
        <v>1339</v>
      </c>
      <c r="C80" s="116"/>
      <c r="D80" s="281"/>
      <c r="E80" s="281"/>
      <c r="F80" s="281"/>
      <c r="G80" s="281"/>
      <c r="H80" s="281"/>
      <c r="I80" s="281"/>
      <c r="J80" s="281"/>
      <c r="K80" s="281"/>
      <c r="L80" s="282"/>
      <c r="M80" s="64"/>
      <c r="N80" s="64"/>
    </row>
    <row r="81" spans="2:14" ht="14.4" customHeight="1" x14ac:dyDescent="0.3">
      <c r="B81" s="117"/>
      <c r="C81" s="116"/>
      <c r="D81" s="281"/>
      <c r="E81" s="281"/>
      <c r="F81" s="281"/>
      <c r="G81" s="281"/>
      <c r="H81" s="281"/>
      <c r="I81" s="281"/>
      <c r="J81" s="281"/>
      <c r="K81" s="281"/>
      <c r="L81" s="282"/>
      <c r="M81" s="64"/>
      <c r="N81" s="64"/>
    </row>
    <row r="82" spans="2:14" hidden="1" x14ac:dyDescent="0.3">
      <c r="B82" s="117"/>
      <c r="C82" s="116"/>
      <c r="D82" s="118"/>
      <c r="E82" s="119"/>
      <c r="F82" s="119"/>
      <c r="G82" s="119"/>
      <c r="H82" s="119"/>
      <c r="I82" s="119"/>
      <c r="J82" s="119"/>
      <c r="K82" s="119"/>
      <c r="L82" s="120"/>
      <c r="M82" s="64"/>
      <c r="N82" s="64"/>
    </row>
    <row r="83" spans="2:14" hidden="1" x14ac:dyDescent="0.3">
      <c r="B83" s="117"/>
      <c r="C83" s="116"/>
      <c r="D83" s="121"/>
      <c r="E83" s="121"/>
      <c r="F83" s="121"/>
      <c r="G83" s="121"/>
      <c r="H83" s="121"/>
      <c r="I83" s="121"/>
      <c r="J83" s="121"/>
      <c r="K83" s="121"/>
      <c r="L83" s="122"/>
      <c r="M83" s="64"/>
      <c r="N83" s="64"/>
    </row>
    <row r="84" spans="2:14" hidden="1" x14ac:dyDescent="0.3">
      <c r="B84" s="117"/>
      <c r="C84" s="116"/>
      <c r="D84" s="121"/>
      <c r="E84" s="121"/>
      <c r="F84" s="121"/>
      <c r="G84" s="121"/>
      <c r="H84" s="121"/>
      <c r="I84" s="121"/>
      <c r="J84" s="121"/>
      <c r="K84" s="121"/>
      <c r="L84" s="122"/>
      <c r="M84" s="64"/>
      <c r="N84" s="64"/>
    </row>
    <row r="85" spans="2:14" hidden="1" x14ac:dyDescent="0.3">
      <c r="B85" s="117"/>
      <c r="C85" s="116"/>
      <c r="D85" s="116"/>
      <c r="E85" s="116"/>
      <c r="F85" s="116"/>
      <c r="G85" s="116"/>
      <c r="H85" s="116"/>
      <c r="I85" s="116"/>
      <c r="J85" s="116"/>
      <c r="K85" s="116"/>
      <c r="L85" s="123"/>
      <c r="M85" s="64"/>
      <c r="N85" s="64"/>
    </row>
    <row r="86" spans="2:14" hidden="1" x14ac:dyDescent="0.3">
      <c r="B86" s="124"/>
      <c r="C86" s="116"/>
      <c r="D86" s="116"/>
      <c r="E86" s="116"/>
      <c r="F86" s="116"/>
      <c r="G86" s="116"/>
      <c r="H86" s="116"/>
      <c r="I86" s="116"/>
      <c r="J86" s="116"/>
      <c r="K86" s="116"/>
      <c r="L86" s="123"/>
      <c r="M86" s="64"/>
      <c r="N86" s="64"/>
    </row>
    <row r="87" spans="2:14" x14ac:dyDescent="0.3">
      <c r="B87" s="125"/>
      <c r="C87" s="126"/>
      <c r="D87" s="126"/>
      <c r="E87" s="126"/>
      <c r="F87" s="126"/>
      <c r="G87" s="126"/>
      <c r="H87" s="126"/>
      <c r="I87" s="126"/>
      <c r="J87" s="126"/>
      <c r="K87" s="126"/>
      <c r="L87" s="127"/>
      <c r="M87" s="64"/>
      <c r="N87" s="64"/>
    </row>
    <row r="88" spans="2:14" x14ac:dyDescent="0.3">
      <c r="B88" s="115" t="s">
        <v>1340</v>
      </c>
      <c r="C88" s="116"/>
      <c r="D88" s="116"/>
      <c r="E88" s="116"/>
      <c r="F88" s="116"/>
      <c r="G88" s="116"/>
      <c r="H88" s="116"/>
      <c r="I88" s="116"/>
      <c r="J88" s="116"/>
      <c r="K88" s="116"/>
      <c r="L88" s="123"/>
      <c r="M88" s="64"/>
      <c r="N88" s="64"/>
    </row>
    <row r="89" spans="2:14" x14ac:dyDescent="0.3">
      <c r="B89" s="115"/>
      <c r="C89" s="116"/>
      <c r="D89" s="116"/>
      <c r="E89" s="116"/>
      <c r="F89" s="116"/>
      <c r="G89" s="116"/>
      <c r="H89" s="116"/>
      <c r="I89" s="116"/>
      <c r="J89" s="116"/>
      <c r="K89" s="116"/>
      <c r="L89" s="123"/>
      <c r="M89" s="64"/>
      <c r="N89" s="64"/>
    </row>
    <row r="90" spans="2:14" x14ac:dyDescent="0.3">
      <c r="B90" s="128" t="s">
        <v>1522</v>
      </c>
      <c r="C90" s="129" t="str">
        <f>VLOOKUP($K$20,CAD_CO!$P$5:$Z$17,2,1)</f>
        <v>Todo material deve ser inspecionado pelo fornecedor antes do envio. Na chegada à RENOVA, será novamente verificado e, se estiver em desacordo, será devolvido e registrada uma não conformidade.</v>
      </c>
      <c r="D90" s="116"/>
      <c r="E90" s="116"/>
      <c r="F90" s="116"/>
      <c r="G90" s="116"/>
      <c r="H90" s="116"/>
      <c r="I90" s="116"/>
      <c r="J90" s="116"/>
      <c r="K90" s="116"/>
      <c r="L90" s="123"/>
      <c r="M90" s="64"/>
      <c r="N90" s="64"/>
    </row>
    <row r="91" spans="2:14" x14ac:dyDescent="0.3">
      <c r="B91" s="128" t="s">
        <v>1523</v>
      </c>
      <c r="C91" s="129" t="str">
        <f>VLOOKUP($K$20,CAD_CO!$P$5:$Z$17,3,1)</f>
        <v>Fornecer certificados via e-mail até a data de entrega do material;</v>
      </c>
      <c r="D91" s="116"/>
      <c r="E91" s="116"/>
      <c r="F91" s="116"/>
      <c r="G91" s="116"/>
      <c r="H91" s="116"/>
      <c r="I91" s="116"/>
      <c r="J91" s="116"/>
      <c r="K91" s="116"/>
      <c r="L91" s="123"/>
      <c r="M91" s="64"/>
      <c r="N91" s="64"/>
    </row>
    <row r="92" spans="2:14" x14ac:dyDescent="0.3">
      <c r="B92" s="128" t="s">
        <v>1524</v>
      </c>
      <c r="C92" s="129" t="str">
        <f>VLOOKUP($K$20,CAD_CO!$P$5:$Z$17,4,1)</f>
        <v>-</v>
      </c>
      <c r="D92" s="116"/>
      <c r="E92" s="116"/>
      <c r="F92" s="116"/>
      <c r="G92" s="116"/>
      <c r="H92" s="116"/>
      <c r="I92" s="116"/>
      <c r="J92" s="116"/>
      <c r="K92" s="116"/>
      <c r="L92" s="123"/>
      <c r="M92" s="64"/>
      <c r="N92" s="64"/>
    </row>
    <row r="93" spans="2:14" x14ac:dyDescent="0.3">
      <c r="B93" s="128" t="s">
        <v>1525</v>
      </c>
      <c r="C93" s="129" t="str">
        <f>VLOOKUP($K$20,CAD_CO!$P$5:$Z$17,5,1)</f>
        <v>-</v>
      </c>
      <c r="D93" s="169"/>
      <c r="E93" s="169"/>
      <c r="F93" s="169"/>
      <c r="G93" s="169"/>
      <c r="H93" s="169"/>
      <c r="I93" s="169"/>
      <c r="J93" s="169"/>
      <c r="K93" s="169"/>
      <c r="L93" s="170"/>
      <c r="M93" s="64"/>
      <c r="N93" s="64"/>
    </row>
    <row r="94" spans="2:14" x14ac:dyDescent="0.3">
      <c r="B94" s="128" t="s">
        <v>1526</v>
      </c>
      <c r="C94" s="129" t="str">
        <f>VLOOKUP($K$20,CAD_CO!$P$5:$Z$17,6,1)</f>
        <v>-</v>
      </c>
      <c r="D94" s="116"/>
      <c r="E94" s="116"/>
      <c r="F94" s="116"/>
      <c r="G94" s="116"/>
      <c r="H94" s="116"/>
      <c r="I94" s="116"/>
      <c r="J94" s="116"/>
      <c r="K94" s="116"/>
      <c r="L94" s="123"/>
      <c r="M94" s="64"/>
      <c r="N94" s="64"/>
    </row>
    <row r="95" spans="2:14" x14ac:dyDescent="0.3">
      <c r="B95" s="128" t="s">
        <v>1527</v>
      </c>
      <c r="C95" s="129" t="str">
        <f>VLOOKUP($K$20,CAD_CO!$P$5:$Z$17,7,1)</f>
        <v>-</v>
      </c>
      <c r="D95" s="116"/>
      <c r="E95" s="116"/>
      <c r="F95" s="116"/>
      <c r="G95" s="116"/>
      <c r="H95" s="116"/>
      <c r="I95" s="116"/>
      <c r="J95" s="116"/>
      <c r="K95" s="116"/>
      <c r="L95" s="123"/>
      <c r="M95" s="64"/>
      <c r="N95" s="64"/>
    </row>
    <row r="96" spans="2:14" x14ac:dyDescent="0.3">
      <c r="B96" s="128" t="s">
        <v>1528</v>
      </c>
      <c r="C96" s="129" t="str">
        <f>VLOOKUP($K$20,CAD_CO!$P$5:$Z$17,8,1)</f>
        <v>-</v>
      </c>
      <c r="D96" s="64"/>
      <c r="E96" s="64"/>
      <c r="F96" s="64"/>
      <c r="G96" s="64"/>
      <c r="H96" s="64"/>
      <c r="I96" s="64"/>
      <c r="J96" s="64"/>
      <c r="K96" s="64"/>
      <c r="L96" s="131"/>
      <c r="M96" s="64"/>
      <c r="N96" s="64"/>
    </row>
    <row r="97" spans="2:14" x14ac:dyDescent="0.3">
      <c r="B97" s="128" t="s">
        <v>1529</v>
      </c>
      <c r="C97" s="129" t="str">
        <f>VLOOKUP($K$20,CAD_CO!$P$5:$Z$17,9,1)</f>
        <v>-</v>
      </c>
      <c r="D97" s="64"/>
      <c r="E97" s="64"/>
      <c r="F97" s="64"/>
      <c r="G97" s="64"/>
      <c r="H97" s="64"/>
      <c r="I97" s="64"/>
      <c r="J97" s="64"/>
      <c r="K97" s="64"/>
      <c r="L97" s="131"/>
      <c r="M97" s="64"/>
      <c r="N97" s="64"/>
    </row>
    <row r="98" spans="2:14" x14ac:dyDescent="0.3">
      <c r="B98" s="128" t="s">
        <v>1530</v>
      </c>
      <c r="C98" s="129" t="str">
        <f>VLOOKUP($K$20,CAD_CO!$P$5:$Z$17,10,1)</f>
        <v>-</v>
      </c>
      <c r="D98" s="64"/>
      <c r="E98" s="64"/>
      <c r="F98" s="64"/>
      <c r="G98" s="64"/>
      <c r="H98" s="64"/>
      <c r="I98" s="64"/>
      <c r="J98" s="64"/>
      <c r="K98" s="64"/>
      <c r="L98" s="131"/>
      <c r="M98" s="64"/>
      <c r="N98" s="64"/>
    </row>
    <row r="99" spans="2:14" x14ac:dyDescent="0.3">
      <c r="B99" s="130" t="s">
        <v>1521</v>
      </c>
      <c r="C99" s="129" t="str">
        <f>VLOOKUP($K$20,CAD_CO!$P$5:$Z$17,11,1)</f>
        <v>-</v>
      </c>
      <c r="D99" s="64"/>
      <c r="E99" s="64"/>
      <c r="F99" s="64"/>
      <c r="G99" s="64"/>
      <c r="H99" s="64"/>
      <c r="I99" s="64"/>
      <c r="J99" s="64"/>
      <c r="K99" s="64"/>
      <c r="L99" s="131"/>
      <c r="M99" s="64"/>
      <c r="N99" s="64"/>
    </row>
    <row r="100" spans="2:14" x14ac:dyDescent="0.3">
      <c r="B100" s="132"/>
      <c r="C100" s="81"/>
      <c r="D100" s="286"/>
      <c r="E100" s="286"/>
    </row>
    <row r="101" spans="2:14" x14ac:dyDescent="0.3">
      <c r="B101" s="134"/>
      <c r="C101" s="135"/>
      <c r="D101" s="135"/>
      <c r="E101" s="136"/>
      <c r="F101" s="136"/>
      <c r="G101" s="135"/>
      <c r="H101" s="135"/>
      <c r="I101" s="283"/>
      <c r="J101" s="283"/>
      <c r="K101" s="284"/>
      <c r="L101" s="285"/>
    </row>
    <row r="102" spans="2:14" ht="15" thickBot="1" x14ac:dyDescent="0.35">
      <c r="D102" s="138"/>
      <c r="E102" s="139"/>
      <c r="F102" s="140"/>
      <c r="I102" s="286"/>
      <c r="J102" s="286"/>
      <c r="K102" s="287"/>
      <c r="L102" s="288"/>
    </row>
    <row r="103" spans="2:14" x14ac:dyDescent="0.3">
      <c r="D103" s="266" t="s">
        <v>1341</v>
      </c>
      <c r="E103" s="267"/>
      <c r="I103" s="268"/>
      <c r="J103" s="268"/>
      <c r="K103" s="279"/>
      <c r="L103" s="280"/>
    </row>
    <row r="104" spans="2:14" x14ac:dyDescent="0.3">
      <c r="D104" s="105" t="s">
        <v>1326</v>
      </c>
      <c r="E104" s="141" t="str">
        <f>C21</f>
        <v>08.794.584/0001-26</v>
      </c>
      <c r="F104" s="140"/>
      <c r="I104" s="286" t="s">
        <v>1342</v>
      </c>
      <c r="J104" s="286"/>
      <c r="K104" s="287">
        <f>SUM(H31:H78)</f>
        <v>0</v>
      </c>
      <c r="L104" s="288"/>
    </row>
    <row r="105" spans="2:14" x14ac:dyDescent="0.3">
      <c r="D105" s="105" t="s">
        <v>1343</v>
      </c>
      <c r="E105" s="141" t="str">
        <f>VLOOKUP($C$20,CAD_CL!$B$5:$K$250,5,0)</f>
        <v>-</v>
      </c>
      <c r="F105" s="140"/>
      <c r="I105" s="286" t="s">
        <v>1344</v>
      </c>
      <c r="J105" s="286"/>
      <c r="K105" s="292">
        <f>SUM(J31:J45)+SUM(L31:L42)</f>
        <v>0</v>
      </c>
      <c r="L105" s="293"/>
      <c r="M105" s="142"/>
    </row>
    <row r="106" spans="2:14" ht="15" thickBot="1" x14ac:dyDescent="0.35">
      <c r="B106" s="143"/>
      <c r="C106" s="144"/>
      <c r="D106" s="105" t="s">
        <v>1345</v>
      </c>
      <c r="E106" s="141" t="str">
        <f>VLOOKUP($C$20,CAD_CL!$B$5:$K$250,6,0)</f>
        <v>-</v>
      </c>
      <c r="F106" s="140"/>
      <c r="G106" s="144"/>
      <c r="H106" s="144"/>
      <c r="I106" s="286" t="s">
        <v>1704</v>
      </c>
      <c r="J106" s="286"/>
      <c r="K106" s="292">
        <v>0</v>
      </c>
      <c r="L106" s="293"/>
    </row>
    <row r="107" spans="2:14" ht="15" thickBot="1" x14ac:dyDescent="0.35">
      <c r="B107" s="143"/>
      <c r="C107" s="144"/>
      <c r="D107" s="145" t="s">
        <v>1346</v>
      </c>
      <c r="E107" s="146" t="str">
        <f>VLOOKUP($C$20,CAD_CL!$B$5:$K$250,7,0)</f>
        <v>-</v>
      </c>
      <c r="F107" s="140"/>
      <c r="G107" s="144"/>
      <c r="H107" s="144"/>
      <c r="I107" s="294" t="s">
        <v>1347</v>
      </c>
      <c r="J107" s="294"/>
      <c r="K107" s="295">
        <f>SUM(K104:L105)+K106</f>
        <v>0</v>
      </c>
      <c r="L107" s="296"/>
    </row>
    <row r="108" spans="2:14" ht="15" thickBot="1" x14ac:dyDescent="0.35">
      <c r="B108" s="297"/>
      <c r="C108" s="298"/>
      <c r="D108" s="298"/>
      <c r="E108" s="298"/>
      <c r="F108" s="298"/>
      <c r="G108" s="298"/>
      <c r="H108" s="298"/>
      <c r="I108" s="298"/>
      <c r="J108" s="298"/>
      <c r="K108" s="298"/>
      <c r="L108" s="299"/>
    </row>
    <row r="109" spans="2:14" x14ac:dyDescent="0.3">
      <c r="B109" s="147"/>
      <c r="C109" s="148"/>
      <c r="D109" s="148"/>
      <c r="E109" s="149"/>
      <c r="F109" s="149"/>
      <c r="G109" s="300" t="s">
        <v>1348</v>
      </c>
      <c r="H109" s="301"/>
      <c r="I109" s="302" t="s">
        <v>239</v>
      </c>
      <c r="J109" s="303"/>
      <c r="K109" s="303"/>
      <c r="L109" s="304"/>
    </row>
    <row r="110" spans="2:14" ht="15" thickBot="1" x14ac:dyDescent="0.35">
      <c r="B110" s="150" t="s">
        <v>1349</v>
      </c>
      <c r="C110" s="151"/>
      <c r="D110" s="152"/>
      <c r="E110" s="153" t="s">
        <v>1698</v>
      </c>
      <c r="F110" s="153"/>
      <c r="G110" s="289" t="s">
        <v>1704</v>
      </c>
      <c r="H110" s="290"/>
      <c r="I110" s="290"/>
      <c r="J110" s="290"/>
      <c r="K110" s="290"/>
      <c r="L110" s="291"/>
    </row>
  </sheetData>
  <sheetProtection selectLockedCells="1"/>
  <mergeCells count="55">
    <mergeCell ref="C21:I21"/>
    <mergeCell ref="C20:I20"/>
    <mergeCell ref="D2:E8"/>
    <mergeCell ref="C13:L13"/>
    <mergeCell ref="C14:E14"/>
    <mergeCell ref="H14:I14"/>
    <mergeCell ref="K14:L14"/>
    <mergeCell ref="B18:L19"/>
    <mergeCell ref="K2:L2"/>
    <mergeCell ref="B3:C7"/>
    <mergeCell ref="B9:L10"/>
    <mergeCell ref="C11:L11"/>
    <mergeCell ref="C12:L12"/>
    <mergeCell ref="J3:J4"/>
    <mergeCell ref="K3:L4"/>
    <mergeCell ref="J6:J7"/>
    <mergeCell ref="K6:L7"/>
    <mergeCell ref="G3:G4"/>
    <mergeCell ref="G6:G7"/>
    <mergeCell ref="H6:I7"/>
    <mergeCell ref="H3:I4"/>
    <mergeCell ref="G110:L110"/>
    <mergeCell ref="I104:J104"/>
    <mergeCell ref="K104:L104"/>
    <mergeCell ref="I105:J105"/>
    <mergeCell ref="K105:L105"/>
    <mergeCell ref="I106:J106"/>
    <mergeCell ref="K106:L106"/>
    <mergeCell ref="I107:J107"/>
    <mergeCell ref="K107:L107"/>
    <mergeCell ref="B108:L108"/>
    <mergeCell ref="G109:H109"/>
    <mergeCell ref="I109:L109"/>
    <mergeCell ref="D80:L81"/>
    <mergeCell ref="I101:J101"/>
    <mergeCell ref="K101:L101"/>
    <mergeCell ref="D100:E100"/>
    <mergeCell ref="I102:J102"/>
    <mergeCell ref="K102:L102"/>
    <mergeCell ref="C22:J22"/>
    <mergeCell ref="C23:J23"/>
    <mergeCell ref="C24:J24"/>
    <mergeCell ref="C25:J25"/>
    <mergeCell ref="D103:E103"/>
    <mergeCell ref="I103:J103"/>
    <mergeCell ref="G29:H29"/>
    <mergeCell ref="I29:J29"/>
    <mergeCell ref="B27:L28"/>
    <mergeCell ref="B29:B30"/>
    <mergeCell ref="C29:C30"/>
    <mergeCell ref="D29:D30"/>
    <mergeCell ref="E29:E30"/>
    <mergeCell ref="F29:F30"/>
    <mergeCell ref="K29:L29"/>
    <mergeCell ref="K103:L103"/>
  </mergeCells>
  <pageMargins left="0.51181102362204722" right="0.51181102362204722" top="0.78740157480314965" bottom="0.78740157480314965" header="0.31496062992125984" footer="0.31496062992125984"/>
  <pageSetup paperSize="9" scale="48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CAC9D0F-0D47-4413-A634-BE231DC31C01}">
          <x14:formula1>
            <xm:f>CAD_CO!$J$5:$J$13</xm:f>
          </x14:formula1>
          <xm:sqref>S3</xm:sqref>
        </x14:dataValidation>
        <x14:dataValidation type="list" allowBlank="1" showInputMessage="1" showErrorMessage="1" xr:uid="{0F1A1A48-9F25-48EE-A19E-1B9CCFF4D17A}">
          <x14:formula1>
            <xm:f>CAD_CL!$B$5:$B$250</xm:f>
          </x14:formula1>
          <xm:sqref>C20</xm:sqref>
        </x14:dataValidation>
        <x14:dataValidation type="list" allowBlank="1" showInputMessage="1" showErrorMessage="1" xr:uid="{5C2C94D0-C984-4841-B316-E5E3E740032E}">
          <x14:formula1>
            <xm:f>CAD_CO!$B$5:$B$25</xm:f>
          </x14:formula1>
          <xm:sqref>E110</xm:sqref>
        </x14:dataValidation>
        <x14:dataValidation type="list" allowBlank="1" showInputMessage="1" showErrorMessage="1" xr:uid="{CC198EA0-8E38-4571-A813-4F7BEF5BFB7B}">
          <x14:formula1>
            <xm:f>CAD_CO!$F$5:$F$7</xm:f>
          </x14:formula1>
          <xm:sqref>I109:L109</xm:sqref>
        </x14:dataValidation>
        <x14:dataValidation type="list" allowBlank="1" showInputMessage="1" showErrorMessage="1" xr:uid="{910B4003-E93C-4764-BA41-7CE34F3BED4B}">
          <x14:formula1>
            <xm:f>CAD_CO!$D$5:$D$25</xm:f>
          </x14:formula1>
          <xm:sqref>D31:D46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D616-535C-495E-A38E-85F20C0A804A}">
  <sheetPr codeName="Planilha1"/>
  <dimension ref="A1:AH29"/>
  <sheetViews>
    <sheetView showGridLines="0" workbookViewId="0"/>
  </sheetViews>
  <sheetFormatPr defaultColWidth="8.88671875" defaultRowHeight="14.4" x14ac:dyDescent="0.3"/>
  <cols>
    <col min="1" max="1" width="10.6640625" style="2" customWidth="1"/>
    <col min="2" max="2" width="25.6640625" style="2" customWidth="1"/>
    <col min="3" max="3" width="4.6640625" style="2" customWidth="1"/>
    <col min="4" max="4" width="25.6640625" style="2" customWidth="1"/>
    <col min="5" max="5" width="4.6640625" style="2" customWidth="1"/>
    <col min="6" max="6" width="25.6640625" style="2" customWidth="1"/>
    <col min="7" max="7" width="4.6640625" style="2" customWidth="1"/>
    <col min="8" max="8" width="25.6640625" style="2" customWidth="1"/>
    <col min="9" max="9" width="4.6640625" style="2" customWidth="1"/>
    <col min="10" max="10" width="25.6640625" style="2" customWidth="1"/>
    <col min="11" max="11" width="4.6640625" style="2" customWidth="1"/>
    <col min="12" max="12" width="25.6640625" style="2" customWidth="1"/>
    <col min="13" max="13" width="4.6640625" style="2" customWidth="1"/>
    <col min="14" max="14" width="25.6640625" style="2" customWidth="1"/>
    <col min="15" max="15" width="4.6640625" style="2" customWidth="1"/>
    <col min="16" max="16" width="25.6640625" style="2" customWidth="1"/>
    <col min="17" max="26" width="8.88671875" style="257"/>
    <col min="27" max="16384" width="8.88671875" style="2"/>
  </cols>
  <sheetData>
    <row r="1" spans="1:34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1"/>
      <c r="AB1" s="1"/>
      <c r="AC1" s="1"/>
    </row>
    <row r="2" spans="1:34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3"/>
      <c r="AB2" s="3"/>
      <c r="AC2" s="3"/>
      <c r="AG2"/>
      <c r="AH2"/>
    </row>
    <row r="3" spans="1:34" ht="15" thickBot="1" x14ac:dyDescent="0.35">
      <c r="AG3"/>
      <c r="AH3"/>
    </row>
    <row r="4" spans="1:34" ht="31.95" customHeight="1" thickBot="1" x14ac:dyDescent="0.35">
      <c r="B4" s="4" t="s">
        <v>211</v>
      </c>
      <c r="D4" s="4" t="s">
        <v>223</v>
      </c>
      <c r="F4" s="4" t="s">
        <v>238</v>
      </c>
      <c r="H4" s="4" t="s">
        <v>241</v>
      </c>
      <c r="J4" s="4" t="s">
        <v>12</v>
      </c>
      <c r="L4" s="4" t="s">
        <v>246</v>
      </c>
      <c r="N4" s="4" t="s">
        <v>1267</v>
      </c>
      <c r="P4" s="4" t="s">
        <v>1255</v>
      </c>
      <c r="Q4" s="257">
        <v>1</v>
      </c>
      <c r="R4" s="257">
        <v>2</v>
      </c>
      <c r="S4" s="257">
        <v>3</v>
      </c>
      <c r="T4" s="257">
        <v>4</v>
      </c>
      <c r="U4" s="257">
        <v>5</v>
      </c>
      <c r="V4" s="257">
        <v>6</v>
      </c>
      <c r="W4" s="257">
        <v>7</v>
      </c>
      <c r="X4" s="257">
        <v>8</v>
      </c>
      <c r="Y4" s="257">
        <v>9</v>
      </c>
      <c r="Z4" s="257">
        <v>10</v>
      </c>
      <c r="AA4" s="7"/>
      <c r="AB4" s="7"/>
      <c r="AC4" s="7"/>
      <c r="AG4"/>
      <c r="AH4"/>
    </row>
    <row r="5" spans="1:34" ht="31.95" customHeight="1" thickBot="1" x14ac:dyDescent="0.35">
      <c r="B5" s="20" t="s">
        <v>212</v>
      </c>
      <c r="D5" s="20" t="s">
        <v>224</v>
      </c>
      <c r="F5" s="20" t="s">
        <v>239</v>
      </c>
      <c r="H5" s="20" t="s">
        <v>242</v>
      </c>
      <c r="J5" s="20">
        <v>2022</v>
      </c>
      <c r="L5" s="20">
        <v>10</v>
      </c>
      <c r="N5" s="20" t="s">
        <v>1268</v>
      </c>
      <c r="P5" s="34" t="s">
        <v>1243</v>
      </c>
      <c r="Q5" s="140" t="s">
        <v>1629</v>
      </c>
      <c r="R5" s="140" t="s">
        <v>1256</v>
      </c>
      <c r="S5" s="257" t="s">
        <v>11</v>
      </c>
      <c r="T5" s="140" t="s">
        <v>1263</v>
      </c>
      <c r="U5" s="140" t="s">
        <v>1264</v>
      </c>
      <c r="V5" s="140" t="s">
        <v>1265</v>
      </c>
      <c r="W5" s="257" t="s">
        <v>11</v>
      </c>
      <c r="X5" s="257" t="s">
        <v>11</v>
      </c>
      <c r="Y5" s="257" t="s">
        <v>11</v>
      </c>
      <c r="Z5" s="257" t="s">
        <v>11</v>
      </c>
      <c r="AG5"/>
      <c r="AH5"/>
    </row>
    <row r="6" spans="1:34" ht="31.95" customHeight="1" thickBot="1" x14ac:dyDescent="0.35">
      <c r="B6" s="20" t="s">
        <v>213</v>
      </c>
      <c r="D6" s="20" t="s">
        <v>225</v>
      </c>
      <c r="F6" s="20" t="s">
        <v>240</v>
      </c>
      <c r="H6" s="20" t="s">
        <v>243</v>
      </c>
      <c r="J6" s="20">
        <v>2023</v>
      </c>
      <c r="L6" s="20">
        <v>8</v>
      </c>
      <c r="N6" s="20" t="s">
        <v>1269</v>
      </c>
      <c r="P6" s="34" t="s">
        <v>1244</v>
      </c>
      <c r="Q6" s="140" t="s">
        <v>1629</v>
      </c>
      <c r="R6" s="140" t="s">
        <v>1256</v>
      </c>
      <c r="S6" s="257" t="s">
        <v>1650</v>
      </c>
      <c r="T6" s="140" t="s">
        <v>1258</v>
      </c>
      <c r="U6" s="140" t="s">
        <v>1259</v>
      </c>
      <c r="V6" s="140" t="s">
        <v>1261</v>
      </c>
      <c r="W6" s="140" t="s">
        <v>1260</v>
      </c>
      <c r="X6" s="140" t="s">
        <v>1356</v>
      </c>
      <c r="Y6" s="257" t="s">
        <v>11</v>
      </c>
      <c r="Z6" s="257" t="s">
        <v>11</v>
      </c>
      <c r="AG6"/>
      <c r="AH6"/>
    </row>
    <row r="7" spans="1:34" ht="31.95" customHeight="1" thickBot="1" x14ac:dyDescent="0.35">
      <c r="B7" s="20" t="s">
        <v>214</v>
      </c>
      <c r="D7" s="20" t="s">
        <v>226</v>
      </c>
      <c r="F7" s="20"/>
      <c r="H7" s="20" t="s">
        <v>244</v>
      </c>
      <c r="J7" s="20">
        <v>2024</v>
      </c>
      <c r="L7" s="20">
        <v>6</v>
      </c>
      <c r="N7" s="20" t="s">
        <v>1270</v>
      </c>
      <c r="P7" s="34" t="s">
        <v>1245</v>
      </c>
      <c r="Q7" s="140" t="s">
        <v>1629</v>
      </c>
      <c r="R7" s="140" t="s">
        <v>1256</v>
      </c>
      <c r="S7" s="257" t="s">
        <v>11</v>
      </c>
      <c r="T7" s="257" t="s">
        <v>11</v>
      </c>
      <c r="U7" s="257" t="s">
        <v>11</v>
      </c>
      <c r="V7" s="257" t="s">
        <v>11</v>
      </c>
      <c r="W7" s="257" t="s">
        <v>11</v>
      </c>
      <c r="X7" s="257" t="s">
        <v>11</v>
      </c>
      <c r="Y7" s="257" t="s">
        <v>11</v>
      </c>
      <c r="Z7" s="257" t="s">
        <v>11</v>
      </c>
      <c r="AG7"/>
      <c r="AH7"/>
    </row>
    <row r="8" spans="1:34" ht="31.95" customHeight="1" thickBot="1" x14ac:dyDescent="0.35">
      <c r="B8" s="20" t="s">
        <v>215</v>
      </c>
      <c r="D8" s="20" t="s">
        <v>227</v>
      </c>
      <c r="F8" s="20"/>
      <c r="H8" s="20" t="s">
        <v>245</v>
      </c>
      <c r="J8" s="20">
        <v>2025</v>
      </c>
      <c r="L8" s="20">
        <v>4</v>
      </c>
      <c r="N8" s="20"/>
      <c r="P8" s="34" t="s">
        <v>1246</v>
      </c>
      <c r="Q8" s="140" t="s">
        <v>1629</v>
      </c>
      <c r="R8" s="140" t="s">
        <v>1256</v>
      </c>
      <c r="S8" s="257" t="s">
        <v>11</v>
      </c>
      <c r="T8" s="257" t="s">
        <v>11</v>
      </c>
      <c r="U8" s="257" t="s">
        <v>11</v>
      </c>
      <c r="V8" s="257" t="s">
        <v>11</v>
      </c>
      <c r="W8" s="257" t="s">
        <v>11</v>
      </c>
      <c r="X8" s="257" t="s">
        <v>11</v>
      </c>
      <c r="Y8" s="257" t="s">
        <v>11</v>
      </c>
      <c r="Z8" s="257" t="s">
        <v>11</v>
      </c>
      <c r="AG8"/>
      <c r="AH8"/>
    </row>
    <row r="9" spans="1:34" ht="31.95" customHeight="1" thickBot="1" x14ac:dyDescent="0.35">
      <c r="B9" s="20" t="s">
        <v>216</v>
      </c>
      <c r="D9" s="20" t="s">
        <v>228</v>
      </c>
      <c r="F9" s="20"/>
      <c r="H9" s="20"/>
      <c r="J9" s="20">
        <v>2026</v>
      </c>
      <c r="L9" s="20">
        <v>0</v>
      </c>
      <c r="N9" s="20"/>
      <c r="P9" s="34" t="s">
        <v>1247</v>
      </c>
      <c r="Q9" s="140" t="s">
        <v>1629</v>
      </c>
      <c r="R9" s="140" t="s">
        <v>1256</v>
      </c>
      <c r="S9" s="257" t="s">
        <v>11</v>
      </c>
      <c r="T9" s="140" t="s">
        <v>1257</v>
      </c>
      <c r="U9" s="140" t="s">
        <v>1266</v>
      </c>
      <c r="V9" s="257" t="s">
        <v>11</v>
      </c>
      <c r="W9" s="257" t="s">
        <v>11</v>
      </c>
      <c r="X9" s="257" t="s">
        <v>11</v>
      </c>
      <c r="Y9" s="257" t="s">
        <v>11</v>
      </c>
      <c r="Z9" s="257" t="s">
        <v>11</v>
      </c>
      <c r="AG9"/>
      <c r="AH9"/>
    </row>
    <row r="10" spans="1:34" ht="31.95" customHeight="1" thickBot="1" x14ac:dyDescent="0.35">
      <c r="B10" s="20" t="s">
        <v>217</v>
      </c>
      <c r="D10" s="20" t="s">
        <v>229</v>
      </c>
      <c r="F10" s="20"/>
      <c r="H10" s="20"/>
      <c r="J10" s="20">
        <v>2027</v>
      </c>
      <c r="L10" s="20"/>
      <c r="N10" s="20"/>
      <c r="P10" s="34" t="s">
        <v>1248</v>
      </c>
      <c r="Q10" s="140" t="s">
        <v>1629</v>
      </c>
      <c r="R10" s="140" t="s">
        <v>1256</v>
      </c>
      <c r="S10" s="257" t="s">
        <v>11</v>
      </c>
      <c r="T10" s="140" t="s">
        <v>1357</v>
      </c>
      <c r="U10" s="257" t="s">
        <v>11</v>
      </c>
      <c r="V10" s="257" t="s">
        <v>11</v>
      </c>
      <c r="W10" s="257" t="s">
        <v>11</v>
      </c>
      <c r="X10" s="257" t="s">
        <v>11</v>
      </c>
      <c r="Y10" s="257" t="s">
        <v>11</v>
      </c>
      <c r="Z10" s="257" t="s">
        <v>11</v>
      </c>
      <c r="AG10"/>
      <c r="AH10"/>
    </row>
    <row r="11" spans="1:34" ht="31.95" customHeight="1" thickBot="1" x14ac:dyDescent="0.35">
      <c r="B11" s="20" t="s">
        <v>218</v>
      </c>
      <c r="D11" s="20" t="s">
        <v>230</v>
      </c>
      <c r="F11" s="20"/>
      <c r="H11" s="20"/>
      <c r="J11" s="20">
        <v>2028</v>
      </c>
      <c r="L11" s="20"/>
      <c r="N11" s="20"/>
      <c r="P11" s="34" t="s">
        <v>1249</v>
      </c>
      <c r="Q11" s="140" t="s">
        <v>1629</v>
      </c>
      <c r="R11" s="140" t="s">
        <v>1256</v>
      </c>
      <c r="S11" s="257" t="s">
        <v>11</v>
      </c>
      <c r="T11" s="257" t="s">
        <v>11</v>
      </c>
      <c r="U11" s="257" t="s">
        <v>11</v>
      </c>
      <c r="V11" s="257" t="s">
        <v>11</v>
      </c>
      <c r="W11" s="257" t="s">
        <v>11</v>
      </c>
      <c r="X11" s="257" t="s">
        <v>11</v>
      </c>
      <c r="Y11" s="257" t="s">
        <v>11</v>
      </c>
      <c r="Z11" s="257" t="s">
        <v>11</v>
      </c>
      <c r="AG11"/>
      <c r="AH11"/>
    </row>
    <row r="12" spans="1:34" ht="31.95" customHeight="1" thickBot="1" x14ac:dyDescent="0.35">
      <c r="B12" s="20" t="s">
        <v>219</v>
      </c>
      <c r="D12" s="20" t="s">
        <v>231</v>
      </c>
      <c r="F12" s="20"/>
      <c r="H12" s="20"/>
      <c r="J12" s="20">
        <v>2029</v>
      </c>
      <c r="L12" s="20"/>
      <c r="N12" s="20"/>
      <c r="P12" s="34" t="s">
        <v>1250</v>
      </c>
      <c r="Q12" s="140" t="s">
        <v>1629</v>
      </c>
      <c r="R12" s="140" t="s">
        <v>1256</v>
      </c>
      <c r="S12" s="257" t="s">
        <v>11</v>
      </c>
      <c r="T12" s="257" t="s">
        <v>11</v>
      </c>
      <c r="U12" s="257" t="s">
        <v>11</v>
      </c>
      <c r="V12" s="257" t="s">
        <v>11</v>
      </c>
      <c r="W12" s="257" t="s">
        <v>11</v>
      </c>
      <c r="X12" s="257" t="s">
        <v>11</v>
      </c>
      <c r="Y12" s="257" t="s">
        <v>11</v>
      </c>
      <c r="Z12" s="257" t="s">
        <v>11</v>
      </c>
      <c r="AG12"/>
      <c r="AH12"/>
    </row>
    <row r="13" spans="1:34" ht="31.95" customHeight="1" thickBot="1" x14ac:dyDescent="0.35">
      <c r="B13" s="20" t="s">
        <v>220</v>
      </c>
      <c r="D13" s="20" t="s">
        <v>232</v>
      </c>
      <c r="F13" s="20"/>
      <c r="H13" s="20"/>
      <c r="J13" s="20">
        <v>2030</v>
      </c>
      <c r="L13" s="20"/>
      <c r="N13" s="20"/>
      <c r="P13" s="34" t="s">
        <v>1251</v>
      </c>
      <c r="Q13" s="140" t="s">
        <v>1629</v>
      </c>
      <c r="R13" s="140" t="s">
        <v>1256</v>
      </c>
      <c r="S13" s="257" t="s">
        <v>11</v>
      </c>
      <c r="T13" s="257" t="s">
        <v>11</v>
      </c>
      <c r="U13" s="257" t="s">
        <v>11</v>
      </c>
      <c r="V13" s="257" t="s">
        <v>11</v>
      </c>
      <c r="W13" s="257" t="s">
        <v>11</v>
      </c>
      <c r="X13" s="257" t="s">
        <v>11</v>
      </c>
      <c r="Y13" s="257" t="s">
        <v>11</v>
      </c>
      <c r="Z13" s="257" t="s">
        <v>11</v>
      </c>
      <c r="AG13"/>
      <c r="AH13"/>
    </row>
    <row r="14" spans="1:34" ht="31.95" customHeight="1" thickBot="1" x14ac:dyDescent="0.35">
      <c r="B14" s="20" t="s">
        <v>221</v>
      </c>
      <c r="D14" s="20" t="s">
        <v>233</v>
      </c>
      <c r="F14" s="20"/>
      <c r="H14" s="20"/>
      <c r="J14" s="21"/>
      <c r="L14" s="21"/>
      <c r="N14" s="21"/>
      <c r="P14" s="34" t="s">
        <v>1252</v>
      </c>
      <c r="Q14" s="140" t="s">
        <v>1629</v>
      </c>
      <c r="R14" s="140" t="s">
        <v>1256</v>
      </c>
      <c r="S14" s="257" t="s">
        <v>11</v>
      </c>
      <c r="T14" s="140" t="s">
        <v>1258</v>
      </c>
      <c r="U14" s="140" t="s">
        <v>1259</v>
      </c>
      <c r="V14" s="140" t="s">
        <v>1261</v>
      </c>
      <c r="W14" s="140" t="s">
        <v>1262</v>
      </c>
      <c r="X14" s="257" t="s">
        <v>11</v>
      </c>
      <c r="Y14" s="257" t="s">
        <v>11</v>
      </c>
      <c r="Z14" s="257" t="s">
        <v>11</v>
      </c>
      <c r="AG14"/>
      <c r="AH14"/>
    </row>
    <row r="15" spans="1:34" ht="31.95" customHeight="1" thickBot="1" x14ac:dyDescent="0.35">
      <c r="B15" s="20" t="s">
        <v>222</v>
      </c>
      <c r="D15" s="20" t="s">
        <v>234</v>
      </c>
      <c r="F15" s="20"/>
      <c r="H15" s="20"/>
      <c r="J15" s="20"/>
      <c r="L15" s="20"/>
      <c r="N15" s="20"/>
      <c r="P15" s="34" t="s">
        <v>1253</v>
      </c>
      <c r="Q15" s="140" t="s">
        <v>1629</v>
      </c>
      <c r="R15" s="140" t="s">
        <v>1256</v>
      </c>
      <c r="S15" s="257" t="s">
        <v>11</v>
      </c>
      <c r="T15" s="140" t="s">
        <v>1258</v>
      </c>
      <c r="U15" s="140" t="s">
        <v>1259</v>
      </c>
      <c r="V15" s="140" t="s">
        <v>1261</v>
      </c>
      <c r="W15" s="257" t="s">
        <v>11</v>
      </c>
      <c r="X15" s="257" t="s">
        <v>11</v>
      </c>
      <c r="Y15" s="257" t="s">
        <v>11</v>
      </c>
      <c r="Z15" s="257" t="s">
        <v>11</v>
      </c>
      <c r="AG15"/>
      <c r="AH15"/>
    </row>
    <row r="16" spans="1:34" ht="31.95" customHeight="1" thickBot="1" x14ac:dyDescent="0.35">
      <c r="B16" s="20" t="s">
        <v>1674</v>
      </c>
      <c r="D16" s="20" t="s">
        <v>235</v>
      </c>
      <c r="F16" s="20"/>
      <c r="H16" s="20"/>
      <c r="J16" s="20"/>
      <c r="L16" s="20"/>
      <c r="N16" s="20"/>
      <c r="P16" s="34" t="s">
        <v>1254</v>
      </c>
      <c r="Q16" s="140" t="s">
        <v>1629</v>
      </c>
      <c r="R16" s="140" t="s">
        <v>1256</v>
      </c>
      <c r="S16" s="257" t="s">
        <v>11</v>
      </c>
      <c r="T16" s="257" t="s">
        <v>11</v>
      </c>
      <c r="U16" s="257" t="s">
        <v>11</v>
      </c>
      <c r="V16" s="257" t="s">
        <v>11</v>
      </c>
      <c r="W16" s="257" t="s">
        <v>11</v>
      </c>
      <c r="X16" s="257" t="s">
        <v>11</v>
      </c>
      <c r="Y16" s="257" t="s">
        <v>11</v>
      </c>
      <c r="Z16" s="257" t="s">
        <v>11</v>
      </c>
      <c r="AG16"/>
      <c r="AH16"/>
    </row>
    <row r="17" spans="2:34" ht="31.95" customHeight="1" thickBot="1" x14ac:dyDescent="0.35">
      <c r="B17" s="20" t="s">
        <v>1698</v>
      </c>
      <c r="D17" s="20" t="s">
        <v>236</v>
      </c>
      <c r="F17" s="20"/>
      <c r="H17" s="20"/>
      <c r="J17" s="20"/>
      <c r="L17" s="20"/>
      <c r="N17" s="20"/>
      <c r="P17" s="20" t="s">
        <v>1485</v>
      </c>
      <c r="Q17" s="140" t="s">
        <v>1629</v>
      </c>
      <c r="R17" s="140" t="s">
        <v>1486</v>
      </c>
      <c r="S17" s="257" t="s">
        <v>11</v>
      </c>
      <c r="T17" s="257" t="s">
        <v>11</v>
      </c>
      <c r="U17" s="257" t="s">
        <v>11</v>
      </c>
      <c r="V17" s="257" t="s">
        <v>11</v>
      </c>
      <c r="W17" s="257" t="s">
        <v>11</v>
      </c>
      <c r="X17" s="257" t="s">
        <v>11</v>
      </c>
      <c r="Y17" s="257" t="s">
        <v>11</v>
      </c>
      <c r="Z17" s="257" t="s">
        <v>11</v>
      </c>
      <c r="AG17"/>
      <c r="AH17"/>
    </row>
    <row r="18" spans="2:34" ht="31.95" customHeight="1" thickBot="1" x14ac:dyDescent="0.35">
      <c r="B18" s="20" t="s">
        <v>1791</v>
      </c>
      <c r="D18" s="20" t="s">
        <v>237</v>
      </c>
      <c r="F18" s="20"/>
      <c r="H18" s="20"/>
      <c r="J18" s="20"/>
      <c r="L18" s="20"/>
      <c r="N18" s="20"/>
      <c r="P18" s="20" t="s">
        <v>1487</v>
      </c>
      <c r="AG18"/>
      <c r="AH18"/>
    </row>
    <row r="19" spans="2:34" ht="31.95" customHeight="1" thickBot="1" x14ac:dyDescent="0.35">
      <c r="B19" s="20" t="s">
        <v>1799</v>
      </c>
      <c r="D19" s="20" t="s">
        <v>1556</v>
      </c>
      <c r="F19" s="20"/>
      <c r="H19" s="20"/>
      <c r="J19" s="20"/>
      <c r="L19" s="20"/>
      <c r="N19" s="20"/>
      <c r="P19" s="20"/>
    </row>
    <row r="20" spans="2:34" ht="31.95" customHeight="1" thickBot="1" x14ac:dyDescent="0.35">
      <c r="B20" s="20" t="s">
        <v>1814</v>
      </c>
      <c r="D20" s="20" t="s">
        <v>1673</v>
      </c>
      <c r="F20" s="20"/>
      <c r="H20" s="20"/>
      <c r="J20" s="20"/>
      <c r="L20" s="20"/>
      <c r="N20" s="20"/>
      <c r="P20" s="20"/>
    </row>
    <row r="21" spans="2:34" ht="31.95" customHeight="1" thickBot="1" x14ac:dyDescent="0.35">
      <c r="B21" s="20"/>
      <c r="D21" s="20"/>
      <c r="F21" s="20"/>
      <c r="H21" s="20"/>
      <c r="J21" s="20"/>
      <c r="L21" s="20"/>
      <c r="N21" s="20"/>
      <c r="P21" s="20"/>
    </row>
    <row r="22" spans="2:34" ht="31.95" customHeight="1" thickBot="1" x14ac:dyDescent="0.35">
      <c r="B22" s="20"/>
      <c r="D22" s="20"/>
      <c r="F22" s="20"/>
      <c r="H22" s="20"/>
      <c r="J22" s="20"/>
      <c r="L22" s="20"/>
      <c r="N22" s="20"/>
      <c r="P22" s="20"/>
    </row>
    <row r="23" spans="2:34" ht="31.95" customHeight="1" thickBot="1" x14ac:dyDescent="0.35">
      <c r="B23" s="20"/>
      <c r="D23" s="20"/>
      <c r="F23" s="20"/>
      <c r="H23" s="20"/>
      <c r="J23" s="20"/>
      <c r="L23" s="20"/>
      <c r="N23" s="20"/>
      <c r="P23" s="20"/>
    </row>
    <row r="24" spans="2:34" ht="31.95" customHeight="1" thickBot="1" x14ac:dyDescent="0.35">
      <c r="B24" s="20"/>
      <c r="D24" s="20"/>
      <c r="F24" s="20"/>
      <c r="H24" s="20"/>
      <c r="J24" s="20"/>
      <c r="L24" s="20"/>
      <c r="N24" s="20"/>
      <c r="P24" s="20"/>
    </row>
    <row r="25" spans="2:34" ht="31.95" customHeight="1" thickBot="1" x14ac:dyDescent="0.35">
      <c r="B25" s="20"/>
      <c r="D25" s="20"/>
      <c r="F25" s="20"/>
      <c r="H25" s="20"/>
      <c r="J25" s="20"/>
      <c r="L25" s="20"/>
      <c r="N25" s="20"/>
      <c r="P25" s="20"/>
    </row>
    <row r="26" spans="2:34" ht="31.95" customHeight="1" x14ac:dyDescent="0.3"/>
    <row r="27" spans="2:34" ht="31.95" customHeight="1" x14ac:dyDescent="0.3"/>
    <row r="28" spans="2:34" ht="31.95" customHeight="1" x14ac:dyDescent="0.3"/>
    <row r="29" spans="2:34" ht="31.95" customHeight="1" x14ac:dyDescent="0.3"/>
  </sheetData>
  <sheetProtection formatCells="0" formatColumns="0" formatRows="0" insertColumns="0" insertRows="0" insertHyperlinks="0" deleteColumns="0" deleteRows="0"/>
  <sortState xmlns:xlrd2="http://schemas.microsoft.com/office/spreadsheetml/2017/richdata2" ref="B5:B14">
    <sortCondition ref="B5:B14"/>
  </sortState>
  <hyperlinks>
    <hyperlink ref="A1" location="'Ordem de compra'!A1" display="'Ordem de compra'!A1" xr:uid="{79C194AB-5BE4-4EFF-9563-66AD614B5B2F}"/>
  </hyperlink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629D5-24A1-494C-AA10-E769350B3463}">
  <sheetPr codeName="Planilha2"/>
  <dimension ref="A1:P250"/>
  <sheetViews>
    <sheetView showGridLines="0" zoomScale="68" zoomScaleNormal="68" workbookViewId="0">
      <pane xSplit="1" ySplit="4" topLeftCell="B162" activePane="bottomRight" state="frozen"/>
      <selection pane="topRight" activeCell="B1" sqref="B1"/>
      <selection pane="bottomLeft" activeCell="A5" sqref="A5"/>
      <selection pane="bottomRight" activeCell="J176" sqref="J176"/>
    </sheetView>
  </sheetViews>
  <sheetFormatPr defaultColWidth="8.88671875" defaultRowHeight="14.4" x14ac:dyDescent="0.3"/>
  <cols>
    <col min="1" max="1" width="10.6640625" style="7" customWidth="1"/>
    <col min="2" max="2" width="50.6640625" style="6" customWidth="1"/>
    <col min="3" max="3" width="25.6640625" style="7" customWidth="1"/>
    <col min="4" max="4" width="50.6640625" style="6" customWidth="1"/>
    <col min="5" max="5" width="40.6640625" style="7" customWidth="1"/>
    <col min="6" max="8" width="15.6640625" style="7" customWidth="1"/>
    <col min="9" max="9" width="28.109375" style="7" customWidth="1"/>
    <col min="10" max="10" width="25.6640625" style="7" customWidth="1"/>
    <col min="11" max="11" width="47.44140625" style="7" bestFit="1" customWidth="1"/>
    <col min="12" max="16384" width="8.88671875" style="7"/>
  </cols>
  <sheetData>
    <row r="1" spans="1:13" ht="82.2" customHeight="1" x14ac:dyDescent="0.3">
      <c r="A1" s="206" t="e" vm="1">
        <v>#VALUE!</v>
      </c>
      <c r="B1" s="54"/>
      <c r="C1" s="32"/>
      <c r="D1" s="54"/>
      <c r="E1" s="32"/>
      <c r="F1" s="32"/>
      <c r="G1" s="32"/>
      <c r="H1" s="32"/>
      <c r="I1" s="32"/>
      <c r="J1" s="32"/>
      <c r="K1" s="32"/>
      <c r="L1" s="32"/>
      <c r="M1" s="32"/>
    </row>
    <row r="2" spans="1:13" ht="31.95" customHeight="1" x14ac:dyDescent="0.3">
      <c r="A2" s="33"/>
      <c r="B2" s="55"/>
      <c r="C2" s="33"/>
      <c r="D2" s="55"/>
      <c r="E2" s="33"/>
      <c r="F2" s="33"/>
      <c r="G2" s="33"/>
      <c r="H2" s="33"/>
      <c r="I2" s="33"/>
      <c r="J2" s="33"/>
      <c r="K2" s="33"/>
      <c r="L2" s="33"/>
      <c r="M2" s="33"/>
    </row>
    <row r="4" spans="1:13" ht="31.95" customHeight="1" x14ac:dyDescent="0.3">
      <c r="B4" s="204" t="s">
        <v>247</v>
      </c>
      <c r="C4" s="205" t="s">
        <v>248</v>
      </c>
      <c r="D4" s="204" t="s">
        <v>249</v>
      </c>
      <c r="E4" s="204" t="s">
        <v>2</v>
      </c>
      <c r="F4" s="205" t="s">
        <v>250</v>
      </c>
      <c r="G4" s="205" t="s">
        <v>251</v>
      </c>
      <c r="H4" s="205" t="s">
        <v>252</v>
      </c>
      <c r="I4" s="205" t="s">
        <v>253</v>
      </c>
      <c r="J4" s="205" t="s">
        <v>1</v>
      </c>
      <c r="K4" s="205" t="s">
        <v>254</v>
      </c>
    </row>
    <row r="5" spans="1:13" ht="31.95" customHeight="1" x14ac:dyDescent="0.3">
      <c r="B5" s="31" t="s">
        <v>255</v>
      </c>
      <c r="C5" s="22" t="s">
        <v>256</v>
      </c>
      <c r="D5" s="31" t="s">
        <v>257</v>
      </c>
      <c r="E5" s="22" t="s">
        <v>258</v>
      </c>
      <c r="F5" s="22" t="s">
        <v>11</v>
      </c>
      <c r="G5" s="22" t="s">
        <v>11</v>
      </c>
      <c r="H5" s="22" t="s">
        <v>11</v>
      </c>
      <c r="I5" s="22" t="s">
        <v>259</v>
      </c>
      <c r="J5" s="7" t="s">
        <v>260</v>
      </c>
      <c r="K5" s="7" t="s">
        <v>1245</v>
      </c>
    </row>
    <row r="6" spans="1:13" ht="31.95" customHeight="1" x14ac:dyDescent="0.3">
      <c r="B6" s="31" t="s">
        <v>261</v>
      </c>
      <c r="C6" s="22" t="s">
        <v>262</v>
      </c>
      <c r="D6" s="31" t="s">
        <v>263</v>
      </c>
      <c r="E6" s="22" t="s">
        <v>264</v>
      </c>
      <c r="F6" s="22" t="s">
        <v>265</v>
      </c>
      <c r="G6" s="22">
        <v>1557</v>
      </c>
      <c r="H6" s="22" t="s">
        <v>266</v>
      </c>
      <c r="I6" s="22" t="s">
        <v>267</v>
      </c>
      <c r="J6" s="7" t="s">
        <v>268</v>
      </c>
      <c r="K6" s="7" t="s">
        <v>1253</v>
      </c>
    </row>
    <row r="7" spans="1:13" ht="31.95" customHeight="1" x14ac:dyDescent="0.3">
      <c r="B7" s="31" t="s">
        <v>269</v>
      </c>
      <c r="C7" s="22" t="s">
        <v>270</v>
      </c>
      <c r="D7" s="31" t="s">
        <v>271</v>
      </c>
      <c r="E7" s="22" t="s">
        <v>272</v>
      </c>
      <c r="F7" s="22" t="s">
        <v>273</v>
      </c>
      <c r="G7" s="22">
        <v>1531</v>
      </c>
      <c r="H7" s="22" t="s">
        <v>274</v>
      </c>
      <c r="I7" s="22" t="s">
        <v>275</v>
      </c>
      <c r="J7" s="7" t="s">
        <v>276</v>
      </c>
      <c r="K7" s="7" t="s">
        <v>1245</v>
      </c>
    </row>
    <row r="8" spans="1:13" ht="31.95" customHeight="1" x14ac:dyDescent="0.3">
      <c r="B8" s="31" t="s">
        <v>277</v>
      </c>
      <c r="C8" s="22" t="s">
        <v>278</v>
      </c>
      <c r="D8" s="31" t="s">
        <v>279</v>
      </c>
      <c r="E8" s="22"/>
      <c r="F8" s="22" t="s">
        <v>11</v>
      </c>
      <c r="G8" s="22" t="s">
        <v>11</v>
      </c>
      <c r="H8" s="22" t="s">
        <v>11</v>
      </c>
      <c r="I8" s="22"/>
      <c r="K8" s="7" t="s">
        <v>1244</v>
      </c>
    </row>
    <row r="9" spans="1:13" ht="31.95" customHeight="1" x14ac:dyDescent="0.3">
      <c r="B9" s="31" t="s">
        <v>280</v>
      </c>
      <c r="C9" s="22" t="s">
        <v>281</v>
      </c>
      <c r="D9" s="31" t="s">
        <v>282</v>
      </c>
      <c r="E9" s="22" t="s">
        <v>283</v>
      </c>
      <c r="F9" s="22" t="s">
        <v>284</v>
      </c>
      <c r="G9" s="22" t="s">
        <v>285</v>
      </c>
      <c r="H9" s="22" t="s">
        <v>286</v>
      </c>
      <c r="I9" s="22" t="s">
        <v>287</v>
      </c>
      <c r="J9" s="7" t="s">
        <v>288</v>
      </c>
      <c r="K9" s="7" t="s">
        <v>1252</v>
      </c>
    </row>
    <row r="10" spans="1:13" ht="31.95" customHeight="1" x14ac:dyDescent="0.3">
      <c r="B10" s="31" t="s">
        <v>289</v>
      </c>
      <c r="C10" s="22" t="s">
        <v>290</v>
      </c>
      <c r="D10" s="31" t="s">
        <v>291</v>
      </c>
      <c r="E10" s="22" t="s">
        <v>292</v>
      </c>
      <c r="F10" s="22" t="s">
        <v>293</v>
      </c>
      <c r="G10" s="22">
        <v>2298</v>
      </c>
      <c r="H10" s="22" t="s">
        <v>294</v>
      </c>
      <c r="I10" s="22" t="s">
        <v>295</v>
      </c>
      <c r="J10" s="7" t="s">
        <v>296</v>
      </c>
      <c r="K10" s="7" t="s">
        <v>1252</v>
      </c>
    </row>
    <row r="11" spans="1:13" ht="31.95" customHeight="1" x14ac:dyDescent="0.3">
      <c r="B11" s="31" t="s">
        <v>297</v>
      </c>
      <c r="C11" s="22" t="s">
        <v>298</v>
      </c>
      <c r="D11" s="31" t="s">
        <v>299</v>
      </c>
      <c r="E11" s="22" t="s">
        <v>300</v>
      </c>
      <c r="F11" s="22" t="s">
        <v>293</v>
      </c>
      <c r="G11" s="22" t="s">
        <v>301</v>
      </c>
      <c r="H11" s="22" t="s">
        <v>302</v>
      </c>
      <c r="I11" s="22" t="s">
        <v>303</v>
      </c>
      <c r="J11" s="7" t="s">
        <v>304</v>
      </c>
      <c r="K11" s="7" t="s">
        <v>1253</v>
      </c>
    </row>
    <row r="12" spans="1:13" ht="31.95" customHeight="1" x14ac:dyDescent="0.3">
      <c r="B12" s="31" t="s">
        <v>305</v>
      </c>
      <c r="C12" s="22" t="s">
        <v>306</v>
      </c>
      <c r="D12" s="31" t="s">
        <v>307</v>
      </c>
      <c r="E12" s="22" t="s">
        <v>258</v>
      </c>
      <c r="F12" s="22"/>
      <c r="G12" s="22"/>
      <c r="H12" s="22"/>
      <c r="I12" s="22" t="s">
        <v>259</v>
      </c>
      <c r="J12" s="7" t="s">
        <v>308</v>
      </c>
      <c r="K12" s="7" t="s">
        <v>1245</v>
      </c>
    </row>
    <row r="13" spans="1:13" ht="31.95" customHeight="1" x14ac:dyDescent="0.3">
      <c r="B13" s="31" t="s">
        <v>311</v>
      </c>
      <c r="C13" s="22" t="s">
        <v>312</v>
      </c>
      <c r="D13" s="31" t="s">
        <v>313</v>
      </c>
      <c r="E13" s="207" t="s">
        <v>314</v>
      </c>
      <c r="F13" s="22" t="s">
        <v>11</v>
      </c>
      <c r="G13" s="22" t="s">
        <v>11</v>
      </c>
      <c r="H13" s="22" t="s">
        <v>11</v>
      </c>
      <c r="I13" s="22" t="s">
        <v>315</v>
      </c>
      <c r="J13" s="7" t="s">
        <v>316</v>
      </c>
      <c r="K13" s="7" t="s">
        <v>1245</v>
      </c>
    </row>
    <row r="14" spans="1:13" ht="31.95" customHeight="1" x14ac:dyDescent="0.3">
      <c r="B14" s="31" t="s">
        <v>317</v>
      </c>
      <c r="C14" s="22" t="s">
        <v>256</v>
      </c>
      <c r="D14" s="31" t="s">
        <v>318</v>
      </c>
      <c r="E14" s="22" t="s">
        <v>319</v>
      </c>
      <c r="F14" s="22" t="s">
        <v>11</v>
      </c>
      <c r="G14" s="22" t="s">
        <v>11</v>
      </c>
      <c r="H14" s="22" t="s">
        <v>11</v>
      </c>
      <c r="I14" s="22" t="s">
        <v>259</v>
      </c>
      <c r="J14" s="7" t="s">
        <v>320</v>
      </c>
      <c r="K14" s="7" t="s">
        <v>1245</v>
      </c>
    </row>
    <row r="15" spans="1:13" ht="31.95" customHeight="1" x14ac:dyDescent="0.3">
      <c r="B15" s="31" t="s">
        <v>321</v>
      </c>
      <c r="C15" s="22" t="s">
        <v>322</v>
      </c>
      <c r="D15" s="31" t="s">
        <v>323</v>
      </c>
      <c r="E15" s="22" t="s">
        <v>324</v>
      </c>
      <c r="F15" s="22" t="s">
        <v>11</v>
      </c>
      <c r="G15" s="22" t="s">
        <v>11</v>
      </c>
      <c r="H15" s="22" t="s">
        <v>11</v>
      </c>
      <c r="I15" s="22" t="s">
        <v>259</v>
      </c>
      <c r="J15" s="7" t="s">
        <v>325</v>
      </c>
      <c r="K15" s="7" t="s">
        <v>1245</v>
      </c>
    </row>
    <row r="16" spans="1:13" ht="31.95" customHeight="1" x14ac:dyDescent="0.3">
      <c r="B16" s="31" t="s">
        <v>326</v>
      </c>
      <c r="C16" s="22" t="s">
        <v>327</v>
      </c>
      <c r="D16" s="31" t="s">
        <v>328</v>
      </c>
      <c r="E16" s="22" t="s">
        <v>329</v>
      </c>
      <c r="F16" s="22" t="s">
        <v>293</v>
      </c>
      <c r="G16" s="22" t="s">
        <v>330</v>
      </c>
      <c r="H16" s="22" t="s">
        <v>331</v>
      </c>
      <c r="I16" s="22" t="s">
        <v>332</v>
      </c>
      <c r="J16" s="7" t="s">
        <v>333</v>
      </c>
      <c r="K16" s="7" t="s">
        <v>1253</v>
      </c>
    </row>
    <row r="17" spans="2:11" ht="31.95" customHeight="1" x14ac:dyDescent="0.3">
      <c r="B17" s="6" t="s">
        <v>1472</v>
      </c>
      <c r="C17" s="7" t="s">
        <v>1473</v>
      </c>
      <c r="D17" s="6" t="s">
        <v>1474</v>
      </c>
      <c r="E17" s="208" t="s">
        <v>1475</v>
      </c>
      <c r="F17" s="7" t="s">
        <v>833</v>
      </c>
      <c r="G17" s="7">
        <v>1546</v>
      </c>
      <c r="H17" s="240" t="s">
        <v>1476</v>
      </c>
      <c r="I17" s="7" t="s">
        <v>1477</v>
      </c>
      <c r="J17" s="7" t="s">
        <v>1478</v>
      </c>
      <c r="K17" s="7" t="s">
        <v>1485</v>
      </c>
    </row>
    <row r="18" spans="2:11" ht="31.95" customHeight="1" x14ac:dyDescent="0.3">
      <c r="B18" s="31" t="s">
        <v>334</v>
      </c>
      <c r="C18" s="22" t="s">
        <v>335</v>
      </c>
      <c r="D18" s="31" t="s">
        <v>336</v>
      </c>
      <c r="E18" s="22" t="s">
        <v>337</v>
      </c>
      <c r="F18" s="22" t="s">
        <v>11</v>
      </c>
      <c r="G18" s="22" t="s">
        <v>11</v>
      </c>
      <c r="H18" s="22" t="s">
        <v>11</v>
      </c>
      <c r="I18" s="22" t="s">
        <v>338</v>
      </c>
      <c r="J18" s="7" t="s">
        <v>339</v>
      </c>
      <c r="K18" s="7" t="s">
        <v>1252</v>
      </c>
    </row>
    <row r="19" spans="2:11" ht="31.95" customHeight="1" x14ac:dyDescent="0.3">
      <c r="B19" s="31" t="s">
        <v>340</v>
      </c>
      <c r="C19" s="22" t="s">
        <v>341</v>
      </c>
      <c r="D19" s="31" t="s">
        <v>342</v>
      </c>
      <c r="E19" s="22" t="s">
        <v>343</v>
      </c>
      <c r="F19" s="22" t="s">
        <v>11</v>
      </c>
      <c r="G19" s="22" t="s">
        <v>11</v>
      </c>
      <c r="H19" s="22" t="s">
        <v>11</v>
      </c>
      <c r="I19" s="22"/>
      <c r="K19" s="7" t="s">
        <v>1248</v>
      </c>
    </row>
    <row r="20" spans="2:11" ht="31.95" customHeight="1" x14ac:dyDescent="0.3">
      <c r="B20" s="31" t="s">
        <v>344</v>
      </c>
      <c r="C20" s="22" t="s">
        <v>345</v>
      </c>
      <c r="D20" s="31" t="s">
        <v>346</v>
      </c>
      <c r="E20" s="207" t="s">
        <v>347</v>
      </c>
      <c r="F20" s="22" t="s">
        <v>309</v>
      </c>
      <c r="G20" s="22" t="s">
        <v>348</v>
      </c>
      <c r="H20" s="22" t="s">
        <v>349</v>
      </c>
      <c r="I20" s="22" t="s">
        <v>350</v>
      </c>
      <c r="J20" s="7" t="s">
        <v>351</v>
      </c>
      <c r="K20" s="7" t="s">
        <v>1245</v>
      </c>
    </row>
    <row r="21" spans="2:11" ht="31.95" customHeight="1" x14ac:dyDescent="0.3">
      <c r="B21" s="31" t="s">
        <v>352</v>
      </c>
      <c r="C21" s="22" t="s">
        <v>353</v>
      </c>
      <c r="D21" s="31" t="s">
        <v>354</v>
      </c>
      <c r="E21" s="22" t="s">
        <v>355</v>
      </c>
      <c r="F21" s="22" t="s">
        <v>356</v>
      </c>
      <c r="G21" s="22" t="s">
        <v>357</v>
      </c>
      <c r="H21" s="22" t="s">
        <v>358</v>
      </c>
      <c r="I21" s="22" t="s">
        <v>359</v>
      </c>
      <c r="J21" s="7" t="s">
        <v>360</v>
      </c>
      <c r="K21" s="7" t="s">
        <v>1248</v>
      </c>
    </row>
    <row r="22" spans="2:11" ht="31.95" customHeight="1" x14ac:dyDescent="0.3">
      <c r="B22" s="31" t="s">
        <v>361</v>
      </c>
      <c r="C22" s="22" t="s">
        <v>362</v>
      </c>
      <c r="D22" s="31" t="s">
        <v>363</v>
      </c>
      <c r="E22" s="22" t="s">
        <v>364</v>
      </c>
      <c r="F22" s="22" t="s">
        <v>273</v>
      </c>
      <c r="G22" s="22">
        <v>2107</v>
      </c>
      <c r="H22" s="22" t="s">
        <v>365</v>
      </c>
      <c r="I22" s="22" t="s">
        <v>366</v>
      </c>
      <c r="J22" s="7" t="s">
        <v>367</v>
      </c>
      <c r="K22" s="7" t="s">
        <v>1487</v>
      </c>
    </row>
    <row r="23" spans="2:11" ht="31.95" customHeight="1" x14ac:dyDescent="0.3">
      <c r="B23" s="31" t="s">
        <v>368</v>
      </c>
      <c r="C23" s="22" t="s">
        <v>369</v>
      </c>
      <c r="D23" s="31" t="s">
        <v>370</v>
      </c>
      <c r="E23" s="22" t="s">
        <v>371</v>
      </c>
      <c r="F23" s="22"/>
      <c r="G23" s="22"/>
      <c r="H23" s="22"/>
      <c r="I23" s="22" t="s">
        <v>372</v>
      </c>
      <c r="J23" s="7" t="s">
        <v>373</v>
      </c>
      <c r="K23" s="7" t="s">
        <v>1243</v>
      </c>
    </row>
    <row r="24" spans="2:11" ht="31.95" customHeight="1" x14ac:dyDescent="0.3">
      <c r="B24" s="31" t="s">
        <v>374</v>
      </c>
      <c r="C24" s="22" t="s">
        <v>375</v>
      </c>
      <c r="D24" s="31" t="s">
        <v>376</v>
      </c>
      <c r="E24" s="22" t="s">
        <v>377</v>
      </c>
      <c r="F24" s="22" t="s">
        <v>309</v>
      </c>
      <c r="G24" s="22" t="s">
        <v>378</v>
      </c>
      <c r="H24" s="22" t="s">
        <v>379</v>
      </c>
      <c r="I24" s="22" t="s">
        <v>380</v>
      </c>
      <c r="J24" s="7" t="s">
        <v>381</v>
      </c>
      <c r="K24" s="7" t="s">
        <v>1252</v>
      </c>
    </row>
    <row r="25" spans="2:11" ht="31.95" customHeight="1" x14ac:dyDescent="0.3">
      <c r="B25" s="31" t="s">
        <v>382</v>
      </c>
      <c r="C25" s="22" t="s">
        <v>383</v>
      </c>
      <c r="D25" s="31" t="s">
        <v>384</v>
      </c>
      <c r="E25" s="22" t="s">
        <v>385</v>
      </c>
      <c r="F25" s="22" t="s">
        <v>309</v>
      </c>
      <c r="G25" s="22">
        <v>5642</v>
      </c>
      <c r="H25" s="22" t="s">
        <v>386</v>
      </c>
      <c r="I25" s="22" t="s">
        <v>387</v>
      </c>
      <c r="J25" s="7" t="s">
        <v>388</v>
      </c>
      <c r="K25" s="7" t="s">
        <v>1244</v>
      </c>
    </row>
    <row r="26" spans="2:11" ht="31.95" customHeight="1" x14ac:dyDescent="0.3">
      <c r="B26" s="31" t="s">
        <v>389</v>
      </c>
      <c r="C26" s="22" t="s">
        <v>390</v>
      </c>
      <c r="D26" s="31" t="s">
        <v>391</v>
      </c>
      <c r="E26" s="22" t="s">
        <v>392</v>
      </c>
      <c r="F26" s="22" t="s">
        <v>11</v>
      </c>
      <c r="G26" s="22" t="s">
        <v>11</v>
      </c>
      <c r="H26" s="22" t="s">
        <v>11</v>
      </c>
      <c r="I26" s="22" t="s">
        <v>393</v>
      </c>
      <c r="J26" s="7" t="s">
        <v>394</v>
      </c>
      <c r="K26" s="7" t="s">
        <v>1246</v>
      </c>
    </row>
    <row r="27" spans="2:11" ht="31.95" customHeight="1" x14ac:dyDescent="0.3">
      <c r="B27" s="31" t="s">
        <v>395</v>
      </c>
      <c r="C27" s="22" t="s">
        <v>396</v>
      </c>
      <c r="D27" s="31" t="s">
        <v>397</v>
      </c>
      <c r="E27" s="22" t="s">
        <v>398</v>
      </c>
      <c r="F27" s="22" t="s">
        <v>309</v>
      </c>
      <c r="G27" s="22" t="s">
        <v>399</v>
      </c>
      <c r="H27" s="22" t="s">
        <v>400</v>
      </c>
      <c r="I27" s="22"/>
      <c r="K27" s="7" t="s">
        <v>1244</v>
      </c>
    </row>
    <row r="28" spans="2:11" ht="31.95" customHeight="1" x14ac:dyDescent="0.3">
      <c r="B28" s="31" t="s">
        <v>401</v>
      </c>
      <c r="C28" s="22" t="s">
        <v>402</v>
      </c>
      <c r="D28" s="31" t="s">
        <v>403</v>
      </c>
      <c r="E28" s="22" t="s">
        <v>404</v>
      </c>
      <c r="F28" s="22" t="s">
        <v>405</v>
      </c>
      <c r="G28" s="22" t="s">
        <v>406</v>
      </c>
      <c r="H28" s="22" t="s">
        <v>407</v>
      </c>
      <c r="I28" s="22" t="s">
        <v>408</v>
      </c>
      <c r="J28" s="7" t="s">
        <v>409</v>
      </c>
      <c r="K28" s="7" t="s">
        <v>1247</v>
      </c>
    </row>
    <row r="29" spans="2:11" ht="31.95" customHeight="1" x14ac:dyDescent="0.3">
      <c r="B29" s="31" t="s">
        <v>410</v>
      </c>
      <c r="C29" s="22" t="s">
        <v>411</v>
      </c>
      <c r="D29" s="31" t="s">
        <v>412</v>
      </c>
      <c r="E29" s="22" t="s">
        <v>413</v>
      </c>
      <c r="F29" s="22" t="s">
        <v>309</v>
      </c>
      <c r="G29" s="22" t="s">
        <v>414</v>
      </c>
      <c r="H29" s="22" t="s">
        <v>415</v>
      </c>
      <c r="I29" s="22" t="s">
        <v>416</v>
      </c>
      <c r="J29" s="7" t="s">
        <v>417</v>
      </c>
      <c r="K29" s="7" t="s">
        <v>1243</v>
      </c>
    </row>
    <row r="30" spans="2:11" ht="31.95" customHeight="1" x14ac:dyDescent="0.3">
      <c r="B30" s="31" t="s">
        <v>418</v>
      </c>
      <c r="C30" s="22" t="s">
        <v>419</v>
      </c>
      <c r="D30" s="31" t="s">
        <v>420</v>
      </c>
      <c r="E30" s="22" t="s">
        <v>421</v>
      </c>
      <c r="F30" s="22" t="s">
        <v>309</v>
      </c>
      <c r="G30" s="22">
        <v>6009</v>
      </c>
      <c r="H30" s="22" t="s">
        <v>422</v>
      </c>
      <c r="I30" s="22"/>
      <c r="K30" s="7" t="s">
        <v>1244</v>
      </c>
    </row>
    <row r="31" spans="2:11" ht="31.95" customHeight="1" x14ac:dyDescent="0.3">
      <c r="B31" s="31" t="s">
        <v>423</v>
      </c>
      <c r="C31" s="22" t="s">
        <v>424</v>
      </c>
      <c r="D31" s="31" t="s">
        <v>425</v>
      </c>
      <c r="E31" s="22" t="s">
        <v>426</v>
      </c>
      <c r="F31" s="22"/>
      <c r="G31" s="22"/>
      <c r="H31" s="22"/>
      <c r="I31" s="22"/>
      <c r="K31" s="7" t="s">
        <v>1244</v>
      </c>
    </row>
    <row r="32" spans="2:11" ht="31.95" customHeight="1" x14ac:dyDescent="0.3">
      <c r="B32" s="31" t="s">
        <v>427</v>
      </c>
      <c r="C32" s="22" t="s">
        <v>428</v>
      </c>
      <c r="D32" s="31" t="s">
        <v>429</v>
      </c>
      <c r="E32" s="22" t="s">
        <v>430</v>
      </c>
      <c r="F32" s="22" t="s">
        <v>309</v>
      </c>
      <c r="G32" s="22">
        <v>6252</v>
      </c>
      <c r="H32" s="22" t="s">
        <v>431</v>
      </c>
      <c r="I32" s="22" t="s">
        <v>432</v>
      </c>
      <c r="J32" s="7" t="s">
        <v>433</v>
      </c>
      <c r="K32" s="7" t="s">
        <v>1487</v>
      </c>
    </row>
    <row r="33" spans="2:11" ht="31.95" customHeight="1" x14ac:dyDescent="0.3">
      <c r="B33" s="31" t="s">
        <v>434</v>
      </c>
      <c r="C33" s="22" t="s">
        <v>435</v>
      </c>
      <c r="D33" s="31" t="s">
        <v>436</v>
      </c>
      <c r="E33" s="22" t="s">
        <v>437</v>
      </c>
      <c r="F33" s="22" t="s">
        <v>273</v>
      </c>
      <c r="G33" s="22" t="s">
        <v>438</v>
      </c>
      <c r="H33" s="22" t="s">
        <v>439</v>
      </c>
      <c r="I33" s="22" t="s">
        <v>440</v>
      </c>
      <c r="J33" s="7" t="s">
        <v>441</v>
      </c>
      <c r="K33" s="7" t="s">
        <v>1252</v>
      </c>
    </row>
    <row r="34" spans="2:11" ht="31.95" customHeight="1" x14ac:dyDescent="0.3">
      <c r="B34" s="31" t="s">
        <v>442</v>
      </c>
      <c r="C34" s="22" t="s">
        <v>443</v>
      </c>
      <c r="D34" s="31" t="s">
        <v>444</v>
      </c>
      <c r="E34" s="22" t="s">
        <v>445</v>
      </c>
      <c r="F34" s="22" t="s">
        <v>446</v>
      </c>
      <c r="G34" s="22" t="s">
        <v>447</v>
      </c>
      <c r="H34" s="22" t="s">
        <v>448</v>
      </c>
      <c r="I34" s="22" t="s">
        <v>449</v>
      </c>
      <c r="J34" s="7" t="s">
        <v>450</v>
      </c>
      <c r="K34" s="7" t="s">
        <v>1243</v>
      </c>
    </row>
    <row r="35" spans="2:11" ht="31.95" customHeight="1" x14ac:dyDescent="0.3">
      <c r="B35" s="31" t="s">
        <v>451</v>
      </c>
      <c r="C35" s="22" t="s">
        <v>452</v>
      </c>
      <c r="D35" s="31" t="s">
        <v>453</v>
      </c>
      <c r="E35" s="22" t="s">
        <v>454</v>
      </c>
      <c r="F35" s="22" t="s">
        <v>11</v>
      </c>
      <c r="G35" s="22" t="s">
        <v>11</v>
      </c>
      <c r="H35" s="22" t="s">
        <v>11</v>
      </c>
      <c r="I35" s="22" t="s">
        <v>455</v>
      </c>
      <c r="J35" s="7" t="s">
        <v>456</v>
      </c>
      <c r="K35" s="7" t="s">
        <v>1246</v>
      </c>
    </row>
    <row r="36" spans="2:11" ht="31.95" customHeight="1" x14ac:dyDescent="0.3">
      <c r="B36" s="31" t="s">
        <v>457</v>
      </c>
      <c r="C36" s="22" t="s">
        <v>458</v>
      </c>
      <c r="D36" s="31" t="s">
        <v>459</v>
      </c>
      <c r="E36" s="22" t="s">
        <v>460</v>
      </c>
      <c r="F36" s="22" t="s">
        <v>309</v>
      </c>
      <c r="G36" s="22" t="s">
        <v>461</v>
      </c>
      <c r="H36" s="22" t="s">
        <v>462</v>
      </c>
      <c r="I36" s="22" t="s">
        <v>463</v>
      </c>
      <c r="J36" s="7" t="s">
        <v>464</v>
      </c>
      <c r="K36" s="7" t="s">
        <v>1246</v>
      </c>
    </row>
    <row r="37" spans="2:11" ht="31.95" customHeight="1" x14ac:dyDescent="0.3">
      <c r="B37" s="31" t="s">
        <v>465</v>
      </c>
      <c r="C37" s="22" t="s">
        <v>466</v>
      </c>
      <c r="D37" s="31" t="s">
        <v>1484</v>
      </c>
      <c r="E37" s="22" t="s">
        <v>467</v>
      </c>
      <c r="F37" s="22"/>
      <c r="G37" s="22"/>
      <c r="H37" s="22"/>
      <c r="I37" s="22" t="s">
        <v>468</v>
      </c>
      <c r="J37" s="7" t="s">
        <v>469</v>
      </c>
      <c r="K37" s="7" t="s">
        <v>1247</v>
      </c>
    </row>
    <row r="38" spans="2:11" ht="31.95" customHeight="1" x14ac:dyDescent="0.3">
      <c r="B38" s="31" t="s">
        <v>470</v>
      </c>
      <c r="C38" s="22" t="s">
        <v>471</v>
      </c>
      <c r="D38" s="31" t="s">
        <v>472</v>
      </c>
      <c r="E38" s="22" t="s">
        <v>473</v>
      </c>
      <c r="F38" s="22"/>
      <c r="G38" s="22"/>
      <c r="H38" s="22"/>
      <c r="I38" s="22" t="s">
        <v>474</v>
      </c>
      <c r="K38" s="7" t="s">
        <v>1245</v>
      </c>
    </row>
    <row r="39" spans="2:11" ht="31.95" customHeight="1" x14ac:dyDescent="0.3">
      <c r="B39" s="31" t="s">
        <v>475</v>
      </c>
      <c r="C39" s="22" t="s">
        <v>476</v>
      </c>
      <c r="D39" s="31" t="s">
        <v>477</v>
      </c>
      <c r="E39" s="22" t="s">
        <v>478</v>
      </c>
      <c r="F39" s="22" t="s">
        <v>293</v>
      </c>
      <c r="G39" s="22">
        <v>6350</v>
      </c>
      <c r="H39" s="22" t="s">
        <v>479</v>
      </c>
      <c r="I39" s="22"/>
      <c r="K39" s="7" t="s">
        <v>1246</v>
      </c>
    </row>
    <row r="40" spans="2:11" ht="31.95" customHeight="1" x14ac:dyDescent="0.3">
      <c r="B40" s="31" t="s">
        <v>480</v>
      </c>
      <c r="C40" s="22" t="s">
        <v>481</v>
      </c>
      <c r="D40" s="31" t="s">
        <v>482</v>
      </c>
      <c r="E40" s="22" t="s">
        <v>483</v>
      </c>
      <c r="F40" s="22" t="s">
        <v>484</v>
      </c>
      <c r="G40" s="22" t="s">
        <v>485</v>
      </c>
      <c r="H40" s="22" t="s">
        <v>486</v>
      </c>
      <c r="I40" s="22" t="s">
        <v>487</v>
      </c>
      <c r="J40" s="7" t="s">
        <v>11</v>
      </c>
      <c r="K40" s="7" t="s">
        <v>1246</v>
      </c>
    </row>
    <row r="41" spans="2:11" ht="31.95" customHeight="1" x14ac:dyDescent="0.3">
      <c r="B41" s="31" t="s">
        <v>488</v>
      </c>
      <c r="C41" s="22" t="s">
        <v>489</v>
      </c>
      <c r="D41" s="31" t="s">
        <v>490</v>
      </c>
      <c r="E41" s="22" t="s">
        <v>491</v>
      </c>
      <c r="F41" s="22" t="s">
        <v>492</v>
      </c>
      <c r="G41" s="22">
        <v>4162</v>
      </c>
      <c r="H41" s="22" t="s">
        <v>493</v>
      </c>
      <c r="I41" s="22" t="s">
        <v>494</v>
      </c>
      <c r="J41" s="7" t="s">
        <v>495</v>
      </c>
      <c r="K41" s="7" t="s">
        <v>1251</v>
      </c>
    </row>
    <row r="42" spans="2:11" ht="31.95" customHeight="1" x14ac:dyDescent="0.3">
      <c r="B42" s="31" t="s">
        <v>496</v>
      </c>
      <c r="C42" s="22" t="s">
        <v>497</v>
      </c>
      <c r="D42" s="31" t="s">
        <v>498</v>
      </c>
      <c r="E42" s="22" t="s">
        <v>499</v>
      </c>
      <c r="F42" s="22" t="s">
        <v>446</v>
      </c>
      <c r="G42" s="22" t="s">
        <v>500</v>
      </c>
      <c r="H42" s="22" t="s">
        <v>501</v>
      </c>
      <c r="I42" s="22" t="s">
        <v>502</v>
      </c>
      <c r="J42" s="7" t="s">
        <v>503</v>
      </c>
      <c r="K42" s="7" t="s">
        <v>1252</v>
      </c>
    </row>
    <row r="43" spans="2:11" ht="31.95" customHeight="1" x14ac:dyDescent="0.3">
      <c r="B43" s="31" t="s">
        <v>504</v>
      </c>
      <c r="C43" s="22" t="s">
        <v>505</v>
      </c>
      <c r="D43" s="31" t="s">
        <v>506</v>
      </c>
      <c r="E43" s="22" t="s">
        <v>507</v>
      </c>
      <c r="F43" s="22" t="s">
        <v>309</v>
      </c>
      <c r="G43" s="22">
        <v>9298</v>
      </c>
      <c r="H43" s="22" t="s">
        <v>508</v>
      </c>
      <c r="I43" s="22" t="s">
        <v>509</v>
      </c>
      <c r="J43" s="7" t="s">
        <v>510</v>
      </c>
      <c r="K43" s="7" t="s">
        <v>1243</v>
      </c>
    </row>
    <row r="44" spans="2:11" ht="31.95" customHeight="1" x14ac:dyDescent="0.3">
      <c r="B44" s="31" t="s">
        <v>511</v>
      </c>
      <c r="C44" s="22" t="s">
        <v>512</v>
      </c>
      <c r="D44" s="31" t="s">
        <v>513</v>
      </c>
      <c r="E44" s="22" t="s">
        <v>514</v>
      </c>
      <c r="F44" s="22" t="s">
        <v>293</v>
      </c>
      <c r="G44" s="22" t="s">
        <v>515</v>
      </c>
      <c r="H44" s="22" t="s">
        <v>516</v>
      </c>
      <c r="I44" s="22" t="s">
        <v>310</v>
      </c>
      <c r="J44" s="7" t="s">
        <v>517</v>
      </c>
      <c r="K44" s="7" t="s">
        <v>1245</v>
      </c>
    </row>
    <row r="45" spans="2:11" ht="31.95" customHeight="1" x14ac:dyDescent="0.3">
      <c r="B45" s="31" t="s">
        <v>518</v>
      </c>
      <c r="C45" s="22" t="s">
        <v>519</v>
      </c>
      <c r="D45" s="31" t="s">
        <v>520</v>
      </c>
      <c r="E45" s="22" t="s">
        <v>521</v>
      </c>
      <c r="F45" s="22" t="s">
        <v>309</v>
      </c>
      <c r="G45" s="22" t="s">
        <v>522</v>
      </c>
      <c r="H45" s="22" t="s">
        <v>523</v>
      </c>
      <c r="I45" s="22"/>
      <c r="K45" s="7" t="s">
        <v>1244</v>
      </c>
    </row>
    <row r="46" spans="2:11" ht="31.95" customHeight="1" x14ac:dyDescent="0.3">
      <c r="B46" s="31" t="s">
        <v>524</v>
      </c>
      <c r="C46" s="22" t="s">
        <v>525</v>
      </c>
      <c r="D46" s="31" t="s">
        <v>526</v>
      </c>
      <c r="E46" s="22" t="s">
        <v>527</v>
      </c>
      <c r="F46" s="22" t="s">
        <v>293</v>
      </c>
      <c r="G46" s="22" t="s">
        <v>528</v>
      </c>
      <c r="H46" s="22" t="s">
        <v>529</v>
      </c>
      <c r="I46" s="22" t="s">
        <v>530</v>
      </c>
      <c r="J46" s="7" t="s">
        <v>531</v>
      </c>
      <c r="K46" s="7" t="s">
        <v>1244</v>
      </c>
    </row>
    <row r="47" spans="2:11" ht="31.95" customHeight="1" x14ac:dyDescent="0.3">
      <c r="B47" s="31" t="s">
        <v>532</v>
      </c>
      <c r="C47" s="22" t="s">
        <v>533</v>
      </c>
      <c r="D47" s="31" t="s">
        <v>534</v>
      </c>
      <c r="E47" s="22" t="s">
        <v>535</v>
      </c>
      <c r="F47" s="22" t="s">
        <v>11</v>
      </c>
      <c r="G47" s="22" t="s">
        <v>11</v>
      </c>
      <c r="H47" s="22" t="s">
        <v>11</v>
      </c>
      <c r="I47" s="22" t="s">
        <v>136</v>
      </c>
      <c r="J47" s="7" t="s">
        <v>536</v>
      </c>
      <c r="K47" s="7" t="s">
        <v>1246</v>
      </c>
    </row>
    <row r="48" spans="2:11" ht="31.95" customHeight="1" x14ac:dyDescent="0.3">
      <c r="B48" s="31" t="s">
        <v>537</v>
      </c>
      <c r="C48" s="22" t="s">
        <v>538</v>
      </c>
      <c r="D48" s="31" t="s">
        <v>539</v>
      </c>
      <c r="E48" s="22" t="s">
        <v>540</v>
      </c>
      <c r="F48" s="22" t="s">
        <v>309</v>
      </c>
      <c r="G48" s="22">
        <v>6009</v>
      </c>
      <c r="H48" s="22" t="s">
        <v>541</v>
      </c>
      <c r="I48" s="22"/>
      <c r="K48" s="7" t="s">
        <v>1246</v>
      </c>
    </row>
    <row r="49" spans="2:16" ht="31.95" customHeight="1" x14ac:dyDescent="0.3">
      <c r="B49" s="31" t="s">
        <v>542</v>
      </c>
      <c r="C49" s="22" t="s">
        <v>543</v>
      </c>
      <c r="D49" s="31" t="s">
        <v>544</v>
      </c>
      <c r="E49" s="22" t="s">
        <v>545</v>
      </c>
      <c r="F49" s="22" t="s">
        <v>11</v>
      </c>
      <c r="G49" s="22" t="s">
        <v>11</v>
      </c>
      <c r="H49" s="22" t="s">
        <v>11</v>
      </c>
      <c r="I49" s="22"/>
      <c r="K49" s="7" t="s">
        <v>1252</v>
      </c>
    </row>
    <row r="50" spans="2:16" ht="31.95" customHeight="1" x14ac:dyDescent="0.3">
      <c r="B50" s="31" t="s">
        <v>546</v>
      </c>
      <c r="C50" s="22" t="s">
        <v>547</v>
      </c>
      <c r="D50" s="31" t="s">
        <v>548</v>
      </c>
      <c r="E50" s="22" t="s">
        <v>549</v>
      </c>
      <c r="F50" s="22" t="s">
        <v>11</v>
      </c>
      <c r="G50" s="22" t="s">
        <v>11</v>
      </c>
      <c r="H50" s="22" t="s">
        <v>11</v>
      </c>
      <c r="I50" s="22" t="s">
        <v>550</v>
      </c>
      <c r="J50" s="7" t="s">
        <v>551</v>
      </c>
      <c r="K50" s="7" t="s">
        <v>1246</v>
      </c>
    </row>
    <row r="51" spans="2:16" ht="31.95" customHeight="1" x14ac:dyDescent="0.3">
      <c r="B51" s="31" t="s">
        <v>552</v>
      </c>
      <c r="C51" s="22" t="s">
        <v>553</v>
      </c>
      <c r="D51" s="31" t="s">
        <v>554</v>
      </c>
      <c r="E51" s="22" t="s">
        <v>555</v>
      </c>
      <c r="F51" s="22" t="s">
        <v>293</v>
      </c>
      <c r="G51" s="22" t="s">
        <v>556</v>
      </c>
      <c r="H51" s="22" t="s">
        <v>557</v>
      </c>
      <c r="I51" s="22"/>
      <c r="K51" s="7" t="s">
        <v>1246</v>
      </c>
    </row>
    <row r="52" spans="2:16" ht="31.95" customHeight="1" x14ac:dyDescent="0.3">
      <c r="B52" s="31" t="s">
        <v>558</v>
      </c>
      <c r="C52" s="22" t="s">
        <v>559</v>
      </c>
      <c r="D52" s="31" t="s">
        <v>560</v>
      </c>
      <c r="E52" s="22" t="s">
        <v>11</v>
      </c>
      <c r="F52" s="22" t="s">
        <v>561</v>
      </c>
      <c r="G52" s="22">
        <v>9167</v>
      </c>
      <c r="H52" s="22" t="s">
        <v>562</v>
      </c>
      <c r="I52" s="22" t="s">
        <v>563</v>
      </c>
      <c r="K52" s="7" t="s">
        <v>1246</v>
      </c>
    </row>
    <row r="53" spans="2:16" ht="31.95" customHeight="1" x14ac:dyDescent="0.3">
      <c r="B53" s="31" t="s">
        <v>564</v>
      </c>
      <c r="C53" s="22" t="s">
        <v>565</v>
      </c>
      <c r="D53" s="31" t="s">
        <v>566</v>
      </c>
      <c r="E53" s="22" t="s">
        <v>567</v>
      </c>
      <c r="F53" s="22"/>
      <c r="G53" s="22"/>
      <c r="H53" s="22"/>
      <c r="I53" s="22" t="s">
        <v>568</v>
      </c>
      <c r="J53" s="7" t="s">
        <v>569</v>
      </c>
      <c r="K53" s="7" t="s">
        <v>1246</v>
      </c>
    </row>
    <row r="54" spans="2:16" ht="31.95" customHeight="1" x14ac:dyDescent="0.3">
      <c r="B54" s="31" t="s">
        <v>570</v>
      </c>
      <c r="C54" s="22" t="s">
        <v>571</v>
      </c>
      <c r="D54" s="31" t="s">
        <v>572</v>
      </c>
      <c r="E54" s="22" t="s">
        <v>573</v>
      </c>
      <c r="F54" s="22" t="s">
        <v>309</v>
      </c>
      <c r="G54" s="22">
        <v>7953</v>
      </c>
      <c r="H54" s="22" t="s">
        <v>574</v>
      </c>
      <c r="I54" s="22"/>
      <c r="K54" s="7" t="s">
        <v>1244</v>
      </c>
    </row>
    <row r="55" spans="2:16" ht="31.95" customHeight="1" x14ac:dyDescent="0.3">
      <c r="B55" s="31" t="s">
        <v>575</v>
      </c>
      <c r="C55" s="22" t="s">
        <v>576</v>
      </c>
      <c r="D55" s="31" t="s">
        <v>577</v>
      </c>
      <c r="E55" s="22" t="s">
        <v>578</v>
      </c>
      <c r="F55" s="22" t="s">
        <v>309</v>
      </c>
      <c r="G55" s="22" t="s">
        <v>579</v>
      </c>
      <c r="H55" s="22" t="s">
        <v>580</v>
      </c>
      <c r="I55" s="22" t="s">
        <v>581</v>
      </c>
      <c r="J55" s="7" t="s">
        <v>582</v>
      </c>
      <c r="K55" s="7" t="s">
        <v>1246</v>
      </c>
    </row>
    <row r="56" spans="2:16" ht="31.95" customHeight="1" x14ac:dyDescent="0.3">
      <c r="B56" s="31" t="s">
        <v>583</v>
      </c>
      <c r="C56" s="22" t="s">
        <v>584</v>
      </c>
      <c r="D56" s="31" t="s">
        <v>585</v>
      </c>
      <c r="E56" s="22" t="s">
        <v>586</v>
      </c>
      <c r="F56" s="22" t="s">
        <v>309</v>
      </c>
      <c r="G56" s="22">
        <v>1491</v>
      </c>
      <c r="H56" s="22" t="s">
        <v>587</v>
      </c>
      <c r="I56" s="22"/>
      <c r="K56" s="7" t="s">
        <v>1252</v>
      </c>
    </row>
    <row r="57" spans="2:16" ht="31.95" customHeight="1" x14ac:dyDescent="0.3">
      <c r="B57" s="31" t="s">
        <v>588</v>
      </c>
      <c r="C57" s="22" t="s">
        <v>589</v>
      </c>
      <c r="D57" s="31" t="s">
        <v>590</v>
      </c>
      <c r="E57" s="22" t="s">
        <v>591</v>
      </c>
      <c r="F57" s="22" t="s">
        <v>11</v>
      </c>
      <c r="G57" s="22" t="s">
        <v>11</v>
      </c>
      <c r="H57" s="22" t="s">
        <v>11</v>
      </c>
      <c r="I57" s="22" t="s">
        <v>592</v>
      </c>
      <c r="J57" s="7" t="s">
        <v>593</v>
      </c>
      <c r="K57" s="7" t="s">
        <v>1249</v>
      </c>
    </row>
    <row r="58" spans="2:16" ht="31.95" customHeight="1" x14ac:dyDescent="0.3">
      <c r="B58" s="31" t="s">
        <v>594</v>
      </c>
      <c r="C58" s="22" t="s">
        <v>595</v>
      </c>
      <c r="D58" s="31" t="s">
        <v>596</v>
      </c>
      <c r="E58" s="22" t="s">
        <v>597</v>
      </c>
      <c r="F58" s="22" t="s">
        <v>598</v>
      </c>
      <c r="G58" s="22" t="s">
        <v>599</v>
      </c>
      <c r="H58" s="22" t="s">
        <v>600</v>
      </c>
      <c r="I58" s="22" t="s">
        <v>601</v>
      </c>
      <c r="J58" s="7" t="s">
        <v>11</v>
      </c>
      <c r="K58" s="246" t="s">
        <v>1251</v>
      </c>
      <c r="L58" s="246"/>
      <c r="M58" s="246"/>
      <c r="N58" s="246"/>
      <c r="O58" s="246"/>
      <c r="P58" s="246"/>
    </row>
    <row r="59" spans="2:16" ht="31.95" customHeight="1" x14ac:dyDescent="0.3">
      <c r="B59" s="31" t="s">
        <v>602</v>
      </c>
      <c r="C59" s="22" t="s">
        <v>603</v>
      </c>
      <c r="D59" s="31" t="s">
        <v>604</v>
      </c>
      <c r="E59" s="22" t="s">
        <v>605</v>
      </c>
      <c r="F59" s="22" t="s">
        <v>309</v>
      </c>
      <c r="G59" s="22" t="s">
        <v>606</v>
      </c>
      <c r="H59" s="22" t="s">
        <v>607</v>
      </c>
      <c r="I59" s="22" t="s">
        <v>608</v>
      </c>
      <c r="J59" s="7" t="s">
        <v>609</v>
      </c>
      <c r="K59" s="7" t="s">
        <v>1253</v>
      </c>
    </row>
    <row r="60" spans="2:16" ht="31.95" customHeight="1" x14ac:dyDescent="0.3">
      <c r="B60" s="31" t="s">
        <v>610</v>
      </c>
      <c r="C60" s="22" t="s">
        <v>611</v>
      </c>
      <c r="D60" s="31" t="s">
        <v>612</v>
      </c>
      <c r="E60" s="22" t="s">
        <v>613</v>
      </c>
      <c r="F60" s="22" t="s">
        <v>293</v>
      </c>
      <c r="G60" s="22">
        <v>1105</v>
      </c>
      <c r="H60" s="22" t="s">
        <v>614</v>
      </c>
      <c r="I60" s="22" t="s">
        <v>568</v>
      </c>
      <c r="J60" s="7" t="s">
        <v>615</v>
      </c>
      <c r="K60" s="7" t="s">
        <v>1250</v>
      </c>
    </row>
    <row r="61" spans="2:16" ht="31.95" customHeight="1" x14ac:dyDescent="0.3">
      <c r="B61" s="31" t="s">
        <v>616</v>
      </c>
      <c r="C61" s="22" t="s">
        <v>617</v>
      </c>
      <c r="D61" s="31" t="s">
        <v>618</v>
      </c>
      <c r="E61" s="22" t="s">
        <v>619</v>
      </c>
      <c r="F61" s="22" t="s">
        <v>273</v>
      </c>
      <c r="G61" s="22" t="s">
        <v>620</v>
      </c>
      <c r="H61" s="22" t="s">
        <v>621</v>
      </c>
      <c r="I61" s="22" t="s">
        <v>622</v>
      </c>
      <c r="J61" s="7" t="s">
        <v>623</v>
      </c>
      <c r="K61" s="7" t="s">
        <v>1250</v>
      </c>
    </row>
    <row r="62" spans="2:16" ht="31.95" customHeight="1" x14ac:dyDescent="0.3">
      <c r="B62" s="31" t="s">
        <v>624</v>
      </c>
      <c r="C62" s="22" t="s">
        <v>625</v>
      </c>
      <c r="D62" s="31" t="s">
        <v>626</v>
      </c>
      <c r="E62" s="22" t="s">
        <v>627</v>
      </c>
      <c r="F62" s="22" t="s">
        <v>273</v>
      </c>
      <c r="G62" s="22" t="s">
        <v>628</v>
      </c>
      <c r="H62" s="22" t="s">
        <v>629</v>
      </c>
      <c r="I62" s="22" t="s">
        <v>630</v>
      </c>
      <c r="J62" s="7" t="s">
        <v>631</v>
      </c>
      <c r="K62" s="7" t="s">
        <v>1246</v>
      </c>
    </row>
    <row r="63" spans="2:16" ht="31.95" customHeight="1" x14ac:dyDescent="0.3">
      <c r="B63" s="31" t="s">
        <v>632</v>
      </c>
      <c r="C63" s="22" t="s">
        <v>633</v>
      </c>
      <c r="D63" s="31" t="s">
        <v>634</v>
      </c>
      <c r="E63" s="22" t="s">
        <v>635</v>
      </c>
      <c r="F63" s="22" t="s">
        <v>11</v>
      </c>
      <c r="G63" s="22" t="s">
        <v>11</v>
      </c>
      <c r="H63" s="22" t="s">
        <v>11</v>
      </c>
      <c r="I63" s="22" t="s">
        <v>267</v>
      </c>
      <c r="J63" s="7" t="s">
        <v>636</v>
      </c>
      <c r="K63" s="7" t="s">
        <v>1246</v>
      </c>
    </row>
    <row r="64" spans="2:16" ht="31.95" customHeight="1" x14ac:dyDescent="0.3">
      <c r="B64" s="31" t="s">
        <v>637</v>
      </c>
      <c r="C64" s="22" t="s">
        <v>638</v>
      </c>
      <c r="D64" s="31" t="s">
        <v>639</v>
      </c>
      <c r="E64" s="22" t="s">
        <v>640</v>
      </c>
      <c r="F64" s="22" t="s">
        <v>265</v>
      </c>
      <c r="G64" s="22">
        <v>3082</v>
      </c>
      <c r="H64" s="22" t="s">
        <v>641</v>
      </c>
      <c r="I64" s="22" t="s">
        <v>642</v>
      </c>
      <c r="J64" s="7" t="s">
        <v>643</v>
      </c>
      <c r="K64" s="7" t="s">
        <v>1243</v>
      </c>
    </row>
    <row r="65" spans="2:11" ht="31.95" customHeight="1" x14ac:dyDescent="0.3">
      <c r="B65" s="31" t="s">
        <v>644</v>
      </c>
      <c r="C65" s="22" t="s">
        <v>645</v>
      </c>
      <c r="D65" s="31" t="s">
        <v>646</v>
      </c>
      <c r="E65" s="22" t="s">
        <v>647</v>
      </c>
      <c r="F65" s="22" t="s">
        <v>648</v>
      </c>
      <c r="G65" s="22">
        <v>3267</v>
      </c>
      <c r="H65" s="22" t="s">
        <v>649</v>
      </c>
      <c r="I65" s="22" t="s">
        <v>650</v>
      </c>
      <c r="J65" s="7" t="s">
        <v>651</v>
      </c>
      <c r="K65" s="7" t="s">
        <v>1243</v>
      </c>
    </row>
    <row r="66" spans="2:11" ht="31.95" customHeight="1" x14ac:dyDescent="0.3">
      <c r="B66" s="31" t="s">
        <v>652</v>
      </c>
      <c r="C66" s="22" t="s">
        <v>653</v>
      </c>
      <c r="D66" s="31" t="s">
        <v>654</v>
      </c>
      <c r="E66" s="22" t="s">
        <v>655</v>
      </c>
      <c r="F66" s="22" t="s">
        <v>656</v>
      </c>
      <c r="G66" s="22" t="s">
        <v>657</v>
      </c>
      <c r="H66" s="22" t="s">
        <v>658</v>
      </c>
      <c r="I66" s="22" t="s">
        <v>659</v>
      </c>
      <c r="J66" s="7" t="s">
        <v>660</v>
      </c>
      <c r="K66" s="7" t="s">
        <v>1246</v>
      </c>
    </row>
    <row r="67" spans="2:11" ht="31.95" customHeight="1" x14ac:dyDescent="0.3">
      <c r="B67" s="31" t="s">
        <v>661</v>
      </c>
      <c r="C67" s="22" t="s">
        <v>662</v>
      </c>
      <c r="D67" s="31" t="s">
        <v>663</v>
      </c>
      <c r="E67" s="22" t="s">
        <v>664</v>
      </c>
      <c r="F67" s="22" t="s">
        <v>309</v>
      </c>
      <c r="G67" s="22">
        <v>1626</v>
      </c>
      <c r="H67" s="22" t="s">
        <v>665</v>
      </c>
      <c r="I67" s="22"/>
      <c r="K67" s="7" t="s">
        <v>1246</v>
      </c>
    </row>
    <row r="68" spans="2:11" ht="31.95" customHeight="1" x14ac:dyDescent="0.3">
      <c r="B68" s="31" t="s">
        <v>666</v>
      </c>
      <c r="C68" s="22" t="s">
        <v>667</v>
      </c>
      <c r="D68" s="31" t="s">
        <v>668</v>
      </c>
      <c r="E68" s="22" t="s">
        <v>669</v>
      </c>
      <c r="F68" s="22" t="s">
        <v>293</v>
      </c>
      <c r="G68" s="22">
        <v>133</v>
      </c>
      <c r="H68" s="22" t="s">
        <v>670</v>
      </c>
      <c r="I68" s="22" t="s">
        <v>671</v>
      </c>
      <c r="J68" s="7" t="s">
        <v>672</v>
      </c>
      <c r="K68" s="7" t="s">
        <v>1244</v>
      </c>
    </row>
    <row r="69" spans="2:11" ht="31.95" customHeight="1" x14ac:dyDescent="0.3">
      <c r="B69" s="31" t="s">
        <v>673</v>
      </c>
      <c r="C69" s="22" t="s">
        <v>674</v>
      </c>
      <c r="D69" s="31" t="s">
        <v>675</v>
      </c>
      <c r="E69" s="22" t="s">
        <v>676</v>
      </c>
      <c r="F69" s="22"/>
      <c r="G69" s="22"/>
      <c r="H69" s="22"/>
      <c r="I69" s="22"/>
      <c r="K69" s="7" t="s">
        <v>1244</v>
      </c>
    </row>
    <row r="70" spans="2:11" ht="31.95" customHeight="1" x14ac:dyDescent="0.3">
      <c r="B70" s="31" t="s">
        <v>677</v>
      </c>
      <c r="C70" s="22" t="s">
        <v>678</v>
      </c>
      <c r="D70" s="31" t="s">
        <v>679</v>
      </c>
      <c r="E70" s="22" t="s">
        <v>680</v>
      </c>
      <c r="F70" s="22" t="s">
        <v>309</v>
      </c>
      <c r="G70" s="22">
        <v>7243</v>
      </c>
      <c r="H70" s="22" t="s">
        <v>681</v>
      </c>
      <c r="I70" s="22" t="s">
        <v>682</v>
      </c>
      <c r="J70" s="7" t="s">
        <v>683</v>
      </c>
      <c r="K70" s="7" t="s">
        <v>1244</v>
      </c>
    </row>
    <row r="71" spans="2:11" ht="31.95" customHeight="1" x14ac:dyDescent="0.3">
      <c r="B71" s="31" t="s">
        <v>684</v>
      </c>
      <c r="C71" s="22" t="s">
        <v>685</v>
      </c>
      <c r="D71" s="31" t="s">
        <v>686</v>
      </c>
      <c r="E71" s="22" t="s">
        <v>687</v>
      </c>
      <c r="F71" s="22" t="s">
        <v>293</v>
      </c>
      <c r="G71" s="22" t="s">
        <v>688</v>
      </c>
      <c r="H71" s="22" t="s">
        <v>689</v>
      </c>
      <c r="I71" s="22" t="s">
        <v>690</v>
      </c>
      <c r="J71" s="7" t="s">
        <v>691</v>
      </c>
      <c r="K71" s="7" t="s">
        <v>1246</v>
      </c>
    </row>
    <row r="72" spans="2:11" ht="31.95" customHeight="1" x14ac:dyDescent="0.3">
      <c r="B72" s="31" t="s">
        <v>692</v>
      </c>
      <c r="C72" s="22" t="s">
        <v>693</v>
      </c>
      <c r="D72" s="31" t="s">
        <v>694</v>
      </c>
      <c r="E72" s="22" t="s">
        <v>695</v>
      </c>
      <c r="F72" s="22" t="s">
        <v>309</v>
      </c>
      <c r="G72" s="22" t="s">
        <v>696</v>
      </c>
      <c r="H72" s="22" t="s">
        <v>697</v>
      </c>
      <c r="I72" s="22" t="s">
        <v>698</v>
      </c>
      <c r="J72" s="7" t="s">
        <v>699</v>
      </c>
      <c r="K72" s="7" t="s">
        <v>1246</v>
      </c>
    </row>
    <row r="73" spans="2:11" ht="31.95" customHeight="1" x14ac:dyDescent="0.3">
      <c r="B73" s="31" t="s">
        <v>700</v>
      </c>
      <c r="C73" s="22" t="s">
        <v>701</v>
      </c>
      <c r="D73" s="31" t="s">
        <v>702</v>
      </c>
      <c r="E73" s="22" t="s">
        <v>703</v>
      </c>
      <c r="F73" s="22" t="s">
        <v>273</v>
      </c>
      <c r="G73" s="22">
        <v>3809</v>
      </c>
      <c r="H73" s="22" t="s">
        <v>704</v>
      </c>
      <c r="I73" s="22"/>
      <c r="K73" s="7" t="s">
        <v>1246</v>
      </c>
    </row>
    <row r="74" spans="2:11" ht="31.95" customHeight="1" x14ac:dyDescent="0.3">
      <c r="B74" s="31" t="s">
        <v>705</v>
      </c>
      <c r="C74" s="22" t="s">
        <v>706</v>
      </c>
      <c r="D74" s="31" t="s">
        <v>707</v>
      </c>
      <c r="E74" s="22" t="s">
        <v>319</v>
      </c>
      <c r="F74" s="22" t="s">
        <v>11</v>
      </c>
      <c r="G74" s="22" t="s">
        <v>11</v>
      </c>
      <c r="H74" s="22" t="s">
        <v>11</v>
      </c>
      <c r="I74" s="22" t="s">
        <v>259</v>
      </c>
      <c r="J74" s="7" t="s">
        <v>320</v>
      </c>
      <c r="K74" s="7" t="s">
        <v>1245</v>
      </c>
    </row>
    <row r="75" spans="2:11" ht="31.95" customHeight="1" x14ac:dyDescent="0.3">
      <c r="B75" s="31" t="s">
        <v>708</v>
      </c>
      <c r="C75" s="22" t="s">
        <v>709</v>
      </c>
      <c r="D75" s="31" t="s">
        <v>710</v>
      </c>
      <c r="E75" s="22" t="s">
        <v>711</v>
      </c>
      <c r="F75" s="22" t="s">
        <v>293</v>
      </c>
      <c r="G75" s="22" t="s">
        <v>712</v>
      </c>
      <c r="H75" s="22" t="s">
        <v>713</v>
      </c>
      <c r="I75" s="22"/>
      <c r="K75" s="7" t="s">
        <v>1244</v>
      </c>
    </row>
    <row r="76" spans="2:11" ht="31.95" customHeight="1" x14ac:dyDescent="0.3">
      <c r="B76" s="31" t="s">
        <v>714</v>
      </c>
      <c r="C76" s="22" t="s">
        <v>715</v>
      </c>
      <c r="D76" s="31" t="s">
        <v>716</v>
      </c>
      <c r="E76" s="22" t="s">
        <v>717</v>
      </c>
      <c r="F76" s="22" t="s">
        <v>265</v>
      </c>
      <c r="G76" s="22" t="s">
        <v>718</v>
      </c>
      <c r="H76" s="22" t="s">
        <v>719</v>
      </c>
      <c r="I76" s="22" t="s">
        <v>720</v>
      </c>
      <c r="J76" s="7" t="s">
        <v>721</v>
      </c>
      <c r="K76" s="7" t="s">
        <v>1246</v>
      </c>
    </row>
    <row r="77" spans="2:11" ht="31.95" customHeight="1" x14ac:dyDescent="0.3">
      <c r="B77" s="31" t="s">
        <v>722</v>
      </c>
      <c r="C77" s="22" t="s">
        <v>723</v>
      </c>
      <c r="D77" s="31" t="s">
        <v>724</v>
      </c>
      <c r="E77" s="22" t="s">
        <v>725</v>
      </c>
      <c r="F77" s="22"/>
      <c r="G77" s="22"/>
      <c r="H77" s="22"/>
      <c r="I77" s="22" t="s">
        <v>568</v>
      </c>
      <c r="K77" s="7" t="s">
        <v>1245</v>
      </c>
    </row>
    <row r="78" spans="2:11" ht="31.95" customHeight="1" x14ac:dyDescent="0.3">
      <c r="B78" s="31" t="s">
        <v>726</v>
      </c>
      <c r="C78" s="22" t="s">
        <v>727</v>
      </c>
      <c r="D78" s="31" t="s">
        <v>728</v>
      </c>
      <c r="E78" s="22" t="s">
        <v>729</v>
      </c>
      <c r="F78" s="22" t="s">
        <v>730</v>
      </c>
      <c r="G78" s="22">
        <v>1311</v>
      </c>
      <c r="H78" s="22" t="s">
        <v>731</v>
      </c>
      <c r="I78" s="22" t="s">
        <v>205</v>
      </c>
      <c r="J78" s="7" t="s">
        <v>732</v>
      </c>
      <c r="K78" s="7" t="s">
        <v>1253</v>
      </c>
    </row>
    <row r="79" spans="2:11" ht="31.95" customHeight="1" x14ac:dyDescent="0.3">
      <c r="B79" s="31" t="s">
        <v>733</v>
      </c>
      <c r="C79" s="22" t="s">
        <v>734</v>
      </c>
      <c r="D79" s="31" t="s">
        <v>735</v>
      </c>
      <c r="E79" s="22" t="s">
        <v>736</v>
      </c>
      <c r="F79" s="22" t="s">
        <v>309</v>
      </c>
      <c r="G79" s="22" t="s">
        <v>737</v>
      </c>
      <c r="H79" s="22" t="s">
        <v>738</v>
      </c>
      <c r="I79" s="22" t="s">
        <v>739</v>
      </c>
      <c r="J79" s="7" t="s">
        <v>740</v>
      </c>
      <c r="K79" s="7" t="s">
        <v>1244</v>
      </c>
    </row>
    <row r="80" spans="2:11" ht="31.95" customHeight="1" x14ac:dyDescent="0.3">
      <c r="B80" s="31" t="s">
        <v>741</v>
      </c>
      <c r="C80" s="22" t="s">
        <v>742</v>
      </c>
      <c r="D80" s="31" t="s">
        <v>743</v>
      </c>
      <c r="E80" s="22" t="s">
        <v>744</v>
      </c>
      <c r="F80" s="22"/>
      <c r="G80" s="22"/>
      <c r="H80" s="22"/>
      <c r="I80" s="22" t="s">
        <v>745</v>
      </c>
      <c r="J80" s="7" t="s">
        <v>746</v>
      </c>
      <c r="K80" s="7" t="s">
        <v>1243</v>
      </c>
    </row>
    <row r="81" spans="2:11" ht="31.95" customHeight="1" x14ac:dyDescent="0.3">
      <c r="B81" s="31" t="s">
        <v>747</v>
      </c>
      <c r="C81" s="22" t="s">
        <v>748</v>
      </c>
      <c r="D81" s="31" t="s">
        <v>749</v>
      </c>
      <c r="E81" s="22" t="s">
        <v>750</v>
      </c>
      <c r="F81" s="22" t="s">
        <v>309</v>
      </c>
      <c r="G81" s="22">
        <v>4539</v>
      </c>
      <c r="H81" s="22" t="s">
        <v>751</v>
      </c>
      <c r="I81" s="22" t="s">
        <v>752</v>
      </c>
      <c r="J81" s="7" t="s">
        <v>753</v>
      </c>
      <c r="K81" s="7" t="s">
        <v>1243</v>
      </c>
    </row>
    <row r="82" spans="2:11" ht="31.95" customHeight="1" x14ac:dyDescent="0.3">
      <c r="B82" s="31" t="s">
        <v>754</v>
      </c>
      <c r="C82" s="22" t="s">
        <v>755</v>
      </c>
      <c r="D82" s="31" t="s">
        <v>756</v>
      </c>
      <c r="E82" s="22" t="s">
        <v>757</v>
      </c>
      <c r="F82" s="22" t="s">
        <v>309</v>
      </c>
      <c r="G82" s="22" t="s">
        <v>758</v>
      </c>
      <c r="H82" s="22" t="s">
        <v>759</v>
      </c>
      <c r="I82" s="22" t="s">
        <v>760</v>
      </c>
      <c r="J82" s="7" t="s">
        <v>761</v>
      </c>
      <c r="K82" s="7" t="s">
        <v>1246</v>
      </c>
    </row>
    <row r="83" spans="2:11" ht="31.95" customHeight="1" x14ac:dyDescent="0.3">
      <c r="B83" s="31" t="s">
        <v>762</v>
      </c>
      <c r="C83" s="22" t="s">
        <v>763</v>
      </c>
      <c r="D83" s="31" t="s">
        <v>764</v>
      </c>
      <c r="E83" s="22" t="s">
        <v>765</v>
      </c>
      <c r="F83" s="22"/>
      <c r="G83" s="22"/>
      <c r="H83" s="22"/>
      <c r="I83" s="22" t="s">
        <v>185</v>
      </c>
      <c r="J83" s="7" t="s">
        <v>766</v>
      </c>
      <c r="K83" s="7" t="s">
        <v>1252</v>
      </c>
    </row>
    <row r="84" spans="2:11" ht="31.95" customHeight="1" x14ac:dyDescent="0.3">
      <c r="B84" s="31" t="s">
        <v>767</v>
      </c>
      <c r="C84" s="22" t="s">
        <v>768</v>
      </c>
      <c r="D84" s="31" t="s">
        <v>769</v>
      </c>
      <c r="E84" s="22" t="s">
        <v>770</v>
      </c>
      <c r="F84" s="22" t="s">
        <v>446</v>
      </c>
      <c r="G84" s="22">
        <v>3146</v>
      </c>
      <c r="H84" s="22" t="s">
        <v>771</v>
      </c>
      <c r="I84" s="22" t="s">
        <v>11</v>
      </c>
      <c r="J84" s="7" t="s">
        <v>772</v>
      </c>
      <c r="K84" s="7" t="s">
        <v>1252</v>
      </c>
    </row>
    <row r="85" spans="2:11" ht="31.95" customHeight="1" x14ac:dyDescent="0.3">
      <c r="B85" s="31" t="s">
        <v>773</v>
      </c>
      <c r="C85" s="22" t="s">
        <v>774</v>
      </c>
      <c r="D85" s="31" t="s">
        <v>775</v>
      </c>
      <c r="E85" s="22"/>
      <c r="F85" s="22"/>
      <c r="G85" s="22"/>
      <c r="H85" s="22"/>
      <c r="I85" s="22" t="s">
        <v>776</v>
      </c>
      <c r="J85" s="7" t="s">
        <v>777</v>
      </c>
      <c r="K85" s="7" t="s">
        <v>1244</v>
      </c>
    </row>
    <row r="86" spans="2:11" ht="31.95" customHeight="1" x14ac:dyDescent="0.3">
      <c r="B86" s="31" t="s">
        <v>778</v>
      </c>
      <c r="C86" s="22" t="s">
        <v>11</v>
      </c>
      <c r="D86" s="31" t="s">
        <v>779</v>
      </c>
      <c r="E86" s="22"/>
      <c r="F86" s="22" t="s">
        <v>11</v>
      </c>
      <c r="G86" s="22" t="s">
        <v>11</v>
      </c>
      <c r="H86" s="22" t="s">
        <v>11</v>
      </c>
      <c r="I86" s="22" t="s">
        <v>780</v>
      </c>
      <c r="K86" s="7" t="s">
        <v>1246</v>
      </c>
    </row>
    <row r="87" spans="2:11" ht="31.95" customHeight="1" x14ac:dyDescent="0.3">
      <c r="B87" s="31" t="s">
        <v>781</v>
      </c>
      <c r="C87" s="22" t="s">
        <v>782</v>
      </c>
      <c r="D87" s="31" t="s">
        <v>783</v>
      </c>
      <c r="E87" s="22" t="s">
        <v>347</v>
      </c>
      <c r="F87" s="22" t="s">
        <v>11</v>
      </c>
      <c r="G87" s="22" t="s">
        <v>11</v>
      </c>
      <c r="H87" s="22" t="s">
        <v>11</v>
      </c>
      <c r="I87" s="22" t="s">
        <v>350</v>
      </c>
      <c r="J87" s="7" t="s">
        <v>351</v>
      </c>
      <c r="K87" s="7" t="s">
        <v>1245</v>
      </c>
    </row>
    <row r="88" spans="2:11" ht="31.95" customHeight="1" x14ac:dyDescent="0.3">
      <c r="B88" s="31" t="s">
        <v>784</v>
      </c>
      <c r="C88" s="22" t="s">
        <v>785</v>
      </c>
      <c r="D88" s="31" t="s">
        <v>786</v>
      </c>
      <c r="E88" s="22" t="s">
        <v>787</v>
      </c>
      <c r="F88" s="22" t="s">
        <v>265</v>
      </c>
      <c r="G88" s="22">
        <v>1744</v>
      </c>
      <c r="H88" s="22" t="s">
        <v>788</v>
      </c>
      <c r="I88" s="22" t="s">
        <v>789</v>
      </c>
      <c r="J88" s="7" t="s">
        <v>790</v>
      </c>
      <c r="K88" s="7" t="s">
        <v>1252</v>
      </c>
    </row>
    <row r="89" spans="2:11" ht="31.95" customHeight="1" x14ac:dyDescent="0.3">
      <c r="B89" s="31" t="s">
        <v>791</v>
      </c>
      <c r="C89" s="22" t="s">
        <v>792</v>
      </c>
      <c r="D89" s="31" t="s">
        <v>793</v>
      </c>
      <c r="E89" s="22" t="s">
        <v>794</v>
      </c>
      <c r="F89" s="22" t="s">
        <v>309</v>
      </c>
      <c r="G89" s="22">
        <v>138</v>
      </c>
      <c r="H89" s="22" t="s">
        <v>795</v>
      </c>
      <c r="I89" s="22"/>
      <c r="K89" s="7" t="s">
        <v>1252</v>
      </c>
    </row>
    <row r="90" spans="2:11" ht="31.95" customHeight="1" x14ac:dyDescent="0.3">
      <c r="B90" s="31" t="s">
        <v>796</v>
      </c>
      <c r="C90" s="22" t="s">
        <v>797</v>
      </c>
      <c r="D90" s="31" t="s">
        <v>798</v>
      </c>
      <c r="E90" s="22" t="s">
        <v>799</v>
      </c>
      <c r="F90" s="22" t="s">
        <v>265</v>
      </c>
      <c r="G90" s="22">
        <v>576</v>
      </c>
      <c r="H90" s="22" t="s">
        <v>800</v>
      </c>
      <c r="I90" s="22" t="s">
        <v>801</v>
      </c>
      <c r="J90" s="7" t="s">
        <v>802</v>
      </c>
      <c r="K90" s="7" t="s">
        <v>1246</v>
      </c>
    </row>
    <row r="91" spans="2:11" ht="31.95" customHeight="1" x14ac:dyDescent="0.3">
      <c r="B91" s="31" t="s">
        <v>803</v>
      </c>
      <c r="C91" s="22" t="s">
        <v>804</v>
      </c>
      <c r="D91" s="31" t="s">
        <v>805</v>
      </c>
      <c r="E91" s="22" t="s">
        <v>806</v>
      </c>
      <c r="F91" s="22" t="s">
        <v>11</v>
      </c>
      <c r="G91" s="22" t="s">
        <v>11</v>
      </c>
      <c r="H91" s="22" t="s">
        <v>11</v>
      </c>
      <c r="I91" s="22"/>
      <c r="K91" s="7" t="s">
        <v>1246</v>
      </c>
    </row>
    <row r="92" spans="2:11" ht="31.95" customHeight="1" x14ac:dyDescent="0.3">
      <c r="B92" s="31" t="s">
        <v>807</v>
      </c>
      <c r="C92" s="22" t="s">
        <v>808</v>
      </c>
      <c r="D92" s="31" t="s">
        <v>809</v>
      </c>
      <c r="E92" s="22" t="s">
        <v>810</v>
      </c>
      <c r="F92" s="22" t="s">
        <v>811</v>
      </c>
      <c r="G92" s="22" t="s">
        <v>812</v>
      </c>
      <c r="H92" s="22" t="s">
        <v>813</v>
      </c>
      <c r="I92" s="22" t="s">
        <v>814</v>
      </c>
      <c r="J92" s="7" t="s">
        <v>815</v>
      </c>
      <c r="K92" s="7" t="s">
        <v>1246</v>
      </c>
    </row>
    <row r="93" spans="2:11" ht="31.95" customHeight="1" x14ac:dyDescent="0.3">
      <c r="B93" s="31" t="s">
        <v>816</v>
      </c>
      <c r="C93" s="22" t="s">
        <v>817</v>
      </c>
      <c r="D93" s="31" t="s">
        <v>818</v>
      </c>
      <c r="E93" s="22" t="s">
        <v>819</v>
      </c>
      <c r="F93" s="22" t="s">
        <v>273</v>
      </c>
      <c r="G93" s="22" t="s">
        <v>820</v>
      </c>
      <c r="H93" s="22" t="s">
        <v>821</v>
      </c>
      <c r="I93" s="22"/>
      <c r="K93" s="7" t="s">
        <v>1246</v>
      </c>
    </row>
    <row r="94" spans="2:11" ht="31.95" customHeight="1" x14ac:dyDescent="0.3">
      <c r="B94" s="31" t="s">
        <v>822</v>
      </c>
      <c r="C94" s="22" t="s">
        <v>823</v>
      </c>
      <c r="D94" s="31" t="s">
        <v>824</v>
      </c>
      <c r="E94" s="22" t="s">
        <v>825</v>
      </c>
      <c r="F94" s="22" t="s">
        <v>293</v>
      </c>
      <c r="G94" s="22" t="s">
        <v>826</v>
      </c>
      <c r="H94" s="22" t="s">
        <v>827</v>
      </c>
      <c r="I94" s="22" t="s">
        <v>530</v>
      </c>
      <c r="J94" s="7" t="s">
        <v>828</v>
      </c>
      <c r="K94" s="7" t="s">
        <v>1253</v>
      </c>
    </row>
    <row r="95" spans="2:11" ht="31.95" customHeight="1" x14ac:dyDescent="0.3">
      <c r="B95" s="31" t="s">
        <v>829</v>
      </c>
      <c r="C95" s="22" t="s">
        <v>830</v>
      </c>
      <c r="D95" s="31" t="s">
        <v>831</v>
      </c>
      <c r="E95" s="22" t="s">
        <v>832</v>
      </c>
      <c r="F95" s="22" t="s">
        <v>833</v>
      </c>
      <c r="G95" s="22" t="s">
        <v>834</v>
      </c>
      <c r="H95" s="22" t="s">
        <v>835</v>
      </c>
      <c r="I95" s="22" t="s">
        <v>836</v>
      </c>
      <c r="J95" s="7" t="s">
        <v>837</v>
      </c>
      <c r="K95" s="7" t="s">
        <v>1245</v>
      </c>
    </row>
    <row r="96" spans="2:11" ht="31.95" customHeight="1" x14ac:dyDescent="0.3">
      <c r="B96" s="31" t="s">
        <v>838</v>
      </c>
      <c r="C96" s="22" t="s">
        <v>839</v>
      </c>
      <c r="D96" s="31" t="s">
        <v>840</v>
      </c>
      <c r="E96" s="22" t="s">
        <v>841</v>
      </c>
      <c r="F96" s="22" t="s">
        <v>11</v>
      </c>
      <c r="G96" s="22" t="s">
        <v>11</v>
      </c>
      <c r="H96" s="22" t="s">
        <v>11</v>
      </c>
      <c r="I96" s="22" t="s">
        <v>842</v>
      </c>
      <c r="J96" s="7" t="s">
        <v>843</v>
      </c>
      <c r="K96" s="7" t="s">
        <v>1244</v>
      </c>
    </row>
    <row r="97" spans="2:11" ht="31.95" customHeight="1" x14ac:dyDescent="0.3">
      <c r="B97" s="31" t="s">
        <v>844</v>
      </c>
      <c r="C97" s="22" t="s">
        <v>845</v>
      </c>
      <c r="D97" s="31" t="s">
        <v>846</v>
      </c>
      <c r="E97" s="22" t="s">
        <v>847</v>
      </c>
      <c r="F97" s="22" t="s">
        <v>293</v>
      </c>
      <c r="G97" s="22">
        <v>7111</v>
      </c>
      <c r="H97" s="22" t="s">
        <v>848</v>
      </c>
      <c r="I97" s="22" t="s">
        <v>315</v>
      </c>
      <c r="J97" s="7" t="s">
        <v>849</v>
      </c>
      <c r="K97" s="7" t="s">
        <v>1252</v>
      </c>
    </row>
    <row r="98" spans="2:11" ht="31.95" customHeight="1" x14ac:dyDescent="0.3">
      <c r="B98" s="31" t="s">
        <v>1552</v>
      </c>
      <c r="C98" s="22" t="s">
        <v>1553</v>
      </c>
      <c r="D98" s="31" t="s">
        <v>1554</v>
      </c>
      <c r="E98" s="207" t="s">
        <v>1555</v>
      </c>
      <c r="F98" s="258" t="s">
        <v>11</v>
      </c>
      <c r="G98" s="258" t="s">
        <v>11</v>
      </c>
      <c r="H98" s="258" t="s">
        <v>11</v>
      </c>
      <c r="I98" s="22" t="s">
        <v>851</v>
      </c>
      <c r="J98" s="7" t="s">
        <v>852</v>
      </c>
      <c r="K98" s="7" t="s">
        <v>1247</v>
      </c>
    </row>
    <row r="99" spans="2:11" ht="31.95" customHeight="1" x14ac:dyDescent="0.3">
      <c r="B99" s="31" t="s">
        <v>853</v>
      </c>
      <c r="C99" s="22" t="s">
        <v>854</v>
      </c>
      <c r="D99" s="31" t="s">
        <v>855</v>
      </c>
      <c r="E99" s="22" t="s">
        <v>856</v>
      </c>
      <c r="F99" s="22" t="s">
        <v>309</v>
      </c>
      <c r="G99" s="22">
        <v>1419</v>
      </c>
      <c r="H99" s="22" t="s">
        <v>857</v>
      </c>
      <c r="I99" s="22"/>
      <c r="K99" s="7" t="s">
        <v>1252</v>
      </c>
    </row>
    <row r="100" spans="2:11" ht="31.95" customHeight="1" x14ac:dyDescent="0.3">
      <c r="B100" s="31" t="s">
        <v>858</v>
      </c>
      <c r="C100" s="22" t="s">
        <v>859</v>
      </c>
      <c r="D100" s="31" t="s">
        <v>860</v>
      </c>
      <c r="E100" s="22" t="s">
        <v>861</v>
      </c>
      <c r="F100" s="22" t="s">
        <v>11</v>
      </c>
      <c r="G100" s="22" t="s">
        <v>11</v>
      </c>
      <c r="H100" s="22" t="s">
        <v>11</v>
      </c>
      <c r="I100" s="22" t="s">
        <v>862</v>
      </c>
      <c r="J100" s="7" t="s">
        <v>320</v>
      </c>
      <c r="K100" s="7" t="s">
        <v>1245</v>
      </c>
    </row>
    <row r="101" spans="2:11" ht="31.95" customHeight="1" x14ac:dyDescent="0.3">
      <c r="B101" s="6" t="s">
        <v>863</v>
      </c>
      <c r="C101" s="7" t="s">
        <v>864</v>
      </c>
      <c r="D101" s="6" t="s">
        <v>865</v>
      </c>
      <c r="E101" s="7" t="s">
        <v>866</v>
      </c>
      <c r="F101" s="7" t="s">
        <v>273</v>
      </c>
      <c r="G101" s="7" t="s">
        <v>867</v>
      </c>
      <c r="H101" s="7" t="s">
        <v>868</v>
      </c>
      <c r="I101" s="7" t="s">
        <v>869</v>
      </c>
      <c r="J101" s="7" t="s">
        <v>870</v>
      </c>
      <c r="K101" s="7" t="s">
        <v>1252</v>
      </c>
    </row>
    <row r="102" spans="2:11" ht="31.95" customHeight="1" x14ac:dyDescent="0.3">
      <c r="B102" s="6" t="s">
        <v>871</v>
      </c>
      <c r="C102" s="7" t="s">
        <v>872</v>
      </c>
      <c r="D102" s="6" t="s">
        <v>873</v>
      </c>
      <c r="E102" s="7" t="s">
        <v>874</v>
      </c>
      <c r="F102" s="7" t="s">
        <v>309</v>
      </c>
      <c r="G102" s="7" t="s">
        <v>875</v>
      </c>
      <c r="H102" s="7" t="s">
        <v>876</v>
      </c>
      <c r="I102" s="7" t="s">
        <v>877</v>
      </c>
      <c r="J102" s="7" t="s">
        <v>878</v>
      </c>
      <c r="K102" s="7" t="s">
        <v>1251</v>
      </c>
    </row>
    <row r="103" spans="2:11" ht="31.95" customHeight="1" x14ac:dyDescent="0.3">
      <c r="B103" s="6" t="s">
        <v>879</v>
      </c>
      <c r="C103" s="7" t="s">
        <v>880</v>
      </c>
      <c r="D103" s="6" t="s">
        <v>881</v>
      </c>
      <c r="E103" s="7" t="s">
        <v>882</v>
      </c>
      <c r="F103" s="7" t="s">
        <v>309</v>
      </c>
      <c r="G103" s="7" t="s">
        <v>883</v>
      </c>
      <c r="H103" s="7" t="s">
        <v>884</v>
      </c>
      <c r="I103" s="7" t="s">
        <v>184</v>
      </c>
      <c r="K103" s="7" t="s">
        <v>1247</v>
      </c>
    </row>
    <row r="104" spans="2:11" ht="31.95" customHeight="1" x14ac:dyDescent="0.3">
      <c r="B104" s="6" t="s">
        <v>885</v>
      </c>
      <c r="C104" s="7" t="s">
        <v>886</v>
      </c>
      <c r="D104" s="6" t="s">
        <v>887</v>
      </c>
      <c r="E104" s="7" t="s">
        <v>888</v>
      </c>
      <c r="F104" s="7" t="s">
        <v>293</v>
      </c>
      <c r="G104" s="7">
        <v>7808</v>
      </c>
      <c r="H104" s="7" t="s">
        <v>889</v>
      </c>
      <c r="K104" s="7" t="s">
        <v>1252</v>
      </c>
    </row>
    <row r="105" spans="2:11" ht="31.95" customHeight="1" x14ac:dyDescent="0.3">
      <c r="B105" s="6" t="s">
        <v>890</v>
      </c>
      <c r="C105" s="7" t="s">
        <v>891</v>
      </c>
      <c r="D105" s="6" t="s">
        <v>892</v>
      </c>
      <c r="E105" s="7" t="s">
        <v>893</v>
      </c>
      <c r="F105" s="7" t="s">
        <v>309</v>
      </c>
      <c r="G105" s="7" t="s">
        <v>657</v>
      </c>
      <c r="H105" s="7" t="s">
        <v>894</v>
      </c>
      <c r="I105" s="7" t="s">
        <v>895</v>
      </c>
      <c r="J105" s="7" t="s">
        <v>896</v>
      </c>
      <c r="K105" s="7" t="s">
        <v>1248</v>
      </c>
    </row>
    <row r="106" spans="2:11" ht="31.95" customHeight="1" x14ac:dyDescent="0.3">
      <c r="B106" s="6" t="s">
        <v>897</v>
      </c>
      <c r="C106" s="7" t="s">
        <v>898</v>
      </c>
      <c r="D106" s="6" t="s">
        <v>899</v>
      </c>
      <c r="E106" s="7" t="s">
        <v>900</v>
      </c>
      <c r="F106" s="7" t="s">
        <v>309</v>
      </c>
      <c r="G106" s="7">
        <v>782</v>
      </c>
      <c r="H106" s="7" t="s">
        <v>901</v>
      </c>
      <c r="K106" s="7" t="s">
        <v>1248</v>
      </c>
    </row>
    <row r="107" spans="2:11" ht="31.95" customHeight="1" x14ac:dyDescent="0.3">
      <c r="B107" s="6" t="s">
        <v>902</v>
      </c>
      <c r="C107" s="7" t="s">
        <v>903</v>
      </c>
      <c r="D107" s="6" t="s">
        <v>904</v>
      </c>
      <c r="E107" s="7" t="s">
        <v>905</v>
      </c>
      <c r="F107" s="7" t="s">
        <v>293</v>
      </c>
      <c r="G107" s="7" t="s">
        <v>906</v>
      </c>
      <c r="H107" s="7" t="s">
        <v>907</v>
      </c>
      <c r="K107" s="7" t="s">
        <v>1252</v>
      </c>
    </row>
    <row r="108" spans="2:11" ht="31.95" customHeight="1" x14ac:dyDescent="0.3">
      <c r="B108" s="6" t="s">
        <v>908</v>
      </c>
      <c r="C108" s="7" t="s">
        <v>909</v>
      </c>
      <c r="D108" s="6" t="s">
        <v>910</v>
      </c>
      <c r="E108" s="7" t="s">
        <v>911</v>
      </c>
      <c r="F108" s="7" t="s">
        <v>293</v>
      </c>
      <c r="G108" s="7">
        <v>2812</v>
      </c>
      <c r="H108" s="7" t="s">
        <v>912</v>
      </c>
      <c r="I108" s="7" t="s">
        <v>913</v>
      </c>
      <c r="J108" s="7" t="s">
        <v>914</v>
      </c>
      <c r="K108" s="7" t="s">
        <v>1248</v>
      </c>
    </row>
    <row r="109" spans="2:11" ht="31.95" customHeight="1" x14ac:dyDescent="0.3">
      <c r="B109" s="6" t="s">
        <v>915</v>
      </c>
      <c r="C109" s="7" t="s">
        <v>916</v>
      </c>
      <c r="D109" s="6" t="s">
        <v>917</v>
      </c>
      <c r="E109" s="7" t="s">
        <v>918</v>
      </c>
      <c r="F109" s="7" t="s">
        <v>309</v>
      </c>
      <c r="G109" s="7" t="s">
        <v>657</v>
      </c>
      <c r="H109" s="7" t="s">
        <v>919</v>
      </c>
      <c r="I109" s="7" t="s">
        <v>920</v>
      </c>
      <c r="J109" s="7" t="s">
        <v>921</v>
      </c>
      <c r="K109" s="7" t="s">
        <v>1246</v>
      </c>
    </row>
    <row r="110" spans="2:11" ht="31.95" customHeight="1" x14ac:dyDescent="0.3">
      <c r="B110" s="6" t="s">
        <v>922</v>
      </c>
      <c r="C110" s="7" t="s">
        <v>923</v>
      </c>
      <c r="D110" s="6" t="s">
        <v>924</v>
      </c>
      <c r="E110" s="7" t="s">
        <v>925</v>
      </c>
      <c r="I110" s="7" t="s">
        <v>926</v>
      </c>
      <c r="J110" s="7" t="s">
        <v>927</v>
      </c>
      <c r="K110" s="7" t="s">
        <v>1247</v>
      </c>
    </row>
    <row r="111" spans="2:11" ht="31.95" customHeight="1" x14ac:dyDescent="0.3">
      <c r="B111" s="6" t="s">
        <v>928</v>
      </c>
      <c r="C111" s="7" t="s">
        <v>929</v>
      </c>
      <c r="D111" s="6" t="s">
        <v>930</v>
      </c>
      <c r="E111" s="7" t="s">
        <v>931</v>
      </c>
      <c r="F111" s="7" t="s">
        <v>293</v>
      </c>
      <c r="G111" s="7">
        <v>237</v>
      </c>
      <c r="H111" s="7">
        <v>2224</v>
      </c>
      <c r="I111" s="7" t="s">
        <v>310</v>
      </c>
      <c r="J111" s="7" t="s">
        <v>932</v>
      </c>
      <c r="K111" s="7" t="s">
        <v>1250</v>
      </c>
    </row>
    <row r="112" spans="2:11" ht="31.95" customHeight="1" x14ac:dyDescent="0.3">
      <c r="B112" s="6" t="s">
        <v>1390</v>
      </c>
      <c r="C112" s="7" t="s">
        <v>1391</v>
      </c>
      <c r="D112" s="6" t="s">
        <v>1392</v>
      </c>
      <c r="E112" s="208" t="s">
        <v>1395</v>
      </c>
      <c r="F112" s="7" t="s">
        <v>833</v>
      </c>
      <c r="G112" s="7" t="s">
        <v>1393</v>
      </c>
      <c r="H112" s="7" t="s">
        <v>1394</v>
      </c>
      <c r="I112" s="7" t="s">
        <v>1396</v>
      </c>
      <c r="J112" s="7" t="s">
        <v>1397</v>
      </c>
      <c r="K112" s="7" t="s">
        <v>1246</v>
      </c>
    </row>
    <row r="113" spans="2:11" ht="31.95" customHeight="1" x14ac:dyDescent="0.3">
      <c r="B113" s="6" t="s">
        <v>933</v>
      </c>
      <c r="C113" s="7" t="s">
        <v>934</v>
      </c>
      <c r="D113" s="6" t="s">
        <v>935</v>
      </c>
      <c r="E113" s="7" t="s">
        <v>936</v>
      </c>
      <c r="F113" s="7" t="s">
        <v>11</v>
      </c>
      <c r="G113" s="7" t="s">
        <v>11</v>
      </c>
      <c r="H113" s="7" t="s">
        <v>11</v>
      </c>
      <c r="I113" s="7" t="s">
        <v>937</v>
      </c>
      <c r="J113" s="7" t="s">
        <v>938</v>
      </c>
      <c r="K113" s="7" t="s">
        <v>1246</v>
      </c>
    </row>
    <row r="114" spans="2:11" ht="31.95" customHeight="1" x14ac:dyDescent="0.3">
      <c r="B114" s="6" t="s">
        <v>939</v>
      </c>
      <c r="C114" s="7" t="s">
        <v>940</v>
      </c>
      <c r="D114" s="6" t="s">
        <v>941</v>
      </c>
      <c r="E114" s="7" t="s">
        <v>11</v>
      </c>
      <c r="F114" s="7" t="s">
        <v>265</v>
      </c>
      <c r="G114" s="7" t="s">
        <v>942</v>
      </c>
      <c r="H114" s="7" t="s">
        <v>943</v>
      </c>
      <c r="I114" s="7" t="s">
        <v>267</v>
      </c>
      <c r="J114" s="7" t="s">
        <v>944</v>
      </c>
      <c r="K114" s="7" t="s">
        <v>1248</v>
      </c>
    </row>
    <row r="115" spans="2:11" ht="31.95" customHeight="1" x14ac:dyDescent="0.3">
      <c r="B115" s="6" t="s">
        <v>945</v>
      </c>
      <c r="C115" s="7" t="s">
        <v>946</v>
      </c>
      <c r="D115" s="6" t="s">
        <v>947</v>
      </c>
      <c r="E115" s="7" t="s">
        <v>948</v>
      </c>
      <c r="F115" s="7" t="s">
        <v>949</v>
      </c>
      <c r="G115" s="7">
        <v>2602</v>
      </c>
      <c r="H115" s="7" t="s">
        <v>950</v>
      </c>
      <c r="I115" s="7" t="s">
        <v>951</v>
      </c>
      <c r="J115" s="7" t="s">
        <v>952</v>
      </c>
      <c r="K115" s="7" t="s">
        <v>1249</v>
      </c>
    </row>
    <row r="116" spans="2:11" ht="31.95" customHeight="1" x14ac:dyDescent="0.3">
      <c r="B116" s="6" t="s">
        <v>953</v>
      </c>
      <c r="C116" s="7" t="s">
        <v>954</v>
      </c>
      <c r="D116" s="6" t="s">
        <v>955</v>
      </c>
      <c r="E116" s="7" t="s">
        <v>956</v>
      </c>
      <c r="F116" s="7" t="s">
        <v>11</v>
      </c>
      <c r="G116" s="7" t="s">
        <v>11</v>
      </c>
      <c r="H116" s="7" t="s">
        <v>11</v>
      </c>
      <c r="I116" s="7" t="s">
        <v>957</v>
      </c>
      <c r="J116" s="7" t="s">
        <v>958</v>
      </c>
      <c r="K116" s="7" t="s">
        <v>1246</v>
      </c>
    </row>
    <row r="117" spans="2:11" ht="31.95" customHeight="1" x14ac:dyDescent="0.3">
      <c r="B117" s="6" t="s">
        <v>959</v>
      </c>
      <c r="C117" s="7" t="s">
        <v>960</v>
      </c>
      <c r="D117" s="6" t="s">
        <v>961</v>
      </c>
      <c r="E117" s="7" t="s">
        <v>962</v>
      </c>
      <c r="I117" s="7" t="s">
        <v>963</v>
      </c>
      <c r="J117" s="7" t="s">
        <v>964</v>
      </c>
      <c r="K117" s="7" t="s">
        <v>1246</v>
      </c>
    </row>
    <row r="118" spans="2:11" ht="31.95" customHeight="1" x14ac:dyDescent="0.3">
      <c r="B118" s="6" t="s">
        <v>965</v>
      </c>
      <c r="C118" s="7" t="s">
        <v>966</v>
      </c>
      <c r="D118" s="6" t="s">
        <v>967</v>
      </c>
      <c r="E118" s="7" t="s">
        <v>968</v>
      </c>
      <c r="F118" s="7" t="s">
        <v>11</v>
      </c>
      <c r="G118" s="7" t="s">
        <v>11</v>
      </c>
      <c r="H118" s="7" t="s">
        <v>11</v>
      </c>
      <c r="I118" s="7" t="s">
        <v>969</v>
      </c>
      <c r="J118" s="7" t="s">
        <v>970</v>
      </c>
      <c r="K118" s="7" t="s">
        <v>1243</v>
      </c>
    </row>
    <row r="119" spans="2:11" ht="31.95" customHeight="1" x14ac:dyDescent="0.3">
      <c r="B119" s="6" t="s">
        <v>971</v>
      </c>
      <c r="C119" s="7" t="s">
        <v>972</v>
      </c>
      <c r="D119" s="6" t="s">
        <v>973</v>
      </c>
      <c r="E119" s="7" t="s">
        <v>974</v>
      </c>
      <c r="F119" s="7" t="s">
        <v>273</v>
      </c>
      <c r="G119" s="7">
        <v>3455</v>
      </c>
      <c r="H119" s="7" t="s">
        <v>975</v>
      </c>
      <c r="I119" s="7" t="s">
        <v>976</v>
      </c>
      <c r="J119" s="7" t="s">
        <v>977</v>
      </c>
      <c r="K119" s="7" t="s">
        <v>1252</v>
      </c>
    </row>
    <row r="120" spans="2:11" ht="31.95" customHeight="1" x14ac:dyDescent="0.3">
      <c r="B120" s="6" t="s">
        <v>978</v>
      </c>
      <c r="C120" s="7" t="s">
        <v>979</v>
      </c>
      <c r="D120" s="6" t="s">
        <v>980</v>
      </c>
      <c r="E120" s="7" t="s">
        <v>841</v>
      </c>
      <c r="F120" s="7" t="s">
        <v>309</v>
      </c>
      <c r="G120" s="7" t="s">
        <v>657</v>
      </c>
      <c r="H120" s="7" t="s">
        <v>981</v>
      </c>
      <c r="I120" s="7" t="s">
        <v>842</v>
      </c>
      <c r="K120" s="7" t="s">
        <v>1244</v>
      </c>
    </row>
    <row r="121" spans="2:11" ht="31.95" customHeight="1" x14ac:dyDescent="0.3">
      <c r="B121" s="6" t="s">
        <v>982</v>
      </c>
      <c r="C121" s="7" t="s">
        <v>983</v>
      </c>
      <c r="D121" s="6" t="s">
        <v>984</v>
      </c>
      <c r="E121" s="7" t="s">
        <v>985</v>
      </c>
      <c r="F121" s="7" t="s">
        <v>309</v>
      </c>
      <c r="G121" s="7" t="s">
        <v>986</v>
      </c>
      <c r="H121" s="7" t="s">
        <v>987</v>
      </c>
      <c r="K121" s="7" t="s">
        <v>1244</v>
      </c>
    </row>
    <row r="122" spans="2:11" ht="31.95" customHeight="1" x14ac:dyDescent="0.3">
      <c r="B122" s="6" t="s">
        <v>988</v>
      </c>
      <c r="C122" s="7" t="s">
        <v>989</v>
      </c>
      <c r="D122" s="6" t="s">
        <v>990</v>
      </c>
      <c r="E122" s="7" t="s">
        <v>991</v>
      </c>
      <c r="F122" s="7" t="s">
        <v>293</v>
      </c>
      <c r="G122" s="7">
        <v>2224</v>
      </c>
      <c r="H122" s="7" t="s">
        <v>992</v>
      </c>
      <c r="I122" s="7" t="s">
        <v>869</v>
      </c>
      <c r="J122" s="7" t="s">
        <v>993</v>
      </c>
      <c r="K122" s="7" t="s">
        <v>1250</v>
      </c>
    </row>
    <row r="123" spans="2:11" ht="31.95" customHeight="1" x14ac:dyDescent="0.3">
      <c r="B123" s="6" t="s">
        <v>994</v>
      </c>
      <c r="C123" s="7" t="s">
        <v>995</v>
      </c>
      <c r="E123" s="7" t="s">
        <v>996</v>
      </c>
      <c r="F123" s="7" t="s">
        <v>293</v>
      </c>
      <c r="G123" s="7">
        <v>7014</v>
      </c>
      <c r="H123" s="7" t="s">
        <v>997</v>
      </c>
      <c r="I123" s="7" t="s">
        <v>998</v>
      </c>
      <c r="J123" s="7" t="s">
        <v>999</v>
      </c>
      <c r="K123" s="7" t="s">
        <v>1246</v>
      </c>
    </row>
    <row r="124" spans="2:11" ht="31.95" customHeight="1" x14ac:dyDescent="0.3">
      <c r="B124" s="6" t="s">
        <v>1000</v>
      </c>
      <c r="C124" s="7" t="s">
        <v>1001</v>
      </c>
      <c r="D124" s="6" t="s">
        <v>1002</v>
      </c>
      <c r="E124" s="7" t="s">
        <v>1003</v>
      </c>
      <c r="F124" s="7" t="s">
        <v>309</v>
      </c>
      <c r="G124" s="7">
        <v>1185</v>
      </c>
      <c r="H124" s="7" t="s">
        <v>1004</v>
      </c>
      <c r="I124" s="7" t="s">
        <v>1005</v>
      </c>
      <c r="J124" s="7" t="s">
        <v>1006</v>
      </c>
      <c r="K124" s="7" t="s">
        <v>1246</v>
      </c>
    </row>
    <row r="125" spans="2:11" ht="31.95" customHeight="1" x14ac:dyDescent="0.3">
      <c r="B125" s="6" t="s">
        <v>1007</v>
      </c>
      <c r="C125" s="7" t="s">
        <v>1008</v>
      </c>
      <c r="D125" s="6" t="s">
        <v>1009</v>
      </c>
      <c r="E125" s="7" t="s">
        <v>1010</v>
      </c>
      <c r="F125" s="7" t="s">
        <v>293</v>
      </c>
      <c r="G125" s="7">
        <v>3847</v>
      </c>
      <c r="H125" s="7" t="s">
        <v>1011</v>
      </c>
      <c r="I125" s="7" t="s">
        <v>1012</v>
      </c>
      <c r="J125" s="7" t="s">
        <v>1013</v>
      </c>
      <c r="K125" s="7" t="s">
        <v>1246</v>
      </c>
    </row>
    <row r="126" spans="2:11" ht="31.95" customHeight="1" x14ac:dyDescent="0.3">
      <c r="B126" s="6" t="s">
        <v>1014</v>
      </c>
      <c r="C126" s="7" t="s">
        <v>1015</v>
      </c>
      <c r="D126" s="6" t="s">
        <v>1016</v>
      </c>
      <c r="E126" s="7" t="s">
        <v>1017</v>
      </c>
      <c r="F126" s="7" t="s">
        <v>265</v>
      </c>
      <c r="G126" s="7" t="s">
        <v>718</v>
      </c>
      <c r="H126" s="7" t="s">
        <v>1018</v>
      </c>
      <c r="I126" s="7" t="s">
        <v>1019</v>
      </c>
      <c r="J126" s="7" t="s">
        <v>1020</v>
      </c>
      <c r="K126" s="7" t="s">
        <v>1252</v>
      </c>
    </row>
    <row r="127" spans="2:11" ht="31.95" customHeight="1" x14ac:dyDescent="0.3">
      <c r="B127" s="6" t="s">
        <v>1021</v>
      </c>
      <c r="C127" s="7" t="s">
        <v>1022</v>
      </c>
      <c r="D127" s="6" t="s">
        <v>1023</v>
      </c>
      <c r="E127" s="7" t="s">
        <v>1024</v>
      </c>
      <c r="F127" s="7" t="s">
        <v>309</v>
      </c>
      <c r="G127" s="7" t="s">
        <v>657</v>
      </c>
      <c r="H127" s="7" t="s">
        <v>1025</v>
      </c>
      <c r="I127" s="7" t="s">
        <v>1026</v>
      </c>
      <c r="J127" s="7" t="s">
        <v>1027</v>
      </c>
      <c r="K127" s="7" t="s">
        <v>1248</v>
      </c>
    </row>
    <row r="128" spans="2:11" ht="31.95" customHeight="1" x14ac:dyDescent="0.3">
      <c r="B128" s="6" t="s">
        <v>1028</v>
      </c>
      <c r="C128" s="7" t="s">
        <v>1029</v>
      </c>
      <c r="D128" s="6" t="s">
        <v>1030</v>
      </c>
      <c r="E128" s="7" t="s">
        <v>1031</v>
      </c>
      <c r="F128" s="7" t="s">
        <v>309</v>
      </c>
      <c r="G128" s="7">
        <v>9167</v>
      </c>
      <c r="H128" s="7" t="s">
        <v>1032</v>
      </c>
      <c r="I128" s="7" t="s">
        <v>836</v>
      </c>
      <c r="J128" s="7" t="s">
        <v>1033</v>
      </c>
      <c r="K128" s="7" t="s">
        <v>1252</v>
      </c>
    </row>
    <row r="129" spans="2:11" ht="31.95" customHeight="1" x14ac:dyDescent="0.3">
      <c r="B129" s="6" t="s">
        <v>1034</v>
      </c>
      <c r="C129" s="7" t="s">
        <v>1035</v>
      </c>
      <c r="D129" s="6" t="s">
        <v>1036</v>
      </c>
      <c r="E129" s="7" t="s">
        <v>1037</v>
      </c>
      <c r="F129" s="7" t="s">
        <v>273</v>
      </c>
      <c r="G129" s="7">
        <v>4439</v>
      </c>
      <c r="H129" s="7" t="s">
        <v>1038</v>
      </c>
      <c r="I129" s="7" t="s">
        <v>1039</v>
      </c>
      <c r="J129" s="7" t="s">
        <v>1040</v>
      </c>
      <c r="K129" s="7" t="s">
        <v>1246</v>
      </c>
    </row>
    <row r="130" spans="2:11" ht="31.95" customHeight="1" x14ac:dyDescent="0.3">
      <c r="B130" s="6" t="s">
        <v>1041</v>
      </c>
      <c r="C130" s="7" t="s">
        <v>1042</v>
      </c>
      <c r="D130" s="6" t="s">
        <v>1043</v>
      </c>
      <c r="E130" s="7" t="s">
        <v>1044</v>
      </c>
      <c r="F130" s="7" t="s">
        <v>309</v>
      </c>
      <c r="G130" s="7" t="s">
        <v>1045</v>
      </c>
      <c r="H130" s="7" t="s">
        <v>1046</v>
      </c>
      <c r="I130" s="7" t="s">
        <v>1047</v>
      </c>
      <c r="J130" s="7" t="s">
        <v>1048</v>
      </c>
      <c r="K130" s="7" t="s">
        <v>1248</v>
      </c>
    </row>
    <row r="131" spans="2:11" ht="31.95" customHeight="1" x14ac:dyDescent="0.3">
      <c r="B131" s="6" t="s">
        <v>1049</v>
      </c>
      <c r="C131" s="7" t="s">
        <v>1050</v>
      </c>
      <c r="D131" s="6" t="s">
        <v>1051</v>
      </c>
      <c r="E131" s="7" t="s">
        <v>1052</v>
      </c>
      <c r="I131" s="7" t="s">
        <v>642</v>
      </c>
      <c r="J131" s="7" t="s">
        <v>1053</v>
      </c>
      <c r="K131" s="7" t="s">
        <v>1246</v>
      </c>
    </row>
    <row r="132" spans="2:11" ht="31.95" customHeight="1" x14ac:dyDescent="0.3">
      <c r="B132" s="6" t="s">
        <v>1054</v>
      </c>
      <c r="C132" s="7" t="s">
        <v>1055</v>
      </c>
      <c r="D132" s="6" t="s">
        <v>1056</v>
      </c>
      <c r="E132" s="7" t="s">
        <v>1057</v>
      </c>
      <c r="F132" s="7" t="s">
        <v>293</v>
      </c>
      <c r="G132" s="7">
        <v>3122</v>
      </c>
      <c r="H132" s="7" t="s">
        <v>1058</v>
      </c>
      <c r="I132" s="7" t="s">
        <v>976</v>
      </c>
      <c r="J132" s="7" t="s">
        <v>1059</v>
      </c>
      <c r="K132" s="7" t="s">
        <v>1252</v>
      </c>
    </row>
    <row r="133" spans="2:11" ht="31.95" customHeight="1" x14ac:dyDescent="0.3">
      <c r="B133" s="6" t="s">
        <v>1060</v>
      </c>
      <c r="C133" s="7" t="s">
        <v>1061</v>
      </c>
      <c r="D133" s="6" t="s">
        <v>1062</v>
      </c>
      <c r="E133" s="7" t="s">
        <v>1063</v>
      </c>
      <c r="F133" s="7" t="s">
        <v>356</v>
      </c>
      <c r="G133" s="7" t="s">
        <v>1064</v>
      </c>
      <c r="H133" s="7" t="s">
        <v>1065</v>
      </c>
      <c r="I133" s="7" t="s">
        <v>568</v>
      </c>
      <c r="J133" s="7" t="s">
        <v>1066</v>
      </c>
      <c r="K133" s="7" t="s">
        <v>1251</v>
      </c>
    </row>
    <row r="134" spans="2:11" ht="31.95" customHeight="1" x14ac:dyDescent="0.3">
      <c r="B134" s="6" t="s">
        <v>1067</v>
      </c>
      <c r="C134" s="7" t="s">
        <v>1068</v>
      </c>
      <c r="D134" s="6" t="s">
        <v>1062</v>
      </c>
      <c r="E134" s="7" t="s">
        <v>1063</v>
      </c>
      <c r="F134" s="7" t="s">
        <v>446</v>
      </c>
      <c r="G134" s="7" t="s">
        <v>1069</v>
      </c>
      <c r="H134" s="7" t="s">
        <v>1070</v>
      </c>
      <c r="I134" s="7" t="s">
        <v>568</v>
      </c>
      <c r="J134" s="7" t="s">
        <v>1066</v>
      </c>
      <c r="K134" s="7" t="s">
        <v>1251</v>
      </c>
    </row>
    <row r="135" spans="2:11" ht="31.95" customHeight="1" x14ac:dyDescent="0.3">
      <c r="B135" s="6" t="s">
        <v>1071</v>
      </c>
      <c r="C135" s="7" t="s">
        <v>1072</v>
      </c>
      <c r="D135" s="6" t="s">
        <v>1073</v>
      </c>
      <c r="E135" s="7" t="s">
        <v>1074</v>
      </c>
      <c r="F135" s="7" t="s">
        <v>309</v>
      </c>
      <c r="G135" s="7" t="s">
        <v>1075</v>
      </c>
      <c r="H135" s="7" t="s">
        <v>1076</v>
      </c>
      <c r="I135" s="7" t="s">
        <v>1077</v>
      </c>
      <c r="J135" s="7" t="s">
        <v>1078</v>
      </c>
      <c r="K135" s="7" t="s">
        <v>1246</v>
      </c>
    </row>
    <row r="136" spans="2:11" ht="31.95" customHeight="1" x14ac:dyDescent="0.3">
      <c r="B136" s="6" t="s">
        <v>1079</v>
      </c>
      <c r="C136" s="7" t="s">
        <v>1080</v>
      </c>
      <c r="D136" s="6" t="s">
        <v>1081</v>
      </c>
      <c r="E136" s="7" t="s">
        <v>1082</v>
      </c>
      <c r="F136" s="7" t="s">
        <v>293</v>
      </c>
      <c r="G136" s="7">
        <v>2046</v>
      </c>
      <c r="H136" s="7" t="s">
        <v>1083</v>
      </c>
      <c r="I136" s="7" t="s">
        <v>1084</v>
      </c>
      <c r="J136" s="7" t="s">
        <v>1085</v>
      </c>
      <c r="K136" s="7" t="s">
        <v>1245</v>
      </c>
    </row>
    <row r="137" spans="2:11" ht="31.95" customHeight="1" x14ac:dyDescent="0.3">
      <c r="B137" s="31" t="s">
        <v>1382</v>
      </c>
      <c r="C137" s="22" t="s">
        <v>1384</v>
      </c>
      <c r="D137" s="31" t="s">
        <v>1383</v>
      </c>
      <c r="E137" s="207" t="s">
        <v>1385</v>
      </c>
      <c r="F137" s="22" t="s">
        <v>1386</v>
      </c>
      <c r="G137" s="22">
        <v>3027</v>
      </c>
      <c r="H137" s="22" t="s">
        <v>1387</v>
      </c>
      <c r="I137" s="22" t="s">
        <v>1388</v>
      </c>
      <c r="J137" s="7" t="s">
        <v>1389</v>
      </c>
      <c r="K137" s="7" t="s">
        <v>1246</v>
      </c>
    </row>
    <row r="138" spans="2:11" ht="31.95" customHeight="1" x14ac:dyDescent="0.3">
      <c r="B138" s="6" t="s">
        <v>1086</v>
      </c>
      <c r="C138" s="7" t="s">
        <v>1087</v>
      </c>
      <c r="D138" s="6" t="s">
        <v>1088</v>
      </c>
      <c r="E138" s="7" t="s">
        <v>1089</v>
      </c>
      <c r="I138" s="7" t="s">
        <v>1090</v>
      </c>
      <c r="J138" s="7" t="s">
        <v>1091</v>
      </c>
      <c r="K138" s="7" t="s">
        <v>1246</v>
      </c>
    </row>
    <row r="139" spans="2:11" ht="31.95" customHeight="1" x14ac:dyDescent="0.3">
      <c r="B139" s="6" t="s">
        <v>1092</v>
      </c>
      <c r="C139" s="7" t="s">
        <v>1093</v>
      </c>
      <c r="D139" s="6" t="s">
        <v>1094</v>
      </c>
      <c r="E139" s="7" t="s">
        <v>1095</v>
      </c>
      <c r="F139" s="7" t="s">
        <v>309</v>
      </c>
      <c r="G139" s="7" t="s">
        <v>1096</v>
      </c>
      <c r="H139" s="7" t="s">
        <v>1097</v>
      </c>
      <c r="I139" s="7" t="s">
        <v>1098</v>
      </c>
      <c r="J139" s="7" t="s">
        <v>1099</v>
      </c>
      <c r="K139" s="7" t="s">
        <v>1246</v>
      </c>
    </row>
    <row r="140" spans="2:11" ht="31.95" customHeight="1" x14ac:dyDescent="0.3">
      <c r="B140" s="6" t="s">
        <v>1100</v>
      </c>
      <c r="C140" s="7" t="s">
        <v>1101</v>
      </c>
      <c r="D140" s="6" t="s">
        <v>1102</v>
      </c>
      <c r="E140" s="7" t="s">
        <v>1103</v>
      </c>
      <c r="F140" s="7" t="s">
        <v>309</v>
      </c>
      <c r="G140" s="7" t="s">
        <v>1104</v>
      </c>
      <c r="H140" s="7" t="s">
        <v>1105</v>
      </c>
      <c r="I140" s="7" t="s">
        <v>1106</v>
      </c>
      <c r="J140" s="7" t="s">
        <v>1107</v>
      </c>
      <c r="K140" s="7" t="s">
        <v>1246</v>
      </c>
    </row>
    <row r="141" spans="2:11" ht="31.95" customHeight="1" x14ac:dyDescent="0.3">
      <c r="B141" s="6" t="s">
        <v>1108</v>
      </c>
      <c r="C141" s="7" t="s">
        <v>1109</v>
      </c>
      <c r="D141" s="6" t="s">
        <v>1110</v>
      </c>
      <c r="E141" s="7" t="s">
        <v>1111</v>
      </c>
      <c r="F141" s="7" t="s">
        <v>1112</v>
      </c>
      <c r="G141" s="7">
        <v>4379</v>
      </c>
      <c r="H141" s="7" t="s">
        <v>1113</v>
      </c>
      <c r="K141" s="7" t="s">
        <v>1252</v>
      </c>
    </row>
    <row r="142" spans="2:11" ht="31.95" customHeight="1" x14ac:dyDescent="0.3">
      <c r="B142" s="6" t="s">
        <v>1114</v>
      </c>
      <c r="C142" s="7" t="s">
        <v>1115</v>
      </c>
      <c r="D142" s="6" t="s">
        <v>1116</v>
      </c>
      <c r="E142" s="7" t="s">
        <v>1117</v>
      </c>
      <c r="F142" s="7" t="s">
        <v>265</v>
      </c>
      <c r="G142" s="7">
        <v>6809</v>
      </c>
      <c r="H142" s="7" t="s">
        <v>1118</v>
      </c>
      <c r="I142" s="7" t="s">
        <v>1119</v>
      </c>
      <c r="J142" s="7" t="s">
        <v>1120</v>
      </c>
      <c r="K142" s="7" t="s">
        <v>1245</v>
      </c>
    </row>
    <row r="143" spans="2:11" ht="31.95" customHeight="1" x14ac:dyDescent="0.3">
      <c r="B143" s="6" t="s">
        <v>1121</v>
      </c>
      <c r="C143" s="7" t="s">
        <v>1122</v>
      </c>
      <c r="D143" s="6" t="s">
        <v>1123</v>
      </c>
      <c r="E143" s="7" t="s">
        <v>1124</v>
      </c>
      <c r="F143" s="7" t="s">
        <v>309</v>
      </c>
      <c r="G143" s="7">
        <v>8417</v>
      </c>
      <c r="H143" s="7" t="s">
        <v>1125</v>
      </c>
      <c r="I143" s="7" t="s">
        <v>1126</v>
      </c>
      <c r="J143" s="7" t="s">
        <v>1127</v>
      </c>
      <c r="K143" s="7" t="s">
        <v>1245</v>
      </c>
    </row>
    <row r="144" spans="2:11" ht="31.95" customHeight="1" x14ac:dyDescent="0.3">
      <c r="B144" s="6" t="s">
        <v>1128</v>
      </c>
      <c r="C144" s="7" t="s">
        <v>1129</v>
      </c>
      <c r="D144" s="6" t="s">
        <v>1130</v>
      </c>
      <c r="E144" s="7" t="s">
        <v>1131</v>
      </c>
      <c r="F144" s="7" t="s">
        <v>293</v>
      </c>
      <c r="G144" s="7" t="s">
        <v>1132</v>
      </c>
      <c r="H144" s="7" t="s">
        <v>1133</v>
      </c>
      <c r="I144" s="7" t="s">
        <v>1134</v>
      </c>
      <c r="J144" s="7" t="s">
        <v>1135</v>
      </c>
      <c r="K144" s="7" t="s">
        <v>1253</v>
      </c>
    </row>
    <row r="145" spans="2:11" ht="31.95" customHeight="1" x14ac:dyDescent="0.3">
      <c r="B145" s="6" t="s">
        <v>1136</v>
      </c>
      <c r="C145" s="7" t="s">
        <v>1137</v>
      </c>
      <c r="D145" s="6" t="s">
        <v>1138</v>
      </c>
      <c r="E145" s="7" t="s">
        <v>1139</v>
      </c>
      <c r="F145" s="7" t="s">
        <v>309</v>
      </c>
      <c r="G145" s="7" t="s">
        <v>1140</v>
      </c>
      <c r="H145" s="7" t="s">
        <v>1141</v>
      </c>
      <c r="I145" s="7" t="s">
        <v>267</v>
      </c>
      <c r="J145" s="7" t="s">
        <v>1142</v>
      </c>
      <c r="K145" s="7" t="s">
        <v>1246</v>
      </c>
    </row>
    <row r="146" spans="2:11" ht="31.95" customHeight="1" x14ac:dyDescent="0.3">
      <c r="B146" s="6" t="s">
        <v>1143</v>
      </c>
      <c r="C146" s="7" t="s">
        <v>1144</v>
      </c>
      <c r="D146" s="6" t="s">
        <v>1145</v>
      </c>
      <c r="E146" s="7" t="s">
        <v>1146</v>
      </c>
      <c r="F146" s="7" t="s">
        <v>405</v>
      </c>
      <c r="G146" s="7" t="s">
        <v>406</v>
      </c>
      <c r="H146" s="7" t="s">
        <v>1147</v>
      </c>
      <c r="I146" s="7" t="s">
        <v>1148</v>
      </c>
      <c r="J146" s="7" t="s">
        <v>1149</v>
      </c>
      <c r="K146" s="7" t="s">
        <v>1246</v>
      </c>
    </row>
    <row r="147" spans="2:11" ht="31.95" customHeight="1" x14ac:dyDescent="0.3">
      <c r="B147" s="6" t="s">
        <v>1150</v>
      </c>
      <c r="C147" s="7" t="s">
        <v>1151</v>
      </c>
      <c r="D147" s="6" t="s">
        <v>1152</v>
      </c>
      <c r="E147" s="7" t="s">
        <v>1153</v>
      </c>
      <c r="F147" s="7" t="s">
        <v>309</v>
      </c>
      <c r="G147" s="7">
        <v>6009</v>
      </c>
      <c r="H147" s="7" t="s">
        <v>1154</v>
      </c>
      <c r="I147" s="7" t="s">
        <v>1155</v>
      </c>
      <c r="J147" s="7" t="s">
        <v>1156</v>
      </c>
      <c r="K147" s="7" t="s">
        <v>1252</v>
      </c>
    </row>
    <row r="148" spans="2:11" ht="31.95" customHeight="1" x14ac:dyDescent="0.3">
      <c r="B148" s="6" t="s">
        <v>1157</v>
      </c>
      <c r="C148" s="7" t="s">
        <v>1158</v>
      </c>
      <c r="D148" s="6" t="s">
        <v>1159</v>
      </c>
      <c r="E148" s="7" t="s">
        <v>1160</v>
      </c>
      <c r="F148" s="7" t="s">
        <v>293</v>
      </c>
      <c r="G148" s="7">
        <v>1795</v>
      </c>
      <c r="H148" s="7" t="s">
        <v>1161</v>
      </c>
      <c r="I148" s="7" t="s">
        <v>976</v>
      </c>
      <c r="J148" s="7" t="s">
        <v>1162</v>
      </c>
      <c r="K148" s="7" t="s">
        <v>1244</v>
      </c>
    </row>
    <row r="149" spans="2:11" ht="31.95" customHeight="1" x14ac:dyDescent="0.3">
      <c r="B149" s="6" t="s">
        <v>1163</v>
      </c>
      <c r="C149" s="7" t="s">
        <v>1164</v>
      </c>
      <c r="D149" s="6" t="s">
        <v>1165</v>
      </c>
      <c r="E149" s="7" t="s">
        <v>1166</v>
      </c>
      <c r="F149" s="7" t="s">
        <v>309</v>
      </c>
      <c r="G149" s="7">
        <v>8561</v>
      </c>
      <c r="H149" s="7" t="s">
        <v>1167</v>
      </c>
      <c r="I149" s="7" t="s">
        <v>1168</v>
      </c>
      <c r="J149" s="7" t="s">
        <v>1169</v>
      </c>
      <c r="K149" s="7" t="s">
        <v>1244</v>
      </c>
    </row>
    <row r="150" spans="2:11" ht="31.95" customHeight="1" x14ac:dyDescent="0.3">
      <c r="B150" s="6" t="s">
        <v>1170</v>
      </c>
      <c r="C150" s="7" t="s">
        <v>1171</v>
      </c>
      <c r="D150" s="6" t="s">
        <v>1172</v>
      </c>
      <c r="E150" s="7" t="s">
        <v>1173</v>
      </c>
      <c r="F150" s="7" t="s">
        <v>1174</v>
      </c>
      <c r="G150" s="7" t="s">
        <v>406</v>
      </c>
      <c r="H150" s="7" t="s">
        <v>1175</v>
      </c>
      <c r="I150" s="7" t="s">
        <v>1176</v>
      </c>
      <c r="J150" s="7" t="s">
        <v>1177</v>
      </c>
      <c r="K150" s="7" t="s">
        <v>1246</v>
      </c>
    </row>
    <row r="151" spans="2:11" ht="31.95" customHeight="1" x14ac:dyDescent="0.3">
      <c r="B151" s="6" t="s">
        <v>1178</v>
      </c>
      <c r="C151" s="7" t="s">
        <v>1179</v>
      </c>
      <c r="D151" s="6" t="s">
        <v>1180</v>
      </c>
      <c r="E151" s="7" t="s">
        <v>1181</v>
      </c>
      <c r="F151" s="7" t="s">
        <v>293</v>
      </c>
      <c r="G151" s="7" t="s">
        <v>1182</v>
      </c>
      <c r="H151" s="7" t="s">
        <v>1183</v>
      </c>
      <c r="I151" s="7" t="s">
        <v>1184</v>
      </c>
      <c r="J151" s="7" t="s">
        <v>1185</v>
      </c>
      <c r="K151" s="7" t="s">
        <v>1246</v>
      </c>
    </row>
    <row r="152" spans="2:11" ht="31.95" customHeight="1" x14ac:dyDescent="0.3">
      <c r="B152" s="6" t="s">
        <v>1186</v>
      </c>
      <c r="C152" s="7" t="s">
        <v>1187</v>
      </c>
      <c r="D152" s="6" t="s">
        <v>1188</v>
      </c>
      <c r="E152" s="7" t="s">
        <v>1189</v>
      </c>
      <c r="F152" s="7" t="s">
        <v>265</v>
      </c>
      <c r="G152" s="7" t="s">
        <v>1190</v>
      </c>
      <c r="H152" s="7" t="s">
        <v>1191</v>
      </c>
      <c r="I152" s="7" t="s">
        <v>310</v>
      </c>
      <c r="J152" s="7" t="s">
        <v>1192</v>
      </c>
      <c r="K152" s="7" t="s">
        <v>1246</v>
      </c>
    </row>
    <row r="153" spans="2:11" ht="31.95" customHeight="1" x14ac:dyDescent="0.3">
      <c r="B153" s="6" t="s">
        <v>1193</v>
      </c>
      <c r="C153" s="7" t="s">
        <v>1194</v>
      </c>
      <c r="D153" s="6" t="s">
        <v>1195</v>
      </c>
      <c r="E153" s="7" t="s">
        <v>1196</v>
      </c>
      <c r="F153" s="7" t="s">
        <v>293</v>
      </c>
      <c r="G153" s="7">
        <v>7093</v>
      </c>
      <c r="H153" s="7" t="s">
        <v>1197</v>
      </c>
      <c r="I153" s="7" t="s">
        <v>1198</v>
      </c>
      <c r="J153" s="7" t="s">
        <v>1199</v>
      </c>
      <c r="K153" s="7" t="s">
        <v>1247</v>
      </c>
    </row>
    <row r="154" spans="2:11" ht="31.95" customHeight="1" x14ac:dyDescent="0.3">
      <c r="B154" s="6" t="s">
        <v>1200</v>
      </c>
      <c r="C154" s="7" t="s">
        <v>1201</v>
      </c>
      <c r="D154" s="6" t="s">
        <v>1202</v>
      </c>
      <c r="E154" s="7" t="s">
        <v>1203</v>
      </c>
      <c r="F154" s="7" t="s">
        <v>293</v>
      </c>
      <c r="G154" s="7">
        <v>7111</v>
      </c>
      <c r="H154" s="7" t="s">
        <v>1204</v>
      </c>
      <c r="I154" s="7" t="s">
        <v>862</v>
      </c>
      <c r="J154" s="7" t="s">
        <v>1205</v>
      </c>
      <c r="K154" s="7" t="s">
        <v>1246</v>
      </c>
    </row>
    <row r="155" spans="2:11" ht="31.95" customHeight="1" x14ac:dyDescent="0.3">
      <c r="B155" s="6" t="s">
        <v>1206</v>
      </c>
      <c r="C155" s="7" t="s">
        <v>1207</v>
      </c>
      <c r="E155" s="7" t="s">
        <v>1208</v>
      </c>
      <c r="F155" s="7" t="s">
        <v>11</v>
      </c>
      <c r="G155" s="7" t="s">
        <v>11</v>
      </c>
      <c r="H155" s="7" t="s">
        <v>11</v>
      </c>
      <c r="K155" s="7" t="s">
        <v>1246</v>
      </c>
    </row>
    <row r="156" spans="2:11" ht="31.95" customHeight="1" x14ac:dyDescent="0.3">
      <c r="B156" s="6" t="s">
        <v>1209</v>
      </c>
      <c r="C156" s="7" t="s">
        <v>1210</v>
      </c>
      <c r="D156" s="6" t="s">
        <v>1211</v>
      </c>
      <c r="E156" s="7" t="s">
        <v>1212</v>
      </c>
      <c r="F156" s="7" t="s">
        <v>293</v>
      </c>
      <c r="G156" s="7" t="s">
        <v>1213</v>
      </c>
      <c r="H156" s="7" t="s">
        <v>1214</v>
      </c>
      <c r="I156" s="7" t="s">
        <v>267</v>
      </c>
      <c r="J156" s="7" t="s">
        <v>1215</v>
      </c>
      <c r="K156" s="7" t="s">
        <v>1253</v>
      </c>
    </row>
    <row r="157" spans="2:11" ht="31.95" customHeight="1" x14ac:dyDescent="0.3">
      <c r="B157" s="6" t="s">
        <v>1216</v>
      </c>
      <c r="C157" s="7" t="s">
        <v>1217</v>
      </c>
      <c r="D157" s="6" t="s">
        <v>1218</v>
      </c>
      <c r="E157" s="7" t="s">
        <v>1219</v>
      </c>
      <c r="F157" s="7" t="s">
        <v>293</v>
      </c>
      <c r="G157" s="7" t="s">
        <v>1220</v>
      </c>
      <c r="H157" s="7" t="s">
        <v>1221</v>
      </c>
      <c r="I157" s="7" t="s">
        <v>1222</v>
      </c>
      <c r="J157" s="7" t="s">
        <v>1223</v>
      </c>
      <c r="K157" s="7" t="s">
        <v>1251</v>
      </c>
    </row>
    <row r="158" spans="2:11" ht="31.95" customHeight="1" x14ac:dyDescent="0.3">
      <c r="B158" s="6" t="s">
        <v>1224</v>
      </c>
      <c r="C158" s="7" t="s">
        <v>1225</v>
      </c>
      <c r="D158" s="6" t="s">
        <v>1226</v>
      </c>
      <c r="E158" s="7" t="s">
        <v>1227</v>
      </c>
      <c r="F158" s="7" t="s">
        <v>309</v>
      </c>
      <c r="G158" s="7" t="s">
        <v>1228</v>
      </c>
      <c r="H158" s="7" t="s">
        <v>1229</v>
      </c>
      <c r="I158" s="7" t="s">
        <v>1230</v>
      </c>
      <c r="J158" s="7" t="s">
        <v>1231</v>
      </c>
      <c r="K158" s="7" t="s">
        <v>1246</v>
      </c>
    </row>
    <row r="159" spans="2:11" ht="31.95" customHeight="1" x14ac:dyDescent="0.3">
      <c r="B159" s="6" t="s">
        <v>1232</v>
      </c>
      <c r="C159" s="7" t="s">
        <v>1233</v>
      </c>
      <c r="D159" s="6" t="s">
        <v>1234</v>
      </c>
      <c r="E159" s="7" t="s">
        <v>1235</v>
      </c>
      <c r="F159" s="7" t="s">
        <v>11</v>
      </c>
      <c r="G159" s="7" t="s">
        <v>11</v>
      </c>
      <c r="H159" s="7" t="s">
        <v>11</v>
      </c>
      <c r="I159" s="7" t="s">
        <v>1236</v>
      </c>
      <c r="J159" s="7" t="s">
        <v>1237</v>
      </c>
      <c r="K159" s="7" t="s">
        <v>1252</v>
      </c>
    </row>
    <row r="160" spans="2:11" ht="31.95" customHeight="1" x14ac:dyDescent="0.3">
      <c r="B160" s="6" t="s">
        <v>1238</v>
      </c>
      <c r="C160" s="7" t="s">
        <v>1239</v>
      </c>
      <c r="D160" s="6" t="s">
        <v>1240</v>
      </c>
      <c r="E160" s="7" t="s">
        <v>1241</v>
      </c>
      <c r="I160" s="7" t="s">
        <v>1148</v>
      </c>
      <c r="J160" s="7" t="s">
        <v>1242</v>
      </c>
      <c r="K160" s="7" t="s">
        <v>1245</v>
      </c>
    </row>
    <row r="161" spans="2:11" ht="31.95" customHeight="1" x14ac:dyDescent="0.3">
      <c r="B161" s="6" t="s">
        <v>1493</v>
      </c>
      <c r="C161" s="7" t="s">
        <v>1494</v>
      </c>
      <c r="D161" s="6" t="s">
        <v>1495</v>
      </c>
      <c r="E161" s="208" t="s">
        <v>1496</v>
      </c>
      <c r="F161" s="7" t="s">
        <v>1497</v>
      </c>
      <c r="G161" s="240" t="s">
        <v>1498</v>
      </c>
      <c r="H161" s="240" t="s">
        <v>1499</v>
      </c>
      <c r="I161" s="7" t="s">
        <v>1500</v>
      </c>
      <c r="J161" s="7" t="s">
        <v>1501</v>
      </c>
      <c r="K161" s="7" t="s">
        <v>1244</v>
      </c>
    </row>
    <row r="162" spans="2:11" ht="31.95" customHeight="1" x14ac:dyDescent="0.3">
      <c r="B162" s="6" t="s">
        <v>1533</v>
      </c>
      <c r="C162" s="240" t="s">
        <v>11</v>
      </c>
      <c r="D162" s="240" t="s">
        <v>11</v>
      </c>
      <c r="E162" s="240" t="s">
        <v>11</v>
      </c>
      <c r="F162" s="240" t="s">
        <v>11</v>
      </c>
      <c r="G162" s="240" t="s">
        <v>11</v>
      </c>
      <c r="H162" s="240" t="s">
        <v>11</v>
      </c>
      <c r="I162" s="240" t="s">
        <v>11</v>
      </c>
      <c r="J162" s="240" t="s">
        <v>11</v>
      </c>
    </row>
    <row r="163" spans="2:11" ht="31.95" customHeight="1" x14ac:dyDescent="0.3">
      <c r="B163" s="6" t="s">
        <v>1534</v>
      </c>
      <c r="C163" s="240" t="s">
        <v>11</v>
      </c>
      <c r="D163" s="240" t="s">
        <v>11</v>
      </c>
      <c r="E163" s="240" t="s">
        <v>11</v>
      </c>
      <c r="F163" s="240" t="s">
        <v>11</v>
      </c>
      <c r="G163" s="240" t="s">
        <v>11</v>
      </c>
      <c r="H163" s="240" t="s">
        <v>11</v>
      </c>
      <c r="I163" s="240" t="s">
        <v>11</v>
      </c>
      <c r="J163" s="240" t="s">
        <v>11</v>
      </c>
    </row>
    <row r="164" spans="2:11" ht="31.95" customHeight="1" x14ac:dyDescent="0.3">
      <c r="B164" s="6" t="s">
        <v>1561</v>
      </c>
      <c r="C164" s="7" t="s">
        <v>1562</v>
      </c>
      <c r="D164" s="6" t="s">
        <v>1563</v>
      </c>
      <c r="E164" s="208" t="s">
        <v>1564</v>
      </c>
      <c r="F164" s="240" t="s">
        <v>11</v>
      </c>
      <c r="G164" s="240" t="s">
        <v>11</v>
      </c>
      <c r="H164" s="240" t="s">
        <v>11</v>
      </c>
      <c r="I164" s="7" t="s">
        <v>1565</v>
      </c>
      <c r="J164" s="7" t="s">
        <v>1566</v>
      </c>
      <c r="K164" s="7" t="s">
        <v>1246</v>
      </c>
    </row>
    <row r="165" spans="2:11" ht="31.95" customHeight="1" x14ac:dyDescent="0.3">
      <c r="B165" s="6" t="s">
        <v>1663</v>
      </c>
      <c r="C165" s="7" t="s">
        <v>1664</v>
      </c>
      <c r="D165" s="6" t="s">
        <v>1665</v>
      </c>
      <c r="E165" s="208" t="s">
        <v>1666</v>
      </c>
      <c r="F165" s="7" t="s">
        <v>1667</v>
      </c>
      <c r="G165" s="7">
        <v>4890</v>
      </c>
      <c r="H165" s="240" t="s">
        <v>1668</v>
      </c>
      <c r="I165" s="7" t="s">
        <v>1669</v>
      </c>
      <c r="J165" s="7" t="s">
        <v>1670</v>
      </c>
      <c r="K165" s="7" t="s">
        <v>1246</v>
      </c>
    </row>
    <row r="166" spans="2:11" ht="31.95" customHeight="1" x14ac:dyDescent="0.3">
      <c r="B166" s="6" t="s">
        <v>1680</v>
      </c>
      <c r="C166" s="7" t="s">
        <v>1681</v>
      </c>
      <c r="D166" s="6" t="s">
        <v>1682</v>
      </c>
      <c r="E166" s="208" t="s">
        <v>1683</v>
      </c>
      <c r="I166" s="7" t="s">
        <v>1684</v>
      </c>
      <c r="K166" s="7" t="s">
        <v>1246</v>
      </c>
    </row>
    <row r="167" spans="2:11" ht="31.95" customHeight="1" x14ac:dyDescent="0.3">
      <c r="B167" s="6" t="s">
        <v>1688</v>
      </c>
      <c r="C167" s="7" t="s">
        <v>1690</v>
      </c>
      <c r="D167" s="6" t="s">
        <v>1689</v>
      </c>
      <c r="E167" s="208" t="s">
        <v>1691</v>
      </c>
      <c r="F167" s="7" t="s">
        <v>833</v>
      </c>
      <c r="G167" s="240" t="s">
        <v>1692</v>
      </c>
      <c r="H167" s="7" t="s">
        <v>1693</v>
      </c>
      <c r="I167" s="7" t="s">
        <v>1694</v>
      </c>
      <c r="J167" s="7" t="s">
        <v>1695</v>
      </c>
      <c r="K167" s="7" t="s">
        <v>1253</v>
      </c>
    </row>
    <row r="168" spans="2:11" ht="31.95" customHeight="1" x14ac:dyDescent="0.3">
      <c r="B168" s="6" t="s">
        <v>1721</v>
      </c>
      <c r="C168" s="7" t="s">
        <v>1722</v>
      </c>
      <c r="D168" s="6" t="s">
        <v>1723</v>
      </c>
      <c r="E168" s="208" t="s">
        <v>1725</v>
      </c>
      <c r="F168" s="240" t="s">
        <v>11</v>
      </c>
      <c r="G168" s="240" t="s">
        <v>11</v>
      </c>
      <c r="H168" s="240" t="s">
        <v>11</v>
      </c>
      <c r="I168" s="7" t="s">
        <v>1726</v>
      </c>
      <c r="J168" s="7" t="s">
        <v>1724</v>
      </c>
      <c r="K168" s="7" t="s">
        <v>1253</v>
      </c>
    </row>
    <row r="169" spans="2:11" ht="31.95" customHeight="1" x14ac:dyDescent="0.3">
      <c r="B169" s="6" t="s">
        <v>1735</v>
      </c>
      <c r="C169" s="7" t="s">
        <v>1736</v>
      </c>
      <c r="D169" s="6" t="s">
        <v>1737</v>
      </c>
      <c r="E169" s="208" t="s">
        <v>1738</v>
      </c>
      <c r="F169" s="7" t="s">
        <v>833</v>
      </c>
      <c r="G169" s="7">
        <v>279</v>
      </c>
      <c r="I169" s="7" t="s">
        <v>1739</v>
      </c>
      <c r="J169" s="7" t="s">
        <v>1740</v>
      </c>
      <c r="K169" s="7" t="s">
        <v>1244</v>
      </c>
    </row>
    <row r="170" spans="2:11" ht="31.95" customHeight="1" x14ac:dyDescent="0.3">
      <c r="B170" s="6" t="s">
        <v>1745</v>
      </c>
      <c r="C170" s="7" t="s">
        <v>1746</v>
      </c>
      <c r="D170" s="6" t="s">
        <v>1747</v>
      </c>
      <c r="E170" s="208" t="s">
        <v>1748</v>
      </c>
      <c r="I170" s="7" t="s">
        <v>1749</v>
      </c>
      <c r="J170" s="7" t="s">
        <v>1750</v>
      </c>
      <c r="K170" s="7" t="s">
        <v>1244</v>
      </c>
    </row>
    <row r="171" spans="2:11" ht="31.95" customHeight="1" x14ac:dyDescent="0.3">
      <c r="B171" s="6" t="s">
        <v>1751</v>
      </c>
      <c r="C171" s="7" t="s">
        <v>1752</v>
      </c>
      <c r="D171" s="6" t="s">
        <v>1753</v>
      </c>
      <c r="E171" s="208" t="s">
        <v>1754</v>
      </c>
      <c r="F171" s="240" t="s">
        <v>833</v>
      </c>
      <c r="G171" s="240" t="s">
        <v>1757</v>
      </c>
      <c r="H171" s="240" t="s">
        <v>1758</v>
      </c>
      <c r="I171" s="7" t="s">
        <v>1755</v>
      </c>
      <c r="J171" s="7" t="s">
        <v>1756</v>
      </c>
      <c r="K171" s="7" t="s">
        <v>1244</v>
      </c>
    </row>
    <row r="172" spans="2:11" ht="31.95" customHeight="1" x14ac:dyDescent="0.3">
      <c r="B172" s="6" t="s">
        <v>1785</v>
      </c>
      <c r="C172" s="7" t="s">
        <v>1786</v>
      </c>
      <c r="D172" s="262" t="s">
        <v>11</v>
      </c>
      <c r="E172" s="208" t="s">
        <v>1787</v>
      </c>
      <c r="K172" s="7" t="s">
        <v>1246</v>
      </c>
    </row>
    <row r="173" spans="2:11" ht="31.95" customHeight="1" x14ac:dyDescent="0.3">
      <c r="B173" s="6" t="s">
        <v>1795</v>
      </c>
      <c r="C173" s="7" t="s">
        <v>1796</v>
      </c>
      <c r="D173" s="6" t="s">
        <v>1797</v>
      </c>
      <c r="E173" s="208" t="s">
        <v>1798</v>
      </c>
      <c r="I173" s="7" t="s">
        <v>1800</v>
      </c>
      <c r="J173" s="7" t="s">
        <v>1801</v>
      </c>
      <c r="K173" s="7" t="s">
        <v>1246</v>
      </c>
    </row>
    <row r="174" spans="2:11" ht="31.95" customHeight="1" x14ac:dyDescent="0.3">
      <c r="B174" s="6" t="s">
        <v>1808</v>
      </c>
      <c r="C174" s="7" t="s">
        <v>1809</v>
      </c>
      <c r="D174" s="263" t="s">
        <v>1810</v>
      </c>
      <c r="E174" s="208" t="s">
        <v>1811</v>
      </c>
      <c r="I174" s="7" t="s">
        <v>1812</v>
      </c>
      <c r="J174" s="7" t="s">
        <v>1813</v>
      </c>
      <c r="K174" s="7" t="s">
        <v>1246</v>
      </c>
    </row>
    <row r="175" spans="2:11" ht="31.95" customHeight="1" x14ac:dyDescent="0.3"/>
    <row r="176" spans="2:11" ht="31.95" customHeight="1" x14ac:dyDescent="0.3"/>
    <row r="177" ht="31.95" customHeight="1" x14ac:dyDescent="0.3"/>
    <row r="178" ht="31.95" customHeight="1" x14ac:dyDescent="0.3"/>
    <row r="179" ht="31.95" customHeight="1" x14ac:dyDescent="0.3"/>
    <row r="180" ht="31.95" customHeight="1" x14ac:dyDescent="0.3"/>
    <row r="181" ht="31.95" customHeight="1" x14ac:dyDescent="0.3"/>
    <row r="182" ht="31.95" customHeight="1" x14ac:dyDescent="0.3"/>
    <row r="183" ht="31.95" customHeight="1" x14ac:dyDescent="0.3"/>
    <row r="184" ht="31.95" customHeight="1" x14ac:dyDescent="0.3"/>
    <row r="185" ht="31.95" customHeight="1" x14ac:dyDescent="0.3"/>
    <row r="186" ht="31.95" customHeight="1" x14ac:dyDescent="0.3"/>
    <row r="187" ht="31.95" customHeight="1" x14ac:dyDescent="0.3"/>
    <row r="188" ht="31.95" customHeight="1" x14ac:dyDescent="0.3"/>
    <row r="189" ht="31.95" customHeight="1" x14ac:dyDescent="0.3"/>
    <row r="190" ht="31.95" customHeight="1" x14ac:dyDescent="0.3"/>
    <row r="191" ht="31.95" customHeight="1" x14ac:dyDescent="0.3"/>
    <row r="192" ht="31.95" customHeight="1" x14ac:dyDescent="0.3"/>
    <row r="193" ht="31.95" customHeight="1" x14ac:dyDescent="0.3"/>
    <row r="194" ht="31.95" customHeight="1" x14ac:dyDescent="0.3"/>
    <row r="195" ht="31.95" customHeight="1" x14ac:dyDescent="0.3"/>
    <row r="196" ht="31.95" customHeight="1" x14ac:dyDescent="0.3"/>
    <row r="197" ht="31.95" customHeight="1" x14ac:dyDescent="0.3"/>
    <row r="198" ht="31.95" customHeight="1" x14ac:dyDescent="0.3"/>
    <row r="199" ht="31.95" customHeight="1" x14ac:dyDescent="0.3"/>
    <row r="200" ht="31.95" customHeight="1" x14ac:dyDescent="0.3"/>
    <row r="201" ht="31.95" customHeight="1" x14ac:dyDescent="0.3"/>
    <row r="202" ht="31.95" customHeight="1" x14ac:dyDescent="0.3"/>
    <row r="203" ht="31.95" customHeight="1" x14ac:dyDescent="0.3"/>
    <row r="204" ht="31.95" customHeight="1" x14ac:dyDescent="0.3"/>
    <row r="205" ht="31.95" customHeight="1" x14ac:dyDescent="0.3"/>
    <row r="206" ht="31.95" customHeight="1" x14ac:dyDescent="0.3"/>
    <row r="207" ht="31.95" customHeight="1" x14ac:dyDescent="0.3"/>
    <row r="208" ht="31.95" customHeight="1" x14ac:dyDescent="0.3"/>
    <row r="209" ht="31.95" customHeight="1" x14ac:dyDescent="0.3"/>
    <row r="210" ht="31.95" customHeight="1" x14ac:dyDescent="0.3"/>
    <row r="211" ht="31.95" customHeight="1" x14ac:dyDescent="0.3"/>
    <row r="212" ht="31.95" customHeight="1" x14ac:dyDescent="0.3"/>
    <row r="213" ht="31.95" customHeight="1" x14ac:dyDescent="0.3"/>
    <row r="214" ht="31.95" customHeight="1" x14ac:dyDescent="0.3"/>
    <row r="215" ht="31.95" customHeight="1" x14ac:dyDescent="0.3"/>
    <row r="216" ht="31.95" customHeight="1" x14ac:dyDescent="0.3"/>
    <row r="217" ht="31.95" customHeight="1" x14ac:dyDescent="0.3"/>
    <row r="218" ht="31.95" customHeight="1" x14ac:dyDescent="0.3"/>
    <row r="219" ht="31.95" customHeight="1" x14ac:dyDescent="0.3"/>
    <row r="220" ht="31.95" customHeight="1" x14ac:dyDescent="0.3"/>
    <row r="221" ht="31.95" customHeight="1" x14ac:dyDescent="0.3"/>
    <row r="222" ht="31.95" customHeight="1" x14ac:dyDescent="0.3"/>
    <row r="223" ht="31.95" customHeight="1" x14ac:dyDescent="0.3"/>
    <row r="224" ht="31.95" customHeight="1" x14ac:dyDescent="0.3"/>
    <row r="225" ht="31.95" customHeight="1" x14ac:dyDescent="0.3"/>
    <row r="226" ht="31.95" customHeight="1" x14ac:dyDescent="0.3"/>
    <row r="227" ht="31.95" customHeight="1" x14ac:dyDescent="0.3"/>
    <row r="228" ht="31.95" customHeight="1" x14ac:dyDescent="0.3"/>
    <row r="229" ht="31.95" customHeight="1" x14ac:dyDescent="0.3"/>
    <row r="230" ht="31.95" customHeight="1" x14ac:dyDescent="0.3"/>
    <row r="231" ht="31.95" customHeight="1" x14ac:dyDescent="0.3"/>
    <row r="232" ht="31.95" customHeight="1" x14ac:dyDescent="0.3"/>
    <row r="233" ht="31.95" customHeight="1" x14ac:dyDescent="0.3"/>
    <row r="234" ht="31.95" customHeight="1" x14ac:dyDescent="0.3"/>
    <row r="235" ht="31.95" customHeight="1" x14ac:dyDescent="0.3"/>
    <row r="236" ht="31.95" customHeight="1" x14ac:dyDescent="0.3"/>
    <row r="237" ht="31.95" customHeight="1" x14ac:dyDescent="0.3"/>
    <row r="238" ht="31.95" customHeight="1" x14ac:dyDescent="0.3"/>
    <row r="239" ht="31.95" customHeight="1" x14ac:dyDescent="0.3"/>
    <row r="240" ht="31.95" customHeight="1" x14ac:dyDescent="0.3"/>
    <row r="241" ht="31.95" customHeight="1" x14ac:dyDescent="0.3"/>
    <row r="242" ht="31.95" customHeight="1" x14ac:dyDescent="0.3"/>
    <row r="243" ht="31.95" customHeight="1" x14ac:dyDescent="0.3"/>
    <row r="244" ht="31.95" customHeight="1" x14ac:dyDescent="0.3"/>
    <row r="245" ht="31.95" customHeight="1" x14ac:dyDescent="0.3"/>
    <row r="246" ht="31.95" customHeight="1" x14ac:dyDescent="0.3"/>
    <row r="247" ht="31.95" customHeight="1" x14ac:dyDescent="0.3"/>
    <row r="248" ht="31.95" customHeight="1" x14ac:dyDescent="0.3"/>
    <row r="249" ht="31.95" customHeight="1" x14ac:dyDescent="0.3"/>
    <row r="250" ht="31.95" customHeight="1" x14ac:dyDescent="0.3"/>
  </sheetData>
  <sheetProtection formatCells="0" formatColumns="0" formatRows="0" insertColumns="0" insertRows="0" insertHyperlinks="0" deleteColumns="0" deleteRows="0"/>
  <autoFilter ref="B4:K161" xr:uid="{250629D5-24A1-494C-AA10-E769350B3463}">
    <sortState xmlns:xlrd2="http://schemas.microsoft.com/office/spreadsheetml/2017/richdata2" ref="B5:K160">
      <sortCondition ref="B4:B158"/>
    </sortState>
  </autoFilter>
  <phoneticPr fontId="4" type="noConversion"/>
  <conditionalFormatting sqref="C5:C245 D162:J163">
    <cfRule type="containsText" dxfId="14" priority="1" operator="containsText" text="Saiu de Atividade">
      <formula>NOT(ISERROR(SEARCH("Saiu de Atividade",C5)))</formula>
    </cfRule>
    <cfRule type="containsText" dxfId="13" priority="2" operator="containsText" text="Em andamento">
      <formula>NOT(ISERROR(SEARCH("Em andamento",C5)))</formula>
    </cfRule>
    <cfRule type="containsText" dxfId="12" priority="3" operator="containsText" text="Suspenso">
      <formula>NOT(ISERROR(SEARCH("Suspenso",C5)))</formula>
    </cfRule>
    <cfRule type="containsText" dxfId="11" priority="4" operator="containsText" text="Não cadastrado">
      <formula>NOT(ISERROR(SEARCH("Não cadastrado",C5)))</formula>
    </cfRule>
    <cfRule type="containsText" dxfId="10" priority="5" operator="containsText" text="Ativo">
      <formula>NOT(ISERROR(SEARCH("Ativo",C5)))</formula>
    </cfRule>
  </conditionalFormatting>
  <hyperlinks>
    <hyperlink ref="A1" location="'Ordem de compra'!A1" display="'Ordem de compra'!A1" xr:uid="{8C87B9C9-E800-44E8-9FC0-2E3EA8166A93}"/>
    <hyperlink ref="E137" r:id="rId1" xr:uid="{4A42EEE8-D63B-4F08-AD6A-7CFB85B516AD}"/>
    <hyperlink ref="E13" r:id="rId2" xr:uid="{69DB999F-6C6B-48A4-A65F-FCF1907C4C0D}"/>
    <hyperlink ref="E20" r:id="rId3" xr:uid="{1D44DB2D-EB1D-461E-8B79-AD804F0967AD}"/>
    <hyperlink ref="E112" r:id="rId4" xr:uid="{CD20CA6C-F845-4148-9F4F-6DC510B79B4C}"/>
    <hyperlink ref="E17" r:id="rId5" xr:uid="{7B36ADF1-A584-43C4-B86B-C9C53421E0DA}"/>
    <hyperlink ref="E161" r:id="rId6" xr:uid="{B79ABAFE-1C9C-4C3E-8568-975174BD44E9}"/>
    <hyperlink ref="E98" r:id="rId7" xr:uid="{5A1DD710-4F34-4D7C-9D1B-50C93759DDE8}"/>
    <hyperlink ref="E164" r:id="rId8" xr:uid="{5B1F5046-83B9-4819-941A-5424FAC625F7}"/>
    <hyperlink ref="E165" r:id="rId9" xr:uid="{8C8AE732-519F-42E5-8D16-3F0AF806EB77}"/>
    <hyperlink ref="E166" r:id="rId10" xr:uid="{D8DFA17E-C0B0-4156-A253-4EAC2F3E4EEC}"/>
    <hyperlink ref="E167" r:id="rId11" xr:uid="{243BB490-8163-476E-9F65-FCAB6F4288D8}"/>
    <hyperlink ref="E168" r:id="rId12" xr:uid="{28E543D5-29B2-400C-8F5E-646305504B33}"/>
    <hyperlink ref="E169" r:id="rId13" xr:uid="{26E7D7CA-386E-4184-A679-FFFB166CED06}"/>
    <hyperlink ref="E170" r:id="rId14" xr:uid="{5256A06D-744E-410F-97A5-F87D96EBAAC4}"/>
    <hyperlink ref="E171" r:id="rId15" xr:uid="{DF745232-54C6-432D-8FEE-2ED5BACDB116}"/>
    <hyperlink ref="E172" r:id="rId16" xr:uid="{FD9C089A-EAC6-4780-9E05-21C66568F00E}"/>
    <hyperlink ref="E173" r:id="rId17" xr:uid="{8C2CF9A9-5A4B-4B0E-BE3B-FDEA3F2F3A4C}"/>
    <hyperlink ref="E174" r:id="rId18" xr:uid="{C599DF41-D343-4D8A-B128-B20C2007CDF2}"/>
  </hyperlinks>
  <pageMargins left="0.511811024" right="0.511811024" top="0.78740157499999996" bottom="0.78740157499999996" header="0.31496062000000002" footer="0.31496062000000002"/>
  <drawing r:id="rId1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FB6E30-F18B-4DE6-8FFE-4AFB18DDA3C3}">
          <x14:formula1>
            <xm:f>CAD_CO!$P$5:$P$25</xm:f>
          </x14:formula1>
          <xm:sqref>K5:K174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4B57B-5CB4-4AF2-B54D-A40F75D01B59}">
  <sheetPr codeName="Planilha3"/>
  <dimension ref="A1:AD251"/>
  <sheetViews>
    <sheetView showGridLines="0" workbookViewId="0">
      <pane xSplit="1" ySplit="4" topLeftCell="B91" activePane="bottomRight" state="frozen"/>
      <selection pane="topRight" activeCell="B1" sqref="B1"/>
      <selection pane="bottomLeft" activeCell="A5" sqref="A5"/>
      <selection pane="bottomRight"/>
    </sheetView>
  </sheetViews>
  <sheetFormatPr defaultColWidth="8.88671875" defaultRowHeight="14.4" x14ac:dyDescent="0.3"/>
  <cols>
    <col min="1" max="1" width="10.6640625" style="2" customWidth="1"/>
    <col min="2" max="2" width="68.6640625" style="2" bestFit="1" customWidth="1"/>
    <col min="3" max="3" width="19.6640625" style="2" customWidth="1"/>
    <col min="4" max="6" width="15.6640625" style="2" customWidth="1"/>
    <col min="7" max="7" width="23.33203125" style="6" bestFit="1" customWidth="1"/>
    <col min="8" max="8" width="4.6640625" style="2" customWidth="1"/>
    <col min="9" max="9" width="22.33203125" style="2" customWidth="1"/>
    <col min="10" max="10" width="23.6640625" style="2" bestFit="1" customWidth="1"/>
    <col min="11" max="17" width="15.6640625" style="2" customWidth="1"/>
    <col min="18" max="18" width="16.5546875" style="2" bestFit="1" customWidth="1"/>
    <col min="19" max="16384" width="8.88671875" style="2"/>
  </cols>
  <sheetData>
    <row r="1" spans="1:30" ht="82.2" customHeight="1" x14ac:dyDescent="0.3">
      <c r="A1" s="167" t="e" vm="1">
        <v>#VALUE!</v>
      </c>
      <c r="B1" s="1"/>
      <c r="C1" s="1"/>
      <c r="D1" s="1"/>
      <c r="E1" s="1"/>
      <c r="F1" s="1"/>
      <c r="G1" s="54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31.95" customHeight="1" x14ac:dyDescent="0.3">
      <c r="A2" s="3"/>
      <c r="B2" s="3"/>
      <c r="C2" s="3"/>
      <c r="D2" s="3"/>
      <c r="E2" s="3"/>
      <c r="F2" s="3"/>
      <c r="G2" s="55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4" spans="1:30" ht="31.95" customHeight="1" x14ac:dyDescent="0.3">
      <c r="B4" s="38" t="s">
        <v>247</v>
      </c>
      <c r="C4" s="39" t="s">
        <v>1271</v>
      </c>
      <c r="D4" s="39" t="s">
        <v>1273</v>
      </c>
      <c r="E4" s="44" t="s">
        <v>1282</v>
      </c>
      <c r="F4" s="44" t="s">
        <v>1274</v>
      </c>
      <c r="G4" s="53" t="s">
        <v>1267</v>
      </c>
      <c r="H4" s="45"/>
      <c r="I4" s="39" t="s">
        <v>1272</v>
      </c>
      <c r="J4" s="39" t="s">
        <v>1267</v>
      </c>
    </row>
    <row r="5" spans="1:30" ht="31.95" customHeight="1" x14ac:dyDescent="0.3">
      <c r="B5" s="37" t="s">
        <v>255</v>
      </c>
      <c r="C5" s="160">
        <v>9.3800000000000008</v>
      </c>
      <c r="D5" s="160">
        <f>REL_LIBERADAS!E5*10</f>
        <v>10</v>
      </c>
      <c r="E5" s="160">
        <f>REL_LIBERADAS!G5*10</f>
        <v>10</v>
      </c>
      <c r="F5" s="160">
        <f t="shared" ref="F5:F12" si="0">IF(D5=0,C5,AVERAGE(C5:E5))</f>
        <v>9.7933333333333348</v>
      </c>
      <c r="G5" s="159" t="str">
        <f>IF(F5&lt;=4,"Desqualificado",IF(AND(F5&gt;=4.1,F5&lt;6),"Não recomendado",IF(AND(F5&gt;=6,F5&lt;8),"Qualificado com restrição",IF(F5&gt;=8,"Qualificado",""))))</f>
        <v>Qualificado</v>
      </c>
      <c r="H5" s="10"/>
      <c r="I5" s="47" t="s">
        <v>1419</v>
      </c>
      <c r="J5" s="41" t="s">
        <v>1268</v>
      </c>
      <c r="K5" s="10"/>
      <c r="L5" s="10"/>
      <c r="M5" s="10"/>
      <c r="N5" s="10"/>
      <c r="O5" s="10"/>
      <c r="P5" s="10"/>
      <c r="Q5" s="10"/>
      <c r="R5" s="10"/>
    </row>
    <row r="6" spans="1:30" ht="31.95" customHeight="1" x14ac:dyDescent="0.3">
      <c r="B6" s="37" t="s">
        <v>261</v>
      </c>
      <c r="C6" s="160">
        <v>7.5</v>
      </c>
      <c r="D6" s="160">
        <f>REL_LIBERADAS!E6*10</f>
        <v>0</v>
      </c>
      <c r="E6" s="160">
        <f>REL_LIBERADAS!G6*10</f>
        <v>0</v>
      </c>
      <c r="F6" s="160">
        <f t="shared" si="0"/>
        <v>7.5</v>
      </c>
      <c r="G6" s="159" t="str">
        <f>IF(F6&lt;=4,"Desqualificado",IF(AND(F6&gt;=4.1,F6&lt;6),"Não recomendado",IF(AND(F6&gt;=6,F6&lt;8),"Qualificado com restrição",IF(F6&gt;=8,"Qualificado",""))))</f>
        <v>Qualificado com restrição</v>
      </c>
      <c r="H6" s="35"/>
      <c r="I6" s="212" t="s">
        <v>1420</v>
      </c>
      <c r="J6" s="42" t="s">
        <v>1269</v>
      </c>
      <c r="K6" s="35"/>
      <c r="L6" s="35"/>
      <c r="M6" s="35"/>
      <c r="N6" s="35"/>
      <c r="O6" s="35"/>
      <c r="P6" s="35"/>
      <c r="Q6" s="35"/>
      <c r="R6" s="35"/>
    </row>
    <row r="7" spans="1:30" ht="31.95" customHeight="1" x14ac:dyDescent="0.3">
      <c r="B7" s="37" t="s">
        <v>269</v>
      </c>
      <c r="C7" s="160">
        <v>9.33</v>
      </c>
      <c r="D7" s="160">
        <f>REL_LIBERADAS!E7*10</f>
        <v>9.3103448275862064</v>
      </c>
      <c r="E7" s="160">
        <f>REL_LIBERADAS!G7*10</f>
        <v>9.4827586206896548</v>
      </c>
      <c r="F7" s="160">
        <f t="shared" si="0"/>
        <v>9.3743678160919526</v>
      </c>
      <c r="G7" s="159" t="str">
        <f>IF(F7&lt;=4,"Desqualificado",IF(AND(F7&gt;=4.1,F7&lt;6),"Não recomendado",IF(AND(F7&gt;=6,F7&lt;8),"Qualificado com restrição",IF(F7&gt;=8,"Qualificado",""))))</f>
        <v>Qualificado</v>
      </c>
      <c r="H7" s="35"/>
      <c r="I7" s="213" t="s">
        <v>1421</v>
      </c>
      <c r="J7" s="43" t="s">
        <v>1270</v>
      </c>
      <c r="K7" s="35"/>
      <c r="L7" s="35"/>
      <c r="M7" s="35"/>
      <c r="N7" s="35"/>
      <c r="O7" s="35"/>
      <c r="P7" s="35"/>
      <c r="Q7" s="35"/>
      <c r="R7" s="35"/>
    </row>
    <row r="8" spans="1:30" ht="31.95" customHeight="1" x14ac:dyDescent="0.3">
      <c r="B8" s="37" t="s">
        <v>277</v>
      </c>
      <c r="C8" s="160">
        <v>6</v>
      </c>
      <c r="D8" s="160">
        <f>REL_LIBERADAS!E8*10</f>
        <v>0</v>
      </c>
      <c r="E8" s="160">
        <f>REL_LIBERADAS!G8*10</f>
        <v>0</v>
      </c>
      <c r="F8" s="160">
        <f t="shared" si="0"/>
        <v>6</v>
      </c>
      <c r="G8" s="159" t="str">
        <f>IF(F8&lt;=4,"Desqualificado",IF(AND(F8&gt;=4.1,F8&lt;6),"Não recomendado",IF(AND(F8&gt;=6,F8&lt;8),"Qualificado com restrição",IF(F8&gt;=8,"Qualificado",""))))</f>
        <v>Qualificado com restrição</v>
      </c>
      <c r="H8" s="35"/>
      <c r="I8" s="40" t="s">
        <v>1422</v>
      </c>
      <c r="J8" s="48" t="s">
        <v>1351</v>
      </c>
      <c r="K8" s="35"/>
      <c r="L8" s="35"/>
      <c r="M8" s="35"/>
      <c r="N8" s="35"/>
      <c r="O8" s="35"/>
      <c r="P8" s="35"/>
      <c r="Q8" s="35"/>
      <c r="R8" s="35"/>
    </row>
    <row r="9" spans="1:30" ht="31.95" customHeight="1" x14ac:dyDescent="0.3">
      <c r="B9" s="37" t="s">
        <v>280</v>
      </c>
      <c r="C9" s="160">
        <v>8</v>
      </c>
      <c r="D9" s="160">
        <f>REL_LIBERADAS!E9*10</f>
        <v>10</v>
      </c>
      <c r="E9" s="160">
        <f>REL_LIBERADAS!G9*10</f>
        <v>10</v>
      </c>
      <c r="F9" s="160">
        <f t="shared" si="0"/>
        <v>9.3333333333333339</v>
      </c>
      <c r="G9" s="159" t="str">
        <f t="shared" ref="G9:G40" si="1">IF(F9&lt;=4,"Desqualificado",IF(AND(F9&gt;=4.1,F9&lt;6),"Não recomendado",IF(AND(F9&gt;=6.1,F9&lt;8),"Qualificado com restrição",IF(F9&gt;=8,"Qualificado",""))))</f>
        <v>Qualificado</v>
      </c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</row>
    <row r="10" spans="1:30" ht="31.95" customHeight="1" x14ac:dyDescent="0.3">
      <c r="B10" s="37" t="s">
        <v>289</v>
      </c>
      <c r="C10" s="160">
        <v>8</v>
      </c>
      <c r="D10" s="160">
        <f>REL_LIBERADAS!E10*10</f>
        <v>10</v>
      </c>
      <c r="E10" s="160">
        <f>REL_LIBERADAS!G10*10</f>
        <v>10</v>
      </c>
      <c r="F10" s="160">
        <f t="shared" si="0"/>
        <v>9.3333333333333339</v>
      </c>
      <c r="G10" s="159" t="str">
        <f t="shared" si="1"/>
        <v>Qualificado</v>
      </c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</row>
    <row r="11" spans="1:30" ht="31.95" customHeight="1" x14ac:dyDescent="0.3">
      <c r="B11" s="37" t="s">
        <v>297</v>
      </c>
      <c r="C11" s="160">
        <v>8.8000000000000007</v>
      </c>
      <c r="D11" s="160">
        <f>REL_LIBERADAS!E11*10</f>
        <v>10</v>
      </c>
      <c r="E11" s="160">
        <f>REL_LIBERADAS!G11*10</f>
        <v>10</v>
      </c>
      <c r="F11" s="160">
        <f t="shared" si="0"/>
        <v>9.6</v>
      </c>
      <c r="G11" s="159" t="str">
        <f t="shared" si="1"/>
        <v>Qualificado</v>
      </c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</row>
    <row r="12" spans="1:30" ht="31.95" customHeight="1" x14ac:dyDescent="0.3">
      <c r="B12" s="37" t="s">
        <v>305</v>
      </c>
      <c r="C12" s="160">
        <v>9.57</v>
      </c>
      <c r="D12" s="160">
        <f>REL_LIBERADAS!E12*10</f>
        <v>9.5238095238095237</v>
      </c>
      <c r="E12" s="160">
        <f>REL_LIBERADAS!G12*10</f>
        <v>9.5238095238095237</v>
      </c>
      <c r="F12" s="160">
        <f t="shared" si="0"/>
        <v>9.539206349206351</v>
      </c>
      <c r="G12" s="159" t="str">
        <f t="shared" si="1"/>
        <v>Qualificado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</row>
    <row r="13" spans="1:30" ht="31.95" customHeight="1" x14ac:dyDescent="0.3">
      <c r="B13" s="37" t="s">
        <v>311</v>
      </c>
      <c r="C13" s="160">
        <v>8.5</v>
      </c>
      <c r="D13" s="160">
        <f>REL_LIBERADAS!E13*10</f>
        <v>10</v>
      </c>
      <c r="E13" s="160">
        <f>REL_LIBERADAS!G13*10</f>
        <v>10</v>
      </c>
      <c r="F13" s="160">
        <f>IF(D13=0,C14,AVERAGE(C13:E13))</f>
        <v>9.5</v>
      </c>
      <c r="G13" s="159" t="str">
        <f t="shared" si="1"/>
        <v>Qualificado</v>
      </c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</row>
    <row r="14" spans="1:30" ht="31.95" customHeight="1" x14ac:dyDescent="0.3">
      <c r="B14" s="37" t="s">
        <v>317</v>
      </c>
      <c r="C14" s="160">
        <v>8.5</v>
      </c>
      <c r="D14" s="160">
        <f>REL_LIBERADAS!E14*10</f>
        <v>8.4615384615384617</v>
      </c>
      <c r="E14" s="160">
        <f>REL_LIBERADAS!G14*10</f>
        <v>8.4615384615384617</v>
      </c>
      <c r="F14" s="160">
        <f>IF(D14=0,#REF!,AVERAGE(C14:E14))</f>
        <v>8.4743589743589727</v>
      </c>
      <c r="G14" s="159" t="str">
        <f t="shared" si="1"/>
        <v>Qualificado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</row>
    <row r="15" spans="1:30" ht="31.95" customHeight="1" x14ac:dyDescent="0.3">
      <c r="B15" s="37" t="s">
        <v>321</v>
      </c>
      <c r="C15" s="160">
        <v>8.5</v>
      </c>
      <c r="D15" s="160">
        <f>REL_LIBERADAS!E15*10</f>
        <v>8.9361702127659566</v>
      </c>
      <c r="E15" s="160">
        <f>REL_LIBERADAS!G15*10</f>
        <v>8.9361702127659566</v>
      </c>
      <c r="F15" s="160">
        <f t="shared" ref="F15:F46" si="2">IF(D15=0,C15,AVERAGE(C15:E15))</f>
        <v>8.7907801418439728</v>
      </c>
      <c r="G15" s="159" t="str">
        <f t="shared" si="1"/>
        <v>Qualificado</v>
      </c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</row>
    <row r="16" spans="1:30" ht="31.95" customHeight="1" x14ac:dyDescent="0.3">
      <c r="B16" s="37" t="s">
        <v>326</v>
      </c>
      <c r="C16" s="160">
        <v>8.5</v>
      </c>
      <c r="D16" s="160">
        <f>REL_LIBERADAS!E16*10</f>
        <v>10</v>
      </c>
      <c r="E16" s="160">
        <f>REL_LIBERADAS!G16*10</f>
        <v>10</v>
      </c>
      <c r="F16" s="160">
        <f t="shared" si="2"/>
        <v>9.5</v>
      </c>
      <c r="G16" s="159" t="str">
        <f t="shared" si="1"/>
        <v>Qualificado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</row>
    <row r="17" spans="2:18" ht="31.95" customHeight="1" x14ac:dyDescent="0.3">
      <c r="B17" s="37" t="s">
        <v>1238</v>
      </c>
      <c r="C17" s="160">
        <v>8.5</v>
      </c>
      <c r="D17" s="160">
        <f>REL_LIBERADAS!E160*10</f>
        <v>10</v>
      </c>
      <c r="E17" s="160">
        <f>REL_LIBERADAS!G160*10</f>
        <v>10</v>
      </c>
      <c r="F17" s="160">
        <f t="shared" si="2"/>
        <v>9.5</v>
      </c>
      <c r="G17" s="159" t="str">
        <f t="shared" si="1"/>
        <v>Qualificado</v>
      </c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</row>
    <row r="18" spans="2:18" ht="31.95" customHeight="1" x14ac:dyDescent="0.3">
      <c r="B18" s="37" t="s">
        <v>1472</v>
      </c>
      <c r="C18" s="160"/>
      <c r="D18" s="160">
        <f>REL_LIBERADAS!E17*10</f>
        <v>10</v>
      </c>
      <c r="E18" s="160">
        <f>REL_LIBERADAS!G17*10</f>
        <v>10</v>
      </c>
      <c r="F18" s="160">
        <f t="shared" si="2"/>
        <v>10</v>
      </c>
      <c r="G18" s="159" t="str">
        <f t="shared" si="1"/>
        <v>Qualificado</v>
      </c>
    </row>
    <row r="19" spans="2:18" ht="31.95" customHeight="1" x14ac:dyDescent="0.3">
      <c r="B19" s="37" t="s">
        <v>334</v>
      </c>
      <c r="C19" s="160">
        <v>8.5</v>
      </c>
      <c r="D19" s="160">
        <f>REL_LIBERADAS!E18*10</f>
        <v>10</v>
      </c>
      <c r="E19" s="160">
        <f>REL_LIBERADAS!G18*10</f>
        <v>10</v>
      </c>
      <c r="F19" s="160">
        <f t="shared" si="2"/>
        <v>9.5</v>
      </c>
      <c r="G19" s="159" t="str">
        <f t="shared" si="1"/>
        <v>Qualificado</v>
      </c>
    </row>
    <row r="20" spans="2:18" ht="31.95" customHeight="1" x14ac:dyDescent="0.3">
      <c r="B20" s="37" t="s">
        <v>340</v>
      </c>
      <c r="C20" s="160">
        <v>8.5</v>
      </c>
      <c r="D20" s="160">
        <f>REL_LIBERADAS!E19*10</f>
        <v>10</v>
      </c>
      <c r="E20" s="160">
        <f>REL_LIBERADAS!G19*10</f>
        <v>10</v>
      </c>
      <c r="F20" s="160">
        <f t="shared" si="2"/>
        <v>9.5</v>
      </c>
      <c r="G20" s="159" t="str">
        <f t="shared" si="1"/>
        <v>Qualificado</v>
      </c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</row>
    <row r="21" spans="2:18" ht="31.95" customHeight="1" x14ac:dyDescent="0.3">
      <c r="B21" s="37" t="s">
        <v>344</v>
      </c>
      <c r="C21" s="160">
        <v>8.5</v>
      </c>
      <c r="D21" s="160">
        <f>REL_LIBERADAS!E20*10</f>
        <v>10</v>
      </c>
      <c r="E21" s="160">
        <f>REL_LIBERADAS!G20*10</f>
        <v>10</v>
      </c>
      <c r="F21" s="160">
        <f t="shared" si="2"/>
        <v>9.5</v>
      </c>
      <c r="G21" s="159" t="str">
        <f t="shared" si="1"/>
        <v>Qualificado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</row>
    <row r="22" spans="2:18" ht="31.95" customHeight="1" x14ac:dyDescent="0.3">
      <c r="B22" s="37" t="s">
        <v>352</v>
      </c>
      <c r="C22" s="160">
        <v>8.5</v>
      </c>
      <c r="D22" s="160">
        <f>REL_LIBERADAS!E21*10</f>
        <v>0</v>
      </c>
      <c r="E22" s="160">
        <f>REL_LIBERADAS!G21*10</f>
        <v>0</v>
      </c>
      <c r="F22" s="160">
        <f t="shared" si="2"/>
        <v>8.5</v>
      </c>
      <c r="G22" s="159" t="str">
        <f t="shared" si="1"/>
        <v>Qualificado</v>
      </c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2:18" ht="31.95" customHeight="1" x14ac:dyDescent="0.3">
      <c r="B23" s="37" t="s">
        <v>361</v>
      </c>
      <c r="C23" s="160">
        <v>8.5</v>
      </c>
      <c r="D23" s="160">
        <f>REL_LIBERADAS!E22*10</f>
        <v>0</v>
      </c>
      <c r="E23" s="160">
        <f>REL_LIBERADAS!G22*10</f>
        <v>0</v>
      </c>
      <c r="F23" s="160">
        <f t="shared" si="2"/>
        <v>8.5</v>
      </c>
      <c r="G23" s="159" t="str">
        <f t="shared" si="1"/>
        <v>Qualificado</v>
      </c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2:18" ht="31.95" customHeight="1" x14ac:dyDescent="0.3">
      <c r="B24" s="37" t="s">
        <v>368</v>
      </c>
      <c r="C24" s="160">
        <v>8.5</v>
      </c>
      <c r="D24" s="160">
        <f>REL_LIBERADAS!E23*10</f>
        <v>10</v>
      </c>
      <c r="E24" s="160">
        <f>REL_LIBERADAS!G23*10</f>
        <v>10</v>
      </c>
      <c r="F24" s="160">
        <f t="shared" si="2"/>
        <v>9.5</v>
      </c>
      <c r="G24" s="159" t="str">
        <f t="shared" si="1"/>
        <v>Qualificado</v>
      </c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2:18" ht="31.95" customHeight="1" x14ac:dyDescent="0.3">
      <c r="B25" s="37" t="s">
        <v>374</v>
      </c>
      <c r="C25" s="160">
        <v>8.5</v>
      </c>
      <c r="D25" s="160">
        <f>REL_LIBERADAS!E24*10</f>
        <v>0</v>
      </c>
      <c r="E25" s="160">
        <f>REL_LIBERADAS!G24*10</f>
        <v>0</v>
      </c>
      <c r="F25" s="160">
        <f t="shared" si="2"/>
        <v>8.5</v>
      </c>
      <c r="G25" s="159" t="str">
        <f t="shared" si="1"/>
        <v>Qualificado</v>
      </c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2:18" ht="31.95" customHeight="1" x14ac:dyDescent="0.3">
      <c r="B26" s="37" t="s">
        <v>382</v>
      </c>
      <c r="C26" s="160">
        <v>8.5</v>
      </c>
      <c r="D26" s="160">
        <f>REL_LIBERADAS!E25*10</f>
        <v>10</v>
      </c>
      <c r="E26" s="160">
        <f>REL_LIBERADAS!G25*10</f>
        <v>10</v>
      </c>
      <c r="F26" s="160">
        <f t="shared" si="2"/>
        <v>9.5</v>
      </c>
      <c r="G26" s="159" t="str">
        <f t="shared" si="1"/>
        <v>Qualificado</v>
      </c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2:18" ht="31.95" customHeight="1" x14ac:dyDescent="0.3">
      <c r="B27" s="37" t="s">
        <v>389</v>
      </c>
      <c r="C27" s="160">
        <v>8.5</v>
      </c>
      <c r="D27" s="160">
        <f>REL_LIBERADAS!E26*10</f>
        <v>0</v>
      </c>
      <c r="E27" s="160">
        <f>REL_LIBERADAS!G26*10</f>
        <v>0</v>
      </c>
      <c r="F27" s="160">
        <f t="shared" si="2"/>
        <v>8.5</v>
      </c>
      <c r="G27" s="159" t="str">
        <f t="shared" si="1"/>
        <v>Qualificado</v>
      </c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2:18" ht="31.95" customHeight="1" x14ac:dyDescent="0.3">
      <c r="B28" s="37" t="s">
        <v>395</v>
      </c>
      <c r="C28" s="160">
        <v>8.5</v>
      </c>
      <c r="D28" s="160">
        <f>REL_LIBERADAS!E27*10</f>
        <v>0</v>
      </c>
      <c r="E28" s="160">
        <f>REL_LIBERADAS!G27*10</f>
        <v>0</v>
      </c>
      <c r="F28" s="160">
        <f t="shared" si="2"/>
        <v>8.5</v>
      </c>
      <c r="G28" s="159" t="str">
        <f t="shared" si="1"/>
        <v>Qualificado</v>
      </c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</row>
    <row r="29" spans="2:18" ht="31.95" customHeight="1" x14ac:dyDescent="0.3">
      <c r="B29" s="37" t="s">
        <v>401</v>
      </c>
      <c r="C29" s="160">
        <v>8.5</v>
      </c>
      <c r="D29" s="160">
        <f>REL_LIBERADAS!E28*10</f>
        <v>9.2857142857142865</v>
      </c>
      <c r="E29" s="160">
        <f>REL_LIBERADAS!G28*10</f>
        <v>9.2857142857142865</v>
      </c>
      <c r="F29" s="160">
        <f t="shared" si="2"/>
        <v>9.0238095238095237</v>
      </c>
      <c r="G29" s="159" t="str">
        <f t="shared" si="1"/>
        <v>Qualificado</v>
      </c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</row>
    <row r="30" spans="2:18" ht="31.95" customHeight="1" x14ac:dyDescent="0.3">
      <c r="B30" s="37" t="s">
        <v>410</v>
      </c>
      <c r="C30" s="160">
        <v>8.5</v>
      </c>
      <c r="D30" s="160">
        <f>REL_LIBERADAS!E29*10</f>
        <v>10</v>
      </c>
      <c r="E30" s="160">
        <f>REL_LIBERADAS!G29*10</f>
        <v>10</v>
      </c>
      <c r="F30" s="160">
        <f t="shared" si="2"/>
        <v>9.5</v>
      </c>
      <c r="G30" s="159" t="str">
        <f t="shared" si="1"/>
        <v>Qualificado</v>
      </c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</row>
    <row r="31" spans="2:18" ht="31.95" customHeight="1" x14ac:dyDescent="0.3">
      <c r="B31" s="37" t="s">
        <v>418</v>
      </c>
      <c r="C31" s="160">
        <v>8.5</v>
      </c>
      <c r="D31" s="160">
        <f>REL_LIBERADAS!E30*10</f>
        <v>0</v>
      </c>
      <c r="E31" s="160">
        <f>REL_LIBERADAS!G30*10</f>
        <v>0</v>
      </c>
      <c r="F31" s="160">
        <f t="shared" si="2"/>
        <v>8.5</v>
      </c>
      <c r="G31" s="159" t="str">
        <f t="shared" si="1"/>
        <v>Qualificado</v>
      </c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</row>
    <row r="32" spans="2:18" ht="31.95" customHeight="1" x14ac:dyDescent="0.3">
      <c r="B32" s="37" t="s">
        <v>423</v>
      </c>
      <c r="C32" s="160">
        <v>8.5</v>
      </c>
      <c r="D32" s="160">
        <f>REL_LIBERADAS!E31*10</f>
        <v>10</v>
      </c>
      <c r="E32" s="160">
        <f>REL_LIBERADAS!G31*10</f>
        <v>10</v>
      </c>
      <c r="F32" s="160">
        <f t="shared" si="2"/>
        <v>9.5</v>
      </c>
      <c r="G32" s="159" t="str">
        <f t="shared" si="1"/>
        <v>Qualificado</v>
      </c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</row>
    <row r="33" spans="2:7" ht="31.95" customHeight="1" x14ac:dyDescent="0.3">
      <c r="B33" s="37" t="s">
        <v>427</v>
      </c>
      <c r="C33" s="160">
        <v>8.5</v>
      </c>
      <c r="D33" s="160">
        <f>REL_LIBERADAS!E32*10</f>
        <v>10</v>
      </c>
      <c r="E33" s="160">
        <f>REL_LIBERADAS!G32*10</f>
        <v>8</v>
      </c>
      <c r="F33" s="160">
        <f t="shared" si="2"/>
        <v>8.8333333333333339</v>
      </c>
      <c r="G33" s="159" t="str">
        <f t="shared" si="1"/>
        <v>Qualificado</v>
      </c>
    </row>
    <row r="34" spans="2:7" ht="31.95" customHeight="1" x14ac:dyDescent="0.3">
      <c r="B34" s="37" t="s">
        <v>434</v>
      </c>
      <c r="C34" s="160">
        <v>8.5</v>
      </c>
      <c r="D34" s="160">
        <f>REL_LIBERADAS!E33*10</f>
        <v>10</v>
      </c>
      <c r="E34" s="160">
        <f>REL_LIBERADAS!G33*10</f>
        <v>10</v>
      </c>
      <c r="F34" s="160">
        <f t="shared" si="2"/>
        <v>9.5</v>
      </c>
      <c r="G34" s="159" t="str">
        <f t="shared" si="1"/>
        <v>Qualificado</v>
      </c>
    </row>
    <row r="35" spans="2:7" ht="31.95" customHeight="1" x14ac:dyDescent="0.3">
      <c r="B35" s="37" t="s">
        <v>442</v>
      </c>
      <c r="C35" s="160">
        <v>8.5</v>
      </c>
      <c r="D35" s="160">
        <f>REL_LIBERADAS!E34*10</f>
        <v>10</v>
      </c>
      <c r="E35" s="160">
        <f>REL_LIBERADAS!G34*10</f>
        <v>10</v>
      </c>
      <c r="F35" s="160">
        <f t="shared" si="2"/>
        <v>9.5</v>
      </c>
      <c r="G35" s="159" t="str">
        <f t="shared" si="1"/>
        <v>Qualificado</v>
      </c>
    </row>
    <row r="36" spans="2:7" ht="31.95" customHeight="1" x14ac:dyDescent="0.3">
      <c r="B36" s="37" t="s">
        <v>451</v>
      </c>
      <c r="C36" s="160">
        <v>8.5</v>
      </c>
      <c r="D36" s="160">
        <f>REL_LIBERADAS!E35*10</f>
        <v>10</v>
      </c>
      <c r="E36" s="160">
        <f>REL_LIBERADAS!G35*10</f>
        <v>10</v>
      </c>
      <c r="F36" s="160">
        <f t="shared" si="2"/>
        <v>9.5</v>
      </c>
      <c r="G36" s="159" t="str">
        <f t="shared" si="1"/>
        <v>Qualificado</v>
      </c>
    </row>
    <row r="37" spans="2:7" ht="31.95" customHeight="1" x14ac:dyDescent="0.3">
      <c r="B37" s="37" t="s">
        <v>457</v>
      </c>
      <c r="C37" s="160">
        <v>8.5</v>
      </c>
      <c r="D37" s="160">
        <f>REL_LIBERADAS!E36*10</f>
        <v>10</v>
      </c>
      <c r="E37" s="160">
        <f>REL_LIBERADAS!G36*10</f>
        <v>10</v>
      </c>
      <c r="F37" s="160">
        <f t="shared" si="2"/>
        <v>9.5</v>
      </c>
      <c r="G37" s="159" t="str">
        <f t="shared" si="1"/>
        <v>Qualificado</v>
      </c>
    </row>
    <row r="38" spans="2:7" ht="31.95" customHeight="1" x14ac:dyDescent="0.3">
      <c r="B38" s="37" t="s">
        <v>465</v>
      </c>
      <c r="C38" s="160">
        <v>8.5</v>
      </c>
      <c r="D38" s="160">
        <f>REL_LIBERADAS!E37*10</f>
        <v>10</v>
      </c>
      <c r="E38" s="160">
        <f>REL_LIBERADAS!G37*10</f>
        <v>10</v>
      </c>
      <c r="F38" s="160">
        <f t="shared" si="2"/>
        <v>9.5</v>
      </c>
      <c r="G38" s="159" t="str">
        <f t="shared" si="1"/>
        <v>Qualificado</v>
      </c>
    </row>
    <row r="39" spans="2:7" ht="31.95" customHeight="1" x14ac:dyDescent="0.3">
      <c r="B39" s="37" t="s">
        <v>470</v>
      </c>
      <c r="C39" s="160">
        <v>8.5</v>
      </c>
      <c r="D39" s="160">
        <f>REL_LIBERADAS!E38*10</f>
        <v>10</v>
      </c>
      <c r="E39" s="160">
        <f>REL_LIBERADAS!G38*10</f>
        <v>10</v>
      </c>
      <c r="F39" s="160">
        <f t="shared" si="2"/>
        <v>9.5</v>
      </c>
      <c r="G39" s="159" t="str">
        <f t="shared" si="1"/>
        <v>Qualificado</v>
      </c>
    </row>
    <row r="40" spans="2:7" ht="31.95" customHeight="1" x14ac:dyDescent="0.3">
      <c r="B40" s="37" t="s">
        <v>475</v>
      </c>
      <c r="C40" s="160">
        <v>9.5</v>
      </c>
      <c r="D40" s="160">
        <f>REL_LIBERADAS!E39*10</f>
        <v>10</v>
      </c>
      <c r="E40" s="160">
        <f>REL_LIBERADAS!G39*10</f>
        <v>10</v>
      </c>
      <c r="F40" s="160">
        <f t="shared" si="2"/>
        <v>9.8333333333333339</v>
      </c>
      <c r="G40" s="159" t="str">
        <f t="shared" si="1"/>
        <v>Qualificado</v>
      </c>
    </row>
    <row r="41" spans="2:7" ht="31.95" customHeight="1" x14ac:dyDescent="0.3">
      <c r="B41" s="37" t="s">
        <v>480</v>
      </c>
      <c r="C41" s="160">
        <v>8.5</v>
      </c>
      <c r="D41" s="160">
        <f>REL_LIBERADAS!E40*10</f>
        <v>10</v>
      </c>
      <c r="E41" s="160">
        <f>REL_LIBERADAS!G40*10</f>
        <v>10</v>
      </c>
      <c r="F41" s="160">
        <f t="shared" si="2"/>
        <v>9.5</v>
      </c>
      <c r="G41" s="159" t="str">
        <f t="shared" ref="G41:G72" si="3">IF(F41&lt;=4,"Desqualificado",IF(AND(F41&gt;=4.1,F41&lt;6),"Não recomendado",IF(AND(F41&gt;=6.1,F41&lt;8),"Qualificado com restrição",IF(F41&gt;=8,"Qualificado",""))))</f>
        <v>Qualificado</v>
      </c>
    </row>
    <row r="42" spans="2:7" ht="31.95" customHeight="1" x14ac:dyDescent="0.3">
      <c r="B42" s="37" t="s">
        <v>488</v>
      </c>
      <c r="C42" s="160">
        <v>8.5</v>
      </c>
      <c r="D42" s="160">
        <f>REL_LIBERADAS!E41*10</f>
        <v>9</v>
      </c>
      <c r="E42" s="160">
        <f>REL_LIBERADAS!G41*10</f>
        <v>9</v>
      </c>
      <c r="F42" s="160">
        <f t="shared" si="2"/>
        <v>8.8333333333333339</v>
      </c>
      <c r="G42" s="159" t="str">
        <f t="shared" si="3"/>
        <v>Qualificado</v>
      </c>
    </row>
    <row r="43" spans="2:7" ht="31.95" customHeight="1" x14ac:dyDescent="0.3">
      <c r="B43" s="37" t="s">
        <v>496</v>
      </c>
      <c r="C43" s="160">
        <v>8.5</v>
      </c>
      <c r="D43" s="160">
        <f>REL_LIBERADAS!E42*10</f>
        <v>0</v>
      </c>
      <c r="E43" s="160">
        <f>REL_LIBERADAS!G42*10</f>
        <v>0</v>
      </c>
      <c r="F43" s="160">
        <f t="shared" si="2"/>
        <v>8.5</v>
      </c>
      <c r="G43" s="159" t="str">
        <f t="shared" si="3"/>
        <v>Qualificado</v>
      </c>
    </row>
    <row r="44" spans="2:7" ht="31.95" customHeight="1" x14ac:dyDescent="0.3">
      <c r="B44" s="37" t="s">
        <v>504</v>
      </c>
      <c r="C44" s="160"/>
      <c r="D44" s="160">
        <f>REL_LIBERADAS!E43*10</f>
        <v>0</v>
      </c>
      <c r="E44" s="160">
        <f>REL_LIBERADAS!G43*10</f>
        <v>0</v>
      </c>
      <c r="F44" s="160">
        <f t="shared" si="2"/>
        <v>0</v>
      </c>
      <c r="G44" s="159" t="str">
        <f t="shared" si="3"/>
        <v>Desqualificado</v>
      </c>
    </row>
    <row r="45" spans="2:7" ht="31.95" customHeight="1" x14ac:dyDescent="0.3">
      <c r="B45" s="37" t="s">
        <v>511</v>
      </c>
      <c r="C45" s="160"/>
      <c r="D45" s="160">
        <f>REL_LIBERADAS!E44*10</f>
        <v>10</v>
      </c>
      <c r="E45" s="160">
        <f>REL_LIBERADAS!G44*10</f>
        <v>10</v>
      </c>
      <c r="F45" s="160">
        <f t="shared" si="2"/>
        <v>10</v>
      </c>
      <c r="G45" s="159" t="str">
        <f t="shared" si="3"/>
        <v>Qualificado</v>
      </c>
    </row>
    <row r="46" spans="2:7" ht="31.95" customHeight="1" x14ac:dyDescent="0.3">
      <c r="B46" s="37" t="s">
        <v>518</v>
      </c>
      <c r="C46" s="160">
        <v>9.44</v>
      </c>
      <c r="D46" s="160">
        <f>REL_LIBERADAS!E45*10</f>
        <v>10</v>
      </c>
      <c r="E46" s="160">
        <f>REL_LIBERADAS!G45*10</f>
        <v>10</v>
      </c>
      <c r="F46" s="160">
        <f t="shared" si="2"/>
        <v>9.8133333333333326</v>
      </c>
      <c r="G46" s="159" t="str">
        <f t="shared" si="3"/>
        <v>Qualificado</v>
      </c>
    </row>
    <row r="47" spans="2:7" ht="31.95" customHeight="1" x14ac:dyDescent="0.3">
      <c r="B47" s="37" t="s">
        <v>524</v>
      </c>
      <c r="C47" s="160"/>
      <c r="D47" s="160">
        <f>REL_LIBERADAS!E46*10</f>
        <v>9.8412698412698401</v>
      </c>
      <c r="E47" s="160">
        <f>REL_LIBERADAS!G46*10</f>
        <v>9.6825396825396819</v>
      </c>
      <c r="F47" s="160">
        <f t="shared" ref="F47:F78" si="4">IF(D47=0,C47,AVERAGE(C47:E47))</f>
        <v>9.761904761904761</v>
      </c>
      <c r="G47" s="159" t="str">
        <f t="shared" si="3"/>
        <v>Qualificado</v>
      </c>
    </row>
    <row r="48" spans="2:7" ht="31.95" customHeight="1" x14ac:dyDescent="0.3">
      <c r="B48" s="37" t="s">
        <v>532</v>
      </c>
      <c r="C48" s="160"/>
      <c r="D48" s="160">
        <f>REL_LIBERADAS!E47*10</f>
        <v>10</v>
      </c>
      <c r="E48" s="160">
        <f>REL_LIBERADAS!G47*10</f>
        <v>10</v>
      </c>
      <c r="F48" s="160">
        <f t="shared" si="4"/>
        <v>10</v>
      </c>
      <c r="G48" s="159" t="str">
        <f t="shared" si="3"/>
        <v>Qualificado</v>
      </c>
    </row>
    <row r="49" spans="2:7" ht="31.95" customHeight="1" x14ac:dyDescent="0.3">
      <c r="B49" s="37" t="s">
        <v>537</v>
      </c>
      <c r="C49" s="160"/>
      <c r="D49" s="160">
        <f>REL_LIBERADAS!E48*10</f>
        <v>0</v>
      </c>
      <c r="E49" s="160">
        <f>REL_LIBERADAS!G48*10</f>
        <v>0</v>
      </c>
      <c r="F49" s="160">
        <f t="shared" si="4"/>
        <v>0</v>
      </c>
      <c r="G49" s="159" t="str">
        <f t="shared" si="3"/>
        <v>Desqualificado</v>
      </c>
    </row>
    <row r="50" spans="2:7" ht="31.95" customHeight="1" x14ac:dyDescent="0.3">
      <c r="B50" s="37" t="s">
        <v>542</v>
      </c>
      <c r="C50" s="160"/>
      <c r="D50" s="160">
        <f>REL_LIBERADAS!E49*10</f>
        <v>0</v>
      </c>
      <c r="E50" s="160">
        <f>REL_LIBERADAS!G49*10</f>
        <v>0</v>
      </c>
      <c r="F50" s="160">
        <f t="shared" si="4"/>
        <v>0</v>
      </c>
      <c r="G50" s="159" t="str">
        <f t="shared" si="3"/>
        <v>Desqualificado</v>
      </c>
    </row>
    <row r="51" spans="2:7" ht="31.95" customHeight="1" x14ac:dyDescent="0.3">
      <c r="B51" s="37" t="s">
        <v>546</v>
      </c>
      <c r="C51" s="160"/>
      <c r="D51" s="160">
        <f>REL_LIBERADAS!E50*10</f>
        <v>10</v>
      </c>
      <c r="E51" s="160">
        <f>REL_LIBERADAS!G50*10</f>
        <v>10</v>
      </c>
      <c r="F51" s="160">
        <f t="shared" si="4"/>
        <v>10</v>
      </c>
      <c r="G51" s="159" t="str">
        <f t="shared" si="3"/>
        <v>Qualificado</v>
      </c>
    </row>
    <row r="52" spans="2:7" ht="31.95" customHeight="1" x14ac:dyDescent="0.3">
      <c r="B52" s="37" t="s">
        <v>552</v>
      </c>
      <c r="C52" s="160"/>
      <c r="D52" s="160">
        <f>REL_LIBERADAS!E51*10</f>
        <v>0</v>
      </c>
      <c r="E52" s="160">
        <f>REL_LIBERADAS!G51*10</f>
        <v>0</v>
      </c>
      <c r="F52" s="160">
        <f t="shared" si="4"/>
        <v>0</v>
      </c>
      <c r="G52" s="159" t="str">
        <f t="shared" si="3"/>
        <v>Desqualificado</v>
      </c>
    </row>
    <row r="53" spans="2:7" ht="31.95" customHeight="1" x14ac:dyDescent="0.3">
      <c r="B53" s="37" t="s">
        <v>558</v>
      </c>
      <c r="C53" s="160"/>
      <c r="D53" s="160">
        <f>REL_LIBERADAS!E52*10</f>
        <v>10</v>
      </c>
      <c r="E53" s="160">
        <f>REL_LIBERADAS!G52*10</f>
        <v>10</v>
      </c>
      <c r="F53" s="160">
        <f t="shared" si="4"/>
        <v>10</v>
      </c>
      <c r="G53" s="159" t="str">
        <f t="shared" si="3"/>
        <v>Qualificado</v>
      </c>
    </row>
    <row r="54" spans="2:7" ht="31.95" customHeight="1" x14ac:dyDescent="0.3">
      <c r="B54" s="37" t="s">
        <v>564</v>
      </c>
      <c r="C54" s="160"/>
      <c r="D54" s="160">
        <f>REL_LIBERADAS!E53*10</f>
        <v>10</v>
      </c>
      <c r="E54" s="160">
        <f>REL_LIBERADAS!G53*10</f>
        <v>10</v>
      </c>
      <c r="F54" s="160">
        <f t="shared" si="4"/>
        <v>10</v>
      </c>
      <c r="G54" s="159" t="str">
        <f t="shared" si="3"/>
        <v>Qualificado</v>
      </c>
    </row>
    <row r="55" spans="2:7" ht="31.95" customHeight="1" x14ac:dyDescent="0.3">
      <c r="B55" s="37" t="s">
        <v>570</v>
      </c>
      <c r="C55" s="160"/>
      <c r="D55" s="160">
        <f>REL_LIBERADAS!E54*10</f>
        <v>0</v>
      </c>
      <c r="E55" s="160">
        <f>REL_LIBERADAS!G54*10</f>
        <v>0</v>
      </c>
      <c r="F55" s="160">
        <f t="shared" si="4"/>
        <v>0</v>
      </c>
      <c r="G55" s="159" t="str">
        <f t="shared" si="3"/>
        <v>Desqualificado</v>
      </c>
    </row>
    <row r="56" spans="2:7" ht="31.95" customHeight="1" x14ac:dyDescent="0.3">
      <c r="B56" s="37" t="s">
        <v>575</v>
      </c>
      <c r="C56" s="160"/>
      <c r="D56" s="160">
        <f>REL_LIBERADAS!E55*10</f>
        <v>10</v>
      </c>
      <c r="E56" s="160">
        <f>REL_LIBERADAS!G55*10</f>
        <v>10</v>
      </c>
      <c r="F56" s="160">
        <f t="shared" si="4"/>
        <v>10</v>
      </c>
      <c r="G56" s="159" t="str">
        <f t="shared" si="3"/>
        <v>Qualificado</v>
      </c>
    </row>
    <row r="57" spans="2:7" ht="31.95" customHeight="1" x14ac:dyDescent="0.3">
      <c r="B57" s="37" t="s">
        <v>583</v>
      </c>
      <c r="C57" s="160"/>
      <c r="D57" s="160">
        <f>REL_LIBERADAS!E56*10</f>
        <v>0</v>
      </c>
      <c r="E57" s="160">
        <f>REL_LIBERADAS!G56*10</f>
        <v>0</v>
      </c>
      <c r="F57" s="160">
        <f t="shared" si="4"/>
        <v>0</v>
      </c>
      <c r="G57" s="159" t="str">
        <f t="shared" si="3"/>
        <v>Desqualificado</v>
      </c>
    </row>
    <row r="58" spans="2:7" ht="31.95" customHeight="1" x14ac:dyDescent="0.3">
      <c r="B58" s="37" t="s">
        <v>588</v>
      </c>
      <c r="C58" s="160"/>
      <c r="D58" s="160">
        <f>REL_LIBERADAS!E57*10</f>
        <v>10</v>
      </c>
      <c r="E58" s="160">
        <f>REL_LIBERADAS!G57*10</f>
        <v>10</v>
      </c>
      <c r="F58" s="160">
        <f t="shared" si="4"/>
        <v>10</v>
      </c>
      <c r="G58" s="159" t="str">
        <f t="shared" si="3"/>
        <v>Qualificado</v>
      </c>
    </row>
    <row r="59" spans="2:7" ht="31.95" customHeight="1" x14ac:dyDescent="0.3">
      <c r="B59" s="37" t="s">
        <v>594</v>
      </c>
      <c r="C59" s="160"/>
      <c r="D59" s="160">
        <f>REL_LIBERADAS!E58*10</f>
        <v>10</v>
      </c>
      <c r="E59" s="160">
        <f>REL_LIBERADAS!G58*10</f>
        <v>9.7674418604651159</v>
      </c>
      <c r="F59" s="160">
        <f t="shared" si="4"/>
        <v>9.8837209302325579</v>
      </c>
      <c r="G59" s="159" t="str">
        <f t="shared" si="3"/>
        <v>Qualificado</v>
      </c>
    </row>
    <row r="60" spans="2:7" ht="31.95" customHeight="1" x14ac:dyDescent="0.3">
      <c r="B60" s="37" t="s">
        <v>602</v>
      </c>
      <c r="C60" s="160"/>
      <c r="D60" s="160">
        <f>REL_LIBERADAS!E59*10</f>
        <v>10</v>
      </c>
      <c r="E60" s="160">
        <f>REL_LIBERADAS!G59*10</f>
        <v>10</v>
      </c>
      <c r="F60" s="160">
        <f t="shared" si="4"/>
        <v>10</v>
      </c>
      <c r="G60" s="159" t="str">
        <f t="shared" si="3"/>
        <v>Qualificado</v>
      </c>
    </row>
    <row r="61" spans="2:7" ht="31.95" customHeight="1" x14ac:dyDescent="0.3">
      <c r="B61" s="37" t="s">
        <v>610</v>
      </c>
      <c r="C61" s="160"/>
      <c r="D61" s="160">
        <f>REL_LIBERADAS!E60*10</f>
        <v>10</v>
      </c>
      <c r="E61" s="160">
        <f>REL_LIBERADAS!G60*10</f>
        <v>10</v>
      </c>
      <c r="F61" s="160">
        <f t="shared" si="4"/>
        <v>10</v>
      </c>
      <c r="G61" s="159" t="str">
        <f t="shared" si="3"/>
        <v>Qualificado</v>
      </c>
    </row>
    <row r="62" spans="2:7" ht="31.95" customHeight="1" x14ac:dyDescent="0.3">
      <c r="B62" s="37" t="s">
        <v>616</v>
      </c>
      <c r="C62" s="160"/>
      <c r="D62" s="160">
        <f>REL_LIBERADAS!E61*10</f>
        <v>0</v>
      </c>
      <c r="E62" s="160">
        <f>REL_LIBERADAS!G61*10</f>
        <v>0</v>
      </c>
      <c r="F62" s="160">
        <f t="shared" si="4"/>
        <v>0</v>
      </c>
      <c r="G62" s="159" t="str">
        <f t="shared" si="3"/>
        <v>Desqualificado</v>
      </c>
    </row>
    <row r="63" spans="2:7" ht="31.95" customHeight="1" x14ac:dyDescent="0.3">
      <c r="B63" s="37" t="s">
        <v>624</v>
      </c>
      <c r="C63" s="160"/>
      <c r="D63" s="160">
        <f>REL_LIBERADAS!E62*10</f>
        <v>10</v>
      </c>
      <c r="E63" s="160">
        <f>REL_LIBERADAS!G62*10</f>
        <v>10</v>
      </c>
      <c r="F63" s="160">
        <f t="shared" si="4"/>
        <v>10</v>
      </c>
      <c r="G63" s="159" t="str">
        <f t="shared" si="3"/>
        <v>Qualificado</v>
      </c>
    </row>
    <row r="64" spans="2:7" ht="31.95" customHeight="1" x14ac:dyDescent="0.3">
      <c r="B64" s="37" t="s">
        <v>632</v>
      </c>
      <c r="C64" s="160"/>
      <c r="D64" s="160">
        <f>REL_LIBERADAS!E63*10</f>
        <v>0</v>
      </c>
      <c r="E64" s="160">
        <f>REL_LIBERADAS!G63*10</f>
        <v>0</v>
      </c>
      <c r="F64" s="160">
        <f t="shared" si="4"/>
        <v>0</v>
      </c>
      <c r="G64" s="159" t="str">
        <f t="shared" si="3"/>
        <v>Desqualificado</v>
      </c>
    </row>
    <row r="65" spans="2:7" ht="31.95" customHeight="1" x14ac:dyDescent="0.3">
      <c r="B65" s="37" t="s">
        <v>637</v>
      </c>
      <c r="C65" s="160"/>
      <c r="D65" s="160">
        <f>REL_LIBERADAS!E64*10</f>
        <v>0</v>
      </c>
      <c r="E65" s="160">
        <f>REL_LIBERADAS!G64*10</f>
        <v>0</v>
      </c>
      <c r="F65" s="160">
        <f t="shared" si="4"/>
        <v>0</v>
      </c>
      <c r="G65" s="159" t="str">
        <f t="shared" si="3"/>
        <v>Desqualificado</v>
      </c>
    </row>
    <row r="66" spans="2:7" ht="31.95" customHeight="1" x14ac:dyDescent="0.3">
      <c r="B66" s="37" t="s">
        <v>644</v>
      </c>
      <c r="C66" s="160"/>
      <c r="D66" s="160">
        <f>REL_LIBERADAS!E65*10</f>
        <v>10</v>
      </c>
      <c r="E66" s="160">
        <f>REL_LIBERADAS!G65*10</f>
        <v>10</v>
      </c>
      <c r="F66" s="160">
        <f t="shared" si="4"/>
        <v>10</v>
      </c>
      <c r="G66" s="159" t="str">
        <f t="shared" si="3"/>
        <v>Qualificado</v>
      </c>
    </row>
    <row r="67" spans="2:7" ht="31.95" customHeight="1" x14ac:dyDescent="0.3">
      <c r="B67" s="37" t="s">
        <v>652</v>
      </c>
      <c r="C67" s="160"/>
      <c r="D67" s="160">
        <f>REL_LIBERADAS!E66*10</f>
        <v>9.1666666666666661</v>
      </c>
      <c r="E67" s="160">
        <f>REL_LIBERADAS!G66*10</f>
        <v>9.1666666666666661</v>
      </c>
      <c r="F67" s="160">
        <f t="shared" si="4"/>
        <v>9.1666666666666661</v>
      </c>
      <c r="G67" s="159" t="str">
        <f t="shared" si="3"/>
        <v>Qualificado</v>
      </c>
    </row>
    <row r="68" spans="2:7" ht="31.95" customHeight="1" x14ac:dyDescent="0.3">
      <c r="B68" s="37" t="s">
        <v>661</v>
      </c>
      <c r="C68" s="160"/>
      <c r="D68" s="160">
        <f>REL_LIBERADAS!E67*10</f>
        <v>0</v>
      </c>
      <c r="E68" s="160">
        <f>REL_LIBERADAS!G67*10</f>
        <v>0</v>
      </c>
      <c r="F68" s="160">
        <f t="shared" si="4"/>
        <v>0</v>
      </c>
      <c r="G68" s="159" t="str">
        <f t="shared" si="3"/>
        <v>Desqualificado</v>
      </c>
    </row>
    <row r="69" spans="2:7" ht="31.95" customHeight="1" x14ac:dyDescent="0.3">
      <c r="B69" s="37" t="s">
        <v>666</v>
      </c>
      <c r="C69" s="160"/>
      <c r="D69" s="160">
        <f>REL_LIBERADAS!E68*10</f>
        <v>0</v>
      </c>
      <c r="E69" s="160">
        <f>REL_LIBERADAS!G68*10</f>
        <v>0</v>
      </c>
      <c r="F69" s="160">
        <f t="shared" si="4"/>
        <v>0</v>
      </c>
      <c r="G69" s="159" t="str">
        <f t="shared" si="3"/>
        <v>Desqualificado</v>
      </c>
    </row>
    <row r="70" spans="2:7" ht="31.95" customHeight="1" x14ac:dyDescent="0.3">
      <c r="B70" s="37" t="s">
        <v>673</v>
      </c>
      <c r="C70" s="160"/>
      <c r="D70" s="160">
        <f>REL_LIBERADAS!E69*10</f>
        <v>10</v>
      </c>
      <c r="E70" s="160">
        <f>REL_LIBERADAS!G69*10</f>
        <v>10</v>
      </c>
      <c r="F70" s="160">
        <f t="shared" si="4"/>
        <v>10</v>
      </c>
      <c r="G70" s="159" t="str">
        <f t="shared" si="3"/>
        <v>Qualificado</v>
      </c>
    </row>
    <row r="71" spans="2:7" ht="31.95" customHeight="1" x14ac:dyDescent="0.3">
      <c r="B71" s="37" t="s">
        <v>677</v>
      </c>
      <c r="C71" s="160"/>
      <c r="D71" s="160">
        <f>REL_LIBERADAS!E70*10</f>
        <v>10</v>
      </c>
      <c r="E71" s="160">
        <f>REL_LIBERADAS!G70*10</f>
        <v>10</v>
      </c>
      <c r="F71" s="160">
        <f t="shared" si="4"/>
        <v>10</v>
      </c>
      <c r="G71" s="159" t="str">
        <f t="shared" si="3"/>
        <v>Qualificado</v>
      </c>
    </row>
    <row r="72" spans="2:7" ht="31.95" customHeight="1" x14ac:dyDescent="0.3">
      <c r="B72" s="37" t="s">
        <v>684</v>
      </c>
      <c r="C72" s="160"/>
      <c r="D72" s="160">
        <f>REL_LIBERADAS!E71*10</f>
        <v>10</v>
      </c>
      <c r="E72" s="160">
        <f>REL_LIBERADAS!G71*10</f>
        <v>10</v>
      </c>
      <c r="F72" s="160">
        <f t="shared" si="4"/>
        <v>10</v>
      </c>
      <c r="G72" s="159" t="str">
        <f t="shared" si="3"/>
        <v>Qualificado</v>
      </c>
    </row>
    <row r="73" spans="2:7" ht="31.95" customHeight="1" x14ac:dyDescent="0.3">
      <c r="B73" s="37" t="s">
        <v>692</v>
      </c>
      <c r="C73" s="160"/>
      <c r="D73" s="160">
        <f>REL_LIBERADAS!E72*10</f>
        <v>0</v>
      </c>
      <c r="E73" s="160">
        <f>REL_LIBERADAS!G72*10</f>
        <v>0</v>
      </c>
      <c r="F73" s="160">
        <f t="shared" si="4"/>
        <v>0</v>
      </c>
      <c r="G73" s="159" t="str">
        <f t="shared" ref="G73:G104" si="5">IF(F73&lt;=4,"Desqualificado",IF(AND(F73&gt;=4.1,F73&lt;6),"Não recomendado",IF(AND(F73&gt;=6.1,F73&lt;8),"Qualificado com restrição",IF(F73&gt;=8,"Qualificado",""))))</f>
        <v>Desqualificado</v>
      </c>
    </row>
    <row r="74" spans="2:7" ht="31.95" customHeight="1" x14ac:dyDescent="0.3">
      <c r="B74" s="37" t="s">
        <v>700</v>
      </c>
      <c r="C74" s="160"/>
      <c r="D74" s="160">
        <f>REL_LIBERADAS!E73*10</f>
        <v>10</v>
      </c>
      <c r="E74" s="160">
        <f>REL_LIBERADAS!G73*10</f>
        <v>10</v>
      </c>
      <c r="F74" s="160">
        <f t="shared" si="4"/>
        <v>10</v>
      </c>
      <c r="G74" s="159" t="str">
        <f t="shared" si="5"/>
        <v>Qualificado</v>
      </c>
    </row>
    <row r="75" spans="2:7" ht="31.95" customHeight="1" x14ac:dyDescent="0.3">
      <c r="B75" s="37" t="s">
        <v>705</v>
      </c>
      <c r="C75" s="160"/>
      <c r="D75" s="160">
        <f>REL_LIBERADAS!E74*10</f>
        <v>0</v>
      </c>
      <c r="E75" s="160">
        <f>REL_LIBERADAS!G74*10</f>
        <v>0</v>
      </c>
      <c r="F75" s="160">
        <f t="shared" si="4"/>
        <v>0</v>
      </c>
      <c r="G75" s="159" t="str">
        <f t="shared" si="5"/>
        <v>Desqualificado</v>
      </c>
    </row>
    <row r="76" spans="2:7" ht="31.95" customHeight="1" x14ac:dyDescent="0.3">
      <c r="B76" s="37" t="s">
        <v>708</v>
      </c>
      <c r="C76" s="160"/>
      <c r="D76" s="160">
        <f>REL_LIBERADAS!E75*10</f>
        <v>0</v>
      </c>
      <c r="E76" s="160">
        <f>REL_LIBERADAS!G75*10</f>
        <v>0</v>
      </c>
      <c r="F76" s="160">
        <f t="shared" si="4"/>
        <v>0</v>
      </c>
      <c r="G76" s="159" t="str">
        <f t="shared" si="5"/>
        <v>Desqualificado</v>
      </c>
    </row>
    <row r="77" spans="2:7" ht="31.95" customHeight="1" x14ac:dyDescent="0.3">
      <c r="B77" s="37" t="s">
        <v>714</v>
      </c>
      <c r="C77" s="160"/>
      <c r="D77" s="160">
        <f>REL_LIBERADAS!E76*10</f>
        <v>10</v>
      </c>
      <c r="E77" s="160">
        <f>REL_LIBERADAS!G76*10</f>
        <v>10</v>
      </c>
      <c r="F77" s="160">
        <f t="shared" si="4"/>
        <v>10</v>
      </c>
      <c r="G77" s="159" t="str">
        <f t="shared" si="5"/>
        <v>Qualificado</v>
      </c>
    </row>
    <row r="78" spans="2:7" ht="31.95" customHeight="1" x14ac:dyDescent="0.3">
      <c r="B78" s="37" t="s">
        <v>722</v>
      </c>
      <c r="C78" s="160"/>
      <c r="D78" s="160">
        <f>REL_LIBERADAS!E77*10</f>
        <v>9.0909090909090899</v>
      </c>
      <c r="E78" s="160">
        <f>REL_LIBERADAS!G77*10</f>
        <v>7.2727272727272734</v>
      </c>
      <c r="F78" s="160">
        <f t="shared" si="4"/>
        <v>8.1818181818181817</v>
      </c>
      <c r="G78" s="159" t="str">
        <f t="shared" si="5"/>
        <v>Qualificado</v>
      </c>
    </row>
    <row r="79" spans="2:7" ht="31.95" customHeight="1" x14ac:dyDescent="0.3">
      <c r="B79" s="37" t="s">
        <v>726</v>
      </c>
      <c r="C79" s="160"/>
      <c r="D79" s="160">
        <f>REL_LIBERADAS!E78*10</f>
        <v>10</v>
      </c>
      <c r="E79" s="160">
        <f>REL_LIBERADAS!G78*10</f>
        <v>10</v>
      </c>
      <c r="F79" s="160">
        <f t="shared" ref="F79:F110" si="6">IF(D79=0,C79,AVERAGE(C79:E79))</f>
        <v>10</v>
      </c>
      <c r="G79" s="159" t="str">
        <f t="shared" si="5"/>
        <v>Qualificado</v>
      </c>
    </row>
    <row r="80" spans="2:7" ht="31.95" customHeight="1" x14ac:dyDescent="0.3">
      <c r="B80" s="37" t="s">
        <v>733</v>
      </c>
      <c r="C80" s="160"/>
      <c r="D80" s="160">
        <f>REL_LIBERADAS!E79*10</f>
        <v>10</v>
      </c>
      <c r="E80" s="160">
        <f>REL_LIBERADAS!G79*10</f>
        <v>10</v>
      </c>
      <c r="F80" s="160">
        <f t="shared" si="6"/>
        <v>10</v>
      </c>
      <c r="G80" s="159" t="str">
        <f t="shared" si="5"/>
        <v>Qualificado</v>
      </c>
    </row>
    <row r="81" spans="2:7" ht="31.95" customHeight="1" x14ac:dyDescent="0.3">
      <c r="B81" s="37" t="s">
        <v>741</v>
      </c>
      <c r="C81" s="160"/>
      <c r="D81" s="160">
        <f>REL_LIBERADAS!E80*10</f>
        <v>7.7777777777777777</v>
      </c>
      <c r="E81" s="160">
        <f>REL_LIBERADAS!G80*10</f>
        <v>7.7777777777777777</v>
      </c>
      <c r="F81" s="160">
        <f t="shared" si="6"/>
        <v>7.7777777777777777</v>
      </c>
      <c r="G81" s="159" t="str">
        <f t="shared" si="5"/>
        <v>Qualificado com restrição</v>
      </c>
    </row>
    <row r="82" spans="2:7" ht="31.95" customHeight="1" x14ac:dyDescent="0.3">
      <c r="B82" s="37" t="s">
        <v>747</v>
      </c>
      <c r="C82" s="160"/>
      <c r="D82" s="160">
        <f>REL_LIBERADAS!E81*10</f>
        <v>0</v>
      </c>
      <c r="E82" s="160">
        <f>REL_LIBERADAS!G81*10</f>
        <v>0</v>
      </c>
      <c r="F82" s="160">
        <f t="shared" si="6"/>
        <v>0</v>
      </c>
      <c r="G82" s="159" t="str">
        <f t="shared" si="5"/>
        <v>Desqualificado</v>
      </c>
    </row>
    <row r="83" spans="2:7" ht="31.95" customHeight="1" x14ac:dyDescent="0.3">
      <c r="B83" s="37" t="s">
        <v>754</v>
      </c>
      <c r="C83" s="160"/>
      <c r="D83" s="160">
        <f>REL_LIBERADAS!E82*10</f>
        <v>0</v>
      </c>
      <c r="E83" s="160">
        <f>REL_LIBERADAS!G82*10</f>
        <v>0</v>
      </c>
      <c r="F83" s="160">
        <f t="shared" si="6"/>
        <v>0</v>
      </c>
      <c r="G83" s="159" t="str">
        <f t="shared" si="5"/>
        <v>Desqualificado</v>
      </c>
    </row>
    <row r="84" spans="2:7" ht="31.95" customHeight="1" x14ac:dyDescent="0.3">
      <c r="B84" s="37" t="s">
        <v>762</v>
      </c>
      <c r="C84" s="160"/>
      <c r="D84" s="160">
        <f>REL_LIBERADAS!E83*10</f>
        <v>5</v>
      </c>
      <c r="E84" s="160">
        <f>REL_LIBERADAS!G83*10</f>
        <v>5</v>
      </c>
      <c r="F84" s="160">
        <f t="shared" si="6"/>
        <v>5</v>
      </c>
      <c r="G84" s="159" t="str">
        <f t="shared" si="5"/>
        <v>Não recomendado</v>
      </c>
    </row>
    <row r="85" spans="2:7" ht="31.95" customHeight="1" x14ac:dyDescent="0.3">
      <c r="B85" s="37" t="s">
        <v>767</v>
      </c>
      <c r="C85" s="160"/>
      <c r="D85" s="160">
        <f>REL_LIBERADAS!E84*10</f>
        <v>10</v>
      </c>
      <c r="E85" s="160">
        <f>REL_LIBERADAS!G84*10</f>
        <v>10</v>
      </c>
      <c r="F85" s="160">
        <f t="shared" si="6"/>
        <v>10</v>
      </c>
      <c r="G85" s="159" t="str">
        <f t="shared" si="5"/>
        <v>Qualificado</v>
      </c>
    </row>
    <row r="86" spans="2:7" ht="31.95" customHeight="1" x14ac:dyDescent="0.3">
      <c r="B86" s="37" t="s">
        <v>773</v>
      </c>
      <c r="C86" s="160"/>
      <c r="D86" s="160">
        <f>REL_LIBERADAS!E85*10</f>
        <v>10</v>
      </c>
      <c r="E86" s="160">
        <f>REL_LIBERADAS!G85*10</f>
        <v>5</v>
      </c>
      <c r="F86" s="160">
        <f t="shared" si="6"/>
        <v>7.5</v>
      </c>
      <c r="G86" s="159" t="str">
        <f t="shared" si="5"/>
        <v>Qualificado com restrição</v>
      </c>
    </row>
    <row r="87" spans="2:7" ht="31.95" customHeight="1" x14ac:dyDescent="0.3">
      <c r="B87" s="37" t="s">
        <v>778</v>
      </c>
      <c r="C87" s="160"/>
      <c r="D87" s="160">
        <f>REL_LIBERADAS!E86*10</f>
        <v>10</v>
      </c>
      <c r="E87" s="160">
        <f>REL_LIBERADAS!G86*10</f>
        <v>10</v>
      </c>
      <c r="F87" s="160">
        <f t="shared" si="6"/>
        <v>10</v>
      </c>
      <c r="G87" s="159" t="str">
        <f t="shared" si="5"/>
        <v>Qualificado</v>
      </c>
    </row>
    <row r="88" spans="2:7" ht="31.95" customHeight="1" x14ac:dyDescent="0.3">
      <c r="B88" s="37" t="s">
        <v>781</v>
      </c>
      <c r="C88" s="160"/>
      <c r="D88" s="160">
        <f>REL_LIBERADAS!E87*10</f>
        <v>10</v>
      </c>
      <c r="E88" s="160">
        <f>REL_LIBERADAS!G87*10</f>
        <v>10</v>
      </c>
      <c r="F88" s="160">
        <f t="shared" si="6"/>
        <v>10</v>
      </c>
      <c r="G88" s="159" t="str">
        <f t="shared" si="5"/>
        <v>Qualificado</v>
      </c>
    </row>
    <row r="89" spans="2:7" ht="31.95" customHeight="1" x14ac:dyDescent="0.3">
      <c r="B89" s="37" t="s">
        <v>784</v>
      </c>
      <c r="C89" s="160"/>
      <c r="D89" s="160">
        <f>REL_LIBERADAS!E88*10</f>
        <v>10</v>
      </c>
      <c r="E89" s="160">
        <f>REL_LIBERADAS!G88*10</f>
        <v>10</v>
      </c>
      <c r="F89" s="160">
        <f t="shared" si="6"/>
        <v>10</v>
      </c>
      <c r="G89" s="159" t="str">
        <f t="shared" si="5"/>
        <v>Qualificado</v>
      </c>
    </row>
    <row r="90" spans="2:7" ht="31.95" customHeight="1" x14ac:dyDescent="0.3">
      <c r="B90" s="37" t="s">
        <v>791</v>
      </c>
      <c r="C90" s="160"/>
      <c r="D90" s="160">
        <f>REL_LIBERADAS!E89*10</f>
        <v>0</v>
      </c>
      <c r="E90" s="160">
        <f>REL_LIBERADAS!G89*10</f>
        <v>0</v>
      </c>
      <c r="F90" s="160">
        <f t="shared" si="6"/>
        <v>0</v>
      </c>
      <c r="G90" s="159" t="str">
        <f t="shared" si="5"/>
        <v>Desqualificado</v>
      </c>
    </row>
    <row r="91" spans="2:7" ht="31.95" customHeight="1" x14ac:dyDescent="0.3">
      <c r="B91" s="37" t="s">
        <v>796</v>
      </c>
      <c r="C91" s="160"/>
      <c r="D91" s="160">
        <f>REL_LIBERADAS!E90*10</f>
        <v>0</v>
      </c>
      <c r="E91" s="160">
        <f>REL_LIBERADAS!G90*10</f>
        <v>0</v>
      </c>
      <c r="F91" s="160">
        <f t="shared" si="6"/>
        <v>0</v>
      </c>
      <c r="G91" s="159" t="str">
        <f t="shared" si="5"/>
        <v>Desqualificado</v>
      </c>
    </row>
    <row r="92" spans="2:7" ht="31.95" customHeight="1" x14ac:dyDescent="0.3">
      <c r="B92" s="37" t="s">
        <v>803</v>
      </c>
      <c r="C92" s="160"/>
      <c r="D92" s="160">
        <f>REL_LIBERADAS!E91*10</f>
        <v>0</v>
      </c>
      <c r="E92" s="160">
        <f>REL_LIBERADAS!G91*10</f>
        <v>0</v>
      </c>
      <c r="F92" s="160">
        <f t="shared" si="6"/>
        <v>0</v>
      </c>
      <c r="G92" s="159" t="str">
        <f t="shared" si="5"/>
        <v>Desqualificado</v>
      </c>
    </row>
    <row r="93" spans="2:7" ht="31.95" customHeight="1" x14ac:dyDescent="0.3">
      <c r="B93" s="37" t="s">
        <v>807</v>
      </c>
      <c r="C93" s="160"/>
      <c r="D93" s="160">
        <f>REL_LIBERADAS!E92*10</f>
        <v>10</v>
      </c>
      <c r="E93" s="160">
        <f>REL_LIBERADAS!G92*10</f>
        <v>10</v>
      </c>
      <c r="F93" s="160">
        <f t="shared" si="6"/>
        <v>10</v>
      </c>
      <c r="G93" s="159" t="str">
        <f t="shared" si="5"/>
        <v>Qualificado</v>
      </c>
    </row>
    <row r="94" spans="2:7" ht="31.95" customHeight="1" x14ac:dyDescent="0.3">
      <c r="B94" s="37" t="s">
        <v>816</v>
      </c>
      <c r="C94" s="160"/>
      <c r="D94" s="160">
        <f>REL_LIBERADAS!E93*10</f>
        <v>0</v>
      </c>
      <c r="E94" s="160">
        <f>REL_LIBERADAS!G93*10</f>
        <v>0</v>
      </c>
      <c r="F94" s="160">
        <f t="shared" si="6"/>
        <v>0</v>
      </c>
      <c r="G94" s="159" t="str">
        <f t="shared" si="5"/>
        <v>Desqualificado</v>
      </c>
    </row>
    <row r="95" spans="2:7" ht="31.95" customHeight="1" x14ac:dyDescent="0.3">
      <c r="B95" s="37" t="s">
        <v>822</v>
      </c>
      <c r="C95" s="160"/>
      <c r="D95" s="160">
        <f>REL_LIBERADAS!E94*10</f>
        <v>8.125</v>
      </c>
      <c r="E95" s="160">
        <f>REL_LIBERADAS!G94*10</f>
        <v>6.875</v>
      </c>
      <c r="F95" s="160">
        <f t="shared" si="6"/>
        <v>7.5</v>
      </c>
      <c r="G95" s="159" t="str">
        <f t="shared" si="5"/>
        <v>Qualificado com restrição</v>
      </c>
    </row>
    <row r="96" spans="2:7" ht="31.95" customHeight="1" x14ac:dyDescent="0.3">
      <c r="B96" s="37" t="s">
        <v>829</v>
      </c>
      <c r="C96" s="160"/>
      <c r="D96" s="160">
        <f>REL_LIBERADAS!E95*10</f>
        <v>10</v>
      </c>
      <c r="E96" s="160">
        <f>REL_LIBERADAS!G95*10</f>
        <v>10</v>
      </c>
      <c r="F96" s="160">
        <f t="shared" si="6"/>
        <v>10</v>
      </c>
      <c r="G96" s="159" t="str">
        <f t="shared" si="5"/>
        <v>Qualificado</v>
      </c>
    </row>
    <row r="97" spans="2:7" ht="31.95" customHeight="1" x14ac:dyDescent="0.3">
      <c r="B97" s="37" t="s">
        <v>838</v>
      </c>
      <c r="C97" s="160"/>
      <c r="D97" s="160">
        <f>REL_LIBERADAS!E96*10</f>
        <v>10</v>
      </c>
      <c r="E97" s="160">
        <f>REL_LIBERADAS!G96*10</f>
        <v>10</v>
      </c>
      <c r="F97" s="160">
        <f t="shared" si="6"/>
        <v>10</v>
      </c>
      <c r="G97" s="159" t="str">
        <f t="shared" si="5"/>
        <v>Qualificado</v>
      </c>
    </row>
    <row r="98" spans="2:7" ht="31.95" customHeight="1" x14ac:dyDescent="0.3">
      <c r="B98" s="37" t="s">
        <v>844</v>
      </c>
      <c r="C98" s="160"/>
      <c r="D98" s="160">
        <f>REL_LIBERADAS!E97*10</f>
        <v>0</v>
      </c>
      <c r="E98" s="160">
        <f>REL_LIBERADAS!G97*10</f>
        <v>0</v>
      </c>
      <c r="F98" s="160">
        <f t="shared" si="6"/>
        <v>0</v>
      </c>
      <c r="G98" s="159" t="str">
        <f t="shared" si="5"/>
        <v>Desqualificado</v>
      </c>
    </row>
    <row r="99" spans="2:7" ht="31.95" customHeight="1" x14ac:dyDescent="0.3">
      <c r="B99" s="37" t="s">
        <v>1552</v>
      </c>
      <c r="C99" s="160"/>
      <c r="D99" s="160">
        <f>REL_LIBERADAS!E98*10</f>
        <v>10</v>
      </c>
      <c r="E99" s="160">
        <f>REL_LIBERADAS!G98*10</f>
        <v>10</v>
      </c>
      <c r="F99" s="160">
        <f t="shared" si="6"/>
        <v>10</v>
      </c>
      <c r="G99" s="159" t="str">
        <f t="shared" si="5"/>
        <v>Qualificado</v>
      </c>
    </row>
    <row r="100" spans="2:7" ht="31.95" customHeight="1" x14ac:dyDescent="0.3">
      <c r="B100" s="37" t="s">
        <v>853</v>
      </c>
      <c r="C100" s="160"/>
      <c r="D100" s="160">
        <f>REL_LIBERADAS!E99*10</f>
        <v>10</v>
      </c>
      <c r="E100" s="160">
        <f>REL_LIBERADAS!G99*10</f>
        <v>10</v>
      </c>
      <c r="F100" s="160">
        <f t="shared" si="6"/>
        <v>10</v>
      </c>
      <c r="G100" s="159" t="str">
        <f t="shared" si="5"/>
        <v>Qualificado</v>
      </c>
    </row>
    <row r="101" spans="2:7" ht="31.95" customHeight="1" x14ac:dyDescent="0.3">
      <c r="B101" s="37" t="s">
        <v>858</v>
      </c>
      <c r="C101" s="160"/>
      <c r="D101" s="160">
        <f>REL_LIBERADAS!E100*10</f>
        <v>10</v>
      </c>
      <c r="E101" s="160">
        <f>REL_LIBERADAS!G100*10</f>
        <v>10</v>
      </c>
      <c r="F101" s="160">
        <f t="shared" si="6"/>
        <v>10</v>
      </c>
      <c r="G101" s="159" t="str">
        <f t="shared" si="5"/>
        <v>Qualificado</v>
      </c>
    </row>
    <row r="102" spans="2:7" ht="31.95" customHeight="1" x14ac:dyDescent="0.3">
      <c r="B102" s="37" t="s">
        <v>863</v>
      </c>
      <c r="C102" s="160"/>
      <c r="D102" s="160">
        <f>REL_LIBERADAS!E101*10</f>
        <v>10</v>
      </c>
      <c r="E102" s="160">
        <f>REL_LIBERADAS!G101*10</f>
        <v>10</v>
      </c>
      <c r="F102" s="160">
        <f t="shared" si="6"/>
        <v>10</v>
      </c>
      <c r="G102" s="159" t="str">
        <f t="shared" si="5"/>
        <v>Qualificado</v>
      </c>
    </row>
    <row r="103" spans="2:7" ht="31.95" customHeight="1" x14ac:dyDescent="0.3">
      <c r="B103" s="37" t="s">
        <v>871</v>
      </c>
      <c r="C103" s="160"/>
      <c r="D103" s="160">
        <f>REL_LIBERADAS!E102*10</f>
        <v>9.6296296296296298</v>
      </c>
      <c r="E103" s="160">
        <f>REL_LIBERADAS!G102*10</f>
        <v>9.6296296296296298</v>
      </c>
      <c r="F103" s="160">
        <f t="shared" si="6"/>
        <v>9.6296296296296298</v>
      </c>
      <c r="G103" s="159" t="str">
        <f t="shared" si="5"/>
        <v>Qualificado</v>
      </c>
    </row>
    <row r="104" spans="2:7" ht="31.95" customHeight="1" x14ac:dyDescent="0.3">
      <c r="B104" s="37" t="s">
        <v>879</v>
      </c>
      <c r="C104" s="160"/>
      <c r="D104" s="160">
        <f>REL_LIBERADAS!E103*10</f>
        <v>0</v>
      </c>
      <c r="E104" s="160">
        <f>REL_LIBERADAS!G103*10</f>
        <v>0</v>
      </c>
      <c r="F104" s="160">
        <f t="shared" si="6"/>
        <v>0</v>
      </c>
      <c r="G104" s="159" t="str">
        <f t="shared" si="5"/>
        <v>Desqualificado</v>
      </c>
    </row>
    <row r="105" spans="2:7" ht="31.95" customHeight="1" x14ac:dyDescent="0.3">
      <c r="B105" s="37" t="s">
        <v>885</v>
      </c>
      <c r="C105" s="160"/>
      <c r="D105" s="160">
        <f>REL_LIBERADAS!E104*10</f>
        <v>10</v>
      </c>
      <c r="E105" s="160">
        <f>REL_LIBERADAS!G104*10</f>
        <v>10</v>
      </c>
      <c r="F105" s="160">
        <f t="shared" si="6"/>
        <v>10</v>
      </c>
      <c r="G105" s="159" t="str">
        <f t="shared" ref="G105:G136" si="7">IF(F105&lt;=4,"Desqualificado",IF(AND(F105&gt;=4.1,F105&lt;6),"Não recomendado",IF(AND(F105&gt;=6.1,F105&lt;8),"Qualificado com restrição",IF(F105&gt;=8,"Qualificado",""))))</f>
        <v>Qualificado</v>
      </c>
    </row>
    <row r="106" spans="2:7" ht="31.95" customHeight="1" x14ac:dyDescent="0.3">
      <c r="B106" s="37" t="s">
        <v>890</v>
      </c>
      <c r="C106" s="160"/>
      <c r="D106" s="160">
        <f>REL_LIBERADAS!E105*10</f>
        <v>9.2617449664429525</v>
      </c>
      <c r="E106" s="160">
        <f>REL_LIBERADAS!G105*10</f>
        <v>9.1275167785234892</v>
      </c>
      <c r="F106" s="160">
        <f t="shared" si="6"/>
        <v>9.19463087248322</v>
      </c>
      <c r="G106" s="159" t="str">
        <f t="shared" si="7"/>
        <v>Qualificado</v>
      </c>
    </row>
    <row r="107" spans="2:7" ht="31.95" customHeight="1" x14ac:dyDescent="0.3">
      <c r="B107" s="37" t="s">
        <v>897</v>
      </c>
      <c r="C107" s="160"/>
      <c r="D107" s="160">
        <f>REL_LIBERADAS!E106*10</f>
        <v>10</v>
      </c>
      <c r="E107" s="160">
        <f>REL_LIBERADAS!G106*10</f>
        <v>10</v>
      </c>
      <c r="F107" s="160">
        <f t="shared" si="6"/>
        <v>10</v>
      </c>
      <c r="G107" s="159" t="str">
        <f t="shared" si="7"/>
        <v>Qualificado</v>
      </c>
    </row>
    <row r="108" spans="2:7" ht="31.95" customHeight="1" x14ac:dyDescent="0.3">
      <c r="B108" s="37" t="s">
        <v>902</v>
      </c>
      <c r="C108" s="160"/>
      <c r="D108" s="160">
        <f>REL_LIBERADAS!E107*10</f>
        <v>0</v>
      </c>
      <c r="E108" s="160">
        <f>REL_LIBERADAS!G107*10</f>
        <v>0</v>
      </c>
      <c r="F108" s="160">
        <f t="shared" si="6"/>
        <v>0</v>
      </c>
      <c r="G108" s="159" t="str">
        <f t="shared" si="7"/>
        <v>Desqualificado</v>
      </c>
    </row>
    <row r="109" spans="2:7" ht="31.95" customHeight="1" x14ac:dyDescent="0.3">
      <c r="B109" s="37" t="s">
        <v>908</v>
      </c>
      <c r="C109" s="160"/>
      <c r="D109" s="160">
        <f>REL_LIBERADAS!E108*10</f>
        <v>0</v>
      </c>
      <c r="E109" s="160">
        <f>REL_LIBERADAS!G108*10</f>
        <v>0</v>
      </c>
      <c r="F109" s="160">
        <f t="shared" si="6"/>
        <v>0</v>
      </c>
      <c r="G109" s="159" t="str">
        <f t="shared" si="7"/>
        <v>Desqualificado</v>
      </c>
    </row>
    <row r="110" spans="2:7" ht="31.95" customHeight="1" x14ac:dyDescent="0.3">
      <c r="B110" s="37" t="s">
        <v>915</v>
      </c>
      <c r="C110" s="160"/>
      <c r="D110" s="160">
        <f>REL_LIBERADAS!E109*10</f>
        <v>10</v>
      </c>
      <c r="E110" s="160">
        <f>REL_LIBERADAS!G109*10</f>
        <v>8.5714285714285712</v>
      </c>
      <c r="F110" s="160">
        <f t="shared" si="6"/>
        <v>9.2857142857142847</v>
      </c>
      <c r="G110" s="159" t="str">
        <f t="shared" si="7"/>
        <v>Qualificado</v>
      </c>
    </row>
    <row r="111" spans="2:7" ht="31.95" customHeight="1" x14ac:dyDescent="0.3">
      <c r="B111" s="37" t="s">
        <v>922</v>
      </c>
      <c r="C111" s="160"/>
      <c r="D111" s="160">
        <f>REL_LIBERADAS!E110*10</f>
        <v>0</v>
      </c>
      <c r="E111" s="160">
        <f>REL_LIBERADAS!G110*10</f>
        <v>0</v>
      </c>
      <c r="F111" s="160">
        <f t="shared" ref="F111:F142" si="8">IF(D111=0,C111,AVERAGE(C111:E111))</f>
        <v>0</v>
      </c>
      <c r="G111" s="159" t="str">
        <f t="shared" si="7"/>
        <v>Desqualificado</v>
      </c>
    </row>
    <row r="112" spans="2:7" ht="31.95" customHeight="1" x14ac:dyDescent="0.3">
      <c r="B112" s="37" t="s">
        <v>1232</v>
      </c>
      <c r="C112" s="160"/>
      <c r="D112" s="160">
        <f>REL_LIBERADAS!E159*10</f>
        <v>10</v>
      </c>
      <c r="E112" s="160">
        <f>REL_LIBERADAS!G159*10</f>
        <v>10</v>
      </c>
      <c r="F112" s="160">
        <f t="shared" si="8"/>
        <v>10</v>
      </c>
      <c r="G112" s="159" t="str">
        <f t="shared" si="7"/>
        <v>Qualificado</v>
      </c>
    </row>
    <row r="113" spans="2:7" ht="31.95" customHeight="1" x14ac:dyDescent="0.3">
      <c r="B113" s="37" t="s">
        <v>928</v>
      </c>
      <c r="C113" s="160"/>
      <c r="D113" s="160">
        <f>REL_LIBERADAS!E111*10</f>
        <v>10</v>
      </c>
      <c r="E113" s="160">
        <f>REL_LIBERADAS!G111*10</f>
        <v>10</v>
      </c>
      <c r="F113" s="160">
        <f t="shared" si="8"/>
        <v>10</v>
      </c>
      <c r="G113" s="159" t="str">
        <f t="shared" si="7"/>
        <v>Qualificado</v>
      </c>
    </row>
    <row r="114" spans="2:7" ht="31.95" customHeight="1" x14ac:dyDescent="0.3">
      <c r="B114" s="37" t="s">
        <v>1390</v>
      </c>
      <c r="C114" s="160"/>
      <c r="D114" s="160">
        <f>REL_LIBERADAS!E112*10</f>
        <v>10</v>
      </c>
      <c r="E114" s="160">
        <f>REL_LIBERADAS!G112*10</f>
        <v>10</v>
      </c>
      <c r="F114" s="160">
        <f t="shared" si="8"/>
        <v>10</v>
      </c>
      <c r="G114" s="159" t="str">
        <f t="shared" si="7"/>
        <v>Qualificado</v>
      </c>
    </row>
    <row r="115" spans="2:7" ht="31.95" customHeight="1" x14ac:dyDescent="0.3">
      <c r="B115" s="37" t="s">
        <v>933</v>
      </c>
      <c r="C115" s="160"/>
      <c r="D115" s="160">
        <f>REL_LIBERADAS!E113*10</f>
        <v>0</v>
      </c>
      <c r="E115" s="160">
        <f>REL_LIBERADAS!G113*10</f>
        <v>0</v>
      </c>
      <c r="F115" s="160">
        <f t="shared" si="8"/>
        <v>0</v>
      </c>
      <c r="G115" s="159" t="str">
        <f t="shared" si="7"/>
        <v>Desqualificado</v>
      </c>
    </row>
    <row r="116" spans="2:7" ht="31.95" customHeight="1" x14ac:dyDescent="0.3">
      <c r="B116" s="37" t="s">
        <v>939</v>
      </c>
      <c r="C116" s="160"/>
      <c r="D116" s="160">
        <f>REL_LIBERADAS!E114*10</f>
        <v>10</v>
      </c>
      <c r="E116" s="160">
        <f>REL_LIBERADAS!G114*10</f>
        <v>10</v>
      </c>
      <c r="F116" s="160">
        <f t="shared" si="8"/>
        <v>10</v>
      </c>
      <c r="G116" s="159" t="str">
        <f t="shared" si="7"/>
        <v>Qualificado</v>
      </c>
    </row>
    <row r="117" spans="2:7" ht="31.95" customHeight="1" x14ac:dyDescent="0.3">
      <c r="B117" s="37" t="s">
        <v>945</v>
      </c>
      <c r="C117" s="160"/>
      <c r="D117" s="160">
        <f>REL_LIBERADAS!E115*10</f>
        <v>10</v>
      </c>
      <c r="E117" s="160">
        <f>REL_LIBERADAS!G115*10</f>
        <v>10</v>
      </c>
      <c r="F117" s="160">
        <f t="shared" si="8"/>
        <v>10</v>
      </c>
      <c r="G117" s="159" t="str">
        <f t="shared" si="7"/>
        <v>Qualificado</v>
      </c>
    </row>
    <row r="118" spans="2:7" ht="31.95" customHeight="1" x14ac:dyDescent="0.3">
      <c r="B118" s="37" t="s">
        <v>953</v>
      </c>
      <c r="C118" s="160"/>
      <c r="D118" s="160">
        <f>REL_LIBERADAS!E116*10</f>
        <v>7.5</v>
      </c>
      <c r="E118" s="160">
        <f>REL_LIBERADAS!G116*10</f>
        <v>7.5</v>
      </c>
      <c r="F118" s="160">
        <f t="shared" si="8"/>
        <v>7.5</v>
      </c>
      <c r="G118" s="159" t="str">
        <f t="shared" si="7"/>
        <v>Qualificado com restrição</v>
      </c>
    </row>
    <row r="119" spans="2:7" ht="31.95" customHeight="1" x14ac:dyDescent="0.3">
      <c r="B119" s="37" t="s">
        <v>959</v>
      </c>
      <c r="C119" s="160"/>
      <c r="D119" s="160">
        <f>REL_LIBERADAS!E117*10</f>
        <v>10</v>
      </c>
      <c r="E119" s="160">
        <f>REL_LIBERADAS!G117*10</f>
        <v>10</v>
      </c>
      <c r="F119" s="160">
        <f t="shared" si="8"/>
        <v>10</v>
      </c>
      <c r="G119" s="159" t="str">
        <f t="shared" si="7"/>
        <v>Qualificado</v>
      </c>
    </row>
    <row r="120" spans="2:7" ht="31.95" customHeight="1" x14ac:dyDescent="0.3">
      <c r="B120" s="37" t="s">
        <v>965</v>
      </c>
      <c r="C120" s="160"/>
      <c r="D120" s="160">
        <f>REL_LIBERADAS!E118*10</f>
        <v>10</v>
      </c>
      <c r="E120" s="160">
        <f>REL_LIBERADAS!G118*10</f>
        <v>10</v>
      </c>
      <c r="F120" s="160">
        <f t="shared" si="8"/>
        <v>10</v>
      </c>
      <c r="G120" s="159" t="str">
        <f t="shared" si="7"/>
        <v>Qualificado</v>
      </c>
    </row>
    <row r="121" spans="2:7" ht="31.95" customHeight="1" x14ac:dyDescent="0.3">
      <c r="B121" s="37" t="s">
        <v>971</v>
      </c>
      <c r="C121" s="160"/>
      <c r="D121" s="160">
        <f>REL_LIBERADAS!E119*10</f>
        <v>10</v>
      </c>
      <c r="E121" s="160">
        <f>REL_LIBERADAS!G119*10</f>
        <v>10</v>
      </c>
      <c r="F121" s="160">
        <f t="shared" si="8"/>
        <v>10</v>
      </c>
      <c r="G121" s="159" t="str">
        <f t="shared" si="7"/>
        <v>Qualificado</v>
      </c>
    </row>
    <row r="122" spans="2:7" ht="31.95" customHeight="1" x14ac:dyDescent="0.3">
      <c r="B122" s="37" t="s">
        <v>978</v>
      </c>
      <c r="C122" s="160"/>
      <c r="D122" s="160">
        <f>REL_LIBERADAS!E120*10</f>
        <v>9.3939393939393945</v>
      </c>
      <c r="E122" s="160">
        <f>REL_LIBERADAS!G120*10</f>
        <v>9.2424242424242422</v>
      </c>
      <c r="F122" s="160">
        <f t="shared" si="8"/>
        <v>9.3181818181818183</v>
      </c>
      <c r="G122" s="159" t="str">
        <f t="shared" si="7"/>
        <v>Qualificado</v>
      </c>
    </row>
    <row r="123" spans="2:7" ht="31.95" customHeight="1" x14ac:dyDescent="0.3">
      <c r="B123" s="37" t="s">
        <v>982</v>
      </c>
      <c r="C123" s="160"/>
      <c r="D123" s="160">
        <f>REL_LIBERADAS!E121*10</f>
        <v>10</v>
      </c>
      <c r="E123" s="160">
        <f>REL_LIBERADAS!G121*10</f>
        <v>10</v>
      </c>
      <c r="F123" s="160">
        <f t="shared" si="8"/>
        <v>10</v>
      </c>
      <c r="G123" s="159" t="str">
        <f t="shared" si="7"/>
        <v>Qualificado</v>
      </c>
    </row>
    <row r="124" spans="2:7" ht="31.95" customHeight="1" x14ac:dyDescent="0.3">
      <c r="B124" s="37" t="s">
        <v>988</v>
      </c>
      <c r="C124" s="160"/>
      <c r="D124" s="160">
        <f>REL_LIBERADAS!E122*10</f>
        <v>10</v>
      </c>
      <c r="E124" s="160">
        <f>REL_LIBERADAS!G122*10</f>
        <v>10</v>
      </c>
      <c r="F124" s="160">
        <f t="shared" si="8"/>
        <v>10</v>
      </c>
      <c r="G124" s="159" t="str">
        <f t="shared" si="7"/>
        <v>Qualificado</v>
      </c>
    </row>
    <row r="125" spans="2:7" ht="31.95" customHeight="1" x14ac:dyDescent="0.3">
      <c r="B125" s="37" t="s">
        <v>994</v>
      </c>
      <c r="C125" s="160"/>
      <c r="D125" s="160">
        <f>REL_LIBERADAS!E123*10</f>
        <v>10</v>
      </c>
      <c r="E125" s="160">
        <f>REL_LIBERADAS!G123*10</f>
        <v>10</v>
      </c>
      <c r="F125" s="160">
        <f t="shared" si="8"/>
        <v>10</v>
      </c>
      <c r="G125" s="159" t="str">
        <f t="shared" si="7"/>
        <v>Qualificado</v>
      </c>
    </row>
    <row r="126" spans="2:7" ht="31.95" customHeight="1" x14ac:dyDescent="0.3">
      <c r="B126" s="37" t="s">
        <v>1000</v>
      </c>
      <c r="C126" s="160"/>
      <c r="D126" s="160">
        <f>REL_LIBERADAS!E124*10</f>
        <v>10</v>
      </c>
      <c r="E126" s="160">
        <f>REL_LIBERADAS!G124*10</f>
        <v>10</v>
      </c>
      <c r="F126" s="160">
        <f t="shared" si="8"/>
        <v>10</v>
      </c>
      <c r="G126" s="159" t="str">
        <f t="shared" si="7"/>
        <v>Qualificado</v>
      </c>
    </row>
    <row r="127" spans="2:7" ht="31.95" customHeight="1" x14ac:dyDescent="0.3">
      <c r="B127" s="37" t="s">
        <v>1007</v>
      </c>
      <c r="C127" s="160"/>
      <c r="D127" s="160">
        <f>REL_LIBERADAS!E125*10</f>
        <v>10</v>
      </c>
      <c r="E127" s="160">
        <f>REL_LIBERADAS!G125*10</f>
        <v>10</v>
      </c>
      <c r="F127" s="160">
        <f t="shared" si="8"/>
        <v>10</v>
      </c>
      <c r="G127" s="159" t="str">
        <f t="shared" si="7"/>
        <v>Qualificado</v>
      </c>
    </row>
    <row r="128" spans="2:7" ht="31.95" customHeight="1" x14ac:dyDescent="0.3">
      <c r="B128" s="37" t="s">
        <v>1014</v>
      </c>
      <c r="C128" s="160">
        <v>9.44</v>
      </c>
      <c r="D128" s="160">
        <f>REL_LIBERADAS!E126*10</f>
        <v>10</v>
      </c>
      <c r="E128" s="160">
        <f>REL_LIBERADAS!G126*10</f>
        <v>10</v>
      </c>
      <c r="F128" s="160">
        <f t="shared" si="8"/>
        <v>9.8133333333333326</v>
      </c>
      <c r="G128" s="159" t="str">
        <f t="shared" si="7"/>
        <v>Qualificado</v>
      </c>
    </row>
    <row r="129" spans="2:7" ht="31.95" customHeight="1" x14ac:dyDescent="0.3">
      <c r="B129" s="37" t="s">
        <v>1021</v>
      </c>
      <c r="C129" s="160"/>
      <c r="D129" s="160">
        <f>REL_LIBERADAS!E127*10</f>
        <v>10</v>
      </c>
      <c r="E129" s="160">
        <f>REL_LIBERADAS!G127*10</f>
        <v>10</v>
      </c>
      <c r="F129" s="160">
        <f t="shared" si="8"/>
        <v>10</v>
      </c>
      <c r="G129" s="159" t="str">
        <f t="shared" si="7"/>
        <v>Qualificado</v>
      </c>
    </row>
    <row r="130" spans="2:7" ht="31.95" customHeight="1" x14ac:dyDescent="0.3">
      <c r="B130" s="37" t="s">
        <v>1028</v>
      </c>
      <c r="C130" s="160"/>
      <c r="D130" s="160">
        <f>REL_LIBERADAS!E128*10</f>
        <v>10</v>
      </c>
      <c r="E130" s="160">
        <f>REL_LIBERADAS!G128*10</f>
        <v>10</v>
      </c>
      <c r="F130" s="160">
        <f t="shared" si="8"/>
        <v>10</v>
      </c>
      <c r="G130" s="159" t="str">
        <f t="shared" si="7"/>
        <v>Qualificado</v>
      </c>
    </row>
    <row r="131" spans="2:7" ht="31.95" customHeight="1" x14ac:dyDescent="0.3">
      <c r="B131" s="37" t="s">
        <v>1034</v>
      </c>
      <c r="C131" s="160"/>
      <c r="D131" s="160">
        <f>REL_LIBERADAS!E129*10</f>
        <v>10</v>
      </c>
      <c r="E131" s="160">
        <f>REL_LIBERADAS!G129*10</f>
        <v>10</v>
      </c>
      <c r="F131" s="160">
        <f t="shared" si="8"/>
        <v>10</v>
      </c>
      <c r="G131" s="159" t="str">
        <f t="shared" si="7"/>
        <v>Qualificado</v>
      </c>
    </row>
    <row r="132" spans="2:7" ht="31.95" customHeight="1" x14ac:dyDescent="0.3">
      <c r="B132" s="37" t="s">
        <v>1041</v>
      </c>
      <c r="C132" s="160"/>
      <c r="D132" s="160">
        <f>REL_LIBERADAS!E130*10</f>
        <v>10</v>
      </c>
      <c r="E132" s="160">
        <f>REL_LIBERADAS!G130*10</f>
        <v>10</v>
      </c>
      <c r="F132" s="160">
        <f t="shared" si="8"/>
        <v>10</v>
      </c>
      <c r="G132" s="159" t="str">
        <f t="shared" si="7"/>
        <v>Qualificado</v>
      </c>
    </row>
    <row r="133" spans="2:7" ht="31.95" customHeight="1" x14ac:dyDescent="0.3">
      <c r="B133" s="37" t="s">
        <v>1049</v>
      </c>
      <c r="C133" s="160"/>
      <c r="D133" s="160">
        <f>REL_LIBERADAS!E131*10</f>
        <v>10</v>
      </c>
      <c r="E133" s="160">
        <f>REL_LIBERADAS!G131*10</f>
        <v>10</v>
      </c>
      <c r="F133" s="160">
        <f t="shared" si="8"/>
        <v>10</v>
      </c>
      <c r="G133" s="159" t="str">
        <f t="shared" si="7"/>
        <v>Qualificado</v>
      </c>
    </row>
    <row r="134" spans="2:7" ht="31.95" customHeight="1" x14ac:dyDescent="0.3">
      <c r="B134" s="37" t="s">
        <v>1054</v>
      </c>
      <c r="C134" s="160"/>
      <c r="D134" s="160">
        <f>REL_LIBERADAS!E132*10</f>
        <v>10</v>
      </c>
      <c r="E134" s="160">
        <f>REL_LIBERADAS!G132*10</f>
        <v>10</v>
      </c>
      <c r="F134" s="160">
        <f t="shared" si="8"/>
        <v>10</v>
      </c>
      <c r="G134" s="159" t="str">
        <f t="shared" si="7"/>
        <v>Qualificado</v>
      </c>
    </row>
    <row r="135" spans="2:7" ht="31.95" customHeight="1" x14ac:dyDescent="0.3">
      <c r="B135" s="37" t="s">
        <v>1060</v>
      </c>
      <c r="C135" s="160"/>
      <c r="D135" s="160">
        <f>REL_LIBERADAS!E133*10</f>
        <v>0</v>
      </c>
      <c r="E135" s="160">
        <f>REL_LIBERADAS!G133*10</f>
        <v>0</v>
      </c>
      <c r="F135" s="160">
        <f t="shared" si="8"/>
        <v>0</v>
      </c>
      <c r="G135" s="159" t="str">
        <f t="shared" si="7"/>
        <v>Desqualificado</v>
      </c>
    </row>
    <row r="136" spans="2:7" ht="31.95" customHeight="1" x14ac:dyDescent="0.3">
      <c r="B136" s="37" t="s">
        <v>1067</v>
      </c>
      <c r="C136" s="160"/>
      <c r="D136" s="160">
        <f>REL_LIBERADAS!E134*10</f>
        <v>10</v>
      </c>
      <c r="E136" s="160">
        <f>REL_LIBERADAS!G134*10</f>
        <v>10</v>
      </c>
      <c r="F136" s="160">
        <f t="shared" si="8"/>
        <v>10</v>
      </c>
      <c r="G136" s="159" t="str">
        <f t="shared" si="7"/>
        <v>Qualificado</v>
      </c>
    </row>
    <row r="137" spans="2:7" ht="31.95" customHeight="1" x14ac:dyDescent="0.3">
      <c r="B137" s="37" t="s">
        <v>1224</v>
      </c>
      <c r="C137" s="160"/>
      <c r="D137" s="160">
        <f>REL_LIBERADAS!E158*10</f>
        <v>10</v>
      </c>
      <c r="E137" s="160">
        <f>REL_LIBERADAS!G158*10</f>
        <v>10</v>
      </c>
      <c r="F137" s="160">
        <f t="shared" si="8"/>
        <v>10</v>
      </c>
      <c r="G137" s="159" t="str">
        <f t="shared" ref="G137:G160" si="9">IF(F137&lt;=4,"Desqualificado",IF(AND(F137&gt;=4.1,F137&lt;6),"Não recomendado",IF(AND(F137&gt;=6.1,F137&lt;8),"Qualificado com restrição",IF(F137&gt;=8,"Qualificado",""))))</f>
        <v>Qualificado</v>
      </c>
    </row>
    <row r="138" spans="2:7" ht="31.95" customHeight="1" x14ac:dyDescent="0.3">
      <c r="B138" s="37" t="s">
        <v>1071</v>
      </c>
      <c r="C138" s="160"/>
      <c r="D138" s="160">
        <f>REL_LIBERADAS!E135*10</f>
        <v>10</v>
      </c>
      <c r="E138" s="160">
        <f>REL_LIBERADAS!G135*10</f>
        <v>10</v>
      </c>
      <c r="F138" s="160">
        <f t="shared" si="8"/>
        <v>10</v>
      </c>
      <c r="G138" s="159" t="str">
        <f t="shared" si="9"/>
        <v>Qualificado</v>
      </c>
    </row>
    <row r="139" spans="2:7" ht="31.95" customHeight="1" x14ac:dyDescent="0.3">
      <c r="B139" s="37" t="s">
        <v>1079</v>
      </c>
      <c r="C139" s="160"/>
      <c r="D139" s="160">
        <f>REL_LIBERADAS!E136*10</f>
        <v>10</v>
      </c>
      <c r="E139" s="160">
        <f>REL_LIBERADAS!G136*10</f>
        <v>10</v>
      </c>
      <c r="F139" s="160">
        <f t="shared" si="8"/>
        <v>10</v>
      </c>
      <c r="G139" s="159" t="str">
        <f t="shared" si="9"/>
        <v>Qualificado</v>
      </c>
    </row>
    <row r="140" spans="2:7" ht="31.95" customHeight="1" x14ac:dyDescent="0.3">
      <c r="B140" s="37" t="s">
        <v>1382</v>
      </c>
      <c r="C140" s="160"/>
      <c r="D140" s="160">
        <f>REL_LIBERADAS!E137*10</f>
        <v>10</v>
      </c>
      <c r="E140" s="160">
        <f>REL_LIBERADAS!G137*10</f>
        <v>10</v>
      </c>
      <c r="F140" s="160">
        <f t="shared" si="8"/>
        <v>10</v>
      </c>
      <c r="G140" s="159" t="str">
        <f t="shared" si="9"/>
        <v>Qualificado</v>
      </c>
    </row>
    <row r="141" spans="2:7" ht="31.95" customHeight="1" x14ac:dyDescent="0.3">
      <c r="B141" s="37" t="s">
        <v>1086</v>
      </c>
      <c r="C141" s="160"/>
      <c r="D141" s="160">
        <f>REL_LIBERADAS!E138*10</f>
        <v>10</v>
      </c>
      <c r="E141" s="160">
        <f>REL_LIBERADAS!G138*10</f>
        <v>10</v>
      </c>
      <c r="F141" s="160">
        <f t="shared" si="8"/>
        <v>10</v>
      </c>
      <c r="G141" s="159" t="str">
        <f t="shared" si="9"/>
        <v>Qualificado</v>
      </c>
    </row>
    <row r="142" spans="2:7" ht="31.95" customHeight="1" x14ac:dyDescent="0.3">
      <c r="B142" s="37" t="s">
        <v>1092</v>
      </c>
      <c r="C142" s="160"/>
      <c r="D142" s="160">
        <f>REL_LIBERADAS!E139*10</f>
        <v>10</v>
      </c>
      <c r="E142" s="160">
        <f>REL_LIBERADAS!G139*10</f>
        <v>10</v>
      </c>
      <c r="F142" s="160">
        <f t="shared" si="8"/>
        <v>10</v>
      </c>
      <c r="G142" s="159" t="str">
        <f t="shared" si="9"/>
        <v>Qualificado</v>
      </c>
    </row>
    <row r="143" spans="2:7" ht="31.95" customHeight="1" x14ac:dyDescent="0.3">
      <c r="B143" s="37" t="s">
        <v>1100</v>
      </c>
      <c r="C143" s="160"/>
      <c r="D143" s="160">
        <f>REL_LIBERADAS!E140*10</f>
        <v>10</v>
      </c>
      <c r="E143" s="160">
        <f>REL_LIBERADAS!G140*10</f>
        <v>10</v>
      </c>
      <c r="F143" s="160">
        <f t="shared" ref="F143:F160" si="10">IF(D143=0,C143,AVERAGE(C143:E143))</f>
        <v>10</v>
      </c>
      <c r="G143" s="159" t="str">
        <f t="shared" si="9"/>
        <v>Qualificado</v>
      </c>
    </row>
    <row r="144" spans="2:7" ht="31.95" customHeight="1" x14ac:dyDescent="0.3">
      <c r="B144" s="37" t="s">
        <v>1108</v>
      </c>
      <c r="C144" s="160"/>
      <c r="D144" s="160">
        <f>REL_LIBERADAS!E141*10</f>
        <v>0</v>
      </c>
      <c r="E144" s="160">
        <f>REL_LIBERADAS!G141*10</f>
        <v>0</v>
      </c>
      <c r="F144" s="160">
        <f t="shared" si="10"/>
        <v>0</v>
      </c>
      <c r="G144" s="159" t="str">
        <f t="shared" si="9"/>
        <v>Desqualificado</v>
      </c>
    </row>
    <row r="145" spans="2:7" ht="31.95" customHeight="1" x14ac:dyDescent="0.3">
      <c r="B145" s="37" t="s">
        <v>1114</v>
      </c>
      <c r="C145" s="160"/>
      <c r="D145" s="160">
        <f>REL_LIBERADAS!E142*10</f>
        <v>10</v>
      </c>
      <c r="E145" s="160">
        <f>REL_LIBERADAS!G142*10</f>
        <v>10</v>
      </c>
      <c r="F145" s="160">
        <f t="shared" si="10"/>
        <v>10</v>
      </c>
      <c r="G145" s="159" t="str">
        <f t="shared" si="9"/>
        <v>Qualificado</v>
      </c>
    </row>
    <row r="146" spans="2:7" ht="31.95" customHeight="1" x14ac:dyDescent="0.3">
      <c r="B146" s="37" t="s">
        <v>1121</v>
      </c>
      <c r="C146" s="160"/>
      <c r="D146" s="160">
        <f>REL_LIBERADAS!E143*10</f>
        <v>9.4444444444444446</v>
      </c>
      <c r="E146" s="160">
        <f>REL_LIBERADAS!G143*10</f>
        <v>9.4444444444444446</v>
      </c>
      <c r="F146" s="160">
        <f t="shared" si="10"/>
        <v>9.4444444444444446</v>
      </c>
      <c r="G146" s="159" t="str">
        <f t="shared" si="9"/>
        <v>Qualificado</v>
      </c>
    </row>
    <row r="147" spans="2:7" ht="31.95" customHeight="1" x14ac:dyDescent="0.3">
      <c r="B147" s="37" t="s">
        <v>1128</v>
      </c>
      <c r="C147" s="160">
        <v>9.5</v>
      </c>
      <c r="D147" s="160">
        <f>REL_LIBERADAS!E144*10</f>
        <v>10</v>
      </c>
      <c r="E147" s="160">
        <f>REL_LIBERADAS!G144*10</f>
        <v>10</v>
      </c>
      <c r="F147" s="160">
        <f t="shared" si="10"/>
        <v>9.8333333333333339</v>
      </c>
      <c r="G147" s="159" t="str">
        <f t="shared" si="9"/>
        <v>Qualificado</v>
      </c>
    </row>
    <row r="148" spans="2:7" ht="31.95" customHeight="1" x14ac:dyDescent="0.3">
      <c r="B148" s="37" t="s">
        <v>1136</v>
      </c>
      <c r="C148" s="160"/>
      <c r="D148" s="160">
        <f>REL_LIBERADAS!E145*10</f>
        <v>0</v>
      </c>
      <c r="E148" s="160">
        <f>REL_LIBERADAS!G145*10</f>
        <v>0</v>
      </c>
      <c r="F148" s="160">
        <f t="shared" si="10"/>
        <v>0</v>
      </c>
      <c r="G148" s="159" t="str">
        <f t="shared" si="9"/>
        <v>Desqualificado</v>
      </c>
    </row>
    <row r="149" spans="2:7" ht="31.95" customHeight="1" x14ac:dyDescent="0.3">
      <c r="B149" s="37" t="s">
        <v>1143</v>
      </c>
      <c r="C149" s="160"/>
      <c r="D149" s="160">
        <f>REL_LIBERADAS!E146*10</f>
        <v>10</v>
      </c>
      <c r="E149" s="160">
        <f>REL_LIBERADAS!G146*10</f>
        <v>10</v>
      </c>
      <c r="F149" s="160">
        <f t="shared" si="10"/>
        <v>10</v>
      </c>
      <c r="G149" s="159" t="str">
        <f t="shared" si="9"/>
        <v>Qualificado</v>
      </c>
    </row>
    <row r="150" spans="2:7" ht="31.95" customHeight="1" x14ac:dyDescent="0.3">
      <c r="B150" s="37" t="s">
        <v>1150</v>
      </c>
      <c r="C150" s="160"/>
      <c r="D150" s="160">
        <f>REL_LIBERADAS!E147*10</f>
        <v>8.4905660377358494</v>
      </c>
      <c r="E150" s="160">
        <f>REL_LIBERADAS!G147*10</f>
        <v>7.9245283018867934</v>
      </c>
      <c r="F150" s="160">
        <f t="shared" si="10"/>
        <v>8.2075471698113205</v>
      </c>
      <c r="G150" s="159" t="str">
        <f t="shared" si="9"/>
        <v>Qualificado</v>
      </c>
    </row>
    <row r="151" spans="2:7" ht="31.95" customHeight="1" x14ac:dyDescent="0.3">
      <c r="B151" s="37" t="s">
        <v>1157</v>
      </c>
      <c r="C151" s="160"/>
      <c r="D151" s="160">
        <f>REL_LIBERADAS!E148*10</f>
        <v>0</v>
      </c>
      <c r="E151" s="160">
        <f>REL_LIBERADAS!G148*10</f>
        <v>0</v>
      </c>
      <c r="F151" s="160">
        <f t="shared" si="10"/>
        <v>0</v>
      </c>
      <c r="G151" s="159" t="str">
        <f t="shared" si="9"/>
        <v>Desqualificado</v>
      </c>
    </row>
    <row r="152" spans="2:7" ht="31.95" customHeight="1" x14ac:dyDescent="0.3">
      <c r="B152" s="37" t="s">
        <v>1163</v>
      </c>
      <c r="C152" s="160"/>
      <c r="D152" s="160">
        <f>REL_LIBERADAS!E149*10</f>
        <v>0</v>
      </c>
      <c r="E152" s="160">
        <f>REL_LIBERADAS!G149*10</f>
        <v>0</v>
      </c>
      <c r="F152" s="160">
        <f t="shared" si="10"/>
        <v>0</v>
      </c>
      <c r="G152" s="159" t="str">
        <f t="shared" si="9"/>
        <v>Desqualificado</v>
      </c>
    </row>
    <row r="153" spans="2:7" ht="31.95" customHeight="1" x14ac:dyDescent="0.3">
      <c r="B153" s="37" t="s">
        <v>1170</v>
      </c>
      <c r="C153" s="160"/>
      <c r="D153" s="160">
        <f>REL_LIBERADAS!E150*10</f>
        <v>0</v>
      </c>
      <c r="E153" s="160">
        <f>REL_LIBERADAS!G150*10</f>
        <v>0</v>
      </c>
      <c r="F153" s="160">
        <f t="shared" si="10"/>
        <v>0</v>
      </c>
      <c r="G153" s="159" t="str">
        <f t="shared" si="9"/>
        <v>Desqualificado</v>
      </c>
    </row>
    <row r="154" spans="2:7" ht="31.95" customHeight="1" x14ac:dyDescent="0.3">
      <c r="B154" s="37" t="s">
        <v>1178</v>
      </c>
      <c r="C154" s="160"/>
      <c r="D154" s="160">
        <f>REL_LIBERADAS!E151*10</f>
        <v>0</v>
      </c>
      <c r="E154" s="160">
        <f>REL_LIBERADAS!G151*10</f>
        <v>0</v>
      </c>
      <c r="F154" s="160">
        <f t="shared" si="10"/>
        <v>0</v>
      </c>
      <c r="G154" s="159" t="str">
        <f t="shared" si="9"/>
        <v>Desqualificado</v>
      </c>
    </row>
    <row r="155" spans="2:7" ht="31.95" customHeight="1" x14ac:dyDescent="0.3">
      <c r="B155" s="37" t="s">
        <v>1186</v>
      </c>
      <c r="C155" s="160"/>
      <c r="D155" s="160">
        <f>REL_LIBERADAS!E152*10</f>
        <v>0</v>
      </c>
      <c r="E155" s="160">
        <f>REL_LIBERADAS!G152*10</f>
        <v>0</v>
      </c>
      <c r="F155" s="160">
        <f t="shared" si="10"/>
        <v>0</v>
      </c>
      <c r="G155" s="159" t="str">
        <f t="shared" si="9"/>
        <v>Desqualificado</v>
      </c>
    </row>
    <row r="156" spans="2:7" ht="31.95" customHeight="1" x14ac:dyDescent="0.3">
      <c r="B156" s="37" t="s">
        <v>1193</v>
      </c>
      <c r="C156" s="160"/>
      <c r="D156" s="160">
        <f>REL_LIBERADAS!E153*10</f>
        <v>10</v>
      </c>
      <c r="E156" s="160">
        <f>REL_LIBERADAS!G153*10</f>
        <v>10</v>
      </c>
      <c r="F156" s="160">
        <f t="shared" si="10"/>
        <v>10</v>
      </c>
      <c r="G156" s="159" t="str">
        <f t="shared" si="9"/>
        <v>Qualificado</v>
      </c>
    </row>
    <row r="157" spans="2:7" ht="31.95" customHeight="1" x14ac:dyDescent="0.3">
      <c r="B157" s="37" t="s">
        <v>1200</v>
      </c>
      <c r="C157" s="160"/>
      <c r="D157" s="160">
        <f>REL_LIBERADAS!E154*10</f>
        <v>0</v>
      </c>
      <c r="E157" s="160">
        <f>REL_LIBERADAS!G154*10</f>
        <v>0</v>
      </c>
      <c r="F157" s="160">
        <f t="shared" si="10"/>
        <v>0</v>
      </c>
      <c r="G157" s="159" t="str">
        <f t="shared" si="9"/>
        <v>Desqualificado</v>
      </c>
    </row>
    <row r="158" spans="2:7" ht="31.95" customHeight="1" x14ac:dyDescent="0.3">
      <c r="B158" s="37" t="s">
        <v>1206</v>
      </c>
      <c r="C158" s="160"/>
      <c r="D158" s="160">
        <f>REL_LIBERADAS!E155*10</f>
        <v>10</v>
      </c>
      <c r="E158" s="160">
        <f>REL_LIBERADAS!G155*10</f>
        <v>10</v>
      </c>
      <c r="F158" s="160">
        <f t="shared" si="10"/>
        <v>10</v>
      </c>
      <c r="G158" s="159" t="str">
        <f t="shared" si="9"/>
        <v>Qualificado</v>
      </c>
    </row>
    <row r="159" spans="2:7" ht="31.95" customHeight="1" x14ac:dyDescent="0.3">
      <c r="B159" s="37" t="s">
        <v>1209</v>
      </c>
      <c r="C159" s="160"/>
      <c r="D159" s="160">
        <f>REL_LIBERADAS!E156*10</f>
        <v>10</v>
      </c>
      <c r="E159" s="160">
        <f>REL_LIBERADAS!G156*10</f>
        <v>10</v>
      </c>
      <c r="F159" s="160">
        <f t="shared" si="10"/>
        <v>10</v>
      </c>
      <c r="G159" s="159" t="str">
        <f t="shared" si="9"/>
        <v>Qualificado</v>
      </c>
    </row>
    <row r="160" spans="2:7" ht="31.95" customHeight="1" x14ac:dyDescent="0.3">
      <c r="B160" s="37" t="s">
        <v>1216</v>
      </c>
      <c r="C160" s="160"/>
      <c r="D160" s="160">
        <f>REL_LIBERADAS!E157*10</f>
        <v>10</v>
      </c>
      <c r="E160" s="160">
        <f>REL_LIBERADAS!G157*10</f>
        <v>10</v>
      </c>
      <c r="F160" s="160">
        <f t="shared" si="10"/>
        <v>10</v>
      </c>
      <c r="G160" s="159" t="str">
        <f t="shared" si="9"/>
        <v>Qualificado</v>
      </c>
    </row>
    <row r="161" spans="2:7" ht="31.95" customHeight="1" x14ac:dyDescent="0.3">
      <c r="B161" s="37"/>
      <c r="C161" s="160"/>
      <c r="D161" s="160"/>
      <c r="E161" s="160"/>
      <c r="F161" s="160"/>
      <c r="G161" s="159"/>
    </row>
    <row r="162" spans="2:7" ht="31.95" customHeight="1" x14ac:dyDescent="0.3">
      <c r="B162" s="37"/>
      <c r="C162" s="160"/>
      <c r="D162" s="160"/>
      <c r="E162" s="160"/>
      <c r="F162" s="160"/>
      <c r="G162" s="159"/>
    </row>
    <row r="163" spans="2:7" ht="31.95" customHeight="1" x14ac:dyDescent="0.3">
      <c r="B163" s="37"/>
      <c r="C163" s="160"/>
      <c r="D163" s="160"/>
      <c r="E163" s="160"/>
      <c r="F163" s="160"/>
      <c r="G163" s="159"/>
    </row>
    <row r="164" spans="2:7" ht="31.95" customHeight="1" x14ac:dyDescent="0.3">
      <c r="B164" s="37"/>
      <c r="C164" s="160"/>
      <c r="D164" s="160"/>
      <c r="E164" s="160"/>
      <c r="F164" s="160"/>
      <c r="G164" s="159"/>
    </row>
    <row r="165" spans="2:7" ht="31.95" customHeight="1" x14ac:dyDescent="0.3">
      <c r="B165" s="37"/>
      <c r="C165" s="160"/>
      <c r="D165" s="160"/>
      <c r="E165" s="160"/>
      <c r="F165" s="160"/>
      <c r="G165" s="159"/>
    </row>
    <row r="166" spans="2:7" ht="31.95" customHeight="1" x14ac:dyDescent="0.3">
      <c r="B166" s="37"/>
      <c r="C166" s="160"/>
      <c r="D166" s="160"/>
      <c r="E166" s="160"/>
      <c r="F166" s="160"/>
      <c r="G166" s="159"/>
    </row>
    <row r="167" spans="2:7" ht="31.95" customHeight="1" x14ac:dyDescent="0.3">
      <c r="B167" s="37"/>
      <c r="C167" s="160"/>
      <c r="D167" s="160"/>
      <c r="E167" s="160"/>
      <c r="F167" s="160"/>
      <c r="G167" s="159"/>
    </row>
    <row r="168" spans="2:7" ht="31.95" customHeight="1" x14ac:dyDescent="0.3">
      <c r="B168" s="37"/>
      <c r="C168" s="160"/>
      <c r="D168" s="160"/>
      <c r="E168" s="160"/>
      <c r="F168" s="160"/>
      <c r="G168" s="159"/>
    </row>
    <row r="169" spans="2:7" ht="31.95" customHeight="1" x14ac:dyDescent="0.3">
      <c r="B169" s="37"/>
      <c r="C169" s="160"/>
      <c r="D169" s="160"/>
      <c r="E169" s="160"/>
      <c r="F169" s="160"/>
      <c r="G169" s="159"/>
    </row>
    <row r="170" spans="2:7" ht="31.95" customHeight="1" x14ac:dyDescent="0.3">
      <c r="B170" s="37"/>
      <c r="C170" s="160"/>
      <c r="D170" s="160"/>
      <c r="E170" s="160"/>
      <c r="F170" s="160"/>
      <c r="G170" s="159"/>
    </row>
    <row r="171" spans="2:7" ht="31.95" customHeight="1" x14ac:dyDescent="0.3">
      <c r="B171" s="37"/>
      <c r="C171" s="160"/>
      <c r="D171" s="160"/>
      <c r="E171" s="160"/>
      <c r="F171" s="160"/>
      <c r="G171" s="159"/>
    </row>
    <row r="172" spans="2:7" ht="31.95" customHeight="1" x14ac:dyDescent="0.3">
      <c r="B172" s="37"/>
      <c r="C172" s="160"/>
      <c r="D172" s="160"/>
      <c r="E172" s="160"/>
      <c r="F172" s="160"/>
      <c r="G172" s="159"/>
    </row>
    <row r="173" spans="2:7" ht="31.95" customHeight="1" x14ac:dyDescent="0.3">
      <c r="B173" s="37"/>
      <c r="C173" s="160"/>
      <c r="D173" s="160"/>
      <c r="E173" s="160"/>
      <c r="F173" s="160"/>
      <c r="G173" s="159"/>
    </row>
    <row r="174" spans="2:7" ht="31.95" customHeight="1" x14ac:dyDescent="0.3">
      <c r="B174" s="37"/>
      <c r="C174" s="160"/>
      <c r="D174" s="160"/>
      <c r="E174" s="160"/>
      <c r="F174" s="160"/>
      <c r="G174" s="159"/>
    </row>
    <row r="175" spans="2:7" ht="31.95" customHeight="1" x14ac:dyDescent="0.3">
      <c r="B175" s="37"/>
      <c r="C175" s="160"/>
      <c r="D175" s="160"/>
      <c r="E175" s="160"/>
      <c r="F175" s="160"/>
      <c r="G175" s="159"/>
    </row>
    <row r="176" spans="2:7" ht="31.95" customHeight="1" x14ac:dyDescent="0.3">
      <c r="B176" s="37"/>
      <c r="C176" s="160"/>
      <c r="D176" s="160"/>
      <c r="E176" s="160"/>
      <c r="F176" s="160"/>
      <c r="G176" s="159"/>
    </row>
    <row r="177" spans="2:7" ht="31.95" customHeight="1" x14ac:dyDescent="0.3">
      <c r="B177" s="37"/>
      <c r="C177" s="160"/>
      <c r="D177" s="160"/>
      <c r="E177" s="160"/>
      <c r="F177" s="160"/>
      <c r="G177" s="159"/>
    </row>
    <row r="178" spans="2:7" ht="31.95" customHeight="1" x14ac:dyDescent="0.3">
      <c r="B178" s="37"/>
      <c r="C178" s="160"/>
      <c r="D178" s="160"/>
      <c r="E178" s="160"/>
      <c r="F178" s="160"/>
      <c r="G178" s="159"/>
    </row>
    <row r="179" spans="2:7" ht="31.95" customHeight="1" x14ac:dyDescent="0.3">
      <c r="B179" s="37"/>
      <c r="C179" s="160"/>
      <c r="D179" s="160"/>
      <c r="E179" s="160"/>
      <c r="F179" s="160"/>
      <c r="G179" s="159"/>
    </row>
    <row r="180" spans="2:7" ht="31.95" customHeight="1" x14ac:dyDescent="0.3">
      <c r="B180" s="37"/>
      <c r="C180" s="160"/>
      <c r="D180" s="160"/>
      <c r="E180" s="160"/>
      <c r="F180" s="160"/>
      <c r="G180" s="159"/>
    </row>
    <row r="181" spans="2:7" ht="31.95" customHeight="1" x14ac:dyDescent="0.3">
      <c r="B181" s="37"/>
      <c r="C181" s="160"/>
      <c r="D181" s="160"/>
      <c r="E181" s="160"/>
      <c r="F181" s="160"/>
      <c r="G181" s="159"/>
    </row>
    <row r="182" spans="2:7" ht="31.95" customHeight="1" x14ac:dyDescent="0.3">
      <c r="B182" s="37"/>
      <c r="C182" s="160"/>
      <c r="D182" s="160"/>
      <c r="E182" s="160"/>
      <c r="F182" s="160"/>
      <c r="G182" s="159"/>
    </row>
    <row r="183" spans="2:7" ht="31.95" customHeight="1" x14ac:dyDescent="0.3">
      <c r="B183" s="37"/>
      <c r="C183" s="160"/>
      <c r="D183" s="160"/>
      <c r="E183" s="160"/>
      <c r="F183" s="160"/>
      <c r="G183" s="159"/>
    </row>
    <row r="184" spans="2:7" ht="31.95" customHeight="1" x14ac:dyDescent="0.3">
      <c r="B184" s="37"/>
      <c r="C184" s="160"/>
      <c r="D184" s="160"/>
      <c r="E184" s="160"/>
      <c r="F184" s="160"/>
      <c r="G184" s="159"/>
    </row>
    <row r="185" spans="2:7" ht="31.95" customHeight="1" x14ac:dyDescent="0.3">
      <c r="B185" s="37"/>
      <c r="C185" s="160"/>
      <c r="D185" s="160"/>
      <c r="E185" s="160"/>
      <c r="F185" s="160"/>
      <c r="G185" s="159"/>
    </row>
    <row r="186" spans="2:7" ht="31.95" customHeight="1" x14ac:dyDescent="0.3">
      <c r="B186" s="37"/>
      <c r="C186" s="160"/>
      <c r="D186" s="160"/>
      <c r="E186" s="160"/>
      <c r="F186" s="160"/>
      <c r="G186" s="159"/>
    </row>
    <row r="187" spans="2:7" ht="31.95" customHeight="1" x14ac:dyDescent="0.3">
      <c r="B187" s="37"/>
      <c r="C187" s="160"/>
      <c r="D187" s="160"/>
      <c r="E187" s="160"/>
      <c r="F187" s="160"/>
      <c r="G187" s="159"/>
    </row>
    <row r="188" spans="2:7" ht="31.95" customHeight="1" x14ac:dyDescent="0.3">
      <c r="B188" s="37"/>
      <c r="C188" s="160"/>
      <c r="D188" s="160"/>
      <c r="E188" s="160"/>
      <c r="F188" s="160"/>
      <c r="G188" s="159"/>
    </row>
    <row r="189" spans="2:7" ht="31.95" customHeight="1" x14ac:dyDescent="0.3">
      <c r="B189" s="37"/>
      <c r="C189" s="160"/>
      <c r="D189" s="160"/>
      <c r="E189" s="160"/>
      <c r="F189" s="160"/>
      <c r="G189" s="159"/>
    </row>
    <row r="190" spans="2:7" ht="31.95" customHeight="1" x14ac:dyDescent="0.3">
      <c r="B190" s="37"/>
      <c r="C190" s="160"/>
      <c r="D190" s="160"/>
      <c r="E190" s="160"/>
      <c r="F190" s="160"/>
      <c r="G190" s="159"/>
    </row>
    <row r="191" spans="2:7" ht="31.95" customHeight="1" x14ac:dyDescent="0.3">
      <c r="B191" s="37"/>
      <c r="C191" s="160"/>
      <c r="D191" s="160"/>
      <c r="E191" s="160"/>
      <c r="F191" s="160"/>
      <c r="G191" s="159"/>
    </row>
    <row r="192" spans="2:7" ht="31.95" customHeight="1" x14ac:dyDescent="0.3">
      <c r="B192" s="37"/>
      <c r="C192" s="160"/>
      <c r="D192" s="160"/>
      <c r="E192" s="160"/>
      <c r="F192" s="160"/>
      <c r="G192" s="159"/>
    </row>
    <row r="193" spans="2:7" ht="31.95" customHeight="1" x14ac:dyDescent="0.3">
      <c r="B193" s="37"/>
      <c r="C193" s="160"/>
      <c r="D193" s="160"/>
      <c r="E193" s="160"/>
      <c r="F193" s="160"/>
      <c r="G193" s="159"/>
    </row>
    <row r="194" spans="2:7" ht="31.95" customHeight="1" x14ac:dyDescent="0.3">
      <c r="B194" s="37"/>
      <c r="C194" s="160"/>
      <c r="D194" s="160"/>
      <c r="E194" s="160"/>
      <c r="F194" s="160"/>
      <c r="G194" s="159"/>
    </row>
    <row r="195" spans="2:7" ht="31.95" customHeight="1" x14ac:dyDescent="0.3">
      <c r="B195" s="37"/>
      <c r="C195" s="160"/>
      <c r="D195" s="160"/>
      <c r="E195" s="160"/>
      <c r="F195" s="160"/>
      <c r="G195" s="159"/>
    </row>
    <row r="196" spans="2:7" ht="31.95" customHeight="1" x14ac:dyDescent="0.3">
      <c r="B196" s="37"/>
      <c r="C196" s="160"/>
      <c r="D196" s="160"/>
      <c r="E196" s="160"/>
      <c r="F196" s="160"/>
      <c r="G196" s="159"/>
    </row>
    <row r="197" spans="2:7" ht="31.95" customHeight="1" x14ac:dyDescent="0.3">
      <c r="B197" s="37"/>
      <c r="C197" s="160"/>
      <c r="D197" s="160"/>
      <c r="E197" s="160"/>
      <c r="F197" s="160"/>
      <c r="G197" s="159"/>
    </row>
    <row r="198" spans="2:7" ht="31.95" customHeight="1" x14ac:dyDescent="0.3">
      <c r="B198" s="37"/>
      <c r="C198" s="160"/>
      <c r="D198" s="160"/>
      <c r="E198" s="160"/>
      <c r="F198" s="160"/>
      <c r="G198" s="159"/>
    </row>
    <row r="199" spans="2:7" ht="31.95" customHeight="1" x14ac:dyDescent="0.3">
      <c r="B199" s="37"/>
      <c r="C199" s="160"/>
      <c r="D199" s="160"/>
      <c r="E199" s="160"/>
      <c r="F199" s="160"/>
      <c r="G199" s="159"/>
    </row>
    <row r="200" spans="2:7" ht="31.95" customHeight="1" x14ac:dyDescent="0.3">
      <c r="B200" s="37"/>
      <c r="C200" s="160"/>
      <c r="D200" s="160"/>
      <c r="E200" s="160"/>
      <c r="F200" s="160"/>
      <c r="G200" s="159"/>
    </row>
    <row r="201" spans="2:7" ht="31.95" customHeight="1" x14ac:dyDescent="0.3">
      <c r="B201" s="37"/>
      <c r="C201" s="160"/>
      <c r="D201" s="160"/>
      <c r="E201" s="160"/>
      <c r="F201" s="160"/>
      <c r="G201" s="159"/>
    </row>
    <row r="202" spans="2:7" ht="31.95" customHeight="1" x14ac:dyDescent="0.3">
      <c r="B202" s="37"/>
      <c r="C202" s="160"/>
      <c r="D202" s="160"/>
      <c r="E202" s="160"/>
      <c r="F202" s="160"/>
      <c r="G202" s="159"/>
    </row>
    <row r="203" spans="2:7" ht="31.95" customHeight="1" x14ac:dyDescent="0.3">
      <c r="B203" s="37"/>
      <c r="C203" s="160"/>
      <c r="D203" s="160"/>
      <c r="E203" s="160"/>
      <c r="F203" s="160"/>
      <c r="G203" s="159"/>
    </row>
    <row r="204" spans="2:7" ht="31.95" customHeight="1" x14ac:dyDescent="0.3">
      <c r="B204" s="37"/>
      <c r="C204" s="160"/>
      <c r="D204" s="160"/>
      <c r="E204" s="160"/>
      <c r="F204" s="160"/>
      <c r="G204" s="159"/>
    </row>
    <row r="205" spans="2:7" ht="31.95" customHeight="1" x14ac:dyDescent="0.3">
      <c r="B205" s="37"/>
      <c r="C205" s="160"/>
      <c r="D205" s="160"/>
      <c r="E205" s="160"/>
      <c r="F205" s="160"/>
      <c r="G205" s="159"/>
    </row>
    <row r="206" spans="2:7" ht="31.95" customHeight="1" x14ac:dyDescent="0.3">
      <c r="B206" s="37"/>
      <c r="C206" s="160"/>
      <c r="D206" s="160"/>
      <c r="E206" s="160"/>
      <c r="F206" s="160"/>
      <c r="G206" s="159"/>
    </row>
    <row r="207" spans="2:7" ht="31.95" customHeight="1" x14ac:dyDescent="0.3">
      <c r="B207" s="37"/>
      <c r="C207" s="160"/>
      <c r="D207" s="160"/>
      <c r="E207" s="160"/>
      <c r="F207" s="160"/>
      <c r="G207" s="159"/>
    </row>
    <row r="208" spans="2:7" ht="31.95" customHeight="1" x14ac:dyDescent="0.3">
      <c r="B208" s="37"/>
      <c r="C208" s="160"/>
      <c r="D208" s="160"/>
      <c r="E208" s="160"/>
      <c r="F208" s="160"/>
      <c r="G208" s="159"/>
    </row>
    <row r="209" spans="2:7" ht="31.95" customHeight="1" x14ac:dyDescent="0.3">
      <c r="B209" s="37"/>
      <c r="C209" s="160"/>
      <c r="D209" s="160"/>
      <c r="E209" s="160"/>
      <c r="F209" s="160"/>
      <c r="G209" s="159"/>
    </row>
    <row r="210" spans="2:7" ht="31.95" customHeight="1" x14ac:dyDescent="0.3">
      <c r="B210" s="37"/>
      <c r="C210" s="160"/>
      <c r="D210" s="160"/>
      <c r="E210" s="160"/>
      <c r="F210" s="160"/>
      <c r="G210" s="159"/>
    </row>
    <row r="211" spans="2:7" ht="31.95" customHeight="1" x14ac:dyDescent="0.3">
      <c r="B211" s="37"/>
      <c r="C211" s="160"/>
      <c r="D211" s="160"/>
      <c r="E211" s="160"/>
      <c r="F211" s="160"/>
      <c r="G211" s="159"/>
    </row>
    <row r="212" spans="2:7" ht="31.95" customHeight="1" x14ac:dyDescent="0.3">
      <c r="B212" s="37"/>
      <c r="C212" s="160"/>
      <c r="D212" s="160"/>
      <c r="E212" s="160"/>
      <c r="F212" s="160"/>
      <c r="G212" s="159"/>
    </row>
    <row r="213" spans="2:7" ht="31.95" customHeight="1" x14ac:dyDescent="0.3">
      <c r="B213" s="37"/>
      <c r="C213" s="160"/>
      <c r="D213" s="160"/>
      <c r="E213" s="160"/>
      <c r="F213" s="160"/>
      <c r="G213" s="159"/>
    </row>
    <row r="214" spans="2:7" ht="31.95" customHeight="1" x14ac:dyDescent="0.3">
      <c r="B214" s="37"/>
      <c r="C214" s="160"/>
      <c r="D214" s="160"/>
      <c r="E214" s="160"/>
      <c r="F214" s="160"/>
      <c r="G214" s="159"/>
    </row>
    <row r="215" spans="2:7" ht="31.95" customHeight="1" x14ac:dyDescent="0.3">
      <c r="B215" s="37"/>
      <c r="C215" s="160"/>
      <c r="D215" s="160"/>
      <c r="E215" s="160"/>
      <c r="F215" s="160"/>
      <c r="G215" s="159"/>
    </row>
    <row r="216" spans="2:7" ht="31.95" customHeight="1" x14ac:dyDescent="0.3">
      <c r="B216" s="37"/>
      <c r="C216" s="160"/>
      <c r="D216" s="160"/>
      <c r="E216" s="160"/>
      <c r="F216" s="160"/>
      <c r="G216" s="159"/>
    </row>
    <row r="217" spans="2:7" ht="31.95" customHeight="1" x14ac:dyDescent="0.3">
      <c r="B217" s="37"/>
      <c r="C217" s="160"/>
      <c r="D217" s="160"/>
      <c r="E217" s="160"/>
      <c r="F217" s="160"/>
      <c r="G217" s="159"/>
    </row>
    <row r="218" spans="2:7" ht="31.95" customHeight="1" x14ac:dyDescent="0.3">
      <c r="B218" s="37"/>
      <c r="C218" s="160"/>
      <c r="D218" s="160"/>
      <c r="E218" s="160"/>
      <c r="F218" s="160"/>
      <c r="G218" s="159"/>
    </row>
    <row r="219" spans="2:7" ht="31.95" customHeight="1" x14ac:dyDescent="0.3">
      <c r="B219" s="37"/>
      <c r="C219" s="160"/>
      <c r="D219" s="160"/>
      <c r="E219" s="160"/>
      <c r="F219" s="160"/>
      <c r="G219" s="159"/>
    </row>
    <row r="220" spans="2:7" ht="31.95" customHeight="1" x14ac:dyDescent="0.3">
      <c r="B220" s="37"/>
      <c r="C220" s="160"/>
      <c r="D220" s="160"/>
      <c r="E220" s="160"/>
      <c r="F220" s="160"/>
      <c r="G220" s="159"/>
    </row>
    <row r="221" spans="2:7" ht="31.95" customHeight="1" x14ac:dyDescent="0.3">
      <c r="B221" s="37"/>
      <c r="C221" s="160"/>
      <c r="D221" s="160"/>
      <c r="E221" s="160"/>
      <c r="F221" s="160"/>
      <c r="G221" s="159"/>
    </row>
    <row r="222" spans="2:7" ht="31.95" customHeight="1" x14ac:dyDescent="0.3">
      <c r="B222" s="37"/>
      <c r="C222" s="160"/>
      <c r="D222" s="160"/>
      <c r="E222" s="160"/>
      <c r="F222" s="160"/>
      <c r="G222" s="159"/>
    </row>
    <row r="223" spans="2:7" ht="31.95" customHeight="1" x14ac:dyDescent="0.3">
      <c r="B223" s="37"/>
      <c r="C223" s="160"/>
      <c r="D223" s="160"/>
      <c r="E223" s="160"/>
      <c r="F223" s="160"/>
      <c r="G223" s="159"/>
    </row>
    <row r="224" spans="2:7" ht="31.95" customHeight="1" x14ac:dyDescent="0.3">
      <c r="B224" s="37"/>
      <c r="C224" s="160"/>
      <c r="D224" s="160"/>
      <c r="E224" s="160"/>
      <c r="F224" s="160"/>
      <c r="G224" s="159"/>
    </row>
    <row r="225" spans="2:7" ht="31.95" customHeight="1" x14ac:dyDescent="0.3">
      <c r="B225" s="37"/>
      <c r="C225" s="160"/>
      <c r="D225" s="160"/>
      <c r="E225" s="160"/>
      <c r="F225" s="160"/>
      <c r="G225" s="159"/>
    </row>
    <row r="226" spans="2:7" ht="31.95" customHeight="1" x14ac:dyDescent="0.3">
      <c r="B226" s="37"/>
      <c r="C226" s="160"/>
      <c r="D226" s="160"/>
      <c r="E226" s="160"/>
      <c r="F226" s="160"/>
      <c r="G226" s="159"/>
    </row>
    <row r="227" spans="2:7" ht="31.95" customHeight="1" x14ac:dyDescent="0.3">
      <c r="B227" s="37"/>
      <c r="C227" s="160"/>
      <c r="D227" s="160"/>
      <c r="E227" s="160"/>
      <c r="F227" s="160"/>
      <c r="G227" s="159"/>
    </row>
    <row r="228" spans="2:7" ht="31.95" customHeight="1" x14ac:dyDescent="0.3">
      <c r="B228" s="37"/>
      <c r="C228" s="160"/>
      <c r="D228" s="160"/>
      <c r="E228" s="160"/>
      <c r="F228" s="160"/>
      <c r="G228" s="159"/>
    </row>
    <row r="229" spans="2:7" ht="31.95" customHeight="1" x14ac:dyDescent="0.3">
      <c r="B229" s="37"/>
      <c r="C229" s="160"/>
      <c r="D229" s="160"/>
      <c r="E229" s="160"/>
      <c r="F229" s="160"/>
      <c r="G229" s="159"/>
    </row>
    <row r="230" spans="2:7" ht="31.95" customHeight="1" x14ac:dyDescent="0.3">
      <c r="B230" s="37"/>
      <c r="C230" s="160"/>
      <c r="D230" s="160"/>
      <c r="E230" s="160"/>
      <c r="F230" s="160"/>
      <c r="G230" s="159"/>
    </row>
    <row r="231" spans="2:7" ht="31.95" customHeight="1" x14ac:dyDescent="0.3">
      <c r="B231" s="37"/>
      <c r="C231" s="160"/>
      <c r="D231" s="160"/>
      <c r="E231" s="160"/>
      <c r="F231" s="160"/>
      <c r="G231" s="159"/>
    </row>
    <row r="232" spans="2:7" ht="31.95" customHeight="1" x14ac:dyDescent="0.3">
      <c r="B232" s="37"/>
      <c r="C232" s="160"/>
      <c r="D232" s="160"/>
      <c r="E232" s="160"/>
      <c r="F232" s="160"/>
      <c r="G232" s="159"/>
    </row>
    <row r="233" spans="2:7" ht="31.95" customHeight="1" x14ac:dyDescent="0.3">
      <c r="B233" s="37"/>
      <c r="C233" s="160"/>
      <c r="D233" s="160"/>
      <c r="E233" s="160"/>
      <c r="F233" s="160"/>
      <c r="G233" s="159"/>
    </row>
    <row r="234" spans="2:7" ht="31.95" customHeight="1" x14ac:dyDescent="0.3">
      <c r="B234" s="37"/>
      <c r="C234" s="160"/>
      <c r="D234" s="160"/>
      <c r="E234" s="160"/>
      <c r="F234" s="160"/>
      <c r="G234" s="159"/>
    </row>
    <row r="235" spans="2:7" ht="31.95" customHeight="1" x14ac:dyDescent="0.3">
      <c r="B235" s="37"/>
      <c r="C235" s="160"/>
      <c r="D235" s="160"/>
      <c r="E235" s="160"/>
      <c r="F235" s="160"/>
      <c r="G235" s="159"/>
    </row>
    <row r="236" spans="2:7" ht="31.95" customHeight="1" x14ac:dyDescent="0.3">
      <c r="B236" s="37"/>
      <c r="C236" s="160"/>
      <c r="D236" s="160"/>
      <c r="E236" s="160"/>
      <c r="F236" s="160"/>
      <c r="G236" s="159"/>
    </row>
    <row r="237" spans="2:7" ht="31.95" customHeight="1" x14ac:dyDescent="0.3">
      <c r="B237" s="37"/>
      <c r="C237" s="160"/>
      <c r="D237" s="160"/>
      <c r="E237" s="160"/>
      <c r="F237" s="160"/>
      <c r="G237" s="159"/>
    </row>
    <row r="238" spans="2:7" ht="31.95" customHeight="1" x14ac:dyDescent="0.3">
      <c r="B238" s="37"/>
      <c r="C238" s="160"/>
      <c r="D238" s="160"/>
      <c r="E238" s="160"/>
      <c r="F238" s="160"/>
      <c r="G238" s="159"/>
    </row>
    <row r="239" spans="2:7" ht="31.95" customHeight="1" x14ac:dyDescent="0.3">
      <c r="B239" s="37"/>
      <c r="C239" s="160"/>
      <c r="D239" s="160"/>
      <c r="E239" s="160"/>
      <c r="F239" s="160"/>
      <c r="G239" s="159"/>
    </row>
    <row r="240" spans="2:7" ht="31.95" customHeight="1" x14ac:dyDescent="0.3">
      <c r="B240" s="37"/>
      <c r="C240" s="160"/>
      <c r="D240" s="160"/>
      <c r="E240" s="160"/>
      <c r="F240" s="160"/>
      <c r="G240" s="159"/>
    </row>
    <row r="241" spans="2:7" ht="31.95" customHeight="1" x14ac:dyDescent="0.3">
      <c r="B241" s="37"/>
      <c r="C241" s="160"/>
      <c r="D241" s="160"/>
      <c r="E241" s="160"/>
      <c r="F241" s="160"/>
      <c r="G241" s="159"/>
    </row>
    <row r="242" spans="2:7" ht="31.95" customHeight="1" x14ac:dyDescent="0.3">
      <c r="B242" s="37"/>
      <c r="C242" s="160"/>
      <c r="D242" s="160"/>
      <c r="E242" s="160"/>
      <c r="F242" s="160"/>
      <c r="G242" s="159"/>
    </row>
    <row r="243" spans="2:7" ht="31.95" customHeight="1" x14ac:dyDescent="0.3">
      <c r="B243" s="37"/>
      <c r="C243" s="160"/>
      <c r="D243" s="160"/>
      <c r="E243" s="160"/>
      <c r="F243" s="160"/>
      <c r="G243" s="159"/>
    </row>
    <row r="244" spans="2:7" ht="31.95" customHeight="1" x14ac:dyDescent="0.3">
      <c r="B244" s="37"/>
      <c r="C244" s="160"/>
      <c r="D244" s="160"/>
      <c r="E244" s="160"/>
      <c r="F244" s="160"/>
      <c r="G244" s="159"/>
    </row>
    <row r="245" spans="2:7" ht="31.95" customHeight="1" x14ac:dyDescent="0.3">
      <c r="B245" s="37"/>
      <c r="C245" s="160"/>
      <c r="D245" s="160"/>
      <c r="E245" s="160"/>
      <c r="F245" s="160"/>
      <c r="G245" s="159"/>
    </row>
    <row r="246" spans="2:7" ht="31.95" customHeight="1" x14ac:dyDescent="0.3">
      <c r="B246" s="37"/>
      <c r="C246" s="160"/>
      <c r="D246" s="160"/>
      <c r="E246" s="160"/>
      <c r="F246" s="160"/>
      <c r="G246" s="159"/>
    </row>
    <row r="247" spans="2:7" ht="31.95" customHeight="1" x14ac:dyDescent="0.3">
      <c r="B247" s="37"/>
      <c r="C247" s="160"/>
      <c r="D247" s="160"/>
      <c r="E247" s="160"/>
      <c r="F247" s="160"/>
      <c r="G247" s="159"/>
    </row>
    <row r="248" spans="2:7" ht="31.95" customHeight="1" x14ac:dyDescent="0.3">
      <c r="B248" s="37"/>
      <c r="C248" s="160"/>
      <c r="D248" s="160"/>
      <c r="E248" s="160"/>
      <c r="F248" s="160"/>
      <c r="G248" s="159"/>
    </row>
    <row r="249" spans="2:7" ht="31.95" customHeight="1" x14ac:dyDescent="0.3">
      <c r="B249" s="37"/>
      <c r="C249" s="160"/>
      <c r="D249" s="160"/>
      <c r="E249" s="160"/>
      <c r="F249" s="160"/>
      <c r="G249" s="159"/>
    </row>
    <row r="250" spans="2:7" ht="31.95" customHeight="1" x14ac:dyDescent="0.3">
      <c r="B250" s="37"/>
      <c r="C250" s="160"/>
      <c r="D250" s="160"/>
      <c r="E250" s="160"/>
      <c r="F250" s="160"/>
      <c r="G250" s="159"/>
    </row>
    <row r="251" spans="2:7" ht="31.95" customHeight="1" x14ac:dyDescent="0.3">
      <c r="B251" s="37"/>
      <c r="C251" s="160"/>
      <c r="D251" s="160"/>
      <c r="E251" s="160"/>
      <c r="F251" s="160"/>
      <c r="G251" s="159"/>
    </row>
  </sheetData>
  <sheetProtection formatCells="0" formatColumns="0" formatRows="0" insertColumns="0" insertRows="0" insertHyperlinks="0" deleteColumns="0" deleteRows="0"/>
  <autoFilter ref="B4:G251" xr:uid="{1084B57B-5CB4-4AF2-B54D-A40F75D01B59}">
    <sortState xmlns:xlrd2="http://schemas.microsoft.com/office/spreadsheetml/2017/richdata2" ref="B5:G251">
      <sortCondition ref="B4:B251"/>
    </sortState>
  </autoFilter>
  <phoneticPr fontId="4" type="noConversion"/>
  <conditionalFormatting sqref="G5:G251">
    <cfRule type="containsText" dxfId="9" priority="1" operator="containsText" text="Desqualificado">
      <formula>NOT(ISERROR(SEARCH("Desqualificado",G5)))</formula>
    </cfRule>
    <cfRule type="containsText" dxfId="8" priority="2" operator="containsText" text="Não recomendado">
      <formula>NOT(ISERROR(SEARCH("Não recomendado",G5)))</formula>
    </cfRule>
    <cfRule type="containsText" dxfId="7" priority="3" operator="containsText" text="Qualificado com restrição">
      <formula>NOT(ISERROR(SEARCH("Qualificado com restrição",G5)))</formula>
    </cfRule>
    <cfRule type="containsText" dxfId="6" priority="4" operator="containsText" text="Qualificado">
      <formula>NOT(ISERROR(SEARCH("Qualificado",G5)))</formula>
    </cfRule>
  </conditionalFormatting>
  <hyperlinks>
    <hyperlink ref="A1" location="'Ordem de compra'!A1" display="'Ordem de compra'!A1" xr:uid="{1C2FFB5D-527D-448E-B89F-157D4913F0C1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03DE0-F594-427C-8C5B-D1C64917A8BC}">
  <sheetPr codeName="Planilha4"/>
  <dimension ref="A1:X2000"/>
  <sheetViews>
    <sheetView showGridLines="0" zoomScale="80" zoomScaleNormal="80" workbookViewId="0">
      <pane ySplit="4" topLeftCell="A1463" activePane="bottomLeft" state="frozen"/>
      <selection pane="bottomLeft"/>
    </sheetView>
  </sheetViews>
  <sheetFormatPr defaultColWidth="8.88671875" defaultRowHeight="14.4" x14ac:dyDescent="0.3"/>
  <cols>
    <col min="1" max="1" width="10.6640625" style="2" customWidth="1"/>
    <col min="2" max="3" width="15.6640625" style="2" customWidth="1"/>
    <col min="4" max="4" width="42.6640625" style="2" customWidth="1"/>
    <col min="5" max="7" width="15.6640625" style="2" customWidth="1"/>
    <col min="8" max="8" width="15.6640625" style="252" customWidth="1"/>
    <col min="9" max="10" width="15.6640625" style="2" customWidth="1"/>
    <col min="11" max="13" width="20.6640625" style="2" customWidth="1"/>
    <col min="14" max="16" width="15.6640625" style="2" customWidth="1"/>
    <col min="17" max="17" width="8.88671875" style="2" hidden="1" customWidth="1"/>
    <col min="18" max="18" width="15.6640625" style="7" hidden="1" customWidth="1"/>
    <col min="19" max="19" width="11.6640625" style="7" hidden="1" customWidth="1"/>
    <col min="20" max="20" width="10.33203125" style="2" hidden="1" customWidth="1"/>
    <col min="21" max="21" width="10.5546875" style="2" hidden="1" customWidth="1"/>
    <col min="22" max="22" width="11.33203125" style="2" hidden="1" customWidth="1"/>
    <col min="23" max="24" width="8.88671875" style="2" hidden="1" customWidth="1"/>
    <col min="25" max="26" width="8.88671875" style="2" customWidth="1"/>
    <col min="27" max="16384" width="8.88671875" style="2"/>
  </cols>
  <sheetData>
    <row r="1" spans="1:24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250"/>
      <c r="I1" s="1"/>
      <c r="J1" s="1"/>
      <c r="K1" s="1"/>
      <c r="L1" s="1"/>
      <c r="M1" s="1"/>
      <c r="N1" s="1"/>
      <c r="O1" s="1"/>
      <c r="P1" s="1"/>
      <c r="Q1" s="1"/>
      <c r="R1" s="32"/>
      <c r="S1" s="32"/>
      <c r="T1" s="1"/>
      <c r="U1" s="1"/>
      <c r="V1" s="1"/>
    </row>
    <row r="2" spans="1:24" ht="31.95" customHeight="1" x14ac:dyDescent="0.3">
      <c r="A2" s="3"/>
      <c r="B2" s="3"/>
      <c r="C2" s="3"/>
      <c r="D2" s="3"/>
      <c r="E2" s="3"/>
      <c r="F2" s="3"/>
      <c r="G2" s="3"/>
      <c r="H2" s="251"/>
      <c r="I2" s="3"/>
      <c r="J2" s="3"/>
      <c r="K2" s="3"/>
      <c r="L2" s="3"/>
      <c r="M2" s="3"/>
      <c r="N2" s="3"/>
      <c r="O2" s="3"/>
      <c r="P2" s="3"/>
      <c r="Q2" s="3"/>
      <c r="R2" s="33"/>
      <c r="S2" s="33"/>
      <c r="T2" s="3"/>
      <c r="U2" s="3"/>
      <c r="V2" s="3"/>
    </row>
    <row r="3" spans="1:24" ht="15" thickBot="1" x14ac:dyDescent="0.35">
      <c r="R3" s="7" t="s">
        <v>1350</v>
      </c>
      <c r="S3" s="7" t="s">
        <v>3</v>
      </c>
      <c r="X3" s="2" t="s">
        <v>1406</v>
      </c>
    </row>
    <row r="4" spans="1:24" ht="31.95" customHeight="1" thickBot="1" x14ac:dyDescent="0.35">
      <c r="B4" s="24" t="s">
        <v>1277</v>
      </c>
      <c r="C4" s="25" t="s">
        <v>1278</v>
      </c>
      <c r="D4" s="25" t="s">
        <v>1279</v>
      </c>
      <c r="E4" s="25" t="s">
        <v>1513</v>
      </c>
      <c r="F4" s="25" t="s">
        <v>1400</v>
      </c>
      <c r="G4" s="25" t="s">
        <v>1512</v>
      </c>
      <c r="H4" s="253" t="s">
        <v>1338</v>
      </c>
      <c r="I4" s="46" t="s">
        <v>1401</v>
      </c>
      <c r="J4" s="46" t="s">
        <v>1402</v>
      </c>
      <c r="K4" s="46" t="s">
        <v>1403</v>
      </c>
      <c r="L4" s="46" t="s">
        <v>1404</v>
      </c>
      <c r="M4" s="46" t="s">
        <v>1405</v>
      </c>
      <c r="N4" s="46" t="s">
        <v>1273</v>
      </c>
      <c r="O4" s="46" t="s">
        <v>1280</v>
      </c>
      <c r="P4" s="46" t="s">
        <v>1281</v>
      </c>
      <c r="R4" s="7">
        <f>INDEX(C5:C2000,COUNT(C5:C2000))</f>
        <v>1475</v>
      </c>
      <c r="S4" s="7" t="str">
        <f>CONCATENATE(R4,".",'Ordem de compra'!T3)</f>
        <v>1475.25</v>
      </c>
      <c r="U4" s="154"/>
      <c r="V4" s="2" t="s">
        <v>235</v>
      </c>
      <c r="W4" s="2" t="s">
        <v>3</v>
      </c>
      <c r="X4" s="2" t="s">
        <v>1407</v>
      </c>
    </row>
    <row r="5" spans="1:24" ht="31.95" customHeight="1" thickBot="1" x14ac:dyDescent="0.35">
      <c r="A5" s="15">
        <f>J5</f>
        <v>5</v>
      </c>
      <c r="B5" s="26">
        <v>44586</v>
      </c>
      <c r="C5" s="51">
        <v>1</v>
      </c>
      <c r="D5" s="27" t="s">
        <v>890</v>
      </c>
      <c r="E5" s="26" t="s">
        <v>6</v>
      </c>
      <c r="F5" s="28" t="s">
        <v>11</v>
      </c>
      <c r="G5" s="28" t="s">
        <v>11</v>
      </c>
      <c r="H5" s="254"/>
      <c r="I5" s="49">
        <v>5</v>
      </c>
      <c r="J5" s="49">
        <v>5</v>
      </c>
      <c r="K5" s="52">
        <f>IFERROR(J5/I5,"")</f>
        <v>1</v>
      </c>
      <c r="L5" s="209">
        <f>IF(I5="","",I5-J5)</f>
        <v>0</v>
      </c>
      <c r="M5" s="210">
        <f>IFERROR(1-K5,"")</f>
        <v>0</v>
      </c>
      <c r="N5" s="26">
        <v>44587</v>
      </c>
      <c r="O5" s="26">
        <v>44587</v>
      </c>
      <c r="P5" s="26">
        <v>44587</v>
      </c>
      <c r="Q5" s="2">
        <f t="shared" ref="Q5:Q68" si="0">IF(B5&lt;&gt;"",1,0)</f>
        <v>1</v>
      </c>
      <c r="S5" s="7">
        <f>IF(AND(O5&lt;=N5,O5&lt;&gt;""),1,0)</f>
        <v>1</v>
      </c>
      <c r="T5" s="157">
        <f>IF(AND(P5&lt;=N5,P5&lt;&gt;""),1,0)</f>
        <v>1</v>
      </c>
      <c r="U5" s="23"/>
      <c r="V5" s="191">
        <f t="shared" ref="V5:V68" si="1">MONTH(B5)</f>
        <v>1</v>
      </c>
      <c r="W5" s="7">
        <f t="shared" ref="W5:W68" si="2">YEAR(B5)</f>
        <v>2022</v>
      </c>
    </row>
    <row r="6" spans="1:24" ht="31.95" customHeight="1" thickBot="1" x14ac:dyDescent="0.35">
      <c r="A6" s="15">
        <f t="shared" ref="A6:A69" si="3">J6</f>
        <v>4</v>
      </c>
      <c r="B6" s="26">
        <v>44589</v>
      </c>
      <c r="C6" s="51">
        <f>IF(B6&lt;&gt;"",C5+1,"")</f>
        <v>2</v>
      </c>
      <c r="D6" s="27" t="s">
        <v>838</v>
      </c>
      <c r="E6" s="26" t="s">
        <v>7</v>
      </c>
      <c r="F6" s="28" t="s">
        <v>11</v>
      </c>
      <c r="G6" s="28" t="s">
        <v>11</v>
      </c>
      <c r="H6" s="254"/>
      <c r="I6" s="49">
        <v>4</v>
      </c>
      <c r="J6" s="49">
        <v>4</v>
      </c>
      <c r="K6" s="52">
        <f t="shared" ref="K6:K69" si="4">IFERROR(J6/I6,"")</f>
        <v>1</v>
      </c>
      <c r="L6" s="209">
        <f t="shared" ref="L6:L69" si="5">IF(I6="","",I6-J6)</f>
        <v>0</v>
      </c>
      <c r="M6" s="210">
        <f t="shared" ref="M6:M69" si="6">IFERROR(1-K6,"")</f>
        <v>0</v>
      </c>
      <c r="N6" s="26">
        <v>44596</v>
      </c>
      <c r="O6" s="26">
        <v>44596</v>
      </c>
      <c r="P6" s="26">
        <v>44596</v>
      </c>
      <c r="Q6" s="2">
        <f t="shared" si="0"/>
        <v>1</v>
      </c>
      <c r="S6" s="7">
        <f t="shared" ref="S6:S69" si="7">IF(AND(O6&lt;=N6,O6&lt;&gt;""),1,0)</f>
        <v>1</v>
      </c>
      <c r="T6" s="157">
        <f t="shared" ref="T6:T69" si="8">IF(AND(P6&lt;=N6,P6&lt;&gt;""),1,0)</f>
        <v>1</v>
      </c>
      <c r="V6" s="191">
        <f t="shared" si="1"/>
        <v>1</v>
      </c>
      <c r="W6" s="7">
        <f t="shared" si="2"/>
        <v>2022</v>
      </c>
    </row>
    <row r="7" spans="1:24" ht="31.95" customHeight="1" thickBot="1" x14ac:dyDescent="0.35">
      <c r="A7" s="15">
        <f t="shared" si="3"/>
        <v>1</v>
      </c>
      <c r="B7" s="26">
        <v>44589</v>
      </c>
      <c r="C7" s="51">
        <f t="shared" ref="C7:C70" si="9">IF(B7&lt;&gt;"",C6+1,"")</f>
        <v>3</v>
      </c>
      <c r="D7" s="27" t="s">
        <v>890</v>
      </c>
      <c r="E7" s="26" t="s">
        <v>7</v>
      </c>
      <c r="F7" s="28" t="s">
        <v>11</v>
      </c>
      <c r="G7" s="28" t="s">
        <v>11</v>
      </c>
      <c r="H7" s="254"/>
      <c r="I7" s="49">
        <v>1</v>
      </c>
      <c r="J7" s="49">
        <v>1</v>
      </c>
      <c r="K7" s="52">
        <f t="shared" si="4"/>
        <v>1</v>
      </c>
      <c r="L7" s="209">
        <f t="shared" si="5"/>
        <v>0</v>
      </c>
      <c r="M7" s="210">
        <f t="shared" si="6"/>
        <v>0</v>
      </c>
      <c r="N7" s="26">
        <v>44596</v>
      </c>
      <c r="O7" s="26">
        <v>44596</v>
      </c>
      <c r="P7" s="26">
        <v>44596</v>
      </c>
      <c r="Q7" s="2">
        <f t="shared" si="0"/>
        <v>1</v>
      </c>
      <c r="S7" s="7">
        <f t="shared" si="7"/>
        <v>1</v>
      </c>
      <c r="T7" s="157">
        <f t="shared" si="8"/>
        <v>1</v>
      </c>
      <c r="V7" s="191">
        <f t="shared" si="1"/>
        <v>1</v>
      </c>
      <c r="W7" s="7">
        <f t="shared" si="2"/>
        <v>2022</v>
      </c>
    </row>
    <row r="8" spans="1:24" ht="31.95" customHeight="1" thickBot="1" x14ac:dyDescent="0.35">
      <c r="A8" s="15">
        <f t="shared" si="3"/>
        <v>2</v>
      </c>
      <c r="B8" s="26">
        <v>44589</v>
      </c>
      <c r="C8" s="51">
        <f t="shared" si="9"/>
        <v>4</v>
      </c>
      <c r="D8" s="27" t="s">
        <v>305</v>
      </c>
      <c r="E8" s="26" t="s">
        <v>11</v>
      </c>
      <c r="F8" s="28" t="s">
        <v>11</v>
      </c>
      <c r="G8" s="28" t="s">
        <v>11</v>
      </c>
      <c r="H8" s="254"/>
      <c r="I8" s="49">
        <v>2</v>
      </c>
      <c r="J8" s="49">
        <v>2</v>
      </c>
      <c r="K8" s="52">
        <f t="shared" si="4"/>
        <v>1</v>
      </c>
      <c r="L8" s="209">
        <f t="shared" si="5"/>
        <v>0</v>
      </c>
      <c r="M8" s="210">
        <f t="shared" si="6"/>
        <v>0</v>
      </c>
      <c r="N8" s="26">
        <v>44594</v>
      </c>
      <c r="O8" s="26">
        <v>44594</v>
      </c>
      <c r="P8" s="26">
        <v>44594</v>
      </c>
      <c r="Q8" s="2">
        <f t="shared" si="0"/>
        <v>1</v>
      </c>
      <c r="S8" s="7">
        <f t="shared" si="7"/>
        <v>1</v>
      </c>
      <c r="T8" s="157">
        <f t="shared" si="8"/>
        <v>1</v>
      </c>
      <c r="V8" s="191">
        <f t="shared" si="1"/>
        <v>1</v>
      </c>
      <c r="W8" s="7">
        <f t="shared" si="2"/>
        <v>2022</v>
      </c>
    </row>
    <row r="9" spans="1:24" ht="31.95" customHeight="1" thickBot="1" x14ac:dyDescent="0.35">
      <c r="A9" s="15">
        <f t="shared" si="3"/>
        <v>2</v>
      </c>
      <c r="B9" s="26">
        <v>44593</v>
      </c>
      <c r="C9" s="51">
        <f t="shared" si="9"/>
        <v>5</v>
      </c>
      <c r="D9" s="27" t="s">
        <v>488</v>
      </c>
      <c r="E9" s="26" t="s">
        <v>7</v>
      </c>
      <c r="F9" s="28" t="s">
        <v>11</v>
      </c>
      <c r="G9" s="28" t="s">
        <v>11</v>
      </c>
      <c r="H9" s="254"/>
      <c r="I9" s="49">
        <v>2</v>
      </c>
      <c r="J9" s="49">
        <v>2</v>
      </c>
      <c r="K9" s="52">
        <f t="shared" si="4"/>
        <v>1</v>
      </c>
      <c r="L9" s="209">
        <f t="shared" si="5"/>
        <v>0</v>
      </c>
      <c r="M9" s="210">
        <f t="shared" si="6"/>
        <v>0</v>
      </c>
      <c r="N9" s="26">
        <v>44606</v>
      </c>
      <c r="O9" s="26">
        <v>44606</v>
      </c>
      <c r="P9" s="26">
        <v>44606</v>
      </c>
      <c r="Q9" s="2">
        <f t="shared" si="0"/>
        <v>1</v>
      </c>
      <c r="S9" s="7">
        <f t="shared" si="7"/>
        <v>1</v>
      </c>
      <c r="T9" s="157">
        <f t="shared" si="8"/>
        <v>1</v>
      </c>
      <c r="V9" s="191">
        <f t="shared" si="1"/>
        <v>2</v>
      </c>
      <c r="W9" s="7">
        <f t="shared" si="2"/>
        <v>2022</v>
      </c>
    </row>
    <row r="10" spans="1:24" ht="31.95" customHeight="1" thickBot="1" x14ac:dyDescent="0.35">
      <c r="A10" s="15">
        <f t="shared" si="3"/>
        <v>10</v>
      </c>
      <c r="B10" s="26">
        <v>44596</v>
      </c>
      <c r="C10" s="51">
        <f t="shared" si="9"/>
        <v>6</v>
      </c>
      <c r="D10" s="27" t="s">
        <v>305</v>
      </c>
      <c r="E10" s="26" t="s">
        <v>11</v>
      </c>
      <c r="F10" s="28" t="s">
        <v>11</v>
      </c>
      <c r="G10" s="28" t="s">
        <v>11</v>
      </c>
      <c r="H10" s="254"/>
      <c r="I10" s="49">
        <v>10</v>
      </c>
      <c r="J10" s="49">
        <v>10</v>
      </c>
      <c r="K10" s="52">
        <f t="shared" si="4"/>
        <v>1</v>
      </c>
      <c r="L10" s="209">
        <f t="shared" si="5"/>
        <v>0</v>
      </c>
      <c r="M10" s="210">
        <f t="shared" si="6"/>
        <v>0</v>
      </c>
      <c r="N10" s="26">
        <v>44596</v>
      </c>
      <c r="O10" s="26">
        <v>44596</v>
      </c>
      <c r="P10" s="26">
        <v>44596</v>
      </c>
      <c r="Q10" s="2">
        <f t="shared" si="0"/>
        <v>1</v>
      </c>
      <c r="S10" s="7">
        <f t="shared" si="7"/>
        <v>1</v>
      </c>
      <c r="T10" s="157">
        <f t="shared" si="8"/>
        <v>1</v>
      </c>
      <c r="V10" s="191">
        <f t="shared" si="1"/>
        <v>2</v>
      </c>
      <c r="W10" s="7">
        <f t="shared" si="2"/>
        <v>2022</v>
      </c>
    </row>
    <row r="11" spans="1:24" ht="31.95" customHeight="1" thickBot="1" x14ac:dyDescent="0.35">
      <c r="A11" s="15">
        <f t="shared" si="3"/>
        <v>1</v>
      </c>
      <c r="B11" s="26">
        <v>44596</v>
      </c>
      <c r="C11" s="51">
        <f t="shared" si="9"/>
        <v>7</v>
      </c>
      <c r="D11" s="27" t="s">
        <v>858</v>
      </c>
      <c r="E11" s="26" t="s">
        <v>11</v>
      </c>
      <c r="F11" s="28" t="s">
        <v>11</v>
      </c>
      <c r="G11" s="28" t="s">
        <v>11</v>
      </c>
      <c r="H11" s="254"/>
      <c r="I11" s="49">
        <v>1</v>
      </c>
      <c r="J11" s="49">
        <v>1</v>
      </c>
      <c r="K11" s="52">
        <f t="shared" si="4"/>
        <v>1</v>
      </c>
      <c r="L11" s="209">
        <f t="shared" si="5"/>
        <v>0</v>
      </c>
      <c r="M11" s="210">
        <f t="shared" si="6"/>
        <v>0</v>
      </c>
      <c r="N11" s="26">
        <v>44599</v>
      </c>
      <c r="O11" s="26">
        <v>44599</v>
      </c>
      <c r="P11" s="26">
        <v>44599</v>
      </c>
      <c r="Q11" s="2">
        <f t="shared" si="0"/>
        <v>1</v>
      </c>
      <c r="S11" s="7">
        <f t="shared" si="7"/>
        <v>1</v>
      </c>
      <c r="T11" s="157">
        <f t="shared" si="8"/>
        <v>1</v>
      </c>
      <c r="V11" s="191">
        <f t="shared" si="1"/>
        <v>2</v>
      </c>
      <c r="W11" s="7">
        <f t="shared" si="2"/>
        <v>2022</v>
      </c>
    </row>
    <row r="12" spans="1:24" ht="31.95" customHeight="1" thickBot="1" x14ac:dyDescent="0.35">
      <c r="A12" s="15">
        <f t="shared" si="3"/>
        <v>1</v>
      </c>
      <c r="B12" s="26">
        <v>44596</v>
      </c>
      <c r="C12" s="51">
        <f t="shared" si="9"/>
        <v>8</v>
      </c>
      <c r="D12" s="27" t="s">
        <v>546</v>
      </c>
      <c r="E12" s="26" t="s">
        <v>11</v>
      </c>
      <c r="F12" s="28" t="s">
        <v>11</v>
      </c>
      <c r="G12" s="28" t="s">
        <v>11</v>
      </c>
      <c r="H12" s="254"/>
      <c r="I12" s="49">
        <v>1</v>
      </c>
      <c r="J12" s="49">
        <v>1</v>
      </c>
      <c r="K12" s="52">
        <f t="shared" si="4"/>
        <v>1</v>
      </c>
      <c r="L12" s="209">
        <f t="shared" si="5"/>
        <v>0</v>
      </c>
      <c r="M12" s="210">
        <f t="shared" si="6"/>
        <v>0</v>
      </c>
      <c r="N12" s="26">
        <v>44599</v>
      </c>
      <c r="O12" s="26">
        <v>44599</v>
      </c>
      <c r="P12" s="26">
        <v>44599</v>
      </c>
      <c r="Q12" s="2">
        <f t="shared" si="0"/>
        <v>1</v>
      </c>
      <c r="S12" s="7">
        <f t="shared" si="7"/>
        <v>1</v>
      </c>
      <c r="T12" s="157">
        <f t="shared" si="8"/>
        <v>1</v>
      </c>
      <c r="V12" s="191">
        <f t="shared" si="1"/>
        <v>2</v>
      </c>
      <c r="W12" s="7">
        <f t="shared" si="2"/>
        <v>2022</v>
      </c>
    </row>
    <row r="13" spans="1:24" ht="31.95" customHeight="1" thickBot="1" x14ac:dyDescent="0.35">
      <c r="A13" s="15">
        <f t="shared" si="3"/>
        <v>0</v>
      </c>
      <c r="B13" s="26">
        <v>44599</v>
      </c>
      <c r="C13" s="51">
        <f t="shared" si="9"/>
        <v>9</v>
      </c>
      <c r="D13" s="27"/>
      <c r="E13" s="26" t="s">
        <v>11</v>
      </c>
      <c r="F13" s="28" t="s">
        <v>11</v>
      </c>
      <c r="G13" s="28" t="s">
        <v>11</v>
      </c>
      <c r="H13" s="254"/>
      <c r="I13" s="49">
        <v>0</v>
      </c>
      <c r="J13" s="49">
        <v>0</v>
      </c>
      <c r="K13" s="52" t="str">
        <f t="shared" si="4"/>
        <v/>
      </c>
      <c r="L13" s="209">
        <f t="shared" si="5"/>
        <v>0</v>
      </c>
      <c r="M13" s="210" t="str">
        <f t="shared" si="6"/>
        <v/>
      </c>
      <c r="N13" s="28" t="s">
        <v>11</v>
      </c>
      <c r="O13" s="28" t="s">
        <v>11</v>
      </c>
      <c r="P13" s="28" t="s">
        <v>11</v>
      </c>
      <c r="Q13" s="2">
        <f t="shared" si="0"/>
        <v>1</v>
      </c>
      <c r="S13" s="7">
        <f t="shared" si="7"/>
        <v>1</v>
      </c>
      <c r="T13" s="157">
        <f t="shared" si="8"/>
        <v>1</v>
      </c>
      <c r="U13" s="23"/>
      <c r="V13" s="191">
        <f t="shared" si="1"/>
        <v>2</v>
      </c>
      <c r="W13" s="7">
        <f t="shared" si="2"/>
        <v>2022</v>
      </c>
    </row>
    <row r="14" spans="1:24" ht="31.95" customHeight="1" thickBot="1" x14ac:dyDescent="0.35">
      <c r="A14" s="15">
        <f t="shared" si="3"/>
        <v>2</v>
      </c>
      <c r="B14" s="26">
        <v>44599</v>
      </c>
      <c r="C14" s="51">
        <f t="shared" si="9"/>
        <v>10</v>
      </c>
      <c r="D14" s="27" t="s">
        <v>781</v>
      </c>
      <c r="E14" s="26" t="s">
        <v>11</v>
      </c>
      <c r="F14" s="28" t="s">
        <v>11</v>
      </c>
      <c r="G14" s="28" t="s">
        <v>11</v>
      </c>
      <c r="H14" s="254"/>
      <c r="I14" s="49">
        <v>2</v>
      </c>
      <c r="J14" s="49">
        <v>2</v>
      </c>
      <c r="K14" s="52">
        <f t="shared" si="4"/>
        <v>1</v>
      </c>
      <c r="L14" s="209">
        <f t="shared" si="5"/>
        <v>0</v>
      </c>
      <c r="M14" s="210">
        <f t="shared" si="6"/>
        <v>0</v>
      </c>
      <c r="N14" s="26">
        <v>44599</v>
      </c>
      <c r="O14" s="26">
        <v>44599</v>
      </c>
      <c r="P14" s="26">
        <v>44599</v>
      </c>
      <c r="Q14" s="2">
        <f t="shared" si="0"/>
        <v>1</v>
      </c>
      <c r="S14" s="7">
        <f t="shared" si="7"/>
        <v>1</v>
      </c>
      <c r="T14" s="157">
        <f t="shared" si="8"/>
        <v>1</v>
      </c>
      <c r="V14" s="191">
        <f t="shared" si="1"/>
        <v>2</v>
      </c>
      <c r="W14" s="7">
        <f t="shared" si="2"/>
        <v>2022</v>
      </c>
    </row>
    <row r="15" spans="1:24" ht="31.95" customHeight="1" thickBot="1" x14ac:dyDescent="0.35">
      <c r="A15" s="15">
        <f t="shared" si="3"/>
        <v>8</v>
      </c>
      <c r="B15" s="26">
        <v>44599</v>
      </c>
      <c r="C15" s="51">
        <f t="shared" si="9"/>
        <v>11</v>
      </c>
      <c r="D15" s="27" t="s">
        <v>781</v>
      </c>
      <c r="E15" s="26" t="s">
        <v>11</v>
      </c>
      <c r="F15" s="28" t="s">
        <v>11</v>
      </c>
      <c r="G15" s="28" t="s">
        <v>11</v>
      </c>
      <c r="H15" s="254"/>
      <c r="I15" s="49">
        <v>8</v>
      </c>
      <c r="J15" s="49">
        <v>8</v>
      </c>
      <c r="K15" s="52">
        <f t="shared" si="4"/>
        <v>1</v>
      </c>
      <c r="L15" s="209">
        <f t="shared" si="5"/>
        <v>0</v>
      </c>
      <c r="M15" s="210">
        <f t="shared" si="6"/>
        <v>0</v>
      </c>
      <c r="N15" s="26">
        <v>44606</v>
      </c>
      <c r="O15" s="26">
        <v>44606</v>
      </c>
      <c r="P15" s="26">
        <v>44606</v>
      </c>
      <c r="Q15" s="2">
        <f t="shared" si="0"/>
        <v>1</v>
      </c>
      <c r="S15" s="7">
        <f t="shared" si="7"/>
        <v>1</v>
      </c>
      <c r="T15" s="157">
        <f t="shared" si="8"/>
        <v>1</v>
      </c>
      <c r="V15" s="191">
        <f t="shared" si="1"/>
        <v>2</v>
      </c>
      <c r="W15" s="7">
        <f t="shared" si="2"/>
        <v>2022</v>
      </c>
    </row>
    <row r="16" spans="1:24" ht="31.95" customHeight="1" thickBot="1" x14ac:dyDescent="0.35">
      <c r="A16" s="15">
        <f t="shared" si="3"/>
        <v>2</v>
      </c>
      <c r="B16" s="26">
        <v>44601</v>
      </c>
      <c r="C16" s="51">
        <f t="shared" si="9"/>
        <v>12</v>
      </c>
      <c r="D16" s="27" t="s">
        <v>305</v>
      </c>
      <c r="E16" s="26" t="s">
        <v>11</v>
      </c>
      <c r="F16" s="28" t="s">
        <v>11</v>
      </c>
      <c r="G16" s="28" t="s">
        <v>11</v>
      </c>
      <c r="H16" s="254"/>
      <c r="I16" s="49">
        <v>2</v>
      </c>
      <c r="J16" s="49">
        <v>2</v>
      </c>
      <c r="K16" s="52">
        <f t="shared" si="4"/>
        <v>1</v>
      </c>
      <c r="L16" s="209">
        <f t="shared" si="5"/>
        <v>0</v>
      </c>
      <c r="M16" s="210">
        <f t="shared" si="6"/>
        <v>0</v>
      </c>
      <c r="N16" s="26">
        <v>44601</v>
      </c>
      <c r="O16" s="26">
        <v>44601</v>
      </c>
      <c r="P16" s="26">
        <v>44601</v>
      </c>
      <c r="Q16" s="2">
        <f t="shared" si="0"/>
        <v>1</v>
      </c>
      <c r="S16" s="7">
        <f t="shared" si="7"/>
        <v>1</v>
      </c>
      <c r="T16" s="157">
        <f t="shared" si="8"/>
        <v>1</v>
      </c>
      <c r="V16" s="191">
        <f t="shared" si="1"/>
        <v>2</v>
      </c>
      <c r="W16" s="7">
        <f t="shared" si="2"/>
        <v>2022</v>
      </c>
    </row>
    <row r="17" spans="1:23" ht="31.95" customHeight="1" thickBot="1" x14ac:dyDescent="0.35">
      <c r="A17" s="15">
        <f t="shared" si="3"/>
        <v>2</v>
      </c>
      <c r="B17" s="26">
        <v>44602</v>
      </c>
      <c r="C17" s="51">
        <f t="shared" si="9"/>
        <v>13</v>
      </c>
      <c r="D17" s="27" t="s">
        <v>321</v>
      </c>
      <c r="E17" s="26" t="s">
        <v>1287</v>
      </c>
      <c r="F17" s="28" t="s">
        <v>11</v>
      </c>
      <c r="G17" s="28" t="s">
        <v>11</v>
      </c>
      <c r="H17" s="254"/>
      <c r="I17" s="49">
        <v>2</v>
      </c>
      <c r="J17" s="49">
        <v>2</v>
      </c>
      <c r="K17" s="52">
        <f t="shared" si="4"/>
        <v>1</v>
      </c>
      <c r="L17" s="209">
        <f t="shared" si="5"/>
        <v>0</v>
      </c>
      <c r="M17" s="210">
        <f t="shared" si="6"/>
        <v>0</v>
      </c>
      <c r="N17" s="26">
        <v>44602</v>
      </c>
      <c r="O17" s="26">
        <v>44602</v>
      </c>
      <c r="P17" s="26">
        <v>44602</v>
      </c>
      <c r="Q17" s="2">
        <f t="shared" si="0"/>
        <v>1</v>
      </c>
      <c r="S17" s="7">
        <f t="shared" si="7"/>
        <v>1</v>
      </c>
      <c r="T17" s="157">
        <f t="shared" si="8"/>
        <v>1</v>
      </c>
      <c r="V17" s="191">
        <f t="shared" si="1"/>
        <v>2</v>
      </c>
      <c r="W17" s="7">
        <f t="shared" si="2"/>
        <v>2022</v>
      </c>
    </row>
    <row r="18" spans="1:23" ht="31.95" customHeight="1" thickBot="1" x14ac:dyDescent="0.35">
      <c r="A18" s="15">
        <f t="shared" si="3"/>
        <v>3</v>
      </c>
      <c r="B18" s="26">
        <v>44606</v>
      </c>
      <c r="C18" s="51">
        <f t="shared" si="9"/>
        <v>14</v>
      </c>
      <c r="D18" s="27" t="s">
        <v>781</v>
      </c>
      <c r="E18" s="26" t="s">
        <v>11</v>
      </c>
      <c r="F18" s="28" t="s">
        <v>11</v>
      </c>
      <c r="G18" s="28" t="s">
        <v>11</v>
      </c>
      <c r="H18" s="254"/>
      <c r="I18" s="49">
        <v>3</v>
      </c>
      <c r="J18" s="49">
        <v>3</v>
      </c>
      <c r="K18" s="52">
        <f t="shared" si="4"/>
        <v>1</v>
      </c>
      <c r="L18" s="209">
        <f t="shared" si="5"/>
        <v>0</v>
      </c>
      <c r="M18" s="210">
        <f t="shared" si="6"/>
        <v>0</v>
      </c>
      <c r="N18" s="26">
        <v>44606</v>
      </c>
      <c r="O18" s="26">
        <v>44606</v>
      </c>
      <c r="P18" s="26">
        <v>44606</v>
      </c>
      <c r="Q18" s="2">
        <f t="shared" si="0"/>
        <v>1</v>
      </c>
      <c r="S18" s="7">
        <f t="shared" si="7"/>
        <v>1</v>
      </c>
      <c r="T18" s="157">
        <f t="shared" si="8"/>
        <v>1</v>
      </c>
      <c r="V18" s="191">
        <f t="shared" si="1"/>
        <v>2</v>
      </c>
      <c r="W18" s="7">
        <f t="shared" si="2"/>
        <v>2022</v>
      </c>
    </row>
    <row r="19" spans="1:23" ht="31.95" customHeight="1" thickBot="1" x14ac:dyDescent="0.35">
      <c r="A19" s="15">
        <f t="shared" si="3"/>
        <v>3</v>
      </c>
      <c r="B19" s="26">
        <v>44607</v>
      </c>
      <c r="C19" s="51">
        <f t="shared" si="9"/>
        <v>15</v>
      </c>
      <c r="D19" s="27" t="s">
        <v>305</v>
      </c>
      <c r="E19" s="26" t="s">
        <v>8</v>
      </c>
      <c r="F19" s="28" t="s">
        <v>11</v>
      </c>
      <c r="G19" s="28" t="s">
        <v>11</v>
      </c>
      <c r="H19" s="254"/>
      <c r="I19" s="49">
        <v>3</v>
      </c>
      <c r="J19" s="49">
        <v>3</v>
      </c>
      <c r="K19" s="52">
        <f t="shared" si="4"/>
        <v>1</v>
      </c>
      <c r="L19" s="209">
        <f t="shared" si="5"/>
        <v>0</v>
      </c>
      <c r="M19" s="210">
        <f t="shared" si="6"/>
        <v>0</v>
      </c>
      <c r="N19" s="26">
        <v>44607</v>
      </c>
      <c r="O19" s="26">
        <v>44607</v>
      </c>
      <c r="P19" s="26">
        <v>44607</v>
      </c>
      <c r="Q19" s="2">
        <f t="shared" si="0"/>
        <v>1</v>
      </c>
      <c r="S19" s="7">
        <f t="shared" si="7"/>
        <v>1</v>
      </c>
      <c r="T19" s="157">
        <f t="shared" si="8"/>
        <v>1</v>
      </c>
      <c r="V19" s="191">
        <f t="shared" si="1"/>
        <v>2</v>
      </c>
      <c r="W19" s="7">
        <f t="shared" si="2"/>
        <v>2022</v>
      </c>
    </row>
    <row r="20" spans="1:23" ht="31.95" customHeight="1" thickBot="1" x14ac:dyDescent="0.35">
      <c r="A20" s="15">
        <f t="shared" si="3"/>
        <v>4</v>
      </c>
      <c r="B20" s="26">
        <v>44607</v>
      </c>
      <c r="C20" s="51">
        <f t="shared" si="9"/>
        <v>16</v>
      </c>
      <c r="D20" s="27" t="s">
        <v>705</v>
      </c>
      <c r="E20" s="26" t="s">
        <v>8</v>
      </c>
      <c r="F20" s="28" t="s">
        <v>11</v>
      </c>
      <c r="G20" s="28" t="s">
        <v>11</v>
      </c>
      <c r="H20" s="254"/>
      <c r="I20" s="49">
        <v>4</v>
      </c>
      <c r="J20" s="49">
        <v>4</v>
      </c>
      <c r="K20" s="52">
        <f t="shared" si="4"/>
        <v>1</v>
      </c>
      <c r="L20" s="209">
        <f t="shared" si="5"/>
        <v>0</v>
      </c>
      <c r="M20" s="210">
        <f t="shared" si="6"/>
        <v>0</v>
      </c>
      <c r="N20" s="26">
        <v>44607</v>
      </c>
      <c r="O20" s="26">
        <v>44607</v>
      </c>
      <c r="P20" s="26">
        <v>44607</v>
      </c>
      <c r="Q20" s="2">
        <f t="shared" si="0"/>
        <v>1</v>
      </c>
      <c r="S20" s="7">
        <f t="shared" si="7"/>
        <v>1</v>
      </c>
      <c r="T20" s="157">
        <f t="shared" si="8"/>
        <v>1</v>
      </c>
      <c r="V20" s="191">
        <f t="shared" si="1"/>
        <v>2</v>
      </c>
      <c r="W20" s="7">
        <f t="shared" si="2"/>
        <v>2022</v>
      </c>
    </row>
    <row r="21" spans="1:23" ht="31.95" customHeight="1" thickBot="1" x14ac:dyDescent="0.35">
      <c r="A21" s="15">
        <f t="shared" si="3"/>
        <v>5</v>
      </c>
      <c r="B21" s="26">
        <v>44607</v>
      </c>
      <c r="C21" s="51">
        <f t="shared" si="9"/>
        <v>17</v>
      </c>
      <c r="D21" s="27" t="s">
        <v>781</v>
      </c>
      <c r="E21" s="26" t="s">
        <v>8</v>
      </c>
      <c r="F21" s="28" t="s">
        <v>11</v>
      </c>
      <c r="G21" s="28" t="s">
        <v>11</v>
      </c>
      <c r="H21" s="254"/>
      <c r="I21" s="49">
        <v>5</v>
      </c>
      <c r="J21" s="49">
        <v>5</v>
      </c>
      <c r="K21" s="52">
        <f t="shared" si="4"/>
        <v>1</v>
      </c>
      <c r="L21" s="209">
        <f t="shared" si="5"/>
        <v>0</v>
      </c>
      <c r="M21" s="210">
        <f t="shared" si="6"/>
        <v>0</v>
      </c>
      <c r="N21" s="26">
        <v>44607</v>
      </c>
      <c r="O21" s="26">
        <v>44607</v>
      </c>
      <c r="P21" s="26">
        <v>44607</v>
      </c>
      <c r="Q21" s="2">
        <f t="shared" si="0"/>
        <v>1</v>
      </c>
      <c r="S21" s="7">
        <f t="shared" si="7"/>
        <v>1</v>
      </c>
      <c r="T21" s="157">
        <f t="shared" si="8"/>
        <v>1</v>
      </c>
      <c r="V21" s="191">
        <f t="shared" si="1"/>
        <v>2</v>
      </c>
      <c r="W21" s="7">
        <f t="shared" si="2"/>
        <v>2022</v>
      </c>
    </row>
    <row r="22" spans="1:23" ht="31.95" customHeight="1" thickBot="1" x14ac:dyDescent="0.35">
      <c r="A22" s="15">
        <f t="shared" si="3"/>
        <v>0</v>
      </c>
      <c r="B22" s="26">
        <v>44607</v>
      </c>
      <c r="C22" s="51">
        <f t="shared" si="9"/>
        <v>18</v>
      </c>
      <c r="D22" s="27"/>
      <c r="E22" s="26" t="s">
        <v>11</v>
      </c>
      <c r="F22" s="28" t="s">
        <v>11</v>
      </c>
      <c r="G22" s="28" t="s">
        <v>11</v>
      </c>
      <c r="H22" s="254"/>
      <c r="I22" s="49">
        <v>0</v>
      </c>
      <c r="J22" s="49">
        <v>0</v>
      </c>
      <c r="K22" s="52" t="str">
        <f>IFERROR(J22/I22,"")</f>
        <v/>
      </c>
      <c r="L22" s="209">
        <f>IF(I22="","",I22-J22)</f>
        <v>0</v>
      </c>
      <c r="M22" s="210" t="str">
        <f>IFERROR(1-K22,"")</f>
        <v/>
      </c>
      <c r="N22" s="28" t="s">
        <v>11</v>
      </c>
      <c r="O22" s="28" t="s">
        <v>11</v>
      </c>
      <c r="P22" s="28" t="s">
        <v>11</v>
      </c>
      <c r="Q22" s="2">
        <f t="shared" si="0"/>
        <v>1</v>
      </c>
      <c r="S22" s="7">
        <f t="shared" si="7"/>
        <v>1</v>
      </c>
      <c r="T22" s="157">
        <f t="shared" si="8"/>
        <v>1</v>
      </c>
      <c r="V22" s="191">
        <f t="shared" si="1"/>
        <v>2</v>
      </c>
      <c r="W22" s="7">
        <f t="shared" si="2"/>
        <v>2022</v>
      </c>
    </row>
    <row r="23" spans="1:23" ht="31.95" customHeight="1" thickBot="1" x14ac:dyDescent="0.35">
      <c r="A23" s="15">
        <f t="shared" si="3"/>
        <v>1</v>
      </c>
      <c r="B23" s="26">
        <v>44610</v>
      </c>
      <c r="C23" s="51">
        <f t="shared" si="9"/>
        <v>19</v>
      </c>
      <c r="D23" s="27" t="s">
        <v>781</v>
      </c>
      <c r="E23" s="26" t="s">
        <v>11</v>
      </c>
      <c r="F23" s="28" t="s">
        <v>11</v>
      </c>
      <c r="G23" s="28" t="s">
        <v>11</v>
      </c>
      <c r="H23" s="254"/>
      <c r="I23" s="49">
        <v>1</v>
      </c>
      <c r="J23" s="49">
        <v>1</v>
      </c>
      <c r="K23" s="52">
        <f t="shared" si="4"/>
        <v>1</v>
      </c>
      <c r="L23" s="209">
        <f t="shared" si="5"/>
        <v>0</v>
      </c>
      <c r="M23" s="210">
        <f t="shared" si="6"/>
        <v>0</v>
      </c>
      <c r="N23" s="26">
        <v>44610</v>
      </c>
      <c r="O23" s="26">
        <v>44610</v>
      </c>
      <c r="P23" s="26">
        <v>44610</v>
      </c>
      <c r="Q23" s="2">
        <f t="shared" si="0"/>
        <v>1</v>
      </c>
      <c r="S23" s="7">
        <f t="shared" si="7"/>
        <v>1</v>
      </c>
      <c r="T23" s="157">
        <f t="shared" si="8"/>
        <v>1</v>
      </c>
      <c r="V23" s="191">
        <f t="shared" si="1"/>
        <v>2</v>
      </c>
      <c r="W23" s="7">
        <f t="shared" si="2"/>
        <v>2022</v>
      </c>
    </row>
    <row r="24" spans="1:23" ht="31.95" customHeight="1" thickBot="1" x14ac:dyDescent="0.35">
      <c r="A24" s="15">
        <f t="shared" si="3"/>
        <v>1</v>
      </c>
      <c r="B24" s="26">
        <v>44610</v>
      </c>
      <c r="C24" s="51">
        <f t="shared" si="9"/>
        <v>20</v>
      </c>
      <c r="D24" s="27" t="s">
        <v>480</v>
      </c>
      <c r="E24" s="26" t="s">
        <v>8</v>
      </c>
      <c r="F24" s="28" t="s">
        <v>11</v>
      </c>
      <c r="G24" s="28" t="s">
        <v>11</v>
      </c>
      <c r="H24" s="254"/>
      <c r="I24" s="49">
        <v>1</v>
      </c>
      <c r="J24" s="49">
        <v>1</v>
      </c>
      <c r="K24" s="52">
        <f t="shared" si="4"/>
        <v>1</v>
      </c>
      <c r="L24" s="209">
        <f t="shared" si="5"/>
        <v>0</v>
      </c>
      <c r="M24" s="210">
        <f t="shared" si="6"/>
        <v>0</v>
      </c>
      <c r="N24" s="26">
        <v>44616</v>
      </c>
      <c r="O24" s="26">
        <v>44616</v>
      </c>
      <c r="P24" s="26">
        <v>44616</v>
      </c>
      <c r="Q24" s="2">
        <f t="shared" si="0"/>
        <v>1</v>
      </c>
      <c r="S24" s="7">
        <f t="shared" si="7"/>
        <v>1</v>
      </c>
      <c r="T24" s="157">
        <f t="shared" si="8"/>
        <v>1</v>
      </c>
      <c r="V24" s="191">
        <f t="shared" si="1"/>
        <v>2</v>
      </c>
      <c r="W24" s="7">
        <f t="shared" si="2"/>
        <v>2022</v>
      </c>
    </row>
    <row r="25" spans="1:23" ht="31.95" customHeight="1" thickBot="1" x14ac:dyDescent="0.35">
      <c r="A25" s="15">
        <f t="shared" si="3"/>
        <v>5</v>
      </c>
      <c r="B25" s="26">
        <v>44613</v>
      </c>
      <c r="C25" s="51">
        <f t="shared" si="9"/>
        <v>21</v>
      </c>
      <c r="D25" s="27" t="s">
        <v>305</v>
      </c>
      <c r="E25" s="26" t="s">
        <v>11</v>
      </c>
      <c r="F25" s="28" t="s">
        <v>11</v>
      </c>
      <c r="G25" s="28" t="s">
        <v>11</v>
      </c>
      <c r="H25" s="254"/>
      <c r="I25" s="49">
        <v>5</v>
      </c>
      <c r="J25" s="49">
        <v>5</v>
      </c>
      <c r="K25" s="52">
        <f t="shared" si="4"/>
        <v>1</v>
      </c>
      <c r="L25" s="209">
        <f t="shared" si="5"/>
        <v>0</v>
      </c>
      <c r="M25" s="210">
        <f t="shared" si="6"/>
        <v>0</v>
      </c>
      <c r="N25" s="26">
        <v>44613</v>
      </c>
      <c r="O25" s="26">
        <v>44613</v>
      </c>
      <c r="P25" s="26">
        <v>44613</v>
      </c>
      <c r="Q25" s="2">
        <f t="shared" si="0"/>
        <v>1</v>
      </c>
      <c r="S25" s="7">
        <f t="shared" si="7"/>
        <v>1</v>
      </c>
      <c r="T25" s="157">
        <f t="shared" si="8"/>
        <v>1</v>
      </c>
      <c r="V25" s="191">
        <f t="shared" si="1"/>
        <v>2</v>
      </c>
      <c r="W25" s="7">
        <f t="shared" si="2"/>
        <v>2022</v>
      </c>
    </row>
    <row r="26" spans="1:23" ht="31.95" customHeight="1" thickBot="1" x14ac:dyDescent="0.35">
      <c r="A26" s="15">
        <f t="shared" si="3"/>
        <v>1</v>
      </c>
      <c r="B26" s="26">
        <v>44613</v>
      </c>
      <c r="C26" s="51">
        <f t="shared" si="9"/>
        <v>22</v>
      </c>
      <c r="D26" s="27" t="s">
        <v>781</v>
      </c>
      <c r="E26" s="26" t="s">
        <v>11</v>
      </c>
      <c r="F26" s="28" t="s">
        <v>11</v>
      </c>
      <c r="G26" s="28" t="s">
        <v>11</v>
      </c>
      <c r="H26" s="254"/>
      <c r="I26" s="49">
        <v>1</v>
      </c>
      <c r="J26" s="49">
        <v>1</v>
      </c>
      <c r="K26" s="52">
        <f t="shared" si="4"/>
        <v>1</v>
      </c>
      <c r="L26" s="209">
        <f t="shared" si="5"/>
        <v>0</v>
      </c>
      <c r="M26" s="210">
        <f t="shared" si="6"/>
        <v>0</v>
      </c>
      <c r="N26" s="26" t="s">
        <v>1298</v>
      </c>
      <c r="O26" s="26" t="s">
        <v>1298</v>
      </c>
      <c r="P26" s="26" t="s">
        <v>1298</v>
      </c>
      <c r="Q26" s="2">
        <f t="shared" si="0"/>
        <v>1</v>
      </c>
      <c r="S26" s="7">
        <f t="shared" si="7"/>
        <v>1</v>
      </c>
      <c r="T26" s="157">
        <f t="shared" si="8"/>
        <v>1</v>
      </c>
      <c r="V26" s="191">
        <f t="shared" si="1"/>
        <v>2</v>
      </c>
      <c r="W26" s="7">
        <f t="shared" si="2"/>
        <v>2022</v>
      </c>
    </row>
    <row r="27" spans="1:23" ht="31.95" customHeight="1" thickBot="1" x14ac:dyDescent="0.35">
      <c r="A27" s="15">
        <f t="shared" si="3"/>
        <v>1</v>
      </c>
      <c r="B27" s="26">
        <v>44614</v>
      </c>
      <c r="C27" s="51">
        <f t="shared" si="9"/>
        <v>23</v>
      </c>
      <c r="D27" s="27" t="s">
        <v>781</v>
      </c>
      <c r="E27" s="26" t="s">
        <v>11</v>
      </c>
      <c r="F27" s="28" t="s">
        <v>11</v>
      </c>
      <c r="G27" s="28" t="s">
        <v>11</v>
      </c>
      <c r="H27" s="254"/>
      <c r="I27" s="49">
        <v>1</v>
      </c>
      <c r="J27" s="49">
        <v>1</v>
      </c>
      <c r="K27" s="52">
        <f t="shared" si="4"/>
        <v>1</v>
      </c>
      <c r="L27" s="209">
        <f t="shared" si="5"/>
        <v>0</v>
      </c>
      <c r="M27" s="210">
        <f t="shared" si="6"/>
        <v>0</v>
      </c>
      <c r="N27" s="26">
        <v>44614</v>
      </c>
      <c r="O27" s="26">
        <v>44614</v>
      </c>
      <c r="P27" s="26">
        <v>44614</v>
      </c>
      <c r="Q27" s="2">
        <f t="shared" si="0"/>
        <v>1</v>
      </c>
      <c r="S27" s="7">
        <f t="shared" si="7"/>
        <v>1</v>
      </c>
      <c r="T27" s="157">
        <f t="shared" si="8"/>
        <v>1</v>
      </c>
      <c r="V27" s="191">
        <f t="shared" si="1"/>
        <v>2</v>
      </c>
      <c r="W27" s="7">
        <f t="shared" si="2"/>
        <v>2022</v>
      </c>
    </row>
    <row r="28" spans="1:23" ht="31.95" customHeight="1" thickBot="1" x14ac:dyDescent="0.35">
      <c r="A28" s="15">
        <f t="shared" si="3"/>
        <v>5</v>
      </c>
      <c r="B28" s="26">
        <v>44614</v>
      </c>
      <c r="C28" s="51">
        <f t="shared" si="9"/>
        <v>24</v>
      </c>
      <c r="D28" s="27" t="s">
        <v>305</v>
      </c>
      <c r="E28" s="26" t="s">
        <v>11</v>
      </c>
      <c r="F28" s="28" t="s">
        <v>11</v>
      </c>
      <c r="G28" s="28" t="s">
        <v>11</v>
      </c>
      <c r="H28" s="254"/>
      <c r="I28" s="49">
        <v>5</v>
      </c>
      <c r="J28" s="49">
        <v>5</v>
      </c>
      <c r="K28" s="52">
        <f t="shared" si="4"/>
        <v>1</v>
      </c>
      <c r="L28" s="209">
        <f t="shared" si="5"/>
        <v>0</v>
      </c>
      <c r="M28" s="210">
        <f t="shared" si="6"/>
        <v>0</v>
      </c>
      <c r="N28" s="26">
        <v>44614</v>
      </c>
      <c r="O28" s="26">
        <v>44614</v>
      </c>
      <c r="P28" s="26">
        <v>44614</v>
      </c>
      <c r="Q28" s="2">
        <f t="shared" si="0"/>
        <v>1</v>
      </c>
      <c r="S28" s="7">
        <f t="shared" si="7"/>
        <v>1</v>
      </c>
      <c r="T28" s="157">
        <f t="shared" si="8"/>
        <v>1</v>
      </c>
      <c r="V28" s="191">
        <f t="shared" si="1"/>
        <v>2</v>
      </c>
      <c r="W28" s="7">
        <f t="shared" si="2"/>
        <v>2022</v>
      </c>
    </row>
    <row r="29" spans="1:23" ht="31.95" customHeight="1" thickBot="1" x14ac:dyDescent="0.35">
      <c r="A29" s="15">
        <f t="shared" si="3"/>
        <v>1</v>
      </c>
      <c r="B29" s="26">
        <v>44614</v>
      </c>
      <c r="C29" s="51">
        <f t="shared" si="9"/>
        <v>25</v>
      </c>
      <c r="D29" s="27" t="s">
        <v>853</v>
      </c>
      <c r="E29" s="26" t="s">
        <v>11</v>
      </c>
      <c r="F29" s="28" t="s">
        <v>11</v>
      </c>
      <c r="G29" s="28" t="s">
        <v>11</v>
      </c>
      <c r="H29" s="254"/>
      <c r="I29" s="49">
        <v>1</v>
      </c>
      <c r="J29" s="49">
        <v>1</v>
      </c>
      <c r="K29" s="52">
        <f t="shared" si="4"/>
        <v>1</v>
      </c>
      <c r="L29" s="209">
        <f t="shared" si="5"/>
        <v>0</v>
      </c>
      <c r="M29" s="210">
        <f t="shared" si="6"/>
        <v>0</v>
      </c>
      <c r="N29" s="26">
        <v>44614</v>
      </c>
      <c r="O29" s="26">
        <v>44614</v>
      </c>
      <c r="P29" s="26">
        <v>44614</v>
      </c>
      <c r="Q29" s="2">
        <f t="shared" si="0"/>
        <v>1</v>
      </c>
      <c r="S29" s="7">
        <f t="shared" si="7"/>
        <v>1</v>
      </c>
      <c r="T29" s="157">
        <f t="shared" si="8"/>
        <v>1</v>
      </c>
      <c r="V29" s="191">
        <f t="shared" si="1"/>
        <v>2</v>
      </c>
      <c r="W29" s="7">
        <f t="shared" si="2"/>
        <v>2022</v>
      </c>
    </row>
    <row r="30" spans="1:23" ht="31.95" customHeight="1" thickBot="1" x14ac:dyDescent="0.35">
      <c r="A30" s="15">
        <f t="shared" si="3"/>
        <v>9</v>
      </c>
      <c r="B30" s="26">
        <v>44616</v>
      </c>
      <c r="C30" s="51">
        <f t="shared" si="9"/>
        <v>26</v>
      </c>
      <c r="D30" s="27" t="s">
        <v>1121</v>
      </c>
      <c r="E30" s="26" t="s">
        <v>8</v>
      </c>
      <c r="F30" s="28" t="s">
        <v>11</v>
      </c>
      <c r="G30" s="28" t="s">
        <v>11</v>
      </c>
      <c r="H30" s="254"/>
      <c r="I30" s="49">
        <v>9</v>
      </c>
      <c r="J30" s="49">
        <v>9</v>
      </c>
      <c r="K30" s="52">
        <f t="shared" si="4"/>
        <v>1</v>
      </c>
      <c r="L30" s="209">
        <f t="shared" si="5"/>
        <v>0</v>
      </c>
      <c r="M30" s="210">
        <f t="shared" si="6"/>
        <v>0</v>
      </c>
      <c r="N30" s="26">
        <v>44627</v>
      </c>
      <c r="O30" s="26">
        <v>44627</v>
      </c>
      <c r="P30" s="26">
        <v>44627</v>
      </c>
      <c r="Q30" s="2">
        <f t="shared" si="0"/>
        <v>1</v>
      </c>
      <c r="S30" s="7">
        <f t="shared" si="7"/>
        <v>1</v>
      </c>
      <c r="T30" s="157">
        <f t="shared" si="8"/>
        <v>1</v>
      </c>
      <c r="V30" s="191">
        <f t="shared" si="1"/>
        <v>2</v>
      </c>
      <c r="W30" s="7">
        <f t="shared" si="2"/>
        <v>2022</v>
      </c>
    </row>
    <row r="31" spans="1:23" ht="31.95" customHeight="1" thickBot="1" x14ac:dyDescent="0.35">
      <c r="A31" s="15">
        <f t="shared" si="3"/>
        <v>1</v>
      </c>
      <c r="B31" s="26">
        <v>44616</v>
      </c>
      <c r="C31" s="51">
        <f t="shared" si="9"/>
        <v>27</v>
      </c>
      <c r="D31" s="27" t="s">
        <v>305</v>
      </c>
      <c r="E31" s="26" t="s">
        <v>11</v>
      </c>
      <c r="F31" s="28" t="s">
        <v>11</v>
      </c>
      <c r="G31" s="28" t="s">
        <v>11</v>
      </c>
      <c r="H31" s="254"/>
      <c r="I31" s="49">
        <v>1</v>
      </c>
      <c r="J31" s="49">
        <v>1</v>
      </c>
      <c r="K31" s="52">
        <f t="shared" si="4"/>
        <v>1</v>
      </c>
      <c r="L31" s="209">
        <f t="shared" si="5"/>
        <v>0</v>
      </c>
      <c r="M31" s="210">
        <f t="shared" si="6"/>
        <v>0</v>
      </c>
      <c r="N31" s="26">
        <v>44616</v>
      </c>
      <c r="O31" s="26">
        <v>44616</v>
      </c>
      <c r="P31" s="26">
        <v>44616</v>
      </c>
      <c r="Q31" s="2">
        <f t="shared" si="0"/>
        <v>1</v>
      </c>
      <c r="S31" s="7">
        <f t="shared" si="7"/>
        <v>1</v>
      </c>
      <c r="T31" s="157">
        <f t="shared" si="8"/>
        <v>1</v>
      </c>
      <c r="V31" s="191">
        <f t="shared" si="1"/>
        <v>2</v>
      </c>
      <c r="W31" s="7">
        <f t="shared" si="2"/>
        <v>2022</v>
      </c>
    </row>
    <row r="32" spans="1:23" ht="31.95" customHeight="1" thickBot="1" x14ac:dyDescent="0.35">
      <c r="A32" s="15">
        <f t="shared" si="3"/>
        <v>3</v>
      </c>
      <c r="B32" s="26">
        <v>44616</v>
      </c>
      <c r="C32" s="51">
        <f t="shared" si="9"/>
        <v>28</v>
      </c>
      <c r="D32" s="27" t="s">
        <v>781</v>
      </c>
      <c r="E32" s="26" t="s">
        <v>11</v>
      </c>
      <c r="F32" s="28" t="s">
        <v>11</v>
      </c>
      <c r="G32" s="28" t="s">
        <v>11</v>
      </c>
      <c r="H32" s="254"/>
      <c r="I32" s="49">
        <v>3</v>
      </c>
      <c r="J32" s="49">
        <v>3</v>
      </c>
      <c r="K32" s="52">
        <f t="shared" si="4"/>
        <v>1</v>
      </c>
      <c r="L32" s="209">
        <f t="shared" si="5"/>
        <v>0</v>
      </c>
      <c r="M32" s="210">
        <f t="shared" si="6"/>
        <v>0</v>
      </c>
      <c r="N32" s="26">
        <v>44616</v>
      </c>
      <c r="O32" s="26">
        <v>44616</v>
      </c>
      <c r="P32" s="26">
        <v>44616</v>
      </c>
      <c r="Q32" s="2">
        <f t="shared" si="0"/>
        <v>1</v>
      </c>
      <c r="S32" s="7">
        <f t="shared" si="7"/>
        <v>1</v>
      </c>
      <c r="T32" s="157">
        <f t="shared" si="8"/>
        <v>1</v>
      </c>
      <c r="V32" s="191">
        <f t="shared" si="1"/>
        <v>2</v>
      </c>
      <c r="W32" s="7">
        <f t="shared" si="2"/>
        <v>2022</v>
      </c>
    </row>
    <row r="33" spans="1:23" ht="31.95" customHeight="1" thickBot="1" x14ac:dyDescent="0.35">
      <c r="A33" s="15">
        <f t="shared" si="3"/>
        <v>5</v>
      </c>
      <c r="B33" s="26">
        <v>44617</v>
      </c>
      <c r="C33" s="51">
        <f t="shared" si="9"/>
        <v>29</v>
      </c>
      <c r="D33" s="27" t="s">
        <v>344</v>
      </c>
      <c r="E33" s="26" t="s">
        <v>11</v>
      </c>
      <c r="F33" s="28" t="s">
        <v>11</v>
      </c>
      <c r="G33" s="28" t="s">
        <v>11</v>
      </c>
      <c r="H33" s="254"/>
      <c r="I33" s="49">
        <v>5</v>
      </c>
      <c r="J33" s="49">
        <v>5</v>
      </c>
      <c r="K33" s="52">
        <f t="shared" si="4"/>
        <v>1</v>
      </c>
      <c r="L33" s="209">
        <f t="shared" si="5"/>
        <v>0</v>
      </c>
      <c r="M33" s="210">
        <f t="shared" si="6"/>
        <v>0</v>
      </c>
      <c r="N33" s="26">
        <v>44617</v>
      </c>
      <c r="O33" s="26">
        <v>44617</v>
      </c>
      <c r="P33" s="26">
        <v>44617</v>
      </c>
      <c r="Q33" s="2">
        <f t="shared" si="0"/>
        <v>1</v>
      </c>
      <c r="S33" s="7">
        <f t="shared" si="7"/>
        <v>1</v>
      </c>
      <c r="T33" s="157">
        <f t="shared" si="8"/>
        <v>1</v>
      </c>
      <c r="V33" s="191">
        <f t="shared" si="1"/>
        <v>2</v>
      </c>
      <c r="W33" s="7">
        <f t="shared" si="2"/>
        <v>2022</v>
      </c>
    </row>
    <row r="34" spans="1:23" ht="31.95" customHeight="1" thickBot="1" x14ac:dyDescent="0.35">
      <c r="A34" s="15">
        <f t="shared" si="3"/>
        <v>1</v>
      </c>
      <c r="B34" s="26">
        <v>44617</v>
      </c>
      <c r="C34" s="51">
        <f t="shared" si="9"/>
        <v>30</v>
      </c>
      <c r="D34" s="27" t="s">
        <v>546</v>
      </c>
      <c r="E34" s="26" t="s">
        <v>11</v>
      </c>
      <c r="F34" s="28" t="s">
        <v>11</v>
      </c>
      <c r="G34" s="28" t="s">
        <v>11</v>
      </c>
      <c r="H34" s="254"/>
      <c r="I34" s="49">
        <v>1</v>
      </c>
      <c r="J34" s="49">
        <v>1</v>
      </c>
      <c r="K34" s="52">
        <f t="shared" si="4"/>
        <v>1</v>
      </c>
      <c r="L34" s="209">
        <f t="shared" si="5"/>
        <v>0</v>
      </c>
      <c r="M34" s="210">
        <f t="shared" si="6"/>
        <v>0</v>
      </c>
      <c r="N34" s="26">
        <v>44618</v>
      </c>
      <c r="O34" s="26">
        <v>44618</v>
      </c>
      <c r="P34" s="26">
        <v>44618</v>
      </c>
      <c r="Q34" s="2">
        <f t="shared" si="0"/>
        <v>1</v>
      </c>
      <c r="S34" s="7">
        <f t="shared" si="7"/>
        <v>1</v>
      </c>
      <c r="T34" s="157">
        <f t="shared" si="8"/>
        <v>1</v>
      </c>
      <c r="V34" s="191">
        <f t="shared" si="1"/>
        <v>2</v>
      </c>
      <c r="W34" s="7">
        <f t="shared" si="2"/>
        <v>2022</v>
      </c>
    </row>
    <row r="35" spans="1:23" ht="31.95" customHeight="1" thickBot="1" x14ac:dyDescent="0.35">
      <c r="A35" s="15">
        <f t="shared" si="3"/>
        <v>9</v>
      </c>
      <c r="B35" s="26">
        <v>44617</v>
      </c>
      <c r="C35" s="51">
        <f t="shared" si="9"/>
        <v>31</v>
      </c>
      <c r="D35" s="27" t="s">
        <v>305</v>
      </c>
      <c r="E35" s="26" t="s">
        <v>11</v>
      </c>
      <c r="F35" s="28" t="s">
        <v>11</v>
      </c>
      <c r="G35" s="28" t="s">
        <v>11</v>
      </c>
      <c r="H35" s="254"/>
      <c r="I35" s="49">
        <v>9</v>
      </c>
      <c r="J35" s="49">
        <v>9</v>
      </c>
      <c r="K35" s="52">
        <f t="shared" si="4"/>
        <v>1</v>
      </c>
      <c r="L35" s="209">
        <f t="shared" si="5"/>
        <v>0</v>
      </c>
      <c r="M35" s="210">
        <f t="shared" si="6"/>
        <v>0</v>
      </c>
      <c r="N35" s="26">
        <v>44617</v>
      </c>
      <c r="O35" s="26">
        <v>44617</v>
      </c>
      <c r="P35" s="26">
        <v>44617</v>
      </c>
      <c r="Q35" s="2">
        <f t="shared" si="0"/>
        <v>1</v>
      </c>
      <c r="S35" s="7">
        <f t="shared" si="7"/>
        <v>1</v>
      </c>
      <c r="T35" s="157">
        <f t="shared" si="8"/>
        <v>1</v>
      </c>
      <c r="V35" s="191">
        <f t="shared" si="1"/>
        <v>2</v>
      </c>
      <c r="W35" s="7">
        <f t="shared" si="2"/>
        <v>2022</v>
      </c>
    </row>
    <row r="36" spans="1:23" ht="31.95" customHeight="1" thickBot="1" x14ac:dyDescent="0.35">
      <c r="A36" s="15">
        <f t="shared" si="3"/>
        <v>1</v>
      </c>
      <c r="B36" s="26">
        <v>44617</v>
      </c>
      <c r="C36" s="51">
        <f t="shared" si="9"/>
        <v>32</v>
      </c>
      <c r="D36" s="27" t="s">
        <v>705</v>
      </c>
      <c r="E36" s="26" t="s">
        <v>11</v>
      </c>
      <c r="F36" s="28" t="s">
        <v>11</v>
      </c>
      <c r="G36" s="28" t="s">
        <v>11</v>
      </c>
      <c r="H36" s="254"/>
      <c r="I36" s="49">
        <v>1</v>
      </c>
      <c r="J36" s="49">
        <v>1</v>
      </c>
      <c r="K36" s="52">
        <f t="shared" si="4"/>
        <v>1</v>
      </c>
      <c r="L36" s="209">
        <f t="shared" si="5"/>
        <v>0</v>
      </c>
      <c r="M36" s="210">
        <f t="shared" si="6"/>
        <v>0</v>
      </c>
      <c r="N36" s="26">
        <v>44617</v>
      </c>
      <c r="O36" s="26">
        <v>44617</v>
      </c>
      <c r="P36" s="26">
        <v>44617</v>
      </c>
      <c r="Q36" s="2">
        <f t="shared" si="0"/>
        <v>1</v>
      </c>
      <c r="S36" s="7">
        <f t="shared" si="7"/>
        <v>1</v>
      </c>
      <c r="T36" s="157">
        <f t="shared" si="8"/>
        <v>1</v>
      </c>
      <c r="V36" s="191">
        <f t="shared" si="1"/>
        <v>2</v>
      </c>
      <c r="W36" s="7">
        <f t="shared" si="2"/>
        <v>2022</v>
      </c>
    </row>
    <row r="37" spans="1:23" ht="31.95" customHeight="1" thickBot="1" x14ac:dyDescent="0.35">
      <c r="A37" s="15">
        <f t="shared" si="3"/>
        <v>2</v>
      </c>
      <c r="B37" s="26">
        <v>44623</v>
      </c>
      <c r="C37" s="51">
        <f t="shared" si="9"/>
        <v>33</v>
      </c>
      <c r="D37" s="27" t="s">
        <v>344</v>
      </c>
      <c r="E37" s="26" t="s">
        <v>11</v>
      </c>
      <c r="F37" s="28" t="s">
        <v>11</v>
      </c>
      <c r="G37" s="28" t="s">
        <v>11</v>
      </c>
      <c r="H37" s="254"/>
      <c r="I37" s="49">
        <v>2</v>
      </c>
      <c r="J37" s="49">
        <v>2</v>
      </c>
      <c r="K37" s="52">
        <f t="shared" si="4"/>
        <v>1</v>
      </c>
      <c r="L37" s="209">
        <f t="shared" si="5"/>
        <v>0</v>
      </c>
      <c r="M37" s="210">
        <f t="shared" si="6"/>
        <v>0</v>
      </c>
      <c r="N37" s="26">
        <v>44623</v>
      </c>
      <c r="O37" s="26">
        <v>44623</v>
      </c>
      <c r="P37" s="26">
        <v>44623</v>
      </c>
      <c r="Q37" s="2">
        <f t="shared" si="0"/>
        <v>1</v>
      </c>
      <c r="S37" s="7">
        <f t="shared" si="7"/>
        <v>1</v>
      </c>
      <c r="T37" s="157">
        <f t="shared" si="8"/>
        <v>1</v>
      </c>
      <c r="V37" s="191">
        <f t="shared" si="1"/>
        <v>3</v>
      </c>
      <c r="W37" s="7">
        <f t="shared" si="2"/>
        <v>2022</v>
      </c>
    </row>
    <row r="38" spans="1:23" ht="31.95" customHeight="1" thickBot="1" x14ac:dyDescent="0.35">
      <c r="A38" s="15">
        <f t="shared" si="3"/>
        <v>1</v>
      </c>
      <c r="B38" s="26">
        <v>44624</v>
      </c>
      <c r="C38" s="51">
        <f t="shared" si="9"/>
        <v>34</v>
      </c>
      <c r="D38" s="27" t="s">
        <v>705</v>
      </c>
      <c r="E38" s="26" t="s">
        <v>11</v>
      </c>
      <c r="F38" s="28" t="s">
        <v>11</v>
      </c>
      <c r="G38" s="28" t="s">
        <v>11</v>
      </c>
      <c r="H38" s="254"/>
      <c r="I38" s="49">
        <v>1</v>
      </c>
      <c r="J38" s="49">
        <v>1</v>
      </c>
      <c r="K38" s="52">
        <f t="shared" si="4"/>
        <v>1</v>
      </c>
      <c r="L38" s="209">
        <f t="shared" si="5"/>
        <v>0</v>
      </c>
      <c r="M38" s="210">
        <f t="shared" si="6"/>
        <v>0</v>
      </c>
      <c r="N38" s="26">
        <v>44624</v>
      </c>
      <c r="O38" s="26">
        <v>44624</v>
      </c>
      <c r="P38" s="26">
        <v>44624</v>
      </c>
      <c r="Q38" s="2">
        <f t="shared" si="0"/>
        <v>1</v>
      </c>
      <c r="S38" s="7">
        <f t="shared" si="7"/>
        <v>1</v>
      </c>
      <c r="T38" s="157">
        <f t="shared" si="8"/>
        <v>1</v>
      </c>
      <c r="V38" s="191">
        <f t="shared" si="1"/>
        <v>3</v>
      </c>
      <c r="W38" s="7">
        <f t="shared" si="2"/>
        <v>2022</v>
      </c>
    </row>
    <row r="39" spans="1:23" ht="31.95" customHeight="1" thickBot="1" x14ac:dyDescent="0.35">
      <c r="A39" s="15">
        <f t="shared" si="3"/>
        <v>2</v>
      </c>
      <c r="B39" s="26">
        <v>44624</v>
      </c>
      <c r="C39" s="51">
        <f t="shared" si="9"/>
        <v>35</v>
      </c>
      <c r="D39" s="27" t="s">
        <v>858</v>
      </c>
      <c r="E39" s="26" t="s">
        <v>11</v>
      </c>
      <c r="F39" s="28" t="s">
        <v>11</v>
      </c>
      <c r="G39" s="28" t="s">
        <v>11</v>
      </c>
      <c r="H39" s="254"/>
      <c r="I39" s="49">
        <v>2</v>
      </c>
      <c r="J39" s="49">
        <v>2</v>
      </c>
      <c r="K39" s="52">
        <f t="shared" si="4"/>
        <v>1</v>
      </c>
      <c r="L39" s="209">
        <f t="shared" si="5"/>
        <v>0</v>
      </c>
      <c r="M39" s="210">
        <f t="shared" si="6"/>
        <v>0</v>
      </c>
      <c r="N39" s="26">
        <v>44624</v>
      </c>
      <c r="O39" s="26">
        <v>44624</v>
      </c>
      <c r="P39" s="26">
        <v>44624</v>
      </c>
      <c r="Q39" s="2">
        <f t="shared" si="0"/>
        <v>1</v>
      </c>
      <c r="S39" s="7">
        <f t="shared" si="7"/>
        <v>1</v>
      </c>
      <c r="T39" s="157">
        <f t="shared" si="8"/>
        <v>1</v>
      </c>
      <c r="V39" s="191">
        <f t="shared" si="1"/>
        <v>3</v>
      </c>
      <c r="W39" s="7">
        <f t="shared" si="2"/>
        <v>2022</v>
      </c>
    </row>
    <row r="40" spans="1:23" ht="31.95" customHeight="1" thickBot="1" x14ac:dyDescent="0.35">
      <c r="A40" s="15">
        <f t="shared" si="3"/>
        <v>6</v>
      </c>
      <c r="B40" s="26">
        <v>44624</v>
      </c>
      <c r="C40" s="51">
        <f t="shared" si="9"/>
        <v>36</v>
      </c>
      <c r="D40" s="27" t="s">
        <v>305</v>
      </c>
      <c r="E40" s="26" t="s">
        <v>11</v>
      </c>
      <c r="F40" s="28" t="s">
        <v>11</v>
      </c>
      <c r="G40" s="28" t="s">
        <v>11</v>
      </c>
      <c r="H40" s="254"/>
      <c r="I40" s="49">
        <v>6</v>
      </c>
      <c r="J40" s="49">
        <v>6</v>
      </c>
      <c r="K40" s="52">
        <f t="shared" si="4"/>
        <v>1</v>
      </c>
      <c r="L40" s="209">
        <f t="shared" si="5"/>
        <v>0</v>
      </c>
      <c r="M40" s="210">
        <f t="shared" si="6"/>
        <v>0</v>
      </c>
      <c r="N40" s="26">
        <v>44624</v>
      </c>
      <c r="O40" s="26">
        <v>44624</v>
      </c>
      <c r="P40" s="26">
        <v>44624</v>
      </c>
      <c r="Q40" s="2">
        <f t="shared" si="0"/>
        <v>1</v>
      </c>
      <c r="S40" s="7">
        <f t="shared" si="7"/>
        <v>1</v>
      </c>
      <c r="T40" s="157">
        <f t="shared" si="8"/>
        <v>1</v>
      </c>
      <c r="V40" s="191">
        <f t="shared" si="1"/>
        <v>3</v>
      </c>
      <c r="W40" s="7">
        <f t="shared" si="2"/>
        <v>2022</v>
      </c>
    </row>
    <row r="41" spans="1:23" ht="31.95" customHeight="1" thickBot="1" x14ac:dyDescent="0.35">
      <c r="A41" s="15">
        <f t="shared" si="3"/>
        <v>0</v>
      </c>
      <c r="B41" s="26">
        <v>44624</v>
      </c>
      <c r="C41" s="51">
        <f t="shared" si="9"/>
        <v>37</v>
      </c>
      <c r="D41" s="27"/>
      <c r="E41" s="26" t="s">
        <v>11</v>
      </c>
      <c r="F41" s="28" t="s">
        <v>11</v>
      </c>
      <c r="G41" s="28" t="s">
        <v>11</v>
      </c>
      <c r="H41" s="254"/>
      <c r="I41" s="49">
        <v>0</v>
      </c>
      <c r="J41" s="49">
        <v>0</v>
      </c>
      <c r="K41" s="52" t="str">
        <f>IFERROR(J41/I41,"")</f>
        <v/>
      </c>
      <c r="L41" s="209">
        <f>IF(I41="","",I41-J41)</f>
        <v>0</v>
      </c>
      <c r="M41" s="210" t="str">
        <f>IFERROR(1-K41,"")</f>
        <v/>
      </c>
      <c r="N41" s="28" t="s">
        <v>11</v>
      </c>
      <c r="O41" s="28" t="s">
        <v>11</v>
      </c>
      <c r="P41" s="28" t="s">
        <v>11</v>
      </c>
      <c r="Q41" s="2">
        <f t="shared" si="0"/>
        <v>1</v>
      </c>
      <c r="S41" s="7">
        <f t="shared" si="7"/>
        <v>1</v>
      </c>
      <c r="T41" s="157">
        <f t="shared" si="8"/>
        <v>1</v>
      </c>
      <c r="V41" s="191">
        <f t="shared" si="1"/>
        <v>3</v>
      </c>
      <c r="W41" s="7">
        <f t="shared" si="2"/>
        <v>2022</v>
      </c>
    </row>
    <row r="42" spans="1:23" ht="31.95" customHeight="1" thickBot="1" x14ac:dyDescent="0.35">
      <c r="A42" s="15">
        <f t="shared" si="3"/>
        <v>1</v>
      </c>
      <c r="B42" s="26">
        <v>44624</v>
      </c>
      <c r="C42" s="51">
        <f t="shared" si="9"/>
        <v>38</v>
      </c>
      <c r="D42" s="27" t="s">
        <v>344</v>
      </c>
      <c r="E42" s="26" t="s">
        <v>11</v>
      </c>
      <c r="F42" s="28" t="s">
        <v>11</v>
      </c>
      <c r="G42" s="28" t="s">
        <v>11</v>
      </c>
      <c r="H42" s="254"/>
      <c r="I42" s="49">
        <v>1</v>
      </c>
      <c r="J42" s="49">
        <v>1</v>
      </c>
      <c r="K42" s="52">
        <f t="shared" si="4"/>
        <v>1</v>
      </c>
      <c r="L42" s="209">
        <f t="shared" si="5"/>
        <v>0</v>
      </c>
      <c r="M42" s="210">
        <f t="shared" si="6"/>
        <v>0</v>
      </c>
      <c r="N42" s="26">
        <v>44624</v>
      </c>
      <c r="O42" s="26">
        <v>44624</v>
      </c>
      <c r="P42" s="26">
        <v>44624</v>
      </c>
      <c r="Q42" s="2">
        <f t="shared" si="0"/>
        <v>1</v>
      </c>
      <c r="S42" s="7">
        <f t="shared" si="7"/>
        <v>1</v>
      </c>
      <c r="T42" s="157">
        <f t="shared" si="8"/>
        <v>1</v>
      </c>
      <c r="V42" s="191">
        <f t="shared" si="1"/>
        <v>3</v>
      </c>
      <c r="W42" s="7">
        <f t="shared" si="2"/>
        <v>2022</v>
      </c>
    </row>
    <row r="43" spans="1:23" ht="31.95" customHeight="1" thickBot="1" x14ac:dyDescent="0.35">
      <c r="A43" s="15">
        <f t="shared" si="3"/>
        <v>1</v>
      </c>
      <c r="B43" s="26">
        <v>44624</v>
      </c>
      <c r="C43" s="51">
        <f t="shared" si="9"/>
        <v>39</v>
      </c>
      <c r="D43" s="27" t="s">
        <v>488</v>
      </c>
      <c r="E43" s="26" t="s">
        <v>8</v>
      </c>
      <c r="F43" s="28" t="s">
        <v>11</v>
      </c>
      <c r="G43" s="28" t="s">
        <v>11</v>
      </c>
      <c r="H43" s="254"/>
      <c r="I43" s="49">
        <v>1</v>
      </c>
      <c r="J43" s="49">
        <v>1</v>
      </c>
      <c r="K43" s="52">
        <f t="shared" si="4"/>
        <v>1</v>
      </c>
      <c r="L43" s="209">
        <f t="shared" si="5"/>
        <v>0</v>
      </c>
      <c r="M43" s="210">
        <f t="shared" si="6"/>
        <v>0</v>
      </c>
      <c r="N43" s="26">
        <v>44624</v>
      </c>
      <c r="O43" s="26">
        <v>44624</v>
      </c>
      <c r="P43" s="26">
        <v>44624</v>
      </c>
      <c r="Q43" s="2">
        <f t="shared" si="0"/>
        <v>1</v>
      </c>
      <c r="S43" s="7">
        <f t="shared" si="7"/>
        <v>1</v>
      </c>
      <c r="T43" s="157">
        <f t="shared" si="8"/>
        <v>1</v>
      </c>
      <c r="V43" s="191">
        <f t="shared" si="1"/>
        <v>3</v>
      </c>
      <c r="W43" s="7">
        <f t="shared" si="2"/>
        <v>2022</v>
      </c>
    </row>
    <row r="44" spans="1:23" ht="31.95" customHeight="1" thickBot="1" x14ac:dyDescent="0.35">
      <c r="A44" s="15">
        <f t="shared" si="3"/>
        <v>3</v>
      </c>
      <c r="B44" s="26">
        <v>44629</v>
      </c>
      <c r="C44" s="51">
        <f t="shared" si="9"/>
        <v>40</v>
      </c>
      <c r="D44" s="27" t="s">
        <v>705</v>
      </c>
      <c r="E44" s="26" t="s">
        <v>8</v>
      </c>
      <c r="F44" s="28" t="s">
        <v>11</v>
      </c>
      <c r="G44" s="28" t="s">
        <v>11</v>
      </c>
      <c r="H44" s="254"/>
      <c r="I44" s="49">
        <v>3</v>
      </c>
      <c r="J44" s="49">
        <v>3</v>
      </c>
      <c r="K44" s="52">
        <f t="shared" si="4"/>
        <v>1</v>
      </c>
      <c r="L44" s="209">
        <f t="shared" si="5"/>
        <v>0</v>
      </c>
      <c r="M44" s="210">
        <f t="shared" si="6"/>
        <v>0</v>
      </c>
      <c r="N44" s="26">
        <v>44629</v>
      </c>
      <c r="O44" s="26">
        <v>44629</v>
      </c>
      <c r="P44" s="26">
        <v>44629</v>
      </c>
      <c r="Q44" s="2">
        <f t="shared" si="0"/>
        <v>1</v>
      </c>
      <c r="S44" s="7">
        <f t="shared" si="7"/>
        <v>1</v>
      </c>
      <c r="T44" s="157">
        <f t="shared" si="8"/>
        <v>1</v>
      </c>
      <c r="V44" s="191">
        <f t="shared" si="1"/>
        <v>3</v>
      </c>
      <c r="W44" s="7">
        <f t="shared" si="2"/>
        <v>2022</v>
      </c>
    </row>
    <row r="45" spans="1:23" ht="31.95" customHeight="1" thickBot="1" x14ac:dyDescent="0.35">
      <c r="A45" s="15">
        <f t="shared" si="3"/>
        <v>7</v>
      </c>
      <c r="B45" s="26">
        <v>44629</v>
      </c>
      <c r="C45" s="51">
        <f t="shared" si="9"/>
        <v>41</v>
      </c>
      <c r="D45" s="27" t="s">
        <v>305</v>
      </c>
      <c r="E45" s="26" t="s">
        <v>8</v>
      </c>
      <c r="F45" s="28" t="s">
        <v>11</v>
      </c>
      <c r="G45" s="28" t="s">
        <v>11</v>
      </c>
      <c r="H45" s="254"/>
      <c r="I45" s="49">
        <v>7</v>
      </c>
      <c r="J45" s="49">
        <v>7</v>
      </c>
      <c r="K45" s="52">
        <f t="shared" si="4"/>
        <v>1</v>
      </c>
      <c r="L45" s="209">
        <f t="shared" si="5"/>
        <v>0</v>
      </c>
      <c r="M45" s="210">
        <f t="shared" si="6"/>
        <v>0</v>
      </c>
      <c r="N45" s="26">
        <v>44629</v>
      </c>
      <c r="O45" s="26">
        <v>44629</v>
      </c>
      <c r="P45" s="26">
        <v>44629</v>
      </c>
      <c r="Q45" s="2">
        <f t="shared" si="0"/>
        <v>1</v>
      </c>
      <c r="S45" s="7">
        <f t="shared" si="7"/>
        <v>1</v>
      </c>
      <c r="T45" s="157">
        <f t="shared" si="8"/>
        <v>1</v>
      </c>
      <c r="V45" s="191">
        <f t="shared" si="1"/>
        <v>3</v>
      </c>
      <c r="W45" s="7">
        <f t="shared" si="2"/>
        <v>2022</v>
      </c>
    </row>
    <row r="46" spans="1:23" ht="31.95" customHeight="1" thickBot="1" x14ac:dyDescent="0.35">
      <c r="A46" s="15">
        <f t="shared" si="3"/>
        <v>1</v>
      </c>
      <c r="B46" s="26">
        <v>44629</v>
      </c>
      <c r="C46" s="51">
        <f t="shared" si="9"/>
        <v>42</v>
      </c>
      <c r="D46" s="27" t="s">
        <v>344</v>
      </c>
      <c r="E46" s="26" t="s">
        <v>11</v>
      </c>
      <c r="F46" s="28" t="s">
        <v>11</v>
      </c>
      <c r="G46" s="28" t="s">
        <v>11</v>
      </c>
      <c r="H46" s="254"/>
      <c r="I46" s="49">
        <v>1</v>
      </c>
      <c r="J46" s="49">
        <v>1</v>
      </c>
      <c r="K46" s="52">
        <f t="shared" si="4"/>
        <v>1</v>
      </c>
      <c r="L46" s="209">
        <f t="shared" si="5"/>
        <v>0</v>
      </c>
      <c r="M46" s="210">
        <f t="shared" si="6"/>
        <v>0</v>
      </c>
      <c r="N46" s="26">
        <v>44629</v>
      </c>
      <c r="O46" s="26">
        <v>44629</v>
      </c>
      <c r="P46" s="26">
        <v>44629</v>
      </c>
      <c r="Q46" s="2">
        <f t="shared" si="0"/>
        <v>1</v>
      </c>
      <c r="S46" s="7">
        <f t="shared" si="7"/>
        <v>1</v>
      </c>
      <c r="T46" s="157">
        <f t="shared" si="8"/>
        <v>1</v>
      </c>
      <c r="V46" s="191">
        <f t="shared" si="1"/>
        <v>3</v>
      </c>
      <c r="W46" s="7">
        <f t="shared" si="2"/>
        <v>2022</v>
      </c>
    </row>
    <row r="47" spans="1:23" ht="31.95" customHeight="1" thickBot="1" x14ac:dyDescent="0.35">
      <c r="A47" s="15">
        <f t="shared" si="3"/>
        <v>1</v>
      </c>
      <c r="B47" s="26">
        <v>44631</v>
      </c>
      <c r="C47" s="51">
        <f t="shared" si="9"/>
        <v>43</v>
      </c>
      <c r="D47" s="27" t="s">
        <v>344</v>
      </c>
      <c r="E47" s="26" t="s">
        <v>8</v>
      </c>
      <c r="F47" s="28" t="s">
        <v>11</v>
      </c>
      <c r="G47" s="28" t="s">
        <v>11</v>
      </c>
      <c r="H47" s="254"/>
      <c r="I47" s="49">
        <v>1</v>
      </c>
      <c r="J47" s="49">
        <v>1</v>
      </c>
      <c r="K47" s="52">
        <f t="shared" si="4"/>
        <v>1</v>
      </c>
      <c r="L47" s="209">
        <f t="shared" si="5"/>
        <v>0</v>
      </c>
      <c r="M47" s="210">
        <f t="shared" si="6"/>
        <v>0</v>
      </c>
      <c r="N47" s="26">
        <v>44631</v>
      </c>
      <c r="O47" s="26">
        <v>44631</v>
      </c>
      <c r="P47" s="26">
        <v>44631</v>
      </c>
      <c r="Q47" s="2">
        <f t="shared" si="0"/>
        <v>1</v>
      </c>
      <c r="S47" s="7">
        <f t="shared" si="7"/>
        <v>1</v>
      </c>
      <c r="T47" s="157">
        <f t="shared" si="8"/>
        <v>1</v>
      </c>
      <c r="V47" s="191">
        <f t="shared" si="1"/>
        <v>3</v>
      </c>
      <c r="W47" s="7">
        <f t="shared" si="2"/>
        <v>2022</v>
      </c>
    </row>
    <row r="48" spans="1:23" ht="31.95" customHeight="1" thickBot="1" x14ac:dyDescent="0.35">
      <c r="A48" s="15">
        <f t="shared" si="3"/>
        <v>1</v>
      </c>
      <c r="B48" s="26">
        <v>44637</v>
      </c>
      <c r="C48" s="51">
        <f t="shared" si="9"/>
        <v>44</v>
      </c>
      <c r="D48" s="27" t="s">
        <v>1054</v>
      </c>
      <c r="E48" s="26" t="s">
        <v>10</v>
      </c>
      <c r="F48" s="28" t="s">
        <v>11</v>
      </c>
      <c r="G48" s="28" t="s">
        <v>11</v>
      </c>
      <c r="H48" s="254"/>
      <c r="I48" s="49">
        <v>1</v>
      </c>
      <c r="J48" s="49">
        <v>1</v>
      </c>
      <c r="K48" s="52">
        <f t="shared" si="4"/>
        <v>1</v>
      </c>
      <c r="L48" s="209">
        <f t="shared" si="5"/>
        <v>0</v>
      </c>
      <c r="M48" s="210">
        <f t="shared" si="6"/>
        <v>0</v>
      </c>
      <c r="N48" s="26">
        <v>44638</v>
      </c>
      <c r="O48" s="26">
        <v>44638</v>
      </c>
      <c r="P48" s="26">
        <v>44638</v>
      </c>
      <c r="Q48" s="2">
        <f t="shared" si="0"/>
        <v>1</v>
      </c>
      <c r="S48" s="7">
        <f t="shared" si="7"/>
        <v>1</v>
      </c>
      <c r="T48" s="157">
        <f t="shared" si="8"/>
        <v>1</v>
      </c>
      <c r="V48" s="191">
        <f t="shared" si="1"/>
        <v>3</v>
      </c>
      <c r="W48" s="7">
        <f t="shared" si="2"/>
        <v>2022</v>
      </c>
    </row>
    <row r="49" spans="1:23" ht="31.95" customHeight="1" thickBot="1" x14ac:dyDescent="0.35">
      <c r="A49" s="15">
        <f t="shared" si="3"/>
        <v>3</v>
      </c>
      <c r="B49" s="26">
        <v>44637</v>
      </c>
      <c r="C49" s="51">
        <f t="shared" si="9"/>
        <v>45</v>
      </c>
      <c r="D49" s="27" t="s">
        <v>838</v>
      </c>
      <c r="E49" s="26" t="s">
        <v>10</v>
      </c>
      <c r="F49" s="28" t="s">
        <v>11</v>
      </c>
      <c r="G49" s="28" t="s">
        <v>11</v>
      </c>
      <c r="H49" s="254"/>
      <c r="I49" s="49">
        <v>3</v>
      </c>
      <c r="J49" s="49">
        <v>3</v>
      </c>
      <c r="K49" s="52">
        <f t="shared" si="4"/>
        <v>1</v>
      </c>
      <c r="L49" s="209">
        <f t="shared" si="5"/>
        <v>0</v>
      </c>
      <c r="M49" s="210">
        <f t="shared" si="6"/>
        <v>0</v>
      </c>
      <c r="N49" s="26">
        <v>44644</v>
      </c>
      <c r="O49" s="26">
        <v>44644</v>
      </c>
      <c r="P49" s="26">
        <v>44644</v>
      </c>
      <c r="Q49" s="2">
        <f t="shared" si="0"/>
        <v>1</v>
      </c>
      <c r="S49" s="7">
        <f t="shared" si="7"/>
        <v>1</v>
      </c>
      <c r="T49" s="157">
        <f t="shared" si="8"/>
        <v>1</v>
      </c>
      <c r="V49" s="191">
        <f t="shared" si="1"/>
        <v>3</v>
      </c>
      <c r="W49" s="7">
        <f t="shared" si="2"/>
        <v>2022</v>
      </c>
    </row>
    <row r="50" spans="1:23" ht="31.95" customHeight="1" thickBot="1" x14ac:dyDescent="0.35">
      <c r="A50" s="15">
        <f t="shared" si="3"/>
        <v>10</v>
      </c>
      <c r="B50" s="26">
        <v>44637</v>
      </c>
      <c r="C50" s="51">
        <f t="shared" si="9"/>
        <v>46</v>
      </c>
      <c r="D50" s="27" t="s">
        <v>838</v>
      </c>
      <c r="E50" s="26" t="s">
        <v>14</v>
      </c>
      <c r="F50" s="28" t="s">
        <v>11</v>
      </c>
      <c r="G50" s="28" t="s">
        <v>11</v>
      </c>
      <c r="H50" s="254"/>
      <c r="I50" s="49">
        <v>10</v>
      </c>
      <c r="J50" s="49">
        <v>10</v>
      </c>
      <c r="K50" s="52">
        <f t="shared" si="4"/>
        <v>1</v>
      </c>
      <c r="L50" s="209">
        <f t="shared" si="5"/>
        <v>0</v>
      </c>
      <c r="M50" s="210">
        <f t="shared" si="6"/>
        <v>0</v>
      </c>
      <c r="N50" s="26">
        <v>44644</v>
      </c>
      <c r="O50" s="26">
        <v>44644</v>
      </c>
      <c r="P50" s="26">
        <v>44644</v>
      </c>
      <c r="Q50" s="2">
        <f t="shared" si="0"/>
        <v>1</v>
      </c>
      <c r="S50" s="7">
        <f t="shared" si="7"/>
        <v>1</v>
      </c>
      <c r="T50" s="157">
        <f t="shared" si="8"/>
        <v>1</v>
      </c>
      <c r="V50" s="191">
        <f t="shared" si="1"/>
        <v>3</v>
      </c>
      <c r="W50" s="7">
        <f t="shared" si="2"/>
        <v>2022</v>
      </c>
    </row>
    <row r="51" spans="1:23" ht="31.95" customHeight="1" thickBot="1" x14ac:dyDescent="0.35">
      <c r="A51" s="15">
        <f t="shared" si="3"/>
        <v>6</v>
      </c>
      <c r="B51" s="26">
        <v>44637</v>
      </c>
      <c r="C51" s="51">
        <f t="shared" si="9"/>
        <v>47</v>
      </c>
      <c r="D51" s="27" t="s">
        <v>838</v>
      </c>
      <c r="E51" s="26" t="s">
        <v>9</v>
      </c>
      <c r="F51" s="28" t="s">
        <v>11</v>
      </c>
      <c r="G51" s="28" t="s">
        <v>11</v>
      </c>
      <c r="H51" s="254"/>
      <c r="I51" s="49">
        <v>6</v>
      </c>
      <c r="J51" s="49">
        <v>6</v>
      </c>
      <c r="K51" s="52">
        <f t="shared" si="4"/>
        <v>1</v>
      </c>
      <c r="L51" s="209">
        <f t="shared" si="5"/>
        <v>0</v>
      </c>
      <c r="M51" s="210">
        <f t="shared" si="6"/>
        <v>0</v>
      </c>
      <c r="N51" s="26">
        <v>44644</v>
      </c>
      <c r="O51" s="26">
        <v>44644</v>
      </c>
      <c r="P51" s="26">
        <v>44644</v>
      </c>
      <c r="Q51" s="2">
        <f t="shared" si="0"/>
        <v>1</v>
      </c>
      <c r="S51" s="7">
        <f t="shared" si="7"/>
        <v>1</v>
      </c>
      <c r="T51" s="157">
        <f t="shared" si="8"/>
        <v>1</v>
      </c>
      <c r="V51" s="191">
        <f t="shared" si="1"/>
        <v>3</v>
      </c>
      <c r="W51" s="7">
        <f t="shared" si="2"/>
        <v>2022</v>
      </c>
    </row>
    <row r="52" spans="1:23" ht="31.95" customHeight="1" thickBot="1" x14ac:dyDescent="0.35">
      <c r="A52" s="15">
        <f t="shared" si="3"/>
        <v>1</v>
      </c>
      <c r="B52" s="26">
        <v>44637</v>
      </c>
      <c r="C52" s="51">
        <f t="shared" si="9"/>
        <v>48</v>
      </c>
      <c r="D52" s="27" t="s">
        <v>1054</v>
      </c>
      <c r="E52" s="26" t="s">
        <v>14</v>
      </c>
      <c r="F52" s="28" t="s">
        <v>11</v>
      </c>
      <c r="G52" s="28" t="s">
        <v>11</v>
      </c>
      <c r="H52" s="254"/>
      <c r="I52" s="49">
        <v>1</v>
      </c>
      <c r="J52" s="49">
        <v>1</v>
      </c>
      <c r="K52" s="52">
        <f t="shared" si="4"/>
        <v>1</v>
      </c>
      <c r="L52" s="209">
        <f t="shared" si="5"/>
        <v>0</v>
      </c>
      <c r="M52" s="210">
        <f t="shared" si="6"/>
        <v>0</v>
      </c>
      <c r="N52" s="26">
        <v>44638</v>
      </c>
      <c r="O52" s="26">
        <v>44638</v>
      </c>
      <c r="P52" s="26">
        <v>44638</v>
      </c>
      <c r="Q52" s="2">
        <f t="shared" si="0"/>
        <v>1</v>
      </c>
      <c r="S52" s="7">
        <f t="shared" si="7"/>
        <v>1</v>
      </c>
      <c r="T52" s="157">
        <f t="shared" si="8"/>
        <v>1</v>
      </c>
      <c r="V52" s="191">
        <f t="shared" si="1"/>
        <v>3</v>
      </c>
      <c r="W52" s="7">
        <f t="shared" si="2"/>
        <v>2022</v>
      </c>
    </row>
    <row r="53" spans="1:23" ht="31.95" customHeight="1" thickBot="1" x14ac:dyDescent="0.35">
      <c r="A53" s="15">
        <f t="shared" si="3"/>
        <v>1</v>
      </c>
      <c r="B53" s="26">
        <v>44637</v>
      </c>
      <c r="C53" s="51">
        <f t="shared" si="9"/>
        <v>49</v>
      </c>
      <c r="D53" s="27" t="s">
        <v>1054</v>
      </c>
      <c r="E53" s="26" t="s">
        <v>9</v>
      </c>
      <c r="F53" s="28" t="s">
        <v>11</v>
      </c>
      <c r="G53" s="28" t="s">
        <v>11</v>
      </c>
      <c r="H53" s="254"/>
      <c r="I53" s="49">
        <v>1</v>
      </c>
      <c r="J53" s="49">
        <v>1</v>
      </c>
      <c r="K53" s="52">
        <f t="shared" si="4"/>
        <v>1</v>
      </c>
      <c r="L53" s="209">
        <f t="shared" si="5"/>
        <v>0</v>
      </c>
      <c r="M53" s="210">
        <f t="shared" si="6"/>
        <v>0</v>
      </c>
      <c r="N53" s="26">
        <v>44638</v>
      </c>
      <c r="O53" s="26">
        <v>44638</v>
      </c>
      <c r="P53" s="26">
        <v>44638</v>
      </c>
      <c r="Q53" s="2">
        <f t="shared" si="0"/>
        <v>1</v>
      </c>
      <c r="S53" s="7">
        <f t="shared" si="7"/>
        <v>1</v>
      </c>
      <c r="T53" s="157">
        <f t="shared" si="8"/>
        <v>1</v>
      </c>
      <c r="V53" s="191">
        <f t="shared" si="1"/>
        <v>3</v>
      </c>
      <c r="W53" s="7">
        <f t="shared" si="2"/>
        <v>2022</v>
      </c>
    </row>
    <row r="54" spans="1:23" ht="31.95" customHeight="1" thickBot="1" x14ac:dyDescent="0.35">
      <c r="A54" s="15">
        <f t="shared" si="3"/>
        <v>6</v>
      </c>
      <c r="B54" s="26">
        <v>44637</v>
      </c>
      <c r="C54" s="51">
        <f t="shared" si="9"/>
        <v>50</v>
      </c>
      <c r="D54" s="27" t="s">
        <v>838</v>
      </c>
      <c r="E54" s="26" t="s">
        <v>13</v>
      </c>
      <c r="F54" s="28" t="s">
        <v>11</v>
      </c>
      <c r="G54" s="28" t="s">
        <v>11</v>
      </c>
      <c r="H54" s="254"/>
      <c r="I54" s="49">
        <v>6</v>
      </c>
      <c r="J54" s="49">
        <v>6</v>
      </c>
      <c r="K54" s="52">
        <f t="shared" si="4"/>
        <v>1</v>
      </c>
      <c r="L54" s="209">
        <f t="shared" si="5"/>
        <v>0</v>
      </c>
      <c r="M54" s="210">
        <f t="shared" si="6"/>
        <v>0</v>
      </c>
      <c r="N54" s="26">
        <v>44643</v>
      </c>
      <c r="O54" s="26">
        <v>44643</v>
      </c>
      <c r="P54" s="26">
        <v>44643</v>
      </c>
      <c r="Q54" s="2">
        <f t="shared" si="0"/>
        <v>1</v>
      </c>
      <c r="S54" s="7">
        <f t="shared" si="7"/>
        <v>1</v>
      </c>
      <c r="T54" s="157">
        <f t="shared" si="8"/>
        <v>1</v>
      </c>
      <c r="V54" s="191">
        <f t="shared" si="1"/>
        <v>3</v>
      </c>
      <c r="W54" s="7">
        <f t="shared" si="2"/>
        <v>2022</v>
      </c>
    </row>
    <row r="55" spans="1:23" ht="31.95" customHeight="1" thickBot="1" x14ac:dyDescent="0.35">
      <c r="A55" s="15">
        <f t="shared" si="3"/>
        <v>1</v>
      </c>
      <c r="B55" s="26">
        <v>44642</v>
      </c>
      <c r="C55" s="51">
        <f t="shared" si="9"/>
        <v>51</v>
      </c>
      <c r="D55" s="27" t="s">
        <v>1206</v>
      </c>
      <c r="E55" s="26" t="s">
        <v>16</v>
      </c>
      <c r="F55" s="28" t="s">
        <v>11</v>
      </c>
      <c r="G55" s="28" t="s">
        <v>11</v>
      </c>
      <c r="H55" s="254"/>
      <c r="I55" s="49">
        <v>1</v>
      </c>
      <c r="J55" s="49">
        <v>1</v>
      </c>
      <c r="K55" s="52">
        <f t="shared" si="4"/>
        <v>1</v>
      </c>
      <c r="L55" s="209">
        <f t="shared" si="5"/>
        <v>0</v>
      </c>
      <c r="M55" s="210">
        <f t="shared" si="6"/>
        <v>0</v>
      </c>
      <c r="N55" s="26">
        <v>44642</v>
      </c>
      <c r="O55" s="26">
        <v>44642</v>
      </c>
      <c r="P55" s="26">
        <v>44642</v>
      </c>
      <c r="Q55" s="2">
        <f t="shared" si="0"/>
        <v>1</v>
      </c>
      <c r="S55" s="7">
        <f t="shared" si="7"/>
        <v>1</v>
      </c>
      <c r="T55" s="157">
        <f t="shared" si="8"/>
        <v>1</v>
      </c>
      <c r="V55" s="191">
        <f t="shared" si="1"/>
        <v>3</v>
      </c>
      <c r="W55" s="7">
        <f t="shared" si="2"/>
        <v>2022</v>
      </c>
    </row>
    <row r="56" spans="1:23" ht="31.95" customHeight="1" thickBot="1" x14ac:dyDescent="0.35">
      <c r="A56" s="15">
        <f t="shared" si="3"/>
        <v>3</v>
      </c>
      <c r="B56" s="26">
        <v>44643</v>
      </c>
      <c r="C56" s="51">
        <f t="shared" si="9"/>
        <v>52</v>
      </c>
      <c r="D56" s="27" t="s">
        <v>890</v>
      </c>
      <c r="E56" s="26" t="s">
        <v>13</v>
      </c>
      <c r="F56" s="28" t="s">
        <v>11</v>
      </c>
      <c r="G56" s="28" t="s">
        <v>11</v>
      </c>
      <c r="H56" s="254"/>
      <c r="I56" s="49">
        <v>3</v>
      </c>
      <c r="J56" s="49">
        <v>3</v>
      </c>
      <c r="K56" s="52">
        <f t="shared" si="4"/>
        <v>1</v>
      </c>
      <c r="L56" s="209">
        <f t="shared" si="5"/>
        <v>0</v>
      </c>
      <c r="M56" s="210">
        <f t="shared" si="6"/>
        <v>0</v>
      </c>
      <c r="N56" s="26">
        <v>44671</v>
      </c>
      <c r="O56" s="26">
        <v>44671</v>
      </c>
      <c r="P56" s="26">
        <v>44671</v>
      </c>
      <c r="Q56" s="2">
        <f t="shared" si="0"/>
        <v>1</v>
      </c>
      <c r="S56" s="7">
        <f t="shared" si="7"/>
        <v>1</v>
      </c>
      <c r="T56" s="157">
        <f t="shared" si="8"/>
        <v>1</v>
      </c>
      <c r="V56" s="191">
        <f t="shared" si="1"/>
        <v>3</v>
      </c>
      <c r="W56" s="7">
        <f t="shared" si="2"/>
        <v>2022</v>
      </c>
    </row>
    <row r="57" spans="1:23" ht="31.95" customHeight="1" thickBot="1" x14ac:dyDescent="0.35">
      <c r="A57" s="15">
        <f t="shared" si="3"/>
        <v>1</v>
      </c>
      <c r="B57" s="26">
        <v>44643</v>
      </c>
      <c r="C57" s="51">
        <f t="shared" si="9"/>
        <v>53</v>
      </c>
      <c r="D57" s="27" t="s">
        <v>890</v>
      </c>
      <c r="E57" s="26" t="s">
        <v>10</v>
      </c>
      <c r="F57" s="28" t="s">
        <v>11</v>
      </c>
      <c r="G57" s="28" t="s">
        <v>11</v>
      </c>
      <c r="H57" s="254"/>
      <c r="I57" s="49">
        <v>1</v>
      </c>
      <c r="J57" s="49">
        <v>1</v>
      </c>
      <c r="K57" s="52">
        <f t="shared" si="4"/>
        <v>1</v>
      </c>
      <c r="L57" s="209">
        <f t="shared" si="5"/>
        <v>0</v>
      </c>
      <c r="M57" s="210">
        <f t="shared" si="6"/>
        <v>0</v>
      </c>
      <c r="N57" s="26">
        <v>44664</v>
      </c>
      <c r="O57" s="26">
        <v>44664</v>
      </c>
      <c r="P57" s="26">
        <v>44664</v>
      </c>
      <c r="Q57" s="2">
        <f t="shared" si="0"/>
        <v>1</v>
      </c>
      <c r="S57" s="7">
        <f t="shared" si="7"/>
        <v>1</v>
      </c>
      <c r="T57" s="157">
        <f t="shared" si="8"/>
        <v>1</v>
      </c>
      <c r="V57" s="191">
        <f t="shared" si="1"/>
        <v>3</v>
      </c>
      <c r="W57" s="7">
        <f t="shared" si="2"/>
        <v>2022</v>
      </c>
    </row>
    <row r="58" spans="1:23" ht="31.95" customHeight="1" thickBot="1" x14ac:dyDescent="0.35">
      <c r="A58" s="15">
        <f t="shared" si="3"/>
        <v>2</v>
      </c>
      <c r="B58" s="26">
        <v>44643</v>
      </c>
      <c r="C58" s="51">
        <f t="shared" si="9"/>
        <v>54</v>
      </c>
      <c r="D58" s="27" t="s">
        <v>890</v>
      </c>
      <c r="E58" s="26" t="s">
        <v>9</v>
      </c>
      <c r="F58" s="28" t="s">
        <v>11</v>
      </c>
      <c r="G58" s="28" t="s">
        <v>11</v>
      </c>
      <c r="H58" s="254"/>
      <c r="I58" s="49">
        <v>2</v>
      </c>
      <c r="J58" s="49">
        <v>2</v>
      </c>
      <c r="K58" s="52">
        <f t="shared" si="4"/>
        <v>1</v>
      </c>
      <c r="L58" s="209">
        <f t="shared" si="5"/>
        <v>0</v>
      </c>
      <c r="M58" s="210">
        <f t="shared" si="6"/>
        <v>0</v>
      </c>
      <c r="N58" s="26">
        <v>44664</v>
      </c>
      <c r="O58" s="26">
        <v>44664</v>
      </c>
      <c r="P58" s="26">
        <v>44664</v>
      </c>
      <c r="Q58" s="2">
        <f t="shared" si="0"/>
        <v>1</v>
      </c>
      <c r="S58" s="7">
        <f t="shared" si="7"/>
        <v>1</v>
      </c>
      <c r="T58" s="157">
        <f t="shared" si="8"/>
        <v>1</v>
      </c>
      <c r="V58" s="191">
        <f t="shared" si="1"/>
        <v>3</v>
      </c>
      <c r="W58" s="7">
        <f t="shared" si="2"/>
        <v>2022</v>
      </c>
    </row>
    <row r="59" spans="1:23" ht="31.95" customHeight="1" thickBot="1" x14ac:dyDescent="0.35">
      <c r="A59" s="15">
        <f t="shared" si="3"/>
        <v>0</v>
      </c>
      <c r="B59" s="26">
        <v>44643</v>
      </c>
      <c r="C59" s="51">
        <f t="shared" si="9"/>
        <v>55</v>
      </c>
      <c r="D59" s="27"/>
      <c r="E59" s="26" t="s">
        <v>11</v>
      </c>
      <c r="F59" s="28" t="s">
        <v>11</v>
      </c>
      <c r="G59" s="28" t="s">
        <v>11</v>
      </c>
      <c r="H59" s="254"/>
      <c r="I59" s="49">
        <v>0</v>
      </c>
      <c r="J59" s="49">
        <v>0</v>
      </c>
      <c r="K59" s="52" t="str">
        <f>IFERROR(J59/I59,"")</f>
        <v/>
      </c>
      <c r="L59" s="209">
        <f>IF(I59="","",I59-J59)</f>
        <v>0</v>
      </c>
      <c r="M59" s="210" t="str">
        <f>IFERROR(1-K59,"")</f>
        <v/>
      </c>
      <c r="N59" s="28" t="s">
        <v>11</v>
      </c>
      <c r="O59" s="28" t="s">
        <v>11</v>
      </c>
      <c r="P59" s="28" t="s">
        <v>11</v>
      </c>
      <c r="Q59" s="2">
        <f t="shared" si="0"/>
        <v>1</v>
      </c>
      <c r="S59" s="7">
        <f t="shared" si="7"/>
        <v>1</v>
      </c>
      <c r="T59" s="157">
        <f t="shared" si="8"/>
        <v>1</v>
      </c>
      <c r="V59" s="191">
        <f t="shared" si="1"/>
        <v>3</v>
      </c>
      <c r="W59" s="7">
        <f t="shared" si="2"/>
        <v>2022</v>
      </c>
    </row>
    <row r="60" spans="1:23" ht="31.95" customHeight="1" thickBot="1" x14ac:dyDescent="0.35">
      <c r="A60" s="15">
        <f t="shared" si="3"/>
        <v>1</v>
      </c>
      <c r="B60" s="26">
        <v>44645</v>
      </c>
      <c r="C60" s="51">
        <f t="shared" si="9"/>
        <v>56</v>
      </c>
      <c r="D60" s="27" t="s">
        <v>705</v>
      </c>
      <c r="E60" s="26" t="s">
        <v>11</v>
      </c>
      <c r="F60" s="28" t="s">
        <v>11</v>
      </c>
      <c r="G60" s="28" t="s">
        <v>11</v>
      </c>
      <c r="H60" s="254"/>
      <c r="I60" s="49">
        <v>1</v>
      </c>
      <c r="J60" s="49">
        <v>1</v>
      </c>
      <c r="K60" s="52">
        <f t="shared" si="4"/>
        <v>1</v>
      </c>
      <c r="L60" s="209">
        <f t="shared" si="5"/>
        <v>0</v>
      </c>
      <c r="M60" s="210">
        <f t="shared" si="6"/>
        <v>0</v>
      </c>
      <c r="N60" s="26">
        <v>44646</v>
      </c>
      <c r="O60" s="26">
        <v>44646</v>
      </c>
      <c r="P60" s="26">
        <v>44646</v>
      </c>
      <c r="Q60" s="2">
        <f t="shared" si="0"/>
        <v>1</v>
      </c>
      <c r="S60" s="7">
        <f t="shared" si="7"/>
        <v>1</v>
      </c>
      <c r="T60" s="157">
        <f t="shared" si="8"/>
        <v>1</v>
      </c>
      <c r="V60" s="191">
        <f t="shared" si="1"/>
        <v>3</v>
      </c>
      <c r="W60" s="7">
        <f t="shared" si="2"/>
        <v>2022</v>
      </c>
    </row>
    <row r="61" spans="1:23" ht="31.95" customHeight="1" thickBot="1" x14ac:dyDescent="0.35">
      <c r="A61" s="15">
        <f t="shared" si="3"/>
        <v>6</v>
      </c>
      <c r="B61" s="26">
        <v>44645</v>
      </c>
      <c r="C61" s="51">
        <f t="shared" si="9"/>
        <v>57</v>
      </c>
      <c r="D61" s="27" t="s">
        <v>305</v>
      </c>
      <c r="E61" s="26" t="s">
        <v>11</v>
      </c>
      <c r="F61" s="28" t="s">
        <v>11</v>
      </c>
      <c r="G61" s="28" t="s">
        <v>11</v>
      </c>
      <c r="H61" s="254"/>
      <c r="I61" s="49">
        <v>6</v>
      </c>
      <c r="J61" s="49">
        <v>6</v>
      </c>
      <c r="K61" s="52">
        <f t="shared" si="4"/>
        <v>1</v>
      </c>
      <c r="L61" s="209">
        <f t="shared" si="5"/>
        <v>0</v>
      </c>
      <c r="M61" s="210">
        <f t="shared" si="6"/>
        <v>0</v>
      </c>
      <c r="N61" s="26">
        <v>44646</v>
      </c>
      <c r="O61" s="26">
        <v>44646</v>
      </c>
      <c r="P61" s="26">
        <v>44646</v>
      </c>
      <c r="Q61" s="2">
        <f t="shared" si="0"/>
        <v>1</v>
      </c>
      <c r="S61" s="7">
        <f t="shared" si="7"/>
        <v>1</v>
      </c>
      <c r="T61" s="157">
        <f t="shared" si="8"/>
        <v>1</v>
      </c>
      <c r="V61" s="191">
        <f t="shared" si="1"/>
        <v>3</v>
      </c>
      <c r="W61" s="7">
        <f t="shared" si="2"/>
        <v>2022</v>
      </c>
    </row>
    <row r="62" spans="1:23" ht="31.95" customHeight="1" thickBot="1" x14ac:dyDescent="0.35">
      <c r="A62" s="15">
        <f t="shared" si="3"/>
        <v>1</v>
      </c>
      <c r="B62" s="26">
        <v>44645</v>
      </c>
      <c r="C62" s="51">
        <f t="shared" si="9"/>
        <v>58</v>
      </c>
      <c r="D62" s="27" t="s">
        <v>781</v>
      </c>
      <c r="E62" s="26" t="s">
        <v>11</v>
      </c>
      <c r="F62" s="28" t="s">
        <v>11</v>
      </c>
      <c r="G62" s="28" t="s">
        <v>11</v>
      </c>
      <c r="H62" s="254"/>
      <c r="I62" s="49">
        <v>1</v>
      </c>
      <c r="J62" s="49">
        <v>1</v>
      </c>
      <c r="K62" s="52">
        <f t="shared" si="4"/>
        <v>1</v>
      </c>
      <c r="L62" s="209">
        <f t="shared" si="5"/>
        <v>0</v>
      </c>
      <c r="M62" s="210">
        <f t="shared" si="6"/>
        <v>0</v>
      </c>
      <c r="N62" s="26">
        <v>44646</v>
      </c>
      <c r="O62" s="26">
        <v>44646</v>
      </c>
      <c r="P62" s="26">
        <v>44646</v>
      </c>
      <c r="Q62" s="2">
        <f t="shared" si="0"/>
        <v>1</v>
      </c>
      <c r="S62" s="7">
        <f t="shared" si="7"/>
        <v>1</v>
      </c>
      <c r="T62" s="157">
        <f t="shared" si="8"/>
        <v>1</v>
      </c>
      <c r="V62" s="191">
        <f t="shared" si="1"/>
        <v>3</v>
      </c>
      <c r="W62" s="7">
        <f t="shared" si="2"/>
        <v>2022</v>
      </c>
    </row>
    <row r="63" spans="1:23" ht="31.95" customHeight="1" thickBot="1" x14ac:dyDescent="0.35">
      <c r="A63" s="15">
        <f t="shared" si="3"/>
        <v>0</v>
      </c>
      <c r="B63" s="26">
        <v>44649</v>
      </c>
      <c r="C63" s="51">
        <f t="shared" si="9"/>
        <v>59</v>
      </c>
      <c r="D63" s="27"/>
      <c r="E63" s="26" t="s">
        <v>11</v>
      </c>
      <c r="F63" s="28" t="s">
        <v>11</v>
      </c>
      <c r="G63" s="28" t="s">
        <v>11</v>
      </c>
      <c r="H63" s="254"/>
      <c r="I63" s="49">
        <v>0</v>
      </c>
      <c r="J63" s="49">
        <v>0</v>
      </c>
      <c r="K63" s="52" t="str">
        <f>IFERROR(J63/I63,"")</f>
        <v/>
      </c>
      <c r="L63" s="209">
        <f>IF(I63="","",I63-J63)</f>
        <v>0</v>
      </c>
      <c r="M63" s="210" t="str">
        <f>IFERROR(1-K63,"")</f>
        <v/>
      </c>
      <c r="N63" s="28" t="s">
        <v>11</v>
      </c>
      <c r="O63" s="28" t="s">
        <v>11</v>
      </c>
      <c r="P63" s="28" t="s">
        <v>11</v>
      </c>
      <c r="Q63" s="2">
        <f t="shared" si="0"/>
        <v>1</v>
      </c>
      <c r="S63" s="7">
        <f t="shared" si="7"/>
        <v>1</v>
      </c>
      <c r="T63" s="157">
        <f t="shared" si="8"/>
        <v>1</v>
      </c>
      <c r="V63" s="191">
        <f t="shared" si="1"/>
        <v>3</v>
      </c>
      <c r="W63" s="7">
        <f t="shared" si="2"/>
        <v>2022</v>
      </c>
    </row>
    <row r="64" spans="1:23" ht="31.95" customHeight="1" thickBot="1" x14ac:dyDescent="0.35">
      <c r="A64" s="15">
        <f t="shared" si="3"/>
        <v>13</v>
      </c>
      <c r="B64" s="26">
        <v>44651</v>
      </c>
      <c r="C64" s="51">
        <f t="shared" si="9"/>
        <v>60</v>
      </c>
      <c r="D64" s="27" t="s">
        <v>488</v>
      </c>
      <c r="E64" s="26" t="s">
        <v>14</v>
      </c>
      <c r="F64" s="28" t="s">
        <v>11</v>
      </c>
      <c r="G64" s="28" t="s">
        <v>11</v>
      </c>
      <c r="H64" s="254"/>
      <c r="I64" s="49">
        <v>13</v>
      </c>
      <c r="J64" s="49">
        <v>13</v>
      </c>
      <c r="K64" s="52">
        <f t="shared" si="4"/>
        <v>1</v>
      </c>
      <c r="L64" s="209">
        <f t="shared" si="5"/>
        <v>0</v>
      </c>
      <c r="M64" s="210">
        <f t="shared" si="6"/>
        <v>0</v>
      </c>
      <c r="N64" s="26">
        <v>44628</v>
      </c>
      <c r="O64" s="26">
        <v>44628</v>
      </c>
      <c r="P64" s="26">
        <v>44628</v>
      </c>
      <c r="Q64" s="2">
        <f t="shared" si="0"/>
        <v>1</v>
      </c>
      <c r="S64" s="7">
        <f t="shared" si="7"/>
        <v>1</v>
      </c>
      <c r="T64" s="157">
        <f t="shared" si="8"/>
        <v>1</v>
      </c>
      <c r="V64" s="191">
        <f t="shared" si="1"/>
        <v>3</v>
      </c>
      <c r="W64" s="7">
        <f t="shared" si="2"/>
        <v>2022</v>
      </c>
    </row>
    <row r="65" spans="1:23" ht="31.95" customHeight="1" thickBot="1" x14ac:dyDescent="0.35">
      <c r="A65" s="15">
        <f t="shared" si="3"/>
        <v>1</v>
      </c>
      <c r="B65" s="26">
        <v>44652</v>
      </c>
      <c r="C65" s="51">
        <f t="shared" si="9"/>
        <v>61</v>
      </c>
      <c r="D65" s="27" t="s">
        <v>624</v>
      </c>
      <c r="E65" s="26" t="s">
        <v>11</v>
      </c>
      <c r="F65" s="28" t="s">
        <v>11</v>
      </c>
      <c r="G65" s="28" t="s">
        <v>11</v>
      </c>
      <c r="H65" s="254"/>
      <c r="I65" s="49">
        <v>1</v>
      </c>
      <c r="J65" s="49">
        <v>1</v>
      </c>
      <c r="K65" s="52">
        <f t="shared" si="4"/>
        <v>1</v>
      </c>
      <c r="L65" s="209">
        <f t="shared" si="5"/>
        <v>0</v>
      </c>
      <c r="M65" s="210">
        <f t="shared" si="6"/>
        <v>0</v>
      </c>
      <c r="N65" s="26">
        <v>44657</v>
      </c>
      <c r="O65" s="26">
        <v>44657</v>
      </c>
      <c r="P65" s="26">
        <v>44657</v>
      </c>
      <c r="Q65" s="2">
        <f t="shared" si="0"/>
        <v>1</v>
      </c>
      <c r="S65" s="7">
        <f t="shared" si="7"/>
        <v>1</v>
      </c>
      <c r="T65" s="157">
        <f t="shared" si="8"/>
        <v>1</v>
      </c>
      <c r="V65" s="191">
        <f t="shared" si="1"/>
        <v>4</v>
      </c>
      <c r="W65" s="7">
        <f t="shared" si="2"/>
        <v>2022</v>
      </c>
    </row>
    <row r="66" spans="1:23" ht="31.95" customHeight="1" thickBot="1" x14ac:dyDescent="0.35">
      <c r="A66" s="15">
        <f t="shared" si="3"/>
        <v>1</v>
      </c>
      <c r="B66" s="26">
        <v>44658</v>
      </c>
      <c r="C66" s="51">
        <f t="shared" si="9"/>
        <v>62</v>
      </c>
      <c r="D66" s="27" t="s">
        <v>1150</v>
      </c>
      <c r="E66" s="26" t="s">
        <v>15</v>
      </c>
      <c r="F66" s="28" t="s">
        <v>11</v>
      </c>
      <c r="G66" s="28" t="s">
        <v>11</v>
      </c>
      <c r="H66" s="254"/>
      <c r="I66" s="49">
        <v>1</v>
      </c>
      <c r="J66" s="49">
        <v>1</v>
      </c>
      <c r="K66" s="52">
        <f t="shared" si="4"/>
        <v>1</v>
      </c>
      <c r="L66" s="209">
        <f t="shared" si="5"/>
        <v>0</v>
      </c>
      <c r="M66" s="210">
        <f t="shared" si="6"/>
        <v>0</v>
      </c>
      <c r="N66" s="26">
        <v>44659</v>
      </c>
      <c r="O66" s="26">
        <v>44659</v>
      </c>
      <c r="P66" s="26">
        <v>44659</v>
      </c>
      <c r="Q66" s="2">
        <f t="shared" si="0"/>
        <v>1</v>
      </c>
      <c r="S66" s="7">
        <f t="shared" si="7"/>
        <v>1</v>
      </c>
      <c r="T66" s="157">
        <f t="shared" si="8"/>
        <v>1</v>
      </c>
      <c r="V66" s="191">
        <f t="shared" si="1"/>
        <v>4</v>
      </c>
      <c r="W66" s="7">
        <f t="shared" si="2"/>
        <v>2022</v>
      </c>
    </row>
    <row r="67" spans="1:23" ht="31.95" customHeight="1" thickBot="1" x14ac:dyDescent="0.35">
      <c r="A67" s="15">
        <f t="shared" si="3"/>
        <v>1</v>
      </c>
      <c r="B67" s="26">
        <v>44658</v>
      </c>
      <c r="C67" s="51">
        <f t="shared" si="9"/>
        <v>63</v>
      </c>
      <c r="D67" s="27" t="s">
        <v>1054</v>
      </c>
      <c r="E67" s="26" t="s">
        <v>15</v>
      </c>
      <c r="F67" s="28" t="s">
        <v>11</v>
      </c>
      <c r="G67" s="28" t="s">
        <v>11</v>
      </c>
      <c r="H67" s="254"/>
      <c r="I67" s="49">
        <v>1</v>
      </c>
      <c r="J67" s="49">
        <v>1</v>
      </c>
      <c r="K67" s="52">
        <f t="shared" si="4"/>
        <v>1</v>
      </c>
      <c r="L67" s="209">
        <f t="shared" si="5"/>
        <v>0</v>
      </c>
      <c r="M67" s="210">
        <f t="shared" si="6"/>
        <v>0</v>
      </c>
      <c r="N67" s="26">
        <v>44659</v>
      </c>
      <c r="O67" s="26">
        <v>44659</v>
      </c>
      <c r="P67" s="26">
        <v>44659</v>
      </c>
      <c r="Q67" s="2">
        <f t="shared" si="0"/>
        <v>1</v>
      </c>
      <c r="S67" s="7">
        <f t="shared" si="7"/>
        <v>1</v>
      </c>
      <c r="T67" s="157">
        <f t="shared" si="8"/>
        <v>1</v>
      </c>
      <c r="V67" s="191">
        <f t="shared" si="1"/>
        <v>4</v>
      </c>
      <c r="W67" s="7">
        <f t="shared" si="2"/>
        <v>2022</v>
      </c>
    </row>
    <row r="68" spans="1:23" ht="31.95" customHeight="1" thickBot="1" x14ac:dyDescent="0.35">
      <c r="A68" s="15">
        <f t="shared" si="3"/>
        <v>7</v>
      </c>
      <c r="B68" s="26">
        <v>44658</v>
      </c>
      <c r="C68" s="51">
        <f t="shared" si="9"/>
        <v>64</v>
      </c>
      <c r="D68" s="27" t="s">
        <v>838</v>
      </c>
      <c r="E68" s="26" t="s">
        <v>15</v>
      </c>
      <c r="F68" s="28" t="s">
        <v>11</v>
      </c>
      <c r="G68" s="28" t="s">
        <v>11</v>
      </c>
      <c r="H68" s="254"/>
      <c r="I68" s="49">
        <v>7</v>
      </c>
      <c r="J68" s="49">
        <v>7</v>
      </c>
      <c r="K68" s="52">
        <f t="shared" si="4"/>
        <v>1</v>
      </c>
      <c r="L68" s="209">
        <f t="shared" si="5"/>
        <v>0</v>
      </c>
      <c r="M68" s="210">
        <f t="shared" si="6"/>
        <v>0</v>
      </c>
      <c r="N68" s="26">
        <v>44663</v>
      </c>
      <c r="O68" s="26">
        <v>44663</v>
      </c>
      <c r="P68" s="26">
        <v>44663</v>
      </c>
      <c r="Q68" s="2">
        <f t="shared" si="0"/>
        <v>1</v>
      </c>
      <c r="S68" s="7">
        <f t="shared" si="7"/>
        <v>1</v>
      </c>
      <c r="T68" s="157">
        <f t="shared" si="8"/>
        <v>1</v>
      </c>
      <c r="V68" s="191">
        <f t="shared" si="1"/>
        <v>4</v>
      </c>
      <c r="W68" s="7">
        <f t="shared" si="2"/>
        <v>2022</v>
      </c>
    </row>
    <row r="69" spans="1:23" ht="31.95" customHeight="1" thickBot="1" x14ac:dyDescent="0.35">
      <c r="A69" s="15">
        <f t="shared" si="3"/>
        <v>8</v>
      </c>
      <c r="B69" s="26">
        <v>44658</v>
      </c>
      <c r="C69" s="51">
        <f t="shared" si="9"/>
        <v>65</v>
      </c>
      <c r="D69" s="27" t="s">
        <v>838</v>
      </c>
      <c r="E69" s="26" t="s">
        <v>17</v>
      </c>
      <c r="F69" s="28" t="s">
        <v>11</v>
      </c>
      <c r="G69" s="28" t="s">
        <v>11</v>
      </c>
      <c r="H69" s="254"/>
      <c r="I69" s="49">
        <v>8</v>
      </c>
      <c r="J69" s="49">
        <v>8</v>
      </c>
      <c r="K69" s="52">
        <f t="shared" si="4"/>
        <v>1</v>
      </c>
      <c r="L69" s="209">
        <f t="shared" si="5"/>
        <v>0</v>
      </c>
      <c r="M69" s="210">
        <f t="shared" si="6"/>
        <v>0</v>
      </c>
      <c r="N69" s="26">
        <v>44663</v>
      </c>
      <c r="O69" s="26">
        <v>44663</v>
      </c>
      <c r="P69" s="26">
        <v>44663</v>
      </c>
      <c r="Q69" s="2">
        <f t="shared" ref="Q69:Q132" si="10">IF(B69&lt;&gt;"",1,0)</f>
        <v>1</v>
      </c>
      <c r="S69" s="7">
        <f t="shared" si="7"/>
        <v>1</v>
      </c>
      <c r="T69" s="157">
        <f t="shared" si="8"/>
        <v>1</v>
      </c>
      <c r="V69" s="191">
        <f t="shared" ref="V69:V132" si="11">MONTH(B69)</f>
        <v>4</v>
      </c>
      <c r="W69" s="7">
        <f t="shared" ref="W69:W132" si="12">YEAR(B69)</f>
        <v>2022</v>
      </c>
    </row>
    <row r="70" spans="1:23" ht="31.95" customHeight="1" thickBot="1" x14ac:dyDescent="0.35">
      <c r="A70" s="15">
        <f t="shared" ref="A70:A133" si="13">J70</f>
        <v>5</v>
      </c>
      <c r="B70" s="26">
        <v>44658</v>
      </c>
      <c r="C70" s="51">
        <f t="shared" si="9"/>
        <v>66</v>
      </c>
      <c r="D70" s="27" t="s">
        <v>1121</v>
      </c>
      <c r="E70" s="26" t="s">
        <v>17</v>
      </c>
      <c r="F70" s="28" t="s">
        <v>11</v>
      </c>
      <c r="G70" s="28" t="s">
        <v>11</v>
      </c>
      <c r="H70" s="254"/>
      <c r="I70" s="49">
        <v>5</v>
      </c>
      <c r="J70" s="49">
        <v>5</v>
      </c>
      <c r="K70" s="52">
        <f t="shared" ref="K70:K133" si="14">IFERROR(J70/I70,"")</f>
        <v>1</v>
      </c>
      <c r="L70" s="209">
        <f t="shared" ref="L70:L133" si="15">IF(I70="","",I70-J70)</f>
        <v>0</v>
      </c>
      <c r="M70" s="210">
        <f t="shared" ref="M70:M133" si="16">IFERROR(1-K70,"")</f>
        <v>0</v>
      </c>
      <c r="N70" s="26">
        <v>44665</v>
      </c>
      <c r="O70" s="26">
        <v>44665</v>
      </c>
      <c r="P70" s="26">
        <v>44665</v>
      </c>
      <c r="Q70" s="2">
        <f t="shared" si="10"/>
        <v>1</v>
      </c>
      <c r="S70" s="7">
        <f t="shared" ref="S70:S133" si="17">IF(AND(O70&lt;=N70,O70&lt;&gt;""),1,0)</f>
        <v>1</v>
      </c>
      <c r="T70" s="157">
        <f t="shared" ref="T70:T133" si="18">IF(AND(P70&lt;=N70,P70&lt;&gt;""),1,0)</f>
        <v>1</v>
      </c>
      <c r="V70" s="191">
        <f t="shared" si="11"/>
        <v>4</v>
      </c>
      <c r="W70" s="7">
        <f t="shared" si="12"/>
        <v>2022</v>
      </c>
    </row>
    <row r="71" spans="1:23" ht="31.95" customHeight="1" thickBot="1" x14ac:dyDescent="0.35">
      <c r="A71" s="15">
        <f t="shared" si="13"/>
        <v>7</v>
      </c>
      <c r="B71" s="26">
        <v>44663</v>
      </c>
      <c r="C71" s="51">
        <f t="shared" ref="C71:C134" si="19">IF(B71&lt;&gt;"",C70+1,"")</f>
        <v>67</v>
      </c>
      <c r="D71" s="27" t="s">
        <v>890</v>
      </c>
      <c r="E71" s="26" t="s">
        <v>15</v>
      </c>
      <c r="F71" s="28" t="s">
        <v>11</v>
      </c>
      <c r="G71" s="28" t="s">
        <v>11</v>
      </c>
      <c r="H71" s="254"/>
      <c r="I71" s="49">
        <v>7</v>
      </c>
      <c r="J71" s="49">
        <v>7</v>
      </c>
      <c r="K71" s="52">
        <f t="shared" si="14"/>
        <v>1</v>
      </c>
      <c r="L71" s="209">
        <f t="shared" si="15"/>
        <v>0</v>
      </c>
      <c r="M71" s="210">
        <f t="shared" si="16"/>
        <v>0</v>
      </c>
      <c r="N71" s="26">
        <v>44692</v>
      </c>
      <c r="O71" s="26">
        <v>44692</v>
      </c>
      <c r="P71" s="26">
        <v>44692</v>
      </c>
      <c r="Q71" s="2">
        <f t="shared" si="10"/>
        <v>1</v>
      </c>
      <c r="S71" s="7">
        <f t="shared" si="17"/>
        <v>1</v>
      </c>
      <c r="T71" s="157">
        <f t="shared" si="18"/>
        <v>1</v>
      </c>
      <c r="V71" s="191">
        <f t="shared" si="11"/>
        <v>4</v>
      </c>
      <c r="W71" s="7">
        <f t="shared" si="12"/>
        <v>2022</v>
      </c>
    </row>
    <row r="72" spans="1:23" ht="31.95" customHeight="1" thickBot="1" x14ac:dyDescent="0.35">
      <c r="A72" s="15">
        <f t="shared" si="13"/>
        <v>9</v>
      </c>
      <c r="B72" s="26">
        <v>44663</v>
      </c>
      <c r="C72" s="51">
        <f t="shared" si="19"/>
        <v>68</v>
      </c>
      <c r="D72" s="27" t="s">
        <v>488</v>
      </c>
      <c r="E72" s="26" t="s">
        <v>15</v>
      </c>
      <c r="F72" s="28" t="s">
        <v>11</v>
      </c>
      <c r="G72" s="28" t="s">
        <v>11</v>
      </c>
      <c r="H72" s="254"/>
      <c r="I72" s="49">
        <v>9</v>
      </c>
      <c r="J72" s="49">
        <v>9</v>
      </c>
      <c r="K72" s="52">
        <f t="shared" si="14"/>
        <v>1</v>
      </c>
      <c r="L72" s="209">
        <f t="shared" si="15"/>
        <v>0</v>
      </c>
      <c r="M72" s="210">
        <f t="shared" si="16"/>
        <v>0</v>
      </c>
      <c r="N72" s="26">
        <v>44664</v>
      </c>
      <c r="O72" s="26">
        <v>44664</v>
      </c>
      <c r="P72" s="26">
        <v>44664</v>
      </c>
      <c r="Q72" s="2">
        <f t="shared" si="10"/>
        <v>1</v>
      </c>
      <c r="S72" s="7">
        <f t="shared" si="17"/>
        <v>1</v>
      </c>
      <c r="T72" s="157">
        <f t="shared" si="18"/>
        <v>1</v>
      </c>
      <c r="V72" s="191">
        <f t="shared" si="11"/>
        <v>4</v>
      </c>
      <c r="W72" s="7">
        <f t="shared" si="12"/>
        <v>2022</v>
      </c>
    </row>
    <row r="73" spans="1:23" ht="31.95" customHeight="1" thickBot="1" x14ac:dyDescent="0.35">
      <c r="A73" s="15">
        <f t="shared" si="13"/>
        <v>1</v>
      </c>
      <c r="B73" s="26">
        <v>44670</v>
      </c>
      <c r="C73" s="51">
        <f t="shared" si="19"/>
        <v>69</v>
      </c>
      <c r="D73" s="27" t="s">
        <v>410</v>
      </c>
      <c r="E73" s="26" t="s">
        <v>23</v>
      </c>
      <c r="F73" s="28" t="s">
        <v>11</v>
      </c>
      <c r="G73" s="28" t="s">
        <v>11</v>
      </c>
      <c r="H73" s="254"/>
      <c r="I73" s="49">
        <v>1</v>
      </c>
      <c r="J73" s="49">
        <v>1</v>
      </c>
      <c r="K73" s="52">
        <f t="shared" si="14"/>
        <v>1</v>
      </c>
      <c r="L73" s="209">
        <f t="shared" si="15"/>
        <v>0</v>
      </c>
      <c r="M73" s="210">
        <f t="shared" si="16"/>
        <v>0</v>
      </c>
      <c r="N73" s="26">
        <v>44686</v>
      </c>
      <c r="O73" s="26">
        <v>44686</v>
      </c>
      <c r="P73" s="26">
        <v>44686</v>
      </c>
      <c r="Q73" s="2">
        <f t="shared" si="10"/>
        <v>1</v>
      </c>
      <c r="S73" s="7">
        <f t="shared" si="17"/>
        <v>1</v>
      </c>
      <c r="T73" s="157">
        <f t="shared" si="18"/>
        <v>1</v>
      </c>
      <c r="V73" s="191">
        <f t="shared" si="11"/>
        <v>4</v>
      </c>
      <c r="W73" s="7">
        <f t="shared" si="12"/>
        <v>2022</v>
      </c>
    </row>
    <row r="74" spans="1:23" ht="31.95" customHeight="1" thickBot="1" x14ac:dyDescent="0.35">
      <c r="A74" s="15">
        <f t="shared" si="13"/>
        <v>1</v>
      </c>
      <c r="B74" s="26">
        <v>44678</v>
      </c>
      <c r="C74" s="51">
        <f t="shared" si="19"/>
        <v>70</v>
      </c>
      <c r="D74" s="27" t="s">
        <v>340</v>
      </c>
      <c r="E74" s="26" t="s">
        <v>22</v>
      </c>
      <c r="F74" s="28" t="s">
        <v>11</v>
      </c>
      <c r="G74" s="28" t="s">
        <v>11</v>
      </c>
      <c r="H74" s="254"/>
      <c r="I74" s="49">
        <v>1</v>
      </c>
      <c r="J74" s="49">
        <v>1</v>
      </c>
      <c r="K74" s="52">
        <f t="shared" si="14"/>
        <v>1</v>
      </c>
      <c r="L74" s="209">
        <f t="shared" si="15"/>
        <v>0</v>
      </c>
      <c r="M74" s="210">
        <f t="shared" si="16"/>
        <v>0</v>
      </c>
      <c r="N74" s="26">
        <v>44699</v>
      </c>
      <c r="O74" s="26">
        <v>44699</v>
      </c>
      <c r="P74" s="26">
        <v>44699</v>
      </c>
      <c r="Q74" s="2">
        <f t="shared" si="10"/>
        <v>1</v>
      </c>
      <c r="S74" s="7">
        <f t="shared" si="17"/>
        <v>1</v>
      </c>
      <c r="T74" s="157">
        <f t="shared" si="18"/>
        <v>1</v>
      </c>
      <c r="V74" s="191">
        <f t="shared" si="11"/>
        <v>4</v>
      </c>
      <c r="W74" s="7">
        <f t="shared" si="12"/>
        <v>2022</v>
      </c>
    </row>
    <row r="75" spans="1:23" ht="31.95" customHeight="1" thickBot="1" x14ac:dyDescent="0.35">
      <c r="A75" s="15">
        <f t="shared" si="13"/>
        <v>1</v>
      </c>
      <c r="B75" s="26">
        <v>44678</v>
      </c>
      <c r="C75" s="51">
        <f t="shared" si="19"/>
        <v>71</v>
      </c>
      <c r="D75" s="27" t="s">
        <v>1232</v>
      </c>
      <c r="E75" s="26" t="s">
        <v>21</v>
      </c>
      <c r="F75" s="28" t="s">
        <v>11</v>
      </c>
      <c r="G75" s="28" t="s">
        <v>11</v>
      </c>
      <c r="H75" s="254"/>
      <c r="I75" s="49">
        <v>1</v>
      </c>
      <c r="J75" s="49">
        <v>1</v>
      </c>
      <c r="K75" s="52">
        <f t="shared" si="14"/>
        <v>1</v>
      </c>
      <c r="L75" s="209">
        <f t="shared" si="15"/>
        <v>0</v>
      </c>
      <c r="M75" s="210">
        <f t="shared" si="16"/>
        <v>0</v>
      </c>
      <c r="N75" s="26">
        <v>44687</v>
      </c>
      <c r="O75" s="26">
        <v>44687</v>
      </c>
      <c r="P75" s="26">
        <v>44687</v>
      </c>
      <c r="Q75" s="2">
        <f t="shared" si="10"/>
        <v>1</v>
      </c>
      <c r="S75" s="7">
        <f t="shared" si="17"/>
        <v>1</v>
      </c>
      <c r="T75" s="157">
        <f t="shared" si="18"/>
        <v>1</v>
      </c>
      <c r="V75" s="191">
        <f t="shared" si="11"/>
        <v>4</v>
      </c>
      <c r="W75" s="7">
        <f t="shared" si="12"/>
        <v>2022</v>
      </c>
    </row>
    <row r="76" spans="1:23" ht="31.95" customHeight="1" thickBot="1" x14ac:dyDescent="0.35">
      <c r="A76" s="15">
        <f t="shared" si="13"/>
        <v>6</v>
      </c>
      <c r="B76" s="26">
        <v>44678</v>
      </c>
      <c r="C76" s="51">
        <f t="shared" si="19"/>
        <v>72</v>
      </c>
      <c r="D76" s="27" t="s">
        <v>838</v>
      </c>
      <c r="E76" s="26" t="s">
        <v>22</v>
      </c>
      <c r="F76" s="28" t="s">
        <v>11</v>
      </c>
      <c r="G76" s="28" t="s">
        <v>11</v>
      </c>
      <c r="H76" s="254"/>
      <c r="I76" s="49">
        <v>6</v>
      </c>
      <c r="J76" s="49">
        <v>6</v>
      </c>
      <c r="K76" s="52">
        <f t="shared" si="14"/>
        <v>1</v>
      </c>
      <c r="L76" s="209">
        <f t="shared" si="15"/>
        <v>0</v>
      </c>
      <c r="M76" s="210">
        <f t="shared" si="16"/>
        <v>0</v>
      </c>
      <c r="N76" s="26">
        <v>44687</v>
      </c>
      <c r="O76" s="26">
        <v>44687</v>
      </c>
      <c r="P76" s="26">
        <v>44687</v>
      </c>
      <c r="Q76" s="2">
        <f t="shared" si="10"/>
        <v>1</v>
      </c>
      <c r="S76" s="7">
        <f t="shared" si="17"/>
        <v>1</v>
      </c>
      <c r="T76" s="157">
        <f t="shared" si="18"/>
        <v>1</v>
      </c>
      <c r="V76" s="191">
        <f t="shared" si="11"/>
        <v>4</v>
      </c>
      <c r="W76" s="7">
        <f t="shared" si="12"/>
        <v>2022</v>
      </c>
    </row>
    <row r="77" spans="1:23" ht="31.95" customHeight="1" thickBot="1" x14ac:dyDescent="0.35">
      <c r="A77" s="15">
        <f t="shared" si="13"/>
        <v>3</v>
      </c>
      <c r="B77" s="26">
        <v>44685</v>
      </c>
      <c r="C77" s="51">
        <f t="shared" si="19"/>
        <v>73</v>
      </c>
      <c r="D77" s="27" t="s">
        <v>838</v>
      </c>
      <c r="E77" s="26" t="s">
        <v>24</v>
      </c>
      <c r="F77" s="28" t="s">
        <v>11</v>
      </c>
      <c r="G77" s="28" t="s">
        <v>11</v>
      </c>
      <c r="H77" s="254"/>
      <c r="I77" s="49">
        <v>3</v>
      </c>
      <c r="J77" s="49">
        <v>3</v>
      </c>
      <c r="K77" s="52">
        <f t="shared" si="14"/>
        <v>1</v>
      </c>
      <c r="L77" s="209">
        <f t="shared" si="15"/>
        <v>0</v>
      </c>
      <c r="M77" s="210">
        <f t="shared" si="16"/>
        <v>0</v>
      </c>
      <c r="N77" s="26">
        <v>44688</v>
      </c>
      <c r="O77" s="26">
        <v>44688</v>
      </c>
      <c r="P77" s="26">
        <v>44688</v>
      </c>
      <c r="Q77" s="2">
        <f t="shared" si="10"/>
        <v>1</v>
      </c>
      <c r="S77" s="7">
        <f t="shared" si="17"/>
        <v>1</v>
      </c>
      <c r="T77" s="157">
        <f t="shared" si="18"/>
        <v>1</v>
      </c>
      <c r="V77" s="191">
        <f t="shared" si="11"/>
        <v>5</v>
      </c>
      <c r="W77" s="7">
        <f t="shared" si="12"/>
        <v>2022</v>
      </c>
    </row>
    <row r="78" spans="1:23" ht="31.95" customHeight="1" thickBot="1" x14ac:dyDescent="0.35">
      <c r="A78" s="15">
        <f t="shared" si="13"/>
        <v>3</v>
      </c>
      <c r="B78" s="26">
        <v>44686</v>
      </c>
      <c r="C78" s="51">
        <f t="shared" si="19"/>
        <v>74</v>
      </c>
      <c r="D78" s="27" t="s">
        <v>838</v>
      </c>
      <c r="E78" s="26" t="s">
        <v>18</v>
      </c>
      <c r="F78" s="28" t="s">
        <v>11</v>
      </c>
      <c r="G78" s="28" t="s">
        <v>11</v>
      </c>
      <c r="H78" s="254"/>
      <c r="I78" s="49">
        <v>3</v>
      </c>
      <c r="J78" s="49">
        <v>3</v>
      </c>
      <c r="K78" s="52">
        <f t="shared" si="14"/>
        <v>1</v>
      </c>
      <c r="L78" s="209">
        <f t="shared" si="15"/>
        <v>0</v>
      </c>
      <c r="M78" s="210">
        <f t="shared" si="16"/>
        <v>0</v>
      </c>
      <c r="N78" s="26">
        <v>44697</v>
      </c>
      <c r="O78" s="26">
        <v>44697</v>
      </c>
      <c r="P78" s="26">
        <v>44697</v>
      </c>
      <c r="Q78" s="2">
        <f t="shared" si="10"/>
        <v>1</v>
      </c>
      <c r="S78" s="7">
        <f t="shared" si="17"/>
        <v>1</v>
      </c>
      <c r="T78" s="157">
        <f t="shared" si="18"/>
        <v>1</v>
      </c>
      <c r="V78" s="191">
        <f t="shared" si="11"/>
        <v>5</v>
      </c>
      <c r="W78" s="7">
        <f t="shared" si="12"/>
        <v>2022</v>
      </c>
    </row>
    <row r="79" spans="1:23" ht="31.95" customHeight="1" thickBot="1" x14ac:dyDescent="0.35">
      <c r="A79" s="15">
        <f t="shared" si="13"/>
        <v>1</v>
      </c>
      <c r="B79" s="26">
        <v>44686</v>
      </c>
      <c r="C79" s="51">
        <f t="shared" si="19"/>
        <v>75</v>
      </c>
      <c r="D79" s="27" t="s">
        <v>871</v>
      </c>
      <c r="E79" s="26" t="s">
        <v>11</v>
      </c>
      <c r="F79" s="28" t="s">
        <v>11</v>
      </c>
      <c r="G79" s="28" t="s">
        <v>11</v>
      </c>
      <c r="H79" s="254"/>
      <c r="I79" s="49">
        <v>1</v>
      </c>
      <c r="J79" s="49">
        <v>1</v>
      </c>
      <c r="K79" s="52">
        <f t="shared" si="14"/>
        <v>1</v>
      </c>
      <c r="L79" s="209">
        <f t="shared" si="15"/>
        <v>0</v>
      </c>
      <c r="M79" s="210">
        <f t="shared" si="16"/>
        <v>0</v>
      </c>
      <c r="N79" s="26">
        <v>44686</v>
      </c>
      <c r="O79" s="26">
        <v>44686</v>
      </c>
      <c r="P79" s="26">
        <v>44686</v>
      </c>
      <c r="Q79" s="2">
        <f t="shared" si="10"/>
        <v>1</v>
      </c>
      <c r="S79" s="7">
        <f t="shared" si="17"/>
        <v>1</v>
      </c>
      <c r="T79" s="157">
        <f t="shared" si="18"/>
        <v>1</v>
      </c>
      <c r="V79" s="191">
        <f t="shared" si="11"/>
        <v>5</v>
      </c>
      <c r="W79" s="7">
        <f t="shared" si="12"/>
        <v>2022</v>
      </c>
    </row>
    <row r="80" spans="1:23" ht="31.95" customHeight="1" thickBot="1" x14ac:dyDescent="0.35">
      <c r="A80" s="15">
        <f t="shared" si="13"/>
        <v>7</v>
      </c>
      <c r="B80" s="26">
        <v>44691</v>
      </c>
      <c r="C80" s="51">
        <f t="shared" si="19"/>
        <v>76</v>
      </c>
      <c r="D80" s="27" t="s">
        <v>890</v>
      </c>
      <c r="E80" s="26" t="s">
        <v>1288</v>
      </c>
      <c r="F80" s="28" t="s">
        <v>11</v>
      </c>
      <c r="G80" s="28" t="s">
        <v>11</v>
      </c>
      <c r="H80" s="254"/>
      <c r="I80" s="49">
        <v>7</v>
      </c>
      <c r="J80" s="49">
        <v>7</v>
      </c>
      <c r="K80" s="52">
        <f t="shared" si="14"/>
        <v>1</v>
      </c>
      <c r="L80" s="209">
        <f t="shared" si="15"/>
        <v>0</v>
      </c>
      <c r="M80" s="210">
        <f t="shared" si="16"/>
        <v>0</v>
      </c>
      <c r="N80" s="26">
        <v>44693</v>
      </c>
      <c r="O80" s="26">
        <v>44693</v>
      </c>
      <c r="P80" s="26">
        <v>44693</v>
      </c>
      <c r="Q80" s="2">
        <f t="shared" si="10"/>
        <v>1</v>
      </c>
      <c r="S80" s="7">
        <f t="shared" si="17"/>
        <v>1</v>
      </c>
      <c r="T80" s="157">
        <f t="shared" si="18"/>
        <v>1</v>
      </c>
      <c r="V80" s="191">
        <f t="shared" si="11"/>
        <v>5</v>
      </c>
      <c r="W80" s="7">
        <f t="shared" si="12"/>
        <v>2022</v>
      </c>
    </row>
    <row r="81" spans="1:23" ht="31.95" customHeight="1" thickBot="1" x14ac:dyDescent="0.35">
      <c r="A81" s="15">
        <f t="shared" si="13"/>
        <v>2</v>
      </c>
      <c r="B81" s="26">
        <v>44691</v>
      </c>
      <c r="C81" s="51">
        <f t="shared" si="19"/>
        <v>77</v>
      </c>
      <c r="D81" s="27" t="s">
        <v>890</v>
      </c>
      <c r="E81" s="26" t="s">
        <v>1289</v>
      </c>
      <c r="F81" s="28" t="s">
        <v>11</v>
      </c>
      <c r="G81" s="28" t="s">
        <v>11</v>
      </c>
      <c r="H81" s="254"/>
      <c r="I81" s="49">
        <v>2</v>
      </c>
      <c r="J81" s="49">
        <v>2</v>
      </c>
      <c r="K81" s="52">
        <f t="shared" si="14"/>
        <v>1</v>
      </c>
      <c r="L81" s="209">
        <f t="shared" si="15"/>
        <v>0</v>
      </c>
      <c r="M81" s="210">
        <f t="shared" si="16"/>
        <v>0</v>
      </c>
      <c r="N81" s="26">
        <v>44715</v>
      </c>
      <c r="O81" s="26">
        <v>44715</v>
      </c>
      <c r="P81" s="26">
        <v>44715</v>
      </c>
      <c r="Q81" s="2">
        <f t="shared" si="10"/>
        <v>1</v>
      </c>
      <c r="S81" s="7">
        <f t="shared" si="17"/>
        <v>1</v>
      </c>
      <c r="T81" s="157">
        <f t="shared" si="18"/>
        <v>1</v>
      </c>
      <c r="V81" s="191">
        <f t="shared" si="11"/>
        <v>5</v>
      </c>
      <c r="W81" s="7">
        <f t="shared" si="12"/>
        <v>2022</v>
      </c>
    </row>
    <row r="82" spans="1:23" ht="31.95" customHeight="1" thickBot="1" x14ac:dyDescent="0.35">
      <c r="A82" s="15">
        <f t="shared" si="13"/>
        <v>1</v>
      </c>
      <c r="B82" s="26">
        <v>44692</v>
      </c>
      <c r="C82" s="51">
        <f t="shared" si="19"/>
        <v>78</v>
      </c>
      <c r="D82" s="27" t="s">
        <v>588</v>
      </c>
      <c r="E82" s="26" t="s">
        <v>21</v>
      </c>
      <c r="F82" s="28" t="s">
        <v>11</v>
      </c>
      <c r="G82" s="28" t="s">
        <v>11</v>
      </c>
      <c r="H82" s="254"/>
      <c r="I82" s="49">
        <v>1</v>
      </c>
      <c r="J82" s="49">
        <v>1</v>
      </c>
      <c r="K82" s="52">
        <f t="shared" si="14"/>
        <v>1</v>
      </c>
      <c r="L82" s="209">
        <f t="shared" si="15"/>
        <v>0</v>
      </c>
      <c r="M82" s="210">
        <f t="shared" si="16"/>
        <v>0</v>
      </c>
      <c r="N82" s="26">
        <v>44698</v>
      </c>
      <c r="O82" s="26">
        <v>44698</v>
      </c>
      <c r="P82" s="26">
        <v>44698</v>
      </c>
      <c r="Q82" s="2">
        <f t="shared" si="10"/>
        <v>1</v>
      </c>
      <c r="S82" s="7">
        <f t="shared" si="17"/>
        <v>1</v>
      </c>
      <c r="T82" s="157">
        <f t="shared" si="18"/>
        <v>1</v>
      </c>
      <c r="V82" s="191">
        <f t="shared" si="11"/>
        <v>5</v>
      </c>
      <c r="W82" s="7">
        <f t="shared" si="12"/>
        <v>2022</v>
      </c>
    </row>
    <row r="83" spans="1:23" ht="31.95" customHeight="1" thickBot="1" x14ac:dyDescent="0.35">
      <c r="A83" s="15">
        <f t="shared" si="13"/>
        <v>1</v>
      </c>
      <c r="B83" s="26">
        <v>44694</v>
      </c>
      <c r="C83" s="51">
        <f t="shared" si="19"/>
        <v>79</v>
      </c>
      <c r="D83" s="27" t="s">
        <v>1206</v>
      </c>
      <c r="E83" s="26" t="s">
        <v>16</v>
      </c>
      <c r="F83" s="28" t="s">
        <v>11</v>
      </c>
      <c r="G83" s="28" t="s">
        <v>11</v>
      </c>
      <c r="H83" s="254"/>
      <c r="I83" s="49">
        <v>1</v>
      </c>
      <c r="J83" s="49">
        <v>1</v>
      </c>
      <c r="K83" s="52">
        <f t="shared" si="14"/>
        <v>1</v>
      </c>
      <c r="L83" s="209">
        <f t="shared" si="15"/>
        <v>0</v>
      </c>
      <c r="M83" s="210">
        <f t="shared" si="16"/>
        <v>0</v>
      </c>
      <c r="N83" s="26" t="s">
        <v>11</v>
      </c>
      <c r="O83" s="26" t="s">
        <v>11</v>
      </c>
      <c r="P83" s="26" t="s">
        <v>11</v>
      </c>
      <c r="Q83" s="2">
        <f t="shared" si="10"/>
        <v>1</v>
      </c>
      <c r="S83" s="7">
        <f t="shared" si="17"/>
        <v>1</v>
      </c>
      <c r="T83" s="157">
        <f t="shared" si="18"/>
        <v>1</v>
      </c>
      <c r="V83" s="191">
        <f t="shared" si="11"/>
        <v>5</v>
      </c>
      <c r="W83" s="7">
        <f t="shared" si="12"/>
        <v>2022</v>
      </c>
    </row>
    <row r="84" spans="1:23" ht="31.95" customHeight="1" thickBot="1" x14ac:dyDescent="0.35">
      <c r="A84" s="15">
        <f t="shared" si="13"/>
        <v>1</v>
      </c>
      <c r="B84" s="26">
        <v>44697</v>
      </c>
      <c r="C84" s="51">
        <f t="shared" si="19"/>
        <v>80</v>
      </c>
      <c r="D84" s="27" t="s">
        <v>524</v>
      </c>
      <c r="E84" s="26" t="s">
        <v>18</v>
      </c>
      <c r="F84" s="28" t="s">
        <v>11</v>
      </c>
      <c r="G84" s="28" t="s">
        <v>11</v>
      </c>
      <c r="H84" s="254"/>
      <c r="I84" s="49">
        <v>1</v>
      </c>
      <c r="J84" s="49">
        <v>1</v>
      </c>
      <c r="K84" s="52">
        <f t="shared" si="14"/>
        <v>1</v>
      </c>
      <c r="L84" s="209">
        <f t="shared" si="15"/>
        <v>0</v>
      </c>
      <c r="M84" s="210">
        <f t="shared" si="16"/>
        <v>0</v>
      </c>
      <c r="N84" s="26">
        <v>44698</v>
      </c>
      <c r="O84" s="26">
        <v>44698</v>
      </c>
      <c r="P84" s="26">
        <v>44698</v>
      </c>
      <c r="Q84" s="2">
        <f t="shared" si="10"/>
        <v>1</v>
      </c>
      <c r="S84" s="7">
        <f t="shared" si="17"/>
        <v>1</v>
      </c>
      <c r="T84" s="157">
        <f t="shared" si="18"/>
        <v>1</v>
      </c>
      <c r="V84" s="191">
        <f t="shared" si="11"/>
        <v>5</v>
      </c>
      <c r="W84" s="7">
        <f t="shared" si="12"/>
        <v>2022</v>
      </c>
    </row>
    <row r="85" spans="1:23" ht="31.95" customHeight="1" thickBot="1" x14ac:dyDescent="0.35">
      <c r="A85" s="15">
        <f t="shared" si="13"/>
        <v>2</v>
      </c>
      <c r="B85" s="26">
        <v>44699</v>
      </c>
      <c r="C85" s="51">
        <f t="shared" si="19"/>
        <v>81</v>
      </c>
      <c r="D85" s="27" t="s">
        <v>953</v>
      </c>
      <c r="E85" s="26" t="s">
        <v>26</v>
      </c>
      <c r="F85" s="28" t="s">
        <v>11</v>
      </c>
      <c r="G85" s="28" t="s">
        <v>11</v>
      </c>
      <c r="H85" s="254"/>
      <c r="I85" s="49">
        <v>2</v>
      </c>
      <c r="J85" s="49">
        <v>2</v>
      </c>
      <c r="K85" s="52">
        <f t="shared" si="14"/>
        <v>1</v>
      </c>
      <c r="L85" s="209">
        <f t="shared" si="15"/>
        <v>0</v>
      </c>
      <c r="M85" s="210">
        <f t="shared" si="16"/>
        <v>0</v>
      </c>
      <c r="N85" s="26">
        <v>44699</v>
      </c>
      <c r="O85" s="26">
        <v>44699</v>
      </c>
      <c r="P85" s="26">
        <v>44699</v>
      </c>
      <c r="Q85" s="2">
        <f t="shared" si="10"/>
        <v>1</v>
      </c>
      <c r="S85" s="7">
        <f t="shared" si="17"/>
        <v>1</v>
      </c>
      <c r="T85" s="157">
        <f t="shared" si="18"/>
        <v>1</v>
      </c>
      <c r="V85" s="191">
        <f t="shared" si="11"/>
        <v>5</v>
      </c>
      <c r="W85" s="7">
        <f t="shared" si="12"/>
        <v>2022</v>
      </c>
    </row>
    <row r="86" spans="1:23" ht="31.95" customHeight="1" thickBot="1" x14ac:dyDescent="0.35">
      <c r="A86" s="15">
        <f t="shared" si="13"/>
        <v>7</v>
      </c>
      <c r="B86" s="26">
        <v>44699</v>
      </c>
      <c r="C86" s="51">
        <f t="shared" si="19"/>
        <v>82</v>
      </c>
      <c r="D86" s="27" t="s">
        <v>524</v>
      </c>
      <c r="E86" s="26" t="s">
        <v>54</v>
      </c>
      <c r="F86" s="28" t="s">
        <v>11</v>
      </c>
      <c r="G86" s="28" t="s">
        <v>11</v>
      </c>
      <c r="H86" s="254"/>
      <c r="I86" s="49">
        <v>7</v>
      </c>
      <c r="J86" s="49">
        <v>7</v>
      </c>
      <c r="K86" s="52">
        <f t="shared" si="14"/>
        <v>1</v>
      </c>
      <c r="L86" s="209">
        <f t="shared" si="15"/>
        <v>0</v>
      </c>
      <c r="M86" s="210">
        <f t="shared" si="16"/>
        <v>0</v>
      </c>
      <c r="N86" s="26">
        <v>44705</v>
      </c>
      <c r="O86" s="26">
        <v>44705</v>
      </c>
      <c r="P86" s="26">
        <v>44705</v>
      </c>
      <c r="Q86" s="2">
        <f t="shared" si="10"/>
        <v>1</v>
      </c>
      <c r="S86" s="7">
        <f t="shared" si="17"/>
        <v>1</v>
      </c>
      <c r="T86" s="157">
        <f t="shared" si="18"/>
        <v>1</v>
      </c>
      <c r="V86" s="191">
        <f t="shared" si="11"/>
        <v>5</v>
      </c>
      <c r="W86" s="7">
        <f t="shared" si="12"/>
        <v>2022</v>
      </c>
    </row>
    <row r="87" spans="1:23" ht="31.95" customHeight="1" thickBot="1" x14ac:dyDescent="0.35">
      <c r="A87" s="15">
        <f t="shared" si="13"/>
        <v>4</v>
      </c>
      <c r="B87" s="26">
        <v>44699</v>
      </c>
      <c r="C87" s="51">
        <f t="shared" si="19"/>
        <v>83</v>
      </c>
      <c r="D87" s="27" t="s">
        <v>524</v>
      </c>
      <c r="E87" s="26" t="s">
        <v>27</v>
      </c>
      <c r="F87" s="28" t="s">
        <v>11</v>
      </c>
      <c r="G87" s="28" t="s">
        <v>11</v>
      </c>
      <c r="H87" s="254"/>
      <c r="I87" s="49">
        <v>4</v>
      </c>
      <c r="J87" s="49">
        <v>4</v>
      </c>
      <c r="K87" s="52">
        <f t="shared" si="14"/>
        <v>1</v>
      </c>
      <c r="L87" s="209">
        <f t="shared" si="15"/>
        <v>0</v>
      </c>
      <c r="M87" s="210">
        <f t="shared" si="16"/>
        <v>0</v>
      </c>
      <c r="N87" s="26">
        <v>44705</v>
      </c>
      <c r="O87" s="26">
        <v>44705</v>
      </c>
      <c r="P87" s="26">
        <v>44705</v>
      </c>
      <c r="Q87" s="2">
        <f t="shared" si="10"/>
        <v>1</v>
      </c>
      <c r="S87" s="7">
        <f t="shared" si="17"/>
        <v>1</v>
      </c>
      <c r="T87" s="157">
        <f t="shared" si="18"/>
        <v>1</v>
      </c>
      <c r="V87" s="191">
        <f t="shared" si="11"/>
        <v>5</v>
      </c>
      <c r="W87" s="7">
        <f t="shared" si="12"/>
        <v>2022</v>
      </c>
    </row>
    <row r="88" spans="1:23" ht="31.95" customHeight="1" thickBot="1" x14ac:dyDescent="0.35">
      <c r="A88" s="15">
        <f t="shared" si="13"/>
        <v>12</v>
      </c>
      <c r="B88" s="26">
        <v>44610</v>
      </c>
      <c r="C88" s="51">
        <f t="shared" si="19"/>
        <v>84</v>
      </c>
      <c r="D88" s="27" t="s">
        <v>524</v>
      </c>
      <c r="E88" s="26" t="s">
        <v>20</v>
      </c>
      <c r="F88" s="28" t="s">
        <v>11</v>
      </c>
      <c r="G88" s="28" t="s">
        <v>11</v>
      </c>
      <c r="H88" s="254"/>
      <c r="I88" s="49">
        <v>12</v>
      </c>
      <c r="J88" s="49">
        <v>12</v>
      </c>
      <c r="K88" s="52">
        <f t="shared" si="14"/>
        <v>1</v>
      </c>
      <c r="L88" s="209">
        <f t="shared" si="15"/>
        <v>0</v>
      </c>
      <c r="M88" s="210">
        <f t="shared" si="16"/>
        <v>0</v>
      </c>
      <c r="N88" s="26">
        <v>44707</v>
      </c>
      <c r="O88" s="26">
        <v>44707</v>
      </c>
      <c r="P88" s="26">
        <v>44707</v>
      </c>
      <c r="Q88" s="2">
        <f t="shared" si="10"/>
        <v>1</v>
      </c>
      <c r="S88" s="7">
        <f t="shared" si="17"/>
        <v>1</v>
      </c>
      <c r="T88" s="157">
        <f t="shared" si="18"/>
        <v>1</v>
      </c>
      <c r="V88" s="191">
        <f t="shared" si="11"/>
        <v>2</v>
      </c>
      <c r="W88" s="7">
        <f t="shared" si="12"/>
        <v>2022</v>
      </c>
    </row>
    <row r="89" spans="1:23" ht="31.95" customHeight="1" thickBot="1" x14ac:dyDescent="0.35">
      <c r="A89" s="15">
        <f t="shared" si="13"/>
        <v>7</v>
      </c>
      <c r="B89" s="26">
        <v>44699</v>
      </c>
      <c r="C89" s="51">
        <f t="shared" si="19"/>
        <v>85</v>
      </c>
      <c r="D89" s="27" t="s">
        <v>524</v>
      </c>
      <c r="E89" s="26" t="s">
        <v>19</v>
      </c>
      <c r="F89" s="28" t="s">
        <v>11</v>
      </c>
      <c r="G89" s="28" t="s">
        <v>11</v>
      </c>
      <c r="H89" s="254"/>
      <c r="I89" s="49">
        <v>7</v>
      </c>
      <c r="J89" s="49">
        <v>7</v>
      </c>
      <c r="K89" s="52">
        <f t="shared" si="14"/>
        <v>1</v>
      </c>
      <c r="L89" s="209">
        <f t="shared" si="15"/>
        <v>0</v>
      </c>
      <c r="M89" s="210">
        <f t="shared" si="16"/>
        <v>0</v>
      </c>
      <c r="N89" s="26">
        <v>44707</v>
      </c>
      <c r="O89" s="26">
        <v>44707</v>
      </c>
      <c r="P89" s="26">
        <v>44707</v>
      </c>
      <c r="Q89" s="2">
        <f t="shared" si="10"/>
        <v>1</v>
      </c>
      <c r="S89" s="7">
        <f t="shared" si="17"/>
        <v>1</v>
      </c>
      <c r="T89" s="157">
        <f t="shared" si="18"/>
        <v>1</v>
      </c>
      <c r="V89" s="191">
        <f t="shared" si="11"/>
        <v>5</v>
      </c>
      <c r="W89" s="7">
        <f t="shared" si="12"/>
        <v>2022</v>
      </c>
    </row>
    <row r="90" spans="1:23" ht="31.95" customHeight="1" thickBot="1" x14ac:dyDescent="0.35">
      <c r="A90" s="15">
        <f t="shared" si="13"/>
        <v>2</v>
      </c>
      <c r="B90" s="26">
        <v>44699</v>
      </c>
      <c r="C90" s="51">
        <f t="shared" si="19"/>
        <v>86</v>
      </c>
      <c r="D90" s="27" t="s">
        <v>1209</v>
      </c>
      <c r="E90" s="26" t="s">
        <v>27</v>
      </c>
      <c r="F90" s="28" t="s">
        <v>11</v>
      </c>
      <c r="G90" s="28" t="s">
        <v>11</v>
      </c>
      <c r="H90" s="254"/>
      <c r="I90" s="49">
        <v>2</v>
      </c>
      <c r="J90" s="49">
        <v>2</v>
      </c>
      <c r="K90" s="52">
        <f t="shared" si="14"/>
        <v>1</v>
      </c>
      <c r="L90" s="209">
        <f t="shared" si="15"/>
        <v>0</v>
      </c>
      <c r="M90" s="210">
        <f t="shared" si="16"/>
        <v>0</v>
      </c>
      <c r="N90" s="26">
        <v>44701</v>
      </c>
      <c r="O90" s="26">
        <v>44701</v>
      </c>
      <c r="P90" s="26">
        <v>44701</v>
      </c>
      <c r="Q90" s="2">
        <f t="shared" si="10"/>
        <v>1</v>
      </c>
      <c r="S90" s="7">
        <f t="shared" si="17"/>
        <v>1</v>
      </c>
      <c r="T90" s="157">
        <f t="shared" si="18"/>
        <v>1</v>
      </c>
      <c r="V90" s="191">
        <f t="shared" si="11"/>
        <v>5</v>
      </c>
      <c r="W90" s="7">
        <f t="shared" si="12"/>
        <v>2022</v>
      </c>
    </row>
    <row r="91" spans="1:23" ht="31.95" customHeight="1" thickBot="1" x14ac:dyDescent="0.35">
      <c r="A91" s="15">
        <f t="shared" si="13"/>
        <v>2</v>
      </c>
      <c r="B91" s="26">
        <v>44699</v>
      </c>
      <c r="C91" s="51">
        <f t="shared" si="19"/>
        <v>87</v>
      </c>
      <c r="D91" s="27" t="s">
        <v>1209</v>
      </c>
      <c r="E91" s="26" t="s">
        <v>19</v>
      </c>
      <c r="F91" s="28" t="s">
        <v>11</v>
      </c>
      <c r="G91" s="28" t="s">
        <v>11</v>
      </c>
      <c r="H91" s="254"/>
      <c r="I91" s="49">
        <v>2</v>
      </c>
      <c r="J91" s="49">
        <v>2</v>
      </c>
      <c r="K91" s="52">
        <f t="shared" si="14"/>
        <v>1</v>
      </c>
      <c r="L91" s="209">
        <f t="shared" si="15"/>
        <v>0</v>
      </c>
      <c r="M91" s="210">
        <f t="shared" si="16"/>
        <v>0</v>
      </c>
      <c r="N91" s="26">
        <v>44701</v>
      </c>
      <c r="O91" s="26">
        <v>44701</v>
      </c>
      <c r="P91" s="26">
        <v>44701</v>
      </c>
      <c r="Q91" s="2">
        <f t="shared" si="10"/>
        <v>1</v>
      </c>
      <c r="S91" s="7">
        <f t="shared" si="17"/>
        <v>1</v>
      </c>
      <c r="T91" s="157">
        <f t="shared" si="18"/>
        <v>1</v>
      </c>
      <c r="V91" s="191">
        <f t="shared" si="11"/>
        <v>5</v>
      </c>
      <c r="W91" s="7">
        <f t="shared" si="12"/>
        <v>2022</v>
      </c>
    </row>
    <row r="92" spans="1:23" ht="31.95" customHeight="1" thickBot="1" x14ac:dyDescent="0.35">
      <c r="A92" s="15">
        <f t="shared" si="13"/>
        <v>3</v>
      </c>
      <c r="B92" s="26">
        <v>44699</v>
      </c>
      <c r="C92" s="51">
        <f t="shared" si="19"/>
        <v>88</v>
      </c>
      <c r="D92" s="27" t="s">
        <v>1209</v>
      </c>
      <c r="E92" s="26" t="s">
        <v>54</v>
      </c>
      <c r="F92" s="28" t="s">
        <v>11</v>
      </c>
      <c r="G92" s="28" t="s">
        <v>11</v>
      </c>
      <c r="H92" s="254"/>
      <c r="I92" s="49">
        <v>3</v>
      </c>
      <c r="J92" s="49">
        <v>3</v>
      </c>
      <c r="K92" s="52">
        <f t="shared" si="14"/>
        <v>1</v>
      </c>
      <c r="L92" s="209">
        <f t="shared" si="15"/>
        <v>0</v>
      </c>
      <c r="M92" s="210">
        <f t="shared" si="16"/>
        <v>0</v>
      </c>
      <c r="N92" s="26">
        <v>44701</v>
      </c>
      <c r="O92" s="26">
        <v>44701</v>
      </c>
      <c r="P92" s="26">
        <v>44701</v>
      </c>
      <c r="Q92" s="2">
        <f t="shared" si="10"/>
        <v>1</v>
      </c>
      <c r="S92" s="7">
        <f t="shared" si="17"/>
        <v>1</v>
      </c>
      <c r="T92" s="157">
        <f t="shared" si="18"/>
        <v>1</v>
      </c>
      <c r="V92" s="191">
        <f t="shared" si="11"/>
        <v>5</v>
      </c>
      <c r="W92" s="7">
        <f t="shared" si="12"/>
        <v>2022</v>
      </c>
    </row>
    <row r="93" spans="1:23" ht="31.95" customHeight="1" thickBot="1" x14ac:dyDescent="0.35">
      <c r="A93" s="15">
        <f t="shared" si="13"/>
        <v>1</v>
      </c>
      <c r="B93" s="26">
        <v>44699</v>
      </c>
      <c r="C93" s="51">
        <f t="shared" si="19"/>
        <v>89</v>
      </c>
      <c r="D93" s="27" t="s">
        <v>1067</v>
      </c>
      <c r="E93" s="26" t="s">
        <v>24</v>
      </c>
      <c r="F93" s="28" t="s">
        <v>11</v>
      </c>
      <c r="G93" s="28" t="s">
        <v>11</v>
      </c>
      <c r="H93" s="254"/>
      <c r="I93" s="49">
        <v>1</v>
      </c>
      <c r="J93" s="49">
        <v>1</v>
      </c>
      <c r="K93" s="52">
        <f t="shared" si="14"/>
        <v>1</v>
      </c>
      <c r="L93" s="209">
        <f t="shared" si="15"/>
        <v>0</v>
      </c>
      <c r="M93" s="210">
        <f t="shared" si="16"/>
        <v>0</v>
      </c>
      <c r="N93" s="26">
        <v>44701</v>
      </c>
      <c r="O93" s="26">
        <v>44701</v>
      </c>
      <c r="P93" s="26">
        <v>44701</v>
      </c>
      <c r="Q93" s="2">
        <f t="shared" si="10"/>
        <v>1</v>
      </c>
      <c r="S93" s="7">
        <f t="shared" si="17"/>
        <v>1</v>
      </c>
      <c r="T93" s="157">
        <f t="shared" si="18"/>
        <v>1</v>
      </c>
      <c r="V93" s="191">
        <f t="shared" si="11"/>
        <v>5</v>
      </c>
      <c r="W93" s="7">
        <f t="shared" si="12"/>
        <v>2022</v>
      </c>
    </row>
    <row r="94" spans="1:23" ht="31.95" customHeight="1" thickBot="1" x14ac:dyDescent="0.35">
      <c r="A94" s="15">
        <f t="shared" si="13"/>
        <v>6</v>
      </c>
      <c r="B94" s="26">
        <v>44699</v>
      </c>
      <c r="C94" s="51">
        <f t="shared" si="19"/>
        <v>90</v>
      </c>
      <c r="D94" s="27" t="s">
        <v>1067</v>
      </c>
      <c r="E94" s="26" t="s">
        <v>20</v>
      </c>
      <c r="F94" s="28" t="s">
        <v>11</v>
      </c>
      <c r="G94" s="28" t="s">
        <v>11</v>
      </c>
      <c r="H94" s="254"/>
      <c r="I94" s="49">
        <v>6</v>
      </c>
      <c r="J94" s="49">
        <v>6</v>
      </c>
      <c r="K94" s="52">
        <f t="shared" si="14"/>
        <v>1</v>
      </c>
      <c r="L94" s="209">
        <f t="shared" si="15"/>
        <v>0</v>
      </c>
      <c r="M94" s="210">
        <f t="shared" si="16"/>
        <v>0</v>
      </c>
      <c r="N94" s="26">
        <v>44701</v>
      </c>
      <c r="O94" s="26">
        <v>44701</v>
      </c>
      <c r="P94" s="26">
        <v>44701</v>
      </c>
      <c r="Q94" s="2">
        <f t="shared" si="10"/>
        <v>1</v>
      </c>
      <c r="S94" s="7">
        <f t="shared" si="17"/>
        <v>1</v>
      </c>
      <c r="T94" s="157">
        <f t="shared" si="18"/>
        <v>1</v>
      </c>
      <c r="V94" s="191">
        <f t="shared" si="11"/>
        <v>5</v>
      </c>
      <c r="W94" s="7">
        <f t="shared" si="12"/>
        <v>2022</v>
      </c>
    </row>
    <row r="95" spans="1:23" ht="31.95" customHeight="1" thickBot="1" x14ac:dyDescent="0.35">
      <c r="A95" s="15">
        <f t="shared" si="13"/>
        <v>2</v>
      </c>
      <c r="B95" s="26">
        <v>44699</v>
      </c>
      <c r="C95" s="51">
        <f t="shared" si="19"/>
        <v>91</v>
      </c>
      <c r="D95" s="27" t="s">
        <v>1067</v>
      </c>
      <c r="E95" s="26" t="s">
        <v>27</v>
      </c>
      <c r="F95" s="28" t="s">
        <v>11</v>
      </c>
      <c r="G95" s="28" t="s">
        <v>11</v>
      </c>
      <c r="H95" s="254"/>
      <c r="I95" s="49">
        <v>2</v>
      </c>
      <c r="J95" s="49">
        <v>2</v>
      </c>
      <c r="K95" s="52">
        <f t="shared" si="14"/>
        <v>1</v>
      </c>
      <c r="L95" s="209">
        <f t="shared" si="15"/>
        <v>0</v>
      </c>
      <c r="M95" s="210">
        <f t="shared" si="16"/>
        <v>0</v>
      </c>
      <c r="N95" s="26">
        <v>44701</v>
      </c>
      <c r="O95" s="26">
        <v>44701</v>
      </c>
      <c r="P95" s="26">
        <v>44701</v>
      </c>
      <c r="Q95" s="2">
        <f t="shared" si="10"/>
        <v>1</v>
      </c>
      <c r="S95" s="7">
        <f t="shared" si="17"/>
        <v>1</v>
      </c>
      <c r="T95" s="157">
        <f t="shared" si="18"/>
        <v>1</v>
      </c>
      <c r="V95" s="191">
        <f t="shared" si="11"/>
        <v>5</v>
      </c>
      <c r="W95" s="7">
        <f t="shared" si="12"/>
        <v>2022</v>
      </c>
    </row>
    <row r="96" spans="1:23" ht="31.95" customHeight="1" thickBot="1" x14ac:dyDescent="0.35">
      <c r="A96" s="15">
        <f t="shared" si="13"/>
        <v>6</v>
      </c>
      <c r="B96" s="26">
        <v>44699</v>
      </c>
      <c r="C96" s="51">
        <f t="shared" si="19"/>
        <v>92</v>
      </c>
      <c r="D96" s="27" t="s">
        <v>1067</v>
      </c>
      <c r="E96" s="26" t="s">
        <v>19</v>
      </c>
      <c r="F96" s="28" t="s">
        <v>11</v>
      </c>
      <c r="G96" s="28" t="s">
        <v>11</v>
      </c>
      <c r="H96" s="254"/>
      <c r="I96" s="49">
        <v>6</v>
      </c>
      <c r="J96" s="49">
        <v>6</v>
      </c>
      <c r="K96" s="52">
        <f t="shared" si="14"/>
        <v>1</v>
      </c>
      <c r="L96" s="209">
        <f t="shared" si="15"/>
        <v>0</v>
      </c>
      <c r="M96" s="210">
        <f t="shared" si="16"/>
        <v>0</v>
      </c>
      <c r="N96" s="26">
        <v>44701</v>
      </c>
      <c r="O96" s="26">
        <v>44701</v>
      </c>
      <c r="P96" s="26">
        <v>44701</v>
      </c>
      <c r="Q96" s="2">
        <f t="shared" si="10"/>
        <v>1</v>
      </c>
      <c r="S96" s="7">
        <f t="shared" si="17"/>
        <v>1</v>
      </c>
      <c r="T96" s="157">
        <f t="shared" si="18"/>
        <v>1</v>
      </c>
      <c r="V96" s="191">
        <f t="shared" si="11"/>
        <v>5</v>
      </c>
      <c r="W96" s="7">
        <f t="shared" si="12"/>
        <v>2022</v>
      </c>
    </row>
    <row r="97" spans="1:23" ht="31.95" customHeight="1" thickBot="1" x14ac:dyDescent="0.35">
      <c r="A97" s="15">
        <f t="shared" si="13"/>
        <v>8</v>
      </c>
      <c r="B97" s="26">
        <v>44699</v>
      </c>
      <c r="C97" s="51">
        <f t="shared" si="19"/>
        <v>93</v>
      </c>
      <c r="D97" s="27" t="s">
        <v>1067</v>
      </c>
      <c r="E97" s="26" t="s">
        <v>54</v>
      </c>
      <c r="F97" s="28" t="s">
        <v>11</v>
      </c>
      <c r="G97" s="28" t="s">
        <v>11</v>
      </c>
      <c r="H97" s="254"/>
      <c r="I97" s="49">
        <v>8</v>
      </c>
      <c r="J97" s="49">
        <v>8</v>
      </c>
      <c r="K97" s="52">
        <f t="shared" si="14"/>
        <v>1</v>
      </c>
      <c r="L97" s="209">
        <f t="shared" si="15"/>
        <v>0</v>
      </c>
      <c r="M97" s="210">
        <f t="shared" si="16"/>
        <v>0</v>
      </c>
      <c r="N97" s="26">
        <v>44701</v>
      </c>
      <c r="O97" s="26">
        <v>44701</v>
      </c>
      <c r="P97" s="26">
        <v>44701</v>
      </c>
      <c r="Q97" s="2">
        <f t="shared" si="10"/>
        <v>1</v>
      </c>
      <c r="S97" s="7">
        <f t="shared" si="17"/>
        <v>1</v>
      </c>
      <c r="T97" s="157">
        <f t="shared" si="18"/>
        <v>1</v>
      </c>
      <c r="V97" s="191">
        <f t="shared" si="11"/>
        <v>5</v>
      </c>
      <c r="W97" s="7">
        <f t="shared" si="12"/>
        <v>2022</v>
      </c>
    </row>
    <row r="98" spans="1:23" ht="31.95" customHeight="1" thickBot="1" x14ac:dyDescent="0.35">
      <c r="A98" s="15">
        <f t="shared" si="13"/>
        <v>2</v>
      </c>
      <c r="B98" s="26">
        <v>44700</v>
      </c>
      <c r="C98" s="51">
        <f t="shared" si="19"/>
        <v>94</v>
      </c>
      <c r="D98" s="27" t="s">
        <v>340</v>
      </c>
      <c r="E98" s="26" t="s">
        <v>20</v>
      </c>
      <c r="F98" s="28" t="s">
        <v>11</v>
      </c>
      <c r="G98" s="28" t="s">
        <v>11</v>
      </c>
      <c r="H98" s="254"/>
      <c r="I98" s="49">
        <v>2</v>
      </c>
      <c r="J98" s="49">
        <v>2</v>
      </c>
      <c r="K98" s="52">
        <f t="shared" si="14"/>
        <v>1</v>
      </c>
      <c r="L98" s="209">
        <f t="shared" si="15"/>
        <v>0</v>
      </c>
      <c r="M98" s="210">
        <f t="shared" si="16"/>
        <v>0</v>
      </c>
      <c r="N98" s="26">
        <v>44721</v>
      </c>
      <c r="O98" s="26">
        <v>44721</v>
      </c>
      <c r="P98" s="26">
        <v>44721</v>
      </c>
      <c r="Q98" s="2">
        <f t="shared" si="10"/>
        <v>1</v>
      </c>
      <c r="S98" s="7">
        <f t="shared" si="17"/>
        <v>1</v>
      </c>
      <c r="T98" s="157">
        <f t="shared" si="18"/>
        <v>1</v>
      </c>
      <c r="V98" s="191">
        <f t="shared" si="11"/>
        <v>5</v>
      </c>
      <c r="W98" s="7">
        <f t="shared" si="12"/>
        <v>2022</v>
      </c>
    </row>
    <row r="99" spans="1:23" ht="31.95" customHeight="1" thickBot="1" x14ac:dyDescent="0.35">
      <c r="A99" s="15">
        <f t="shared" si="13"/>
        <v>2</v>
      </c>
      <c r="B99" s="26">
        <v>44700</v>
      </c>
      <c r="C99" s="51">
        <f t="shared" si="19"/>
        <v>95</v>
      </c>
      <c r="D99" s="27" t="s">
        <v>340</v>
      </c>
      <c r="E99" s="26" t="s">
        <v>27</v>
      </c>
      <c r="F99" s="28" t="s">
        <v>11</v>
      </c>
      <c r="G99" s="28" t="s">
        <v>11</v>
      </c>
      <c r="H99" s="254"/>
      <c r="I99" s="49">
        <v>2</v>
      </c>
      <c r="J99" s="49">
        <v>2</v>
      </c>
      <c r="K99" s="52">
        <f t="shared" si="14"/>
        <v>1</v>
      </c>
      <c r="L99" s="209">
        <f t="shared" si="15"/>
        <v>0</v>
      </c>
      <c r="M99" s="210">
        <f t="shared" si="16"/>
        <v>0</v>
      </c>
      <c r="N99" s="26">
        <v>44721</v>
      </c>
      <c r="O99" s="26">
        <v>44721</v>
      </c>
      <c r="P99" s="26">
        <v>44721</v>
      </c>
      <c r="Q99" s="2">
        <f t="shared" si="10"/>
        <v>1</v>
      </c>
      <c r="S99" s="7">
        <f t="shared" si="17"/>
        <v>1</v>
      </c>
      <c r="T99" s="157">
        <f t="shared" si="18"/>
        <v>1</v>
      </c>
      <c r="V99" s="191">
        <f t="shared" si="11"/>
        <v>5</v>
      </c>
      <c r="W99" s="7">
        <f t="shared" si="12"/>
        <v>2022</v>
      </c>
    </row>
    <row r="100" spans="1:23" ht="31.95" customHeight="1" thickBot="1" x14ac:dyDescent="0.35">
      <c r="A100" s="15">
        <f t="shared" si="13"/>
        <v>4</v>
      </c>
      <c r="B100" s="26">
        <v>44700</v>
      </c>
      <c r="C100" s="51">
        <f t="shared" si="19"/>
        <v>96</v>
      </c>
      <c r="D100" s="27" t="s">
        <v>340</v>
      </c>
      <c r="E100" s="26" t="s">
        <v>19</v>
      </c>
      <c r="F100" s="28" t="s">
        <v>11</v>
      </c>
      <c r="G100" s="28" t="s">
        <v>11</v>
      </c>
      <c r="H100" s="254"/>
      <c r="I100" s="49">
        <v>4</v>
      </c>
      <c r="J100" s="49">
        <v>4</v>
      </c>
      <c r="K100" s="52">
        <f t="shared" si="14"/>
        <v>1</v>
      </c>
      <c r="L100" s="209">
        <f t="shared" si="15"/>
        <v>0</v>
      </c>
      <c r="M100" s="210">
        <f t="shared" si="16"/>
        <v>0</v>
      </c>
      <c r="N100" s="26">
        <v>44721</v>
      </c>
      <c r="O100" s="26">
        <v>44721</v>
      </c>
      <c r="P100" s="26">
        <v>44721</v>
      </c>
      <c r="Q100" s="2">
        <f t="shared" si="10"/>
        <v>1</v>
      </c>
      <c r="S100" s="7">
        <f t="shared" si="17"/>
        <v>1</v>
      </c>
      <c r="T100" s="157">
        <f t="shared" si="18"/>
        <v>1</v>
      </c>
      <c r="V100" s="191">
        <f t="shared" si="11"/>
        <v>5</v>
      </c>
      <c r="W100" s="7">
        <f t="shared" si="12"/>
        <v>2022</v>
      </c>
    </row>
    <row r="101" spans="1:23" ht="31.95" customHeight="1" thickBot="1" x14ac:dyDescent="0.35">
      <c r="A101" s="15">
        <f t="shared" si="13"/>
        <v>5</v>
      </c>
      <c r="B101" s="26">
        <v>44700</v>
      </c>
      <c r="C101" s="51">
        <f t="shared" si="19"/>
        <v>97</v>
      </c>
      <c r="D101" s="27" t="s">
        <v>340</v>
      </c>
      <c r="E101" s="26" t="s">
        <v>54</v>
      </c>
      <c r="F101" s="28" t="s">
        <v>11</v>
      </c>
      <c r="G101" s="28" t="s">
        <v>11</v>
      </c>
      <c r="H101" s="254"/>
      <c r="I101" s="49">
        <v>5</v>
      </c>
      <c r="J101" s="49">
        <v>5</v>
      </c>
      <c r="K101" s="52">
        <f t="shared" si="14"/>
        <v>1</v>
      </c>
      <c r="L101" s="209">
        <f t="shared" si="15"/>
        <v>0</v>
      </c>
      <c r="M101" s="210">
        <f t="shared" si="16"/>
        <v>0</v>
      </c>
      <c r="N101" s="26">
        <v>44721</v>
      </c>
      <c r="O101" s="26">
        <v>44721</v>
      </c>
      <c r="P101" s="26">
        <v>44721</v>
      </c>
      <c r="Q101" s="2">
        <f t="shared" si="10"/>
        <v>1</v>
      </c>
      <c r="S101" s="7">
        <f t="shared" si="17"/>
        <v>1</v>
      </c>
      <c r="T101" s="157">
        <f t="shared" si="18"/>
        <v>1</v>
      </c>
      <c r="V101" s="191">
        <f t="shared" si="11"/>
        <v>5</v>
      </c>
      <c r="W101" s="7">
        <f t="shared" si="12"/>
        <v>2022</v>
      </c>
    </row>
    <row r="102" spans="1:23" ht="31.95" customHeight="1" thickBot="1" x14ac:dyDescent="0.35">
      <c r="A102" s="15">
        <f t="shared" si="13"/>
        <v>0</v>
      </c>
      <c r="B102" s="26">
        <v>44700</v>
      </c>
      <c r="C102" s="51">
        <f t="shared" si="19"/>
        <v>98</v>
      </c>
      <c r="D102" s="27"/>
      <c r="E102" s="28" t="s">
        <v>11</v>
      </c>
      <c r="F102" s="28" t="s">
        <v>11</v>
      </c>
      <c r="G102" s="28" t="s">
        <v>11</v>
      </c>
      <c r="H102" s="254"/>
      <c r="I102" s="49">
        <v>0</v>
      </c>
      <c r="J102" s="49">
        <v>0</v>
      </c>
      <c r="K102" s="52" t="str">
        <f>IFERROR(J102/I102,"")</f>
        <v/>
      </c>
      <c r="L102" s="209">
        <f>IF(I102="","",I102-J102)</f>
        <v>0</v>
      </c>
      <c r="M102" s="210" t="str">
        <f>IFERROR(1-K102,"")</f>
        <v/>
      </c>
      <c r="N102" s="28" t="s">
        <v>11</v>
      </c>
      <c r="O102" s="28" t="s">
        <v>11</v>
      </c>
      <c r="P102" s="28" t="s">
        <v>11</v>
      </c>
      <c r="Q102" s="2">
        <f t="shared" si="10"/>
        <v>1</v>
      </c>
      <c r="S102" s="7">
        <f t="shared" si="17"/>
        <v>1</v>
      </c>
      <c r="T102" s="157">
        <f t="shared" si="18"/>
        <v>1</v>
      </c>
      <c r="V102" s="191">
        <f t="shared" si="11"/>
        <v>5</v>
      </c>
      <c r="W102" s="7">
        <f t="shared" si="12"/>
        <v>2022</v>
      </c>
    </row>
    <row r="103" spans="1:23" ht="31.95" customHeight="1" thickBot="1" x14ac:dyDescent="0.35">
      <c r="A103" s="15">
        <f t="shared" si="13"/>
        <v>0</v>
      </c>
      <c r="B103" s="26">
        <v>44700</v>
      </c>
      <c r="C103" s="51">
        <f t="shared" si="19"/>
        <v>99</v>
      </c>
      <c r="D103" s="27"/>
      <c r="E103" s="28" t="s">
        <v>11</v>
      </c>
      <c r="F103" s="28" t="s">
        <v>11</v>
      </c>
      <c r="G103" s="28" t="s">
        <v>11</v>
      </c>
      <c r="H103" s="254"/>
      <c r="I103" s="49">
        <v>0</v>
      </c>
      <c r="J103" s="49">
        <v>0</v>
      </c>
      <c r="K103" s="52" t="str">
        <f>IFERROR(J103/I103,"")</f>
        <v/>
      </c>
      <c r="L103" s="209">
        <f>IF(I103="","",I103-J103)</f>
        <v>0</v>
      </c>
      <c r="M103" s="210" t="str">
        <f>IFERROR(1-K103,"")</f>
        <v/>
      </c>
      <c r="N103" s="28" t="s">
        <v>11</v>
      </c>
      <c r="O103" s="28" t="s">
        <v>11</v>
      </c>
      <c r="P103" s="28" t="s">
        <v>11</v>
      </c>
      <c r="Q103" s="2">
        <f t="shared" si="10"/>
        <v>1</v>
      </c>
      <c r="S103" s="7">
        <f t="shared" si="17"/>
        <v>1</v>
      </c>
      <c r="T103" s="157">
        <f t="shared" si="18"/>
        <v>1</v>
      </c>
      <c r="V103" s="191">
        <f t="shared" si="11"/>
        <v>5</v>
      </c>
      <c r="W103" s="7">
        <f t="shared" si="12"/>
        <v>2022</v>
      </c>
    </row>
    <row r="104" spans="1:23" ht="31.95" customHeight="1" thickBot="1" x14ac:dyDescent="0.35">
      <c r="A104" s="15">
        <f t="shared" si="13"/>
        <v>5</v>
      </c>
      <c r="B104" s="26">
        <v>44700</v>
      </c>
      <c r="C104" s="51">
        <f t="shared" si="19"/>
        <v>100</v>
      </c>
      <c r="D104" s="27" t="s">
        <v>524</v>
      </c>
      <c r="E104" s="26" t="s">
        <v>29</v>
      </c>
      <c r="F104" s="28" t="s">
        <v>11</v>
      </c>
      <c r="G104" s="28" t="s">
        <v>11</v>
      </c>
      <c r="H104" s="254"/>
      <c r="I104" s="49">
        <v>5</v>
      </c>
      <c r="J104" s="49">
        <v>5</v>
      </c>
      <c r="K104" s="52">
        <f t="shared" si="14"/>
        <v>1</v>
      </c>
      <c r="L104" s="209">
        <f t="shared" si="15"/>
        <v>0</v>
      </c>
      <c r="M104" s="210">
        <f t="shared" si="16"/>
        <v>0</v>
      </c>
      <c r="N104" s="26">
        <v>44704</v>
      </c>
      <c r="O104" s="26">
        <v>44704</v>
      </c>
      <c r="P104" s="26">
        <v>44704</v>
      </c>
      <c r="Q104" s="2">
        <f t="shared" si="10"/>
        <v>1</v>
      </c>
      <c r="S104" s="7">
        <f t="shared" si="17"/>
        <v>1</v>
      </c>
      <c r="T104" s="157">
        <f t="shared" si="18"/>
        <v>1</v>
      </c>
      <c r="V104" s="191">
        <f t="shared" si="11"/>
        <v>5</v>
      </c>
      <c r="W104" s="7">
        <f t="shared" si="12"/>
        <v>2022</v>
      </c>
    </row>
    <row r="105" spans="1:23" ht="31.95" customHeight="1" thickBot="1" x14ac:dyDescent="0.35">
      <c r="A105" s="15">
        <f t="shared" si="13"/>
        <v>2</v>
      </c>
      <c r="B105" s="26">
        <v>44700</v>
      </c>
      <c r="C105" s="51">
        <f t="shared" si="19"/>
        <v>101</v>
      </c>
      <c r="D105" s="27" t="s">
        <v>340</v>
      </c>
      <c r="E105" s="26" t="s">
        <v>29</v>
      </c>
      <c r="F105" s="28" t="s">
        <v>11</v>
      </c>
      <c r="G105" s="28" t="s">
        <v>11</v>
      </c>
      <c r="H105" s="254"/>
      <c r="I105" s="49">
        <v>2</v>
      </c>
      <c r="J105" s="49">
        <v>2</v>
      </c>
      <c r="K105" s="52">
        <f t="shared" si="14"/>
        <v>1</v>
      </c>
      <c r="L105" s="209">
        <f t="shared" si="15"/>
        <v>0</v>
      </c>
      <c r="M105" s="210">
        <f t="shared" si="16"/>
        <v>0</v>
      </c>
      <c r="N105" s="26">
        <v>44714</v>
      </c>
      <c r="O105" s="26">
        <v>44714</v>
      </c>
      <c r="P105" s="26">
        <v>44714</v>
      </c>
      <c r="Q105" s="2">
        <f t="shared" si="10"/>
        <v>1</v>
      </c>
      <c r="S105" s="7">
        <f t="shared" si="17"/>
        <v>1</v>
      </c>
      <c r="T105" s="157">
        <f t="shared" si="18"/>
        <v>1</v>
      </c>
      <c r="V105" s="191">
        <f t="shared" si="11"/>
        <v>5</v>
      </c>
      <c r="W105" s="7">
        <f t="shared" si="12"/>
        <v>2022</v>
      </c>
    </row>
    <row r="106" spans="1:23" ht="31.95" customHeight="1" thickBot="1" x14ac:dyDescent="0.35">
      <c r="A106" s="15">
        <f t="shared" si="13"/>
        <v>0</v>
      </c>
      <c r="B106" s="26">
        <v>44701</v>
      </c>
      <c r="C106" s="51">
        <f t="shared" si="19"/>
        <v>102</v>
      </c>
      <c r="D106" s="27"/>
      <c r="E106" s="28" t="s">
        <v>11</v>
      </c>
      <c r="F106" s="28" t="s">
        <v>11</v>
      </c>
      <c r="G106" s="28" t="s">
        <v>11</v>
      </c>
      <c r="H106" s="254"/>
      <c r="I106" s="49">
        <v>0</v>
      </c>
      <c r="J106" s="49">
        <v>0</v>
      </c>
      <c r="K106" s="52" t="str">
        <f>IFERROR(J106/I106,"")</f>
        <v/>
      </c>
      <c r="L106" s="209">
        <f>IF(I106="","",I106-J106)</f>
        <v>0</v>
      </c>
      <c r="M106" s="210" t="str">
        <f>IFERROR(1-K106,"")</f>
        <v/>
      </c>
      <c r="N106" s="28" t="s">
        <v>11</v>
      </c>
      <c r="O106" s="28" t="s">
        <v>11</v>
      </c>
      <c r="P106" s="28" t="s">
        <v>11</v>
      </c>
      <c r="Q106" s="2">
        <f t="shared" si="10"/>
        <v>1</v>
      </c>
      <c r="S106" s="7">
        <f t="shared" si="17"/>
        <v>1</v>
      </c>
      <c r="T106" s="157">
        <f t="shared" si="18"/>
        <v>1</v>
      </c>
      <c r="V106" s="191">
        <f t="shared" si="11"/>
        <v>5</v>
      </c>
      <c r="W106" s="7">
        <f t="shared" si="12"/>
        <v>2022</v>
      </c>
    </row>
    <row r="107" spans="1:23" ht="31.95" customHeight="1" thickBot="1" x14ac:dyDescent="0.35">
      <c r="A107" s="15">
        <f t="shared" si="13"/>
        <v>4</v>
      </c>
      <c r="B107" s="26">
        <v>44701</v>
      </c>
      <c r="C107" s="51">
        <f t="shared" si="19"/>
        <v>103</v>
      </c>
      <c r="D107" s="27" t="s">
        <v>781</v>
      </c>
      <c r="E107" s="26" t="s">
        <v>19</v>
      </c>
      <c r="F107" s="28" t="s">
        <v>11</v>
      </c>
      <c r="G107" s="28" t="s">
        <v>11</v>
      </c>
      <c r="H107" s="254"/>
      <c r="I107" s="49">
        <v>4</v>
      </c>
      <c r="J107" s="49">
        <v>4</v>
      </c>
      <c r="K107" s="52">
        <f t="shared" si="14"/>
        <v>1</v>
      </c>
      <c r="L107" s="209">
        <f t="shared" si="15"/>
        <v>0</v>
      </c>
      <c r="M107" s="210">
        <f t="shared" si="16"/>
        <v>0</v>
      </c>
      <c r="N107" s="26">
        <v>44701</v>
      </c>
      <c r="O107" s="26">
        <v>44701</v>
      </c>
      <c r="P107" s="26">
        <v>44701</v>
      </c>
      <c r="Q107" s="2">
        <f t="shared" si="10"/>
        <v>1</v>
      </c>
      <c r="S107" s="7">
        <f t="shared" si="17"/>
        <v>1</v>
      </c>
      <c r="T107" s="157">
        <f t="shared" si="18"/>
        <v>1</v>
      </c>
      <c r="V107" s="191">
        <f t="shared" si="11"/>
        <v>5</v>
      </c>
      <c r="W107" s="7">
        <f t="shared" si="12"/>
        <v>2022</v>
      </c>
    </row>
    <row r="108" spans="1:23" ht="31.95" customHeight="1" thickBot="1" x14ac:dyDescent="0.35">
      <c r="A108" s="15">
        <f t="shared" si="13"/>
        <v>9</v>
      </c>
      <c r="B108" s="26">
        <v>44705</v>
      </c>
      <c r="C108" s="51">
        <f t="shared" si="19"/>
        <v>104</v>
      </c>
      <c r="D108" s="27" t="s">
        <v>722</v>
      </c>
      <c r="E108" s="26" t="s">
        <v>30</v>
      </c>
      <c r="F108" s="28" t="s">
        <v>11</v>
      </c>
      <c r="G108" s="28" t="s">
        <v>11</v>
      </c>
      <c r="H108" s="254"/>
      <c r="I108" s="49">
        <v>9</v>
      </c>
      <c r="J108" s="49">
        <v>9</v>
      </c>
      <c r="K108" s="52">
        <f t="shared" si="14"/>
        <v>1</v>
      </c>
      <c r="L108" s="209">
        <f t="shared" si="15"/>
        <v>0</v>
      </c>
      <c r="M108" s="210">
        <f t="shared" si="16"/>
        <v>0</v>
      </c>
      <c r="N108" s="26">
        <v>44712</v>
      </c>
      <c r="O108" s="26">
        <v>44712</v>
      </c>
      <c r="P108" s="26">
        <v>44712</v>
      </c>
      <c r="Q108" s="2">
        <f t="shared" si="10"/>
        <v>1</v>
      </c>
      <c r="S108" s="7">
        <f t="shared" si="17"/>
        <v>1</v>
      </c>
      <c r="T108" s="157">
        <f t="shared" si="18"/>
        <v>1</v>
      </c>
      <c r="V108" s="191">
        <f t="shared" si="11"/>
        <v>5</v>
      </c>
      <c r="W108" s="7">
        <f t="shared" si="12"/>
        <v>2022</v>
      </c>
    </row>
    <row r="109" spans="1:23" ht="31.95" customHeight="1" thickBot="1" x14ac:dyDescent="0.35">
      <c r="A109" s="15">
        <f t="shared" si="13"/>
        <v>0</v>
      </c>
      <c r="B109" s="26">
        <v>44706</v>
      </c>
      <c r="C109" s="51">
        <f t="shared" si="19"/>
        <v>105</v>
      </c>
      <c r="D109" s="27"/>
      <c r="E109" s="28" t="s">
        <v>11</v>
      </c>
      <c r="F109" s="28" t="s">
        <v>11</v>
      </c>
      <c r="G109" s="28" t="s">
        <v>11</v>
      </c>
      <c r="H109" s="254"/>
      <c r="I109" s="49">
        <v>0</v>
      </c>
      <c r="J109" s="49">
        <v>0</v>
      </c>
      <c r="K109" s="52" t="str">
        <f t="shared" si="14"/>
        <v/>
      </c>
      <c r="L109" s="209">
        <f t="shared" si="15"/>
        <v>0</v>
      </c>
      <c r="M109" s="210" t="str">
        <f t="shared" si="16"/>
        <v/>
      </c>
      <c r="N109" s="28" t="s">
        <v>11</v>
      </c>
      <c r="O109" s="28" t="s">
        <v>11</v>
      </c>
      <c r="P109" s="28" t="s">
        <v>11</v>
      </c>
      <c r="Q109" s="2">
        <f t="shared" si="10"/>
        <v>1</v>
      </c>
      <c r="S109" s="7">
        <f t="shared" si="17"/>
        <v>1</v>
      </c>
      <c r="T109" s="157">
        <f t="shared" si="18"/>
        <v>1</v>
      </c>
      <c r="V109" s="191">
        <f t="shared" si="11"/>
        <v>5</v>
      </c>
      <c r="W109" s="7">
        <f t="shared" si="12"/>
        <v>2022</v>
      </c>
    </row>
    <row r="110" spans="1:23" ht="31.95" customHeight="1" thickBot="1" x14ac:dyDescent="0.35">
      <c r="A110" s="15">
        <f t="shared" si="13"/>
        <v>0</v>
      </c>
      <c r="B110" s="26">
        <v>44706</v>
      </c>
      <c r="C110" s="51">
        <f t="shared" si="19"/>
        <v>106</v>
      </c>
      <c r="D110" s="27"/>
      <c r="E110" s="28" t="s">
        <v>11</v>
      </c>
      <c r="F110" s="28" t="s">
        <v>11</v>
      </c>
      <c r="G110" s="28" t="s">
        <v>11</v>
      </c>
      <c r="H110" s="254"/>
      <c r="I110" s="49">
        <v>0</v>
      </c>
      <c r="J110" s="49">
        <v>0</v>
      </c>
      <c r="K110" s="52" t="str">
        <f>IFERROR(J110/I110,"")</f>
        <v/>
      </c>
      <c r="L110" s="209">
        <f>IF(I110="","",I110-J110)</f>
        <v>0</v>
      </c>
      <c r="M110" s="210" t="str">
        <f>IFERROR(1-K110,"")</f>
        <v/>
      </c>
      <c r="N110" s="28" t="s">
        <v>11</v>
      </c>
      <c r="O110" s="28" t="s">
        <v>11</v>
      </c>
      <c r="P110" s="28" t="s">
        <v>11</v>
      </c>
      <c r="Q110" s="2">
        <f t="shared" si="10"/>
        <v>1</v>
      </c>
      <c r="S110" s="7">
        <f t="shared" si="17"/>
        <v>1</v>
      </c>
      <c r="T110" s="157">
        <f t="shared" si="18"/>
        <v>1</v>
      </c>
      <c r="V110" s="191">
        <f t="shared" si="11"/>
        <v>5</v>
      </c>
      <c r="W110" s="7">
        <f t="shared" si="12"/>
        <v>2022</v>
      </c>
    </row>
    <row r="111" spans="1:23" ht="31.95" customHeight="1" thickBot="1" x14ac:dyDescent="0.35">
      <c r="A111" s="15">
        <f t="shared" si="13"/>
        <v>1</v>
      </c>
      <c r="B111" s="26">
        <v>44706</v>
      </c>
      <c r="C111" s="51">
        <f t="shared" si="19"/>
        <v>107</v>
      </c>
      <c r="D111" s="27" t="s">
        <v>994</v>
      </c>
      <c r="E111" s="26" t="s">
        <v>1290</v>
      </c>
      <c r="F111" s="28" t="s">
        <v>11</v>
      </c>
      <c r="G111" s="28" t="s">
        <v>11</v>
      </c>
      <c r="H111" s="254"/>
      <c r="I111" s="49">
        <v>1</v>
      </c>
      <c r="J111" s="49">
        <v>1</v>
      </c>
      <c r="K111" s="52">
        <f t="shared" si="14"/>
        <v>1</v>
      </c>
      <c r="L111" s="209">
        <f t="shared" si="15"/>
        <v>0</v>
      </c>
      <c r="M111" s="210">
        <f t="shared" si="16"/>
        <v>0</v>
      </c>
      <c r="N111" s="26">
        <v>44711</v>
      </c>
      <c r="O111" s="26">
        <v>44711</v>
      </c>
      <c r="P111" s="26">
        <v>44711</v>
      </c>
      <c r="Q111" s="2">
        <f t="shared" si="10"/>
        <v>1</v>
      </c>
      <c r="S111" s="7">
        <f t="shared" si="17"/>
        <v>1</v>
      </c>
      <c r="T111" s="157">
        <f t="shared" si="18"/>
        <v>1</v>
      </c>
      <c r="V111" s="191">
        <f t="shared" si="11"/>
        <v>5</v>
      </c>
      <c r="W111" s="7">
        <f t="shared" si="12"/>
        <v>2022</v>
      </c>
    </row>
    <row r="112" spans="1:23" ht="31.95" customHeight="1" thickBot="1" x14ac:dyDescent="0.35">
      <c r="A112" s="15">
        <f t="shared" si="13"/>
        <v>1</v>
      </c>
      <c r="B112" s="26">
        <v>44711</v>
      </c>
      <c r="C112" s="51">
        <f t="shared" si="19"/>
        <v>108</v>
      </c>
      <c r="D112" s="27" t="s">
        <v>451</v>
      </c>
      <c r="E112" s="26" t="s">
        <v>26</v>
      </c>
      <c r="F112" s="28" t="s">
        <v>11</v>
      </c>
      <c r="G112" s="28" t="s">
        <v>11</v>
      </c>
      <c r="H112" s="254"/>
      <c r="I112" s="49">
        <v>1</v>
      </c>
      <c r="J112" s="49">
        <v>1</v>
      </c>
      <c r="K112" s="52">
        <f t="shared" si="14"/>
        <v>1</v>
      </c>
      <c r="L112" s="209">
        <f t="shared" si="15"/>
        <v>0</v>
      </c>
      <c r="M112" s="210">
        <f t="shared" si="16"/>
        <v>0</v>
      </c>
      <c r="N112" s="26">
        <v>44711</v>
      </c>
      <c r="O112" s="26">
        <v>44711</v>
      </c>
      <c r="P112" s="26">
        <v>44711</v>
      </c>
      <c r="Q112" s="2">
        <f t="shared" si="10"/>
        <v>1</v>
      </c>
      <c r="S112" s="7">
        <f t="shared" si="17"/>
        <v>1</v>
      </c>
      <c r="T112" s="157">
        <f t="shared" si="18"/>
        <v>1</v>
      </c>
      <c r="V112" s="191">
        <f t="shared" si="11"/>
        <v>5</v>
      </c>
      <c r="W112" s="7">
        <f t="shared" si="12"/>
        <v>2022</v>
      </c>
    </row>
    <row r="113" spans="1:23" ht="31.95" customHeight="1" thickBot="1" x14ac:dyDescent="0.35">
      <c r="A113" s="15">
        <f t="shared" si="13"/>
        <v>3</v>
      </c>
      <c r="B113" s="26">
        <v>44711</v>
      </c>
      <c r="C113" s="51">
        <f t="shared" si="19"/>
        <v>109</v>
      </c>
      <c r="D113" s="27" t="s">
        <v>524</v>
      </c>
      <c r="E113" s="26" t="s">
        <v>19</v>
      </c>
      <c r="F113" s="28" t="s">
        <v>11</v>
      </c>
      <c r="G113" s="28" t="s">
        <v>11</v>
      </c>
      <c r="H113" s="254"/>
      <c r="I113" s="49">
        <v>3</v>
      </c>
      <c r="J113" s="49">
        <v>3</v>
      </c>
      <c r="K113" s="52">
        <f t="shared" si="14"/>
        <v>1</v>
      </c>
      <c r="L113" s="209">
        <f t="shared" si="15"/>
        <v>0</v>
      </c>
      <c r="M113" s="210">
        <f t="shared" si="16"/>
        <v>0</v>
      </c>
      <c r="N113" s="26">
        <v>44711</v>
      </c>
      <c r="O113" s="26">
        <v>44711</v>
      </c>
      <c r="P113" s="26">
        <v>44711</v>
      </c>
      <c r="Q113" s="2">
        <f t="shared" si="10"/>
        <v>1</v>
      </c>
      <c r="S113" s="7">
        <f t="shared" si="17"/>
        <v>1</v>
      </c>
      <c r="T113" s="157">
        <f t="shared" si="18"/>
        <v>1</v>
      </c>
      <c r="V113" s="191">
        <f t="shared" si="11"/>
        <v>5</v>
      </c>
      <c r="W113" s="7">
        <f t="shared" si="12"/>
        <v>2022</v>
      </c>
    </row>
    <row r="114" spans="1:23" ht="31.95" customHeight="1" thickBot="1" x14ac:dyDescent="0.35">
      <c r="A114" s="15">
        <f t="shared" si="13"/>
        <v>2</v>
      </c>
      <c r="B114" s="26">
        <v>44711</v>
      </c>
      <c r="C114" s="51">
        <f t="shared" si="19"/>
        <v>110</v>
      </c>
      <c r="D114" s="27" t="s">
        <v>524</v>
      </c>
      <c r="E114" s="26" t="s">
        <v>29</v>
      </c>
      <c r="F114" s="28" t="s">
        <v>11</v>
      </c>
      <c r="G114" s="28" t="s">
        <v>11</v>
      </c>
      <c r="H114" s="254"/>
      <c r="I114" s="49">
        <v>2</v>
      </c>
      <c r="J114" s="49">
        <v>2</v>
      </c>
      <c r="K114" s="52">
        <f t="shared" si="14"/>
        <v>1</v>
      </c>
      <c r="L114" s="209">
        <f t="shared" si="15"/>
        <v>0</v>
      </c>
      <c r="M114" s="210">
        <f t="shared" si="16"/>
        <v>0</v>
      </c>
      <c r="N114" s="26">
        <v>44712</v>
      </c>
      <c r="O114" s="26">
        <v>44712</v>
      </c>
      <c r="P114" s="26">
        <v>44712</v>
      </c>
      <c r="Q114" s="2">
        <f t="shared" si="10"/>
        <v>1</v>
      </c>
      <c r="S114" s="7">
        <f t="shared" si="17"/>
        <v>1</v>
      </c>
      <c r="T114" s="157">
        <f t="shared" si="18"/>
        <v>1</v>
      </c>
      <c r="V114" s="191">
        <f t="shared" si="11"/>
        <v>5</v>
      </c>
      <c r="W114" s="7">
        <f t="shared" si="12"/>
        <v>2022</v>
      </c>
    </row>
    <row r="115" spans="1:23" ht="31.95" customHeight="1" thickBot="1" x14ac:dyDescent="0.35">
      <c r="A115" s="15">
        <f t="shared" si="13"/>
        <v>1</v>
      </c>
      <c r="B115" s="26">
        <v>44711</v>
      </c>
      <c r="C115" s="51">
        <f t="shared" si="19"/>
        <v>111</v>
      </c>
      <c r="D115" s="27" t="s">
        <v>340</v>
      </c>
      <c r="E115" s="26" t="s">
        <v>29</v>
      </c>
      <c r="F115" s="28" t="s">
        <v>11</v>
      </c>
      <c r="G115" s="28" t="s">
        <v>11</v>
      </c>
      <c r="H115" s="254"/>
      <c r="I115" s="49">
        <v>1</v>
      </c>
      <c r="J115" s="49">
        <v>1</v>
      </c>
      <c r="K115" s="52">
        <f t="shared" si="14"/>
        <v>1</v>
      </c>
      <c r="L115" s="209">
        <f t="shared" si="15"/>
        <v>0</v>
      </c>
      <c r="M115" s="210">
        <f t="shared" si="16"/>
        <v>0</v>
      </c>
      <c r="N115" s="26">
        <v>44725</v>
      </c>
      <c r="O115" s="26">
        <v>44725</v>
      </c>
      <c r="P115" s="26">
        <v>44725</v>
      </c>
      <c r="Q115" s="2">
        <f t="shared" si="10"/>
        <v>1</v>
      </c>
      <c r="S115" s="7">
        <f t="shared" si="17"/>
        <v>1</v>
      </c>
      <c r="T115" s="157">
        <f t="shared" si="18"/>
        <v>1</v>
      </c>
      <c r="V115" s="191">
        <f t="shared" si="11"/>
        <v>5</v>
      </c>
      <c r="W115" s="7">
        <f t="shared" si="12"/>
        <v>2022</v>
      </c>
    </row>
    <row r="116" spans="1:23" ht="31.95" customHeight="1" thickBot="1" x14ac:dyDescent="0.35">
      <c r="A116" s="15">
        <f t="shared" si="13"/>
        <v>1</v>
      </c>
      <c r="B116" s="26">
        <v>44712</v>
      </c>
      <c r="C116" s="51">
        <f t="shared" si="19"/>
        <v>112</v>
      </c>
      <c r="D116" s="27" t="s">
        <v>340</v>
      </c>
      <c r="E116" s="26" t="s">
        <v>24</v>
      </c>
      <c r="F116" s="28" t="s">
        <v>11</v>
      </c>
      <c r="G116" s="28" t="s">
        <v>11</v>
      </c>
      <c r="H116" s="254"/>
      <c r="I116" s="49">
        <v>1</v>
      </c>
      <c r="J116" s="49">
        <v>1</v>
      </c>
      <c r="K116" s="52">
        <f t="shared" si="14"/>
        <v>1</v>
      </c>
      <c r="L116" s="209">
        <f t="shared" si="15"/>
        <v>0</v>
      </c>
      <c r="M116" s="210">
        <f t="shared" si="16"/>
        <v>0</v>
      </c>
      <c r="N116" s="26">
        <v>44726</v>
      </c>
      <c r="O116" s="26">
        <v>44726</v>
      </c>
      <c r="P116" s="26">
        <v>44726</v>
      </c>
      <c r="Q116" s="2">
        <f t="shared" si="10"/>
        <v>1</v>
      </c>
      <c r="S116" s="7">
        <f t="shared" si="17"/>
        <v>1</v>
      </c>
      <c r="T116" s="157">
        <f t="shared" si="18"/>
        <v>1</v>
      </c>
      <c r="V116" s="191">
        <f t="shared" si="11"/>
        <v>5</v>
      </c>
      <c r="W116" s="7">
        <f t="shared" si="12"/>
        <v>2022</v>
      </c>
    </row>
    <row r="117" spans="1:23" ht="31.95" customHeight="1" thickBot="1" x14ac:dyDescent="0.35">
      <c r="A117" s="15">
        <f t="shared" si="13"/>
        <v>1</v>
      </c>
      <c r="B117" s="26">
        <v>44714</v>
      </c>
      <c r="C117" s="51">
        <f t="shared" si="19"/>
        <v>113</v>
      </c>
      <c r="D117" s="27" t="s">
        <v>1150</v>
      </c>
      <c r="E117" s="26" t="s">
        <v>29</v>
      </c>
      <c r="F117" s="28" t="s">
        <v>11</v>
      </c>
      <c r="G117" s="28" t="s">
        <v>11</v>
      </c>
      <c r="H117" s="254"/>
      <c r="I117" s="49">
        <v>1</v>
      </c>
      <c r="J117" s="49">
        <v>1</v>
      </c>
      <c r="K117" s="52">
        <f t="shared" si="14"/>
        <v>1</v>
      </c>
      <c r="L117" s="209">
        <f t="shared" si="15"/>
        <v>0</v>
      </c>
      <c r="M117" s="210">
        <f t="shared" si="16"/>
        <v>0</v>
      </c>
      <c r="N117" s="26">
        <v>44714</v>
      </c>
      <c r="O117" s="26">
        <v>44714</v>
      </c>
      <c r="P117" s="26">
        <v>44714</v>
      </c>
      <c r="Q117" s="2">
        <f t="shared" si="10"/>
        <v>1</v>
      </c>
      <c r="S117" s="7">
        <f t="shared" si="17"/>
        <v>1</v>
      </c>
      <c r="T117" s="157">
        <f t="shared" si="18"/>
        <v>1</v>
      </c>
      <c r="V117" s="191">
        <f t="shared" si="11"/>
        <v>6</v>
      </c>
      <c r="W117" s="7">
        <f t="shared" si="12"/>
        <v>2022</v>
      </c>
    </row>
    <row r="118" spans="1:23" ht="31.95" customHeight="1" thickBot="1" x14ac:dyDescent="0.35">
      <c r="A118" s="15">
        <f t="shared" si="13"/>
        <v>3</v>
      </c>
      <c r="B118" s="26">
        <v>44714</v>
      </c>
      <c r="C118" s="51">
        <f t="shared" si="19"/>
        <v>114</v>
      </c>
      <c r="D118" s="27" t="s">
        <v>781</v>
      </c>
      <c r="E118" s="26" t="s">
        <v>26</v>
      </c>
      <c r="F118" s="28" t="s">
        <v>11</v>
      </c>
      <c r="G118" s="28" t="s">
        <v>11</v>
      </c>
      <c r="H118" s="254"/>
      <c r="I118" s="49">
        <v>3</v>
      </c>
      <c r="J118" s="49">
        <v>3</v>
      </c>
      <c r="K118" s="52">
        <f t="shared" si="14"/>
        <v>1</v>
      </c>
      <c r="L118" s="209">
        <f t="shared" si="15"/>
        <v>0</v>
      </c>
      <c r="M118" s="210">
        <f t="shared" si="16"/>
        <v>0</v>
      </c>
      <c r="N118" s="26">
        <v>44715</v>
      </c>
      <c r="O118" s="26">
        <v>44715</v>
      </c>
      <c r="P118" s="26">
        <v>44715</v>
      </c>
      <c r="Q118" s="2">
        <f t="shared" si="10"/>
        <v>1</v>
      </c>
      <c r="S118" s="7">
        <f t="shared" si="17"/>
        <v>1</v>
      </c>
      <c r="T118" s="157">
        <f t="shared" si="18"/>
        <v>1</v>
      </c>
      <c r="V118" s="191">
        <f t="shared" si="11"/>
        <v>6</v>
      </c>
      <c r="W118" s="7">
        <f t="shared" si="12"/>
        <v>2022</v>
      </c>
    </row>
    <row r="119" spans="1:23" ht="31.95" customHeight="1" thickBot="1" x14ac:dyDescent="0.35">
      <c r="A119" s="15">
        <f t="shared" si="13"/>
        <v>0</v>
      </c>
      <c r="B119" s="26">
        <v>44714</v>
      </c>
      <c r="C119" s="51">
        <f t="shared" si="19"/>
        <v>115</v>
      </c>
      <c r="D119" s="27" t="s">
        <v>524</v>
      </c>
      <c r="E119" s="26" t="s">
        <v>25</v>
      </c>
      <c r="F119" s="28" t="s">
        <v>11</v>
      </c>
      <c r="G119" s="28" t="s">
        <v>11</v>
      </c>
      <c r="H119" s="254"/>
      <c r="I119" s="49"/>
      <c r="J119" s="49"/>
      <c r="K119" s="52" t="str">
        <f t="shared" si="14"/>
        <v/>
      </c>
      <c r="L119" s="209" t="str">
        <f t="shared" si="15"/>
        <v/>
      </c>
      <c r="M119" s="210" t="str">
        <f t="shared" si="16"/>
        <v/>
      </c>
      <c r="N119" s="26">
        <v>44720</v>
      </c>
      <c r="O119" s="26">
        <v>44720</v>
      </c>
      <c r="P119" s="26">
        <v>44720</v>
      </c>
      <c r="Q119" s="2">
        <f t="shared" si="10"/>
        <v>1</v>
      </c>
      <c r="S119" s="7">
        <f t="shared" si="17"/>
        <v>1</v>
      </c>
      <c r="T119" s="157">
        <f t="shared" si="18"/>
        <v>1</v>
      </c>
      <c r="V119" s="191">
        <f t="shared" si="11"/>
        <v>6</v>
      </c>
      <c r="W119" s="7">
        <f t="shared" si="12"/>
        <v>2022</v>
      </c>
    </row>
    <row r="120" spans="1:23" ht="31.95" customHeight="1" thickBot="1" x14ac:dyDescent="0.35">
      <c r="A120" s="15">
        <f t="shared" si="13"/>
        <v>13</v>
      </c>
      <c r="B120" s="26">
        <v>44715</v>
      </c>
      <c r="C120" s="51">
        <f t="shared" si="19"/>
        <v>116</v>
      </c>
      <c r="D120" s="27" t="s">
        <v>871</v>
      </c>
      <c r="E120" s="26" t="s">
        <v>25</v>
      </c>
      <c r="F120" s="28" t="s">
        <v>11</v>
      </c>
      <c r="G120" s="28" t="s">
        <v>11</v>
      </c>
      <c r="H120" s="254"/>
      <c r="I120" s="49">
        <v>13</v>
      </c>
      <c r="J120" s="49">
        <v>13</v>
      </c>
      <c r="K120" s="52">
        <f t="shared" si="14"/>
        <v>1</v>
      </c>
      <c r="L120" s="209">
        <f t="shared" si="15"/>
        <v>0</v>
      </c>
      <c r="M120" s="210">
        <f t="shared" si="16"/>
        <v>0</v>
      </c>
      <c r="N120" s="26">
        <v>44718</v>
      </c>
      <c r="O120" s="26">
        <v>44718</v>
      </c>
      <c r="P120" s="26">
        <v>44718</v>
      </c>
      <c r="Q120" s="2">
        <f t="shared" si="10"/>
        <v>1</v>
      </c>
      <c r="S120" s="7">
        <f t="shared" si="17"/>
        <v>1</v>
      </c>
      <c r="T120" s="157">
        <f t="shared" si="18"/>
        <v>1</v>
      </c>
      <c r="V120" s="191">
        <f t="shared" si="11"/>
        <v>6</v>
      </c>
      <c r="W120" s="7">
        <f t="shared" si="12"/>
        <v>2022</v>
      </c>
    </row>
    <row r="121" spans="1:23" ht="31.95" customHeight="1" thickBot="1" x14ac:dyDescent="0.35">
      <c r="A121" s="15">
        <f t="shared" si="13"/>
        <v>5</v>
      </c>
      <c r="B121" s="26">
        <v>44715</v>
      </c>
      <c r="C121" s="51">
        <f t="shared" si="19"/>
        <v>117</v>
      </c>
      <c r="D121" s="27" t="s">
        <v>871</v>
      </c>
      <c r="E121" s="26" t="s">
        <v>29</v>
      </c>
      <c r="F121" s="28" t="s">
        <v>11</v>
      </c>
      <c r="G121" s="28" t="s">
        <v>11</v>
      </c>
      <c r="H121" s="254"/>
      <c r="I121" s="49">
        <v>5</v>
      </c>
      <c r="J121" s="49">
        <v>5</v>
      </c>
      <c r="K121" s="52">
        <f t="shared" si="14"/>
        <v>1</v>
      </c>
      <c r="L121" s="209">
        <f t="shared" si="15"/>
        <v>0</v>
      </c>
      <c r="M121" s="210">
        <f t="shared" si="16"/>
        <v>0</v>
      </c>
      <c r="N121" s="26">
        <v>44718</v>
      </c>
      <c r="O121" s="26">
        <v>44718</v>
      </c>
      <c r="P121" s="26">
        <v>44718</v>
      </c>
      <c r="Q121" s="2">
        <f t="shared" si="10"/>
        <v>1</v>
      </c>
      <c r="S121" s="7">
        <f t="shared" si="17"/>
        <v>1</v>
      </c>
      <c r="T121" s="157">
        <f t="shared" si="18"/>
        <v>1</v>
      </c>
      <c r="V121" s="191">
        <f t="shared" si="11"/>
        <v>6</v>
      </c>
      <c r="W121" s="7">
        <f t="shared" si="12"/>
        <v>2022</v>
      </c>
    </row>
    <row r="122" spans="1:23" ht="31.95" customHeight="1" thickBot="1" x14ac:dyDescent="0.35">
      <c r="A122" s="15">
        <f t="shared" si="13"/>
        <v>1</v>
      </c>
      <c r="B122" s="26">
        <v>44715</v>
      </c>
      <c r="C122" s="51">
        <f t="shared" si="19"/>
        <v>118</v>
      </c>
      <c r="D122" s="27" t="s">
        <v>1092</v>
      </c>
      <c r="E122" s="26" t="s">
        <v>25</v>
      </c>
      <c r="F122" s="28" t="s">
        <v>11</v>
      </c>
      <c r="G122" s="28" t="s">
        <v>11</v>
      </c>
      <c r="H122" s="254"/>
      <c r="I122" s="49">
        <v>1</v>
      </c>
      <c r="J122" s="49">
        <v>1</v>
      </c>
      <c r="K122" s="52">
        <f t="shared" si="14"/>
        <v>1</v>
      </c>
      <c r="L122" s="209">
        <f t="shared" si="15"/>
        <v>0</v>
      </c>
      <c r="M122" s="210">
        <f t="shared" si="16"/>
        <v>0</v>
      </c>
      <c r="N122" s="26">
        <v>44726</v>
      </c>
      <c r="O122" s="26">
        <v>44726</v>
      </c>
      <c r="P122" s="26">
        <v>44726</v>
      </c>
      <c r="Q122" s="2">
        <f t="shared" si="10"/>
        <v>1</v>
      </c>
      <c r="S122" s="7">
        <f t="shared" si="17"/>
        <v>1</v>
      </c>
      <c r="T122" s="157">
        <f t="shared" si="18"/>
        <v>1</v>
      </c>
      <c r="V122" s="191">
        <f t="shared" si="11"/>
        <v>6</v>
      </c>
      <c r="W122" s="7">
        <f t="shared" si="12"/>
        <v>2022</v>
      </c>
    </row>
    <row r="123" spans="1:23" ht="31.95" customHeight="1" thickBot="1" x14ac:dyDescent="0.35">
      <c r="A123" s="15">
        <f t="shared" si="13"/>
        <v>3</v>
      </c>
      <c r="B123" s="26">
        <v>44715</v>
      </c>
      <c r="C123" s="51">
        <f t="shared" si="19"/>
        <v>119</v>
      </c>
      <c r="D123" s="27" t="s">
        <v>602</v>
      </c>
      <c r="E123" s="26" t="s">
        <v>25</v>
      </c>
      <c r="F123" s="28" t="s">
        <v>11</v>
      </c>
      <c r="G123" s="28" t="s">
        <v>11</v>
      </c>
      <c r="H123" s="254"/>
      <c r="I123" s="49">
        <v>3</v>
      </c>
      <c r="J123" s="49">
        <v>3</v>
      </c>
      <c r="K123" s="52">
        <f t="shared" si="14"/>
        <v>1</v>
      </c>
      <c r="L123" s="209">
        <f t="shared" si="15"/>
        <v>0</v>
      </c>
      <c r="M123" s="210">
        <f t="shared" si="16"/>
        <v>0</v>
      </c>
      <c r="N123" s="26">
        <v>44718</v>
      </c>
      <c r="O123" s="26">
        <v>44718</v>
      </c>
      <c r="P123" s="26">
        <v>44718</v>
      </c>
      <c r="Q123" s="2">
        <f t="shared" si="10"/>
        <v>1</v>
      </c>
      <c r="S123" s="7">
        <f t="shared" si="17"/>
        <v>1</v>
      </c>
      <c r="T123" s="157">
        <f t="shared" si="18"/>
        <v>1</v>
      </c>
      <c r="V123" s="191">
        <f t="shared" si="11"/>
        <v>6</v>
      </c>
      <c r="W123" s="7">
        <f t="shared" si="12"/>
        <v>2022</v>
      </c>
    </row>
    <row r="124" spans="1:23" ht="31.95" customHeight="1" thickBot="1" x14ac:dyDescent="0.35">
      <c r="A124" s="15">
        <f t="shared" si="13"/>
        <v>2</v>
      </c>
      <c r="B124" s="26">
        <v>44715</v>
      </c>
      <c r="C124" s="51">
        <f t="shared" si="19"/>
        <v>120</v>
      </c>
      <c r="D124" s="27" t="s">
        <v>524</v>
      </c>
      <c r="E124" s="26" t="s">
        <v>25</v>
      </c>
      <c r="F124" s="28" t="s">
        <v>11</v>
      </c>
      <c r="G124" s="28" t="s">
        <v>11</v>
      </c>
      <c r="H124" s="254"/>
      <c r="I124" s="49">
        <v>2</v>
      </c>
      <c r="J124" s="49">
        <v>2</v>
      </c>
      <c r="K124" s="52">
        <f t="shared" si="14"/>
        <v>1</v>
      </c>
      <c r="L124" s="209">
        <f t="shared" si="15"/>
        <v>0</v>
      </c>
      <c r="M124" s="210">
        <f t="shared" si="16"/>
        <v>0</v>
      </c>
      <c r="N124" s="26">
        <v>44720</v>
      </c>
      <c r="O124" s="26">
        <v>44720</v>
      </c>
      <c r="P124" s="26">
        <v>44720</v>
      </c>
      <c r="Q124" s="2">
        <f t="shared" si="10"/>
        <v>1</v>
      </c>
      <c r="S124" s="7">
        <f t="shared" si="17"/>
        <v>1</v>
      </c>
      <c r="T124" s="157">
        <f t="shared" si="18"/>
        <v>1</v>
      </c>
      <c r="V124" s="191">
        <f t="shared" si="11"/>
        <v>6</v>
      </c>
      <c r="W124" s="7">
        <f t="shared" si="12"/>
        <v>2022</v>
      </c>
    </row>
    <row r="125" spans="1:23" ht="31.95" customHeight="1" thickBot="1" x14ac:dyDescent="0.35">
      <c r="A125" s="15">
        <f t="shared" si="13"/>
        <v>1</v>
      </c>
      <c r="B125" s="26">
        <v>44715</v>
      </c>
      <c r="C125" s="51">
        <f t="shared" si="19"/>
        <v>121</v>
      </c>
      <c r="D125" s="27" t="s">
        <v>858</v>
      </c>
      <c r="E125" s="26" t="s">
        <v>26</v>
      </c>
      <c r="F125" s="28" t="s">
        <v>11</v>
      </c>
      <c r="G125" s="28" t="s">
        <v>11</v>
      </c>
      <c r="H125" s="254"/>
      <c r="I125" s="49">
        <v>1</v>
      </c>
      <c r="J125" s="49">
        <v>1</v>
      </c>
      <c r="K125" s="52">
        <f t="shared" si="14"/>
        <v>1</v>
      </c>
      <c r="L125" s="209">
        <f t="shared" si="15"/>
        <v>0</v>
      </c>
      <c r="M125" s="210">
        <f t="shared" si="16"/>
        <v>0</v>
      </c>
      <c r="N125" s="26">
        <v>44715</v>
      </c>
      <c r="O125" s="26">
        <v>44715</v>
      </c>
      <c r="P125" s="26">
        <v>44715</v>
      </c>
      <c r="Q125" s="2">
        <f t="shared" si="10"/>
        <v>1</v>
      </c>
      <c r="S125" s="7">
        <f t="shared" si="17"/>
        <v>1</v>
      </c>
      <c r="T125" s="157">
        <f t="shared" si="18"/>
        <v>1</v>
      </c>
      <c r="V125" s="191">
        <f t="shared" si="11"/>
        <v>6</v>
      </c>
      <c r="W125" s="7">
        <f t="shared" si="12"/>
        <v>2022</v>
      </c>
    </row>
    <row r="126" spans="1:23" ht="31.95" customHeight="1" thickBot="1" x14ac:dyDescent="0.35">
      <c r="A126" s="15">
        <f t="shared" si="13"/>
        <v>8</v>
      </c>
      <c r="B126" s="26">
        <v>44719</v>
      </c>
      <c r="C126" s="51">
        <f t="shared" si="19"/>
        <v>122</v>
      </c>
      <c r="D126" s="27" t="s">
        <v>524</v>
      </c>
      <c r="E126" s="26" t="s">
        <v>28</v>
      </c>
      <c r="F126" s="28" t="s">
        <v>11</v>
      </c>
      <c r="G126" s="28" t="s">
        <v>11</v>
      </c>
      <c r="H126" s="254"/>
      <c r="I126" s="49">
        <v>8</v>
      </c>
      <c r="J126" s="49">
        <v>8</v>
      </c>
      <c r="K126" s="52">
        <f t="shared" si="14"/>
        <v>1</v>
      </c>
      <c r="L126" s="209">
        <f t="shared" si="15"/>
        <v>0</v>
      </c>
      <c r="M126" s="210">
        <f t="shared" si="16"/>
        <v>0</v>
      </c>
      <c r="N126" s="26">
        <v>44726</v>
      </c>
      <c r="O126" s="26">
        <v>44726</v>
      </c>
      <c r="P126" s="26">
        <v>44726</v>
      </c>
      <c r="Q126" s="2">
        <f t="shared" si="10"/>
        <v>1</v>
      </c>
      <c r="S126" s="7">
        <f t="shared" si="17"/>
        <v>1</v>
      </c>
      <c r="T126" s="157">
        <f t="shared" si="18"/>
        <v>1</v>
      </c>
      <c r="V126" s="191">
        <f t="shared" si="11"/>
        <v>6</v>
      </c>
      <c r="W126" s="7">
        <f t="shared" si="12"/>
        <v>2022</v>
      </c>
    </row>
    <row r="127" spans="1:23" ht="31.95" customHeight="1" thickBot="1" x14ac:dyDescent="0.35">
      <c r="A127" s="15">
        <f t="shared" si="13"/>
        <v>5</v>
      </c>
      <c r="B127" s="26">
        <v>44719</v>
      </c>
      <c r="C127" s="51">
        <f t="shared" si="19"/>
        <v>123</v>
      </c>
      <c r="D127" s="27" t="s">
        <v>838</v>
      </c>
      <c r="E127" s="26" t="s">
        <v>28</v>
      </c>
      <c r="F127" s="28" t="s">
        <v>11</v>
      </c>
      <c r="G127" s="28" t="s">
        <v>11</v>
      </c>
      <c r="H127" s="254"/>
      <c r="I127" s="49">
        <v>5</v>
      </c>
      <c r="J127" s="49">
        <v>5</v>
      </c>
      <c r="K127" s="52">
        <f t="shared" si="14"/>
        <v>1</v>
      </c>
      <c r="L127" s="209">
        <f t="shared" si="15"/>
        <v>0</v>
      </c>
      <c r="M127" s="210">
        <f t="shared" si="16"/>
        <v>0</v>
      </c>
      <c r="N127" s="26">
        <v>44726</v>
      </c>
      <c r="O127" s="26">
        <v>44726</v>
      </c>
      <c r="P127" s="26">
        <v>44726</v>
      </c>
      <c r="Q127" s="2">
        <f t="shared" si="10"/>
        <v>1</v>
      </c>
      <c r="S127" s="7">
        <f t="shared" si="17"/>
        <v>1</v>
      </c>
      <c r="T127" s="157">
        <f t="shared" si="18"/>
        <v>1</v>
      </c>
      <c r="V127" s="191">
        <f t="shared" si="11"/>
        <v>6</v>
      </c>
      <c r="W127" s="7">
        <f t="shared" si="12"/>
        <v>2022</v>
      </c>
    </row>
    <row r="128" spans="1:23" ht="31.95" customHeight="1" thickBot="1" x14ac:dyDescent="0.35">
      <c r="A128" s="15">
        <f t="shared" si="13"/>
        <v>6</v>
      </c>
      <c r="B128" s="26">
        <v>44719</v>
      </c>
      <c r="C128" s="51">
        <f t="shared" si="19"/>
        <v>124</v>
      </c>
      <c r="D128" s="27" t="s">
        <v>890</v>
      </c>
      <c r="E128" s="26" t="s">
        <v>28</v>
      </c>
      <c r="F128" s="28" t="s">
        <v>11</v>
      </c>
      <c r="G128" s="28" t="s">
        <v>11</v>
      </c>
      <c r="H128" s="254"/>
      <c r="I128" s="49">
        <v>6</v>
      </c>
      <c r="J128" s="49">
        <v>6</v>
      </c>
      <c r="K128" s="52">
        <f t="shared" si="14"/>
        <v>1</v>
      </c>
      <c r="L128" s="209">
        <f t="shared" si="15"/>
        <v>0</v>
      </c>
      <c r="M128" s="210">
        <f t="shared" si="16"/>
        <v>0</v>
      </c>
      <c r="N128" s="26">
        <v>44742</v>
      </c>
      <c r="O128" s="26">
        <v>44742</v>
      </c>
      <c r="P128" s="26">
        <v>44742</v>
      </c>
      <c r="Q128" s="2">
        <f t="shared" si="10"/>
        <v>1</v>
      </c>
      <c r="S128" s="7">
        <f t="shared" si="17"/>
        <v>1</v>
      </c>
      <c r="T128" s="157">
        <f t="shared" si="18"/>
        <v>1</v>
      </c>
      <c r="V128" s="191">
        <f t="shared" si="11"/>
        <v>6</v>
      </c>
      <c r="W128" s="7">
        <f t="shared" si="12"/>
        <v>2022</v>
      </c>
    </row>
    <row r="129" spans="1:23" ht="31.95" customHeight="1" thickBot="1" x14ac:dyDescent="0.35">
      <c r="A129" s="15">
        <f t="shared" si="13"/>
        <v>10</v>
      </c>
      <c r="B129" s="26">
        <v>44719</v>
      </c>
      <c r="C129" s="51">
        <f t="shared" si="19"/>
        <v>125</v>
      </c>
      <c r="D129" s="27" t="s">
        <v>269</v>
      </c>
      <c r="E129" s="26" t="s">
        <v>28</v>
      </c>
      <c r="F129" s="28" t="s">
        <v>11</v>
      </c>
      <c r="G129" s="28" t="s">
        <v>11</v>
      </c>
      <c r="H129" s="254"/>
      <c r="I129" s="49">
        <v>10</v>
      </c>
      <c r="J129" s="49">
        <v>10</v>
      </c>
      <c r="K129" s="52">
        <f t="shared" si="14"/>
        <v>1</v>
      </c>
      <c r="L129" s="209">
        <f t="shared" si="15"/>
        <v>0</v>
      </c>
      <c r="M129" s="210">
        <f t="shared" si="16"/>
        <v>0</v>
      </c>
      <c r="N129" s="26">
        <v>44742</v>
      </c>
      <c r="O129" s="26">
        <v>44742</v>
      </c>
      <c r="P129" s="26">
        <v>44742</v>
      </c>
      <c r="Q129" s="2">
        <f t="shared" si="10"/>
        <v>1</v>
      </c>
      <c r="S129" s="7">
        <f t="shared" si="17"/>
        <v>1</v>
      </c>
      <c r="T129" s="157">
        <f t="shared" si="18"/>
        <v>1</v>
      </c>
      <c r="V129" s="191">
        <f t="shared" si="11"/>
        <v>6</v>
      </c>
      <c r="W129" s="7">
        <f t="shared" si="12"/>
        <v>2022</v>
      </c>
    </row>
    <row r="130" spans="1:23" ht="31.95" customHeight="1" thickBot="1" x14ac:dyDescent="0.35">
      <c r="A130" s="15">
        <f t="shared" si="13"/>
        <v>10</v>
      </c>
      <c r="B130" s="26">
        <v>44720</v>
      </c>
      <c r="C130" s="51">
        <f t="shared" si="19"/>
        <v>126</v>
      </c>
      <c r="D130" s="27" t="s">
        <v>871</v>
      </c>
      <c r="E130" s="26" t="s">
        <v>28</v>
      </c>
      <c r="F130" s="28" t="s">
        <v>11</v>
      </c>
      <c r="G130" s="28" t="s">
        <v>11</v>
      </c>
      <c r="H130" s="254"/>
      <c r="I130" s="49">
        <v>10</v>
      </c>
      <c r="J130" s="49">
        <v>10</v>
      </c>
      <c r="K130" s="52">
        <f t="shared" si="14"/>
        <v>1</v>
      </c>
      <c r="L130" s="209">
        <f t="shared" si="15"/>
        <v>0</v>
      </c>
      <c r="M130" s="210">
        <f t="shared" si="16"/>
        <v>0</v>
      </c>
      <c r="N130" s="26">
        <v>44742</v>
      </c>
      <c r="O130" s="26">
        <v>44742</v>
      </c>
      <c r="P130" s="26">
        <v>44742</v>
      </c>
      <c r="Q130" s="2">
        <f t="shared" si="10"/>
        <v>1</v>
      </c>
      <c r="S130" s="7">
        <f t="shared" si="17"/>
        <v>1</v>
      </c>
      <c r="T130" s="157">
        <f t="shared" si="18"/>
        <v>1</v>
      </c>
      <c r="V130" s="191">
        <f t="shared" si="11"/>
        <v>6</v>
      </c>
      <c r="W130" s="7">
        <f t="shared" si="12"/>
        <v>2022</v>
      </c>
    </row>
    <row r="131" spans="1:23" ht="31.95" customHeight="1" thickBot="1" x14ac:dyDescent="0.35">
      <c r="A131" s="15">
        <f t="shared" si="13"/>
        <v>9</v>
      </c>
      <c r="B131" s="26">
        <v>44721</v>
      </c>
      <c r="C131" s="51">
        <f t="shared" si="19"/>
        <v>127</v>
      </c>
      <c r="D131" s="27" t="s">
        <v>890</v>
      </c>
      <c r="E131" s="26" t="s">
        <v>25</v>
      </c>
      <c r="F131" s="28" t="s">
        <v>11</v>
      </c>
      <c r="G131" s="28" t="s">
        <v>11</v>
      </c>
      <c r="H131" s="254"/>
      <c r="I131" s="49">
        <v>9</v>
      </c>
      <c r="J131" s="49">
        <v>9</v>
      </c>
      <c r="K131" s="52">
        <f t="shared" si="14"/>
        <v>1</v>
      </c>
      <c r="L131" s="209">
        <f t="shared" si="15"/>
        <v>0</v>
      </c>
      <c r="M131" s="210">
        <f t="shared" si="16"/>
        <v>0</v>
      </c>
      <c r="N131" s="28">
        <v>44742</v>
      </c>
      <c r="O131" s="28">
        <v>44742</v>
      </c>
      <c r="P131" s="28">
        <v>44742</v>
      </c>
      <c r="Q131" s="2">
        <f t="shared" si="10"/>
        <v>1</v>
      </c>
      <c r="S131" s="7">
        <f t="shared" si="17"/>
        <v>1</v>
      </c>
      <c r="T131" s="157">
        <f t="shared" si="18"/>
        <v>1</v>
      </c>
      <c r="V131" s="191">
        <f t="shared" si="11"/>
        <v>6</v>
      </c>
      <c r="W131" s="7">
        <f t="shared" si="12"/>
        <v>2022</v>
      </c>
    </row>
    <row r="132" spans="1:23" ht="31.95" customHeight="1" thickBot="1" x14ac:dyDescent="0.35">
      <c r="A132" s="15">
        <f t="shared" si="13"/>
        <v>1</v>
      </c>
      <c r="B132" s="26">
        <v>44721</v>
      </c>
      <c r="C132" s="51">
        <f t="shared" si="19"/>
        <v>128</v>
      </c>
      <c r="D132" s="27" t="s">
        <v>518</v>
      </c>
      <c r="E132" s="26" t="s">
        <v>25</v>
      </c>
      <c r="F132" s="28" t="s">
        <v>11</v>
      </c>
      <c r="G132" s="28" t="s">
        <v>11</v>
      </c>
      <c r="H132" s="254"/>
      <c r="I132" s="49">
        <v>1</v>
      </c>
      <c r="J132" s="49">
        <v>1</v>
      </c>
      <c r="K132" s="52">
        <f t="shared" si="14"/>
        <v>1</v>
      </c>
      <c r="L132" s="209">
        <f t="shared" si="15"/>
        <v>0</v>
      </c>
      <c r="M132" s="210">
        <f t="shared" si="16"/>
        <v>0</v>
      </c>
      <c r="N132" s="28">
        <v>44727</v>
      </c>
      <c r="O132" s="28">
        <v>44727</v>
      </c>
      <c r="P132" s="28">
        <v>44727</v>
      </c>
      <c r="Q132" s="2">
        <f t="shared" si="10"/>
        <v>1</v>
      </c>
      <c r="S132" s="7">
        <f t="shared" si="17"/>
        <v>1</v>
      </c>
      <c r="T132" s="157">
        <f t="shared" si="18"/>
        <v>1</v>
      </c>
      <c r="V132" s="191">
        <f t="shared" si="11"/>
        <v>6</v>
      </c>
      <c r="W132" s="7">
        <f t="shared" si="12"/>
        <v>2022</v>
      </c>
    </row>
    <row r="133" spans="1:23" ht="31.95" customHeight="1" thickBot="1" x14ac:dyDescent="0.35">
      <c r="A133" s="15">
        <f t="shared" si="13"/>
        <v>2</v>
      </c>
      <c r="B133" s="26">
        <v>44721</v>
      </c>
      <c r="C133" s="51">
        <f t="shared" si="19"/>
        <v>129</v>
      </c>
      <c r="D133" s="27" t="s">
        <v>705</v>
      </c>
      <c r="E133" s="26" t="s">
        <v>25</v>
      </c>
      <c r="F133" s="28" t="s">
        <v>11</v>
      </c>
      <c r="G133" s="28" t="s">
        <v>11</v>
      </c>
      <c r="H133" s="254"/>
      <c r="I133" s="49">
        <v>2</v>
      </c>
      <c r="J133" s="49">
        <v>2</v>
      </c>
      <c r="K133" s="52">
        <f t="shared" si="14"/>
        <v>1</v>
      </c>
      <c r="L133" s="209">
        <f t="shared" si="15"/>
        <v>0</v>
      </c>
      <c r="M133" s="210">
        <f t="shared" si="16"/>
        <v>0</v>
      </c>
      <c r="N133" s="26">
        <v>44722</v>
      </c>
      <c r="O133" s="26">
        <v>44722</v>
      </c>
      <c r="P133" s="26">
        <v>44722</v>
      </c>
      <c r="Q133" s="2">
        <f t="shared" ref="Q133:Q196" si="20">IF(B133&lt;&gt;"",1,0)</f>
        <v>1</v>
      </c>
      <c r="S133" s="7">
        <f t="shared" si="17"/>
        <v>1</v>
      </c>
      <c r="T133" s="157">
        <f t="shared" si="18"/>
        <v>1</v>
      </c>
      <c r="V133" s="191">
        <f t="shared" ref="V133:V196" si="21">MONTH(B133)</f>
        <v>6</v>
      </c>
      <c r="W133" s="7">
        <f t="shared" ref="W133:W196" si="22">YEAR(B133)</f>
        <v>2022</v>
      </c>
    </row>
    <row r="134" spans="1:23" ht="31.95" customHeight="1" thickBot="1" x14ac:dyDescent="0.35">
      <c r="A134" s="15">
        <f t="shared" ref="A134:A197" si="23">J134</f>
        <v>3</v>
      </c>
      <c r="B134" s="26">
        <v>44721</v>
      </c>
      <c r="C134" s="51">
        <f t="shared" si="19"/>
        <v>130</v>
      </c>
      <c r="D134" s="27" t="s">
        <v>838</v>
      </c>
      <c r="E134" s="26" t="s">
        <v>31</v>
      </c>
      <c r="F134" s="28" t="s">
        <v>11</v>
      </c>
      <c r="G134" s="28" t="s">
        <v>11</v>
      </c>
      <c r="H134" s="254"/>
      <c r="I134" s="49">
        <v>3</v>
      </c>
      <c r="J134" s="49">
        <v>3</v>
      </c>
      <c r="K134" s="52">
        <f t="shared" ref="K134:K197" si="24">IFERROR(J134/I134,"")</f>
        <v>1</v>
      </c>
      <c r="L134" s="209">
        <f t="shared" ref="L134:L197" si="25">IF(I134="","",I134-J134)</f>
        <v>0</v>
      </c>
      <c r="M134" s="210">
        <f t="shared" ref="M134:M197" si="26">IFERROR(1-K134,"")</f>
        <v>0</v>
      </c>
      <c r="N134" s="28">
        <v>44726</v>
      </c>
      <c r="O134" s="28">
        <v>44726</v>
      </c>
      <c r="P134" s="28">
        <v>44726</v>
      </c>
      <c r="Q134" s="2">
        <f t="shared" si="20"/>
        <v>1</v>
      </c>
      <c r="S134" s="7">
        <f t="shared" ref="S134:S197" si="27">IF(AND(O134&lt;=N134,O134&lt;&gt;""),1,0)</f>
        <v>1</v>
      </c>
      <c r="T134" s="157">
        <f t="shared" ref="T134:T197" si="28">IF(AND(P134&lt;=N134,P134&lt;&gt;""),1,0)</f>
        <v>1</v>
      </c>
      <c r="V134" s="191">
        <f t="shared" si="21"/>
        <v>6</v>
      </c>
      <c r="W134" s="7">
        <f t="shared" si="22"/>
        <v>2022</v>
      </c>
    </row>
    <row r="135" spans="1:23" ht="31.95" customHeight="1" thickBot="1" x14ac:dyDescent="0.35">
      <c r="A135" s="15">
        <f t="shared" si="23"/>
        <v>2</v>
      </c>
      <c r="B135" s="26">
        <v>44721</v>
      </c>
      <c r="C135" s="51">
        <f t="shared" ref="C135:C198" si="29">IF(B135&lt;&gt;"",C134+1,"")</f>
        <v>131</v>
      </c>
      <c r="D135" s="27" t="s">
        <v>340</v>
      </c>
      <c r="E135" s="26" t="s">
        <v>31</v>
      </c>
      <c r="F135" s="28" t="s">
        <v>11</v>
      </c>
      <c r="G135" s="28" t="s">
        <v>11</v>
      </c>
      <c r="H135" s="254"/>
      <c r="I135" s="49">
        <v>2</v>
      </c>
      <c r="J135" s="49">
        <v>2</v>
      </c>
      <c r="K135" s="52">
        <f t="shared" si="24"/>
        <v>1</v>
      </c>
      <c r="L135" s="209">
        <f t="shared" si="25"/>
        <v>0</v>
      </c>
      <c r="M135" s="210">
        <f t="shared" si="26"/>
        <v>0</v>
      </c>
      <c r="N135" s="26">
        <v>44735</v>
      </c>
      <c r="O135" s="26">
        <v>44735</v>
      </c>
      <c r="P135" s="26">
        <v>44735</v>
      </c>
      <c r="Q135" s="2">
        <f t="shared" si="20"/>
        <v>1</v>
      </c>
      <c r="S135" s="7">
        <f t="shared" si="27"/>
        <v>1</v>
      </c>
      <c r="T135" s="157">
        <f t="shared" si="28"/>
        <v>1</v>
      </c>
      <c r="V135" s="191">
        <f t="shared" si="21"/>
        <v>6</v>
      </c>
      <c r="W135" s="7">
        <f t="shared" si="22"/>
        <v>2022</v>
      </c>
    </row>
    <row r="136" spans="1:23" ht="31.95" customHeight="1" thickBot="1" x14ac:dyDescent="0.35">
      <c r="A136" s="15">
        <f t="shared" si="23"/>
        <v>2</v>
      </c>
      <c r="B136" s="26">
        <v>44721</v>
      </c>
      <c r="C136" s="51">
        <f t="shared" si="29"/>
        <v>132</v>
      </c>
      <c r="D136" s="27" t="s">
        <v>871</v>
      </c>
      <c r="E136" s="26" t="s">
        <v>31</v>
      </c>
      <c r="F136" s="28" t="s">
        <v>11</v>
      </c>
      <c r="G136" s="28" t="s">
        <v>11</v>
      </c>
      <c r="H136" s="254"/>
      <c r="I136" s="49">
        <v>2</v>
      </c>
      <c r="J136" s="49">
        <v>2</v>
      </c>
      <c r="K136" s="52">
        <f t="shared" si="24"/>
        <v>1</v>
      </c>
      <c r="L136" s="209">
        <f t="shared" si="25"/>
        <v>0</v>
      </c>
      <c r="M136" s="210">
        <f t="shared" si="26"/>
        <v>0</v>
      </c>
      <c r="N136" s="26">
        <v>44722</v>
      </c>
      <c r="O136" s="26">
        <v>44722</v>
      </c>
      <c r="P136" s="26">
        <v>44722</v>
      </c>
      <c r="Q136" s="2">
        <f t="shared" si="20"/>
        <v>1</v>
      </c>
      <c r="S136" s="7">
        <f t="shared" si="27"/>
        <v>1</v>
      </c>
      <c r="T136" s="157">
        <f t="shared" si="28"/>
        <v>1</v>
      </c>
      <c r="V136" s="191">
        <f t="shared" si="21"/>
        <v>6</v>
      </c>
      <c r="W136" s="7">
        <f t="shared" si="22"/>
        <v>2022</v>
      </c>
    </row>
    <row r="137" spans="1:23" ht="31.95" customHeight="1" thickBot="1" x14ac:dyDescent="0.35">
      <c r="A137" s="15">
        <f t="shared" si="23"/>
        <v>1</v>
      </c>
      <c r="B137" s="26">
        <v>44721</v>
      </c>
      <c r="C137" s="51">
        <f t="shared" si="29"/>
        <v>133</v>
      </c>
      <c r="D137" s="27" t="s">
        <v>1150</v>
      </c>
      <c r="E137" s="26" t="s">
        <v>25</v>
      </c>
      <c r="F137" s="28" t="s">
        <v>11</v>
      </c>
      <c r="G137" s="28" t="s">
        <v>11</v>
      </c>
      <c r="H137" s="254"/>
      <c r="I137" s="49">
        <v>1</v>
      </c>
      <c r="J137" s="49">
        <v>1</v>
      </c>
      <c r="K137" s="52">
        <f t="shared" si="24"/>
        <v>1</v>
      </c>
      <c r="L137" s="209">
        <f t="shared" si="25"/>
        <v>0</v>
      </c>
      <c r="M137" s="210">
        <f t="shared" si="26"/>
        <v>0</v>
      </c>
      <c r="N137" s="26">
        <v>44722</v>
      </c>
      <c r="O137" s="26">
        <v>44722</v>
      </c>
      <c r="P137" s="26">
        <v>44722</v>
      </c>
      <c r="Q137" s="2">
        <f t="shared" si="20"/>
        <v>1</v>
      </c>
      <c r="S137" s="7">
        <f t="shared" si="27"/>
        <v>1</v>
      </c>
      <c r="T137" s="157">
        <f t="shared" si="28"/>
        <v>1</v>
      </c>
      <c r="V137" s="191">
        <f t="shared" si="21"/>
        <v>6</v>
      </c>
      <c r="W137" s="7">
        <f t="shared" si="22"/>
        <v>2022</v>
      </c>
    </row>
    <row r="138" spans="1:23" ht="31.95" customHeight="1" thickBot="1" x14ac:dyDescent="0.35">
      <c r="A138" s="15">
        <f t="shared" si="23"/>
        <v>5</v>
      </c>
      <c r="B138" s="26">
        <v>44721</v>
      </c>
      <c r="C138" s="51">
        <f t="shared" si="29"/>
        <v>134</v>
      </c>
      <c r="D138" s="27" t="s">
        <v>871</v>
      </c>
      <c r="E138" s="26" t="s">
        <v>30</v>
      </c>
      <c r="F138" s="28" t="s">
        <v>11</v>
      </c>
      <c r="G138" s="28" t="s">
        <v>11</v>
      </c>
      <c r="H138" s="254"/>
      <c r="I138" s="49">
        <v>5</v>
      </c>
      <c r="J138" s="49">
        <v>5</v>
      </c>
      <c r="K138" s="52">
        <f t="shared" si="24"/>
        <v>1</v>
      </c>
      <c r="L138" s="209">
        <f t="shared" si="25"/>
        <v>0</v>
      </c>
      <c r="M138" s="210">
        <f t="shared" si="26"/>
        <v>0</v>
      </c>
      <c r="N138" s="26">
        <v>44722</v>
      </c>
      <c r="O138" s="26">
        <v>44722</v>
      </c>
      <c r="P138" s="26">
        <v>44722</v>
      </c>
      <c r="Q138" s="2">
        <f t="shared" si="20"/>
        <v>1</v>
      </c>
      <c r="S138" s="7">
        <f t="shared" si="27"/>
        <v>1</v>
      </c>
      <c r="T138" s="157">
        <f t="shared" si="28"/>
        <v>1</v>
      </c>
      <c r="V138" s="191">
        <f t="shared" si="21"/>
        <v>6</v>
      </c>
      <c r="W138" s="7">
        <f t="shared" si="22"/>
        <v>2022</v>
      </c>
    </row>
    <row r="139" spans="1:23" ht="31.95" customHeight="1" thickBot="1" x14ac:dyDescent="0.35">
      <c r="A139" s="15">
        <f t="shared" si="23"/>
        <v>1</v>
      </c>
      <c r="B139" s="26">
        <v>44722</v>
      </c>
      <c r="C139" s="51">
        <f t="shared" si="29"/>
        <v>135</v>
      </c>
      <c r="D139" s="27" t="s">
        <v>602</v>
      </c>
      <c r="E139" s="26" t="s">
        <v>32</v>
      </c>
      <c r="F139" s="28" t="s">
        <v>11</v>
      </c>
      <c r="G139" s="28" t="s">
        <v>11</v>
      </c>
      <c r="H139" s="254"/>
      <c r="I139" s="49">
        <v>1</v>
      </c>
      <c r="J139" s="49">
        <v>1</v>
      </c>
      <c r="K139" s="52">
        <f t="shared" si="24"/>
        <v>1</v>
      </c>
      <c r="L139" s="209">
        <f t="shared" si="25"/>
        <v>0</v>
      </c>
      <c r="M139" s="210">
        <f t="shared" si="26"/>
        <v>0</v>
      </c>
      <c r="N139" s="26">
        <v>44725</v>
      </c>
      <c r="O139" s="26">
        <v>44725</v>
      </c>
      <c r="P139" s="26">
        <v>44725</v>
      </c>
      <c r="Q139" s="2">
        <f t="shared" si="20"/>
        <v>1</v>
      </c>
      <c r="S139" s="7">
        <f t="shared" si="27"/>
        <v>1</v>
      </c>
      <c r="T139" s="157">
        <f t="shared" si="28"/>
        <v>1</v>
      </c>
      <c r="V139" s="191">
        <f t="shared" si="21"/>
        <v>6</v>
      </c>
      <c r="W139" s="7">
        <f t="shared" si="22"/>
        <v>2022</v>
      </c>
    </row>
    <row r="140" spans="1:23" ht="31.95" customHeight="1" thickBot="1" x14ac:dyDescent="0.35">
      <c r="A140" s="15">
        <f t="shared" si="23"/>
        <v>1</v>
      </c>
      <c r="B140" s="26">
        <v>44722</v>
      </c>
      <c r="C140" s="51">
        <f t="shared" si="29"/>
        <v>136</v>
      </c>
      <c r="D140" s="27" t="s">
        <v>524</v>
      </c>
      <c r="E140" s="26" t="s">
        <v>25</v>
      </c>
      <c r="F140" s="28" t="s">
        <v>11</v>
      </c>
      <c r="G140" s="28" t="s">
        <v>11</v>
      </c>
      <c r="H140" s="254"/>
      <c r="I140" s="49">
        <v>1</v>
      </c>
      <c r="J140" s="49">
        <v>1</v>
      </c>
      <c r="K140" s="52">
        <f t="shared" si="24"/>
        <v>1</v>
      </c>
      <c r="L140" s="209">
        <f t="shared" si="25"/>
        <v>0</v>
      </c>
      <c r="M140" s="210">
        <f t="shared" si="26"/>
        <v>0</v>
      </c>
      <c r="N140" s="26">
        <v>44729</v>
      </c>
      <c r="O140" s="26">
        <v>44729</v>
      </c>
      <c r="P140" s="26">
        <v>44729</v>
      </c>
      <c r="Q140" s="2">
        <f t="shared" si="20"/>
        <v>1</v>
      </c>
      <c r="S140" s="7">
        <f t="shared" si="27"/>
        <v>1</v>
      </c>
      <c r="T140" s="157">
        <f t="shared" si="28"/>
        <v>1</v>
      </c>
      <c r="V140" s="191">
        <f t="shared" si="21"/>
        <v>6</v>
      </c>
      <c r="W140" s="7">
        <f t="shared" si="22"/>
        <v>2022</v>
      </c>
    </row>
    <row r="141" spans="1:23" ht="31.95" customHeight="1" thickBot="1" x14ac:dyDescent="0.35">
      <c r="A141" s="15">
        <f t="shared" si="23"/>
        <v>1</v>
      </c>
      <c r="B141" s="26">
        <v>44722</v>
      </c>
      <c r="C141" s="51">
        <f t="shared" si="29"/>
        <v>137</v>
      </c>
      <c r="D141" s="27" t="s">
        <v>890</v>
      </c>
      <c r="E141" s="26" t="s">
        <v>25</v>
      </c>
      <c r="F141" s="28" t="s">
        <v>11</v>
      </c>
      <c r="G141" s="28" t="s">
        <v>11</v>
      </c>
      <c r="H141" s="254"/>
      <c r="I141" s="49">
        <v>1</v>
      </c>
      <c r="J141" s="49">
        <v>1</v>
      </c>
      <c r="K141" s="52">
        <f t="shared" si="24"/>
        <v>1</v>
      </c>
      <c r="L141" s="209">
        <f t="shared" si="25"/>
        <v>0</v>
      </c>
      <c r="M141" s="210">
        <f t="shared" si="26"/>
        <v>0</v>
      </c>
      <c r="N141" s="26">
        <v>44746</v>
      </c>
      <c r="O141" s="26">
        <v>44746</v>
      </c>
      <c r="P141" s="26">
        <v>44746</v>
      </c>
      <c r="Q141" s="2">
        <f t="shared" si="20"/>
        <v>1</v>
      </c>
      <c r="S141" s="7">
        <f t="shared" si="27"/>
        <v>1</v>
      </c>
      <c r="T141" s="157">
        <f t="shared" si="28"/>
        <v>1</v>
      </c>
      <c r="V141" s="191">
        <f t="shared" si="21"/>
        <v>6</v>
      </c>
      <c r="W141" s="7">
        <f t="shared" si="22"/>
        <v>2022</v>
      </c>
    </row>
    <row r="142" spans="1:23" ht="31.95" customHeight="1" thickBot="1" x14ac:dyDescent="0.35">
      <c r="A142" s="15">
        <f t="shared" si="23"/>
        <v>5</v>
      </c>
      <c r="B142" s="26">
        <v>44722</v>
      </c>
      <c r="C142" s="51">
        <f t="shared" si="29"/>
        <v>138</v>
      </c>
      <c r="D142" s="27" t="s">
        <v>838</v>
      </c>
      <c r="E142" s="26" t="s">
        <v>1291</v>
      </c>
      <c r="F142" s="28" t="s">
        <v>11</v>
      </c>
      <c r="G142" s="28" t="s">
        <v>11</v>
      </c>
      <c r="H142" s="254"/>
      <c r="I142" s="49">
        <v>5</v>
      </c>
      <c r="J142" s="49">
        <v>5</v>
      </c>
      <c r="K142" s="52">
        <f t="shared" si="24"/>
        <v>1</v>
      </c>
      <c r="L142" s="209">
        <f t="shared" si="25"/>
        <v>0</v>
      </c>
      <c r="M142" s="210">
        <f t="shared" si="26"/>
        <v>0</v>
      </c>
      <c r="N142" s="26">
        <v>44726</v>
      </c>
      <c r="O142" s="26">
        <v>44726</v>
      </c>
      <c r="P142" s="26">
        <v>44726</v>
      </c>
      <c r="Q142" s="2">
        <f t="shared" si="20"/>
        <v>1</v>
      </c>
      <c r="S142" s="7">
        <f t="shared" si="27"/>
        <v>1</v>
      </c>
      <c r="T142" s="157">
        <f t="shared" si="28"/>
        <v>1</v>
      </c>
      <c r="V142" s="191">
        <f t="shared" si="21"/>
        <v>6</v>
      </c>
      <c r="W142" s="7">
        <f t="shared" si="22"/>
        <v>2022</v>
      </c>
    </row>
    <row r="143" spans="1:23" ht="31.95" customHeight="1" thickBot="1" x14ac:dyDescent="0.35">
      <c r="A143" s="15">
        <f t="shared" si="23"/>
        <v>7</v>
      </c>
      <c r="B143" s="26">
        <v>44722</v>
      </c>
      <c r="C143" s="51">
        <f t="shared" si="29"/>
        <v>139</v>
      </c>
      <c r="D143" s="27" t="s">
        <v>269</v>
      </c>
      <c r="E143" s="26" t="s">
        <v>25</v>
      </c>
      <c r="F143" s="28" t="s">
        <v>11</v>
      </c>
      <c r="G143" s="28" t="s">
        <v>11</v>
      </c>
      <c r="H143" s="254"/>
      <c r="I143" s="49">
        <v>7</v>
      </c>
      <c r="J143" s="49">
        <v>7</v>
      </c>
      <c r="K143" s="52">
        <f t="shared" si="24"/>
        <v>1</v>
      </c>
      <c r="L143" s="209">
        <f t="shared" si="25"/>
        <v>0</v>
      </c>
      <c r="M143" s="210">
        <f t="shared" si="26"/>
        <v>0</v>
      </c>
      <c r="N143" s="26">
        <v>44722</v>
      </c>
      <c r="O143" s="26">
        <v>44722</v>
      </c>
      <c r="P143" s="26">
        <v>44722</v>
      </c>
      <c r="Q143" s="2">
        <f t="shared" si="20"/>
        <v>1</v>
      </c>
      <c r="S143" s="7">
        <f t="shared" si="27"/>
        <v>1</v>
      </c>
      <c r="T143" s="157">
        <f t="shared" si="28"/>
        <v>1</v>
      </c>
      <c r="V143" s="191">
        <f t="shared" si="21"/>
        <v>6</v>
      </c>
      <c r="W143" s="7">
        <f t="shared" si="22"/>
        <v>2022</v>
      </c>
    </row>
    <row r="144" spans="1:23" ht="31.95" customHeight="1" thickBot="1" x14ac:dyDescent="0.35">
      <c r="A144" s="15">
        <f t="shared" si="23"/>
        <v>1</v>
      </c>
      <c r="B144" s="26">
        <v>44722</v>
      </c>
      <c r="C144" s="51">
        <f t="shared" si="29"/>
        <v>140</v>
      </c>
      <c r="D144" s="27" t="s">
        <v>705</v>
      </c>
      <c r="E144" s="26" t="s">
        <v>25</v>
      </c>
      <c r="F144" s="28" t="s">
        <v>11</v>
      </c>
      <c r="G144" s="28" t="s">
        <v>11</v>
      </c>
      <c r="H144" s="254"/>
      <c r="I144" s="49">
        <v>1</v>
      </c>
      <c r="J144" s="49">
        <v>1</v>
      </c>
      <c r="K144" s="52">
        <f t="shared" si="24"/>
        <v>1</v>
      </c>
      <c r="L144" s="209">
        <f t="shared" si="25"/>
        <v>0</v>
      </c>
      <c r="M144" s="210">
        <f t="shared" si="26"/>
        <v>0</v>
      </c>
      <c r="N144" s="26">
        <v>44722</v>
      </c>
      <c r="O144" s="26">
        <v>44722</v>
      </c>
      <c r="P144" s="26">
        <v>44722</v>
      </c>
      <c r="Q144" s="2">
        <f t="shared" si="20"/>
        <v>1</v>
      </c>
      <c r="S144" s="7">
        <f t="shared" si="27"/>
        <v>1</v>
      </c>
      <c r="T144" s="157">
        <f t="shared" si="28"/>
        <v>1</v>
      </c>
      <c r="V144" s="191">
        <f t="shared" si="21"/>
        <v>6</v>
      </c>
      <c r="W144" s="7">
        <f t="shared" si="22"/>
        <v>2022</v>
      </c>
    </row>
    <row r="145" spans="1:23" ht="31.95" customHeight="1" thickBot="1" x14ac:dyDescent="0.35">
      <c r="A145" s="15">
        <f t="shared" si="23"/>
        <v>1</v>
      </c>
      <c r="B145" s="26">
        <v>44722</v>
      </c>
      <c r="C145" s="51">
        <f t="shared" si="29"/>
        <v>141</v>
      </c>
      <c r="D145" s="27" t="s">
        <v>305</v>
      </c>
      <c r="E145" s="26" t="s">
        <v>25</v>
      </c>
      <c r="F145" s="28" t="s">
        <v>11</v>
      </c>
      <c r="G145" s="28" t="s">
        <v>11</v>
      </c>
      <c r="H145" s="254"/>
      <c r="I145" s="49">
        <v>1</v>
      </c>
      <c r="J145" s="49">
        <v>1</v>
      </c>
      <c r="K145" s="52">
        <f t="shared" si="24"/>
        <v>1</v>
      </c>
      <c r="L145" s="209">
        <f t="shared" si="25"/>
        <v>0</v>
      </c>
      <c r="M145" s="210">
        <f t="shared" si="26"/>
        <v>0</v>
      </c>
      <c r="N145" s="26">
        <v>44722</v>
      </c>
      <c r="O145" s="26">
        <v>44722</v>
      </c>
      <c r="P145" s="26">
        <v>44722</v>
      </c>
      <c r="Q145" s="2">
        <f t="shared" si="20"/>
        <v>1</v>
      </c>
      <c r="S145" s="7">
        <f t="shared" si="27"/>
        <v>1</v>
      </c>
      <c r="T145" s="157">
        <f t="shared" si="28"/>
        <v>1</v>
      </c>
      <c r="V145" s="191">
        <f t="shared" si="21"/>
        <v>6</v>
      </c>
      <c r="W145" s="7">
        <f t="shared" si="22"/>
        <v>2022</v>
      </c>
    </row>
    <row r="146" spans="1:23" ht="31.95" customHeight="1" thickBot="1" x14ac:dyDescent="0.35">
      <c r="A146" s="15">
        <f t="shared" si="23"/>
        <v>2</v>
      </c>
      <c r="B146" s="26">
        <v>44722</v>
      </c>
      <c r="C146" s="51">
        <f t="shared" si="29"/>
        <v>142</v>
      </c>
      <c r="D146" s="27" t="s">
        <v>858</v>
      </c>
      <c r="E146" s="26" t="s">
        <v>25</v>
      </c>
      <c r="F146" s="28" t="s">
        <v>11</v>
      </c>
      <c r="G146" s="28" t="s">
        <v>11</v>
      </c>
      <c r="H146" s="254"/>
      <c r="I146" s="49">
        <v>2</v>
      </c>
      <c r="J146" s="49">
        <v>2</v>
      </c>
      <c r="K146" s="52">
        <f t="shared" si="24"/>
        <v>1</v>
      </c>
      <c r="L146" s="209">
        <f t="shared" si="25"/>
        <v>0</v>
      </c>
      <c r="M146" s="210">
        <f t="shared" si="26"/>
        <v>0</v>
      </c>
      <c r="N146" s="26">
        <v>44722</v>
      </c>
      <c r="O146" s="26">
        <v>44722</v>
      </c>
      <c r="P146" s="26">
        <v>44722</v>
      </c>
      <c r="Q146" s="2">
        <f t="shared" si="20"/>
        <v>1</v>
      </c>
      <c r="S146" s="7">
        <f t="shared" si="27"/>
        <v>1</v>
      </c>
      <c r="T146" s="157">
        <f t="shared" si="28"/>
        <v>1</v>
      </c>
      <c r="V146" s="191">
        <f t="shared" si="21"/>
        <v>6</v>
      </c>
      <c r="W146" s="7">
        <f t="shared" si="22"/>
        <v>2022</v>
      </c>
    </row>
    <row r="147" spans="1:23" ht="31.95" customHeight="1" thickBot="1" x14ac:dyDescent="0.35">
      <c r="A147" s="15">
        <f t="shared" si="23"/>
        <v>3</v>
      </c>
      <c r="B147" s="26">
        <v>44725</v>
      </c>
      <c r="C147" s="51">
        <f t="shared" si="29"/>
        <v>143</v>
      </c>
      <c r="D147" s="27" t="s">
        <v>871</v>
      </c>
      <c r="E147" s="26" t="s">
        <v>1291</v>
      </c>
      <c r="F147" s="28" t="s">
        <v>11</v>
      </c>
      <c r="G147" s="28" t="s">
        <v>11</v>
      </c>
      <c r="H147" s="254"/>
      <c r="I147" s="49">
        <v>3</v>
      </c>
      <c r="J147" s="49">
        <v>3</v>
      </c>
      <c r="K147" s="52">
        <f t="shared" si="24"/>
        <v>1</v>
      </c>
      <c r="L147" s="209">
        <f t="shared" si="25"/>
        <v>0</v>
      </c>
      <c r="M147" s="210">
        <f t="shared" si="26"/>
        <v>0</v>
      </c>
      <c r="N147" s="26">
        <v>44746</v>
      </c>
      <c r="O147" s="26">
        <v>44746</v>
      </c>
      <c r="P147" s="26">
        <v>44746</v>
      </c>
      <c r="Q147" s="2">
        <f t="shared" si="20"/>
        <v>1</v>
      </c>
      <c r="S147" s="7">
        <f t="shared" si="27"/>
        <v>1</v>
      </c>
      <c r="T147" s="157">
        <f t="shared" si="28"/>
        <v>1</v>
      </c>
      <c r="V147" s="191">
        <f t="shared" si="21"/>
        <v>6</v>
      </c>
      <c r="W147" s="7">
        <f t="shared" si="22"/>
        <v>2022</v>
      </c>
    </row>
    <row r="148" spans="1:23" ht="31.95" customHeight="1" thickBot="1" x14ac:dyDescent="0.35">
      <c r="A148" s="15">
        <f t="shared" si="23"/>
        <v>2</v>
      </c>
      <c r="B148" s="26">
        <v>44725</v>
      </c>
      <c r="C148" s="51">
        <f t="shared" si="29"/>
        <v>144</v>
      </c>
      <c r="D148" s="27" t="s">
        <v>1128</v>
      </c>
      <c r="E148" s="26" t="s">
        <v>25</v>
      </c>
      <c r="F148" s="28" t="s">
        <v>11</v>
      </c>
      <c r="G148" s="28" t="s">
        <v>11</v>
      </c>
      <c r="H148" s="254"/>
      <c r="I148" s="49">
        <v>2</v>
      </c>
      <c r="J148" s="49">
        <v>2</v>
      </c>
      <c r="K148" s="52">
        <f t="shared" si="24"/>
        <v>1</v>
      </c>
      <c r="L148" s="209">
        <f t="shared" si="25"/>
        <v>0</v>
      </c>
      <c r="M148" s="210">
        <f t="shared" si="26"/>
        <v>0</v>
      </c>
      <c r="N148" s="26">
        <v>44726</v>
      </c>
      <c r="O148" s="26">
        <v>44726</v>
      </c>
      <c r="P148" s="26">
        <v>44726</v>
      </c>
      <c r="Q148" s="2">
        <f t="shared" si="20"/>
        <v>1</v>
      </c>
      <c r="S148" s="7">
        <f t="shared" si="27"/>
        <v>1</v>
      </c>
      <c r="T148" s="157">
        <f t="shared" si="28"/>
        <v>1</v>
      </c>
      <c r="V148" s="191">
        <f t="shared" si="21"/>
        <v>6</v>
      </c>
      <c r="W148" s="7">
        <f t="shared" si="22"/>
        <v>2022</v>
      </c>
    </row>
    <row r="149" spans="1:23" ht="31.95" customHeight="1" thickBot="1" x14ac:dyDescent="0.35">
      <c r="A149" s="15">
        <f t="shared" si="23"/>
        <v>2</v>
      </c>
      <c r="B149" s="26">
        <v>44726</v>
      </c>
      <c r="C149" s="51">
        <f t="shared" si="29"/>
        <v>145</v>
      </c>
      <c r="D149" s="27" t="s">
        <v>524</v>
      </c>
      <c r="E149" s="26" t="s">
        <v>1292</v>
      </c>
      <c r="F149" s="28" t="s">
        <v>11</v>
      </c>
      <c r="G149" s="28" t="s">
        <v>11</v>
      </c>
      <c r="H149" s="254"/>
      <c r="I149" s="49">
        <v>2</v>
      </c>
      <c r="J149" s="49">
        <v>2</v>
      </c>
      <c r="K149" s="52">
        <f t="shared" si="24"/>
        <v>1</v>
      </c>
      <c r="L149" s="209">
        <f t="shared" si="25"/>
        <v>0</v>
      </c>
      <c r="M149" s="210">
        <f t="shared" si="26"/>
        <v>0</v>
      </c>
      <c r="N149" s="26">
        <v>44734</v>
      </c>
      <c r="O149" s="26">
        <v>44734</v>
      </c>
      <c r="P149" s="26">
        <v>44734</v>
      </c>
      <c r="Q149" s="2">
        <f t="shared" si="20"/>
        <v>1</v>
      </c>
      <c r="S149" s="7">
        <f t="shared" si="27"/>
        <v>1</v>
      </c>
      <c r="T149" s="157">
        <f t="shared" si="28"/>
        <v>1</v>
      </c>
      <c r="V149" s="191">
        <f t="shared" si="21"/>
        <v>6</v>
      </c>
      <c r="W149" s="7">
        <f t="shared" si="22"/>
        <v>2022</v>
      </c>
    </row>
    <row r="150" spans="1:23" ht="31.95" customHeight="1" thickBot="1" x14ac:dyDescent="0.35">
      <c r="A150" s="15">
        <f t="shared" si="23"/>
        <v>1</v>
      </c>
      <c r="B150" s="26">
        <v>44726</v>
      </c>
      <c r="C150" s="51">
        <f t="shared" si="29"/>
        <v>146</v>
      </c>
      <c r="D150" s="27" t="s">
        <v>340</v>
      </c>
      <c r="E150" s="26" t="s">
        <v>1292</v>
      </c>
      <c r="F150" s="28" t="s">
        <v>11</v>
      </c>
      <c r="G150" s="28" t="s">
        <v>11</v>
      </c>
      <c r="H150" s="254"/>
      <c r="I150" s="49">
        <v>1</v>
      </c>
      <c r="J150" s="49">
        <v>1</v>
      </c>
      <c r="K150" s="52">
        <f t="shared" si="24"/>
        <v>1</v>
      </c>
      <c r="L150" s="209">
        <f t="shared" si="25"/>
        <v>0</v>
      </c>
      <c r="M150" s="210">
        <f t="shared" si="26"/>
        <v>0</v>
      </c>
      <c r="N150" s="26">
        <v>44740</v>
      </c>
      <c r="O150" s="26">
        <v>44740</v>
      </c>
      <c r="P150" s="26">
        <v>44740</v>
      </c>
      <c r="Q150" s="2">
        <f t="shared" si="20"/>
        <v>1</v>
      </c>
      <c r="S150" s="7">
        <f t="shared" si="27"/>
        <v>1</v>
      </c>
      <c r="T150" s="157">
        <f t="shared" si="28"/>
        <v>1</v>
      </c>
      <c r="V150" s="191">
        <f t="shared" si="21"/>
        <v>6</v>
      </c>
      <c r="W150" s="7">
        <f t="shared" si="22"/>
        <v>2022</v>
      </c>
    </row>
    <row r="151" spans="1:23" ht="31.95" customHeight="1" thickBot="1" x14ac:dyDescent="0.35">
      <c r="A151" s="15">
        <f t="shared" si="23"/>
        <v>4</v>
      </c>
      <c r="B151" s="26">
        <v>44726</v>
      </c>
      <c r="C151" s="51">
        <f t="shared" si="29"/>
        <v>147</v>
      </c>
      <c r="D151" s="27" t="s">
        <v>524</v>
      </c>
      <c r="E151" s="26" t="s">
        <v>1293</v>
      </c>
      <c r="F151" s="28" t="s">
        <v>11</v>
      </c>
      <c r="G151" s="28" t="s">
        <v>11</v>
      </c>
      <c r="H151" s="254"/>
      <c r="I151" s="49">
        <v>4</v>
      </c>
      <c r="J151" s="49">
        <v>4</v>
      </c>
      <c r="K151" s="52">
        <f t="shared" si="24"/>
        <v>1</v>
      </c>
      <c r="L151" s="209">
        <f t="shared" si="25"/>
        <v>0</v>
      </c>
      <c r="M151" s="210">
        <f t="shared" si="26"/>
        <v>0</v>
      </c>
      <c r="N151" s="26">
        <v>44732</v>
      </c>
      <c r="O151" s="26">
        <v>44732</v>
      </c>
      <c r="P151" s="26">
        <v>44732</v>
      </c>
      <c r="Q151" s="2">
        <f t="shared" si="20"/>
        <v>1</v>
      </c>
      <c r="S151" s="7">
        <f t="shared" si="27"/>
        <v>1</v>
      </c>
      <c r="T151" s="157">
        <f t="shared" si="28"/>
        <v>1</v>
      </c>
      <c r="V151" s="191">
        <f t="shared" si="21"/>
        <v>6</v>
      </c>
      <c r="W151" s="7">
        <f t="shared" si="22"/>
        <v>2022</v>
      </c>
    </row>
    <row r="152" spans="1:23" ht="31.95" customHeight="1" thickBot="1" x14ac:dyDescent="0.35">
      <c r="A152" s="15">
        <f t="shared" si="23"/>
        <v>4</v>
      </c>
      <c r="B152" s="26">
        <v>44726</v>
      </c>
      <c r="C152" s="51">
        <f t="shared" si="29"/>
        <v>148</v>
      </c>
      <c r="D152" s="27" t="s">
        <v>871</v>
      </c>
      <c r="E152" s="26" t="s">
        <v>1293</v>
      </c>
      <c r="F152" s="28" t="s">
        <v>11</v>
      </c>
      <c r="G152" s="28" t="s">
        <v>11</v>
      </c>
      <c r="H152" s="254"/>
      <c r="I152" s="49">
        <v>4</v>
      </c>
      <c r="J152" s="49">
        <v>4</v>
      </c>
      <c r="K152" s="52">
        <f t="shared" si="24"/>
        <v>1</v>
      </c>
      <c r="L152" s="209">
        <f t="shared" si="25"/>
        <v>0</v>
      </c>
      <c r="M152" s="210">
        <f t="shared" si="26"/>
        <v>0</v>
      </c>
      <c r="N152" s="26">
        <v>44732</v>
      </c>
      <c r="O152" s="26">
        <v>44732</v>
      </c>
      <c r="P152" s="26">
        <v>44732</v>
      </c>
      <c r="Q152" s="2">
        <f t="shared" si="20"/>
        <v>1</v>
      </c>
      <c r="S152" s="7">
        <f t="shared" si="27"/>
        <v>1</v>
      </c>
      <c r="T152" s="157">
        <f t="shared" si="28"/>
        <v>1</v>
      </c>
      <c r="V152" s="191">
        <f t="shared" si="21"/>
        <v>6</v>
      </c>
      <c r="W152" s="7">
        <f t="shared" si="22"/>
        <v>2022</v>
      </c>
    </row>
    <row r="153" spans="1:23" ht="31.95" customHeight="1" thickBot="1" x14ac:dyDescent="0.35">
      <c r="A153" s="15">
        <f t="shared" si="23"/>
        <v>2</v>
      </c>
      <c r="B153" s="26">
        <v>44726</v>
      </c>
      <c r="C153" s="51">
        <f t="shared" si="29"/>
        <v>149</v>
      </c>
      <c r="D153" s="27" t="s">
        <v>890</v>
      </c>
      <c r="E153" s="26" t="s">
        <v>1293</v>
      </c>
      <c r="F153" s="28" t="s">
        <v>11</v>
      </c>
      <c r="G153" s="28" t="s">
        <v>11</v>
      </c>
      <c r="H153" s="254"/>
      <c r="I153" s="49">
        <v>2</v>
      </c>
      <c r="J153" s="49">
        <v>2</v>
      </c>
      <c r="K153" s="52">
        <f t="shared" si="24"/>
        <v>1</v>
      </c>
      <c r="L153" s="209">
        <f t="shared" si="25"/>
        <v>0</v>
      </c>
      <c r="M153" s="210">
        <f t="shared" si="26"/>
        <v>0</v>
      </c>
      <c r="N153" s="26">
        <v>44747</v>
      </c>
      <c r="O153" s="26">
        <v>44747</v>
      </c>
      <c r="P153" s="26">
        <v>44747</v>
      </c>
      <c r="Q153" s="2">
        <f t="shared" si="20"/>
        <v>1</v>
      </c>
      <c r="S153" s="7">
        <f t="shared" si="27"/>
        <v>1</v>
      </c>
      <c r="T153" s="157">
        <f t="shared" si="28"/>
        <v>1</v>
      </c>
      <c r="V153" s="191">
        <f t="shared" si="21"/>
        <v>6</v>
      </c>
      <c r="W153" s="7">
        <f t="shared" si="22"/>
        <v>2022</v>
      </c>
    </row>
    <row r="154" spans="1:23" ht="31.95" customHeight="1" thickBot="1" x14ac:dyDescent="0.35">
      <c r="A154" s="15">
        <f t="shared" si="23"/>
        <v>1</v>
      </c>
      <c r="B154" s="26">
        <v>44726</v>
      </c>
      <c r="C154" s="51">
        <f t="shared" si="29"/>
        <v>150</v>
      </c>
      <c r="D154" s="27" t="s">
        <v>1206</v>
      </c>
      <c r="E154" s="26" t="s">
        <v>16</v>
      </c>
      <c r="F154" s="28" t="s">
        <v>11</v>
      </c>
      <c r="G154" s="28" t="s">
        <v>11</v>
      </c>
      <c r="H154" s="254"/>
      <c r="I154" s="49">
        <v>1</v>
      </c>
      <c r="J154" s="49">
        <v>1</v>
      </c>
      <c r="K154" s="52">
        <f t="shared" si="24"/>
        <v>1</v>
      </c>
      <c r="L154" s="209">
        <f t="shared" si="25"/>
        <v>0</v>
      </c>
      <c r="M154" s="210">
        <f t="shared" si="26"/>
        <v>0</v>
      </c>
      <c r="N154" s="26" t="s">
        <v>11</v>
      </c>
      <c r="O154" s="26" t="s">
        <v>11</v>
      </c>
      <c r="P154" s="26" t="s">
        <v>11</v>
      </c>
      <c r="Q154" s="2">
        <f t="shared" si="20"/>
        <v>1</v>
      </c>
      <c r="S154" s="7">
        <f t="shared" si="27"/>
        <v>1</v>
      </c>
      <c r="T154" s="157">
        <f t="shared" si="28"/>
        <v>1</v>
      </c>
      <c r="V154" s="191">
        <f t="shared" si="21"/>
        <v>6</v>
      </c>
      <c r="W154" s="7">
        <f t="shared" si="22"/>
        <v>2022</v>
      </c>
    </row>
    <row r="155" spans="1:23" ht="31.95" customHeight="1" thickBot="1" x14ac:dyDescent="0.35">
      <c r="A155" s="15">
        <f t="shared" si="23"/>
        <v>21</v>
      </c>
      <c r="B155" s="26">
        <v>44727</v>
      </c>
      <c r="C155" s="51">
        <f t="shared" si="29"/>
        <v>151</v>
      </c>
      <c r="D155" s="27" t="s">
        <v>524</v>
      </c>
      <c r="E155" s="26" t="s">
        <v>25</v>
      </c>
      <c r="F155" s="28" t="s">
        <v>11</v>
      </c>
      <c r="G155" s="28" t="s">
        <v>11</v>
      </c>
      <c r="H155" s="254"/>
      <c r="I155" s="49">
        <v>21</v>
      </c>
      <c r="J155" s="49">
        <v>21</v>
      </c>
      <c r="K155" s="52">
        <f t="shared" si="24"/>
        <v>1</v>
      </c>
      <c r="L155" s="209">
        <f t="shared" si="25"/>
        <v>0</v>
      </c>
      <c r="M155" s="210">
        <f t="shared" si="26"/>
        <v>0</v>
      </c>
      <c r="N155" s="26">
        <v>44735</v>
      </c>
      <c r="O155" s="26">
        <v>44735</v>
      </c>
      <c r="P155" s="26">
        <v>44735</v>
      </c>
      <c r="Q155" s="2">
        <f t="shared" si="20"/>
        <v>1</v>
      </c>
      <c r="S155" s="7">
        <f t="shared" si="27"/>
        <v>1</v>
      </c>
      <c r="T155" s="157">
        <f t="shared" si="28"/>
        <v>1</v>
      </c>
      <c r="V155" s="191">
        <f t="shared" si="21"/>
        <v>6</v>
      </c>
      <c r="W155" s="7">
        <f t="shared" si="22"/>
        <v>2022</v>
      </c>
    </row>
    <row r="156" spans="1:23" ht="31.95" customHeight="1" thickBot="1" x14ac:dyDescent="0.35">
      <c r="A156" s="15">
        <f t="shared" si="23"/>
        <v>10</v>
      </c>
      <c r="B156" s="26">
        <v>44727</v>
      </c>
      <c r="C156" s="51">
        <f t="shared" si="29"/>
        <v>152</v>
      </c>
      <c r="D156" s="27" t="s">
        <v>890</v>
      </c>
      <c r="E156" s="26" t="s">
        <v>25</v>
      </c>
      <c r="F156" s="28" t="s">
        <v>11</v>
      </c>
      <c r="G156" s="28" t="s">
        <v>11</v>
      </c>
      <c r="H156" s="254"/>
      <c r="I156" s="49">
        <v>10</v>
      </c>
      <c r="J156" s="49">
        <v>10</v>
      </c>
      <c r="K156" s="52">
        <f t="shared" si="24"/>
        <v>1</v>
      </c>
      <c r="L156" s="209">
        <f t="shared" si="25"/>
        <v>0</v>
      </c>
      <c r="M156" s="210">
        <f t="shared" si="26"/>
        <v>0</v>
      </c>
      <c r="N156" s="26">
        <v>44741</v>
      </c>
      <c r="O156" s="26">
        <v>44741</v>
      </c>
      <c r="P156" s="26">
        <v>44741</v>
      </c>
      <c r="Q156" s="2">
        <f t="shared" si="20"/>
        <v>1</v>
      </c>
      <c r="S156" s="7">
        <f t="shared" si="27"/>
        <v>1</v>
      </c>
      <c r="T156" s="157">
        <f t="shared" si="28"/>
        <v>1</v>
      </c>
      <c r="V156" s="191">
        <f t="shared" si="21"/>
        <v>6</v>
      </c>
      <c r="W156" s="7">
        <f t="shared" si="22"/>
        <v>2022</v>
      </c>
    </row>
    <row r="157" spans="1:23" ht="31.95" customHeight="1" thickBot="1" x14ac:dyDescent="0.35">
      <c r="A157" s="15">
        <f t="shared" si="23"/>
        <v>18</v>
      </c>
      <c r="B157" s="26">
        <v>44727</v>
      </c>
      <c r="C157" s="51">
        <f t="shared" si="29"/>
        <v>153</v>
      </c>
      <c r="D157" s="27" t="s">
        <v>594</v>
      </c>
      <c r="E157" s="26" t="s">
        <v>25</v>
      </c>
      <c r="F157" s="28" t="s">
        <v>11</v>
      </c>
      <c r="G157" s="28" t="s">
        <v>11</v>
      </c>
      <c r="H157" s="254"/>
      <c r="I157" s="49">
        <v>18</v>
      </c>
      <c r="J157" s="49">
        <v>18</v>
      </c>
      <c r="K157" s="52">
        <f t="shared" si="24"/>
        <v>1</v>
      </c>
      <c r="L157" s="209">
        <f t="shared" si="25"/>
        <v>0</v>
      </c>
      <c r="M157" s="210">
        <f t="shared" si="26"/>
        <v>0</v>
      </c>
      <c r="N157" s="26">
        <v>44741</v>
      </c>
      <c r="O157" s="26">
        <v>44741</v>
      </c>
      <c r="P157" s="26">
        <v>44741</v>
      </c>
      <c r="Q157" s="2">
        <f t="shared" si="20"/>
        <v>1</v>
      </c>
      <c r="S157" s="7">
        <f t="shared" si="27"/>
        <v>1</v>
      </c>
      <c r="T157" s="157">
        <f t="shared" si="28"/>
        <v>1</v>
      </c>
      <c r="V157" s="191">
        <f t="shared" si="21"/>
        <v>6</v>
      </c>
      <c r="W157" s="7">
        <f t="shared" si="22"/>
        <v>2022</v>
      </c>
    </row>
    <row r="158" spans="1:23" ht="31.95" customHeight="1" thickBot="1" x14ac:dyDescent="0.35">
      <c r="A158" s="15">
        <f t="shared" si="23"/>
        <v>14</v>
      </c>
      <c r="B158" s="26">
        <v>44727</v>
      </c>
      <c r="C158" s="51">
        <f t="shared" si="29"/>
        <v>154</v>
      </c>
      <c r="D158" s="27" t="s">
        <v>524</v>
      </c>
      <c r="E158" s="26" t="s">
        <v>29</v>
      </c>
      <c r="F158" s="28" t="s">
        <v>11</v>
      </c>
      <c r="G158" s="28" t="s">
        <v>11</v>
      </c>
      <c r="H158" s="254"/>
      <c r="I158" s="49">
        <v>14</v>
      </c>
      <c r="J158" s="49">
        <v>14</v>
      </c>
      <c r="K158" s="52">
        <f t="shared" si="24"/>
        <v>1</v>
      </c>
      <c r="L158" s="209">
        <f t="shared" si="25"/>
        <v>0</v>
      </c>
      <c r="M158" s="210">
        <f t="shared" si="26"/>
        <v>0</v>
      </c>
      <c r="N158" s="26">
        <v>44734</v>
      </c>
      <c r="O158" s="26">
        <v>44734</v>
      </c>
      <c r="P158" s="26">
        <v>44734</v>
      </c>
      <c r="Q158" s="2">
        <f t="shared" si="20"/>
        <v>1</v>
      </c>
      <c r="S158" s="7">
        <f t="shared" si="27"/>
        <v>1</v>
      </c>
      <c r="T158" s="157">
        <f t="shared" si="28"/>
        <v>1</v>
      </c>
      <c r="V158" s="191">
        <f t="shared" si="21"/>
        <v>6</v>
      </c>
      <c r="W158" s="7">
        <f t="shared" si="22"/>
        <v>2022</v>
      </c>
    </row>
    <row r="159" spans="1:23" ht="31.95" customHeight="1" thickBot="1" x14ac:dyDescent="0.35">
      <c r="A159" s="15">
        <f t="shared" si="23"/>
        <v>11</v>
      </c>
      <c r="B159" s="26">
        <v>44727</v>
      </c>
      <c r="C159" s="51">
        <f t="shared" si="29"/>
        <v>155</v>
      </c>
      <c r="D159" s="27" t="s">
        <v>524</v>
      </c>
      <c r="E159" s="26" t="s">
        <v>30</v>
      </c>
      <c r="F159" s="28" t="s">
        <v>11</v>
      </c>
      <c r="G159" s="28" t="s">
        <v>11</v>
      </c>
      <c r="H159" s="254"/>
      <c r="I159" s="49">
        <v>11</v>
      </c>
      <c r="J159" s="49">
        <v>11</v>
      </c>
      <c r="K159" s="52">
        <f t="shared" si="24"/>
        <v>1</v>
      </c>
      <c r="L159" s="209">
        <f t="shared" si="25"/>
        <v>0</v>
      </c>
      <c r="M159" s="210">
        <f t="shared" si="26"/>
        <v>0</v>
      </c>
      <c r="N159" s="26">
        <v>44734</v>
      </c>
      <c r="O159" s="26">
        <v>44734</v>
      </c>
      <c r="P159" s="26">
        <v>44734</v>
      </c>
      <c r="Q159" s="2">
        <f t="shared" si="20"/>
        <v>1</v>
      </c>
      <c r="S159" s="7">
        <f t="shared" si="27"/>
        <v>1</v>
      </c>
      <c r="T159" s="157">
        <f t="shared" si="28"/>
        <v>1</v>
      </c>
      <c r="V159" s="191">
        <f t="shared" si="21"/>
        <v>6</v>
      </c>
      <c r="W159" s="7">
        <f t="shared" si="22"/>
        <v>2022</v>
      </c>
    </row>
    <row r="160" spans="1:23" ht="31.95" customHeight="1" thickBot="1" x14ac:dyDescent="0.35">
      <c r="A160" s="15">
        <f t="shared" si="23"/>
        <v>10</v>
      </c>
      <c r="B160" s="26">
        <v>44727</v>
      </c>
      <c r="C160" s="51">
        <f t="shared" si="29"/>
        <v>156</v>
      </c>
      <c r="D160" s="27" t="s">
        <v>524</v>
      </c>
      <c r="E160" s="26" t="s">
        <v>33</v>
      </c>
      <c r="F160" s="28" t="s">
        <v>11</v>
      </c>
      <c r="G160" s="28" t="s">
        <v>11</v>
      </c>
      <c r="H160" s="254"/>
      <c r="I160" s="49">
        <v>10</v>
      </c>
      <c r="J160" s="49">
        <v>10</v>
      </c>
      <c r="K160" s="52">
        <f t="shared" si="24"/>
        <v>1</v>
      </c>
      <c r="L160" s="209">
        <f t="shared" si="25"/>
        <v>0</v>
      </c>
      <c r="M160" s="210">
        <f t="shared" si="26"/>
        <v>0</v>
      </c>
      <c r="N160" s="26">
        <v>44734</v>
      </c>
      <c r="O160" s="26">
        <v>44734</v>
      </c>
      <c r="P160" s="26">
        <v>44734</v>
      </c>
      <c r="Q160" s="2">
        <f t="shared" si="20"/>
        <v>1</v>
      </c>
      <c r="S160" s="7">
        <f t="shared" si="27"/>
        <v>1</v>
      </c>
      <c r="T160" s="157">
        <f t="shared" si="28"/>
        <v>1</v>
      </c>
      <c r="V160" s="191">
        <f t="shared" si="21"/>
        <v>6</v>
      </c>
      <c r="W160" s="7">
        <f t="shared" si="22"/>
        <v>2022</v>
      </c>
    </row>
    <row r="161" spans="1:23" ht="31.95" customHeight="1" thickBot="1" x14ac:dyDescent="0.35">
      <c r="A161" s="15">
        <f t="shared" si="23"/>
        <v>15</v>
      </c>
      <c r="B161" s="26">
        <v>44727</v>
      </c>
      <c r="C161" s="51">
        <f t="shared" si="29"/>
        <v>157</v>
      </c>
      <c r="D161" s="27" t="s">
        <v>524</v>
      </c>
      <c r="E161" s="26" t="s">
        <v>34</v>
      </c>
      <c r="F161" s="28" t="s">
        <v>11</v>
      </c>
      <c r="G161" s="28" t="s">
        <v>11</v>
      </c>
      <c r="H161" s="254"/>
      <c r="I161" s="49">
        <v>15</v>
      </c>
      <c r="J161" s="49">
        <v>15</v>
      </c>
      <c r="K161" s="52">
        <f t="shared" si="24"/>
        <v>1</v>
      </c>
      <c r="L161" s="209">
        <f t="shared" si="25"/>
        <v>0</v>
      </c>
      <c r="M161" s="210">
        <f t="shared" si="26"/>
        <v>0</v>
      </c>
      <c r="N161" s="26">
        <v>44734</v>
      </c>
      <c r="O161" s="26">
        <v>44734</v>
      </c>
      <c r="P161" s="26">
        <v>44734</v>
      </c>
      <c r="Q161" s="2">
        <f t="shared" si="20"/>
        <v>1</v>
      </c>
      <c r="S161" s="7">
        <f t="shared" si="27"/>
        <v>1</v>
      </c>
      <c r="T161" s="157">
        <f t="shared" si="28"/>
        <v>1</v>
      </c>
      <c r="V161" s="191">
        <f t="shared" si="21"/>
        <v>6</v>
      </c>
      <c r="W161" s="7">
        <f t="shared" si="22"/>
        <v>2022</v>
      </c>
    </row>
    <row r="162" spans="1:23" ht="31.95" customHeight="1" thickBot="1" x14ac:dyDescent="0.35">
      <c r="A162" s="15">
        <f t="shared" si="23"/>
        <v>5</v>
      </c>
      <c r="B162" s="26">
        <v>44727</v>
      </c>
      <c r="C162" s="51">
        <f t="shared" si="29"/>
        <v>158</v>
      </c>
      <c r="D162" s="27" t="s">
        <v>524</v>
      </c>
      <c r="E162" s="26" t="s">
        <v>35</v>
      </c>
      <c r="F162" s="28" t="s">
        <v>11</v>
      </c>
      <c r="G162" s="28" t="s">
        <v>11</v>
      </c>
      <c r="H162" s="254"/>
      <c r="I162" s="49">
        <v>5</v>
      </c>
      <c r="J162" s="49">
        <v>5</v>
      </c>
      <c r="K162" s="52">
        <f t="shared" si="24"/>
        <v>1</v>
      </c>
      <c r="L162" s="209">
        <f t="shared" si="25"/>
        <v>0</v>
      </c>
      <c r="M162" s="210">
        <f t="shared" si="26"/>
        <v>0</v>
      </c>
      <c r="N162" s="26">
        <v>44734</v>
      </c>
      <c r="O162" s="26">
        <v>44734</v>
      </c>
      <c r="P162" s="26">
        <v>44734</v>
      </c>
      <c r="Q162" s="2">
        <f t="shared" si="20"/>
        <v>1</v>
      </c>
      <c r="S162" s="7">
        <f t="shared" si="27"/>
        <v>1</v>
      </c>
      <c r="T162" s="157">
        <f t="shared" si="28"/>
        <v>1</v>
      </c>
      <c r="V162" s="191">
        <f t="shared" si="21"/>
        <v>6</v>
      </c>
      <c r="W162" s="7">
        <f t="shared" si="22"/>
        <v>2022</v>
      </c>
    </row>
    <row r="163" spans="1:23" ht="31.95" customHeight="1" thickBot="1" x14ac:dyDescent="0.35">
      <c r="A163" s="15">
        <f t="shared" si="23"/>
        <v>4</v>
      </c>
      <c r="B163" s="26">
        <v>44727</v>
      </c>
      <c r="C163" s="51">
        <f t="shared" si="29"/>
        <v>159</v>
      </c>
      <c r="D163" s="27" t="s">
        <v>890</v>
      </c>
      <c r="E163" s="26" t="s">
        <v>29</v>
      </c>
      <c r="F163" s="28" t="s">
        <v>11</v>
      </c>
      <c r="G163" s="28" t="s">
        <v>11</v>
      </c>
      <c r="H163" s="254"/>
      <c r="I163" s="49">
        <v>4</v>
      </c>
      <c r="J163" s="49">
        <v>4</v>
      </c>
      <c r="K163" s="52">
        <f t="shared" si="24"/>
        <v>1</v>
      </c>
      <c r="L163" s="209">
        <f t="shared" si="25"/>
        <v>0</v>
      </c>
      <c r="M163" s="210">
        <f t="shared" si="26"/>
        <v>0</v>
      </c>
      <c r="N163" s="26">
        <v>44755</v>
      </c>
      <c r="O163" s="26">
        <v>44755</v>
      </c>
      <c r="P163" s="26">
        <v>44755</v>
      </c>
      <c r="Q163" s="2">
        <f t="shared" si="20"/>
        <v>1</v>
      </c>
      <c r="S163" s="7">
        <f t="shared" si="27"/>
        <v>1</v>
      </c>
      <c r="T163" s="157">
        <f t="shared" si="28"/>
        <v>1</v>
      </c>
      <c r="V163" s="191">
        <f t="shared" si="21"/>
        <v>6</v>
      </c>
      <c r="W163" s="7">
        <f t="shared" si="22"/>
        <v>2022</v>
      </c>
    </row>
    <row r="164" spans="1:23" ht="31.95" customHeight="1" thickBot="1" x14ac:dyDescent="0.35">
      <c r="A164" s="15">
        <f t="shared" si="23"/>
        <v>3</v>
      </c>
      <c r="B164" s="26">
        <v>44727</v>
      </c>
      <c r="C164" s="51">
        <f t="shared" si="29"/>
        <v>160</v>
      </c>
      <c r="D164" s="27" t="s">
        <v>890</v>
      </c>
      <c r="E164" s="26" t="s">
        <v>30</v>
      </c>
      <c r="F164" s="28" t="s">
        <v>11</v>
      </c>
      <c r="G164" s="28" t="s">
        <v>11</v>
      </c>
      <c r="H164" s="254"/>
      <c r="I164" s="49">
        <v>3</v>
      </c>
      <c r="J164" s="49">
        <v>3</v>
      </c>
      <c r="K164" s="52">
        <f t="shared" si="24"/>
        <v>1</v>
      </c>
      <c r="L164" s="209">
        <f t="shared" si="25"/>
        <v>0</v>
      </c>
      <c r="M164" s="210">
        <f t="shared" si="26"/>
        <v>0</v>
      </c>
      <c r="N164" s="26">
        <v>44755</v>
      </c>
      <c r="O164" s="26">
        <v>44755</v>
      </c>
      <c r="P164" s="26">
        <v>44755</v>
      </c>
      <c r="Q164" s="2">
        <f t="shared" si="20"/>
        <v>1</v>
      </c>
      <c r="S164" s="7">
        <f t="shared" si="27"/>
        <v>1</v>
      </c>
      <c r="T164" s="157">
        <f t="shared" si="28"/>
        <v>1</v>
      </c>
      <c r="V164" s="191">
        <f t="shared" si="21"/>
        <v>6</v>
      </c>
      <c r="W164" s="7">
        <f t="shared" si="22"/>
        <v>2022</v>
      </c>
    </row>
    <row r="165" spans="1:23" ht="31.95" customHeight="1" thickBot="1" x14ac:dyDescent="0.35">
      <c r="A165" s="15">
        <f t="shared" si="23"/>
        <v>3</v>
      </c>
      <c r="B165" s="26">
        <v>44727</v>
      </c>
      <c r="C165" s="51">
        <f t="shared" si="29"/>
        <v>161</v>
      </c>
      <c r="D165" s="27" t="s">
        <v>890</v>
      </c>
      <c r="E165" s="26" t="s">
        <v>33</v>
      </c>
      <c r="F165" s="28" t="s">
        <v>11</v>
      </c>
      <c r="G165" s="28" t="s">
        <v>11</v>
      </c>
      <c r="H165" s="254"/>
      <c r="I165" s="49">
        <v>3</v>
      </c>
      <c r="J165" s="49">
        <v>3</v>
      </c>
      <c r="K165" s="52">
        <f t="shared" si="24"/>
        <v>1</v>
      </c>
      <c r="L165" s="209">
        <f t="shared" si="25"/>
        <v>0</v>
      </c>
      <c r="M165" s="210">
        <f t="shared" si="26"/>
        <v>0</v>
      </c>
      <c r="N165" s="26">
        <v>44755</v>
      </c>
      <c r="O165" s="26">
        <v>44755</v>
      </c>
      <c r="P165" s="26">
        <v>44755</v>
      </c>
      <c r="Q165" s="2">
        <f t="shared" si="20"/>
        <v>1</v>
      </c>
      <c r="S165" s="7">
        <f t="shared" si="27"/>
        <v>1</v>
      </c>
      <c r="T165" s="157">
        <f t="shared" si="28"/>
        <v>1</v>
      </c>
      <c r="V165" s="191">
        <f t="shared" si="21"/>
        <v>6</v>
      </c>
      <c r="W165" s="7">
        <f t="shared" si="22"/>
        <v>2022</v>
      </c>
    </row>
    <row r="166" spans="1:23" ht="31.95" customHeight="1" thickBot="1" x14ac:dyDescent="0.35">
      <c r="A166" s="15">
        <f t="shared" si="23"/>
        <v>6</v>
      </c>
      <c r="B166" s="26">
        <v>44727</v>
      </c>
      <c r="C166" s="51">
        <f t="shared" si="29"/>
        <v>162</v>
      </c>
      <c r="D166" s="27" t="s">
        <v>890</v>
      </c>
      <c r="E166" s="26" t="s">
        <v>34</v>
      </c>
      <c r="F166" s="28" t="s">
        <v>11</v>
      </c>
      <c r="G166" s="28" t="s">
        <v>11</v>
      </c>
      <c r="H166" s="254"/>
      <c r="I166" s="49">
        <v>6</v>
      </c>
      <c r="J166" s="49">
        <v>6</v>
      </c>
      <c r="K166" s="52">
        <f t="shared" si="24"/>
        <v>1</v>
      </c>
      <c r="L166" s="209">
        <f t="shared" si="25"/>
        <v>0</v>
      </c>
      <c r="M166" s="210">
        <f t="shared" si="26"/>
        <v>0</v>
      </c>
      <c r="N166" s="26">
        <v>44755</v>
      </c>
      <c r="O166" s="26">
        <v>44755</v>
      </c>
      <c r="P166" s="26">
        <v>44755</v>
      </c>
      <c r="Q166" s="2">
        <f t="shared" si="20"/>
        <v>1</v>
      </c>
      <c r="S166" s="7">
        <f t="shared" si="27"/>
        <v>1</v>
      </c>
      <c r="T166" s="157">
        <f t="shared" si="28"/>
        <v>1</v>
      </c>
      <c r="V166" s="191">
        <f t="shared" si="21"/>
        <v>6</v>
      </c>
      <c r="W166" s="7">
        <f t="shared" si="22"/>
        <v>2022</v>
      </c>
    </row>
    <row r="167" spans="1:23" ht="31.95" customHeight="1" thickBot="1" x14ac:dyDescent="0.35">
      <c r="A167" s="15">
        <f t="shared" si="23"/>
        <v>2</v>
      </c>
      <c r="B167" s="26">
        <v>44727</v>
      </c>
      <c r="C167" s="51">
        <f t="shared" si="29"/>
        <v>163</v>
      </c>
      <c r="D167" s="27" t="s">
        <v>890</v>
      </c>
      <c r="E167" s="26" t="s">
        <v>35</v>
      </c>
      <c r="F167" s="28" t="s">
        <v>11</v>
      </c>
      <c r="G167" s="28" t="s">
        <v>11</v>
      </c>
      <c r="H167" s="254"/>
      <c r="I167" s="49">
        <v>2</v>
      </c>
      <c r="J167" s="49">
        <v>2</v>
      </c>
      <c r="K167" s="52">
        <f t="shared" si="24"/>
        <v>1</v>
      </c>
      <c r="L167" s="209">
        <f t="shared" si="25"/>
        <v>0</v>
      </c>
      <c r="M167" s="210">
        <f t="shared" si="26"/>
        <v>0</v>
      </c>
      <c r="N167" s="26">
        <v>44755</v>
      </c>
      <c r="O167" s="26">
        <v>44755</v>
      </c>
      <c r="P167" s="26">
        <v>44755</v>
      </c>
      <c r="Q167" s="2">
        <f t="shared" si="20"/>
        <v>1</v>
      </c>
      <c r="S167" s="7">
        <f t="shared" si="27"/>
        <v>1</v>
      </c>
      <c r="T167" s="157">
        <f t="shared" si="28"/>
        <v>1</v>
      </c>
      <c r="V167" s="191">
        <f t="shared" si="21"/>
        <v>6</v>
      </c>
      <c r="W167" s="7">
        <f t="shared" si="22"/>
        <v>2022</v>
      </c>
    </row>
    <row r="168" spans="1:23" ht="31.95" customHeight="1" thickBot="1" x14ac:dyDescent="0.35">
      <c r="A168" s="15">
        <f t="shared" si="23"/>
        <v>2</v>
      </c>
      <c r="B168" s="26">
        <v>44727</v>
      </c>
      <c r="C168" s="51">
        <f t="shared" si="29"/>
        <v>164</v>
      </c>
      <c r="D168" s="27" t="s">
        <v>602</v>
      </c>
      <c r="E168" s="26" t="s">
        <v>36</v>
      </c>
      <c r="F168" s="28" t="s">
        <v>11</v>
      </c>
      <c r="G168" s="28" t="s">
        <v>11</v>
      </c>
      <c r="H168" s="254"/>
      <c r="I168" s="49">
        <v>2</v>
      </c>
      <c r="J168" s="49">
        <v>2</v>
      </c>
      <c r="K168" s="52">
        <f t="shared" si="24"/>
        <v>1</v>
      </c>
      <c r="L168" s="209">
        <f t="shared" si="25"/>
        <v>0</v>
      </c>
      <c r="M168" s="210">
        <f t="shared" si="26"/>
        <v>0</v>
      </c>
      <c r="N168" s="26">
        <v>44729</v>
      </c>
      <c r="O168" s="26">
        <v>44729</v>
      </c>
      <c r="P168" s="26">
        <v>44729</v>
      </c>
      <c r="Q168" s="2">
        <f t="shared" si="20"/>
        <v>1</v>
      </c>
      <c r="S168" s="7">
        <f t="shared" si="27"/>
        <v>1</v>
      </c>
      <c r="T168" s="157">
        <f t="shared" si="28"/>
        <v>1</v>
      </c>
      <c r="V168" s="191">
        <f t="shared" si="21"/>
        <v>6</v>
      </c>
      <c r="W168" s="7">
        <f t="shared" si="22"/>
        <v>2022</v>
      </c>
    </row>
    <row r="169" spans="1:23" ht="31.95" customHeight="1" thickBot="1" x14ac:dyDescent="0.35">
      <c r="A169" s="15">
        <f t="shared" si="23"/>
        <v>5</v>
      </c>
      <c r="B169" s="26">
        <v>44727</v>
      </c>
      <c r="C169" s="51">
        <f t="shared" si="29"/>
        <v>165</v>
      </c>
      <c r="D169" s="27" t="s">
        <v>602</v>
      </c>
      <c r="E169" s="26" t="s">
        <v>1294</v>
      </c>
      <c r="F169" s="28" t="s">
        <v>11</v>
      </c>
      <c r="G169" s="28" t="s">
        <v>11</v>
      </c>
      <c r="H169" s="254"/>
      <c r="I169" s="49">
        <v>5</v>
      </c>
      <c r="J169" s="49">
        <v>5</v>
      </c>
      <c r="K169" s="52">
        <f t="shared" si="24"/>
        <v>1</v>
      </c>
      <c r="L169" s="209">
        <f t="shared" si="25"/>
        <v>0</v>
      </c>
      <c r="M169" s="210">
        <f t="shared" si="26"/>
        <v>0</v>
      </c>
      <c r="N169" s="26">
        <v>44729</v>
      </c>
      <c r="O169" s="26">
        <v>44729</v>
      </c>
      <c r="P169" s="26">
        <v>44729</v>
      </c>
      <c r="Q169" s="2">
        <f t="shared" si="20"/>
        <v>1</v>
      </c>
      <c r="S169" s="7">
        <f t="shared" si="27"/>
        <v>1</v>
      </c>
      <c r="T169" s="157">
        <f t="shared" si="28"/>
        <v>1</v>
      </c>
      <c r="V169" s="191">
        <f t="shared" si="21"/>
        <v>6</v>
      </c>
      <c r="W169" s="7">
        <f t="shared" si="22"/>
        <v>2022</v>
      </c>
    </row>
    <row r="170" spans="1:23" ht="31.95" customHeight="1" thickBot="1" x14ac:dyDescent="0.35">
      <c r="A170" s="15">
        <f t="shared" si="23"/>
        <v>7</v>
      </c>
      <c r="B170" s="26">
        <v>44730</v>
      </c>
      <c r="C170" s="51">
        <f t="shared" si="29"/>
        <v>166</v>
      </c>
      <c r="D170" s="27" t="s">
        <v>524</v>
      </c>
      <c r="E170" s="26" t="s">
        <v>25</v>
      </c>
      <c r="F170" s="28" t="s">
        <v>11</v>
      </c>
      <c r="G170" s="28" t="s">
        <v>11</v>
      </c>
      <c r="H170" s="254"/>
      <c r="I170" s="49">
        <v>7</v>
      </c>
      <c r="J170" s="49">
        <v>7</v>
      </c>
      <c r="K170" s="52">
        <f t="shared" si="24"/>
        <v>1</v>
      </c>
      <c r="L170" s="209">
        <f t="shared" si="25"/>
        <v>0</v>
      </c>
      <c r="M170" s="210">
        <f t="shared" si="26"/>
        <v>0</v>
      </c>
      <c r="N170" s="26">
        <v>44730</v>
      </c>
      <c r="O170" s="26">
        <v>44730</v>
      </c>
      <c r="P170" s="26">
        <v>44730</v>
      </c>
      <c r="Q170" s="2">
        <f t="shared" si="20"/>
        <v>1</v>
      </c>
      <c r="S170" s="7">
        <f t="shared" si="27"/>
        <v>1</v>
      </c>
      <c r="T170" s="157">
        <f t="shared" si="28"/>
        <v>1</v>
      </c>
      <c r="V170" s="191">
        <f t="shared" si="21"/>
        <v>6</v>
      </c>
      <c r="W170" s="7">
        <f t="shared" si="22"/>
        <v>2022</v>
      </c>
    </row>
    <row r="171" spans="1:23" ht="31.95" customHeight="1" thickBot="1" x14ac:dyDescent="0.35">
      <c r="A171" s="15">
        <f t="shared" si="23"/>
        <v>3</v>
      </c>
      <c r="B171" s="26">
        <v>44732</v>
      </c>
      <c r="C171" s="51">
        <f t="shared" si="29"/>
        <v>167</v>
      </c>
      <c r="D171" s="27" t="s">
        <v>1121</v>
      </c>
      <c r="E171" s="26" t="s">
        <v>30</v>
      </c>
      <c r="F171" s="28" t="s">
        <v>11</v>
      </c>
      <c r="G171" s="28" t="s">
        <v>11</v>
      </c>
      <c r="H171" s="254"/>
      <c r="I171" s="49">
        <v>3</v>
      </c>
      <c r="J171" s="49">
        <v>3</v>
      </c>
      <c r="K171" s="52">
        <f t="shared" si="24"/>
        <v>1</v>
      </c>
      <c r="L171" s="209">
        <f t="shared" si="25"/>
        <v>0</v>
      </c>
      <c r="M171" s="210">
        <f t="shared" si="26"/>
        <v>0</v>
      </c>
      <c r="N171" s="26">
        <v>44739</v>
      </c>
      <c r="O171" s="26">
        <v>44739</v>
      </c>
      <c r="P171" s="26">
        <v>44739</v>
      </c>
      <c r="Q171" s="2">
        <f t="shared" si="20"/>
        <v>1</v>
      </c>
      <c r="S171" s="7">
        <f t="shared" si="27"/>
        <v>1</v>
      </c>
      <c r="T171" s="157">
        <f t="shared" si="28"/>
        <v>1</v>
      </c>
      <c r="V171" s="191">
        <f t="shared" si="21"/>
        <v>6</v>
      </c>
      <c r="W171" s="7">
        <f t="shared" si="22"/>
        <v>2022</v>
      </c>
    </row>
    <row r="172" spans="1:23" ht="31.95" customHeight="1" thickBot="1" x14ac:dyDescent="0.35">
      <c r="A172" s="15">
        <f t="shared" si="23"/>
        <v>1</v>
      </c>
      <c r="B172" s="26">
        <v>44732</v>
      </c>
      <c r="C172" s="51">
        <f t="shared" si="29"/>
        <v>168</v>
      </c>
      <c r="D172" s="27" t="s">
        <v>1150</v>
      </c>
      <c r="E172" s="26" t="s">
        <v>25</v>
      </c>
      <c r="F172" s="28" t="s">
        <v>11</v>
      </c>
      <c r="G172" s="28" t="s">
        <v>11</v>
      </c>
      <c r="H172" s="254"/>
      <c r="I172" s="49">
        <v>1</v>
      </c>
      <c r="J172" s="49">
        <v>1</v>
      </c>
      <c r="K172" s="52">
        <f t="shared" si="24"/>
        <v>1</v>
      </c>
      <c r="L172" s="209">
        <f t="shared" si="25"/>
        <v>0</v>
      </c>
      <c r="M172" s="210">
        <f t="shared" si="26"/>
        <v>0</v>
      </c>
      <c r="N172" s="26">
        <v>44732</v>
      </c>
      <c r="O172" s="26">
        <v>44732</v>
      </c>
      <c r="P172" s="26">
        <v>44732</v>
      </c>
      <c r="Q172" s="2">
        <f t="shared" si="20"/>
        <v>1</v>
      </c>
      <c r="S172" s="7">
        <f t="shared" si="27"/>
        <v>1</v>
      </c>
      <c r="T172" s="157">
        <f t="shared" si="28"/>
        <v>1</v>
      </c>
      <c r="V172" s="191">
        <f t="shared" si="21"/>
        <v>6</v>
      </c>
      <c r="W172" s="7">
        <f t="shared" si="22"/>
        <v>2022</v>
      </c>
    </row>
    <row r="173" spans="1:23" ht="31.95" customHeight="1" thickBot="1" x14ac:dyDescent="0.35">
      <c r="A173" s="15">
        <f t="shared" si="23"/>
        <v>8</v>
      </c>
      <c r="B173" s="26">
        <v>44732</v>
      </c>
      <c r="C173" s="51">
        <f t="shared" si="29"/>
        <v>169</v>
      </c>
      <c r="D173" s="27" t="s">
        <v>871</v>
      </c>
      <c r="E173" s="26" t="s">
        <v>29</v>
      </c>
      <c r="F173" s="28" t="s">
        <v>11</v>
      </c>
      <c r="G173" s="28" t="s">
        <v>11</v>
      </c>
      <c r="H173" s="254"/>
      <c r="I173" s="49">
        <v>8</v>
      </c>
      <c r="J173" s="49">
        <v>8</v>
      </c>
      <c r="K173" s="52">
        <f t="shared" si="24"/>
        <v>1</v>
      </c>
      <c r="L173" s="209">
        <f t="shared" si="25"/>
        <v>0</v>
      </c>
      <c r="M173" s="210">
        <f t="shared" si="26"/>
        <v>0</v>
      </c>
      <c r="N173" s="26">
        <v>44736</v>
      </c>
      <c r="O173" s="26">
        <v>44736</v>
      </c>
      <c r="P173" s="26">
        <v>44736</v>
      </c>
      <c r="Q173" s="2">
        <f t="shared" si="20"/>
        <v>1</v>
      </c>
      <c r="S173" s="7">
        <f t="shared" si="27"/>
        <v>1</v>
      </c>
      <c r="T173" s="157">
        <f t="shared" si="28"/>
        <v>1</v>
      </c>
      <c r="V173" s="191">
        <f t="shared" si="21"/>
        <v>6</v>
      </c>
      <c r="W173" s="7">
        <f t="shared" si="22"/>
        <v>2022</v>
      </c>
    </row>
    <row r="174" spans="1:23" ht="31.95" customHeight="1" thickBot="1" x14ac:dyDescent="0.35">
      <c r="A174" s="15">
        <f t="shared" si="23"/>
        <v>6</v>
      </c>
      <c r="B174" s="26">
        <v>44732</v>
      </c>
      <c r="C174" s="51">
        <f t="shared" si="29"/>
        <v>170</v>
      </c>
      <c r="D174" s="27" t="s">
        <v>871</v>
      </c>
      <c r="E174" s="26" t="s">
        <v>30</v>
      </c>
      <c r="F174" s="28" t="s">
        <v>11</v>
      </c>
      <c r="G174" s="28" t="s">
        <v>11</v>
      </c>
      <c r="H174" s="254"/>
      <c r="I174" s="49">
        <v>6</v>
      </c>
      <c r="J174" s="49">
        <v>6</v>
      </c>
      <c r="K174" s="52">
        <f t="shared" si="24"/>
        <v>1</v>
      </c>
      <c r="L174" s="209">
        <f t="shared" si="25"/>
        <v>0</v>
      </c>
      <c r="M174" s="210">
        <f t="shared" si="26"/>
        <v>0</v>
      </c>
      <c r="N174" s="26">
        <v>44736</v>
      </c>
      <c r="O174" s="26">
        <v>44736</v>
      </c>
      <c r="P174" s="26">
        <v>44736</v>
      </c>
      <c r="Q174" s="2">
        <f t="shared" si="20"/>
        <v>1</v>
      </c>
      <c r="S174" s="7">
        <f t="shared" si="27"/>
        <v>1</v>
      </c>
      <c r="T174" s="157">
        <f t="shared" si="28"/>
        <v>1</v>
      </c>
      <c r="V174" s="191">
        <f t="shared" si="21"/>
        <v>6</v>
      </c>
      <c r="W174" s="7">
        <f t="shared" si="22"/>
        <v>2022</v>
      </c>
    </row>
    <row r="175" spans="1:23" ht="31.95" customHeight="1" thickBot="1" x14ac:dyDescent="0.35">
      <c r="A175" s="15">
        <f t="shared" si="23"/>
        <v>6</v>
      </c>
      <c r="B175" s="26">
        <v>44732</v>
      </c>
      <c r="C175" s="51">
        <f t="shared" si="29"/>
        <v>171</v>
      </c>
      <c r="D175" s="27" t="s">
        <v>871</v>
      </c>
      <c r="E175" s="26" t="s">
        <v>33</v>
      </c>
      <c r="F175" s="28" t="s">
        <v>11</v>
      </c>
      <c r="G175" s="28" t="s">
        <v>11</v>
      </c>
      <c r="H175" s="254"/>
      <c r="I175" s="49">
        <v>6</v>
      </c>
      <c r="J175" s="49">
        <v>6</v>
      </c>
      <c r="K175" s="52">
        <f t="shared" si="24"/>
        <v>1</v>
      </c>
      <c r="L175" s="209">
        <f t="shared" si="25"/>
        <v>0</v>
      </c>
      <c r="M175" s="210">
        <f t="shared" si="26"/>
        <v>0</v>
      </c>
      <c r="N175" s="26">
        <v>44736</v>
      </c>
      <c r="O175" s="26">
        <v>44736</v>
      </c>
      <c r="P175" s="26">
        <v>44736</v>
      </c>
      <c r="Q175" s="2">
        <f t="shared" si="20"/>
        <v>1</v>
      </c>
      <c r="S175" s="7">
        <f t="shared" si="27"/>
        <v>1</v>
      </c>
      <c r="T175" s="157">
        <f t="shared" si="28"/>
        <v>1</v>
      </c>
      <c r="V175" s="191">
        <f t="shared" si="21"/>
        <v>6</v>
      </c>
      <c r="W175" s="7">
        <f t="shared" si="22"/>
        <v>2022</v>
      </c>
    </row>
    <row r="176" spans="1:23" ht="31.95" customHeight="1" thickBot="1" x14ac:dyDescent="0.35">
      <c r="A176" s="15">
        <f t="shared" si="23"/>
        <v>8</v>
      </c>
      <c r="B176" s="26">
        <v>44732</v>
      </c>
      <c r="C176" s="51">
        <f t="shared" si="29"/>
        <v>172</v>
      </c>
      <c r="D176" s="27" t="s">
        <v>871</v>
      </c>
      <c r="E176" s="26" t="s">
        <v>34</v>
      </c>
      <c r="F176" s="28" t="s">
        <v>11</v>
      </c>
      <c r="G176" s="28" t="s">
        <v>11</v>
      </c>
      <c r="H176" s="254"/>
      <c r="I176" s="49">
        <v>8</v>
      </c>
      <c r="J176" s="49">
        <v>8</v>
      </c>
      <c r="K176" s="52">
        <f t="shared" si="24"/>
        <v>1</v>
      </c>
      <c r="L176" s="209">
        <f t="shared" si="25"/>
        <v>0</v>
      </c>
      <c r="M176" s="210">
        <f t="shared" si="26"/>
        <v>0</v>
      </c>
      <c r="N176" s="26">
        <v>44736</v>
      </c>
      <c r="O176" s="26">
        <v>44736</v>
      </c>
      <c r="P176" s="26">
        <v>44736</v>
      </c>
      <c r="Q176" s="2">
        <f t="shared" si="20"/>
        <v>1</v>
      </c>
      <c r="S176" s="7">
        <f t="shared" si="27"/>
        <v>1</v>
      </c>
      <c r="T176" s="157">
        <f t="shared" si="28"/>
        <v>1</v>
      </c>
      <c r="V176" s="191">
        <f t="shared" si="21"/>
        <v>6</v>
      </c>
      <c r="W176" s="7">
        <f t="shared" si="22"/>
        <v>2022</v>
      </c>
    </row>
    <row r="177" spans="1:23" ht="31.95" customHeight="1" thickBot="1" x14ac:dyDescent="0.35">
      <c r="A177" s="15">
        <f t="shared" si="23"/>
        <v>4</v>
      </c>
      <c r="B177" s="26">
        <v>44732</v>
      </c>
      <c r="C177" s="51">
        <f t="shared" si="29"/>
        <v>173</v>
      </c>
      <c r="D177" s="27" t="s">
        <v>871</v>
      </c>
      <c r="E177" s="26" t="s">
        <v>35</v>
      </c>
      <c r="F177" s="28" t="s">
        <v>11</v>
      </c>
      <c r="G177" s="28" t="s">
        <v>11</v>
      </c>
      <c r="H177" s="254"/>
      <c r="I177" s="49">
        <v>4</v>
      </c>
      <c r="J177" s="49">
        <v>4</v>
      </c>
      <c r="K177" s="52">
        <f t="shared" si="24"/>
        <v>1</v>
      </c>
      <c r="L177" s="209">
        <f t="shared" si="25"/>
        <v>0</v>
      </c>
      <c r="M177" s="210">
        <f t="shared" si="26"/>
        <v>0</v>
      </c>
      <c r="N177" s="26">
        <v>44736</v>
      </c>
      <c r="O177" s="26">
        <v>44736</v>
      </c>
      <c r="P177" s="26">
        <v>44736</v>
      </c>
      <c r="Q177" s="2">
        <f t="shared" si="20"/>
        <v>1</v>
      </c>
      <c r="S177" s="7">
        <f t="shared" si="27"/>
        <v>1</v>
      </c>
      <c r="T177" s="157">
        <f t="shared" si="28"/>
        <v>1</v>
      </c>
      <c r="V177" s="191">
        <f t="shared" si="21"/>
        <v>6</v>
      </c>
      <c r="W177" s="7">
        <f t="shared" si="22"/>
        <v>2022</v>
      </c>
    </row>
    <row r="178" spans="1:23" ht="31.95" customHeight="1" thickBot="1" x14ac:dyDescent="0.35">
      <c r="A178" s="15">
        <f t="shared" si="23"/>
        <v>1</v>
      </c>
      <c r="B178" s="26">
        <v>44732</v>
      </c>
      <c r="C178" s="51">
        <f t="shared" si="29"/>
        <v>174</v>
      </c>
      <c r="D178" s="27" t="s">
        <v>524</v>
      </c>
      <c r="E178" s="26" t="s">
        <v>28</v>
      </c>
      <c r="F178" s="28" t="s">
        <v>11</v>
      </c>
      <c r="G178" s="28" t="s">
        <v>11</v>
      </c>
      <c r="H178" s="254"/>
      <c r="I178" s="49">
        <v>1</v>
      </c>
      <c r="J178" s="49">
        <v>1</v>
      </c>
      <c r="K178" s="52">
        <f t="shared" si="24"/>
        <v>1</v>
      </c>
      <c r="L178" s="209">
        <f t="shared" si="25"/>
        <v>0</v>
      </c>
      <c r="M178" s="210">
        <f t="shared" si="26"/>
        <v>0</v>
      </c>
      <c r="N178" s="26">
        <v>44733</v>
      </c>
      <c r="O178" s="26">
        <v>44733</v>
      </c>
      <c r="P178" s="26">
        <v>44733</v>
      </c>
      <c r="Q178" s="2">
        <f t="shared" si="20"/>
        <v>1</v>
      </c>
      <c r="S178" s="7">
        <f t="shared" si="27"/>
        <v>1</v>
      </c>
      <c r="T178" s="157">
        <f t="shared" si="28"/>
        <v>1</v>
      </c>
      <c r="V178" s="191">
        <f t="shared" si="21"/>
        <v>6</v>
      </c>
      <c r="W178" s="7">
        <f t="shared" si="22"/>
        <v>2022</v>
      </c>
    </row>
    <row r="179" spans="1:23" ht="31.95" customHeight="1" thickBot="1" x14ac:dyDescent="0.35">
      <c r="A179" s="15">
        <f t="shared" si="23"/>
        <v>1</v>
      </c>
      <c r="B179" s="26">
        <v>44732</v>
      </c>
      <c r="C179" s="51">
        <f t="shared" si="29"/>
        <v>175</v>
      </c>
      <c r="D179" s="27" t="s">
        <v>524</v>
      </c>
      <c r="E179" s="26" t="s">
        <v>55</v>
      </c>
      <c r="F179" s="28" t="s">
        <v>11</v>
      </c>
      <c r="G179" s="28" t="s">
        <v>11</v>
      </c>
      <c r="H179" s="254"/>
      <c r="I179" s="49">
        <v>1</v>
      </c>
      <c r="J179" s="49">
        <v>1</v>
      </c>
      <c r="K179" s="52">
        <f t="shared" si="24"/>
        <v>1</v>
      </c>
      <c r="L179" s="209">
        <f t="shared" si="25"/>
        <v>0</v>
      </c>
      <c r="M179" s="210">
        <f t="shared" si="26"/>
        <v>0</v>
      </c>
      <c r="N179" s="26">
        <v>44733</v>
      </c>
      <c r="O179" s="26">
        <v>44733</v>
      </c>
      <c r="P179" s="26">
        <v>44733</v>
      </c>
      <c r="Q179" s="2">
        <f t="shared" si="20"/>
        <v>1</v>
      </c>
      <c r="S179" s="7">
        <f t="shared" si="27"/>
        <v>1</v>
      </c>
      <c r="T179" s="157">
        <f t="shared" si="28"/>
        <v>1</v>
      </c>
      <c r="V179" s="191">
        <f t="shared" si="21"/>
        <v>6</v>
      </c>
      <c r="W179" s="7">
        <f t="shared" si="22"/>
        <v>2022</v>
      </c>
    </row>
    <row r="180" spans="1:23" ht="31.95" customHeight="1" thickBot="1" x14ac:dyDescent="0.35">
      <c r="A180" s="15">
        <f t="shared" si="23"/>
        <v>3</v>
      </c>
      <c r="B180" s="26">
        <v>44732</v>
      </c>
      <c r="C180" s="51">
        <f t="shared" si="29"/>
        <v>176</v>
      </c>
      <c r="D180" s="27" t="s">
        <v>602</v>
      </c>
      <c r="E180" s="26" t="s">
        <v>55</v>
      </c>
      <c r="F180" s="28" t="s">
        <v>11</v>
      </c>
      <c r="G180" s="28" t="s">
        <v>11</v>
      </c>
      <c r="H180" s="254"/>
      <c r="I180" s="49">
        <v>3</v>
      </c>
      <c r="J180" s="49">
        <v>3</v>
      </c>
      <c r="K180" s="52">
        <f t="shared" si="24"/>
        <v>1</v>
      </c>
      <c r="L180" s="209">
        <f t="shared" si="25"/>
        <v>0</v>
      </c>
      <c r="M180" s="210">
        <f t="shared" si="26"/>
        <v>0</v>
      </c>
      <c r="N180" s="26">
        <v>44733</v>
      </c>
      <c r="O180" s="26">
        <v>44733</v>
      </c>
      <c r="P180" s="26">
        <v>44733</v>
      </c>
      <c r="Q180" s="2">
        <f t="shared" si="20"/>
        <v>1</v>
      </c>
      <c r="S180" s="7">
        <f t="shared" si="27"/>
        <v>1</v>
      </c>
      <c r="T180" s="157">
        <f t="shared" si="28"/>
        <v>1</v>
      </c>
      <c r="V180" s="191">
        <f t="shared" si="21"/>
        <v>6</v>
      </c>
      <c r="W180" s="7">
        <f t="shared" si="22"/>
        <v>2022</v>
      </c>
    </row>
    <row r="181" spans="1:23" ht="31.95" customHeight="1" thickBot="1" x14ac:dyDescent="0.35">
      <c r="A181" s="15">
        <f t="shared" si="23"/>
        <v>1</v>
      </c>
      <c r="B181" s="26">
        <v>44732</v>
      </c>
      <c r="C181" s="51">
        <f t="shared" si="29"/>
        <v>177</v>
      </c>
      <c r="D181" s="27" t="s">
        <v>340</v>
      </c>
      <c r="E181" s="26" t="s">
        <v>55</v>
      </c>
      <c r="F181" s="28" t="s">
        <v>11</v>
      </c>
      <c r="G181" s="28" t="s">
        <v>11</v>
      </c>
      <c r="H181" s="254"/>
      <c r="I181" s="49">
        <v>1</v>
      </c>
      <c r="J181" s="49">
        <v>1</v>
      </c>
      <c r="K181" s="52">
        <f t="shared" si="24"/>
        <v>1</v>
      </c>
      <c r="L181" s="209">
        <f t="shared" si="25"/>
        <v>0</v>
      </c>
      <c r="M181" s="210">
        <f t="shared" si="26"/>
        <v>0</v>
      </c>
      <c r="N181" s="26">
        <v>44746</v>
      </c>
      <c r="O181" s="26">
        <v>44746</v>
      </c>
      <c r="P181" s="26">
        <v>44746</v>
      </c>
      <c r="Q181" s="2">
        <f t="shared" si="20"/>
        <v>1</v>
      </c>
      <c r="S181" s="7">
        <f t="shared" si="27"/>
        <v>1</v>
      </c>
      <c r="T181" s="157">
        <f t="shared" si="28"/>
        <v>1</v>
      </c>
      <c r="V181" s="191">
        <f t="shared" si="21"/>
        <v>6</v>
      </c>
      <c r="W181" s="7">
        <f t="shared" si="22"/>
        <v>2022</v>
      </c>
    </row>
    <row r="182" spans="1:23" ht="31.95" customHeight="1" thickBot="1" x14ac:dyDescent="0.35">
      <c r="A182" s="15">
        <f t="shared" si="23"/>
        <v>2</v>
      </c>
      <c r="B182" s="26">
        <v>44732</v>
      </c>
      <c r="C182" s="51">
        <f t="shared" si="29"/>
        <v>178</v>
      </c>
      <c r="D182" s="27" t="s">
        <v>305</v>
      </c>
      <c r="E182" s="26" t="s">
        <v>55</v>
      </c>
      <c r="F182" s="28" t="s">
        <v>11</v>
      </c>
      <c r="G182" s="28" t="s">
        <v>11</v>
      </c>
      <c r="H182" s="254"/>
      <c r="I182" s="49">
        <v>2</v>
      </c>
      <c r="J182" s="49">
        <v>2</v>
      </c>
      <c r="K182" s="52">
        <f t="shared" si="24"/>
        <v>1</v>
      </c>
      <c r="L182" s="209">
        <f t="shared" si="25"/>
        <v>0</v>
      </c>
      <c r="M182" s="210">
        <f t="shared" si="26"/>
        <v>0</v>
      </c>
      <c r="N182" s="26">
        <v>44733</v>
      </c>
      <c r="O182" s="26">
        <v>44733</v>
      </c>
      <c r="P182" s="26">
        <v>44733</v>
      </c>
      <c r="Q182" s="2">
        <f t="shared" si="20"/>
        <v>1</v>
      </c>
      <c r="S182" s="7">
        <f t="shared" si="27"/>
        <v>1</v>
      </c>
      <c r="T182" s="157">
        <f t="shared" si="28"/>
        <v>1</v>
      </c>
      <c r="V182" s="191">
        <f t="shared" si="21"/>
        <v>6</v>
      </c>
      <c r="W182" s="7">
        <f t="shared" si="22"/>
        <v>2022</v>
      </c>
    </row>
    <row r="183" spans="1:23" ht="31.95" customHeight="1" thickBot="1" x14ac:dyDescent="0.35">
      <c r="A183" s="15">
        <f t="shared" si="23"/>
        <v>2</v>
      </c>
      <c r="B183" s="26">
        <v>44732</v>
      </c>
      <c r="C183" s="51">
        <f t="shared" si="29"/>
        <v>179</v>
      </c>
      <c r="D183" s="27" t="s">
        <v>1150</v>
      </c>
      <c r="E183" s="26" t="s">
        <v>55</v>
      </c>
      <c r="F183" s="28" t="s">
        <v>11</v>
      </c>
      <c r="G183" s="28" t="s">
        <v>11</v>
      </c>
      <c r="H183" s="254"/>
      <c r="I183" s="49">
        <v>2</v>
      </c>
      <c r="J183" s="49">
        <v>2</v>
      </c>
      <c r="K183" s="52">
        <f t="shared" si="24"/>
        <v>1</v>
      </c>
      <c r="L183" s="209">
        <f t="shared" si="25"/>
        <v>0</v>
      </c>
      <c r="M183" s="210">
        <f t="shared" si="26"/>
        <v>0</v>
      </c>
      <c r="N183" s="26">
        <v>44733</v>
      </c>
      <c r="O183" s="26">
        <v>44733</v>
      </c>
      <c r="P183" s="26">
        <v>44733</v>
      </c>
      <c r="Q183" s="2">
        <f t="shared" si="20"/>
        <v>1</v>
      </c>
      <c r="S183" s="7">
        <f t="shared" si="27"/>
        <v>1</v>
      </c>
      <c r="T183" s="157">
        <f t="shared" si="28"/>
        <v>1</v>
      </c>
      <c r="V183" s="191">
        <f t="shared" si="21"/>
        <v>6</v>
      </c>
      <c r="W183" s="7">
        <f t="shared" si="22"/>
        <v>2022</v>
      </c>
    </row>
    <row r="184" spans="1:23" ht="31.95" customHeight="1" thickBot="1" x14ac:dyDescent="0.35">
      <c r="A184" s="15">
        <f t="shared" si="23"/>
        <v>2</v>
      </c>
      <c r="B184" s="26">
        <v>44732</v>
      </c>
      <c r="C184" s="51">
        <f t="shared" si="29"/>
        <v>180</v>
      </c>
      <c r="D184" s="27" t="s">
        <v>321</v>
      </c>
      <c r="E184" s="26" t="s">
        <v>20</v>
      </c>
      <c r="F184" s="28" t="s">
        <v>11</v>
      </c>
      <c r="G184" s="28" t="s">
        <v>11</v>
      </c>
      <c r="H184" s="254"/>
      <c r="I184" s="49">
        <v>2</v>
      </c>
      <c r="J184" s="49">
        <v>2</v>
      </c>
      <c r="K184" s="52">
        <f t="shared" si="24"/>
        <v>1</v>
      </c>
      <c r="L184" s="209">
        <f t="shared" si="25"/>
        <v>0</v>
      </c>
      <c r="M184" s="210">
        <f t="shared" si="26"/>
        <v>0</v>
      </c>
      <c r="N184" s="26">
        <v>44733</v>
      </c>
      <c r="O184" s="26">
        <v>44733</v>
      </c>
      <c r="P184" s="26">
        <v>44733</v>
      </c>
      <c r="Q184" s="2">
        <f t="shared" si="20"/>
        <v>1</v>
      </c>
      <c r="S184" s="7">
        <f t="shared" si="27"/>
        <v>1</v>
      </c>
      <c r="T184" s="157">
        <f t="shared" si="28"/>
        <v>1</v>
      </c>
      <c r="V184" s="191">
        <f t="shared" si="21"/>
        <v>6</v>
      </c>
      <c r="W184" s="7">
        <f t="shared" si="22"/>
        <v>2022</v>
      </c>
    </row>
    <row r="185" spans="1:23" ht="31.95" customHeight="1" thickBot="1" x14ac:dyDescent="0.35">
      <c r="A185" s="15">
        <f t="shared" si="23"/>
        <v>1</v>
      </c>
      <c r="B185" s="26">
        <v>44733</v>
      </c>
      <c r="C185" s="51">
        <f t="shared" si="29"/>
        <v>181</v>
      </c>
      <c r="D185" s="27" t="s">
        <v>1206</v>
      </c>
      <c r="E185" s="26" t="s">
        <v>16</v>
      </c>
      <c r="F185" s="28" t="s">
        <v>11</v>
      </c>
      <c r="G185" s="28" t="s">
        <v>11</v>
      </c>
      <c r="H185" s="254"/>
      <c r="I185" s="49">
        <v>1</v>
      </c>
      <c r="J185" s="49">
        <v>1</v>
      </c>
      <c r="K185" s="52">
        <f t="shared" si="24"/>
        <v>1</v>
      </c>
      <c r="L185" s="209">
        <f t="shared" si="25"/>
        <v>0</v>
      </c>
      <c r="M185" s="210">
        <f t="shared" si="26"/>
        <v>0</v>
      </c>
      <c r="N185" s="26">
        <v>44733</v>
      </c>
      <c r="O185" s="26">
        <v>44733</v>
      </c>
      <c r="P185" s="26">
        <v>44733</v>
      </c>
      <c r="Q185" s="2">
        <f t="shared" si="20"/>
        <v>1</v>
      </c>
      <c r="S185" s="7">
        <f t="shared" si="27"/>
        <v>1</v>
      </c>
      <c r="T185" s="157">
        <f t="shared" si="28"/>
        <v>1</v>
      </c>
      <c r="V185" s="191">
        <f t="shared" si="21"/>
        <v>6</v>
      </c>
      <c r="W185" s="7">
        <f t="shared" si="22"/>
        <v>2022</v>
      </c>
    </row>
    <row r="186" spans="1:23" ht="31.95" customHeight="1" thickBot="1" x14ac:dyDescent="0.35">
      <c r="A186" s="15">
        <f t="shared" si="23"/>
        <v>27</v>
      </c>
      <c r="B186" s="26">
        <v>44733</v>
      </c>
      <c r="C186" s="51">
        <f t="shared" si="29"/>
        <v>182</v>
      </c>
      <c r="D186" s="27" t="s">
        <v>524</v>
      </c>
      <c r="E186" s="26" t="s">
        <v>37</v>
      </c>
      <c r="F186" s="28" t="s">
        <v>11</v>
      </c>
      <c r="G186" s="28" t="s">
        <v>11</v>
      </c>
      <c r="H186" s="254"/>
      <c r="I186" s="49">
        <v>27</v>
      </c>
      <c r="J186" s="49">
        <v>27</v>
      </c>
      <c r="K186" s="52">
        <f t="shared" si="24"/>
        <v>1</v>
      </c>
      <c r="L186" s="209">
        <f t="shared" si="25"/>
        <v>0</v>
      </c>
      <c r="M186" s="210">
        <f t="shared" si="26"/>
        <v>0</v>
      </c>
      <c r="N186" s="26">
        <v>44736</v>
      </c>
      <c r="O186" s="26">
        <v>44736</v>
      </c>
      <c r="P186" s="26">
        <v>44736</v>
      </c>
      <c r="Q186" s="2">
        <f t="shared" si="20"/>
        <v>1</v>
      </c>
      <c r="S186" s="7">
        <f t="shared" si="27"/>
        <v>1</v>
      </c>
      <c r="T186" s="157">
        <f t="shared" si="28"/>
        <v>1</v>
      </c>
      <c r="V186" s="191">
        <f t="shared" si="21"/>
        <v>6</v>
      </c>
      <c r="W186" s="7">
        <f t="shared" si="22"/>
        <v>2022</v>
      </c>
    </row>
    <row r="187" spans="1:23" ht="31.95" customHeight="1" thickBot="1" x14ac:dyDescent="0.35">
      <c r="A187" s="15">
        <f t="shared" si="23"/>
        <v>7</v>
      </c>
      <c r="B187" s="26">
        <v>44733</v>
      </c>
      <c r="C187" s="51">
        <f t="shared" si="29"/>
        <v>183</v>
      </c>
      <c r="D187" s="27" t="s">
        <v>602</v>
      </c>
      <c r="E187" s="26" t="s">
        <v>37</v>
      </c>
      <c r="F187" s="28" t="s">
        <v>11</v>
      </c>
      <c r="G187" s="28" t="s">
        <v>11</v>
      </c>
      <c r="H187" s="254"/>
      <c r="I187" s="49">
        <v>7</v>
      </c>
      <c r="J187" s="49">
        <v>7</v>
      </c>
      <c r="K187" s="52">
        <f t="shared" si="24"/>
        <v>1</v>
      </c>
      <c r="L187" s="209">
        <f t="shared" si="25"/>
        <v>0</v>
      </c>
      <c r="M187" s="210">
        <f t="shared" si="26"/>
        <v>0</v>
      </c>
      <c r="N187" s="26">
        <v>44734</v>
      </c>
      <c r="O187" s="26">
        <v>44734</v>
      </c>
      <c r="P187" s="26">
        <v>44734</v>
      </c>
      <c r="Q187" s="2">
        <f t="shared" si="20"/>
        <v>1</v>
      </c>
      <c r="S187" s="7">
        <f t="shared" si="27"/>
        <v>1</v>
      </c>
      <c r="T187" s="157">
        <f t="shared" si="28"/>
        <v>1</v>
      </c>
      <c r="V187" s="191">
        <f t="shared" si="21"/>
        <v>6</v>
      </c>
      <c r="W187" s="7">
        <f t="shared" si="22"/>
        <v>2022</v>
      </c>
    </row>
    <row r="188" spans="1:23" ht="31.95" customHeight="1" thickBot="1" x14ac:dyDescent="0.35">
      <c r="A188" s="15">
        <f t="shared" si="23"/>
        <v>6</v>
      </c>
      <c r="B188" s="26">
        <v>44733</v>
      </c>
      <c r="C188" s="51">
        <f t="shared" si="29"/>
        <v>184</v>
      </c>
      <c r="D188" s="27" t="s">
        <v>890</v>
      </c>
      <c r="E188" s="26" t="s">
        <v>37</v>
      </c>
      <c r="F188" s="28" t="s">
        <v>11</v>
      </c>
      <c r="G188" s="28" t="s">
        <v>11</v>
      </c>
      <c r="H188" s="254"/>
      <c r="I188" s="49">
        <v>6</v>
      </c>
      <c r="J188" s="49">
        <v>6</v>
      </c>
      <c r="K188" s="52">
        <f t="shared" si="24"/>
        <v>1</v>
      </c>
      <c r="L188" s="209">
        <f t="shared" si="25"/>
        <v>0</v>
      </c>
      <c r="M188" s="210">
        <f t="shared" si="26"/>
        <v>0</v>
      </c>
      <c r="N188" s="26">
        <v>44754</v>
      </c>
      <c r="O188" s="26">
        <v>44754</v>
      </c>
      <c r="P188" s="26">
        <v>44754</v>
      </c>
      <c r="Q188" s="2">
        <f t="shared" si="20"/>
        <v>1</v>
      </c>
      <c r="S188" s="7">
        <f t="shared" si="27"/>
        <v>1</v>
      </c>
      <c r="T188" s="157">
        <f t="shared" si="28"/>
        <v>1</v>
      </c>
      <c r="V188" s="191">
        <f t="shared" si="21"/>
        <v>6</v>
      </c>
      <c r="W188" s="7">
        <f t="shared" si="22"/>
        <v>2022</v>
      </c>
    </row>
    <row r="189" spans="1:23" ht="31.95" customHeight="1" thickBot="1" x14ac:dyDescent="0.35">
      <c r="A189" s="15">
        <f t="shared" si="23"/>
        <v>8</v>
      </c>
      <c r="B189" s="26">
        <v>44733</v>
      </c>
      <c r="C189" s="51">
        <f t="shared" si="29"/>
        <v>185</v>
      </c>
      <c r="D189" s="27" t="s">
        <v>871</v>
      </c>
      <c r="E189" s="26" t="s">
        <v>37</v>
      </c>
      <c r="F189" s="28" t="s">
        <v>11</v>
      </c>
      <c r="G189" s="28" t="s">
        <v>11</v>
      </c>
      <c r="H189" s="254"/>
      <c r="I189" s="49">
        <v>8</v>
      </c>
      <c r="J189" s="49">
        <v>8</v>
      </c>
      <c r="K189" s="52">
        <f t="shared" si="24"/>
        <v>1</v>
      </c>
      <c r="L189" s="209">
        <f t="shared" si="25"/>
        <v>0</v>
      </c>
      <c r="M189" s="210">
        <f t="shared" si="26"/>
        <v>0</v>
      </c>
      <c r="N189" s="26">
        <v>44734</v>
      </c>
      <c r="O189" s="26">
        <v>44734</v>
      </c>
      <c r="P189" s="26">
        <v>44734</v>
      </c>
      <c r="Q189" s="2">
        <f t="shared" si="20"/>
        <v>1</v>
      </c>
      <c r="S189" s="7">
        <f t="shared" si="27"/>
        <v>1</v>
      </c>
      <c r="T189" s="157">
        <f t="shared" si="28"/>
        <v>1</v>
      </c>
      <c r="V189" s="191">
        <f t="shared" si="21"/>
        <v>6</v>
      </c>
      <c r="W189" s="7">
        <f t="shared" si="22"/>
        <v>2022</v>
      </c>
    </row>
    <row r="190" spans="1:23" ht="31.95" customHeight="1" thickBot="1" x14ac:dyDescent="0.35">
      <c r="A190" s="15">
        <f t="shared" si="23"/>
        <v>6</v>
      </c>
      <c r="B190" s="26">
        <v>44734</v>
      </c>
      <c r="C190" s="51">
        <f t="shared" si="29"/>
        <v>186</v>
      </c>
      <c r="D190" s="27" t="s">
        <v>988</v>
      </c>
      <c r="E190" s="26" t="s">
        <v>55</v>
      </c>
      <c r="F190" s="28" t="s">
        <v>11</v>
      </c>
      <c r="G190" s="28" t="s">
        <v>11</v>
      </c>
      <c r="H190" s="254"/>
      <c r="I190" s="49">
        <v>6</v>
      </c>
      <c r="J190" s="49">
        <v>6</v>
      </c>
      <c r="K190" s="52">
        <f t="shared" si="24"/>
        <v>1</v>
      </c>
      <c r="L190" s="209">
        <f t="shared" si="25"/>
        <v>0</v>
      </c>
      <c r="M190" s="210">
        <f t="shared" si="26"/>
        <v>0</v>
      </c>
      <c r="N190" s="26">
        <v>44755</v>
      </c>
      <c r="O190" s="26">
        <v>44755</v>
      </c>
      <c r="P190" s="26">
        <v>44755</v>
      </c>
      <c r="Q190" s="2">
        <f t="shared" si="20"/>
        <v>1</v>
      </c>
      <c r="S190" s="7">
        <f t="shared" si="27"/>
        <v>1</v>
      </c>
      <c r="T190" s="157">
        <f t="shared" si="28"/>
        <v>1</v>
      </c>
      <c r="V190" s="191">
        <f t="shared" si="21"/>
        <v>6</v>
      </c>
      <c r="W190" s="7">
        <f t="shared" si="22"/>
        <v>2022</v>
      </c>
    </row>
    <row r="191" spans="1:23" ht="31.95" customHeight="1" thickBot="1" x14ac:dyDescent="0.35">
      <c r="A191" s="15">
        <f t="shared" si="23"/>
        <v>1</v>
      </c>
      <c r="B191" s="26">
        <v>44735</v>
      </c>
      <c r="C191" s="51">
        <f t="shared" si="29"/>
        <v>187</v>
      </c>
      <c r="D191" s="27" t="s">
        <v>524</v>
      </c>
      <c r="E191" s="26" t="s">
        <v>25</v>
      </c>
      <c r="F191" s="28" t="s">
        <v>11</v>
      </c>
      <c r="G191" s="28" t="s">
        <v>11</v>
      </c>
      <c r="H191" s="254"/>
      <c r="I191" s="49">
        <v>1</v>
      </c>
      <c r="J191" s="49">
        <v>1</v>
      </c>
      <c r="K191" s="52">
        <f t="shared" si="24"/>
        <v>1</v>
      </c>
      <c r="L191" s="209">
        <f t="shared" si="25"/>
        <v>0</v>
      </c>
      <c r="M191" s="210">
        <f t="shared" si="26"/>
        <v>0</v>
      </c>
      <c r="N191" s="26">
        <v>44739</v>
      </c>
      <c r="O191" s="26">
        <v>44739</v>
      </c>
      <c r="P191" s="26">
        <v>44739</v>
      </c>
      <c r="Q191" s="2">
        <f t="shared" si="20"/>
        <v>1</v>
      </c>
      <c r="S191" s="7">
        <f t="shared" si="27"/>
        <v>1</v>
      </c>
      <c r="T191" s="157">
        <f t="shared" si="28"/>
        <v>1</v>
      </c>
      <c r="V191" s="191">
        <f t="shared" si="21"/>
        <v>6</v>
      </c>
      <c r="W191" s="7">
        <f t="shared" si="22"/>
        <v>2022</v>
      </c>
    </row>
    <row r="192" spans="1:23" ht="31.95" customHeight="1" thickBot="1" x14ac:dyDescent="0.35">
      <c r="A192" s="15">
        <f t="shared" si="23"/>
        <v>1</v>
      </c>
      <c r="B192" s="26">
        <v>44739</v>
      </c>
      <c r="C192" s="51">
        <f t="shared" si="29"/>
        <v>188</v>
      </c>
      <c r="D192" s="27" t="s">
        <v>1007</v>
      </c>
      <c r="E192" s="26" t="s">
        <v>55</v>
      </c>
      <c r="F192" s="28" t="s">
        <v>11</v>
      </c>
      <c r="G192" s="28" t="s">
        <v>11</v>
      </c>
      <c r="H192" s="254"/>
      <c r="I192" s="49">
        <v>1</v>
      </c>
      <c r="J192" s="49">
        <v>1</v>
      </c>
      <c r="K192" s="52">
        <f t="shared" si="24"/>
        <v>1</v>
      </c>
      <c r="L192" s="209">
        <f t="shared" si="25"/>
        <v>0</v>
      </c>
      <c r="M192" s="210">
        <f t="shared" si="26"/>
        <v>0</v>
      </c>
      <c r="N192" s="26">
        <v>44740</v>
      </c>
      <c r="O192" s="26">
        <v>44740</v>
      </c>
      <c r="P192" s="26">
        <v>44740</v>
      </c>
      <c r="Q192" s="2">
        <f t="shared" si="20"/>
        <v>1</v>
      </c>
      <c r="S192" s="7">
        <f t="shared" si="27"/>
        <v>1</v>
      </c>
      <c r="T192" s="157">
        <f t="shared" si="28"/>
        <v>1</v>
      </c>
      <c r="V192" s="191">
        <f t="shared" si="21"/>
        <v>6</v>
      </c>
      <c r="W192" s="7">
        <f t="shared" si="22"/>
        <v>2022</v>
      </c>
    </row>
    <row r="193" spans="1:23" ht="31.95" customHeight="1" thickBot="1" x14ac:dyDescent="0.35">
      <c r="A193" s="15">
        <f t="shared" si="23"/>
        <v>1</v>
      </c>
      <c r="B193" s="26">
        <v>44739</v>
      </c>
      <c r="C193" s="51">
        <f t="shared" si="29"/>
        <v>189</v>
      </c>
      <c r="D193" s="27" t="s">
        <v>714</v>
      </c>
      <c r="E193" s="26" t="s">
        <v>55</v>
      </c>
      <c r="F193" s="28" t="s">
        <v>11</v>
      </c>
      <c r="G193" s="28" t="s">
        <v>11</v>
      </c>
      <c r="H193" s="254"/>
      <c r="I193" s="49">
        <v>1</v>
      </c>
      <c r="J193" s="49">
        <v>1</v>
      </c>
      <c r="K193" s="52">
        <f t="shared" si="24"/>
        <v>1</v>
      </c>
      <c r="L193" s="209">
        <f t="shared" si="25"/>
        <v>0</v>
      </c>
      <c r="M193" s="210">
        <f t="shared" si="26"/>
        <v>0</v>
      </c>
      <c r="N193" s="26">
        <v>44740</v>
      </c>
      <c r="O193" s="26">
        <v>44740</v>
      </c>
      <c r="P193" s="26">
        <v>44740</v>
      </c>
      <c r="Q193" s="2">
        <f t="shared" si="20"/>
        <v>1</v>
      </c>
      <c r="S193" s="7">
        <f t="shared" si="27"/>
        <v>1</v>
      </c>
      <c r="T193" s="157">
        <f t="shared" si="28"/>
        <v>1</v>
      </c>
      <c r="V193" s="191">
        <f t="shared" si="21"/>
        <v>6</v>
      </c>
      <c r="W193" s="7">
        <f t="shared" si="22"/>
        <v>2022</v>
      </c>
    </row>
    <row r="194" spans="1:23" ht="31.95" customHeight="1" thickBot="1" x14ac:dyDescent="0.35">
      <c r="A194" s="15">
        <f t="shared" si="23"/>
        <v>13</v>
      </c>
      <c r="B194" s="26">
        <v>44739</v>
      </c>
      <c r="C194" s="51">
        <f t="shared" si="29"/>
        <v>190</v>
      </c>
      <c r="D194" s="27" t="s">
        <v>524</v>
      </c>
      <c r="E194" s="26" t="s">
        <v>1295</v>
      </c>
      <c r="F194" s="28" t="s">
        <v>11</v>
      </c>
      <c r="G194" s="28" t="s">
        <v>11</v>
      </c>
      <c r="H194" s="254"/>
      <c r="I194" s="49">
        <v>13</v>
      </c>
      <c r="J194" s="49">
        <v>13</v>
      </c>
      <c r="K194" s="52">
        <f t="shared" si="24"/>
        <v>1</v>
      </c>
      <c r="L194" s="209">
        <f t="shared" si="25"/>
        <v>0</v>
      </c>
      <c r="M194" s="210">
        <f t="shared" si="26"/>
        <v>0</v>
      </c>
      <c r="N194" s="26">
        <v>44742</v>
      </c>
      <c r="O194" s="26">
        <v>44742</v>
      </c>
      <c r="P194" s="26">
        <v>44742</v>
      </c>
      <c r="Q194" s="2">
        <f t="shared" si="20"/>
        <v>1</v>
      </c>
      <c r="S194" s="7">
        <f t="shared" si="27"/>
        <v>1</v>
      </c>
      <c r="T194" s="157">
        <f t="shared" si="28"/>
        <v>1</v>
      </c>
      <c r="V194" s="191">
        <f t="shared" si="21"/>
        <v>6</v>
      </c>
      <c r="W194" s="7">
        <f t="shared" si="22"/>
        <v>2022</v>
      </c>
    </row>
    <row r="195" spans="1:23" ht="31.95" customHeight="1" thickBot="1" x14ac:dyDescent="0.35">
      <c r="A195" s="15">
        <f t="shared" si="23"/>
        <v>3</v>
      </c>
      <c r="B195" s="26">
        <v>44739</v>
      </c>
      <c r="C195" s="51">
        <f t="shared" si="29"/>
        <v>191</v>
      </c>
      <c r="D195" s="27" t="s">
        <v>524</v>
      </c>
      <c r="E195" s="26" t="s">
        <v>25</v>
      </c>
      <c r="F195" s="28" t="s">
        <v>11</v>
      </c>
      <c r="G195" s="28" t="s">
        <v>11</v>
      </c>
      <c r="H195" s="254"/>
      <c r="I195" s="49">
        <v>3</v>
      </c>
      <c r="J195" s="49">
        <v>3</v>
      </c>
      <c r="K195" s="52">
        <f t="shared" si="24"/>
        <v>1</v>
      </c>
      <c r="L195" s="209">
        <f t="shared" si="25"/>
        <v>0</v>
      </c>
      <c r="M195" s="210">
        <f t="shared" si="26"/>
        <v>0</v>
      </c>
      <c r="N195" s="26">
        <v>44742</v>
      </c>
      <c r="O195" s="26">
        <v>44742</v>
      </c>
      <c r="P195" s="26">
        <v>44742</v>
      </c>
      <c r="Q195" s="2">
        <f t="shared" si="20"/>
        <v>1</v>
      </c>
      <c r="S195" s="7">
        <f t="shared" si="27"/>
        <v>1</v>
      </c>
      <c r="T195" s="157">
        <f t="shared" si="28"/>
        <v>1</v>
      </c>
      <c r="V195" s="191">
        <f t="shared" si="21"/>
        <v>6</v>
      </c>
      <c r="W195" s="7">
        <f t="shared" si="22"/>
        <v>2022</v>
      </c>
    </row>
    <row r="196" spans="1:23" ht="31.95" customHeight="1" thickBot="1" x14ac:dyDescent="0.35">
      <c r="A196" s="15">
        <f t="shared" si="23"/>
        <v>5</v>
      </c>
      <c r="B196" s="26">
        <v>44740</v>
      </c>
      <c r="C196" s="51">
        <f t="shared" si="29"/>
        <v>192</v>
      </c>
      <c r="D196" s="27" t="s">
        <v>890</v>
      </c>
      <c r="E196" s="26" t="s">
        <v>1295</v>
      </c>
      <c r="F196" s="28" t="s">
        <v>11</v>
      </c>
      <c r="G196" s="28" t="s">
        <v>11</v>
      </c>
      <c r="H196" s="254"/>
      <c r="I196" s="49">
        <v>5</v>
      </c>
      <c r="J196" s="49">
        <v>5</v>
      </c>
      <c r="K196" s="52">
        <f t="shared" si="24"/>
        <v>1</v>
      </c>
      <c r="L196" s="209">
        <f t="shared" si="25"/>
        <v>0</v>
      </c>
      <c r="M196" s="210">
        <f t="shared" si="26"/>
        <v>0</v>
      </c>
      <c r="N196" s="26">
        <v>44754</v>
      </c>
      <c r="O196" s="26">
        <v>44754</v>
      </c>
      <c r="P196" s="26">
        <v>44754</v>
      </c>
      <c r="Q196" s="2">
        <f t="shared" si="20"/>
        <v>1</v>
      </c>
      <c r="S196" s="7">
        <f t="shared" si="27"/>
        <v>1</v>
      </c>
      <c r="T196" s="157">
        <f t="shared" si="28"/>
        <v>1</v>
      </c>
      <c r="V196" s="191">
        <f t="shared" si="21"/>
        <v>6</v>
      </c>
      <c r="W196" s="7">
        <f t="shared" si="22"/>
        <v>2022</v>
      </c>
    </row>
    <row r="197" spans="1:23" ht="31.95" customHeight="1" thickBot="1" x14ac:dyDescent="0.35">
      <c r="A197" s="15">
        <f t="shared" si="23"/>
        <v>1</v>
      </c>
      <c r="B197" s="26">
        <v>44741</v>
      </c>
      <c r="C197" s="51">
        <f t="shared" si="29"/>
        <v>193</v>
      </c>
      <c r="D197" s="27" t="s">
        <v>401</v>
      </c>
      <c r="E197" s="26" t="s">
        <v>25</v>
      </c>
      <c r="F197" s="28" t="s">
        <v>11</v>
      </c>
      <c r="G197" s="28" t="s">
        <v>11</v>
      </c>
      <c r="H197" s="254"/>
      <c r="I197" s="49">
        <v>1</v>
      </c>
      <c r="J197" s="49">
        <v>1</v>
      </c>
      <c r="K197" s="52">
        <f t="shared" si="24"/>
        <v>1</v>
      </c>
      <c r="L197" s="209">
        <f t="shared" si="25"/>
        <v>0</v>
      </c>
      <c r="M197" s="210">
        <f t="shared" si="26"/>
        <v>0</v>
      </c>
      <c r="N197" s="26">
        <v>44741</v>
      </c>
      <c r="O197" s="26">
        <v>44741</v>
      </c>
      <c r="P197" s="26">
        <v>44741</v>
      </c>
      <c r="Q197" s="2">
        <f t="shared" ref="Q197:Q260" si="30">IF(B197&lt;&gt;"",1,0)</f>
        <v>1</v>
      </c>
      <c r="S197" s="7">
        <f t="shared" si="27"/>
        <v>1</v>
      </c>
      <c r="T197" s="157">
        <f t="shared" si="28"/>
        <v>1</v>
      </c>
      <c r="V197" s="191">
        <f t="shared" ref="V197:V260" si="31">MONTH(B197)</f>
        <v>6</v>
      </c>
      <c r="W197" s="7">
        <f t="shared" ref="W197:W260" si="32">YEAR(B197)</f>
        <v>2022</v>
      </c>
    </row>
    <row r="198" spans="1:23" ht="31.95" customHeight="1" thickBot="1" x14ac:dyDescent="0.35">
      <c r="A198" s="15">
        <f t="shared" ref="A198:A261" si="33">J198</f>
        <v>1</v>
      </c>
      <c r="B198" s="26">
        <v>44741</v>
      </c>
      <c r="C198" s="51">
        <f t="shared" si="29"/>
        <v>194</v>
      </c>
      <c r="D198" s="27" t="s">
        <v>321</v>
      </c>
      <c r="E198" s="26" t="s">
        <v>27</v>
      </c>
      <c r="F198" s="28" t="s">
        <v>11</v>
      </c>
      <c r="G198" s="28" t="s">
        <v>11</v>
      </c>
      <c r="H198" s="254"/>
      <c r="I198" s="49">
        <v>1</v>
      </c>
      <c r="J198" s="49">
        <v>1</v>
      </c>
      <c r="K198" s="52">
        <f t="shared" ref="K198:K261" si="34">IFERROR(J198/I198,"")</f>
        <v>1</v>
      </c>
      <c r="L198" s="209">
        <f t="shared" ref="L198:L261" si="35">IF(I198="","",I198-J198)</f>
        <v>0</v>
      </c>
      <c r="M198" s="210">
        <f t="shared" ref="M198:M261" si="36">IFERROR(1-K198,"")</f>
        <v>0</v>
      </c>
      <c r="N198" s="26">
        <v>44741</v>
      </c>
      <c r="O198" s="26">
        <v>44741</v>
      </c>
      <c r="P198" s="26">
        <v>44741</v>
      </c>
      <c r="Q198" s="2">
        <f t="shared" si="30"/>
        <v>1</v>
      </c>
      <c r="S198" s="7">
        <f t="shared" ref="S198:S261" si="37">IF(AND(O198&lt;=N198,O198&lt;&gt;""),1,0)</f>
        <v>1</v>
      </c>
      <c r="T198" s="157">
        <f t="shared" ref="T198:T261" si="38">IF(AND(P198&lt;=N198,P198&lt;&gt;""),1,0)</f>
        <v>1</v>
      </c>
      <c r="V198" s="191">
        <f t="shared" si="31"/>
        <v>6</v>
      </c>
      <c r="W198" s="7">
        <f t="shared" si="32"/>
        <v>2022</v>
      </c>
    </row>
    <row r="199" spans="1:23" ht="31.95" customHeight="1" thickBot="1" x14ac:dyDescent="0.35">
      <c r="A199" s="15">
        <f t="shared" si="33"/>
        <v>12</v>
      </c>
      <c r="B199" s="26">
        <v>44741</v>
      </c>
      <c r="C199" s="51">
        <f t="shared" ref="C199:C262" si="39">IF(B199&lt;&gt;"",C198+1,"")</f>
        <v>195</v>
      </c>
      <c r="D199" s="27" t="s">
        <v>871</v>
      </c>
      <c r="E199" s="26" t="s">
        <v>1295</v>
      </c>
      <c r="F199" s="28" t="s">
        <v>11</v>
      </c>
      <c r="G199" s="28" t="s">
        <v>11</v>
      </c>
      <c r="H199" s="254"/>
      <c r="I199" s="49">
        <v>12</v>
      </c>
      <c r="J199" s="49">
        <v>12</v>
      </c>
      <c r="K199" s="52">
        <f t="shared" si="34"/>
        <v>1</v>
      </c>
      <c r="L199" s="209">
        <f t="shared" si="35"/>
        <v>0</v>
      </c>
      <c r="M199" s="210">
        <f t="shared" si="36"/>
        <v>0</v>
      </c>
      <c r="N199" s="26">
        <v>44769</v>
      </c>
      <c r="O199" s="26">
        <v>44769</v>
      </c>
      <c r="P199" s="26">
        <v>44769</v>
      </c>
      <c r="Q199" s="2">
        <f t="shared" si="30"/>
        <v>1</v>
      </c>
      <c r="S199" s="7">
        <f t="shared" si="37"/>
        <v>1</v>
      </c>
      <c r="T199" s="157">
        <f t="shared" si="38"/>
        <v>1</v>
      </c>
      <c r="V199" s="191">
        <f t="shared" si="31"/>
        <v>6</v>
      </c>
      <c r="W199" s="7">
        <f t="shared" si="32"/>
        <v>2022</v>
      </c>
    </row>
    <row r="200" spans="1:23" ht="31.95" customHeight="1" thickBot="1" x14ac:dyDescent="0.35">
      <c r="A200" s="15">
        <f t="shared" si="33"/>
        <v>1</v>
      </c>
      <c r="B200" s="26">
        <v>44741</v>
      </c>
      <c r="C200" s="51">
        <f t="shared" si="39"/>
        <v>196</v>
      </c>
      <c r="D200" s="27" t="s">
        <v>784</v>
      </c>
      <c r="E200" s="26" t="s">
        <v>25</v>
      </c>
      <c r="F200" s="28" t="s">
        <v>11</v>
      </c>
      <c r="G200" s="28" t="s">
        <v>11</v>
      </c>
      <c r="H200" s="254"/>
      <c r="I200" s="49">
        <v>1</v>
      </c>
      <c r="J200" s="49">
        <v>1</v>
      </c>
      <c r="K200" s="52">
        <f t="shared" si="34"/>
        <v>1</v>
      </c>
      <c r="L200" s="209">
        <f t="shared" si="35"/>
        <v>0</v>
      </c>
      <c r="M200" s="210">
        <f t="shared" si="36"/>
        <v>0</v>
      </c>
      <c r="N200" s="26">
        <v>44742</v>
      </c>
      <c r="O200" s="26">
        <v>44742</v>
      </c>
      <c r="P200" s="26">
        <v>44742</v>
      </c>
      <c r="Q200" s="2">
        <f t="shared" si="30"/>
        <v>1</v>
      </c>
      <c r="S200" s="7">
        <f t="shared" si="37"/>
        <v>1</v>
      </c>
      <c r="T200" s="157">
        <f t="shared" si="38"/>
        <v>1</v>
      </c>
      <c r="V200" s="191">
        <f t="shared" si="31"/>
        <v>6</v>
      </c>
      <c r="W200" s="7">
        <f t="shared" si="32"/>
        <v>2022</v>
      </c>
    </row>
    <row r="201" spans="1:23" ht="31.95" customHeight="1" thickBot="1" x14ac:dyDescent="0.35">
      <c r="A201" s="15">
        <f t="shared" si="33"/>
        <v>1</v>
      </c>
      <c r="B201" s="26">
        <v>44741</v>
      </c>
      <c r="C201" s="51">
        <f t="shared" si="39"/>
        <v>197</v>
      </c>
      <c r="D201" s="27" t="s">
        <v>1206</v>
      </c>
      <c r="E201" s="26" t="s">
        <v>1295</v>
      </c>
      <c r="F201" s="28" t="s">
        <v>11</v>
      </c>
      <c r="G201" s="28" t="s">
        <v>11</v>
      </c>
      <c r="H201" s="254"/>
      <c r="I201" s="49">
        <v>1</v>
      </c>
      <c r="J201" s="49">
        <v>1</v>
      </c>
      <c r="K201" s="52">
        <f t="shared" si="34"/>
        <v>1</v>
      </c>
      <c r="L201" s="209">
        <f t="shared" si="35"/>
        <v>0</v>
      </c>
      <c r="M201" s="210">
        <f t="shared" si="36"/>
        <v>0</v>
      </c>
      <c r="N201" s="26">
        <v>44741</v>
      </c>
      <c r="O201" s="26">
        <v>44741</v>
      </c>
      <c r="P201" s="26">
        <v>44741</v>
      </c>
      <c r="Q201" s="2">
        <f t="shared" si="30"/>
        <v>1</v>
      </c>
      <c r="S201" s="7">
        <f t="shared" si="37"/>
        <v>1</v>
      </c>
      <c r="T201" s="157">
        <f t="shared" si="38"/>
        <v>1</v>
      </c>
      <c r="V201" s="191">
        <f t="shared" si="31"/>
        <v>6</v>
      </c>
      <c r="W201" s="7">
        <f t="shared" si="32"/>
        <v>2022</v>
      </c>
    </row>
    <row r="202" spans="1:23" ht="31.95" customHeight="1" thickBot="1" x14ac:dyDescent="0.35">
      <c r="A202" s="15">
        <f t="shared" si="33"/>
        <v>2</v>
      </c>
      <c r="B202" s="26">
        <v>44741</v>
      </c>
      <c r="C202" s="51">
        <f t="shared" si="39"/>
        <v>198</v>
      </c>
      <c r="D202" s="27" t="s">
        <v>890</v>
      </c>
      <c r="E202" s="26" t="s">
        <v>38</v>
      </c>
      <c r="F202" s="28" t="s">
        <v>11</v>
      </c>
      <c r="G202" s="28" t="s">
        <v>11</v>
      </c>
      <c r="H202" s="254"/>
      <c r="I202" s="49">
        <v>2</v>
      </c>
      <c r="J202" s="49">
        <v>2</v>
      </c>
      <c r="K202" s="52">
        <f t="shared" si="34"/>
        <v>1</v>
      </c>
      <c r="L202" s="209">
        <f t="shared" si="35"/>
        <v>0</v>
      </c>
      <c r="M202" s="210">
        <f t="shared" si="36"/>
        <v>0</v>
      </c>
      <c r="N202" s="26">
        <v>44764</v>
      </c>
      <c r="O202" s="26">
        <v>44764</v>
      </c>
      <c r="P202" s="26">
        <v>44764</v>
      </c>
      <c r="Q202" s="2">
        <f t="shared" si="30"/>
        <v>1</v>
      </c>
      <c r="S202" s="7">
        <f t="shared" si="37"/>
        <v>1</v>
      </c>
      <c r="T202" s="157">
        <f t="shared" si="38"/>
        <v>1</v>
      </c>
      <c r="V202" s="191">
        <f t="shared" si="31"/>
        <v>6</v>
      </c>
      <c r="W202" s="7">
        <f t="shared" si="32"/>
        <v>2022</v>
      </c>
    </row>
    <row r="203" spans="1:23" ht="31.95" customHeight="1" thickBot="1" x14ac:dyDescent="0.35">
      <c r="A203" s="15">
        <f t="shared" si="33"/>
        <v>3</v>
      </c>
      <c r="B203" s="26">
        <v>44741</v>
      </c>
      <c r="C203" s="51">
        <f t="shared" si="39"/>
        <v>199</v>
      </c>
      <c r="D203" s="27" t="s">
        <v>602</v>
      </c>
      <c r="E203" s="26" t="s">
        <v>38</v>
      </c>
      <c r="F203" s="28" t="s">
        <v>11</v>
      </c>
      <c r="G203" s="28" t="s">
        <v>11</v>
      </c>
      <c r="H203" s="254"/>
      <c r="I203" s="49">
        <v>3</v>
      </c>
      <c r="J203" s="49">
        <v>3</v>
      </c>
      <c r="K203" s="52">
        <f t="shared" si="34"/>
        <v>1</v>
      </c>
      <c r="L203" s="209">
        <f t="shared" si="35"/>
        <v>0</v>
      </c>
      <c r="M203" s="210">
        <f t="shared" si="36"/>
        <v>0</v>
      </c>
      <c r="N203" s="26">
        <v>44742</v>
      </c>
      <c r="O203" s="26">
        <v>44742</v>
      </c>
      <c r="P203" s="26">
        <v>44742</v>
      </c>
      <c r="Q203" s="2">
        <f t="shared" si="30"/>
        <v>1</v>
      </c>
      <c r="S203" s="7">
        <f t="shared" si="37"/>
        <v>1</v>
      </c>
      <c r="T203" s="157">
        <f t="shared" si="38"/>
        <v>1</v>
      </c>
      <c r="V203" s="191">
        <f t="shared" si="31"/>
        <v>6</v>
      </c>
      <c r="W203" s="7">
        <f t="shared" si="32"/>
        <v>2022</v>
      </c>
    </row>
    <row r="204" spans="1:23" ht="31.95" customHeight="1" thickBot="1" x14ac:dyDescent="0.35">
      <c r="A204" s="15">
        <f t="shared" si="33"/>
        <v>1</v>
      </c>
      <c r="B204" s="26">
        <v>44741</v>
      </c>
      <c r="C204" s="51">
        <f t="shared" si="39"/>
        <v>200</v>
      </c>
      <c r="D204" s="27" t="s">
        <v>524</v>
      </c>
      <c r="E204" s="26" t="s">
        <v>30</v>
      </c>
      <c r="F204" s="28" t="s">
        <v>11</v>
      </c>
      <c r="G204" s="28" t="s">
        <v>11</v>
      </c>
      <c r="H204" s="254"/>
      <c r="I204" s="49">
        <v>1</v>
      </c>
      <c r="J204" s="49">
        <v>1</v>
      </c>
      <c r="K204" s="52">
        <f t="shared" si="34"/>
        <v>1</v>
      </c>
      <c r="L204" s="209">
        <f t="shared" si="35"/>
        <v>0</v>
      </c>
      <c r="M204" s="210">
        <f t="shared" si="36"/>
        <v>0</v>
      </c>
      <c r="N204" s="26">
        <v>44743</v>
      </c>
      <c r="O204" s="26">
        <v>44743</v>
      </c>
      <c r="P204" s="26">
        <v>44743</v>
      </c>
      <c r="Q204" s="2">
        <f t="shared" si="30"/>
        <v>1</v>
      </c>
      <c r="S204" s="7">
        <f t="shared" si="37"/>
        <v>1</v>
      </c>
      <c r="T204" s="157">
        <f t="shared" si="38"/>
        <v>1</v>
      </c>
      <c r="V204" s="191">
        <f t="shared" si="31"/>
        <v>6</v>
      </c>
      <c r="W204" s="7">
        <f t="shared" si="32"/>
        <v>2022</v>
      </c>
    </row>
    <row r="205" spans="1:23" ht="31.95" customHeight="1" thickBot="1" x14ac:dyDescent="0.35">
      <c r="A205" s="15">
        <f t="shared" si="33"/>
        <v>3</v>
      </c>
      <c r="B205" s="26">
        <v>44741</v>
      </c>
      <c r="C205" s="51">
        <f t="shared" si="39"/>
        <v>201</v>
      </c>
      <c r="D205" s="27" t="s">
        <v>524</v>
      </c>
      <c r="E205" s="26" t="s">
        <v>25</v>
      </c>
      <c r="F205" s="28" t="s">
        <v>11</v>
      </c>
      <c r="G205" s="28" t="s">
        <v>11</v>
      </c>
      <c r="H205" s="254"/>
      <c r="I205" s="49">
        <v>3</v>
      </c>
      <c r="J205" s="49">
        <v>3</v>
      </c>
      <c r="K205" s="52">
        <f t="shared" si="34"/>
        <v>1</v>
      </c>
      <c r="L205" s="209">
        <f t="shared" si="35"/>
        <v>0</v>
      </c>
      <c r="M205" s="210">
        <f t="shared" si="36"/>
        <v>0</v>
      </c>
      <c r="N205" s="26">
        <v>44743</v>
      </c>
      <c r="O205" s="26">
        <v>44743</v>
      </c>
      <c r="P205" s="26">
        <v>44743</v>
      </c>
      <c r="Q205" s="2">
        <f t="shared" si="30"/>
        <v>1</v>
      </c>
      <c r="S205" s="7">
        <f t="shared" si="37"/>
        <v>1</v>
      </c>
      <c r="T205" s="157">
        <f t="shared" si="38"/>
        <v>1</v>
      </c>
      <c r="V205" s="191">
        <f t="shared" si="31"/>
        <v>6</v>
      </c>
      <c r="W205" s="7">
        <f t="shared" si="32"/>
        <v>2022</v>
      </c>
    </row>
    <row r="206" spans="1:23" ht="31.95" customHeight="1" thickBot="1" x14ac:dyDescent="0.35">
      <c r="A206" s="15">
        <f t="shared" si="33"/>
        <v>1</v>
      </c>
      <c r="B206" s="26">
        <v>44741</v>
      </c>
      <c r="C206" s="51">
        <f t="shared" si="39"/>
        <v>202</v>
      </c>
      <c r="D206" s="27" t="s">
        <v>726</v>
      </c>
      <c r="E206" s="26" t="s">
        <v>37</v>
      </c>
      <c r="F206" s="28" t="s">
        <v>11</v>
      </c>
      <c r="G206" s="28" t="s">
        <v>11</v>
      </c>
      <c r="H206" s="254"/>
      <c r="I206" s="49">
        <v>1</v>
      </c>
      <c r="J206" s="49">
        <v>1</v>
      </c>
      <c r="K206" s="52">
        <f t="shared" si="34"/>
        <v>1</v>
      </c>
      <c r="L206" s="209">
        <f t="shared" si="35"/>
        <v>0</v>
      </c>
      <c r="M206" s="210">
        <f t="shared" si="36"/>
        <v>0</v>
      </c>
      <c r="N206" s="26">
        <v>44742</v>
      </c>
      <c r="O206" s="26">
        <v>44742</v>
      </c>
      <c r="P206" s="26">
        <v>44742</v>
      </c>
      <c r="Q206" s="2">
        <f t="shared" si="30"/>
        <v>1</v>
      </c>
      <c r="S206" s="7">
        <f t="shared" si="37"/>
        <v>1</v>
      </c>
      <c r="T206" s="157">
        <f t="shared" si="38"/>
        <v>1</v>
      </c>
      <c r="V206" s="191">
        <f t="shared" si="31"/>
        <v>6</v>
      </c>
      <c r="W206" s="7">
        <f t="shared" si="32"/>
        <v>2022</v>
      </c>
    </row>
    <row r="207" spans="1:23" ht="31.95" customHeight="1" thickBot="1" x14ac:dyDescent="0.35">
      <c r="A207" s="15">
        <f t="shared" si="33"/>
        <v>3</v>
      </c>
      <c r="B207" s="26">
        <v>44742</v>
      </c>
      <c r="C207" s="51">
        <f t="shared" si="39"/>
        <v>203</v>
      </c>
      <c r="D207" s="27" t="s">
        <v>269</v>
      </c>
      <c r="E207" s="26" t="s">
        <v>11</v>
      </c>
      <c r="F207" s="28" t="s">
        <v>11</v>
      </c>
      <c r="G207" s="28" t="s">
        <v>11</v>
      </c>
      <c r="H207" s="254"/>
      <c r="I207" s="49">
        <v>3</v>
      </c>
      <c r="J207" s="49">
        <v>3</v>
      </c>
      <c r="K207" s="52">
        <f t="shared" si="34"/>
        <v>1</v>
      </c>
      <c r="L207" s="209">
        <f t="shared" si="35"/>
        <v>0</v>
      </c>
      <c r="M207" s="210">
        <f t="shared" si="36"/>
        <v>0</v>
      </c>
      <c r="N207" s="26">
        <v>44742</v>
      </c>
      <c r="O207" s="26">
        <v>44742</v>
      </c>
      <c r="P207" s="26">
        <v>44742</v>
      </c>
      <c r="Q207" s="2">
        <f t="shared" si="30"/>
        <v>1</v>
      </c>
      <c r="S207" s="7">
        <f t="shared" si="37"/>
        <v>1</v>
      </c>
      <c r="T207" s="157">
        <f t="shared" si="38"/>
        <v>1</v>
      </c>
      <c r="V207" s="191">
        <f t="shared" si="31"/>
        <v>6</v>
      </c>
      <c r="W207" s="7">
        <f t="shared" si="32"/>
        <v>2022</v>
      </c>
    </row>
    <row r="208" spans="1:23" ht="31.95" customHeight="1" thickBot="1" x14ac:dyDescent="0.35">
      <c r="A208" s="15">
        <f t="shared" si="33"/>
        <v>3</v>
      </c>
      <c r="B208" s="26">
        <v>44742</v>
      </c>
      <c r="C208" s="51">
        <f t="shared" si="39"/>
        <v>204</v>
      </c>
      <c r="D208" s="27" t="s">
        <v>427</v>
      </c>
      <c r="E208" s="26" t="s">
        <v>37</v>
      </c>
      <c r="F208" s="28" t="s">
        <v>11</v>
      </c>
      <c r="G208" s="28" t="s">
        <v>11</v>
      </c>
      <c r="H208" s="254"/>
      <c r="I208" s="49">
        <v>3</v>
      </c>
      <c r="J208" s="49">
        <v>3</v>
      </c>
      <c r="K208" s="52">
        <f t="shared" si="34"/>
        <v>1</v>
      </c>
      <c r="L208" s="209">
        <f t="shared" si="35"/>
        <v>0</v>
      </c>
      <c r="M208" s="210">
        <f t="shared" si="36"/>
        <v>0</v>
      </c>
      <c r="N208" s="26">
        <v>44756</v>
      </c>
      <c r="O208" s="26">
        <v>44756</v>
      </c>
      <c r="P208" s="26">
        <v>44756</v>
      </c>
      <c r="Q208" s="2">
        <f t="shared" si="30"/>
        <v>1</v>
      </c>
      <c r="S208" s="7">
        <f t="shared" si="37"/>
        <v>1</v>
      </c>
      <c r="T208" s="157">
        <f t="shared" si="38"/>
        <v>1</v>
      </c>
      <c r="V208" s="191">
        <f t="shared" si="31"/>
        <v>6</v>
      </c>
      <c r="W208" s="7">
        <f t="shared" si="32"/>
        <v>2022</v>
      </c>
    </row>
    <row r="209" spans="1:23" ht="31.95" customHeight="1" thickBot="1" x14ac:dyDescent="0.35">
      <c r="A209" s="15">
        <f t="shared" si="33"/>
        <v>1</v>
      </c>
      <c r="B209" s="26">
        <v>44742</v>
      </c>
      <c r="C209" s="51">
        <f t="shared" si="39"/>
        <v>205</v>
      </c>
      <c r="D209" s="27" t="s">
        <v>1079</v>
      </c>
      <c r="E209" s="26" t="s">
        <v>29</v>
      </c>
      <c r="F209" s="28" t="s">
        <v>11</v>
      </c>
      <c r="G209" s="28" t="s">
        <v>11</v>
      </c>
      <c r="H209" s="254"/>
      <c r="I209" s="49">
        <v>1</v>
      </c>
      <c r="J209" s="49">
        <v>1</v>
      </c>
      <c r="K209" s="52">
        <f t="shared" si="34"/>
        <v>1</v>
      </c>
      <c r="L209" s="209">
        <f t="shared" si="35"/>
        <v>0</v>
      </c>
      <c r="M209" s="210">
        <f t="shared" si="36"/>
        <v>0</v>
      </c>
      <c r="N209" s="26">
        <v>44743</v>
      </c>
      <c r="O209" s="26">
        <v>44743</v>
      </c>
      <c r="P209" s="26">
        <v>44743</v>
      </c>
      <c r="Q209" s="2">
        <f t="shared" si="30"/>
        <v>1</v>
      </c>
      <c r="S209" s="7">
        <f t="shared" si="37"/>
        <v>1</v>
      </c>
      <c r="T209" s="157">
        <f t="shared" si="38"/>
        <v>1</v>
      </c>
      <c r="V209" s="191">
        <f t="shared" si="31"/>
        <v>6</v>
      </c>
      <c r="W209" s="7">
        <f t="shared" si="32"/>
        <v>2022</v>
      </c>
    </row>
    <row r="210" spans="1:23" ht="31.95" customHeight="1" thickBot="1" x14ac:dyDescent="0.35">
      <c r="A210" s="15">
        <f t="shared" si="33"/>
        <v>9</v>
      </c>
      <c r="B210" s="26">
        <v>44743</v>
      </c>
      <c r="C210" s="51">
        <f t="shared" si="39"/>
        <v>206</v>
      </c>
      <c r="D210" s="27" t="s">
        <v>988</v>
      </c>
      <c r="E210" s="26" t="s">
        <v>38</v>
      </c>
      <c r="F210" s="28" t="s">
        <v>11</v>
      </c>
      <c r="G210" s="28" t="s">
        <v>11</v>
      </c>
      <c r="H210" s="254"/>
      <c r="I210" s="49">
        <v>9</v>
      </c>
      <c r="J210" s="49">
        <v>9</v>
      </c>
      <c r="K210" s="52">
        <f t="shared" si="34"/>
        <v>1</v>
      </c>
      <c r="L210" s="209">
        <f t="shared" si="35"/>
        <v>0</v>
      </c>
      <c r="M210" s="210">
        <f t="shared" si="36"/>
        <v>0</v>
      </c>
      <c r="N210" s="26">
        <v>44771</v>
      </c>
      <c r="O210" s="26">
        <v>44771</v>
      </c>
      <c r="P210" s="26">
        <v>44771</v>
      </c>
      <c r="Q210" s="2">
        <f t="shared" si="30"/>
        <v>1</v>
      </c>
      <c r="S210" s="7">
        <f t="shared" si="37"/>
        <v>1</v>
      </c>
      <c r="T210" s="157">
        <f t="shared" si="38"/>
        <v>1</v>
      </c>
      <c r="V210" s="191">
        <f t="shared" si="31"/>
        <v>7</v>
      </c>
      <c r="W210" s="7">
        <f t="shared" si="32"/>
        <v>2022</v>
      </c>
    </row>
    <row r="211" spans="1:23" ht="31.95" customHeight="1" thickBot="1" x14ac:dyDescent="0.35">
      <c r="A211" s="15">
        <f t="shared" si="33"/>
        <v>6</v>
      </c>
      <c r="B211" s="26">
        <v>44743</v>
      </c>
      <c r="C211" s="51">
        <f t="shared" si="39"/>
        <v>207</v>
      </c>
      <c r="D211" s="27" t="s">
        <v>1150</v>
      </c>
      <c r="E211" s="26" t="s">
        <v>38</v>
      </c>
      <c r="F211" s="28" t="s">
        <v>11</v>
      </c>
      <c r="G211" s="28" t="s">
        <v>11</v>
      </c>
      <c r="H211" s="254"/>
      <c r="I211" s="49">
        <v>6</v>
      </c>
      <c r="J211" s="49">
        <v>6</v>
      </c>
      <c r="K211" s="52">
        <f t="shared" si="34"/>
        <v>1</v>
      </c>
      <c r="L211" s="209">
        <f t="shared" si="35"/>
        <v>0</v>
      </c>
      <c r="M211" s="210">
        <f t="shared" si="36"/>
        <v>0</v>
      </c>
      <c r="N211" s="26">
        <v>44744</v>
      </c>
      <c r="O211" s="26">
        <v>44744</v>
      </c>
      <c r="P211" s="26">
        <v>44744</v>
      </c>
      <c r="Q211" s="2">
        <f t="shared" si="30"/>
        <v>1</v>
      </c>
      <c r="S211" s="7">
        <f t="shared" si="37"/>
        <v>1</v>
      </c>
      <c r="T211" s="157">
        <f t="shared" si="38"/>
        <v>1</v>
      </c>
      <c r="V211" s="191">
        <f t="shared" si="31"/>
        <v>7</v>
      </c>
      <c r="W211" s="7">
        <f t="shared" si="32"/>
        <v>2022</v>
      </c>
    </row>
    <row r="212" spans="1:23" ht="31.95" customHeight="1" thickBot="1" x14ac:dyDescent="0.35">
      <c r="A212" s="15">
        <f t="shared" si="33"/>
        <v>1</v>
      </c>
      <c r="B212" s="26">
        <v>44746</v>
      </c>
      <c r="C212" s="51">
        <f t="shared" si="39"/>
        <v>208</v>
      </c>
      <c r="D212" s="27" t="s">
        <v>1014</v>
      </c>
      <c r="E212" s="26" t="s">
        <v>1296</v>
      </c>
      <c r="F212" s="28" t="s">
        <v>11</v>
      </c>
      <c r="G212" s="28" t="s">
        <v>11</v>
      </c>
      <c r="H212" s="254"/>
      <c r="I212" s="49">
        <v>1</v>
      </c>
      <c r="J212" s="49">
        <v>1</v>
      </c>
      <c r="K212" s="52">
        <f t="shared" si="34"/>
        <v>1</v>
      </c>
      <c r="L212" s="209">
        <f t="shared" si="35"/>
        <v>0</v>
      </c>
      <c r="M212" s="210">
        <f t="shared" si="36"/>
        <v>0</v>
      </c>
      <c r="N212" s="26">
        <v>44747</v>
      </c>
      <c r="O212" s="26">
        <v>44747</v>
      </c>
      <c r="P212" s="26">
        <v>44747</v>
      </c>
      <c r="Q212" s="2">
        <f t="shared" si="30"/>
        <v>1</v>
      </c>
      <c r="S212" s="7">
        <f t="shared" si="37"/>
        <v>1</v>
      </c>
      <c r="T212" s="157">
        <f t="shared" si="38"/>
        <v>1</v>
      </c>
      <c r="V212" s="191">
        <f t="shared" si="31"/>
        <v>7</v>
      </c>
      <c r="W212" s="7">
        <f t="shared" si="32"/>
        <v>2022</v>
      </c>
    </row>
    <row r="213" spans="1:23" ht="31.95" customHeight="1" thickBot="1" x14ac:dyDescent="0.35">
      <c r="A213" s="15">
        <f t="shared" si="33"/>
        <v>3</v>
      </c>
      <c r="B213" s="26">
        <v>44746</v>
      </c>
      <c r="C213" s="51">
        <f t="shared" si="39"/>
        <v>209</v>
      </c>
      <c r="D213" s="27" t="s">
        <v>511</v>
      </c>
      <c r="E213" s="26" t="s">
        <v>11</v>
      </c>
      <c r="F213" s="28" t="s">
        <v>11</v>
      </c>
      <c r="G213" s="28" t="s">
        <v>11</v>
      </c>
      <c r="H213" s="254"/>
      <c r="I213" s="49">
        <v>3</v>
      </c>
      <c r="J213" s="49">
        <v>3</v>
      </c>
      <c r="K213" s="52">
        <f t="shared" si="34"/>
        <v>1</v>
      </c>
      <c r="L213" s="209">
        <f t="shared" si="35"/>
        <v>0</v>
      </c>
      <c r="M213" s="210">
        <f t="shared" si="36"/>
        <v>0</v>
      </c>
      <c r="N213" s="26">
        <v>44746</v>
      </c>
      <c r="O213" s="26">
        <v>44746</v>
      </c>
      <c r="P213" s="26">
        <v>44746</v>
      </c>
      <c r="Q213" s="2">
        <f t="shared" si="30"/>
        <v>1</v>
      </c>
      <c r="S213" s="7">
        <f t="shared" si="37"/>
        <v>1</v>
      </c>
      <c r="T213" s="157">
        <f t="shared" si="38"/>
        <v>1</v>
      </c>
      <c r="V213" s="191">
        <f t="shared" si="31"/>
        <v>7</v>
      </c>
      <c r="W213" s="7">
        <f t="shared" si="32"/>
        <v>2022</v>
      </c>
    </row>
    <row r="214" spans="1:23" ht="31.95" customHeight="1" thickBot="1" x14ac:dyDescent="0.35">
      <c r="A214" s="15">
        <f t="shared" si="33"/>
        <v>1</v>
      </c>
      <c r="B214" s="26">
        <v>44748</v>
      </c>
      <c r="C214" s="51">
        <f t="shared" si="39"/>
        <v>210</v>
      </c>
      <c r="D214" s="27" t="s">
        <v>575</v>
      </c>
      <c r="E214" s="26" t="s">
        <v>55</v>
      </c>
      <c r="F214" s="28" t="s">
        <v>11</v>
      </c>
      <c r="G214" s="28" t="s">
        <v>11</v>
      </c>
      <c r="H214" s="254"/>
      <c r="I214" s="49">
        <v>1</v>
      </c>
      <c r="J214" s="49">
        <v>1</v>
      </c>
      <c r="K214" s="52">
        <f t="shared" si="34"/>
        <v>1</v>
      </c>
      <c r="L214" s="209">
        <f t="shared" si="35"/>
        <v>0</v>
      </c>
      <c r="M214" s="210">
        <f t="shared" si="36"/>
        <v>0</v>
      </c>
      <c r="N214" s="26">
        <v>44748</v>
      </c>
      <c r="O214" s="26">
        <v>44748</v>
      </c>
      <c r="P214" s="26">
        <v>44748</v>
      </c>
      <c r="Q214" s="2">
        <f t="shared" si="30"/>
        <v>1</v>
      </c>
      <c r="S214" s="7">
        <f t="shared" si="37"/>
        <v>1</v>
      </c>
      <c r="T214" s="157">
        <f t="shared" si="38"/>
        <v>1</v>
      </c>
      <c r="V214" s="191">
        <f t="shared" si="31"/>
        <v>7</v>
      </c>
      <c r="W214" s="7">
        <f t="shared" si="32"/>
        <v>2022</v>
      </c>
    </row>
    <row r="215" spans="1:23" ht="31.95" customHeight="1" thickBot="1" x14ac:dyDescent="0.35">
      <c r="A215" s="15">
        <f t="shared" si="33"/>
        <v>3</v>
      </c>
      <c r="B215" s="26">
        <v>44748</v>
      </c>
      <c r="C215" s="51">
        <f t="shared" si="39"/>
        <v>211</v>
      </c>
      <c r="D215" s="27" t="s">
        <v>524</v>
      </c>
      <c r="E215" s="26" t="s">
        <v>20</v>
      </c>
      <c r="F215" s="28" t="s">
        <v>11</v>
      </c>
      <c r="G215" s="28" t="s">
        <v>11</v>
      </c>
      <c r="H215" s="254"/>
      <c r="I215" s="49">
        <v>3</v>
      </c>
      <c r="J215" s="49">
        <v>3</v>
      </c>
      <c r="K215" s="52">
        <f t="shared" si="34"/>
        <v>1</v>
      </c>
      <c r="L215" s="209">
        <f t="shared" si="35"/>
        <v>0</v>
      </c>
      <c r="M215" s="210">
        <f t="shared" si="36"/>
        <v>0</v>
      </c>
      <c r="N215" s="26">
        <v>44748</v>
      </c>
      <c r="O215" s="26">
        <v>44748</v>
      </c>
      <c r="P215" s="26">
        <v>44748</v>
      </c>
      <c r="Q215" s="2">
        <f t="shared" si="30"/>
        <v>1</v>
      </c>
      <c r="S215" s="7">
        <f t="shared" si="37"/>
        <v>1</v>
      </c>
      <c r="T215" s="157">
        <f t="shared" si="38"/>
        <v>1</v>
      </c>
      <c r="V215" s="191">
        <f t="shared" si="31"/>
        <v>7</v>
      </c>
      <c r="W215" s="7">
        <f t="shared" si="32"/>
        <v>2022</v>
      </c>
    </row>
    <row r="216" spans="1:23" ht="31.95" customHeight="1" thickBot="1" x14ac:dyDescent="0.35">
      <c r="A216" s="15">
        <f t="shared" si="33"/>
        <v>1</v>
      </c>
      <c r="B216" s="26">
        <v>44748</v>
      </c>
      <c r="C216" s="51">
        <f t="shared" si="39"/>
        <v>212</v>
      </c>
      <c r="D216" s="27" t="s">
        <v>524</v>
      </c>
      <c r="E216" s="26" t="s">
        <v>25</v>
      </c>
      <c r="F216" s="28" t="s">
        <v>11</v>
      </c>
      <c r="G216" s="28" t="s">
        <v>11</v>
      </c>
      <c r="H216" s="254"/>
      <c r="I216" s="49">
        <v>1</v>
      </c>
      <c r="J216" s="49">
        <v>1</v>
      </c>
      <c r="K216" s="52">
        <f t="shared" si="34"/>
        <v>1</v>
      </c>
      <c r="L216" s="209">
        <f t="shared" si="35"/>
        <v>0</v>
      </c>
      <c r="M216" s="210">
        <f t="shared" si="36"/>
        <v>0</v>
      </c>
      <c r="N216" s="26">
        <v>44748</v>
      </c>
      <c r="O216" s="26">
        <v>44748</v>
      </c>
      <c r="P216" s="26">
        <v>44748</v>
      </c>
      <c r="Q216" s="2">
        <f t="shared" si="30"/>
        <v>1</v>
      </c>
      <c r="S216" s="7">
        <f t="shared" si="37"/>
        <v>1</v>
      </c>
      <c r="T216" s="157">
        <f t="shared" si="38"/>
        <v>1</v>
      </c>
      <c r="V216" s="191">
        <f t="shared" si="31"/>
        <v>7</v>
      </c>
      <c r="W216" s="7">
        <f t="shared" si="32"/>
        <v>2022</v>
      </c>
    </row>
    <row r="217" spans="1:23" ht="31.95" customHeight="1" thickBot="1" x14ac:dyDescent="0.35">
      <c r="A217" s="15">
        <f t="shared" si="33"/>
        <v>1</v>
      </c>
      <c r="B217" s="26">
        <v>44748</v>
      </c>
      <c r="C217" s="51">
        <f t="shared" si="39"/>
        <v>213</v>
      </c>
      <c r="D217" s="27" t="s">
        <v>624</v>
      </c>
      <c r="E217" s="26" t="s">
        <v>55</v>
      </c>
      <c r="F217" s="28" t="s">
        <v>11</v>
      </c>
      <c r="G217" s="28" t="s">
        <v>11</v>
      </c>
      <c r="H217" s="254"/>
      <c r="I217" s="49">
        <v>1</v>
      </c>
      <c r="J217" s="49">
        <v>1</v>
      </c>
      <c r="K217" s="52">
        <f t="shared" si="34"/>
        <v>1</v>
      </c>
      <c r="L217" s="209">
        <f t="shared" si="35"/>
        <v>0</v>
      </c>
      <c r="M217" s="210">
        <f t="shared" si="36"/>
        <v>0</v>
      </c>
      <c r="N217" s="26">
        <v>44749</v>
      </c>
      <c r="O217" s="26">
        <v>44749</v>
      </c>
      <c r="P217" s="26">
        <v>44749</v>
      </c>
      <c r="Q217" s="2">
        <f t="shared" si="30"/>
        <v>1</v>
      </c>
      <c r="S217" s="7">
        <f t="shared" si="37"/>
        <v>1</v>
      </c>
      <c r="T217" s="157">
        <f t="shared" si="38"/>
        <v>1</v>
      </c>
      <c r="V217" s="191">
        <f t="shared" si="31"/>
        <v>7</v>
      </c>
      <c r="W217" s="7">
        <f t="shared" si="32"/>
        <v>2022</v>
      </c>
    </row>
    <row r="218" spans="1:23" ht="31.95" customHeight="1" thickBot="1" x14ac:dyDescent="0.35">
      <c r="A218" s="15">
        <f t="shared" si="33"/>
        <v>1</v>
      </c>
      <c r="B218" s="26">
        <v>44749</v>
      </c>
      <c r="C218" s="51">
        <f t="shared" si="39"/>
        <v>214</v>
      </c>
      <c r="D218" s="27" t="s">
        <v>778</v>
      </c>
      <c r="E218" s="26" t="s">
        <v>55</v>
      </c>
      <c r="F218" s="28" t="s">
        <v>11</v>
      </c>
      <c r="G218" s="28" t="s">
        <v>11</v>
      </c>
      <c r="H218" s="254"/>
      <c r="I218" s="49">
        <v>1</v>
      </c>
      <c r="J218" s="49">
        <v>1</v>
      </c>
      <c r="K218" s="52">
        <f t="shared" si="34"/>
        <v>1</v>
      </c>
      <c r="L218" s="209">
        <f t="shared" si="35"/>
        <v>0</v>
      </c>
      <c r="M218" s="210">
        <f t="shared" si="36"/>
        <v>0</v>
      </c>
      <c r="N218" s="26">
        <v>44749</v>
      </c>
      <c r="O218" s="26">
        <v>44749</v>
      </c>
      <c r="P218" s="26">
        <v>44749</v>
      </c>
      <c r="Q218" s="2">
        <f t="shared" si="30"/>
        <v>1</v>
      </c>
      <c r="S218" s="7">
        <f t="shared" si="37"/>
        <v>1</v>
      </c>
      <c r="T218" s="157">
        <f t="shared" si="38"/>
        <v>1</v>
      </c>
      <c r="V218" s="191">
        <f t="shared" si="31"/>
        <v>7</v>
      </c>
      <c r="W218" s="7">
        <f t="shared" si="32"/>
        <v>2022</v>
      </c>
    </row>
    <row r="219" spans="1:23" ht="31.95" customHeight="1" thickBot="1" x14ac:dyDescent="0.35">
      <c r="A219" s="15">
        <f t="shared" si="33"/>
        <v>6</v>
      </c>
      <c r="B219" s="26">
        <v>44749</v>
      </c>
      <c r="C219" s="51">
        <f t="shared" si="39"/>
        <v>215</v>
      </c>
      <c r="D219" s="27" t="s">
        <v>524</v>
      </c>
      <c r="E219" s="26" t="s">
        <v>25</v>
      </c>
      <c r="F219" s="28" t="s">
        <v>11</v>
      </c>
      <c r="G219" s="28" t="s">
        <v>11</v>
      </c>
      <c r="H219" s="254"/>
      <c r="I219" s="49">
        <v>6</v>
      </c>
      <c r="J219" s="49">
        <v>6</v>
      </c>
      <c r="K219" s="52">
        <f t="shared" si="34"/>
        <v>1</v>
      </c>
      <c r="L219" s="209">
        <f t="shared" si="35"/>
        <v>0</v>
      </c>
      <c r="M219" s="210">
        <f t="shared" si="36"/>
        <v>0</v>
      </c>
      <c r="N219" s="26">
        <v>44756</v>
      </c>
      <c r="O219" s="26">
        <v>44756</v>
      </c>
      <c r="P219" s="26">
        <v>44756</v>
      </c>
      <c r="Q219" s="2">
        <f t="shared" si="30"/>
        <v>1</v>
      </c>
      <c r="S219" s="7">
        <f t="shared" si="37"/>
        <v>1</v>
      </c>
      <c r="T219" s="157">
        <f t="shared" si="38"/>
        <v>1</v>
      </c>
      <c r="V219" s="191">
        <f t="shared" si="31"/>
        <v>7</v>
      </c>
      <c r="W219" s="7">
        <f t="shared" si="32"/>
        <v>2022</v>
      </c>
    </row>
    <row r="220" spans="1:23" ht="31.95" customHeight="1" thickBot="1" x14ac:dyDescent="0.35">
      <c r="A220" s="15">
        <f t="shared" si="33"/>
        <v>2</v>
      </c>
      <c r="B220" s="26">
        <v>44749</v>
      </c>
      <c r="C220" s="51">
        <f t="shared" si="39"/>
        <v>216</v>
      </c>
      <c r="D220" s="27" t="s">
        <v>890</v>
      </c>
      <c r="E220" s="26" t="s">
        <v>25</v>
      </c>
      <c r="F220" s="28" t="s">
        <v>11</v>
      </c>
      <c r="G220" s="28" t="s">
        <v>11</v>
      </c>
      <c r="H220" s="254"/>
      <c r="I220" s="49">
        <v>2</v>
      </c>
      <c r="J220" s="49">
        <v>2</v>
      </c>
      <c r="K220" s="52">
        <f t="shared" si="34"/>
        <v>1</v>
      </c>
      <c r="L220" s="209">
        <f t="shared" si="35"/>
        <v>0</v>
      </c>
      <c r="M220" s="210">
        <f t="shared" si="36"/>
        <v>0</v>
      </c>
      <c r="N220" s="26">
        <v>44756</v>
      </c>
      <c r="O220" s="26">
        <v>44756</v>
      </c>
      <c r="P220" s="26">
        <v>44756</v>
      </c>
      <c r="Q220" s="2">
        <f t="shared" si="30"/>
        <v>1</v>
      </c>
      <c r="S220" s="7">
        <f t="shared" si="37"/>
        <v>1</v>
      </c>
      <c r="T220" s="157">
        <f t="shared" si="38"/>
        <v>1</v>
      </c>
      <c r="V220" s="191">
        <f t="shared" si="31"/>
        <v>7</v>
      </c>
      <c r="W220" s="7">
        <f t="shared" si="32"/>
        <v>2022</v>
      </c>
    </row>
    <row r="221" spans="1:23" ht="31.95" customHeight="1" thickBot="1" x14ac:dyDescent="0.35">
      <c r="A221" s="15">
        <f t="shared" si="33"/>
        <v>2</v>
      </c>
      <c r="B221" s="26">
        <v>44749</v>
      </c>
      <c r="C221" s="51">
        <f t="shared" si="39"/>
        <v>217</v>
      </c>
      <c r="D221" s="27" t="s">
        <v>807</v>
      </c>
      <c r="E221" s="26" t="s">
        <v>25</v>
      </c>
      <c r="F221" s="28" t="s">
        <v>11</v>
      </c>
      <c r="G221" s="28" t="s">
        <v>11</v>
      </c>
      <c r="H221" s="254"/>
      <c r="I221" s="49">
        <v>2</v>
      </c>
      <c r="J221" s="49">
        <v>2</v>
      </c>
      <c r="K221" s="52">
        <f t="shared" si="34"/>
        <v>1</v>
      </c>
      <c r="L221" s="209">
        <f t="shared" si="35"/>
        <v>0</v>
      </c>
      <c r="M221" s="210">
        <f t="shared" si="36"/>
        <v>0</v>
      </c>
      <c r="N221" s="26">
        <v>44757</v>
      </c>
      <c r="O221" s="26">
        <v>44757</v>
      </c>
      <c r="P221" s="26">
        <v>44757</v>
      </c>
      <c r="Q221" s="2">
        <f t="shared" si="30"/>
        <v>1</v>
      </c>
      <c r="S221" s="7">
        <f t="shared" si="37"/>
        <v>1</v>
      </c>
      <c r="T221" s="157">
        <f t="shared" si="38"/>
        <v>1</v>
      </c>
      <c r="V221" s="191">
        <f t="shared" si="31"/>
        <v>7</v>
      </c>
      <c r="W221" s="7">
        <f t="shared" si="32"/>
        <v>2022</v>
      </c>
    </row>
    <row r="222" spans="1:23" ht="31.95" customHeight="1" thickBot="1" x14ac:dyDescent="0.35">
      <c r="A222" s="15">
        <f t="shared" si="33"/>
        <v>1</v>
      </c>
      <c r="B222" s="26">
        <v>44753</v>
      </c>
      <c r="C222" s="51">
        <f t="shared" si="39"/>
        <v>218</v>
      </c>
      <c r="D222" s="27" t="s">
        <v>1021</v>
      </c>
      <c r="E222" s="26" t="s">
        <v>11</v>
      </c>
      <c r="F222" s="28" t="s">
        <v>11</v>
      </c>
      <c r="G222" s="28" t="s">
        <v>11</v>
      </c>
      <c r="H222" s="254"/>
      <c r="I222" s="49">
        <v>1</v>
      </c>
      <c r="J222" s="49">
        <v>1</v>
      </c>
      <c r="K222" s="52">
        <f t="shared" si="34"/>
        <v>1</v>
      </c>
      <c r="L222" s="209">
        <f t="shared" si="35"/>
        <v>0</v>
      </c>
      <c r="M222" s="210">
        <f t="shared" si="36"/>
        <v>0</v>
      </c>
      <c r="N222" s="26">
        <v>44753</v>
      </c>
      <c r="O222" s="26">
        <v>44753</v>
      </c>
      <c r="P222" s="26">
        <v>44753</v>
      </c>
      <c r="Q222" s="2">
        <f t="shared" si="30"/>
        <v>1</v>
      </c>
      <c r="S222" s="7">
        <f t="shared" si="37"/>
        <v>1</v>
      </c>
      <c r="T222" s="157">
        <f t="shared" si="38"/>
        <v>1</v>
      </c>
      <c r="V222" s="191">
        <f t="shared" si="31"/>
        <v>7</v>
      </c>
      <c r="W222" s="7">
        <f t="shared" si="32"/>
        <v>2022</v>
      </c>
    </row>
    <row r="223" spans="1:23" ht="31.95" customHeight="1" thickBot="1" x14ac:dyDescent="0.35">
      <c r="A223" s="15">
        <f t="shared" si="33"/>
        <v>4</v>
      </c>
      <c r="B223" s="26">
        <v>44754</v>
      </c>
      <c r="C223" s="51">
        <f t="shared" si="39"/>
        <v>219</v>
      </c>
      <c r="D223" s="27" t="s">
        <v>890</v>
      </c>
      <c r="E223" s="26" t="s">
        <v>39</v>
      </c>
      <c r="F223" s="28" t="s">
        <v>11</v>
      </c>
      <c r="G223" s="28" t="s">
        <v>11</v>
      </c>
      <c r="H223" s="254"/>
      <c r="I223" s="49">
        <v>4</v>
      </c>
      <c r="J223" s="49">
        <v>4</v>
      </c>
      <c r="K223" s="52">
        <f t="shared" si="34"/>
        <v>1</v>
      </c>
      <c r="L223" s="209">
        <f t="shared" si="35"/>
        <v>0</v>
      </c>
      <c r="M223" s="210">
        <f t="shared" si="36"/>
        <v>0</v>
      </c>
      <c r="N223" s="26">
        <v>44768</v>
      </c>
      <c r="O223" s="26">
        <v>44768</v>
      </c>
      <c r="P223" s="26">
        <v>44768</v>
      </c>
      <c r="Q223" s="2">
        <f t="shared" si="30"/>
        <v>1</v>
      </c>
      <c r="S223" s="7">
        <f t="shared" si="37"/>
        <v>1</v>
      </c>
      <c r="T223" s="157">
        <f t="shared" si="38"/>
        <v>1</v>
      </c>
      <c r="V223" s="191">
        <f t="shared" si="31"/>
        <v>7</v>
      </c>
      <c r="W223" s="7">
        <f t="shared" si="32"/>
        <v>2022</v>
      </c>
    </row>
    <row r="224" spans="1:23" ht="31.95" customHeight="1" thickBot="1" x14ac:dyDescent="0.35">
      <c r="A224" s="15">
        <f t="shared" si="33"/>
        <v>8</v>
      </c>
      <c r="B224" s="26">
        <v>44754</v>
      </c>
      <c r="C224" s="51">
        <f t="shared" si="39"/>
        <v>220</v>
      </c>
      <c r="D224" s="27" t="s">
        <v>871</v>
      </c>
      <c r="E224" s="26" t="s">
        <v>39</v>
      </c>
      <c r="F224" s="28" t="s">
        <v>11</v>
      </c>
      <c r="G224" s="28" t="s">
        <v>11</v>
      </c>
      <c r="H224" s="254"/>
      <c r="I224" s="49">
        <v>8</v>
      </c>
      <c r="J224" s="49">
        <v>8</v>
      </c>
      <c r="K224" s="52">
        <f t="shared" si="34"/>
        <v>1</v>
      </c>
      <c r="L224" s="209">
        <f t="shared" si="35"/>
        <v>0</v>
      </c>
      <c r="M224" s="210">
        <f t="shared" si="36"/>
        <v>0</v>
      </c>
      <c r="N224" s="26">
        <v>44756</v>
      </c>
      <c r="O224" s="26">
        <v>44756</v>
      </c>
      <c r="P224" s="26">
        <v>44756</v>
      </c>
      <c r="Q224" s="2">
        <f t="shared" si="30"/>
        <v>1</v>
      </c>
      <c r="S224" s="7">
        <f t="shared" si="37"/>
        <v>1</v>
      </c>
      <c r="T224" s="157">
        <f t="shared" si="38"/>
        <v>1</v>
      </c>
      <c r="V224" s="191">
        <f t="shared" si="31"/>
        <v>7</v>
      </c>
      <c r="W224" s="7">
        <f t="shared" si="32"/>
        <v>2022</v>
      </c>
    </row>
    <row r="225" spans="1:23" ht="31.95" customHeight="1" thickBot="1" x14ac:dyDescent="0.35">
      <c r="A225" s="15">
        <f t="shared" si="33"/>
        <v>1</v>
      </c>
      <c r="B225" s="26">
        <v>44754</v>
      </c>
      <c r="C225" s="51">
        <f t="shared" si="39"/>
        <v>221</v>
      </c>
      <c r="D225" s="27" t="s">
        <v>602</v>
      </c>
      <c r="E225" s="26" t="s">
        <v>39</v>
      </c>
      <c r="F225" s="28" t="s">
        <v>11</v>
      </c>
      <c r="G225" s="28" t="s">
        <v>11</v>
      </c>
      <c r="H225" s="254"/>
      <c r="I225" s="49">
        <v>1</v>
      </c>
      <c r="J225" s="49">
        <v>1</v>
      </c>
      <c r="K225" s="52">
        <f t="shared" si="34"/>
        <v>1</v>
      </c>
      <c r="L225" s="209">
        <f t="shared" si="35"/>
        <v>0</v>
      </c>
      <c r="M225" s="210">
        <f t="shared" si="36"/>
        <v>0</v>
      </c>
      <c r="N225" s="26">
        <v>44756</v>
      </c>
      <c r="O225" s="26">
        <v>44756</v>
      </c>
      <c r="P225" s="26">
        <v>44756</v>
      </c>
      <c r="Q225" s="2">
        <f t="shared" si="30"/>
        <v>1</v>
      </c>
      <c r="S225" s="7">
        <f t="shared" si="37"/>
        <v>1</v>
      </c>
      <c r="T225" s="157">
        <f t="shared" si="38"/>
        <v>1</v>
      </c>
      <c r="V225" s="191">
        <f t="shared" si="31"/>
        <v>7</v>
      </c>
      <c r="W225" s="7">
        <f t="shared" si="32"/>
        <v>2022</v>
      </c>
    </row>
    <row r="226" spans="1:23" ht="31.95" customHeight="1" thickBot="1" x14ac:dyDescent="0.35">
      <c r="A226" s="15">
        <f t="shared" si="33"/>
        <v>1</v>
      </c>
      <c r="B226" s="26">
        <v>44754</v>
      </c>
      <c r="C226" s="51">
        <f t="shared" si="39"/>
        <v>222</v>
      </c>
      <c r="D226" s="27" t="s">
        <v>890</v>
      </c>
      <c r="E226" s="26" t="s">
        <v>37</v>
      </c>
      <c r="F226" s="28" t="s">
        <v>11</v>
      </c>
      <c r="G226" s="28" t="s">
        <v>11</v>
      </c>
      <c r="H226" s="254"/>
      <c r="I226" s="49">
        <v>1</v>
      </c>
      <c r="J226" s="49">
        <v>1</v>
      </c>
      <c r="K226" s="52">
        <f t="shared" si="34"/>
        <v>1</v>
      </c>
      <c r="L226" s="209">
        <f t="shared" si="35"/>
        <v>0</v>
      </c>
      <c r="M226" s="210">
        <f t="shared" si="36"/>
        <v>0</v>
      </c>
      <c r="N226" s="26">
        <v>44763</v>
      </c>
      <c r="O226" s="26">
        <v>44763</v>
      </c>
      <c r="P226" s="26">
        <v>44763</v>
      </c>
      <c r="Q226" s="2">
        <f t="shared" si="30"/>
        <v>1</v>
      </c>
      <c r="S226" s="7">
        <f t="shared" si="37"/>
        <v>1</v>
      </c>
      <c r="T226" s="157">
        <f t="shared" si="38"/>
        <v>1</v>
      </c>
      <c r="V226" s="191">
        <f t="shared" si="31"/>
        <v>7</v>
      </c>
      <c r="W226" s="7">
        <f t="shared" si="32"/>
        <v>2022</v>
      </c>
    </row>
    <row r="227" spans="1:23" ht="31.95" customHeight="1" thickBot="1" x14ac:dyDescent="0.35">
      <c r="A227" s="15">
        <f t="shared" si="33"/>
        <v>13</v>
      </c>
      <c r="B227" s="26">
        <v>44754</v>
      </c>
      <c r="C227" s="51">
        <f t="shared" si="39"/>
        <v>223</v>
      </c>
      <c r="D227" s="27" t="s">
        <v>524</v>
      </c>
      <c r="E227" s="26" t="s">
        <v>39</v>
      </c>
      <c r="F227" s="28" t="s">
        <v>11</v>
      </c>
      <c r="G227" s="28" t="s">
        <v>11</v>
      </c>
      <c r="H227" s="254"/>
      <c r="I227" s="49">
        <v>13</v>
      </c>
      <c r="J227" s="49">
        <v>13</v>
      </c>
      <c r="K227" s="52">
        <f t="shared" si="34"/>
        <v>1</v>
      </c>
      <c r="L227" s="209">
        <f t="shared" si="35"/>
        <v>0</v>
      </c>
      <c r="M227" s="210">
        <f t="shared" si="36"/>
        <v>0</v>
      </c>
      <c r="N227" s="26">
        <v>44757</v>
      </c>
      <c r="O227" s="26">
        <v>44757</v>
      </c>
      <c r="P227" s="26">
        <v>44757</v>
      </c>
      <c r="Q227" s="2">
        <f t="shared" si="30"/>
        <v>1</v>
      </c>
      <c r="S227" s="7">
        <f t="shared" si="37"/>
        <v>1</v>
      </c>
      <c r="T227" s="157">
        <f t="shared" si="38"/>
        <v>1</v>
      </c>
      <c r="V227" s="191">
        <f t="shared" si="31"/>
        <v>7</v>
      </c>
      <c r="W227" s="7">
        <f t="shared" si="32"/>
        <v>2022</v>
      </c>
    </row>
    <row r="228" spans="1:23" ht="31.95" customHeight="1" thickBot="1" x14ac:dyDescent="0.35">
      <c r="A228" s="15">
        <f t="shared" si="33"/>
        <v>1</v>
      </c>
      <c r="B228" s="26">
        <v>44754</v>
      </c>
      <c r="C228" s="51">
        <f t="shared" si="39"/>
        <v>224</v>
      </c>
      <c r="D228" s="27" t="s">
        <v>1049</v>
      </c>
      <c r="E228" s="26" t="s">
        <v>55</v>
      </c>
      <c r="F228" s="28" t="s">
        <v>11</v>
      </c>
      <c r="G228" s="28" t="s">
        <v>11</v>
      </c>
      <c r="H228" s="254"/>
      <c r="I228" s="49">
        <v>1</v>
      </c>
      <c r="J228" s="49">
        <v>1</v>
      </c>
      <c r="K228" s="52">
        <f t="shared" si="34"/>
        <v>1</v>
      </c>
      <c r="L228" s="209">
        <f t="shared" si="35"/>
        <v>0</v>
      </c>
      <c r="M228" s="210">
        <f t="shared" si="36"/>
        <v>0</v>
      </c>
      <c r="N228" s="26">
        <v>44755</v>
      </c>
      <c r="O228" s="26">
        <v>44755</v>
      </c>
      <c r="P228" s="26">
        <v>44755</v>
      </c>
      <c r="Q228" s="2">
        <f t="shared" si="30"/>
        <v>1</v>
      </c>
      <c r="S228" s="7">
        <f t="shared" si="37"/>
        <v>1</v>
      </c>
      <c r="T228" s="157">
        <f t="shared" si="38"/>
        <v>1</v>
      </c>
      <c r="V228" s="191">
        <f t="shared" si="31"/>
        <v>7</v>
      </c>
      <c r="W228" s="7">
        <f t="shared" si="32"/>
        <v>2022</v>
      </c>
    </row>
    <row r="229" spans="1:23" ht="31.95" customHeight="1" thickBot="1" x14ac:dyDescent="0.35">
      <c r="A229" s="15">
        <f t="shared" si="33"/>
        <v>2</v>
      </c>
      <c r="B229" s="26">
        <v>44754</v>
      </c>
      <c r="C229" s="51">
        <f t="shared" si="39"/>
        <v>225</v>
      </c>
      <c r="D229" s="27" t="s">
        <v>511</v>
      </c>
      <c r="E229" s="26" t="s">
        <v>11</v>
      </c>
      <c r="F229" s="28" t="s">
        <v>11</v>
      </c>
      <c r="G229" s="28" t="s">
        <v>11</v>
      </c>
      <c r="H229" s="254"/>
      <c r="I229" s="49">
        <v>2</v>
      </c>
      <c r="J229" s="49">
        <v>2</v>
      </c>
      <c r="K229" s="52">
        <f t="shared" si="34"/>
        <v>1</v>
      </c>
      <c r="L229" s="209">
        <f t="shared" si="35"/>
        <v>0</v>
      </c>
      <c r="M229" s="210">
        <f t="shared" si="36"/>
        <v>0</v>
      </c>
      <c r="N229" s="26">
        <v>44755</v>
      </c>
      <c r="O229" s="26">
        <v>44755</v>
      </c>
      <c r="P229" s="26">
        <v>44755</v>
      </c>
      <c r="Q229" s="2">
        <f t="shared" si="30"/>
        <v>1</v>
      </c>
      <c r="S229" s="7">
        <f t="shared" si="37"/>
        <v>1</v>
      </c>
      <c r="T229" s="157">
        <f t="shared" si="38"/>
        <v>1</v>
      </c>
      <c r="V229" s="191">
        <f t="shared" si="31"/>
        <v>7</v>
      </c>
      <c r="W229" s="7">
        <f t="shared" si="32"/>
        <v>2022</v>
      </c>
    </row>
    <row r="230" spans="1:23" ht="31.95" customHeight="1" thickBot="1" x14ac:dyDescent="0.35">
      <c r="A230" s="15">
        <f t="shared" si="33"/>
        <v>1</v>
      </c>
      <c r="B230" s="26">
        <v>44755</v>
      </c>
      <c r="C230" s="51">
        <f t="shared" si="39"/>
        <v>226</v>
      </c>
      <c r="D230" s="27" t="s">
        <v>524</v>
      </c>
      <c r="E230" s="26" t="s">
        <v>28</v>
      </c>
      <c r="F230" s="28" t="s">
        <v>11</v>
      </c>
      <c r="G230" s="28" t="s">
        <v>11</v>
      </c>
      <c r="H230" s="254"/>
      <c r="I230" s="49">
        <v>1</v>
      </c>
      <c r="J230" s="49">
        <v>1</v>
      </c>
      <c r="K230" s="52">
        <f t="shared" si="34"/>
        <v>1</v>
      </c>
      <c r="L230" s="209">
        <f t="shared" si="35"/>
        <v>0</v>
      </c>
      <c r="M230" s="210">
        <f t="shared" si="36"/>
        <v>0</v>
      </c>
      <c r="N230" s="26">
        <v>44755</v>
      </c>
      <c r="O230" s="26">
        <v>44755</v>
      </c>
      <c r="P230" s="26">
        <v>44755</v>
      </c>
      <c r="Q230" s="2">
        <f t="shared" si="30"/>
        <v>1</v>
      </c>
      <c r="S230" s="7">
        <f t="shared" si="37"/>
        <v>1</v>
      </c>
      <c r="T230" s="157">
        <f t="shared" si="38"/>
        <v>1</v>
      </c>
      <c r="V230" s="191">
        <f t="shared" si="31"/>
        <v>7</v>
      </c>
      <c r="W230" s="7">
        <f t="shared" si="32"/>
        <v>2022</v>
      </c>
    </row>
    <row r="231" spans="1:23" ht="31.95" customHeight="1" thickBot="1" x14ac:dyDescent="0.35">
      <c r="A231" s="15">
        <f t="shared" si="33"/>
        <v>1</v>
      </c>
      <c r="B231" s="26">
        <v>44755</v>
      </c>
      <c r="C231" s="51">
        <f t="shared" si="39"/>
        <v>227</v>
      </c>
      <c r="D231" s="27" t="s">
        <v>524</v>
      </c>
      <c r="E231" s="26" t="s">
        <v>28</v>
      </c>
      <c r="F231" s="28" t="s">
        <v>11</v>
      </c>
      <c r="G231" s="28" t="s">
        <v>11</v>
      </c>
      <c r="H231" s="254"/>
      <c r="I231" s="49">
        <v>1</v>
      </c>
      <c r="J231" s="49">
        <v>1</v>
      </c>
      <c r="K231" s="52">
        <f t="shared" si="34"/>
        <v>1</v>
      </c>
      <c r="L231" s="209">
        <f t="shared" si="35"/>
        <v>0</v>
      </c>
      <c r="M231" s="210">
        <f t="shared" si="36"/>
        <v>0</v>
      </c>
      <c r="N231" s="26">
        <v>44756</v>
      </c>
      <c r="O231" s="26">
        <v>44756</v>
      </c>
      <c r="P231" s="26">
        <v>44756</v>
      </c>
      <c r="Q231" s="2">
        <f t="shared" si="30"/>
        <v>1</v>
      </c>
      <c r="S231" s="7">
        <f t="shared" si="37"/>
        <v>1</v>
      </c>
      <c r="T231" s="157">
        <f t="shared" si="38"/>
        <v>1</v>
      </c>
      <c r="V231" s="191">
        <f t="shared" si="31"/>
        <v>7</v>
      </c>
      <c r="W231" s="7">
        <f t="shared" si="32"/>
        <v>2022</v>
      </c>
    </row>
    <row r="232" spans="1:23" ht="31.95" customHeight="1" thickBot="1" x14ac:dyDescent="0.35">
      <c r="A232" s="15">
        <f t="shared" si="33"/>
        <v>0</v>
      </c>
      <c r="B232" s="26">
        <v>44757</v>
      </c>
      <c r="C232" s="51">
        <f t="shared" si="39"/>
        <v>228</v>
      </c>
      <c r="D232" s="27" t="s">
        <v>953</v>
      </c>
      <c r="E232" s="28" t="s">
        <v>11</v>
      </c>
      <c r="F232" s="28" t="s">
        <v>11</v>
      </c>
      <c r="G232" s="28" t="s">
        <v>11</v>
      </c>
      <c r="H232" s="254"/>
      <c r="I232" s="166">
        <v>0</v>
      </c>
      <c r="J232" s="166">
        <v>0</v>
      </c>
      <c r="K232" s="52" t="str">
        <f t="shared" si="34"/>
        <v/>
      </c>
      <c r="L232" s="209">
        <f t="shared" si="35"/>
        <v>0</v>
      </c>
      <c r="M232" s="210" t="str">
        <f t="shared" si="36"/>
        <v/>
      </c>
      <c r="N232" s="28" t="s">
        <v>11</v>
      </c>
      <c r="O232" s="28" t="s">
        <v>11</v>
      </c>
      <c r="P232" s="28" t="s">
        <v>11</v>
      </c>
      <c r="Q232" s="2">
        <f t="shared" si="30"/>
        <v>1</v>
      </c>
      <c r="S232" s="7">
        <f t="shared" si="37"/>
        <v>1</v>
      </c>
      <c r="T232" s="157">
        <f t="shared" si="38"/>
        <v>1</v>
      </c>
      <c r="V232" s="191">
        <f t="shared" si="31"/>
        <v>7</v>
      </c>
      <c r="W232" s="7">
        <f t="shared" si="32"/>
        <v>2022</v>
      </c>
    </row>
    <row r="233" spans="1:23" ht="31.95" customHeight="1" thickBot="1" x14ac:dyDescent="0.35">
      <c r="A233" s="15">
        <f t="shared" si="33"/>
        <v>13</v>
      </c>
      <c r="B233" s="26">
        <v>44757</v>
      </c>
      <c r="C233" s="51">
        <f t="shared" si="39"/>
        <v>229</v>
      </c>
      <c r="D233" s="27" t="s">
        <v>321</v>
      </c>
      <c r="E233" s="26" t="s">
        <v>11</v>
      </c>
      <c r="F233" s="28" t="s">
        <v>11</v>
      </c>
      <c r="G233" s="28" t="s">
        <v>11</v>
      </c>
      <c r="H233" s="254"/>
      <c r="I233" s="49">
        <v>13</v>
      </c>
      <c r="J233" s="49">
        <v>13</v>
      </c>
      <c r="K233" s="52">
        <f t="shared" si="34"/>
        <v>1</v>
      </c>
      <c r="L233" s="209">
        <f t="shared" si="35"/>
        <v>0</v>
      </c>
      <c r="M233" s="210">
        <f t="shared" si="36"/>
        <v>0</v>
      </c>
      <c r="N233" s="26">
        <v>44757</v>
      </c>
      <c r="O233" s="26">
        <v>44757</v>
      </c>
      <c r="P233" s="26">
        <v>44757</v>
      </c>
      <c r="Q233" s="2">
        <f t="shared" si="30"/>
        <v>1</v>
      </c>
      <c r="S233" s="7">
        <f t="shared" si="37"/>
        <v>1</v>
      </c>
      <c r="T233" s="157">
        <f t="shared" si="38"/>
        <v>1</v>
      </c>
      <c r="V233" s="191">
        <f t="shared" si="31"/>
        <v>7</v>
      </c>
      <c r="W233" s="7">
        <f t="shared" si="32"/>
        <v>2022</v>
      </c>
    </row>
    <row r="234" spans="1:23" ht="31.95" customHeight="1" thickBot="1" x14ac:dyDescent="0.35">
      <c r="A234" s="15">
        <f t="shared" si="33"/>
        <v>2</v>
      </c>
      <c r="B234" s="26">
        <v>44757</v>
      </c>
      <c r="C234" s="51">
        <f t="shared" si="39"/>
        <v>230</v>
      </c>
      <c r="D234" s="27" t="s">
        <v>945</v>
      </c>
      <c r="E234" s="26" t="s">
        <v>11</v>
      </c>
      <c r="F234" s="28" t="s">
        <v>11</v>
      </c>
      <c r="G234" s="28" t="s">
        <v>11</v>
      </c>
      <c r="H234" s="254"/>
      <c r="I234" s="49">
        <v>2</v>
      </c>
      <c r="J234" s="49">
        <v>2</v>
      </c>
      <c r="K234" s="52">
        <f t="shared" si="34"/>
        <v>1</v>
      </c>
      <c r="L234" s="209">
        <f t="shared" si="35"/>
        <v>0</v>
      </c>
      <c r="M234" s="210">
        <f t="shared" si="36"/>
        <v>0</v>
      </c>
      <c r="N234" s="26">
        <v>44760</v>
      </c>
      <c r="O234" s="26">
        <v>44760</v>
      </c>
      <c r="P234" s="26">
        <v>44760</v>
      </c>
      <c r="Q234" s="2">
        <f t="shared" si="30"/>
        <v>1</v>
      </c>
      <c r="S234" s="7">
        <f t="shared" si="37"/>
        <v>1</v>
      </c>
      <c r="T234" s="157">
        <f t="shared" si="38"/>
        <v>1</v>
      </c>
      <c r="V234" s="191">
        <f t="shared" si="31"/>
        <v>7</v>
      </c>
      <c r="W234" s="7">
        <f t="shared" si="32"/>
        <v>2022</v>
      </c>
    </row>
    <row r="235" spans="1:23" ht="31.95" customHeight="1" thickBot="1" x14ac:dyDescent="0.35">
      <c r="A235" s="15">
        <f t="shared" si="33"/>
        <v>2</v>
      </c>
      <c r="B235" s="26">
        <v>44757</v>
      </c>
      <c r="C235" s="51">
        <f t="shared" si="39"/>
        <v>231</v>
      </c>
      <c r="D235" s="27" t="s">
        <v>511</v>
      </c>
      <c r="E235" s="26" t="s">
        <v>11</v>
      </c>
      <c r="F235" s="28" t="s">
        <v>11</v>
      </c>
      <c r="G235" s="28" t="s">
        <v>11</v>
      </c>
      <c r="H235" s="254"/>
      <c r="I235" s="49">
        <v>2</v>
      </c>
      <c r="J235" s="49">
        <v>2</v>
      </c>
      <c r="K235" s="52">
        <f t="shared" si="34"/>
        <v>1</v>
      </c>
      <c r="L235" s="209">
        <f t="shared" si="35"/>
        <v>0</v>
      </c>
      <c r="M235" s="210">
        <f t="shared" si="36"/>
        <v>0</v>
      </c>
      <c r="N235" s="26">
        <v>44760</v>
      </c>
      <c r="O235" s="26">
        <v>44760</v>
      </c>
      <c r="P235" s="26">
        <v>44760</v>
      </c>
      <c r="Q235" s="2">
        <f t="shared" si="30"/>
        <v>1</v>
      </c>
      <c r="S235" s="7">
        <f t="shared" si="37"/>
        <v>1</v>
      </c>
      <c r="T235" s="157">
        <f t="shared" si="38"/>
        <v>1</v>
      </c>
      <c r="V235" s="191">
        <f t="shared" si="31"/>
        <v>7</v>
      </c>
      <c r="W235" s="7">
        <f t="shared" si="32"/>
        <v>2022</v>
      </c>
    </row>
    <row r="236" spans="1:23" ht="31.95" customHeight="1" thickBot="1" x14ac:dyDescent="0.35">
      <c r="A236" s="15">
        <f t="shared" si="33"/>
        <v>2</v>
      </c>
      <c r="B236" s="26">
        <v>44762</v>
      </c>
      <c r="C236" s="51">
        <f t="shared" si="39"/>
        <v>232</v>
      </c>
      <c r="D236" s="27" t="s">
        <v>1150</v>
      </c>
      <c r="E236" s="26" t="s">
        <v>41</v>
      </c>
      <c r="F236" s="28" t="s">
        <v>11</v>
      </c>
      <c r="G236" s="28" t="s">
        <v>11</v>
      </c>
      <c r="H236" s="254"/>
      <c r="I236" s="49">
        <v>2</v>
      </c>
      <c r="J236" s="49">
        <v>2</v>
      </c>
      <c r="K236" s="52">
        <f t="shared" si="34"/>
        <v>1</v>
      </c>
      <c r="L236" s="209">
        <f t="shared" si="35"/>
        <v>0</v>
      </c>
      <c r="M236" s="210">
        <f t="shared" si="36"/>
        <v>0</v>
      </c>
      <c r="N236" s="26">
        <v>44762</v>
      </c>
      <c r="O236" s="26">
        <v>44762</v>
      </c>
      <c r="P236" s="26">
        <v>44762</v>
      </c>
      <c r="Q236" s="2">
        <f t="shared" si="30"/>
        <v>1</v>
      </c>
      <c r="S236" s="7">
        <f t="shared" si="37"/>
        <v>1</v>
      </c>
      <c r="T236" s="157">
        <f t="shared" si="38"/>
        <v>1</v>
      </c>
      <c r="V236" s="191">
        <f t="shared" si="31"/>
        <v>7</v>
      </c>
      <c r="W236" s="7">
        <f t="shared" si="32"/>
        <v>2022</v>
      </c>
    </row>
    <row r="237" spans="1:23" ht="31.95" customHeight="1" thickBot="1" x14ac:dyDescent="0.35">
      <c r="A237" s="15">
        <f t="shared" si="33"/>
        <v>1</v>
      </c>
      <c r="B237" s="26">
        <v>44762</v>
      </c>
      <c r="C237" s="51">
        <f t="shared" si="39"/>
        <v>233</v>
      </c>
      <c r="D237" s="27" t="s">
        <v>602</v>
      </c>
      <c r="E237" s="26" t="s">
        <v>41</v>
      </c>
      <c r="F237" s="28" t="s">
        <v>11</v>
      </c>
      <c r="G237" s="28" t="s">
        <v>11</v>
      </c>
      <c r="H237" s="254"/>
      <c r="I237" s="49">
        <v>1</v>
      </c>
      <c r="J237" s="49">
        <v>1</v>
      </c>
      <c r="K237" s="52">
        <f t="shared" si="34"/>
        <v>1</v>
      </c>
      <c r="L237" s="209">
        <f t="shared" si="35"/>
        <v>0</v>
      </c>
      <c r="M237" s="210">
        <f t="shared" si="36"/>
        <v>0</v>
      </c>
      <c r="N237" s="26">
        <v>44762</v>
      </c>
      <c r="O237" s="26">
        <v>44762</v>
      </c>
      <c r="P237" s="26">
        <v>44762</v>
      </c>
      <c r="Q237" s="2">
        <f t="shared" si="30"/>
        <v>1</v>
      </c>
      <c r="S237" s="7">
        <f t="shared" si="37"/>
        <v>1</v>
      </c>
      <c r="T237" s="157">
        <f t="shared" si="38"/>
        <v>1</v>
      </c>
      <c r="V237" s="191">
        <f t="shared" si="31"/>
        <v>7</v>
      </c>
      <c r="W237" s="7">
        <f t="shared" si="32"/>
        <v>2022</v>
      </c>
    </row>
    <row r="238" spans="1:23" ht="31.95" customHeight="1" thickBot="1" x14ac:dyDescent="0.35">
      <c r="A238" s="15">
        <f t="shared" si="33"/>
        <v>1</v>
      </c>
      <c r="B238" s="26">
        <v>44763</v>
      </c>
      <c r="C238" s="51">
        <f t="shared" si="39"/>
        <v>234</v>
      </c>
      <c r="D238" s="27" t="s">
        <v>971</v>
      </c>
      <c r="E238" s="26" t="s">
        <v>41</v>
      </c>
      <c r="F238" s="28" t="s">
        <v>11</v>
      </c>
      <c r="G238" s="28" t="s">
        <v>11</v>
      </c>
      <c r="H238" s="254"/>
      <c r="I238" s="49">
        <v>1</v>
      </c>
      <c r="J238" s="49">
        <v>1</v>
      </c>
      <c r="K238" s="52">
        <f t="shared" si="34"/>
        <v>1</v>
      </c>
      <c r="L238" s="209">
        <f t="shared" si="35"/>
        <v>0</v>
      </c>
      <c r="M238" s="210">
        <f t="shared" si="36"/>
        <v>0</v>
      </c>
      <c r="N238" s="26">
        <v>44763</v>
      </c>
      <c r="O238" s="26">
        <v>44763</v>
      </c>
      <c r="P238" s="26">
        <v>44763</v>
      </c>
      <c r="Q238" s="2">
        <f t="shared" si="30"/>
        <v>1</v>
      </c>
      <c r="S238" s="7">
        <f t="shared" si="37"/>
        <v>1</v>
      </c>
      <c r="T238" s="157">
        <f t="shared" si="38"/>
        <v>1</v>
      </c>
      <c r="V238" s="191">
        <f t="shared" si="31"/>
        <v>7</v>
      </c>
      <c r="W238" s="7">
        <f t="shared" si="32"/>
        <v>2022</v>
      </c>
    </row>
    <row r="239" spans="1:23" ht="31.95" customHeight="1" thickBot="1" x14ac:dyDescent="0.35">
      <c r="A239" s="15">
        <f t="shared" si="33"/>
        <v>1</v>
      </c>
      <c r="B239" s="26">
        <v>44763</v>
      </c>
      <c r="C239" s="51">
        <f t="shared" si="39"/>
        <v>235</v>
      </c>
      <c r="D239" s="27" t="s">
        <v>269</v>
      </c>
      <c r="E239" s="26" t="s">
        <v>42</v>
      </c>
      <c r="F239" s="28" t="s">
        <v>11</v>
      </c>
      <c r="G239" s="28" t="s">
        <v>11</v>
      </c>
      <c r="H239" s="254"/>
      <c r="I239" s="49">
        <v>1</v>
      </c>
      <c r="J239" s="49">
        <v>1</v>
      </c>
      <c r="K239" s="52">
        <f t="shared" si="34"/>
        <v>1</v>
      </c>
      <c r="L239" s="209">
        <f t="shared" si="35"/>
        <v>0</v>
      </c>
      <c r="M239" s="210">
        <f t="shared" si="36"/>
        <v>0</v>
      </c>
      <c r="N239" s="26">
        <v>44763</v>
      </c>
      <c r="O239" s="26">
        <v>44763</v>
      </c>
      <c r="P239" s="26">
        <v>44763</v>
      </c>
      <c r="Q239" s="2">
        <f t="shared" si="30"/>
        <v>1</v>
      </c>
      <c r="S239" s="7">
        <f t="shared" si="37"/>
        <v>1</v>
      </c>
      <c r="T239" s="157">
        <f t="shared" si="38"/>
        <v>1</v>
      </c>
      <c r="V239" s="191">
        <f t="shared" si="31"/>
        <v>7</v>
      </c>
      <c r="W239" s="7">
        <f t="shared" si="32"/>
        <v>2022</v>
      </c>
    </row>
    <row r="240" spans="1:23" ht="31.95" customHeight="1" thickBot="1" x14ac:dyDescent="0.35">
      <c r="A240" s="15">
        <f t="shared" si="33"/>
        <v>1</v>
      </c>
      <c r="B240" s="26">
        <v>44763</v>
      </c>
      <c r="C240" s="51">
        <f t="shared" si="39"/>
        <v>236</v>
      </c>
      <c r="D240" s="27" t="s">
        <v>524</v>
      </c>
      <c r="E240" s="26" t="s">
        <v>28</v>
      </c>
      <c r="F240" s="28" t="s">
        <v>11</v>
      </c>
      <c r="G240" s="28" t="s">
        <v>11</v>
      </c>
      <c r="H240" s="254"/>
      <c r="I240" s="49">
        <v>1</v>
      </c>
      <c r="J240" s="49">
        <v>1</v>
      </c>
      <c r="K240" s="52">
        <f t="shared" si="34"/>
        <v>1</v>
      </c>
      <c r="L240" s="209">
        <f t="shared" si="35"/>
        <v>0</v>
      </c>
      <c r="M240" s="210">
        <f t="shared" si="36"/>
        <v>0</v>
      </c>
      <c r="N240" s="26">
        <v>44764</v>
      </c>
      <c r="O240" s="26">
        <v>44764</v>
      </c>
      <c r="P240" s="26">
        <v>44764</v>
      </c>
      <c r="Q240" s="2">
        <f t="shared" si="30"/>
        <v>1</v>
      </c>
      <c r="S240" s="7">
        <f t="shared" si="37"/>
        <v>1</v>
      </c>
      <c r="T240" s="157">
        <f t="shared" si="38"/>
        <v>1</v>
      </c>
      <c r="V240" s="191">
        <f t="shared" si="31"/>
        <v>7</v>
      </c>
      <c r="W240" s="7">
        <f t="shared" si="32"/>
        <v>2022</v>
      </c>
    </row>
    <row r="241" spans="1:23" ht="31.95" customHeight="1" thickBot="1" x14ac:dyDescent="0.35">
      <c r="A241" s="15">
        <f t="shared" si="33"/>
        <v>7</v>
      </c>
      <c r="B241" s="26">
        <v>44763</v>
      </c>
      <c r="C241" s="51">
        <f t="shared" si="39"/>
        <v>237</v>
      </c>
      <c r="D241" s="27" t="s">
        <v>305</v>
      </c>
      <c r="E241" s="26" t="s">
        <v>26</v>
      </c>
      <c r="F241" s="28" t="s">
        <v>11</v>
      </c>
      <c r="G241" s="28" t="s">
        <v>11</v>
      </c>
      <c r="H241" s="254"/>
      <c r="I241" s="49">
        <v>7</v>
      </c>
      <c r="J241" s="49">
        <v>7</v>
      </c>
      <c r="K241" s="52">
        <f t="shared" si="34"/>
        <v>1</v>
      </c>
      <c r="L241" s="209">
        <f t="shared" si="35"/>
        <v>0</v>
      </c>
      <c r="M241" s="210">
        <f t="shared" si="36"/>
        <v>0</v>
      </c>
      <c r="N241" s="26">
        <v>44763</v>
      </c>
      <c r="O241" s="26">
        <v>44763</v>
      </c>
      <c r="P241" s="26">
        <v>44763</v>
      </c>
      <c r="Q241" s="2">
        <f t="shared" si="30"/>
        <v>1</v>
      </c>
      <c r="S241" s="7">
        <f t="shared" si="37"/>
        <v>1</v>
      </c>
      <c r="T241" s="157">
        <f t="shared" si="38"/>
        <v>1</v>
      </c>
      <c r="V241" s="191">
        <f t="shared" si="31"/>
        <v>7</v>
      </c>
      <c r="W241" s="7">
        <f t="shared" si="32"/>
        <v>2022</v>
      </c>
    </row>
    <row r="242" spans="1:23" ht="31.95" customHeight="1" thickBot="1" x14ac:dyDescent="0.35">
      <c r="A242" s="15">
        <f t="shared" si="33"/>
        <v>6</v>
      </c>
      <c r="B242" s="26">
        <v>44764</v>
      </c>
      <c r="C242" s="51">
        <f t="shared" si="39"/>
        <v>238</v>
      </c>
      <c r="D242" s="27" t="s">
        <v>871</v>
      </c>
      <c r="E242" s="26" t="s">
        <v>11</v>
      </c>
      <c r="F242" s="28" t="s">
        <v>11</v>
      </c>
      <c r="G242" s="28" t="s">
        <v>11</v>
      </c>
      <c r="H242" s="254"/>
      <c r="I242" s="49">
        <v>6</v>
      </c>
      <c r="J242" s="49">
        <v>6</v>
      </c>
      <c r="K242" s="52">
        <f t="shared" si="34"/>
        <v>1</v>
      </c>
      <c r="L242" s="209">
        <f t="shared" si="35"/>
        <v>0</v>
      </c>
      <c r="M242" s="210">
        <f t="shared" si="36"/>
        <v>0</v>
      </c>
      <c r="N242" s="26">
        <v>44768</v>
      </c>
      <c r="O242" s="26">
        <v>44768</v>
      </c>
      <c r="P242" s="26">
        <v>44768</v>
      </c>
      <c r="Q242" s="2">
        <f t="shared" si="30"/>
        <v>1</v>
      </c>
      <c r="S242" s="7">
        <f t="shared" si="37"/>
        <v>1</v>
      </c>
      <c r="T242" s="157">
        <f t="shared" si="38"/>
        <v>1</v>
      </c>
      <c r="V242" s="191">
        <f t="shared" si="31"/>
        <v>7</v>
      </c>
      <c r="W242" s="7">
        <f t="shared" si="32"/>
        <v>2022</v>
      </c>
    </row>
    <row r="243" spans="1:23" ht="31.95" customHeight="1" thickBot="1" x14ac:dyDescent="0.35">
      <c r="A243" s="15">
        <f t="shared" si="33"/>
        <v>6</v>
      </c>
      <c r="B243" s="26">
        <v>44764</v>
      </c>
      <c r="C243" s="51">
        <f t="shared" si="39"/>
        <v>239</v>
      </c>
      <c r="D243" s="27" t="s">
        <v>890</v>
      </c>
      <c r="E243" s="26" t="s">
        <v>11</v>
      </c>
      <c r="F243" s="28" t="s">
        <v>11</v>
      </c>
      <c r="G243" s="28" t="s">
        <v>11</v>
      </c>
      <c r="H243" s="254"/>
      <c r="I243" s="49">
        <v>6</v>
      </c>
      <c r="J243" s="49">
        <v>6</v>
      </c>
      <c r="K243" s="52">
        <f t="shared" si="34"/>
        <v>1</v>
      </c>
      <c r="L243" s="209">
        <f t="shared" si="35"/>
        <v>0</v>
      </c>
      <c r="M243" s="210">
        <f t="shared" si="36"/>
        <v>0</v>
      </c>
      <c r="N243" s="26">
        <v>44781</v>
      </c>
      <c r="O243" s="26">
        <v>44781</v>
      </c>
      <c r="P243" s="26">
        <v>44781</v>
      </c>
      <c r="Q243" s="2">
        <f t="shared" si="30"/>
        <v>1</v>
      </c>
      <c r="S243" s="7">
        <f t="shared" si="37"/>
        <v>1</v>
      </c>
      <c r="T243" s="157">
        <f t="shared" si="38"/>
        <v>1</v>
      </c>
      <c r="V243" s="191">
        <f t="shared" si="31"/>
        <v>7</v>
      </c>
      <c r="W243" s="7">
        <f t="shared" si="32"/>
        <v>2022</v>
      </c>
    </row>
    <row r="244" spans="1:23" ht="31.95" customHeight="1" thickBot="1" x14ac:dyDescent="0.35">
      <c r="A244" s="15">
        <f t="shared" si="33"/>
        <v>1</v>
      </c>
      <c r="B244" s="26">
        <v>44768</v>
      </c>
      <c r="C244" s="51">
        <f t="shared" si="39"/>
        <v>240</v>
      </c>
      <c r="D244" s="27" t="s">
        <v>524</v>
      </c>
      <c r="E244" s="26" t="s">
        <v>28</v>
      </c>
      <c r="F244" s="28" t="s">
        <v>11</v>
      </c>
      <c r="G244" s="28" t="s">
        <v>11</v>
      </c>
      <c r="H244" s="254"/>
      <c r="I244" s="49">
        <v>1</v>
      </c>
      <c r="J244" s="49">
        <v>1</v>
      </c>
      <c r="K244" s="52">
        <f t="shared" si="34"/>
        <v>1</v>
      </c>
      <c r="L244" s="209">
        <f t="shared" si="35"/>
        <v>0</v>
      </c>
      <c r="M244" s="210">
        <f t="shared" si="36"/>
        <v>0</v>
      </c>
      <c r="N244" s="26">
        <v>44769</v>
      </c>
      <c r="O244" s="26">
        <v>44769</v>
      </c>
      <c r="P244" s="26">
        <v>44769</v>
      </c>
      <c r="Q244" s="2">
        <f t="shared" si="30"/>
        <v>1</v>
      </c>
      <c r="S244" s="7">
        <f t="shared" si="37"/>
        <v>1</v>
      </c>
      <c r="T244" s="157">
        <f t="shared" si="38"/>
        <v>1</v>
      </c>
      <c r="V244" s="191">
        <f t="shared" si="31"/>
        <v>7</v>
      </c>
      <c r="W244" s="7">
        <f t="shared" si="32"/>
        <v>2022</v>
      </c>
    </row>
    <row r="245" spans="1:23" ht="31.95" customHeight="1" thickBot="1" x14ac:dyDescent="0.35">
      <c r="A245" s="15">
        <f t="shared" si="33"/>
        <v>4</v>
      </c>
      <c r="B245" s="26">
        <v>44775</v>
      </c>
      <c r="C245" s="51">
        <f t="shared" si="39"/>
        <v>241</v>
      </c>
      <c r="D245" s="27" t="s">
        <v>871</v>
      </c>
      <c r="E245" s="26" t="s">
        <v>25</v>
      </c>
      <c r="F245" s="28" t="s">
        <v>11</v>
      </c>
      <c r="G245" s="28" t="s">
        <v>11</v>
      </c>
      <c r="H245" s="254"/>
      <c r="I245" s="49">
        <v>4</v>
      </c>
      <c r="J245" s="49">
        <v>4</v>
      </c>
      <c r="K245" s="52">
        <f t="shared" si="34"/>
        <v>1</v>
      </c>
      <c r="L245" s="209">
        <f t="shared" si="35"/>
        <v>0</v>
      </c>
      <c r="M245" s="210">
        <f t="shared" si="36"/>
        <v>0</v>
      </c>
      <c r="N245" s="26">
        <v>44777</v>
      </c>
      <c r="O245" s="26">
        <v>44777</v>
      </c>
      <c r="P245" s="26">
        <v>44777</v>
      </c>
      <c r="Q245" s="2">
        <f t="shared" si="30"/>
        <v>1</v>
      </c>
      <c r="S245" s="7">
        <f t="shared" si="37"/>
        <v>1</v>
      </c>
      <c r="T245" s="157">
        <f t="shared" si="38"/>
        <v>1</v>
      </c>
      <c r="V245" s="191">
        <f t="shared" si="31"/>
        <v>8</v>
      </c>
      <c r="W245" s="7">
        <f t="shared" si="32"/>
        <v>2022</v>
      </c>
    </row>
    <row r="246" spans="1:23" ht="31.95" customHeight="1" thickBot="1" x14ac:dyDescent="0.35">
      <c r="A246" s="15">
        <f t="shared" si="33"/>
        <v>1</v>
      </c>
      <c r="B246" s="26">
        <v>44784</v>
      </c>
      <c r="C246" s="51">
        <f t="shared" si="39"/>
        <v>242</v>
      </c>
      <c r="D246" s="27" t="s">
        <v>890</v>
      </c>
      <c r="E246" s="26" t="s">
        <v>25</v>
      </c>
      <c r="F246" s="28" t="s">
        <v>11</v>
      </c>
      <c r="G246" s="28" t="s">
        <v>11</v>
      </c>
      <c r="H246" s="254"/>
      <c r="I246" s="49">
        <v>1</v>
      </c>
      <c r="J246" s="49">
        <v>1</v>
      </c>
      <c r="K246" s="52">
        <f t="shared" si="34"/>
        <v>1</v>
      </c>
      <c r="L246" s="209">
        <f t="shared" si="35"/>
        <v>0</v>
      </c>
      <c r="M246" s="210">
        <f t="shared" si="36"/>
        <v>0</v>
      </c>
      <c r="N246" s="26">
        <v>44784</v>
      </c>
      <c r="O246" s="26">
        <v>44784</v>
      </c>
      <c r="P246" s="26">
        <v>44784</v>
      </c>
      <c r="Q246" s="2">
        <f t="shared" si="30"/>
        <v>1</v>
      </c>
      <c r="S246" s="7">
        <f t="shared" si="37"/>
        <v>1</v>
      </c>
      <c r="T246" s="157">
        <f t="shared" si="38"/>
        <v>1</v>
      </c>
      <c r="V246" s="191">
        <f t="shared" si="31"/>
        <v>8</v>
      </c>
      <c r="W246" s="7">
        <f t="shared" si="32"/>
        <v>2022</v>
      </c>
    </row>
    <row r="247" spans="1:23" ht="31.95" customHeight="1" thickBot="1" x14ac:dyDescent="0.35">
      <c r="A247" s="15">
        <f t="shared" si="33"/>
        <v>2</v>
      </c>
      <c r="B247" s="26">
        <v>44785</v>
      </c>
      <c r="C247" s="51">
        <f t="shared" si="39"/>
        <v>243</v>
      </c>
      <c r="D247" s="27" t="s">
        <v>511</v>
      </c>
      <c r="E247" s="26" t="s">
        <v>11</v>
      </c>
      <c r="F247" s="28" t="s">
        <v>11</v>
      </c>
      <c r="G247" s="28" t="s">
        <v>11</v>
      </c>
      <c r="H247" s="254"/>
      <c r="I247" s="49">
        <v>2</v>
      </c>
      <c r="J247" s="49">
        <v>2</v>
      </c>
      <c r="K247" s="52">
        <f t="shared" si="34"/>
        <v>1</v>
      </c>
      <c r="L247" s="209">
        <f t="shared" si="35"/>
        <v>0</v>
      </c>
      <c r="M247" s="210">
        <f t="shared" si="36"/>
        <v>0</v>
      </c>
      <c r="N247" s="26">
        <v>44785</v>
      </c>
      <c r="O247" s="26">
        <v>44785</v>
      </c>
      <c r="P247" s="26">
        <v>44785</v>
      </c>
      <c r="Q247" s="2">
        <f t="shared" si="30"/>
        <v>1</v>
      </c>
      <c r="S247" s="7">
        <f t="shared" si="37"/>
        <v>1</v>
      </c>
      <c r="T247" s="157">
        <f t="shared" si="38"/>
        <v>1</v>
      </c>
      <c r="V247" s="191">
        <f t="shared" si="31"/>
        <v>8</v>
      </c>
      <c r="W247" s="7">
        <f t="shared" si="32"/>
        <v>2022</v>
      </c>
    </row>
    <row r="248" spans="1:23" ht="31.95" customHeight="1" thickBot="1" x14ac:dyDescent="0.35">
      <c r="A248" s="15">
        <f t="shared" si="33"/>
        <v>1</v>
      </c>
      <c r="B248" s="26">
        <v>44789</v>
      </c>
      <c r="C248" s="51">
        <f t="shared" si="39"/>
        <v>244</v>
      </c>
      <c r="D248" s="27" t="s">
        <v>1079</v>
      </c>
      <c r="E248" s="26" t="s">
        <v>26</v>
      </c>
      <c r="F248" s="28" t="s">
        <v>11</v>
      </c>
      <c r="G248" s="28" t="s">
        <v>11</v>
      </c>
      <c r="H248" s="254"/>
      <c r="I248" s="49">
        <v>1</v>
      </c>
      <c r="J248" s="49">
        <v>1</v>
      </c>
      <c r="K248" s="52">
        <f t="shared" si="34"/>
        <v>1</v>
      </c>
      <c r="L248" s="209">
        <f t="shared" si="35"/>
        <v>0</v>
      </c>
      <c r="M248" s="210">
        <f t="shared" si="36"/>
        <v>0</v>
      </c>
      <c r="N248" s="26">
        <v>44790</v>
      </c>
      <c r="O248" s="26">
        <v>44790</v>
      </c>
      <c r="P248" s="26">
        <v>44790</v>
      </c>
      <c r="Q248" s="2">
        <f t="shared" si="30"/>
        <v>1</v>
      </c>
      <c r="S248" s="7">
        <f t="shared" si="37"/>
        <v>1</v>
      </c>
      <c r="T248" s="157">
        <f t="shared" si="38"/>
        <v>1</v>
      </c>
      <c r="V248" s="191">
        <f t="shared" si="31"/>
        <v>8</v>
      </c>
      <c r="W248" s="7">
        <f t="shared" si="32"/>
        <v>2022</v>
      </c>
    </row>
    <row r="249" spans="1:23" ht="31.95" customHeight="1" thickBot="1" x14ac:dyDescent="0.35">
      <c r="A249" s="15">
        <f t="shared" si="33"/>
        <v>3</v>
      </c>
      <c r="B249" s="26">
        <v>44803</v>
      </c>
      <c r="C249" s="51">
        <f t="shared" si="39"/>
        <v>245</v>
      </c>
      <c r="D249" s="27" t="s">
        <v>1206</v>
      </c>
      <c r="E249" s="26" t="s">
        <v>43</v>
      </c>
      <c r="F249" s="28" t="s">
        <v>11</v>
      </c>
      <c r="G249" s="28" t="s">
        <v>11</v>
      </c>
      <c r="H249" s="254"/>
      <c r="I249" s="49">
        <v>3</v>
      </c>
      <c r="J249" s="49">
        <v>3</v>
      </c>
      <c r="K249" s="52">
        <f t="shared" si="34"/>
        <v>1</v>
      </c>
      <c r="L249" s="209">
        <f t="shared" si="35"/>
        <v>0</v>
      </c>
      <c r="M249" s="210">
        <f t="shared" si="36"/>
        <v>0</v>
      </c>
      <c r="N249" s="26">
        <v>44803</v>
      </c>
      <c r="O249" s="26">
        <v>44803</v>
      </c>
      <c r="P249" s="26">
        <v>44803</v>
      </c>
      <c r="Q249" s="2">
        <f t="shared" si="30"/>
        <v>1</v>
      </c>
      <c r="S249" s="7">
        <f t="shared" si="37"/>
        <v>1</v>
      </c>
      <c r="T249" s="157">
        <f t="shared" si="38"/>
        <v>1</v>
      </c>
      <c r="V249" s="191">
        <f t="shared" si="31"/>
        <v>8</v>
      </c>
      <c r="W249" s="7">
        <f t="shared" si="32"/>
        <v>2022</v>
      </c>
    </row>
    <row r="250" spans="1:23" ht="31.95" customHeight="1" thickBot="1" x14ac:dyDescent="0.35">
      <c r="A250" s="15">
        <f t="shared" si="33"/>
        <v>2</v>
      </c>
      <c r="B250" s="26">
        <v>44803</v>
      </c>
      <c r="C250" s="51">
        <f t="shared" si="39"/>
        <v>246</v>
      </c>
      <c r="D250" s="27" t="s">
        <v>858</v>
      </c>
      <c r="E250" s="26" t="s">
        <v>11</v>
      </c>
      <c r="F250" s="28" t="s">
        <v>11</v>
      </c>
      <c r="G250" s="28" t="s">
        <v>11</v>
      </c>
      <c r="H250" s="254"/>
      <c r="I250" s="49">
        <v>2</v>
      </c>
      <c r="J250" s="49">
        <v>2</v>
      </c>
      <c r="K250" s="52">
        <f t="shared" si="34"/>
        <v>1</v>
      </c>
      <c r="L250" s="209">
        <f t="shared" si="35"/>
        <v>0</v>
      </c>
      <c r="M250" s="210">
        <f t="shared" si="36"/>
        <v>0</v>
      </c>
      <c r="N250" s="26">
        <v>44804</v>
      </c>
      <c r="O250" s="26">
        <v>44804</v>
      </c>
      <c r="P250" s="26">
        <v>44804</v>
      </c>
      <c r="Q250" s="2">
        <f t="shared" si="30"/>
        <v>1</v>
      </c>
      <c r="S250" s="7">
        <f t="shared" si="37"/>
        <v>1</v>
      </c>
      <c r="T250" s="157">
        <f t="shared" si="38"/>
        <v>1</v>
      </c>
      <c r="V250" s="191">
        <f t="shared" si="31"/>
        <v>8</v>
      </c>
      <c r="W250" s="7">
        <f t="shared" si="32"/>
        <v>2022</v>
      </c>
    </row>
    <row r="251" spans="1:23" ht="31.95" customHeight="1" thickBot="1" x14ac:dyDescent="0.35">
      <c r="A251" s="15">
        <f t="shared" si="33"/>
        <v>1</v>
      </c>
      <c r="B251" s="26">
        <v>44825</v>
      </c>
      <c r="C251" s="51">
        <f t="shared" si="39"/>
        <v>247</v>
      </c>
      <c r="D251" s="27" t="s">
        <v>652</v>
      </c>
      <c r="E251" s="26" t="s">
        <v>11</v>
      </c>
      <c r="F251" s="28" t="s">
        <v>11</v>
      </c>
      <c r="G251" s="28" t="s">
        <v>11</v>
      </c>
      <c r="H251" s="254"/>
      <c r="I251" s="49">
        <v>1</v>
      </c>
      <c r="J251" s="49">
        <v>1</v>
      </c>
      <c r="K251" s="52">
        <f t="shared" si="34"/>
        <v>1</v>
      </c>
      <c r="L251" s="209">
        <f t="shared" si="35"/>
        <v>0</v>
      </c>
      <c r="M251" s="210">
        <f t="shared" si="36"/>
        <v>0</v>
      </c>
      <c r="N251" s="26">
        <v>44825</v>
      </c>
      <c r="O251" s="26">
        <v>44825</v>
      </c>
      <c r="P251" s="26">
        <v>44825</v>
      </c>
      <c r="Q251" s="2">
        <f t="shared" si="30"/>
        <v>1</v>
      </c>
      <c r="S251" s="7">
        <f t="shared" si="37"/>
        <v>1</v>
      </c>
      <c r="T251" s="157">
        <f t="shared" si="38"/>
        <v>1</v>
      </c>
      <c r="V251" s="191">
        <f t="shared" si="31"/>
        <v>9</v>
      </c>
      <c r="W251" s="7">
        <f t="shared" si="32"/>
        <v>2022</v>
      </c>
    </row>
    <row r="252" spans="1:23" ht="31.95" customHeight="1" thickBot="1" x14ac:dyDescent="0.35">
      <c r="A252" s="15">
        <f t="shared" si="33"/>
        <v>1</v>
      </c>
      <c r="B252" s="26">
        <v>44831</v>
      </c>
      <c r="C252" s="51">
        <f t="shared" si="39"/>
        <v>248</v>
      </c>
      <c r="D252" s="27" t="s">
        <v>1206</v>
      </c>
      <c r="E252" s="26" t="s">
        <v>16</v>
      </c>
      <c r="F252" s="28" t="s">
        <v>11</v>
      </c>
      <c r="G252" s="28" t="s">
        <v>11</v>
      </c>
      <c r="H252" s="254"/>
      <c r="I252" s="49">
        <v>1</v>
      </c>
      <c r="J252" s="49">
        <v>1</v>
      </c>
      <c r="K252" s="52">
        <f t="shared" si="34"/>
        <v>1</v>
      </c>
      <c r="L252" s="209">
        <f t="shared" si="35"/>
        <v>0</v>
      </c>
      <c r="M252" s="210">
        <f t="shared" si="36"/>
        <v>0</v>
      </c>
      <c r="N252" s="26">
        <v>44831</v>
      </c>
      <c r="O252" s="26">
        <v>44831</v>
      </c>
      <c r="P252" s="26">
        <v>44831</v>
      </c>
      <c r="Q252" s="2">
        <f t="shared" si="30"/>
        <v>1</v>
      </c>
      <c r="S252" s="7">
        <f t="shared" si="37"/>
        <v>1</v>
      </c>
      <c r="T252" s="157">
        <f t="shared" si="38"/>
        <v>1</v>
      </c>
      <c r="V252" s="191">
        <f t="shared" si="31"/>
        <v>9</v>
      </c>
      <c r="W252" s="7">
        <f t="shared" si="32"/>
        <v>2022</v>
      </c>
    </row>
    <row r="253" spans="1:23" ht="31.95" customHeight="1" thickBot="1" x14ac:dyDescent="0.35">
      <c r="A253" s="15">
        <f t="shared" si="33"/>
        <v>1</v>
      </c>
      <c r="B253" s="26">
        <v>44831</v>
      </c>
      <c r="C253" s="51">
        <f t="shared" si="39"/>
        <v>249</v>
      </c>
      <c r="D253" s="27" t="s">
        <v>1206</v>
      </c>
      <c r="E253" s="26" t="s">
        <v>43</v>
      </c>
      <c r="F253" s="28" t="s">
        <v>11</v>
      </c>
      <c r="G253" s="28" t="s">
        <v>11</v>
      </c>
      <c r="H253" s="254"/>
      <c r="I253" s="49">
        <v>1</v>
      </c>
      <c r="J253" s="49">
        <v>1</v>
      </c>
      <c r="K253" s="52">
        <f t="shared" si="34"/>
        <v>1</v>
      </c>
      <c r="L253" s="209">
        <f t="shared" si="35"/>
        <v>0</v>
      </c>
      <c r="M253" s="210">
        <f t="shared" si="36"/>
        <v>0</v>
      </c>
      <c r="N253" s="26">
        <v>44831</v>
      </c>
      <c r="O253" s="26">
        <v>44831</v>
      </c>
      <c r="P253" s="26">
        <v>44831</v>
      </c>
      <c r="Q253" s="2">
        <f t="shared" si="30"/>
        <v>1</v>
      </c>
      <c r="S253" s="7">
        <f t="shared" si="37"/>
        <v>1</v>
      </c>
      <c r="T253" s="157">
        <f t="shared" si="38"/>
        <v>1</v>
      </c>
      <c r="V253" s="191">
        <f t="shared" si="31"/>
        <v>9</v>
      </c>
      <c r="W253" s="7">
        <f t="shared" si="32"/>
        <v>2022</v>
      </c>
    </row>
    <row r="254" spans="1:23" ht="31.95" customHeight="1" thickBot="1" x14ac:dyDescent="0.35">
      <c r="A254" s="15">
        <f t="shared" si="33"/>
        <v>1</v>
      </c>
      <c r="B254" s="26">
        <v>44831</v>
      </c>
      <c r="C254" s="51">
        <f t="shared" si="39"/>
        <v>250</v>
      </c>
      <c r="D254" s="27" t="s">
        <v>1206</v>
      </c>
      <c r="E254" s="26" t="s">
        <v>43</v>
      </c>
      <c r="F254" s="28" t="s">
        <v>11</v>
      </c>
      <c r="G254" s="28" t="s">
        <v>11</v>
      </c>
      <c r="H254" s="254"/>
      <c r="I254" s="49">
        <v>1</v>
      </c>
      <c r="J254" s="49">
        <v>1</v>
      </c>
      <c r="K254" s="52">
        <f t="shared" si="34"/>
        <v>1</v>
      </c>
      <c r="L254" s="209">
        <f t="shared" si="35"/>
        <v>0</v>
      </c>
      <c r="M254" s="210">
        <f t="shared" si="36"/>
        <v>0</v>
      </c>
      <c r="N254" s="26">
        <v>44831</v>
      </c>
      <c r="O254" s="26">
        <v>44831</v>
      </c>
      <c r="P254" s="26">
        <v>44831</v>
      </c>
      <c r="Q254" s="2">
        <f t="shared" si="30"/>
        <v>1</v>
      </c>
      <c r="S254" s="7">
        <f t="shared" si="37"/>
        <v>1</v>
      </c>
      <c r="T254" s="157">
        <f t="shared" si="38"/>
        <v>1</v>
      </c>
      <c r="V254" s="191">
        <f t="shared" si="31"/>
        <v>9</v>
      </c>
      <c r="W254" s="7">
        <f t="shared" si="32"/>
        <v>2022</v>
      </c>
    </row>
    <row r="255" spans="1:23" ht="31.95" customHeight="1" thickBot="1" x14ac:dyDescent="0.35">
      <c r="A255" s="15">
        <f t="shared" si="33"/>
        <v>3</v>
      </c>
      <c r="B255" s="26">
        <v>44838</v>
      </c>
      <c r="C255" s="51">
        <f t="shared" si="39"/>
        <v>251</v>
      </c>
      <c r="D255" s="27" t="s">
        <v>269</v>
      </c>
      <c r="E255" s="26" t="s">
        <v>45</v>
      </c>
      <c r="F255" s="28" t="s">
        <v>11</v>
      </c>
      <c r="G255" s="28" t="s">
        <v>11</v>
      </c>
      <c r="H255" s="254"/>
      <c r="I255" s="49">
        <v>3</v>
      </c>
      <c r="J255" s="49">
        <v>3</v>
      </c>
      <c r="K255" s="52">
        <f t="shared" si="34"/>
        <v>1</v>
      </c>
      <c r="L255" s="209">
        <f t="shared" si="35"/>
        <v>0</v>
      </c>
      <c r="M255" s="210">
        <f t="shared" si="36"/>
        <v>0</v>
      </c>
      <c r="N255" s="26">
        <v>44839</v>
      </c>
      <c r="O255" s="26">
        <v>44839</v>
      </c>
      <c r="P255" s="26">
        <v>44839</v>
      </c>
      <c r="Q255" s="2">
        <f t="shared" si="30"/>
        <v>1</v>
      </c>
      <c r="S255" s="7">
        <f t="shared" si="37"/>
        <v>1</v>
      </c>
      <c r="T255" s="157">
        <f t="shared" si="38"/>
        <v>1</v>
      </c>
      <c r="V255" s="191">
        <f t="shared" si="31"/>
        <v>10</v>
      </c>
      <c r="W255" s="7">
        <f t="shared" si="32"/>
        <v>2022</v>
      </c>
    </row>
    <row r="256" spans="1:23" ht="31.95" customHeight="1" thickBot="1" x14ac:dyDescent="0.35">
      <c r="A256" s="15">
        <f t="shared" si="33"/>
        <v>1</v>
      </c>
      <c r="B256" s="26">
        <v>44855</v>
      </c>
      <c r="C256" s="51">
        <f t="shared" si="39"/>
        <v>252</v>
      </c>
      <c r="D256" s="27" t="s">
        <v>524</v>
      </c>
      <c r="E256" s="26" t="s">
        <v>48</v>
      </c>
      <c r="F256" s="28" t="s">
        <v>11</v>
      </c>
      <c r="G256" s="28" t="s">
        <v>11</v>
      </c>
      <c r="H256" s="254"/>
      <c r="I256" s="49">
        <v>1</v>
      </c>
      <c r="J256" s="49">
        <v>1</v>
      </c>
      <c r="K256" s="52">
        <f t="shared" si="34"/>
        <v>1</v>
      </c>
      <c r="L256" s="209">
        <f t="shared" si="35"/>
        <v>0</v>
      </c>
      <c r="M256" s="210">
        <f t="shared" si="36"/>
        <v>0</v>
      </c>
      <c r="N256" s="26">
        <v>44855</v>
      </c>
      <c r="O256" s="26">
        <v>44855</v>
      </c>
      <c r="P256" s="26">
        <v>44855</v>
      </c>
      <c r="Q256" s="2">
        <f t="shared" si="30"/>
        <v>1</v>
      </c>
      <c r="S256" s="7">
        <f t="shared" si="37"/>
        <v>1</v>
      </c>
      <c r="T256" s="157">
        <f t="shared" si="38"/>
        <v>1</v>
      </c>
      <c r="V256" s="191">
        <f t="shared" si="31"/>
        <v>10</v>
      </c>
      <c r="W256" s="7">
        <f t="shared" si="32"/>
        <v>2022</v>
      </c>
    </row>
    <row r="257" spans="1:23" ht="31.95" customHeight="1" thickBot="1" x14ac:dyDescent="0.35">
      <c r="A257" s="15">
        <f t="shared" si="33"/>
        <v>1</v>
      </c>
      <c r="B257" s="26">
        <v>44860</v>
      </c>
      <c r="C257" s="51">
        <f t="shared" si="39"/>
        <v>253</v>
      </c>
      <c r="D257" s="27" t="s">
        <v>871</v>
      </c>
      <c r="E257" s="26" t="s">
        <v>48</v>
      </c>
      <c r="F257" s="28" t="s">
        <v>11</v>
      </c>
      <c r="G257" s="28" t="s">
        <v>11</v>
      </c>
      <c r="H257" s="254"/>
      <c r="I257" s="49">
        <v>1</v>
      </c>
      <c r="J257" s="49">
        <v>1</v>
      </c>
      <c r="K257" s="52">
        <f t="shared" si="34"/>
        <v>1</v>
      </c>
      <c r="L257" s="209">
        <f t="shared" si="35"/>
        <v>0</v>
      </c>
      <c r="M257" s="210">
        <f t="shared" si="36"/>
        <v>0</v>
      </c>
      <c r="N257" s="26">
        <v>44860</v>
      </c>
      <c r="O257" s="26">
        <v>44860</v>
      </c>
      <c r="P257" s="26">
        <v>44860</v>
      </c>
      <c r="Q257" s="2">
        <f t="shared" si="30"/>
        <v>1</v>
      </c>
      <c r="S257" s="7">
        <f t="shared" si="37"/>
        <v>1</v>
      </c>
      <c r="T257" s="157">
        <f t="shared" si="38"/>
        <v>1</v>
      </c>
      <c r="V257" s="191">
        <f t="shared" si="31"/>
        <v>10</v>
      </c>
      <c r="W257" s="7">
        <f t="shared" si="32"/>
        <v>2022</v>
      </c>
    </row>
    <row r="258" spans="1:23" ht="31.95" customHeight="1" thickBot="1" x14ac:dyDescent="0.35">
      <c r="A258" s="15">
        <f t="shared" si="33"/>
        <v>1</v>
      </c>
      <c r="B258" s="26">
        <v>44873</v>
      </c>
      <c r="C258" s="51">
        <f t="shared" si="39"/>
        <v>254</v>
      </c>
      <c r="D258" s="27" t="s">
        <v>978</v>
      </c>
      <c r="E258" s="26" t="s">
        <v>47</v>
      </c>
      <c r="F258" s="28" t="s">
        <v>11</v>
      </c>
      <c r="G258" s="28" t="s">
        <v>11</v>
      </c>
      <c r="H258" s="254"/>
      <c r="I258" s="49">
        <v>1</v>
      </c>
      <c r="J258" s="49">
        <v>1</v>
      </c>
      <c r="K258" s="52">
        <f t="shared" si="34"/>
        <v>1</v>
      </c>
      <c r="L258" s="209">
        <f t="shared" si="35"/>
        <v>0</v>
      </c>
      <c r="M258" s="210">
        <f t="shared" si="36"/>
        <v>0</v>
      </c>
      <c r="N258" s="26">
        <v>44875</v>
      </c>
      <c r="O258" s="26">
        <v>44875</v>
      </c>
      <c r="P258" s="26">
        <v>44875</v>
      </c>
      <c r="Q258" s="2">
        <f t="shared" si="30"/>
        <v>1</v>
      </c>
      <c r="S258" s="7">
        <f t="shared" si="37"/>
        <v>1</v>
      </c>
      <c r="T258" s="157">
        <f t="shared" si="38"/>
        <v>1</v>
      </c>
      <c r="V258" s="191">
        <f t="shared" si="31"/>
        <v>11</v>
      </c>
      <c r="W258" s="7">
        <f t="shared" si="32"/>
        <v>2022</v>
      </c>
    </row>
    <row r="259" spans="1:23" ht="31.95" customHeight="1" thickBot="1" x14ac:dyDescent="0.35">
      <c r="A259" s="15">
        <f t="shared" si="33"/>
        <v>2</v>
      </c>
      <c r="B259" s="26">
        <v>44873</v>
      </c>
      <c r="C259" s="51">
        <f t="shared" si="39"/>
        <v>255</v>
      </c>
      <c r="D259" s="27" t="s">
        <v>822</v>
      </c>
      <c r="E259" s="26" t="s">
        <v>47</v>
      </c>
      <c r="F259" s="28" t="s">
        <v>11</v>
      </c>
      <c r="G259" s="28" t="s">
        <v>11</v>
      </c>
      <c r="H259" s="254"/>
      <c r="I259" s="49">
        <v>2</v>
      </c>
      <c r="J259" s="49">
        <v>2</v>
      </c>
      <c r="K259" s="52">
        <f t="shared" si="34"/>
        <v>1</v>
      </c>
      <c r="L259" s="209">
        <f t="shared" si="35"/>
        <v>0</v>
      </c>
      <c r="M259" s="210">
        <f t="shared" si="36"/>
        <v>0</v>
      </c>
      <c r="N259" s="26">
        <v>44876</v>
      </c>
      <c r="O259" s="26">
        <v>44876</v>
      </c>
      <c r="P259" s="26">
        <v>44876</v>
      </c>
      <c r="Q259" s="2">
        <f t="shared" si="30"/>
        <v>1</v>
      </c>
      <c r="S259" s="7">
        <f t="shared" si="37"/>
        <v>1</v>
      </c>
      <c r="T259" s="157">
        <f t="shared" si="38"/>
        <v>1</v>
      </c>
      <c r="V259" s="191">
        <f t="shared" si="31"/>
        <v>11</v>
      </c>
      <c r="W259" s="7">
        <f t="shared" si="32"/>
        <v>2022</v>
      </c>
    </row>
    <row r="260" spans="1:23" ht="31.95" customHeight="1" thickBot="1" x14ac:dyDescent="0.35">
      <c r="A260" s="15">
        <f t="shared" si="33"/>
        <v>4</v>
      </c>
      <c r="B260" s="26">
        <v>44876</v>
      </c>
      <c r="C260" s="51">
        <f t="shared" si="39"/>
        <v>256</v>
      </c>
      <c r="D260" s="27" t="s">
        <v>427</v>
      </c>
      <c r="E260" s="26" t="s">
        <v>40</v>
      </c>
      <c r="F260" s="28" t="s">
        <v>11</v>
      </c>
      <c r="G260" s="28" t="s">
        <v>11</v>
      </c>
      <c r="H260" s="254"/>
      <c r="I260" s="49">
        <v>4</v>
      </c>
      <c r="J260" s="49">
        <v>4</v>
      </c>
      <c r="K260" s="52">
        <f t="shared" si="34"/>
        <v>1</v>
      </c>
      <c r="L260" s="209">
        <f t="shared" si="35"/>
        <v>0</v>
      </c>
      <c r="M260" s="210">
        <f t="shared" si="36"/>
        <v>0</v>
      </c>
      <c r="N260" s="26">
        <v>44890</v>
      </c>
      <c r="O260" s="26">
        <v>44890</v>
      </c>
      <c r="P260" s="26">
        <v>44890</v>
      </c>
      <c r="Q260" s="2">
        <f t="shared" si="30"/>
        <v>1</v>
      </c>
      <c r="S260" s="7">
        <f t="shared" si="37"/>
        <v>1</v>
      </c>
      <c r="T260" s="157">
        <f t="shared" si="38"/>
        <v>1</v>
      </c>
      <c r="V260" s="191">
        <f t="shared" si="31"/>
        <v>11</v>
      </c>
      <c r="W260" s="7">
        <f t="shared" si="32"/>
        <v>2022</v>
      </c>
    </row>
    <row r="261" spans="1:23" ht="31.95" customHeight="1" thickBot="1" x14ac:dyDescent="0.35">
      <c r="A261" s="15">
        <f t="shared" si="33"/>
        <v>4</v>
      </c>
      <c r="B261" s="26">
        <v>44876</v>
      </c>
      <c r="C261" s="51">
        <f t="shared" si="39"/>
        <v>257</v>
      </c>
      <c r="D261" s="27" t="s">
        <v>890</v>
      </c>
      <c r="E261" s="26" t="s">
        <v>40</v>
      </c>
      <c r="F261" s="28" t="s">
        <v>11</v>
      </c>
      <c r="G261" s="28" t="s">
        <v>11</v>
      </c>
      <c r="H261" s="254"/>
      <c r="I261" s="49">
        <v>4</v>
      </c>
      <c r="J261" s="49">
        <v>4</v>
      </c>
      <c r="K261" s="52">
        <f t="shared" si="34"/>
        <v>1</v>
      </c>
      <c r="L261" s="209">
        <f t="shared" si="35"/>
        <v>0</v>
      </c>
      <c r="M261" s="210">
        <f t="shared" si="36"/>
        <v>0</v>
      </c>
      <c r="N261" s="26">
        <v>44890</v>
      </c>
      <c r="O261" s="26">
        <v>44890</v>
      </c>
      <c r="P261" s="26">
        <v>44890</v>
      </c>
      <c r="Q261" s="2">
        <f t="shared" ref="Q261:Q324" si="40">IF(B261&lt;&gt;"",1,0)</f>
        <v>1</v>
      </c>
      <c r="S261" s="7">
        <f t="shared" si="37"/>
        <v>1</v>
      </c>
      <c r="T261" s="157">
        <f t="shared" si="38"/>
        <v>1</v>
      </c>
      <c r="V261" s="191">
        <f t="shared" ref="V261:V324" si="41">MONTH(B261)</f>
        <v>11</v>
      </c>
      <c r="W261" s="7">
        <f t="shared" ref="W261:W324" si="42">YEAR(B261)</f>
        <v>2022</v>
      </c>
    </row>
    <row r="262" spans="1:23" ht="31.95" customHeight="1" thickBot="1" x14ac:dyDescent="0.35">
      <c r="A262" s="15">
        <f t="shared" ref="A262:A325" si="43">J262</f>
        <v>3</v>
      </c>
      <c r="B262" s="26">
        <v>44876</v>
      </c>
      <c r="C262" s="51">
        <f t="shared" si="39"/>
        <v>258</v>
      </c>
      <c r="D262" s="27" t="s">
        <v>1092</v>
      </c>
      <c r="E262" s="26" t="s">
        <v>40</v>
      </c>
      <c r="F262" s="28" t="s">
        <v>11</v>
      </c>
      <c r="G262" s="28" t="s">
        <v>11</v>
      </c>
      <c r="H262" s="254"/>
      <c r="I262" s="49">
        <v>3</v>
      </c>
      <c r="J262" s="49">
        <v>3</v>
      </c>
      <c r="K262" s="52">
        <f t="shared" ref="K262:K325" si="44">IFERROR(J262/I262,"")</f>
        <v>1</v>
      </c>
      <c r="L262" s="209">
        <f t="shared" ref="L262:L325" si="45">IF(I262="","",I262-J262)</f>
        <v>0</v>
      </c>
      <c r="M262" s="210">
        <f t="shared" ref="M262:M325" si="46">IFERROR(1-K262,"")</f>
        <v>0</v>
      </c>
      <c r="N262" s="26">
        <v>44883</v>
      </c>
      <c r="O262" s="26">
        <v>44883</v>
      </c>
      <c r="P262" s="26">
        <v>44883</v>
      </c>
      <c r="Q262" s="2">
        <f t="shared" si="40"/>
        <v>1</v>
      </c>
      <c r="S262" s="7">
        <f t="shared" ref="S262:S325" si="47">IF(AND(O262&lt;=N262,O262&lt;&gt;""),1,0)</f>
        <v>1</v>
      </c>
      <c r="T262" s="157">
        <f t="shared" ref="T262:T325" si="48">IF(AND(P262&lt;=N262,P262&lt;&gt;""),1,0)</f>
        <v>1</v>
      </c>
      <c r="V262" s="191">
        <f t="shared" si="41"/>
        <v>11</v>
      </c>
      <c r="W262" s="7">
        <f t="shared" si="42"/>
        <v>2022</v>
      </c>
    </row>
    <row r="263" spans="1:23" ht="31.95" customHeight="1" thickBot="1" x14ac:dyDescent="0.35">
      <c r="A263" s="15">
        <f t="shared" si="43"/>
        <v>1</v>
      </c>
      <c r="B263" s="26">
        <v>44876</v>
      </c>
      <c r="C263" s="51">
        <f t="shared" ref="C263:C326" si="49">IF(B263&lt;&gt;"",C262+1,"")</f>
        <v>259</v>
      </c>
      <c r="D263" s="27" t="s">
        <v>1150</v>
      </c>
      <c r="E263" s="26" t="s">
        <v>40</v>
      </c>
      <c r="F263" s="28" t="s">
        <v>11</v>
      </c>
      <c r="G263" s="28" t="s">
        <v>11</v>
      </c>
      <c r="H263" s="254"/>
      <c r="I263" s="49">
        <v>1</v>
      </c>
      <c r="J263" s="49">
        <v>1</v>
      </c>
      <c r="K263" s="52">
        <f t="shared" si="44"/>
        <v>1</v>
      </c>
      <c r="L263" s="209">
        <f t="shared" si="45"/>
        <v>0</v>
      </c>
      <c r="M263" s="210">
        <f t="shared" si="46"/>
        <v>0</v>
      </c>
      <c r="N263" s="26">
        <v>44879</v>
      </c>
      <c r="O263" s="26">
        <v>44879</v>
      </c>
      <c r="P263" s="26">
        <v>44879</v>
      </c>
      <c r="Q263" s="2">
        <f t="shared" si="40"/>
        <v>1</v>
      </c>
      <c r="S263" s="7">
        <f t="shared" si="47"/>
        <v>1</v>
      </c>
      <c r="T263" s="157">
        <f t="shared" si="48"/>
        <v>1</v>
      </c>
      <c r="V263" s="191">
        <f t="shared" si="41"/>
        <v>11</v>
      </c>
      <c r="W263" s="7">
        <f t="shared" si="42"/>
        <v>2022</v>
      </c>
    </row>
    <row r="264" spans="1:23" ht="31.95" customHeight="1" thickBot="1" x14ac:dyDescent="0.35">
      <c r="A264" s="15">
        <f t="shared" si="43"/>
        <v>1</v>
      </c>
      <c r="B264" s="26">
        <v>44876</v>
      </c>
      <c r="C264" s="51">
        <f t="shared" si="49"/>
        <v>260</v>
      </c>
      <c r="D264" s="27" t="s">
        <v>1206</v>
      </c>
      <c r="E264" s="26" t="s">
        <v>46</v>
      </c>
      <c r="F264" s="28" t="s">
        <v>11</v>
      </c>
      <c r="G264" s="28" t="s">
        <v>11</v>
      </c>
      <c r="H264" s="254"/>
      <c r="I264" s="49">
        <v>1</v>
      </c>
      <c r="J264" s="49">
        <v>1</v>
      </c>
      <c r="K264" s="52">
        <f t="shared" si="44"/>
        <v>1</v>
      </c>
      <c r="L264" s="209">
        <f t="shared" si="45"/>
        <v>0</v>
      </c>
      <c r="M264" s="210">
        <f t="shared" si="46"/>
        <v>0</v>
      </c>
      <c r="N264" s="26">
        <v>44876</v>
      </c>
      <c r="O264" s="26">
        <v>44876</v>
      </c>
      <c r="P264" s="26">
        <v>44876</v>
      </c>
      <c r="Q264" s="2">
        <f t="shared" si="40"/>
        <v>1</v>
      </c>
      <c r="S264" s="7">
        <f t="shared" si="47"/>
        <v>1</v>
      </c>
      <c r="T264" s="157">
        <f t="shared" si="48"/>
        <v>1</v>
      </c>
      <c r="V264" s="191">
        <f t="shared" si="41"/>
        <v>11</v>
      </c>
      <c r="W264" s="7">
        <f t="shared" si="42"/>
        <v>2022</v>
      </c>
    </row>
    <row r="265" spans="1:23" ht="31.95" customHeight="1" thickBot="1" x14ac:dyDescent="0.35">
      <c r="A265" s="15">
        <f t="shared" si="43"/>
        <v>6</v>
      </c>
      <c r="B265" s="26">
        <v>44882</v>
      </c>
      <c r="C265" s="51">
        <f t="shared" si="49"/>
        <v>261</v>
      </c>
      <c r="D265" s="27" t="s">
        <v>871</v>
      </c>
      <c r="E265" s="26" t="s">
        <v>50</v>
      </c>
      <c r="F265" s="28" t="s">
        <v>11</v>
      </c>
      <c r="G265" s="28" t="s">
        <v>11</v>
      </c>
      <c r="H265" s="254"/>
      <c r="I265" s="49">
        <v>6</v>
      </c>
      <c r="J265" s="49">
        <v>6</v>
      </c>
      <c r="K265" s="52">
        <f t="shared" si="44"/>
        <v>1</v>
      </c>
      <c r="L265" s="209">
        <f t="shared" si="45"/>
        <v>0</v>
      </c>
      <c r="M265" s="210">
        <f t="shared" si="46"/>
        <v>0</v>
      </c>
      <c r="N265" s="26">
        <v>44887</v>
      </c>
      <c r="O265" s="26">
        <v>44887</v>
      </c>
      <c r="P265" s="26">
        <v>44887</v>
      </c>
      <c r="Q265" s="2">
        <f t="shared" si="40"/>
        <v>1</v>
      </c>
      <c r="S265" s="7">
        <f t="shared" si="47"/>
        <v>1</v>
      </c>
      <c r="T265" s="157">
        <f t="shared" si="48"/>
        <v>1</v>
      </c>
      <c r="V265" s="191">
        <f t="shared" si="41"/>
        <v>11</v>
      </c>
      <c r="W265" s="7">
        <f t="shared" si="42"/>
        <v>2022</v>
      </c>
    </row>
    <row r="266" spans="1:23" ht="31.95" customHeight="1" thickBot="1" x14ac:dyDescent="0.35">
      <c r="A266" s="15">
        <f t="shared" si="43"/>
        <v>3</v>
      </c>
      <c r="B266" s="26">
        <v>44882</v>
      </c>
      <c r="C266" s="51">
        <f t="shared" si="49"/>
        <v>262</v>
      </c>
      <c r="D266" s="27" t="s">
        <v>890</v>
      </c>
      <c r="E266" s="26" t="s">
        <v>50</v>
      </c>
      <c r="F266" s="28" t="s">
        <v>11</v>
      </c>
      <c r="G266" s="28" t="s">
        <v>11</v>
      </c>
      <c r="H266" s="254"/>
      <c r="I266" s="49">
        <v>3</v>
      </c>
      <c r="J266" s="49">
        <v>3</v>
      </c>
      <c r="K266" s="52">
        <f t="shared" si="44"/>
        <v>1</v>
      </c>
      <c r="L266" s="209">
        <f t="shared" si="45"/>
        <v>0</v>
      </c>
      <c r="M266" s="210">
        <f t="shared" si="46"/>
        <v>0</v>
      </c>
      <c r="N266" s="26">
        <v>44883</v>
      </c>
      <c r="O266" s="26">
        <v>44883</v>
      </c>
      <c r="P266" s="26">
        <v>44883</v>
      </c>
      <c r="Q266" s="2">
        <f t="shared" si="40"/>
        <v>1</v>
      </c>
      <c r="S266" s="7">
        <f t="shared" si="47"/>
        <v>1</v>
      </c>
      <c r="T266" s="157">
        <f t="shared" si="48"/>
        <v>1</v>
      </c>
      <c r="V266" s="191">
        <f t="shared" si="41"/>
        <v>11</v>
      </c>
      <c r="W266" s="7">
        <f t="shared" si="42"/>
        <v>2022</v>
      </c>
    </row>
    <row r="267" spans="1:23" ht="31.95" customHeight="1" thickBot="1" x14ac:dyDescent="0.35">
      <c r="A267" s="15">
        <f t="shared" si="43"/>
        <v>1</v>
      </c>
      <c r="B267" s="26">
        <v>44882</v>
      </c>
      <c r="C267" s="51">
        <f t="shared" si="49"/>
        <v>263</v>
      </c>
      <c r="D267" s="27" t="s">
        <v>280</v>
      </c>
      <c r="E267" s="26" t="s">
        <v>40</v>
      </c>
      <c r="F267" s="28" t="s">
        <v>11</v>
      </c>
      <c r="G267" s="28" t="s">
        <v>11</v>
      </c>
      <c r="H267" s="254"/>
      <c r="I267" s="49">
        <v>1</v>
      </c>
      <c r="J267" s="49">
        <v>1</v>
      </c>
      <c r="K267" s="52">
        <f t="shared" si="44"/>
        <v>1</v>
      </c>
      <c r="L267" s="209">
        <f t="shared" si="45"/>
        <v>0</v>
      </c>
      <c r="M267" s="210">
        <f t="shared" si="46"/>
        <v>0</v>
      </c>
      <c r="N267" s="26">
        <v>44888</v>
      </c>
      <c r="O267" s="26">
        <v>44888</v>
      </c>
      <c r="P267" s="26">
        <v>44888</v>
      </c>
      <c r="Q267" s="2">
        <f t="shared" si="40"/>
        <v>1</v>
      </c>
      <c r="S267" s="7">
        <f t="shared" si="47"/>
        <v>1</v>
      </c>
      <c r="T267" s="157">
        <f t="shared" si="48"/>
        <v>1</v>
      </c>
      <c r="V267" s="191">
        <f t="shared" si="41"/>
        <v>11</v>
      </c>
      <c r="W267" s="7">
        <f t="shared" si="42"/>
        <v>2022</v>
      </c>
    </row>
    <row r="268" spans="1:23" ht="31.95" customHeight="1" thickBot="1" x14ac:dyDescent="0.35">
      <c r="A268" s="15">
        <f t="shared" si="43"/>
        <v>1</v>
      </c>
      <c r="B268" s="26">
        <v>44882</v>
      </c>
      <c r="C268" s="51">
        <f t="shared" si="49"/>
        <v>264</v>
      </c>
      <c r="D268" s="27" t="s">
        <v>289</v>
      </c>
      <c r="E268" s="26" t="s">
        <v>40</v>
      </c>
      <c r="F268" s="28" t="s">
        <v>11</v>
      </c>
      <c r="G268" s="28" t="s">
        <v>11</v>
      </c>
      <c r="H268" s="254"/>
      <c r="I268" s="49">
        <v>1</v>
      </c>
      <c r="J268" s="49">
        <v>1</v>
      </c>
      <c r="K268" s="52">
        <f t="shared" si="44"/>
        <v>1</v>
      </c>
      <c r="L268" s="209">
        <f t="shared" si="45"/>
        <v>0</v>
      </c>
      <c r="M268" s="210">
        <f t="shared" si="46"/>
        <v>0</v>
      </c>
      <c r="N268" s="26">
        <v>44888</v>
      </c>
      <c r="O268" s="26">
        <v>44888</v>
      </c>
      <c r="P268" s="26">
        <v>44888</v>
      </c>
      <c r="Q268" s="2">
        <f t="shared" si="40"/>
        <v>1</v>
      </c>
      <c r="S268" s="7">
        <f t="shared" si="47"/>
        <v>1</v>
      </c>
      <c r="T268" s="157">
        <f t="shared" si="48"/>
        <v>1</v>
      </c>
      <c r="V268" s="191">
        <f t="shared" si="41"/>
        <v>11</v>
      </c>
      <c r="W268" s="7">
        <f t="shared" si="42"/>
        <v>2022</v>
      </c>
    </row>
    <row r="269" spans="1:23" ht="31.95" customHeight="1" thickBot="1" x14ac:dyDescent="0.35">
      <c r="A269" s="15">
        <f t="shared" si="43"/>
        <v>4</v>
      </c>
      <c r="B269" s="26">
        <v>44883</v>
      </c>
      <c r="C269" s="51">
        <f t="shared" si="49"/>
        <v>265</v>
      </c>
      <c r="D269" s="27" t="s">
        <v>978</v>
      </c>
      <c r="E269" s="26" t="s">
        <v>50</v>
      </c>
      <c r="F269" s="28" t="s">
        <v>11</v>
      </c>
      <c r="G269" s="28" t="s">
        <v>11</v>
      </c>
      <c r="H269" s="254"/>
      <c r="I269" s="49">
        <v>4</v>
      </c>
      <c r="J269" s="49">
        <v>4</v>
      </c>
      <c r="K269" s="52">
        <f t="shared" si="44"/>
        <v>1</v>
      </c>
      <c r="L269" s="209">
        <f t="shared" si="45"/>
        <v>0</v>
      </c>
      <c r="M269" s="210">
        <f t="shared" si="46"/>
        <v>0</v>
      </c>
      <c r="N269" s="26">
        <v>44886</v>
      </c>
      <c r="O269" s="26">
        <v>44886</v>
      </c>
      <c r="P269" s="26">
        <v>44886</v>
      </c>
      <c r="Q269" s="2">
        <f t="shared" si="40"/>
        <v>1</v>
      </c>
      <c r="S269" s="7">
        <f t="shared" si="47"/>
        <v>1</v>
      </c>
      <c r="T269" s="157">
        <f t="shared" si="48"/>
        <v>1</v>
      </c>
      <c r="V269" s="191">
        <f t="shared" si="41"/>
        <v>11</v>
      </c>
      <c r="W269" s="7">
        <f t="shared" si="42"/>
        <v>2022</v>
      </c>
    </row>
    <row r="270" spans="1:23" ht="31.95" customHeight="1" thickBot="1" x14ac:dyDescent="0.35">
      <c r="A270" s="15">
        <f t="shared" si="43"/>
        <v>1</v>
      </c>
      <c r="B270" s="26">
        <v>44883</v>
      </c>
      <c r="C270" s="51">
        <f t="shared" si="49"/>
        <v>266</v>
      </c>
      <c r="D270" s="27" t="s">
        <v>480</v>
      </c>
      <c r="E270" s="26" t="s">
        <v>40</v>
      </c>
      <c r="F270" s="28" t="s">
        <v>11</v>
      </c>
      <c r="G270" s="28" t="s">
        <v>11</v>
      </c>
      <c r="H270" s="254"/>
      <c r="I270" s="49">
        <v>1</v>
      </c>
      <c r="J270" s="49">
        <v>1</v>
      </c>
      <c r="K270" s="52">
        <f t="shared" si="44"/>
        <v>1</v>
      </c>
      <c r="L270" s="209">
        <f t="shared" si="45"/>
        <v>0</v>
      </c>
      <c r="M270" s="210">
        <f t="shared" si="46"/>
        <v>0</v>
      </c>
      <c r="N270" s="26">
        <v>44883</v>
      </c>
      <c r="O270" s="26">
        <v>44883</v>
      </c>
      <c r="P270" s="26">
        <v>44883</v>
      </c>
      <c r="Q270" s="2">
        <f t="shared" si="40"/>
        <v>1</v>
      </c>
      <c r="S270" s="7">
        <f t="shared" si="47"/>
        <v>1</v>
      </c>
      <c r="T270" s="157">
        <f t="shared" si="48"/>
        <v>1</v>
      </c>
      <c r="V270" s="191">
        <f t="shared" si="41"/>
        <v>11</v>
      </c>
      <c r="W270" s="7">
        <f t="shared" si="42"/>
        <v>2022</v>
      </c>
    </row>
    <row r="271" spans="1:23" ht="31.95" customHeight="1" thickBot="1" x14ac:dyDescent="0.35">
      <c r="A271" s="15">
        <f t="shared" si="43"/>
        <v>2</v>
      </c>
      <c r="B271" s="26">
        <v>44887</v>
      </c>
      <c r="C271" s="51">
        <f t="shared" si="49"/>
        <v>267</v>
      </c>
      <c r="D271" s="27" t="s">
        <v>858</v>
      </c>
      <c r="E271" s="26" t="s">
        <v>11</v>
      </c>
      <c r="F271" s="28" t="s">
        <v>11</v>
      </c>
      <c r="G271" s="28" t="s">
        <v>11</v>
      </c>
      <c r="H271" s="254"/>
      <c r="I271" s="49">
        <v>2</v>
      </c>
      <c r="J271" s="49">
        <v>2</v>
      </c>
      <c r="K271" s="52">
        <f t="shared" si="44"/>
        <v>1</v>
      </c>
      <c r="L271" s="209">
        <f t="shared" si="45"/>
        <v>0</v>
      </c>
      <c r="M271" s="210">
        <f t="shared" si="46"/>
        <v>0</v>
      </c>
      <c r="N271" s="26">
        <v>44887</v>
      </c>
      <c r="O271" s="26">
        <v>44887</v>
      </c>
      <c r="P271" s="26">
        <v>44887</v>
      </c>
      <c r="Q271" s="2">
        <f t="shared" si="40"/>
        <v>1</v>
      </c>
      <c r="S271" s="7">
        <f t="shared" si="47"/>
        <v>1</v>
      </c>
      <c r="T271" s="157">
        <f t="shared" si="48"/>
        <v>1</v>
      </c>
      <c r="V271" s="191">
        <f t="shared" si="41"/>
        <v>11</v>
      </c>
      <c r="W271" s="7">
        <f t="shared" si="42"/>
        <v>2022</v>
      </c>
    </row>
    <row r="272" spans="1:23" ht="31.95" customHeight="1" thickBot="1" x14ac:dyDescent="0.35">
      <c r="A272" s="15">
        <f t="shared" si="43"/>
        <v>1</v>
      </c>
      <c r="B272" s="26">
        <v>44887</v>
      </c>
      <c r="C272" s="51">
        <f t="shared" si="49"/>
        <v>268</v>
      </c>
      <c r="D272" s="27" t="s">
        <v>705</v>
      </c>
      <c r="E272" s="26" t="s">
        <v>11</v>
      </c>
      <c r="F272" s="28" t="s">
        <v>11</v>
      </c>
      <c r="G272" s="28" t="s">
        <v>11</v>
      </c>
      <c r="H272" s="254"/>
      <c r="I272" s="49">
        <v>1</v>
      </c>
      <c r="J272" s="49">
        <v>1</v>
      </c>
      <c r="K272" s="52">
        <f t="shared" si="44"/>
        <v>1</v>
      </c>
      <c r="L272" s="209">
        <f t="shared" si="45"/>
        <v>0</v>
      </c>
      <c r="M272" s="210">
        <f t="shared" si="46"/>
        <v>0</v>
      </c>
      <c r="N272" s="26">
        <v>44887</v>
      </c>
      <c r="O272" s="26">
        <v>44887</v>
      </c>
      <c r="P272" s="26">
        <v>44887</v>
      </c>
      <c r="Q272" s="2">
        <f t="shared" si="40"/>
        <v>1</v>
      </c>
      <c r="S272" s="7">
        <f t="shared" si="47"/>
        <v>1</v>
      </c>
      <c r="T272" s="157">
        <f t="shared" si="48"/>
        <v>1</v>
      </c>
      <c r="V272" s="191">
        <f t="shared" si="41"/>
        <v>11</v>
      </c>
      <c r="W272" s="7">
        <f t="shared" si="42"/>
        <v>2022</v>
      </c>
    </row>
    <row r="273" spans="1:23" ht="31.95" customHeight="1" thickBot="1" x14ac:dyDescent="0.35">
      <c r="A273" s="15">
        <f t="shared" si="43"/>
        <v>7</v>
      </c>
      <c r="B273" s="26">
        <v>44887</v>
      </c>
      <c r="C273" s="51">
        <f t="shared" si="49"/>
        <v>269</v>
      </c>
      <c r="D273" s="27" t="s">
        <v>305</v>
      </c>
      <c r="E273" s="26" t="s">
        <v>11</v>
      </c>
      <c r="F273" s="28" t="s">
        <v>11</v>
      </c>
      <c r="G273" s="28" t="s">
        <v>11</v>
      </c>
      <c r="H273" s="254"/>
      <c r="I273" s="49">
        <v>7</v>
      </c>
      <c r="J273" s="49">
        <v>7</v>
      </c>
      <c r="K273" s="52">
        <f t="shared" si="44"/>
        <v>1</v>
      </c>
      <c r="L273" s="209">
        <f t="shared" si="45"/>
        <v>0</v>
      </c>
      <c r="M273" s="210">
        <f t="shared" si="46"/>
        <v>0</v>
      </c>
      <c r="N273" s="26">
        <v>44887</v>
      </c>
      <c r="O273" s="26">
        <v>44887</v>
      </c>
      <c r="P273" s="26">
        <v>44887</v>
      </c>
      <c r="Q273" s="2">
        <f t="shared" si="40"/>
        <v>1</v>
      </c>
      <c r="S273" s="7">
        <f t="shared" si="47"/>
        <v>1</v>
      </c>
      <c r="T273" s="157">
        <f t="shared" si="48"/>
        <v>1</v>
      </c>
      <c r="V273" s="191">
        <f t="shared" si="41"/>
        <v>11</v>
      </c>
      <c r="W273" s="7">
        <f t="shared" si="42"/>
        <v>2022</v>
      </c>
    </row>
    <row r="274" spans="1:23" ht="31.95" customHeight="1" thickBot="1" x14ac:dyDescent="0.35">
      <c r="A274" s="15">
        <f t="shared" si="43"/>
        <v>0</v>
      </c>
      <c r="B274" s="26">
        <v>44888</v>
      </c>
      <c r="C274" s="51">
        <f t="shared" si="49"/>
        <v>270</v>
      </c>
      <c r="D274" s="27" t="s">
        <v>427</v>
      </c>
      <c r="E274" s="26" t="s">
        <v>49</v>
      </c>
      <c r="F274" s="28" t="s">
        <v>11</v>
      </c>
      <c r="G274" s="28" t="s">
        <v>11</v>
      </c>
      <c r="H274" s="254"/>
      <c r="I274" s="49">
        <v>0</v>
      </c>
      <c r="J274" s="49">
        <v>0</v>
      </c>
      <c r="K274" s="52" t="str">
        <f t="shared" si="44"/>
        <v/>
      </c>
      <c r="L274" s="209">
        <f t="shared" si="45"/>
        <v>0</v>
      </c>
      <c r="M274" s="210" t="str">
        <f t="shared" si="46"/>
        <v/>
      </c>
      <c r="N274" s="26" t="s">
        <v>11</v>
      </c>
      <c r="O274" s="26" t="s">
        <v>11</v>
      </c>
      <c r="P274" s="26" t="s">
        <v>11</v>
      </c>
      <c r="Q274" s="2">
        <f t="shared" si="40"/>
        <v>1</v>
      </c>
      <c r="S274" s="7">
        <f t="shared" si="47"/>
        <v>1</v>
      </c>
      <c r="T274" s="157">
        <f t="shared" si="48"/>
        <v>1</v>
      </c>
      <c r="V274" s="191">
        <f t="shared" si="41"/>
        <v>11</v>
      </c>
      <c r="W274" s="7">
        <f t="shared" si="42"/>
        <v>2022</v>
      </c>
    </row>
    <row r="275" spans="1:23" ht="31.95" customHeight="1" thickBot="1" x14ac:dyDescent="0.35">
      <c r="A275" s="15">
        <f t="shared" si="43"/>
        <v>3</v>
      </c>
      <c r="B275" s="26">
        <v>44888</v>
      </c>
      <c r="C275" s="51">
        <f t="shared" si="49"/>
        <v>271</v>
      </c>
      <c r="D275" s="27" t="s">
        <v>1206</v>
      </c>
      <c r="E275" s="26" t="s">
        <v>43</v>
      </c>
      <c r="F275" s="28" t="s">
        <v>11</v>
      </c>
      <c r="G275" s="28" t="s">
        <v>11</v>
      </c>
      <c r="H275" s="254"/>
      <c r="I275" s="49">
        <v>3</v>
      </c>
      <c r="J275" s="49">
        <v>3</v>
      </c>
      <c r="K275" s="52">
        <f t="shared" si="44"/>
        <v>1</v>
      </c>
      <c r="L275" s="209">
        <f t="shared" si="45"/>
        <v>0</v>
      </c>
      <c r="M275" s="210">
        <f t="shared" si="46"/>
        <v>0</v>
      </c>
      <c r="N275" s="26">
        <v>44887</v>
      </c>
      <c r="O275" s="26">
        <v>44887</v>
      </c>
      <c r="P275" s="26">
        <v>44887</v>
      </c>
      <c r="Q275" s="2">
        <f t="shared" si="40"/>
        <v>1</v>
      </c>
      <c r="S275" s="7">
        <f t="shared" si="47"/>
        <v>1</v>
      </c>
      <c r="T275" s="157">
        <f t="shared" si="48"/>
        <v>1</v>
      </c>
      <c r="V275" s="191">
        <f t="shared" si="41"/>
        <v>11</v>
      </c>
      <c r="W275" s="7">
        <f t="shared" si="42"/>
        <v>2022</v>
      </c>
    </row>
    <row r="276" spans="1:23" ht="31.95" customHeight="1" thickBot="1" x14ac:dyDescent="0.35">
      <c r="A276" s="15">
        <f t="shared" si="43"/>
        <v>5</v>
      </c>
      <c r="B276" s="26">
        <v>44890</v>
      </c>
      <c r="C276" s="51">
        <f t="shared" si="49"/>
        <v>272</v>
      </c>
      <c r="D276" s="27" t="s">
        <v>885</v>
      </c>
      <c r="E276" s="26" t="s">
        <v>49</v>
      </c>
      <c r="F276" s="28" t="s">
        <v>11</v>
      </c>
      <c r="G276" s="28" t="s">
        <v>11</v>
      </c>
      <c r="H276" s="254"/>
      <c r="I276" s="49">
        <v>5</v>
      </c>
      <c r="J276" s="49">
        <v>5</v>
      </c>
      <c r="K276" s="52">
        <f t="shared" si="44"/>
        <v>1</v>
      </c>
      <c r="L276" s="209">
        <f t="shared" si="45"/>
        <v>0</v>
      </c>
      <c r="M276" s="210">
        <f t="shared" si="46"/>
        <v>0</v>
      </c>
      <c r="N276" s="26">
        <v>44895</v>
      </c>
      <c r="O276" s="26">
        <v>44895</v>
      </c>
      <c r="P276" s="26">
        <v>44895</v>
      </c>
      <c r="Q276" s="2">
        <f t="shared" si="40"/>
        <v>1</v>
      </c>
      <c r="S276" s="7">
        <f t="shared" si="47"/>
        <v>1</v>
      </c>
      <c r="T276" s="157">
        <f t="shared" si="48"/>
        <v>1</v>
      </c>
      <c r="V276" s="191">
        <f t="shared" si="41"/>
        <v>11</v>
      </c>
      <c r="W276" s="7">
        <f t="shared" si="42"/>
        <v>2022</v>
      </c>
    </row>
    <row r="277" spans="1:23" ht="31.95" customHeight="1" thickBot="1" x14ac:dyDescent="0.35">
      <c r="A277" s="15">
        <f t="shared" si="43"/>
        <v>19</v>
      </c>
      <c r="B277" s="26">
        <v>44893</v>
      </c>
      <c r="C277" s="51">
        <f t="shared" si="49"/>
        <v>273</v>
      </c>
      <c r="D277" s="27" t="s">
        <v>1041</v>
      </c>
      <c r="E277" s="26" t="s">
        <v>49</v>
      </c>
      <c r="F277" s="28" t="s">
        <v>11</v>
      </c>
      <c r="G277" s="28" t="s">
        <v>11</v>
      </c>
      <c r="H277" s="254"/>
      <c r="I277" s="49">
        <v>19</v>
      </c>
      <c r="J277" s="49">
        <v>19</v>
      </c>
      <c r="K277" s="52">
        <f t="shared" si="44"/>
        <v>1</v>
      </c>
      <c r="L277" s="209">
        <f t="shared" si="45"/>
        <v>0</v>
      </c>
      <c r="M277" s="210">
        <f t="shared" si="46"/>
        <v>0</v>
      </c>
      <c r="N277" s="26">
        <v>44901</v>
      </c>
      <c r="O277" s="26">
        <v>44901</v>
      </c>
      <c r="P277" s="26">
        <v>44901</v>
      </c>
      <c r="Q277" s="2">
        <f t="shared" si="40"/>
        <v>1</v>
      </c>
      <c r="S277" s="7">
        <f t="shared" si="47"/>
        <v>1</v>
      </c>
      <c r="T277" s="157">
        <f t="shared" si="48"/>
        <v>1</v>
      </c>
      <c r="V277" s="191">
        <f t="shared" si="41"/>
        <v>11</v>
      </c>
      <c r="W277" s="7">
        <f t="shared" si="42"/>
        <v>2022</v>
      </c>
    </row>
    <row r="278" spans="1:23" ht="31.95" customHeight="1" thickBot="1" x14ac:dyDescent="0.35">
      <c r="A278" s="15">
        <f t="shared" si="43"/>
        <v>1</v>
      </c>
      <c r="B278" s="26">
        <v>44894</v>
      </c>
      <c r="C278" s="51">
        <f t="shared" si="49"/>
        <v>274</v>
      </c>
      <c r="D278" s="27" t="s">
        <v>890</v>
      </c>
      <c r="E278" s="26" t="s">
        <v>50</v>
      </c>
      <c r="F278" s="28" t="s">
        <v>11</v>
      </c>
      <c r="G278" s="28" t="s">
        <v>11</v>
      </c>
      <c r="H278" s="254"/>
      <c r="I278" s="49">
        <v>1</v>
      </c>
      <c r="J278" s="49">
        <v>1</v>
      </c>
      <c r="K278" s="52">
        <f t="shared" si="44"/>
        <v>1</v>
      </c>
      <c r="L278" s="209">
        <f t="shared" si="45"/>
        <v>0</v>
      </c>
      <c r="M278" s="210">
        <f t="shared" si="46"/>
        <v>0</v>
      </c>
      <c r="N278" s="26">
        <v>44894</v>
      </c>
      <c r="O278" s="26">
        <v>44894</v>
      </c>
      <c r="P278" s="26">
        <v>44894</v>
      </c>
      <c r="Q278" s="2">
        <f t="shared" si="40"/>
        <v>1</v>
      </c>
      <c r="S278" s="7">
        <f t="shared" si="47"/>
        <v>1</v>
      </c>
      <c r="T278" s="157">
        <f t="shared" si="48"/>
        <v>1</v>
      </c>
      <c r="V278" s="191">
        <f t="shared" si="41"/>
        <v>11</v>
      </c>
      <c r="W278" s="7">
        <f t="shared" si="42"/>
        <v>2022</v>
      </c>
    </row>
    <row r="279" spans="1:23" ht="31.95" customHeight="1" thickBot="1" x14ac:dyDescent="0.35">
      <c r="A279" s="15">
        <f t="shared" si="43"/>
        <v>1</v>
      </c>
      <c r="B279" s="26">
        <v>44894</v>
      </c>
      <c r="C279" s="51">
        <f t="shared" si="49"/>
        <v>275</v>
      </c>
      <c r="D279" s="27" t="s">
        <v>321</v>
      </c>
      <c r="E279" s="26" t="s">
        <v>50</v>
      </c>
      <c r="F279" s="28" t="s">
        <v>11</v>
      </c>
      <c r="G279" s="28" t="s">
        <v>11</v>
      </c>
      <c r="H279" s="254"/>
      <c r="I279" s="49">
        <v>1</v>
      </c>
      <c r="J279" s="49">
        <v>1</v>
      </c>
      <c r="K279" s="52">
        <f t="shared" si="44"/>
        <v>1</v>
      </c>
      <c r="L279" s="209">
        <f t="shared" si="45"/>
        <v>0</v>
      </c>
      <c r="M279" s="210">
        <f t="shared" si="46"/>
        <v>0</v>
      </c>
      <c r="N279" s="26">
        <v>44894</v>
      </c>
      <c r="O279" s="26">
        <v>44894</v>
      </c>
      <c r="P279" s="26">
        <v>44894</v>
      </c>
      <c r="Q279" s="2">
        <f t="shared" si="40"/>
        <v>1</v>
      </c>
      <c r="S279" s="7">
        <f t="shared" si="47"/>
        <v>1</v>
      </c>
      <c r="T279" s="157">
        <f t="shared" si="48"/>
        <v>1</v>
      </c>
      <c r="V279" s="191">
        <f t="shared" si="41"/>
        <v>11</v>
      </c>
      <c r="W279" s="7">
        <f t="shared" si="42"/>
        <v>2022</v>
      </c>
    </row>
    <row r="280" spans="1:23" ht="31.95" customHeight="1" thickBot="1" x14ac:dyDescent="0.35">
      <c r="A280" s="15">
        <f t="shared" si="43"/>
        <v>1</v>
      </c>
      <c r="B280" s="26">
        <v>44894</v>
      </c>
      <c r="C280" s="51">
        <f t="shared" si="49"/>
        <v>276</v>
      </c>
      <c r="D280" s="27" t="s">
        <v>705</v>
      </c>
      <c r="E280" s="26" t="s">
        <v>11</v>
      </c>
      <c r="F280" s="28" t="s">
        <v>11</v>
      </c>
      <c r="G280" s="28" t="s">
        <v>11</v>
      </c>
      <c r="H280" s="254"/>
      <c r="I280" s="49">
        <v>1</v>
      </c>
      <c r="J280" s="49">
        <v>1</v>
      </c>
      <c r="K280" s="52">
        <f t="shared" si="44"/>
        <v>1</v>
      </c>
      <c r="L280" s="209">
        <f t="shared" si="45"/>
        <v>0</v>
      </c>
      <c r="M280" s="210">
        <f t="shared" si="46"/>
        <v>0</v>
      </c>
      <c r="N280" s="26">
        <v>44894</v>
      </c>
      <c r="O280" s="26">
        <v>44894</v>
      </c>
      <c r="P280" s="26">
        <v>44894</v>
      </c>
      <c r="Q280" s="2">
        <f t="shared" si="40"/>
        <v>1</v>
      </c>
      <c r="S280" s="7">
        <f t="shared" si="47"/>
        <v>1</v>
      </c>
      <c r="T280" s="157">
        <f t="shared" si="48"/>
        <v>1</v>
      </c>
      <c r="V280" s="191">
        <f t="shared" si="41"/>
        <v>11</v>
      </c>
      <c r="W280" s="7">
        <f t="shared" si="42"/>
        <v>2022</v>
      </c>
    </row>
    <row r="281" spans="1:23" ht="31.95" customHeight="1" thickBot="1" x14ac:dyDescent="0.35">
      <c r="A281" s="15">
        <f t="shared" si="43"/>
        <v>2</v>
      </c>
      <c r="B281" s="26">
        <v>44894</v>
      </c>
      <c r="C281" s="51">
        <f t="shared" si="49"/>
        <v>277</v>
      </c>
      <c r="D281" s="27" t="s">
        <v>305</v>
      </c>
      <c r="E281" s="26" t="s">
        <v>11</v>
      </c>
      <c r="F281" s="28" t="s">
        <v>11</v>
      </c>
      <c r="G281" s="28" t="s">
        <v>11</v>
      </c>
      <c r="H281" s="254"/>
      <c r="I281" s="49">
        <v>2</v>
      </c>
      <c r="J281" s="49">
        <v>2</v>
      </c>
      <c r="K281" s="52">
        <f t="shared" si="44"/>
        <v>1</v>
      </c>
      <c r="L281" s="209">
        <f t="shared" si="45"/>
        <v>0</v>
      </c>
      <c r="M281" s="210">
        <f t="shared" si="46"/>
        <v>0</v>
      </c>
      <c r="N281" s="26">
        <v>44894</v>
      </c>
      <c r="O281" s="26">
        <v>44894</v>
      </c>
      <c r="P281" s="26">
        <v>44894</v>
      </c>
      <c r="Q281" s="2">
        <f t="shared" si="40"/>
        <v>1</v>
      </c>
      <c r="S281" s="7">
        <f t="shared" si="47"/>
        <v>1</v>
      </c>
      <c r="T281" s="157">
        <f t="shared" si="48"/>
        <v>1</v>
      </c>
      <c r="V281" s="191">
        <f t="shared" si="41"/>
        <v>11</v>
      </c>
      <c r="W281" s="7">
        <f t="shared" si="42"/>
        <v>2022</v>
      </c>
    </row>
    <row r="282" spans="1:23" ht="31.95" customHeight="1" thickBot="1" x14ac:dyDescent="0.35">
      <c r="A282" s="15">
        <f t="shared" si="43"/>
        <v>1</v>
      </c>
      <c r="B282" s="26">
        <v>44896</v>
      </c>
      <c r="C282" s="51">
        <f t="shared" si="49"/>
        <v>278</v>
      </c>
      <c r="D282" s="27" t="s">
        <v>890</v>
      </c>
      <c r="E282" s="26" t="s">
        <v>40</v>
      </c>
      <c r="F282" s="28" t="s">
        <v>11</v>
      </c>
      <c r="G282" s="28" t="s">
        <v>11</v>
      </c>
      <c r="H282" s="254"/>
      <c r="I282" s="49">
        <v>1</v>
      </c>
      <c r="J282" s="49">
        <v>1</v>
      </c>
      <c r="K282" s="52">
        <f t="shared" si="44"/>
        <v>1</v>
      </c>
      <c r="L282" s="209">
        <f t="shared" si="45"/>
        <v>0</v>
      </c>
      <c r="M282" s="210">
        <f t="shared" si="46"/>
        <v>0</v>
      </c>
      <c r="N282" s="26">
        <v>44910</v>
      </c>
      <c r="O282" s="26">
        <v>44910</v>
      </c>
      <c r="P282" s="26">
        <v>44910</v>
      </c>
      <c r="Q282" s="2">
        <f t="shared" si="40"/>
        <v>1</v>
      </c>
      <c r="S282" s="7">
        <f t="shared" si="47"/>
        <v>1</v>
      </c>
      <c r="T282" s="157">
        <f t="shared" si="48"/>
        <v>1</v>
      </c>
      <c r="V282" s="191">
        <f t="shared" si="41"/>
        <v>12</v>
      </c>
      <c r="W282" s="7">
        <f t="shared" si="42"/>
        <v>2022</v>
      </c>
    </row>
    <row r="283" spans="1:23" ht="31.95" customHeight="1" thickBot="1" x14ac:dyDescent="0.35">
      <c r="A283" s="15">
        <f t="shared" si="43"/>
        <v>12</v>
      </c>
      <c r="B283" s="26">
        <v>44901</v>
      </c>
      <c r="C283" s="51">
        <f t="shared" si="49"/>
        <v>279</v>
      </c>
      <c r="D283" s="27" t="s">
        <v>915</v>
      </c>
      <c r="E283" s="26" t="s">
        <v>49</v>
      </c>
      <c r="F283" s="28" t="s">
        <v>11</v>
      </c>
      <c r="G283" s="28" t="s">
        <v>11</v>
      </c>
      <c r="H283" s="254"/>
      <c r="I283" s="49">
        <v>12</v>
      </c>
      <c r="J283" s="49">
        <v>12</v>
      </c>
      <c r="K283" s="52">
        <f t="shared" si="44"/>
        <v>1</v>
      </c>
      <c r="L283" s="209">
        <f t="shared" si="45"/>
        <v>0</v>
      </c>
      <c r="M283" s="210">
        <f t="shared" si="46"/>
        <v>0</v>
      </c>
      <c r="N283" s="26">
        <v>44914</v>
      </c>
      <c r="O283" s="26">
        <v>44914</v>
      </c>
      <c r="P283" s="26">
        <v>44914</v>
      </c>
      <c r="Q283" s="2">
        <f t="shared" si="40"/>
        <v>1</v>
      </c>
      <c r="S283" s="7">
        <f t="shared" si="47"/>
        <v>1</v>
      </c>
      <c r="T283" s="157">
        <f t="shared" si="48"/>
        <v>1</v>
      </c>
      <c r="V283" s="191">
        <f t="shared" si="41"/>
        <v>12</v>
      </c>
      <c r="W283" s="7">
        <f t="shared" si="42"/>
        <v>2022</v>
      </c>
    </row>
    <row r="284" spans="1:23" ht="31.95" customHeight="1" thickBot="1" x14ac:dyDescent="0.35">
      <c r="A284" s="15">
        <f t="shared" si="43"/>
        <v>1</v>
      </c>
      <c r="B284" s="26">
        <v>44902</v>
      </c>
      <c r="C284" s="51">
        <f t="shared" si="49"/>
        <v>280</v>
      </c>
      <c r="D284" s="27" t="s">
        <v>1086</v>
      </c>
      <c r="E284" s="26" t="s">
        <v>49</v>
      </c>
      <c r="F284" s="28" t="s">
        <v>11</v>
      </c>
      <c r="G284" s="28" t="s">
        <v>11</v>
      </c>
      <c r="H284" s="254"/>
      <c r="I284" s="49">
        <v>1</v>
      </c>
      <c r="J284" s="49">
        <v>1</v>
      </c>
      <c r="K284" s="52">
        <f t="shared" si="44"/>
        <v>1</v>
      </c>
      <c r="L284" s="209">
        <f t="shared" si="45"/>
        <v>0</v>
      </c>
      <c r="M284" s="210">
        <f t="shared" si="46"/>
        <v>0</v>
      </c>
      <c r="N284" s="26">
        <v>44902</v>
      </c>
      <c r="O284" s="26">
        <v>44902</v>
      </c>
      <c r="P284" s="26">
        <v>44902</v>
      </c>
      <c r="Q284" s="2">
        <f t="shared" si="40"/>
        <v>1</v>
      </c>
      <c r="S284" s="7">
        <f t="shared" si="47"/>
        <v>1</v>
      </c>
      <c r="T284" s="157">
        <f t="shared" si="48"/>
        <v>1</v>
      </c>
      <c r="V284" s="191">
        <f t="shared" si="41"/>
        <v>12</v>
      </c>
      <c r="W284" s="7">
        <f t="shared" si="42"/>
        <v>2022</v>
      </c>
    </row>
    <row r="285" spans="1:23" ht="31.95" customHeight="1" thickBot="1" x14ac:dyDescent="0.35">
      <c r="A285" s="15">
        <f t="shared" si="43"/>
        <v>4</v>
      </c>
      <c r="B285" s="26">
        <v>44902</v>
      </c>
      <c r="C285" s="51">
        <f t="shared" si="49"/>
        <v>281</v>
      </c>
      <c r="D285" s="27" t="s">
        <v>305</v>
      </c>
      <c r="E285" s="26" t="s">
        <v>11</v>
      </c>
      <c r="F285" s="28" t="s">
        <v>11</v>
      </c>
      <c r="G285" s="28" t="s">
        <v>11</v>
      </c>
      <c r="H285" s="254"/>
      <c r="I285" s="49">
        <v>4</v>
      </c>
      <c r="J285" s="49">
        <v>4</v>
      </c>
      <c r="K285" s="52">
        <f t="shared" si="44"/>
        <v>1</v>
      </c>
      <c r="L285" s="209">
        <f t="shared" si="45"/>
        <v>0</v>
      </c>
      <c r="M285" s="210">
        <f t="shared" si="46"/>
        <v>0</v>
      </c>
      <c r="N285" s="26">
        <v>44903</v>
      </c>
      <c r="O285" s="26">
        <v>44903</v>
      </c>
      <c r="P285" s="26">
        <v>44903</v>
      </c>
      <c r="Q285" s="2">
        <f t="shared" si="40"/>
        <v>1</v>
      </c>
      <c r="S285" s="7">
        <f t="shared" si="47"/>
        <v>1</v>
      </c>
      <c r="T285" s="157">
        <f t="shared" si="48"/>
        <v>1</v>
      </c>
      <c r="V285" s="191">
        <f t="shared" si="41"/>
        <v>12</v>
      </c>
      <c r="W285" s="7">
        <f t="shared" si="42"/>
        <v>2022</v>
      </c>
    </row>
    <row r="286" spans="1:23" ht="31.95" customHeight="1" thickBot="1" x14ac:dyDescent="0.35">
      <c r="A286" s="15">
        <f t="shared" si="43"/>
        <v>2</v>
      </c>
      <c r="B286" s="26">
        <v>44902</v>
      </c>
      <c r="C286" s="51">
        <f t="shared" si="49"/>
        <v>282</v>
      </c>
      <c r="D286" s="27" t="s">
        <v>705</v>
      </c>
      <c r="E286" s="26" t="s">
        <v>11</v>
      </c>
      <c r="F286" s="28" t="s">
        <v>11</v>
      </c>
      <c r="G286" s="28" t="s">
        <v>11</v>
      </c>
      <c r="H286" s="254"/>
      <c r="I286" s="49">
        <v>2</v>
      </c>
      <c r="J286" s="49">
        <v>2</v>
      </c>
      <c r="K286" s="52">
        <f t="shared" si="44"/>
        <v>1</v>
      </c>
      <c r="L286" s="209">
        <f t="shared" si="45"/>
        <v>0</v>
      </c>
      <c r="M286" s="210">
        <f t="shared" si="46"/>
        <v>0</v>
      </c>
      <c r="N286" s="26">
        <v>44903</v>
      </c>
      <c r="O286" s="26">
        <v>44903</v>
      </c>
      <c r="P286" s="26">
        <v>44903</v>
      </c>
      <c r="Q286" s="2">
        <f t="shared" si="40"/>
        <v>1</v>
      </c>
      <c r="S286" s="7">
        <f t="shared" si="47"/>
        <v>1</v>
      </c>
      <c r="T286" s="157">
        <f t="shared" si="48"/>
        <v>1</v>
      </c>
      <c r="V286" s="191">
        <f t="shared" si="41"/>
        <v>12</v>
      </c>
      <c r="W286" s="7">
        <f t="shared" si="42"/>
        <v>2022</v>
      </c>
    </row>
    <row r="287" spans="1:23" ht="31.95" customHeight="1" thickBot="1" x14ac:dyDescent="0.35">
      <c r="A287" s="15">
        <f t="shared" si="43"/>
        <v>1</v>
      </c>
      <c r="B287" s="26">
        <v>44902</v>
      </c>
      <c r="C287" s="51">
        <f t="shared" si="49"/>
        <v>283</v>
      </c>
      <c r="D287" s="27" t="s">
        <v>858</v>
      </c>
      <c r="E287" s="26" t="s">
        <v>11</v>
      </c>
      <c r="F287" s="28" t="s">
        <v>11</v>
      </c>
      <c r="G287" s="28" t="s">
        <v>11</v>
      </c>
      <c r="H287" s="254"/>
      <c r="I287" s="49">
        <v>1</v>
      </c>
      <c r="J287" s="49">
        <v>1</v>
      </c>
      <c r="K287" s="52">
        <f t="shared" si="44"/>
        <v>1</v>
      </c>
      <c r="L287" s="209">
        <f t="shared" si="45"/>
        <v>0</v>
      </c>
      <c r="M287" s="210">
        <f t="shared" si="46"/>
        <v>0</v>
      </c>
      <c r="N287" s="26">
        <v>44903</v>
      </c>
      <c r="O287" s="26">
        <v>44903</v>
      </c>
      <c r="P287" s="26">
        <v>44903</v>
      </c>
      <c r="Q287" s="2">
        <f t="shared" si="40"/>
        <v>1</v>
      </c>
      <c r="S287" s="7">
        <f t="shared" si="47"/>
        <v>1</v>
      </c>
      <c r="T287" s="157">
        <f t="shared" si="48"/>
        <v>1</v>
      </c>
      <c r="V287" s="191">
        <f t="shared" si="41"/>
        <v>12</v>
      </c>
      <c r="W287" s="7">
        <f t="shared" si="42"/>
        <v>2022</v>
      </c>
    </row>
    <row r="288" spans="1:23" ht="31.95" customHeight="1" thickBot="1" x14ac:dyDescent="0.35">
      <c r="A288" s="15">
        <f t="shared" si="43"/>
        <v>1</v>
      </c>
      <c r="B288" s="26">
        <v>44907</v>
      </c>
      <c r="C288" s="51">
        <f t="shared" si="49"/>
        <v>284</v>
      </c>
      <c r="D288" s="27" t="s">
        <v>871</v>
      </c>
      <c r="E288" s="26" t="s">
        <v>51</v>
      </c>
      <c r="F288" s="28" t="s">
        <v>11</v>
      </c>
      <c r="G288" s="28" t="s">
        <v>11</v>
      </c>
      <c r="H288" s="254"/>
      <c r="I288" s="49">
        <v>1</v>
      </c>
      <c r="J288" s="49">
        <v>1</v>
      </c>
      <c r="K288" s="52">
        <f t="shared" si="44"/>
        <v>1</v>
      </c>
      <c r="L288" s="209">
        <f t="shared" si="45"/>
        <v>0</v>
      </c>
      <c r="M288" s="210">
        <f t="shared" si="46"/>
        <v>0</v>
      </c>
      <c r="N288" s="26">
        <v>44908</v>
      </c>
      <c r="O288" s="26">
        <v>44908</v>
      </c>
      <c r="P288" s="26">
        <v>44908</v>
      </c>
      <c r="Q288" s="2">
        <f t="shared" si="40"/>
        <v>1</v>
      </c>
      <c r="S288" s="7">
        <f t="shared" si="47"/>
        <v>1</v>
      </c>
      <c r="T288" s="157">
        <f t="shared" si="48"/>
        <v>1</v>
      </c>
      <c r="V288" s="191">
        <f t="shared" si="41"/>
        <v>12</v>
      </c>
      <c r="W288" s="7">
        <f t="shared" si="42"/>
        <v>2022</v>
      </c>
    </row>
    <row r="289" spans="1:23" ht="31.95" customHeight="1" thickBot="1" x14ac:dyDescent="0.35">
      <c r="A289" s="15">
        <f t="shared" si="43"/>
        <v>1</v>
      </c>
      <c r="B289" s="26">
        <v>44907</v>
      </c>
      <c r="C289" s="51">
        <f t="shared" si="49"/>
        <v>285</v>
      </c>
      <c r="D289" s="27" t="s">
        <v>978</v>
      </c>
      <c r="E289" s="26" t="s">
        <v>51</v>
      </c>
      <c r="F289" s="28" t="s">
        <v>11</v>
      </c>
      <c r="G289" s="28" t="s">
        <v>11</v>
      </c>
      <c r="H289" s="254"/>
      <c r="I289" s="49">
        <v>1</v>
      </c>
      <c r="J289" s="49">
        <v>1</v>
      </c>
      <c r="K289" s="52">
        <f t="shared" si="44"/>
        <v>1</v>
      </c>
      <c r="L289" s="209">
        <f t="shared" si="45"/>
        <v>0</v>
      </c>
      <c r="M289" s="210">
        <f t="shared" si="46"/>
        <v>0</v>
      </c>
      <c r="N289" s="26">
        <v>44910</v>
      </c>
      <c r="O289" s="26">
        <v>44910</v>
      </c>
      <c r="P289" s="26">
        <v>44910</v>
      </c>
      <c r="Q289" s="2">
        <f t="shared" si="40"/>
        <v>1</v>
      </c>
      <c r="S289" s="7">
        <f t="shared" si="47"/>
        <v>1</v>
      </c>
      <c r="T289" s="157">
        <f t="shared" si="48"/>
        <v>1</v>
      </c>
      <c r="V289" s="191">
        <f t="shared" si="41"/>
        <v>12</v>
      </c>
      <c r="W289" s="7">
        <f t="shared" si="42"/>
        <v>2022</v>
      </c>
    </row>
    <row r="290" spans="1:23" ht="31.95" customHeight="1" thickBot="1" x14ac:dyDescent="0.35">
      <c r="A290" s="15">
        <f t="shared" si="43"/>
        <v>1</v>
      </c>
      <c r="B290" s="26">
        <v>44907</v>
      </c>
      <c r="C290" s="51">
        <f t="shared" si="49"/>
        <v>286</v>
      </c>
      <c r="D290" s="27" t="s">
        <v>524</v>
      </c>
      <c r="E290" s="26" t="s">
        <v>51</v>
      </c>
      <c r="F290" s="28" t="s">
        <v>11</v>
      </c>
      <c r="G290" s="28" t="s">
        <v>11</v>
      </c>
      <c r="H290" s="254"/>
      <c r="I290" s="49">
        <v>1</v>
      </c>
      <c r="J290" s="49">
        <v>1</v>
      </c>
      <c r="K290" s="52">
        <f t="shared" si="44"/>
        <v>1</v>
      </c>
      <c r="L290" s="209">
        <f t="shared" si="45"/>
        <v>0</v>
      </c>
      <c r="M290" s="210">
        <f t="shared" si="46"/>
        <v>0</v>
      </c>
      <c r="N290" s="26">
        <v>44910</v>
      </c>
      <c r="O290" s="26">
        <v>44910</v>
      </c>
      <c r="P290" s="26">
        <v>44910</v>
      </c>
      <c r="Q290" s="2">
        <f t="shared" si="40"/>
        <v>1</v>
      </c>
      <c r="S290" s="7">
        <f t="shared" si="47"/>
        <v>1</v>
      </c>
      <c r="T290" s="157">
        <f t="shared" si="48"/>
        <v>1</v>
      </c>
      <c r="V290" s="191">
        <f t="shared" si="41"/>
        <v>12</v>
      </c>
      <c r="W290" s="7">
        <f t="shared" si="42"/>
        <v>2022</v>
      </c>
    </row>
    <row r="291" spans="1:23" ht="31.95" customHeight="1" thickBot="1" x14ac:dyDescent="0.35">
      <c r="A291" s="15">
        <f t="shared" si="43"/>
        <v>1</v>
      </c>
      <c r="B291" s="26">
        <v>44909</v>
      </c>
      <c r="C291" s="51">
        <f t="shared" si="49"/>
        <v>287</v>
      </c>
      <c r="D291" s="27" t="s">
        <v>978</v>
      </c>
      <c r="E291" s="26" t="s">
        <v>51</v>
      </c>
      <c r="F291" s="28" t="s">
        <v>11</v>
      </c>
      <c r="G291" s="28" t="s">
        <v>11</v>
      </c>
      <c r="H291" s="254"/>
      <c r="I291" s="49">
        <v>1</v>
      </c>
      <c r="J291" s="49">
        <v>1</v>
      </c>
      <c r="K291" s="52">
        <f t="shared" si="44"/>
        <v>1</v>
      </c>
      <c r="L291" s="209">
        <f t="shared" si="45"/>
        <v>0</v>
      </c>
      <c r="M291" s="210">
        <f t="shared" si="46"/>
        <v>0</v>
      </c>
      <c r="N291" s="26">
        <v>44910</v>
      </c>
      <c r="O291" s="26">
        <v>44910</v>
      </c>
      <c r="P291" s="26">
        <v>44910</v>
      </c>
      <c r="Q291" s="2">
        <f t="shared" si="40"/>
        <v>1</v>
      </c>
      <c r="S291" s="7">
        <f t="shared" si="47"/>
        <v>1</v>
      </c>
      <c r="T291" s="157">
        <f t="shared" si="48"/>
        <v>1</v>
      </c>
      <c r="V291" s="191">
        <f t="shared" si="41"/>
        <v>12</v>
      </c>
      <c r="W291" s="7">
        <f t="shared" si="42"/>
        <v>2022</v>
      </c>
    </row>
    <row r="292" spans="1:23" ht="31.95" customHeight="1" thickBot="1" x14ac:dyDescent="0.35">
      <c r="A292" s="15">
        <f t="shared" si="43"/>
        <v>2</v>
      </c>
      <c r="B292" s="26">
        <v>44909</v>
      </c>
      <c r="C292" s="51">
        <f t="shared" si="49"/>
        <v>288</v>
      </c>
      <c r="D292" s="27" t="s">
        <v>890</v>
      </c>
      <c r="E292" s="26" t="s">
        <v>49</v>
      </c>
      <c r="F292" s="28" t="s">
        <v>11</v>
      </c>
      <c r="G292" s="28" t="s">
        <v>11</v>
      </c>
      <c r="H292" s="254"/>
      <c r="I292" s="49">
        <v>2</v>
      </c>
      <c r="J292" s="49">
        <v>2</v>
      </c>
      <c r="K292" s="52">
        <f t="shared" si="44"/>
        <v>1</v>
      </c>
      <c r="L292" s="209">
        <f t="shared" si="45"/>
        <v>0</v>
      </c>
      <c r="M292" s="210">
        <f t="shared" si="46"/>
        <v>0</v>
      </c>
      <c r="N292" s="26">
        <v>44916</v>
      </c>
      <c r="O292" s="26">
        <v>44916</v>
      </c>
      <c r="P292" s="26">
        <v>44916</v>
      </c>
      <c r="Q292" s="2">
        <f t="shared" si="40"/>
        <v>1</v>
      </c>
      <c r="S292" s="7">
        <f t="shared" si="47"/>
        <v>1</v>
      </c>
      <c r="T292" s="157">
        <f t="shared" si="48"/>
        <v>1</v>
      </c>
      <c r="V292" s="191">
        <f t="shared" si="41"/>
        <v>12</v>
      </c>
      <c r="W292" s="7">
        <f t="shared" si="42"/>
        <v>2022</v>
      </c>
    </row>
    <row r="293" spans="1:23" ht="31.95" customHeight="1" thickBot="1" x14ac:dyDescent="0.35">
      <c r="A293" s="15">
        <f t="shared" si="43"/>
        <v>1</v>
      </c>
      <c r="B293" s="26">
        <v>44909</v>
      </c>
      <c r="C293" s="51">
        <f t="shared" si="49"/>
        <v>289</v>
      </c>
      <c r="D293" s="27" t="s">
        <v>897</v>
      </c>
      <c r="E293" s="26" t="s">
        <v>49</v>
      </c>
      <c r="F293" s="28" t="s">
        <v>11</v>
      </c>
      <c r="G293" s="28" t="s">
        <v>11</v>
      </c>
      <c r="H293" s="254"/>
      <c r="I293" s="49">
        <v>1</v>
      </c>
      <c r="J293" s="49">
        <v>1</v>
      </c>
      <c r="K293" s="52">
        <f t="shared" si="44"/>
        <v>1</v>
      </c>
      <c r="L293" s="209">
        <f t="shared" si="45"/>
        <v>0</v>
      </c>
      <c r="M293" s="210">
        <f t="shared" si="46"/>
        <v>0</v>
      </c>
      <c r="N293" s="26">
        <v>44923</v>
      </c>
      <c r="O293" s="26">
        <v>44923</v>
      </c>
      <c r="P293" s="26">
        <v>44923</v>
      </c>
      <c r="Q293" s="2">
        <f t="shared" si="40"/>
        <v>1</v>
      </c>
      <c r="S293" s="7">
        <f t="shared" si="47"/>
        <v>1</v>
      </c>
      <c r="T293" s="157">
        <f t="shared" si="48"/>
        <v>1</v>
      </c>
      <c r="V293" s="191">
        <f t="shared" si="41"/>
        <v>12</v>
      </c>
      <c r="W293" s="7">
        <f t="shared" si="42"/>
        <v>2022</v>
      </c>
    </row>
    <row r="294" spans="1:23" ht="31.95" customHeight="1" thickBot="1" x14ac:dyDescent="0.35">
      <c r="A294" s="15">
        <f t="shared" si="43"/>
        <v>4</v>
      </c>
      <c r="B294" s="26">
        <v>44909</v>
      </c>
      <c r="C294" s="51">
        <f t="shared" si="49"/>
        <v>290</v>
      </c>
      <c r="D294" s="27" t="s">
        <v>321</v>
      </c>
      <c r="E294" s="26" t="s">
        <v>49</v>
      </c>
      <c r="F294" s="28" t="s">
        <v>11</v>
      </c>
      <c r="G294" s="28" t="s">
        <v>11</v>
      </c>
      <c r="H294" s="254"/>
      <c r="I294" s="49">
        <v>4</v>
      </c>
      <c r="J294" s="49">
        <v>4</v>
      </c>
      <c r="K294" s="52">
        <f t="shared" si="44"/>
        <v>1</v>
      </c>
      <c r="L294" s="209">
        <f t="shared" si="45"/>
        <v>0</v>
      </c>
      <c r="M294" s="210">
        <f t="shared" si="46"/>
        <v>0</v>
      </c>
      <c r="N294" s="26">
        <v>44910</v>
      </c>
      <c r="O294" s="26">
        <v>44910</v>
      </c>
      <c r="P294" s="26">
        <v>44910</v>
      </c>
      <c r="Q294" s="2">
        <f t="shared" si="40"/>
        <v>1</v>
      </c>
      <c r="S294" s="7">
        <f t="shared" si="47"/>
        <v>1</v>
      </c>
      <c r="T294" s="157">
        <f t="shared" si="48"/>
        <v>1</v>
      </c>
      <c r="V294" s="191">
        <f t="shared" si="41"/>
        <v>12</v>
      </c>
      <c r="W294" s="7">
        <f t="shared" si="42"/>
        <v>2022</v>
      </c>
    </row>
    <row r="295" spans="1:23" ht="31.95" customHeight="1" thickBot="1" x14ac:dyDescent="0.35">
      <c r="A295" s="15">
        <f t="shared" si="43"/>
        <v>1</v>
      </c>
      <c r="B295" s="26">
        <v>44915</v>
      </c>
      <c r="C295" s="51">
        <f t="shared" si="49"/>
        <v>291</v>
      </c>
      <c r="D295" s="27" t="s">
        <v>305</v>
      </c>
      <c r="E295" s="26" t="s">
        <v>11</v>
      </c>
      <c r="F295" s="28" t="s">
        <v>11</v>
      </c>
      <c r="G295" s="28" t="s">
        <v>11</v>
      </c>
      <c r="H295" s="254"/>
      <c r="I295" s="49">
        <v>1</v>
      </c>
      <c r="J295" s="49">
        <v>1</v>
      </c>
      <c r="K295" s="52">
        <f t="shared" si="44"/>
        <v>1</v>
      </c>
      <c r="L295" s="209">
        <f t="shared" si="45"/>
        <v>0</v>
      </c>
      <c r="M295" s="210">
        <f t="shared" si="46"/>
        <v>0</v>
      </c>
      <c r="N295" s="26">
        <v>44916</v>
      </c>
      <c r="O295" s="26">
        <v>44916</v>
      </c>
      <c r="P295" s="26">
        <v>44916</v>
      </c>
      <c r="Q295" s="2">
        <f t="shared" si="40"/>
        <v>1</v>
      </c>
      <c r="S295" s="7">
        <f t="shared" si="47"/>
        <v>1</v>
      </c>
      <c r="T295" s="157">
        <f t="shared" si="48"/>
        <v>1</v>
      </c>
      <c r="V295" s="191">
        <f t="shared" si="41"/>
        <v>12</v>
      </c>
      <c r="W295" s="7">
        <f t="shared" si="42"/>
        <v>2022</v>
      </c>
    </row>
    <row r="296" spans="1:23" ht="31.95" customHeight="1" thickBot="1" x14ac:dyDescent="0.35">
      <c r="A296" s="15">
        <f t="shared" si="43"/>
        <v>3</v>
      </c>
      <c r="B296" s="26">
        <v>44915</v>
      </c>
      <c r="C296" s="51">
        <f t="shared" si="49"/>
        <v>292</v>
      </c>
      <c r="D296" s="27" t="s">
        <v>705</v>
      </c>
      <c r="E296" s="26" t="s">
        <v>11</v>
      </c>
      <c r="F296" s="28" t="s">
        <v>11</v>
      </c>
      <c r="G296" s="28" t="s">
        <v>11</v>
      </c>
      <c r="H296" s="254"/>
      <c r="I296" s="49">
        <v>3</v>
      </c>
      <c r="J296" s="49">
        <v>3</v>
      </c>
      <c r="K296" s="52">
        <f t="shared" si="44"/>
        <v>1</v>
      </c>
      <c r="L296" s="209">
        <f t="shared" si="45"/>
        <v>0</v>
      </c>
      <c r="M296" s="210">
        <f t="shared" si="46"/>
        <v>0</v>
      </c>
      <c r="N296" s="26">
        <v>44916</v>
      </c>
      <c r="O296" s="26">
        <v>44916</v>
      </c>
      <c r="P296" s="26">
        <v>44916</v>
      </c>
      <c r="Q296" s="2">
        <f t="shared" si="40"/>
        <v>1</v>
      </c>
      <c r="S296" s="7">
        <f t="shared" si="47"/>
        <v>1</v>
      </c>
      <c r="T296" s="157">
        <f t="shared" si="48"/>
        <v>1</v>
      </c>
      <c r="V296" s="191">
        <f t="shared" si="41"/>
        <v>12</v>
      </c>
      <c r="W296" s="7">
        <f t="shared" si="42"/>
        <v>2022</v>
      </c>
    </row>
    <row r="297" spans="1:23" ht="31.95" customHeight="1" thickBot="1" x14ac:dyDescent="0.35">
      <c r="A297" s="15">
        <f t="shared" si="43"/>
        <v>4</v>
      </c>
      <c r="B297" s="26">
        <v>44885</v>
      </c>
      <c r="C297" s="51">
        <f t="shared" si="49"/>
        <v>293</v>
      </c>
      <c r="D297" s="27" t="s">
        <v>321</v>
      </c>
      <c r="E297" s="26" t="s">
        <v>40</v>
      </c>
      <c r="F297" s="28" t="s">
        <v>11</v>
      </c>
      <c r="G297" s="28" t="s">
        <v>11</v>
      </c>
      <c r="H297" s="254"/>
      <c r="I297" s="49">
        <v>4</v>
      </c>
      <c r="J297" s="49">
        <v>4</v>
      </c>
      <c r="K297" s="52">
        <f t="shared" si="44"/>
        <v>1</v>
      </c>
      <c r="L297" s="209">
        <f t="shared" si="45"/>
        <v>0</v>
      </c>
      <c r="M297" s="210">
        <f t="shared" si="46"/>
        <v>0</v>
      </c>
      <c r="N297" s="26">
        <v>44916</v>
      </c>
      <c r="O297" s="26">
        <v>44916</v>
      </c>
      <c r="P297" s="26">
        <v>44916</v>
      </c>
      <c r="Q297" s="2">
        <f t="shared" si="40"/>
        <v>1</v>
      </c>
      <c r="S297" s="7">
        <f t="shared" si="47"/>
        <v>1</v>
      </c>
      <c r="T297" s="157">
        <f t="shared" si="48"/>
        <v>1</v>
      </c>
      <c r="V297" s="191">
        <f t="shared" si="41"/>
        <v>11</v>
      </c>
      <c r="W297" s="7">
        <f t="shared" si="42"/>
        <v>2022</v>
      </c>
    </row>
    <row r="298" spans="1:23" ht="31.95" customHeight="1" thickBot="1" x14ac:dyDescent="0.35">
      <c r="A298" s="15">
        <f t="shared" si="43"/>
        <v>3</v>
      </c>
      <c r="B298" s="26">
        <v>44915</v>
      </c>
      <c r="C298" s="51">
        <f t="shared" si="49"/>
        <v>294</v>
      </c>
      <c r="D298" s="27" t="s">
        <v>524</v>
      </c>
      <c r="E298" s="26" t="s">
        <v>52</v>
      </c>
      <c r="F298" s="28" t="s">
        <v>11</v>
      </c>
      <c r="G298" s="28" t="s">
        <v>11</v>
      </c>
      <c r="H298" s="254"/>
      <c r="I298" s="49">
        <v>3</v>
      </c>
      <c r="J298" s="49">
        <v>3</v>
      </c>
      <c r="K298" s="52">
        <f t="shared" si="44"/>
        <v>1</v>
      </c>
      <c r="L298" s="209">
        <f t="shared" si="45"/>
        <v>0</v>
      </c>
      <c r="M298" s="210">
        <f t="shared" si="46"/>
        <v>0</v>
      </c>
      <c r="N298" s="26">
        <v>44918</v>
      </c>
      <c r="O298" s="26">
        <v>44918</v>
      </c>
      <c r="P298" s="26">
        <v>44918</v>
      </c>
      <c r="Q298" s="2">
        <f t="shared" si="40"/>
        <v>1</v>
      </c>
      <c r="S298" s="7">
        <f t="shared" si="47"/>
        <v>1</v>
      </c>
      <c r="T298" s="157">
        <f t="shared" si="48"/>
        <v>1</v>
      </c>
      <c r="V298" s="191">
        <f t="shared" si="41"/>
        <v>12</v>
      </c>
      <c r="W298" s="7">
        <f t="shared" si="42"/>
        <v>2022</v>
      </c>
    </row>
    <row r="299" spans="1:23" ht="31.95" customHeight="1" thickBot="1" x14ac:dyDescent="0.35">
      <c r="A299" s="15">
        <f t="shared" si="43"/>
        <v>4</v>
      </c>
      <c r="B299" s="26">
        <v>44916</v>
      </c>
      <c r="C299" s="51">
        <f t="shared" si="49"/>
        <v>295</v>
      </c>
      <c r="D299" s="27" t="s">
        <v>978</v>
      </c>
      <c r="E299" s="26" t="s">
        <v>1297</v>
      </c>
      <c r="F299" s="28" t="s">
        <v>11</v>
      </c>
      <c r="G299" s="28" t="s">
        <v>11</v>
      </c>
      <c r="H299" s="254"/>
      <c r="I299" s="49">
        <v>4</v>
      </c>
      <c r="J299" s="49">
        <v>4</v>
      </c>
      <c r="K299" s="52">
        <f t="shared" si="44"/>
        <v>1</v>
      </c>
      <c r="L299" s="209">
        <f t="shared" si="45"/>
        <v>0</v>
      </c>
      <c r="M299" s="210">
        <f t="shared" si="46"/>
        <v>0</v>
      </c>
      <c r="N299" s="26">
        <v>44917</v>
      </c>
      <c r="O299" s="26">
        <v>44917</v>
      </c>
      <c r="P299" s="26">
        <v>44917</v>
      </c>
      <c r="Q299" s="2">
        <f t="shared" si="40"/>
        <v>1</v>
      </c>
      <c r="S299" s="7">
        <f t="shared" si="47"/>
        <v>1</v>
      </c>
      <c r="T299" s="157">
        <f t="shared" si="48"/>
        <v>1</v>
      </c>
      <c r="V299" s="191">
        <f t="shared" si="41"/>
        <v>12</v>
      </c>
      <c r="W299" s="7">
        <f t="shared" si="42"/>
        <v>2022</v>
      </c>
    </row>
    <row r="300" spans="1:23" ht="31.95" customHeight="1" thickBot="1" x14ac:dyDescent="0.35">
      <c r="A300" s="15">
        <f t="shared" si="43"/>
        <v>4</v>
      </c>
      <c r="B300" s="26">
        <v>44916</v>
      </c>
      <c r="C300" s="51">
        <f t="shared" si="49"/>
        <v>296</v>
      </c>
      <c r="D300" s="27" t="s">
        <v>1041</v>
      </c>
      <c r="E300" s="26" t="s">
        <v>52</v>
      </c>
      <c r="F300" s="28" t="s">
        <v>11</v>
      </c>
      <c r="G300" s="28" t="s">
        <v>11</v>
      </c>
      <c r="H300" s="254"/>
      <c r="I300" s="49">
        <v>4</v>
      </c>
      <c r="J300" s="49">
        <v>4</v>
      </c>
      <c r="K300" s="52">
        <f t="shared" si="44"/>
        <v>1</v>
      </c>
      <c r="L300" s="209">
        <f t="shared" si="45"/>
        <v>0</v>
      </c>
      <c r="M300" s="210">
        <f t="shared" si="46"/>
        <v>0</v>
      </c>
      <c r="N300" s="26">
        <v>44565</v>
      </c>
      <c r="O300" s="26">
        <v>44565</v>
      </c>
      <c r="P300" s="26">
        <v>44565</v>
      </c>
      <c r="Q300" s="2">
        <f t="shared" si="40"/>
        <v>1</v>
      </c>
      <c r="S300" s="7">
        <f t="shared" si="47"/>
        <v>1</v>
      </c>
      <c r="T300" s="157">
        <f t="shared" si="48"/>
        <v>1</v>
      </c>
      <c r="V300" s="191">
        <f t="shared" si="41"/>
        <v>12</v>
      </c>
      <c r="W300" s="7">
        <f t="shared" si="42"/>
        <v>2022</v>
      </c>
    </row>
    <row r="301" spans="1:23" ht="31.95" customHeight="1" thickBot="1" x14ac:dyDescent="0.35">
      <c r="A301" s="15">
        <f t="shared" si="43"/>
        <v>2</v>
      </c>
      <c r="B301" s="26">
        <v>44916</v>
      </c>
      <c r="C301" s="51">
        <f t="shared" si="49"/>
        <v>297</v>
      </c>
      <c r="D301" s="27" t="s">
        <v>871</v>
      </c>
      <c r="E301" s="26" t="s">
        <v>52</v>
      </c>
      <c r="F301" s="28" t="s">
        <v>11</v>
      </c>
      <c r="G301" s="28" t="s">
        <v>11</v>
      </c>
      <c r="H301" s="254"/>
      <c r="I301" s="49">
        <v>2</v>
      </c>
      <c r="J301" s="49">
        <v>2</v>
      </c>
      <c r="K301" s="52">
        <f t="shared" si="44"/>
        <v>1</v>
      </c>
      <c r="L301" s="209">
        <f t="shared" si="45"/>
        <v>0</v>
      </c>
      <c r="M301" s="210">
        <f t="shared" si="46"/>
        <v>0</v>
      </c>
      <c r="N301" s="26">
        <v>44564</v>
      </c>
      <c r="O301" s="26">
        <v>44564</v>
      </c>
      <c r="P301" s="26">
        <v>44564</v>
      </c>
      <c r="Q301" s="2">
        <f t="shared" si="40"/>
        <v>1</v>
      </c>
      <c r="S301" s="7">
        <f t="shared" si="47"/>
        <v>1</v>
      </c>
      <c r="T301" s="157">
        <f t="shared" si="48"/>
        <v>1</v>
      </c>
      <c r="V301" s="191">
        <f t="shared" si="41"/>
        <v>12</v>
      </c>
      <c r="W301" s="7">
        <f t="shared" si="42"/>
        <v>2022</v>
      </c>
    </row>
    <row r="302" spans="1:23" ht="31.95" customHeight="1" thickBot="1" x14ac:dyDescent="0.35">
      <c r="A302" s="15">
        <f t="shared" si="43"/>
        <v>1</v>
      </c>
      <c r="B302" s="26">
        <v>44917</v>
      </c>
      <c r="C302" s="51">
        <f t="shared" si="49"/>
        <v>298</v>
      </c>
      <c r="D302" s="27" t="s">
        <v>978</v>
      </c>
      <c r="E302" s="26" t="s">
        <v>44</v>
      </c>
      <c r="F302" s="28" t="s">
        <v>11</v>
      </c>
      <c r="G302" s="28" t="s">
        <v>11</v>
      </c>
      <c r="H302" s="254"/>
      <c r="I302" s="49">
        <v>1</v>
      </c>
      <c r="J302" s="49">
        <v>1</v>
      </c>
      <c r="K302" s="52">
        <f t="shared" si="44"/>
        <v>1</v>
      </c>
      <c r="L302" s="209">
        <f t="shared" si="45"/>
        <v>0</v>
      </c>
      <c r="M302" s="210">
        <f t="shared" si="46"/>
        <v>0</v>
      </c>
      <c r="N302" s="26">
        <v>44917</v>
      </c>
      <c r="O302" s="26">
        <v>44917</v>
      </c>
      <c r="P302" s="26">
        <v>44917</v>
      </c>
      <c r="Q302" s="2">
        <f t="shared" si="40"/>
        <v>1</v>
      </c>
      <c r="S302" s="7">
        <f t="shared" si="47"/>
        <v>1</v>
      </c>
      <c r="T302" s="157">
        <f t="shared" si="48"/>
        <v>1</v>
      </c>
      <c r="V302" s="191">
        <f t="shared" si="41"/>
        <v>12</v>
      </c>
      <c r="W302" s="7">
        <f t="shared" si="42"/>
        <v>2022</v>
      </c>
    </row>
    <row r="303" spans="1:23" ht="31.95" customHeight="1" thickBot="1" x14ac:dyDescent="0.35">
      <c r="A303" s="15">
        <f t="shared" si="43"/>
        <v>1</v>
      </c>
      <c r="B303" s="26">
        <v>44917</v>
      </c>
      <c r="C303" s="51">
        <f t="shared" si="49"/>
        <v>299</v>
      </c>
      <c r="D303" s="27" t="s">
        <v>1150</v>
      </c>
      <c r="E303" s="26" t="s">
        <v>44</v>
      </c>
      <c r="F303" s="28" t="s">
        <v>11</v>
      </c>
      <c r="G303" s="28" t="s">
        <v>11</v>
      </c>
      <c r="H303" s="254"/>
      <c r="I303" s="49">
        <v>1</v>
      </c>
      <c r="J303" s="49">
        <v>1</v>
      </c>
      <c r="K303" s="52">
        <f t="shared" si="44"/>
        <v>1</v>
      </c>
      <c r="L303" s="209">
        <f t="shared" si="45"/>
        <v>0</v>
      </c>
      <c r="M303" s="210">
        <f t="shared" si="46"/>
        <v>0</v>
      </c>
      <c r="N303" s="26">
        <v>44917</v>
      </c>
      <c r="O303" s="26">
        <v>44917</v>
      </c>
      <c r="P303" s="26">
        <v>44917</v>
      </c>
      <c r="Q303" s="2">
        <f t="shared" si="40"/>
        <v>1</v>
      </c>
      <c r="S303" s="7">
        <f t="shared" si="47"/>
        <v>1</v>
      </c>
      <c r="T303" s="157">
        <f t="shared" si="48"/>
        <v>1</v>
      </c>
      <c r="V303" s="191">
        <f t="shared" si="41"/>
        <v>12</v>
      </c>
      <c r="W303" s="7">
        <f t="shared" si="42"/>
        <v>2022</v>
      </c>
    </row>
    <row r="304" spans="1:23" ht="31.95" customHeight="1" thickBot="1" x14ac:dyDescent="0.35">
      <c r="A304" s="15">
        <f t="shared" si="43"/>
        <v>1</v>
      </c>
      <c r="B304" s="26">
        <v>44925</v>
      </c>
      <c r="C304" s="51">
        <f t="shared" si="49"/>
        <v>300</v>
      </c>
      <c r="D304" s="27" t="s">
        <v>705</v>
      </c>
      <c r="E304" s="26" t="s">
        <v>11</v>
      </c>
      <c r="F304" s="28" t="s">
        <v>11</v>
      </c>
      <c r="G304" s="28" t="s">
        <v>11</v>
      </c>
      <c r="H304" s="254"/>
      <c r="I304" s="49">
        <v>1</v>
      </c>
      <c r="J304" s="49">
        <v>1</v>
      </c>
      <c r="K304" s="52">
        <f t="shared" si="44"/>
        <v>1</v>
      </c>
      <c r="L304" s="209">
        <f t="shared" si="45"/>
        <v>0</v>
      </c>
      <c r="M304" s="210">
        <f t="shared" si="46"/>
        <v>0</v>
      </c>
      <c r="N304" s="26">
        <v>44925</v>
      </c>
      <c r="O304" s="26">
        <v>44925</v>
      </c>
      <c r="P304" s="26">
        <v>44925</v>
      </c>
      <c r="Q304" s="2">
        <f t="shared" si="40"/>
        <v>1</v>
      </c>
      <c r="S304" s="7">
        <f t="shared" si="47"/>
        <v>1</v>
      </c>
      <c r="T304" s="157">
        <f t="shared" si="48"/>
        <v>1</v>
      </c>
      <c r="V304" s="191">
        <f t="shared" si="41"/>
        <v>12</v>
      </c>
      <c r="W304" s="7">
        <f t="shared" si="42"/>
        <v>2022</v>
      </c>
    </row>
    <row r="305" spans="1:23" ht="31.95" customHeight="1" thickBot="1" x14ac:dyDescent="0.35">
      <c r="A305" s="15">
        <f t="shared" si="43"/>
        <v>4</v>
      </c>
      <c r="B305" s="26">
        <v>44925</v>
      </c>
      <c r="C305" s="51">
        <f t="shared" si="49"/>
        <v>301</v>
      </c>
      <c r="D305" s="27" t="s">
        <v>305</v>
      </c>
      <c r="E305" s="26" t="s">
        <v>11</v>
      </c>
      <c r="F305" s="28" t="s">
        <v>11</v>
      </c>
      <c r="G305" s="28" t="s">
        <v>11</v>
      </c>
      <c r="H305" s="254"/>
      <c r="I305" s="49">
        <v>4</v>
      </c>
      <c r="J305" s="49">
        <v>4</v>
      </c>
      <c r="K305" s="52">
        <f t="shared" si="44"/>
        <v>1</v>
      </c>
      <c r="L305" s="209">
        <f t="shared" si="45"/>
        <v>0</v>
      </c>
      <c r="M305" s="210">
        <f t="shared" si="46"/>
        <v>0</v>
      </c>
      <c r="N305" s="26">
        <v>44925</v>
      </c>
      <c r="O305" s="26">
        <v>44925</v>
      </c>
      <c r="P305" s="26">
        <v>44925</v>
      </c>
      <c r="Q305" s="2">
        <f t="shared" si="40"/>
        <v>1</v>
      </c>
      <c r="S305" s="7">
        <f t="shared" si="47"/>
        <v>1</v>
      </c>
      <c r="T305" s="157">
        <f t="shared" si="48"/>
        <v>1</v>
      </c>
      <c r="V305" s="191">
        <f t="shared" si="41"/>
        <v>12</v>
      </c>
      <c r="W305" s="7">
        <f t="shared" si="42"/>
        <v>2022</v>
      </c>
    </row>
    <row r="306" spans="1:23" ht="31.95" customHeight="1" thickBot="1" x14ac:dyDescent="0.35">
      <c r="A306" s="15">
        <f t="shared" si="43"/>
        <v>1</v>
      </c>
      <c r="B306" s="26">
        <v>44929</v>
      </c>
      <c r="C306" s="51">
        <f t="shared" si="49"/>
        <v>302</v>
      </c>
      <c r="D306" s="27" t="s">
        <v>871</v>
      </c>
      <c r="E306" s="26" t="s">
        <v>51</v>
      </c>
      <c r="F306" s="28" t="s">
        <v>11</v>
      </c>
      <c r="G306" s="28" t="s">
        <v>11</v>
      </c>
      <c r="H306" s="254"/>
      <c r="I306" s="49">
        <v>1</v>
      </c>
      <c r="J306" s="49">
        <v>1</v>
      </c>
      <c r="K306" s="52">
        <f t="shared" si="44"/>
        <v>1</v>
      </c>
      <c r="L306" s="209">
        <f t="shared" si="45"/>
        <v>0</v>
      </c>
      <c r="M306" s="210">
        <f t="shared" si="46"/>
        <v>0</v>
      </c>
      <c r="N306" s="26">
        <v>44930</v>
      </c>
      <c r="O306" s="26">
        <v>44930</v>
      </c>
      <c r="P306" s="26">
        <v>44930</v>
      </c>
      <c r="Q306" s="2">
        <f t="shared" si="40"/>
        <v>1</v>
      </c>
      <c r="S306" s="7">
        <f t="shared" si="47"/>
        <v>1</v>
      </c>
      <c r="T306" s="157">
        <f t="shared" si="48"/>
        <v>1</v>
      </c>
      <c r="V306" s="191">
        <f t="shared" si="41"/>
        <v>1</v>
      </c>
      <c r="W306" s="7">
        <f t="shared" si="42"/>
        <v>2023</v>
      </c>
    </row>
    <row r="307" spans="1:23" ht="31.95" customHeight="1" thickBot="1" x14ac:dyDescent="0.35">
      <c r="A307" s="15">
        <f t="shared" si="43"/>
        <v>2</v>
      </c>
      <c r="B307" s="26">
        <v>44929</v>
      </c>
      <c r="C307" s="51">
        <f t="shared" si="49"/>
        <v>303</v>
      </c>
      <c r="D307" s="27" t="s">
        <v>1121</v>
      </c>
      <c r="E307" s="26" t="s">
        <v>11</v>
      </c>
      <c r="F307" s="28" t="s">
        <v>11</v>
      </c>
      <c r="G307" s="28" t="s">
        <v>11</v>
      </c>
      <c r="H307" s="254"/>
      <c r="I307" s="49">
        <v>2</v>
      </c>
      <c r="J307" s="49">
        <v>2</v>
      </c>
      <c r="K307" s="52">
        <f t="shared" si="44"/>
        <v>1</v>
      </c>
      <c r="L307" s="209">
        <f t="shared" si="45"/>
        <v>0</v>
      </c>
      <c r="M307" s="210">
        <f t="shared" si="46"/>
        <v>0</v>
      </c>
      <c r="N307" s="26">
        <v>44936</v>
      </c>
      <c r="O307" s="26">
        <v>44936</v>
      </c>
      <c r="P307" s="26">
        <v>44936</v>
      </c>
      <c r="Q307" s="2">
        <f t="shared" si="40"/>
        <v>1</v>
      </c>
      <c r="S307" s="7">
        <f t="shared" si="47"/>
        <v>1</v>
      </c>
      <c r="T307" s="157">
        <f t="shared" si="48"/>
        <v>1</v>
      </c>
      <c r="V307" s="191">
        <f t="shared" si="41"/>
        <v>1</v>
      </c>
      <c r="W307" s="7">
        <f t="shared" si="42"/>
        <v>2023</v>
      </c>
    </row>
    <row r="308" spans="1:23" ht="31.95" customHeight="1" thickBot="1" x14ac:dyDescent="0.35">
      <c r="A308" s="15">
        <f t="shared" si="43"/>
        <v>1</v>
      </c>
      <c r="B308" s="26">
        <v>44930</v>
      </c>
      <c r="C308" s="51">
        <f t="shared" si="49"/>
        <v>304</v>
      </c>
      <c r="D308" s="27" t="s">
        <v>890</v>
      </c>
      <c r="E308" s="26" t="s">
        <v>44</v>
      </c>
      <c r="F308" s="28" t="s">
        <v>11</v>
      </c>
      <c r="G308" s="28" t="s">
        <v>11</v>
      </c>
      <c r="H308" s="254"/>
      <c r="I308" s="49">
        <v>1</v>
      </c>
      <c r="J308" s="49">
        <v>1</v>
      </c>
      <c r="K308" s="52">
        <f t="shared" si="44"/>
        <v>1</v>
      </c>
      <c r="L308" s="209">
        <f t="shared" si="45"/>
        <v>0</v>
      </c>
      <c r="M308" s="210">
        <f t="shared" si="46"/>
        <v>0</v>
      </c>
      <c r="N308" s="26">
        <v>44936</v>
      </c>
      <c r="O308" s="26">
        <v>44936</v>
      </c>
      <c r="P308" s="26">
        <v>44936</v>
      </c>
      <c r="Q308" s="2">
        <f t="shared" si="40"/>
        <v>1</v>
      </c>
      <c r="S308" s="7">
        <f t="shared" si="47"/>
        <v>1</v>
      </c>
      <c r="T308" s="157">
        <f t="shared" si="48"/>
        <v>1</v>
      </c>
      <c r="V308" s="191">
        <f t="shared" si="41"/>
        <v>1</v>
      </c>
      <c r="W308" s="7">
        <f t="shared" si="42"/>
        <v>2023</v>
      </c>
    </row>
    <row r="309" spans="1:23" ht="31.95" customHeight="1" thickBot="1" x14ac:dyDescent="0.35">
      <c r="A309" s="15">
        <f t="shared" si="43"/>
        <v>2</v>
      </c>
      <c r="B309" s="26">
        <v>44930</v>
      </c>
      <c r="C309" s="51">
        <f t="shared" si="49"/>
        <v>305</v>
      </c>
      <c r="D309" s="27" t="s">
        <v>939</v>
      </c>
      <c r="E309" s="26" t="s">
        <v>49</v>
      </c>
      <c r="F309" s="28" t="s">
        <v>11</v>
      </c>
      <c r="G309" s="28" t="s">
        <v>11</v>
      </c>
      <c r="H309" s="254"/>
      <c r="I309" s="49">
        <v>2</v>
      </c>
      <c r="J309" s="49">
        <v>2</v>
      </c>
      <c r="K309" s="52">
        <f t="shared" si="44"/>
        <v>1</v>
      </c>
      <c r="L309" s="209">
        <f t="shared" si="45"/>
        <v>0</v>
      </c>
      <c r="M309" s="210">
        <f t="shared" si="46"/>
        <v>0</v>
      </c>
      <c r="N309" s="26">
        <v>44931</v>
      </c>
      <c r="O309" s="26">
        <v>44931</v>
      </c>
      <c r="P309" s="26">
        <v>44931</v>
      </c>
      <c r="Q309" s="2">
        <f t="shared" si="40"/>
        <v>1</v>
      </c>
      <c r="S309" s="7">
        <f t="shared" si="47"/>
        <v>1</v>
      </c>
      <c r="T309" s="157">
        <f t="shared" si="48"/>
        <v>1</v>
      </c>
      <c r="V309" s="191">
        <f t="shared" si="41"/>
        <v>1</v>
      </c>
      <c r="W309" s="7">
        <f t="shared" si="42"/>
        <v>2023</v>
      </c>
    </row>
    <row r="310" spans="1:23" ht="31.95" customHeight="1" thickBot="1" x14ac:dyDescent="0.35">
      <c r="A310" s="15">
        <f t="shared" si="43"/>
        <v>5</v>
      </c>
      <c r="B310" s="26">
        <v>44930</v>
      </c>
      <c r="C310" s="51">
        <f t="shared" si="49"/>
        <v>306</v>
      </c>
      <c r="D310" s="27" t="s">
        <v>269</v>
      </c>
      <c r="E310" s="26" t="s">
        <v>11</v>
      </c>
      <c r="F310" s="28" t="s">
        <v>11</v>
      </c>
      <c r="G310" s="28" t="s">
        <v>11</v>
      </c>
      <c r="H310" s="254"/>
      <c r="I310" s="49">
        <v>5</v>
      </c>
      <c r="J310" s="49">
        <v>5</v>
      </c>
      <c r="K310" s="52">
        <f t="shared" si="44"/>
        <v>1</v>
      </c>
      <c r="L310" s="209">
        <f t="shared" si="45"/>
        <v>0</v>
      </c>
      <c r="M310" s="210">
        <f t="shared" si="46"/>
        <v>0</v>
      </c>
      <c r="N310" s="26">
        <v>44931</v>
      </c>
      <c r="O310" s="26">
        <v>44931</v>
      </c>
      <c r="P310" s="26">
        <v>44931</v>
      </c>
      <c r="Q310" s="2">
        <f t="shared" si="40"/>
        <v>1</v>
      </c>
      <c r="S310" s="7">
        <f t="shared" si="47"/>
        <v>1</v>
      </c>
      <c r="T310" s="157">
        <f t="shared" si="48"/>
        <v>1</v>
      </c>
      <c r="V310" s="191">
        <f t="shared" si="41"/>
        <v>1</v>
      </c>
      <c r="W310" s="7">
        <f t="shared" si="42"/>
        <v>2023</v>
      </c>
    </row>
    <row r="311" spans="1:23" ht="31.95" customHeight="1" thickBot="1" x14ac:dyDescent="0.35">
      <c r="A311" s="15">
        <f t="shared" si="43"/>
        <v>1</v>
      </c>
      <c r="B311" s="26">
        <v>44930</v>
      </c>
      <c r="C311" s="51">
        <f t="shared" si="49"/>
        <v>307</v>
      </c>
      <c r="D311" s="27" t="s">
        <v>822</v>
      </c>
      <c r="E311" s="26" t="s">
        <v>57</v>
      </c>
      <c r="F311" s="28" t="s">
        <v>11</v>
      </c>
      <c r="G311" s="28" t="s">
        <v>11</v>
      </c>
      <c r="H311" s="254"/>
      <c r="I311" s="49">
        <v>1</v>
      </c>
      <c r="J311" s="49">
        <v>1</v>
      </c>
      <c r="K311" s="52">
        <f t="shared" si="44"/>
        <v>1</v>
      </c>
      <c r="L311" s="209">
        <f t="shared" si="45"/>
        <v>0</v>
      </c>
      <c r="M311" s="210">
        <f t="shared" si="46"/>
        <v>0</v>
      </c>
      <c r="N311" s="26">
        <v>44931</v>
      </c>
      <c r="O311" s="26">
        <v>44931</v>
      </c>
      <c r="P311" s="26">
        <v>44931</v>
      </c>
      <c r="Q311" s="2">
        <f t="shared" si="40"/>
        <v>1</v>
      </c>
      <c r="S311" s="7">
        <f t="shared" si="47"/>
        <v>1</v>
      </c>
      <c r="T311" s="157">
        <f t="shared" si="48"/>
        <v>1</v>
      </c>
      <c r="V311" s="191">
        <f t="shared" si="41"/>
        <v>1</v>
      </c>
      <c r="W311" s="7">
        <f t="shared" si="42"/>
        <v>2023</v>
      </c>
    </row>
    <row r="312" spans="1:23" ht="31.95" customHeight="1" thickBot="1" x14ac:dyDescent="0.35">
      <c r="A312" s="15">
        <f t="shared" si="43"/>
        <v>3</v>
      </c>
      <c r="B312" s="26">
        <v>44930</v>
      </c>
      <c r="C312" s="51">
        <f t="shared" si="49"/>
        <v>308</v>
      </c>
      <c r="D312" s="27" t="s">
        <v>305</v>
      </c>
      <c r="E312" s="26" t="s">
        <v>11</v>
      </c>
      <c r="F312" s="28" t="s">
        <v>11</v>
      </c>
      <c r="G312" s="28" t="s">
        <v>11</v>
      </c>
      <c r="H312" s="254"/>
      <c r="I312" s="49">
        <v>3</v>
      </c>
      <c r="J312" s="49">
        <v>3</v>
      </c>
      <c r="K312" s="52">
        <f t="shared" si="44"/>
        <v>1</v>
      </c>
      <c r="L312" s="209">
        <f t="shared" si="45"/>
        <v>0</v>
      </c>
      <c r="M312" s="210">
        <f t="shared" si="46"/>
        <v>0</v>
      </c>
      <c r="N312" s="26">
        <v>44931</v>
      </c>
      <c r="O312" s="26">
        <v>44931</v>
      </c>
      <c r="P312" s="26">
        <v>44931</v>
      </c>
      <c r="Q312" s="2">
        <f t="shared" si="40"/>
        <v>1</v>
      </c>
      <c r="S312" s="7">
        <f t="shared" si="47"/>
        <v>1</v>
      </c>
      <c r="T312" s="157">
        <f t="shared" si="48"/>
        <v>1</v>
      </c>
      <c r="V312" s="191">
        <f t="shared" si="41"/>
        <v>1</v>
      </c>
      <c r="W312" s="7">
        <f t="shared" si="42"/>
        <v>2023</v>
      </c>
    </row>
    <row r="313" spans="1:23" ht="31.95" customHeight="1" thickBot="1" x14ac:dyDescent="0.35">
      <c r="A313" s="15">
        <f t="shared" si="43"/>
        <v>1</v>
      </c>
      <c r="B313" s="26">
        <v>44930</v>
      </c>
      <c r="C313" s="51">
        <f t="shared" si="49"/>
        <v>309</v>
      </c>
      <c r="D313" s="27" t="s">
        <v>871</v>
      </c>
      <c r="E313" s="26" t="s">
        <v>57</v>
      </c>
      <c r="F313" s="28" t="s">
        <v>11</v>
      </c>
      <c r="G313" s="28" t="s">
        <v>11</v>
      </c>
      <c r="H313" s="254"/>
      <c r="I313" s="49">
        <v>1</v>
      </c>
      <c r="J313" s="49">
        <v>1</v>
      </c>
      <c r="K313" s="52">
        <f t="shared" si="44"/>
        <v>1</v>
      </c>
      <c r="L313" s="209">
        <f t="shared" si="45"/>
        <v>0</v>
      </c>
      <c r="M313" s="210">
        <f t="shared" si="46"/>
        <v>0</v>
      </c>
      <c r="N313" s="26">
        <v>44931</v>
      </c>
      <c r="O313" s="26">
        <v>44931</v>
      </c>
      <c r="P313" s="26">
        <v>44931</v>
      </c>
      <c r="Q313" s="2">
        <f t="shared" si="40"/>
        <v>1</v>
      </c>
      <c r="S313" s="7">
        <f t="shared" si="47"/>
        <v>1</v>
      </c>
      <c r="T313" s="157">
        <f t="shared" si="48"/>
        <v>1</v>
      </c>
      <c r="V313" s="191">
        <f t="shared" si="41"/>
        <v>1</v>
      </c>
      <c r="W313" s="7">
        <f t="shared" si="42"/>
        <v>2023</v>
      </c>
    </row>
    <row r="314" spans="1:23" ht="31.95" customHeight="1" thickBot="1" x14ac:dyDescent="0.35">
      <c r="A314" s="15">
        <f t="shared" si="43"/>
        <v>1</v>
      </c>
      <c r="B314" s="26">
        <v>44931</v>
      </c>
      <c r="C314" s="51">
        <f t="shared" si="49"/>
        <v>310</v>
      </c>
      <c r="D314" s="27" t="s">
        <v>684</v>
      </c>
      <c r="E314" s="26" t="s">
        <v>49</v>
      </c>
      <c r="F314" s="28" t="s">
        <v>11</v>
      </c>
      <c r="G314" s="28" t="s">
        <v>11</v>
      </c>
      <c r="H314" s="254"/>
      <c r="I314" s="49">
        <v>1</v>
      </c>
      <c r="J314" s="49">
        <v>1</v>
      </c>
      <c r="K314" s="52">
        <f t="shared" si="44"/>
        <v>1</v>
      </c>
      <c r="L314" s="209">
        <f t="shared" si="45"/>
        <v>0</v>
      </c>
      <c r="M314" s="210">
        <f t="shared" si="46"/>
        <v>0</v>
      </c>
      <c r="N314" s="26">
        <v>44936</v>
      </c>
      <c r="O314" s="26">
        <v>44936</v>
      </c>
      <c r="P314" s="26">
        <v>44936</v>
      </c>
      <c r="Q314" s="2">
        <f t="shared" si="40"/>
        <v>1</v>
      </c>
      <c r="S314" s="7">
        <f t="shared" si="47"/>
        <v>1</v>
      </c>
      <c r="T314" s="157">
        <f t="shared" si="48"/>
        <v>1</v>
      </c>
      <c r="V314" s="191">
        <f t="shared" si="41"/>
        <v>1</v>
      </c>
      <c r="W314" s="7">
        <f t="shared" si="42"/>
        <v>2023</v>
      </c>
    </row>
    <row r="315" spans="1:23" ht="31.95" customHeight="1" thickBot="1" x14ac:dyDescent="0.35">
      <c r="A315" s="15">
        <f t="shared" si="43"/>
        <v>1</v>
      </c>
      <c r="B315" s="26">
        <v>44931</v>
      </c>
      <c r="C315" s="51">
        <f t="shared" si="49"/>
        <v>311</v>
      </c>
      <c r="D315" s="27" t="s">
        <v>1206</v>
      </c>
      <c r="E315" s="26" t="s">
        <v>46</v>
      </c>
      <c r="F315" s="28" t="s">
        <v>11</v>
      </c>
      <c r="G315" s="28" t="s">
        <v>11</v>
      </c>
      <c r="H315" s="254"/>
      <c r="I315" s="49">
        <v>1</v>
      </c>
      <c r="J315" s="49">
        <v>1</v>
      </c>
      <c r="K315" s="52">
        <f t="shared" si="44"/>
        <v>1</v>
      </c>
      <c r="L315" s="209">
        <f t="shared" si="45"/>
        <v>0</v>
      </c>
      <c r="M315" s="210">
        <f t="shared" si="46"/>
        <v>0</v>
      </c>
      <c r="N315" s="26">
        <v>44931</v>
      </c>
      <c r="O315" s="26">
        <v>44931</v>
      </c>
      <c r="P315" s="26">
        <v>44931</v>
      </c>
      <c r="Q315" s="2">
        <f t="shared" si="40"/>
        <v>1</v>
      </c>
      <c r="S315" s="7">
        <f t="shared" si="47"/>
        <v>1</v>
      </c>
      <c r="T315" s="157">
        <f t="shared" si="48"/>
        <v>1</v>
      </c>
      <c r="V315" s="191">
        <f t="shared" si="41"/>
        <v>1</v>
      </c>
      <c r="W315" s="7">
        <f t="shared" si="42"/>
        <v>2023</v>
      </c>
    </row>
    <row r="316" spans="1:23" ht="31.95" customHeight="1" thickBot="1" x14ac:dyDescent="0.35">
      <c r="A316" s="15">
        <f t="shared" si="43"/>
        <v>2</v>
      </c>
      <c r="B316" s="26">
        <v>44931</v>
      </c>
      <c r="C316" s="51">
        <f t="shared" si="49"/>
        <v>312</v>
      </c>
      <c r="D316" s="27" t="s">
        <v>321</v>
      </c>
      <c r="E316" s="26" t="s">
        <v>44</v>
      </c>
      <c r="F316" s="28" t="s">
        <v>11</v>
      </c>
      <c r="G316" s="28" t="s">
        <v>11</v>
      </c>
      <c r="H316" s="254"/>
      <c r="I316" s="49">
        <v>2</v>
      </c>
      <c r="J316" s="49">
        <v>2</v>
      </c>
      <c r="K316" s="52">
        <f t="shared" si="44"/>
        <v>1</v>
      </c>
      <c r="L316" s="209">
        <f t="shared" si="45"/>
        <v>0</v>
      </c>
      <c r="M316" s="210">
        <f t="shared" si="46"/>
        <v>0</v>
      </c>
      <c r="N316" s="26">
        <v>44932</v>
      </c>
      <c r="O316" s="26">
        <v>44932</v>
      </c>
      <c r="P316" s="26">
        <v>44932</v>
      </c>
      <c r="Q316" s="2">
        <f t="shared" si="40"/>
        <v>1</v>
      </c>
      <c r="S316" s="7">
        <f t="shared" si="47"/>
        <v>1</v>
      </c>
      <c r="T316" s="157">
        <f t="shared" si="48"/>
        <v>1</v>
      </c>
      <c r="V316" s="191">
        <f t="shared" si="41"/>
        <v>1</v>
      </c>
      <c r="W316" s="7">
        <f t="shared" si="42"/>
        <v>2023</v>
      </c>
    </row>
    <row r="317" spans="1:23" ht="31.95" customHeight="1" thickBot="1" x14ac:dyDescent="0.35">
      <c r="A317" s="15">
        <f t="shared" si="43"/>
        <v>14</v>
      </c>
      <c r="B317" s="26">
        <v>44936</v>
      </c>
      <c r="C317" s="51">
        <f t="shared" si="49"/>
        <v>313</v>
      </c>
      <c r="D317" s="27" t="s">
        <v>978</v>
      </c>
      <c r="E317" s="26" t="s">
        <v>53</v>
      </c>
      <c r="F317" s="28" t="s">
        <v>11</v>
      </c>
      <c r="G317" s="28" t="s">
        <v>11</v>
      </c>
      <c r="H317" s="254"/>
      <c r="I317" s="49">
        <v>14</v>
      </c>
      <c r="J317" s="49">
        <v>14</v>
      </c>
      <c r="K317" s="52">
        <f t="shared" si="44"/>
        <v>1</v>
      </c>
      <c r="L317" s="209">
        <f t="shared" si="45"/>
        <v>0</v>
      </c>
      <c r="M317" s="210">
        <f t="shared" si="46"/>
        <v>0</v>
      </c>
      <c r="N317" s="26">
        <v>44938</v>
      </c>
      <c r="O317" s="26">
        <v>44938</v>
      </c>
      <c r="P317" s="26">
        <v>44938</v>
      </c>
      <c r="Q317" s="2">
        <f t="shared" si="40"/>
        <v>1</v>
      </c>
      <c r="S317" s="7">
        <f t="shared" si="47"/>
        <v>1</v>
      </c>
      <c r="T317" s="157">
        <f t="shared" si="48"/>
        <v>1</v>
      </c>
      <c r="V317" s="191">
        <f t="shared" si="41"/>
        <v>1</v>
      </c>
      <c r="W317" s="7">
        <f t="shared" si="42"/>
        <v>2023</v>
      </c>
    </row>
    <row r="318" spans="1:23" ht="31.95" customHeight="1" thickBot="1" x14ac:dyDescent="0.35">
      <c r="A318" s="15">
        <f t="shared" si="43"/>
        <v>2</v>
      </c>
      <c r="B318" s="26">
        <v>44936</v>
      </c>
      <c r="C318" s="51">
        <f t="shared" si="49"/>
        <v>314</v>
      </c>
      <c r="D318" s="27" t="s">
        <v>524</v>
      </c>
      <c r="E318" s="26" t="s">
        <v>53</v>
      </c>
      <c r="F318" s="28" t="s">
        <v>11</v>
      </c>
      <c r="G318" s="28" t="s">
        <v>11</v>
      </c>
      <c r="H318" s="254"/>
      <c r="I318" s="49">
        <v>2</v>
      </c>
      <c r="J318" s="49">
        <v>2</v>
      </c>
      <c r="K318" s="52">
        <f t="shared" si="44"/>
        <v>1</v>
      </c>
      <c r="L318" s="209">
        <f t="shared" si="45"/>
        <v>0</v>
      </c>
      <c r="M318" s="210">
        <f t="shared" si="46"/>
        <v>0</v>
      </c>
      <c r="N318" s="26">
        <v>44938</v>
      </c>
      <c r="O318" s="26">
        <v>44938</v>
      </c>
      <c r="P318" s="26">
        <v>44938</v>
      </c>
      <c r="Q318" s="2">
        <f t="shared" si="40"/>
        <v>1</v>
      </c>
      <c r="S318" s="7">
        <f t="shared" si="47"/>
        <v>1</v>
      </c>
      <c r="T318" s="157">
        <f t="shared" si="48"/>
        <v>1</v>
      </c>
      <c r="V318" s="191">
        <f t="shared" si="41"/>
        <v>1</v>
      </c>
      <c r="W318" s="7">
        <f t="shared" si="42"/>
        <v>2023</v>
      </c>
    </row>
    <row r="319" spans="1:23" ht="31.95" customHeight="1" thickBot="1" x14ac:dyDescent="0.35">
      <c r="A319" s="15">
        <f t="shared" si="43"/>
        <v>6</v>
      </c>
      <c r="B319" s="26">
        <v>44936</v>
      </c>
      <c r="C319" s="51">
        <f t="shared" si="49"/>
        <v>315</v>
      </c>
      <c r="D319" s="27" t="s">
        <v>890</v>
      </c>
      <c r="E319" s="26" t="s">
        <v>53</v>
      </c>
      <c r="F319" s="28" t="s">
        <v>11</v>
      </c>
      <c r="G319" s="28" t="s">
        <v>11</v>
      </c>
      <c r="H319" s="254"/>
      <c r="I319" s="49">
        <v>6</v>
      </c>
      <c r="J319" s="49">
        <v>6</v>
      </c>
      <c r="K319" s="52">
        <f t="shared" si="44"/>
        <v>1</v>
      </c>
      <c r="L319" s="209">
        <f t="shared" si="45"/>
        <v>0</v>
      </c>
      <c r="M319" s="210">
        <f t="shared" si="46"/>
        <v>0</v>
      </c>
      <c r="N319" s="26">
        <v>44957</v>
      </c>
      <c r="O319" s="26">
        <v>44957</v>
      </c>
      <c r="P319" s="26">
        <v>44957</v>
      </c>
      <c r="Q319" s="2">
        <f t="shared" si="40"/>
        <v>1</v>
      </c>
      <c r="S319" s="7">
        <f t="shared" si="47"/>
        <v>1</v>
      </c>
      <c r="T319" s="157">
        <f t="shared" si="48"/>
        <v>1</v>
      </c>
      <c r="V319" s="191">
        <f t="shared" si="41"/>
        <v>1</v>
      </c>
      <c r="W319" s="7">
        <f t="shared" si="42"/>
        <v>2023</v>
      </c>
    </row>
    <row r="320" spans="1:23" ht="31.95" customHeight="1" thickBot="1" x14ac:dyDescent="0.35">
      <c r="A320" s="15">
        <f t="shared" si="43"/>
        <v>10</v>
      </c>
      <c r="B320" s="26">
        <v>44936</v>
      </c>
      <c r="C320" s="51">
        <f t="shared" si="49"/>
        <v>316</v>
      </c>
      <c r="D320" s="27" t="s">
        <v>871</v>
      </c>
      <c r="E320" s="26" t="s">
        <v>53</v>
      </c>
      <c r="F320" s="28" t="s">
        <v>11</v>
      </c>
      <c r="G320" s="28" t="s">
        <v>11</v>
      </c>
      <c r="H320" s="254"/>
      <c r="I320" s="49">
        <v>10</v>
      </c>
      <c r="J320" s="49">
        <v>10</v>
      </c>
      <c r="K320" s="52">
        <f t="shared" si="44"/>
        <v>1</v>
      </c>
      <c r="L320" s="209">
        <f t="shared" si="45"/>
        <v>0</v>
      </c>
      <c r="M320" s="210">
        <f t="shared" si="46"/>
        <v>0</v>
      </c>
      <c r="N320" s="26">
        <v>44943</v>
      </c>
      <c r="O320" s="26">
        <v>44943</v>
      </c>
      <c r="P320" s="26">
        <v>44943</v>
      </c>
      <c r="Q320" s="2">
        <f t="shared" si="40"/>
        <v>1</v>
      </c>
      <c r="S320" s="7">
        <f t="shared" si="47"/>
        <v>1</v>
      </c>
      <c r="T320" s="157">
        <f t="shared" si="48"/>
        <v>1</v>
      </c>
      <c r="V320" s="191">
        <f t="shared" si="41"/>
        <v>1</v>
      </c>
      <c r="W320" s="7">
        <f t="shared" si="42"/>
        <v>2023</v>
      </c>
    </row>
    <row r="321" spans="1:23" ht="31.95" customHeight="1" thickBot="1" x14ac:dyDescent="0.35">
      <c r="A321" s="15">
        <f t="shared" si="43"/>
        <v>2</v>
      </c>
      <c r="B321" s="26">
        <v>44937</v>
      </c>
      <c r="C321" s="51">
        <f t="shared" si="49"/>
        <v>317</v>
      </c>
      <c r="D321" s="27" t="s">
        <v>297</v>
      </c>
      <c r="E321" s="26" t="s">
        <v>53</v>
      </c>
      <c r="F321" s="28" t="s">
        <v>11</v>
      </c>
      <c r="G321" s="28" t="s">
        <v>11</v>
      </c>
      <c r="H321" s="254"/>
      <c r="I321" s="49">
        <v>2</v>
      </c>
      <c r="J321" s="49">
        <v>2</v>
      </c>
      <c r="K321" s="52">
        <f t="shared" si="44"/>
        <v>1</v>
      </c>
      <c r="L321" s="209">
        <f t="shared" si="45"/>
        <v>0</v>
      </c>
      <c r="M321" s="210">
        <f t="shared" si="46"/>
        <v>0</v>
      </c>
      <c r="N321" s="26">
        <v>44938</v>
      </c>
      <c r="O321" s="26">
        <v>44938</v>
      </c>
      <c r="P321" s="26">
        <v>44938</v>
      </c>
      <c r="Q321" s="2">
        <f t="shared" si="40"/>
        <v>1</v>
      </c>
      <c r="S321" s="7">
        <f t="shared" si="47"/>
        <v>1</v>
      </c>
      <c r="T321" s="157">
        <f t="shared" si="48"/>
        <v>1</v>
      </c>
      <c r="V321" s="191">
        <f t="shared" si="41"/>
        <v>1</v>
      </c>
      <c r="W321" s="7">
        <f t="shared" si="42"/>
        <v>2023</v>
      </c>
    </row>
    <row r="322" spans="1:23" ht="31.95" customHeight="1" thickBot="1" x14ac:dyDescent="0.35">
      <c r="A322" s="15">
        <f t="shared" si="43"/>
        <v>3</v>
      </c>
      <c r="B322" s="26">
        <v>44937</v>
      </c>
      <c r="C322" s="51">
        <f t="shared" si="49"/>
        <v>318</v>
      </c>
      <c r="D322" s="27" t="s">
        <v>524</v>
      </c>
      <c r="E322" s="26" t="s">
        <v>78</v>
      </c>
      <c r="F322" s="28" t="s">
        <v>11</v>
      </c>
      <c r="G322" s="28" t="s">
        <v>11</v>
      </c>
      <c r="H322" s="254"/>
      <c r="I322" s="49">
        <v>3</v>
      </c>
      <c r="J322" s="49">
        <v>3</v>
      </c>
      <c r="K322" s="52">
        <f t="shared" si="44"/>
        <v>1</v>
      </c>
      <c r="L322" s="209">
        <f t="shared" si="45"/>
        <v>0</v>
      </c>
      <c r="M322" s="210">
        <f t="shared" si="46"/>
        <v>0</v>
      </c>
      <c r="N322" s="26">
        <v>44939</v>
      </c>
      <c r="O322" s="26">
        <v>44939</v>
      </c>
      <c r="P322" s="26">
        <v>44939</v>
      </c>
      <c r="Q322" s="2">
        <f t="shared" si="40"/>
        <v>1</v>
      </c>
      <c r="S322" s="7">
        <f t="shared" si="47"/>
        <v>1</v>
      </c>
      <c r="T322" s="157">
        <f t="shared" si="48"/>
        <v>1</v>
      </c>
      <c r="V322" s="191">
        <f t="shared" si="41"/>
        <v>1</v>
      </c>
      <c r="W322" s="7">
        <f t="shared" si="42"/>
        <v>2023</v>
      </c>
    </row>
    <row r="323" spans="1:23" ht="31.95" customHeight="1" thickBot="1" x14ac:dyDescent="0.35">
      <c r="A323" s="15">
        <f t="shared" si="43"/>
        <v>2</v>
      </c>
      <c r="B323" s="26">
        <v>44937</v>
      </c>
      <c r="C323" s="51">
        <f t="shared" si="49"/>
        <v>319</v>
      </c>
      <c r="D323" s="27" t="s">
        <v>871</v>
      </c>
      <c r="E323" s="26" t="s">
        <v>78</v>
      </c>
      <c r="F323" s="28" t="s">
        <v>11</v>
      </c>
      <c r="G323" s="28" t="s">
        <v>11</v>
      </c>
      <c r="H323" s="254"/>
      <c r="I323" s="49">
        <v>2</v>
      </c>
      <c r="J323" s="49">
        <v>2</v>
      </c>
      <c r="K323" s="52">
        <f t="shared" si="44"/>
        <v>1</v>
      </c>
      <c r="L323" s="209">
        <f t="shared" si="45"/>
        <v>0</v>
      </c>
      <c r="M323" s="210">
        <f t="shared" si="46"/>
        <v>0</v>
      </c>
      <c r="N323" s="26">
        <v>44939</v>
      </c>
      <c r="O323" s="26">
        <v>44939</v>
      </c>
      <c r="P323" s="26">
        <v>44939</v>
      </c>
      <c r="Q323" s="2">
        <f t="shared" si="40"/>
        <v>1</v>
      </c>
      <c r="S323" s="7">
        <f t="shared" si="47"/>
        <v>1</v>
      </c>
      <c r="T323" s="157">
        <f t="shared" si="48"/>
        <v>1</v>
      </c>
      <c r="V323" s="191">
        <f t="shared" si="41"/>
        <v>1</v>
      </c>
      <c r="W323" s="7">
        <f t="shared" si="42"/>
        <v>2023</v>
      </c>
    </row>
    <row r="324" spans="1:23" ht="31.95" customHeight="1" thickBot="1" x14ac:dyDescent="0.35">
      <c r="A324" s="15">
        <f t="shared" si="43"/>
        <v>4</v>
      </c>
      <c r="B324" s="26">
        <v>44937</v>
      </c>
      <c r="C324" s="51">
        <f t="shared" si="49"/>
        <v>320</v>
      </c>
      <c r="D324" s="27" t="s">
        <v>858</v>
      </c>
      <c r="E324" s="26" t="s">
        <v>56</v>
      </c>
      <c r="F324" s="28" t="s">
        <v>11</v>
      </c>
      <c r="G324" s="28" t="s">
        <v>11</v>
      </c>
      <c r="H324" s="254"/>
      <c r="I324" s="49">
        <v>4</v>
      </c>
      <c r="J324" s="49">
        <v>4</v>
      </c>
      <c r="K324" s="52">
        <f t="shared" si="44"/>
        <v>1</v>
      </c>
      <c r="L324" s="209">
        <f t="shared" si="45"/>
        <v>0</v>
      </c>
      <c r="M324" s="210">
        <f t="shared" si="46"/>
        <v>0</v>
      </c>
      <c r="N324" s="26">
        <v>44938</v>
      </c>
      <c r="O324" s="26">
        <v>44938</v>
      </c>
      <c r="P324" s="26">
        <v>44938</v>
      </c>
      <c r="Q324" s="2">
        <f t="shared" si="40"/>
        <v>1</v>
      </c>
      <c r="S324" s="7">
        <f t="shared" si="47"/>
        <v>1</v>
      </c>
      <c r="T324" s="157">
        <f t="shared" si="48"/>
        <v>1</v>
      </c>
      <c r="V324" s="191">
        <f t="shared" si="41"/>
        <v>1</v>
      </c>
      <c r="W324" s="7">
        <f t="shared" si="42"/>
        <v>2023</v>
      </c>
    </row>
    <row r="325" spans="1:23" ht="31.95" customHeight="1" thickBot="1" x14ac:dyDescent="0.35">
      <c r="A325" s="15">
        <f t="shared" si="43"/>
        <v>8</v>
      </c>
      <c r="B325" s="26">
        <v>44937</v>
      </c>
      <c r="C325" s="51">
        <f t="shared" si="49"/>
        <v>321</v>
      </c>
      <c r="D325" s="27" t="s">
        <v>305</v>
      </c>
      <c r="E325" s="26" t="s">
        <v>56</v>
      </c>
      <c r="F325" s="28" t="s">
        <v>11</v>
      </c>
      <c r="G325" s="28" t="s">
        <v>11</v>
      </c>
      <c r="H325" s="254"/>
      <c r="I325" s="49">
        <v>8</v>
      </c>
      <c r="J325" s="49">
        <v>8</v>
      </c>
      <c r="K325" s="52">
        <f t="shared" si="44"/>
        <v>1</v>
      </c>
      <c r="L325" s="209">
        <f t="shared" si="45"/>
        <v>0</v>
      </c>
      <c r="M325" s="210">
        <f t="shared" si="46"/>
        <v>0</v>
      </c>
      <c r="N325" s="26">
        <v>44938</v>
      </c>
      <c r="O325" s="26">
        <v>44938</v>
      </c>
      <c r="P325" s="26">
        <v>44938</v>
      </c>
      <c r="Q325" s="2">
        <f t="shared" ref="Q325:Q388" si="50">IF(B325&lt;&gt;"",1,0)</f>
        <v>1</v>
      </c>
      <c r="S325" s="7">
        <f t="shared" si="47"/>
        <v>1</v>
      </c>
      <c r="T325" s="157">
        <f t="shared" si="48"/>
        <v>1</v>
      </c>
      <c r="V325" s="191">
        <f t="shared" ref="V325:V388" si="51">MONTH(B325)</f>
        <v>1</v>
      </c>
      <c r="W325" s="7">
        <f t="shared" ref="W325:W388" si="52">YEAR(B325)</f>
        <v>2023</v>
      </c>
    </row>
    <row r="326" spans="1:23" ht="31.95" customHeight="1" thickBot="1" x14ac:dyDescent="0.35">
      <c r="A326" s="15">
        <f t="shared" ref="A326:A389" si="53">J326</f>
        <v>7</v>
      </c>
      <c r="B326" s="26">
        <v>44937</v>
      </c>
      <c r="C326" s="51">
        <f t="shared" si="49"/>
        <v>322</v>
      </c>
      <c r="D326" s="27" t="s">
        <v>705</v>
      </c>
      <c r="E326" s="26" t="s">
        <v>56</v>
      </c>
      <c r="F326" s="28" t="s">
        <v>11</v>
      </c>
      <c r="G326" s="28" t="s">
        <v>11</v>
      </c>
      <c r="H326" s="254"/>
      <c r="I326" s="49">
        <v>7</v>
      </c>
      <c r="J326" s="49">
        <v>7</v>
      </c>
      <c r="K326" s="52">
        <f t="shared" ref="K326:K389" si="54">IFERROR(J326/I326,"")</f>
        <v>1</v>
      </c>
      <c r="L326" s="209">
        <f t="shared" ref="L326:L389" si="55">IF(I326="","",I326-J326)</f>
        <v>0</v>
      </c>
      <c r="M326" s="210">
        <f t="shared" ref="M326:M389" si="56">IFERROR(1-K326,"")</f>
        <v>0</v>
      </c>
      <c r="N326" s="26">
        <v>44938</v>
      </c>
      <c r="O326" s="26">
        <v>44938</v>
      </c>
      <c r="P326" s="26">
        <v>44938</v>
      </c>
      <c r="Q326" s="2">
        <f t="shared" si="50"/>
        <v>1</v>
      </c>
      <c r="S326" s="7">
        <f t="shared" ref="S326:S389" si="57">IF(AND(O326&lt;=N326,O326&lt;&gt;""),1,0)</f>
        <v>1</v>
      </c>
      <c r="T326" s="157">
        <f t="shared" ref="T326:T389" si="58">IF(AND(P326&lt;=N326,P326&lt;&gt;""),1,0)</f>
        <v>1</v>
      </c>
      <c r="V326" s="191">
        <f t="shared" si="51"/>
        <v>1</v>
      </c>
      <c r="W326" s="7">
        <f t="shared" si="52"/>
        <v>2023</v>
      </c>
    </row>
    <row r="327" spans="1:23" ht="31.95" customHeight="1" thickBot="1" x14ac:dyDescent="0.35">
      <c r="A327" s="15">
        <f t="shared" si="53"/>
        <v>4</v>
      </c>
      <c r="B327" s="26">
        <v>44938</v>
      </c>
      <c r="C327" s="51">
        <f t="shared" ref="C327:C390" si="59">IF(B327&lt;&gt;"",C326+1,"")</f>
        <v>323</v>
      </c>
      <c r="D327" s="27" t="s">
        <v>524</v>
      </c>
      <c r="E327" s="26" t="s">
        <v>1299</v>
      </c>
      <c r="F327" s="28" t="s">
        <v>11</v>
      </c>
      <c r="G327" s="28" t="s">
        <v>11</v>
      </c>
      <c r="H327" s="254"/>
      <c r="I327" s="49">
        <v>4</v>
      </c>
      <c r="J327" s="49">
        <v>4</v>
      </c>
      <c r="K327" s="52">
        <f t="shared" si="54"/>
        <v>1</v>
      </c>
      <c r="L327" s="209">
        <f t="shared" si="55"/>
        <v>0</v>
      </c>
      <c r="M327" s="210">
        <f t="shared" si="56"/>
        <v>0</v>
      </c>
      <c r="N327" s="26">
        <v>44939</v>
      </c>
      <c r="O327" s="26">
        <v>44939</v>
      </c>
      <c r="P327" s="26">
        <v>44939</v>
      </c>
      <c r="Q327" s="2">
        <f t="shared" si="50"/>
        <v>1</v>
      </c>
      <c r="S327" s="7">
        <f t="shared" si="57"/>
        <v>1</v>
      </c>
      <c r="T327" s="157">
        <f t="shared" si="58"/>
        <v>1</v>
      </c>
      <c r="V327" s="191">
        <f t="shared" si="51"/>
        <v>1</v>
      </c>
      <c r="W327" s="7">
        <f t="shared" si="52"/>
        <v>2023</v>
      </c>
    </row>
    <row r="328" spans="1:23" ht="31.95" customHeight="1" thickBot="1" x14ac:dyDescent="0.35">
      <c r="A328" s="15">
        <f t="shared" si="53"/>
        <v>2</v>
      </c>
      <c r="B328" s="26">
        <v>44938</v>
      </c>
      <c r="C328" s="51">
        <f t="shared" si="59"/>
        <v>324</v>
      </c>
      <c r="D328" s="27" t="s">
        <v>871</v>
      </c>
      <c r="E328" s="26" t="s">
        <v>1299</v>
      </c>
      <c r="F328" s="28" t="s">
        <v>11</v>
      </c>
      <c r="G328" s="28" t="s">
        <v>11</v>
      </c>
      <c r="H328" s="254"/>
      <c r="I328" s="49">
        <v>2</v>
      </c>
      <c r="J328" s="49">
        <v>2</v>
      </c>
      <c r="K328" s="52">
        <f t="shared" si="54"/>
        <v>1</v>
      </c>
      <c r="L328" s="209">
        <f t="shared" si="55"/>
        <v>0</v>
      </c>
      <c r="M328" s="210">
        <f t="shared" si="56"/>
        <v>0</v>
      </c>
      <c r="N328" s="26">
        <v>44945</v>
      </c>
      <c r="O328" s="26">
        <v>44945</v>
      </c>
      <c r="P328" s="26">
        <v>44945</v>
      </c>
      <c r="Q328" s="2">
        <f t="shared" si="50"/>
        <v>1</v>
      </c>
      <c r="S328" s="7">
        <f t="shared" si="57"/>
        <v>1</v>
      </c>
      <c r="T328" s="157">
        <f t="shared" si="58"/>
        <v>1</v>
      </c>
      <c r="V328" s="191">
        <f t="shared" si="51"/>
        <v>1</v>
      </c>
      <c r="W328" s="7">
        <f t="shared" si="52"/>
        <v>2023</v>
      </c>
    </row>
    <row r="329" spans="1:23" ht="31.95" customHeight="1" thickBot="1" x14ac:dyDescent="0.35">
      <c r="A329" s="15">
        <f t="shared" si="53"/>
        <v>1</v>
      </c>
      <c r="B329" s="26">
        <v>44938</v>
      </c>
      <c r="C329" s="51">
        <f t="shared" si="59"/>
        <v>325</v>
      </c>
      <c r="D329" s="27" t="s">
        <v>1150</v>
      </c>
      <c r="E329" s="26" t="s">
        <v>1299</v>
      </c>
      <c r="F329" s="28" t="s">
        <v>11</v>
      </c>
      <c r="G329" s="28" t="s">
        <v>11</v>
      </c>
      <c r="H329" s="254"/>
      <c r="I329" s="49">
        <v>1</v>
      </c>
      <c r="J329" s="49">
        <v>1</v>
      </c>
      <c r="K329" s="52">
        <f t="shared" si="54"/>
        <v>1</v>
      </c>
      <c r="L329" s="209">
        <f t="shared" si="55"/>
        <v>0</v>
      </c>
      <c r="M329" s="210">
        <f t="shared" si="56"/>
        <v>0</v>
      </c>
      <c r="N329" s="26">
        <v>44939</v>
      </c>
      <c r="O329" s="26">
        <v>44939</v>
      </c>
      <c r="P329" s="26">
        <v>44939</v>
      </c>
      <c r="Q329" s="2">
        <f t="shared" si="50"/>
        <v>1</v>
      </c>
      <c r="S329" s="7">
        <f t="shared" si="57"/>
        <v>1</v>
      </c>
      <c r="T329" s="157">
        <f t="shared" si="58"/>
        <v>1</v>
      </c>
      <c r="V329" s="191">
        <f t="shared" si="51"/>
        <v>1</v>
      </c>
      <c r="W329" s="7">
        <f t="shared" si="52"/>
        <v>2023</v>
      </c>
    </row>
    <row r="330" spans="1:23" ht="31.95" customHeight="1" thickBot="1" x14ac:dyDescent="0.35">
      <c r="A330" s="15">
        <f t="shared" si="53"/>
        <v>1</v>
      </c>
      <c r="B330" s="26">
        <v>44938</v>
      </c>
      <c r="C330" s="51">
        <f t="shared" si="59"/>
        <v>326</v>
      </c>
      <c r="D330" s="27" t="s">
        <v>321</v>
      </c>
      <c r="E330" s="26" t="s">
        <v>1299</v>
      </c>
      <c r="F330" s="28" t="s">
        <v>11</v>
      </c>
      <c r="G330" s="28" t="s">
        <v>11</v>
      </c>
      <c r="H330" s="254"/>
      <c r="I330" s="49">
        <v>1</v>
      </c>
      <c r="J330" s="49">
        <v>1</v>
      </c>
      <c r="K330" s="52">
        <f t="shared" si="54"/>
        <v>1</v>
      </c>
      <c r="L330" s="209">
        <f t="shared" si="55"/>
        <v>0</v>
      </c>
      <c r="M330" s="210">
        <f t="shared" si="56"/>
        <v>0</v>
      </c>
      <c r="N330" s="26">
        <v>44939</v>
      </c>
      <c r="O330" s="26">
        <v>44939</v>
      </c>
      <c r="P330" s="26">
        <v>44939</v>
      </c>
      <c r="Q330" s="2">
        <f t="shared" si="50"/>
        <v>1</v>
      </c>
      <c r="S330" s="7">
        <f t="shared" si="57"/>
        <v>1</v>
      </c>
      <c r="T330" s="157">
        <f t="shared" si="58"/>
        <v>1</v>
      </c>
      <c r="V330" s="191">
        <f t="shared" si="51"/>
        <v>1</v>
      </c>
      <c r="W330" s="7">
        <f t="shared" si="52"/>
        <v>2023</v>
      </c>
    </row>
    <row r="331" spans="1:23" ht="31.95" customHeight="1" thickBot="1" x14ac:dyDescent="0.35">
      <c r="A331" s="15">
        <f t="shared" si="53"/>
        <v>1</v>
      </c>
      <c r="B331" s="26">
        <v>44938</v>
      </c>
      <c r="C331" s="51">
        <f t="shared" si="59"/>
        <v>327</v>
      </c>
      <c r="D331" s="27" t="s">
        <v>297</v>
      </c>
      <c r="E331" s="26" t="s">
        <v>1299</v>
      </c>
      <c r="F331" s="28" t="s">
        <v>11</v>
      </c>
      <c r="G331" s="28" t="s">
        <v>11</v>
      </c>
      <c r="H331" s="254"/>
      <c r="I331" s="49">
        <v>1</v>
      </c>
      <c r="J331" s="49">
        <v>1</v>
      </c>
      <c r="K331" s="52">
        <f t="shared" si="54"/>
        <v>1</v>
      </c>
      <c r="L331" s="209">
        <f t="shared" si="55"/>
        <v>0</v>
      </c>
      <c r="M331" s="210">
        <f t="shared" si="56"/>
        <v>0</v>
      </c>
      <c r="N331" s="26">
        <v>44939</v>
      </c>
      <c r="O331" s="26">
        <v>44939</v>
      </c>
      <c r="P331" s="26">
        <v>44939</v>
      </c>
      <c r="Q331" s="2">
        <f t="shared" si="50"/>
        <v>1</v>
      </c>
      <c r="S331" s="7">
        <f t="shared" si="57"/>
        <v>1</v>
      </c>
      <c r="T331" s="157">
        <f t="shared" si="58"/>
        <v>1</v>
      </c>
      <c r="V331" s="191">
        <f t="shared" si="51"/>
        <v>1</v>
      </c>
      <c r="W331" s="7">
        <f t="shared" si="52"/>
        <v>2023</v>
      </c>
    </row>
    <row r="332" spans="1:23" ht="31.95" customHeight="1" thickBot="1" x14ac:dyDescent="0.35">
      <c r="A332" s="15">
        <f t="shared" si="53"/>
        <v>1</v>
      </c>
      <c r="B332" s="26">
        <v>44938</v>
      </c>
      <c r="C332" s="51">
        <f t="shared" si="59"/>
        <v>328</v>
      </c>
      <c r="D332" s="27" t="s">
        <v>978</v>
      </c>
      <c r="E332" s="26" t="s">
        <v>80</v>
      </c>
      <c r="F332" s="28" t="s">
        <v>11</v>
      </c>
      <c r="G332" s="28" t="s">
        <v>11</v>
      </c>
      <c r="H332" s="254"/>
      <c r="I332" s="49">
        <v>1</v>
      </c>
      <c r="J332" s="49">
        <v>1</v>
      </c>
      <c r="K332" s="52">
        <f t="shared" si="54"/>
        <v>1</v>
      </c>
      <c r="L332" s="209">
        <f t="shared" si="55"/>
        <v>0</v>
      </c>
      <c r="M332" s="210">
        <f t="shared" si="56"/>
        <v>0</v>
      </c>
      <c r="N332" s="26">
        <v>44945</v>
      </c>
      <c r="O332" s="26">
        <v>44945</v>
      </c>
      <c r="P332" s="26">
        <v>44945</v>
      </c>
      <c r="Q332" s="2">
        <f t="shared" si="50"/>
        <v>1</v>
      </c>
      <c r="S332" s="7">
        <f t="shared" si="57"/>
        <v>1</v>
      </c>
      <c r="T332" s="157">
        <f t="shared" si="58"/>
        <v>1</v>
      </c>
      <c r="V332" s="191">
        <f t="shared" si="51"/>
        <v>1</v>
      </c>
      <c r="W332" s="7">
        <f t="shared" si="52"/>
        <v>2023</v>
      </c>
    </row>
    <row r="333" spans="1:23" ht="31.95" customHeight="1" thickBot="1" x14ac:dyDescent="0.35">
      <c r="A333" s="15">
        <f t="shared" si="53"/>
        <v>1</v>
      </c>
      <c r="B333" s="26">
        <v>44938</v>
      </c>
      <c r="C333" s="51">
        <f t="shared" si="59"/>
        <v>329</v>
      </c>
      <c r="D333" s="27" t="s">
        <v>871</v>
      </c>
      <c r="E333" s="26" t="s">
        <v>80</v>
      </c>
      <c r="F333" s="28" t="s">
        <v>11</v>
      </c>
      <c r="G333" s="28" t="s">
        <v>11</v>
      </c>
      <c r="H333" s="254"/>
      <c r="I333" s="49">
        <v>1</v>
      </c>
      <c r="J333" s="49">
        <v>1</v>
      </c>
      <c r="K333" s="52">
        <f t="shared" si="54"/>
        <v>1</v>
      </c>
      <c r="L333" s="209">
        <f t="shared" si="55"/>
        <v>0</v>
      </c>
      <c r="M333" s="210">
        <f t="shared" si="56"/>
        <v>0</v>
      </c>
      <c r="N333" s="26">
        <v>44942</v>
      </c>
      <c r="O333" s="26">
        <v>44942</v>
      </c>
      <c r="P333" s="26">
        <v>44942</v>
      </c>
      <c r="Q333" s="2">
        <f t="shared" si="50"/>
        <v>1</v>
      </c>
      <c r="S333" s="7">
        <f t="shared" si="57"/>
        <v>1</v>
      </c>
      <c r="T333" s="157">
        <f t="shared" si="58"/>
        <v>1</v>
      </c>
      <c r="V333" s="191">
        <f t="shared" si="51"/>
        <v>1</v>
      </c>
      <c r="W333" s="7">
        <f t="shared" si="52"/>
        <v>2023</v>
      </c>
    </row>
    <row r="334" spans="1:23" ht="31.95" customHeight="1" thickBot="1" x14ac:dyDescent="0.35">
      <c r="A334" s="15">
        <f t="shared" si="53"/>
        <v>10</v>
      </c>
      <c r="B334" s="26">
        <v>44938</v>
      </c>
      <c r="C334" s="51">
        <f t="shared" si="59"/>
        <v>330</v>
      </c>
      <c r="D334" s="27" t="s">
        <v>978</v>
      </c>
      <c r="E334" s="26" t="s">
        <v>79</v>
      </c>
      <c r="F334" s="28" t="s">
        <v>11</v>
      </c>
      <c r="G334" s="28" t="s">
        <v>11</v>
      </c>
      <c r="H334" s="254"/>
      <c r="I334" s="49">
        <v>10</v>
      </c>
      <c r="J334" s="49">
        <v>10</v>
      </c>
      <c r="K334" s="52">
        <f t="shared" si="54"/>
        <v>1</v>
      </c>
      <c r="L334" s="209">
        <f t="shared" si="55"/>
        <v>0</v>
      </c>
      <c r="M334" s="210">
        <f t="shared" si="56"/>
        <v>0</v>
      </c>
      <c r="N334" s="26">
        <v>44942</v>
      </c>
      <c r="O334" s="26">
        <v>44942</v>
      </c>
      <c r="P334" s="26">
        <v>44942</v>
      </c>
      <c r="Q334" s="2">
        <f t="shared" si="50"/>
        <v>1</v>
      </c>
      <c r="S334" s="7">
        <f t="shared" si="57"/>
        <v>1</v>
      </c>
      <c r="T334" s="157">
        <f t="shared" si="58"/>
        <v>1</v>
      </c>
      <c r="V334" s="191">
        <f t="shared" si="51"/>
        <v>1</v>
      </c>
      <c r="W334" s="7">
        <f t="shared" si="52"/>
        <v>2023</v>
      </c>
    </row>
    <row r="335" spans="1:23" ht="31.95" customHeight="1" thickBot="1" x14ac:dyDescent="0.35">
      <c r="A335" s="15">
        <f t="shared" si="53"/>
        <v>3</v>
      </c>
      <c r="B335" s="26">
        <v>44938</v>
      </c>
      <c r="C335" s="51">
        <f t="shared" si="59"/>
        <v>331</v>
      </c>
      <c r="D335" s="27" t="s">
        <v>890</v>
      </c>
      <c r="E335" s="26" t="s">
        <v>79</v>
      </c>
      <c r="F335" s="28" t="s">
        <v>11</v>
      </c>
      <c r="G335" s="28" t="s">
        <v>11</v>
      </c>
      <c r="H335" s="254"/>
      <c r="I335" s="49">
        <v>3</v>
      </c>
      <c r="J335" s="49">
        <v>3</v>
      </c>
      <c r="K335" s="52">
        <f t="shared" si="54"/>
        <v>1</v>
      </c>
      <c r="L335" s="209">
        <f t="shared" si="55"/>
        <v>0</v>
      </c>
      <c r="M335" s="210">
        <f t="shared" si="56"/>
        <v>0</v>
      </c>
      <c r="N335" s="26">
        <v>44959</v>
      </c>
      <c r="O335" s="26">
        <v>44959</v>
      </c>
      <c r="P335" s="26">
        <v>44959</v>
      </c>
      <c r="Q335" s="2">
        <f t="shared" si="50"/>
        <v>1</v>
      </c>
      <c r="S335" s="7">
        <f t="shared" si="57"/>
        <v>1</v>
      </c>
      <c r="T335" s="157">
        <f t="shared" si="58"/>
        <v>1</v>
      </c>
      <c r="V335" s="191">
        <f t="shared" si="51"/>
        <v>1</v>
      </c>
      <c r="W335" s="7">
        <f t="shared" si="52"/>
        <v>2023</v>
      </c>
    </row>
    <row r="336" spans="1:23" ht="31.95" customHeight="1" thickBot="1" x14ac:dyDescent="0.35">
      <c r="A336" s="15">
        <f t="shared" si="53"/>
        <v>3</v>
      </c>
      <c r="B336" s="26">
        <v>44938</v>
      </c>
      <c r="C336" s="51">
        <f t="shared" si="59"/>
        <v>332</v>
      </c>
      <c r="D336" s="27" t="s">
        <v>871</v>
      </c>
      <c r="E336" s="26" t="s">
        <v>79</v>
      </c>
      <c r="F336" s="28" t="s">
        <v>11</v>
      </c>
      <c r="G336" s="28" t="s">
        <v>11</v>
      </c>
      <c r="H336" s="254"/>
      <c r="I336" s="49">
        <v>3</v>
      </c>
      <c r="J336" s="49">
        <v>3</v>
      </c>
      <c r="K336" s="52">
        <f t="shared" si="54"/>
        <v>1</v>
      </c>
      <c r="L336" s="209">
        <f t="shared" si="55"/>
        <v>0</v>
      </c>
      <c r="M336" s="210">
        <f t="shared" si="56"/>
        <v>0</v>
      </c>
      <c r="N336" s="26">
        <v>44945</v>
      </c>
      <c r="O336" s="26">
        <v>44945</v>
      </c>
      <c r="P336" s="26">
        <v>44945</v>
      </c>
      <c r="Q336" s="2">
        <f t="shared" si="50"/>
        <v>1</v>
      </c>
      <c r="S336" s="7">
        <f t="shared" si="57"/>
        <v>1</v>
      </c>
      <c r="T336" s="157">
        <f t="shared" si="58"/>
        <v>1</v>
      </c>
      <c r="V336" s="191">
        <f t="shared" si="51"/>
        <v>1</v>
      </c>
      <c r="W336" s="7">
        <f t="shared" si="52"/>
        <v>2023</v>
      </c>
    </row>
    <row r="337" spans="1:23" ht="31.95" customHeight="1" thickBot="1" x14ac:dyDescent="0.35">
      <c r="A337" s="15">
        <f t="shared" si="53"/>
        <v>1</v>
      </c>
      <c r="B337" s="26">
        <v>44938</v>
      </c>
      <c r="C337" s="51">
        <f t="shared" si="59"/>
        <v>333</v>
      </c>
      <c r="D337" s="27" t="s">
        <v>297</v>
      </c>
      <c r="E337" s="26" t="s">
        <v>79</v>
      </c>
      <c r="F337" s="28" t="s">
        <v>11</v>
      </c>
      <c r="G337" s="28" t="s">
        <v>11</v>
      </c>
      <c r="H337" s="254"/>
      <c r="I337" s="49">
        <v>1</v>
      </c>
      <c r="J337" s="49">
        <v>1</v>
      </c>
      <c r="K337" s="52">
        <f t="shared" si="54"/>
        <v>1</v>
      </c>
      <c r="L337" s="209">
        <f t="shared" si="55"/>
        <v>0</v>
      </c>
      <c r="M337" s="210">
        <f t="shared" si="56"/>
        <v>0</v>
      </c>
      <c r="N337" s="26">
        <v>44939</v>
      </c>
      <c r="O337" s="26">
        <v>44939</v>
      </c>
      <c r="P337" s="26">
        <v>44939</v>
      </c>
      <c r="Q337" s="2">
        <f t="shared" si="50"/>
        <v>1</v>
      </c>
      <c r="S337" s="7">
        <f t="shared" si="57"/>
        <v>1</v>
      </c>
      <c r="T337" s="157">
        <f t="shared" si="58"/>
        <v>1</v>
      </c>
      <c r="V337" s="191">
        <f t="shared" si="51"/>
        <v>1</v>
      </c>
      <c r="W337" s="7">
        <f t="shared" si="52"/>
        <v>2023</v>
      </c>
    </row>
    <row r="338" spans="1:23" ht="31.95" customHeight="1" thickBot="1" x14ac:dyDescent="0.35">
      <c r="A338" s="15">
        <f t="shared" si="53"/>
        <v>1</v>
      </c>
      <c r="B338" s="26">
        <v>44938</v>
      </c>
      <c r="C338" s="51">
        <f t="shared" si="59"/>
        <v>334</v>
      </c>
      <c r="D338" s="27" t="s">
        <v>297</v>
      </c>
      <c r="E338" s="26" t="s">
        <v>80</v>
      </c>
      <c r="F338" s="28" t="s">
        <v>11</v>
      </c>
      <c r="G338" s="28" t="s">
        <v>11</v>
      </c>
      <c r="H338" s="254"/>
      <c r="I338" s="49">
        <v>1</v>
      </c>
      <c r="J338" s="49">
        <v>1</v>
      </c>
      <c r="K338" s="52">
        <f t="shared" si="54"/>
        <v>1</v>
      </c>
      <c r="L338" s="209">
        <f t="shared" si="55"/>
        <v>0</v>
      </c>
      <c r="M338" s="210">
        <f t="shared" si="56"/>
        <v>0</v>
      </c>
      <c r="N338" s="26">
        <v>44939</v>
      </c>
      <c r="O338" s="26">
        <v>44939</v>
      </c>
      <c r="P338" s="26">
        <v>44939</v>
      </c>
      <c r="Q338" s="2">
        <f t="shared" si="50"/>
        <v>1</v>
      </c>
      <c r="S338" s="7">
        <f t="shared" si="57"/>
        <v>1</v>
      </c>
      <c r="T338" s="157">
        <f t="shared" si="58"/>
        <v>1</v>
      </c>
      <c r="V338" s="191">
        <f t="shared" si="51"/>
        <v>1</v>
      </c>
      <c r="W338" s="7">
        <f t="shared" si="52"/>
        <v>2023</v>
      </c>
    </row>
    <row r="339" spans="1:23" ht="31.95" customHeight="1" thickBot="1" x14ac:dyDescent="0.35">
      <c r="A339" s="15">
        <f t="shared" si="53"/>
        <v>3</v>
      </c>
      <c r="B339" s="26">
        <v>44938</v>
      </c>
      <c r="C339" s="51">
        <f t="shared" si="59"/>
        <v>335</v>
      </c>
      <c r="D339" s="27" t="s">
        <v>890</v>
      </c>
      <c r="E339" s="26" t="s">
        <v>1299</v>
      </c>
      <c r="F339" s="28" t="s">
        <v>11</v>
      </c>
      <c r="G339" s="28" t="s">
        <v>11</v>
      </c>
      <c r="H339" s="254"/>
      <c r="I339" s="49">
        <v>3</v>
      </c>
      <c r="J339" s="49">
        <v>3</v>
      </c>
      <c r="K339" s="52">
        <f t="shared" si="54"/>
        <v>1</v>
      </c>
      <c r="L339" s="209">
        <f t="shared" si="55"/>
        <v>0</v>
      </c>
      <c r="M339" s="210">
        <f t="shared" si="56"/>
        <v>0</v>
      </c>
      <c r="N339" s="26">
        <v>44952</v>
      </c>
      <c r="O339" s="26">
        <v>44952</v>
      </c>
      <c r="P339" s="26">
        <v>44952</v>
      </c>
      <c r="Q339" s="2">
        <f t="shared" si="50"/>
        <v>1</v>
      </c>
      <c r="S339" s="7">
        <f t="shared" si="57"/>
        <v>1</v>
      </c>
      <c r="T339" s="157">
        <f t="shared" si="58"/>
        <v>1</v>
      </c>
      <c r="V339" s="191">
        <f t="shared" si="51"/>
        <v>1</v>
      </c>
      <c r="W339" s="7">
        <f t="shared" si="52"/>
        <v>2023</v>
      </c>
    </row>
    <row r="340" spans="1:23" ht="31.95" customHeight="1" thickBot="1" x14ac:dyDescent="0.35">
      <c r="A340" s="15">
        <f t="shared" si="53"/>
        <v>1</v>
      </c>
      <c r="B340" s="26">
        <v>44939</v>
      </c>
      <c r="C340" s="51">
        <f t="shared" si="59"/>
        <v>336</v>
      </c>
      <c r="D340" s="27" t="s">
        <v>410</v>
      </c>
      <c r="E340" s="26" t="s">
        <v>11</v>
      </c>
      <c r="F340" s="28" t="s">
        <v>11</v>
      </c>
      <c r="G340" s="28" t="s">
        <v>11</v>
      </c>
      <c r="H340" s="254"/>
      <c r="I340" s="49">
        <v>1</v>
      </c>
      <c r="J340" s="49">
        <v>1</v>
      </c>
      <c r="K340" s="52">
        <f t="shared" si="54"/>
        <v>1</v>
      </c>
      <c r="L340" s="209">
        <f t="shared" si="55"/>
        <v>0</v>
      </c>
      <c r="M340" s="210">
        <f t="shared" si="56"/>
        <v>0</v>
      </c>
      <c r="N340" s="26">
        <v>44943</v>
      </c>
      <c r="O340" s="26">
        <v>44943</v>
      </c>
      <c r="P340" s="26">
        <v>44943</v>
      </c>
      <c r="Q340" s="2">
        <f t="shared" si="50"/>
        <v>1</v>
      </c>
      <c r="S340" s="7">
        <f t="shared" si="57"/>
        <v>1</v>
      </c>
      <c r="T340" s="157">
        <f t="shared" si="58"/>
        <v>1</v>
      </c>
      <c r="V340" s="191">
        <f t="shared" si="51"/>
        <v>1</v>
      </c>
      <c r="W340" s="7">
        <f t="shared" si="52"/>
        <v>2023</v>
      </c>
    </row>
    <row r="341" spans="1:23" ht="31.95" customHeight="1" thickBot="1" x14ac:dyDescent="0.35">
      <c r="A341" s="15">
        <f t="shared" si="53"/>
        <v>1</v>
      </c>
      <c r="B341" s="26">
        <v>44943</v>
      </c>
      <c r="C341" s="51">
        <f t="shared" si="59"/>
        <v>337</v>
      </c>
      <c r="D341" s="27" t="s">
        <v>311</v>
      </c>
      <c r="E341" s="26" t="s">
        <v>56</v>
      </c>
      <c r="F341" s="28" t="s">
        <v>11</v>
      </c>
      <c r="G341" s="28" t="s">
        <v>11</v>
      </c>
      <c r="H341" s="254"/>
      <c r="I341" s="49">
        <v>1</v>
      </c>
      <c r="J341" s="49">
        <v>1</v>
      </c>
      <c r="K341" s="52">
        <f t="shared" si="54"/>
        <v>1</v>
      </c>
      <c r="L341" s="209">
        <f t="shared" si="55"/>
        <v>0</v>
      </c>
      <c r="M341" s="210">
        <f t="shared" si="56"/>
        <v>0</v>
      </c>
      <c r="N341" s="26">
        <v>44949</v>
      </c>
      <c r="O341" s="26">
        <v>44949</v>
      </c>
      <c r="P341" s="26">
        <v>44949</v>
      </c>
      <c r="Q341" s="2">
        <f t="shared" si="50"/>
        <v>1</v>
      </c>
      <c r="S341" s="7">
        <f t="shared" si="57"/>
        <v>1</v>
      </c>
      <c r="T341" s="157">
        <f t="shared" si="58"/>
        <v>1</v>
      </c>
      <c r="V341" s="191">
        <f t="shared" si="51"/>
        <v>1</v>
      </c>
      <c r="W341" s="7">
        <f t="shared" si="52"/>
        <v>2023</v>
      </c>
    </row>
    <row r="342" spans="1:23" ht="31.95" customHeight="1" thickBot="1" x14ac:dyDescent="0.35">
      <c r="A342" s="15">
        <f t="shared" si="53"/>
        <v>1</v>
      </c>
      <c r="B342" s="26">
        <v>44944</v>
      </c>
      <c r="C342" s="51">
        <f t="shared" si="59"/>
        <v>338</v>
      </c>
      <c r="D342" s="27" t="s">
        <v>305</v>
      </c>
      <c r="E342" s="26" t="s">
        <v>49</v>
      </c>
      <c r="F342" s="28" t="s">
        <v>11</v>
      </c>
      <c r="G342" s="28" t="s">
        <v>11</v>
      </c>
      <c r="H342" s="254"/>
      <c r="I342" s="49">
        <v>1</v>
      </c>
      <c r="J342" s="49">
        <v>1</v>
      </c>
      <c r="K342" s="52">
        <f t="shared" si="54"/>
        <v>1</v>
      </c>
      <c r="L342" s="209">
        <f t="shared" si="55"/>
        <v>0</v>
      </c>
      <c r="M342" s="210">
        <f t="shared" si="56"/>
        <v>0</v>
      </c>
      <c r="N342" s="26">
        <v>44944</v>
      </c>
      <c r="O342" s="26">
        <v>44944</v>
      </c>
      <c r="P342" s="26">
        <v>44944</v>
      </c>
      <c r="Q342" s="2">
        <f t="shared" si="50"/>
        <v>1</v>
      </c>
      <c r="S342" s="7">
        <f t="shared" si="57"/>
        <v>1</v>
      </c>
      <c r="T342" s="157">
        <f t="shared" si="58"/>
        <v>1</v>
      </c>
      <c r="V342" s="191">
        <f t="shared" si="51"/>
        <v>1</v>
      </c>
      <c r="W342" s="7">
        <f t="shared" si="52"/>
        <v>2023</v>
      </c>
    </row>
    <row r="343" spans="1:23" ht="31.95" customHeight="1" thickBot="1" x14ac:dyDescent="0.35">
      <c r="A343" s="15">
        <f t="shared" si="53"/>
        <v>1</v>
      </c>
      <c r="B343" s="26">
        <v>44945</v>
      </c>
      <c r="C343" s="51">
        <f t="shared" si="59"/>
        <v>339</v>
      </c>
      <c r="D343" s="27" t="s">
        <v>890</v>
      </c>
      <c r="E343" s="26" t="s">
        <v>49</v>
      </c>
      <c r="F343" s="28" t="s">
        <v>11</v>
      </c>
      <c r="G343" s="28" t="s">
        <v>11</v>
      </c>
      <c r="H343" s="254"/>
      <c r="I343" s="49">
        <v>1</v>
      </c>
      <c r="J343" s="49">
        <v>1</v>
      </c>
      <c r="K343" s="52">
        <f t="shared" si="54"/>
        <v>1</v>
      </c>
      <c r="L343" s="209">
        <f t="shared" si="55"/>
        <v>0</v>
      </c>
      <c r="M343" s="210">
        <f t="shared" si="56"/>
        <v>0</v>
      </c>
      <c r="N343" s="26">
        <v>44946</v>
      </c>
      <c r="O343" s="26">
        <v>44946</v>
      </c>
      <c r="P343" s="26">
        <v>44946</v>
      </c>
      <c r="Q343" s="2">
        <f t="shared" si="50"/>
        <v>1</v>
      </c>
      <c r="S343" s="7">
        <f t="shared" si="57"/>
        <v>1</v>
      </c>
      <c r="T343" s="157">
        <f t="shared" si="58"/>
        <v>1</v>
      </c>
      <c r="V343" s="191">
        <f t="shared" si="51"/>
        <v>1</v>
      </c>
      <c r="W343" s="7">
        <f t="shared" si="52"/>
        <v>2023</v>
      </c>
    </row>
    <row r="344" spans="1:23" ht="31.95" customHeight="1" thickBot="1" x14ac:dyDescent="0.35">
      <c r="A344" s="15">
        <f t="shared" si="53"/>
        <v>1</v>
      </c>
      <c r="B344" s="26">
        <v>44945</v>
      </c>
      <c r="C344" s="51">
        <f t="shared" si="59"/>
        <v>340</v>
      </c>
      <c r="D344" s="27" t="s">
        <v>978</v>
      </c>
      <c r="E344" s="26" t="s">
        <v>80</v>
      </c>
      <c r="F344" s="28" t="s">
        <v>11</v>
      </c>
      <c r="G344" s="28" t="s">
        <v>11</v>
      </c>
      <c r="H344" s="254"/>
      <c r="I344" s="49">
        <v>1</v>
      </c>
      <c r="J344" s="49">
        <v>1</v>
      </c>
      <c r="K344" s="52">
        <f t="shared" si="54"/>
        <v>1</v>
      </c>
      <c r="L344" s="209">
        <f t="shared" si="55"/>
        <v>0</v>
      </c>
      <c r="M344" s="210">
        <f t="shared" si="56"/>
        <v>0</v>
      </c>
      <c r="N344" s="26">
        <v>44949</v>
      </c>
      <c r="O344" s="26">
        <v>44949</v>
      </c>
      <c r="P344" s="26">
        <v>44949</v>
      </c>
      <c r="Q344" s="2">
        <f t="shared" si="50"/>
        <v>1</v>
      </c>
      <c r="S344" s="7">
        <f t="shared" si="57"/>
        <v>1</v>
      </c>
      <c r="T344" s="157">
        <f t="shared" si="58"/>
        <v>1</v>
      </c>
      <c r="V344" s="191">
        <f t="shared" si="51"/>
        <v>1</v>
      </c>
      <c r="W344" s="7">
        <f t="shared" si="52"/>
        <v>2023</v>
      </c>
    </row>
    <row r="345" spans="1:23" ht="31.95" customHeight="1" thickBot="1" x14ac:dyDescent="0.35">
      <c r="A345" s="15">
        <f t="shared" si="53"/>
        <v>1</v>
      </c>
      <c r="B345" s="26">
        <v>44945</v>
      </c>
      <c r="C345" s="51">
        <f t="shared" si="59"/>
        <v>341</v>
      </c>
      <c r="D345" s="27" t="s">
        <v>871</v>
      </c>
      <c r="E345" s="26" t="s">
        <v>80</v>
      </c>
      <c r="F345" s="28" t="s">
        <v>11</v>
      </c>
      <c r="G345" s="28" t="s">
        <v>11</v>
      </c>
      <c r="H345" s="254"/>
      <c r="I345" s="49">
        <v>1</v>
      </c>
      <c r="J345" s="49">
        <v>1</v>
      </c>
      <c r="K345" s="52">
        <f t="shared" si="54"/>
        <v>1</v>
      </c>
      <c r="L345" s="209">
        <f t="shared" si="55"/>
        <v>0</v>
      </c>
      <c r="M345" s="210">
        <f t="shared" si="56"/>
        <v>0</v>
      </c>
      <c r="N345" s="26">
        <v>44949</v>
      </c>
      <c r="O345" s="26">
        <v>44949</v>
      </c>
      <c r="P345" s="26">
        <v>44949</v>
      </c>
      <c r="Q345" s="2">
        <f t="shared" si="50"/>
        <v>1</v>
      </c>
      <c r="S345" s="7">
        <f t="shared" si="57"/>
        <v>1</v>
      </c>
      <c r="T345" s="157">
        <f t="shared" si="58"/>
        <v>1</v>
      </c>
      <c r="V345" s="191">
        <f t="shared" si="51"/>
        <v>1</v>
      </c>
      <c r="W345" s="7">
        <f t="shared" si="52"/>
        <v>2023</v>
      </c>
    </row>
    <row r="346" spans="1:23" ht="31.95" customHeight="1" thickBot="1" x14ac:dyDescent="0.35">
      <c r="A346" s="15">
        <f t="shared" si="53"/>
        <v>2</v>
      </c>
      <c r="B346" s="26">
        <v>44945</v>
      </c>
      <c r="C346" s="51">
        <f t="shared" si="59"/>
        <v>342</v>
      </c>
      <c r="D346" s="27" t="s">
        <v>890</v>
      </c>
      <c r="E346" s="26" t="s">
        <v>80</v>
      </c>
      <c r="F346" s="28" t="s">
        <v>11</v>
      </c>
      <c r="G346" s="28" t="s">
        <v>11</v>
      </c>
      <c r="H346" s="254"/>
      <c r="I346" s="49">
        <v>2</v>
      </c>
      <c r="J346" s="49">
        <v>2</v>
      </c>
      <c r="K346" s="52">
        <f t="shared" si="54"/>
        <v>1</v>
      </c>
      <c r="L346" s="209">
        <f t="shared" si="55"/>
        <v>0</v>
      </c>
      <c r="M346" s="210">
        <f t="shared" si="56"/>
        <v>0</v>
      </c>
      <c r="N346" s="26">
        <v>44959</v>
      </c>
      <c r="O346" s="26">
        <v>44959</v>
      </c>
      <c r="P346" s="26">
        <v>44959</v>
      </c>
      <c r="Q346" s="2">
        <f t="shared" si="50"/>
        <v>1</v>
      </c>
      <c r="S346" s="7">
        <f t="shared" si="57"/>
        <v>1</v>
      </c>
      <c r="T346" s="157">
        <f t="shared" si="58"/>
        <v>1</v>
      </c>
      <c r="V346" s="191">
        <f t="shared" si="51"/>
        <v>1</v>
      </c>
      <c r="W346" s="7">
        <f t="shared" si="52"/>
        <v>2023</v>
      </c>
    </row>
    <row r="347" spans="1:23" ht="31.95" customHeight="1" thickBot="1" x14ac:dyDescent="0.35">
      <c r="A347" s="15">
        <f t="shared" si="53"/>
        <v>4</v>
      </c>
      <c r="B347" s="26">
        <v>44949</v>
      </c>
      <c r="C347" s="51">
        <f t="shared" si="59"/>
        <v>343</v>
      </c>
      <c r="D347" s="27" t="s">
        <v>1121</v>
      </c>
      <c r="E347" s="26" t="s">
        <v>11</v>
      </c>
      <c r="F347" s="28" t="s">
        <v>11</v>
      </c>
      <c r="G347" s="28" t="s">
        <v>11</v>
      </c>
      <c r="H347" s="254"/>
      <c r="I347" s="49">
        <v>4</v>
      </c>
      <c r="J347" s="49">
        <v>4</v>
      </c>
      <c r="K347" s="52">
        <f t="shared" si="54"/>
        <v>1</v>
      </c>
      <c r="L347" s="209">
        <f t="shared" si="55"/>
        <v>0</v>
      </c>
      <c r="M347" s="210">
        <f t="shared" si="56"/>
        <v>0</v>
      </c>
      <c r="N347" s="26">
        <v>44956</v>
      </c>
      <c r="O347" s="26">
        <v>44956</v>
      </c>
      <c r="P347" s="26">
        <v>44956</v>
      </c>
      <c r="Q347" s="2">
        <f t="shared" si="50"/>
        <v>1</v>
      </c>
      <c r="S347" s="7">
        <f t="shared" si="57"/>
        <v>1</v>
      </c>
      <c r="T347" s="157">
        <f t="shared" si="58"/>
        <v>1</v>
      </c>
      <c r="V347" s="191">
        <f t="shared" si="51"/>
        <v>1</v>
      </c>
      <c r="W347" s="7">
        <f t="shared" si="52"/>
        <v>2023</v>
      </c>
    </row>
    <row r="348" spans="1:23" ht="31.95" customHeight="1" thickBot="1" x14ac:dyDescent="0.35">
      <c r="A348" s="15">
        <f t="shared" si="53"/>
        <v>4</v>
      </c>
      <c r="B348" s="26">
        <v>44949</v>
      </c>
      <c r="C348" s="51">
        <f t="shared" si="59"/>
        <v>344</v>
      </c>
      <c r="D348" s="27" t="s">
        <v>269</v>
      </c>
      <c r="E348" s="26" t="s">
        <v>11</v>
      </c>
      <c r="F348" s="28" t="s">
        <v>11</v>
      </c>
      <c r="G348" s="28" t="s">
        <v>11</v>
      </c>
      <c r="H348" s="254"/>
      <c r="I348" s="49">
        <v>4</v>
      </c>
      <c r="J348" s="49">
        <v>4</v>
      </c>
      <c r="K348" s="52">
        <f t="shared" si="54"/>
        <v>1</v>
      </c>
      <c r="L348" s="209">
        <f t="shared" si="55"/>
        <v>0</v>
      </c>
      <c r="M348" s="210">
        <f t="shared" si="56"/>
        <v>0</v>
      </c>
      <c r="N348" s="26">
        <v>44950</v>
      </c>
      <c r="O348" s="26">
        <v>44950</v>
      </c>
      <c r="P348" s="26">
        <v>44950</v>
      </c>
      <c r="Q348" s="2">
        <f t="shared" si="50"/>
        <v>1</v>
      </c>
      <c r="S348" s="7">
        <f t="shared" si="57"/>
        <v>1</v>
      </c>
      <c r="T348" s="157">
        <f t="shared" si="58"/>
        <v>1</v>
      </c>
      <c r="V348" s="191">
        <f t="shared" si="51"/>
        <v>1</v>
      </c>
      <c r="W348" s="7">
        <f t="shared" si="52"/>
        <v>2023</v>
      </c>
    </row>
    <row r="349" spans="1:23" ht="31.95" customHeight="1" thickBot="1" x14ac:dyDescent="0.35">
      <c r="A349" s="15">
        <f t="shared" si="53"/>
        <v>2</v>
      </c>
      <c r="B349" s="26">
        <v>44949</v>
      </c>
      <c r="C349" s="51">
        <f t="shared" si="59"/>
        <v>345</v>
      </c>
      <c r="D349" s="27" t="s">
        <v>890</v>
      </c>
      <c r="E349" s="26" t="s">
        <v>78</v>
      </c>
      <c r="F349" s="28" t="s">
        <v>11</v>
      </c>
      <c r="G349" s="28" t="s">
        <v>11</v>
      </c>
      <c r="H349" s="254"/>
      <c r="I349" s="49">
        <v>2</v>
      </c>
      <c r="J349" s="49">
        <v>2</v>
      </c>
      <c r="K349" s="52">
        <f t="shared" si="54"/>
        <v>1</v>
      </c>
      <c r="L349" s="209">
        <f t="shared" si="55"/>
        <v>0</v>
      </c>
      <c r="M349" s="210">
        <f t="shared" si="56"/>
        <v>0</v>
      </c>
      <c r="N349" s="26">
        <v>44963</v>
      </c>
      <c r="O349" s="26">
        <v>44963</v>
      </c>
      <c r="P349" s="26">
        <v>44963</v>
      </c>
      <c r="Q349" s="2">
        <f t="shared" si="50"/>
        <v>1</v>
      </c>
      <c r="S349" s="7">
        <f t="shared" si="57"/>
        <v>1</v>
      </c>
      <c r="T349" s="157">
        <f t="shared" si="58"/>
        <v>1</v>
      </c>
      <c r="V349" s="191">
        <f t="shared" si="51"/>
        <v>1</v>
      </c>
      <c r="W349" s="7">
        <f t="shared" si="52"/>
        <v>2023</v>
      </c>
    </row>
    <row r="350" spans="1:23" ht="31.95" customHeight="1" thickBot="1" x14ac:dyDescent="0.35">
      <c r="A350" s="15">
        <f t="shared" si="53"/>
        <v>3</v>
      </c>
      <c r="B350" s="26">
        <v>44950</v>
      </c>
      <c r="C350" s="51">
        <f t="shared" si="59"/>
        <v>346</v>
      </c>
      <c r="D350" s="27" t="s">
        <v>524</v>
      </c>
      <c r="E350" s="26" t="s">
        <v>1299</v>
      </c>
      <c r="F350" s="28" t="s">
        <v>11</v>
      </c>
      <c r="G350" s="28" t="s">
        <v>11</v>
      </c>
      <c r="H350" s="254"/>
      <c r="I350" s="49">
        <v>3</v>
      </c>
      <c r="J350" s="49">
        <v>3</v>
      </c>
      <c r="K350" s="52">
        <f t="shared" si="54"/>
        <v>1</v>
      </c>
      <c r="L350" s="209">
        <f t="shared" si="55"/>
        <v>0</v>
      </c>
      <c r="M350" s="210">
        <f t="shared" si="56"/>
        <v>0</v>
      </c>
      <c r="N350" s="26">
        <v>44956</v>
      </c>
      <c r="O350" s="26">
        <v>44956</v>
      </c>
      <c r="P350" s="26">
        <v>44956</v>
      </c>
      <c r="Q350" s="2">
        <f t="shared" si="50"/>
        <v>1</v>
      </c>
      <c r="S350" s="7">
        <f t="shared" si="57"/>
        <v>1</v>
      </c>
      <c r="T350" s="157">
        <f t="shared" si="58"/>
        <v>1</v>
      </c>
      <c r="V350" s="191">
        <f t="shared" si="51"/>
        <v>1</v>
      </c>
      <c r="W350" s="7">
        <f t="shared" si="52"/>
        <v>2023</v>
      </c>
    </row>
    <row r="351" spans="1:23" ht="31.95" customHeight="1" thickBot="1" x14ac:dyDescent="0.35">
      <c r="A351" s="15">
        <f t="shared" si="53"/>
        <v>1</v>
      </c>
      <c r="B351" s="26">
        <v>44950</v>
      </c>
      <c r="C351" s="51">
        <f t="shared" si="59"/>
        <v>347</v>
      </c>
      <c r="D351" s="27" t="s">
        <v>871</v>
      </c>
      <c r="E351" s="26" t="s">
        <v>79</v>
      </c>
      <c r="F351" s="28" t="s">
        <v>11</v>
      </c>
      <c r="G351" s="28" t="s">
        <v>11</v>
      </c>
      <c r="H351" s="254"/>
      <c r="I351" s="49">
        <v>1</v>
      </c>
      <c r="J351" s="49">
        <v>1</v>
      </c>
      <c r="K351" s="52">
        <f t="shared" si="54"/>
        <v>1</v>
      </c>
      <c r="L351" s="209">
        <f t="shared" si="55"/>
        <v>0</v>
      </c>
      <c r="M351" s="210">
        <f t="shared" si="56"/>
        <v>0</v>
      </c>
      <c r="N351" s="26">
        <v>44953</v>
      </c>
      <c r="O351" s="26">
        <v>44953</v>
      </c>
      <c r="P351" s="26">
        <v>44953</v>
      </c>
      <c r="Q351" s="2">
        <f t="shared" si="50"/>
        <v>1</v>
      </c>
      <c r="S351" s="7">
        <f t="shared" si="57"/>
        <v>1</v>
      </c>
      <c r="T351" s="157">
        <f t="shared" si="58"/>
        <v>1</v>
      </c>
      <c r="V351" s="191">
        <f t="shared" si="51"/>
        <v>1</v>
      </c>
      <c r="W351" s="7">
        <f t="shared" si="52"/>
        <v>2023</v>
      </c>
    </row>
    <row r="352" spans="1:23" ht="31.95" customHeight="1" thickBot="1" x14ac:dyDescent="0.35">
      <c r="A352" s="15">
        <f t="shared" si="53"/>
        <v>1</v>
      </c>
      <c r="B352" s="26">
        <v>44952</v>
      </c>
      <c r="C352" s="51">
        <f t="shared" si="59"/>
        <v>348</v>
      </c>
      <c r="D352" s="27" t="s">
        <v>871</v>
      </c>
      <c r="E352" s="26" t="s">
        <v>1299</v>
      </c>
      <c r="F352" s="28" t="s">
        <v>11</v>
      </c>
      <c r="G352" s="28" t="s">
        <v>11</v>
      </c>
      <c r="H352" s="254"/>
      <c r="I352" s="49">
        <v>1</v>
      </c>
      <c r="J352" s="49">
        <v>1</v>
      </c>
      <c r="K352" s="52">
        <f t="shared" si="54"/>
        <v>1</v>
      </c>
      <c r="L352" s="209">
        <f t="shared" si="55"/>
        <v>0</v>
      </c>
      <c r="M352" s="210">
        <f t="shared" si="56"/>
        <v>0</v>
      </c>
      <c r="N352" s="26">
        <v>44953</v>
      </c>
      <c r="O352" s="26">
        <v>44953</v>
      </c>
      <c r="P352" s="26">
        <v>44953</v>
      </c>
      <c r="Q352" s="2">
        <f t="shared" si="50"/>
        <v>1</v>
      </c>
      <c r="S352" s="7">
        <f t="shared" si="57"/>
        <v>1</v>
      </c>
      <c r="T352" s="157">
        <f t="shared" si="58"/>
        <v>1</v>
      </c>
      <c r="V352" s="191">
        <f t="shared" si="51"/>
        <v>1</v>
      </c>
      <c r="W352" s="7">
        <f t="shared" si="52"/>
        <v>2023</v>
      </c>
    </row>
    <row r="353" spans="1:23" ht="31.95" customHeight="1" thickBot="1" x14ac:dyDescent="0.35">
      <c r="A353" s="15">
        <f t="shared" si="53"/>
        <v>1</v>
      </c>
      <c r="B353" s="26">
        <v>44952</v>
      </c>
      <c r="C353" s="51">
        <f t="shared" si="59"/>
        <v>349</v>
      </c>
      <c r="D353" s="27" t="s">
        <v>890</v>
      </c>
      <c r="E353" s="26" t="s">
        <v>1299</v>
      </c>
      <c r="F353" s="28" t="s">
        <v>11</v>
      </c>
      <c r="G353" s="28" t="s">
        <v>11</v>
      </c>
      <c r="H353" s="254"/>
      <c r="I353" s="49">
        <v>1</v>
      </c>
      <c r="J353" s="49">
        <v>1</v>
      </c>
      <c r="K353" s="52">
        <f t="shared" si="54"/>
        <v>1</v>
      </c>
      <c r="L353" s="209">
        <f t="shared" si="55"/>
        <v>0</v>
      </c>
      <c r="M353" s="210">
        <f t="shared" si="56"/>
        <v>0</v>
      </c>
      <c r="N353" s="26">
        <v>44959</v>
      </c>
      <c r="O353" s="26">
        <v>44959</v>
      </c>
      <c r="P353" s="26">
        <v>44959</v>
      </c>
      <c r="Q353" s="2">
        <f t="shared" si="50"/>
        <v>1</v>
      </c>
      <c r="S353" s="7">
        <f t="shared" si="57"/>
        <v>1</v>
      </c>
      <c r="T353" s="157">
        <f t="shared" si="58"/>
        <v>1</v>
      </c>
      <c r="V353" s="191">
        <f t="shared" si="51"/>
        <v>1</v>
      </c>
      <c r="W353" s="7">
        <f t="shared" si="52"/>
        <v>2023</v>
      </c>
    </row>
    <row r="354" spans="1:23" ht="31.95" customHeight="1" thickBot="1" x14ac:dyDescent="0.35">
      <c r="A354" s="15">
        <f t="shared" si="53"/>
        <v>1</v>
      </c>
      <c r="B354" s="26">
        <v>44952</v>
      </c>
      <c r="C354" s="51">
        <f t="shared" si="59"/>
        <v>350</v>
      </c>
      <c r="D354" s="27" t="s">
        <v>890</v>
      </c>
      <c r="E354" s="26" t="s">
        <v>79</v>
      </c>
      <c r="F354" s="28" t="s">
        <v>11</v>
      </c>
      <c r="G354" s="28" t="s">
        <v>11</v>
      </c>
      <c r="H354" s="254"/>
      <c r="I354" s="49">
        <v>1</v>
      </c>
      <c r="J354" s="49">
        <v>1</v>
      </c>
      <c r="K354" s="52">
        <f t="shared" si="54"/>
        <v>1</v>
      </c>
      <c r="L354" s="209">
        <f t="shared" si="55"/>
        <v>0</v>
      </c>
      <c r="M354" s="210">
        <f t="shared" si="56"/>
        <v>0</v>
      </c>
      <c r="N354" s="26">
        <v>44959</v>
      </c>
      <c r="O354" s="26">
        <v>44959</v>
      </c>
      <c r="P354" s="26">
        <v>44959</v>
      </c>
      <c r="Q354" s="2">
        <f t="shared" si="50"/>
        <v>1</v>
      </c>
      <c r="S354" s="7">
        <f t="shared" si="57"/>
        <v>1</v>
      </c>
      <c r="T354" s="157">
        <f t="shared" si="58"/>
        <v>1</v>
      </c>
      <c r="V354" s="191">
        <f t="shared" si="51"/>
        <v>1</v>
      </c>
      <c r="W354" s="7">
        <f t="shared" si="52"/>
        <v>2023</v>
      </c>
    </row>
    <row r="355" spans="1:23" ht="31.95" customHeight="1" thickBot="1" x14ac:dyDescent="0.35">
      <c r="A355" s="15">
        <f t="shared" si="53"/>
        <v>1</v>
      </c>
      <c r="B355" s="26">
        <v>44952</v>
      </c>
      <c r="C355" s="51">
        <f t="shared" si="59"/>
        <v>351</v>
      </c>
      <c r="D355" s="27" t="s">
        <v>705</v>
      </c>
      <c r="E355" s="26" t="s">
        <v>11</v>
      </c>
      <c r="F355" s="28" t="s">
        <v>11</v>
      </c>
      <c r="G355" s="28" t="s">
        <v>11</v>
      </c>
      <c r="H355" s="254"/>
      <c r="I355" s="49">
        <v>1</v>
      </c>
      <c r="J355" s="49">
        <v>1</v>
      </c>
      <c r="K355" s="52">
        <f t="shared" si="54"/>
        <v>1</v>
      </c>
      <c r="L355" s="209">
        <f t="shared" si="55"/>
        <v>0</v>
      </c>
      <c r="M355" s="210">
        <f t="shared" si="56"/>
        <v>0</v>
      </c>
      <c r="N355" s="26">
        <v>44953</v>
      </c>
      <c r="O355" s="26">
        <v>44953</v>
      </c>
      <c r="P355" s="26">
        <v>44953</v>
      </c>
      <c r="Q355" s="2">
        <f t="shared" si="50"/>
        <v>1</v>
      </c>
      <c r="S355" s="7">
        <f t="shared" si="57"/>
        <v>1</v>
      </c>
      <c r="T355" s="157">
        <f t="shared" si="58"/>
        <v>1</v>
      </c>
      <c r="V355" s="191">
        <f t="shared" si="51"/>
        <v>1</v>
      </c>
      <c r="W355" s="7">
        <f t="shared" si="52"/>
        <v>2023</v>
      </c>
    </row>
    <row r="356" spans="1:23" ht="31.95" customHeight="1" thickBot="1" x14ac:dyDescent="0.35">
      <c r="A356" s="15">
        <f t="shared" si="53"/>
        <v>5</v>
      </c>
      <c r="B356" s="26">
        <v>44952</v>
      </c>
      <c r="C356" s="51">
        <f t="shared" si="59"/>
        <v>352</v>
      </c>
      <c r="D356" s="27" t="s">
        <v>305</v>
      </c>
      <c r="E356" s="26" t="s">
        <v>11</v>
      </c>
      <c r="F356" s="28" t="s">
        <v>11</v>
      </c>
      <c r="G356" s="28" t="s">
        <v>11</v>
      </c>
      <c r="H356" s="254"/>
      <c r="I356" s="49">
        <v>5</v>
      </c>
      <c r="J356" s="49">
        <v>5</v>
      </c>
      <c r="K356" s="52">
        <f t="shared" si="54"/>
        <v>1</v>
      </c>
      <c r="L356" s="209">
        <f t="shared" si="55"/>
        <v>0</v>
      </c>
      <c r="M356" s="210">
        <f t="shared" si="56"/>
        <v>0</v>
      </c>
      <c r="N356" s="26">
        <v>44953</v>
      </c>
      <c r="O356" s="26">
        <v>44953</v>
      </c>
      <c r="P356" s="26">
        <v>44953</v>
      </c>
      <c r="Q356" s="2">
        <f t="shared" si="50"/>
        <v>1</v>
      </c>
      <c r="S356" s="7">
        <f t="shared" si="57"/>
        <v>1</v>
      </c>
      <c r="T356" s="157">
        <f t="shared" si="58"/>
        <v>1</v>
      </c>
      <c r="V356" s="191">
        <f t="shared" si="51"/>
        <v>1</v>
      </c>
      <c r="W356" s="7">
        <f t="shared" si="52"/>
        <v>2023</v>
      </c>
    </row>
    <row r="357" spans="1:23" ht="31.95" customHeight="1" thickBot="1" x14ac:dyDescent="0.35">
      <c r="A357" s="15">
        <f t="shared" si="53"/>
        <v>2</v>
      </c>
      <c r="B357" s="26">
        <v>44956</v>
      </c>
      <c r="C357" s="51">
        <f t="shared" si="59"/>
        <v>353</v>
      </c>
      <c r="D357" s="27" t="s">
        <v>321</v>
      </c>
      <c r="E357" s="26" t="s">
        <v>11</v>
      </c>
      <c r="F357" s="28" t="s">
        <v>11</v>
      </c>
      <c r="G357" s="28" t="s">
        <v>11</v>
      </c>
      <c r="H357" s="254"/>
      <c r="I357" s="49">
        <v>2</v>
      </c>
      <c r="J357" s="49">
        <v>2</v>
      </c>
      <c r="K357" s="52">
        <f t="shared" si="54"/>
        <v>1</v>
      </c>
      <c r="L357" s="209">
        <f t="shared" si="55"/>
        <v>0</v>
      </c>
      <c r="M357" s="210">
        <f t="shared" si="56"/>
        <v>0</v>
      </c>
      <c r="N357" s="26">
        <v>44957</v>
      </c>
      <c r="O357" s="26">
        <v>44957</v>
      </c>
      <c r="P357" s="26">
        <v>44957</v>
      </c>
      <c r="Q357" s="2">
        <f t="shared" si="50"/>
        <v>1</v>
      </c>
      <c r="S357" s="7">
        <f t="shared" si="57"/>
        <v>1</v>
      </c>
      <c r="T357" s="157">
        <f t="shared" si="58"/>
        <v>1</v>
      </c>
      <c r="V357" s="191">
        <f t="shared" si="51"/>
        <v>1</v>
      </c>
      <c r="W357" s="7">
        <f t="shared" si="52"/>
        <v>2023</v>
      </c>
    </row>
    <row r="358" spans="1:23" ht="31.95" customHeight="1" thickBot="1" x14ac:dyDescent="0.35">
      <c r="A358" s="15">
        <f t="shared" si="53"/>
        <v>1</v>
      </c>
      <c r="B358" s="26">
        <v>44959</v>
      </c>
      <c r="C358" s="51">
        <f t="shared" si="59"/>
        <v>354</v>
      </c>
      <c r="D358" s="27" t="s">
        <v>858</v>
      </c>
      <c r="E358" s="26" t="s">
        <v>11</v>
      </c>
      <c r="F358" s="28" t="s">
        <v>11</v>
      </c>
      <c r="G358" s="28" t="s">
        <v>11</v>
      </c>
      <c r="H358" s="254"/>
      <c r="I358" s="49">
        <v>1</v>
      </c>
      <c r="J358" s="49">
        <v>1</v>
      </c>
      <c r="K358" s="52">
        <f t="shared" si="54"/>
        <v>1</v>
      </c>
      <c r="L358" s="209">
        <f t="shared" si="55"/>
        <v>0</v>
      </c>
      <c r="M358" s="210">
        <f t="shared" si="56"/>
        <v>0</v>
      </c>
      <c r="N358" s="26">
        <v>44959</v>
      </c>
      <c r="O358" s="26">
        <v>44959</v>
      </c>
      <c r="P358" s="26">
        <v>44959</v>
      </c>
      <c r="Q358" s="2">
        <f t="shared" si="50"/>
        <v>1</v>
      </c>
      <c r="S358" s="7">
        <f t="shared" si="57"/>
        <v>1</v>
      </c>
      <c r="T358" s="157">
        <f t="shared" si="58"/>
        <v>1</v>
      </c>
      <c r="V358" s="191">
        <f t="shared" si="51"/>
        <v>2</v>
      </c>
      <c r="W358" s="7">
        <f t="shared" si="52"/>
        <v>2023</v>
      </c>
    </row>
    <row r="359" spans="1:23" ht="31.95" customHeight="1" thickBot="1" x14ac:dyDescent="0.35">
      <c r="A359" s="15">
        <f t="shared" si="53"/>
        <v>4</v>
      </c>
      <c r="B359" s="26">
        <v>44959</v>
      </c>
      <c r="C359" s="51">
        <f t="shared" si="59"/>
        <v>355</v>
      </c>
      <c r="D359" s="27" t="s">
        <v>705</v>
      </c>
      <c r="E359" s="26" t="s">
        <v>11</v>
      </c>
      <c r="F359" s="28" t="s">
        <v>11</v>
      </c>
      <c r="G359" s="28" t="s">
        <v>11</v>
      </c>
      <c r="H359" s="254"/>
      <c r="I359" s="49">
        <v>4</v>
      </c>
      <c r="J359" s="49">
        <v>4</v>
      </c>
      <c r="K359" s="52">
        <f t="shared" si="54"/>
        <v>1</v>
      </c>
      <c r="L359" s="209">
        <f t="shared" si="55"/>
        <v>0</v>
      </c>
      <c r="M359" s="210">
        <f t="shared" si="56"/>
        <v>0</v>
      </c>
      <c r="N359" s="26">
        <v>44959</v>
      </c>
      <c r="O359" s="26">
        <v>44959</v>
      </c>
      <c r="P359" s="26">
        <v>44959</v>
      </c>
      <c r="Q359" s="2">
        <f t="shared" si="50"/>
        <v>1</v>
      </c>
      <c r="S359" s="7">
        <f t="shared" si="57"/>
        <v>1</v>
      </c>
      <c r="T359" s="157">
        <f t="shared" si="58"/>
        <v>1</v>
      </c>
      <c r="V359" s="191">
        <f t="shared" si="51"/>
        <v>2</v>
      </c>
      <c r="W359" s="7">
        <f t="shared" si="52"/>
        <v>2023</v>
      </c>
    </row>
    <row r="360" spans="1:23" ht="31.95" customHeight="1" thickBot="1" x14ac:dyDescent="0.35">
      <c r="A360" s="15">
        <f t="shared" si="53"/>
        <v>4</v>
      </c>
      <c r="B360" s="26">
        <v>44959</v>
      </c>
      <c r="C360" s="51">
        <f t="shared" si="59"/>
        <v>356</v>
      </c>
      <c r="D360" s="27" t="s">
        <v>305</v>
      </c>
      <c r="E360" s="26" t="s">
        <v>11</v>
      </c>
      <c r="F360" s="28" t="s">
        <v>11</v>
      </c>
      <c r="G360" s="28" t="s">
        <v>11</v>
      </c>
      <c r="H360" s="254"/>
      <c r="I360" s="49">
        <v>4</v>
      </c>
      <c r="J360" s="49">
        <v>4</v>
      </c>
      <c r="K360" s="52">
        <f t="shared" si="54"/>
        <v>1</v>
      </c>
      <c r="L360" s="209">
        <f t="shared" si="55"/>
        <v>0</v>
      </c>
      <c r="M360" s="210">
        <f t="shared" si="56"/>
        <v>0</v>
      </c>
      <c r="N360" s="26">
        <v>44959</v>
      </c>
      <c r="O360" s="26">
        <v>44959</v>
      </c>
      <c r="P360" s="26">
        <v>44959</v>
      </c>
      <c r="Q360" s="2">
        <f t="shared" si="50"/>
        <v>1</v>
      </c>
      <c r="S360" s="7">
        <f t="shared" si="57"/>
        <v>1</v>
      </c>
      <c r="T360" s="157">
        <f t="shared" si="58"/>
        <v>1</v>
      </c>
      <c r="V360" s="191">
        <f t="shared" si="51"/>
        <v>2</v>
      </c>
      <c r="W360" s="7">
        <f t="shared" si="52"/>
        <v>2023</v>
      </c>
    </row>
    <row r="361" spans="1:23" ht="31.95" customHeight="1" thickBot="1" x14ac:dyDescent="0.35">
      <c r="A361" s="15">
        <f t="shared" si="53"/>
        <v>2</v>
      </c>
      <c r="B361" s="26">
        <v>44963</v>
      </c>
      <c r="C361" s="51">
        <f t="shared" si="59"/>
        <v>357</v>
      </c>
      <c r="D361" s="27" t="s">
        <v>1206</v>
      </c>
      <c r="E361" s="26" t="s">
        <v>61</v>
      </c>
      <c r="F361" s="28" t="s">
        <v>11</v>
      </c>
      <c r="G361" s="28" t="s">
        <v>11</v>
      </c>
      <c r="H361" s="254"/>
      <c r="I361" s="49">
        <v>2</v>
      </c>
      <c r="J361" s="49">
        <v>2</v>
      </c>
      <c r="K361" s="52">
        <f t="shared" si="54"/>
        <v>1</v>
      </c>
      <c r="L361" s="209">
        <f t="shared" si="55"/>
        <v>0</v>
      </c>
      <c r="M361" s="210">
        <f t="shared" si="56"/>
        <v>0</v>
      </c>
      <c r="N361" s="26">
        <v>44963</v>
      </c>
      <c r="O361" s="26">
        <v>44963</v>
      </c>
      <c r="P361" s="26">
        <v>44963</v>
      </c>
      <c r="Q361" s="2">
        <f t="shared" si="50"/>
        <v>1</v>
      </c>
      <c r="S361" s="7">
        <f t="shared" si="57"/>
        <v>1</v>
      </c>
      <c r="T361" s="157">
        <f t="shared" si="58"/>
        <v>1</v>
      </c>
      <c r="V361" s="191">
        <f t="shared" si="51"/>
        <v>2</v>
      </c>
      <c r="W361" s="7">
        <f t="shared" si="52"/>
        <v>2023</v>
      </c>
    </row>
    <row r="362" spans="1:23" ht="31.95" customHeight="1" thickBot="1" x14ac:dyDescent="0.35">
      <c r="A362" s="15">
        <f t="shared" si="53"/>
        <v>1</v>
      </c>
      <c r="B362" s="26">
        <v>44963</v>
      </c>
      <c r="C362" s="51">
        <f t="shared" si="59"/>
        <v>358</v>
      </c>
      <c r="D362" s="27" t="s">
        <v>401</v>
      </c>
      <c r="E362" s="26" t="s">
        <v>11</v>
      </c>
      <c r="F362" s="28" t="s">
        <v>11</v>
      </c>
      <c r="G362" s="28" t="s">
        <v>11</v>
      </c>
      <c r="H362" s="254"/>
      <c r="I362" s="49">
        <v>1</v>
      </c>
      <c r="J362" s="49">
        <v>1</v>
      </c>
      <c r="K362" s="52">
        <f t="shared" si="54"/>
        <v>1</v>
      </c>
      <c r="L362" s="209">
        <f t="shared" si="55"/>
        <v>0</v>
      </c>
      <c r="M362" s="210">
        <f t="shared" si="56"/>
        <v>0</v>
      </c>
      <c r="N362" s="26">
        <v>44963</v>
      </c>
      <c r="O362" s="26">
        <v>44963</v>
      </c>
      <c r="P362" s="26">
        <v>44963</v>
      </c>
      <c r="Q362" s="2">
        <f t="shared" si="50"/>
        <v>1</v>
      </c>
      <c r="S362" s="7">
        <f t="shared" si="57"/>
        <v>1</v>
      </c>
      <c r="T362" s="157">
        <f t="shared" si="58"/>
        <v>1</v>
      </c>
      <c r="V362" s="191">
        <f t="shared" si="51"/>
        <v>2</v>
      </c>
      <c r="W362" s="7">
        <f t="shared" si="52"/>
        <v>2023</v>
      </c>
    </row>
    <row r="363" spans="1:23" ht="31.95" customHeight="1" thickBot="1" x14ac:dyDescent="0.35">
      <c r="A363" s="15">
        <f t="shared" si="53"/>
        <v>1</v>
      </c>
      <c r="B363" s="26">
        <v>44964</v>
      </c>
      <c r="C363" s="51">
        <f t="shared" si="59"/>
        <v>359</v>
      </c>
      <c r="D363" s="27" t="s">
        <v>524</v>
      </c>
      <c r="E363" s="26" t="s">
        <v>60</v>
      </c>
      <c r="F363" s="28" t="s">
        <v>11</v>
      </c>
      <c r="G363" s="28" t="s">
        <v>11</v>
      </c>
      <c r="H363" s="254"/>
      <c r="I363" s="49">
        <v>1</v>
      </c>
      <c r="J363" s="49">
        <v>1</v>
      </c>
      <c r="K363" s="52">
        <f t="shared" si="54"/>
        <v>1</v>
      </c>
      <c r="L363" s="209">
        <f t="shared" si="55"/>
        <v>0</v>
      </c>
      <c r="M363" s="210">
        <f t="shared" si="56"/>
        <v>0</v>
      </c>
      <c r="N363" s="26">
        <v>44972</v>
      </c>
      <c r="O363" s="26">
        <v>44972</v>
      </c>
      <c r="P363" s="26">
        <v>44972</v>
      </c>
      <c r="Q363" s="2">
        <f t="shared" si="50"/>
        <v>1</v>
      </c>
      <c r="S363" s="7">
        <f t="shared" si="57"/>
        <v>1</v>
      </c>
      <c r="T363" s="157">
        <f t="shared" si="58"/>
        <v>1</v>
      </c>
      <c r="V363" s="191">
        <f t="shared" si="51"/>
        <v>2</v>
      </c>
      <c r="W363" s="7">
        <f t="shared" si="52"/>
        <v>2023</v>
      </c>
    </row>
    <row r="364" spans="1:23" ht="31.95" customHeight="1" thickBot="1" x14ac:dyDescent="0.35">
      <c r="A364" s="15">
        <f t="shared" si="53"/>
        <v>1</v>
      </c>
      <c r="B364" s="26">
        <v>44965</v>
      </c>
      <c r="C364" s="51">
        <f t="shared" si="59"/>
        <v>360</v>
      </c>
      <c r="D364" s="27" t="s">
        <v>871</v>
      </c>
      <c r="E364" s="26" t="s">
        <v>58</v>
      </c>
      <c r="F364" s="28" t="s">
        <v>11</v>
      </c>
      <c r="G364" s="28" t="s">
        <v>11</v>
      </c>
      <c r="H364" s="254"/>
      <c r="I364" s="49">
        <v>1</v>
      </c>
      <c r="J364" s="49">
        <v>1</v>
      </c>
      <c r="K364" s="52">
        <f t="shared" si="54"/>
        <v>1</v>
      </c>
      <c r="L364" s="209">
        <f t="shared" si="55"/>
        <v>0</v>
      </c>
      <c r="M364" s="210">
        <f t="shared" si="56"/>
        <v>0</v>
      </c>
      <c r="N364" s="26">
        <v>44966</v>
      </c>
      <c r="O364" s="26">
        <v>44966</v>
      </c>
      <c r="P364" s="26">
        <v>44966</v>
      </c>
      <c r="Q364" s="2">
        <f t="shared" si="50"/>
        <v>1</v>
      </c>
      <c r="S364" s="7">
        <f t="shared" si="57"/>
        <v>1</v>
      </c>
      <c r="T364" s="157">
        <f t="shared" si="58"/>
        <v>1</v>
      </c>
      <c r="V364" s="191">
        <f t="shared" si="51"/>
        <v>2</v>
      </c>
      <c r="W364" s="7">
        <f t="shared" si="52"/>
        <v>2023</v>
      </c>
    </row>
    <row r="365" spans="1:23" ht="31.95" customHeight="1" thickBot="1" x14ac:dyDescent="0.35">
      <c r="A365" s="15">
        <f t="shared" si="53"/>
        <v>1</v>
      </c>
      <c r="B365" s="26">
        <v>44965</v>
      </c>
      <c r="C365" s="51">
        <f t="shared" si="59"/>
        <v>361</v>
      </c>
      <c r="D365" s="27" t="s">
        <v>945</v>
      </c>
      <c r="E365" s="26" t="s">
        <v>11</v>
      </c>
      <c r="F365" s="28" t="s">
        <v>11</v>
      </c>
      <c r="G365" s="28" t="s">
        <v>11</v>
      </c>
      <c r="H365" s="254"/>
      <c r="I365" s="49">
        <v>1</v>
      </c>
      <c r="J365" s="49">
        <v>1</v>
      </c>
      <c r="K365" s="52">
        <f t="shared" si="54"/>
        <v>1</v>
      </c>
      <c r="L365" s="209">
        <f t="shared" si="55"/>
        <v>0</v>
      </c>
      <c r="M365" s="210">
        <f t="shared" si="56"/>
        <v>0</v>
      </c>
      <c r="N365" s="26">
        <v>44973</v>
      </c>
      <c r="O365" s="26">
        <v>44973</v>
      </c>
      <c r="P365" s="26">
        <v>44973</v>
      </c>
      <c r="Q365" s="2">
        <f t="shared" si="50"/>
        <v>1</v>
      </c>
      <c r="S365" s="7">
        <f t="shared" si="57"/>
        <v>1</v>
      </c>
      <c r="T365" s="157">
        <f t="shared" si="58"/>
        <v>1</v>
      </c>
      <c r="V365" s="191">
        <f t="shared" si="51"/>
        <v>2</v>
      </c>
      <c r="W365" s="7">
        <f t="shared" si="52"/>
        <v>2023</v>
      </c>
    </row>
    <row r="366" spans="1:23" ht="31.95" customHeight="1" thickBot="1" x14ac:dyDescent="0.35">
      <c r="A366" s="15">
        <f t="shared" si="53"/>
        <v>1</v>
      </c>
      <c r="B366" s="26">
        <v>44966</v>
      </c>
      <c r="C366" s="51">
        <f t="shared" si="59"/>
        <v>362</v>
      </c>
      <c r="D366" s="27" t="s">
        <v>321</v>
      </c>
      <c r="E366" s="26" t="s">
        <v>59</v>
      </c>
      <c r="F366" s="28" t="s">
        <v>11</v>
      </c>
      <c r="G366" s="28" t="s">
        <v>11</v>
      </c>
      <c r="H366" s="254"/>
      <c r="I366" s="49">
        <v>1</v>
      </c>
      <c r="J366" s="49">
        <v>1</v>
      </c>
      <c r="K366" s="52">
        <f t="shared" si="54"/>
        <v>1</v>
      </c>
      <c r="L366" s="209">
        <f t="shared" si="55"/>
        <v>0</v>
      </c>
      <c r="M366" s="210">
        <f t="shared" si="56"/>
        <v>0</v>
      </c>
      <c r="N366" s="26">
        <v>44966</v>
      </c>
      <c r="O366" s="26">
        <v>44966</v>
      </c>
      <c r="P366" s="26">
        <v>44966</v>
      </c>
      <c r="Q366" s="2">
        <f t="shared" si="50"/>
        <v>1</v>
      </c>
      <c r="S366" s="7">
        <f t="shared" si="57"/>
        <v>1</v>
      </c>
      <c r="T366" s="157">
        <f t="shared" si="58"/>
        <v>1</v>
      </c>
      <c r="V366" s="191">
        <f t="shared" si="51"/>
        <v>2</v>
      </c>
      <c r="W366" s="7">
        <f t="shared" si="52"/>
        <v>2023</v>
      </c>
    </row>
    <row r="367" spans="1:23" ht="31.95" customHeight="1" thickBot="1" x14ac:dyDescent="0.35">
      <c r="A367" s="15">
        <f t="shared" si="53"/>
        <v>1</v>
      </c>
      <c r="B367" s="26">
        <v>44966</v>
      </c>
      <c r="C367" s="51">
        <f t="shared" si="59"/>
        <v>363</v>
      </c>
      <c r="D367" s="27" t="s">
        <v>1206</v>
      </c>
      <c r="E367" s="26" t="s">
        <v>62</v>
      </c>
      <c r="F367" s="28" t="s">
        <v>11</v>
      </c>
      <c r="G367" s="28" t="s">
        <v>11</v>
      </c>
      <c r="H367" s="254"/>
      <c r="I367" s="49">
        <v>1</v>
      </c>
      <c r="J367" s="49">
        <v>1</v>
      </c>
      <c r="K367" s="52">
        <f t="shared" si="54"/>
        <v>1</v>
      </c>
      <c r="L367" s="209">
        <f t="shared" si="55"/>
        <v>0</v>
      </c>
      <c r="M367" s="210">
        <f t="shared" si="56"/>
        <v>0</v>
      </c>
      <c r="N367" s="26">
        <v>44966</v>
      </c>
      <c r="O367" s="26">
        <v>44966</v>
      </c>
      <c r="P367" s="26">
        <v>44966</v>
      </c>
      <c r="Q367" s="2">
        <f t="shared" si="50"/>
        <v>1</v>
      </c>
      <c r="S367" s="7">
        <f t="shared" si="57"/>
        <v>1</v>
      </c>
      <c r="T367" s="157">
        <f t="shared" si="58"/>
        <v>1</v>
      </c>
      <c r="V367" s="191">
        <f t="shared" si="51"/>
        <v>2</v>
      </c>
      <c r="W367" s="7">
        <f t="shared" si="52"/>
        <v>2023</v>
      </c>
    </row>
    <row r="368" spans="1:23" ht="31.95" customHeight="1" thickBot="1" x14ac:dyDescent="0.35">
      <c r="A368" s="15">
        <f t="shared" si="53"/>
        <v>2</v>
      </c>
      <c r="B368" s="26">
        <v>44970</v>
      </c>
      <c r="C368" s="51">
        <f t="shared" si="59"/>
        <v>364</v>
      </c>
      <c r="D368" s="27" t="s">
        <v>524</v>
      </c>
      <c r="E368" s="26" t="s">
        <v>85</v>
      </c>
      <c r="F368" s="28" t="s">
        <v>11</v>
      </c>
      <c r="G368" s="28" t="s">
        <v>11</v>
      </c>
      <c r="H368" s="254"/>
      <c r="I368" s="49">
        <v>2</v>
      </c>
      <c r="J368" s="49">
        <v>2</v>
      </c>
      <c r="K368" s="52">
        <f t="shared" si="54"/>
        <v>1</v>
      </c>
      <c r="L368" s="209">
        <f t="shared" si="55"/>
        <v>0</v>
      </c>
      <c r="M368" s="210">
        <f t="shared" si="56"/>
        <v>0</v>
      </c>
      <c r="N368" s="26">
        <v>44972</v>
      </c>
      <c r="O368" s="26">
        <v>44972</v>
      </c>
      <c r="P368" s="26">
        <v>44972</v>
      </c>
      <c r="Q368" s="2">
        <f t="shared" si="50"/>
        <v>1</v>
      </c>
      <c r="S368" s="7">
        <f t="shared" si="57"/>
        <v>1</v>
      </c>
      <c r="T368" s="157">
        <f t="shared" si="58"/>
        <v>1</v>
      </c>
      <c r="V368" s="191">
        <f t="shared" si="51"/>
        <v>2</v>
      </c>
      <c r="W368" s="7">
        <f t="shared" si="52"/>
        <v>2023</v>
      </c>
    </row>
    <row r="369" spans="1:23" ht="31.95" customHeight="1" thickBot="1" x14ac:dyDescent="0.35">
      <c r="A369" s="15">
        <f t="shared" si="53"/>
        <v>1</v>
      </c>
      <c r="B369" s="26">
        <v>44970</v>
      </c>
      <c r="C369" s="51">
        <f t="shared" si="59"/>
        <v>365</v>
      </c>
      <c r="D369" s="27" t="s">
        <v>890</v>
      </c>
      <c r="E369" s="26" t="s">
        <v>85</v>
      </c>
      <c r="F369" s="28" t="s">
        <v>11</v>
      </c>
      <c r="G369" s="28" t="s">
        <v>11</v>
      </c>
      <c r="H369" s="254"/>
      <c r="I369" s="49">
        <v>1</v>
      </c>
      <c r="J369" s="49">
        <v>1</v>
      </c>
      <c r="K369" s="52">
        <f t="shared" si="54"/>
        <v>1</v>
      </c>
      <c r="L369" s="209">
        <f t="shared" si="55"/>
        <v>0</v>
      </c>
      <c r="M369" s="210">
        <f t="shared" si="56"/>
        <v>0</v>
      </c>
      <c r="N369" s="26">
        <v>44986</v>
      </c>
      <c r="O369" s="26">
        <v>44986</v>
      </c>
      <c r="P369" s="26">
        <v>44986</v>
      </c>
      <c r="Q369" s="2">
        <f t="shared" si="50"/>
        <v>1</v>
      </c>
      <c r="S369" s="7">
        <f t="shared" si="57"/>
        <v>1</v>
      </c>
      <c r="T369" s="157">
        <f t="shared" si="58"/>
        <v>1</v>
      </c>
      <c r="V369" s="191">
        <f t="shared" si="51"/>
        <v>2</v>
      </c>
      <c r="W369" s="7">
        <f t="shared" si="52"/>
        <v>2023</v>
      </c>
    </row>
    <row r="370" spans="1:23" ht="31.95" customHeight="1" thickBot="1" x14ac:dyDescent="0.35">
      <c r="A370" s="15">
        <f t="shared" si="53"/>
        <v>1</v>
      </c>
      <c r="B370" s="26">
        <v>44970</v>
      </c>
      <c r="C370" s="51">
        <f t="shared" si="59"/>
        <v>366</v>
      </c>
      <c r="D370" s="27" t="s">
        <v>871</v>
      </c>
      <c r="E370" s="26" t="s">
        <v>85</v>
      </c>
      <c r="F370" s="28" t="s">
        <v>11</v>
      </c>
      <c r="G370" s="28" t="s">
        <v>11</v>
      </c>
      <c r="H370" s="254"/>
      <c r="I370" s="49">
        <v>1</v>
      </c>
      <c r="J370" s="49">
        <v>1</v>
      </c>
      <c r="K370" s="52">
        <f t="shared" si="54"/>
        <v>1</v>
      </c>
      <c r="L370" s="209">
        <f t="shared" si="55"/>
        <v>0</v>
      </c>
      <c r="M370" s="210">
        <f t="shared" si="56"/>
        <v>0</v>
      </c>
      <c r="N370" s="26">
        <v>44971</v>
      </c>
      <c r="O370" s="26">
        <v>44971</v>
      </c>
      <c r="P370" s="26">
        <v>44971</v>
      </c>
      <c r="Q370" s="2">
        <f t="shared" si="50"/>
        <v>1</v>
      </c>
      <c r="S370" s="7">
        <f t="shared" si="57"/>
        <v>1</v>
      </c>
      <c r="T370" s="157">
        <f t="shared" si="58"/>
        <v>1</v>
      </c>
      <c r="V370" s="191">
        <f t="shared" si="51"/>
        <v>2</v>
      </c>
      <c r="W370" s="7">
        <f t="shared" si="52"/>
        <v>2023</v>
      </c>
    </row>
    <row r="371" spans="1:23" ht="31.95" customHeight="1" thickBot="1" x14ac:dyDescent="0.35">
      <c r="A371" s="15">
        <f t="shared" si="53"/>
        <v>2</v>
      </c>
      <c r="B371" s="26">
        <v>44970</v>
      </c>
      <c r="C371" s="51">
        <f t="shared" si="59"/>
        <v>367</v>
      </c>
      <c r="D371" s="27" t="s">
        <v>524</v>
      </c>
      <c r="E371" s="26" t="s">
        <v>1300</v>
      </c>
      <c r="F371" s="28" t="s">
        <v>11</v>
      </c>
      <c r="G371" s="28" t="s">
        <v>11</v>
      </c>
      <c r="H371" s="254"/>
      <c r="I371" s="49">
        <v>2</v>
      </c>
      <c r="J371" s="49">
        <v>2</v>
      </c>
      <c r="K371" s="52">
        <f t="shared" si="54"/>
        <v>1</v>
      </c>
      <c r="L371" s="209">
        <f t="shared" si="55"/>
        <v>0</v>
      </c>
      <c r="M371" s="210">
        <f t="shared" si="56"/>
        <v>0</v>
      </c>
      <c r="N371" s="26">
        <v>44972</v>
      </c>
      <c r="O371" s="26">
        <v>44972</v>
      </c>
      <c r="P371" s="26">
        <v>44972</v>
      </c>
      <c r="Q371" s="2">
        <f t="shared" si="50"/>
        <v>1</v>
      </c>
      <c r="S371" s="7">
        <f t="shared" si="57"/>
        <v>1</v>
      </c>
      <c r="T371" s="157">
        <f t="shared" si="58"/>
        <v>1</v>
      </c>
      <c r="V371" s="191">
        <f t="shared" si="51"/>
        <v>2</v>
      </c>
      <c r="W371" s="7">
        <f t="shared" si="52"/>
        <v>2023</v>
      </c>
    </row>
    <row r="372" spans="1:23" ht="31.95" customHeight="1" thickBot="1" x14ac:dyDescent="0.35">
      <c r="A372" s="15">
        <f t="shared" si="53"/>
        <v>1</v>
      </c>
      <c r="B372" s="26">
        <v>44970</v>
      </c>
      <c r="C372" s="51">
        <f t="shared" si="59"/>
        <v>368</v>
      </c>
      <c r="D372" s="27" t="s">
        <v>890</v>
      </c>
      <c r="E372" s="26" t="s">
        <v>1300</v>
      </c>
      <c r="F372" s="28" t="s">
        <v>11</v>
      </c>
      <c r="G372" s="28" t="s">
        <v>11</v>
      </c>
      <c r="H372" s="254"/>
      <c r="I372" s="49">
        <v>1</v>
      </c>
      <c r="J372" s="49">
        <v>1</v>
      </c>
      <c r="K372" s="52">
        <f t="shared" si="54"/>
        <v>1</v>
      </c>
      <c r="L372" s="209">
        <f t="shared" si="55"/>
        <v>0</v>
      </c>
      <c r="M372" s="210">
        <f t="shared" si="56"/>
        <v>0</v>
      </c>
      <c r="N372" s="26">
        <v>44986</v>
      </c>
      <c r="O372" s="26">
        <v>44986</v>
      </c>
      <c r="P372" s="26">
        <v>44986</v>
      </c>
      <c r="Q372" s="2">
        <f t="shared" si="50"/>
        <v>1</v>
      </c>
      <c r="S372" s="7">
        <f t="shared" si="57"/>
        <v>1</v>
      </c>
      <c r="T372" s="157">
        <f t="shared" si="58"/>
        <v>1</v>
      </c>
      <c r="V372" s="191">
        <f t="shared" si="51"/>
        <v>2</v>
      </c>
      <c r="W372" s="7">
        <f t="shared" si="52"/>
        <v>2023</v>
      </c>
    </row>
    <row r="373" spans="1:23" ht="31.95" customHeight="1" thickBot="1" x14ac:dyDescent="0.35">
      <c r="A373" s="15">
        <f t="shared" si="53"/>
        <v>3</v>
      </c>
      <c r="B373" s="26">
        <v>44970</v>
      </c>
      <c r="C373" s="51">
        <f t="shared" si="59"/>
        <v>369</v>
      </c>
      <c r="D373" s="27" t="s">
        <v>871</v>
      </c>
      <c r="E373" s="26" t="s">
        <v>1300</v>
      </c>
      <c r="F373" s="28" t="s">
        <v>11</v>
      </c>
      <c r="G373" s="28" t="s">
        <v>11</v>
      </c>
      <c r="H373" s="254"/>
      <c r="I373" s="49">
        <v>3</v>
      </c>
      <c r="J373" s="49">
        <v>3</v>
      </c>
      <c r="K373" s="52">
        <f t="shared" si="54"/>
        <v>1</v>
      </c>
      <c r="L373" s="209">
        <f t="shared" si="55"/>
        <v>0</v>
      </c>
      <c r="M373" s="210">
        <f t="shared" si="56"/>
        <v>0</v>
      </c>
      <c r="N373" s="26">
        <v>44972</v>
      </c>
      <c r="O373" s="26">
        <v>44972</v>
      </c>
      <c r="P373" s="26">
        <v>44972</v>
      </c>
      <c r="Q373" s="2">
        <f t="shared" si="50"/>
        <v>1</v>
      </c>
      <c r="S373" s="7">
        <f t="shared" si="57"/>
        <v>1</v>
      </c>
      <c r="T373" s="157">
        <f t="shared" si="58"/>
        <v>1</v>
      </c>
      <c r="V373" s="191">
        <f t="shared" si="51"/>
        <v>2</v>
      </c>
      <c r="W373" s="7">
        <f t="shared" si="52"/>
        <v>2023</v>
      </c>
    </row>
    <row r="374" spans="1:23" ht="31.95" customHeight="1" thickBot="1" x14ac:dyDescent="0.35">
      <c r="A374" s="15">
        <f t="shared" si="53"/>
        <v>2</v>
      </c>
      <c r="B374" s="26">
        <v>44970</v>
      </c>
      <c r="C374" s="51">
        <f t="shared" si="59"/>
        <v>370</v>
      </c>
      <c r="D374" s="27" t="s">
        <v>524</v>
      </c>
      <c r="E374" s="26" t="s">
        <v>1301</v>
      </c>
      <c r="F374" s="28" t="s">
        <v>11</v>
      </c>
      <c r="G374" s="28" t="s">
        <v>11</v>
      </c>
      <c r="H374" s="254"/>
      <c r="I374" s="49">
        <v>2</v>
      </c>
      <c r="J374" s="49">
        <v>2</v>
      </c>
      <c r="K374" s="52">
        <f t="shared" si="54"/>
        <v>1</v>
      </c>
      <c r="L374" s="209">
        <f t="shared" si="55"/>
        <v>0</v>
      </c>
      <c r="M374" s="210">
        <f t="shared" si="56"/>
        <v>0</v>
      </c>
      <c r="N374" s="26">
        <v>44977</v>
      </c>
      <c r="O374" s="26">
        <v>44977</v>
      </c>
      <c r="P374" s="26">
        <v>44977</v>
      </c>
      <c r="Q374" s="2">
        <f t="shared" si="50"/>
        <v>1</v>
      </c>
      <c r="S374" s="7">
        <f t="shared" si="57"/>
        <v>1</v>
      </c>
      <c r="T374" s="157">
        <f t="shared" si="58"/>
        <v>1</v>
      </c>
      <c r="V374" s="191">
        <f t="shared" si="51"/>
        <v>2</v>
      </c>
      <c r="W374" s="7">
        <f t="shared" si="52"/>
        <v>2023</v>
      </c>
    </row>
    <row r="375" spans="1:23" ht="31.95" customHeight="1" thickBot="1" x14ac:dyDescent="0.35">
      <c r="A375" s="15">
        <f t="shared" si="53"/>
        <v>2</v>
      </c>
      <c r="B375" s="26">
        <v>44970</v>
      </c>
      <c r="C375" s="51">
        <f t="shared" si="59"/>
        <v>371</v>
      </c>
      <c r="D375" s="27" t="s">
        <v>871</v>
      </c>
      <c r="E375" s="26" t="s">
        <v>1301</v>
      </c>
      <c r="F375" s="28" t="s">
        <v>11</v>
      </c>
      <c r="G375" s="28" t="s">
        <v>11</v>
      </c>
      <c r="H375" s="254"/>
      <c r="I375" s="49">
        <v>2</v>
      </c>
      <c r="J375" s="49">
        <v>2</v>
      </c>
      <c r="K375" s="52">
        <f t="shared" si="54"/>
        <v>1</v>
      </c>
      <c r="L375" s="209">
        <f t="shared" si="55"/>
        <v>0</v>
      </c>
      <c r="M375" s="210">
        <f t="shared" si="56"/>
        <v>0</v>
      </c>
      <c r="N375" s="26">
        <v>44972</v>
      </c>
      <c r="O375" s="26">
        <v>44972</v>
      </c>
      <c r="P375" s="26">
        <v>44972</v>
      </c>
      <c r="Q375" s="2">
        <f t="shared" si="50"/>
        <v>1</v>
      </c>
      <c r="S375" s="7">
        <f t="shared" si="57"/>
        <v>1</v>
      </c>
      <c r="T375" s="157">
        <f t="shared" si="58"/>
        <v>1</v>
      </c>
      <c r="V375" s="191">
        <f t="shared" si="51"/>
        <v>2</v>
      </c>
      <c r="W375" s="7">
        <f t="shared" si="52"/>
        <v>2023</v>
      </c>
    </row>
    <row r="376" spans="1:23" ht="31.95" customHeight="1" thickBot="1" x14ac:dyDescent="0.35">
      <c r="A376" s="15">
        <f t="shared" si="53"/>
        <v>2</v>
      </c>
      <c r="B376" s="26">
        <v>44970</v>
      </c>
      <c r="C376" s="51">
        <f t="shared" si="59"/>
        <v>372</v>
      </c>
      <c r="D376" s="27" t="s">
        <v>524</v>
      </c>
      <c r="E376" s="26" t="s">
        <v>84</v>
      </c>
      <c r="F376" s="28" t="s">
        <v>11</v>
      </c>
      <c r="G376" s="28" t="s">
        <v>11</v>
      </c>
      <c r="H376" s="254"/>
      <c r="I376" s="49">
        <v>2</v>
      </c>
      <c r="J376" s="49">
        <v>2</v>
      </c>
      <c r="K376" s="52">
        <f t="shared" si="54"/>
        <v>1</v>
      </c>
      <c r="L376" s="209">
        <f t="shared" si="55"/>
        <v>0</v>
      </c>
      <c r="M376" s="210">
        <f t="shared" si="56"/>
        <v>0</v>
      </c>
      <c r="N376" s="26">
        <v>44972</v>
      </c>
      <c r="O376" s="26">
        <v>44972</v>
      </c>
      <c r="P376" s="26">
        <v>44972</v>
      </c>
      <c r="Q376" s="2">
        <f t="shared" si="50"/>
        <v>1</v>
      </c>
      <c r="S376" s="7">
        <f t="shared" si="57"/>
        <v>1</v>
      </c>
      <c r="T376" s="157">
        <f t="shared" si="58"/>
        <v>1</v>
      </c>
      <c r="V376" s="191">
        <f t="shared" si="51"/>
        <v>2</v>
      </c>
      <c r="W376" s="7">
        <f t="shared" si="52"/>
        <v>2023</v>
      </c>
    </row>
    <row r="377" spans="1:23" ht="31.95" customHeight="1" thickBot="1" x14ac:dyDescent="0.35">
      <c r="A377" s="15">
        <f t="shared" si="53"/>
        <v>2</v>
      </c>
      <c r="B377" s="26">
        <v>44970</v>
      </c>
      <c r="C377" s="51">
        <f t="shared" si="59"/>
        <v>373</v>
      </c>
      <c r="D377" s="27" t="s">
        <v>890</v>
      </c>
      <c r="E377" s="26" t="s">
        <v>84</v>
      </c>
      <c r="F377" s="28" t="s">
        <v>11</v>
      </c>
      <c r="G377" s="28" t="s">
        <v>11</v>
      </c>
      <c r="H377" s="254"/>
      <c r="I377" s="49">
        <v>2</v>
      </c>
      <c r="J377" s="49">
        <v>2</v>
      </c>
      <c r="K377" s="52">
        <f t="shared" si="54"/>
        <v>1</v>
      </c>
      <c r="L377" s="209">
        <f t="shared" si="55"/>
        <v>0</v>
      </c>
      <c r="M377" s="210">
        <f t="shared" si="56"/>
        <v>0</v>
      </c>
      <c r="N377" s="26">
        <v>44986</v>
      </c>
      <c r="O377" s="26">
        <v>44986</v>
      </c>
      <c r="P377" s="26">
        <v>44986</v>
      </c>
      <c r="Q377" s="2">
        <f t="shared" si="50"/>
        <v>1</v>
      </c>
      <c r="S377" s="7">
        <f t="shared" si="57"/>
        <v>1</v>
      </c>
      <c r="T377" s="157">
        <f t="shared" si="58"/>
        <v>1</v>
      </c>
      <c r="V377" s="191">
        <f t="shared" si="51"/>
        <v>2</v>
      </c>
      <c r="W377" s="7">
        <f t="shared" si="52"/>
        <v>2023</v>
      </c>
    </row>
    <row r="378" spans="1:23" ht="31.95" customHeight="1" thickBot="1" x14ac:dyDescent="0.35">
      <c r="A378" s="15">
        <f t="shared" si="53"/>
        <v>4</v>
      </c>
      <c r="B378" s="26">
        <v>44970</v>
      </c>
      <c r="C378" s="51">
        <f t="shared" si="59"/>
        <v>374</v>
      </c>
      <c r="D378" s="27" t="s">
        <v>871</v>
      </c>
      <c r="E378" s="26" t="s">
        <v>84</v>
      </c>
      <c r="F378" s="28" t="s">
        <v>11</v>
      </c>
      <c r="G378" s="28" t="s">
        <v>11</v>
      </c>
      <c r="H378" s="254"/>
      <c r="I378" s="49">
        <v>4</v>
      </c>
      <c r="J378" s="49">
        <v>4</v>
      </c>
      <c r="K378" s="52">
        <f t="shared" si="54"/>
        <v>1</v>
      </c>
      <c r="L378" s="209">
        <f t="shared" si="55"/>
        <v>0</v>
      </c>
      <c r="M378" s="210">
        <f t="shared" si="56"/>
        <v>0</v>
      </c>
      <c r="N378" s="26">
        <v>44971</v>
      </c>
      <c r="O378" s="26">
        <v>44971</v>
      </c>
      <c r="P378" s="26">
        <v>44971</v>
      </c>
      <c r="Q378" s="2">
        <f t="shared" si="50"/>
        <v>1</v>
      </c>
      <c r="S378" s="7">
        <f t="shared" si="57"/>
        <v>1</v>
      </c>
      <c r="T378" s="157">
        <f t="shared" si="58"/>
        <v>1</v>
      </c>
      <c r="V378" s="191">
        <f t="shared" si="51"/>
        <v>2</v>
      </c>
      <c r="W378" s="7">
        <f t="shared" si="52"/>
        <v>2023</v>
      </c>
    </row>
    <row r="379" spans="1:23" ht="31.95" customHeight="1" thickBot="1" x14ac:dyDescent="0.35">
      <c r="A379" s="15">
        <f t="shared" si="53"/>
        <v>1</v>
      </c>
      <c r="B379" s="26">
        <v>44970</v>
      </c>
      <c r="C379" s="51">
        <f t="shared" si="59"/>
        <v>375</v>
      </c>
      <c r="D379" s="27" t="s">
        <v>652</v>
      </c>
      <c r="E379" s="26" t="s">
        <v>1301</v>
      </c>
      <c r="F379" s="28" t="s">
        <v>11</v>
      </c>
      <c r="G379" s="28" t="s">
        <v>11</v>
      </c>
      <c r="H379" s="254"/>
      <c r="I379" s="49">
        <v>1</v>
      </c>
      <c r="J379" s="49">
        <v>1</v>
      </c>
      <c r="K379" s="52">
        <f t="shared" si="54"/>
        <v>1</v>
      </c>
      <c r="L379" s="209">
        <f t="shared" si="55"/>
        <v>0</v>
      </c>
      <c r="M379" s="210">
        <f t="shared" si="56"/>
        <v>0</v>
      </c>
      <c r="N379" s="26">
        <v>44971</v>
      </c>
      <c r="O379" s="26">
        <v>44971</v>
      </c>
      <c r="P379" s="26">
        <v>44971</v>
      </c>
      <c r="Q379" s="2">
        <f t="shared" si="50"/>
        <v>1</v>
      </c>
      <c r="S379" s="7">
        <f t="shared" si="57"/>
        <v>1</v>
      </c>
      <c r="T379" s="157">
        <f t="shared" si="58"/>
        <v>1</v>
      </c>
      <c r="V379" s="191">
        <f t="shared" si="51"/>
        <v>2</v>
      </c>
      <c r="W379" s="7">
        <f t="shared" si="52"/>
        <v>2023</v>
      </c>
    </row>
    <row r="380" spans="1:23" ht="31.95" customHeight="1" thickBot="1" x14ac:dyDescent="0.35">
      <c r="A380" s="15">
        <f t="shared" si="53"/>
        <v>2</v>
      </c>
      <c r="B380" s="26">
        <v>44971</v>
      </c>
      <c r="C380" s="51">
        <f t="shared" si="59"/>
        <v>376</v>
      </c>
      <c r="D380" s="27" t="s">
        <v>858</v>
      </c>
      <c r="E380" s="26" t="s">
        <v>11</v>
      </c>
      <c r="F380" s="28" t="s">
        <v>11</v>
      </c>
      <c r="G380" s="28" t="s">
        <v>11</v>
      </c>
      <c r="H380" s="254"/>
      <c r="I380" s="49">
        <v>2</v>
      </c>
      <c r="J380" s="49">
        <v>2</v>
      </c>
      <c r="K380" s="52">
        <f t="shared" si="54"/>
        <v>1</v>
      </c>
      <c r="L380" s="209">
        <f t="shared" si="55"/>
        <v>0</v>
      </c>
      <c r="M380" s="210">
        <f t="shared" si="56"/>
        <v>0</v>
      </c>
      <c r="N380" s="26">
        <v>44971</v>
      </c>
      <c r="O380" s="26">
        <v>44971</v>
      </c>
      <c r="P380" s="26">
        <v>44971</v>
      </c>
      <c r="Q380" s="2">
        <f t="shared" si="50"/>
        <v>1</v>
      </c>
      <c r="S380" s="7">
        <f t="shared" si="57"/>
        <v>1</v>
      </c>
      <c r="T380" s="157">
        <f t="shared" si="58"/>
        <v>1</v>
      </c>
      <c r="V380" s="191">
        <f t="shared" si="51"/>
        <v>2</v>
      </c>
      <c r="W380" s="7">
        <f t="shared" si="52"/>
        <v>2023</v>
      </c>
    </row>
    <row r="381" spans="1:23" ht="31.95" customHeight="1" thickBot="1" x14ac:dyDescent="0.35">
      <c r="A381" s="15">
        <f t="shared" si="53"/>
        <v>2</v>
      </c>
      <c r="B381" s="26">
        <v>44971</v>
      </c>
      <c r="C381" s="51">
        <f t="shared" si="59"/>
        <v>377</v>
      </c>
      <c r="D381" s="27" t="s">
        <v>705</v>
      </c>
      <c r="E381" s="26" t="s">
        <v>11</v>
      </c>
      <c r="F381" s="28" t="s">
        <v>11</v>
      </c>
      <c r="G381" s="28" t="s">
        <v>11</v>
      </c>
      <c r="H381" s="254"/>
      <c r="I381" s="49">
        <v>2</v>
      </c>
      <c r="J381" s="49">
        <v>2</v>
      </c>
      <c r="K381" s="52">
        <f t="shared" si="54"/>
        <v>1</v>
      </c>
      <c r="L381" s="209">
        <f t="shared" si="55"/>
        <v>0</v>
      </c>
      <c r="M381" s="210">
        <f t="shared" si="56"/>
        <v>0</v>
      </c>
      <c r="N381" s="26">
        <v>44971</v>
      </c>
      <c r="O381" s="26">
        <v>44971</v>
      </c>
      <c r="P381" s="26">
        <v>44971</v>
      </c>
      <c r="Q381" s="2">
        <f t="shared" si="50"/>
        <v>1</v>
      </c>
      <c r="S381" s="7">
        <f t="shared" si="57"/>
        <v>1</v>
      </c>
      <c r="T381" s="157">
        <f t="shared" si="58"/>
        <v>1</v>
      </c>
      <c r="V381" s="191">
        <f t="shared" si="51"/>
        <v>2</v>
      </c>
      <c r="W381" s="7">
        <f t="shared" si="52"/>
        <v>2023</v>
      </c>
    </row>
    <row r="382" spans="1:23" ht="31.95" customHeight="1" thickBot="1" x14ac:dyDescent="0.35">
      <c r="A382" s="15">
        <f t="shared" si="53"/>
        <v>7</v>
      </c>
      <c r="B382" s="26">
        <v>44971</v>
      </c>
      <c r="C382" s="51">
        <f t="shared" si="59"/>
        <v>378</v>
      </c>
      <c r="D382" s="27" t="s">
        <v>305</v>
      </c>
      <c r="E382" s="26" t="s">
        <v>11</v>
      </c>
      <c r="F382" s="28" t="s">
        <v>11</v>
      </c>
      <c r="G382" s="28" t="s">
        <v>11</v>
      </c>
      <c r="H382" s="254"/>
      <c r="I382" s="49">
        <v>7</v>
      </c>
      <c r="J382" s="49">
        <v>7</v>
      </c>
      <c r="K382" s="52">
        <f t="shared" si="54"/>
        <v>1</v>
      </c>
      <c r="L382" s="209">
        <f t="shared" si="55"/>
        <v>0</v>
      </c>
      <c r="M382" s="210">
        <f t="shared" si="56"/>
        <v>0</v>
      </c>
      <c r="N382" s="26">
        <v>44971</v>
      </c>
      <c r="O382" s="26">
        <v>44971</v>
      </c>
      <c r="P382" s="26">
        <v>44971</v>
      </c>
      <c r="Q382" s="2">
        <f t="shared" si="50"/>
        <v>1</v>
      </c>
      <c r="S382" s="7">
        <f t="shared" si="57"/>
        <v>1</v>
      </c>
      <c r="T382" s="157">
        <f t="shared" si="58"/>
        <v>1</v>
      </c>
      <c r="V382" s="191">
        <f t="shared" si="51"/>
        <v>2</v>
      </c>
      <c r="W382" s="7">
        <f t="shared" si="52"/>
        <v>2023</v>
      </c>
    </row>
    <row r="383" spans="1:23" ht="31.95" customHeight="1" thickBot="1" x14ac:dyDescent="0.35">
      <c r="A383" s="15">
        <f t="shared" si="53"/>
        <v>1</v>
      </c>
      <c r="B383" s="26">
        <v>44971</v>
      </c>
      <c r="C383" s="51">
        <f t="shared" si="59"/>
        <v>379</v>
      </c>
      <c r="D383" s="27" t="s">
        <v>822</v>
      </c>
      <c r="E383" s="26" t="s">
        <v>1301</v>
      </c>
      <c r="F383" s="28" t="s">
        <v>11</v>
      </c>
      <c r="G383" s="28" t="s">
        <v>11</v>
      </c>
      <c r="H383" s="254"/>
      <c r="I383" s="49">
        <v>1</v>
      </c>
      <c r="J383" s="49">
        <v>1</v>
      </c>
      <c r="K383" s="52">
        <f t="shared" si="54"/>
        <v>1</v>
      </c>
      <c r="L383" s="209">
        <f t="shared" si="55"/>
        <v>0</v>
      </c>
      <c r="M383" s="210">
        <f t="shared" si="56"/>
        <v>0</v>
      </c>
      <c r="N383" s="26">
        <v>44973</v>
      </c>
      <c r="O383" s="26">
        <v>44973</v>
      </c>
      <c r="P383" s="26">
        <v>44973</v>
      </c>
      <c r="Q383" s="2">
        <f t="shared" si="50"/>
        <v>1</v>
      </c>
      <c r="S383" s="7">
        <f t="shared" si="57"/>
        <v>1</v>
      </c>
      <c r="T383" s="157">
        <f t="shared" si="58"/>
        <v>1</v>
      </c>
      <c r="V383" s="191">
        <f t="shared" si="51"/>
        <v>2</v>
      </c>
      <c r="W383" s="7">
        <f t="shared" si="52"/>
        <v>2023</v>
      </c>
    </row>
    <row r="384" spans="1:23" ht="31.95" customHeight="1" thickBot="1" x14ac:dyDescent="0.35">
      <c r="A384" s="15">
        <f t="shared" si="53"/>
        <v>1</v>
      </c>
      <c r="B384" s="26">
        <v>44972</v>
      </c>
      <c r="C384" s="51">
        <f t="shared" si="59"/>
        <v>380</v>
      </c>
      <c r="D384" s="27" t="s">
        <v>524</v>
      </c>
      <c r="E384" s="26" t="s">
        <v>82</v>
      </c>
      <c r="F384" s="28" t="s">
        <v>11</v>
      </c>
      <c r="G384" s="28" t="s">
        <v>11</v>
      </c>
      <c r="H384" s="254"/>
      <c r="I384" s="49">
        <v>1</v>
      </c>
      <c r="J384" s="49">
        <v>1</v>
      </c>
      <c r="K384" s="52">
        <f t="shared" si="54"/>
        <v>1</v>
      </c>
      <c r="L384" s="209">
        <f t="shared" si="55"/>
        <v>0</v>
      </c>
      <c r="M384" s="210">
        <f t="shared" si="56"/>
        <v>0</v>
      </c>
      <c r="N384" s="26">
        <v>44977</v>
      </c>
      <c r="O384" s="26">
        <v>44977</v>
      </c>
      <c r="P384" s="26">
        <v>44977</v>
      </c>
      <c r="Q384" s="2">
        <f t="shared" si="50"/>
        <v>1</v>
      </c>
      <c r="S384" s="7">
        <f t="shared" si="57"/>
        <v>1</v>
      </c>
      <c r="T384" s="157">
        <f t="shared" si="58"/>
        <v>1</v>
      </c>
      <c r="V384" s="191">
        <f t="shared" si="51"/>
        <v>2</v>
      </c>
      <c r="W384" s="7">
        <f t="shared" si="52"/>
        <v>2023</v>
      </c>
    </row>
    <row r="385" spans="1:23" ht="31.95" customHeight="1" thickBot="1" x14ac:dyDescent="0.35">
      <c r="A385" s="15">
        <f t="shared" si="53"/>
        <v>6</v>
      </c>
      <c r="B385" s="26">
        <v>44972</v>
      </c>
      <c r="C385" s="51">
        <f t="shared" si="59"/>
        <v>381</v>
      </c>
      <c r="D385" s="27" t="s">
        <v>524</v>
      </c>
      <c r="E385" s="26" t="s">
        <v>83</v>
      </c>
      <c r="F385" s="28" t="s">
        <v>11</v>
      </c>
      <c r="G385" s="28" t="s">
        <v>11</v>
      </c>
      <c r="H385" s="254"/>
      <c r="I385" s="49">
        <v>6</v>
      </c>
      <c r="J385" s="49">
        <v>6</v>
      </c>
      <c r="K385" s="52">
        <f t="shared" si="54"/>
        <v>1</v>
      </c>
      <c r="L385" s="209">
        <f t="shared" si="55"/>
        <v>0</v>
      </c>
      <c r="M385" s="210">
        <f t="shared" si="56"/>
        <v>0</v>
      </c>
      <c r="N385" s="26">
        <v>44977</v>
      </c>
      <c r="O385" s="26">
        <v>44977</v>
      </c>
      <c r="P385" s="26">
        <v>44977</v>
      </c>
      <c r="Q385" s="2">
        <f t="shared" si="50"/>
        <v>1</v>
      </c>
      <c r="S385" s="7">
        <f t="shared" si="57"/>
        <v>1</v>
      </c>
      <c r="T385" s="157">
        <f t="shared" si="58"/>
        <v>1</v>
      </c>
      <c r="V385" s="191">
        <f t="shared" si="51"/>
        <v>2</v>
      </c>
      <c r="W385" s="7">
        <f t="shared" si="52"/>
        <v>2023</v>
      </c>
    </row>
    <row r="386" spans="1:23" ht="31.95" customHeight="1" thickBot="1" x14ac:dyDescent="0.35">
      <c r="A386" s="15">
        <f t="shared" si="53"/>
        <v>4</v>
      </c>
      <c r="B386" s="26">
        <v>44972</v>
      </c>
      <c r="C386" s="51">
        <f t="shared" si="59"/>
        <v>382</v>
      </c>
      <c r="D386" s="27" t="s">
        <v>871</v>
      </c>
      <c r="E386" s="26" t="s">
        <v>83</v>
      </c>
      <c r="F386" s="28" t="s">
        <v>11</v>
      </c>
      <c r="G386" s="28" t="s">
        <v>11</v>
      </c>
      <c r="H386" s="254"/>
      <c r="I386" s="49">
        <v>4</v>
      </c>
      <c r="J386" s="49">
        <v>4</v>
      </c>
      <c r="K386" s="52">
        <f t="shared" si="54"/>
        <v>1</v>
      </c>
      <c r="L386" s="209">
        <f t="shared" si="55"/>
        <v>0</v>
      </c>
      <c r="M386" s="210">
        <f t="shared" si="56"/>
        <v>0</v>
      </c>
      <c r="N386" s="26">
        <v>44974</v>
      </c>
      <c r="O386" s="26">
        <v>44974</v>
      </c>
      <c r="P386" s="26">
        <v>44974</v>
      </c>
      <c r="Q386" s="2">
        <f t="shared" si="50"/>
        <v>1</v>
      </c>
      <c r="S386" s="7">
        <f t="shared" si="57"/>
        <v>1</v>
      </c>
      <c r="T386" s="157">
        <f t="shared" si="58"/>
        <v>1</v>
      </c>
      <c r="V386" s="191">
        <f t="shared" si="51"/>
        <v>2</v>
      </c>
      <c r="W386" s="7">
        <f t="shared" si="52"/>
        <v>2023</v>
      </c>
    </row>
    <row r="387" spans="1:23" ht="31.95" customHeight="1" thickBot="1" x14ac:dyDescent="0.35">
      <c r="A387" s="15">
        <f t="shared" si="53"/>
        <v>2</v>
      </c>
      <c r="B387" s="26">
        <v>44980</v>
      </c>
      <c r="C387" s="51">
        <f t="shared" si="59"/>
        <v>383</v>
      </c>
      <c r="D387" s="27" t="s">
        <v>871</v>
      </c>
      <c r="E387" s="26" t="s">
        <v>82</v>
      </c>
      <c r="F387" s="28" t="s">
        <v>11</v>
      </c>
      <c r="G387" s="28" t="s">
        <v>11</v>
      </c>
      <c r="H387" s="254"/>
      <c r="I387" s="49">
        <v>2</v>
      </c>
      <c r="J387" s="49">
        <v>2</v>
      </c>
      <c r="K387" s="52">
        <f t="shared" si="54"/>
        <v>1</v>
      </c>
      <c r="L387" s="209">
        <f t="shared" si="55"/>
        <v>0</v>
      </c>
      <c r="M387" s="210">
        <f t="shared" si="56"/>
        <v>0</v>
      </c>
      <c r="N387" s="26">
        <v>44985</v>
      </c>
      <c r="O387" s="26">
        <v>44985</v>
      </c>
      <c r="P387" s="26">
        <v>44985</v>
      </c>
      <c r="Q387" s="2">
        <f t="shared" si="50"/>
        <v>1</v>
      </c>
      <c r="S387" s="7">
        <f t="shared" si="57"/>
        <v>1</v>
      </c>
      <c r="T387" s="157">
        <f t="shared" si="58"/>
        <v>1</v>
      </c>
      <c r="V387" s="191">
        <f t="shared" si="51"/>
        <v>2</v>
      </c>
      <c r="W387" s="7">
        <f t="shared" si="52"/>
        <v>2023</v>
      </c>
    </row>
    <row r="388" spans="1:23" ht="31.95" customHeight="1" thickBot="1" x14ac:dyDescent="0.35">
      <c r="A388" s="15">
        <f t="shared" si="53"/>
        <v>4</v>
      </c>
      <c r="B388" s="26">
        <v>44980</v>
      </c>
      <c r="C388" s="51">
        <f t="shared" si="59"/>
        <v>384</v>
      </c>
      <c r="D388" s="27" t="s">
        <v>1121</v>
      </c>
      <c r="E388" s="26" t="s">
        <v>63</v>
      </c>
      <c r="F388" s="28" t="s">
        <v>11</v>
      </c>
      <c r="G388" s="28" t="s">
        <v>11</v>
      </c>
      <c r="H388" s="254"/>
      <c r="I388" s="49">
        <v>4</v>
      </c>
      <c r="J388" s="49">
        <v>4</v>
      </c>
      <c r="K388" s="52">
        <f t="shared" si="54"/>
        <v>1</v>
      </c>
      <c r="L388" s="209">
        <f t="shared" si="55"/>
        <v>0</v>
      </c>
      <c r="M388" s="210">
        <f t="shared" si="56"/>
        <v>0</v>
      </c>
      <c r="N388" s="26">
        <v>44987</v>
      </c>
      <c r="O388" s="26">
        <v>44987</v>
      </c>
      <c r="P388" s="26">
        <v>44987</v>
      </c>
      <c r="Q388" s="2">
        <f t="shared" si="50"/>
        <v>1</v>
      </c>
      <c r="S388" s="7">
        <f t="shared" si="57"/>
        <v>1</v>
      </c>
      <c r="T388" s="157">
        <f t="shared" si="58"/>
        <v>1</v>
      </c>
      <c r="V388" s="191">
        <f t="shared" si="51"/>
        <v>2</v>
      </c>
      <c r="W388" s="7">
        <f t="shared" si="52"/>
        <v>2023</v>
      </c>
    </row>
    <row r="389" spans="1:23" ht="31.95" customHeight="1" thickBot="1" x14ac:dyDescent="0.35">
      <c r="A389" s="15">
        <f t="shared" si="53"/>
        <v>1</v>
      </c>
      <c r="B389" s="26">
        <v>44981</v>
      </c>
      <c r="C389" s="51">
        <f t="shared" si="59"/>
        <v>385</v>
      </c>
      <c r="D389" s="27" t="s">
        <v>945</v>
      </c>
      <c r="E389" s="26" t="s">
        <v>11</v>
      </c>
      <c r="F389" s="28" t="s">
        <v>11</v>
      </c>
      <c r="G389" s="28" t="s">
        <v>11</v>
      </c>
      <c r="H389" s="254"/>
      <c r="I389" s="49">
        <v>1</v>
      </c>
      <c r="J389" s="49">
        <v>1</v>
      </c>
      <c r="K389" s="52">
        <f t="shared" si="54"/>
        <v>1</v>
      </c>
      <c r="L389" s="209">
        <f t="shared" si="55"/>
        <v>0</v>
      </c>
      <c r="M389" s="210">
        <f t="shared" si="56"/>
        <v>0</v>
      </c>
      <c r="N389" s="26">
        <v>44981</v>
      </c>
      <c r="O389" s="26">
        <v>44981</v>
      </c>
      <c r="P389" s="26">
        <v>44981</v>
      </c>
      <c r="Q389" s="2">
        <f t="shared" ref="Q389:Q452" si="60">IF(B389&lt;&gt;"",1,0)</f>
        <v>1</v>
      </c>
      <c r="S389" s="7">
        <f t="shared" si="57"/>
        <v>1</v>
      </c>
      <c r="T389" s="157">
        <f t="shared" si="58"/>
        <v>1</v>
      </c>
      <c r="V389" s="191">
        <f t="shared" ref="V389:V452" si="61">MONTH(B389)</f>
        <v>2</v>
      </c>
      <c r="W389" s="7">
        <f t="shared" ref="W389:W452" si="62">YEAR(B389)</f>
        <v>2023</v>
      </c>
    </row>
    <row r="390" spans="1:23" ht="31.95" customHeight="1" thickBot="1" x14ac:dyDescent="0.35">
      <c r="A390" s="15">
        <f t="shared" ref="A390:A453" si="63">J390</f>
        <v>3</v>
      </c>
      <c r="B390" s="26">
        <v>44981</v>
      </c>
      <c r="C390" s="51">
        <f t="shared" si="59"/>
        <v>386</v>
      </c>
      <c r="D390" s="27" t="s">
        <v>305</v>
      </c>
      <c r="E390" s="26" t="s">
        <v>11</v>
      </c>
      <c r="F390" s="28" t="s">
        <v>11</v>
      </c>
      <c r="G390" s="28" t="s">
        <v>11</v>
      </c>
      <c r="H390" s="254"/>
      <c r="I390" s="49">
        <v>3</v>
      </c>
      <c r="J390" s="49">
        <v>3</v>
      </c>
      <c r="K390" s="52">
        <f t="shared" ref="K390:K453" si="64">IFERROR(J390/I390,"")</f>
        <v>1</v>
      </c>
      <c r="L390" s="209">
        <f t="shared" ref="L390:L453" si="65">IF(I390="","",I390-J390)</f>
        <v>0</v>
      </c>
      <c r="M390" s="210">
        <f t="shared" ref="M390:M453" si="66">IFERROR(1-K390,"")</f>
        <v>0</v>
      </c>
      <c r="N390" s="26">
        <v>44981</v>
      </c>
      <c r="O390" s="26">
        <v>44981</v>
      </c>
      <c r="P390" s="26">
        <v>44981</v>
      </c>
      <c r="Q390" s="2">
        <f t="shared" si="60"/>
        <v>1</v>
      </c>
      <c r="S390" s="7">
        <f t="shared" ref="S390:S453" si="67">IF(AND(O390&lt;=N390,O390&lt;&gt;""),1,0)</f>
        <v>1</v>
      </c>
      <c r="T390" s="157">
        <f t="shared" ref="T390:T453" si="68">IF(AND(P390&lt;=N390,P390&lt;&gt;""),1,0)</f>
        <v>1</v>
      </c>
      <c r="V390" s="191">
        <f t="shared" si="61"/>
        <v>2</v>
      </c>
      <c r="W390" s="7">
        <f t="shared" si="62"/>
        <v>2023</v>
      </c>
    </row>
    <row r="391" spans="1:23" ht="31.95" customHeight="1" thickBot="1" x14ac:dyDescent="0.35">
      <c r="A391" s="15">
        <f t="shared" si="63"/>
        <v>1</v>
      </c>
      <c r="B391" s="26">
        <v>44985</v>
      </c>
      <c r="C391" s="51">
        <f t="shared" ref="C391:C454" si="69">IF(B391&lt;&gt;"",C390+1,"")</f>
        <v>387</v>
      </c>
      <c r="D391" s="27" t="s">
        <v>858</v>
      </c>
      <c r="E391" s="26" t="s">
        <v>11</v>
      </c>
      <c r="F391" s="28" t="s">
        <v>11</v>
      </c>
      <c r="G391" s="28" t="s">
        <v>11</v>
      </c>
      <c r="H391" s="254"/>
      <c r="I391" s="49">
        <v>1</v>
      </c>
      <c r="J391" s="49">
        <v>1</v>
      </c>
      <c r="K391" s="52">
        <f t="shared" si="64"/>
        <v>1</v>
      </c>
      <c r="L391" s="209">
        <f t="shared" si="65"/>
        <v>0</v>
      </c>
      <c r="M391" s="210">
        <f t="shared" si="66"/>
        <v>0</v>
      </c>
      <c r="N391" s="26">
        <v>44985</v>
      </c>
      <c r="O391" s="26">
        <v>44985</v>
      </c>
      <c r="P391" s="26">
        <v>44985</v>
      </c>
      <c r="Q391" s="2">
        <f t="shared" si="60"/>
        <v>1</v>
      </c>
      <c r="S391" s="7">
        <f t="shared" si="67"/>
        <v>1</v>
      </c>
      <c r="T391" s="157">
        <f t="shared" si="68"/>
        <v>1</v>
      </c>
      <c r="V391" s="191">
        <f t="shared" si="61"/>
        <v>2</v>
      </c>
      <c r="W391" s="7">
        <f t="shared" si="62"/>
        <v>2023</v>
      </c>
    </row>
    <row r="392" spans="1:23" ht="31.95" customHeight="1" thickBot="1" x14ac:dyDescent="0.35">
      <c r="A392" s="15">
        <f t="shared" si="63"/>
        <v>2</v>
      </c>
      <c r="B392" s="26">
        <v>44985</v>
      </c>
      <c r="C392" s="51">
        <f t="shared" si="69"/>
        <v>388</v>
      </c>
      <c r="D392" s="27" t="s">
        <v>305</v>
      </c>
      <c r="E392" s="26" t="s">
        <v>11</v>
      </c>
      <c r="F392" s="28" t="s">
        <v>11</v>
      </c>
      <c r="G392" s="28" t="s">
        <v>11</v>
      </c>
      <c r="H392" s="254"/>
      <c r="I392" s="49">
        <v>2</v>
      </c>
      <c r="J392" s="49">
        <v>2</v>
      </c>
      <c r="K392" s="52">
        <f t="shared" si="64"/>
        <v>1</v>
      </c>
      <c r="L392" s="209">
        <f t="shared" si="65"/>
        <v>0</v>
      </c>
      <c r="M392" s="210">
        <f t="shared" si="66"/>
        <v>0</v>
      </c>
      <c r="N392" s="26">
        <v>44985</v>
      </c>
      <c r="O392" s="26">
        <v>44985</v>
      </c>
      <c r="P392" s="26">
        <v>44985</v>
      </c>
      <c r="Q392" s="2">
        <f t="shared" si="60"/>
        <v>1</v>
      </c>
      <c r="S392" s="7">
        <f t="shared" si="67"/>
        <v>1</v>
      </c>
      <c r="T392" s="157">
        <f t="shared" si="68"/>
        <v>1</v>
      </c>
      <c r="V392" s="191">
        <f t="shared" si="61"/>
        <v>2</v>
      </c>
      <c r="W392" s="7">
        <f t="shared" si="62"/>
        <v>2023</v>
      </c>
    </row>
    <row r="393" spans="1:23" ht="31.95" customHeight="1" thickBot="1" x14ac:dyDescent="0.35">
      <c r="A393" s="15">
        <f t="shared" si="63"/>
        <v>2</v>
      </c>
      <c r="B393" s="26">
        <v>44985</v>
      </c>
      <c r="C393" s="51">
        <f t="shared" si="69"/>
        <v>389</v>
      </c>
      <c r="D393" s="27" t="s">
        <v>705</v>
      </c>
      <c r="E393" s="26" t="s">
        <v>11</v>
      </c>
      <c r="F393" s="28" t="s">
        <v>11</v>
      </c>
      <c r="G393" s="28" t="s">
        <v>11</v>
      </c>
      <c r="H393" s="254"/>
      <c r="I393" s="49">
        <v>2</v>
      </c>
      <c r="J393" s="49">
        <v>2</v>
      </c>
      <c r="K393" s="52">
        <f t="shared" si="64"/>
        <v>1</v>
      </c>
      <c r="L393" s="209">
        <f t="shared" si="65"/>
        <v>0</v>
      </c>
      <c r="M393" s="210">
        <f t="shared" si="66"/>
        <v>0</v>
      </c>
      <c r="N393" s="26">
        <v>44985</v>
      </c>
      <c r="O393" s="26">
        <v>44985</v>
      </c>
      <c r="P393" s="26">
        <v>44985</v>
      </c>
      <c r="Q393" s="2">
        <f t="shared" si="60"/>
        <v>1</v>
      </c>
      <c r="S393" s="7">
        <f t="shared" si="67"/>
        <v>1</v>
      </c>
      <c r="T393" s="157">
        <f t="shared" si="68"/>
        <v>1</v>
      </c>
      <c r="V393" s="191">
        <f t="shared" si="61"/>
        <v>2</v>
      </c>
      <c r="W393" s="7">
        <f t="shared" si="62"/>
        <v>2023</v>
      </c>
    </row>
    <row r="394" spans="1:23" ht="31.95" customHeight="1" thickBot="1" x14ac:dyDescent="0.35">
      <c r="A394" s="15">
        <f t="shared" si="63"/>
        <v>1</v>
      </c>
      <c r="B394" s="26">
        <v>44987</v>
      </c>
      <c r="C394" s="51">
        <f t="shared" si="69"/>
        <v>390</v>
      </c>
      <c r="D394" s="27" t="s">
        <v>401</v>
      </c>
      <c r="E394" s="26" t="s">
        <v>85</v>
      </c>
      <c r="F394" s="28" t="s">
        <v>11</v>
      </c>
      <c r="G394" s="28" t="s">
        <v>11</v>
      </c>
      <c r="H394" s="254"/>
      <c r="I394" s="49">
        <v>1</v>
      </c>
      <c r="J394" s="49">
        <v>1</v>
      </c>
      <c r="K394" s="52">
        <f t="shared" si="64"/>
        <v>1</v>
      </c>
      <c r="L394" s="209">
        <f t="shared" si="65"/>
        <v>0</v>
      </c>
      <c r="M394" s="210">
        <f t="shared" si="66"/>
        <v>0</v>
      </c>
      <c r="N394" s="26">
        <v>44987</v>
      </c>
      <c r="O394" s="26">
        <v>44987</v>
      </c>
      <c r="P394" s="26">
        <v>44987</v>
      </c>
      <c r="Q394" s="2">
        <f t="shared" si="60"/>
        <v>1</v>
      </c>
      <c r="S394" s="7">
        <f t="shared" si="67"/>
        <v>1</v>
      </c>
      <c r="T394" s="157">
        <f t="shared" si="68"/>
        <v>1</v>
      </c>
      <c r="V394" s="191">
        <f t="shared" si="61"/>
        <v>3</v>
      </c>
      <c r="W394" s="7">
        <f t="shared" si="62"/>
        <v>2023</v>
      </c>
    </row>
    <row r="395" spans="1:23" ht="31.95" customHeight="1" thickBot="1" x14ac:dyDescent="0.35">
      <c r="A395" s="15">
        <f t="shared" si="63"/>
        <v>3</v>
      </c>
      <c r="B395" s="26">
        <v>44988</v>
      </c>
      <c r="C395" s="51">
        <f t="shared" si="69"/>
        <v>391</v>
      </c>
      <c r="D395" s="27" t="s">
        <v>978</v>
      </c>
      <c r="E395" s="26" t="s">
        <v>116</v>
      </c>
      <c r="F395" s="28" t="s">
        <v>11</v>
      </c>
      <c r="G395" s="28" t="s">
        <v>11</v>
      </c>
      <c r="H395" s="254"/>
      <c r="I395" s="49">
        <v>3</v>
      </c>
      <c r="J395" s="49">
        <v>3</v>
      </c>
      <c r="K395" s="52">
        <f t="shared" si="64"/>
        <v>1</v>
      </c>
      <c r="L395" s="209">
        <f t="shared" si="65"/>
        <v>0</v>
      </c>
      <c r="M395" s="210">
        <f t="shared" si="66"/>
        <v>0</v>
      </c>
      <c r="N395" s="26">
        <v>44988</v>
      </c>
      <c r="O395" s="26">
        <v>44988</v>
      </c>
      <c r="P395" s="26">
        <v>44988</v>
      </c>
      <c r="Q395" s="2">
        <f t="shared" si="60"/>
        <v>1</v>
      </c>
      <c r="S395" s="7">
        <f t="shared" si="67"/>
        <v>1</v>
      </c>
      <c r="T395" s="157">
        <f t="shared" si="68"/>
        <v>1</v>
      </c>
      <c r="V395" s="191">
        <f t="shared" si="61"/>
        <v>3</v>
      </c>
      <c r="W395" s="7">
        <f t="shared" si="62"/>
        <v>2023</v>
      </c>
    </row>
    <row r="396" spans="1:23" ht="31.95" customHeight="1" thickBot="1" x14ac:dyDescent="0.35">
      <c r="A396" s="15">
        <f t="shared" si="63"/>
        <v>1</v>
      </c>
      <c r="B396" s="26">
        <v>44988</v>
      </c>
      <c r="C396" s="51">
        <f t="shared" si="69"/>
        <v>392</v>
      </c>
      <c r="D396" s="27" t="s">
        <v>871</v>
      </c>
      <c r="E396" s="26" t="s">
        <v>116</v>
      </c>
      <c r="F396" s="28" t="s">
        <v>11</v>
      </c>
      <c r="G396" s="28" t="s">
        <v>11</v>
      </c>
      <c r="H396" s="254"/>
      <c r="I396" s="49">
        <v>1</v>
      </c>
      <c r="J396" s="49">
        <v>1</v>
      </c>
      <c r="K396" s="52">
        <f t="shared" si="64"/>
        <v>1</v>
      </c>
      <c r="L396" s="209">
        <f t="shared" si="65"/>
        <v>0</v>
      </c>
      <c r="M396" s="210">
        <f t="shared" si="66"/>
        <v>0</v>
      </c>
      <c r="N396" s="26">
        <v>44988</v>
      </c>
      <c r="O396" s="26">
        <v>44988</v>
      </c>
      <c r="P396" s="26">
        <v>44988</v>
      </c>
      <c r="Q396" s="2">
        <f t="shared" si="60"/>
        <v>1</v>
      </c>
      <c r="S396" s="7">
        <f t="shared" si="67"/>
        <v>1</v>
      </c>
      <c r="T396" s="157">
        <f t="shared" si="68"/>
        <v>1</v>
      </c>
      <c r="V396" s="191">
        <f t="shared" si="61"/>
        <v>3</v>
      </c>
      <c r="W396" s="7">
        <f t="shared" si="62"/>
        <v>2023</v>
      </c>
    </row>
    <row r="397" spans="1:23" ht="31.95" customHeight="1" thickBot="1" x14ac:dyDescent="0.35">
      <c r="A397" s="15">
        <f t="shared" si="63"/>
        <v>1</v>
      </c>
      <c r="B397" s="26">
        <v>44988</v>
      </c>
      <c r="C397" s="51">
        <f t="shared" si="69"/>
        <v>393</v>
      </c>
      <c r="D397" s="27" t="s">
        <v>297</v>
      </c>
      <c r="E397" s="26" t="s">
        <v>116</v>
      </c>
      <c r="F397" s="28" t="s">
        <v>11</v>
      </c>
      <c r="G397" s="28" t="s">
        <v>11</v>
      </c>
      <c r="H397" s="254"/>
      <c r="I397" s="49">
        <v>1</v>
      </c>
      <c r="J397" s="49">
        <v>1</v>
      </c>
      <c r="K397" s="52">
        <f t="shared" si="64"/>
        <v>1</v>
      </c>
      <c r="L397" s="209">
        <f t="shared" si="65"/>
        <v>0</v>
      </c>
      <c r="M397" s="210">
        <f t="shared" si="66"/>
        <v>0</v>
      </c>
      <c r="N397" s="26">
        <v>44988</v>
      </c>
      <c r="O397" s="26">
        <v>44988</v>
      </c>
      <c r="P397" s="26">
        <v>44988</v>
      </c>
      <c r="Q397" s="2">
        <f t="shared" si="60"/>
        <v>1</v>
      </c>
      <c r="S397" s="7">
        <f t="shared" si="67"/>
        <v>1</v>
      </c>
      <c r="T397" s="157">
        <f t="shared" si="68"/>
        <v>1</v>
      </c>
      <c r="V397" s="191">
        <f t="shared" si="61"/>
        <v>3</v>
      </c>
      <c r="W397" s="7">
        <f t="shared" si="62"/>
        <v>2023</v>
      </c>
    </row>
    <row r="398" spans="1:23" ht="31.95" customHeight="1" thickBot="1" x14ac:dyDescent="0.35">
      <c r="A398" s="15">
        <f t="shared" si="63"/>
        <v>2</v>
      </c>
      <c r="B398" s="26">
        <v>44988</v>
      </c>
      <c r="C398" s="51">
        <f t="shared" si="69"/>
        <v>394</v>
      </c>
      <c r="D398" s="27" t="s">
        <v>978</v>
      </c>
      <c r="E398" s="26" t="s">
        <v>97</v>
      </c>
      <c r="F398" s="28" t="s">
        <v>11</v>
      </c>
      <c r="G398" s="28" t="s">
        <v>11</v>
      </c>
      <c r="H398" s="254"/>
      <c r="I398" s="49">
        <v>2</v>
      </c>
      <c r="J398" s="49">
        <v>2</v>
      </c>
      <c r="K398" s="52">
        <f t="shared" si="64"/>
        <v>1</v>
      </c>
      <c r="L398" s="209">
        <f t="shared" si="65"/>
        <v>0</v>
      </c>
      <c r="M398" s="210">
        <f t="shared" si="66"/>
        <v>0</v>
      </c>
      <c r="N398" s="26">
        <v>44993</v>
      </c>
      <c r="O398" s="26">
        <v>44993</v>
      </c>
      <c r="P398" s="26">
        <v>44993</v>
      </c>
      <c r="Q398" s="2">
        <f t="shared" si="60"/>
        <v>1</v>
      </c>
      <c r="S398" s="7">
        <f t="shared" si="67"/>
        <v>1</v>
      </c>
      <c r="T398" s="157">
        <f t="shared" si="68"/>
        <v>1</v>
      </c>
      <c r="V398" s="191">
        <f t="shared" si="61"/>
        <v>3</v>
      </c>
      <c r="W398" s="7">
        <f t="shared" si="62"/>
        <v>2023</v>
      </c>
    </row>
    <row r="399" spans="1:23" ht="31.95" customHeight="1" thickBot="1" x14ac:dyDescent="0.35">
      <c r="A399" s="15">
        <f t="shared" si="63"/>
        <v>2</v>
      </c>
      <c r="B399" s="26">
        <v>44988</v>
      </c>
      <c r="C399" s="51">
        <f t="shared" si="69"/>
        <v>395</v>
      </c>
      <c r="D399" s="27" t="s">
        <v>871</v>
      </c>
      <c r="E399" s="26" t="s">
        <v>97</v>
      </c>
      <c r="F399" s="28" t="s">
        <v>11</v>
      </c>
      <c r="G399" s="28" t="s">
        <v>11</v>
      </c>
      <c r="H399" s="254"/>
      <c r="I399" s="49">
        <v>2</v>
      </c>
      <c r="J399" s="49">
        <v>2</v>
      </c>
      <c r="K399" s="52">
        <f t="shared" si="64"/>
        <v>1</v>
      </c>
      <c r="L399" s="209">
        <f t="shared" si="65"/>
        <v>0</v>
      </c>
      <c r="M399" s="210">
        <f t="shared" si="66"/>
        <v>0</v>
      </c>
      <c r="N399" s="26">
        <v>44993</v>
      </c>
      <c r="O399" s="26">
        <v>44993</v>
      </c>
      <c r="P399" s="26">
        <v>44993</v>
      </c>
      <c r="Q399" s="2">
        <f t="shared" si="60"/>
        <v>1</v>
      </c>
      <c r="S399" s="7">
        <f t="shared" si="67"/>
        <v>1</v>
      </c>
      <c r="T399" s="157">
        <f t="shared" si="68"/>
        <v>1</v>
      </c>
      <c r="V399" s="191">
        <f t="shared" si="61"/>
        <v>3</v>
      </c>
      <c r="W399" s="7">
        <f t="shared" si="62"/>
        <v>2023</v>
      </c>
    </row>
    <row r="400" spans="1:23" ht="31.95" customHeight="1" thickBot="1" x14ac:dyDescent="0.35">
      <c r="A400" s="15">
        <f t="shared" si="63"/>
        <v>1</v>
      </c>
      <c r="B400" s="26">
        <v>44988</v>
      </c>
      <c r="C400" s="51">
        <f t="shared" si="69"/>
        <v>396</v>
      </c>
      <c r="D400" s="27" t="s">
        <v>890</v>
      </c>
      <c r="E400" s="26" t="s">
        <v>97</v>
      </c>
      <c r="F400" s="28" t="s">
        <v>11</v>
      </c>
      <c r="G400" s="28" t="s">
        <v>11</v>
      </c>
      <c r="H400" s="254"/>
      <c r="I400" s="49">
        <v>1</v>
      </c>
      <c r="J400" s="49">
        <v>1</v>
      </c>
      <c r="K400" s="52">
        <f t="shared" si="64"/>
        <v>1</v>
      </c>
      <c r="L400" s="209">
        <f t="shared" si="65"/>
        <v>0</v>
      </c>
      <c r="M400" s="210">
        <f t="shared" si="66"/>
        <v>0</v>
      </c>
      <c r="N400" s="26">
        <v>45009</v>
      </c>
      <c r="O400" s="26">
        <v>45009</v>
      </c>
      <c r="P400" s="26">
        <v>45009</v>
      </c>
      <c r="Q400" s="2">
        <f t="shared" si="60"/>
        <v>1</v>
      </c>
      <c r="S400" s="7">
        <f t="shared" si="67"/>
        <v>1</v>
      </c>
      <c r="T400" s="157">
        <f t="shared" si="68"/>
        <v>1</v>
      </c>
      <c r="V400" s="191">
        <f t="shared" si="61"/>
        <v>3</v>
      </c>
      <c r="W400" s="7">
        <f t="shared" si="62"/>
        <v>2023</v>
      </c>
    </row>
    <row r="401" spans="1:23" ht="31.95" customHeight="1" thickBot="1" x14ac:dyDescent="0.35">
      <c r="A401" s="15">
        <f t="shared" si="63"/>
        <v>2</v>
      </c>
      <c r="B401" s="26">
        <v>44991</v>
      </c>
      <c r="C401" s="51">
        <f t="shared" si="69"/>
        <v>397</v>
      </c>
      <c r="D401" s="27" t="s">
        <v>784</v>
      </c>
      <c r="E401" s="26" t="s">
        <v>116</v>
      </c>
      <c r="F401" s="28" t="s">
        <v>11</v>
      </c>
      <c r="G401" s="28" t="s">
        <v>11</v>
      </c>
      <c r="H401" s="254"/>
      <c r="I401" s="49">
        <v>2</v>
      </c>
      <c r="J401" s="49">
        <v>2</v>
      </c>
      <c r="K401" s="52">
        <f t="shared" si="64"/>
        <v>1</v>
      </c>
      <c r="L401" s="209">
        <f t="shared" si="65"/>
        <v>0</v>
      </c>
      <c r="M401" s="210">
        <f t="shared" si="66"/>
        <v>0</v>
      </c>
      <c r="N401" s="26">
        <v>44993</v>
      </c>
      <c r="O401" s="26">
        <v>44993</v>
      </c>
      <c r="P401" s="26">
        <v>44993</v>
      </c>
      <c r="Q401" s="2">
        <f t="shared" si="60"/>
        <v>1</v>
      </c>
      <c r="S401" s="7">
        <f t="shared" si="67"/>
        <v>1</v>
      </c>
      <c r="T401" s="157">
        <f t="shared" si="68"/>
        <v>1</v>
      </c>
      <c r="V401" s="191">
        <f t="shared" si="61"/>
        <v>3</v>
      </c>
      <c r="W401" s="7">
        <f t="shared" si="62"/>
        <v>2023</v>
      </c>
    </row>
    <row r="402" spans="1:23" ht="31.95" customHeight="1" thickBot="1" x14ac:dyDescent="0.35">
      <c r="A402" s="15">
        <f t="shared" si="63"/>
        <v>1</v>
      </c>
      <c r="B402" s="26">
        <v>44993</v>
      </c>
      <c r="C402" s="51">
        <f t="shared" si="69"/>
        <v>398</v>
      </c>
      <c r="D402" s="27" t="s">
        <v>978</v>
      </c>
      <c r="E402" s="26" t="s">
        <v>116</v>
      </c>
      <c r="F402" s="28" t="s">
        <v>11</v>
      </c>
      <c r="G402" s="28" t="s">
        <v>11</v>
      </c>
      <c r="H402" s="254"/>
      <c r="I402" s="49">
        <v>1</v>
      </c>
      <c r="J402" s="49">
        <v>1</v>
      </c>
      <c r="K402" s="52">
        <f t="shared" si="64"/>
        <v>1</v>
      </c>
      <c r="L402" s="209">
        <f t="shared" si="65"/>
        <v>0</v>
      </c>
      <c r="M402" s="210">
        <f t="shared" si="66"/>
        <v>0</v>
      </c>
      <c r="N402" s="26">
        <v>44993</v>
      </c>
      <c r="O402" s="26">
        <v>44993</v>
      </c>
      <c r="P402" s="26">
        <v>44993</v>
      </c>
      <c r="Q402" s="2">
        <f t="shared" si="60"/>
        <v>1</v>
      </c>
      <c r="S402" s="7">
        <f t="shared" si="67"/>
        <v>1</v>
      </c>
      <c r="T402" s="157">
        <f t="shared" si="68"/>
        <v>1</v>
      </c>
      <c r="V402" s="191">
        <f t="shared" si="61"/>
        <v>3</v>
      </c>
      <c r="W402" s="7">
        <f t="shared" si="62"/>
        <v>2023</v>
      </c>
    </row>
    <row r="403" spans="1:23" ht="31.95" customHeight="1" thickBot="1" x14ac:dyDescent="0.35">
      <c r="A403" s="15">
        <f t="shared" si="63"/>
        <v>1</v>
      </c>
      <c r="B403" s="26">
        <v>44993</v>
      </c>
      <c r="C403" s="51">
        <f t="shared" si="69"/>
        <v>399</v>
      </c>
      <c r="D403" s="27" t="s">
        <v>871</v>
      </c>
      <c r="E403" s="26" t="s">
        <v>116</v>
      </c>
      <c r="F403" s="28" t="s">
        <v>11</v>
      </c>
      <c r="G403" s="28" t="s">
        <v>11</v>
      </c>
      <c r="H403" s="254"/>
      <c r="I403" s="49">
        <v>1</v>
      </c>
      <c r="J403" s="49">
        <v>1</v>
      </c>
      <c r="K403" s="52">
        <f t="shared" si="64"/>
        <v>1</v>
      </c>
      <c r="L403" s="209">
        <f t="shared" si="65"/>
        <v>0</v>
      </c>
      <c r="M403" s="210">
        <f t="shared" si="66"/>
        <v>0</v>
      </c>
      <c r="N403" s="26">
        <v>44993</v>
      </c>
      <c r="O403" s="26">
        <v>44993</v>
      </c>
      <c r="P403" s="26">
        <v>44993</v>
      </c>
      <c r="Q403" s="2">
        <f t="shared" si="60"/>
        <v>1</v>
      </c>
      <c r="S403" s="7">
        <f t="shared" si="67"/>
        <v>1</v>
      </c>
      <c r="T403" s="157">
        <f t="shared" si="68"/>
        <v>1</v>
      </c>
      <c r="V403" s="191">
        <f t="shared" si="61"/>
        <v>3</v>
      </c>
      <c r="W403" s="7">
        <f t="shared" si="62"/>
        <v>2023</v>
      </c>
    </row>
    <row r="404" spans="1:23" ht="31.95" customHeight="1" thickBot="1" x14ac:dyDescent="0.35">
      <c r="A404" s="15">
        <f t="shared" si="63"/>
        <v>1</v>
      </c>
      <c r="B404" s="26">
        <v>44993</v>
      </c>
      <c r="C404" s="51">
        <f t="shared" si="69"/>
        <v>400</v>
      </c>
      <c r="D404" s="27" t="s">
        <v>822</v>
      </c>
      <c r="E404" s="26" t="s">
        <v>100</v>
      </c>
      <c r="F404" s="28" t="s">
        <v>11</v>
      </c>
      <c r="G404" s="28" t="s">
        <v>11</v>
      </c>
      <c r="H404" s="254"/>
      <c r="I404" s="49">
        <v>1</v>
      </c>
      <c r="J404" s="49">
        <v>1</v>
      </c>
      <c r="K404" s="52">
        <f t="shared" si="64"/>
        <v>1</v>
      </c>
      <c r="L404" s="209">
        <f t="shared" si="65"/>
        <v>0</v>
      </c>
      <c r="M404" s="210">
        <f t="shared" si="66"/>
        <v>0</v>
      </c>
      <c r="N404" s="26">
        <v>44993</v>
      </c>
      <c r="O404" s="26">
        <v>44993</v>
      </c>
      <c r="P404" s="26">
        <v>44993</v>
      </c>
      <c r="Q404" s="2">
        <f t="shared" si="60"/>
        <v>1</v>
      </c>
      <c r="S404" s="7">
        <f t="shared" si="67"/>
        <v>1</v>
      </c>
      <c r="T404" s="157">
        <f t="shared" si="68"/>
        <v>1</v>
      </c>
      <c r="V404" s="191">
        <f t="shared" si="61"/>
        <v>3</v>
      </c>
      <c r="W404" s="7">
        <f t="shared" si="62"/>
        <v>2023</v>
      </c>
    </row>
    <row r="405" spans="1:23" ht="31.95" customHeight="1" thickBot="1" x14ac:dyDescent="0.35">
      <c r="A405" s="15">
        <f t="shared" si="63"/>
        <v>1</v>
      </c>
      <c r="B405" s="26">
        <v>44995</v>
      </c>
      <c r="C405" s="51">
        <f t="shared" si="69"/>
        <v>401</v>
      </c>
      <c r="D405" s="27" t="s">
        <v>410</v>
      </c>
      <c r="E405" s="26" t="s">
        <v>11</v>
      </c>
      <c r="F405" s="28" t="s">
        <v>11</v>
      </c>
      <c r="G405" s="28" t="s">
        <v>11</v>
      </c>
      <c r="H405" s="254"/>
      <c r="I405" s="49">
        <v>1</v>
      </c>
      <c r="J405" s="49">
        <v>1</v>
      </c>
      <c r="K405" s="52">
        <f t="shared" si="64"/>
        <v>1</v>
      </c>
      <c r="L405" s="209">
        <f t="shared" si="65"/>
        <v>0</v>
      </c>
      <c r="M405" s="210">
        <f t="shared" si="66"/>
        <v>0</v>
      </c>
      <c r="N405" s="26">
        <v>45003</v>
      </c>
      <c r="O405" s="26">
        <v>45003</v>
      </c>
      <c r="P405" s="26">
        <v>45003</v>
      </c>
      <c r="Q405" s="2">
        <f t="shared" si="60"/>
        <v>1</v>
      </c>
      <c r="S405" s="7">
        <f t="shared" si="67"/>
        <v>1</v>
      </c>
      <c r="T405" s="157">
        <f t="shared" si="68"/>
        <v>1</v>
      </c>
      <c r="V405" s="191">
        <f t="shared" si="61"/>
        <v>3</v>
      </c>
      <c r="W405" s="7">
        <f t="shared" si="62"/>
        <v>2023</v>
      </c>
    </row>
    <row r="406" spans="1:23" ht="31.95" customHeight="1" thickBot="1" x14ac:dyDescent="0.35">
      <c r="A406" s="15">
        <f t="shared" si="63"/>
        <v>2</v>
      </c>
      <c r="B406" s="26">
        <v>44999</v>
      </c>
      <c r="C406" s="51">
        <f t="shared" si="69"/>
        <v>402</v>
      </c>
      <c r="D406" s="27" t="s">
        <v>978</v>
      </c>
      <c r="E406" s="26" t="s">
        <v>99</v>
      </c>
      <c r="F406" s="28" t="s">
        <v>11</v>
      </c>
      <c r="G406" s="28" t="s">
        <v>11</v>
      </c>
      <c r="H406" s="254"/>
      <c r="I406" s="49">
        <v>2</v>
      </c>
      <c r="J406" s="49">
        <v>2</v>
      </c>
      <c r="K406" s="52">
        <f t="shared" si="64"/>
        <v>1</v>
      </c>
      <c r="L406" s="209">
        <f t="shared" si="65"/>
        <v>0</v>
      </c>
      <c r="M406" s="210">
        <f t="shared" si="66"/>
        <v>0</v>
      </c>
      <c r="N406" s="26">
        <v>45002</v>
      </c>
      <c r="O406" s="26">
        <v>45002</v>
      </c>
      <c r="P406" s="26">
        <v>45002</v>
      </c>
      <c r="Q406" s="2">
        <f t="shared" si="60"/>
        <v>1</v>
      </c>
      <c r="S406" s="7">
        <f t="shared" si="67"/>
        <v>1</v>
      </c>
      <c r="T406" s="157">
        <f t="shared" si="68"/>
        <v>1</v>
      </c>
      <c r="V406" s="191">
        <f t="shared" si="61"/>
        <v>3</v>
      </c>
      <c r="W406" s="7">
        <f t="shared" si="62"/>
        <v>2023</v>
      </c>
    </row>
    <row r="407" spans="1:23" ht="31.95" customHeight="1" thickBot="1" x14ac:dyDescent="0.35">
      <c r="A407" s="15">
        <f t="shared" si="63"/>
        <v>1</v>
      </c>
      <c r="B407" s="26">
        <v>44999</v>
      </c>
      <c r="C407" s="51">
        <f t="shared" si="69"/>
        <v>403</v>
      </c>
      <c r="D407" s="27" t="s">
        <v>602</v>
      </c>
      <c r="E407" s="26" t="s">
        <v>99</v>
      </c>
      <c r="F407" s="28" t="s">
        <v>11</v>
      </c>
      <c r="G407" s="28" t="s">
        <v>11</v>
      </c>
      <c r="H407" s="254"/>
      <c r="I407" s="49">
        <v>1</v>
      </c>
      <c r="J407" s="49">
        <v>1</v>
      </c>
      <c r="K407" s="52">
        <f t="shared" si="64"/>
        <v>1</v>
      </c>
      <c r="L407" s="209">
        <f t="shared" si="65"/>
        <v>0</v>
      </c>
      <c r="M407" s="210">
        <f t="shared" si="66"/>
        <v>0</v>
      </c>
      <c r="N407" s="26">
        <v>45002</v>
      </c>
      <c r="O407" s="26">
        <v>45002</v>
      </c>
      <c r="P407" s="26">
        <v>45002</v>
      </c>
      <c r="Q407" s="2">
        <f t="shared" si="60"/>
        <v>1</v>
      </c>
      <c r="S407" s="7">
        <f t="shared" si="67"/>
        <v>1</v>
      </c>
      <c r="T407" s="157">
        <f t="shared" si="68"/>
        <v>1</v>
      </c>
      <c r="V407" s="191">
        <f t="shared" si="61"/>
        <v>3</v>
      </c>
      <c r="W407" s="7">
        <f t="shared" si="62"/>
        <v>2023</v>
      </c>
    </row>
    <row r="408" spans="1:23" ht="31.95" customHeight="1" thickBot="1" x14ac:dyDescent="0.35">
      <c r="A408" s="15">
        <f t="shared" si="63"/>
        <v>1</v>
      </c>
      <c r="B408" s="26">
        <v>44999</v>
      </c>
      <c r="C408" s="51">
        <f t="shared" si="69"/>
        <v>404</v>
      </c>
      <c r="D408" s="27" t="s">
        <v>871</v>
      </c>
      <c r="E408" s="26" t="s">
        <v>99</v>
      </c>
      <c r="F408" s="28" t="s">
        <v>11</v>
      </c>
      <c r="G408" s="28" t="s">
        <v>11</v>
      </c>
      <c r="H408" s="254"/>
      <c r="I408" s="49">
        <v>1</v>
      </c>
      <c r="J408" s="49">
        <v>1</v>
      </c>
      <c r="K408" s="52">
        <f t="shared" si="64"/>
        <v>1</v>
      </c>
      <c r="L408" s="209">
        <f t="shared" si="65"/>
        <v>0</v>
      </c>
      <c r="M408" s="210">
        <f t="shared" si="66"/>
        <v>0</v>
      </c>
      <c r="N408" s="26">
        <v>45002</v>
      </c>
      <c r="O408" s="26">
        <v>45002</v>
      </c>
      <c r="P408" s="26">
        <v>45002</v>
      </c>
      <c r="Q408" s="2">
        <f t="shared" si="60"/>
        <v>1</v>
      </c>
      <c r="S408" s="7">
        <f t="shared" si="67"/>
        <v>1</v>
      </c>
      <c r="T408" s="157">
        <f t="shared" si="68"/>
        <v>1</v>
      </c>
      <c r="V408" s="191">
        <f t="shared" si="61"/>
        <v>3</v>
      </c>
      <c r="W408" s="7">
        <f t="shared" si="62"/>
        <v>2023</v>
      </c>
    </row>
    <row r="409" spans="1:23" ht="31.95" customHeight="1" thickBot="1" x14ac:dyDescent="0.35">
      <c r="A409" s="15">
        <f t="shared" si="63"/>
        <v>2</v>
      </c>
      <c r="B409" s="26">
        <v>44999</v>
      </c>
      <c r="C409" s="51">
        <f t="shared" si="69"/>
        <v>405</v>
      </c>
      <c r="D409" s="27" t="s">
        <v>890</v>
      </c>
      <c r="E409" s="26" t="s">
        <v>99</v>
      </c>
      <c r="F409" s="28" t="s">
        <v>11</v>
      </c>
      <c r="G409" s="28" t="s">
        <v>11</v>
      </c>
      <c r="H409" s="254"/>
      <c r="I409" s="49">
        <v>2</v>
      </c>
      <c r="J409" s="49">
        <v>2</v>
      </c>
      <c r="K409" s="52">
        <f t="shared" si="64"/>
        <v>1</v>
      </c>
      <c r="L409" s="209">
        <f t="shared" si="65"/>
        <v>0</v>
      </c>
      <c r="M409" s="210">
        <f t="shared" si="66"/>
        <v>0</v>
      </c>
      <c r="N409" s="26">
        <v>45020</v>
      </c>
      <c r="O409" s="26">
        <v>45020</v>
      </c>
      <c r="P409" s="26">
        <v>45020</v>
      </c>
      <c r="Q409" s="2">
        <f t="shared" si="60"/>
        <v>1</v>
      </c>
      <c r="S409" s="7">
        <f t="shared" si="67"/>
        <v>1</v>
      </c>
      <c r="T409" s="157">
        <f t="shared" si="68"/>
        <v>1</v>
      </c>
      <c r="V409" s="191">
        <f t="shared" si="61"/>
        <v>3</v>
      </c>
      <c r="W409" s="7">
        <f t="shared" si="62"/>
        <v>2023</v>
      </c>
    </row>
    <row r="410" spans="1:23" ht="31.95" customHeight="1" thickBot="1" x14ac:dyDescent="0.35">
      <c r="A410" s="15">
        <f t="shared" si="63"/>
        <v>3</v>
      </c>
      <c r="B410" s="26">
        <v>44999</v>
      </c>
      <c r="C410" s="51">
        <f t="shared" si="69"/>
        <v>406</v>
      </c>
      <c r="D410" s="27" t="s">
        <v>602</v>
      </c>
      <c r="E410" s="26" t="s">
        <v>118</v>
      </c>
      <c r="F410" s="28" t="s">
        <v>11</v>
      </c>
      <c r="G410" s="28" t="s">
        <v>11</v>
      </c>
      <c r="H410" s="254"/>
      <c r="I410" s="49">
        <v>3</v>
      </c>
      <c r="J410" s="49">
        <v>3</v>
      </c>
      <c r="K410" s="52">
        <f t="shared" si="64"/>
        <v>1</v>
      </c>
      <c r="L410" s="209">
        <f t="shared" si="65"/>
        <v>0</v>
      </c>
      <c r="M410" s="210">
        <f t="shared" si="66"/>
        <v>0</v>
      </c>
      <c r="N410" s="26">
        <v>45002</v>
      </c>
      <c r="O410" s="26">
        <v>45002</v>
      </c>
      <c r="P410" s="26">
        <v>45002</v>
      </c>
      <c r="Q410" s="2">
        <f t="shared" si="60"/>
        <v>1</v>
      </c>
      <c r="S410" s="7">
        <f t="shared" si="67"/>
        <v>1</v>
      </c>
      <c r="T410" s="157">
        <f t="shared" si="68"/>
        <v>1</v>
      </c>
      <c r="V410" s="191">
        <f t="shared" si="61"/>
        <v>3</v>
      </c>
      <c r="W410" s="7">
        <f t="shared" si="62"/>
        <v>2023</v>
      </c>
    </row>
    <row r="411" spans="1:23" ht="31.95" customHeight="1" thickBot="1" x14ac:dyDescent="0.35">
      <c r="A411" s="15">
        <f t="shared" si="63"/>
        <v>2</v>
      </c>
      <c r="B411" s="26">
        <v>44999</v>
      </c>
      <c r="C411" s="51">
        <f t="shared" si="69"/>
        <v>407</v>
      </c>
      <c r="D411" s="27" t="s">
        <v>871</v>
      </c>
      <c r="E411" s="26" t="s">
        <v>118</v>
      </c>
      <c r="F411" s="28" t="s">
        <v>11</v>
      </c>
      <c r="G411" s="28" t="s">
        <v>11</v>
      </c>
      <c r="H411" s="254"/>
      <c r="I411" s="49">
        <v>2</v>
      </c>
      <c r="J411" s="49">
        <v>2</v>
      </c>
      <c r="K411" s="52">
        <f t="shared" si="64"/>
        <v>1</v>
      </c>
      <c r="L411" s="209">
        <f t="shared" si="65"/>
        <v>0</v>
      </c>
      <c r="M411" s="210">
        <f t="shared" si="66"/>
        <v>0</v>
      </c>
      <c r="N411" s="26">
        <v>45002</v>
      </c>
      <c r="O411" s="26">
        <v>45002</v>
      </c>
      <c r="P411" s="26">
        <v>45002</v>
      </c>
      <c r="Q411" s="2">
        <f t="shared" si="60"/>
        <v>1</v>
      </c>
      <c r="S411" s="7">
        <f t="shared" si="67"/>
        <v>1</v>
      </c>
      <c r="T411" s="157">
        <f t="shared" si="68"/>
        <v>1</v>
      </c>
      <c r="V411" s="191">
        <f t="shared" si="61"/>
        <v>3</v>
      </c>
      <c r="W411" s="7">
        <f t="shared" si="62"/>
        <v>2023</v>
      </c>
    </row>
    <row r="412" spans="1:23" ht="31.95" customHeight="1" thickBot="1" x14ac:dyDescent="0.35">
      <c r="A412" s="15">
        <f t="shared" si="63"/>
        <v>1</v>
      </c>
      <c r="B412" s="26">
        <v>44999</v>
      </c>
      <c r="C412" s="51">
        <f t="shared" si="69"/>
        <v>408</v>
      </c>
      <c r="D412" s="27" t="s">
        <v>890</v>
      </c>
      <c r="E412" s="26" t="s">
        <v>118</v>
      </c>
      <c r="F412" s="28" t="s">
        <v>11</v>
      </c>
      <c r="G412" s="28" t="s">
        <v>11</v>
      </c>
      <c r="H412" s="254"/>
      <c r="I412" s="49">
        <v>1</v>
      </c>
      <c r="J412" s="49">
        <v>1</v>
      </c>
      <c r="K412" s="52">
        <f t="shared" si="64"/>
        <v>1</v>
      </c>
      <c r="L412" s="209">
        <f t="shared" si="65"/>
        <v>0</v>
      </c>
      <c r="M412" s="210">
        <f t="shared" si="66"/>
        <v>0</v>
      </c>
      <c r="N412" s="26">
        <v>45020</v>
      </c>
      <c r="O412" s="26">
        <v>45020</v>
      </c>
      <c r="P412" s="26">
        <v>45020</v>
      </c>
      <c r="Q412" s="2">
        <f t="shared" si="60"/>
        <v>1</v>
      </c>
      <c r="S412" s="7">
        <f t="shared" si="67"/>
        <v>1</v>
      </c>
      <c r="T412" s="157">
        <f t="shared" si="68"/>
        <v>1</v>
      </c>
      <c r="V412" s="191">
        <f t="shared" si="61"/>
        <v>3</v>
      </c>
      <c r="W412" s="7">
        <f t="shared" si="62"/>
        <v>2023</v>
      </c>
    </row>
    <row r="413" spans="1:23" ht="31.95" customHeight="1" thickBot="1" x14ac:dyDescent="0.35">
      <c r="A413" s="15">
        <f t="shared" si="63"/>
        <v>3</v>
      </c>
      <c r="B413" s="26">
        <v>44999</v>
      </c>
      <c r="C413" s="51">
        <f t="shared" si="69"/>
        <v>409</v>
      </c>
      <c r="D413" s="27" t="s">
        <v>602</v>
      </c>
      <c r="E413" s="26" t="s">
        <v>117</v>
      </c>
      <c r="F413" s="28" t="s">
        <v>11</v>
      </c>
      <c r="G413" s="28" t="s">
        <v>11</v>
      </c>
      <c r="H413" s="254"/>
      <c r="I413" s="49">
        <v>3</v>
      </c>
      <c r="J413" s="49">
        <v>3</v>
      </c>
      <c r="K413" s="52">
        <f t="shared" si="64"/>
        <v>1</v>
      </c>
      <c r="L413" s="209">
        <f t="shared" si="65"/>
        <v>0</v>
      </c>
      <c r="M413" s="210">
        <f t="shared" si="66"/>
        <v>0</v>
      </c>
      <c r="N413" s="26">
        <v>45002</v>
      </c>
      <c r="O413" s="26">
        <v>45002</v>
      </c>
      <c r="P413" s="26">
        <v>45002</v>
      </c>
      <c r="Q413" s="2">
        <f t="shared" si="60"/>
        <v>1</v>
      </c>
      <c r="S413" s="7">
        <f t="shared" si="67"/>
        <v>1</v>
      </c>
      <c r="T413" s="157">
        <f t="shared" si="68"/>
        <v>1</v>
      </c>
      <c r="V413" s="191">
        <f t="shared" si="61"/>
        <v>3</v>
      </c>
      <c r="W413" s="7">
        <f t="shared" si="62"/>
        <v>2023</v>
      </c>
    </row>
    <row r="414" spans="1:23" ht="31.95" customHeight="1" thickBot="1" x14ac:dyDescent="0.35">
      <c r="A414" s="15">
        <f t="shared" si="63"/>
        <v>2</v>
      </c>
      <c r="B414" s="26">
        <v>44999</v>
      </c>
      <c r="C414" s="51">
        <f t="shared" si="69"/>
        <v>410</v>
      </c>
      <c r="D414" s="27" t="s">
        <v>871</v>
      </c>
      <c r="E414" s="26" t="s">
        <v>117</v>
      </c>
      <c r="F414" s="28" t="s">
        <v>11</v>
      </c>
      <c r="G414" s="28" t="s">
        <v>11</v>
      </c>
      <c r="H414" s="254"/>
      <c r="I414" s="49">
        <v>2</v>
      </c>
      <c r="J414" s="49">
        <v>2</v>
      </c>
      <c r="K414" s="52">
        <f t="shared" si="64"/>
        <v>1</v>
      </c>
      <c r="L414" s="209">
        <f t="shared" si="65"/>
        <v>0</v>
      </c>
      <c r="M414" s="210">
        <f t="shared" si="66"/>
        <v>0</v>
      </c>
      <c r="N414" s="26">
        <v>45002</v>
      </c>
      <c r="O414" s="26">
        <v>45002</v>
      </c>
      <c r="P414" s="26">
        <v>45002</v>
      </c>
      <c r="Q414" s="2">
        <f t="shared" si="60"/>
        <v>1</v>
      </c>
      <c r="S414" s="7">
        <f t="shared" si="67"/>
        <v>1</v>
      </c>
      <c r="T414" s="157">
        <f t="shared" si="68"/>
        <v>1</v>
      </c>
      <c r="V414" s="191">
        <f t="shared" si="61"/>
        <v>3</v>
      </c>
      <c r="W414" s="7">
        <f t="shared" si="62"/>
        <v>2023</v>
      </c>
    </row>
    <row r="415" spans="1:23" ht="31.95" customHeight="1" thickBot="1" x14ac:dyDescent="0.35">
      <c r="A415" s="15">
        <f t="shared" si="63"/>
        <v>1</v>
      </c>
      <c r="B415" s="26">
        <v>44999</v>
      </c>
      <c r="C415" s="51">
        <f t="shared" si="69"/>
        <v>411</v>
      </c>
      <c r="D415" s="27" t="s">
        <v>890</v>
      </c>
      <c r="E415" s="26" t="s">
        <v>117</v>
      </c>
      <c r="F415" s="28" t="s">
        <v>11</v>
      </c>
      <c r="G415" s="28" t="s">
        <v>11</v>
      </c>
      <c r="H415" s="254"/>
      <c r="I415" s="49">
        <v>1</v>
      </c>
      <c r="J415" s="49">
        <v>1</v>
      </c>
      <c r="K415" s="52">
        <f t="shared" si="64"/>
        <v>1</v>
      </c>
      <c r="L415" s="209">
        <f t="shared" si="65"/>
        <v>0</v>
      </c>
      <c r="M415" s="210">
        <f t="shared" si="66"/>
        <v>0</v>
      </c>
      <c r="N415" s="26">
        <v>45020</v>
      </c>
      <c r="O415" s="26">
        <v>45020</v>
      </c>
      <c r="P415" s="26">
        <v>45020</v>
      </c>
      <c r="Q415" s="2">
        <f t="shared" si="60"/>
        <v>1</v>
      </c>
      <c r="S415" s="7">
        <f t="shared" si="67"/>
        <v>1</v>
      </c>
      <c r="T415" s="157">
        <f t="shared" si="68"/>
        <v>1</v>
      </c>
      <c r="V415" s="191">
        <f t="shared" si="61"/>
        <v>3</v>
      </c>
      <c r="W415" s="7">
        <f t="shared" si="62"/>
        <v>2023</v>
      </c>
    </row>
    <row r="416" spans="1:23" ht="31.95" customHeight="1" thickBot="1" x14ac:dyDescent="0.35">
      <c r="A416" s="15">
        <f t="shared" si="63"/>
        <v>13</v>
      </c>
      <c r="B416" s="26">
        <v>44999</v>
      </c>
      <c r="C416" s="51">
        <f t="shared" si="69"/>
        <v>412</v>
      </c>
      <c r="D416" s="27" t="s">
        <v>524</v>
      </c>
      <c r="E416" s="26" t="s">
        <v>119</v>
      </c>
      <c r="F416" s="28" t="s">
        <v>11</v>
      </c>
      <c r="G416" s="28" t="s">
        <v>11</v>
      </c>
      <c r="H416" s="254"/>
      <c r="I416" s="49">
        <v>13</v>
      </c>
      <c r="J416" s="49">
        <v>13</v>
      </c>
      <c r="K416" s="52">
        <f t="shared" si="64"/>
        <v>1</v>
      </c>
      <c r="L416" s="209">
        <f t="shared" si="65"/>
        <v>0</v>
      </c>
      <c r="M416" s="210">
        <f t="shared" si="66"/>
        <v>0</v>
      </c>
      <c r="N416" s="26">
        <v>45002</v>
      </c>
      <c r="O416" s="26">
        <v>45002</v>
      </c>
      <c r="P416" s="26">
        <v>45002</v>
      </c>
      <c r="Q416" s="2">
        <f t="shared" si="60"/>
        <v>1</v>
      </c>
      <c r="S416" s="7">
        <f t="shared" si="67"/>
        <v>1</v>
      </c>
      <c r="T416" s="157">
        <f t="shared" si="68"/>
        <v>1</v>
      </c>
      <c r="V416" s="191">
        <f t="shared" si="61"/>
        <v>3</v>
      </c>
      <c r="W416" s="7">
        <f t="shared" si="62"/>
        <v>2023</v>
      </c>
    </row>
    <row r="417" spans="1:23" ht="31.95" customHeight="1" thickBot="1" x14ac:dyDescent="0.35">
      <c r="A417" s="15">
        <f t="shared" si="63"/>
        <v>3</v>
      </c>
      <c r="B417" s="26">
        <v>44999</v>
      </c>
      <c r="C417" s="51">
        <f t="shared" si="69"/>
        <v>413</v>
      </c>
      <c r="D417" s="27" t="s">
        <v>871</v>
      </c>
      <c r="E417" s="26" t="s">
        <v>119</v>
      </c>
      <c r="F417" s="28" t="s">
        <v>11</v>
      </c>
      <c r="G417" s="28" t="s">
        <v>11</v>
      </c>
      <c r="H417" s="254"/>
      <c r="I417" s="49">
        <v>3</v>
      </c>
      <c r="J417" s="49">
        <v>3</v>
      </c>
      <c r="K417" s="52">
        <f t="shared" si="64"/>
        <v>1</v>
      </c>
      <c r="L417" s="209">
        <f t="shared" si="65"/>
        <v>0</v>
      </c>
      <c r="M417" s="210">
        <f t="shared" si="66"/>
        <v>0</v>
      </c>
      <c r="N417" s="26">
        <v>45002</v>
      </c>
      <c r="O417" s="26">
        <v>45002</v>
      </c>
      <c r="P417" s="26">
        <v>45002</v>
      </c>
      <c r="Q417" s="2">
        <f t="shared" si="60"/>
        <v>1</v>
      </c>
      <c r="S417" s="7">
        <f t="shared" si="67"/>
        <v>1</v>
      </c>
      <c r="T417" s="157">
        <f t="shared" si="68"/>
        <v>1</v>
      </c>
      <c r="V417" s="191">
        <f t="shared" si="61"/>
        <v>3</v>
      </c>
      <c r="W417" s="7">
        <f t="shared" si="62"/>
        <v>2023</v>
      </c>
    </row>
    <row r="418" spans="1:23" ht="31.95" customHeight="1" thickBot="1" x14ac:dyDescent="0.35">
      <c r="A418" s="15">
        <f t="shared" si="63"/>
        <v>3</v>
      </c>
      <c r="B418" s="26">
        <v>44999</v>
      </c>
      <c r="C418" s="51">
        <f t="shared" si="69"/>
        <v>414</v>
      </c>
      <c r="D418" s="27" t="s">
        <v>890</v>
      </c>
      <c r="E418" s="26" t="s">
        <v>119</v>
      </c>
      <c r="F418" s="28" t="s">
        <v>11</v>
      </c>
      <c r="G418" s="28" t="s">
        <v>11</v>
      </c>
      <c r="H418" s="254"/>
      <c r="I418" s="49">
        <v>3</v>
      </c>
      <c r="J418" s="49">
        <v>3</v>
      </c>
      <c r="K418" s="52">
        <f t="shared" si="64"/>
        <v>1</v>
      </c>
      <c r="L418" s="209">
        <f t="shared" si="65"/>
        <v>0</v>
      </c>
      <c r="M418" s="210">
        <f t="shared" si="66"/>
        <v>0</v>
      </c>
      <c r="N418" s="26">
        <v>45020</v>
      </c>
      <c r="O418" s="26">
        <v>45020</v>
      </c>
      <c r="P418" s="26">
        <v>45020</v>
      </c>
      <c r="Q418" s="2">
        <f t="shared" si="60"/>
        <v>1</v>
      </c>
      <c r="S418" s="7">
        <f t="shared" si="67"/>
        <v>1</v>
      </c>
      <c r="T418" s="157">
        <f t="shared" si="68"/>
        <v>1</v>
      </c>
      <c r="V418" s="191">
        <f t="shared" si="61"/>
        <v>3</v>
      </c>
      <c r="W418" s="7">
        <f t="shared" si="62"/>
        <v>2023</v>
      </c>
    </row>
    <row r="419" spans="1:23" ht="31.95" customHeight="1" thickBot="1" x14ac:dyDescent="0.35">
      <c r="A419" s="15">
        <f t="shared" si="63"/>
        <v>1</v>
      </c>
      <c r="B419" s="26">
        <v>44999</v>
      </c>
      <c r="C419" s="51">
        <f t="shared" si="69"/>
        <v>415</v>
      </c>
      <c r="D419" s="27" t="s">
        <v>602</v>
      </c>
      <c r="E419" s="26" t="s">
        <v>103</v>
      </c>
      <c r="F419" s="28" t="s">
        <v>11</v>
      </c>
      <c r="G419" s="28" t="s">
        <v>11</v>
      </c>
      <c r="H419" s="254"/>
      <c r="I419" s="49">
        <v>1</v>
      </c>
      <c r="J419" s="49">
        <v>1</v>
      </c>
      <c r="K419" s="52">
        <f t="shared" si="64"/>
        <v>1</v>
      </c>
      <c r="L419" s="209">
        <f t="shared" si="65"/>
        <v>0</v>
      </c>
      <c r="M419" s="210">
        <f t="shared" si="66"/>
        <v>0</v>
      </c>
      <c r="N419" s="26">
        <v>45002</v>
      </c>
      <c r="O419" s="26">
        <v>45002</v>
      </c>
      <c r="P419" s="26">
        <v>45002</v>
      </c>
      <c r="Q419" s="2">
        <f t="shared" si="60"/>
        <v>1</v>
      </c>
      <c r="S419" s="7">
        <f t="shared" si="67"/>
        <v>1</v>
      </c>
      <c r="T419" s="157">
        <f t="shared" si="68"/>
        <v>1</v>
      </c>
      <c r="V419" s="191">
        <f t="shared" si="61"/>
        <v>3</v>
      </c>
      <c r="W419" s="7">
        <f t="shared" si="62"/>
        <v>2023</v>
      </c>
    </row>
    <row r="420" spans="1:23" ht="31.95" customHeight="1" thickBot="1" x14ac:dyDescent="0.35">
      <c r="A420" s="15">
        <f t="shared" si="63"/>
        <v>2</v>
      </c>
      <c r="B420" s="26">
        <v>44999</v>
      </c>
      <c r="C420" s="51">
        <f t="shared" si="69"/>
        <v>416</v>
      </c>
      <c r="D420" s="27" t="s">
        <v>602</v>
      </c>
      <c r="E420" s="26" t="s">
        <v>103</v>
      </c>
      <c r="F420" s="28" t="s">
        <v>11</v>
      </c>
      <c r="G420" s="28" t="s">
        <v>11</v>
      </c>
      <c r="H420" s="254"/>
      <c r="I420" s="49">
        <v>2</v>
      </c>
      <c r="J420" s="49">
        <v>2</v>
      </c>
      <c r="K420" s="52">
        <f t="shared" si="64"/>
        <v>1</v>
      </c>
      <c r="L420" s="209">
        <f t="shared" si="65"/>
        <v>0</v>
      </c>
      <c r="M420" s="210">
        <f t="shared" si="66"/>
        <v>0</v>
      </c>
      <c r="N420" s="26">
        <v>45002</v>
      </c>
      <c r="O420" s="26">
        <v>45002</v>
      </c>
      <c r="P420" s="26">
        <v>45002</v>
      </c>
      <c r="Q420" s="2">
        <f t="shared" si="60"/>
        <v>1</v>
      </c>
      <c r="S420" s="7">
        <f t="shared" si="67"/>
        <v>1</v>
      </c>
      <c r="T420" s="157">
        <f t="shared" si="68"/>
        <v>1</v>
      </c>
      <c r="V420" s="191">
        <f t="shared" si="61"/>
        <v>3</v>
      </c>
      <c r="W420" s="7">
        <f t="shared" si="62"/>
        <v>2023</v>
      </c>
    </row>
    <row r="421" spans="1:23" ht="31.95" customHeight="1" thickBot="1" x14ac:dyDescent="0.35">
      <c r="A421" s="15">
        <f t="shared" si="63"/>
        <v>1</v>
      </c>
      <c r="B421" s="26">
        <v>44999</v>
      </c>
      <c r="C421" s="51">
        <f t="shared" si="69"/>
        <v>417</v>
      </c>
      <c r="D421" s="27" t="s">
        <v>871</v>
      </c>
      <c r="E421" s="26" t="s">
        <v>103</v>
      </c>
      <c r="F421" s="28" t="s">
        <v>11</v>
      </c>
      <c r="G421" s="28" t="s">
        <v>11</v>
      </c>
      <c r="H421" s="254"/>
      <c r="I421" s="49">
        <v>1</v>
      </c>
      <c r="J421" s="49">
        <v>1</v>
      </c>
      <c r="K421" s="52">
        <f t="shared" si="64"/>
        <v>1</v>
      </c>
      <c r="L421" s="209">
        <f t="shared" si="65"/>
        <v>0</v>
      </c>
      <c r="M421" s="210">
        <f t="shared" si="66"/>
        <v>0</v>
      </c>
      <c r="N421" s="26">
        <v>45002</v>
      </c>
      <c r="O421" s="26">
        <v>45002</v>
      </c>
      <c r="P421" s="26">
        <v>45002</v>
      </c>
      <c r="Q421" s="2">
        <f t="shared" si="60"/>
        <v>1</v>
      </c>
      <c r="S421" s="7">
        <f t="shared" si="67"/>
        <v>1</v>
      </c>
      <c r="T421" s="157">
        <f t="shared" si="68"/>
        <v>1</v>
      </c>
      <c r="V421" s="191">
        <f t="shared" si="61"/>
        <v>3</v>
      </c>
      <c r="W421" s="7">
        <f t="shared" si="62"/>
        <v>2023</v>
      </c>
    </row>
    <row r="422" spans="1:23" ht="31.95" customHeight="1" thickBot="1" x14ac:dyDescent="0.35">
      <c r="A422" s="15">
        <f t="shared" si="63"/>
        <v>11</v>
      </c>
      <c r="B422" s="26">
        <v>44999</v>
      </c>
      <c r="C422" s="51">
        <f t="shared" si="69"/>
        <v>418</v>
      </c>
      <c r="D422" s="27" t="s">
        <v>978</v>
      </c>
      <c r="E422" s="26" t="s">
        <v>81</v>
      </c>
      <c r="F422" s="28" t="s">
        <v>11</v>
      </c>
      <c r="G422" s="28" t="s">
        <v>11</v>
      </c>
      <c r="H422" s="254"/>
      <c r="I422" s="49">
        <v>11</v>
      </c>
      <c r="J422" s="49">
        <v>11</v>
      </c>
      <c r="K422" s="52">
        <f t="shared" si="64"/>
        <v>1</v>
      </c>
      <c r="L422" s="209">
        <f t="shared" si="65"/>
        <v>0</v>
      </c>
      <c r="M422" s="210">
        <f t="shared" si="66"/>
        <v>0</v>
      </c>
      <c r="N422" s="26">
        <v>45006</v>
      </c>
      <c r="O422" s="26">
        <v>45006</v>
      </c>
      <c r="P422" s="26">
        <v>45006</v>
      </c>
      <c r="Q422" s="2">
        <f t="shared" si="60"/>
        <v>1</v>
      </c>
      <c r="S422" s="7">
        <f t="shared" si="67"/>
        <v>1</v>
      </c>
      <c r="T422" s="157">
        <f t="shared" si="68"/>
        <v>1</v>
      </c>
      <c r="V422" s="191">
        <f t="shared" si="61"/>
        <v>3</v>
      </c>
      <c r="W422" s="7">
        <f t="shared" si="62"/>
        <v>2023</v>
      </c>
    </row>
    <row r="423" spans="1:23" ht="31.95" customHeight="1" thickBot="1" x14ac:dyDescent="0.35">
      <c r="A423" s="15">
        <f t="shared" si="63"/>
        <v>3</v>
      </c>
      <c r="B423" s="26">
        <v>44999</v>
      </c>
      <c r="C423" s="51">
        <f t="shared" si="69"/>
        <v>419</v>
      </c>
      <c r="D423" s="27" t="s">
        <v>890</v>
      </c>
      <c r="E423" s="26" t="s">
        <v>81</v>
      </c>
      <c r="F423" s="28" t="s">
        <v>11</v>
      </c>
      <c r="G423" s="28" t="s">
        <v>11</v>
      </c>
      <c r="H423" s="254"/>
      <c r="I423" s="49">
        <v>3</v>
      </c>
      <c r="J423" s="49">
        <v>3</v>
      </c>
      <c r="K423" s="52">
        <f t="shared" si="64"/>
        <v>1</v>
      </c>
      <c r="L423" s="209">
        <f t="shared" si="65"/>
        <v>0</v>
      </c>
      <c r="M423" s="210">
        <f t="shared" si="66"/>
        <v>0</v>
      </c>
      <c r="N423" s="26">
        <v>45020</v>
      </c>
      <c r="O423" s="26">
        <v>45020</v>
      </c>
      <c r="P423" s="26">
        <v>45020</v>
      </c>
      <c r="Q423" s="2">
        <f t="shared" si="60"/>
        <v>1</v>
      </c>
      <c r="S423" s="7">
        <f t="shared" si="67"/>
        <v>1</v>
      </c>
      <c r="T423" s="157">
        <f t="shared" si="68"/>
        <v>1</v>
      </c>
      <c r="V423" s="191">
        <f t="shared" si="61"/>
        <v>3</v>
      </c>
      <c r="W423" s="7">
        <f t="shared" si="62"/>
        <v>2023</v>
      </c>
    </row>
    <row r="424" spans="1:23" ht="31.95" customHeight="1" thickBot="1" x14ac:dyDescent="0.35">
      <c r="A424" s="15">
        <f t="shared" si="63"/>
        <v>3</v>
      </c>
      <c r="B424" s="26">
        <v>44999</v>
      </c>
      <c r="C424" s="51">
        <f t="shared" si="69"/>
        <v>420</v>
      </c>
      <c r="D424" s="27" t="s">
        <v>321</v>
      </c>
      <c r="E424" s="26" t="s">
        <v>120</v>
      </c>
      <c r="F424" s="28" t="s">
        <v>11</v>
      </c>
      <c r="G424" s="28" t="s">
        <v>11</v>
      </c>
      <c r="H424" s="254"/>
      <c r="I424" s="49">
        <v>3</v>
      </c>
      <c r="J424" s="49">
        <v>3</v>
      </c>
      <c r="K424" s="52">
        <f t="shared" si="64"/>
        <v>1</v>
      </c>
      <c r="L424" s="209">
        <f t="shared" si="65"/>
        <v>0</v>
      </c>
      <c r="M424" s="210">
        <f t="shared" si="66"/>
        <v>0</v>
      </c>
      <c r="N424" s="26">
        <v>44999</v>
      </c>
      <c r="O424" s="26">
        <v>44999</v>
      </c>
      <c r="P424" s="26">
        <v>44999</v>
      </c>
      <c r="Q424" s="2">
        <f t="shared" si="60"/>
        <v>1</v>
      </c>
      <c r="S424" s="7">
        <f t="shared" si="67"/>
        <v>1</v>
      </c>
      <c r="T424" s="157">
        <f t="shared" si="68"/>
        <v>1</v>
      </c>
      <c r="V424" s="191">
        <f t="shared" si="61"/>
        <v>3</v>
      </c>
      <c r="W424" s="7">
        <f t="shared" si="62"/>
        <v>2023</v>
      </c>
    </row>
    <row r="425" spans="1:23" ht="31.95" customHeight="1" thickBot="1" x14ac:dyDescent="0.35">
      <c r="A425" s="15">
        <f t="shared" si="63"/>
        <v>4</v>
      </c>
      <c r="B425" s="26">
        <v>44999</v>
      </c>
      <c r="C425" s="51">
        <f t="shared" si="69"/>
        <v>421</v>
      </c>
      <c r="D425" s="27" t="s">
        <v>594</v>
      </c>
      <c r="E425" s="26" t="s">
        <v>81</v>
      </c>
      <c r="F425" s="28" t="s">
        <v>11</v>
      </c>
      <c r="G425" s="28" t="s">
        <v>11</v>
      </c>
      <c r="H425" s="254"/>
      <c r="I425" s="49">
        <v>4</v>
      </c>
      <c r="J425" s="49">
        <v>4</v>
      </c>
      <c r="K425" s="52">
        <f t="shared" si="64"/>
        <v>1</v>
      </c>
      <c r="L425" s="209">
        <f t="shared" si="65"/>
        <v>0</v>
      </c>
      <c r="M425" s="210">
        <f t="shared" si="66"/>
        <v>0</v>
      </c>
      <c r="N425" s="26">
        <v>45020</v>
      </c>
      <c r="O425" s="26">
        <v>45020</v>
      </c>
      <c r="P425" s="26">
        <v>45020</v>
      </c>
      <c r="Q425" s="2">
        <f t="shared" si="60"/>
        <v>1</v>
      </c>
      <c r="S425" s="7">
        <f t="shared" si="67"/>
        <v>1</v>
      </c>
      <c r="T425" s="157">
        <f t="shared" si="68"/>
        <v>1</v>
      </c>
      <c r="V425" s="191">
        <f t="shared" si="61"/>
        <v>3</v>
      </c>
      <c r="W425" s="7">
        <f t="shared" si="62"/>
        <v>2023</v>
      </c>
    </row>
    <row r="426" spans="1:23" ht="31.95" customHeight="1" thickBot="1" x14ac:dyDescent="0.35">
      <c r="A426" s="15">
        <f t="shared" si="63"/>
        <v>1</v>
      </c>
      <c r="B426" s="26">
        <v>44999</v>
      </c>
      <c r="C426" s="51">
        <f t="shared" si="69"/>
        <v>422</v>
      </c>
      <c r="D426" s="27" t="s">
        <v>524</v>
      </c>
      <c r="E426" s="26" t="s">
        <v>101</v>
      </c>
      <c r="F426" s="28" t="s">
        <v>11</v>
      </c>
      <c r="G426" s="28" t="s">
        <v>11</v>
      </c>
      <c r="H426" s="254"/>
      <c r="I426" s="49">
        <v>1</v>
      </c>
      <c r="J426" s="49">
        <v>1</v>
      </c>
      <c r="K426" s="52">
        <f t="shared" si="64"/>
        <v>1</v>
      </c>
      <c r="L426" s="209">
        <f t="shared" si="65"/>
        <v>0</v>
      </c>
      <c r="M426" s="210">
        <f t="shared" si="66"/>
        <v>0</v>
      </c>
      <c r="N426" s="26">
        <v>45008</v>
      </c>
      <c r="O426" s="26">
        <v>45008</v>
      </c>
      <c r="P426" s="26">
        <v>45008</v>
      </c>
      <c r="Q426" s="2">
        <f t="shared" si="60"/>
        <v>1</v>
      </c>
      <c r="S426" s="7">
        <f t="shared" si="67"/>
        <v>1</v>
      </c>
      <c r="T426" s="157">
        <f t="shared" si="68"/>
        <v>1</v>
      </c>
      <c r="V426" s="191">
        <f t="shared" si="61"/>
        <v>3</v>
      </c>
      <c r="W426" s="7">
        <f t="shared" si="62"/>
        <v>2023</v>
      </c>
    </row>
    <row r="427" spans="1:23" ht="31.95" customHeight="1" thickBot="1" x14ac:dyDescent="0.35">
      <c r="A427" s="15">
        <f t="shared" si="63"/>
        <v>1</v>
      </c>
      <c r="B427" s="26">
        <v>44999</v>
      </c>
      <c r="C427" s="51">
        <f t="shared" si="69"/>
        <v>423</v>
      </c>
      <c r="D427" s="27" t="s">
        <v>890</v>
      </c>
      <c r="E427" s="26" t="s">
        <v>101</v>
      </c>
      <c r="F427" s="28" t="s">
        <v>11</v>
      </c>
      <c r="G427" s="28" t="s">
        <v>11</v>
      </c>
      <c r="H427" s="254"/>
      <c r="I427" s="49">
        <v>1</v>
      </c>
      <c r="J427" s="49">
        <v>1</v>
      </c>
      <c r="K427" s="52">
        <f t="shared" si="64"/>
        <v>1</v>
      </c>
      <c r="L427" s="209">
        <f t="shared" si="65"/>
        <v>0</v>
      </c>
      <c r="M427" s="210">
        <f t="shared" si="66"/>
        <v>0</v>
      </c>
      <c r="N427" s="26">
        <v>45020</v>
      </c>
      <c r="O427" s="26">
        <v>45020</v>
      </c>
      <c r="P427" s="26">
        <v>45020</v>
      </c>
      <c r="Q427" s="2">
        <f t="shared" si="60"/>
        <v>1</v>
      </c>
      <c r="S427" s="7">
        <f t="shared" si="67"/>
        <v>1</v>
      </c>
      <c r="T427" s="157">
        <f t="shared" si="68"/>
        <v>1</v>
      </c>
      <c r="V427" s="191">
        <f t="shared" si="61"/>
        <v>3</v>
      </c>
      <c r="W427" s="7">
        <f t="shared" si="62"/>
        <v>2023</v>
      </c>
    </row>
    <row r="428" spans="1:23" ht="31.95" customHeight="1" thickBot="1" x14ac:dyDescent="0.35">
      <c r="A428" s="15">
        <f t="shared" si="63"/>
        <v>1</v>
      </c>
      <c r="B428" s="26">
        <v>44999</v>
      </c>
      <c r="C428" s="51">
        <f t="shared" si="69"/>
        <v>424</v>
      </c>
      <c r="D428" s="27" t="s">
        <v>594</v>
      </c>
      <c r="E428" s="26" t="s">
        <v>101</v>
      </c>
      <c r="F428" s="28" t="s">
        <v>11</v>
      </c>
      <c r="G428" s="28" t="s">
        <v>11</v>
      </c>
      <c r="H428" s="254"/>
      <c r="I428" s="49">
        <v>1</v>
      </c>
      <c r="J428" s="49">
        <v>1</v>
      </c>
      <c r="K428" s="52">
        <f t="shared" si="64"/>
        <v>1</v>
      </c>
      <c r="L428" s="209">
        <f t="shared" si="65"/>
        <v>0</v>
      </c>
      <c r="M428" s="210">
        <f t="shared" si="66"/>
        <v>0</v>
      </c>
      <c r="N428" s="26">
        <v>45002</v>
      </c>
      <c r="O428" s="26">
        <v>45002</v>
      </c>
      <c r="P428" s="26">
        <v>45002</v>
      </c>
      <c r="Q428" s="2">
        <f t="shared" si="60"/>
        <v>1</v>
      </c>
      <c r="S428" s="7">
        <f t="shared" si="67"/>
        <v>1</v>
      </c>
      <c r="T428" s="157">
        <f t="shared" si="68"/>
        <v>1</v>
      </c>
      <c r="V428" s="191">
        <f t="shared" si="61"/>
        <v>3</v>
      </c>
      <c r="W428" s="7">
        <f t="shared" si="62"/>
        <v>2023</v>
      </c>
    </row>
    <row r="429" spans="1:23" ht="31.95" customHeight="1" thickBot="1" x14ac:dyDescent="0.35">
      <c r="A429" s="15">
        <f t="shared" si="63"/>
        <v>4</v>
      </c>
      <c r="B429" s="26">
        <v>44999</v>
      </c>
      <c r="C429" s="51">
        <f t="shared" si="69"/>
        <v>425</v>
      </c>
      <c r="D429" s="27" t="s">
        <v>978</v>
      </c>
      <c r="E429" s="26" t="s">
        <v>86</v>
      </c>
      <c r="F429" s="28" t="s">
        <v>11</v>
      </c>
      <c r="G429" s="28" t="s">
        <v>11</v>
      </c>
      <c r="H429" s="254"/>
      <c r="I429" s="49">
        <v>4</v>
      </c>
      <c r="J429" s="49">
        <v>4</v>
      </c>
      <c r="K429" s="52">
        <f t="shared" si="64"/>
        <v>1</v>
      </c>
      <c r="L429" s="209">
        <f t="shared" si="65"/>
        <v>0</v>
      </c>
      <c r="M429" s="210">
        <f t="shared" si="66"/>
        <v>0</v>
      </c>
      <c r="N429" s="26">
        <v>45006</v>
      </c>
      <c r="O429" s="26">
        <v>45006</v>
      </c>
      <c r="P429" s="26">
        <v>45006</v>
      </c>
      <c r="Q429" s="2">
        <f t="shared" si="60"/>
        <v>1</v>
      </c>
      <c r="S429" s="7">
        <f t="shared" si="67"/>
        <v>1</v>
      </c>
      <c r="T429" s="157">
        <f t="shared" si="68"/>
        <v>1</v>
      </c>
      <c r="V429" s="191">
        <f t="shared" si="61"/>
        <v>3</v>
      </c>
      <c r="W429" s="7">
        <f t="shared" si="62"/>
        <v>2023</v>
      </c>
    </row>
    <row r="430" spans="1:23" ht="31.95" customHeight="1" thickBot="1" x14ac:dyDescent="0.35">
      <c r="A430" s="15">
        <f t="shared" si="63"/>
        <v>1</v>
      </c>
      <c r="B430" s="26">
        <v>45000</v>
      </c>
      <c r="C430" s="51">
        <f t="shared" si="69"/>
        <v>426</v>
      </c>
      <c r="D430" s="27" t="s">
        <v>890</v>
      </c>
      <c r="E430" s="26" t="s">
        <v>86</v>
      </c>
      <c r="F430" s="28" t="s">
        <v>11</v>
      </c>
      <c r="G430" s="28" t="s">
        <v>11</v>
      </c>
      <c r="H430" s="254"/>
      <c r="I430" s="49">
        <v>1</v>
      </c>
      <c r="J430" s="49">
        <v>1</v>
      </c>
      <c r="K430" s="52">
        <f t="shared" si="64"/>
        <v>1</v>
      </c>
      <c r="L430" s="209">
        <f t="shared" si="65"/>
        <v>0</v>
      </c>
      <c r="M430" s="210">
        <f t="shared" si="66"/>
        <v>0</v>
      </c>
      <c r="N430" s="26">
        <v>45007</v>
      </c>
      <c r="O430" s="26">
        <v>45007</v>
      </c>
      <c r="P430" s="26">
        <v>45007</v>
      </c>
      <c r="Q430" s="2">
        <f t="shared" si="60"/>
        <v>1</v>
      </c>
      <c r="S430" s="7">
        <f t="shared" si="67"/>
        <v>1</v>
      </c>
      <c r="T430" s="157">
        <f t="shared" si="68"/>
        <v>1</v>
      </c>
      <c r="V430" s="191">
        <f t="shared" si="61"/>
        <v>3</v>
      </c>
      <c r="W430" s="7">
        <f t="shared" si="62"/>
        <v>2023</v>
      </c>
    </row>
    <row r="431" spans="1:23" ht="31.95" customHeight="1" thickBot="1" x14ac:dyDescent="0.35">
      <c r="A431" s="15">
        <f t="shared" si="63"/>
        <v>1</v>
      </c>
      <c r="B431" s="26">
        <v>45000</v>
      </c>
      <c r="C431" s="51">
        <f t="shared" si="69"/>
        <v>427</v>
      </c>
      <c r="D431" s="27" t="s">
        <v>594</v>
      </c>
      <c r="E431" s="26" t="s">
        <v>86</v>
      </c>
      <c r="F431" s="28" t="s">
        <v>11</v>
      </c>
      <c r="G431" s="28" t="s">
        <v>11</v>
      </c>
      <c r="H431" s="254"/>
      <c r="I431" s="49">
        <v>1</v>
      </c>
      <c r="J431" s="49">
        <v>1</v>
      </c>
      <c r="K431" s="52">
        <f t="shared" si="64"/>
        <v>1</v>
      </c>
      <c r="L431" s="209">
        <f t="shared" si="65"/>
        <v>0</v>
      </c>
      <c r="M431" s="210">
        <f t="shared" si="66"/>
        <v>0</v>
      </c>
      <c r="N431" s="26">
        <v>45002</v>
      </c>
      <c r="O431" s="26">
        <v>45002</v>
      </c>
      <c r="P431" s="26">
        <v>45002</v>
      </c>
      <c r="Q431" s="2">
        <f t="shared" si="60"/>
        <v>1</v>
      </c>
      <c r="S431" s="7">
        <f t="shared" si="67"/>
        <v>1</v>
      </c>
      <c r="T431" s="157">
        <f t="shared" si="68"/>
        <v>1</v>
      </c>
      <c r="V431" s="191">
        <f t="shared" si="61"/>
        <v>3</v>
      </c>
      <c r="W431" s="7">
        <f t="shared" si="62"/>
        <v>2023</v>
      </c>
    </row>
    <row r="432" spans="1:23" ht="31.95" customHeight="1" thickBot="1" x14ac:dyDescent="0.35">
      <c r="A432" s="15">
        <f t="shared" si="63"/>
        <v>2</v>
      </c>
      <c r="B432" s="26">
        <v>45000</v>
      </c>
      <c r="C432" s="51">
        <f t="shared" si="69"/>
        <v>428</v>
      </c>
      <c r="D432" s="27" t="s">
        <v>822</v>
      </c>
      <c r="E432" s="26" t="s">
        <v>81</v>
      </c>
      <c r="F432" s="28" t="s">
        <v>11</v>
      </c>
      <c r="G432" s="28" t="s">
        <v>11</v>
      </c>
      <c r="H432" s="254"/>
      <c r="I432" s="49">
        <v>2</v>
      </c>
      <c r="J432" s="49">
        <v>2</v>
      </c>
      <c r="K432" s="52">
        <f t="shared" si="64"/>
        <v>1</v>
      </c>
      <c r="L432" s="209">
        <f t="shared" si="65"/>
        <v>0</v>
      </c>
      <c r="M432" s="210">
        <f t="shared" si="66"/>
        <v>0</v>
      </c>
      <c r="N432" s="26">
        <v>45005</v>
      </c>
      <c r="O432" s="26">
        <v>45005</v>
      </c>
      <c r="P432" s="26">
        <v>45005</v>
      </c>
      <c r="Q432" s="2">
        <f t="shared" si="60"/>
        <v>1</v>
      </c>
      <c r="S432" s="7">
        <f t="shared" si="67"/>
        <v>1</v>
      </c>
      <c r="T432" s="157">
        <f t="shared" si="68"/>
        <v>1</v>
      </c>
      <c r="V432" s="191">
        <f t="shared" si="61"/>
        <v>3</v>
      </c>
      <c r="W432" s="7">
        <f t="shared" si="62"/>
        <v>2023</v>
      </c>
    </row>
    <row r="433" spans="1:23" ht="31.95" customHeight="1" thickBot="1" x14ac:dyDescent="0.35">
      <c r="A433" s="15">
        <f t="shared" si="63"/>
        <v>74</v>
      </c>
      <c r="B433" s="26">
        <v>45005</v>
      </c>
      <c r="C433" s="51">
        <f t="shared" si="69"/>
        <v>429</v>
      </c>
      <c r="D433" s="27" t="s">
        <v>524</v>
      </c>
      <c r="E433" s="26" t="s">
        <v>1302</v>
      </c>
      <c r="F433" s="28" t="s">
        <v>11</v>
      </c>
      <c r="G433" s="28" t="s">
        <v>11</v>
      </c>
      <c r="H433" s="254"/>
      <c r="I433" s="49">
        <v>74</v>
      </c>
      <c r="J433" s="49">
        <v>74</v>
      </c>
      <c r="K433" s="52">
        <f t="shared" si="64"/>
        <v>1</v>
      </c>
      <c r="L433" s="209">
        <f t="shared" si="65"/>
        <v>0</v>
      </c>
      <c r="M433" s="210">
        <f t="shared" si="66"/>
        <v>0</v>
      </c>
      <c r="N433" s="26">
        <v>45008</v>
      </c>
      <c r="O433" s="26">
        <v>45008</v>
      </c>
      <c r="P433" s="26">
        <v>45008</v>
      </c>
      <c r="Q433" s="2">
        <f t="shared" si="60"/>
        <v>1</v>
      </c>
      <c r="S433" s="7">
        <f t="shared" si="67"/>
        <v>1</v>
      </c>
      <c r="T433" s="157">
        <f t="shared" si="68"/>
        <v>1</v>
      </c>
      <c r="V433" s="191">
        <f t="shared" si="61"/>
        <v>3</v>
      </c>
      <c r="W433" s="7">
        <f t="shared" si="62"/>
        <v>2023</v>
      </c>
    </row>
    <row r="434" spans="1:23" ht="31.95" customHeight="1" thickBot="1" x14ac:dyDescent="0.35">
      <c r="A434" s="15">
        <f t="shared" si="63"/>
        <v>4</v>
      </c>
      <c r="B434" s="26">
        <v>45005</v>
      </c>
      <c r="C434" s="51">
        <f t="shared" si="69"/>
        <v>430</v>
      </c>
      <c r="D434" s="27" t="s">
        <v>602</v>
      </c>
      <c r="E434" s="26" t="s">
        <v>1302</v>
      </c>
      <c r="F434" s="28" t="s">
        <v>11</v>
      </c>
      <c r="G434" s="28" t="s">
        <v>11</v>
      </c>
      <c r="H434" s="254"/>
      <c r="I434" s="49">
        <v>4</v>
      </c>
      <c r="J434" s="49">
        <v>4</v>
      </c>
      <c r="K434" s="52">
        <f t="shared" si="64"/>
        <v>1</v>
      </c>
      <c r="L434" s="209">
        <f t="shared" si="65"/>
        <v>0</v>
      </c>
      <c r="M434" s="210">
        <f t="shared" si="66"/>
        <v>0</v>
      </c>
      <c r="N434" s="26">
        <v>45008</v>
      </c>
      <c r="O434" s="26">
        <v>45008</v>
      </c>
      <c r="P434" s="26">
        <v>45008</v>
      </c>
      <c r="Q434" s="2">
        <f t="shared" si="60"/>
        <v>1</v>
      </c>
      <c r="S434" s="7">
        <f t="shared" si="67"/>
        <v>1</v>
      </c>
      <c r="T434" s="157">
        <f t="shared" si="68"/>
        <v>1</v>
      </c>
      <c r="V434" s="191">
        <f t="shared" si="61"/>
        <v>3</v>
      </c>
      <c r="W434" s="7">
        <f t="shared" si="62"/>
        <v>2023</v>
      </c>
    </row>
    <row r="435" spans="1:23" ht="31.95" customHeight="1" thickBot="1" x14ac:dyDescent="0.35">
      <c r="A435" s="15">
        <f t="shared" si="63"/>
        <v>19</v>
      </c>
      <c r="B435" s="26">
        <v>45005</v>
      </c>
      <c r="C435" s="51">
        <f t="shared" si="69"/>
        <v>431</v>
      </c>
      <c r="D435" s="27" t="s">
        <v>890</v>
      </c>
      <c r="E435" s="26" t="s">
        <v>1302</v>
      </c>
      <c r="F435" s="28" t="s">
        <v>11</v>
      </c>
      <c r="G435" s="28" t="s">
        <v>11</v>
      </c>
      <c r="H435" s="254"/>
      <c r="I435" s="49">
        <v>19</v>
      </c>
      <c r="J435" s="49">
        <v>19</v>
      </c>
      <c r="K435" s="52">
        <f t="shared" si="64"/>
        <v>1</v>
      </c>
      <c r="L435" s="209">
        <f t="shared" si="65"/>
        <v>0</v>
      </c>
      <c r="M435" s="210">
        <f t="shared" si="66"/>
        <v>0</v>
      </c>
      <c r="N435" s="26">
        <v>45036</v>
      </c>
      <c r="O435" s="26">
        <v>45036</v>
      </c>
      <c r="P435" s="26">
        <v>45036</v>
      </c>
      <c r="Q435" s="2">
        <f t="shared" si="60"/>
        <v>1</v>
      </c>
      <c r="S435" s="7">
        <f t="shared" si="67"/>
        <v>1</v>
      </c>
      <c r="T435" s="157">
        <f t="shared" si="68"/>
        <v>1</v>
      </c>
      <c r="V435" s="191">
        <f t="shared" si="61"/>
        <v>3</v>
      </c>
      <c r="W435" s="7">
        <f t="shared" si="62"/>
        <v>2023</v>
      </c>
    </row>
    <row r="436" spans="1:23" ht="31.95" customHeight="1" thickBot="1" x14ac:dyDescent="0.35">
      <c r="A436" s="15">
        <f t="shared" si="63"/>
        <v>28</v>
      </c>
      <c r="B436" s="26">
        <v>45005</v>
      </c>
      <c r="C436" s="51">
        <f t="shared" si="69"/>
        <v>432</v>
      </c>
      <c r="D436" s="27" t="s">
        <v>871</v>
      </c>
      <c r="E436" s="26" t="s">
        <v>1302</v>
      </c>
      <c r="F436" s="28" t="s">
        <v>11</v>
      </c>
      <c r="G436" s="28" t="s">
        <v>11</v>
      </c>
      <c r="H436" s="254"/>
      <c r="I436" s="49">
        <v>28</v>
      </c>
      <c r="J436" s="49">
        <v>28</v>
      </c>
      <c r="K436" s="52">
        <f t="shared" si="64"/>
        <v>1</v>
      </c>
      <c r="L436" s="209">
        <f t="shared" si="65"/>
        <v>0</v>
      </c>
      <c r="M436" s="210">
        <f t="shared" si="66"/>
        <v>0</v>
      </c>
      <c r="N436" s="26">
        <v>45014</v>
      </c>
      <c r="O436" s="26">
        <v>45014</v>
      </c>
      <c r="P436" s="26">
        <v>45014</v>
      </c>
      <c r="Q436" s="2">
        <f t="shared" si="60"/>
        <v>1</v>
      </c>
      <c r="S436" s="7">
        <f t="shared" si="67"/>
        <v>1</v>
      </c>
      <c r="T436" s="157">
        <f t="shared" si="68"/>
        <v>1</v>
      </c>
      <c r="V436" s="191">
        <f t="shared" si="61"/>
        <v>3</v>
      </c>
      <c r="W436" s="7">
        <f t="shared" si="62"/>
        <v>2023</v>
      </c>
    </row>
    <row r="437" spans="1:23" ht="31.95" customHeight="1" thickBot="1" x14ac:dyDescent="0.35">
      <c r="A437" s="15">
        <f t="shared" si="63"/>
        <v>8</v>
      </c>
      <c r="B437" s="26">
        <v>45005</v>
      </c>
      <c r="C437" s="51">
        <f t="shared" si="69"/>
        <v>433</v>
      </c>
      <c r="D437" s="27" t="s">
        <v>652</v>
      </c>
      <c r="E437" s="26" t="s">
        <v>1302</v>
      </c>
      <c r="F437" s="28" t="s">
        <v>11</v>
      </c>
      <c r="G437" s="28" t="s">
        <v>11</v>
      </c>
      <c r="H437" s="254"/>
      <c r="I437" s="49">
        <v>8</v>
      </c>
      <c r="J437" s="49">
        <v>8</v>
      </c>
      <c r="K437" s="52">
        <f t="shared" si="64"/>
        <v>1</v>
      </c>
      <c r="L437" s="209">
        <f t="shared" si="65"/>
        <v>0</v>
      </c>
      <c r="M437" s="210">
        <f t="shared" si="66"/>
        <v>0</v>
      </c>
      <c r="N437" s="26">
        <v>45007</v>
      </c>
      <c r="O437" s="26">
        <v>45007</v>
      </c>
      <c r="P437" s="26">
        <v>45007</v>
      </c>
      <c r="Q437" s="2">
        <f t="shared" si="60"/>
        <v>1</v>
      </c>
      <c r="S437" s="7">
        <f t="shared" si="67"/>
        <v>1</v>
      </c>
      <c r="T437" s="157">
        <f t="shared" si="68"/>
        <v>1</v>
      </c>
      <c r="V437" s="191">
        <f t="shared" si="61"/>
        <v>3</v>
      </c>
      <c r="W437" s="7">
        <f t="shared" si="62"/>
        <v>2023</v>
      </c>
    </row>
    <row r="438" spans="1:23" ht="31.95" customHeight="1" thickBot="1" x14ac:dyDescent="0.35">
      <c r="A438" s="15">
        <f t="shared" si="63"/>
        <v>20</v>
      </c>
      <c r="B438" s="26">
        <v>45005</v>
      </c>
      <c r="C438" s="51">
        <f t="shared" si="69"/>
        <v>434</v>
      </c>
      <c r="D438" s="27" t="s">
        <v>524</v>
      </c>
      <c r="E438" s="26" t="s">
        <v>1303</v>
      </c>
      <c r="F438" s="28" t="s">
        <v>11</v>
      </c>
      <c r="G438" s="28" t="s">
        <v>11</v>
      </c>
      <c r="H438" s="254"/>
      <c r="I438" s="49">
        <v>20</v>
      </c>
      <c r="J438" s="49">
        <v>20</v>
      </c>
      <c r="K438" s="52">
        <f t="shared" si="64"/>
        <v>1</v>
      </c>
      <c r="L438" s="209">
        <f t="shared" si="65"/>
        <v>0</v>
      </c>
      <c r="M438" s="210">
        <f t="shared" si="66"/>
        <v>0</v>
      </c>
      <c r="N438" s="26">
        <v>45008</v>
      </c>
      <c r="O438" s="26">
        <v>45008</v>
      </c>
      <c r="P438" s="26">
        <v>45008</v>
      </c>
      <c r="Q438" s="2">
        <f t="shared" si="60"/>
        <v>1</v>
      </c>
      <c r="S438" s="7">
        <f t="shared" si="67"/>
        <v>1</v>
      </c>
      <c r="T438" s="157">
        <f t="shared" si="68"/>
        <v>1</v>
      </c>
      <c r="V438" s="191">
        <f t="shared" si="61"/>
        <v>3</v>
      </c>
      <c r="W438" s="7">
        <f t="shared" si="62"/>
        <v>2023</v>
      </c>
    </row>
    <row r="439" spans="1:23" ht="31.95" customHeight="1" thickBot="1" x14ac:dyDescent="0.35">
      <c r="A439" s="15">
        <f t="shared" si="63"/>
        <v>3</v>
      </c>
      <c r="B439" s="26">
        <v>45005</v>
      </c>
      <c r="C439" s="51">
        <f t="shared" si="69"/>
        <v>435</v>
      </c>
      <c r="D439" s="27" t="s">
        <v>1206</v>
      </c>
      <c r="E439" s="26" t="s">
        <v>11</v>
      </c>
      <c r="F439" s="28" t="s">
        <v>11</v>
      </c>
      <c r="G439" s="28" t="s">
        <v>11</v>
      </c>
      <c r="H439" s="254"/>
      <c r="I439" s="49">
        <v>3</v>
      </c>
      <c r="J439" s="49">
        <v>3</v>
      </c>
      <c r="K439" s="52">
        <f t="shared" si="64"/>
        <v>1</v>
      </c>
      <c r="L439" s="209">
        <f t="shared" si="65"/>
        <v>0</v>
      </c>
      <c r="M439" s="210">
        <f t="shared" si="66"/>
        <v>0</v>
      </c>
      <c r="N439" s="26">
        <v>45005</v>
      </c>
      <c r="O439" s="26">
        <v>45005</v>
      </c>
      <c r="P439" s="26">
        <v>45005</v>
      </c>
      <c r="Q439" s="2">
        <f t="shared" si="60"/>
        <v>1</v>
      </c>
      <c r="S439" s="7">
        <f t="shared" si="67"/>
        <v>1</v>
      </c>
      <c r="T439" s="157">
        <f t="shared" si="68"/>
        <v>1</v>
      </c>
      <c r="V439" s="191">
        <f t="shared" si="61"/>
        <v>3</v>
      </c>
      <c r="W439" s="7">
        <f t="shared" si="62"/>
        <v>2023</v>
      </c>
    </row>
    <row r="440" spans="1:23" ht="31.95" customHeight="1" thickBot="1" x14ac:dyDescent="0.35">
      <c r="A440" s="15">
        <f t="shared" si="63"/>
        <v>1</v>
      </c>
      <c r="B440" s="26">
        <v>45005</v>
      </c>
      <c r="C440" s="51">
        <f t="shared" si="69"/>
        <v>436</v>
      </c>
      <c r="D440" s="27" t="s">
        <v>705</v>
      </c>
      <c r="E440" s="26" t="s">
        <v>11</v>
      </c>
      <c r="F440" s="28" t="s">
        <v>11</v>
      </c>
      <c r="G440" s="28" t="s">
        <v>11</v>
      </c>
      <c r="H440" s="254"/>
      <c r="I440" s="49">
        <v>1</v>
      </c>
      <c r="J440" s="49">
        <v>1</v>
      </c>
      <c r="K440" s="52">
        <f t="shared" si="64"/>
        <v>1</v>
      </c>
      <c r="L440" s="209">
        <f t="shared" si="65"/>
        <v>0</v>
      </c>
      <c r="M440" s="210">
        <f t="shared" si="66"/>
        <v>0</v>
      </c>
      <c r="N440" s="26">
        <v>45006</v>
      </c>
      <c r="O440" s="26">
        <v>45006</v>
      </c>
      <c r="P440" s="26">
        <v>45006</v>
      </c>
      <c r="Q440" s="2">
        <f t="shared" si="60"/>
        <v>1</v>
      </c>
      <c r="S440" s="7">
        <f t="shared" si="67"/>
        <v>1</v>
      </c>
      <c r="T440" s="157">
        <f t="shared" si="68"/>
        <v>1</v>
      </c>
      <c r="V440" s="191">
        <f t="shared" si="61"/>
        <v>3</v>
      </c>
      <c r="W440" s="7">
        <f t="shared" si="62"/>
        <v>2023</v>
      </c>
    </row>
    <row r="441" spans="1:23" ht="31.95" customHeight="1" thickBot="1" x14ac:dyDescent="0.35">
      <c r="A441" s="15">
        <f t="shared" si="63"/>
        <v>5</v>
      </c>
      <c r="B441" s="26">
        <v>45005</v>
      </c>
      <c r="C441" s="51">
        <f t="shared" si="69"/>
        <v>437</v>
      </c>
      <c r="D441" s="27" t="s">
        <v>305</v>
      </c>
      <c r="E441" s="26" t="s">
        <v>11</v>
      </c>
      <c r="F441" s="28" t="s">
        <v>11</v>
      </c>
      <c r="G441" s="28" t="s">
        <v>11</v>
      </c>
      <c r="H441" s="254"/>
      <c r="I441" s="49">
        <v>5</v>
      </c>
      <c r="J441" s="49">
        <v>5</v>
      </c>
      <c r="K441" s="52">
        <f t="shared" si="64"/>
        <v>1</v>
      </c>
      <c r="L441" s="209">
        <f t="shared" si="65"/>
        <v>0</v>
      </c>
      <c r="M441" s="210">
        <f t="shared" si="66"/>
        <v>0</v>
      </c>
      <c r="N441" s="26">
        <v>45006</v>
      </c>
      <c r="O441" s="26">
        <v>45006</v>
      </c>
      <c r="P441" s="26">
        <v>45006</v>
      </c>
      <c r="Q441" s="2">
        <f t="shared" si="60"/>
        <v>1</v>
      </c>
      <c r="S441" s="7">
        <f t="shared" si="67"/>
        <v>1</v>
      </c>
      <c r="T441" s="157">
        <f t="shared" si="68"/>
        <v>1</v>
      </c>
      <c r="V441" s="191">
        <f t="shared" si="61"/>
        <v>3</v>
      </c>
      <c r="W441" s="7">
        <f t="shared" si="62"/>
        <v>2023</v>
      </c>
    </row>
    <row r="442" spans="1:23" ht="31.95" customHeight="1" thickBot="1" x14ac:dyDescent="0.35">
      <c r="A442" s="15">
        <f t="shared" si="63"/>
        <v>2</v>
      </c>
      <c r="B442" s="26">
        <v>45006</v>
      </c>
      <c r="C442" s="51">
        <f t="shared" si="69"/>
        <v>438</v>
      </c>
      <c r="D442" s="27" t="s">
        <v>978</v>
      </c>
      <c r="E442" s="26" t="s">
        <v>103</v>
      </c>
      <c r="F442" s="28" t="s">
        <v>11</v>
      </c>
      <c r="G442" s="28" t="s">
        <v>11</v>
      </c>
      <c r="H442" s="254"/>
      <c r="I442" s="49">
        <v>2</v>
      </c>
      <c r="J442" s="49">
        <v>2</v>
      </c>
      <c r="K442" s="52">
        <f t="shared" si="64"/>
        <v>1</v>
      </c>
      <c r="L442" s="209">
        <f t="shared" si="65"/>
        <v>0</v>
      </c>
      <c r="M442" s="210">
        <f t="shared" si="66"/>
        <v>0</v>
      </c>
      <c r="N442" s="26">
        <v>45007</v>
      </c>
      <c r="O442" s="26">
        <v>45007</v>
      </c>
      <c r="P442" s="26">
        <v>45007</v>
      </c>
      <c r="Q442" s="2">
        <f t="shared" si="60"/>
        <v>1</v>
      </c>
      <c r="S442" s="7">
        <f t="shared" si="67"/>
        <v>1</v>
      </c>
      <c r="T442" s="157">
        <f t="shared" si="68"/>
        <v>1</v>
      </c>
      <c r="V442" s="191">
        <f t="shared" si="61"/>
        <v>3</v>
      </c>
      <c r="W442" s="7">
        <f t="shared" si="62"/>
        <v>2023</v>
      </c>
    </row>
    <row r="443" spans="1:23" ht="31.95" customHeight="1" thickBot="1" x14ac:dyDescent="0.35">
      <c r="A443" s="15">
        <f t="shared" si="63"/>
        <v>6</v>
      </c>
      <c r="B443" s="26">
        <v>45007</v>
      </c>
      <c r="C443" s="51">
        <f t="shared" si="69"/>
        <v>439</v>
      </c>
      <c r="D443" s="27" t="s">
        <v>890</v>
      </c>
      <c r="E443" s="26" t="s">
        <v>102</v>
      </c>
      <c r="F443" s="28" t="s">
        <v>11</v>
      </c>
      <c r="G443" s="28" t="s">
        <v>11</v>
      </c>
      <c r="H443" s="254"/>
      <c r="I443" s="49">
        <v>6</v>
      </c>
      <c r="J443" s="49">
        <v>6</v>
      </c>
      <c r="K443" s="52">
        <f t="shared" si="64"/>
        <v>1</v>
      </c>
      <c r="L443" s="209">
        <f t="shared" si="65"/>
        <v>0</v>
      </c>
      <c r="M443" s="210">
        <f t="shared" si="66"/>
        <v>0</v>
      </c>
      <c r="N443" s="26">
        <v>45028</v>
      </c>
      <c r="O443" s="26">
        <v>45028</v>
      </c>
      <c r="P443" s="26">
        <v>45028</v>
      </c>
      <c r="Q443" s="2">
        <f t="shared" si="60"/>
        <v>1</v>
      </c>
      <c r="S443" s="7">
        <f t="shared" si="67"/>
        <v>1</v>
      </c>
      <c r="T443" s="157">
        <f t="shared" si="68"/>
        <v>1</v>
      </c>
      <c r="V443" s="191">
        <f t="shared" si="61"/>
        <v>3</v>
      </c>
      <c r="W443" s="7">
        <f t="shared" si="62"/>
        <v>2023</v>
      </c>
    </row>
    <row r="444" spans="1:23" ht="31.95" customHeight="1" thickBot="1" x14ac:dyDescent="0.35">
      <c r="A444" s="15">
        <f t="shared" si="63"/>
        <v>12</v>
      </c>
      <c r="B444" s="26">
        <v>45007</v>
      </c>
      <c r="C444" s="51">
        <f t="shared" si="69"/>
        <v>440</v>
      </c>
      <c r="D444" s="27" t="s">
        <v>871</v>
      </c>
      <c r="E444" s="26" t="s">
        <v>102</v>
      </c>
      <c r="F444" s="28" t="s">
        <v>11</v>
      </c>
      <c r="G444" s="28" t="s">
        <v>11</v>
      </c>
      <c r="H444" s="254"/>
      <c r="I444" s="49">
        <v>12</v>
      </c>
      <c r="J444" s="49">
        <v>12</v>
      </c>
      <c r="K444" s="52">
        <f t="shared" si="64"/>
        <v>1</v>
      </c>
      <c r="L444" s="209">
        <f t="shared" si="65"/>
        <v>0</v>
      </c>
      <c r="M444" s="210">
        <f t="shared" si="66"/>
        <v>0</v>
      </c>
      <c r="N444" s="26">
        <v>45014</v>
      </c>
      <c r="O444" s="26">
        <v>45014</v>
      </c>
      <c r="P444" s="26">
        <v>45014</v>
      </c>
      <c r="Q444" s="2">
        <f t="shared" si="60"/>
        <v>1</v>
      </c>
      <c r="S444" s="7">
        <f t="shared" si="67"/>
        <v>1</v>
      </c>
      <c r="T444" s="157">
        <f t="shared" si="68"/>
        <v>1</v>
      </c>
      <c r="V444" s="191">
        <f t="shared" si="61"/>
        <v>3</v>
      </c>
      <c r="W444" s="7">
        <f t="shared" si="62"/>
        <v>2023</v>
      </c>
    </row>
    <row r="445" spans="1:23" ht="31.95" customHeight="1" thickBot="1" x14ac:dyDescent="0.35">
      <c r="A445" s="15">
        <f t="shared" si="63"/>
        <v>2</v>
      </c>
      <c r="B445" s="26">
        <v>45007</v>
      </c>
      <c r="C445" s="51">
        <f t="shared" si="69"/>
        <v>441</v>
      </c>
      <c r="D445" s="27" t="s">
        <v>822</v>
      </c>
      <c r="E445" s="26" t="s">
        <v>102</v>
      </c>
      <c r="F445" s="28" t="s">
        <v>11</v>
      </c>
      <c r="G445" s="28" t="s">
        <v>11</v>
      </c>
      <c r="H445" s="254"/>
      <c r="I445" s="49">
        <v>2</v>
      </c>
      <c r="J445" s="49">
        <v>2</v>
      </c>
      <c r="K445" s="52">
        <f t="shared" si="64"/>
        <v>1</v>
      </c>
      <c r="L445" s="209">
        <f t="shared" si="65"/>
        <v>0</v>
      </c>
      <c r="M445" s="210">
        <f t="shared" si="66"/>
        <v>0</v>
      </c>
      <c r="N445" s="26">
        <v>45008</v>
      </c>
      <c r="O445" s="26">
        <v>45008</v>
      </c>
      <c r="P445" s="26">
        <v>45008</v>
      </c>
      <c r="Q445" s="2">
        <f t="shared" si="60"/>
        <v>1</v>
      </c>
      <c r="S445" s="7">
        <f t="shared" si="67"/>
        <v>1</v>
      </c>
      <c r="T445" s="157">
        <f t="shared" si="68"/>
        <v>1</v>
      </c>
      <c r="V445" s="191">
        <f t="shared" si="61"/>
        <v>3</v>
      </c>
      <c r="W445" s="7">
        <f t="shared" si="62"/>
        <v>2023</v>
      </c>
    </row>
    <row r="446" spans="1:23" ht="31.95" customHeight="1" thickBot="1" x14ac:dyDescent="0.35">
      <c r="A446" s="15">
        <f t="shared" si="63"/>
        <v>0</v>
      </c>
      <c r="B446" s="26">
        <v>45007</v>
      </c>
      <c r="C446" s="51">
        <f t="shared" si="69"/>
        <v>442</v>
      </c>
      <c r="D446" s="27"/>
      <c r="E446" s="26" t="s">
        <v>11</v>
      </c>
      <c r="F446" s="28" t="s">
        <v>11</v>
      </c>
      <c r="G446" s="28" t="s">
        <v>11</v>
      </c>
      <c r="H446" s="254"/>
      <c r="I446" s="49">
        <v>0</v>
      </c>
      <c r="J446" s="49">
        <v>0</v>
      </c>
      <c r="K446" s="52" t="str">
        <f t="shared" si="64"/>
        <v/>
      </c>
      <c r="L446" s="209">
        <f t="shared" si="65"/>
        <v>0</v>
      </c>
      <c r="M446" s="210" t="str">
        <f t="shared" si="66"/>
        <v/>
      </c>
      <c r="N446" s="28" t="s">
        <v>11</v>
      </c>
      <c r="O446" s="28" t="s">
        <v>11</v>
      </c>
      <c r="P446" s="28" t="s">
        <v>11</v>
      </c>
      <c r="Q446" s="2">
        <f t="shared" si="60"/>
        <v>1</v>
      </c>
      <c r="S446" s="7">
        <f t="shared" si="67"/>
        <v>1</v>
      </c>
      <c r="T446" s="157">
        <f t="shared" si="68"/>
        <v>1</v>
      </c>
      <c r="V446" s="191">
        <f t="shared" si="61"/>
        <v>3</v>
      </c>
      <c r="W446" s="7">
        <f t="shared" si="62"/>
        <v>2023</v>
      </c>
    </row>
    <row r="447" spans="1:23" ht="31.95" customHeight="1" thickBot="1" x14ac:dyDescent="0.35">
      <c r="A447" s="15">
        <f t="shared" si="63"/>
        <v>2</v>
      </c>
      <c r="B447" s="26">
        <v>45008</v>
      </c>
      <c r="C447" s="51">
        <f t="shared" si="69"/>
        <v>443</v>
      </c>
      <c r="D447" s="27" t="s">
        <v>1121</v>
      </c>
      <c r="E447" s="26" t="s">
        <v>11</v>
      </c>
      <c r="F447" s="28" t="s">
        <v>11</v>
      </c>
      <c r="G447" s="28" t="s">
        <v>11</v>
      </c>
      <c r="H447" s="254"/>
      <c r="I447" s="49">
        <v>2</v>
      </c>
      <c r="J447" s="49">
        <v>2</v>
      </c>
      <c r="K447" s="52">
        <f t="shared" si="64"/>
        <v>1</v>
      </c>
      <c r="L447" s="209">
        <f t="shared" si="65"/>
        <v>0</v>
      </c>
      <c r="M447" s="210">
        <f t="shared" si="66"/>
        <v>0</v>
      </c>
      <c r="N447" s="26">
        <v>45015</v>
      </c>
      <c r="O447" s="26">
        <v>45015</v>
      </c>
      <c r="P447" s="26">
        <v>45015</v>
      </c>
      <c r="Q447" s="2">
        <f t="shared" si="60"/>
        <v>1</v>
      </c>
      <c r="S447" s="7">
        <f t="shared" si="67"/>
        <v>1</v>
      </c>
      <c r="T447" s="157">
        <f t="shared" si="68"/>
        <v>1</v>
      </c>
      <c r="V447" s="191">
        <f t="shared" si="61"/>
        <v>3</v>
      </c>
      <c r="W447" s="7">
        <f t="shared" si="62"/>
        <v>2023</v>
      </c>
    </row>
    <row r="448" spans="1:23" ht="31.95" customHeight="1" thickBot="1" x14ac:dyDescent="0.35">
      <c r="A448" s="15">
        <f t="shared" si="63"/>
        <v>1</v>
      </c>
      <c r="B448" s="26">
        <v>45008</v>
      </c>
      <c r="C448" s="51">
        <f t="shared" si="69"/>
        <v>444</v>
      </c>
      <c r="D448" s="27" t="s">
        <v>524</v>
      </c>
      <c r="E448" s="26" t="s">
        <v>1302</v>
      </c>
      <c r="F448" s="28" t="s">
        <v>11</v>
      </c>
      <c r="G448" s="28" t="s">
        <v>11</v>
      </c>
      <c r="H448" s="254"/>
      <c r="I448" s="49">
        <v>1</v>
      </c>
      <c r="J448" s="49">
        <v>1</v>
      </c>
      <c r="K448" s="52">
        <f t="shared" si="64"/>
        <v>1</v>
      </c>
      <c r="L448" s="209">
        <f t="shared" si="65"/>
        <v>0</v>
      </c>
      <c r="M448" s="210">
        <f t="shared" si="66"/>
        <v>0</v>
      </c>
      <c r="N448" s="26">
        <v>45015</v>
      </c>
      <c r="O448" s="26">
        <v>45015</v>
      </c>
      <c r="P448" s="26">
        <v>45015</v>
      </c>
      <c r="Q448" s="2">
        <f t="shared" si="60"/>
        <v>1</v>
      </c>
      <c r="S448" s="7">
        <f t="shared" si="67"/>
        <v>1</v>
      </c>
      <c r="T448" s="157">
        <f t="shared" si="68"/>
        <v>1</v>
      </c>
      <c r="V448" s="191">
        <f t="shared" si="61"/>
        <v>3</v>
      </c>
      <c r="W448" s="7">
        <f t="shared" si="62"/>
        <v>2023</v>
      </c>
    </row>
    <row r="449" spans="1:23" ht="31.95" customHeight="1" thickBot="1" x14ac:dyDescent="0.35">
      <c r="A449" s="15">
        <f t="shared" si="63"/>
        <v>6</v>
      </c>
      <c r="B449" s="26">
        <v>45009</v>
      </c>
      <c r="C449" s="51">
        <f t="shared" si="69"/>
        <v>445</v>
      </c>
      <c r="D449" s="27" t="s">
        <v>858</v>
      </c>
      <c r="E449" s="26" t="s">
        <v>1304</v>
      </c>
      <c r="F449" s="28" t="s">
        <v>11</v>
      </c>
      <c r="G449" s="28" t="s">
        <v>11</v>
      </c>
      <c r="H449" s="254"/>
      <c r="I449" s="49">
        <v>6</v>
      </c>
      <c r="J449" s="49">
        <v>6</v>
      </c>
      <c r="K449" s="52">
        <f t="shared" si="64"/>
        <v>1</v>
      </c>
      <c r="L449" s="209">
        <f t="shared" si="65"/>
        <v>0</v>
      </c>
      <c r="M449" s="210">
        <f t="shared" si="66"/>
        <v>0</v>
      </c>
      <c r="N449" s="26">
        <v>45009</v>
      </c>
      <c r="O449" s="26">
        <v>45009</v>
      </c>
      <c r="P449" s="26">
        <v>45009</v>
      </c>
      <c r="Q449" s="2">
        <f t="shared" si="60"/>
        <v>1</v>
      </c>
      <c r="S449" s="7">
        <f t="shared" si="67"/>
        <v>1</v>
      </c>
      <c r="T449" s="157">
        <f t="shared" si="68"/>
        <v>1</v>
      </c>
      <c r="V449" s="191">
        <f t="shared" si="61"/>
        <v>3</v>
      </c>
      <c r="W449" s="7">
        <f t="shared" si="62"/>
        <v>2023</v>
      </c>
    </row>
    <row r="450" spans="1:23" ht="31.95" customHeight="1" thickBot="1" x14ac:dyDescent="0.35">
      <c r="A450" s="15">
        <f t="shared" si="63"/>
        <v>3</v>
      </c>
      <c r="B450" s="26">
        <v>45009</v>
      </c>
      <c r="C450" s="51">
        <f t="shared" si="69"/>
        <v>446</v>
      </c>
      <c r="D450" s="27" t="s">
        <v>305</v>
      </c>
      <c r="E450" s="26" t="s">
        <v>1304</v>
      </c>
      <c r="F450" s="28" t="s">
        <v>11</v>
      </c>
      <c r="G450" s="28" t="s">
        <v>11</v>
      </c>
      <c r="H450" s="254"/>
      <c r="I450" s="49">
        <v>3</v>
      </c>
      <c r="J450" s="49">
        <v>3</v>
      </c>
      <c r="K450" s="52">
        <f t="shared" si="64"/>
        <v>1</v>
      </c>
      <c r="L450" s="209">
        <f t="shared" si="65"/>
        <v>0</v>
      </c>
      <c r="M450" s="210">
        <f t="shared" si="66"/>
        <v>0</v>
      </c>
      <c r="N450" s="26">
        <v>45009</v>
      </c>
      <c r="O450" s="26">
        <v>45009</v>
      </c>
      <c r="P450" s="26">
        <v>45009</v>
      </c>
      <c r="Q450" s="2">
        <f t="shared" si="60"/>
        <v>1</v>
      </c>
      <c r="S450" s="7">
        <f t="shared" si="67"/>
        <v>1</v>
      </c>
      <c r="T450" s="157">
        <f t="shared" si="68"/>
        <v>1</v>
      </c>
      <c r="V450" s="191">
        <f t="shared" si="61"/>
        <v>3</v>
      </c>
      <c r="W450" s="7">
        <f t="shared" si="62"/>
        <v>2023</v>
      </c>
    </row>
    <row r="451" spans="1:23" ht="31.95" customHeight="1" thickBot="1" x14ac:dyDescent="0.35">
      <c r="A451" s="15">
        <f t="shared" si="63"/>
        <v>3</v>
      </c>
      <c r="B451" s="26">
        <v>45009</v>
      </c>
      <c r="C451" s="51">
        <f t="shared" si="69"/>
        <v>447</v>
      </c>
      <c r="D451" s="27" t="s">
        <v>705</v>
      </c>
      <c r="E451" s="26" t="s">
        <v>1304</v>
      </c>
      <c r="F451" s="28" t="s">
        <v>11</v>
      </c>
      <c r="G451" s="28" t="s">
        <v>11</v>
      </c>
      <c r="H451" s="254"/>
      <c r="I451" s="49">
        <v>3</v>
      </c>
      <c r="J451" s="49">
        <v>3</v>
      </c>
      <c r="K451" s="52">
        <f t="shared" si="64"/>
        <v>1</v>
      </c>
      <c r="L451" s="209">
        <f t="shared" si="65"/>
        <v>0</v>
      </c>
      <c r="M451" s="210">
        <f t="shared" si="66"/>
        <v>0</v>
      </c>
      <c r="N451" s="26">
        <v>45009</v>
      </c>
      <c r="O451" s="26">
        <v>45009</v>
      </c>
      <c r="P451" s="26">
        <v>45009</v>
      </c>
      <c r="Q451" s="2">
        <f t="shared" si="60"/>
        <v>1</v>
      </c>
      <c r="S451" s="7">
        <f t="shared" si="67"/>
        <v>1</v>
      </c>
      <c r="T451" s="157">
        <f t="shared" si="68"/>
        <v>1</v>
      </c>
      <c r="V451" s="191">
        <f t="shared" si="61"/>
        <v>3</v>
      </c>
      <c r="W451" s="7">
        <f t="shared" si="62"/>
        <v>2023</v>
      </c>
    </row>
    <row r="452" spans="1:23" ht="31.95" customHeight="1" thickBot="1" x14ac:dyDescent="0.35">
      <c r="A452" s="15">
        <f t="shared" si="63"/>
        <v>1</v>
      </c>
      <c r="B452" s="26">
        <v>45009</v>
      </c>
      <c r="C452" s="51">
        <f t="shared" si="69"/>
        <v>448</v>
      </c>
      <c r="D452" s="27" t="s">
        <v>858</v>
      </c>
      <c r="E452" s="26" t="s">
        <v>1304</v>
      </c>
      <c r="F452" s="28" t="s">
        <v>11</v>
      </c>
      <c r="G452" s="28" t="s">
        <v>11</v>
      </c>
      <c r="H452" s="254"/>
      <c r="I452" s="49">
        <v>1</v>
      </c>
      <c r="J452" s="49">
        <v>1</v>
      </c>
      <c r="K452" s="52">
        <f t="shared" si="64"/>
        <v>1</v>
      </c>
      <c r="L452" s="209">
        <f t="shared" si="65"/>
        <v>0</v>
      </c>
      <c r="M452" s="210">
        <f t="shared" si="66"/>
        <v>0</v>
      </c>
      <c r="N452" s="26">
        <v>45009</v>
      </c>
      <c r="O452" s="26">
        <v>45009</v>
      </c>
      <c r="P452" s="26">
        <v>45009</v>
      </c>
      <c r="Q452" s="2">
        <f t="shared" si="60"/>
        <v>1</v>
      </c>
      <c r="S452" s="7">
        <f t="shared" si="67"/>
        <v>1</v>
      </c>
      <c r="T452" s="157">
        <f t="shared" si="68"/>
        <v>1</v>
      </c>
      <c r="V452" s="191">
        <f t="shared" si="61"/>
        <v>3</v>
      </c>
      <c r="W452" s="7">
        <f t="shared" si="62"/>
        <v>2023</v>
      </c>
    </row>
    <row r="453" spans="1:23" ht="31.95" customHeight="1" thickBot="1" x14ac:dyDescent="0.35">
      <c r="A453" s="15">
        <f t="shared" si="63"/>
        <v>2</v>
      </c>
      <c r="B453" s="26">
        <v>45009</v>
      </c>
      <c r="C453" s="51">
        <f t="shared" si="69"/>
        <v>449</v>
      </c>
      <c r="D453" s="27" t="s">
        <v>705</v>
      </c>
      <c r="E453" s="26" t="s">
        <v>11</v>
      </c>
      <c r="F453" s="28" t="s">
        <v>11</v>
      </c>
      <c r="G453" s="28" t="s">
        <v>11</v>
      </c>
      <c r="H453" s="254"/>
      <c r="I453" s="49">
        <v>2</v>
      </c>
      <c r="J453" s="49">
        <v>2</v>
      </c>
      <c r="K453" s="52">
        <f t="shared" si="64"/>
        <v>1</v>
      </c>
      <c r="L453" s="209">
        <f t="shared" si="65"/>
        <v>0</v>
      </c>
      <c r="M453" s="210">
        <f t="shared" si="66"/>
        <v>0</v>
      </c>
      <c r="N453" s="26">
        <v>45009</v>
      </c>
      <c r="O453" s="26">
        <v>45009</v>
      </c>
      <c r="P453" s="26">
        <v>45009</v>
      </c>
      <c r="Q453" s="2">
        <f t="shared" ref="Q453:Q516" si="70">IF(B453&lt;&gt;"",1,0)</f>
        <v>1</v>
      </c>
      <c r="S453" s="7">
        <f t="shared" si="67"/>
        <v>1</v>
      </c>
      <c r="T453" s="157">
        <f t="shared" si="68"/>
        <v>1</v>
      </c>
      <c r="V453" s="191">
        <f t="shared" ref="V453:V516" si="71">MONTH(B453)</f>
        <v>3</v>
      </c>
      <c r="W453" s="7">
        <f t="shared" ref="W453:W516" si="72">YEAR(B453)</f>
        <v>2023</v>
      </c>
    </row>
    <row r="454" spans="1:23" ht="31.95" customHeight="1" thickBot="1" x14ac:dyDescent="0.35">
      <c r="A454" s="15">
        <f t="shared" ref="A454:A517" si="73">J454</f>
        <v>4</v>
      </c>
      <c r="B454" s="26">
        <v>45009</v>
      </c>
      <c r="C454" s="51">
        <f t="shared" si="69"/>
        <v>450</v>
      </c>
      <c r="D454" s="27" t="s">
        <v>822</v>
      </c>
      <c r="E454" s="26" t="s">
        <v>1302</v>
      </c>
      <c r="F454" s="28" t="s">
        <v>11</v>
      </c>
      <c r="G454" s="28" t="s">
        <v>11</v>
      </c>
      <c r="H454" s="254"/>
      <c r="I454" s="49">
        <v>4</v>
      </c>
      <c r="J454" s="49">
        <v>4</v>
      </c>
      <c r="K454" s="52">
        <f t="shared" ref="K454:K517" si="74">IFERROR(J454/I454,"")</f>
        <v>1</v>
      </c>
      <c r="L454" s="209">
        <f t="shared" ref="L454:L517" si="75">IF(I454="","",I454-J454)</f>
        <v>0</v>
      </c>
      <c r="M454" s="210">
        <f t="shared" ref="M454:M517" si="76">IFERROR(1-K454,"")</f>
        <v>0</v>
      </c>
      <c r="N454" s="26">
        <v>45012</v>
      </c>
      <c r="O454" s="26">
        <v>45012</v>
      </c>
      <c r="P454" s="26">
        <v>45012</v>
      </c>
      <c r="Q454" s="2">
        <f t="shared" si="70"/>
        <v>1</v>
      </c>
      <c r="S454" s="7">
        <f t="shared" ref="S454:S517" si="77">IF(AND(O454&lt;=N454,O454&lt;&gt;""),1,0)</f>
        <v>1</v>
      </c>
      <c r="T454" s="157">
        <f t="shared" ref="T454:T517" si="78">IF(AND(P454&lt;=N454,P454&lt;&gt;""),1,0)</f>
        <v>1</v>
      </c>
      <c r="V454" s="191">
        <f t="shared" si="71"/>
        <v>3</v>
      </c>
      <c r="W454" s="7">
        <f t="shared" si="72"/>
        <v>2023</v>
      </c>
    </row>
    <row r="455" spans="1:23" ht="31.95" customHeight="1" thickBot="1" x14ac:dyDescent="0.35">
      <c r="A455" s="15">
        <f t="shared" si="73"/>
        <v>1</v>
      </c>
      <c r="B455" s="26">
        <v>45014</v>
      </c>
      <c r="C455" s="51">
        <f t="shared" ref="C455:C518" si="79">IF(B455&lt;&gt;"",C454+1,"")</f>
        <v>451</v>
      </c>
      <c r="D455" s="27" t="s">
        <v>945</v>
      </c>
      <c r="E455" s="26" t="s">
        <v>11</v>
      </c>
      <c r="F455" s="28" t="s">
        <v>11</v>
      </c>
      <c r="G455" s="28" t="s">
        <v>11</v>
      </c>
      <c r="H455" s="254"/>
      <c r="I455" s="49">
        <v>1</v>
      </c>
      <c r="J455" s="49">
        <v>1</v>
      </c>
      <c r="K455" s="52">
        <f t="shared" si="74"/>
        <v>1</v>
      </c>
      <c r="L455" s="209">
        <f t="shared" si="75"/>
        <v>0</v>
      </c>
      <c r="M455" s="210">
        <f t="shared" si="76"/>
        <v>0</v>
      </c>
      <c r="N455" s="26">
        <v>45018</v>
      </c>
      <c r="O455" s="26">
        <v>45018</v>
      </c>
      <c r="P455" s="26">
        <v>45018</v>
      </c>
      <c r="Q455" s="2">
        <f t="shared" si="70"/>
        <v>1</v>
      </c>
      <c r="S455" s="7">
        <f t="shared" si="77"/>
        <v>1</v>
      </c>
      <c r="T455" s="157">
        <f t="shared" si="78"/>
        <v>1</v>
      </c>
      <c r="V455" s="191">
        <f t="shared" si="71"/>
        <v>3</v>
      </c>
      <c r="W455" s="7">
        <f t="shared" si="72"/>
        <v>2023</v>
      </c>
    </row>
    <row r="456" spans="1:23" ht="31.95" customHeight="1" thickBot="1" x14ac:dyDescent="0.35">
      <c r="A456" s="15">
        <f t="shared" si="73"/>
        <v>2</v>
      </c>
      <c r="B456" s="26">
        <v>45014</v>
      </c>
      <c r="C456" s="51">
        <f t="shared" si="79"/>
        <v>452</v>
      </c>
      <c r="D456" s="27" t="s">
        <v>305</v>
      </c>
      <c r="E456" s="26" t="s">
        <v>11</v>
      </c>
      <c r="F456" s="28" t="s">
        <v>11</v>
      </c>
      <c r="G456" s="28" t="s">
        <v>11</v>
      </c>
      <c r="H456" s="254"/>
      <c r="I456" s="49">
        <v>2</v>
      </c>
      <c r="J456" s="49">
        <v>2</v>
      </c>
      <c r="K456" s="52">
        <f t="shared" si="74"/>
        <v>1</v>
      </c>
      <c r="L456" s="209">
        <f t="shared" si="75"/>
        <v>0</v>
      </c>
      <c r="M456" s="210">
        <f t="shared" si="76"/>
        <v>0</v>
      </c>
      <c r="N456" s="28">
        <v>45015</v>
      </c>
      <c r="O456" s="26">
        <v>45015</v>
      </c>
      <c r="P456" s="26">
        <v>45015</v>
      </c>
      <c r="Q456" s="2">
        <f t="shared" si="70"/>
        <v>1</v>
      </c>
      <c r="S456" s="7">
        <f t="shared" si="77"/>
        <v>1</v>
      </c>
      <c r="T456" s="157">
        <f t="shared" si="78"/>
        <v>1</v>
      </c>
      <c r="V456" s="191">
        <f t="shared" si="71"/>
        <v>3</v>
      </c>
      <c r="W456" s="7">
        <f t="shared" si="72"/>
        <v>2023</v>
      </c>
    </row>
    <row r="457" spans="1:23" ht="31.95" customHeight="1" thickBot="1" x14ac:dyDescent="0.35">
      <c r="A457" s="15">
        <f t="shared" si="73"/>
        <v>4</v>
      </c>
      <c r="B457" s="26">
        <v>45014</v>
      </c>
      <c r="C457" s="51">
        <f t="shared" si="79"/>
        <v>453</v>
      </c>
      <c r="D457" s="27" t="s">
        <v>705</v>
      </c>
      <c r="E457" s="26" t="s">
        <v>11</v>
      </c>
      <c r="F457" s="28" t="s">
        <v>11</v>
      </c>
      <c r="G457" s="28" t="s">
        <v>11</v>
      </c>
      <c r="H457" s="254"/>
      <c r="I457" s="49">
        <v>4</v>
      </c>
      <c r="J457" s="49">
        <v>4</v>
      </c>
      <c r="K457" s="52">
        <f t="shared" si="74"/>
        <v>1</v>
      </c>
      <c r="L457" s="209">
        <f t="shared" si="75"/>
        <v>0</v>
      </c>
      <c r="M457" s="210">
        <f t="shared" si="76"/>
        <v>0</v>
      </c>
      <c r="N457" s="26">
        <v>45015</v>
      </c>
      <c r="O457" s="26">
        <v>45015</v>
      </c>
      <c r="P457" s="26">
        <v>45015</v>
      </c>
      <c r="Q457" s="2">
        <f t="shared" si="70"/>
        <v>1</v>
      </c>
      <c r="S457" s="7">
        <f t="shared" si="77"/>
        <v>1</v>
      </c>
      <c r="T457" s="157">
        <f t="shared" si="78"/>
        <v>1</v>
      </c>
      <c r="V457" s="191">
        <f t="shared" si="71"/>
        <v>3</v>
      </c>
      <c r="W457" s="7">
        <f t="shared" si="72"/>
        <v>2023</v>
      </c>
    </row>
    <row r="458" spans="1:23" ht="31.95" customHeight="1" thickBot="1" x14ac:dyDescent="0.35">
      <c r="A458" s="15">
        <f t="shared" si="73"/>
        <v>2</v>
      </c>
      <c r="B458" s="26">
        <v>45016</v>
      </c>
      <c r="C458" s="51">
        <f t="shared" si="79"/>
        <v>454</v>
      </c>
      <c r="D458" s="27" t="s">
        <v>269</v>
      </c>
      <c r="E458" s="26" t="s">
        <v>11</v>
      </c>
      <c r="F458" s="28" t="s">
        <v>11</v>
      </c>
      <c r="G458" s="28" t="s">
        <v>11</v>
      </c>
      <c r="H458" s="254"/>
      <c r="I458" s="49">
        <v>2</v>
      </c>
      <c r="J458" s="49">
        <v>2</v>
      </c>
      <c r="K458" s="52">
        <f t="shared" si="74"/>
        <v>1</v>
      </c>
      <c r="L458" s="209">
        <f t="shared" si="75"/>
        <v>0</v>
      </c>
      <c r="M458" s="210">
        <f t="shared" si="76"/>
        <v>0</v>
      </c>
      <c r="N458" s="26">
        <v>45016</v>
      </c>
      <c r="O458" s="26">
        <v>45016</v>
      </c>
      <c r="P458" s="26">
        <v>45016</v>
      </c>
      <c r="Q458" s="2">
        <f t="shared" si="70"/>
        <v>1</v>
      </c>
      <c r="S458" s="7">
        <f t="shared" si="77"/>
        <v>1</v>
      </c>
      <c r="T458" s="157">
        <f t="shared" si="78"/>
        <v>1</v>
      </c>
      <c r="V458" s="191">
        <f t="shared" si="71"/>
        <v>3</v>
      </c>
      <c r="W458" s="7">
        <f t="shared" si="72"/>
        <v>2023</v>
      </c>
    </row>
    <row r="459" spans="1:23" ht="31.95" customHeight="1" thickBot="1" x14ac:dyDescent="0.35">
      <c r="A459" s="15">
        <f t="shared" si="73"/>
        <v>4</v>
      </c>
      <c r="B459" s="26">
        <v>45016</v>
      </c>
      <c r="C459" s="51">
        <f t="shared" si="79"/>
        <v>455</v>
      </c>
      <c r="D459" s="27" t="s">
        <v>1206</v>
      </c>
      <c r="E459" s="26" t="s">
        <v>46</v>
      </c>
      <c r="F459" s="28" t="s">
        <v>11</v>
      </c>
      <c r="G459" s="28" t="s">
        <v>11</v>
      </c>
      <c r="H459" s="254"/>
      <c r="I459" s="49">
        <v>4</v>
      </c>
      <c r="J459" s="49">
        <v>4</v>
      </c>
      <c r="K459" s="52">
        <f t="shared" si="74"/>
        <v>1</v>
      </c>
      <c r="L459" s="209">
        <f t="shared" si="75"/>
        <v>0</v>
      </c>
      <c r="M459" s="210">
        <f t="shared" si="76"/>
        <v>0</v>
      </c>
      <c r="N459" s="26">
        <v>45016</v>
      </c>
      <c r="O459" s="26">
        <v>45016</v>
      </c>
      <c r="P459" s="26">
        <v>45016</v>
      </c>
      <c r="Q459" s="2">
        <f t="shared" si="70"/>
        <v>1</v>
      </c>
      <c r="S459" s="7">
        <f t="shared" si="77"/>
        <v>1</v>
      </c>
      <c r="T459" s="157">
        <f t="shared" si="78"/>
        <v>1</v>
      </c>
      <c r="V459" s="191">
        <f t="shared" si="71"/>
        <v>3</v>
      </c>
      <c r="W459" s="7">
        <f t="shared" si="72"/>
        <v>2023</v>
      </c>
    </row>
    <row r="460" spans="1:23" ht="31.95" customHeight="1" thickBot="1" x14ac:dyDescent="0.35">
      <c r="A460" s="15">
        <f t="shared" si="73"/>
        <v>4</v>
      </c>
      <c r="B460" s="26">
        <v>45016</v>
      </c>
      <c r="C460" s="51">
        <f t="shared" si="79"/>
        <v>456</v>
      </c>
      <c r="D460" s="27" t="s">
        <v>269</v>
      </c>
      <c r="E460" s="26" t="s">
        <v>11</v>
      </c>
      <c r="F460" s="28" t="s">
        <v>11</v>
      </c>
      <c r="G460" s="28" t="s">
        <v>11</v>
      </c>
      <c r="H460" s="254"/>
      <c r="I460" s="49">
        <v>4</v>
      </c>
      <c r="J460" s="49">
        <v>4</v>
      </c>
      <c r="K460" s="52">
        <f t="shared" si="74"/>
        <v>1</v>
      </c>
      <c r="L460" s="209">
        <f t="shared" si="75"/>
        <v>0</v>
      </c>
      <c r="M460" s="210">
        <f t="shared" si="76"/>
        <v>0</v>
      </c>
      <c r="N460" s="26">
        <v>45016</v>
      </c>
      <c r="O460" s="26">
        <v>45016</v>
      </c>
      <c r="P460" s="26">
        <v>45016</v>
      </c>
      <c r="Q460" s="2">
        <f t="shared" si="70"/>
        <v>1</v>
      </c>
      <c r="S460" s="7">
        <f t="shared" si="77"/>
        <v>1</v>
      </c>
      <c r="T460" s="157">
        <f t="shared" si="78"/>
        <v>1</v>
      </c>
      <c r="V460" s="191">
        <f t="shared" si="71"/>
        <v>3</v>
      </c>
      <c r="W460" s="7">
        <f t="shared" si="72"/>
        <v>2023</v>
      </c>
    </row>
    <row r="461" spans="1:23" ht="31.95" customHeight="1" thickBot="1" x14ac:dyDescent="0.35">
      <c r="A461" s="15">
        <f t="shared" si="73"/>
        <v>5</v>
      </c>
      <c r="B461" s="26">
        <v>45020</v>
      </c>
      <c r="C461" s="51">
        <f t="shared" si="79"/>
        <v>457</v>
      </c>
      <c r="D461" s="27" t="s">
        <v>524</v>
      </c>
      <c r="E461" s="26" t="s">
        <v>64</v>
      </c>
      <c r="F461" s="28" t="s">
        <v>11</v>
      </c>
      <c r="G461" s="28" t="s">
        <v>11</v>
      </c>
      <c r="H461" s="254"/>
      <c r="I461" s="49">
        <v>5</v>
      </c>
      <c r="J461" s="49">
        <v>5</v>
      </c>
      <c r="K461" s="52">
        <f t="shared" si="74"/>
        <v>1</v>
      </c>
      <c r="L461" s="209">
        <f t="shared" si="75"/>
        <v>0</v>
      </c>
      <c r="M461" s="210">
        <f t="shared" si="76"/>
        <v>0</v>
      </c>
      <c r="N461" s="26">
        <v>45027</v>
      </c>
      <c r="O461" s="26">
        <v>45027</v>
      </c>
      <c r="P461" s="26">
        <v>45027</v>
      </c>
      <c r="Q461" s="2">
        <f t="shared" si="70"/>
        <v>1</v>
      </c>
      <c r="S461" s="7">
        <f t="shared" si="77"/>
        <v>1</v>
      </c>
      <c r="T461" s="157">
        <f t="shared" si="78"/>
        <v>1</v>
      </c>
      <c r="V461" s="191">
        <f t="shared" si="71"/>
        <v>4</v>
      </c>
      <c r="W461" s="7">
        <f t="shared" si="72"/>
        <v>2023</v>
      </c>
    </row>
    <row r="462" spans="1:23" ht="31.95" customHeight="1" thickBot="1" x14ac:dyDescent="0.35">
      <c r="A462" s="15">
        <f t="shared" si="73"/>
        <v>7</v>
      </c>
      <c r="B462" s="26">
        <v>45020</v>
      </c>
      <c r="C462" s="51">
        <f t="shared" si="79"/>
        <v>458</v>
      </c>
      <c r="D462" s="27" t="s">
        <v>871</v>
      </c>
      <c r="E462" s="26" t="s">
        <v>64</v>
      </c>
      <c r="F462" s="28" t="s">
        <v>11</v>
      </c>
      <c r="G462" s="28" t="s">
        <v>11</v>
      </c>
      <c r="H462" s="254"/>
      <c r="I462" s="49">
        <v>7</v>
      </c>
      <c r="J462" s="49">
        <v>7</v>
      </c>
      <c r="K462" s="52">
        <f t="shared" si="74"/>
        <v>1</v>
      </c>
      <c r="L462" s="209">
        <f t="shared" si="75"/>
        <v>0</v>
      </c>
      <c r="M462" s="210">
        <f t="shared" si="76"/>
        <v>0</v>
      </c>
      <c r="N462" s="26">
        <v>45027</v>
      </c>
      <c r="O462" s="26">
        <v>45027</v>
      </c>
      <c r="P462" s="26">
        <v>45027</v>
      </c>
      <c r="Q462" s="2">
        <f t="shared" si="70"/>
        <v>1</v>
      </c>
      <c r="S462" s="7">
        <f t="shared" si="77"/>
        <v>1</v>
      </c>
      <c r="T462" s="157">
        <f t="shared" si="78"/>
        <v>1</v>
      </c>
      <c r="V462" s="191">
        <f t="shared" si="71"/>
        <v>4</v>
      </c>
      <c r="W462" s="7">
        <f t="shared" si="72"/>
        <v>2023</v>
      </c>
    </row>
    <row r="463" spans="1:23" ht="31.95" customHeight="1" thickBot="1" x14ac:dyDescent="0.35">
      <c r="A463" s="15">
        <f t="shared" si="73"/>
        <v>1</v>
      </c>
      <c r="B463" s="26">
        <v>45020</v>
      </c>
      <c r="C463" s="51">
        <f t="shared" si="79"/>
        <v>459</v>
      </c>
      <c r="D463" s="27" t="s">
        <v>1150</v>
      </c>
      <c r="E463" s="26" t="s">
        <v>64</v>
      </c>
      <c r="F463" s="28" t="s">
        <v>11</v>
      </c>
      <c r="G463" s="28" t="s">
        <v>11</v>
      </c>
      <c r="H463" s="254"/>
      <c r="I463" s="49">
        <v>1</v>
      </c>
      <c r="J463" s="49">
        <v>1</v>
      </c>
      <c r="K463" s="52">
        <f t="shared" si="74"/>
        <v>1</v>
      </c>
      <c r="L463" s="209">
        <f t="shared" si="75"/>
        <v>0</v>
      </c>
      <c r="M463" s="210">
        <f t="shared" si="76"/>
        <v>0</v>
      </c>
      <c r="N463" s="26">
        <v>45021</v>
      </c>
      <c r="O463" s="26">
        <v>45021</v>
      </c>
      <c r="P463" s="26">
        <v>45021</v>
      </c>
      <c r="Q463" s="2">
        <f t="shared" si="70"/>
        <v>1</v>
      </c>
      <c r="S463" s="7">
        <f t="shared" si="77"/>
        <v>1</v>
      </c>
      <c r="T463" s="157">
        <f t="shared" si="78"/>
        <v>1</v>
      </c>
      <c r="V463" s="191">
        <f t="shared" si="71"/>
        <v>4</v>
      </c>
      <c r="W463" s="7">
        <f t="shared" si="72"/>
        <v>2023</v>
      </c>
    </row>
    <row r="464" spans="1:23" ht="31.95" customHeight="1" thickBot="1" x14ac:dyDescent="0.35">
      <c r="A464" s="15">
        <f t="shared" si="73"/>
        <v>4</v>
      </c>
      <c r="B464" s="26">
        <v>45020</v>
      </c>
      <c r="C464" s="51">
        <f t="shared" si="79"/>
        <v>460</v>
      </c>
      <c r="D464" s="27" t="s">
        <v>269</v>
      </c>
      <c r="E464" s="26" t="s">
        <v>11</v>
      </c>
      <c r="F464" s="28" t="s">
        <v>11</v>
      </c>
      <c r="G464" s="28" t="s">
        <v>11</v>
      </c>
      <c r="H464" s="254"/>
      <c r="I464" s="49">
        <v>4</v>
      </c>
      <c r="J464" s="49">
        <v>4</v>
      </c>
      <c r="K464" s="52">
        <f t="shared" si="74"/>
        <v>1</v>
      </c>
      <c r="L464" s="209">
        <f t="shared" si="75"/>
        <v>0</v>
      </c>
      <c r="M464" s="210">
        <f t="shared" si="76"/>
        <v>0</v>
      </c>
      <c r="N464" s="26">
        <v>45020</v>
      </c>
      <c r="O464" s="26">
        <v>45020</v>
      </c>
      <c r="P464" s="26">
        <v>45020</v>
      </c>
      <c r="Q464" s="2">
        <f t="shared" si="70"/>
        <v>1</v>
      </c>
      <c r="S464" s="7">
        <f t="shared" si="77"/>
        <v>1</v>
      </c>
      <c r="T464" s="157">
        <f t="shared" si="78"/>
        <v>1</v>
      </c>
      <c r="V464" s="191">
        <f t="shared" si="71"/>
        <v>4</v>
      </c>
      <c r="W464" s="7">
        <f t="shared" si="72"/>
        <v>2023</v>
      </c>
    </row>
    <row r="465" spans="1:23" ht="31.95" customHeight="1" thickBot="1" x14ac:dyDescent="0.35">
      <c r="A465" s="15">
        <f t="shared" si="73"/>
        <v>2</v>
      </c>
      <c r="B465" s="26">
        <v>45020</v>
      </c>
      <c r="C465" s="51">
        <f t="shared" si="79"/>
        <v>461</v>
      </c>
      <c r="D465" s="27" t="s">
        <v>784</v>
      </c>
      <c r="E465" s="26" t="s">
        <v>11</v>
      </c>
      <c r="F465" s="28" t="s">
        <v>11</v>
      </c>
      <c r="G465" s="28" t="s">
        <v>11</v>
      </c>
      <c r="H465" s="254"/>
      <c r="I465" s="49">
        <v>2</v>
      </c>
      <c r="J465" s="49">
        <v>2</v>
      </c>
      <c r="K465" s="52">
        <f t="shared" si="74"/>
        <v>1</v>
      </c>
      <c r="L465" s="209">
        <f t="shared" si="75"/>
        <v>0</v>
      </c>
      <c r="M465" s="210">
        <f t="shared" si="76"/>
        <v>0</v>
      </c>
      <c r="N465" s="26">
        <v>45027</v>
      </c>
      <c r="O465" s="26">
        <v>45027</v>
      </c>
      <c r="P465" s="26">
        <v>45027</v>
      </c>
      <c r="Q465" s="2">
        <f t="shared" si="70"/>
        <v>1</v>
      </c>
      <c r="S465" s="7">
        <f t="shared" si="77"/>
        <v>1</v>
      </c>
      <c r="T465" s="157">
        <f t="shared" si="78"/>
        <v>1</v>
      </c>
      <c r="V465" s="191">
        <f t="shared" si="71"/>
        <v>4</v>
      </c>
      <c r="W465" s="7">
        <f t="shared" si="72"/>
        <v>2023</v>
      </c>
    </row>
    <row r="466" spans="1:23" ht="31.95" customHeight="1" thickBot="1" x14ac:dyDescent="0.35">
      <c r="A466" s="15">
        <f t="shared" si="73"/>
        <v>1</v>
      </c>
      <c r="B466" s="26">
        <v>45020</v>
      </c>
      <c r="C466" s="51">
        <f t="shared" si="79"/>
        <v>462</v>
      </c>
      <c r="D466" s="27" t="s">
        <v>305</v>
      </c>
      <c r="E466" s="26" t="s">
        <v>11</v>
      </c>
      <c r="F466" s="28" t="s">
        <v>11</v>
      </c>
      <c r="G466" s="28" t="s">
        <v>11</v>
      </c>
      <c r="H466" s="254"/>
      <c r="I466" s="49">
        <v>1</v>
      </c>
      <c r="J466" s="49">
        <v>1</v>
      </c>
      <c r="K466" s="52">
        <f t="shared" si="74"/>
        <v>1</v>
      </c>
      <c r="L466" s="209">
        <f t="shared" si="75"/>
        <v>0</v>
      </c>
      <c r="M466" s="210">
        <f t="shared" si="76"/>
        <v>0</v>
      </c>
      <c r="N466" s="26">
        <v>45020</v>
      </c>
      <c r="O466" s="26">
        <v>45020</v>
      </c>
      <c r="P466" s="26">
        <v>45020</v>
      </c>
      <c r="Q466" s="2">
        <f t="shared" si="70"/>
        <v>1</v>
      </c>
      <c r="S466" s="7">
        <f t="shared" si="77"/>
        <v>1</v>
      </c>
      <c r="T466" s="157">
        <f t="shared" si="78"/>
        <v>1</v>
      </c>
      <c r="V466" s="191">
        <f t="shared" si="71"/>
        <v>4</v>
      </c>
      <c r="W466" s="7">
        <f t="shared" si="72"/>
        <v>2023</v>
      </c>
    </row>
    <row r="467" spans="1:23" ht="31.95" customHeight="1" thickBot="1" x14ac:dyDescent="0.35">
      <c r="A467" s="15">
        <f t="shared" si="73"/>
        <v>14</v>
      </c>
      <c r="B467" s="26">
        <v>45027</v>
      </c>
      <c r="C467" s="51">
        <f t="shared" si="79"/>
        <v>463</v>
      </c>
      <c r="D467" s="27" t="s">
        <v>269</v>
      </c>
      <c r="E467" s="26" t="s">
        <v>11</v>
      </c>
      <c r="F467" s="28" t="s">
        <v>11</v>
      </c>
      <c r="G467" s="28" t="s">
        <v>11</v>
      </c>
      <c r="H467" s="254"/>
      <c r="I467" s="49">
        <v>14</v>
      </c>
      <c r="J467" s="49">
        <v>14</v>
      </c>
      <c r="K467" s="52">
        <f t="shared" si="74"/>
        <v>1</v>
      </c>
      <c r="L467" s="209">
        <f t="shared" si="75"/>
        <v>0</v>
      </c>
      <c r="M467" s="210">
        <f t="shared" si="76"/>
        <v>0</v>
      </c>
      <c r="N467" s="26">
        <v>45028</v>
      </c>
      <c r="O467" s="26">
        <v>45028</v>
      </c>
      <c r="P467" s="26">
        <v>45028</v>
      </c>
      <c r="Q467" s="2">
        <f t="shared" si="70"/>
        <v>1</v>
      </c>
      <c r="S467" s="7">
        <f t="shared" si="77"/>
        <v>1</v>
      </c>
      <c r="T467" s="157">
        <f t="shared" si="78"/>
        <v>1</v>
      </c>
      <c r="V467" s="191">
        <f t="shared" si="71"/>
        <v>4</v>
      </c>
      <c r="W467" s="7">
        <f t="shared" si="72"/>
        <v>2023</v>
      </c>
    </row>
    <row r="468" spans="1:23" ht="31.95" customHeight="1" thickBot="1" x14ac:dyDescent="0.35">
      <c r="A468" s="15">
        <f t="shared" si="73"/>
        <v>6</v>
      </c>
      <c r="B468" s="26">
        <v>45030</v>
      </c>
      <c r="C468" s="51">
        <f t="shared" si="79"/>
        <v>464</v>
      </c>
      <c r="D468" s="27" t="s">
        <v>890</v>
      </c>
      <c r="E468" s="26" t="s">
        <v>64</v>
      </c>
      <c r="F468" s="28" t="s">
        <v>11</v>
      </c>
      <c r="G468" s="28" t="s">
        <v>11</v>
      </c>
      <c r="H468" s="254"/>
      <c r="I468" s="49">
        <v>6</v>
      </c>
      <c r="J468" s="49">
        <v>6</v>
      </c>
      <c r="K468" s="52">
        <f t="shared" si="74"/>
        <v>1</v>
      </c>
      <c r="L468" s="209">
        <f t="shared" si="75"/>
        <v>0</v>
      </c>
      <c r="M468" s="210">
        <f t="shared" si="76"/>
        <v>0</v>
      </c>
      <c r="N468" s="28">
        <v>45056</v>
      </c>
      <c r="O468" s="26">
        <v>45056</v>
      </c>
      <c r="P468" s="26">
        <v>45056</v>
      </c>
      <c r="Q468" s="2">
        <f t="shared" si="70"/>
        <v>1</v>
      </c>
      <c r="S468" s="7">
        <f t="shared" si="77"/>
        <v>1</v>
      </c>
      <c r="T468" s="157">
        <f t="shared" si="78"/>
        <v>1</v>
      </c>
      <c r="V468" s="191">
        <f t="shared" si="71"/>
        <v>4</v>
      </c>
      <c r="W468" s="7">
        <f t="shared" si="72"/>
        <v>2023</v>
      </c>
    </row>
    <row r="469" spans="1:23" ht="31.95" customHeight="1" thickBot="1" x14ac:dyDescent="0.35">
      <c r="A469" s="15">
        <f t="shared" si="73"/>
        <v>7</v>
      </c>
      <c r="B469" s="26">
        <v>45030</v>
      </c>
      <c r="C469" s="51">
        <f t="shared" si="79"/>
        <v>465</v>
      </c>
      <c r="D469" s="27" t="s">
        <v>269</v>
      </c>
      <c r="E469" s="26" t="s">
        <v>11</v>
      </c>
      <c r="F469" s="28" t="s">
        <v>11</v>
      </c>
      <c r="G469" s="28" t="s">
        <v>11</v>
      </c>
      <c r="H469" s="254"/>
      <c r="I469" s="49">
        <v>7</v>
      </c>
      <c r="J469" s="49">
        <v>7</v>
      </c>
      <c r="K469" s="52">
        <f t="shared" si="74"/>
        <v>1</v>
      </c>
      <c r="L469" s="209">
        <f t="shared" si="75"/>
        <v>0</v>
      </c>
      <c r="M469" s="210">
        <f t="shared" si="76"/>
        <v>0</v>
      </c>
      <c r="N469" s="26">
        <v>45030</v>
      </c>
      <c r="O469" s="26">
        <v>45030</v>
      </c>
      <c r="P469" s="26">
        <v>45030</v>
      </c>
      <c r="Q469" s="2">
        <f t="shared" si="70"/>
        <v>1</v>
      </c>
      <c r="S469" s="7">
        <f t="shared" si="77"/>
        <v>1</v>
      </c>
      <c r="T469" s="157">
        <f t="shared" si="78"/>
        <v>1</v>
      </c>
      <c r="V469" s="191">
        <f t="shared" si="71"/>
        <v>4</v>
      </c>
      <c r="W469" s="7">
        <f t="shared" si="72"/>
        <v>2023</v>
      </c>
    </row>
    <row r="470" spans="1:23" ht="31.95" customHeight="1" thickBot="1" x14ac:dyDescent="0.35">
      <c r="A470" s="15">
        <f t="shared" si="73"/>
        <v>6</v>
      </c>
      <c r="B470" s="26">
        <v>45030</v>
      </c>
      <c r="C470" s="51">
        <f t="shared" si="79"/>
        <v>466</v>
      </c>
      <c r="D470" s="27" t="s">
        <v>890</v>
      </c>
      <c r="E470" s="26" t="s">
        <v>65</v>
      </c>
      <c r="F470" s="28" t="s">
        <v>11</v>
      </c>
      <c r="G470" s="28" t="s">
        <v>11</v>
      </c>
      <c r="H470" s="254"/>
      <c r="I470" s="49">
        <v>6</v>
      </c>
      <c r="J470" s="49">
        <v>6</v>
      </c>
      <c r="K470" s="52">
        <f t="shared" si="74"/>
        <v>1</v>
      </c>
      <c r="L470" s="209">
        <f t="shared" si="75"/>
        <v>0</v>
      </c>
      <c r="M470" s="210">
        <f t="shared" si="76"/>
        <v>0</v>
      </c>
      <c r="N470" s="26">
        <v>45031</v>
      </c>
      <c r="O470" s="26">
        <v>45031</v>
      </c>
      <c r="P470" s="26">
        <v>45031</v>
      </c>
      <c r="Q470" s="2">
        <f t="shared" si="70"/>
        <v>1</v>
      </c>
      <c r="S470" s="7">
        <f t="shared" si="77"/>
        <v>1</v>
      </c>
      <c r="T470" s="157">
        <f t="shared" si="78"/>
        <v>1</v>
      </c>
      <c r="V470" s="191">
        <f t="shared" si="71"/>
        <v>4</v>
      </c>
      <c r="W470" s="7">
        <f t="shared" si="72"/>
        <v>2023</v>
      </c>
    </row>
    <row r="471" spans="1:23" ht="31.95" customHeight="1" thickBot="1" x14ac:dyDescent="0.35">
      <c r="A471" s="15">
        <f t="shared" si="73"/>
        <v>6</v>
      </c>
      <c r="B471" s="26">
        <v>45030</v>
      </c>
      <c r="C471" s="51">
        <f t="shared" si="79"/>
        <v>467</v>
      </c>
      <c r="D471" s="27" t="s">
        <v>871</v>
      </c>
      <c r="E471" s="26" t="s">
        <v>65</v>
      </c>
      <c r="F471" s="28" t="s">
        <v>11</v>
      </c>
      <c r="G471" s="28" t="s">
        <v>11</v>
      </c>
      <c r="H471" s="254"/>
      <c r="I471" s="49">
        <v>6</v>
      </c>
      <c r="J471" s="49">
        <v>6</v>
      </c>
      <c r="K471" s="52">
        <f t="shared" si="74"/>
        <v>1</v>
      </c>
      <c r="L471" s="209">
        <f t="shared" si="75"/>
        <v>0</v>
      </c>
      <c r="M471" s="210">
        <f t="shared" si="76"/>
        <v>0</v>
      </c>
      <c r="N471" s="26">
        <v>45031</v>
      </c>
      <c r="O471" s="26">
        <v>45031</v>
      </c>
      <c r="P471" s="26">
        <v>45031</v>
      </c>
      <c r="Q471" s="2">
        <f t="shared" si="70"/>
        <v>1</v>
      </c>
      <c r="S471" s="7">
        <f t="shared" si="77"/>
        <v>1</v>
      </c>
      <c r="T471" s="157">
        <f t="shared" si="78"/>
        <v>1</v>
      </c>
      <c r="V471" s="191">
        <f t="shared" si="71"/>
        <v>4</v>
      </c>
      <c r="W471" s="7">
        <f t="shared" si="72"/>
        <v>2023</v>
      </c>
    </row>
    <row r="472" spans="1:23" ht="31.95" customHeight="1" thickBot="1" x14ac:dyDescent="0.35">
      <c r="A472" s="15">
        <f t="shared" si="73"/>
        <v>6</v>
      </c>
      <c r="B472" s="26">
        <v>45030</v>
      </c>
      <c r="C472" s="51">
        <f t="shared" si="79"/>
        <v>468</v>
      </c>
      <c r="D472" s="27" t="s">
        <v>602</v>
      </c>
      <c r="E472" s="26" t="s">
        <v>65</v>
      </c>
      <c r="F472" s="28" t="s">
        <v>11</v>
      </c>
      <c r="G472" s="28" t="s">
        <v>11</v>
      </c>
      <c r="H472" s="254"/>
      <c r="I472" s="49">
        <v>6</v>
      </c>
      <c r="J472" s="49">
        <v>6</v>
      </c>
      <c r="K472" s="52">
        <f t="shared" si="74"/>
        <v>1</v>
      </c>
      <c r="L472" s="209">
        <f t="shared" si="75"/>
        <v>0</v>
      </c>
      <c r="M472" s="210">
        <f t="shared" si="76"/>
        <v>0</v>
      </c>
      <c r="N472" s="26">
        <v>45036</v>
      </c>
      <c r="O472" s="26">
        <v>45036</v>
      </c>
      <c r="P472" s="26">
        <v>45036</v>
      </c>
      <c r="Q472" s="2">
        <f t="shared" si="70"/>
        <v>1</v>
      </c>
      <c r="S472" s="7">
        <f t="shared" si="77"/>
        <v>1</v>
      </c>
      <c r="T472" s="157">
        <f t="shared" si="78"/>
        <v>1</v>
      </c>
      <c r="V472" s="191">
        <f t="shared" si="71"/>
        <v>4</v>
      </c>
      <c r="W472" s="7">
        <f t="shared" si="72"/>
        <v>2023</v>
      </c>
    </row>
    <row r="473" spans="1:23" ht="31.95" customHeight="1" thickBot="1" x14ac:dyDescent="0.35">
      <c r="A473" s="15">
        <f t="shared" si="73"/>
        <v>2</v>
      </c>
      <c r="B473" s="26">
        <v>45033</v>
      </c>
      <c r="C473" s="51">
        <f t="shared" si="79"/>
        <v>469</v>
      </c>
      <c r="D473" s="27" t="s">
        <v>524</v>
      </c>
      <c r="E473" s="26" t="s">
        <v>65</v>
      </c>
      <c r="F473" s="28" t="s">
        <v>11</v>
      </c>
      <c r="G473" s="28" t="s">
        <v>11</v>
      </c>
      <c r="H473" s="254"/>
      <c r="I473" s="49">
        <v>2</v>
      </c>
      <c r="J473" s="49">
        <v>2</v>
      </c>
      <c r="K473" s="52">
        <f t="shared" si="74"/>
        <v>1</v>
      </c>
      <c r="L473" s="209">
        <f t="shared" si="75"/>
        <v>0</v>
      </c>
      <c r="M473" s="210">
        <f t="shared" si="76"/>
        <v>0</v>
      </c>
      <c r="N473" s="26">
        <v>45036</v>
      </c>
      <c r="O473" s="26">
        <v>45036</v>
      </c>
      <c r="P473" s="26">
        <v>45036</v>
      </c>
      <c r="Q473" s="2">
        <f t="shared" si="70"/>
        <v>1</v>
      </c>
      <c r="S473" s="7">
        <f t="shared" si="77"/>
        <v>1</v>
      </c>
      <c r="T473" s="157">
        <f t="shared" si="78"/>
        <v>1</v>
      </c>
      <c r="V473" s="191">
        <f t="shared" si="71"/>
        <v>4</v>
      </c>
      <c r="W473" s="7">
        <f t="shared" si="72"/>
        <v>2023</v>
      </c>
    </row>
    <row r="474" spans="1:23" ht="31.95" customHeight="1" thickBot="1" x14ac:dyDescent="0.35">
      <c r="A474" s="15">
        <f t="shared" si="73"/>
        <v>1</v>
      </c>
      <c r="B474" s="26">
        <v>45033</v>
      </c>
      <c r="C474" s="51">
        <f t="shared" si="79"/>
        <v>470</v>
      </c>
      <c r="D474" s="27" t="s">
        <v>305</v>
      </c>
      <c r="E474" s="26" t="s">
        <v>11</v>
      </c>
      <c r="F474" s="28" t="s">
        <v>11</v>
      </c>
      <c r="G474" s="28" t="s">
        <v>11</v>
      </c>
      <c r="H474" s="254"/>
      <c r="I474" s="49">
        <v>1</v>
      </c>
      <c r="J474" s="49">
        <v>1</v>
      </c>
      <c r="K474" s="52">
        <f t="shared" si="74"/>
        <v>1</v>
      </c>
      <c r="L474" s="209">
        <f t="shared" si="75"/>
        <v>0</v>
      </c>
      <c r="M474" s="210">
        <f t="shared" si="76"/>
        <v>0</v>
      </c>
      <c r="N474" s="26">
        <v>45033</v>
      </c>
      <c r="O474" s="26">
        <v>45033</v>
      </c>
      <c r="P474" s="26">
        <v>45033</v>
      </c>
      <c r="Q474" s="2">
        <f t="shared" si="70"/>
        <v>1</v>
      </c>
      <c r="S474" s="7">
        <f t="shared" si="77"/>
        <v>1</v>
      </c>
      <c r="T474" s="157">
        <f t="shared" si="78"/>
        <v>1</v>
      </c>
      <c r="V474" s="191">
        <f t="shared" si="71"/>
        <v>4</v>
      </c>
      <c r="W474" s="7">
        <f t="shared" si="72"/>
        <v>2023</v>
      </c>
    </row>
    <row r="475" spans="1:23" ht="31.95" customHeight="1" thickBot="1" x14ac:dyDescent="0.35">
      <c r="A475" s="15">
        <f t="shared" si="73"/>
        <v>6</v>
      </c>
      <c r="B475" s="26">
        <v>45035</v>
      </c>
      <c r="C475" s="51">
        <f t="shared" si="79"/>
        <v>471</v>
      </c>
      <c r="D475" s="27" t="s">
        <v>978</v>
      </c>
      <c r="E475" s="26" t="s">
        <v>67</v>
      </c>
      <c r="F475" s="28" t="s">
        <v>11</v>
      </c>
      <c r="G475" s="28" t="s">
        <v>11</v>
      </c>
      <c r="H475" s="254"/>
      <c r="I475" s="49">
        <v>6</v>
      </c>
      <c r="J475" s="49">
        <v>6</v>
      </c>
      <c r="K475" s="52">
        <f t="shared" si="74"/>
        <v>1</v>
      </c>
      <c r="L475" s="209">
        <f t="shared" si="75"/>
        <v>0</v>
      </c>
      <c r="M475" s="210">
        <f t="shared" si="76"/>
        <v>0</v>
      </c>
      <c r="N475" s="26">
        <v>45041</v>
      </c>
      <c r="O475" s="26">
        <v>45041</v>
      </c>
      <c r="P475" s="26">
        <v>45041</v>
      </c>
      <c r="Q475" s="2">
        <f t="shared" si="70"/>
        <v>1</v>
      </c>
      <c r="S475" s="7">
        <f t="shared" si="77"/>
        <v>1</v>
      </c>
      <c r="T475" s="157">
        <f t="shared" si="78"/>
        <v>1</v>
      </c>
      <c r="V475" s="191">
        <f t="shared" si="71"/>
        <v>4</v>
      </c>
      <c r="W475" s="7">
        <f t="shared" si="72"/>
        <v>2023</v>
      </c>
    </row>
    <row r="476" spans="1:23" ht="31.95" customHeight="1" thickBot="1" x14ac:dyDescent="0.35">
      <c r="A476" s="15">
        <f t="shared" si="73"/>
        <v>3</v>
      </c>
      <c r="B476" s="26">
        <v>45035</v>
      </c>
      <c r="C476" s="51">
        <f t="shared" si="79"/>
        <v>472</v>
      </c>
      <c r="D476" s="27" t="s">
        <v>978</v>
      </c>
      <c r="E476" s="26" t="s">
        <v>67</v>
      </c>
      <c r="F476" s="28" t="s">
        <v>11</v>
      </c>
      <c r="G476" s="28" t="s">
        <v>11</v>
      </c>
      <c r="H476" s="254"/>
      <c r="I476" s="49">
        <v>3</v>
      </c>
      <c r="J476" s="49">
        <v>3</v>
      </c>
      <c r="K476" s="52">
        <f t="shared" si="74"/>
        <v>1</v>
      </c>
      <c r="L476" s="209">
        <f t="shared" si="75"/>
        <v>0</v>
      </c>
      <c r="M476" s="210">
        <f t="shared" si="76"/>
        <v>0</v>
      </c>
      <c r="N476" s="26">
        <v>45044</v>
      </c>
      <c r="O476" s="26">
        <v>45044</v>
      </c>
      <c r="P476" s="26">
        <v>45044</v>
      </c>
      <c r="Q476" s="2">
        <f t="shared" si="70"/>
        <v>1</v>
      </c>
      <c r="S476" s="7">
        <f t="shared" si="77"/>
        <v>1</v>
      </c>
      <c r="T476" s="157">
        <f t="shared" si="78"/>
        <v>1</v>
      </c>
      <c r="V476" s="191">
        <f t="shared" si="71"/>
        <v>4</v>
      </c>
      <c r="W476" s="7">
        <f t="shared" si="72"/>
        <v>2023</v>
      </c>
    </row>
    <row r="477" spans="1:23" ht="31.95" customHeight="1" thickBot="1" x14ac:dyDescent="0.35">
      <c r="A477" s="15">
        <f t="shared" si="73"/>
        <v>3</v>
      </c>
      <c r="B477" s="26">
        <v>45035</v>
      </c>
      <c r="C477" s="51">
        <f t="shared" si="79"/>
        <v>473</v>
      </c>
      <c r="D477" s="27" t="s">
        <v>890</v>
      </c>
      <c r="E477" s="26" t="s">
        <v>67</v>
      </c>
      <c r="F477" s="28" t="s">
        <v>11</v>
      </c>
      <c r="G477" s="28" t="s">
        <v>11</v>
      </c>
      <c r="H477" s="254"/>
      <c r="I477" s="49">
        <v>3</v>
      </c>
      <c r="J477" s="49">
        <v>3</v>
      </c>
      <c r="K477" s="52">
        <f t="shared" si="74"/>
        <v>1</v>
      </c>
      <c r="L477" s="209">
        <f t="shared" si="75"/>
        <v>0</v>
      </c>
      <c r="M477" s="210">
        <f t="shared" si="76"/>
        <v>0</v>
      </c>
      <c r="N477" s="26">
        <v>45057</v>
      </c>
      <c r="O477" s="26">
        <v>45057</v>
      </c>
      <c r="P477" s="26">
        <v>45057</v>
      </c>
      <c r="Q477" s="2">
        <f t="shared" si="70"/>
        <v>1</v>
      </c>
      <c r="S477" s="7">
        <f t="shared" si="77"/>
        <v>1</v>
      </c>
      <c r="T477" s="157">
        <f t="shared" si="78"/>
        <v>1</v>
      </c>
      <c r="V477" s="191">
        <f t="shared" si="71"/>
        <v>4</v>
      </c>
      <c r="W477" s="7">
        <f t="shared" si="72"/>
        <v>2023</v>
      </c>
    </row>
    <row r="478" spans="1:23" ht="31.95" customHeight="1" thickBot="1" x14ac:dyDescent="0.35">
      <c r="A478" s="15">
        <f t="shared" si="73"/>
        <v>3</v>
      </c>
      <c r="B478" s="26">
        <v>45035</v>
      </c>
      <c r="C478" s="51">
        <f t="shared" si="79"/>
        <v>474</v>
      </c>
      <c r="D478" s="27" t="s">
        <v>602</v>
      </c>
      <c r="E478" s="26" t="s">
        <v>66</v>
      </c>
      <c r="F478" s="28" t="s">
        <v>11</v>
      </c>
      <c r="G478" s="28" t="s">
        <v>11</v>
      </c>
      <c r="H478" s="254"/>
      <c r="I478" s="49">
        <v>3</v>
      </c>
      <c r="J478" s="49">
        <v>3</v>
      </c>
      <c r="K478" s="52">
        <f t="shared" si="74"/>
        <v>1</v>
      </c>
      <c r="L478" s="209">
        <f t="shared" si="75"/>
        <v>0</v>
      </c>
      <c r="M478" s="210">
        <f t="shared" si="76"/>
        <v>0</v>
      </c>
      <c r="N478" s="26">
        <v>45043</v>
      </c>
      <c r="O478" s="26">
        <v>45043</v>
      </c>
      <c r="P478" s="26">
        <v>45043</v>
      </c>
      <c r="Q478" s="2">
        <f t="shared" si="70"/>
        <v>1</v>
      </c>
      <c r="S478" s="7">
        <f t="shared" si="77"/>
        <v>1</v>
      </c>
      <c r="T478" s="157">
        <f t="shared" si="78"/>
        <v>1</v>
      </c>
      <c r="V478" s="191">
        <f t="shared" si="71"/>
        <v>4</v>
      </c>
      <c r="W478" s="7">
        <f t="shared" si="72"/>
        <v>2023</v>
      </c>
    </row>
    <row r="479" spans="1:23" ht="31.95" customHeight="1" thickBot="1" x14ac:dyDescent="0.35">
      <c r="A479" s="15">
        <f t="shared" si="73"/>
        <v>1</v>
      </c>
      <c r="B479" s="26">
        <v>45035</v>
      </c>
      <c r="C479" s="51">
        <f t="shared" si="79"/>
        <v>475</v>
      </c>
      <c r="D479" s="27" t="s">
        <v>978</v>
      </c>
      <c r="E479" s="26" t="s">
        <v>66</v>
      </c>
      <c r="F479" s="28" t="s">
        <v>11</v>
      </c>
      <c r="G479" s="28" t="s">
        <v>11</v>
      </c>
      <c r="H479" s="254"/>
      <c r="I479" s="49">
        <v>1</v>
      </c>
      <c r="J479" s="49">
        <v>1</v>
      </c>
      <c r="K479" s="52">
        <f t="shared" si="74"/>
        <v>1</v>
      </c>
      <c r="L479" s="209">
        <f t="shared" si="75"/>
        <v>0</v>
      </c>
      <c r="M479" s="210">
        <f t="shared" si="76"/>
        <v>0</v>
      </c>
      <c r="N479" s="26">
        <v>45041</v>
      </c>
      <c r="O479" s="26">
        <v>45041</v>
      </c>
      <c r="P479" s="26">
        <v>45041</v>
      </c>
      <c r="Q479" s="2">
        <f t="shared" si="70"/>
        <v>1</v>
      </c>
      <c r="S479" s="7">
        <f t="shared" si="77"/>
        <v>1</v>
      </c>
      <c r="T479" s="157">
        <f t="shared" si="78"/>
        <v>1</v>
      </c>
      <c r="V479" s="191">
        <f t="shared" si="71"/>
        <v>4</v>
      </c>
      <c r="W479" s="7">
        <f t="shared" si="72"/>
        <v>2023</v>
      </c>
    </row>
    <row r="480" spans="1:23" ht="31.95" customHeight="1" thickBot="1" x14ac:dyDescent="0.35">
      <c r="A480" s="15">
        <f t="shared" si="73"/>
        <v>1</v>
      </c>
      <c r="B480" s="26">
        <v>45035</v>
      </c>
      <c r="C480" s="51">
        <f t="shared" si="79"/>
        <v>476</v>
      </c>
      <c r="D480" s="27" t="s">
        <v>871</v>
      </c>
      <c r="E480" s="26" t="s">
        <v>66</v>
      </c>
      <c r="F480" s="28" t="s">
        <v>11</v>
      </c>
      <c r="G480" s="28" t="s">
        <v>11</v>
      </c>
      <c r="H480" s="254"/>
      <c r="I480" s="49">
        <v>1</v>
      </c>
      <c r="J480" s="49">
        <v>1</v>
      </c>
      <c r="K480" s="52">
        <f t="shared" si="74"/>
        <v>1</v>
      </c>
      <c r="L480" s="209">
        <f t="shared" si="75"/>
        <v>0</v>
      </c>
      <c r="M480" s="210">
        <f t="shared" si="76"/>
        <v>0</v>
      </c>
      <c r="N480" s="26">
        <v>45043</v>
      </c>
      <c r="O480" s="26">
        <v>45043</v>
      </c>
      <c r="P480" s="26">
        <v>45043</v>
      </c>
      <c r="Q480" s="2">
        <f t="shared" si="70"/>
        <v>1</v>
      </c>
      <c r="S480" s="7">
        <f t="shared" si="77"/>
        <v>1</v>
      </c>
      <c r="T480" s="157">
        <f t="shared" si="78"/>
        <v>1</v>
      </c>
      <c r="V480" s="191">
        <f t="shared" si="71"/>
        <v>4</v>
      </c>
      <c r="W480" s="7">
        <f t="shared" si="72"/>
        <v>2023</v>
      </c>
    </row>
    <row r="481" spans="1:23" ht="31.95" customHeight="1" thickBot="1" x14ac:dyDescent="0.35">
      <c r="A481" s="15">
        <f t="shared" si="73"/>
        <v>2</v>
      </c>
      <c r="B481" s="26">
        <v>45035</v>
      </c>
      <c r="C481" s="51">
        <f t="shared" si="79"/>
        <v>477</v>
      </c>
      <c r="D481" s="27" t="s">
        <v>890</v>
      </c>
      <c r="E481" s="26" t="s">
        <v>66</v>
      </c>
      <c r="F481" s="28" t="s">
        <v>11</v>
      </c>
      <c r="G481" s="28" t="s">
        <v>11</v>
      </c>
      <c r="H481" s="254"/>
      <c r="I481" s="49">
        <v>2</v>
      </c>
      <c r="J481" s="49">
        <v>2</v>
      </c>
      <c r="K481" s="52">
        <f t="shared" si="74"/>
        <v>1</v>
      </c>
      <c r="L481" s="209">
        <f t="shared" si="75"/>
        <v>0</v>
      </c>
      <c r="M481" s="210">
        <f t="shared" si="76"/>
        <v>0</v>
      </c>
      <c r="N481" s="26">
        <v>45048</v>
      </c>
      <c r="O481" s="26">
        <v>45048</v>
      </c>
      <c r="P481" s="26">
        <v>45048</v>
      </c>
      <c r="Q481" s="2">
        <f t="shared" si="70"/>
        <v>1</v>
      </c>
      <c r="S481" s="7">
        <f t="shared" si="77"/>
        <v>1</v>
      </c>
      <c r="T481" s="157">
        <f t="shared" si="78"/>
        <v>1</v>
      </c>
      <c r="V481" s="191">
        <f t="shared" si="71"/>
        <v>4</v>
      </c>
      <c r="W481" s="7">
        <f t="shared" si="72"/>
        <v>2023</v>
      </c>
    </row>
    <row r="482" spans="1:23" ht="31.95" customHeight="1" thickBot="1" x14ac:dyDescent="0.35">
      <c r="A482" s="15">
        <f t="shared" si="73"/>
        <v>2</v>
      </c>
      <c r="B482" s="26">
        <v>45035</v>
      </c>
      <c r="C482" s="51">
        <f t="shared" si="79"/>
        <v>478</v>
      </c>
      <c r="D482" s="27" t="s">
        <v>705</v>
      </c>
      <c r="E482" s="26" t="s">
        <v>11</v>
      </c>
      <c r="F482" s="28" t="s">
        <v>11</v>
      </c>
      <c r="G482" s="28" t="s">
        <v>11</v>
      </c>
      <c r="H482" s="254"/>
      <c r="I482" s="49">
        <v>2</v>
      </c>
      <c r="J482" s="49">
        <v>2</v>
      </c>
      <c r="K482" s="52">
        <f t="shared" si="74"/>
        <v>1</v>
      </c>
      <c r="L482" s="209">
        <f t="shared" si="75"/>
        <v>0</v>
      </c>
      <c r="M482" s="210">
        <f t="shared" si="76"/>
        <v>0</v>
      </c>
      <c r="N482" s="26">
        <v>45035</v>
      </c>
      <c r="O482" s="26">
        <v>45035</v>
      </c>
      <c r="P482" s="26">
        <v>45035</v>
      </c>
      <c r="Q482" s="2">
        <f t="shared" si="70"/>
        <v>1</v>
      </c>
      <c r="S482" s="7">
        <f t="shared" si="77"/>
        <v>1</v>
      </c>
      <c r="T482" s="157">
        <f t="shared" si="78"/>
        <v>1</v>
      </c>
      <c r="V482" s="191">
        <f t="shared" si="71"/>
        <v>4</v>
      </c>
      <c r="W482" s="7">
        <f t="shared" si="72"/>
        <v>2023</v>
      </c>
    </row>
    <row r="483" spans="1:23" ht="31.95" customHeight="1" thickBot="1" x14ac:dyDescent="0.35">
      <c r="A483" s="15">
        <f t="shared" si="73"/>
        <v>4</v>
      </c>
      <c r="B483" s="26">
        <v>45035</v>
      </c>
      <c r="C483" s="51">
        <f t="shared" si="79"/>
        <v>479</v>
      </c>
      <c r="D483" s="27" t="s">
        <v>305</v>
      </c>
      <c r="E483" s="26" t="s">
        <v>11</v>
      </c>
      <c r="F483" s="28" t="s">
        <v>11</v>
      </c>
      <c r="G483" s="28" t="s">
        <v>11</v>
      </c>
      <c r="H483" s="254"/>
      <c r="I483" s="49">
        <v>4</v>
      </c>
      <c r="J483" s="49">
        <v>4</v>
      </c>
      <c r="K483" s="52">
        <f t="shared" si="74"/>
        <v>1</v>
      </c>
      <c r="L483" s="209">
        <f t="shared" si="75"/>
        <v>0</v>
      </c>
      <c r="M483" s="210">
        <f t="shared" si="76"/>
        <v>0</v>
      </c>
      <c r="N483" s="26">
        <v>45035</v>
      </c>
      <c r="O483" s="26">
        <v>45035</v>
      </c>
      <c r="P483" s="26">
        <v>45035</v>
      </c>
      <c r="Q483" s="2">
        <f t="shared" si="70"/>
        <v>1</v>
      </c>
      <c r="S483" s="7">
        <f t="shared" si="77"/>
        <v>1</v>
      </c>
      <c r="T483" s="157">
        <f t="shared" si="78"/>
        <v>1</v>
      </c>
      <c r="V483" s="191">
        <f t="shared" si="71"/>
        <v>4</v>
      </c>
      <c r="W483" s="7">
        <f t="shared" si="72"/>
        <v>2023</v>
      </c>
    </row>
    <row r="484" spans="1:23" ht="31.95" customHeight="1" thickBot="1" x14ac:dyDescent="0.35">
      <c r="A484" s="15">
        <f t="shared" si="73"/>
        <v>1</v>
      </c>
      <c r="B484" s="26">
        <v>45037</v>
      </c>
      <c r="C484" s="51">
        <f t="shared" si="79"/>
        <v>480</v>
      </c>
      <c r="D484" s="27" t="s">
        <v>978</v>
      </c>
      <c r="E484" s="26" t="s">
        <v>66</v>
      </c>
      <c r="F484" s="28" t="s">
        <v>11</v>
      </c>
      <c r="G484" s="28" t="s">
        <v>11</v>
      </c>
      <c r="H484" s="254"/>
      <c r="I484" s="49">
        <v>1</v>
      </c>
      <c r="J484" s="49">
        <v>1</v>
      </c>
      <c r="K484" s="52">
        <f t="shared" si="74"/>
        <v>1</v>
      </c>
      <c r="L484" s="209">
        <f t="shared" si="75"/>
        <v>0</v>
      </c>
      <c r="M484" s="210">
        <f t="shared" si="76"/>
        <v>0</v>
      </c>
      <c r="N484" s="26">
        <v>45042</v>
      </c>
      <c r="O484" s="26">
        <v>45042</v>
      </c>
      <c r="P484" s="26">
        <v>45042</v>
      </c>
      <c r="Q484" s="2">
        <f t="shared" si="70"/>
        <v>1</v>
      </c>
      <c r="S484" s="7">
        <f t="shared" si="77"/>
        <v>1</v>
      </c>
      <c r="T484" s="157">
        <f t="shared" si="78"/>
        <v>1</v>
      </c>
      <c r="V484" s="191">
        <f t="shared" si="71"/>
        <v>4</v>
      </c>
      <c r="W484" s="7">
        <f t="shared" si="72"/>
        <v>2023</v>
      </c>
    </row>
    <row r="485" spans="1:23" ht="31.95" customHeight="1" thickBot="1" x14ac:dyDescent="0.35">
      <c r="A485" s="15">
        <f t="shared" si="73"/>
        <v>7</v>
      </c>
      <c r="B485" s="26">
        <v>45037</v>
      </c>
      <c r="C485" s="51">
        <f t="shared" si="79"/>
        <v>481</v>
      </c>
      <c r="D485" s="27" t="s">
        <v>269</v>
      </c>
      <c r="E485" s="26" t="s">
        <v>11</v>
      </c>
      <c r="F485" s="28" t="s">
        <v>11</v>
      </c>
      <c r="G485" s="28" t="s">
        <v>11</v>
      </c>
      <c r="H485" s="254"/>
      <c r="I485" s="49">
        <v>7</v>
      </c>
      <c r="J485" s="49">
        <v>7</v>
      </c>
      <c r="K485" s="52">
        <f t="shared" si="74"/>
        <v>1</v>
      </c>
      <c r="L485" s="209">
        <f t="shared" si="75"/>
        <v>0</v>
      </c>
      <c r="M485" s="210">
        <f t="shared" si="76"/>
        <v>0</v>
      </c>
      <c r="N485" s="26">
        <v>45038</v>
      </c>
      <c r="O485" s="26">
        <v>45038</v>
      </c>
      <c r="P485" s="26">
        <v>45038</v>
      </c>
      <c r="Q485" s="2">
        <f t="shared" si="70"/>
        <v>1</v>
      </c>
      <c r="S485" s="7">
        <f t="shared" si="77"/>
        <v>1</v>
      </c>
      <c r="T485" s="157">
        <f t="shared" si="78"/>
        <v>1</v>
      </c>
      <c r="V485" s="191">
        <f t="shared" si="71"/>
        <v>4</v>
      </c>
      <c r="W485" s="7">
        <f t="shared" si="72"/>
        <v>2023</v>
      </c>
    </row>
    <row r="486" spans="1:23" ht="31.95" customHeight="1" thickBot="1" x14ac:dyDescent="0.35">
      <c r="A486" s="15">
        <f t="shared" si="73"/>
        <v>11</v>
      </c>
      <c r="B486" s="26">
        <v>45041</v>
      </c>
      <c r="C486" s="51">
        <f t="shared" si="79"/>
        <v>482</v>
      </c>
      <c r="D486" s="27" t="s">
        <v>524</v>
      </c>
      <c r="E486" s="26" t="s">
        <v>69</v>
      </c>
      <c r="F486" s="28" t="s">
        <v>11</v>
      </c>
      <c r="G486" s="28" t="s">
        <v>11</v>
      </c>
      <c r="H486" s="254"/>
      <c r="I486" s="49">
        <v>11</v>
      </c>
      <c r="J486" s="49">
        <v>11</v>
      </c>
      <c r="K486" s="52">
        <f t="shared" si="74"/>
        <v>1</v>
      </c>
      <c r="L486" s="209">
        <f t="shared" si="75"/>
        <v>0</v>
      </c>
      <c r="M486" s="210">
        <f t="shared" si="76"/>
        <v>0</v>
      </c>
      <c r="N486" s="26">
        <v>45049</v>
      </c>
      <c r="O486" s="26">
        <v>45049</v>
      </c>
      <c r="P486" s="26">
        <v>45049</v>
      </c>
      <c r="Q486" s="2">
        <f t="shared" si="70"/>
        <v>1</v>
      </c>
      <c r="S486" s="7">
        <f t="shared" si="77"/>
        <v>1</v>
      </c>
      <c r="T486" s="157">
        <f t="shared" si="78"/>
        <v>1</v>
      </c>
      <c r="V486" s="191">
        <f t="shared" si="71"/>
        <v>4</v>
      </c>
      <c r="W486" s="7">
        <f t="shared" si="72"/>
        <v>2023</v>
      </c>
    </row>
    <row r="487" spans="1:23" ht="31.95" customHeight="1" thickBot="1" x14ac:dyDescent="0.35">
      <c r="A487" s="15">
        <f t="shared" si="73"/>
        <v>3</v>
      </c>
      <c r="B487" s="26">
        <v>45041</v>
      </c>
      <c r="C487" s="51">
        <f t="shared" si="79"/>
        <v>483</v>
      </c>
      <c r="D487" s="27" t="s">
        <v>978</v>
      </c>
      <c r="E487" s="26" t="s">
        <v>69</v>
      </c>
      <c r="F487" s="28" t="s">
        <v>11</v>
      </c>
      <c r="G487" s="28" t="s">
        <v>11</v>
      </c>
      <c r="H487" s="254"/>
      <c r="I487" s="49">
        <v>3</v>
      </c>
      <c r="J487" s="49">
        <v>3</v>
      </c>
      <c r="K487" s="52">
        <f t="shared" si="74"/>
        <v>1</v>
      </c>
      <c r="L487" s="209">
        <f t="shared" si="75"/>
        <v>0</v>
      </c>
      <c r="M487" s="210">
        <f t="shared" si="76"/>
        <v>0</v>
      </c>
      <c r="N487" s="26">
        <v>45049</v>
      </c>
      <c r="O487" s="26">
        <v>45049</v>
      </c>
      <c r="P487" s="26">
        <v>45049</v>
      </c>
      <c r="Q487" s="2">
        <f t="shared" si="70"/>
        <v>1</v>
      </c>
      <c r="S487" s="7">
        <f t="shared" si="77"/>
        <v>1</v>
      </c>
      <c r="T487" s="157">
        <f t="shared" si="78"/>
        <v>1</v>
      </c>
      <c r="V487" s="191">
        <f t="shared" si="71"/>
        <v>4</v>
      </c>
      <c r="W487" s="7">
        <f t="shared" si="72"/>
        <v>2023</v>
      </c>
    </row>
    <row r="488" spans="1:23" ht="31.95" customHeight="1" thickBot="1" x14ac:dyDescent="0.35">
      <c r="A488" s="15">
        <f t="shared" si="73"/>
        <v>1</v>
      </c>
      <c r="B488" s="26">
        <v>45041</v>
      </c>
      <c r="C488" s="51">
        <f t="shared" si="79"/>
        <v>484</v>
      </c>
      <c r="D488" s="27" t="s">
        <v>822</v>
      </c>
      <c r="E488" s="26" t="s">
        <v>69</v>
      </c>
      <c r="F488" s="28" t="s">
        <v>11</v>
      </c>
      <c r="G488" s="28" t="s">
        <v>11</v>
      </c>
      <c r="H488" s="254"/>
      <c r="I488" s="49">
        <v>1</v>
      </c>
      <c r="J488" s="49">
        <v>1</v>
      </c>
      <c r="K488" s="52">
        <f t="shared" si="74"/>
        <v>1</v>
      </c>
      <c r="L488" s="209">
        <f t="shared" si="75"/>
        <v>0</v>
      </c>
      <c r="M488" s="210">
        <f t="shared" si="76"/>
        <v>0</v>
      </c>
      <c r="N488" s="26">
        <v>45044</v>
      </c>
      <c r="O488" s="26">
        <v>45044</v>
      </c>
      <c r="P488" s="26">
        <v>45044</v>
      </c>
      <c r="Q488" s="2">
        <f t="shared" si="70"/>
        <v>1</v>
      </c>
      <c r="S488" s="7">
        <f t="shared" si="77"/>
        <v>1</v>
      </c>
      <c r="T488" s="157">
        <f t="shared" si="78"/>
        <v>1</v>
      </c>
      <c r="V488" s="191">
        <f t="shared" si="71"/>
        <v>4</v>
      </c>
      <c r="W488" s="7">
        <f t="shared" si="72"/>
        <v>2023</v>
      </c>
    </row>
    <row r="489" spans="1:23" ht="31.95" customHeight="1" thickBot="1" x14ac:dyDescent="0.35">
      <c r="A489" s="15">
        <f t="shared" si="73"/>
        <v>8</v>
      </c>
      <c r="B489" s="26">
        <v>45041</v>
      </c>
      <c r="C489" s="51">
        <f t="shared" si="79"/>
        <v>485</v>
      </c>
      <c r="D489" s="27" t="s">
        <v>890</v>
      </c>
      <c r="E489" s="26" t="s">
        <v>69</v>
      </c>
      <c r="F489" s="28" t="s">
        <v>11</v>
      </c>
      <c r="G489" s="28" t="s">
        <v>11</v>
      </c>
      <c r="H489" s="254"/>
      <c r="I489" s="49">
        <v>8</v>
      </c>
      <c r="J489" s="49">
        <v>8</v>
      </c>
      <c r="K489" s="52">
        <f t="shared" si="74"/>
        <v>1</v>
      </c>
      <c r="L489" s="209">
        <f t="shared" si="75"/>
        <v>0</v>
      </c>
      <c r="M489" s="210">
        <f t="shared" si="76"/>
        <v>0</v>
      </c>
      <c r="N489" s="26">
        <v>45063</v>
      </c>
      <c r="O489" s="26">
        <v>45063</v>
      </c>
      <c r="P489" s="26">
        <v>45063</v>
      </c>
      <c r="Q489" s="2">
        <f t="shared" si="70"/>
        <v>1</v>
      </c>
      <c r="S489" s="7">
        <f t="shared" si="77"/>
        <v>1</v>
      </c>
      <c r="T489" s="157">
        <f t="shared" si="78"/>
        <v>1</v>
      </c>
      <c r="V489" s="191">
        <f t="shared" si="71"/>
        <v>4</v>
      </c>
      <c r="W489" s="7">
        <f t="shared" si="72"/>
        <v>2023</v>
      </c>
    </row>
    <row r="490" spans="1:23" ht="31.95" customHeight="1" thickBot="1" x14ac:dyDescent="0.35">
      <c r="A490" s="15">
        <f t="shared" si="73"/>
        <v>10</v>
      </c>
      <c r="B490" s="26">
        <v>45041</v>
      </c>
      <c r="C490" s="51">
        <f t="shared" si="79"/>
        <v>486</v>
      </c>
      <c r="D490" s="27" t="s">
        <v>594</v>
      </c>
      <c r="E490" s="26" t="s">
        <v>69</v>
      </c>
      <c r="F490" s="28" t="s">
        <v>11</v>
      </c>
      <c r="G490" s="28" t="s">
        <v>11</v>
      </c>
      <c r="H490" s="254"/>
      <c r="I490" s="49">
        <v>10</v>
      </c>
      <c r="J490" s="49">
        <v>10</v>
      </c>
      <c r="K490" s="52">
        <f t="shared" si="74"/>
        <v>1</v>
      </c>
      <c r="L490" s="209">
        <f t="shared" si="75"/>
        <v>0</v>
      </c>
      <c r="M490" s="210">
        <f t="shared" si="76"/>
        <v>0</v>
      </c>
      <c r="N490" s="26">
        <v>45043</v>
      </c>
      <c r="O490" s="26">
        <v>45043</v>
      </c>
      <c r="P490" s="26">
        <v>45043</v>
      </c>
      <c r="Q490" s="2">
        <f t="shared" si="70"/>
        <v>1</v>
      </c>
      <c r="S490" s="7">
        <f t="shared" si="77"/>
        <v>1</v>
      </c>
      <c r="T490" s="157">
        <f t="shared" si="78"/>
        <v>1</v>
      </c>
      <c r="V490" s="191">
        <f t="shared" si="71"/>
        <v>4</v>
      </c>
      <c r="W490" s="7">
        <f t="shared" si="72"/>
        <v>2023</v>
      </c>
    </row>
    <row r="491" spans="1:23" ht="31.95" customHeight="1" thickBot="1" x14ac:dyDescent="0.35">
      <c r="A491" s="15">
        <f t="shared" si="73"/>
        <v>3</v>
      </c>
      <c r="B491" s="26">
        <v>45041</v>
      </c>
      <c r="C491" s="51">
        <f t="shared" si="79"/>
        <v>487</v>
      </c>
      <c r="D491" s="27" t="s">
        <v>890</v>
      </c>
      <c r="E491" s="26" t="s">
        <v>70</v>
      </c>
      <c r="F491" s="28" t="s">
        <v>11</v>
      </c>
      <c r="G491" s="28" t="s">
        <v>11</v>
      </c>
      <c r="H491" s="254"/>
      <c r="I491" s="49">
        <v>3</v>
      </c>
      <c r="J491" s="49">
        <v>3</v>
      </c>
      <c r="K491" s="52">
        <f t="shared" si="74"/>
        <v>1</v>
      </c>
      <c r="L491" s="209">
        <f t="shared" si="75"/>
        <v>0</v>
      </c>
      <c r="M491" s="210">
        <f t="shared" si="76"/>
        <v>0</v>
      </c>
      <c r="N491" s="26">
        <v>45063</v>
      </c>
      <c r="O491" s="26">
        <v>45063</v>
      </c>
      <c r="P491" s="26">
        <v>45063</v>
      </c>
      <c r="Q491" s="2">
        <f t="shared" si="70"/>
        <v>1</v>
      </c>
      <c r="S491" s="7">
        <f t="shared" si="77"/>
        <v>1</v>
      </c>
      <c r="T491" s="157">
        <f t="shared" si="78"/>
        <v>1</v>
      </c>
      <c r="V491" s="191">
        <f t="shared" si="71"/>
        <v>4</v>
      </c>
      <c r="W491" s="7">
        <f t="shared" si="72"/>
        <v>2023</v>
      </c>
    </row>
    <row r="492" spans="1:23" ht="31.95" customHeight="1" thickBot="1" x14ac:dyDescent="0.35">
      <c r="A492" s="15">
        <f t="shared" si="73"/>
        <v>3</v>
      </c>
      <c r="B492" s="26">
        <v>45041</v>
      </c>
      <c r="C492" s="51">
        <f t="shared" si="79"/>
        <v>488</v>
      </c>
      <c r="D492" s="27" t="s">
        <v>594</v>
      </c>
      <c r="E492" s="26" t="s">
        <v>70</v>
      </c>
      <c r="F492" s="28" t="s">
        <v>11</v>
      </c>
      <c r="G492" s="28" t="s">
        <v>11</v>
      </c>
      <c r="H492" s="254"/>
      <c r="I492" s="49">
        <v>3</v>
      </c>
      <c r="J492" s="49">
        <v>3</v>
      </c>
      <c r="K492" s="52">
        <f t="shared" si="74"/>
        <v>1</v>
      </c>
      <c r="L492" s="209">
        <f t="shared" si="75"/>
        <v>0</v>
      </c>
      <c r="M492" s="210">
        <f t="shared" si="76"/>
        <v>0</v>
      </c>
      <c r="N492" s="26">
        <v>45044</v>
      </c>
      <c r="O492" s="26">
        <v>45044</v>
      </c>
      <c r="P492" s="26">
        <v>45044</v>
      </c>
      <c r="Q492" s="2">
        <f t="shared" si="70"/>
        <v>1</v>
      </c>
      <c r="S492" s="7">
        <f t="shared" si="77"/>
        <v>1</v>
      </c>
      <c r="T492" s="157">
        <f t="shared" si="78"/>
        <v>1</v>
      </c>
      <c r="V492" s="191">
        <f t="shared" si="71"/>
        <v>4</v>
      </c>
      <c r="W492" s="7">
        <f t="shared" si="72"/>
        <v>2023</v>
      </c>
    </row>
    <row r="493" spans="1:23" ht="31.95" customHeight="1" thickBot="1" x14ac:dyDescent="0.35">
      <c r="A493" s="15">
        <f t="shared" si="73"/>
        <v>6</v>
      </c>
      <c r="B493" s="26">
        <v>45041</v>
      </c>
      <c r="C493" s="51">
        <f t="shared" si="79"/>
        <v>489</v>
      </c>
      <c r="D493" s="27" t="s">
        <v>321</v>
      </c>
      <c r="E493" s="26" t="s">
        <v>64</v>
      </c>
      <c r="F493" s="28" t="s">
        <v>11</v>
      </c>
      <c r="G493" s="28" t="s">
        <v>11</v>
      </c>
      <c r="H493" s="254"/>
      <c r="I493" s="49">
        <v>6</v>
      </c>
      <c r="J493" s="49">
        <v>6</v>
      </c>
      <c r="K493" s="52">
        <f t="shared" si="74"/>
        <v>1</v>
      </c>
      <c r="L493" s="209">
        <f t="shared" si="75"/>
        <v>0</v>
      </c>
      <c r="M493" s="210">
        <f t="shared" si="76"/>
        <v>0</v>
      </c>
      <c r="N493" s="26">
        <v>45041</v>
      </c>
      <c r="O493" s="26">
        <v>45041</v>
      </c>
      <c r="P493" s="26">
        <v>45041</v>
      </c>
      <c r="Q493" s="2">
        <f t="shared" si="70"/>
        <v>1</v>
      </c>
      <c r="S493" s="7">
        <f t="shared" si="77"/>
        <v>1</v>
      </c>
      <c r="T493" s="157">
        <f t="shared" si="78"/>
        <v>1</v>
      </c>
      <c r="V493" s="191">
        <f t="shared" si="71"/>
        <v>4</v>
      </c>
      <c r="W493" s="7">
        <f t="shared" si="72"/>
        <v>2023</v>
      </c>
    </row>
    <row r="494" spans="1:23" ht="31.95" customHeight="1" thickBot="1" x14ac:dyDescent="0.35">
      <c r="A494" s="15">
        <f t="shared" si="73"/>
        <v>4</v>
      </c>
      <c r="B494" s="26">
        <v>45041</v>
      </c>
      <c r="C494" s="51">
        <f t="shared" si="79"/>
        <v>490</v>
      </c>
      <c r="D494" s="27" t="s">
        <v>321</v>
      </c>
      <c r="E494" s="26" t="s">
        <v>98</v>
      </c>
      <c r="F494" s="28" t="s">
        <v>11</v>
      </c>
      <c r="G494" s="28" t="s">
        <v>11</v>
      </c>
      <c r="H494" s="254"/>
      <c r="I494" s="49">
        <v>4</v>
      </c>
      <c r="J494" s="49">
        <v>4</v>
      </c>
      <c r="K494" s="52">
        <f t="shared" si="74"/>
        <v>1</v>
      </c>
      <c r="L494" s="209">
        <f t="shared" si="75"/>
        <v>0</v>
      </c>
      <c r="M494" s="210">
        <f t="shared" si="76"/>
        <v>0</v>
      </c>
      <c r="N494" s="26">
        <v>45041</v>
      </c>
      <c r="O494" s="26">
        <v>45041</v>
      </c>
      <c r="P494" s="26">
        <v>45041</v>
      </c>
      <c r="Q494" s="2">
        <f t="shared" si="70"/>
        <v>1</v>
      </c>
      <c r="S494" s="7">
        <f t="shared" si="77"/>
        <v>1</v>
      </c>
      <c r="T494" s="157">
        <f t="shared" si="78"/>
        <v>1</v>
      </c>
      <c r="V494" s="191">
        <f t="shared" si="71"/>
        <v>4</v>
      </c>
      <c r="W494" s="7">
        <f t="shared" si="72"/>
        <v>2023</v>
      </c>
    </row>
    <row r="495" spans="1:23" ht="31.95" customHeight="1" thickBot="1" x14ac:dyDescent="0.35">
      <c r="A495" s="15">
        <f t="shared" si="73"/>
        <v>2</v>
      </c>
      <c r="B495" s="26">
        <v>45041</v>
      </c>
      <c r="C495" s="51">
        <f t="shared" si="79"/>
        <v>491</v>
      </c>
      <c r="D495" s="27" t="s">
        <v>321</v>
      </c>
      <c r="E495" s="26" t="s">
        <v>11</v>
      </c>
      <c r="F495" s="28" t="s">
        <v>11</v>
      </c>
      <c r="G495" s="28" t="s">
        <v>11</v>
      </c>
      <c r="H495" s="254"/>
      <c r="I495" s="49">
        <v>2</v>
      </c>
      <c r="J495" s="49">
        <v>2</v>
      </c>
      <c r="K495" s="52">
        <f t="shared" si="74"/>
        <v>1</v>
      </c>
      <c r="L495" s="209">
        <f t="shared" si="75"/>
        <v>0</v>
      </c>
      <c r="M495" s="210">
        <f t="shared" si="76"/>
        <v>0</v>
      </c>
      <c r="N495" s="26">
        <v>45042</v>
      </c>
      <c r="O495" s="26">
        <v>45042</v>
      </c>
      <c r="P495" s="26">
        <v>45042</v>
      </c>
      <c r="Q495" s="2">
        <f t="shared" si="70"/>
        <v>1</v>
      </c>
      <c r="S495" s="7">
        <f t="shared" si="77"/>
        <v>1</v>
      </c>
      <c r="T495" s="157">
        <f t="shared" si="78"/>
        <v>1</v>
      </c>
      <c r="V495" s="191">
        <f t="shared" si="71"/>
        <v>4</v>
      </c>
      <c r="W495" s="7">
        <f t="shared" si="72"/>
        <v>2023</v>
      </c>
    </row>
    <row r="496" spans="1:23" ht="31.95" customHeight="1" thickBot="1" x14ac:dyDescent="0.35">
      <c r="A496" s="15">
        <f t="shared" si="73"/>
        <v>11</v>
      </c>
      <c r="B496" s="26">
        <v>45041</v>
      </c>
      <c r="C496" s="51">
        <f t="shared" si="79"/>
        <v>492</v>
      </c>
      <c r="D496" s="27" t="s">
        <v>602</v>
      </c>
      <c r="E496" s="26" t="s">
        <v>70</v>
      </c>
      <c r="F496" s="28" t="s">
        <v>11</v>
      </c>
      <c r="G496" s="28" t="s">
        <v>11</v>
      </c>
      <c r="H496" s="254"/>
      <c r="I496" s="49">
        <v>11</v>
      </c>
      <c r="J496" s="49">
        <v>11</v>
      </c>
      <c r="K496" s="52">
        <f t="shared" si="74"/>
        <v>1</v>
      </c>
      <c r="L496" s="209">
        <f t="shared" si="75"/>
        <v>0</v>
      </c>
      <c r="M496" s="210">
        <f t="shared" si="76"/>
        <v>0</v>
      </c>
      <c r="N496" s="26">
        <v>45042</v>
      </c>
      <c r="O496" s="26">
        <v>45042</v>
      </c>
      <c r="P496" s="26">
        <v>45042</v>
      </c>
      <c r="Q496" s="2">
        <f t="shared" si="70"/>
        <v>1</v>
      </c>
      <c r="S496" s="7">
        <f t="shared" si="77"/>
        <v>1</v>
      </c>
      <c r="T496" s="157">
        <f t="shared" si="78"/>
        <v>1</v>
      </c>
      <c r="V496" s="191">
        <f t="shared" si="71"/>
        <v>4</v>
      </c>
      <c r="W496" s="7">
        <f t="shared" si="72"/>
        <v>2023</v>
      </c>
    </row>
    <row r="497" spans="1:23" ht="31.95" customHeight="1" thickBot="1" x14ac:dyDescent="0.35">
      <c r="A497" s="15">
        <f t="shared" si="73"/>
        <v>3</v>
      </c>
      <c r="B497" s="26">
        <v>45041</v>
      </c>
      <c r="C497" s="51">
        <f t="shared" si="79"/>
        <v>493</v>
      </c>
      <c r="D497" s="27" t="s">
        <v>524</v>
      </c>
      <c r="E497" s="26" t="s">
        <v>73</v>
      </c>
      <c r="F497" s="28" t="s">
        <v>11</v>
      </c>
      <c r="G497" s="28" t="s">
        <v>11</v>
      </c>
      <c r="H497" s="254"/>
      <c r="I497" s="49">
        <v>3</v>
      </c>
      <c r="J497" s="49">
        <v>3</v>
      </c>
      <c r="K497" s="52">
        <f t="shared" si="74"/>
        <v>1</v>
      </c>
      <c r="L497" s="209">
        <f t="shared" si="75"/>
        <v>0</v>
      </c>
      <c r="M497" s="210">
        <f t="shared" si="76"/>
        <v>0</v>
      </c>
      <c r="N497" s="28">
        <v>45044</v>
      </c>
      <c r="O497" s="26">
        <v>45044</v>
      </c>
      <c r="P497" s="26">
        <v>45044</v>
      </c>
      <c r="Q497" s="2">
        <f t="shared" si="70"/>
        <v>1</v>
      </c>
      <c r="S497" s="7">
        <f t="shared" si="77"/>
        <v>1</v>
      </c>
      <c r="T497" s="157">
        <f t="shared" si="78"/>
        <v>1</v>
      </c>
      <c r="V497" s="191">
        <f t="shared" si="71"/>
        <v>4</v>
      </c>
      <c r="W497" s="7">
        <f t="shared" si="72"/>
        <v>2023</v>
      </c>
    </row>
    <row r="498" spans="1:23" ht="31.95" customHeight="1" thickBot="1" x14ac:dyDescent="0.35">
      <c r="A498" s="15">
        <f t="shared" si="73"/>
        <v>2</v>
      </c>
      <c r="B498" s="26">
        <v>45041</v>
      </c>
      <c r="C498" s="51">
        <f t="shared" si="79"/>
        <v>494</v>
      </c>
      <c r="D498" s="27" t="s">
        <v>890</v>
      </c>
      <c r="E498" s="26" t="s">
        <v>73</v>
      </c>
      <c r="F498" s="28" t="s">
        <v>11</v>
      </c>
      <c r="G498" s="28" t="s">
        <v>11</v>
      </c>
      <c r="H498" s="254"/>
      <c r="I498" s="49">
        <v>2</v>
      </c>
      <c r="J498" s="49">
        <v>2</v>
      </c>
      <c r="K498" s="52">
        <f t="shared" si="74"/>
        <v>1</v>
      </c>
      <c r="L498" s="209">
        <f t="shared" si="75"/>
        <v>0</v>
      </c>
      <c r="M498" s="210">
        <f t="shared" si="76"/>
        <v>0</v>
      </c>
      <c r="N498" s="28">
        <v>45063</v>
      </c>
      <c r="O498" s="26">
        <v>45063</v>
      </c>
      <c r="P498" s="26">
        <v>45063</v>
      </c>
      <c r="Q498" s="2">
        <f t="shared" si="70"/>
        <v>1</v>
      </c>
      <c r="S498" s="7">
        <f t="shared" si="77"/>
        <v>1</v>
      </c>
      <c r="T498" s="157">
        <f t="shared" si="78"/>
        <v>1</v>
      </c>
      <c r="V498" s="191">
        <f t="shared" si="71"/>
        <v>4</v>
      </c>
      <c r="W498" s="7">
        <f t="shared" si="72"/>
        <v>2023</v>
      </c>
    </row>
    <row r="499" spans="1:23" ht="31.95" customHeight="1" thickBot="1" x14ac:dyDescent="0.35">
      <c r="A499" s="15">
        <f t="shared" si="73"/>
        <v>1</v>
      </c>
      <c r="B499" s="26">
        <v>45041</v>
      </c>
      <c r="C499" s="51">
        <f t="shared" si="79"/>
        <v>495</v>
      </c>
      <c r="D499" s="27" t="s">
        <v>524</v>
      </c>
      <c r="E499" s="26" t="s">
        <v>70</v>
      </c>
      <c r="F499" s="28" t="s">
        <v>11</v>
      </c>
      <c r="G499" s="28" t="s">
        <v>11</v>
      </c>
      <c r="H499" s="254"/>
      <c r="I499" s="49">
        <v>1</v>
      </c>
      <c r="J499" s="49">
        <v>1</v>
      </c>
      <c r="K499" s="52">
        <f t="shared" si="74"/>
        <v>1</v>
      </c>
      <c r="L499" s="209">
        <f t="shared" si="75"/>
        <v>0</v>
      </c>
      <c r="M499" s="210">
        <f t="shared" si="76"/>
        <v>0</v>
      </c>
      <c r="N499" s="26">
        <v>45044</v>
      </c>
      <c r="O499" s="26">
        <v>45044</v>
      </c>
      <c r="P499" s="26">
        <v>45044</v>
      </c>
      <c r="Q499" s="2">
        <f t="shared" si="70"/>
        <v>1</v>
      </c>
      <c r="S499" s="7">
        <f t="shared" si="77"/>
        <v>1</v>
      </c>
      <c r="T499" s="157">
        <f t="shared" si="78"/>
        <v>1</v>
      </c>
      <c r="V499" s="191">
        <f t="shared" si="71"/>
        <v>4</v>
      </c>
      <c r="W499" s="7">
        <f t="shared" si="72"/>
        <v>2023</v>
      </c>
    </row>
    <row r="500" spans="1:23" ht="31.95" customHeight="1" thickBot="1" x14ac:dyDescent="0.35">
      <c r="A500" s="15">
        <f t="shared" si="73"/>
        <v>4</v>
      </c>
      <c r="B500" s="26">
        <v>45041</v>
      </c>
      <c r="C500" s="51">
        <f t="shared" si="79"/>
        <v>496</v>
      </c>
      <c r="D500" s="27" t="s">
        <v>524</v>
      </c>
      <c r="E500" s="26" t="s">
        <v>72</v>
      </c>
      <c r="F500" s="28" t="s">
        <v>11</v>
      </c>
      <c r="G500" s="28" t="s">
        <v>11</v>
      </c>
      <c r="H500" s="254"/>
      <c r="I500" s="49">
        <v>4</v>
      </c>
      <c r="J500" s="49">
        <v>4</v>
      </c>
      <c r="K500" s="52">
        <f t="shared" si="74"/>
        <v>1</v>
      </c>
      <c r="L500" s="209">
        <f t="shared" si="75"/>
        <v>0</v>
      </c>
      <c r="M500" s="210">
        <f t="shared" si="76"/>
        <v>0</v>
      </c>
      <c r="N500" s="26">
        <v>45044</v>
      </c>
      <c r="O500" s="26">
        <v>45044</v>
      </c>
      <c r="P500" s="26">
        <v>45044</v>
      </c>
      <c r="Q500" s="2">
        <f t="shared" si="70"/>
        <v>1</v>
      </c>
      <c r="S500" s="7">
        <f t="shared" si="77"/>
        <v>1</v>
      </c>
      <c r="T500" s="157">
        <f t="shared" si="78"/>
        <v>1</v>
      </c>
      <c r="V500" s="191">
        <f t="shared" si="71"/>
        <v>4</v>
      </c>
      <c r="W500" s="7">
        <f t="shared" si="72"/>
        <v>2023</v>
      </c>
    </row>
    <row r="501" spans="1:23" ht="31.95" customHeight="1" thickBot="1" x14ac:dyDescent="0.35">
      <c r="A501" s="15">
        <f t="shared" si="73"/>
        <v>3</v>
      </c>
      <c r="B501" s="26">
        <v>45041</v>
      </c>
      <c r="C501" s="51">
        <f t="shared" si="79"/>
        <v>497</v>
      </c>
      <c r="D501" s="27" t="s">
        <v>890</v>
      </c>
      <c r="E501" s="26" t="s">
        <v>72</v>
      </c>
      <c r="F501" s="28" t="s">
        <v>11</v>
      </c>
      <c r="G501" s="28" t="s">
        <v>11</v>
      </c>
      <c r="H501" s="254"/>
      <c r="I501" s="49">
        <v>3</v>
      </c>
      <c r="J501" s="49">
        <v>3</v>
      </c>
      <c r="K501" s="52">
        <f t="shared" si="74"/>
        <v>1</v>
      </c>
      <c r="L501" s="209">
        <f t="shared" si="75"/>
        <v>0</v>
      </c>
      <c r="M501" s="210">
        <f t="shared" si="76"/>
        <v>0</v>
      </c>
      <c r="N501" s="26">
        <v>45063</v>
      </c>
      <c r="O501" s="26">
        <v>45063</v>
      </c>
      <c r="P501" s="26">
        <v>45063</v>
      </c>
      <c r="Q501" s="2">
        <f t="shared" si="70"/>
        <v>1</v>
      </c>
      <c r="S501" s="7">
        <f t="shared" si="77"/>
        <v>1</v>
      </c>
      <c r="T501" s="157">
        <f t="shared" si="78"/>
        <v>1</v>
      </c>
      <c r="V501" s="191">
        <f t="shared" si="71"/>
        <v>4</v>
      </c>
      <c r="W501" s="7">
        <f t="shared" si="72"/>
        <v>2023</v>
      </c>
    </row>
    <row r="502" spans="1:23" ht="31.95" customHeight="1" thickBot="1" x14ac:dyDescent="0.35">
      <c r="A502" s="15">
        <f t="shared" si="73"/>
        <v>2</v>
      </c>
      <c r="B502" s="26">
        <v>45041</v>
      </c>
      <c r="C502" s="51">
        <f t="shared" si="79"/>
        <v>498</v>
      </c>
      <c r="D502" s="27" t="s">
        <v>871</v>
      </c>
      <c r="E502" s="26" t="s">
        <v>73</v>
      </c>
      <c r="F502" s="28" t="s">
        <v>11</v>
      </c>
      <c r="G502" s="28" t="s">
        <v>11</v>
      </c>
      <c r="H502" s="254"/>
      <c r="I502" s="49">
        <v>2</v>
      </c>
      <c r="J502" s="49">
        <v>2</v>
      </c>
      <c r="K502" s="52">
        <f t="shared" si="74"/>
        <v>1</v>
      </c>
      <c r="L502" s="209">
        <f t="shared" si="75"/>
        <v>0</v>
      </c>
      <c r="M502" s="210">
        <f t="shared" si="76"/>
        <v>0</v>
      </c>
      <c r="N502" s="26">
        <v>45043</v>
      </c>
      <c r="O502" s="26">
        <v>45043</v>
      </c>
      <c r="P502" s="26">
        <v>45043</v>
      </c>
      <c r="Q502" s="2">
        <f t="shared" si="70"/>
        <v>1</v>
      </c>
      <c r="S502" s="7">
        <f t="shared" si="77"/>
        <v>1</v>
      </c>
      <c r="T502" s="157">
        <f t="shared" si="78"/>
        <v>1</v>
      </c>
      <c r="V502" s="191">
        <f t="shared" si="71"/>
        <v>4</v>
      </c>
      <c r="W502" s="7">
        <f t="shared" si="72"/>
        <v>2023</v>
      </c>
    </row>
    <row r="503" spans="1:23" ht="31.95" customHeight="1" thickBot="1" x14ac:dyDescent="0.35">
      <c r="A503" s="15">
        <f t="shared" si="73"/>
        <v>4</v>
      </c>
      <c r="B503" s="26">
        <v>45042</v>
      </c>
      <c r="C503" s="51">
        <f t="shared" si="79"/>
        <v>499</v>
      </c>
      <c r="D503" s="27" t="s">
        <v>871</v>
      </c>
      <c r="E503" s="26" t="s">
        <v>72</v>
      </c>
      <c r="F503" s="28" t="s">
        <v>11</v>
      </c>
      <c r="G503" s="28" t="s">
        <v>11</v>
      </c>
      <c r="H503" s="254"/>
      <c r="I503" s="49">
        <v>4</v>
      </c>
      <c r="J503" s="49">
        <v>4</v>
      </c>
      <c r="K503" s="52">
        <f t="shared" si="74"/>
        <v>1</v>
      </c>
      <c r="L503" s="209">
        <f t="shared" si="75"/>
        <v>0</v>
      </c>
      <c r="M503" s="210">
        <f t="shared" si="76"/>
        <v>0</v>
      </c>
      <c r="N503" s="26">
        <v>45048</v>
      </c>
      <c r="O503" s="26">
        <v>45048</v>
      </c>
      <c r="P503" s="26">
        <v>45048</v>
      </c>
      <c r="Q503" s="2">
        <f t="shared" si="70"/>
        <v>1</v>
      </c>
      <c r="S503" s="7">
        <f t="shared" si="77"/>
        <v>1</v>
      </c>
      <c r="T503" s="157">
        <f t="shared" si="78"/>
        <v>1</v>
      </c>
      <c r="V503" s="191">
        <f t="shared" si="71"/>
        <v>4</v>
      </c>
      <c r="W503" s="7">
        <f t="shared" si="72"/>
        <v>2023</v>
      </c>
    </row>
    <row r="504" spans="1:23" ht="31.95" customHeight="1" thickBot="1" x14ac:dyDescent="0.35">
      <c r="A504" s="15">
        <f t="shared" si="73"/>
        <v>1</v>
      </c>
      <c r="B504" s="26">
        <v>45042</v>
      </c>
      <c r="C504" s="51">
        <f t="shared" si="79"/>
        <v>500</v>
      </c>
      <c r="D504" s="27" t="s">
        <v>602</v>
      </c>
      <c r="E504" s="26" t="s">
        <v>72</v>
      </c>
      <c r="F504" s="28" t="s">
        <v>11</v>
      </c>
      <c r="G504" s="28" t="s">
        <v>11</v>
      </c>
      <c r="H504" s="254"/>
      <c r="I504" s="49">
        <v>1</v>
      </c>
      <c r="J504" s="49">
        <v>1</v>
      </c>
      <c r="K504" s="52">
        <f t="shared" si="74"/>
        <v>1</v>
      </c>
      <c r="L504" s="209">
        <f t="shared" si="75"/>
        <v>0</v>
      </c>
      <c r="M504" s="210">
        <f t="shared" si="76"/>
        <v>0</v>
      </c>
      <c r="N504" s="26">
        <v>45042</v>
      </c>
      <c r="O504" s="26">
        <v>45042</v>
      </c>
      <c r="P504" s="26">
        <v>45042</v>
      </c>
      <c r="Q504" s="2">
        <f t="shared" si="70"/>
        <v>1</v>
      </c>
      <c r="S504" s="7">
        <f t="shared" si="77"/>
        <v>1</v>
      </c>
      <c r="T504" s="157">
        <f t="shared" si="78"/>
        <v>1</v>
      </c>
      <c r="V504" s="191">
        <f t="shared" si="71"/>
        <v>4</v>
      </c>
      <c r="W504" s="7">
        <f t="shared" si="72"/>
        <v>2023</v>
      </c>
    </row>
    <row r="505" spans="1:23" ht="31.95" customHeight="1" thickBot="1" x14ac:dyDescent="0.35">
      <c r="A505" s="15">
        <f t="shared" si="73"/>
        <v>6</v>
      </c>
      <c r="B505" s="26">
        <v>45042</v>
      </c>
      <c r="C505" s="51">
        <f t="shared" si="79"/>
        <v>501</v>
      </c>
      <c r="D505" s="27" t="s">
        <v>1121</v>
      </c>
      <c r="E505" s="26" t="s">
        <v>69</v>
      </c>
      <c r="F505" s="28" t="s">
        <v>11</v>
      </c>
      <c r="G505" s="28" t="s">
        <v>11</v>
      </c>
      <c r="H505" s="254"/>
      <c r="I505" s="49">
        <v>6</v>
      </c>
      <c r="J505" s="49">
        <v>6</v>
      </c>
      <c r="K505" s="52">
        <f t="shared" si="74"/>
        <v>1</v>
      </c>
      <c r="L505" s="209">
        <f t="shared" si="75"/>
        <v>0</v>
      </c>
      <c r="M505" s="210">
        <f t="shared" si="76"/>
        <v>0</v>
      </c>
      <c r="N505" s="26">
        <v>45049</v>
      </c>
      <c r="O505" s="26">
        <v>45049</v>
      </c>
      <c r="P505" s="26">
        <v>45049</v>
      </c>
      <c r="Q505" s="2">
        <f t="shared" si="70"/>
        <v>1</v>
      </c>
      <c r="S505" s="7">
        <f t="shared" si="77"/>
        <v>1</v>
      </c>
      <c r="T505" s="157">
        <f t="shared" si="78"/>
        <v>1</v>
      </c>
      <c r="V505" s="191">
        <f t="shared" si="71"/>
        <v>4</v>
      </c>
      <c r="W505" s="7">
        <f t="shared" si="72"/>
        <v>2023</v>
      </c>
    </row>
    <row r="506" spans="1:23" ht="31.95" customHeight="1" thickBot="1" x14ac:dyDescent="0.35">
      <c r="A506" s="15">
        <f t="shared" si="73"/>
        <v>1</v>
      </c>
      <c r="B506" s="26">
        <v>45043</v>
      </c>
      <c r="C506" s="51">
        <f t="shared" si="79"/>
        <v>502</v>
      </c>
      <c r="D506" s="27" t="s">
        <v>978</v>
      </c>
      <c r="E506" s="26" t="s">
        <v>66</v>
      </c>
      <c r="F506" s="28" t="s">
        <v>11</v>
      </c>
      <c r="G506" s="28" t="s">
        <v>11</v>
      </c>
      <c r="H506" s="254"/>
      <c r="I506" s="49">
        <v>1</v>
      </c>
      <c r="J506" s="49">
        <v>1</v>
      </c>
      <c r="K506" s="52">
        <f t="shared" si="74"/>
        <v>1</v>
      </c>
      <c r="L506" s="209">
        <f t="shared" si="75"/>
        <v>0</v>
      </c>
      <c r="M506" s="210">
        <f t="shared" si="76"/>
        <v>0</v>
      </c>
      <c r="N506" s="26">
        <v>45043</v>
      </c>
      <c r="O506" s="26">
        <v>45043</v>
      </c>
      <c r="P506" s="26">
        <v>45043</v>
      </c>
      <c r="Q506" s="2">
        <f t="shared" si="70"/>
        <v>1</v>
      </c>
      <c r="S506" s="7">
        <f t="shared" si="77"/>
        <v>1</v>
      </c>
      <c r="T506" s="157">
        <f t="shared" si="78"/>
        <v>1</v>
      </c>
      <c r="V506" s="191">
        <f t="shared" si="71"/>
        <v>4</v>
      </c>
      <c r="W506" s="7">
        <f t="shared" si="72"/>
        <v>2023</v>
      </c>
    </row>
    <row r="507" spans="1:23" ht="31.95" customHeight="1" thickBot="1" x14ac:dyDescent="0.35">
      <c r="A507" s="15">
        <f t="shared" si="73"/>
        <v>1</v>
      </c>
      <c r="B507" s="26">
        <v>45043</v>
      </c>
      <c r="C507" s="51">
        <f t="shared" si="79"/>
        <v>503</v>
      </c>
      <c r="D507" s="27" t="s">
        <v>305</v>
      </c>
      <c r="E507" s="26" t="s">
        <v>11</v>
      </c>
      <c r="F507" s="28" t="s">
        <v>11</v>
      </c>
      <c r="G507" s="28" t="s">
        <v>11</v>
      </c>
      <c r="H507" s="254"/>
      <c r="I507" s="49">
        <v>1</v>
      </c>
      <c r="J507" s="49">
        <v>1</v>
      </c>
      <c r="K507" s="52">
        <f t="shared" si="74"/>
        <v>1</v>
      </c>
      <c r="L507" s="209">
        <f t="shared" si="75"/>
        <v>0</v>
      </c>
      <c r="M507" s="210">
        <f t="shared" si="76"/>
        <v>0</v>
      </c>
      <c r="N507" s="26">
        <v>45043</v>
      </c>
      <c r="O507" s="26">
        <v>45043</v>
      </c>
      <c r="P507" s="26">
        <v>45043</v>
      </c>
      <c r="Q507" s="2">
        <f t="shared" si="70"/>
        <v>1</v>
      </c>
      <c r="S507" s="7">
        <f t="shared" si="77"/>
        <v>1</v>
      </c>
      <c r="T507" s="157">
        <f t="shared" si="78"/>
        <v>1</v>
      </c>
      <c r="V507" s="191">
        <f t="shared" si="71"/>
        <v>4</v>
      </c>
      <c r="W507" s="7">
        <f t="shared" si="72"/>
        <v>2023</v>
      </c>
    </row>
    <row r="508" spans="1:23" ht="31.95" customHeight="1" thickBot="1" x14ac:dyDescent="0.35">
      <c r="A508" s="15">
        <f t="shared" si="73"/>
        <v>2</v>
      </c>
      <c r="B508" s="26">
        <v>45044</v>
      </c>
      <c r="C508" s="51">
        <f t="shared" si="79"/>
        <v>504</v>
      </c>
      <c r="D508" s="27" t="s">
        <v>705</v>
      </c>
      <c r="E508" s="26" t="s">
        <v>11</v>
      </c>
      <c r="F508" s="28" t="s">
        <v>11</v>
      </c>
      <c r="G508" s="28" t="s">
        <v>11</v>
      </c>
      <c r="H508" s="254"/>
      <c r="I508" s="49">
        <v>2</v>
      </c>
      <c r="J508" s="49">
        <v>2</v>
      </c>
      <c r="K508" s="52">
        <f t="shared" si="74"/>
        <v>1</v>
      </c>
      <c r="L508" s="209">
        <f t="shared" si="75"/>
        <v>0</v>
      </c>
      <c r="M508" s="210">
        <f t="shared" si="76"/>
        <v>0</v>
      </c>
      <c r="N508" s="26">
        <v>45044</v>
      </c>
      <c r="O508" s="26">
        <v>45044</v>
      </c>
      <c r="P508" s="26">
        <v>45044</v>
      </c>
      <c r="Q508" s="2">
        <f t="shared" si="70"/>
        <v>1</v>
      </c>
      <c r="S508" s="7">
        <f t="shared" si="77"/>
        <v>1</v>
      </c>
      <c r="T508" s="157">
        <f t="shared" si="78"/>
        <v>1</v>
      </c>
      <c r="V508" s="191">
        <f t="shared" si="71"/>
        <v>4</v>
      </c>
      <c r="W508" s="7">
        <f t="shared" si="72"/>
        <v>2023</v>
      </c>
    </row>
    <row r="509" spans="1:23" ht="31.95" customHeight="1" thickBot="1" x14ac:dyDescent="0.35">
      <c r="A509" s="15">
        <f t="shared" si="73"/>
        <v>2</v>
      </c>
      <c r="B509" s="26">
        <v>45044</v>
      </c>
      <c r="C509" s="51">
        <f t="shared" si="79"/>
        <v>505</v>
      </c>
      <c r="D509" s="27" t="s">
        <v>858</v>
      </c>
      <c r="E509" s="26" t="s">
        <v>11</v>
      </c>
      <c r="F509" s="28" t="s">
        <v>11</v>
      </c>
      <c r="G509" s="28" t="s">
        <v>11</v>
      </c>
      <c r="H509" s="254"/>
      <c r="I509" s="49">
        <v>2</v>
      </c>
      <c r="J509" s="49">
        <v>2</v>
      </c>
      <c r="K509" s="52">
        <f t="shared" si="74"/>
        <v>1</v>
      </c>
      <c r="L509" s="209">
        <f t="shared" si="75"/>
        <v>0</v>
      </c>
      <c r="M509" s="210">
        <f t="shared" si="76"/>
        <v>0</v>
      </c>
      <c r="N509" s="26">
        <v>45044</v>
      </c>
      <c r="O509" s="26">
        <v>45044</v>
      </c>
      <c r="P509" s="26">
        <v>45044</v>
      </c>
      <c r="Q509" s="2">
        <f t="shared" si="70"/>
        <v>1</v>
      </c>
      <c r="S509" s="7">
        <f t="shared" si="77"/>
        <v>1</v>
      </c>
      <c r="T509" s="157">
        <f t="shared" si="78"/>
        <v>1</v>
      </c>
      <c r="V509" s="191">
        <f t="shared" si="71"/>
        <v>4</v>
      </c>
      <c r="W509" s="7">
        <f t="shared" si="72"/>
        <v>2023</v>
      </c>
    </row>
    <row r="510" spans="1:23" ht="31.95" customHeight="1" thickBot="1" x14ac:dyDescent="0.35">
      <c r="A510" s="15">
        <f t="shared" si="73"/>
        <v>6</v>
      </c>
      <c r="B510" s="26">
        <v>45044</v>
      </c>
      <c r="C510" s="51">
        <f t="shared" si="79"/>
        <v>506</v>
      </c>
      <c r="D510" s="27" t="s">
        <v>305</v>
      </c>
      <c r="E510" s="26" t="s">
        <v>11</v>
      </c>
      <c r="F510" s="28" t="s">
        <v>11</v>
      </c>
      <c r="G510" s="28" t="s">
        <v>11</v>
      </c>
      <c r="H510" s="254"/>
      <c r="I510" s="49">
        <v>6</v>
      </c>
      <c r="J510" s="49">
        <v>6</v>
      </c>
      <c r="K510" s="52">
        <f t="shared" si="74"/>
        <v>1</v>
      </c>
      <c r="L510" s="209">
        <f t="shared" si="75"/>
        <v>0</v>
      </c>
      <c r="M510" s="210">
        <f t="shared" si="76"/>
        <v>0</v>
      </c>
      <c r="N510" s="26">
        <v>45044</v>
      </c>
      <c r="O510" s="26">
        <v>45044</v>
      </c>
      <c r="P510" s="26">
        <v>45044</v>
      </c>
      <c r="Q510" s="2">
        <f t="shared" si="70"/>
        <v>1</v>
      </c>
      <c r="S510" s="7">
        <f t="shared" si="77"/>
        <v>1</v>
      </c>
      <c r="T510" s="157">
        <f t="shared" si="78"/>
        <v>1</v>
      </c>
      <c r="V510" s="191">
        <f t="shared" si="71"/>
        <v>4</v>
      </c>
      <c r="W510" s="7">
        <f t="shared" si="72"/>
        <v>2023</v>
      </c>
    </row>
    <row r="511" spans="1:23" ht="31.95" customHeight="1" thickBot="1" x14ac:dyDescent="0.35">
      <c r="A511" s="15">
        <f t="shared" si="73"/>
        <v>1</v>
      </c>
      <c r="B511" s="26">
        <v>45050</v>
      </c>
      <c r="C511" s="51">
        <f t="shared" si="79"/>
        <v>507</v>
      </c>
      <c r="D511" s="27" t="s">
        <v>602</v>
      </c>
      <c r="E511" s="26" t="s">
        <v>74</v>
      </c>
      <c r="F511" s="28" t="s">
        <v>11</v>
      </c>
      <c r="G511" s="28" t="s">
        <v>11</v>
      </c>
      <c r="H511" s="254"/>
      <c r="I511" s="49">
        <v>1</v>
      </c>
      <c r="J511" s="49">
        <v>1</v>
      </c>
      <c r="K511" s="52">
        <f t="shared" si="74"/>
        <v>1</v>
      </c>
      <c r="L511" s="209">
        <f t="shared" si="75"/>
        <v>0</v>
      </c>
      <c r="M511" s="210">
        <f t="shared" si="76"/>
        <v>0</v>
      </c>
      <c r="N511" s="26">
        <v>45051</v>
      </c>
      <c r="O511" s="26">
        <v>45051</v>
      </c>
      <c r="P511" s="26">
        <v>45051</v>
      </c>
      <c r="Q511" s="2">
        <f t="shared" si="70"/>
        <v>1</v>
      </c>
      <c r="S511" s="7">
        <f t="shared" si="77"/>
        <v>1</v>
      </c>
      <c r="T511" s="157">
        <f t="shared" si="78"/>
        <v>1</v>
      </c>
      <c r="V511" s="191">
        <f t="shared" si="71"/>
        <v>5</v>
      </c>
      <c r="W511" s="7">
        <f t="shared" si="72"/>
        <v>2023</v>
      </c>
    </row>
    <row r="512" spans="1:23" ht="31.95" customHeight="1" thickBot="1" x14ac:dyDescent="0.35">
      <c r="A512" s="15">
        <f t="shared" si="73"/>
        <v>2</v>
      </c>
      <c r="B512" s="26">
        <v>45050</v>
      </c>
      <c r="C512" s="51">
        <f t="shared" si="79"/>
        <v>508</v>
      </c>
      <c r="D512" s="27" t="s">
        <v>594</v>
      </c>
      <c r="E512" s="26" t="s">
        <v>74</v>
      </c>
      <c r="F512" s="28" t="s">
        <v>11</v>
      </c>
      <c r="G512" s="28" t="s">
        <v>11</v>
      </c>
      <c r="H512" s="254"/>
      <c r="I512" s="49">
        <v>2</v>
      </c>
      <c r="J512" s="49">
        <v>2</v>
      </c>
      <c r="K512" s="52">
        <f t="shared" si="74"/>
        <v>1</v>
      </c>
      <c r="L512" s="209">
        <f t="shared" si="75"/>
        <v>0</v>
      </c>
      <c r="M512" s="210">
        <f t="shared" si="76"/>
        <v>0</v>
      </c>
      <c r="N512" s="26">
        <v>45051</v>
      </c>
      <c r="O512" s="26">
        <v>45051</v>
      </c>
      <c r="P512" s="26">
        <v>45051</v>
      </c>
      <c r="Q512" s="2">
        <f t="shared" si="70"/>
        <v>1</v>
      </c>
      <c r="S512" s="7">
        <f t="shared" si="77"/>
        <v>1</v>
      </c>
      <c r="T512" s="157">
        <f t="shared" si="78"/>
        <v>1</v>
      </c>
      <c r="V512" s="191">
        <f t="shared" si="71"/>
        <v>5</v>
      </c>
      <c r="W512" s="7">
        <f t="shared" si="72"/>
        <v>2023</v>
      </c>
    </row>
    <row r="513" spans="1:23" ht="31.95" customHeight="1" thickBot="1" x14ac:dyDescent="0.35">
      <c r="A513" s="15">
        <f t="shared" si="73"/>
        <v>2</v>
      </c>
      <c r="B513" s="26">
        <v>45050</v>
      </c>
      <c r="C513" s="51">
        <f t="shared" si="79"/>
        <v>509</v>
      </c>
      <c r="D513" s="27" t="s">
        <v>321</v>
      </c>
      <c r="E513" s="26" t="s">
        <v>74</v>
      </c>
      <c r="F513" s="28" t="s">
        <v>11</v>
      </c>
      <c r="G513" s="28" t="s">
        <v>11</v>
      </c>
      <c r="H513" s="254"/>
      <c r="I513" s="49">
        <v>2</v>
      </c>
      <c r="J513" s="49">
        <v>2</v>
      </c>
      <c r="K513" s="52">
        <f t="shared" si="74"/>
        <v>1</v>
      </c>
      <c r="L513" s="209">
        <f t="shared" si="75"/>
        <v>0</v>
      </c>
      <c r="M513" s="210">
        <f t="shared" si="76"/>
        <v>0</v>
      </c>
      <c r="N513" s="26">
        <v>45051</v>
      </c>
      <c r="O513" s="26">
        <v>45051</v>
      </c>
      <c r="P513" s="26">
        <v>45051</v>
      </c>
      <c r="Q513" s="2">
        <f t="shared" si="70"/>
        <v>1</v>
      </c>
      <c r="S513" s="7">
        <f t="shared" si="77"/>
        <v>1</v>
      </c>
      <c r="T513" s="157">
        <f t="shared" si="78"/>
        <v>1</v>
      </c>
      <c r="V513" s="191">
        <f t="shared" si="71"/>
        <v>5</v>
      </c>
      <c r="W513" s="7">
        <f t="shared" si="72"/>
        <v>2023</v>
      </c>
    </row>
    <row r="514" spans="1:23" ht="31.95" customHeight="1" thickBot="1" x14ac:dyDescent="0.35">
      <c r="A514" s="15">
        <f t="shared" si="73"/>
        <v>20</v>
      </c>
      <c r="B514" s="26">
        <v>45050</v>
      </c>
      <c r="C514" s="51">
        <f t="shared" si="79"/>
        <v>510</v>
      </c>
      <c r="D514" s="27" t="s">
        <v>269</v>
      </c>
      <c r="E514" s="26" t="s">
        <v>68</v>
      </c>
      <c r="F514" s="28" t="s">
        <v>11</v>
      </c>
      <c r="G514" s="28" t="s">
        <v>11</v>
      </c>
      <c r="H514" s="254"/>
      <c r="I514" s="49">
        <v>20</v>
      </c>
      <c r="J514" s="49">
        <v>20</v>
      </c>
      <c r="K514" s="52">
        <f t="shared" si="74"/>
        <v>1</v>
      </c>
      <c r="L514" s="209">
        <f t="shared" si="75"/>
        <v>0</v>
      </c>
      <c r="M514" s="210">
        <f t="shared" si="76"/>
        <v>0</v>
      </c>
      <c r="N514" s="26">
        <v>45051</v>
      </c>
      <c r="O514" s="26">
        <v>45051</v>
      </c>
      <c r="P514" s="26">
        <v>45051</v>
      </c>
      <c r="Q514" s="2">
        <f t="shared" si="70"/>
        <v>1</v>
      </c>
      <c r="S514" s="7">
        <f t="shared" si="77"/>
        <v>1</v>
      </c>
      <c r="T514" s="157">
        <f t="shared" si="78"/>
        <v>1</v>
      </c>
      <c r="V514" s="191">
        <f t="shared" si="71"/>
        <v>5</v>
      </c>
      <c r="W514" s="7">
        <f t="shared" si="72"/>
        <v>2023</v>
      </c>
    </row>
    <row r="515" spans="1:23" ht="31.95" customHeight="1" thickBot="1" x14ac:dyDescent="0.35">
      <c r="A515" s="15">
        <f t="shared" si="73"/>
        <v>1</v>
      </c>
      <c r="B515" s="26">
        <v>45050</v>
      </c>
      <c r="C515" s="51">
        <f t="shared" si="79"/>
        <v>511</v>
      </c>
      <c r="D515" s="27" t="s">
        <v>305</v>
      </c>
      <c r="E515" s="26" t="s">
        <v>68</v>
      </c>
      <c r="F515" s="28" t="s">
        <v>11</v>
      </c>
      <c r="G515" s="28" t="s">
        <v>11</v>
      </c>
      <c r="H515" s="254"/>
      <c r="I515" s="49">
        <v>1</v>
      </c>
      <c r="J515" s="49">
        <v>1</v>
      </c>
      <c r="K515" s="52">
        <f t="shared" si="74"/>
        <v>1</v>
      </c>
      <c r="L515" s="209">
        <f t="shared" si="75"/>
        <v>0</v>
      </c>
      <c r="M515" s="210">
        <f t="shared" si="76"/>
        <v>0</v>
      </c>
      <c r="N515" s="26">
        <v>45051</v>
      </c>
      <c r="O515" s="26">
        <v>45051</v>
      </c>
      <c r="P515" s="26">
        <v>45051</v>
      </c>
      <c r="Q515" s="2">
        <f t="shared" si="70"/>
        <v>1</v>
      </c>
      <c r="S515" s="7">
        <f t="shared" si="77"/>
        <v>1</v>
      </c>
      <c r="T515" s="157">
        <f t="shared" si="78"/>
        <v>1</v>
      </c>
      <c r="V515" s="191">
        <f t="shared" si="71"/>
        <v>5</v>
      </c>
      <c r="W515" s="7">
        <f t="shared" si="72"/>
        <v>2023</v>
      </c>
    </row>
    <row r="516" spans="1:23" ht="31.95" customHeight="1" thickBot="1" x14ac:dyDescent="0.35">
      <c r="A516" s="15">
        <f t="shared" si="73"/>
        <v>1</v>
      </c>
      <c r="B516" s="26">
        <v>45054</v>
      </c>
      <c r="C516" s="51">
        <f t="shared" si="79"/>
        <v>512</v>
      </c>
      <c r="D516" s="27" t="s">
        <v>890</v>
      </c>
      <c r="E516" s="26" t="s">
        <v>74</v>
      </c>
      <c r="F516" s="28" t="s">
        <v>11</v>
      </c>
      <c r="G516" s="28" t="s">
        <v>11</v>
      </c>
      <c r="H516" s="254"/>
      <c r="I516" s="49">
        <v>1</v>
      </c>
      <c r="J516" s="49">
        <v>1</v>
      </c>
      <c r="K516" s="52">
        <f t="shared" si="74"/>
        <v>1</v>
      </c>
      <c r="L516" s="209">
        <f t="shared" si="75"/>
        <v>0</v>
      </c>
      <c r="M516" s="210">
        <f t="shared" si="76"/>
        <v>0</v>
      </c>
      <c r="N516" s="26">
        <v>45075</v>
      </c>
      <c r="O516" s="26">
        <v>45075</v>
      </c>
      <c r="P516" s="26">
        <v>45075</v>
      </c>
      <c r="Q516" s="2">
        <f t="shared" si="70"/>
        <v>1</v>
      </c>
      <c r="S516" s="7">
        <f t="shared" si="77"/>
        <v>1</v>
      </c>
      <c r="T516" s="157">
        <f t="shared" si="78"/>
        <v>1</v>
      </c>
      <c r="V516" s="191">
        <f t="shared" si="71"/>
        <v>5</v>
      </c>
      <c r="W516" s="7">
        <f t="shared" si="72"/>
        <v>2023</v>
      </c>
    </row>
    <row r="517" spans="1:23" ht="31.95" customHeight="1" thickBot="1" x14ac:dyDescent="0.35">
      <c r="A517" s="15">
        <f t="shared" si="73"/>
        <v>4</v>
      </c>
      <c r="B517" s="26">
        <v>45054</v>
      </c>
      <c r="C517" s="51">
        <f t="shared" si="79"/>
        <v>513</v>
      </c>
      <c r="D517" s="27" t="s">
        <v>524</v>
      </c>
      <c r="E517" s="26" t="s">
        <v>75</v>
      </c>
      <c r="F517" s="28" t="s">
        <v>11</v>
      </c>
      <c r="G517" s="28" t="s">
        <v>11</v>
      </c>
      <c r="H517" s="254"/>
      <c r="I517" s="49">
        <v>4</v>
      </c>
      <c r="J517" s="49">
        <v>4</v>
      </c>
      <c r="K517" s="52">
        <f t="shared" si="74"/>
        <v>1</v>
      </c>
      <c r="L517" s="209">
        <f t="shared" si="75"/>
        <v>0</v>
      </c>
      <c r="M517" s="210">
        <f t="shared" si="76"/>
        <v>0</v>
      </c>
      <c r="N517" s="26">
        <v>45058</v>
      </c>
      <c r="O517" s="26">
        <v>45058</v>
      </c>
      <c r="P517" s="26">
        <v>45058</v>
      </c>
      <c r="Q517" s="2">
        <f t="shared" ref="Q517:Q580" si="80">IF(B517&lt;&gt;"",1,0)</f>
        <v>1</v>
      </c>
      <c r="S517" s="7">
        <f t="shared" si="77"/>
        <v>1</v>
      </c>
      <c r="T517" s="157">
        <f t="shared" si="78"/>
        <v>1</v>
      </c>
      <c r="V517" s="191">
        <f t="shared" ref="V517:V580" si="81">MONTH(B517)</f>
        <v>5</v>
      </c>
      <c r="W517" s="7">
        <f t="shared" ref="W517:W580" si="82">YEAR(B517)</f>
        <v>2023</v>
      </c>
    </row>
    <row r="518" spans="1:23" ht="31.95" customHeight="1" thickBot="1" x14ac:dyDescent="0.35">
      <c r="A518" s="15">
        <f t="shared" ref="A518:A581" si="83">J518</f>
        <v>3</v>
      </c>
      <c r="B518" s="26">
        <v>45054</v>
      </c>
      <c r="C518" s="51">
        <f t="shared" si="79"/>
        <v>514</v>
      </c>
      <c r="D518" s="27" t="s">
        <v>890</v>
      </c>
      <c r="E518" s="26" t="s">
        <v>75</v>
      </c>
      <c r="F518" s="28" t="s">
        <v>11</v>
      </c>
      <c r="G518" s="28" t="s">
        <v>11</v>
      </c>
      <c r="H518" s="254"/>
      <c r="I518" s="49">
        <v>3</v>
      </c>
      <c r="J518" s="49">
        <v>3</v>
      </c>
      <c r="K518" s="52">
        <f t="shared" ref="K518:K581" si="84">IFERROR(J518/I518,"")</f>
        <v>1</v>
      </c>
      <c r="L518" s="209">
        <f t="shared" ref="L518:L581" si="85">IF(I518="","",I518-J518)</f>
        <v>0</v>
      </c>
      <c r="M518" s="210">
        <f t="shared" ref="M518:M581" si="86">IFERROR(1-K518,"")</f>
        <v>0</v>
      </c>
      <c r="N518" s="28">
        <v>45075</v>
      </c>
      <c r="O518" s="26">
        <v>45075</v>
      </c>
      <c r="P518" s="26">
        <v>45075</v>
      </c>
      <c r="Q518" s="2">
        <f t="shared" si="80"/>
        <v>1</v>
      </c>
      <c r="S518" s="7">
        <f t="shared" ref="S518:S581" si="87">IF(AND(O518&lt;=N518,O518&lt;&gt;""),1,0)</f>
        <v>1</v>
      </c>
      <c r="T518" s="157">
        <f t="shared" ref="T518:T581" si="88">IF(AND(P518&lt;=N518,P518&lt;&gt;""),1,0)</f>
        <v>1</v>
      </c>
      <c r="V518" s="191">
        <f t="shared" si="81"/>
        <v>5</v>
      </c>
      <c r="W518" s="7">
        <f t="shared" si="82"/>
        <v>2023</v>
      </c>
    </row>
    <row r="519" spans="1:23" ht="31.95" customHeight="1" thickBot="1" x14ac:dyDescent="0.35">
      <c r="A519" s="15">
        <f t="shared" si="83"/>
        <v>6</v>
      </c>
      <c r="B519" s="26">
        <v>45054</v>
      </c>
      <c r="C519" s="51">
        <f t="shared" ref="C519:C582" si="89">IF(B519&lt;&gt;"",C518+1,"")</f>
        <v>515</v>
      </c>
      <c r="D519" s="27" t="s">
        <v>871</v>
      </c>
      <c r="E519" s="26" t="s">
        <v>75</v>
      </c>
      <c r="F519" s="28" t="s">
        <v>11</v>
      </c>
      <c r="G519" s="28" t="s">
        <v>11</v>
      </c>
      <c r="H519" s="254"/>
      <c r="I519" s="49">
        <v>6</v>
      </c>
      <c r="J519" s="49">
        <v>6</v>
      </c>
      <c r="K519" s="52">
        <f t="shared" si="84"/>
        <v>1</v>
      </c>
      <c r="L519" s="209">
        <f t="shared" si="85"/>
        <v>0</v>
      </c>
      <c r="M519" s="210">
        <f t="shared" si="86"/>
        <v>0</v>
      </c>
      <c r="N519" s="26">
        <v>45058</v>
      </c>
      <c r="O519" s="26">
        <v>45058</v>
      </c>
      <c r="P519" s="26">
        <v>45058</v>
      </c>
      <c r="Q519" s="2">
        <f t="shared" si="80"/>
        <v>1</v>
      </c>
      <c r="S519" s="7">
        <f t="shared" si="87"/>
        <v>1</v>
      </c>
      <c r="T519" s="157">
        <f t="shared" si="88"/>
        <v>1</v>
      </c>
      <c r="V519" s="191">
        <f t="shared" si="81"/>
        <v>5</v>
      </c>
      <c r="W519" s="7">
        <f t="shared" si="82"/>
        <v>2023</v>
      </c>
    </row>
    <row r="520" spans="1:23" ht="31.95" customHeight="1" thickBot="1" x14ac:dyDescent="0.35">
      <c r="A520" s="15">
        <f t="shared" si="83"/>
        <v>1</v>
      </c>
      <c r="B520" s="26">
        <v>45054</v>
      </c>
      <c r="C520" s="51">
        <f t="shared" si="89"/>
        <v>516</v>
      </c>
      <c r="D520" s="27" t="s">
        <v>945</v>
      </c>
      <c r="E520" s="26" t="s">
        <v>102</v>
      </c>
      <c r="F520" s="28" t="s">
        <v>11</v>
      </c>
      <c r="G520" s="28" t="s">
        <v>11</v>
      </c>
      <c r="H520" s="254"/>
      <c r="I520" s="49">
        <v>1</v>
      </c>
      <c r="J520" s="49">
        <v>1</v>
      </c>
      <c r="K520" s="52">
        <f t="shared" si="84"/>
        <v>1</v>
      </c>
      <c r="L520" s="209">
        <f t="shared" si="85"/>
        <v>0</v>
      </c>
      <c r="M520" s="210">
        <f t="shared" si="86"/>
        <v>0</v>
      </c>
      <c r="N520" s="28">
        <v>45058</v>
      </c>
      <c r="O520" s="26">
        <v>45058</v>
      </c>
      <c r="P520" s="26">
        <v>45058</v>
      </c>
      <c r="Q520" s="2">
        <f t="shared" si="80"/>
        <v>1</v>
      </c>
      <c r="S520" s="7">
        <f t="shared" si="87"/>
        <v>1</v>
      </c>
      <c r="T520" s="157">
        <f t="shared" si="88"/>
        <v>1</v>
      </c>
      <c r="V520" s="191">
        <f t="shared" si="81"/>
        <v>5</v>
      </c>
      <c r="W520" s="7">
        <f t="shared" si="82"/>
        <v>2023</v>
      </c>
    </row>
    <row r="521" spans="1:23" ht="31.95" customHeight="1" thickBot="1" x14ac:dyDescent="0.35">
      <c r="A521" s="15">
        <f t="shared" si="83"/>
        <v>6</v>
      </c>
      <c r="B521" s="26">
        <v>45054</v>
      </c>
      <c r="C521" s="51">
        <f t="shared" si="89"/>
        <v>517</v>
      </c>
      <c r="D521" s="27" t="s">
        <v>524</v>
      </c>
      <c r="E521" s="26" t="s">
        <v>76</v>
      </c>
      <c r="F521" s="28" t="s">
        <v>11</v>
      </c>
      <c r="G521" s="28" t="s">
        <v>11</v>
      </c>
      <c r="H521" s="254"/>
      <c r="I521" s="49">
        <v>6</v>
      </c>
      <c r="J521" s="49">
        <v>6</v>
      </c>
      <c r="K521" s="52">
        <f t="shared" si="84"/>
        <v>1</v>
      </c>
      <c r="L521" s="209">
        <f t="shared" si="85"/>
        <v>0</v>
      </c>
      <c r="M521" s="210">
        <f t="shared" si="86"/>
        <v>0</v>
      </c>
      <c r="N521" s="26">
        <v>45058</v>
      </c>
      <c r="O521" s="26">
        <v>45058</v>
      </c>
      <c r="P521" s="26">
        <v>45058</v>
      </c>
      <c r="Q521" s="2">
        <f t="shared" si="80"/>
        <v>1</v>
      </c>
      <c r="S521" s="7">
        <f t="shared" si="87"/>
        <v>1</v>
      </c>
      <c r="T521" s="157">
        <f t="shared" si="88"/>
        <v>1</v>
      </c>
      <c r="V521" s="191">
        <f t="shared" si="81"/>
        <v>5</v>
      </c>
      <c r="W521" s="7">
        <f t="shared" si="82"/>
        <v>2023</v>
      </c>
    </row>
    <row r="522" spans="1:23" ht="31.95" customHeight="1" thickBot="1" x14ac:dyDescent="0.35">
      <c r="A522" s="15">
        <f t="shared" si="83"/>
        <v>3</v>
      </c>
      <c r="B522" s="26">
        <v>45054</v>
      </c>
      <c r="C522" s="51">
        <f t="shared" si="89"/>
        <v>518</v>
      </c>
      <c r="D522" s="27" t="s">
        <v>594</v>
      </c>
      <c r="E522" s="26" t="s">
        <v>76</v>
      </c>
      <c r="F522" s="28" t="s">
        <v>11</v>
      </c>
      <c r="G522" s="28" t="s">
        <v>11</v>
      </c>
      <c r="H522" s="254"/>
      <c r="I522" s="49">
        <v>3</v>
      </c>
      <c r="J522" s="49">
        <v>3</v>
      </c>
      <c r="K522" s="52">
        <f t="shared" si="84"/>
        <v>1</v>
      </c>
      <c r="L522" s="209">
        <f t="shared" si="85"/>
        <v>0</v>
      </c>
      <c r="M522" s="210">
        <f t="shared" si="86"/>
        <v>0</v>
      </c>
      <c r="N522" s="26">
        <v>45069</v>
      </c>
      <c r="O522" s="26">
        <v>45069</v>
      </c>
      <c r="P522" s="26">
        <v>45069</v>
      </c>
      <c r="Q522" s="2">
        <f t="shared" si="80"/>
        <v>1</v>
      </c>
      <c r="S522" s="7">
        <f t="shared" si="87"/>
        <v>1</v>
      </c>
      <c r="T522" s="157">
        <f t="shared" si="88"/>
        <v>1</v>
      </c>
      <c r="V522" s="191">
        <f t="shared" si="81"/>
        <v>5</v>
      </c>
      <c r="W522" s="7">
        <f t="shared" si="82"/>
        <v>2023</v>
      </c>
    </row>
    <row r="523" spans="1:23" ht="31.95" customHeight="1" thickBot="1" x14ac:dyDescent="0.35">
      <c r="A523" s="15">
        <f t="shared" si="83"/>
        <v>3</v>
      </c>
      <c r="B523" s="26">
        <v>45054</v>
      </c>
      <c r="C523" s="51">
        <f t="shared" si="89"/>
        <v>519</v>
      </c>
      <c r="D523" s="27" t="s">
        <v>890</v>
      </c>
      <c r="E523" s="26" t="s">
        <v>76</v>
      </c>
      <c r="F523" s="28" t="s">
        <v>11</v>
      </c>
      <c r="G523" s="28" t="s">
        <v>11</v>
      </c>
      <c r="H523" s="254"/>
      <c r="I523" s="49">
        <v>3</v>
      </c>
      <c r="J523" s="49">
        <v>3</v>
      </c>
      <c r="K523" s="52">
        <f t="shared" si="84"/>
        <v>1</v>
      </c>
      <c r="L523" s="209">
        <f t="shared" si="85"/>
        <v>0</v>
      </c>
      <c r="M523" s="210">
        <f t="shared" si="86"/>
        <v>0</v>
      </c>
      <c r="N523" s="26">
        <v>45074</v>
      </c>
      <c r="O523" s="26">
        <v>45074</v>
      </c>
      <c r="P523" s="26">
        <v>45074</v>
      </c>
      <c r="Q523" s="2">
        <f t="shared" si="80"/>
        <v>1</v>
      </c>
      <c r="S523" s="7">
        <f t="shared" si="87"/>
        <v>1</v>
      </c>
      <c r="T523" s="157">
        <f t="shared" si="88"/>
        <v>1</v>
      </c>
      <c r="V523" s="191">
        <f t="shared" si="81"/>
        <v>5</v>
      </c>
      <c r="W523" s="7">
        <f t="shared" si="82"/>
        <v>2023</v>
      </c>
    </row>
    <row r="524" spans="1:23" ht="31.95" customHeight="1" thickBot="1" x14ac:dyDescent="0.35">
      <c r="A524" s="15">
        <f t="shared" si="83"/>
        <v>15</v>
      </c>
      <c r="B524" s="26">
        <v>45055</v>
      </c>
      <c r="C524" s="51">
        <f t="shared" si="89"/>
        <v>520</v>
      </c>
      <c r="D524" s="27" t="s">
        <v>524</v>
      </c>
      <c r="E524" s="26" t="s">
        <v>71</v>
      </c>
      <c r="F524" s="28" t="s">
        <v>11</v>
      </c>
      <c r="G524" s="28" t="s">
        <v>11</v>
      </c>
      <c r="H524" s="254"/>
      <c r="I524" s="49">
        <v>15</v>
      </c>
      <c r="J524" s="49">
        <v>15</v>
      </c>
      <c r="K524" s="52">
        <f t="shared" si="84"/>
        <v>1</v>
      </c>
      <c r="L524" s="209">
        <f t="shared" si="85"/>
        <v>0</v>
      </c>
      <c r="M524" s="210">
        <f t="shared" si="86"/>
        <v>0</v>
      </c>
      <c r="N524" s="26">
        <v>45057</v>
      </c>
      <c r="O524" s="26">
        <v>45057</v>
      </c>
      <c r="P524" s="26">
        <v>45057</v>
      </c>
      <c r="Q524" s="2">
        <f t="shared" si="80"/>
        <v>1</v>
      </c>
      <c r="S524" s="7">
        <f t="shared" si="87"/>
        <v>1</v>
      </c>
      <c r="T524" s="157">
        <f t="shared" si="88"/>
        <v>1</v>
      </c>
      <c r="V524" s="191">
        <f t="shared" si="81"/>
        <v>5</v>
      </c>
      <c r="W524" s="7">
        <f t="shared" si="82"/>
        <v>2023</v>
      </c>
    </row>
    <row r="525" spans="1:23" ht="31.95" customHeight="1" thickBot="1" x14ac:dyDescent="0.35">
      <c r="A525" s="15">
        <f t="shared" si="83"/>
        <v>4</v>
      </c>
      <c r="B525" s="26">
        <v>45055</v>
      </c>
      <c r="C525" s="51">
        <f t="shared" si="89"/>
        <v>521</v>
      </c>
      <c r="D525" s="27" t="s">
        <v>890</v>
      </c>
      <c r="E525" s="26" t="s">
        <v>71</v>
      </c>
      <c r="F525" s="28" t="s">
        <v>11</v>
      </c>
      <c r="G525" s="28" t="s">
        <v>11</v>
      </c>
      <c r="H525" s="254"/>
      <c r="I525" s="49">
        <v>4</v>
      </c>
      <c r="J525" s="49">
        <v>4</v>
      </c>
      <c r="K525" s="52">
        <f t="shared" si="84"/>
        <v>1</v>
      </c>
      <c r="L525" s="209">
        <f t="shared" si="85"/>
        <v>0</v>
      </c>
      <c r="M525" s="210">
        <f t="shared" si="86"/>
        <v>0</v>
      </c>
      <c r="N525" s="26">
        <v>45076</v>
      </c>
      <c r="O525" s="26">
        <v>45076</v>
      </c>
      <c r="P525" s="26">
        <v>45076</v>
      </c>
      <c r="Q525" s="2">
        <f t="shared" si="80"/>
        <v>1</v>
      </c>
      <c r="S525" s="7">
        <f t="shared" si="87"/>
        <v>1</v>
      </c>
      <c r="T525" s="157">
        <f t="shared" si="88"/>
        <v>1</v>
      </c>
      <c r="V525" s="191">
        <f t="shared" si="81"/>
        <v>5</v>
      </c>
      <c r="W525" s="7">
        <f t="shared" si="82"/>
        <v>2023</v>
      </c>
    </row>
    <row r="526" spans="1:23" ht="31.95" customHeight="1" thickBot="1" x14ac:dyDescent="0.35">
      <c r="A526" s="15">
        <f t="shared" si="83"/>
        <v>2</v>
      </c>
      <c r="B526" s="26">
        <v>45055</v>
      </c>
      <c r="C526" s="51">
        <f t="shared" si="89"/>
        <v>522</v>
      </c>
      <c r="D526" s="27" t="s">
        <v>822</v>
      </c>
      <c r="E526" s="26" t="s">
        <v>71</v>
      </c>
      <c r="F526" s="28" t="s">
        <v>11</v>
      </c>
      <c r="G526" s="28" t="s">
        <v>11</v>
      </c>
      <c r="H526" s="254"/>
      <c r="I526" s="49">
        <v>2</v>
      </c>
      <c r="J526" s="49">
        <v>2</v>
      </c>
      <c r="K526" s="52">
        <f t="shared" si="84"/>
        <v>1</v>
      </c>
      <c r="L526" s="209">
        <f t="shared" si="85"/>
        <v>0</v>
      </c>
      <c r="M526" s="210">
        <f t="shared" si="86"/>
        <v>0</v>
      </c>
      <c r="N526" s="26">
        <v>45057</v>
      </c>
      <c r="O526" s="26">
        <v>45057</v>
      </c>
      <c r="P526" s="26">
        <v>45057</v>
      </c>
      <c r="Q526" s="2">
        <f t="shared" si="80"/>
        <v>1</v>
      </c>
      <c r="S526" s="7">
        <f t="shared" si="87"/>
        <v>1</v>
      </c>
      <c r="T526" s="157">
        <f t="shared" si="88"/>
        <v>1</v>
      </c>
      <c r="V526" s="191">
        <f t="shared" si="81"/>
        <v>5</v>
      </c>
      <c r="W526" s="7">
        <f t="shared" si="82"/>
        <v>2023</v>
      </c>
    </row>
    <row r="527" spans="1:23" ht="31.95" customHeight="1" thickBot="1" x14ac:dyDescent="0.35">
      <c r="A527" s="15">
        <f t="shared" si="83"/>
        <v>3</v>
      </c>
      <c r="B527" s="26">
        <v>45055</v>
      </c>
      <c r="C527" s="51">
        <f t="shared" si="89"/>
        <v>523</v>
      </c>
      <c r="D527" s="27" t="s">
        <v>871</v>
      </c>
      <c r="E527" s="26" t="s">
        <v>71</v>
      </c>
      <c r="F527" s="28" t="s">
        <v>11</v>
      </c>
      <c r="G527" s="28" t="s">
        <v>11</v>
      </c>
      <c r="H527" s="254"/>
      <c r="I527" s="49">
        <v>3</v>
      </c>
      <c r="J527" s="49">
        <v>3</v>
      </c>
      <c r="K527" s="52">
        <f t="shared" si="84"/>
        <v>1</v>
      </c>
      <c r="L527" s="209">
        <f t="shared" si="85"/>
        <v>0</v>
      </c>
      <c r="M527" s="210">
        <f t="shared" si="86"/>
        <v>0</v>
      </c>
      <c r="N527" s="26">
        <v>45058</v>
      </c>
      <c r="O527" s="26">
        <v>45058</v>
      </c>
      <c r="P527" s="26">
        <v>45058</v>
      </c>
      <c r="Q527" s="2">
        <f t="shared" si="80"/>
        <v>1</v>
      </c>
      <c r="S527" s="7">
        <f t="shared" si="87"/>
        <v>1</v>
      </c>
      <c r="T527" s="157">
        <f t="shared" si="88"/>
        <v>1</v>
      </c>
      <c r="V527" s="191">
        <f t="shared" si="81"/>
        <v>5</v>
      </c>
      <c r="W527" s="7">
        <f t="shared" si="82"/>
        <v>2023</v>
      </c>
    </row>
    <row r="528" spans="1:23" ht="31.95" customHeight="1" thickBot="1" x14ac:dyDescent="0.35">
      <c r="A528" s="15">
        <f t="shared" si="83"/>
        <v>1</v>
      </c>
      <c r="B528" s="26">
        <v>45057</v>
      </c>
      <c r="C528" s="51">
        <f t="shared" si="89"/>
        <v>524</v>
      </c>
      <c r="D528" s="27" t="s">
        <v>524</v>
      </c>
      <c r="E528" s="26" t="s">
        <v>75</v>
      </c>
      <c r="F528" s="28" t="s">
        <v>11</v>
      </c>
      <c r="G528" s="28" t="s">
        <v>11</v>
      </c>
      <c r="H528" s="254"/>
      <c r="I528" s="49">
        <v>1</v>
      </c>
      <c r="J528" s="49">
        <v>1</v>
      </c>
      <c r="K528" s="52">
        <f t="shared" si="84"/>
        <v>1</v>
      </c>
      <c r="L528" s="209">
        <f t="shared" si="85"/>
        <v>0</v>
      </c>
      <c r="M528" s="210">
        <f t="shared" si="86"/>
        <v>0</v>
      </c>
      <c r="N528" s="26">
        <v>45058</v>
      </c>
      <c r="O528" s="26">
        <v>45058</v>
      </c>
      <c r="P528" s="26">
        <v>45058</v>
      </c>
      <c r="Q528" s="2">
        <f t="shared" si="80"/>
        <v>1</v>
      </c>
      <c r="S528" s="7">
        <f t="shared" si="87"/>
        <v>1</v>
      </c>
      <c r="T528" s="157">
        <f t="shared" si="88"/>
        <v>1</v>
      </c>
      <c r="V528" s="191">
        <f t="shared" si="81"/>
        <v>5</v>
      </c>
      <c r="W528" s="7">
        <f t="shared" si="82"/>
        <v>2023</v>
      </c>
    </row>
    <row r="529" spans="1:23" ht="31.95" customHeight="1" thickBot="1" x14ac:dyDescent="0.35">
      <c r="A529" s="15">
        <f t="shared" si="83"/>
        <v>1</v>
      </c>
      <c r="B529" s="26">
        <v>45057</v>
      </c>
      <c r="C529" s="51">
        <f t="shared" si="89"/>
        <v>525</v>
      </c>
      <c r="D529" s="27" t="s">
        <v>524</v>
      </c>
      <c r="E529" s="26" t="s">
        <v>1302</v>
      </c>
      <c r="F529" s="28" t="s">
        <v>11</v>
      </c>
      <c r="G529" s="28" t="s">
        <v>11</v>
      </c>
      <c r="H529" s="254"/>
      <c r="I529" s="49">
        <v>1</v>
      </c>
      <c r="J529" s="49">
        <v>1</v>
      </c>
      <c r="K529" s="52">
        <f t="shared" si="84"/>
        <v>1</v>
      </c>
      <c r="L529" s="209">
        <f t="shared" si="85"/>
        <v>0</v>
      </c>
      <c r="M529" s="210">
        <f t="shared" si="86"/>
        <v>0</v>
      </c>
      <c r="N529" s="26">
        <v>45058</v>
      </c>
      <c r="O529" s="26">
        <v>45058</v>
      </c>
      <c r="P529" s="26">
        <v>45058</v>
      </c>
      <c r="Q529" s="2">
        <f t="shared" si="80"/>
        <v>1</v>
      </c>
      <c r="S529" s="7">
        <f t="shared" si="87"/>
        <v>1</v>
      </c>
      <c r="T529" s="157">
        <f t="shared" si="88"/>
        <v>1</v>
      </c>
      <c r="V529" s="191">
        <f t="shared" si="81"/>
        <v>5</v>
      </c>
      <c r="W529" s="7">
        <f t="shared" si="82"/>
        <v>2023</v>
      </c>
    </row>
    <row r="530" spans="1:23" ht="31.95" customHeight="1" thickBot="1" x14ac:dyDescent="0.35">
      <c r="A530" s="15">
        <f t="shared" si="83"/>
        <v>1</v>
      </c>
      <c r="B530" s="26">
        <v>45057</v>
      </c>
      <c r="C530" s="51">
        <f t="shared" si="89"/>
        <v>526</v>
      </c>
      <c r="D530" s="27" t="s">
        <v>890</v>
      </c>
      <c r="E530" s="26" t="s">
        <v>1302</v>
      </c>
      <c r="F530" s="28" t="s">
        <v>11</v>
      </c>
      <c r="G530" s="28" t="s">
        <v>11</v>
      </c>
      <c r="H530" s="254"/>
      <c r="I530" s="49">
        <v>1</v>
      </c>
      <c r="J530" s="49">
        <v>1</v>
      </c>
      <c r="K530" s="52">
        <f t="shared" si="84"/>
        <v>1</v>
      </c>
      <c r="L530" s="209">
        <f t="shared" si="85"/>
        <v>0</v>
      </c>
      <c r="M530" s="210">
        <f t="shared" si="86"/>
        <v>0</v>
      </c>
      <c r="N530" s="26">
        <v>45064</v>
      </c>
      <c r="O530" s="26">
        <v>45064</v>
      </c>
      <c r="P530" s="26">
        <v>45064</v>
      </c>
      <c r="Q530" s="2">
        <f t="shared" si="80"/>
        <v>1</v>
      </c>
      <c r="S530" s="7">
        <f t="shared" si="87"/>
        <v>1</v>
      </c>
      <c r="T530" s="157">
        <f t="shared" si="88"/>
        <v>1</v>
      </c>
      <c r="V530" s="191">
        <f t="shared" si="81"/>
        <v>5</v>
      </c>
      <c r="W530" s="7">
        <f t="shared" si="82"/>
        <v>2023</v>
      </c>
    </row>
    <row r="531" spans="1:23" ht="31.95" customHeight="1" thickBot="1" x14ac:dyDescent="0.35">
      <c r="A531" s="15">
        <f t="shared" si="83"/>
        <v>1</v>
      </c>
      <c r="B531" s="26">
        <v>45057</v>
      </c>
      <c r="C531" s="51">
        <f t="shared" si="89"/>
        <v>527</v>
      </c>
      <c r="D531" s="27" t="s">
        <v>871</v>
      </c>
      <c r="E531" s="26" t="s">
        <v>75</v>
      </c>
      <c r="F531" s="28" t="s">
        <v>11</v>
      </c>
      <c r="G531" s="28" t="s">
        <v>11</v>
      </c>
      <c r="H531" s="254"/>
      <c r="I531" s="49">
        <v>1</v>
      </c>
      <c r="J531" s="49">
        <v>1</v>
      </c>
      <c r="K531" s="52">
        <f t="shared" si="84"/>
        <v>1</v>
      </c>
      <c r="L531" s="209">
        <f t="shared" si="85"/>
        <v>0</v>
      </c>
      <c r="M531" s="210">
        <f t="shared" si="86"/>
        <v>0</v>
      </c>
      <c r="N531" s="26">
        <v>45064</v>
      </c>
      <c r="O531" s="26">
        <v>45064</v>
      </c>
      <c r="P531" s="26">
        <v>45064</v>
      </c>
      <c r="Q531" s="2">
        <f t="shared" si="80"/>
        <v>1</v>
      </c>
      <c r="S531" s="7">
        <f t="shared" si="87"/>
        <v>1</v>
      </c>
      <c r="T531" s="157">
        <f t="shared" si="88"/>
        <v>1</v>
      </c>
      <c r="V531" s="191">
        <f t="shared" si="81"/>
        <v>5</v>
      </c>
      <c r="W531" s="7">
        <f t="shared" si="82"/>
        <v>2023</v>
      </c>
    </row>
    <row r="532" spans="1:23" ht="31.95" customHeight="1" thickBot="1" x14ac:dyDescent="0.35">
      <c r="A532" s="15">
        <f t="shared" si="83"/>
        <v>1</v>
      </c>
      <c r="B532" s="26">
        <v>45058</v>
      </c>
      <c r="C532" s="51">
        <f t="shared" si="89"/>
        <v>528</v>
      </c>
      <c r="D532" s="27" t="s">
        <v>890</v>
      </c>
      <c r="E532" s="26" t="s">
        <v>75</v>
      </c>
      <c r="F532" s="28" t="s">
        <v>11</v>
      </c>
      <c r="G532" s="28" t="s">
        <v>11</v>
      </c>
      <c r="H532" s="254"/>
      <c r="I532" s="49">
        <v>1</v>
      </c>
      <c r="J532" s="49">
        <v>1</v>
      </c>
      <c r="K532" s="52">
        <f t="shared" si="84"/>
        <v>1</v>
      </c>
      <c r="L532" s="209">
        <f t="shared" si="85"/>
        <v>0</v>
      </c>
      <c r="M532" s="210">
        <f t="shared" si="86"/>
        <v>0</v>
      </c>
      <c r="N532" s="26">
        <v>45068</v>
      </c>
      <c r="O532" s="26">
        <v>45068</v>
      </c>
      <c r="P532" s="26">
        <v>45068</v>
      </c>
      <c r="Q532" s="2">
        <f t="shared" si="80"/>
        <v>1</v>
      </c>
      <c r="S532" s="7">
        <f t="shared" si="87"/>
        <v>1</v>
      </c>
      <c r="T532" s="157">
        <f t="shared" si="88"/>
        <v>1</v>
      </c>
      <c r="V532" s="191">
        <f t="shared" si="81"/>
        <v>5</v>
      </c>
      <c r="W532" s="7">
        <f t="shared" si="82"/>
        <v>2023</v>
      </c>
    </row>
    <row r="533" spans="1:23" ht="31.95" customHeight="1" thickBot="1" x14ac:dyDescent="0.35">
      <c r="A533" s="15">
        <f t="shared" si="83"/>
        <v>1</v>
      </c>
      <c r="B533" s="26">
        <v>45058</v>
      </c>
      <c r="C533" s="51">
        <f t="shared" si="89"/>
        <v>529</v>
      </c>
      <c r="D533" s="27" t="s">
        <v>871</v>
      </c>
      <c r="E533" s="26" t="s">
        <v>1302</v>
      </c>
      <c r="F533" s="28" t="s">
        <v>11</v>
      </c>
      <c r="G533" s="28" t="s">
        <v>11</v>
      </c>
      <c r="H533" s="254"/>
      <c r="I533" s="49">
        <v>1</v>
      </c>
      <c r="J533" s="49">
        <v>1</v>
      </c>
      <c r="K533" s="52">
        <f t="shared" si="84"/>
        <v>1</v>
      </c>
      <c r="L533" s="209">
        <f t="shared" si="85"/>
        <v>0</v>
      </c>
      <c r="M533" s="210">
        <f t="shared" si="86"/>
        <v>0</v>
      </c>
      <c r="N533" s="26">
        <v>45061</v>
      </c>
      <c r="O533" s="26">
        <v>45061</v>
      </c>
      <c r="P533" s="26">
        <v>45061</v>
      </c>
      <c r="Q533" s="2">
        <f t="shared" si="80"/>
        <v>1</v>
      </c>
      <c r="S533" s="7">
        <f t="shared" si="87"/>
        <v>1</v>
      </c>
      <c r="T533" s="157">
        <f t="shared" si="88"/>
        <v>1</v>
      </c>
      <c r="V533" s="191">
        <f t="shared" si="81"/>
        <v>5</v>
      </c>
      <c r="W533" s="7">
        <f t="shared" si="82"/>
        <v>2023</v>
      </c>
    </row>
    <row r="534" spans="1:23" ht="31.95" customHeight="1" thickBot="1" x14ac:dyDescent="0.35">
      <c r="A534" s="15">
        <f t="shared" si="83"/>
        <v>1</v>
      </c>
      <c r="B534" s="26">
        <v>45058</v>
      </c>
      <c r="C534" s="51">
        <f t="shared" si="89"/>
        <v>530</v>
      </c>
      <c r="D534" s="27" t="s">
        <v>321</v>
      </c>
      <c r="E534" s="26" t="s">
        <v>98</v>
      </c>
      <c r="F534" s="28" t="s">
        <v>11</v>
      </c>
      <c r="G534" s="28" t="s">
        <v>11</v>
      </c>
      <c r="H534" s="254"/>
      <c r="I534" s="49">
        <v>1</v>
      </c>
      <c r="J534" s="49">
        <v>1</v>
      </c>
      <c r="K534" s="52">
        <f t="shared" si="84"/>
        <v>1</v>
      </c>
      <c r="L534" s="209">
        <f t="shared" si="85"/>
        <v>0</v>
      </c>
      <c r="M534" s="210">
        <f t="shared" si="86"/>
        <v>0</v>
      </c>
      <c r="N534" s="26">
        <v>45058</v>
      </c>
      <c r="O534" s="26">
        <v>45058</v>
      </c>
      <c r="P534" s="26">
        <v>45058</v>
      </c>
      <c r="Q534" s="2">
        <f t="shared" si="80"/>
        <v>1</v>
      </c>
      <c r="S534" s="7">
        <f t="shared" si="87"/>
        <v>1</v>
      </c>
      <c r="T534" s="157">
        <f t="shared" si="88"/>
        <v>1</v>
      </c>
      <c r="V534" s="191">
        <f t="shared" si="81"/>
        <v>5</v>
      </c>
      <c r="W534" s="7">
        <f t="shared" si="82"/>
        <v>2023</v>
      </c>
    </row>
    <row r="535" spans="1:23" ht="31.95" customHeight="1" thickBot="1" x14ac:dyDescent="0.35">
      <c r="A535" s="15">
        <f t="shared" si="83"/>
        <v>1</v>
      </c>
      <c r="B535" s="26">
        <v>45058</v>
      </c>
      <c r="C535" s="51">
        <f t="shared" si="89"/>
        <v>531</v>
      </c>
      <c r="D535" s="27" t="s">
        <v>890</v>
      </c>
      <c r="E535" s="26" t="s">
        <v>71</v>
      </c>
      <c r="F535" s="28" t="s">
        <v>11</v>
      </c>
      <c r="G535" s="28" t="s">
        <v>11</v>
      </c>
      <c r="H535" s="254"/>
      <c r="I535" s="49">
        <v>1</v>
      </c>
      <c r="J535" s="49">
        <v>1</v>
      </c>
      <c r="K535" s="52">
        <f t="shared" si="84"/>
        <v>1</v>
      </c>
      <c r="L535" s="209">
        <f t="shared" si="85"/>
        <v>0</v>
      </c>
      <c r="M535" s="210">
        <f t="shared" si="86"/>
        <v>0</v>
      </c>
      <c r="N535" s="26">
        <v>45082</v>
      </c>
      <c r="O535" s="26">
        <v>45082</v>
      </c>
      <c r="P535" s="26">
        <v>45082</v>
      </c>
      <c r="Q535" s="2">
        <f t="shared" si="80"/>
        <v>1</v>
      </c>
      <c r="S535" s="7">
        <f t="shared" si="87"/>
        <v>1</v>
      </c>
      <c r="T535" s="157">
        <f t="shared" si="88"/>
        <v>1</v>
      </c>
      <c r="V535" s="191">
        <f t="shared" si="81"/>
        <v>5</v>
      </c>
      <c r="W535" s="7">
        <f t="shared" si="82"/>
        <v>2023</v>
      </c>
    </row>
    <row r="536" spans="1:23" ht="31.95" customHeight="1" thickBot="1" x14ac:dyDescent="0.35">
      <c r="A536" s="15">
        <f t="shared" si="83"/>
        <v>1</v>
      </c>
      <c r="B536" s="26">
        <v>45058</v>
      </c>
      <c r="C536" s="51">
        <f t="shared" si="89"/>
        <v>532</v>
      </c>
      <c r="D536" s="27" t="s">
        <v>871</v>
      </c>
      <c r="E536" s="26" t="s">
        <v>71</v>
      </c>
      <c r="F536" s="28" t="s">
        <v>11</v>
      </c>
      <c r="G536" s="28" t="s">
        <v>11</v>
      </c>
      <c r="H536" s="254"/>
      <c r="I536" s="49">
        <v>1</v>
      </c>
      <c r="J536" s="49">
        <v>1</v>
      </c>
      <c r="K536" s="52">
        <f t="shared" si="84"/>
        <v>1</v>
      </c>
      <c r="L536" s="209">
        <f t="shared" si="85"/>
        <v>0</v>
      </c>
      <c r="M536" s="210">
        <f t="shared" si="86"/>
        <v>0</v>
      </c>
      <c r="N536" s="26">
        <v>45060</v>
      </c>
      <c r="O536" s="26">
        <v>45060</v>
      </c>
      <c r="P536" s="26">
        <v>45060</v>
      </c>
      <c r="Q536" s="2">
        <f t="shared" si="80"/>
        <v>1</v>
      </c>
      <c r="S536" s="7">
        <f t="shared" si="87"/>
        <v>1</v>
      </c>
      <c r="T536" s="157">
        <f t="shared" si="88"/>
        <v>1</v>
      </c>
      <c r="V536" s="191">
        <f t="shared" si="81"/>
        <v>5</v>
      </c>
      <c r="W536" s="7">
        <f t="shared" si="82"/>
        <v>2023</v>
      </c>
    </row>
    <row r="537" spans="1:23" ht="31.95" customHeight="1" thickBot="1" x14ac:dyDescent="0.35">
      <c r="A537" s="15">
        <f t="shared" si="83"/>
        <v>3</v>
      </c>
      <c r="B537" s="26">
        <v>45061</v>
      </c>
      <c r="C537" s="51">
        <f t="shared" si="89"/>
        <v>533</v>
      </c>
      <c r="D537" s="27" t="s">
        <v>269</v>
      </c>
      <c r="E537" s="26" t="s">
        <v>11</v>
      </c>
      <c r="F537" s="28" t="s">
        <v>11</v>
      </c>
      <c r="G537" s="28" t="s">
        <v>11</v>
      </c>
      <c r="H537" s="254"/>
      <c r="I537" s="49">
        <v>3</v>
      </c>
      <c r="J537" s="49">
        <v>3</v>
      </c>
      <c r="K537" s="52">
        <f t="shared" si="84"/>
        <v>1</v>
      </c>
      <c r="L537" s="209">
        <f t="shared" si="85"/>
        <v>0</v>
      </c>
      <c r="M537" s="210">
        <f t="shared" si="86"/>
        <v>0</v>
      </c>
      <c r="N537" s="26">
        <v>45062</v>
      </c>
      <c r="O537" s="26">
        <v>45062</v>
      </c>
      <c r="P537" s="26">
        <v>45062</v>
      </c>
      <c r="Q537" s="2">
        <f t="shared" si="80"/>
        <v>1</v>
      </c>
      <c r="S537" s="7">
        <f t="shared" si="87"/>
        <v>1</v>
      </c>
      <c r="T537" s="157">
        <f t="shared" si="88"/>
        <v>1</v>
      </c>
      <c r="V537" s="191">
        <f t="shared" si="81"/>
        <v>5</v>
      </c>
      <c r="W537" s="7">
        <f t="shared" si="82"/>
        <v>2023</v>
      </c>
    </row>
    <row r="538" spans="1:23" ht="31.95" customHeight="1" thickBot="1" x14ac:dyDescent="0.35">
      <c r="A538" s="15">
        <f t="shared" si="83"/>
        <v>2</v>
      </c>
      <c r="B538" s="26">
        <v>45061</v>
      </c>
      <c r="C538" s="51">
        <f t="shared" si="89"/>
        <v>534</v>
      </c>
      <c r="D538" s="27" t="s">
        <v>705</v>
      </c>
      <c r="E538" s="26" t="s">
        <v>11</v>
      </c>
      <c r="F538" s="28" t="s">
        <v>11</v>
      </c>
      <c r="G538" s="28" t="s">
        <v>11</v>
      </c>
      <c r="H538" s="254"/>
      <c r="I538" s="49">
        <v>2</v>
      </c>
      <c r="J538" s="49">
        <v>2</v>
      </c>
      <c r="K538" s="52">
        <f t="shared" si="84"/>
        <v>1</v>
      </c>
      <c r="L538" s="209">
        <f t="shared" si="85"/>
        <v>0</v>
      </c>
      <c r="M538" s="210">
        <f t="shared" si="86"/>
        <v>0</v>
      </c>
      <c r="N538" s="26">
        <v>45061</v>
      </c>
      <c r="O538" s="26">
        <v>45061</v>
      </c>
      <c r="P538" s="26">
        <v>45061</v>
      </c>
      <c r="Q538" s="2">
        <f t="shared" si="80"/>
        <v>1</v>
      </c>
      <c r="S538" s="7">
        <f t="shared" si="87"/>
        <v>1</v>
      </c>
      <c r="T538" s="157">
        <f t="shared" si="88"/>
        <v>1</v>
      </c>
      <c r="V538" s="191">
        <f t="shared" si="81"/>
        <v>5</v>
      </c>
      <c r="W538" s="7">
        <f t="shared" si="82"/>
        <v>2023</v>
      </c>
    </row>
    <row r="539" spans="1:23" ht="31.95" customHeight="1" thickBot="1" x14ac:dyDescent="0.35">
      <c r="A539" s="15">
        <f t="shared" si="83"/>
        <v>8</v>
      </c>
      <c r="B539" s="26">
        <v>45061</v>
      </c>
      <c r="C539" s="51">
        <f t="shared" si="89"/>
        <v>535</v>
      </c>
      <c r="D539" s="27" t="s">
        <v>305</v>
      </c>
      <c r="E539" s="26" t="s">
        <v>11</v>
      </c>
      <c r="F539" s="28" t="s">
        <v>11</v>
      </c>
      <c r="G539" s="28" t="s">
        <v>11</v>
      </c>
      <c r="H539" s="254"/>
      <c r="I539" s="49">
        <v>8</v>
      </c>
      <c r="J539" s="49">
        <v>8</v>
      </c>
      <c r="K539" s="52">
        <f t="shared" si="84"/>
        <v>1</v>
      </c>
      <c r="L539" s="209">
        <f t="shared" si="85"/>
        <v>0</v>
      </c>
      <c r="M539" s="210">
        <f t="shared" si="86"/>
        <v>0</v>
      </c>
      <c r="N539" s="26">
        <v>45061</v>
      </c>
      <c r="O539" s="26">
        <v>45061</v>
      </c>
      <c r="P539" s="26">
        <v>45061</v>
      </c>
      <c r="Q539" s="2">
        <f t="shared" si="80"/>
        <v>1</v>
      </c>
      <c r="S539" s="7">
        <f t="shared" si="87"/>
        <v>1</v>
      </c>
      <c r="T539" s="157">
        <f t="shared" si="88"/>
        <v>1</v>
      </c>
      <c r="V539" s="191">
        <f t="shared" si="81"/>
        <v>5</v>
      </c>
      <c r="W539" s="7">
        <f t="shared" si="82"/>
        <v>2023</v>
      </c>
    </row>
    <row r="540" spans="1:23" ht="31.95" customHeight="1" thickBot="1" x14ac:dyDescent="0.35">
      <c r="A540" s="15">
        <f t="shared" si="83"/>
        <v>1</v>
      </c>
      <c r="B540" s="26">
        <v>45061</v>
      </c>
      <c r="C540" s="51">
        <f t="shared" si="89"/>
        <v>536</v>
      </c>
      <c r="D540" s="27" t="s">
        <v>524</v>
      </c>
      <c r="E540" s="26" t="s">
        <v>1302</v>
      </c>
      <c r="F540" s="28" t="s">
        <v>11</v>
      </c>
      <c r="G540" s="28" t="s">
        <v>11</v>
      </c>
      <c r="H540" s="254"/>
      <c r="I540" s="49">
        <v>1</v>
      </c>
      <c r="J540" s="49">
        <v>1</v>
      </c>
      <c r="K540" s="52">
        <f t="shared" si="84"/>
        <v>1</v>
      </c>
      <c r="L540" s="209">
        <f t="shared" si="85"/>
        <v>0</v>
      </c>
      <c r="M540" s="210">
        <f t="shared" si="86"/>
        <v>0</v>
      </c>
      <c r="N540" s="26">
        <v>45063</v>
      </c>
      <c r="O540" s="26">
        <v>45063</v>
      </c>
      <c r="P540" s="26">
        <v>45063</v>
      </c>
      <c r="Q540" s="2">
        <f t="shared" si="80"/>
        <v>1</v>
      </c>
      <c r="S540" s="7">
        <f t="shared" si="87"/>
        <v>1</v>
      </c>
      <c r="T540" s="157">
        <f t="shared" si="88"/>
        <v>1</v>
      </c>
      <c r="V540" s="191">
        <f t="shared" si="81"/>
        <v>5</v>
      </c>
      <c r="W540" s="7">
        <f t="shared" si="82"/>
        <v>2023</v>
      </c>
    </row>
    <row r="541" spans="1:23" ht="31.95" customHeight="1" thickBot="1" x14ac:dyDescent="0.35">
      <c r="A541" s="15">
        <f t="shared" si="83"/>
        <v>4</v>
      </c>
      <c r="B541" s="26">
        <v>45061</v>
      </c>
      <c r="C541" s="51">
        <f t="shared" si="89"/>
        <v>537</v>
      </c>
      <c r="D541" s="27" t="s">
        <v>524</v>
      </c>
      <c r="E541" s="26" t="s">
        <v>71</v>
      </c>
      <c r="F541" s="28" t="s">
        <v>11</v>
      </c>
      <c r="G541" s="28" t="s">
        <v>11</v>
      </c>
      <c r="H541" s="254"/>
      <c r="I541" s="49">
        <v>4</v>
      </c>
      <c r="J541" s="49">
        <v>4</v>
      </c>
      <c r="K541" s="52">
        <f t="shared" si="84"/>
        <v>1</v>
      </c>
      <c r="L541" s="209">
        <f t="shared" si="85"/>
        <v>0</v>
      </c>
      <c r="M541" s="210">
        <f t="shared" si="86"/>
        <v>0</v>
      </c>
      <c r="N541" s="26">
        <v>45062</v>
      </c>
      <c r="O541" s="26">
        <v>45062</v>
      </c>
      <c r="P541" s="26">
        <v>45062</v>
      </c>
      <c r="Q541" s="2">
        <f t="shared" si="80"/>
        <v>1</v>
      </c>
      <c r="S541" s="7">
        <f t="shared" si="87"/>
        <v>1</v>
      </c>
      <c r="T541" s="157">
        <f t="shared" si="88"/>
        <v>1</v>
      </c>
      <c r="V541" s="191">
        <f t="shared" si="81"/>
        <v>5</v>
      </c>
      <c r="W541" s="7">
        <f t="shared" si="82"/>
        <v>2023</v>
      </c>
    </row>
    <row r="542" spans="1:23" ht="31.95" customHeight="1" thickBot="1" x14ac:dyDescent="0.35">
      <c r="A542" s="15">
        <f t="shared" si="83"/>
        <v>2</v>
      </c>
      <c r="B542" s="26">
        <v>45061</v>
      </c>
      <c r="C542" s="51">
        <f t="shared" si="89"/>
        <v>538</v>
      </c>
      <c r="D542" s="27" t="s">
        <v>524</v>
      </c>
      <c r="E542" s="26" t="s">
        <v>77</v>
      </c>
      <c r="F542" s="28" t="s">
        <v>11</v>
      </c>
      <c r="G542" s="28" t="s">
        <v>11</v>
      </c>
      <c r="H542" s="254"/>
      <c r="I542" s="49">
        <v>2</v>
      </c>
      <c r="J542" s="49">
        <v>2</v>
      </c>
      <c r="K542" s="52">
        <f t="shared" si="84"/>
        <v>1</v>
      </c>
      <c r="L542" s="209">
        <f t="shared" si="85"/>
        <v>0</v>
      </c>
      <c r="M542" s="210">
        <f t="shared" si="86"/>
        <v>0</v>
      </c>
      <c r="N542" s="26">
        <v>45062</v>
      </c>
      <c r="O542" s="26">
        <v>45062</v>
      </c>
      <c r="P542" s="26">
        <v>45062</v>
      </c>
      <c r="Q542" s="2">
        <f t="shared" si="80"/>
        <v>1</v>
      </c>
      <c r="S542" s="7">
        <f t="shared" si="87"/>
        <v>1</v>
      </c>
      <c r="T542" s="157">
        <f t="shared" si="88"/>
        <v>1</v>
      </c>
      <c r="V542" s="191">
        <f t="shared" si="81"/>
        <v>5</v>
      </c>
      <c r="W542" s="7">
        <f t="shared" si="82"/>
        <v>2023</v>
      </c>
    </row>
    <row r="543" spans="1:23" ht="31.95" customHeight="1" thickBot="1" x14ac:dyDescent="0.35">
      <c r="A543" s="15">
        <f t="shared" si="83"/>
        <v>2</v>
      </c>
      <c r="B543" s="26">
        <v>45061</v>
      </c>
      <c r="C543" s="51">
        <f t="shared" si="89"/>
        <v>539</v>
      </c>
      <c r="D543" s="27" t="s">
        <v>978</v>
      </c>
      <c r="E543" s="26" t="s">
        <v>77</v>
      </c>
      <c r="F543" s="28" t="s">
        <v>11</v>
      </c>
      <c r="G543" s="28" t="s">
        <v>11</v>
      </c>
      <c r="H543" s="254"/>
      <c r="I543" s="49">
        <v>2</v>
      </c>
      <c r="J543" s="49">
        <v>2</v>
      </c>
      <c r="K543" s="52">
        <f t="shared" si="84"/>
        <v>1</v>
      </c>
      <c r="L543" s="209">
        <f t="shared" si="85"/>
        <v>0</v>
      </c>
      <c r="M543" s="210">
        <f t="shared" si="86"/>
        <v>0</v>
      </c>
      <c r="N543" s="26">
        <v>45062</v>
      </c>
      <c r="O543" s="26">
        <v>45062</v>
      </c>
      <c r="P543" s="26">
        <v>45062</v>
      </c>
      <c r="Q543" s="2">
        <f t="shared" si="80"/>
        <v>1</v>
      </c>
      <c r="S543" s="7">
        <f t="shared" si="87"/>
        <v>1</v>
      </c>
      <c r="T543" s="157">
        <f t="shared" si="88"/>
        <v>1</v>
      </c>
      <c r="V543" s="191">
        <f t="shared" si="81"/>
        <v>5</v>
      </c>
      <c r="W543" s="7">
        <f t="shared" si="82"/>
        <v>2023</v>
      </c>
    </row>
    <row r="544" spans="1:23" ht="31.95" customHeight="1" thickBot="1" x14ac:dyDescent="0.35">
      <c r="A544" s="15">
        <f t="shared" si="83"/>
        <v>2</v>
      </c>
      <c r="B544" s="26">
        <v>45061</v>
      </c>
      <c r="C544" s="51">
        <f t="shared" si="89"/>
        <v>540</v>
      </c>
      <c r="D544" s="27" t="s">
        <v>871</v>
      </c>
      <c r="E544" s="26" t="s">
        <v>77</v>
      </c>
      <c r="F544" s="28" t="s">
        <v>11</v>
      </c>
      <c r="G544" s="28" t="s">
        <v>11</v>
      </c>
      <c r="H544" s="254"/>
      <c r="I544" s="49">
        <v>2</v>
      </c>
      <c r="J544" s="49">
        <v>2</v>
      </c>
      <c r="K544" s="52">
        <f t="shared" si="84"/>
        <v>1</v>
      </c>
      <c r="L544" s="209">
        <f t="shared" si="85"/>
        <v>0</v>
      </c>
      <c r="M544" s="210">
        <f t="shared" si="86"/>
        <v>0</v>
      </c>
      <c r="N544" s="26">
        <v>45063</v>
      </c>
      <c r="O544" s="26">
        <v>45063</v>
      </c>
      <c r="P544" s="26">
        <v>45063</v>
      </c>
      <c r="Q544" s="2">
        <f t="shared" si="80"/>
        <v>1</v>
      </c>
      <c r="S544" s="7">
        <f t="shared" si="87"/>
        <v>1</v>
      </c>
      <c r="T544" s="157">
        <f t="shared" si="88"/>
        <v>1</v>
      </c>
      <c r="V544" s="191">
        <f t="shared" si="81"/>
        <v>5</v>
      </c>
      <c r="W544" s="7">
        <f t="shared" si="82"/>
        <v>2023</v>
      </c>
    </row>
    <row r="545" spans="1:23" ht="31.95" customHeight="1" thickBot="1" x14ac:dyDescent="0.35">
      <c r="A545" s="15">
        <f t="shared" si="83"/>
        <v>2</v>
      </c>
      <c r="B545" s="26">
        <v>45061</v>
      </c>
      <c r="C545" s="51">
        <f t="shared" si="89"/>
        <v>541</v>
      </c>
      <c r="D545" s="27" t="s">
        <v>890</v>
      </c>
      <c r="E545" s="26" t="s">
        <v>77</v>
      </c>
      <c r="F545" s="28" t="s">
        <v>11</v>
      </c>
      <c r="G545" s="28" t="s">
        <v>11</v>
      </c>
      <c r="H545" s="254"/>
      <c r="I545" s="49">
        <v>2</v>
      </c>
      <c r="J545" s="49">
        <v>2</v>
      </c>
      <c r="K545" s="52">
        <f t="shared" si="84"/>
        <v>1</v>
      </c>
      <c r="L545" s="209">
        <f t="shared" si="85"/>
        <v>0</v>
      </c>
      <c r="M545" s="210">
        <f t="shared" si="86"/>
        <v>0</v>
      </c>
      <c r="N545" s="26">
        <v>45112</v>
      </c>
      <c r="O545" s="26">
        <v>45112</v>
      </c>
      <c r="P545" s="26">
        <v>45112</v>
      </c>
      <c r="Q545" s="2">
        <f t="shared" si="80"/>
        <v>1</v>
      </c>
      <c r="S545" s="7">
        <f t="shared" si="87"/>
        <v>1</v>
      </c>
      <c r="T545" s="157">
        <f t="shared" si="88"/>
        <v>1</v>
      </c>
      <c r="V545" s="191">
        <f t="shared" si="81"/>
        <v>5</v>
      </c>
      <c r="W545" s="7">
        <f t="shared" si="82"/>
        <v>2023</v>
      </c>
    </row>
    <row r="546" spans="1:23" ht="31.95" customHeight="1" thickBot="1" x14ac:dyDescent="0.35">
      <c r="A546" s="15">
        <f t="shared" si="83"/>
        <v>1</v>
      </c>
      <c r="B546" s="26">
        <v>45061</v>
      </c>
      <c r="C546" s="51">
        <f t="shared" si="89"/>
        <v>542</v>
      </c>
      <c r="D546" s="27" t="s">
        <v>602</v>
      </c>
      <c r="E546" s="26" t="s">
        <v>77</v>
      </c>
      <c r="F546" s="28" t="s">
        <v>11</v>
      </c>
      <c r="G546" s="28" t="s">
        <v>11</v>
      </c>
      <c r="H546" s="254"/>
      <c r="I546" s="49">
        <v>1</v>
      </c>
      <c r="J546" s="49">
        <v>1</v>
      </c>
      <c r="K546" s="52">
        <f t="shared" si="84"/>
        <v>1</v>
      </c>
      <c r="L546" s="209">
        <f t="shared" si="85"/>
        <v>0</v>
      </c>
      <c r="M546" s="210">
        <f t="shared" si="86"/>
        <v>0</v>
      </c>
      <c r="N546" s="26">
        <v>45062</v>
      </c>
      <c r="O546" s="26">
        <v>45062</v>
      </c>
      <c r="P546" s="26">
        <v>45062</v>
      </c>
      <c r="Q546" s="2">
        <f t="shared" si="80"/>
        <v>1</v>
      </c>
      <c r="S546" s="7">
        <f t="shared" si="87"/>
        <v>1</v>
      </c>
      <c r="T546" s="157">
        <f t="shared" si="88"/>
        <v>1</v>
      </c>
      <c r="V546" s="191">
        <f t="shared" si="81"/>
        <v>5</v>
      </c>
      <c r="W546" s="7">
        <f t="shared" si="82"/>
        <v>2023</v>
      </c>
    </row>
    <row r="547" spans="1:23" ht="31.95" customHeight="1" thickBot="1" x14ac:dyDescent="0.35">
      <c r="A547" s="15">
        <f t="shared" si="83"/>
        <v>1</v>
      </c>
      <c r="B547" s="26">
        <v>45063</v>
      </c>
      <c r="C547" s="51">
        <f t="shared" si="89"/>
        <v>543</v>
      </c>
      <c r="D547" s="27" t="s">
        <v>822</v>
      </c>
      <c r="E547" s="26" t="s">
        <v>11</v>
      </c>
      <c r="F547" s="28" t="s">
        <v>11</v>
      </c>
      <c r="G547" s="28" t="s">
        <v>11</v>
      </c>
      <c r="H547" s="254"/>
      <c r="I547" s="49">
        <v>1</v>
      </c>
      <c r="J547" s="49">
        <v>1</v>
      </c>
      <c r="K547" s="52">
        <f t="shared" si="84"/>
        <v>1</v>
      </c>
      <c r="L547" s="209">
        <f t="shared" si="85"/>
        <v>0</v>
      </c>
      <c r="M547" s="210">
        <f t="shared" si="86"/>
        <v>0</v>
      </c>
      <c r="N547" s="26">
        <v>45072</v>
      </c>
      <c r="O547" s="26">
        <v>45072</v>
      </c>
      <c r="P547" s="26">
        <v>45072</v>
      </c>
      <c r="Q547" s="2">
        <f t="shared" si="80"/>
        <v>1</v>
      </c>
      <c r="S547" s="7">
        <f t="shared" si="87"/>
        <v>1</v>
      </c>
      <c r="T547" s="157">
        <f t="shared" si="88"/>
        <v>1</v>
      </c>
      <c r="V547" s="191">
        <f t="shared" si="81"/>
        <v>5</v>
      </c>
      <c r="W547" s="7">
        <f t="shared" si="82"/>
        <v>2023</v>
      </c>
    </row>
    <row r="548" spans="1:23" ht="31.95" customHeight="1" thickBot="1" x14ac:dyDescent="0.35">
      <c r="A548" s="15">
        <f t="shared" si="83"/>
        <v>1</v>
      </c>
      <c r="B548" s="26">
        <v>45064</v>
      </c>
      <c r="C548" s="51">
        <f t="shared" si="89"/>
        <v>544</v>
      </c>
      <c r="D548" s="27" t="s">
        <v>822</v>
      </c>
      <c r="E548" s="26" t="s">
        <v>77</v>
      </c>
      <c r="F548" s="28" t="s">
        <v>11</v>
      </c>
      <c r="G548" s="28" t="s">
        <v>11</v>
      </c>
      <c r="H548" s="254"/>
      <c r="I548" s="49">
        <v>1</v>
      </c>
      <c r="J548" s="49">
        <v>1</v>
      </c>
      <c r="K548" s="52">
        <f t="shared" si="84"/>
        <v>1</v>
      </c>
      <c r="L548" s="209">
        <f t="shared" si="85"/>
        <v>0</v>
      </c>
      <c r="M548" s="210">
        <f t="shared" si="86"/>
        <v>0</v>
      </c>
      <c r="N548" s="26">
        <v>45064</v>
      </c>
      <c r="O548" s="26">
        <v>45064</v>
      </c>
      <c r="P548" s="26">
        <v>45064</v>
      </c>
      <c r="Q548" s="2">
        <f t="shared" si="80"/>
        <v>1</v>
      </c>
      <c r="S548" s="7">
        <f t="shared" si="87"/>
        <v>1</v>
      </c>
      <c r="T548" s="157">
        <f t="shared" si="88"/>
        <v>1</v>
      </c>
      <c r="V548" s="191">
        <f t="shared" si="81"/>
        <v>5</v>
      </c>
      <c r="W548" s="7">
        <f t="shared" si="82"/>
        <v>2023</v>
      </c>
    </row>
    <row r="549" spans="1:23" ht="31.95" customHeight="1" thickBot="1" x14ac:dyDescent="0.35">
      <c r="A549" s="15">
        <f t="shared" si="83"/>
        <v>1</v>
      </c>
      <c r="B549" s="26">
        <v>45064</v>
      </c>
      <c r="C549" s="51">
        <f t="shared" si="89"/>
        <v>545</v>
      </c>
      <c r="D549" s="27" t="s">
        <v>978</v>
      </c>
      <c r="E549" s="26" t="s">
        <v>64</v>
      </c>
      <c r="F549" s="28" t="s">
        <v>11</v>
      </c>
      <c r="G549" s="28" t="s">
        <v>11</v>
      </c>
      <c r="H549" s="254"/>
      <c r="I549" s="49">
        <v>1</v>
      </c>
      <c r="J549" s="49">
        <v>1</v>
      </c>
      <c r="K549" s="52">
        <f t="shared" si="84"/>
        <v>1</v>
      </c>
      <c r="L549" s="209">
        <f t="shared" si="85"/>
        <v>0</v>
      </c>
      <c r="M549" s="210">
        <f t="shared" si="86"/>
        <v>0</v>
      </c>
      <c r="N549" s="26">
        <v>45064</v>
      </c>
      <c r="O549" s="26">
        <v>45064</v>
      </c>
      <c r="P549" s="26">
        <v>45064</v>
      </c>
      <c r="Q549" s="2">
        <f t="shared" si="80"/>
        <v>1</v>
      </c>
      <c r="S549" s="7">
        <f t="shared" si="87"/>
        <v>1</v>
      </c>
      <c r="T549" s="157">
        <f t="shared" si="88"/>
        <v>1</v>
      </c>
      <c r="V549" s="191">
        <f t="shared" si="81"/>
        <v>5</v>
      </c>
      <c r="W549" s="7">
        <f t="shared" si="82"/>
        <v>2023</v>
      </c>
    </row>
    <row r="550" spans="1:23" ht="31.95" customHeight="1" thickBot="1" x14ac:dyDescent="0.35">
      <c r="A550" s="15">
        <f t="shared" si="83"/>
        <v>3</v>
      </c>
      <c r="B550" s="26">
        <v>45064</v>
      </c>
      <c r="C550" s="51">
        <f t="shared" si="89"/>
        <v>546</v>
      </c>
      <c r="D550" s="27" t="s">
        <v>269</v>
      </c>
      <c r="E550" s="26" t="s">
        <v>11</v>
      </c>
      <c r="F550" s="28" t="s">
        <v>11</v>
      </c>
      <c r="G550" s="28" t="s">
        <v>11</v>
      </c>
      <c r="H550" s="254"/>
      <c r="I550" s="49">
        <v>3</v>
      </c>
      <c r="J550" s="49">
        <v>3</v>
      </c>
      <c r="K550" s="52">
        <f t="shared" si="84"/>
        <v>1</v>
      </c>
      <c r="L550" s="209">
        <f t="shared" si="85"/>
        <v>0</v>
      </c>
      <c r="M550" s="210">
        <f t="shared" si="86"/>
        <v>0</v>
      </c>
      <c r="N550" s="26">
        <v>45064</v>
      </c>
      <c r="O550" s="26">
        <v>45064</v>
      </c>
      <c r="P550" s="26">
        <v>45064</v>
      </c>
      <c r="Q550" s="2">
        <f t="shared" si="80"/>
        <v>1</v>
      </c>
      <c r="S550" s="7">
        <f t="shared" si="87"/>
        <v>1</v>
      </c>
      <c r="T550" s="157">
        <f t="shared" si="88"/>
        <v>1</v>
      </c>
      <c r="V550" s="191">
        <f t="shared" si="81"/>
        <v>5</v>
      </c>
      <c r="W550" s="7">
        <f t="shared" si="82"/>
        <v>2023</v>
      </c>
    </row>
    <row r="551" spans="1:23" ht="31.95" customHeight="1" thickBot="1" x14ac:dyDescent="0.35">
      <c r="A551" s="15">
        <f t="shared" si="83"/>
        <v>3</v>
      </c>
      <c r="B551" s="26">
        <v>45064</v>
      </c>
      <c r="C551" s="51">
        <f t="shared" si="89"/>
        <v>547</v>
      </c>
      <c r="D551" s="27" t="s">
        <v>305</v>
      </c>
      <c r="E551" s="26" t="s">
        <v>11</v>
      </c>
      <c r="F551" s="28" t="s">
        <v>11</v>
      </c>
      <c r="G551" s="28" t="s">
        <v>11</v>
      </c>
      <c r="H551" s="254"/>
      <c r="I551" s="49">
        <v>3</v>
      </c>
      <c r="J551" s="49">
        <v>3</v>
      </c>
      <c r="K551" s="52">
        <f t="shared" si="84"/>
        <v>1</v>
      </c>
      <c r="L551" s="209">
        <f t="shared" si="85"/>
        <v>0</v>
      </c>
      <c r="M551" s="210">
        <f t="shared" si="86"/>
        <v>0</v>
      </c>
      <c r="N551" s="26">
        <v>45064</v>
      </c>
      <c r="O551" s="26">
        <v>45064</v>
      </c>
      <c r="P551" s="26">
        <v>45064</v>
      </c>
      <c r="Q551" s="2">
        <f t="shared" si="80"/>
        <v>1</v>
      </c>
      <c r="S551" s="7">
        <f t="shared" si="87"/>
        <v>1</v>
      </c>
      <c r="T551" s="157">
        <f t="shared" si="88"/>
        <v>1</v>
      </c>
      <c r="V551" s="191">
        <f t="shared" si="81"/>
        <v>5</v>
      </c>
      <c r="W551" s="7">
        <f t="shared" si="82"/>
        <v>2023</v>
      </c>
    </row>
    <row r="552" spans="1:23" ht="31.95" customHeight="1" thickBot="1" x14ac:dyDescent="0.35">
      <c r="A552" s="15">
        <f t="shared" si="83"/>
        <v>5</v>
      </c>
      <c r="B552" s="26">
        <v>45064</v>
      </c>
      <c r="C552" s="51">
        <f t="shared" si="89"/>
        <v>548</v>
      </c>
      <c r="D552" s="27" t="s">
        <v>858</v>
      </c>
      <c r="E552" s="26" t="s">
        <v>11</v>
      </c>
      <c r="F552" s="28" t="s">
        <v>11</v>
      </c>
      <c r="G552" s="28" t="s">
        <v>11</v>
      </c>
      <c r="H552" s="254"/>
      <c r="I552" s="49">
        <v>5</v>
      </c>
      <c r="J552" s="49">
        <v>5</v>
      </c>
      <c r="K552" s="52">
        <f t="shared" si="84"/>
        <v>1</v>
      </c>
      <c r="L552" s="209">
        <f t="shared" si="85"/>
        <v>0</v>
      </c>
      <c r="M552" s="210">
        <f t="shared" si="86"/>
        <v>0</v>
      </c>
      <c r="N552" s="26">
        <v>45064</v>
      </c>
      <c r="O552" s="26">
        <v>45064</v>
      </c>
      <c r="P552" s="26">
        <v>45064</v>
      </c>
      <c r="Q552" s="2">
        <f t="shared" si="80"/>
        <v>1</v>
      </c>
      <c r="S552" s="7">
        <f t="shared" si="87"/>
        <v>1</v>
      </c>
      <c r="T552" s="157">
        <f t="shared" si="88"/>
        <v>1</v>
      </c>
      <c r="V552" s="191">
        <f t="shared" si="81"/>
        <v>5</v>
      </c>
      <c r="W552" s="7">
        <f t="shared" si="82"/>
        <v>2023</v>
      </c>
    </row>
    <row r="553" spans="1:23" ht="31.95" customHeight="1" thickBot="1" x14ac:dyDescent="0.35">
      <c r="A553" s="15">
        <f t="shared" si="83"/>
        <v>2</v>
      </c>
      <c r="B553" s="26">
        <v>45064</v>
      </c>
      <c r="C553" s="51">
        <f t="shared" si="89"/>
        <v>549</v>
      </c>
      <c r="D553" s="27" t="s">
        <v>1206</v>
      </c>
      <c r="E553" s="26" t="s">
        <v>1305</v>
      </c>
      <c r="F553" s="28" t="s">
        <v>11</v>
      </c>
      <c r="G553" s="28" t="s">
        <v>11</v>
      </c>
      <c r="H553" s="254"/>
      <c r="I553" s="49">
        <v>2</v>
      </c>
      <c r="J553" s="49">
        <v>2</v>
      </c>
      <c r="K553" s="52">
        <f t="shared" si="84"/>
        <v>1</v>
      </c>
      <c r="L553" s="209">
        <f t="shared" si="85"/>
        <v>0</v>
      </c>
      <c r="M553" s="210">
        <f t="shared" si="86"/>
        <v>0</v>
      </c>
      <c r="N553" s="26">
        <v>45064</v>
      </c>
      <c r="O553" s="26">
        <v>45064</v>
      </c>
      <c r="P553" s="26">
        <v>45064</v>
      </c>
      <c r="Q553" s="2">
        <f t="shared" si="80"/>
        <v>1</v>
      </c>
      <c r="S553" s="7">
        <f t="shared" si="87"/>
        <v>1</v>
      </c>
      <c r="T553" s="157">
        <f t="shared" si="88"/>
        <v>1</v>
      </c>
      <c r="V553" s="191">
        <f t="shared" si="81"/>
        <v>5</v>
      </c>
      <c r="W553" s="7">
        <f t="shared" si="82"/>
        <v>2023</v>
      </c>
    </row>
    <row r="554" spans="1:23" ht="31.95" customHeight="1" thickBot="1" x14ac:dyDescent="0.35">
      <c r="A554" s="15">
        <f t="shared" si="83"/>
        <v>3</v>
      </c>
      <c r="B554" s="26">
        <v>45064</v>
      </c>
      <c r="C554" s="51">
        <f t="shared" si="89"/>
        <v>550</v>
      </c>
      <c r="D554" s="27" t="s">
        <v>524</v>
      </c>
      <c r="E554" s="26" t="s">
        <v>69</v>
      </c>
      <c r="F554" s="28" t="s">
        <v>11</v>
      </c>
      <c r="G554" s="28" t="s">
        <v>11</v>
      </c>
      <c r="H554" s="254"/>
      <c r="I554" s="49">
        <v>3</v>
      </c>
      <c r="J554" s="49">
        <v>3</v>
      </c>
      <c r="K554" s="52">
        <f t="shared" si="84"/>
        <v>1</v>
      </c>
      <c r="L554" s="209">
        <f t="shared" si="85"/>
        <v>0</v>
      </c>
      <c r="M554" s="210">
        <f t="shared" si="86"/>
        <v>0</v>
      </c>
      <c r="N554" s="26">
        <v>45065</v>
      </c>
      <c r="O554" s="26">
        <v>45065</v>
      </c>
      <c r="P554" s="26">
        <v>45065</v>
      </c>
      <c r="Q554" s="2">
        <f t="shared" si="80"/>
        <v>1</v>
      </c>
      <c r="S554" s="7">
        <f t="shared" si="87"/>
        <v>1</v>
      </c>
      <c r="T554" s="157">
        <f t="shared" si="88"/>
        <v>1</v>
      </c>
      <c r="V554" s="191">
        <f t="shared" si="81"/>
        <v>5</v>
      </c>
      <c r="W554" s="7">
        <f t="shared" si="82"/>
        <v>2023</v>
      </c>
    </row>
    <row r="555" spans="1:23" ht="31.95" customHeight="1" thickBot="1" x14ac:dyDescent="0.35">
      <c r="A555" s="15">
        <f t="shared" si="83"/>
        <v>1</v>
      </c>
      <c r="B555" s="26">
        <v>45064</v>
      </c>
      <c r="C555" s="51">
        <f t="shared" si="89"/>
        <v>551</v>
      </c>
      <c r="D555" s="27" t="s">
        <v>978</v>
      </c>
      <c r="E555" s="26" t="s">
        <v>69</v>
      </c>
      <c r="F555" s="28" t="s">
        <v>11</v>
      </c>
      <c r="G555" s="28" t="s">
        <v>11</v>
      </c>
      <c r="H555" s="254"/>
      <c r="I555" s="49">
        <v>1</v>
      </c>
      <c r="J555" s="49">
        <v>1</v>
      </c>
      <c r="K555" s="52">
        <f t="shared" si="84"/>
        <v>1</v>
      </c>
      <c r="L555" s="209">
        <f t="shared" si="85"/>
        <v>0</v>
      </c>
      <c r="M555" s="210">
        <f t="shared" si="86"/>
        <v>0</v>
      </c>
      <c r="N555" s="26">
        <v>45065</v>
      </c>
      <c r="O555" s="26">
        <v>45065</v>
      </c>
      <c r="P555" s="26">
        <v>45065</v>
      </c>
      <c r="Q555" s="2">
        <f t="shared" si="80"/>
        <v>1</v>
      </c>
      <c r="S555" s="7">
        <f t="shared" si="87"/>
        <v>1</v>
      </c>
      <c r="T555" s="157">
        <f t="shared" si="88"/>
        <v>1</v>
      </c>
      <c r="V555" s="191">
        <f t="shared" si="81"/>
        <v>5</v>
      </c>
      <c r="W555" s="7">
        <f t="shared" si="82"/>
        <v>2023</v>
      </c>
    </row>
    <row r="556" spans="1:23" ht="31.95" customHeight="1" thickBot="1" x14ac:dyDescent="0.35">
      <c r="A556" s="15">
        <f t="shared" si="83"/>
        <v>1</v>
      </c>
      <c r="B556" s="26">
        <v>45069</v>
      </c>
      <c r="C556" s="51">
        <f t="shared" si="89"/>
        <v>552</v>
      </c>
      <c r="D556" s="27" t="s">
        <v>953</v>
      </c>
      <c r="E556" s="26" t="s">
        <v>11</v>
      </c>
      <c r="F556" s="28" t="s">
        <v>11</v>
      </c>
      <c r="G556" s="28" t="s">
        <v>11</v>
      </c>
      <c r="H556" s="254"/>
      <c r="I556" s="49">
        <v>1</v>
      </c>
      <c r="J556" s="49">
        <v>1</v>
      </c>
      <c r="K556" s="52">
        <f t="shared" si="84"/>
        <v>1</v>
      </c>
      <c r="L556" s="209">
        <f t="shared" si="85"/>
        <v>0</v>
      </c>
      <c r="M556" s="210">
        <f t="shared" si="86"/>
        <v>0</v>
      </c>
      <c r="N556" s="26">
        <v>45069</v>
      </c>
      <c r="O556" s="26">
        <v>45069</v>
      </c>
      <c r="P556" s="26">
        <v>45069</v>
      </c>
      <c r="Q556" s="2">
        <f t="shared" si="80"/>
        <v>1</v>
      </c>
      <c r="S556" s="7">
        <f t="shared" si="87"/>
        <v>1</v>
      </c>
      <c r="T556" s="157">
        <f t="shared" si="88"/>
        <v>1</v>
      </c>
      <c r="V556" s="191">
        <f t="shared" si="81"/>
        <v>5</v>
      </c>
      <c r="W556" s="7">
        <f t="shared" si="82"/>
        <v>2023</v>
      </c>
    </row>
    <row r="557" spans="1:23" ht="31.95" customHeight="1" thickBot="1" x14ac:dyDescent="0.35">
      <c r="A557" s="15">
        <f t="shared" si="83"/>
        <v>2</v>
      </c>
      <c r="B557" s="26">
        <v>45069</v>
      </c>
      <c r="C557" s="51">
        <f t="shared" si="89"/>
        <v>553</v>
      </c>
      <c r="D557" s="27" t="s">
        <v>524</v>
      </c>
      <c r="E557" s="26" t="s">
        <v>71</v>
      </c>
      <c r="F557" s="28" t="s">
        <v>11</v>
      </c>
      <c r="G557" s="28" t="s">
        <v>11</v>
      </c>
      <c r="H557" s="254"/>
      <c r="I557" s="49">
        <v>2</v>
      </c>
      <c r="J557" s="49">
        <v>2</v>
      </c>
      <c r="K557" s="52">
        <f t="shared" si="84"/>
        <v>1</v>
      </c>
      <c r="L557" s="209">
        <f t="shared" si="85"/>
        <v>0</v>
      </c>
      <c r="M557" s="210">
        <f t="shared" si="86"/>
        <v>0</v>
      </c>
      <c r="N557" s="26">
        <v>45069</v>
      </c>
      <c r="O557" s="26">
        <v>45069</v>
      </c>
      <c r="P557" s="26">
        <v>45069</v>
      </c>
      <c r="Q557" s="2">
        <f t="shared" si="80"/>
        <v>1</v>
      </c>
      <c r="S557" s="7">
        <f t="shared" si="87"/>
        <v>1</v>
      </c>
      <c r="T557" s="157">
        <f t="shared" si="88"/>
        <v>1</v>
      </c>
      <c r="V557" s="191">
        <f t="shared" si="81"/>
        <v>5</v>
      </c>
      <c r="W557" s="7">
        <f t="shared" si="82"/>
        <v>2023</v>
      </c>
    </row>
    <row r="558" spans="1:23" ht="31.95" customHeight="1" thickBot="1" x14ac:dyDescent="0.35">
      <c r="A558" s="15">
        <f t="shared" si="83"/>
        <v>1</v>
      </c>
      <c r="B558" s="26">
        <v>45070</v>
      </c>
      <c r="C558" s="51">
        <f t="shared" si="89"/>
        <v>554</v>
      </c>
      <c r="D558" s="27" t="s">
        <v>978</v>
      </c>
      <c r="E558" s="26" t="s">
        <v>102</v>
      </c>
      <c r="F558" s="28" t="s">
        <v>11</v>
      </c>
      <c r="G558" s="28" t="s">
        <v>11</v>
      </c>
      <c r="H558" s="254"/>
      <c r="I558" s="49">
        <v>1</v>
      </c>
      <c r="J558" s="49">
        <v>1</v>
      </c>
      <c r="K558" s="52">
        <f t="shared" si="84"/>
        <v>1</v>
      </c>
      <c r="L558" s="209">
        <f t="shared" si="85"/>
        <v>0</v>
      </c>
      <c r="M558" s="210">
        <f t="shared" si="86"/>
        <v>0</v>
      </c>
      <c r="N558" s="26">
        <v>45069</v>
      </c>
      <c r="O558" s="26">
        <v>45069</v>
      </c>
      <c r="P558" s="26">
        <v>45069</v>
      </c>
      <c r="Q558" s="2">
        <f t="shared" si="80"/>
        <v>1</v>
      </c>
      <c r="S558" s="7">
        <f t="shared" si="87"/>
        <v>1</v>
      </c>
      <c r="T558" s="157">
        <f t="shared" si="88"/>
        <v>1</v>
      </c>
      <c r="V558" s="191">
        <f t="shared" si="81"/>
        <v>5</v>
      </c>
      <c r="W558" s="7">
        <f t="shared" si="82"/>
        <v>2023</v>
      </c>
    </row>
    <row r="559" spans="1:23" ht="31.95" customHeight="1" thickBot="1" x14ac:dyDescent="0.35">
      <c r="A559" s="15">
        <f t="shared" si="83"/>
        <v>2</v>
      </c>
      <c r="B559" s="26">
        <v>45071</v>
      </c>
      <c r="C559" s="51">
        <f t="shared" si="89"/>
        <v>555</v>
      </c>
      <c r="D559" s="27" t="s">
        <v>524</v>
      </c>
      <c r="E559" s="26" t="s">
        <v>71</v>
      </c>
      <c r="F559" s="28" t="s">
        <v>11</v>
      </c>
      <c r="G559" s="28" t="s">
        <v>11</v>
      </c>
      <c r="H559" s="254"/>
      <c r="I559" s="49">
        <v>2</v>
      </c>
      <c r="J559" s="49">
        <v>2</v>
      </c>
      <c r="K559" s="52">
        <f t="shared" si="84"/>
        <v>1</v>
      </c>
      <c r="L559" s="209">
        <f t="shared" si="85"/>
        <v>0</v>
      </c>
      <c r="M559" s="210">
        <f t="shared" si="86"/>
        <v>0</v>
      </c>
      <c r="N559" s="26">
        <v>45071</v>
      </c>
      <c r="O559" s="26">
        <v>45071</v>
      </c>
      <c r="P559" s="26">
        <v>45071</v>
      </c>
      <c r="Q559" s="2">
        <f t="shared" si="80"/>
        <v>1</v>
      </c>
      <c r="S559" s="7">
        <f t="shared" si="87"/>
        <v>1</v>
      </c>
      <c r="T559" s="157">
        <f t="shared" si="88"/>
        <v>1</v>
      </c>
      <c r="V559" s="191">
        <f t="shared" si="81"/>
        <v>5</v>
      </c>
      <c r="W559" s="7">
        <f t="shared" si="82"/>
        <v>2023</v>
      </c>
    </row>
    <row r="560" spans="1:23" ht="31.95" customHeight="1" thickBot="1" x14ac:dyDescent="0.35">
      <c r="A560" s="15">
        <f t="shared" si="83"/>
        <v>1</v>
      </c>
      <c r="B560" s="26">
        <v>45071</v>
      </c>
      <c r="C560" s="51">
        <f t="shared" si="89"/>
        <v>556</v>
      </c>
      <c r="D560" s="27" t="s">
        <v>524</v>
      </c>
      <c r="E560" s="26" t="s">
        <v>69</v>
      </c>
      <c r="F560" s="28" t="s">
        <v>11</v>
      </c>
      <c r="G560" s="28" t="s">
        <v>11</v>
      </c>
      <c r="H560" s="254"/>
      <c r="I560" s="49">
        <v>1</v>
      </c>
      <c r="J560" s="49">
        <v>1</v>
      </c>
      <c r="K560" s="52">
        <f t="shared" si="84"/>
        <v>1</v>
      </c>
      <c r="L560" s="209">
        <f t="shared" si="85"/>
        <v>0</v>
      </c>
      <c r="M560" s="210">
        <f t="shared" si="86"/>
        <v>0</v>
      </c>
      <c r="N560" s="26">
        <v>45071</v>
      </c>
      <c r="O560" s="26">
        <v>45071</v>
      </c>
      <c r="P560" s="26">
        <v>45071</v>
      </c>
      <c r="Q560" s="2">
        <f t="shared" si="80"/>
        <v>1</v>
      </c>
      <c r="S560" s="7">
        <f t="shared" si="87"/>
        <v>1</v>
      </c>
      <c r="T560" s="157">
        <f t="shared" si="88"/>
        <v>1</v>
      </c>
      <c r="V560" s="191">
        <f t="shared" si="81"/>
        <v>5</v>
      </c>
      <c r="W560" s="7">
        <f t="shared" si="82"/>
        <v>2023</v>
      </c>
    </row>
    <row r="561" spans="1:23" ht="31.95" customHeight="1" thickBot="1" x14ac:dyDescent="0.35">
      <c r="A561" s="15">
        <f t="shared" si="83"/>
        <v>2</v>
      </c>
      <c r="B561" s="26">
        <v>45075</v>
      </c>
      <c r="C561" s="51">
        <f t="shared" si="89"/>
        <v>557</v>
      </c>
      <c r="D561" s="27" t="s">
        <v>871</v>
      </c>
      <c r="E561" s="26" t="s">
        <v>69</v>
      </c>
      <c r="F561" s="28" t="s">
        <v>11</v>
      </c>
      <c r="G561" s="28" t="s">
        <v>11</v>
      </c>
      <c r="H561" s="254"/>
      <c r="I561" s="49">
        <v>2</v>
      </c>
      <c r="J561" s="49">
        <v>2</v>
      </c>
      <c r="K561" s="52">
        <f t="shared" si="84"/>
        <v>1</v>
      </c>
      <c r="L561" s="209">
        <f t="shared" si="85"/>
        <v>0</v>
      </c>
      <c r="M561" s="210">
        <f t="shared" si="86"/>
        <v>0</v>
      </c>
      <c r="N561" s="26">
        <v>45078</v>
      </c>
      <c r="O561" s="26">
        <v>45078</v>
      </c>
      <c r="P561" s="26">
        <v>45078</v>
      </c>
      <c r="Q561" s="2">
        <f t="shared" si="80"/>
        <v>1</v>
      </c>
      <c r="S561" s="7">
        <f t="shared" si="87"/>
        <v>1</v>
      </c>
      <c r="T561" s="157">
        <f t="shared" si="88"/>
        <v>1</v>
      </c>
      <c r="V561" s="191">
        <f t="shared" si="81"/>
        <v>5</v>
      </c>
      <c r="W561" s="7">
        <f t="shared" si="82"/>
        <v>2023</v>
      </c>
    </row>
    <row r="562" spans="1:23" ht="31.95" customHeight="1" thickBot="1" x14ac:dyDescent="0.35">
      <c r="A562" s="15">
        <f t="shared" si="83"/>
        <v>1</v>
      </c>
      <c r="B562" s="26">
        <v>45075</v>
      </c>
      <c r="C562" s="51">
        <f t="shared" si="89"/>
        <v>558</v>
      </c>
      <c r="D562" s="27" t="s">
        <v>890</v>
      </c>
      <c r="E562" s="26" t="s">
        <v>69</v>
      </c>
      <c r="F562" s="28" t="s">
        <v>11</v>
      </c>
      <c r="G562" s="28" t="s">
        <v>11</v>
      </c>
      <c r="H562" s="254"/>
      <c r="I562" s="49">
        <v>1</v>
      </c>
      <c r="J562" s="49">
        <v>1</v>
      </c>
      <c r="K562" s="52">
        <f t="shared" si="84"/>
        <v>1</v>
      </c>
      <c r="L562" s="209">
        <f t="shared" si="85"/>
        <v>0</v>
      </c>
      <c r="M562" s="210">
        <f t="shared" si="86"/>
        <v>0</v>
      </c>
      <c r="N562" s="26">
        <v>45096</v>
      </c>
      <c r="O562" s="26">
        <v>45096</v>
      </c>
      <c r="P562" s="26">
        <v>45096</v>
      </c>
      <c r="Q562" s="2">
        <f t="shared" si="80"/>
        <v>1</v>
      </c>
      <c r="S562" s="7">
        <f t="shared" si="87"/>
        <v>1</v>
      </c>
      <c r="T562" s="157">
        <f t="shared" si="88"/>
        <v>1</v>
      </c>
      <c r="V562" s="191">
        <f t="shared" si="81"/>
        <v>5</v>
      </c>
      <c r="W562" s="7">
        <f t="shared" si="82"/>
        <v>2023</v>
      </c>
    </row>
    <row r="563" spans="1:23" ht="31.95" customHeight="1" thickBot="1" x14ac:dyDescent="0.35">
      <c r="A563" s="15">
        <f t="shared" si="83"/>
        <v>1</v>
      </c>
      <c r="B563" s="26">
        <v>45075</v>
      </c>
      <c r="C563" s="51">
        <f t="shared" si="89"/>
        <v>559</v>
      </c>
      <c r="D563" s="27" t="s">
        <v>945</v>
      </c>
      <c r="E563" s="26" t="s">
        <v>11</v>
      </c>
      <c r="F563" s="28" t="s">
        <v>11</v>
      </c>
      <c r="G563" s="28" t="s">
        <v>11</v>
      </c>
      <c r="H563" s="254"/>
      <c r="I563" s="49">
        <v>1</v>
      </c>
      <c r="J563" s="49">
        <v>1</v>
      </c>
      <c r="K563" s="52">
        <f t="shared" si="84"/>
        <v>1</v>
      </c>
      <c r="L563" s="209">
        <f t="shared" si="85"/>
        <v>0</v>
      </c>
      <c r="M563" s="210">
        <f t="shared" si="86"/>
        <v>0</v>
      </c>
      <c r="N563" s="26">
        <v>45084</v>
      </c>
      <c r="O563" s="26">
        <v>45084</v>
      </c>
      <c r="P563" s="26">
        <v>45084</v>
      </c>
      <c r="Q563" s="2">
        <f t="shared" si="80"/>
        <v>1</v>
      </c>
      <c r="S563" s="7">
        <f t="shared" si="87"/>
        <v>1</v>
      </c>
      <c r="T563" s="157">
        <f t="shared" si="88"/>
        <v>1</v>
      </c>
      <c r="V563" s="191">
        <f t="shared" si="81"/>
        <v>5</v>
      </c>
      <c r="W563" s="7">
        <f t="shared" si="82"/>
        <v>2023</v>
      </c>
    </row>
    <row r="564" spans="1:23" ht="31.95" customHeight="1" thickBot="1" x14ac:dyDescent="0.35">
      <c r="A564" s="15">
        <f t="shared" si="83"/>
        <v>1</v>
      </c>
      <c r="B564" s="26">
        <v>45076</v>
      </c>
      <c r="C564" s="51">
        <f t="shared" si="89"/>
        <v>560</v>
      </c>
      <c r="D564" s="27" t="s">
        <v>524</v>
      </c>
      <c r="E564" s="26" t="s">
        <v>87</v>
      </c>
      <c r="F564" s="28" t="s">
        <v>11</v>
      </c>
      <c r="G564" s="28" t="s">
        <v>11</v>
      </c>
      <c r="H564" s="254"/>
      <c r="I564" s="49">
        <v>1</v>
      </c>
      <c r="J564" s="49">
        <v>1</v>
      </c>
      <c r="K564" s="52">
        <f t="shared" si="84"/>
        <v>1</v>
      </c>
      <c r="L564" s="209">
        <f t="shared" si="85"/>
        <v>0</v>
      </c>
      <c r="M564" s="210">
        <f t="shared" si="86"/>
        <v>0</v>
      </c>
      <c r="N564" s="26">
        <v>45076</v>
      </c>
      <c r="O564" s="26">
        <v>45076</v>
      </c>
      <c r="P564" s="26">
        <v>45076</v>
      </c>
      <c r="Q564" s="2">
        <f t="shared" si="80"/>
        <v>1</v>
      </c>
      <c r="S564" s="7">
        <f t="shared" si="87"/>
        <v>1</v>
      </c>
      <c r="T564" s="157">
        <f t="shared" si="88"/>
        <v>1</v>
      </c>
      <c r="V564" s="191">
        <f t="shared" si="81"/>
        <v>5</v>
      </c>
      <c r="W564" s="7">
        <f t="shared" si="82"/>
        <v>2023</v>
      </c>
    </row>
    <row r="565" spans="1:23" ht="31.95" customHeight="1" thickBot="1" x14ac:dyDescent="0.35">
      <c r="A565" s="15">
        <f t="shared" si="83"/>
        <v>1</v>
      </c>
      <c r="B565" s="26">
        <v>45076</v>
      </c>
      <c r="C565" s="51">
        <f t="shared" si="89"/>
        <v>561</v>
      </c>
      <c r="D565" s="27" t="s">
        <v>269</v>
      </c>
      <c r="E565" s="26" t="s">
        <v>11</v>
      </c>
      <c r="F565" s="28" t="s">
        <v>11</v>
      </c>
      <c r="G565" s="28" t="s">
        <v>11</v>
      </c>
      <c r="H565" s="254"/>
      <c r="I565" s="49">
        <v>1</v>
      </c>
      <c r="J565" s="49">
        <v>1</v>
      </c>
      <c r="K565" s="52">
        <f t="shared" si="84"/>
        <v>1</v>
      </c>
      <c r="L565" s="209">
        <f t="shared" si="85"/>
        <v>0</v>
      </c>
      <c r="M565" s="210">
        <f t="shared" si="86"/>
        <v>0</v>
      </c>
      <c r="N565" s="26">
        <v>45077</v>
      </c>
      <c r="O565" s="26">
        <v>45077</v>
      </c>
      <c r="P565" s="26">
        <v>45077</v>
      </c>
      <c r="Q565" s="2">
        <f t="shared" si="80"/>
        <v>1</v>
      </c>
      <c r="S565" s="7">
        <f t="shared" si="87"/>
        <v>1</v>
      </c>
      <c r="T565" s="157">
        <f t="shared" si="88"/>
        <v>1</v>
      </c>
      <c r="V565" s="191">
        <f t="shared" si="81"/>
        <v>5</v>
      </c>
      <c r="W565" s="7">
        <f t="shared" si="82"/>
        <v>2023</v>
      </c>
    </row>
    <row r="566" spans="1:23" ht="31.95" customHeight="1" thickBot="1" x14ac:dyDescent="0.35">
      <c r="A566" s="15">
        <f t="shared" si="83"/>
        <v>2</v>
      </c>
      <c r="B566" s="26">
        <v>45076</v>
      </c>
      <c r="C566" s="51">
        <f t="shared" si="89"/>
        <v>562</v>
      </c>
      <c r="D566" s="27" t="s">
        <v>705</v>
      </c>
      <c r="E566" s="26" t="s">
        <v>11</v>
      </c>
      <c r="F566" s="28" t="s">
        <v>11</v>
      </c>
      <c r="G566" s="28" t="s">
        <v>11</v>
      </c>
      <c r="H566" s="254"/>
      <c r="I566" s="49">
        <v>2</v>
      </c>
      <c r="J566" s="49">
        <v>2</v>
      </c>
      <c r="K566" s="52">
        <f t="shared" si="84"/>
        <v>1</v>
      </c>
      <c r="L566" s="209">
        <f t="shared" si="85"/>
        <v>0</v>
      </c>
      <c r="M566" s="210">
        <f t="shared" si="86"/>
        <v>0</v>
      </c>
      <c r="N566" s="26">
        <v>45077</v>
      </c>
      <c r="O566" s="26">
        <v>45077</v>
      </c>
      <c r="P566" s="26">
        <v>45077</v>
      </c>
      <c r="Q566" s="2">
        <f t="shared" si="80"/>
        <v>1</v>
      </c>
      <c r="S566" s="7">
        <f t="shared" si="87"/>
        <v>1</v>
      </c>
      <c r="T566" s="157">
        <f t="shared" si="88"/>
        <v>1</v>
      </c>
      <c r="V566" s="191">
        <f t="shared" si="81"/>
        <v>5</v>
      </c>
      <c r="W566" s="7">
        <f t="shared" si="82"/>
        <v>2023</v>
      </c>
    </row>
    <row r="567" spans="1:23" ht="31.95" customHeight="1" thickBot="1" x14ac:dyDescent="0.35">
      <c r="A567" s="15">
        <f t="shared" si="83"/>
        <v>1</v>
      </c>
      <c r="B567" s="26">
        <v>45076</v>
      </c>
      <c r="C567" s="51">
        <f t="shared" si="89"/>
        <v>563</v>
      </c>
      <c r="D567" s="27" t="s">
        <v>305</v>
      </c>
      <c r="E567" s="26" t="s">
        <v>11</v>
      </c>
      <c r="F567" s="28" t="s">
        <v>11</v>
      </c>
      <c r="G567" s="28" t="s">
        <v>11</v>
      </c>
      <c r="H567" s="254"/>
      <c r="I567" s="49">
        <v>1</v>
      </c>
      <c r="J567" s="49">
        <v>1</v>
      </c>
      <c r="K567" s="52">
        <f t="shared" si="84"/>
        <v>1</v>
      </c>
      <c r="L567" s="209">
        <f t="shared" si="85"/>
        <v>0</v>
      </c>
      <c r="M567" s="210">
        <f t="shared" si="86"/>
        <v>0</v>
      </c>
      <c r="N567" s="26">
        <v>45077</v>
      </c>
      <c r="O567" s="26">
        <v>45077</v>
      </c>
      <c r="P567" s="26">
        <v>45077</v>
      </c>
      <c r="Q567" s="2">
        <f t="shared" si="80"/>
        <v>1</v>
      </c>
      <c r="S567" s="7">
        <f t="shared" si="87"/>
        <v>1</v>
      </c>
      <c r="T567" s="157">
        <f t="shared" si="88"/>
        <v>1</v>
      </c>
      <c r="V567" s="191">
        <f t="shared" si="81"/>
        <v>5</v>
      </c>
      <c r="W567" s="7">
        <f t="shared" si="82"/>
        <v>2023</v>
      </c>
    </row>
    <row r="568" spans="1:23" ht="31.95" customHeight="1" thickBot="1" x14ac:dyDescent="0.35">
      <c r="A568" s="15">
        <f t="shared" si="83"/>
        <v>5</v>
      </c>
      <c r="B568" s="26">
        <v>45079</v>
      </c>
      <c r="C568" s="51">
        <f t="shared" si="89"/>
        <v>564</v>
      </c>
      <c r="D568" s="27" t="s">
        <v>524</v>
      </c>
      <c r="E568" s="26" t="s">
        <v>88</v>
      </c>
      <c r="F568" s="28" t="s">
        <v>11</v>
      </c>
      <c r="G568" s="28" t="s">
        <v>11</v>
      </c>
      <c r="H568" s="254"/>
      <c r="I568" s="49">
        <v>5</v>
      </c>
      <c r="J568" s="49">
        <v>5</v>
      </c>
      <c r="K568" s="52">
        <f t="shared" si="84"/>
        <v>1</v>
      </c>
      <c r="L568" s="209">
        <f t="shared" si="85"/>
        <v>0</v>
      </c>
      <c r="M568" s="210">
        <f t="shared" si="86"/>
        <v>0</v>
      </c>
      <c r="N568" s="26">
        <v>45081</v>
      </c>
      <c r="O568" s="26">
        <v>45081</v>
      </c>
      <c r="P568" s="26">
        <v>45081</v>
      </c>
      <c r="Q568" s="2">
        <f t="shared" si="80"/>
        <v>1</v>
      </c>
      <c r="S568" s="7">
        <f t="shared" si="87"/>
        <v>1</v>
      </c>
      <c r="T568" s="157">
        <f t="shared" si="88"/>
        <v>1</v>
      </c>
      <c r="V568" s="191">
        <f t="shared" si="81"/>
        <v>6</v>
      </c>
      <c r="W568" s="7">
        <f t="shared" si="82"/>
        <v>2023</v>
      </c>
    </row>
    <row r="569" spans="1:23" ht="31.95" customHeight="1" thickBot="1" x14ac:dyDescent="0.35">
      <c r="A569" s="15">
        <f t="shared" si="83"/>
        <v>2</v>
      </c>
      <c r="B569" s="26">
        <v>45079</v>
      </c>
      <c r="C569" s="51">
        <f t="shared" si="89"/>
        <v>565</v>
      </c>
      <c r="D569" s="27" t="s">
        <v>871</v>
      </c>
      <c r="E569" s="26" t="s">
        <v>88</v>
      </c>
      <c r="F569" s="28" t="s">
        <v>11</v>
      </c>
      <c r="G569" s="28" t="s">
        <v>11</v>
      </c>
      <c r="H569" s="254"/>
      <c r="I569" s="49">
        <v>2</v>
      </c>
      <c r="J569" s="49">
        <v>2</v>
      </c>
      <c r="K569" s="52">
        <f t="shared" si="84"/>
        <v>1</v>
      </c>
      <c r="L569" s="209">
        <f t="shared" si="85"/>
        <v>0</v>
      </c>
      <c r="M569" s="210">
        <f t="shared" si="86"/>
        <v>0</v>
      </c>
      <c r="N569" s="26">
        <v>45081</v>
      </c>
      <c r="O569" s="26">
        <v>45081</v>
      </c>
      <c r="P569" s="26">
        <v>45081</v>
      </c>
      <c r="Q569" s="2">
        <f t="shared" si="80"/>
        <v>1</v>
      </c>
      <c r="S569" s="7">
        <f t="shared" si="87"/>
        <v>1</v>
      </c>
      <c r="T569" s="157">
        <f t="shared" si="88"/>
        <v>1</v>
      </c>
      <c r="V569" s="191">
        <f t="shared" si="81"/>
        <v>6</v>
      </c>
      <c r="W569" s="7">
        <f t="shared" si="82"/>
        <v>2023</v>
      </c>
    </row>
    <row r="570" spans="1:23" ht="31.95" customHeight="1" thickBot="1" x14ac:dyDescent="0.35">
      <c r="A570" s="15">
        <f t="shared" si="83"/>
        <v>2</v>
      </c>
      <c r="B570" s="26">
        <v>45079</v>
      </c>
      <c r="C570" s="51">
        <f t="shared" si="89"/>
        <v>566</v>
      </c>
      <c r="D570" s="27" t="s">
        <v>890</v>
      </c>
      <c r="E570" s="26" t="s">
        <v>88</v>
      </c>
      <c r="F570" s="28" t="s">
        <v>11</v>
      </c>
      <c r="G570" s="28" t="s">
        <v>11</v>
      </c>
      <c r="H570" s="254"/>
      <c r="I570" s="49">
        <v>2</v>
      </c>
      <c r="J570" s="49">
        <v>2</v>
      </c>
      <c r="K570" s="52">
        <f t="shared" si="84"/>
        <v>1</v>
      </c>
      <c r="L570" s="209">
        <f t="shared" si="85"/>
        <v>0</v>
      </c>
      <c r="M570" s="210">
        <f t="shared" si="86"/>
        <v>0</v>
      </c>
      <c r="N570" s="26">
        <v>45100</v>
      </c>
      <c r="O570" s="26">
        <v>45100</v>
      </c>
      <c r="P570" s="26">
        <v>45100</v>
      </c>
      <c r="Q570" s="2">
        <f t="shared" si="80"/>
        <v>1</v>
      </c>
      <c r="S570" s="7">
        <f t="shared" si="87"/>
        <v>1</v>
      </c>
      <c r="T570" s="157">
        <f t="shared" si="88"/>
        <v>1</v>
      </c>
      <c r="V570" s="191">
        <f t="shared" si="81"/>
        <v>6</v>
      </c>
      <c r="W570" s="7">
        <f t="shared" si="82"/>
        <v>2023</v>
      </c>
    </row>
    <row r="571" spans="1:23" ht="31.95" customHeight="1" thickBot="1" x14ac:dyDescent="0.35">
      <c r="A571" s="15">
        <f t="shared" si="83"/>
        <v>1</v>
      </c>
      <c r="B571" s="26">
        <v>45079</v>
      </c>
      <c r="C571" s="51">
        <f t="shared" si="89"/>
        <v>567</v>
      </c>
      <c r="D571" s="27" t="s">
        <v>714</v>
      </c>
      <c r="E571" s="26" t="s">
        <v>11</v>
      </c>
      <c r="F571" s="28" t="s">
        <v>11</v>
      </c>
      <c r="G571" s="28" t="s">
        <v>11</v>
      </c>
      <c r="H571" s="254"/>
      <c r="I571" s="49">
        <v>1</v>
      </c>
      <c r="J571" s="49">
        <v>1</v>
      </c>
      <c r="K571" s="52">
        <f t="shared" si="84"/>
        <v>1</v>
      </c>
      <c r="L571" s="209">
        <f t="shared" si="85"/>
        <v>0</v>
      </c>
      <c r="M571" s="210">
        <f t="shared" si="86"/>
        <v>0</v>
      </c>
      <c r="N571" s="26">
        <v>45079</v>
      </c>
      <c r="O571" s="26">
        <v>45079</v>
      </c>
      <c r="P571" s="26">
        <v>45079</v>
      </c>
      <c r="Q571" s="2">
        <f t="shared" si="80"/>
        <v>1</v>
      </c>
      <c r="S571" s="7">
        <f t="shared" si="87"/>
        <v>1</v>
      </c>
      <c r="T571" s="157">
        <f t="shared" si="88"/>
        <v>1</v>
      </c>
      <c r="V571" s="191">
        <f t="shared" si="81"/>
        <v>6</v>
      </c>
      <c r="W571" s="7">
        <f t="shared" si="82"/>
        <v>2023</v>
      </c>
    </row>
    <row r="572" spans="1:23" ht="31.95" customHeight="1" thickBot="1" x14ac:dyDescent="0.35">
      <c r="A572" s="15">
        <f t="shared" si="83"/>
        <v>2</v>
      </c>
      <c r="B572" s="26">
        <v>45082</v>
      </c>
      <c r="C572" s="51">
        <f t="shared" si="89"/>
        <v>568</v>
      </c>
      <c r="D572" s="27" t="s">
        <v>1121</v>
      </c>
      <c r="E572" s="26" t="s">
        <v>69</v>
      </c>
      <c r="F572" s="28" t="s">
        <v>11</v>
      </c>
      <c r="G572" s="28" t="s">
        <v>11</v>
      </c>
      <c r="H572" s="254"/>
      <c r="I572" s="49">
        <v>2</v>
      </c>
      <c r="J572" s="49">
        <v>2</v>
      </c>
      <c r="K572" s="52">
        <f t="shared" si="84"/>
        <v>1</v>
      </c>
      <c r="L572" s="209">
        <f t="shared" si="85"/>
        <v>0</v>
      </c>
      <c r="M572" s="210">
        <f t="shared" si="86"/>
        <v>0</v>
      </c>
      <c r="N572" s="26">
        <v>45089</v>
      </c>
      <c r="O572" s="26">
        <v>45089</v>
      </c>
      <c r="P572" s="26">
        <v>45089</v>
      </c>
      <c r="Q572" s="2">
        <f t="shared" si="80"/>
        <v>1</v>
      </c>
      <c r="S572" s="7">
        <f t="shared" si="87"/>
        <v>1</v>
      </c>
      <c r="T572" s="157">
        <f t="shared" si="88"/>
        <v>1</v>
      </c>
      <c r="V572" s="191">
        <f t="shared" si="81"/>
        <v>6</v>
      </c>
      <c r="W572" s="7">
        <f t="shared" si="82"/>
        <v>2023</v>
      </c>
    </row>
    <row r="573" spans="1:23" ht="31.95" customHeight="1" thickBot="1" x14ac:dyDescent="0.35">
      <c r="A573" s="15">
        <f t="shared" si="83"/>
        <v>1</v>
      </c>
      <c r="B573" s="26">
        <v>45083</v>
      </c>
      <c r="C573" s="51">
        <f t="shared" si="89"/>
        <v>569</v>
      </c>
      <c r="D573" s="27" t="s">
        <v>321</v>
      </c>
      <c r="E573" s="26" t="s">
        <v>11</v>
      </c>
      <c r="F573" s="28" t="s">
        <v>11</v>
      </c>
      <c r="G573" s="28" t="s">
        <v>11</v>
      </c>
      <c r="H573" s="254"/>
      <c r="I573" s="49">
        <v>1</v>
      </c>
      <c r="J573" s="49">
        <v>1</v>
      </c>
      <c r="K573" s="52">
        <f t="shared" si="84"/>
        <v>1</v>
      </c>
      <c r="L573" s="209">
        <f t="shared" si="85"/>
        <v>0</v>
      </c>
      <c r="M573" s="210">
        <f t="shared" si="86"/>
        <v>0</v>
      </c>
      <c r="N573" s="26">
        <v>45084</v>
      </c>
      <c r="O573" s="26">
        <v>45084</v>
      </c>
      <c r="P573" s="26">
        <v>45084</v>
      </c>
      <c r="Q573" s="2">
        <f t="shared" si="80"/>
        <v>1</v>
      </c>
      <c r="S573" s="7">
        <f t="shared" si="87"/>
        <v>1</v>
      </c>
      <c r="T573" s="157">
        <f t="shared" si="88"/>
        <v>1</v>
      </c>
      <c r="V573" s="191">
        <f t="shared" si="81"/>
        <v>6</v>
      </c>
      <c r="W573" s="7">
        <f t="shared" si="82"/>
        <v>2023</v>
      </c>
    </row>
    <row r="574" spans="1:23" ht="31.95" customHeight="1" thickBot="1" x14ac:dyDescent="0.35">
      <c r="A574" s="15">
        <f t="shared" si="83"/>
        <v>1</v>
      </c>
      <c r="B574" s="26">
        <v>45083</v>
      </c>
      <c r="C574" s="51">
        <f t="shared" si="89"/>
        <v>570</v>
      </c>
      <c r="D574" s="27" t="s">
        <v>858</v>
      </c>
      <c r="E574" s="26" t="s">
        <v>11</v>
      </c>
      <c r="F574" s="28" t="s">
        <v>11</v>
      </c>
      <c r="G574" s="28" t="s">
        <v>11</v>
      </c>
      <c r="H574" s="254"/>
      <c r="I574" s="49">
        <v>1</v>
      </c>
      <c r="J574" s="49">
        <v>1</v>
      </c>
      <c r="K574" s="52">
        <f t="shared" si="84"/>
        <v>1</v>
      </c>
      <c r="L574" s="209">
        <f t="shared" si="85"/>
        <v>0</v>
      </c>
      <c r="M574" s="210">
        <f t="shared" si="86"/>
        <v>0</v>
      </c>
      <c r="N574" s="26">
        <v>45084</v>
      </c>
      <c r="O574" s="26">
        <v>45084</v>
      </c>
      <c r="P574" s="26">
        <v>45084</v>
      </c>
      <c r="Q574" s="2">
        <f t="shared" si="80"/>
        <v>1</v>
      </c>
      <c r="S574" s="7">
        <f t="shared" si="87"/>
        <v>1</v>
      </c>
      <c r="T574" s="157">
        <f t="shared" si="88"/>
        <v>1</v>
      </c>
      <c r="V574" s="191">
        <f t="shared" si="81"/>
        <v>6</v>
      </c>
      <c r="W574" s="7">
        <f t="shared" si="82"/>
        <v>2023</v>
      </c>
    </row>
    <row r="575" spans="1:23" ht="31.95" customHeight="1" thickBot="1" x14ac:dyDescent="0.35">
      <c r="A575" s="15">
        <f t="shared" si="83"/>
        <v>2</v>
      </c>
      <c r="B575" s="26">
        <v>45084</v>
      </c>
      <c r="C575" s="51">
        <f t="shared" si="89"/>
        <v>571</v>
      </c>
      <c r="D575" s="27" t="s">
        <v>767</v>
      </c>
      <c r="E575" s="26" t="s">
        <v>11</v>
      </c>
      <c r="F575" s="28" t="s">
        <v>11</v>
      </c>
      <c r="G575" s="28" t="s">
        <v>11</v>
      </c>
      <c r="H575" s="254"/>
      <c r="I575" s="49">
        <v>2</v>
      </c>
      <c r="J575" s="49">
        <v>2</v>
      </c>
      <c r="K575" s="52">
        <f t="shared" si="84"/>
        <v>1</v>
      </c>
      <c r="L575" s="209">
        <f t="shared" si="85"/>
        <v>0</v>
      </c>
      <c r="M575" s="210">
        <f t="shared" si="86"/>
        <v>0</v>
      </c>
      <c r="N575" s="26">
        <v>45090</v>
      </c>
      <c r="O575" s="26">
        <v>45090</v>
      </c>
      <c r="P575" s="26">
        <v>45090</v>
      </c>
      <c r="Q575" s="2">
        <f t="shared" si="80"/>
        <v>1</v>
      </c>
      <c r="S575" s="7">
        <f t="shared" si="87"/>
        <v>1</v>
      </c>
      <c r="T575" s="157">
        <f t="shared" si="88"/>
        <v>1</v>
      </c>
      <c r="V575" s="191">
        <f t="shared" si="81"/>
        <v>6</v>
      </c>
      <c r="W575" s="7">
        <f t="shared" si="82"/>
        <v>2023</v>
      </c>
    </row>
    <row r="576" spans="1:23" ht="31.95" customHeight="1" thickBot="1" x14ac:dyDescent="0.35">
      <c r="A576" s="15">
        <f t="shared" si="83"/>
        <v>1</v>
      </c>
      <c r="B576" s="26">
        <v>45084</v>
      </c>
      <c r="C576" s="51">
        <f t="shared" si="89"/>
        <v>572</v>
      </c>
      <c r="D576" s="27" t="s">
        <v>524</v>
      </c>
      <c r="E576" s="26" t="s">
        <v>11</v>
      </c>
      <c r="F576" s="28" t="s">
        <v>11</v>
      </c>
      <c r="G576" s="28" t="s">
        <v>11</v>
      </c>
      <c r="H576" s="254"/>
      <c r="I576" s="49">
        <v>1</v>
      </c>
      <c r="J576" s="49">
        <v>1</v>
      </c>
      <c r="K576" s="52">
        <f t="shared" si="84"/>
        <v>1</v>
      </c>
      <c r="L576" s="209">
        <f t="shared" si="85"/>
        <v>0</v>
      </c>
      <c r="M576" s="210">
        <f t="shared" si="86"/>
        <v>0</v>
      </c>
      <c r="N576" s="26">
        <v>45112</v>
      </c>
      <c r="O576" s="26">
        <v>45112</v>
      </c>
      <c r="P576" s="26">
        <v>45112</v>
      </c>
      <c r="Q576" s="2">
        <f t="shared" si="80"/>
        <v>1</v>
      </c>
      <c r="S576" s="7">
        <f t="shared" si="87"/>
        <v>1</v>
      </c>
      <c r="T576" s="157">
        <f t="shared" si="88"/>
        <v>1</v>
      </c>
      <c r="V576" s="191">
        <f t="shared" si="81"/>
        <v>6</v>
      </c>
      <c r="W576" s="7">
        <f t="shared" si="82"/>
        <v>2023</v>
      </c>
    </row>
    <row r="577" spans="1:23" ht="31.95" customHeight="1" thickBot="1" x14ac:dyDescent="0.35">
      <c r="A577" s="15">
        <f t="shared" si="83"/>
        <v>1</v>
      </c>
      <c r="B577" s="26">
        <v>45084</v>
      </c>
      <c r="C577" s="51">
        <f t="shared" si="89"/>
        <v>573</v>
      </c>
      <c r="D577" s="27" t="s">
        <v>822</v>
      </c>
      <c r="E577" s="26" t="s">
        <v>11</v>
      </c>
      <c r="F577" s="28" t="s">
        <v>11</v>
      </c>
      <c r="G577" s="28" t="s">
        <v>11</v>
      </c>
      <c r="H577" s="254"/>
      <c r="I577" s="49">
        <v>1</v>
      </c>
      <c r="J577" s="49">
        <v>1</v>
      </c>
      <c r="K577" s="52">
        <f t="shared" si="84"/>
        <v>1</v>
      </c>
      <c r="L577" s="209">
        <f t="shared" si="85"/>
        <v>0</v>
      </c>
      <c r="M577" s="210">
        <f t="shared" si="86"/>
        <v>0</v>
      </c>
      <c r="N577" s="26">
        <v>45090</v>
      </c>
      <c r="O577" s="26">
        <v>45090</v>
      </c>
      <c r="P577" s="26">
        <v>45090</v>
      </c>
      <c r="Q577" s="2">
        <f t="shared" si="80"/>
        <v>1</v>
      </c>
      <c r="S577" s="7">
        <f t="shared" si="87"/>
        <v>1</v>
      </c>
      <c r="T577" s="157">
        <f t="shared" si="88"/>
        <v>1</v>
      </c>
      <c r="V577" s="191">
        <f t="shared" si="81"/>
        <v>6</v>
      </c>
      <c r="W577" s="7">
        <f t="shared" si="82"/>
        <v>2023</v>
      </c>
    </row>
    <row r="578" spans="1:23" ht="31.95" customHeight="1" thickBot="1" x14ac:dyDescent="0.35">
      <c r="A578" s="15">
        <f t="shared" si="83"/>
        <v>1</v>
      </c>
      <c r="B578" s="26">
        <v>45090</v>
      </c>
      <c r="C578" s="51">
        <f t="shared" si="89"/>
        <v>574</v>
      </c>
      <c r="D578" s="27" t="s">
        <v>305</v>
      </c>
      <c r="E578" s="26" t="s">
        <v>11</v>
      </c>
      <c r="F578" s="28" t="s">
        <v>11</v>
      </c>
      <c r="G578" s="28" t="s">
        <v>11</v>
      </c>
      <c r="H578" s="254"/>
      <c r="I578" s="49">
        <v>1</v>
      </c>
      <c r="J578" s="49">
        <v>1</v>
      </c>
      <c r="K578" s="52">
        <f t="shared" si="84"/>
        <v>1</v>
      </c>
      <c r="L578" s="209">
        <f t="shared" si="85"/>
        <v>0</v>
      </c>
      <c r="M578" s="210">
        <f t="shared" si="86"/>
        <v>0</v>
      </c>
      <c r="N578" s="26">
        <v>45090</v>
      </c>
      <c r="O578" s="26">
        <v>45090</v>
      </c>
      <c r="P578" s="26">
        <v>45090</v>
      </c>
      <c r="Q578" s="2">
        <f t="shared" si="80"/>
        <v>1</v>
      </c>
      <c r="S578" s="7">
        <f t="shared" si="87"/>
        <v>1</v>
      </c>
      <c r="T578" s="157">
        <f t="shared" si="88"/>
        <v>1</v>
      </c>
      <c r="V578" s="191">
        <f t="shared" si="81"/>
        <v>6</v>
      </c>
      <c r="W578" s="7">
        <f t="shared" si="82"/>
        <v>2023</v>
      </c>
    </row>
    <row r="579" spans="1:23" ht="31.95" customHeight="1" thickBot="1" x14ac:dyDescent="0.35">
      <c r="A579" s="15">
        <f t="shared" si="83"/>
        <v>1</v>
      </c>
      <c r="B579" s="26">
        <v>45090</v>
      </c>
      <c r="C579" s="51">
        <f t="shared" si="89"/>
        <v>575</v>
      </c>
      <c r="D579" s="27" t="s">
        <v>858</v>
      </c>
      <c r="E579" s="26" t="s">
        <v>11</v>
      </c>
      <c r="F579" s="28" t="s">
        <v>11</v>
      </c>
      <c r="G579" s="28" t="s">
        <v>11</v>
      </c>
      <c r="H579" s="254"/>
      <c r="I579" s="49">
        <v>1</v>
      </c>
      <c r="J579" s="49">
        <v>1</v>
      </c>
      <c r="K579" s="52">
        <f t="shared" si="84"/>
        <v>1</v>
      </c>
      <c r="L579" s="209">
        <f t="shared" si="85"/>
        <v>0</v>
      </c>
      <c r="M579" s="210">
        <f t="shared" si="86"/>
        <v>0</v>
      </c>
      <c r="N579" s="26">
        <v>45090</v>
      </c>
      <c r="O579" s="26">
        <v>45090</v>
      </c>
      <c r="P579" s="26">
        <v>45090</v>
      </c>
      <c r="Q579" s="2">
        <f t="shared" si="80"/>
        <v>1</v>
      </c>
      <c r="S579" s="7">
        <f t="shared" si="87"/>
        <v>1</v>
      </c>
      <c r="T579" s="157">
        <f t="shared" si="88"/>
        <v>1</v>
      </c>
      <c r="V579" s="191">
        <f t="shared" si="81"/>
        <v>6</v>
      </c>
      <c r="W579" s="7">
        <f t="shared" si="82"/>
        <v>2023</v>
      </c>
    </row>
    <row r="580" spans="1:23" ht="31.95" customHeight="1" thickBot="1" x14ac:dyDescent="0.35">
      <c r="A580" s="15">
        <f t="shared" si="83"/>
        <v>1</v>
      </c>
      <c r="B580" s="26">
        <v>45091</v>
      </c>
      <c r="C580" s="51">
        <f t="shared" si="89"/>
        <v>576</v>
      </c>
      <c r="D580" s="27" t="s">
        <v>334</v>
      </c>
      <c r="E580" s="26" t="s">
        <v>11</v>
      </c>
      <c r="F580" s="28" t="s">
        <v>11</v>
      </c>
      <c r="G580" s="28" t="s">
        <v>11</v>
      </c>
      <c r="H580" s="254"/>
      <c r="I580" s="49">
        <v>1</v>
      </c>
      <c r="J580" s="49">
        <v>1</v>
      </c>
      <c r="K580" s="52">
        <f t="shared" si="84"/>
        <v>1</v>
      </c>
      <c r="L580" s="209">
        <f t="shared" si="85"/>
        <v>0</v>
      </c>
      <c r="M580" s="210">
        <f t="shared" si="86"/>
        <v>0</v>
      </c>
      <c r="N580" s="26">
        <v>45096</v>
      </c>
      <c r="O580" s="26">
        <v>45096</v>
      </c>
      <c r="P580" s="26">
        <v>45096</v>
      </c>
      <c r="Q580" s="2">
        <f t="shared" si="80"/>
        <v>1</v>
      </c>
      <c r="S580" s="7">
        <f t="shared" si="87"/>
        <v>1</v>
      </c>
      <c r="T580" s="157">
        <f t="shared" si="88"/>
        <v>1</v>
      </c>
      <c r="V580" s="191">
        <f t="shared" si="81"/>
        <v>6</v>
      </c>
      <c r="W580" s="7">
        <f t="shared" si="82"/>
        <v>2023</v>
      </c>
    </row>
    <row r="581" spans="1:23" ht="31.95" customHeight="1" thickBot="1" x14ac:dyDescent="0.35">
      <c r="A581" s="15">
        <f t="shared" si="83"/>
        <v>6</v>
      </c>
      <c r="B581" s="26">
        <v>45091</v>
      </c>
      <c r="C581" s="51">
        <f t="shared" si="89"/>
        <v>577</v>
      </c>
      <c r="D581" s="27" t="s">
        <v>305</v>
      </c>
      <c r="E581" s="26" t="s">
        <v>11</v>
      </c>
      <c r="F581" s="28" t="s">
        <v>11</v>
      </c>
      <c r="G581" s="28" t="s">
        <v>11</v>
      </c>
      <c r="H581" s="254"/>
      <c r="I581" s="49">
        <v>6</v>
      </c>
      <c r="J581" s="49">
        <v>6</v>
      </c>
      <c r="K581" s="52">
        <f t="shared" si="84"/>
        <v>1</v>
      </c>
      <c r="L581" s="209">
        <f t="shared" si="85"/>
        <v>0</v>
      </c>
      <c r="M581" s="210">
        <f t="shared" si="86"/>
        <v>0</v>
      </c>
      <c r="N581" s="26">
        <v>45091</v>
      </c>
      <c r="O581" s="26">
        <v>45091</v>
      </c>
      <c r="P581" s="26">
        <v>45091</v>
      </c>
      <c r="Q581" s="2">
        <f t="shared" ref="Q581:Q644" si="90">IF(B581&lt;&gt;"",1,0)</f>
        <v>1</v>
      </c>
      <c r="S581" s="7">
        <f t="shared" si="87"/>
        <v>1</v>
      </c>
      <c r="T581" s="157">
        <f t="shared" si="88"/>
        <v>1</v>
      </c>
      <c r="V581" s="191">
        <f t="shared" ref="V581:V644" si="91">MONTH(B581)</f>
        <v>6</v>
      </c>
      <c r="W581" s="7">
        <f t="shared" ref="W581:W644" si="92">YEAR(B581)</f>
        <v>2023</v>
      </c>
    </row>
    <row r="582" spans="1:23" ht="31.95" customHeight="1" thickBot="1" x14ac:dyDescent="0.35">
      <c r="A582" s="15">
        <f t="shared" ref="A582:A645" si="93">J582</f>
        <v>4</v>
      </c>
      <c r="B582" s="26">
        <v>45093</v>
      </c>
      <c r="C582" s="51">
        <f t="shared" si="89"/>
        <v>578</v>
      </c>
      <c r="D582" s="27" t="s">
        <v>1206</v>
      </c>
      <c r="E582" s="26" t="s">
        <v>11</v>
      </c>
      <c r="F582" s="28" t="s">
        <v>11</v>
      </c>
      <c r="G582" s="28" t="s">
        <v>11</v>
      </c>
      <c r="H582" s="254"/>
      <c r="I582" s="49">
        <v>4</v>
      </c>
      <c r="J582" s="49">
        <v>4</v>
      </c>
      <c r="K582" s="52">
        <f t="shared" ref="K582:K645" si="94">IFERROR(J582/I582,"")</f>
        <v>1</v>
      </c>
      <c r="L582" s="209">
        <f t="shared" ref="L582:L645" si="95">IF(I582="","",I582-J582)</f>
        <v>0</v>
      </c>
      <c r="M582" s="210">
        <f t="shared" ref="M582:M645" si="96">IFERROR(1-K582,"")</f>
        <v>0</v>
      </c>
      <c r="N582" s="26">
        <v>45093</v>
      </c>
      <c r="O582" s="26">
        <v>45093</v>
      </c>
      <c r="P582" s="26">
        <v>45093</v>
      </c>
      <c r="Q582" s="2">
        <f t="shared" si="90"/>
        <v>1</v>
      </c>
      <c r="S582" s="7">
        <f t="shared" ref="S582:S645" si="97">IF(AND(O582&lt;=N582,O582&lt;&gt;""),1,0)</f>
        <v>1</v>
      </c>
      <c r="T582" s="157">
        <f t="shared" ref="T582:T645" si="98">IF(AND(P582&lt;=N582,P582&lt;&gt;""),1,0)</f>
        <v>1</v>
      </c>
      <c r="V582" s="191">
        <f t="shared" si="91"/>
        <v>6</v>
      </c>
      <c r="W582" s="7">
        <f t="shared" si="92"/>
        <v>2023</v>
      </c>
    </row>
    <row r="583" spans="1:23" ht="31.95" customHeight="1" thickBot="1" x14ac:dyDescent="0.35">
      <c r="A583" s="15">
        <f t="shared" si="93"/>
        <v>4</v>
      </c>
      <c r="B583" s="26">
        <v>45005</v>
      </c>
      <c r="C583" s="51">
        <f t="shared" ref="C583:C646" si="99">IF(B583&lt;&gt;"",C582+1,"")</f>
        <v>579</v>
      </c>
      <c r="D583" s="27" t="s">
        <v>524</v>
      </c>
      <c r="E583" s="26" t="s">
        <v>89</v>
      </c>
      <c r="F583" s="28" t="s">
        <v>11</v>
      </c>
      <c r="G583" s="28" t="s">
        <v>11</v>
      </c>
      <c r="H583" s="254"/>
      <c r="I583" s="49">
        <v>4</v>
      </c>
      <c r="J583" s="49">
        <v>4</v>
      </c>
      <c r="K583" s="52">
        <f t="shared" si="94"/>
        <v>1</v>
      </c>
      <c r="L583" s="209">
        <f t="shared" si="95"/>
        <v>0</v>
      </c>
      <c r="M583" s="210">
        <f t="shared" si="96"/>
        <v>0</v>
      </c>
      <c r="N583" s="26">
        <v>45099</v>
      </c>
      <c r="O583" s="26">
        <v>45099</v>
      </c>
      <c r="P583" s="26">
        <v>45099</v>
      </c>
      <c r="Q583" s="2">
        <f t="shared" si="90"/>
        <v>1</v>
      </c>
      <c r="S583" s="7">
        <f t="shared" si="97"/>
        <v>1</v>
      </c>
      <c r="T583" s="157">
        <f t="shared" si="98"/>
        <v>1</v>
      </c>
      <c r="V583" s="191">
        <f t="shared" si="91"/>
        <v>3</v>
      </c>
      <c r="W583" s="7">
        <f t="shared" si="92"/>
        <v>2023</v>
      </c>
    </row>
    <row r="584" spans="1:23" ht="31.95" customHeight="1" thickBot="1" x14ac:dyDescent="0.35">
      <c r="A584" s="15">
        <f t="shared" si="93"/>
        <v>3</v>
      </c>
      <c r="B584" s="26">
        <v>45097</v>
      </c>
      <c r="C584" s="51">
        <f t="shared" si="99"/>
        <v>580</v>
      </c>
      <c r="D584" s="27" t="s">
        <v>871</v>
      </c>
      <c r="E584" s="26" t="s">
        <v>89</v>
      </c>
      <c r="F584" s="28" t="s">
        <v>11</v>
      </c>
      <c r="G584" s="28" t="s">
        <v>11</v>
      </c>
      <c r="H584" s="254"/>
      <c r="I584" s="49">
        <v>3</v>
      </c>
      <c r="J584" s="49">
        <v>3</v>
      </c>
      <c r="K584" s="52">
        <f t="shared" si="94"/>
        <v>1</v>
      </c>
      <c r="L584" s="209">
        <f t="shared" si="95"/>
        <v>0</v>
      </c>
      <c r="M584" s="210">
        <f t="shared" si="96"/>
        <v>0</v>
      </c>
      <c r="N584" s="26">
        <v>45104</v>
      </c>
      <c r="O584" s="26">
        <v>45104</v>
      </c>
      <c r="P584" s="26">
        <v>45104</v>
      </c>
      <c r="Q584" s="2">
        <f t="shared" si="90"/>
        <v>1</v>
      </c>
      <c r="S584" s="7">
        <f t="shared" si="97"/>
        <v>1</v>
      </c>
      <c r="T584" s="157">
        <f t="shared" si="98"/>
        <v>1</v>
      </c>
      <c r="V584" s="191">
        <f t="shared" si="91"/>
        <v>6</v>
      </c>
      <c r="W584" s="7">
        <f t="shared" si="92"/>
        <v>2023</v>
      </c>
    </row>
    <row r="585" spans="1:23" ht="31.95" customHeight="1" thickBot="1" x14ac:dyDescent="0.35">
      <c r="A585" s="15">
        <f t="shared" si="93"/>
        <v>4</v>
      </c>
      <c r="B585" s="26">
        <v>45097</v>
      </c>
      <c r="C585" s="51">
        <f t="shared" si="99"/>
        <v>581</v>
      </c>
      <c r="D585" s="27" t="s">
        <v>890</v>
      </c>
      <c r="E585" s="26" t="s">
        <v>89</v>
      </c>
      <c r="F585" s="28" t="s">
        <v>11</v>
      </c>
      <c r="G585" s="28" t="s">
        <v>11</v>
      </c>
      <c r="H585" s="254"/>
      <c r="I585" s="49">
        <v>4</v>
      </c>
      <c r="J585" s="49">
        <v>4</v>
      </c>
      <c r="K585" s="52">
        <f t="shared" si="94"/>
        <v>1</v>
      </c>
      <c r="L585" s="209">
        <f t="shared" si="95"/>
        <v>0</v>
      </c>
      <c r="M585" s="210">
        <f t="shared" si="96"/>
        <v>0</v>
      </c>
      <c r="N585" s="26">
        <v>45118</v>
      </c>
      <c r="O585" s="26">
        <v>45118</v>
      </c>
      <c r="P585" s="26">
        <v>45118</v>
      </c>
      <c r="Q585" s="2">
        <f t="shared" si="90"/>
        <v>1</v>
      </c>
      <c r="S585" s="7">
        <f t="shared" si="97"/>
        <v>1</v>
      </c>
      <c r="T585" s="157">
        <f t="shared" si="98"/>
        <v>1</v>
      </c>
      <c r="V585" s="191">
        <f t="shared" si="91"/>
        <v>6</v>
      </c>
      <c r="W585" s="7">
        <f t="shared" si="92"/>
        <v>2023</v>
      </c>
    </row>
    <row r="586" spans="1:23" ht="31.95" customHeight="1" thickBot="1" x14ac:dyDescent="0.35">
      <c r="A586" s="15">
        <f t="shared" si="93"/>
        <v>1</v>
      </c>
      <c r="B586" s="26">
        <v>45097</v>
      </c>
      <c r="C586" s="51">
        <f t="shared" si="99"/>
        <v>582</v>
      </c>
      <c r="D586" s="27" t="s">
        <v>822</v>
      </c>
      <c r="E586" s="26" t="s">
        <v>89</v>
      </c>
      <c r="F586" s="28" t="s">
        <v>11</v>
      </c>
      <c r="G586" s="28" t="s">
        <v>11</v>
      </c>
      <c r="H586" s="254"/>
      <c r="I586" s="49">
        <v>1</v>
      </c>
      <c r="J586" s="49">
        <v>1</v>
      </c>
      <c r="K586" s="52">
        <f t="shared" si="94"/>
        <v>1</v>
      </c>
      <c r="L586" s="209">
        <f t="shared" si="95"/>
        <v>0</v>
      </c>
      <c r="M586" s="210">
        <f t="shared" si="96"/>
        <v>0</v>
      </c>
      <c r="N586" s="26">
        <v>45099</v>
      </c>
      <c r="O586" s="26">
        <v>45099</v>
      </c>
      <c r="P586" s="26">
        <v>45099</v>
      </c>
      <c r="Q586" s="2">
        <f t="shared" si="90"/>
        <v>1</v>
      </c>
      <c r="S586" s="7">
        <f t="shared" si="97"/>
        <v>1</v>
      </c>
      <c r="T586" s="157">
        <f t="shared" si="98"/>
        <v>1</v>
      </c>
      <c r="V586" s="191">
        <f t="shared" si="91"/>
        <v>6</v>
      </c>
      <c r="W586" s="7">
        <f t="shared" si="92"/>
        <v>2023</v>
      </c>
    </row>
    <row r="587" spans="1:23" ht="31.95" customHeight="1" thickBot="1" x14ac:dyDescent="0.35">
      <c r="A587" s="15">
        <f t="shared" si="93"/>
        <v>4</v>
      </c>
      <c r="B587" s="26">
        <v>45097</v>
      </c>
      <c r="C587" s="51">
        <f t="shared" si="99"/>
        <v>583</v>
      </c>
      <c r="D587" s="27" t="s">
        <v>1121</v>
      </c>
      <c r="E587" s="26" t="s">
        <v>89</v>
      </c>
      <c r="F587" s="28" t="s">
        <v>11</v>
      </c>
      <c r="G587" s="28" t="s">
        <v>11</v>
      </c>
      <c r="H587" s="254"/>
      <c r="I587" s="49">
        <v>4</v>
      </c>
      <c r="J587" s="49">
        <v>4</v>
      </c>
      <c r="K587" s="52">
        <f t="shared" si="94"/>
        <v>1</v>
      </c>
      <c r="L587" s="209">
        <f t="shared" si="95"/>
        <v>0</v>
      </c>
      <c r="M587" s="210">
        <f t="shared" si="96"/>
        <v>0</v>
      </c>
      <c r="N587" s="26">
        <v>45105</v>
      </c>
      <c r="O587" s="26">
        <v>45105</v>
      </c>
      <c r="P587" s="26">
        <v>45105</v>
      </c>
      <c r="Q587" s="2">
        <f t="shared" si="90"/>
        <v>1</v>
      </c>
      <c r="S587" s="7">
        <f t="shared" si="97"/>
        <v>1</v>
      </c>
      <c r="T587" s="157">
        <f t="shared" si="98"/>
        <v>1</v>
      </c>
      <c r="V587" s="191">
        <f t="shared" si="91"/>
        <v>6</v>
      </c>
      <c r="W587" s="7">
        <f t="shared" si="92"/>
        <v>2023</v>
      </c>
    </row>
    <row r="588" spans="1:23" ht="31.95" customHeight="1" thickBot="1" x14ac:dyDescent="0.35">
      <c r="A588" s="15">
        <f t="shared" si="93"/>
        <v>1</v>
      </c>
      <c r="B588" s="26">
        <v>45097</v>
      </c>
      <c r="C588" s="51">
        <f t="shared" si="99"/>
        <v>584</v>
      </c>
      <c r="D588" s="27" t="s">
        <v>524</v>
      </c>
      <c r="E588" s="26" t="s">
        <v>89</v>
      </c>
      <c r="F588" s="28" t="s">
        <v>11</v>
      </c>
      <c r="G588" s="28" t="s">
        <v>11</v>
      </c>
      <c r="H588" s="254"/>
      <c r="I588" s="49">
        <v>1</v>
      </c>
      <c r="J588" s="49">
        <v>1</v>
      </c>
      <c r="K588" s="52">
        <f t="shared" si="94"/>
        <v>1</v>
      </c>
      <c r="L588" s="209">
        <f t="shared" si="95"/>
        <v>0</v>
      </c>
      <c r="M588" s="210">
        <f t="shared" si="96"/>
        <v>0</v>
      </c>
      <c r="N588" s="26">
        <v>45098</v>
      </c>
      <c r="O588" s="26">
        <v>45098</v>
      </c>
      <c r="P588" s="26">
        <v>45098</v>
      </c>
      <c r="Q588" s="2">
        <f t="shared" si="90"/>
        <v>1</v>
      </c>
      <c r="S588" s="7">
        <f t="shared" si="97"/>
        <v>1</v>
      </c>
      <c r="T588" s="157">
        <f t="shared" si="98"/>
        <v>1</v>
      </c>
      <c r="V588" s="191">
        <f t="shared" si="91"/>
        <v>6</v>
      </c>
      <c r="W588" s="7">
        <f t="shared" si="92"/>
        <v>2023</v>
      </c>
    </row>
    <row r="589" spans="1:23" ht="31.95" customHeight="1" thickBot="1" x14ac:dyDescent="0.35">
      <c r="A589" s="15">
        <f t="shared" si="93"/>
        <v>7</v>
      </c>
      <c r="B589" s="26">
        <v>45100</v>
      </c>
      <c r="C589" s="51">
        <f t="shared" si="99"/>
        <v>585</v>
      </c>
      <c r="D589" s="27" t="s">
        <v>1206</v>
      </c>
      <c r="E589" s="26" t="s">
        <v>11</v>
      </c>
      <c r="F589" s="28" t="s">
        <v>11</v>
      </c>
      <c r="G589" s="28" t="s">
        <v>11</v>
      </c>
      <c r="H589" s="254"/>
      <c r="I589" s="49">
        <v>7</v>
      </c>
      <c r="J589" s="49">
        <v>7</v>
      </c>
      <c r="K589" s="52">
        <f t="shared" si="94"/>
        <v>1</v>
      </c>
      <c r="L589" s="209">
        <f t="shared" si="95"/>
        <v>0</v>
      </c>
      <c r="M589" s="210">
        <f t="shared" si="96"/>
        <v>0</v>
      </c>
      <c r="N589" s="26">
        <v>45100</v>
      </c>
      <c r="O589" s="26">
        <v>45100</v>
      </c>
      <c r="P589" s="26">
        <v>45100</v>
      </c>
      <c r="Q589" s="2">
        <f t="shared" si="90"/>
        <v>1</v>
      </c>
      <c r="S589" s="7">
        <f t="shared" si="97"/>
        <v>1</v>
      </c>
      <c r="T589" s="157">
        <f t="shared" si="98"/>
        <v>1</v>
      </c>
      <c r="V589" s="191">
        <f t="shared" si="91"/>
        <v>6</v>
      </c>
      <c r="W589" s="7">
        <f t="shared" si="92"/>
        <v>2023</v>
      </c>
    </row>
    <row r="590" spans="1:23" ht="31.95" customHeight="1" thickBot="1" x14ac:dyDescent="0.35">
      <c r="A590" s="15">
        <f t="shared" si="93"/>
        <v>1</v>
      </c>
      <c r="B590" s="26">
        <v>45104</v>
      </c>
      <c r="C590" s="51">
        <f t="shared" si="99"/>
        <v>586</v>
      </c>
      <c r="D590" s="27" t="s">
        <v>532</v>
      </c>
      <c r="E590" s="26" t="s">
        <v>11</v>
      </c>
      <c r="F590" s="28" t="s">
        <v>11</v>
      </c>
      <c r="G590" s="28" t="s">
        <v>11</v>
      </c>
      <c r="H590" s="254"/>
      <c r="I590" s="49">
        <v>1</v>
      </c>
      <c r="J590" s="49">
        <v>1</v>
      </c>
      <c r="K590" s="52">
        <f t="shared" si="94"/>
        <v>1</v>
      </c>
      <c r="L590" s="209">
        <f t="shared" si="95"/>
        <v>0</v>
      </c>
      <c r="M590" s="210">
        <f t="shared" si="96"/>
        <v>0</v>
      </c>
      <c r="N590" s="26">
        <v>45104</v>
      </c>
      <c r="O590" s="26">
        <v>45104</v>
      </c>
      <c r="P590" s="26">
        <v>45104</v>
      </c>
      <c r="Q590" s="2">
        <f t="shared" si="90"/>
        <v>1</v>
      </c>
      <c r="S590" s="7">
        <f t="shared" si="97"/>
        <v>1</v>
      </c>
      <c r="T590" s="157">
        <f t="shared" si="98"/>
        <v>1</v>
      </c>
      <c r="V590" s="191">
        <f t="shared" si="91"/>
        <v>6</v>
      </c>
      <c r="W590" s="7">
        <f t="shared" si="92"/>
        <v>2023</v>
      </c>
    </row>
    <row r="591" spans="1:23" ht="31.95" customHeight="1" thickBot="1" x14ac:dyDescent="0.35">
      <c r="A591" s="15">
        <f t="shared" si="93"/>
        <v>1</v>
      </c>
      <c r="B591" s="26">
        <v>45107</v>
      </c>
      <c r="C591" s="51">
        <f t="shared" si="99"/>
        <v>587</v>
      </c>
      <c r="D591" s="27" t="s">
        <v>524</v>
      </c>
      <c r="E591" s="26" t="s">
        <v>90</v>
      </c>
      <c r="F591" s="28" t="s">
        <v>11</v>
      </c>
      <c r="G591" s="28" t="s">
        <v>11</v>
      </c>
      <c r="H591" s="254"/>
      <c r="I591" s="49">
        <v>1</v>
      </c>
      <c r="J591" s="49">
        <v>1</v>
      </c>
      <c r="K591" s="52">
        <f t="shared" si="94"/>
        <v>1</v>
      </c>
      <c r="L591" s="209">
        <f t="shared" si="95"/>
        <v>0</v>
      </c>
      <c r="M591" s="210">
        <f t="shared" si="96"/>
        <v>0</v>
      </c>
      <c r="N591" s="26">
        <v>45107</v>
      </c>
      <c r="O591" s="26">
        <v>45107</v>
      </c>
      <c r="P591" s="26">
        <v>45107</v>
      </c>
      <c r="Q591" s="2">
        <f t="shared" si="90"/>
        <v>1</v>
      </c>
      <c r="S591" s="7">
        <f t="shared" si="97"/>
        <v>1</v>
      </c>
      <c r="T591" s="157">
        <f t="shared" si="98"/>
        <v>1</v>
      </c>
      <c r="V591" s="191">
        <f t="shared" si="91"/>
        <v>6</v>
      </c>
      <c r="W591" s="7">
        <f t="shared" si="92"/>
        <v>2023</v>
      </c>
    </row>
    <row r="592" spans="1:23" ht="31.95" customHeight="1" thickBot="1" x14ac:dyDescent="0.35">
      <c r="A592" s="15">
        <f t="shared" si="93"/>
        <v>5</v>
      </c>
      <c r="B592" s="26">
        <v>45112</v>
      </c>
      <c r="C592" s="51">
        <f t="shared" si="99"/>
        <v>588</v>
      </c>
      <c r="D592" s="27" t="s">
        <v>890</v>
      </c>
      <c r="E592" s="26" t="s">
        <v>91</v>
      </c>
      <c r="F592" s="28" t="s">
        <v>11</v>
      </c>
      <c r="G592" s="28" t="s">
        <v>11</v>
      </c>
      <c r="H592" s="254"/>
      <c r="I592" s="49">
        <v>5</v>
      </c>
      <c r="J592" s="49">
        <v>5</v>
      </c>
      <c r="K592" s="52">
        <f t="shared" si="94"/>
        <v>1</v>
      </c>
      <c r="L592" s="209">
        <f t="shared" si="95"/>
        <v>0</v>
      </c>
      <c r="M592" s="210">
        <f t="shared" si="96"/>
        <v>0</v>
      </c>
      <c r="N592" s="26">
        <v>45133</v>
      </c>
      <c r="O592" s="26">
        <v>45133</v>
      </c>
      <c r="P592" s="26">
        <v>45133</v>
      </c>
      <c r="Q592" s="2">
        <f t="shared" si="90"/>
        <v>1</v>
      </c>
      <c r="S592" s="7">
        <f t="shared" si="97"/>
        <v>1</v>
      </c>
      <c r="T592" s="157">
        <f t="shared" si="98"/>
        <v>1</v>
      </c>
      <c r="V592" s="191">
        <f t="shared" si="91"/>
        <v>7</v>
      </c>
      <c r="W592" s="7">
        <f t="shared" si="92"/>
        <v>2023</v>
      </c>
    </row>
    <row r="593" spans="1:23" ht="31.95" customHeight="1" thickBot="1" x14ac:dyDescent="0.35">
      <c r="A593" s="15">
        <f t="shared" si="93"/>
        <v>2</v>
      </c>
      <c r="B593" s="26">
        <v>45112</v>
      </c>
      <c r="C593" s="51">
        <f t="shared" si="99"/>
        <v>589</v>
      </c>
      <c r="D593" s="27" t="s">
        <v>890</v>
      </c>
      <c r="E593" s="26" t="s">
        <v>92</v>
      </c>
      <c r="F593" s="28" t="s">
        <v>11</v>
      </c>
      <c r="G593" s="28" t="s">
        <v>11</v>
      </c>
      <c r="H593" s="254"/>
      <c r="I593" s="49">
        <v>2</v>
      </c>
      <c r="J593" s="49">
        <v>2</v>
      </c>
      <c r="K593" s="52">
        <f t="shared" si="94"/>
        <v>1</v>
      </c>
      <c r="L593" s="209">
        <f t="shared" si="95"/>
        <v>0</v>
      </c>
      <c r="M593" s="210">
        <f t="shared" si="96"/>
        <v>0</v>
      </c>
      <c r="N593" s="26">
        <v>45133</v>
      </c>
      <c r="O593" s="26">
        <v>45133</v>
      </c>
      <c r="P593" s="26">
        <v>45133</v>
      </c>
      <c r="Q593" s="2">
        <f t="shared" si="90"/>
        <v>1</v>
      </c>
      <c r="S593" s="7">
        <f t="shared" si="97"/>
        <v>1</v>
      </c>
      <c r="T593" s="157">
        <f t="shared" si="98"/>
        <v>1</v>
      </c>
      <c r="V593" s="191">
        <f t="shared" si="91"/>
        <v>7</v>
      </c>
      <c r="W593" s="7">
        <f t="shared" si="92"/>
        <v>2023</v>
      </c>
    </row>
    <row r="594" spans="1:23" ht="31.95" customHeight="1" thickBot="1" x14ac:dyDescent="0.35">
      <c r="A594" s="15">
        <f t="shared" si="93"/>
        <v>5</v>
      </c>
      <c r="B594" s="26">
        <v>45112</v>
      </c>
      <c r="C594" s="51">
        <f t="shared" si="99"/>
        <v>590</v>
      </c>
      <c r="D594" s="27" t="s">
        <v>890</v>
      </c>
      <c r="E594" s="26" t="s">
        <v>93</v>
      </c>
      <c r="F594" s="28" t="s">
        <v>11</v>
      </c>
      <c r="G594" s="28" t="s">
        <v>11</v>
      </c>
      <c r="H594" s="254"/>
      <c r="I594" s="49">
        <v>5</v>
      </c>
      <c r="J594" s="49">
        <v>5</v>
      </c>
      <c r="K594" s="52">
        <f t="shared" si="94"/>
        <v>1</v>
      </c>
      <c r="L594" s="209">
        <f t="shared" si="95"/>
        <v>0</v>
      </c>
      <c r="M594" s="210">
        <f t="shared" si="96"/>
        <v>0</v>
      </c>
      <c r="N594" s="26">
        <v>45133</v>
      </c>
      <c r="O594" s="26">
        <v>45133</v>
      </c>
      <c r="P594" s="26">
        <v>45133</v>
      </c>
      <c r="Q594" s="2">
        <f t="shared" si="90"/>
        <v>1</v>
      </c>
      <c r="S594" s="7">
        <f t="shared" si="97"/>
        <v>1</v>
      </c>
      <c r="T594" s="157">
        <f t="shared" si="98"/>
        <v>1</v>
      </c>
      <c r="V594" s="191">
        <f t="shared" si="91"/>
        <v>7</v>
      </c>
      <c r="W594" s="7">
        <f t="shared" si="92"/>
        <v>2023</v>
      </c>
    </row>
    <row r="595" spans="1:23" ht="31.95" customHeight="1" thickBot="1" x14ac:dyDescent="0.35">
      <c r="A595" s="15">
        <f t="shared" si="93"/>
        <v>2</v>
      </c>
      <c r="B595" s="26">
        <v>45112</v>
      </c>
      <c r="C595" s="51">
        <f t="shared" si="99"/>
        <v>591</v>
      </c>
      <c r="D595" s="27" t="s">
        <v>890</v>
      </c>
      <c r="E595" s="26" t="s">
        <v>94</v>
      </c>
      <c r="F595" s="28" t="s">
        <v>11</v>
      </c>
      <c r="G595" s="28" t="s">
        <v>11</v>
      </c>
      <c r="H595" s="254"/>
      <c r="I595" s="49">
        <v>2</v>
      </c>
      <c r="J595" s="49">
        <v>2</v>
      </c>
      <c r="K595" s="52">
        <f t="shared" si="94"/>
        <v>1</v>
      </c>
      <c r="L595" s="209">
        <f t="shared" si="95"/>
        <v>0</v>
      </c>
      <c r="M595" s="210">
        <f t="shared" si="96"/>
        <v>0</v>
      </c>
      <c r="N595" s="26">
        <v>45133</v>
      </c>
      <c r="O595" s="26">
        <v>45133</v>
      </c>
      <c r="P595" s="26">
        <v>45133</v>
      </c>
      <c r="Q595" s="2">
        <f t="shared" si="90"/>
        <v>1</v>
      </c>
      <c r="S595" s="7">
        <f t="shared" si="97"/>
        <v>1</v>
      </c>
      <c r="T595" s="157">
        <f t="shared" si="98"/>
        <v>1</v>
      </c>
      <c r="V595" s="191">
        <f t="shared" si="91"/>
        <v>7</v>
      </c>
      <c r="W595" s="7">
        <f t="shared" si="92"/>
        <v>2023</v>
      </c>
    </row>
    <row r="596" spans="1:23" ht="31.95" customHeight="1" thickBot="1" x14ac:dyDescent="0.35">
      <c r="A596" s="15">
        <f t="shared" si="93"/>
        <v>2</v>
      </c>
      <c r="B596" s="26">
        <v>45112</v>
      </c>
      <c r="C596" s="51">
        <f t="shared" si="99"/>
        <v>592</v>
      </c>
      <c r="D596" s="27" t="s">
        <v>890</v>
      </c>
      <c r="E596" s="26" t="s">
        <v>95</v>
      </c>
      <c r="F596" s="28" t="s">
        <v>11</v>
      </c>
      <c r="G596" s="28" t="s">
        <v>11</v>
      </c>
      <c r="H596" s="254"/>
      <c r="I596" s="49">
        <v>2</v>
      </c>
      <c r="J596" s="49">
        <v>2</v>
      </c>
      <c r="K596" s="52">
        <f t="shared" si="94"/>
        <v>1</v>
      </c>
      <c r="L596" s="209">
        <f t="shared" si="95"/>
        <v>0</v>
      </c>
      <c r="M596" s="210">
        <f t="shared" si="96"/>
        <v>0</v>
      </c>
      <c r="N596" s="26">
        <v>45133</v>
      </c>
      <c r="O596" s="26">
        <v>45133</v>
      </c>
      <c r="P596" s="26">
        <v>45133</v>
      </c>
      <c r="Q596" s="2">
        <f t="shared" si="90"/>
        <v>1</v>
      </c>
      <c r="S596" s="7">
        <f t="shared" si="97"/>
        <v>1</v>
      </c>
      <c r="T596" s="157">
        <f t="shared" si="98"/>
        <v>1</v>
      </c>
      <c r="V596" s="191">
        <f t="shared" si="91"/>
        <v>7</v>
      </c>
      <c r="W596" s="7">
        <f t="shared" si="92"/>
        <v>2023</v>
      </c>
    </row>
    <row r="597" spans="1:23" ht="31.95" customHeight="1" thickBot="1" x14ac:dyDescent="0.35">
      <c r="A597" s="15">
        <f t="shared" si="93"/>
        <v>5</v>
      </c>
      <c r="B597" s="26">
        <v>45112</v>
      </c>
      <c r="C597" s="51">
        <f t="shared" si="99"/>
        <v>593</v>
      </c>
      <c r="D597" s="27" t="s">
        <v>602</v>
      </c>
      <c r="E597" s="26" t="s">
        <v>1306</v>
      </c>
      <c r="F597" s="28" t="s">
        <v>11</v>
      </c>
      <c r="G597" s="28" t="s">
        <v>11</v>
      </c>
      <c r="H597" s="254"/>
      <c r="I597" s="49">
        <v>5</v>
      </c>
      <c r="J597" s="49">
        <v>5</v>
      </c>
      <c r="K597" s="52">
        <f t="shared" si="94"/>
        <v>1</v>
      </c>
      <c r="L597" s="209">
        <f t="shared" si="95"/>
        <v>0</v>
      </c>
      <c r="M597" s="210">
        <f t="shared" si="96"/>
        <v>0</v>
      </c>
      <c r="N597" s="26">
        <v>45113</v>
      </c>
      <c r="O597" s="26">
        <v>45113</v>
      </c>
      <c r="P597" s="26">
        <v>45113</v>
      </c>
      <c r="Q597" s="2">
        <f t="shared" si="90"/>
        <v>1</v>
      </c>
      <c r="S597" s="7">
        <f t="shared" si="97"/>
        <v>1</v>
      </c>
      <c r="T597" s="157">
        <f t="shared" si="98"/>
        <v>1</v>
      </c>
      <c r="V597" s="191">
        <f t="shared" si="91"/>
        <v>7</v>
      </c>
      <c r="W597" s="7">
        <f t="shared" si="92"/>
        <v>2023</v>
      </c>
    </row>
    <row r="598" spans="1:23" ht="31.95" customHeight="1" thickBot="1" x14ac:dyDescent="0.35">
      <c r="A598" s="15">
        <f t="shared" si="93"/>
        <v>2</v>
      </c>
      <c r="B598" s="26">
        <v>45113</v>
      </c>
      <c r="C598" s="51">
        <f t="shared" si="99"/>
        <v>594</v>
      </c>
      <c r="D598" s="27" t="s">
        <v>978</v>
      </c>
      <c r="E598" s="26" t="s">
        <v>95</v>
      </c>
      <c r="F598" s="28" t="s">
        <v>11</v>
      </c>
      <c r="G598" s="28" t="s">
        <v>11</v>
      </c>
      <c r="H598" s="254"/>
      <c r="I598" s="49">
        <v>2</v>
      </c>
      <c r="J598" s="49">
        <v>2</v>
      </c>
      <c r="K598" s="52">
        <f t="shared" si="94"/>
        <v>1</v>
      </c>
      <c r="L598" s="209">
        <f t="shared" si="95"/>
        <v>0</v>
      </c>
      <c r="M598" s="210">
        <f t="shared" si="96"/>
        <v>0</v>
      </c>
      <c r="N598" s="26">
        <v>45114</v>
      </c>
      <c r="O598" s="26">
        <v>45114</v>
      </c>
      <c r="P598" s="26">
        <v>45114</v>
      </c>
      <c r="Q598" s="2">
        <f t="shared" si="90"/>
        <v>1</v>
      </c>
      <c r="S598" s="7">
        <f t="shared" si="97"/>
        <v>1</v>
      </c>
      <c r="T598" s="157">
        <f t="shared" si="98"/>
        <v>1</v>
      </c>
      <c r="V598" s="191">
        <f t="shared" si="91"/>
        <v>7</v>
      </c>
      <c r="W598" s="7">
        <f t="shared" si="92"/>
        <v>2023</v>
      </c>
    </row>
    <row r="599" spans="1:23" ht="31.95" customHeight="1" thickBot="1" x14ac:dyDescent="0.35">
      <c r="A599" s="15">
        <f t="shared" si="93"/>
        <v>3</v>
      </c>
      <c r="B599" s="26">
        <v>45113</v>
      </c>
      <c r="C599" s="51">
        <f t="shared" si="99"/>
        <v>595</v>
      </c>
      <c r="D599" s="27" t="s">
        <v>524</v>
      </c>
      <c r="E599" s="26" t="s">
        <v>95</v>
      </c>
      <c r="F599" s="28" t="s">
        <v>11</v>
      </c>
      <c r="G599" s="28" t="s">
        <v>11</v>
      </c>
      <c r="H599" s="254"/>
      <c r="I599" s="49">
        <v>3</v>
      </c>
      <c r="J599" s="49">
        <v>3</v>
      </c>
      <c r="K599" s="52">
        <f t="shared" si="94"/>
        <v>1</v>
      </c>
      <c r="L599" s="209">
        <f t="shared" si="95"/>
        <v>0</v>
      </c>
      <c r="M599" s="210">
        <f t="shared" si="96"/>
        <v>0</v>
      </c>
      <c r="N599" s="26">
        <v>45114</v>
      </c>
      <c r="O599" s="26">
        <v>45114</v>
      </c>
      <c r="P599" s="26">
        <v>45114</v>
      </c>
      <c r="Q599" s="2">
        <f t="shared" si="90"/>
        <v>1</v>
      </c>
      <c r="S599" s="7">
        <f t="shared" si="97"/>
        <v>1</v>
      </c>
      <c r="T599" s="157">
        <f t="shared" si="98"/>
        <v>1</v>
      </c>
      <c r="V599" s="191">
        <f t="shared" si="91"/>
        <v>7</v>
      </c>
      <c r="W599" s="7">
        <f t="shared" si="92"/>
        <v>2023</v>
      </c>
    </row>
    <row r="600" spans="1:23" ht="31.95" customHeight="1" thickBot="1" x14ac:dyDescent="0.35">
      <c r="A600" s="15">
        <f t="shared" si="93"/>
        <v>7</v>
      </c>
      <c r="B600" s="26">
        <v>45113</v>
      </c>
      <c r="C600" s="51">
        <f t="shared" si="99"/>
        <v>596</v>
      </c>
      <c r="D600" s="27" t="s">
        <v>524</v>
      </c>
      <c r="E600" s="26" t="s">
        <v>93</v>
      </c>
      <c r="F600" s="28" t="s">
        <v>11</v>
      </c>
      <c r="G600" s="28" t="s">
        <v>11</v>
      </c>
      <c r="H600" s="254"/>
      <c r="I600" s="49">
        <v>7</v>
      </c>
      <c r="J600" s="49">
        <v>7</v>
      </c>
      <c r="K600" s="52">
        <f t="shared" si="94"/>
        <v>1</v>
      </c>
      <c r="L600" s="209">
        <f t="shared" si="95"/>
        <v>0</v>
      </c>
      <c r="M600" s="210">
        <f t="shared" si="96"/>
        <v>0</v>
      </c>
      <c r="N600" s="26">
        <v>45114</v>
      </c>
      <c r="O600" s="26">
        <v>45114</v>
      </c>
      <c r="P600" s="26">
        <v>45114</v>
      </c>
      <c r="Q600" s="2">
        <f t="shared" si="90"/>
        <v>1</v>
      </c>
      <c r="S600" s="7">
        <f t="shared" si="97"/>
        <v>1</v>
      </c>
      <c r="T600" s="157">
        <f t="shared" si="98"/>
        <v>1</v>
      </c>
      <c r="V600" s="191">
        <f t="shared" si="91"/>
        <v>7</v>
      </c>
      <c r="W600" s="7">
        <f t="shared" si="92"/>
        <v>2023</v>
      </c>
    </row>
    <row r="601" spans="1:23" ht="31.95" customHeight="1" thickBot="1" x14ac:dyDescent="0.35">
      <c r="A601" s="15">
        <f t="shared" si="93"/>
        <v>6</v>
      </c>
      <c r="B601" s="26">
        <v>45113</v>
      </c>
      <c r="C601" s="51">
        <f t="shared" si="99"/>
        <v>597</v>
      </c>
      <c r="D601" s="27" t="s">
        <v>978</v>
      </c>
      <c r="E601" s="26" t="s">
        <v>93</v>
      </c>
      <c r="F601" s="28" t="s">
        <v>11</v>
      </c>
      <c r="G601" s="28" t="s">
        <v>11</v>
      </c>
      <c r="H601" s="254"/>
      <c r="I601" s="49">
        <v>6</v>
      </c>
      <c r="J601" s="49">
        <v>6</v>
      </c>
      <c r="K601" s="52">
        <f t="shared" si="94"/>
        <v>1</v>
      </c>
      <c r="L601" s="209">
        <f t="shared" si="95"/>
        <v>0</v>
      </c>
      <c r="M601" s="210">
        <f t="shared" si="96"/>
        <v>0</v>
      </c>
      <c r="N601" s="26">
        <v>45114</v>
      </c>
      <c r="O601" s="26">
        <v>45114</v>
      </c>
      <c r="P601" s="26">
        <v>45114</v>
      </c>
      <c r="Q601" s="2">
        <f t="shared" si="90"/>
        <v>1</v>
      </c>
      <c r="S601" s="7">
        <f t="shared" si="97"/>
        <v>1</v>
      </c>
      <c r="T601" s="157">
        <f t="shared" si="98"/>
        <v>1</v>
      </c>
      <c r="V601" s="191">
        <f t="shared" si="91"/>
        <v>7</v>
      </c>
      <c r="W601" s="7">
        <f t="shared" si="92"/>
        <v>2023</v>
      </c>
    </row>
    <row r="602" spans="1:23" ht="31.95" customHeight="1" thickBot="1" x14ac:dyDescent="0.35">
      <c r="A602" s="15">
        <f t="shared" si="93"/>
        <v>3</v>
      </c>
      <c r="B602" s="26">
        <v>45113</v>
      </c>
      <c r="C602" s="51">
        <f t="shared" si="99"/>
        <v>598</v>
      </c>
      <c r="D602" s="27" t="s">
        <v>978</v>
      </c>
      <c r="E602" s="26" t="s">
        <v>92</v>
      </c>
      <c r="F602" s="28" t="s">
        <v>11</v>
      </c>
      <c r="G602" s="28" t="s">
        <v>11</v>
      </c>
      <c r="H602" s="254"/>
      <c r="I602" s="49">
        <v>3</v>
      </c>
      <c r="J602" s="49">
        <v>3</v>
      </c>
      <c r="K602" s="52">
        <f t="shared" si="94"/>
        <v>1</v>
      </c>
      <c r="L602" s="209">
        <f t="shared" si="95"/>
        <v>0</v>
      </c>
      <c r="M602" s="210">
        <f t="shared" si="96"/>
        <v>0</v>
      </c>
      <c r="N602" s="26">
        <v>45114</v>
      </c>
      <c r="O602" s="26">
        <v>45114</v>
      </c>
      <c r="P602" s="26">
        <v>45114</v>
      </c>
      <c r="Q602" s="2">
        <f t="shared" si="90"/>
        <v>1</v>
      </c>
      <c r="S602" s="7">
        <f t="shared" si="97"/>
        <v>1</v>
      </c>
      <c r="T602" s="157">
        <f t="shared" si="98"/>
        <v>1</v>
      </c>
      <c r="V602" s="191">
        <f t="shared" si="91"/>
        <v>7</v>
      </c>
      <c r="W602" s="7">
        <f t="shared" si="92"/>
        <v>2023</v>
      </c>
    </row>
    <row r="603" spans="1:23" ht="31.95" customHeight="1" thickBot="1" x14ac:dyDescent="0.35">
      <c r="A603" s="15">
        <f t="shared" si="93"/>
        <v>2</v>
      </c>
      <c r="B603" s="26">
        <v>45113</v>
      </c>
      <c r="C603" s="51">
        <f t="shared" si="99"/>
        <v>599</v>
      </c>
      <c r="D603" s="27" t="s">
        <v>524</v>
      </c>
      <c r="E603" s="26" t="s">
        <v>92</v>
      </c>
      <c r="F603" s="28" t="s">
        <v>11</v>
      </c>
      <c r="G603" s="28" t="s">
        <v>11</v>
      </c>
      <c r="H603" s="254"/>
      <c r="I603" s="49">
        <v>2</v>
      </c>
      <c r="J603" s="49">
        <v>2</v>
      </c>
      <c r="K603" s="52">
        <f t="shared" si="94"/>
        <v>1</v>
      </c>
      <c r="L603" s="209">
        <f t="shared" si="95"/>
        <v>0</v>
      </c>
      <c r="M603" s="210">
        <f t="shared" si="96"/>
        <v>0</v>
      </c>
      <c r="N603" s="26">
        <v>45114</v>
      </c>
      <c r="O603" s="26">
        <v>45114</v>
      </c>
      <c r="P603" s="26">
        <v>45114</v>
      </c>
      <c r="Q603" s="2">
        <f t="shared" si="90"/>
        <v>1</v>
      </c>
      <c r="S603" s="7">
        <f t="shared" si="97"/>
        <v>1</v>
      </c>
      <c r="T603" s="157">
        <f t="shared" si="98"/>
        <v>1</v>
      </c>
      <c r="V603" s="191">
        <f t="shared" si="91"/>
        <v>7</v>
      </c>
      <c r="W603" s="7">
        <f t="shared" si="92"/>
        <v>2023</v>
      </c>
    </row>
    <row r="604" spans="1:23" ht="31.95" customHeight="1" thickBot="1" x14ac:dyDescent="0.35">
      <c r="A604" s="15">
        <f t="shared" si="93"/>
        <v>4</v>
      </c>
      <c r="B604" s="26">
        <v>45113</v>
      </c>
      <c r="C604" s="51">
        <f t="shared" si="99"/>
        <v>600</v>
      </c>
      <c r="D604" s="27" t="s">
        <v>524</v>
      </c>
      <c r="E604" s="26" t="s">
        <v>94</v>
      </c>
      <c r="F604" s="28" t="s">
        <v>11</v>
      </c>
      <c r="G604" s="28" t="s">
        <v>11</v>
      </c>
      <c r="H604" s="254"/>
      <c r="I604" s="49">
        <v>4</v>
      </c>
      <c r="J604" s="49">
        <v>4</v>
      </c>
      <c r="K604" s="52">
        <f t="shared" si="94"/>
        <v>1</v>
      </c>
      <c r="L604" s="209">
        <f t="shared" si="95"/>
        <v>0</v>
      </c>
      <c r="M604" s="210">
        <f t="shared" si="96"/>
        <v>0</v>
      </c>
      <c r="N604" s="26">
        <v>45114</v>
      </c>
      <c r="O604" s="26">
        <v>45114</v>
      </c>
      <c r="P604" s="26">
        <v>45114</v>
      </c>
      <c r="Q604" s="2">
        <f t="shared" si="90"/>
        <v>1</v>
      </c>
      <c r="S604" s="7">
        <f t="shared" si="97"/>
        <v>1</v>
      </c>
      <c r="T604" s="157">
        <f t="shared" si="98"/>
        <v>1</v>
      </c>
      <c r="V604" s="191">
        <f t="shared" si="91"/>
        <v>7</v>
      </c>
      <c r="W604" s="7">
        <f t="shared" si="92"/>
        <v>2023</v>
      </c>
    </row>
    <row r="605" spans="1:23" ht="31.95" customHeight="1" thickBot="1" x14ac:dyDescent="0.35">
      <c r="A605" s="15">
        <f t="shared" si="93"/>
        <v>2</v>
      </c>
      <c r="B605" s="26">
        <v>45113</v>
      </c>
      <c r="C605" s="51">
        <f t="shared" si="99"/>
        <v>601</v>
      </c>
      <c r="D605" s="27" t="s">
        <v>978</v>
      </c>
      <c r="E605" s="26" t="s">
        <v>94</v>
      </c>
      <c r="F605" s="28" t="s">
        <v>11</v>
      </c>
      <c r="G605" s="28" t="s">
        <v>11</v>
      </c>
      <c r="H605" s="254"/>
      <c r="I605" s="49">
        <v>2</v>
      </c>
      <c r="J605" s="49">
        <v>2</v>
      </c>
      <c r="K605" s="52">
        <f t="shared" si="94"/>
        <v>1</v>
      </c>
      <c r="L605" s="209">
        <f t="shared" si="95"/>
        <v>0</v>
      </c>
      <c r="M605" s="210">
        <f t="shared" si="96"/>
        <v>0</v>
      </c>
      <c r="N605" s="26">
        <v>45114</v>
      </c>
      <c r="O605" s="26">
        <v>45114</v>
      </c>
      <c r="P605" s="26">
        <v>45114</v>
      </c>
      <c r="Q605" s="2">
        <f t="shared" si="90"/>
        <v>1</v>
      </c>
      <c r="S605" s="7">
        <f t="shared" si="97"/>
        <v>1</v>
      </c>
      <c r="T605" s="157">
        <f t="shared" si="98"/>
        <v>1</v>
      </c>
      <c r="V605" s="191">
        <f t="shared" si="91"/>
        <v>7</v>
      </c>
      <c r="W605" s="7">
        <f t="shared" si="92"/>
        <v>2023</v>
      </c>
    </row>
    <row r="606" spans="1:23" ht="31.95" customHeight="1" thickBot="1" x14ac:dyDescent="0.35">
      <c r="A606" s="15">
        <f t="shared" si="93"/>
        <v>13</v>
      </c>
      <c r="B606" s="26">
        <v>45113</v>
      </c>
      <c r="C606" s="51">
        <f t="shared" si="99"/>
        <v>602</v>
      </c>
      <c r="D606" s="27" t="s">
        <v>524</v>
      </c>
      <c r="E606" s="26" t="s">
        <v>91</v>
      </c>
      <c r="F606" s="28" t="s">
        <v>11</v>
      </c>
      <c r="G606" s="28" t="s">
        <v>11</v>
      </c>
      <c r="H606" s="254"/>
      <c r="I606" s="49">
        <v>13</v>
      </c>
      <c r="J606" s="49">
        <v>13</v>
      </c>
      <c r="K606" s="52">
        <f t="shared" si="94"/>
        <v>1</v>
      </c>
      <c r="L606" s="209">
        <f t="shared" si="95"/>
        <v>0</v>
      </c>
      <c r="M606" s="210">
        <f t="shared" si="96"/>
        <v>0</v>
      </c>
      <c r="N606" s="26">
        <v>45114</v>
      </c>
      <c r="O606" s="26">
        <v>45114</v>
      </c>
      <c r="P606" s="26">
        <v>45114</v>
      </c>
      <c r="Q606" s="2">
        <f t="shared" si="90"/>
        <v>1</v>
      </c>
      <c r="S606" s="7">
        <f t="shared" si="97"/>
        <v>1</v>
      </c>
      <c r="T606" s="157">
        <f t="shared" si="98"/>
        <v>1</v>
      </c>
      <c r="V606" s="191">
        <f t="shared" si="91"/>
        <v>7</v>
      </c>
      <c r="W606" s="7">
        <f t="shared" si="92"/>
        <v>2023</v>
      </c>
    </row>
    <row r="607" spans="1:23" ht="31.95" customHeight="1" thickBot="1" x14ac:dyDescent="0.35">
      <c r="A607" s="15">
        <f t="shared" si="93"/>
        <v>8</v>
      </c>
      <c r="B607" s="26">
        <v>45114</v>
      </c>
      <c r="C607" s="51">
        <f t="shared" si="99"/>
        <v>603</v>
      </c>
      <c r="D607" s="27" t="s">
        <v>488</v>
      </c>
      <c r="E607" s="26" t="s">
        <v>91</v>
      </c>
      <c r="F607" s="28" t="s">
        <v>11</v>
      </c>
      <c r="G607" s="28" t="s">
        <v>11</v>
      </c>
      <c r="H607" s="254"/>
      <c r="I607" s="49">
        <v>8</v>
      </c>
      <c r="J607" s="49">
        <v>8</v>
      </c>
      <c r="K607" s="52">
        <f t="shared" si="94"/>
        <v>1</v>
      </c>
      <c r="L607" s="209">
        <f t="shared" si="95"/>
        <v>0</v>
      </c>
      <c r="M607" s="210">
        <f t="shared" si="96"/>
        <v>0</v>
      </c>
      <c r="N607" s="26">
        <v>45121</v>
      </c>
      <c r="O607" s="26">
        <v>45121</v>
      </c>
      <c r="P607" s="26">
        <v>45121</v>
      </c>
      <c r="Q607" s="2">
        <f t="shared" si="90"/>
        <v>1</v>
      </c>
      <c r="S607" s="7">
        <f t="shared" si="97"/>
        <v>1</v>
      </c>
      <c r="T607" s="157">
        <f t="shared" si="98"/>
        <v>1</v>
      </c>
      <c r="V607" s="191">
        <f t="shared" si="91"/>
        <v>7</v>
      </c>
      <c r="W607" s="7">
        <f t="shared" si="92"/>
        <v>2023</v>
      </c>
    </row>
    <row r="608" spans="1:23" ht="31.95" customHeight="1" thickBot="1" x14ac:dyDescent="0.35">
      <c r="A608" s="15">
        <f t="shared" si="93"/>
        <v>4</v>
      </c>
      <c r="B608" s="26">
        <v>45114</v>
      </c>
      <c r="C608" s="51">
        <f t="shared" si="99"/>
        <v>604</v>
      </c>
      <c r="D608" s="27" t="s">
        <v>488</v>
      </c>
      <c r="E608" s="26" t="s">
        <v>92</v>
      </c>
      <c r="F608" s="28" t="s">
        <v>11</v>
      </c>
      <c r="G608" s="28" t="s">
        <v>11</v>
      </c>
      <c r="H608" s="254"/>
      <c r="I608" s="49">
        <v>4</v>
      </c>
      <c r="J608" s="49">
        <v>4</v>
      </c>
      <c r="K608" s="52">
        <f t="shared" si="94"/>
        <v>1</v>
      </c>
      <c r="L608" s="209">
        <f t="shared" si="95"/>
        <v>0</v>
      </c>
      <c r="M608" s="210">
        <f t="shared" si="96"/>
        <v>0</v>
      </c>
      <c r="N608" s="28">
        <v>45121</v>
      </c>
      <c r="O608" s="26">
        <v>45121</v>
      </c>
      <c r="P608" s="26">
        <v>45121</v>
      </c>
      <c r="Q608" s="2">
        <f t="shared" si="90"/>
        <v>1</v>
      </c>
      <c r="S608" s="7">
        <f t="shared" si="97"/>
        <v>1</v>
      </c>
      <c r="T608" s="157">
        <f t="shared" si="98"/>
        <v>1</v>
      </c>
      <c r="V608" s="191">
        <f t="shared" si="91"/>
        <v>7</v>
      </c>
      <c r="W608" s="7">
        <f t="shared" si="92"/>
        <v>2023</v>
      </c>
    </row>
    <row r="609" spans="1:23" ht="31.95" customHeight="1" thickBot="1" x14ac:dyDescent="0.35">
      <c r="A609" s="15">
        <f t="shared" si="93"/>
        <v>8</v>
      </c>
      <c r="B609" s="26">
        <v>45114</v>
      </c>
      <c r="C609" s="51">
        <f t="shared" si="99"/>
        <v>605</v>
      </c>
      <c r="D609" s="27" t="s">
        <v>488</v>
      </c>
      <c r="E609" s="26" t="s">
        <v>93</v>
      </c>
      <c r="F609" s="28" t="s">
        <v>11</v>
      </c>
      <c r="G609" s="28" t="s">
        <v>11</v>
      </c>
      <c r="H609" s="254"/>
      <c r="I609" s="49">
        <v>8</v>
      </c>
      <c r="J609" s="49">
        <v>8</v>
      </c>
      <c r="K609" s="52">
        <f t="shared" si="94"/>
        <v>1</v>
      </c>
      <c r="L609" s="209">
        <f t="shared" si="95"/>
        <v>0</v>
      </c>
      <c r="M609" s="210">
        <f t="shared" si="96"/>
        <v>0</v>
      </c>
      <c r="N609" s="28">
        <v>45121</v>
      </c>
      <c r="O609" s="26">
        <v>45121</v>
      </c>
      <c r="P609" s="50">
        <v>45121</v>
      </c>
      <c r="Q609" s="2">
        <f t="shared" si="90"/>
        <v>1</v>
      </c>
      <c r="S609" s="7">
        <f t="shared" si="97"/>
        <v>1</v>
      </c>
      <c r="T609" s="157">
        <f t="shared" si="98"/>
        <v>1</v>
      </c>
      <c r="V609" s="191">
        <f t="shared" si="91"/>
        <v>7</v>
      </c>
      <c r="W609" s="7">
        <f t="shared" si="92"/>
        <v>2023</v>
      </c>
    </row>
    <row r="610" spans="1:23" ht="31.95" customHeight="1" thickBot="1" x14ac:dyDescent="0.35">
      <c r="A610" s="15">
        <f t="shared" si="93"/>
        <v>4</v>
      </c>
      <c r="B610" s="26">
        <v>45114</v>
      </c>
      <c r="C610" s="51">
        <f t="shared" si="99"/>
        <v>606</v>
      </c>
      <c r="D610" s="27" t="s">
        <v>488</v>
      </c>
      <c r="E610" s="26" t="s">
        <v>94</v>
      </c>
      <c r="F610" s="28" t="s">
        <v>11</v>
      </c>
      <c r="G610" s="28" t="s">
        <v>11</v>
      </c>
      <c r="H610" s="254"/>
      <c r="I610" s="49">
        <v>4</v>
      </c>
      <c r="J610" s="49">
        <v>4</v>
      </c>
      <c r="K610" s="52">
        <f t="shared" si="94"/>
        <v>1</v>
      </c>
      <c r="L610" s="209">
        <f t="shared" si="95"/>
        <v>0</v>
      </c>
      <c r="M610" s="210">
        <f t="shared" si="96"/>
        <v>0</v>
      </c>
      <c r="N610" s="26">
        <v>45121</v>
      </c>
      <c r="O610" s="26">
        <v>45121</v>
      </c>
      <c r="P610" s="26">
        <v>45121</v>
      </c>
      <c r="Q610" s="2">
        <f t="shared" si="90"/>
        <v>1</v>
      </c>
      <c r="S610" s="7">
        <f t="shared" si="97"/>
        <v>1</v>
      </c>
      <c r="T610" s="157">
        <f t="shared" si="98"/>
        <v>1</v>
      </c>
      <c r="V610" s="191">
        <f t="shared" si="91"/>
        <v>7</v>
      </c>
      <c r="W610" s="7">
        <f t="shared" si="92"/>
        <v>2023</v>
      </c>
    </row>
    <row r="611" spans="1:23" ht="31.95" customHeight="1" thickBot="1" x14ac:dyDescent="0.35">
      <c r="A611" s="15">
        <f t="shared" si="93"/>
        <v>4</v>
      </c>
      <c r="B611" s="26">
        <v>45114</v>
      </c>
      <c r="C611" s="51">
        <f t="shared" si="99"/>
        <v>607</v>
      </c>
      <c r="D611" s="27" t="s">
        <v>488</v>
      </c>
      <c r="E611" s="26" t="s">
        <v>95</v>
      </c>
      <c r="F611" s="28" t="s">
        <v>11</v>
      </c>
      <c r="G611" s="28" t="s">
        <v>11</v>
      </c>
      <c r="H611" s="254"/>
      <c r="I611" s="49">
        <v>4</v>
      </c>
      <c r="J611" s="49">
        <v>4</v>
      </c>
      <c r="K611" s="52">
        <f t="shared" si="94"/>
        <v>1</v>
      </c>
      <c r="L611" s="209">
        <f t="shared" si="95"/>
        <v>0</v>
      </c>
      <c r="M611" s="210">
        <f t="shared" si="96"/>
        <v>0</v>
      </c>
      <c r="N611" s="26">
        <v>45121</v>
      </c>
      <c r="O611" s="26">
        <v>45121</v>
      </c>
      <c r="P611" s="26">
        <v>45121</v>
      </c>
      <c r="Q611" s="2">
        <f t="shared" si="90"/>
        <v>1</v>
      </c>
      <c r="S611" s="7">
        <f t="shared" si="97"/>
        <v>1</v>
      </c>
      <c r="T611" s="157">
        <f t="shared" si="98"/>
        <v>1</v>
      </c>
      <c r="V611" s="191">
        <f t="shared" si="91"/>
        <v>7</v>
      </c>
      <c r="W611" s="7">
        <f t="shared" si="92"/>
        <v>2023</v>
      </c>
    </row>
    <row r="612" spans="1:23" ht="31.95" customHeight="1" thickBot="1" x14ac:dyDescent="0.35">
      <c r="A612" s="15">
        <f t="shared" si="93"/>
        <v>1</v>
      </c>
      <c r="B612" s="26">
        <v>45114</v>
      </c>
      <c r="C612" s="51">
        <f t="shared" si="99"/>
        <v>608</v>
      </c>
      <c r="D612" s="27" t="s">
        <v>871</v>
      </c>
      <c r="E612" s="26" t="s">
        <v>90</v>
      </c>
      <c r="F612" s="28" t="s">
        <v>11</v>
      </c>
      <c r="G612" s="28" t="s">
        <v>11</v>
      </c>
      <c r="H612" s="254"/>
      <c r="I612" s="49">
        <v>1</v>
      </c>
      <c r="J612" s="49">
        <v>1</v>
      </c>
      <c r="K612" s="52">
        <f t="shared" si="94"/>
        <v>1</v>
      </c>
      <c r="L612" s="209">
        <f t="shared" si="95"/>
        <v>0</v>
      </c>
      <c r="M612" s="210">
        <f t="shared" si="96"/>
        <v>0</v>
      </c>
      <c r="N612" s="26">
        <v>45121</v>
      </c>
      <c r="O612" s="26">
        <v>45121</v>
      </c>
      <c r="P612" s="26">
        <v>45121</v>
      </c>
      <c r="Q612" s="2">
        <f t="shared" si="90"/>
        <v>1</v>
      </c>
      <c r="S612" s="7">
        <f t="shared" si="97"/>
        <v>1</v>
      </c>
      <c r="T612" s="157">
        <f t="shared" si="98"/>
        <v>1</v>
      </c>
      <c r="V612" s="191">
        <f t="shared" si="91"/>
        <v>7</v>
      </c>
      <c r="W612" s="7">
        <f t="shared" si="92"/>
        <v>2023</v>
      </c>
    </row>
    <row r="613" spans="1:23" ht="31.95" customHeight="1" thickBot="1" x14ac:dyDescent="0.35">
      <c r="A613" s="15">
        <f t="shared" si="93"/>
        <v>1</v>
      </c>
      <c r="B613" s="26">
        <v>45117</v>
      </c>
      <c r="C613" s="51">
        <f t="shared" si="99"/>
        <v>609</v>
      </c>
      <c r="D613" s="27" t="s">
        <v>871</v>
      </c>
      <c r="E613" s="26" t="s">
        <v>91</v>
      </c>
      <c r="F613" s="28" t="s">
        <v>11</v>
      </c>
      <c r="G613" s="28" t="s">
        <v>11</v>
      </c>
      <c r="H613" s="254"/>
      <c r="I613" s="49">
        <v>1</v>
      </c>
      <c r="J613" s="49">
        <v>1</v>
      </c>
      <c r="K613" s="52">
        <f t="shared" si="94"/>
        <v>1</v>
      </c>
      <c r="L613" s="209">
        <f t="shared" si="95"/>
        <v>0</v>
      </c>
      <c r="M613" s="210">
        <f t="shared" si="96"/>
        <v>0</v>
      </c>
      <c r="N613" s="28">
        <v>45121</v>
      </c>
      <c r="O613" s="26">
        <v>45121</v>
      </c>
      <c r="P613" s="26">
        <v>45121</v>
      </c>
      <c r="Q613" s="2">
        <f t="shared" si="90"/>
        <v>1</v>
      </c>
      <c r="S613" s="7">
        <f t="shared" si="97"/>
        <v>1</v>
      </c>
      <c r="T613" s="157">
        <f t="shared" si="98"/>
        <v>1</v>
      </c>
      <c r="V613" s="191">
        <f t="shared" si="91"/>
        <v>7</v>
      </c>
      <c r="W613" s="7">
        <f t="shared" si="92"/>
        <v>2023</v>
      </c>
    </row>
    <row r="614" spans="1:23" ht="31.95" customHeight="1" thickBot="1" x14ac:dyDescent="0.35">
      <c r="A614" s="15">
        <f t="shared" si="93"/>
        <v>8</v>
      </c>
      <c r="B614" s="26">
        <v>45117</v>
      </c>
      <c r="C614" s="51">
        <f t="shared" si="99"/>
        <v>610</v>
      </c>
      <c r="D614" s="27" t="s">
        <v>305</v>
      </c>
      <c r="E614" s="26" t="s">
        <v>11</v>
      </c>
      <c r="F614" s="28" t="s">
        <v>11</v>
      </c>
      <c r="G614" s="28" t="s">
        <v>11</v>
      </c>
      <c r="H614" s="254"/>
      <c r="I614" s="49">
        <v>8</v>
      </c>
      <c r="J614" s="49">
        <v>8</v>
      </c>
      <c r="K614" s="52">
        <f t="shared" si="94"/>
        <v>1</v>
      </c>
      <c r="L614" s="209">
        <f t="shared" si="95"/>
        <v>0</v>
      </c>
      <c r="M614" s="210">
        <f t="shared" si="96"/>
        <v>0</v>
      </c>
      <c r="N614" s="26">
        <v>45118</v>
      </c>
      <c r="O614" s="26">
        <v>45118</v>
      </c>
      <c r="P614" s="26">
        <v>45118</v>
      </c>
      <c r="Q614" s="2">
        <f t="shared" si="90"/>
        <v>1</v>
      </c>
      <c r="S614" s="7">
        <f t="shared" si="97"/>
        <v>1</v>
      </c>
      <c r="T614" s="157">
        <f t="shared" si="98"/>
        <v>1</v>
      </c>
      <c r="V614" s="191">
        <f t="shared" si="91"/>
        <v>7</v>
      </c>
      <c r="W614" s="7">
        <f t="shared" si="92"/>
        <v>2023</v>
      </c>
    </row>
    <row r="615" spans="1:23" ht="31.95" customHeight="1" thickBot="1" x14ac:dyDescent="0.35">
      <c r="A615" s="15">
        <f t="shared" si="93"/>
        <v>2</v>
      </c>
      <c r="B615" s="26">
        <v>45117</v>
      </c>
      <c r="C615" s="51">
        <f t="shared" si="99"/>
        <v>611</v>
      </c>
      <c r="D615" s="27" t="s">
        <v>890</v>
      </c>
      <c r="E615" s="26" t="s">
        <v>91</v>
      </c>
      <c r="F615" s="28" t="s">
        <v>11</v>
      </c>
      <c r="G615" s="28" t="s">
        <v>11</v>
      </c>
      <c r="H615" s="254"/>
      <c r="I615" s="49">
        <v>2</v>
      </c>
      <c r="J615" s="49">
        <v>2</v>
      </c>
      <c r="K615" s="52">
        <f t="shared" si="94"/>
        <v>1</v>
      </c>
      <c r="L615" s="209">
        <f t="shared" si="95"/>
        <v>0</v>
      </c>
      <c r="M615" s="210">
        <f t="shared" si="96"/>
        <v>0</v>
      </c>
      <c r="N615" s="26">
        <v>45138</v>
      </c>
      <c r="O615" s="26">
        <v>45138</v>
      </c>
      <c r="P615" s="26">
        <v>45138</v>
      </c>
      <c r="Q615" s="2">
        <f t="shared" si="90"/>
        <v>1</v>
      </c>
      <c r="S615" s="7">
        <f t="shared" si="97"/>
        <v>1</v>
      </c>
      <c r="T615" s="157">
        <f t="shared" si="98"/>
        <v>1</v>
      </c>
      <c r="V615" s="191">
        <f t="shared" si="91"/>
        <v>7</v>
      </c>
      <c r="W615" s="7">
        <f t="shared" si="92"/>
        <v>2023</v>
      </c>
    </row>
    <row r="616" spans="1:23" ht="31.95" customHeight="1" thickBot="1" x14ac:dyDescent="0.35">
      <c r="A616" s="15">
        <f t="shared" si="93"/>
        <v>5</v>
      </c>
      <c r="B616" s="26">
        <v>45117</v>
      </c>
      <c r="C616" s="51">
        <f t="shared" si="99"/>
        <v>612</v>
      </c>
      <c r="D616" s="27" t="s">
        <v>524</v>
      </c>
      <c r="E616" s="26" t="s">
        <v>94</v>
      </c>
      <c r="F616" s="28" t="s">
        <v>11</v>
      </c>
      <c r="G616" s="28" t="s">
        <v>11</v>
      </c>
      <c r="H616" s="254"/>
      <c r="I616" s="49">
        <v>5</v>
      </c>
      <c r="J616" s="49">
        <v>5</v>
      </c>
      <c r="K616" s="52">
        <f t="shared" si="94"/>
        <v>1</v>
      </c>
      <c r="L616" s="209">
        <f t="shared" si="95"/>
        <v>0</v>
      </c>
      <c r="M616" s="210">
        <f t="shared" si="96"/>
        <v>0</v>
      </c>
      <c r="N616" s="28">
        <v>45119</v>
      </c>
      <c r="O616" s="26">
        <v>45119</v>
      </c>
      <c r="P616" s="26">
        <v>45119</v>
      </c>
      <c r="Q616" s="2">
        <f t="shared" si="90"/>
        <v>1</v>
      </c>
      <c r="S616" s="7">
        <f t="shared" si="97"/>
        <v>1</v>
      </c>
      <c r="T616" s="157">
        <f t="shared" si="98"/>
        <v>1</v>
      </c>
      <c r="V616" s="191">
        <f t="shared" si="91"/>
        <v>7</v>
      </c>
      <c r="W616" s="7">
        <f t="shared" si="92"/>
        <v>2023</v>
      </c>
    </row>
    <row r="617" spans="1:23" ht="31.95" customHeight="1" thickBot="1" x14ac:dyDescent="0.35">
      <c r="A617" s="15">
        <f t="shared" si="93"/>
        <v>6</v>
      </c>
      <c r="B617" s="26">
        <v>45117</v>
      </c>
      <c r="C617" s="51">
        <f t="shared" si="99"/>
        <v>613</v>
      </c>
      <c r="D617" s="27" t="s">
        <v>524</v>
      </c>
      <c r="E617" s="26" t="s">
        <v>91</v>
      </c>
      <c r="F617" s="28" t="s">
        <v>11</v>
      </c>
      <c r="G617" s="28" t="s">
        <v>11</v>
      </c>
      <c r="H617" s="254"/>
      <c r="I617" s="49">
        <v>6</v>
      </c>
      <c r="J617" s="49">
        <v>6</v>
      </c>
      <c r="K617" s="52">
        <f t="shared" si="94"/>
        <v>1</v>
      </c>
      <c r="L617" s="209">
        <f t="shared" si="95"/>
        <v>0</v>
      </c>
      <c r="M617" s="210">
        <f t="shared" si="96"/>
        <v>0</v>
      </c>
      <c r="N617" s="26">
        <v>45119</v>
      </c>
      <c r="O617" s="26">
        <v>45119</v>
      </c>
      <c r="P617" s="26">
        <v>45119</v>
      </c>
      <c r="Q617" s="2">
        <f t="shared" si="90"/>
        <v>1</v>
      </c>
      <c r="S617" s="7">
        <f t="shared" si="97"/>
        <v>1</v>
      </c>
      <c r="T617" s="157">
        <f t="shared" si="98"/>
        <v>1</v>
      </c>
      <c r="V617" s="191">
        <f t="shared" si="91"/>
        <v>7</v>
      </c>
      <c r="W617" s="7">
        <f t="shared" si="92"/>
        <v>2023</v>
      </c>
    </row>
    <row r="618" spans="1:23" ht="31.95" customHeight="1" thickBot="1" x14ac:dyDescent="0.35">
      <c r="A618" s="15">
        <f t="shared" si="93"/>
        <v>2</v>
      </c>
      <c r="B618" s="26">
        <v>45118</v>
      </c>
      <c r="C618" s="51">
        <f t="shared" si="99"/>
        <v>614</v>
      </c>
      <c r="D618" s="27" t="s">
        <v>488</v>
      </c>
      <c r="E618" s="26" t="s">
        <v>91</v>
      </c>
      <c r="F618" s="28" t="s">
        <v>11</v>
      </c>
      <c r="G618" s="28" t="s">
        <v>11</v>
      </c>
      <c r="H618" s="254"/>
      <c r="I618" s="49">
        <v>2</v>
      </c>
      <c r="J618" s="49">
        <v>2</v>
      </c>
      <c r="K618" s="52">
        <f t="shared" si="94"/>
        <v>1</v>
      </c>
      <c r="L618" s="209">
        <f t="shared" si="95"/>
        <v>0</v>
      </c>
      <c r="M618" s="210">
        <f t="shared" si="96"/>
        <v>0</v>
      </c>
      <c r="N618" s="26">
        <v>45121</v>
      </c>
      <c r="O618" s="26">
        <v>45121</v>
      </c>
      <c r="P618" s="26">
        <v>45121</v>
      </c>
      <c r="Q618" s="2">
        <f t="shared" si="90"/>
        <v>1</v>
      </c>
      <c r="S618" s="7">
        <f t="shared" si="97"/>
        <v>1</v>
      </c>
      <c r="T618" s="157">
        <f t="shared" si="98"/>
        <v>1</v>
      </c>
      <c r="V618" s="191">
        <f t="shared" si="91"/>
        <v>7</v>
      </c>
      <c r="W618" s="7">
        <f t="shared" si="92"/>
        <v>2023</v>
      </c>
    </row>
    <row r="619" spans="1:23" ht="31.95" customHeight="1" thickBot="1" x14ac:dyDescent="0.35">
      <c r="A619" s="15">
        <f t="shared" si="93"/>
        <v>4</v>
      </c>
      <c r="B619" s="26">
        <v>45118</v>
      </c>
      <c r="C619" s="51">
        <f t="shared" si="99"/>
        <v>615</v>
      </c>
      <c r="D619" s="27" t="s">
        <v>488</v>
      </c>
      <c r="E619" s="26" t="s">
        <v>94</v>
      </c>
      <c r="F619" s="28" t="s">
        <v>11</v>
      </c>
      <c r="G619" s="28" t="s">
        <v>11</v>
      </c>
      <c r="H619" s="254"/>
      <c r="I619" s="49">
        <v>4</v>
      </c>
      <c r="J619" s="49">
        <v>4</v>
      </c>
      <c r="K619" s="52">
        <f t="shared" si="94"/>
        <v>1</v>
      </c>
      <c r="L619" s="209">
        <f t="shared" si="95"/>
        <v>0</v>
      </c>
      <c r="M619" s="210">
        <f t="shared" si="96"/>
        <v>0</v>
      </c>
      <c r="N619" s="26">
        <v>45121</v>
      </c>
      <c r="O619" s="26">
        <v>45121</v>
      </c>
      <c r="P619" s="26">
        <v>45121</v>
      </c>
      <c r="Q619" s="2">
        <f t="shared" si="90"/>
        <v>1</v>
      </c>
      <c r="S619" s="7">
        <f t="shared" si="97"/>
        <v>1</v>
      </c>
      <c r="T619" s="157">
        <f t="shared" si="98"/>
        <v>1</v>
      </c>
      <c r="V619" s="191">
        <f t="shared" si="91"/>
        <v>7</v>
      </c>
      <c r="W619" s="7">
        <f t="shared" si="92"/>
        <v>2023</v>
      </c>
    </row>
    <row r="620" spans="1:23" ht="31.95" customHeight="1" thickBot="1" x14ac:dyDescent="0.35">
      <c r="A620" s="15">
        <f t="shared" si="93"/>
        <v>2</v>
      </c>
      <c r="B620" s="26">
        <v>45118</v>
      </c>
      <c r="C620" s="51">
        <f t="shared" si="99"/>
        <v>616</v>
      </c>
      <c r="D620" s="27" t="s">
        <v>890</v>
      </c>
      <c r="E620" s="26" t="s">
        <v>94</v>
      </c>
      <c r="F620" s="28" t="s">
        <v>11</v>
      </c>
      <c r="G620" s="28" t="s">
        <v>11</v>
      </c>
      <c r="H620" s="254"/>
      <c r="I620" s="49">
        <v>2</v>
      </c>
      <c r="J620" s="49">
        <v>2</v>
      </c>
      <c r="K620" s="52">
        <f t="shared" si="94"/>
        <v>1</v>
      </c>
      <c r="L620" s="209">
        <f t="shared" si="95"/>
        <v>0</v>
      </c>
      <c r="M620" s="210">
        <f t="shared" si="96"/>
        <v>0</v>
      </c>
      <c r="N620" s="26">
        <v>45138</v>
      </c>
      <c r="O620" s="26">
        <v>45138</v>
      </c>
      <c r="P620" s="26">
        <v>45138</v>
      </c>
      <c r="Q620" s="2">
        <f t="shared" si="90"/>
        <v>1</v>
      </c>
      <c r="S620" s="7">
        <f t="shared" si="97"/>
        <v>1</v>
      </c>
      <c r="T620" s="157">
        <f t="shared" si="98"/>
        <v>1</v>
      </c>
      <c r="V620" s="191">
        <f t="shared" si="91"/>
        <v>7</v>
      </c>
      <c r="W620" s="7">
        <f t="shared" si="92"/>
        <v>2023</v>
      </c>
    </row>
    <row r="621" spans="1:23" ht="31.95" customHeight="1" thickBot="1" x14ac:dyDescent="0.35">
      <c r="A621" s="15">
        <f t="shared" si="93"/>
        <v>4</v>
      </c>
      <c r="B621" s="26">
        <v>45121</v>
      </c>
      <c r="C621" s="51">
        <f t="shared" si="99"/>
        <v>617</v>
      </c>
      <c r="D621" s="27" t="s">
        <v>305</v>
      </c>
      <c r="E621" s="26" t="s">
        <v>96</v>
      </c>
      <c r="F621" s="28" t="s">
        <v>11</v>
      </c>
      <c r="G621" s="28" t="s">
        <v>11</v>
      </c>
      <c r="H621" s="254"/>
      <c r="I621" s="49">
        <v>4</v>
      </c>
      <c r="J621" s="49">
        <v>4</v>
      </c>
      <c r="K621" s="52">
        <f t="shared" si="94"/>
        <v>1</v>
      </c>
      <c r="L621" s="209">
        <f t="shared" si="95"/>
        <v>0</v>
      </c>
      <c r="M621" s="210">
        <f t="shared" si="96"/>
        <v>0</v>
      </c>
      <c r="N621" s="26">
        <v>45121</v>
      </c>
      <c r="O621" s="26">
        <v>45121</v>
      </c>
      <c r="P621" s="26">
        <v>45121</v>
      </c>
      <c r="Q621" s="2">
        <f t="shared" si="90"/>
        <v>1</v>
      </c>
      <c r="S621" s="7">
        <f t="shared" si="97"/>
        <v>1</v>
      </c>
      <c r="T621" s="157">
        <f t="shared" si="98"/>
        <v>1</v>
      </c>
      <c r="V621" s="191">
        <f t="shared" si="91"/>
        <v>7</v>
      </c>
      <c r="W621" s="7">
        <f t="shared" si="92"/>
        <v>2023</v>
      </c>
    </row>
    <row r="622" spans="1:23" ht="31.95" customHeight="1" thickBot="1" x14ac:dyDescent="0.35">
      <c r="A622" s="15">
        <f t="shared" si="93"/>
        <v>3</v>
      </c>
      <c r="B622" s="26">
        <v>45121</v>
      </c>
      <c r="C622" s="51">
        <f t="shared" si="99"/>
        <v>618</v>
      </c>
      <c r="D622" s="27" t="s">
        <v>858</v>
      </c>
      <c r="E622" s="26" t="s">
        <v>96</v>
      </c>
      <c r="F622" s="28" t="s">
        <v>11</v>
      </c>
      <c r="G622" s="28" t="s">
        <v>11</v>
      </c>
      <c r="H622" s="254"/>
      <c r="I622" s="49">
        <v>3</v>
      </c>
      <c r="J622" s="49">
        <v>3</v>
      </c>
      <c r="K622" s="52">
        <f t="shared" si="94"/>
        <v>1</v>
      </c>
      <c r="L622" s="209">
        <f t="shared" si="95"/>
        <v>0</v>
      </c>
      <c r="M622" s="210">
        <f t="shared" si="96"/>
        <v>0</v>
      </c>
      <c r="N622" s="26">
        <v>45121</v>
      </c>
      <c r="O622" s="26">
        <v>45121</v>
      </c>
      <c r="P622" s="26">
        <v>45121</v>
      </c>
      <c r="Q622" s="2">
        <f t="shared" si="90"/>
        <v>1</v>
      </c>
      <c r="S622" s="7">
        <f t="shared" si="97"/>
        <v>1</v>
      </c>
      <c r="T622" s="157">
        <f t="shared" si="98"/>
        <v>1</v>
      </c>
      <c r="V622" s="191">
        <f t="shared" si="91"/>
        <v>7</v>
      </c>
      <c r="W622" s="7">
        <f t="shared" si="92"/>
        <v>2023</v>
      </c>
    </row>
    <row r="623" spans="1:23" ht="31.95" customHeight="1" thickBot="1" x14ac:dyDescent="0.35">
      <c r="A623" s="15">
        <f t="shared" si="93"/>
        <v>1</v>
      </c>
      <c r="B623" s="26">
        <v>45124</v>
      </c>
      <c r="C623" s="51">
        <f t="shared" si="99"/>
        <v>619</v>
      </c>
      <c r="D623" s="27" t="s">
        <v>858</v>
      </c>
      <c r="E623" s="26" t="s">
        <v>11</v>
      </c>
      <c r="F623" s="28" t="s">
        <v>11</v>
      </c>
      <c r="G623" s="28" t="s">
        <v>11</v>
      </c>
      <c r="H623" s="254"/>
      <c r="I623" s="49">
        <v>1</v>
      </c>
      <c r="J623" s="49">
        <v>1</v>
      </c>
      <c r="K623" s="52">
        <f t="shared" si="94"/>
        <v>1</v>
      </c>
      <c r="L623" s="209">
        <f t="shared" si="95"/>
        <v>0</v>
      </c>
      <c r="M623" s="210">
        <f t="shared" si="96"/>
        <v>0</v>
      </c>
      <c r="N623" s="26">
        <v>45124</v>
      </c>
      <c r="O623" s="26">
        <v>45124</v>
      </c>
      <c r="P623" s="26">
        <v>45124</v>
      </c>
      <c r="Q623" s="2">
        <f t="shared" si="90"/>
        <v>1</v>
      </c>
      <c r="S623" s="7">
        <f t="shared" si="97"/>
        <v>1</v>
      </c>
      <c r="T623" s="157">
        <f t="shared" si="98"/>
        <v>1</v>
      </c>
      <c r="V623" s="191">
        <f t="shared" si="91"/>
        <v>7</v>
      </c>
      <c r="W623" s="7">
        <f t="shared" si="92"/>
        <v>2023</v>
      </c>
    </row>
    <row r="624" spans="1:23" ht="31.95" customHeight="1" thickBot="1" x14ac:dyDescent="0.35">
      <c r="A624" s="15">
        <f t="shared" si="93"/>
        <v>3</v>
      </c>
      <c r="B624" s="26">
        <v>45124</v>
      </c>
      <c r="C624" s="51">
        <f t="shared" si="99"/>
        <v>620</v>
      </c>
      <c r="D624" s="27" t="s">
        <v>705</v>
      </c>
      <c r="E624" s="26" t="s">
        <v>11</v>
      </c>
      <c r="F624" s="28" t="s">
        <v>11</v>
      </c>
      <c r="G624" s="28" t="s">
        <v>11</v>
      </c>
      <c r="H624" s="254"/>
      <c r="I624" s="49">
        <v>3</v>
      </c>
      <c r="J624" s="49">
        <v>3</v>
      </c>
      <c r="K624" s="52">
        <f t="shared" si="94"/>
        <v>1</v>
      </c>
      <c r="L624" s="209">
        <f t="shared" si="95"/>
        <v>0</v>
      </c>
      <c r="M624" s="210">
        <f t="shared" si="96"/>
        <v>0</v>
      </c>
      <c r="N624" s="26">
        <v>45124</v>
      </c>
      <c r="O624" s="26">
        <v>45124</v>
      </c>
      <c r="P624" s="26">
        <v>45124</v>
      </c>
      <c r="Q624" s="2">
        <f t="shared" si="90"/>
        <v>1</v>
      </c>
      <c r="S624" s="7">
        <f t="shared" si="97"/>
        <v>1</v>
      </c>
      <c r="T624" s="157">
        <f t="shared" si="98"/>
        <v>1</v>
      </c>
      <c r="V624" s="191">
        <f t="shared" si="91"/>
        <v>7</v>
      </c>
      <c r="W624" s="7">
        <f t="shared" si="92"/>
        <v>2023</v>
      </c>
    </row>
    <row r="625" spans="1:23" ht="31.95" customHeight="1" thickBot="1" x14ac:dyDescent="0.35">
      <c r="A625" s="15">
        <f t="shared" si="93"/>
        <v>4</v>
      </c>
      <c r="B625" s="26">
        <v>45124</v>
      </c>
      <c r="C625" s="51">
        <f t="shared" si="99"/>
        <v>621</v>
      </c>
      <c r="D625" s="27" t="s">
        <v>305</v>
      </c>
      <c r="E625" s="26" t="s">
        <v>11</v>
      </c>
      <c r="F625" s="28" t="s">
        <v>11</v>
      </c>
      <c r="G625" s="28" t="s">
        <v>11</v>
      </c>
      <c r="H625" s="254"/>
      <c r="I625" s="49">
        <v>4</v>
      </c>
      <c r="J625" s="49">
        <v>4</v>
      </c>
      <c r="K625" s="52">
        <f t="shared" si="94"/>
        <v>1</v>
      </c>
      <c r="L625" s="209">
        <f t="shared" si="95"/>
        <v>0</v>
      </c>
      <c r="M625" s="210">
        <f t="shared" si="96"/>
        <v>0</v>
      </c>
      <c r="N625" s="26">
        <v>45124</v>
      </c>
      <c r="O625" s="26">
        <v>45124</v>
      </c>
      <c r="P625" s="26">
        <v>45124</v>
      </c>
      <c r="Q625" s="2">
        <f t="shared" si="90"/>
        <v>1</v>
      </c>
      <c r="S625" s="7">
        <f t="shared" si="97"/>
        <v>1</v>
      </c>
      <c r="T625" s="157">
        <f t="shared" si="98"/>
        <v>1</v>
      </c>
      <c r="V625" s="191">
        <f t="shared" si="91"/>
        <v>7</v>
      </c>
      <c r="W625" s="7">
        <f t="shared" si="92"/>
        <v>2023</v>
      </c>
    </row>
    <row r="626" spans="1:23" ht="31.95" customHeight="1" thickBot="1" x14ac:dyDescent="0.35">
      <c r="A626" s="15">
        <f t="shared" si="93"/>
        <v>1</v>
      </c>
      <c r="B626" s="26">
        <v>45156</v>
      </c>
      <c r="C626" s="51">
        <f t="shared" si="99"/>
        <v>622</v>
      </c>
      <c r="D626" s="27" t="s">
        <v>858</v>
      </c>
      <c r="E626" s="26" t="s">
        <v>11</v>
      </c>
      <c r="F626" s="28" t="s">
        <v>11</v>
      </c>
      <c r="G626" s="28" t="s">
        <v>11</v>
      </c>
      <c r="H626" s="254"/>
      <c r="I626" s="49">
        <v>1</v>
      </c>
      <c r="J626" s="49">
        <v>1</v>
      </c>
      <c r="K626" s="52">
        <f t="shared" si="94"/>
        <v>1</v>
      </c>
      <c r="L626" s="209">
        <f t="shared" si="95"/>
        <v>0</v>
      </c>
      <c r="M626" s="210">
        <f t="shared" si="96"/>
        <v>0</v>
      </c>
      <c r="N626" s="26">
        <v>45125</v>
      </c>
      <c r="O626" s="26">
        <v>45125</v>
      </c>
      <c r="P626" s="26">
        <v>45125</v>
      </c>
      <c r="Q626" s="2">
        <f t="shared" si="90"/>
        <v>1</v>
      </c>
      <c r="S626" s="7">
        <f t="shared" si="97"/>
        <v>1</v>
      </c>
      <c r="T626" s="157">
        <f t="shared" si="98"/>
        <v>1</v>
      </c>
      <c r="V626" s="191">
        <f t="shared" si="91"/>
        <v>8</v>
      </c>
      <c r="W626" s="7">
        <f t="shared" si="92"/>
        <v>2023</v>
      </c>
    </row>
    <row r="627" spans="1:23" ht="31.95" customHeight="1" thickBot="1" x14ac:dyDescent="0.35">
      <c r="A627" s="15">
        <f t="shared" si="93"/>
        <v>4</v>
      </c>
      <c r="B627" s="26">
        <v>45131</v>
      </c>
      <c r="C627" s="51">
        <f t="shared" si="99"/>
        <v>623</v>
      </c>
      <c r="D627" s="27" t="s">
        <v>858</v>
      </c>
      <c r="E627" s="26" t="s">
        <v>11</v>
      </c>
      <c r="F627" s="28" t="s">
        <v>11</v>
      </c>
      <c r="G627" s="28" t="s">
        <v>11</v>
      </c>
      <c r="H627" s="254"/>
      <c r="I627" s="49">
        <v>4</v>
      </c>
      <c r="J627" s="49">
        <v>4</v>
      </c>
      <c r="K627" s="52">
        <f t="shared" si="94"/>
        <v>1</v>
      </c>
      <c r="L627" s="209">
        <f t="shared" si="95"/>
        <v>0</v>
      </c>
      <c r="M627" s="210">
        <f t="shared" si="96"/>
        <v>0</v>
      </c>
      <c r="N627" s="26">
        <v>45131</v>
      </c>
      <c r="O627" s="26">
        <v>45131</v>
      </c>
      <c r="P627" s="26">
        <v>45131</v>
      </c>
      <c r="Q627" s="2">
        <f t="shared" si="90"/>
        <v>1</v>
      </c>
      <c r="S627" s="7">
        <f t="shared" si="97"/>
        <v>1</v>
      </c>
      <c r="T627" s="157">
        <f t="shared" si="98"/>
        <v>1</v>
      </c>
      <c r="V627" s="191">
        <f t="shared" si="91"/>
        <v>7</v>
      </c>
      <c r="W627" s="7">
        <f t="shared" si="92"/>
        <v>2023</v>
      </c>
    </row>
    <row r="628" spans="1:23" ht="31.95" customHeight="1" thickBot="1" x14ac:dyDescent="0.35">
      <c r="A628" s="15">
        <f t="shared" si="93"/>
        <v>2</v>
      </c>
      <c r="B628" s="26">
        <v>45131</v>
      </c>
      <c r="C628" s="51">
        <f t="shared" si="99"/>
        <v>624</v>
      </c>
      <c r="D628" s="27" t="s">
        <v>524</v>
      </c>
      <c r="E628" s="26" t="s">
        <v>104</v>
      </c>
      <c r="F628" s="28" t="s">
        <v>11</v>
      </c>
      <c r="G628" s="28" t="s">
        <v>11</v>
      </c>
      <c r="H628" s="254"/>
      <c r="I628" s="49">
        <v>2</v>
      </c>
      <c r="J628" s="49">
        <v>2</v>
      </c>
      <c r="K628" s="52">
        <f t="shared" si="94"/>
        <v>1</v>
      </c>
      <c r="L628" s="209">
        <f t="shared" si="95"/>
        <v>0</v>
      </c>
      <c r="M628" s="210">
        <f t="shared" si="96"/>
        <v>0</v>
      </c>
      <c r="N628" s="26">
        <v>45131</v>
      </c>
      <c r="O628" s="26">
        <v>45131</v>
      </c>
      <c r="P628" s="26">
        <v>45131</v>
      </c>
      <c r="Q628" s="2">
        <f t="shared" si="90"/>
        <v>1</v>
      </c>
      <c r="S628" s="7">
        <f t="shared" si="97"/>
        <v>1</v>
      </c>
      <c r="T628" s="157">
        <f t="shared" si="98"/>
        <v>1</v>
      </c>
      <c r="V628" s="191">
        <f t="shared" si="91"/>
        <v>7</v>
      </c>
      <c r="W628" s="7">
        <f t="shared" si="92"/>
        <v>2023</v>
      </c>
    </row>
    <row r="629" spans="1:23" ht="31.95" customHeight="1" thickBot="1" x14ac:dyDescent="0.35">
      <c r="A629" s="15">
        <f t="shared" si="93"/>
        <v>1</v>
      </c>
      <c r="B629" s="26">
        <v>45132</v>
      </c>
      <c r="C629" s="51">
        <f t="shared" si="99"/>
        <v>625</v>
      </c>
      <c r="D629" s="27" t="s">
        <v>1206</v>
      </c>
      <c r="E629" s="26" t="s">
        <v>11</v>
      </c>
      <c r="F629" s="28" t="s">
        <v>11</v>
      </c>
      <c r="G629" s="28" t="s">
        <v>11</v>
      </c>
      <c r="H629" s="254"/>
      <c r="I629" s="49">
        <v>1</v>
      </c>
      <c r="J629" s="49">
        <v>1</v>
      </c>
      <c r="K629" s="52">
        <f t="shared" si="94"/>
        <v>1</v>
      </c>
      <c r="L629" s="209">
        <f t="shared" si="95"/>
        <v>0</v>
      </c>
      <c r="M629" s="210">
        <f t="shared" si="96"/>
        <v>0</v>
      </c>
      <c r="N629" s="26">
        <v>45133</v>
      </c>
      <c r="O629" s="26">
        <v>45133</v>
      </c>
      <c r="P629" s="26">
        <v>45133</v>
      </c>
      <c r="Q629" s="2">
        <f t="shared" si="90"/>
        <v>1</v>
      </c>
      <c r="S629" s="7">
        <f t="shared" si="97"/>
        <v>1</v>
      </c>
      <c r="T629" s="157">
        <f t="shared" si="98"/>
        <v>1</v>
      </c>
      <c r="V629" s="191">
        <f t="shared" si="91"/>
        <v>7</v>
      </c>
      <c r="W629" s="7">
        <f t="shared" si="92"/>
        <v>2023</v>
      </c>
    </row>
    <row r="630" spans="1:23" ht="31.95" customHeight="1" thickBot="1" x14ac:dyDescent="0.35">
      <c r="A630" s="15">
        <f t="shared" si="93"/>
        <v>2</v>
      </c>
      <c r="B630" s="26">
        <v>45132</v>
      </c>
      <c r="C630" s="51">
        <f t="shared" si="99"/>
        <v>626</v>
      </c>
      <c r="D630" s="27" t="s">
        <v>890</v>
      </c>
      <c r="E630" s="26" t="s">
        <v>104</v>
      </c>
      <c r="F630" s="28" t="s">
        <v>11</v>
      </c>
      <c r="G630" s="28" t="s">
        <v>11</v>
      </c>
      <c r="H630" s="254"/>
      <c r="I630" s="49">
        <v>2</v>
      </c>
      <c r="J630" s="49">
        <v>2</v>
      </c>
      <c r="K630" s="52">
        <f t="shared" si="94"/>
        <v>1</v>
      </c>
      <c r="L630" s="209">
        <f t="shared" si="95"/>
        <v>0</v>
      </c>
      <c r="M630" s="210">
        <f t="shared" si="96"/>
        <v>0</v>
      </c>
      <c r="N630" s="26">
        <v>45153</v>
      </c>
      <c r="O630" s="26">
        <v>45153</v>
      </c>
      <c r="P630" s="26">
        <v>45153</v>
      </c>
      <c r="Q630" s="2">
        <f t="shared" si="90"/>
        <v>1</v>
      </c>
      <c r="S630" s="7">
        <f t="shared" si="97"/>
        <v>1</v>
      </c>
      <c r="T630" s="157">
        <f t="shared" si="98"/>
        <v>1</v>
      </c>
      <c r="V630" s="191">
        <f t="shared" si="91"/>
        <v>7</v>
      </c>
      <c r="W630" s="7">
        <f t="shared" si="92"/>
        <v>2023</v>
      </c>
    </row>
    <row r="631" spans="1:23" ht="31.95" customHeight="1" thickBot="1" x14ac:dyDescent="0.35">
      <c r="A631" s="15">
        <f t="shared" si="93"/>
        <v>4</v>
      </c>
      <c r="B631" s="26">
        <v>45133</v>
      </c>
      <c r="C631" s="51">
        <f t="shared" si="99"/>
        <v>627</v>
      </c>
      <c r="D631" s="27" t="s">
        <v>488</v>
      </c>
      <c r="E631" s="26" t="s">
        <v>104</v>
      </c>
      <c r="F631" s="28" t="s">
        <v>11</v>
      </c>
      <c r="G631" s="28" t="s">
        <v>11</v>
      </c>
      <c r="H631" s="254"/>
      <c r="I631" s="49">
        <v>4</v>
      </c>
      <c r="J631" s="49">
        <v>4</v>
      </c>
      <c r="K631" s="52">
        <f t="shared" si="94"/>
        <v>1</v>
      </c>
      <c r="L631" s="209">
        <f t="shared" si="95"/>
        <v>0</v>
      </c>
      <c r="M631" s="210">
        <f t="shared" si="96"/>
        <v>0</v>
      </c>
      <c r="N631" s="26">
        <v>45133</v>
      </c>
      <c r="O631" s="26">
        <v>45133</v>
      </c>
      <c r="P631" s="26">
        <v>45133</v>
      </c>
      <c r="Q631" s="2">
        <f t="shared" si="90"/>
        <v>1</v>
      </c>
      <c r="S631" s="7">
        <f t="shared" si="97"/>
        <v>1</v>
      </c>
      <c r="T631" s="157">
        <f t="shared" si="98"/>
        <v>1</v>
      </c>
      <c r="V631" s="191">
        <f t="shared" si="91"/>
        <v>7</v>
      </c>
      <c r="W631" s="7">
        <f t="shared" si="92"/>
        <v>2023</v>
      </c>
    </row>
    <row r="632" spans="1:23" ht="31.95" customHeight="1" thickBot="1" x14ac:dyDescent="0.35">
      <c r="A632" s="15">
        <f t="shared" si="93"/>
        <v>1</v>
      </c>
      <c r="B632" s="26">
        <v>45133</v>
      </c>
      <c r="C632" s="51">
        <f t="shared" si="99"/>
        <v>628</v>
      </c>
      <c r="D632" s="27" t="s">
        <v>305</v>
      </c>
      <c r="E632" s="26" t="s">
        <v>11</v>
      </c>
      <c r="F632" s="28" t="s">
        <v>11</v>
      </c>
      <c r="G632" s="28" t="s">
        <v>11</v>
      </c>
      <c r="H632" s="254"/>
      <c r="I632" s="49">
        <v>1</v>
      </c>
      <c r="J632" s="49">
        <v>1</v>
      </c>
      <c r="K632" s="52">
        <f t="shared" si="94"/>
        <v>1</v>
      </c>
      <c r="L632" s="209">
        <f t="shared" si="95"/>
        <v>0</v>
      </c>
      <c r="M632" s="210">
        <f t="shared" si="96"/>
        <v>0</v>
      </c>
      <c r="N632" s="26">
        <v>45133</v>
      </c>
      <c r="O632" s="26">
        <v>45133</v>
      </c>
      <c r="P632" s="26">
        <v>45133</v>
      </c>
      <c r="Q632" s="2">
        <f t="shared" si="90"/>
        <v>1</v>
      </c>
      <c r="S632" s="7">
        <f t="shared" si="97"/>
        <v>1</v>
      </c>
      <c r="T632" s="157">
        <f t="shared" si="98"/>
        <v>1</v>
      </c>
      <c r="V632" s="191">
        <f t="shared" si="91"/>
        <v>7</v>
      </c>
      <c r="W632" s="7">
        <f t="shared" si="92"/>
        <v>2023</v>
      </c>
    </row>
    <row r="633" spans="1:23" ht="31.95" customHeight="1" thickBot="1" x14ac:dyDescent="0.35">
      <c r="A633" s="15">
        <f t="shared" si="93"/>
        <v>1</v>
      </c>
      <c r="B633" s="26">
        <v>45133</v>
      </c>
      <c r="C633" s="51">
        <f t="shared" si="99"/>
        <v>629</v>
      </c>
      <c r="D633" s="27" t="s">
        <v>602</v>
      </c>
      <c r="E633" s="26" t="s">
        <v>11</v>
      </c>
      <c r="F633" s="28" t="s">
        <v>11</v>
      </c>
      <c r="G633" s="28" t="s">
        <v>11</v>
      </c>
      <c r="H633" s="254"/>
      <c r="I633" s="49">
        <v>1</v>
      </c>
      <c r="J633" s="49">
        <v>1</v>
      </c>
      <c r="K633" s="52">
        <f t="shared" si="94"/>
        <v>1</v>
      </c>
      <c r="L633" s="209">
        <f t="shared" si="95"/>
        <v>0</v>
      </c>
      <c r="M633" s="210">
        <f t="shared" si="96"/>
        <v>0</v>
      </c>
      <c r="N633" s="26">
        <v>45140</v>
      </c>
      <c r="O633" s="26">
        <v>45140</v>
      </c>
      <c r="P633" s="26">
        <v>45140</v>
      </c>
      <c r="Q633" s="2">
        <f t="shared" si="90"/>
        <v>1</v>
      </c>
      <c r="S633" s="7">
        <f t="shared" si="97"/>
        <v>1</v>
      </c>
      <c r="T633" s="157">
        <f t="shared" si="98"/>
        <v>1</v>
      </c>
      <c r="V633" s="191">
        <f t="shared" si="91"/>
        <v>7</v>
      </c>
      <c r="W633" s="7">
        <f t="shared" si="92"/>
        <v>2023</v>
      </c>
    </row>
    <row r="634" spans="1:23" ht="31.95" customHeight="1" thickBot="1" x14ac:dyDescent="0.35">
      <c r="A634" s="15">
        <f t="shared" si="93"/>
        <v>2</v>
      </c>
      <c r="B634" s="26">
        <v>45135</v>
      </c>
      <c r="C634" s="51">
        <f t="shared" si="99"/>
        <v>630</v>
      </c>
      <c r="D634" s="27" t="s">
        <v>1150</v>
      </c>
      <c r="E634" s="26" t="s">
        <v>105</v>
      </c>
      <c r="F634" s="28" t="s">
        <v>11</v>
      </c>
      <c r="G634" s="28" t="s">
        <v>11</v>
      </c>
      <c r="H634" s="254"/>
      <c r="I634" s="49">
        <v>2</v>
      </c>
      <c r="J634" s="49">
        <v>2</v>
      </c>
      <c r="K634" s="52">
        <f t="shared" si="94"/>
        <v>1</v>
      </c>
      <c r="L634" s="209">
        <f t="shared" si="95"/>
        <v>0</v>
      </c>
      <c r="M634" s="210">
        <f t="shared" si="96"/>
        <v>0</v>
      </c>
      <c r="N634" s="26">
        <v>45135</v>
      </c>
      <c r="O634" s="26">
        <v>45135</v>
      </c>
      <c r="P634" s="26">
        <v>45135</v>
      </c>
      <c r="Q634" s="2">
        <f t="shared" si="90"/>
        <v>1</v>
      </c>
      <c r="S634" s="7">
        <f t="shared" si="97"/>
        <v>1</v>
      </c>
      <c r="T634" s="157">
        <f t="shared" si="98"/>
        <v>1</v>
      </c>
      <c r="V634" s="191">
        <f t="shared" si="91"/>
        <v>7</v>
      </c>
      <c r="W634" s="7">
        <f t="shared" si="92"/>
        <v>2023</v>
      </c>
    </row>
    <row r="635" spans="1:23" ht="31.95" customHeight="1" thickBot="1" x14ac:dyDescent="0.35">
      <c r="A635" s="15">
        <f t="shared" si="93"/>
        <v>3</v>
      </c>
      <c r="B635" s="26">
        <v>45139</v>
      </c>
      <c r="C635" s="51">
        <f t="shared" si="99"/>
        <v>631</v>
      </c>
      <c r="D635" s="27" t="s">
        <v>524</v>
      </c>
      <c r="E635" s="26" t="s">
        <v>106</v>
      </c>
      <c r="F635" s="28" t="s">
        <v>11</v>
      </c>
      <c r="G635" s="28" t="s">
        <v>11</v>
      </c>
      <c r="H635" s="254"/>
      <c r="I635" s="49">
        <v>3</v>
      </c>
      <c r="J635" s="49">
        <v>3</v>
      </c>
      <c r="K635" s="52">
        <f t="shared" si="94"/>
        <v>1</v>
      </c>
      <c r="L635" s="209">
        <f t="shared" si="95"/>
        <v>0</v>
      </c>
      <c r="M635" s="210">
        <f t="shared" si="96"/>
        <v>0</v>
      </c>
      <c r="N635" s="26">
        <v>45139</v>
      </c>
      <c r="O635" s="26">
        <v>45139</v>
      </c>
      <c r="P635" s="26">
        <v>45139</v>
      </c>
      <c r="Q635" s="2">
        <f t="shared" si="90"/>
        <v>1</v>
      </c>
      <c r="S635" s="7">
        <f t="shared" si="97"/>
        <v>1</v>
      </c>
      <c r="T635" s="157">
        <f t="shared" si="98"/>
        <v>1</v>
      </c>
      <c r="V635" s="191">
        <f t="shared" si="91"/>
        <v>8</v>
      </c>
      <c r="W635" s="7">
        <f t="shared" si="92"/>
        <v>2023</v>
      </c>
    </row>
    <row r="636" spans="1:23" ht="31.95" customHeight="1" thickBot="1" x14ac:dyDescent="0.35">
      <c r="A636" s="15">
        <f t="shared" si="93"/>
        <v>1</v>
      </c>
      <c r="B636" s="26">
        <v>45140</v>
      </c>
      <c r="C636" s="51">
        <f t="shared" si="99"/>
        <v>632</v>
      </c>
      <c r="D636" s="27" t="s">
        <v>1150</v>
      </c>
      <c r="E636" s="26" t="s">
        <v>105</v>
      </c>
      <c r="F636" s="28" t="s">
        <v>11</v>
      </c>
      <c r="G636" s="28" t="s">
        <v>11</v>
      </c>
      <c r="H636" s="254"/>
      <c r="I636" s="49">
        <v>1</v>
      </c>
      <c r="J636" s="49">
        <v>1</v>
      </c>
      <c r="K636" s="52">
        <f t="shared" si="94"/>
        <v>1</v>
      </c>
      <c r="L636" s="209">
        <f t="shared" si="95"/>
        <v>0</v>
      </c>
      <c r="M636" s="210">
        <f t="shared" si="96"/>
        <v>0</v>
      </c>
      <c r="N636" s="26">
        <v>45140</v>
      </c>
      <c r="O636" s="26">
        <v>45140</v>
      </c>
      <c r="P636" s="26">
        <v>45140</v>
      </c>
      <c r="Q636" s="2">
        <f t="shared" si="90"/>
        <v>1</v>
      </c>
      <c r="S636" s="7">
        <f t="shared" si="97"/>
        <v>1</v>
      </c>
      <c r="T636" s="157">
        <f t="shared" si="98"/>
        <v>1</v>
      </c>
      <c r="V636" s="191">
        <f t="shared" si="91"/>
        <v>8</v>
      </c>
      <c r="W636" s="7">
        <f t="shared" si="92"/>
        <v>2023</v>
      </c>
    </row>
    <row r="637" spans="1:23" ht="31.95" customHeight="1" thickBot="1" x14ac:dyDescent="0.35">
      <c r="A637" s="15">
        <f t="shared" si="93"/>
        <v>5</v>
      </c>
      <c r="B637" s="26">
        <v>45140</v>
      </c>
      <c r="C637" s="51">
        <f t="shared" si="99"/>
        <v>633</v>
      </c>
      <c r="D637" s="27" t="s">
        <v>305</v>
      </c>
      <c r="E637" s="26" t="s">
        <v>11</v>
      </c>
      <c r="F637" s="28" t="s">
        <v>11</v>
      </c>
      <c r="G637" s="28" t="s">
        <v>11</v>
      </c>
      <c r="H637" s="254"/>
      <c r="I637" s="49">
        <v>5</v>
      </c>
      <c r="J637" s="49">
        <v>5</v>
      </c>
      <c r="K637" s="52">
        <f t="shared" si="94"/>
        <v>1</v>
      </c>
      <c r="L637" s="209">
        <f t="shared" si="95"/>
        <v>0</v>
      </c>
      <c r="M637" s="210">
        <f t="shared" si="96"/>
        <v>0</v>
      </c>
      <c r="N637" s="26">
        <v>45140</v>
      </c>
      <c r="O637" s="26">
        <v>45140</v>
      </c>
      <c r="P637" s="26">
        <v>45140</v>
      </c>
      <c r="Q637" s="2">
        <f t="shared" si="90"/>
        <v>1</v>
      </c>
      <c r="S637" s="7">
        <f t="shared" si="97"/>
        <v>1</v>
      </c>
      <c r="T637" s="157">
        <f t="shared" si="98"/>
        <v>1</v>
      </c>
      <c r="V637" s="191">
        <f t="shared" si="91"/>
        <v>8</v>
      </c>
      <c r="W637" s="7">
        <f t="shared" si="92"/>
        <v>2023</v>
      </c>
    </row>
    <row r="638" spans="1:23" ht="31.95" customHeight="1" thickBot="1" x14ac:dyDescent="0.35">
      <c r="A638" s="15">
        <f t="shared" si="93"/>
        <v>1</v>
      </c>
      <c r="B638" s="26">
        <v>45145</v>
      </c>
      <c r="C638" s="51">
        <f t="shared" si="99"/>
        <v>634</v>
      </c>
      <c r="D638" s="27" t="s">
        <v>1150</v>
      </c>
      <c r="E638" s="26" t="s">
        <v>107</v>
      </c>
      <c r="F638" s="28" t="s">
        <v>11</v>
      </c>
      <c r="G638" s="28" t="s">
        <v>11</v>
      </c>
      <c r="H638" s="254"/>
      <c r="I638" s="49">
        <v>1</v>
      </c>
      <c r="J638" s="49">
        <v>1</v>
      </c>
      <c r="K638" s="52">
        <f t="shared" si="94"/>
        <v>1</v>
      </c>
      <c r="L638" s="209">
        <f t="shared" si="95"/>
        <v>0</v>
      </c>
      <c r="M638" s="210">
        <f t="shared" si="96"/>
        <v>0</v>
      </c>
      <c r="N638" s="26">
        <v>45145</v>
      </c>
      <c r="O638" s="26">
        <v>45145</v>
      </c>
      <c r="P638" s="26">
        <v>45145</v>
      </c>
      <c r="Q638" s="2">
        <f t="shared" si="90"/>
        <v>1</v>
      </c>
      <c r="S638" s="7">
        <f t="shared" si="97"/>
        <v>1</v>
      </c>
      <c r="T638" s="157">
        <f t="shared" si="98"/>
        <v>1</v>
      </c>
      <c r="V638" s="191">
        <f t="shared" si="91"/>
        <v>8</v>
      </c>
      <c r="W638" s="7">
        <f t="shared" si="92"/>
        <v>2023</v>
      </c>
    </row>
    <row r="639" spans="1:23" ht="31.95" customHeight="1" thickBot="1" x14ac:dyDescent="0.35">
      <c r="A639" s="15">
        <f t="shared" si="93"/>
        <v>1</v>
      </c>
      <c r="B639" s="26">
        <v>45145</v>
      </c>
      <c r="C639" s="51">
        <f t="shared" si="99"/>
        <v>635</v>
      </c>
      <c r="D639" s="27" t="s">
        <v>524</v>
      </c>
      <c r="E639" s="26" t="s">
        <v>11</v>
      </c>
      <c r="F639" s="28" t="s">
        <v>11</v>
      </c>
      <c r="G639" s="28" t="s">
        <v>11</v>
      </c>
      <c r="H639" s="254"/>
      <c r="I639" s="49">
        <v>1</v>
      </c>
      <c r="J639" s="49">
        <v>1</v>
      </c>
      <c r="K639" s="52">
        <f t="shared" si="94"/>
        <v>1</v>
      </c>
      <c r="L639" s="209">
        <f t="shared" si="95"/>
        <v>0</v>
      </c>
      <c r="M639" s="210">
        <f t="shared" si="96"/>
        <v>0</v>
      </c>
      <c r="N639" s="26">
        <v>45146</v>
      </c>
      <c r="O639" s="26">
        <v>45146</v>
      </c>
      <c r="P639" s="26">
        <v>45146</v>
      </c>
      <c r="Q639" s="2">
        <f t="shared" si="90"/>
        <v>1</v>
      </c>
      <c r="S639" s="7">
        <f t="shared" si="97"/>
        <v>1</v>
      </c>
      <c r="T639" s="157">
        <f t="shared" si="98"/>
        <v>1</v>
      </c>
      <c r="V639" s="191">
        <f t="shared" si="91"/>
        <v>8</v>
      </c>
      <c r="W639" s="7">
        <f t="shared" si="92"/>
        <v>2023</v>
      </c>
    </row>
    <row r="640" spans="1:23" ht="31.95" customHeight="1" thickBot="1" x14ac:dyDescent="0.35">
      <c r="A640" s="15">
        <f t="shared" si="93"/>
        <v>1</v>
      </c>
      <c r="B640" s="26">
        <v>45146</v>
      </c>
      <c r="C640" s="51">
        <f t="shared" si="99"/>
        <v>636</v>
      </c>
      <c r="D640" s="27" t="s">
        <v>853</v>
      </c>
      <c r="E640" s="26" t="s">
        <v>11</v>
      </c>
      <c r="F640" s="28" t="s">
        <v>11</v>
      </c>
      <c r="G640" s="28" t="s">
        <v>11</v>
      </c>
      <c r="H640" s="254"/>
      <c r="I640" s="49">
        <v>1</v>
      </c>
      <c r="J640" s="49">
        <v>1</v>
      </c>
      <c r="K640" s="52">
        <f t="shared" si="94"/>
        <v>1</v>
      </c>
      <c r="L640" s="209">
        <f t="shared" si="95"/>
        <v>0</v>
      </c>
      <c r="M640" s="210">
        <f t="shared" si="96"/>
        <v>0</v>
      </c>
      <c r="N640" s="26">
        <v>45146</v>
      </c>
      <c r="O640" s="26">
        <v>45146</v>
      </c>
      <c r="P640" s="26">
        <v>45146</v>
      </c>
      <c r="Q640" s="2">
        <f t="shared" si="90"/>
        <v>1</v>
      </c>
      <c r="S640" s="7">
        <f t="shared" si="97"/>
        <v>1</v>
      </c>
      <c r="T640" s="157">
        <f t="shared" si="98"/>
        <v>1</v>
      </c>
      <c r="V640" s="191">
        <f t="shared" si="91"/>
        <v>8</v>
      </c>
      <c r="W640" s="7">
        <f t="shared" si="92"/>
        <v>2023</v>
      </c>
    </row>
    <row r="641" spans="1:23" ht="31.95" customHeight="1" thickBot="1" x14ac:dyDescent="0.35">
      <c r="A641" s="15">
        <f t="shared" si="93"/>
        <v>1</v>
      </c>
      <c r="B641" s="26">
        <v>45146</v>
      </c>
      <c r="C641" s="51">
        <f t="shared" si="99"/>
        <v>637</v>
      </c>
      <c r="D641" s="27" t="s">
        <v>305</v>
      </c>
      <c r="E641" s="26" t="s">
        <v>11</v>
      </c>
      <c r="F641" s="28" t="s">
        <v>11</v>
      </c>
      <c r="G641" s="28" t="s">
        <v>11</v>
      </c>
      <c r="H641" s="254"/>
      <c r="I641" s="49">
        <v>1</v>
      </c>
      <c r="J641" s="49">
        <v>1</v>
      </c>
      <c r="K641" s="52">
        <f t="shared" si="94"/>
        <v>1</v>
      </c>
      <c r="L641" s="209">
        <f t="shared" si="95"/>
        <v>0</v>
      </c>
      <c r="M641" s="210">
        <f t="shared" si="96"/>
        <v>0</v>
      </c>
      <c r="N641" s="26">
        <v>45146</v>
      </c>
      <c r="O641" s="26">
        <v>45146</v>
      </c>
      <c r="P641" s="26">
        <v>45146</v>
      </c>
      <c r="Q641" s="2">
        <f t="shared" si="90"/>
        <v>1</v>
      </c>
      <c r="S641" s="7">
        <f t="shared" si="97"/>
        <v>1</v>
      </c>
      <c r="T641" s="157">
        <f t="shared" si="98"/>
        <v>1</v>
      </c>
      <c r="V641" s="191">
        <f t="shared" si="91"/>
        <v>8</v>
      </c>
      <c r="W641" s="7">
        <f t="shared" si="92"/>
        <v>2023</v>
      </c>
    </row>
    <row r="642" spans="1:23" ht="31.95" customHeight="1" thickBot="1" x14ac:dyDescent="0.35">
      <c r="A642" s="15">
        <f t="shared" si="93"/>
        <v>1</v>
      </c>
      <c r="B642" s="26">
        <v>45146</v>
      </c>
      <c r="C642" s="51">
        <f t="shared" si="99"/>
        <v>638</v>
      </c>
      <c r="D642" s="27" t="s">
        <v>255</v>
      </c>
      <c r="E642" s="26" t="s">
        <v>11</v>
      </c>
      <c r="F642" s="28" t="s">
        <v>11</v>
      </c>
      <c r="G642" s="28" t="s">
        <v>11</v>
      </c>
      <c r="H642" s="254"/>
      <c r="I642" s="49">
        <v>1</v>
      </c>
      <c r="J642" s="49">
        <v>1</v>
      </c>
      <c r="K642" s="52">
        <f t="shared" si="94"/>
        <v>1</v>
      </c>
      <c r="L642" s="209">
        <f t="shared" si="95"/>
        <v>0</v>
      </c>
      <c r="M642" s="210">
        <f t="shared" si="96"/>
        <v>0</v>
      </c>
      <c r="N642" s="26">
        <v>45146</v>
      </c>
      <c r="O642" s="26">
        <v>45146</v>
      </c>
      <c r="P642" s="26">
        <v>45146</v>
      </c>
      <c r="Q642" s="2">
        <f t="shared" si="90"/>
        <v>1</v>
      </c>
      <c r="S642" s="7">
        <f t="shared" si="97"/>
        <v>1</v>
      </c>
      <c r="T642" s="157">
        <f t="shared" si="98"/>
        <v>1</v>
      </c>
      <c r="V642" s="191">
        <f t="shared" si="91"/>
        <v>8</v>
      </c>
      <c r="W642" s="7">
        <f t="shared" si="92"/>
        <v>2023</v>
      </c>
    </row>
    <row r="643" spans="1:23" ht="31.95" customHeight="1" thickBot="1" x14ac:dyDescent="0.35">
      <c r="A643" s="15">
        <f t="shared" si="93"/>
        <v>2</v>
      </c>
      <c r="B643" s="26">
        <v>45146</v>
      </c>
      <c r="C643" s="51">
        <f t="shared" si="99"/>
        <v>639</v>
      </c>
      <c r="D643" s="27" t="s">
        <v>858</v>
      </c>
      <c r="E643" s="26" t="s">
        <v>11</v>
      </c>
      <c r="F643" s="28" t="s">
        <v>11</v>
      </c>
      <c r="G643" s="28" t="s">
        <v>11</v>
      </c>
      <c r="H643" s="254"/>
      <c r="I643" s="49">
        <v>2</v>
      </c>
      <c r="J643" s="49">
        <v>2</v>
      </c>
      <c r="K643" s="52">
        <f t="shared" si="94"/>
        <v>1</v>
      </c>
      <c r="L643" s="209">
        <f t="shared" si="95"/>
        <v>0</v>
      </c>
      <c r="M643" s="210">
        <f t="shared" si="96"/>
        <v>0</v>
      </c>
      <c r="N643" s="26">
        <v>45146</v>
      </c>
      <c r="O643" s="26">
        <v>45146</v>
      </c>
      <c r="P643" s="26">
        <v>45146</v>
      </c>
      <c r="Q643" s="2">
        <f t="shared" si="90"/>
        <v>1</v>
      </c>
      <c r="S643" s="7">
        <f t="shared" si="97"/>
        <v>1</v>
      </c>
      <c r="T643" s="157">
        <f t="shared" si="98"/>
        <v>1</v>
      </c>
      <c r="V643" s="191">
        <f t="shared" si="91"/>
        <v>8</v>
      </c>
      <c r="W643" s="7">
        <f t="shared" si="92"/>
        <v>2023</v>
      </c>
    </row>
    <row r="644" spans="1:23" ht="31.95" customHeight="1" thickBot="1" x14ac:dyDescent="0.35">
      <c r="A644" s="15">
        <f t="shared" si="93"/>
        <v>8</v>
      </c>
      <c r="B644" s="26">
        <v>45153</v>
      </c>
      <c r="C644" s="51">
        <f t="shared" si="99"/>
        <v>640</v>
      </c>
      <c r="D644" s="27" t="s">
        <v>305</v>
      </c>
      <c r="E644" s="26" t="s">
        <v>11</v>
      </c>
      <c r="F644" s="28" t="s">
        <v>11</v>
      </c>
      <c r="G644" s="28" t="s">
        <v>11</v>
      </c>
      <c r="H644" s="254"/>
      <c r="I644" s="49">
        <v>8</v>
      </c>
      <c r="J644" s="49">
        <v>8</v>
      </c>
      <c r="K644" s="52">
        <f t="shared" si="94"/>
        <v>1</v>
      </c>
      <c r="L644" s="209">
        <f t="shared" si="95"/>
        <v>0</v>
      </c>
      <c r="M644" s="210">
        <f t="shared" si="96"/>
        <v>0</v>
      </c>
      <c r="N644" s="26">
        <v>45153</v>
      </c>
      <c r="O644" s="26">
        <v>45153</v>
      </c>
      <c r="P644" s="26">
        <v>45153</v>
      </c>
      <c r="Q644" s="2">
        <f t="shared" si="90"/>
        <v>1</v>
      </c>
      <c r="S644" s="7">
        <f t="shared" si="97"/>
        <v>1</v>
      </c>
      <c r="T644" s="157">
        <f t="shared" si="98"/>
        <v>1</v>
      </c>
      <c r="V644" s="191">
        <f t="shared" si="91"/>
        <v>8</v>
      </c>
      <c r="W644" s="7">
        <f t="shared" si="92"/>
        <v>2023</v>
      </c>
    </row>
    <row r="645" spans="1:23" ht="31.95" customHeight="1" thickBot="1" x14ac:dyDescent="0.35">
      <c r="A645" s="15">
        <f t="shared" si="93"/>
        <v>3</v>
      </c>
      <c r="B645" s="26">
        <v>45153</v>
      </c>
      <c r="C645" s="51">
        <f t="shared" si="99"/>
        <v>641</v>
      </c>
      <c r="D645" s="27" t="s">
        <v>858</v>
      </c>
      <c r="E645" s="26" t="s">
        <v>11</v>
      </c>
      <c r="F645" s="28" t="s">
        <v>11</v>
      </c>
      <c r="G645" s="28" t="s">
        <v>11</v>
      </c>
      <c r="H645" s="254"/>
      <c r="I645" s="49">
        <v>3</v>
      </c>
      <c r="J645" s="49">
        <v>3</v>
      </c>
      <c r="K645" s="52">
        <f t="shared" si="94"/>
        <v>1</v>
      </c>
      <c r="L645" s="209">
        <f t="shared" si="95"/>
        <v>0</v>
      </c>
      <c r="M645" s="210">
        <f t="shared" si="96"/>
        <v>0</v>
      </c>
      <c r="N645" s="26">
        <v>45153</v>
      </c>
      <c r="O645" s="26">
        <v>45153</v>
      </c>
      <c r="P645" s="26">
        <v>45153</v>
      </c>
      <c r="Q645" s="2">
        <f t="shared" ref="Q645:Q708" si="100">IF(B645&lt;&gt;"",1,0)</f>
        <v>1</v>
      </c>
      <c r="S645" s="7">
        <f t="shared" si="97"/>
        <v>1</v>
      </c>
      <c r="T645" s="157">
        <f t="shared" si="98"/>
        <v>1</v>
      </c>
      <c r="V645" s="191">
        <f t="shared" ref="V645:V708" si="101">MONTH(B645)</f>
        <v>8</v>
      </c>
      <c r="W645" s="7">
        <f t="shared" ref="W645:W708" si="102">YEAR(B645)</f>
        <v>2023</v>
      </c>
    </row>
    <row r="646" spans="1:23" ht="31.95" customHeight="1" thickBot="1" x14ac:dyDescent="0.35">
      <c r="A646" s="15">
        <f t="shared" ref="A646:A709" si="103">J646</f>
        <v>2</v>
      </c>
      <c r="B646" s="26">
        <v>45156</v>
      </c>
      <c r="C646" s="51">
        <f t="shared" si="99"/>
        <v>642</v>
      </c>
      <c r="D646" s="27" t="s">
        <v>1206</v>
      </c>
      <c r="E646" s="26" t="s">
        <v>11</v>
      </c>
      <c r="F646" s="28" t="s">
        <v>11</v>
      </c>
      <c r="G646" s="28" t="s">
        <v>11</v>
      </c>
      <c r="H646" s="254"/>
      <c r="I646" s="49">
        <v>2</v>
      </c>
      <c r="J646" s="49">
        <v>2</v>
      </c>
      <c r="K646" s="52">
        <f t="shared" ref="K646:K709" si="104">IFERROR(J646/I646,"")</f>
        <v>1</v>
      </c>
      <c r="L646" s="209">
        <f t="shared" ref="L646:L709" si="105">IF(I646="","",I646-J646)</f>
        <v>0</v>
      </c>
      <c r="M646" s="210">
        <f t="shared" ref="M646:M709" si="106">IFERROR(1-K646,"")</f>
        <v>0</v>
      </c>
      <c r="N646" s="26">
        <v>45156</v>
      </c>
      <c r="O646" s="26">
        <v>45156</v>
      </c>
      <c r="P646" s="26">
        <v>45156</v>
      </c>
      <c r="Q646" s="2">
        <f t="shared" si="100"/>
        <v>1</v>
      </c>
      <c r="S646" s="7">
        <f t="shared" ref="S646:S709" si="107">IF(AND(O646&lt;=N646,O646&lt;&gt;""),1,0)</f>
        <v>1</v>
      </c>
      <c r="T646" s="157">
        <f t="shared" ref="T646:T709" si="108">IF(AND(P646&lt;=N646,P646&lt;&gt;""),1,0)</f>
        <v>1</v>
      </c>
      <c r="V646" s="191">
        <f t="shared" si="101"/>
        <v>8</v>
      </c>
      <c r="W646" s="7">
        <f t="shared" si="102"/>
        <v>2023</v>
      </c>
    </row>
    <row r="647" spans="1:23" ht="31.95" customHeight="1" thickBot="1" x14ac:dyDescent="0.35">
      <c r="A647" s="15">
        <f t="shared" si="103"/>
        <v>1</v>
      </c>
      <c r="B647" s="26">
        <v>45160</v>
      </c>
      <c r="C647" s="51">
        <f t="shared" ref="C647:C710" si="109">IF(B647&lt;&gt;"",C646+1,"")</f>
        <v>643</v>
      </c>
      <c r="D647" s="27" t="s">
        <v>858</v>
      </c>
      <c r="E647" s="26" t="s">
        <v>11</v>
      </c>
      <c r="F647" s="28" t="s">
        <v>11</v>
      </c>
      <c r="G647" s="28" t="s">
        <v>11</v>
      </c>
      <c r="H647" s="254"/>
      <c r="I647" s="49">
        <v>1</v>
      </c>
      <c r="J647" s="49">
        <v>1</v>
      </c>
      <c r="K647" s="52">
        <f t="shared" si="104"/>
        <v>1</v>
      </c>
      <c r="L647" s="209">
        <f t="shared" si="105"/>
        <v>0</v>
      </c>
      <c r="M647" s="210">
        <f t="shared" si="106"/>
        <v>0</v>
      </c>
      <c r="N647" s="26">
        <v>45160</v>
      </c>
      <c r="O647" s="26">
        <v>45160</v>
      </c>
      <c r="P647" s="26">
        <v>45160</v>
      </c>
      <c r="Q647" s="2">
        <f t="shared" si="100"/>
        <v>1</v>
      </c>
      <c r="S647" s="7">
        <f t="shared" si="107"/>
        <v>1</v>
      </c>
      <c r="T647" s="157">
        <f t="shared" si="108"/>
        <v>1</v>
      </c>
      <c r="V647" s="191">
        <f t="shared" si="101"/>
        <v>8</v>
      </c>
      <c r="W647" s="7">
        <f t="shared" si="102"/>
        <v>2023</v>
      </c>
    </row>
    <row r="648" spans="1:23" ht="31.95" customHeight="1" thickBot="1" x14ac:dyDescent="0.35">
      <c r="A648" s="15">
        <f t="shared" si="103"/>
        <v>1</v>
      </c>
      <c r="B648" s="26">
        <v>45160</v>
      </c>
      <c r="C648" s="51">
        <f t="shared" si="109"/>
        <v>644</v>
      </c>
      <c r="D648" s="27" t="s">
        <v>305</v>
      </c>
      <c r="E648" s="26" t="s">
        <v>11</v>
      </c>
      <c r="F648" s="28" t="s">
        <v>11</v>
      </c>
      <c r="G648" s="28" t="s">
        <v>11</v>
      </c>
      <c r="H648" s="254"/>
      <c r="I648" s="49">
        <v>1</v>
      </c>
      <c r="J648" s="49">
        <v>1</v>
      </c>
      <c r="K648" s="52">
        <f t="shared" si="104"/>
        <v>1</v>
      </c>
      <c r="L648" s="209">
        <f t="shared" si="105"/>
        <v>0</v>
      </c>
      <c r="M648" s="210">
        <f t="shared" si="106"/>
        <v>0</v>
      </c>
      <c r="N648" s="26">
        <v>45160</v>
      </c>
      <c r="O648" s="26">
        <v>45160</v>
      </c>
      <c r="P648" s="26">
        <v>45160</v>
      </c>
      <c r="Q648" s="2">
        <f t="shared" si="100"/>
        <v>1</v>
      </c>
      <c r="S648" s="7">
        <f t="shared" si="107"/>
        <v>1</v>
      </c>
      <c r="T648" s="157">
        <f t="shared" si="108"/>
        <v>1</v>
      </c>
      <c r="V648" s="191">
        <f t="shared" si="101"/>
        <v>8</v>
      </c>
      <c r="W648" s="7">
        <f t="shared" si="102"/>
        <v>2023</v>
      </c>
    </row>
    <row r="649" spans="1:23" ht="31.95" customHeight="1" thickBot="1" x14ac:dyDescent="0.35">
      <c r="A649" s="15">
        <f t="shared" si="103"/>
        <v>1</v>
      </c>
      <c r="B649" s="26">
        <v>45160</v>
      </c>
      <c r="C649" s="51">
        <f t="shared" si="109"/>
        <v>645</v>
      </c>
      <c r="D649" s="27" t="s">
        <v>705</v>
      </c>
      <c r="E649" s="26" t="s">
        <v>11</v>
      </c>
      <c r="F649" s="28" t="s">
        <v>11</v>
      </c>
      <c r="G649" s="28" t="s">
        <v>11</v>
      </c>
      <c r="H649" s="254"/>
      <c r="I649" s="49">
        <v>1</v>
      </c>
      <c r="J649" s="49">
        <v>1</v>
      </c>
      <c r="K649" s="52">
        <f t="shared" si="104"/>
        <v>1</v>
      </c>
      <c r="L649" s="209">
        <f t="shared" si="105"/>
        <v>0</v>
      </c>
      <c r="M649" s="210">
        <f t="shared" si="106"/>
        <v>0</v>
      </c>
      <c r="N649" s="26">
        <v>45160</v>
      </c>
      <c r="O649" s="26">
        <v>45160</v>
      </c>
      <c r="P649" s="26">
        <v>45160</v>
      </c>
      <c r="Q649" s="2">
        <f t="shared" si="100"/>
        <v>1</v>
      </c>
      <c r="S649" s="7">
        <f t="shared" si="107"/>
        <v>1</v>
      </c>
      <c r="T649" s="157">
        <f t="shared" si="108"/>
        <v>1</v>
      </c>
      <c r="V649" s="191">
        <f t="shared" si="101"/>
        <v>8</v>
      </c>
      <c r="W649" s="7">
        <f t="shared" si="102"/>
        <v>2023</v>
      </c>
    </row>
    <row r="650" spans="1:23" ht="31.95" customHeight="1" thickBot="1" x14ac:dyDescent="0.35">
      <c r="A650" s="15">
        <f t="shared" si="103"/>
        <v>5</v>
      </c>
      <c r="B650" s="26">
        <v>45166</v>
      </c>
      <c r="C650" s="51">
        <f t="shared" si="109"/>
        <v>646</v>
      </c>
      <c r="D650" s="27" t="s">
        <v>305</v>
      </c>
      <c r="E650" s="26" t="s">
        <v>111</v>
      </c>
      <c r="F650" s="28" t="s">
        <v>11</v>
      </c>
      <c r="G650" s="28" t="s">
        <v>11</v>
      </c>
      <c r="H650" s="254"/>
      <c r="I650" s="49">
        <v>5</v>
      </c>
      <c r="J650" s="49">
        <v>5</v>
      </c>
      <c r="K650" s="52">
        <f t="shared" si="104"/>
        <v>1</v>
      </c>
      <c r="L650" s="209">
        <f t="shared" si="105"/>
        <v>0</v>
      </c>
      <c r="M650" s="210">
        <f t="shared" si="106"/>
        <v>0</v>
      </c>
      <c r="N650" s="26">
        <v>45166</v>
      </c>
      <c r="O650" s="26">
        <v>45166</v>
      </c>
      <c r="P650" s="26">
        <v>45166</v>
      </c>
      <c r="Q650" s="2">
        <f t="shared" si="100"/>
        <v>1</v>
      </c>
      <c r="S650" s="7">
        <f t="shared" si="107"/>
        <v>1</v>
      </c>
      <c r="T650" s="157">
        <f t="shared" si="108"/>
        <v>1</v>
      </c>
      <c r="V650" s="191">
        <f t="shared" si="101"/>
        <v>8</v>
      </c>
      <c r="W650" s="7">
        <f t="shared" si="102"/>
        <v>2023</v>
      </c>
    </row>
    <row r="651" spans="1:23" ht="31.95" customHeight="1" thickBot="1" x14ac:dyDescent="0.35">
      <c r="A651" s="15">
        <f t="shared" si="103"/>
        <v>4</v>
      </c>
      <c r="B651" s="26">
        <v>45166</v>
      </c>
      <c r="C651" s="51">
        <f t="shared" si="109"/>
        <v>647</v>
      </c>
      <c r="D651" s="27" t="s">
        <v>858</v>
      </c>
      <c r="E651" s="26" t="s">
        <v>111</v>
      </c>
      <c r="F651" s="28" t="s">
        <v>11</v>
      </c>
      <c r="G651" s="28" t="s">
        <v>11</v>
      </c>
      <c r="H651" s="254"/>
      <c r="I651" s="49">
        <v>4</v>
      </c>
      <c r="J651" s="49">
        <v>4</v>
      </c>
      <c r="K651" s="52">
        <f t="shared" si="104"/>
        <v>1</v>
      </c>
      <c r="L651" s="209">
        <f t="shared" si="105"/>
        <v>0</v>
      </c>
      <c r="M651" s="210">
        <f t="shared" si="106"/>
        <v>0</v>
      </c>
      <c r="N651" s="26">
        <v>45166</v>
      </c>
      <c r="O651" s="26">
        <v>45166</v>
      </c>
      <c r="P651" s="26">
        <v>45166</v>
      </c>
      <c r="Q651" s="2">
        <f t="shared" si="100"/>
        <v>1</v>
      </c>
      <c r="S651" s="7">
        <f t="shared" si="107"/>
        <v>1</v>
      </c>
      <c r="T651" s="157">
        <f t="shared" si="108"/>
        <v>1</v>
      </c>
      <c r="V651" s="191">
        <f t="shared" si="101"/>
        <v>8</v>
      </c>
      <c r="W651" s="7">
        <f t="shared" si="102"/>
        <v>2023</v>
      </c>
    </row>
    <row r="652" spans="1:23" ht="31.95" customHeight="1" thickBot="1" x14ac:dyDescent="0.35">
      <c r="A652" s="15">
        <f t="shared" si="103"/>
        <v>1</v>
      </c>
      <c r="B652" s="26">
        <v>45166</v>
      </c>
      <c r="C652" s="51">
        <f t="shared" si="109"/>
        <v>648</v>
      </c>
      <c r="D652" s="27" t="s">
        <v>705</v>
      </c>
      <c r="E652" s="26" t="s">
        <v>111</v>
      </c>
      <c r="F652" s="28" t="s">
        <v>11</v>
      </c>
      <c r="G652" s="28" t="s">
        <v>11</v>
      </c>
      <c r="H652" s="254"/>
      <c r="I652" s="49">
        <v>1</v>
      </c>
      <c r="J652" s="49">
        <v>1</v>
      </c>
      <c r="K652" s="52">
        <f t="shared" si="104"/>
        <v>1</v>
      </c>
      <c r="L652" s="209">
        <f t="shared" si="105"/>
        <v>0</v>
      </c>
      <c r="M652" s="210">
        <f t="shared" si="106"/>
        <v>0</v>
      </c>
      <c r="N652" s="26">
        <v>45166</v>
      </c>
      <c r="O652" s="26">
        <v>45166</v>
      </c>
      <c r="P652" s="26">
        <v>45166</v>
      </c>
      <c r="Q652" s="2">
        <f t="shared" si="100"/>
        <v>1</v>
      </c>
      <c r="S652" s="7">
        <f t="shared" si="107"/>
        <v>1</v>
      </c>
      <c r="T652" s="157">
        <f t="shared" si="108"/>
        <v>1</v>
      </c>
      <c r="V652" s="191">
        <f t="shared" si="101"/>
        <v>8</v>
      </c>
      <c r="W652" s="7">
        <f t="shared" si="102"/>
        <v>2023</v>
      </c>
    </row>
    <row r="653" spans="1:23" ht="31.95" customHeight="1" thickBot="1" x14ac:dyDescent="0.35">
      <c r="A653" s="15">
        <f t="shared" si="103"/>
        <v>1</v>
      </c>
      <c r="B653" s="26">
        <v>45167</v>
      </c>
      <c r="C653" s="51">
        <f t="shared" si="109"/>
        <v>649</v>
      </c>
      <c r="D653" s="27" t="s">
        <v>822</v>
      </c>
      <c r="E653" s="26" t="s">
        <v>109</v>
      </c>
      <c r="F653" s="28" t="s">
        <v>11</v>
      </c>
      <c r="G653" s="28" t="s">
        <v>11</v>
      </c>
      <c r="H653" s="254"/>
      <c r="I653" s="49">
        <v>1</v>
      </c>
      <c r="J653" s="49">
        <v>1</v>
      </c>
      <c r="K653" s="52">
        <f t="shared" si="104"/>
        <v>1</v>
      </c>
      <c r="L653" s="209">
        <f t="shared" si="105"/>
        <v>0</v>
      </c>
      <c r="M653" s="210">
        <f t="shared" si="106"/>
        <v>0</v>
      </c>
      <c r="N653" s="26">
        <v>45170</v>
      </c>
      <c r="O653" s="26">
        <v>45170</v>
      </c>
      <c r="P653" s="26">
        <v>45170</v>
      </c>
      <c r="Q653" s="2">
        <f t="shared" si="100"/>
        <v>1</v>
      </c>
      <c r="S653" s="7">
        <f t="shared" si="107"/>
        <v>1</v>
      </c>
      <c r="T653" s="157">
        <f t="shared" si="108"/>
        <v>1</v>
      </c>
      <c r="V653" s="191">
        <f t="shared" si="101"/>
        <v>8</v>
      </c>
      <c r="W653" s="7">
        <f t="shared" si="102"/>
        <v>2023</v>
      </c>
    </row>
    <row r="654" spans="1:23" ht="31.95" customHeight="1" thickBot="1" x14ac:dyDescent="0.35">
      <c r="A654" s="15">
        <f t="shared" si="103"/>
        <v>2</v>
      </c>
      <c r="B654" s="26">
        <v>45167</v>
      </c>
      <c r="C654" s="51">
        <f t="shared" si="109"/>
        <v>650</v>
      </c>
      <c r="D654" s="27" t="s">
        <v>890</v>
      </c>
      <c r="E654" s="26" t="s">
        <v>109</v>
      </c>
      <c r="F654" s="28" t="s">
        <v>11</v>
      </c>
      <c r="G654" s="28" t="s">
        <v>11</v>
      </c>
      <c r="H654" s="254"/>
      <c r="I654" s="49">
        <v>2</v>
      </c>
      <c r="J654" s="49">
        <v>2</v>
      </c>
      <c r="K654" s="52">
        <f t="shared" si="104"/>
        <v>1</v>
      </c>
      <c r="L654" s="209">
        <f t="shared" si="105"/>
        <v>0</v>
      </c>
      <c r="M654" s="210">
        <f t="shared" si="106"/>
        <v>0</v>
      </c>
      <c r="N654" s="26">
        <v>45188</v>
      </c>
      <c r="O654" s="26">
        <v>45188</v>
      </c>
      <c r="P654" s="26">
        <v>45188</v>
      </c>
      <c r="Q654" s="2">
        <f t="shared" si="100"/>
        <v>1</v>
      </c>
      <c r="S654" s="7">
        <f t="shared" si="107"/>
        <v>1</v>
      </c>
      <c r="T654" s="157">
        <f t="shared" si="108"/>
        <v>1</v>
      </c>
      <c r="V654" s="191">
        <f t="shared" si="101"/>
        <v>8</v>
      </c>
      <c r="W654" s="7">
        <f t="shared" si="102"/>
        <v>2023</v>
      </c>
    </row>
    <row r="655" spans="1:23" ht="31.95" customHeight="1" thickBot="1" x14ac:dyDescent="0.35">
      <c r="A655" s="15">
        <f t="shared" si="103"/>
        <v>4</v>
      </c>
      <c r="B655" s="26">
        <v>45167</v>
      </c>
      <c r="C655" s="51">
        <f t="shared" si="109"/>
        <v>651</v>
      </c>
      <c r="D655" s="27" t="s">
        <v>594</v>
      </c>
      <c r="E655" s="26" t="s">
        <v>109</v>
      </c>
      <c r="F655" s="28" t="s">
        <v>11</v>
      </c>
      <c r="G655" s="28" t="s">
        <v>11</v>
      </c>
      <c r="H655" s="254"/>
      <c r="I655" s="49">
        <v>4</v>
      </c>
      <c r="J655" s="49">
        <v>4</v>
      </c>
      <c r="K655" s="52">
        <f t="shared" si="104"/>
        <v>1</v>
      </c>
      <c r="L655" s="209">
        <f t="shared" si="105"/>
        <v>0</v>
      </c>
      <c r="M655" s="210">
        <f t="shared" si="106"/>
        <v>0</v>
      </c>
      <c r="N655" s="26">
        <v>45181</v>
      </c>
      <c r="O655" s="26">
        <v>45181</v>
      </c>
      <c r="P655" s="26">
        <v>45181</v>
      </c>
      <c r="Q655" s="2">
        <f t="shared" si="100"/>
        <v>1</v>
      </c>
      <c r="S655" s="7">
        <f t="shared" si="107"/>
        <v>1</v>
      </c>
      <c r="T655" s="157">
        <f t="shared" si="108"/>
        <v>1</v>
      </c>
      <c r="V655" s="191">
        <f t="shared" si="101"/>
        <v>8</v>
      </c>
      <c r="W655" s="7">
        <f t="shared" si="102"/>
        <v>2023</v>
      </c>
    </row>
    <row r="656" spans="1:23" ht="31.95" customHeight="1" thickBot="1" x14ac:dyDescent="0.35">
      <c r="A656" s="15">
        <f t="shared" si="103"/>
        <v>13</v>
      </c>
      <c r="B656" s="26">
        <v>45167</v>
      </c>
      <c r="C656" s="51">
        <f t="shared" si="109"/>
        <v>652</v>
      </c>
      <c r="D656" s="27" t="s">
        <v>1121</v>
      </c>
      <c r="E656" s="26" t="s">
        <v>1307</v>
      </c>
      <c r="F656" s="28" t="s">
        <v>11</v>
      </c>
      <c r="G656" s="28" t="s">
        <v>11</v>
      </c>
      <c r="H656" s="254"/>
      <c r="I656" s="49">
        <v>13</v>
      </c>
      <c r="J656" s="49">
        <v>13</v>
      </c>
      <c r="K656" s="52">
        <f t="shared" si="104"/>
        <v>1</v>
      </c>
      <c r="L656" s="209">
        <f t="shared" si="105"/>
        <v>0</v>
      </c>
      <c r="M656" s="210">
        <f t="shared" si="106"/>
        <v>0</v>
      </c>
      <c r="N656" s="26">
        <v>45177</v>
      </c>
      <c r="O656" s="26">
        <v>45177</v>
      </c>
      <c r="P656" s="26">
        <v>45177</v>
      </c>
      <c r="Q656" s="2">
        <f t="shared" si="100"/>
        <v>1</v>
      </c>
      <c r="S656" s="7">
        <f t="shared" si="107"/>
        <v>1</v>
      </c>
      <c r="T656" s="157">
        <f t="shared" si="108"/>
        <v>1</v>
      </c>
      <c r="V656" s="191">
        <f t="shared" si="101"/>
        <v>8</v>
      </c>
      <c r="W656" s="7">
        <f t="shared" si="102"/>
        <v>2023</v>
      </c>
    </row>
    <row r="657" spans="1:23" ht="31.95" customHeight="1" thickBot="1" x14ac:dyDescent="0.35">
      <c r="A657" s="15">
        <f t="shared" si="103"/>
        <v>3</v>
      </c>
      <c r="B657" s="26">
        <v>45167</v>
      </c>
      <c r="C657" s="51">
        <f t="shared" si="109"/>
        <v>653</v>
      </c>
      <c r="D657" s="27" t="s">
        <v>890</v>
      </c>
      <c r="E657" s="26" t="s">
        <v>110</v>
      </c>
      <c r="F657" s="28" t="s">
        <v>11</v>
      </c>
      <c r="G657" s="28" t="s">
        <v>11</v>
      </c>
      <c r="H657" s="254"/>
      <c r="I657" s="49">
        <v>3</v>
      </c>
      <c r="J657" s="49">
        <v>3</v>
      </c>
      <c r="K657" s="52">
        <f t="shared" si="104"/>
        <v>1</v>
      </c>
      <c r="L657" s="209">
        <f t="shared" si="105"/>
        <v>0</v>
      </c>
      <c r="M657" s="210">
        <f t="shared" si="106"/>
        <v>0</v>
      </c>
      <c r="N657" s="26">
        <v>45188</v>
      </c>
      <c r="O657" s="26">
        <v>45188</v>
      </c>
      <c r="P657" s="26">
        <v>45188</v>
      </c>
      <c r="Q657" s="2">
        <f t="shared" si="100"/>
        <v>1</v>
      </c>
      <c r="S657" s="7">
        <f t="shared" si="107"/>
        <v>1</v>
      </c>
      <c r="T657" s="157">
        <f t="shared" si="108"/>
        <v>1</v>
      </c>
      <c r="V657" s="191">
        <f t="shared" si="101"/>
        <v>8</v>
      </c>
      <c r="W657" s="7">
        <f t="shared" si="102"/>
        <v>2023</v>
      </c>
    </row>
    <row r="658" spans="1:23" ht="31.95" customHeight="1" thickBot="1" x14ac:dyDescent="0.35">
      <c r="A658" s="15">
        <f t="shared" si="103"/>
        <v>2</v>
      </c>
      <c r="B658" s="26">
        <v>45167</v>
      </c>
      <c r="C658" s="51">
        <f t="shared" si="109"/>
        <v>654</v>
      </c>
      <c r="D658" s="27" t="s">
        <v>871</v>
      </c>
      <c r="E658" s="26" t="s">
        <v>110</v>
      </c>
      <c r="F658" s="28" t="s">
        <v>11</v>
      </c>
      <c r="G658" s="28" t="s">
        <v>11</v>
      </c>
      <c r="H658" s="254"/>
      <c r="I658" s="49">
        <v>2</v>
      </c>
      <c r="J658" s="49">
        <v>2</v>
      </c>
      <c r="K658" s="52">
        <f t="shared" si="104"/>
        <v>1</v>
      </c>
      <c r="L658" s="209">
        <f t="shared" si="105"/>
        <v>0</v>
      </c>
      <c r="M658" s="210">
        <f t="shared" si="106"/>
        <v>0</v>
      </c>
      <c r="N658" s="26">
        <v>45169</v>
      </c>
      <c r="O658" s="26">
        <v>45169</v>
      </c>
      <c r="P658" s="26">
        <v>45169</v>
      </c>
      <c r="Q658" s="2">
        <f t="shared" si="100"/>
        <v>1</v>
      </c>
      <c r="S658" s="7">
        <f t="shared" si="107"/>
        <v>1</v>
      </c>
      <c r="T658" s="157">
        <f t="shared" si="108"/>
        <v>1</v>
      </c>
      <c r="V658" s="191">
        <f t="shared" si="101"/>
        <v>8</v>
      </c>
      <c r="W658" s="7">
        <f t="shared" si="102"/>
        <v>2023</v>
      </c>
    </row>
    <row r="659" spans="1:23" ht="31.95" customHeight="1" thickBot="1" x14ac:dyDescent="0.35">
      <c r="A659" s="15">
        <f t="shared" si="103"/>
        <v>1</v>
      </c>
      <c r="B659" s="26">
        <v>45167</v>
      </c>
      <c r="C659" s="51">
        <f t="shared" si="109"/>
        <v>655</v>
      </c>
      <c r="D659" s="27" t="s">
        <v>594</v>
      </c>
      <c r="E659" s="26" t="s">
        <v>108</v>
      </c>
      <c r="F659" s="28" t="s">
        <v>11</v>
      </c>
      <c r="G659" s="28" t="s">
        <v>11</v>
      </c>
      <c r="H659" s="254"/>
      <c r="I659" s="49">
        <v>1</v>
      </c>
      <c r="J659" s="49">
        <v>1</v>
      </c>
      <c r="K659" s="52">
        <f t="shared" si="104"/>
        <v>1</v>
      </c>
      <c r="L659" s="209">
        <f t="shared" si="105"/>
        <v>0</v>
      </c>
      <c r="M659" s="210">
        <f t="shared" si="106"/>
        <v>0</v>
      </c>
      <c r="N659" s="26">
        <v>45188</v>
      </c>
      <c r="O659" s="26">
        <v>45188</v>
      </c>
      <c r="P659" s="26">
        <v>45188</v>
      </c>
      <c r="Q659" s="2">
        <f t="shared" si="100"/>
        <v>1</v>
      </c>
      <c r="S659" s="7">
        <f t="shared" si="107"/>
        <v>1</v>
      </c>
      <c r="T659" s="157">
        <f t="shared" si="108"/>
        <v>1</v>
      </c>
      <c r="V659" s="191">
        <f t="shared" si="101"/>
        <v>8</v>
      </c>
      <c r="W659" s="7">
        <f t="shared" si="102"/>
        <v>2023</v>
      </c>
    </row>
    <row r="660" spans="1:23" ht="31.95" customHeight="1" thickBot="1" x14ac:dyDescent="0.35">
      <c r="A660" s="15">
        <f t="shared" si="103"/>
        <v>4</v>
      </c>
      <c r="B660" s="26">
        <v>45168</v>
      </c>
      <c r="C660" s="51">
        <f t="shared" si="109"/>
        <v>656</v>
      </c>
      <c r="D660" s="27" t="s">
        <v>602</v>
      </c>
      <c r="E660" s="26" t="s">
        <v>110</v>
      </c>
      <c r="F660" s="28" t="s">
        <v>11</v>
      </c>
      <c r="G660" s="28" t="s">
        <v>11</v>
      </c>
      <c r="H660" s="254"/>
      <c r="I660" s="49">
        <v>4</v>
      </c>
      <c r="J660" s="49">
        <v>4</v>
      </c>
      <c r="K660" s="52">
        <f t="shared" si="104"/>
        <v>1</v>
      </c>
      <c r="L660" s="209">
        <f t="shared" si="105"/>
        <v>0</v>
      </c>
      <c r="M660" s="210">
        <f t="shared" si="106"/>
        <v>0</v>
      </c>
      <c r="N660" s="26">
        <v>45144</v>
      </c>
      <c r="O660" s="26">
        <v>45144</v>
      </c>
      <c r="P660" s="26">
        <v>45144</v>
      </c>
      <c r="Q660" s="2">
        <f t="shared" si="100"/>
        <v>1</v>
      </c>
      <c r="S660" s="7">
        <f t="shared" si="107"/>
        <v>1</v>
      </c>
      <c r="T660" s="157">
        <f t="shared" si="108"/>
        <v>1</v>
      </c>
      <c r="V660" s="191">
        <f t="shared" si="101"/>
        <v>8</v>
      </c>
      <c r="W660" s="7">
        <f t="shared" si="102"/>
        <v>2023</v>
      </c>
    </row>
    <row r="661" spans="1:23" ht="31.95" customHeight="1" thickBot="1" x14ac:dyDescent="0.35">
      <c r="A661" s="15">
        <f t="shared" si="103"/>
        <v>17</v>
      </c>
      <c r="B661" s="26">
        <v>45169</v>
      </c>
      <c r="C661" s="51">
        <f t="shared" si="109"/>
        <v>657</v>
      </c>
      <c r="D661" s="27" t="s">
        <v>741</v>
      </c>
      <c r="E661" s="26" t="s">
        <v>11</v>
      </c>
      <c r="F661" s="28" t="s">
        <v>11</v>
      </c>
      <c r="G661" s="28" t="s">
        <v>11</v>
      </c>
      <c r="H661" s="254"/>
      <c r="I661" s="49">
        <v>17</v>
      </c>
      <c r="J661" s="49">
        <v>17</v>
      </c>
      <c r="K661" s="52">
        <f t="shared" si="104"/>
        <v>1</v>
      </c>
      <c r="L661" s="209">
        <f t="shared" si="105"/>
        <v>0</v>
      </c>
      <c r="M661" s="210">
        <f t="shared" si="106"/>
        <v>0</v>
      </c>
      <c r="N661" s="26">
        <v>45180</v>
      </c>
      <c r="O661" s="26">
        <v>45180</v>
      </c>
      <c r="P661" s="26">
        <v>45180</v>
      </c>
      <c r="Q661" s="2">
        <f t="shared" si="100"/>
        <v>1</v>
      </c>
      <c r="S661" s="7">
        <f t="shared" si="107"/>
        <v>1</v>
      </c>
      <c r="T661" s="157">
        <f t="shared" si="108"/>
        <v>1</v>
      </c>
      <c r="V661" s="191">
        <f t="shared" si="101"/>
        <v>8</v>
      </c>
      <c r="W661" s="7">
        <f t="shared" si="102"/>
        <v>2023</v>
      </c>
    </row>
    <row r="662" spans="1:23" ht="31.95" customHeight="1" thickBot="1" x14ac:dyDescent="0.35">
      <c r="A662" s="15">
        <f t="shared" si="103"/>
        <v>1</v>
      </c>
      <c r="B662" s="26">
        <v>45169</v>
      </c>
      <c r="C662" s="51">
        <f t="shared" si="109"/>
        <v>658</v>
      </c>
      <c r="D662" s="27" t="s">
        <v>321</v>
      </c>
      <c r="E662" s="26" t="s">
        <v>11</v>
      </c>
      <c r="F662" s="28" t="s">
        <v>11</v>
      </c>
      <c r="G662" s="28" t="s">
        <v>11</v>
      </c>
      <c r="H662" s="254"/>
      <c r="I662" s="49">
        <v>1</v>
      </c>
      <c r="J662" s="49">
        <v>1</v>
      </c>
      <c r="K662" s="52">
        <f t="shared" si="104"/>
        <v>1</v>
      </c>
      <c r="L662" s="209">
        <f t="shared" si="105"/>
        <v>0</v>
      </c>
      <c r="M662" s="210">
        <f t="shared" si="106"/>
        <v>0</v>
      </c>
      <c r="N662" s="26">
        <v>45169</v>
      </c>
      <c r="O662" s="26">
        <v>45169</v>
      </c>
      <c r="P662" s="26">
        <v>45169</v>
      </c>
      <c r="Q662" s="2">
        <f t="shared" si="100"/>
        <v>1</v>
      </c>
      <c r="S662" s="7">
        <f t="shared" si="107"/>
        <v>1</v>
      </c>
      <c r="T662" s="157">
        <f t="shared" si="108"/>
        <v>1</v>
      </c>
      <c r="V662" s="191">
        <f t="shared" si="101"/>
        <v>8</v>
      </c>
      <c r="W662" s="7">
        <f t="shared" si="102"/>
        <v>2023</v>
      </c>
    </row>
    <row r="663" spans="1:23" ht="31.95" customHeight="1" thickBot="1" x14ac:dyDescent="0.35">
      <c r="A663" s="15">
        <f t="shared" si="103"/>
        <v>14</v>
      </c>
      <c r="B663" s="26">
        <v>45169</v>
      </c>
      <c r="C663" s="51">
        <f t="shared" si="109"/>
        <v>659</v>
      </c>
      <c r="D663" s="27" t="s">
        <v>838</v>
      </c>
      <c r="E663" s="26" t="s">
        <v>114</v>
      </c>
      <c r="F663" s="28" t="s">
        <v>11</v>
      </c>
      <c r="G663" s="28" t="s">
        <v>11</v>
      </c>
      <c r="H663" s="254"/>
      <c r="I663" s="49">
        <v>14</v>
      </c>
      <c r="J663" s="49">
        <v>14</v>
      </c>
      <c r="K663" s="52">
        <f t="shared" si="104"/>
        <v>1</v>
      </c>
      <c r="L663" s="209">
        <f t="shared" si="105"/>
        <v>0</v>
      </c>
      <c r="M663" s="210">
        <f t="shared" si="106"/>
        <v>0</v>
      </c>
      <c r="N663" s="26">
        <v>45169</v>
      </c>
      <c r="O663" s="26">
        <v>45169</v>
      </c>
      <c r="P663" s="26">
        <v>45169</v>
      </c>
      <c r="Q663" s="2">
        <f t="shared" si="100"/>
        <v>1</v>
      </c>
      <c r="S663" s="7">
        <f t="shared" si="107"/>
        <v>1</v>
      </c>
      <c r="T663" s="157">
        <f t="shared" si="108"/>
        <v>1</v>
      </c>
      <c r="V663" s="191">
        <f t="shared" si="101"/>
        <v>8</v>
      </c>
      <c r="W663" s="7">
        <f t="shared" si="102"/>
        <v>2023</v>
      </c>
    </row>
    <row r="664" spans="1:23" ht="31.95" customHeight="1" thickBot="1" x14ac:dyDescent="0.35">
      <c r="A664" s="15">
        <f t="shared" si="103"/>
        <v>12</v>
      </c>
      <c r="B664" s="26">
        <v>45169</v>
      </c>
      <c r="C664" s="51">
        <f t="shared" si="109"/>
        <v>660</v>
      </c>
      <c r="D664" s="27" t="s">
        <v>524</v>
      </c>
      <c r="E664" s="26" t="s">
        <v>114</v>
      </c>
      <c r="F664" s="28" t="s">
        <v>11</v>
      </c>
      <c r="G664" s="28" t="s">
        <v>11</v>
      </c>
      <c r="H664" s="254"/>
      <c r="I664" s="49">
        <v>12</v>
      </c>
      <c r="J664" s="49">
        <v>12</v>
      </c>
      <c r="K664" s="52">
        <f t="shared" si="104"/>
        <v>1</v>
      </c>
      <c r="L664" s="209">
        <f t="shared" si="105"/>
        <v>0</v>
      </c>
      <c r="M664" s="210">
        <f t="shared" si="106"/>
        <v>0</v>
      </c>
      <c r="N664" s="26">
        <v>45174</v>
      </c>
      <c r="O664" s="26">
        <v>45174</v>
      </c>
      <c r="P664" s="26">
        <v>45174</v>
      </c>
      <c r="Q664" s="2">
        <f t="shared" si="100"/>
        <v>1</v>
      </c>
      <c r="S664" s="7">
        <f t="shared" si="107"/>
        <v>1</v>
      </c>
      <c r="T664" s="157">
        <f t="shared" si="108"/>
        <v>1</v>
      </c>
      <c r="V664" s="191">
        <f t="shared" si="101"/>
        <v>8</v>
      </c>
      <c r="W664" s="7">
        <f t="shared" si="102"/>
        <v>2023</v>
      </c>
    </row>
    <row r="665" spans="1:23" ht="31.95" customHeight="1" thickBot="1" x14ac:dyDescent="0.35">
      <c r="A665" s="15">
        <f t="shared" si="103"/>
        <v>12</v>
      </c>
      <c r="B665" s="26">
        <v>45169</v>
      </c>
      <c r="C665" s="51">
        <f t="shared" si="109"/>
        <v>661</v>
      </c>
      <c r="D665" s="27" t="s">
        <v>890</v>
      </c>
      <c r="E665" s="26" t="s">
        <v>114</v>
      </c>
      <c r="F665" s="28" t="s">
        <v>11</v>
      </c>
      <c r="G665" s="28" t="s">
        <v>11</v>
      </c>
      <c r="H665" s="254"/>
      <c r="I665" s="49">
        <v>12</v>
      </c>
      <c r="J665" s="49">
        <v>12</v>
      </c>
      <c r="K665" s="52">
        <f t="shared" si="104"/>
        <v>1</v>
      </c>
      <c r="L665" s="209">
        <f t="shared" si="105"/>
        <v>0</v>
      </c>
      <c r="M665" s="210">
        <f t="shared" si="106"/>
        <v>0</v>
      </c>
      <c r="N665" s="26">
        <v>45190</v>
      </c>
      <c r="O665" s="26">
        <v>45190</v>
      </c>
      <c r="P665" s="26">
        <v>45190</v>
      </c>
      <c r="Q665" s="2">
        <f t="shared" si="100"/>
        <v>1</v>
      </c>
      <c r="S665" s="7">
        <f t="shared" si="107"/>
        <v>1</v>
      </c>
      <c r="T665" s="157">
        <f t="shared" si="108"/>
        <v>1</v>
      </c>
      <c r="V665" s="191">
        <f t="shared" si="101"/>
        <v>8</v>
      </c>
      <c r="W665" s="7">
        <f t="shared" si="102"/>
        <v>2023</v>
      </c>
    </row>
    <row r="666" spans="1:23" ht="31.95" customHeight="1" thickBot="1" x14ac:dyDescent="0.35">
      <c r="A666" s="15">
        <f t="shared" si="103"/>
        <v>14</v>
      </c>
      <c r="B666" s="26">
        <v>45169</v>
      </c>
      <c r="C666" s="51">
        <f t="shared" si="109"/>
        <v>662</v>
      </c>
      <c r="D666" s="27" t="s">
        <v>871</v>
      </c>
      <c r="E666" s="26" t="s">
        <v>114</v>
      </c>
      <c r="F666" s="28" t="s">
        <v>11</v>
      </c>
      <c r="G666" s="28" t="s">
        <v>11</v>
      </c>
      <c r="H666" s="254"/>
      <c r="I666" s="49">
        <v>14</v>
      </c>
      <c r="J666" s="49">
        <v>14</v>
      </c>
      <c r="K666" s="52">
        <f t="shared" si="104"/>
        <v>1</v>
      </c>
      <c r="L666" s="209">
        <f t="shared" si="105"/>
        <v>0</v>
      </c>
      <c r="M666" s="210">
        <f t="shared" si="106"/>
        <v>0</v>
      </c>
      <c r="N666" s="26">
        <v>45173</v>
      </c>
      <c r="O666" s="26">
        <v>45173</v>
      </c>
      <c r="P666" s="26">
        <v>45173</v>
      </c>
      <c r="Q666" s="2">
        <f t="shared" si="100"/>
        <v>1</v>
      </c>
      <c r="S666" s="7">
        <f t="shared" si="107"/>
        <v>1</v>
      </c>
      <c r="T666" s="157">
        <f t="shared" si="108"/>
        <v>1</v>
      </c>
      <c r="V666" s="191">
        <f t="shared" si="101"/>
        <v>8</v>
      </c>
      <c r="W666" s="7">
        <f t="shared" si="102"/>
        <v>2023</v>
      </c>
    </row>
    <row r="667" spans="1:23" ht="31.95" customHeight="1" thickBot="1" x14ac:dyDescent="0.35">
      <c r="A667" s="15">
        <f t="shared" si="103"/>
        <v>3</v>
      </c>
      <c r="B667" s="26">
        <v>45169</v>
      </c>
      <c r="C667" s="51">
        <f t="shared" si="109"/>
        <v>663</v>
      </c>
      <c r="D667" s="27" t="s">
        <v>524</v>
      </c>
      <c r="E667" s="26" t="s">
        <v>115</v>
      </c>
      <c r="F667" s="28" t="s">
        <v>11</v>
      </c>
      <c r="G667" s="28" t="s">
        <v>11</v>
      </c>
      <c r="H667" s="254"/>
      <c r="I667" s="49">
        <v>3</v>
      </c>
      <c r="J667" s="49">
        <v>3</v>
      </c>
      <c r="K667" s="52">
        <f t="shared" si="104"/>
        <v>1</v>
      </c>
      <c r="L667" s="209">
        <f t="shared" si="105"/>
        <v>0</v>
      </c>
      <c r="M667" s="210">
        <f t="shared" si="106"/>
        <v>0</v>
      </c>
      <c r="N667" s="26">
        <v>45173</v>
      </c>
      <c r="O667" s="26">
        <v>45173</v>
      </c>
      <c r="P667" s="26">
        <v>45173</v>
      </c>
      <c r="Q667" s="2">
        <f t="shared" si="100"/>
        <v>1</v>
      </c>
      <c r="S667" s="7">
        <f t="shared" si="107"/>
        <v>1</v>
      </c>
      <c r="T667" s="157">
        <f t="shared" si="108"/>
        <v>1</v>
      </c>
      <c r="V667" s="191">
        <f t="shared" si="101"/>
        <v>8</v>
      </c>
      <c r="W667" s="7">
        <f t="shared" si="102"/>
        <v>2023</v>
      </c>
    </row>
    <row r="668" spans="1:23" ht="31.95" customHeight="1" thickBot="1" x14ac:dyDescent="0.35">
      <c r="A668" s="15">
        <f t="shared" si="103"/>
        <v>1</v>
      </c>
      <c r="B668" s="26">
        <v>45169</v>
      </c>
      <c r="C668" s="51">
        <f t="shared" si="109"/>
        <v>664</v>
      </c>
      <c r="D668" s="27" t="s">
        <v>890</v>
      </c>
      <c r="E668" s="26" t="s">
        <v>115</v>
      </c>
      <c r="F668" s="28" t="s">
        <v>11</v>
      </c>
      <c r="G668" s="28" t="s">
        <v>11</v>
      </c>
      <c r="H668" s="254"/>
      <c r="I668" s="49">
        <v>1</v>
      </c>
      <c r="J668" s="49">
        <v>1</v>
      </c>
      <c r="K668" s="52">
        <f t="shared" si="104"/>
        <v>1</v>
      </c>
      <c r="L668" s="209">
        <f t="shared" si="105"/>
        <v>0</v>
      </c>
      <c r="M668" s="210">
        <f t="shared" si="106"/>
        <v>0</v>
      </c>
      <c r="N668" s="26">
        <v>45190</v>
      </c>
      <c r="O668" s="26">
        <v>45190</v>
      </c>
      <c r="P668" s="26">
        <v>45190</v>
      </c>
      <c r="Q668" s="2">
        <f t="shared" si="100"/>
        <v>1</v>
      </c>
      <c r="S668" s="7">
        <f t="shared" si="107"/>
        <v>1</v>
      </c>
      <c r="T668" s="157">
        <f t="shared" si="108"/>
        <v>1</v>
      </c>
      <c r="V668" s="191">
        <f t="shared" si="101"/>
        <v>8</v>
      </c>
      <c r="W668" s="7">
        <f t="shared" si="102"/>
        <v>2023</v>
      </c>
    </row>
    <row r="669" spans="1:23" ht="31.95" customHeight="1" thickBot="1" x14ac:dyDescent="0.35">
      <c r="A669" s="15">
        <f t="shared" si="103"/>
        <v>4</v>
      </c>
      <c r="B669" s="26">
        <v>45169</v>
      </c>
      <c r="C669" s="51">
        <f t="shared" si="109"/>
        <v>665</v>
      </c>
      <c r="D669" s="27" t="s">
        <v>594</v>
      </c>
      <c r="E669" s="26" t="s">
        <v>115</v>
      </c>
      <c r="F669" s="28" t="s">
        <v>11</v>
      </c>
      <c r="G669" s="28" t="s">
        <v>11</v>
      </c>
      <c r="H669" s="254"/>
      <c r="I669" s="49">
        <v>4</v>
      </c>
      <c r="J669" s="49">
        <v>4</v>
      </c>
      <c r="K669" s="52">
        <f t="shared" si="104"/>
        <v>1</v>
      </c>
      <c r="L669" s="209">
        <f t="shared" si="105"/>
        <v>0</v>
      </c>
      <c r="M669" s="210">
        <f t="shared" si="106"/>
        <v>0</v>
      </c>
      <c r="N669" s="26">
        <v>45176</v>
      </c>
      <c r="O669" s="26">
        <v>45176</v>
      </c>
      <c r="P669" s="26">
        <v>45176</v>
      </c>
      <c r="Q669" s="2">
        <f t="shared" si="100"/>
        <v>1</v>
      </c>
      <c r="S669" s="7">
        <f t="shared" si="107"/>
        <v>1</v>
      </c>
      <c r="T669" s="157">
        <f t="shared" si="108"/>
        <v>1</v>
      </c>
      <c r="V669" s="191">
        <f t="shared" si="101"/>
        <v>8</v>
      </c>
      <c r="W669" s="7">
        <f t="shared" si="102"/>
        <v>2023</v>
      </c>
    </row>
    <row r="670" spans="1:23" ht="31.95" customHeight="1" thickBot="1" x14ac:dyDescent="0.35">
      <c r="A670" s="15">
        <f t="shared" si="103"/>
        <v>1</v>
      </c>
      <c r="B670" s="26">
        <v>45173</v>
      </c>
      <c r="C670" s="51">
        <f t="shared" si="109"/>
        <v>666</v>
      </c>
      <c r="D670" s="27" t="s">
        <v>594</v>
      </c>
      <c r="E670" s="26" t="s">
        <v>113</v>
      </c>
      <c r="F670" s="28" t="s">
        <v>11</v>
      </c>
      <c r="G670" s="28" t="s">
        <v>11</v>
      </c>
      <c r="H670" s="254"/>
      <c r="I670" s="49">
        <v>1</v>
      </c>
      <c r="J670" s="49">
        <v>1</v>
      </c>
      <c r="K670" s="52">
        <f t="shared" si="104"/>
        <v>1</v>
      </c>
      <c r="L670" s="209">
        <f t="shared" si="105"/>
        <v>0</v>
      </c>
      <c r="M670" s="210">
        <f t="shared" si="106"/>
        <v>0</v>
      </c>
      <c r="N670" s="26">
        <v>45194</v>
      </c>
      <c r="O670" s="26">
        <v>45194</v>
      </c>
      <c r="P670" s="26">
        <v>45194</v>
      </c>
      <c r="Q670" s="2">
        <f t="shared" si="100"/>
        <v>1</v>
      </c>
      <c r="S670" s="7">
        <f t="shared" si="107"/>
        <v>1</v>
      </c>
      <c r="T670" s="157">
        <f t="shared" si="108"/>
        <v>1</v>
      </c>
      <c r="V670" s="191">
        <f t="shared" si="101"/>
        <v>9</v>
      </c>
      <c r="W670" s="7">
        <f t="shared" si="102"/>
        <v>2023</v>
      </c>
    </row>
    <row r="671" spans="1:23" ht="31.95" customHeight="1" thickBot="1" x14ac:dyDescent="0.35">
      <c r="A671" s="15">
        <f t="shared" si="103"/>
        <v>1</v>
      </c>
      <c r="B671" s="26">
        <v>45174</v>
      </c>
      <c r="C671" s="51">
        <f t="shared" si="109"/>
        <v>667</v>
      </c>
      <c r="D671" s="27" t="s">
        <v>705</v>
      </c>
      <c r="E671" s="26" t="s">
        <v>11</v>
      </c>
      <c r="F671" s="28" t="s">
        <v>11</v>
      </c>
      <c r="G671" s="28" t="s">
        <v>11</v>
      </c>
      <c r="H671" s="254"/>
      <c r="I671" s="49">
        <v>1</v>
      </c>
      <c r="J671" s="49">
        <v>1</v>
      </c>
      <c r="K671" s="52">
        <f t="shared" si="104"/>
        <v>1</v>
      </c>
      <c r="L671" s="209">
        <f t="shared" si="105"/>
        <v>0</v>
      </c>
      <c r="M671" s="210">
        <f t="shared" si="106"/>
        <v>0</v>
      </c>
      <c r="N671" s="26">
        <v>45174</v>
      </c>
      <c r="O671" s="26">
        <v>45174</v>
      </c>
      <c r="P671" s="26">
        <v>45174</v>
      </c>
      <c r="Q671" s="2">
        <f t="shared" si="100"/>
        <v>1</v>
      </c>
      <c r="S671" s="7">
        <f t="shared" si="107"/>
        <v>1</v>
      </c>
      <c r="T671" s="157">
        <f t="shared" si="108"/>
        <v>1</v>
      </c>
      <c r="V671" s="191">
        <f t="shared" si="101"/>
        <v>9</v>
      </c>
      <c r="W671" s="7">
        <f t="shared" si="102"/>
        <v>2023</v>
      </c>
    </row>
    <row r="672" spans="1:23" ht="31.95" customHeight="1" thickBot="1" x14ac:dyDescent="0.35">
      <c r="A672" s="15">
        <f t="shared" si="103"/>
        <v>1</v>
      </c>
      <c r="B672" s="26">
        <v>45174</v>
      </c>
      <c r="C672" s="51">
        <f t="shared" si="109"/>
        <v>668</v>
      </c>
      <c r="D672" s="27" t="s">
        <v>858</v>
      </c>
      <c r="E672" s="26" t="s">
        <v>11</v>
      </c>
      <c r="F672" s="28" t="s">
        <v>11</v>
      </c>
      <c r="G672" s="28" t="s">
        <v>11</v>
      </c>
      <c r="H672" s="254"/>
      <c r="I672" s="49">
        <v>1</v>
      </c>
      <c r="J672" s="49">
        <v>1</v>
      </c>
      <c r="K672" s="52">
        <f t="shared" si="104"/>
        <v>1</v>
      </c>
      <c r="L672" s="209">
        <f t="shared" si="105"/>
        <v>0</v>
      </c>
      <c r="M672" s="210">
        <f t="shared" si="106"/>
        <v>0</v>
      </c>
      <c r="N672" s="26">
        <v>45174</v>
      </c>
      <c r="O672" s="26">
        <v>45174</v>
      </c>
      <c r="P672" s="26">
        <v>45174</v>
      </c>
      <c r="Q672" s="2">
        <f t="shared" si="100"/>
        <v>1</v>
      </c>
      <c r="S672" s="7">
        <f t="shared" si="107"/>
        <v>1</v>
      </c>
      <c r="T672" s="157">
        <f t="shared" si="108"/>
        <v>1</v>
      </c>
      <c r="V672" s="191">
        <f t="shared" si="101"/>
        <v>9</v>
      </c>
      <c r="W672" s="7">
        <f t="shared" si="102"/>
        <v>2023</v>
      </c>
    </row>
    <row r="673" spans="1:23" ht="31.95" customHeight="1" thickBot="1" x14ac:dyDescent="0.35">
      <c r="A673" s="15">
        <f t="shared" si="103"/>
        <v>6</v>
      </c>
      <c r="B673" s="26">
        <v>45174</v>
      </c>
      <c r="C673" s="51">
        <f t="shared" si="109"/>
        <v>669</v>
      </c>
      <c r="D673" s="27" t="s">
        <v>305</v>
      </c>
      <c r="E673" s="26" t="s">
        <v>11</v>
      </c>
      <c r="F673" s="28" t="s">
        <v>11</v>
      </c>
      <c r="G673" s="28" t="s">
        <v>11</v>
      </c>
      <c r="H673" s="254"/>
      <c r="I673" s="49">
        <v>6</v>
      </c>
      <c r="J673" s="49">
        <v>6</v>
      </c>
      <c r="K673" s="52">
        <f t="shared" si="104"/>
        <v>1</v>
      </c>
      <c r="L673" s="209">
        <f t="shared" si="105"/>
        <v>0</v>
      </c>
      <c r="M673" s="210">
        <f t="shared" si="106"/>
        <v>0</v>
      </c>
      <c r="N673" s="26">
        <v>45174</v>
      </c>
      <c r="O673" s="26">
        <v>45174</v>
      </c>
      <c r="P673" s="26">
        <v>45174</v>
      </c>
      <c r="Q673" s="2">
        <f t="shared" si="100"/>
        <v>1</v>
      </c>
      <c r="S673" s="7">
        <f t="shared" si="107"/>
        <v>1</v>
      </c>
      <c r="T673" s="157">
        <f t="shared" si="108"/>
        <v>1</v>
      </c>
      <c r="V673" s="191">
        <f t="shared" si="101"/>
        <v>9</v>
      </c>
      <c r="W673" s="7">
        <f t="shared" si="102"/>
        <v>2023</v>
      </c>
    </row>
    <row r="674" spans="1:23" ht="31.95" customHeight="1" thickBot="1" x14ac:dyDescent="0.35">
      <c r="A674" s="15">
        <f t="shared" si="103"/>
        <v>1</v>
      </c>
      <c r="B674" s="26">
        <v>45174</v>
      </c>
      <c r="C674" s="51">
        <f t="shared" si="109"/>
        <v>670</v>
      </c>
      <c r="D674" s="27" t="s">
        <v>1150</v>
      </c>
      <c r="E674" s="26" t="s">
        <v>122</v>
      </c>
      <c r="F674" s="28" t="s">
        <v>11</v>
      </c>
      <c r="G674" s="28" t="s">
        <v>11</v>
      </c>
      <c r="H674" s="254"/>
      <c r="I674" s="49">
        <v>1</v>
      </c>
      <c r="J674" s="49">
        <v>1</v>
      </c>
      <c r="K674" s="52">
        <f t="shared" si="104"/>
        <v>1</v>
      </c>
      <c r="L674" s="209">
        <f t="shared" si="105"/>
        <v>0</v>
      </c>
      <c r="M674" s="210">
        <f t="shared" si="106"/>
        <v>0</v>
      </c>
      <c r="N674" s="26">
        <v>45175</v>
      </c>
      <c r="O674" s="26">
        <v>45175</v>
      </c>
      <c r="P674" s="26">
        <v>45175</v>
      </c>
      <c r="Q674" s="2">
        <f t="shared" si="100"/>
        <v>1</v>
      </c>
      <c r="S674" s="7">
        <f t="shared" si="107"/>
        <v>1</v>
      </c>
      <c r="T674" s="157">
        <f t="shared" si="108"/>
        <v>1</v>
      </c>
      <c r="V674" s="191">
        <f t="shared" si="101"/>
        <v>9</v>
      </c>
      <c r="W674" s="7">
        <f t="shared" si="102"/>
        <v>2023</v>
      </c>
    </row>
    <row r="675" spans="1:23" ht="31.95" customHeight="1" thickBot="1" x14ac:dyDescent="0.35">
      <c r="A675" s="15">
        <f t="shared" si="103"/>
        <v>1</v>
      </c>
      <c r="B675" s="26">
        <v>45175</v>
      </c>
      <c r="C675" s="51">
        <f t="shared" si="109"/>
        <v>671</v>
      </c>
      <c r="D675" s="27" t="s">
        <v>524</v>
      </c>
      <c r="E675" s="26" t="s">
        <v>114</v>
      </c>
      <c r="F675" s="28" t="s">
        <v>11</v>
      </c>
      <c r="G675" s="28" t="s">
        <v>11</v>
      </c>
      <c r="H675" s="254"/>
      <c r="I675" s="49">
        <v>1</v>
      </c>
      <c r="J675" s="49">
        <v>1</v>
      </c>
      <c r="K675" s="52">
        <f t="shared" si="104"/>
        <v>1</v>
      </c>
      <c r="L675" s="209">
        <f t="shared" si="105"/>
        <v>0</v>
      </c>
      <c r="M675" s="210">
        <f t="shared" si="106"/>
        <v>0</v>
      </c>
      <c r="N675" s="26">
        <v>45175</v>
      </c>
      <c r="O675" s="26">
        <v>45175</v>
      </c>
      <c r="P675" s="26">
        <v>45175</v>
      </c>
      <c r="Q675" s="2">
        <f t="shared" si="100"/>
        <v>1</v>
      </c>
      <c r="S675" s="7">
        <f t="shared" si="107"/>
        <v>1</v>
      </c>
      <c r="T675" s="157">
        <f t="shared" si="108"/>
        <v>1</v>
      </c>
      <c r="V675" s="191">
        <f t="shared" si="101"/>
        <v>9</v>
      </c>
      <c r="W675" s="7">
        <f t="shared" si="102"/>
        <v>2023</v>
      </c>
    </row>
    <row r="676" spans="1:23" ht="31.95" customHeight="1" thickBot="1" x14ac:dyDescent="0.35">
      <c r="A676" s="15">
        <f t="shared" si="103"/>
        <v>6</v>
      </c>
      <c r="B676" s="26">
        <v>45175</v>
      </c>
      <c r="C676" s="51">
        <f t="shared" si="109"/>
        <v>672</v>
      </c>
      <c r="D676" s="27" t="s">
        <v>594</v>
      </c>
      <c r="E676" s="26" t="s">
        <v>121</v>
      </c>
      <c r="F676" s="28" t="s">
        <v>11</v>
      </c>
      <c r="G676" s="28" t="s">
        <v>11</v>
      </c>
      <c r="H676" s="254"/>
      <c r="I676" s="49">
        <v>6</v>
      </c>
      <c r="J676" s="49">
        <v>6</v>
      </c>
      <c r="K676" s="52">
        <f t="shared" si="104"/>
        <v>1</v>
      </c>
      <c r="L676" s="209">
        <f t="shared" si="105"/>
        <v>0</v>
      </c>
      <c r="M676" s="210">
        <f t="shared" si="106"/>
        <v>0</v>
      </c>
      <c r="N676" s="26">
        <v>45182</v>
      </c>
      <c r="O676" s="26">
        <v>45182</v>
      </c>
      <c r="P676" s="26">
        <v>45182</v>
      </c>
      <c r="Q676" s="2">
        <f t="shared" si="100"/>
        <v>1</v>
      </c>
      <c r="S676" s="7">
        <f t="shared" si="107"/>
        <v>1</v>
      </c>
      <c r="T676" s="157">
        <f t="shared" si="108"/>
        <v>1</v>
      </c>
      <c r="V676" s="191">
        <f t="shared" si="101"/>
        <v>9</v>
      </c>
      <c r="W676" s="7">
        <f t="shared" si="102"/>
        <v>2023</v>
      </c>
    </row>
    <row r="677" spans="1:23" ht="31.95" customHeight="1" thickBot="1" x14ac:dyDescent="0.35">
      <c r="A677" s="15">
        <f t="shared" si="103"/>
        <v>2</v>
      </c>
      <c r="B677" s="26">
        <v>45175</v>
      </c>
      <c r="C677" s="51">
        <f t="shared" si="109"/>
        <v>673</v>
      </c>
      <c r="D677" s="27" t="s">
        <v>890</v>
      </c>
      <c r="E677" s="26" t="s">
        <v>121</v>
      </c>
      <c r="F677" s="28" t="s">
        <v>11</v>
      </c>
      <c r="G677" s="28" t="s">
        <v>11</v>
      </c>
      <c r="H677" s="254"/>
      <c r="I677" s="49">
        <v>2</v>
      </c>
      <c r="J677" s="49">
        <v>2</v>
      </c>
      <c r="K677" s="52">
        <f t="shared" si="104"/>
        <v>1</v>
      </c>
      <c r="L677" s="209">
        <f t="shared" si="105"/>
        <v>0</v>
      </c>
      <c r="M677" s="210">
        <f t="shared" si="106"/>
        <v>0</v>
      </c>
      <c r="N677" s="26">
        <v>45198</v>
      </c>
      <c r="O677" s="26">
        <v>45198</v>
      </c>
      <c r="P677" s="26">
        <v>45198</v>
      </c>
      <c r="Q677" s="2">
        <f t="shared" si="100"/>
        <v>1</v>
      </c>
      <c r="S677" s="7">
        <f t="shared" si="107"/>
        <v>1</v>
      </c>
      <c r="T677" s="157">
        <f t="shared" si="108"/>
        <v>1</v>
      </c>
      <c r="V677" s="191">
        <f t="shared" si="101"/>
        <v>9</v>
      </c>
      <c r="W677" s="7">
        <f t="shared" si="102"/>
        <v>2023</v>
      </c>
    </row>
    <row r="678" spans="1:23" ht="31.95" customHeight="1" thickBot="1" x14ac:dyDescent="0.35">
      <c r="A678" s="15">
        <f t="shared" si="103"/>
        <v>5</v>
      </c>
      <c r="B678" s="26">
        <v>45175</v>
      </c>
      <c r="C678" s="51">
        <f t="shared" si="109"/>
        <v>674</v>
      </c>
      <c r="D678" s="27" t="s">
        <v>524</v>
      </c>
      <c r="E678" s="26" t="s">
        <v>121</v>
      </c>
      <c r="F678" s="28" t="s">
        <v>11</v>
      </c>
      <c r="G678" s="28" t="s">
        <v>11</v>
      </c>
      <c r="H678" s="254"/>
      <c r="I678" s="49">
        <v>5</v>
      </c>
      <c r="J678" s="49">
        <v>5</v>
      </c>
      <c r="K678" s="52">
        <f t="shared" si="104"/>
        <v>1</v>
      </c>
      <c r="L678" s="209">
        <f t="shared" si="105"/>
        <v>0</v>
      </c>
      <c r="M678" s="210">
        <f t="shared" si="106"/>
        <v>0</v>
      </c>
      <c r="N678" s="26">
        <v>45182</v>
      </c>
      <c r="O678" s="26">
        <v>45182</v>
      </c>
      <c r="P678" s="26">
        <v>45182</v>
      </c>
      <c r="Q678" s="2">
        <f t="shared" si="100"/>
        <v>1</v>
      </c>
      <c r="S678" s="7">
        <f t="shared" si="107"/>
        <v>1</v>
      </c>
      <c r="T678" s="157">
        <f t="shared" si="108"/>
        <v>1</v>
      </c>
      <c r="V678" s="191">
        <f t="shared" si="101"/>
        <v>9</v>
      </c>
      <c r="W678" s="7">
        <f t="shared" si="102"/>
        <v>2023</v>
      </c>
    </row>
    <row r="679" spans="1:23" ht="31.95" customHeight="1" thickBot="1" x14ac:dyDescent="0.35">
      <c r="A679" s="15">
        <f t="shared" si="103"/>
        <v>1</v>
      </c>
      <c r="B679" s="26">
        <v>45180</v>
      </c>
      <c r="C679" s="51">
        <f t="shared" si="109"/>
        <v>675</v>
      </c>
      <c r="D679" s="27" t="s">
        <v>858</v>
      </c>
      <c r="E679" s="26" t="s">
        <v>11</v>
      </c>
      <c r="F679" s="28" t="s">
        <v>11</v>
      </c>
      <c r="G679" s="28" t="s">
        <v>11</v>
      </c>
      <c r="H679" s="254"/>
      <c r="I679" s="49">
        <v>1</v>
      </c>
      <c r="J679" s="49">
        <v>1</v>
      </c>
      <c r="K679" s="52">
        <f t="shared" si="104"/>
        <v>1</v>
      </c>
      <c r="L679" s="209">
        <f t="shared" si="105"/>
        <v>0</v>
      </c>
      <c r="M679" s="210">
        <f t="shared" si="106"/>
        <v>0</v>
      </c>
      <c r="N679" s="26">
        <v>45180</v>
      </c>
      <c r="O679" s="26">
        <v>45180</v>
      </c>
      <c r="P679" s="26">
        <v>45180</v>
      </c>
      <c r="Q679" s="2">
        <f t="shared" si="100"/>
        <v>1</v>
      </c>
      <c r="S679" s="7">
        <f t="shared" si="107"/>
        <v>1</v>
      </c>
      <c r="T679" s="157">
        <f t="shared" si="108"/>
        <v>1</v>
      </c>
      <c r="V679" s="191">
        <f t="shared" si="101"/>
        <v>9</v>
      </c>
      <c r="W679" s="7">
        <f t="shared" si="102"/>
        <v>2023</v>
      </c>
    </row>
    <row r="680" spans="1:23" ht="31.95" customHeight="1" thickBot="1" x14ac:dyDescent="0.35">
      <c r="A680" s="15">
        <f t="shared" si="103"/>
        <v>7</v>
      </c>
      <c r="B680" s="26">
        <v>45180</v>
      </c>
      <c r="C680" s="51">
        <f t="shared" si="109"/>
        <v>676</v>
      </c>
      <c r="D680" s="27" t="s">
        <v>305</v>
      </c>
      <c r="E680" s="26" t="s">
        <v>11</v>
      </c>
      <c r="F680" s="28" t="s">
        <v>11</v>
      </c>
      <c r="G680" s="28" t="s">
        <v>11</v>
      </c>
      <c r="H680" s="254"/>
      <c r="I680" s="49">
        <v>7</v>
      </c>
      <c r="J680" s="49">
        <v>7</v>
      </c>
      <c r="K680" s="52">
        <f t="shared" si="104"/>
        <v>1</v>
      </c>
      <c r="L680" s="209">
        <f t="shared" si="105"/>
        <v>0</v>
      </c>
      <c r="M680" s="210">
        <f t="shared" si="106"/>
        <v>0</v>
      </c>
      <c r="N680" s="26">
        <v>45180</v>
      </c>
      <c r="O680" s="26">
        <v>45180</v>
      </c>
      <c r="P680" s="26">
        <v>45180</v>
      </c>
      <c r="Q680" s="2">
        <f t="shared" si="100"/>
        <v>1</v>
      </c>
      <c r="S680" s="7">
        <f t="shared" si="107"/>
        <v>1</v>
      </c>
      <c r="T680" s="157">
        <f t="shared" si="108"/>
        <v>1</v>
      </c>
      <c r="V680" s="191">
        <f t="shared" si="101"/>
        <v>9</v>
      </c>
      <c r="W680" s="7">
        <f t="shared" si="102"/>
        <v>2023</v>
      </c>
    </row>
    <row r="681" spans="1:23" ht="31.95" customHeight="1" thickBot="1" x14ac:dyDescent="0.35">
      <c r="A681" s="15">
        <f t="shared" si="103"/>
        <v>1</v>
      </c>
      <c r="B681" s="26">
        <v>45181</v>
      </c>
      <c r="C681" s="51">
        <f t="shared" si="109"/>
        <v>677</v>
      </c>
      <c r="D681" s="27" t="s">
        <v>269</v>
      </c>
      <c r="E681" s="26" t="s">
        <v>11</v>
      </c>
      <c r="F681" s="28" t="s">
        <v>11</v>
      </c>
      <c r="G681" s="28" t="s">
        <v>11</v>
      </c>
      <c r="H681" s="254"/>
      <c r="I681" s="49">
        <v>1</v>
      </c>
      <c r="J681" s="49">
        <v>1</v>
      </c>
      <c r="K681" s="52">
        <f t="shared" si="104"/>
        <v>1</v>
      </c>
      <c r="L681" s="209">
        <f t="shared" si="105"/>
        <v>0</v>
      </c>
      <c r="M681" s="210">
        <f t="shared" si="106"/>
        <v>0</v>
      </c>
      <c r="N681" s="26">
        <v>45182</v>
      </c>
      <c r="O681" s="26">
        <v>45182</v>
      </c>
      <c r="P681" s="26">
        <v>45182</v>
      </c>
      <c r="Q681" s="2">
        <f t="shared" si="100"/>
        <v>1</v>
      </c>
      <c r="S681" s="7">
        <f t="shared" si="107"/>
        <v>1</v>
      </c>
      <c r="T681" s="157">
        <f t="shared" si="108"/>
        <v>1</v>
      </c>
      <c r="V681" s="191">
        <f t="shared" si="101"/>
        <v>9</v>
      </c>
      <c r="W681" s="7">
        <f t="shared" si="102"/>
        <v>2023</v>
      </c>
    </row>
    <row r="682" spans="1:23" ht="31.95" customHeight="1" thickBot="1" x14ac:dyDescent="0.35">
      <c r="A682" s="15">
        <f t="shared" si="103"/>
        <v>5</v>
      </c>
      <c r="B682" s="26">
        <v>45181</v>
      </c>
      <c r="C682" s="51">
        <f t="shared" si="109"/>
        <v>678</v>
      </c>
      <c r="D682" s="27" t="s">
        <v>858</v>
      </c>
      <c r="E682" s="26" t="s">
        <v>11</v>
      </c>
      <c r="F682" s="28" t="s">
        <v>11</v>
      </c>
      <c r="G682" s="28" t="s">
        <v>11</v>
      </c>
      <c r="H682" s="254"/>
      <c r="I682" s="49">
        <v>5</v>
      </c>
      <c r="J682" s="49">
        <v>5</v>
      </c>
      <c r="K682" s="52">
        <f t="shared" si="104"/>
        <v>1</v>
      </c>
      <c r="L682" s="209">
        <f t="shared" si="105"/>
        <v>0</v>
      </c>
      <c r="M682" s="210">
        <f t="shared" si="106"/>
        <v>0</v>
      </c>
      <c r="N682" s="26">
        <v>45181</v>
      </c>
      <c r="O682" s="26">
        <v>45181</v>
      </c>
      <c r="P682" s="26">
        <v>45181</v>
      </c>
      <c r="Q682" s="2">
        <f t="shared" si="100"/>
        <v>1</v>
      </c>
      <c r="S682" s="7">
        <f t="shared" si="107"/>
        <v>1</v>
      </c>
      <c r="T682" s="157">
        <f t="shared" si="108"/>
        <v>1</v>
      </c>
      <c r="V682" s="191">
        <f t="shared" si="101"/>
        <v>9</v>
      </c>
      <c r="W682" s="7">
        <f t="shared" si="102"/>
        <v>2023</v>
      </c>
    </row>
    <row r="683" spans="1:23" ht="31.95" customHeight="1" thickBot="1" x14ac:dyDescent="0.35">
      <c r="A683" s="15">
        <f t="shared" si="103"/>
        <v>1</v>
      </c>
      <c r="B683" s="26">
        <v>45181</v>
      </c>
      <c r="C683" s="51">
        <f t="shared" si="109"/>
        <v>679</v>
      </c>
      <c r="D683" s="27" t="s">
        <v>705</v>
      </c>
      <c r="E683" s="26" t="s">
        <v>11</v>
      </c>
      <c r="F683" s="28" t="s">
        <v>11</v>
      </c>
      <c r="G683" s="28" t="s">
        <v>11</v>
      </c>
      <c r="H683" s="254"/>
      <c r="I683" s="49">
        <v>1</v>
      </c>
      <c r="J683" s="49">
        <v>1</v>
      </c>
      <c r="K683" s="52">
        <f t="shared" si="104"/>
        <v>1</v>
      </c>
      <c r="L683" s="209">
        <f t="shared" si="105"/>
        <v>0</v>
      </c>
      <c r="M683" s="210">
        <f t="shared" si="106"/>
        <v>0</v>
      </c>
      <c r="N683" s="26">
        <v>45181</v>
      </c>
      <c r="O683" s="26">
        <v>45181</v>
      </c>
      <c r="P683" s="26">
        <v>45181</v>
      </c>
      <c r="Q683" s="2">
        <f t="shared" si="100"/>
        <v>1</v>
      </c>
      <c r="S683" s="7">
        <f t="shared" si="107"/>
        <v>1</v>
      </c>
      <c r="T683" s="157">
        <f t="shared" si="108"/>
        <v>1</v>
      </c>
      <c r="V683" s="191">
        <f t="shared" si="101"/>
        <v>9</v>
      </c>
      <c r="W683" s="7">
        <f t="shared" si="102"/>
        <v>2023</v>
      </c>
    </row>
    <row r="684" spans="1:23" ht="31.95" customHeight="1" thickBot="1" x14ac:dyDescent="0.35">
      <c r="A684" s="15">
        <f t="shared" si="103"/>
        <v>4</v>
      </c>
      <c r="B684" s="26">
        <v>45181</v>
      </c>
      <c r="C684" s="51">
        <f t="shared" si="109"/>
        <v>680</v>
      </c>
      <c r="D684" s="27" t="s">
        <v>305</v>
      </c>
      <c r="E684" s="26" t="s">
        <v>11</v>
      </c>
      <c r="F684" s="28" t="s">
        <v>11</v>
      </c>
      <c r="G684" s="28" t="s">
        <v>11</v>
      </c>
      <c r="H684" s="254"/>
      <c r="I684" s="49">
        <v>4</v>
      </c>
      <c r="J684" s="49">
        <v>4</v>
      </c>
      <c r="K684" s="52">
        <f t="shared" si="104"/>
        <v>1</v>
      </c>
      <c r="L684" s="209">
        <f t="shared" si="105"/>
        <v>0</v>
      </c>
      <c r="M684" s="210">
        <f t="shared" si="106"/>
        <v>0</v>
      </c>
      <c r="N684" s="26">
        <v>45181</v>
      </c>
      <c r="O684" s="26">
        <v>45181</v>
      </c>
      <c r="P684" s="26">
        <v>45181</v>
      </c>
      <c r="Q684" s="2">
        <f t="shared" si="100"/>
        <v>1</v>
      </c>
      <c r="S684" s="7">
        <f t="shared" si="107"/>
        <v>1</v>
      </c>
      <c r="T684" s="157">
        <f t="shared" si="108"/>
        <v>1</v>
      </c>
      <c r="V684" s="191">
        <f t="shared" si="101"/>
        <v>9</v>
      </c>
      <c r="W684" s="7">
        <f t="shared" si="102"/>
        <v>2023</v>
      </c>
    </row>
    <row r="685" spans="1:23" ht="31.95" customHeight="1" thickBot="1" x14ac:dyDescent="0.35">
      <c r="A685" s="15">
        <f t="shared" si="103"/>
        <v>14</v>
      </c>
      <c r="B685" s="26">
        <v>45182</v>
      </c>
      <c r="C685" s="51">
        <f t="shared" si="109"/>
        <v>681</v>
      </c>
      <c r="D685" s="27" t="s">
        <v>269</v>
      </c>
      <c r="E685" s="26" t="s">
        <v>123</v>
      </c>
      <c r="F685" s="28" t="s">
        <v>11</v>
      </c>
      <c r="G685" s="28" t="s">
        <v>11</v>
      </c>
      <c r="H685" s="254"/>
      <c r="I685" s="49">
        <v>14</v>
      </c>
      <c r="J685" s="49">
        <v>14</v>
      </c>
      <c r="K685" s="52">
        <f t="shared" si="104"/>
        <v>1</v>
      </c>
      <c r="L685" s="209">
        <f t="shared" si="105"/>
        <v>0</v>
      </c>
      <c r="M685" s="210">
        <f t="shared" si="106"/>
        <v>0</v>
      </c>
      <c r="N685" s="26">
        <v>45182</v>
      </c>
      <c r="O685" s="26">
        <v>45182</v>
      </c>
      <c r="P685" s="26">
        <v>45182</v>
      </c>
      <c r="Q685" s="2">
        <f t="shared" si="100"/>
        <v>1</v>
      </c>
      <c r="S685" s="7">
        <f t="shared" si="107"/>
        <v>1</v>
      </c>
      <c r="T685" s="157">
        <f t="shared" si="108"/>
        <v>1</v>
      </c>
      <c r="V685" s="191">
        <f t="shared" si="101"/>
        <v>9</v>
      </c>
      <c r="W685" s="7">
        <f t="shared" si="102"/>
        <v>2023</v>
      </c>
    </row>
    <row r="686" spans="1:23" ht="31.95" customHeight="1" thickBot="1" x14ac:dyDescent="0.35">
      <c r="A686" s="15">
        <f t="shared" si="103"/>
        <v>1</v>
      </c>
      <c r="B686" s="26">
        <v>45182</v>
      </c>
      <c r="C686" s="51">
        <f t="shared" si="109"/>
        <v>682</v>
      </c>
      <c r="D686" s="27" t="s">
        <v>305</v>
      </c>
      <c r="E686" s="26" t="s">
        <v>123</v>
      </c>
      <c r="F686" s="28" t="s">
        <v>11</v>
      </c>
      <c r="G686" s="28" t="s">
        <v>11</v>
      </c>
      <c r="H686" s="254"/>
      <c r="I686" s="49">
        <v>1</v>
      </c>
      <c r="J686" s="49">
        <v>1</v>
      </c>
      <c r="K686" s="52">
        <f t="shared" si="104"/>
        <v>1</v>
      </c>
      <c r="L686" s="209">
        <f t="shared" si="105"/>
        <v>0</v>
      </c>
      <c r="M686" s="210">
        <f t="shared" si="106"/>
        <v>0</v>
      </c>
      <c r="N686" s="26">
        <v>45182</v>
      </c>
      <c r="O686" s="26">
        <v>45182</v>
      </c>
      <c r="P686" s="26">
        <v>45182</v>
      </c>
      <c r="Q686" s="2">
        <f t="shared" si="100"/>
        <v>1</v>
      </c>
      <c r="S686" s="7">
        <f t="shared" si="107"/>
        <v>1</v>
      </c>
      <c r="T686" s="157">
        <f t="shared" si="108"/>
        <v>1</v>
      </c>
      <c r="V686" s="191">
        <f t="shared" si="101"/>
        <v>9</v>
      </c>
      <c r="W686" s="7">
        <f t="shared" si="102"/>
        <v>2023</v>
      </c>
    </row>
    <row r="687" spans="1:23" ht="31.95" customHeight="1" thickBot="1" x14ac:dyDescent="0.35">
      <c r="A687" s="15">
        <f t="shared" si="103"/>
        <v>2</v>
      </c>
      <c r="B687" s="26">
        <v>45183</v>
      </c>
      <c r="C687" s="51">
        <f t="shared" si="109"/>
        <v>683</v>
      </c>
      <c r="D687" s="27" t="s">
        <v>953</v>
      </c>
      <c r="E687" s="26" t="s">
        <v>123</v>
      </c>
      <c r="F687" s="28" t="s">
        <v>11</v>
      </c>
      <c r="G687" s="28" t="s">
        <v>11</v>
      </c>
      <c r="H687" s="254"/>
      <c r="I687" s="49">
        <v>2</v>
      </c>
      <c r="J687" s="49">
        <v>2</v>
      </c>
      <c r="K687" s="52">
        <f t="shared" si="104"/>
        <v>1</v>
      </c>
      <c r="L687" s="209">
        <f t="shared" si="105"/>
        <v>0</v>
      </c>
      <c r="M687" s="210">
        <f t="shared" si="106"/>
        <v>0</v>
      </c>
      <c r="N687" s="26">
        <v>45182</v>
      </c>
      <c r="O687" s="26">
        <v>45182</v>
      </c>
      <c r="P687" s="26">
        <v>45182</v>
      </c>
      <c r="Q687" s="2">
        <f t="shared" si="100"/>
        <v>1</v>
      </c>
      <c r="S687" s="7">
        <f t="shared" si="107"/>
        <v>1</v>
      </c>
      <c r="T687" s="157">
        <f t="shared" si="108"/>
        <v>1</v>
      </c>
      <c r="V687" s="191">
        <f t="shared" si="101"/>
        <v>9</v>
      </c>
      <c r="W687" s="7">
        <f t="shared" si="102"/>
        <v>2023</v>
      </c>
    </row>
    <row r="688" spans="1:23" ht="31.95" customHeight="1" thickBot="1" x14ac:dyDescent="0.35">
      <c r="A688" s="15">
        <f t="shared" si="103"/>
        <v>4</v>
      </c>
      <c r="B688" s="26">
        <v>45184</v>
      </c>
      <c r="C688" s="51">
        <f t="shared" si="109"/>
        <v>684</v>
      </c>
      <c r="D688" s="27" t="s">
        <v>305</v>
      </c>
      <c r="E688" s="26" t="s">
        <v>11</v>
      </c>
      <c r="F688" s="28" t="s">
        <v>11</v>
      </c>
      <c r="G688" s="28" t="s">
        <v>11</v>
      </c>
      <c r="H688" s="254"/>
      <c r="I688" s="49">
        <v>4</v>
      </c>
      <c r="J688" s="49">
        <v>4</v>
      </c>
      <c r="K688" s="52">
        <f t="shared" si="104"/>
        <v>1</v>
      </c>
      <c r="L688" s="209">
        <f t="shared" si="105"/>
        <v>0</v>
      </c>
      <c r="M688" s="210">
        <f t="shared" si="106"/>
        <v>0</v>
      </c>
      <c r="N688" s="26">
        <v>45184</v>
      </c>
      <c r="O688" s="26">
        <v>45184</v>
      </c>
      <c r="P688" s="26">
        <v>45184</v>
      </c>
      <c r="Q688" s="2">
        <f t="shared" si="100"/>
        <v>1</v>
      </c>
      <c r="S688" s="7">
        <f t="shared" si="107"/>
        <v>1</v>
      </c>
      <c r="T688" s="157">
        <f t="shared" si="108"/>
        <v>1</v>
      </c>
      <c r="V688" s="191">
        <f t="shared" si="101"/>
        <v>9</v>
      </c>
      <c r="W688" s="7">
        <f t="shared" si="102"/>
        <v>2023</v>
      </c>
    </row>
    <row r="689" spans="1:23" ht="31.95" customHeight="1" thickBot="1" x14ac:dyDescent="0.35">
      <c r="A689" s="15">
        <f t="shared" si="103"/>
        <v>1</v>
      </c>
      <c r="B689" s="26">
        <v>45184</v>
      </c>
      <c r="C689" s="51">
        <f t="shared" si="109"/>
        <v>685</v>
      </c>
      <c r="D689" s="27" t="s">
        <v>705</v>
      </c>
      <c r="E689" s="26" t="s">
        <v>11</v>
      </c>
      <c r="F689" s="28" t="s">
        <v>11</v>
      </c>
      <c r="G689" s="28" t="s">
        <v>11</v>
      </c>
      <c r="H689" s="254"/>
      <c r="I689" s="49">
        <v>1</v>
      </c>
      <c r="J689" s="49">
        <v>1</v>
      </c>
      <c r="K689" s="52">
        <f t="shared" si="104"/>
        <v>1</v>
      </c>
      <c r="L689" s="209">
        <f t="shared" si="105"/>
        <v>0</v>
      </c>
      <c r="M689" s="210">
        <f t="shared" si="106"/>
        <v>0</v>
      </c>
      <c r="N689" s="26">
        <v>45184</v>
      </c>
      <c r="O689" s="26">
        <v>45184</v>
      </c>
      <c r="P689" s="26">
        <v>45184</v>
      </c>
      <c r="Q689" s="2">
        <f t="shared" si="100"/>
        <v>1</v>
      </c>
      <c r="S689" s="7">
        <f t="shared" si="107"/>
        <v>1</v>
      </c>
      <c r="T689" s="157">
        <f t="shared" si="108"/>
        <v>1</v>
      </c>
      <c r="V689" s="191">
        <f t="shared" si="101"/>
        <v>9</v>
      </c>
      <c r="W689" s="7">
        <f t="shared" si="102"/>
        <v>2023</v>
      </c>
    </row>
    <row r="690" spans="1:23" ht="31.95" customHeight="1" thickBot="1" x14ac:dyDescent="0.35">
      <c r="A690" s="15">
        <f t="shared" si="103"/>
        <v>1</v>
      </c>
      <c r="B690" s="26">
        <v>45187</v>
      </c>
      <c r="C690" s="51">
        <f t="shared" si="109"/>
        <v>686</v>
      </c>
      <c r="D690" s="27" t="s">
        <v>978</v>
      </c>
      <c r="E690" s="26" t="s">
        <v>124</v>
      </c>
      <c r="F690" s="28" t="s">
        <v>11</v>
      </c>
      <c r="G690" s="28" t="s">
        <v>11</v>
      </c>
      <c r="H690" s="254"/>
      <c r="I690" s="49">
        <v>1</v>
      </c>
      <c r="J690" s="49">
        <v>1</v>
      </c>
      <c r="K690" s="52">
        <f t="shared" si="104"/>
        <v>1</v>
      </c>
      <c r="L690" s="209">
        <f t="shared" si="105"/>
        <v>0</v>
      </c>
      <c r="M690" s="210">
        <f t="shared" si="106"/>
        <v>0</v>
      </c>
      <c r="N690" s="26">
        <v>45187</v>
      </c>
      <c r="O690" s="26">
        <v>45187</v>
      </c>
      <c r="P690" s="26">
        <v>45187</v>
      </c>
      <c r="Q690" s="2">
        <f t="shared" si="100"/>
        <v>1</v>
      </c>
      <c r="S690" s="7">
        <f t="shared" si="107"/>
        <v>1</v>
      </c>
      <c r="T690" s="157">
        <f t="shared" si="108"/>
        <v>1</v>
      </c>
      <c r="V690" s="191">
        <f t="shared" si="101"/>
        <v>9</v>
      </c>
      <c r="W690" s="7">
        <f t="shared" si="102"/>
        <v>2023</v>
      </c>
    </row>
    <row r="691" spans="1:23" ht="31.95" customHeight="1" thickBot="1" x14ac:dyDescent="0.35">
      <c r="A691" s="15">
        <f t="shared" si="103"/>
        <v>4</v>
      </c>
      <c r="B691" s="26">
        <v>45187</v>
      </c>
      <c r="C691" s="51">
        <f t="shared" si="109"/>
        <v>687</v>
      </c>
      <c r="D691" s="27" t="s">
        <v>305</v>
      </c>
      <c r="E691" s="26" t="s">
        <v>11</v>
      </c>
      <c r="F691" s="28" t="s">
        <v>11</v>
      </c>
      <c r="G691" s="28" t="s">
        <v>11</v>
      </c>
      <c r="H691" s="254"/>
      <c r="I691" s="49">
        <v>4</v>
      </c>
      <c r="J691" s="49">
        <v>4</v>
      </c>
      <c r="K691" s="52">
        <f t="shared" si="104"/>
        <v>1</v>
      </c>
      <c r="L691" s="209">
        <f t="shared" si="105"/>
        <v>0</v>
      </c>
      <c r="M691" s="210">
        <f t="shared" si="106"/>
        <v>0</v>
      </c>
      <c r="N691" s="26">
        <v>45187</v>
      </c>
      <c r="O691" s="26">
        <v>45187</v>
      </c>
      <c r="P691" s="26">
        <v>45187</v>
      </c>
      <c r="Q691" s="2">
        <f t="shared" si="100"/>
        <v>1</v>
      </c>
      <c r="S691" s="7">
        <f t="shared" si="107"/>
        <v>1</v>
      </c>
      <c r="T691" s="157">
        <f t="shared" si="108"/>
        <v>1</v>
      </c>
      <c r="V691" s="191">
        <f t="shared" si="101"/>
        <v>9</v>
      </c>
      <c r="W691" s="7">
        <f t="shared" si="102"/>
        <v>2023</v>
      </c>
    </row>
    <row r="692" spans="1:23" ht="31.95" customHeight="1" thickBot="1" x14ac:dyDescent="0.35">
      <c r="A692" s="15">
        <f t="shared" si="103"/>
        <v>2</v>
      </c>
      <c r="B692" s="26">
        <v>45188</v>
      </c>
      <c r="C692" s="51">
        <f t="shared" si="109"/>
        <v>688</v>
      </c>
      <c r="D692" s="27" t="s">
        <v>890</v>
      </c>
      <c r="E692" s="26" t="s">
        <v>124</v>
      </c>
      <c r="F692" s="28" t="s">
        <v>11</v>
      </c>
      <c r="G692" s="28" t="s">
        <v>11</v>
      </c>
      <c r="H692" s="254"/>
      <c r="I692" s="49">
        <v>2</v>
      </c>
      <c r="J692" s="49">
        <v>2</v>
      </c>
      <c r="K692" s="52">
        <f t="shared" si="104"/>
        <v>1</v>
      </c>
      <c r="L692" s="209">
        <f t="shared" si="105"/>
        <v>0</v>
      </c>
      <c r="M692" s="210">
        <f t="shared" si="106"/>
        <v>0</v>
      </c>
      <c r="N692" s="26">
        <v>45216</v>
      </c>
      <c r="O692" s="26">
        <v>45216</v>
      </c>
      <c r="P692" s="26">
        <v>45216</v>
      </c>
      <c r="Q692" s="2">
        <f t="shared" si="100"/>
        <v>1</v>
      </c>
      <c r="S692" s="7">
        <f t="shared" si="107"/>
        <v>1</v>
      </c>
      <c r="T692" s="157">
        <f t="shared" si="108"/>
        <v>1</v>
      </c>
      <c r="V692" s="191">
        <f t="shared" si="101"/>
        <v>9</v>
      </c>
      <c r="W692" s="7">
        <f t="shared" si="102"/>
        <v>2023</v>
      </c>
    </row>
    <row r="693" spans="1:23" ht="31.95" customHeight="1" thickBot="1" x14ac:dyDescent="0.35">
      <c r="A693" s="15">
        <f t="shared" si="103"/>
        <v>1</v>
      </c>
      <c r="B693" s="26">
        <v>45188</v>
      </c>
      <c r="C693" s="51">
        <f t="shared" si="109"/>
        <v>689</v>
      </c>
      <c r="D693" s="27" t="s">
        <v>269</v>
      </c>
      <c r="E693" s="26" t="s">
        <v>11</v>
      </c>
      <c r="F693" s="28" t="s">
        <v>11</v>
      </c>
      <c r="G693" s="28" t="s">
        <v>11</v>
      </c>
      <c r="H693" s="254"/>
      <c r="I693" s="49">
        <v>1</v>
      </c>
      <c r="J693" s="49">
        <v>1</v>
      </c>
      <c r="K693" s="52">
        <f t="shared" si="104"/>
        <v>1</v>
      </c>
      <c r="L693" s="209">
        <f t="shared" si="105"/>
        <v>0</v>
      </c>
      <c r="M693" s="210">
        <f t="shared" si="106"/>
        <v>0</v>
      </c>
      <c r="N693" s="26">
        <v>45188</v>
      </c>
      <c r="O693" s="26">
        <v>45188</v>
      </c>
      <c r="P693" s="26">
        <v>45188</v>
      </c>
      <c r="Q693" s="2">
        <f t="shared" si="100"/>
        <v>1</v>
      </c>
      <c r="S693" s="7">
        <f t="shared" si="107"/>
        <v>1</v>
      </c>
      <c r="T693" s="157">
        <f t="shared" si="108"/>
        <v>1</v>
      </c>
      <c r="V693" s="191">
        <f t="shared" si="101"/>
        <v>9</v>
      </c>
      <c r="W693" s="7">
        <f t="shared" si="102"/>
        <v>2023</v>
      </c>
    </row>
    <row r="694" spans="1:23" ht="31.95" customHeight="1" thickBot="1" x14ac:dyDescent="0.35">
      <c r="A694" s="15">
        <f t="shared" si="103"/>
        <v>2</v>
      </c>
      <c r="B694" s="26">
        <v>45188</v>
      </c>
      <c r="C694" s="51">
        <f t="shared" si="109"/>
        <v>690</v>
      </c>
      <c r="D694" s="27" t="s">
        <v>871</v>
      </c>
      <c r="E694" s="26" t="s">
        <v>124</v>
      </c>
      <c r="F694" s="28" t="s">
        <v>11</v>
      </c>
      <c r="G694" s="28" t="s">
        <v>11</v>
      </c>
      <c r="H694" s="254"/>
      <c r="I694" s="49">
        <v>2</v>
      </c>
      <c r="J694" s="49">
        <v>2</v>
      </c>
      <c r="K694" s="52">
        <f t="shared" si="104"/>
        <v>1</v>
      </c>
      <c r="L694" s="209">
        <f t="shared" si="105"/>
        <v>0</v>
      </c>
      <c r="M694" s="210">
        <f t="shared" si="106"/>
        <v>0</v>
      </c>
      <c r="N694" s="26">
        <v>45190</v>
      </c>
      <c r="O694" s="26">
        <v>45190</v>
      </c>
      <c r="P694" s="26">
        <v>45190</v>
      </c>
      <c r="Q694" s="2">
        <f t="shared" si="100"/>
        <v>1</v>
      </c>
      <c r="S694" s="7">
        <f t="shared" si="107"/>
        <v>1</v>
      </c>
      <c r="T694" s="157">
        <f t="shared" si="108"/>
        <v>1</v>
      </c>
      <c r="V694" s="191">
        <f t="shared" si="101"/>
        <v>9</v>
      </c>
      <c r="W694" s="7">
        <f t="shared" si="102"/>
        <v>2023</v>
      </c>
    </row>
    <row r="695" spans="1:23" ht="31.95" customHeight="1" thickBot="1" x14ac:dyDescent="0.35">
      <c r="A695" s="15">
        <f t="shared" si="103"/>
        <v>1</v>
      </c>
      <c r="B695" s="26">
        <v>45190</v>
      </c>
      <c r="C695" s="51">
        <f t="shared" si="109"/>
        <v>691</v>
      </c>
      <c r="D695" s="27" t="s">
        <v>1206</v>
      </c>
      <c r="E695" s="26" t="s">
        <v>112</v>
      </c>
      <c r="F695" s="28" t="s">
        <v>11</v>
      </c>
      <c r="G695" s="28" t="s">
        <v>11</v>
      </c>
      <c r="H695" s="254"/>
      <c r="I695" s="49">
        <v>1</v>
      </c>
      <c r="J695" s="49">
        <v>1</v>
      </c>
      <c r="K695" s="52">
        <f t="shared" si="104"/>
        <v>1</v>
      </c>
      <c r="L695" s="209">
        <f t="shared" si="105"/>
        <v>0</v>
      </c>
      <c r="M695" s="210">
        <f t="shared" si="106"/>
        <v>0</v>
      </c>
      <c r="N695" s="26">
        <v>45190</v>
      </c>
      <c r="O695" s="26">
        <v>45190</v>
      </c>
      <c r="P695" s="26">
        <v>45190</v>
      </c>
      <c r="Q695" s="2">
        <f t="shared" si="100"/>
        <v>1</v>
      </c>
      <c r="S695" s="7">
        <f t="shared" si="107"/>
        <v>1</v>
      </c>
      <c r="T695" s="157">
        <f t="shared" si="108"/>
        <v>1</v>
      </c>
      <c r="V695" s="191">
        <f t="shared" si="101"/>
        <v>9</v>
      </c>
      <c r="W695" s="7">
        <f t="shared" si="102"/>
        <v>2023</v>
      </c>
    </row>
    <row r="696" spans="1:23" ht="31.95" customHeight="1" thickBot="1" x14ac:dyDescent="0.35">
      <c r="A696" s="15">
        <f t="shared" si="103"/>
        <v>2</v>
      </c>
      <c r="B696" s="26">
        <v>45190</v>
      </c>
      <c r="C696" s="51">
        <f t="shared" si="109"/>
        <v>692</v>
      </c>
      <c r="D696" s="27" t="s">
        <v>1150</v>
      </c>
      <c r="E696" s="26" t="s">
        <v>125</v>
      </c>
      <c r="F696" s="28" t="s">
        <v>11</v>
      </c>
      <c r="G696" s="28" t="s">
        <v>11</v>
      </c>
      <c r="H696" s="254"/>
      <c r="I696" s="49">
        <v>2</v>
      </c>
      <c r="J696" s="49">
        <v>2</v>
      </c>
      <c r="K696" s="52">
        <f t="shared" si="104"/>
        <v>1</v>
      </c>
      <c r="L696" s="209">
        <f t="shared" si="105"/>
        <v>0</v>
      </c>
      <c r="M696" s="210">
        <f t="shared" si="106"/>
        <v>0</v>
      </c>
      <c r="N696" s="26">
        <v>45191</v>
      </c>
      <c r="O696" s="26">
        <v>45191</v>
      </c>
      <c r="P696" s="26">
        <v>45191</v>
      </c>
      <c r="Q696" s="2">
        <f t="shared" si="100"/>
        <v>1</v>
      </c>
      <c r="S696" s="7">
        <f t="shared" si="107"/>
        <v>1</v>
      </c>
      <c r="T696" s="157">
        <f t="shared" si="108"/>
        <v>1</v>
      </c>
      <c r="V696" s="191">
        <f t="shared" si="101"/>
        <v>9</v>
      </c>
      <c r="W696" s="7">
        <f t="shared" si="102"/>
        <v>2023</v>
      </c>
    </row>
    <row r="697" spans="1:23" ht="31.95" customHeight="1" thickBot="1" x14ac:dyDescent="0.35">
      <c r="A697" s="15">
        <f t="shared" si="103"/>
        <v>2</v>
      </c>
      <c r="B697" s="26">
        <v>45190</v>
      </c>
      <c r="C697" s="51">
        <f t="shared" si="109"/>
        <v>693</v>
      </c>
      <c r="D697" s="27" t="s">
        <v>890</v>
      </c>
      <c r="E697" s="26" t="s">
        <v>125</v>
      </c>
      <c r="F697" s="28" t="s">
        <v>11</v>
      </c>
      <c r="G697" s="28" t="s">
        <v>11</v>
      </c>
      <c r="H697" s="254"/>
      <c r="I697" s="49">
        <v>2</v>
      </c>
      <c r="J697" s="49">
        <v>2</v>
      </c>
      <c r="K697" s="52">
        <f t="shared" si="104"/>
        <v>1</v>
      </c>
      <c r="L697" s="209">
        <f t="shared" si="105"/>
        <v>0</v>
      </c>
      <c r="M697" s="210">
        <f t="shared" si="106"/>
        <v>0</v>
      </c>
      <c r="N697" s="26">
        <v>45202</v>
      </c>
      <c r="O697" s="26">
        <v>45202</v>
      </c>
      <c r="P697" s="26">
        <v>45202</v>
      </c>
      <c r="Q697" s="2">
        <f t="shared" si="100"/>
        <v>1</v>
      </c>
      <c r="S697" s="7">
        <f t="shared" si="107"/>
        <v>1</v>
      </c>
      <c r="T697" s="157">
        <f t="shared" si="108"/>
        <v>1</v>
      </c>
      <c r="V697" s="191">
        <f t="shared" si="101"/>
        <v>9</v>
      </c>
      <c r="W697" s="7">
        <f t="shared" si="102"/>
        <v>2023</v>
      </c>
    </row>
    <row r="698" spans="1:23" ht="31.95" customHeight="1" thickBot="1" x14ac:dyDescent="0.35">
      <c r="A698" s="15">
        <f t="shared" si="103"/>
        <v>1</v>
      </c>
      <c r="B698" s="26">
        <v>45190</v>
      </c>
      <c r="C698" s="51">
        <f t="shared" si="109"/>
        <v>694</v>
      </c>
      <c r="D698" s="27" t="s">
        <v>829</v>
      </c>
      <c r="E698" s="26" t="s">
        <v>125</v>
      </c>
      <c r="F698" s="28" t="s">
        <v>11</v>
      </c>
      <c r="G698" s="28" t="s">
        <v>11</v>
      </c>
      <c r="H698" s="254"/>
      <c r="I698" s="49">
        <v>1</v>
      </c>
      <c r="J698" s="49">
        <v>1</v>
      </c>
      <c r="K698" s="52">
        <f t="shared" si="104"/>
        <v>1</v>
      </c>
      <c r="L698" s="209">
        <f t="shared" si="105"/>
        <v>0</v>
      </c>
      <c r="M698" s="210">
        <f t="shared" si="106"/>
        <v>0</v>
      </c>
      <c r="N698" s="26">
        <v>45196</v>
      </c>
      <c r="O698" s="26">
        <v>45196</v>
      </c>
      <c r="P698" s="26">
        <v>45196</v>
      </c>
      <c r="Q698" s="2">
        <f t="shared" si="100"/>
        <v>1</v>
      </c>
      <c r="S698" s="7">
        <f t="shared" si="107"/>
        <v>1</v>
      </c>
      <c r="T698" s="157">
        <f t="shared" si="108"/>
        <v>1</v>
      </c>
      <c r="V698" s="191">
        <f t="shared" si="101"/>
        <v>9</v>
      </c>
      <c r="W698" s="7">
        <f t="shared" si="102"/>
        <v>2023</v>
      </c>
    </row>
    <row r="699" spans="1:23" ht="31.95" customHeight="1" thickBot="1" x14ac:dyDescent="0.35">
      <c r="A699" s="15">
        <f t="shared" si="103"/>
        <v>1</v>
      </c>
      <c r="B699" s="26">
        <v>45191</v>
      </c>
      <c r="C699" s="51">
        <f t="shared" si="109"/>
        <v>695</v>
      </c>
      <c r="D699" s="27" t="s">
        <v>863</v>
      </c>
      <c r="E699" s="26" t="s">
        <v>125</v>
      </c>
      <c r="F699" s="28" t="s">
        <v>11</v>
      </c>
      <c r="G699" s="28" t="s">
        <v>11</v>
      </c>
      <c r="H699" s="254"/>
      <c r="I699" s="49">
        <v>1</v>
      </c>
      <c r="J699" s="49">
        <v>1</v>
      </c>
      <c r="K699" s="52">
        <f t="shared" si="104"/>
        <v>1</v>
      </c>
      <c r="L699" s="209">
        <f t="shared" si="105"/>
        <v>0</v>
      </c>
      <c r="M699" s="210">
        <f t="shared" si="106"/>
        <v>0</v>
      </c>
      <c r="N699" s="26">
        <v>45198</v>
      </c>
      <c r="O699" s="26">
        <v>45198</v>
      </c>
      <c r="P699" s="26">
        <v>45198</v>
      </c>
      <c r="Q699" s="2">
        <f t="shared" si="100"/>
        <v>1</v>
      </c>
      <c r="S699" s="7">
        <f t="shared" si="107"/>
        <v>1</v>
      </c>
      <c r="T699" s="157">
        <f t="shared" si="108"/>
        <v>1</v>
      </c>
      <c r="V699" s="191">
        <f t="shared" si="101"/>
        <v>9</v>
      </c>
      <c r="W699" s="7">
        <f t="shared" si="102"/>
        <v>2023</v>
      </c>
    </row>
    <row r="700" spans="1:23" ht="31.95" customHeight="1" thickBot="1" x14ac:dyDescent="0.35">
      <c r="A700" s="15">
        <f t="shared" si="103"/>
        <v>1</v>
      </c>
      <c r="B700" s="26">
        <v>45191</v>
      </c>
      <c r="C700" s="51">
        <f t="shared" si="109"/>
        <v>696</v>
      </c>
      <c r="D700" s="27" t="s">
        <v>269</v>
      </c>
      <c r="E700" s="26" t="s">
        <v>11</v>
      </c>
      <c r="F700" s="28" t="s">
        <v>11</v>
      </c>
      <c r="G700" s="28" t="s">
        <v>11</v>
      </c>
      <c r="H700" s="254"/>
      <c r="I700" s="49">
        <v>1</v>
      </c>
      <c r="J700" s="49">
        <v>1</v>
      </c>
      <c r="K700" s="52">
        <f t="shared" si="104"/>
        <v>1</v>
      </c>
      <c r="L700" s="209">
        <f t="shared" si="105"/>
        <v>0</v>
      </c>
      <c r="M700" s="210">
        <f t="shared" si="106"/>
        <v>0</v>
      </c>
      <c r="N700" s="26">
        <v>45191</v>
      </c>
      <c r="O700" s="26">
        <v>45191</v>
      </c>
      <c r="P700" s="26">
        <v>45191</v>
      </c>
      <c r="Q700" s="2">
        <f t="shared" si="100"/>
        <v>1</v>
      </c>
      <c r="S700" s="7">
        <f t="shared" si="107"/>
        <v>1</v>
      </c>
      <c r="T700" s="157">
        <f t="shared" si="108"/>
        <v>1</v>
      </c>
      <c r="V700" s="191">
        <f t="shared" si="101"/>
        <v>9</v>
      </c>
      <c r="W700" s="7">
        <f t="shared" si="102"/>
        <v>2023</v>
      </c>
    </row>
    <row r="701" spans="1:23" ht="31.95" customHeight="1" thickBot="1" x14ac:dyDescent="0.35">
      <c r="A701" s="15">
        <f t="shared" si="103"/>
        <v>1</v>
      </c>
      <c r="B701" s="26">
        <v>45194</v>
      </c>
      <c r="C701" s="51">
        <f t="shared" si="109"/>
        <v>697</v>
      </c>
      <c r="D701" s="27" t="s">
        <v>305</v>
      </c>
      <c r="E701" s="26" t="s">
        <v>11</v>
      </c>
      <c r="F701" s="28" t="s">
        <v>11</v>
      </c>
      <c r="G701" s="28" t="s">
        <v>11</v>
      </c>
      <c r="H701" s="254"/>
      <c r="I701" s="49">
        <v>1</v>
      </c>
      <c r="J701" s="49">
        <v>1</v>
      </c>
      <c r="K701" s="52">
        <f t="shared" si="104"/>
        <v>1</v>
      </c>
      <c r="L701" s="209">
        <f t="shared" si="105"/>
        <v>0</v>
      </c>
      <c r="M701" s="210">
        <f t="shared" si="106"/>
        <v>0</v>
      </c>
      <c r="N701" s="26">
        <v>45194</v>
      </c>
      <c r="O701" s="26">
        <v>45194</v>
      </c>
      <c r="P701" s="26">
        <v>45194</v>
      </c>
      <c r="Q701" s="2">
        <f t="shared" si="100"/>
        <v>1</v>
      </c>
      <c r="S701" s="7">
        <f t="shared" si="107"/>
        <v>1</v>
      </c>
      <c r="T701" s="157">
        <f t="shared" si="108"/>
        <v>1</v>
      </c>
      <c r="V701" s="191">
        <f t="shared" si="101"/>
        <v>9</v>
      </c>
      <c r="W701" s="7">
        <f t="shared" si="102"/>
        <v>2023</v>
      </c>
    </row>
    <row r="702" spans="1:23" ht="31.95" customHeight="1" thickBot="1" x14ac:dyDescent="0.35">
      <c r="A702" s="15">
        <f t="shared" si="103"/>
        <v>2</v>
      </c>
      <c r="B702" s="26">
        <v>45194</v>
      </c>
      <c r="C702" s="51">
        <f t="shared" si="109"/>
        <v>698</v>
      </c>
      <c r="D702" s="27" t="s">
        <v>858</v>
      </c>
      <c r="E702" s="26" t="s">
        <v>11</v>
      </c>
      <c r="F702" s="28" t="s">
        <v>11</v>
      </c>
      <c r="G702" s="28" t="s">
        <v>11</v>
      </c>
      <c r="H702" s="254"/>
      <c r="I702" s="49">
        <v>2</v>
      </c>
      <c r="J702" s="49">
        <v>2</v>
      </c>
      <c r="K702" s="52">
        <f t="shared" si="104"/>
        <v>1</v>
      </c>
      <c r="L702" s="209">
        <f t="shared" si="105"/>
        <v>0</v>
      </c>
      <c r="M702" s="210">
        <f t="shared" si="106"/>
        <v>0</v>
      </c>
      <c r="N702" s="26">
        <v>45194</v>
      </c>
      <c r="O702" s="26">
        <v>45194</v>
      </c>
      <c r="P702" s="26">
        <v>45194</v>
      </c>
      <c r="Q702" s="2">
        <f t="shared" si="100"/>
        <v>1</v>
      </c>
      <c r="S702" s="7">
        <f t="shared" si="107"/>
        <v>1</v>
      </c>
      <c r="T702" s="157">
        <f t="shared" si="108"/>
        <v>1</v>
      </c>
      <c r="V702" s="191">
        <f t="shared" si="101"/>
        <v>9</v>
      </c>
      <c r="W702" s="7">
        <f t="shared" si="102"/>
        <v>2023</v>
      </c>
    </row>
    <row r="703" spans="1:23" ht="31.95" customHeight="1" thickBot="1" x14ac:dyDescent="0.35">
      <c r="A703" s="15">
        <f t="shared" si="103"/>
        <v>1</v>
      </c>
      <c r="B703" s="26">
        <v>45196</v>
      </c>
      <c r="C703" s="51">
        <f t="shared" si="109"/>
        <v>699</v>
      </c>
      <c r="D703" s="27" t="s">
        <v>401</v>
      </c>
      <c r="E703" s="26" t="s">
        <v>11</v>
      </c>
      <c r="F703" s="28" t="s">
        <v>11</v>
      </c>
      <c r="G703" s="28" t="s">
        <v>11</v>
      </c>
      <c r="H703" s="254"/>
      <c r="I703" s="49">
        <v>1</v>
      </c>
      <c r="J703" s="49">
        <v>1</v>
      </c>
      <c r="K703" s="52">
        <f t="shared" si="104"/>
        <v>1</v>
      </c>
      <c r="L703" s="209">
        <f t="shared" si="105"/>
        <v>0</v>
      </c>
      <c r="M703" s="210">
        <f t="shared" si="106"/>
        <v>0</v>
      </c>
      <c r="N703" s="26">
        <v>45196</v>
      </c>
      <c r="O703" s="26">
        <v>45196</v>
      </c>
      <c r="P703" s="26">
        <v>45196</v>
      </c>
      <c r="Q703" s="2">
        <f t="shared" si="100"/>
        <v>1</v>
      </c>
      <c r="S703" s="7">
        <f t="shared" si="107"/>
        <v>1</v>
      </c>
      <c r="T703" s="157">
        <f t="shared" si="108"/>
        <v>1</v>
      </c>
      <c r="V703" s="191">
        <f t="shared" si="101"/>
        <v>9</v>
      </c>
      <c r="W703" s="7">
        <f t="shared" si="102"/>
        <v>2023</v>
      </c>
    </row>
    <row r="704" spans="1:23" ht="31.95" customHeight="1" thickBot="1" x14ac:dyDescent="0.35">
      <c r="A704" s="15">
        <f t="shared" si="103"/>
        <v>1</v>
      </c>
      <c r="B704" s="26">
        <v>45198</v>
      </c>
      <c r="C704" s="51">
        <f t="shared" si="109"/>
        <v>700</v>
      </c>
      <c r="D704" s="27" t="s">
        <v>602</v>
      </c>
      <c r="E704" s="26" t="s">
        <v>126</v>
      </c>
      <c r="F704" s="28" t="s">
        <v>11</v>
      </c>
      <c r="G704" s="28" t="s">
        <v>11</v>
      </c>
      <c r="H704" s="254"/>
      <c r="I704" s="49">
        <v>1</v>
      </c>
      <c r="J704" s="49">
        <v>1</v>
      </c>
      <c r="K704" s="52">
        <f t="shared" si="104"/>
        <v>1</v>
      </c>
      <c r="L704" s="209">
        <f t="shared" si="105"/>
        <v>0</v>
      </c>
      <c r="M704" s="210">
        <f t="shared" si="106"/>
        <v>0</v>
      </c>
      <c r="N704" s="26">
        <v>45205</v>
      </c>
      <c r="O704" s="26">
        <v>45205</v>
      </c>
      <c r="P704" s="26">
        <v>45205</v>
      </c>
      <c r="Q704" s="2">
        <f t="shared" si="100"/>
        <v>1</v>
      </c>
      <c r="S704" s="7">
        <f t="shared" si="107"/>
        <v>1</v>
      </c>
      <c r="T704" s="157">
        <f t="shared" si="108"/>
        <v>1</v>
      </c>
      <c r="V704" s="191">
        <f t="shared" si="101"/>
        <v>9</v>
      </c>
      <c r="W704" s="7">
        <f t="shared" si="102"/>
        <v>2023</v>
      </c>
    </row>
    <row r="705" spans="1:23" ht="31.95" customHeight="1" thickBot="1" x14ac:dyDescent="0.35">
      <c r="A705" s="15">
        <f t="shared" si="103"/>
        <v>2</v>
      </c>
      <c r="B705" s="26">
        <v>45198</v>
      </c>
      <c r="C705" s="51">
        <f t="shared" si="109"/>
        <v>701</v>
      </c>
      <c r="D705" s="27" t="s">
        <v>524</v>
      </c>
      <c r="E705" s="26" t="s">
        <v>126</v>
      </c>
      <c r="F705" s="28" t="s">
        <v>11</v>
      </c>
      <c r="G705" s="28" t="s">
        <v>11</v>
      </c>
      <c r="H705" s="254"/>
      <c r="I705" s="49">
        <v>2</v>
      </c>
      <c r="J705" s="49">
        <v>2</v>
      </c>
      <c r="K705" s="52">
        <f t="shared" si="104"/>
        <v>1</v>
      </c>
      <c r="L705" s="209">
        <f t="shared" si="105"/>
        <v>0</v>
      </c>
      <c r="M705" s="210">
        <f t="shared" si="106"/>
        <v>0</v>
      </c>
      <c r="N705" s="26">
        <v>45202</v>
      </c>
      <c r="O705" s="26">
        <v>45202</v>
      </c>
      <c r="P705" s="26">
        <v>45202</v>
      </c>
      <c r="Q705" s="2">
        <f t="shared" si="100"/>
        <v>1</v>
      </c>
      <c r="S705" s="7">
        <f t="shared" si="107"/>
        <v>1</v>
      </c>
      <c r="T705" s="157">
        <f t="shared" si="108"/>
        <v>1</v>
      </c>
      <c r="V705" s="191">
        <f t="shared" si="101"/>
        <v>9</v>
      </c>
      <c r="W705" s="7">
        <f t="shared" si="102"/>
        <v>2023</v>
      </c>
    </row>
    <row r="706" spans="1:23" ht="31.95" customHeight="1" thickBot="1" x14ac:dyDescent="0.35">
      <c r="A706" s="15">
        <f t="shared" si="103"/>
        <v>2</v>
      </c>
      <c r="B706" s="26">
        <v>45198</v>
      </c>
      <c r="C706" s="51">
        <f t="shared" si="109"/>
        <v>702</v>
      </c>
      <c r="D706" s="27" t="s">
        <v>594</v>
      </c>
      <c r="E706" s="26" t="s">
        <v>126</v>
      </c>
      <c r="F706" s="28" t="s">
        <v>11</v>
      </c>
      <c r="G706" s="28" t="s">
        <v>11</v>
      </c>
      <c r="H706" s="254"/>
      <c r="I706" s="49">
        <v>2</v>
      </c>
      <c r="J706" s="49">
        <v>2</v>
      </c>
      <c r="K706" s="52">
        <f t="shared" si="104"/>
        <v>1</v>
      </c>
      <c r="L706" s="209">
        <f t="shared" si="105"/>
        <v>0</v>
      </c>
      <c r="M706" s="210">
        <f t="shared" si="106"/>
        <v>0</v>
      </c>
      <c r="N706" s="26">
        <v>45212</v>
      </c>
      <c r="O706" s="26">
        <v>45212</v>
      </c>
      <c r="P706" s="26">
        <v>45212</v>
      </c>
      <c r="Q706" s="2">
        <f t="shared" si="100"/>
        <v>1</v>
      </c>
      <c r="S706" s="7">
        <f t="shared" si="107"/>
        <v>1</v>
      </c>
      <c r="T706" s="157">
        <f t="shared" si="108"/>
        <v>1</v>
      </c>
      <c r="V706" s="191">
        <f t="shared" si="101"/>
        <v>9</v>
      </c>
      <c r="W706" s="7">
        <f t="shared" si="102"/>
        <v>2023</v>
      </c>
    </row>
    <row r="707" spans="1:23" ht="31.95" customHeight="1" thickBot="1" x14ac:dyDescent="0.35">
      <c r="A707" s="15">
        <f t="shared" si="103"/>
        <v>0</v>
      </c>
      <c r="B707" s="26">
        <v>45198</v>
      </c>
      <c r="C707" s="51">
        <f t="shared" si="109"/>
        <v>703</v>
      </c>
      <c r="D707" s="27"/>
      <c r="E707" s="26" t="s">
        <v>127</v>
      </c>
      <c r="F707" s="28" t="s">
        <v>11</v>
      </c>
      <c r="G707" s="28" t="s">
        <v>11</v>
      </c>
      <c r="H707" s="254"/>
      <c r="I707" s="49">
        <v>0</v>
      </c>
      <c r="J707" s="49">
        <v>0</v>
      </c>
      <c r="K707" s="52" t="str">
        <f t="shared" si="104"/>
        <v/>
      </c>
      <c r="L707" s="209">
        <f t="shared" si="105"/>
        <v>0</v>
      </c>
      <c r="M707" s="210" t="str">
        <f t="shared" si="106"/>
        <v/>
      </c>
      <c r="N707" s="28" t="s">
        <v>11</v>
      </c>
      <c r="O707" s="28" t="s">
        <v>11</v>
      </c>
      <c r="P707" s="28" t="s">
        <v>11</v>
      </c>
      <c r="Q707" s="2">
        <f t="shared" si="100"/>
        <v>1</v>
      </c>
      <c r="S707" s="7">
        <f t="shared" si="107"/>
        <v>1</v>
      </c>
      <c r="T707" s="157">
        <f t="shared" si="108"/>
        <v>1</v>
      </c>
      <c r="V707" s="191">
        <f t="shared" si="101"/>
        <v>9</v>
      </c>
      <c r="W707" s="7">
        <f t="shared" si="102"/>
        <v>2023</v>
      </c>
    </row>
    <row r="708" spans="1:23" ht="31.95" customHeight="1" thickBot="1" x14ac:dyDescent="0.35">
      <c r="A708" s="15">
        <f t="shared" si="103"/>
        <v>2</v>
      </c>
      <c r="B708" s="26">
        <v>45198</v>
      </c>
      <c r="C708" s="51">
        <f t="shared" si="109"/>
        <v>704</v>
      </c>
      <c r="D708" s="27" t="s">
        <v>890</v>
      </c>
      <c r="E708" s="26" t="s">
        <v>127</v>
      </c>
      <c r="F708" s="28" t="s">
        <v>11</v>
      </c>
      <c r="G708" s="28" t="s">
        <v>11</v>
      </c>
      <c r="H708" s="254"/>
      <c r="I708" s="49">
        <v>2</v>
      </c>
      <c r="J708" s="49">
        <v>2</v>
      </c>
      <c r="K708" s="52">
        <f t="shared" si="104"/>
        <v>1</v>
      </c>
      <c r="L708" s="209">
        <f t="shared" si="105"/>
        <v>0</v>
      </c>
      <c r="M708" s="210">
        <f t="shared" si="106"/>
        <v>0</v>
      </c>
      <c r="N708" s="26">
        <v>45219</v>
      </c>
      <c r="O708" s="26">
        <v>45219</v>
      </c>
      <c r="P708" s="26">
        <v>45219</v>
      </c>
      <c r="Q708" s="2">
        <f t="shared" si="100"/>
        <v>1</v>
      </c>
      <c r="S708" s="7">
        <f t="shared" si="107"/>
        <v>1</v>
      </c>
      <c r="T708" s="157">
        <f t="shared" si="108"/>
        <v>1</v>
      </c>
      <c r="V708" s="191">
        <f t="shared" si="101"/>
        <v>9</v>
      </c>
      <c r="W708" s="7">
        <f t="shared" si="102"/>
        <v>2023</v>
      </c>
    </row>
    <row r="709" spans="1:23" ht="31.95" customHeight="1" thickBot="1" x14ac:dyDescent="0.35">
      <c r="A709" s="15">
        <f t="shared" si="103"/>
        <v>10</v>
      </c>
      <c r="B709" s="26">
        <v>45203</v>
      </c>
      <c r="C709" s="51">
        <f t="shared" si="109"/>
        <v>705</v>
      </c>
      <c r="D709" s="27" t="s">
        <v>305</v>
      </c>
      <c r="E709" s="26" t="s">
        <v>11</v>
      </c>
      <c r="F709" s="28" t="s">
        <v>11</v>
      </c>
      <c r="G709" s="28" t="s">
        <v>11</v>
      </c>
      <c r="H709" s="254"/>
      <c r="I709" s="49">
        <v>10</v>
      </c>
      <c r="J709" s="49">
        <v>10</v>
      </c>
      <c r="K709" s="52">
        <f t="shared" si="104"/>
        <v>1</v>
      </c>
      <c r="L709" s="209">
        <f t="shared" si="105"/>
        <v>0</v>
      </c>
      <c r="M709" s="210">
        <f t="shared" si="106"/>
        <v>0</v>
      </c>
      <c r="N709" s="26">
        <v>45203</v>
      </c>
      <c r="O709" s="26">
        <v>45203</v>
      </c>
      <c r="P709" s="26">
        <v>45203</v>
      </c>
      <c r="Q709" s="2">
        <f t="shared" ref="Q709:Q772" si="110">IF(B709&lt;&gt;"",1,0)</f>
        <v>1</v>
      </c>
      <c r="S709" s="7">
        <f t="shared" si="107"/>
        <v>1</v>
      </c>
      <c r="T709" s="157">
        <f t="shared" si="108"/>
        <v>1</v>
      </c>
      <c r="V709" s="191">
        <f t="shared" ref="V709:V772" si="111">MONTH(B709)</f>
        <v>10</v>
      </c>
      <c r="W709" s="7">
        <f t="shared" ref="W709:W772" si="112">YEAR(B709)</f>
        <v>2023</v>
      </c>
    </row>
    <row r="710" spans="1:23" ht="31.95" customHeight="1" thickBot="1" x14ac:dyDescent="0.35">
      <c r="A710" s="15">
        <f t="shared" ref="A710:A773" si="113">J710</f>
        <v>3</v>
      </c>
      <c r="B710" s="26">
        <v>45203</v>
      </c>
      <c r="C710" s="51">
        <f t="shared" si="109"/>
        <v>706</v>
      </c>
      <c r="D710" s="27" t="s">
        <v>858</v>
      </c>
      <c r="E710" s="26" t="s">
        <v>11</v>
      </c>
      <c r="F710" s="28" t="s">
        <v>11</v>
      </c>
      <c r="G710" s="28" t="s">
        <v>11</v>
      </c>
      <c r="H710" s="254"/>
      <c r="I710" s="49">
        <v>3</v>
      </c>
      <c r="J710" s="49">
        <v>3</v>
      </c>
      <c r="K710" s="52">
        <f t="shared" ref="K710:K773" si="114">IFERROR(J710/I710,"")</f>
        <v>1</v>
      </c>
      <c r="L710" s="209">
        <f t="shared" ref="L710:L773" si="115">IF(I710="","",I710-J710)</f>
        <v>0</v>
      </c>
      <c r="M710" s="210">
        <f t="shared" ref="M710:M773" si="116">IFERROR(1-K710,"")</f>
        <v>0</v>
      </c>
      <c r="N710" s="26">
        <v>45203</v>
      </c>
      <c r="O710" s="26">
        <v>45203</v>
      </c>
      <c r="P710" s="26">
        <v>45203</v>
      </c>
      <c r="Q710" s="2">
        <f t="shared" si="110"/>
        <v>1</v>
      </c>
      <c r="S710" s="7">
        <f t="shared" ref="S710:S773" si="117">IF(AND(O710&lt;=N710,O710&lt;&gt;""),1,0)</f>
        <v>1</v>
      </c>
      <c r="T710" s="157">
        <f t="shared" ref="T710:T773" si="118">IF(AND(P710&lt;=N710,P710&lt;&gt;""),1,0)</f>
        <v>1</v>
      </c>
      <c r="V710" s="191">
        <f t="shared" si="111"/>
        <v>10</v>
      </c>
      <c r="W710" s="7">
        <f t="shared" si="112"/>
        <v>2023</v>
      </c>
    </row>
    <row r="711" spans="1:23" ht="31.95" customHeight="1" thickBot="1" x14ac:dyDescent="0.35">
      <c r="A711" s="15">
        <f t="shared" si="113"/>
        <v>1</v>
      </c>
      <c r="B711" s="26">
        <v>45203</v>
      </c>
      <c r="C711" s="51">
        <f t="shared" ref="C711:C774" si="119">IF(B711&lt;&gt;"",C710+1,"")</f>
        <v>707</v>
      </c>
      <c r="D711" s="27" t="s">
        <v>700</v>
      </c>
      <c r="E711" s="26" t="s">
        <v>11</v>
      </c>
      <c r="F711" s="28" t="s">
        <v>11</v>
      </c>
      <c r="G711" s="28" t="s">
        <v>11</v>
      </c>
      <c r="H711" s="254"/>
      <c r="I711" s="49">
        <v>1</v>
      </c>
      <c r="J711" s="49">
        <v>1</v>
      </c>
      <c r="K711" s="52">
        <f t="shared" si="114"/>
        <v>1</v>
      </c>
      <c r="L711" s="209">
        <f t="shared" si="115"/>
        <v>0</v>
      </c>
      <c r="M711" s="210">
        <f t="shared" si="116"/>
        <v>0</v>
      </c>
      <c r="N711" s="26">
        <v>45203</v>
      </c>
      <c r="O711" s="26">
        <v>45203</v>
      </c>
      <c r="P711" s="26">
        <v>45203</v>
      </c>
      <c r="Q711" s="2">
        <f t="shared" si="110"/>
        <v>1</v>
      </c>
      <c r="S711" s="7">
        <f t="shared" si="117"/>
        <v>1</v>
      </c>
      <c r="T711" s="157">
        <f t="shared" si="118"/>
        <v>1</v>
      </c>
      <c r="V711" s="191">
        <f t="shared" si="111"/>
        <v>10</v>
      </c>
      <c r="W711" s="7">
        <f t="shared" si="112"/>
        <v>2023</v>
      </c>
    </row>
    <row r="712" spans="1:23" ht="31.95" customHeight="1" thickBot="1" x14ac:dyDescent="0.35">
      <c r="A712" s="15">
        <f t="shared" si="113"/>
        <v>5</v>
      </c>
      <c r="B712" s="26">
        <v>45203</v>
      </c>
      <c r="C712" s="51">
        <f t="shared" si="119"/>
        <v>708</v>
      </c>
      <c r="D712" s="27" t="s">
        <v>321</v>
      </c>
      <c r="E712" s="26" t="s">
        <v>125</v>
      </c>
      <c r="F712" s="28" t="s">
        <v>11</v>
      </c>
      <c r="G712" s="28" t="s">
        <v>11</v>
      </c>
      <c r="H712" s="254"/>
      <c r="I712" s="49">
        <v>5</v>
      </c>
      <c r="J712" s="49">
        <v>5</v>
      </c>
      <c r="K712" s="52">
        <f t="shared" si="114"/>
        <v>1</v>
      </c>
      <c r="L712" s="209">
        <f t="shared" si="115"/>
        <v>0</v>
      </c>
      <c r="M712" s="210">
        <f t="shared" si="116"/>
        <v>0</v>
      </c>
      <c r="N712" s="26">
        <v>45203</v>
      </c>
      <c r="O712" s="26">
        <v>45203</v>
      </c>
      <c r="P712" s="26">
        <v>45203</v>
      </c>
      <c r="Q712" s="2">
        <f t="shared" si="110"/>
        <v>1</v>
      </c>
      <c r="S712" s="7">
        <f t="shared" si="117"/>
        <v>1</v>
      </c>
      <c r="T712" s="157">
        <f t="shared" si="118"/>
        <v>1</v>
      </c>
      <c r="V712" s="191">
        <f t="shared" si="111"/>
        <v>10</v>
      </c>
      <c r="W712" s="7">
        <f t="shared" si="112"/>
        <v>2023</v>
      </c>
    </row>
    <row r="713" spans="1:23" ht="31.95" customHeight="1" thickBot="1" x14ac:dyDescent="0.35">
      <c r="A713" s="15">
        <f t="shared" si="113"/>
        <v>1</v>
      </c>
      <c r="B713" s="26">
        <v>45204</v>
      </c>
      <c r="C713" s="51">
        <f t="shared" si="119"/>
        <v>709</v>
      </c>
      <c r="D713" s="27" t="s">
        <v>321</v>
      </c>
      <c r="E713" s="26" t="s">
        <v>11</v>
      </c>
      <c r="F713" s="28" t="s">
        <v>11</v>
      </c>
      <c r="G713" s="28" t="s">
        <v>11</v>
      </c>
      <c r="H713" s="254"/>
      <c r="I713" s="49">
        <v>1</v>
      </c>
      <c r="J713" s="49">
        <v>1</v>
      </c>
      <c r="K713" s="52">
        <f t="shared" si="114"/>
        <v>1</v>
      </c>
      <c r="L713" s="209">
        <f t="shared" si="115"/>
        <v>0</v>
      </c>
      <c r="M713" s="210">
        <f t="shared" si="116"/>
        <v>0</v>
      </c>
      <c r="N713" s="26">
        <v>45204</v>
      </c>
      <c r="O713" s="26">
        <v>45204</v>
      </c>
      <c r="P713" s="26">
        <v>45204</v>
      </c>
      <c r="Q713" s="2">
        <f t="shared" si="110"/>
        <v>1</v>
      </c>
      <c r="S713" s="7">
        <f t="shared" si="117"/>
        <v>1</v>
      </c>
      <c r="T713" s="157">
        <f t="shared" si="118"/>
        <v>1</v>
      </c>
      <c r="V713" s="191">
        <f t="shared" si="111"/>
        <v>10</v>
      </c>
      <c r="W713" s="7">
        <f t="shared" si="112"/>
        <v>2023</v>
      </c>
    </row>
    <row r="714" spans="1:23" ht="31.95" customHeight="1" thickBot="1" x14ac:dyDescent="0.35">
      <c r="A714" s="15">
        <f t="shared" si="113"/>
        <v>1</v>
      </c>
      <c r="B714" s="26">
        <v>45204</v>
      </c>
      <c r="C714" s="51">
        <f t="shared" si="119"/>
        <v>710</v>
      </c>
      <c r="D714" s="27" t="s">
        <v>305</v>
      </c>
      <c r="E714" s="26" t="s">
        <v>11</v>
      </c>
      <c r="F714" s="28" t="s">
        <v>11</v>
      </c>
      <c r="G714" s="28" t="s">
        <v>11</v>
      </c>
      <c r="H714" s="254"/>
      <c r="I714" s="49">
        <v>1</v>
      </c>
      <c r="J714" s="49">
        <v>1</v>
      </c>
      <c r="K714" s="52">
        <f t="shared" si="114"/>
        <v>1</v>
      </c>
      <c r="L714" s="209">
        <f t="shared" si="115"/>
        <v>0</v>
      </c>
      <c r="M714" s="210">
        <f t="shared" si="116"/>
        <v>0</v>
      </c>
      <c r="N714" s="26">
        <v>45204</v>
      </c>
      <c r="O714" s="26">
        <v>45204</v>
      </c>
      <c r="P714" s="26">
        <v>45204</v>
      </c>
      <c r="Q714" s="2">
        <f t="shared" si="110"/>
        <v>1</v>
      </c>
      <c r="S714" s="7">
        <f t="shared" si="117"/>
        <v>1</v>
      </c>
      <c r="T714" s="157">
        <f t="shared" si="118"/>
        <v>1</v>
      </c>
      <c r="V714" s="191">
        <f t="shared" si="111"/>
        <v>10</v>
      </c>
      <c r="W714" s="7">
        <f t="shared" si="112"/>
        <v>2023</v>
      </c>
    </row>
    <row r="715" spans="1:23" ht="31.95" customHeight="1" thickBot="1" x14ac:dyDescent="0.35">
      <c r="A715" s="15">
        <f t="shared" si="113"/>
        <v>2</v>
      </c>
      <c r="B715" s="26">
        <v>45208</v>
      </c>
      <c r="C715" s="51">
        <f t="shared" si="119"/>
        <v>711</v>
      </c>
      <c r="D715" s="27" t="s">
        <v>822</v>
      </c>
      <c r="E715" s="26" t="s">
        <v>125</v>
      </c>
      <c r="F715" s="28" t="s">
        <v>11</v>
      </c>
      <c r="G715" s="28" t="s">
        <v>11</v>
      </c>
      <c r="H715" s="254"/>
      <c r="I715" s="49">
        <v>2</v>
      </c>
      <c r="J715" s="49">
        <v>2</v>
      </c>
      <c r="K715" s="52">
        <f t="shared" si="114"/>
        <v>1</v>
      </c>
      <c r="L715" s="209">
        <f t="shared" si="115"/>
        <v>0</v>
      </c>
      <c r="M715" s="210">
        <f t="shared" si="116"/>
        <v>0</v>
      </c>
      <c r="N715" s="26">
        <v>45209</v>
      </c>
      <c r="O715" s="26">
        <v>45209</v>
      </c>
      <c r="P715" s="26">
        <v>45209</v>
      </c>
      <c r="Q715" s="2">
        <f t="shared" si="110"/>
        <v>1</v>
      </c>
      <c r="S715" s="7">
        <f t="shared" si="117"/>
        <v>1</v>
      </c>
      <c r="T715" s="157">
        <f t="shared" si="118"/>
        <v>1</v>
      </c>
      <c r="V715" s="191">
        <f t="shared" si="111"/>
        <v>10</v>
      </c>
      <c r="W715" s="7">
        <f t="shared" si="112"/>
        <v>2023</v>
      </c>
    </row>
    <row r="716" spans="1:23" ht="31.95" customHeight="1" thickBot="1" x14ac:dyDescent="0.35">
      <c r="A716" s="15">
        <f t="shared" si="113"/>
        <v>1</v>
      </c>
      <c r="B716" s="26">
        <v>45209</v>
      </c>
      <c r="C716" s="51">
        <f t="shared" si="119"/>
        <v>712</v>
      </c>
      <c r="D716" s="27" t="s">
        <v>829</v>
      </c>
      <c r="E716" s="26" t="s">
        <v>125</v>
      </c>
      <c r="F716" s="28" t="s">
        <v>11</v>
      </c>
      <c r="G716" s="28" t="s">
        <v>11</v>
      </c>
      <c r="H716" s="254"/>
      <c r="I716" s="49">
        <v>1</v>
      </c>
      <c r="J716" s="49">
        <v>1</v>
      </c>
      <c r="K716" s="52">
        <f t="shared" si="114"/>
        <v>1</v>
      </c>
      <c r="L716" s="209">
        <f t="shared" si="115"/>
        <v>0</v>
      </c>
      <c r="M716" s="210">
        <f t="shared" si="116"/>
        <v>0</v>
      </c>
      <c r="N716" s="26">
        <v>45210</v>
      </c>
      <c r="O716" s="26">
        <v>45210</v>
      </c>
      <c r="P716" s="26">
        <v>45210</v>
      </c>
      <c r="Q716" s="2">
        <f t="shared" si="110"/>
        <v>1</v>
      </c>
      <c r="S716" s="7">
        <f t="shared" si="117"/>
        <v>1</v>
      </c>
      <c r="T716" s="157">
        <f t="shared" si="118"/>
        <v>1</v>
      </c>
      <c r="V716" s="191">
        <f t="shared" si="111"/>
        <v>10</v>
      </c>
      <c r="W716" s="7">
        <f t="shared" si="112"/>
        <v>2023</v>
      </c>
    </row>
    <row r="717" spans="1:23" ht="31.95" customHeight="1" thickBot="1" x14ac:dyDescent="0.35">
      <c r="A717" s="15">
        <f t="shared" si="113"/>
        <v>5</v>
      </c>
      <c r="B717" s="26">
        <v>45209</v>
      </c>
      <c r="C717" s="51">
        <f t="shared" si="119"/>
        <v>713</v>
      </c>
      <c r="D717" s="27" t="s">
        <v>305</v>
      </c>
      <c r="E717" s="26" t="s">
        <v>11</v>
      </c>
      <c r="F717" s="28" t="s">
        <v>11</v>
      </c>
      <c r="G717" s="28" t="s">
        <v>11</v>
      </c>
      <c r="H717" s="254"/>
      <c r="I717" s="49">
        <v>5</v>
      </c>
      <c r="J717" s="49">
        <v>5</v>
      </c>
      <c r="K717" s="52">
        <f t="shared" si="114"/>
        <v>1</v>
      </c>
      <c r="L717" s="209">
        <f t="shared" si="115"/>
        <v>0</v>
      </c>
      <c r="M717" s="210">
        <f t="shared" si="116"/>
        <v>0</v>
      </c>
      <c r="N717" s="26">
        <v>45209</v>
      </c>
      <c r="O717" s="26">
        <v>45209</v>
      </c>
      <c r="P717" s="26">
        <v>45209</v>
      </c>
      <c r="Q717" s="2">
        <f t="shared" si="110"/>
        <v>1</v>
      </c>
      <c r="S717" s="7">
        <f t="shared" si="117"/>
        <v>1</v>
      </c>
      <c r="T717" s="157">
        <f t="shared" si="118"/>
        <v>1</v>
      </c>
      <c r="V717" s="191">
        <f t="shared" si="111"/>
        <v>10</v>
      </c>
      <c r="W717" s="7">
        <f t="shared" si="112"/>
        <v>2023</v>
      </c>
    </row>
    <row r="718" spans="1:23" ht="31.95" customHeight="1" thickBot="1" x14ac:dyDescent="0.35">
      <c r="A718" s="15">
        <f t="shared" si="113"/>
        <v>3</v>
      </c>
      <c r="B718" s="26">
        <v>45209</v>
      </c>
      <c r="C718" s="51">
        <f t="shared" si="119"/>
        <v>714</v>
      </c>
      <c r="D718" s="27" t="s">
        <v>705</v>
      </c>
      <c r="E718" s="26" t="s">
        <v>11</v>
      </c>
      <c r="F718" s="28" t="s">
        <v>11</v>
      </c>
      <c r="G718" s="28" t="s">
        <v>11</v>
      </c>
      <c r="H718" s="254"/>
      <c r="I718" s="49">
        <v>3</v>
      </c>
      <c r="J718" s="49">
        <v>3</v>
      </c>
      <c r="K718" s="52">
        <f t="shared" si="114"/>
        <v>1</v>
      </c>
      <c r="L718" s="209">
        <f t="shared" si="115"/>
        <v>0</v>
      </c>
      <c r="M718" s="210">
        <f t="shared" si="116"/>
        <v>0</v>
      </c>
      <c r="N718" s="26">
        <v>45209</v>
      </c>
      <c r="O718" s="26">
        <v>45209</v>
      </c>
      <c r="P718" s="26">
        <v>45209</v>
      </c>
      <c r="Q718" s="2">
        <f t="shared" si="110"/>
        <v>1</v>
      </c>
      <c r="S718" s="7">
        <f t="shared" si="117"/>
        <v>1</v>
      </c>
      <c r="T718" s="157">
        <f t="shared" si="118"/>
        <v>1</v>
      </c>
      <c r="V718" s="191">
        <f t="shared" si="111"/>
        <v>10</v>
      </c>
      <c r="W718" s="7">
        <f t="shared" si="112"/>
        <v>2023</v>
      </c>
    </row>
    <row r="719" spans="1:23" ht="31.95" customHeight="1" thickBot="1" x14ac:dyDescent="0.35">
      <c r="A719" s="15">
        <f t="shared" si="113"/>
        <v>1</v>
      </c>
      <c r="B719" s="26">
        <v>45210</v>
      </c>
      <c r="C719" s="51">
        <f t="shared" si="119"/>
        <v>715</v>
      </c>
      <c r="D719" s="27" t="s">
        <v>965</v>
      </c>
      <c r="E719" s="26" t="s">
        <v>11</v>
      </c>
      <c r="F719" s="28" t="s">
        <v>11</v>
      </c>
      <c r="G719" s="28" t="s">
        <v>11</v>
      </c>
      <c r="H719" s="254"/>
      <c r="I719" s="49">
        <v>1</v>
      </c>
      <c r="J719" s="49">
        <v>1</v>
      </c>
      <c r="K719" s="52">
        <f t="shared" si="114"/>
        <v>1</v>
      </c>
      <c r="L719" s="209">
        <f t="shared" si="115"/>
        <v>0</v>
      </c>
      <c r="M719" s="210">
        <f t="shared" si="116"/>
        <v>0</v>
      </c>
      <c r="N719" s="26">
        <v>45210</v>
      </c>
      <c r="O719" s="26">
        <v>45210</v>
      </c>
      <c r="P719" s="26">
        <v>45210</v>
      </c>
      <c r="Q719" s="2">
        <f t="shared" si="110"/>
        <v>1</v>
      </c>
      <c r="S719" s="7">
        <f t="shared" si="117"/>
        <v>1</v>
      </c>
      <c r="T719" s="157">
        <f t="shared" si="118"/>
        <v>1</v>
      </c>
      <c r="V719" s="191">
        <f t="shared" si="111"/>
        <v>10</v>
      </c>
      <c r="W719" s="7">
        <f t="shared" si="112"/>
        <v>2023</v>
      </c>
    </row>
    <row r="720" spans="1:23" ht="31.95" customHeight="1" thickBot="1" x14ac:dyDescent="0.35">
      <c r="A720" s="15">
        <f t="shared" si="113"/>
        <v>1</v>
      </c>
      <c r="B720" s="26">
        <v>45210</v>
      </c>
      <c r="C720" s="51">
        <f t="shared" si="119"/>
        <v>716</v>
      </c>
      <c r="D720" s="27" t="s">
        <v>305</v>
      </c>
      <c r="E720" s="26" t="s">
        <v>11</v>
      </c>
      <c r="F720" s="28" t="s">
        <v>11</v>
      </c>
      <c r="G720" s="28" t="s">
        <v>11</v>
      </c>
      <c r="H720" s="254"/>
      <c r="I720" s="49">
        <v>1</v>
      </c>
      <c r="J720" s="49">
        <v>1</v>
      </c>
      <c r="K720" s="52">
        <f t="shared" si="114"/>
        <v>1</v>
      </c>
      <c r="L720" s="209">
        <f t="shared" si="115"/>
        <v>0</v>
      </c>
      <c r="M720" s="210">
        <f t="shared" si="116"/>
        <v>0</v>
      </c>
      <c r="N720" s="26">
        <v>45210</v>
      </c>
      <c r="O720" s="26">
        <v>45210</v>
      </c>
      <c r="P720" s="26">
        <v>45210</v>
      </c>
      <c r="Q720" s="2">
        <f t="shared" si="110"/>
        <v>1</v>
      </c>
      <c r="S720" s="7">
        <f t="shared" si="117"/>
        <v>1</v>
      </c>
      <c r="T720" s="157">
        <f t="shared" si="118"/>
        <v>1</v>
      </c>
      <c r="V720" s="191">
        <f t="shared" si="111"/>
        <v>10</v>
      </c>
      <c r="W720" s="7">
        <f t="shared" si="112"/>
        <v>2023</v>
      </c>
    </row>
    <row r="721" spans="1:23" ht="31.95" customHeight="1" thickBot="1" x14ac:dyDescent="0.35">
      <c r="A721" s="15">
        <f t="shared" si="113"/>
        <v>1</v>
      </c>
      <c r="B721" s="26">
        <v>45210</v>
      </c>
      <c r="C721" s="51">
        <f t="shared" si="119"/>
        <v>717</v>
      </c>
      <c r="D721" s="27" t="s">
        <v>915</v>
      </c>
      <c r="E721" s="26" t="s">
        <v>125</v>
      </c>
      <c r="F721" s="28" t="s">
        <v>11</v>
      </c>
      <c r="G721" s="28" t="s">
        <v>11</v>
      </c>
      <c r="H721" s="254"/>
      <c r="I721" s="49">
        <v>1</v>
      </c>
      <c r="J721" s="49">
        <v>1</v>
      </c>
      <c r="K721" s="52">
        <f t="shared" si="114"/>
        <v>1</v>
      </c>
      <c r="L721" s="209">
        <f t="shared" si="115"/>
        <v>0</v>
      </c>
      <c r="M721" s="210">
        <f t="shared" si="116"/>
        <v>0</v>
      </c>
      <c r="N721" s="26">
        <v>45212</v>
      </c>
      <c r="O721" s="26">
        <v>45212</v>
      </c>
      <c r="P721" s="26">
        <v>45212</v>
      </c>
      <c r="Q721" s="2">
        <f t="shared" si="110"/>
        <v>1</v>
      </c>
      <c r="S721" s="7">
        <f t="shared" si="117"/>
        <v>1</v>
      </c>
      <c r="T721" s="157">
        <f t="shared" si="118"/>
        <v>1</v>
      </c>
      <c r="V721" s="191">
        <f t="shared" si="111"/>
        <v>10</v>
      </c>
      <c r="W721" s="7">
        <f t="shared" si="112"/>
        <v>2023</v>
      </c>
    </row>
    <row r="722" spans="1:23" ht="31.95" customHeight="1" thickBot="1" x14ac:dyDescent="0.35">
      <c r="A722" s="15">
        <f t="shared" si="113"/>
        <v>1</v>
      </c>
      <c r="B722" s="26">
        <v>45216</v>
      </c>
      <c r="C722" s="51">
        <f t="shared" si="119"/>
        <v>718</v>
      </c>
      <c r="D722" s="27" t="s">
        <v>1150</v>
      </c>
      <c r="E722" s="26" t="s">
        <v>125</v>
      </c>
      <c r="F722" s="28" t="s">
        <v>11</v>
      </c>
      <c r="G722" s="28" t="s">
        <v>11</v>
      </c>
      <c r="H722" s="254"/>
      <c r="I722" s="49">
        <v>1</v>
      </c>
      <c r="J722" s="49">
        <v>1</v>
      </c>
      <c r="K722" s="52">
        <f t="shared" si="114"/>
        <v>1</v>
      </c>
      <c r="L722" s="209">
        <f t="shared" si="115"/>
        <v>0</v>
      </c>
      <c r="M722" s="210">
        <f t="shared" si="116"/>
        <v>0</v>
      </c>
      <c r="N722" s="26">
        <v>45216</v>
      </c>
      <c r="O722" s="26">
        <v>45216</v>
      </c>
      <c r="P722" s="26">
        <v>45216</v>
      </c>
      <c r="Q722" s="2">
        <f t="shared" si="110"/>
        <v>1</v>
      </c>
      <c r="S722" s="7">
        <f t="shared" si="117"/>
        <v>1</v>
      </c>
      <c r="T722" s="157">
        <f t="shared" si="118"/>
        <v>1</v>
      </c>
      <c r="V722" s="191">
        <f t="shared" si="111"/>
        <v>10</v>
      </c>
      <c r="W722" s="7">
        <f t="shared" si="112"/>
        <v>2023</v>
      </c>
    </row>
    <row r="723" spans="1:23" ht="31.95" customHeight="1" thickBot="1" x14ac:dyDescent="0.35">
      <c r="A723" s="15">
        <f t="shared" si="113"/>
        <v>4</v>
      </c>
      <c r="B723" s="26">
        <v>45216</v>
      </c>
      <c r="C723" s="51">
        <f t="shared" si="119"/>
        <v>719</v>
      </c>
      <c r="D723" s="27" t="s">
        <v>858</v>
      </c>
      <c r="E723" s="26" t="s">
        <v>11</v>
      </c>
      <c r="F723" s="28" t="s">
        <v>11</v>
      </c>
      <c r="G723" s="28" t="s">
        <v>11</v>
      </c>
      <c r="H723" s="254"/>
      <c r="I723" s="49">
        <v>4</v>
      </c>
      <c r="J723" s="49">
        <v>4</v>
      </c>
      <c r="K723" s="52">
        <f t="shared" si="114"/>
        <v>1</v>
      </c>
      <c r="L723" s="209">
        <f t="shared" si="115"/>
        <v>0</v>
      </c>
      <c r="M723" s="210">
        <f t="shared" si="116"/>
        <v>0</v>
      </c>
      <c r="N723" s="26">
        <v>45216</v>
      </c>
      <c r="O723" s="26">
        <v>45216</v>
      </c>
      <c r="P723" s="26">
        <v>45216</v>
      </c>
      <c r="Q723" s="2">
        <f t="shared" si="110"/>
        <v>1</v>
      </c>
      <c r="S723" s="7">
        <f t="shared" si="117"/>
        <v>1</v>
      </c>
      <c r="T723" s="157">
        <f t="shared" si="118"/>
        <v>1</v>
      </c>
      <c r="V723" s="191">
        <f t="shared" si="111"/>
        <v>10</v>
      </c>
      <c r="W723" s="7">
        <f t="shared" si="112"/>
        <v>2023</v>
      </c>
    </row>
    <row r="724" spans="1:23" ht="31.95" customHeight="1" thickBot="1" x14ac:dyDescent="0.35">
      <c r="A724" s="15">
        <f t="shared" si="113"/>
        <v>2</v>
      </c>
      <c r="B724" s="26">
        <v>45216</v>
      </c>
      <c r="C724" s="51">
        <f t="shared" si="119"/>
        <v>720</v>
      </c>
      <c r="D724" s="27" t="s">
        <v>305</v>
      </c>
      <c r="E724" s="26" t="s">
        <v>11</v>
      </c>
      <c r="F724" s="28" t="s">
        <v>11</v>
      </c>
      <c r="G724" s="28" t="s">
        <v>11</v>
      </c>
      <c r="H724" s="254"/>
      <c r="I724" s="49">
        <v>2</v>
      </c>
      <c r="J724" s="49">
        <v>2</v>
      </c>
      <c r="K724" s="52">
        <f t="shared" si="114"/>
        <v>1</v>
      </c>
      <c r="L724" s="209">
        <f t="shared" si="115"/>
        <v>0</v>
      </c>
      <c r="M724" s="210">
        <f t="shared" si="116"/>
        <v>0</v>
      </c>
      <c r="N724" s="26">
        <v>45216</v>
      </c>
      <c r="O724" s="26">
        <v>45216</v>
      </c>
      <c r="P724" s="26">
        <v>45216</v>
      </c>
      <c r="Q724" s="2">
        <f t="shared" si="110"/>
        <v>1</v>
      </c>
      <c r="S724" s="7">
        <f t="shared" si="117"/>
        <v>1</v>
      </c>
      <c r="T724" s="157">
        <f t="shared" si="118"/>
        <v>1</v>
      </c>
      <c r="V724" s="191">
        <f t="shared" si="111"/>
        <v>10</v>
      </c>
      <c r="W724" s="7">
        <f t="shared" si="112"/>
        <v>2023</v>
      </c>
    </row>
    <row r="725" spans="1:23" ht="31.95" customHeight="1" thickBot="1" x14ac:dyDescent="0.35">
      <c r="A725" s="15">
        <f t="shared" si="113"/>
        <v>1</v>
      </c>
      <c r="B725" s="26">
        <v>45217</v>
      </c>
      <c r="C725" s="51">
        <f t="shared" si="119"/>
        <v>721</v>
      </c>
      <c r="D725" s="27" t="s">
        <v>1206</v>
      </c>
      <c r="E725" s="26" t="s">
        <v>112</v>
      </c>
      <c r="F725" s="28" t="s">
        <v>11</v>
      </c>
      <c r="G725" s="28" t="s">
        <v>11</v>
      </c>
      <c r="H725" s="254"/>
      <c r="I725" s="49">
        <v>1</v>
      </c>
      <c r="J725" s="49">
        <v>1</v>
      </c>
      <c r="K725" s="52">
        <f t="shared" si="114"/>
        <v>1</v>
      </c>
      <c r="L725" s="209">
        <f t="shared" si="115"/>
        <v>0</v>
      </c>
      <c r="M725" s="210">
        <f t="shared" si="116"/>
        <v>0</v>
      </c>
      <c r="N725" s="26">
        <v>45217</v>
      </c>
      <c r="O725" s="26">
        <v>45217</v>
      </c>
      <c r="P725" s="26">
        <v>45217</v>
      </c>
      <c r="Q725" s="2">
        <f t="shared" si="110"/>
        <v>1</v>
      </c>
      <c r="S725" s="7">
        <f t="shared" si="117"/>
        <v>1</v>
      </c>
      <c r="T725" s="157">
        <f t="shared" si="118"/>
        <v>1</v>
      </c>
      <c r="V725" s="191">
        <f t="shared" si="111"/>
        <v>10</v>
      </c>
      <c r="W725" s="7">
        <f t="shared" si="112"/>
        <v>2023</v>
      </c>
    </row>
    <row r="726" spans="1:23" ht="31.95" customHeight="1" thickBot="1" x14ac:dyDescent="0.35">
      <c r="A726" s="15">
        <f t="shared" si="113"/>
        <v>2</v>
      </c>
      <c r="B726" s="26">
        <v>45218</v>
      </c>
      <c r="C726" s="51">
        <f t="shared" si="119"/>
        <v>722</v>
      </c>
      <c r="D726" s="27" t="s">
        <v>321</v>
      </c>
      <c r="E726" s="26" t="s">
        <v>11</v>
      </c>
      <c r="F726" s="28" t="s">
        <v>11</v>
      </c>
      <c r="G726" s="28" t="s">
        <v>11</v>
      </c>
      <c r="H726" s="254"/>
      <c r="I726" s="49">
        <v>2</v>
      </c>
      <c r="J726" s="49">
        <v>2</v>
      </c>
      <c r="K726" s="52">
        <f t="shared" si="114"/>
        <v>1</v>
      </c>
      <c r="L726" s="209">
        <f t="shared" si="115"/>
        <v>0</v>
      </c>
      <c r="M726" s="210">
        <f t="shared" si="116"/>
        <v>0</v>
      </c>
      <c r="N726" s="26">
        <v>45218</v>
      </c>
      <c r="O726" s="26">
        <v>45218</v>
      </c>
      <c r="P726" s="26">
        <v>45218</v>
      </c>
      <c r="Q726" s="2">
        <f t="shared" si="110"/>
        <v>1</v>
      </c>
      <c r="S726" s="7">
        <f t="shared" si="117"/>
        <v>1</v>
      </c>
      <c r="T726" s="157">
        <f t="shared" si="118"/>
        <v>1</v>
      </c>
      <c r="V726" s="191">
        <f t="shared" si="111"/>
        <v>10</v>
      </c>
      <c r="W726" s="7">
        <f t="shared" si="112"/>
        <v>2023</v>
      </c>
    </row>
    <row r="727" spans="1:23" ht="31.95" customHeight="1" thickBot="1" x14ac:dyDescent="0.35">
      <c r="A727" s="15">
        <f t="shared" si="113"/>
        <v>1</v>
      </c>
      <c r="B727" s="26">
        <v>45218</v>
      </c>
      <c r="C727" s="51">
        <f t="shared" si="119"/>
        <v>723</v>
      </c>
      <c r="D727" s="27" t="s">
        <v>705</v>
      </c>
      <c r="E727" s="26" t="s">
        <v>11</v>
      </c>
      <c r="F727" s="28" t="s">
        <v>11</v>
      </c>
      <c r="G727" s="28" t="s">
        <v>11</v>
      </c>
      <c r="H727" s="254"/>
      <c r="I727" s="49">
        <v>1</v>
      </c>
      <c r="J727" s="49">
        <v>1</v>
      </c>
      <c r="K727" s="52">
        <f t="shared" si="114"/>
        <v>1</v>
      </c>
      <c r="L727" s="209">
        <f t="shared" si="115"/>
        <v>0</v>
      </c>
      <c r="M727" s="210">
        <f t="shared" si="116"/>
        <v>0</v>
      </c>
      <c r="N727" s="26">
        <v>45218</v>
      </c>
      <c r="O727" s="26">
        <v>45218</v>
      </c>
      <c r="P727" s="26">
        <v>45218</v>
      </c>
      <c r="Q727" s="2">
        <f t="shared" si="110"/>
        <v>1</v>
      </c>
      <c r="S727" s="7">
        <f t="shared" si="117"/>
        <v>1</v>
      </c>
      <c r="T727" s="157">
        <f t="shared" si="118"/>
        <v>1</v>
      </c>
      <c r="V727" s="191">
        <f t="shared" si="111"/>
        <v>10</v>
      </c>
      <c r="W727" s="7">
        <f t="shared" si="112"/>
        <v>2023</v>
      </c>
    </row>
    <row r="728" spans="1:23" ht="31.95" customHeight="1" thickBot="1" x14ac:dyDescent="0.35">
      <c r="A728" s="15">
        <f t="shared" si="113"/>
        <v>1</v>
      </c>
      <c r="B728" s="26">
        <v>45218</v>
      </c>
      <c r="C728" s="51">
        <f t="shared" si="119"/>
        <v>724</v>
      </c>
      <c r="D728" s="27" t="s">
        <v>858</v>
      </c>
      <c r="E728" s="26" t="s">
        <v>11</v>
      </c>
      <c r="F728" s="28" t="s">
        <v>11</v>
      </c>
      <c r="G728" s="28" t="s">
        <v>11</v>
      </c>
      <c r="H728" s="254"/>
      <c r="I728" s="49">
        <v>1</v>
      </c>
      <c r="J728" s="49">
        <v>1</v>
      </c>
      <c r="K728" s="52">
        <f t="shared" si="114"/>
        <v>1</v>
      </c>
      <c r="L728" s="209">
        <f t="shared" si="115"/>
        <v>0</v>
      </c>
      <c r="M728" s="210">
        <f t="shared" si="116"/>
        <v>0</v>
      </c>
      <c r="N728" s="26">
        <v>45218</v>
      </c>
      <c r="O728" s="26">
        <v>45218</v>
      </c>
      <c r="P728" s="26">
        <v>45218</v>
      </c>
      <c r="Q728" s="2">
        <f t="shared" si="110"/>
        <v>1</v>
      </c>
      <c r="S728" s="7">
        <f t="shared" si="117"/>
        <v>1</v>
      </c>
      <c r="T728" s="157">
        <f t="shared" si="118"/>
        <v>1</v>
      </c>
      <c r="V728" s="191">
        <f t="shared" si="111"/>
        <v>10</v>
      </c>
      <c r="W728" s="7">
        <f t="shared" si="112"/>
        <v>2023</v>
      </c>
    </row>
    <row r="729" spans="1:23" ht="31.95" customHeight="1" thickBot="1" x14ac:dyDescent="0.35">
      <c r="A729" s="15">
        <f t="shared" si="113"/>
        <v>2</v>
      </c>
      <c r="B729" s="26">
        <v>45218</v>
      </c>
      <c r="C729" s="51">
        <f t="shared" si="119"/>
        <v>725</v>
      </c>
      <c r="D729" s="27" t="s">
        <v>305</v>
      </c>
      <c r="E729" s="26" t="s">
        <v>11</v>
      </c>
      <c r="F729" s="28" t="s">
        <v>11</v>
      </c>
      <c r="G729" s="28" t="s">
        <v>11</v>
      </c>
      <c r="H729" s="254"/>
      <c r="I729" s="49">
        <v>2</v>
      </c>
      <c r="J729" s="49">
        <v>2</v>
      </c>
      <c r="K729" s="52">
        <f t="shared" si="114"/>
        <v>1</v>
      </c>
      <c r="L729" s="209">
        <f t="shared" si="115"/>
        <v>0</v>
      </c>
      <c r="M729" s="210">
        <f t="shared" si="116"/>
        <v>0</v>
      </c>
      <c r="N729" s="26">
        <v>45218</v>
      </c>
      <c r="O729" s="26">
        <v>45218</v>
      </c>
      <c r="P729" s="26">
        <v>45218</v>
      </c>
      <c r="Q729" s="2">
        <f t="shared" si="110"/>
        <v>1</v>
      </c>
      <c r="S729" s="7">
        <f t="shared" si="117"/>
        <v>1</v>
      </c>
      <c r="T729" s="157">
        <f t="shared" si="118"/>
        <v>1</v>
      </c>
      <c r="V729" s="191">
        <f t="shared" si="111"/>
        <v>10</v>
      </c>
      <c r="W729" s="7">
        <f t="shared" si="112"/>
        <v>2023</v>
      </c>
    </row>
    <row r="730" spans="1:23" ht="31.95" customHeight="1" thickBot="1" x14ac:dyDescent="0.35">
      <c r="A730" s="15">
        <f t="shared" si="113"/>
        <v>2</v>
      </c>
      <c r="B730" s="26">
        <v>45218</v>
      </c>
      <c r="C730" s="51">
        <f t="shared" si="119"/>
        <v>726</v>
      </c>
      <c r="D730" s="27" t="s">
        <v>863</v>
      </c>
      <c r="E730" s="26" t="s">
        <v>125</v>
      </c>
      <c r="F730" s="28" t="s">
        <v>11</v>
      </c>
      <c r="G730" s="28" t="s">
        <v>11</v>
      </c>
      <c r="H730" s="254"/>
      <c r="I730" s="49">
        <v>2</v>
      </c>
      <c r="J730" s="49">
        <v>2</v>
      </c>
      <c r="K730" s="52">
        <f t="shared" si="114"/>
        <v>1</v>
      </c>
      <c r="L730" s="209">
        <f t="shared" si="115"/>
        <v>0</v>
      </c>
      <c r="M730" s="210">
        <f t="shared" si="116"/>
        <v>0</v>
      </c>
      <c r="N730" s="26">
        <v>45229</v>
      </c>
      <c r="O730" s="26">
        <v>45229</v>
      </c>
      <c r="P730" s="26">
        <v>45229</v>
      </c>
      <c r="Q730" s="2">
        <f t="shared" si="110"/>
        <v>1</v>
      </c>
      <c r="S730" s="7">
        <f t="shared" si="117"/>
        <v>1</v>
      </c>
      <c r="T730" s="157">
        <f t="shared" si="118"/>
        <v>1</v>
      </c>
      <c r="V730" s="191">
        <f t="shared" si="111"/>
        <v>10</v>
      </c>
      <c r="W730" s="7">
        <f t="shared" si="112"/>
        <v>2023</v>
      </c>
    </row>
    <row r="731" spans="1:23" ht="31.95" customHeight="1" thickBot="1" x14ac:dyDescent="0.35">
      <c r="A731" s="15">
        <f t="shared" si="113"/>
        <v>2</v>
      </c>
      <c r="B731" s="26">
        <v>45223</v>
      </c>
      <c r="C731" s="51">
        <f t="shared" si="119"/>
        <v>727</v>
      </c>
      <c r="D731" s="27" t="s">
        <v>705</v>
      </c>
      <c r="E731" s="26" t="s">
        <v>11</v>
      </c>
      <c r="F731" s="28" t="s">
        <v>11</v>
      </c>
      <c r="G731" s="28" t="s">
        <v>11</v>
      </c>
      <c r="H731" s="254"/>
      <c r="I731" s="49">
        <v>2</v>
      </c>
      <c r="J731" s="49">
        <v>2</v>
      </c>
      <c r="K731" s="52">
        <f t="shared" si="114"/>
        <v>1</v>
      </c>
      <c r="L731" s="209">
        <f t="shared" si="115"/>
        <v>0</v>
      </c>
      <c r="M731" s="210">
        <f t="shared" si="116"/>
        <v>0</v>
      </c>
      <c r="N731" s="26">
        <v>45223</v>
      </c>
      <c r="O731" s="26">
        <v>45223</v>
      </c>
      <c r="P731" s="26">
        <v>45223</v>
      </c>
      <c r="Q731" s="2">
        <f t="shared" si="110"/>
        <v>1</v>
      </c>
      <c r="S731" s="7">
        <f t="shared" si="117"/>
        <v>1</v>
      </c>
      <c r="T731" s="157">
        <f t="shared" si="118"/>
        <v>1</v>
      </c>
      <c r="V731" s="191">
        <f t="shared" si="111"/>
        <v>10</v>
      </c>
      <c r="W731" s="7">
        <f t="shared" si="112"/>
        <v>2023</v>
      </c>
    </row>
    <row r="732" spans="1:23" ht="31.95" customHeight="1" thickBot="1" x14ac:dyDescent="0.35">
      <c r="A732" s="15">
        <f t="shared" si="113"/>
        <v>3</v>
      </c>
      <c r="B732" s="26">
        <v>45223</v>
      </c>
      <c r="C732" s="51">
        <f t="shared" si="119"/>
        <v>728</v>
      </c>
      <c r="D732" s="27" t="s">
        <v>305</v>
      </c>
      <c r="E732" s="26" t="s">
        <v>11</v>
      </c>
      <c r="F732" s="28" t="s">
        <v>11</v>
      </c>
      <c r="G732" s="28" t="s">
        <v>11</v>
      </c>
      <c r="H732" s="254"/>
      <c r="I732" s="49">
        <v>3</v>
      </c>
      <c r="J732" s="49">
        <v>3</v>
      </c>
      <c r="K732" s="52">
        <f t="shared" si="114"/>
        <v>1</v>
      </c>
      <c r="L732" s="209">
        <f t="shared" si="115"/>
        <v>0</v>
      </c>
      <c r="M732" s="210">
        <f t="shared" si="116"/>
        <v>0</v>
      </c>
      <c r="N732" s="26">
        <v>45223</v>
      </c>
      <c r="O732" s="26">
        <v>45223</v>
      </c>
      <c r="P732" s="26">
        <v>45223</v>
      </c>
      <c r="Q732" s="2">
        <f t="shared" si="110"/>
        <v>1</v>
      </c>
      <c r="S732" s="7">
        <f t="shared" si="117"/>
        <v>1</v>
      </c>
      <c r="T732" s="157">
        <f t="shared" si="118"/>
        <v>1</v>
      </c>
      <c r="V732" s="191">
        <f t="shared" si="111"/>
        <v>10</v>
      </c>
      <c r="W732" s="7">
        <f t="shared" si="112"/>
        <v>2023</v>
      </c>
    </row>
    <row r="733" spans="1:23" ht="31.95" customHeight="1" thickBot="1" x14ac:dyDescent="0.35">
      <c r="A733" s="15">
        <f t="shared" si="113"/>
        <v>0</v>
      </c>
      <c r="B733" s="26">
        <v>45223</v>
      </c>
      <c r="C733" s="51">
        <f t="shared" si="119"/>
        <v>729</v>
      </c>
      <c r="D733" s="27"/>
      <c r="E733" s="28" t="s">
        <v>125</v>
      </c>
      <c r="F733" s="28" t="s">
        <v>11</v>
      </c>
      <c r="G733" s="28" t="s">
        <v>11</v>
      </c>
      <c r="H733" s="254"/>
      <c r="I733" s="49">
        <v>0</v>
      </c>
      <c r="J733" s="49">
        <v>0</v>
      </c>
      <c r="K733" s="52" t="str">
        <f t="shared" si="114"/>
        <v/>
      </c>
      <c r="L733" s="209">
        <f t="shared" si="115"/>
        <v>0</v>
      </c>
      <c r="M733" s="210" t="str">
        <f t="shared" si="116"/>
        <v/>
      </c>
      <c r="N733" s="28" t="s">
        <v>11</v>
      </c>
      <c r="O733" s="28" t="s">
        <v>11</v>
      </c>
      <c r="P733" s="28" t="s">
        <v>11</v>
      </c>
      <c r="Q733" s="2">
        <f t="shared" si="110"/>
        <v>1</v>
      </c>
      <c r="S733" s="7">
        <f t="shared" si="117"/>
        <v>1</v>
      </c>
      <c r="T733" s="157">
        <f t="shared" si="118"/>
        <v>1</v>
      </c>
      <c r="V733" s="191">
        <f t="shared" si="111"/>
        <v>10</v>
      </c>
      <c r="W733" s="7">
        <f t="shared" si="112"/>
        <v>2023</v>
      </c>
    </row>
    <row r="734" spans="1:23" ht="31.95" customHeight="1" thickBot="1" x14ac:dyDescent="0.35">
      <c r="A734" s="15">
        <f t="shared" si="113"/>
        <v>3</v>
      </c>
      <c r="B734" s="26">
        <v>45225</v>
      </c>
      <c r="C734" s="51">
        <f t="shared" si="119"/>
        <v>730</v>
      </c>
      <c r="D734" s="27" t="s">
        <v>305</v>
      </c>
      <c r="E734" s="26" t="s">
        <v>11</v>
      </c>
      <c r="F734" s="28" t="s">
        <v>11</v>
      </c>
      <c r="G734" s="28" t="s">
        <v>11</v>
      </c>
      <c r="H734" s="254"/>
      <c r="I734" s="49">
        <v>3</v>
      </c>
      <c r="J734" s="49">
        <v>3</v>
      </c>
      <c r="K734" s="52">
        <f t="shared" si="114"/>
        <v>1</v>
      </c>
      <c r="L734" s="209">
        <f t="shared" si="115"/>
        <v>0</v>
      </c>
      <c r="M734" s="210">
        <f t="shared" si="116"/>
        <v>0</v>
      </c>
      <c r="N734" s="26">
        <v>45225</v>
      </c>
      <c r="O734" s="26">
        <v>45225</v>
      </c>
      <c r="P734" s="26">
        <v>45225</v>
      </c>
      <c r="Q734" s="2">
        <f t="shared" si="110"/>
        <v>1</v>
      </c>
      <c r="S734" s="7">
        <f t="shared" si="117"/>
        <v>1</v>
      </c>
      <c r="T734" s="157">
        <f t="shared" si="118"/>
        <v>1</v>
      </c>
      <c r="V734" s="191">
        <f t="shared" si="111"/>
        <v>10</v>
      </c>
      <c r="W734" s="7">
        <f t="shared" si="112"/>
        <v>2023</v>
      </c>
    </row>
    <row r="735" spans="1:23" ht="31.95" customHeight="1" thickBot="1" x14ac:dyDescent="0.35">
      <c r="A735" s="15">
        <f t="shared" si="113"/>
        <v>2</v>
      </c>
      <c r="B735" s="26">
        <v>45226</v>
      </c>
      <c r="C735" s="51">
        <f t="shared" si="119"/>
        <v>731</v>
      </c>
      <c r="D735" s="27" t="s">
        <v>305</v>
      </c>
      <c r="E735" s="26" t="s">
        <v>11</v>
      </c>
      <c r="F735" s="28" t="s">
        <v>11</v>
      </c>
      <c r="G735" s="28" t="s">
        <v>11</v>
      </c>
      <c r="H735" s="254"/>
      <c r="I735" s="49">
        <v>2</v>
      </c>
      <c r="J735" s="49">
        <v>2</v>
      </c>
      <c r="K735" s="52">
        <f t="shared" si="114"/>
        <v>1</v>
      </c>
      <c r="L735" s="209">
        <f t="shared" si="115"/>
        <v>0</v>
      </c>
      <c r="M735" s="210">
        <f t="shared" si="116"/>
        <v>0</v>
      </c>
      <c r="N735" s="26">
        <v>45226</v>
      </c>
      <c r="O735" s="26">
        <v>45226</v>
      </c>
      <c r="P735" s="26">
        <v>45226</v>
      </c>
      <c r="Q735" s="2">
        <f t="shared" si="110"/>
        <v>1</v>
      </c>
      <c r="S735" s="7">
        <f t="shared" si="117"/>
        <v>1</v>
      </c>
      <c r="T735" s="157">
        <f t="shared" si="118"/>
        <v>1</v>
      </c>
      <c r="V735" s="191">
        <f t="shared" si="111"/>
        <v>10</v>
      </c>
      <c r="W735" s="7">
        <f t="shared" si="112"/>
        <v>2023</v>
      </c>
    </row>
    <row r="736" spans="1:23" ht="31.95" customHeight="1" thickBot="1" x14ac:dyDescent="0.35">
      <c r="A736" s="15">
        <f t="shared" si="113"/>
        <v>2</v>
      </c>
      <c r="B736" s="26">
        <v>45229</v>
      </c>
      <c r="C736" s="51">
        <f t="shared" si="119"/>
        <v>732</v>
      </c>
      <c r="D736" s="27" t="s">
        <v>321</v>
      </c>
      <c r="E736" s="26" t="s">
        <v>11</v>
      </c>
      <c r="F736" s="28" t="s">
        <v>11</v>
      </c>
      <c r="G736" s="28" t="s">
        <v>11</v>
      </c>
      <c r="H736" s="254"/>
      <c r="I736" s="49">
        <v>2</v>
      </c>
      <c r="J736" s="49">
        <v>2</v>
      </c>
      <c r="K736" s="52">
        <f t="shared" si="114"/>
        <v>1</v>
      </c>
      <c r="L736" s="209">
        <f t="shared" si="115"/>
        <v>0</v>
      </c>
      <c r="M736" s="210">
        <f t="shared" si="116"/>
        <v>0</v>
      </c>
      <c r="N736" s="26">
        <v>45229</v>
      </c>
      <c r="O736" s="26">
        <v>45229</v>
      </c>
      <c r="P736" s="26">
        <v>45229</v>
      </c>
      <c r="Q736" s="2">
        <f t="shared" si="110"/>
        <v>1</v>
      </c>
      <c r="S736" s="7">
        <f t="shared" si="117"/>
        <v>1</v>
      </c>
      <c r="T736" s="157">
        <f t="shared" si="118"/>
        <v>1</v>
      </c>
      <c r="V736" s="191">
        <f t="shared" si="111"/>
        <v>10</v>
      </c>
      <c r="W736" s="7">
        <f t="shared" si="112"/>
        <v>2023</v>
      </c>
    </row>
    <row r="737" spans="1:23" ht="31.95" customHeight="1" thickBot="1" x14ac:dyDescent="0.35">
      <c r="A737" s="15">
        <f t="shared" si="113"/>
        <v>1</v>
      </c>
      <c r="B737" s="26">
        <v>45229</v>
      </c>
      <c r="C737" s="51">
        <f t="shared" si="119"/>
        <v>733</v>
      </c>
      <c r="D737" s="27" t="s">
        <v>480</v>
      </c>
      <c r="E737" s="26" t="s">
        <v>125</v>
      </c>
      <c r="F737" s="28" t="s">
        <v>11</v>
      </c>
      <c r="G737" s="28" t="s">
        <v>11</v>
      </c>
      <c r="H737" s="254"/>
      <c r="I737" s="49">
        <v>1</v>
      </c>
      <c r="J737" s="49">
        <v>1</v>
      </c>
      <c r="K737" s="52">
        <f t="shared" si="114"/>
        <v>1</v>
      </c>
      <c r="L737" s="209">
        <f t="shared" si="115"/>
        <v>0</v>
      </c>
      <c r="M737" s="210">
        <f t="shared" si="116"/>
        <v>0</v>
      </c>
      <c r="N737" s="26">
        <v>45229</v>
      </c>
      <c r="O737" s="26">
        <v>45229</v>
      </c>
      <c r="P737" s="26">
        <v>45229</v>
      </c>
      <c r="Q737" s="2">
        <f t="shared" si="110"/>
        <v>1</v>
      </c>
      <c r="S737" s="7">
        <f t="shared" si="117"/>
        <v>1</v>
      </c>
      <c r="T737" s="157">
        <f t="shared" si="118"/>
        <v>1</v>
      </c>
      <c r="V737" s="191">
        <f t="shared" si="111"/>
        <v>10</v>
      </c>
      <c r="W737" s="7">
        <f t="shared" si="112"/>
        <v>2023</v>
      </c>
    </row>
    <row r="738" spans="1:23" ht="31.95" customHeight="1" thickBot="1" x14ac:dyDescent="0.35">
      <c r="A738" s="15">
        <f t="shared" si="113"/>
        <v>2</v>
      </c>
      <c r="B738" s="26">
        <v>45229</v>
      </c>
      <c r="C738" s="51">
        <f t="shared" si="119"/>
        <v>734</v>
      </c>
      <c r="D738" s="27" t="s">
        <v>890</v>
      </c>
      <c r="E738" s="26" t="s">
        <v>125</v>
      </c>
      <c r="F738" s="28" t="s">
        <v>11</v>
      </c>
      <c r="G738" s="28" t="s">
        <v>11</v>
      </c>
      <c r="H738" s="254"/>
      <c r="I738" s="49">
        <v>2</v>
      </c>
      <c r="J738" s="49">
        <v>2</v>
      </c>
      <c r="K738" s="52">
        <f t="shared" si="114"/>
        <v>1</v>
      </c>
      <c r="L738" s="209">
        <f t="shared" si="115"/>
        <v>0</v>
      </c>
      <c r="M738" s="210">
        <f t="shared" si="116"/>
        <v>0</v>
      </c>
      <c r="N738" s="26">
        <v>45229</v>
      </c>
      <c r="O738" s="26">
        <v>45229</v>
      </c>
      <c r="P738" s="26">
        <v>45229</v>
      </c>
      <c r="Q738" s="2">
        <f t="shared" si="110"/>
        <v>1</v>
      </c>
      <c r="S738" s="7">
        <f t="shared" si="117"/>
        <v>1</v>
      </c>
      <c r="T738" s="157">
        <f t="shared" si="118"/>
        <v>1</v>
      </c>
      <c r="V738" s="191">
        <f t="shared" si="111"/>
        <v>10</v>
      </c>
      <c r="W738" s="7">
        <f t="shared" si="112"/>
        <v>2023</v>
      </c>
    </row>
    <row r="739" spans="1:23" ht="31.95" customHeight="1" thickBot="1" x14ac:dyDescent="0.35">
      <c r="A739" s="15">
        <f t="shared" si="113"/>
        <v>2</v>
      </c>
      <c r="B739" s="26">
        <v>45237</v>
      </c>
      <c r="C739" s="51">
        <f t="shared" si="119"/>
        <v>735</v>
      </c>
      <c r="D739" s="27" t="s">
        <v>305</v>
      </c>
      <c r="E739" s="26" t="s">
        <v>11</v>
      </c>
      <c r="F739" s="28" t="s">
        <v>11</v>
      </c>
      <c r="G739" s="28" t="s">
        <v>11</v>
      </c>
      <c r="H739" s="254"/>
      <c r="I739" s="49">
        <v>2</v>
      </c>
      <c r="J739" s="49">
        <v>2</v>
      </c>
      <c r="K739" s="52">
        <f t="shared" si="114"/>
        <v>1</v>
      </c>
      <c r="L739" s="209">
        <f t="shared" si="115"/>
        <v>0</v>
      </c>
      <c r="M739" s="210">
        <f t="shared" si="116"/>
        <v>0</v>
      </c>
      <c r="N739" s="26">
        <v>45237</v>
      </c>
      <c r="O739" s="26">
        <v>45237</v>
      </c>
      <c r="P739" s="26">
        <v>45237</v>
      </c>
      <c r="Q739" s="2">
        <f t="shared" si="110"/>
        <v>1</v>
      </c>
      <c r="S739" s="7">
        <f t="shared" si="117"/>
        <v>1</v>
      </c>
      <c r="T739" s="157">
        <f t="shared" si="118"/>
        <v>1</v>
      </c>
      <c r="V739" s="191">
        <f t="shared" si="111"/>
        <v>11</v>
      </c>
      <c r="W739" s="7">
        <f t="shared" si="112"/>
        <v>2023</v>
      </c>
    </row>
    <row r="740" spans="1:23" ht="31.95" customHeight="1" thickBot="1" x14ac:dyDescent="0.35">
      <c r="A740" s="15">
        <f t="shared" si="113"/>
        <v>1</v>
      </c>
      <c r="B740" s="26">
        <v>45239</v>
      </c>
      <c r="C740" s="51">
        <f t="shared" si="119"/>
        <v>736</v>
      </c>
      <c r="D740" s="27" t="s">
        <v>1206</v>
      </c>
      <c r="E740" s="26" t="s">
        <v>112</v>
      </c>
      <c r="F740" s="28" t="s">
        <v>11</v>
      </c>
      <c r="G740" s="28" t="s">
        <v>11</v>
      </c>
      <c r="H740" s="254"/>
      <c r="I740" s="49">
        <v>1</v>
      </c>
      <c r="J740" s="49">
        <v>1</v>
      </c>
      <c r="K740" s="52">
        <f t="shared" si="114"/>
        <v>1</v>
      </c>
      <c r="L740" s="209">
        <f t="shared" si="115"/>
        <v>0</v>
      </c>
      <c r="M740" s="210">
        <f t="shared" si="116"/>
        <v>0</v>
      </c>
      <c r="N740" s="26">
        <v>45239</v>
      </c>
      <c r="O740" s="26">
        <v>45239</v>
      </c>
      <c r="P740" s="26">
        <v>45239</v>
      </c>
      <c r="Q740" s="2">
        <f t="shared" si="110"/>
        <v>1</v>
      </c>
      <c r="S740" s="7">
        <f t="shared" si="117"/>
        <v>1</v>
      </c>
      <c r="T740" s="157">
        <f t="shared" si="118"/>
        <v>1</v>
      </c>
      <c r="V740" s="191">
        <f t="shared" si="111"/>
        <v>11</v>
      </c>
      <c r="W740" s="7">
        <f t="shared" si="112"/>
        <v>2023</v>
      </c>
    </row>
    <row r="741" spans="1:23" ht="31.95" customHeight="1" thickBot="1" x14ac:dyDescent="0.35">
      <c r="A741" s="15">
        <f t="shared" si="113"/>
        <v>1</v>
      </c>
      <c r="B741" s="26">
        <v>45246</v>
      </c>
      <c r="C741" s="51">
        <f t="shared" si="119"/>
        <v>737</v>
      </c>
      <c r="D741" s="27" t="s">
        <v>850</v>
      </c>
      <c r="E741" s="26" t="s">
        <v>111</v>
      </c>
      <c r="F741" s="28" t="s">
        <v>11</v>
      </c>
      <c r="G741" s="28" t="s">
        <v>11</v>
      </c>
      <c r="H741" s="254"/>
      <c r="I741" s="49">
        <v>1</v>
      </c>
      <c r="J741" s="49">
        <v>1</v>
      </c>
      <c r="K741" s="52">
        <f t="shared" si="114"/>
        <v>1</v>
      </c>
      <c r="L741" s="209">
        <f t="shared" si="115"/>
        <v>0</v>
      </c>
      <c r="M741" s="210">
        <f t="shared" si="116"/>
        <v>0</v>
      </c>
      <c r="N741" s="26">
        <v>45246</v>
      </c>
      <c r="O741" s="26">
        <v>45246</v>
      </c>
      <c r="P741" s="26">
        <v>45246</v>
      </c>
      <c r="Q741" s="2">
        <f t="shared" si="110"/>
        <v>1</v>
      </c>
      <c r="S741" s="7">
        <f t="shared" si="117"/>
        <v>1</v>
      </c>
      <c r="T741" s="157">
        <f t="shared" si="118"/>
        <v>1</v>
      </c>
      <c r="V741" s="191">
        <f t="shared" si="111"/>
        <v>11</v>
      </c>
      <c r="W741" s="7">
        <f t="shared" si="112"/>
        <v>2023</v>
      </c>
    </row>
    <row r="742" spans="1:23" ht="31.95" customHeight="1" thickBot="1" x14ac:dyDescent="0.35">
      <c r="A742" s="15">
        <f t="shared" si="113"/>
        <v>3</v>
      </c>
      <c r="B742" s="26">
        <v>45257</v>
      </c>
      <c r="C742" s="51">
        <f t="shared" si="119"/>
        <v>738</v>
      </c>
      <c r="D742" s="27" t="s">
        <v>1206</v>
      </c>
      <c r="E742" s="26" t="s">
        <v>112</v>
      </c>
      <c r="F742" s="28" t="s">
        <v>11</v>
      </c>
      <c r="G742" s="28" t="s">
        <v>11</v>
      </c>
      <c r="H742" s="254"/>
      <c r="I742" s="49">
        <v>3</v>
      </c>
      <c r="J742" s="49">
        <v>3</v>
      </c>
      <c r="K742" s="52">
        <f t="shared" si="114"/>
        <v>1</v>
      </c>
      <c r="L742" s="209">
        <f t="shared" si="115"/>
        <v>0</v>
      </c>
      <c r="M742" s="210">
        <f t="shared" si="116"/>
        <v>0</v>
      </c>
      <c r="N742" s="26">
        <v>45257</v>
      </c>
      <c r="O742" s="26">
        <v>45257</v>
      </c>
      <c r="P742" s="26">
        <v>45257</v>
      </c>
      <c r="Q742" s="2">
        <f t="shared" si="110"/>
        <v>1</v>
      </c>
      <c r="S742" s="7">
        <f t="shared" si="117"/>
        <v>1</v>
      </c>
      <c r="T742" s="157">
        <f t="shared" si="118"/>
        <v>1</v>
      </c>
      <c r="V742" s="191">
        <f t="shared" si="111"/>
        <v>11</v>
      </c>
      <c r="W742" s="7">
        <f t="shared" si="112"/>
        <v>2023</v>
      </c>
    </row>
    <row r="743" spans="1:23" ht="31.95" customHeight="1" thickBot="1" x14ac:dyDescent="0.35">
      <c r="A743" s="15">
        <f t="shared" si="113"/>
        <v>2</v>
      </c>
      <c r="B743" s="26">
        <v>45260</v>
      </c>
      <c r="C743" s="51">
        <f t="shared" si="119"/>
        <v>739</v>
      </c>
      <c r="D743" s="27" t="s">
        <v>858</v>
      </c>
      <c r="E743" s="26" t="s">
        <v>11</v>
      </c>
      <c r="F743" s="28" t="s">
        <v>11</v>
      </c>
      <c r="G743" s="28" t="s">
        <v>11</v>
      </c>
      <c r="H743" s="254"/>
      <c r="I743" s="49">
        <v>2</v>
      </c>
      <c r="J743" s="49">
        <v>2</v>
      </c>
      <c r="K743" s="52">
        <f t="shared" si="114"/>
        <v>1</v>
      </c>
      <c r="L743" s="209">
        <f t="shared" si="115"/>
        <v>0</v>
      </c>
      <c r="M743" s="210">
        <f t="shared" si="116"/>
        <v>0</v>
      </c>
      <c r="N743" s="26">
        <v>45260</v>
      </c>
      <c r="O743" s="26">
        <v>45260</v>
      </c>
      <c r="P743" s="26">
        <v>45260</v>
      </c>
      <c r="Q743" s="2">
        <f t="shared" si="110"/>
        <v>1</v>
      </c>
      <c r="S743" s="7">
        <f t="shared" si="117"/>
        <v>1</v>
      </c>
      <c r="T743" s="157">
        <f t="shared" si="118"/>
        <v>1</v>
      </c>
      <c r="V743" s="191">
        <f t="shared" si="111"/>
        <v>11</v>
      </c>
      <c r="W743" s="7">
        <f t="shared" si="112"/>
        <v>2023</v>
      </c>
    </row>
    <row r="744" spans="1:23" ht="31.95" customHeight="1" thickBot="1" x14ac:dyDescent="0.35">
      <c r="A744" s="15">
        <f t="shared" si="113"/>
        <v>3</v>
      </c>
      <c r="B744" s="26">
        <v>45260</v>
      </c>
      <c r="C744" s="51">
        <f t="shared" si="119"/>
        <v>740</v>
      </c>
      <c r="D744" s="27" t="s">
        <v>305</v>
      </c>
      <c r="E744" s="26" t="s">
        <v>11</v>
      </c>
      <c r="F744" s="28" t="s">
        <v>11</v>
      </c>
      <c r="G744" s="28" t="s">
        <v>11</v>
      </c>
      <c r="H744" s="254"/>
      <c r="I744" s="49">
        <v>3</v>
      </c>
      <c r="J744" s="49">
        <v>3</v>
      </c>
      <c r="K744" s="52">
        <f t="shared" si="114"/>
        <v>1</v>
      </c>
      <c r="L744" s="209">
        <f t="shared" si="115"/>
        <v>0</v>
      </c>
      <c r="M744" s="210">
        <f t="shared" si="116"/>
        <v>0</v>
      </c>
      <c r="N744" s="26">
        <v>45260</v>
      </c>
      <c r="O744" s="26">
        <v>45260</v>
      </c>
      <c r="P744" s="26">
        <v>45260</v>
      </c>
      <c r="Q744" s="2">
        <f t="shared" si="110"/>
        <v>1</v>
      </c>
      <c r="S744" s="7">
        <f t="shared" si="117"/>
        <v>1</v>
      </c>
      <c r="T744" s="157">
        <f t="shared" si="118"/>
        <v>1</v>
      </c>
      <c r="V744" s="191">
        <f t="shared" si="111"/>
        <v>11</v>
      </c>
      <c r="W744" s="7">
        <f t="shared" si="112"/>
        <v>2023</v>
      </c>
    </row>
    <row r="745" spans="1:23" ht="31.95" customHeight="1" thickBot="1" x14ac:dyDescent="0.35">
      <c r="A745" s="15">
        <f t="shared" si="113"/>
        <v>1</v>
      </c>
      <c r="B745" s="26">
        <v>45266</v>
      </c>
      <c r="C745" s="51">
        <f t="shared" si="119"/>
        <v>741</v>
      </c>
      <c r="D745" s="27" t="s">
        <v>401</v>
      </c>
      <c r="E745" s="26" t="s">
        <v>11</v>
      </c>
      <c r="F745" s="28" t="s">
        <v>11</v>
      </c>
      <c r="G745" s="28" t="s">
        <v>11</v>
      </c>
      <c r="H745" s="254"/>
      <c r="I745" s="49">
        <v>1</v>
      </c>
      <c r="J745" s="49">
        <v>1</v>
      </c>
      <c r="K745" s="52">
        <f t="shared" si="114"/>
        <v>1</v>
      </c>
      <c r="L745" s="209">
        <f t="shared" si="115"/>
        <v>0</v>
      </c>
      <c r="M745" s="210">
        <f t="shared" si="116"/>
        <v>0</v>
      </c>
      <c r="N745" s="26">
        <v>45266</v>
      </c>
      <c r="O745" s="26">
        <v>45266</v>
      </c>
      <c r="P745" s="26">
        <v>45266</v>
      </c>
      <c r="Q745" s="2">
        <f t="shared" si="110"/>
        <v>1</v>
      </c>
      <c r="S745" s="7">
        <f t="shared" si="117"/>
        <v>1</v>
      </c>
      <c r="T745" s="157">
        <f t="shared" si="118"/>
        <v>1</v>
      </c>
      <c r="V745" s="191">
        <f t="shared" si="111"/>
        <v>12</v>
      </c>
      <c r="W745" s="7">
        <f t="shared" si="112"/>
        <v>2023</v>
      </c>
    </row>
    <row r="746" spans="1:23" ht="31.95" customHeight="1" thickBot="1" x14ac:dyDescent="0.35">
      <c r="A746" s="15">
        <f t="shared" si="113"/>
        <v>1</v>
      </c>
      <c r="B746" s="26">
        <v>45273</v>
      </c>
      <c r="C746" s="51">
        <f t="shared" si="119"/>
        <v>742</v>
      </c>
      <c r="D746" s="27" t="s">
        <v>673</v>
      </c>
      <c r="E746" s="26" t="s">
        <v>128</v>
      </c>
      <c r="F746" s="28" t="s">
        <v>11</v>
      </c>
      <c r="G746" s="28" t="s">
        <v>11</v>
      </c>
      <c r="H746" s="254"/>
      <c r="I746" s="49">
        <v>1</v>
      </c>
      <c r="J746" s="49">
        <v>1</v>
      </c>
      <c r="K746" s="52">
        <f t="shared" si="114"/>
        <v>1</v>
      </c>
      <c r="L746" s="209">
        <f t="shared" si="115"/>
        <v>0</v>
      </c>
      <c r="M746" s="210">
        <f t="shared" si="116"/>
        <v>0</v>
      </c>
      <c r="N746" s="26">
        <v>45279</v>
      </c>
      <c r="O746" s="26">
        <v>45279</v>
      </c>
      <c r="P746" s="26">
        <v>45279</v>
      </c>
      <c r="Q746" s="2">
        <f t="shared" si="110"/>
        <v>1</v>
      </c>
      <c r="S746" s="7">
        <f t="shared" si="117"/>
        <v>1</v>
      </c>
      <c r="T746" s="157">
        <f t="shared" si="118"/>
        <v>1</v>
      </c>
      <c r="V746" s="191">
        <f t="shared" si="111"/>
        <v>12</v>
      </c>
      <c r="W746" s="7">
        <f t="shared" si="112"/>
        <v>2023</v>
      </c>
    </row>
    <row r="747" spans="1:23" ht="31.95" customHeight="1" thickBot="1" x14ac:dyDescent="0.35">
      <c r="A747" s="15">
        <f t="shared" si="113"/>
        <v>5</v>
      </c>
      <c r="B747" s="26">
        <v>45274</v>
      </c>
      <c r="C747" s="51">
        <f t="shared" si="119"/>
        <v>743</v>
      </c>
      <c r="D747" s="27" t="s">
        <v>524</v>
      </c>
      <c r="E747" s="26" t="s">
        <v>129</v>
      </c>
      <c r="F747" s="28" t="s">
        <v>11</v>
      </c>
      <c r="G747" s="28" t="s">
        <v>11</v>
      </c>
      <c r="H747" s="254"/>
      <c r="I747" s="49">
        <v>5</v>
      </c>
      <c r="J747" s="49">
        <v>5</v>
      </c>
      <c r="K747" s="52">
        <f t="shared" si="114"/>
        <v>1</v>
      </c>
      <c r="L747" s="209">
        <f t="shared" si="115"/>
        <v>0</v>
      </c>
      <c r="M747" s="210">
        <f t="shared" si="116"/>
        <v>0</v>
      </c>
      <c r="N747" s="26">
        <v>45278</v>
      </c>
      <c r="O747" s="26">
        <v>45278</v>
      </c>
      <c r="P747" s="26">
        <v>45278</v>
      </c>
      <c r="Q747" s="2">
        <f t="shared" si="110"/>
        <v>1</v>
      </c>
      <c r="S747" s="7">
        <f t="shared" si="117"/>
        <v>1</v>
      </c>
      <c r="T747" s="157">
        <f t="shared" si="118"/>
        <v>1</v>
      </c>
      <c r="V747" s="191">
        <f t="shared" si="111"/>
        <v>12</v>
      </c>
      <c r="W747" s="7">
        <f t="shared" si="112"/>
        <v>2023</v>
      </c>
    </row>
    <row r="748" spans="1:23" ht="31.95" customHeight="1" thickBot="1" x14ac:dyDescent="0.35">
      <c r="A748" s="15">
        <f t="shared" si="113"/>
        <v>7</v>
      </c>
      <c r="B748" s="26">
        <v>45274</v>
      </c>
      <c r="C748" s="51">
        <f t="shared" si="119"/>
        <v>744</v>
      </c>
      <c r="D748" s="27" t="s">
        <v>1121</v>
      </c>
      <c r="E748" s="26" t="s">
        <v>129</v>
      </c>
      <c r="F748" s="28" t="s">
        <v>11</v>
      </c>
      <c r="G748" s="28" t="s">
        <v>11</v>
      </c>
      <c r="H748" s="254"/>
      <c r="I748" s="49">
        <v>7</v>
      </c>
      <c r="J748" s="49">
        <v>7</v>
      </c>
      <c r="K748" s="52">
        <f t="shared" si="114"/>
        <v>1</v>
      </c>
      <c r="L748" s="209">
        <f t="shared" si="115"/>
        <v>0</v>
      </c>
      <c r="M748" s="210">
        <f t="shared" si="116"/>
        <v>0</v>
      </c>
      <c r="N748" s="26">
        <v>45281</v>
      </c>
      <c r="O748" s="26">
        <v>45281</v>
      </c>
      <c r="P748" s="26">
        <v>45281</v>
      </c>
      <c r="Q748" s="2">
        <f t="shared" si="110"/>
        <v>1</v>
      </c>
      <c r="S748" s="7">
        <f t="shared" si="117"/>
        <v>1</v>
      </c>
      <c r="T748" s="157">
        <f t="shared" si="118"/>
        <v>1</v>
      </c>
      <c r="V748" s="191">
        <f t="shared" si="111"/>
        <v>12</v>
      </c>
      <c r="W748" s="7">
        <f t="shared" si="112"/>
        <v>2023</v>
      </c>
    </row>
    <row r="749" spans="1:23" ht="31.95" customHeight="1" thickBot="1" x14ac:dyDescent="0.35">
      <c r="A749" s="15">
        <f t="shared" si="113"/>
        <v>2</v>
      </c>
      <c r="B749" s="26">
        <v>45274</v>
      </c>
      <c r="C749" s="51">
        <f t="shared" si="119"/>
        <v>745</v>
      </c>
      <c r="D749" s="27" t="s">
        <v>890</v>
      </c>
      <c r="E749" s="26" t="s">
        <v>129</v>
      </c>
      <c r="F749" s="28" t="s">
        <v>11</v>
      </c>
      <c r="G749" s="28" t="s">
        <v>11</v>
      </c>
      <c r="H749" s="254"/>
      <c r="I749" s="49">
        <v>2</v>
      </c>
      <c r="J749" s="49">
        <v>2</v>
      </c>
      <c r="K749" s="52">
        <f t="shared" si="114"/>
        <v>1</v>
      </c>
      <c r="L749" s="209">
        <f t="shared" si="115"/>
        <v>0</v>
      </c>
      <c r="M749" s="210">
        <f t="shared" si="116"/>
        <v>0</v>
      </c>
      <c r="N749" s="26">
        <v>44934</v>
      </c>
      <c r="O749" s="26">
        <v>44934</v>
      </c>
      <c r="P749" s="26">
        <v>44934</v>
      </c>
      <c r="Q749" s="2">
        <f t="shared" si="110"/>
        <v>1</v>
      </c>
      <c r="S749" s="7">
        <f t="shared" si="117"/>
        <v>1</v>
      </c>
      <c r="T749" s="157">
        <f t="shared" si="118"/>
        <v>1</v>
      </c>
      <c r="V749" s="191">
        <f t="shared" si="111"/>
        <v>12</v>
      </c>
      <c r="W749" s="7">
        <f t="shared" si="112"/>
        <v>2023</v>
      </c>
    </row>
    <row r="750" spans="1:23" ht="31.95" customHeight="1" thickBot="1" x14ac:dyDescent="0.35">
      <c r="A750" s="15">
        <f t="shared" si="113"/>
        <v>2</v>
      </c>
      <c r="B750" s="26">
        <v>45274</v>
      </c>
      <c r="C750" s="51">
        <f t="shared" si="119"/>
        <v>746</v>
      </c>
      <c r="D750" s="27" t="s">
        <v>871</v>
      </c>
      <c r="E750" s="26" t="s">
        <v>128</v>
      </c>
      <c r="F750" s="28" t="s">
        <v>11</v>
      </c>
      <c r="G750" s="28" t="s">
        <v>11</v>
      </c>
      <c r="H750" s="254"/>
      <c r="I750" s="49">
        <v>2</v>
      </c>
      <c r="J750" s="49">
        <v>2</v>
      </c>
      <c r="K750" s="52">
        <f t="shared" si="114"/>
        <v>1</v>
      </c>
      <c r="L750" s="209">
        <f t="shared" si="115"/>
        <v>0</v>
      </c>
      <c r="M750" s="210">
        <f t="shared" si="116"/>
        <v>0</v>
      </c>
      <c r="N750" s="26">
        <v>45275</v>
      </c>
      <c r="O750" s="26">
        <v>45275</v>
      </c>
      <c r="P750" s="26">
        <v>45275</v>
      </c>
      <c r="Q750" s="2">
        <f t="shared" si="110"/>
        <v>1</v>
      </c>
      <c r="S750" s="7">
        <f t="shared" si="117"/>
        <v>1</v>
      </c>
      <c r="T750" s="157">
        <f t="shared" si="118"/>
        <v>1</v>
      </c>
      <c r="V750" s="191">
        <f t="shared" si="111"/>
        <v>12</v>
      </c>
      <c r="W750" s="7">
        <f t="shared" si="112"/>
        <v>2023</v>
      </c>
    </row>
    <row r="751" spans="1:23" ht="31.95" customHeight="1" thickBot="1" x14ac:dyDescent="0.35">
      <c r="A751" s="15">
        <f t="shared" si="113"/>
        <v>4</v>
      </c>
      <c r="B751" s="26">
        <v>45279</v>
      </c>
      <c r="C751" s="51">
        <f t="shared" si="119"/>
        <v>747</v>
      </c>
      <c r="D751" s="27" t="s">
        <v>1206</v>
      </c>
      <c r="E751" s="26" t="s">
        <v>135</v>
      </c>
      <c r="F751" s="28" t="s">
        <v>11</v>
      </c>
      <c r="G751" s="28" t="s">
        <v>11</v>
      </c>
      <c r="H751" s="254"/>
      <c r="I751" s="49">
        <v>4</v>
      </c>
      <c r="J751" s="49">
        <v>4</v>
      </c>
      <c r="K751" s="52">
        <f t="shared" si="114"/>
        <v>1</v>
      </c>
      <c r="L751" s="209">
        <f t="shared" si="115"/>
        <v>0</v>
      </c>
      <c r="M751" s="210">
        <f t="shared" si="116"/>
        <v>0</v>
      </c>
      <c r="N751" s="26">
        <v>45279</v>
      </c>
      <c r="O751" s="26">
        <v>45279</v>
      </c>
      <c r="P751" s="26">
        <v>45279</v>
      </c>
      <c r="Q751" s="2">
        <f t="shared" si="110"/>
        <v>1</v>
      </c>
      <c r="S751" s="7">
        <f t="shared" si="117"/>
        <v>1</v>
      </c>
      <c r="T751" s="157">
        <f t="shared" si="118"/>
        <v>1</v>
      </c>
      <c r="V751" s="191">
        <f t="shared" si="111"/>
        <v>12</v>
      </c>
      <c r="W751" s="7">
        <f t="shared" si="112"/>
        <v>2023</v>
      </c>
    </row>
    <row r="752" spans="1:23" ht="31.95" customHeight="1" thickBot="1" x14ac:dyDescent="0.35">
      <c r="A752" s="15">
        <f t="shared" si="113"/>
        <v>1</v>
      </c>
      <c r="B752" s="26">
        <v>45279</v>
      </c>
      <c r="C752" s="51">
        <f t="shared" si="119"/>
        <v>748</v>
      </c>
      <c r="D752" s="27" t="s">
        <v>965</v>
      </c>
      <c r="E752" s="26" t="s">
        <v>123</v>
      </c>
      <c r="F752" s="28" t="s">
        <v>11</v>
      </c>
      <c r="G752" s="28" t="s">
        <v>11</v>
      </c>
      <c r="H752" s="254"/>
      <c r="I752" s="49">
        <v>1</v>
      </c>
      <c r="J752" s="49">
        <v>1</v>
      </c>
      <c r="K752" s="52">
        <f t="shared" si="114"/>
        <v>1</v>
      </c>
      <c r="L752" s="209">
        <f t="shared" si="115"/>
        <v>0</v>
      </c>
      <c r="M752" s="210">
        <f t="shared" si="116"/>
        <v>0</v>
      </c>
      <c r="N752" s="26">
        <v>45279</v>
      </c>
      <c r="O752" s="26">
        <v>45279</v>
      </c>
      <c r="P752" s="26">
        <v>45279</v>
      </c>
      <c r="Q752" s="2">
        <f t="shared" si="110"/>
        <v>1</v>
      </c>
      <c r="S752" s="7">
        <f t="shared" si="117"/>
        <v>1</v>
      </c>
      <c r="T752" s="157">
        <f t="shared" si="118"/>
        <v>1</v>
      </c>
      <c r="V752" s="191">
        <f t="shared" si="111"/>
        <v>12</v>
      </c>
      <c r="W752" s="7">
        <f t="shared" si="112"/>
        <v>2023</v>
      </c>
    </row>
    <row r="753" spans="1:23" ht="31.95" customHeight="1" thickBot="1" x14ac:dyDescent="0.35">
      <c r="A753" s="15">
        <f t="shared" si="113"/>
        <v>2</v>
      </c>
      <c r="B753" s="26">
        <v>45279</v>
      </c>
      <c r="C753" s="51">
        <f t="shared" si="119"/>
        <v>749</v>
      </c>
      <c r="D753" s="27" t="s">
        <v>871</v>
      </c>
      <c r="E753" s="26" t="s">
        <v>129</v>
      </c>
      <c r="F753" s="28" t="s">
        <v>11</v>
      </c>
      <c r="G753" s="28" t="s">
        <v>11</v>
      </c>
      <c r="H753" s="254"/>
      <c r="I753" s="49">
        <v>2</v>
      </c>
      <c r="J753" s="49">
        <v>2</v>
      </c>
      <c r="K753" s="52">
        <f t="shared" si="114"/>
        <v>1</v>
      </c>
      <c r="L753" s="209">
        <f t="shared" si="115"/>
        <v>0</v>
      </c>
      <c r="M753" s="210">
        <f t="shared" si="116"/>
        <v>0</v>
      </c>
      <c r="N753" s="26">
        <v>45280</v>
      </c>
      <c r="O753" s="26">
        <v>45280</v>
      </c>
      <c r="P753" s="26">
        <v>45280</v>
      </c>
      <c r="Q753" s="2">
        <f t="shared" si="110"/>
        <v>1</v>
      </c>
      <c r="S753" s="7">
        <f t="shared" si="117"/>
        <v>1</v>
      </c>
      <c r="T753" s="157">
        <f t="shared" si="118"/>
        <v>1</v>
      </c>
      <c r="V753" s="191">
        <f t="shared" si="111"/>
        <v>12</v>
      </c>
      <c r="W753" s="7">
        <f t="shared" si="112"/>
        <v>2023</v>
      </c>
    </row>
    <row r="754" spans="1:23" ht="31.95" customHeight="1" thickBot="1" x14ac:dyDescent="0.35">
      <c r="A754" s="15">
        <f t="shared" si="113"/>
        <v>3</v>
      </c>
      <c r="B754" s="26">
        <v>45310</v>
      </c>
      <c r="C754" s="51">
        <f t="shared" si="119"/>
        <v>750</v>
      </c>
      <c r="D754" s="27" t="s">
        <v>978</v>
      </c>
      <c r="E754" s="26" t="s">
        <v>132</v>
      </c>
      <c r="F754" s="28" t="s">
        <v>11</v>
      </c>
      <c r="G754" s="28" t="s">
        <v>11</v>
      </c>
      <c r="H754" s="254"/>
      <c r="I754" s="49">
        <v>3</v>
      </c>
      <c r="J754" s="49">
        <v>3</v>
      </c>
      <c r="K754" s="52">
        <f t="shared" si="114"/>
        <v>1</v>
      </c>
      <c r="L754" s="209">
        <f t="shared" si="115"/>
        <v>0</v>
      </c>
      <c r="M754" s="210">
        <f t="shared" si="116"/>
        <v>0</v>
      </c>
      <c r="N754" s="26">
        <v>45313</v>
      </c>
      <c r="O754" s="26">
        <v>45313</v>
      </c>
      <c r="P754" s="26">
        <v>45313</v>
      </c>
      <c r="Q754" s="2">
        <f t="shared" si="110"/>
        <v>1</v>
      </c>
      <c r="S754" s="7">
        <f t="shared" si="117"/>
        <v>1</v>
      </c>
      <c r="T754" s="157">
        <f t="shared" si="118"/>
        <v>1</v>
      </c>
      <c r="V754" s="191">
        <f t="shared" si="111"/>
        <v>1</v>
      </c>
      <c r="W754" s="7">
        <f t="shared" si="112"/>
        <v>2024</v>
      </c>
    </row>
    <row r="755" spans="1:23" ht="31.95" customHeight="1" thickBot="1" x14ac:dyDescent="0.35">
      <c r="A755" s="15">
        <f t="shared" si="113"/>
        <v>2</v>
      </c>
      <c r="B755" s="26">
        <v>45310</v>
      </c>
      <c r="C755" s="51">
        <f t="shared" si="119"/>
        <v>751</v>
      </c>
      <c r="D755" s="27" t="s">
        <v>524</v>
      </c>
      <c r="E755" s="26" t="s">
        <v>132</v>
      </c>
      <c r="F755" s="28" t="s">
        <v>11</v>
      </c>
      <c r="G755" s="28" t="s">
        <v>11</v>
      </c>
      <c r="H755" s="254"/>
      <c r="I755" s="49">
        <v>2</v>
      </c>
      <c r="J755" s="49">
        <v>2</v>
      </c>
      <c r="K755" s="52">
        <f t="shared" si="114"/>
        <v>1</v>
      </c>
      <c r="L755" s="209">
        <f t="shared" si="115"/>
        <v>0</v>
      </c>
      <c r="M755" s="210">
        <f t="shared" si="116"/>
        <v>0</v>
      </c>
      <c r="N755" s="26">
        <v>45314</v>
      </c>
      <c r="O755" s="26">
        <v>45314</v>
      </c>
      <c r="P755" s="26">
        <v>45314</v>
      </c>
      <c r="Q755" s="2">
        <f t="shared" si="110"/>
        <v>1</v>
      </c>
      <c r="S755" s="7">
        <f t="shared" si="117"/>
        <v>1</v>
      </c>
      <c r="T755" s="157">
        <f t="shared" si="118"/>
        <v>1</v>
      </c>
      <c r="V755" s="191">
        <f t="shared" si="111"/>
        <v>1</v>
      </c>
      <c r="W755" s="7">
        <f t="shared" si="112"/>
        <v>2024</v>
      </c>
    </row>
    <row r="756" spans="1:23" ht="31.95" customHeight="1" thickBot="1" x14ac:dyDescent="0.35">
      <c r="A756" s="15">
        <f t="shared" si="113"/>
        <v>3</v>
      </c>
      <c r="B756" s="26">
        <v>45313</v>
      </c>
      <c r="C756" s="51">
        <f t="shared" si="119"/>
        <v>752</v>
      </c>
      <c r="D756" s="27" t="s">
        <v>488</v>
      </c>
      <c r="E756" s="26" t="s">
        <v>132</v>
      </c>
      <c r="F756" s="28" t="s">
        <v>11</v>
      </c>
      <c r="G756" s="28" t="s">
        <v>11</v>
      </c>
      <c r="H756" s="254"/>
      <c r="I756" s="49">
        <v>3</v>
      </c>
      <c r="J756" s="49">
        <v>3</v>
      </c>
      <c r="K756" s="52">
        <f t="shared" si="114"/>
        <v>1</v>
      </c>
      <c r="L756" s="209">
        <f t="shared" si="115"/>
        <v>0</v>
      </c>
      <c r="M756" s="210">
        <f t="shared" si="116"/>
        <v>0</v>
      </c>
      <c r="N756" s="26">
        <v>45316</v>
      </c>
      <c r="O756" s="26">
        <v>45316</v>
      </c>
      <c r="P756" s="26">
        <v>45316</v>
      </c>
      <c r="Q756" s="2">
        <f t="shared" si="110"/>
        <v>1</v>
      </c>
      <c r="S756" s="7">
        <f t="shared" si="117"/>
        <v>1</v>
      </c>
      <c r="T756" s="157">
        <f t="shared" si="118"/>
        <v>1</v>
      </c>
      <c r="V756" s="191">
        <f t="shared" si="111"/>
        <v>1</v>
      </c>
      <c r="W756" s="7">
        <f t="shared" si="112"/>
        <v>2024</v>
      </c>
    </row>
    <row r="757" spans="1:23" ht="31.95" customHeight="1" thickBot="1" x14ac:dyDescent="0.35">
      <c r="A757" s="15">
        <f t="shared" si="113"/>
        <v>7</v>
      </c>
      <c r="B757" s="26">
        <v>45313</v>
      </c>
      <c r="C757" s="51">
        <f t="shared" si="119"/>
        <v>753</v>
      </c>
      <c r="D757" s="27" t="s">
        <v>1121</v>
      </c>
      <c r="E757" s="26" t="s">
        <v>132</v>
      </c>
      <c r="F757" s="28" t="s">
        <v>11</v>
      </c>
      <c r="G757" s="28" t="s">
        <v>11</v>
      </c>
      <c r="H757" s="254"/>
      <c r="I757" s="49">
        <v>7</v>
      </c>
      <c r="J757" s="49">
        <v>7</v>
      </c>
      <c r="K757" s="52">
        <f t="shared" si="114"/>
        <v>1</v>
      </c>
      <c r="L757" s="209">
        <f t="shared" si="115"/>
        <v>0</v>
      </c>
      <c r="M757" s="210">
        <f t="shared" si="116"/>
        <v>0</v>
      </c>
      <c r="N757" s="26">
        <v>45320</v>
      </c>
      <c r="O757" s="26">
        <v>45320</v>
      </c>
      <c r="P757" s="26">
        <v>45320</v>
      </c>
      <c r="Q757" s="2">
        <f t="shared" si="110"/>
        <v>1</v>
      </c>
      <c r="S757" s="7">
        <f t="shared" si="117"/>
        <v>1</v>
      </c>
      <c r="T757" s="157">
        <f t="shared" si="118"/>
        <v>1</v>
      </c>
      <c r="V757" s="191">
        <f t="shared" si="111"/>
        <v>1</v>
      </c>
      <c r="W757" s="7">
        <f t="shared" si="112"/>
        <v>2024</v>
      </c>
    </row>
    <row r="758" spans="1:23" ht="31.95" customHeight="1" thickBot="1" x14ac:dyDescent="0.35">
      <c r="A758" s="15">
        <f t="shared" si="113"/>
        <v>3</v>
      </c>
      <c r="B758" s="26">
        <v>45313</v>
      </c>
      <c r="C758" s="51">
        <f t="shared" si="119"/>
        <v>754</v>
      </c>
      <c r="D758" s="27" t="s">
        <v>890</v>
      </c>
      <c r="E758" s="26" t="s">
        <v>132</v>
      </c>
      <c r="F758" s="28" t="s">
        <v>11</v>
      </c>
      <c r="G758" s="28" t="s">
        <v>11</v>
      </c>
      <c r="H758" s="254"/>
      <c r="I758" s="49">
        <v>3</v>
      </c>
      <c r="J758" s="49">
        <v>3</v>
      </c>
      <c r="K758" s="52">
        <f t="shared" si="114"/>
        <v>1</v>
      </c>
      <c r="L758" s="209">
        <f t="shared" si="115"/>
        <v>0</v>
      </c>
      <c r="M758" s="210">
        <f t="shared" si="116"/>
        <v>0</v>
      </c>
      <c r="N758" s="26">
        <v>45327</v>
      </c>
      <c r="O758" s="26">
        <v>45327</v>
      </c>
      <c r="P758" s="26">
        <v>45327</v>
      </c>
      <c r="Q758" s="2">
        <f t="shared" si="110"/>
        <v>1</v>
      </c>
      <c r="S758" s="7">
        <f t="shared" si="117"/>
        <v>1</v>
      </c>
      <c r="T758" s="157">
        <f t="shared" si="118"/>
        <v>1</v>
      </c>
      <c r="V758" s="191">
        <f t="shared" si="111"/>
        <v>1</v>
      </c>
      <c r="W758" s="7">
        <f t="shared" si="112"/>
        <v>2024</v>
      </c>
    </row>
    <row r="759" spans="1:23" ht="31.95" customHeight="1" thickBot="1" x14ac:dyDescent="0.35">
      <c r="A759" s="15">
        <f t="shared" si="113"/>
        <v>2</v>
      </c>
      <c r="B759" s="26">
        <v>45313</v>
      </c>
      <c r="C759" s="51">
        <f t="shared" si="119"/>
        <v>755</v>
      </c>
      <c r="D759" s="27" t="s">
        <v>890</v>
      </c>
      <c r="E759" s="26" t="s">
        <v>133</v>
      </c>
      <c r="F759" s="28" t="s">
        <v>11</v>
      </c>
      <c r="G759" s="28" t="s">
        <v>11</v>
      </c>
      <c r="H759" s="254"/>
      <c r="I759" s="49">
        <v>2</v>
      </c>
      <c r="J759" s="49">
        <v>2</v>
      </c>
      <c r="K759" s="52">
        <f t="shared" si="114"/>
        <v>1</v>
      </c>
      <c r="L759" s="209">
        <f t="shared" si="115"/>
        <v>0</v>
      </c>
      <c r="M759" s="210">
        <f t="shared" si="116"/>
        <v>0</v>
      </c>
      <c r="N759" s="26">
        <v>45334</v>
      </c>
      <c r="O759" s="26">
        <v>45334</v>
      </c>
      <c r="P759" s="26">
        <v>45334</v>
      </c>
      <c r="Q759" s="2">
        <f t="shared" si="110"/>
        <v>1</v>
      </c>
      <c r="S759" s="7">
        <f t="shared" si="117"/>
        <v>1</v>
      </c>
      <c r="T759" s="157">
        <f t="shared" si="118"/>
        <v>1</v>
      </c>
      <c r="V759" s="191">
        <f t="shared" si="111"/>
        <v>1</v>
      </c>
      <c r="W759" s="7">
        <f t="shared" si="112"/>
        <v>2024</v>
      </c>
    </row>
    <row r="760" spans="1:23" ht="31.95" customHeight="1" thickBot="1" x14ac:dyDescent="0.35">
      <c r="A760" s="15">
        <f t="shared" si="113"/>
        <v>4</v>
      </c>
      <c r="B760" s="26">
        <v>45313</v>
      </c>
      <c r="C760" s="51">
        <f t="shared" si="119"/>
        <v>756</v>
      </c>
      <c r="D760" s="27" t="s">
        <v>594</v>
      </c>
      <c r="E760" s="26" t="s">
        <v>133</v>
      </c>
      <c r="F760" s="28" t="s">
        <v>11</v>
      </c>
      <c r="G760" s="28" t="s">
        <v>11</v>
      </c>
      <c r="H760" s="254"/>
      <c r="I760" s="49">
        <v>4</v>
      </c>
      <c r="J760" s="49">
        <v>4</v>
      </c>
      <c r="K760" s="52">
        <f t="shared" si="114"/>
        <v>1</v>
      </c>
      <c r="L760" s="209">
        <f t="shared" si="115"/>
        <v>0</v>
      </c>
      <c r="M760" s="210">
        <f t="shared" si="116"/>
        <v>0</v>
      </c>
      <c r="N760" s="26">
        <v>45322</v>
      </c>
      <c r="O760" s="26">
        <v>45322</v>
      </c>
      <c r="P760" s="26">
        <v>45322</v>
      </c>
      <c r="Q760" s="2">
        <f t="shared" si="110"/>
        <v>1</v>
      </c>
      <c r="S760" s="7">
        <f t="shared" si="117"/>
        <v>1</v>
      </c>
      <c r="T760" s="157">
        <f t="shared" si="118"/>
        <v>1</v>
      </c>
      <c r="V760" s="191">
        <f t="shared" si="111"/>
        <v>1</v>
      </c>
      <c r="W760" s="7">
        <f t="shared" si="112"/>
        <v>2024</v>
      </c>
    </row>
    <row r="761" spans="1:23" ht="31.95" customHeight="1" thickBot="1" x14ac:dyDescent="0.35">
      <c r="A761" s="15">
        <f t="shared" si="113"/>
        <v>3</v>
      </c>
      <c r="B761" s="26">
        <v>45313</v>
      </c>
      <c r="C761" s="51">
        <f t="shared" si="119"/>
        <v>757</v>
      </c>
      <c r="D761" s="27" t="s">
        <v>978</v>
      </c>
      <c r="E761" s="26" t="s">
        <v>133</v>
      </c>
      <c r="F761" s="28" t="s">
        <v>11</v>
      </c>
      <c r="G761" s="28" t="s">
        <v>11</v>
      </c>
      <c r="H761" s="254"/>
      <c r="I761" s="49">
        <v>3</v>
      </c>
      <c r="J761" s="49">
        <v>3</v>
      </c>
      <c r="K761" s="52">
        <f t="shared" si="114"/>
        <v>1</v>
      </c>
      <c r="L761" s="209">
        <f t="shared" si="115"/>
        <v>0</v>
      </c>
      <c r="M761" s="210">
        <f t="shared" si="116"/>
        <v>0</v>
      </c>
      <c r="N761" s="26">
        <v>45316</v>
      </c>
      <c r="O761" s="26">
        <v>45316</v>
      </c>
      <c r="P761" s="26">
        <v>45316</v>
      </c>
      <c r="Q761" s="2">
        <f t="shared" si="110"/>
        <v>1</v>
      </c>
      <c r="S761" s="7">
        <f t="shared" si="117"/>
        <v>1</v>
      </c>
      <c r="T761" s="157">
        <f t="shared" si="118"/>
        <v>1</v>
      </c>
      <c r="V761" s="191">
        <f t="shared" si="111"/>
        <v>1</v>
      </c>
      <c r="W761" s="7">
        <f t="shared" si="112"/>
        <v>2024</v>
      </c>
    </row>
    <row r="762" spans="1:23" ht="31.95" customHeight="1" thickBot="1" x14ac:dyDescent="0.35">
      <c r="A762" s="15">
        <f t="shared" si="113"/>
        <v>1</v>
      </c>
      <c r="B762" s="26">
        <v>45314</v>
      </c>
      <c r="C762" s="51">
        <f t="shared" si="119"/>
        <v>758</v>
      </c>
      <c r="D762" s="27" t="s">
        <v>524</v>
      </c>
      <c r="E762" s="26" t="s">
        <v>130</v>
      </c>
      <c r="F762" s="28" t="s">
        <v>11</v>
      </c>
      <c r="G762" s="28" t="s">
        <v>11</v>
      </c>
      <c r="H762" s="254"/>
      <c r="I762" s="49">
        <v>1</v>
      </c>
      <c r="J762" s="49">
        <v>1</v>
      </c>
      <c r="K762" s="52">
        <f t="shared" si="114"/>
        <v>1</v>
      </c>
      <c r="L762" s="209">
        <f t="shared" si="115"/>
        <v>0</v>
      </c>
      <c r="M762" s="210">
        <f t="shared" si="116"/>
        <v>0</v>
      </c>
      <c r="N762" s="26">
        <v>45321</v>
      </c>
      <c r="O762" s="26">
        <v>45321</v>
      </c>
      <c r="P762" s="26">
        <v>45321</v>
      </c>
      <c r="Q762" s="2">
        <f t="shared" si="110"/>
        <v>1</v>
      </c>
      <c r="S762" s="7">
        <f t="shared" si="117"/>
        <v>1</v>
      </c>
      <c r="T762" s="157">
        <f t="shared" si="118"/>
        <v>1</v>
      </c>
      <c r="V762" s="191">
        <f t="shared" si="111"/>
        <v>1</v>
      </c>
      <c r="W762" s="7">
        <f t="shared" si="112"/>
        <v>2024</v>
      </c>
    </row>
    <row r="763" spans="1:23" ht="31.95" customHeight="1" thickBot="1" x14ac:dyDescent="0.35">
      <c r="A763" s="15">
        <f t="shared" si="113"/>
        <v>1</v>
      </c>
      <c r="B763" s="26">
        <v>45314</v>
      </c>
      <c r="C763" s="51">
        <f t="shared" si="119"/>
        <v>759</v>
      </c>
      <c r="D763" s="27" t="s">
        <v>978</v>
      </c>
      <c r="E763" s="26" t="s">
        <v>130</v>
      </c>
      <c r="F763" s="28" t="s">
        <v>11</v>
      </c>
      <c r="G763" s="28" t="s">
        <v>11</v>
      </c>
      <c r="H763" s="254"/>
      <c r="I763" s="49">
        <v>1</v>
      </c>
      <c r="J763" s="49">
        <v>1</v>
      </c>
      <c r="K763" s="52">
        <f t="shared" si="114"/>
        <v>1</v>
      </c>
      <c r="L763" s="209">
        <f t="shared" si="115"/>
        <v>0</v>
      </c>
      <c r="M763" s="210">
        <f t="shared" si="116"/>
        <v>0</v>
      </c>
      <c r="N763" s="26">
        <v>45321</v>
      </c>
      <c r="O763" s="26">
        <v>45321</v>
      </c>
      <c r="P763" s="26">
        <v>45321</v>
      </c>
      <c r="Q763" s="2">
        <f t="shared" si="110"/>
        <v>1</v>
      </c>
      <c r="S763" s="7">
        <f t="shared" si="117"/>
        <v>1</v>
      </c>
      <c r="T763" s="157">
        <f t="shared" si="118"/>
        <v>1</v>
      </c>
      <c r="V763" s="191">
        <f t="shared" si="111"/>
        <v>1</v>
      </c>
      <c r="W763" s="7">
        <f t="shared" si="112"/>
        <v>2024</v>
      </c>
    </row>
    <row r="764" spans="1:23" ht="31.95" customHeight="1" thickBot="1" x14ac:dyDescent="0.35">
      <c r="A764" s="15">
        <f t="shared" si="113"/>
        <v>1</v>
      </c>
      <c r="B764" s="26">
        <v>45314</v>
      </c>
      <c r="C764" s="51">
        <f t="shared" si="119"/>
        <v>760</v>
      </c>
      <c r="D764" s="27" t="s">
        <v>488</v>
      </c>
      <c r="E764" s="26" t="s">
        <v>130</v>
      </c>
      <c r="F764" s="28" t="s">
        <v>11</v>
      </c>
      <c r="G764" s="28" t="s">
        <v>11</v>
      </c>
      <c r="H764" s="254"/>
      <c r="I764" s="49">
        <v>1</v>
      </c>
      <c r="J764" s="49">
        <v>1</v>
      </c>
      <c r="K764" s="52">
        <f t="shared" si="114"/>
        <v>1</v>
      </c>
      <c r="L764" s="209">
        <f t="shared" si="115"/>
        <v>0</v>
      </c>
      <c r="M764" s="210">
        <f t="shared" si="116"/>
        <v>0</v>
      </c>
      <c r="N764" s="26">
        <v>45328</v>
      </c>
      <c r="O764" s="26">
        <v>45328</v>
      </c>
      <c r="P764" s="26">
        <v>45328</v>
      </c>
      <c r="Q764" s="2">
        <f t="shared" si="110"/>
        <v>1</v>
      </c>
      <c r="S764" s="7">
        <f t="shared" si="117"/>
        <v>1</v>
      </c>
      <c r="T764" s="157">
        <f t="shared" si="118"/>
        <v>1</v>
      </c>
      <c r="V764" s="191">
        <f t="shared" si="111"/>
        <v>1</v>
      </c>
      <c r="W764" s="7">
        <f t="shared" si="112"/>
        <v>2024</v>
      </c>
    </row>
    <row r="765" spans="1:23" ht="31.95" customHeight="1" thickBot="1" x14ac:dyDescent="0.35">
      <c r="A765" s="15">
        <f t="shared" si="113"/>
        <v>1</v>
      </c>
      <c r="B765" s="26">
        <v>45314</v>
      </c>
      <c r="C765" s="51">
        <f t="shared" si="119"/>
        <v>761</v>
      </c>
      <c r="D765" s="27" t="s">
        <v>890</v>
      </c>
      <c r="E765" s="26" t="s">
        <v>130</v>
      </c>
      <c r="F765" s="28" t="s">
        <v>11</v>
      </c>
      <c r="G765" s="28" t="s">
        <v>11</v>
      </c>
      <c r="H765" s="254"/>
      <c r="I765" s="49">
        <v>1</v>
      </c>
      <c r="J765" s="49">
        <v>1</v>
      </c>
      <c r="K765" s="52">
        <f t="shared" si="114"/>
        <v>1</v>
      </c>
      <c r="L765" s="209">
        <f t="shared" si="115"/>
        <v>0</v>
      </c>
      <c r="M765" s="210">
        <f t="shared" si="116"/>
        <v>0</v>
      </c>
      <c r="N765" s="26">
        <v>45334</v>
      </c>
      <c r="O765" s="26">
        <v>45334</v>
      </c>
      <c r="P765" s="26">
        <v>45334</v>
      </c>
      <c r="Q765" s="2">
        <f t="shared" si="110"/>
        <v>1</v>
      </c>
      <c r="S765" s="7">
        <f t="shared" si="117"/>
        <v>1</v>
      </c>
      <c r="T765" s="157">
        <f t="shared" si="118"/>
        <v>1</v>
      </c>
      <c r="V765" s="191">
        <f t="shared" si="111"/>
        <v>1</v>
      </c>
      <c r="W765" s="7">
        <f t="shared" si="112"/>
        <v>2024</v>
      </c>
    </row>
    <row r="766" spans="1:23" ht="31.95" customHeight="1" thickBot="1" x14ac:dyDescent="0.35">
      <c r="A766" s="15">
        <f t="shared" si="113"/>
        <v>11</v>
      </c>
      <c r="B766" s="26">
        <v>45314</v>
      </c>
      <c r="C766" s="51">
        <f t="shared" si="119"/>
        <v>762</v>
      </c>
      <c r="D766" s="27" t="s">
        <v>305</v>
      </c>
      <c r="E766" s="26" t="s">
        <v>11</v>
      </c>
      <c r="F766" s="28" t="s">
        <v>11</v>
      </c>
      <c r="G766" s="28" t="s">
        <v>11</v>
      </c>
      <c r="H766" s="254"/>
      <c r="I766" s="49">
        <v>11</v>
      </c>
      <c r="J766" s="49">
        <v>11</v>
      </c>
      <c r="K766" s="52">
        <f t="shared" si="114"/>
        <v>1</v>
      </c>
      <c r="L766" s="209">
        <f t="shared" si="115"/>
        <v>0</v>
      </c>
      <c r="M766" s="210">
        <f t="shared" si="116"/>
        <v>0</v>
      </c>
      <c r="N766" s="26">
        <v>45314</v>
      </c>
      <c r="O766" s="26">
        <v>45314</v>
      </c>
      <c r="P766" s="26">
        <v>45314</v>
      </c>
      <c r="Q766" s="2">
        <f t="shared" si="110"/>
        <v>1</v>
      </c>
      <c r="S766" s="7">
        <f t="shared" si="117"/>
        <v>1</v>
      </c>
      <c r="T766" s="157">
        <f t="shared" si="118"/>
        <v>1</v>
      </c>
      <c r="V766" s="191">
        <f t="shared" si="111"/>
        <v>1</v>
      </c>
      <c r="W766" s="7">
        <f t="shared" si="112"/>
        <v>2024</v>
      </c>
    </row>
    <row r="767" spans="1:23" ht="31.95" customHeight="1" thickBot="1" x14ac:dyDescent="0.35">
      <c r="A767" s="15">
        <f t="shared" si="113"/>
        <v>1</v>
      </c>
      <c r="B767" s="26">
        <v>45314</v>
      </c>
      <c r="C767" s="51">
        <f t="shared" si="119"/>
        <v>763</v>
      </c>
      <c r="D767" s="27" t="s">
        <v>297</v>
      </c>
      <c r="E767" s="26" t="s">
        <v>132</v>
      </c>
      <c r="F767" s="28" t="s">
        <v>11</v>
      </c>
      <c r="G767" s="28" t="s">
        <v>11</v>
      </c>
      <c r="H767" s="254"/>
      <c r="I767" s="49">
        <v>1</v>
      </c>
      <c r="J767" s="49">
        <v>1</v>
      </c>
      <c r="K767" s="52">
        <f t="shared" si="114"/>
        <v>1</v>
      </c>
      <c r="L767" s="209">
        <f t="shared" si="115"/>
        <v>0</v>
      </c>
      <c r="M767" s="210">
        <f t="shared" si="116"/>
        <v>0</v>
      </c>
      <c r="N767" s="26">
        <v>45315</v>
      </c>
      <c r="O767" s="26">
        <v>45315</v>
      </c>
      <c r="P767" s="26">
        <v>45315</v>
      </c>
      <c r="Q767" s="2">
        <f t="shared" si="110"/>
        <v>1</v>
      </c>
      <c r="S767" s="7">
        <f t="shared" si="117"/>
        <v>1</v>
      </c>
      <c r="T767" s="157">
        <f t="shared" si="118"/>
        <v>1</v>
      </c>
      <c r="V767" s="191">
        <f t="shared" si="111"/>
        <v>1</v>
      </c>
      <c r="W767" s="7">
        <f t="shared" si="112"/>
        <v>2024</v>
      </c>
    </row>
    <row r="768" spans="1:23" ht="31.95" customHeight="1" thickBot="1" x14ac:dyDescent="0.35">
      <c r="A768" s="15">
        <f t="shared" si="113"/>
        <v>1</v>
      </c>
      <c r="B768" s="26">
        <v>45314</v>
      </c>
      <c r="C768" s="51">
        <f t="shared" si="119"/>
        <v>764</v>
      </c>
      <c r="D768" s="27" t="s">
        <v>890</v>
      </c>
      <c r="E768" s="26" t="s">
        <v>134</v>
      </c>
      <c r="F768" s="28" t="s">
        <v>11</v>
      </c>
      <c r="G768" s="28" t="s">
        <v>11</v>
      </c>
      <c r="H768" s="254"/>
      <c r="I768" s="49">
        <v>1</v>
      </c>
      <c r="J768" s="49">
        <v>1</v>
      </c>
      <c r="K768" s="52">
        <f t="shared" si="114"/>
        <v>1</v>
      </c>
      <c r="L768" s="209">
        <f t="shared" si="115"/>
        <v>0</v>
      </c>
      <c r="M768" s="210">
        <f t="shared" si="116"/>
        <v>0</v>
      </c>
      <c r="N768" s="26">
        <v>45324</v>
      </c>
      <c r="O768" s="26">
        <v>45324</v>
      </c>
      <c r="P768" s="26">
        <v>45324</v>
      </c>
      <c r="Q768" s="2">
        <f t="shared" si="110"/>
        <v>1</v>
      </c>
      <c r="S768" s="7">
        <f t="shared" si="117"/>
        <v>1</v>
      </c>
      <c r="T768" s="157">
        <f t="shared" si="118"/>
        <v>1</v>
      </c>
      <c r="V768" s="191">
        <f t="shared" si="111"/>
        <v>1</v>
      </c>
      <c r="W768" s="7">
        <f t="shared" si="112"/>
        <v>2024</v>
      </c>
    </row>
    <row r="769" spans="1:23" ht="31.95" customHeight="1" thickBot="1" x14ac:dyDescent="0.35">
      <c r="A769" s="15">
        <f t="shared" si="113"/>
        <v>1</v>
      </c>
      <c r="B769" s="26">
        <v>45314</v>
      </c>
      <c r="C769" s="51">
        <f t="shared" si="119"/>
        <v>765</v>
      </c>
      <c r="D769" s="27" t="s">
        <v>1206</v>
      </c>
      <c r="E769" s="26" t="s">
        <v>131</v>
      </c>
      <c r="F769" s="28" t="s">
        <v>11</v>
      </c>
      <c r="G769" s="28" t="s">
        <v>11</v>
      </c>
      <c r="H769" s="254"/>
      <c r="I769" s="49">
        <v>1</v>
      </c>
      <c r="J769" s="49">
        <v>1</v>
      </c>
      <c r="K769" s="52">
        <f t="shared" si="114"/>
        <v>1</v>
      </c>
      <c r="L769" s="209">
        <f t="shared" si="115"/>
        <v>0</v>
      </c>
      <c r="M769" s="210">
        <f t="shared" si="116"/>
        <v>0</v>
      </c>
      <c r="N769" s="26">
        <v>45314</v>
      </c>
      <c r="O769" s="26">
        <v>45314</v>
      </c>
      <c r="P769" s="26">
        <v>45314</v>
      </c>
      <c r="Q769" s="2">
        <f t="shared" si="110"/>
        <v>1</v>
      </c>
      <c r="S769" s="7">
        <f t="shared" si="117"/>
        <v>1</v>
      </c>
      <c r="T769" s="157">
        <f t="shared" si="118"/>
        <v>1</v>
      </c>
      <c r="V769" s="191">
        <f t="shared" si="111"/>
        <v>1</v>
      </c>
      <c r="W769" s="7">
        <f t="shared" si="112"/>
        <v>2024</v>
      </c>
    </row>
    <row r="770" spans="1:23" ht="31.95" customHeight="1" thickBot="1" x14ac:dyDescent="0.35">
      <c r="A770" s="15">
        <f t="shared" si="113"/>
        <v>1</v>
      </c>
      <c r="B770" s="26">
        <v>45314</v>
      </c>
      <c r="C770" s="51">
        <f t="shared" si="119"/>
        <v>766</v>
      </c>
      <c r="D770" s="27" t="s">
        <v>1206</v>
      </c>
      <c r="E770" s="26" t="s">
        <v>135</v>
      </c>
      <c r="F770" s="28" t="s">
        <v>11</v>
      </c>
      <c r="G770" s="28" t="s">
        <v>11</v>
      </c>
      <c r="H770" s="254"/>
      <c r="I770" s="49">
        <v>1</v>
      </c>
      <c r="J770" s="49">
        <v>1</v>
      </c>
      <c r="K770" s="52">
        <f t="shared" si="114"/>
        <v>1</v>
      </c>
      <c r="L770" s="209">
        <f t="shared" si="115"/>
        <v>0</v>
      </c>
      <c r="M770" s="210">
        <f t="shared" si="116"/>
        <v>0</v>
      </c>
      <c r="N770" s="26">
        <v>45314</v>
      </c>
      <c r="O770" s="26">
        <v>45314</v>
      </c>
      <c r="P770" s="26">
        <v>45314</v>
      </c>
      <c r="Q770" s="2">
        <f t="shared" si="110"/>
        <v>1</v>
      </c>
      <c r="S770" s="7">
        <f t="shared" si="117"/>
        <v>1</v>
      </c>
      <c r="T770" s="157">
        <f t="shared" si="118"/>
        <v>1</v>
      </c>
      <c r="V770" s="191">
        <f t="shared" si="111"/>
        <v>1</v>
      </c>
      <c r="W770" s="7">
        <f t="shared" si="112"/>
        <v>2024</v>
      </c>
    </row>
    <row r="771" spans="1:23" ht="31.95" customHeight="1" thickBot="1" x14ac:dyDescent="0.35">
      <c r="A771" s="15">
        <f t="shared" si="113"/>
        <v>1</v>
      </c>
      <c r="B771" s="26">
        <v>45316</v>
      </c>
      <c r="C771" s="51">
        <f t="shared" si="119"/>
        <v>767</v>
      </c>
      <c r="D771" s="27" t="s">
        <v>594</v>
      </c>
      <c r="E771" s="26" t="s">
        <v>138</v>
      </c>
      <c r="F771" s="28" t="s">
        <v>11</v>
      </c>
      <c r="G771" s="28" t="s">
        <v>11</v>
      </c>
      <c r="H771" s="254"/>
      <c r="I771" s="49">
        <v>1</v>
      </c>
      <c r="J771" s="49">
        <v>1</v>
      </c>
      <c r="K771" s="52">
        <f t="shared" si="114"/>
        <v>1</v>
      </c>
      <c r="L771" s="209">
        <f t="shared" si="115"/>
        <v>0</v>
      </c>
      <c r="M771" s="210">
        <f t="shared" si="116"/>
        <v>0</v>
      </c>
      <c r="N771" s="26">
        <v>45320</v>
      </c>
      <c r="O771" s="26">
        <v>45320</v>
      </c>
      <c r="P771" s="26">
        <v>45320</v>
      </c>
      <c r="Q771" s="2">
        <f t="shared" si="110"/>
        <v>1</v>
      </c>
      <c r="S771" s="7">
        <f t="shared" si="117"/>
        <v>1</v>
      </c>
      <c r="T771" s="157">
        <f t="shared" si="118"/>
        <v>1</v>
      </c>
      <c r="V771" s="191">
        <f t="shared" si="111"/>
        <v>1</v>
      </c>
      <c r="W771" s="7">
        <f t="shared" si="112"/>
        <v>2024</v>
      </c>
    </row>
    <row r="772" spans="1:23" ht="31.95" customHeight="1" thickBot="1" x14ac:dyDescent="0.35">
      <c r="A772" s="15">
        <f t="shared" si="113"/>
        <v>1</v>
      </c>
      <c r="B772" s="26">
        <v>45316</v>
      </c>
      <c r="C772" s="51">
        <f t="shared" si="119"/>
        <v>768</v>
      </c>
      <c r="D772" s="27" t="s">
        <v>1150</v>
      </c>
      <c r="E772" s="26" t="s">
        <v>138</v>
      </c>
      <c r="F772" s="28" t="s">
        <v>11</v>
      </c>
      <c r="G772" s="28" t="s">
        <v>11</v>
      </c>
      <c r="H772" s="254"/>
      <c r="I772" s="49">
        <v>1</v>
      </c>
      <c r="J772" s="49">
        <v>1</v>
      </c>
      <c r="K772" s="52">
        <f t="shared" si="114"/>
        <v>1</v>
      </c>
      <c r="L772" s="209">
        <f t="shared" si="115"/>
        <v>0</v>
      </c>
      <c r="M772" s="210">
        <f t="shared" si="116"/>
        <v>0</v>
      </c>
      <c r="N772" s="26">
        <v>45316</v>
      </c>
      <c r="O772" s="26">
        <v>45316</v>
      </c>
      <c r="P772" s="26">
        <v>45316</v>
      </c>
      <c r="Q772" s="2">
        <f t="shared" si="110"/>
        <v>1</v>
      </c>
      <c r="S772" s="7">
        <f t="shared" si="117"/>
        <v>1</v>
      </c>
      <c r="T772" s="157">
        <f t="shared" si="118"/>
        <v>1</v>
      </c>
      <c r="V772" s="191">
        <f t="shared" si="111"/>
        <v>1</v>
      </c>
      <c r="W772" s="7">
        <f t="shared" si="112"/>
        <v>2024</v>
      </c>
    </row>
    <row r="773" spans="1:23" ht="31.95" customHeight="1" thickBot="1" x14ac:dyDescent="0.35">
      <c r="A773" s="15">
        <f t="shared" si="113"/>
        <v>1</v>
      </c>
      <c r="B773" s="26">
        <v>45316</v>
      </c>
      <c r="C773" s="51">
        <f t="shared" si="119"/>
        <v>769</v>
      </c>
      <c r="D773" s="27" t="s">
        <v>524</v>
      </c>
      <c r="E773" s="26" t="s">
        <v>1308</v>
      </c>
      <c r="F773" s="28" t="s">
        <v>11</v>
      </c>
      <c r="G773" s="28" t="s">
        <v>11</v>
      </c>
      <c r="H773" s="254"/>
      <c r="I773" s="49">
        <v>1</v>
      </c>
      <c r="J773" s="49">
        <v>1</v>
      </c>
      <c r="K773" s="52">
        <f t="shared" si="114"/>
        <v>1</v>
      </c>
      <c r="L773" s="209">
        <f t="shared" si="115"/>
        <v>0</v>
      </c>
      <c r="M773" s="210">
        <f t="shared" si="116"/>
        <v>0</v>
      </c>
      <c r="N773" s="26">
        <v>45316</v>
      </c>
      <c r="O773" s="26">
        <v>45316</v>
      </c>
      <c r="P773" s="26">
        <v>45316</v>
      </c>
      <c r="Q773" s="2">
        <f t="shared" ref="Q773:Q836" si="120">IF(B773&lt;&gt;"",1,0)</f>
        <v>1</v>
      </c>
      <c r="S773" s="7">
        <f t="shared" si="117"/>
        <v>1</v>
      </c>
      <c r="T773" s="157">
        <f t="shared" si="118"/>
        <v>1</v>
      </c>
      <c r="V773" s="191">
        <f t="shared" ref="V773:V836" si="121">MONTH(B773)</f>
        <v>1</v>
      </c>
      <c r="W773" s="7">
        <f t="shared" ref="W773:W836" si="122">YEAR(B773)</f>
        <v>2024</v>
      </c>
    </row>
    <row r="774" spans="1:23" ht="31.95" customHeight="1" thickBot="1" x14ac:dyDescent="0.35">
      <c r="A774" s="15">
        <f t="shared" ref="A774:A837" si="123">J774</f>
        <v>3</v>
      </c>
      <c r="B774" s="26">
        <v>45320</v>
      </c>
      <c r="C774" s="51">
        <f t="shared" si="119"/>
        <v>770</v>
      </c>
      <c r="D774" s="27" t="s">
        <v>1121</v>
      </c>
      <c r="E774" s="26" t="s">
        <v>138</v>
      </c>
      <c r="F774" s="28" t="s">
        <v>11</v>
      </c>
      <c r="G774" s="28" t="s">
        <v>11</v>
      </c>
      <c r="H774" s="254"/>
      <c r="I774" s="49">
        <v>3</v>
      </c>
      <c r="J774" s="49">
        <v>3</v>
      </c>
      <c r="K774" s="52">
        <f t="shared" ref="K774:K837" si="124">IFERROR(J774/I774,"")</f>
        <v>1</v>
      </c>
      <c r="L774" s="209">
        <f t="shared" ref="L774:L837" si="125">IF(I774="","",I774-J774)</f>
        <v>0</v>
      </c>
      <c r="M774" s="210">
        <f t="shared" ref="M774:M837" si="126">IFERROR(1-K774,"")</f>
        <v>0</v>
      </c>
      <c r="N774" s="26">
        <v>45324</v>
      </c>
      <c r="O774" s="26">
        <v>45324</v>
      </c>
      <c r="P774" s="26">
        <v>45324</v>
      </c>
      <c r="Q774" s="2">
        <f t="shared" si="120"/>
        <v>1</v>
      </c>
      <c r="S774" s="7">
        <f t="shared" ref="S774:S837" si="127">IF(AND(O774&lt;=N774,O774&lt;&gt;""),1,0)</f>
        <v>1</v>
      </c>
      <c r="T774" s="157">
        <f t="shared" ref="T774:T837" si="128">IF(AND(P774&lt;=N774,P774&lt;&gt;""),1,0)</f>
        <v>1</v>
      </c>
      <c r="V774" s="191">
        <f t="shared" si="121"/>
        <v>1</v>
      </c>
      <c r="W774" s="7">
        <f t="shared" si="122"/>
        <v>2024</v>
      </c>
    </row>
    <row r="775" spans="1:23" ht="31.95" customHeight="1" thickBot="1" x14ac:dyDescent="0.35">
      <c r="A775" s="15">
        <f t="shared" si="123"/>
        <v>6</v>
      </c>
      <c r="B775" s="26">
        <v>45327</v>
      </c>
      <c r="C775" s="51">
        <f t="shared" ref="C775:C838" si="129">IF(B775&lt;&gt;"",C774+1,"")</f>
        <v>771</v>
      </c>
      <c r="D775" s="27" t="s">
        <v>269</v>
      </c>
      <c r="E775" s="26" t="s">
        <v>11</v>
      </c>
      <c r="F775" s="28" t="s">
        <v>11</v>
      </c>
      <c r="G775" s="28" t="s">
        <v>11</v>
      </c>
      <c r="H775" s="254"/>
      <c r="I775" s="49">
        <v>6</v>
      </c>
      <c r="J775" s="49">
        <v>6</v>
      </c>
      <c r="K775" s="52">
        <f t="shared" si="124"/>
        <v>1</v>
      </c>
      <c r="L775" s="209">
        <f t="shared" si="125"/>
        <v>0</v>
      </c>
      <c r="M775" s="210">
        <f t="shared" si="126"/>
        <v>0</v>
      </c>
      <c r="N775" s="26">
        <v>45328</v>
      </c>
      <c r="O775" s="26">
        <v>45328</v>
      </c>
      <c r="P775" s="26">
        <v>45328</v>
      </c>
      <c r="Q775" s="2">
        <f t="shared" si="120"/>
        <v>1</v>
      </c>
      <c r="S775" s="7">
        <f t="shared" si="127"/>
        <v>1</v>
      </c>
      <c r="T775" s="157">
        <f t="shared" si="128"/>
        <v>1</v>
      </c>
      <c r="V775" s="191">
        <f t="shared" si="121"/>
        <v>2</v>
      </c>
      <c r="W775" s="7">
        <f t="shared" si="122"/>
        <v>2024</v>
      </c>
    </row>
    <row r="776" spans="1:23" ht="31.95" customHeight="1" thickBot="1" x14ac:dyDescent="0.35">
      <c r="A776" s="15">
        <f t="shared" si="123"/>
        <v>1</v>
      </c>
      <c r="B776" s="26">
        <v>45338</v>
      </c>
      <c r="C776" s="51">
        <f t="shared" si="129"/>
        <v>772</v>
      </c>
      <c r="D776" s="27" t="s">
        <v>858</v>
      </c>
      <c r="E776" s="26" t="s">
        <v>11</v>
      </c>
      <c r="F776" s="28" t="s">
        <v>11</v>
      </c>
      <c r="G776" s="28" t="s">
        <v>11</v>
      </c>
      <c r="H776" s="254"/>
      <c r="I776" s="49">
        <v>1</v>
      </c>
      <c r="J776" s="49">
        <v>1</v>
      </c>
      <c r="K776" s="52">
        <f t="shared" si="124"/>
        <v>1</v>
      </c>
      <c r="L776" s="209">
        <f t="shared" si="125"/>
        <v>0</v>
      </c>
      <c r="M776" s="210">
        <f t="shared" si="126"/>
        <v>0</v>
      </c>
      <c r="N776" s="26">
        <v>45338</v>
      </c>
      <c r="O776" s="26">
        <v>45338</v>
      </c>
      <c r="P776" s="26">
        <v>45338</v>
      </c>
      <c r="Q776" s="2">
        <f t="shared" si="120"/>
        <v>1</v>
      </c>
      <c r="S776" s="7">
        <f t="shared" si="127"/>
        <v>1</v>
      </c>
      <c r="T776" s="157">
        <f t="shared" si="128"/>
        <v>1</v>
      </c>
      <c r="V776" s="191">
        <f t="shared" si="121"/>
        <v>2</v>
      </c>
      <c r="W776" s="7">
        <f t="shared" si="122"/>
        <v>2024</v>
      </c>
    </row>
    <row r="777" spans="1:23" ht="31.95" customHeight="1" thickBot="1" x14ac:dyDescent="0.35">
      <c r="A777" s="15">
        <f t="shared" si="123"/>
        <v>4</v>
      </c>
      <c r="B777" s="26">
        <v>45341</v>
      </c>
      <c r="C777" s="51">
        <f t="shared" si="129"/>
        <v>773</v>
      </c>
      <c r="D777" s="27" t="s">
        <v>488</v>
      </c>
      <c r="E777" s="26" t="s">
        <v>1309</v>
      </c>
      <c r="F777" s="28" t="s">
        <v>11</v>
      </c>
      <c r="G777" s="28" t="s">
        <v>11</v>
      </c>
      <c r="H777" s="254"/>
      <c r="I777" s="49">
        <v>4</v>
      </c>
      <c r="J777" s="49">
        <v>4</v>
      </c>
      <c r="K777" s="52">
        <f t="shared" si="124"/>
        <v>1</v>
      </c>
      <c r="L777" s="209">
        <f t="shared" si="125"/>
        <v>0</v>
      </c>
      <c r="M777" s="210">
        <f t="shared" si="126"/>
        <v>0</v>
      </c>
      <c r="N777" s="26">
        <v>45343</v>
      </c>
      <c r="O777" s="26">
        <v>45343</v>
      </c>
      <c r="P777" s="26">
        <v>45343</v>
      </c>
      <c r="Q777" s="2">
        <f t="shared" si="120"/>
        <v>1</v>
      </c>
      <c r="S777" s="7">
        <f t="shared" si="127"/>
        <v>1</v>
      </c>
      <c r="T777" s="157">
        <f t="shared" si="128"/>
        <v>1</v>
      </c>
      <c r="V777" s="191">
        <f t="shared" si="121"/>
        <v>2</v>
      </c>
      <c r="W777" s="7">
        <f t="shared" si="122"/>
        <v>2024</v>
      </c>
    </row>
    <row r="778" spans="1:23" ht="31.95" customHeight="1" thickBot="1" x14ac:dyDescent="0.35">
      <c r="A778" s="15">
        <f t="shared" si="123"/>
        <v>2</v>
      </c>
      <c r="B778" s="26">
        <v>45341</v>
      </c>
      <c r="C778" s="51">
        <f t="shared" si="129"/>
        <v>774</v>
      </c>
      <c r="D778" s="27" t="s">
        <v>890</v>
      </c>
      <c r="E778" s="26" t="s">
        <v>1309</v>
      </c>
      <c r="F778" s="28" t="s">
        <v>11</v>
      </c>
      <c r="G778" s="28" t="s">
        <v>11</v>
      </c>
      <c r="H778" s="254"/>
      <c r="I778" s="49">
        <v>2</v>
      </c>
      <c r="J778" s="49">
        <v>2</v>
      </c>
      <c r="K778" s="52">
        <f t="shared" si="124"/>
        <v>1</v>
      </c>
      <c r="L778" s="209">
        <f t="shared" si="125"/>
        <v>0</v>
      </c>
      <c r="M778" s="210">
        <f t="shared" si="126"/>
        <v>0</v>
      </c>
      <c r="N778" s="26">
        <v>45362</v>
      </c>
      <c r="O778" s="26">
        <v>45362</v>
      </c>
      <c r="P778" s="26">
        <v>45362</v>
      </c>
      <c r="Q778" s="2">
        <f t="shared" si="120"/>
        <v>1</v>
      </c>
      <c r="S778" s="7">
        <f t="shared" si="127"/>
        <v>1</v>
      </c>
      <c r="T778" s="157">
        <f t="shared" si="128"/>
        <v>1</v>
      </c>
      <c r="V778" s="191">
        <f t="shared" si="121"/>
        <v>2</v>
      </c>
      <c r="W778" s="7">
        <f t="shared" si="122"/>
        <v>2024</v>
      </c>
    </row>
    <row r="779" spans="1:23" ht="31.95" customHeight="1" thickBot="1" x14ac:dyDescent="0.35">
      <c r="A779" s="15">
        <f t="shared" si="123"/>
        <v>3</v>
      </c>
      <c r="B779" s="26">
        <v>45341</v>
      </c>
      <c r="C779" s="51">
        <f t="shared" si="129"/>
        <v>775</v>
      </c>
      <c r="D779" s="27" t="s">
        <v>978</v>
      </c>
      <c r="E779" s="26" t="s">
        <v>1309</v>
      </c>
      <c r="F779" s="28" t="s">
        <v>11</v>
      </c>
      <c r="G779" s="28" t="s">
        <v>11</v>
      </c>
      <c r="H779" s="254"/>
      <c r="I779" s="49">
        <v>3</v>
      </c>
      <c r="J779" s="49">
        <v>3</v>
      </c>
      <c r="K779" s="52">
        <f t="shared" si="124"/>
        <v>1</v>
      </c>
      <c r="L779" s="209">
        <f t="shared" si="125"/>
        <v>0</v>
      </c>
      <c r="M779" s="210">
        <f t="shared" si="126"/>
        <v>0</v>
      </c>
      <c r="N779" s="26">
        <v>45348</v>
      </c>
      <c r="O779" s="26">
        <v>45348</v>
      </c>
      <c r="P779" s="26">
        <v>45348</v>
      </c>
      <c r="Q779" s="2">
        <f t="shared" si="120"/>
        <v>1</v>
      </c>
      <c r="S779" s="7">
        <f t="shared" si="127"/>
        <v>1</v>
      </c>
      <c r="T779" s="157">
        <f t="shared" si="128"/>
        <v>1</v>
      </c>
      <c r="V779" s="191">
        <f t="shared" si="121"/>
        <v>2</v>
      </c>
      <c r="W779" s="7">
        <f t="shared" si="122"/>
        <v>2024</v>
      </c>
    </row>
    <row r="780" spans="1:23" ht="31.95" customHeight="1" thickBot="1" x14ac:dyDescent="0.35">
      <c r="A780" s="15">
        <f t="shared" si="123"/>
        <v>1</v>
      </c>
      <c r="B780" s="26">
        <v>45341</v>
      </c>
      <c r="C780" s="51">
        <f t="shared" si="129"/>
        <v>776</v>
      </c>
      <c r="D780" s="27" t="s">
        <v>602</v>
      </c>
      <c r="E780" s="26" t="s">
        <v>1309</v>
      </c>
      <c r="F780" s="28" t="s">
        <v>11</v>
      </c>
      <c r="G780" s="28" t="s">
        <v>11</v>
      </c>
      <c r="H780" s="254"/>
      <c r="I780" s="49">
        <v>1</v>
      </c>
      <c r="J780" s="49">
        <v>1</v>
      </c>
      <c r="K780" s="52">
        <f t="shared" si="124"/>
        <v>1</v>
      </c>
      <c r="L780" s="209">
        <f t="shared" si="125"/>
        <v>0</v>
      </c>
      <c r="M780" s="210">
        <f t="shared" si="126"/>
        <v>0</v>
      </c>
      <c r="N780" s="26">
        <v>45344</v>
      </c>
      <c r="O780" s="26">
        <v>45344</v>
      </c>
      <c r="P780" s="26">
        <v>45344</v>
      </c>
      <c r="Q780" s="2">
        <f t="shared" si="120"/>
        <v>1</v>
      </c>
      <c r="S780" s="7">
        <f t="shared" si="127"/>
        <v>1</v>
      </c>
      <c r="T780" s="157">
        <f t="shared" si="128"/>
        <v>1</v>
      </c>
      <c r="V780" s="191">
        <f t="shared" si="121"/>
        <v>2</v>
      </c>
      <c r="W780" s="7">
        <f t="shared" si="122"/>
        <v>2024</v>
      </c>
    </row>
    <row r="781" spans="1:23" ht="31.95" customHeight="1" thickBot="1" x14ac:dyDescent="0.35">
      <c r="A781" s="15">
        <f t="shared" si="123"/>
        <v>1</v>
      </c>
      <c r="B781" s="26">
        <v>45344</v>
      </c>
      <c r="C781" s="51">
        <f t="shared" si="129"/>
        <v>777</v>
      </c>
      <c r="D781" s="27" t="s">
        <v>1206</v>
      </c>
      <c r="E781" s="26" t="s">
        <v>1309</v>
      </c>
      <c r="F781" s="28" t="s">
        <v>11</v>
      </c>
      <c r="G781" s="28" t="s">
        <v>11</v>
      </c>
      <c r="H781" s="254"/>
      <c r="I781" s="49">
        <v>1</v>
      </c>
      <c r="J781" s="49">
        <v>1</v>
      </c>
      <c r="K781" s="52">
        <f t="shared" si="124"/>
        <v>1</v>
      </c>
      <c r="L781" s="209">
        <f t="shared" si="125"/>
        <v>0</v>
      </c>
      <c r="M781" s="210">
        <f t="shared" si="126"/>
        <v>0</v>
      </c>
      <c r="N781" s="26">
        <v>45344</v>
      </c>
      <c r="O781" s="26">
        <v>45344</v>
      </c>
      <c r="P781" s="26">
        <v>45344</v>
      </c>
      <c r="Q781" s="2">
        <f t="shared" si="120"/>
        <v>1</v>
      </c>
      <c r="S781" s="7">
        <f t="shared" si="127"/>
        <v>1</v>
      </c>
      <c r="T781" s="157">
        <f t="shared" si="128"/>
        <v>1</v>
      </c>
      <c r="V781" s="191">
        <f t="shared" si="121"/>
        <v>2</v>
      </c>
      <c r="W781" s="7">
        <f t="shared" si="122"/>
        <v>2024</v>
      </c>
    </row>
    <row r="782" spans="1:23" ht="31.95" customHeight="1" thickBot="1" x14ac:dyDescent="0.35">
      <c r="A782" s="15">
        <f t="shared" si="123"/>
        <v>2</v>
      </c>
      <c r="B782" s="26">
        <v>45350</v>
      </c>
      <c r="C782" s="51">
        <f t="shared" si="129"/>
        <v>778</v>
      </c>
      <c r="D782" s="27" t="s">
        <v>602</v>
      </c>
      <c r="E782" s="26" t="s">
        <v>148</v>
      </c>
      <c r="F782" s="28" t="s">
        <v>11</v>
      </c>
      <c r="G782" s="28" t="s">
        <v>11</v>
      </c>
      <c r="H782" s="254"/>
      <c r="I782" s="49">
        <v>2</v>
      </c>
      <c r="J782" s="49">
        <v>2</v>
      </c>
      <c r="K782" s="52">
        <f t="shared" si="124"/>
        <v>1</v>
      </c>
      <c r="L782" s="209">
        <f t="shared" si="125"/>
        <v>0</v>
      </c>
      <c r="M782" s="210">
        <f t="shared" si="126"/>
        <v>0</v>
      </c>
      <c r="N782" s="26">
        <v>45351</v>
      </c>
      <c r="O782" s="26">
        <v>45351</v>
      </c>
      <c r="P782" s="26">
        <v>45351</v>
      </c>
      <c r="Q782" s="2">
        <f t="shared" si="120"/>
        <v>1</v>
      </c>
      <c r="S782" s="7">
        <f t="shared" si="127"/>
        <v>1</v>
      </c>
      <c r="T782" s="157">
        <f t="shared" si="128"/>
        <v>1</v>
      </c>
      <c r="V782" s="191">
        <f t="shared" si="121"/>
        <v>2</v>
      </c>
      <c r="W782" s="7">
        <f t="shared" si="122"/>
        <v>2024</v>
      </c>
    </row>
    <row r="783" spans="1:23" ht="31.95" customHeight="1" thickBot="1" x14ac:dyDescent="0.35">
      <c r="A783" s="15">
        <f t="shared" si="123"/>
        <v>1</v>
      </c>
      <c r="B783" s="26">
        <v>45350</v>
      </c>
      <c r="C783" s="51">
        <f t="shared" si="129"/>
        <v>779</v>
      </c>
      <c r="D783" s="27" t="s">
        <v>890</v>
      </c>
      <c r="E783" s="26" t="s">
        <v>148</v>
      </c>
      <c r="F783" s="28" t="s">
        <v>11</v>
      </c>
      <c r="G783" s="28" t="s">
        <v>11</v>
      </c>
      <c r="H783" s="254"/>
      <c r="I783" s="49">
        <v>1</v>
      </c>
      <c r="J783" s="49">
        <v>1</v>
      </c>
      <c r="K783" s="52">
        <f t="shared" si="124"/>
        <v>1</v>
      </c>
      <c r="L783" s="209">
        <f t="shared" si="125"/>
        <v>0</v>
      </c>
      <c r="M783" s="210">
        <f t="shared" si="126"/>
        <v>0</v>
      </c>
      <c r="N783" s="26">
        <v>45378</v>
      </c>
      <c r="O783" s="26">
        <v>45378</v>
      </c>
      <c r="P783" s="26">
        <v>45378</v>
      </c>
      <c r="Q783" s="2">
        <f t="shared" si="120"/>
        <v>1</v>
      </c>
      <c r="S783" s="7">
        <f t="shared" si="127"/>
        <v>1</v>
      </c>
      <c r="T783" s="157">
        <f t="shared" si="128"/>
        <v>1</v>
      </c>
      <c r="V783" s="191">
        <f t="shared" si="121"/>
        <v>2</v>
      </c>
      <c r="W783" s="7">
        <f t="shared" si="122"/>
        <v>2024</v>
      </c>
    </row>
    <row r="784" spans="1:23" ht="31.95" customHeight="1" thickBot="1" x14ac:dyDescent="0.35">
      <c r="A784" s="15">
        <f t="shared" si="123"/>
        <v>2</v>
      </c>
      <c r="B784" s="26">
        <v>45350</v>
      </c>
      <c r="C784" s="51">
        <f t="shared" si="129"/>
        <v>780</v>
      </c>
      <c r="D784" s="27" t="s">
        <v>594</v>
      </c>
      <c r="E784" s="26" t="s">
        <v>148</v>
      </c>
      <c r="F784" s="28" t="s">
        <v>11</v>
      </c>
      <c r="G784" s="28" t="s">
        <v>11</v>
      </c>
      <c r="H784" s="254"/>
      <c r="I784" s="49">
        <v>2</v>
      </c>
      <c r="J784" s="49">
        <v>2</v>
      </c>
      <c r="K784" s="52">
        <f t="shared" si="124"/>
        <v>1</v>
      </c>
      <c r="L784" s="209">
        <f t="shared" si="125"/>
        <v>0</v>
      </c>
      <c r="M784" s="210">
        <f t="shared" si="126"/>
        <v>0</v>
      </c>
      <c r="N784" s="26">
        <v>45364</v>
      </c>
      <c r="O784" s="26">
        <v>45364</v>
      </c>
      <c r="P784" s="26">
        <v>45364</v>
      </c>
      <c r="Q784" s="2">
        <f t="shared" si="120"/>
        <v>1</v>
      </c>
      <c r="S784" s="7">
        <f t="shared" si="127"/>
        <v>1</v>
      </c>
      <c r="T784" s="157">
        <f t="shared" si="128"/>
        <v>1</v>
      </c>
      <c r="V784" s="191">
        <f t="shared" si="121"/>
        <v>2</v>
      </c>
      <c r="W784" s="7">
        <f t="shared" si="122"/>
        <v>2024</v>
      </c>
    </row>
    <row r="785" spans="1:23" ht="31.95" customHeight="1" thickBot="1" x14ac:dyDescent="0.35">
      <c r="A785" s="15">
        <f t="shared" si="123"/>
        <v>1</v>
      </c>
      <c r="B785" s="26">
        <v>45351</v>
      </c>
      <c r="C785" s="51">
        <f t="shared" si="129"/>
        <v>781</v>
      </c>
      <c r="D785" s="27" t="s">
        <v>705</v>
      </c>
      <c r="E785" s="26" t="s">
        <v>11</v>
      </c>
      <c r="F785" s="28" t="s">
        <v>11</v>
      </c>
      <c r="G785" s="28" t="s">
        <v>11</v>
      </c>
      <c r="H785" s="254"/>
      <c r="I785" s="49">
        <v>1</v>
      </c>
      <c r="J785" s="49">
        <v>1</v>
      </c>
      <c r="K785" s="52">
        <f t="shared" si="124"/>
        <v>1</v>
      </c>
      <c r="L785" s="209">
        <f t="shared" si="125"/>
        <v>0</v>
      </c>
      <c r="M785" s="210">
        <f t="shared" si="126"/>
        <v>0</v>
      </c>
      <c r="N785" s="26">
        <v>45351</v>
      </c>
      <c r="O785" s="26">
        <v>45351</v>
      </c>
      <c r="P785" s="26">
        <v>45351</v>
      </c>
      <c r="Q785" s="2">
        <f t="shared" si="120"/>
        <v>1</v>
      </c>
      <c r="S785" s="7">
        <f t="shared" si="127"/>
        <v>1</v>
      </c>
      <c r="T785" s="157">
        <f t="shared" si="128"/>
        <v>1</v>
      </c>
      <c r="V785" s="191">
        <f t="shared" si="121"/>
        <v>2</v>
      </c>
      <c r="W785" s="7">
        <f t="shared" si="122"/>
        <v>2024</v>
      </c>
    </row>
    <row r="786" spans="1:23" ht="31.95" customHeight="1" thickBot="1" x14ac:dyDescent="0.35">
      <c r="A786" s="15">
        <f t="shared" si="123"/>
        <v>9</v>
      </c>
      <c r="B786" s="26">
        <v>45351</v>
      </c>
      <c r="C786" s="51">
        <f t="shared" si="129"/>
        <v>782</v>
      </c>
      <c r="D786" s="27" t="s">
        <v>305</v>
      </c>
      <c r="E786" s="26" t="s">
        <v>11</v>
      </c>
      <c r="F786" s="28" t="s">
        <v>11</v>
      </c>
      <c r="G786" s="28" t="s">
        <v>11</v>
      </c>
      <c r="H786" s="254"/>
      <c r="I786" s="49">
        <v>9</v>
      </c>
      <c r="J786" s="49">
        <v>9</v>
      </c>
      <c r="K786" s="52">
        <f t="shared" si="124"/>
        <v>1</v>
      </c>
      <c r="L786" s="209">
        <f t="shared" si="125"/>
        <v>0</v>
      </c>
      <c r="M786" s="210">
        <f t="shared" si="126"/>
        <v>0</v>
      </c>
      <c r="N786" s="26">
        <v>45351</v>
      </c>
      <c r="O786" s="26">
        <v>45351</v>
      </c>
      <c r="P786" s="26">
        <v>45351</v>
      </c>
      <c r="Q786" s="2">
        <f t="shared" si="120"/>
        <v>1</v>
      </c>
      <c r="S786" s="7">
        <f t="shared" si="127"/>
        <v>1</v>
      </c>
      <c r="T786" s="157">
        <f t="shared" si="128"/>
        <v>1</v>
      </c>
      <c r="V786" s="191">
        <f t="shared" si="121"/>
        <v>2</v>
      </c>
      <c r="W786" s="7">
        <f t="shared" si="122"/>
        <v>2024</v>
      </c>
    </row>
    <row r="787" spans="1:23" ht="31.95" customHeight="1" thickBot="1" x14ac:dyDescent="0.35">
      <c r="A787" s="15">
        <f t="shared" si="123"/>
        <v>1</v>
      </c>
      <c r="B787" s="26">
        <v>45351</v>
      </c>
      <c r="C787" s="51">
        <f t="shared" si="129"/>
        <v>783</v>
      </c>
      <c r="D787" s="27" t="s">
        <v>978</v>
      </c>
      <c r="E787" s="26" t="s">
        <v>148</v>
      </c>
      <c r="F787" s="28" t="s">
        <v>11</v>
      </c>
      <c r="G787" s="28" t="s">
        <v>11</v>
      </c>
      <c r="H787" s="254"/>
      <c r="I787" s="49">
        <v>1</v>
      </c>
      <c r="J787" s="49">
        <v>1</v>
      </c>
      <c r="K787" s="52">
        <f t="shared" si="124"/>
        <v>1</v>
      </c>
      <c r="L787" s="209">
        <f t="shared" si="125"/>
        <v>0</v>
      </c>
      <c r="M787" s="210">
        <f t="shared" si="126"/>
        <v>0</v>
      </c>
      <c r="N787" s="26">
        <v>45352</v>
      </c>
      <c r="O787" s="26">
        <v>45352</v>
      </c>
      <c r="P787" s="26">
        <v>45352</v>
      </c>
      <c r="Q787" s="2">
        <f t="shared" si="120"/>
        <v>1</v>
      </c>
      <c r="S787" s="7">
        <f t="shared" si="127"/>
        <v>1</v>
      </c>
      <c r="T787" s="157">
        <f t="shared" si="128"/>
        <v>1</v>
      </c>
      <c r="V787" s="191">
        <f t="shared" si="121"/>
        <v>2</v>
      </c>
      <c r="W787" s="7">
        <f t="shared" si="122"/>
        <v>2024</v>
      </c>
    </row>
    <row r="788" spans="1:23" ht="31.95" customHeight="1" thickBot="1" x14ac:dyDescent="0.35">
      <c r="A788" s="15">
        <f t="shared" si="123"/>
        <v>4</v>
      </c>
      <c r="B788" s="26">
        <v>45358</v>
      </c>
      <c r="C788" s="51">
        <f t="shared" si="129"/>
        <v>784</v>
      </c>
      <c r="D788" s="27" t="s">
        <v>863</v>
      </c>
      <c r="E788" s="26" t="s">
        <v>140</v>
      </c>
      <c r="F788" s="28" t="s">
        <v>11</v>
      </c>
      <c r="G788" s="28" t="s">
        <v>11</v>
      </c>
      <c r="H788" s="254"/>
      <c r="I788" s="49">
        <v>4</v>
      </c>
      <c r="J788" s="49">
        <v>4</v>
      </c>
      <c r="K788" s="52">
        <f t="shared" si="124"/>
        <v>1</v>
      </c>
      <c r="L788" s="209">
        <f t="shared" si="125"/>
        <v>0</v>
      </c>
      <c r="M788" s="210">
        <f t="shared" si="126"/>
        <v>0</v>
      </c>
      <c r="N788" s="26">
        <v>45365</v>
      </c>
      <c r="O788" s="26">
        <v>45365</v>
      </c>
      <c r="P788" s="26">
        <v>45365</v>
      </c>
      <c r="Q788" s="2">
        <f t="shared" si="120"/>
        <v>1</v>
      </c>
      <c r="S788" s="7">
        <f t="shared" si="127"/>
        <v>1</v>
      </c>
      <c r="T788" s="157">
        <f t="shared" si="128"/>
        <v>1</v>
      </c>
      <c r="V788" s="191">
        <f t="shared" si="121"/>
        <v>3</v>
      </c>
      <c r="W788" s="7">
        <f t="shared" si="122"/>
        <v>2024</v>
      </c>
    </row>
    <row r="789" spans="1:23" ht="31.95" customHeight="1" thickBot="1" x14ac:dyDescent="0.35">
      <c r="A789" s="15">
        <f t="shared" si="123"/>
        <v>4</v>
      </c>
      <c r="B789" s="26">
        <v>45358</v>
      </c>
      <c r="C789" s="51">
        <f t="shared" si="129"/>
        <v>785</v>
      </c>
      <c r="D789" s="27" t="s">
        <v>594</v>
      </c>
      <c r="E789" s="26" t="s">
        <v>140</v>
      </c>
      <c r="F789" s="28" t="s">
        <v>11</v>
      </c>
      <c r="G789" s="28" t="s">
        <v>11</v>
      </c>
      <c r="H789" s="254"/>
      <c r="I789" s="49">
        <v>4</v>
      </c>
      <c r="J789" s="49">
        <v>4</v>
      </c>
      <c r="K789" s="52">
        <f t="shared" si="124"/>
        <v>1</v>
      </c>
      <c r="L789" s="209">
        <f t="shared" si="125"/>
        <v>0</v>
      </c>
      <c r="M789" s="210">
        <f t="shared" si="126"/>
        <v>0</v>
      </c>
      <c r="N789" s="26">
        <v>45365</v>
      </c>
      <c r="O789" s="26">
        <v>45365</v>
      </c>
      <c r="P789" s="26">
        <v>45365</v>
      </c>
      <c r="Q789" s="2">
        <f t="shared" si="120"/>
        <v>1</v>
      </c>
      <c r="S789" s="7">
        <f t="shared" si="127"/>
        <v>1</v>
      </c>
      <c r="T789" s="157">
        <f t="shared" si="128"/>
        <v>1</v>
      </c>
      <c r="V789" s="191">
        <f t="shared" si="121"/>
        <v>3</v>
      </c>
      <c r="W789" s="7">
        <f t="shared" si="122"/>
        <v>2024</v>
      </c>
    </row>
    <row r="790" spans="1:23" ht="31.95" customHeight="1" thickBot="1" x14ac:dyDescent="0.35">
      <c r="A790" s="15">
        <f t="shared" si="123"/>
        <v>8</v>
      </c>
      <c r="B790" s="26">
        <v>45358</v>
      </c>
      <c r="C790" s="51">
        <f t="shared" si="129"/>
        <v>786</v>
      </c>
      <c r="D790" s="27" t="s">
        <v>524</v>
      </c>
      <c r="E790" s="26" t="s">
        <v>140</v>
      </c>
      <c r="F790" s="28" t="s">
        <v>11</v>
      </c>
      <c r="G790" s="28" t="s">
        <v>11</v>
      </c>
      <c r="H790" s="254"/>
      <c r="I790" s="49">
        <v>8</v>
      </c>
      <c r="J790" s="49">
        <v>8</v>
      </c>
      <c r="K790" s="52">
        <f t="shared" si="124"/>
        <v>1</v>
      </c>
      <c r="L790" s="209">
        <f t="shared" si="125"/>
        <v>0</v>
      </c>
      <c r="M790" s="210">
        <f t="shared" si="126"/>
        <v>0</v>
      </c>
      <c r="N790" s="26">
        <v>45365</v>
      </c>
      <c r="O790" s="26">
        <v>45365</v>
      </c>
      <c r="P790" s="26">
        <v>45365</v>
      </c>
      <c r="Q790" s="2">
        <f t="shared" si="120"/>
        <v>1</v>
      </c>
      <c r="S790" s="7">
        <f t="shared" si="127"/>
        <v>1</v>
      </c>
      <c r="T790" s="157">
        <f t="shared" si="128"/>
        <v>1</v>
      </c>
      <c r="V790" s="191">
        <f t="shared" si="121"/>
        <v>3</v>
      </c>
      <c r="W790" s="7">
        <f t="shared" si="122"/>
        <v>2024</v>
      </c>
    </row>
    <row r="791" spans="1:23" ht="31.95" customHeight="1" thickBot="1" x14ac:dyDescent="0.35">
      <c r="A791" s="15">
        <f t="shared" si="123"/>
        <v>8</v>
      </c>
      <c r="B791" s="26">
        <v>45358</v>
      </c>
      <c r="C791" s="51">
        <f t="shared" si="129"/>
        <v>787</v>
      </c>
      <c r="D791" s="27" t="s">
        <v>1121</v>
      </c>
      <c r="E791" s="26" t="s">
        <v>1310</v>
      </c>
      <c r="F791" s="28" t="s">
        <v>11</v>
      </c>
      <c r="G791" s="28" t="s">
        <v>11</v>
      </c>
      <c r="H791" s="254"/>
      <c r="I791" s="49">
        <v>8</v>
      </c>
      <c r="J791" s="49">
        <v>8</v>
      </c>
      <c r="K791" s="52">
        <f t="shared" si="124"/>
        <v>1</v>
      </c>
      <c r="L791" s="209">
        <f t="shared" si="125"/>
        <v>0</v>
      </c>
      <c r="M791" s="210">
        <f t="shared" si="126"/>
        <v>0</v>
      </c>
      <c r="N791" s="26">
        <v>45366</v>
      </c>
      <c r="O791" s="26">
        <v>45366</v>
      </c>
      <c r="P791" s="26">
        <v>45366</v>
      </c>
      <c r="Q791" s="2">
        <f t="shared" si="120"/>
        <v>1</v>
      </c>
      <c r="S791" s="7">
        <f t="shared" si="127"/>
        <v>1</v>
      </c>
      <c r="T791" s="157">
        <f t="shared" si="128"/>
        <v>1</v>
      </c>
      <c r="V791" s="191">
        <f t="shared" si="121"/>
        <v>3</v>
      </c>
      <c r="W791" s="7">
        <f t="shared" si="122"/>
        <v>2024</v>
      </c>
    </row>
    <row r="792" spans="1:23" ht="31.95" customHeight="1" thickBot="1" x14ac:dyDescent="0.35">
      <c r="A792" s="15">
        <f t="shared" si="123"/>
        <v>2</v>
      </c>
      <c r="B792" s="26">
        <v>45358</v>
      </c>
      <c r="C792" s="51">
        <f t="shared" si="129"/>
        <v>788</v>
      </c>
      <c r="D792" s="27" t="s">
        <v>858</v>
      </c>
      <c r="E792" s="26" t="s">
        <v>11</v>
      </c>
      <c r="F792" s="28" t="s">
        <v>11</v>
      </c>
      <c r="G792" s="28" t="s">
        <v>11</v>
      </c>
      <c r="H792" s="254"/>
      <c r="I792" s="49">
        <v>2</v>
      </c>
      <c r="J792" s="49">
        <v>2</v>
      </c>
      <c r="K792" s="52">
        <f t="shared" si="124"/>
        <v>1</v>
      </c>
      <c r="L792" s="209">
        <f t="shared" si="125"/>
        <v>0</v>
      </c>
      <c r="M792" s="210">
        <f t="shared" si="126"/>
        <v>0</v>
      </c>
      <c r="N792" s="26">
        <v>45359</v>
      </c>
      <c r="O792" s="26">
        <v>45359</v>
      </c>
      <c r="P792" s="26">
        <v>45359</v>
      </c>
      <c r="Q792" s="2">
        <f t="shared" si="120"/>
        <v>1</v>
      </c>
      <c r="S792" s="7">
        <f t="shared" si="127"/>
        <v>1</v>
      </c>
      <c r="T792" s="157">
        <f t="shared" si="128"/>
        <v>1</v>
      </c>
      <c r="V792" s="191">
        <f t="shared" si="121"/>
        <v>3</v>
      </c>
      <c r="W792" s="7">
        <f t="shared" si="122"/>
        <v>2024</v>
      </c>
    </row>
    <row r="793" spans="1:23" ht="31.95" customHeight="1" thickBot="1" x14ac:dyDescent="0.35">
      <c r="A793" s="15">
        <f t="shared" si="123"/>
        <v>3</v>
      </c>
      <c r="B793" s="26">
        <v>45358</v>
      </c>
      <c r="C793" s="51">
        <f t="shared" si="129"/>
        <v>789</v>
      </c>
      <c r="D793" s="27" t="s">
        <v>305</v>
      </c>
      <c r="E793" s="26" t="s">
        <v>11</v>
      </c>
      <c r="F793" s="28" t="s">
        <v>11</v>
      </c>
      <c r="G793" s="28" t="s">
        <v>11</v>
      </c>
      <c r="H793" s="254"/>
      <c r="I793" s="49">
        <v>3</v>
      </c>
      <c r="J793" s="49">
        <v>3</v>
      </c>
      <c r="K793" s="52">
        <f t="shared" si="124"/>
        <v>1</v>
      </c>
      <c r="L793" s="209">
        <f t="shared" si="125"/>
        <v>0</v>
      </c>
      <c r="M793" s="210">
        <f t="shared" si="126"/>
        <v>0</v>
      </c>
      <c r="N793" s="26">
        <v>45359</v>
      </c>
      <c r="O793" s="26">
        <v>45359</v>
      </c>
      <c r="P793" s="26">
        <v>45359</v>
      </c>
      <c r="Q793" s="2">
        <f t="shared" si="120"/>
        <v>1</v>
      </c>
      <c r="S793" s="7">
        <f t="shared" si="127"/>
        <v>1</v>
      </c>
      <c r="T793" s="157">
        <f t="shared" si="128"/>
        <v>1</v>
      </c>
      <c r="V793" s="191">
        <f t="shared" si="121"/>
        <v>3</v>
      </c>
      <c r="W793" s="7">
        <f t="shared" si="122"/>
        <v>2024</v>
      </c>
    </row>
    <row r="794" spans="1:23" ht="31.95" customHeight="1" thickBot="1" x14ac:dyDescent="0.35">
      <c r="A794" s="15">
        <f t="shared" si="123"/>
        <v>1</v>
      </c>
      <c r="B794" s="26">
        <v>45362</v>
      </c>
      <c r="C794" s="51">
        <f t="shared" si="129"/>
        <v>790</v>
      </c>
      <c r="D794" s="27" t="s">
        <v>822</v>
      </c>
      <c r="E794" s="26" t="s">
        <v>140</v>
      </c>
      <c r="F794" s="28" t="s">
        <v>11</v>
      </c>
      <c r="G794" s="28" t="s">
        <v>11</v>
      </c>
      <c r="H794" s="254"/>
      <c r="I794" s="49">
        <v>1</v>
      </c>
      <c r="J794" s="49">
        <v>1</v>
      </c>
      <c r="K794" s="52">
        <f t="shared" si="124"/>
        <v>1</v>
      </c>
      <c r="L794" s="209">
        <f t="shared" si="125"/>
        <v>0</v>
      </c>
      <c r="M794" s="210">
        <f t="shared" si="126"/>
        <v>0</v>
      </c>
      <c r="N794" s="26">
        <v>45364</v>
      </c>
      <c r="O794" s="26">
        <v>45364</v>
      </c>
      <c r="P794" s="26">
        <v>45364</v>
      </c>
      <c r="Q794" s="2">
        <f t="shared" si="120"/>
        <v>1</v>
      </c>
      <c r="S794" s="7">
        <f t="shared" si="127"/>
        <v>1</v>
      </c>
      <c r="T794" s="157">
        <f t="shared" si="128"/>
        <v>1</v>
      </c>
      <c r="V794" s="191">
        <f t="shared" si="121"/>
        <v>3</v>
      </c>
      <c r="W794" s="7">
        <f t="shared" si="122"/>
        <v>2024</v>
      </c>
    </row>
    <row r="795" spans="1:23" ht="31.95" customHeight="1" thickBot="1" x14ac:dyDescent="0.35">
      <c r="A795" s="15">
        <f t="shared" si="123"/>
        <v>2</v>
      </c>
      <c r="B795" s="26">
        <v>45363</v>
      </c>
      <c r="C795" s="51">
        <f t="shared" si="129"/>
        <v>791</v>
      </c>
      <c r="D795" s="27" t="s">
        <v>1114</v>
      </c>
      <c r="E795" s="26" t="s">
        <v>140</v>
      </c>
      <c r="F795" s="28" t="s">
        <v>11</v>
      </c>
      <c r="G795" s="28" t="s">
        <v>11</v>
      </c>
      <c r="H795" s="254"/>
      <c r="I795" s="49">
        <v>2</v>
      </c>
      <c r="J795" s="49">
        <v>2</v>
      </c>
      <c r="K795" s="52">
        <f t="shared" si="124"/>
        <v>1</v>
      </c>
      <c r="L795" s="209">
        <f t="shared" si="125"/>
        <v>0</v>
      </c>
      <c r="M795" s="210">
        <f t="shared" si="126"/>
        <v>0</v>
      </c>
      <c r="N795" s="26">
        <v>45365</v>
      </c>
      <c r="O795" s="26">
        <v>45365</v>
      </c>
      <c r="P795" s="26">
        <v>45365</v>
      </c>
      <c r="Q795" s="2">
        <f t="shared" si="120"/>
        <v>1</v>
      </c>
      <c r="S795" s="7">
        <f t="shared" si="127"/>
        <v>1</v>
      </c>
      <c r="T795" s="157">
        <f t="shared" si="128"/>
        <v>1</v>
      </c>
      <c r="V795" s="191">
        <f t="shared" si="121"/>
        <v>3</v>
      </c>
      <c r="W795" s="7">
        <f t="shared" si="122"/>
        <v>2024</v>
      </c>
    </row>
    <row r="796" spans="1:23" ht="31.95" customHeight="1" thickBot="1" x14ac:dyDescent="0.35">
      <c r="A796" s="15">
        <f t="shared" si="123"/>
        <v>4</v>
      </c>
      <c r="B796" s="26">
        <v>45363</v>
      </c>
      <c r="C796" s="51">
        <f t="shared" si="129"/>
        <v>792</v>
      </c>
      <c r="D796" s="27" t="s">
        <v>890</v>
      </c>
      <c r="E796" s="26" t="s">
        <v>140</v>
      </c>
      <c r="F796" s="28" t="s">
        <v>11</v>
      </c>
      <c r="G796" s="28" t="s">
        <v>11</v>
      </c>
      <c r="H796" s="254"/>
      <c r="I796" s="49">
        <v>4</v>
      </c>
      <c r="J796" s="49">
        <v>4</v>
      </c>
      <c r="K796" s="52">
        <f t="shared" si="124"/>
        <v>1</v>
      </c>
      <c r="L796" s="209">
        <f t="shared" si="125"/>
        <v>0</v>
      </c>
      <c r="M796" s="210">
        <f t="shared" si="126"/>
        <v>0</v>
      </c>
      <c r="N796" s="26">
        <v>45384</v>
      </c>
      <c r="O796" s="26">
        <v>45384</v>
      </c>
      <c r="P796" s="26">
        <v>45384</v>
      </c>
      <c r="Q796" s="2">
        <f t="shared" si="120"/>
        <v>1</v>
      </c>
      <c r="S796" s="7">
        <f t="shared" si="127"/>
        <v>1</v>
      </c>
      <c r="T796" s="157">
        <f t="shared" si="128"/>
        <v>1</v>
      </c>
      <c r="V796" s="191">
        <f t="shared" si="121"/>
        <v>3</v>
      </c>
      <c r="W796" s="7">
        <f t="shared" si="122"/>
        <v>2024</v>
      </c>
    </row>
    <row r="797" spans="1:23" ht="31.95" customHeight="1" thickBot="1" x14ac:dyDescent="0.35">
      <c r="A797" s="15">
        <f t="shared" si="123"/>
        <v>2</v>
      </c>
      <c r="B797" s="26">
        <v>45363</v>
      </c>
      <c r="C797" s="51">
        <f t="shared" si="129"/>
        <v>793</v>
      </c>
      <c r="D797" s="27" t="s">
        <v>822</v>
      </c>
      <c r="E797" s="26" t="s">
        <v>140</v>
      </c>
      <c r="F797" s="28" t="s">
        <v>11</v>
      </c>
      <c r="G797" s="28" t="s">
        <v>11</v>
      </c>
      <c r="H797" s="254"/>
      <c r="I797" s="49">
        <v>2</v>
      </c>
      <c r="J797" s="49">
        <v>2</v>
      </c>
      <c r="K797" s="52">
        <f t="shared" si="124"/>
        <v>1</v>
      </c>
      <c r="L797" s="209">
        <f t="shared" si="125"/>
        <v>0</v>
      </c>
      <c r="M797" s="210">
        <f t="shared" si="126"/>
        <v>0</v>
      </c>
      <c r="N797" s="26">
        <v>45365</v>
      </c>
      <c r="O797" s="26">
        <v>45365</v>
      </c>
      <c r="P797" s="26">
        <v>45365</v>
      </c>
      <c r="Q797" s="2">
        <f t="shared" si="120"/>
        <v>1</v>
      </c>
      <c r="S797" s="7">
        <f t="shared" si="127"/>
        <v>1</v>
      </c>
      <c r="T797" s="157">
        <f t="shared" si="128"/>
        <v>1</v>
      </c>
      <c r="V797" s="191">
        <f t="shared" si="121"/>
        <v>3</v>
      </c>
      <c r="W797" s="7">
        <f t="shared" si="122"/>
        <v>2024</v>
      </c>
    </row>
    <row r="798" spans="1:23" ht="31.95" customHeight="1" thickBot="1" x14ac:dyDescent="0.35">
      <c r="A798" s="15">
        <f t="shared" si="123"/>
        <v>3</v>
      </c>
      <c r="B798" s="26">
        <v>45363</v>
      </c>
      <c r="C798" s="51">
        <f t="shared" si="129"/>
        <v>794</v>
      </c>
      <c r="D798" s="27" t="s">
        <v>1150</v>
      </c>
      <c r="E798" s="26" t="s">
        <v>140</v>
      </c>
      <c r="F798" s="28" t="s">
        <v>11</v>
      </c>
      <c r="G798" s="28" t="s">
        <v>11</v>
      </c>
      <c r="H798" s="254"/>
      <c r="I798" s="49">
        <v>3</v>
      </c>
      <c r="J798" s="49">
        <v>3</v>
      </c>
      <c r="K798" s="52">
        <f t="shared" si="124"/>
        <v>1</v>
      </c>
      <c r="L798" s="209">
        <f t="shared" si="125"/>
        <v>0</v>
      </c>
      <c r="M798" s="210">
        <f t="shared" si="126"/>
        <v>0</v>
      </c>
      <c r="N798" s="26">
        <v>45364</v>
      </c>
      <c r="O798" s="26">
        <v>45364</v>
      </c>
      <c r="P798" s="26">
        <v>45364</v>
      </c>
      <c r="Q798" s="2">
        <f t="shared" si="120"/>
        <v>1</v>
      </c>
      <c r="S798" s="7">
        <f t="shared" si="127"/>
        <v>1</v>
      </c>
      <c r="T798" s="157">
        <f t="shared" si="128"/>
        <v>1</v>
      </c>
      <c r="V798" s="191">
        <f t="shared" si="121"/>
        <v>3</v>
      </c>
      <c r="W798" s="7">
        <f t="shared" si="122"/>
        <v>2024</v>
      </c>
    </row>
    <row r="799" spans="1:23" ht="31.95" customHeight="1" thickBot="1" x14ac:dyDescent="0.35">
      <c r="A799" s="15">
        <f t="shared" si="123"/>
        <v>2</v>
      </c>
      <c r="B799" s="26">
        <v>45363</v>
      </c>
      <c r="C799" s="51">
        <f t="shared" si="129"/>
        <v>795</v>
      </c>
      <c r="D799" s="27" t="s">
        <v>733</v>
      </c>
      <c r="E799" s="26" t="s">
        <v>140</v>
      </c>
      <c r="F799" s="28" t="s">
        <v>11</v>
      </c>
      <c r="G799" s="28" t="s">
        <v>11</v>
      </c>
      <c r="H799" s="254"/>
      <c r="I799" s="49">
        <v>2</v>
      </c>
      <c r="J799" s="49">
        <v>2</v>
      </c>
      <c r="K799" s="52">
        <f t="shared" si="124"/>
        <v>1</v>
      </c>
      <c r="L799" s="209">
        <f t="shared" si="125"/>
        <v>0</v>
      </c>
      <c r="M799" s="210">
        <f t="shared" si="126"/>
        <v>0</v>
      </c>
      <c r="N799" s="26">
        <v>45384</v>
      </c>
      <c r="O799" s="26">
        <v>45384</v>
      </c>
      <c r="P799" s="26">
        <v>45384</v>
      </c>
      <c r="Q799" s="2">
        <f t="shared" si="120"/>
        <v>1</v>
      </c>
      <c r="S799" s="7">
        <f t="shared" si="127"/>
        <v>1</v>
      </c>
      <c r="T799" s="157">
        <f t="shared" si="128"/>
        <v>1</v>
      </c>
      <c r="V799" s="191">
        <f t="shared" si="121"/>
        <v>3</v>
      </c>
      <c r="W799" s="7">
        <f t="shared" si="122"/>
        <v>2024</v>
      </c>
    </row>
    <row r="800" spans="1:23" ht="31.95" customHeight="1" thickBot="1" x14ac:dyDescent="0.35">
      <c r="A800" s="15">
        <f t="shared" si="123"/>
        <v>2</v>
      </c>
      <c r="B800" s="26">
        <v>45366</v>
      </c>
      <c r="C800" s="51">
        <f t="shared" si="129"/>
        <v>796</v>
      </c>
      <c r="D800" s="27" t="s">
        <v>1238</v>
      </c>
      <c r="E800" s="26" t="s">
        <v>140</v>
      </c>
      <c r="F800" s="28" t="s">
        <v>11</v>
      </c>
      <c r="G800" s="28" t="s">
        <v>11</v>
      </c>
      <c r="H800" s="254"/>
      <c r="I800" s="49">
        <v>2</v>
      </c>
      <c r="J800" s="49">
        <v>2</v>
      </c>
      <c r="K800" s="52">
        <f t="shared" si="124"/>
        <v>1</v>
      </c>
      <c r="L800" s="209">
        <f t="shared" si="125"/>
        <v>0</v>
      </c>
      <c r="M800" s="210">
        <f t="shared" si="126"/>
        <v>0</v>
      </c>
      <c r="N800" s="26">
        <v>45366</v>
      </c>
      <c r="O800" s="26">
        <v>45366</v>
      </c>
      <c r="P800" s="26">
        <v>45366</v>
      </c>
      <c r="Q800" s="2">
        <f t="shared" si="120"/>
        <v>1</v>
      </c>
      <c r="S800" s="7">
        <f t="shared" si="127"/>
        <v>1</v>
      </c>
      <c r="T800" s="157">
        <f t="shared" si="128"/>
        <v>1</v>
      </c>
      <c r="V800" s="191">
        <f t="shared" si="121"/>
        <v>3</v>
      </c>
      <c r="W800" s="7">
        <f t="shared" si="122"/>
        <v>2024</v>
      </c>
    </row>
    <row r="801" spans="1:23" ht="31.95" customHeight="1" thickBot="1" x14ac:dyDescent="0.35">
      <c r="A801" s="15">
        <f t="shared" si="123"/>
        <v>6</v>
      </c>
      <c r="B801" s="26">
        <v>45370</v>
      </c>
      <c r="C801" s="51">
        <f t="shared" si="129"/>
        <v>797</v>
      </c>
      <c r="D801" s="27" t="s">
        <v>890</v>
      </c>
      <c r="E801" s="26" t="s">
        <v>137</v>
      </c>
      <c r="F801" s="28" t="s">
        <v>11</v>
      </c>
      <c r="G801" s="28" t="s">
        <v>11</v>
      </c>
      <c r="H801" s="254"/>
      <c r="I801" s="49">
        <v>6</v>
      </c>
      <c r="J801" s="49">
        <v>6</v>
      </c>
      <c r="K801" s="52">
        <f t="shared" si="124"/>
        <v>1</v>
      </c>
      <c r="L801" s="209">
        <f t="shared" si="125"/>
        <v>0</v>
      </c>
      <c r="M801" s="210">
        <f t="shared" si="126"/>
        <v>0</v>
      </c>
      <c r="N801" s="26">
        <v>45391</v>
      </c>
      <c r="O801" s="26">
        <v>45391</v>
      </c>
      <c r="P801" s="26">
        <v>45391</v>
      </c>
      <c r="Q801" s="2">
        <f t="shared" si="120"/>
        <v>1</v>
      </c>
      <c r="S801" s="7">
        <f t="shared" si="127"/>
        <v>1</v>
      </c>
      <c r="T801" s="157">
        <f t="shared" si="128"/>
        <v>1</v>
      </c>
      <c r="V801" s="191">
        <f t="shared" si="121"/>
        <v>3</v>
      </c>
      <c r="W801" s="7">
        <f t="shared" si="122"/>
        <v>2024</v>
      </c>
    </row>
    <row r="802" spans="1:23" ht="31.95" customHeight="1" thickBot="1" x14ac:dyDescent="0.35">
      <c r="A802" s="15">
        <f t="shared" si="123"/>
        <v>4</v>
      </c>
      <c r="B802" s="26">
        <v>45370</v>
      </c>
      <c r="C802" s="51">
        <f t="shared" si="129"/>
        <v>798</v>
      </c>
      <c r="D802" s="27" t="s">
        <v>488</v>
      </c>
      <c r="E802" s="26" t="s">
        <v>137</v>
      </c>
      <c r="F802" s="28" t="s">
        <v>11</v>
      </c>
      <c r="G802" s="28" t="s">
        <v>11</v>
      </c>
      <c r="H802" s="254"/>
      <c r="I802" s="49">
        <v>4</v>
      </c>
      <c r="J802" s="49">
        <v>4</v>
      </c>
      <c r="K802" s="52">
        <f t="shared" si="124"/>
        <v>1</v>
      </c>
      <c r="L802" s="209">
        <f t="shared" si="125"/>
        <v>0</v>
      </c>
      <c r="M802" s="210">
        <f t="shared" si="126"/>
        <v>0</v>
      </c>
      <c r="N802" s="26">
        <v>45378</v>
      </c>
      <c r="O802" s="26">
        <v>45378</v>
      </c>
      <c r="P802" s="26">
        <v>45378</v>
      </c>
      <c r="Q802" s="2">
        <f t="shared" si="120"/>
        <v>1</v>
      </c>
      <c r="S802" s="7">
        <f t="shared" si="127"/>
        <v>1</v>
      </c>
      <c r="T802" s="157">
        <f t="shared" si="128"/>
        <v>1</v>
      </c>
      <c r="V802" s="191">
        <f t="shared" si="121"/>
        <v>3</v>
      </c>
      <c r="W802" s="7">
        <f t="shared" si="122"/>
        <v>2024</v>
      </c>
    </row>
    <row r="803" spans="1:23" ht="31.95" customHeight="1" thickBot="1" x14ac:dyDescent="0.35">
      <c r="A803" s="15">
        <f t="shared" si="123"/>
        <v>5</v>
      </c>
      <c r="B803" s="26">
        <v>45370</v>
      </c>
      <c r="C803" s="51">
        <f t="shared" si="129"/>
        <v>799</v>
      </c>
      <c r="D803" s="27" t="s">
        <v>326</v>
      </c>
      <c r="E803" s="26" t="s">
        <v>137</v>
      </c>
      <c r="F803" s="28" t="s">
        <v>11</v>
      </c>
      <c r="G803" s="28" t="s">
        <v>11</v>
      </c>
      <c r="H803" s="254"/>
      <c r="I803" s="49">
        <v>5</v>
      </c>
      <c r="J803" s="49">
        <v>5</v>
      </c>
      <c r="K803" s="52">
        <f t="shared" si="124"/>
        <v>1</v>
      </c>
      <c r="L803" s="209">
        <f t="shared" si="125"/>
        <v>0</v>
      </c>
      <c r="M803" s="210">
        <f t="shared" si="126"/>
        <v>0</v>
      </c>
      <c r="N803" s="26">
        <v>45379</v>
      </c>
      <c r="O803" s="26">
        <v>45379</v>
      </c>
      <c r="P803" s="26">
        <v>45379</v>
      </c>
      <c r="Q803" s="2">
        <f t="shared" si="120"/>
        <v>1</v>
      </c>
      <c r="S803" s="7">
        <f t="shared" si="127"/>
        <v>1</v>
      </c>
      <c r="T803" s="157">
        <f t="shared" si="128"/>
        <v>1</v>
      </c>
      <c r="V803" s="191">
        <f t="shared" si="121"/>
        <v>3</v>
      </c>
      <c r="W803" s="7">
        <f t="shared" si="122"/>
        <v>2024</v>
      </c>
    </row>
    <row r="804" spans="1:23" ht="31.95" customHeight="1" thickBot="1" x14ac:dyDescent="0.35">
      <c r="A804" s="15">
        <f t="shared" si="123"/>
        <v>1</v>
      </c>
      <c r="B804" s="26">
        <v>45370</v>
      </c>
      <c r="C804" s="51">
        <f t="shared" si="129"/>
        <v>800</v>
      </c>
      <c r="D804" s="27" t="s">
        <v>518</v>
      </c>
      <c r="E804" s="26" t="s">
        <v>137</v>
      </c>
      <c r="F804" s="28" t="s">
        <v>11</v>
      </c>
      <c r="G804" s="28" t="s">
        <v>11</v>
      </c>
      <c r="H804" s="254"/>
      <c r="I804" s="49">
        <v>1</v>
      </c>
      <c r="J804" s="49">
        <v>1</v>
      </c>
      <c r="K804" s="52">
        <f t="shared" si="124"/>
        <v>1</v>
      </c>
      <c r="L804" s="209">
        <f t="shared" si="125"/>
        <v>0</v>
      </c>
      <c r="M804" s="210">
        <f t="shared" si="126"/>
        <v>0</v>
      </c>
      <c r="N804" s="26">
        <v>45379</v>
      </c>
      <c r="O804" s="26">
        <v>45379</v>
      </c>
      <c r="P804" s="26">
        <v>45379</v>
      </c>
      <c r="Q804" s="2">
        <f t="shared" si="120"/>
        <v>1</v>
      </c>
      <c r="S804" s="7">
        <f t="shared" si="127"/>
        <v>1</v>
      </c>
      <c r="T804" s="157">
        <f t="shared" si="128"/>
        <v>1</v>
      </c>
      <c r="V804" s="191">
        <f t="shared" si="121"/>
        <v>3</v>
      </c>
      <c r="W804" s="7">
        <f t="shared" si="122"/>
        <v>2024</v>
      </c>
    </row>
    <row r="805" spans="1:23" ht="31.95" customHeight="1" thickBot="1" x14ac:dyDescent="0.35">
      <c r="A805" s="15">
        <f t="shared" si="123"/>
        <v>3</v>
      </c>
      <c r="B805" s="26">
        <v>45370</v>
      </c>
      <c r="C805" s="51">
        <f t="shared" si="129"/>
        <v>801</v>
      </c>
      <c r="D805" s="27" t="s">
        <v>1128</v>
      </c>
      <c r="E805" s="26" t="s">
        <v>137</v>
      </c>
      <c r="F805" s="28" t="s">
        <v>11</v>
      </c>
      <c r="G805" s="28" t="s">
        <v>11</v>
      </c>
      <c r="H805" s="254"/>
      <c r="I805" s="49">
        <v>3</v>
      </c>
      <c r="J805" s="49">
        <v>3</v>
      </c>
      <c r="K805" s="52">
        <f t="shared" si="124"/>
        <v>1</v>
      </c>
      <c r="L805" s="209">
        <f t="shared" si="125"/>
        <v>0</v>
      </c>
      <c r="M805" s="210">
        <f t="shared" si="126"/>
        <v>0</v>
      </c>
      <c r="N805" s="26">
        <v>45379</v>
      </c>
      <c r="O805" s="26">
        <v>45379</v>
      </c>
      <c r="P805" s="26">
        <v>45379</v>
      </c>
      <c r="Q805" s="2">
        <f t="shared" si="120"/>
        <v>1</v>
      </c>
      <c r="S805" s="7">
        <f t="shared" si="127"/>
        <v>1</v>
      </c>
      <c r="T805" s="157">
        <f t="shared" si="128"/>
        <v>1</v>
      </c>
      <c r="V805" s="191">
        <f t="shared" si="121"/>
        <v>3</v>
      </c>
      <c r="W805" s="7">
        <f t="shared" si="122"/>
        <v>2024</v>
      </c>
    </row>
    <row r="806" spans="1:23" ht="31.95" customHeight="1" thickBot="1" x14ac:dyDescent="0.35">
      <c r="A806" s="15">
        <f t="shared" si="123"/>
        <v>6</v>
      </c>
      <c r="B806" s="26">
        <v>45372</v>
      </c>
      <c r="C806" s="51">
        <f t="shared" si="129"/>
        <v>802</v>
      </c>
      <c r="D806" s="27" t="s">
        <v>677</v>
      </c>
      <c r="E806" s="26" t="s">
        <v>137</v>
      </c>
      <c r="F806" s="28" t="s">
        <v>11</v>
      </c>
      <c r="G806" s="28" t="s">
        <v>11</v>
      </c>
      <c r="H806" s="254"/>
      <c r="I806" s="49">
        <v>6</v>
      </c>
      <c r="J806" s="49">
        <v>6</v>
      </c>
      <c r="K806" s="52">
        <f t="shared" si="124"/>
        <v>1</v>
      </c>
      <c r="L806" s="209">
        <f t="shared" si="125"/>
        <v>0</v>
      </c>
      <c r="M806" s="210">
        <f t="shared" si="126"/>
        <v>0</v>
      </c>
      <c r="N806" s="26">
        <v>45380</v>
      </c>
      <c r="O806" s="26">
        <v>45380</v>
      </c>
      <c r="P806" s="26">
        <v>45380</v>
      </c>
      <c r="Q806" s="2">
        <f t="shared" si="120"/>
        <v>1</v>
      </c>
      <c r="S806" s="7">
        <f t="shared" si="127"/>
        <v>1</v>
      </c>
      <c r="T806" s="157">
        <f t="shared" si="128"/>
        <v>1</v>
      </c>
      <c r="V806" s="191">
        <f t="shared" si="121"/>
        <v>3</v>
      </c>
      <c r="W806" s="7">
        <f t="shared" si="122"/>
        <v>2024</v>
      </c>
    </row>
    <row r="807" spans="1:23" ht="31.95" customHeight="1" thickBot="1" x14ac:dyDescent="0.35">
      <c r="A807" s="15">
        <f t="shared" si="123"/>
        <v>5</v>
      </c>
      <c r="B807" s="26">
        <v>45344</v>
      </c>
      <c r="C807" s="51">
        <f t="shared" si="129"/>
        <v>803</v>
      </c>
      <c r="D807" s="27" t="s">
        <v>305</v>
      </c>
      <c r="E807" s="26" t="s">
        <v>11</v>
      </c>
      <c r="F807" s="28" t="s">
        <v>11</v>
      </c>
      <c r="G807" s="28" t="s">
        <v>11</v>
      </c>
      <c r="H807" s="254"/>
      <c r="I807" s="49">
        <v>5</v>
      </c>
      <c r="J807" s="49">
        <v>5</v>
      </c>
      <c r="K807" s="52">
        <f t="shared" si="124"/>
        <v>1</v>
      </c>
      <c r="L807" s="209">
        <f t="shared" si="125"/>
        <v>0</v>
      </c>
      <c r="M807" s="210">
        <f t="shared" si="126"/>
        <v>0</v>
      </c>
      <c r="N807" s="26">
        <v>45373</v>
      </c>
      <c r="O807" s="26">
        <v>45373</v>
      </c>
      <c r="P807" s="26">
        <v>45373</v>
      </c>
      <c r="Q807" s="2">
        <f t="shared" si="120"/>
        <v>1</v>
      </c>
      <c r="S807" s="7">
        <f t="shared" si="127"/>
        <v>1</v>
      </c>
      <c r="T807" s="157">
        <f t="shared" si="128"/>
        <v>1</v>
      </c>
      <c r="V807" s="191">
        <f t="shared" si="121"/>
        <v>2</v>
      </c>
      <c r="W807" s="7">
        <f t="shared" si="122"/>
        <v>2024</v>
      </c>
    </row>
    <row r="808" spans="1:23" ht="31.95" customHeight="1" thickBot="1" x14ac:dyDescent="0.35">
      <c r="A808" s="15">
        <f t="shared" si="123"/>
        <v>2</v>
      </c>
      <c r="B808" s="26">
        <v>45344</v>
      </c>
      <c r="C808" s="51">
        <f t="shared" si="129"/>
        <v>804</v>
      </c>
      <c r="D808" s="27" t="s">
        <v>524</v>
      </c>
      <c r="E808" s="26" t="s">
        <v>1311</v>
      </c>
      <c r="F808" s="28" t="s">
        <v>11</v>
      </c>
      <c r="G808" s="28" t="s">
        <v>11</v>
      </c>
      <c r="H808" s="254"/>
      <c r="I808" s="49">
        <v>2</v>
      </c>
      <c r="J808" s="49">
        <v>2</v>
      </c>
      <c r="K808" s="52">
        <f t="shared" si="124"/>
        <v>1</v>
      </c>
      <c r="L808" s="209">
        <f t="shared" si="125"/>
        <v>0</v>
      </c>
      <c r="M808" s="210">
        <f t="shared" si="126"/>
        <v>0</v>
      </c>
      <c r="N808" s="26">
        <v>45377</v>
      </c>
      <c r="O808" s="26">
        <v>45377</v>
      </c>
      <c r="P808" s="26">
        <v>45377</v>
      </c>
      <c r="Q808" s="2">
        <f t="shared" si="120"/>
        <v>1</v>
      </c>
      <c r="S808" s="7">
        <f t="shared" si="127"/>
        <v>1</v>
      </c>
      <c r="T808" s="157">
        <f t="shared" si="128"/>
        <v>1</v>
      </c>
      <c r="V808" s="191">
        <f t="shared" si="121"/>
        <v>2</v>
      </c>
      <c r="W808" s="7">
        <f t="shared" si="122"/>
        <v>2024</v>
      </c>
    </row>
    <row r="809" spans="1:23" ht="31.95" customHeight="1" thickBot="1" x14ac:dyDescent="0.35">
      <c r="A809" s="15">
        <f t="shared" si="123"/>
        <v>1</v>
      </c>
      <c r="B809" s="26">
        <v>45377</v>
      </c>
      <c r="C809" s="51">
        <f t="shared" si="129"/>
        <v>805</v>
      </c>
      <c r="D809" s="27" t="s">
        <v>1206</v>
      </c>
      <c r="E809" s="26" t="s">
        <v>11</v>
      </c>
      <c r="F809" s="28" t="s">
        <v>11</v>
      </c>
      <c r="G809" s="28" t="s">
        <v>11</v>
      </c>
      <c r="H809" s="254"/>
      <c r="I809" s="49">
        <v>1</v>
      </c>
      <c r="J809" s="49">
        <v>1</v>
      </c>
      <c r="K809" s="52">
        <f t="shared" si="124"/>
        <v>1</v>
      </c>
      <c r="L809" s="209">
        <f t="shared" si="125"/>
        <v>0</v>
      </c>
      <c r="M809" s="210">
        <f t="shared" si="126"/>
        <v>0</v>
      </c>
      <c r="N809" s="26">
        <v>45377</v>
      </c>
      <c r="O809" s="26">
        <v>45377</v>
      </c>
      <c r="P809" s="26">
        <v>45377</v>
      </c>
      <c r="Q809" s="2">
        <f t="shared" si="120"/>
        <v>1</v>
      </c>
      <c r="S809" s="7">
        <f t="shared" si="127"/>
        <v>1</v>
      </c>
      <c r="T809" s="157">
        <f t="shared" si="128"/>
        <v>1</v>
      </c>
      <c r="V809" s="191">
        <f t="shared" si="121"/>
        <v>3</v>
      </c>
      <c r="W809" s="7">
        <f t="shared" si="122"/>
        <v>2024</v>
      </c>
    </row>
    <row r="810" spans="1:23" ht="31.95" customHeight="1" thickBot="1" x14ac:dyDescent="0.35">
      <c r="A810" s="15">
        <f t="shared" si="123"/>
        <v>7</v>
      </c>
      <c r="B810" s="26">
        <v>45378</v>
      </c>
      <c r="C810" s="51">
        <f t="shared" si="129"/>
        <v>806</v>
      </c>
      <c r="D810" s="27" t="s">
        <v>524</v>
      </c>
      <c r="E810" s="26" t="s">
        <v>143</v>
      </c>
      <c r="F810" s="28" t="s">
        <v>11</v>
      </c>
      <c r="G810" s="28" t="s">
        <v>11</v>
      </c>
      <c r="H810" s="254"/>
      <c r="I810" s="49">
        <v>7</v>
      </c>
      <c r="J810" s="49">
        <v>7</v>
      </c>
      <c r="K810" s="52">
        <f t="shared" si="124"/>
        <v>1</v>
      </c>
      <c r="L810" s="209">
        <f t="shared" si="125"/>
        <v>0</v>
      </c>
      <c r="M810" s="210">
        <f t="shared" si="126"/>
        <v>0</v>
      </c>
      <c r="N810" s="26">
        <v>45384</v>
      </c>
      <c r="O810" s="26">
        <v>45384</v>
      </c>
      <c r="P810" s="26">
        <v>45384</v>
      </c>
      <c r="Q810" s="2">
        <f t="shared" si="120"/>
        <v>1</v>
      </c>
      <c r="S810" s="7">
        <f t="shared" si="127"/>
        <v>1</v>
      </c>
      <c r="T810" s="157">
        <f t="shared" si="128"/>
        <v>1</v>
      </c>
      <c r="V810" s="191">
        <f t="shared" si="121"/>
        <v>3</v>
      </c>
      <c r="W810" s="7">
        <f t="shared" si="122"/>
        <v>2024</v>
      </c>
    </row>
    <row r="811" spans="1:23" ht="31.95" customHeight="1" thickBot="1" x14ac:dyDescent="0.35">
      <c r="A811" s="15">
        <f t="shared" si="123"/>
        <v>7</v>
      </c>
      <c r="B811" s="26">
        <v>45378</v>
      </c>
      <c r="C811" s="51">
        <f t="shared" si="129"/>
        <v>807</v>
      </c>
      <c r="D811" s="27" t="s">
        <v>890</v>
      </c>
      <c r="E811" s="26" t="s">
        <v>143</v>
      </c>
      <c r="F811" s="28" t="s">
        <v>11</v>
      </c>
      <c r="G811" s="28" t="s">
        <v>11</v>
      </c>
      <c r="H811" s="254"/>
      <c r="I811" s="49">
        <v>7</v>
      </c>
      <c r="J811" s="49">
        <v>7</v>
      </c>
      <c r="K811" s="52">
        <f t="shared" si="124"/>
        <v>1</v>
      </c>
      <c r="L811" s="209">
        <f t="shared" si="125"/>
        <v>0</v>
      </c>
      <c r="M811" s="210">
        <f t="shared" si="126"/>
        <v>0</v>
      </c>
      <c r="N811" s="26">
        <v>45407</v>
      </c>
      <c r="O811" s="26">
        <v>45407</v>
      </c>
      <c r="P811" s="26">
        <v>45407</v>
      </c>
      <c r="Q811" s="2">
        <f t="shared" si="120"/>
        <v>1</v>
      </c>
      <c r="S811" s="7">
        <f t="shared" si="127"/>
        <v>1</v>
      </c>
      <c r="T811" s="157">
        <f t="shared" si="128"/>
        <v>1</v>
      </c>
      <c r="V811" s="191">
        <f t="shared" si="121"/>
        <v>3</v>
      </c>
      <c r="W811" s="7">
        <f t="shared" si="122"/>
        <v>2024</v>
      </c>
    </row>
    <row r="812" spans="1:23" ht="31.95" customHeight="1" thickBot="1" x14ac:dyDescent="0.35">
      <c r="A812" s="15">
        <f t="shared" si="123"/>
        <v>10</v>
      </c>
      <c r="B812" s="26">
        <v>45378</v>
      </c>
      <c r="C812" s="51">
        <f t="shared" si="129"/>
        <v>808</v>
      </c>
      <c r="D812" s="27" t="s">
        <v>594</v>
      </c>
      <c r="E812" s="26" t="s">
        <v>143</v>
      </c>
      <c r="F812" s="28" t="s">
        <v>11</v>
      </c>
      <c r="G812" s="28" t="s">
        <v>11</v>
      </c>
      <c r="H812" s="254"/>
      <c r="I812" s="49">
        <v>10</v>
      </c>
      <c r="J812" s="49">
        <v>10</v>
      </c>
      <c r="K812" s="52">
        <f t="shared" si="124"/>
        <v>1</v>
      </c>
      <c r="L812" s="209">
        <f t="shared" si="125"/>
        <v>0</v>
      </c>
      <c r="M812" s="210">
        <f t="shared" si="126"/>
        <v>0</v>
      </c>
      <c r="N812" s="26">
        <v>45393</v>
      </c>
      <c r="O812" s="26">
        <v>45393</v>
      </c>
      <c r="P812" s="26">
        <v>45393</v>
      </c>
      <c r="Q812" s="2">
        <f t="shared" si="120"/>
        <v>1</v>
      </c>
      <c r="S812" s="7">
        <f t="shared" si="127"/>
        <v>1</v>
      </c>
      <c r="T812" s="157">
        <f t="shared" si="128"/>
        <v>1</v>
      </c>
      <c r="V812" s="191">
        <f t="shared" si="121"/>
        <v>3</v>
      </c>
      <c r="W812" s="7">
        <f t="shared" si="122"/>
        <v>2024</v>
      </c>
    </row>
    <row r="813" spans="1:23" ht="31.95" customHeight="1" thickBot="1" x14ac:dyDescent="0.35">
      <c r="A813" s="15">
        <f t="shared" si="123"/>
        <v>11</v>
      </c>
      <c r="B813" s="26">
        <v>45378</v>
      </c>
      <c r="C813" s="51">
        <f t="shared" si="129"/>
        <v>809</v>
      </c>
      <c r="D813" s="27" t="s">
        <v>524</v>
      </c>
      <c r="E813" s="26" t="s">
        <v>144</v>
      </c>
      <c r="F813" s="28" t="s">
        <v>11</v>
      </c>
      <c r="G813" s="28" t="s">
        <v>11</v>
      </c>
      <c r="H813" s="254"/>
      <c r="I813" s="49">
        <v>11</v>
      </c>
      <c r="J813" s="49">
        <v>11</v>
      </c>
      <c r="K813" s="52">
        <f t="shared" si="124"/>
        <v>1</v>
      </c>
      <c r="L813" s="209">
        <f t="shared" si="125"/>
        <v>0</v>
      </c>
      <c r="M813" s="210">
        <f t="shared" si="126"/>
        <v>0</v>
      </c>
      <c r="N813" s="26">
        <v>45386</v>
      </c>
      <c r="O813" s="26">
        <v>45386</v>
      </c>
      <c r="P813" s="26">
        <v>45386</v>
      </c>
      <c r="Q813" s="2">
        <f t="shared" si="120"/>
        <v>1</v>
      </c>
      <c r="S813" s="7">
        <f t="shared" si="127"/>
        <v>1</v>
      </c>
      <c r="T813" s="157">
        <f t="shared" si="128"/>
        <v>1</v>
      </c>
      <c r="V813" s="191">
        <f t="shared" si="121"/>
        <v>3</v>
      </c>
      <c r="W813" s="7">
        <f t="shared" si="122"/>
        <v>2024</v>
      </c>
    </row>
    <row r="814" spans="1:23" ht="31.95" customHeight="1" thickBot="1" x14ac:dyDescent="0.35">
      <c r="A814" s="15">
        <f t="shared" si="123"/>
        <v>8</v>
      </c>
      <c r="B814" s="26">
        <v>45378</v>
      </c>
      <c r="C814" s="51">
        <f t="shared" si="129"/>
        <v>810</v>
      </c>
      <c r="D814" s="27" t="s">
        <v>890</v>
      </c>
      <c r="E814" s="26" t="s">
        <v>144</v>
      </c>
      <c r="F814" s="28" t="s">
        <v>11</v>
      </c>
      <c r="G814" s="28" t="s">
        <v>11</v>
      </c>
      <c r="H814" s="254"/>
      <c r="I814" s="49">
        <v>8</v>
      </c>
      <c r="J814" s="49">
        <v>8</v>
      </c>
      <c r="K814" s="52">
        <f t="shared" si="124"/>
        <v>1</v>
      </c>
      <c r="L814" s="209">
        <f t="shared" si="125"/>
        <v>0</v>
      </c>
      <c r="M814" s="210">
        <f t="shared" si="126"/>
        <v>0</v>
      </c>
      <c r="N814" s="26">
        <v>45407</v>
      </c>
      <c r="O814" s="26">
        <v>45407</v>
      </c>
      <c r="P814" s="26">
        <v>45407</v>
      </c>
      <c r="Q814" s="2">
        <f t="shared" si="120"/>
        <v>1</v>
      </c>
      <c r="S814" s="7">
        <f t="shared" si="127"/>
        <v>1</v>
      </c>
      <c r="T814" s="157">
        <f t="shared" si="128"/>
        <v>1</v>
      </c>
      <c r="V814" s="191">
        <f t="shared" si="121"/>
        <v>3</v>
      </c>
      <c r="W814" s="7">
        <f t="shared" si="122"/>
        <v>2024</v>
      </c>
    </row>
    <row r="815" spans="1:23" ht="31.95" customHeight="1" thickBot="1" x14ac:dyDescent="0.35">
      <c r="A815" s="15">
        <f t="shared" si="123"/>
        <v>12</v>
      </c>
      <c r="B815" s="26">
        <v>45378</v>
      </c>
      <c r="C815" s="51">
        <f t="shared" si="129"/>
        <v>811</v>
      </c>
      <c r="D815" s="27" t="s">
        <v>594</v>
      </c>
      <c r="E815" s="26" t="s">
        <v>144</v>
      </c>
      <c r="F815" s="28" t="s">
        <v>11</v>
      </c>
      <c r="G815" s="28" t="s">
        <v>11</v>
      </c>
      <c r="H815" s="254"/>
      <c r="I815" s="49">
        <v>12</v>
      </c>
      <c r="J815" s="49">
        <v>12</v>
      </c>
      <c r="K815" s="52">
        <f t="shared" si="124"/>
        <v>1</v>
      </c>
      <c r="L815" s="209">
        <f t="shared" si="125"/>
        <v>0</v>
      </c>
      <c r="M815" s="210">
        <f t="shared" si="126"/>
        <v>0</v>
      </c>
      <c r="N815" s="26">
        <v>45393</v>
      </c>
      <c r="O815" s="26">
        <v>45393</v>
      </c>
      <c r="P815" s="26">
        <v>45393</v>
      </c>
      <c r="Q815" s="2">
        <f t="shared" si="120"/>
        <v>1</v>
      </c>
      <c r="S815" s="7">
        <f t="shared" si="127"/>
        <v>1</v>
      </c>
      <c r="T815" s="157">
        <f t="shared" si="128"/>
        <v>1</v>
      </c>
      <c r="V815" s="191">
        <f t="shared" si="121"/>
        <v>3</v>
      </c>
      <c r="W815" s="7">
        <f t="shared" si="122"/>
        <v>2024</v>
      </c>
    </row>
    <row r="816" spans="1:23" ht="31.95" customHeight="1" thickBot="1" x14ac:dyDescent="0.35">
      <c r="A816" s="15">
        <f t="shared" si="123"/>
        <v>5</v>
      </c>
      <c r="B816" s="26">
        <v>45378</v>
      </c>
      <c r="C816" s="51">
        <f t="shared" si="129"/>
        <v>812</v>
      </c>
      <c r="D816" s="27" t="s">
        <v>602</v>
      </c>
      <c r="E816" s="26" t="s">
        <v>142</v>
      </c>
      <c r="F816" s="28" t="s">
        <v>11</v>
      </c>
      <c r="G816" s="28" t="s">
        <v>11</v>
      </c>
      <c r="H816" s="254"/>
      <c r="I816" s="49">
        <v>5</v>
      </c>
      <c r="J816" s="49">
        <v>5</v>
      </c>
      <c r="K816" s="52">
        <f t="shared" si="124"/>
        <v>1</v>
      </c>
      <c r="L816" s="209">
        <f t="shared" si="125"/>
        <v>0</v>
      </c>
      <c r="M816" s="210">
        <f t="shared" si="126"/>
        <v>0</v>
      </c>
      <c r="N816" s="26">
        <v>45379</v>
      </c>
      <c r="O816" s="26">
        <v>45379</v>
      </c>
      <c r="P816" s="26">
        <v>45379</v>
      </c>
      <c r="Q816" s="2">
        <f t="shared" si="120"/>
        <v>1</v>
      </c>
      <c r="S816" s="7">
        <f t="shared" si="127"/>
        <v>1</v>
      </c>
      <c r="T816" s="157">
        <f t="shared" si="128"/>
        <v>1</v>
      </c>
      <c r="V816" s="191">
        <f t="shared" si="121"/>
        <v>3</v>
      </c>
      <c r="W816" s="7">
        <f t="shared" si="122"/>
        <v>2024</v>
      </c>
    </row>
    <row r="817" spans="1:23" ht="31.95" customHeight="1" thickBot="1" x14ac:dyDescent="0.35">
      <c r="A817" s="15">
        <f t="shared" si="123"/>
        <v>4</v>
      </c>
      <c r="B817" s="26">
        <v>45378</v>
      </c>
      <c r="C817" s="51">
        <f t="shared" si="129"/>
        <v>813</v>
      </c>
      <c r="D817" s="27" t="s">
        <v>594</v>
      </c>
      <c r="E817" s="26" t="s">
        <v>142</v>
      </c>
      <c r="F817" s="28" t="s">
        <v>11</v>
      </c>
      <c r="G817" s="28" t="s">
        <v>11</v>
      </c>
      <c r="H817" s="254"/>
      <c r="I817" s="49">
        <v>4</v>
      </c>
      <c r="J817" s="49">
        <v>4</v>
      </c>
      <c r="K817" s="52">
        <f t="shared" si="124"/>
        <v>1</v>
      </c>
      <c r="L817" s="209">
        <f t="shared" si="125"/>
        <v>0</v>
      </c>
      <c r="M817" s="210">
        <f t="shared" si="126"/>
        <v>0</v>
      </c>
      <c r="N817" s="26">
        <v>45393</v>
      </c>
      <c r="O817" s="26">
        <v>45393</v>
      </c>
      <c r="P817" s="26">
        <v>45393</v>
      </c>
      <c r="Q817" s="2">
        <f t="shared" si="120"/>
        <v>1</v>
      </c>
      <c r="S817" s="7">
        <f t="shared" si="127"/>
        <v>1</v>
      </c>
      <c r="T817" s="157">
        <f t="shared" si="128"/>
        <v>1</v>
      </c>
      <c r="V817" s="191">
        <f t="shared" si="121"/>
        <v>3</v>
      </c>
      <c r="W817" s="7">
        <f t="shared" si="122"/>
        <v>2024</v>
      </c>
    </row>
    <row r="818" spans="1:23" ht="31.95" customHeight="1" thickBot="1" x14ac:dyDescent="0.35">
      <c r="A818" s="15">
        <f t="shared" si="123"/>
        <v>0</v>
      </c>
      <c r="B818" s="26">
        <v>45378</v>
      </c>
      <c r="C818" s="51">
        <f t="shared" si="129"/>
        <v>814</v>
      </c>
      <c r="D818" s="27"/>
      <c r="E818" s="28" t="s">
        <v>11</v>
      </c>
      <c r="F818" s="28" t="s">
        <v>11</v>
      </c>
      <c r="G818" s="28" t="s">
        <v>11</v>
      </c>
      <c r="H818" s="254"/>
      <c r="I818" s="49">
        <v>0</v>
      </c>
      <c r="J818" s="49">
        <v>0</v>
      </c>
      <c r="K818" s="52" t="str">
        <f t="shared" si="124"/>
        <v/>
      </c>
      <c r="L818" s="209">
        <f t="shared" si="125"/>
        <v>0</v>
      </c>
      <c r="M818" s="210" t="str">
        <f t="shared" si="126"/>
        <v/>
      </c>
      <c r="N818" s="28" t="s">
        <v>11</v>
      </c>
      <c r="O818" s="28" t="s">
        <v>11</v>
      </c>
      <c r="P818" s="28" t="s">
        <v>11</v>
      </c>
      <c r="Q818" s="2">
        <f t="shared" si="120"/>
        <v>1</v>
      </c>
      <c r="S818" s="7">
        <f t="shared" si="127"/>
        <v>1</v>
      </c>
      <c r="T818" s="157">
        <f t="shared" si="128"/>
        <v>1</v>
      </c>
      <c r="V818" s="191">
        <f t="shared" si="121"/>
        <v>3</v>
      </c>
      <c r="W818" s="7">
        <f t="shared" si="122"/>
        <v>2024</v>
      </c>
    </row>
    <row r="819" spans="1:23" ht="31.95" customHeight="1" thickBot="1" x14ac:dyDescent="0.35">
      <c r="A819" s="15">
        <f t="shared" si="123"/>
        <v>2</v>
      </c>
      <c r="B819" s="26">
        <v>45378</v>
      </c>
      <c r="C819" s="51">
        <f t="shared" si="129"/>
        <v>815</v>
      </c>
      <c r="D819" s="27" t="s">
        <v>652</v>
      </c>
      <c r="E819" s="26" t="s">
        <v>137</v>
      </c>
      <c r="F819" s="28" t="s">
        <v>11</v>
      </c>
      <c r="G819" s="28" t="s">
        <v>11</v>
      </c>
      <c r="H819" s="254"/>
      <c r="I819" s="49">
        <v>2</v>
      </c>
      <c r="J819" s="49">
        <v>2</v>
      </c>
      <c r="K819" s="52">
        <f t="shared" si="124"/>
        <v>1</v>
      </c>
      <c r="L819" s="209">
        <f t="shared" si="125"/>
        <v>0</v>
      </c>
      <c r="M819" s="210">
        <f t="shared" si="126"/>
        <v>0</v>
      </c>
      <c r="N819" s="26">
        <v>45384</v>
      </c>
      <c r="O819" s="26">
        <v>45384</v>
      </c>
      <c r="P819" s="26">
        <v>45384</v>
      </c>
      <c r="Q819" s="2">
        <f t="shared" si="120"/>
        <v>1</v>
      </c>
      <c r="S819" s="7">
        <f t="shared" si="127"/>
        <v>1</v>
      </c>
      <c r="T819" s="157">
        <f t="shared" si="128"/>
        <v>1</v>
      </c>
      <c r="V819" s="191">
        <f t="shared" si="121"/>
        <v>3</v>
      </c>
      <c r="W819" s="7">
        <f t="shared" si="122"/>
        <v>2024</v>
      </c>
    </row>
    <row r="820" spans="1:23" ht="31.95" customHeight="1" thickBot="1" x14ac:dyDescent="0.35">
      <c r="A820" s="15">
        <f t="shared" si="123"/>
        <v>1</v>
      </c>
      <c r="B820" s="26">
        <v>45378</v>
      </c>
      <c r="C820" s="51">
        <f t="shared" si="129"/>
        <v>816</v>
      </c>
      <c r="D820" s="27" t="s">
        <v>602</v>
      </c>
      <c r="E820" s="26" t="s">
        <v>142</v>
      </c>
      <c r="F820" s="28" t="s">
        <v>11</v>
      </c>
      <c r="G820" s="28" t="s">
        <v>11</v>
      </c>
      <c r="H820" s="254"/>
      <c r="I820" s="49">
        <v>1</v>
      </c>
      <c r="J820" s="49">
        <v>1</v>
      </c>
      <c r="K820" s="52">
        <f t="shared" si="124"/>
        <v>1</v>
      </c>
      <c r="L820" s="209">
        <f t="shared" si="125"/>
        <v>0</v>
      </c>
      <c r="M820" s="210">
        <f t="shared" si="126"/>
        <v>0</v>
      </c>
      <c r="N820" s="26">
        <v>45384</v>
      </c>
      <c r="O820" s="26">
        <v>45384</v>
      </c>
      <c r="P820" s="26">
        <v>45384</v>
      </c>
      <c r="Q820" s="2">
        <f t="shared" si="120"/>
        <v>1</v>
      </c>
      <c r="S820" s="7">
        <f t="shared" si="127"/>
        <v>1</v>
      </c>
      <c r="T820" s="157">
        <f t="shared" si="128"/>
        <v>1</v>
      </c>
      <c r="V820" s="191">
        <f t="shared" si="121"/>
        <v>3</v>
      </c>
      <c r="W820" s="7">
        <f t="shared" si="122"/>
        <v>2024</v>
      </c>
    </row>
    <row r="821" spans="1:23" ht="31.95" customHeight="1" thickBot="1" x14ac:dyDescent="0.35">
      <c r="A821" s="15">
        <f t="shared" si="123"/>
        <v>4</v>
      </c>
      <c r="B821" s="26">
        <v>45378</v>
      </c>
      <c r="C821" s="51">
        <f t="shared" si="129"/>
        <v>817</v>
      </c>
      <c r="D821" s="27" t="s">
        <v>741</v>
      </c>
      <c r="E821" s="26" t="s">
        <v>11</v>
      </c>
      <c r="F821" s="28" t="s">
        <v>11</v>
      </c>
      <c r="G821" s="28" t="s">
        <v>11</v>
      </c>
      <c r="H821" s="254"/>
      <c r="I821" s="49">
        <v>4</v>
      </c>
      <c r="J821" s="49">
        <v>4</v>
      </c>
      <c r="K821" s="52">
        <f t="shared" si="124"/>
        <v>1</v>
      </c>
      <c r="L821" s="209">
        <f t="shared" si="125"/>
        <v>0</v>
      </c>
      <c r="M821" s="210">
        <f t="shared" si="126"/>
        <v>0</v>
      </c>
      <c r="N821" s="26">
        <v>45393</v>
      </c>
      <c r="O821" s="26">
        <v>45393</v>
      </c>
      <c r="P821" s="26">
        <v>45393</v>
      </c>
      <c r="Q821" s="2">
        <f t="shared" si="120"/>
        <v>1</v>
      </c>
      <c r="S821" s="7">
        <f t="shared" si="127"/>
        <v>1</v>
      </c>
      <c r="T821" s="157">
        <f t="shared" si="128"/>
        <v>1</v>
      </c>
      <c r="V821" s="191">
        <f t="shared" si="121"/>
        <v>3</v>
      </c>
      <c r="W821" s="7">
        <f t="shared" si="122"/>
        <v>2024</v>
      </c>
    </row>
    <row r="822" spans="1:23" ht="31.95" customHeight="1" thickBot="1" x14ac:dyDescent="0.35">
      <c r="A822" s="15">
        <f t="shared" si="123"/>
        <v>1</v>
      </c>
      <c r="B822" s="26">
        <v>45378</v>
      </c>
      <c r="C822" s="51">
        <f t="shared" si="129"/>
        <v>818</v>
      </c>
      <c r="D822" s="27" t="s">
        <v>297</v>
      </c>
      <c r="E822" s="26" t="s">
        <v>137</v>
      </c>
      <c r="F822" s="28" t="s">
        <v>11</v>
      </c>
      <c r="G822" s="28" t="s">
        <v>11</v>
      </c>
      <c r="H822" s="254"/>
      <c r="I822" s="49">
        <v>1</v>
      </c>
      <c r="J822" s="49">
        <v>1</v>
      </c>
      <c r="K822" s="52">
        <f t="shared" si="124"/>
        <v>1</v>
      </c>
      <c r="L822" s="209">
        <f t="shared" si="125"/>
        <v>0</v>
      </c>
      <c r="M822" s="210">
        <f t="shared" si="126"/>
        <v>0</v>
      </c>
      <c r="N822" s="26">
        <v>45387</v>
      </c>
      <c r="O822" s="26">
        <v>45387</v>
      </c>
      <c r="P822" s="26">
        <v>45387</v>
      </c>
      <c r="Q822" s="2">
        <f t="shared" si="120"/>
        <v>1</v>
      </c>
      <c r="S822" s="7">
        <f t="shared" si="127"/>
        <v>1</v>
      </c>
      <c r="T822" s="157">
        <f t="shared" si="128"/>
        <v>1</v>
      </c>
      <c r="V822" s="191">
        <f t="shared" si="121"/>
        <v>3</v>
      </c>
      <c r="W822" s="7">
        <f t="shared" si="122"/>
        <v>2024</v>
      </c>
    </row>
    <row r="823" spans="1:23" ht="31.95" customHeight="1" thickBot="1" x14ac:dyDescent="0.35">
      <c r="A823" s="15">
        <f t="shared" si="123"/>
        <v>5</v>
      </c>
      <c r="B823" s="26">
        <v>45378</v>
      </c>
      <c r="C823" s="51">
        <f t="shared" si="129"/>
        <v>819</v>
      </c>
      <c r="D823" s="27" t="s">
        <v>524</v>
      </c>
      <c r="E823" s="26" t="s">
        <v>146</v>
      </c>
      <c r="F823" s="28" t="s">
        <v>11</v>
      </c>
      <c r="G823" s="28" t="s">
        <v>11</v>
      </c>
      <c r="H823" s="254"/>
      <c r="I823" s="49">
        <v>5</v>
      </c>
      <c r="J823" s="49">
        <v>5</v>
      </c>
      <c r="K823" s="52">
        <f t="shared" si="124"/>
        <v>1</v>
      </c>
      <c r="L823" s="209">
        <f t="shared" si="125"/>
        <v>0</v>
      </c>
      <c r="M823" s="210">
        <f t="shared" si="126"/>
        <v>0</v>
      </c>
      <c r="N823" s="26">
        <v>45385</v>
      </c>
      <c r="O823" s="26">
        <v>45385</v>
      </c>
      <c r="P823" s="26">
        <v>45385</v>
      </c>
      <c r="Q823" s="2">
        <f t="shared" si="120"/>
        <v>1</v>
      </c>
      <c r="S823" s="7">
        <f t="shared" si="127"/>
        <v>1</v>
      </c>
      <c r="T823" s="157">
        <f t="shared" si="128"/>
        <v>1</v>
      </c>
      <c r="V823" s="191">
        <f t="shared" si="121"/>
        <v>3</v>
      </c>
      <c r="W823" s="7">
        <f t="shared" si="122"/>
        <v>2024</v>
      </c>
    </row>
    <row r="824" spans="1:23" ht="31.95" customHeight="1" thickBot="1" x14ac:dyDescent="0.35">
      <c r="A824" s="15">
        <f t="shared" si="123"/>
        <v>2</v>
      </c>
      <c r="B824" s="26">
        <v>45378</v>
      </c>
      <c r="C824" s="51">
        <f t="shared" si="129"/>
        <v>820</v>
      </c>
      <c r="D824" s="27" t="s">
        <v>890</v>
      </c>
      <c r="E824" s="26" t="s">
        <v>146</v>
      </c>
      <c r="F824" s="28" t="s">
        <v>11</v>
      </c>
      <c r="G824" s="28" t="s">
        <v>11</v>
      </c>
      <c r="H824" s="254"/>
      <c r="I824" s="49">
        <v>2</v>
      </c>
      <c r="J824" s="49">
        <v>2</v>
      </c>
      <c r="K824" s="52">
        <f t="shared" si="124"/>
        <v>1</v>
      </c>
      <c r="L824" s="209">
        <f t="shared" si="125"/>
        <v>0</v>
      </c>
      <c r="M824" s="210">
        <f t="shared" si="126"/>
        <v>0</v>
      </c>
      <c r="N824" s="26">
        <v>45408</v>
      </c>
      <c r="O824" s="26">
        <v>45408</v>
      </c>
      <c r="P824" s="26">
        <v>45408</v>
      </c>
      <c r="Q824" s="2">
        <f t="shared" si="120"/>
        <v>1</v>
      </c>
      <c r="S824" s="7">
        <f t="shared" si="127"/>
        <v>1</v>
      </c>
      <c r="T824" s="157">
        <f t="shared" si="128"/>
        <v>1</v>
      </c>
      <c r="V824" s="191">
        <f t="shared" si="121"/>
        <v>3</v>
      </c>
      <c r="W824" s="7">
        <f t="shared" si="122"/>
        <v>2024</v>
      </c>
    </row>
    <row r="825" spans="1:23" ht="31.95" customHeight="1" thickBot="1" x14ac:dyDescent="0.35">
      <c r="A825" s="15">
        <f t="shared" si="123"/>
        <v>4</v>
      </c>
      <c r="B825" s="26">
        <v>45378</v>
      </c>
      <c r="C825" s="51">
        <f t="shared" si="129"/>
        <v>821</v>
      </c>
      <c r="D825" s="27" t="s">
        <v>594</v>
      </c>
      <c r="E825" s="26" t="s">
        <v>146</v>
      </c>
      <c r="F825" s="28" t="s">
        <v>11</v>
      </c>
      <c r="G825" s="28" t="s">
        <v>11</v>
      </c>
      <c r="H825" s="254"/>
      <c r="I825" s="49">
        <v>4</v>
      </c>
      <c r="J825" s="49">
        <v>4</v>
      </c>
      <c r="K825" s="52">
        <f t="shared" si="124"/>
        <v>1</v>
      </c>
      <c r="L825" s="209">
        <f t="shared" si="125"/>
        <v>0</v>
      </c>
      <c r="M825" s="210">
        <f t="shared" si="126"/>
        <v>0</v>
      </c>
      <c r="N825" s="26">
        <v>45401</v>
      </c>
      <c r="O825" s="26">
        <v>45401</v>
      </c>
      <c r="P825" s="26">
        <v>45401</v>
      </c>
      <c r="Q825" s="2">
        <f t="shared" si="120"/>
        <v>1</v>
      </c>
      <c r="S825" s="7">
        <f t="shared" si="127"/>
        <v>1</v>
      </c>
      <c r="T825" s="157">
        <f t="shared" si="128"/>
        <v>1</v>
      </c>
      <c r="V825" s="191">
        <f t="shared" si="121"/>
        <v>3</v>
      </c>
      <c r="W825" s="7">
        <f t="shared" si="122"/>
        <v>2024</v>
      </c>
    </row>
    <row r="826" spans="1:23" ht="31.95" customHeight="1" thickBot="1" x14ac:dyDescent="0.35">
      <c r="A826" s="15">
        <f t="shared" si="123"/>
        <v>2</v>
      </c>
      <c r="B826" s="26">
        <v>45379</v>
      </c>
      <c r="C826" s="51">
        <f t="shared" si="129"/>
        <v>822</v>
      </c>
      <c r="D826" s="27" t="s">
        <v>890</v>
      </c>
      <c r="E826" s="26" t="s">
        <v>142</v>
      </c>
      <c r="F826" s="28" t="s">
        <v>11</v>
      </c>
      <c r="G826" s="28" t="s">
        <v>11</v>
      </c>
      <c r="H826" s="254"/>
      <c r="I826" s="49">
        <v>2</v>
      </c>
      <c r="J826" s="49">
        <v>2</v>
      </c>
      <c r="K826" s="52">
        <f t="shared" si="124"/>
        <v>1</v>
      </c>
      <c r="L826" s="209">
        <f t="shared" si="125"/>
        <v>0</v>
      </c>
      <c r="M826" s="210">
        <f t="shared" si="126"/>
        <v>0</v>
      </c>
      <c r="N826" s="26">
        <v>45408</v>
      </c>
      <c r="O826" s="26">
        <v>45408</v>
      </c>
      <c r="P826" s="26">
        <v>45408</v>
      </c>
      <c r="Q826" s="2">
        <f t="shared" si="120"/>
        <v>1</v>
      </c>
      <c r="S826" s="7">
        <f t="shared" si="127"/>
        <v>1</v>
      </c>
      <c r="T826" s="157">
        <f t="shared" si="128"/>
        <v>1</v>
      </c>
      <c r="V826" s="191">
        <f t="shared" si="121"/>
        <v>3</v>
      </c>
      <c r="W826" s="7">
        <f t="shared" si="122"/>
        <v>2024</v>
      </c>
    </row>
    <row r="827" spans="1:23" ht="31.95" customHeight="1" thickBot="1" x14ac:dyDescent="0.35">
      <c r="A827" s="15">
        <f t="shared" si="123"/>
        <v>1</v>
      </c>
      <c r="B827" s="26">
        <v>45379</v>
      </c>
      <c r="C827" s="51">
        <f t="shared" si="129"/>
        <v>823</v>
      </c>
      <c r="D827" s="27" t="s">
        <v>1143</v>
      </c>
      <c r="E827" s="26" t="s">
        <v>11</v>
      </c>
      <c r="F827" s="28" t="s">
        <v>11</v>
      </c>
      <c r="G827" s="28" t="s">
        <v>11</v>
      </c>
      <c r="H827" s="254"/>
      <c r="I827" s="49">
        <v>1</v>
      </c>
      <c r="J827" s="49">
        <v>1</v>
      </c>
      <c r="K827" s="52">
        <f t="shared" si="124"/>
        <v>1</v>
      </c>
      <c r="L827" s="209">
        <f t="shared" si="125"/>
        <v>0</v>
      </c>
      <c r="M827" s="210">
        <f t="shared" si="126"/>
        <v>0</v>
      </c>
      <c r="N827" s="26">
        <v>45391</v>
      </c>
      <c r="O827" s="26">
        <v>45391</v>
      </c>
      <c r="P827" s="26">
        <v>45391</v>
      </c>
      <c r="Q827" s="2">
        <f t="shared" si="120"/>
        <v>1</v>
      </c>
      <c r="S827" s="7">
        <f t="shared" si="127"/>
        <v>1</v>
      </c>
      <c r="T827" s="157">
        <f t="shared" si="128"/>
        <v>1</v>
      </c>
      <c r="V827" s="191">
        <f t="shared" si="121"/>
        <v>3</v>
      </c>
      <c r="W827" s="7">
        <f t="shared" si="122"/>
        <v>2024</v>
      </c>
    </row>
    <row r="828" spans="1:23" ht="31.95" customHeight="1" thickBot="1" x14ac:dyDescent="0.35">
      <c r="A828" s="15">
        <f t="shared" si="123"/>
        <v>1</v>
      </c>
      <c r="B828" s="26">
        <v>45379</v>
      </c>
      <c r="C828" s="51">
        <f t="shared" si="129"/>
        <v>824</v>
      </c>
      <c r="D828" s="27" t="s">
        <v>890</v>
      </c>
      <c r="E828" s="26" t="s">
        <v>140</v>
      </c>
      <c r="F828" s="28" t="s">
        <v>11</v>
      </c>
      <c r="G828" s="28" t="s">
        <v>11</v>
      </c>
      <c r="H828" s="254"/>
      <c r="I828" s="49">
        <v>1</v>
      </c>
      <c r="J828" s="49">
        <v>1</v>
      </c>
      <c r="K828" s="52">
        <f t="shared" si="124"/>
        <v>1</v>
      </c>
      <c r="L828" s="209">
        <f t="shared" si="125"/>
        <v>0</v>
      </c>
      <c r="M828" s="210">
        <f t="shared" si="126"/>
        <v>0</v>
      </c>
      <c r="N828" s="26">
        <v>45401</v>
      </c>
      <c r="O828" s="26">
        <v>45401</v>
      </c>
      <c r="P828" s="26">
        <v>45401</v>
      </c>
      <c r="Q828" s="2">
        <f t="shared" si="120"/>
        <v>1</v>
      </c>
      <c r="S828" s="7">
        <f t="shared" si="127"/>
        <v>1</v>
      </c>
      <c r="T828" s="157">
        <f t="shared" si="128"/>
        <v>1</v>
      </c>
      <c r="V828" s="191">
        <f t="shared" si="121"/>
        <v>3</v>
      </c>
      <c r="W828" s="7">
        <f t="shared" si="122"/>
        <v>2024</v>
      </c>
    </row>
    <row r="829" spans="1:23" ht="31.95" customHeight="1" thickBot="1" x14ac:dyDescent="0.35">
      <c r="A829" s="15">
        <f t="shared" si="123"/>
        <v>2</v>
      </c>
      <c r="B829" s="26">
        <v>45383</v>
      </c>
      <c r="C829" s="51">
        <f t="shared" si="129"/>
        <v>825</v>
      </c>
      <c r="D829" s="27" t="s">
        <v>1216</v>
      </c>
      <c r="E829" s="26" t="s">
        <v>137</v>
      </c>
      <c r="F829" s="28" t="s">
        <v>11</v>
      </c>
      <c r="G829" s="28" t="s">
        <v>11</v>
      </c>
      <c r="H829" s="254"/>
      <c r="I829" s="49">
        <v>2</v>
      </c>
      <c r="J829" s="49">
        <v>2</v>
      </c>
      <c r="K829" s="52">
        <f t="shared" si="124"/>
        <v>1</v>
      </c>
      <c r="L829" s="209">
        <f t="shared" si="125"/>
        <v>0</v>
      </c>
      <c r="M829" s="210">
        <f t="shared" si="126"/>
        <v>0</v>
      </c>
      <c r="N829" s="26">
        <v>45393</v>
      </c>
      <c r="O829" s="26">
        <v>45393</v>
      </c>
      <c r="P829" s="26">
        <v>45393</v>
      </c>
      <c r="Q829" s="2">
        <f t="shared" si="120"/>
        <v>1</v>
      </c>
      <c r="S829" s="7">
        <f t="shared" si="127"/>
        <v>1</v>
      </c>
      <c r="T829" s="157">
        <f t="shared" si="128"/>
        <v>1</v>
      </c>
      <c r="V829" s="191">
        <f t="shared" si="121"/>
        <v>4</v>
      </c>
      <c r="W829" s="7">
        <f t="shared" si="122"/>
        <v>2024</v>
      </c>
    </row>
    <row r="830" spans="1:23" ht="31.95" customHeight="1" thickBot="1" x14ac:dyDescent="0.35">
      <c r="A830" s="15">
        <f t="shared" si="123"/>
        <v>5</v>
      </c>
      <c r="B830" s="26">
        <v>45383</v>
      </c>
      <c r="C830" s="51">
        <f t="shared" si="129"/>
        <v>826</v>
      </c>
      <c r="D830" s="27" t="s">
        <v>305</v>
      </c>
      <c r="E830" s="26" t="s">
        <v>11</v>
      </c>
      <c r="F830" s="28" t="s">
        <v>11</v>
      </c>
      <c r="G830" s="28" t="s">
        <v>11</v>
      </c>
      <c r="H830" s="254"/>
      <c r="I830" s="49">
        <v>5</v>
      </c>
      <c r="J830" s="49">
        <v>5</v>
      </c>
      <c r="K830" s="52">
        <f t="shared" si="124"/>
        <v>1</v>
      </c>
      <c r="L830" s="209">
        <f t="shared" si="125"/>
        <v>0</v>
      </c>
      <c r="M830" s="210">
        <f t="shared" si="126"/>
        <v>0</v>
      </c>
      <c r="N830" s="26">
        <v>45383</v>
      </c>
      <c r="O830" s="26">
        <v>45383</v>
      </c>
      <c r="P830" s="26">
        <v>45383</v>
      </c>
      <c r="Q830" s="2">
        <f t="shared" si="120"/>
        <v>1</v>
      </c>
      <c r="S830" s="7">
        <f t="shared" si="127"/>
        <v>1</v>
      </c>
      <c r="T830" s="157">
        <f t="shared" si="128"/>
        <v>1</v>
      </c>
      <c r="V830" s="191">
        <f t="shared" si="121"/>
        <v>4</v>
      </c>
      <c r="W830" s="7">
        <f t="shared" si="122"/>
        <v>2024</v>
      </c>
    </row>
    <row r="831" spans="1:23" ht="31.95" customHeight="1" thickBot="1" x14ac:dyDescent="0.35">
      <c r="A831" s="15">
        <f t="shared" si="123"/>
        <v>1</v>
      </c>
      <c r="B831" s="26">
        <v>45383</v>
      </c>
      <c r="C831" s="51">
        <f t="shared" si="129"/>
        <v>827</v>
      </c>
      <c r="D831" s="27" t="s">
        <v>705</v>
      </c>
      <c r="E831" s="26" t="s">
        <v>11</v>
      </c>
      <c r="F831" s="28" t="s">
        <v>11</v>
      </c>
      <c r="G831" s="28" t="s">
        <v>11</v>
      </c>
      <c r="H831" s="254"/>
      <c r="I831" s="49">
        <v>1</v>
      </c>
      <c r="J831" s="49">
        <v>1</v>
      </c>
      <c r="K831" s="52">
        <f t="shared" si="124"/>
        <v>1</v>
      </c>
      <c r="L831" s="209">
        <f t="shared" si="125"/>
        <v>0</v>
      </c>
      <c r="M831" s="210">
        <f t="shared" si="126"/>
        <v>0</v>
      </c>
      <c r="N831" s="26">
        <v>45383</v>
      </c>
      <c r="O831" s="26">
        <v>45383</v>
      </c>
      <c r="P831" s="26">
        <v>45383</v>
      </c>
      <c r="Q831" s="2">
        <f t="shared" si="120"/>
        <v>1</v>
      </c>
      <c r="S831" s="7">
        <f t="shared" si="127"/>
        <v>1</v>
      </c>
      <c r="T831" s="157">
        <f t="shared" si="128"/>
        <v>1</v>
      </c>
      <c r="V831" s="191">
        <f t="shared" si="121"/>
        <v>4</v>
      </c>
      <c r="W831" s="7">
        <f t="shared" si="122"/>
        <v>2024</v>
      </c>
    </row>
    <row r="832" spans="1:23" ht="31.95" customHeight="1" thickBot="1" x14ac:dyDescent="0.35">
      <c r="A832" s="15">
        <f t="shared" si="123"/>
        <v>1</v>
      </c>
      <c r="B832" s="26">
        <v>45384</v>
      </c>
      <c r="C832" s="51">
        <f t="shared" si="129"/>
        <v>828</v>
      </c>
      <c r="D832" s="27" t="s">
        <v>564</v>
      </c>
      <c r="E832" s="26" t="s">
        <v>140</v>
      </c>
      <c r="F832" s="28" t="s">
        <v>11</v>
      </c>
      <c r="G832" s="28" t="s">
        <v>11</v>
      </c>
      <c r="H832" s="254"/>
      <c r="I832" s="49">
        <v>1</v>
      </c>
      <c r="J832" s="49">
        <v>1</v>
      </c>
      <c r="K832" s="52">
        <f t="shared" si="124"/>
        <v>1</v>
      </c>
      <c r="L832" s="209">
        <f t="shared" si="125"/>
        <v>0</v>
      </c>
      <c r="M832" s="210">
        <f t="shared" si="126"/>
        <v>0</v>
      </c>
      <c r="N832" s="26">
        <v>45385</v>
      </c>
      <c r="O832" s="26">
        <v>45385</v>
      </c>
      <c r="P832" s="26">
        <v>45385</v>
      </c>
      <c r="Q832" s="2">
        <f t="shared" si="120"/>
        <v>1</v>
      </c>
      <c r="S832" s="7">
        <f t="shared" si="127"/>
        <v>1</v>
      </c>
      <c r="T832" s="157">
        <f t="shared" si="128"/>
        <v>1</v>
      </c>
      <c r="V832" s="191">
        <f t="shared" si="121"/>
        <v>4</v>
      </c>
      <c r="W832" s="7">
        <f t="shared" si="122"/>
        <v>2024</v>
      </c>
    </row>
    <row r="833" spans="1:23" ht="31.95" customHeight="1" thickBot="1" x14ac:dyDescent="0.35">
      <c r="A833" s="15">
        <f t="shared" si="123"/>
        <v>1</v>
      </c>
      <c r="B833" s="26">
        <v>45385</v>
      </c>
      <c r="C833" s="51">
        <f t="shared" si="129"/>
        <v>829</v>
      </c>
      <c r="D833" s="27" t="s">
        <v>741</v>
      </c>
      <c r="E833" s="26" t="s">
        <v>11</v>
      </c>
      <c r="F833" s="28" t="s">
        <v>11</v>
      </c>
      <c r="G833" s="28" t="s">
        <v>11</v>
      </c>
      <c r="H833" s="254"/>
      <c r="I833" s="49">
        <v>1</v>
      </c>
      <c r="J833" s="49">
        <v>1</v>
      </c>
      <c r="K833" s="52">
        <f t="shared" si="124"/>
        <v>1</v>
      </c>
      <c r="L833" s="209">
        <f t="shared" si="125"/>
        <v>0</v>
      </c>
      <c r="M833" s="210">
        <f t="shared" si="126"/>
        <v>0</v>
      </c>
      <c r="N833" s="26">
        <v>45394</v>
      </c>
      <c r="O833" s="26">
        <v>45394</v>
      </c>
      <c r="P833" s="26">
        <v>45394</v>
      </c>
      <c r="Q833" s="2">
        <f t="shared" si="120"/>
        <v>1</v>
      </c>
      <c r="S833" s="7">
        <f t="shared" si="127"/>
        <v>1</v>
      </c>
      <c r="T833" s="157">
        <f t="shared" si="128"/>
        <v>1</v>
      </c>
      <c r="V833" s="191">
        <f t="shared" si="121"/>
        <v>4</v>
      </c>
      <c r="W833" s="7">
        <f t="shared" si="122"/>
        <v>2024</v>
      </c>
    </row>
    <row r="834" spans="1:23" ht="31.95" customHeight="1" thickBot="1" x14ac:dyDescent="0.35">
      <c r="A834" s="15">
        <f t="shared" si="123"/>
        <v>1</v>
      </c>
      <c r="B834" s="26">
        <v>45386</v>
      </c>
      <c r="C834" s="51">
        <f t="shared" si="129"/>
        <v>830</v>
      </c>
      <c r="D834" s="27" t="s">
        <v>858</v>
      </c>
      <c r="E834" s="26" t="s">
        <v>11</v>
      </c>
      <c r="F834" s="28" t="s">
        <v>11</v>
      </c>
      <c r="G834" s="28" t="s">
        <v>11</v>
      </c>
      <c r="H834" s="254"/>
      <c r="I834" s="49">
        <v>1</v>
      </c>
      <c r="J834" s="49">
        <v>1</v>
      </c>
      <c r="K834" s="52">
        <f t="shared" si="124"/>
        <v>1</v>
      </c>
      <c r="L834" s="209">
        <f t="shared" si="125"/>
        <v>0</v>
      </c>
      <c r="M834" s="210">
        <f t="shared" si="126"/>
        <v>0</v>
      </c>
      <c r="N834" s="26">
        <v>45386</v>
      </c>
      <c r="O834" s="26">
        <v>45386</v>
      </c>
      <c r="P834" s="26">
        <v>45386</v>
      </c>
      <c r="Q834" s="2">
        <f t="shared" si="120"/>
        <v>1</v>
      </c>
      <c r="S834" s="7">
        <f t="shared" si="127"/>
        <v>1</v>
      </c>
      <c r="T834" s="157">
        <f t="shared" si="128"/>
        <v>1</v>
      </c>
      <c r="V834" s="191">
        <f t="shared" si="121"/>
        <v>4</v>
      </c>
      <c r="W834" s="7">
        <f t="shared" si="122"/>
        <v>2024</v>
      </c>
    </row>
    <row r="835" spans="1:23" ht="31.95" customHeight="1" thickBot="1" x14ac:dyDescent="0.35">
      <c r="A835" s="15">
        <f t="shared" si="123"/>
        <v>4</v>
      </c>
      <c r="B835" s="26">
        <v>45386</v>
      </c>
      <c r="C835" s="51">
        <f t="shared" si="129"/>
        <v>831</v>
      </c>
      <c r="D835" s="27" t="s">
        <v>305</v>
      </c>
      <c r="E835" s="26" t="s">
        <v>11</v>
      </c>
      <c r="F835" s="28" t="s">
        <v>11</v>
      </c>
      <c r="G835" s="28" t="s">
        <v>11</v>
      </c>
      <c r="H835" s="254"/>
      <c r="I835" s="49">
        <v>4</v>
      </c>
      <c r="J835" s="49">
        <v>4</v>
      </c>
      <c r="K835" s="52">
        <f t="shared" si="124"/>
        <v>1</v>
      </c>
      <c r="L835" s="209">
        <f t="shared" si="125"/>
        <v>0</v>
      </c>
      <c r="M835" s="210">
        <f t="shared" si="126"/>
        <v>0</v>
      </c>
      <c r="N835" s="26">
        <v>45386</v>
      </c>
      <c r="O835" s="26">
        <v>45386</v>
      </c>
      <c r="P835" s="26">
        <v>45386</v>
      </c>
      <c r="Q835" s="2">
        <f t="shared" si="120"/>
        <v>1</v>
      </c>
      <c r="S835" s="7">
        <f t="shared" si="127"/>
        <v>1</v>
      </c>
      <c r="T835" s="157">
        <f t="shared" si="128"/>
        <v>1</v>
      </c>
      <c r="V835" s="191">
        <f t="shared" si="121"/>
        <v>4</v>
      </c>
      <c r="W835" s="7">
        <f t="shared" si="122"/>
        <v>2024</v>
      </c>
    </row>
    <row r="836" spans="1:23" ht="31.95" customHeight="1" thickBot="1" x14ac:dyDescent="0.35">
      <c r="A836" s="15">
        <f t="shared" si="123"/>
        <v>1</v>
      </c>
      <c r="B836" s="26">
        <v>45387</v>
      </c>
      <c r="C836" s="51">
        <f t="shared" si="129"/>
        <v>832</v>
      </c>
      <c r="D836" s="27" t="s">
        <v>305</v>
      </c>
      <c r="E836" s="26" t="s">
        <v>11</v>
      </c>
      <c r="F836" s="28" t="s">
        <v>11</v>
      </c>
      <c r="G836" s="28" t="s">
        <v>11</v>
      </c>
      <c r="H836" s="254"/>
      <c r="I836" s="49">
        <v>1</v>
      </c>
      <c r="J836" s="49">
        <v>1</v>
      </c>
      <c r="K836" s="52">
        <f t="shared" si="124"/>
        <v>1</v>
      </c>
      <c r="L836" s="209">
        <f t="shared" si="125"/>
        <v>0</v>
      </c>
      <c r="M836" s="210">
        <f t="shared" si="126"/>
        <v>0</v>
      </c>
      <c r="N836" s="26">
        <v>45387</v>
      </c>
      <c r="O836" s="26">
        <v>45387</v>
      </c>
      <c r="P836" s="26">
        <v>45387</v>
      </c>
      <c r="Q836" s="2">
        <f t="shared" si="120"/>
        <v>1</v>
      </c>
      <c r="S836" s="7">
        <f t="shared" si="127"/>
        <v>1</v>
      </c>
      <c r="T836" s="157">
        <f t="shared" si="128"/>
        <v>1</v>
      </c>
      <c r="V836" s="191">
        <f t="shared" si="121"/>
        <v>4</v>
      </c>
      <c r="W836" s="7">
        <f t="shared" si="122"/>
        <v>2024</v>
      </c>
    </row>
    <row r="837" spans="1:23" ht="31.95" customHeight="1" thickBot="1" x14ac:dyDescent="0.35">
      <c r="A837" s="15">
        <f t="shared" si="123"/>
        <v>1</v>
      </c>
      <c r="B837" s="26">
        <v>45391</v>
      </c>
      <c r="C837" s="51">
        <f t="shared" si="129"/>
        <v>833</v>
      </c>
      <c r="D837" s="27" t="s">
        <v>1121</v>
      </c>
      <c r="E837" s="26" t="s">
        <v>153</v>
      </c>
      <c r="F837" s="28" t="s">
        <v>11</v>
      </c>
      <c r="G837" s="28" t="s">
        <v>11</v>
      </c>
      <c r="H837" s="254"/>
      <c r="I837" s="49">
        <v>1</v>
      </c>
      <c r="J837" s="49">
        <v>1</v>
      </c>
      <c r="K837" s="52">
        <f t="shared" si="124"/>
        <v>1</v>
      </c>
      <c r="L837" s="209">
        <f t="shared" si="125"/>
        <v>0</v>
      </c>
      <c r="M837" s="210">
        <f t="shared" si="126"/>
        <v>0</v>
      </c>
      <c r="N837" s="26">
        <v>45397</v>
      </c>
      <c r="O837" s="26">
        <v>45397</v>
      </c>
      <c r="P837" s="26">
        <v>45397</v>
      </c>
      <c r="Q837" s="2">
        <f t="shared" ref="Q837:Q900" si="130">IF(B837&lt;&gt;"",1,0)</f>
        <v>1</v>
      </c>
      <c r="S837" s="7">
        <f t="shared" si="127"/>
        <v>1</v>
      </c>
      <c r="T837" s="157">
        <f t="shared" si="128"/>
        <v>1</v>
      </c>
      <c r="V837" s="191">
        <f t="shared" ref="V837:V900" si="131">MONTH(B837)</f>
        <v>4</v>
      </c>
      <c r="W837" s="7">
        <f t="shared" ref="W837:W900" si="132">YEAR(B837)</f>
        <v>2024</v>
      </c>
    </row>
    <row r="838" spans="1:23" ht="31.95" customHeight="1" thickBot="1" x14ac:dyDescent="0.35">
      <c r="A838" s="15">
        <f t="shared" ref="A838:A901" si="133">J838</f>
        <v>1</v>
      </c>
      <c r="B838" s="26">
        <v>45391</v>
      </c>
      <c r="C838" s="51">
        <f t="shared" si="129"/>
        <v>834</v>
      </c>
      <c r="D838" s="27" t="s">
        <v>602</v>
      </c>
      <c r="E838" s="26" t="s">
        <v>144</v>
      </c>
      <c r="F838" s="28" t="s">
        <v>11</v>
      </c>
      <c r="G838" s="28" t="s">
        <v>11</v>
      </c>
      <c r="H838" s="254"/>
      <c r="I838" s="49">
        <v>1</v>
      </c>
      <c r="J838" s="49">
        <v>1</v>
      </c>
      <c r="K838" s="52">
        <f t="shared" ref="K838:K901" si="134">IFERROR(J838/I838,"")</f>
        <v>1</v>
      </c>
      <c r="L838" s="209">
        <f t="shared" ref="L838:L901" si="135">IF(I838="","",I838-J838)</f>
        <v>0</v>
      </c>
      <c r="M838" s="210">
        <f t="shared" ref="M838:M901" si="136">IFERROR(1-K838,"")</f>
        <v>0</v>
      </c>
      <c r="N838" s="26">
        <v>45393</v>
      </c>
      <c r="O838" s="26">
        <v>45393</v>
      </c>
      <c r="P838" s="26">
        <v>45393</v>
      </c>
      <c r="Q838" s="2">
        <f t="shared" si="130"/>
        <v>1</v>
      </c>
      <c r="S838" s="7">
        <f t="shared" ref="S838:S901" si="137">IF(AND(O838&lt;=N838,O838&lt;&gt;""),1,0)</f>
        <v>1</v>
      </c>
      <c r="T838" s="157">
        <f t="shared" ref="T838:T901" si="138">IF(AND(P838&lt;=N838,P838&lt;&gt;""),1,0)</f>
        <v>1</v>
      </c>
      <c r="V838" s="191">
        <f t="shared" si="131"/>
        <v>4</v>
      </c>
      <c r="W838" s="7">
        <f t="shared" si="132"/>
        <v>2024</v>
      </c>
    </row>
    <row r="839" spans="1:23" ht="31.95" customHeight="1" thickBot="1" x14ac:dyDescent="0.35">
      <c r="A839" s="15">
        <f t="shared" si="133"/>
        <v>10</v>
      </c>
      <c r="B839" s="26">
        <v>45391</v>
      </c>
      <c r="C839" s="51">
        <f t="shared" ref="C839:C902" si="139">IF(B839&lt;&gt;"",C838+1,"")</f>
        <v>835</v>
      </c>
      <c r="D839" s="27" t="s">
        <v>858</v>
      </c>
      <c r="E839" s="26" t="s">
        <v>11</v>
      </c>
      <c r="F839" s="28" t="s">
        <v>11</v>
      </c>
      <c r="G839" s="28" t="s">
        <v>11</v>
      </c>
      <c r="H839" s="254"/>
      <c r="I839" s="49">
        <v>10</v>
      </c>
      <c r="J839" s="49">
        <v>10</v>
      </c>
      <c r="K839" s="52">
        <f t="shared" si="134"/>
        <v>1</v>
      </c>
      <c r="L839" s="209">
        <f t="shared" si="135"/>
        <v>0</v>
      </c>
      <c r="M839" s="210">
        <f t="shared" si="136"/>
        <v>0</v>
      </c>
      <c r="N839" s="26">
        <v>45391</v>
      </c>
      <c r="O839" s="26">
        <v>45391</v>
      </c>
      <c r="P839" s="26">
        <v>45391</v>
      </c>
      <c r="Q839" s="2">
        <f t="shared" si="130"/>
        <v>1</v>
      </c>
      <c r="S839" s="7">
        <f t="shared" si="137"/>
        <v>1</v>
      </c>
      <c r="T839" s="157">
        <f t="shared" si="138"/>
        <v>1</v>
      </c>
      <c r="V839" s="191">
        <f t="shared" si="131"/>
        <v>4</v>
      </c>
      <c r="W839" s="7">
        <f t="shared" si="132"/>
        <v>2024</v>
      </c>
    </row>
    <row r="840" spans="1:23" ht="31.95" customHeight="1" thickBot="1" x14ac:dyDescent="0.35">
      <c r="A840" s="15">
        <f t="shared" si="133"/>
        <v>3</v>
      </c>
      <c r="B840" s="26">
        <v>45391</v>
      </c>
      <c r="C840" s="51">
        <f t="shared" si="139"/>
        <v>836</v>
      </c>
      <c r="D840" s="27" t="s">
        <v>305</v>
      </c>
      <c r="E840" s="26" t="s">
        <v>11</v>
      </c>
      <c r="F840" s="28" t="s">
        <v>11</v>
      </c>
      <c r="G840" s="28" t="s">
        <v>11</v>
      </c>
      <c r="H840" s="254"/>
      <c r="I840" s="49">
        <v>3</v>
      </c>
      <c r="J840" s="49">
        <v>3</v>
      </c>
      <c r="K840" s="52">
        <f t="shared" si="134"/>
        <v>1</v>
      </c>
      <c r="L840" s="209">
        <f t="shared" si="135"/>
        <v>0</v>
      </c>
      <c r="M840" s="210">
        <f t="shared" si="136"/>
        <v>0</v>
      </c>
      <c r="N840" s="26">
        <v>45391</v>
      </c>
      <c r="O840" s="26">
        <v>45391</v>
      </c>
      <c r="P840" s="26">
        <v>45391</v>
      </c>
      <c r="Q840" s="2">
        <f t="shared" si="130"/>
        <v>1</v>
      </c>
      <c r="S840" s="7">
        <f t="shared" si="137"/>
        <v>1</v>
      </c>
      <c r="T840" s="157">
        <f t="shared" si="138"/>
        <v>1</v>
      </c>
      <c r="V840" s="191">
        <f t="shared" si="131"/>
        <v>4</v>
      </c>
      <c r="W840" s="7">
        <f t="shared" si="132"/>
        <v>2024</v>
      </c>
    </row>
    <row r="841" spans="1:23" ht="31.95" customHeight="1" thickBot="1" x14ac:dyDescent="0.35">
      <c r="A841" s="15">
        <f t="shared" si="133"/>
        <v>1</v>
      </c>
      <c r="B841" s="26">
        <v>45392</v>
      </c>
      <c r="C841" s="51">
        <f t="shared" si="139"/>
        <v>837</v>
      </c>
      <c r="D841" s="27" t="s">
        <v>644</v>
      </c>
      <c r="E841" s="26" t="s">
        <v>11</v>
      </c>
      <c r="F841" s="28" t="s">
        <v>11</v>
      </c>
      <c r="G841" s="28" t="s">
        <v>11</v>
      </c>
      <c r="H841" s="254"/>
      <c r="I841" s="49">
        <v>1</v>
      </c>
      <c r="J841" s="49">
        <v>1</v>
      </c>
      <c r="K841" s="52">
        <f t="shared" si="134"/>
        <v>1</v>
      </c>
      <c r="L841" s="209">
        <f t="shared" si="135"/>
        <v>0</v>
      </c>
      <c r="M841" s="210">
        <f t="shared" si="136"/>
        <v>0</v>
      </c>
      <c r="N841" s="26">
        <v>45393</v>
      </c>
      <c r="O841" s="26">
        <v>45393</v>
      </c>
      <c r="P841" s="26">
        <v>45393</v>
      </c>
      <c r="Q841" s="2">
        <f t="shared" si="130"/>
        <v>1</v>
      </c>
      <c r="S841" s="7">
        <f t="shared" si="137"/>
        <v>1</v>
      </c>
      <c r="T841" s="157">
        <f t="shared" si="138"/>
        <v>1</v>
      </c>
      <c r="V841" s="191">
        <f t="shared" si="131"/>
        <v>4</v>
      </c>
      <c r="W841" s="7">
        <f t="shared" si="132"/>
        <v>2024</v>
      </c>
    </row>
    <row r="842" spans="1:23" ht="31.95" customHeight="1" thickBot="1" x14ac:dyDescent="0.35">
      <c r="A842" s="15">
        <f t="shared" si="133"/>
        <v>1</v>
      </c>
      <c r="B842" s="26">
        <v>45393</v>
      </c>
      <c r="C842" s="51">
        <f t="shared" si="139"/>
        <v>838</v>
      </c>
      <c r="D842" s="27" t="s">
        <v>269</v>
      </c>
      <c r="E842" s="26" t="s">
        <v>11</v>
      </c>
      <c r="F842" s="28" t="s">
        <v>11</v>
      </c>
      <c r="G842" s="28" t="s">
        <v>11</v>
      </c>
      <c r="H842" s="254"/>
      <c r="I842" s="49">
        <v>1</v>
      </c>
      <c r="J842" s="49">
        <v>1</v>
      </c>
      <c r="K842" s="52">
        <f t="shared" si="134"/>
        <v>1</v>
      </c>
      <c r="L842" s="209">
        <f t="shared" si="135"/>
        <v>0</v>
      </c>
      <c r="M842" s="210">
        <f t="shared" si="136"/>
        <v>0</v>
      </c>
      <c r="N842" s="26">
        <v>45394</v>
      </c>
      <c r="O842" s="26">
        <v>45394</v>
      </c>
      <c r="P842" s="26">
        <v>45394</v>
      </c>
      <c r="Q842" s="2">
        <f t="shared" si="130"/>
        <v>1</v>
      </c>
      <c r="S842" s="7">
        <f t="shared" si="137"/>
        <v>1</v>
      </c>
      <c r="T842" s="157">
        <f t="shared" si="138"/>
        <v>1</v>
      </c>
      <c r="V842" s="191">
        <f t="shared" si="131"/>
        <v>4</v>
      </c>
      <c r="W842" s="7">
        <f t="shared" si="132"/>
        <v>2024</v>
      </c>
    </row>
    <row r="843" spans="1:23" ht="31.95" customHeight="1" thickBot="1" x14ac:dyDescent="0.35">
      <c r="A843" s="15">
        <f t="shared" si="133"/>
        <v>2</v>
      </c>
      <c r="B843" s="26">
        <v>45393</v>
      </c>
      <c r="C843" s="51">
        <f t="shared" si="139"/>
        <v>839</v>
      </c>
      <c r="D843" s="27" t="s">
        <v>305</v>
      </c>
      <c r="E843" s="26" t="s">
        <v>11</v>
      </c>
      <c r="F843" s="28" t="s">
        <v>11</v>
      </c>
      <c r="G843" s="28" t="s">
        <v>11</v>
      </c>
      <c r="H843" s="254"/>
      <c r="I843" s="49">
        <v>2</v>
      </c>
      <c r="J843" s="49">
        <v>2</v>
      </c>
      <c r="K843" s="52">
        <f t="shared" si="134"/>
        <v>1</v>
      </c>
      <c r="L843" s="209">
        <f t="shared" si="135"/>
        <v>0</v>
      </c>
      <c r="M843" s="210">
        <f t="shared" si="136"/>
        <v>0</v>
      </c>
      <c r="N843" s="26">
        <v>45394</v>
      </c>
      <c r="O843" s="26">
        <v>45394</v>
      </c>
      <c r="P843" s="26">
        <v>45394</v>
      </c>
      <c r="Q843" s="2">
        <f t="shared" si="130"/>
        <v>1</v>
      </c>
      <c r="S843" s="7">
        <f t="shared" si="137"/>
        <v>1</v>
      </c>
      <c r="T843" s="157">
        <f t="shared" si="138"/>
        <v>1</v>
      </c>
      <c r="V843" s="191">
        <f t="shared" si="131"/>
        <v>4</v>
      </c>
      <c r="W843" s="7">
        <f t="shared" si="132"/>
        <v>2024</v>
      </c>
    </row>
    <row r="844" spans="1:23" ht="31.95" customHeight="1" thickBot="1" x14ac:dyDescent="0.35">
      <c r="A844" s="15">
        <f t="shared" si="133"/>
        <v>1</v>
      </c>
      <c r="B844" s="26">
        <v>45393</v>
      </c>
      <c r="C844" s="51">
        <f t="shared" si="139"/>
        <v>840</v>
      </c>
      <c r="D844" s="27" t="s">
        <v>858</v>
      </c>
      <c r="E844" s="26" t="s">
        <v>11</v>
      </c>
      <c r="F844" s="28" t="s">
        <v>11</v>
      </c>
      <c r="G844" s="28" t="s">
        <v>11</v>
      </c>
      <c r="H844" s="254"/>
      <c r="I844" s="49">
        <v>1</v>
      </c>
      <c r="J844" s="49">
        <v>1</v>
      </c>
      <c r="K844" s="52">
        <f t="shared" si="134"/>
        <v>1</v>
      </c>
      <c r="L844" s="209">
        <f t="shared" si="135"/>
        <v>0</v>
      </c>
      <c r="M844" s="210">
        <f t="shared" si="136"/>
        <v>0</v>
      </c>
      <c r="N844" s="26">
        <v>45394</v>
      </c>
      <c r="O844" s="26">
        <v>45394</v>
      </c>
      <c r="P844" s="26">
        <v>45394</v>
      </c>
      <c r="Q844" s="2">
        <f t="shared" si="130"/>
        <v>1</v>
      </c>
      <c r="S844" s="7">
        <f t="shared" si="137"/>
        <v>1</v>
      </c>
      <c r="T844" s="157">
        <f t="shared" si="138"/>
        <v>1</v>
      </c>
      <c r="V844" s="191">
        <f t="shared" si="131"/>
        <v>4</v>
      </c>
      <c r="W844" s="7">
        <f t="shared" si="132"/>
        <v>2024</v>
      </c>
    </row>
    <row r="845" spans="1:23" ht="31.95" customHeight="1" thickBot="1" x14ac:dyDescent="0.35">
      <c r="A845" s="15">
        <f t="shared" si="133"/>
        <v>2</v>
      </c>
      <c r="B845" s="26">
        <v>45393</v>
      </c>
      <c r="C845" s="51">
        <f t="shared" si="139"/>
        <v>841</v>
      </c>
      <c r="D845" s="27" t="s">
        <v>305</v>
      </c>
      <c r="E845" s="26" t="s">
        <v>11</v>
      </c>
      <c r="F845" s="28" t="s">
        <v>11</v>
      </c>
      <c r="G845" s="28" t="s">
        <v>11</v>
      </c>
      <c r="H845" s="254"/>
      <c r="I845" s="49">
        <v>2</v>
      </c>
      <c r="J845" s="49">
        <v>2</v>
      </c>
      <c r="K845" s="52">
        <f t="shared" si="134"/>
        <v>1</v>
      </c>
      <c r="L845" s="209">
        <f t="shared" si="135"/>
        <v>0</v>
      </c>
      <c r="M845" s="210">
        <f t="shared" si="136"/>
        <v>0</v>
      </c>
      <c r="N845" s="26">
        <v>45393</v>
      </c>
      <c r="O845" s="26">
        <v>45393</v>
      </c>
      <c r="P845" s="26">
        <v>45393</v>
      </c>
      <c r="Q845" s="2">
        <f t="shared" si="130"/>
        <v>1</v>
      </c>
      <c r="S845" s="7">
        <f t="shared" si="137"/>
        <v>1</v>
      </c>
      <c r="T845" s="157">
        <f t="shared" si="138"/>
        <v>1</v>
      </c>
      <c r="V845" s="191">
        <f t="shared" si="131"/>
        <v>4</v>
      </c>
      <c r="W845" s="7">
        <f t="shared" si="132"/>
        <v>2024</v>
      </c>
    </row>
    <row r="846" spans="1:23" ht="31.95" customHeight="1" thickBot="1" x14ac:dyDescent="0.35">
      <c r="A846" s="15">
        <f t="shared" si="133"/>
        <v>1</v>
      </c>
      <c r="B846" s="26">
        <v>45394</v>
      </c>
      <c r="C846" s="51">
        <f t="shared" si="139"/>
        <v>842</v>
      </c>
      <c r="D846" s="27" t="s">
        <v>858</v>
      </c>
      <c r="E846" s="26"/>
      <c r="F846" s="28" t="s">
        <v>11</v>
      </c>
      <c r="G846" s="28" t="s">
        <v>11</v>
      </c>
      <c r="H846" s="254"/>
      <c r="I846" s="49">
        <v>1</v>
      </c>
      <c r="J846" s="49">
        <v>1</v>
      </c>
      <c r="K846" s="52">
        <f t="shared" si="134"/>
        <v>1</v>
      </c>
      <c r="L846" s="209">
        <f t="shared" si="135"/>
        <v>0</v>
      </c>
      <c r="M846" s="210">
        <f t="shared" si="136"/>
        <v>0</v>
      </c>
      <c r="N846" s="26">
        <v>45394</v>
      </c>
      <c r="O846" s="26">
        <v>45394</v>
      </c>
      <c r="P846" s="26">
        <v>45394</v>
      </c>
      <c r="Q846" s="2">
        <f t="shared" si="130"/>
        <v>1</v>
      </c>
      <c r="S846" s="7">
        <f t="shared" si="137"/>
        <v>1</v>
      </c>
      <c r="T846" s="157">
        <f t="shared" si="138"/>
        <v>1</v>
      </c>
      <c r="V846" s="191">
        <f t="shared" si="131"/>
        <v>4</v>
      </c>
      <c r="W846" s="7">
        <f t="shared" si="132"/>
        <v>2024</v>
      </c>
    </row>
    <row r="847" spans="1:23" ht="31.95" customHeight="1" thickBot="1" x14ac:dyDescent="0.35">
      <c r="A847" s="15">
        <f t="shared" si="133"/>
        <v>1</v>
      </c>
      <c r="B847" s="26">
        <v>45394</v>
      </c>
      <c r="C847" s="51">
        <f t="shared" si="139"/>
        <v>843</v>
      </c>
      <c r="D847" s="27" t="s">
        <v>705</v>
      </c>
      <c r="E847" s="26"/>
      <c r="F847" s="28" t="s">
        <v>11</v>
      </c>
      <c r="G847" s="28" t="s">
        <v>11</v>
      </c>
      <c r="H847" s="254"/>
      <c r="I847" s="49">
        <v>1</v>
      </c>
      <c r="J847" s="49">
        <v>1</v>
      </c>
      <c r="K847" s="52">
        <f t="shared" si="134"/>
        <v>1</v>
      </c>
      <c r="L847" s="209">
        <f t="shared" si="135"/>
        <v>0</v>
      </c>
      <c r="M847" s="210">
        <f t="shared" si="136"/>
        <v>0</v>
      </c>
      <c r="N847" s="26">
        <v>45394</v>
      </c>
      <c r="O847" s="26">
        <v>45394</v>
      </c>
      <c r="P847" s="26">
        <v>45394</v>
      </c>
      <c r="Q847" s="2">
        <f t="shared" si="130"/>
        <v>1</v>
      </c>
      <c r="S847" s="7">
        <f t="shared" si="137"/>
        <v>1</v>
      </c>
      <c r="T847" s="157">
        <f t="shared" si="138"/>
        <v>1</v>
      </c>
      <c r="V847" s="191">
        <f t="shared" si="131"/>
        <v>4</v>
      </c>
      <c r="W847" s="7">
        <f t="shared" si="132"/>
        <v>2024</v>
      </c>
    </row>
    <row r="848" spans="1:23" ht="31.95" customHeight="1" thickBot="1" x14ac:dyDescent="0.35">
      <c r="A848" s="15">
        <f t="shared" si="133"/>
        <v>10</v>
      </c>
      <c r="B848" s="26">
        <v>45397</v>
      </c>
      <c r="C848" s="51">
        <f t="shared" si="139"/>
        <v>844</v>
      </c>
      <c r="D848" s="27" t="s">
        <v>1041</v>
      </c>
      <c r="E848" s="26" t="s">
        <v>154</v>
      </c>
      <c r="F848" s="28" t="s">
        <v>11</v>
      </c>
      <c r="G848" s="28" t="s">
        <v>11</v>
      </c>
      <c r="H848" s="254"/>
      <c r="I848" s="49">
        <v>10</v>
      </c>
      <c r="J848" s="49">
        <v>10</v>
      </c>
      <c r="K848" s="52">
        <f t="shared" si="134"/>
        <v>1</v>
      </c>
      <c r="L848" s="209">
        <f t="shared" si="135"/>
        <v>0</v>
      </c>
      <c r="M848" s="210">
        <f t="shared" si="136"/>
        <v>0</v>
      </c>
      <c r="N848" s="26">
        <v>45411</v>
      </c>
      <c r="O848" s="26">
        <v>45411</v>
      </c>
      <c r="P848" s="26">
        <v>45411</v>
      </c>
      <c r="Q848" s="2">
        <f t="shared" si="130"/>
        <v>1</v>
      </c>
      <c r="S848" s="7">
        <f t="shared" si="137"/>
        <v>1</v>
      </c>
      <c r="T848" s="157">
        <f t="shared" si="138"/>
        <v>1</v>
      </c>
      <c r="V848" s="191">
        <f t="shared" si="131"/>
        <v>4</v>
      </c>
      <c r="W848" s="7">
        <f t="shared" si="132"/>
        <v>2024</v>
      </c>
    </row>
    <row r="849" spans="1:23" ht="31.95" customHeight="1" thickBot="1" x14ac:dyDescent="0.35">
      <c r="A849" s="15">
        <f t="shared" si="133"/>
        <v>4</v>
      </c>
      <c r="B849" s="26">
        <v>45397</v>
      </c>
      <c r="C849" s="51">
        <f t="shared" si="139"/>
        <v>845</v>
      </c>
      <c r="D849" s="27" t="s">
        <v>890</v>
      </c>
      <c r="E849" s="26" t="s">
        <v>154</v>
      </c>
      <c r="F849" s="28" t="s">
        <v>11</v>
      </c>
      <c r="G849" s="28" t="s">
        <v>11</v>
      </c>
      <c r="H849" s="254"/>
      <c r="I849" s="49">
        <v>4</v>
      </c>
      <c r="J849" s="49">
        <v>4</v>
      </c>
      <c r="K849" s="52">
        <f t="shared" si="134"/>
        <v>1</v>
      </c>
      <c r="L849" s="209">
        <f t="shared" si="135"/>
        <v>0</v>
      </c>
      <c r="M849" s="210">
        <f t="shared" si="136"/>
        <v>0</v>
      </c>
      <c r="N849" s="26">
        <v>45418</v>
      </c>
      <c r="O849" s="26">
        <v>45418</v>
      </c>
      <c r="P849" s="26">
        <v>45418</v>
      </c>
      <c r="Q849" s="2">
        <f t="shared" si="130"/>
        <v>1</v>
      </c>
      <c r="S849" s="7">
        <f t="shared" si="137"/>
        <v>1</v>
      </c>
      <c r="T849" s="157">
        <f t="shared" si="138"/>
        <v>1</v>
      </c>
      <c r="V849" s="191">
        <f t="shared" si="131"/>
        <v>4</v>
      </c>
      <c r="W849" s="7">
        <f t="shared" si="132"/>
        <v>2024</v>
      </c>
    </row>
    <row r="850" spans="1:23" ht="31.95" customHeight="1" thickBot="1" x14ac:dyDescent="0.35">
      <c r="A850" s="15">
        <f t="shared" si="133"/>
        <v>1</v>
      </c>
      <c r="B850" s="26">
        <v>45397</v>
      </c>
      <c r="C850" s="51">
        <f t="shared" si="139"/>
        <v>846</v>
      </c>
      <c r="D850" s="27" t="s">
        <v>965</v>
      </c>
      <c r="E850" s="26" t="s">
        <v>140</v>
      </c>
      <c r="F850" s="28" t="s">
        <v>11</v>
      </c>
      <c r="G850" s="28" t="s">
        <v>11</v>
      </c>
      <c r="H850" s="254"/>
      <c r="I850" s="49">
        <v>1</v>
      </c>
      <c r="J850" s="49">
        <v>1</v>
      </c>
      <c r="K850" s="52">
        <f t="shared" si="134"/>
        <v>1</v>
      </c>
      <c r="L850" s="209">
        <f t="shared" si="135"/>
        <v>0</v>
      </c>
      <c r="M850" s="210">
        <f t="shared" si="136"/>
        <v>0</v>
      </c>
      <c r="N850" s="26">
        <v>45397</v>
      </c>
      <c r="O850" s="26">
        <v>45397</v>
      </c>
      <c r="P850" s="26">
        <v>45397</v>
      </c>
      <c r="Q850" s="2">
        <f t="shared" si="130"/>
        <v>1</v>
      </c>
      <c r="S850" s="7">
        <f t="shared" si="137"/>
        <v>1</v>
      </c>
      <c r="T850" s="157">
        <f t="shared" si="138"/>
        <v>1</v>
      </c>
      <c r="V850" s="191">
        <f t="shared" si="131"/>
        <v>4</v>
      </c>
      <c r="W850" s="7">
        <f t="shared" si="132"/>
        <v>2024</v>
      </c>
    </row>
    <row r="851" spans="1:23" ht="31.95" customHeight="1" thickBot="1" x14ac:dyDescent="0.35">
      <c r="A851" s="15">
        <f t="shared" si="133"/>
        <v>22</v>
      </c>
      <c r="B851" s="26">
        <v>45397</v>
      </c>
      <c r="C851" s="51">
        <f t="shared" si="139"/>
        <v>847</v>
      </c>
      <c r="D851" s="27" t="s">
        <v>594</v>
      </c>
      <c r="E851" s="26" t="s">
        <v>154</v>
      </c>
      <c r="F851" s="28" t="s">
        <v>11</v>
      </c>
      <c r="G851" s="28" t="s">
        <v>11</v>
      </c>
      <c r="H851" s="254"/>
      <c r="I851" s="49">
        <v>22</v>
      </c>
      <c r="J851" s="49">
        <v>22</v>
      </c>
      <c r="K851" s="52">
        <f t="shared" si="134"/>
        <v>1</v>
      </c>
      <c r="L851" s="209">
        <f t="shared" si="135"/>
        <v>0</v>
      </c>
      <c r="M851" s="210">
        <f t="shared" si="136"/>
        <v>0</v>
      </c>
      <c r="N851" s="26">
        <v>45418</v>
      </c>
      <c r="O851" s="26">
        <v>45418</v>
      </c>
      <c r="P851" s="26">
        <v>45418</v>
      </c>
      <c r="Q851" s="2">
        <f t="shared" si="130"/>
        <v>1</v>
      </c>
      <c r="S851" s="7">
        <f t="shared" si="137"/>
        <v>1</v>
      </c>
      <c r="T851" s="157">
        <f t="shared" si="138"/>
        <v>1</v>
      </c>
      <c r="V851" s="191">
        <f t="shared" si="131"/>
        <v>4</v>
      </c>
      <c r="W851" s="7">
        <f t="shared" si="132"/>
        <v>2024</v>
      </c>
    </row>
    <row r="852" spans="1:23" ht="31.95" customHeight="1" thickBot="1" x14ac:dyDescent="0.35">
      <c r="A852" s="15">
        <f t="shared" si="133"/>
        <v>48</v>
      </c>
      <c r="B852" s="26">
        <v>45397</v>
      </c>
      <c r="C852" s="51">
        <f t="shared" si="139"/>
        <v>848</v>
      </c>
      <c r="D852" s="27" t="s">
        <v>978</v>
      </c>
      <c r="E852" s="26" t="s">
        <v>154</v>
      </c>
      <c r="F852" s="28" t="s">
        <v>11</v>
      </c>
      <c r="G852" s="28" t="s">
        <v>11</v>
      </c>
      <c r="H852" s="254"/>
      <c r="I852" s="49">
        <v>48</v>
      </c>
      <c r="J852" s="49">
        <v>48</v>
      </c>
      <c r="K852" s="52">
        <f t="shared" si="134"/>
        <v>1</v>
      </c>
      <c r="L852" s="209">
        <f t="shared" si="135"/>
        <v>0</v>
      </c>
      <c r="M852" s="210">
        <f t="shared" si="136"/>
        <v>0</v>
      </c>
      <c r="N852" s="26">
        <v>45400</v>
      </c>
      <c r="O852" s="26">
        <v>45400</v>
      </c>
      <c r="P852" s="26">
        <v>45400</v>
      </c>
      <c r="Q852" s="2">
        <f t="shared" si="130"/>
        <v>1</v>
      </c>
      <c r="S852" s="7">
        <f t="shared" si="137"/>
        <v>1</v>
      </c>
      <c r="T852" s="157">
        <f t="shared" si="138"/>
        <v>1</v>
      </c>
      <c r="V852" s="191">
        <f t="shared" si="131"/>
        <v>4</v>
      </c>
      <c r="W852" s="7">
        <f t="shared" si="132"/>
        <v>2024</v>
      </c>
    </row>
    <row r="853" spans="1:23" ht="31.95" customHeight="1" thickBot="1" x14ac:dyDescent="0.35">
      <c r="A853" s="15">
        <f t="shared" si="133"/>
        <v>5</v>
      </c>
      <c r="B853" s="26">
        <v>45397</v>
      </c>
      <c r="C853" s="51">
        <f t="shared" si="139"/>
        <v>849</v>
      </c>
      <c r="D853" s="27" t="s">
        <v>524</v>
      </c>
      <c r="E853" s="26" t="s">
        <v>154</v>
      </c>
      <c r="F853" s="28" t="s">
        <v>11</v>
      </c>
      <c r="G853" s="28" t="s">
        <v>11</v>
      </c>
      <c r="H853" s="254"/>
      <c r="I853" s="49">
        <v>5</v>
      </c>
      <c r="J853" s="49">
        <v>5</v>
      </c>
      <c r="K853" s="52">
        <f t="shared" si="134"/>
        <v>1</v>
      </c>
      <c r="L853" s="209">
        <f t="shared" si="135"/>
        <v>0</v>
      </c>
      <c r="M853" s="210">
        <f t="shared" si="136"/>
        <v>0</v>
      </c>
      <c r="N853" s="26">
        <v>45400</v>
      </c>
      <c r="O853" s="26">
        <v>45400</v>
      </c>
      <c r="P853" s="26">
        <v>45400</v>
      </c>
      <c r="Q853" s="2">
        <f t="shared" si="130"/>
        <v>1</v>
      </c>
      <c r="S853" s="7">
        <f t="shared" si="137"/>
        <v>1</v>
      </c>
      <c r="T853" s="157">
        <f t="shared" si="138"/>
        <v>1</v>
      </c>
      <c r="V853" s="191">
        <f t="shared" si="131"/>
        <v>4</v>
      </c>
      <c r="W853" s="7">
        <f t="shared" si="132"/>
        <v>2024</v>
      </c>
    </row>
    <row r="854" spans="1:23" ht="31.95" customHeight="1" thickBot="1" x14ac:dyDescent="0.35">
      <c r="A854" s="15">
        <f t="shared" si="133"/>
        <v>7</v>
      </c>
      <c r="B854" s="26">
        <v>45397</v>
      </c>
      <c r="C854" s="51">
        <f t="shared" si="139"/>
        <v>850</v>
      </c>
      <c r="D854" s="27" t="s">
        <v>602</v>
      </c>
      <c r="E854" s="26" t="s">
        <v>154</v>
      </c>
      <c r="F854" s="28" t="s">
        <v>11</v>
      </c>
      <c r="G854" s="28" t="s">
        <v>11</v>
      </c>
      <c r="H854" s="254"/>
      <c r="I854" s="49">
        <v>7</v>
      </c>
      <c r="J854" s="49">
        <v>7</v>
      </c>
      <c r="K854" s="52">
        <f t="shared" si="134"/>
        <v>1</v>
      </c>
      <c r="L854" s="209">
        <f t="shared" si="135"/>
        <v>0</v>
      </c>
      <c r="M854" s="210">
        <f t="shared" si="136"/>
        <v>0</v>
      </c>
      <c r="N854" s="26">
        <v>45399</v>
      </c>
      <c r="O854" s="26">
        <v>45399</v>
      </c>
      <c r="P854" s="26">
        <v>45399</v>
      </c>
      <c r="Q854" s="2">
        <f t="shared" si="130"/>
        <v>1</v>
      </c>
      <c r="S854" s="7">
        <f t="shared" si="137"/>
        <v>1</v>
      </c>
      <c r="T854" s="157">
        <f t="shared" si="138"/>
        <v>1</v>
      </c>
      <c r="V854" s="191">
        <f t="shared" si="131"/>
        <v>4</v>
      </c>
      <c r="W854" s="7">
        <f t="shared" si="132"/>
        <v>2024</v>
      </c>
    </row>
    <row r="855" spans="1:23" ht="31.95" customHeight="1" thickBot="1" x14ac:dyDescent="0.35">
      <c r="A855" s="15">
        <f t="shared" si="133"/>
        <v>2</v>
      </c>
      <c r="B855" s="26">
        <v>45397</v>
      </c>
      <c r="C855" s="51">
        <f t="shared" si="139"/>
        <v>851</v>
      </c>
      <c r="D855" s="27" t="s">
        <v>822</v>
      </c>
      <c r="E855" s="26" t="s">
        <v>154</v>
      </c>
      <c r="F855" s="28" t="s">
        <v>11</v>
      </c>
      <c r="G855" s="28" t="s">
        <v>11</v>
      </c>
      <c r="H855" s="254"/>
      <c r="I855" s="49">
        <v>2</v>
      </c>
      <c r="J855" s="49">
        <v>2</v>
      </c>
      <c r="K855" s="52">
        <f t="shared" si="134"/>
        <v>1</v>
      </c>
      <c r="L855" s="209">
        <f t="shared" si="135"/>
        <v>0</v>
      </c>
      <c r="M855" s="210">
        <f t="shared" si="136"/>
        <v>0</v>
      </c>
      <c r="N855" s="26">
        <v>45399</v>
      </c>
      <c r="O855" s="26">
        <v>45399</v>
      </c>
      <c r="P855" s="26">
        <v>45399</v>
      </c>
      <c r="Q855" s="2">
        <f t="shared" si="130"/>
        <v>1</v>
      </c>
      <c r="S855" s="7">
        <f t="shared" si="137"/>
        <v>1</v>
      </c>
      <c r="T855" s="157">
        <f t="shared" si="138"/>
        <v>1</v>
      </c>
      <c r="V855" s="191">
        <f t="shared" si="131"/>
        <v>4</v>
      </c>
      <c r="W855" s="7">
        <f t="shared" si="132"/>
        <v>2024</v>
      </c>
    </row>
    <row r="856" spans="1:23" ht="31.95" customHeight="1" thickBot="1" x14ac:dyDescent="0.35">
      <c r="A856" s="15">
        <f t="shared" si="133"/>
        <v>3</v>
      </c>
      <c r="B856" s="26">
        <v>45398</v>
      </c>
      <c r="C856" s="51">
        <f t="shared" si="139"/>
        <v>852</v>
      </c>
      <c r="D856" s="27" t="s">
        <v>705</v>
      </c>
      <c r="E856" s="26" t="s">
        <v>11</v>
      </c>
      <c r="F856" s="28" t="s">
        <v>11</v>
      </c>
      <c r="G856" s="28" t="s">
        <v>11</v>
      </c>
      <c r="H856" s="254"/>
      <c r="I856" s="49">
        <v>3</v>
      </c>
      <c r="J856" s="49">
        <v>3</v>
      </c>
      <c r="K856" s="52">
        <f t="shared" si="134"/>
        <v>1</v>
      </c>
      <c r="L856" s="209">
        <f t="shared" si="135"/>
        <v>0</v>
      </c>
      <c r="M856" s="210">
        <f t="shared" si="136"/>
        <v>0</v>
      </c>
      <c r="N856" s="26">
        <v>45398</v>
      </c>
      <c r="O856" s="26">
        <v>45398</v>
      </c>
      <c r="P856" s="26">
        <v>45398</v>
      </c>
      <c r="Q856" s="2">
        <f t="shared" si="130"/>
        <v>1</v>
      </c>
      <c r="S856" s="7">
        <f t="shared" si="137"/>
        <v>1</v>
      </c>
      <c r="T856" s="157">
        <f t="shared" si="138"/>
        <v>1</v>
      </c>
      <c r="V856" s="191">
        <f t="shared" si="131"/>
        <v>4</v>
      </c>
      <c r="W856" s="7">
        <f t="shared" si="132"/>
        <v>2024</v>
      </c>
    </row>
    <row r="857" spans="1:23" ht="31.95" customHeight="1" thickBot="1" x14ac:dyDescent="0.35">
      <c r="A857" s="15">
        <f t="shared" si="133"/>
        <v>3</v>
      </c>
      <c r="B857" s="26">
        <v>45398</v>
      </c>
      <c r="C857" s="51">
        <f t="shared" si="139"/>
        <v>853</v>
      </c>
      <c r="D857" s="27" t="s">
        <v>305</v>
      </c>
      <c r="E857" s="26" t="s">
        <v>11</v>
      </c>
      <c r="F857" s="28" t="s">
        <v>11</v>
      </c>
      <c r="G857" s="28" t="s">
        <v>11</v>
      </c>
      <c r="H857" s="254"/>
      <c r="I857" s="49">
        <v>3</v>
      </c>
      <c r="J857" s="49">
        <v>3</v>
      </c>
      <c r="K857" s="52">
        <f t="shared" si="134"/>
        <v>1</v>
      </c>
      <c r="L857" s="209">
        <f t="shared" si="135"/>
        <v>0</v>
      </c>
      <c r="M857" s="210">
        <f t="shared" si="136"/>
        <v>0</v>
      </c>
      <c r="N857" s="26">
        <v>45398</v>
      </c>
      <c r="O857" s="26">
        <v>45398</v>
      </c>
      <c r="P857" s="26">
        <v>45398</v>
      </c>
      <c r="Q857" s="2">
        <f t="shared" si="130"/>
        <v>1</v>
      </c>
      <c r="S857" s="7">
        <f t="shared" si="137"/>
        <v>1</v>
      </c>
      <c r="T857" s="157">
        <f t="shared" si="138"/>
        <v>1</v>
      </c>
      <c r="V857" s="191">
        <f t="shared" si="131"/>
        <v>4</v>
      </c>
      <c r="W857" s="7">
        <f t="shared" si="132"/>
        <v>2024</v>
      </c>
    </row>
    <row r="858" spans="1:23" ht="31.95" customHeight="1" thickBot="1" x14ac:dyDescent="0.35">
      <c r="A858" s="15">
        <f t="shared" si="133"/>
        <v>2</v>
      </c>
      <c r="B858" s="26">
        <v>45398</v>
      </c>
      <c r="C858" s="51">
        <f t="shared" si="139"/>
        <v>854</v>
      </c>
      <c r="D858" s="27" t="s">
        <v>652</v>
      </c>
      <c r="E858" s="26" t="s">
        <v>154</v>
      </c>
      <c r="F858" s="28" t="s">
        <v>11</v>
      </c>
      <c r="G858" s="28" t="s">
        <v>11</v>
      </c>
      <c r="H858" s="254"/>
      <c r="I858" s="49">
        <v>2</v>
      </c>
      <c r="J858" s="49">
        <v>2</v>
      </c>
      <c r="K858" s="52">
        <f t="shared" si="134"/>
        <v>1</v>
      </c>
      <c r="L858" s="209">
        <f t="shared" si="135"/>
        <v>0</v>
      </c>
      <c r="M858" s="210">
        <f t="shared" si="136"/>
        <v>0</v>
      </c>
      <c r="N858" s="26">
        <v>45400</v>
      </c>
      <c r="O858" s="26">
        <v>45400</v>
      </c>
      <c r="P858" s="26">
        <v>45400</v>
      </c>
      <c r="Q858" s="2">
        <f t="shared" si="130"/>
        <v>1</v>
      </c>
      <c r="S858" s="7">
        <f t="shared" si="137"/>
        <v>1</v>
      </c>
      <c r="T858" s="157">
        <f t="shared" si="138"/>
        <v>1</v>
      </c>
      <c r="V858" s="191">
        <f t="shared" si="131"/>
        <v>4</v>
      </c>
      <c r="W858" s="7">
        <f t="shared" si="132"/>
        <v>2024</v>
      </c>
    </row>
    <row r="859" spans="1:23" ht="31.95" customHeight="1" thickBot="1" x14ac:dyDescent="0.35">
      <c r="A859" s="15">
        <f t="shared" si="133"/>
        <v>1</v>
      </c>
      <c r="B859" s="26">
        <v>45400</v>
      </c>
      <c r="C859" s="51">
        <f t="shared" si="139"/>
        <v>855</v>
      </c>
      <c r="D859" s="27" t="s">
        <v>475</v>
      </c>
      <c r="E859" s="26" t="s">
        <v>154</v>
      </c>
      <c r="F859" s="28" t="s">
        <v>11</v>
      </c>
      <c r="G859" s="28" t="s">
        <v>11</v>
      </c>
      <c r="H859" s="254"/>
      <c r="I859" s="49">
        <v>1</v>
      </c>
      <c r="J859" s="49">
        <v>1</v>
      </c>
      <c r="K859" s="52">
        <f t="shared" si="134"/>
        <v>1</v>
      </c>
      <c r="L859" s="209">
        <f t="shared" si="135"/>
        <v>0</v>
      </c>
      <c r="M859" s="210">
        <f t="shared" si="136"/>
        <v>0</v>
      </c>
      <c r="N859" s="26">
        <v>45442</v>
      </c>
      <c r="O859" s="26">
        <v>45442</v>
      </c>
      <c r="P859" s="26">
        <v>45442</v>
      </c>
      <c r="Q859" s="2">
        <f t="shared" si="130"/>
        <v>1</v>
      </c>
      <c r="S859" s="7">
        <f t="shared" si="137"/>
        <v>1</v>
      </c>
      <c r="T859" s="157">
        <f t="shared" si="138"/>
        <v>1</v>
      </c>
      <c r="V859" s="191">
        <f t="shared" si="131"/>
        <v>4</v>
      </c>
      <c r="W859" s="7">
        <f t="shared" si="132"/>
        <v>2024</v>
      </c>
    </row>
    <row r="860" spans="1:23" ht="31.95" customHeight="1" thickBot="1" x14ac:dyDescent="0.35">
      <c r="A860" s="15">
        <f t="shared" si="133"/>
        <v>2</v>
      </c>
      <c r="B860" s="26">
        <v>45401</v>
      </c>
      <c r="C860" s="51">
        <f t="shared" si="139"/>
        <v>856</v>
      </c>
      <c r="D860" s="27" t="s">
        <v>305</v>
      </c>
      <c r="E860" s="26" t="s">
        <v>11</v>
      </c>
      <c r="F860" s="28" t="s">
        <v>11</v>
      </c>
      <c r="G860" s="28" t="s">
        <v>11</v>
      </c>
      <c r="H860" s="254"/>
      <c r="I860" s="49">
        <v>2</v>
      </c>
      <c r="J860" s="49">
        <v>2</v>
      </c>
      <c r="K860" s="52">
        <f t="shared" si="134"/>
        <v>1</v>
      </c>
      <c r="L860" s="209">
        <f t="shared" si="135"/>
        <v>0</v>
      </c>
      <c r="M860" s="210">
        <f t="shared" si="136"/>
        <v>0</v>
      </c>
      <c r="N860" s="26">
        <v>45401</v>
      </c>
      <c r="O860" s="26">
        <v>45401</v>
      </c>
      <c r="P860" s="26">
        <v>45401</v>
      </c>
      <c r="Q860" s="2">
        <f t="shared" si="130"/>
        <v>1</v>
      </c>
      <c r="S860" s="7">
        <f t="shared" si="137"/>
        <v>1</v>
      </c>
      <c r="T860" s="157">
        <f t="shared" si="138"/>
        <v>1</v>
      </c>
      <c r="V860" s="191">
        <f t="shared" si="131"/>
        <v>4</v>
      </c>
      <c r="W860" s="7">
        <f t="shared" si="132"/>
        <v>2024</v>
      </c>
    </row>
    <row r="861" spans="1:23" ht="31.95" customHeight="1" thickBot="1" x14ac:dyDescent="0.35">
      <c r="A861" s="15">
        <f t="shared" si="133"/>
        <v>2</v>
      </c>
      <c r="B861" s="26">
        <v>45401</v>
      </c>
      <c r="C861" s="51">
        <f t="shared" si="139"/>
        <v>857</v>
      </c>
      <c r="D861" s="27" t="s">
        <v>705</v>
      </c>
      <c r="E861" s="26" t="s">
        <v>11</v>
      </c>
      <c r="F861" s="28" t="s">
        <v>11</v>
      </c>
      <c r="G861" s="28" t="s">
        <v>11</v>
      </c>
      <c r="H861" s="254"/>
      <c r="I861" s="49">
        <v>2</v>
      </c>
      <c r="J861" s="49">
        <v>2</v>
      </c>
      <c r="K861" s="52">
        <f t="shared" si="134"/>
        <v>1</v>
      </c>
      <c r="L861" s="209">
        <f t="shared" si="135"/>
        <v>0</v>
      </c>
      <c r="M861" s="210">
        <f t="shared" si="136"/>
        <v>0</v>
      </c>
      <c r="N861" s="26">
        <v>45401</v>
      </c>
      <c r="O861" s="26">
        <v>45401</v>
      </c>
      <c r="P861" s="26">
        <v>45401</v>
      </c>
      <c r="Q861" s="2">
        <f t="shared" si="130"/>
        <v>1</v>
      </c>
      <c r="S861" s="7">
        <f t="shared" si="137"/>
        <v>1</v>
      </c>
      <c r="T861" s="157">
        <f t="shared" si="138"/>
        <v>1</v>
      </c>
      <c r="V861" s="191">
        <f t="shared" si="131"/>
        <v>4</v>
      </c>
      <c r="W861" s="7">
        <f t="shared" si="132"/>
        <v>2024</v>
      </c>
    </row>
    <row r="862" spans="1:23" ht="31.95" customHeight="1" thickBot="1" x14ac:dyDescent="0.35">
      <c r="A862" s="15">
        <f t="shared" si="133"/>
        <v>1</v>
      </c>
      <c r="B862" s="26">
        <v>45406</v>
      </c>
      <c r="C862" s="51">
        <f t="shared" si="139"/>
        <v>858</v>
      </c>
      <c r="D862" s="27" t="s">
        <v>594</v>
      </c>
      <c r="E862" s="26" t="s">
        <v>154</v>
      </c>
      <c r="F862" s="28" t="s">
        <v>11</v>
      </c>
      <c r="G862" s="28" t="s">
        <v>11</v>
      </c>
      <c r="H862" s="254"/>
      <c r="I862" s="49">
        <v>1</v>
      </c>
      <c r="J862" s="49">
        <v>1</v>
      </c>
      <c r="K862" s="52">
        <f t="shared" si="134"/>
        <v>1</v>
      </c>
      <c r="L862" s="209">
        <f t="shared" si="135"/>
        <v>0</v>
      </c>
      <c r="M862" s="210">
        <f t="shared" si="136"/>
        <v>0</v>
      </c>
      <c r="N862" s="26">
        <v>45414</v>
      </c>
      <c r="O862" s="26">
        <v>45414</v>
      </c>
      <c r="P862" s="26">
        <v>45414</v>
      </c>
      <c r="Q862" s="2">
        <f t="shared" si="130"/>
        <v>1</v>
      </c>
      <c r="S862" s="7">
        <f t="shared" si="137"/>
        <v>1</v>
      </c>
      <c r="T862" s="157">
        <f t="shared" si="138"/>
        <v>1</v>
      </c>
      <c r="V862" s="191">
        <f t="shared" si="131"/>
        <v>4</v>
      </c>
      <c r="W862" s="7">
        <f t="shared" si="132"/>
        <v>2024</v>
      </c>
    </row>
    <row r="863" spans="1:23" ht="31.95" customHeight="1" thickBot="1" x14ac:dyDescent="0.35">
      <c r="A863" s="15">
        <f t="shared" si="133"/>
        <v>2</v>
      </c>
      <c r="B863" s="26">
        <v>45406</v>
      </c>
      <c r="C863" s="51">
        <f t="shared" si="139"/>
        <v>859</v>
      </c>
      <c r="D863" s="27" t="s">
        <v>978</v>
      </c>
      <c r="E863" s="26" t="s">
        <v>154</v>
      </c>
      <c r="F863" s="28" t="s">
        <v>11</v>
      </c>
      <c r="G863" s="28" t="s">
        <v>11</v>
      </c>
      <c r="H863" s="254"/>
      <c r="I863" s="49">
        <v>2</v>
      </c>
      <c r="J863" s="49">
        <v>2</v>
      </c>
      <c r="K863" s="52">
        <f t="shared" si="134"/>
        <v>1</v>
      </c>
      <c r="L863" s="209">
        <f t="shared" si="135"/>
        <v>0</v>
      </c>
      <c r="M863" s="210">
        <f t="shared" si="136"/>
        <v>0</v>
      </c>
      <c r="N863" s="26">
        <v>45408</v>
      </c>
      <c r="O863" s="26">
        <v>45408</v>
      </c>
      <c r="P863" s="26">
        <v>45408</v>
      </c>
      <c r="Q863" s="2">
        <f t="shared" si="130"/>
        <v>1</v>
      </c>
      <c r="S863" s="7">
        <f t="shared" si="137"/>
        <v>1</v>
      </c>
      <c r="T863" s="157">
        <f t="shared" si="138"/>
        <v>1</v>
      </c>
      <c r="V863" s="191">
        <f t="shared" si="131"/>
        <v>4</v>
      </c>
      <c r="W863" s="7">
        <f t="shared" si="132"/>
        <v>2024</v>
      </c>
    </row>
    <row r="864" spans="1:23" ht="31.95" customHeight="1" thickBot="1" x14ac:dyDescent="0.35">
      <c r="A864" s="15">
        <f t="shared" si="133"/>
        <v>14</v>
      </c>
      <c r="B864" s="26">
        <v>45406</v>
      </c>
      <c r="C864" s="51">
        <f t="shared" si="139"/>
        <v>860</v>
      </c>
      <c r="D864" s="27" t="s">
        <v>722</v>
      </c>
      <c r="E864" s="26" t="s">
        <v>154</v>
      </c>
      <c r="F864" s="28" t="s">
        <v>11</v>
      </c>
      <c r="G864" s="28" t="s">
        <v>11</v>
      </c>
      <c r="H864" s="254"/>
      <c r="I864" s="49">
        <v>14</v>
      </c>
      <c r="J864" s="49">
        <v>14</v>
      </c>
      <c r="K864" s="52">
        <f t="shared" si="134"/>
        <v>1</v>
      </c>
      <c r="L864" s="209">
        <f t="shared" si="135"/>
        <v>0</v>
      </c>
      <c r="M864" s="210">
        <f t="shared" si="136"/>
        <v>0</v>
      </c>
      <c r="N864" s="26">
        <v>45416</v>
      </c>
      <c r="O864" s="26">
        <v>45416</v>
      </c>
      <c r="P864" s="26">
        <v>45416</v>
      </c>
      <c r="Q864" s="2">
        <f t="shared" si="130"/>
        <v>1</v>
      </c>
      <c r="S864" s="7">
        <f t="shared" si="137"/>
        <v>1</v>
      </c>
      <c r="T864" s="157">
        <f t="shared" si="138"/>
        <v>1</v>
      </c>
      <c r="V864" s="191">
        <f t="shared" si="131"/>
        <v>4</v>
      </c>
      <c r="W864" s="7">
        <f t="shared" si="132"/>
        <v>2024</v>
      </c>
    </row>
    <row r="865" spans="1:23" ht="31.95" customHeight="1" thickBot="1" x14ac:dyDescent="0.35">
      <c r="A865" s="15">
        <f t="shared" si="133"/>
        <v>2</v>
      </c>
      <c r="B865" s="26">
        <v>45407</v>
      </c>
      <c r="C865" s="51">
        <f t="shared" si="139"/>
        <v>861</v>
      </c>
      <c r="D865" s="27" t="s">
        <v>305</v>
      </c>
      <c r="E865" s="26" t="s">
        <v>11</v>
      </c>
      <c r="F865" s="28" t="s">
        <v>11</v>
      </c>
      <c r="G865" s="28" t="s">
        <v>11</v>
      </c>
      <c r="H865" s="254"/>
      <c r="I865" s="49">
        <v>2</v>
      </c>
      <c r="J865" s="49">
        <v>2</v>
      </c>
      <c r="K865" s="52">
        <f t="shared" si="134"/>
        <v>1</v>
      </c>
      <c r="L865" s="209">
        <f t="shared" si="135"/>
        <v>0</v>
      </c>
      <c r="M865" s="210">
        <f t="shared" si="136"/>
        <v>0</v>
      </c>
      <c r="N865" s="26">
        <v>45407</v>
      </c>
      <c r="O865" s="26">
        <v>45407</v>
      </c>
      <c r="P865" s="26">
        <v>45407</v>
      </c>
      <c r="Q865" s="2">
        <f t="shared" si="130"/>
        <v>1</v>
      </c>
      <c r="S865" s="7">
        <f t="shared" si="137"/>
        <v>1</v>
      </c>
      <c r="T865" s="157">
        <f t="shared" si="138"/>
        <v>1</v>
      </c>
      <c r="V865" s="191">
        <f t="shared" si="131"/>
        <v>4</v>
      </c>
      <c r="W865" s="7">
        <f t="shared" si="132"/>
        <v>2024</v>
      </c>
    </row>
    <row r="866" spans="1:23" ht="31.95" customHeight="1" thickBot="1" x14ac:dyDescent="0.35">
      <c r="A866" s="15">
        <f t="shared" si="133"/>
        <v>1</v>
      </c>
      <c r="B866" s="26">
        <v>45407</v>
      </c>
      <c r="C866" s="51">
        <f t="shared" si="139"/>
        <v>862</v>
      </c>
      <c r="D866" s="27" t="s">
        <v>1206</v>
      </c>
      <c r="E866" s="26" t="s">
        <v>151</v>
      </c>
      <c r="F866" s="28" t="s">
        <v>11</v>
      </c>
      <c r="G866" s="28" t="s">
        <v>11</v>
      </c>
      <c r="H866" s="254"/>
      <c r="I866" s="49">
        <v>1</v>
      </c>
      <c r="J866" s="49">
        <v>1</v>
      </c>
      <c r="K866" s="52">
        <f t="shared" si="134"/>
        <v>1</v>
      </c>
      <c r="L866" s="209">
        <f t="shared" si="135"/>
        <v>0</v>
      </c>
      <c r="M866" s="210">
        <f t="shared" si="136"/>
        <v>0</v>
      </c>
      <c r="N866" s="26">
        <v>45407</v>
      </c>
      <c r="O866" s="26">
        <v>45407</v>
      </c>
      <c r="P866" s="26">
        <v>45407</v>
      </c>
      <c r="Q866" s="2">
        <f t="shared" si="130"/>
        <v>1</v>
      </c>
      <c r="S866" s="7">
        <f t="shared" si="137"/>
        <v>1</v>
      </c>
      <c r="T866" s="157">
        <f t="shared" si="138"/>
        <v>1</v>
      </c>
      <c r="V866" s="191">
        <f t="shared" si="131"/>
        <v>4</v>
      </c>
      <c r="W866" s="7">
        <f t="shared" si="132"/>
        <v>2024</v>
      </c>
    </row>
    <row r="867" spans="1:23" ht="31.95" customHeight="1" thickBot="1" x14ac:dyDescent="0.35">
      <c r="A867" s="15">
        <f t="shared" si="133"/>
        <v>1</v>
      </c>
      <c r="B867" s="26">
        <v>45407</v>
      </c>
      <c r="C867" s="51">
        <f t="shared" si="139"/>
        <v>863</v>
      </c>
      <c r="D867" s="27" t="s">
        <v>850</v>
      </c>
      <c r="E867" s="26" t="s">
        <v>140</v>
      </c>
      <c r="F867" s="28" t="s">
        <v>11</v>
      </c>
      <c r="G867" s="28" t="s">
        <v>11</v>
      </c>
      <c r="H867" s="254"/>
      <c r="I867" s="49">
        <v>1</v>
      </c>
      <c r="J867" s="49">
        <v>1</v>
      </c>
      <c r="K867" s="52">
        <f t="shared" si="134"/>
        <v>1</v>
      </c>
      <c r="L867" s="209">
        <f t="shared" si="135"/>
        <v>0</v>
      </c>
      <c r="M867" s="210">
        <f t="shared" si="136"/>
        <v>0</v>
      </c>
      <c r="N867" s="26">
        <v>45407</v>
      </c>
      <c r="O867" s="26">
        <v>45407</v>
      </c>
      <c r="P867" s="26">
        <v>45407</v>
      </c>
      <c r="Q867" s="2">
        <f t="shared" si="130"/>
        <v>1</v>
      </c>
      <c r="S867" s="7">
        <f t="shared" si="137"/>
        <v>1</v>
      </c>
      <c r="T867" s="157">
        <f t="shared" si="138"/>
        <v>1</v>
      </c>
      <c r="V867" s="191">
        <f t="shared" si="131"/>
        <v>4</v>
      </c>
      <c r="W867" s="7">
        <f t="shared" si="132"/>
        <v>2024</v>
      </c>
    </row>
    <row r="868" spans="1:23" ht="31.95" customHeight="1" thickBot="1" x14ac:dyDescent="0.35">
      <c r="A868" s="15">
        <f t="shared" si="133"/>
        <v>2</v>
      </c>
      <c r="B868" s="26">
        <v>45411</v>
      </c>
      <c r="C868" s="51">
        <f t="shared" si="139"/>
        <v>864</v>
      </c>
      <c r="D868" s="27" t="s">
        <v>705</v>
      </c>
      <c r="E868" s="26" t="s">
        <v>11</v>
      </c>
      <c r="F868" s="28" t="s">
        <v>11</v>
      </c>
      <c r="G868" s="28" t="s">
        <v>11</v>
      </c>
      <c r="H868" s="254"/>
      <c r="I868" s="49">
        <v>2</v>
      </c>
      <c r="J868" s="49">
        <v>2</v>
      </c>
      <c r="K868" s="52">
        <f t="shared" si="134"/>
        <v>1</v>
      </c>
      <c r="L868" s="209">
        <f t="shared" si="135"/>
        <v>0</v>
      </c>
      <c r="M868" s="210">
        <f t="shared" si="136"/>
        <v>0</v>
      </c>
      <c r="N868" s="26">
        <v>45411</v>
      </c>
      <c r="O868" s="26">
        <v>45411</v>
      </c>
      <c r="P868" s="26">
        <v>45411</v>
      </c>
      <c r="Q868" s="2">
        <f t="shared" si="130"/>
        <v>1</v>
      </c>
      <c r="S868" s="7">
        <f t="shared" si="137"/>
        <v>1</v>
      </c>
      <c r="T868" s="157">
        <f t="shared" si="138"/>
        <v>1</v>
      </c>
      <c r="V868" s="191">
        <f t="shared" si="131"/>
        <v>4</v>
      </c>
      <c r="W868" s="7">
        <f t="shared" si="132"/>
        <v>2024</v>
      </c>
    </row>
    <row r="869" spans="1:23" ht="31.95" customHeight="1" thickBot="1" x14ac:dyDescent="0.35">
      <c r="A869" s="15">
        <f t="shared" si="133"/>
        <v>2</v>
      </c>
      <c r="B869" s="26">
        <v>45411</v>
      </c>
      <c r="C869" s="51">
        <f t="shared" si="139"/>
        <v>865</v>
      </c>
      <c r="D869" s="27" t="s">
        <v>305</v>
      </c>
      <c r="E869" s="26" t="s">
        <v>11</v>
      </c>
      <c r="F869" s="28" t="s">
        <v>11</v>
      </c>
      <c r="G869" s="28" t="s">
        <v>11</v>
      </c>
      <c r="H869" s="254"/>
      <c r="I869" s="49">
        <v>2</v>
      </c>
      <c r="J869" s="49">
        <v>2</v>
      </c>
      <c r="K869" s="52">
        <f t="shared" si="134"/>
        <v>1</v>
      </c>
      <c r="L869" s="209">
        <f t="shared" si="135"/>
        <v>0</v>
      </c>
      <c r="M869" s="210">
        <f t="shared" si="136"/>
        <v>0</v>
      </c>
      <c r="N869" s="26">
        <v>45411</v>
      </c>
      <c r="O869" s="26">
        <v>45411</v>
      </c>
      <c r="P869" s="26">
        <v>45411</v>
      </c>
      <c r="Q869" s="2">
        <f t="shared" si="130"/>
        <v>1</v>
      </c>
      <c r="S869" s="7">
        <f t="shared" si="137"/>
        <v>1</v>
      </c>
      <c r="T869" s="157">
        <f t="shared" si="138"/>
        <v>1</v>
      </c>
      <c r="V869" s="191">
        <f t="shared" si="131"/>
        <v>4</v>
      </c>
      <c r="W869" s="7">
        <f t="shared" si="132"/>
        <v>2024</v>
      </c>
    </row>
    <row r="870" spans="1:23" ht="31.95" customHeight="1" thickBot="1" x14ac:dyDescent="0.35">
      <c r="A870" s="15">
        <f t="shared" si="133"/>
        <v>10</v>
      </c>
      <c r="B870" s="26">
        <v>45411</v>
      </c>
      <c r="C870" s="51">
        <f t="shared" si="139"/>
        <v>866</v>
      </c>
      <c r="D870" s="27" t="s">
        <v>602</v>
      </c>
      <c r="E870" s="26" t="s">
        <v>155</v>
      </c>
      <c r="F870" s="28" t="s">
        <v>11</v>
      </c>
      <c r="G870" s="28" t="s">
        <v>11</v>
      </c>
      <c r="H870" s="254"/>
      <c r="I870" s="49">
        <v>10</v>
      </c>
      <c r="J870" s="49">
        <v>10</v>
      </c>
      <c r="K870" s="52">
        <f t="shared" si="134"/>
        <v>1</v>
      </c>
      <c r="L870" s="209">
        <f t="shared" si="135"/>
        <v>0</v>
      </c>
      <c r="M870" s="210">
        <f t="shared" si="136"/>
        <v>0</v>
      </c>
      <c r="N870" s="26">
        <v>45412</v>
      </c>
      <c r="O870" s="26">
        <v>45412</v>
      </c>
      <c r="P870" s="26">
        <v>45412</v>
      </c>
      <c r="Q870" s="2">
        <f t="shared" si="130"/>
        <v>1</v>
      </c>
      <c r="S870" s="7">
        <f t="shared" si="137"/>
        <v>1</v>
      </c>
      <c r="T870" s="157">
        <f t="shared" si="138"/>
        <v>1</v>
      </c>
      <c r="V870" s="191">
        <f t="shared" si="131"/>
        <v>4</v>
      </c>
      <c r="W870" s="7">
        <f t="shared" si="132"/>
        <v>2024</v>
      </c>
    </row>
    <row r="871" spans="1:23" ht="31.95" customHeight="1" thickBot="1" x14ac:dyDescent="0.35">
      <c r="A871" s="15">
        <f t="shared" si="133"/>
        <v>1</v>
      </c>
      <c r="B871" s="26">
        <v>45411</v>
      </c>
      <c r="C871" s="51">
        <f t="shared" si="139"/>
        <v>867</v>
      </c>
      <c r="D871" s="27" t="s">
        <v>594</v>
      </c>
      <c r="E871" s="26" t="s">
        <v>137</v>
      </c>
      <c r="F871" s="28" t="s">
        <v>11</v>
      </c>
      <c r="G871" s="28" t="s">
        <v>11</v>
      </c>
      <c r="H871" s="254"/>
      <c r="I871" s="49">
        <v>1</v>
      </c>
      <c r="J871" s="49">
        <v>1</v>
      </c>
      <c r="K871" s="52">
        <f t="shared" si="134"/>
        <v>1</v>
      </c>
      <c r="L871" s="209">
        <f t="shared" si="135"/>
        <v>0</v>
      </c>
      <c r="M871" s="210">
        <f t="shared" si="136"/>
        <v>0</v>
      </c>
      <c r="N871" s="26">
        <v>45426</v>
      </c>
      <c r="O871" s="26">
        <v>45426</v>
      </c>
      <c r="P871" s="26">
        <v>45426</v>
      </c>
      <c r="Q871" s="2">
        <f t="shared" si="130"/>
        <v>1</v>
      </c>
      <c r="S871" s="7">
        <f t="shared" si="137"/>
        <v>1</v>
      </c>
      <c r="T871" s="157">
        <f t="shared" si="138"/>
        <v>1</v>
      </c>
      <c r="V871" s="191">
        <f t="shared" si="131"/>
        <v>4</v>
      </c>
      <c r="W871" s="7">
        <f t="shared" si="132"/>
        <v>2024</v>
      </c>
    </row>
    <row r="872" spans="1:23" ht="31.95" customHeight="1" thickBot="1" x14ac:dyDescent="0.35">
      <c r="A872" s="15">
        <f t="shared" si="133"/>
        <v>29</v>
      </c>
      <c r="B872" s="26">
        <v>45411</v>
      </c>
      <c r="C872" s="51">
        <f t="shared" si="139"/>
        <v>868</v>
      </c>
      <c r="D872" s="27" t="s">
        <v>594</v>
      </c>
      <c r="E872" s="26" t="s">
        <v>155</v>
      </c>
      <c r="F872" s="28" t="s">
        <v>11</v>
      </c>
      <c r="G872" s="28" t="s">
        <v>11</v>
      </c>
      <c r="H872" s="254"/>
      <c r="I872" s="49">
        <v>29</v>
      </c>
      <c r="J872" s="49">
        <v>29</v>
      </c>
      <c r="K872" s="52">
        <f t="shared" si="134"/>
        <v>1</v>
      </c>
      <c r="L872" s="209">
        <f t="shared" si="135"/>
        <v>0</v>
      </c>
      <c r="M872" s="210">
        <f t="shared" si="136"/>
        <v>0</v>
      </c>
      <c r="N872" s="26">
        <v>45433</v>
      </c>
      <c r="O872" s="26">
        <v>45433</v>
      </c>
      <c r="P872" s="26">
        <v>45433</v>
      </c>
      <c r="Q872" s="2">
        <f t="shared" si="130"/>
        <v>1</v>
      </c>
      <c r="S872" s="7">
        <f t="shared" si="137"/>
        <v>1</v>
      </c>
      <c r="T872" s="157">
        <f t="shared" si="138"/>
        <v>1</v>
      </c>
      <c r="V872" s="191">
        <f t="shared" si="131"/>
        <v>4</v>
      </c>
      <c r="W872" s="7">
        <f t="shared" si="132"/>
        <v>2024</v>
      </c>
    </row>
    <row r="873" spans="1:23" ht="31.95" customHeight="1" thickBot="1" x14ac:dyDescent="0.35">
      <c r="A873" s="15">
        <f t="shared" si="133"/>
        <v>36</v>
      </c>
      <c r="B873" s="26">
        <v>45411</v>
      </c>
      <c r="C873" s="51">
        <f t="shared" si="139"/>
        <v>869</v>
      </c>
      <c r="D873" s="27" t="s">
        <v>978</v>
      </c>
      <c r="E873" s="26" t="s">
        <v>155</v>
      </c>
      <c r="F873" s="28" t="s">
        <v>11</v>
      </c>
      <c r="G873" s="28" t="s">
        <v>11</v>
      </c>
      <c r="H873" s="254"/>
      <c r="I873" s="49">
        <v>36</v>
      </c>
      <c r="J873" s="49">
        <v>36</v>
      </c>
      <c r="K873" s="52">
        <f t="shared" si="134"/>
        <v>1</v>
      </c>
      <c r="L873" s="209">
        <f t="shared" si="135"/>
        <v>0</v>
      </c>
      <c r="M873" s="210">
        <f t="shared" si="136"/>
        <v>0</v>
      </c>
      <c r="N873" s="26">
        <v>45412</v>
      </c>
      <c r="O873" s="26">
        <v>45412</v>
      </c>
      <c r="P873" s="26">
        <v>45412</v>
      </c>
      <c r="Q873" s="2">
        <f t="shared" si="130"/>
        <v>1</v>
      </c>
      <c r="S873" s="7">
        <f t="shared" si="137"/>
        <v>1</v>
      </c>
      <c r="T873" s="157">
        <f t="shared" si="138"/>
        <v>1</v>
      </c>
      <c r="V873" s="191">
        <f t="shared" si="131"/>
        <v>4</v>
      </c>
      <c r="W873" s="7">
        <f t="shared" si="132"/>
        <v>2024</v>
      </c>
    </row>
    <row r="874" spans="1:23" ht="31.95" customHeight="1" thickBot="1" x14ac:dyDescent="0.35">
      <c r="A874" s="15">
        <f t="shared" si="133"/>
        <v>1</v>
      </c>
      <c r="B874" s="26">
        <v>45411</v>
      </c>
      <c r="C874" s="51">
        <f t="shared" si="139"/>
        <v>870</v>
      </c>
      <c r="D874" s="27" t="s">
        <v>465</v>
      </c>
      <c r="E874" s="26" t="s">
        <v>137</v>
      </c>
      <c r="F874" s="28" t="s">
        <v>11</v>
      </c>
      <c r="G874" s="28" t="s">
        <v>11</v>
      </c>
      <c r="H874" s="254"/>
      <c r="I874" s="49">
        <v>1</v>
      </c>
      <c r="J874" s="49">
        <v>1</v>
      </c>
      <c r="K874" s="52">
        <f t="shared" si="134"/>
        <v>1</v>
      </c>
      <c r="L874" s="209">
        <f t="shared" si="135"/>
        <v>0</v>
      </c>
      <c r="M874" s="210">
        <f t="shared" si="136"/>
        <v>0</v>
      </c>
      <c r="N874" s="26">
        <v>45418</v>
      </c>
      <c r="O874" s="26">
        <v>45418</v>
      </c>
      <c r="P874" s="26">
        <v>45418</v>
      </c>
      <c r="Q874" s="2">
        <f t="shared" si="130"/>
        <v>1</v>
      </c>
      <c r="S874" s="7">
        <f t="shared" si="137"/>
        <v>1</v>
      </c>
      <c r="T874" s="157">
        <f t="shared" si="138"/>
        <v>1</v>
      </c>
      <c r="V874" s="191">
        <f t="shared" si="131"/>
        <v>4</v>
      </c>
      <c r="W874" s="7">
        <f t="shared" si="132"/>
        <v>2024</v>
      </c>
    </row>
    <row r="875" spans="1:23" ht="31.95" customHeight="1" thickBot="1" x14ac:dyDescent="0.35">
      <c r="A875" s="15">
        <f t="shared" si="133"/>
        <v>17</v>
      </c>
      <c r="B875" s="26">
        <v>45411</v>
      </c>
      <c r="C875" s="51">
        <f t="shared" si="139"/>
        <v>871</v>
      </c>
      <c r="D875" s="27" t="s">
        <v>890</v>
      </c>
      <c r="E875" s="26" t="s">
        <v>155</v>
      </c>
      <c r="F875" s="28" t="s">
        <v>11</v>
      </c>
      <c r="G875" s="28" t="s">
        <v>11</v>
      </c>
      <c r="H875" s="254"/>
      <c r="I875" s="49">
        <v>17</v>
      </c>
      <c r="J875" s="49">
        <v>17</v>
      </c>
      <c r="K875" s="52">
        <f t="shared" si="134"/>
        <v>1</v>
      </c>
      <c r="L875" s="209">
        <f t="shared" si="135"/>
        <v>0</v>
      </c>
      <c r="M875" s="210">
        <f t="shared" si="136"/>
        <v>0</v>
      </c>
      <c r="N875" s="26">
        <v>45433</v>
      </c>
      <c r="O875" s="26">
        <v>45433</v>
      </c>
      <c r="P875" s="26">
        <v>45433</v>
      </c>
      <c r="Q875" s="2">
        <f t="shared" si="130"/>
        <v>1</v>
      </c>
      <c r="S875" s="7">
        <f t="shared" si="137"/>
        <v>1</v>
      </c>
      <c r="T875" s="157">
        <f t="shared" si="138"/>
        <v>1</v>
      </c>
      <c r="V875" s="191">
        <f t="shared" si="131"/>
        <v>4</v>
      </c>
      <c r="W875" s="7">
        <f t="shared" si="132"/>
        <v>2024</v>
      </c>
    </row>
    <row r="876" spans="1:23" ht="31.95" customHeight="1" thickBot="1" x14ac:dyDescent="0.35">
      <c r="A876" s="15">
        <f t="shared" si="133"/>
        <v>1</v>
      </c>
      <c r="B876" s="26">
        <v>45412</v>
      </c>
      <c r="C876" s="51">
        <f t="shared" si="139"/>
        <v>872</v>
      </c>
      <c r="D876" s="27" t="s">
        <v>890</v>
      </c>
      <c r="E876" s="26" t="s">
        <v>139</v>
      </c>
      <c r="F876" s="28" t="s">
        <v>11</v>
      </c>
      <c r="G876" s="28" t="s">
        <v>11</v>
      </c>
      <c r="H876" s="254"/>
      <c r="I876" s="49">
        <v>1</v>
      </c>
      <c r="J876" s="49">
        <v>1</v>
      </c>
      <c r="K876" s="52">
        <f t="shared" si="134"/>
        <v>1</v>
      </c>
      <c r="L876" s="209">
        <f t="shared" si="135"/>
        <v>0</v>
      </c>
      <c r="M876" s="210">
        <f t="shared" si="136"/>
        <v>0</v>
      </c>
      <c r="N876" s="26">
        <v>45414</v>
      </c>
      <c r="O876" s="26">
        <v>45414</v>
      </c>
      <c r="P876" s="26">
        <v>45414</v>
      </c>
      <c r="Q876" s="2">
        <f t="shared" si="130"/>
        <v>1</v>
      </c>
      <c r="S876" s="7">
        <f t="shared" si="137"/>
        <v>1</v>
      </c>
      <c r="T876" s="157">
        <f t="shared" si="138"/>
        <v>1</v>
      </c>
      <c r="V876" s="191">
        <f t="shared" si="131"/>
        <v>4</v>
      </c>
      <c r="W876" s="7">
        <f t="shared" si="132"/>
        <v>2024</v>
      </c>
    </row>
    <row r="877" spans="1:23" ht="31.95" customHeight="1" thickBot="1" x14ac:dyDescent="0.35">
      <c r="A877" s="15">
        <f t="shared" si="133"/>
        <v>16</v>
      </c>
      <c r="B877" s="26">
        <v>45412</v>
      </c>
      <c r="C877" s="51">
        <f t="shared" si="139"/>
        <v>873</v>
      </c>
      <c r="D877" s="27"/>
      <c r="E877" s="26" t="s">
        <v>147</v>
      </c>
      <c r="F877" s="28" t="s">
        <v>11</v>
      </c>
      <c r="G877" s="28" t="s">
        <v>11</v>
      </c>
      <c r="H877" s="254"/>
      <c r="I877" s="49">
        <v>16</v>
      </c>
      <c r="J877" s="49">
        <v>16</v>
      </c>
      <c r="K877" s="52">
        <f t="shared" si="134"/>
        <v>1</v>
      </c>
      <c r="L877" s="209">
        <f t="shared" si="135"/>
        <v>0</v>
      </c>
      <c r="M877" s="210">
        <f t="shared" si="136"/>
        <v>0</v>
      </c>
      <c r="N877" s="26">
        <v>45428</v>
      </c>
      <c r="O877" s="26">
        <v>45428</v>
      </c>
      <c r="P877" s="26">
        <v>45428</v>
      </c>
      <c r="Q877" s="2">
        <f t="shared" si="130"/>
        <v>1</v>
      </c>
      <c r="S877" s="7">
        <f t="shared" si="137"/>
        <v>1</v>
      </c>
      <c r="T877" s="157">
        <f t="shared" si="138"/>
        <v>1</v>
      </c>
      <c r="V877" s="191">
        <f t="shared" si="131"/>
        <v>4</v>
      </c>
      <c r="W877" s="7">
        <f t="shared" si="132"/>
        <v>2024</v>
      </c>
    </row>
    <row r="878" spans="1:23" ht="31.95" customHeight="1" thickBot="1" x14ac:dyDescent="0.35">
      <c r="A878" s="15">
        <f t="shared" si="133"/>
        <v>2</v>
      </c>
      <c r="B878" s="26">
        <v>45414</v>
      </c>
      <c r="C878" s="51">
        <f t="shared" si="139"/>
        <v>874</v>
      </c>
      <c r="D878" s="27" t="s">
        <v>524</v>
      </c>
      <c r="E878" s="26" t="s">
        <v>155</v>
      </c>
      <c r="F878" s="28" t="s">
        <v>11</v>
      </c>
      <c r="G878" s="28" t="s">
        <v>11</v>
      </c>
      <c r="H878" s="254"/>
      <c r="I878" s="49">
        <v>2</v>
      </c>
      <c r="J878" s="49">
        <v>2</v>
      </c>
      <c r="K878" s="52">
        <f t="shared" si="134"/>
        <v>1</v>
      </c>
      <c r="L878" s="209">
        <f t="shared" si="135"/>
        <v>0</v>
      </c>
      <c r="M878" s="210">
        <f t="shared" si="136"/>
        <v>0</v>
      </c>
      <c r="N878" s="26">
        <v>45421</v>
      </c>
      <c r="O878" s="26">
        <v>45421</v>
      </c>
      <c r="P878" s="26">
        <v>45421</v>
      </c>
      <c r="Q878" s="2">
        <f t="shared" si="130"/>
        <v>1</v>
      </c>
      <c r="S878" s="7">
        <f t="shared" si="137"/>
        <v>1</v>
      </c>
      <c r="T878" s="157">
        <f t="shared" si="138"/>
        <v>1</v>
      </c>
      <c r="V878" s="191">
        <f t="shared" si="131"/>
        <v>5</v>
      </c>
      <c r="W878" s="7">
        <f t="shared" si="132"/>
        <v>2024</v>
      </c>
    </row>
    <row r="879" spans="1:23" ht="31.95" customHeight="1" thickBot="1" x14ac:dyDescent="0.35">
      <c r="A879" s="15">
        <f t="shared" si="133"/>
        <v>1</v>
      </c>
      <c r="B879" s="26">
        <v>45414</v>
      </c>
      <c r="C879" s="51">
        <f t="shared" si="139"/>
        <v>875</v>
      </c>
      <c r="D879" s="27" t="s">
        <v>475</v>
      </c>
      <c r="E879" s="26" t="s">
        <v>155</v>
      </c>
      <c r="F879" s="28" t="s">
        <v>11</v>
      </c>
      <c r="G879" s="28" t="s">
        <v>11</v>
      </c>
      <c r="H879" s="254"/>
      <c r="I879" s="49">
        <v>1</v>
      </c>
      <c r="J879" s="49">
        <v>1</v>
      </c>
      <c r="K879" s="52">
        <f t="shared" si="134"/>
        <v>1</v>
      </c>
      <c r="L879" s="209">
        <f t="shared" si="135"/>
        <v>0</v>
      </c>
      <c r="M879" s="210">
        <f t="shared" si="136"/>
        <v>0</v>
      </c>
      <c r="N879" s="26">
        <v>45442</v>
      </c>
      <c r="O879" s="26">
        <v>45442</v>
      </c>
      <c r="P879" s="26">
        <v>45442</v>
      </c>
      <c r="Q879" s="2">
        <f t="shared" si="130"/>
        <v>1</v>
      </c>
      <c r="S879" s="7">
        <f t="shared" si="137"/>
        <v>1</v>
      </c>
      <c r="T879" s="157">
        <f t="shared" si="138"/>
        <v>1</v>
      </c>
      <c r="V879" s="191">
        <f t="shared" si="131"/>
        <v>5</v>
      </c>
      <c r="W879" s="7">
        <f t="shared" si="132"/>
        <v>2024</v>
      </c>
    </row>
    <row r="880" spans="1:23" ht="31.95" customHeight="1" thickBot="1" x14ac:dyDescent="0.35">
      <c r="A880" s="15">
        <f t="shared" si="133"/>
        <v>6</v>
      </c>
      <c r="B880" s="26">
        <v>45414</v>
      </c>
      <c r="C880" s="51">
        <f t="shared" si="139"/>
        <v>876</v>
      </c>
      <c r="D880" s="27" t="s">
        <v>915</v>
      </c>
      <c r="E880" s="26" t="s">
        <v>147</v>
      </c>
      <c r="F880" s="28" t="s">
        <v>11</v>
      </c>
      <c r="G880" s="28" t="s">
        <v>11</v>
      </c>
      <c r="H880" s="254"/>
      <c r="I880" s="49">
        <v>6</v>
      </c>
      <c r="J880" s="49">
        <v>6</v>
      </c>
      <c r="K880" s="52">
        <f t="shared" si="134"/>
        <v>1</v>
      </c>
      <c r="L880" s="209">
        <f t="shared" si="135"/>
        <v>0</v>
      </c>
      <c r="M880" s="210">
        <f t="shared" si="136"/>
        <v>0</v>
      </c>
      <c r="N880" s="26">
        <v>45419</v>
      </c>
      <c r="O880" s="26">
        <v>45419</v>
      </c>
      <c r="P880" s="26">
        <v>45419</v>
      </c>
      <c r="Q880" s="2">
        <f t="shared" si="130"/>
        <v>1</v>
      </c>
      <c r="S880" s="7">
        <f t="shared" si="137"/>
        <v>1</v>
      </c>
      <c r="T880" s="157">
        <f t="shared" si="138"/>
        <v>1</v>
      </c>
      <c r="V880" s="191">
        <f t="shared" si="131"/>
        <v>5</v>
      </c>
      <c r="W880" s="7">
        <f t="shared" si="132"/>
        <v>2024</v>
      </c>
    </row>
    <row r="881" spans="1:23" ht="31.95" customHeight="1" thickBot="1" x14ac:dyDescent="0.35">
      <c r="A881" s="15">
        <f t="shared" si="133"/>
        <v>6</v>
      </c>
      <c r="B881" s="26">
        <v>45414</v>
      </c>
      <c r="C881" s="51">
        <f t="shared" si="139"/>
        <v>877</v>
      </c>
      <c r="D881" s="27" t="s">
        <v>305</v>
      </c>
      <c r="E881" s="26" t="s">
        <v>147</v>
      </c>
      <c r="F881" s="28" t="s">
        <v>11</v>
      </c>
      <c r="G881" s="28" t="s">
        <v>11</v>
      </c>
      <c r="H881" s="254"/>
      <c r="I881" s="49">
        <v>6</v>
      </c>
      <c r="J881" s="49">
        <v>6</v>
      </c>
      <c r="K881" s="52">
        <f t="shared" si="134"/>
        <v>1</v>
      </c>
      <c r="L881" s="209">
        <f t="shared" si="135"/>
        <v>0</v>
      </c>
      <c r="M881" s="210">
        <f t="shared" si="136"/>
        <v>0</v>
      </c>
      <c r="N881" s="26">
        <v>45415</v>
      </c>
      <c r="O881" s="26">
        <v>45415</v>
      </c>
      <c r="P881" s="26">
        <v>45415</v>
      </c>
      <c r="Q881" s="2">
        <f t="shared" si="130"/>
        <v>1</v>
      </c>
      <c r="S881" s="7">
        <f t="shared" si="137"/>
        <v>1</v>
      </c>
      <c r="T881" s="157">
        <f t="shared" si="138"/>
        <v>1</v>
      </c>
      <c r="V881" s="191">
        <f t="shared" si="131"/>
        <v>5</v>
      </c>
      <c r="W881" s="7">
        <f t="shared" si="132"/>
        <v>2024</v>
      </c>
    </row>
    <row r="882" spans="1:23" ht="31.95" customHeight="1" thickBot="1" x14ac:dyDescent="0.35">
      <c r="A882" s="15">
        <f t="shared" si="133"/>
        <v>1</v>
      </c>
      <c r="B882" s="26">
        <v>45414</v>
      </c>
      <c r="C882" s="51">
        <f t="shared" si="139"/>
        <v>878</v>
      </c>
      <c r="D882" s="27" t="s">
        <v>1150</v>
      </c>
      <c r="E882" s="26" t="s">
        <v>147</v>
      </c>
      <c r="F882" s="28" t="s">
        <v>11</v>
      </c>
      <c r="G882" s="28" t="s">
        <v>11</v>
      </c>
      <c r="H882" s="254"/>
      <c r="I882" s="49">
        <v>1</v>
      </c>
      <c r="J882" s="49">
        <v>1</v>
      </c>
      <c r="K882" s="52">
        <f t="shared" si="134"/>
        <v>1</v>
      </c>
      <c r="L882" s="209">
        <f t="shared" si="135"/>
        <v>0</v>
      </c>
      <c r="M882" s="210">
        <f t="shared" si="136"/>
        <v>0</v>
      </c>
      <c r="N882" s="26">
        <v>45415</v>
      </c>
      <c r="O882" s="26">
        <v>45415</v>
      </c>
      <c r="P882" s="26">
        <v>45415</v>
      </c>
      <c r="Q882" s="2">
        <f t="shared" si="130"/>
        <v>1</v>
      </c>
      <c r="S882" s="7">
        <f t="shared" si="137"/>
        <v>1</v>
      </c>
      <c r="T882" s="157">
        <f t="shared" si="138"/>
        <v>1</v>
      </c>
      <c r="V882" s="191">
        <f t="shared" si="131"/>
        <v>5</v>
      </c>
      <c r="W882" s="7">
        <f t="shared" si="132"/>
        <v>2024</v>
      </c>
    </row>
    <row r="883" spans="1:23" ht="31.95" customHeight="1" thickBot="1" x14ac:dyDescent="0.35">
      <c r="A883" s="15">
        <f t="shared" si="133"/>
        <v>1</v>
      </c>
      <c r="B883" s="26">
        <v>45414</v>
      </c>
      <c r="C883" s="51">
        <f t="shared" si="139"/>
        <v>879</v>
      </c>
      <c r="D883" s="27" t="s">
        <v>858</v>
      </c>
      <c r="E883" s="26" t="s">
        <v>11</v>
      </c>
      <c r="F883" s="28" t="s">
        <v>11</v>
      </c>
      <c r="G883" s="28" t="s">
        <v>11</v>
      </c>
      <c r="H883" s="254"/>
      <c r="I883" s="49">
        <v>1</v>
      </c>
      <c r="J883" s="49">
        <v>1</v>
      </c>
      <c r="K883" s="52">
        <f t="shared" si="134"/>
        <v>1</v>
      </c>
      <c r="L883" s="209">
        <f t="shared" si="135"/>
        <v>0</v>
      </c>
      <c r="M883" s="210">
        <f t="shared" si="136"/>
        <v>0</v>
      </c>
      <c r="N883" s="26">
        <v>45414</v>
      </c>
      <c r="O883" s="26">
        <v>45414</v>
      </c>
      <c r="P883" s="26">
        <v>45414</v>
      </c>
      <c r="Q883" s="2">
        <f t="shared" si="130"/>
        <v>1</v>
      </c>
      <c r="S883" s="7">
        <f t="shared" si="137"/>
        <v>1</v>
      </c>
      <c r="T883" s="157">
        <f t="shared" si="138"/>
        <v>1</v>
      </c>
      <c r="V883" s="191">
        <f t="shared" si="131"/>
        <v>5</v>
      </c>
      <c r="W883" s="7">
        <f t="shared" si="132"/>
        <v>2024</v>
      </c>
    </row>
    <row r="884" spans="1:23" ht="31.95" customHeight="1" thickBot="1" x14ac:dyDescent="0.35">
      <c r="A884" s="15">
        <f t="shared" si="133"/>
        <v>2</v>
      </c>
      <c r="B884" s="26">
        <v>45414</v>
      </c>
      <c r="C884" s="51">
        <f t="shared" si="139"/>
        <v>880</v>
      </c>
      <c r="D884" s="27" t="s">
        <v>305</v>
      </c>
      <c r="E884" s="26" t="s">
        <v>11</v>
      </c>
      <c r="F884" s="28" t="s">
        <v>11</v>
      </c>
      <c r="G884" s="28" t="s">
        <v>11</v>
      </c>
      <c r="H884" s="254"/>
      <c r="I884" s="49">
        <v>2</v>
      </c>
      <c r="J884" s="49">
        <v>2</v>
      </c>
      <c r="K884" s="52">
        <f t="shared" si="134"/>
        <v>1</v>
      </c>
      <c r="L884" s="209">
        <f t="shared" si="135"/>
        <v>0</v>
      </c>
      <c r="M884" s="210">
        <f t="shared" si="136"/>
        <v>0</v>
      </c>
      <c r="N884" s="26">
        <v>45414</v>
      </c>
      <c r="O884" s="26">
        <v>45414</v>
      </c>
      <c r="P884" s="26">
        <v>45414</v>
      </c>
      <c r="Q884" s="2">
        <f t="shared" si="130"/>
        <v>1</v>
      </c>
      <c r="S884" s="7">
        <f t="shared" si="137"/>
        <v>1</v>
      </c>
      <c r="T884" s="157">
        <f t="shared" si="138"/>
        <v>1</v>
      </c>
      <c r="V884" s="191">
        <f t="shared" si="131"/>
        <v>5</v>
      </c>
      <c r="W884" s="7">
        <f t="shared" si="132"/>
        <v>2024</v>
      </c>
    </row>
    <row r="885" spans="1:23" ht="31.95" customHeight="1" thickBot="1" x14ac:dyDescent="0.35">
      <c r="A885" s="15">
        <f t="shared" si="133"/>
        <v>6</v>
      </c>
      <c r="B885" s="26">
        <v>45414</v>
      </c>
      <c r="C885" s="51">
        <f t="shared" si="139"/>
        <v>881</v>
      </c>
      <c r="D885" s="27" t="s">
        <v>427</v>
      </c>
      <c r="E885" s="26" t="s">
        <v>147</v>
      </c>
      <c r="F885" s="28" t="s">
        <v>11</v>
      </c>
      <c r="G885" s="28" t="s">
        <v>11</v>
      </c>
      <c r="H885" s="254"/>
      <c r="I885" s="49">
        <v>6</v>
      </c>
      <c r="J885" s="49">
        <v>6</v>
      </c>
      <c r="K885" s="52">
        <f t="shared" si="134"/>
        <v>1</v>
      </c>
      <c r="L885" s="209">
        <f t="shared" si="135"/>
        <v>0</v>
      </c>
      <c r="M885" s="210">
        <f t="shared" si="136"/>
        <v>0</v>
      </c>
      <c r="N885" s="26">
        <v>45420</v>
      </c>
      <c r="O885" s="26">
        <v>45420</v>
      </c>
      <c r="P885" s="26">
        <v>45420</v>
      </c>
      <c r="Q885" s="2">
        <f t="shared" si="130"/>
        <v>1</v>
      </c>
      <c r="S885" s="7">
        <f t="shared" si="137"/>
        <v>1</v>
      </c>
      <c r="T885" s="157">
        <f t="shared" si="138"/>
        <v>1</v>
      </c>
      <c r="V885" s="191">
        <f t="shared" si="131"/>
        <v>5</v>
      </c>
      <c r="W885" s="7">
        <f t="shared" si="132"/>
        <v>2024</v>
      </c>
    </row>
    <row r="886" spans="1:23" ht="31.95" customHeight="1" thickBot="1" x14ac:dyDescent="0.35">
      <c r="A886" s="15">
        <f t="shared" si="133"/>
        <v>24</v>
      </c>
      <c r="B886" s="26">
        <v>45415</v>
      </c>
      <c r="C886" s="51">
        <f t="shared" si="139"/>
        <v>882</v>
      </c>
      <c r="D886" s="27" t="s">
        <v>524</v>
      </c>
      <c r="E886" s="26" t="s">
        <v>141</v>
      </c>
      <c r="F886" s="28" t="s">
        <v>11</v>
      </c>
      <c r="G886" s="28" t="s">
        <v>11</v>
      </c>
      <c r="H886" s="254"/>
      <c r="I886" s="49">
        <v>24</v>
      </c>
      <c r="J886" s="49">
        <v>24</v>
      </c>
      <c r="K886" s="52">
        <f t="shared" si="134"/>
        <v>1</v>
      </c>
      <c r="L886" s="209">
        <f t="shared" si="135"/>
        <v>0</v>
      </c>
      <c r="M886" s="210">
        <f t="shared" si="136"/>
        <v>0</v>
      </c>
      <c r="N886" s="26">
        <v>45418</v>
      </c>
      <c r="O886" s="26">
        <v>45418</v>
      </c>
      <c r="P886" s="26">
        <v>45418</v>
      </c>
      <c r="Q886" s="2">
        <f t="shared" si="130"/>
        <v>1</v>
      </c>
      <c r="S886" s="7">
        <f t="shared" si="137"/>
        <v>1</v>
      </c>
      <c r="T886" s="157">
        <f t="shared" si="138"/>
        <v>1</v>
      </c>
      <c r="V886" s="191">
        <f t="shared" si="131"/>
        <v>5</v>
      </c>
      <c r="W886" s="7">
        <f t="shared" si="132"/>
        <v>2024</v>
      </c>
    </row>
    <row r="887" spans="1:23" ht="31.95" customHeight="1" thickBot="1" x14ac:dyDescent="0.35">
      <c r="A887" s="15">
        <f t="shared" si="133"/>
        <v>10</v>
      </c>
      <c r="B887" s="26">
        <v>45415</v>
      </c>
      <c r="C887" s="51">
        <f t="shared" si="139"/>
        <v>883</v>
      </c>
      <c r="D887" s="27" t="s">
        <v>890</v>
      </c>
      <c r="E887" s="26" t="s">
        <v>141</v>
      </c>
      <c r="F887" s="28" t="s">
        <v>11</v>
      </c>
      <c r="G887" s="28" t="s">
        <v>11</v>
      </c>
      <c r="H887" s="254"/>
      <c r="I887" s="49">
        <v>10</v>
      </c>
      <c r="J887" s="49">
        <v>10</v>
      </c>
      <c r="K887" s="52">
        <f t="shared" si="134"/>
        <v>1</v>
      </c>
      <c r="L887" s="209">
        <f t="shared" si="135"/>
        <v>0</v>
      </c>
      <c r="M887" s="210">
        <f t="shared" si="136"/>
        <v>0</v>
      </c>
      <c r="N887" s="26">
        <v>45443</v>
      </c>
      <c r="O887" s="26">
        <v>45443</v>
      </c>
      <c r="P887" s="26">
        <v>45443</v>
      </c>
      <c r="Q887" s="2">
        <f t="shared" si="130"/>
        <v>1</v>
      </c>
      <c r="S887" s="7">
        <f t="shared" si="137"/>
        <v>1</v>
      </c>
      <c r="T887" s="157">
        <f t="shared" si="138"/>
        <v>1</v>
      </c>
      <c r="V887" s="191">
        <f t="shared" si="131"/>
        <v>5</v>
      </c>
      <c r="W887" s="7">
        <f t="shared" si="132"/>
        <v>2024</v>
      </c>
    </row>
    <row r="888" spans="1:23" ht="31.95" customHeight="1" thickBot="1" x14ac:dyDescent="0.35">
      <c r="A888" s="15">
        <f t="shared" si="133"/>
        <v>7</v>
      </c>
      <c r="B888" s="26">
        <v>45415</v>
      </c>
      <c r="C888" s="51">
        <f t="shared" si="139"/>
        <v>884</v>
      </c>
      <c r="D888" s="27" t="s">
        <v>602</v>
      </c>
      <c r="E888" s="26" t="s">
        <v>141</v>
      </c>
      <c r="F888" s="28" t="s">
        <v>11</v>
      </c>
      <c r="G888" s="28" t="s">
        <v>11</v>
      </c>
      <c r="H888" s="254"/>
      <c r="I888" s="49">
        <v>7</v>
      </c>
      <c r="J888" s="49">
        <v>7</v>
      </c>
      <c r="K888" s="52">
        <f t="shared" si="134"/>
        <v>1</v>
      </c>
      <c r="L888" s="209">
        <f t="shared" si="135"/>
        <v>0</v>
      </c>
      <c r="M888" s="210">
        <f t="shared" si="136"/>
        <v>0</v>
      </c>
      <c r="N888" s="26">
        <v>45419</v>
      </c>
      <c r="O888" s="26">
        <v>45419</v>
      </c>
      <c r="P888" s="26">
        <v>45419</v>
      </c>
      <c r="Q888" s="2">
        <f t="shared" si="130"/>
        <v>1</v>
      </c>
      <c r="S888" s="7">
        <f t="shared" si="137"/>
        <v>1</v>
      </c>
      <c r="T888" s="157">
        <f t="shared" si="138"/>
        <v>1</v>
      </c>
      <c r="V888" s="191">
        <f t="shared" si="131"/>
        <v>5</v>
      </c>
      <c r="W888" s="7">
        <f t="shared" si="132"/>
        <v>2024</v>
      </c>
    </row>
    <row r="889" spans="1:23" ht="31.95" customHeight="1" thickBot="1" x14ac:dyDescent="0.35">
      <c r="A889" s="15">
        <f t="shared" si="133"/>
        <v>15</v>
      </c>
      <c r="B889" s="26">
        <v>45415</v>
      </c>
      <c r="C889" s="51">
        <f t="shared" si="139"/>
        <v>885</v>
      </c>
      <c r="D889" s="27" t="s">
        <v>594</v>
      </c>
      <c r="E889" s="26" t="s">
        <v>141</v>
      </c>
      <c r="F889" s="28" t="s">
        <v>11</v>
      </c>
      <c r="G889" s="28" t="s">
        <v>11</v>
      </c>
      <c r="H889" s="254"/>
      <c r="I889" s="49">
        <v>15</v>
      </c>
      <c r="J889" s="49">
        <v>15</v>
      </c>
      <c r="K889" s="52">
        <f t="shared" si="134"/>
        <v>1</v>
      </c>
      <c r="L889" s="209">
        <f t="shared" si="135"/>
        <v>0</v>
      </c>
      <c r="M889" s="210">
        <f t="shared" si="136"/>
        <v>0</v>
      </c>
      <c r="N889" s="26">
        <v>45430</v>
      </c>
      <c r="O889" s="26">
        <v>45430</v>
      </c>
      <c r="P889" s="26">
        <v>45430</v>
      </c>
      <c r="Q889" s="2">
        <f t="shared" si="130"/>
        <v>1</v>
      </c>
      <c r="S889" s="7">
        <f t="shared" si="137"/>
        <v>1</v>
      </c>
      <c r="T889" s="157">
        <f t="shared" si="138"/>
        <v>1</v>
      </c>
      <c r="V889" s="191">
        <f t="shared" si="131"/>
        <v>5</v>
      </c>
      <c r="W889" s="7">
        <f t="shared" si="132"/>
        <v>2024</v>
      </c>
    </row>
    <row r="890" spans="1:23" ht="31.95" customHeight="1" thickBot="1" x14ac:dyDescent="0.35">
      <c r="A890" s="15">
        <f t="shared" si="133"/>
        <v>1</v>
      </c>
      <c r="B890" s="26">
        <v>45415</v>
      </c>
      <c r="C890" s="51">
        <f t="shared" si="139"/>
        <v>886</v>
      </c>
      <c r="D890" s="27" t="s">
        <v>564</v>
      </c>
      <c r="E890" s="26" t="s">
        <v>137</v>
      </c>
      <c r="F890" s="28" t="s">
        <v>11</v>
      </c>
      <c r="G890" s="28" t="s">
        <v>11</v>
      </c>
      <c r="H890" s="254"/>
      <c r="I890" s="49">
        <v>1</v>
      </c>
      <c r="J890" s="49">
        <v>1</v>
      </c>
      <c r="K890" s="52">
        <f t="shared" si="134"/>
        <v>1</v>
      </c>
      <c r="L890" s="209">
        <f t="shared" si="135"/>
        <v>0</v>
      </c>
      <c r="M890" s="210">
        <f t="shared" si="136"/>
        <v>0</v>
      </c>
      <c r="N890" s="26">
        <v>45416</v>
      </c>
      <c r="O890" s="26">
        <v>45416</v>
      </c>
      <c r="P890" s="26">
        <v>45416</v>
      </c>
      <c r="Q890" s="2">
        <f t="shared" si="130"/>
        <v>1</v>
      </c>
      <c r="S890" s="7">
        <f t="shared" si="137"/>
        <v>1</v>
      </c>
      <c r="T890" s="157">
        <f t="shared" si="138"/>
        <v>1</v>
      </c>
      <c r="V890" s="191">
        <f t="shared" si="131"/>
        <v>5</v>
      </c>
      <c r="W890" s="7">
        <f t="shared" si="132"/>
        <v>2024</v>
      </c>
    </row>
    <row r="891" spans="1:23" ht="31.95" customHeight="1" thickBot="1" x14ac:dyDescent="0.35">
      <c r="A891" s="15">
        <f t="shared" si="133"/>
        <v>5</v>
      </c>
      <c r="B891" s="26">
        <v>45415</v>
      </c>
      <c r="C891" s="51">
        <f t="shared" si="139"/>
        <v>887</v>
      </c>
      <c r="D891" s="27" t="s">
        <v>524</v>
      </c>
      <c r="E891" s="26" t="s">
        <v>140</v>
      </c>
      <c r="F891" s="28" t="s">
        <v>11</v>
      </c>
      <c r="G891" s="28" t="s">
        <v>11</v>
      </c>
      <c r="H891" s="254"/>
      <c r="I891" s="49">
        <v>5</v>
      </c>
      <c r="J891" s="49">
        <v>5</v>
      </c>
      <c r="K891" s="52">
        <f t="shared" si="134"/>
        <v>1</v>
      </c>
      <c r="L891" s="209">
        <f t="shared" si="135"/>
        <v>0</v>
      </c>
      <c r="M891" s="210">
        <f t="shared" si="136"/>
        <v>0</v>
      </c>
      <c r="N891" s="26">
        <v>45415</v>
      </c>
      <c r="O891" s="26">
        <v>45415</v>
      </c>
      <c r="P891" s="26">
        <v>45415</v>
      </c>
      <c r="Q891" s="2">
        <f t="shared" si="130"/>
        <v>1</v>
      </c>
      <c r="S891" s="7">
        <f t="shared" si="137"/>
        <v>1</v>
      </c>
      <c r="T891" s="157">
        <f t="shared" si="138"/>
        <v>1</v>
      </c>
      <c r="V891" s="191">
        <f t="shared" si="131"/>
        <v>5</v>
      </c>
      <c r="W891" s="7">
        <f t="shared" si="132"/>
        <v>2024</v>
      </c>
    </row>
    <row r="892" spans="1:23" ht="31.95" customHeight="1" thickBot="1" x14ac:dyDescent="0.35">
      <c r="A892" s="15">
        <f t="shared" si="133"/>
        <v>2</v>
      </c>
      <c r="B892" s="26">
        <v>45415</v>
      </c>
      <c r="C892" s="51">
        <f t="shared" si="139"/>
        <v>888</v>
      </c>
      <c r="D892" s="27" t="s">
        <v>652</v>
      </c>
      <c r="E892" s="26" t="s">
        <v>141</v>
      </c>
      <c r="F892" s="28" t="s">
        <v>11</v>
      </c>
      <c r="G892" s="28" t="s">
        <v>11</v>
      </c>
      <c r="H892" s="254"/>
      <c r="I892" s="49">
        <v>2</v>
      </c>
      <c r="J892" s="49">
        <v>2</v>
      </c>
      <c r="K892" s="52">
        <f t="shared" si="134"/>
        <v>1</v>
      </c>
      <c r="L892" s="209">
        <f t="shared" si="135"/>
        <v>0</v>
      </c>
      <c r="M892" s="210">
        <f t="shared" si="136"/>
        <v>0</v>
      </c>
      <c r="N892" s="26">
        <v>45418</v>
      </c>
      <c r="O892" s="26">
        <v>45418</v>
      </c>
      <c r="P892" s="26">
        <v>45418</v>
      </c>
      <c r="Q892" s="2">
        <f t="shared" si="130"/>
        <v>1</v>
      </c>
      <c r="S892" s="7">
        <f t="shared" si="137"/>
        <v>1</v>
      </c>
      <c r="T892" s="157">
        <f t="shared" si="138"/>
        <v>1</v>
      </c>
      <c r="V892" s="191">
        <f t="shared" si="131"/>
        <v>5</v>
      </c>
      <c r="W892" s="7">
        <f t="shared" si="132"/>
        <v>2024</v>
      </c>
    </row>
    <row r="893" spans="1:23" ht="31.95" customHeight="1" thickBot="1" x14ac:dyDescent="0.35">
      <c r="A893" s="15">
        <f t="shared" si="133"/>
        <v>1</v>
      </c>
      <c r="B893" s="26">
        <v>45419</v>
      </c>
      <c r="C893" s="51">
        <f t="shared" si="139"/>
        <v>889</v>
      </c>
      <c r="D893" s="27" t="s">
        <v>488</v>
      </c>
      <c r="E893" s="26" t="s">
        <v>137</v>
      </c>
      <c r="F893" s="28" t="s">
        <v>11</v>
      </c>
      <c r="G893" s="28" t="s">
        <v>11</v>
      </c>
      <c r="H893" s="254"/>
      <c r="I893" s="49">
        <v>1</v>
      </c>
      <c r="J893" s="49">
        <v>1</v>
      </c>
      <c r="K893" s="52">
        <f t="shared" si="134"/>
        <v>1</v>
      </c>
      <c r="L893" s="209">
        <f t="shared" si="135"/>
        <v>0</v>
      </c>
      <c r="M893" s="210">
        <f t="shared" si="136"/>
        <v>0</v>
      </c>
      <c r="N893" s="26">
        <v>45421</v>
      </c>
      <c r="O893" s="26">
        <v>45421</v>
      </c>
      <c r="P893" s="26">
        <v>45421</v>
      </c>
      <c r="Q893" s="2">
        <f t="shared" si="130"/>
        <v>1</v>
      </c>
      <c r="S893" s="7">
        <f t="shared" si="137"/>
        <v>1</v>
      </c>
      <c r="T893" s="157">
        <f t="shared" si="138"/>
        <v>1</v>
      </c>
      <c r="V893" s="191">
        <f t="shared" si="131"/>
        <v>5</v>
      </c>
      <c r="W893" s="7">
        <f t="shared" si="132"/>
        <v>2024</v>
      </c>
    </row>
    <row r="894" spans="1:23" ht="31.95" customHeight="1" thickBot="1" x14ac:dyDescent="0.35">
      <c r="A894" s="15">
        <f t="shared" si="133"/>
        <v>1</v>
      </c>
      <c r="B894" s="26">
        <v>45419</v>
      </c>
      <c r="C894" s="51">
        <f t="shared" si="139"/>
        <v>890</v>
      </c>
      <c r="D894" s="27" t="s">
        <v>978</v>
      </c>
      <c r="E894" s="26" t="s">
        <v>155</v>
      </c>
      <c r="F894" s="28" t="s">
        <v>11</v>
      </c>
      <c r="G894" s="28" t="s">
        <v>11</v>
      </c>
      <c r="H894" s="254"/>
      <c r="I894" s="49">
        <v>1</v>
      </c>
      <c r="J894" s="49">
        <v>1</v>
      </c>
      <c r="K894" s="52">
        <f t="shared" si="134"/>
        <v>1</v>
      </c>
      <c r="L894" s="209">
        <f t="shared" si="135"/>
        <v>0</v>
      </c>
      <c r="M894" s="210">
        <f t="shared" si="136"/>
        <v>0</v>
      </c>
      <c r="N894" s="26">
        <v>45420</v>
      </c>
      <c r="O894" s="26">
        <v>45420</v>
      </c>
      <c r="P894" s="26">
        <v>45420</v>
      </c>
      <c r="Q894" s="2">
        <f t="shared" si="130"/>
        <v>1</v>
      </c>
      <c r="S894" s="7">
        <f t="shared" si="137"/>
        <v>1</v>
      </c>
      <c r="T894" s="157">
        <f t="shared" si="138"/>
        <v>1</v>
      </c>
      <c r="V894" s="191">
        <f t="shared" si="131"/>
        <v>5</v>
      </c>
      <c r="W894" s="7">
        <f t="shared" si="132"/>
        <v>2024</v>
      </c>
    </row>
    <row r="895" spans="1:23" ht="31.95" customHeight="1" thickBot="1" x14ac:dyDescent="0.35">
      <c r="A895" s="15">
        <f t="shared" si="133"/>
        <v>1</v>
      </c>
      <c r="B895" s="26">
        <v>45419</v>
      </c>
      <c r="C895" s="51">
        <f t="shared" si="139"/>
        <v>891</v>
      </c>
      <c r="D895" s="27" t="s">
        <v>401</v>
      </c>
      <c r="E895" s="26" t="s">
        <v>11</v>
      </c>
      <c r="F895" s="28" t="s">
        <v>11</v>
      </c>
      <c r="G895" s="28" t="s">
        <v>11</v>
      </c>
      <c r="H895" s="254"/>
      <c r="I895" s="49">
        <v>1</v>
      </c>
      <c r="J895" s="49">
        <v>1</v>
      </c>
      <c r="K895" s="52">
        <f t="shared" si="134"/>
        <v>1</v>
      </c>
      <c r="L895" s="209">
        <f t="shared" si="135"/>
        <v>0</v>
      </c>
      <c r="M895" s="210">
        <f t="shared" si="136"/>
        <v>0</v>
      </c>
      <c r="N895" s="26">
        <v>45419</v>
      </c>
      <c r="O895" s="26">
        <v>45419</v>
      </c>
      <c r="P895" s="26">
        <v>45419</v>
      </c>
      <c r="Q895" s="2">
        <f t="shared" si="130"/>
        <v>1</v>
      </c>
      <c r="S895" s="7">
        <f t="shared" si="137"/>
        <v>1</v>
      </c>
      <c r="T895" s="157">
        <f t="shared" si="138"/>
        <v>1</v>
      </c>
      <c r="V895" s="191">
        <f t="shared" si="131"/>
        <v>5</v>
      </c>
      <c r="W895" s="7">
        <f t="shared" si="132"/>
        <v>2024</v>
      </c>
    </row>
    <row r="896" spans="1:23" ht="31.95" customHeight="1" thickBot="1" x14ac:dyDescent="0.35">
      <c r="A896" s="15">
        <f t="shared" si="133"/>
        <v>1</v>
      </c>
      <c r="B896" s="26">
        <v>45420</v>
      </c>
      <c r="C896" s="51">
        <f t="shared" si="139"/>
        <v>892</v>
      </c>
      <c r="D896" s="27" t="s">
        <v>1054</v>
      </c>
      <c r="E896" s="26" t="s">
        <v>141</v>
      </c>
      <c r="F896" s="28" t="s">
        <v>11</v>
      </c>
      <c r="G896" s="28" t="s">
        <v>11</v>
      </c>
      <c r="H896" s="254"/>
      <c r="I896" s="49">
        <v>1</v>
      </c>
      <c r="J896" s="49">
        <v>1</v>
      </c>
      <c r="K896" s="52">
        <f t="shared" si="134"/>
        <v>1</v>
      </c>
      <c r="L896" s="209">
        <f t="shared" si="135"/>
        <v>0</v>
      </c>
      <c r="M896" s="210">
        <f t="shared" si="136"/>
        <v>0</v>
      </c>
      <c r="N896" s="26">
        <v>45421</v>
      </c>
      <c r="O896" s="26">
        <v>45421</v>
      </c>
      <c r="P896" s="26">
        <v>45421</v>
      </c>
      <c r="Q896" s="2">
        <f t="shared" si="130"/>
        <v>1</v>
      </c>
      <c r="S896" s="7">
        <f t="shared" si="137"/>
        <v>1</v>
      </c>
      <c r="T896" s="157">
        <f t="shared" si="138"/>
        <v>1</v>
      </c>
      <c r="V896" s="191">
        <f t="shared" si="131"/>
        <v>5</v>
      </c>
      <c r="W896" s="7">
        <f t="shared" si="132"/>
        <v>2024</v>
      </c>
    </row>
    <row r="897" spans="1:23" ht="31.95" customHeight="1" thickBot="1" x14ac:dyDescent="0.35">
      <c r="A897" s="15">
        <f t="shared" si="133"/>
        <v>2</v>
      </c>
      <c r="B897" s="26">
        <v>45420</v>
      </c>
      <c r="C897" s="51">
        <f t="shared" si="139"/>
        <v>893</v>
      </c>
      <c r="D897" s="27" t="s">
        <v>705</v>
      </c>
      <c r="E897" s="26" t="s">
        <v>11</v>
      </c>
      <c r="F897" s="28" t="s">
        <v>11</v>
      </c>
      <c r="G897" s="28" t="s">
        <v>11</v>
      </c>
      <c r="H897" s="254"/>
      <c r="I897" s="49">
        <v>2</v>
      </c>
      <c r="J897" s="49">
        <v>2</v>
      </c>
      <c r="K897" s="52">
        <f t="shared" si="134"/>
        <v>1</v>
      </c>
      <c r="L897" s="209">
        <f t="shared" si="135"/>
        <v>0</v>
      </c>
      <c r="M897" s="210">
        <f t="shared" si="136"/>
        <v>0</v>
      </c>
      <c r="N897" s="26">
        <v>45420</v>
      </c>
      <c r="O897" s="26">
        <v>45420</v>
      </c>
      <c r="P897" s="26">
        <v>45420</v>
      </c>
      <c r="Q897" s="2">
        <f t="shared" si="130"/>
        <v>1</v>
      </c>
      <c r="S897" s="7">
        <f t="shared" si="137"/>
        <v>1</v>
      </c>
      <c r="T897" s="157">
        <f t="shared" si="138"/>
        <v>1</v>
      </c>
      <c r="V897" s="191">
        <f t="shared" si="131"/>
        <v>5</v>
      </c>
      <c r="W897" s="7">
        <f t="shared" si="132"/>
        <v>2024</v>
      </c>
    </row>
    <row r="898" spans="1:23" ht="31.95" customHeight="1" thickBot="1" x14ac:dyDescent="0.35">
      <c r="A898" s="15">
        <f t="shared" si="133"/>
        <v>6</v>
      </c>
      <c r="B898" s="26">
        <v>45420</v>
      </c>
      <c r="C898" s="51">
        <f t="shared" si="139"/>
        <v>894</v>
      </c>
      <c r="D898" s="27" t="s">
        <v>305</v>
      </c>
      <c r="E898" s="26" t="s">
        <v>11</v>
      </c>
      <c r="F898" s="28" t="s">
        <v>11</v>
      </c>
      <c r="G898" s="28" t="s">
        <v>11</v>
      </c>
      <c r="H898" s="254"/>
      <c r="I898" s="49">
        <v>6</v>
      </c>
      <c r="J898" s="49">
        <v>6</v>
      </c>
      <c r="K898" s="52">
        <f t="shared" si="134"/>
        <v>1</v>
      </c>
      <c r="L898" s="209">
        <f t="shared" si="135"/>
        <v>0</v>
      </c>
      <c r="M898" s="210">
        <f t="shared" si="136"/>
        <v>0</v>
      </c>
      <c r="N898" s="26">
        <v>45420</v>
      </c>
      <c r="O898" s="26">
        <v>45420</v>
      </c>
      <c r="P898" s="26">
        <v>45420</v>
      </c>
      <c r="Q898" s="2">
        <f t="shared" si="130"/>
        <v>1</v>
      </c>
      <c r="S898" s="7">
        <f t="shared" si="137"/>
        <v>1</v>
      </c>
      <c r="T898" s="157">
        <f t="shared" si="138"/>
        <v>1</v>
      </c>
      <c r="V898" s="191">
        <f t="shared" si="131"/>
        <v>5</v>
      </c>
      <c r="W898" s="7">
        <f t="shared" si="132"/>
        <v>2024</v>
      </c>
    </row>
    <row r="899" spans="1:23" ht="31.95" customHeight="1" thickBot="1" x14ac:dyDescent="0.35">
      <c r="A899" s="15">
        <f t="shared" si="133"/>
        <v>2</v>
      </c>
      <c r="B899" s="26">
        <v>45420</v>
      </c>
      <c r="C899" s="51">
        <f t="shared" si="139"/>
        <v>895</v>
      </c>
      <c r="D899" s="27" t="s">
        <v>858</v>
      </c>
      <c r="E899" s="26" t="s">
        <v>11</v>
      </c>
      <c r="F899" s="28" t="s">
        <v>11</v>
      </c>
      <c r="G899" s="28" t="s">
        <v>11</v>
      </c>
      <c r="H899" s="254"/>
      <c r="I899" s="49">
        <v>2</v>
      </c>
      <c r="J899" s="49">
        <v>2</v>
      </c>
      <c r="K899" s="52">
        <f t="shared" si="134"/>
        <v>1</v>
      </c>
      <c r="L899" s="209">
        <f t="shared" si="135"/>
        <v>0</v>
      </c>
      <c r="M899" s="210">
        <f t="shared" si="136"/>
        <v>0</v>
      </c>
      <c r="N899" s="26">
        <v>45420</v>
      </c>
      <c r="O899" s="26">
        <v>45420</v>
      </c>
      <c r="P899" s="26">
        <v>45420</v>
      </c>
      <c r="Q899" s="2">
        <f t="shared" si="130"/>
        <v>1</v>
      </c>
      <c r="S899" s="7">
        <f t="shared" si="137"/>
        <v>1</v>
      </c>
      <c r="T899" s="157">
        <f t="shared" si="138"/>
        <v>1</v>
      </c>
      <c r="V899" s="191">
        <f t="shared" si="131"/>
        <v>5</v>
      </c>
      <c r="W899" s="7">
        <f t="shared" si="132"/>
        <v>2024</v>
      </c>
    </row>
    <row r="900" spans="1:23" ht="31.95" customHeight="1" thickBot="1" x14ac:dyDescent="0.35">
      <c r="A900" s="15">
        <f t="shared" si="133"/>
        <v>1</v>
      </c>
      <c r="B900" s="26">
        <v>45420</v>
      </c>
      <c r="C900" s="51">
        <f t="shared" si="139"/>
        <v>896</v>
      </c>
      <c r="D900" s="27" t="s">
        <v>1034</v>
      </c>
      <c r="E900" s="26" t="s">
        <v>156</v>
      </c>
      <c r="F900" s="28" t="s">
        <v>11</v>
      </c>
      <c r="G900" s="28" t="s">
        <v>11</v>
      </c>
      <c r="H900" s="254"/>
      <c r="I900" s="49">
        <v>1</v>
      </c>
      <c r="J900" s="49">
        <v>1</v>
      </c>
      <c r="K900" s="52">
        <f t="shared" si="134"/>
        <v>1</v>
      </c>
      <c r="L900" s="209">
        <f t="shared" si="135"/>
        <v>0</v>
      </c>
      <c r="M900" s="210">
        <f t="shared" si="136"/>
        <v>0</v>
      </c>
      <c r="N900" s="26">
        <v>45421</v>
      </c>
      <c r="O900" s="26">
        <v>45421</v>
      </c>
      <c r="P900" s="26">
        <v>45421</v>
      </c>
      <c r="Q900" s="2">
        <f t="shared" si="130"/>
        <v>1</v>
      </c>
      <c r="S900" s="7">
        <f t="shared" si="137"/>
        <v>1</v>
      </c>
      <c r="T900" s="157">
        <f t="shared" si="138"/>
        <v>1</v>
      </c>
      <c r="V900" s="191">
        <f t="shared" si="131"/>
        <v>5</v>
      </c>
      <c r="W900" s="7">
        <f t="shared" si="132"/>
        <v>2024</v>
      </c>
    </row>
    <row r="901" spans="1:23" ht="31.95" customHeight="1" thickBot="1" x14ac:dyDescent="0.35">
      <c r="A901" s="15">
        <f t="shared" si="133"/>
        <v>1</v>
      </c>
      <c r="B901" s="26">
        <v>45420</v>
      </c>
      <c r="C901" s="51">
        <f t="shared" si="139"/>
        <v>897</v>
      </c>
      <c r="D901" s="27" t="s">
        <v>858</v>
      </c>
      <c r="E901" s="26" t="s">
        <v>156</v>
      </c>
      <c r="F901" s="28" t="s">
        <v>11</v>
      </c>
      <c r="G901" s="28" t="s">
        <v>11</v>
      </c>
      <c r="H901" s="254"/>
      <c r="I901" s="49">
        <v>1</v>
      </c>
      <c r="J901" s="49">
        <v>1</v>
      </c>
      <c r="K901" s="52">
        <f t="shared" si="134"/>
        <v>1</v>
      </c>
      <c r="L901" s="209">
        <f t="shared" si="135"/>
        <v>0</v>
      </c>
      <c r="M901" s="210">
        <f t="shared" si="136"/>
        <v>0</v>
      </c>
      <c r="N901" s="26">
        <v>45421</v>
      </c>
      <c r="O901" s="26">
        <v>45421</v>
      </c>
      <c r="P901" s="26">
        <v>45421</v>
      </c>
      <c r="Q901" s="2">
        <f t="shared" ref="Q901:Q964" si="140">IF(B901&lt;&gt;"",1,0)</f>
        <v>1</v>
      </c>
      <c r="S901" s="7">
        <f t="shared" si="137"/>
        <v>1</v>
      </c>
      <c r="T901" s="157">
        <f t="shared" si="138"/>
        <v>1</v>
      </c>
      <c r="V901" s="191">
        <f t="shared" ref="V901:V964" si="141">MONTH(B901)</f>
        <v>5</v>
      </c>
      <c r="W901" s="7">
        <f t="shared" ref="W901:W964" si="142">YEAR(B901)</f>
        <v>2024</v>
      </c>
    </row>
    <row r="902" spans="1:23" ht="31.95" customHeight="1" thickBot="1" x14ac:dyDescent="0.35">
      <c r="A902" s="15">
        <f t="shared" ref="A902:A965" si="143">J902</f>
        <v>5</v>
      </c>
      <c r="B902" s="26">
        <v>45420</v>
      </c>
      <c r="C902" s="51">
        <f t="shared" si="139"/>
        <v>898</v>
      </c>
      <c r="D902" s="27" t="s">
        <v>305</v>
      </c>
      <c r="E902" s="26" t="s">
        <v>156</v>
      </c>
      <c r="F902" s="28" t="s">
        <v>11</v>
      </c>
      <c r="G902" s="28" t="s">
        <v>11</v>
      </c>
      <c r="H902" s="254"/>
      <c r="I902" s="49">
        <v>5</v>
      </c>
      <c r="J902" s="49">
        <v>5</v>
      </c>
      <c r="K902" s="52">
        <f t="shared" ref="K902:K965" si="144">IFERROR(J902/I902,"")</f>
        <v>1</v>
      </c>
      <c r="L902" s="209">
        <f t="shared" ref="L902:L965" si="145">IF(I902="","",I902-J902)</f>
        <v>0</v>
      </c>
      <c r="M902" s="210">
        <f t="shared" ref="M902:M965" si="146">IFERROR(1-K902,"")</f>
        <v>0</v>
      </c>
      <c r="N902" s="26">
        <v>45421</v>
      </c>
      <c r="O902" s="26">
        <v>45421</v>
      </c>
      <c r="P902" s="26">
        <v>45421</v>
      </c>
      <c r="Q902" s="2">
        <f t="shared" si="140"/>
        <v>1</v>
      </c>
      <c r="S902" s="7">
        <f t="shared" ref="S902:S965" si="147">IF(AND(O902&lt;=N902,O902&lt;&gt;""),1,0)</f>
        <v>1</v>
      </c>
      <c r="T902" s="157">
        <f t="shared" ref="T902:T965" si="148">IF(AND(P902&lt;=N902,P902&lt;&gt;""),1,0)</f>
        <v>1</v>
      </c>
      <c r="V902" s="191">
        <f t="shared" si="141"/>
        <v>5</v>
      </c>
      <c r="W902" s="7">
        <f t="shared" si="142"/>
        <v>2024</v>
      </c>
    </row>
    <row r="903" spans="1:23" ht="31.95" customHeight="1" thickBot="1" x14ac:dyDescent="0.35">
      <c r="A903" s="15">
        <f t="shared" si="143"/>
        <v>8</v>
      </c>
      <c r="B903" s="26">
        <v>45420</v>
      </c>
      <c r="C903" s="51">
        <f t="shared" ref="C903:C966" si="149">IF(B903&lt;&gt;"",C902+1,"")</f>
        <v>899</v>
      </c>
      <c r="D903" s="27" t="s">
        <v>722</v>
      </c>
      <c r="E903" s="26" t="s">
        <v>155</v>
      </c>
      <c r="F903" s="28" t="s">
        <v>11</v>
      </c>
      <c r="G903" s="28" t="s">
        <v>11</v>
      </c>
      <c r="H903" s="254"/>
      <c r="I903" s="49">
        <v>8</v>
      </c>
      <c r="J903" s="49">
        <v>8</v>
      </c>
      <c r="K903" s="52">
        <f t="shared" si="144"/>
        <v>1</v>
      </c>
      <c r="L903" s="209">
        <f t="shared" si="145"/>
        <v>0</v>
      </c>
      <c r="M903" s="210">
        <f t="shared" si="146"/>
        <v>0</v>
      </c>
      <c r="N903" s="26">
        <v>45429</v>
      </c>
      <c r="O903" s="26">
        <v>45429</v>
      </c>
      <c r="P903" s="26">
        <v>45429</v>
      </c>
      <c r="Q903" s="2">
        <f t="shared" si="140"/>
        <v>1</v>
      </c>
      <c r="S903" s="7">
        <f t="shared" si="147"/>
        <v>1</v>
      </c>
      <c r="T903" s="157">
        <f t="shared" si="148"/>
        <v>1</v>
      </c>
      <c r="V903" s="191">
        <f t="shared" si="141"/>
        <v>5</v>
      </c>
      <c r="W903" s="7">
        <f t="shared" si="142"/>
        <v>2024</v>
      </c>
    </row>
    <row r="904" spans="1:23" ht="31.95" customHeight="1" thickBot="1" x14ac:dyDescent="0.35">
      <c r="A904" s="15">
        <f t="shared" si="143"/>
        <v>3</v>
      </c>
      <c r="B904" s="26">
        <v>45421</v>
      </c>
      <c r="C904" s="51">
        <f t="shared" si="149"/>
        <v>900</v>
      </c>
      <c r="D904" s="27" t="s">
        <v>305</v>
      </c>
      <c r="E904" s="26" t="s">
        <v>11</v>
      </c>
      <c r="F904" s="28" t="s">
        <v>11</v>
      </c>
      <c r="G904" s="28" t="s">
        <v>11</v>
      </c>
      <c r="H904" s="254"/>
      <c r="I904" s="49">
        <v>3</v>
      </c>
      <c r="J904" s="49">
        <v>3</v>
      </c>
      <c r="K904" s="52">
        <f t="shared" si="144"/>
        <v>1</v>
      </c>
      <c r="L904" s="209">
        <f t="shared" si="145"/>
        <v>0</v>
      </c>
      <c r="M904" s="210">
        <f t="shared" si="146"/>
        <v>0</v>
      </c>
      <c r="N904" s="26">
        <v>45421</v>
      </c>
      <c r="O904" s="26">
        <v>45421</v>
      </c>
      <c r="P904" s="26">
        <v>45421</v>
      </c>
      <c r="Q904" s="2">
        <f t="shared" si="140"/>
        <v>1</v>
      </c>
      <c r="S904" s="7">
        <f t="shared" si="147"/>
        <v>1</v>
      </c>
      <c r="T904" s="157">
        <f t="shared" si="148"/>
        <v>1</v>
      </c>
      <c r="V904" s="191">
        <f t="shared" si="141"/>
        <v>5</v>
      </c>
      <c r="W904" s="7">
        <f t="shared" si="142"/>
        <v>2024</v>
      </c>
    </row>
    <row r="905" spans="1:23" ht="31.95" customHeight="1" thickBot="1" x14ac:dyDescent="0.35">
      <c r="A905" s="15">
        <f t="shared" si="143"/>
        <v>2</v>
      </c>
      <c r="B905" s="26">
        <v>45421</v>
      </c>
      <c r="C905" s="51">
        <f t="shared" si="149"/>
        <v>901</v>
      </c>
      <c r="D905" s="27" t="s">
        <v>705</v>
      </c>
      <c r="E905" s="26" t="s">
        <v>11</v>
      </c>
      <c r="F905" s="28" t="s">
        <v>11</v>
      </c>
      <c r="G905" s="28" t="s">
        <v>11</v>
      </c>
      <c r="H905" s="254"/>
      <c r="I905" s="49">
        <v>2</v>
      </c>
      <c r="J905" s="49">
        <v>2</v>
      </c>
      <c r="K905" s="52">
        <f t="shared" si="144"/>
        <v>1</v>
      </c>
      <c r="L905" s="209">
        <f t="shared" si="145"/>
        <v>0</v>
      </c>
      <c r="M905" s="210">
        <f t="shared" si="146"/>
        <v>0</v>
      </c>
      <c r="N905" s="26">
        <v>45421</v>
      </c>
      <c r="O905" s="26">
        <v>45421</v>
      </c>
      <c r="P905" s="26">
        <v>45421</v>
      </c>
      <c r="Q905" s="2">
        <f t="shared" si="140"/>
        <v>1</v>
      </c>
      <c r="S905" s="7">
        <f t="shared" si="147"/>
        <v>1</v>
      </c>
      <c r="T905" s="157">
        <f t="shared" si="148"/>
        <v>1</v>
      </c>
      <c r="V905" s="191">
        <f t="shared" si="141"/>
        <v>5</v>
      </c>
      <c r="W905" s="7">
        <f t="shared" si="142"/>
        <v>2024</v>
      </c>
    </row>
    <row r="906" spans="1:23" ht="31.95" customHeight="1" thickBot="1" x14ac:dyDescent="0.35">
      <c r="A906" s="15">
        <f t="shared" si="143"/>
        <v>2</v>
      </c>
      <c r="B906" s="26">
        <v>45422</v>
      </c>
      <c r="C906" s="51">
        <f t="shared" si="149"/>
        <v>902</v>
      </c>
      <c r="D906" s="27" t="s">
        <v>953</v>
      </c>
      <c r="E906" s="26" t="s">
        <v>166</v>
      </c>
      <c r="F906" s="28" t="s">
        <v>11</v>
      </c>
      <c r="G906" s="28" t="s">
        <v>11</v>
      </c>
      <c r="H906" s="254"/>
      <c r="I906" s="49">
        <v>2</v>
      </c>
      <c r="J906" s="49">
        <v>2</v>
      </c>
      <c r="K906" s="52">
        <f t="shared" si="144"/>
        <v>1</v>
      </c>
      <c r="L906" s="209">
        <f t="shared" si="145"/>
        <v>0</v>
      </c>
      <c r="M906" s="210">
        <f t="shared" si="146"/>
        <v>0</v>
      </c>
      <c r="N906" s="26">
        <v>45425</v>
      </c>
      <c r="O906" s="26">
        <v>45425</v>
      </c>
      <c r="P906" s="26">
        <v>45425</v>
      </c>
      <c r="Q906" s="2">
        <f t="shared" si="140"/>
        <v>1</v>
      </c>
      <c r="S906" s="7">
        <f t="shared" si="147"/>
        <v>1</v>
      </c>
      <c r="T906" s="157">
        <f t="shared" si="148"/>
        <v>1</v>
      </c>
      <c r="V906" s="191">
        <f t="shared" si="141"/>
        <v>5</v>
      </c>
      <c r="W906" s="7">
        <f t="shared" si="142"/>
        <v>2024</v>
      </c>
    </row>
    <row r="907" spans="1:23" ht="31.95" customHeight="1" thickBot="1" x14ac:dyDescent="0.35">
      <c r="A907" s="15">
        <f t="shared" si="143"/>
        <v>8</v>
      </c>
      <c r="B907" s="26">
        <v>45426</v>
      </c>
      <c r="C907" s="51">
        <f t="shared" si="149"/>
        <v>903</v>
      </c>
      <c r="D907" s="27" t="s">
        <v>524</v>
      </c>
      <c r="E907" s="26" t="s">
        <v>149</v>
      </c>
      <c r="F907" s="28" t="s">
        <v>11</v>
      </c>
      <c r="G907" s="28" t="s">
        <v>11</v>
      </c>
      <c r="H907" s="254"/>
      <c r="I907" s="49">
        <v>8</v>
      </c>
      <c r="J907" s="49">
        <v>8</v>
      </c>
      <c r="K907" s="52">
        <f t="shared" si="144"/>
        <v>1</v>
      </c>
      <c r="L907" s="209">
        <f t="shared" si="145"/>
        <v>0</v>
      </c>
      <c r="M907" s="210">
        <f t="shared" si="146"/>
        <v>0</v>
      </c>
      <c r="N907" s="26">
        <v>45433</v>
      </c>
      <c r="O907" s="26">
        <v>45433</v>
      </c>
      <c r="P907" s="26">
        <v>45433</v>
      </c>
      <c r="Q907" s="2">
        <f t="shared" si="140"/>
        <v>1</v>
      </c>
      <c r="S907" s="7">
        <f t="shared" si="147"/>
        <v>1</v>
      </c>
      <c r="T907" s="157">
        <f t="shared" si="148"/>
        <v>1</v>
      </c>
      <c r="V907" s="191">
        <f t="shared" si="141"/>
        <v>5</v>
      </c>
      <c r="W907" s="7">
        <f t="shared" si="142"/>
        <v>2024</v>
      </c>
    </row>
    <row r="908" spans="1:23" ht="31.95" customHeight="1" thickBot="1" x14ac:dyDescent="0.35">
      <c r="A908" s="15">
        <f t="shared" si="143"/>
        <v>5</v>
      </c>
      <c r="B908" s="26">
        <v>45426</v>
      </c>
      <c r="C908" s="51">
        <f t="shared" si="149"/>
        <v>904</v>
      </c>
      <c r="D908" s="27" t="s">
        <v>890</v>
      </c>
      <c r="E908" s="26" t="s">
        <v>149</v>
      </c>
      <c r="F908" s="28" t="s">
        <v>11</v>
      </c>
      <c r="G908" s="28" t="s">
        <v>11</v>
      </c>
      <c r="H908" s="254"/>
      <c r="I908" s="49">
        <v>5</v>
      </c>
      <c r="J908" s="49">
        <v>5</v>
      </c>
      <c r="K908" s="52">
        <f t="shared" si="144"/>
        <v>1</v>
      </c>
      <c r="L908" s="209">
        <f t="shared" si="145"/>
        <v>0</v>
      </c>
      <c r="M908" s="210">
        <f t="shared" si="146"/>
        <v>0</v>
      </c>
      <c r="N908" s="26">
        <v>45447</v>
      </c>
      <c r="O908" s="26">
        <v>45447</v>
      </c>
      <c r="P908" s="26">
        <v>45447</v>
      </c>
      <c r="Q908" s="2">
        <f t="shared" si="140"/>
        <v>1</v>
      </c>
      <c r="S908" s="7">
        <f t="shared" si="147"/>
        <v>1</v>
      </c>
      <c r="T908" s="157">
        <f t="shared" si="148"/>
        <v>1</v>
      </c>
      <c r="V908" s="191">
        <f t="shared" si="141"/>
        <v>5</v>
      </c>
      <c r="W908" s="7">
        <f t="shared" si="142"/>
        <v>2024</v>
      </c>
    </row>
    <row r="909" spans="1:23" ht="31.95" customHeight="1" thickBot="1" x14ac:dyDescent="0.35">
      <c r="A909" s="15">
        <f t="shared" si="143"/>
        <v>8</v>
      </c>
      <c r="B909" s="26">
        <v>45426</v>
      </c>
      <c r="C909" s="51">
        <f t="shared" si="149"/>
        <v>905</v>
      </c>
      <c r="D909" s="27" t="s">
        <v>488</v>
      </c>
      <c r="E909" s="26" t="s">
        <v>149</v>
      </c>
      <c r="F909" s="28" t="s">
        <v>11</v>
      </c>
      <c r="G909" s="28" t="s">
        <v>11</v>
      </c>
      <c r="H909" s="254"/>
      <c r="I909" s="49">
        <v>8</v>
      </c>
      <c r="J909" s="49">
        <v>8</v>
      </c>
      <c r="K909" s="52">
        <f t="shared" si="144"/>
        <v>1</v>
      </c>
      <c r="L909" s="209">
        <f t="shared" si="145"/>
        <v>0</v>
      </c>
      <c r="M909" s="210">
        <f t="shared" si="146"/>
        <v>0</v>
      </c>
      <c r="N909" s="26">
        <v>45433</v>
      </c>
      <c r="O909" s="26">
        <v>45433</v>
      </c>
      <c r="P909" s="26">
        <v>45433</v>
      </c>
      <c r="Q909" s="2">
        <f t="shared" si="140"/>
        <v>1</v>
      </c>
      <c r="S909" s="7">
        <f t="shared" si="147"/>
        <v>1</v>
      </c>
      <c r="T909" s="157">
        <f t="shared" si="148"/>
        <v>1</v>
      </c>
      <c r="V909" s="191">
        <f t="shared" si="141"/>
        <v>5</v>
      </c>
      <c r="W909" s="7">
        <f t="shared" si="142"/>
        <v>2024</v>
      </c>
    </row>
    <row r="910" spans="1:23" ht="31.95" customHeight="1" thickBot="1" x14ac:dyDescent="0.35">
      <c r="A910" s="15">
        <f t="shared" si="143"/>
        <v>4</v>
      </c>
      <c r="B910" s="26">
        <v>45426</v>
      </c>
      <c r="C910" s="51">
        <f t="shared" si="149"/>
        <v>906</v>
      </c>
      <c r="D910" s="27" t="s">
        <v>524</v>
      </c>
      <c r="E910" s="26" t="s">
        <v>145</v>
      </c>
      <c r="F910" s="28" t="s">
        <v>11</v>
      </c>
      <c r="G910" s="28" t="s">
        <v>11</v>
      </c>
      <c r="H910" s="254"/>
      <c r="I910" s="49">
        <v>4</v>
      </c>
      <c r="J910" s="49">
        <v>4</v>
      </c>
      <c r="K910" s="52">
        <f t="shared" si="144"/>
        <v>1</v>
      </c>
      <c r="L910" s="209">
        <f t="shared" si="145"/>
        <v>0</v>
      </c>
      <c r="M910" s="210">
        <f t="shared" si="146"/>
        <v>0</v>
      </c>
      <c r="N910" s="26">
        <v>45399</v>
      </c>
      <c r="O910" s="26">
        <v>45399</v>
      </c>
      <c r="P910" s="26">
        <v>45399</v>
      </c>
      <c r="Q910" s="2">
        <f t="shared" si="140"/>
        <v>1</v>
      </c>
      <c r="S910" s="7">
        <f t="shared" si="147"/>
        <v>1</v>
      </c>
      <c r="T910" s="157">
        <f t="shared" si="148"/>
        <v>1</v>
      </c>
      <c r="V910" s="191">
        <f t="shared" si="141"/>
        <v>5</v>
      </c>
      <c r="W910" s="7">
        <f t="shared" si="142"/>
        <v>2024</v>
      </c>
    </row>
    <row r="911" spans="1:23" ht="31.95" customHeight="1" thickBot="1" x14ac:dyDescent="0.35">
      <c r="A911" s="15">
        <f t="shared" si="143"/>
        <v>2</v>
      </c>
      <c r="B911" s="26">
        <v>45426</v>
      </c>
      <c r="C911" s="51">
        <f t="shared" si="149"/>
        <v>907</v>
      </c>
      <c r="D911" s="27" t="s">
        <v>890</v>
      </c>
      <c r="E911" s="26" t="s">
        <v>145</v>
      </c>
      <c r="F911" s="28" t="s">
        <v>11</v>
      </c>
      <c r="G911" s="28" t="s">
        <v>11</v>
      </c>
      <c r="H911" s="254"/>
      <c r="I911" s="49">
        <v>2</v>
      </c>
      <c r="J911" s="49">
        <v>2</v>
      </c>
      <c r="K911" s="52">
        <f t="shared" si="144"/>
        <v>1</v>
      </c>
      <c r="L911" s="209">
        <f t="shared" si="145"/>
        <v>0</v>
      </c>
      <c r="M911" s="210">
        <f t="shared" si="146"/>
        <v>0</v>
      </c>
      <c r="N911" s="26">
        <v>45447</v>
      </c>
      <c r="O911" s="26">
        <v>45447</v>
      </c>
      <c r="P911" s="26">
        <v>45447</v>
      </c>
      <c r="Q911" s="2">
        <f t="shared" si="140"/>
        <v>1</v>
      </c>
      <c r="S911" s="7">
        <f t="shared" si="147"/>
        <v>1</v>
      </c>
      <c r="T911" s="157">
        <f t="shared" si="148"/>
        <v>1</v>
      </c>
      <c r="V911" s="191">
        <f t="shared" si="141"/>
        <v>5</v>
      </c>
      <c r="W911" s="7">
        <f t="shared" si="142"/>
        <v>2024</v>
      </c>
    </row>
    <row r="912" spans="1:23" ht="31.95" customHeight="1" thickBot="1" x14ac:dyDescent="0.35">
      <c r="A912" s="15">
        <f t="shared" si="143"/>
        <v>6</v>
      </c>
      <c r="B912" s="26">
        <v>45426</v>
      </c>
      <c r="C912" s="51">
        <f t="shared" si="149"/>
        <v>908</v>
      </c>
      <c r="D912" s="27" t="s">
        <v>594</v>
      </c>
      <c r="E912" s="26" t="s">
        <v>145</v>
      </c>
      <c r="F912" s="28" t="s">
        <v>11</v>
      </c>
      <c r="G912" s="28" t="s">
        <v>11</v>
      </c>
      <c r="H912" s="254"/>
      <c r="I912" s="49">
        <v>6</v>
      </c>
      <c r="J912" s="49">
        <v>6</v>
      </c>
      <c r="K912" s="52">
        <f t="shared" si="144"/>
        <v>1</v>
      </c>
      <c r="L912" s="209">
        <f t="shared" si="145"/>
        <v>0</v>
      </c>
      <c r="M912" s="210">
        <f t="shared" si="146"/>
        <v>0</v>
      </c>
      <c r="N912" s="26">
        <v>45440</v>
      </c>
      <c r="O912" s="26">
        <v>45440</v>
      </c>
      <c r="P912" s="26">
        <v>45440</v>
      </c>
      <c r="Q912" s="2">
        <f t="shared" si="140"/>
        <v>1</v>
      </c>
      <c r="S912" s="7">
        <f t="shared" si="147"/>
        <v>1</v>
      </c>
      <c r="T912" s="157">
        <f t="shared" si="148"/>
        <v>1</v>
      </c>
      <c r="V912" s="191">
        <f t="shared" si="141"/>
        <v>5</v>
      </c>
      <c r="W912" s="7">
        <f t="shared" si="142"/>
        <v>2024</v>
      </c>
    </row>
    <row r="913" spans="1:23" ht="31.95" customHeight="1" thickBot="1" x14ac:dyDescent="0.35">
      <c r="A913" s="15">
        <f t="shared" si="143"/>
        <v>3</v>
      </c>
      <c r="B913" s="26">
        <v>45426</v>
      </c>
      <c r="C913" s="51">
        <f t="shared" si="149"/>
        <v>909</v>
      </c>
      <c r="D913" s="27" t="s">
        <v>890</v>
      </c>
      <c r="E913" s="26" t="s">
        <v>158</v>
      </c>
      <c r="F913" s="28" t="s">
        <v>11</v>
      </c>
      <c r="G913" s="28" t="s">
        <v>11</v>
      </c>
      <c r="H913" s="254"/>
      <c r="I913" s="49">
        <v>3</v>
      </c>
      <c r="J913" s="49">
        <v>3</v>
      </c>
      <c r="K913" s="52">
        <f t="shared" si="144"/>
        <v>1</v>
      </c>
      <c r="L913" s="209">
        <f t="shared" si="145"/>
        <v>0</v>
      </c>
      <c r="M913" s="210">
        <f t="shared" si="146"/>
        <v>0</v>
      </c>
      <c r="N913" s="26">
        <v>45447</v>
      </c>
      <c r="O913" s="26">
        <v>45447</v>
      </c>
      <c r="P913" s="26">
        <v>45447</v>
      </c>
      <c r="Q913" s="2">
        <f t="shared" si="140"/>
        <v>1</v>
      </c>
      <c r="S913" s="7">
        <f t="shared" si="147"/>
        <v>1</v>
      </c>
      <c r="T913" s="157">
        <f t="shared" si="148"/>
        <v>1</v>
      </c>
      <c r="V913" s="191">
        <f t="shared" si="141"/>
        <v>5</v>
      </c>
      <c r="W913" s="7">
        <f t="shared" si="142"/>
        <v>2024</v>
      </c>
    </row>
    <row r="914" spans="1:23" ht="31.95" customHeight="1" thickBot="1" x14ac:dyDescent="0.35">
      <c r="A914" s="15">
        <f t="shared" si="143"/>
        <v>4</v>
      </c>
      <c r="B914" s="26">
        <v>45426</v>
      </c>
      <c r="C914" s="51">
        <f t="shared" si="149"/>
        <v>910</v>
      </c>
      <c r="D914" s="27" t="s">
        <v>594</v>
      </c>
      <c r="E914" s="26" t="s">
        <v>158</v>
      </c>
      <c r="F914" s="28" t="s">
        <v>11</v>
      </c>
      <c r="G914" s="28" t="s">
        <v>11</v>
      </c>
      <c r="H914" s="254"/>
      <c r="I914" s="49">
        <v>4</v>
      </c>
      <c r="J914" s="49">
        <v>4</v>
      </c>
      <c r="K914" s="52">
        <f t="shared" si="144"/>
        <v>1</v>
      </c>
      <c r="L914" s="209">
        <f t="shared" si="145"/>
        <v>0</v>
      </c>
      <c r="M914" s="210">
        <f t="shared" si="146"/>
        <v>0</v>
      </c>
      <c r="N914" s="26">
        <v>45440</v>
      </c>
      <c r="O914" s="26">
        <v>45440</v>
      </c>
      <c r="P914" s="26">
        <v>45440</v>
      </c>
      <c r="Q914" s="2">
        <f t="shared" si="140"/>
        <v>1</v>
      </c>
      <c r="S914" s="7">
        <f t="shared" si="147"/>
        <v>1</v>
      </c>
      <c r="T914" s="157">
        <f t="shared" si="148"/>
        <v>1</v>
      </c>
      <c r="V914" s="191">
        <f t="shared" si="141"/>
        <v>5</v>
      </c>
      <c r="W914" s="7">
        <f t="shared" si="142"/>
        <v>2024</v>
      </c>
    </row>
    <row r="915" spans="1:23" ht="31.95" customHeight="1" thickBot="1" x14ac:dyDescent="0.35">
      <c r="A915" s="15">
        <f t="shared" si="143"/>
        <v>4</v>
      </c>
      <c r="B915" s="26">
        <v>45426</v>
      </c>
      <c r="C915" s="51">
        <f t="shared" si="149"/>
        <v>911</v>
      </c>
      <c r="D915" s="27" t="s">
        <v>594</v>
      </c>
      <c r="E915" s="26" t="s">
        <v>163</v>
      </c>
      <c r="F915" s="28" t="s">
        <v>11</v>
      </c>
      <c r="G915" s="28" t="s">
        <v>11</v>
      </c>
      <c r="H915" s="254"/>
      <c r="I915" s="49">
        <v>4</v>
      </c>
      <c r="J915" s="49">
        <v>4</v>
      </c>
      <c r="K915" s="52">
        <f t="shared" si="144"/>
        <v>1</v>
      </c>
      <c r="L915" s="209">
        <f t="shared" si="145"/>
        <v>0</v>
      </c>
      <c r="M915" s="210">
        <f t="shared" si="146"/>
        <v>0</v>
      </c>
      <c r="N915" s="26">
        <v>45440</v>
      </c>
      <c r="O915" s="26">
        <v>45440</v>
      </c>
      <c r="P915" s="26">
        <v>45440</v>
      </c>
      <c r="Q915" s="2">
        <f t="shared" si="140"/>
        <v>1</v>
      </c>
      <c r="S915" s="7">
        <f t="shared" si="147"/>
        <v>1</v>
      </c>
      <c r="T915" s="157">
        <f t="shared" si="148"/>
        <v>1</v>
      </c>
      <c r="V915" s="191">
        <f t="shared" si="141"/>
        <v>5</v>
      </c>
      <c r="W915" s="7">
        <f t="shared" si="142"/>
        <v>2024</v>
      </c>
    </row>
    <row r="916" spans="1:23" ht="31.95" customHeight="1" thickBot="1" x14ac:dyDescent="0.35">
      <c r="A916" s="15">
        <f t="shared" si="143"/>
        <v>3</v>
      </c>
      <c r="B916" s="26">
        <v>45426</v>
      </c>
      <c r="C916" s="51">
        <f t="shared" si="149"/>
        <v>912</v>
      </c>
      <c r="D916" s="27" t="s">
        <v>890</v>
      </c>
      <c r="E916" s="26" t="s">
        <v>163</v>
      </c>
      <c r="F916" s="28" t="s">
        <v>11</v>
      </c>
      <c r="G916" s="28" t="s">
        <v>11</v>
      </c>
      <c r="H916" s="254"/>
      <c r="I916" s="49">
        <v>3</v>
      </c>
      <c r="J916" s="49">
        <v>3</v>
      </c>
      <c r="K916" s="52">
        <f t="shared" si="144"/>
        <v>1</v>
      </c>
      <c r="L916" s="209">
        <f t="shared" si="145"/>
        <v>0</v>
      </c>
      <c r="M916" s="210">
        <f t="shared" si="146"/>
        <v>0</v>
      </c>
      <c r="N916" s="26">
        <v>45447</v>
      </c>
      <c r="O916" s="26">
        <v>45447</v>
      </c>
      <c r="P916" s="26">
        <v>45447</v>
      </c>
      <c r="Q916" s="2">
        <f t="shared" si="140"/>
        <v>1</v>
      </c>
      <c r="S916" s="7">
        <f t="shared" si="147"/>
        <v>1</v>
      </c>
      <c r="T916" s="157">
        <f t="shared" si="148"/>
        <v>1</v>
      </c>
      <c r="V916" s="191">
        <f t="shared" si="141"/>
        <v>5</v>
      </c>
      <c r="W916" s="7">
        <f t="shared" si="142"/>
        <v>2024</v>
      </c>
    </row>
    <row r="917" spans="1:23" ht="31.95" customHeight="1" thickBot="1" x14ac:dyDescent="0.35">
      <c r="A917" s="15">
        <f t="shared" si="143"/>
        <v>3</v>
      </c>
      <c r="B917" s="26">
        <v>45426</v>
      </c>
      <c r="C917" s="51">
        <f t="shared" si="149"/>
        <v>913</v>
      </c>
      <c r="D917" s="27" t="s">
        <v>890</v>
      </c>
      <c r="E917" s="26" t="s">
        <v>159</v>
      </c>
      <c r="F917" s="28" t="s">
        <v>11</v>
      </c>
      <c r="G917" s="28" t="s">
        <v>11</v>
      </c>
      <c r="H917" s="254"/>
      <c r="I917" s="49">
        <v>3</v>
      </c>
      <c r="J917" s="49">
        <v>3</v>
      </c>
      <c r="K917" s="52">
        <f t="shared" si="144"/>
        <v>1</v>
      </c>
      <c r="L917" s="209">
        <f t="shared" si="145"/>
        <v>0</v>
      </c>
      <c r="M917" s="210">
        <f t="shared" si="146"/>
        <v>0</v>
      </c>
      <c r="N917" s="26">
        <v>45447</v>
      </c>
      <c r="O917" s="26">
        <v>45447</v>
      </c>
      <c r="P917" s="26">
        <v>45447</v>
      </c>
      <c r="Q917" s="2">
        <f t="shared" si="140"/>
        <v>1</v>
      </c>
      <c r="S917" s="7">
        <f t="shared" si="147"/>
        <v>1</v>
      </c>
      <c r="T917" s="157">
        <f t="shared" si="148"/>
        <v>1</v>
      </c>
      <c r="V917" s="191">
        <f t="shared" si="141"/>
        <v>5</v>
      </c>
      <c r="W917" s="7">
        <f t="shared" si="142"/>
        <v>2024</v>
      </c>
    </row>
    <row r="918" spans="1:23" ht="31.95" customHeight="1" thickBot="1" x14ac:dyDescent="0.35">
      <c r="A918" s="15">
        <f t="shared" si="143"/>
        <v>4</v>
      </c>
      <c r="B918" s="26">
        <v>45426</v>
      </c>
      <c r="C918" s="51">
        <f t="shared" si="149"/>
        <v>914</v>
      </c>
      <c r="D918" s="27" t="s">
        <v>594</v>
      </c>
      <c r="E918" s="26" t="s">
        <v>159</v>
      </c>
      <c r="F918" s="28" t="s">
        <v>11</v>
      </c>
      <c r="G918" s="28" t="s">
        <v>11</v>
      </c>
      <c r="H918" s="254"/>
      <c r="I918" s="49">
        <v>4</v>
      </c>
      <c r="J918" s="49">
        <v>4</v>
      </c>
      <c r="K918" s="52">
        <f t="shared" si="144"/>
        <v>1</v>
      </c>
      <c r="L918" s="209">
        <f t="shared" si="145"/>
        <v>0</v>
      </c>
      <c r="M918" s="210">
        <f t="shared" si="146"/>
        <v>0</v>
      </c>
      <c r="N918" s="26">
        <v>45440</v>
      </c>
      <c r="O918" s="26">
        <v>45440</v>
      </c>
      <c r="P918" s="26">
        <v>45440</v>
      </c>
      <c r="Q918" s="2">
        <f t="shared" si="140"/>
        <v>1</v>
      </c>
      <c r="S918" s="7">
        <f t="shared" si="147"/>
        <v>1</v>
      </c>
      <c r="T918" s="157">
        <f t="shared" si="148"/>
        <v>1</v>
      </c>
      <c r="V918" s="191">
        <f t="shared" si="141"/>
        <v>5</v>
      </c>
      <c r="W918" s="7">
        <f t="shared" si="142"/>
        <v>2024</v>
      </c>
    </row>
    <row r="919" spans="1:23" ht="31.95" customHeight="1" thickBot="1" x14ac:dyDescent="0.35">
      <c r="A919" s="15">
        <f t="shared" si="143"/>
        <v>4</v>
      </c>
      <c r="B919" s="26">
        <v>45426</v>
      </c>
      <c r="C919" s="51">
        <f t="shared" si="149"/>
        <v>915</v>
      </c>
      <c r="D919" s="27" t="s">
        <v>978</v>
      </c>
      <c r="E919" s="26" t="s">
        <v>159</v>
      </c>
      <c r="F919" s="28" t="s">
        <v>11</v>
      </c>
      <c r="G919" s="28" t="s">
        <v>11</v>
      </c>
      <c r="H919" s="254"/>
      <c r="I919" s="49">
        <v>4</v>
      </c>
      <c r="J919" s="49">
        <v>4</v>
      </c>
      <c r="K919" s="52">
        <f t="shared" si="144"/>
        <v>1</v>
      </c>
      <c r="L919" s="209">
        <f t="shared" si="145"/>
        <v>0</v>
      </c>
      <c r="M919" s="210">
        <f t="shared" si="146"/>
        <v>0</v>
      </c>
      <c r="N919" s="26">
        <v>45427</v>
      </c>
      <c r="O919" s="26">
        <v>45427</v>
      </c>
      <c r="P919" s="26">
        <v>45427</v>
      </c>
      <c r="Q919" s="2">
        <f t="shared" si="140"/>
        <v>1</v>
      </c>
      <c r="S919" s="7">
        <f t="shared" si="147"/>
        <v>1</v>
      </c>
      <c r="T919" s="157">
        <f t="shared" si="148"/>
        <v>1</v>
      </c>
      <c r="V919" s="191">
        <f t="shared" si="141"/>
        <v>5</v>
      </c>
      <c r="W919" s="7">
        <f t="shared" si="142"/>
        <v>2024</v>
      </c>
    </row>
    <row r="920" spans="1:23" ht="31.95" customHeight="1" thickBot="1" x14ac:dyDescent="0.35">
      <c r="A920" s="15">
        <f t="shared" si="143"/>
        <v>3</v>
      </c>
      <c r="B920" s="26">
        <v>45426</v>
      </c>
      <c r="C920" s="51">
        <f t="shared" si="149"/>
        <v>916</v>
      </c>
      <c r="D920" s="27" t="s">
        <v>978</v>
      </c>
      <c r="E920" s="26" t="s">
        <v>164</v>
      </c>
      <c r="F920" s="28" t="s">
        <v>11</v>
      </c>
      <c r="G920" s="28" t="s">
        <v>11</v>
      </c>
      <c r="H920" s="254"/>
      <c r="I920" s="49">
        <v>3</v>
      </c>
      <c r="J920" s="49">
        <v>3</v>
      </c>
      <c r="K920" s="52">
        <f t="shared" si="144"/>
        <v>1</v>
      </c>
      <c r="L920" s="209">
        <f t="shared" si="145"/>
        <v>0</v>
      </c>
      <c r="M920" s="210">
        <f t="shared" si="146"/>
        <v>0</v>
      </c>
      <c r="N920" s="26">
        <v>45427</v>
      </c>
      <c r="O920" s="26">
        <v>45427</v>
      </c>
      <c r="P920" s="26">
        <v>45427</v>
      </c>
      <c r="Q920" s="2">
        <f t="shared" si="140"/>
        <v>1</v>
      </c>
      <c r="S920" s="7">
        <f t="shared" si="147"/>
        <v>1</v>
      </c>
      <c r="T920" s="157">
        <f t="shared" si="148"/>
        <v>1</v>
      </c>
      <c r="V920" s="191">
        <f t="shared" si="141"/>
        <v>5</v>
      </c>
      <c r="W920" s="7">
        <f t="shared" si="142"/>
        <v>2024</v>
      </c>
    </row>
    <row r="921" spans="1:23" ht="31.95" customHeight="1" thickBot="1" x14ac:dyDescent="0.35">
      <c r="A921" s="15">
        <f t="shared" si="143"/>
        <v>3</v>
      </c>
      <c r="B921" s="26">
        <v>45426</v>
      </c>
      <c r="C921" s="51">
        <f t="shared" si="149"/>
        <v>917</v>
      </c>
      <c r="D921" s="27" t="s">
        <v>890</v>
      </c>
      <c r="E921" s="26" t="s">
        <v>164</v>
      </c>
      <c r="F921" s="28" t="s">
        <v>11</v>
      </c>
      <c r="G921" s="28" t="s">
        <v>11</v>
      </c>
      <c r="H921" s="254"/>
      <c r="I921" s="49">
        <v>3</v>
      </c>
      <c r="J921" s="49">
        <v>3</v>
      </c>
      <c r="K921" s="52">
        <f t="shared" si="144"/>
        <v>1</v>
      </c>
      <c r="L921" s="209">
        <f t="shared" si="145"/>
        <v>0</v>
      </c>
      <c r="M921" s="210">
        <f t="shared" si="146"/>
        <v>0</v>
      </c>
      <c r="N921" s="26">
        <v>45447</v>
      </c>
      <c r="O921" s="26">
        <v>45447</v>
      </c>
      <c r="P921" s="26">
        <v>45447</v>
      </c>
      <c r="Q921" s="2">
        <f t="shared" si="140"/>
        <v>1</v>
      </c>
      <c r="S921" s="7">
        <f t="shared" si="147"/>
        <v>1</v>
      </c>
      <c r="T921" s="157">
        <f t="shared" si="148"/>
        <v>1</v>
      </c>
      <c r="V921" s="191">
        <f t="shared" si="141"/>
        <v>5</v>
      </c>
      <c r="W921" s="7">
        <f t="shared" si="142"/>
        <v>2024</v>
      </c>
    </row>
    <row r="922" spans="1:23" ht="31.95" customHeight="1" thickBot="1" x14ac:dyDescent="0.35">
      <c r="A922" s="15">
        <f t="shared" si="143"/>
        <v>4</v>
      </c>
      <c r="B922" s="26">
        <v>45426</v>
      </c>
      <c r="C922" s="51">
        <f t="shared" si="149"/>
        <v>918</v>
      </c>
      <c r="D922" s="27" t="s">
        <v>594</v>
      </c>
      <c r="E922" s="26" t="s">
        <v>164</v>
      </c>
      <c r="F922" s="28" t="s">
        <v>11</v>
      </c>
      <c r="G922" s="28" t="s">
        <v>11</v>
      </c>
      <c r="H922" s="254"/>
      <c r="I922" s="49">
        <v>4</v>
      </c>
      <c r="J922" s="49">
        <v>4</v>
      </c>
      <c r="K922" s="52">
        <f t="shared" si="144"/>
        <v>1</v>
      </c>
      <c r="L922" s="209">
        <f t="shared" si="145"/>
        <v>0</v>
      </c>
      <c r="M922" s="210">
        <f t="shared" si="146"/>
        <v>0</v>
      </c>
      <c r="N922" s="26">
        <v>45440</v>
      </c>
      <c r="O922" s="26">
        <v>45440</v>
      </c>
      <c r="P922" s="26">
        <v>45440</v>
      </c>
      <c r="Q922" s="2">
        <f t="shared" si="140"/>
        <v>1</v>
      </c>
      <c r="S922" s="7">
        <f t="shared" si="147"/>
        <v>1</v>
      </c>
      <c r="T922" s="157">
        <f t="shared" si="148"/>
        <v>1</v>
      </c>
      <c r="V922" s="191">
        <f t="shared" si="141"/>
        <v>5</v>
      </c>
      <c r="W922" s="7">
        <f t="shared" si="142"/>
        <v>2024</v>
      </c>
    </row>
    <row r="923" spans="1:23" ht="31.95" customHeight="1" thickBot="1" x14ac:dyDescent="0.35">
      <c r="A923" s="15">
        <f t="shared" si="143"/>
        <v>4</v>
      </c>
      <c r="B923" s="26">
        <v>45426</v>
      </c>
      <c r="C923" s="51">
        <f t="shared" si="149"/>
        <v>919</v>
      </c>
      <c r="D923" s="27" t="s">
        <v>594</v>
      </c>
      <c r="E923" s="26" t="s">
        <v>161</v>
      </c>
      <c r="F923" s="28" t="s">
        <v>11</v>
      </c>
      <c r="G923" s="28" t="s">
        <v>11</v>
      </c>
      <c r="H923" s="254"/>
      <c r="I923" s="49">
        <v>4</v>
      </c>
      <c r="J923" s="49">
        <v>4</v>
      </c>
      <c r="K923" s="52">
        <f t="shared" si="144"/>
        <v>1</v>
      </c>
      <c r="L923" s="209">
        <f t="shared" si="145"/>
        <v>0</v>
      </c>
      <c r="M923" s="210">
        <f t="shared" si="146"/>
        <v>0</v>
      </c>
      <c r="N923" s="26">
        <v>45440</v>
      </c>
      <c r="O923" s="26">
        <v>45440</v>
      </c>
      <c r="P923" s="26">
        <v>45440</v>
      </c>
      <c r="Q923" s="2">
        <f t="shared" si="140"/>
        <v>1</v>
      </c>
      <c r="S923" s="7">
        <f t="shared" si="147"/>
        <v>1</v>
      </c>
      <c r="T923" s="157">
        <f t="shared" si="148"/>
        <v>1</v>
      </c>
      <c r="V923" s="191">
        <f t="shared" si="141"/>
        <v>5</v>
      </c>
      <c r="W923" s="7">
        <f t="shared" si="142"/>
        <v>2024</v>
      </c>
    </row>
    <row r="924" spans="1:23" ht="31.95" customHeight="1" thickBot="1" x14ac:dyDescent="0.35">
      <c r="A924" s="15">
        <f t="shared" si="143"/>
        <v>3</v>
      </c>
      <c r="B924" s="26">
        <v>45426</v>
      </c>
      <c r="C924" s="51">
        <f t="shared" si="149"/>
        <v>920</v>
      </c>
      <c r="D924" s="27" t="s">
        <v>890</v>
      </c>
      <c r="E924" s="26" t="s">
        <v>161</v>
      </c>
      <c r="F924" s="28" t="s">
        <v>11</v>
      </c>
      <c r="G924" s="28" t="s">
        <v>11</v>
      </c>
      <c r="H924" s="254"/>
      <c r="I924" s="49">
        <v>3</v>
      </c>
      <c r="J924" s="49">
        <v>3</v>
      </c>
      <c r="K924" s="52">
        <f t="shared" si="144"/>
        <v>1</v>
      </c>
      <c r="L924" s="209">
        <f t="shared" si="145"/>
        <v>0</v>
      </c>
      <c r="M924" s="210">
        <f t="shared" si="146"/>
        <v>0</v>
      </c>
      <c r="N924" s="26">
        <v>45447</v>
      </c>
      <c r="O924" s="26">
        <v>45447</v>
      </c>
      <c r="P924" s="26">
        <v>45447</v>
      </c>
      <c r="Q924" s="2">
        <f t="shared" si="140"/>
        <v>1</v>
      </c>
      <c r="S924" s="7">
        <f t="shared" si="147"/>
        <v>1</v>
      </c>
      <c r="T924" s="157">
        <f t="shared" si="148"/>
        <v>1</v>
      </c>
      <c r="V924" s="191">
        <f t="shared" si="141"/>
        <v>5</v>
      </c>
      <c r="W924" s="7">
        <f t="shared" si="142"/>
        <v>2024</v>
      </c>
    </row>
    <row r="925" spans="1:23" ht="31.95" customHeight="1" thickBot="1" x14ac:dyDescent="0.35">
      <c r="A925" s="15">
        <f t="shared" si="143"/>
        <v>4</v>
      </c>
      <c r="B925" s="26">
        <v>45426</v>
      </c>
      <c r="C925" s="51">
        <f t="shared" si="149"/>
        <v>921</v>
      </c>
      <c r="D925" s="27" t="s">
        <v>978</v>
      </c>
      <c r="E925" s="26" t="s">
        <v>161</v>
      </c>
      <c r="F925" s="28" t="s">
        <v>11</v>
      </c>
      <c r="G925" s="28" t="s">
        <v>11</v>
      </c>
      <c r="H925" s="254"/>
      <c r="I925" s="49">
        <v>4</v>
      </c>
      <c r="J925" s="49">
        <v>4</v>
      </c>
      <c r="K925" s="52">
        <f t="shared" si="144"/>
        <v>1</v>
      </c>
      <c r="L925" s="209">
        <f t="shared" si="145"/>
        <v>0</v>
      </c>
      <c r="M925" s="210">
        <f t="shared" si="146"/>
        <v>0</v>
      </c>
      <c r="N925" s="26">
        <v>45427</v>
      </c>
      <c r="O925" s="26">
        <v>45427</v>
      </c>
      <c r="P925" s="26">
        <v>45427</v>
      </c>
      <c r="Q925" s="2">
        <f t="shared" si="140"/>
        <v>1</v>
      </c>
      <c r="S925" s="7">
        <f t="shared" si="147"/>
        <v>1</v>
      </c>
      <c r="T925" s="157">
        <f t="shared" si="148"/>
        <v>1</v>
      </c>
      <c r="V925" s="191">
        <f t="shared" si="141"/>
        <v>5</v>
      </c>
      <c r="W925" s="7">
        <f t="shared" si="142"/>
        <v>2024</v>
      </c>
    </row>
    <row r="926" spans="1:23" ht="31.95" customHeight="1" thickBot="1" x14ac:dyDescent="0.35">
      <c r="A926" s="15">
        <f t="shared" si="143"/>
        <v>4</v>
      </c>
      <c r="B926" s="26">
        <v>45426</v>
      </c>
      <c r="C926" s="51">
        <f t="shared" si="149"/>
        <v>922</v>
      </c>
      <c r="D926" s="27" t="s">
        <v>978</v>
      </c>
      <c r="E926" s="26" t="s">
        <v>168</v>
      </c>
      <c r="F926" s="28" t="s">
        <v>11</v>
      </c>
      <c r="G926" s="28" t="s">
        <v>11</v>
      </c>
      <c r="H926" s="254"/>
      <c r="I926" s="49">
        <v>4</v>
      </c>
      <c r="J926" s="49">
        <v>4</v>
      </c>
      <c r="K926" s="52">
        <f t="shared" si="144"/>
        <v>1</v>
      </c>
      <c r="L926" s="209">
        <f t="shared" si="145"/>
        <v>0</v>
      </c>
      <c r="M926" s="210">
        <f t="shared" si="146"/>
        <v>0</v>
      </c>
      <c r="N926" s="26">
        <v>45433</v>
      </c>
      <c r="O926" s="26">
        <v>45433</v>
      </c>
      <c r="P926" s="26">
        <v>45433</v>
      </c>
      <c r="Q926" s="2">
        <f t="shared" si="140"/>
        <v>1</v>
      </c>
      <c r="S926" s="7">
        <f t="shared" si="147"/>
        <v>1</v>
      </c>
      <c r="T926" s="157">
        <f t="shared" si="148"/>
        <v>1</v>
      </c>
      <c r="V926" s="191">
        <f t="shared" si="141"/>
        <v>5</v>
      </c>
      <c r="W926" s="7">
        <f t="shared" si="142"/>
        <v>2024</v>
      </c>
    </row>
    <row r="927" spans="1:23" ht="31.95" customHeight="1" thickBot="1" x14ac:dyDescent="0.35">
      <c r="A927" s="15">
        <f t="shared" si="143"/>
        <v>3</v>
      </c>
      <c r="B927" s="26">
        <v>45426</v>
      </c>
      <c r="C927" s="51">
        <f t="shared" si="149"/>
        <v>923</v>
      </c>
      <c r="D927" s="27" t="s">
        <v>890</v>
      </c>
      <c r="E927" s="26" t="s">
        <v>168</v>
      </c>
      <c r="F927" s="28" t="s">
        <v>11</v>
      </c>
      <c r="G927" s="28" t="s">
        <v>11</v>
      </c>
      <c r="H927" s="254"/>
      <c r="I927" s="49">
        <v>3</v>
      </c>
      <c r="J927" s="49">
        <v>3</v>
      </c>
      <c r="K927" s="52">
        <f t="shared" si="144"/>
        <v>1</v>
      </c>
      <c r="L927" s="209">
        <f t="shared" si="145"/>
        <v>0</v>
      </c>
      <c r="M927" s="210">
        <f t="shared" si="146"/>
        <v>0</v>
      </c>
      <c r="N927" s="26">
        <v>45447</v>
      </c>
      <c r="O927" s="26">
        <v>45447</v>
      </c>
      <c r="P927" s="26">
        <v>45447</v>
      </c>
      <c r="Q927" s="2">
        <f t="shared" si="140"/>
        <v>1</v>
      </c>
      <c r="S927" s="7">
        <f t="shared" si="147"/>
        <v>1</v>
      </c>
      <c r="T927" s="157">
        <f t="shared" si="148"/>
        <v>1</v>
      </c>
      <c r="V927" s="191">
        <f t="shared" si="141"/>
        <v>5</v>
      </c>
      <c r="W927" s="7">
        <f t="shared" si="142"/>
        <v>2024</v>
      </c>
    </row>
    <row r="928" spans="1:23" ht="31.95" customHeight="1" thickBot="1" x14ac:dyDescent="0.35">
      <c r="A928" s="15">
        <f t="shared" si="143"/>
        <v>4</v>
      </c>
      <c r="B928" s="26">
        <v>45426</v>
      </c>
      <c r="C928" s="51">
        <f t="shared" si="149"/>
        <v>924</v>
      </c>
      <c r="D928" s="27" t="s">
        <v>594</v>
      </c>
      <c r="E928" s="26" t="s">
        <v>168</v>
      </c>
      <c r="F928" s="28" t="s">
        <v>11</v>
      </c>
      <c r="G928" s="28" t="s">
        <v>11</v>
      </c>
      <c r="H928" s="254"/>
      <c r="I928" s="49">
        <v>4</v>
      </c>
      <c r="J928" s="49">
        <v>4</v>
      </c>
      <c r="K928" s="52">
        <f t="shared" si="144"/>
        <v>1</v>
      </c>
      <c r="L928" s="209">
        <f t="shared" si="145"/>
        <v>0</v>
      </c>
      <c r="M928" s="210">
        <f t="shared" si="146"/>
        <v>0</v>
      </c>
      <c r="N928" s="26">
        <v>45433</v>
      </c>
      <c r="O928" s="26">
        <v>45433</v>
      </c>
      <c r="P928" s="26">
        <v>45433</v>
      </c>
      <c r="Q928" s="2">
        <f t="shared" si="140"/>
        <v>1</v>
      </c>
      <c r="S928" s="7">
        <f t="shared" si="147"/>
        <v>1</v>
      </c>
      <c r="T928" s="157">
        <f t="shared" si="148"/>
        <v>1</v>
      </c>
      <c r="V928" s="191">
        <f t="shared" si="141"/>
        <v>5</v>
      </c>
      <c r="W928" s="7">
        <f t="shared" si="142"/>
        <v>2024</v>
      </c>
    </row>
    <row r="929" spans="1:23" ht="31.95" customHeight="1" thickBot="1" x14ac:dyDescent="0.35">
      <c r="A929" s="15">
        <f t="shared" si="143"/>
        <v>4</v>
      </c>
      <c r="B929" s="26">
        <v>45426</v>
      </c>
      <c r="C929" s="51">
        <f t="shared" si="149"/>
        <v>925</v>
      </c>
      <c r="D929" s="27" t="s">
        <v>594</v>
      </c>
      <c r="E929" s="26" t="s">
        <v>150</v>
      </c>
      <c r="F929" s="28" t="s">
        <v>11</v>
      </c>
      <c r="G929" s="28" t="s">
        <v>11</v>
      </c>
      <c r="H929" s="254"/>
      <c r="I929" s="49">
        <v>4</v>
      </c>
      <c r="J929" s="49">
        <v>4</v>
      </c>
      <c r="K929" s="52">
        <f t="shared" si="144"/>
        <v>1</v>
      </c>
      <c r="L929" s="209">
        <f t="shared" si="145"/>
        <v>0</v>
      </c>
      <c r="M929" s="210">
        <f t="shared" si="146"/>
        <v>0</v>
      </c>
      <c r="N929" s="26">
        <v>45433</v>
      </c>
      <c r="O929" s="26">
        <v>45433</v>
      </c>
      <c r="P929" s="26">
        <v>45433</v>
      </c>
      <c r="Q929" s="2">
        <f t="shared" si="140"/>
        <v>1</v>
      </c>
      <c r="S929" s="7">
        <f t="shared" si="147"/>
        <v>1</v>
      </c>
      <c r="T929" s="157">
        <f t="shared" si="148"/>
        <v>1</v>
      </c>
      <c r="V929" s="191">
        <f t="shared" si="141"/>
        <v>5</v>
      </c>
      <c r="W929" s="7">
        <f t="shared" si="142"/>
        <v>2024</v>
      </c>
    </row>
    <row r="930" spans="1:23" ht="31.95" customHeight="1" thickBot="1" x14ac:dyDescent="0.35">
      <c r="A930" s="15">
        <f t="shared" si="143"/>
        <v>3</v>
      </c>
      <c r="B930" s="26">
        <v>45426</v>
      </c>
      <c r="C930" s="51">
        <f t="shared" si="149"/>
        <v>926</v>
      </c>
      <c r="D930" s="27" t="s">
        <v>890</v>
      </c>
      <c r="E930" s="26" t="s">
        <v>150</v>
      </c>
      <c r="F930" s="28" t="s">
        <v>11</v>
      </c>
      <c r="G930" s="28" t="s">
        <v>11</v>
      </c>
      <c r="H930" s="254"/>
      <c r="I930" s="49">
        <v>3</v>
      </c>
      <c r="J930" s="49">
        <v>3</v>
      </c>
      <c r="K930" s="52">
        <f t="shared" si="144"/>
        <v>1</v>
      </c>
      <c r="L930" s="209">
        <f t="shared" si="145"/>
        <v>0</v>
      </c>
      <c r="M930" s="210">
        <f t="shared" si="146"/>
        <v>0</v>
      </c>
      <c r="N930" s="26">
        <v>45447</v>
      </c>
      <c r="O930" s="26">
        <v>45447</v>
      </c>
      <c r="P930" s="26">
        <v>45447</v>
      </c>
      <c r="Q930" s="2">
        <f t="shared" si="140"/>
        <v>1</v>
      </c>
      <c r="S930" s="7">
        <f t="shared" si="147"/>
        <v>1</v>
      </c>
      <c r="T930" s="157">
        <f t="shared" si="148"/>
        <v>1</v>
      </c>
      <c r="V930" s="191">
        <f t="shared" si="141"/>
        <v>5</v>
      </c>
      <c r="W930" s="7">
        <f t="shared" si="142"/>
        <v>2024</v>
      </c>
    </row>
    <row r="931" spans="1:23" ht="31.95" customHeight="1" thickBot="1" x14ac:dyDescent="0.35">
      <c r="A931" s="15">
        <f t="shared" si="143"/>
        <v>4</v>
      </c>
      <c r="B931" s="26">
        <v>45426</v>
      </c>
      <c r="C931" s="51">
        <f t="shared" si="149"/>
        <v>927</v>
      </c>
      <c r="D931" s="27" t="s">
        <v>978</v>
      </c>
      <c r="E931" s="26" t="s">
        <v>150</v>
      </c>
      <c r="F931" s="28" t="s">
        <v>11</v>
      </c>
      <c r="G931" s="28" t="s">
        <v>11</v>
      </c>
      <c r="H931" s="254"/>
      <c r="I931" s="49">
        <v>4</v>
      </c>
      <c r="J931" s="49">
        <v>4</v>
      </c>
      <c r="K931" s="52">
        <f t="shared" si="144"/>
        <v>1</v>
      </c>
      <c r="L931" s="209">
        <f t="shared" si="145"/>
        <v>0</v>
      </c>
      <c r="M931" s="210">
        <f t="shared" si="146"/>
        <v>0</v>
      </c>
      <c r="N931" s="26">
        <v>45433</v>
      </c>
      <c r="O931" s="26">
        <v>45433</v>
      </c>
      <c r="P931" s="26">
        <v>45433</v>
      </c>
      <c r="Q931" s="2">
        <f t="shared" si="140"/>
        <v>1</v>
      </c>
      <c r="S931" s="7">
        <f t="shared" si="147"/>
        <v>1</v>
      </c>
      <c r="T931" s="157">
        <f t="shared" si="148"/>
        <v>1</v>
      </c>
      <c r="V931" s="191">
        <f t="shared" si="141"/>
        <v>5</v>
      </c>
      <c r="W931" s="7">
        <f t="shared" si="142"/>
        <v>2024</v>
      </c>
    </row>
    <row r="932" spans="1:23" ht="31.95" customHeight="1" thickBot="1" x14ac:dyDescent="0.35">
      <c r="A932" s="15">
        <f t="shared" si="143"/>
        <v>6</v>
      </c>
      <c r="B932" s="26">
        <v>45426</v>
      </c>
      <c r="C932" s="51">
        <f t="shared" si="149"/>
        <v>928</v>
      </c>
      <c r="D932" s="27" t="s">
        <v>822</v>
      </c>
      <c r="E932" s="26" t="s">
        <v>144</v>
      </c>
      <c r="F932" s="28" t="s">
        <v>11</v>
      </c>
      <c r="G932" s="28" t="s">
        <v>11</v>
      </c>
      <c r="H932" s="254"/>
      <c r="I932" s="49">
        <v>6</v>
      </c>
      <c r="J932" s="49">
        <v>6</v>
      </c>
      <c r="K932" s="52">
        <f t="shared" si="144"/>
        <v>1</v>
      </c>
      <c r="L932" s="209">
        <f t="shared" si="145"/>
        <v>0</v>
      </c>
      <c r="M932" s="210">
        <f t="shared" si="146"/>
        <v>0</v>
      </c>
      <c r="N932" s="26">
        <v>45429</v>
      </c>
      <c r="O932" s="26">
        <v>45429</v>
      </c>
      <c r="P932" s="26">
        <v>45429</v>
      </c>
      <c r="Q932" s="2">
        <f t="shared" si="140"/>
        <v>1</v>
      </c>
      <c r="S932" s="7">
        <f t="shared" si="147"/>
        <v>1</v>
      </c>
      <c r="T932" s="157">
        <f t="shared" si="148"/>
        <v>1</v>
      </c>
      <c r="V932" s="191">
        <f t="shared" si="141"/>
        <v>5</v>
      </c>
      <c r="W932" s="7">
        <f t="shared" si="142"/>
        <v>2024</v>
      </c>
    </row>
    <row r="933" spans="1:23" ht="31.95" customHeight="1" thickBot="1" x14ac:dyDescent="0.35">
      <c r="A933" s="15">
        <f t="shared" si="143"/>
        <v>4</v>
      </c>
      <c r="B933" s="26">
        <v>45426</v>
      </c>
      <c r="C933" s="51">
        <f t="shared" si="149"/>
        <v>929</v>
      </c>
      <c r="D933" s="27" t="s">
        <v>978</v>
      </c>
      <c r="E933" s="26" t="s">
        <v>163</v>
      </c>
      <c r="F933" s="28" t="s">
        <v>11</v>
      </c>
      <c r="G933" s="28" t="s">
        <v>11</v>
      </c>
      <c r="H933" s="254"/>
      <c r="I933" s="49">
        <v>4</v>
      </c>
      <c r="J933" s="49">
        <v>4</v>
      </c>
      <c r="K933" s="52">
        <f t="shared" si="144"/>
        <v>1</v>
      </c>
      <c r="L933" s="209">
        <f t="shared" si="145"/>
        <v>0</v>
      </c>
      <c r="M933" s="210">
        <f t="shared" si="146"/>
        <v>0</v>
      </c>
      <c r="N933" s="26">
        <v>45427</v>
      </c>
      <c r="O933" s="26">
        <v>45427</v>
      </c>
      <c r="P933" s="26">
        <v>45427</v>
      </c>
      <c r="Q933" s="2">
        <f t="shared" si="140"/>
        <v>1</v>
      </c>
      <c r="S933" s="7">
        <f t="shared" si="147"/>
        <v>1</v>
      </c>
      <c r="T933" s="157">
        <f t="shared" si="148"/>
        <v>1</v>
      </c>
      <c r="V933" s="191">
        <f t="shared" si="141"/>
        <v>5</v>
      </c>
      <c r="W933" s="7">
        <f t="shared" si="142"/>
        <v>2024</v>
      </c>
    </row>
    <row r="934" spans="1:23" ht="31.95" customHeight="1" thickBot="1" x14ac:dyDescent="0.35">
      <c r="A934" s="15">
        <f t="shared" si="143"/>
        <v>4</v>
      </c>
      <c r="B934" s="26">
        <v>45426</v>
      </c>
      <c r="C934" s="51">
        <f t="shared" si="149"/>
        <v>930</v>
      </c>
      <c r="D934" s="27" t="s">
        <v>978</v>
      </c>
      <c r="E934" s="26" t="s">
        <v>158</v>
      </c>
      <c r="F934" s="28" t="s">
        <v>11</v>
      </c>
      <c r="G934" s="28" t="s">
        <v>11</v>
      </c>
      <c r="H934" s="254"/>
      <c r="I934" s="49">
        <v>4</v>
      </c>
      <c r="J934" s="49">
        <v>4</v>
      </c>
      <c r="K934" s="52">
        <f t="shared" si="144"/>
        <v>1</v>
      </c>
      <c r="L934" s="209">
        <f t="shared" si="145"/>
        <v>0</v>
      </c>
      <c r="M934" s="210">
        <f t="shared" si="146"/>
        <v>0</v>
      </c>
      <c r="N934" s="26">
        <v>45427</v>
      </c>
      <c r="O934" s="26">
        <v>45427</v>
      </c>
      <c r="P934" s="26">
        <v>45427</v>
      </c>
      <c r="Q934" s="2">
        <f t="shared" si="140"/>
        <v>1</v>
      </c>
      <c r="S934" s="7">
        <f t="shared" si="147"/>
        <v>1</v>
      </c>
      <c r="T934" s="157">
        <f t="shared" si="148"/>
        <v>1</v>
      </c>
      <c r="V934" s="191">
        <f t="shared" si="141"/>
        <v>5</v>
      </c>
      <c r="W934" s="7">
        <f t="shared" si="142"/>
        <v>2024</v>
      </c>
    </row>
    <row r="935" spans="1:23" ht="31.95" customHeight="1" thickBot="1" x14ac:dyDescent="0.35">
      <c r="A935" s="15">
        <f t="shared" si="143"/>
        <v>3</v>
      </c>
      <c r="B935" s="26">
        <v>45426</v>
      </c>
      <c r="C935" s="51">
        <f t="shared" si="149"/>
        <v>931</v>
      </c>
      <c r="D935" s="27" t="s">
        <v>705</v>
      </c>
      <c r="E935" s="26" t="s">
        <v>11</v>
      </c>
      <c r="F935" s="28" t="s">
        <v>11</v>
      </c>
      <c r="G935" s="28" t="s">
        <v>11</v>
      </c>
      <c r="H935" s="254"/>
      <c r="I935" s="49">
        <v>3</v>
      </c>
      <c r="J935" s="49">
        <v>3</v>
      </c>
      <c r="K935" s="52">
        <f t="shared" si="144"/>
        <v>1</v>
      </c>
      <c r="L935" s="209">
        <f t="shared" si="145"/>
        <v>0</v>
      </c>
      <c r="M935" s="210">
        <f t="shared" si="146"/>
        <v>0</v>
      </c>
      <c r="N935" s="26">
        <v>45427</v>
      </c>
      <c r="O935" s="26">
        <v>45427</v>
      </c>
      <c r="P935" s="26">
        <v>45427</v>
      </c>
      <c r="Q935" s="2">
        <f t="shared" si="140"/>
        <v>1</v>
      </c>
      <c r="S935" s="7">
        <f t="shared" si="147"/>
        <v>1</v>
      </c>
      <c r="T935" s="157">
        <f t="shared" si="148"/>
        <v>1</v>
      </c>
      <c r="V935" s="191">
        <f t="shared" si="141"/>
        <v>5</v>
      </c>
      <c r="W935" s="7">
        <f t="shared" si="142"/>
        <v>2024</v>
      </c>
    </row>
    <row r="936" spans="1:23" ht="31.95" customHeight="1" thickBot="1" x14ac:dyDescent="0.35">
      <c r="A936" s="15">
        <f t="shared" si="143"/>
        <v>3</v>
      </c>
      <c r="B936" s="26">
        <v>45426</v>
      </c>
      <c r="C936" s="51">
        <f t="shared" si="149"/>
        <v>932</v>
      </c>
      <c r="D936" s="27" t="s">
        <v>305</v>
      </c>
      <c r="E936" s="26" t="s">
        <v>11</v>
      </c>
      <c r="F936" s="28" t="s">
        <v>11</v>
      </c>
      <c r="G936" s="28" t="s">
        <v>11</v>
      </c>
      <c r="H936" s="254"/>
      <c r="I936" s="49">
        <v>3</v>
      </c>
      <c r="J936" s="49">
        <v>3</v>
      </c>
      <c r="K936" s="52">
        <f t="shared" si="144"/>
        <v>1</v>
      </c>
      <c r="L936" s="209">
        <f t="shared" si="145"/>
        <v>0</v>
      </c>
      <c r="M936" s="210">
        <f t="shared" si="146"/>
        <v>0</v>
      </c>
      <c r="N936" s="26">
        <v>45427</v>
      </c>
      <c r="O936" s="26">
        <v>45427</v>
      </c>
      <c r="P936" s="26">
        <v>45427</v>
      </c>
      <c r="Q936" s="2">
        <f t="shared" si="140"/>
        <v>1</v>
      </c>
      <c r="S936" s="7">
        <f t="shared" si="147"/>
        <v>1</v>
      </c>
      <c r="T936" s="157">
        <f t="shared" si="148"/>
        <v>1</v>
      </c>
      <c r="V936" s="191">
        <f t="shared" si="141"/>
        <v>5</v>
      </c>
      <c r="W936" s="7">
        <f t="shared" si="142"/>
        <v>2024</v>
      </c>
    </row>
    <row r="937" spans="1:23" ht="31.95" customHeight="1" thickBot="1" x14ac:dyDescent="0.35">
      <c r="A937" s="15">
        <f t="shared" si="143"/>
        <v>2</v>
      </c>
      <c r="B937" s="26">
        <v>45426</v>
      </c>
      <c r="C937" s="51">
        <f t="shared" si="149"/>
        <v>933</v>
      </c>
      <c r="D937" s="27" t="s">
        <v>1216</v>
      </c>
      <c r="E937" s="26" t="s">
        <v>137</v>
      </c>
      <c r="F937" s="28" t="s">
        <v>11</v>
      </c>
      <c r="G937" s="28" t="s">
        <v>11</v>
      </c>
      <c r="H937" s="254"/>
      <c r="I937" s="49">
        <v>2</v>
      </c>
      <c r="J937" s="49">
        <v>2</v>
      </c>
      <c r="K937" s="52">
        <f t="shared" si="144"/>
        <v>1</v>
      </c>
      <c r="L937" s="209">
        <f t="shared" si="145"/>
        <v>0</v>
      </c>
      <c r="M937" s="210">
        <f t="shared" si="146"/>
        <v>0</v>
      </c>
      <c r="N937" s="26">
        <v>45429</v>
      </c>
      <c r="O937" s="26">
        <v>45429</v>
      </c>
      <c r="P937" s="26">
        <v>45429</v>
      </c>
      <c r="Q937" s="2">
        <f t="shared" si="140"/>
        <v>1</v>
      </c>
      <c r="S937" s="7">
        <f t="shared" si="147"/>
        <v>1</v>
      </c>
      <c r="T937" s="157">
        <f t="shared" si="148"/>
        <v>1</v>
      </c>
      <c r="V937" s="191">
        <f t="shared" si="141"/>
        <v>5</v>
      </c>
      <c r="W937" s="7">
        <f t="shared" si="142"/>
        <v>2024</v>
      </c>
    </row>
    <row r="938" spans="1:23" ht="31.95" customHeight="1" thickBot="1" x14ac:dyDescent="0.35">
      <c r="A938" s="15">
        <f t="shared" si="143"/>
        <v>2</v>
      </c>
      <c r="B938" s="26">
        <v>45426</v>
      </c>
      <c r="C938" s="51">
        <f t="shared" si="149"/>
        <v>934</v>
      </c>
      <c r="D938" s="27" t="s">
        <v>602</v>
      </c>
      <c r="E938" s="26" t="s">
        <v>161</v>
      </c>
      <c r="F938" s="28" t="s">
        <v>11</v>
      </c>
      <c r="G938" s="28" t="s">
        <v>11</v>
      </c>
      <c r="H938" s="254"/>
      <c r="I938" s="49">
        <v>2</v>
      </c>
      <c r="J938" s="49">
        <v>2</v>
      </c>
      <c r="K938" s="52">
        <f t="shared" si="144"/>
        <v>1</v>
      </c>
      <c r="L938" s="209">
        <f t="shared" si="145"/>
        <v>0</v>
      </c>
      <c r="M938" s="210">
        <f t="shared" si="146"/>
        <v>0</v>
      </c>
      <c r="N938" s="26">
        <v>45432</v>
      </c>
      <c r="O938" s="26">
        <v>45432</v>
      </c>
      <c r="P938" s="26">
        <v>45432</v>
      </c>
      <c r="Q938" s="2">
        <f t="shared" si="140"/>
        <v>1</v>
      </c>
      <c r="S938" s="7">
        <f t="shared" si="147"/>
        <v>1</v>
      </c>
      <c r="T938" s="157">
        <f t="shared" si="148"/>
        <v>1</v>
      </c>
      <c r="V938" s="191">
        <f t="shared" si="141"/>
        <v>5</v>
      </c>
      <c r="W938" s="7">
        <f t="shared" si="142"/>
        <v>2024</v>
      </c>
    </row>
    <row r="939" spans="1:23" ht="31.95" customHeight="1" thickBot="1" x14ac:dyDescent="0.35">
      <c r="A939" s="15">
        <f t="shared" si="143"/>
        <v>1</v>
      </c>
      <c r="B939" s="26">
        <v>45427</v>
      </c>
      <c r="C939" s="51">
        <f t="shared" si="149"/>
        <v>935</v>
      </c>
      <c r="D939" s="27" t="s">
        <v>858</v>
      </c>
      <c r="E939" s="26" t="s">
        <v>11</v>
      </c>
      <c r="F939" s="28" t="s">
        <v>11</v>
      </c>
      <c r="G939" s="28" t="s">
        <v>11</v>
      </c>
      <c r="H939" s="254"/>
      <c r="I939" s="49">
        <v>1</v>
      </c>
      <c r="J939" s="49">
        <v>1</v>
      </c>
      <c r="K939" s="52">
        <f t="shared" si="144"/>
        <v>1</v>
      </c>
      <c r="L939" s="209">
        <f t="shared" si="145"/>
        <v>0</v>
      </c>
      <c r="M939" s="210">
        <f t="shared" si="146"/>
        <v>0</v>
      </c>
      <c r="N939" s="26">
        <v>45427</v>
      </c>
      <c r="O939" s="26">
        <v>45427</v>
      </c>
      <c r="P939" s="26">
        <v>45427</v>
      </c>
      <c r="Q939" s="2">
        <f t="shared" si="140"/>
        <v>1</v>
      </c>
      <c r="S939" s="7">
        <f t="shared" si="147"/>
        <v>1</v>
      </c>
      <c r="T939" s="157">
        <f t="shared" si="148"/>
        <v>1</v>
      </c>
      <c r="V939" s="191">
        <f t="shared" si="141"/>
        <v>5</v>
      </c>
      <c r="W939" s="7">
        <f t="shared" si="142"/>
        <v>2024</v>
      </c>
    </row>
    <row r="940" spans="1:23" ht="31.95" customHeight="1" thickBot="1" x14ac:dyDescent="0.35">
      <c r="A940" s="15">
        <f t="shared" si="143"/>
        <v>5</v>
      </c>
      <c r="B940" s="26">
        <v>45427</v>
      </c>
      <c r="C940" s="51">
        <f t="shared" si="149"/>
        <v>936</v>
      </c>
      <c r="D940" s="27" t="s">
        <v>305</v>
      </c>
      <c r="E940" s="26" t="s">
        <v>11</v>
      </c>
      <c r="F940" s="28" t="s">
        <v>11</v>
      </c>
      <c r="G940" s="28" t="s">
        <v>11</v>
      </c>
      <c r="H940" s="254"/>
      <c r="I940" s="49">
        <v>5</v>
      </c>
      <c r="J940" s="49">
        <v>5</v>
      </c>
      <c r="K940" s="52">
        <f t="shared" si="144"/>
        <v>1</v>
      </c>
      <c r="L940" s="209">
        <f t="shared" si="145"/>
        <v>0</v>
      </c>
      <c r="M940" s="210">
        <f t="shared" si="146"/>
        <v>0</v>
      </c>
      <c r="N940" s="26">
        <v>45427</v>
      </c>
      <c r="O940" s="26">
        <v>45427</v>
      </c>
      <c r="P940" s="26">
        <v>45427</v>
      </c>
      <c r="Q940" s="2">
        <f t="shared" si="140"/>
        <v>1</v>
      </c>
      <c r="S940" s="7">
        <f t="shared" si="147"/>
        <v>1</v>
      </c>
      <c r="T940" s="157">
        <f t="shared" si="148"/>
        <v>1</v>
      </c>
      <c r="V940" s="191">
        <f t="shared" si="141"/>
        <v>5</v>
      </c>
      <c r="W940" s="7">
        <f t="shared" si="142"/>
        <v>2024</v>
      </c>
    </row>
    <row r="941" spans="1:23" ht="31.95" customHeight="1" thickBot="1" x14ac:dyDescent="0.35">
      <c r="A941" s="15">
        <f t="shared" si="143"/>
        <v>15</v>
      </c>
      <c r="B941" s="26">
        <v>45427</v>
      </c>
      <c r="C941" s="51">
        <f t="shared" si="149"/>
        <v>937</v>
      </c>
      <c r="D941" s="27" t="s">
        <v>722</v>
      </c>
      <c r="E941" s="26" t="s">
        <v>161</v>
      </c>
      <c r="F941" s="28" t="s">
        <v>11</v>
      </c>
      <c r="G941" s="28" t="s">
        <v>11</v>
      </c>
      <c r="H941" s="254"/>
      <c r="I941" s="49">
        <v>15</v>
      </c>
      <c r="J941" s="49">
        <v>15</v>
      </c>
      <c r="K941" s="52">
        <f t="shared" si="144"/>
        <v>1</v>
      </c>
      <c r="L941" s="209">
        <f t="shared" si="145"/>
        <v>0</v>
      </c>
      <c r="M941" s="210">
        <f t="shared" si="146"/>
        <v>0</v>
      </c>
      <c r="N941" s="26">
        <v>45436</v>
      </c>
      <c r="O941" s="26">
        <v>45436</v>
      </c>
      <c r="P941" s="26">
        <v>45436</v>
      </c>
      <c r="Q941" s="2">
        <f t="shared" si="140"/>
        <v>1</v>
      </c>
      <c r="S941" s="7">
        <f t="shared" si="147"/>
        <v>1</v>
      </c>
      <c r="T941" s="157">
        <f t="shared" si="148"/>
        <v>1</v>
      </c>
      <c r="V941" s="191">
        <f t="shared" si="141"/>
        <v>5</v>
      </c>
      <c r="W941" s="7">
        <f t="shared" si="142"/>
        <v>2024</v>
      </c>
    </row>
    <row r="942" spans="1:23" ht="31.95" customHeight="1" thickBot="1" x14ac:dyDescent="0.35">
      <c r="A942" s="15">
        <f t="shared" si="143"/>
        <v>1</v>
      </c>
      <c r="B942" s="26">
        <v>45429</v>
      </c>
      <c r="C942" s="51">
        <f t="shared" si="149"/>
        <v>938</v>
      </c>
      <c r="D942" s="27" t="s">
        <v>890</v>
      </c>
      <c r="E942" s="26" t="s">
        <v>167</v>
      </c>
      <c r="F942" s="28" t="s">
        <v>11</v>
      </c>
      <c r="G942" s="28" t="s">
        <v>11</v>
      </c>
      <c r="H942" s="254"/>
      <c r="I942" s="49">
        <v>1</v>
      </c>
      <c r="J942" s="49">
        <v>1</v>
      </c>
      <c r="K942" s="52">
        <f t="shared" si="144"/>
        <v>1</v>
      </c>
      <c r="L942" s="209">
        <f t="shared" si="145"/>
        <v>0</v>
      </c>
      <c r="M942" s="210">
        <f t="shared" si="146"/>
        <v>0</v>
      </c>
      <c r="N942" s="26">
        <v>45443</v>
      </c>
      <c r="O942" s="26">
        <v>45443</v>
      </c>
      <c r="P942" s="26">
        <v>45443</v>
      </c>
      <c r="Q942" s="2">
        <f t="shared" si="140"/>
        <v>1</v>
      </c>
      <c r="S942" s="7">
        <f t="shared" si="147"/>
        <v>1</v>
      </c>
      <c r="T942" s="157">
        <f t="shared" si="148"/>
        <v>1</v>
      </c>
      <c r="V942" s="191">
        <f t="shared" si="141"/>
        <v>5</v>
      </c>
      <c r="W942" s="7">
        <f t="shared" si="142"/>
        <v>2024</v>
      </c>
    </row>
    <row r="943" spans="1:23" ht="31.95" customHeight="1" thickBot="1" x14ac:dyDescent="0.35">
      <c r="A943" s="15">
        <f t="shared" si="143"/>
        <v>1</v>
      </c>
      <c r="B943" s="26">
        <v>45429</v>
      </c>
      <c r="C943" s="51">
        <f t="shared" si="149"/>
        <v>939</v>
      </c>
      <c r="D943" s="27" t="s">
        <v>858</v>
      </c>
      <c r="E943" s="26" t="s">
        <v>11</v>
      </c>
      <c r="F943" s="28" t="s">
        <v>11</v>
      </c>
      <c r="G943" s="28" t="s">
        <v>11</v>
      </c>
      <c r="H943" s="254"/>
      <c r="I943" s="49">
        <v>1</v>
      </c>
      <c r="J943" s="49">
        <v>1</v>
      </c>
      <c r="K943" s="52">
        <f t="shared" si="144"/>
        <v>1</v>
      </c>
      <c r="L943" s="209">
        <f t="shared" si="145"/>
        <v>0</v>
      </c>
      <c r="M943" s="210">
        <f t="shared" si="146"/>
        <v>0</v>
      </c>
      <c r="N943" s="26">
        <v>45429</v>
      </c>
      <c r="O943" s="26">
        <v>45429</v>
      </c>
      <c r="P943" s="26">
        <v>45429</v>
      </c>
      <c r="Q943" s="2">
        <f t="shared" si="140"/>
        <v>1</v>
      </c>
      <c r="S943" s="7">
        <f t="shared" si="147"/>
        <v>1</v>
      </c>
      <c r="T943" s="157">
        <f t="shared" si="148"/>
        <v>1</v>
      </c>
      <c r="V943" s="191">
        <f t="shared" si="141"/>
        <v>5</v>
      </c>
      <c r="W943" s="7">
        <f t="shared" si="142"/>
        <v>2024</v>
      </c>
    </row>
    <row r="944" spans="1:23" ht="31.95" customHeight="1" thickBot="1" x14ac:dyDescent="0.35">
      <c r="A944" s="15">
        <f t="shared" si="143"/>
        <v>3</v>
      </c>
      <c r="B944" s="26">
        <v>45429</v>
      </c>
      <c r="C944" s="51">
        <f t="shared" si="149"/>
        <v>940</v>
      </c>
      <c r="D944" s="27" t="s">
        <v>305</v>
      </c>
      <c r="E944" s="26" t="s">
        <v>11</v>
      </c>
      <c r="F944" s="28" t="s">
        <v>11</v>
      </c>
      <c r="G944" s="28" t="s">
        <v>11</v>
      </c>
      <c r="H944" s="254"/>
      <c r="I944" s="49">
        <v>3</v>
      </c>
      <c r="J944" s="49">
        <v>3</v>
      </c>
      <c r="K944" s="52">
        <f t="shared" si="144"/>
        <v>1</v>
      </c>
      <c r="L944" s="209">
        <f t="shared" si="145"/>
        <v>0</v>
      </c>
      <c r="M944" s="210">
        <f t="shared" si="146"/>
        <v>0</v>
      </c>
      <c r="N944" s="26">
        <v>45429</v>
      </c>
      <c r="O944" s="26">
        <v>45429</v>
      </c>
      <c r="P944" s="26">
        <v>45429</v>
      </c>
      <c r="Q944" s="2">
        <f t="shared" si="140"/>
        <v>1</v>
      </c>
      <c r="S944" s="7">
        <f t="shared" si="147"/>
        <v>1</v>
      </c>
      <c r="T944" s="157">
        <f t="shared" si="148"/>
        <v>1</v>
      </c>
      <c r="V944" s="191">
        <f t="shared" si="141"/>
        <v>5</v>
      </c>
      <c r="W944" s="7">
        <f t="shared" si="142"/>
        <v>2024</v>
      </c>
    </row>
    <row r="945" spans="1:23" ht="31.95" customHeight="1" thickBot="1" x14ac:dyDescent="0.35">
      <c r="A945" s="15">
        <f t="shared" si="143"/>
        <v>1</v>
      </c>
      <c r="B945" s="26">
        <v>45429</v>
      </c>
      <c r="C945" s="51">
        <f t="shared" si="149"/>
        <v>941</v>
      </c>
      <c r="D945" s="27" t="s">
        <v>1150</v>
      </c>
      <c r="E945" s="26" t="s">
        <v>167</v>
      </c>
      <c r="F945" s="28" t="s">
        <v>11</v>
      </c>
      <c r="G945" s="28" t="s">
        <v>11</v>
      </c>
      <c r="H945" s="254"/>
      <c r="I945" s="49">
        <v>1</v>
      </c>
      <c r="J945" s="49">
        <v>1</v>
      </c>
      <c r="K945" s="52">
        <f t="shared" si="144"/>
        <v>1</v>
      </c>
      <c r="L945" s="209">
        <f t="shared" si="145"/>
        <v>0</v>
      </c>
      <c r="M945" s="210">
        <f t="shared" si="146"/>
        <v>0</v>
      </c>
      <c r="N945" s="26">
        <v>45432</v>
      </c>
      <c r="O945" s="26">
        <v>45432</v>
      </c>
      <c r="P945" s="26">
        <v>45432</v>
      </c>
      <c r="Q945" s="2">
        <f t="shared" si="140"/>
        <v>1</v>
      </c>
      <c r="S945" s="7">
        <f t="shared" si="147"/>
        <v>1</v>
      </c>
      <c r="T945" s="157">
        <f t="shared" si="148"/>
        <v>1</v>
      </c>
      <c r="V945" s="191">
        <f t="shared" si="141"/>
        <v>5</v>
      </c>
      <c r="W945" s="7">
        <f t="shared" si="142"/>
        <v>2024</v>
      </c>
    </row>
    <row r="946" spans="1:23" ht="31.95" customHeight="1" thickBot="1" x14ac:dyDescent="0.35">
      <c r="A946" s="15">
        <f t="shared" si="143"/>
        <v>3</v>
      </c>
      <c r="B946" s="26">
        <v>45432</v>
      </c>
      <c r="C946" s="51">
        <f t="shared" si="149"/>
        <v>942</v>
      </c>
      <c r="D946" s="27" t="s">
        <v>1206</v>
      </c>
      <c r="E946" s="26" t="s">
        <v>11</v>
      </c>
      <c r="F946" s="28" t="s">
        <v>11</v>
      </c>
      <c r="G946" s="28" t="s">
        <v>11</v>
      </c>
      <c r="H946" s="254"/>
      <c r="I946" s="49">
        <v>3</v>
      </c>
      <c r="J946" s="49">
        <v>3</v>
      </c>
      <c r="K946" s="52">
        <f t="shared" si="144"/>
        <v>1</v>
      </c>
      <c r="L946" s="209">
        <f t="shared" si="145"/>
        <v>0</v>
      </c>
      <c r="M946" s="210">
        <f t="shared" si="146"/>
        <v>0</v>
      </c>
      <c r="N946" s="26">
        <v>45432</v>
      </c>
      <c r="O946" s="26">
        <v>45432</v>
      </c>
      <c r="P946" s="26">
        <v>45432</v>
      </c>
      <c r="Q946" s="2">
        <f t="shared" si="140"/>
        <v>1</v>
      </c>
      <c r="S946" s="7">
        <f t="shared" si="147"/>
        <v>1</v>
      </c>
      <c r="T946" s="157">
        <f t="shared" si="148"/>
        <v>1</v>
      </c>
      <c r="V946" s="191">
        <f t="shared" si="141"/>
        <v>5</v>
      </c>
      <c r="W946" s="7">
        <f t="shared" si="142"/>
        <v>2024</v>
      </c>
    </row>
    <row r="947" spans="1:23" ht="31.95" customHeight="1" thickBot="1" x14ac:dyDescent="0.35">
      <c r="A947" s="15">
        <f t="shared" si="143"/>
        <v>1</v>
      </c>
      <c r="B947" s="26">
        <v>45432</v>
      </c>
      <c r="C947" s="51">
        <f t="shared" si="149"/>
        <v>943</v>
      </c>
      <c r="D947" s="27" t="s">
        <v>465</v>
      </c>
      <c r="E947" s="26" t="s">
        <v>155</v>
      </c>
      <c r="F947" s="28" t="s">
        <v>11</v>
      </c>
      <c r="G947" s="28" t="s">
        <v>11</v>
      </c>
      <c r="H947" s="254"/>
      <c r="I947" s="49">
        <v>1</v>
      </c>
      <c r="J947" s="49">
        <v>1</v>
      </c>
      <c r="K947" s="52">
        <f t="shared" si="144"/>
        <v>1</v>
      </c>
      <c r="L947" s="209">
        <f t="shared" si="145"/>
        <v>0</v>
      </c>
      <c r="M947" s="210">
        <f t="shared" si="146"/>
        <v>0</v>
      </c>
      <c r="N947" s="26">
        <v>45440</v>
      </c>
      <c r="O947" s="26">
        <v>45440</v>
      </c>
      <c r="P947" s="26">
        <v>45440</v>
      </c>
      <c r="Q947" s="2">
        <f t="shared" si="140"/>
        <v>1</v>
      </c>
      <c r="S947" s="7">
        <f t="shared" si="147"/>
        <v>1</v>
      </c>
      <c r="T947" s="157">
        <f t="shared" si="148"/>
        <v>1</v>
      </c>
      <c r="V947" s="191">
        <f t="shared" si="141"/>
        <v>5</v>
      </c>
      <c r="W947" s="7">
        <f t="shared" si="142"/>
        <v>2024</v>
      </c>
    </row>
    <row r="948" spans="1:23" ht="31.95" customHeight="1" thickBot="1" x14ac:dyDescent="0.35">
      <c r="A948" s="15">
        <f t="shared" si="143"/>
        <v>2</v>
      </c>
      <c r="B948" s="26">
        <v>45433</v>
      </c>
      <c r="C948" s="51">
        <f t="shared" si="149"/>
        <v>944</v>
      </c>
      <c r="D948" s="27" t="s">
        <v>858</v>
      </c>
      <c r="E948" s="26" t="s">
        <v>11</v>
      </c>
      <c r="F948" s="28" t="s">
        <v>11</v>
      </c>
      <c r="G948" s="28" t="s">
        <v>11</v>
      </c>
      <c r="H948" s="254"/>
      <c r="I948" s="49">
        <v>2</v>
      </c>
      <c r="J948" s="49">
        <v>2</v>
      </c>
      <c r="K948" s="52">
        <f t="shared" si="144"/>
        <v>1</v>
      </c>
      <c r="L948" s="209">
        <f t="shared" si="145"/>
        <v>0</v>
      </c>
      <c r="M948" s="210">
        <f t="shared" si="146"/>
        <v>0</v>
      </c>
      <c r="N948" s="26">
        <v>45433</v>
      </c>
      <c r="O948" s="26">
        <v>45433</v>
      </c>
      <c r="P948" s="26">
        <v>45433</v>
      </c>
      <c r="Q948" s="2">
        <f t="shared" si="140"/>
        <v>1</v>
      </c>
      <c r="S948" s="7">
        <f t="shared" si="147"/>
        <v>1</v>
      </c>
      <c r="T948" s="157">
        <f t="shared" si="148"/>
        <v>1</v>
      </c>
      <c r="V948" s="191">
        <f t="shared" si="141"/>
        <v>5</v>
      </c>
      <c r="W948" s="7">
        <f t="shared" si="142"/>
        <v>2024</v>
      </c>
    </row>
    <row r="949" spans="1:23" ht="31.95" customHeight="1" thickBot="1" x14ac:dyDescent="0.35">
      <c r="A949" s="15">
        <f t="shared" si="143"/>
        <v>1</v>
      </c>
      <c r="B949" s="26">
        <v>45433</v>
      </c>
      <c r="C949" s="51">
        <f t="shared" si="149"/>
        <v>945</v>
      </c>
      <c r="D949" s="27" t="s">
        <v>705</v>
      </c>
      <c r="E949" s="26" t="s">
        <v>11</v>
      </c>
      <c r="F949" s="28" t="s">
        <v>11</v>
      </c>
      <c r="G949" s="28" t="s">
        <v>11</v>
      </c>
      <c r="H949" s="254"/>
      <c r="I949" s="49">
        <v>1</v>
      </c>
      <c r="J949" s="49">
        <v>1</v>
      </c>
      <c r="K949" s="52">
        <f t="shared" si="144"/>
        <v>1</v>
      </c>
      <c r="L949" s="209">
        <f t="shared" si="145"/>
        <v>0</v>
      </c>
      <c r="M949" s="210">
        <f t="shared" si="146"/>
        <v>0</v>
      </c>
      <c r="N949" s="26">
        <v>45433</v>
      </c>
      <c r="O949" s="26">
        <v>45433</v>
      </c>
      <c r="P949" s="26">
        <v>45433</v>
      </c>
      <c r="Q949" s="2">
        <f t="shared" si="140"/>
        <v>1</v>
      </c>
      <c r="S949" s="7">
        <f t="shared" si="147"/>
        <v>1</v>
      </c>
      <c r="T949" s="157">
        <f t="shared" si="148"/>
        <v>1</v>
      </c>
      <c r="V949" s="191">
        <f t="shared" si="141"/>
        <v>5</v>
      </c>
      <c r="W949" s="7">
        <f t="shared" si="142"/>
        <v>2024</v>
      </c>
    </row>
    <row r="950" spans="1:23" ht="31.95" customHeight="1" thickBot="1" x14ac:dyDescent="0.35">
      <c r="A950" s="15">
        <f t="shared" si="143"/>
        <v>2</v>
      </c>
      <c r="B950" s="26">
        <v>45434</v>
      </c>
      <c r="C950" s="51">
        <f t="shared" si="149"/>
        <v>946</v>
      </c>
      <c r="D950" s="27" t="s">
        <v>978</v>
      </c>
      <c r="E950" s="26" t="s">
        <v>164</v>
      </c>
      <c r="F950" s="28" t="s">
        <v>11</v>
      </c>
      <c r="G950" s="28" t="s">
        <v>11</v>
      </c>
      <c r="H950" s="254"/>
      <c r="I950" s="49">
        <v>2</v>
      </c>
      <c r="J950" s="49">
        <v>2</v>
      </c>
      <c r="K950" s="52">
        <f t="shared" si="144"/>
        <v>1</v>
      </c>
      <c r="L950" s="209">
        <f t="shared" si="145"/>
        <v>0</v>
      </c>
      <c r="M950" s="210">
        <f t="shared" si="146"/>
        <v>0</v>
      </c>
      <c r="N950" s="26">
        <v>45435</v>
      </c>
      <c r="O950" s="26">
        <v>45435</v>
      </c>
      <c r="P950" s="26">
        <v>45435</v>
      </c>
      <c r="Q950" s="2">
        <f t="shared" si="140"/>
        <v>1</v>
      </c>
      <c r="S950" s="7">
        <f t="shared" si="147"/>
        <v>1</v>
      </c>
      <c r="T950" s="157">
        <f t="shared" si="148"/>
        <v>1</v>
      </c>
      <c r="V950" s="191">
        <f t="shared" si="141"/>
        <v>5</v>
      </c>
      <c r="W950" s="7">
        <f t="shared" si="142"/>
        <v>2024</v>
      </c>
    </row>
    <row r="951" spans="1:23" ht="31.95" customHeight="1" thickBot="1" x14ac:dyDescent="0.35">
      <c r="A951" s="15">
        <f t="shared" si="143"/>
        <v>1</v>
      </c>
      <c r="B951" s="26">
        <v>45435</v>
      </c>
      <c r="C951" s="51">
        <f t="shared" si="149"/>
        <v>947</v>
      </c>
      <c r="D951" s="27" t="s">
        <v>858</v>
      </c>
      <c r="E951" s="26" t="s">
        <v>11</v>
      </c>
      <c r="F951" s="28" t="s">
        <v>11</v>
      </c>
      <c r="G951" s="28" t="s">
        <v>11</v>
      </c>
      <c r="H951" s="254"/>
      <c r="I951" s="49">
        <v>1</v>
      </c>
      <c r="J951" s="49">
        <v>1</v>
      </c>
      <c r="K951" s="52">
        <f t="shared" si="144"/>
        <v>1</v>
      </c>
      <c r="L951" s="209">
        <f t="shared" si="145"/>
        <v>0</v>
      </c>
      <c r="M951" s="210">
        <f t="shared" si="146"/>
        <v>0</v>
      </c>
      <c r="N951" s="26">
        <v>45435</v>
      </c>
      <c r="O951" s="26">
        <v>45435</v>
      </c>
      <c r="P951" s="26">
        <v>45435</v>
      </c>
      <c r="Q951" s="2">
        <f t="shared" si="140"/>
        <v>1</v>
      </c>
      <c r="S951" s="7">
        <f t="shared" si="147"/>
        <v>1</v>
      </c>
      <c r="T951" s="157">
        <f t="shared" si="148"/>
        <v>1</v>
      </c>
      <c r="V951" s="191">
        <f t="shared" si="141"/>
        <v>5</v>
      </c>
      <c r="W951" s="7">
        <f t="shared" si="142"/>
        <v>2024</v>
      </c>
    </row>
    <row r="952" spans="1:23" ht="31.95" customHeight="1" thickBot="1" x14ac:dyDescent="0.35">
      <c r="A952" s="15">
        <f t="shared" si="143"/>
        <v>2</v>
      </c>
      <c r="B952" s="26">
        <v>45435</v>
      </c>
      <c r="C952" s="51">
        <f t="shared" si="149"/>
        <v>948</v>
      </c>
      <c r="D952" s="27" t="s">
        <v>305</v>
      </c>
      <c r="E952" s="26" t="s">
        <v>11</v>
      </c>
      <c r="F952" s="28" t="s">
        <v>11</v>
      </c>
      <c r="G952" s="28" t="s">
        <v>11</v>
      </c>
      <c r="H952" s="254"/>
      <c r="I952" s="49">
        <v>2</v>
      </c>
      <c r="J952" s="49">
        <v>2</v>
      </c>
      <c r="K952" s="52">
        <f t="shared" si="144"/>
        <v>1</v>
      </c>
      <c r="L952" s="209">
        <f t="shared" si="145"/>
        <v>0</v>
      </c>
      <c r="M952" s="210">
        <f t="shared" si="146"/>
        <v>0</v>
      </c>
      <c r="N952" s="26">
        <v>45435</v>
      </c>
      <c r="O952" s="26">
        <v>45435</v>
      </c>
      <c r="P952" s="26">
        <v>45435</v>
      </c>
      <c r="Q952" s="2">
        <f t="shared" si="140"/>
        <v>1</v>
      </c>
      <c r="S952" s="7">
        <f t="shared" si="147"/>
        <v>1</v>
      </c>
      <c r="T952" s="157">
        <f t="shared" si="148"/>
        <v>1</v>
      </c>
      <c r="V952" s="191">
        <f t="shared" si="141"/>
        <v>5</v>
      </c>
      <c r="W952" s="7">
        <f t="shared" si="142"/>
        <v>2024</v>
      </c>
    </row>
    <row r="953" spans="1:23" ht="31.95" customHeight="1" thickBot="1" x14ac:dyDescent="0.35">
      <c r="A953" s="15">
        <f t="shared" si="143"/>
        <v>1</v>
      </c>
      <c r="B953" s="26">
        <v>45439</v>
      </c>
      <c r="C953" s="51">
        <f t="shared" si="149"/>
        <v>949</v>
      </c>
      <c r="D953" s="27" t="s">
        <v>305</v>
      </c>
      <c r="E953" s="26" t="s">
        <v>11</v>
      </c>
      <c r="F953" s="28" t="s">
        <v>11</v>
      </c>
      <c r="G953" s="28" t="s">
        <v>11</v>
      </c>
      <c r="H953" s="254"/>
      <c r="I953" s="49">
        <v>1</v>
      </c>
      <c r="J953" s="49">
        <v>1</v>
      </c>
      <c r="K953" s="52">
        <f t="shared" si="144"/>
        <v>1</v>
      </c>
      <c r="L953" s="209">
        <f t="shared" si="145"/>
        <v>0</v>
      </c>
      <c r="M953" s="210">
        <f t="shared" si="146"/>
        <v>0</v>
      </c>
      <c r="N953" s="26">
        <v>45439</v>
      </c>
      <c r="O953" s="26">
        <v>45439</v>
      </c>
      <c r="P953" s="26">
        <v>45439</v>
      </c>
      <c r="Q953" s="2">
        <f t="shared" si="140"/>
        <v>1</v>
      </c>
      <c r="S953" s="7">
        <f t="shared" si="147"/>
        <v>1</v>
      </c>
      <c r="T953" s="157">
        <f t="shared" si="148"/>
        <v>1</v>
      </c>
      <c r="V953" s="191">
        <f t="shared" si="141"/>
        <v>5</v>
      </c>
      <c r="W953" s="7">
        <f t="shared" si="142"/>
        <v>2024</v>
      </c>
    </row>
    <row r="954" spans="1:23" ht="31.95" customHeight="1" thickBot="1" x14ac:dyDescent="0.35">
      <c r="A954" s="15">
        <f t="shared" si="143"/>
        <v>2</v>
      </c>
      <c r="B954" s="26">
        <v>45439</v>
      </c>
      <c r="C954" s="51">
        <f t="shared" si="149"/>
        <v>950</v>
      </c>
      <c r="D954" s="27" t="s">
        <v>978</v>
      </c>
      <c r="E954" s="26" t="s">
        <v>145</v>
      </c>
      <c r="F954" s="28" t="s">
        <v>11</v>
      </c>
      <c r="G954" s="28" t="s">
        <v>11</v>
      </c>
      <c r="H954" s="254"/>
      <c r="I954" s="49">
        <v>2</v>
      </c>
      <c r="J954" s="49">
        <v>2</v>
      </c>
      <c r="K954" s="52">
        <f t="shared" si="144"/>
        <v>1</v>
      </c>
      <c r="L954" s="209">
        <f t="shared" si="145"/>
        <v>0</v>
      </c>
      <c r="M954" s="210">
        <f t="shared" si="146"/>
        <v>0</v>
      </c>
      <c r="N954" s="26">
        <v>45441</v>
      </c>
      <c r="O954" s="26">
        <v>45441</v>
      </c>
      <c r="P954" s="26">
        <v>45441</v>
      </c>
      <c r="Q954" s="2">
        <f t="shared" si="140"/>
        <v>1</v>
      </c>
      <c r="S954" s="7">
        <f t="shared" si="147"/>
        <v>1</v>
      </c>
      <c r="T954" s="157">
        <f t="shared" si="148"/>
        <v>1</v>
      </c>
      <c r="V954" s="191">
        <f t="shared" si="141"/>
        <v>5</v>
      </c>
      <c r="W954" s="7">
        <f t="shared" si="142"/>
        <v>2024</v>
      </c>
    </row>
    <row r="955" spans="1:23" ht="31.95" customHeight="1" thickBot="1" x14ac:dyDescent="0.35">
      <c r="A955" s="15">
        <f t="shared" si="143"/>
        <v>1</v>
      </c>
      <c r="B955" s="26">
        <v>45441</v>
      </c>
      <c r="C955" s="51">
        <f t="shared" si="149"/>
        <v>951</v>
      </c>
      <c r="D955" s="27" t="s">
        <v>705</v>
      </c>
      <c r="E955" s="26" t="s">
        <v>11</v>
      </c>
      <c r="F955" s="28" t="s">
        <v>11</v>
      </c>
      <c r="G955" s="28" t="s">
        <v>11</v>
      </c>
      <c r="H955" s="254"/>
      <c r="I955" s="49">
        <v>1</v>
      </c>
      <c r="J955" s="49">
        <v>1</v>
      </c>
      <c r="K955" s="52">
        <f t="shared" si="144"/>
        <v>1</v>
      </c>
      <c r="L955" s="209">
        <f t="shared" si="145"/>
        <v>0</v>
      </c>
      <c r="M955" s="210">
        <f t="shared" si="146"/>
        <v>0</v>
      </c>
      <c r="N955" s="26">
        <v>45441</v>
      </c>
      <c r="O955" s="26">
        <v>45441</v>
      </c>
      <c r="P955" s="26">
        <v>45441</v>
      </c>
      <c r="Q955" s="2">
        <f t="shared" si="140"/>
        <v>1</v>
      </c>
      <c r="S955" s="7">
        <f t="shared" si="147"/>
        <v>1</v>
      </c>
      <c r="T955" s="157">
        <f t="shared" si="148"/>
        <v>1</v>
      </c>
      <c r="V955" s="191">
        <f t="shared" si="141"/>
        <v>5</v>
      </c>
      <c r="W955" s="7">
        <f t="shared" si="142"/>
        <v>2024</v>
      </c>
    </row>
    <row r="956" spans="1:23" ht="31.95" customHeight="1" thickBot="1" x14ac:dyDescent="0.35">
      <c r="A956" s="15">
        <f t="shared" si="143"/>
        <v>2</v>
      </c>
      <c r="B956" s="26">
        <v>45441</v>
      </c>
      <c r="C956" s="51">
        <f t="shared" si="149"/>
        <v>952</v>
      </c>
      <c r="D956" s="27" t="s">
        <v>305</v>
      </c>
      <c r="E956" s="26" t="s">
        <v>11</v>
      </c>
      <c r="F956" s="28" t="s">
        <v>11</v>
      </c>
      <c r="G956" s="28" t="s">
        <v>11</v>
      </c>
      <c r="H956" s="254"/>
      <c r="I956" s="49">
        <v>2</v>
      </c>
      <c r="J956" s="49">
        <v>2</v>
      </c>
      <c r="K956" s="52">
        <f t="shared" si="144"/>
        <v>1</v>
      </c>
      <c r="L956" s="209">
        <f t="shared" si="145"/>
        <v>0</v>
      </c>
      <c r="M956" s="210">
        <f t="shared" si="146"/>
        <v>0</v>
      </c>
      <c r="N956" s="26">
        <v>45441</v>
      </c>
      <c r="O956" s="26">
        <v>45441</v>
      </c>
      <c r="P956" s="26">
        <v>45441</v>
      </c>
      <c r="Q956" s="2">
        <f t="shared" si="140"/>
        <v>1</v>
      </c>
      <c r="S956" s="7">
        <f t="shared" si="147"/>
        <v>1</v>
      </c>
      <c r="T956" s="157">
        <f t="shared" si="148"/>
        <v>1</v>
      </c>
      <c r="V956" s="191">
        <f t="shared" si="141"/>
        <v>5</v>
      </c>
      <c r="W956" s="7">
        <f t="shared" si="142"/>
        <v>2024</v>
      </c>
    </row>
    <row r="957" spans="1:23" ht="31.95" customHeight="1" thickBot="1" x14ac:dyDescent="0.35">
      <c r="A957" s="15">
        <f t="shared" si="143"/>
        <v>1</v>
      </c>
      <c r="B957" s="26">
        <v>45441</v>
      </c>
      <c r="C957" s="51">
        <f t="shared" si="149"/>
        <v>953</v>
      </c>
      <c r="D957" s="27" t="s">
        <v>705</v>
      </c>
      <c r="E957" s="26" t="s">
        <v>11</v>
      </c>
      <c r="F957" s="28" t="s">
        <v>11</v>
      </c>
      <c r="G957" s="28" t="s">
        <v>11</v>
      </c>
      <c r="H957" s="254"/>
      <c r="I957" s="49">
        <v>1</v>
      </c>
      <c r="J957" s="49">
        <v>1</v>
      </c>
      <c r="K957" s="52">
        <f t="shared" si="144"/>
        <v>1</v>
      </c>
      <c r="L957" s="209">
        <f t="shared" si="145"/>
        <v>0</v>
      </c>
      <c r="M957" s="210">
        <f t="shared" si="146"/>
        <v>0</v>
      </c>
      <c r="N957" s="26">
        <v>45441</v>
      </c>
      <c r="O957" s="26">
        <v>45441</v>
      </c>
      <c r="P957" s="26">
        <v>45441</v>
      </c>
      <c r="Q957" s="2">
        <f t="shared" si="140"/>
        <v>1</v>
      </c>
      <c r="S957" s="7">
        <f t="shared" si="147"/>
        <v>1</v>
      </c>
      <c r="T957" s="157">
        <f t="shared" si="148"/>
        <v>1</v>
      </c>
      <c r="V957" s="191">
        <f t="shared" si="141"/>
        <v>5</v>
      </c>
      <c r="W957" s="7">
        <f t="shared" si="142"/>
        <v>2024</v>
      </c>
    </row>
    <row r="958" spans="1:23" ht="31.95" customHeight="1" thickBot="1" x14ac:dyDescent="0.35">
      <c r="A958" s="15">
        <f t="shared" si="143"/>
        <v>3</v>
      </c>
      <c r="B958" s="26">
        <v>45448</v>
      </c>
      <c r="C958" s="51">
        <f t="shared" si="149"/>
        <v>954</v>
      </c>
      <c r="D958" s="27" t="s">
        <v>305</v>
      </c>
      <c r="E958" s="26" t="s">
        <v>11</v>
      </c>
      <c r="F958" s="28" t="s">
        <v>11</v>
      </c>
      <c r="G958" s="28" t="s">
        <v>11</v>
      </c>
      <c r="H958" s="254"/>
      <c r="I958" s="49">
        <v>3</v>
      </c>
      <c r="J958" s="49">
        <v>3</v>
      </c>
      <c r="K958" s="52">
        <f t="shared" si="144"/>
        <v>1</v>
      </c>
      <c r="L958" s="209">
        <f t="shared" si="145"/>
        <v>0</v>
      </c>
      <c r="M958" s="210">
        <f t="shared" si="146"/>
        <v>0</v>
      </c>
      <c r="N958" s="26">
        <v>45448</v>
      </c>
      <c r="O958" s="26">
        <v>45448</v>
      </c>
      <c r="P958" s="26">
        <v>45448</v>
      </c>
      <c r="Q958" s="2">
        <f t="shared" si="140"/>
        <v>1</v>
      </c>
      <c r="S958" s="7">
        <f t="shared" si="147"/>
        <v>1</v>
      </c>
      <c r="T958" s="157">
        <f t="shared" si="148"/>
        <v>1</v>
      </c>
      <c r="V958" s="191">
        <f t="shared" si="141"/>
        <v>6</v>
      </c>
      <c r="W958" s="7">
        <f t="shared" si="142"/>
        <v>2024</v>
      </c>
    </row>
    <row r="959" spans="1:23" ht="31.95" customHeight="1" thickBot="1" x14ac:dyDescent="0.35">
      <c r="A959" s="15">
        <f t="shared" si="143"/>
        <v>1</v>
      </c>
      <c r="B959" s="26">
        <v>45448</v>
      </c>
      <c r="C959" s="51">
        <f t="shared" si="149"/>
        <v>955</v>
      </c>
      <c r="D959" s="27" t="s">
        <v>1100</v>
      </c>
      <c r="E959" s="26" t="s">
        <v>147</v>
      </c>
      <c r="F959" s="28" t="s">
        <v>11</v>
      </c>
      <c r="G959" s="28" t="s">
        <v>11</v>
      </c>
      <c r="H959" s="254"/>
      <c r="I959" s="49">
        <v>1</v>
      </c>
      <c r="J959" s="49">
        <v>1</v>
      </c>
      <c r="K959" s="52">
        <f t="shared" si="144"/>
        <v>1</v>
      </c>
      <c r="L959" s="209">
        <f t="shared" si="145"/>
        <v>0</v>
      </c>
      <c r="M959" s="210">
        <f t="shared" si="146"/>
        <v>0</v>
      </c>
      <c r="N959" s="26">
        <v>45449</v>
      </c>
      <c r="O959" s="26">
        <v>45449</v>
      </c>
      <c r="P959" s="26">
        <v>45449</v>
      </c>
      <c r="Q959" s="2">
        <f t="shared" si="140"/>
        <v>1</v>
      </c>
      <c r="S959" s="7">
        <f t="shared" si="147"/>
        <v>1</v>
      </c>
      <c r="T959" s="157">
        <f t="shared" si="148"/>
        <v>1</v>
      </c>
      <c r="V959" s="191">
        <f t="shared" si="141"/>
        <v>6</v>
      </c>
      <c r="W959" s="7">
        <f t="shared" si="142"/>
        <v>2024</v>
      </c>
    </row>
    <row r="960" spans="1:23" ht="31.95" customHeight="1" thickBot="1" x14ac:dyDescent="0.35">
      <c r="A960" s="15">
        <f t="shared" si="143"/>
        <v>1</v>
      </c>
      <c r="B960" s="26">
        <v>45449</v>
      </c>
      <c r="C960" s="51">
        <f t="shared" si="149"/>
        <v>956</v>
      </c>
      <c r="D960" s="27" t="s">
        <v>741</v>
      </c>
      <c r="E960" s="26" t="s">
        <v>147</v>
      </c>
      <c r="F960" s="28" t="s">
        <v>11</v>
      </c>
      <c r="G960" s="28" t="s">
        <v>11</v>
      </c>
      <c r="H960" s="254"/>
      <c r="I960" s="49">
        <v>1</v>
      </c>
      <c r="J960" s="49">
        <v>1</v>
      </c>
      <c r="K960" s="52">
        <f t="shared" si="144"/>
        <v>1</v>
      </c>
      <c r="L960" s="209">
        <f t="shared" si="145"/>
        <v>0</v>
      </c>
      <c r="M960" s="210">
        <f t="shared" si="146"/>
        <v>0</v>
      </c>
      <c r="N960" s="26">
        <v>45456</v>
      </c>
      <c r="O960" s="26">
        <v>45456</v>
      </c>
      <c r="P960" s="26">
        <v>45456</v>
      </c>
      <c r="Q960" s="2">
        <f t="shared" si="140"/>
        <v>1</v>
      </c>
      <c r="S960" s="7">
        <f t="shared" si="147"/>
        <v>1</v>
      </c>
      <c r="T960" s="157">
        <f t="shared" si="148"/>
        <v>1</v>
      </c>
      <c r="V960" s="191">
        <f t="shared" si="141"/>
        <v>6</v>
      </c>
      <c r="W960" s="7">
        <f t="shared" si="142"/>
        <v>2024</v>
      </c>
    </row>
    <row r="961" spans="1:23" ht="31.95" customHeight="1" thickBot="1" x14ac:dyDescent="0.35">
      <c r="A961" s="15">
        <f t="shared" si="143"/>
        <v>5</v>
      </c>
      <c r="B961" s="26">
        <v>45449</v>
      </c>
      <c r="C961" s="51">
        <f t="shared" si="149"/>
        <v>957</v>
      </c>
      <c r="D961" s="27" t="s">
        <v>305</v>
      </c>
      <c r="E961" s="26" t="s">
        <v>147</v>
      </c>
      <c r="F961" s="28" t="s">
        <v>11</v>
      </c>
      <c r="G961" s="28" t="s">
        <v>11</v>
      </c>
      <c r="H961" s="254"/>
      <c r="I961" s="49">
        <v>5</v>
      </c>
      <c r="J961" s="49">
        <v>5</v>
      </c>
      <c r="K961" s="52">
        <f t="shared" si="144"/>
        <v>1</v>
      </c>
      <c r="L961" s="209">
        <f t="shared" si="145"/>
        <v>0</v>
      </c>
      <c r="M961" s="210">
        <f t="shared" si="146"/>
        <v>0</v>
      </c>
      <c r="N961" s="26">
        <v>45450</v>
      </c>
      <c r="O961" s="26">
        <v>45450</v>
      </c>
      <c r="P961" s="26">
        <v>45450</v>
      </c>
      <c r="Q961" s="2">
        <f t="shared" si="140"/>
        <v>1</v>
      </c>
      <c r="S961" s="7">
        <f t="shared" si="147"/>
        <v>1</v>
      </c>
      <c r="T961" s="157">
        <f t="shared" si="148"/>
        <v>1</v>
      </c>
      <c r="V961" s="191">
        <f t="shared" si="141"/>
        <v>6</v>
      </c>
      <c r="W961" s="7">
        <f t="shared" si="142"/>
        <v>2024</v>
      </c>
    </row>
    <row r="962" spans="1:23" ht="31.95" customHeight="1" thickBot="1" x14ac:dyDescent="0.35">
      <c r="A962" s="15">
        <f t="shared" si="143"/>
        <v>2</v>
      </c>
      <c r="B962" s="26">
        <v>45450</v>
      </c>
      <c r="C962" s="51">
        <f t="shared" si="149"/>
        <v>958</v>
      </c>
      <c r="D962" s="27" t="s">
        <v>602</v>
      </c>
      <c r="E962" s="26" t="s">
        <v>169</v>
      </c>
      <c r="F962" s="28" t="s">
        <v>11</v>
      </c>
      <c r="G962" s="28" t="s">
        <v>11</v>
      </c>
      <c r="H962" s="254"/>
      <c r="I962" s="49">
        <v>2</v>
      </c>
      <c r="J962" s="49">
        <v>2</v>
      </c>
      <c r="K962" s="52">
        <f t="shared" si="144"/>
        <v>1</v>
      </c>
      <c r="L962" s="209">
        <f t="shared" si="145"/>
        <v>0</v>
      </c>
      <c r="M962" s="210">
        <f t="shared" si="146"/>
        <v>0</v>
      </c>
      <c r="N962" s="26">
        <v>45454</v>
      </c>
      <c r="O962" s="26">
        <v>45454</v>
      </c>
      <c r="P962" s="26">
        <v>45454</v>
      </c>
      <c r="Q962" s="2">
        <f t="shared" si="140"/>
        <v>1</v>
      </c>
      <c r="S962" s="7">
        <f t="shared" si="147"/>
        <v>1</v>
      </c>
      <c r="T962" s="157">
        <f t="shared" si="148"/>
        <v>1</v>
      </c>
      <c r="V962" s="191">
        <f t="shared" si="141"/>
        <v>6</v>
      </c>
      <c r="W962" s="7">
        <f t="shared" si="142"/>
        <v>2024</v>
      </c>
    </row>
    <row r="963" spans="1:23" ht="31.95" customHeight="1" thickBot="1" x14ac:dyDescent="0.35">
      <c r="A963" s="15">
        <f t="shared" si="143"/>
        <v>4</v>
      </c>
      <c r="B963" s="26">
        <v>45450</v>
      </c>
      <c r="C963" s="51">
        <f t="shared" si="149"/>
        <v>959</v>
      </c>
      <c r="D963" s="27" t="s">
        <v>602</v>
      </c>
      <c r="E963" s="26" t="s">
        <v>169</v>
      </c>
      <c r="F963" s="28" t="s">
        <v>11</v>
      </c>
      <c r="G963" s="28" t="s">
        <v>11</v>
      </c>
      <c r="H963" s="254"/>
      <c r="I963" s="49">
        <v>4</v>
      </c>
      <c r="J963" s="49">
        <v>4</v>
      </c>
      <c r="K963" s="52">
        <f t="shared" si="144"/>
        <v>1</v>
      </c>
      <c r="L963" s="209">
        <f t="shared" si="145"/>
        <v>0</v>
      </c>
      <c r="M963" s="210">
        <f t="shared" si="146"/>
        <v>0</v>
      </c>
      <c r="N963" s="26">
        <v>45454</v>
      </c>
      <c r="O963" s="26">
        <v>45454</v>
      </c>
      <c r="P963" s="26">
        <v>45454</v>
      </c>
      <c r="Q963" s="2">
        <f t="shared" si="140"/>
        <v>1</v>
      </c>
      <c r="S963" s="7">
        <f t="shared" si="147"/>
        <v>1</v>
      </c>
      <c r="T963" s="157">
        <f t="shared" si="148"/>
        <v>1</v>
      </c>
      <c r="V963" s="191">
        <f t="shared" si="141"/>
        <v>6</v>
      </c>
      <c r="W963" s="7">
        <f t="shared" si="142"/>
        <v>2024</v>
      </c>
    </row>
    <row r="964" spans="1:23" ht="31.95" customHeight="1" thickBot="1" x14ac:dyDescent="0.35">
      <c r="A964" s="15">
        <f t="shared" si="143"/>
        <v>4</v>
      </c>
      <c r="B964" s="26">
        <v>45450</v>
      </c>
      <c r="C964" s="51">
        <f t="shared" si="149"/>
        <v>960</v>
      </c>
      <c r="D964" s="27" t="s">
        <v>978</v>
      </c>
      <c r="E964" s="26" t="s">
        <v>169</v>
      </c>
      <c r="F964" s="28" t="s">
        <v>11</v>
      </c>
      <c r="G964" s="28" t="s">
        <v>11</v>
      </c>
      <c r="H964" s="254"/>
      <c r="I964" s="49">
        <v>4</v>
      </c>
      <c r="J964" s="49">
        <v>4</v>
      </c>
      <c r="K964" s="52">
        <f t="shared" si="144"/>
        <v>1</v>
      </c>
      <c r="L964" s="209">
        <f t="shared" si="145"/>
        <v>0</v>
      </c>
      <c r="M964" s="210">
        <f t="shared" si="146"/>
        <v>0</v>
      </c>
      <c r="N964" s="26">
        <v>45457</v>
      </c>
      <c r="O964" s="26">
        <v>45457</v>
      </c>
      <c r="P964" s="26">
        <v>45457</v>
      </c>
      <c r="Q964" s="2">
        <f t="shared" si="140"/>
        <v>1</v>
      </c>
      <c r="S964" s="7">
        <f t="shared" si="147"/>
        <v>1</v>
      </c>
      <c r="T964" s="157">
        <f t="shared" si="148"/>
        <v>1</v>
      </c>
      <c r="V964" s="191">
        <f t="shared" si="141"/>
        <v>6</v>
      </c>
      <c r="W964" s="7">
        <f t="shared" si="142"/>
        <v>2024</v>
      </c>
    </row>
    <row r="965" spans="1:23" ht="31.95" customHeight="1" thickBot="1" x14ac:dyDescent="0.35">
      <c r="A965" s="15">
        <f t="shared" si="143"/>
        <v>4</v>
      </c>
      <c r="B965" s="26">
        <v>45453</v>
      </c>
      <c r="C965" s="51">
        <f t="shared" si="149"/>
        <v>961</v>
      </c>
      <c r="D965" s="27" t="s">
        <v>305</v>
      </c>
      <c r="E965" s="26" t="s">
        <v>11</v>
      </c>
      <c r="F965" s="28" t="s">
        <v>11</v>
      </c>
      <c r="G965" s="28" t="s">
        <v>11</v>
      </c>
      <c r="H965" s="254"/>
      <c r="I965" s="49">
        <v>4</v>
      </c>
      <c r="J965" s="49">
        <v>4</v>
      </c>
      <c r="K965" s="52">
        <f t="shared" si="144"/>
        <v>1</v>
      </c>
      <c r="L965" s="209">
        <f t="shared" si="145"/>
        <v>0</v>
      </c>
      <c r="M965" s="210">
        <f t="shared" si="146"/>
        <v>0</v>
      </c>
      <c r="N965" s="26">
        <v>45454</v>
      </c>
      <c r="O965" s="26">
        <v>45454</v>
      </c>
      <c r="P965" s="26">
        <v>45454</v>
      </c>
      <c r="Q965" s="2">
        <f t="shared" ref="Q965:Q1028" si="150">IF(B965&lt;&gt;"",1,0)</f>
        <v>1</v>
      </c>
      <c r="S965" s="7">
        <f t="shared" si="147"/>
        <v>1</v>
      </c>
      <c r="T965" s="157">
        <f t="shared" si="148"/>
        <v>1</v>
      </c>
      <c r="V965" s="191">
        <f t="shared" ref="V965:V1028" si="151">MONTH(B965)</f>
        <v>6</v>
      </c>
      <c r="W965" s="7">
        <f t="shared" ref="W965:W1028" si="152">YEAR(B965)</f>
        <v>2024</v>
      </c>
    </row>
    <row r="966" spans="1:23" ht="31.95" customHeight="1" thickBot="1" x14ac:dyDescent="0.35">
      <c r="A966" s="15">
        <f t="shared" ref="A966:A1004" si="153">J966</f>
        <v>2</v>
      </c>
      <c r="B966" s="26">
        <v>45453</v>
      </c>
      <c r="C966" s="51">
        <f t="shared" si="149"/>
        <v>962</v>
      </c>
      <c r="D966" s="27" t="s">
        <v>602</v>
      </c>
      <c r="E966" s="26" t="s">
        <v>1312</v>
      </c>
      <c r="F966" s="28" t="s">
        <v>11</v>
      </c>
      <c r="G966" s="28" t="s">
        <v>11</v>
      </c>
      <c r="H966" s="254"/>
      <c r="I966" s="49">
        <v>2</v>
      </c>
      <c r="J966" s="49">
        <v>2</v>
      </c>
      <c r="K966" s="52">
        <f t="shared" ref="K966:K1004" si="154">IFERROR(J966/I966,"")</f>
        <v>1</v>
      </c>
      <c r="L966" s="209">
        <f t="shared" ref="L966:L1004" si="155">IF(I966="","",I966-J966)</f>
        <v>0</v>
      </c>
      <c r="M966" s="210">
        <f t="shared" ref="M966:M1004" si="156">IFERROR(1-K966,"")</f>
        <v>0</v>
      </c>
      <c r="N966" s="26">
        <v>45454</v>
      </c>
      <c r="O966" s="26">
        <v>45454</v>
      </c>
      <c r="P966" s="26">
        <v>45454</v>
      </c>
      <c r="Q966" s="2">
        <f t="shared" si="150"/>
        <v>1</v>
      </c>
      <c r="S966" s="7">
        <f t="shared" ref="S966:S1029" si="157">IF(AND(O966&lt;=N966,O966&lt;&gt;""),1,0)</f>
        <v>1</v>
      </c>
      <c r="T966" s="157">
        <f t="shared" ref="T966:T1029" si="158">IF(AND(P966&lt;=N966,P966&lt;&gt;""),1,0)</f>
        <v>1</v>
      </c>
      <c r="V966" s="191">
        <f t="shared" si="151"/>
        <v>6</v>
      </c>
      <c r="W966" s="7">
        <f t="shared" si="152"/>
        <v>2024</v>
      </c>
    </row>
    <row r="967" spans="1:23" ht="31.95" customHeight="1" thickBot="1" x14ac:dyDescent="0.35">
      <c r="A967" s="15">
        <f t="shared" si="153"/>
        <v>3</v>
      </c>
      <c r="B967" s="26">
        <v>45453</v>
      </c>
      <c r="C967" s="51">
        <f t="shared" ref="C967:C1030" si="159">IF(B967&lt;&gt;"",C966+1,"")</f>
        <v>963</v>
      </c>
      <c r="D967" s="27" t="s">
        <v>890</v>
      </c>
      <c r="E967" s="26" t="s">
        <v>144</v>
      </c>
      <c r="F967" s="28" t="s">
        <v>11</v>
      </c>
      <c r="G967" s="28" t="s">
        <v>11</v>
      </c>
      <c r="H967" s="254"/>
      <c r="I967" s="49">
        <v>3</v>
      </c>
      <c r="J967" s="49">
        <v>3</v>
      </c>
      <c r="K967" s="52">
        <f t="shared" si="154"/>
        <v>1</v>
      </c>
      <c r="L967" s="209">
        <f t="shared" si="155"/>
        <v>0</v>
      </c>
      <c r="M967" s="210">
        <f t="shared" si="156"/>
        <v>0</v>
      </c>
      <c r="N967" s="26">
        <v>45467</v>
      </c>
      <c r="O967" s="26">
        <v>45467</v>
      </c>
      <c r="P967" s="26">
        <v>45467</v>
      </c>
      <c r="Q967" s="2">
        <f t="shared" si="150"/>
        <v>1</v>
      </c>
      <c r="S967" s="7">
        <f t="shared" si="157"/>
        <v>1</v>
      </c>
      <c r="T967" s="157">
        <f t="shared" si="158"/>
        <v>1</v>
      </c>
      <c r="V967" s="191">
        <f t="shared" si="151"/>
        <v>6</v>
      </c>
      <c r="W967" s="7">
        <f t="shared" si="152"/>
        <v>2024</v>
      </c>
    </row>
    <row r="968" spans="1:23" ht="31.95" customHeight="1" thickBot="1" x14ac:dyDescent="0.35">
      <c r="A968" s="15">
        <f t="shared" si="153"/>
        <v>8</v>
      </c>
      <c r="B968" s="26">
        <v>45454</v>
      </c>
      <c r="C968" s="51">
        <f t="shared" si="159"/>
        <v>964</v>
      </c>
      <c r="D968" s="27" t="s">
        <v>871</v>
      </c>
      <c r="E968" s="26" t="s">
        <v>144</v>
      </c>
      <c r="F968" s="28" t="s">
        <v>11</v>
      </c>
      <c r="G968" s="28" t="s">
        <v>11</v>
      </c>
      <c r="H968" s="254"/>
      <c r="I968" s="49">
        <v>8</v>
      </c>
      <c r="J968" s="49">
        <v>8</v>
      </c>
      <c r="K968" s="52">
        <f t="shared" si="154"/>
        <v>1</v>
      </c>
      <c r="L968" s="209">
        <f t="shared" si="155"/>
        <v>0</v>
      </c>
      <c r="M968" s="210">
        <f t="shared" si="156"/>
        <v>0</v>
      </c>
      <c r="N968" s="26">
        <v>45456</v>
      </c>
      <c r="O968" s="26">
        <v>45456</v>
      </c>
      <c r="P968" s="26">
        <v>45456</v>
      </c>
      <c r="Q968" s="2">
        <f t="shared" si="150"/>
        <v>1</v>
      </c>
      <c r="S968" s="7">
        <f t="shared" si="157"/>
        <v>1</v>
      </c>
      <c r="T968" s="157">
        <f t="shared" si="158"/>
        <v>1</v>
      </c>
      <c r="V968" s="191">
        <f t="shared" si="151"/>
        <v>6</v>
      </c>
      <c r="W968" s="7">
        <f t="shared" si="152"/>
        <v>2024</v>
      </c>
    </row>
    <row r="969" spans="1:23" ht="31.95" customHeight="1" thickBot="1" x14ac:dyDescent="0.35">
      <c r="A969" s="15">
        <f t="shared" si="153"/>
        <v>1</v>
      </c>
      <c r="B969" s="26">
        <v>45454</v>
      </c>
      <c r="C969" s="51">
        <f t="shared" si="159"/>
        <v>965</v>
      </c>
      <c r="D969" s="27" t="s">
        <v>1100</v>
      </c>
      <c r="E969" s="26" t="s">
        <v>147</v>
      </c>
      <c r="F969" s="28" t="s">
        <v>11</v>
      </c>
      <c r="G969" s="28" t="s">
        <v>11</v>
      </c>
      <c r="H969" s="254"/>
      <c r="I969" s="49">
        <v>1</v>
      </c>
      <c r="J969" s="49">
        <v>1</v>
      </c>
      <c r="K969" s="52">
        <f t="shared" si="154"/>
        <v>1</v>
      </c>
      <c r="L969" s="209">
        <f t="shared" si="155"/>
        <v>0</v>
      </c>
      <c r="M969" s="210">
        <f t="shared" si="156"/>
        <v>0</v>
      </c>
      <c r="N969" s="26">
        <v>45455</v>
      </c>
      <c r="O969" s="26">
        <v>45455</v>
      </c>
      <c r="P969" s="26">
        <v>45455</v>
      </c>
      <c r="Q969" s="2">
        <f t="shared" si="150"/>
        <v>1</v>
      </c>
      <c r="S969" s="7">
        <f t="shared" si="157"/>
        <v>1</v>
      </c>
      <c r="T969" s="157">
        <f t="shared" si="158"/>
        <v>1</v>
      </c>
      <c r="V969" s="191">
        <f t="shared" si="151"/>
        <v>6</v>
      </c>
      <c r="W969" s="7">
        <f t="shared" si="152"/>
        <v>2024</v>
      </c>
    </row>
    <row r="970" spans="1:23" ht="31.95" customHeight="1" thickBot="1" x14ac:dyDescent="0.35">
      <c r="A970" s="15">
        <f t="shared" si="153"/>
        <v>6</v>
      </c>
      <c r="B970" s="26">
        <v>45454</v>
      </c>
      <c r="C970" s="51">
        <f t="shared" si="159"/>
        <v>966</v>
      </c>
      <c r="D970" s="27" t="s">
        <v>871</v>
      </c>
      <c r="E970" s="26" t="s">
        <v>157</v>
      </c>
      <c r="F970" s="28" t="s">
        <v>11</v>
      </c>
      <c r="G970" s="28" t="s">
        <v>11</v>
      </c>
      <c r="H970" s="254"/>
      <c r="I970" s="49">
        <v>6</v>
      </c>
      <c r="J970" s="49">
        <v>6</v>
      </c>
      <c r="K970" s="52">
        <f t="shared" si="154"/>
        <v>1</v>
      </c>
      <c r="L970" s="209">
        <f t="shared" si="155"/>
        <v>0</v>
      </c>
      <c r="M970" s="210">
        <f t="shared" si="156"/>
        <v>0</v>
      </c>
      <c r="N970" s="26">
        <v>45456</v>
      </c>
      <c r="O970" s="26">
        <v>45456</v>
      </c>
      <c r="P970" s="26">
        <v>45456</v>
      </c>
      <c r="Q970" s="2">
        <f t="shared" si="150"/>
        <v>1</v>
      </c>
      <c r="S970" s="7">
        <f t="shared" si="157"/>
        <v>1</v>
      </c>
      <c r="T970" s="157">
        <f t="shared" si="158"/>
        <v>1</v>
      </c>
      <c r="V970" s="191">
        <f t="shared" si="151"/>
        <v>6</v>
      </c>
      <c r="W970" s="7">
        <f t="shared" si="152"/>
        <v>2024</v>
      </c>
    </row>
    <row r="971" spans="1:23" ht="31.95" customHeight="1" thickBot="1" x14ac:dyDescent="0.35">
      <c r="A971" s="15">
        <f t="shared" si="153"/>
        <v>2</v>
      </c>
      <c r="B971" s="26">
        <v>45454</v>
      </c>
      <c r="C971" s="51">
        <f t="shared" si="159"/>
        <v>967</v>
      </c>
      <c r="D971" s="27" t="s">
        <v>890</v>
      </c>
      <c r="E971" s="26" t="s">
        <v>147</v>
      </c>
      <c r="F971" s="28" t="s">
        <v>11</v>
      </c>
      <c r="G971" s="28" t="s">
        <v>11</v>
      </c>
      <c r="H971" s="254"/>
      <c r="I971" s="49">
        <v>2</v>
      </c>
      <c r="J971" s="49">
        <v>2</v>
      </c>
      <c r="K971" s="52">
        <f t="shared" si="154"/>
        <v>1</v>
      </c>
      <c r="L971" s="209">
        <f t="shared" si="155"/>
        <v>0</v>
      </c>
      <c r="M971" s="210">
        <f t="shared" si="156"/>
        <v>0</v>
      </c>
      <c r="N971" s="26">
        <v>45455</v>
      </c>
      <c r="O971" s="26">
        <v>45455</v>
      </c>
      <c r="P971" s="26">
        <v>45455</v>
      </c>
      <c r="Q971" s="2">
        <f t="shared" si="150"/>
        <v>1</v>
      </c>
      <c r="S971" s="7">
        <f t="shared" si="157"/>
        <v>1</v>
      </c>
      <c r="T971" s="157">
        <f t="shared" si="158"/>
        <v>1</v>
      </c>
      <c r="V971" s="191">
        <f t="shared" si="151"/>
        <v>6</v>
      </c>
      <c r="W971" s="7">
        <f t="shared" si="152"/>
        <v>2024</v>
      </c>
    </row>
    <row r="972" spans="1:23" ht="31.95" customHeight="1" thickBot="1" x14ac:dyDescent="0.35">
      <c r="A972" s="15">
        <f t="shared" si="153"/>
        <v>3</v>
      </c>
      <c r="B972" s="26">
        <v>45454</v>
      </c>
      <c r="C972" s="51">
        <f t="shared" si="159"/>
        <v>968</v>
      </c>
      <c r="D972" s="27" t="s">
        <v>978</v>
      </c>
      <c r="E972" s="26" t="s">
        <v>160</v>
      </c>
      <c r="F972" s="28" t="s">
        <v>11</v>
      </c>
      <c r="G972" s="28" t="s">
        <v>11</v>
      </c>
      <c r="H972" s="254"/>
      <c r="I972" s="49">
        <v>3</v>
      </c>
      <c r="J972" s="49">
        <v>3</v>
      </c>
      <c r="K972" s="52">
        <f t="shared" si="154"/>
        <v>1</v>
      </c>
      <c r="L972" s="209">
        <f t="shared" si="155"/>
        <v>0</v>
      </c>
      <c r="M972" s="210">
        <f t="shared" si="156"/>
        <v>0</v>
      </c>
      <c r="N972" s="26">
        <v>45457</v>
      </c>
      <c r="O972" s="26">
        <v>45457</v>
      </c>
      <c r="P972" s="26">
        <v>45457</v>
      </c>
      <c r="Q972" s="2">
        <f t="shared" si="150"/>
        <v>1</v>
      </c>
      <c r="S972" s="7">
        <f t="shared" si="157"/>
        <v>1</v>
      </c>
      <c r="T972" s="157">
        <f t="shared" si="158"/>
        <v>1</v>
      </c>
      <c r="V972" s="191">
        <f t="shared" si="151"/>
        <v>6</v>
      </c>
      <c r="W972" s="7">
        <f t="shared" si="152"/>
        <v>2024</v>
      </c>
    </row>
    <row r="973" spans="1:23" ht="31.95" customHeight="1" thickBot="1" x14ac:dyDescent="0.35">
      <c r="A973" s="15">
        <f t="shared" si="153"/>
        <v>6</v>
      </c>
      <c r="B973" s="26">
        <v>45454</v>
      </c>
      <c r="C973" s="51">
        <f t="shared" si="159"/>
        <v>969</v>
      </c>
      <c r="D973" s="27" t="s">
        <v>890</v>
      </c>
      <c r="E973" s="26" t="s">
        <v>160</v>
      </c>
      <c r="F973" s="28" t="s">
        <v>11</v>
      </c>
      <c r="G973" s="28" t="s">
        <v>11</v>
      </c>
      <c r="H973" s="254"/>
      <c r="I973" s="49">
        <v>6</v>
      </c>
      <c r="J973" s="49">
        <v>6</v>
      </c>
      <c r="K973" s="52">
        <f t="shared" si="154"/>
        <v>1</v>
      </c>
      <c r="L973" s="209">
        <f t="shared" si="155"/>
        <v>0</v>
      </c>
      <c r="M973" s="210">
        <f t="shared" si="156"/>
        <v>0</v>
      </c>
      <c r="N973" s="26">
        <v>45455</v>
      </c>
      <c r="O973" s="26">
        <v>45455</v>
      </c>
      <c r="P973" s="26">
        <v>45455</v>
      </c>
      <c r="Q973" s="2">
        <f t="shared" si="150"/>
        <v>1</v>
      </c>
      <c r="S973" s="7">
        <f t="shared" si="157"/>
        <v>1</v>
      </c>
      <c r="T973" s="157">
        <f t="shared" si="158"/>
        <v>1</v>
      </c>
      <c r="V973" s="191">
        <f t="shared" si="151"/>
        <v>6</v>
      </c>
      <c r="W973" s="7">
        <f t="shared" si="152"/>
        <v>2024</v>
      </c>
    </row>
    <row r="974" spans="1:23" ht="31.95" customHeight="1" thickBot="1" x14ac:dyDescent="0.35">
      <c r="A974" s="15">
        <f t="shared" si="153"/>
        <v>4</v>
      </c>
      <c r="B974" s="26">
        <v>45454</v>
      </c>
      <c r="C974" s="51">
        <f t="shared" si="159"/>
        <v>970</v>
      </c>
      <c r="D974" s="27" t="s">
        <v>871</v>
      </c>
      <c r="E974" s="26" t="s">
        <v>160</v>
      </c>
      <c r="F974" s="28" t="s">
        <v>11</v>
      </c>
      <c r="G974" s="28" t="s">
        <v>11</v>
      </c>
      <c r="H974" s="254"/>
      <c r="I974" s="49">
        <v>4</v>
      </c>
      <c r="J974" s="49">
        <v>4</v>
      </c>
      <c r="K974" s="52">
        <f t="shared" si="154"/>
        <v>1</v>
      </c>
      <c r="L974" s="209">
        <f t="shared" si="155"/>
        <v>0</v>
      </c>
      <c r="M974" s="210">
        <f t="shared" si="156"/>
        <v>0</v>
      </c>
      <c r="N974" s="26">
        <v>45456</v>
      </c>
      <c r="O974" s="26">
        <v>45456</v>
      </c>
      <c r="P974" s="26">
        <v>45456</v>
      </c>
      <c r="Q974" s="2">
        <f t="shared" si="150"/>
        <v>1</v>
      </c>
      <c r="S974" s="7">
        <f t="shared" si="157"/>
        <v>1</v>
      </c>
      <c r="T974" s="157">
        <f t="shared" si="158"/>
        <v>1</v>
      </c>
      <c r="V974" s="191">
        <f t="shared" si="151"/>
        <v>6</v>
      </c>
      <c r="W974" s="7">
        <f t="shared" si="152"/>
        <v>2024</v>
      </c>
    </row>
    <row r="975" spans="1:23" ht="31.95" customHeight="1" thickBot="1" x14ac:dyDescent="0.35">
      <c r="A975" s="15">
        <f t="shared" si="153"/>
        <v>2</v>
      </c>
      <c r="B975" s="26">
        <v>45454</v>
      </c>
      <c r="C975" s="51">
        <f t="shared" si="159"/>
        <v>971</v>
      </c>
      <c r="D975" s="27" t="s">
        <v>890</v>
      </c>
      <c r="E975" s="26" t="s">
        <v>157</v>
      </c>
      <c r="F975" s="28" t="s">
        <v>11</v>
      </c>
      <c r="G975" s="28" t="s">
        <v>11</v>
      </c>
      <c r="H975" s="254"/>
      <c r="I975" s="49">
        <v>2</v>
      </c>
      <c r="J975" s="49">
        <v>2</v>
      </c>
      <c r="K975" s="52">
        <f t="shared" si="154"/>
        <v>1</v>
      </c>
      <c r="L975" s="209">
        <f t="shared" si="155"/>
        <v>0</v>
      </c>
      <c r="M975" s="210">
        <f t="shared" si="156"/>
        <v>0</v>
      </c>
      <c r="N975" s="26">
        <v>45455</v>
      </c>
      <c r="O975" s="26">
        <v>45455</v>
      </c>
      <c r="P975" s="26">
        <v>45455</v>
      </c>
      <c r="Q975" s="2">
        <f t="shared" si="150"/>
        <v>1</v>
      </c>
      <c r="S975" s="7">
        <f t="shared" si="157"/>
        <v>1</v>
      </c>
      <c r="T975" s="157">
        <f t="shared" si="158"/>
        <v>1</v>
      </c>
      <c r="V975" s="191">
        <f t="shared" si="151"/>
        <v>6</v>
      </c>
      <c r="W975" s="7">
        <f t="shared" si="152"/>
        <v>2024</v>
      </c>
    </row>
    <row r="976" spans="1:23" ht="31.95" customHeight="1" thickBot="1" x14ac:dyDescent="0.35">
      <c r="A976" s="15">
        <f t="shared" si="153"/>
        <v>4</v>
      </c>
      <c r="B976" s="26">
        <v>45454</v>
      </c>
      <c r="C976" s="51">
        <f t="shared" si="159"/>
        <v>972</v>
      </c>
      <c r="D976" s="27" t="s">
        <v>978</v>
      </c>
      <c r="E976" s="26" t="s">
        <v>157</v>
      </c>
      <c r="F976" s="28" t="s">
        <v>11</v>
      </c>
      <c r="G976" s="28" t="s">
        <v>11</v>
      </c>
      <c r="H976" s="254"/>
      <c r="I976" s="49">
        <v>4</v>
      </c>
      <c r="J976" s="49">
        <v>4</v>
      </c>
      <c r="K976" s="52">
        <f t="shared" si="154"/>
        <v>1</v>
      </c>
      <c r="L976" s="209">
        <f t="shared" si="155"/>
        <v>0</v>
      </c>
      <c r="M976" s="210">
        <f t="shared" si="156"/>
        <v>0</v>
      </c>
      <c r="N976" s="26">
        <v>45455</v>
      </c>
      <c r="O976" s="26">
        <v>45455</v>
      </c>
      <c r="P976" s="26">
        <v>45455</v>
      </c>
      <c r="Q976" s="2">
        <f t="shared" si="150"/>
        <v>1</v>
      </c>
      <c r="S976" s="7">
        <f t="shared" si="157"/>
        <v>1</v>
      </c>
      <c r="T976" s="157">
        <f t="shared" si="158"/>
        <v>1</v>
      </c>
      <c r="V976" s="191">
        <f t="shared" si="151"/>
        <v>6</v>
      </c>
      <c r="W976" s="7">
        <f t="shared" si="152"/>
        <v>2024</v>
      </c>
    </row>
    <row r="977" spans="1:23" ht="31.95" customHeight="1" thickBot="1" x14ac:dyDescent="0.35">
      <c r="A977" s="15">
        <f t="shared" si="153"/>
        <v>2</v>
      </c>
      <c r="B977" s="26">
        <v>45454</v>
      </c>
      <c r="C977" s="51">
        <f t="shared" si="159"/>
        <v>973</v>
      </c>
      <c r="D977" s="27" t="s">
        <v>524</v>
      </c>
      <c r="E977" s="26" t="s">
        <v>157</v>
      </c>
      <c r="F977" s="28" t="s">
        <v>11</v>
      </c>
      <c r="G977" s="28" t="s">
        <v>11</v>
      </c>
      <c r="H977" s="254"/>
      <c r="I977" s="49">
        <v>2</v>
      </c>
      <c r="J977" s="49">
        <v>2</v>
      </c>
      <c r="K977" s="52">
        <f t="shared" si="154"/>
        <v>1</v>
      </c>
      <c r="L977" s="209">
        <f t="shared" si="155"/>
        <v>0</v>
      </c>
      <c r="M977" s="210">
        <f t="shared" si="156"/>
        <v>0</v>
      </c>
      <c r="N977" s="26">
        <v>45456</v>
      </c>
      <c r="O977" s="26">
        <v>45456</v>
      </c>
      <c r="P977" s="26">
        <v>45456</v>
      </c>
      <c r="Q977" s="2">
        <f t="shared" si="150"/>
        <v>1</v>
      </c>
      <c r="S977" s="7">
        <f t="shared" si="157"/>
        <v>1</v>
      </c>
      <c r="T977" s="157">
        <f t="shared" si="158"/>
        <v>1</v>
      </c>
      <c r="V977" s="191">
        <f t="shared" si="151"/>
        <v>6</v>
      </c>
      <c r="W977" s="7">
        <f t="shared" si="152"/>
        <v>2024</v>
      </c>
    </row>
    <row r="978" spans="1:23" ht="31.95" customHeight="1" thickBot="1" x14ac:dyDescent="0.35">
      <c r="A978" s="15">
        <f t="shared" si="153"/>
        <v>3</v>
      </c>
      <c r="B978" s="26">
        <v>45454</v>
      </c>
      <c r="C978" s="51">
        <f t="shared" si="159"/>
        <v>974</v>
      </c>
      <c r="D978" s="27" t="s">
        <v>524</v>
      </c>
      <c r="E978" s="26" t="s">
        <v>162</v>
      </c>
      <c r="F978" s="28" t="s">
        <v>11</v>
      </c>
      <c r="G978" s="28" t="s">
        <v>11</v>
      </c>
      <c r="H978" s="254"/>
      <c r="I978" s="49">
        <v>3</v>
      </c>
      <c r="J978" s="49">
        <v>3</v>
      </c>
      <c r="K978" s="52">
        <f t="shared" si="154"/>
        <v>1</v>
      </c>
      <c r="L978" s="209">
        <f t="shared" si="155"/>
        <v>0</v>
      </c>
      <c r="M978" s="210">
        <f t="shared" si="156"/>
        <v>0</v>
      </c>
      <c r="N978" s="26">
        <v>45457</v>
      </c>
      <c r="O978" s="26">
        <v>45457</v>
      </c>
      <c r="P978" s="26">
        <v>45457</v>
      </c>
      <c r="Q978" s="2">
        <f t="shared" si="150"/>
        <v>1</v>
      </c>
      <c r="S978" s="7">
        <f t="shared" si="157"/>
        <v>1</v>
      </c>
      <c r="T978" s="157">
        <f t="shared" si="158"/>
        <v>1</v>
      </c>
      <c r="V978" s="191">
        <f t="shared" si="151"/>
        <v>6</v>
      </c>
      <c r="W978" s="7">
        <f t="shared" si="152"/>
        <v>2024</v>
      </c>
    </row>
    <row r="979" spans="1:23" ht="31.95" customHeight="1" thickBot="1" x14ac:dyDescent="0.35">
      <c r="A979" s="15">
        <f t="shared" si="153"/>
        <v>8</v>
      </c>
      <c r="B979" s="26">
        <v>45454</v>
      </c>
      <c r="C979" s="51">
        <f t="shared" si="159"/>
        <v>975</v>
      </c>
      <c r="D979" s="27" t="s">
        <v>890</v>
      </c>
      <c r="E979" s="26" t="s">
        <v>162</v>
      </c>
      <c r="F979" s="28" t="s">
        <v>11</v>
      </c>
      <c r="G979" s="28" t="s">
        <v>11</v>
      </c>
      <c r="H979" s="254"/>
      <c r="I979" s="49">
        <v>8</v>
      </c>
      <c r="J979" s="49">
        <v>8</v>
      </c>
      <c r="K979" s="52">
        <f t="shared" si="154"/>
        <v>1</v>
      </c>
      <c r="L979" s="209">
        <f t="shared" si="155"/>
        <v>0</v>
      </c>
      <c r="M979" s="210">
        <f t="shared" si="156"/>
        <v>0</v>
      </c>
      <c r="N979" s="26">
        <v>45455</v>
      </c>
      <c r="O979" s="26">
        <v>45455</v>
      </c>
      <c r="P979" s="26">
        <v>45455</v>
      </c>
      <c r="Q979" s="2">
        <f t="shared" si="150"/>
        <v>1</v>
      </c>
      <c r="S979" s="7">
        <f t="shared" si="157"/>
        <v>1</v>
      </c>
      <c r="T979" s="157">
        <f t="shared" si="158"/>
        <v>1</v>
      </c>
      <c r="V979" s="191">
        <f t="shared" si="151"/>
        <v>6</v>
      </c>
      <c r="W979" s="7">
        <f t="shared" si="152"/>
        <v>2024</v>
      </c>
    </row>
    <row r="980" spans="1:23" ht="31.95" customHeight="1" thickBot="1" x14ac:dyDescent="0.35">
      <c r="A980" s="15">
        <f t="shared" si="153"/>
        <v>4</v>
      </c>
      <c r="B980" s="26">
        <v>45454</v>
      </c>
      <c r="C980" s="51">
        <f t="shared" si="159"/>
        <v>976</v>
      </c>
      <c r="D980" s="27" t="s">
        <v>871</v>
      </c>
      <c r="E980" s="26" t="s">
        <v>162</v>
      </c>
      <c r="F980" s="28" t="s">
        <v>11</v>
      </c>
      <c r="G980" s="28" t="s">
        <v>11</v>
      </c>
      <c r="H980" s="254"/>
      <c r="I980" s="49">
        <v>4</v>
      </c>
      <c r="J980" s="49">
        <v>4</v>
      </c>
      <c r="K980" s="52">
        <f t="shared" si="154"/>
        <v>1</v>
      </c>
      <c r="L980" s="209">
        <f t="shared" si="155"/>
        <v>0</v>
      </c>
      <c r="M980" s="210">
        <f t="shared" si="156"/>
        <v>0</v>
      </c>
      <c r="N980" s="26">
        <v>45456</v>
      </c>
      <c r="O980" s="26">
        <v>45456</v>
      </c>
      <c r="P980" s="26">
        <v>45456</v>
      </c>
      <c r="Q980" s="2">
        <f t="shared" si="150"/>
        <v>1</v>
      </c>
      <c r="S980" s="7">
        <f t="shared" si="157"/>
        <v>1</v>
      </c>
      <c r="T980" s="157">
        <f t="shared" si="158"/>
        <v>1</v>
      </c>
      <c r="V980" s="191">
        <f t="shared" si="151"/>
        <v>6</v>
      </c>
      <c r="W980" s="7">
        <f t="shared" si="152"/>
        <v>2024</v>
      </c>
    </row>
    <row r="981" spans="1:23" ht="31.95" customHeight="1" thickBot="1" x14ac:dyDescent="0.35">
      <c r="A981" s="15">
        <f t="shared" si="153"/>
        <v>1</v>
      </c>
      <c r="B981" s="26">
        <v>45454</v>
      </c>
      <c r="C981" s="51">
        <f t="shared" si="159"/>
        <v>977</v>
      </c>
      <c r="D981" s="27" t="s">
        <v>978</v>
      </c>
      <c r="E981" s="26" t="s">
        <v>170</v>
      </c>
      <c r="F981" s="28" t="s">
        <v>11</v>
      </c>
      <c r="G981" s="28" t="s">
        <v>11</v>
      </c>
      <c r="H981" s="254"/>
      <c r="I981" s="49">
        <v>1</v>
      </c>
      <c r="J981" s="49">
        <v>1</v>
      </c>
      <c r="K981" s="52">
        <f t="shared" si="154"/>
        <v>1</v>
      </c>
      <c r="L981" s="209">
        <f t="shared" si="155"/>
        <v>0</v>
      </c>
      <c r="M981" s="210">
        <f t="shared" si="156"/>
        <v>0</v>
      </c>
      <c r="N981" s="26">
        <v>45455</v>
      </c>
      <c r="O981" s="26">
        <v>45455</v>
      </c>
      <c r="P981" s="26">
        <v>45455</v>
      </c>
      <c r="Q981" s="2">
        <f t="shared" si="150"/>
        <v>1</v>
      </c>
      <c r="S981" s="7">
        <f t="shared" si="157"/>
        <v>1</v>
      </c>
      <c r="T981" s="157">
        <f t="shared" si="158"/>
        <v>1</v>
      </c>
      <c r="V981" s="191">
        <f t="shared" si="151"/>
        <v>6</v>
      </c>
      <c r="W981" s="7">
        <f t="shared" si="152"/>
        <v>2024</v>
      </c>
    </row>
    <row r="982" spans="1:23" ht="31.95" customHeight="1" thickBot="1" x14ac:dyDescent="0.35">
      <c r="A982" s="15">
        <f t="shared" si="153"/>
        <v>2</v>
      </c>
      <c r="B982" s="26">
        <v>45454</v>
      </c>
      <c r="C982" s="51">
        <f t="shared" si="159"/>
        <v>978</v>
      </c>
      <c r="D982" s="27" t="s">
        <v>871</v>
      </c>
      <c r="E982" s="26" t="s">
        <v>170</v>
      </c>
      <c r="F982" s="28" t="s">
        <v>11</v>
      </c>
      <c r="G982" s="28" t="s">
        <v>11</v>
      </c>
      <c r="H982" s="254"/>
      <c r="I982" s="49">
        <v>2</v>
      </c>
      <c r="J982" s="49">
        <v>2</v>
      </c>
      <c r="K982" s="52">
        <f t="shared" si="154"/>
        <v>1</v>
      </c>
      <c r="L982" s="209">
        <f t="shared" si="155"/>
        <v>0</v>
      </c>
      <c r="M982" s="210">
        <f t="shared" si="156"/>
        <v>0</v>
      </c>
      <c r="N982" s="26">
        <v>45456</v>
      </c>
      <c r="O982" s="26">
        <v>45456</v>
      </c>
      <c r="P982" s="26">
        <v>45456</v>
      </c>
      <c r="Q982" s="2">
        <f t="shared" si="150"/>
        <v>1</v>
      </c>
      <c r="S982" s="7">
        <f t="shared" si="157"/>
        <v>1</v>
      </c>
      <c r="T982" s="157">
        <f t="shared" si="158"/>
        <v>1</v>
      </c>
      <c r="V982" s="191">
        <f t="shared" si="151"/>
        <v>6</v>
      </c>
      <c r="W982" s="7">
        <f t="shared" si="152"/>
        <v>2024</v>
      </c>
    </row>
    <row r="983" spans="1:23" ht="31.95" customHeight="1" thickBot="1" x14ac:dyDescent="0.35">
      <c r="A983" s="15">
        <f t="shared" si="153"/>
        <v>2</v>
      </c>
      <c r="B983" s="26">
        <v>45454</v>
      </c>
      <c r="C983" s="51">
        <f t="shared" si="159"/>
        <v>979</v>
      </c>
      <c r="D983" s="27" t="s">
        <v>890</v>
      </c>
      <c r="E983" s="26" t="s">
        <v>170</v>
      </c>
      <c r="F983" s="28" t="s">
        <v>11</v>
      </c>
      <c r="G983" s="28" t="s">
        <v>11</v>
      </c>
      <c r="H983" s="254"/>
      <c r="I983" s="49">
        <v>2</v>
      </c>
      <c r="J983" s="49">
        <v>2</v>
      </c>
      <c r="K983" s="52">
        <f t="shared" si="154"/>
        <v>1</v>
      </c>
      <c r="L983" s="209">
        <f t="shared" si="155"/>
        <v>0</v>
      </c>
      <c r="M983" s="210">
        <f t="shared" si="156"/>
        <v>0</v>
      </c>
      <c r="N983" s="26">
        <v>45455</v>
      </c>
      <c r="O983" s="26">
        <v>45455</v>
      </c>
      <c r="P983" s="26">
        <v>45455</v>
      </c>
      <c r="Q983" s="2">
        <f t="shared" si="150"/>
        <v>1</v>
      </c>
      <c r="S983" s="7">
        <f t="shared" si="157"/>
        <v>1</v>
      </c>
      <c r="T983" s="157">
        <f t="shared" si="158"/>
        <v>1</v>
      </c>
      <c r="V983" s="191">
        <f t="shared" si="151"/>
        <v>6</v>
      </c>
      <c r="W983" s="7">
        <f t="shared" si="152"/>
        <v>2024</v>
      </c>
    </row>
    <row r="984" spans="1:23" ht="31.95" customHeight="1" thickBot="1" x14ac:dyDescent="0.35">
      <c r="A984" s="15">
        <f t="shared" si="153"/>
        <v>1</v>
      </c>
      <c r="B984" s="26">
        <v>45454</v>
      </c>
      <c r="C984" s="51">
        <f t="shared" si="159"/>
        <v>980</v>
      </c>
      <c r="D984" s="27" t="s">
        <v>915</v>
      </c>
      <c r="E984" s="26" t="s">
        <v>147</v>
      </c>
      <c r="F984" s="28" t="s">
        <v>11</v>
      </c>
      <c r="G984" s="28" t="s">
        <v>11</v>
      </c>
      <c r="H984" s="254"/>
      <c r="I984" s="49">
        <v>1</v>
      </c>
      <c r="J984" s="49">
        <v>1</v>
      </c>
      <c r="K984" s="52">
        <f t="shared" si="154"/>
        <v>1</v>
      </c>
      <c r="L984" s="209">
        <f t="shared" si="155"/>
        <v>0</v>
      </c>
      <c r="M984" s="210">
        <f t="shared" si="156"/>
        <v>0</v>
      </c>
      <c r="N984" s="26">
        <v>45455</v>
      </c>
      <c r="O984" s="26">
        <v>45455</v>
      </c>
      <c r="P984" s="26">
        <v>45455</v>
      </c>
      <c r="Q984" s="2">
        <f t="shared" si="150"/>
        <v>1</v>
      </c>
      <c r="S984" s="7">
        <f t="shared" si="157"/>
        <v>1</v>
      </c>
      <c r="T984" s="157">
        <f t="shared" si="158"/>
        <v>1</v>
      </c>
      <c r="V984" s="191">
        <f t="shared" si="151"/>
        <v>6</v>
      </c>
      <c r="W984" s="7">
        <f t="shared" si="152"/>
        <v>2024</v>
      </c>
    </row>
    <row r="985" spans="1:23" ht="31.95" customHeight="1" thickBot="1" x14ac:dyDescent="0.35">
      <c r="A985" s="15">
        <f t="shared" si="153"/>
        <v>1</v>
      </c>
      <c r="B985" s="26">
        <v>45454</v>
      </c>
      <c r="C985" s="51">
        <f t="shared" si="159"/>
        <v>981</v>
      </c>
      <c r="D985" s="27" t="s">
        <v>1206</v>
      </c>
      <c r="E985" s="26" t="s">
        <v>151</v>
      </c>
      <c r="F985" s="28" t="s">
        <v>11</v>
      </c>
      <c r="G985" s="28" t="s">
        <v>11</v>
      </c>
      <c r="H985" s="254"/>
      <c r="I985" s="49">
        <v>1</v>
      </c>
      <c r="J985" s="49">
        <v>1</v>
      </c>
      <c r="K985" s="52">
        <f t="shared" si="154"/>
        <v>1</v>
      </c>
      <c r="L985" s="209">
        <f t="shared" si="155"/>
        <v>0</v>
      </c>
      <c r="M985" s="210">
        <f t="shared" si="156"/>
        <v>0</v>
      </c>
      <c r="N985" s="26">
        <v>45454</v>
      </c>
      <c r="O985" s="26">
        <v>45454</v>
      </c>
      <c r="P985" s="26">
        <v>45454</v>
      </c>
      <c r="Q985" s="2">
        <f t="shared" si="150"/>
        <v>1</v>
      </c>
      <c r="S985" s="7">
        <f t="shared" si="157"/>
        <v>1</v>
      </c>
      <c r="T985" s="157">
        <f t="shared" si="158"/>
        <v>1</v>
      </c>
      <c r="V985" s="191">
        <f t="shared" si="151"/>
        <v>6</v>
      </c>
      <c r="W985" s="7">
        <f t="shared" si="152"/>
        <v>2024</v>
      </c>
    </row>
    <row r="986" spans="1:23" ht="31.95" customHeight="1" thickBot="1" x14ac:dyDescent="0.35">
      <c r="A986" s="15">
        <f t="shared" si="153"/>
        <v>12</v>
      </c>
      <c r="B986" s="26">
        <v>45454</v>
      </c>
      <c r="C986" s="51">
        <f t="shared" si="159"/>
        <v>982</v>
      </c>
      <c r="D986" s="27" t="s">
        <v>1121</v>
      </c>
      <c r="E986" s="26" t="s">
        <v>160</v>
      </c>
      <c r="F986" s="28" t="s">
        <v>11</v>
      </c>
      <c r="G986" s="28" t="s">
        <v>11</v>
      </c>
      <c r="H986" s="254"/>
      <c r="I986" s="49">
        <v>12</v>
      </c>
      <c r="J986" s="49">
        <v>12</v>
      </c>
      <c r="K986" s="52">
        <f t="shared" si="154"/>
        <v>1</v>
      </c>
      <c r="L986" s="209">
        <f t="shared" si="155"/>
        <v>0</v>
      </c>
      <c r="M986" s="210">
        <f t="shared" si="156"/>
        <v>0</v>
      </c>
      <c r="N986" s="26">
        <v>45462</v>
      </c>
      <c r="O986" s="26">
        <v>45462</v>
      </c>
      <c r="P986" s="26">
        <v>45462</v>
      </c>
      <c r="Q986" s="2">
        <f t="shared" si="150"/>
        <v>1</v>
      </c>
      <c r="S986" s="7">
        <f t="shared" si="157"/>
        <v>1</v>
      </c>
      <c r="T986" s="157">
        <f t="shared" si="158"/>
        <v>1</v>
      </c>
      <c r="V986" s="191">
        <f t="shared" si="151"/>
        <v>6</v>
      </c>
      <c r="W986" s="7">
        <f t="shared" si="152"/>
        <v>2024</v>
      </c>
    </row>
    <row r="987" spans="1:23" ht="31.95" customHeight="1" thickBot="1" x14ac:dyDescent="0.35">
      <c r="A987" s="15">
        <f t="shared" si="153"/>
        <v>1</v>
      </c>
      <c r="B987" s="26">
        <v>45454</v>
      </c>
      <c r="C987" s="51">
        <f t="shared" si="159"/>
        <v>983</v>
      </c>
      <c r="D987" s="27" t="s">
        <v>1224</v>
      </c>
      <c r="E987" s="26" t="s">
        <v>165</v>
      </c>
      <c r="F987" s="28" t="s">
        <v>11</v>
      </c>
      <c r="G987" s="28" t="s">
        <v>11</v>
      </c>
      <c r="H987" s="254"/>
      <c r="I987" s="49">
        <v>1</v>
      </c>
      <c r="J987" s="49">
        <v>1</v>
      </c>
      <c r="K987" s="52">
        <f t="shared" si="154"/>
        <v>1</v>
      </c>
      <c r="L987" s="209">
        <f t="shared" si="155"/>
        <v>0</v>
      </c>
      <c r="M987" s="210">
        <f t="shared" si="156"/>
        <v>0</v>
      </c>
      <c r="N987" s="26">
        <v>45483</v>
      </c>
      <c r="O987" s="26">
        <v>45483</v>
      </c>
      <c r="P987" s="26">
        <v>45483</v>
      </c>
      <c r="Q987" s="2">
        <f t="shared" si="150"/>
        <v>1</v>
      </c>
      <c r="S987" s="7">
        <f t="shared" si="157"/>
        <v>1</v>
      </c>
      <c r="T987" s="157">
        <f t="shared" si="158"/>
        <v>1</v>
      </c>
      <c r="V987" s="191">
        <f t="shared" si="151"/>
        <v>6</v>
      </c>
      <c r="W987" s="7">
        <f t="shared" si="152"/>
        <v>2024</v>
      </c>
    </row>
    <row r="988" spans="1:23" ht="31.95" customHeight="1" thickBot="1" x14ac:dyDescent="0.35">
      <c r="A988" s="15">
        <f t="shared" si="153"/>
        <v>9</v>
      </c>
      <c r="B988" s="26">
        <v>45456</v>
      </c>
      <c r="C988" s="51">
        <f t="shared" si="159"/>
        <v>984</v>
      </c>
      <c r="D988" s="27" t="s">
        <v>305</v>
      </c>
      <c r="E988" s="26" t="s">
        <v>11</v>
      </c>
      <c r="F988" s="28" t="s">
        <v>11</v>
      </c>
      <c r="G988" s="28" t="s">
        <v>11</v>
      </c>
      <c r="H988" s="254"/>
      <c r="I988" s="49">
        <v>9</v>
      </c>
      <c r="J988" s="49">
        <v>9</v>
      </c>
      <c r="K988" s="52">
        <f t="shared" si="154"/>
        <v>1</v>
      </c>
      <c r="L988" s="209">
        <f t="shared" si="155"/>
        <v>0</v>
      </c>
      <c r="M988" s="210">
        <f t="shared" si="156"/>
        <v>0</v>
      </c>
      <c r="N988" s="26">
        <v>45456</v>
      </c>
      <c r="O988" s="26">
        <v>45456</v>
      </c>
      <c r="P988" s="26">
        <v>45456</v>
      </c>
      <c r="Q988" s="2">
        <f t="shared" si="150"/>
        <v>1</v>
      </c>
      <c r="S988" s="7">
        <f t="shared" si="157"/>
        <v>1</v>
      </c>
      <c r="T988" s="157">
        <f t="shared" si="158"/>
        <v>1</v>
      </c>
      <c r="V988" s="191">
        <f t="shared" si="151"/>
        <v>6</v>
      </c>
      <c r="W988" s="7">
        <f t="shared" si="152"/>
        <v>2024</v>
      </c>
    </row>
    <row r="989" spans="1:23" ht="31.95" customHeight="1" thickBot="1" x14ac:dyDescent="0.35">
      <c r="A989" s="15">
        <f t="shared" si="153"/>
        <v>1</v>
      </c>
      <c r="B989" s="26">
        <v>45456</v>
      </c>
      <c r="C989" s="51">
        <f t="shared" si="159"/>
        <v>985</v>
      </c>
      <c r="D989" s="27" t="s">
        <v>705</v>
      </c>
      <c r="E989" s="26" t="s">
        <v>11</v>
      </c>
      <c r="F989" s="28" t="s">
        <v>11</v>
      </c>
      <c r="G989" s="28" t="s">
        <v>11</v>
      </c>
      <c r="H989" s="254"/>
      <c r="I989" s="49">
        <v>1</v>
      </c>
      <c r="J989" s="49">
        <v>1</v>
      </c>
      <c r="K989" s="52">
        <f t="shared" si="154"/>
        <v>1</v>
      </c>
      <c r="L989" s="209">
        <f t="shared" si="155"/>
        <v>0</v>
      </c>
      <c r="M989" s="210">
        <f t="shared" si="156"/>
        <v>0</v>
      </c>
      <c r="N989" s="26">
        <v>45456</v>
      </c>
      <c r="O989" s="26">
        <v>45456</v>
      </c>
      <c r="P989" s="26">
        <v>45456</v>
      </c>
      <c r="Q989" s="2">
        <f t="shared" si="150"/>
        <v>1</v>
      </c>
      <c r="S989" s="7">
        <f t="shared" si="157"/>
        <v>1</v>
      </c>
      <c r="T989" s="157">
        <f t="shared" si="158"/>
        <v>1</v>
      </c>
      <c r="V989" s="191">
        <f t="shared" si="151"/>
        <v>6</v>
      </c>
      <c r="W989" s="7">
        <f t="shared" si="152"/>
        <v>2024</v>
      </c>
    </row>
    <row r="990" spans="1:23" ht="31.95" customHeight="1" thickBot="1" x14ac:dyDescent="0.35">
      <c r="A990" s="15">
        <f t="shared" si="153"/>
        <v>1</v>
      </c>
      <c r="B990" s="26">
        <v>45457</v>
      </c>
      <c r="C990" s="51">
        <f t="shared" si="159"/>
        <v>986</v>
      </c>
      <c r="D990" s="27" t="s">
        <v>890</v>
      </c>
      <c r="E990" s="26" t="s">
        <v>165</v>
      </c>
      <c r="F990" s="28" t="s">
        <v>11</v>
      </c>
      <c r="G990" s="28" t="s">
        <v>11</v>
      </c>
      <c r="H990" s="254"/>
      <c r="I990" s="49">
        <v>1</v>
      </c>
      <c r="J990" s="49">
        <v>1</v>
      </c>
      <c r="K990" s="52">
        <f t="shared" si="154"/>
        <v>1</v>
      </c>
      <c r="L990" s="209">
        <f t="shared" si="155"/>
        <v>0</v>
      </c>
      <c r="M990" s="210">
        <f t="shared" si="156"/>
        <v>0</v>
      </c>
      <c r="N990" s="26">
        <v>45464</v>
      </c>
      <c r="O990" s="26">
        <v>45464</v>
      </c>
      <c r="P990" s="26">
        <v>45464</v>
      </c>
      <c r="Q990" s="2">
        <f t="shared" si="150"/>
        <v>1</v>
      </c>
      <c r="S990" s="7">
        <f t="shared" si="157"/>
        <v>1</v>
      </c>
      <c r="T990" s="157">
        <f t="shared" si="158"/>
        <v>1</v>
      </c>
      <c r="V990" s="191">
        <f t="shared" si="151"/>
        <v>6</v>
      </c>
      <c r="W990" s="7">
        <f t="shared" si="152"/>
        <v>2024</v>
      </c>
    </row>
    <row r="991" spans="1:23" ht="31.95" customHeight="1" thickBot="1" x14ac:dyDescent="0.35">
      <c r="A991" s="15">
        <f t="shared" si="153"/>
        <v>4</v>
      </c>
      <c r="B991" s="26">
        <v>45457</v>
      </c>
      <c r="C991" s="51">
        <f t="shared" si="159"/>
        <v>987</v>
      </c>
      <c r="D991" s="27" t="s">
        <v>524</v>
      </c>
      <c r="E991" s="26" t="s">
        <v>171</v>
      </c>
      <c r="F991" s="28" t="s">
        <v>11</v>
      </c>
      <c r="G991" s="28" t="s">
        <v>11</v>
      </c>
      <c r="H991" s="254"/>
      <c r="I991" s="49">
        <v>4</v>
      </c>
      <c r="J991" s="49">
        <v>4</v>
      </c>
      <c r="K991" s="52">
        <f t="shared" si="154"/>
        <v>1</v>
      </c>
      <c r="L991" s="209">
        <f t="shared" si="155"/>
        <v>0</v>
      </c>
      <c r="M991" s="210">
        <f t="shared" si="156"/>
        <v>0</v>
      </c>
      <c r="N991" s="26">
        <v>45457</v>
      </c>
      <c r="O991" s="26">
        <v>45457</v>
      </c>
      <c r="P991" s="26">
        <v>45457</v>
      </c>
      <c r="Q991" s="2">
        <f t="shared" si="150"/>
        <v>1</v>
      </c>
      <c r="S991" s="7">
        <f t="shared" si="157"/>
        <v>1</v>
      </c>
      <c r="T991" s="157">
        <f t="shared" si="158"/>
        <v>1</v>
      </c>
      <c r="V991" s="191">
        <f t="shared" si="151"/>
        <v>6</v>
      </c>
      <c r="W991" s="7">
        <f t="shared" si="152"/>
        <v>2024</v>
      </c>
    </row>
    <row r="992" spans="1:23" ht="31.95" customHeight="1" thickBot="1" x14ac:dyDescent="0.35">
      <c r="A992" s="15">
        <f t="shared" si="153"/>
        <v>4</v>
      </c>
      <c r="B992" s="26">
        <v>45457</v>
      </c>
      <c r="C992" s="51">
        <f t="shared" si="159"/>
        <v>988</v>
      </c>
      <c r="D992" s="27" t="s">
        <v>305</v>
      </c>
      <c r="E992" s="26" t="s">
        <v>11</v>
      </c>
      <c r="F992" s="28" t="s">
        <v>11</v>
      </c>
      <c r="G992" s="28" t="s">
        <v>11</v>
      </c>
      <c r="H992" s="254"/>
      <c r="I992" s="49">
        <v>4</v>
      </c>
      <c r="J992" s="49">
        <v>4</v>
      </c>
      <c r="K992" s="52">
        <f t="shared" si="154"/>
        <v>1</v>
      </c>
      <c r="L992" s="209">
        <f t="shared" si="155"/>
        <v>0</v>
      </c>
      <c r="M992" s="210">
        <f t="shared" si="156"/>
        <v>0</v>
      </c>
      <c r="N992" s="26">
        <v>45457</v>
      </c>
      <c r="O992" s="26">
        <v>45457</v>
      </c>
      <c r="P992" s="26">
        <v>45457</v>
      </c>
      <c r="Q992" s="2">
        <f t="shared" si="150"/>
        <v>1</v>
      </c>
      <c r="S992" s="7">
        <f t="shared" si="157"/>
        <v>1</v>
      </c>
      <c r="T992" s="157">
        <f t="shared" si="158"/>
        <v>1</v>
      </c>
      <c r="V992" s="191">
        <f t="shared" si="151"/>
        <v>6</v>
      </c>
      <c r="W992" s="7">
        <f t="shared" si="152"/>
        <v>2024</v>
      </c>
    </row>
    <row r="993" spans="1:23" ht="31.95" customHeight="1" thickBot="1" x14ac:dyDescent="0.35">
      <c r="A993" s="15">
        <f t="shared" si="153"/>
        <v>1</v>
      </c>
      <c r="B993" s="26">
        <v>45457</v>
      </c>
      <c r="C993" s="51">
        <f t="shared" si="159"/>
        <v>989</v>
      </c>
      <c r="D993" s="27" t="s">
        <v>858</v>
      </c>
      <c r="E993" s="26" t="s">
        <v>11</v>
      </c>
      <c r="F993" s="28" t="s">
        <v>11</v>
      </c>
      <c r="G993" s="28" t="s">
        <v>11</v>
      </c>
      <c r="H993" s="254"/>
      <c r="I993" s="49">
        <v>1</v>
      </c>
      <c r="J993" s="49">
        <v>1</v>
      </c>
      <c r="K993" s="52">
        <f t="shared" si="154"/>
        <v>1</v>
      </c>
      <c r="L993" s="209">
        <f t="shared" si="155"/>
        <v>0</v>
      </c>
      <c r="M993" s="210">
        <f t="shared" si="156"/>
        <v>0</v>
      </c>
      <c r="N993" s="26">
        <v>45457</v>
      </c>
      <c r="O993" s="26">
        <v>45457</v>
      </c>
      <c r="P993" s="26">
        <v>45457</v>
      </c>
      <c r="Q993" s="2">
        <f t="shared" si="150"/>
        <v>1</v>
      </c>
      <c r="S993" s="7">
        <f t="shared" si="157"/>
        <v>1</v>
      </c>
      <c r="T993" s="157">
        <f t="shared" si="158"/>
        <v>1</v>
      </c>
      <c r="V993" s="191">
        <f t="shared" si="151"/>
        <v>6</v>
      </c>
      <c r="W993" s="7">
        <f t="shared" si="152"/>
        <v>2024</v>
      </c>
    </row>
    <row r="994" spans="1:23" ht="31.95" customHeight="1" thickBot="1" x14ac:dyDescent="0.35">
      <c r="A994" s="15">
        <f t="shared" si="153"/>
        <v>1</v>
      </c>
      <c r="B994" s="26">
        <v>45461</v>
      </c>
      <c r="C994" s="51">
        <f t="shared" si="159"/>
        <v>990</v>
      </c>
      <c r="D994" s="27" t="s">
        <v>822</v>
      </c>
      <c r="E994" s="26" t="s">
        <v>162</v>
      </c>
      <c r="F994" s="28" t="s">
        <v>11</v>
      </c>
      <c r="G994" s="28" t="s">
        <v>11</v>
      </c>
      <c r="H994" s="254"/>
      <c r="I994" s="49">
        <v>1</v>
      </c>
      <c r="J994" s="49">
        <v>1</v>
      </c>
      <c r="K994" s="52">
        <f t="shared" si="154"/>
        <v>1</v>
      </c>
      <c r="L994" s="209">
        <f t="shared" si="155"/>
        <v>0</v>
      </c>
      <c r="M994" s="210">
        <f t="shared" si="156"/>
        <v>0</v>
      </c>
      <c r="N994" s="26">
        <v>45463</v>
      </c>
      <c r="O994" s="26">
        <v>45463</v>
      </c>
      <c r="P994" s="26">
        <v>45463</v>
      </c>
      <c r="Q994" s="2">
        <f t="shared" si="150"/>
        <v>1</v>
      </c>
      <c r="S994" s="7">
        <f t="shared" si="157"/>
        <v>1</v>
      </c>
      <c r="T994" s="157">
        <f t="shared" si="158"/>
        <v>1</v>
      </c>
      <c r="V994" s="191">
        <f t="shared" si="151"/>
        <v>6</v>
      </c>
      <c r="W994" s="7">
        <f t="shared" si="152"/>
        <v>2024</v>
      </c>
    </row>
    <row r="995" spans="1:23" ht="31.95" customHeight="1" thickBot="1" x14ac:dyDescent="0.35">
      <c r="A995" s="15">
        <f t="shared" si="153"/>
        <v>4</v>
      </c>
      <c r="B995" s="26">
        <v>45462</v>
      </c>
      <c r="C995" s="51">
        <f t="shared" si="159"/>
        <v>991</v>
      </c>
      <c r="D995" s="27" t="s">
        <v>705</v>
      </c>
      <c r="E995" s="26" t="s">
        <v>11</v>
      </c>
      <c r="F995" s="28" t="s">
        <v>11</v>
      </c>
      <c r="G995" s="28" t="s">
        <v>11</v>
      </c>
      <c r="H995" s="254"/>
      <c r="I995" s="49">
        <v>4</v>
      </c>
      <c r="J995" s="49">
        <v>4</v>
      </c>
      <c r="K995" s="52">
        <f t="shared" si="154"/>
        <v>1</v>
      </c>
      <c r="L995" s="209">
        <f t="shared" si="155"/>
        <v>0</v>
      </c>
      <c r="M995" s="210">
        <f t="shared" si="156"/>
        <v>0</v>
      </c>
      <c r="N995" s="26">
        <v>45462</v>
      </c>
      <c r="O995" s="26">
        <v>45462</v>
      </c>
      <c r="P995" s="26">
        <v>45462</v>
      </c>
      <c r="Q995" s="2">
        <f t="shared" si="150"/>
        <v>1</v>
      </c>
      <c r="S995" s="7">
        <f t="shared" si="157"/>
        <v>1</v>
      </c>
      <c r="T995" s="157">
        <f t="shared" si="158"/>
        <v>1</v>
      </c>
      <c r="V995" s="191">
        <f t="shared" si="151"/>
        <v>6</v>
      </c>
      <c r="W995" s="7">
        <f t="shared" si="152"/>
        <v>2024</v>
      </c>
    </row>
    <row r="996" spans="1:23" ht="31.95" customHeight="1" thickBot="1" x14ac:dyDescent="0.35">
      <c r="A996" s="15">
        <f t="shared" si="153"/>
        <v>1</v>
      </c>
      <c r="B996" s="26">
        <v>45462</v>
      </c>
      <c r="C996" s="51">
        <f t="shared" si="159"/>
        <v>992</v>
      </c>
      <c r="D996" s="27" t="s">
        <v>858</v>
      </c>
      <c r="E996" s="26" t="s">
        <v>11</v>
      </c>
      <c r="F996" s="28" t="s">
        <v>11</v>
      </c>
      <c r="G996" s="28" t="s">
        <v>11</v>
      </c>
      <c r="H996" s="254"/>
      <c r="I996" s="49">
        <v>1</v>
      </c>
      <c r="J996" s="49">
        <v>1</v>
      </c>
      <c r="K996" s="52">
        <f t="shared" si="154"/>
        <v>1</v>
      </c>
      <c r="L996" s="209">
        <f t="shared" si="155"/>
        <v>0</v>
      </c>
      <c r="M996" s="210">
        <f t="shared" si="156"/>
        <v>0</v>
      </c>
      <c r="N996" s="26">
        <v>45462</v>
      </c>
      <c r="O996" s="26">
        <v>45462</v>
      </c>
      <c r="P996" s="26">
        <v>45462</v>
      </c>
      <c r="Q996" s="2">
        <f t="shared" si="150"/>
        <v>1</v>
      </c>
      <c r="S996" s="7">
        <f t="shared" si="157"/>
        <v>1</v>
      </c>
      <c r="T996" s="157">
        <f t="shared" si="158"/>
        <v>1</v>
      </c>
      <c r="V996" s="191">
        <f t="shared" si="151"/>
        <v>6</v>
      </c>
      <c r="W996" s="7">
        <f t="shared" si="152"/>
        <v>2024</v>
      </c>
    </row>
    <row r="997" spans="1:23" ht="31.95" customHeight="1" thickBot="1" x14ac:dyDescent="0.35">
      <c r="A997" s="15">
        <f t="shared" si="153"/>
        <v>2</v>
      </c>
      <c r="B997" s="26">
        <v>45462</v>
      </c>
      <c r="C997" s="51">
        <f t="shared" si="159"/>
        <v>993</v>
      </c>
      <c r="D997" s="27" t="s">
        <v>305</v>
      </c>
      <c r="E997" s="26" t="s">
        <v>11</v>
      </c>
      <c r="F997" s="28" t="s">
        <v>11</v>
      </c>
      <c r="G997" s="28" t="s">
        <v>11</v>
      </c>
      <c r="H997" s="254"/>
      <c r="I997" s="49">
        <v>2</v>
      </c>
      <c r="J997" s="49">
        <v>2</v>
      </c>
      <c r="K997" s="52">
        <f t="shared" si="154"/>
        <v>1</v>
      </c>
      <c r="L997" s="209">
        <f t="shared" si="155"/>
        <v>0</v>
      </c>
      <c r="M997" s="210">
        <f t="shared" si="156"/>
        <v>0</v>
      </c>
      <c r="N997" s="26">
        <v>45462</v>
      </c>
      <c r="O997" s="26">
        <v>45462</v>
      </c>
      <c r="P997" s="26">
        <v>45462</v>
      </c>
      <c r="Q997" s="2">
        <f t="shared" si="150"/>
        <v>1</v>
      </c>
      <c r="S997" s="7">
        <f t="shared" si="157"/>
        <v>1</v>
      </c>
      <c r="T997" s="157">
        <f t="shared" si="158"/>
        <v>1</v>
      </c>
      <c r="V997" s="191">
        <f t="shared" si="151"/>
        <v>6</v>
      </c>
      <c r="W997" s="7">
        <f t="shared" si="152"/>
        <v>2024</v>
      </c>
    </row>
    <row r="998" spans="1:23" ht="31.95" customHeight="1" thickBot="1" x14ac:dyDescent="0.35">
      <c r="A998" s="15">
        <f t="shared" si="153"/>
        <v>2</v>
      </c>
      <c r="B998" s="26">
        <v>45462</v>
      </c>
      <c r="C998" s="51">
        <f t="shared" si="159"/>
        <v>994</v>
      </c>
      <c r="D998" s="27" t="s">
        <v>305</v>
      </c>
      <c r="E998" s="26" t="s">
        <v>11</v>
      </c>
      <c r="F998" s="28" t="s">
        <v>11</v>
      </c>
      <c r="G998" s="28" t="s">
        <v>11</v>
      </c>
      <c r="H998" s="254"/>
      <c r="I998" s="49">
        <v>2</v>
      </c>
      <c r="J998" s="49">
        <v>2</v>
      </c>
      <c r="K998" s="52">
        <f t="shared" si="154"/>
        <v>1</v>
      </c>
      <c r="L998" s="209">
        <f t="shared" si="155"/>
        <v>0</v>
      </c>
      <c r="M998" s="210">
        <f t="shared" si="156"/>
        <v>0</v>
      </c>
      <c r="N998" s="26">
        <v>45463</v>
      </c>
      <c r="O998" s="26">
        <v>45463</v>
      </c>
      <c r="P998" s="26">
        <v>45463</v>
      </c>
      <c r="Q998" s="2">
        <f t="shared" si="150"/>
        <v>1</v>
      </c>
      <c r="S998" s="7">
        <f t="shared" si="157"/>
        <v>1</v>
      </c>
      <c r="T998" s="157">
        <f t="shared" si="158"/>
        <v>1</v>
      </c>
      <c r="V998" s="191">
        <f t="shared" si="151"/>
        <v>6</v>
      </c>
      <c r="W998" s="7">
        <f t="shared" si="152"/>
        <v>2024</v>
      </c>
    </row>
    <row r="999" spans="1:23" ht="31.95" customHeight="1" thickBot="1" x14ac:dyDescent="0.35">
      <c r="A999" s="15">
        <f t="shared" si="153"/>
        <v>1</v>
      </c>
      <c r="B999" s="26">
        <v>45463</v>
      </c>
      <c r="C999" s="51">
        <f t="shared" si="159"/>
        <v>995</v>
      </c>
      <c r="D999" s="27" t="s">
        <v>1071</v>
      </c>
      <c r="E999" s="26" t="s">
        <v>11</v>
      </c>
      <c r="F999" s="28" t="s">
        <v>11</v>
      </c>
      <c r="G999" s="28" t="s">
        <v>11</v>
      </c>
      <c r="H999" s="254"/>
      <c r="I999" s="49">
        <v>1</v>
      </c>
      <c r="J999" s="49">
        <v>1</v>
      </c>
      <c r="K999" s="52">
        <f t="shared" si="154"/>
        <v>1</v>
      </c>
      <c r="L999" s="209">
        <f t="shared" si="155"/>
        <v>0</v>
      </c>
      <c r="M999" s="210">
        <f t="shared" si="156"/>
        <v>0</v>
      </c>
      <c r="N999" s="26">
        <v>45463</v>
      </c>
      <c r="O999" s="26">
        <v>45463</v>
      </c>
      <c r="P999" s="26">
        <v>45463</v>
      </c>
      <c r="Q999" s="2">
        <f t="shared" si="150"/>
        <v>1</v>
      </c>
      <c r="S999" s="7">
        <f t="shared" si="157"/>
        <v>1</v>
      </c>
      <c r="T999" s="157">
        <f t="shared" si="158"/>
        <v>1</v>
      </c>
      <c r="V999" s="191">
        <f t="shared" si="151"/>
        <v>6</v>
      </c>
      <c r="W999" s="7">
        <f t="shared" si="152"/>
        <v>2024</v>
      </c>
    </row>
    <row r="1000" spans="1:23" ht="31.95" customHeight="1" thickBot="1" x14ac:dyDescent="0.35">
      <c r="A1000" s="15">
        <f t="shared" si="153"/>
        <v>1</v>
      </c>
      <c r="B1000" s="26">
        <v>45463</v>
      </c>
      <c r="C1000" s="51">
        <f t="shared" si="159"/>
        <v>996</v>
      </c>
      <c r="D1000" s="27" t="s">
        <v>305</v>
      </c>
      <c r="E1000" s="26" t="s">
        <v>11</v>
      </c>
      <c r="F1000" s="28" t="s">
        <v>11</v>
      </c>
      <c r="G1000" s="28" t="s">
        <v>11</v>
      </c>
      <c r="H1000" s="254"/>
      <c r="I1000" s="49">
        <v>1</v>
      </c>
      <c r="J1000" s="49">
        <v>1</v>
      </c>
      <c r="K1000" s="52">
        <f t="shared" si="154"/>
        <v>1</v>
      </c>
      <c r="L1000" s="209">
        <f t="shared" si="155"/>
        <v>0</v>
      </c>
      <c r="M1000" s="210">
        <f t="shared" si="156"/>
        <v>0</v>
      </c>
      <c r="N1000" s="26">
        <v>45463</v>
      </c>
      <c r="O1000" s="26">
        <v>45463</v>
      </c>
      <c r="P1000" s="26">
        <v>45463</v>
      </c>
      <c r="Q1000" s="2">
        <f t="shared" si="150"/>
        <v>1</v>
      </c>
      <c r="S1000" s="7">
        <f t="shared" si="157"/>
        <v>1</v>
      </c>
      <c r="T1000" s="157">
        <f t="shared" si="158"/>
        <v>1</v>
      </c>
      <c r="V1000" s="191">
        <f t="shared" si="151"/>
        <v>6</v>
      </c>
      <c r="W1000" s="7">
        <f t="shared" si="152"/>
        <v>2024</v>
      </c>
    </row>
    <row r="1001" spans="1:23" ht="31.95" customHeight="1" thickBot="1" x14ac:dyDescent="0.35">
      <c r="A1001" s="15">
        <f t="shared" si="153"/>
        <v>2</v>
      </c>
      <c r="B1001" s="26">
        <v>45468</v>
      </c>
      <c r="C1001" s="51">
        <f t="shared" si="159"/>
        <v>997</v>
      </c>
      <c r="D1001" s="27" t="s">
        <v>524</v>
      </c>
      <c r="E1001" s="26" t="s">
        <v>171</v>
      </c>
      <c r="F1001" s="28" t="s">
        <v>11</v>
      </c>
      <c r="G1001" s="28" t="s">
        <v>11</v>
      </c>
      <c r="H1001" s="254"/>
      <c r="I1001" s="49">
        <v>2</v>
      </c>
      <c r="J1001" s="49">
        <v>2</v>
      </c>
      <c r="K1001" s="52">
        <f t="shared" si="154"/>
        <v>1</v>
      </c>
      <c r="L1001" s="209">
        <f t="shared" si="155"/>
        <v>0</v>
      </c>
      <c r="M1001" s="210">
        <f t="shared" si="156"/>
        <v>0</v>
      </c>
      <c r="N1001" s="26">
        <v>45469</v>
      </c>
      <c r="O1001" s="26">
        <v>45469</v>
      </c>
      <c r="P1001" s="26">
        <v>45469</v>
      </c>
      <c r="Q1001" s="2">
        <f t="shared" si="150"/>
        <v>1</v>
      </c>
      <c r="S1001" s="7">
        <f t="shared" si="157"/>
        <v>1</v>
      </c>
      <c r="T1001" s="157">
        <f t="shared" si="158"/>
        <v>1</v>
      </c>
      <c r="V1001" s="191">
        <f t="shared" si="151"/>
        <v>6</v>
      </c>
      <c r="W1001" s="7">
        <f t="shared" si="152"/>
        <v>2024</v>
      </c>
    </row>
    <row r="1002" spans="1:23" ht="31.95" customHeight="1" thickBot="1" x14ac:dyDescent="0.35">
      <c r="A1002" s="15">
        <f t="shared" si="153"/>
        <v>0</v>
      </c>
      <c r="B1002" s="26">
        <v>45468</v>
      </c>
      <c r="C1002" s="51">
        <f t="shared" si="159"/>
        <v>998</v>
      </c>
      <c r="D1002" s="27"/>
      <c r="E1002" s="28" t="s">
        <v>11</v>
      </c>
      <c r="F1002" s="28" t="s">
        <v>11</v>
      </c>
      <c r="G1002" s="28" t="s">
        <v>11</v>
      </c>
      <c r="H1002" s="254"/>
      <c r="I1002" s="49">
        <v>0</v>
      </c>
      <c r="J1002" s="49">
        <v>0</v>
      </c>
      <c r="K1002" s="52" t="str">
        <f t="shared" si="154"/>
        <v/>
      </c>
      <c r="L1002" s="209">
        <f t="shared" si="155"/>
        <v>0</v>
      </c>
      <c r="M1002" s="210" t="str">
        <f t="shared" si="156"/>
        <v/>
      </c>
      <c r="N1002" s="28" t="s">
        <v>11</v>
      </c>
      <c r="O1002" s="28" t="s">
        <v>11</v>
      </c>
      <c r="P1002" s="28" t="s">
        <v>11</v>
      </c>
      <c r="Q1002" s="2">
        <f t="shared" si="150"/>
        <v>1</v>
      </c>
      <c r="S1002" s="7">
        <f t="shared" si="157"/>
        <v>1</v>
      </c>
      <c r="T1002" s="157">
        <f t="shared" si="158"/>
        <v>1</v>
      </c>
      <c r="V1002" s="191">
        <f t="shared" si="151"/>
        <v>6</v>
      </c>
      <c r="W1002" s="7">
        <f t="shared" si="152"/>
        <v>2024</v>
      </c>
    </row>
    <row r="1003" spans="1:23" ht="31.95" customHeight="1" thickBot="1" x14ac:dyDescent="0.35">
      <c r="A1003" s="15">
        <f t="shared" si="153"/>
        <v>1</v>
      </c>
      <c r="B1003" s="26">
        <v>45468</v>
      </c>
      <c r="C1003" s="51">
        <f t="shared" si="159"/>
        <v>999</v>
      </c>
      <c r="D1003" s="27" t="s">
        <v>524</v>
      </c>
      <c r="E1003" s="26" t="s">
        <v>165</v>
      </c>
      <c r="F1003" s="28" t="s">
        <v>11</v>
      </c>
      <c r="G1003" s="28" t="s">
        <v>11</v>
      </c>
      <c r="H1003" s="254"/>
      <c r="I1003" s="49">
        <v>1</v>
      </c>
      <c r="J1003" s="49">
        <v>1</v>
      </c>
      <c r="K1003" s="52">
        <f t="shared" si="154"/>
        <v>1</v>
      </c>
      <c r="L1003" s="209">
        <f t="shared" si="155"/>
        <v>0</v>
      </c>
      <c r="M1003" s="210">
        <f t="shared" si="156"/>
        <v>0</v>
      </c>
      <c r="N1003" s="26">
        <v>45469</v>
      </c>
      <c r="O1003" s="26">
        <v>45469</v>
      </c>
      <c r="P1003" s="26">
        <v>45469</v>
      </c>
      <c r="Q1003" s="2">
        <f t="shared" si="150"/>
        <v>1</v>
      </c>
      <c r="S1003" s="7">
        <f t="shared" si="157"/>
        <v>1</v>
      </c>
      <c r="T1003" s="157">
        <f t="shared" si="158"/>
        <v>1</v>
      </c>
      <c r="V1003" s="191">
        <f t="shared" si="151"/>
        <v>6</v>
      </c>
      <c r="W1003" s="7">
        <f t="shared" si="152"/>
        <v>2024</v>
      </c>
    </row>
    <row r="1004" spans="1:23" ht="31.95" customHeight="1" thickBot="1" x14ac:dyDescent="0.35">
      <c r="A1004" s="15">
        <f t="shared" si="153"/>
        <v>1</v>
      </c>
      <c r="B1004" s="26">
        <v>45468</v>
      </c>
      <c r="C1004" s="51">
        <f t="shared" si="159"/>
        <v>1000</v>
      </c>
      <c r="D1004" s="27" t="s">
        <v>871</v>
      </c>
      <c r="E1004" s="26" t="s">
        <v>165</v>
      </c>
      <c r="F1004" s="28" t="s">
        <v>11</v>
      </c>
      <c r="G1004" s="28" t="s">
        <v>11</v>
      </c>
      <c r="H1004" s="254"/>
      <c r="I1004" s="49">
        <v>1</v>
      </c>
      <c r="J1004" s="49">
        <v>1</v>
      </c>
      <c r="K1004" s="52">
        <f t="shared" si="154"/>
        <v>1</v>
      </c>
      <c r="L1004" s="209">
        <f t="shared" si="155"/>
        <v>0</v>
      </c>
      <c r="M1004" s="210">
        <f t="shared" si="156"/>
        <v>0</v>
      </c>
      <c r="N1004" s="26">
        <v>45469</v>
      </c>
      <c r="O1004" s="26">
        <v>45469</v>
      </c>
      <c r="P1004" s="26">
        <v>45469</v>
      </c>
      <c r="Q1004" s="2">
        <f t="shared" si="150"/>
        <v>1</v>
      </c>
      <c r="S1004" s="7">
        <f t="shared" si="157"/>
        <v>1</v>
      </c>
      <c r="T1004" s="157">
        <f t="shared" si="158"/>
        <v>1</v>
      </c>
      <c r="V1004" s="191">
        <f t="shared" si="151"/>
        <v>6</v>
      </c>
      <c r="W1004" s="7">
        <f t="shared" si="152"/>
        <v>2024</v>
      </c>
    </row>
    <row r="1005" spans="1:23" ht="31.95" customHeight="1" thickBot="1" x14ac:dyDescent="0.35">
      <c r="B1005" s="26">
        <v>45470</v>
      </c>
      <c r="C1005" s="51">
        <f t="shared" si="159"/>
        <v>1001</v>
      </c>
      <c r="D1005" s="27" t="s">
        <v>305</v>
      </c>
      <c r="E1005" s="26" t="s">
        <v>11</v>
      </c>
      <c r="F1005" s="28" t="s">
        <v>11</v>
      </c>
      <c r="G1005" s="28" t="s">
        <v>11</v>
      </c>
      <c r="H1005" s="254"/>
      <c r="I1005" s="49">
        <v>2</v>
      </c>
      <c r="J1005" s="49">
        <v>2</v>
      </c>
      <c r="K1005" s="52">
        <f t="shared" ref="K1005:K1068" si="160">IFERROR(J1005/I1005,"")</f>
        <v>1</v>
      </c>
      <c r="L1005" s="209">
        <f t="shared" ref="L1005:L1068" si="161">IF(I1005="","",I1005-J1005)</f>
        <v>0</v>
      </c>
      <c r="M1005" s="210">
        <f t="shared" ref="M1005:M1068" si="162">IFERROR(1-K1005,"")</f>
        <v>0</v>
      </c>
      <c r="N1005" s="26">
        <v>45470</v>
      </c>
      <c r="O1005" s="26">
        <v>45470</v>
      </c>
      <c r="P1005" s="26">
        <v>45470</v>
      </c>
      <c r="Q1005" s="2">
        <f t="shared" si="150"/>
        <v>1</v>
      </c>
      <c r="S1005" s="7">
        <f t="shared" si="157"/>
        <v>1</v>
      </c>
      <c r="T1005" s="157">
        <f t="shared" si="158"/>
        <v>1</v>
      </c>
      <c r="V1005" s="191">
        <f t="shared" si="151"/>
        <v>6</v>
      </c>
      <c r="W1005" s="7">
        <f t="shared" si="152"/>
        <v>2024</v>
      </c>
    </row>
    <row r="1006" spans="1:23" ht="31.95" customHeight="1" thickBot="1" x14ac:dyDescent="0.35">
      <c r="B1006" s="26">
        <v>45470</v>
      </c>
      <c r="C1006" s="51">
        <f t="shared" si="159"/>
        <v>1002</v>
      </c>
      <c r="D1006" s="27" t="s">
        <v>858</v>
      </c>
      <c r="E1006" s="26" t="s">
        <v>11</v>
      </c>
      <c r="F1006" s="28" t="s">
        <v>11</v>
      </c>
      <c r="G1006" s="28" t="s">
        <v>11</v>
      </c>
      <c r="H1006" s="254"/>
      <c r="I1006" s="49">
        <v>1</v>
      </c>
      <c r="J1006" s="49">
        <v>1</v>
      </c>
      <c r="K1006" s="52">
        <f t="shared" si="160"/>
        <v>1</v>
      </c>
      <c r="L1006" s="209">
        <f t="shared" si="161"/>
        <v>0</v>
      </c>
      <c r="M1006" s="210">
        <f t="shared" si="162"/>
        <v>0</v>
      </c>
      <c r="N1006" s="26">
        <v>45470</v>
      </c>
      <c r="O1006" s="26">
        <v>45470</v>
      </c>
      <c r="P1006" s="26">
        <v>45470</v>
      </c>
      <c r="Q1006" s="2">
        <f t="shared" si="150"/>
        <v>1</v>
      </c>
      <c r="S1006" s="7">
        <f t="shared" si="157"/>
        <v>1</v>
      </c>
      <c r="T1006" s="157">
        <f t="shared" si="158"/>
        <v>1</v>
      </c>
      <c r="V1006" s="191">
        <f t="shared" si="151"/>
        <v>6</v>
      </c>
      <c r="W1006" s="7">
        <f t="shared" si="152"/>
        <v>2024</v>
      </c>
    </row>
    <row r="1007" spans="1:23" ht="31.95" customHeight="1" thickBot="1" x14ac:dyDescent="0.35">
      <c r="B1007" s="26">
        <v>45470</v>
      </c>
      <c r="C1007" s="51">
        <f t="shared" si="159"/>
        <v>1003</v>
      </c>
      <c r="D1007" s="27" t="s">
        <v>705</v>
      </c>
      <c r="E1007" s="26" t="s">
        <v>11</v>
      </c>
      <c r="F1007" s="28" t="s">
        <v>11</v>
      </c>
      <c r="G1007" s="28" t="s">
        <v>11</v>
      </c>
      <c r="H1007" s="254"/>
      <c r="I1007" s="49">
        <v>1</v>
      </c>
      <c r="J1007" s="49">
        <v>1</v>
      </c>
      <c r="K1007" s="52">
        <f t="shared" si="160"/>
        <v>1</v>
      </c>
      <c r="L1007" s="209">
        <f t="shared" si="161"/>
        <v>0</v>
      </c>
      <c r="M1007" s="210">
        <f t="shared" si="162"/>
        <v>0</v>
      </c>
      <c r="N1007" s="26">
        <v>45470</v>
      </c>
      <c r="O1007" s="26">
        <v>45470</v>
      </c>
      <c r="P1007" s="26">
        <v>45470</v>
      </c>
      <c r="Q1007" s="2">
        <f t="shared" si="150"/>
        <v>1</v>
      </c>
      <c r="S1007" s="7">
        <f t="shared" si="157"/>
        <v>1</v>
      </c>
      <c r="T1007" s="157">
        <f t="shared" si="158"/>
        <v>1</v>
      </c>
      <c r="V1007" s="191">
        <f t="shared" si="151"/>
        <v>6</v>
      </c>
      <c r="W1007" s="7">
        <f t="shared" si="152"/>
        <v>2024</v>
      </c>
    </row>
    <row r="1008" spans="1:23" ht="31.95" customHeight="1" thickBot="1" x14ac:dyDescent="0.35">
      <c r="B1008" s="26">
        <v>45475</v>
      </c>
      <c r="C1008" s="51">
        <f t="shared" si="159"/>
        <v>1004</v>
      </c>
      <c r="D1008" s="27" t="s">
        <v>705</v>
      </c>
      <c r="E1008" s="26" t="s">
        <v>11</v>
      </c>
      <c r="F1008" s="28" t="s">
        <v>11</v>
      </c>
      <c r="G1008" s="28" t="s">
        <v>11</v>
      </c>
      <c r="H1008" s="254"/>
      <c r="I1008" s="49">
        <v>1</v>
      </c>
      <c r="J1008" s="49">
        <v>1</v>
      </c>
      <c r="K1008" s="52">
        <f t="shared" si="160"/>
        <v>1</v>
      </c>
      <c r="L1008" s="209">
        <f t="shared" si="161"/>
        <v>0</v>
      </c>
      <c r="M1008" s="210">
        <f t="shared" si="162"/>
        <v>0</v>
      </c>
      <c r="N1008" s="26">
        <v>45475</v>
      </c>
      <c r="O1008" s="26">
        <v>45475</v>
      </c>
      <c r="P1008" s="26">
        <v>45475</v>
      </c>
      <c r="Q1008" s="2">
        <f t="shared" si="150"/>
        <v>1</v>
      </c>
      <c r="S1008" s="7">
        <f t="shared" si="157"/>
        <v>1</v>
      </c>
      <c r="T1008" s="157">
        <f t="shared" si="158"/>
        <v>1</v>
      </c>
      <c r="V1008" s="191">
        <f t="shared" si="151"/>
        <v>7</v>
      </c>
      <c r="W1008" s="7">
        <f t="shared" si="152"/>
        <v>2024</v>
      </c>
    </row>
    <row r="1009" spans="2:23" ht="31.95" customHeight="1" thickBot="1" x14ac:dyDescent="0.35">
      <c r="B1009" s="26">
        <v>45475</v>
      </c>
      <c r="C1009" s="51">
        <f t="shared" si="159"/>
        <v>1005</v>
      </c>
      <c r="D1009" s="27" t="s">
        <v>317</v>
      </c>
      <c r="E1009" s="26" t="s">
        <v>11</v>
      </c>
      <c r="F1009" s="28" t="s">
        <v>11</v>
      </c>
      <c r="G1009" s="28" t="s">
        <v>11</v>
      </c>
      <c r="H1009" s="254"/>
      <c r="I1009" s="49">
        <v>1</v>
      </c>
      <c r="J1009" s="49">
        <v>1</v>
      </c>
      <c r="K1009" s="52">
        <f t="shared" si="160"/>
        <v>1</v>
      </c>
      <c r="L1009" s="209">
        <f t="shared" si="161"/>
        <v>0</v>
      </c>
      <c r="M1009" s="210">
        <f t="shared" si="162"/>
        <v>0</v>
      </c>
      <c r="N1009" s="26">
        <v>45475</v>
      </c>
      <c r="O1009" s="26">
        <v>45475</v>
      </c>
      <c r="P1009" s="26">
        <v>45475</v>
      </c>
      <c r="Q1009" s="2">
        <f t="shared" si="150"/>
        <v>1</v>
      </c>
      <c r="S1009" s="7">
        <f t="shared" si="157"/>
        <v>1</v>
      </c>
      <c r="T1009" s="157">
        <f t="shared" si="158"/>
        <v>1</v>
      </c>
      <c r="V1009" s="191">
        <f t="shared" si="151"/>
        <v>7</v>
      </c>
      <c r="W1009" s="7">
        <f t="shared" si="152"/>
        <v>2024</v>
      </c>
    </row>
    <row r="1010" spans="2:23" ht="31.95" customHeight="1" thickBot="1" x14ac:dyDescent="0.35">
      <c r="B1010" s="26">
        <v>45475</v>
      </c>
      <c r="C1010" s="51">
        <f t="shared" si="159"/>
        <v>1006</v>
      </c>
      <c r="D1010" s="27" t="s">
        <v>305</v>
      </c>
      <c r="E1010" s="26" t="s">
        <v>11</v>
      </c>
      <c r="F1010" s="28" t="s">
        <v>11</v>
      </c>
      <c r="G1010" s="28" t="s">
        <v>11</v>
      </c>
      <c r="H1010" s="254"/>
      <c r="I1010" s="49">
        <v>4</v>
      </c>
      <c r="J1010" s="49">
        <v>4</v>
      </c>
      <c r="K1010" s="52">
        <f t="shared" si="160"/>
        <v>1</v>
      </c>
      <c r="L1010" s="209">
        <f t="shared" si="161"/>
        <v>0</v>
      </c>
      <c r="M1010" s="210">
        <f t="shared" si="162"/>
        <v>0</v>
      </c>
      <c r="N1010" s="26">
        <v>45475</v>
      </c>
      <c r="O1010" s="26">
        <v>45475</v>
      </c>
      <c r="P1010" s="26">
        <v>45475</v>
      </c>
      <c r="Q1010" s="2">
        <f t="shared" si="150"/>
        <v>1</v>
      </c>
      <c r="S1010" s="7">
        <f t="shared" si="157"/>
        <v>1</v>
      </c>
      <c r="T1010" s="157">
        <f t="shared" si="158"/>
        <v>1</v>
      </c>
      <c r="V1010" s="191">
        <f t="shared" si="151"/>
        <v>7</v>
      </c>
      <c r="W1010" s="7">
        <f t="shared" si="152"/>
        <v>2024</v>
      </c>
    </row>
    <row r="1011" spans="2:23" ht="31.95" customHeight="1" thickBot="1" x14ac:dyDescent="0.35">
      <c r="B1011" s="26">
        <v>45475</v>
      </c>
      <c r="C1011" s="51">
        <f t="shared" si="159"/>
        <v>1007</v>
      </c>
      <c r="D1011" s="27"/>
      <c r="E1011" s="28" t="s">
        <v>11</v>
      </c>
      <c r="F1011" s="28" t="s">
        <v>11</v>
      </c>
      <c r="G1011" s="28" t="s">
        <v>11</v>
      </c>
      <c r="H1011" s="254"/>
      <c r="I1011" s="49">
        <v>0</v>
      </c>
      <c r="J1011" s="49">
        <v>0</v>
      </c>
      <c r="K1011" s="52" t="str">
        <f t="shared" si="160"/>
        <v/>
      </c>
      <c r="L1011" s="209">
        <f t="shared" si="161"/>
        <v>0</v>
      </c>
      <c r="M1011" s="210" t="str">
        <f t="shared" si="162"/>
        <v/>
      </c>
      <c r="N1011" s="28" t="s">
        <v>11</v>
      </c>
      <c r="O1011" s="28" t="s">
        <v>11</v>
      </c>
      <c r="P1011" s="28" t="s">
        <v>11</v>
      </c>
      <c r="Q1011" s="2">
        <f t="shared" si="150"/>
        <v>1</v>
      </c>
      <c r="S1011" s="7">
        <f t="shared" si="157"/>
        <v>1</v>
      </c>
      <c r="T1011" s="157">
        <f t="shared" si="158"/>
        <v>1</v>
      </c>
      <c r="V1011" s="191">
        <f t="shared" si="151"/>
        <v>7</v>
      </c>
      <c r="W1011" s="7">
        <f t="shared" si="152"/>
        <v>2024</v>
      </c>
    </row>
    <row r="1012" spans="2:23" ht="31.95" customHeight="1" thickBot="1" x14ac:dyDescent="0.35">
      <c r="B1012" s="26">
        <v>45476</v>
      </c>
      <c r="C1012" s="51">
        <f t="shared" si="159"/>
        <v>1008</v>
      </c>
      <c r="D1012" s="27" t="s">
        <v>524</v>
      </c>
      <c r="E1012" s="26" t="s">
        <v>171</v>
      </c>
      <c r="F1012" s="28" t="s">
        <v>11</v>
      </c>
      <c r="G1012" s="28" t="s">
        <v>11</v>
      </c>
      <c r="H1012" s="254"/>
      <c r="I1012" s="49">
        <v>1</v>
      </c>
      <c r="J1012" s="49">
        <v>1</v>
      </c>
      <c r="K1012" s="52">
        <f t="shared" si="160"/>
        <v>1</v>
      </c>
      <c r="L1012" s="209">
        <f t="shared" si="161"/>
        <v>0</v>
      </c>
      <c r="M1012" s="210">
        <f t="shared" si="162"/>
        <v>0</v>
      </c>
      <c r="N1012" s="26">
        <v>45478</v>
      </c>
      <c r="O1012" s="26">
        <v>45478</v>
      </c>
      <c r="P1012" s="26">
        <v>45478</v>
      </c>
      <c r="Q1012" s="2">
        <f t="shared" si="150"/>
        <v>1</v>
      </c>
      <c r="S1012" s="7">
        <f t="shared" si="157"/>
        <v>1</v>
      </c>
      <c r="T1012" s="157">
        <f t="shared" si="158"/>
        <v>1</v>
      </c>
      <c r="V1012" s="191">
        <f t="shared" si="151"/>
        <v>7</v>
      </c>
      <c r="W1012" s="7">
        <f t="shared" si="152"/>
        <v>2024</v>
      </c>
    </row>
    <row r="1013" spans="2:23" ht="31.95" customHeight="1" thickBot="1" x14ac:dyDescent="0.35">
      <c r="B1013" s="26">
        <v>45478</v>
      </c>
      <c r="C1013" s="51">
        <f t="shared" si="159"/>
        <v>1009</v>
      </c>
      <c r="D1013" s="27" t="s">
        <v>1071</v>
      </c>
      <c r="E1013" s="26" t="s">
        <v>11</v>
      </c>
      <c r="F1013" s="28" t="s">
        <v>11</v>
      </c>
      <c r="G1013" s="28" t="s">
        <v>11</v>
      </c>
      <c r="H1013" s="254"/>
      <c r="I1013" s="49">
        <v>1</v>
      </c>
      <c r="J1013" s="49">
        <v>1</v>
      </c>
      <c r="K1013" s="52">
        <f t="shared" si="160"/>
        <v>1</v>
      </c>
      <c r="L1013" s="209">
        <f t="shared" si="161"/>
        <v>0</v>
      </c>
      <c r="M1013" s="210">
        <f t="shared" si="162"/>
        <v>0</v>
      </c>
      <c r="N1013" s="26">
        <v>45481</v>
      </c>
      <c r="O1013" s="26">
        <v>45481</v>
      </c>
      <c r="P1013" s="26">
        <v>45481</v>
      </c>
      <c r="Q1013" s="2">
        <f t="shared" si="150"/>
        <v>1</v>
      </c>
      <c r="S1013" s="7">
        <f t="shared" si="157"/>
        <v>1</v>
      </c>
      <c r="T1013" s="157">
        <f t="shared" si="158"/>
        <v>1</v>
      </c>
      <c r="V1013" s="191">
        <f t="shared" si="151"/>
        <v>7</v>
      </c>
      <c r="W1013" s="7">
        <f t="shared" si="152"/>
        <v>2024</v>
      </c>
    </row>
    <row r="1014" spans="2:23" ht="31.95" customHeight="1" thickBot="1" x14ac:dyDescent="0.35">
      <c r="B1014" s="26">
        <v>45484</v>
      </c>
      <c r="C1014" s="51">
        <f t="shared" si="159"/>
        <v>1010</v>
      </c>
      <c r="D1014" s="27" t="s">
        <v>705</v>
      </c>
      <c r="E1014" s="26" t="s">
        <v>11</v>
      </c>
      <c r="F1014" s="28" t="s">
        <v>11</v>
      </c>
      <c r="G1014" s="28" t="s">
        <v>11</v>
      </c>
      <c r="H1014" s="254"/>
      <c r="I1014" s="49">
        <v>2</v>
      </c>
      <c r="J1014" s="49">
        <v>2</v>
      </c>
      <c r="K1014" s="52">
        <f t="shared" si="160"/>
        <v>1</v>
      </c>
      <c r="L1014" s="209">
        <f t="shared" si="161"/>
        <v>0</v>
      </c>
      <c r="M1014" s="210">
        <f t="shared" si="162"/>
        <v>0</v>
      </c>
      <c r="N1014" s="26">
        <v>45485</v>
      </c>
      <c r="O1014" s="26">
        <v>45485</v>
      </c>
      <c r="P1014" s="26">
        <v>45485</v>
      </c>
      <c r="Q1014" s="2">
        <f t="shared" si="150"/>
        <v>1</v>
      </c>
      <c r="S1014" s="7">
        <f t="shared" si="157"/>
        <v>1</v>
      </c>
      <c r="T1014" s="157">
        <f t="shared" si="158"/>
        <v>1</v>
      </c>
      <c r="V1014" s="191">
        <f t="shared" si="151"/>
        <v>7</v>
      </c>
      <c r="W1014" s="7">
        <f t="shared" si="152"/>
        <v>2024</v>
      </c>
    </row>
    <row r="1015" spans="2:23" ht="31.95" customHeight="1" thickBot="1" x14ac:dyDescent="0.35">
      <c r="B1015" s="26">
        <v>45484</v>
      </c>
      <c r="C1015" s="51">
        <f t="shared" si="159"/>
        <v>1011</v>
      </c>
      <c r="D1015" s="27" t="s">
        <v>305</v>
      </c>
      <c r="E1015" s="26" t="s">
        <v>11</v>
      </c>
      <c r="F1015" s="28" t="s">
        <v>11</v>
      </c>
      <c r="G1015" s="28" t="s">
        <v>11</v>
      </c>
      <c r="H1015" s="254"/>
      <c r="I1015" s="49">
        <v>4</v>
      </c>
      <c r="J1015" s="49">
        <v>4</v>
      </c>
      <c r="K1015" s="52">
        <f t="shared" si="160"/>
        <v>1</v>
      </c>
      <c r="L1015" s="209">
        <f t="shared" si="161"/>
        <v>0</v>
      </c>
      <c r="M1015" s="210">
        <f t="shared" si="162"/>
        <v>0</v>
      </c>
      <c r="N1015" s="26">
        <v>45485</v>
      </c>
      <c r="O1015" s="26">
        <v>45485</v>
      </c>
      <c r="P1015" s="26">
        <v>45485</v>
      </c>
      <c r="Q1015" s="2">
        <f t="shared" si="150"/>
        <v>1</v>
      </c>
      <c r="S1015" s="7">
        <f t="shared" si="157"/>
        <v>1</v>
      </c>
      <c r="T1015" s="157">
        <f t="shared" si="158"/>
        <v>1</v>
      </c>
      <c r="V1015" s="191">
        <f t="shared" si="151"/>
        <v>7</v>
      </c>
      <c r="W1015" s="7">
        <f t="shared" si="152"/>
        <v>2024</v>
      </c>
    </row>
    <row r="1016" spans="2:23" ht="31.95" customHeight="1" thickBot="1" x14ac:dyDescent="0.35">
      <c r="B1016" s="26">
        <v>45490</v>
      </c>
      <c r="C1016" s="51">
        <f t="shared" si="159"/>
        <v>1012</v>
      </c>
      <c r="D1016" s="27" t="s">
        <v>978</v>
      </c>
      <c r="E1016" s="26" t="s">
        <v>169</v>
      </c>
      <c r="F1016" s="28" t="s">
        <v>11</v>
      </c>
      <c r="G1016" s="28" t="s">
        <v>11</v>
      </c>
      <c r="H1016" s="254"/>
      <c r="I1016" s="49">
        <v>2</v>
      </c>
      <c r="J1016" s="49">
        <v>2</v>
      </c>
      <c r="K1016" s="52">
        <f t="shared" si="160"/>
        <v>1</v>
      </c>
      <c r="L1016" s="209">
        <f t="shared" si="161"/>
        <v>0</v>
      </c>
      <c r="M1016" s="210">
        <f t="shared" si="162"/>
        <v>0</v>
      </c>
      <c r="N1016" s="26">
        <v>45492</v>
      </c>
      <c r="O1016" s="26">
        <v>45492</v>
      </c>
      <c r="P1016" s="26">
        <v>45492</v>
      </c>
      <c r="Q1016" s="2">
        <f t="shared" si="150"/>
        <v>1</v>
      </c>
      <c r="S1016" s="7">
        <f t="shared" si="157"/>
        <v>1</v>
      </c>
      <c r="T1016" s="157">
        <f t="shared" si="158"/>
        <v>1</v>
      </c>
      <c r="V1016" s="191">
        <f t="shared" si="151"/>
        <v>7</v>
      </c>
      <c r="W1016" s="7">
        <f t="shared" si="152"/>
        <v>2024</v>
      </c>
    </row>
    <row r="1017" spans="2:23" ht="31.95" customHeight="1" thickBot="1" x14ac:dyDescent="0.35">
      <c r="B1017" s="26">
        <v>45492</v>
      </c>
      <c r="C1017" s="51">
        <f t="shared" si="159"/>
        <v>1013</v>
      </c>
      <c r="D1017" s="27" t="s">
        <v>305</v>
      </c>
      <c r="E1017" s="26" t="s">
        <v>11</v>
      </c>
      <c r="F1017" s="28" t="s">
        <v>11</v>
      </c>
      <c r="G1017" s="28" t="s">
        <v>11</v>
      </c>
      <c r="H1017" s="254"/>
      <c r="I1017" s="49">
        <v>5</v>
      </c>
      <c r="J1017" s="49">
        <v>5</v>
      </c>
      <c r="K1017" s="52">
        <f t="shared" si="160"/>
        <v>1</v>
      </c>
      <c r="L1017" s="209">
        <f t="shared" si="161"/>
        <v>0</v>
      </c>
      <c r="M1017" s="210">
        <f t="shared" si="162"/>
        <v>0</v>
      </c>
      <c r="N1017" s="26">
        <v>45492</v>
      </c>
      <c r="O1017" s="26">
        <v>45492</v>
      </c>
      <c r="P1017" s="26">
        <v>45492</v>
      </c>
      <c r="Q1017" s="2">
        <f t="shared" si="150"/>
        <v>1</v>
      </c>
      <c r="S1017" s="7">
        <f t="shared" si="157"/>
        <v>1</v>
      </c>
      <c r="T1017" s="157">
        <f t="shared" si="158"/>
        <v>1</v>
      </c>
      <c r="V1017" s="191">
        <f t="shared" si="151"/>
        <v>7</v>
      </c>
      <c r="W1017" s="7">
        <f t="shared" si="152"/>
        <v>2024</v>
      </c>
    </row>
    <row r="1018" spans="2:23" ht="31.95" customHeight="1" thickBot="1" x14ac:dyDescent="0.35">
      <c r="B1018" s="26">
        <v>45495</v>
      </c>
      <c r="C1018" s="51">
        <f t="shared" si="159"/>
        <v>1014</v>
      </c>
      <c r="D1018" s="27" t="s">
        <v>915</v>
      </c>
      <c r="E1018" s="26" t="s">
        <v>174</v>
      </c>
      <c r="F1018" s="28" t="s">
        <v>11</v>
      </c>
      <c r="G1018" s="28" t="s">
        <v>11</v>
      </c>
      <c r="H1018" s="254"/>
      <c r="I1018" s="49">
        <v>3</v>
      </c>
      <c r="J1018" s="49">
        <v>3</v>
      </c>
      <c r="K1018" s="52">
        <f t="shared" si="160"/>
        <v>1</v>
      </c>
      <c r="L1018" s="209">
        <f t="shared" si="161"/>
        <v>0</v>
      </c>
      <c r="M1018" s="210">
        <f t="shared" si="162"/>
        <v>0</v>
      </c>
      <c r="N1018" s="26">
        <v>45509</v>
      </c>
      <c r="O1018" s="26">
        <v>45509</v>
      </c>
      <c r="P1018" s="26">
        <v>45509</v>
      </c>
      <c r="Q1018" s="2">
        <f t="shared" si="150"/>
        <v>1</v>
      </c>
      <c r="S1018" s="7">
        <f t="shared" si="157"/>
        <v>1</v>
      </c>
      <c r="T1018" s="157">
        <f t="shared" si="158"/>
        <v>1</v>
      </c>
      <c r="V1018" s="191">
        <f t="shared" si="151"/>
        <v>7</v>
      </c>
      <c r="W1018" s="7">
        <f t="shared" si="152"/>
        <v>2024</v>
      </c>
    </row>
    <row r="1019" spans="2:23" ht="31.95" customHeight="1" thickBot="1" x14ac:dyDescent="0.35">
      <c r="B1019" s="26">
        <v>45497</v>
      </c>
      <c r="C1019" s="51">
        <f t="shared" si="159"/>
        <v>1015</v>
      </c>
      <c r="D1019" s="27" t="s">
        <v>321</v>
      </c>
      <c r="E1019" s="26" t="s">
        <v>11</v>
      </c>
      <c r="F1019" s="28" t="s">
        <v>11</v>
      </c>
      <c r="G1019" s="28" t="s">
        <v>11</v>
      </c>
      <c r="H1019" s="254"/>
      <c r="I1019" s="49">
        <v>1</v>
      </c>
      <c r="J1019" s="49">
        <v>1</v>
      </c>
      <c r="K1019" s="52">
        <f t="shared" si="160"/>
        <v>1</v>
      </c>
      <c r="L1019" s="209">
        <f t="shared" si="161"/>
        <v>0</v>
      </c>
      <c r="M1019" s="210">
        <f t="shared" si="162"/>
        <v>0</v>
      </c>
      <c r="N1019" s="26">
        <v>45498</v>
      </c>
      <c r="O1019" s="26">
        <v>45498</v>
      </c>
      <c r="P1019" s="26">
        <v>45498</v>
      </c>
      <c r="Q1019" s="2">
        <f t="shared" si="150"/>
        <v>1</v>
      </c>
      <c r="S1019" s="7">
        <f t="shared" si="157"/>
        <v>1</v>
      </c>
      <c r="T1019" s="157">
        <f t="shared" si="158"/>
        <v>1</v>
      </c>
      <c r="V1019" s="191">
        <f t="shared" si="151"/>
        <v>7</v>
      </c>
      <c r="W1019" s="7">
        <f t="shared" si="152"/>
        <v>2024</v>
      </c>
    </row>
    <row r="1020" spans="2:23" ht="31.95" customHeight="1" thickBot="1" x14ac:dyDescent="0.35">
      <c r="B1020" s="26">
        <v>45499</v>
      </c>
      <c r="C1020" s="51">
        <f t="shared" si="159"/>
        <v>1016</v>
      </c>
      <c r="D1020" s="27" t="s">
        <v>305</v>
      </c>
      <c r="E1020" s="26" t="s">
        <v>11</v>
      </c>
      <c r="F1020" s="28" t="s">
        <v>11</v>
      </c>
      <c r="G1020" s="28" t="s">
        <v>11</v>
      </c>
      <c r="H1020" s="254"/>
      <c r="I1020" s="49">
        <v>7</v>
      </c>
      <c r="J1020" s="49">
        <v>7</v>
      </c>
      <c r="K1020" s="52">
        <f t="shared" si="160"/>
        <v>1</v>
      </c>
      <c r="L1020" s="209">
        <f t="shared" si="161"/>
        <v>0</v>
      </c>
      <c r="M1020" s="210">
        <f t="shared" si="162"/>
        <v>0</v>
      </c>
      <c r="N1020" s="26">
        <v>45499</v>
      </c>
      <c r="O1020" s="26">
        <v>45499</v>
      </c>
      <c r="P1020" s="26">
        <v>45499</v>
      </c>
      <c r="Q1020" s="2">
        <f t="shared" si="150"/>
        <v>1</v>
      </c>
      <c r="S1020" s="7">
        <f t="shared" si="157"/>
        <v>1</v>
      </c>
      <c r="T1020" s="157">
        <f t="shared" si="158"/>
        <v>1</v>
      </c>
      <c r="V1020" s="191">
        <f t="shared" si="151"/>
        <v>7</v>
      </c>
      <c r="W1020" s="7">
        <f t="shared" si="152"/>
        <v>2024</v>
      </c>
    </row>
    <row r="1021" spans="2:23" ht="31.95" customHeight="1" thickBot="1" x14ac:dyDescent="0.35">
      <c r="B1021" s="26">
        <v>45502</v>
      </c>
      <c r="C1021" s="51">
        <f t="shared" si="159"/>
        <v>1017</v>
      </c>
      <c r="D1021" s="27" t="s">
        <v>305</v>
      </c>
      <c r="E1021" s="26" t="s">
        <v>11</v>
      </c>
      <c r="F1021" s="28" t="s">
        <v>11</v>
      </c>
      <c r="G1021" s="28" t="s">
        <v>11</v>
      </c>
      <c r="H1021" s="254"/>
      <c r="I1021" s="49">
        <v>3</v>
      </c>
      <c r="J1021" s="49">
        <v>3</v>
      </c>
      <c r="K1021" s="52">
        <f t="shared" si="160"/>
        <v>1</v>
      </c>
      <c r="L1021" s="209">
        <f t="shared" si="161"/>
        <v>0</v>
      </c>
      <c r="M1021" s="210">
        <f t="shared" si="162"/>
        <v>0</v>
      </c>
      <c r="N1021" s="26">
        <v>45502</v>
      </c>
      <c r="O1021" s="26">
        <v>45502</v>
      </c>
      <c r="P1021" s="26">
        <v>45502</v>
      </c>
      <c r="Q1021" s="2">
        <f t="shared" si="150"/>
        <v>1</v>
      </c>
      <c r="S1021" s="7">
        <f t="shared" si="157"/>
        <v>1</v>
      </c>
      <c r="T1021" s="157">
        <f t="shared" si="158"/>
        <v>1</v>
      </c>
      <c r="V1021" s="191">
        <f t="shared" si="151"/>
        <v>7</v>
      </c>
      <c r="W1021" s="7">
        <f t="shared" si="152"/>
        <v>2024</v>
      </c>
    </row>
    <row r="1022" spans="2:23" ht="31.95" customHeight="1" thickBot="1" x14ac:dyDescent="0.35">
      <c r="B1022" s="26">
        <v>45503</v>
      </c>
      <c r="C1022" s="51">
        <f t="shared" si="159"/>
        <v>1018</v>
      </c>
      <c r="D1022" s="27" t="s">
        <v>602</v>
      </c>
      <c r="E1022" s="26" t="s">
        <v>169</v>
      </c>
      <c r="F1022" s="28" t="s">
        <v>11</v>
      </c>
      <c r="G1022" s="28" t="s">
        <v>11</v>
      </c>
      <c r="H1022" s="254"/>
      <c r="I1022" s="49">
        <v>1</v>
      </c>
      <c r="J1022" s="49">
        <v>1</v>
      </c>
      <c r="K1022" s="52">
        <f t="shared" si="160"/>
        <v>1</v>
      </c>
      <c r="L1022" s="209">
        <f t="shared" si="161"/>
        <v>0</v>
      </c>
      <c r="M1022" s="210">
        <f t="shared" si="162"/>
        <v>0</v>
      </c>
      <c r="N1022" s="26">
        <v>45510</v>
      </c>
      <c r="O1022" s="26">
        <v>45510</v>
      </c>
      <c r="P1022" s="26">
        <v>45510</v>
      </c>
      <c r="Q1022" s="2">
        <f t="shared" si="150"/>
        <v>1</v>
      </c>
      <c r="S1022" s="7">
        <f t="shared" si="157"/>
        <v>1</v>
      </c>
      <c r="T1022" s="157">
        <f t="shared" si="158"/>
        <v>1</v>
      </c>
      <c r="V1022" s="191">
        <f t="shared" si="151"/>
        <v>7</v>
      </c>
      <c r="W1022" s="7">
        <f t="shared" si="152"/>
        <v>2024</v>
      </c>
    </row>
    <row r="1023" spans="2:23" ht="31.95" customHeight="1" thickBot="1" x14ac:dyDescent="0.35">
      <c r="B1023" s="26">
        <v>45503</v>
      </c>
      <c r="C1023" s="51">
        <f t="shared" si="159"/>
        <v>1019</v>
      </c>
      <c r="D1023" s="27" t="s">
        <v>524</v>
      </c>
      <c r="E1023" s="26" t="s">
        <v>175</v>
      </c>
      <c r="F1023" s="28" t="s">
        <v>11</v>
      </c>
      <c r="G1023" s="28" t="s">
        <v>11</v>
      </c>
      <c r="H1023" s="254"/>
      <c r="I1023" s="49">
        <v>2</v>
      </c>
      <c r="J1023" s="49">
        <v>2</v>
      </c>
      <c r="K1023" s="52">
        <f t="shared" si="160"/>
        <v>1</v>
      </c>
      <c r="L1023" s="209">
        <f t="shared" si="161"/>
        <v>0</v>
      </c>
      <c r="M1023" s="210">
        <f t="shared" si="162"/>
        <v>0</v>
      </c>
      <c r="N1023" s="26">
        <v>45505</v>
      </c>
      <c r="O1023" s="26">
        <v>45505</v>
      </c>
      <c r="P1023" s="26">
        <v>45505</v>
      </c>
      <c r="Q1023" s="2">
        <f t="shared" si="150"/>
        <v>1</v>
      </c>
      <c r="S1023" s="7">
        <f t="shared" si="157"/>
        <v>1</v>
      </c>
      <c r="T1023" s="157">
        <f t="shared" si="158"/>
        <v>1</v>
      </c>
      <c r="V1023" s="191">
        <f t="shared" si="151"/>
        <v>7</v>
      </c>
      <c r="W1023" s="7">
        <f t="shared" si="152"/>
        <v>2024</v>
      </c>
    </row>
    <row r="1024" spans="2:23" ht="31.95" customHeight="1" thickBot="1" x14ac:dyDescent="0.35">
      <c r="B1024" s="26">
        <v>45503</v>
      </c>
      <c r="C1024" s="51">
        <f t="shared" si="159"/>
        <v>1020</v>
      </c>
      <c r="D1024" s="27" t="s">
        <v>594</v>
      </c>
      <c r="E1024" s="26" t="s">
        <v>175</v>
      </c>
      <c r="F1024" s="28" t="s">
        <v>11</v>
      </c>
      <c r="G1024" s="28" t="s">
        <v>11</v>
      </c>
      <c r="H1024" s="254"/>
      <c r="I1024" s="49">
        <v>3</v>
      </c>
      <c r="J1024" s="49">
        <v>3</v>
      </c>
      <c r="K1024" s="52">
        <f t="shared" si="160"/>
        <v>1</v>
      </c>
      <c r="L1024" s="209">
        <f t="shared" si="161"/>
        <v>0</v>
      </c>
      <c r="M1024" s="210">
        <f t="shared" si="162"/>
        <v>0</v>
      </c>
      <c r="N1024" s="26">
        <v>45510</v>
      </c>
      <c r="O1024" s="26">
        <v>45510</v>
      </c>
      <c r="P1024" s="26">
        <v>45510</v>
      </c>
      <c r="Q1024" s="2">
        <f t="shared" si="150"/>
        <v>1</v>
      </c>
      <c r="S1024" s="7">
        <f t="shared" si="157"/>
        <v>1</v>
      </c>
      <c r="T1024" s="157">
        <f t="shared" si="158"/>
        <v>1</v>
      </c>
      <c r="V1024" s="191">
        <f t="shared" si="151"/>
        <v>7</v>
      </c>
      <c r="W1024" s="7">
        <f t="shared" si="152"/>
        <v>2024</v>
      </c>
    </row>
    <row r="1025" spans="2:23" ht="31.95" customHeight="1" thickBot="1" x14ac:dyDescent="0.35">
      <c r="B1025" s="26">
        <v>45513</v>
      </c>
      <c r="C1025" s="51">
        <f t="shared" si="159"/>
        <v>1021</v>
      </c>
      <c r="D1025" s="27" t="s">
        <v>602</v>
      </c>
      <c r="E1025" s="26" t="s">
        <v>169</v>
      </c>
      <c r="F1025" s="28" t="s">
        <v>11</v>
      </c>
      <c r="G1025" s="28" t="s">
        <v>11</v>
      </c>
      <c r="H1025" s="254"/>
      <c r="I1025" s="49">
        <v>1</v>
      </c>
      <c r="J1025" s="49">
        <v>1</v>
      </c>
      <c r="K1025" s="52">
        <f t="shared" si="160"/>
        <v>1</v>
      </c>
      <c r="L1025" s="209">
        <f t="shared" si="161"/>
        <v>0</v>
      </c>
      <c r="M1025" s="210">
        <f t="shared" si="162"/>
        <v>0</v>
      </c>
      <c r="N1025" s="26">
        <v>45517</v>
      </c>
      <c r="O1025" s="26">
        <v>45517</v>
      </c>
      <c r="P1025" s="26">
        <v>45517</v>
      </c>
      <c r="Q1025" s="2">
        <f t="shared" si="150"/>
        <v>1</v>
      </c>
      <c r="S1025" s="7">
        <f t="shared" si="157"/>
        <v>1</v>
      </c>
      <c r="T1025" s="157">
        <f t="shared" si="158"/>
        <v>1</v>
      </c>
      <c r="V1025" s="191">
        <f t="shared" si="151"/>
        <v>8</v>
      </c>
      <c r="W1025" s="7">
        <f t="shared" si="152"/>
        <v>2024</v>
      </c>
    </row>
    <row r="1026" spans="2:23" ht="31.95" customHeight="1" thickBot="1" x14ac:dyDescent="0.35">
      <c r="B1026" s="26">
        <v>45513</v>
      </c>
      <c r="C1026" s="51">
        <f t="shared" si="159"/>
        <v>1022</v>
      </c>
      <c r="D1026" s="27" t="s">
        <v>978</v>
      </c>
      <c r="E1026" s="26" t="s">
        <v>169</v>
      </c>
      <c r="F1026" s="28" t="s">
        <v>11</v>
      </c>
      <c r="G1026" s="28" t="s">
        <v>11</v>
      </c>
      <c r="H1026" s="254"/>
      <c r="I1026" s="49">
        <v>1</v>
      </c>
      <c r="J1026" s="49">
        <v>1</v>
      </c>
      <c r="K1026" s="52">
        <f t="shared" si="160"/>
        <v>1</v>
      </c>
      <c r="L1026" s="209">
        <f t="shared" si="161"/>
        <v>0</v>
      </c>
      <c r="M1026" s="210">
        <f t="shared" si="162"/>
        <v>0</v>
      </c>
      <c r="N1026" s="26">
        <v>45516</v>
      </c>
      <c r="O1026" s="26">
        <v>45516</v>
      </c>
      <c r="P1026" s="26">
        <v>45516</v>
      </c>
      <c r="Q1026" s="2">
        <f t="shared" si="150"/>
        <v>1</v>
      </c>
      <c r="S1026" s="7">
        <f t="shared" si="157"/>
        <v>1</v>
      </c>
      <c r="T1026" s="157">
        <f t="shared" si="158"/>
        <v>1</v>
      </c>
      <c r="V1026" s="191">
        <f t="shared" si="151"/>
        <v>8</v>
      </c>
      <c r="W1026" s="7">
        <f t="shared" si="152"/>
        <v>2024</v>
      </c>
    </row>
    <row r="1027" spans="2:23" ht="31.95" customHeight="1" thickBot="1" x14ac:dyDescent="0.35">
      <c r="B1027" s="26">
        <v>45513</v>
      </c>
      <c r="C1027" s="51">
        <f t="shared" si="159"/>
        <v>1023</v>
      </c>
      <c r="D1027" s="27" t="s">
        <v>305</v>
      </c>
      <c r="E1027" s="26" t="s">
        <v>11</v>
      </c>
      <c r="F1027" s="28" t="s">
        <v>11</v>
      </c>
      <c r="G1027" s="28" t="s">
        <v>11</v>
      </c>
      <c r="H1027" s="254"/>
      <c r="I1027" s="49">
        <v>2</v>
      </c>
      <c r="J1027" s="49">
        <v>2</v>
      </c>
      <c r="K1027" s="52">
        <f t="shared" si="160"/>
        <v>1</v>
      </c>
      <c r="L1027" s="209">
        <f t="shared" si="161"/>
        <v>0</v>
      </c>
      <c r="M1027" s="210">
        <f t="shared" si="162"/>
        <v>0</v>
      </c>
      <c r="N1027" s="26">
        <v>45513</v>
      </c>
      <c r="O1027" s="26">
        <v>45513</v>
      </c>
      <c r="P1027" s="26">
        <v>45513</v>
      </c>
      <c r="Q1027" s="2">
        <f t="shared" si="150"/>
        <v>1</v>
      </c>
      <c r="S1027" s="7">
        <f t="shared" si="157"/>
        <v>1</v>
      </c>
      <c r="T1027" s="157">
        <f t="shared" si="158"/>
        <v>1</v>
      </c>
      <c r="V1027" s="191">
        <f t="shared" si="151"/>
        <v>8</v>
      </c>
      <c r="W1027" s="7">
        <f t="shared" si="152"/>
        <v>2024</v>
      </c>
    </row>
    <row r="1028" spans="2:23" ht="31.95" customHeight="1" thickBot="1" x14ac:dyDescent="0.35">
      <c r="B1028" s="26">
        <v>45516</v>
      </c>
      <c r="C1028" s="51">
        <f t="shared" si="159"/>
        <v>1024</v>
      </c>
      <c r="D1028" s="27" t="s">
        <v>858</v>
      </c>
      <c r="E1028" s="26" t="s">
        <v>11</v>
      </c>
      <c r="F1028" s="28" t="s">
        <v>11</v>
      </c>
      <c r="G1028" s="28" t="s">
        <v>11</v>
      </c>
      <c r="H1028" s="254"/>
      <c r="I1028" s="49">
        <v>2</v>
      </c>
      <c r="J1028" s="49">
        <v>2</v>
      </c>
      <c r="K1028" s="52">
        <f t="shared" si="160"/>
        <v>1</v>
      </c>
      <c r="L1028" s="209">
        <f t="shared" si="161"/>
        <v>0</v>
      </c>
      <c r="M1028" s="210">
        <f t="shared" si="162"/>
        <v>0</v>
      </c>
      <c r="N1028" s="26">
        <v>45516</v>
      </c>
      <c r="O1028" s="26">
        <v>45516</v>
      </c>
      <c r="P1028" s="26">
        <v>45516</v>
      </c>
      <c r="Q1028" s="2">
        <f t="shared" si="150"/>
        <v>1</v>
      </c>
      <c r="S1028" s="7">
        <f t="shared" si="157"/>
        <v>1</v>
      </c>
      <c r="T1028" s="157">
        <f t="shared" si="158"/>
        <v>1</v>
      </c>
      <c r="V1028" s="191">
        <f t="shared" si="151"/>
        <v>8</v>
      </c>
      <c r="W1028" s="7">
        <f t="shared" si="152"/>
        <v>2024</v>
      </c>
    </row>
    <row r="1029" spans="2:23" ht="31.95" customHeight="1" thickBot="1" x14ac:dyDescent="0.35">
      <c r="B1029" s="26">
        <v>45516</v>
      </c>
      <c r="C1029" s="51">
        <f t="shared" si="159"/>
        <v>1025</v>
      </c>
      <c r="D1029" s="27" t="s">
        <v>705</v>
      </c>
      <c r="E1029" s="26" t="s">
        <v>11</v>
      </c>
      <c r="F1029" s="28" t="s">
        <v>11</v>
      </c>
      <c r="G1029" s="28" t="s">
        <v>11</v>
      </c>
      <c r="H1029" s="254"/>
      <c r="I1029" s="49">
        <v>1</v>
      </c>
      <c r="J1029" s="49">
        <v>1</v>
      </c>
      <c r="K1029" s="52">
        <f t="shared" si="160"/>
        <v>1</v>
      </c>
      <c r="L1029" s="209">
        <f t="shared" si="161"/>
        <v>0</v>
      </c>
      <c r="M1029" s="210">
        <f t="shared" si="162"/>
        <v>0</v>
      </c>
      <c r="N1029" s="26">
        <v>45516</v>
      </c>
      <c r="O1029" s="26">
        <v>45516</v>
      </c>
      <c r="P1029" s="26">
        <v>45516</v>
      </c>
      <c r="Q1029" s="2">
        <f t="shared" ref="Q1029:Q1092" si="163">IF(B1029&lt;&gt;"",1,0)</f>
        <v>1</v>
      </c>
      <c r="S1029" s="7">
        <f t="shared" si="157"/>
        <v>1</v>
      </c>
      <c r="T1029" s="157">
        <f t="shared" si="158"/>
        <v>1</v>
      </c>
      <c r="V1029" s="191">
        <f t="shared" ref="V1029:V1092" si="164">MONTH(B1029)</f>
        <v>8</v>
      </c>
      <c r="W1029" s="7">
        <f t="shared" ref="W1029:W1092" si="165">YEAR(B1029)</f>
        <v>2024</v>
      </c>
    </row>
    <row r="1030" spans="2:23" ht="31.95" customHeight="1" thickBot="1" x14ac:dyDescent="0.35">
      <c r="B1030" s="26">
        <v>45516</v>
      </c>
      <c r="C1030" s="51">
        <f t="shared" si="159"/>
        <v>1026</v>
      </c>
      <c r="D1030" s="27" t="s">
        <v>1206</v>
      </c>
      <c r="E1030" s="26" t="s">
        <v>11</v>
      </c>
      <c r="F1030" s="28" t="s">
        <v>11</v>
      </c>
      <c r="G1030" s="28" t="s">
        <v>11</v>
      </c>
      <c r="H1030" s="254"/>
      <c r="I1030" s="49">
        <v>1</v>
      </c>
      <c r="J1030" s="49">
        <v>1</v>
      </c>
      <c r="K1030" s="52">
        <f t="shared" si="160"/>
        <v>1</v>
      </c>
      <c r="L1030" s="209">
        <f t="shared" si="161"/>
        <v>0</v>
      </c>
      <c r="M1030" s="210">
        <f t="shared" si="162"/>
        <v>0</v>
      </c>
      <c r="N1030" s="26">
        <v>45516</v>
      </c>
      <c r="O1030" s="26">
        <v>45516</v>
      </c>
      <c r="P1030" s="26">
        <v>45516</v>
      </c>
      <c r="Q1030" s="2">
        <f t="shared" si="163"/>
        <v>1</v>
      </c>
      <c r="S1030" s="7">
        <f t="shared" ref="S1030:S1093" si="166">IF(AND(O1030&lt;=N1030,O1030&lt;&gt;""),1,0)</f>
        <v>1</v>
      </c>
      <c r="T1030" s="157">
        <f t="shared" ref="T1030:T1093" si="167">IF(AND(P1030&lt;=N1030,P1030&lt;&gt;""),1,0)</f>
        <v>1</v>
      </c>
      <c r="V1030" s="191">
        <f t="shared" si="164"/>
        <v>8</v>
      </c>
      <c r="W1030" s="7">
        <f t="shared" si="165"/>
        <v>2024</v>
      </c>
    </row>
    <row r="1031" spans="2:23" ht="31.95" customHeight="1" thickBot="1" x14ac:dyDescent="0.35">
      <c r="B1031" s="26">
        <v>45520</v>
      </c>
      <c r="C1031" s="51">
        <f t="shared" ref="C1031:C1094" si="168">IF(B1031&lt;&gt;"",C1030+1,"")</f>
        <v>1027</v>
      </c>
      <c r="D1031" s="27" t="s">
        <v>594</v>
      </c>
      <c r="E1031" s="26" t="s">
        <v>172</v>
      </c>
      <c r="F1031" s="28" t="s">
        <v>11</v>
      </c>
      <c r="G1031" s="28" t="s">
        <v>11</v>
      </c>
      <c r="H1031" s="254"/>
      <c r="I1031" s="49">
        <v>3</v>
      </c>
      <c r="J1031" s="49">
        <v>3</v>
      </c>
      <c r="K1031" s="52">
        <f t="shared" si="160"/>
        <v>1</v>
      </c>
      <c r="L1031" s="209">
        <f t="shared" si="161"/>
        <v>0</v>
      </c>
      <c r="M1031" s="210">
        <f t="shared" si="162"/>
        <v>0</v>
      </c>
      <c r="N1031" s="26">
        <v>45541</v>
      </c>
      <c r="O1031" s="26">
        <v>45541</v>
      </c>
      <c r="P1031" s="26">
        <v>45541</v>
      </c>
      <c r="Q1031" s="2">
        <f t="shared" si="163"/>
        <v>1</v>
      </c>
      <c r="S1031" s="7">
        <f t="shared" si="166"/>
        <v>1</v>
      </c>
      <c r="T1031" s="157">
        <f t="shared" si="167"/>
        <v>1</v>
      </c>
      <c r="V1031" s="191">
        <f t="shared" si="164"/>
        <v>8</v>
      </c>
      <c r="W1031" s="7">
        <f t="shared" si="165"/>
        <v>2024</v>
      </c>
    </row>
    <row r="1032" spans="2:23" ht="31.95" customHeight="1" thickBot="1" x14ac:dyDescent="0.35">
      <c r="B1032" s="26">
        <v>45520</v>
      </c>
      <c r="C1032" s="51">
        <f t="shared" si="168"/>
        <v>1028</v>
      </c>
      <c r="D1032" s="27" t="s">
        <v>305</v>
      </c>
      <c r="E1032" s="26" t="s">
        <v>11</v>
      </c>
      <c r="F1032" s="28" t="s">
        <v>11</v>
      </c>
      <c r="G1032" s="28" t="s">
        <v>11</v>
      </c>
      <c r="H1032" s="254"/>
      <c r="I1032" s="49">
        <v>1</v>
      </c>
      <c r="J1032" s="49">
        <v>1</v>
      </c>
      <c r="K1032" s="52">
        <f t="shared" si="160"/>
        <v>1</v>
      </c>
      <c r="L1032" s="209">
        <f t="shared" si="161"/>
        <v>0</v>
      </c>
      <c r="M1032" s="210">
        <f t="shared" si="162"/>
        <v>0</v>
      </c>
      <c r="N1032" s="26">
        <v>45520</v>
      </c>
      <c r="O1032" s="26">
        <v>45520</v>
      </c>
      <c r="P1032" s="26">
        <v>45520</v>
      </c>
      <c r="Q1032" s="2">
        <f t="shared" si="163"/>
        <v>1</v>
      </c>
      <c r="S1032" s="7">
        <f t="shared" si="166"/>
        <v>1</v>
      </c>
      <c r="T1032" s="157">
        <f t="shared" si="167"/>
        <v>1</v>
      </c>
      <c r="V1032" s="191">
        <f t="shared" si="164"/>
        <v>8</v>
      </c>
      <c r="W1032" s="7">
        <f t="shared" si="165"/>
        <v>2024</v>
      </c>
    </row>
    <row r="1033" spans="2:23" ht="31.95" customHeight="1" thickBot="1" x14ac:dyDescent="0.35">
      <c r="B1033" s="26">
        <v>45520</v>
      </c>
      <c r="C1033" s="51">
        <f t="shared" si="168"/>
        <v>1029</v>
      </c>
      <c r="D1033" s="27" t="s">
        <v>858</v>
      </c>
      <c r="E1033" s="26" t="s">
        <v>11</v>
      </c>
      <c r="F1033" s="28" t="s">
        <v>11</v>
      </c>
      <c r="G1033" s="28" t="s">
        <v>11</v>
      </c>
      <c r="H1033" s="254"/>
      <c r="I1033" s="49">
        <v>1</v>
      </c>
      <c r="J1033" s="49">
        <v>1</v>
      </c>
      <c r="K1033" s="52">
        <f t="shared" si="160"/>
        <v>1</v>
      </c>
      <c r="L1033" s="209">
        <f t="shared" si="161"/>
        <v>0</v>
      </c>
      <c r="M1033" s="210">
        <f t="shared" si="162"/>
        <v>0</v>
      </c>
      <c r="N1033" s="26">
        <v>45520</v>
      </c>
      <c r="O1033" s="26">
        <v>45520</v>
      </c>
      <c r="P1033" s="26">
        <v>45520</v>
      </c>
      <c r="Q1033" s="2">
        <f t="shared" si="163"/>
        <v>1</v>
      </c>
      <c r="S1033" s="7">
        <f t="shared" si="166"/>
        <v>1</v>
      </c>
      <c r="T1033" s="157">
        <f t="shared" si="167"/>
        <v>1</v>
      </c>
      <c r="V1033" s="191">
        <f t="shared" si="164"/>
        <v>8</v>
      </c>
      <c r="W1033" s="7">
        <f t="shared" si="165"/>
        <v>2024</v>
      </c>
    </row>
    <row r="1034" spans="2:23" ht="31.95" customHeight="1" thickBot="1" x14ac:dyDescent="0.35">
      <c r="B1034" s="26">
        <v>45520</v>
      </c>
      <c r="C1034" s="51">
        <f t="shared" si="168"/>
        <v>1030</v>
      </c>
      <c r="D1034" s="27"/>
      <c r="E1034" s="28" t="s">
        <v>11</v>
      </c>
      <c r="F1034" s="28" t="s">
        <v>11</v>
      </c>
      <c r="G1034" s="28" t="s">
        <v>11</v>
      </c>
      <c r="H1034" s="254"/>
      <c r="I1034" s="49">
        <v>0</v>
      </c>
      <c r="J1034" s="49">
        <v>0</v>
      </c>
      <c r="K1034" s="52" t="str">
        <f>IFERROR(J1034/I1034,"")</f>
        <v/>
      </c>
      <c r="L1034" s="209">
        <f>IF(I1034="","",I1034-J1034)</f>
        <v>0</v>
      </c>
      <c r="M1034" s="210" t="str">
        <f>IFERROR(1-K1034,"")</f>
        <v/>
      </c>
      <c r="N1034" s="28" t="s">
        <v>11</v>
      </c>
      <c r="O1034" s="28" t="s">
        <v>11</v>
      </c>
      <c r="P1034" s="28" t="s">
        <v>11</v>
      </c>
      <c r="Q1034" s="2">
        <f t="shared" si="163"/>
        <v>1</v>
      </c>
      <c r="S1034" s="7">
        <f t="shared" si="166"/>
        <v>1</v>
      </c>
      <c r="T1034" s="157">
        <f t="shared" si="167"/>
        <v>1</v>
      </c>
      <c r="V1034" s="191">
        <f t="shared" si="164"/>
        <v>8</v>
      </c>
      <c r="W1034" s="7">
        <f t="shared" si="165"/>
        <v>2024</v>
      </c>
    </row>
    <row r="1035" spans="2:23" ht="31.95" customHeight="1" thickBot="1" x14ac:dyDescent="0.35">
      <c r="B1035" s="26">
        <v>45520</v>
      </c>
      <c r="C1035" s="51">
        <f t="shared" si="168"/>
        <v>1031</v>
      </c>
      <c r="D1035" s="27" t="s">
        <v>890</v>
      </c>
      <c r="E1035" s="26" t="s">
        <v>173</v>
      </c>
      <c r="F1035" s="28" t="s">
        <v>11</v>
      </c>
      <c r="G1035" s="28" t="s">
        <v>11</v>
      </c>
      <c r="H1035" s="254"/>
      <c r="I1035" s="49">
        <v>2</v>
      </c>
      <c r="J1035" s="49">
        <v>2</v>
      </c>
      <c r="K1035" s="52">
        <f t="shared" si="160"/>
        <v>1</v>
      </c>
      <c r="L1035" s="209">
        <f t="shared" si="161"/>
        <v>0</v>
      </c>
      <c r="M1035" s="210">
        <f t="shared" si="162"/>
        <v>0</v>
      </c>
      <c r="N1035" s="26">
        <v>45520</v>
      </c>
      <c r="O1035" s="26">
        <v>45520</v>
      </c>
      <c r="P1035" s="26">
        <v>45520</v>
      </c>
      <c r="Q1035" s="2">
        <f t="shared" si="163"/>
        <v>1</v>
      </c>
      <c r="S1035" s="7">
        <f t="shared" si="166"/>
        <v>1</v>
      </c>
      <c r="T1035" s="157">
        <f t="shared" si="167"/>
        <v>1</v>
      </c>
      <c r="V1035" s="191">
        <f t="shared" si="164"/>
        <v>8</v>
      </c>
      <c r="W1035" s="7">
        <f t="shared" si="165"/>
        <v>2024</v>
      </c>
    </row>
    <row r="1036" spans="2:23" ht="31.95" customHeight="1" thickBot="1" x14ac:dyDescent="0.35">
      <c r="B1036" s="26">
        <v>45520</v>
      </c>
      <c r="C1036" s="51">
        <f t="shared" si="168"/>
        <v>1032</v>
      </c>
      <c r="D1036" s="27"/>
      <c r="E1036" s="28" t="s">
        <v>11</v>
      </c>
      <c r="F1036" s="28" t="s">
        <v>11</v>
      </c>
      <c r="G1036" s="28" t="s">
        <v>11</v>
      </c>
      <c r="H1036" s="254"/>
      <c r="I1036" s="49">
        <v>0</v>
      </c>
      <c r="J1036" s="49">
        <v>0</v>
      </c>
      <c r="K1036" s="52" t="str">
        <f>IFERROR(J1036/I1036,"")</f>
        <v/>
      </c>
      <c r="L1036" s="209">
        <f>IF(I1036="","",I1036-J1036)</f>
        <v>0</v>
      </c>
      <c r="M1036" s="210" t="str">
        <f>IFERROR(1-K1036,"")</f>
        <v/>
      </c>
      <c r="N1036" s="28" t="s">
        <v>11</v>
      </c>
      <c r="O1036" s="28" t="s">
        <v>11</v>
      </c>
      <c r="P1036" s="28" t="s">
        <v>11</v>
      </c>
      <c r="Q1036" s="2">
        <f t="shared" si="163"/>
        <v>1</v>
      </c>
      <c r="S1036" s="7">
        <f t="shared" si="166"/>
        <v>1</v>
      </c>
      <c r="T1036" s="157">
        <f t="shared" si="167"/>
        <v>1</v>
      </c>
      <c r="V1036" s="191">
        <f t="shared" si="164"/>
        <v>8</v>
      </c>
      <c r="W1036" s="7">
        <f t="shared" si="165"/>
        <v>2024</v>
      </c>
    </row>
    <row r="1037" spans="2:23" ht="31.95" customHeight="1" thickBot="1" x14ac:dyDescent="0.35">
      <c r="B1037" s="26">
        <v>45523</v>
      </c>
      <c r="C1037" s="51">
        <f t="shared" si="168"/>
        <v>1033</v>
      </c>
      <c r="D1037" s="27" t="s">
        <v>594</v>
      </c>
      <c r="E1037" s="26" t="s">
        <v>169</v>
      </c>
      <c r="F1037" s="28" t="s">
        <v>11</v>
      </c>
      <c r="G1037" s="28" t="s">
        <v>11</v>
      </c>
      <c r="H1037" s="254"/>
      <c r="I1037" s="49">
        <v>8</v>
      </c>
      <c r="J1037" s="49">
        <v>8</v>
      </c>
      <c r="K1037" s="52">
        <f t="shared" si="160"/>
        <v>1</v>
      </c>
      <c r="L1037" s="209">
        <f t="shared" si="161"/>
        <v>0</v>
      </c>
      <c r="M1037" s="210">
        <f t="shared" si="162"/>
        <v>0</v>
      </c>
      <c r="N1037" s="26">
        <v>45544</v>
      </c>
      <c r="O1037" s="26">
        <v>45544</v>
      </c>
      <c r="P1037" s="26">
        <v>45544</v>
      </c>
      <c r="Q1037" s="2">
        <f t="shared" si="163"/>
        <v>1</v>
      </c>
      <c r="S1037" s="7">
        <f t="shared" si="166"/>
        <v>1</v>
      </c>
      <c r="T1037" s="157">
        <f t="shared" si="167"/>
        <v>1</v>
      </c>
      <c r="V1037" s="191">
        <f t="shared" si="164"/>
        <v>8</v>
      </c>
      <c r="W1037" s="7">
        <f t="shared" si="165"/>
        <v>2024</v>
      </c>
    </row>
    <row r="1038" spans="2:23" ht="31.95" customHeight="1" thickBot="1" x14ac:dyDescent="0.35">
      <c r="B1038" s="26">
        <v>45523</v>
      </c>
      <c r="C1038" s="51">
        <f t="shared" si="168"/>
        <v>1034</v>
      </c>
      <c r="D1038" s="27" t="s">
        <v>1041</v>
      </c>
      <c r="E1038" s="26" t="s">
        <v>169</v>
      </c>
      <c r="F1038" s="28" t="s">
        <v>11</v>
      </c>
      <c r="G1038" s="28" t="s">
        <v>11</v>
      </c>
      <c r="H1038" s="254"/>
      <c r="I1038" s="49">
        <v>7</v>
      </c>
      <c r="J1038" s="49">
        <v>7</v>
      </c>
      <c r="K1038" s="52">
        <f t="shared" si="160"/>
        <v>1</v>
      </c>
      <c r="L1038" s="209">
        <f t="shared" si="161"/>
        <v>0</v>
      </c>
      <c r="M1038" s="210">
        <f t="shared" si="162"/>
        <v>0</v>
      </c>
      <c r="N1038" s="26">
        <v>45554</v>
      </c>
      <c r="O1038" s="26">
        <v>45554</v>
      </c>
      <c r="P1038" s="26">
        <v>45554</v>
      </c>
      <c r="Q1038" s="2">
        <f t="shared" si="163"/>
        <v>1</v>
      </c>
      <c r="S1038" s="7">
        <f t="shared" si="166"/>
        <v>1</v>
      </c>
      <c r="T1038" s="157">
        <f t="shared" si="167"/>
        <v>1</v>
      </c>
      <c r="V1038" s="191">
        <f t="shared" si="164"/>
        <v>8</v>
      </c>
      <c r="W1038" s="7">
        <f t="shared" si="165"/>
        <v>2024</v>
      </c>
    </row>
    <row r="1039" spans="2:23" ht="31.95" customHeight="1" thickBot="1" x14ac:dyDescent="0.35">
      <c r="B1039" s="26">
        <v>45523</v>
      </c>
      <c r="C1039" s="51">
        <f t="shared" si="168"/>
        <v>1035</v>
      </c>
      <c r="D1039" s="27" t="s">
        <v>978</v>
      </c>
      <c r="E1039" s="26" t="s">
        <v>169</v>
      </c>
      <c r="F1039" s="28" t="s">
        <v>11</v>
      </c>
      <c r="G1039" s="28" t="s">
        <v>11</v>
      </c>
      <c r="H1039" s="254"/>
      <c r="I1039" s="49">
        <v>2</v>
      </c>
      <c r="J1039" s="49">
        <v>2</v>
      </c>
      <c r="K1039" s="52">
        <f t="shared" si="160"/>
        <v>1</v>
      </c>
      <c r="L1039" s="209">
        <f t="shared" si="161"/>
        <v>0</v>
      </c>
      <c r="M1039" s="210">
        <f t="shared" si="162"/>
        <v>0</v>
      </c>
      <c r="N1039" s="26">
        <v>45530</v>
      </c>
      <c r="O1039" s="26">
        <v>45530</v>
      </c>
      <c r="P1039" s="26">
        <v>45530</v>
      </c>
      <c r="Q1039" s="2">
        <f t="shared" si="163"/>
        <v>1</v>
      </c>
      <c r="S1039" s="7">
        <f t="shared" si="166"/>
        <v>1</v>
      </c>
      <c r="T1039" s="157">
        <f t="shared" si="167"/>
        <v>1</v>
      </c>
      <c r="V1039" s="191">
        <f t="shared" si="164"/>
        <v>8</v>
      </c>
      <c r="W1039" s="7">
        <f t="shared" si="165"/>
        <v>2024</v>
      </c>
    </row>
    <row r="1040" spans="2:23" ht="31.95" customHeight="1" thickBot="1" x14ac:dyDescent="0.35">
      <c r="B1040" s="26">
        <v>45523</v>
      </c>
      <c r="C1040" s="51">
        <f t="shared" si="168"/>
        <v>1036</v>
      </c>
      <c r="D1040" s="27" t="s">
        <v>401</v>
      </c>
      <c r="E1040" s="26" t="s">
        <v>11</v>
      </c>
      <c r="F1040" s="28" t="s">
        <v>11</v>
      </c>
      <c r="G1040" s="28" t="s">
        <v>11</v>
      </c>
      <c r="H1040" s="254"/>
      <c r="I1040" s="49">
        <v>1</v>
      </c>
      <c r="J1040" s="49">
        <v>1</v>
      </c>
      <c r="K1040" s="52">
        <f t="shared" si="160"/>
        <v>1</v>
      </c>
      <c r="L1040" s="209">
        <f t="shared" si="161"/>
        <v>0</v>
      </c>
      <c r="M1040" s="210">
        <f t="shared" si="162"/>
        <v>0</v>
      </c>
      <c r="N1040" s="26">
        <v>45523</v>
      </c>
      <c r="O1040" s="26">
        <v>45523</v>
      </c>
      <c r="P1040" s="26">
        <v>45523</v>
      </c>
      <c r="Q1040" s="2">
        <f t="shared" si="163"/>
        <v>1</v>
      </c>
      <c r="S1040" s="7">
        <f t="shared" si="166"/>
        <v>1</v>
      </c>
      <c r="T1040" s="157">
        <f t="shared" si="167"/>
        <v>1</v>
      </c>
      <c r="V1040" s="191">
        <f t="shared" si="164"/>
        <v>8</v>
      </c>
      <c r="W1040" s="7">
        <f t="shared" si="165"/>
        <v>2024</v>
      </c>
    </row>
    <row r="1041" spans="2:23" ht="31.95" customHeight="1" thickBot="1" x14ac:dyDescent="0.35">
      <c r="B1041" s="26">
        <v>45524</v>
      </c>
      <c r="C1041" s="51">
        <f t="shared" si="168"/>
        <v>1037</v>
      </c>
      <c r="D1041" s="27" t="s">
        <v>305</v>
      </c>
      <c r="E1041" s="26" t="s">
        <v>11</v>
      </c>
      <c r="F1041" s="28" t="s">
        <v>11</v>
      </c>
      <c r="G1041" s="28" t="s">
        <v>11</v>
      </c>
      <c r="H1041" s="254"/>
      <c r="I1041" s="49">
        <v>1</v>
      </c>
      <c r="J1041" s="49">
        <v>1</v>
      </c>
      <c r="K1041" s="52">
        <f t="shared" si="160"/>
        <v>1</v>
      </c>
      <c r="L1041" s="209">
        <f t="shared" si="161"/>
        <v>0</v>
      </c>
      <c r="M1041" s="210">
        <f t="shared" si="162"/>
        <v>0</v>
      </c>
      <c r="N1041" s="26">
        <v>45524</v>
      </c>
      <c r="O1041" s="26">
        <v>45524</v>
      </c>
      <c r="P1041" s="26">
        <v>45524</v>
      </c>
      <c r="Q1041" s="2">
        <f t="shared" si="163"/>
        <v>1</v>
      </c>
      <c r="S1041" s="7">
        <f t="shared" si="166"/>
        <v>1</v>
      </c>
      <c r="T1041" s="157">
        <f t="shared" si="167"/>
        <v>1</v>
      </c>
      <c r="V1041" s="191">
        <f t="shared" si="164"/>
        <v>8</v>
      </c>
      <c r="W1041" s="7">
        <f t="shared" si="165"/>
        <v>2024</v>
      </c>
    </row>
    <row r="1042" spans="2:23" ht="31.95" customHeight="1" thickBot="1" x14ac:dyDescent="0.35">
      <c r="B1042" s="26">
        <v>45524</v>
      </c>
      <c r="C1042" s="51">
        <f t="shared" si="168"/>
        <v>1038</v>
      </c>
      <c r="D1042" s="27" t="s">
        <v>705</v>
      </c>
      <c r="E1042" s="26" t="s">
        <v>11</v>
      </c>
      <c r="F1042" s="28" t="s">
        <v>11</v>
      </c>
      <c r="G1042" s="28" t="s">
        <v>11</v>
      </c>
      <c r="H1042" s="254"/>
      <c r="I1042" s="49">
        <v>2</v>
      </c>
      <c r="J1042" s="49">
        <v>2</v>
      </c>
      <c r="K1042" s="52">
        <f t="shared" si="160"/>
        <v>1</v>
      </c>
      <c r="L1042" s="209">
        <f t="shared" si="161"/>
        <v>0</v>
      </c>
      <c r="M1042" s="210">
        <f t="shared" si="162"/>
        <v>0</v>
      </c>
      <c r="N1042" s="26">
        <v>45524</v>
      </c>
      <c r="O1042" s="26">
        <v>45524</v>
      </c>
      <c r="P1042" s="26">
        <v>45524</v>
      </c>
      <c r="Q1042" s="2">
        <f t="shared" si="163"/>
        <v>1</v>
      </c>
      <c r="S1042" s="7">
        <f t="shared" si="166"/>
        <v>1</v>
      </c>
      <c r="T1042" s="157">
        <f t="shared" si="167"/>
        <v>1</v>
      </c>
      <c r="V1042" s="191">
        <f t="shared" si="164"/>
        <v>8</v>
      </c>
      <c r="W1042" s="7">
        <f t="shared" si="165"/>
        <v>2024</v>
      </c>
    </row>
    <row r="1043" spans="2:23" ht="31.95" customHeight="1" thickBot="1" x14ac:dyDescent="0.35">
      <c r="B1043" s="26">
        <v>45530</v>
      </c>
      <c r="C1043" s="51">
        <f t="shared" si="168"/>
        <v>1039</v>
      </c>
      <c r="D1043" s="27" t="s">
        <v>602</v>
      </c>
      <c r="E1043" s="26" t="s">
        <v>169</v>
      </c>
      <c r="F1043" s="28" t="s">
        <v>11</v>
      </c>
      <c r="G1043" s="28" t="s">
        <v>11</v>
      </c>
      <c r="H1043" s="254"/>
      <c r="I1043" s="49">
        <v>1</v>
      </c>
      <c r="J1043" s="49">
        <v>1</v>
      </c>
      <c r="K1043" s="52">
        <f t="shared" si="160"/>
        <v>1</v>
      </c>
      <c r="L1043" s="209">
        <f t="shared" si="161"/>
        <v>0</v>
      </c>
      <c r="M1043" s="210">
        <f t="shared" si="162"/>
        <v>0</v>
      </c>
      <c r="N1043" s="26">
        <v>45533</v>
      </c>
      <c r="O1043" s="26">
        <v>45533</v>
      </c>
      <c r="P1043" s="26">
        <v>45533</v>
      </c>
      <c r="Q1043" s="2">
        <f t="shared" si="163"/>
        <v>1</v>
      </c>
      <c r="S1043" s="7">
        <f t="shared" si="166"/>
        <v>1</v>
      </c>
      <c r="T1043" s="157">
        <f t="shared" si="167"/>
        <v>1</v>
      </c>
      <c r="V1043" s="191">
        <f t="shared" si="164"/>
        <v>8</v>
      </c>
      <c r="W1043" s="7">
        <f t="shared" si="165"/>
        <v>2024</v>
      </c>
    </row>
    <row r="1044" spans="2:23" ht="31.95" customHeight="1" thickBot="1" x14ac:dyDescent="0.35">
      <c r="B1044" s="26">
        <v>45530</v>
      </c>
      <c r="C1044" s="51">
        <f t="shared" si="168"/>
        <v>1040</v>
      </c>
      <c r="D1044" s="27"/>
      <c r="E1044" s="28" t="s">
        <v>11</v>
      </c>
      <c r="F1044" s="28" t="s">
        <v>11</v>
      </c>
      <c r="G1044" s="28" t="s">
        <v>11</v>
      </c>
      <c r="H1044" s="254"/>
      <c r="I1044" s="49">
        <v>0</v>
      </c>
      <c r="J1044" s="49">
        <v>0</v>
      </c>
      <c r="K1044" s="52" t="str">
        <f t="shared" si="160"/>
        <v/>
      </c>
      <c r="L1044" s="209">
        <f t="shared" si="161"/>
        <v>0</v>
      </c>
      <c r="M1044" s="210" t="str">
        <f t="shared" si="162"/>
        <v/>
      </c>
      <c r="N1044" s="28" t="s">
        <v>11</v>
      </c>
      <c r="O1044" s="28" t="s">
        <v>11</v>
      </c>
      <c r="P1044" s="28" t="s">
        <v>11</v>
      </c>
      <c r="Q1044" s="2">
        <f t="shared" si="163"/>
        <v>1</v>
      </c>
      <c r="S1044" s="7">
        <f t="shared" si="166"/>
        <v>1</v>
      </c>
      <c r="T1044" s="157">
        <f t="shared" si="167"/>
        <v>1</v>
      </c>
      <c r="V1044" s="191">
        <f t="shared" si="164"/>
        <v>8</v>
      </c>
      <c r="W1044" s="7">
        <f t="shared" si="165"/>
        <v>2024</v>
      </c>
    </row>
    <row r="1045" spans="2:23" ht="31.95" customHeight="1" thickBot="1" x14ac:dyDescent="0.35">
      <c r="B1045" s="26">
        <v>45532</v>
      </c>
      <c r="C1045" s="51">
        <f t="shared" si="168"/>
        <v>1041</v>
      </c>
      <c r="D1045" s="27" t="s">
        <v>305</v>
      </c>
      <c r="E1045" s="26" t="s">
        <v>11</v>
      </c>
      <c r="F1045" s="28" t="s">
        <v>11</v>
      </c>
      <c r="G1045" s="28" t="s">
        <v>11</v>
      </c>
      <c r="H1045" s="254"/>
      <c r="I1045" s="49">
        <v>3</v>
      </c>
      <c r="J1045" s="49">
        <v>3</v>
      </c>
      <c r="K1045" s="52">
        <f t="shared" si="160"/>
        <v>1</v>
      </c>
      <c r="L1045" s="209">
        <f t="shared" si="161"/>
        <v>0</v>
      </c>
      <c r="M1045" s="210">
        <f t="shared" si="162"/>
        <v>0</v>
      </c>
      <c r="N1045" s="26">
        <v>45533</v>
      </c>
      <c r="O1045" s="26">
        <v>45533</v>
      </c>
      <c r="P1045" s="26">
        <v>45533</v>
      </c>
      <c r="Q1045" s="2">
        <f t="shared" si="163"/>
        <v>1</v>
      </c>
      <c r="S1045" s="7">
        <f t="shared" si="166"/>
        <v>1</v>
      </c>
      <c r="T1045" s="157">
        <f t="shared" si="167"/>
        <v>1</v>
      </c>
      <c r="V1045" s="191">
        <f t="shared" si="164"/>
        <v>8</v>
      </c>
      <c r="W1045" s="7">
        <f t="shared" si="165"/>
        <v>2024</v>
      </c>
    </row>
    <row r="1046" spans="2:23" ht="31.95" customHeight="1" thickBot="1" x14ac:dyDescent="0.35">
      <c r="B1046" s="26">
        <v>45532</v>
      </c>
      <c r="C1046" s="51">
        <f t="shared" si="168"/>
        <v>1042</v>
      </c>
      <c r="D1046" s="27" t="s">
        <v>858</v>
      </c>
      <c r="E1046" s="26" t="s">
        <v>11</v>
      </c>
      <c r="F1046" s="28" t="s">
        <v>11</v>
      </c>
      <c r="G1046" s="28" t="s">
        <v>11</v>
      </c>
      <c r="H1046" s="254"/>
      <c r="I1046" s="49">
        <v>2</v>
      </c>
      <c r="J1046" s="49">
        <v>2</v>
      </c>
      <c r="K1046" s="52">
        <f t="shared" si="160"/>
        <v>1</v>
      </c>
      <c r="L1046" s="209">
        <f t="shared" si="161"/>
        <v>0</v>
      </c>
      <c r="M1046" s="210">
        <f t="shared" si="162"/>
        <v>0</v>
      </c>
      <c r="N1046" s="26">
        <v>45533</v>
      </c>
      <c r="O1046" s="26">
        <v>45533</v>
      </c>
      <c r="P1046" s="26">
        <v>45533</v>
      </c>
      <c r="Q1046" s="2">
        <f t="shared" si="163"/>
        <v>1</v>
      </c>
      <c r="S1046" s="7">
        <f t="shared" si="166"/>
        <v>1</v>
      </c>
      <c r="T1046" s="157">
        <f t="shared" si="167"/>
        <v>1</v>
      </c>
      <c r="V1046" s="191">
        <f t="shared" si="164"/>
        <v>8</v>
      </c>
      <c r="W1046" s="7">
        <f t="shared" si="165"/>
        <v>2024</v>
      </c>
    </row>
    <row r="1047" spans="2:23" ht="31.95" customHeight="1" thickBot="1" x14ac:dyDescent="0.35">
      <c r="B1047" s="26">
        <v>45532</v>
      </c>
      <c r="C1047" s="51">
        <f t="shared" si="168"/>
        <v>1043</v>
      </c>
      <c r="D1047" s="27" t="s">
        <v>722</v>
      </c>
      <c r="E1047" s="26" t="s">
        <v>169</v>
      </c>
      <c r="F1047" s="28" t="s">
        <v>11</v>
      </c>
      <c r="G1047" s="28" t="s">
        <v>11</v>
      </c>
      <c r="H1047" s="254"/>
      <c r="I1047" s="49">
        <v>1</v>
      </c>
      <c r="J1047" s="49">
        <v>1</v>
      </c>
      <c r="K1047" s="52">
        <f t="shared" si="160"/>
        <v>1</v>
      </c>
      <c r="L1047" s="209">
        <f t="shared" si="161"/>
        <v>0</v>
      </c>
      <c r="M1047" s="210">
        <f t="shared" si="162"/>
        <v>0</v>
      </c>
      <c r="N1047" s="26">
        <v>45569</v>
      </c>
      <c r="O1047" s="26">
        <v>45569</v>
      </c>
      <c r="P1047" s="26">
        <v>45569</v>
      </c>
      <c r="Q1047" s="2">
        <f t="shared" si="163"/>
        <v>1</v>
      </c>
      <c r="S1047" s="7">
        <f t="shared" si="166"/>
        <v>1</v>
      </c>
      <c r="T1047" s="157">
        <f t="shared" si="167"/>
        <v>1</v>
      </c>
      <c r="V1047" s="191">
        <f t="shared" si="164"/>
        <v>8</v>
      </c>
      <c r="W1047" s="7">
        <f t="shared" si="165"/>
        <v>2024</v>
      </c>
    </row>
    <row r="1048" spans="2:23" ht="31.95" customHeight="1" thickBot="1" x14ac:dyDescent="0.35">
      <c r="B1048" s="26">
        <v>45534</v>
      </c>
      <c r="C1048" s="51">
        <f t="shared" si="168"/>
        <v>1044</v>
      </c>
      <c r="D1048" s="27"/>
      <c r="E1048" s="28" t="s">
        <v>11</v>
      </c>
      <c r="F1048" s="28" t="s">
        <v>11</v>
      </c>
      <c r="G1048" s="28" t="s">
        <v>11</v>
      </c>
      <c r="H1048" s="254"/>
      <c r="I1048" s="49">
        <v>0</v>
      </c>
      <c r="J1048" s="49">
        <v>0</v>
      </c>
      <c r="K1048" s="52" t="str">
        <f t="shared" si="160"/>
        <v/>
      </c>
      <c r="L1048" s="209">
        <f t="shared" si="161"/>
        <v>0</v>
      </c>
      <c r="M1048" s="210" t="str">
        <f t="shared" si="162"/>
        <v/>
      </c>
      <c r="N1048" s="28" t="s">
        <v>11</v>
      </c>
      <c r="O1048" s="28" t="s">
        <v>11</v>
      </c>
      <c r="P1048" s="28" t="s">
        <v>11</v>
      </c>
      <c r="Q1048" s="2">
        <f t="shared" si="163"/>
        <v>1</v>
      </c>
      <c r="S1048" s="7">
        <f t="shared" si="166"/>
        <v>1</v>
      </c>
      <c r="T1048" s="157">
        <f t="shared" si="167"/>
        <v>1</v>
      </c>
      <c r="V1048" s="191">
        <f t="shared" si="164"/>
        <v>8</v>
      </c>
      <c r="W1048" s="7">
        <f t="shared" si="165"/>
        <v>2024</v>
      </c>
    </row>
    <row r="1049" spans="2:23" ht="31.95" customHeight="1" thickBot="1" x14ac:dyDescent="0.35">
      <c r="B1049" s="26">
        <v>45534</v>
      </c>
      <c r="C1049" s="51">
        <f t="shared" si="168"/>
        <v>1045</v>
      </c>
      <c r="D1049" s="27" t="s">
        <v>722</v>
      </c>
      <c r="E1049" s="26" t="s">
        <v>169</v>
      </c>
      <c r="F1049" s="28" t="s">
        <v>11</v>
      </c>
      <c r="G1049" s="28" t="s">
        <v>11</v>
      </c>
      <c r="H1049" s="254"/>
      <c r="I1049" s="49">
        <v>10</v>
      </c>
      <c r="J1049" s="49">
        <v>10</v>
      </c>
      <c r="K1049" s="52">
        <f t="shared" si="160"/>
        <v>1</v>
      </c>
      <c r="L1049" s="209">
        <f t="shared" si="161"/>
        <v>0</v>
      </c>
      <c r="M1049" s="210">
        <f t="shared" si="162"/>
        <v>0</v>
      </c>
      <c r="N1049" s="26">
        <v>45541</v>
      </c>
      <c r="O1049" s="26">
        <v>45541</v>
      </c>
      <c r="P1049" s="26">
        <v>45541</v>
      </c>
      <c r="Q1049" s="2">
        <f t="shared" si="163"/>
        <v>1</v>
      </c>
      <c r="S1049" s="7">
        <f t="shared" si="166"/>
        <v>1</v>
      </c>
      <c r="T1049" s="157">
        <f t="shared" si="167"/>
        <v>1</v>
      </c>
      <c r="V1049" s="191">
        <f t="shared" si="164"/>
        <v>8</v>
      </c>
      <c r="W1049" s="7">
        <f t="shared" si="165"/>
        <v>2024</v>
      </c>
    </row>
    <row r="1050" spans="2:23" ht="31.95" customHeight="1" thickBot="1" x14ac:dyDescent="0.35">
      <c r="B1050" s="26">
        <v>45534</v>
      </c>
      <c r="C1050" s="51">
        <f t="shared" si="168"/>
        <v>1046</v>
      </c>
      <c r="D1050" s="27" t="s">
        <v>1206</v>
      </c>
      <c r="E1050" s="26" t="s">
        <v>11</v>
      </c>
      <c r="F1050" s="28" t="s">
        <v>11</v>
      </c>
      <c r="G1050" s="28" t="s">
        <v>11</v>
      </c>
      <c r="H1050" s="254"/>
      <c r="I1050" s="49">
        <v>1</v>
      </c>
      <c r="J1050" s="49">
        <v>1</v>
      </c>
      <c r="K1050" s="52">
        <f t="shared" si="160"/>
        <v>1</v>
      </c>
      <c r="L1050" s="209">
        <f t="shared" si="161"/>
        <v>0</v>
      </c>
      <c r="M1050" s="210">
        <f t="shared" si="162"/>
        <v>0</v>
      </c>
      <c r="N1050" s="26" t="s">
        <v>1314</v>
      </c>
      <c r="O1050" s="26" t="s">
        <v>1314</v>
      </c>
      <c r="P1050" s="26" t="s">
        <v>1314</v>
      </c>
      <c r="Q1050" s="2">
        <f t="shared" si="163"/>
        <v>1</v>
      </c>
      <c r="S1050" s="7">
        <f t="shared" si="166"/>
        <v>1</v>
      </c>
      <c r="T1050" s="157">
        <f t="shared" si="167"/>
        <v>1</v>
      </c>
      <c r="V1050" s="191">
        <f t="shared" si="164"/>
        <v>8</v>
      </c>
      <c r="W1050" s="7">
        <f t="shared" si="165"/>
        <v>2024</v>
      </c>
    </row>
    <row r="1051" spans="2:23" ht="31.95" customHeight="1" thickBot="1" x14ac:dyDescent="0.35">
      <c r="B1051" s="26">
        <v>45539</v>
      </c>
      <c r="C1051" s="51">
        <f t="shared" si="168"/>
        <v>1047</v>
      </c>
      <c r="D1051" s="27" t="s">
        <v>705</v>
      </c>
      <c r="E1051" s="26" t="s">
        <v>11</v>
      </c>
      <c r="F1051" s="28" t="s">
        <v>11</v>
      </c>
      <c r="G1051" s="28" t="s">
        <v>11</v>
      </c>
      <c r="H1051" s="254"/>
      <c r="I1051" s="49">
        <v>2</v>
      </c>
      <c r="J1051" s="49">
        <v>2</v>
      </c>
      <c r="K1051" s="52">
        <f t="shared" si="160"/>
        <v>1</v>
      </c>
      <c r="L1051" s="209">
        <f t="shared" si="161"/>
        <v>0</v>
      </c>
      <c r="M1051" s="210">
        <f t="shared" si="162"/>
        <v>0</v>
      </c>
      <c r="N1051" s="26">
        <v>45539</v>
      </c>
      <c r="O1051" s="26">
        <v>45539</v>
      </c>
      <c r="P1051" s="26">
        <v>45539</v>
      </c>
      <c r="Q1051" s="2">
        <f t="shared" si="163"/>
        <v>1</v>
      </c>
      <c r="S1051" s="7">
        <f t="shared" si="166"/>
        <v>1</v>
      </c>
      <c r="T1051" s="157">
        <f t="shared" si="167"/>
        <v>1</v>
      </c>
      <c r="V1051" s="191">
        <f t="shared" si="164"/>
        <v>9</v>
      </c>
      <c r="W1051" s="7">
        <f t="shared" si="165"/>
        <v>2024</v>
      </c>
    </row>
    <row r="1052" spans="2:23" ht="31.95" customHeight="1" thickBot="1" x14ac:dyDescent="0.35">
      <c r="B1052" s="26">
        <v>45539</v>
      </c>
      <c r="C1052" s="51">
        <f t="shared" si="168"/>
        <v>1048</v>
      </c>
      <c r="D1052" s="27" t="s">
        <v>305</v>
      </c>
      <c r="E1052" s="26" t="s">
        <v>11</v>
      </c>
      <c r="F1052" s="28" t="s">
        <v>11</v>
      </c>
      <c r="G1052" s="28" t="s">
        <v>11</v>
      </c>
      <c r="H1052" s="254"/>
      <c r="I1052" s="49">
        <v>2</v>
      </c>
      <c r="J1052" s="49">
        <v>2</v>
      </c>
      <c r="K1052" s="52">
        <f t="shared" si="160"/>
        <v>1</v>
      </c>
      <c r="L1052" s="209">
        <f t="shared" si="161"/>
        <v>0</v>
      </c>
      <c r="M1052" s="210">
        <f t="shared" si="162"/>
        <v>0</v>
      </c>
      <c r="N1052" s="26">
        <v>45539</v>
      </c>
      <c r="O1052" s="26">
        <v>45539</v>
      </c>
      <c r="P1052" s="26">
        <v>45539</v>
      </c>
      <c r="Q1052" s="2">
        <f t="shared" si="163"/>
        <v>1</v>
      </c>
      <c r="S1052" s="7">
        <f t="shared" si="166"/>
        <v>1</v>
      </c>
      <c r="T1052" s="157">
        <f t="shared" si="167"/>
        <v>1</v>
      </c>
      <c r="V1052" s="191">
        <f t="shared" si="164"/>
        <v>9</v>
      </c>
      <c r="W1052" s="7">
        <f t="shared" si="165"/>
        <v>2024</v>
      </c>
    </row>
    <row r="1053" spans="2:23" ht="31.95" customHeight="1" thickBot="1" x14ac:dyDescent="0.35">
      <c r="B1053" s="26">
        <v>45539</v>
      </c>
      <c r="C1053" s="51">
        <f t="shared" si="168"/>
        <v>1049</v>
      </c>
      <c r="D1053" s="27" t="s">
        <v>255</v>
      </c>
      <c r="E1053" s="26" t="s">
        <v>1313</v>
      </c>
      <c r="F1053" s="28" t="s">
        <v>11</v>
      </c>
      <c r="G1053" s="28" t="s">
        <v>11</v>
      </c>
      <c r="H1053" s="254"/>
      <c r="I1053" s="49">
        <v>2</v>
      </c>
      <c r="J1053" s="49">
        <v>2</v>
      </c>
      <c r="K1053" s="52">
        <f t="shared" si="160"/>
        <v>1</v>
      </c>
      <c r="L1053" s="209">
        <f t="shared" si="161"/>
        <v>0</v>
      </c>
      <c r="M1053" s="210">
        <f t="shared" si="162"/>
        <v>0</v>
      </c>
      <c r="N1053" s="26">
        <v>45539</v>
      </c>
      <c r="O1053" s="26">
        <v>45539</v>
      </c>
      <c r="P1053" s="26">
        <v>45539</v>
      </c>
      <c r="Q1053" s="2">
        <f t="shared" si="163"/>
        <v>1</v>
      </c>
      <c r="S1053" s="7">
        <f t="shared" si="166"/>
        <v>1</v>
      </c>
      <c r="T1053" s="157">
        <f t="shared" si="167"/>
        <v>1</v>
      </c>
      <c r="V1053" s="191">
        <f t="shared" si="164"/>
        <v>9</v>
      </c>
      <c r="W1053" s="7">
        <f t="shared" si="165"/>
        <v>2024</v>
      </c>
    </row>
    <row r="1054" spans="2:23" ht="31.95" customHeight="1" thickBot="1" x14ac:dyDescent="0.35">
      <c r="B1054" s="26">
        <v>45539</v>
      </c>
      <c r="C1054" s="51">
        <f t="shared" si="168"/>
        <v>1050</v>
      </c>
      <c r="D1054" s="27"/>
      <c r="E1054" s="28" t="s">
        <v>11</v>
      </c>
      <c r="F1054" s="28" t="s">
        <v>11</v>
      </c>
      <c r="G1054" s="28" t="s">
        <v>11</v>
      </c>
      <c r="H1054" s="254"/>
      <c r="I1054" s="49">
        <v>0</v>
      </c>
      <c r="J1054" s="49">
        <v>0</v>
      </c>
      <c r="K1054" s="52" t="str">
        <f t="shared" si="160"/>
        <v/>
      </c>
      <c r="L1054" s="209">
        <f t="shared" si="161"/>
        <v>0</v>
      </c>
      <c r="M1054" s="210" t="str">
        <f t="shared" si="162"/>
        <v/>
      </c>
      <c r="N1054" s="28" t="s">
        <v>11</v>
      </c>
      <c r="O1054" s="28" t="s">
        <v>11</v>
      </c>
      <c r="P1054" s="28" t="s">
        <v>11</v>
      </c>
      <c r="Q1054" s="2">
        <f t="shared" si="163"/>
        <v>1</v>
      </c>
      <c r="S1054" s="7">
        <f t="shared" si="166"/>
        <v>1</v>
      </c>
      <c r="T1054" s="157">
        <f t="shared" si="167"/>
        <v>1</v>
      </c>
      <c r="V1054" s="191">
        <f t="shared" si="164"/>
        <v>9</v>
      </c>
      <c r="W1054" s="7">
        <f t="shared" si="165"/>
        <v>2024</v>
      </c>
    </row>
    <row r="1055" spans="2:23" ht="31.95" customHeight="1" thickBot="1" x14ac:dyDescent="0.35">
      <c r="B1055" s="26">
        <v>45546</v>
      </c>
      <c r="C1055" s="51">
        <f t="shared" si="168"/>
        <v>1051</v>
      </c>
      <c r="D1055" s="27" t="s">
        <v>705</v>
      </c>
      <c r="E1055" s="26" t="s">
        <v>11</v>
      </c>
      <c r="F1055" s="28" t="s">
        <v>11</v>
      </c>
      <c r="G1055" s="28" t="s">
        <v>11</v>
      </c>
      <c r="H1055" s="254"/>
      <c r="I1055" s="49">
        <v>1</v>
      </c>
      <c r="J1055" s="49">
        <v>1</v>
      </c>
      <c r="K1055" s="52">
        <f t="shared" si="160"/>
        <v>1</v>
      </c>
      <c r="L1055" s="209">
        <f t="shared" si="161"/>
        <v>0</v>
      </c>
      <c r="M1055" s="210">
        <f t="shared" si="162"/>
        <v>0</v>
      </c>
      <c r="N1055" s="26">
        <v>45546</v>
      </c>
      <c r="O1055" s="26">
        <v>45546</v>
      </c>
      <c r="P1055" s="26">
        <v>45546</v>
      </c>
      <c r="Q1055" s="2">
        <f t="shared" si="163"/>
        <v>1</v>
      </c>
      <c r="S1055" s="7">
        <f t="shared" si="166"/>
        <v>1</v>
      </c>
      <c r="T1055" s="157">
        <f t="shared" si="167"/>
        <v>1</v>
      </c>
      <c r="V1055" s="191">
        <f t="shared" si="164"/>
        <v>9</v>
      </c>
      <c r="W1055" s="7">
        <f t="shared" si="165"/>
        <v>2024</v>
      </c>
    </row>
    <row r="1056" spans="2:23" ht="31.95" customHeight="1" thickBot="1" x14ac:dyDescent="0.35">
      <c r="B1056" s="26">
        <v>45546</v>
      </c>
      <c r="C1056" s="51">
        <f t="shared" si="168"/>
        <v>1052</v>
      </c>
      <c r="D1056" s="27" t="s">
        <v>305</v>
      </c>
      <c r="E1056" s="26" t="s">
        <v>11</v>
      </c>
      <c r="F1056" s="28" t="s">
        <v>11</v>
      </c>
      <c r="G1056" s="28" t="s">
        <v>11</v>
      </c>
      <c r="H1056" s="254"/>
      <c r="I1056" s="49">
        <v>4</v>
      </c>
      <c r="J1056" s="49">
        <v>4</v>
      </c>
      <c r="K1056" s="52">
        <f t="shared" si="160"/>
        <v>1</v>
      </c>
      <c r="L1056" s="209">
        <f t="shared" si="161"/>
        <v>0</v>
      </c>
      <c r="M1056" s="210">
        <f t="shared" si="162"/>
        <v>0</v>
      </c>
      <c r="N1056" s="26">
        <v>45546</v>
      </c>
      <c r="O1056" s="26">
        <v>45546</v>
      </c>
      <c r="P1056" s="26">
        <v>45546</v>
      </c>
      <c r="Q1056" s="2">
        <f t="shared" si="163"/>
        <v>1</v>
      </c>
      <c r="S1056" s="7">
        <f t="shared" si="166"/>
        <v>1</v>
      </c>
      <c r="T1056" s="157">
        <f t="shared" si="167"/>
        <v>1</v>
      </c>
      <c r="V1056" s="191">
        <f t="shared" si="164"/>
        <v>9</v>
      </c>
      <c r="W1056" s="7">
        <f t="shared" si="165"/>
        <v>2024</v>
      </c>
    </row>
    <row r="1057" spans="2:23" ht="31.95" customHeight="1" thickBot="1" x14ac:dyDescent="0.35">
      <c r="B1057" s="26">
        <v>45548</v>
      </c>
      <c r="C1057" s="51">
        <f t="shared" si="168"/>
        <v>1053</v>
      </c>
      <c r="D1057" s="27" t="s">
        <v>305</v>
      </c>
      <c r="E1057" s="26" t="s">
        <v>11</v>
      </c>
      <c r="F1057" s="28" t="s">
        <v>11</v>
      </c>
      <c r="G1057" s="28" t="s">
        <v>11</v>
      </c>
      <c r="H1057" s="254"/>
      <c r="I1057" s="49">
        <v>4</v>
      </c>
      <c r="J1057" s="49">
        <v>4</v>
      </c>
      <c r="K1057" s="52">
        <f t="shared" si="160"/>
        <v>1</v>
      </c>
      <c r="L1057" s="209">
        <f t="shared" si="161"/>
        <v>0</v>
      </c>
      <c r="M1057" s="210">
        <f t="shared" si="162"/>
        <v>0</v>
      </c>
      <c r="N1057" s="26">
        <v>45548</v>
      </c>
      <c r="O1057" s="26">
        <v>45548</v>
      </c>
      <c r="P1057" s="26">
        <v>45548</v>
      </c>
      <c r="Q1057" s="2">
        <f t="shared" si="163"/>
        <v>1</v>
      </c>
      <c r="S1057" s="7">
        <f t="shared" si="166"/>
        <v>1</v>
      </c>
      <c r="T1057" s="157">
        <f t="shared" si="167"/>
        <v>1</v>
      </c>
      <c r="V1057" s="191">
        <f t="shared" si="164"/>
        <v>9</v>
      </c>
      <c r="W1057" s="7">
        <f t="shared" si="165"/>
        <v>2024</v>
      </c>
    </row>
    <row r="1058" spans="2:23" ht="31.95" customHeight="1" thickBot="1" x14ac:dyDescent="0.35">
      <c r="B1058" s="26">
        <v>45548</v>
      </c>
      <c r="C1058" s="51">
        <f t="shared" si="168"/>
        <v>1054</v>
      </c>
      <c r="D1058" s="27" t="s">
        <v>305</v>
      </c>
      <c r="E1058" s="26" t="s">
        <v>11</v>
      </c>
      <c r="F1058" s="28" t="s">
        <v>11</v>
      </c>
      <c r="G1058" s="28" t="s">
        <v>11</v>
      </c>
      <c r="H1058" s="254"/>
      <c r="I1058" s="49">
        <v>4</v>
      </c>
      <c r="J1058" s="49">
        <v>4</v>
      </c>
      <c r="K1058" s="52">
        <f t="shared" si="160"/>
        <v>1</v>
      </c>
      <c r="L1058" s="209">
        <f t="shared" si="161"/>
        <v>0</v>
      </c>
      <c r="M1058" s="210">
        <f t="shared" si="162"/>
        <v>0</v>
      </c>
      <c r="N1058" s="26">
        <v>45548</v>
      </c>
      <c r="O1058" s="26">
        <v>45548</v>
      </c>
      <c r="P1058" s="26">
        <v>45548</v>
      </c>
      <c r="Q1058" s="2">
        <f t="shared" si="163"/>
        <v>1</v>
      </c>
      <c r="S1058" s="7">
        <f t="shared" si="166"/>
        <v>1</v>
      </c>
      <c r="T1058" s="157">
        <f t="shared" si="167"/>
        <v>1</v>
      </c>
      <c r="V1058" s="191">
        <f t="shared" si="164"/>
        <v>9</v>
      </c>
      <c r="W1058" s="7">
        <f t="shared" si="165"/>
        <v>2024</v>
      </c>
    </row>
    <row r="1059" spans="2:23" ht="31.95" customHeight="1" thickBot="1" x14ac:dyDescent="0.35">
      <c r="B1059" s="26">
        <v>45548</v>
      </c>
      <c r="C1059" s="51">
        <f t="shared" si="168"/>
        <v>1055</v>
      </c>
      <c r="D1059" s="27" t="s">
        <v>705</v>
      </c>
      <c r="E1059" s="26" t="s">
        <v>11</v>
      </c>
      <c r="F1059" s="28" t="s">
        <v>11</v>
      </c>
      <c r="G1059" s="28" t="s">
        <v>11</v>
      </c>
      <c r="H1059" s="254"/>
      <c r="I1059" s="49">
        <v>2</v>
      </c>
      <c r="J1059" s="49">
        <v>2</v>
      </c>
      <c r="K1059" s="52">
        <f t="shared" si="160"/>
        <v>1</v>
      </c>
      <c r="L1059" s="209">
        <f t="shared" si="161"/>
        <v>0</v>
      </c>
      <c r="M1059" s="210">
        <f t="shared" si="162"/>
        <v>0</v>
      </c>
      <c r="N1059" s="26">
        <v>45548</v>
      </c>
      <c r="O1059" s="26">
        <v>45548</v>
      </c>
      <c r="P1059" s="26">
        <v>45548</v>
      </c>
      <c r="Q1059" s="2">
        <f t="shared" si="163"/>
        <v>1</v>
      </c>
      <c r="S1059" s="7">
        <f t="shared" si="166"/>
        <v>1</v>
      </c>
      <c r="T1059" s="157">
        <f t="shared" si="167"/>
        <v>1</v>
      </c>
      <c r="V1059" s="191">
        <f t="shared" si="164"/>
        <v>9</v>
      </c>
      <c r="W1059" s="7">
        <f t="shared" si="165"/>
        <v>2024</v>
      </c>
    </row>
    <row r="1060" spans="2:23" ht="31.95" customHeight="1" thickBot="1" x14ac:dyDescent="0.35">
      <c r="B1060" s="26">
        <v>45548</v>
      </c>
      <c r="C1060" s="51">
        <f t="shared" si="168"/>
        <v>1056</v>
      </c>
      <c r="D1060" s="27" t="s">
        <v>305</v>
      </c>
      <c r="E1060" s="26" t="s">
        <v>11</v>
      </c>
      <c r="F1060" s="28" t="s">
        <v>11</v>
      </c>
      <c r="G1060" s="28" t="s">
        <v>11</v>
      </c>
      <c r="H1060" s="254"/>
      <c r="I1060" s="49">
        <v>1</v>
      </c>
      <c r="J1060" s="49">
        <v>1</v>
      </c>
      <c r="K1060" s="52">
        <f t="shared" si="160"/>
        <v>1</v>
      </c>
      <c r="L1060" s="209">
        <f t="shared" si="161"/>
        <v>0</v>
      </c>
      <c r="M1060" s="210">
        <f t="shared" si="162"/>
        <v>0</v>
      </c>
      <c r="N1060" s="26">
        <v>45548</v>
      </c>
      <c r="O1060" s="26">
        <v>45548</v>
      </c>
      <c r="P1060" s="26">
        <v>45548</v>
      </c>
      <c r="Q1060" s="2">
        <f t="shared" si="163"/>
        <v>1</v>
      </c>
      <c r="S1060" s="7">
        <f t="shared" si="166"/>
        <v>1</v>
      </c>
      <c r="T1060" s="157">
        <f t="shared" si="167"/>
        <v>1</v>
      </c>
      <c r="V1060" s="191">
        <f t="shared" si="164"/>
        <v>9</v>
      </c>
      <c r="W1060" s="7">
        <f t="shared" si="165"/>
        <v>2024</v>
      </c>
    </row>
    <row r="1061" spans="2:23" ht="31.95" customHeight="1" thickBot="1" x14ac:dyDescent="0.35">
      <c r="B1061" s="26">
        <v>45558</v>
      </c>
      <c r="C1061" s="51">
        <f t="shared" si="168"/>
        <v>1057</v>
      </c>
      <c r="D1061" s="27" t="s">
        <v>305</v>
      </c>
      <c r="E1061" s="26" t="s">
        <v>11</v>
      </c>
      <c r="F1061" s="28" t="s">
        <v>11</v>
      </c>
      <c r="G1061" s="28" t="s">
        <v>11</v>
      </c>
      <c r="H1061" s="254"/>
      <c r="I1061" s="49">
        <v>5</v>
      </c>
      <c r="J1061" s="49">
        <v>5</v>
      </c>
      <c r="K1061" s="52">
        <f t="shared" si="160"/>
        <v>1</v>
      </c>
      <c r="L1061" s="209">
        <f t="shared" si="161"/>
        <v>0</v>
      </c>
      <c r="M1061" s="210">
        <f t="shared" si="162"/>
        <v>0</v>
      </c>
      <c r="N1061" s="26">
        <v>45558</v>
      </c>
      <c r="O1061" s="26">
        <v>45558</v>
      </c>
      <c r="P1061" s="26">
        <v>45558</v>
      </c>
      <c r="Q1061" s="2">
        <f t="shared" si="163"/>
        <v>1</v>
      </c>
      <c r="S1061" s="7">
        <f t="shared" si="166"/>
        <v>1</v>
      </c>
      <c r="T1061" s="157">
        <f t="shared" si="167"/>
        <v>1</v>
      </c>
      <c r="V1061" s="191">
        <f t="shared" si="164"/>
        <v>9</v>
      </c>
      <c r="W1061" s="7">
        <f t="shared" si="165"/>
        <v>2024</v>
      </c>
    </row>
    <row r="1062" spans="2:23" ht="31.95" customHeight="1" thickBot="1" x14ac:dyDescent="0.35">
      <c r="B1062" s="26">
        <v>45560</v>
      </c>
      <c r="C1062" s="51">
        <f t="shared" si="168"/>
        <v>1058</v>
      </c>
      <c r="D1062" s="27" t="s">
        <v>524</v>
      </c>
      <c r="E1062" s="26" t="s">
        <v>176</v>
      </c>
      <c r="F1062" s="28" t="s">
        <v>11</v>
      </c>
      <c r="G1062" s="28" t="s">
        <v>11</v>
      </c>
      <c r="H1062" s="254"/>
      <c r="I1062" s="49">
        <v>7</v>
      </c>
      <c r="J1062" s="49">
        <v>7</v>
      </c>
      <c r="K1062" s="52">
        <f t="shared" si="160"/>
        <v>1</v>
      </c>
      <c r="L1062" s="209">
        <f t="shared" si="161"/>
        <v>0</v>
      </c>
      <c r="M1062" s="210">
        <f t="shared" si="162"/>
        <v>0</v>
      </c>
      <c r="N1062" s="26">
        <v>45562</v>
      </c>
      <c r="O1062" s="26">
        <v>45562</v>
      </c>
      <c r="P1062" s="26">
        <v>45562</v>
      </c>
      <c r="Q1062" s="2">
        <f t="shared" si="163"/>
        <v>1</v>
      </c>
      <c r="S1062" s="7">
        <f t="shared" si="166"/>
        <v>1</v>
      </c>
      <c r="T1062" s="157">
        <f t="shared" si="167"/>
        <v>1</v>
      </c>
      <c r="V1062" s="191">
        <f t="shared" si="164"/>
        <v>9</v>
      </c>
      <c r="W1062" s="7">
        <f t="shared" si="165"/>
        <v>2024</v>
      </c>
    </row>
    <row r="1063" spans="2:23" ht="31.95" customHeight="1" thickBot="1" x14ac:dyDescent="0.35">
      <c r="B1063" s="26">
        <v>45560</v>
      </c>
      <c r="C1063" s="51">
        <f t="shared" si="168"/>
        <v>1059</v>
      </c>
      <c r="D1063" s="27" t="s">
        <v>890</v>
      </c>
      <c r="E1063" s="26" t="s">
        <v>176</v>
      </c>
      <c r="F1063" s="28" t="s">
        <v>11</v>
      </c>
      <c r="G1063" s="28" t="s">
        <v>11</v>
      </c>
      <c r="H1063" s="254"/>
      <c r="I1063" s="49">
        <v>3</v>
      </c>
      <c r="J1063" s="49">
        <v>3</v>
      </c>
      <c r="K1063" s="52">
        <f t="shared" si="160"/>
        <v>1</v>
      </c>
      <c r="L1063" s="209">
        <f t="shared" si="161"/>
        <v>0</v>
      </c>
      <c r="M1063" s="210">
        <f t="shared" si="162"/>
        <v>0</v>
      </c>
      <c r="N1063" s="26">
        <v>45581</v>
      </c>
      <c r="O1063" s="26">
        <v>45581</v>
      </c>
      <c r="P1063" s="26">
        <v>45581</v>
      </c>
      <c r="Q1063" s="2">
        <f t="shared" si="163"/>
        <v>1</v>
      </c>
      <c r="S1063" s="7">
        <f t="shared" si="166"/>
        <v>1</v>
      </c>
      <c r="T1063" s="157">
        <f t="shared" si="167"/>
        <v>1</v>
      </c>
      <c r="V1063" s="191">
        <f t="shared" si="164"/>
        <v>9</v>
      </c>
      <c r="W1063" s="7">
        <f t="shared" si="165"/>
        <v>2024</v>
      </c>
    </row>
    <row r="1064" spans="2:23" ht="31.95" customHeight="1" thickBot="1" x14ac:dyDescent="0.35">
      <c r="B1064" s="26">
        <v>45560</v>
      </c>
      <c r="C1064" s="51">
        <f t="shared" si="168"/>
        <v>1060</v>
      </c>
      <c r="D1064" s="27" t="s">
        <v>594</v>
      </c>
      <c r="E1064" s="26" t="s">
        <v>176</v>
      </c>
      <c r="F1064" s="28" t="s">
        <v>11</v>
      </c>
      <c r="G1064" s="28" t="s">
        <v>11</v>
      </c>
      <c r="H1064" s="254"/>
      <c r="I1064" s="49">
        <v>3</v>
      </c>
      <c r="J1064" s="49">
        <v>3</v>
      </c>
      <c r="K1064" s="52">
        <f t="shared" si="160"/>
        <v>1</v>
      </c>
      <c r="L1064" s="209">
        <f t="shared" si="161"/>
        <v>0</v>
      </c>
      <c r="M1064" s="210">
        <f t="shared" si="162"/>
        <v>0</v>
      </c>
      <c r="N1064" s="26">
        <v>45574</v>
      </c>
      <c r="O1064" s="26">
        <v>45574</v>
      </c>
      <c r="P1064" s="26">
        <v>45574</v>
      </c>
      <c r="Q1064" s="2">
        <f t="shared" si="163"/>
        <v>1</v>
      </c>
      <c r="S1064" s="7">
        <f t="shared" si="166"/>
        <v>1</v>
      </c>
      <c r="T1064" s="157">
        <f t="shared" si="167"/>
        <v>1</v>
      </c>
      <c r="V1064" s="191">
        <f t="shared" si="164"/>
        <v>9</v>
      </c>
      <c r="W1064" s="7">
        <f t="shared" si="165"/>
        <v>2024</v>
      </c>
    </row>
    <row r="1065" spans="2:23" ht="31.95" customHeight="1" thickBot="1" x14ac:dyDescent="0.35">
      <c r="B1065" s="26">
        <v>45561</v>
      </c>
      <c r="C1065" s="51">
        <f t="shared" si="168"/>
        <v>1061</v>
      </c>
      <c r="D1065" s="27" t="s">
        <v>1041</v>
      </c>
      <c r="E1065" s="26" t="s">
        <v>169</v>
      </c>
      <c r="F1065" s="28" t="s">
        <v>11</v>
      </c>
      <c r="G1065" s="28" t="s">
        <v>11</v>
      </c>
      <c r="H1065" s="254"/>
      <c r="I1065" s="49">
        <v>5</v>
      </c>
      <c r="J1065" s="49">
        <v>5</v>
      </c>
      <c r="K1065" s="52">
        <f t="shared" si="160"/>
        <v>1</v>
      </c>
      <c r="L1065" s="209">
        <f t="shared" si="161"/>
        <v>0</v>
      </c>
      <c r="M1065" s="210">
        <f t="shared" si="162"/>
        <v>0</v>
      </c>
      <c r="N1065" s="26">
        <v>45582</v>
      </c>
      <c r="O1065" s="26">
        <v>45582</v>
      </c>
      <c r="P1065" s="26">
        <v>45582</v>
      </c>
      <c r="Q1065" s="2">
        <f t="shared" si="163"/>
        <v>1</v>
      </c>
      <c r="S1065" s="7">
        <f t="shared" si="166"/>
        <v>1</v>
      </c>
      <c r="T1065" s="157">
        <f t="shared" si="167"/>
        <v>1</v>
      </c>
      <c r="V1065" s="191">
        <f t="shared" si="164"/>
        <v>9</v>
      </c>
      <c r="W1065" s="7">
        <f t="shared" si="165"/>
        <v>2024</v>
      </c>
    </row>
    <row r="1066" spans="2:23" ht="31.95" customHeight="1" thickBot="1" x14ac:dyDescent="0.35">
      <c r="B1066" s="26">
        <v>45561</v>
      </c>
      <c r="C1066" s="51">
        <f t="shared" si="168"/>
        <v>1062</v>
      </c>
      <c r="D1066" s="27" t="s">
        <v>594</v>
      </c>
      <c r="E1066" s="26" t="s">
        <v>169</v>
      </c>
      <c r="F1066" s="28" t="s">
        <v>11</v>
      </c>
      <c r="G1066" s="28" t="s">
        <v>11</v>
      </c>
      <c r="H1066" s="254"/>
      <c r="I1066" s="49">
        <v>1</v>
      </c>
      <c r="J1066" s="49">
        <v>1</v>
      </c>
      <c r="K1066" s="52">
        <f t="shared" si="160"/>
        <v>1</v>
      </c>
      <c r="L1066" s="209">
        <f t="shared" si="161"/>
        <v>0</v>
      </c>
      <c r="M1066" s="210">
        <f t="shared" si="162"/>
        <v>0</v>
      </c>
      <c r="N1066" s="26">
        <v>45575</v>
      </c>
      <c r="O1066" s="26">
        <v>45575</v>
      </c>
      <c r="P1066" s="26">
        <v>45575</v>
      </c>
      <c r="Q1066" s="2">
        <f t="shared" si="163"/>
        <v>1</v>
      </c>
      <c r="S1066" s="7">
        <f t="shared" si="166"/>
        <v>1</v>
      </c>
      <c r="T1066" s="157">
        <f t="shared" si="167"/>
        <v>1</v>
      </c>
      <c r="V1066" s="191">
        <f t="shared" si="164"/>
        <v>9</v>
      </c>
      <c r="W1066" s="7">
        <f t="shared" si="165"/>
        <v>2024</v>
      </c>
    </row>
    <row r="1067" spans="2:23" ht="31.95" customHeight="1" thickBot="1" x14ac:dyDescent="0.35">
      <c r="B1067" s="26">
        <v>45561</v>
      </c>
      <c r="C1067" s="51">
        <f t="shared" si="168"/>
        <v>1063</v>
      </c>
      <c r="D1067" s="27" t="s">
        <v>652</v>
      </c>
      <c r="E1067" s="26" t="s">
        <v>176</v>
      </c>
      <c r="F1067" s="28" t="s">
        <v>11</v>
      </c>
      <c r="G1067" s="28" t="s">
        <v>11</v>
      </c>
      <c r="H1067" s="254"/>
      <c r="I1067" s="49">
        <v>1</v>
      </c>
      <c r="J1067" s="49">
        <v>1</v>
      </c>
      <c r="K1067" s="52">
        <f t="shared" si="160"/>
        <v>1</v>
      </c>
      <c r="L1067" s="209">
        <f t="shared" si="161"/>
        <v>0</v>
      </c>
      <c r="M1067" s="210">
        <f t="shared" si="162"/>
        <v>0</v>
      </c>
      <c r="N1067" s="26" t="s">
        <v>1315</v>
      </c>
      <c r="O1067" s="26" t="s">
        <v>1315</v>
      </c>
      <c r="P1067" s="26" t="s">
        <v>1315</v>
      </c>
      <c r="Q1067" s="2">
        <f t="shared" si="163"/>
        <v>1</v>
      </c>
      <c r="S1067" s="7">
        <f t="shared" si="166"/>
        <v>1</v>
      </c>
      <c r="T1067" s="157">
        <f t="shared" si="167"/>
        <v>1</v>
      </c>
      <c r="V1067" s="191">
        <f t="shared" si="164"/>
        <v>9</v>
      </c>
      <c r="W1067" s="7">
        <f t="shared" si="165"/>
        <v>2024</v>
      </c>
    </row>
    <row r="1068" spans="2:23" ht="31.95" customHeight="1" thickBot="1" x14ac:dyDescent="0.35">
      <c r="B1068" s="26">
        <v>45574</v>
      </c>
      <c r="C1068" s="51">
        <f t="shared" si="168"/>
        <v>1064</v>
      </c>
      <c r="D1068" s="27" t="s">
        <v>305</v>
      </c>
      <c r="E1068" s="26" t="s">
        <v>11</v>
      </c>
      <c r="F1068" s="28" t="s">
        <v>11</v>
      </c>
      <c r="G1068" s="28" t="s">
        <v>11</v>
      </c>
      <c r="H1068" s="254"/>
      <c r="I1068" s="49">
        <v>4</v>
      </c>
      <c r="J1068" s="49">
        <v>4</v>
      </c>
      <c r="K1068" s="52">
        <f t="shared" si="160"/>
        <v>1</v>
      </c>
      <c r="L1068" s="209">
        <f t="shared" si="161"/>
        <v>0</v>
      </c>
      <c r="M1068" s="210">
        <f t="shared" si="162"/>
        <v>0</v>
      </c>
      <c r="N1068" s="26">
        <v>45574</v>
      </c>
      <c r="O1068" s="26">
        <v>45574</v>
      </c>
      <c r="P1068" s="26">
        <v>45574</v>
      </c>
      <c r="Q1068" s="2">
        <f t="shared" si="163"/>
        <v>1</v>
      </c>
      <c r="S1068" s="7">
        <f t="shared" si="166"/>
        <v>1</v>
      </c>
      <c r="T1068" s="157">
        <f t="shared" si="167"/>
        <v>1</v>
      </c>
      <c r="V1068" s="191">
        <f t="shared" si="164"/>
        <v>10</v>
      </c>
      <c r="W1068" s="7">
        <f t="shared" si="165"/>
        <v>2024</v>
      </c>
    </row>
    <row r="1069" spans="2:23" ht="31.95" customHeight="1" thickBot="1" x14ac:dyDescent="0.35">
      <c r="B1069" s="26">
        <v>45574</v>
      </c>
      <c r="C1069" s="51">
        <f t="shared" si="168"/>
        <v>1065</v>
      </c>
      <c r="D1069" s="27" t="s">
        <v>705</v>
      </c>
      <c r="E1069" s="26" t="s">
        <v>11</v>
      </c>
      <c r="F1069" s="28" t="s">
        <v>11</v>
      </c>
      <c r="G1069" s="28" t="s">
        <v>11</v>
      </c>
      <c r="H1069" s="254"/>
      <c r="I1069" s="49">
        <v>1</v>
      </c>
      <c r="J1069" s="49">
        <v>1</v>
      </c>
      <c r="K1069" s="52">
        <f t="shared" ref="K1069:K1132" si="169">IFERROR(J1069/I1069,"")</f>
        <v>1</v>
      </c>
      <c r="L1069" s="209">
        <f t="shared" ref="L1069:L1132" si="170">IF(I1069="","",I1069-J1069)</f>
        <v>0</v>
      </c>
      <c r="M1069" s="210">
        <f t="shared" ref="M1069:M1132" si="171">IFERROR(1-K1069,"")</f>
        <v>0</v>
      </c>
      <c r="N1069" s="26">
        <v>45574</v>
      </c>
      <c r="O1069" s="26">
        <v>45574</v>
      </c>
      <c r="P1069" s="26">
        <v>45574</v>
      </c>
      <c r="Q1069" s="2">
        <f t="shared" si="163"/>
        <v>1</v>
      </c>
      <c r="S1069" s="7">
        <f t="shared" si="166"/>
        <v>1</v>
      </c>
      <c r="T1069" s="157">
        <f t="shared" si="167"/>
        <v>1</v>
      </c>
      <c r="V1069" s="191">
        <f t="shared" si="164"/>
        <v>10</v>
      </c>
      <c r="W1069" s="7">
        <f t="shared" si="165"/>
        <v>2024</v>
      </c>
    </row>
    <row r="1070" spans="2:23" ht="31.95" customHeight="1" thickBot="1" x14ac:dyDescent="0.35">
      <c r="B1070" s="26">
        <v>45590</v>
      </c>
      <c r="C1070" s="51">
        <f t="shared" si="168"/>
        <v>1066</v>
      </c>
      <c r="D1070" s="27" t="s">
        <v>305</v>
      </c>
      <c r="E1070" s="26" t="s">
        <v>11</v>
      </c>
      <c r="F1070" s="28" t="s">
        <v>11</v>
      </c>
      <c r="G1070" s="28" t="s">
        <v>11</v>
      </c>
      <c r="H1070" s="254"/>
      <c r="I1070" s="49">
        <v>6</v>
      </c>
      <c r="J1070" s="49">
        <v>6</v>
      </c>
      <c r="K1070" s="52">
        <f t="shared" si="169"/>
        <v>1</v>
      </c>
      <c r="L1070" s="209">
        <f t="shared" si="170"/>
        <v>0</v>
      </c>
      <c r="M1070" s="210">
        <f t="shared" si="171"/>
        <v>0</v>
      </c>
      <c r="N1070" s="26">
        <v>45590</v>
      </c>
      <c r="O1070" s="26">
        <v>45590</v>
      </c>
      <c r="P1070" s="26">
        <v>45590</v>
      </c>
      <c r="Q1070" s="2">
        <f t="shared" si="163"/>
        <v>1</v>
      </c>
      <c r="S1070" s="7">
        <f t="shared" si="166"/>
        <v>1</v>
      </c>
      <c r="T1070" s="157">
        <f t="shared" si="167"/>
        <v>1</v>
      </c>
      <c r="V1070" s="191">
        <f t="shared" si="164"/>
        <v>10</v>
      </c>
      <c r="W1070" s="7">
        <f t="shared" si="165"/>
        <v>2024</v>
      </c>
    </row>
    <row r="1071" spans="2:23" ht="31.95" customHeight="1" thickBot="1" x14ac:dyDescent="0.35">
      <c r="B1071" s="26">
        <v>45590</v>
      </c>
      <c r="C1071" s="51">
        <f t="shared" si="168"/>
        <v>1067</v>
      </c>
      <c r="D1071" s="27" t="s">
        <v>858</v>
      </c>
      <c r="E1071" s="26" t="s">
        <v>11</v>
      </c>
      <c r="F1071" s="28" t="s">
        <v>11</v>
      </c>
      <c r="G1071" s="28" t="s">
        <v>11</v>
      </c>
      <c r="H1071" s="254"/>
      <c r="I1071" s="49">
        <v>2</v>
      </c>
      <c r="J1071" s="49">
        <v>2</v>
      </c>
      <c r="K1071" s="52">
        <f t="shared" si="169"/>
        <v>1</v>
      </c>
      <c r="L1071" s="209">
        <f t="shared" si="170"/>
        <v>0</v>
      </c>
      <c r="M1071" s="210">
        <f t="shared" si="171"/>
        <v>0</v>
      </c>
      <c r="N1071" s="26">
        <v>45590</v>
      </c>
      <c r="O1071" s="26">
        <v>45590</v>
      </c>
      <c r="P1071" s="26">
        <v>45590</v>
      </c>
      <c r="Q1071" s="2">
        <f t="shared" si="163"/>
        <v>1</v>
      </c>
      <c r="S1071" s="7">
        <f t="shared" si="166"/>
        <v>1</v>
      </c>
      <c r="T1071" s="157">
        <f t="shared" si="167"/>
        <v>1</v>
      </c>
      <c r="V1071" s="191">
        <f t="shared" si="164"/>
        <v>10</v>
      </c>
      <c r="W1071" s="7">
        <f t="shared" si="165"/>
        <v>2024</v>
      </c>
    </row>
    <row r="1072" spans="2:23" ht="31.95" customHeight="1" thickBot="1" x14ac:dyDescent="0.35">
      <c r="B1072" s="26">
        <v>45604</v>
      </c>
      <c r="C1072" s="51">
        <f t="shared" si="168"/>
        <v>1068</v>
      </c>
      <c r="D1072" s="27" t="s">
        <v>858</v>
      </c>
      <c r="E1072" s="26" t="s">
        <v>177</v>
      </c>
      <c r="F1072" s="28" t="s">
        <v>11</v>
      </c>
      <c r="G1072" s="28" t="s">
        <v>11</v>
      </c>
      <c r="H1072" s="254"/>
      <c r="I1072" s="49">
        <v>1</v>
      </c>
      <c r="J1072" s="49">
        <v>1</v>
      </c>
      <c r="K1072" s="52">
        <f t="shared" si="169"/>
        <v>1</v>
      </c>
      <c r="L1072" s="209">
        <f t="shared" si="170"/>
        <v>0</v>
      </c>
      <c r="M1072" s="210">
        <f t="shared" si="171"/>
        <v>0</v>
      </c>
      <c r="N1072" s="26">
        <v>45604</v>
      </c>
      <c r="O1072" s="26">
        <v>45604</v>
      </c>
      <c r="P1072" s="26">
        <v>45604</v>
      </c>
      <c r="Q1072" s="2">
        <f t="shared" si="163"/>
        <v>1</v>
      </c>
      <c r="S1072" s="7">
        <f t="shared" si="166"/>
        <v>1</v>
      </c>
      <c r="T1072" s="157">
        <f t="shared" si="167"/>
        <v>1</v>
      </c>
      <c r="V1072" s="191">
        <f t="shared" si="164"/>
        <v>11</v>
      </c>
      <c r="W1072" s="7">
        <f t="shared" si="165"/>
        <v>2024</v>
      </c>
    </row>
    <row r="1073" spans="2:23" ht="31.95" customHeight="1" thickBot="1" x14ac:dyDescent="0.35">
      <c r="B1073" s="26">
        <v>45610</v>
      </c>
      <c r="C1073" s="51">
        <f t="shared" si="168"/>
        <v>1069</v>
      </c>
      <c r="D1073" s="27" t="s">
        <v>741</v>
      </c>
      <c r="E1073" s="26" t="s">
        <v>11</v>
      </c>
      <c r="F1073" s="28" t="s">
        <v>11</v>
      </c>
      <c r="G1073" s="28" t="s">
        <v>11</v>
      </c>
      <c r="H1073" s="254"/>
      <c r="I1073" s="49">
        <v>1</v>
      </c>
      <c r="J1073" s="49">
        <v>1</v>
      </c>
      <c r="K1073" s="52">
        <f t="shared" si="169"/>
        <v>1</v>
      </c>
      <c r="L1073" s="209">
        <f t="shared" si="170"/>
        <v>0</v>
      </c>
      <c r="M1073" s="210">
        <f t="shared" si="171"/>
        <v>0</v>
      </c>
      <c r="N1073" s="26">
        <v>45615</v>
      </c>
      <c r="O1073" s="26">
        <v>45615</v>
      </c>
      <c r="P1073" s="26">
        <v>45615</v>
      </c>
      <c r="Q1073" s="2">
        <f t="shared" si="163"/>
        <v>1</v>
      </c>
      <c r="S1073" s="7">
        <f t="shared" si="166"/>
        <v>1</v>
      </c>
      <c r="T1073" s="157">
        <f t="shared" si="167"/>
        <v>1</v>
      </c>
      <c r="V1073" s="191">
        <f t="shared" si="164"/>
        <v>11</v>
      </c>
      <c r="W1073" s="7">
        <f t="shared" si="165"/>
        <v>2024</v>
      </c>
    </row>
    <row r="1074" spans="2:23" ht="31.95" customHeight="1" thickBot="1" x14ac:dyDescent="0.35">
      <c r="B1074" s="26">
        <v>45610</v>
      </c>
      <c r="C1074" s="51">
        <f t="shared" si="168"/>
        <v>1070</v>
      </c>
      <c r="D1074" s="27" t="s">
        <v>850</v>
      </c>
      <c r="E1074" s="26" t="s">
        <v>11</v>
      </c>
      <c r="F1074" s="28" t="s">
        <v>11</v>
      </c>
      <c r="G1074" s="28" t="s">
        <v>11</v>
      </c>
      <c r="H1074" s="254"/>
      <c r="I1074" s="49">
        <v>1</v>
      </c>
      <c r="J1074" s="49">
        <v>1</v>
      </c>
      <c r="K1074" s="52">
        <f t="shared" si="169"/>
        <v>1</v>
      </c>
      <c r="L1074" s="209">
        <f t="shared" si="170"/>
        <v>0</v>
      </c>
      <c r="M1074" s="210">
        <f t="shared" si="171"/>
        <v>0</v>
      </c>
      <c r="N1074" s="26">
        <v>45610</v>
      </c>
      <c r="O1074" s="26">
        <v>45610</v>
      </c>
      <c r="P1074" s="26">
        <v>45610</v>
      </c>
      <c r="Q1074" s="2">
        <f t="shared" si="163"/>
        <v>1</v>
      </c>
      <c r="S1074" s="7">
        <f t="shared" si="166"/>
        <v>1</v>
      </c>
      <c r="T1074" s="157">
        <f t="shared" si="167"/>
        <v>1</v>
      </c>
      <c r="V1074" s="191">
        <f t="shared" si="164"/>
        <v>11</v>
      </c>
      <c r="W1074" s="7">
        <f t="shared" si="165"/>
        <v>2024</v>
      </c>
    </row>
    <row r="1075" spans="2:23" ht="31.95" customHeight="1" thickBot="1" x14ac:dyDescent="0.35">
      <c r="B1075" s="26">
        <v>45631</v>
      </c>
      <c r="C1075" s="51">
        <f t="shared" si="168"/>
        <v>1071</v>
      </c>
      <c r="D1075" s="27" t="s">
        <v>401</v>
      </c>
      <c r="E1075" s="26" t="s">
        <v>11</v>
      </c>
      <c r="F1075" s="28" t="s">
        <v>11</v>
      </c>
      <c r="G1075" s="28" t="s">
        <v>11</v>
      </c>
      <c r="H1075" s="254"/>
      <c r="I1075" s="49">
        <v>1</v>
      </c>
      <c r="J1075" s="49">
        <v>1</v>
      </c>
      <c r="K1075" s="52">
        <f t="shared" si="169"/>
        <v>1</v>
      </c>
      <c r="L1075" s="209">
        <f t="shared" si="170"/>
        <v>0</v>
      </c>
      <c r="M1075" s="210">
        <f t="shared" si="171"/>
        <v>0</v>
      </c>
      <c r="N1075" s="26">
        <v>45631</v>
      </c>
      <c r="O1075" s="26">
        <v>45631</v>
      </c>
      <c r="P1075" s="26">
        <v>45631</v>
      </c>
      <c r="Q1075" s="2">
        <f t="shared" si="163"/>
        <v>1</v>
      </c>
      <c r="S1075" s="7">
        <f t="shared" si="166"/>
        <v>1</v>
      </c>
      <c r="T1075" s="157">
        <f t="shared" si="167"/>
        <v>1</v>
      </c>
      <c r="V1075" s="191">
        <f t="shared" si="164"/>
        <v>12</v>
      </c>
      <c r="W1075" s="7">
        <f t="shared" si="165"/>
        <v>2024</v>
      </c>
    </row>
    <row r="1076" spans="2:23" ht="31.95" customHeight="1" thickBot="1" x14ac:dyDescent="0.35">
      <c r="B1076" s="26">
        <v>45631</v>
      </c>
      <c r="C1076" s="51">
        <f t="shared" si="168"/>
        <v>1072</v>
      </c>
      <c r="D1076" s="27" t="s">
        <v>1054</v>
      </c>
      <c r="E1076" s="26" t="s">
        <v>11</v>
      </c>
      <c r="F1076" s="28" t="s">
        <v>11</v>
      </c>
      <c r="G1076" s="28" t="s">
        <v>11</v>
      </c>
      <c r="H1076" s="254"/>
      <c r="I1076" s="49">
        <v>1</v>
      </c>
      <c r="J1076" s="49">
        <v>1</v>
      </c>
      <c r="K1076" s="52">
        <f t="shared" si="169"/>
        <v>1</v>
      </c>
      <c r="L1076" s="209">
        <f t="shared" si="170"/>
        <v>0</v>
      </c>
      <c r="M1076" s="210">
        <f t="shared" si="171"/>
        <v>0</v>
      </c>
      <c r="N1076" s="26">
        <v>45635</v>
      </c>
      <c r="O1076" s="26">
        <v>45635</v>
      </c>
      <c r="P1076" s="26">
        <v>45635</v>
      </c>
      <c r="Q1076" s="2">
        <f t="shared" si="163"/>
        <v>1</v>
      </c>
      <c r="S1076" s="7">
        <f t="shared" si="166"/>
        <v>1</v>
      </c>
      <c r="T1076" s="157">
        <f t="shared" si="167"/>
        <v>1</v>
      </c>
      <c r="V1076" s="191">
        <f t="shared" si="164"/>
        <v>12</v>
      </c>
      <c r="W1076" s="7">
        <f t="shared" si="165"/>
        <v>2024</v>
      </c>
    </row>
    <row r="1077" spans="2:23" ht="31.95" customHeight="1" thickBot="1" x14ac:dyDescent="0.35">
      <c r="B1077" s="26">
        <v>45631</v>
      </c>
      <c r="C1077" s="51">
        <f t="shared" si="168"/>
        <v>1073</v>
      </c>
      <c r="D1077" s="27" t="s">
        <v>524</v>
      </c>
      <c r="E1077" s="26" t="s">
        <v>11</v>
      </c>
      <c r="F1077" s="28" t="s">
        <v>11</v>
      </c>
      <c r="G1077" s="28" t="s">
        <v>11</v>
      </c>
      <c r="H1077" s="254"/>
      <c r="I1077" s="49">
        <v>4</v>
      </c>
      <c r="J1077" s="49">
        <v>4</v>
      </c>
      <c r="K1077" s="52">
        <f t="shared" si="169"/>
        <v>1</v>
      </c>
      <c r="L1077" s="209">
        <f t="shared" si="170"/>
        <v>0</v>
      </c>
      <c r="M1077" s="210">
        <f t="shared" si="171"/>
        <v>0</v>
      </c>
      <c r="N1077" s="26">
        <v>45635</v>
      </c>
      <c r="O1077" s="26">
        <v>45635</v>
      </c>
      <c r="P1077" s="26">
        <v>45635</v>
      </c>
      <c r="Q1077" s="2">
        <f t="shared" si="163"/>
        <v>1</v>
      </c>
      <c r="S1077" s="7">
        <f t="shared" si="166"/>
        <v>1</v>
      </c>
      <c r="T1077" s="157">
        <f t="shared" si="167"/>
        <v>1</v>
      </c>
      <c r="V1077" s="191">
        <f t="shared" si="164"/>
        <v>12</v>
      </c>
      <c r="W1077" s="7">
        <f t="shared" si="165"/>
        <v>2024</v>
      </c>
    </row>
    <row r="1078" spans="2:23" ht="31.95" customHeight="1" thickBot="1" x14ac:dyDescent="0.35">
      <c r="B1078" s="26">
        <v>45639</v>
      </c>
      <c r="C1078" s="51">
        <f t="shared" si="168"/>
        <v>1074</v>
      </c>
      <c r="D1078" s="27" t="s">
        <v>305</v>
      </c>
      <c r="E1078" s="26" t="s">
        <v>11</v>
      </c>
      <c r="F1078" s="28" t="s">
        <v>11</v>
      </c>
      <c r="G1078" s="28" t="s">
        <v>11</v>
      </c>
      <c r="H1078" s="254"/>
      <c r="I1078" s="49">
        <v>1</v>
      </c>
      <c r="J1078" s="49">
        <v>1</v>
      </c>
      <c r="K1078" s="52">
        <f t="shared" si="169"/>
        <v>1</v>
      </c>
      <c r="L1078" s="209">
        <f t="shared" si="170"/>
        <v>0</v>
      </c>
      <c r="M1078" s="210">
        <f t="shared" si="171"/>
        <v>0</v>
      </c>
      <c r="N1078" s="26">
        <v>45639</v>
      </c>
      <c r="O1078" s="26">
        <v>45639</v>
      </c>
      <c r="P1078" s="26">
        <v>45639</v>
      </c>
      <c r="Q1078" s="2">
        <f t="shared" si="163"/>
        <v>1</v>
      </c>
      <c r="S1078" s="7">
        <f t="shared" si="166"/>
        <v>1</v>
      </c>
      <c r="T1078" s="157">
        <f t="shared" si="167"/>
        <v>1</v>
      </c>
      <c r="V1078" s="191">
        <f t="shared" si="164"/>
        <v>12</v>
      </c>
      <c r="W1078" s="7">
        <f t="shared" si="165"/>
        <v>2024</v>
      </c>
    </row>
    <row r="1079" spans="2:23" ht="31.95" customHeight="1" thickBot="1" x14ac:dyDescent="0.35">
      <c r="B1079" s="26">
        <v>45671</v>
      </c>
      <c r="C1079" s="51">
        <f t="shared" si="168"/>
        <v>1075</v>
      </c>
      <c r="D1079" s="27" t="s">
        <v>705</v>
      </c>
      <c r="E1079" s="26" t="s">
        <v>179</v>
      </c>
      <c r="F1079" s="28" t="s">
        <v>11</v>
      </c>
      <c r="G1079" s="28" t="s">
        <v>11</v>
      </c>
      <c r="H1079" s="254"/>
      <c r="I1079" s="49">
        <v>1</v>
      </c>
      <c r="J1079" s="49">
        <v>1</v>
      </c>
      <c r="K1079" s="52">
        <f t="shared" si="169"/>
        <v>1</v>
      </c>
      <c r="L1079" s="209">
        <f t="shared" si="170"/>
        <v>0</v>
      </c>
      <c r="M1079" s="210">
        <f t="shared" si="171"/>
        <v>0</v>
      </c>
      <c r="N1079" s="26">
        <v>45672</v>
      </c>
      <c r="O1079" s="26">
        <v>45672</v>
      </c>
      <c r="P1079" s="26">
        <v>45672</v>
      </c>
      <c r="Q1079" s="2">
        <f t="shared" si="163"/>
        <v>1</v>
      </c>
      <c r="S1079" s="7">
        <f t="shared" si="166"/>
        <v>1</v>
      </c>
      <c r="T1079" s="157">
        <f t="shared" si="167"/>
        <v>1</v>
      </c>
      <c r="V1079" s="191">
        <f t="shared" si="164"/>
        <v>1</v>
      </c>
      <c r="W1079" s="7">
        <f t="shared" si="165"/>
        <v>2025</v>
      </c>
    </row>
    <row r="1080" spans="2:23" ht="31.95" customHeight="1" thickBot="1" x14ac:dyDescent="0.35">
      <c r="B1080" s="26">
        <v>45672</v>
      </c>
      <c r="C1080" s="51">
        <f t="shared" si="168"/>
        <v>1076</v>
      </c>
      <c r="D1080" s="27" t="s">
        <v>971</v>
      </c>
      <c r="E1080" s="26" t="s">
        <v>179</v>
      </c>
      <c r="F1080" s="28" t="s">
        <v>11</v>
      </c>
      <c r="G1080" s="28" t="s">
        <v>11</v>
      </c>
      <c r="H1080" s="254"/>
      <c r="I1080" s="49">
        <v>1</v>
      </c>
      <c r="J1080" s="49">
        <v>1</v>
      </c>
      <c r="K1080" s="52">
        <f t="shared" si="169"/>
        <v>1</v>
      </c>
      <c r="L1080" s="209">
        <f t="shared" si="170"/>
        <v>0</v>
      </c>
      <c r="M1080" s="210">
        <f t="shared" si="171"/>
        <v>0</v>
      </c>
      <c r="N1080" s="26">
        <v>45673</v>
      </c>
      <c r="O1080" s="26">
        <v>45673</v>
      </c>
      <c r="P1080" s="26">
        <v>45673</v>
      </c>
      <c r="Q1080" s="2">
        <f t="shared" si="163"/>
        <v>1</v>
      </c>
      <c r="S1080" s="7">
        <f t="shared" si="166"/>
        <v>1</v>
      </c>
      <c r="T1080" s="157">
        <f t="shared" si="167"/>
        <v>1</v>
      </c>
      <c r="V1080" s="191">
        <f t="shared" si="164"/>
        <v>1</v>
      </c>
      <c r="W1080" s="7">
        <f t="shared" si="165"/>
        <v>2025</v>
      </c>
    </row>
    <row r="1081" spans="2:23" ht="31.95" customHeight="1" thickBot="1" x14ac:dyDescent="0.35">
      <c r="B1081" s="26">
        <v>45672</v>
      </c>
      <c r="C1081" s="51">
        <f t="shared" si="168"/>
        <v>1077</v>
      </c>
      <c r="D1081" s="27" t="s">
        <v>971</v>
      </c>
      <c r="E1081" s="26" t="s">
        <v>178</v>
      </c>
      <c r="F1081" s="28" t="s">
        <v>11</v>
      </c>
      <c r="G1081" s="28" t="s">
        <v>11</v>
      </c>
      <c r="H1081" s="254"/>
      <c r="I1081" s="49">
        <v>1</v>
      </c>
      <c r="J1081" s="49">
        <v>1</v>
      </c>
      <c r="K1081" s="52">
        <f t="shared" si="169"/>
        <v>1</v>
      </c>
      <c r="L1081" s="209">
        <f t="shared" si="170"/>
        <v>0</v>
      </c>
      <c r="M1081" s="210">
        <f t="shared" si="171"/>
        <v>0</v>
      </c>
      <c r="N1081" s="26">
        <v>45677</v>
      </c>
      <c r="O1081" s="26">
        <v>45677</v>
      </c>
      <c r="P1081" s="26">
        <v>45677</v>
      </c>
      <c r="Q1081" s="2">
        <f t="shared" si="163"/>
        <v>1</v>
      </c>
      <c r="S1081" s="7">
        <f t="shared" si="166"/>
        <v>1</v>
      </c>
      <c r="T1081" s="157">
        <f t="shared" si="167"/>
        <v>1</v>
      </c>
      <c r="V1081" s="191">
        <f t="shared" si="164"/>
        <v>1</v>
      </c>
      <c r="W1081" s="7">
        <f t="shared" si="165"/>
        <v>2025</v>
      </c>
    </row>
    <row r="1082" spans="2:23" ht="31.95" customHeight="1" thickBot="1" x14ac:dyDescent="0.35">
      <c r="B1082" s="26">
        <v>45672</v>
      </c>
      <c r="C1082" s="51">
        <f t="shared" si="168"/>
        <v>1078</v>
      </c>
      <c r="D1082" s="27" t="s">
        <v>677</v>
      </c>
      <c r="E1082" s="26" t="s">
        <v>1316</v>
      </c>
      <c r="F1082" s="28" t="s">
        <v>11</v>
      </c>
      <c r="G1082" s="28" t="s">
        <v>11</v>
      </c>
      <c r="H1082" s="254"/>
      <c r="I1082" s="49">
        <v>3</v>
      </c>
      <c r="J1082" s="49">
        <v>3</v>
      </c>
      <c r="K1082" s="52">
        <f t="shared" si="169"/>
        <v>1</v>
      </c>
      <c r="L1082" s="209">
        <f t="shared" si="170"/>
        <v>0</v>
      </c>
      <c r="M1082" s="210">
        <f t="shared" si="171"/>
        <v>0</v>
      </c>
      <c r="N1082" s="26">
        <v>45680</v>
      </c>
      <c r="O1082" s="26">
        <v>45680</v>
      </c>
      <c r="P1082" s="26">
        <v>45680</v>
      </c>
      <c r="Q1082" s="2">
        <f t="shared" si="163"/>
        <v>1</v>
      </c>
      <c r="S1082" s="7">
        <f t="shared" si="166"/>
        <v>1</v>
      </c>
      <c r="T1082" s="157">
        <f t="shared" si="167"/>
        <v>1</v>
      </c>
      <c r="V1082" s="191">
        <f t="shared" si="164"/>
        <v>1</v>
      </c>
      <c r="W1082" s="7">
        <f t="shared" si="165"/>
        <v>2025</v>
      </c>
    </row>
    <row r="1083" spans="2:23" ht="31.95" customHeight="1" thickBot="1" x14ac:dyDescent="0.35">
      <c r="B1083" s="26">
        <v>45672</v>
      </c>
      <c r="C1083" s="51">
        <f t="shared" si="168"/>
        <v>1079</v>
      </c>
      <c r="D1083" s="27" t="s">
        <v>1150</v>
      </c>
      <c r="E1083" s="26" t="s">
        <v>1316</v>
      </c>
      <c r="F1083" s="28" t="s">
        <v>11</v>
      </c>
      <c r="G1083" s="28" t="s">
        <v>11</v>
      </c>
      <c r="H1083" s="254"/>
      <c r="I1083" s="49">
        <v>1</v>
      </c>
      <c r="J1083" s="49">
        <v>1</v>
      </c>
      <c r="K1083" s="52">
        <f t="shared" si="169"/>
        <v>1</v>
      </c>
      <c r="L1083" s="209">
        <f t="shared" si="170"/>
        <v>0</v>
      </c>
      <c r="M1083" s="210">
        <f t="shared" si="171"/>
        <v>0</v>
      </c>
      <c r="N1083" s="26">
        <v>45673</v>
      </c>
      <c r="O1083" s="26">
        <v>45673</v>
      </c>
      <c r="P1083" s="26">
        <v>45673</v>
      </c>
      <c r="Q1083" s="2">
        <f t="shared" si="163"/>
        <v>1</v>
      </c>
      <c r="S1083" s="7">
        <f t="shared" si="166"/>
        <v>1</v>
      </c>
      <c r="T1083" s="157">
        <f t="shared" si="167"/>
        <v>1</v>
      </c>
      <c r="V1083" s="191">
        <f t="shared" si="164"/>
        <v>1</v>
      </c>
      <c r="W1083" s="7">
        <f t="shared" si="165"/>
        <v>2025</v>
      </c>
    </row>
    <row r="1084" spans="2:23" ht="31.95" customHeight="1" thickBot="1" x14ac:dyDescent="0.35">
      <c r="B1084" s="26">
        <v>45673</v>
      </c>
      <c r="C1084" s="51">
        <f t="shared" si="168"/>
        <v>1080</v>
      </c>
      <c r="D1084" s="27" t="s">
        <v>269</v>
      </c>
      <c r="E1084" s="26" t="s">
        <v>11</v>
      </c>
      <c r="F1084" s="28" t="s">
        <v>11</v>
      </c>
      <c r="G1084" s="28" t="s">
        <v>11</v>
      </c>
      <c r="H1084" s="254"/>
      <c r="I1084" s="49">
        <v>8</v>
      </c>
      <c r="J1084" s="49">
        <v>8</v>
      </c>
      <c r="K1084" s="52">
        <f t="shared" si="169"/>
        <v>1</v>
      </c>
      <c r="L1084" s="209">
        <f t="shared" si="170"/>
        <v>0</v>
      </c>
      <c r="M1084" s="210">
        <f t="shared" si="171"/>
        <v>0</v>
      </c>
      <c r="N1084" s="26">
        <v>45674</v>
      </c>
      <c r="O1084" s="26">
        <v>45674</v>
      </c>
      <c r="P1084" s="26">
        <v>45674</v>
      </c>
      <c r="Q1084" s="2">
        <f t="shared" si="163"/>
        <v>1</v>
      </c>
      <c r="S1084" s="7">
        <f t="shared" si="166"/>
        <v>1</v>
      </c>
      <c r="T1084" s="157">
        <f t="shared" si="167"/>
        <v>1</v>
      </c>
      <c r="V1084" s="191">
        <f t="shared" si="164"/>
        <v>1</v>
      </c>
      <c r="W1084" s="7">
        <f t="shared" si="165"/>
        <v>2025</v>
      </c>
    </row>
    <row r="1085" spans="2:23" ht="31.95" customHeight="1" thickBot="1" x14ac:dyDescent="0.35">
      <c r="B1085" s="26">
        <v>45674</v>
      </c>
      <c r="C1085" s="51">
        <f t="shared" si="168"/>
        <v>1081</v>
      </c>
      <c r="D1085" s="27" t="s">
        <v>524</v>
      </c>
      <c r="E1085" s="26" t="s">
        <v>180</v>
      </c>
      <c r="F1085" s="28" t="s">
        <v>11</v>
      </c>
      <c r="G1085" s="28" t="s">
        <v>11</v>
      </c>
      <c r="H1085" s="254"/>
      <c r="I1085" s="49">
        <v>1</v>
      </c>
      <c r="J1085" s="49">
        <v>1</v>
      </c>
      <c r="K1085" s="52">
        <f t="shared" si="169"/>
        <v>1</v>
      </c>
      <c r="L1085" s="209">
        <f t="shared" si="170"/>
        <v>0</v>
      </c>
      <c r="M1085" s="210">
        <f t="shared" si="171"/>
        <v>0</v>
      </c>
      <c r="N1085" s="26">
        <v>45674</v>
      </c>
      <c r="O1085" s="26">
        <v>45674</v>
      </c>
      <c r="P1085" s="26">
        <v>45674</v>
      </c>
      <c r="Q1085" s="2">
        <f t="shared" si="163"/>
        <v>1</v>
      </c>
      <c r="S1085" s="7">
        <f t="shared" si="166"/>
        <v>1</v>
      </c>
      <c r="T1085" s="157">
        <f t="shared" si="167"/>
        <v>1</v>
      </c>
      <c r="V1085" s="191">
        <f t="shared" si="164"/>
        <v>1</v>
      </c>
      <c r="W1085" s="7">
        <f t="shared" si="165"/>
        <v>2025</v>
      </c>
    </row>
    <row r="1086" spans="2:23" ht="31.95" customHeight="1" thickBot="1" x14ac:dyDescent="0.35">
      <c r="B1086" s="26">
        <v>45678</v>
      </c>
      <c r="C1086" s="51">
        <f t="shared" si="168"/>
        <v>1082</v>
      </c>
      <c r="D1086" s="27" t="s">
        <v>741</v>
      </c>
      <c r="E1086" s="26" t="s">
        <v>11</v>
      </c>
      <c r="F1086" s="28" t="s">
        <v>11</v>
      </c>
      <c r="G1086" s="28" t="s">
        <v>11</v>
      </c>
      <c r="H1086" s="254"/>
      <c r="I1086" s="49">
        <v>1</v>
      </c>
      <c r="J1086" s="49">
        <v>1</v>
      </c>
      <c r="K1086" s="52">
        <f t="shared" si="169"/>
        <v>1</v>
      </c>
      <c r="L1086" s="209">
        <f t="shared" si="170"/>
        <v>0</v>
      </c>
      <c r="M1086" s="210">
        <f t="shared" si="171"/>
        <v>0</v>
      </c>
      <c r="N1086" s="26">
        <v>45685</v>
      </c>
      <c r="O1086" s="26">
        <v>45685</v>
      </c>
      <c r="P1086" s="26">
        <v>45685</v>
      </c>
      <c r="Q1086" s="2">
        <f t="shared" si="163"/>
        <v>1</v>
      </c>
      <c r="S1086" s="7">
        <f t="shared" si="166"/>
        <v>1</v>
      </c>
      <c r="T1086" s="157">
        <f t="shared" si="167"/>
        <v>1</v>
      </c>
      <c r="V1086" s="191">
        <f t="shared" si="164"/>
        <v>1</v>
      </c>
      <c r="W1086" s="7">
        <f t="shared" si="165"/>
        <v>2025</v>
      </c>
    </row>
    <row r="1087" spans="2:23" ht="31.95" customHeight="1" thickBot="1" x14ac:dyDescent="0.35">
      <c r="B1087" s="26">
        <v>45684</v>
      </c>
      <c r="C1087" s="51">
        <f t="shared" si="168"/>
        <v>1083</v>
      </c>
      <c r="D1087" s="27" t="s">
        <v>321</v>
      </c>
      <c r="E1087" s="26" t="s">
        <v>1317</v>
      </c>
      <c r="F1087" s="28" t="s">
        <v>11</v>
      </c>
      <c r="G1087" s="28" t="s">
        <v>11</v>
      </c>
      <c r="H1087" s="254"/>
      <c r="I1087" s="49">
        <v>7</v>
      </c>
      <c r="J1087" s="49">
        <v>7</v>
      </c>
      <c r="K1087" s="52">
        <f t="shared" si="169"/>
        <v>1</v>
      </c>
      <c r="L1087" s="209">
        <f t="shared" si="170"/>
        <v>0</v>
      </c>
      <c r="M1087" s="210">
        <f t="shared" si="171"/>
        <v>0</v>
      </c>
      <c r="N1087" s="26">
        <v>45684</v>
      </c>
      <c r="O1087" s="26">
        <v>45684</v>
      </c>
      <c r="P1087" s="26">
        <v>45684</v>
      </c>
      <c r="Q1087" s="2">
        <f t="shared" si="163"/>
        <v>1</v>
      </c>
      <c r="S1087" s="7">
        <f t="shared" si="166"/>
        <v>1</v>
      </c>
      <c r="T1087" s="157">
        <f t="shared" si="167"/>
        <v>1</v>
      </c>
      <c r="V1087" s="191">
        <f t="shared" si="164"/>
        <v>1</v>
      </c>
      <c r="W1087" s="7">
        <f t="shared" si="165"/>
        <v>2025</v>
      </c>
    </row>
    <row r="1088" spans="2:23" ht="31.95" customHeight="1" thickBot="1" x14ac:dyDescent="0.35">
      <c r="B1088" s="26">
        <v>45685</v>
      </c>
      <c r="C1088" s="51">
        <f t="shared" si="168"/>
        <v>1084</v>
      </c>
      <c r="D1088" s="27" t="s">
        <v>1150</v>
      </c>
      <c r="E1088" s="26" t="s">
        <v>181</v>
      </c>
      <c r="F1088" s="28" t="s">
        <v>11</v>
      </c>
      <c r="G1088" s="28" t="s">
        <v>11</v>
      </c>
      <c r="H1088" s="254"/>
      <c r="I1088" s="49">
        <v>3</v>
      </c>
      <c r="J1088" s="49">
        <v>3</v>
      </c>
      <c r="K1088" s="52">
        <f t="shared" si="169"/>
        <v>1</v>
      </c>
      <c r="L1088" s="209">
        <f t="shared" si="170"/>
        <v>0</v>
      </c>
      <c r="M1088" s="210">
        <f t="shared" si="171"/>
        <v>0</v>
      </c>
      <c r="N1088" s="26">
        <v>45686</v>
      </c>
      <c r="O1088" s="26">
        <v>45686</v>
      </c>
      <c r="P1088" s="26">
        <v>45686</v>
      </c>
      <c r="Q1088" s="2">
        <f t="shared" si="163"/>
        <v>1</v>
      </c>
      <c r="S1088" s="7">
        <f t="shared" si="166"/>
        <v>1</v>
      </c>
      <c r="T1088" s="157">
        <f t="shared" si="167"/>
        <v>1</v>
      </c>
      <c r="V1088" s="191">
        <f t="shared" si="164"/>
        <v>1</v>
      </c>
      <c r="W1088" s="7">
        <f t="shared" si="165"/>
        <v>2025</v>
      </c>
    </row>
    <row r="1089" spans="2:23" ht="31.95" customHeight="1" thickBot="1" x14ac:dyDescent="0.35">
      <c r="B1089" s="26">
        <v>45685</v>
      </c>
      <c r="C1089" s="51">
        <f t="shared" si="168"/>
        <v>1085</v>
      </c>
      <c r="D1089" s="27" t="s">
        <v>401</v>
      </c>
      <c r="E1089" s="26" t="s">
        <v>1317</v>
      </c>
      <c r="F1089" s="28" t="s">
        <v>11</v>
      </c>
      <c r="G1089" s="28" t="s">
        <v>11</v>
      </c>
      <c r="H1089" s="254"/>
      <c r="I1089" s="49">
        <v>1</v>
      </c>
      <c r="J1089" s="49">
        <v>1</v>
      </c>
      <c r="K1089" s="52">
        <f t="shared" si="169"/>
        <v>1</v>
      </c>
      <c r="L1089" s="209">
        <f t="shared" si="170"/>
        <v>0</v>
      </c>
      <c r="M1089" s="210">
        <f t="shared" si="171"/>
        <v>0</v>
      </c>
      <c r="N1089" s="26">
        <v>45685</v>
      </c>
      <c r="O1089" s="26">
        <v>45685</v>
      </c>
      <c r="P1089" s="26">
        <v>45685</v>
      </c>
      <c r="Q1089" s="2">
        <f t="shared" si="163"/>
        <v>1</v>
      </c>
      <c r="S1089" s="7">
        <f t="shared" si="166"/>
        <v>1</v>
      </c>
      <c r="T1089" s="157">
        <f t="shared" si="167"/>
        <v>1</v>
      </c>
      <c r="V1089" s="191">
        <f t="shared" si="164"/>
        <v>1</v>
      </c>
      <c r="W1089" s="7">
        <f t="shared" si="165"/>
        <v>2025</v>
      </c>
    </row>
    <row r="1090" spans="2:23" ht="31.95" customHeight="1" thickBot="1" x14ac:dyDescent="0.35">
      <c r="B1090" s="26">
        <v>45685</v>
      </c>
      <c r="C1090" s="51">
        <f t="shared" si="168"/>
        <v>1086</v>
      </c>
      <c r="D1090" s="27" t="s">
        <v>858</v>
      </c>
      <c r="E1090" s="26" t="s">
        <v>11</v>
      </c>
      <c r="F1090" s="28" t="s">
        <v>11</v>
      </c>
      <c r="G1090" s="28" t="s">
        <v>11</v>
      </c>
      <c r="H1090" s="254"/>
      <c r="I1090" s="49">
        <v>2</v>
      </c>
      <c r="J1090" s="49">
        <v>2</v>
      </c>
      <c r="K1090" s="52">
        <f t="shared" si="169"/>
        <v>1</v>
      </c>
      <c r="L1090" s="209">
        <f t="shared" si="170"/>
        <v>0</v>
      </c>
      <c r="M1090" s="210">
        <f t="shared" si="171"/>
        <v>0</v>
      </c>
      <c r="N1090" s="26">
        <v>45685</v>
      </c>
      <c r="O1090" s="26">
        <v>45685</v>
      </c>
      <c r="P1090" s="26">
        <v>45685</v>
      </c>
      <c r="Q1090" s="2">
        <f t="shared" si="163"/>
        <v>1</v>
      </c>
      <c r="S1090" s="7">
        <f t="shared" si="166"/>
        <v>1</v>
      </c>
      <c r="T1090" s="157">
        <f t="shared" si="167"/>
        <v>1</v>
      </c>
      <c r="V1090" s="191">
        <f t="shared" si="164"/>
        <v>1</v>
      </c>
      <c r="W1090" s="7">
        <f t="shared" si="165"/>
        <v>2025</v>
      </c>
    </row>
    <row r="1091" spans="2:23" ht="31.95" customHeight="1" thickBot="1" x14ac:dyDescent="0.35">
      <c r="B1091" s="26">
        <v>45685</v>
      </c>
      <c r="C1091" s="51">
        <f t="shared" si="168"/>
        <v>1087</v>
      </c>
      <c r="D1091" s="27" t="s">
        <v>305</v>
      </c>
      <c r="E1091" s="26" t="s">
        <v>11</v>
      </c>
      <c r="F1091" s="28" t="s">
        <v>11</v>
      </c>
      <c r="G1091" s="28" t="s">
        <v>11</v>
      </c>
      <c r="H1091" s="254"/>
      <c r="I1091" s="49">
        <v>12</v>
      </c>
      <c r="J1091" s="49">
        <v>12</v>
      </c>
      <c r="K1091" s="52">
        <f t="shared" si="169"/>
        <v>1</v>
      </c>
      <c r="L1091" s="209">
        <f t="shared" si="170"/>
        <v>0</v>
      </c>
      <c r="M1091" s="210">
        <f t="shared" si="171"/>
        <v>0</v>
      </c>
      <c r="N1091" s="26">
        <v>45685</v>
      </c>
      <c r="O1091" s="26">
        <v>45685</v>
      </c>
      <c r="P1091" s="26">
        <v>45685</v>
      </c>
      <c r="Q1091" s="2">
        <f t="shared" si="163"/>
        <v>1</v>
      </c>
      <c r="S1091" s="7">
        <f t="shared" si="166"/>
        <v>1</v>
      </c>
      <c r="T1091" s="157">
        <f t="shared" si="167"/>
        <v>1</v>
      </c>
      <c r="V1091" s="191">
        <f t="shared" si="164"/>
        <v>1</v>
      </c>
      <c r="W1091" s="7">
        <f t="shared" si="165"/>
        <v>2025</v>
      </c>
    </row>
    <row r="1092" spans="2:23" ht="31.95" customHeight="1" thickBot="1" x14ac:dyDescent="0.35">
      <c r="B1092" s="26">
        <v>45687</v>
      </c>
      <c r="C1092" s="51">
        <f t="shared" si="168"/>
        <v>1088</v>
      </c>
      <c r="D1092" s="27" t="s">
        <v>858</v>
      </c>
      <c r="E1092" s="26" t="s">
        <v>11</v>
      </c>
      <c r="F1092" s="28" t="s">
        <v>11</v>
      </c>
      <c r="G1092" s="28" t="s">
        <v>11</v>
      </c>
      <c r="H1092" s="254"/>
      <c r="I1092" s="49">
        <v>3</v>
      </c>
      <c r="J1092" s="49">
        <v>3</v>
      </c>
      <c r="K1092" s="52">
        <f t="shared" si="169"/>
        <v>1</v>
      </c>
      <c r="L1092" s="209">
        <f t="shared" si="170"/>
        <v>0</v>
      </c>
      <c r="M1092" s="210">
        <f t="shared" si="171"/>
        <v>0</v>
      </c>
      <c r="N1092" s="26">
        <v>45687</v>
      </c>
      <c r="O1092" s="26">
        <v>45687</v>
      </c>
      <c r="P1092" s="26">
        <v>45687</v>
      </c>
      <c r="Q1092" s="2">
        <f t="shared" si="163"/>
        <v>1</v>
      </c>
      <c r="S1092" s="7">
        <f t="shared" si="166"/>
        <v>1</v>
      </c>
      <c r="T1092" s="157">
        <f t="shared" si="167"/>
        <v>1</v>
      </c>
      <c r="V1092" s="191">
        <f t="shared" si="164"/>
        <v>1</v>
      </c>
      <c r="W1092" s="7">
        <f t="shared" si="165"/>
        <v>2025</v>
      </c>
    </row>
    <row r="1093" spans="2:23" ht="31.95" customHeight="1" thickBot="1" x14ac:dyDescent="0.35">
      <c r="B1093" s="26">
        <v>45688</v>
      </c>
      <c r="C1093" s="51">
        <f t="shared" si="168"/>
        <v>1089</v>
      </c>
      <c r="D1093" s="27" t="s">
        <v>305</v>
      </c>
      <c r="E1093" s="26" t="s">
        <v>11</v>
      </c>
      <c r="F1093" s="28" t="s">
        <v>11</v>
      </c>
      <c r="G1093" s="28" t="s">
        <v>11</v>
      </c>
      <c r="H1093" s="254"/>
      <c r="I1093" s="49">
        <v>1</v>
      </c>
      <c r="J1093" s="49">
        <v>1</v>
      </c>
      <c r="K1093" s="52">
        <f t="shared" si="169"/>
        <v>1</v>
      </c>
      <c r="L1093" s="209">
        <f t="shared" si="170"/>
        <v>0</v>
      </c>
      <c r="M1093" s="210">
        <f t="shared" si="171"/>
        <v>0</v>
      </c>
      <c r="N1093" s="26">
        <v>45688</v>
      </c>
      <c r="O1093" s="26">
        <v>45688</v>
      </c>
      <c r="P1093" s="26">
        <v>45688</v>
      </c>
      <c r="Q1093" s="2">
        <f t="shared" ref="Q1093:Q1156" si="172">IF(B1093&lt;&gt;"",1,0)</f>
        <v>1</v>
      </c>
      <c r="S1093" s="7">
        <f t="shared" si="166"/>
        <v>1</v>
      </c>
      <c r="T1093" s="157">
        <f t="shared" si="167"/>
        <v>1</v>
      </c>
      <c r="V1093" s="191">
        <f t="shared" ref="V1093:V1156" si="173">MONTH(B1093)</f>
        <v>1</v>
      </c>
      <c r="W1093" s="7">
        <f t="shared" ref="W1093:W1156" si="174">YEAR(B1093)</f>
        <v>2025</v>
      </c>
    </row>
    <row r="1094" spans="2:23" ht="31.95" customHeight="1" thickBot="1" x14ac:dyDescent="0.35">
      <c r="B1094" s="26">
        <v>45707</v>
      </c>
      <c r="C1094" s="51">
        <f t="shared" si="168"/>
        <v>1090</v>
      </c>
      <c r="D1094" s="27" t="s">
        <v>773</v>
      </c>
      <c r="E1094" s="26" t="s">
        <v>182</v>
      </c>
      <c r="F1094" s="28" t="s">
        <v>11</v>
      </c>
      <c r="G1094" s="28" t="s">
        <v>11</v>
      </c>
      <c r="H1094" s="254"/>
      <c r="I1094" s="49">
        <v>1</v>
      </c>
      <c r="J1094" s="49">
        <v>1</v>
      </c>
      <c r="K1094" s="52">
        <f t="shared" si="169"/>
        <v>1</v>
      </c>
      <c r="L1094" s="209">
        <f t="shared" si="170"/>
        <v>0</v>
      </c>
      <c r="M1094" s="210">
        <f t="shared" si="171"/>
        <v>0</v>
      </c>
      <c r="N1094" s="26">
        <v>45720</v>
      </c>
      <c r="O1094" s="26">
        <v>45720</v>
      </c>
      <c r="P1094" s="26">
        <v>45720</v>
      </c>
      <c r="Q1094" s="2">
        <f t="shared" si="172"/>
        <v>1</v>
      </c>
      <c r="S1094" s="7">
        <f t="shared" ref="S1094:S1157" si="175">IF(AND(O1094&lt;=N1094,O1094&lt;&gt;""),1,0)</f>
        <v>1</v>
      </c>
      <c r="T1094" s="157">
        <f t="shared" ref="T1094:T1157" si="176">IF(AND(P1094&lt;=N1094,P1094&lt;&gt;""),1,0)</f>
        <v>1</v>
      </c>
      <c r="V1094" s="191">
        <f t="shared" si="173"/>
        <v>2</v>
      </c>
      <c r="W1094" s="7">
        <f t="shared" si="174"/>
        <v>2025</v>
      </c>
    </row>
    <row r="1095" spans="2:23" ht="31.95" customHeight="1" thickBot="1" x14ac:dyDescent="0.35">
      <c r="B1095" s="26">
        <v>45712</v>
      </c>
      <c r="C1095" s="51">
        <f t="shared" ref="C1095:C1158" si="177">IF(B1095&lt;&gt;"",C1094+1,"")</f>
        <v>1091</v>
      </c>
      <c r="D1095" s="27" t="s">
        <v>602</v>
      </c>
      <c r="E1095" s="26" t="s">
        <v>1318</v>
      </c>
      <c r="F1095" s="28" t="s">
        <v>11</v>
      </c>
      <c r="G1095" s="28" t="s">
        <v>11</v>
      </c>
      <c r="H1095" s="254"/>
      <c r="I1095" s="49">
        <v>3</v>
      </c>
      <c r="J1095" s="49">
        <v>3</v>
      </c>
      <c r="K1095" s="52">
        <f t="shared" si="169"/>
        <v>1</v>
      </c>
      <c r="L1095" s="209">
        <f t="shared" si="170"/>
        <v>0</v>
      </c>
      <c r="M1095" s="210">
        <f t="shared" si="171"/>
        <v>0</v>
      </c>
      <c r="N1095" s="26">
        <v>45713</v>
      </c>
      <c r="O1095" s="26">
        <v>45713</v>
      </c>
      <c r="P1095" s="26">
        <v>45713</v>
      </c>
      <c r="Q1095" s="2">
        <f t="shared" si="172"/>
        <v>1</v>
      </c>
      <c r="S1095" s="7">
        <f t="shared" si="175"/>
        <v>1</v>
      </c>
      <c r="T1095" s="157">
        <f t="shared" si="176"/>
        <v>1</v>
      </c>
      <c r="V1095" s="191">
        <f t="shared" si="173"/>
        <v>2</v>
      </c>
      <c r="W1095" s="7">
        <f t="shared" si="174"/>
        <v>2025</v>
      </c>
    </row>
    <row r="1096" spans="2:23" ht="31.95" customHeight="1" thickBot="1" x14ac:dyDescent="0.35">
      <c r="B1096" s="26">
        <v>45712</v>
      </c>
      <c r="C1096" s="51">
        <f t="shared" si="177"/>
        <v>1092</v>
      </c>
      <c r="D1096" s="27" t="s">
        <v>1150</v>
      </c>
      <c r="E1096" s="26" t="s">
        <v>1318</v>
      </c>
      <c r="F1096" s="28" t="s">
        <v>11</v>
      </c>
      <c r="G1096" s="28" t="s">
        <v>11</v>
      </c>
      <c r="H1096" s="254"/>
      <c r="I1096" s="49">
        <v>1</v>
      </c>
      <c r="J1096" s="49">
        <v>1</v>
      </c>
      <c r="K1096" s="52">
        <f t="shared" si="169"/>
        <v>1</v>
      </c>
      <c r="L1096" s="209">
        <f t="shared" si="170"/>
        <v>0</v>
      </c>
      <c r="M1096" s="210">
        <f t="shared" si="171"/>
        <v>0</v>
      </c>
      <c r="N1096" s="26">
        <v>45713</v>
      </c>
      <c r="O1096" s="26">
        <v>45713</v>
      </c>
      <c r="P1096" s="26">
        <v>45713</v>
      </c>
      <c r="Q1096" s="2">
        <f t="shared" si="172"/>
        <v>1</v>
      </c>
      <c r="S1096" s="7">
        <f t="shared" si="175"/>
        <v>1</v>
      </c>
      <c r="T1096" s="157">
        <f t="shared" si="176"/>
        <v>1</v>
      </c>
      <c r="V1096" s="191">
        <f t="shared" si="173"/>
        <v>2</v>
      </c>
      <c r="W1096" s="7">
        <f t="shared" si="174"/>
        <v>2025</v>
      </c>
    </row>
    <row r="1097" spans="2:23" ht="31.95" customHeight="1" thickBot="1" x14ac:dyDescent="0.35">
      <c r="B1097" s="26">
        <v>45713</v>
      </c>
      <c r="C1097" s="51">
        <f t="shared" si="177"/>
        <v>1093</v>
      </c>
      <c r="D1097" s="27" t="s">
        <v>1150</v>
      </c>
      <c r="E1097" s="26" t="s">
        <v>1318</v>
      </c>
      <c r="F1097" s="28" t="s">
        <v>11</v>
      </c>
      <c r="G1097" s="28" t="s">
        <v>11</v>
      </c>
      <c r="H1097" s="254"/>
      <c r="I1097" s="49">
        <v>1</v>
      </c>
      <c r="J1097" s="49">
        <v>1</v>
      </c>
      <c r="K1097" s="52">
        <f t="shared" si="169"/>
        <v>1</v>
      </c>
      <c r="L1097" s="209">
        <f t="shared" si="170"/>
        <v>0</v>
      </c>
      <c r="M1097" s="210">
        <f t="shared" si="171"/>
        <v>0</v>
      </c>
      <c r="N1097" s="26">
        <v>45714</v>
      </c>
      <c r="O1097" s="26">
        <v>45714</v>
      </c>
      <c r="P1097" s="26">
        <v>45714</v>
      </c>
      <c r="Q1097" s="2">
        <f t="shared" si="172"/>
        <v>1</v>
      </c>
      <c r="S1097" s="7">
        <f t="shared" si="175"/>
        <v>1</v>
      </c>
      <c r="T1097" s="157">
        <f t="shared" si="176"/>
        <v>1</v>
      </c>
      <c r="V1097" s="191">
        <f t="shared" si="173"/>
        <v>2</v>
      </c>
      <c r="W1097" s="7">
        <f t="shared" si="174"/>
        <v>2025</v>
      </c>
    </row>
    <row r="1098" spans="2:23" ht="31.95" customHeight="1" thickBot="1" x14ac:dyDescent="0.35">
      <c r="B1098" s="26">
        <v>45714</v>
      </c>
      <c r="C1098" s="51">
        <f t="shared" si="177"/>
        <v>1094</v>
      </c>
      <c r="D1098" s="27" t="s">
        <v>305</v>
      </c>
      <c r="E1098" s="26" t="s">
        <v>11</v>
      </c>
      <c r="F1098" s="28" t="s">
        <v>11</v>
      </c>
      <c r="G1098" s="28" t="s">
        <v>11</v>
      </c>
      <c r="H1098" s="254"/>
      <c r="I1098" s="49">
        <v>3</v>
      </c>
      <c r="J1098" s="49">
        <v>3</v>
      </c>
      <c r="K1098" s="52">
        <f t="shared" si="169"/>
        <v>1</v>
      </c>
      <c r="L1098" s="209">
        <f t="shared" si="170"/>
        <v>0</v>
      </c>
      <c r="M1098" s="210">
        <f t="shared" si="171"/>
        <v>0</v>
      </c>
      <c r="N1098" s="26">
        <v>45714</v>
      </c>
      <c r="O1098" s="26">
        <v>45714</v>
      </c>
      <c r="P1098" s="26">
        <v>45714</v>
      </c>
      <c r="Q1098" s="2">
        <f t="shared" si="172"/>
        <v>1</v>
      </c>
      <c r="S1098" s="7">
        <f t="shared" si="175"/>
        <v>1</v>
      </c>
      <c r="T1098" s="157">
        <f t="shared" si="176"/>
        <v>1</v>
      </c>
      <c r="V1098" s="191">
        <f t="shared" si="173"/>
        <v>2</v>
      </c>
      <c r="W1098" s="7">
        <f t="shared" si="174"/>
        <v>2025</v>
      </c>
    </row>
    <row r="1099" spans="2:23" ht="31.95" customHeight="1" thickBot="1" x14ac:dyDescent="0.35">
      <c r="B1099" s="26">
        <v>45714</v>
      </c>
      <c r="C1099" s="51">
        <f t="shared" si="177"/>
        <v>1095</v>
      </c>
      <c r="D1099" s="27" t="s">
        <v>858</v>
      </c>
      <c r="E1099" s="26" t="s">
        <v>11</v>
      </c>
      <c r="F1099" s="28" t="s">
        <v>11</v>
      </c>
      <c r="G1099" s="28" t="s">
        <v>11</v>
      </c>
      <c r="H1099" s="254"/>
      <c r="I1099" s="49">
        <v>1</v>
      </c>
      <c r="J1099" s="49">
        <v>1</v>
      </c>
      <c r="K1099" s="52">
        <f t="shared" si="169"/>
        <v>1</v>
      </c>
      <c r="L1099" s="209">
        <f t="shared" si="170"/>
        <v>0</v>
      </c>
      <c r="M1099" s="210">
        <f t="shared" si="171"/>
        <v>0</v>
      </c>
      <c r="N1099" s="26">
        <v>45714</v>
      </c>
      <c r="O1099" s="26">
        <v>45714</v>
      </c>
      <c r="P1099" s="26">
        <v>45714</v>
      </c>
      <c r="Q1099" s="2">
        <f t="shared" si="172"/>
        <v>1</v>
      </c>
      <c r="S1099" s="7">
        <f t="shared" si="175"/>
        <v>1</v>
      </c>
      <c r="T1099" s="157">
        <f t="shared" si="176"/>
        <v>1</v>
      </c>
      <c r="V1099" s="191">
        <f t="shared" si="173"/>
        <v>2</v>
      </c>
      <c r="W1099" s="7">
        <f t="shared" si="174"/>
        <v>2025</v>
      </c>
    </row>
    <row r="1100" spans="2:23" ht="31.95" customHeight="1" thickBot="1" x14ac:dyDescent="0.35">
      <c r="B1100" s="26">
        <v>45714</v>
      </c>
      <c r="C1100" s="51">
        <f t="shared" si="177"/>
        <v>1096</v>
      </c>
      <c r="D1100" s="27" t="s">
        <v>269</v>
      </c>
      <c r="E1100" s="26" t="s">
        <v>1318</v>
      </c>
      <c r="F1100" s="28" t="s">
        <v>11</v>
      </c>
      <c r="G1100" s="28" t="s">
        <v>11</v>
      </c>
      <c r="H1100" s="254"/>
      <c r="I1100" s="49">
        <v>2</v>
      </c>
      <c r="J1100" s="49">
        <v>2</v>
      </c>
      <c r="K1100" s="52">
        <f t="shared" si="169"/>
        <v>1</v>
      </c>
      <c r="L1100" s="209">
        <f t="shared" si="170"/>
        <v>0</v>
      </c>
      <c r="M1100" s="210">
        <f t="shared" si="171"/>
        <v>0</v>
      </c>
      <c r="N1100" s="26">
        <v>45715</v>
      </c>
      <c r="O1100" s="26">
        <v>45715</v>
      </c>
      <c r="P1100" s="26">
        <v>45715</v>
      </c>
      <c r="Q1100" s="2">
        <f t="shared" si="172"/>
        <v>1</v>
      </c>
      <c r="S1100" s="7">
        <f t="shared" si="175"/>
        <v>1</v>
      </c>
      <c r="T1100" s="157">
        <f t="shared" si="176"/>
        <v>1</v>
      </c>
      <c r="V1100" s="191">
        <f t="shared" si="173"/>
        <v>2</v>
      </c>
      <c r="W1100" s="7">
        <f t="shared" si="174"/>
        <v>2025</v>
      </c>
    </row>
    <row r="1101" spans="2:23" ht="31.95" customHeight="1" thickBot="1" x14ac:dyDescent="0.35">
      <c r="B1101" s="26">
        <v>45715</v>
      </c>
      <c r="C1101" s="51">
        <f t="shared" si="177"/>
        <v>1097</v>
      </c>
      <c r="D1101" s="27" t="s">
        <v>890</v>
      </c>
      <c r="E1101" s="26" t="s">
        <v>1318</v>
      </c>
      <c r="F1101" s="28" t="s">
        <v>11</v>
      </c>
      <c r="G1101" s="28" t="s">
        <v>11</v>
      </c>
      <c r="H1101" s="254"/>
      <c r="I1101" s="49">
        <v>2</v>
      </c>
      <c r="J1101" s="49">
        <v>2</v>
      </c>
      <c r="K1101" s="52">
        <f t="shared" si="169"/>
        <v>1</v>
      </c>
      <c r="L1101" s="209">
        <f t="shared" si="170"/>
        <v>0</v>
      </c>
      <c r="M1101" s="210">
        <f t="shared" si="171"/>
        <v>0</v>
      </c>
      <c r="N1101" s="26">
        <v>45743</v>
      </c>
      <c r="O1101" s="26">
        <v>45743</v>
      </c>
      <c r="P1101" s="26">
        <v>45743</v>
      </c>
      <c r="Q1101" s="2">
        <f t="shared" si="172"/>
        <v>1</v>
      </c>
      <c r="S1101" s="7">
        <f t="shared" si="175"/>
        <v>1</v>
      </c>
      <c r="T1101" s="157">
        <f t="shared" si="176"/>
        <v>1</v>
      </c>
      <c r="V1101" s="191">
        <f t="shared" si="173"/>
        <v>2</v>
      </c>
      <c r="W1101" s="7">
        <f t="shared" si="174"/>
        <v>2025</v>
      </c>
    </row>
    <row r="1102" spans="2:23" ht="31.95" customHeight="1" thickBot="1" x14ac:dyDescent="0.35">
      <c r="B1102" s="26">
        <v>45715</v>
      </c>
      <c r="C1102" s="51">
        <f t="shared" si="177"/>
        <v>1098</v>
      </c>
      <c r="D1102" s="27" t="s">
        <v>457</v>
      </c>
      <c r="E1102" s="26" t="s">
        <v>1318</v>
      </c>
      <c r="F1102" s="28" t="s">
        <v>11</v>
      </c>
      <c r="G1102" s="28" t="s">
        <v>11</v>
      </c>
      <c r="H1102" s="254"/>
      <c r="I1102" s="49">
        <v>1</v>
      </c>
      <c r="J1102" s="49">
        <v>1</v>
      </c>
      <c r="K1102" s="52">
        <f t="shared" si="169"/>
        <v>1</v>
      </c>
      <c r="L1102" s="209">
        <f t="shared" si="170"/>
        <v>0</v>
      </c>
      <c r="M1102" s="210">
        <f t="shared" si="171"/>
        <v>0</v>
      </c>
      <c r="N1102" s="26">
        <v>45750</v>
      </c>
      <c r="O1102" s="26">
        <v>45750</v>
      </c>
      <c r="P1102" s="26">
        <v>45750</v>
      </c>
      <c r="Q1102" s="2">
        <f t="shared" si="172"/>
        <v>1</v>
      </c>
      <c r="S1102" s="7">
        <f t="shared" si="175"/>
        <v>1</v>
      </c>
      <c r="T1102" s="157">
        <f t="shared" si="176"/>
        <v>1</v>
      </c>
      <c r="V1102" s="191">
        <f t="shared" si="173"/>
        <v>2</v>
      </c>
      <c r="W1102" s="7">
        <f t="shared" si="174"/>
        <v>2025</v>
      </c>
    </row>
    <row r="1103" spans="2:23" ht="31.95" customHeight="1" thickBot="1" x14ac:dyDescent="0.35">
      <c r="B1103" s="26">
        <v>45719</v>
      </c>
      <c r="C1103" s="51">
        <f t="shared" si="177"/>
        <v>1099</v>
      </c>
      <c r="D1103" s="27" t="s">
        <v>321</v>
      </c>
      <c r="E1103" s="26" t="s">
        <v>182</v>
      </c>
      <c r="F1103" s="28" t="s">
        <v>11</v>
      </c>
      <c r="G1103" s="28" t="s">
        <v>11</v>
      </c>
      <c r="H1103" s="254"/>
      <c r="I1103" s="49">
        <v>6</v>
      </c>
      <c r="J1103" s="49">
        <v>6</v>
      </c>
      <c r="K1103" s="52">
        <f t="shared" si="169"/>
        <v>1</v>
      </c>
      <c r="L1103" s="209">
        <f t="shared" si="170"/>
        <v>0</v>
      </c>
      <c r="M1103" s="210">
        <f t="shared" si="171"/>
        <v>0</v>
      </c>
      <c r="N1103" s="26">
        <v>45722</v>
      </c>
      <c r="O1103" s="26">
        <v>45722</v>
      </c>
      <c r="P1103" s="26">
        <v>45722</v>
      </c>
      <c r="Q1103" s="2">
        <f t="shared" si="172"/>
        <v>1</v>
      </c>
      <c r="S1103" s="7">
        <f t="shared" si="175"/>
        <v>1</v>
      </c>
      <c r="T1103" s="157">
        <f t="shared" si="176"/>
        <v>1</v>
      </c>
      <c r="V1103" s="191">
        <f t="shared" si="173"/>
        <v>3</v>
      </c>
      <c r="W1103" s="7">
        <f t="shared" si="174"/>
        <v>2025</v>
      </c>
    </row>
    <row r="1104" spans="2:23" ht="31.95" customHeight="1" thickBot="1" x14ac:dyDescent="0.35">
      <c r="B1104" s="26">
        <v>45722</v>
      </c>
      <c r="C1104" s="51">
        <f t="shared" si="177"/>
        <v>1100</v>
      </c>
      <c r="D1104" s="27" t="s">
        <v>1193</v>
      </c>
      <c r="E1104" s="26" t="s">
        <v>1318</v>
      </c>
      <c r="F1104" s="28" t="s">
        <v>11</v>
      </c>
      <c r="G1104" s="28" t="s">
        <v>11</v>
      </c>
      <c r="H1104" s="254"/>
      <c r="I1104" s="49">
        <v>1</v>
      </c>
      <c r="J1104" s="49">
        <v>1</v>
      </c>
      <c r="K1104" s="52">
        <f t="shared" si="169"/>
        <v>1</v>
      </c>
      <c r="L1104" s="209">
        <f t="shared" si="170"/>
        <v>0</v>
      </c>
      <c r="M1104" s="210">
        <f t="shared" si="171"/>
        <v>0</v>
      </c>
      <c r="N1104" s="26">
        <v>45723</v>
      </c>
      <c r="O1104" s="26">
        <v>45723</v>
      </c>
      <c r="P1104" s="26">
        <v>45723</v>
      </c>
      <c r="Q1104" s="2">
        <f t="shared" si="172"/>
        <v>1</v>
      </c>
      <c r="S1104" s="7">
        <f t="shared" si="175"/>
        <v>1</v>
      </c>
      <c r="T1104" s="157">
        <f t="shared" si="176"/>
        <v>1</v>
      </c>
      <c r="V1104" s="191">
        <f t="shared" si="173"/>
        <v>3</v>
      </c>
      <c r="W1104" s="7">
        <f t="shared" si="174"/>
        <v>2025</v>
      </c>
    </row>
    <row r="1105" spans="2:23" ht="31.95" customHeight="1" thickBot="1" x14ac:dyDescent="0.35">
      <c r="B1105" s="26">
        <v>45723</v>
      </c>
      <c r="C1105" s="51">
        <f t="shared" si="177"/>
        <v>1101</v>
      </c>
      <c r="D1105" s="27" t="s">
        <v>321</v>
      </c>
      <c r="E1105" s="26" t="s">
        <v>1318</v>
      </c>
      <c r="F1105" s="28" t="s">
        <v>11</v>
      </c>
      <c r="G1105" s="28" t="s">
        <v>11</v>
      </c>
      <c r="H1105" s="254"/>
      <c r="I1105" s="49">
        <v>6</v>
      </c>
      <c r="J1105" s="49">
        <v>6</v>
      </c>
      <c r="K1105" s="52">
        <f t="shared" si="169"/>
        <v>1</v>
      </c>
      <c r="L1105" s="209">
        <f t="shared" si="170"/>
        <v>0</v>
      </c>
      <c r="M1105" s="210">
        <f t="shared" si="171"/>
        <v>0</v>
      </c>
      <c r="N1105" s="26">
        <v>45726</v>
      </c>
      <c r="O1105" s="26">
        <v>45726</v>
      </c>
      <c r="P1105" s="26">
        <v>45726</v>
      </c>
      <c r="Q1105" s="2">
        <f t="shared" si="172"/>
        <v>1</v>
      </c>
      <c r="S1105" s="7">
        <f t="shared" si="175"/>
        <v>1</v>
      </c>
      <c r="T1105" s="157">
        <f t="shared" si="176"/>
        <v>1</v>
      </c>
      <c r="V1105" s="191">
        <f t="shared" si="173"/>
        <v>3</v>
      </c>
      <c r="W1105" s="7">
        <f t="shared" si="174"/>
        <v>2025</v>
      </c>
    </row>
    <row r="1106" spans="2:23" ht="31.95" customHeight="1" thickBot="1" x14ac:dyDescent="0.35">
      <c r="B1106" s="26">
        <v>45723</v>
      </c>
      <c r="C1106" s="51">
        <f t="shared" si="177"/>
        <v>1102</v>
      </c>
      <c r="D1106" s="27" t="s">
        <v>965</v>
      </c>
      <c r="E1106" s="26" t="s">
        <v>1318</v>
      </c>
      <c r="F1106" s="28" t="s">
        <v>11</v>
      </c>
      <c r="G1106" s="28" t="s">
        <v>11</v>
      </c>
      <c r="H1106" s="254"/>
      <c r="I1106" s="49">
        <v>2</v>
      </c>
      <c r="J1106" s="49">
        <v>2</v>
      </c>
      <c r="K1106" s="52">
        <f t="shared" si="169"/>
        <v>1</v>
      </c>
      <c r="L1106" s="209">
        <f t="shared" si="170"/>
        <v>0</v>
      </c>
      <c r="M1106" s="210">
        <f t="shared" si="171"/>
        <v>0</v>
      </c>
      <c r="N1106" s="26">
        <v>45726</v>
      </c>
      <c r="O1106" s="26">
        <v>45726</v>
      </c>
      <c r="P1106" s="26">
        <v>45726</v>
      </c>
      <c r="Q1106" s="2">
        <f t="shared" si="172"/>
        <v>1</v>
      </c>
      <c r="S1106" s="7">
        <f t="shared" si="175"/>
        <v>1</v>
      </c>
      <c r="T1106" s="157">
        <f t="shared" si="176"/>
        <v>1</v>
      </c>
      <c r="V1106" s="191">
        <f t="shared" si="173"/>
        <v>3</v>
      </c>
      <c r="W1106" s="7">
        <f t="shared" si="174"/>
        <v>2025</v>
      </c>
    </row>
    <row r="1107" spans="2:23" ht="31.95" customHeight="1" thickBot="1" x14ac:dyDescent="0.35">
      <c r="B1107" s="26">
        <v>45727</v>
      </c>
      <c r="C1107" s="51">
        <f t="shared" si="177"/>
        <v>1103</v>
      </c>
      <c r="D1107" s="27" t="s">
        <v>423</v>
      </c>
      <c r="E1107" s="26" t="s">
        <v>182</v>
      </c>
      <c r="F1107" s="28" t="s">
        <v>11</v>
      </c>
      <c r="G1107" s="28" t="s">
        <v>11</v>
      </c>
      <c r="H1107" s="254"/>
      <c r="I1107" s="49">
        <v>1</v>
      </c>
      <c r="J1107" s="49">
        <v>1</v>
      </c>
      <c r="K1107" s="52">
        <f t="shared" si="169"/>
        <v>1</v>
      </c>
      <c r="L1107" s="209">
        <f t="shared" si="170"/>
        <v>0</v>
      </c>
      <c r="M1107" s="210">
        <f t="shared" si="171"/>
        <v>0</v>
      </c>
      <c r="N1107" s="26">
        <v>45728</v>
      </c>
      <c r="O1107" s="26">
        <v>45728</v>
      </c>
      <c r="P1107" s="26">
        <v>45728</v>
      </c>
      <c r="Q1107" s="2">
        <f t="shared" si="172"/>
        <v>1</v>
      </c>
      <c r="S1107" s="7">
        <f t="shared" si="175"/>
        <v>1</v>
      </c>
      <c r="T1107" s="157">
        <f t="shared" si="176"/>
        <v>1</v>
      </c>
      <c r="V1107" s="191">
        <f t="shared" si="173"/>
        <v>3</v>
      </c>
      <c r="W1107" s="7">
        <f t="shared" si="174"/>
        <v>2025</v>
      </c>
    </row>
    <row r="1108" spans="2:23" ht="31.95" customHeight="1" thickBot="1" x14ac:dyDescent="0.35">
      <c r="B1108" s="26">
        <v>45727</v>
      </c>
      <c r="C1108" s="51">
        <f t="shared" si="177"/>
        <v>1104</v>
      </c>
      <c r="D1108" s="27" t="s">
        <v>305</v>
      </c>
      <c r="E1108" s="26" t="s">
        <v>11</v>
      </c>
      <c r="F1108" s="28" t="s">
        <v>11</v>
      </c>
      <c r="G1108" s="28" t="s">
        <v>11</v>
      </c>
      <c r="H1108" s="254"/>
      <c r="I1108" s="49">
        <v>1</v>
      </c>
      <c r="J1108" s="49">
        <v>1</v>
      </c>
      <c r="K1108" s="52">
        <f t="shared" si="169"/>
        <v>1</v>
      </c>
      <c r="L1108" s="209">
        <f t="shared" si="170"/>
        <v>0</v>
      </c>
      <c r="M1108" s="210">
        <f t="shared" si="171"/>
        <v>0</v>
      </c>
      <c r="N1108" s="26">
        <v>45728</v>
      </c>
      <c r="O1108" s="26">
        <v>45728</v>
      </c>
      <c r="P1108" s="26">
        <v>45728</v>
      </c>
      <c r="Q1108" s="2">
        <f t="shared" si="172"/>
        <v>1</v>
      </c>
      <c r="S1108" s="7">
        <f t="shared" si="175"/>
        <v>1</v>
      </c>
      <c r="T1108" s="157">
        <f t="shared" si="176"/>
        <v>1</v>
      </c>
      <c r="V1108" s="191">
        <f t="shared" si="173"/>
        <v>3</v>
      </c>
      <c r="W1108" s="7">
        <f t="shared" si="174"/>
        <v>2025</v>
      </c>
    </row>
    <row r="1109" spans="2:23" ht="31.95" customHeight="1" thickBot="1" x14ac:dyDescent="0.35">
      <c r="B1109" s="26">
        <v>45728</v>
      </c>
      <c r="C1109" s="51">
        <f t="shared" si="177"/>
        <v>1105</v>
      </c>
      <c r="D1109" s="27" t="s">
        <v>269</v>
      </c>
      <c r="E1109" s="26" t="s">
        <v>186</v>
      </c>
      <c r="F1109" s="28" t="s">
        <v>11</v>
      </c>
      <c r="G1109" s="28" t="s">
        <v>11</v>
      </c>
      <c r="H1109" s="254"/>
      <c r="I1109" s="49">
        <v>1</v>
      </c>
      <c r="J1109" s="49">
        <v>1</v>
      </c>
      <c r="K1109" s="52">
        <f t="shared" si="169"/>
        <v>1</v>
      </c>
      <c r="L1109" s="209">
        <f t="shared" si="170"/>
        <v>0</v>
      </c>
      <c r="M1109" s="210">
        <f t="shared" si="171"/>
        <v>0</v>
      </c>
      <c r="N1109" s="26">
        <v>45729</v>
      </c>
      <c r="O1109" s="26">
        <v>45729</v>
      </c>
      <c r="P1109" s="26">
        <v>45729</v>
      </c>
      <c r="Q1109" s="2">
        <f t="shared" si="172"/>
        <v>1</v>
      </c>
      <c r="S1109" s="7">
        <f t="shared" si="175"/>
        <v>1</v>
      </c>
      <c r="T1109" s="157">
        <f t="shared" si="176"/>
        <v>1</v>
      </c>
      <c r="V1109" s="191">
        <f t="shared" si="173"/>
        <v>3</v>
      </c>
      <c r="W1109" s="7">
        <f t="shared" si="174"/>
        <v>2025</v>
      </c>
    </row>
    <row r="1110" spans="2:23" ht="31.95" customHeight="1" thickBot="1" x14ac:dyDescent="0.35">
      <c r="B1110" s="26">
        <v>45729</v>
      </c>
      <c r="C1110" s="51">
        <f t="shared" si="177"/>
        <v>1106</v>
      </c>
      <c r="D1110" s="27" t="s">
        <v>890</v>
      </c>
      <c r="E1110" s="26" t="s">
        <v>1319</v>
      </c>
      <c r="F1110" s="28" t="s">
        <v>11</v>
      </c>
      <c r="G1110" s="28" t="s">
        <v>11</v>
      </c>
      <c r="H1110" s="254"/>
      <c r="I1110" s="49">
        <v>11</v>
      </c>
      <c r="J1110" s="49">
        <v>11</v>
      </c>
      <c r="K1110" s="52">
        <f t="shared" si="169"/>
        <v>1</v>
      </c>
      <c r="L1110" s="209">
        <f t="shared" si="170"/>
        <v>0</v>
      </c>
      <c r="M1110" s="210">
        <f t="shared" si="171"/>
        <v>0</v>
      </c>
      <c r="N1110" s="26">
        <v>45730</v>
      </c>
      <c r="O1110" s="26">
        <v>45730</v>
      </c>
      <c r="P1110" s="26">
        <v>45730</v>
      </c>
      <c r="Q1110" s="2">
        <f t="shared" si="172"/>
        <v>1</v>
      </c>
      <c r="S1110" s="7">
        <f t="shared" si="175"/>
        <v>1</v>
      </c>
      <c r="T1110" s="157">
        <f t="shared" si="176"/>
        <v>1</v>
      </c>
      <c r="V1110" s="191">
        <f t="shared" si="173"/>
        <v>3</v>
      </c>
      <c r="W1110" s="7">
        <f t="shared" si="174"/>
        <v>2025</v>
      </c>
    </row>
    <row r="1111" spans="2:23" ht="31.95" customHeight="1" thickBot="1" x14ac:dyDescent="0.35">
      <c r="B1111" s="26">
        <v>45729</v>
      </c>
      <c r="C1111" s="51">
        <f t="shared" si="177"/>
        <v>1107</v>
      </c>
      <c r="D1111" s="27" t="s">
        <v>858</v>
      </c>
      <c r="E1111" s="26" t="s">
        <v>1319</v>
      </c>
      <c r="F1111" s="28" t="s">
        <v>11</v>
      </c>
      <c r="G1111" s="28" t="s">
        <v>11</v>
      </c>
      <c r="H1111" s="254"/>
      <c r="I1111" s="49">
        <v>3</v>
      </c>
      <c r="J1111" s="49">
        <v>3</v>
      </c>
      <c r="K1111" s="52">
        <f t="shared" si="169"/>
        <v>1</v>
      </c>
      <c r="L1111" s="209">
        <f t="shared" si="170"/>
        <v>0</v>
      </c>
      <c r="M1111" s="210">
        <f t="shared" si="171"/>
        <v>0</v>
      </c>
      <c r="N1111" s="26">
        <v>45730</v>
      </c>
      <c r="O1111" s="26">
        <v>45730</v>
      </c>
      <c r="P1111" s="26">
        <v>45730</v>
      </c>
      <c r="Q1111" s="2">
        <f t="shared" si="172"/>
        <v>1</v>
      </c>
      <c r="S1111" s="7">
        <f t="shared" si="175"/>
        <v>1</v>
      </c>
      <c r="T1111" s="157">
        <f t="shared" si="176"/>
        <v>1</v>
      </c>
      <c r="V1111" s="191">
        <f t="shared" si="173"/>
        <v>3</v>
      </c>
      <c r="W1111" s="7">
        <f t="shared" si="174"/>
        <v>2025</v>
      </c>
    </row>
    <row r="1112" spans="2:23" ht="31.95" customHeight="1" thickBot="1" x14ac:dyDescent="0.35">
      <c r="B1112" s="26">
        <v>45729</v>
      </c>
      <c r="C1112" s="51">
        <f t="shared" si="177"/>
        <v>1108</v>
      </c>
      <c r="D1112" s="27" t="s">
        <v>705</v>
      </c>
      <c r="E1112" s="26" t="s">
        <v>1319</v>
      </c>
      <c r="F1112" s="28" t="s">
        <v>11</v>
      </c>
      <c r="G1112" s="28" t="s">
        <v>11</v>
      </c>
      <c r="H1112" s="254"/>
      <c r="I1112" s="49">
        <v>1</v>
      </c>
      <c r="J1112" s="49">
        <v>1</v>
      </c>
      <c r="K1112" s="52">
        <f t="shared" si="169"/>
        <v>1</v>
      </c>
      <c r="L1112" s="209">
        <f t="shared" si="170"/>
        <v>0</v>
      </c>
      <c r="M1112" s="210">
        <f t="shared" si="171"/>
        <v>0</v>
      </c>
      <c r="N1112" s="26">
        <v>45730</v>
      </c>
      <c r="O1112" s="26">
        <v>45730</v>
      </c>
      <c r="P1112" s="26">
        <v>45730</v>
      </c>
      <c r="Q1112" s="2">
        <f t="shared" si="172"/>
        <v>1</v>
      </c>
      <c r="S1112" s="7">
        <f t="shared" si="175"/>
        <v>1</v>
      </c>
      <c r="T1112" s="157">
        <f t="shared" si="176"/>
        <v>1</v>
      </c>
      <c r="V1112" s="191">
        <f t="shared" si="173"/>
        <v>3</v>
      </c>
      <c r="W1112" s="7">
        <f t="shared" si="174"/>
        <v>2025</v>
      </c>
    </row>
    <row r="1113" spans="2:23" ht="31.95" customHeight="1" thickBot="1" x14ac:dyDescent="0.35">
      <c r="B1113" s="26">
        <v>45733</v>
      </c>
      <c r="C1113" s="51">
        <f t="shared" si="177"/>
        <v>1109</v>
      </c>
      <c r="D1113" s="27" t="s">
        <v>807</v>
      </c>
      <c r="E1113" s="26" t="s">
        <v>188</v>
      </c>
      <c r="F1113" s="28" t="s">
        <v>11</v>
      </c>
      <c r="G1113" s="28" t="s">
        <v>11</v>
      </c>
      <c r="H1113" s="254"/>
      <c r="I1113" s="49">
        <v>4</v>
      </c>
      <c r="J1113" s="49">
        <v>4</v>
      </c>
      <c r="K1113" s="52">
        <f t="shared" si="169"/>
        <v>1</v>
      </c>
      <c r="L1113" s="209">
        <f t="shared" si="170"/>
        <v>0</v>
      </c>
      <c r="M1113" s="210">
        <f t="shared" si="171"/>
        <v>0</v>
      </c>
      <c r="N1113" s="26">
        <v>45754</v>
      </c>
      <c r="O1113" s="26">
        <v>45754</v>
      </c>
      <c r="P1113" s="26">
        <v>45754</v>
      </c>
      <c r="Q1113" s="2">
        <f t="shared" si="172"/>
        <v>1</v>
      </c>
      <c r="S1113" s="7">
        <f t="shared" si="175"/>
        <v>1</v>
      </c>
      <c r="T1113" s="157">
        <f t="shared" si="176"/>
        <v>1</v>
      </c>
      <c r="V1113" s="191">
        <f t="shared" si="173"/>
        <v>3</v>
      </c>
      <c r="W1113" s="7">
        <f t="shared" si="174"/>
        <v>2025</v>
      </c>
    </row>
    <row r="1114" spans="2:23" ht="31.95" customHeight="1" thickBot="1" x14ac:dyDescent="0.35">
      <c r="B1114" s="26">
        <v>45740</v>
      </c>
      <c r="C1114" s="51">
        <f t="shared" si="177"/>
        <v>1110</v>
      </c>
      <c r="D1114" s="27" t="s">
        <v>705</v>
      </c>
      <c r="E1114" s="26" t="s">
        <v>1319</v>
      </c>
      <c r="F1114" s="28" t="s">
        <v>11</v>
      </c>
      <c r="G1114" s="28" t="s">
        <v>11</v>
      </c>
      <c r="H1114" s="254"/>
      <c r="I1114" s="49">
        <v>2</v>
      </c>
      <c r="J1114" s="49">
        <v>2</v>
      </c>
      <c r="K1114" s="52">
        <f t="shared" si="169"/>
        <v>1</v>
      </c>
      <c r="L1114" s="209">
        <f t="shared" si="170"/>
        <v>0</v>
      </c>
      <c r="M1114" s="210">
        <f t="shared" si="171"/>
        <v>0</v>
      </c>
      <c r="N1114" s="26">
        <v>45740</v>
      </c>
      <c r="O1114" s="26">
        <v>45740</v>
      </c>
      <c r="P1114" s="26">
        <v>45740</v>
      </c>
      <c r="Q1114" s="2">
        <f t="shared" si="172"/>
        <v>1</v>
      </c>
      <c r="S1114" s="7">
        <f t="shared" si="175"/>
        <v>1</v>
      </c>
      <c r="T1114" s="157">
        <f t="shared" si="176"/>
        <v>1</v>
      </c>
      <c r="V1114" s="191">
        <f t="shared" si="173"/>
        <v>3</v>
      </c>
      <c r="W1114" s="7">
        <f t="shared" si="174"/>
        <v>2025</v>
      </c>
    </row>
    <row r="1115" spans="2:23" ht="31.95" customHeight="1" thickBot="1" x14ac:dyDescent="0.35">
      <c r="B1115" s="26">
        <v>45740</v>
      </c>
      <c r="C1115" s="51">
        <f t="shared" si="177"/>
        <v>1111</v>
      </c>
      <c r="D1115" s="27" t="s">
        <v>305</v>
      </c>
      <c r="E1115" s="26" t="s">
        <v>1319</v>
      </c>
      <c r="F1115" s="28" t="s">
        <v>11</v>
      </c>
      <c r="G1115" s="28" t="s">
        <v>11</v>
      </c>
      <c r="H1115" s="254"/>
      <c r="I1115" s="49">
        <v>1</v>
      </c>
      <c r="J1115" s="49">
        <v>1</v>
      </c>
      <c r="K1115" s="52">
        <f t="shared" si="169"/>
        <v>1</v>
      </c>
      <c r="L1115" s="209">
        <f t="shared" si="170"/>
        <v>0</v>
      </c>
      <c r="M1115" s="210">
        <f t="shared" si="171"/>
        <v>0</v>
      </c>
      <c r="N1115" s="26">
        <v>45740</v>
      </c>
      <c r="O1115" s="26">
        <v>45740</v>
      </c>
      <c r="P1115" s="26">
        <v>45740</v>
      </c>
      <c r="Q1115" s="2">
        <f t="shared" si="172"/>
        <v>1</v>
      </c>
      <c r="S1115" s="7">
        <f t="shared" si="175"/>
        <v>1</v>
      </c>
      <c r="T1115" s="157">
        <f t="shared" si="176"/>
        <v>1</v>
      </c>
      <c r="V1115" s="191">
        <f t="shared" si="173"/>
        <v>3</v>
      </c>
      <c r="W1115" s="7">
        <f t="shared" si="174"/>
        <v>2025</v>
      </c>
    </row>
    <row r="1116" spans="2:23" ht="31.95" customHeight="1" thickBot="1" x14ac:dyDescent="0.35">
      <c r="B1116" s="26">
        <v>45741</v>
      </c>
      <c r="C1116" s="51">
        <f t="shared" si="177"/>
        <v>1112</v>
      </c>
      <c r="D1116" s="27" t="s">
        <v>822</v>
      </c>
      <c r="E1116" s="26" t="s">
        <v>189</v>
      </c>
      <c r="F1116" s="28" t="s">
        <v>11</v>
      </c>
      <c r="G1116" s="28" t="s">
        <v>11</v>
      </c>
      <c r="H1116" s="254"/>
      <c r="I1116" s="49">
        <v>2</v>
      </c>
      <c r="J1116" s="49">
        <v>2</v>
      </c>
      <c r="K1116" s="52">
        <f t="shared" si="169"/>
        <v>1</v>
      </c>
      <c r="L1116" s="209">
        <f t="shared" si="170"/>
        <v>0</v>
      </c>
      <c r="M1116" s="210">
        <f t="shared" si="171"/>
        <v>0</v>
      </c>
      <c r="N1116" s="26">
        <v>45743</v>
      </c>
      <c r="O1116" s="26">
        <v>45743</v>
      </c>
      <c r="P1116" s="26">
        <v>45743</v>
      </c>
      <c r="Q1116" s="2">
        <f t="shared" si="172"/>
        <v>1</v>
      </c>
      <c r="S1116" s="7">
        <f t="shared" si="175"/>
        <v>1</v>
      </c>
      <c r="T1116" s="157">
        <f t="shared" si="176"/>
        <v>1</v>
      </c>
      <c r="V1116" s="191">
        <f t="shared" si="173"/>
        <v>3</v>
      </c>
      <c r="W1116" s="7">
        <f t="shared" si="174"/>
        <v>2025</v>
      </c>
    </row>
    <row r="1117" spans="2:23" ht="31.95" customHeight="1" thickBot="1" x14ac:dyDescent="0.35">
      <c r="B1117" s="26">
        <v>45741</v>
      </c>
      <c r="C1117" s="51">
        <f t="shared" si="177"/>
        <v>1113</v>
      </c>
      <c r="D1117" s="27" t="s">
        <v>305</v>
      </c>
      <c r="E1117" s="26" t="s">
        <v>1319</v>
      </c>
      <c r="F1117" s="28" t="s">
        <v>11</v>
      </c>
      <c r="G1117" s="28" t="s">
        <v>11</v>
      </c>
      <c r="H1117" s="254"/>
      <c r="I1117" s="49">
        <v>1</v>
      </c>
      <c r="J1117" s="49">
        <v>1</v>
      </c>
      <c r="K1117" s="52">
        <f t="shared" si="169"/>
        <v>1</v>
      </c>
      <c r="L1117" s="209">
        <f t="shared" si="170"/>
        <v>0</v>
      </c>
      <c r="M1117" s="210">
        <f t="shared" si="171"/>
        <v>0</v>
      </c>
      <c r="N1117" s="26">
        <v>45741</v>
      </c>
      <c r="O1117" s="26">
        <v>45741</v>
      </c>
      <c r="P1117" s="26">
        <v>45741</v>
      </c>
      <c r="Q1117" s="2">
        <f t="shared" si="172"/>
        <v>1</v>
      </c>
      <c r="S1117" s="7">
        <f t="shared" si="175"/>
        <v>1</v>
      </c>
      <c r="T1117" s="157">
        <f t="shared" si="176"/>
        <v>1</v>
      </c>
      <c r="V1117" s="191">
        <f t="shared" si="173"/>
        <v>3</v>
      </c>
      <c r="W1117" s="7">
        <f t="shared" si="174"/>
        <v>2025</v>
      </c>
    </row>
    <row r="1118" spans="2:23" ht="31.95" customHeight="1" thickBot="1" x14ac:dyDescent="0.35">
      <c r="B1118" s="26">
        <v>45742</v>
      </c>
      <c r="C1118" s="51">
        <f t="shared" si="177"/>
        <v>1114</v>
      </c>
      <c r="D1118" s="27" t="s">
        <v>915</v>
      </c>
      <c r="E1118" s="26" t="s">
        <v>190</v>
      </c>
      <c r="F1118" s="28" t="s">
        <v>11</v>
      </c>
      <c r="G1118" s="28" t="s">
        <v>11</v>
      </c>
      <c r="H1118" s="254"/>
      <c r="I1118" s="49">
        <v>1</v>
      </c>
      <c r="J1118" s="49">
        <v>1</v>
      </c>
      <c r="K1118" s="52">
        <f t="shared" si="169"/>
        <v>1</v>
      </c>
      <c r="L1118" s="209">
        <f t="shared" si="170"/>
        <v>0</v>
      </c>
      <c r="M1118" s="210">
        <f t="shared" si="171"/>
        <v>0</v>
      </c>
      <c r="N1118" s="26">
        <v>45743</v>
      </c>
      <c r="O1118" s="26">
        <v>45743</v>
      </c>
      <c r="P1118" s="26">
        <v>45743</v>
      </c>
      <c r="Q1118" s="2">
        <f t="shared" si="172"/>
        <v>1</v>
      </c>
      <c r="S1118" s="7">
        <f t="shared" si="175"/>
        <v>1</v>
      </c>
      <c r="T1118" s="157">
        <f t="shared" si="176"/>
        <v>1</v>
      </c>
      <c r="V1118" s="191">
        <f t="shared" si="173"/>
        <v>3</v>
      </c>
      <c r="W1118" s="7">
        <f t="shared" si="174"/>
        <v>2025</v>
      </c>
    </row>
    <row r="1119" spans="2:23" ht="31.95" customHeight="1" thickBot="1" x14ac:dyDescent="0.35">
      <c r="B1119" s="26">
        <v>45742</v>
      </c>
      <c r="C1119" s="51">
        <f t="shared" si="177"/>
        <v>1115</v>
      </c>
      <c r="D1119" s="27" t="s">
        <v>822</v>
      </c>
      <c r="E1119" s="26" t="s">
        <v>189</v>
      </c>
      <c r="F1119" s="28" t="s">
        <v>11</v>
      </c>
      <c r="G1119" s="28" t="s">
        <v>11</v>
      </c>
      <c r="H1119" s="254"/>
      <c r="I1119" s="49">
        <v>1</v>
      </c>
      <c r="J1119" s="49">
        <v>1</v>
      </c>
      <c r="K1119" s="52">
        <f t="shared" si="169"/>
        <v>1</v>
      </c>
      <c r="L1119" s="209">
        <f t="shared" si="170"/>
        <v>0</v>
      </c>
      <c r="M1119" s="210">
        <f t="shared" si="171"/>
        <v>0</v>
      </c>
      <c r="N1119" s="26">
        <v>45743</v>
      </c>
      <c r="O1119" s="26">
        <v>45743</v>
      </c>
      <c r="P1119" s="26">
        <v>45743</v>
      </c>
      <c r="Q1119" s="2">
        <f t="shared" si="172"/>
        <v>1</v>
      </c>
      <c r="S1119" s="7">
        <f t="shared" si="175"/>
        <v>1</v>
      </c>
      <c r="T1119" s="157">
        <f t="shared" si="176"/>
        <v>1</v>
      </c>
      <c r="V1119" s="191">
        <f t="shared" si="173"/>
        <v>3</v>
      </c>
      <c r="W1119" s="7">
        <f t="shared" si="174"/>
        <v>2025</v>
      </c>
    </row>
    <row r="1120" spans="2:23" ht="31.95" customHeight="1" thickBot="1" x14ac:dyDescent="0.35">
      <c r="B1120" s="26">
        <v>45747</v>
      </c>
      <c r="C1120" s="51">
        <f t="shared" si="177"/>
        <v>1116</v>
      </c>
      <c r="D1120" s="27" t="s">
        <v>722</v>
      </c>
      <c r="E1120" s="26" t="s">
        <v>189</v>
      </c>
      <c r="F1120" s="28" t="s">
        <v>11</v>
      </c>
      <c r="G1120" s="28" t="s">
        <v>11</v>
      </c>
      <c r="H1120" s="254"/>
      <c r="I1120" s="49">
        <v>10</v>
      </c>
      <c r="J1120" s="49">
        <v>10</v>
      </c>
      <c r="K1120" s="52">
        <f t="shared" si="169"/>
        <v>1</v>
      </c>
      <c r="L1120" s="209">
        <f t="shared" si="170"/>
        <v>0</v>
      </c>
      <c r="M1120" s="210">
        <f t="shared" si="171"/>
        <v>0</v>
      </c>
      <c r="N1120" s="26">
        <v>45751</v>
      </c>
      <c r="O1120" s="26">
        <v>45751</v>
      </c>
      <c r="P1120" s="26">
        <v>45751</v>
      </c>
      <c r="Q1120" s="2">
        <f t="shared" si="172"/>
        <v>1</v>
      </c>
      <c r="S1120" s="7">
        <f t="shared" si="175"/>
        <v>1</v>
      </c>
      <c r="T1120" s="157">
        <f t="shared" si="176"/>
        <v>1</v>
      </c>
      <c r="V1120" s="191">
        <f t="shared" si="173"/>
        <v>3</v>
      </c>
      <c r="W1120" s="7">
        <f t="shared" si="174"/>
        <v>2025</v>
      </c>
    </row>
    <row r="1121" spans="2:23" ht="31.95" customHeight="1" thickBot="1" x14ac:dyDescent="0.35">
      <c r="B1121" s="26">
        <v>45747</v>
      </c>
      <c r="C1121" s="51">
        <f t="shared" si="177"/>
        <v>1117</v>
      </c>
      <c r="D1121" s="27" t="s">
        <v>705</v>
      </c>
      <c r="E1121" s="26" t="s">
        <v>11</v>
      </c>
      <c r="F1121" s="28" t="s">
        <v>11</v>
      </c>
      <c r="G1121" s="28" t="s">
        <v>11</v>
      </c>
      <c r="H1121" s="254"/>
      <c r="I1121" s="49">
        <v>1</v>
      </c>
      <c r="J1121" s="49">
        <v>1</v>
      </c>
      <c r="K1121" s="52">
        <f t="shared" si="169"/>
        <v>1</v>
      </c>
      <c r="L1121" s="209">
        <f t="shared" si="170"/>
        <v>0</v>
      </c>
      <c r="M1121" s="210">
        <f t="shared" si="171"/>
        <v>0</v>
      </c>
      <c r="N1121" s="26">
        <v>45747</v>
      </c>
      <c r="O1121" s="26">
        <v>45747</v>
      </c>
      <c r="P1121" s="26">
        <v>45747</v>
      </c>
      <c r="Q1121" s="2">
        <f t="shared" si="172"/>
        <v>1</v>
      </c>
      <c r="S1121" s="7">
        <f t="shared" si="175"/>
        <v>1</v>
      </c>
      <c r="T1121" s="157">
        <f t="shared" si="176"/>
        <v>1</v>
      </c>
      <c r="V1121" s="191">
        <f t="shared" si="173"/>
        <v>3</v>
      </c>
      <c r="W1121" s="7">
        <f t="shared" si="174"/>
        <v>2025</v>
      </c>
    </row>
    <row r="1122" spans="2:23" ht="31.95" customHeight="1" thickBot="1" x14ac:dyDescent="0.35">
      <c r="B1122" s="26">
        <v>45747</v>
      </c>
      <c r="C1122" s="51">
        <f t="shared" si="177"/>
        <v>1118</v>
      </c>
      <c r="D1122" s="27" t="s">
        <v>858</v>
      </c>
      <c r="E1122" s="26" t="s">
        <v>11</v>
      </c>
      <c r="F1122" s="28" t="s">
        <v>11</v>
      </c>
      <c r="G1122" s="28" t="s">
        <v>11</v>
      </c>
      <c r="H1122" s="254"/>
      <c r="I1122" s="49">
        <v>2</v>
      </c>
      <c r="J1122" s="49">
        <v>2</v>
      </c>
      <c r="K1122" s="52">
        <f t="shared" si="169"/>
        <v>1</v>
      </c>
      <c r="L1122" s="209">
        <f t="shared" si="170"/>
        <v>0</v>
      </c>
      <c r="M1122" s="210">
        <f t="shared" si="171"/>
        <v>0</v>
      </c>
      <c r="N1122" s="26">
        <v>45747</v>
      </c>
      <c r="O1122" s="26">
        <v>45747</v>
      </c>
      <c r="P1122" s="26">
        <v>45747</v>
      </c>
      <c r="Q1122" s="2">
        <f t="shared" si="172"/>
        <v>1</v>
      </c>
      <c r="S1122" s="7">
        <f t="shared" si="175"/>
        <v>1</v>
      </c>
      <c r="T1122" s="157">
        <f t="shared" si="176"/>
        <v>1</v>
      </c>
      <c r="V1122" s="191">
        <f t="shared" si="173"/>
        <v>3</v>
      </c>
      <c r="W1122" s="7">
        <f t="shared" si="174"/>
        <v>2025</v>
      </c>
    </row>
    <row r="1123" spans="2:23" ht="31.95" customHeight="1" thickBot="1" x14ac:dyDescent="0.35">
      <c r="B1123" s="26">
        <v>45747</v>
      </c>
      <c r="C1123" s="51">
        <f t="shared" si="177"/>
        <v>1119</v>
      </c>
      <c r="D1123" s="27" t="s">
        <v>305</v>
      </c>
      <c r="E1123" s="26" t="s">
        <v>11</v>
      </c>
      <c r="F1123" s="28" t="s">
        <v>11</v>
      </c>
      <c r="G1123" s="28" t="s">
        <v>11</v>
      </c>
      <c r="H1123" s="254"/>
      <c r="I1123" s="49">
        <v>6</v>
      </c>
      <c r="J1123" s="49">
        <v>6</v>
      </c>
      <c r="K1123" s="52">
        <f t="shared" si="169"/>
        <v>1</v>
      </c>
      <c r="L1123" s="209">
        <f t="shared" si="170"/>
        <v>0</v>
      </c>
      <c r="M1123" s="210">
        <f t="shared" si="171"/>
        <v>0</v>
      </c>
      <c r="N1123" s="26">
        <v>45747</v>
      </c>
      <c r="O1123" s="26">
        <v>45747</v>
      </c>
      <c r="P1123" s="26">
        <v>45747</v>
      </c>
      <c r="Q1123" s="2">
        <f t="shared" si="172"/>
        <v>1</v>
      </c>
      <c r="S1123" s="7">
        <f t="shared" si="175"/>
        <v>1</v>
      </c>
      <c r="T1123" s="157">
        <f t="shared" si="176"/>
        <v>1</v>
      </c>
      <c r="V1123" s="191">
        <f t="shared" si="173"/>
        <v>3</v>
      </c>
      <c r="W1123" s="7">
        <f t="shared" si="174"/>
        <v>2025</v>
      </c>
    </row>
    <row r="1124" spans="2:23" ht="31.95" customHeight="1" thickBot="1" x14ac:dyDescent="0.35">
      <c r="B1124" s="26">
        <v>45747</v>
      </c>
      <c r="C1124" s="51">
        <f t="shared" si="177"/>
        <v>1120</v>
      </c>
      <c r="D1124" s="27" t="s">
        <v>368</v>
      </c>
      <c r="E1124" s="26" t="s">
        <v>1318</v>
      </c>
      <c r="F1124" s="28" t="s">
        <v>11</v>
      </c>
      <c r="G1124" s="28" t="s">
        <v>11</v>
      </c>
      <c r="H1124" s="254"/>
      <c r="I1124" s="49">
        <v>1</v>
      </c>
      <c r="J1124" s="49">
        <v>1</v>
      </c>
      <c r="K1124" s="52">
        <f t="shared" si="169"/>
        <v>1</v>
      </c>
      <c r="L1124" s="209">
        <f t="shared" si="170"/>
        <v>0</v>
      </c>
      <c r="M1124" s="210">
        <f t="shared" si="171"/>
        <v>0</v>
      </c>
      <c r="N1124" s="26">
        <v>45749</v>
      </c>
      <c r="O1124" s="26">
        <v>45749</v>
      </c>
      <c r="P1124" s="26">
        <v>45749</v>
      </c>
      <c r="Q1124" s="2">
        <f t="shared" si="172"/>
        <v>1</v>
      </c>
      <c r="S1124" s="7">
        <f t="shared" si="175"/>
        <v>1</v>
      </c>
      <c r="T1124" s="157">
        <f t="shared" si="176"/>
        <v>1</v>
      </c>
      <c r="V1124" s="191">
        <f t="shared" si="173"/>
        <v>3</v>
      </c>
      <c r="W1124" s="7">
        <f t="shared" si="174"/>
        <v>2025</v>
      </c>
    </row>
    <row r="1125" spans="2:23" ht="31.95" customHeight="1" thickBot="1" x14ac:dyDescent="0.35">
      <c r="B1125" s="26">
        <v>45747</v>
      </c>
      <c r="C1125" s="51">
        <f t="shared" si="177"/>
        <v>1121</v>
      </c>
      <c r="D1125" s="27" t="s">
        <v>269</v>
      </c>
      <c r="E1125" s="26" t="s">
        <v>187</v>
      </c>
      <c r="F1125" s="28" t="s">
        <v>11</v>
      </c>
      <c r="G1125" s="28" t="s">
        <v>11</v>
      </c>
      <c r="H1125" s="254"/>
      <c r="I1125" s="49">
        <v>3</v>
      </c>
      <c r="J1125" s="49">
        <v>3</v>
      </c>
      <c r="K1125" s="52">
        <f t="shared" si="169"/>
        <v>1</v>
      </c>
      <c r="L1125" s="209">
        <f t="shared" si="170"/>
        <v>0</v>
      </c>
      <c r="M1125" s="210">
        <f t="shared" si="171"/>
        <v>0</v>
      </c>
      <c r="N1125" s="26">
        <v>45749</v>
      </c>
      <c r="O1125" s="26">
        <v>45749</v>
      </c>
      <c r="P1125" s="26">
        <v>45749</v>
      </c>
      <c r="Q1125" s="2">
        <f t="shared" si="172"/>
        <v>1</v>
      </c>
      <c r="S1125" s="7">
        <f t="shared" si="175"/>
        <v>1</v>
      </c>
      <c r="T1125" s="157">
        <f t="shared" si="176"/>
        <v>1</v>
      </c>
      <c r="V1125" s="191">
        <f t="shared" si="173"/>
        <v>3</v>
      </c>
      <c r="W1125" s="7">
        <f t="shared" si="174"/>
        <v>2025</v>
      </c>
    </row>
    <row r="1126" spans="2:23" ht="31.95" customHeight="1" thickBot="1" x14ac:dyDescent="0.35">
      <c r="B1126" s="26">
        <v>45749</v>
      </c>
      <c r="C1126" s="51">
        <f t="shared" si="177"/>
        <v>1122</v>
      </c>
      <c r="D1126" s="27" t="s">
        <v>1150</v>
      </c>
      <c r="E1126" s="26" t="s">
        <v>192</v>
      </c>
      <c r="F1126" s="28" t="s">
        <v>11</v>
      </c>
      <c r="G1126" s="28" t="s">
        <v>11</v>
      </c>
      <c r="H1126" s="254"/>
      <c r="I1126" s="49">
        <v>4</v>
      </c>
      <c r="J1126" s="49">
        <v>4</v>
      </c>
      <c r="K1126" s="52">
        <f t="shared" si="169"/>
        <v>1</v>
      </c>
      <c r="L1126" s="209">
        <f t="shared" si="170"/>
        <v>0</v>
      </c>
      <c r="M1126" s="210">
        <f t="shared" si="171"/>
        <v>0</v>
      </c>
      <c r="N1126" s="26">
        <v>45750</v>
      </c>
      <c r="O1126" s="26">
        <v>45750</v>
      </c>
      <c r="P1126" s="26">
        <v>45750</v>
      </c>
      <c r="Q1126" s="2">
        <f t="shared" si="172"/>
        <v>1</v>
      </c>
      <c r="S1126" s="7">
        <f t="shared" si="175"/>
        <v>1</v>
      </c>
      <c r="T1126" s="157">
        <f t="shared" si="176"/>
        <v>1</v>
      </c>
      <c r="V1126" s="191">
        <f t="shared" si="173"/>
        <v>4</v>
      </c>
      <c r="W1126" s="7">
        <f t="shared" si="174"/>
        <v>2025</v>
      </c>
    </row>
    <row r="1127" spans="2:23" ht="31.95" customHeight="1" thickBot="1" x14ac:dyDescent="0.35">
      <c r="B1127" s="26">
        <v>45749</v>
      </c>
      <c r="C1127" s="51">
        <f t="shared" si="177"/>
        <v>1123</v>
      </c>
      <c r="D1127" s="27" t="s">
        <v>602</v>
      </c>
      <c r="E1127" s="26" t="s">
        <v>192</v>
      </c>
      <c r="F1127" s="28" t="s">
        <v>11</v>
      </c>
      <c r="G1127" s="28" t="s">
        <v>11</v>
      </c>
      <c r="H1127" s="254"/>
      <c r="I1127" s="49">
        <v>2</v>
      </c>
      <c r="J1127" s="49">
        <v>2</v>
      </c>
      <c r="K1127" s="52">
        <f t="shared" si="169"/>
        <v>1</v>
      </c>
      <c r="L1127" s="209">
        <f t="shared" si="170"/>
        <v>0</v>
      </c>
      <c r="M1127" s="210">
        <f t="shared" si="171"/>
        <v>0</v>
      </c>
      <c r="N1127" s="26">
        <v>45750</v>
      </c>
      <c r="O1127" s="26">
        <v>45750</v>
      </c>
      <c r="P1127" s="26">
        <v>45750</v>
      </c>
      <c r="Q1127" s="2">
        <f t="shared" si="172"/>
        <v>1</v>
      </c>
      <c r="S1127" s="7">
        <f t="shared" si="175"/>
        <v>1</v>
      </c>
      <c r="T1127" s="157">
        <f t="shared" si="176"/>
        <v>1</v>
      </c>
      <c r="V1127" s="191">
        <f t="shared" si="173"/>
        <v>4</v>
      </c>
      <c r="W1127" s="7">
        <f t="shared" si="174"/>
        <v>2025</v>
      </c>
    </row>
    <row r="1128" spans="2:23" ht="31.95" customHeight="1" thickBot="1" x14ac:dyDescent="0.35">
      <c r="B1128" s="26">
        <v>45749</v>
      </c>
      <c r="C1128" s="51">
        <f t="shared" si="177"/>
        <v>1124</v>
      </c>
      <c r="D1128" s="27" t="s">
        <v>652</v>
      </c>
      <c r="E1128" s="26" t="s">
        <v>191</v>
      </c>
      <c r="F1128" s="28" t="s">
        <v>11</v>
      </c>
      <c r="G1128" s="28" t="s">
        <v>11</v>
      </c>
      <c r="H1128" s="254"/>
      <c r="I1128" s="49">
        <v>3</v>
      </c>
      <c r="J1128" s="49">
        <v>3</v>
      </c>
      <c r="K1128" s="52">
        <f t="shared" si="169"/>
        <v>1</v>
      </c>
      <c r="L1128" s="209">
        <f t="shared" si="170"/>
        <v>0</v>
      </c>
      <c r="M1128" s="210">
        <f t="shared" si="171"/>
        <v>0</v>
      </c>
      <c r="N1128" s="26">
        <v>45750</v>
      </c>
      <c r="O1128" s="26">
        <v>45750</v>
      </c>
      <c r="P1128" s="26">
        <v>45750</v>
      </c>
      <c r="Q1128" s="2">
        <f t="shared" si="172"/>
        <v>1</v>
      </c>
      <c r="S1128" s="7">
        <f t="shared" si="175"/>
        <v>1</v>
      </c>
      <c r="T1128" s="157">
        <f t="shared" si="176"/>
        <v>1</v>
      </c>
      <c r="V1128" s="191">
        <f t="shared" si="173"/>
        <v>4</v>
      </c>
      <c r="W1128" s="7">
        <f t="shared" si="174"/>
        <v>2025</v>
      </c>
    </row>
    <row r="1129" spans="2:23" ht="31.95" customHeight="1" thickBot="1" x14ac:dyDescent="0.35">
      <c r="B1129" s="26">
        <v>45749</v>
      </c>
      <c r="C1129" s="51">
        <f t="shared" si="177"/>
        <v>1125</v>
      </c>
      <c r="D1129" s="27" t="s">
        <v>401</v>
      </c>
      <c r="E1129" s="26" t="s">
        <v>152</v>
      </c>
      <c r="F1129" s="28" t="s">
        <v>11</v>
      </c>
      <c r="G1129" s="28" t="s">
        <v>11</v>
      </c>
      <c r="H1129" s="254"/>
      <c r="I1129" s="49">
        <v>1</v>
      </c>
      <c r="J1129" s="49">
        <v>1</v>
      </c>
      <c r="K1129" s="52">
        <f t="shared" si="169"/>
        <v>1</v>
      </c>
      <c r="L1129" s="209">
        <f t="shared" si="170"/>
        <v>0</v>
      </c>
      <c r="M1129" s="210">
        <f t="shared" si="171"/>
        <v>0</v>
      </c>
      <c r="N1129" s="26" t="s">
        <v>1314</v>
      </c>
      <c r="O1129" s="26" t="s">
        <v>1314</v>
      </c>
      <c r="P1129" s="26" t="s">
        <v>1314</v>
      </c>
      <c r="Q1129" s="2">
        <f t="shared" si="172"/>
        <v>1</v>
      </c>
      <c r="S1129" s="7">
        <f t="shared" si="175"/>
        <v>1</v>
      </c>
      <c r="T1129" s="157">
        <f t="shared" si="176"/>
        <v>1</v>
      </c>
      <c r="V1129" s="191">
        <f t="shared" si="173"/>
        <v>4</v>
      </c>
      <c r="W1129" s="7">
        <f t="shared" si="174"/>
        <v>2025</v>
      </c>
    </row>
    <row r="1130" spans="2:23" ht="31.95" customHeight="1" thickBot="1" x14ac:dyDescent="0.35">
      <c r="B1130" s="26">
        <v>45749</v>
      </c>
      <c r="C1130" s="51">
        <f t="shared" si="177"/>
        <v>1126</v>
      </c>
      <c r="D1130" s="27" t="s">
        <v>978</v>
      </c>
      <c r="E1130" s="26" t="s">
        <v>192</v>
      </c>
      <c r="F1130" s="28" t="s">
        <v>11</v>
      </c>
      <c r="G1130" s="28" t="s">
        <v>11</v>
      </c>
      <c r="H1130" s="254"/>
      <c r="I1130" s="49">
        <v>1</v>
      </c>
      <c r="J1130" s="49">
        <v>1</v>
      </c>
      <c r="K1130" s="52">
        <f t="shared" si="169"/>
        <v>1</v>
      </c>
      <c r="L1130" s="209">
        <f t="shared" si="170"/>
        <v>0</v>
      </c>
      <c r="M1130" s="210">
        <f t="shared" si="171"/>
        <v>0</v>
      </c>
      <c r="N1130" s="26">
        <v>45750</v>
      </c>
      <c r="O1130" s="26">
        <v>45750</v>
      </c>
      <c r="P1130" s="26">
        <v>45750</v>
      </c>
      <c r="Q1130" s="2">
        <f t="shared" si="172"/>
        <v>1</v>
      </c>
      <c r="S1130" s="7">
        <f t="shared" si="175"/>
        <v>1</v>
      </c>
      <c r="T1130" s="157">
        <f t="shared" si="176"/>
        <v>1</v>
      </c>
      <c r="V1130" s="191">
        <f t="shared" si="173"/>
        <v>4</v>
      </c>
      <c r="W1130" s="7">
        <f t="shared" si="174"/>
        <v>2025</v>
      </c>
    </row>
    <row r="1131" spans="2:23" ht="31.95" customHeight="1" thickBot="1" x14ac:dyDescent="0.35">
      <c r="B1131" s="26">
        <v>45749</v>
      </c>
      <c r="C1131" s="51">
        <f t="shared" si="177"/>
        <v>1127</v>
      </c>
      <c r="D1131" s="27" t="s">
        <v>858</v>
      </c>
      <c r="E1131" s="26" t="s">
        <v>1319</v>
      </c>
      <c r="F1131" s="28" t="s">
        <v>11</v>
      </c>
      <c r="G1131" s="28" t="s">
        <v>11</v>
      </c>
      <c r="H1131" s="254"/>
      <c r="I1131" s="49">
        <v>1</v>
      </c>
      <c r="J1131" s="49">
        <v>1</v>
      </c>
      <c r="K1131" s="52">
        <f t="shared" si="169"/>
        <v>1</v>
      </c>
      <c r="L1131" s="209">
        <f t="shared" si="170"/>
        <v>0</v>
      </c>
      <c r="M1131" s="210">
        <f t="shared" si="171"/>
        <v>0</v>
      </c>
      <c r="N1131" s="26">
        <v>45750</v>
      </c>
      <c r="O1131" s="26">
        <v>45750</v>
      </c>
      <c r="P1131" s="26">
        <v>45750</v>
      </c>
      <c r="Q1131" s="2">
        <f t="shared" si="172"/>
        <v>1</v>
      </c>
      <c r="S1131" s="7">
        <f t="shared" si="175"/>
        <v>1</v>
      </c>
      <c r="T1131" s="157">
        <f t="shared" si="176"/>
        <v>1</v>
      </c>
      <c r="V1131" s="191">
        <f t="shared" si="173"/>
        <v>4</v>
      </c>
      <c r="W1131" s="7">
        <f t="shared" si="174"/>
        <v>2025</v>
      </c>
    </row>
    <row r="1132" spans="2:23" ht="31.95" customHeight="1" thickBot="1" x14ac:dyDescent="0.35">
      <c r="B1132" s="26">
        <v>45749</v>
      </c>
      <c r="C1132" s="51">
        <f t="shared" si="177"/>
        <v>1128</v>
      </c>
      <c r="D1132" s="27" t="s">
        <v>705</v>
      </c>
      <c r="E1132" s="26" t="s">
        <v>1319</v>
      </c>
      <c r="F1132" s="28" t="s">
        <v>11</v>
      </c>
      <c r="G1132" s="28" t="s">
        <v>11</v>
      </c>
      <c r="H1132" s="254"/>
      <c r="I1132" s="49">
        <v>1</v>
      </c>
      <c r="J1132" s="49">
        <v>1</v>
      </c>
      <c r="K1132" s="52">
        <f t="shared" si="169"/>
        <v>1</v>
      </c>
      <c r="L1132" s="209">
        <f t="shared" si="170"/>
        <v>0</v>
      </c>
      <c r="M1132" s="210">
        <f t="shared" si="171"/>
        <v>0</v>
      </c>
      <c r="N1132" s="26">
        <v>45750</v>
      </c>
      <c r="O1132" s="26">
        <v>45750</v>
      </c>
      <c r="P1132" s="26">
        <v>45750</v>
      </c>
      <c r="Q1132" s="2">
        <f t="shared" si="172"/>
        <v>1</v>
      </c>
      <c r="S1132" s="7">
        <f t="shared" si="175"/>
        <v>1</v>
      </c>
      <c r="T1132" s="157">
        <f t="shared" si="176"/>
        <v>1</v>
      </c>
      <c r="V1132" s="191">
        <f t="shared" si="173"/>
        <v>4</v>
      </c>
      <c r="W1132" s="7">
        <f t="shared" si="174"/>
        <v>2025</v>
      </c>
    </row>
    <row r="1133" spans="2:23" ht="31.95" customHeight="1" thickBot="1" x14ac:dyDescent="0.35">
      <c r="B1133" s="26">
        <v>45749</v>
      </c>
      <c r="C1133" s="51">
        <f t="shared" si="177"/>
        <v>1129</v>
      </c>
      <c r="D1133" s="27" t="s">
        <v>1028</v>
      </c>
      <c r="E1133" s="26" t="s">
        <v>192</v>
      </c>
      <c r="F1133" s="28" t="s">
        <v>11</v>
      </c>
      <c r="G1133" s="28" t="s">
        <v>11</v>
      </c>
      <c r="H1133" s="254"/>
      <c r="I1133" s="49">
        <v>3</v>
      </c>
      <c r="J1133" s="49">
        <v>3</v>
      </c>
      <c r="K1133" s="52">
        <f t="shared" ref="K1133:K1196" si="178">IFERROR(J1133/I1133,"")</f>
        <v>1</v>
      </c>
      <c r="L1133" s="209">
        <f t="shared" ref="L1133:L1196" si="179">IF(I1133="","",I1133-J1133)</f>
        <v>0</v>
      </c>
      <c r="M1133" s="210">
        <f t="shared" ref="M1133:M1196" si="180">IFERROR(1-K1133,"")</f>
        <v>0</v>
      </c>
      <c r="N1133" s="26">
        <v>45751</v>
      </c>
      <c r="O1133" s="26">
        <v>45751</v>
      </c>
      <c r="P1133" s="26">
        <v>45751</v>
      </c>
      <c r="Q1133" s="2">
        <f t="shared" si="172"/>
        <v>1</v>
      </c>
      <c r="S1133" s="7">
        <f t="shared" si="175"/>
        <v>1</v>
      </c>
      <c r="T1133" s="157">
        <f t="shared" si="176"/>
        <v>1</v>
      </c>
      <c r="V1133" s="191">
        <f t="shared" si="173"/>
        <v>4</v>
      </c>
      <c r="W1133" s="7">
        <f t="shared" si="174"/>
        <v>2025</v>
      </c>
    </row>
    <row r="1134" spans="2:23" ht="31.95" customHeight="1" thickBot="1" x14ac:dyDescent="0.35">
      <c r="B1134" s="26">
        <v>45749</v>
      </c>
      <c r="C1134" s="51">
        <f t="shared" si="177"/>
        <v>1130</v>
      </c>
      <c r="D1134" s="27" t="s">
        <v>1150</v>
      </c>
      <c r="E1134" s="26" t="s">
        <v>192</v>
      </c>
      <c r="F1134" s="28" t="s">
        <v>11</v>
      </c>
      <c r="G1134" s="28" t="s">
        <v>11</v>
      </c>
      <c r="H1134" s="254"/>
      <c r="I1134" s="49">
        <v>1</v>
      </c>
      <c r="J1134" s="49">
        <v>1</v>
      </c>
      <c r="K1134" s="52">
        <f t="shared" si="178"/>
        <v>1</v>
      </c>
      <c r="L1134" s="209">
        <f t="shared" si="179"/>
        <v>0</v>
      </c>
      <c r="M1134" s="210">
        <f t="shared" si="180"/>
        <v>0</v>
      </c>
      <c r="N1134" s="26">
        <v>45751</v>
      </c>
      <c r="O1134" s="26">
        <v>45751</v>
      </c>
      <c r="P1134" s="26">
        <v>45751</v>
      </c>
      <c r="Q1134" s="2">
        <f t="shared" si="172"/>
        <v>1</v>
      </c>
      <c r="S1134" s="7">
        <f t="shared" si="175"/>
        <v>1</v>
      </c>
      <c r="T1134" s="157">
        <f t="shared" si="176"/>
        <v>1</v>
      </c>
      <c r="V1134" s="191">
        <f t="shared" si="173"/>
        <v>4</v>
      </c>
      <c r="W1134" s="7">
        <f t="shared" si="174"/>
        <v>2025</v>
      </c>
    </row>
    <row r="1135" spans="2:23" ht="31.95" customHeight="1" thickBot="1" x14ac:dyDescent="0.35">
      <c r="B1135" s="26">
        <v>45756</v>
      </c>
      <c r="C1135" s="51">
        <f t="shared" si="177"/>
        <v>1131</v>
      </c>
      <c r="D1135" s="27" t="s">
        <v>890</v>
      </c>
      <c r="E1135" s="26" t="s">
        <v>192</v>
      </c>
      <c r="F1135" s="28" t="s">
        <v>11</v>
      </c>
      <c r="G1135" s="28" t="s">
        <v>11</v>
      </c>
      <c r="H1135" s="254"/>
      <c r="I1135" s="49">
        <v>3</v>
      </c>
      <c r="J1135" s="49">
        <v>3</v>
      </c>
      <c r="K1135" s="52">
        <f t="shared" si="178"/>
        <v>1</v>
      </c>
      <c r="L1135" s="209">
        <f t="shared" si="179"/>
        <v>0</v>
      </c>
      <c r="M1135" s="210">
        <f t="shared" si="180"/>
        <v>0</v>
      </c>
      <c r="N1135" s="26">
        <v>45761</v>
      </c>
      <c r="O1135" s="26">
        <v>45761</v>
      </c>
      <c r="P1135" s="26">
        <v>45761</v>
      </c>
      <c r="Q1135" s="2">
        <f t="shared" si="172"/>
        <v>1</v>
      </c>
      <c r="S1135" s="7">
        <f t="shared" si="175"/>
        <v>1</v>
      </c>
      <c r="T1135" s="157">
        <f t="shared" si="176"/>
        <v>1</v>
      </c>
      <c r="V1135" s="191">
        <f t="shared" si="173"/>
        <v>4</v>
      </c>
      <c r="W1135" s="7">
        <f t="shared" si="174"/>
        <v>2025</v>
      </c>
    </row>
    <row r="1136" spans="2:23" ht="31.95" customHeight="1" thickBot="1" x14ac:dyDescent="0.35">
      <c r="B1136" s="26">
        <v>45757</v>
      </c>
      <c r="C1136" s="51">
        <f t="shared" si="177"/>
        <v>1132</v>
      </c>
      <c r="D1136" s="27" t="s">
        <v>423</v>
      </c>
      <c r="E1136" s="26" t="s">
        <v>193</v>
      </c>
      <c r="F1136" s="28" t="s">
        <v>11</v>
      </c>
      <c r="G1136" s="28" t="s">
        <v>11</v>
      </c>
      <c r="H1136" s="254"/>
      <c r="I1136" s="49">
        <v>1</v>
      </c>
      <c r="J1136" s="49">
        <v>1</v>
      </c>
      <c r="K1136" s="52">
        <f t="shared" si="178"/>
        <v>1</v>
      </c>
      <c r="L1136" s="209">
        <f t="shared" si="179"/>
        <v>0</v>
      </c>
      <c r="M1136" s="210">
        <f t="shared" si="180"/>
        <v>0</v>
      </c>
      <c r="N1136" s="26">
        <v>45758</v>
      </c>
      <c r="O1136" s="26">
        <v>45758</v>
      </c>
      <c r="P1136" s="26">
        <v>45758</v>
      </c>
      <c r="Q1136" s="2">
        <f t="shared" si="172"/>
        <v>1</v>
      </c>
      <c r="S1136" s="7">
        <f t="shared" si="175"/>
        <v>1</v>
      </c>
      <c r="T1136" s="157">
        <f t="shared" si="176"/>
        <v>1</v>
      </c>
      <c r="V1136" s="191">
        <f t="shared" si="173"/>
        <v>4</v>
      </c>
      <c r="W1136" s="7">
        <f t="shared" si="174"/>
        <v>2025</v>
      </c>
    </row>
    <row r="1137" spans="2:23" ht="31.95" customHeight="1" thickBot="1" x14ac:dyDescent="0.35">
      <c r="B1137" s="26">
        <v>45758</v>
      </c>
      <c r="C1137" s="51">
        <f t="shared" si="177"/>
        <v>1133</v>
      </c>
      <c r="D1137" s="27" t="s">
        <v>1150</v>
      </c>
      <c r="E1137" s="26" t="s">
        <v>194</v>
      </c>
      <c r="F1137" s="28" t="s">
        <v>11</v>
      </c>
      <c r="G1137" s="28" t="s">
        <v>11</v>
      </c>
      <c r="H1137" s="254"/>
      <c r="I1137" s="49">
        <v>4</v>
      </c>
      <c r="J1137" s="49">
        <v>4</v>
      </c>
      <c r="K1137" s="52">
        <f t="shared" si="178"/>
        <v>1</v>
      </c>
      <c r="L1137" s="209">
        <f t="shared" si="179"/>
        <v>0</v>
      </c>
      <c r="M1137" s="210">
        <f t="shared" si="180"/>
        <v>0</v>
      </c>
      <c r="N1137" s="26">
        <v>45758</v>
      </c>
      <c r="O1137" s="26">
        <v>45758</v>
      </c>
      <c r="P1137" s="26">
        <v>45758</v>
      </c>
      <c r="Q1137" s="2">
        <f t="shared" si="172"/>
        <v>1</v>
      </c>
      <c r="S1137" s="7">
        <f t="shared" si="175"/>
        <v>1</v>
      </c>
      <c r="T1137" s="157">
        <f t="shared" si="176"/>
        <v>1</v>
      </c>
      <c r="V1137" s="191">
        <f t="shared" si="173"/>
        <v>4</v>
      </c>
      <c r="W1137" s="7">
        <f t="shared" si="174"/>
        <v>2025</v>
      </c>
    </row>
    <row r="1138" spans="2:23" ht="31.95" customHeight="1" thickBot="1" x14ac:dyDescent="0.35">
      <c r="B1138" s="26">
        <v>45758</v>
      </c>
      <c r="C1138" s="51">
        <f t="shared" si="177"/>
        <v>1134</v>
      </c>
      <c r="D1138" s="27" t="s">
        <v>269</v>
      </c>
      <c r="E1138" s="26" t="s">
        <v>194</v>
      </c>
      <c r="F1138" s="28" t="s">
        <v>11</v>
      </c>
      <c r="G1138" s="28" t="s">
        <v>11</v>
      </c>
      <c r="H1138" s="254"/>
      <c r="I1138" s="49">
        <v>2</v>
      </c>
      <c r="J1138" s="49">
        <v>2</v>
      </c>
      <c r="K1138" s="52">
        <f t="shared" si="178"/>
        <v>1</v>
      </c>
      <c r="L1138" s="209">
        <f t="shared" si="179"/>
        <v>0</v>
      </c>
      <c r="M1138" s="210">
        <f t="shared" si="180"/>
        <v>0</v>
      </c>
      <c r="N1138" s="26">
        <v>45758</v>
      </c>
      <c r="O1138" s="26">
        <v>45758</v>
      </c>
      <c r="P1138" s="26">
        <v>45758</v>
      </c>
      <c r="Q1138" s="2">
        <f t="shared" si="172"/>
        <v>1</v>
      </c>
      <c r="S1138" s="7">
        <f t="shared" si="175"/>
        <v>1</v>
      </c>
      <c r="T1138" s="157">
        <f t="shared" si="176"/>
        <v>1</v>
      </c>
      <c r="V1138" s="191">
        <f t="shared" si="173"/>
        <v>4</v>
      </c>
      <c r="W1138" s="7">
        <f t="shared" si="174"/>
        <v>2025</v>
      </c>
    </row>
    <row r="1139" spans="2:23" ht="31.95" customHeight="1" thickBot="1" x14ac:dyDescent="0.35">
      <c r="B1139" s="26">
        <v>45762</v>
      </c>
      <c r="C1139" s="51">
        <f t="shared" si="177"/>
        <v>1135</v>
      </c>
      <c r="D1139" s="27" t="s">
        <v>850</v>
      </c>
      <c r="E1139" s="26" t="s">
        <v>1320</v>
      </c>
      <c r="F1139" s="28" t="s">
        <v>11</v>
      </c>
      <c r="G1139" s="28" t="s">
        <v>11</v>
      </c>
      <c r="H1139" s="254"/>
      <c r="I1139" s="49">
        <v>1</v>
      </c>
      <c r="J1139" s="49">
        <v>1</v>
      </c>
      <c r="K1139" s="52">
        <f t="shared" si="178"/>
        <v>1</v>
      </c>
      <c r="L1139" s="209">
        <f t="shared" si="179"/>
        <v>0</v>
      </c>
      <c r="M1139" s="210">
        <f t="shared" si="180"/>
        <v>0</v>
      </c>
      <c r="N1139" s="26">
        <v>45758</v>
      </c>
      <c r="O1139" s="26">
        <v>45758</v>
      </c>
      <c r="P1139" s="26">
        <v>45758</v>
      </c>
      <c r="Q1139" s="2">
        <f t="shared" si="172"/>
        <v>1</v>
      </c>
      <c r="S1139" s="7">
        <f t="shared" si="175"/>
        <v>1</v>
      </c>
      <c r="T1139" s="157">
        <f t="shared" si="176"/>
        <v>1</v>
      </c>
      <c r="V1139" s="191">
        <f t="shared" si="173"/>
        <v>4</v>
      </c>
      <c r="W1139" s="7">
        <f t="shared" si="174"/>
        <v>2025</v>
      </c>
    </row>
    <row r="1140" spans="2:23" ht="31.95" customHeight="1" thickBot="1" x14ac:dyDescent="0.35">
      <c r="B1140" s="26">
        <v>45762</v>
      </c>
      <c r="C1140" s="51">
        <f t="shared" si="177"/>
        <v>1136</v>
      </c>
      <c r="D1140" s="27" t="s">
        <v>269</v>
      </c>
      <c r="E1140" s="26" t="s">
        <v>1319</v>
      </c>
      <c r="F1140" s="28" t="s">
        <v>11</v>
      </c>
      <c r="G1140" s="28" t="s">
        <v>11</v>
      </c>
      <c r="H1140" s="254"/>
      <c r="I1140" s="49">
        <v>11</v>
      </c>
      <c r="J1140" s="49">
        <v>11</v>
      </c>
      <c r="K1140" s="52">
        <f t="shared" si="178"/>
        <v>1</v>
      </c>
      <c r="L1140" s="209">
        <f t="shared" si="179"/>
        <v>0</v>
      </c>
      <c r="M1140" s="210">
        <f t="shared" si="180"/>
        <v>0</v>
      </c>
      <c r="N1140" s="26">
        <v>45763</v>
      </c>
      <c r="O1140" s="26">
        <v>45763</v>
      </c>
      <c r="P1140" s="26">
        <v>45763</v>
      </c>
      <c r="Q1140" s="2">
        <f t="shared" si="172"/>
        <v>1</v>
      </c>
      <c r="S1140" s="7">
        <f t="shared" si="175"/>
        <v>1</v>
      </c>
      <c r="T1140" s="157">
        <f t="shared" si="176"/>
        <v>1</v>
      </c>
      <c r="V1140" s="191">
        <f t="shared" si="173"/>
        <v>4</v>
      </c>
      <c r="W1140" s="7">
        <f t="shared" si="174"/>
        <v>2025</v>
      </c>
    </row>
    <row r="1141" spans="2:23" ht="31.95" customHeight="1" thickBot="1" x14ac:dyDescent="0.35">
      <c r="B1141" s="26">
        <v>45763</v>
      </c>
      <c r="C1141" s="51">
        <f t="shared" si="177"/>
        <v>1137</v>
      </c>
      <c r="D1141" s="27" t="s">
        <v>762</v>
      </c>
      <c r="E1141" s="26" t="s">
        <v>195</v>
      </c>
      <c r="F1141" s="28" t="s">
        <v>11</v>
      </c>
      <c r="G1141" s="28" t="s">
        <v>11</v>
      </c>
      <c r="H1141" s="254"/>
      <c r="I1141" s="49">
        <v>2</v>
      </c>
      <c r="J1141" s="49">
        <v>2</v>
      </c>
      <c r="K1141" s="52">
        <f t="shared" si="178"/>
        <v>1</v>
      </c>
      <c r="L1141" s="209">
        <f t="shared" si="179"/>
        <v>0</v>
      </c>
      <c r="M1141" s="210">
        <f t="shared" si="180"/>
        <v>0</v>
      </c>
      <c r="N1141" s="26">
        <v>45764</v>
      </c>
      <c r="O1141" s="26">
        <v>45764</v>
      </c>
      <c r="P1141" s="26">
        <v>45764</v>
      </c>
      <c r="Q1141" s="2">
        <f t="shared" si="172"/>
        <v>1</v>
      </c>
      <c r="S1141" s="7">
        <f t="shared" si="175"/>
        <v>1</v>
      </c>
      <c r="T1141" s="157">
        <f t="shared" si="176"/>
        <v>1</v>
      </c>
      <c r="V1141" s="191">
        <f t="shared" si="173"/>
        <v>4</v>
      </c>
      <c r="W1141" s="7">
        <f t="shared" si="174"/>
        <v>2025</v>
      </c>
    </row>
    <row r="1142" spans="2:23" ht="31.95" customHeight="1" thickBot="1" x14ac:dyDescent="0.35">
      <c r="B1142" s="26">
        <v>45771</v>
      </c>
      <c r="C1142" s="51">
        <f t="shared" si="177"/>
        <v>1138</v>
      </c>
      <c r="D1142" s="27" t="s">
        <v>858</v>
      </c>
      <c r="E1142" s="26" t="s">
        <v>1319</v>
      </c>
      <c r="F1142" s="28" t="s">
        <v>11</v>
      </c>
      <c r="G1142" s="28" t="s">
        <v>11</v>
      </c>
      <c r="H1142" s="254"/>
      <c r="I1142" s="49">
        <v>1</v>
      </c>
      <c r="J1142" s="49">
        <v>1</v>
      </c>
      <c r="K1142" s="52">
        <f t="shared" si="178"/>
        <v>1</v>
      </c>
      <c r="L1142" s="209">
        <f t="shared" si="179"/>
        <v>0</v>
      </c>
      <c r="M1142" s="210">
        <f t="shared" si="180"/>
        <v>0</v>
      </c>
      <c r="N1142" s="26">
        <v>45771</v>
      </c>
      <c r="O1142" s="26">
        <v>45771</v>
      </c>
      <c r="P1142" s="26">
        <v>45771</v>
      </c>
      <c r="Q1142" s="2">
        <f t="shared" si="172"/>
        <v>1</v>
      </c>
      <c r="S1142" s="7">
        <f t="shared" si="175"/>
        <v>1</v>
      </c>
      <c r="T1142" s="157">
        <f t="shared" si="176"/>
        <v>1</v>
      </c>
      <c r="V1142" s="191">
        <f t="shared" si="173"/>
        <v>4</v>
      </c>
      <c r="W1142" s="7">
        <f t="shared" si="174"/>
        <v>2025</v>
      </c>
    </row>
    <row r="1143" spans="2:23" ht="31.95" customHeight="1" thickBot="1" x14ac:dyDescent="0.35">
      <c r="B1143" s="26">
        <v>45771</v>
      </c>
      <c r="C1143" s="51">
        <f t="shared" si="177"/>
        <v>1139</v>
      </c>
      <c r="D1143" s="27" t="s">
        <v>705</v>
      </c>
      <c r="E1143" s="26" t="s">
        <v>1319</v>
      </c>
      <c r="F1143" s="28" t="s">
        <v>11</v>
      </c>
      <c r="G1143" s="28" t="s">
        <v>11</v>
      </c>
      <c r="H1143" s="254"/>
      <c r="I1143" s="49">
        <v>1</v>
      </c>
      <c r="J1143" s="49">
        <v>1</v>
      </c>
      <c r="K1143" s="52">
        <f t="shared" si="178"/>
        <v>1</v>
      </c>
      <c r="L1143" s="209">
        <f t="shared" si="179"/>
        <v>0</v>
      </c>
      <c r="M1143" s="210">
        <f t="shared" si="180"/>
        <v>0</v>
      </c>
      <c r="N1143" s="26">
        <v>45771</v>
      </c>
      <c r="O1143" s="26">
        <v>45771</v>
      </c>
      <c r="P1143" s="26">
        <v>45771</v>
      </c>
      <c r="Q1143" s="2">
        <f t="shared" si="172"/>
        <v>1</v>
      </c>
      <c r="S1143" s="7">
        <f t="shared" si="175"/>
        <v>1</v>
      </c>
      <c r="T1143" s="157">
        <f t="shared" si="176"/>
        <v>1</v>
      </c>
      <c r="V1143" s="191">
        <f t="shared" si="173"/>
        <v>4</v>
      </c>
      <c r="W1143" s="7">
        <f t="shared" si="174"/>
        <v>2025</v>
      </c>
    </row>
    <row r="1144" spans="2:23" ht="31.95" customHeight="1" thickBot="1" x14ac:dyDescent="0.35">
      <c r="B1144" s="26">
        <v>45771</v>
      </c>
      <c r="C1144" s="51">
        <f t="shared" si="177"/>
        <v>1140</v>
      </c>
      <c r="D1144" s="27" t="s">
        <v>305</v>
      </c>
      <c r="E1144" s="26" t="s">
        <v>1319</v>
      </c>
      <c r="F1144" s="28" t="s">
        <v>11</v>
      </c>
      <c r="G1144" s="28" t="s">
        <v>11</v>
      </c>
      <c r="H1144" s="254"/>
      <c r="I1144" s="49">
        <v>3</v>
      </c>
      <c r="J1144" s="49">
        <v>3</v>
      </c>
      <c r="K1144" s="52">
        <f t="shared" si="178"/>
        <v>1</v>
      </c>
      <c r="L1144" s="209">
        <f t="shared" si="179"/>
        <v>0</v>
      </c>
      <c r="M1144" s="210">
        <f t="shared" si="180"/>
        <v>0</v>
      </c>
      <c r="N1144" s="26">
        <v>45771</v>
      </c>
      <c r="O1144" s="26">
        <v>45771</v>
      </c>
      <c r="P1144" s="26">
        <v>45771</v>
      </c>
      <c r="Q1144" s="2">
        <f t="shared" si="172"/>
        <v>1</v>
      </c>
      <c r="S1144" s="7">
        <f t="shared" si="175"/>
        <v>1</v>
      </c>
      <c r="T1144" s="157">
        <f t="shared" si="176"/>
        <v>1</v>
      </c>
      <c r="V1144" s="191">
        <f t="shared" si="173"/>
        <v>4</v>
      </c>
      <c r="W1144" s="7">
        <f t="shared" si="174"/>
        <v>2025</v>
      </c>
    </row>
    <row r="1145" spans="2:23" ht="31.95" customHeight="1" thickBot="1" x14ac:dyDescent="0.35">
      <c r="B1145" s="26">
        <v>45771</v>
      </c>
      <c r="C1145" s="51">
        <f t="shared" si="177"/>
        <v>1141</v>
      </c>
      <c r="D1145" s="27" t="s">
        <v>269</v>
      </c>
      <c r="E1145" s="26" t="s">
        <v>1319</v>
      </c>
      <c r="F1145" s="28" t="s">
        <v>11</v>
      </c>
      <c r="G1145" s="28" t="s">
        <v>11</v>
      </c>
      <c r="H1145" s="254"/>
      <c r="I1145" s="49">
        <v>7</v>
      </c>
      <c r="J1145" s="49">
        <v>7</v>
      </c>
      <c r="K1145" s="52">
        <f t="shared" si="178"/>
        <v>1</v>
      </c>
      <c r="L1145" s="209">
        <f t="shared" si="179"/>
        <v>0</v>
      </c>
      <c r="M1145" s="210">
        <f t="shared" si="180"/>
        <v>0</v>
      </c>
      <c r="N1145" s="26">
        <v>45772</v>
      </c>
      <c r="O1145" s="26">
        <v>45772</v>
      </c>
      <c r="P1145" s="26">
        <v>45772</v>
      </c>
      <c r="Q1145" s="2">
        <f t="shared" si="172"/>
        <v>1</v>
      </c>
      <c r="S1145" s="7">
        <f t="shared" si="175"/>
        <v>1</v>
      </c>
      <c r="T1145" s="157">
        <f t="shared" si="176"/>
        <v>1</v>
      </c>
      <c r="V1145" s="191">
        <f t="shared" si="173"/>
        <v>4</v>
      </c>
      <c r="W1145" s="7">
        <f t="shared" si="174"/>
        <v>2025</v>
      </c>
    </row>
    <row r="1146" spans="2:23" ht="31.95" customHeight="1" thickBot="1" x14ac:dyDescent="0.35">
      <c r="B1146" s="26">
        <v>45771</v>
      </c>
      <c r="C1146" s="51">
        <f t="shared" si="177"/>
        <v>1142</v>
      </c>
      <c r="D1146" s="27" t="s">
        <v>915</v>
      </c>
      <c r="E1146" s="26" t="s">
        <v>192</v>
      </c>
      <c r="F1146" s="28" t="s">
        <v>11</v>
      </c>
      <c r="G1146" s="28" t="s">
        <v>11</v>
      </c>
      <c r="H1146" s="254"/>
      <c r="I1146" s="49">
        <v>1</v>
      </c>
      <c r="J1146" s="49">
        <v>1</v>
      </c>
      <c r="K1146" s="52">
        <f t="shared" si="178"/>
        <v>1</v>
      </c>
      <c r="L1146" s="209">
        <f t="shared" si="179"/>
        <v>0</v>
      </c>
      <c r="M1146" s="210">
        <f t="shared" si="180"/>
        <v>0</v>
      </c>
      <c r="N1146" s="26">
        <v>45775</v>
      </c>
      <c r="O1146" s="26">
        <v>45775</v>
      </c>
      <c r="P1146" s="26">
        <v>45775</v>
      </c>
      <c r="Q1146" s="2">
        <f t="shared" si="172"/>
        <v>1</v>
      </c>
      <c r="S1146" s="7">
        <f t="shared" si="175"/>
        <v>1</v>
      </c>
      <c r="T1146" s="157">
        <f t="shared" si="176"/>
        <v>1</v>
      </c>
      <c r="V1146" s="191">
        <f t="shared" si="173"/>
        <v>4</v>
      </c>
      <c r="W1146" s="7">
        <f t="shared" si="174"/>
        <v>2025</v>
      </c>
    </row>
    <row r="1147" spans="2:23" ht="31.95" customHeight="1" thickBot="1" x14ac:dyDescent="0.35">
      <c r="B1147" s="26">
        <v>45771</v>
      </c>
      <c r="C1147" s="51">
        <f t="shared" si="177"/>
        <v>1143</v>
      </c>
      <c r="D1147" s="27" t="s">
        <v>305</v>
      </c>
      <c r="E1147" s="26" t="s">
        <v>1319</v>
      </c>
      <c r="F1147" s="28" t="s">
        <v>11</v>
      </c>
      <c r="G1147" s="28" t="s">
        <v>11</v>
      </c>
      <c r="H1147" s="254"/>
      <c r="I1147" s="49">
        <v>2</v>
      </c>
      <c r="J1147" s="49">
        <v>2</v>
      </c>
      <c r="K1147" s="52">
        <f t="shared" si="178"/>
        <v>1</v>
      </c>
      <c r="L1147" s="209">
        <f t="shared" si="179"/>
        <v>0</v>
      </c>
      <c r="M1147" s="210">
        <f t="shared" si="180"/>
        <v>0</v>
      </c>
      <c r="N1147" s="26">
        <v>45771</v>
      </c>
      <c r="O1147" s="26">
        <v>45771</v>
      </c>
      <c r="P1147" s="26">
        <v>45771</v>
      </c>
      <c r="Q1147" s="2">
        <f t="shared" si="172"/>
        <v>1</v>
      </c>
      <c r="S1147" s="7">
        <f t="shared" si="175"/>
        <v>1</v>
      </c>
      <c r="T1147" s="157">
        <f t="shared" si="176"/>
        <v>1</v>
      </c>
      <c r="V1147" s="191">
        <f t="shared" si="173"/>
        <v>4</v>
      </c>
      <c r="W1147" s="7">
        <f t="shared" si="174"/>
        <v>2025</v>
      </c>
    </row>
    <row r="1148" spans="2:23" ht="31.95" customHeight="1" thickBot="1" x14ac:dyDescent="0.35">
      <c r="B1148" s="26">
        <v>45771</v>
      </c>
      <c r="C1148" s="51">
        <f t="shared" si="177"/>
        <v>1144</v>
      </c>
      <c r="D1148" s="27" t="s">
        <v>269</v>
      </c>
      <c r="E1148" s="26" t="s">
        <v>1319</v>
      </c>
      <c r="F1148" s="28" t="s">
        <v>11</v>
      </c>
      <c r="G1148" s="28" t="s">
        <v>11</v>
      </c>
      <c r="H1148" s="254"/>
      <c r="I1148" s="49">
        <v>2</v>
      </c>
      <c r="J1148" s="49">
        <v>2</v>
      </c>
      <c r="K1148" s="52">
        <f t="shared" si="178"/>
        <v>1</v>
      </c>
      <c r="L1148" s="209">
        <f t="shared" si="179"/>
        <v>0</v>
      </c>
      <c r="M1148" s="210">
        <f t="shared" si="180"/>
        <v>0</v>
      </c>
      <c r="N1148" s="26">
        <v>45772</v>
      </c>
      <c r="O1148" s="26">
        <v>45772</v>
      </c>
      <c r="P1148" s="26">
        <v>45772</v>
      </c>
      <c r="Q1148" s="2">
        <f t="shared" si="172"/>
        <v>1</v>
      </c>
      <c r="S1148" s="7">
        <f t="shared" si="175"/>
        <v>1</v>
      </c>
      <c r="T1148" s="157">
        <f t="shared" si="176"/>
        <v>1</v>
      </c>
      <c r="V1148" s="191">
        <f t="shared" si="173"/>
        <v>4</v>
      </c>
      <c r="W1148" s="7">
        <f t="shared" si="174"/>
        <v>2025</v>
      </c>
    </row>
    <row r="1149" spans="2:23" ht="31.95" customHeight="1" thickBot="1" x14ac:dyDescent="0.35">
      <c r="B1149" s="26">
        <v>45771</v>
      </c>
      <c r="C1149" s="51">
        <f t="shared" si="177"/>
        <v>1145</v>
      </c>
      <c r="D1149" s="27" t="s">
        <v>1150</v>
      </c>
      <c r="E1149" s="26" t="s">
        <v>195</v>
      </c>
      <c r="F1149" s="28" t="s">
        <v>11</v>
      </c>
      <c r="G1149" s="28" t="s">
        <v>11</v>
      </c>
      <c r="H1149" s="254"/>
      <c r="I1149" s="49">
        <v>1</v>
      </c>
      <c r="J1149" s="49">
        <v>1</v>
      </c>
      <c r="K1149" s="52">
        <f t="shared" si="178"/>
        <v>1</v>
      </c>
      <c r="L1149" s="209">
        <f t="shared" si="179"/>
        <v>0</v>
      </c>
      <c r="M1149" s="210">
        <f t="shared" si="180"/>
        <v>0</v>
      </c>
      <c r="N1149" s="26">
        <v>45772</v>
      </c>
      <c r="O1149" s="26">
        <v>45772</v>
      </c>
      <c r="P1149" s="26">
        <v>45772</v>
      </c>
      <c r="Q1149" s="2">
        <f t="shared" si="172"/>
        <v>1</v>
      </c>
      <c r="S1149" s="7">
        <f t="shared" si="175"/>
        <v>1</v>
      </c>
      <c r="T1149" s="157">
        <f t="shared" si="176"/>
        <v>1</v>
      </c>
      <c r="V1149" s="191">
        <f t="shared" si="173"/>
        <v>4</v>
      </c>
      <c r="W1149" s="7">
        <f t="shared" si="174"/>
        <v>2025</v>
      </c>
    </row>
    <row r="1150" spans="2:23" ht="31.95" customHeight="1" thickBot="1" x14ac:dyDescent="0.35">
      <c r="B1150" s="26">
        <v>45775</v>
      </c>
      <c r="C1150" s="51">
        <f t="shared" si="177"/>
        <v>1146</v>
      </c>
      <c r="D1150" s="27" t="s">
        <v>321</v>
      </c>
      <c r="E1150" s="26" t="s">
        <v>1319</v>
      </c>
      <c r="F1150" s="28" t="s">
        <v>11</v>
      </c>
      <c r="G1150" s="28" t="s">
        <v>11</v>
      </c>
      <c r="H1150" s="254"/>
      <c r="I1150" s="49">
        <v>3</v>
      </c>
      <c r="J1150" s="49">
        <v>3</v>
      </c>
      <c r="K1150" s="52">
        <f t="shared" si="178"/>
        <v>1</v>
      </c>
      <c r="L1150" s="209">
        <f t="shared" si="179"/>
        <v>0</v>
      </c>
      <c r="M1150" s="210">
        <f t="shared" si="180"/>
        <v>0</v>
      </c>
      <c r="N1150" s="26">
        <v>45776</v>
      </c>
      <c r="O1150" s="26">
        <v>45776</v>
      </c>
      <c r="P1150" s="26">
        <v>45776</v>
      </c>
      <c r="Q1150" s="2">
        <f t="shared" si="172"/>
        <v>1</v>
      </c>
      <c r="S1150" s="7">
        <f t="shared" si="175"/>
        <v>1</v>
      </c>
      <c r="T1150" s="157">
        <f t="shared" si="176"/>
        <v>1</v>
      </c>
      <c r="V1150" s="191">
        <f t="shared" si="173"/>
        <v>4</v>
      </c>
      <c r="W1150" s="7">
        <f t="shared" si="174"/>
        <v>2025</v>
      </c>
    </row>
    <row r="1151" spans="2:23" ht="31.95" customHeight="1" thickBot="1" x14ac:dyDescent="0.35">
      <c r="B1151" s="26">
        <v>45775</v>
      </c>
      <c r="C1151" s="51">
        <f t="shared" si="177"/>
        <v>1147</v>
      </c>
      <c r="D1151" s="27" t="s">
        <v>915</v>
      </c>
      <c r="E1151" s="26" t="s">
        <v>195</v>
      </c>
      <c r="F1151" s="28" t="s">
        <v>11</v>
      </c>
      <c r="G1151" s="28" t="s">
        <v>11</v>
      </c>
      <c r="H1151" s="254"/>
      <c r="I1151" s="49">
        <v>1</v>
      </c>
      <c r="J1151" s="49">
        <v>1</v>
      </c>
      <c r="K1151" s="52">
        <f t="shared" si="178"/>
        <v>1</v>
      </c>
      <c r="L1151" s="209">
        <f t="shared" si="179"/>
        <v>0</v>
      </c>
      <c r="M1151" s="210">
        <f t="shared" si="180"/>
        <v>0</v>
      </c>
      <c r="N1151" s="26">
        <v>45776</v>
      </c>
      <c r="O1151" s="26">
        <v>45776</v>
      </c>
      <c r="P1151" s="26">
        <v>45776</v>
      </c>
      <c r="Q1151" s="2">
        <f t="shared" si="172"/>
        <v>1</v>
      </c>
      <c r="S1151" s="7">
        <f t="shared" si="175"/>
        <v>1</v>
      </c>
      <c r="T1151" s="157">
        <f t="shared" si="176"/>
        <v>1</v>
      </c>
      <c r="V1151" s="191">
        <f t="shared" si="173"/>
        <v>4</v>
      </c>
      <c r="W1151" s="7">
        <f t="shared" si="174"/>
        <v>2025</v>
      </c>
    </row>
    <row r="1152" spans="2:23" ht="31.95" customHeight="1" thickBot="1" x14ac:dyDescent="0.35">
      <c r="B1152" s="26">
        <v>45775</v>
      </c>
      <c r="C1152" s="51">
        <f t="shared" si="177"/>
        <v>1148</v>
      </c>
      <c r="D1152" s="27" t="s">
        <v>269</v>
      </c>
      <c r="E1152" s="26" t="s">
        <v>1319</v>
      </c>
      <c r="F1152" s="28" t="s">
        <v>11</v>
      </c>
      <c r="G1152" s="28" t="s">
        <v>11</v>
      </c>
      <c r="H1152" s="254"/>
      <c r="I1152" s="49">
        <v>3</v>
      </c>
      <c r="J1152" s="49">
        <v>3</v>
      </c>
      <c r="K1152" s="52">
        <f t="shared" si="178"/>
        <v>1</v>
      </c>
      <c r="L1152" s="209">
        <f t="shared" si="179"/>
        <v>0</v>
      </c>
      <c r="M1152" s="210">
        <f t="shared" si="180"/>
        <v>0</v>
      </c>
      <c r="N1152" s="26">
        <v>45776</v>
      </c>
      <c r="O1152" s="26">
        <v>45776</v>
      </c>
      <c r="P1152" s="26">
        <v>45776</v>
      </c>
      <c r="Q1152" s="2">
        <f t="shared" si="172"/>
        <v>1</v>
      </c>
      <c r="S1152" s="7">
        <f t="shared" si="175"/>
        <v>1</v>
      </c>
      <c r="T1152" s="157">
        <f t="shared" si="176"/>
        <v>1</v>
      </c>
      <c r="V1152" s="191">
        <f t="shared" si="173"/>
        <v>4</v>
      </c>
      <c r="W1152" s="7">
        <f t="shared" si="174"/>
        <v>2025</v>
      </c>
    </row>
    <row r="1153" spans="2:23" ht="31.95" customHeight="1" thickBot="1" x14ac:dyDescent="0.35">
      <c r="B1153" s="26">
        <v>45776</v>
      </c>
      <c r="C1153" s="51">
        <f t="shared" si="177"/>
        <v>1149</v>
      </c>
      <c r="D1153" s="27" t="s">
        <v>269</v>
      </c>
      <c r="E1153" s="26" t="s">
        <v>1319</v>
      </c>
      <c r="F1153" s="28" t="s">
        <v>11</v>
      </c>
      <c r="G1153" s="28" t="s">
        <v>11</v>
      </c>
      <c r="H1153" s="254"/>
      <c r="I1153" s="49">
        <v>9</v>
      </c>
      <c r="J1153" s="49">
        <v>9</v>
      </c>
      <c r="K1153" s="52">
        <f t="shared" si="178"/>
        <v>1</v>
      </c>
      <c r="L1153" s="209">
        <f t="shared" si="179"/>
        <v>0</v>
      </c>
      <c r="M1153" s="210">
        <f t="shared" si="180"/>
        <v>0</v>
      </c>
      <c r="N1153" s="26">
        <v>45776</v>
      </c>
      <c r="O1153" s="26">
        <v>45776</v>
      </c>
      <c r="P1153" s="26">
        <v>45776</v>
      </c>
      <c r="Q1153" s="2">
        <f t="shared" si="172"/>
        <v>1</v>
      </c>
      <c r="S1153" s="7">
        <f t="shared" si="175"/>
        <v>1</v>
      </c>
      <c r="T1153" s="157">
        <f t="shared" si="176"/>
        <v>1</v>
      </c>
      <c r="V1153" s="191">
        <f t="shared" si="173"/>
        <v>4</v>
      </c>
      <c r="W1153" s="7">
        <f t="shared" si="174"/>
        <v>2025</v>
      </c>
    </row>
    <row r="1154" spans="2:23" ht="31.95" customHeight="1" thickBot="1" x14ac:dyDescent="0.35">
      <c r="B1154" s="26">
        <v>45777</v>
      </c>
      <c r="C1154" s="51">
        <f t="shared" si="177"/>
        <v>1150</v>
      </c>
      <c r="D1154" s="27" t="s">
        <v>1150</v>
      </c>
      <c r="E1154" s="26" t="s">
        <v>196</v>
      </c>
      <c r="F1154" s="28" t="s">
        <v>11</v>
      </c>
      <c r="G1154" s="28" t="s">
        <v>11</v>
      </c>
      <c r="H1154" s="254"/>
      <c r="I1154" s="49">
        <v>2</v>
      </c>
      <c r="J1154" s="49">
        <v>2</v>
      </c>
      <c r="K1154" s="52">
        <f t="shared" si="178"/>
        <v>1</v>
      </c>
      <c r="L1154" s="209">
        <f t="shared" si="179"/>
        <v>0</v>
      </c>
      <c r="M1154" s="210">
        <f t="shared" si="180"/>
        <v>0</v>
      </c>
      <c r="N1154" s="26">
        <v>45777</v>
      </c>
      <c r="O1154" s="26">
        <v>45777</v>
      </c>
      <c r="P1154" s="26">
        <v>45777</v>
      </c>
      <c r="Q1154" s="2">
        <f t="shared" si="172"/>
        <v>1</v>
      </c>
      <c r="S1154" s="7">
        <f t="shared" si="175"/>
        <v>1</v>
      </c>
      <c r="T1154" s="157">
        <f t="shared" si="176"/>
        <v>1</v>
      </c>
      <c r="V1154" s="191">
        <f t="shared" si="173"/>
        <v>4</v>
      </c>
      <c r="W1154" s="7">
        <f t="shared" si="174"/>
        <v>2025</v>
      </c>
    </row>
    <row r="1155" spans="2:23" ht="31.95" customHeight="1" thickBot="1" x14ac:dyDescent="0.35">
      <c r="B1155" s="26">
        <v>45777</v>
      </c>
      <c r="C1155" s="51">
        <f t="shared" si="177"/>
        <v>1151</v>
      </c>
      <c r="D1155" s="27" t="s">
        <v>885</v>
      </c>
      <c r="E1155" s="26" t="s">
        <v>195</v>
      </c>
      <c r="F1155" s="28" t="s">
        <v>11</v>
      </c>
      <c r="G1155" s="28" t="s">
        <v>11</v>
      </c>
      <c r="H1155" s="254"/>
      <c r="I1155" s="49">
        <v>2</v>
      </c>
      <c r="J1155" s="49">
        <v>2</v>
      </c>
      <c r="K1155" s="52">
        <f t="shared" si="178"/>
        <v>1</v>
      </c>
      <c r="L1155" s="209">
        <f t="shared" si="179"/>
        <v>0</v>
      </c>
      <c r="M1155" s="210">
        <f t="shared" si="180"/>
        <v>0</v>
      </c>
      <c r="N1155" s="26">
        <v>45784</v>
      </c>
      <c r="O1155" s="26">
        <v>45784</v>
      </c>
      <c r="P1155" s="26">
        <v>45784</v>
      </c>
      <c r="Q1155" s="2">
        <f t="shared" si="172"/>
        <v>1</v>
      </c>
      <c r="S1155" s="7">
        <f t="shared" si="175"/>
        <v>1</v>
      </c>
      <c r="T1155" s="157">
        <f t="shared" si="176"/>
        <v>1</v>
      </c>
      <c r="V1155" s="191">
        <f t="shared" si="173"/>
        <v>4</v>
      </c>
      <c r="W1155" s="7">
        <f t="shared" si="174"/>
        <v>2025</v>
      </c>
    </row>
    <row r="1156" spans="2:23" ht="31.95" customHeight="1" thickBot="1" x14ac:dyDescent="0.35">
      <c r="B1156" s="26">
        <v>45779</v>
      </c>
      <c r="C1156" s="51">
        <f t="shared" si="177"/>
        <v>1152</v>
      </c>
      <c r="D1156" s="27" t="s">
        <v>602</v>
      </c>
      <c r="E1156" s="26" t="s">
        <v>192</v>
      </c>
      <c r="F1156" s="28" t="s">
        <v>11</v>
      </c>
      <c r="G1156" s="28" t="s">
        <v>11</v>
      </c>
      <c r="H1156" s="254"/>
      <c r="I1156" s="49">
        <v>1</v>
      </c>
      <c r="J1156" s="49">
        <v>1</v>
      </c>
      <c r="K1156" s="52">
        <f t="shared" si="178"/>
        <v>1</v>
      </c>
      <c r="L1156" s="209">
        <f t="shared" si="179"/>
        <v>0</v>
      </c>
      <c r="M1156" s="210">
        <f t="shared" si="180"/>
        <v>0</v>
      </c>
      <c r="N1156" s="26">
        <v>45785</v>
      </c>
      <c r="O1156" s="26">
        <v>45785</v>
      </c>
      <c r="P1156" s="26">
        <v>45785</v>
      </c>
      <c r="Q1156" s="2">
        <f t="shared" si="172"/>
        <v>1</v>
      </c>
      <c r="S1156" s="7">
        <f t="shared" si="175"/>
        <v>1</v>
      </c>
      <c r="T1156" s="157">
        <f t="shared" si="176"/>
        <v>1</v>
      </c>
      <c r="V1156" s="191">
        <f t="shared" si="173"/>
        <v>5</v>
      </c>
      <c r="W1156" s="7">
        <f t="shared" si="174"/>
        <v>2025</v>
      </c>
    </row>
    <row r="1157" spans="2:23" ht="31.95" customHeight="1" thickBot="1" x14ac:dyDescent="0.35">
      <c r="B1157" s="26">
        <v>45782</v>
      </c>
      <c r="C1157" s="51">
        <f t="shared" si="177"/>
        <v>1153</v>
      </c>
      <c r="D1157" s="27" t="s">
        <v>524</v>
      </c>
      <c r="E1157" s="26" t="s">
        <v>196</v>
      </c>
      <c r="F1157" s="28" t="s">
        <v>11</v>
      </c>
      <c r="G1157" s="28" t="s">
        <v>11</v>
      </c>
      <c r="H1157" s="254"/>
      <c r="I1157" s="49">
        <v>1</v>
      </c>
      <c r="J1157" s="49">
        <v>1</v>
      </c>
      <c r="K1157" s="52">
        <f t="shared" si="178"/>
        <v>1</v>
      </c>
      <c r="L1157" s="209">
        <f t="shared" si="179"/>
        <v>0</v>
      </c>
      <c r="M1157" s="210">
        <f t="shared" si="180"/>
        <v>0</v>
      </c>
      <c r="N1157" s="26">
        <v>45782</v>
      </c>
      <c r="O1157" s="26">
        <v>45782</v>
      </c>
      <c r="P1157" s="26">
        <v>45782</v>
      </c>
      <c r="Q1157" s="2">
        <f t="shared" ref="Q1157:Q1220" si="181">IF(B1157&lt;&gt;"",1,0)</f>
        <v>1</v>
      </c>
      <c r="S1157" s="7">
        <f t="shared" si="175"/>
        <v>1</v>
      </c>
      <c r="T1157" s="157">
        <f t="shared" si="176"/>
        <v>1</v>
      </c>
      <c r="V1157" s="191">
        <f t="shared" ref="V1157:V1220" si="182">MONTH(B1157)</f>
        <v>5</v>
      </c>
      <c r="W1157" s="7">
        <f t="shared" ref="W1157:W1220" si="183">YEAR(B1157)</f>
        <v>2025</v>
      </c>
    </row>
    <row r="1158" spans="2:23" ht="31.95" customHeight="1" thickBot="1" x14ac:dyDescent="0.35">
      <c r="B1158" s="26">
        <v>45782</v>
      </c>
      <c r="C1158" s="51">
        <f t="shared" si="177"/>
        <v>1154</v>
      </c>
      <c r="D1158" s="27" t="s">
        <v>442</v>
      </c>
      <c r="E1158" s="26" t="s">
        <v>11</v>
      </c>
      <c r="F1158" s="28" t="s">
        <v>11</v>
      </c>
      <c r="G1158" s="28" t="s">
        <v>11</v>
      </c>
      <c r="H1158" s="254"/>
      <c r="I1158" s="49">
        <v>11</v>
      </c>
      <c r="J1158" s="49">
        <v>11</v>
      </c>
      <c r="K1158" s="52">
        <f t="shared" si="178"/>
        <v>1</v>
      </c>
      <c r="L1158" s="209">
        <f t="shared" si="179"/>
        <v>0</v>
      </c>
      <c r="M1158" s="210">
        <f t="shared" si="180"/>
        <v>0</v>
      </c>
      <c r="N1158" s="26">
        <v>45783</v>
      </c>
      <c r="O1158" s="26">
        <v>45783</v>
      </c>
      <c r="P1158" s="26">
        <v>45783</v>
      </c>
      <c r="Q1158" s="2">
        <f t="shared" si="181"/>
        <v>1</v>
      </c>
      <c r="S1158" s="7">
        <f t="shared" ref="S1158:S1221" si="184">IF(AND(O1158&lt;=N1158,O1158&lt;&gt;""),1,0)</f>
        <v>1</v>
      </c>
      <c r="T1158" s="157">
        <f t="shared" ref="T1158:T1221" si="185">IF(AND(P1158&lt;=N1158,P1158&lt;&gt;""),1,0)</f>
        <v>1</v>
      </c>
      <c r="V1158" s="191">
        <f t="shared" si="182"/>
        <v>5</v>
      </c>
      <c r="W1158" s="7">
        <f t="shared" si="183"/>
        <v>2025</v>
      </c>
    </row>
    <row r="1159" spans="2:23" ht="31.95" customHeight="1" thickBot="1" x14ac:dyDescent="0.35">
      <c r="B1159" s="26">
        <v>45783</v>
      </c>
      <c r="C1159" s="51">
        <f t="shared" ref="C1159:C1222" si="186">IF(B1159&lt;&gt;"",C1158+1,"")</f>
        <v>1155</v>
      </c>
      <c r="D1159" s="27" t="s">
        <v>1028</v>
      </c>
      <c r="E1159" s="26" t="s">
        <v>197</v>
      </c>
      <c r="F1159" s="28" t="s">
        <v>11</v>
      </c>
      <c r="G1159" s="28" t="s">
        <v>11</v>
      </c>
      <c r="H1159" s="254"/>
      <c r="I1159" s="49">
        <v>4</v>
      </c>
      <c r="J1159" s="49">
        <v>4</v>
      </c>
      <c r="K1159" s="52">
        <f t="shared" si="178"/>
        <v>1</v>
      </c>
      <c r="L1159" s="209">
        <f t="shared" si="179"/>
        <v>0</v>
      </c>
      <c r="M1159" s="210">
        <f t="shared" si="180"/>
        <v>0</v>
      </c>
      <c r="N1159" s="26">
        <v>45785</v>
      </c>
      <c r="O1159" s="26">
        <v>45785</v>
      </c>
      <c r="P1159" s="26">
        <v>45785</v>
      </c>
      <c r="Q1159" s="2">
        <f t="shared" si="181"/>
        <v>1</v>
      </c>
      <c r="S1159" s="7">
        <f t="shared" si="184"/>
        <v>1</v>
      </c>
      <c r="T1159" s="157">
        <f t="shared" si="185"/>
        <v>1</v>
      </c>
      <c r="V1159" s="191">
        <f t="shared" si="182"/>
        <v>5</v>
      </c>
      <c r="W1159" s="7">
        <f t="shared" si="183"/>
        <v>2025</v>
      </c>
    </row>
    <row r="1160" spans="2:23" ht="31.95" customHeight="1" thickBot="1" x14ac:dyDescent="0.35">
      <c r="B1160" s="26">
        <v>45793</v>
      </c>
      <c r="C1160" s="51">
        <f t="shared" si="186"/>
        <v>1156</v>
      </c>
      <c r="D1160" s="27" t="s">
        <v>269</v>
      </c>
      <c r="E1160" s="26" t="s">
        <v>198</v>
      </c>
      <c r="F1160" s="28" t="s">
        <v>11</v>
      </c>
      <c r="G1160" s="28" t="s">
        <v>11</v>
      </c>
      <c r="H1160" s="254"/>
      <c r="I1160" s="49">
        <v>5</v>
      </c>
      <c r="J1160" s="49">
        <v>5</v>
      </c>
      <c r="K1160" s="52">
        <f t="shared" si="178"/>
        <v>1</v>
      </c>
      <c r="L1160" s="209">
        <f t="shared" si="179"/>
        <v>0</v>
      </c>
      <c r="M1160" s="210">
        <f t="shared" si="180"/>
        <v>0</v>
      </c>
      <c r="N1160" s="26">
        <v>45793</v>
      </c>
      <c r="O1160" s="26">
        <v>45793</v>
      </c>
      <c r="P1160" s="26">
        <v>45793</v>
      </c>
      <c r="Q1160" s="2">
        <f t="shared" si="181"/>
        <v>1</v>
      </c>
      <c r="S1160" s="7">
        <f t="shared" si="184"/>
        <v>1</v>
      </c>
      <c r="T1160" s="157">
        <f t="shared" si="185"/>
        <v>1</v>
      </c>
      <c r="V1160" s="191">
        <f t="shared" si="182"/>
        <v>5</v>
      </c>
      <c r="W1160" s="7">
        <f t="shared" si="183"/>
        <v>2025</v>
      </c>
    </row>
    <row r="1161" spans="2:23" ht="31.95" customHeight="1" thickBot="1" x14ac:dyDescent="0.35">
      <c r="B1161" s="26">
        <v>45793</v>
      </c>
      <c r="C1161" s="51">
        <f t="shared" si="186"/>
        <v>1157</v>
      </c>
      <c r="D1161" s="27" t="s">
        <v>321</v>
      </c>
      <c r="E1161" s="26" t="s">
        <v>11</v>
      </c>
      <c r="F1161" s="28" t="s">
        <v>11</v>
      </c>
      <c r="G1161" s="28" t="s">
        <v>11</v>
      </c>
      <c r="H1161" s="254"/>
      <c r="I1161" s="49">
        <v>2</v>
      </c>
      <c r="J1161" s="49">
        <v>2</v>
      </c>
      <c r="K1161" s="52">
        <f t="shared" si="178"/>
        <v>1</v>
      </c>
      <c r="L1161" s="209">
        <f t="shared" si="179"/>
        <v>0</v>
      </c>
      <c r="M1161" s="210">
        <f t="shared" si="180"/>
        <v>0</v>
      </c>
      <c r="N1161" s="26">
        <v>45793</v>
      </c>
      <c r="O1161" s="26">
        <v>45793</v>
      </c>
      <c r="P1161" s="26">
        <v>45793</v>
      </c>
      <c r="Q1161" s="2">
        <f t="shared" si="181"/>
        <v>1</v>
      </c>
      <c r="S1161" s="7">
        <f t="shared" si="184"/>
        <v>1</v>
      </c>
      <c r="T1161" s="157">
        <f t="shared" si="185"/>
        <v>1</v>
      </c>
      <c r="V1161" s="191">
        <f t="shared" si="182"/>
        <v>5</v>
      </c>
      <c r="W1161" s="7">
        <f t="shared" si="183"/>
        <v>2025</v>
      </c>
    </row>
    <row r="1162" spans="2:23" ht="31.95" customHeight="1" thickBot="1" x14ac:dyDescent="0.35">
      <c r="B1162" s="26">
        <v>45793</v>
      </c>
      <c r="C1162" s="51">
        <f t="shared" si="186"/>
        <v>1158</v>
      </c>
      <c r="D1162" s="27" t="s">
        <v>575</v>
      </c>
      <c r="E1162" s="26" t="s">
        <v>195</v>
      </c>
      <c r="F1162" s="28" t="s">
        <v>11</v>
      </c>
      <c r="G1162" s="28" t="s">
        <v>11</v>
      </c>
      <c r="H1162" s="254"/>
      <c r="I1162" s="49">
        <v>1</v>
      </c>
      <c r="J1162" s="49">
        <v>1</v>
      </c>
      <c r="K1162" s="52">
        <f t="shared" si="178"/>
        <v>1</v>
      </c>
      <c r="L1162" s="209">
        <f t="shared" si="179"/>
        <v>0</v>
      </c>
      <c r="M1162" s="210">
        <f t="shared" si="180"/>
        <v>0</v>
      </c>
      <c r="N1162" s="26">
        <v>45797</v>
      </c>
      <c r="O1162" s="26">
        <v>45797</v>
      </c>
      <c r="P1162" s="26">
        <v>45797</v>
      </c>
      <c r="Q1162" s="2">
        <f t="shared" si="181"/>
        <v>1</v>
      </c>
      <c r="S1162" s="7">
        <f t="shared" si="184"/>
        <v>1</v>
      </c>
      <c r="T1162" s="157">
        <f t="shared" si="185"/>
        <v>1</v>
      </c>
      <c r="V1162" s="191">
        <f t="shared" si="182"/>
        <v>5</v>
      </c>
      <c r="W1162" s="7">
        <f t="shared" si="183"/>
        <v>2025</v>
      </c>
    </row>
    <row r="1163" spans="2:23" ht="31.95" customHeight="1" thickBot="1" x14ac:dyDescent="0.35">
      <c r="B1163" s="26">
        <v>45793</v>
      </c>
      <c r="C1163" s="51">
        <f t="shared" si="186"/>
        <v>1159</v>
      </c>
      <c r="D1163" s="27" t="s">
        <v>340</v>
      </c>
      <c r="E1163" s="26" t="s">
        <v>195</v>
      </c>
      <c r="F1163" s="28" t="s">
        <v>11</v>
      </c>
      <c r="G1163" s="28" t="s">
        <v>11</v>
      </c>
      <c r="H1163" s="254"/>
      <c r="I1163" s="49">
        <v>5</v>
      </c>
      <c r="J1163" s="49">
        <v>5</v>
      </c>
      <c r="K1163" s="52">
        <f t="shared" si="178"/>
        <v>1</v>
      </c>
      <c r="L1163" s="209">
        <f t="shared" si="179"/>
        <v>0</v>
      </c>
      <c r="M1163" s="210">
        <f t="shared" si="180"/>
        <v>0</v>
      </c>
      <c r="N1163" s="26">
        <v>45800</v>
      </c>
      <c r="O1163" s="26">
        <v>45800</v>
      </c>
      <c r="P1163" s="26">
        <v>45800</v>
      </c>
      <c r="Q1163" s="2">
        <f t="shared" si="181"/>
        <v>1</v>
      </c>
      <c r="S1163" s="7">
        <f t="shared" si="184"/>
        <v>1</v>
      </c>
      <c r="T1163" s="157">
        <f t="shared" si="185"/>
        <v>1</v>
      </c>
      <c r="V1163" s="191">
        <f t="shared" si="182"/>
        <v>5</v>
      </c>
      <c r="W1163" s="7">
        <f t="shared" si="183"/>
        <v>2025</v>
      </c>
    </row>
    <row r="1164" spans="2:23" ht="31.95" customHeight="1" thickBot="1" x14ac:dyDescent="0.35">
      <c r="B1164" s="26">
        <v>45793</v>
      </c>
      <c r="C1164" s="51">
        <f t="shared" si="186"/>
        <v>1160</v>
      </c>
      <c r="D1164" s="27" t="s">
        <v>978</v>
      </c>
      <c r="E1164" s="26" t="s">
        <v>1321</v>
      </c>
      <c r="F1164" s="28" t="s">
        <v>11</v>
      </c>
      <c r="G1164" s="28" t="s">
        <v>11</v>
      </c>
      <c r="H1164" s="254"/>
      <c r="I1164" s="49">
        <v>3</v>
      </c>
      <c r="J1164" s="49">
        <v>3</v>
      </c>
      <c r="K1164" s="52">
        <f t="shared" si="178"/>
        <v>1</v>
      </c>
      <c r="L1164" s="209">
        <f t="shared" si="179"/>
        <v>0</v>
      </c>
      <c r="M1164" s="210">
        <f t="shared" si="180"/>
        <v>0</v>
      </c>
      <c r="N1164" s="26">
        <v>45796</v>
      </c>
      <c r="O1164" s="26">
        <v>45796</v>
      </c>
      <c r="P1164" s="26">
        <v>45796</v>
      </c>
      <c r="Q1164" s="2">
        <f t="shared" si="181"/>
        <v>1</v>
      </c>
      <c r="S1164" s="7">
        <f t="shared" si="184"/>
        <v>1</v>
      </c>
      <c r="T1164" s="157">
        <f t="shared" si="185"/>
        <v>1</v>
      </c>
      <c r="V1164" s="191">
        <f t="shared" si="182"/>
        <v>5</v>
      </c>
      <c r="W1164" s="7">
        <f t="shared" si="183"/>
        <v>2025</v>
      </c>
    </row>
    <row r="1165" spans="2:23" ht="31.95" customHeight="1" thickBot="1" x14ac:dyDescent="0.35">
      <c r="B1165" s="26">
        <v>45796</v>
      </c>
      <c r="C1165" s="51">
        <f t="shared" si="186"/>
        <v>1161</v>
      </c>
      <c r="D1165" s="27" t="s">
        <v>269</v>
      </c>
      <c r="E1165" s="26" t="s">
        <v>11</v>
      </c>
      <c r="F1165" s="28" t="s">
        <v>11</v>
      </c>
      <c r="G1165" s="28" t="s">
        <v>11</v>
      </c>
      <c r="H1165" s="254"/>
      <c r="I1165" s="49">
        <v>1</v>
      </c>
      <c r="J1165" s="49">
        <v>1</v>
      </c>
      <c r="K1165" s="52">
        <f t="shared" si="178"/>
        <v>1</v>
      </c>
      <c r="L1165" s="209">
        <f t="shared" si="179"/>
        <v>0</v>
      </c>
      <c r="M1165" s="210">
        <f t="shared" si="180"/>
        <v>0</v>
      </c>
      <c r="N1165" s="26">
        <v>45797</v>
      </c>
      <c r="O1165" s="26">
        <v>45797</v>
      </c>
      <c r="P1165" s="26">
        <v>45797</v>
      </c>
      <c r="Q1165" s="2">
        <f t="shared" si="181"/>
        <v>1</v>
      </c>
      <c r="S1165" s="7">
        <f t="shared" si="184"/>
        <v>1</v>
      </c>
      <c r="T1165" s="157">
        <f t="shared" si="185"/>
        <v>1</v>
      </c>
      <c r="V1165" s="191">
        <f t="shared" si="182"/>
        <v>5</v>
      </c>
      <c r="W1165" s="7">
        <f t="shared" si="183"/>
        <v>2025</v>
      </c>
    </row>
    <row r="1166" spans="2:23" ht="31.95" customHeight="1" thickBot="1" x14ac:dyDescent="0.35">
      <c r="B1166" s="26">
        <v>45796</v>
      </c>
      <c r="C1166" s="51">
        <f t="shared" si="186"/>
        <v>1162</v>
      </c>
      <c r="D1166" s="27" t="s">
        <v>470</v>
      </c>
      <c r="E1166" s="26" t="s">
        <v>198</v>
      </c>
      <c r="F1166" s="28" t="s">
        <v>11</v>
      </c>
      <c r="G1166" s="28" t="s">
        <v>11</v>
      </c>
      <c r="H1166" s="254"/>
      <c r="I1166" s="49">
        <v>2</v>
      </c>
      <c r="J1166" s="49">
        <v>2</v>
      </c>
      <c r="K1166" s="52">
        <f t="shared" si="178"/>
        <v>1</v>
      </c>
      <c r="L1166" s="209">
        <f t="shared" si="179"/>
        <v>0</v>
      </c>
      <c r="M1166" s="210">
        <f t="shared" si="180"/>
        <v>0</v>
      </c>
      <c r="N1166" s="26">
        <v>45797</v>
      </c>
      <c r="O1166" s="26">
        <v>45797</v>
      </c>
      <c r="P1166" s="26">
        <v>45797</v>
      </c>
      <c r="Q1166" s="2">
        <f t="shared" si="181"/>
        <v>1</v>
      </c>
      <c r="S1166" s="7">
        <f t="shared" si="184"/>
        <v>1</v>
      </c>
      <c r="T1166" s="157">
        <f t="shared" si="185"/>
        <v>1</v>
      </c>
      <c r="V1166" s="191">
        <f t="shared" si="182"/>
        <v>5</v>
      </c>
      <c r="W1166" s="7">
        <f t="shared" si="183"/>
        <v>2025</v>
      </c>
    </row>
    <row r="1167" spans="2:23" ht="31.95" customHeight="1" thickBot="1" x14ac:dyDescent="0.35">
      <c r="B1167" s="26">
        <v>45796</v>
      </c>
      <c r="C1167" s="51">
        <f t="shared" si="186"/>
        <v>1163</v>
      </c>
      <c r="D1167" s="27" t="s">
        <v>915</v>
      </c>
      <c r="E1167" s="26" t="s">
        <v>198</v>
      </c>
      <c r="F1167" s="28" t="s">
        <v>11</v>
      </c>
      <c r="G1167" s="28" t="s">
        <v>11</v>
      </c>
      <c r="H1167" s="254"/>
      <c r="I1167" s="49">
        <v>1</v>
      </c>
      <c r="J1167" s="49">
        <v>1</v>
      </c>
      <c r="K1167" s="52">
        <f t="shared" si="178"/>
        <v>1</v>
      </c>
      <c r="L1167" s="209">
        <f t="shared" si="179"/>
        <v>0</v>
      </c>
      <c r="M1167" s="210">
        <f t="shared" si="180"/>
        <v>0</v>
      </c>
      <c r="N1167" s="26">
        <v>45797</v>
      </c>
      <c r="O1167" s="26">
        <v>45797</v>
      </c>
      <c r="P1167" s="26">
        <v>45797</v>
      </c>
      <c r="Q1167" s="2">
        <f t="shared" si="181"/>
        <v>1</v>
      </c>
      <c r="S1167" s="7">
        <f t="shared" si="184"/>
        <v>1</v>
      </c>
      <c r="T1167" s="157">
        <f t="shared" si="185"/>
        <v>1</v>
      </c>
      <c r="V1167" s="191">
        <f t="shared" si="182"/>
        <v>5</v>
      </c>
      <c r="W1167" s="7">
        <f t="shared" si="183"/>
        <v>2025</v>
      </c>
    </row>
    <row r="1168" spans="2:23" ht="31.95" customHeight="1" thickBot="1" x14ac:dyDescent="0.35">
      <c r="B1168" s="26">
        <v>45799</v>
      </c>
      <c r="C1168" s="51">
        <f t="shared" si="186"/>
        <v>1164</v>
      </c>
      <c r="D1168" s="27" t="s">
        <v>858</v>
      </c>
      <c r="E1168" s="26" t="s">
        <v>198</v>
      </c>
      <c r="F1168" s="28" t="s">
        <v>11</v>
      </c>
      <c r="G1168" s="28" t="s">
        <v>11</v>
      </c>
      <c r="H1168" s="254"/>
      <c r="I1168" s="49">
        <v>3</v>
      </c>
      <c r="J1168" s="49">
        <v>3</v>
      </c>
      <c r="K1168" s="52">
        <f t="shared" si="178"/>
        <v>1</v>
      </c>
      <c r="L1168" s="209">
        <f t="shared" si="179"/>
        <v>0</v>
      </c>
      <c r="M1168" s="210">
        <f t="shared" si="180"/>
        <v>0</v>
      </c>
      <c r="N1168" s="26">
        <v>45799</v>
      </c>
      <c r="O1168" s="26">
        <v>45799</v>
      </c>
      <c r="P1168" s="26">
        <v>45799</v>
      </c>
      <c r="Q1168" s="2">
        <f t="shared" si="181"/>
        <v>1</v>
      </c>
      <c r="S1168" s="7">
        <f t="shared" si="184"/>
        <v>1</v>
      </c>
      <c r="T1168" s="157">
        <f t="shared" si="185"/>
        <v>1</v>
      </c>
      <c r="V1168" s="191">
        <f t="shared" si="182"/>
        <v>5</v>
      </c>
      <c r="W1168" s="7">
        <f t="shared" si="183"/>
        <v>2025</v>
      </c>
    </row>
    <row r="1169" spans="2:23" ht="31.95" customHeight="1" thickBot="1" x14ac:dyDescent="0.35">
      <c r="B1169" s="26">
        <v>45799</v>
      </c>
      <c r="C1169" s="51">
        <f t="shared" si="186"/>
        <v>1165</v>
      </c>
      <c r="D1169" s="27" t="s">
        <v>858</v>
      </c>
      <c r="E1169" s="26" t="s">
        <v>198</v>
      </c>
      <c r="F1169" s="28" t="s">
        <v>11</v>
      </c>
      <c r="G1169" s="28" t="s">
        <v>11</v>
      </c>
      <c r="H1169" s="254"/>
      <c r="I1169" s="49">
        <v>1</v>
      </c>
      <c r="J1169" s="49">
        <v>1</v>
      </c>
      <c r="K1169" s="52">
        <f t="shared" si="178"/>
        <v>1</v>
      </c>
      <c r="L1169" s="209">
        <f t="shared" si="179"/>
        <v>0</v>
      </c>
      <c r="M1169" s="210">
        <f t="shared" si="180"/>
        <v>0</v>
      </c>
      <c r="N1169" s="26">
        <v>45799</v>
      </c>
      <c r="O1169" s="26">
        <v>45799</v>
      </c>
      <c r="P1169" s="26">
        <v>45799</v>
      </c>
      <c r="Q1169" s="2">
        <f t="shared" si="181"/>
        <v>1</v>
      </c>
      <c r="S1169" s="7">
        <f t="shared" si="184"/>
        <v>1</v>
      </c>
      <c r="T1169" s="157">
        <f t="shared" si="185"/>
        <v>1</v>
      </c>
      <c r="V1169" s="191">
        <f t="shared" si="182"/>
        <v>5</v>
      </c>
      <c r="W1169" s="7">
        <f t="shared" si="183"/>
        <v>2025</v>
      </c>
    </row>
    <row r="1170" spans="2:23" ht="31.95" customHeight="1" thickBot="1" x14ac:dyDescent="0.35">
      <c r="B1170" s="26">
        <v>45799</v>
      </c>
      <c r="C1170" s="51">
        <f t="shared" si="186"/>
        <v>1166</v>
      </c>
      <c r="D1170" s="27" t="s">
        <v>340</v>
      </c>
      <c r="E1170" s="26" t="s">
        <v>195</v>
      </c>
      <c r="F1170" s="28" t="s">
        <v>11</v>
      </c>
      <c r="G1170" s="28" t="s">
        <v>11</v>
      </c>
      <c r="H1170" s="254"/>
      <c r="I1170" s="49">
        <v>3</v>
      </c>
      <c r="J1170" s="49">
        <v>3</v>
      </c>
      <c r="K1170" s="52">
        <f t="shared" si="178"/>
        <v>1</v>
      </c>
      <c r="L1170" s="209">
        <f t="shared" si="179"/>
        <v>0</v>
      </c>
      <c r="M1170" s="210">
        <f t="shared" si="180"/>
        <v>0</v>
      </c>
      <c r="N1170" s="26">
        <v>45806</v>
      </c>
      <c r="O1170" s="26">
        <v>45806</v>
      </c>
      <c r="P1170" s="26">
        <v>45806</v>
      </c>
      <c r="Q1170" s="2">
        <f t="shared" si="181"/>
        <v>1</v>
      </c>
      <c r="S1170" s="7">
        <f t="shared" si="184"/>
        <v>1</v>
      </c>
      <c r="T1170" s="157">
        <f t="shared" si="185"/>
        <v>1</v>
      </c>
      <c r="V1170" s="191">
        <f t="shared" si="182"/>
        <v>5</v>
      </c>
      <c r="W1170" s="7">
        <f t="shared" si="183"/>
        <v>2025</v>
      </c>
    </row>
    <row r="1171" spans="2:23" ht="31.95" customHeight="1" thickBot="1" x14ac:dyDescent="0.35">
      <c r="B1171" s="26">
        <v>45799</v>
      </c>
      <c r="C1171" s="51">
        <f t="shared" si="186"/>
        <v>1167</v>
      </c>
      <c r="D1171" s="27" t="s">
        <v>915</v>
      </c>
      <c r="E1171" s="26" t="s">
        <v>198</v>
      </c>
      <c r="F1171" s="28" t="s">
        <v>11</v>
      </c>
      <c r="G1171" s="28" t="s">
        <v>11</v>
      </c>
      <c r="H1171" s="254"/>
      <c r="I1171" s="49">
        <v>1</v>
      </c>
      <c r="J1171" s="49">
        <v>1</v>
      </c>
      <c r="K1171" s="52">
        <f t="shared" si="178"/>
        <v>1</v>
      </c>
      <c r="L1171" s="209">
        <f t="shared" si="179"/>
        <v>0</v>
      </c>
      <c r="M1171" s="210">
        <f t="shared" si="180"/>
        <v>0</v>
      </c>
      <c r="N1171" s="26">
        <v>45799</v>
      </c>
      <c r="O1171" s="26">
        <v>45799</v>
      </c>
      <c r="P1171" s="26">
        <v>45799</v>
      </c>
      <c r="Q1171" s="2">
        <f t="shared" si="181"/>
        <v>1</v>
      </c>
      <c r="S1171" s="7">
        <f t="shared" si="184"/>
        <v>1</v>
      </c>
      <c r="T1171" s="157">
        <f t="shared" si="185"/>
        <v>1</v>
      </c>
      <c r="V1171" s="191">
        <f t="shared" si="182"/>
        <v>5</v>
      </c>
      <c r="W1171" s="7">
        <f t="shared" si="183"/>
        <v>2025</v>
      </c>
    </row>
    <row r="1172" spans="2:23" ht="31.95" customHeight="1" thickBot="1" x14ac:dyDescent="0.35">
      <c r="B1172" s="26">
        <v>45800</v>
      </c>
      <c r="C1172" s="51">
        <f t="shared" si="186"/>
        <v>1168</v>
      </c>
      <c r="D1172" s="27" t="s">
        <v>305</v>
      </c>
      <c r="E1172" s="26" t="s">
        <v>11</v>
      </c>
      <c r="F1172" s="28" t="s">
        <v>11</v>
      </c>
      <c r="G1172" s="28" t="s">
        <v>11</v>
      </c>
      <c r="H1172" s="254"/>
      <c r="I1172" s="49">
        <v>1</v>
      </c>
      <c r="J1172" s="49">
        <v>1</v>
      </c>
      <c r="K1172" s="52">
        <f t="shared" si="178"/>
        <v>1</v>
      </c>
      <c r="L1172" s="209">
        <f t="shared" si="179"/>
        <v>0</v>
      </c>
      <c r="M1172" s="210">
        <f t="shared" si="180"/>
        <v>0</v>
      </c>
      <c r="N1172" s="26">
        <v>45800</v>
      </c>
      <c r="O1172" s="26">
        <v>45800</v>
      </c>
      <c r="P1172" s="26">
        <v>45800</v>
      </c>
      <c r="Q1172" s="2">
        <f t="shared" si="181"/>
        <v>1</v>
      </c>
      <c r="S1172" s="7">
        <f t="shared" si="184"/>
        <v>1</v>
      </c>
      <c r="T1172" s="157">
        <f t="shared" si="185"/>
        <v>1</v>
      </c>
      <c r="V1172" s="191">
        <f t="shared" si="182"/>
        <v>5</v>
      </c>
      <c r="W1172" s="7">
        <f t="shared" si="183"/>
        <v>2025</v>
      </c>
    </row>
    <row r="1173" spans="2:23" ht="31.95" customHeight="1" thickBot="1" x14ac:dyDescent="0.35">
      <c r="B1173" s="26">
        <v>45800</v>
      </c>
      <c r="C1173" s="51">
        <f t="shared" si="186"/>
        <v>1169</v>
      </c>
      <c r="D1173" s="27" t="s">
        <v>705</v>
      </c>
      <c r="E1173" s="26" t="s">
        <v>11</v>
      </c>
      <c r="F1173" s="28" t="s">
        <v>11</v>
      </c>
      <c r="G1173" s="28" t="s">
        <v>11</v>
      </c>
      <c r="H1173" s="254"/>
      <c r="I1173" s="49">
        <v>2</v>
      </c>
      <c r="J1173" s="49">
        <v>2</v>
      </c>
      <c r="K1173" s="52">
        <f t="shared" si="178"/>
        <v>1</v>
      </c>
      <c r="L1173" s="209">
        <f t="shared" si="179"/>
        <v>0</v>
      </c>
      <c r="M1173" s="210">
        <f t="shared" si="180"/>
        <v>0</v>
      </c>
      <c r="N1173" s="26">
        <v>45800</v>
      </c>
      <c r="O1173" s="26">
        <v>45800</v>
      </c>
      <c r="P1173" s="26">
        <v>45800</v>
      </c>
      <c r="Q1173" s="2">
        <f t="shared" si="181"/>
        <v>1</v>
      </c>
      <c r="S1173" s="7">
        <f t="shared" si="184"/>
        <v>1</v>
      </c>
      <c r="T1173" s="157">
        <f t="shared" si="185"/>
        <v>1</v>
      </c>
      <c r="V1173" s="191">
        <f t="shared" si="182"/>
        <v>5</v>
      </c>
      <c r="W1173" s="7">
        <f t="shared" si="183"/>
        <v>2025</v>
      </c>
    </row>
    <row r="1174" spans="2:23" ht="31.95" customHeight="1" thickBot="1" x14ac:dyDescent="0.35">
      <c r="B1174" s="26">
        <v>45801</v>
      </c>
      <c r="C1174" s="51">
        <f t="shared" si="186"/>
        <v>1170</v>
      </c>
      <c r="D1174" s="27" t="s">
        <v>269</v>
      </c>
      <c r="E1174" s="26" t="s">
        <v>11</v>
      </c>
      <c r="F1174" s="28" t="s">
        <v>11</v>
      </c>
      <c r="G1174" s="28" t="s">
        <v>11</v>
      </c>
      <c r="H1174" s="254"/>
      <c r="I1174" s="49">
        <v>1</v>
      </c>
      <c r="J1174" s="49">
        <v>1</v>
      </c>
      <c r="K1174" s="52">
        <f t="shared" si="178"/>
        <v>1</v>
      </c>
      <c r="L1174" s="209">
        <f t="shared" si="179"/>
        <v>0</v>
      </c>
      <c r="M1174" s="210">
        <f t="shared" si="180"/>
        <v>0</v>
      </c>
      <c r="N1174" s="26">
        <v>45803</v>
      </c>
      <c r="O1174" s="26">
        <v>45803</v>
      </c>
      <c r="P1174" s="26">
        <v>45803</v>
      </c>
      <c r="Q1174" s="2">
        <f t="shared" si="181"/>
        <v>1</v>
      </c>
      <c r="S1174" s="7">
        <f t="shared" si="184"/>
        <v>1</v>
      </c>
      <c r="T1174" s="157">
        <f t="shared" si="185"/>
        <v>1</v>
      </c>
      <c r="V1174" s="191">
        <f t="shared" si="182"/>
        <v>5</v>
      </c>
      <c r="W1174" s="7">
        <f t="shared" si="183"/>
        <v>2025</v>
      </c>
    </row>
    <row r="1175" spans="2:23" ht="31.95" customHeight="1" thickBot="1" x14ac:dyDescent="0.35">
      <c r="B1175" s="26">
        <v>45803</v>
      </c>
      <c r="C1175" s="51">
        <f t="shared" si="186"/>
        <v>1171</v>
      </c>
      <c r="D1175" s="27" t="s">
        <v>305</v>
      </c>
      <c r="E1175" s="26" t="s">
        <v>11</v>
      </c>
      <c r="F1175" s="28" t="s">
        <v>11</v>
      </c>
      <c r="G1175" s="28" t="s">
        <v>11</v>
      </c>
      <c r="H1175" s="254"/>
      <c r="I1175" s="49">
        <v>1</v>
      </c>
      <c r="J1175" s="49">
        <v>1</v>
      </c>
      <c r="K1175" s="52">
        <f t="shared" si="178"/>
        <v>1</v>
      </c>
      <c r="L1175" s="209">
        <f t="shared" si="179"/>
        <v>0</v>
      </c>
      <c r="M1175" s="210">
        <f t="shared" si="180"/>
        <v>0</v>
      </c>
      <c r="N1175" s="26">
        <v>45803</v>
      </c>
      <c r="O1175" s="26">
        <v>45803</v>
      </c>
      <c r="P1175" s="26">
        <v>45803</v>
      </c>
      <c r="Q1175" s="2">
        <f t="shared" si="181"/>
        <v>1</v>
      </c>
      <c r="S1175" s="7">
        <f t="shared" si="184"/>
        <v>1</v>
      </c>
      <c r="T1175" s="157">
        <f t="shared" si="185"/>
        <v>1</v>
      </c>
      <c r="V1175" s="191">
        <f t="shared" si="182"/>
        <v>5</v>
      </c>
      <c r="W1175" s="7">
        <f t="shared" si="183"/>
        <v>2025</v>
      </c>
    </row>
    <row r="1176" spans="2:23" ht="31.95" customHeight="1" thickBot="1" x14ac:dyDescent="0.35">
      <c r="B1176" s="26">
        <v>45803</v>
      </c>
      <c r="C1176" s="51">
        <f t="shared" si="186"/>
        <v>1172</v>
      </c>
      <c r="D1176" s="27" t="s">
        <v>858</v>
      </c>
      <c r="E1176" s="26" t="s">
        <v>11</v>
      </c>
      <c r="F1176" s="28" t="s">
        <v>11</v>
      </c>
      <c r="G1176" s="28" t="s">
        <v>11</v>
      </c>
      <c r="H1176" s="254"/>
      <c r="I1176" s="49">
        <v>2</v>
      </c>
      <c r="J1176" s="49">
        <v>2</v>
      </c>
      <c r="K1176" s="52">
        <f t="shared" si="178"/>
        <v>1</v>
      </c>
      <c r="L1176" s="209">
        <f t="shared" si="179"/>
        <v>0</v>
      </c>
      <c r="M1176" s="210">
        <f t="shared" si="180"/>
        <v>0</v>
      </c>
      <c r="N1176" s="26">
        <v>45803</v>
      </c>
      <c r="O1176" s="26">
        <v>45803</v>
      </c>
      <c r="P1176" s="26">
        <v>45803</v>
      </c>
      <c r="Q1176" s="2">
        <f t="shared" si="181"/>
        <v>1</v>
      </c>
      <c r="S1176" s="7">
        <f t="shared" si="184"/>
        <v>1</v>
      </c>
      <c r="T1176" s="157">
        <f t="shared" si="185"/>
        <v>1</v>
      </c>
      <c r="V1176" s="191">
        <f t="shared" si="182"/>
        <v>5</v>
      </c>
      <c r="W1176" s="7">
        <f t="shared" si="183"/>
        <v>2025</v>
      </c>
    </row>
    <row r="1177" spans="2:23" ht="31.95" customHeight="1" thickBot="1" x14ac:dyDescent="0.35">
      <c r="B1177" s="26">
        <v>45803</v>
      </c>
      <c r="C1177" s="51">
        <f t="shared" si="186"/>
        <v>1173</v>
      </c>
      <c r="D1177" s="27" t="s">
        <v>705</v>
      </c>
      <c r="E1177" s="26" t="s">
        <v>11</v>
      </c>
      <c r="F1177" s="28" t="s">
        <v>11</v>
      </c>
      <c r="G1177" s="28" t="s">
        <v>11</v>
      </c>
      <c r="H1177" s="254"/>
      <c r="I1177" s="49">
        <v>2</v>
      </c>
      <c r="J1177" s="49">
        <v>2</v>
      </c>
      <c r="K1177" s="52">
        <f t="shared" si="178"/>
        <v>1</v>
      </c>
      <c r="L1177" s="209">
        <f t="shared" si="179"/>
        <v>0</v>
      </c>
      <c r="M1177" s="210">
        <f t="shared" si="180"/>
        <v>0</v>
      </c>
      <c r="N1177" s="26">
        <v>45803</v>
      </c>
      <c r="O1177" s="26">
        <v>45803</v>
      </c>
      <c r="P1177" s="26">
        <v>45803</v>
      </c>
      <c r="Q1177" s="2">
        <f t="shared" si="181"/>
        <v>1</v>
      </c>
      <c r="S1177" s="7">
        <f t="shared" si="184"/>
        <v>1</v>
      </c>
      <c r="T1177" s="157">
        <f t="shared" si="185"/>
        <v>1</v>
      </c>
      <c r="V1177" s="191">
        <f t="shared" si="182"/>
        <v>5</v>
      </c>
      <c r="W1177" s="7">
        <f t="shared" si="183"/>
        <v>2025</v>
      </c>
    </row>
    <row r="1178" spans="2:23" ht="31.95" customHeight="1" thickBot="1" x14ac:dyDescent="0.35">
      <c r="B1178" s="26">
        <v>45803</v>
      </c>
      <c r="C1178" s="51">
        <f t="shared" si="186"/>
        <v>1174</v>
      </c>
      <c r="D1178" s="27" t="s">
        <v>305</v>
      </c>
      <c r="E1178" s="26" t="s">
        <v>11</v>
      </c>
      <c r="F1178" s="28" t="s">
        <v>11</v>
      </c>
      <c r="G1178" s="28" t="s">
        <v>11</v>
      </c>
      <c r="H1178" s="254"/>
      <c r="I1178" s="49">
        <v>6</v>
      </c>
      <c r="J1178" s="49">
        <v>6</v>
      </c>
      <c r="K1178" s="52">
        <f t="shared" si="178"/>
        <v>1</v>
      </c>
      <c r="L1178" s="209">
        <f t="shared" si="179"/>
        <v>0</v>
      </c>
      <c r="M1178" s="210">
        <f t="shared" si="180"/>
        <v>0</v>
      </c>
      <c r="N1178" s="26">
        <v>45804</v>
      </c>
      <c r="O1178" s="26">
        <v>45804</v>
      </c>
      <c r="P1178" s="26">
        <v>45804</v>
      </c>
      <c r="Q1178" s="2">
        <f t="shared" si="181"/>
        <v>1</v>
      </c>
      <c r="S1178" s="7">
        <f t="shared" si="184"/>
        <v>1</v>
      </c>
      <c r="T1178" s="157">
        <f t="shared" si="185"/>
        <v>1</v>
      </c>
      <c r="V1178" s="191">
        <f t="shared" si="182"/>
        <v>5</v>
      </c>
      <c r="W1178" s="7">
        <f t="shared" si="183"/>
        <v>2025</v>
      </c>
    </row>
    <row r="1179" spans="2:23" ht="31.95" customHeight="1" thickBot="1" x14ac:dyDescent="0.35">
      <c r="B1179" s="26">
        <v>45806</v>
      </c>
      <c r="C1179" s="51">
        <f t="shared" si="186"/>
        <v>1175</v>
      </c>
      <c r="D1179" s="27" t="s">
        <v>269</v>
      </c>
      <c r="E1179" s="26" t="s">
        <v>192</v>
      </c>
      <c r="F1179" s="28" t="s">
        <v>11</v>
      </c>
      <c r="G1179" s="28" t="s">
        <v>11</v>
      </c>
      <c r="H1179" s="254"/>
      <c r="I1179" s="49">
        <v>4</v>
      </c>
      <c r="J1179" s="49">
        <v>4</v>
      </c>
      <c r="K1179" s="52">
        <f t="shared" si="178"/>
        <v>1</v>
      </c>
      <c r="L1179" s="209">
        <f t="shared" si="179"/>
        <v>0</v>
      </c>
      <c r="M1179" s="210">
        <f t="shared" si="180"/>
        <v>0</v>
      </c>
      <c r="N1179" s="26">
        <v>45807</v>
      </c>
      <c r="O1179" s="26">
        <v>45807</v>
      </c>
      <c r="P1179" s="26">
        <v>45807</v>
      </c>
      <c r="Q1179" s="2">
        <f t="shared" si="181"/>
        <v>1</v>
      </c>
      <c r="S1179" s="7">
        <f t="shared" si="184"/>
        <v>1</v>
      </c>
      <c r="T1179" s="157">
        <f t="shared" si="185"/>
        <v>1</v>
      </c>
      <c r="V1179" s="191">
        <f t="shared" si="182"/>
        <v>5</v>
      </c>
      <c r="W1179" s="7">
        <f t="shared" si="183"/>
        <v>2025</v>
      </c>
    </row>
    <row r="1180" spans="2:23" ht="31.95" customHeight="1" thickBot="1" x14ac:dyDescent="0.35">
      <c r="B1180" s="26">
        <v>45806</v>
      </c>
      <c r="C1180" s="51">
        <f t="shared" si="186"/>
        <v>1176</v>
      </c>
      <c r="D1180" s="27" t="s">
        <v>305</v>
      </c>
      <c r="E1180" s="26" t="s">
        <v>11</v>
      </c>
      <c r="F1180" s="28" t="s">
        <v>11</v>
      </c>
      <c r="G1180" s="28" t="s">
        <v>11</v>
      </c>
      <c r="H1180" s="254"/>
      <c r="I1180" s="49">
        <v>8</v>
      </c>
      <c r="J1180" s="49">
        <v>8</v>
      </c>
      <c r="K1180" s="52">
        <f t="shared" si="178"/>
        <v>1</v>
      </c>
      <c r="L1180" s="209">
        <f t="shared" si="179"/>
        <v>0</v>
      </c>
      <c r="M1180" s="210">
        <f t="shared" si="180"/>
        <v>0</v>
      </c>
      <c r="N1180" s="26">
        <v>45807</v>
      </c>
      <c r="O1180" s="26">
        <v>45807</v>
      </c>
      <c r="P1180" s="26">
        <v>45807</v>
      </c>
      <c r="Q1180" s="2">
        <f t="shared" si="181"/>
        <v>1</v>
      </c>
      <c r="S1180" s="7">
        <f t="shared" si="184"/>
        <v>1</v>
      </c>
      <c r="T1180" s="157">
        <f t="shared" si="185"/>
        <v>1</v>
      </c>
      <c r="V1180" s="191">
        <f t="shared" si="182"/>
        <v>5</v>
      </c>
      <c r="W1180" s="7">
        <f t="shared" si="183"/>
        <v>2025</v>
      </c>
    </row>
    <row r="1181" spans="2:23" ht="31.95" customHeight="1" thickBot="1" x14ac:dyDescent="0.35">
      <c r="B1181" s="26">
        <v>45806</v>
      </c>
      <c r="C1181" s="51">
        <f t="shared" si="186"/>
        <v>1177</v>
      </c>
      <c r="D1181" s="27" t="s">
        <v>705</v>
      </c>
      <c r="E1181" s="26" t="s">
        <v>11</v>
      </c>
      <c r="F1181" s="28" t="s">
        <v>11</v>
      </c>
      <c r="G1181" s="28" t="s">
        <v>11</v>
      </c>
      <c r="H1181" s="254"/>
      <c r="I1181" s="49">
        <v>1</v>
      </c>
      <c r="J1181" s="49">
        <v>1</v>
      </c>
      <c r="K1181" s="52">
        <f t="shared" si="178"/>
        <v>1</v>
      </c>
      <c r="L1181" s="209">
        <f t="shared" si="179"/>
        <v>0</v>
      </c>
      <c r="M1181" s="210">
        <f t="shared" si="180"/>
        <v>0</v>
      </c>
      <c r="N1181" s="26">
        <v>45807</v>
      </c>
      <c r="O1181" s="26">
        <v>45807</v>
      </c>
      <c r="P1181" s="26">
        <v>45807</v>
      </c>
      <c r="Q1181" s="2">
        <f t="shared" si="181"/>
        <v>1</v>
      </c>
      <c r="S1181" s="7">
        <f t="shared" si="184"/>
        <v>1</v>
      </c>
      <c r="T1181" s="157">
        <f t="shared" si="185"/>
        <v>1</v>
      </c>
      <c r="V1181" s="191">
        <f t="shared" si="182"/>
        <v>5</v>
      </c>
      <c r="W1181" s="7">
        <f t="shared" si="183"/>
        <v>2025</v>
      </c>
    </row>
    <row r="1182" spans="2:23" ht="31.95" customHeight="1" thickBot="1" x14ac:dyDescent="0.35">
      <c r="B1182" s="26">
        <v>45810</v>
      </c>
      <c r="C1182" s="51">
        <f t="shared" si="186"/>
        <v>1178</v>
      </c>
      <c r="D1182" s="27" t="s">
        <v>340</v>
      </c>
      <c r="E1182" s="26" t="s">
        <v>11</v>
      </c>
      <c r="F1182" s="28" t="s">
        <v>11</v>
      </c>
      <c r="G1182" s="28" t="s">
        <v>11</v>
      </c>
      <c r="H1182" s="254"/>
      <c r="I1182" s="49">
        <v>1</v>
      </c>
      <c r="J1182" s="49">
        <v>1</v>
      </c>
      <c r="K1182" s="52">
        <f t="shared" si="178"/>
        <v>1</v>
      </c>
      <c r="L1182" s="209">
        <f t="shared" si="179"/>
        <v>0</v>
      </c>
      <c r="M1182" s="210">
        <f t="shared" si="180"/>
        <v>0</v>
      </c>
      <c r="N1182" s="26">
        <v>45812</v>
      </c>
      <c r="O1182" s="26">
        <v>45812</v>
      </c>
      <c r="P1182" s="26">
        <v>45812</v>
      </c>
      <c r="Q1182" s="2">
        <f t="shared" si="181"/>
        <v>1</v>
      </c>
      <c r="S1182" s="7">
        <f t="shared" si="184"/>
        <v>1</v>
      </c>
      <c r="T1182" s="157">
        <f t="shared" si="185"/>
        <v>1</v>
      </c>
      <c r="V1182" s="191">
        <f t="shared" si="182"/>
        <v>6</v>
      </c>
      <c r="W1182" s="7">
        <f t="shared" si="183"/>
        <v>2025</v>
      </c>
    </row>
    <row r="1183" spans="2:23" ht="31.95" customHeight="1" thickBot="1" x14ac:dyDescent="0.35">
      <c r="B1183" s="26">
        <v>45810</v>
      </c>
      <c r="C1183" s="51">
        <f t="shared" si="186"/>
        <v>1179</v>
      </c>
      <c r="D1183" s="27" t="s">
        <v>1150</v>
      </c>
      <c r="E1183" s="26" t="s">
        <v>11</v>
      </c>
      <c r="F1183" s="28" t="s">
        <v>11</v>
      </c>
      <c r="G1183" s="28" t="s">
        <v>11</v>
      </c>
      <c r="H1183" s="254"/>
      <c r="I1183" s="49">
        <v>1</v>
      </c>
      <c r="J1183" s="49">
        <v>1</v>
      </c>
      <c r="K1183" s="52">
        <f t="shared" si="178"/>
        <v>1</v>
      </c>
      <c r="L1183" s="209">
        <f t="shared" si="179"/>
        <v>0</v>
      </c>
      <c r="M1183" s="210">
        <f t="shared" si="180"/>
        <v>0</v>
      </c>
      <c r="N1183" s="26">
        <v>45811</v>
      </c>
      <c r="O1183" s="26">
        <v>45811</v>
      </c>
      <c r="P1183" s="26">
        <v>45811</v>
      </c>
      <c r="Q1183" s="2">
        <f t="shared" si="181"/>
        <v>1</v>
      </c>
      <c r="S1183" s="7">
        <f t="shared" si="184"/>
        <v>1</v>
      </c>
      <c r="T1183" s="157">
        <f t="shared" si="185"/>
        <v>1</v>
      </c>
      <c r="V1183" s="191">
        <f t="shared" si="182"/>
        <v>6</v>
      </c>
      <c r="W1183" s="7">
        <f t="shared" si="183"/>
        <v>2025</v>
      </c>
    </row>
    <row r="1184" spans="2:23" ht="31.95" customHeight="1" thickBot="1" x14ac:dyDescent="0.35">
      <c r="B1184" s="26">
        <v>45811</v>
      </c>
      <c r="C1184" s="51">
        <f t="shared" si="186"/>
        <v>1180</v>
      </c>
      <c r="D1184" s="27" t="s">
        <v>269</v>
      </c>
      <c r="E1184" s="26" t="s">
        <v>195</v>
      </c>
      <c r="F1184" s="28" t="s">
        <v>11</v>
      </c>
      <c r="G1184" s="28" t="s">
        <v>11</v>
      </c>
      <c r="H1184" s="254"/>
      <c r="I1184" s="49">
        <v>3</v>
      </c>
      <c r="J1184" s="49">
        <v>3</v>
      </c>
      <c r="K1184" s="52">
        <f t="shared" si="178"/>
        <v>1</v>
      </c>
      <c r="L1184" s="209">
        <f t="shared" si="179"/>
        <v>0</v>
      </c>
      <c r="M1184" s="210">
        <f t="shared" si="180"/>
        <v>0</v>
      </c>
      <c r="N1184" s="26">
        <v>45812</v>
      </c>
      <c r="O1184" s="26">
        <v>45812</v>
      </c>
      <c r="P1184" s="26">
        <v>45812</v>
      </c>
      <c r="Q1184" s="2">
        <f t="shared" si="181"/>
        <v>1</v>
      </c>
      <c r="S1184" s="7">
        <f t="shared" si="184"/>
        <v>1</v>
      </c>
      <c r="T1184" s="157">
        <f t="shared" si="185"/>
        <v>1</v>
      </c>
      <c r="V1184" s="191">
        <f t="shared" si="182"/>
        <v>6</v>
      </c>
      <c r="W1184" s="7">
        <f t="shared" si="183"/>
        <v>2025</v>
      </c>
    </row>
    <row r="1185" spans="2:23" ht="31.95" customHeight="1" thickBot="1" x14ac:dyDescent="0.35">
      <c r="B1185" s="26">
        <v>45811</v>
      </c>
      <c r="C1185" s="51">
        <f t="shared" si="186"/>
        <v>1181</v>
      </c>
      <c r="D1185" s="27" t="s">
        <v>773</v>
      </c>
      <c r="E1185" s="26" t="s">
        <v>201</v>
      </c>
      <c r="F1185" s="28" t="s">
        <v>11</v>
      </c>
      <c r="G1185" s="28" t="s">
        <v>11</v>
      </c>
      <c r="H1185" s="254"/>
      <c r="I1185" s="49">
        <v>1</v>
      </c>
      <c r="J1185" s="49">
        <v>1</v>
      </c>
      <c r="K1185" s="52">
        <f t="shared" si="178"/>
        <v>1</v>
      </c>
      <c r="L1185" s="209">
        <f t="shared" si="179"/>
        <v>0</v>
      </c>
      <c r="M1185" s="210">
        <f t="shared" si="180"/>
        <v>0</v>
      </c>
      <c r="N1185" s="26">
        <v>45821</v>
      </c>
      <c r="O1185" s="26">
        <v>45821</v>
      </c>
      <c r="P1185" s="26">
        <v>45821</v>
      </c>
      <c r="Q1185" s="2">
        <f t="shared" si="181"/>
        <v>1</v>
      </c>
      <c r="S1185" s="7">
        <f t="shared" si="184"/>
        <v>1</v>
      </c>
      <c r="T1185" s="157">
        <f t="shared" si="185"/>
        <v>1</v>
      </c>
      <c r="V1185" s="191">
        <f t="shared" si="182"/>
        <v>6</v>
      </c>
      <c r="W1185" s="7">
        <f t="shared" si="183"/>
        <v>2025</v>
      </c>
    </row>
    <row r="1186" spans="2:23" ht="31.95" customHeight="1" thickBot="1" x14ac:dyDescent="0.35">
      <c r="B1186" s="26">
        <v>45811</v>
      </c>
      <c r="C1186" s="51">
        <f t="shared" si="186"/>
        <v>1182</v>
      </c>
      <c r="D1186" s="27" t="s">
        <v>269</v>
      </c>
      <c r="E1186" s="26" t="s">
        <v>11</v>
      </c>
      <c r="F1186" s="28" t="s">
        <v>11</v>
      </c>
      <c r="G1186" s="28" t="s">
        <v>11</v>
      </c>
      <c r="H1186" s="254"/>
      <c r="I1186" s="49">
        <v>4</v>
      </c>
      <c r="J1186" s="49">
        <v>4</v>
      </c>
      <c r="K1186" s="52">
        <f t="shared" si="178"/>
        <v>1</v>
      </c>
      <c r="L1186" s="209">
        <f t="shared" si="179"/>
        <v>0</v>
      </c>
      <c r="M1186" s="210">
        <f t="shared" si="180"/>
        <v>0</v>
      </c>
      <c r="N1186" s="26">
        <v>45812</v>
      </c>
      <c r="O1186" s="26">
        <v>45812</v>
      </c>
      <c r="P1186" s="26">
        <v>45812</v>
      </c>
      <c r="Q1186" s="2">
        <f t="shared" si="181"/>
        <v>1</v>
      </c>
      <c r="S1186" s="7">
        <f t="shared" si="184"/>
        <v>1</v>
      </c>
      <c r="T1186" s="157">
        <f t="shared" si="185"/>
        <v>1</v>
      </c>
      <c r="V1186" s="191">
        <f t="shared" si="182"/>
        <v>6</v>
      </c>
      <c r="W1186" s="7">
        <f t="shared" si="183"/>
        <v>2025</v>
      </c>
    </row>
    <row r="1187" spans="2:23" ht="31.95" customHeight="1" thickBot="1" x14ac:dyDescent="0.35">
      <c r="B1187" s="26">
        <v>45814</v>
      </c>
      <c r="C1187" s="51">
        <f t="shared" si="186"/>
        <v>1183</v>
      </c>
      <c r="D1187" s="27" t="s">
        <v>423</v>
      </c>
      <c r="E1187" s="26" t="s">
        <v>200</v>
      </c>
      <c r="F1187" s="28" t="s">
        <v>11</v>
      </c>
      <c r="G1187" s="28" t="s">
        <v>11</v>
      </c>
      <c r="H1187" s="254"/>
      <c r="I1187" s="49">
        <v>1</v>
      </c>
      <c r="J1187" s="49">
        <v>1</v>
      </c>
      <c r="K1187" s="52">
        <f t="shared" si="178"/>
        <v>1</v>
      </c>
      <c r="L1187" s="209">
        <f t="shared" si="179"/>
        <v>0</v>
      </c>
      <c r="M1187" s="210">
        <f t="shared" si="180"/>
        <v>0</v>
      </c>
      <c r="N1187" s="26">
        <v>45814</v>
      </c>
      <c r="O1187" s="26">
        <v>45814</v>
      </c>
      <c r="P1187" s="26">
        <v>45814</v>
      </c>
      <c r="Q1187" s="2">
        <f t="shared" si="181"/>
        <v>1</v>
      </c>
      <c r="S1187" s="7">
        <f t="shared" si="184"/>
        <v>1</v>
      </c>
      <c r="T1187" s="157">
        <f t="shared" si="185"/>
        <v>1</v>
      </c>
      <c r="V1187" s="191">
        <f t="shared" si="182"/>
        <v>6</v>
      </c>
      <c r="W1187" s="7">
        <f t="shared" si="183"/>
        <v>2025</v>
      </c>
    </row>
    <row r="1188" spans="2:23" ht="31.95" customHeight="1" thickBot="1" x14ac:dyDescent="0.35">
      <c r="B1188" s="26">
        <v>45814</v>
      </c>
      <c r="C1188" s="51">
        <f t="shared" si="186"/>
        <v>1184</v>
      </c>
      <c r="D1188" s="27" t="s">
        <v>575</v>
      </c>
      <c r="E1188" s="26" t="s">
        <v>195</v>
      </c>
      <c r="F1188" s="28" t="s">
        <v>11</v>
      </c>
      <c r="G1188" s="28" t="s">
        <v>11</v>
      </c>
      <c r="H1188" s="254"/>
      <c r="I1188" s="49">
        <v>1</v>
      </c>
      <c r="J1188" s="49">
        <v>1</v>
      </c>
      <c r="K1188" s="52">
        <f t="shared" si="178"/>
        <v>1</v>
      </c>
      <c r="L1188" s="209">
        <f t="shared" si="179"/>
        <v>0</v>
      </c>
      <c r="M1188" s="210">
        <f t="shared" si="180"/>
        <v>0</v>
      </c>
      <c r="N1188" s="26">
        <v>45817</v>
      </c>
      <c r="O1188" s="26">
        <v>45817</v>
      </c>
      <c r="P1188" s="26">
        <v>45817</v>
      </c>
      <c r="Q1188" s="2">
        <f t="shared" si="181"/>
        <v>1</v>
      </c>
      <c r="S1188" s="7">
        <f t="shared" si="184"/>
        <v>1</v>
      </c>
      <c r="T1188" s="157">
        <f t="shared" si="185"/>
        <v>1</v>
      </c>
      <c r="V1188" s="191">
        <f t="shared" si="182"/>
        <v>6</v>
      </c>
      <c r="W1188" s="7">
        <f t="shared" si="183"/>
        <v>2025</v>
      </c>
    </row>
    <row r="1189" spans="2:23" ht="31.95" customHeight="1" thickBot="1" x14ac:dyDescent="0.35">
      <c r="B1189" s="26">
        <v>45817</v>
      </c>
      <c r="C1189" s="51">
        <f t="shared" si="186"/>
        <v>1185</v>
      </c>
      <c r="D1189" s="27" t="s">
        <v>305</v>
      </c>
      <c r="E1189" s="26" t="s">
        <v>11</v>
      </c>
      <c r="F1189" s="28" t="s">
        <v>11</v>
      </c>
      <c r="G1189" s="28" t="s">
        <v>11</v>
      </c>
      <c r="H1189" s="254"/>
      <c r="I1189" s="49">
        <v>8</v>
      </c>
      <c r="J1189" s="49">
        <v>8</v>
      </c>
      <c r="K1189" s="52">
        <f t="shared" si="178"/>
        <v>1</v>
      </c>
      <c r="L1189" s="209">
        <f t="shared" si="179"/>
        <v>0</v>
      </c>
      <c r="M1189" s="210">
        <f t="shared" si="180"/>
        <v>0</v>
      </c>
      <c r="N1189" s="26">
        <v>45818</v>
      </c>
      <c r="O1189" s="26">
        <v>45818</v>
      </c>
      <c r="P1189" s="26">
        <v>45818</v>
      </c>
      <c r="Q1189" s="2">
        <f t="shared" si="181"/>
        <v>1</v>
      </c>
      <c r="S1189" s="7">
        <f t="shared" si="184"/>
        <v>1</v>
      </c>
      <c r="T1189" s="157">
        <f t="shared" si="185"/>
        <v>1</v>
      </c>
      <c r="V1189" s="191">
        <f t="shared" si="182"/>
        <v>6</v>
      </c>
      <c r="W1189" s="7">
        <f t="shared" si="183"/>
        <v>2025</v>
      </c>
    </row>
    <row r="1190" spans="2:23" ht="31.95" customHeight="1" thickBot="1" x14ac:dyDescent="0.35">
      <c r="B1190" s="26">
        <v>45817</v>
      </c>
      <c r="C1190" s="51">
        <f t="shared" si="186"/>
        <v>1186</v>
      </c>
      <c r="D1190" s="27" t="s">
        <v>858</v>
      </c>
      <c r="E1190" s="26" t="s">
        <v>11</v>
      </c>
      <c r="F1190" s="28" t="s">
        <v>11</v>
      </c>
      <c r="G1190" s="28" t="s">
        <v>11</v>
      </c>
      <c r="H1190" s="254"/>
      <c r="I1190" s="49">
        <v>1</v>
      </c>
      <c r="J1190" s="49">
        <v>1</v>
      </c>
      <c r="K1190" s="52">
        <f t="shared" si="178"/>
        <v>1</v>
      </c>
      <c r="L1190" s="209">
        <f t="shared" si="179"/>
        <v>0</v>
      </c>
      <c r="M1190" s="210">
        <f t="shared" si="180"/>
        <v>0</v>
      </c>
      <c r="N1190" s="26">
        <v>45818</v>
      </c>
      <c r="O1190" s="26">
        <v>45818</v>
      </c>
      <c r="P1190" s="26">
        <v>45818</v>
      </c>
      <c r="Q1190" s="2">
        <f t="shared" si="181"/>
        <v>1</v>
      </c>
      <c r="S1190" s="7">
        <f t="shared" si="184"/>
        <v>1</v>
      </c>
      <c r="T1190" s="157">
        <f t="shared" si="185"/>
        <v>1</v>
      </c>
      <c r="V1190" s="191">
        <f t="shared" si="182"/>
        <v>6</v>
      </c>
      <c r="W1190" s="7">
        <f t="shared" si="183"/>
        <v>2025</v>
      </c>
    </row>
    <row r="1191" spans="2:23" ht="31.95" customHeight="1" thickBot="1" x14ac:dyDescent="0.35">
      <c r="B1191" s="26">
        <v>45819</v>
      </c>
      <c r="C1191" s="51">
        <f t="shared" si="186"/>
        <v>1187</v>
      </c>
      <c r="D1191" s="27" t="s">
        <v>269</v>
      </c>
      <c r="E1191" s="26" t="s">
        <v>11</v>
      </c>
      <c r="F1191" s="28" t="s">
        <v>11</v>
      </c>
      <c r="G1191" s="28" t="s">
        <v>11</v>
      </c>
      <c r="H1191" s="254"/>
      <c r="I1191" s="49">
        <v>3</v>
      </c>
      <c r="J1191" s="49">
        <v>3</v>
      </c>
      <c r="K1191" s="52">
        <f t="shared" si="178"/>
        <v>1</v>
      </c>
      <c r="L1191" s="209">
        <f t="shared" si="179"/>
        <v>0</v>
      </c>
      <c r="M1191" s="210">
        <f t="shared" si="180"/>
        <v>0</v>
      </c>
      <c r="N1191" s="26">
        <v>45820</v>
      </c>
      <c r="O1191" s="26">
        <v>45820</v>
      </c>
      <c r="P1191" s="26">
        <v>45820</v>
      </c>
      <c r="Q1191" s="2">
        <f t="shared" si="181"/>
        <v>1</v>
      </c>
      <c r="S1191" s="7">
        <f t="shared" si="184"/>
        <v>1</v>
      </c>
      <c r="T1191" s="157">
        <f t="shared" si="185"/>
        <v>1</v>
      </c>
      <c r="V1191" s="191">
        <f t="shared" si="182"/>
        <v>6</v>
      </c>
      <c r="W1191" s="7">
        <f t="shared" si="183"/>
        <v>2025</v>
      </c>
    </row>
    <row r="1192" spans="2:23" ht="31.95" customHeight="1" thickBot="1" x14ac:dyDescent="0.35">
      <c r="B1192" s="26">
        <v>45820</v>
      </c>
      <c r="C1192" s="51">
        <f t="shared" si="186"/>
        <v>1188</v>
      </c>
      <c r="D1192" s="27" t="s">
        <v>858</v>
      </c>
      <c r="E1192" s="26" t="s">
        <v>11</v>
      </c>
      <c r="F1192" s="28" t="s">
        <v>11</v>
      </c>
      <c r="G1192" s="28" t="s">
        <v>11</v>
      </c>
      <c r="H1192" s="254"/>
      <c r="I1192" s="49">
        <v>9</v>
      </c>
      <c r="J1192" s="49">
        <v>9</v>
      </c>
      <c r="K1192" s="52">
        <f t="shared" si="178"/>
        <v>1</v>
      </c>
      <c r="L1192" s="209">
        <f t="shared" si="179"/>
        <v>0</v>
      </c>
      <c r="M1192" s="210">
        <f t="shared" si="180"/>
        <v>0</v>
      </c>
      <c r="N1192" s="26">
        <v>45820</v>
      </c>
      <c r="O1192" s="26">
        <v>45820</v>
      </c>
      <c r="P1192" s="26">
        <v>45820</v>
      </c>
      <c r="Q1192" s="2">
        <f t="shared" si="181"/>
        <v>1</v>
      </c>
      <c r="S1192" s="7">
        <f t="shared" si="184"/>
        <v>1</v>
      </c>
      <c r="T1192" s="157">
        <f t="shared" si="185"/>
        <v>1</v>
      </c>
      <c r="V1192" s="191">
        <f t="shared" si="182"/>
        <v>6</v>
      </c>
      <c r="W1192" s="7">
        <f t="shared" si="183"/>
        <v>2025</v>
      </c>
    </row>
    <row r="1193" spans="2:23" ht="31.95" customHeight="1" thickBot="1" x14ac:dyDescent="0.35">
      <c r="B1193" s="26">
        <v>45820</v>
      </c>
      <c r="C1193" s="51">
        <f t="shared" si="186"/>
        <v>1189</v>
      </c>
      <c r="D1193" s="27" t="s">
        <v>890</v>
      </c>
      <c r="E1193" s="26" t="s">
        <v>203</v>
      </c>
      <c r="F1193" s="28" t="s">
        <v>11</v>
      </c>
      <c r="G1193" s="28" t="s">
        <v>11</v>
      </c>
      <c r="H1193" s="254"/>
      <c r="I1193" s="49">
        <v>4</v>
      </c>
      <c r="J1193" s="49">
        <v>4</v>
      </c>
      <c r="K1193" s="52">
        <f t="shared" si="178"/>
        <v>1</v>
      </c>
      <c r="L1193" s="209">
        <f t="shared" si="179"/>
        <v>0</v>
      </c>
      <c r="M1193" s="210">
        <f t="shared" si="180"/>
        <v>0</v>
      </c>
      <c r="N1193" s="26">
        <v>45829</v>
      </c>
      <c r="O1193" s="26">
        <v>45829</v>
      </c>
      <c r="P1193" s="26">
        <v>45829</v>
      </c>
      <c r="Q1193" s="2">
        <f t="shared" si="181"/>
        <v>1</v>
      </c>
      <c r="S1193" s="7">
        <f t="shared" si="184"/>
        <v>1</v>
      </c>
      <c r="T1193" s="157">
        <f t="shared" si="185"/>
        <v>1</v>
      </c>
      <c r="V1193" s="191">
        <f t="shared" si="182"/>
        <v>6</v>
      </c>
      <c r="W1193" s="7">
        <f t="shared" si="183"/>
        <v>2025</v>
      </c>
    </row>
    <row r="1194" spans="2:23" ht="31.95" customHeight="1" thickBot="1" x14ac:dyDescent="0.35">
      <c r="B1194" s="26">
        <v>45821</v>
      </c>
      <c r="C1194" s="51">
        <f t="shared" si="186"/>
        <v>1190</v>
      </c>
      <c r="D1194" s="27" t="s">
        <v>558</v>
      </c>
      <c r="E1194" s="26" t="s">
        <v>203</v>
      </c>
      <c r="F1194" s="28" t="s">
        <v>11</v>
      </c>
      <c r="G1194" s="28" t="s">
        <v>11</v>
      </c>
      <c r="H1194" s="254"/>
      <c r="I1194" s="49">
        <v>2</v>
      </c>
      <c r="J1194" s="49">
        <v>2</v>
      </c>
      <c r="K1194" s="52">
        <f t="shared" si="178"/>
        <v>1</v>
      </c>
      <c r="L1194" s="209">
        <f t="shared" si="179"/>
        <v>0</v>
      </c>
      <c r="M1194" s="210">
        <f t="shared" si="180"/>
        <v>0</v>
      </c>
      <c r="N1194" s="26">
        <v>45828</v>
      </c>
      <c r="O1194" s="26">
        <v>45828</v>
      </c>
      <c r="P1194" s="26">
        <v>45828</v>
      </c>
      <c r="Q1194" s="2">
        <f t="shared" si="181"/>
        <v>1</v>
      </c>
      <c r="S1194" s="7">
        <f t="shared" si="184"/>
        <v>1</v>
      </c>
      <c r="T1194" s="157">
        <f t="shared" si="185"/>
        <v>1</v>
      </c>
      <c r="V1194" s="191">
        <f t="shared" si="182"/>
        <v>6</v>
      </c>
      <c r="W1194" s="7">
        <f t="shared" si="183"/>
        <v>2025</v>
      </c>
    </row>
    <row r="1195" spans="2:23" ht="31.95" customHeight="1" thickBot="1" x14ac:dyDescent="0.35">
      <c r="B1195" s="26">
        <v>45821</v>
      </c>
      <c r="C1195" s="51">
        <f t="shared" si="186"/>
        <v>1191</v>
      </c>
      <c r="D1195" s="27" t="s">
        <v>915</v>
      </c>
      <c r="E1195" s="26" t="s">
        <v>203</v>
      </c>
      <c r="F1195" s="28" t="s">
        <v>11</v>
      </c>
      <c r="G1195" s="28" t="s">
        <v>11</v>
      </c>
      <c r="H1195" s="254"/>
      <c r="I1195" s="49">
        <v>1</v>
      </c>
      <c r="J1195" s="49">
        <v>1</v>
      </c>
      <c r="K1195" s="52">
        <f t="shared" si="178"/>
        <v>1</v>
      </c>
      <c r="L1195" s="209">
        <f t="shared" si="179"/>
        <v>0</v>
      </c>
      <c r="M1195" s="210">
        <f t="shared" si="180"/>
        <v>0</v>
      </c>
      <c r="N1195" s="26">
        <v>45828</v>
      </c>
      <c r="O1195" s="26">
        <v>45828</v>
      </c>
      <c r="P1195" s="26">
        <v>45828</v>
      </c>
      <c r="Q1195" s="2">
        <f t="shared" si="181"/>
        <v>1</v>
      </c>
      <c r="S1195" s="7">
        <f t="shared" si="184"/>
        <v>1</v>
      </c>
      <c r="T1195" s="157">
        <f t="shared" si="185"/>
        <v>1</v>
      </c>
      <c r="V1195" s="191">
        <f t="shared" si="182"/>
        <v>6</v>
      </c>
      <c r="W1195" s="7">
        <f t="shared" si="183"/>
        <v>2025</v>
      </c>
    </row>
    <row r="1196" spans="2:23" ht="31.95" customHeight="1" thickBot="1" x14ac:dyDescent="0.35">
      <c r="B1196" s="26">
        <v>45821</v>
      </c>
      <c r="C1196" s="51">
        <f t="shared" si="186"/>
        <v>1192</v>
      </c>
      <c r="D1196" s="27" t="s">
        <v>1028</v>
      </c>
      <c r="E1196" s="26" t="s">
        <v>203</v>
      </c>
      <c r="F1196" s="28" t="s">
        <v>11</v>
      </c>
      <c r="G1196" s="28" t="s">
        <v>11</v>
      </c>
      <c r="H1196" s="254"/>
      <c r="I1196" s="49">
        <v>21</v>
      </c>
      <c r="J1196" s="49">
        <v>21</v>
      </c>
      <c r="K1196" s="52">
        <f t="shared" si="178"/>
        <v>1</v>
      </c>
      <c r="L1196" s="209">
        <f t="shared" si="179"/>
        <v>0</v>
      </c>
      <c r="M1196" s="210">
        <f t="shared" si="180"/>
        <v>0</v>
      </c>
      <c r="N1196" s="26">
        <v>45825</v>
      </c>
      <c r="O1196" s="26">
        <v>45825</v>
      </c>
      <c r="P1196" s="26">
        <v>45825</v>
      </c>
      <c r="Q1196" s="2">
        <f t="shared" si="181"/>
        <v>1</v>
      </c>
      <c r="S1196" s="7">
        <f t="shared" si="184"/>
        <v>1</v>
      </c>
      <c r="T1196" s="157">
        <f t="shared" si="185"/>
        <v>1</v>
      </c>
      <c r="V1196" s="191">
        <f t="shared" si="182"/>
        <v>6</v>
      </c>
      <c r="W1196" s="7">
        <f t="shared" si="183"/>
        <v>2025</v>
      </c>
    </row>
    <row r="1197" spans="2:23" ht="31.95" customHeight="1" thickBot="1" x14ac:dyDescent="0.35">
      <c r="B1197" s="26">
        <v>45822</v>
      </c>
      <c r="C1197" s="51">
        <f t="shared" si="186"/>
        <v>1193</v>
      </c>
      <c r="D1197" s="27" t="s">
        <v>928</v>
      </c>
      <c r="E1197" s="26" t="s">
        <v>203</v>
      </c>
      <c r="F1197" s="28" t="s">
        <v>11</v>
      </c>
      <c r="G1197" s="28" t="s">
        <v>11</v>
      </c>
      <c r="H1197" s="254"/>
      <c r="I1197" s="49">
        <v>2</v>
      </c>
      <c r="J1197" s="49">
        <v>2</v>
      </c>
      <c r="K1197" s="52">
        <f t="shared" ref="K1197:K1260" si="187">IFERROR(J1197/I1197,"")</f>
        <v>1</v>
      </c>
      <c r="L1197" s="209">
        <f t="shared" ref="L1197:L1260" si="188">IF(I1197="","",I1197-J1197)</f>
        <v>0</v>
      </c>
      <c r="M1197" s="210">
        <f t="shared" ref="M1197:M1260" si="189">IFERROR(1-K1197,"")</f>
        <v>0</v>
      </c>
      <c r="N1197" s="26">
        <v>45845</v>
      </c>
      <c r="O1197" s="26">
        <v>45845</v>
      </c>
      <c r="P1197" s="26">
        <v>45845</v>
      </c>
      <c r="Q1197" s="2">
        <f t="shared" si="181"/>
        <v>1</v>
      </c>
      <c r="S1197" s="7">
        <f t="shared" si="184"/>
        <v>1</v>
      </c>
      <c r="T1197" s="157">
        <f t="shared" si="185"/>
        <v>1</v>
      </c>
      <c r="V1197" s="191">
        <f t="shared" si="182"/>
        <v>6</v>
      </c>
      <c r="W1197" s="7">
        <f t="shared" si="183"/>
        <v>2025</v>
      </c>
    </row>
    <row r="1198" spans="2:23" ht="31.95" customHeight="1" thickBot="1" x14ac:dyDescent="0.35">
      <c r="B1198" s="26">
        <v>45825</v>
      </c>
      <c r="C1198" s="51">
        <f t="shared" si="186"/>
        <v>1194</v>
      </c>
      <c r="D1198" s="27" t="s">
        <v>959</v>
      </c>
      <c r="E1198" s="26" t="s">
        <v>11</v>
      </c>
      <c r="F1198" s="28" t="s">
        <v>11</v>
      </c>
      <c r="G1198" s="28" t="s">
        <v>11</v>
      </c>
      <c r="H1198" s="254"/>
      <c r="I1198" s="49">
        <v>1</v>
      </c>
      <c r="J1198" s="49">
        <v>1</v>
      </c>
      <c r="K1198" s="52">
        <f t="shared" si="187"/>
        <v>1</v>
      </c>
      <c r="L1198" s="209">
        <f t="shared" si="188"/>
        <v>0</v>
      </c>
      <c r="M1198" s="210">
        <f t="shared" si="189"/>
        <v>0</v>
      </c>
      <c r="N1198" s="26">
        <v>45832</v>
      </c>
      <c r="O1198" s="26">
        <v>45832</v>
      </c>
      <c r="P1198" s="26">
        <v>45832</v>
      </c>
      <c r="Q1198" s="2">
        <f t="shared" si="181"/>
        <v>1</v>
      </c>
      <c r="S1198" s="7">
        <f t="shared" si="184"/>
        <v>1</v>
      </c>
      <c r="T1198" s="157">
        <f t="shared" si="185"/>
        <v>1</v>
      </c>
      <c r="V1198" s="191">
        <f t="shared" si="182"/>
        <v>6</v>
      </c>
      <c r="W1198" s="7">
        <f t="shared" si="183"/>
        <v>2025</v>
      </c>
    </row>
    <row r="1199" spans="2:23" ht="31.95" customHeight="1" thickBot="1" x14ac:dyDescent="0.35">
      <c r="B1199" s="26">
        <v>45826</v>
      </c>
      <c r="C1199" s="51">
        <f t="shared" si="186"/>
        <v>1195</v>
      </c>
      <c r="D1199" s="27" t="s">
        <v>602</v>
      </c>
      <c r="E1199" s="26" t="s">
        <v>203</v>
      </c>
      <c r="F1199" s="28" t="s">
        <v>11</v>
      </c>
      <c r="G1199" s="28" t="s">
        <v>11</v>
      </c>
      <c r="H1199" s="254"/>
      <c r="I1199" s="49">
        <v>1</v>
      </c>
      <c r="J1199" s="49">
        <v>1</v>
      </c>
      <c r="K1199" s="52">
        <f t="shared" si="187"/>
        <v>1</v>
      </c>
      <c r="L1199" s="209">
        <f t="shared" si="188"/>
        <v>0</v>
      </c>
      <c r="M1199" s="210">
        <f t="shared" si="189"/>
        <v>0</v>
      </c>
      <c r="N1199" s="26">
        <v>45832</v>
      </c>
      <c r="O1199" s="26">
        <v>45832</v>
      </c>
      <c r="P1199" s="26">
        <v>45832</v>
      </c>
      <c r="Q1199" s="2">
        <f t="shared" si="181"/>
        <v>1</v>
      </c>
      <c r="S1199" s="7">
        <f t="shared" si="184"/>
        <v>1</v>
      </c>
      <c r="T1199" s="157">
        <f t="shared" si="185"/>
        <v>1</v>
      </c>
      <c r="V1199" s="191">
        <f t="shared" si="182"/>
        <v>6</v>
      </c>
      <c r="W1199" s="7">
        <f t="shared" si="183"/>
        <v>2025</v>
      </c>
    </row>
    <row r="1200" spans="2:23" ht="31.95" customHeight="1" thickBot="1" x14ac:dyDescent="0.35">
      <c r="B1200" s="26">
        <v>45826</v>
      </c>
      <c r="C1200" s="51">
        <f t="shared" si="186"/>
        <v>1196</v>
      </c>
      <c r="D1200" s="27" t="s">
        <v>705</v>
      </c>
      <c r="E1200" s="26" t="s">
        <v>203</v>
      </c>
      <c r="F1200" s="28" t="s">
        <v>11</v>
      </c>
      <c r="G1200" s="28" t="s">
        <v>11</v>
      </c>
      <c r="H1200" s="254"/>
      <c r="I1200" s="49">
        <v>3</v>
      </c>
      <c r="J1200" s="49">
        <v>3</v>
      </c>
      <c r="K1200" s="52">
        <f t="shared" si="187"/>
        <v>1</v>
      </c>
      <c r="L1200" s="209">
        <f t="shared" si="188"/>
        <v>0</v>
      </c>
      <c r="M1200" s="210">
        <f t="shared" si="189"/>
        <v>0</v>
      </c>
      <c r="N1200" s="26">
        <v>45827</v>
      </c>
      <c r="O1200" s="26">
        <v>45827</v>
      </c>
      <c r="P1200" s="26">
        <v>45827</v>
      </c>
      <c r="Q1200" s="2">
        <f t="shared" si="181"/>
        <v>1</v>
      </c>
      <c r="S1200" s="7">
        <f t="shared" si="184"/>
        <v>1</v>
      </c>
      <c r="T1200" s="157">
        <f t="shared" si="185"/>
        <v>1</v>
      </c>
      <c r="V1200" s="191">
        <f t="shared" si="182"/>
        <v>6</v>
      </c>
      <c r="W1200" s="7">
        <f t="shared" si="183"/>
        <v>2025</v>
      </c>
    </row>
    <row r="1201" spans="2:23" ht="31.95" customHeight="1" thickBot="1" x14ac:dyDescent="0.35">
      <c r="B1201" s="26">
        <v>45826</v>
      </c>
      <c r="C1201" s="51">
        <f t="shared" si="186"/>
        <v>1197</v>
      </c>
      <c r="D1201" s="27" t="s">
        <v>305</v>
      </c>
      <c r="E1201" s="26" t="s">
        <v>203</v>
      </c>
      <c r="F1201" s="28" t="s">
        <v>11</v>
      </c>
      <c r="G1201" s="28" t="s">
        <v>11</v>
      </c>
      <c r="H1201" s="254"/>
      <c r="I1201" s="49">
        <v>1</v>
      </c>
      <c r="J1201" s="49">
        <v>1</v>
      </c>
      <c r="K1201" s="52">
        <f t="shared" si="187"/>
        <v>1</v>
      </c>
      <c r="L1201" s="209">
        <f t="shared" si="188"/>
        <v>0</v>
      </c>
      <c r="M1201" s="210">
        <f t="shared" si="189"/>
        <v>0</v>
      </c>
      <c r="N1201" s="26">
        <v>45796</v>
      </c>
      <c r="O1201" s="26">
        <v>45796</v>
      </c>
      <c r="P1201" s="26">
        <v>45796</v>
      </c>
      <c r="Q1201" s="2">
        <f t="shared" si="181"/>
        <v>1</v>
      </c>
      <c r="S1201" s="7">
        <f t="shared" si="184"/>
        <v>1</v>
      </c>
      <c r="T1201" s="157">
        <f t="shared" si="185"/>
        <v>1</v>
      </c>
      <c r="V1201" s="191">
        <f t="shared" si="182"/>
        <v>6</v>
      </c>
      <c r="W1201" s="7">
        <f t="shared" si="183"/>
        <v>2025</v>
      </c>
    </row>
    <row r="1202" spans="2:23" ht="31.95" customHeight="1" thickBot="1" x14ac:dyDescent="0.35">
      <c r="B1202" s="26">
        <v>45826</v>
      </c>
      <c r="C1202" s="51">
        <f t="shared" si="186"/>
        <v>1198</v>
      </c>
      <c r="D1202" s="27" t="s">
        <v>321</v>
      </c>
      <c r="E1202" s="26" t="s">
        <v>199</v>
      </c>
      <c r="F1202" s="28" t="s">
        <v>11</v>
      </c>
      <c r="G1202" s="28" t="s">
        <v>11</v>
      </c>
      <c r="H1202" s="254"/>
      <c r="I1202" s="49">
        <v>8</v>
      </c>
      <c r="J1202" s="49">
        <v>8</v>
      </c>
      <c r="K1202" s="52">
        <f t="shared" si="187"/>
        <v>1</v>
      </c>
      <c r="L1202" s="209">
        <f t="shared" si="188"/>
        <v>0</v>
      </c>
      <c r="M1202" s="210">
        <f t="shared" si="189"/>
        <v>0</v>
      </c>
      <c r="N1202" s="26">
        <v>45796</v>
      </c>
      <c r="O1202" s="26">
        <v>45796</v>
      </c>
      <c r="P1202" s="26">
        <v>45796</v>
      </c>
      <c r="Q1202" s="2">
        <f t="shared" si="181"/>
        <v>1</v>
      </c>
      <c r="S1202" s="7">
        <f t="shared" si="184"/>
        <v>1</v>
      </c>
      <c r="T1202" s="157">
        <f t="shared" si="185"/>
        <v>1</v>
      </c>
      <c r="V1202" s="191">
        <f t="shared" si="182"/>
        <v>6</v>
      </c>
      <c r="W1202" s="7">
        <f t="shared" si="183"/>
        <v>2025</v>
      </c>
    </row>
    <row r="1203" spans="2:23" ht="31.95" customHeight="1" thickBot="1" x14ac:dyDescent="0.35">
      <c r="B1203" s="26">
        <v>45826</v>
      </c>
      <c r="C1203" s="51">
        <f t="shared" si="186"/>
        <v>1199</v>
      </c>
      <c r="D1203" s="27" t="s">
        <v>858</v>
      </c>
      <c r="E1203" s="26" t="s">
        <v>199</v>
      </c>
      <c r="F1203" s="28" t="s">
        <v>11</v>
      </c>
      <c r="G1203" s="28" t="s">
        <v>11</v>
      </c>
      <c r="H1203" s="254"/>
      <c r="I1203" s="49">
        <v>1</v>
      </c>
      <c r="J1203" s="49">
        <v>1</v>
      </c>
      <c r="K1203" s="52">
        <f t="shared" si="187"/>
        <v>1</v>
      </c>
      <c r="L1203" s="209">
        <f t="shared" si="188"/>
        <v>0</v>
      </c>
      <c r="M1203" s="210">
        <f t="shared" si="189"/>
        <v>0</v>
      </c>
      <c r="N1203" s="26">
        <v>45827</v>
      </c>
      <c r="O1203" s="26">
        <v>45827</v>
      </c>
      <c r="P1203" s="26">
        <v>45827</v>
      </c>
      <c r="Q1203" s="2">
        <f t="shared" si="181"/>
        <v>1</v>
      </c>
      <c r="S1203" s="7">
        <f t="shared" si="184"/>
        <v>1</v>
      </c>
      <c r="T1203" s="157">
        <f t="shared" si="185"/>
        <v>1</v>
      </c>
      <c r="V1203" s="191">
        <f t="shared" si="182"/>
        <v>6</v>
      </c>
      <c r="W1203" s="7">
        <f t="shared" si="183"/>
        <v>2025</v>
      </c>
    </row>
    <row r="1204" spans="2:23" ht="31.95" customHeight="1" thickBot="1" x14ac:dyDescent="0.35">
      <c r="B1204" s="26">
        <v>45826</v>
      </c>
      <c r="C1204" s="51">
        <f t="shared" si="186"/>
        <v>1200</v>
      </c>
      <c r="D1204" s="27" t="s">
        <v>890</v>
      </c>
      <c r="E1204" s="26" t="s">
        <v>203</v>
      </c>
      <c r="F1204" s="28" t="s">
        <v>11</v>
      </c>
      <c r="G1204" s="28" t="s">
        <v>11</v>
      </c>
      <c r="H1204" s="254"/>
      <c r="I1204" s="49">
        <v>2</v>
      </c>
      <c r="J1204" s="49">
        <v>2</v>
      </c>
      <c r="K1204" s="52">
        <f t="shared" si="187"/>
        <v>1</v>
      </c>
      <c r="L1204" s="209">
        <f t="shared" si="188"/>
        <v>0</v>
      </c>
      <c r="M1204" s="210">
        <f t="shared" si="189"/>
        <v>0</v>
      </c>
      <c r="N1204" s="26">
        <v>45827</v>
      </c>
      <c r="O1204" s="26">
        <v>45827</v>
      </c>
      <c r="P1204" s="26">
        <v>45827</v>
      </c>
      <c r="Q1204" s="2">
        <f t="shared" si="181"/>
        <v>1</v>
      </c>
      <c r="S1204" s="7">
        <f t="shared" si="184"/>
        <v>1</v>
      </c>
      <c r="T1204" s="157">
        <f t="shared" si="185"/>
        <v>1</v>
      </c>
      <c r="V1204" s="191">
        <f t="shared" si="182"/>
        <v>6</v>
      </c>
      <c r="W1204" s="7">
        <f t="shared" si="183"/>
        <v>2025</v>
      </c>
    </row>
    <row r="1205" spans="2:23" ht="31.95" customHeight="1" thickBot="1" x14ac:dyDescent="0.35">
      <c r="B1205" s="26">
        <v>45831</v>
      </c>
      <c r="C1205" s="51">
        <f t="shared" si="186"/>
        <v>1201</v>
      </c>
      <c r="D1205" s="27" t="s">
        <v>1150</v>
      </c>
      <c r="E1205" s="26" t="s">
        <v>203</v>
      </c>
      <c r="F1205" s="28" t="s">
        <v>11</v>
      </c>
      <c r="G1205" s="28" t="s">
        <v>11</v>
      </c>
      <c r="H1205" s="254"/>
      <c r="I1205" s="49">
        <v>1</v>
      </c>
      <c r="J1205" s="49">
        <v>1</v>
      </c>
      <c r="K1205" s="52">
        <f t="shared" si="187"/>
        <v>1</v>
      </c>
      <c r="L1205" s="209">
        <f t="shared" si="188"/>
        <v>0</v>
      </c>
      <c r="M1205" s="210">
        <f t="shared" si="189"/>
        <v>0</v>
      </c>
      <c r="N1205" s="26">
        <v>45832</v>
      </c>
      <c r="O1205" s="26">
        <v>45832</v>
      </c>
      <c r="P1205" s="26">
        <v>45832</v>
      </c>
      <c r="Q1205" s="2">
        <f t="shared" si="181"/>
        <v>1</v>
      </c>
      <c r="S1205" s="7">
        <f t="shared" si="184"/>
        <v>1</v>
      </c>
      <c r="T1205" s="157">
        <f t="shared" si="185"/>
        <v>1</v>
      </c>
      <c r="V1205" s="191">
        <f t="shared" si="182"/>
        <v>6</v>
      </c>
      <c r="W1205" s="7">
        <f t="shared" si="183"/>
        <v>2025</v>
      </c>
    </row>
    <row r="1206" spans="2:23" ht="31.95" customHeight="1" thickBot="1" x14ac:dyDescent="0.35">
      <c r="B1206" s="26">
        <v>45831</v>
      </c>
      <c r="C1206" s="51">
        <f t="shared" si="186"/>
        <v>1202</v>
      </c>
      <c r="D1206" s="27" t="s">
        <v>305</v>
      </c>
      <c r="E1206" s="26" t="s">
        <v>11</v>
      </c>
      <c r="F1206" s="28" t="s">
        <v>11</v>
      </c>
      <c r="G1206" s="28" t="s">
        <v>11</v>
      </c>
      <c r="H1206" s="254"/>
      <c r="I1206" s="49">
        <v>3</v>
      </c>
      <c r="J1206" s="49">
        <v>3</v>
      </c>
      <c r="K1206" s="52">
        <f t="shared" si="187"/>
        <v>1</v>
      </c>
      <c r="L1206" s="209">
        <f t="shared" si="188"/>
        <v>0</v>
      </c>
      <c r="M1206" s="210">
        <f t="shared" si="189"/>
        <v>0</v>
      </c>
      <c r="N1206" s="26">
        <v>45831</v>
      </c>
      <c r="O1206" s="26">
        <v>45831</v>
      </c>
      <c r="P1206" s="26">
        <v>45831</v>
      </c>
      <c r="Q1206" s="2">
        <f t="shared" si="181"/>
        <v>1</v>
      </c>
      <c r="S1206" s="7">
        <f t="shared" si="184"/>
        <v>1</v>
      </c>
      <c r="T1206" s="157">
        <f t="shared" si="185"/>
        <v>1</v>
      </c>
      <c r="V1206" s="191">
        <f t="shared" si="182"/>
        <v>6</v>
      </c>
      <c r="W1206" s="7">
        <f t="shared" si="183"/>
        <v>2025</v>
      </c>
    </row>
    <row r="1207" spans="2:23" ht="31.95" customHeight="1" thickBot="1" x14ac:dyDescent="0.35">
      <c r="B1207" s="26">
        <v>45831</v>
      </c>
      <c r="C1207" s="51">
        <f t="shared" si="186"/>
        <v>1203</v>
      </c>
      <c r="D1207" s="27" t="s">
        <v>305</v>
      </c>
      <c r="E1207" s="26" t="s">
        <v>11</v>
      </c>
      <c r="F1207" s="28" t="s">
        <v>11</v>
      </c>
      <c r="G1207" s="28" t="s">
        <v>11</v>
      </c>
      <c r="H1207" s="254"/>
      <c r="I1207" s="49">
        <v>1</v>
      </c>
      <c r="J1207" s="49">
        <v>1</v>
      </c>
      <c r="K1207" s="52">
        <f t="shared" si="187"/>
        <v>1</v>
      </c>
      <c r="L1207" s="209">
        <f t="shared" si="188"/>
        <v>0</v>
      </c>
      <c r="M1207" s="210">
        <f t="shared" si="189"/>
        <v>0</v>
      </c>
      <c r="N1207" s="26">
        <v>45831</v>
      </c>
      <c r="O1207" s="26">
        <v>45831</v>
      </c>
      <c r="P1207" s="26">
        <v>45831</v>
      </c>
      <c r="Q1207" s="2">
        <f t="shared" si="181"/>
        <v>1</v>
      </c>
      <c r="S1207" s="7">
        <f t="shared" si="184"/>
        <v>1</v>
      </c>
      <c r="T1207" s="157">
        <f t="shared" si="185"/>
        <v>1</v>
      </c>
      <c r="V1207" s="191">
        <f t="shared" si="182"/>
        <v>6</v>
      </c>
      <c r="W1207" s="7">
        <f t="shared" si="183"/>
        <v>2025</v>
      </c>
    </row>
    <row r="1208" spans="2:23" ht="31.95" customHeight="1" thickBot="1" x14ac:dyDescent="0.35">
      <c r="B1208" s="26">
        <v>45831</v>
      </c>
      <c r="C1208" s="51">
        <f t="shared" si="186"/>
        <v>1204</v>
      </c>
      <c r="D1208" s="27" t="s">
        <v>1206</v>
      </c>
      <c r="E1208" s="26" t="s">
        <v>204</v>
      </c>
      <c r="F1208" s="28" t="s">
        <v>11</v>
      </c>
      <c r="G1208" s="28" t="s">
        <v>11</v>
      </c>
      <c r="H1208" s="254"/>
      <c r="I1208" s="49">
        <v>1</v>
      </c>
      <c r="J1208" s="49">
        <v>1</v>
      </c>
      <c r="K1208" s="52">
        <f t="shared" si="187"/>
        <v>1</v>
      </c>
      <c r="L1208" s="209">
        <f t="shared" si="188"/>
        <v>0</v>
      </c>
      <c r="M1208" s="210">
        <f t="shared" si="189"/>
        <v>0</v>
      </c>
      <c r="N1208" s="26">
        <v>45831</v>
      </c>
      <c r="O1208" s="26">
        <v>45831</v>
      </c>
      <c r="P1208" s="26">
        <v>45831</v>
      </c>
      <c r="Q1208" s="2">
        <f t="shared" si="181"/>
        <v>1</v>
      </c>
      <c r="S1208" s="7">
        <f t="shared" si="184"/>
        <v>1</v>
      </c>
      <c r="T1208" s="157">
        <f t="shared" si="185"/>
        <v>1</v>
      </c>
      <c r="V1208" s="191">
        <f t="shared" si="182"/>
        <v>6</v>
      </c>
      <c r="W1208" s="7">
        <f t="shared" si="183"/>
        <v>2025</v>
      </c>
    </row>
    <row r="1209" spans="2:23" ht="31.95" customHeight="1" thickBot="1" x14ac:dyDescent="0.35">
      <c r="B1209" s="26">
        <v>45832</v>
      </c>
      <c r="C1209" s="51">
        <f t="shared" si="186"/>
        <v>1205</v>
      </c>
      <c r="D1209" s="27" t="s">
        <v>610</v>
      </c>
      <c r="E1209" s="26" t="s">
        <v>203</v>
      </c>
      <c r="F1209" s="28" t="s">
        <v>11</v>
      </c>
      <c r="G1209" s="28" t="s">
        <v>11</v>
      </c>
      <c r="H1209" s="254"/>
      <c r="I1209" s="49">
        <v>2</v>
      </c>
      <c r="J1209" s="49">
        <v>2</v>
      </c>
      <c r="K1209" s="52">
        <f t="shared" si="187"/>
        <v>1</v>
      </c>
      <c r="L1209" s="209">
        <f t="shared" si="188"/>
        <v>0</v>
      </c>
      <c r="M1209" s="210">
        <f t="shared" si="189"/>
        <v>0</v>
      </c>
      <c r="N1209" s="26">
        <v>45853</v>
      </c>
      <c r="O1209" s="26">
        <v>45853</v>
      </c>
      <c r="P1209" s="26">
        <v>45853</v>
      </c>
      <c r="Q1209" s="2">
        <f t="shared" si="181"/>
        <v>1</v>
      </c>
      <c r="S1209" s="7">
        <f t="shared" si="184"/>
        <v>1</v>
      </c>
      <c r="T1209" s="157">
        <f t="shared" si="185"/>
        <v>1</v>
      </c>
      <c r="V1209" s="191">
        <f t="shared" si="182"/>
        <v>6</v>
      </c>
      <c r="W1209" s="7">
        <f t="shared" si="183"/>
        <v>2025</v>
      </c>
    </row>
    <row r="1210" spans="2:23" ht="31.95" customHeight="1" thickBot="1" x14ac:dyDescent="0.35">
      <c r="B1210" s="26">
        <v>45832</v>
      </c>
      <c r="C1210" s="51">
        <f t="shared" si="186"/>
        <v>1206</v>
      </c>
      <c r="D1210" s="27" t="s">
        <v>982</v>
      </c>
      <c r="E1210" s="26" t="s">
        <v>203</v>
      </c>
      <c r="F1210" s="28" t="s">
        <v>11</v>
      </c>
      <c r="G1210" s="28" t="s">
        <v>11</v>
      </c>
      <c r="H1210" s="254"/>
      <c r="I1210" s="49">
        <v>2</v>
      </c>
      <c r="J1210" s="49">
        <v>2</v>
      </c>
      <c r="K1210" s="52">
        <f t="shared" si="187"/>
        <v>1</v>
      </c>
      <c r="L1210" s="209">
        <f t="shared" si="188"/>
        <v>0</v>
      </c>
      <c r="M1210" s="210">
        <f t="shared" si="189"/>
        <v>0</v>
      </c>
      <c r="N1210" s="26">
        <v>45839</v>
      </c>
      <c r="O1210" s="26">
        <v>45839</v>
      </c>
      <c r="P1210" s="26">
        <v>45839</v>
      </c>
      <c r="Q1210" s="2">
        <f t="shared" si="181"/>
        <v>1</v>
      </c>
      <c r="S1210" s="7">
        <f t="shared" si="184"/>
        <v>1</v>
      </c>
      <c r="T1210" s="157">
        <f t="shared" si="185"/>
        <v>1</v>
      </c>
      <c r="V1210" s="191">
        <f t="shared" si="182"/>
        <v>6</v>
      </c>
      <c r="W1210" s="7">
        <f t="shared" si="183"/>
        <v>2025</v>
      </c>
    </row>
    <row r="1211" spans="2:23" ht="31.95" customHeight="1" thickBot="1" x14ac:dyDescent="0.35">
      <c r="B1211" s="26">
        <v>45834</v>
      </c>
      <c r="C1211" s="51">
        <f t="shared" si="186"/>
        <v>1207</v>
      </c>
      <c r="D1211" s="27" t="s">
        <v>269</v>
      </c>
      <c r="E1211" s="26" t="s">
        <v>11</v>
      </c>
      <c r="F1211" s="28" t="s">
        <v>11</v>
      </c>
      <c r="G1211" s="28" t="s">
        <v>11</v>
      </c>
      <c r="H1211" s="254"/>
      <c r="I1211" s="49">
        <v>4</v>
      </c>
      <c r="J1211" s="49">
        <v>4</v>
      </c>
      <c r="K1211" s="52">
        <f t="shared" si="187"/>
        <v>1</v>
      </c>
      <c r="L1211" s="209">
        <f t="shared" si="188"/>
        <v>0</v>
      </c>
      <c r="M1211" s="210">
        <f t="shared" si="189"/>
        <v>0</v>
      </c>
      <c r="N1211" s="26">
        <v>45835</v>
      </c>
      <c r="O1211" s="26">
        <v>45835</v>
      </c>
      <c r="P1211" s="26">
        <v>45835</v>
      </c>
      <c r="Q1211" s="2">
        <f t="shared" si="181"/>
        <v>1</v>
      </c>
      <c r="S1211" s="7">
        <f t="shared" si="184"/>
        <v>1</v>
      </c>
      <c r="T1211" s="157">
        <f t="shared" si="185"/>
        <v>1</v>
      </c>
      <c r="V1211" s="191">
        <f t="shared" si="182"/>
        <v>6</v>
      </c>
      <c r="W1211" s="7">
        <f t="shared" si="183"/>
        <v>2025</v>
      </c>
    </row>
    <row r="1212" spans="2:23" ht="31.95" customHeight="1" thickBot="1" x14ac:dyDescent="0.35">
      <c r="B1212" s="26">
        <v>45834</v>
      </c>
      <c r="C1212" s="51">
        <f t="shared" si="186"/>
        <v>1208</v>
      </c>
      <c r="D1212" s="27" t="s">
        <v>858</v>
      </c>
      <c r="E1212" s="26" t="s">
        <v>11</v>
      </c>
      <c r="F1212" s="28" t="s">
        <v>11</v>
      </c>
      <c r="G1212" s="28" t="s">
        <v>11</v>
      </c>
      <c r="H1212" s="254"/>
      <c r="I1212" s="49">
        <v>2</v>
      </c>
      <c r="J1212" s="49">
        <v>2</v>
      </c>
      <c r="K1212" s="52">
        <f t="shared" si="187"/>
        <v>1</v>
      </c>
      <c r="L1212" s="209">
        <f t="shared" si="188"/>
        <v>0</v>
      </c>
      <c r="M1212" s="210">
        <f t="shared" si="189"/>
        <v>0</v>
      </c>
      <c r="N1212" s="26">
        <v>45835</v>
      </c>
      <c r="O1212" s="26">
        <v>45835</v>
      </c>
      <c r="P1212" s="26">
        <v>45835</v>
      </c>
      <c r="Q1212" s="2">
        <f t="shared" si="181"/>
        <v>1</v>
      </c>
      <c r="S1212" s="7">
        <f t="shared" si="184"/>
        <v>1</v>
      </c>
      <c r="T1212" s="157">
        <f t="shared" si="185"/>
        <v>1</v>
      </c>
      <c r="V1212" s="191">
        <f t="shared" si="182"/>
        <v>6</v>
      </c>
      <c r="W1212" s="7">
        <f t="shared" si="183"/>
        <v>2025</v>
      </c>
    </row>
    <row r="1213" spans="2:23" ht="31.95" customHeight="1" thickBot="1" x14ac:dyDescent="0.35">
      <c r="B1213" s="26">
        <v>45838</v>
      </c>
      <c r="C1213" s="51">
        <f t="shared" si="186"/>
        <v>1209</v>
      </c>
      <c r="D1213" s="27" t="s">
        <v>269</v>
      </c>
      <c r="E1213" s="26" t="s">
        <v>203</v>
      </c>
      <c r="F1213" s="28" t="s">
        <v>11</v>
      </c>
      <c r="G1213" s="28" t="s">
        <v>11</v>
      </c>
      <c r="H1213" s="254"/>
      <c r="I1213" s="49">
        <v>1</v>
      </c>
      <c r="J1213" s="49">
        <v>1</v>
      </c>
      <c r="K1213" s="52">
        <f t="shared" si="187"/>
        <v>1</v>
      </c>
      <c r="L1213" s="209">
        <f t="shared" si="188"/>
        <v>0</v>
      </c>
      <c r="M1213" s="210">
        <f t="shared" si="189"/>
        <v>0</v>
      </c>
      <c r="N1213" s="26">
        <v>45839</v>
      </c>
      <c r="O1213" s="26">
        <v>45839</v>
      </c>
      <c r="P1213" s="26">
        <v>45839</v>
      </c>
      <c r="Q1213" s="2">
        <f t="shared" si="181"/>
        <v>1</v>
      </c>
      <c r="S1213" s="7">
        <f t="shared" si="184"/>
        <v>1</v>
      </c>
      <c r="T1213" s="157">
        <f t="shared" si="185"/>
        <v>1</v>
      </c>
      <c r="V1213" s="191">
        <f t="shared" si="182"/>
        <v>6</v>
      </c>
      <c r="W1213" s="7">
        <f t="shared" si="183"/>
        <v>2025</v>
      </c>
    </row>
    <row r="1214" spans="2:23" ht="31.95" customHeight="1" thickBot="1" x14ac:dyDescent="0.35">
      <c r="B1214" s="26">
        <v>45840</v>
      </c>
      <c r="C1214" s="51">
        <f t="shared" si="186"/>
        <v>1210</v>
      </c>
      <c r="D1214" s="27" t="s">
        <v>434</v>
      </c>
      <c r="E1214" s="26" t="s">
        <v>206</v>
      </c>
      <c r="F1214" s="28" t="s">
        <v>11</v>
      </c>
      <c r="G1214" s="28" t="s">
        <v>11</v>
      </c>
      <c r="H1214" s="254"/>
      <c r="I1214" s="49">
        <v>1</v>
      </c>
      <c r="J1214" s="49">
        <v>1</v>
      </c>
      <c r="K1214" s="52">
        <f t="shared" si="187"/>
        <v>1</v>
      </c>
      <c r="L1214" s="209">
        <f t="shared" si="188"/>
        <v>0</v>
      </c>
      <c r="M1214" s="210">
        <f t="shared" si="189"/>
        <v>0</v>
      </c>
      <c r="N1214" s="26">
        <v>45842</v>
      </c>
      <c r="O1214" s="26">
        <v>45842</v>
      </c>
      <c r="P1214" s="26">
        <v>45842</v>
      </c>
      <c r="Q1214" s="2">
        <f t="shared" si="181"/>
        <v>1</v>
      </c>
      <c r="S1214" s="7">
        <f t="shared" si="184"/>
        <v>1</v>
      </c>
      <c r="T1214" s="157">
        <f t="shared" si="185"/>
        <v>1</v>
      </c>
      <c r="V1214" s="191">
        <f t="shared" si="182"/>
        <v>7</v>
      </c>
      <c r="W1214" s="7">
        <f t="shared" si="183"/>
        <v>2025</v>
      </c>
    </row>
    <row r="1215" spans="2:23" ht="31.95" customHeight="1" thickBot="1" x14ac:dyDescent="0.35">
      <c r="B1215" s="26">
        <v>45840</v>
      </c>
      <c r="C1215" s="51">
        <f t="shared" si="186"/>
        <v>1211</v>
      </c>
      <c r="D1215" s="27" t="s">
        <v>915</v>
      </c>
      <c r="E1215" s="26" t="s">
        <v>206</v>
      </c>
      <c r="F1215" s="28" t="s">
        <v>11</v>
      </c>
      <c r="G1215" s="28" t="s">
        <v>11</v>
      </c>
      <c r="H1215" s="254"/>
      <c r="I1215" s="49">
        <v>5</v>
      </c>
      <c r="J1215" s="49">
        <v>5</v>
      </c>
      <c r="K1215" s="52">
        <f t="shared" si="187"/>
        <v>1</v>
      </c>
      <c r="L1215" s="209">
        <f t="shared" si="188"/>
        <v>0</v>
      </c>
      <c r="M1215" s="210">
        <f t="shared" si="189"/>
        <v>0</v>
      </c>
      <c r="N1215" s="26">
        <v>45847</v>
      </c>
      <c r="O1215" s="26">
        <v>45847</v>
      </c>
      <c r="P1215" s="26">
        <v>45848</v>
      </c>
      <c r="Q1215" s="2">
        <f t="shared" si="181"/>
        <v>1</v>
      </c>
      <c r="S1215" s="7">
        <f t="shared" si="184"/>
        <v>1</v>
      </c>
      <c r="T1215" s="157">
        <f t="shared" si="185"/>
        <v>0</v>
      </c>
      <c r="V1215" s="191">
        <f t="shared" si="182"/>
        <v>7</v>
      </c>
      <c r="W1215" s="7">
        <f t="shared" si="183"/>
        <v>2025</v>
      </c>
    </row>
    <row r="1216" spans="2:23" ht="31.95" customHeight="1" thickBot="1" x14ac:dyDescent="0.35">
      <c r="B1216" s="26">
        <v>45840</v>
      </c>
      <c r="C1216" s="51">
        <f t="shared" si="186"/>
        <v>1212</v>
      </c>
      <c r="D1216" s="27" t="s">
        <v>305</v>
      </c>
      <c r="E1216" s="26" t="s">
        <v>11</v>
      </c>
      <c r="F1216" s="28" t="s">
        <v>11</v>
      </c>
      <c r="G1216" s="28" t="s">
        <v>11</v>
      </c>
      <c r="H1216" s="254"/>
      <c r="I1216" s="49">
        <v>2</v>
      </c>
      <c r="J1216" s="49">
        <v>2</v>
      </c>
      <c r="K1216" s="52">
        <f t="shared" si="187"/>
        <v>1</v>
      </c>
      <c r="L1216" s="209">
        <f t="shared" si="188"/>
        <v>0</v>
      </c>
      <c r="M1216" s="210">
        <f t="shared" si="189"/>
        <v>0</v>
      </c>
      <c r="N1216" s="26">
        <v>45841</v>
      </c>
      <c r="O1216" s="26">
        <v>45841</v>
      </c>
      <c r="P1216" s="26">
        <v>45841</v>
      </c>
      <c r="Q1216" s="2">
        <f t="shared" si="181"/>
        <v>1</v>
      </c>
      <c r="S1216" s="7">
        <f t="shared" si="184"/>
        <v>1</v>
      </c>
      <c r="T1216" s="157">
        <f t="shared" si="185"/>
        <v>1</v>
      </c>
      <c r="V1216" s="191">
        <f t="shared" si="182"/>
        <v>7</v>
      </c>
      <c r="W1216" s="7">
        <f t="shared" si="183"/>
        <v>2025</v>
      </c>
    </row>
    <row r="1217" spans="2:23" ht="31.95" customHeight="1" thickBot="1" x14ac:dyDescent="0.35">
      <c r="B1217" s="26">
        <v>45841</v>
      </c>
      <c r="C1217" s="51">
        <f t="shared" si="186"/>
        <v>1213</v>
      </c>
      <c r="D1217" s="27" t="s">
        <v>401</v>
      </c>
      <c r="E1217" s="26" t="s">
        <v>11</v>
      </c>
      <c r="F1217" s="28" t="s">
        <v>11</v>
      </c>
      <c r="G1217" s="28" t="s">
        <v>11</v>
      </c>
      <c r="H1217" s="254"/>
      <c r="I1217" s="49">
        <v>1</v>
      </c>
      <c r="J1217" s="49">
        <v>1</v>
      </c>
      <c r="K1217" s="52">
        <f t="shared" si="187"/>
        <v>1</v>
      </c>
      <c r="L1217" s="209">
        <f t="shared" si="188"/>
        <v>0</v>
      </c>
      <c r="M1217" s="210">
        <f t="shared" si="189"/>
        <v>0</v>
      </c>
      <c r="N1217" s="26">
        <v>45841</v>
      </c>
      <c r="O1217" s="26">
        <v>45841</v>
      </c>
      <c r="P1217" s="26">
        <v>45841</v>
      </c>
      <c r="Q1217" s="2">
        <f t="shared" si="181"/>
        <v>1</v>
      </c>
      <c r="S1217" s="7">
        <f t="shared" si="184"/>
        <v>1</v>
      </c>
      <c r="T1217" s="157">
        <f t="shared" si="185"/>
        <v>1</v>
      </c>
      <c r="V1217" s="191">
        <f t="shared" si="182"/>
        <v>7</v>
      </c>
      <c r="W1217" s="7">
        <f t="shared" si="183"/>
        <v>2025</v>
      </c>
    </row>
    <row r="1218" spans="2:23" ht="31.95" customHeight="1" thickBot="1" x14ac:dyDescent="0.35">
      <c r="B1218" s="26">
        <v>45847</v>
      </c>
      <c r="C1218" s="51">
        <f t="shared" si="186"/>
        <v>1214</v>
      </c>
      <c r="D1218" s="27" t="s">
        <v>305</v>
      </c>
      <c r="E1218" s="28" t="s">
        <v>11</v>
      </c>
      <c r="F1218" s="28" t="s">
        <v>11</v>
      </c>
      <c r="G1218" s="28" t="s">
        <v>11</v>
      </c>
      <c r="H1218" s="254"/>
      <c r="I1218" s="49">
        <v>1</v>
      </c>
      <c r="J1218" s="49">
        <v>1</v>
      </c>
      <c r="K1218" s="52">
        <f t="shared" si="187"/>
        <v>1</v>
      </c>
      <c r="L1218" s="209">
        <f t="shared" si="188"/>
        <v>0</v>
      </c>
      <c r="M1218" s="210">
        <f t="shared" si="189"/>
        <v>0</v>
      </c>
      <c r="N1218" s="26">
        <v>45848</v>
      </c>
      <c r="O1218" s="26">
        <v>45848</v>
      </c>
      <c r="P1218" s="26">
        <v>45848</v>
      </c>
      <c r="Q1218" s="2">
        <f t="shared" si="181"/>
        <v>1</v>
      </c>
      <c r="S1218" s="7">
        <f t="shared" si="184"/>
        <v>1</v>
      </c>
      <c r="T1218" s="157">
        <f t="shared" si="185"/>
        <v>1</v>
      </c>
      <c r="V1218" s="191">
        <f t="shared" si="182"/>
        <v>7</v>
      </c>
      <c r="W1218" s="7">
        <f t="shared" si="183"/>
        <v>2025</v>
      </c>
    </row>
    <row r="1219" spans="2:23" ht="31.95" customHeight="1" thickBot="1" x14ac:dyDescent="0.35">
      <c r="B1219" s="26">
        <v>45847</v>
      </c>
      <c r="C1219" s="51">
        <f t="shared" si="186"/>
        <v>1215</v>
      </c>
      <c r="D1219" s="27" t="s">
        <v>741</v>
      </c>
      <c r="E1219" s="26" t="s">
        <v>206</v>
      </c>
      <c r="F1219" s="28" t="s">
        <v>11</v>
      </c>
      <c r="G1219" s="28" t="s">
        <v>11</v>
      </c>
      <c r="H1219" s="254"/>
      <c r="I1219" s="49">
        <v>1</v>
      </c>
      <c r="J1219" s="49">
        <v>1</v>
      </c>
      <c r="K1219" s="52">
        <f t="shared" si="187"/>
        <v>1</v>
      </c>
      <c r="L1219" s="209">
        <f t="shared" si="188"/>
        <v>0</v>
      </c>
      <c r="M1219" s="210">
        <f t="shared" si="189"/>
        <v>0</v>
      </c>
      <c r="N1219" s="26">
        <v>45854</v>
      </c>
      <c r="O1219" s="26">
        <v>45854</v>
      </c>
      <c r="P1219" s="26">
        <v>45854</v>
      </c>
      <c r="Q1219" s="2">
        <f t="shared" si="181"/>
        <v>1</v>
      </c>
      <c r="S1219" s="7">
        <f t="shared" si="184"/>
        <v>1</v>
      </c>
      <c r="T1219" s="157">
        <f t="shared" si="185"/>
        <v>1</v>
      </c>
      <c r="V1219" s="191">
        <f t="shared" si="182"/>
        <v>7</v>
      </c>
      <c r="W1219" s="7">
        <f t="shared" si="183"/>
        <v>2025</v>
      </c>
    </row>
    <row r="1220" spans="2:23" ht="31.95" customHeight="1" thickBot="1" x14ac:dyDescent="0.35">
      <c r="B1220" s="26">
        <v>45847</v>
      </c>
      <c r="C1220" s="51">
        <f t="shared" si="186"/>
        <v>1216</v>
      </c>
      <c r="D1220" s="27" t="s">
        <v>368</v>
      </c>
      <c r="E1220" s="26" t="s">
        <v>1320</v>
      </c>
      <c r="F1220" s="28" t="s">
        <v>11</v>
      </c>
      <c r="G1220" s="28" t="s">
        <v>11</v>
      </c>
      <c r="H1220" s="254"/>
      <c r="I1220" s="49">
        <v>1</v>
      </c>
      <c r="J1220" s="49">
        <v>1</v>
      </c>
      <c r="K1220" s="52">
        <f t="shared" si="187"/>
        <v>1</v>
      </c>
      <c r="L1220" s="209">
        <f t="shared" si="188"/>
        <v>0</v>
      </c>
      <c r="M1220" s="210">
        <f t="shared" si="189"/>
        <v>0</v>
      </c>
      <c r="N1220" s="26">
        <v>45849</v>
      </c>
      <c r="O1220" s="26">
        <v>45849</v>
      </c>
      <c r="P1220" s="26">
        <v>45849</v>
      </c>
      <c r="Q1220" s="2">
        <f t="shared" si="181"/>
        <v>1</v>
      </c>
      <c r="S1220" s="7">
        <f t="shared" si="184"/>
        <v>1</v>
      </c>
      <c r="T1220" s="157">
        <f t="shared" si="185"/>
        <v>1</v>
      </c>
      <c r="V1220" s="191">
        <f t="shared" si="182"/>
        <v>7</v>
      </c>
      <c r="W1220" s="7">
        <f t="shared" si="183"/>
        <v>2025</v>
      </c>
    </row>
    <row r="1221" spans="2:23" ht="31.95" customHeight="1" thickBot="1" x14ac:dyDescent="0.35">
      <c r="B1221" s="26">
        <v>45848</v>
      </c>
      <c r="C1221" s="51">
        <f t="shared" si="186"/>
        <v>1217</v>
      </c>
      <c r="D1221" s="27" t="s">
        <v>822</v>
      </c>
      <c r="E1221" s="26" t="s">
        <v>207</v>
      </c>
      <c r="F1221" s="28" t="s">
        <v>11</v>
      </c>
      <c r="G1221" s="28" t="s">
        <v>11</v>
      </c>
      <c r="H1221" s="254"/>
      <c r="I1221" s="49">
        <v>2</v>
      </c>
      <c r="J1221" s="49">
        <v>2</v>
      </c>
      <c r="K1221" s="52">
        <f t="shared" si="187"/>
        <v>1</v>
      </c>
      <c r="L1221" s="209">
        <f t="shared" si="188"/>
        <v>0</v>
      </c>
      <c r="M1221" s="210">
        <f t="shared" si="189"/>
        <v>0</v>
      </c>
      <c r="N1221" s="26">
        <v>45849</v>
      </c>
      <c r="O1221" s="26">
        <v>45849</v>
      </c>
      <c r="P1221" s="26">
        <v>45862</v>
      </c>
      <c r="Q1221" s="2">
        <f t="shared" ref="Q1221:Q1284" si="190">IF(B1221&lt;&gt;"",1,0)</f>
        <v>1</v>
      </c>
      <c r="S1221" s="7">
        <f t="shared" si="184"/>
        <v>1</v>
      </c>
      <c r="T1221" s="157">
        <f t="shared" si="185"/>
        <v>0</v>
      </c>
      <c r="V1221" s="191">
        <f t="shared" ref="V1221:V1284" si="191">MONTH(B1221)</f>
        <v>7</v>
      </c>
      <c r="W1221" s="7">
        <f t="shared" ref="W1221:W1284" si="192">YEAR(B1221)</f>
        <v>2025</v>
      </c>
    </row>
    <row r="1222" spans="2:23" ht="31.95" customHeight="1" thickBot="1" x14ac:dyDescent="0.35">
      <c r="B1222" s="26">
        <v>45848</v>
      </c>
      <c r="C1222" s="51">
        <f t="shared" si="186"/>
        <v>1218</v>
      </c>
      <c r="D1222" s="27" t="s">
        <v>858</v>
      </c>
      <c r="E1222" s="26" t="s">
        <v>11</v>
      </c>
      <c r="F1222" s="28" t="s">
        <v>11</v>
      </c>
      <c r="G1222" s="28" t="s">
        <v>11</v>
      </c>
      <c r="H1222" s="254"/>
      <c r="I1222" s="49">
        <v>2</v>
      </c>
      <c r="J1222" s="49">
        <v>2</v>
      </c>
      <c r="K1222" s="52">
        <f t="shared" si="187"/>
        <v>1</v>
      </c>
      <c r="L1222" s="209">
        <f t="shared" si="188"/>
        <v>0</v>
      </c>
      <c r="M1222" s="210">
        <f t="shared" si="189"/>
        <v>0</v>
      </c>
      <c r="N1222" s="26">
        <v>45849</v>
      </c>
      <c r="O1222" s="26">
        <v>45849</v>
      </c>
      <c r="P1222" s="26">
        <v>45849</v>
      </c>
      <c r="Q1222" s="2">
        <f t="shared" si="190"/>
        <v>1</v>
      </c>
      <c r="S1222" s="7">
        <f t="shared" ref="S1222:S1285" si="193">IF(AND(O1222&lt;=N1222,O1222&lt;&gt;""),1,0)</f>
        <v>1</v>
      </c>
      <c r="T1222" s="157">
        <f t="shared" ref="T1222:T1285" si="194">IF(AND(P1222&lt;=N1222,P1222&lt;&gt;""),1,0)</f>
        <v>1</v>
      </c>
      <c r="V1222" s="191">
        <f t="shared" si="191"/>
        <v>7</v>
      </c>
      <c r="W1222" s="7">
        <f t="shared" si="192"/>
        <v>2025</v>
      </c>
    </row>
    <row r="1223" spans="2:23" ht="31.95" customHeight="1" thickBot="1" x14ac:dyDescent="0.35">
      <c r="B1223" s="26">
        <v>45848</v>
      </c>
      <c r="C1223" s="51">
        <f t="shared" ref="C1223:C1286" si="195">IF(B1223&lt;&gt;"",C1222+1,"")</f>
        <v>1219</v>
      </c>
      <c r="D1223" s="27" t="s">
        <v>305</v>
      </c>
      <c r="E1223" s="26" t="s">
        <v>11</v>
      </c>
      <c r="F1223" s="28" t="s">
        <v>11</v>
      </c>
      <c r="G1223" s="28" t="s">
        <v>11</v>
      </c>
      <c r="H1223" s="254"/>
      <c r="I1223" s="49">
        <v>1</v>
      </c>
      <c r="J1223" s="49">
        <v>1</v>
      </c>
      <c r="K1223" s="52">
        <f t="shared" si="187"/>
        <v>1</v>
      </c>
      <c r="L1223" s="209">
        <f t="shared" si="188"/>
        <v>0</v>
      </c>
      <c r="M1223" s="210">
        <f t="shared" si="189"/>
        <v>0</v>
      </c>
      <c r="N1223" s="26">
        <v>45849</v>
      </c>
      <c r="O1223" s="26">
        <v>45849</v>
      </c>
      <c r="P1223" s="26">
        <v>45849</v>
      </c>
      <c r="Q1223" s="2">
        <f t="shared" si="190"/>
        <v>1</v>
      </c>
      <c r="S1223" s="7">
        <f t="shared" si="193"/>
        <v>1</v>
      </c>
      <c r="T1223" s="157">
        <f t="shared" si="194"/>
        <v>1</v>
      </c>
      <c r="V1223" s="191">
        <f t="shared" si="191"/>
        <v>7</v>
      </c>
      <c r="W1223" s="7">
        <f t="shared" si="192"/>
        <v>2025</v>
      </c>
    </row>
    <row r="1224" spans="2:23" ht="31.95" customHeight="1" thickBot="1" x14ac:dyDescent="0.35">
      <c r="B1224" s="26">
        <v>45852</v>
      </c>
      <c r="C1224" s="51">
        <f t="shared" si="195"/>
        <v>1220</v>
      </c>
      <c r="D1224" s="27" t="s">
        <v>871</v>
      </c>
      <c r="E1224" s="26" t="s">
        <v>208</v>
      </c>
      <c r="F1224" s="28" t="s">
        <v>11</v>
      </c>
      <c r="G1224" s="28" t="s">
        <v>11</v>
      </c>
      <c r="H1224" s="254"/>
      <c r="I1224" s="49">
        <v>1</v>
      </c>
      <c r="J1224" s="49">
        <v>1</v>
      </c>
      <c r="K1224" s="52">
        <f t="shared" si="187"/>
        <v>1</v>
      </c>
      <c r="L1224" s="209">
        <f t="shared" si="188"/>
        <v>0</v>
      </c>
      <c r="M1224" s="210">
        <f t="shared" si="189"/>
        <v>0</v>
      </c>
      <c r="N1224" s="26">
        <v>45861</v>
      </c>
      <c r="O1224" s="26">
        <v>45860</v>
      </c>
      <c r="P1224" s="26">
        <v>45861</v>
      </c>
      <c r="Q1224" s="2">
        <f t="shared" si="190"/>
        <v>1</v>
      </c>
      <c r="S1224" s="7">
        <f t="shared" si="193"/>
        <v>1</v>
      </c>
      <c r="T1224" s="157">
        <f t="shared" si="194"/>
        <v>1</v>
      </c>
      <c r="V1224" s="191">
        <f t="shared" si="191"/>
        <v>7</v>
      </c>
      <c r="W1224" s="7">
        <f t="shared" si="192"/>
        <v>2025</v>
      </c>
    </row>
    <row r="1225" spans="2:23" ht="31.95" customHeight="1" thickBot="1" x14ac:dyDescent="0.35">
      <c r="B1225" s="26">
        <v>45853</v>
      </c>
      <c r="C1225" s="51">
        <f t="shared" si="195"/>
        <v>1221</v>
      </c>
      <c r="D1225" s="27" t="s">
        <v>1000</v>
      </c>
      <c r="E1225" s="26" t="s">
        <v>209</v>
      </c>
      <c r="F1225" s="28" t="s">
        <v>11</v>
      </c>
      <c r="G1225" s="28" t="s">
        <v>11</v>
      </c>
      <c r="H1225" s="254"/>
      <c r="I1225" s="49">
        <v>1</v>
      </c>
      <c r="J1225" s="49">
        <v>1</v>
      </c>
      <c r="K1225" s="52">
        <f t="shared" si="187"/>
        <v>1</v>
      </c>
      <c r="L1225" s="209">
        <f t="shared" si="188"/>
        <v>0</v>
      </c>
      <c r="M1225" s="210">
        <f t="shared" si="189"/>
        <v>0</v>
      </c>
      <c r="N1225" s="26">
        <v>45860</v>
      </c>
      <c r="O1225" s="26">
        <v>45860</v>
      </c>
      <c r="P1225" s="26">
        <v>45860</v>
      </c>
      <c r="Q1225" s="2">
        <f t="shared" si="190"/>
        <v>1</v>
      </c>
      <c r="S1225" s="7">
        <f t="shared" si="193"/>
        <v>1</v>
      </c>
      <c r="T1225" s="157">
        <f t="shared" si="194"/>
        <v>1</v>
      </c>
      <c r="V1225" s="191">
        <f t="shared" si="191"/>
        <v>7</v>
      </c>
      <c r="W1225" s="7">
        <f t="shared" si="192"/>
        <v>2025</v>
      </c>
    </row>
    <row r="1226" spans="2:23" ht="31.95" customHeight="1" thickBot="1" x14ac:dyDescent="0.35">
      <c r="B1226" s="26">
        <v>45853</v>
      </c>
      <c r="C1226" s="51">
        <f t="shared" si="195"/>
        <v>1222</v>
      </c>
      <c r="D1226" s="27" t="s">
        <v>594</v>
      </c>
      <c r="E1226" s="26" t="s">
        <v>201</v>
      </c>
      <c r="F1226" s="28" t="s">
        <v>11</v>
      </c>
      <c r="G1226" s="28" t="s">
        <v>11</v>
      </c>
      <c r="H1226" s="254"/>
      <c r="I1226" s="49">
        <v>1</v>
      </c>
      <c r="J1226" s="49">
        <v>1</v>
      </c>
      <c r="K1226" s="52">
        <f t="shared" si="187"/>
        <v>1</v>
      </c>
      <c r="L1226" s="209">
        <f t="shared" si="188"/>
        <v>0</v>
      </c>
      <c r="M1226" s="210">
        <f t="shared" si="189"/>
        <v>0</v>
      </c>
      <c r="N1226" s="26">
        <v>45855</v>
      </c>
      <c r="O1226" s="26">
        <v>45855</v>
      </c>
      <c r="P1226" s="26">
        <v>45855</v>
      </c>
      <c r="Q1226" s="2">
        <f t="shared" si="190"/>
        <v>1</v>
      </c>
      <c r="S1226" s="7">
        <f t="shared" si="193"/>
        <v>1</v>
      </c>
      <c r="T1226" s="157">
        <f t="shared" si="194"/>
        <v>1</v>
      </c>
      <c r="V1226" s="191">
        <f t="shared" si="191"/>
        <v>7</v>
      </c>
      <c r="W1226" s="7">
        <f t="shared" si="192"/>
        <v>2025</v>
      </c>
    </row>
    <row r="1227" spans="2:23" ht="31.95" customHeight="1" thickBot="1" x14ac:dyDescent="0.35">
      <c r="B1227" s="26">
        <v>45853</v>
      </c>
      <c r="C1227" s="51">
        <f t="shared" si="195"/>
        <v>1223</v>
      </c>
      <c r="D1227" s="27" t="s">
        <v>524</v>
      </c>
      <c r="E1227" s="26" t="s">
        <v>208</v>
      </c>
      <c r="F1227" s="28" t="s">
        <v>11</v>
      </c>
      <c r="G1227" s="28" t="s">
        <v>11</v>
      </c>
      <c r="H1227" s="254"/>
      <c r="I1227" s="49">
        <v>1</v>
      </c>
      <c r="J1227" s="49">
        <v>1</v>
      </c>
      <c r="K1227" s="52">
        <f t="shared" si="187"/>
        <v>1</v>
      </c>
      <c r="L1227" s="209">
        <f t="shared" si="188"/>
        <v>0</v>
      </c>
      <c r="M1227" s="210">
        <f t="shared" si="189"/>
        <v>0</v>
      </c>
      <c r="N1227" s="26">
        <v>45859</v>
      </c>
      <c r="O1227" s="26">
        <v>45857</v>
      </c>
      <c r="P1227" s="26">
        <v>45861</v>
      </c>
      <c r="Q1227" s="2">
        <f t="shared" si="190"/>
        <v>1</v>
      </c>
      <c r="S1227" s="7">
        <f t="shared" si="193"/>
        <v>1</v>
      </c>
      <c r="T1227" s="157">
        <f t="shared" si="194"/>
        <v>0</v>
      </c>
      <c r="V1227" s="191">
        <f t="shared" si="191"/>
        <v>7</v>
      </c>
      <c r="W1227" s="7">
        <f t="shared" si="192"/>
        <v>2025</v>
      </c>
    </row>
    <row r="1228" spans="2:23" ht="31.95" customHeight="1" thickBot="1" x14ac:dyDescent="0.35">
      <c r="B1228" s="26">
        <v>45853</v>
      </c>
      <c r="C1228" s="51">
        <f t="shared" si="195"/>
        <v>1224</v>
      </c>
      <c r="D1228" s="27" t="s">
        <v>890</v>
      </c>
      <c r="E1228" s="26" t="s">
        <v>209</v>
      </c>
      <c r="F1228" s="28" t="s">
        <v>11</v>
      </c>
      <c r="G1228" s="28" t="s">
        <v>11</v>
      </c>
      <c r="H1228" s="254"/>
      <c r="I1228" s="49">
        <v>3</v>
      </c>
      <c r="J1228" s="49">
        <v>3</v>
      </c>
      <c r="K1228" s="52">
        <f t="shared" si="187"/>
        <v>1</v>
      </c>
      <c r="L1228" s="209">
        <f>IF(I1228="","",I1228-J1228)</f>
        <v>0</v>
      </c>
      <c r="M1228" s="210">
        <f t="shared" si="189"/>
        <v>0</v>
      </c>
      <c r="N1228" s="26">
        <v>45854</v>
      </c>
      <c r="O1228" s="26">
        <v>45854</v>
      </c>
      <c r="P1228" s="26">
        <v>45852</v>
      </c>
      <c r="Q1228" s="2">
        <f t="shared" si="190"/>
        <v>1</v>
      </c>
      <c r="S1228" s="7">
        <f t="shared" si="193"/>
        <v>1</v>
      </c>
      <c r="T1228" s="157">
        <f t="shared" si="194"/>
        <v>1</v>
      </c>
      <c r="V1228" s="191">
        <f t="shared" si="191"/>
        <v>7</v>
      </c>
      <c r="W1228" s="7">
        <f t="shared" si="192"/>
        <v>2025</v>
      </c>
    </row>
    <row r="1229" spans="2:23" ht="31.95" customHeight="1" thickBot="1" x14ac:dyDescent="0.35">
      <c r="B1229" s="26">
        <v>45853</v>
      </c>
      <c r="C1229" s="51">
        <f t="shared" si="195"/>
        <v>1225</v>
      </c>
      <c r="D1229" s="27" t="s">
        <v>652</v>
      </c>
      <c r="E1229" s="26" t="s">
        <v>209</v>
      </c>
      <c r="F1229" s="28" t="s">
        <v>11</v>
      </c>
      <c r="G1229" s="28" t="s">
        <v>11</v>
      </c>
      <c r="H1229" s="254"/>
      <c r="I1229" s="49">
        <v>1</v>
      </c>
      <c r="J1229" s="49">
        <v>1</v>
      </c>
      <c r="K1229" s="52">
        <f t="shared" si="187"/>
        <v>1</v>
      </c>
      <c r="L1229" s="209">
        <f t="shared" si="188"/>
        <v>0</v>
      </c>
      <c r="M1229" s="210">
        <f t="shared" si="189"/>
        <v>0</v>
      </c>
      <c r="N1229" s="26">
        <v>45854</v>
      </c>
      <c r="O1229" s="26">
        <v>45854</v>
      </c>
      <c r="P1229" s="26">
        <v>45854</v>
      </c>
      <c r="Q1229" s="2">
        <f t="shared" si="190"/>
        <v>1</v>
      </c>
      <c r="S1229" s="7">
        <f t="shared" si="193"/>
        <v>1</v>
      </c>
      <c r="T1229" s="157">
        <f t="shared" si="194"/>
        <v>1</v>
      </c>
      <c r="V1229" s="191">
        <f t="shared" si="191"/>
        <v>7</v>
      </c>
      <c r="W1229" s="7">
        <f t="shared" si="192"/>
        <v>2025</v>
      </c>
    </row>
    <row r="1230" spans="2:23" ht="31.95" customHeight="1" thickBot="1" x14ac:dyDescent="0.35">
      <c r="B1230" s="26">
        <v>45853</v>
      </c>
      <c r="C1230" s="51">
        <f t="shared" si="195"/>
        <v>1226</v>
      </c>
      <c r="D1230" s="27" t="s">
        <v>524</v>
      </c>
      <c r="E1230" s="26" t="s">
        <v>210</v>
      </c>
      <c r="F1230" s="28" t="s">
        <v>11</v>
      </c>
      <c r="G1230" s="28" t="s">
        <v>11</v>
      </c>
      <c r="H1230" s="254"/>
      <c r="I1230" s="49">
        <v>15</v>
      </c>
      <c r="J1230" s="49">
        <v>12</v>
      </c>
      <c r="K1230" s="52">
        <f t="shared" si="187"/>
        <v>0.8</v>
      </c>
      <c r="L1230" s="209">
        <f t="shared" si="188"/>
        <v>3</v>
      </c>
      <c r="M1230" s="210">
        <f t="shared" si="189"/>
        <v>0.19999999999999996</v>
      </c>
      <c r="N1230" s="26">
        <v>45854</v>
      </c>
      <c r="O1230" s="26">
        <v>45863</v>
      </c>
      <c r="P1230" s="26">
        <v>45861</v>
      </c>
      <c r="Q1230" s="2">
        <f t="shared" si="190"/>
        <v>1</v>
      </c>
      <c r="S1230" s="7">
        <f t="shared" si="193"/>
        <v>0</v>
      </c>
      <c r="T1230" s="157">
        <f t="shared" si="194"/>
        <v>0</v>
      </c>
      <c r="V1230" s="191">
        <f t="shared" si="191"/>
        <v>7</v>
      </c>
      <c r="W1230" s="7">
        <f t="shared" si="192"/>
        <v>2025</v>
      </c>
    </row>
    <row r="1231" spans="2:23" ht="31.95" customHeight="1" thickBot="1" x14ac:dyDescent="0.35">
      <c r="B1231" s="26">
        <v>45853</v>
      </c>
      <c r="C1231" s="51">
        <f t="shared" si="195"/>
        <v>1227</v>
      </c>
      <c r="D1231" s="27" t="s">
        <v>890</v>
      </c>
      <c r="E1231" s="26" t="s">
        <v>210</v>
      </c>
      <c r="F1231" s="28" t="s">
        <v>11</v>
      </c>
      <c r="G1231" s="28" t="s">
        <v>11</v>
      </c>
      <c r="H1231" s="254"/>
      <c r="I1231" s="49">
        <v>3</v>
      </c>
      <c r="J1231" s="49">
        <v>3</v>
      </c>
      <c r="K1231" s="52">
        <f t="shared" si="187"/>
        <v>1</v>
      </c>
      <c r="L1231" s="209">
        <f t="shared" si="188"/>
        <v>0</v>
      </c>
      <c r="M1231" s="210">
        <f t="shared" si="189"/>
        <v>0</v>
      </c>
      <c r="N1231" s="26">
        <v>45874</v>
      </c>
      <c r="O1231" s="26">
        <v>45874</v>
      </c>
      <c r="P1231" s="26">
        <v>45875</v>
      </c>
      <c r="Q1231" s="2">
        <f t="shared" si="190"/>
        <v>1</v>
      </c>
      <c r="S1231" s="7">
        <f t="shared" si="193"/>
        <v>1</v>
      </c>
      <c r="T1231" s="157">
        <f t="shared" si="194"/>
        <v>0</v>
      </c>
      <c r="V1231" s="191">
        <f t="shared" si="191"/>
        <v>7</v>
      </c>
      <c r="W1231" s="7">
        <f t="shared" si="192"/>
        <v>2025</v>
      </c>
    </row>
    <row r="1232" spans="2:23" ht="31.95" customHeight="1" thickBot="1" x14ac:dyDescent="0.35">
      <c r="B1232" s="26">
        <v>45853</v>
      </c>
      <c r="C1232" s="51">
        <f t="shared" si="195"/>
        <v>1228</v>
      </c>
      <c r="D1232" s="27" t="s">
        <v>652</v>
      </c>
      <c r="E1232" s="26" t="s">
        <v>210</v>
      </c>
      <c r="F1232" s="28" t="s">
        <v>11</v>
      </c>
      <c r="G1232" s="28" t="s">
        <v>11</v>
      </c>
      <c r="H1232" s="254"/>
      <c r="I1232" s="49">
        <v>3</v>
      </c>
      <c r="J1232" s="49">
        <v>3</v>
      </c>
      <c r="K1232" s="52">
        <f t="shared" si="187"/>
        <v>1</v>
      </c>
      <c r="L1232" s="209">
        <f t="shared" si="188"/>
        <v>0</v>
      </c>
      <c r="M1232" s="210">
        <f t="shared" si="189"/>
        <v>0</v>
      </c>
      <c r="N1232" s="26">
        <v>45853</v>
      </c>
      <c r="O1232" s="26">
        <v>45853</v>
      </c>
      <c r="P1232" s="26">
        <v>45853</v>
      </c>
      <c r="Q1232" s="2">
        <f t="shared" si="190"/>
        <v>1</v>
      </c>
      <c r="S1232" s="7">
        <f t="shared" si="193"/>
        <v>1</v>
      </c>
      <c r="T1232" s="157">
        <f t="shared" si="194"/>
        <v>1</v>
      </c>
      <c r="V1232" s="191">
        <f t="shared" si="191"/>
        <v>7</v>
      </c>
      <c r="W1232" s="7">
        <f t="shared" si="192"/>
        <v>2025</v>
      </c>
    </row>
    <row r="1233" spans="2:23" ht="31.95" customHeight="1" thickBot="1" x14ac:dyDescent="0.35">
      <c r="B1233" s="26">
        <v>45854</v>
      </c>
      <c r="C1233" s="51">
        <f t="shared" si="195"/>
        <v>1229</v>
      </c>
      <c r="D1233" s="27" t="s">
        <v>602</v>
      </c>
      <c r="E1233" s="26" t="s">
        <v>210</v>
      </c>
      <c r="F1233" s="28" t="s">
        <v>11</v>
      </c>
      <c r="G1233" s="28" t="s">
        <v>11</v>
      </c>
      <c r="H1233" s="254"/>
      <c r="I1233" s="49">
        <v>3</v>
      </c>
      <c r="J1233" s="49">
        <v>3</v>
      </c>
      <c r="K1233" s="52">
        <f t="shared" si="187"/>
        <v>1</v>
      </c>
      <c r="L1233" s="209">
        <f t="shared" si="188"/>
        <v>0</v>
      </c>
      <c r="M1233" s="210">
        <f t="shared" si="189"/>
        <v>0</v>
      </c>
      <c r="N1233" s="26">
        <v>45860</v>
      </c>
      <c r="O1233" s="26">
        <v>45859</v>
      </c>
      <c r="P1233" s="26">
        <v>45859</v>
      </c>
      <c r="Q1233" s="2">
        <f t="shared" si="190"/>
        <v>1</v>
      </c>
      <c r="S1233" s="7">
        <f t="shared" si="193"/>
        <v>1</v>
      </c>
      <c r="T1233" s="157">
        <f t="shared" si="194"/>
        <v>1</v>
      </c>
      <c r="V1233" s="191">
        <f t="shared" si="191"/>
        <v>7</v>
      </c>
      <c r="W1233" s="7">
        <f t="shared" si="192"/>
        <v>2025</v>
      </c>
    </row>
    <row r="1234" spans="2:23" ht="31.95" customHeight="1" thickBot="1" x14ac:dyDescent="0.35">
      <c r="B1234" s="26">
        <v>45854</v>
      </c>
      <c r="C1234" s="51">
        <f t="shared" si="195"/>
        <v>1230</v>
      </c>
      <c r="D1234" s="27" t="s">
        <v>321</v>
      </c>
      <c r="E1234" s="26" t="s">
        <v>208</v>
      </c>
      <c r="F1234" s="28" t="s">
        <v>11</v>
      </c>
      <c r="G1234" s="28" t="s">
        <v>11</v>
      </c>
      <c r="H1234" s="254"/>
      <c r="I1234" s="49">
        <v>3</v>
      </c>
      <c r="J1234" s="49">
        <v>3</v>
      </c>
      <c r="K1234" s="52">
        <f t="shared" si="187"/>
        <v>1</v>
      </c>
      <c r="L1234" s="209">
        <f t="shared" si="188"/>
        <v>0</v>
      </c>
      <c r="M1234" s="210">
        <f t="shared" si="189"/>
        <v>0</v>
      </c>
      <c r="N1234" s="26">
        <v>45855</v>
      </c>
      <c r="O1234" s="26">
        <v>45855</v>
      </c>
      <c r="P1234" s="26">
        <v>45855</v>
      </c>
      <c r="Q1234" s="2">
        <f t="shared" si="190"/>
        <v>1</v>
      </c>
      <c r="S1234" s="7">
        <f t="shared" si="193"/>
        <v>1</v>
      </c>
      <c r="T1234" s="157">
        <f t="shared" si="194"/>
        <v>1</v>
      </c>
      <c r="V1234" s="191">
        <f t="shared" si="191"/>
        <v>7</v>
      </c>
      <c r="W1234" s="7">
        <f t="shared" si="192"/>
        <v>2025</v>
      </c>
    </row>
    <row r="1235" spans="2:23" ht="31.95" customHeight="1" thickBot="1" x14ac:dyDescent="0.35">
      <c r="B1235" s="26">
        <v>45854</v>
      </c>
      <c r="C1235" s="51">
        <f t="shared" si="195"/>
        <v>1231</v>
      </c>
      <c r="D1235" s="27" t="s">
        <v>594</v>
      </c>
      <c r="E1235" s="26" t="s">
        <v>210</v>
      </c>
      <c r="F1235" s="28" t="s">
        <v>11</v>
      </c>
      <c r="G1235" s="28" t="s">
        <v>11</v>
      </c>
      <c r="H1235" s="254"/>
      <c r="I1235" s="49">
        <v>3</v>
      </c>
      <c r="J1235" s="49">
        <v>3</v>
      </c>
      <c r="K1235" s="52">
        <f t="shared" si="187"/>
        <v>1</v>
      </c>
      <c r="L1235" s="209">
        <f t="shared" si="188"/>
        <v>0</v>
      </c>
      <c r="M1235" s="210">
        <f t="shared" si="189"/>
        <v>0</v>
      </c>
      <c r="N1235" s="26">
        <v>45868</v>
      </c>
      <c r="O1235" s="26">
        <v>45859</v>
      </c>
      <c r="P1235" s="26">
        <v>45859</v>
      </c>
      <c r="Q1235" s="2">
        <f t="shared" si="190"/>
        <v>1</v>
      </c>
      <c r="S1235" s="7">
        <f t="shared" si="193"/>
        <v>1</v>
      </c>
      <c r="T1235" s="157">
        <f t="shared" si="194"/>
        <v>1</v>
      </c>
      <c r="V1235" s="191">
        <f t="shared" si="191"/>
        <v>7</v>
      </c>
      <c r="W1235" s="7">
        <f t="shared" si="192"/>
        <v>2025</v>
      </c>
    </row>
    <row r="1236" spans="2:23" ht="31.95" customHeight="1" thickBot="1" x14ac:dyDescent="0.35">
      <c r="B1236" s="26">
        <v>45854</v>
      </c>
      <c r="C1236" s="51">
        <f t="shared" si="195"/>
        <v>1232</v>
      </c>
      <c r="D1236" s="27" t="s">
        <v>524</v>
      </c>
      <c r="E1236" s="26" t="s">
        <v>210</v>
      </c>
      <c r="F1236" s="28" t="s">
        <v>11</v>
      </c>
      <c r="G1236" s="28" t="s">
        <v>11</v>
      </c>
      <c r="H1236" s="254"/>
      <c r="I1236" s="49">
        <v>1</v>
      </c>
      <c r="J1236" s="49">
        <v>1</v>
      </c>
      <c r="K1236" s="52">
        <f t="shared" si="187"/>
        <v>1</v>
      </c>
      <c r="L1236" s="209">
        <f t="shared" si="188"/>
        <v>0</v>
      </c>
      <c r="M1236" s="210">
        <f t="shared" si="189"/>
        <v>0</v>
      </c>
      <c r="N1236" s="26">
        <v>45859</v>
      </c>
      <c r="O1236" s="26">
        <v>45856</v>
      </c>
      <c r="P1236" s="26">
        <v>45861</v>
      </c>
      <c r="Q1236" s="2">
        <f t="shared" si="190"/>
        <v>1</v>
      </c>
      <c r="S1236" s="7">
        <f t="shared" si="193"/>
        <v>1</v>
      </c>
      <c r="T1236" s="157">
        <f t="shared" si="194"/>
        <v>0</v>
      </c>
      <c r="V1236" s="191">
        <f t="shared" si="191"/>
        <v>7</v>
      </c>
      <c r="W1236" s="7">
        <f t="shared" si="192"/>
        <v>2025</v>
      </c>
    </row>
    <row r="1237" spans="2:23" ht="31.95" customHeight="1" thickBot="1" x14ac:dyDescent="0.35">
      <c r="B1237" s="26">
        <v>45855</v>
      </c>
      <c r="C1237" s="51">
        <f t="shared" si="195"/>
        <v>1233</v>
      </c>
      <c r="D1237" s="27" t="s">
        <v>269</v>
      </c>
      <c r="E1237" s="26" t="s">
        <v>11</v>
      </c>
      <c r="F1237" s="28" t="s">
        <v>11</v>
      </c>
      <c r="G1237" s="28" t="s">
        <v>11</v>
      </c>
      <c r="H1237" s="254"/>
      <c r="I1237" s="49">
        <v>5</v>
      </c>
      <c r="J1237" s="49">
        <v>5</v>
      </c>
      <c r="K1237" s="52">
        <f t="shared" si="187"/>
        <v>1</v>
      </c>
      <c r="L1237" s="209">
        <f t="shared" si="188"/>
        <v>0</v>
      </c>
      <c r="M1237" s="210">
        <f t="shared" si="189"/>
        <v>0</v>
      </c>
      <c r="N1237" s="26">
        <v>45856</v>
      </c>
      <c r="O1237" s="26">
        <v>45856</v>
      </c>
      <c r="P1237" s="26">
        <v>45856</v>
      </c>
      <c r="Q1237" s="2">
        <f t="shared" si="190"/>
        <v>1</v>
      </c>
      <c r="S1237" s="7">
        <f t="shared" si="193"/>
        <v>1</v>
      </c>
      <c r="T1237" s="157">
        <f t="shared" si="194"/>
        <v>1</v>
      </c>
      <c r="V1237" s="191">
        <f t="shared" si="191"/>
        <v>7</v>
      </c>
      <c r="W1237" s="7">
        <f t="shared" si="192"/>
        <v>2025</v>
      </c>
    </row>
    <row r="1238" spans="2:23" ht="31.95" customHeight="1" thickBot="1" x14ac:dyDescent="0.35">
      <c r="B1238" s="26">
        <v>45856</v>
      </c>
      <c r="C1238" s="51">
        <f t="shared" si="195"/>
        <v>1234</v>
      </c>
      <c r="D1238" s="27" t="s">
        <v>890</v>
      </c>
      <c r="E1238" s="26" t="s">
        <v>1355</v>
      </c>
      <c r="F1238" s="28" t="s">
        <v>11</v>
      </c>
      <c r="G1238" s="28" t="s">
        <v>11</v>
      </c>
      <c r="H1238" s="254"/>
      <c r="I1238" s="49">
        <v>1</v>
      </c>
      <c r="J1238" s="49">
        <v>1</v>
      </c>
      <c r="K1238" s="52">
        <f t="shared" si="187"/>
        <v>1</v>
      </c>
      <c r="L1238" s="209">
        <f t="shared" si="188"/>
        <v>0</v>
      </c>
      <c r="M1238" s="210">
        <f t="shared" si="189"/>
        <v>0</v>
      </c>
      <c r="N1238" s="26">
        <v>45870</v>
      </c>
      <c r="O1238" s="26">
        <v>45870</v>
      </c>
      <c r="P1238" s="26">
        <v>45868</v>
      </c>
      <c r="Q1238" s="2">
        <f t="shared" si="190"/>
        <v>1</v>
      </c>
      <c r="S1238" s="7">
        <f t="shared" si="193"/>
        <v>1</v>
      </c>
      <c r="T1238" s="157">
        <f t="shared" si="194"/>
        <v>1</v>
      </c>
      <c r="V1238" s="191">
        <f t="shared" si="191"/>
        <v>7</v>
      </c>
      <c r="W1238" s="7">
        <f t="shared" si="192"/>
        <v>2025</v>
      </c>
    </row>
    <row r="1239" spans="2:23" ht="31.95" customHeight="1" thickBot="1" x14ac:dyDescent="0.35">
      <c r="B1239" s="26">
        <v>45859</v>
      </c>
      <c r="C1239" s="51">
        <f t="shared" si="195"/>
        <v>1235</v>
      </c>
      <c r="D1239" s="171" t="s">
        <v>305</v>
      </c>
      <c r="E1239" s="28" t="s">
        <v>11</v>
      </c>
      <c r="F1239" s="28" t="s">
        <v>11</v>
      </c>
      <c r="G1239" s="28" t="s">
        <v>11</v>
      </c>
      <c r="H1239" s="254"/>
      <c r="I1239" s="49">
        <v>7</v>
      </c>
      <c r="J1239" s="49">
        <v>7</v>
      </c>
      <c r="K1239" s="52">
        <f t="shared" si="187"/>
        <v>1</v>
      </c>
      <c r="L1239" s="209">
        <f t="shared" si="188"/>
        <v>0</v>
      </c>
      <c r="M1239" s="210">
        <f t="shared" si="189"/>
        <v>0</v>
      </c>
      <c r="N1239" s="26">
        <v>45860</v>
      </c>
      <c r="O1239" s="26">
        <v>45860</v>
      </c>
      <c r="P1239" s="26">
        <v>45860</v>
      </c>
      <c r="Q1239" s="2">
        <f t="shared" si="190"/>
        <v>1</v>
      </c>
      <c r="S1239" s="7">
        <f t="shared" si="193"/>
        <v>1</v>
      </c>
      <c r="T1239" s="157">
        <f t="shared" si="194"/>
        <v>1</v>
      </c>
      <c r="V1239" s="191">
        <f t="shared" si="191"/>
        <v>7</v>
      </c>
      <c r="W1239" s="7">
        <f t="shared" si="192"/>
        <v>2025</v>
      </c>
    </row>
    <row r="1240" spans="2:23" ht="31.95" customHeight="1" thickBot="1" x14ac:dyDescent="0.35">
      <c r="B1240" s="26">
        <v>45859</v>
      </c>
      <c r="C1240" s="51">
        <f t="shared" si="195"/>
        <v>1236</v>
      </c>
      <c r="D1240" s="27" t="s">
        <v>401</v>
      </c>
      <c r="E1240" s="26" t="s">
        <v>207</v>
      </c>
      <c r="F1240" s="28" t="s">
        <v>11</v>
      </c>
      <c r="G1240" s="28" t="s">
        <v>11</v>
      </c>
      <c r="H1240" s="254"/>
      <c r="I1240" s="49">
        <v>1</v>
      </c>
      <c r="J1240" s="49">
        <v>1</v>
      </c>
      <c r="K1240" s="52">
        <f t="shared" si="187"/>
        <v>1</v>
      </c>
      <c r="L1240" s="209">
        <f t="shared" si="188"/>
        <v>0</v>
      </c>
      <c r="M1240" s="210">
        <f t="shared" si="189"/>
        <v>0</v>
      </c>
      <c r="N1240" s="26">
        <v>45859</v>
      </c>
      <c r="O1240" s="26">
        <v>45859</v>
      </c>
      <c r="P1240" s="26">
        <v>45859</v>
      </c>
      <c r="Q1240" s="2">
        <f t="shared" si="190"/>
        <v>1</v>
      </c>
      <c r="S1240" s="7">
        <f t="shared" si="193"/>
        <v>1</v>
      </c>
      <c r="T1240" s="157">
        <f t="shared" si="194"/>
        <v>1</v>
      </c>
      <c r="V1240" s="191">
        <f t="shared" si="191"/>
        <v>7</v>
      </c>
      <c r="W1240" s="7">
        <f t="shared" si="192"/>
        <v>2025</v>
      </c>
    </row>
    <row r="1241" spans="2:23" ht="31.95" customHeight="1" thickBot="1" x14ac:dyDescent="0.35">
      <c r="B1241" s="26">
        <v>45859</v>
      </c>
      <c r="C1241" s="51">
        <f t="shared" si="195"/>
        <v>1237</v>
      </c>
      <c r="D1241" s="27" t="s">
        <v>1150</v>
      </c>
      <c r="E1241" s="26" t="s">
        <v>1358</v>
      </c>
      <c r="F1241" s="28" t="s">
        <v>11</v>
      </c>
      <c r="G1241" s="28" t="s">
        <v>11</v>
      </c>
      <c r="H1241" s="254"/>
      <c r="I1241" s="49">
        <v>2</v>
      </c>
      <c r="J1241" s="49">
        <v>2</v>
      </c>
      <c r="K1241" s="52">
        <f t="shared" si="187"/>
        <v>1</v>
      </c>
      <c r="L1241" s="209">
        <f t="shared" si="188"/>
        <v>0</v>
      </c>
      <c r="M1241" s="210">
        <f t="shared" si="189"/>
        <v>0</v>
      </c>
      <c r="N1241" s="26">
        <v>45861</v>
      </c>
      <c r="O1241" s="26">
        <v>45861</v>
      </c>
      <c r="P1241" s="26">
        <v>45861</v>
      </c>
      <c r="Q1241" s="2">
        <f t="shared" si="190"/>
        <v>1</v>
      </c>
      <c r="S1241" s="7">
        <f t="shared" si="193"/>
        <v>1</v>
      </c>
      <c r="T1241" s="157">
        <f t="shared" si="194"/>
        <v>1</v>
      </c>
      <c r="V1241" s="191">
        <f t="shared" si="191"/>
        <v>7</v>
      </c>
      <c r="W1241" s="7">
        <f t="shared" si="192"/>
        <v>2025</v>
      </c>
    </row>
    <row r="1242" spans="2:23" ht="31.95" customHeight="1" thickBot="1" x14ac:dyDescent="0.35">
      <c r="B1242" s="26">
        <v>45859</v>
      </c>
      <c r="C1242" s="51">
        <f t="shared" si="195"/>
        <v>1238</v>
      </c>
      <c r="D1242" s="27" t="s">
        <v>255</v>
      </c>
      <c r="E1242" s="28" t="s">
        <v>11</v>
      </c>
      <c r="F1242" s="28" t="s">
        <v>11</v>
      </c>
      <c r="G1242" s="28" t="s">
        <v>11</v>
      </c>
      <c r="H1242" s="254"/>
      <c r="I1242" s="49">
        <v>2</v>
      </c>
      <c r="J1242" s="49">
        <v>2</v>
      </c>
      <c r="K1242" s="52">
        <f t="shared" si="187"/>
        <v>1</v>
      </c>
      <c r="L1242" s="209">
        <f t="shared" si="188"/>
        <v>0</v>
      </c>
      <c r="M1242" s="210">
        <f t="shared" si="189"/>
        <v>0</v>
      </c>
      <c r="N1242" s="26">
        <v>45860</v>
      </c>
      <c r="O1242" s="26">
        <v>45860</v>
      </c>
      <c r="P1242" s="26">
        <v>45860</v>
      </c>
      <c r="Q1242" s="2">
        <f t="shared" si="190"/>
        <v>1</v>
      </c>
      <c r="S1242" s="7">
        <f t="shared" si="193"/>
        <v>1</v>
      </c>
      <c r="T1242" s="157">
        <f t="shared" si="194"/>
        <v>1</v>
      </c>
      <c r="V1242" s="191">
        <f t="shared" si="191"/>
        <v>7</v>
      </c>
      <c r="W1242" s="7">
        <f t="shared" si="192"/>
        <v>2025</v>
      </c>
    </row>
    <row r="1243" spans="2:23" ht="31.95" customHeight="1" thickBot="1" x14ac:dyDescent="0.35">
      <c r="B1243" s="26">
        <v>45859</v>
      </c>
      <c r="C1243" s="51">
        <f t="shared" si="195"/>
        <v>1239</v>
      </c>
      <c r="D1243" s="27" t="s">
        <v>705</v>
      </c>
      <c r="E1243" s="28" t="s">
        <v>11</v>
      </c>
      <c r="F1243" s="28" t="s">
        <v>11</v>
      </c>
      <c r="G1243" s="28" t="s">
        <v>11</v>
      </c>
      <c r="H1243" s="254"/>
      <c r="I1243" s="49">
        <v>14</v>
      </c>
      <c r="J1243" s="49">
        <v>14</v>
      </c>
      <c r="K1243" s="52">
        <f t="shared" si="187"/>
        <v>1</v>
      </c>
      <c r="L1243" s="209">
        <f t="shared" si="188"/>
        <v>0</v>
      </c>
      <c r="M1243" s="210">
        <f t="shared" si="189"/>
        <v>0</v>
      </c>
      <c r="N1243" s="26">
        <v>45860</v>
      </c>
      <c r="O1243" s="26">
        <v>45860</v>
      </c>
      <c r="P1243" s="26">
        <v>45860</v>
      </c>
      <c r="Q1243" s="2">
        <f t="shared" si="190"/>
        <v>1</v>
      </c>
      <c r="S1243" s="7">
        <f t="shared" si="193"/>
        <v>1</v>
      </c>
      <c r="T1243" s="157">
        <f t="shared" si="194"/>
        <v>1</v>
      </c>
      <c r="V1243" s="191">
        <f t="shared" si="191"/>
        <v>7</v>
      </c>
      <c r="W1243" s="7">
        <f t="shared" si="192"/>
        <v>2025</v>
      </c>
    </row>
    <row r="1244" spans="2:23" ht="31.95" customHeight="1" thickBot="1" x14ac:dyDescent="0.35">
      <c r="B1244" s="26">
        <v>45859</v>
      </c>
      <c r="C1244" s="51">
        <f t="shared" si="195"/>
        <v>1240</v>
      </c>
      <c r="D1244" s="27" t="s">
        <v>850</v>
      </c>
      <c r="E1244" s="28" t="s">
        <v>11</v>
      </c>
      <c r="F1244" s="28" t="s">
        <v>11</v>
      </c>
      <c r="G1244" s="28" t="s">
        <v>11</v>
      </c>
      <c r="H1244" s="254"/>
      <c r="I1244" s="49">
        <v>1</v>
      </c>
      <c r="J1244" s="49">
        <v>1</v>
      </c>
      <c r="K1244" s="52">
        <f t="shared" si="187"/>
        <v>1</v>
      </c>
      <c r="L1244" s="209">
        <f t="shared" si="188"/>
        <v>0</v>
      </c>
      <c r="M1244" s="210">
        <f t="shared" si="189"/>
        <v>0</v>
      </c>
      <c r="N1244" s="26">
        <v>45859</v>
      </c>
      <c r="O1244" s="26">
        <v>45859</v>
      </c>
      <c r="P1244" s="26">
        <v>45859</v>
      </c>
      <c r="Q1244" s="2">
        <f t="shared" si="190"/>
        <v>1</v>
      </c>
      <c r="S1244" s="7">
        <f t="shared" si="193"/>
        <v>1</v>
      </c>
      <c r="T1244" s="157">
        <f t="shared" si="194"/>
        <v>1</v>
      </c>
      <c r="V1244" s="191">
        <f t="shared" si="191"/>
        <v>7</v>
      </c>
      <c r="W1244" s="7">
        <f t="shared" si="192"/>
        <v>2025</v>
      </c>
    </row>
    <row r="1245" spans="2:23" ht="31.95" customHeight="1" thickBot="1" x14ac:dyDescent="0.35">
      <c r="B1245" s="26">
        <v>45860</v>
      </c>
      <c r="C1245" s="51">
        <f t="shared" si="195"/>
        <v>1241</v>
      </c>
      <c r="D1245" s="27" t="s">
        <v>722</v>
      </c>
      <c r="E1245" s="26" t="s">
        <v>210</v>
      </c>
      <c r="F1245" s="28" t="s">
        <v>11</v>
      </c>
      <c r="G1245" s="28" t="s">
        <v>11</v>
      </c>
      <c r="H1245" s="254"/>
      <c r="I1245" s="49">
        <v>12</v>
      </c>
      <c r="J1245" s="49">
        <v>12</v>
      </c>
      <c r="K1245" s="52">
        <f t="shared" si="187"/>
        <v>1</v>
      </c>
      <c r="L1245" s="209">
        <f t="shared" si="188"/>
        <v>0</v>
      </c>
      <c r="M1245" s="210">
        <f t="shared" si="189"/>
        <v>0</v>
      </c>
      <c r="N1245" s="26">
        <v>45867</v>
      </c>
      <c r="O1245" s="26">
        <v>45867</v>
      </c>
      <c r="P1245" s="26">
        <v>45870</v>
      </c>
      <c r="Q1245" s="2">
        <f t="shared" si="190"/>
        <v>1</v>
      </c>
      <c r="S1245" s="7">
        <f t="shared" si="193"/>
        <v>1</v>
      </c>
      <c r="T1245" s="157">
        <f t="shared" si="194"/>
        <v>0</v>
      </c>
      <c r="V1245" s="191">
        <f t="shared" si="191"/>
        <v>7</v>
      </c>
      <c r="W1245" s="7">
        <f t="shared" si="192"/>
        <v>2025</v>
      </c>
    </row>
    <row r="1246" spans="2:23" ht="31.95" customHeight="1" thickBot="1" x14ac:dyDescent="0.35">
      <c r="B1246" s="26">
        <v>45860</v>
      </c>
      <c r="C1246" s="51">
        <f t="shared" si="195"/>
        <v>1242</v>
      </c>
      <c r="D1246" s="27" t="s">
        <v>423</v>
      </c>
      <c r="E1246" s="26" t="s">
        <v>1321</v>
      </c>
      <c r="F1246" s="28" t="s">
        <v>11</v>
      </c>
      <c r="G1246" s="28" t="s">
        <v>11</v>
      </c>
      <c r="H1246" s="254"/>
      <c r="I1246" s="49">
        <v>5</v>
      </c>
      <c r="J1246" s="49">
        <v>5</v>
      </c>
      <c r="K1246" s="52">
        <f t="shared" si="187"/>
        <v>1</v>
      </c>
      <c r="L1246" s="209">
        <f t="shared" si="188"/>
        <v>0</v>
      </c>
      <c r="M1246" s="210">
        <f t="shared" si="189"/>
        <v>0</v>
      </c>
      <c r="N1246" s="26">
        <v>45861</v>
      </c>
      <c r="O1246" s="26">
        <v>45861</v>
      </c>
      <c r="P1246" s="26">
        <v>45861</v>
      </c>
      <c r="Q1246" s="2">
        <f t="shared" si="190"/>
        <v>1</v>
      </c>
      <c r="S1246" s="7">
        <f t="shared" si="193"/>
        <v>1</v>
      </c>
      <c r="T1246" s="157">
        <f t="shared" si="194"/>
        <v>1</v>
      </c>
      <c r="V1246" s="191">
        <f t="shared" si="191"/>
        <v>7</v>
      </c>
      <c r="W1246" s="7">
        <f t="shared" si="192"/>
        <v>2025</v>
      </c>
    </row>
    <row r="1247" spans="2:23" ht="31.95" customHeight="1" thickBot="1" x14ac:dyDescent="0.35">
      <c r="B1247" s="26">
        <v>45860</v>
      </c>
      <c r="C1247" s="51">
        <f t="shared" si="195"/>
        <v>1243</v>
      </c>
      <c r="D1247" s="27" t="s">
        <v>423</v>
      </c>
      <c r="E1247" s="26" t="s">
        <v>210</v>
      </c>
      <c r="F1247" s="28" t="s">
        <v>11</v>
      </c>
      <c r="G1247" s="28" t="s">
        <v>11</v>
      </c>
      <c r="H1247" s="254"/>
      <c r="I1247" s="49">
        <v>1</v>
      </c>
      <c r="J1247" s="49">
        <v>1</v>
      </c>
      <c r="K1247" s="52">
        <f t="shared" si="187"/>
        <v>1</v>
      </c>
      <c r="L1247" s="209">
        <f t="shared" si="188"/>
        <v>0</v>
      </c>
      <c r="M1247" s="210">
        <f t="shared" si="189"/>
        <v>0</v>
      </c>
      <c r="N1247" s="26">
        <v>45861</v>
      </c>
      <c r="O1247" s="26">
        <v>45861</v>
      </c>
      <c r="P1247" s="26">
        <v>45861</v>
      </c>
      <c r="Q1247" s="2">
        <f t="shared" si="190"/>
        <v>1</v>
      </c>
      <c r="S1247" s="7">
        <f t="shared" si="193"/>
        <v>1</v>
      </c>
      <c r="T1247" s="157">
        <f t="shared" si="194"/>
        <v>1</v>
      </c>
      <c r="V1247" s="191">
        <f t="shared" si="191"/>
        <v>7</v>
      </c>
      <c r="W1247" s="7">
        <f t="shared" si="192"/>
        <v>2025</v>
      </c>
    </row>
    <row r="1248" spans="2:23" ht="31.95" customHeight="1" thickBot="1" x14ac:dyDescent="0.35">
      <c r="B1248" s="26">
        <v>45861</v>
      </c>
      <c r="C1248" s="51">
        <f t="shared" si="195"/>
        <v>1244</v>
      </c>
      <c r="D1248" s="27" t="s">
        <v>871</v>
      </c>
      <c r="E1248" s="26" t="s">
        <v>201</v>
      </c>
      <c r="F1248" s="28" t="s">
        <v>11</v>
      </c>
      <c r="G1248" s="28" t="s">
        <v>11</v>
      </c>
      <c r="H1248" s="254"/>
      <c r="I1248" s="49">
        <v>1</v>
      </c>
      <c r="J1248" s="49">
        <v>1</v>
      </c>
      <c r="K1248" s="52">
        <f t="shared" si="187"/>
        <v>1</v>
      </c>
      <c r="L1248" s="209">
        <f t="shared" si="188"/>
        <v>0</v>
      </c>
      <c r="M1248" s="210">
        <f t="shared" si="189"/>
        <v>0</v>
      </c>
      <c r="N1248" s="26">
        <v>45862</v>
      </c>
      <c r="O1248" s="26">
        <v>45862</v>
      </c>
      <c r="P1248" s="26">
        <v>45862</v>
      </c>
      <c r="Q1248" s="2">
        <f t="shared" si="190"/>
        <v>1</v>
      </c>
      <c r="S1248" s="7">
        <f t="shared" si="193"/>
        <v>1</v>
      </c>
      <c r="T1248" s="157">
        <f t="shared" si="194"/>
        <v>1</v>
      </c>
      <c r="V1248" s="191">
        <f t="shared" si="191"/>
        <v>7</v>
      </c>
      <c r="W1248" s="7">
        <f t="shared" si="192"/>
        <v>2025</v>
      </c>
    </row>
    <row r="1249" spans="2:23" ht="31.95" customHeight="1" thickBot="1" x14ac:dyDescent="0.35">
      <c r="B1249" s="26">
        <v>45862</v>
      </c>
      <c r="C1249" s="51">
        <f t="shared" si="195"/>
        <v>1245</v>
      </c>
      <c r="D1249" s="27" t="s">
        <v>269</v>
      </c>
      <c r="E1249" s="26" t="s">
        <v>1319</v>
      </c>
      <c r="F1249" s="28" t="s">
        <v>11</v>
      </c>
      <c r="G1249" s="28" t="s">
        <v>11</v>
      </c>
      <c r="H1249" s="254"/>
      <c r="I1249" s="49">
        <v>1</v>
      </c>
      <c r="J1249" s="49">
        <v>1</v>
      </c>
      <c r="K1249" s="52">
        <f t="shared" si="187"/>
        <v>1</v>
      </c>
      <c r="L1249" s="209">
        <f t="shared" si="188"/>
        <v>0</v>
      </c>
      <c r="M1249" s="210">
        <f t="shared" si="189"/>
        <v>0</v>
      </c>
      <c r="N1249" s="26">
        <v>45863</v>
      </c>
      <c r="O1249" s="26">
        <v>45863</v>
      </c>
      <c r="P1249" s="26">
        <v>45865</v>
      </c>
      <c r="Q1249" s="2">
        <f t="shared" si="190"/>
        <v>1</v>
      </c>
      <c r="S1249" s="7">
        <f t="shared" si="193"/>
        <v>1</v>
      </c>
      <c r="T1249" s="157">
        <f t="shared" si="194"/>
        <v>0</v>
      </c>
      <c r="V1249" s="191">
        <f t="shared" si="191"/>
        <v>7</v>
      </c>
      <c r="W1249" s="7">
        <f t="shared" si="192"/>
        <v>2025</v>
      </c>
    </row>
    <row r="1250" spans="2:23" ht="31.95" customHeight="1" thickBot="1" x14ac:dyDescent="0.35">
      <c r="B1250" s="26">
        <v>45863</v>
      </c>
      <c r="C1250" s="51">
        <f t="shared" si="195"/>
        <v>1246</v>
      </c>
      <c r="D1250" s="27" t="s">
        <v>1382</v>
      </c>
      <c r="E1250" s="26" t="s">
        <v>1319</v>
      </c>
      <c r="F1250" s="28" t="s">
        <v>11</v>
      </c>
      <c r="G1250" s="28" t="s">
        <v>11</v>
      </c>
      <c r="H1250" s="254"/>
      <c r="I1250" s="49">
        <v>13</v>
      </c>
      <c r="J1250" s="49">
        <v>13</v>
      </c>
      <c r="K1250" s="52">
        <f t="shared" si="187"/>
        <v>1</v>
      </c>
      <c r="L1250" s="209">
        <f t="shared" si="188"/>
        <v>0</v>
      </c>
      <c r="M1250" s="210">
        <f t="shared" si="189"/>
        <v>0</v>
      </c>
      <c r="N1250" s="26">
        <v>45919</v>
      </c>
      <c r="O1250" s="26">
        <v>45919</v>
      </c>
      <c r="P1250" s="26">
        <v>45919</v>
      </c>
      <c r="Q1250" s="2">
        <f t="shared" si="190"/>
        <v>1</v>
      </c>
      <c r="S1250" s="7">
        <f t="shared" si="193"/>
        <v>1</v>
      </c>
      <c r="T1250" s="157">
        <f t="shared" si="194"/>
        <v>1</v>
      </c>
      <c r="V1250" s="191">
        <f t="shared" si="191"/>
        <v>7</v>
      </c>
      <c r="W1250" s="7">
        <f t="shared" si="192"/>
        <v>2025</v>
      </c>
    </row>
    <row r="1251" spans="2:23" ht="31.95" customHeight="1" thickBot="1" x14ac:dyDescent="0.35">
      <c r="B1251" s="26">
        <v>45863</v>
      </c>
      <c r="C1251" s="51">
        <f t="shared" si="195"/>
        <v>1247</v>
      </c>
      <c r="D1251" s="27" t="s">
        <v>1028</v>
      </c>
      <c r="E1251" s="26" t="s">
        <v>1399</v>
      </c>
      <c r="F1251" s="28" t="s">
        <v>11</v>
      </c>
      <c r="G1251" s="28" t="s">
        <v>11</v>
      </c>
      <c r="H1251" s="254"/>
      <c r="I1251" s="49">
        <v>1</v>
      </c>
      <c r="J1251" s="49">
        <v>1</v>
      </c>
      <c r="K1251" s="52">
        <f t="shared" si="187"/>
        <v>1</v>
      </c>
      <c r="L1251" s="209">
        <f t="shared" si="188"/>
        <v>0</v>
      </c>
      <c r="M1251" s="210">
        <f t="shared" si="189"/>
        <v>0</v>
      </c>
      <c r="N1251" s="26">
        <v>45869</v>
      </c>
      <c r="O1251" s="26">
        <v>45866</v>
      </c>
      <c r="P1251" s="26">
        <v>45868</v>
      </c>
      <c r="Q1251" s="2">
        <f t="shared" si="190"/>
        <v>1</v>
      </c>
      <c r="S1251" s="7">
        <f t="shared" si="193"/>
        <v>1</v>
      </c>
      <c r="T1251" s="157">
        <f t="shared" si="194"/>
        <v>1</v>
      </c>
      <c r="V1251" s="191">
        <f t="shared" si="191"/>
        <v>7</v>
      </c>
      <c r="W1251" s="7">
        <f t="shared" si="192"/>
        <v>2025</v>
      </c>
    </row>
    <row r="1252" spans="2:23" ht="31.95" customHeight="1" thickBot="1" x14ac:dyDescent="0.35">
      <c r="B1252" s="26">
        <v>45863</v>
      </c>
      <c r="C1252" s="51">
        <f t="shared" si="195"/>
        <v>1248</v>
      </c>
      <c r="D1252" s="27" t="s">
        <v>269</v>
      </c>
      <c r="E1252" s="26" t="s">
        <v>1319</v>
      </c>
      <c r="F1252" s="28" t="s">
        <v>11</v>
      </c>
      <c r="G1252" s="28" t="s">
        <v>11</v>
      </c>
      <c r="H1252" s="254"/>
      <c r="I1252" s="49">
        <v>4</v>
      </c>
      <c r="J1252" s="49">
        <v>4</v>
      </c>
      <c r="K1252" s="52">
        <f t="shared" si="187"/>
        <v>1</v>
      </c>
      <c r="L1252" s="209">
        <f t="shared" si="188"/>
        <v>0</v>
      </c>
      <c r="M1252" s="210">
        <f t="shared" si="189"/>
        <v>0</v>
      </c>
      <c r="N1252" s="26">
        <v>45866</v>
      </c>
      <c r="O1252" s="26">
        <v>45867</v>
      </c>
      <c r="P1252" s="26">
        <v>45866</v>
      </c>
      <c r="Q1252" s="2">
        <f t="shared" si="190"/>
        <v>1</v>
      </c>
      <c r="S1252" s="7">
        <f t="shared" si="193"/>
        <v>0</v>
      </c>
      <c r="T1252" s="157">
        <f t="shared" si="194"/>
        <v>1</v>
      </c>
      <c r="V1252" s="191">
        <f t="shared" si="191"/>
        <v>7</v>
      </c>
      <c r="W1252" s="7">
        <f t="shared" si="192"/>
        <v>2025</v>
      </c>
    </row>
    <row r="1253" spans="2:23" ht="31.95" customHeight="1" thickBot="1" x14ac:dyDescent="0.35">
      <c r="B1253" s="26">
        <v>45866</v>
      </c>
      <c r="C1253" s="51">
        <f t="shared" si="195"/>
        <v>1249</v>
      </c>
      <c r="D1253" s="27" t="s">
        <v>978</v>
      </c>
      <c r="E1253" s="26" t="s">
        <v>1399</v>
      </c>
      <c r="F1253" s="28" t="s">
        <v>11</v>
      </c>
      <c r="G1253" s="28" t="s">
        <v>11</v>
      </c>
      <c r="H1253" s="254"/>
      <c r="I1253" s="49">
        <v>1</v>
      </c>
      <c r="J1253" s="49">
        <v>1</v>
      </c>
      <c r="K1253" s="52">
        <f t="shared" si="187"/>
        <v>1</v>
      </c>
      <c r="L1253" s="209">
        <f t="shared" si="188"/>
        <v>0</v>
      </c>
      <c r="M1253" s="210">
        <f t="shared" si="189"/>
        <v>0</v>
      </c>
      <c r="N1253" s="26">
        <v>45866</v>
      </c>
      <c r="O1253" s="26">
        <v>45866</v>
      </c>
      <c r="P1253" s="26">
        <v>45866</v>
      </c>
      <c r="Q1253" s="2">
        <f t="shared" si="190"/>
        <v>1</v>
      </c>
      <c r="S1253" s="7">
        <f t="shared" si="193"/>
        <v>1</v>
      </c>
      <c r="T1253" s="157">
        <f t="shared" si="194"/>
        <v>1</v>
      </c>
      <c r="V1253" s="191">
        <f t="shared" si="191"/>
        <v>7</v>
      </c>
      <c r="W1253" s="7">
        <f t="shared" si="192"/>
        <v>2025</v>
      </c>
    </row>
    <row r="1254" spans="2:23" ht="31.95" customHeight="1" thickBot="1" x14ac:dyDescent="0.35">
      <c r="B1254" s="26">
        <v>45867</v>
      </c>
      <c r="C1254" s="51">
        <f t="shared" si="195"/>
        <v>1250</v>
      </c>
      <c r="D1254" s="27" t="s">
        <v>1150</v>
      </c>
      <c r="E1254" s="26" t="s">
        <v>1423</v>
      </c>
      <c r="F1254" s="28" t="s">
        <v>11</v>
      </c>
      <c r="G1254" s="28" t="s">
        <v>11</v>
      </c>
      <c r="H1254" s="254"/>
      <c r="I1254" s="49">
        <v>1</v>
      </c>
      <c r="J1254" s="49">
        <v>1</v>
      </c>
      <c r="K1254" s="52">
        <f t="shared" si="187"/>
        <v>1</v>
      </c>
      <c r="L1254" s="209">
        <f t="shared" si="188"/>
        <v>0</v>
      </c>
      <c r="M1254" s="210">
        <f t="shared" si="189"/>
        <v>0</v>
      </c>
      <c r="N1254" s="26">
        <v>45868</v>
      </c>
      <c r="O1254" s="26">
        <v>45868</v>
      </c>
      <c r="P1254" s="26">
        <v>45868</v>
      </c>
      <c r="Q1254" s="2">
        <f t="shared" si="190"/>
        <v>1</v>
      </c>
      <c r="S1254" s="7">
        <f t="shared" si="193"/>
        <v>1</v>
      </c>
      <c r="T1254" s="157">
        <f t="shared" si="194"/>
        <v>1</v>
      </c>
      <c r="V1254" s="191">
        <f t="shared" si="191"/>
        <v>7</v>
      </c>
      <c r="W1254" s="7">
        <f t="shared" si="192"/>
        <v>2025</v>
      </c>
    </row>
    <row r="1255" spans="2:23" ht="31.95" customHeight="1" thickBot="1" x14ac:dyDescent="0.35">
      <c r="B1255" s="26">
        <v>45867</v>
      </c>
      <c r="C1255" s="51">
        <f t="shared" si="195"/>
        <v>1251</v>
      </c>
      <c r="D1255" s="27" t="s">
        <v>321</v>
      </c>
      <c r="E1255" s="26" t="s">
        <v>1424</v>
      </c>
      <c r="F1255" s="28" t="s">
        <v>11</v>
      </c>
      <c r="G1255" s="28" t="s">
        <v>11</v>
      </c>
      <c r="H1255" s="254"/>
      <c r="I1255" s="49">
        <v>6</v>
      </c>
      <c r="J1255" s="49">
        <v>6</v>
      </c>
      <c r="K1255" s="52">
        <f t="shared" si="187"/>
        <v>1</v>
      </c>
      <c r="L1255" s="209">
        <f t="shared" si="188"/>
        <v>0</v>
      </c>
      <c r="M1255" s="210">
        <f t="shared" si="189"/>
        <v>0</v>
      </c>
      <c r="N1255" s="26">
        <v>45868</v>
      </c>
      <c r="O1255" s="26">
        <v>45868</v>
      </c>
      <c r="P1255" s="26">
        <v>45868</v>
      </c>
      <c r="Q1255" s="2">
        <f t="shared" si="190"/>
        <v>1</v>
      </c>
      <c r="S1255" s="7">
        <f t="shared" si="193"/>
        <v>1</v>
      </c>
      <c r="T1255" s="157">
        <f t="shared" si="194"/>
        <v>1</v>
      </c>
      <c r="V1255" s="191">
        <f t="shared" si="191"/>
        <v>7</v>
      </c>
      <c r="W1255" s="7">
        <f t="shared" si="192"/>
        <v>2025</v>
      </c>
    </row>
    <row r="1256" spans="2:23" ht="31.95" customHeight="1" thickBot="1" x14ac:dyDescent="0.35">
      <c r="B1256" s="26">
        <v>45867</v>
      </c>
      <c r="C1256" s="51">
        <f t="shared" si="195"/>
        <v>1252</v>
      </c>
      <c r="D1256" s="27" t="s">
        <v>269</v>
      </c>
      <c r="E1256" s="26" t="s">
        <v>1319</v>
      </c>
      <c r="F1256" s="28" t="s">
        <v>11</v>
      </c>
      <c r="G1256" s="28" t="s">
        <v>11</v>
      </c>
      <c r="H1256" s="254"/>
      <c r="I1256" s="49">
        <v>1</v>
      </c>
      <c r="J1256" s="49">
        <v>1</v>
      </c>
      <c r="K1256" s="52">
        <f t="shared" si="187"/>
        <v>1</v>
      </c>
      <c r="L1256" s="209">
        <f t="shared" si="188"/>
        <v>0</v>
      </c>
      <c r="M1256" s="210">
        <f t="shared" si="189"/>
        <v>0</v>
      </c>
      <c r="N1256" s="26">
        <v>45868</v>
      </c>
      <c r="O1256" s="26">
        <v>45869</v>
      </c>
      <c r="P1256" s="26">
        <v>45868</v>
      </c>
      <c r="Q1256" s="2">
        <f t="shared" si="190"/>
        <v>1</v>
      </c>
      <c r="S1256" s="7">
        <f t="shared" si="193"/>
        <v>0</v>
      </c>
      <c r="T1256" s="157">
        <f t="shared" si="194"/>
        <v>1</v>
      </c>
      <c r="V1256" s="191">
        <f t="shared" si="191"/>
        <v>7</v>
      </c>
      <c r="W1256" s="7">
        <f t="shared" si="192"/>
        <v>2025</v>
      </c>
    </row>
    <row r="1257" spans="2:23" ht="31.95" customHeight="1" thickBot="1" x14ac:dyDescent="0.35">
      <c r="B1257" s="26">
        <v>45867</v>
      </c>
      <c r="C1257" s="51">
        <f t="shared" si="195"/>
        <v>1253</v>
      </c>
      <c r="D1257" s="27" t="s">
        <v>269</v>
      </c>
      <c r="E1257" s="26" t="s">
        <v>1319</v>
      </c>
      <c r="F1257" s="28" t="s">
        <v>11</v>
      </c>
      <c r="G1257" s="28" t="s">
        <v>11</v>
      </c>
      <c r="H1257" s="254"/>
      <c r="I1257" s="49">
        <v>12</v>
      </c>
      <c r="J1257" s="49">
        <v>12</v>
      </c>
      <c r="K1257" s="52">
        <f t="shared" si="187"/>
        <v>1</v>
      </c>
      <c r="L1257" s="209">
        <f t="shared" si="188"/>
        <v>0</v>
      </c>
      <c r="M1257" s="210">
        <f t="shared" si="189"/>
        <v>0</v>
      </c>
      <c r="N1257" s="26">
        <v>45868</v>
      </c>
      <c r="O1257" s="26">
        <v>45868</v>
      </c>
      <c r="P1257" s="26">
        <v>45868</v>
      </c>
      <c r="Q1257" s="2">
        <f t="shared" si="190"/>
        <v>1</v>
      </c>
      <c r="S1257" s="7">
        <f t="shared" si="193"/>
        <v>1</v>
      </c>
      <c r="T1257" s="157">
        <f t="shared" si="194"/>
        <v>1</v>
      </c>
      <c r="V1257" s="191">
        <f t="shared" si="191"/>
        <v>7</v>
      </c>
      <c r="W1257" s="7">
        <f t="shared" si="192"/>
        <v>2025</v>
      </c>
    </row>
    <row r="1258" spans="2:23" ht="31.95" customHeight="1" thickBot="1" x14ac:dyDescent="0.35">
      <c r="B1258" s="26">
        <v>45869</v>
      </c>
      <c r="C1258" s="51">
        <f t="shared" si="195"/>
        <v>1254</v>
      </c>
      <c r="D1258" s="27" t="s">
        <v>305</v>
      </c>
      <c r="E1258" s="26" t="s">
        <v>1319</v>
      </c>
      <c r="F1258" s="28" t="s">
        <v>11</v>
      </c>
      <c r="G1258" s="28" t="s">
        <v>11</v>
      </c>
      <c r="H1258" s="254"/>
      <c r="I1258" s="49">
        <v>1</v>
      </c>
      <c r="J1258" s="49">
        <v>1</v>
      </c>
      <c r="K1258" s="52">
        <f t="shared" si="187"/>
        <v>1</v>
      </c>
      <c r="L1258" s="209">
        <f t="shared" si="188"/>
        <v>0</v>
      </c>
      <c r="M1258" s="210">
        <f t="shared" si="189"/>
        <v>0</v>
      </c>
      <c r="N1258" s="26">
        <v>45688</v>
      </c>
      <c r="O1258" s="26">
        <v>45688</v>
      </c>
      <c r="P1258" s="26">
        <v>45688</v>
      </c>
      <c r="Q1258" s="2">
        <f t="shared" si="190"/>
        <v>1</v>
      </c>
      <c r="S1258" s="7">
        <f t="shared" si="193"/>
        <v>1</v>
      </c>
      <c r="T1258" s="157">
        <f t="shared" si="194"/>
        <v>1</v>
      </c>
      <c r="V1258" s="191">
        <f t="shared" si="191"/>
        <v>7</v>
      </c>
      <c r="W1258" s="7">
        <f t="shared" si="192"/>
        <v>2025</v>
      </c>
    </row>
    <row r="1259" spans="2:23" ht="31.95" customHeight="1" thickBot="1" x14ac:dyDescent="0.35">
      <c r="B1259" s="26">
        <v>45869</v>
      </c>
      <c r="C1259" s="51">
        <f t="shared" si="195"/>
        <v>1255</v>
      </c>
      <c r="D1259" s="27" t="s">
        <v>1390</v>
      </c>
      <c r="E1259" s="26" t="s">
        <v>1399</v>
      </c>
      <c r="F1259" s="28" t="s">
        <v>11</v>
      </c>
      <c r="G1259" s="28" t="s">
        <v>11</v>
      </c>
      <c r="H1259" s="254"/>
      <c r="I1259" s="49">
        <v>1</v>
      </c>
      <c r="J1259" s="49">
        <v>1</v>
      </c>
      <c r="K1259" s="52">
        <f t="shared" si="187"/>
        <v>1</v>
      </c>
      <c r="L1259" s="209">
        <f t="shared" si="188"/>
        <v>0</v>
      </c>
      <c r="M1259" s="210">
        <f t="shared" si="189"/>
        <v>0</v>
      </c>
      <c r="N1259" s="26">
        <v>45894</v>
      </c>
      <c r="O1259" s="26">
        <v>45894</v>
      </c>
      <c r="P1259" s="26">
        <v>45894</v>
      </c>
      <c r="Q1259" s="2">
        <f t="shared" si="190"/>
        <v>1</v>
      </c>
      <c r="S1259" s="7">
        <f t="shared" si="193"/>
        <v>1</v>
      </c>
      <c r="T1259" s="157">
        <f t="shared" si="194"/>
        <v>1</v>
      </c>
      <c r="V1259" s="191">
        <f t="shared" si="191"/>
        <v>7</v>
      </c>
      <c r="W1259" s="7">
        <f t="shared" si="192"/>
        <v>2025</v>
      </c>
    </row>
    <row r="1260" spans="2:23" ht="31.95" customHeight="1" thickBot="1" x14ac:dyDescent="0.35">
      <c r="B1260" s="26">
        <v>45869</v>
      </c>
      <c r="C1260" s="51">
        <f t="shared" si="195"/>
        <v>1256</v>
      </c>
      <c r="D1260" s="27" t="s">
        <v>705</v>
      </c>
      <c r="E1260" s="26" t="s">
        <v>1423</v>
      </c>
      <c r="F1260" s="28" t="s">
        <v>11</v>
      </c>
      <c r="G1260" s="28" t="s">
        <v>11</v>
      </c>
      <c r="H1260" s="254"/>
      <c r="I1260" s="49">
        <v>3</v>
      </c>
      <c r="J1260" s="49">
        <v>3</v>
      </c>
      <c r="K1260" s="52">
        <f t="shared" si="187"/>
        <v>1</v>
      </c>
      <c r="L1260" s="209">
        <f t="shared" si="188"/>
        <v>0</v>
      </c>
      <c r="M1260" s="210">
        <f t="shared" si="189"/>
        <v>0</v>
      </c>
      <c r="N1260" s="26">
        <v>45870</v>
      </c>
      <c r="O1260" s="26">
        <v>45870</v>
      </c>
      <c r="P1260" s="26">
        <v>45870</v>
      </c>
      <c r="Q1260" s="2">
        <f t="shared" si="190"/>
        <v>1</v>
      </c>
      <c r="S1260" s="7">
        <f t="shared" si="193"/>
        <v>1</v>
      </c>
      <c r="T1260" s="157">
        <f t="shared" si="194"/>
        <v>1</v>
      </c>
      <c r="V1260" s="191">
        <f t="shared" si="191"/>
        <v>7</v>
      </c>
      <c r="W1260" s="7">
        <f t="shared" si="192"/>
        <v>2025</v>
      </c>
    </row>
    <row r="1261" spans="2:23" ht="31.95" customHeight="1" thickBot="1" x14ac:dyDescent="0.35">
      <c r="B1261" s="26">
        <v>45869</v>
      </c>
      <c r="C1261" s="51">
        <f t="shared" si="195"/>
        <v>1257</v>
      </c>
      <c r="D1261" s="27" t="s">
        <v>269</v>
      </c>
      <c r="E1261" s="26" t="s">
        <v>1319</v>
      </c>
      <c r="F1261" s="26" t="s">
        <v>1417</v>
      </c>
      <c r="G1261" s="28" t="s">
        <v>11</v>
      </c>
      <c r="H1261" s="254"/>
      <c r="I1261" s="49">
        <v>8</v>
      </c>
      <c r="J1261" s="49">
        <v>8</v>
      </c>
      <c r="K1261" s="52">
        <f t="shared" ref="K1261:K1324" si="196">IFERROR(J1261/I1261,"")</f>
        <v>1</v>
      </c>
      <c r="L1261" s="209">
        <f t="shared" ref="L1261:L1324" si="197">IF(I1261="","",I1261-J1261)</f>
        <v>0</v>
      </c>
      <c r="M1261" s="210">
        <f t="shared" ref="M1261:M1324" si="198">IFERROR(1-K1261,"")</f>
        <v>0</v>
      </c>
      <c r="N1261" s="26">
        <v>45870</v>
      </c>
      <c r="O1261" s="26">
        <v>45870</v>
      </c>
      <c r="P1261" s="26">
        <v>45870</v>
      </c>
      <c r="Q1261" s="2">
        <f t="shared" si="190"/>
        <v>1</v>
      </c>
      <c r="S1261" s="7">
        <f t="shared" si="193"/>
        <v>1</v>
      </c>
      <c r="T1261" s="157">
        <f t="shared" si="194"/>
        <v>1</v>
      </c>
      <c r="V1261" s="191">
        <f t="shared" si="191"/>
        <v>7</v>
      </c>
      <c r="W1261" s="7">
        <f t="shared" si="192"/>
        <v>2025</v>
      </c>
    </row>
    <row r="1262" spans="2:23" ht="31.95" customHeight="1" thickBot="1" x14ac:dyDescent="0.35">
      <c r="B1262" s="26">
        <v>45870</v>
      </c>
      <c r="C1262" s="51">
        <f t="shared" si="195"/>
        <v>1258</v>
      </c>
      <c r="D1262" s="27" t="s">
        <v>915</v>
      </c>
      <c r="E1262" s="26" t="s">
        <v>1398</v>
      </c>
      <c r="F1262" s="26" t="s">
        <v>1408</v>
      </c>
      <c r="G1262" s="28" t="s">
        <v>11</v>
      </c>
      <c r="H1262" s="254"/>
      <c r="I1262" s="49">
        <v>3</v>
      </c>
      <c r="J1262" s="49">
        <v>3</v>
      </c>
      <c r="K1262" s="52">
        <f t="shared" si="196"/>
        <v>1</v>
      </c>
      <c r="L1262" s="209">
        <f t="shared" si="197"/>
        <v>0</v>
      </c>
      <c r="M1262" s="210">
        <f t="shared" si="198"/>
        <v>0</v>
      </c>
      <c r="N1262" s="26">
        <v>45877</v>
      </c>
      <c r="O1262" s="26">
        <v>45877</v>
      </c>
      <c r="P1262" s="26">
        <v>45880</v>
      </c>
      <c r="Q1262" s="2">
        <f t="shared" si="190"/>
        <v>1</v>
      </c>
      <c r="S1262" s="7">
        <f t="shared" si="193"/>
        <v>1</v>
      </c>
      <c r="T1262" s="157">
        <f t="shared" si="194"/>
        <v>0</v>
      </c>
      <c r="V1262" s="191">
        <f t="shared" si="191"/>
        <v>8</v>
      </c>
      <c r="W1262" s="7">
        <f t="shared" si="192"/>
        <v>2025</v>
      </c>
    </row>
    <row r="1263" spans="2:23" ht="31.95" customHeight="1" thickBot="1" x14ac:dyDescent="0.35">
      <c r="B1263" s="26">
        <v>45870</v>
      </c>
      <c r="C1263" s="51">
        <f t="shared" si="195"/>
        <v>1259</v>
      </c>
      <c r="D1263" s="27" t="s">
        <v>1150</v>
      </c>
      <c r="E1263" s="26" t="s">
        <v>1398</v>
      </c>
      <c r="F1263" s="26" t="s">
        <v>1408</v>
      </c>
      <c r="G1263" s="28" t="s">
        <v>11</v>
      </c>
      <c r="H1263" s="254"/>
      <c r="I1263" s="49">
        <v>6</v>
      </c>
      <c r="J1263" s="49">
        <v>6</v>
      </c>
      <c r="K1263" s="52">
        <f t="shared" si="196"/>
        <v>1</v>
      </c>
      <c r="L1263" s="209">
        <f t="shared" si="197"/>
        <v>0</v>
      </c>
      <c r="M1263" s="210">
        <f t="shared" si="198"/>
        <v>0</v>
      </c>
      <c r="N1263" s="26">
        <v>45873</v>
      </c>
      <c r="O1263" s="26">
        <v>45873</v>
      </c>
      <c r="P1263" s="26">
        <v>45874</v>
      </c>
      <c r="Q1263" s="2">
        <f t="shared" si="190"/>
        <v>1</v>
      </c>
      <c r="S1263" s="7">
        <f t="shared" si="193"/>
        <v>1</v>
      </c>
      <c r="T1263" s="157">
        <f t="shared" si="194"/>
        <v>0</v>
      </c>
      <c r="V1263" s="191">
        <f t="shared" si="191"/>
        <v>8</v>
      </c>
      <c r="W1263" s="7">
        <f t="shared" si="192"/>
        <v>2025</v>
      </c>
    </row>
    <row r="1264" spans="2:23" ht="31.95" customHeight="1" thickBot="1" x14ac:dyDescent="0.35">
      <c r="B1264" s="26">
        <v>45870</v>
      </c>
      <c r="C1264" s="51">
        <f t="shared" si="195"/>
        <v>1260</v>
      </c>
      <c r="D1264" s="27" t="s">
        <v>722</v>
      </c>
      <c r="E1264" s="26" t="s">
        <v>1399</v>
      </c>
      <c r="F1264" s="26" t="s">
        <v>1414</v>
      </c>
      <c r="G1264" s="28" t="s">
        <v>11</v>
      </c>
      <c r="H1264" s="254"/>
      <c r="I1264" s="49">
        <v>6</v>
      </c>
      <c r="J1264" s="49"/>
      <c r="K1264" s="52">
        <f t="shared" si="196"/>
        <v>0</v>
      </c>
      <c r="L1264" s="209">
        <f t="shared" si="197"/>
        <v>6</v>
      </c>
      <c r="M1264" s="210">
        <f t="shared" si="198"/>
        <v>1</v>
      </c>
      <c r="N1264" s="26">
        <v>45877</v>
      </c>
      <c r="O1264" s="26">
        <v>45873</v>
      </c>
      <c r="P1264" s="26">
        <v>45876</v>
      </c>
      <c r="Q1264" s="2">
        <f t="shared" si="190"/>
        <v>1</v>
      </c>
      <c r="S1264" s="7">
        <f t="shared" si="193"/>
        <v>1</v>
      </c>
      <c r="T1264" s="157">
        <f t="shared" si="194"/>
        <v>1</v>
      </c>
      <c r="V1264" s="191">
        <f t="shared" si="191"/>
        <v>8</v>
      </c>
      <c r="W1264" s="7">
        <f t="shared" si="192"/>
        <v>2025</v>
      </c>
    </row>
    <row r="1265" spans="2:23" ht="31.95" customHeight="1" thickBot="1" x14ac:dyDescent="0.35">
      <c r="B1265" s="26">
        <v>45873</v>
      </c>
      <c r="C1265" s="51">
        <f t="shared" si="195"/>
        <v>1261</v>
      </c>
      <c r="D1265" s="27" t="s">
        <v>321</v>
      </c>
      <c r="E1265" s="26" t="s">
        <v>1466</v>
      </c>
      <c r="F1265" s="26" t="s">
        <v>1426</v>
      </c>
      <c r="G1265" s="28" t="s">
        <v>11</v>
      </c>
      <c r="H1265" s="254"/>
      <c r="I1265" s="49">
        <v>8</v>
      </c>
      <c r="J1265" s="49">
        <v>8</v>
      </c>
      <c r="K1265" s="52">
        <f t="shared" si="196"/>
        <v>1</v>
      </c>
      <c r="L1265" s="209">
        <f t="shared" si="197"/>
        <v>0</v>
      </c>
      <c r="M1265" s="210">
        <f t="shared" si="198"/>
        <v>0</v>
      </c>
      <c r="N1265" s="26">
        <v>45874</v>
      </c>
      <c r="O1265" s="26">
        <v>45874</v>
      </c>
      <c r="P1265" s="26">
        <v>45874</v>
      </c>
      <c r="Q1265" s="2">
        <f t="shared" si="190"/>
        <v>1</v>
      </c>
      <c r="S1265" s="7">
        <f t="shared" si="193"/>
        <v>1</v>
      </c>
      <c r="T1265" s="157">
        <f t="shared" si="194"/>
        <v>1</v>
      </c>
      <c r="V1265" s="191">
        <f t="shared" si="191"/>
        <v>8</v>
      </c>
      <c r="W1265" s="7">
        <f t="shared" si="192"/>
        <v>2025</v>
      </c>
    </row>
    <row r="1266" spans="2:23" ht="31.95" customHeight="1" thickBot="1" x14ac:dyDescent="0.35">
      <c r="B1266" s="26">
        <v>45874</v>
      </c>
      <c r="C1266" s="51">
        <f t="shared" si="195"/>
        <v>1262</v>
      </c>
      <c r="D1266" s="27" t="s">
        <v>382</v>
      </c>
      <c r="E1266" s="26" t="s">
        <v>1398</v>
      </c>
      <c r="F1266" s="26" t="s">
        <v>1408</v>
      </c>
      <c r="G1266" s="28" t="s">
        <v>11</v>
      </c>
      <c r="H1266" s="254"/>
      <c r="I1266" s="49">
        <v>1</v>
      </c>
      <c r="J1266" s="49">
        <v>1</v>
      </c>
      <c r="K1266" s="52">
        <f t="shared" si="196"/>
        <v>1</v>
      </c>
      <c r="L1266" s="209">
        <f t="shared" si="197"/>
        <v>0</v>
      </c>
      <c r="M1266" s="210">
        <f t="shared" si="198"/>
        <v>0</v>
      </c>
      <c r="N1266" s="26">
        <v>45875</v>
      </c>
      <c r="O1266" s="26">
        <v>45875</v>
      </c>
      <c r="P1266" s="26">
        <v>45875</v>
      </c>
      <c r="Q1266" s="2">
        <f t="shared" si="190"/>
        <v>1</v>
      </c>
      <c r="S1266" s="7">
        <f t="shared" si="193"/>
        <v>1</v>
      </c>
      <c r="T1266" s="157">
        <f t="shared" si="194"/>
        <v>1</v>
      </c>
      <c r="V1266" s="191">
        <f t="shared" si="191"/>
        <v>8</v>
      </c>
      <c r="W1266" s="7">
        <f t="shared" si="192"/>
        <v>2025</v>
      </c>
    </row>
    <row r="1267" spans="2:23" ht="31.95" customHeight="1" thickBot="1" x14ac:dyDescent="0.35">
      <c r="B1267" s="26">
        <v>45874</v>
      </c>
      <c r="C1267" s="51">
        <f t="shared" si="195"/>
        <v>1263</v>
      </c>
      <c r="D1267" s="27" t="s">
        <v>321</v>
      </c>
      <c r="E1267" s="26" t="s">
        <v>1398</v>
      </c>
      <c r="F1267" s="26" t="s">
        <v>1408</v>
      </c>
      <c r="G1267" s="28" t="s">
        <v>11</v>
      </c>
      <c r="H1267" s="254"/>
      <c r="I1267" s="49">
        <v>3</v>
      </c>
      <c r="J1267" s="49">
        <v>3</v>
      </c>
      <c r="K1267" s="52">
        <f t="shared" si="196"/>
        <v>1</v>
      </c>
      <c r="L1267" s="209">
        <f t="shared" si="197"/>
        <v>0</v>
      </c>
      <c r="M1267" s="210">
        <f t="shared" si="198"/>
        <v>0</v>
      </c>
      <c r="N1267" s="26">
        <v>45875</v>
      </c>
      <c r="O1267" s="26">
        <v>45875</v>
      </c>
      <c r="P1267" s="26">
        <v>45875</v>
      </c>
      <c r="Q1267" s="2">
        <f t="shared" si="190"/>
        <v>1</v>
      </c>
      <c r="S1267" s="7">
        <f t="shared" si="193"/>
        <v>1</v>
      </c>
      <c r="T1267" s="157">
        <f t="shared" si="194"/>
        <v>1</v>
      </c>
      <c r="V1267" s="191">
        <f t="shared" si="191"/>
        <v>8</v>
      </c>
      <c r="W1267" s="7">
        <f t="shared" si="192"/>
        <v>2025</v>
      </c>
    </row>
    <row r="1268" spans="2:23" ht="31.95" customHeight="1" thickBot="1" x14ac:dyDescent="0.35">
      <c r="B1268" s="26">
        <v>45874</v>
      </c>
      <c r="C1268" s="51">
        <f t="shared" si="195"/>
        <v>1264</v>
      </c>
      <c r="D1268" s="27" t="s">
        <v>305</v>
      </c>
      <c r="E1268" s="26" t="s">
        <v>1398</v>
      </c>
      <c r="F1268" s="26" t="s">
        <v>1408</v>
      </c>
      <c r="G1268" s="28" t="s">
        <v>11</v>
      </c>
      <c r="H1268" s="254"/>
      <c r="I1268" s="49">
        <v>1</v>
      </c>
      <c r="J1268" s="49">
        <v>1</v>
      </c>
      <c r="K1268" s="52">
        <f t="shared" si="196"/>
        <v>1</v>
      </c>
      <c r="L1268" s="209">
        <f t="shared" si="197"/>
        <v>0</v>
      </c>
      <c r="M1268" s="210">
        <f t="shared" si="198"/>
        <v>0</v>
      </c>
      <c r="N1268" s="26">
        <v>45875</v>
      </c>
      <c r="O1268" s="26">
        <v>45875</v>
      </c>
      <c r="P1268" s="26">
        <v>45875</v>
      </c>
      <c r="Q1268" s="2">
        <f t="shared" si="190"/>
        <v>1</v>
      </c>
      <c r="S1268" s="7">
        <f t="shared" si="193"/>
        <v>1</v>
      </c>
      <c r="T1268" s="157">
        <f t="shared" si="194"/>
        <v>1</v>
      </c>
      <c r="V1268" s="191">
        <f t="shared" si="191"/>
        <v>8</v>
      </c>
      <c r="W1268" s="7">
        <f t="shared" si="192"/>
        <v>2025</v>
      </c>
    </row>
    <row r="1269" spans="2:23" ht="31.95" customHeight="1" thickBot="1" x14ac:dyDescent="0.35">
      <c r="B1269" s="26">
        <v>45874</v>
      </c>
      <c r="C1269" s="51">
        <f t="shared" si="195"/>
        <v>1265</v>
      </c>
      <c r="D1269" s="27" t="s">
        <v>705</v>
      </c>
      <c r="E1269" s="26" t="s">
        <v>1319</v>
      </c>
      <c r="F1269" s="26" t="s">
        <v>11</v>
      </c>
      <c r="G1269" s="28" t="s">
        <v>11</v>
      </c>
      <c r="H1269" s="254"/>
      <c r="I1269" s="49">
        <v>1</v>
      </c>
      <c r="J1269" s="49">
        <v>1</v>
      </c>
      <c r="K1269" s="52">
        <f t="shared" si="196"/>
        <v>1</v>
      </c>
      <c r="L1269" s="209">
        <f t="shared" si="197"/>
        <v>0</v>
      </c>
      <c r="M1269" s="210">
        <f t="shared" si="198"/>
        <v>0</v>
      </c>
      <c r="N1269" s="26">
        <v>45875</v>
      </c>
      <c r="O1269" s="26">
        <v>45875</v>
      </c>
      <c r="P1269" s="26">
        <v>45875</v>
      </c>
      <c r="Q1269" s="2">
        <f t="shared" si="190"/>
        <v>1</v>
      </c>
      <c r="S1269" s="7">
        <f t="shared" si="193"/>
        <v>1</v>
      </c>
      <c r="T1269" s="157">
        <f t="shared" si="194"/>
        <v>1</v>
      </c>
      <c r="V1269" s="191">
        <f t="shared" si="191"/>
        <v>8</v>
      </c>
      <c r="W1269" s="7">
        <f t="shared" si="192"/>
        <v>2025</v>
      </c>
    </row>
    <row r="1270" spans="2:23" ht="31.95" customHeight="1" thickBot="1" x14ac:dyDescent="0.35">
      <c r="B1270" s="26">
        <v>45874</v>
      </c>
      <c r="C1270" s="51">
        <f t="shared" si="195"/>
        <v>1266</v>
      </c>
      <c r="D1270" s="27" t="s">
        <v>305</v>
      </c>
      <c r="E1270" s="26" t="s">
        <v>1319</v>
      </c>
      <c r="F1270" s="26" t="s">
        <v>1417</v>
      </c>
      <c r="G1270" s="28" t="s">
        <v>11</v>
      </c>
      <c r="H1270" s="254"/>
      <c r="I1270" s="49">
        <v>1</v>
      </c>
      <c r="J1270" s="49">
        <v>1</v>
      </c>
      <c r="K1270" s="52">
        <f t="shared" si="196"/>
        <v>1</v>
      </c>
      <c r="L1270" s="209">
        <f t="shared" si="197"/>
        <v>0</v>
      </c>
      <c r="M1270" s="210">
        <f t="shared" si="198"/>
        <v>0</v>
      </c>
      <c r="N1270" s="26">
        <v>45875</v>
      </c>
      <c r="O1270" s="26">
        <v>45875</v>
      </c>
      <c r="P1270" s="26">
        <v>45875</v>
      </c>
      <c r="Q1270" s="2">
        <f t="shared" si="190"/>
        <v>1</v>
      </c>
      <c r="S1270" s="7">
        <f t="shared" si="193"/>
        <v>1</v>
      </c>
      <c r="T1270" s="157">
        <f t="shared" si="194"/>
        <v>1</v>
      </c>
      <c r="V1270" s="191">
        <f t="shared" si="191"/>
        <v>8</v>
      </c>
      <c r="W1270" s="7">
        <f t="shared" si="192"/>
        <v>2025</v>
      </c>
    </row>
    <row r="1271" spans="2:23" ht="31.95" customHeight="1" thickBot="1" x14ac:dyDescent="0.35">
      <c r="B1271" s="26">
        <v>45874</v>
      </c>
      <c r="C1271" s="51">
        <f t="shared" si="195"/>
        <v>1267</v>
      </c>
      <c r="D1271" s="27" t="s">
        <v>305</v>
      </c>
      <c r="E1271" s="26" t="s">
        <v>1319</v>
      </c>
      <c r="F1271" s="26" t="s">
        <v>1465</v>
      </c>
      <c r="G1271" s="28" t="s">
        <v>11</v>
      </c>
      <c r="H1271" s="254"/>
      <c r="I1271" s="49">
        <v>4</v>
      </c>
      <c r="J1271" s="49">
        <v>4</v>
      </c>
      <c r="K1271" s="52">
        <f t="shared" si="196"/>
        <v>1</v>
      </c>
      <c r="L1271" s="209">
        <f t="shared" si="197"/>
        <v>0</v>
      </c>
      <c r="M1271" s="210">
        <f t="shared" si="198"/>
        <v>0</v>
      </c>
      <c r="N1271" s="26">
        <v>45875</v>
      </c>
      <c r="O1271" s="26">
        <v>45875</v>
      </c>
      <c r="P1271" s="26">
        <v>45875</v>
      </c>
      <c r="Q1271" s="2">
        <f t="shared" si="190"/>
        <v>1</v>
      </c>
      <c r="S1271" s="7">
        <f t="shared" si="193"/>
        <v>1</v>
      </c>
      <c r="T1271" s="157">
        <f t="shared" si="194"/>
        <v>1</v>
      </c>
      <c r="V1271" s="191">
        <f t="shared" si="191"/>
        <v>8</v>
      </c>
      <c r="W1271" s="7">
        <f t="shared" si="192"/>
        <v>2025</v>
      </c>
    </row>
    <row r="1272" spans="2:23" ht="31.95" customHeight="1" thickBot="1" x14ac:dyDescent="0.35">
      <c r="B1272" s="26">
        <v>45874</v>
      </c>
      <c r="C1272" s="51">
        <f t="shared" si="195"/>
        <v>1268</v>
      </c>
      <c r="D1272" s="27" t="s">
        <v>705</v>
      </c>
      <c r="E1272" s="26" t="s">
        <v>1319</v>
      </c>
      <c r="F1272" s="26" t="s">
        <v>1465</v>
      </c>
      <c r="G1272" s="28" t="s">
        <v>11</v>
      </c>
      <c r="H1272" s="254"/>
      <c r="I1272" s="49">
        <v>3</v>
      </c>
      <c r="J1272" s="49">
        <f>I1272</f>
        <v>3</v>
      </c>
      <c r="K1272" s="52">
        <f t="shared" si="196"/>
        <v>1</v>
      </c>
      <c r="L1272" s="209">
        <f t="shared" si="197"/>
        <v>0</v>
      </c>
      <c r="M1272" s="210">
        <f t="shared" si="198"/>
        <v>0</v>
      </c>
      <c r="N1272" s="26">
        <v>45875</v>
      </c>
      <c r="O1272" s="26">
        <v>45875</v>
      </c>
      <c r="P1272" s="26">
        <v>45875</v>
      </c>
      <c r="Q1272" s="2">
        <f t="shared" si="190"/>
        <v>1</v>
      </c>
      <c r="S1272" s="7">
        <f t="shared" si="193"/>
        <v>1</v>
      </c>
      <c r="T1272" s="157">
        <f t="shared" si="194"/>
        <v>1</v>
      </c>
      <c r="V1272" s="191">
        <f t="shared" si="191"/>
        <v>8</v>
      </c>
      <c r="W1272" s="7">
        <f t="shared" si="192"/>
        <v>2025</v>
      </c>
    </row>
    <row r="1273" spans="2:23" ht="31.95" customHeight="1" thickBot="1" x14ac:dyDescent="0.35">
      <c r="B1273" s="26">
        <v>45875</v>
      </c>
      <c r="C1273" s="51">
        <f t="shared" si="195"/>
        <v>1269</v>
      </c>
      <c r="D1273" s="27" t="s">
        <v>890</v>
      </c>
      <c r="E1273" s="26" t="s">
        <v>1398</v>
      </c>
      <c r="F1273" s="26" t="s">
        <v>1408</v>
      </c>
      <c r="G1273" s="28" t="s">
        <v>11</v>
      </c>
      <c r="H1273" s="254"/>
      <c r="I1273" s="49">
        <v>3</v>
      </c>
      <c r="J1273" s="49">
        <f t="shared" ref="J1273:J1328" si="199">I1273</f>
        <v>3</v>
      </c>
      <c r="K1273" s="52">
        <f t="shared" si="196"/>
        <v>1</v>
      </c>
      <c r="L1273" s="209">
        <f t="shared" si="197"/>
        <v>0</v>
      </c>
      <c r="M1273" s="210">
        <f t="shared" si="198"/>
        <v>0</v>
      </c>
      <c r="N1273" s="26">
        <v>45884</v>
      </c>
      <c r="O1273" s="26">
        <v>45875</v>
      </c>
      <c r="P1273" s="26">
        <v>45895</v>
      </c>
      <c r="Q1273" s="2">
        <f t="shared" si="190"/>
        <v>1</v>
      </c>
      <c r="S1273" s="7">
        <f t="shared" si="193"/>
        <v>1</v>
      </c>
      <c r="T1273" s="157">
        <f t="shared" si="194"/>
        <v>0</v>
      </c>
      <c r="V1273" s="191">
        <f t="shared" si="191"/>
        <v>8</v>
      </c>
      <c r="W1273" s="7">
        <f t="shared" si="192"/>
        <v>2025</v>
      </c>
    </row>
    <row r="1274" spans="2:23" ht="31.95" customHeight="1" thickBot="1" x14ac:dyDescent="0.35">
      <c r="B1274" s="26">
        <v>45876</v>
      </c>
      <c r="C1274" s="51">
        <f t="shared" si="195"/>
        <v>1270</v>
      </c>
      <c r="D1274" s="27" t="s">
        <v>953</v>
      </c>
      <c r="E1274" s="26" t="s">
        <v>1470</v>
      </c>
      <c r="F1274" s="26" t="s">
        <v>11</v>
      </c>
      <c r="G1274" s="28" t="s">
        <v>11</v>
      </c>
      <c r="H1274" s="254"/>
      <c r="I1274" s="49">
        <v>1</v>
      </c>
      <c r="J1274" s="49">
        <f t="shared" si="199"/>
        <v>1</v>
      </c>
      <c r="K1274" s="52">
        <f t="shared" si="196"/>
        <v>1</v>
      </c>
      <c r="L1274" s="209">
        <f t="shared" si="197"/>
        <v>0</v>
      </c>
      <c r="M1274" s="210">
        <f t="shared" si="198"/>
        <v>0</v>
      </c>
      <c r="N1274" s="26">
        <v>45881</v>
      </c>
      <c r="O1274" s="26">
        <v>45881</v>
      </c>
      <c r="P1274" s="26">
        <v>45881</v>
      </c>
      <c r="Q1274" s="2">
        <f t="shared" si="190"/>
        <v>1</v>
      </c>
      <c r="S1274" s="7">
        <f t="shared" si="193"/>
        <v>1</v>
      </c>
      <c r="T1274" s="157">
        <f t="shared" si="194"/>
        <v>1</v>
      </c>
      <c r="V1274" s="191">
        <f t="shared" si="191"/>
        <v>8</v>
      </c>
      <c r="W1274" s="7">
        <f t="shared" si="192"/>
        <v>2025</v>
      </c>
    </row>
    <row r="1275" spans="2:23" ht="31.95" customHeight="1" thickBot="1" x14ac:dyDescent="0.35">
      <c r="B1275" s="26">
        <v>45877</v>
      </c>
      <c r="C1275" s="51">
        <f t="shared" si="195"/>
        <v>1271</v>
      </c>
      <c r="D1275" s="27" t="s">
        <v>1472</v>
      </c>
      <c r="E1275" s="26" t="s">
        <v>1479</v>
      </c>
      <c r="F1275" s="26" t="s">
        <v>11</v>
      </c>
      <c r="G1275" s="28" t="s">
        <v>11</v>
      </c>
      <c r="H1275" s="254"/>
      <c r="I1275" s="49">
        <v>6</v>
      </c>
      <c r="J1275" s="49">
        <f t="shared" si="199"/>
        <v>6</v>
      </c>
      <c r="K1275" s="52">
        <f t="shared" si="196"/>
        <v>1</v>
      </c>
      <c r="L1275" s="209">
        <f t="shared" si="197"/>
        <v>0</v>
      </c>
      <c r="M1275" s="210">
        <f t="shared" si="198"/>
        <v>0</v>
      </c>
      <c r="N1275" s="26">
        <v>45882</v>
      </c>
      <c r="O1275" s="26">
        <v>45882</v>
      </c>
      <c r="P1275" s="26">
        <v>45882</v>
      </c>
      <c r="Q1275" s="2">
        <f t="shared" si="190"/>
        <v>1</v>
      </c>
      <c r="S1275" s="7">
        <f t="shared" si="193"/>
        <v>1</v>
      </c>
      <c r="T1275" s="157">
        <f t="shared" si="194"/>
        <v>1</v>
      </c>
      <c r="V1275" s="191">
        <f t="shared" si="191"/>
        <v>8</v>
      </c>
      <c r="W1275" s="7">
        <f t="shared" si="192"/>
        <v>2025</v>
      </c>
    </row>
    <row r="1276" spans="2:23" ht="31.95" customHeight="1" thickBot="1" x14ac:dyDescent="0.35">
      <c r="B1276" s="26">
        <v>45877</v>
      </c>
      <c r="C1276" s="51">
        <f t="shared" si="195"/>
        <v>1272</v>
      </c>
      <c r="D1276" s="27" t="s">
        <v>705</v>
      </c>
      <c r="E1276" s="26" t="s">
        <v>1319</v>
      </c>
      <c r="F1276" s="26" t="s">
        <v>1480</v>
      </c>
      <c r="G1276" s="28" t="s">
        <v>11</v>
      </c>
      <c r="H1276" s="254"/>
      <c r="I1276" s="49">
        <v>5</v>
      </c>
      <c r="J1276" s="49">
        <f t="shared" si="199"/>
        <v>5</v>
      </c>
      <c r="K1276" s="52">
        <f t="shared" si="196"/>
        <v>1</v>
      </c>
      <c r="L1276" s="209">
        <f t="shared" si="197"/>
        <v>0</v>
      </c>
      <c r="M1276" s="210">
        <f t="shared" si="198"/>
        <v>0</v>
      </c>
      <c r="N1276" s="26">
        <v>45880</v>
      </c>
      <c r="O1276" s="26">
        <v>45880</v>
      </c>
      <c r="P1276" s="26">
        <v>45880</v>
      </c>
      <c r="Q1276" s="2">
        <f t="shared" si="190"/>
        <v>1</v>
      </c>
      <c r="S1276" s="7">
        <f t="shared" si="193"/>
        <v>1</v>
      </c>
      <c r="T1276" s="157">
        <f t="shared" si="194"/>
        <v>1</v>
      </c>
      <c r="V1276" s="191">
        <f t="shared" si="191"/>
        <v>8</v>
      </c>
      <c r="W1276" s="7">
        <f t="shared" si="192"/>
        <v>2025</v>
      </c>
    </row>
    <row r="1277" spans="2:23" ht="31.95" customHeight="1" thickBot="1" x14ac:dyDescent="0.35">
      <c r="B1277" s="26">
        <v>45877</v>
      </c>
      <c r="C1277" s="51">
        <f t="shared" si="195"/>
        <v>1273</v>
      </c>
      <c r="D1277" s="27" t="s">
        <v>317</v>
      </c>
      <c r="E1277" s="26" t="s">
        <v>1319</v>
      </c>
      <c r="F1277" s="26" t="s">
        <v>1480</v>
      </c>
      <c r="G1277" s="28" t="s">
        <v>11</v>
      </c>
      <c r="H1277" s="254"/>
      <c r="I1277" s="49">
        <v>2</v>
      </c>
      <c r="J1277" s="49">
        <f t="shared" si="199"/>
        <v>2</v>
      </c>
      <c r="K1277" s="52">
        <f t="shared" si="196"/>
        <v>1</v>
      </c>
      <c r="L1277" s="209">
        <f t="shared" si="197"/>
        <v>0</v>
      </c>
      <c r="M1277" s="210">
        <f t="shared" si="198"/>
        <v>0</v>
      </c>
      <c r="N1277" s="26">
        <v>45880</v>
      </c>
      <c r="O1277" s="26">
        <v>45880</v>
      </c>
      <c r="P1277" s="26">
        <v>45880</v>
      </c>
      <c r="Q1277" s="2">
        <f t="shared" si="190"/>
        <v>1</v>
      </c>
      <c r="S1277" s="7">
        <f t="shared" si="193"/>
        <v>1</v>
      </c>
      <c r="T1277" s="157">
        <f t="shared" si="194"/>
        <v>1</v>
      </c>
      <c r="V1277" s="191">
        <f t="shared" si="191"/>
        <v>8</v>
      </c>
      <c r="W1277" s="7">
        <f t="shared" si="192"/>
        <v>2025</v>
      </c>
    </row>
    <row r="1278" spans="2:23" ht="31.95" customHeight="1" thickBot="1" x14ac:dyDescent="0.35">
      <c r="B1278" s="26">
        <v>45877</v>
      </c>
      <c r="C1278" s="51">
        <f t="shared" si="195"/>
        <v>1274</v>
      </c>
      <c r="D1278" s="27" t="s">
        <v>269</v>
      </c>
      <c r="E1278" s="26" t="s">
        <v>1479</v>
      </c>
      <c r="F1278" s="26" t="s">
        <v>1481</v>
      </c>
      <c r="G1278" s="28" t="s">
        <v>11</v>
      </c>
      <c r="H1278" s="254"/>
      <c r="I1278" s="49">
        <v>5</v>
      </c>
      <c r="J1278" s="49">
        <f t="shared" si="199"/>
        <v>5</v>
      </c>
      <c r="K1278" s="52">
        <f t="shared" si="196"/>
        <v>1</v>
      </c>
      <c r="L1278" s="209">
        <f t="shared" si="197"/>
        <v>0</v>
      </c>
      <c r="M1278" s="210">
        <f t="shared" si="198"/>
        <v>0</v>
      </c>
      <c r="N1278" s="26">
        <v>45881</v>
      </c>
      <c r="O1278" s="26">
        <v>45881</v>
      </c>
      <c r="P1278" s="26">
        <v>45881</v>
      </c>
      <c r="Q1278" s="2">
        <f t="shared" si="190"/>
        <v>1</v>
      </c>
      <c r="S1278" s="7">
        <f t="shared" si="193"/>
        <v>1</v>
      </c>
      <c r="T1278" s="157">
        <f t="shared" si="194"/>
        <v>1</v>
      </c>
      <c r="V1278" s="191">
        <f t="shared" si="191"/>
        <v>8</v>
      </c>
      <c r="W1278" s="7">
        <f t="shared" si="192"/>
        <v>2025</v>
      </c>
    </row>
    <row r="1279" spans="2:23" ht="31.95" customHeight="1" thickBot="1" x14ac:dyDescent="0.35">
      <c r="B1279" s="26">
        <v>45880</v>
      </c>
      <c r="C1279" s="51">
        <f t="shared" si="195"/>
        <v>1275</v>
      </c>
      <c r="D1279" s="27" t="s">
        <v>705</v>
      </c>
      <c r="E1279" s="26" t="s">
        <v>1479</v>
      </c>
      <c r="F1279" s="26" t="s">
        <v>1488</v>
      </c>
      <c r="G1279" s="28" t="s">
        <v>11</v>
      </c>
      <c r="H1279" s="254"/>
      <c r="I1279" s="49">
        <v>10</v>
      </c>
      <c r="J1279" s="49">
        <f t="shared" si="199"/>
        <v>10</v>
      </c>
      <c r="K1279" s="52">
        <f t="shared" si="196"/>
        <v>1</v>
      </c>
      <c r="L1279" s="209">
        <f t="shared" si="197"/>
        <v>0</v>
      </c>
      <c r="M1279" s="210">
        <f t="shared" si="198"/>
        <v>0</v>
      </c>
      <c r="N1279" s="26">
        <v>45881</v>
      </c>
      <c r="O1279" s="26">
        <v>45881</v>
      </c>
      <c r="P1279" s="26">
        <v>45881</v>
      </c>
      <c r="Q1279" s="2">
        <f t="shared" si="190"/>
        <v>1</v>
      </c>
      <c r="S1279" s="7">
        <f t="shared" si="193"/>
        <v>1</v>
      </c>
      <c r="T1279" s="157">
        <f t="shared" si="194"/>
        <v>1</v>
      </c>
      <c r="V1279" s="191">
        <f t="shared" si="191"/>
        <v>8</v>
      </c>
      <c r="W1279" s="7">
        <f t="shared" si="192"/>
        <v>2025</v>
      </c>
    </row>
    <row r="1280" spans="2:23" ht="31.95" customHeight="1" thickBot="1" x14ac:dyDescent="0.35">
      <c r="B1280" s="26">
        <v>45880</v>
      </c>
      <c r="C1280" s="51">
        <f t="shared" si="195"/>
        <v>1276</v>
      </c>
      <c r="D1280" s="27" t="s">
        <v>305</v>
      </c>
      <c r="E1280" s="26" t="s">
        <v>1479</v>
      </c>
      <c r="F1280" s="26" t="s">
        <v>1488</v>
      </c>
      <c r="G1280" s="28" t="s">
        <v>11</v>
      </c>
      <c r="H1280" s="254"/>
      <c r="I1280" s="49">
        <v>13</v>
      </c>
      <c r="J1280" s="49">
        <f t="shared" si="199"/>
        <v>13</v>
      </c>
      <c r="K1280" s="52">
        <f t="shared" si="196"/>
        <v>1</v>
      </c>
      <c r="L1280" s="209">
        <f t="shared" si="197"/>
        <v>0</v>
      </c>
      <c r="M1280" s="210">
        <f t="shared" si="198"/>
        <v>0</v>
      </c>
      <c r="N1280" s="26">
        <v>45881</v>
      </c>
      <c r="O1280" s="26">
        <v>45881</v>
      </c>
      <c r="P1280" s="26">
        <v>45881</v>
      </c>
      <c r="Q1280" s="2">
        <f t="shared" si="190"/>
        <v>1</v>
      </c>
      <c r="S1280" s="7">
        <f t="shared" si="193"/>
        <v>1</v>
      </c>
      <c r="T1280" s="157">
        <f t="shared" si="194"/>
        <v>1</v>
      </c>
      <c r="V1280" s="191">
        <f t="shared" si="191"/>
        <v>8</v>
      </c>
      <c r="W1280" s="7">
        <f t="shared" si="192"/>
        <v>2025</v>
      </c>
    </row>
    <row r="1281" spans="2:23" ht="31.95" customHeight="1" thickBot="1" x14ac:dyDescent="0.35">
      <c r="B1281" s="26">
        <v>45880</v>
      </c>
      <c r="C1281" s="51">
        <f t="shared" si="195"/>
        <v>1277</v>
      </c>
      <c r="D1281" s="27" t="s">
        <v>773</v>
      </c>
      <c r="E1281" s="26" t="s">
        <v>1490</v>
      </c>
      <c r="F1281" s="26" t="s">
        <v>1491</v>
      </c>
      <c r="G1281" s="28" t="s">
        <v>11</v>
      </c>
      <c r="H1281" s="254"/>
      <c r="I1281" s="49">
        <v>3</v>
      </c>
      <c r="J1281" s="49">
        <f t="shared" si="199"/>
        <v>3</v>
      </c>
      <c r="K1281" s="52">
        <f t="shared" si="196"/>
        <v>1</v>
      </c>
      <c r="L1281" s="209">
        <f t="shared" si="197"/>
        <v>0</v>
      </c>
      <c r="M1281" s="210">
        <f t="shared" si="198"/>
        <v>0</v>
      </c>
      <c r="N1281" s="26">
        <v>45892</v>
      </c>
      <c r="O1281" s="26">
        <v>45892</v>
      </c>
      <c r="P1281" s="26">
        <v>45895</v>
      </c>
      <c r="Q1281" s="2">
        <f t="shared" si="190"/>
        <v>1</v>
      </c>
      <c r="S1281" s="7">
        <f t="shared" si="193"/>
        <v>1</v>
      </c>
      <c r="T1281" s="157">
        <f t="shared" si="194"/>
        <v>0</v>
      </c>
      <c r="V1281" s="191">
        <f t="shared" si="191"/>
        <v>8</v>
      </c>
      <c r="W1281" s="7">
        <f t="shared" si="192"/>
        <v>2025</v>
      </c>
    </row>
    <row r="1282" spans="2:23" ht="31.95" customHeight="1" thickBot="1" x14ac:dyDescent="0.35">
      <c r="B1282" s="26">
        <v>45880</v>
      </c>
      <c r="C1282" s="51">
        <f t="shared" si="195"/>
        <v>1278</v>
      </c>
      <c r="D1282" s="27" t="s">
        <v>305</v>
      </c>
      <c r="E1282" s="26" t="s">
        <v>1319</v>
      </c>
      <c r="F1282" s="26" t="s">
        <v>1492</v>
      </c>
      <c r="G1282" s="28" t="s">
        <v>11</v>
      </c>
      <c r="H1282" s="254"/>
      <c r="I1282" s="49">
        <v>4</v>
      </c>
      <c r="J1282" s="49">
        <f t="shared" si="199"/>
        <v>4</v>
      </c>
      <c r="K1282" s="52">
        <f t="shared" si="196"/>
        <v>1</v>
      </c>
      <c r="L1282" s="209">
        <f t="shared" si="197"/>
        <v>0</v>
      </c>
      <c r="M1282" s="210">
        <f t="shared" si="198"/>
        <v>0</v>
      </c>
      <c r="N1282" s="26">
        <v>45881</v>
      </c>
      <c r="O1282" s="26">
        <v>45881</v>
      </c>
      <c r="P1282" s="26">
        <v>45881</v>
      </c>
      <c r="Q1282" s="2">
        <f t="shared" si="190"/>
        <v>1</v>
      </c>
      <c r="S1282" s="7">
        <f t="shared" si="193"/>
        <v>1</v>
      </c>
      <c r="T1282" s="157">
        <f t="shared" si="194"/>
        <v>1</v>
      </c>
      <c r="V1282" s="191">
        <f t="shared" si="191"/>
        <v>8</v>
      </c>
      <c r="W1282" s="7">
        <f t="shared" si="192"/>
        <v>2025</v>
      </c>
    </row>
    <row r="1283" spans="2:23" ht="31.95" customHeight="1" thickBot="1" x14ac:dyDescent="0.35">
      <c r="B1283" s="26">
        <v>45880</v>
      </c>
      <c r="C1283" s="51">
        <f t="shared" si="195"/>
        <v>1279</v>
      </c>
      <c r="D1283" s="27" t="s">
        <v>1493</v>
      </c>
      <c r="E1283" s="26" t="s">
        <v>1490</v>
      </c>
      <c r="F1283" s="26" t="s">
        <v>1491</v>
      </c>
      <c r="G1283" s="28" t="s">
        <v>11</v>
      </c>
      <c r="H1283" s="254"/>
      <c r="I1283" s="49">
        <v>8</v>
      </c>
      <c r="J1283" s="49">
        <f t="shared" si="199"/>
        <v>8</v>
      </c>
      <c r="K1283" s="52">
        <f t="shared" si="196"/>
        <v>1</v>
      </c>
      <c r="L1283" s="209">
        <f t="shared" si="197"/>
        <v>0</v>
      </c>
      <c r="M1283" s="210">
        <f t="shared" si="198"/>
        <v>0</v>
      </c>
      <c r="N1283" s="26">
        <v>45887</v>
      </c>
      <c r="O1283" s="26">
        <v>45887</v>
      </c>
      <c r="P1283" s="26">
        <v>45887</v>
      </c>
      <c r="Q1283" s="2">
        <f t="shared" si="190"/>
        <v>1</v>
      </c>
      <c r="S1283" s="7">
        <f t="shared" si="193"/>
        <v>1</v>
      </c>
      <c r="T1283" s="157">
        <f t="shared" si="194"/>
        <v>1</v>
      </c>
      <c r="V1283" s="191">
        <f t="shared" si="191"/>
        <v>8</v>
      </c>
      <c r="W1283" s="7">
        <f t="shared" si="192"/>
        <v>2025</v>
      </c>
    </row>
    <row r="1284" spans="2:23" ht="31.95" customHeight="1" thickBot="1" x14ac:dyDescent="0.35">
      <c r="B1284" s="26">
        <v>45882</v>
      </c>
      <c r="C1284" s="51">
        <f t="shared" si="195"/>
        <v>1280</v>
      </c>
      <c r="D1284" s="27" t="s">
        <v>705</v>
      </c>
      <c r="E1284" s="26" t="s">
        <v>1479</v>
      </c>
      <c r="F1284" s="26" t="s">
        <v>1506</v>
      </c>
      <c r="G1284" s="28" t="s">
        <v>11</v>
      </c>
      <c r="H1284" s="254"/>
      <c r="I1284" s="49">
        <v>2</v>
      </c>
      <c r="J1284" s="49">
        <f t="shared" si="199"/>
        <v>2</v>
      </c>
      <c r="K1284" s="52">
        <f t="shared" si="196"/>
        <v>1</v>
      </c>
      <c r="L1284" s="209">
        <f t="shared" si="197"/>
        <v>0</v>
      </c>
      <c r="M1284" s="210">
        <f t="shared" si="198"/>
        <v>0</v>
      </c>
      <c r="N1284" s="26">
        <v>45883</v>
      </c>
      <c r="O1284" s="26">
        <v>45883</v>
      </c>
      <c r="P1284" s="26">
        <v>45883</v>
      </c>
      <c r="Q1284" s="2">
        <f t="shared" si="190"/>
        <v>1</v>
      </c>
      <c r="S1284" s="7">
        <f t="shared" si="193"/>
        <v>1</v>
      </c>
      <c r="T1284" s="157">
        <f t="shared" si="194"/>
        <v>1</v>
      </c>
      <c r="V1284" s="191">
        <f t="shared" si="191"/>
        <v>8</v>
      </c>
      <c r="W1284" s="7">
        <f t="shared" si="192"/>
        <v>2025</v>
      </c>
    </row>
    <row r="1285" spans="2:23" ht="31.95" customHeight="1" thickBot="1" x14ac:dyDescent="0.35">
      <c r="B1285" s="26">
        <v>45895</v>
      </c>
      <c r="C1285" s="51">
        <f t="shared" si="195"/>
        <v>1281</v>
      </c>
      <c r="D1285" s="27" t="s">
        <v>305</v>
      </c>
      <c r="E1285" s="28" t="s">
        <v>11</v>
      </c>
      <c r="F1285" s="26" t="s">
        <v>1519</v>
      </c>
      <c r="G1285" s="26" t="s">
        <v>1520</v>
      </c>
      <c r="H1285" s="254">
        <v>158</v>
      </c>
      <c r="I1285" s="49">
        <v>1</v>
      </c>
      <c r="J1285" s="49">
        <f t="shared" si="199"/>
        <v>1</v>
      </c>
      <c r="K1285" s="52">
        <f t="shared" si="196"/>
        <v>1</v>
      </c>
      <c r="L1285" s="209">
        <f t="shared" si="197"/>
        <v>0</v>
      </c>
      <c r="M1285" s="210">
        <f t="shared" si="198"/>
        <v>0</v>
      </c>
      <c r="N1285" s="26">
        <v>45896</v>
      </c>
      <c r="O1285" s="26">
        <v>45896</v>
      </c>
      <c r="P1285" s="26">
        <v>45896</v>
      </c>
      <c r="Q1285" s="2">
        <f t="shared" ref="Q1285:Q1348" si="200">IF(B1285&lt;&gt;"",1,0)</f>
        <v>1</v>
      </c>
      <c r="S1285" s="7">
        <f t="shared" si="193"/>
        <v>1</v>
      </c>
      <c r="T1285" s="157">
        <f t="shared" si="194"/>
        <v>1</v>
      </c>
      <c r="V1285" s="191">
        <f t="shared" ref="V1285:V1348" si="201">MONTH(B1285)</f>
        <v>8</v>
      </c>
      <c r="W1285" s="7">
        <f t="shared" ref="W1285:W1348" si="202">YEAR(B1285)</f>
        <v>2025</v>
      </c>
    </row>
    <row r="1286" spans="2:23" ht="31.95" customHeight="1" thickBot="1" x14ac:dyDescent="0.35">
      <c r="B1286" s="26">
        <v>45897</v>
      </c>
      <c r="C1286" s="51">
        <f t="shared" si="195"/>
        <v>1282</v>
      </c>
      <c r="D1286" s="27" t="s">
        <v>1028</v>
      </c>
      <c r="E1286" s="26" t="s">
        <v>1531</v>
      </c>
      <c r="F1286" s="26" t="s">
        <v>1532</v>
      </c>
      <c r="G1286" s="26" t="s">
        <v>11</v>
      </c>
      <c r="H1286" s="254">
        <v>2388</v>
      </c>
      <c r="I1286" s="49">
        <v>1</v>
      </c>
      <c r="J1286" s="49">
        <f t="shared" si="199"/>
        <v>1</v>
      </c>
      <c r="K1286" s="52">
        <f t="shared" si="196"/>
        <v>1</v>
      </c>
      <c r="L1286" s="209">
        <f t="shared" si="197"/>
        <v>0</v>
      </c>
      <c r="M1286" s="210">
        <f t="shared" si="198"/>
        <v>0</v>
      </c>
      <c r="N1286" s="26">
        <v>45898</v>
      </c>
      <c r="O1286" s="26">
        <v>45898</v>
      </c>
      <c r="P1286" s="26">
        <v>45898</v>
      </c>
      <c r="Q1286" s="2">
        <f t="shared" si="200"/>
        <v>1</v>
      </c>
      <c r="S1286" s="7">
        <f t="shared" ref="S1286:S1349" si="203">IF(AND(O1286&lt;=N1286,O1286&lt;&gt;""),1,0)</f>
        <v>1</v>
      </c>
      <c r="T1286" s="157">
        <f t="shared" ref="T1286:T1349" si="204">IF(AND(P1286&lt;=N1286,P1286&lt;&gt;""),1,0)</f>
        <v>1</v>
      </c>
      <c r="V1286" s="191">
        <f t="shared" si="201"/>
        <v>8</v>
      </c>
      <c r="W1286" s="7">
        <f t="shared" si="202"/>
        <v>2025</v>
      </c>
    </row>
    <row r="1287" spans="2:23" ht="31.95" customHeight="1" thickBot="1" x14ac:dyDescent="0.35">
      <c r="B1287" s="26">
        <v>45897</v>
      </c>
      <c r="C1287" s="51">
        <f t="shared" ref="C1287:C1350" si="205">IF(B1287&lt;&gt;"",C1286+1,"")</f>
        <v>1283</v>
      </c>
      <c r="D1287" s="27" t="s">
        <v>1150</v>
      </c>
      <c r="E1287" s="26" t="s">
        <v>1531</v>
      </c>
      <c r="F1287" s="26" t="s">
        <v>1532</v>
      </c>
      <c r="G1287" s="26" t="s">
        <v>11</v>
      </c>
      <c r="H1287" s="254">
        <v>502.79</v>
      </c>
      <c r="I1287" s="49">
        <v>1</v>
      </c>
      <c r="J1287" s="49">
        <f t="shared" si="199"/>
        <v>1</v>
      </c>
      <c r="K1287" s="52">
        <f t="shared" si="196"/>
        <v>1</v>
      </c>
      <c r="L1287" s="209">
        <f t="shared" si="197"/>
        <v>0</v>
      </c>
      <c r="M1287" s="210">
        <f t="shared" si="198"/>
        <v>0</v>
      </c>
      <c r="N1287" s="26">
        <v>45898</v>
      </c>
      <c r="O1287" s="26">
        <v>45898</v>
      </c>
      <c r="P1287" s="26">
        <v>45898</v>
      </c>
      <c r="Q1287" s="2">
        <f t="shared" si="200"/>
        <v>1</v>
      </c>
      <c r="S1287" s="7">
        <f t="shared" si="203"/>
        <v>1</v>
      </c>
      <c r="T1287" s="157">
        <f t="shared" si="204"/>
        <v>1</v>
      </c>
      <c r="V1287" s="191">
        <f t="shared" si="201"/>
        <v>8</v>
      </c>
      <c r="W1287" s="7">
        <f t="shared" si="202"/>
        <v>2025</v>
      </c>
    </row>
    <row r="1288" spans="2:23" ht="31.95" customHeight="1" thickBot="1" x14ac:dyDescent="0.35">
      <c r="B1288" s="26">
        <v>45899</v>
      </c>
      <c r="C1288" s="51">
        <f t="shared" si="205"/>
        <v>1284</v>
      </c>
      <c r="D1288" s="27" t="s">
        <v>890</v>
      </c>
      <c r="E1288" s="26" t="s">
        <v>1531</v>
      </c>
      <c r="F1288" s="26" t="s">
        <v>1532</v>
      </c>
      <c r="G1288" s="28" t="s">
        <v>11</v>
      </c>
      <c r="H1288" s="254">
        <v>184.4</v>
      </c>
      <c r="I1288" s="49">
        <v>3</v>
      </c>
      <c r="J1288" s="49">
        <f t="shared" si="199"/>
        <v>3</v>
      </c>
      <c r="K1288" s="52">
        <f t="shared" si="196"/>
        <v>1</v>
      </c>
      <c r="L1288" s="209">
        <f t="shared" si="197"/>
        <v>0</v>
      </c>
      <c r="M1288" s="210">
        <f t="shared" si="198"/>
        <v>0</v>
      </c>
      <c r="N1288" s="26">
        <v>45903</v>
      </c>
      <c r="O1288" s="26">
        <v>45903</v>
      </c>
      <c r="P1288" s="26">
        <v>45903</v>
      </c>
      <c r="Q1288" s="2">
        <f t="shared" si="200"/>
        <v>1</v>
      </c>
      <c r="S1288" s="7">
        <f t="shared" si="203"/>
        <v>1</v>
      </c>
      <c r="T1288" s="157">
        <f t="shared" si="204"/>
        <v>1</v>
      </c>
      <c r="V1288" s="191">
        <f t="shared" si="201"/>
        <v>8</v>
      </c>
      <c r="W1288" s="7">
        <f t="shared" si="202"/>
        <v>2025</v>
      </c>
    </row>
    <row r="1289" spans="2:23" ht="31.95" customHeight="1" thickBot="1" x14ac:dyDescent="0.35">
      <c r="B1289" s="26">
        <v>45901</v>
      </c>
      <c r="C1289" s="51">
        <f t="shared" si="205"/>
        <v>1285</v>
      </c>
      <c r="D1289" s="27" t="s">
        <v>705</v>
      </c>
      <c r="E1289" s="28" t="s">
        <v>11</v>
      </c>
      <c r="F1289" s="26" t="s">
        <v>1536</v>
      </c>
      <c r="G1289" s="28" t="s">
        <v>1537</v>
      </c>
      <c r="H1289" s="254">
        <v>4917.5</v>
      </c>
      <c r="I1289" s="49">
        <v>11</v>
      </c>
      <c r="J1289" s="49">
        <f t="shared" si="199"/>
        <v>11</v>
      </c>
      <c r="K1289" s="52">
        <f t="shared" si="196"/>
        <v>1</v>
      </c>
      <c r="L1289" s="209">
        <f t="shared" si="197"/>
        <v>0</v>
      </c>
      <c r="M1289" s="210">
        <f t="shared" si="198"/>
        <v>0</v>
      </c>
      <c r="N1289" s="26">
        <v>45901</v>
      </c>
      <c r="O1289" s="26">
        <v>45901</v>
      </c>
      <c r="P1289" s="26">
        <v>45901</v>
      </c>
      <c r="Q1289" s="2">
        <f t="shared" si="200"/>
        <v>1</v>
      </c>
      <c r="S1289" s="7">
        <f t="shared" si="203"/>
        <v>1</v>
      </c>
      <c r="T1289" s="157">
        <f t="shared" si="204"/>
        <v>1</v>
      </c>
      <c r="V1289" s="191">
        <f t="shared" si="201"/>
        <v>9</v>
      </c>
      <c r="W1289" s="7">
        <f t="shared" si="202"/>
        <v>2025</v>
      </c>
    </row>
    <row r="1290" spans="2:23" ht="31.95" customHeight="1" thickBot="1" x14ac:dyDescent="0.35">
      <c r="B1290" s="26">
        <v>45901</v>
      </c>
      <c r="C1290" s="51">
        <f t="shared" si="205"/>
        <v>1286</v>
      </c>
      <c r="D1290" s="27" t="s">
        <v>305</v>
      </c>
      <c r="E1290" s="28" t="s">
        <v>11</v>
      </c>
      <c r="F1290" s="26" t="s">
        <v>1536</v>
      </c>
      <c r="G1290" s="28" t="s">
        <v>1537</v>
      </c>
      <c r="H1290" s="254">
        <v>414</v>
      </c>
      <c r="I1290" s="49">
        <v>3</v>
      </c>
      <c r="J1290" s="49">
        <f t="shared" si="199"/>
        <v>3</v>
      </c>
      <c r="K1290" s="52">
        <f t="shared" si="196"/>
        <v>1</v>
      </c>
      <c r="L1290" s="209">
        <f t="shared" si="197"/>
        <v>0</v>
      </c>
      <c r="M1290" s="210">
        <f t="shared" si="198"/>
        <v>0</v>
      </c>
      <c r="N1290" s="26">
        <v>45901</v>
      </c>
      <c r="O1290" s="26">
        <v>45901</v>
      </c>
      <c r="P1290" s="26">
        <v>45901</v>
      </c>
      <c r="Q1290" s="2">
        <f t="shared" si="200"/>
        <v>1</v>
      </c>
      <c r="S1290" s="7">
        <f t="shared" si="203"/>
        <v>1</v>
      </c>
      <c r="T1290" s="157">
        <f t="shared" si="204"/>
        <v>1</v>
      </c>
      <c r="V1290" s="191">
        <f t="shared" si="201"/>
        <v>9</v>
      </c>
      <c r="W1290" s="7">
        <f t="shared" si="202"/>
        <v>2025</v>
      </c>
    </row>
    <row r="1291" spans="2:23" ht="31.95" customHeight="1" thickBot="1" x14ac:dyDescent="0.35">
      <c r="B1291" s="26">
        <v>45901</v>
      </c>
      <c r="C1291" s="51">
        <f t="shared" si="205"/>
        <v>1287</v>
      </c>
      <c r="D1291" s="27" t="s">
        <v>321</v>
      </c>
      <c r="E1291" s="26" t="s">
        <v>1531</v>
      </c>
      <c r="F1291" s="26" t="s">
        <v>1539</v>
      </c>
      <c r="G1291" s="28" t="s">
        <v>11</v>
      </c>
      <c r="H1291" s="254">
        <v>426</v>
      </c>
      <c r="I1291" s="49">
        <v>2</v>
      </c>
      <c r="J1291" s="49">
        <f t="shared" si="199"/>
        <v>2</v>
      </c>
      <c r="K1291" s="52">
        <f t="shared" si="196"/>
        <v>1</v>
      </c>
      <c r="L1291" s="209">
        <f t="shared" si="197"/>
        <v>0</v>
      </c>
      <c r="M1291" s="210">
        <f t="shared" si="198"/>
        <v>0</v>
      </c>
      <c r="N1291" s="26">
        <v>45901</v>
      </c>
      <c r="O1291" s="26">
        <v>45901</v>
      </c>
      <c r="P1291" s="26">
        <v>45901</v>
      </c>
      <c r="Q1291" s="2">
        <f t="shared" si="200"/>
        <v>1</v>
      </c>
      <c r="S1291" s="7">
        <f t="shared" si="203"/>
        <v>1</v>
      </c>
      <c r="T1291" s="157">
        <f t="shared" si="204"/>
        <v>1</v>
      </c>
      <c r="V1291" s="191">
        <f t="shared" si="201"/>
        <v>9</v>
      </c>
      <c r="W1291" s="7">
        <f t="shared" si="202"/>
        <v>2025</v>
      </c>
    </row>
    <row r="1292" spans="2:23" ht="31.95" customHeight="1" thickBot="1" x14ac:dyDescent="0.35">
      <c r="B1292" s="26">
        <v>45903</v>
      </c>
      <c r="C1292" s="51">
        <f t="shared" si="205"/>
        <v>1288</v>
      </c>
      <c r="D1292" s="27" t="s">
        <v>1150</v>
      </c>
      <c r="E1292" s="28" t="s">
        <v>11</v>
      </c>
      <c r="F1292" s="28" t="s">
        <v>11</v>
      </c>
      <c r="G1292" s="26" t="s">
        <v>1537</v>
      </c>
      <c r="H1292" s="254">
        <v>1797.28</v>
      </c>
      <c r="I1292" s="49">
        <v>3</v>
      </c>
      <c r="J1292" s="49">
        <f t="shared" si="199"/>
        <v>3</v>
      </c>
      <c r="K1292" s="52">
        <f t="shared" si="196"/>
        <v>1</v>
      </c>
      <c r="L1292" s="209">
        <f t="shared" si="197"/>
        <v>0</v>
      </c>
      <c r="M1292" s="210">
        <f t="shared" si="198"/>
        <v>0</v>
      </c>
      <c r="N1292" s="26">
        <v>45904</v>
      </c>
      <c r="O1292" s="26">
        <v>45904</v>
      </c>
      <c r="P1292" s="26">
        <v>45904</v>
      </c>
      <c r="Q1292" s="2">
        <f t="shared" si="200"/>
        <v>1</v>
      </c>
      <c r="S1292" s="7">
        <f t="shared" si="203"/>
        <v>1</v>
      </c>
      <c r="T1292" s="157">
        <f t="shared" si="204"/>
        <v>1</v>
      </c>
      <c r="V1292" s="191">
        <f t="shared" si="201"/>
        <v>9</v>
      </c>
      <c r="W1292" s="7">
        <f t="shared" si="202"/>
        <v>2025</v>
      </c>
    </row>
    <row r="1293" spans="2:23" ht="31.95" customHeight="1" thickBot="1" x14ac:dyDescent="0.35">
      <c r="B1293" s="26">
        <v>45903</v>
      </c>
      <c r="C1293" s="51">
        <f t="shared" si="205"/>
        <v>1289</v>
      </c>
      <c r="D1293" s="27" t="s">
        <v>269</v>
      </c>
      <c r="E1293" s="28" t="s">
        <v>11</v>
      </c>
      <c r="F1293" s="26" t="s">
        <v>1542</v>
      </c>
      <c r="G1293" s="26" t="s">
        <v>1537</v>
      </c>
      <c r="H1293" s="254">
        <v>88.45</v>
      </c>
      <c r="I1293" s="49">
        <v>2</v>
      </c>
      <c r="J1293" s="49">
        <f t="shared" si="199"/>
        <v>2</v>
      </c>
      <c r="K1293" s="52">
        <f t="shared" si="196"/>
        <v>1</v>
      </c>
      <c r="L1293" s="209">
        <f t="shared" si="197"/>
        <v>0</v>
      </c>
      <c r="M1293" s="210">
        <f t="shared" si="198"/>
        <v>0</v>
      </c>
      <c r="N1293" s="26">
        <v>45904</v>
      </c>
      <c r="O1293" s="26">
        <v>45904</v>
      </c>
      <c r="P1293" s="26">
        <v>45904</v>
      </c>
      <c r="Q1293" s="2">
        <f t="shared" si="200"/>
        <v>1</v>
      </c>
      <c r="S1293" s="7">
        <f t="shared" si="203"/>
        <v>1</v>
      </c>
      <c r="T1293" s="157">
        <f t="shared" si="204"/>
        <v>1</v>
      </c>
      <c r="V1293" s="191">
        <f t="shared" si="201"/>
        <v>9</v>
      </c>
      <c r="W1293" s="7">
        <f t="shared" si="202"/>
        <v>2025</v>
      </c>
    </row>
    <row r="1294" spans="2:23" ht="31.95" customHeight="1" thickBot="1" x14ac:dyDescent="0.35">
      <c r="B1294" s="26">
        <v>45903</v>
      </c>
      <c r="C1294" s="51">
        <f t="shared" si="205"/>
        <v>1290</v>
      </c>
      <c r="D1294" s="27" t="s">
        <v>269</v>
      </c>
      <c r="E1294" s="28" t="s">
        <v>11</v>
      </c>
      <c r="F1294" s="26" t="s">
        <v>1543</v>
      </c>
      <c r="G1294" s="26" t="s">
        <v>1537</v>
      </c>
      <c r="H1294" s="254">
        <v>64.97</v>
      </c>
      <c r="I1294" s="49">
        <v>1</v>
      </c>
      <c r="J1294" s="49">
        <f t="shared" si="199"/>
        <v>1</v>
      </c>
      <c r="K1294" s="52">
        <f t="shared" si="196"/>
        <v>1</v>
      </c>
      <c r="L1294" s="209">
        <f t="shared" si="197"/>
        <v>0</v>
      </c>
      <c r="M1294" s="210">
        <f t="shared" si="198"/>
        <v>0</v>
      </c>
      <c r="N1294" s="26">
        <v>45904</v>
      </c>
      <c r="O1294" s="26">
        <v>45904</v>
      </c>
      <c r="P1294" s="26">
        <v>45904</v>
      </c>
      <c r="Q1294" s="2">
        <f t="shared" si="200"/>
        <v>1</v>
      </c>
      <c r="S1294" s="7">
        <f t="shared" si="203"/>
        <v>1</v>
      </c>
      <c r="T1294" s="157">
        <f t="shared" si="204"/>
        <v>1</v>
      </c>
      <c r="V1294" s="191">
        <f t="shared" si="201"/>
        <v>9</v>
      </c>
      <c r="W1294" s="7">
        <f t="shared" si="202"/>
        <v>2025</v>
      </c>
    </row>
    <row r="1295" spans="2:23" ht="31.95" customHeight="1" thickBot="1" x14ac:dyDescent="0.35">
      <c r="B1295" s="26">
        <v>45903</v>
      </c>
      <c r="C1295" s="51">
        <f t="shared" si="205"/>
        <v>1291</v>
      </c>
      <c r="D1295" s="27" t="s">
        <v>269</v>
      </c>
      <c r="E1295" s="28" t="s">
        <v>11</v>
      </c>
      <c r="F1295" s="26" t="s">
        <v>1544</v>
      </c>
      <c r="G1295" s="26" t="s">
        <v>1537</v>
      </c>
      <c r="H1295" s="254">
        <v>101.4</v>
      </c>
      <c r="I1295" s="49">
        <v>3</v>
      </c>
      <c r="J1295" s="49">
        <f t="shared" si="199"/>
        <v>3</v>
      </c>
      <c r="K1295" s="52">
        <f t="shared" si="196"/>
        <v>1</v>
      </c>
      <c r="L1295" s="209">
        <f t="shared" si="197"/>
        <v>0</v>
      </c>
      <c r="M1295" s="210">
        <f t="shared" si="198"/>
        <v>0</v>
      </c>
      <c r="N1295" s="26">
        <v>45904</v>
      </c>
      <c r="O1295" s="26">
        <v>45904</v>
      </c>
      <c r="P1295" s="26">
        <v>45904</v>
      </c>
      <c r="Q1295" s="2">
        <f t="shared" si="200"/>
        <v>1</v>
      </c>
      <c r="S1295" s="7">
        <f t="shared" si="203"/>
        <v>1</v>
      </c>
      <c r="T1295" s="157">
        <f t="shared" si="204"/>
        <v>1</v>
      </c>
      <c r="V1295" s="191">
        <f t="shared" si="201"/>
        <v>9</v>
      </c>
      <c r="W1295" s="7">
        <f t="shared" si="202"/>
        <v>2025</v>
      </c>
    </row>
    <row r="1296" spans="2:23" ht="31.95" customHeight="1" thickBot="1" x14ac:dyDescent="0.35">
      <c r="B1296" s="26">
        <v>45903</v>
      </c>
      <c r="C1296" s="51">
        <f t="shared" si="205"/>
        <v>1292</v>
      </c>
      <c r="D1296" s="27" t="s">
        <v>269</v>
      </c>
      <c r="E1296" s="28" t="s">
        <v>11</v>
      </c>
      <c r="F1296" s="26" t="s">
        <v>1545</v>
      </c>
      <c r="G1296" s="26" t="s">
        <v>1537</v>
      </c>
      <c r="H1296" s="254">
        <v>384</v>
      </c>
      <c r="I1296" s="49">
        <v>1</v>
      </c>
      <c r="J1296" s="49">
        <f t="shared" si="199"/>
        <v>1</v>
      </c>
      <c r="K1296" s="52">
        <f t="shared" si="196"/>
        <v>1</v>
      </c>
      <c r="L1296" s="209">
        <f t="shared" si="197"/>
        <v>0</v>
      </c>
      <c r="M1296" s="210">
        <f t="shared" si="198"/>
        <v>0</v>
      </c>
      <c r="N1296" s="26">
        <v>45904</v>
      </c>
      <c r="O1296" s="26">
        <v>45904</v>
      </c>
      <c r="P1296" s="26">
        <v>45904</v>
      </c>
      <c r="Q1296" s="2">
        <f t="shared" si="200"/>
        <v>1</v>
      </c>
      <c r="S1296" s="7">
        <f t="shared" si="203"/>
        <v>1</v>
      </c>
      <c r="T1296" s="157">
        <f t="shared" si="204"/>
        <v>1</v>
      </c>
      <c r="V1296" s="191">
        <f t="shared" si="201"/>
        <v>9</v>
      </c>
      <c r="W1296" s="7">
        <f t="shared" si="202"/>
        <v>2025</v>
      </c>
    </row>
    <row r="1297" spans="2:23" ht="31.95" customHeight="1" thickBot="1" x14ac:dyDescent="0.35">
      <c r="B1297" s="26">
        <v>45903</v>
      </c>
      <c r="C1297" s="51">
        <f t="shared" si="205"/>
        <v>1293</v>
      </c>
      <c r="D1297" s="27" t="s">
        <v>1533</v>
      </c>
      <c r="E1297" s="28" t="s">
        <v>11</v>
      </c>
      <c r="F1297" s="26" t="s">
        <v>1544</v>
      </c>
      <c r="G1297" s="26" t="s">
        <v>1537</v>
      </c>
      <c r="H1297" s="254">
        <v>262</v>
      </c>
      <c r="I1297" s="49">
        <v>2</v>
      </c>
      <c r="J1297" s="49">
        <f t="shared" si="199"/>
        <v>2</v>
      </c>
      <c r="K1297" s="52">
        <f t="shared" si="196"/>
        <v>1</v>
      </c>
      <c r="L1297" s="209">
        <f t="shared" si="197"/>
        <v>0</v>
      </c>
      <c r="M1297" s="210">
        <f t="shared" si="198"/>
        <v>0</v>
      </c>
      <c r="N1297" s="26">
        <v>45905</v>
      </c>
      <c r="O1297" s="26">
        <v>45905</v>
      </c>
      <c r="P1297" s="26">
        <v>45905</v>
      </c>
      <c r="Q1297" s="2">
        <f t="shared" si="200"/>
        <v>1</v>
      </c>
      <c r="S1297" s="7">
        <f t="shared" si="203"/>
        <v>1</v>
      </c>
      <c r="T1297" s="157">
        <f t="shared" si="204"/>
        <v>1</v>
      </c>
      <c r="V1297" s="191">
        <f t="shared" si="201"/>
        <v>9</v>
      </c>
      <c r="W1297" s="7">
        <f t="shared" si="202"/>
        <v>2025</v>
      </c>
    </row>
    <row r="1298" spans="2:23" ht="31.95" customHeight="1" thickBot="1" x14ac:dyDescent="0.35">
      <c r="B1298" s="26">
        <v>45904</v>
      </c>
      <c r="C1298" s="51">
        <f t="shared" si="205"/>
        <v>1294</v>
      </c>
      <c r="D1298" s="27" t="s">
        <v>1150</v>
      </c>
      <c r="E1298" s="26" t="s">
        <v>1547</v>
      </c>
      <c r="F1298" s="26" t="s">
        <v>1548</v>
      </c>
      <c r="G1298" s="28" t="s">
        <v>11</v>
      </c>
      <c r="H1298" s="254">
        <v>312.37</v>
      </c>
      <c r="I1298" s="49">
        <v>1</v>
      </c>
      <c r="J1298" s="49">
        <f t="shared" si="199"/>
        <v>1</v>
      </c>
      <c r="K1298" s="52">
        <f t="shared" si="196"/>
        <v>1</v>
      </c>
      <c r="L1298" s="209">
        <f t="shared" si="197"/>
        <v>0</v>
      </c>
      <c r="M1298" s="210">
        <f t="shared" si="198"/>
        <v>0</v>
      </c>
      <c r="N1298" s="26">
        <v>45904</v>
      </c>
      <c r="O1298" s="26">
        <v>45904</v>
      </c>
      <c r="P1298" s="26">
        <v>45904</v>
      </c>
      <c r="Q1298" s="2">
        <f t="shared" si="200"/>
        <v>1</v>
      </c>
      <c r="S1298" s="7">
        <f t="shared" si="203"/>
        <v>1</v>
      </c>
      <c r="T1298" s="157">
        <f t="shared" si="204"/>
        <v>1</v>
      </c>
      <c r="V1298" s="191">
        <f t="shared" si="201"/>
        <v>9</v>
      </c>
      <c r="W1298" s="7">
        <f t="shared" si="202"/>
        <v>2025</v>
      </c>
    </row>
    <row r="1299" spans="2:23" ht="31.95" customHeight="1" thickBot="1" x14ac:dyDescent="0.35">
      <c r="B1299" s="26">
        <v>45904</v>
      </c>
      <c r="C1299" s="51">
        <f t="shared" si="205"/>
        <v>1295</v>
      </c>
      <c r="D1299" s="27" t="s">
        <v>602</v>
      </c>
      <c r="E1299" s="26" t="s">
        <v>1547</v>
      </c>
      <c r="F1299" s="26" t="s">
        <v>1549</v>
      </c>
      <c r="G1299" s="28" t="s">
        <v>11</v>
      </c>
      <c r="H1299" s="254">
        <v>948</v>
      </c>
      <c r="I1299" s="49">
        <v>1</v>
      </c>
      <c r="J1299" s="49">
        <f t="shared" si="199"/>
        <v>1</v>
      </c>
      <c r="K1299" s="52">
        <f t="shared" si="196"/>
        <v>1</v>
      </c>
      <c r="L1299" s="209">
        <f t="shared" si="197"/>
        <v>0</v>
      </c>
      <c r="M1299" s="210">
        <f t="shared" si="198"/>
        <v>0</v>
      </c>
      <c r="N1299" s="26">
        <v>45909</v>
      </c>
      <c r="O1299" s="26">
        <v>45909</v>
      </c>
      <c r="P1299" s="26">
        <v>45909</v>
      </c>
      <c r="Q1299" s="2">
        <f t="shared" si="200"/>
        <v>1</v>
      </c>
      <c r="S1299" s="7">
        <f t="shared" si="203"/>
        <v>1</v>
      </c>
      <c r="T1299" s="157">
        <f t="shared" si="204"/>
        <v>1</v>
      </c>
      <c r="V1299" s="191">
        <f t="shared" si="201"/>
        <v>9</v>
      </c>
      <c r="W1299" s="7">
        <f t="shared" si="202"/>
        <v>2025</v>
      </c>
    </row>
    <row r="1300" spans="2:23" ht="31.95" customHeight="1" thickBot="1" x14ac:dyDescent="0.35">
      <c r="B1300" s="26">
        <v>45905</v>
      </c>
      <c r="C1300" s="51">
        <f t="shared" si="205"/>
        <v>1296</v>
      </c>
      <c r="D1300" s="27" t="s">
        <v>1533</v>
      </c>
      <c r="E1300" s="26" t="s">
        <v>1547</v>
      </c>
      <c r="F1300" s="26" t="s">
        <v>1551</v>
      </c>
      <c r="G1300" s="28" t="s">
        <v>11</v>
      </c>
      <c r="H1300" s="254">
        <v>312.56</v>
      </c>
      <c r="I1300" s="49">
        <v>2</v>
      </c>
      <c r="J1300" s="49">
        <f t="shared" si="199"/>
        <v>2</v>
      </c>
      <c r="K1300" s="52">
        <f t="shared" si="196"/>
        <v>1</v>
      </c>
      <c r="L1300" s="209">
        <f t="shared" si="197"/>
        <v>0</v>
      </c>
      <c r="M1300" s="210">
        <f t="shared" si="198"/>
        <v>0</v>
      </c>
      <c r="N1300" s="26">
        <v>45906</v>
      </c>
      <c r="O1300" s="26">
        <v>45906</v>
      </c>
      <c r="P1300" s="26">
        <v>45906</v>
      </c>
      <c r="Q1300" s="2">
        <f t="shared" si="200"/>
        <v>1</v>
      </c>
      <c r="S1300" s="7">
        <f t="shared" si="203"/>
        <v>1</v>
      </c>
      <c r="T1300" s="157">
        <f t="shared" si="204"/>
        <v>1</v>
      </c>
      <c r="V1300" s="191">
        <f t="shared" si="201"/>
        <v>9</v>
      </c>
      <c r="W1300" s="7">
        <f t="shared" si="202"/>
        <v>2025</v>
      </c>
    </row>
    <row r="1301" spans="2:23" ht="31.95" customHeight="1" thickBot="1" x14ac:dyDescent="0.35">
      <c r="B1301" s="26">
        <v>45905</v>
      </c>
      <c r="C1301" s="51">
        <f t="shared" si="205"/>
        <v>1297</v>
      </c>
      <c r="D1301" s="27" t="s">
        <v>1552</v>
      </c>
      <c r="E1301" s="26" t="s">
        <v>1479</v>
      </c>
      <c r="F1301" s="28" t="s">
        <v>11</v>
      </c>
      <c r="G1301" s="28" t="s">
        <v>11</v>
      </c>
      <c r="H1301" s="254">
        <v>1500</v>
      </c>
      <c r="I1301" s="49">
        <v>1</v>
      </c>
      <c r="J1301" s="49">
        <f t="shared" si="199"/>
        <v>1</v>
      </c>
      <c r="K1301" s="52">
        <f t="shared" si="196"/>
        <v>1</v>
      </c>
      <c r="L1301" s="209">
        <f t="shared" si="197"/>
        <v>0</v>
      </c>
      <c r="M1301" s="210">
        <f t="shared" si="198"/>
        <v>0</v>
      </c>
      <c r="N1301" s="26">
        <v>45905</v>
      </c>
      <c r="O1301" s="26">
        <v>45905</v>
      </c>
      <c r="P1301" s="26">
        <v>45905</v>
      </c>
      <c r="Q1301" s="2">
        <f t="shared" si="200"/>
        <v>1</v>
      </c>
      <c r="S1301" s="7">
        <f t="shared" si="203"/>
        <v>1</v>
      </c>
      <c r="T1301" s="157">
        <f t="shared" si="204"/>
        <v>1</v>
      </c>
      <c r="V1301" s="191">
        <f t="shared" si="201"/>
        <v>9</v>
      </c>
      <c r="W1301" s="7">
        <f t="shared" si="202"/>
        <v>2025</v>
      </c>
    </row>
    <row r="1302" spans="2:23" ht="31.95" customHeight="1" thickBot="1" x14ac:dyDescent="0.35">
      <c r="B1302" s="26">
        <v>45905</v>
      </c>
      <c r="C1302" s="51">
        <f t="shared" si="205"/>
        <v>1298</v>
      </c>
      <c r="D1302" s="27" t="s">
        <v>317</v>
      </c>
      <c r="E1302" s="28" t="s">
        <v>11</v>
      </c>
      <c r="F1302" s="26" t="s">
        <v>1557</v>
      </c>
      <c r="G1302" s="26" t="s">
        <v>1537</v>
      </c>
      <c r="H1302" s="254">
        <v>117</v>
      </c>
      <c r="I1302" s="49">
        <v>2</v>
      </c>
      <c r="J1302" s="49">
        <f t="shared" si="199"/>
        <v>2</v>
      </c>
      <c r="K1302" s="52">
        <f t="shared" si="196"/>
        <v>1</v>
      </c>
      <c r="L1302" s="209">
        <f t="shared" si="197"/>
        <v>0</v>
      </c>
      <c r="M1302" s="210">
        <f t="shared" si="198"/>
        <v>0</v>
      </c>
      <c r="N1302" s="26">
        <v>45905</v>
      </c>
      <c r="O1302" s="26">
        <v>45905</v>
      </c>
      <c r="P1302" s="26">
        <v>45905</v>
      </c>
      <c r="Q1302" s="2">
        <f t="shared" si="200"/>
        <v>1</v>
      </c>
      <c r="S1302" s="7">
        <f t="shared" si="203"/>
        <v>1</v>
      </c>
      <c r="T1302" s="157">
        <f t="shared" si="204"/>
        <v>1</v>
      </c>
      <c r="V1302" s="191">
        <f t="shared" si="201"/>
        <v>9</v>
      </c>
      <c r="W1302" s="7">
        <f t="shared" si="202"/>
        <v>2025</v>
      </c>
    </row>
    <row r="1303" spans="2:23" ht="31.95" customHeight="1" thickBot="1" x14ac:dyDescent="0.35">
      <c r="B1303" s="26">
        <v>45905</v>
      </c>
      <c r="C1303" s="51">
        <f t="shared" si="205"/>
        <v>1299</v>
      </c>
      <c r="D1303" s="27" t="s">
        <v>321</v>
      </c>
      <c r="E1303" s="26" t="s">
        <v>1547</v>
      </c>
      <c r="F1303" s="26" t="s">
        <v>1548</v>
      </c>
      <c r="G1303" s="28" t="s">
        <v>11</v>
      </c>
      <c r="H1303" s="254">
        <v>1234</v>
      </c>
      <c r="I1303" s="49">
        <v>5</v>
      </c>
      <c r="J1303" s="49">
        <f t="shared" si="199"/>
        <v>5</v>
      </c>
      <c r="K1303" s="52">
        <f t="shared" si="196"/>
        <v>1</v>
      </c>
      <c r="L1303" s="209">
        <f t="shared" si="197"/>
        <v>0</v>
      </c>
      <c r="M1303" s="210">
        <f t="shared" si="198"/>
        <v>0</v>
      </c>
      <c r="N1303" s="26">
        <v>45905</v>
      </c>
      <c r="O1303" s="26">
        <v>45905</v>
      </c>
      <c r="P1303" s="26">
        <v>45905</v>
      </c>
      <c r="Q1303" s="2">
        <f t="shared" si="200"/>
        <v>1</v>
      </c>
      <c r="S1303" s="7">
        <f t="shared" si="203"/>
        <v>1</v>
      </c>
      <c r="T1303" s="157">
        <f t="shared" si="204"/>
        <v>1</v>
      </c>
      <c r="V1303" s="191">
        <f t="shared" si="201"/>
        <v>9</v>
      </c>
      <c r="W1303" s="7">
        <f t="shared" si="202"/>
        <v>2025</v>
      </c>
    </row>
    <row r="1304" spans="2:23" ht="31.95" customHeight="1" thickBot="1" x14ac:dyDescent="0.35">
      <c r="B1304" s="26">
        <v>45905</v>
      </c>
      <c r="C1304" s="51">
        <f t="shared" si="205"/>
        <v>1300</v>
      </c>
      <c r="D1304" s="27" t="s">
        <v>890</v>
      </c>
      <c r="E1304" s="26" t="s">
        <v>1547</v>
      </c>
      <c r="F1304" s="26" t="s">
        <v>1551</v>
      </c>
      <c r="G1304" s="28" t="s">
        <v>11</v>
      </c>
      <c r="H1304" s="254">
        <f>18*23.5</f>
        <v>423</v>
      </c>
      <c r="I1304" s="49">
        <v>1</v>
      </c>
      <c r="J1304" s="49">
        <f t="shared" si="199"/>
        <v>1</v>
      </c>
      <c r="K1304" s="52">
        <f t="shared" si="196"/>
        <v>1</v>
      </c>
      <c r="L1304" s="209">
        <f t="shared" si="197"/>
        <v>0</v>
      </c>
      <c r="M1304" s="210">
        <f t="shared" si="198"/>
        <v>0</v>
      </c>
      <c r="N1304" s="26">
        <v>45908</v>
      </c>
      <c r="O1304" s="26">
        <v>45908</v>
      </c>
      <c r="P1304" s="26">
        <v>45908</v>
      </c>
      <c r="Q1304" s="2">
        <f t="shared" si="200"/>
        <v>1</v>
      </c>
      <c r="S1304" s="7">
        <f t="shared" si="203"/>
        <v>1</v>
      </c>
      <c r="T1304" s="157">
        <f t="shared" si="204"/>
        <v>1</v>
      </c>
      <c r="V1304" s="191">
        <f t="shared" si="201"/>
        <v>9</v>
      </c>
      <c r="W1304" s="7">
        <f t="shared" si="202"/>
        <v>2025</v>
      </c>
    </row>
    <row r="1305" spans="2:23" ht="31.95" customHeight="1" thickBot="1" x14ac:dyDescent="0.35">
      <c r="B1305" s="26">
        <v>45905</v>
      </c>
      <c r="C1305" s="51">
        <f t="shared" si="205"/>
        <v>1301</v>
      </c>
      <c r="D1305" s="27" t="s">
        <v>915</v>
      </c>
      <c r="E1305" s="26" t="s">
        <v>1547</v>
      </c>
      <c r="F1305" s="26" t="s">
        <v>1551</v>
      </c>
      <c r="G1305" s="28" t="s">
        <v>11</v>
      </c>
      <c r="H1305" s="254">
        <v>3164</v>
      </c>
      <c r="I1305" s="49">
        <v>1</v>
      </c>
      <c r="J1305" s="49">
        <f t="shared" si="199"/>
        <v>1</v>
      </c>
      <c r="K1305" s="52">
        <f t="shared" si="196"/>
        <v>1</v>
      </c>
      <c r="L1305" s="209">
        <f t="shared" si="197"/>
        <v>0</v>
      </c>
      <c r="M1305" s="210">
        <f t="shared" si="198"/>
        <v>0</v>
      </c>
      <c r="N1305" s="26">
        <v>45908</v>
      </c>
      <c r="O1305" s="26">
        <v>45908</v>
      </c>
      <c r="P1305" s="26">
        <v>45908</v>
      </c>
      <c r="Q1305" s="2">
        <f t="shared" si="200"/>
        <v>1</v>
      </c>
      <c r="S1305" s="7">
        <f t="shared" si="203"/>
        <v>1</v>
      </c>
      <c r="T1305" s="157">
        <f t="shared" si="204"/>
        <v>1</v>
      </c>
      <c r="V1305" s="191">
        <f t="shared" si="201"/>
        <v>9</v>
      </c>
      <c r="W1305" s="7">
        <f t="shared" si="202"/>
        <v>2025</v>
      </c>
    </row>
    <row r="1306" spans="2:23" ht="31.95" customHeight="1" thickBot="1" x14ac:dyDescent="0.35">
      <c r="B1306" s="26">
        <v>45908</v>
      </c>
      <c r="C1306" s="51">
        <f t="shared" si="205"/>
        <v>1302</v>
      </c>
      <c r="D1306" s="27" t="s">
        <v>401</v>
      </c>
      <c r="E1306" s="26" t="s">
        <v>1479</v>
      </c>
      <c r="F1306" s="28" t="s">
        <v>11</v>
      </c>
      <c r="G1306" s="28" t="s">
        <v>11</v>
      </c>
      <c r="H1306" s="254">
        <v>1800</v>
      </c>
      <c r="I1306" s="49">
        <v>1</v>
      </c>
      <c r="J1306" s="49">
        <f t="shared" si="199"/>
        <v>1</v>
      </c>
      <c r="K1306" s="52">
        <f t="shared" si="196"/>
        <v>1</v>
      </c>
      <c r="L1306" s="209">
        <f t="shared" si="197"/>
        <v>0</v>
      </c>
      <c r="M1306" s="210">
        <f t="shared" si="198"/>
        <v>0</v>
      </c>
      <c r="N1306" s="26">
        <v>45908</v>
      </c>
      <c r="O1306" s="26">
        <v>45908</v>
      </c>
      <c r="P1306" s="26">
        <v>45908</v>
      </c>
      <c r="Q1306" s="2">
        <f t="shared" si="200"/>
        <v>1</v>
      </c>
      <c r="S1306" s="7">
        <f t="shared" si="203"/>
        <v>1</v>
      </c>
      <c r="T1306" s="157">
        <f t="shared" si="204"/>
        <v>1</v>
      </c>
      <c r="V1306" s="191">
        <f t="shared" si="201"/>
        <v>9</v>
      </c>
      <c r="W1306" s="7">
        <f t="shared" si="202"/>
        <v>2025</v>
      </c>
    </row>
    <row r="1307" spans="2:23" ht="31.95" customHeight="1" thickBot="1" x14ac:dyDescent="0.35">
      <c r="B1307" s="26">
        <v>45909</v>
      </c>
      <c r="C1307" s="51">
        <f t="shared" si="205"/>
        <v>1303</v>
      </c>
      <c r="D1307" s="27" t="s">
        <v>705</v>
      </c>
      <c r="E1307" s="26" t="s">
        <v>1479</v>
      </c>
      <c r="F1307" s="26" t="s">
        <v>1558</v>
      </c>
      <c r="G1307" s="28" t="s">
        <v>11</v>
      </c>
      <c r="H1307" s="254">
        <v>150</v>
      </c>
      <c r="I1307" s="49">
        <v>1</v>
      </c>
      <c r="J1307" s="49">
        <f t="shared" si="199"/>
        <v>1</v>
      </c>
      <c r="K1307" s="52">
        <f t="shared" si="196"/>
        <v>1</v>
      </c>
      <c r="L1307" s="209">
        <f t="shared" si="197"/>
        <v>0</v>
      </c>
      <c r="M1307" s="210">
        <f t="shared" si="198"/>
        <v>0</v>
      </c>
      <c r="N1307" s="26">
        <v>45909</v>
      </c>
      <c r="O1307" s="26">
        <v>45909</v>
      </c>
      <c r="P1307" s="26">
        <v>45909</v>
      </c>
      <c r="Q1307" s="2">
        <f t="shared" si="200"/>
        <v>1</v>
      </c>
      <c r="S1307" s="7">
        <f t="shared" si="203"/>
        <v>1</v>
      </c>
      <c r="T1307" s="157">
        <f t="shared" si="204"/>
        <v>1</v>
      </c>
      <c r="V1307" s="191">
        <f t="shared" si="201"/>
        <v>9</v>
      </c>
      <c r="W1307" s="7">
        <f t="shared" si="202"/>
        <v>2025</v>
      </c>
    </row>
    <row r="1308" spans="2:23" ht="31.95" customHeight="1" thickBot="1" x14ac:dyDescent="0.35">
      <c r="B1308" s="26">
        <v>45909</v>
      </c>
      <c r="C1308" s="51">
        <f t="shared" si="205"/>
        <v>1304</v>
      </c>
      <c r="D1308" s="27" t="s">
        <v>705</v>
      </c>
      <c r="E1308" s="26" t="s">
        <v>1479</v>
      </c>
      <c r="F1308" s="26" t="s">
        <v>1559</v>
      </c>
      <c r="G1308" s="28" t="s">
        <v>11</v>
      </c>
      <c r="H1308" s="254">
        <v>348</v>
      </c>
      <c r="I1308" s="49">
        <v>1</v>
      </c>
      <c r="J1308" s="49">
        <f t="shared" si="199"/>
        <v>1</v>
      </c>
      <c r="K1308" s="52">
        <f t="shared" si="196"/>
        <v>1</v>
      </c>
      <c r="L1308" s="209">
        <f t="shared" si="197"/>
        <v>0</v>
      </c>
      <c r="M1308" s="210">
        <f t="shared" si="198"/>
        <v>0</v>
      </c>
      <c r="N1308" s="26">
        <v>45909</v>
      </c>
      <c r="O1308" s="26">
        <v>45909</v>
      </c>
      <c r="P1308" s="26">
        <v>45909</v>
      </c>
      <c r="Q1308" s="2">
        <f t="shared" si="200"/>
        <v>1</v>
      </c>
      <c r="S1308" s="7">
        <f t="shared" si="203"/>
        <v>1</v>
      </c>
      <c r="T1308" s="157">
        <f t="shared" si="204"/>
        <v>1</v>
      </c>
      <c r="V1308" s="191">
        <f t="shared" si="201"/>
        <v>9</v>
      </c>
      <c r="W1308" s="7">
        <f t="shared" si="202"/>
        <v>2025</v>
      </c>
    </row>
    <row r="1309" spans="2:23" ht="31.95" customHeight="1" thickBot="1" x14ac:dyDescent="0.35">
      <c r="B1309" s="26">
        <v>45909</v>
      </c>
      <c r="C1309" s="51">
        <f t="shared" si="205"/>
        <v>1305</v>
      </c>
      <c r="D1309" s="27" t="s">
        <v>705</v>
      </c>
      <c r="E1309" s="26" t="s">
        <v>1479</v>
      </c>
      <c r="F1309" s="26" t="s">
        <v>1560</v>
      </c>
      <c r="G1309" s="28" t="s">
        <v>11</v>
      </c>
      <c r="H1309" s="254">
        <v>4016</v>
      </c>
      <c r="I1309" s="49">
        <v>13</v>
      </c>
      <c r="J1309" s="49">
        <f t="shared" si="199"/>
        <v>13</v>
      </c>
      <c r="K1309" s="52">
        <f t="shared" si="196"/>
        <v>1</v>
      </c>
      <c r="L1309" s="209">
        <f t="shared" si="197"/>
        <v>0</v>
      </c>
      <c r="M1309" s="210">
        <f t="shared" si="198"/>
        <v>0</v>
      </c>
      <c r="N1309" s="26">
        <v>45909</v>
      </c>
      <c r="O1309" s="26">
        <v>45909</v>
      </c>
      <c r="P1309" s="26">
        <v>45909</v>
      </c>
      <c r="Q1309" s="2">
        <f t="shared" si="200"/>
        <v>1</v>
      </c>
      <c r="S1309" s="7">
        <f t="shared" si="203"/>
        <v>1</v>
      </c>
      <c r="T1309" s="157">
        <f t="shared" si="204"/>
        <v>1</v>
      </c>
      <c r="V1309" s="191">
        <f t="shared" si="201"/>
        <v>9</v>
      </c>
      <c r="W1309" s="7">
        <f t="shared" si="202"/>
        <v>2025</v>
      </c>
    </row>
    <row r="1310" spans="2:23" ht="31.95" customHeight="1" thickBot="1" x14ac:dyDescent="0.35">
      <c r="B1310" s="26">
        <v>45909</v>
      </c>
      <c r="C1310" s="51">
        <f t="shared" si="205"/>
        <v>1306</v>
      </c>
      <c r="D1310" s="27" t="s">
        <v>269</v>
      </c>
      <c r="E1310" s="26" t="s">
        <v>1479</v>
      </c>
      <c r="F1310" s="28" t="s">
        <v>11</v>
      </c>
      <c r="G1310" s="28" t="s">
        <v>11</v>
      </c>
      <c r="H1310" s="254">
        <v>995.4</v>
      </c>
      <c r="I1310" s="49">
        <v>2</v>
      </c>
      <c r="J1310" s="49">
        <f t="shared" si="199"/>
        <v>2</v>
      </c>
      <c r="K1310" s="52">
        <f t="shared" si="196"/>
        <v>1</v>
      </c>
      <c r="L1310" s="209">
        <f t="shared" si="197"/>
        <v>0</v>
      </c>
      <c r="M1310" s="210">
        <f t="shared" si="198"/>
        <v>0</v>
      </c>
      <c r="N1310" s="26">
        <v>45910</v>
      </c>
      <c r="O1310" s="26">
        <v>45910</v>
      </c>
      <c r="P1310" s="26">
        <v>45910</v>
      </c>
      <c r="Q1310" s="2">
        <f t="shared" si="200"/>
        <v>1</v>
      </c>
      <c r="S1310" s="7">
        <f t="shared" si="203"/>
        <v>1</v>
      </c>
      <c r="T1310" s="157">
        <f t="shared" si="204"/>
        <v>1</v>
      </c>
      <c r="V1310" s="191">
        <f t="shared" si="201"/>
        <v>9</v>
      </c>
      <c r="W1310" s="7">
        <f t="shared" si="202"/>
        <v>2025</v>
      </c>
    </row>
    <row r="1311" spans="2:23" ht="31.95" customHeight="1" thickBot="1" x14ac:dyDescent="0.35">
      <c r="B1311" s="26">
        <v>45910</v>
      </c>
      <c r="C1311" s="51">
        <f t="shared" si="205"/>
        <v>1307</v>
      </c>
      <c r="D1311" s="27" t="s">
        <v>1561</v>
      </c>
      <c r="E1311" s="26" t="s">
        <v>1479</v>
      </c>
      <c r="F1311" s="28" t="s">
        <v>11</v>
      </c>
      <c r="G1311" s="28" t="s">
        <v>11</v>
      </c>
      <c r="H1311" s="254">
        <v>650</v>
      </c>
      <c r="I1311" s="49">
        <v>1</v>
      </c>
      <c r="J1311" s="49">
        <f t="shared" si="199"/>
        <v>1</v>
      </c>
      <c r="K1311" s="52">
        <f t="shared" si="196"/>
        <v>1</v>
      </c>
      <c r="L1311" s="209">
        <f t="shared" si="197"/>
        <v>0</v>
      </c>
      <c r="M1311" s="210">
        <f t="shared" si="198"/>
        <v>0</v>
      </c>
      <c r="N1311" s="26">
        <v>45911</v>
      </c>
      <c r="O1311" s="26">
        <v>45911</v>
      </c>
      <c r="P1311" s="26">
        <v>45911</v>
      </c>
      <c r="Q1311" s="2">
        <f t="shared" si="200"/>
        <v>1</v>
      </c>
      <c r="S1311" s="7">
        <f t="shared" si="203"/>
        <v>1</v>
      </c>
      <c r="T1311" s="157">
        <f t="shared" si="204"/>
        <v>1</v>
      </c>
      <c r="V1311" s="191">
        <f t="shared" si="201"/>
        <v>9</v>
      </c>
      <c r="W1311" s="7">
        <f t="shared" si="202"/>
        <v>2025</v>
      </c>
    </row>
    <row r="1312" spans="2:23" ht="31.95" customHeight="1" thickBot="1" x14ac:dyDescent="0.35">
      <c r="B1312" s="26">
        <v>45911</v>
      </c>
      <c r="C1312" s="51">
        <f t="shared" si="205"/>
        <v>1308</v>
      </c>
      <c r="D1312" s="27" t="s">
        <v>705</v>
      </c>
      <c r="E1312" s="26" t="s">
        <v>1479</v>
      </c>
      <c r="F1312" s="26" t="s">
        <v>1569</v>
      </c>
      <c r="G1312" s="28" t="s">
        <v>11</v>
      </c>
      <c r="H1312" s="254">
        <v>513.6</v>
      </c>
      <c r="I1312" s="49">
        <v>4</v>
      </c>
      <c r="J1312" s="49">
        <f t="shared" si="199"/>
        <v>4</v>
      </c>
      <c r="K1312" s="52">
        <f t="shared" si="196"/>
        <v>1</v>
      </c>
      <c r="L1312" s="209">
        <f t="shared" si="197"/>
        <v>0</v>
      </c>
      <c r="M1312" s="210">
        <f t="shared" si="198"/>
        <v>0</v>
      </c>
      <c r="N1312" s="26">
        <v>45911</v>
      </c>
      <c r="O1312" s="26">
        <v>45911</v>
      </c>
      <c r="P1312" s="26">
        <v>45911</v>
      </c>
      <c r="Q1312" s="2">
        <f t="shared" si="200"/>
        <v>1</v>
      </c>
      <c r="S1312" s="7">
        <f t="shared" si="203"/>
        <v>1</v>
      </c>
      <c r="T1312" s="157">
        <f t="shared" si="204"/>
        <v>1</v>
      </c>
      <c r="V1312" s="191">
        <f t="shared" si="201"/>
        <v>9</v>
      </c>
      <c r="W1312" s="7">
        <f t="shared" si="202"/>
        <v>2025</v>
      </c>
    </row>
    <row r="1313" spans="2:23" ht="31.95" customHeight="1" thickBot="1" x14ac:dyDescent="0.35">
      <c r="B1313" s="26">
        <v>45911</v>
      </c>
      <c r="C1313" s="51">
        <f t="shared" si="205"/>
        <v>1309</v>
      </c>
      <c r="D1313" s="27" t="s">
        <v>317</v>
      </c>
      <c r="E1313" s="26" t="s">
        <v>1571</v>
      </c>
      <c r="F1313" s="26" t="s">
        <v>1574</v>
      </c>
      <c r="G1313" s="28" t="s">
        <v>11</v>
      </c>
      <c r="H1313" s="254">
        <v>660</v>
      </c>
      <c r="I1313" s="49">
        <v>1</v>
      </c>
      <c r="J1313" s="49">
        <f t="shared" si="199"/>
        <v>1</v>
      </c>
      <c r="K1313" s="52">
        <f t="shared" si="196"/>
        <v>1</v>
      </c>
      <c r="L1313" s="209">
        <f t="shared" si="197"/>
        <v>0</v>
      </c>
      <c r="M1313" s="210">
        <f t="shared" si="198"/>
        <v>0</v>
      </c>
      <c r="N1313" s="26">
        <v>45911</v>
      </c>
      <c r="O1313" s="26">
        <v>45911</v>
      </c>
      <c r="P1313" s="26">
        <v>45911</v>
      </c>
      <c r="Q1313" s="2">
        <f t="shared" si="200"/>
        <v>1</v>
      </c>
      <c r="S1313" s="7">
        <f t="shared" si="203"/>
        <v>1</v>
      </c>
      <c r="T1313" s="157">
        <f t="shared" si="204"/>
        <v>1</v>
      </c>
      <c r="V1313" s="191">
        <f t="shared" si="201"/>
        <v>9</v>
      </c>
      <c r="W1313" s="7">
        <f t="shared" si="202"/>
        <v>2025</v>
      </c>
    </row>
    <row r="1314" spans="2:23" ht="31.95" customHeight="1" thickBot="1" x14ac:dyDescent="0.35">
      <c r="B1314" s="26">
        <v>45911</v>
      </c>
      <c r="C1314" s="51">
        <f t="shared" si="205"/>
        <v>1310</v>
      </c>
      <c r="D1314" s="27" t="s">
        <v>317</v>
      </c>
      <c r="E1314" s="26" t="s">
        <v>1572</v>
      </c>
      <c r="F1314" s="26" t="s">
        <v>1575</v>
      </c>
      <c r="G1314" s="28" t="s">
        <v>11</v>
      </c>
      <c r="H1314" s="254">
        <v>235.5</v>
      </c>
      <c r="I1314" s="49">
        <v>3</v>
      </c>
      <c r="J1314" s="49">
        <f t="shared" si="199"/>
        <v>3</v>
      </c>
      <c r="K1314" s="52">
        <f t="shared" si="196"/>
        <v>1</v>
      </c>
      <c r="L1314" s="209">
        <f t="shared" si="197"/>
        <v>0</v>
      </c>
      <c r="M1314" s="210">
        <f t="shared" si="198"/>
        <v>0</v>
      </c>
      <c r="N1314" s="26">
        <v>45911</v>
      </c>
      <c r="O1314" s="26">
        <v>45911</v>
      </c>
      <c r="P1314" s="26">
        <v>45911</v>
      </c>
      <c r="Q1314" s="2">
        <f t="shared" si="200"/>
        <v>1</v>
      </c>
      <c r="S1314" s="7">
        <f t="shared" si="203"/>
        <v>1</v>
      </c>
      <c r="T1314" s="157">
        <f t="shared" si="204"/>
        <v>1</v>
      </c>
      <c r="V1314" s="191">
        <f t="shared" si="201"/>
        <v>9</v>
      </c>
      <c r="W1314" s="7">
        <f t="shared" si="202"/>
        <v>2025</v>
      </c>
    </row>
    <row r="1315" spans="2:23" ht="31.95" customHeight="1" thickBot="1" x14ac:dyDescent="0.35">
      <c r="B1315" s="26">
        <v>45911</v>
      </c>
      <c r="C1315" s="51">
        <f t="shared" si="205"/>
        <v>1311</v>
      </c>
      <c r="D1315" s="27" t="s">
        <v>317</v>
      </c>
      <c r="E1315" s="26" t="s">
        <v>1573</v>
      </c>
      <c r="F1315" s="26" t="s">
        <v>1576</v>
      </c>
      <c r="G1315" s="28" t="s">
        <v>11</v>
      </c>
      <c r="H1315" s="254">
        <v>940</v>
      </c>
      <c r="I1315" s="49">
        <v>1</v>
      </c>
      <c r="J1315" s="49">
        <f t="shared" si="199"/>
        <v>1</v>
      </c>
      <c r="K1315" s="52">
        <f t="shared" si="196"/>
        <v>1</v>
      </c>
      <c r="L1315" s="209">
        <f t="shared" si="197"/>
        <v>0</v>
      </c>
      <c r="M1315" s="210">
        <f t="shared" si="198"/>
        <v>0</v>
      </c>
      <c r="N1315" s="26">
        <v>45911</v>
      </c>
      <c r="O1315" s="26">
        <v>45911</v>
      </c>
      <c r="P1315" s="26">
        <v>45911</v>
      </c>
      <c r="Q1315" s="2">
        <f t="shared" si="200"/>
        <v>1</v>
      </c>
      <c r="S1315" s="7">
        <f t="shared" si="203"/>
        <v>1</v>
      </c>
      <c r="T1315" s="157">
        <f t="shared" si="204"/>
        <v>1</v>
      </c>
      <c r="V1315" s="191">
        <f t="shared" si="201"/>
        <v>9</v>
      </c>
      <c r="W1315" s="7">
        <f t="shared" si="202"/>
        <v>2025</v>
      </c>
    </row>
    <row r="1316" spans="2:23" ht="31.95" customHeight="1" thickBot="1" x14ac:dyDescent="0.35">
      <c r="B1316" s="26">
        <v>45912</v>
      </c>
      <c r="C1316" s="51">
        <f t="shared" si="205"/>
        <v>1312</v>
      </c>
      <c r="D1316" s="27" t="s">
        <v>1472</v>
      </c>
      <c r="E1316" s="26" t="s">
        <v>1577</v>
      </c>
      <c r="F1316" s="28" t="s">
        <v>11</v>
      </c>
      <c r="G1316" s="28" t="s">
        <v>11</v>
      </c>
      <c r="H1316" s="254">
        <v>4200</v>
      </c>
      <c r="I1316" s="49">
        <v>6</v>
      </c>
      <c r="J1316" s="49">
        <f t="shared" si="199"/>
        <v>6</v>
      </c>
      <c r="K1316" s="52">
        <f t="shared" si="196"/>
        <v>1</v>
      </c>
      <c r="L1316" s="209">
        <f t="shared" si="197"/>
        <v>0</v>
      </c>
      <c r="M1316" s="210">
        <f t="shared" si="198"/>
        <v>0</v>
      </c>
      <c r="N1316" s="26">
        <v>45915</v>
      </c>
      <c r="O1316" s="26">
        <v>45915</v>
      </c>
      <c r="P1316" s="26">
        <v>45915</v>
      </c>
      <c r="Q1316" s="2">
        <f t="shared" si="200"/>
        <v>1</v>
      </c>
      <c r="S1316" s="7">
        <f t="shared" si="203"/>
        <v>1</v>
      </c>
      <c r="T1316" s="157">
        <f t="shared" si="204"/>
        <v>1</v>
      </c>
      <c r="V1316" s="191">
        <f t="shared" si="201"/>
        <v>9</v>
      </c>
      <c r="W1316" s="7">
        <f t="shared" si="202"/>
        <v>2025</v>
      </c>
    </row>
    <row r="1317" spans="2:23" ht="31.95" customHeight="1" thickBot="1" x14ac:dyDescent="0.35">
      <c r="B1317" s="26">
        <v>45912</v>
      </c>
      <c r="C1317" s="51">
        <f t="shared" si="205"/>
        <v>1313</v>
      </c>
      <c r="D1317" s="27" t="s">
        <v>269</v>
      </c>
      <c r="E1317" s="26" t="s">
        <v>1577</v>
      </c>
      <c r="F1317" s="28" t="s">
        <v>11</v>
      </c>
      <c r="G1317" s="28" t="s">
        <v>11</v>
      </c>
      <c r="H1317" s="254">
        <v>7417.59</v>
      </c>
      <c r="I1317" s="49">
        <v>15</v>
      </c>
      <c r="J1317" s="49">
        <f t="shared" si="199"/>
        <v>15</v>
      </c>
      <c r="K1317" s="52">
        <f t="shared" si="196"/>
        <v>1</v>
      </c>
      <c r="L1317" s="209">
        <f t="shared" si="197"/>
        <v>0</v>
      </c>
      <c r="M1317" s="210">
        <f t="shared" si="198"/>
        <v>0</v>
      </c>
      <c r="N1317" s="26">
        <v>45915</v>
      </c>
      <c r="O1317" s="26">
        <v>45915</v>
      </c>
      <c r="P1317" s="26">
        <v>45915</v>
      </c>
      <c r="Q1317" s="2">
        <f t="shared" si="200"/>
        <v>1</v>
      </c>
      <c r="S1317" s="7">
        <f t="shared" si="203"/>
        <v>1</v>
      </c>
      <c r="T1317" s="157">
        <f t="shared" si="204"/>
        <v>1</v>
      </c>
      <c r="V1317" s="191">
        <f t="shared" si="201"/>
        <v>9</v>
      </c>
      <c r="W1317" s="7">
        <f t="shared" si="202"/>
        <v>2025</v>
      </c>
    </row>
    <row r="1318" spans="2:23" ht="31.95" customHeight="1" thickBot="1" x14ac:dyDescent="0.35">
      <c r="B1318" s="26">
        <v>45915</v>
      </c>
      <c r="C1318" s="51">
        <f t="shared" si="205"/>
        <v>1314</v>
      </c>
      <c r="D1318" s="27" t="s">
        <v>705</v>
      </c>
      <c r="E1318" s="26" t="s">
        <v>1577</v>
      </c>
      <c r="F1318" s="28" t="s">
        <v>11</v>
      </c>
      <c r="G1318" s="28" t="s">
        <v>11</v>
      </c>
      <c r="H1318" s="254">
        <f>188+182.5</f>
        <v>370.5</v>
      </c>
      <c r="I1318" s="49">
        <v>2</v>
      </c>
      <c r="J1318" s="49">
        <f t="shared" si="199"/>
        <v>2</v>
      </c>
      <c r="K1318" s="52">
        <f t="shared" si="196"/>
        <v>1</v>
      </c>
      <c r="L1318" s="209">
        <f t="shared" si="197"/>
        <v>0</v>
      </c>
      <c r="M1318" s="210">
        <f t="shared" si="198"/>
        <v>0</v>
      </c>
      <c r="N1318" s="26">
        <v>45915</v>
      </c>
      <c r="O1318" s="26">
        <v>45915</v>
      </c>
      <c r="P1318" s="26">
        <v>45915</v>
      </c>
      <c r="Q1318" s="2">
        <f t="shared" si="200"/>
        <v>1</v>
      </c>
      <c r="S1318" s="7">
        <f t="shared" si="203"/>
        <v>1</v>
      </c>
      <c r="T1318" s="157">
        <f t="shared" si="204"/>
        <v>1</v>
      </c>
      <c r="V1318" s="191">
        <f t="shared" si="201"/>
        <v>9</v>
      </c>
      <c r="W1318" s="7">
        <f t="shared" si="202"/>
        <v>2025</v>
      </c>
    </row>
    <row r="1319" spans="2:23" ht="31.95" customHeight="1" thickBot="1" x14ac:dyDescent="0.35">
      <c r="B1319" s="26">
        <v>45916</v>
      </c>
      <c r="C1319" s="51">
        <f t="shared" si="205"/>
        <v>1315</v>
      </c>
      <c r="D1319" s="27" t="s">
        <v>705</v>
      </c>
      <c r="E1319" s="26" t="s">
        <v>1490</v>
      </c>
      <c r="F1319" s="26" t="s">
        <v>1578</v>
      </c>
      <c r="G1319" s="28" t="s">
        <v>11</v>
      </c>
      <c r="H1319" s="254">
        <v>53.6</v>
      </c>
      <c r="I1319" s="49">
        <v>1</v>
      </c>
      <c r="J1319" s="49">
        <f t="shared" si="199"/>
        <v>1</v>
      </c>
      <c r="K1319" s="52">
        <f t="shared" si="196"/>
        <v>1</v>
      </c>
      <c r="L1319" s="209">
        <f t="shared" si="197"/>
        <v>0</v>
      </c>
      <c r="M1319" s="210">
        <f t="shared" si="198"/>
        <v>0</v>
      </c>
      <c r="N1319" s="26">
        <v>45916</v>
      </c>
      <c r="O1319" s="26">
        <v>45916</v>
      </c>
      <c r="P1319" s="26">
        <v>45916</v>
      </c>
      <c r="Q1319" s="2">
        <f t="shared" si="200"/>
        <v>1</v>
      </c>
      <c r="S1319" s="7">
        <f t="shared" si="203"/>
        <v>1</v>
      </c>
      <c r="T1319" s="157">
        <f t="shared" si="204"/>
        <v>1</v>
      </c>
      <c r="V1319" s="191">
        <f t="shared" si="201"/>
        <v>9</v>
      </c>
      <c r="W1319" s="7">
        <f t="shared" si="202"/>
        <v>2025</v>
      </c>
    </row>
    <row r="1320" spans="2:23" ht="31.95" customHeight="1" thickBot="1" x14ac:dyDescent="0.35">
      <c r="B1320" s="26">
        <v>45919</v>
      </c>
      <c r="C1320" s="51">
        <f t="shared" si="205"/>
        <v>1316</v>
      </c>
      <c r="D1320" s="27" t="s">
        <v>773</v>
      </c>
      <c r="E1320" s="26" t="s">
        <v>1490</v>
      </c>
      <c r="F1320" s="26" t="s">
        <v>1580</v>
      </c>
      <c r="G1320" s="28" t="s">
        <v>11</v>
      </c>
      <c r="H1320" s="254">
        <v>1635.7</v>
      </c>
      <c r="I1320" s="49">
        <v>1</v>
      </c>
      <c r="J1320" s="49">
        <f t="shared" si="199"/>
        <v>1</v>
      </c>
      <c r="K1320" s="52">
        <f t="shared" si="196"/>
        <v>1</v>
      </c>
      <c r="L1320" s="209">
        <f t="shared" si="197"/>
        <v>0</v>
      </c>
      <c r="M1320" s="210">
        <f t="shared" si="198"/>
        <v>0</v>
      </c>
      <c r="N1320" s="26">
        <v>45919</v>
      </c>
      <c r="O1320" s="26">
        <v>45919</v>
      </c>
      <c r="P1320" s="26">
        <v>45929</v>
      </c>
      <c r="Q1320" s="2">
        <f t="shared" si="200"/>
        <v>1</v>
      </c>
      <c r="S1320" s="7">
        <f t="shared" si="203"/>
        <v>1</v>
      </c>
      <c r="T1320" s="157">
        <f t="shared" si="204"/>
        <v>0</v>
      </c>
      <c r="V1320" s="191">
        <f t="shared" si="201"/>
        <v>9</v>
      </c>
      <c r="W1320" s="7">
        <f t="shared" si="202"/>
        <v>2025</v>
      </c>
    </row>
    <row r="1321" spans="2:23" ht="31.95" customHeight="1" thickBot="1" x14ac:dyDescent="0.35">
      <c r="B1321" s="26">
        <v>45922</v>
      </c>
      <c r="C1321" s="51">
        <f t="shared" si="205"/>
        <v>1317</v>
      </c>
      <c r="D1321" s="27" t="s">
        <v>317</v>
      </c>
      <c r="E1321" s="26" t="s">
        <v>1479</v>
      </c>
      <c r="F1321" s="26" t="s">
        <v>1582</v>
      </c>
      <c r="G1321" s="28" t="s">
        <v>11</v>
      </c>
      <c r="H1321" s="254">
        <v>119.4</v>
      </c>
      <c r="I1321" s="49">
        <v>1</v>
      </c>
      <c r="J1321" s="49">
        <f t="shared" si="199"/>
        <v>1</v>
      </c>
      <c r="K1321" s="52">
        <f t="shared" si="196"/>
        <v>1</v>
      </c>
      <c r="L1321" s="209">
        <f t="shared" si="197"/>
        <v>0</v>
      </c>
      <c r="M1321" s="210">
        <f t="shared" si="198"/>
        <v>0</v>
      </c>
      <c r="N1321" s="26">
        <v>45922</v>
      </c>
      <c r="O1321" s="26">
        <v>45922</v>
      </c>
      <c r="P1321" s="26">
        <v>45922</v>
      </c>
      <c r="Q1321" s="2">
        <f t="shared" si="200"/>
        <v>1</v>
      </c>
      <c r="S1321" s="7">
        <f t="shared" si="203"/>
        <v>1</v>
      </c>
      <c r="T1321" s="157">
        <f t="shared" si="204"/>
        <v>1</v>
      </c>
      <c r="V1321" s="191">
        <f t="shared" si="201"/>
        <v>9</v>
      </c>
      <c r="W1321" s="7">
        <f t="shared" si="202"/>
        <v>2025</v>
      </c>
    </row>
    <row r="1322" spans="2:23" ht="31.95" customHeight="1" thickBot="1" x14ac:dyDescent="0.35">
      <c r="B1322" s="26">
        <v>45922</v>
      </c>
      <c r="C1322" s="51">
        <f t="shared" si="205"/>
        <v>1318</v>
      </c>
      <c r="D1322" s="27" t="s">
        <v>705</v>
      </c>
      <c r="E1322" s="26" t="s">
        <v>1479</v>
      </c>
      <c r="F1322" s="26" t="s">
        <v>1582</v>
      </c>
      <c r="G1322" s="28" t="s">
        <v>11</v>
      </c>
      <c r="H1322" s="254">
        <v>505</v>
      </c>
      <c r="I1322" s="49">
        <v>3</v>
      </c>
      <c r="J1322" s="49">
        <f t="shared" si="199"/>
        <v>3</v>
      </c>
      <c r="K1322" s="52">
        <f t="shared" si="196"/>
        <v>1</v>
      </c>
      <c r="L1322" s="209">
        <f t="shared" si="197"/>
        <v>0</v>
      </c>
      <c r="M1322" s="210">
        <f t="shared" si="198"/>
        <v>0</v>
      </c>
      <c r="N1322" s="26">
        <v>45922</v>
      </c>
      <c r="O1322" s="26">
        <v>45922</v>
      </c>
      <c r="P1322" s="26">
        <v>45922</v>
      </c>
      <c r="Q1322" s="2">
        <f t="shared" si="200"/>
        <v>1</v>
      </c>
      <c r="S1322" s="7">
        <f t="shared" si="203"/>
        <v>1</v>
      </c>
      <c r="T1322" s="157">
        <f t="shared" si="204"/>
        <v>1</v>
      </c>
      <c r="V1322" s="191">
        <f t="shared" si="201"/>
        <v>9</v>
      </c>
      <c r="W1322" s="7">
        <f t="shared" si="202"/>
        <v>2025</v>
      </c>
    </row>
    <row r="1323" spans="2:23" ht="31.95" customHeight="1" thickBot="1" x14ac:dyDescent="0.35">
      <c r="B1323" s="26">
        <v>45922</v>
      </c>
      <c r="C1323" s="51">
        <f t="shared" si="205"/>
        <v>1319</v>
      </c>
      <c r="D1323" s="27" t="s">
        <v>959</v>
      </c>
      <c r="E1323" s="26" t="s">
        <v>1479</v>
      </c>
      <c r="F1323" s="28" t="s">
        <v>11</v>
      </c>
      <c r="G1323" s="28" t="s">
        <v>11</v>
      </c>
      <c r="H1323" s="254">
        <v>10500</v>
      </c>
      <c r="I1323" s="49">
        <v>1</v>
      </c>
      <c r="J1323" s="49">
        <f t="shared" si="199"/>
        <v>1</v>
      </c>
      <c r="K1323" s="52">
        <f t="shared" si="196"/>
        <v>1</v>
      </c>
      <c r="L1323" s="209">
        <f t="shared" si="197"/>
        <v>0</v>
      </c>
      <c r="M1323" s="210">
        <f t="shared" si="198"/>
        <v>0</v>
      </c>
      <c r="N1323" s="26">
        <v>45922</v>
      </c>
      <c r="O1323" s="26">
        <v>45922</v>
      </c>
      <c r="P1323" s="26">
        <v>45922</v>
      </c>
      <c r="Q1323" s="2">
        <f t="shared" si="200"/>
        <v>1</v>
      </c>
      <c r="S1323" s="7">
        <f t="shared" si="203"/>
        <v>1</v>
      </c>
      <c r="T1323" s="157">
        <f t="shared" si="204"/>
        <v>1</v>
      </c>
      <c r="V1323" s="191">
        <f t="shared" si="201"/>
        <v>9</v>
      </c>
      <c r="W1323" s="7">
        <f t="shared" si="202"/>
        <v>2025</v>
      </c>
    </row>
    <row r="1324" spans="2:23" ht="31.95" customHeight="1" thickBot="1" x14ac:dyDescent="0.35">
      <c r="B1324" s="26">
        <v>45929</v>
      </c>
      <c r="C1324" s="51">
        <f t="shared" si="205"/>
        <v>1320</v>
      </c>
      <c r="D1324" s="27" t="s">
        <v>705</v>
      </c>
      <c r="E1324" s="26" t="s">
        <v>1479</v>
      </c>
      <c r="F1324" s="26" t="s">
        <v>1583</v>
      </c>
      <c r="G1324" s="28" t="s">
        <v>11</v>
      </c>
      <c r="H1324" s="254">
        <v>4190.3999999999996</v>
      </c>
      <c r="I1324" s="49">
        <v>2</v>
      </c>
      <c r="J1324" s="49">
        <f t="shared" si="199"/>
        <v>2</v>
      </c>
      <c r="K1324" s="52">
        <f t="shared" si="196"/>
        <v>1</v>
      </c>
      <c r="L1324" s="209">
        <f t="shared" si="197"/>
        <v>0</v>
      </c>
      <c r="M1324" s="210">
        <f t="shared" si="198"/>
        <v>0</v>
      </c>
      <c r="N1324" s="26">
        <v>45929</v>
      </c>
      <c r="O1324" s="26">
        <v>45929</v>
      </c>
      <c r="P1324" s="26">
        <v>45929</v>
      </c>
      <c r="Q1324" s="2">
        <f t="shared" si="200"/>
        <v>1</v>
      </c>
      <c r="S1324" s="7">
        <f t="shared" si="203"/>
        <v>1</v>
      </c>
      <c r="T1324" s="157">
        <f t="shared" si="204"/>
        <v>1</v>
      </c>
      <c r="V1324" s="191">
        <f t="shared" si="201"/>
        <v>9</v>
      </c>
      <c r="W1324" s="7">
        <f t="shared" si="202"/>
        <v>2025</v>
      </c>
    </row>
    <row r="1325" spans="2:23" ht="31.95" customHeight="1" thickBot="1" x14ac:dyDescent="0.35">
      <c r="B1325" s="26">
        <v>45929</v>
      </c>
      <c r="C1325" s="51">
        <f t="shared" si="205"/>
        <v>1321</v>
      </c>
      <c r="D1325" s="27" t="s">
        <v>317</v>
      </c>
      <c r="E1325" s="26" t="s">
        <v>1479</v>
      </c>
      <c r="F1325" s="26" t="s">
        <v>1584</v>
      </c>
      <c r="G1325" s="28" t="s">
        <v>11</v>
      </c>
      <c r="H1325" s="254">
        <v>26</v>
      </c>
      <c r="I1325" s="49">
        <v>1</v>
      </c>
      <c r="J1325" s="49">
        <f t="shared" si="199"/>
        <v>1</v>
      </c>
      <c r="K1325" s="52">
        <f t="shared" ref="K1325:K1388" si="206">IFERROR(J1325/I1325,"")</f>
        <v>1</v>
      </c>
      <c r="L1325" s="209">
        <f t="shared" ref="L1325:L1388" si="207">IF(I1325="","",I1325-J1325)</f>
        <v>0</v>
      </c>
      <c r="M1325" s="210">
        <f t="shared" ref="M1325:M1388" si="208">IFERROR(1-K1325,"")</f>
        <v>0</v>
      </c>
      <c r="N1325" s="26">
        <v>45929</v>
      </c>
      <c r="O1325" s="26">
        <v>45929</v>
      </c>
      <c r="P1325" s="26">
        <v>45929</v>
      </c>
      <c r="Q1325" s="2">
        <f t="shared" si="200"/>
        <v>1</v>
      </c>
      <c r="S1325" s="7">
        <f t="shared" si="203"/>
        <v>1</v>
      </c>
      <c r="T1325" s="157">
        <f t="shared" si="204"/>
        <v>1</v>
      </c>
      <c r="V1325" s="191">
        <f t="shared" si="201"/>
        <v>9</v>
      </c>
      <c r="W1325" s="7">
        <f t="shared" si="202"/>
        <v>2025</v>
      </c>
    </row>
    <row r="1326" spans="2:23" ht="31.95" customHeight="1" thickBot="1" x14ac:dyDescent="0.35">
      <c r="B1326" s="26">
        <v>45929</v>
      </c>
      <c r="C1326" s="51">
        <f t="shared" si="205"/>
        <v>1322</v>
      </c>
      <c r="D1326" s="27" t="s">
        <v>269</v>
      </c>
      <c r="E1326" s="26" t="s">
        <v>1479</v>
      </c>
      <c r="F1326" s="26" t="s">
        <v>1583</v>
      </c>
      <c r="G1326" s="28" t="s">
        <v>11</v>
      </c>
      <c r="H1326" s="254">
        <v>807.6</v>
      </c>
      <c r="I1326" s="49">
        <v>1</v>
      </c>
      <c r="J1326" s="49">
        <f t="shared" si="199"/>
        <v>1</v>
      </c>
      <c r="K1326" s="52">
        <f t="shared" si="206"/>
        <v>1</v>
      </c>
      <c r="L1326" s="209">
        <f t="shared" si="207"/>
        <v>0</v>
      </c>
      <c r="M1326" s="210">
        <f t="shared" si="208"/>
        <v>0</v>
      </c>
      <c r="N1326" s="26">
        <v>45929</v>
      </c>
      <c r="O1326" s="26">
        <v>45929</v>
      </c>
      <c r="P1326" s="26">
        <v>45929</v>
      </c>
      <c r="Q1326" s="2">
        <f t="shared" si="200"/>
        <v>1</v>
      </c>
      <c r="S1326" s="7">
        <f t="shared" si="203"/>
        <v>1</v>
      </c>
      <c r="T1326" s="157">
        <f t="shared" si="204"/>
        <v>1</v>
      </c>
      <c r="V1326" s="191">
        <f t="shared" si="201"/>
        <v>9</v>
      </c>
      <c r="W1326" s="7">
        <f t="shared" si="202"/>
        <v>2025</v>
      </c>
    </row>
    <row r="1327" spans="2:23" ht="31.95" customHeight="1" thickBot="1" x14ac:dyDescent="0.35">
      <c r="B1327" s="26">
        <v>45929</v>
      </c>
      <c r="C1327" s="51">
        <f t="shared" si="205"/>
        <v>1323</v>
      </c>
      <c r="D1327" s="27" t="s">
        <v>1150</v>
      </c>
      <c r="E1327" s="26" t="s">
        <v>1585</v>
      </c>
      <c r="F1327" s="26" t="s">
        <v>1586</v>
      </c>
      <c r="G1327" s="28" t="s">
        <v>11</v>
      </c>
      <c r="H1327" s="254">
        <v>40079.120000000003</v>
      </c>
      <c r="I1327" s="49">
        <v>3</v>
      </c>
      <c r="J1327" s="49">
        <f t="shared" si="199"/>
        <v>3</v>
      </c>
      <c r="K1327" s="52">
        <f t="shared" si="206"/>
        <v>1</v>
      </c>
      <c r="L1327" s="209">
        <f t="shared" si="207"/>
        <v>0</v>
      </c>
      <c r="M1327" s="210">
        <f t="shared" si="208"/>
        <v>0</v>
      </c>
      <c r="N1327" s="26">
        <v>45930</v>
      </c>
      <c r="O1327" s="26">
        <v>45930</v>
      </c>
      <c r="P1327" s="26">
        <v>45930</v>
      </c>
      <c r="Q1327" s="2">
        <f t="shared" si="200"/>
        <v>1</v>
      </c>
      <c r="S1327" s="7">
        <f t="shared" si="203"/>
        <v>1</v>
      </c>
      <c r="T1327" s="157">
        <f t="shared" si="204"/>
        <v>1</v>
      </c>
      <c r="V1327" s="191">
        <f t="shared" si="201"/>
        <v>9</v>
      </c>
      <c r="W1327" s="7">
        <f t="shared" si="202"/>
        <v>2025</v>
      </c>
    </row>
    <row r="1328" spans="2:23" ht="31.95" customHeight="1" thickBot="1" x14ac:dyDescent="0.35">
      <c r="B1328" s="26">
        <v>45931</v>
      </c>
      <c r="C1328" s="51">
        <f t="shared" si="205"/>
        <v>1324</v>
      </c>
      <c r="D1328" s="27" t="s">
        <v>978</v>
      </c>
      <c r="E1328" s="26" t="s">
        <v>1490</v>
      </c>
      <c r="F1328" s="26" t="s">
        <v>1584</v>
      </c>
      <c r="G1328" s="28" t="s">
        <v>11</v>
      </c>
      <c r="H1328" s="254">
        <v>1800</v>
      </c>
      <c r="I1328" s="49">
        <v>1</v>
      </c>
      <c r="J1328" s="49">
        <f t="shared" si="199"/>
        <v>1</v>
      </c>
      <c r="K1328" s="52">
        <f t="shared" si="206"/>
        <v>1</v>
      </c>
      <c r="L1328" s="209">
        <f t="shared" si="207"/>
        <v>0</v>
      </c>
      <c r="M1328" s="210">
        <f t="shared" si="208"/>
        <v>0</v>
      </c>
      <c r="N1328" s="26">
        <v>45906</v>
      </c>
      <c r="O1328" s="26">
        <v>45906</v>
      </c>
      <c r="P1328" s="26">
        <v>45906</v>
      </c>
      <c r="Q1328" s="2">
        <f t="shared" si="200"/>
        <v>1</v>
      </c>
      <c r="S1328" s="7">
        <f t="shared" si="203"/>
        <v>1</v>
      </c>
      <c r="T1328" s="157">
        <f t="shared" si="204"/>
        <v>1</v>
      </c>
      <c r="V1328" s="191">
        <f t="shared" si="201"/>
        <v>10</v>
      </c>
      <c r="W1328" s="7">
        <f t="shared" si="202"/>
        <v>2025</v>
      </c>
    </row>
    <row r="1329" spans="2:23" ht="31.95" customHeight="1" thickBot="1" x14ac:dyDescent="0.35">
      <c r="B1329" s="26">
        <v>45936</v>
      </c>
      <c r="C1329" s="51">
        <f t="shared" si="205"/>
        <v>1325</v>
      </c>
      <c r="D1329" s="27" t="s">
        <v>705</v>
      </c>
      <c r="E1329" s="28" t="s">
        <v>11</v>
      </c>
      <c r="F1329" s="26" t="s">
        <v>1592</v>
      </c>
      <c r="G1329" s="28" t="s">
        <v>1596</v>
      </c>
      <c r="H1329" s="254">
        <v>273.60000000000002</v>
      </c>
      <c r="I1329" s="49">
        <v>1</v>
      </c>
      <c r="J1329" s="49">
        <v>1</v>
      </c>
      <c r="K1329" s="52">
        <f t="shared" si="206"/>
        <v>1</v>
      </c>
      <c r="L1329" s="209">
        <f t="shared" si="207"/>
        <v>0</v>
      </c>
      <c r="M1329" s="210">
        <f t="shared" si="208"/>
        <v>0</v>
      </c>
      <c r="N1329" s="26">
        <v>45936</v>
      </c>
      <c r="O1329" s="26">
        <v>45936</v>
      </c>
      <c r="P1329" s="26">
        <v>45936</v>
      </c>
      <c r="Q1329" s="2">
        <f t="shared" si="200"/>
        <v>1</v>
      </c>
      <c r="S1329" s="7">
        <f t="shared" si="203"/>
        <v>1</v>
      </c>
      <c r="T1329" s="157">
        <f t="shared" si="204"/>
        <v>1</v>
      </c>
      <c r="V1329" s="191">
        <f t="shared" si="201"/>
        <v>10</v>
      </c>
      <c r="W1329" s="7">
        <f t="shared" si="202"/>
        <v>2025</v>
      </c>
    </row>
    <row r="1330" spans="2:23" ht="31.95" customHeight="1" thickBot="1" x14ac:dyDescent="0.35">
      <c r="B1330" s="26">
        <v>45936</v>
      </c>
      <c r="C1330" s="51">
        <f t="shared" si="205"/>
        <v>1326</v>
      </c>
      <c r="D1330" s="27" t="s">
        <v>705</v>
      </c>
      <c r="E1330" s="28" t="s">
        <v>11</v>
      </c>
      <c r="F1330" s="26" t="s">
        <v>1593</v>
      </c>
      <c r="G1330" s="28" t="s">
        <v>1596</v>
      </c>
      <c r="H1330" s="254">
        <v>171.5</v>
      </c>
      <c r="I1330" s="49">
        <v>2</v>
      </c>
      <c r="J1330" s="49">
        <v>2</v>
      </c>
      <c r="K1330" s="52">
        <f t="shared" si="206"/>
        <v>1</v>
      </c>
      <c r="L1330" s="209">
        <f t="shared" si="207"/>
        <v>0</v>
      </c>
      <c r="M1330" s="210">
        <f t="shared" si="208"/>
        <v>0</v>
      </c>
      <c r="N1330" s="26">
        <v>45936</v>
      </c>
      <c r="O1330" s="26">
        <v>45936</v>
      </c>
      <c r="P1330" s="26">
        <v>45936</v>
      </c>
      <c r="Q1330" s="2">
        <f t="shared" si="200"/>
        <v>1</v>
      </c>
      <c r="S1330" s="7">
        <f t="shared" si="203"/>
        <v>1</v>
      </c>
      <c r="T1330" s="157">
        <f t="shared" si="204"/>
        <v>1</v>
      </c>
      <c r="V1330" s="191">
        <f t="shared" si="201"/>
        <v>10</v>
      </c>
      <c r="W1330" s="7">
        <f t="shared" si="202"/>
        <v>2025</v>
      </c>
    </row>
    <row r="1331" spans="2:23" ht="31.95" customHeight="1" thickBot="1" x14ac:dyDescent="0.35">
      <c r="B1331" s="26">
        <v>45936</v>
      </c>
      <c r="C1331" s="51">
        <f t="shared" si="205"/>
        <v>1327</v>
      </c>
      <c r="D1331" s="27" t="s">
        <v>705</v>
      </c>
      <c r="E1331" s="28" t="s">
        <v>11</v>
      </c>
      <c r="F1331" s="26" t="s">
        <v>1594</v>
      </c>
      <c r="G1331" s="28" t="s">
        <v>1596</v>
      </c>
      <c r="H1331" s="254">
        <v>228</v>
      </c>
      <c r="I1331" s="49">
        <v>2</v>
      </c>
      <c r="J1331" s="49">
        <v>2</v>
      </c>
      <c r="K1331" s="52">
        <f t="shared" si="206"/>
        <v>1</v>
      </c>
      <c r="L1331" s="209">
        <f t="shared" si="207"/>
        <v>0</v>
      </c>
      <c r="M1331" s="210">
        <f t="shared" si="208"/>
        <v>0</v>
      </c>
      <c r="N1331" s="26">
        <v>45936</v>
      </c>
      <c r="O1331" s="26">
        <v>45936</v>
      </c>
      <c r="P1331" s="26">
        <v>45936</v>
      </c>
      <c r="Q1331" s="2">
        <f t="shared" si="200"/>
        <v>1</v>
      </c>
      <c r="S1331" s="7">
        <f t="shared" si="203"/>
        <v>1</v>
      </c>
      <c r="T1331" s="157">
        <f t="shared" si="204"/>
        <v>1</v>
      </c>
      <c r="V1331" s="191">
        <f t="shared" si="201"/>
        <v>10</v>
      </c>
      <c r="W1331" s="7">
        <f t="shared" si="202"/>
        <v>2025</v>
      </c>
    </row>
    <row r="1332" spans="2:23" ht="31.95" customHeight="1" thickBot="1" x14ac:dyDescent="0.35">
      <c r="B1332" s="26">
        <v>45939</v>
      </c>
      <c r="C1332" s="51">
        <f t="shared" si="205"/>
        <v>1328</v>
      </c>
      <c r="D1332" s="27" t="s">
        <v>317</v>
      </c>
      <c r="E1332" s="28" t="s">
        <v>11</v>
      </c>
      <c r="F1332" s="26" t="s">
        <v>1597</v>
      </c>
      <c r="G1332" s="28" t="s">
        <v>1596</v>
      </c>
      <c r="H1332" s="254">
        <v>155</v>
      </c>
      <c r="I1332" s="49">
        <v>1</v>
      </c>
      <c r="J1332" s="49">
        <f>I1332</f>
        <v>1</v>
      </c>
      <c r="K1332" s="52">
        <f t="shared" si="206"/>
        <v>1</v>
      </c>
      <c r="L1332" s="209">
        <f t="shared" si="207"/>
        <v>0</v>
      </c>
      <c r="M1332" s="210">
        <f t="shared" si="208"/>
        <v>0</v>
      </c>
      <c r="N1332" s="26">
        <v>45939</v>
      </c>
      <c r="O1332" s="26">
        <v>45939</v>
      </c>
      <c r="P1332" s="26">
        <v>45939</v>
      </c>
      <c r="Q1332" s="2">
        <f t="shared" si="200"/>
        <v>1</v>
      </c>
      <c r="S1332" s="7">
        <f t="shared" si="203"/>
        <v>1</v>
      </c>
      <c r="T1332" s="157">
        <f t="shared" si="204"/>
        <v>1</v>
      </c>
      <c r="V1332" s="191">
        <f t="shared" si="201"/>
        <v>10</v>
      </c>
      <c r="W1332" s="7">
        <f t="shared" si="202"/>
        <v>2025</v>
      </c>
    </row>
    <row r="1333" spans="2:23" ht="31.95" customHeight="1" thickBot="1" x14ac:dyDescent="0.35">
      <c r="B1333" s="26">
        <v>45939</v>
      </c>
      <c r="C1333" s="51">
        <f t="shared" si="205"/>
        <v>1329</v>
      </c>
      <c r="D1333" s="27" t="s">
        <v>305</v>
      </c>
      <c r="E1333" s="28" t="s">
        <v>11</v>
      </c>
      <c r="F1333" s="26" t="s">
        <v>1597</v>
      </c>
      <c r="G1333" s="28" t="s">
        <v>1596</v>
      </c>
      <c r="H1333" s="254">
        <v>318</v>
      </c>
      <c r="I1333" s="49">
        <v>1</v>
      </c>
      <c r="J1333" s="49">
        <f>I1333</f>
        <v>1</v>
      </c>
      <c r="K1333" s="52">
        <f t="shared" si="206"/>
        <v>1</v>
      </c>
      <c r="L1333" s="209">
        <f t="shared" si="207"/>
        <v>0</v>
      </c>
      <c r="M1333" s="210">
        <f t="shared" si="208"/>
        <v>0</v>
      </c>
      <c r="N1333" s="26">
        <v>45939</v>
      </c>
      <c r="O1333" s="26">
        <v>45939</v>
      </c>
      <c r="P1333" s="26">
        <v>45939</v>
      </c>
      <c r="Q1333" s="2">
        <f t="shared" si="200"/>
        <v>1</v>
      </c>
      <c r="S1333" s="7">
        <f>IF(AND(O1334&lt;=N1334,O1334&lt;&gt;""),1,0)</f>
        <v>1</v>
      </c>
      <c r="T1333" s="157">
        <f>IF(AND(P1334&lt;=N1334,P1334&lt;&gt;""),1,0)</f>
        <v>1</v>
      </c>
      <c r="V1333" s="191">
        <f t="shared" si="201"/>
        <v>10</v>
      </c>
      <c r="W1333" s="7">
        <f t="shared" si="202"/>
        <v>2025</v>
      </c>
    </row>
    <row r="1334" spans="2:23" ht="31.95" customHeight="1" thickBot="1" x14ac:dyDescent="0.35">
      <c r="B1334" s="26">
        <v>45939</v>
      </c>
      <c r="C1334" s="51">
        <f t="shared" si="205"/>
        <v>1330</v>
      </c>
      <c r="D1334" s="27" t="s">
        <v>705</v>
      </c>
      <c r="E1334" s="28" t="s">
        <v>11</v>
      </c>
      <c r="F1334" s="26" t="s">
        <v>1597</v>
      </c>
      <c r="G1334" s="28" t="s">
        <v>1596</v>
      </c>
      <c r="H1334" s="254">
        <v>100.8</v>
      </c>
      <c r="I1334" s="49">
        <v>1</v>
      </c>
      <c r="J1334" s="49">
        <f t="shared" ref="J1334:J1364" si="209">I1334</f>
        <v>1</v>
      </c>
      <c r="K1334" s="52">
        <f t="shared" si="206"/>
        <v>1</v>
      </c>
      <c r="L1334" s="209">
        <f t="shared" si="207"/>
        <v>0</v>
      </c>
      <c r="M1334" s="210">
        <f t="shared" si="208"/>
        <v>0</v>
      </c>
      <c r="N1334" s="26">
        <v>45939</v>
      </c>
      <c r="O1334" s="26">
        <v>45939</v>
      </c>
      <c r="P1334" s="26">
        <v>45939</v>
      </c>
      <c r="Q1334" s="2">
        <f t="shared" si="200"/>
        <v>1</v>
      </c>
      <c r="S1334" s="7" t="e">
        <f>IF(AND(#REF!&lt;=#REF!,#REF!&lt;&gt;""),1,0)</f>
        <v>#REF!</v>
      </c>
      <c r="T1334" s="157" t="e">
        <f>IF(AND(#REF!&lt;=#REF!,#REF!&lt;&gt;""),1,0)</f>
        <v>#REF!</v>
      </c>
      <c r="V1334" s="191">
        <f t="shared" si="201"/>
        <v>10</v>
      </c>
      <c r="W1334" s="7">
        <f t="shared" si="202"/>
        <v>2025</v>
      </c>
    </row>
    <row r="1335" spans="2:23" ht="31.95" customHeight="1" thickBot="1" x14ac:dyDescent="0.35">
      <c r="B1335" s="26">
        <v>45950</v>
      </c>
      <c r="C1335" s="51">
        <f t="shared" si="205"/>
        <v>1331</v>
      </c>
      <c r="D1335" s="27" t="s">
        <v>652</v>
      </c>
      <c r="E1335" s="26" t="s">
        <v>1600</v>
      </c>
      <c r="F1335" s="28" t="s">
        <v>11</v>
      </c>
      <c r="G1335" s="28" t="s">
        <v>11</v>
      </c>
      <c r="H1335" s="254"/>
      <c r="I1335" s="49">
        <v>1</v>
      </c>
      <c r="J1335" s="49">
        <f t="shared" si="209"/>
        <v>1</v>
      </c>
      <c r="K1335" s="52">
        <f t="shared" si="206"/>
        <v>1</v>
      </c>
      <c r="L1335" s="209">
        <f t="shared" si="207"/>
        <v>0</v>
      </c>
      <c r="M1335" s="210">
        <f t="shared" si="208"/>
        <v>0</v>
      </c>
      <c r="N1335" s="26">
        <v>45951</v>
      </c>
      <c r="O1335" s="26">
        <v>45951</v>
      </c>
      <c r="P1335" s="26">
        <v>45951</v>
      </c>
      <c r="Q1335" s="2">
        <f t="shared" si="200"/>
        <v>1</v>
      </c>
      <c r="S1335" s="7">
        <f t="shared" si="203"/>
        <v>1</v>
      </c>
      <c r="T1335" s="157">
        <f t="shared" si="204"/>
        <v>1</v>
      </c>
      <c r="V1335" s="191">
        <f t="shared" si="201"/>
        <v>10</v>
      </c>
      <c r="W1335" s="7">
        <f t="shared" si="202"/>
        <v>2025</v>
      </c>
    </row>
    <row r="1336" spans="2:23" ht="31.95" customHeight="1" thickBot="1" x14ac:dyDescent="0.35">
      <c r="B1336" s="26">
        <v>45950</v>
      </c>
      <c r="C1336" s="51">
        <f t="shared" si="205"/>
        <v>1332</v>
      </c>
      <c r="D1336" s="27" t="s">
        <v>305</v>
      </c>
      <c r="E1336" s="28" t="s">
        <v>11</v>
      </c>
      <c r="F1336" s="26" t="s">
        <v>1603</v>
      </c>
      <c r="G1336" s="28" t="s">
        <v>1596</v>
      </c>
      <c r="H1336" s="254">
        <v>117</v>
      </c>
      <c r="I1336" s="49">
        <v>2</v>
      </c>
      <c r="J1336" s="49">
        <f t="shared" si="209"/>
        <v>2</v>
      </c>
      <c r="K1336" s="52">
        <f t="shared" si="206"/>
        <v>1</v>
      </c>
      <c r="L1336" s="209">
        <f t="shared" si="207"/>
        <v>0</v>
      </c>
      <c r="M1336" s="210">
        <f t="shared" si="208"/>
        <v>0</v>
      </c>
      <c r="N1336" s="26">
        <v>45951</v>
      </c>
      <c r="O1336" s="26">
        <v>45951</v>
      </c>
      <c r="P1336" s="26">
        <v>45951</v>
      </c>
      <c r="Q1336" s="2">
        <f t="shared" si="200"/>
        <v>1</v>
      </c>
      <c r="S1336" s="7">
        <f t="shared" si="203"/>
        <v>1</v>
      </c>
      <c r="T1336" s="157">
        <f t="shared" si="204"/>
        <v>1</v>
      </c>
      <c r="V1336" s="191">
        <f t="shared" si="201"/>
        <v>10</v>
      </c>
      <c r="W1336" s="7">
        <f t="shared" si="202"/>
        <v>2025</v>
      </c>
    </row>
    <row r="1337" spans="2:23" ht="31.95" customHeight="1" thickBot="1" x14ac:dyDescent="0.35">
      <c r="B1337" s="26">
        <v>45950</v>
      </c>
      <c r="C1337" s="51">
        <f t="shared" si="205"/>
        <v>1333</v>
      </c>
      <c r="D1337" s="27" t="s">
        <v>705</v>
      </c>
      <c r="E1337" s="28" t="s">
        <v>11</v>
      </c>
      <c r="F1337" s="26" t="s">
        <v>1604</v>
      </c>
      <c r="G1337" s="28" t="s">
        <v>1596</v>
      </c>
      <c r="H1337" s="254">
        <v>86</v>
      </c>
      <c r="I1337" s="49">
        <v>1</v>
      </c>
      <c r="J1337" s="49">
        <f t="shared" si="209"/>
        <v>1</v>
      </c>
      <c r="K1337" s="52">
        <f t="shared" si="206"/>
        <v>1</v>
      </c>
      <c r="L1337" s="209">
        <f t="shared" si="207"/>
        <v>0</v>
      </c>
      <c r="M1337" s="210">
        <f t="shared" si="208"/>
        <v>0</v>
      </c>
      <c r="N1337" s="26">
        <v>45951</v>
      </c>
      <c r="O1337" s="26">
        <v>45951</v>
      </c>
      <c r="P1337" s="26">
        <v>45951</v>
      </c>
      <c r="Q1337" s="2">
        <f t="shared" si="200"/>
        <v>1</v>
      </c>
      <c r="S1337" s="7">
        <f t="shared" si="203"/>
        <v>1</v>
      </c>
      <c r="T1337" s="157">
        <f t="shared" si="204"/>
        <v>1</v>
      </c>
      <c r="V1337" s="191">
        <f t="shared" si="201"/>
        <v>10</v>
      </c>
      <c r="W1337" s="7">
        <f t="shared" si="202"/>
        <v>2025</v>
      </c>
    </row>
    <row r="1338" spans="2:23" ht="31.95" customHeight="1" thickBot="1" x14ac:dyDescent="0.35">
      <c r="B1338" s="26">
        <v>45950</v>
      </c>
      <c r="C1338" s="51">
        <f t="shared" si="205"/>
        <v>1334</v>
      </c>
      <c r="D1338" s="27" t="s">
        <v>305</v>
      </c>
      <c r="E1338" s="28" t="s">
        <v>11</v>
      </c>
      <c r="F1338" s="26" t="s">
        <v>1605</v>
      </c>
      <c r="G1338" s="26" t="s">
        <v>1606</v>
      </c>
      <c r="H1338" s="254">
        <v>462</v>
      </c>
      <c r="I1338" s="49">
        <v>2</v>
      </c>
      <c r="J1338" s="49">
        <f t="shared" si="209"/>
        <v>2</v>
      </c>
      <c r="K1338" s="52">
        <f t="shared" si="206"/>
        <v>1</v>
      </c>
      <c r="L1338" s="209">
        <f t="shared" si="207"/>
        <v>0</v>
      </c>
      <c r="M1338" s="210">
        <f t="shared" si="208"/>
        <v>0</v>
      </c>
      <c r="N1338" s="26">
        <v>45951</v>
      </c>
      <c r="O1338" s="26">
        <v>45951</v>
      </c>
      <c r="P1338" s="26">
        <v>45951</v>
      </c>
      <c r="Q1338" s="2">
        <f t="shared" si="200"/>
        <v>1</v>
      </c>
      <c r="S1338" s="7">
        <f t="shared" si="203"/>
        <v>1</v>
      </c>
      <c r="T1338" s="157">
        <f t="shared" si="204"/>
        <v>1</v>
      </c>
      <c r="V1338" s="191">
        <f t="shared" si="201"/>
        <v>10</v>
      </c>
      <c r="W1338" s="7">
        <f t="shared" si="202"/>
        <v>2025</v>
      </c>
    </row>
    <row r="1339" spans="2:23" ht="31.95" customHeight="1" thickBot="1" x14ac:dyDescent="0.35">
      <c r="B1339" s="26">
        <v>45953</v>
      </c>
      <c r="C1339" s="51">
        <f t="shared" si="205"/>
        <v>1335</v>
      </c>
      <c r="D1339" s="27" t="s">
        <v>382</v>
      </c>
      <c r="E1339" s="28" t="s">
        <v>11</v>
      </c>
      <c r="F1339" s="26" t="s">
        <v>1609</v>
      </c>
      <c r="G1339" s="26" t="s">
        <v>1606</v>
      </c>
      <c r="H1339" s="254">
        <v>1446.66</v>
      </c>
      <c r="I1339" s="49">
        <v>2</v>
      </c>
      <c r="J1339" s="49">
        <f t="shared" si="209"/>
        <v>2</v>
      </c>
      <c r="K1339" s="52">
        <f t="shared" si="206"/>
        <v>1</v>
      </c>
      <c r="L1339" s="209">
        <f t="shared" si="207"/>
        <v>0</v>
      </c>
      <c r="M1339" s="210">
        <f t="shared" si="208"/>
        <v>0</v>
      </c>
      <c r="N1339" s="26">
        <v>45954</v>
      </c>
      <c r="O1339" s="26">
        <v>45954</v>
      </c>
      <c r="P1339" s="26">
        <v>45954</v>
      </c>
      <c r="Q1339" s="2">
        <f t="shared" si="200"/>
        <v>1</v>
      </c>
      <c r="S1339" s="7">
        <f t="shared" si="203"/>
        <v>1</v>
      </c>
      <c r="T1339" s="157">
        <f t="shared" si="204"/>
        <v>1</v>
      </c>
      <c r="V1339" s="191">
        <f t="shared" si="201"/>
        <v>10</v>
      </c>
      <c r="W1339" s="7">
        <f t="shared" si="202"/>
        <v>2025</v>
      </c>
    </row>
    <row r="1340" spans="2:23" ht="31.95" customHeight="1" thickBot="1" x14ac:dyDescent="0.35">
      <c r="B1340" s="26">
        <v>45960</v>
      </c>
      <c r="C1340" s="51">
        <f t="shared" si="205"/>
        <v>1336</v>
      </c>
      <c r="D1340" s="27" t="s">
        <v>1533</v>
      </c>
      <c r="E1340" s="26" t="s">
        <v>1613</v>
      </c>
      <c r="F1340" s="26" t="s">
        <v>1618</v>
      </c>
      <c r="G1340" s="28" t="s">
        <v>11</v>
      </c>
      <c r="H1340" s="254">
        <v>220</v>
      </c>
      <c r="I1340" s="49">
        <v>3</v>
      </c>
      <c r="J1340" s="49">
        <f t="shared" si="209"/>
        <v>3</v>
      </c>
      <c r="K1340" s="52">
        <f t="shared" si="206"/>
        <v>1</v>
      </c>
      <c r="L1340" s="209">
        <f t="shared" si="207"/>
        <v>0</v>
      </c>
      <c r="M1340" s="210">
        <f t="shared" si="208"/>
        <v>0</v>
      </c>
      <c r="N1340" s="26">
        <v>45964</v>
      </c>
      <c r="O1340" s="26">
        <v>45964</v>
      </c>
      <c r="P1340" s="26">
        <v>45964</v>
      </c>
      <c r="Q1340" s="2">
        <f t="shared" si="200"/>
        <v>1</v>
      </c>
      <c r="S1340" s="7">
        <f t="shared" si="203"/>
        <v>1</v>
      </c>
      <c r="T1340" s="157">
        <f t="shared" si="204"/>
        <v>1</v>
      </c>
      <c r="V1340" s="191">
        <f t="shared" si="201"/>
        <v>10</v>
      </c>
      <c r="W1340" s="7">
        <f t="shared" si="202"/>
        <v>2025</v>
      </c>
    </row>
    <row r="1341" spans="2:23" ht="31.95" customHeight="1" thickBot="1" x14ac:dyDescent="0.35">
      <c r="B1341" s="26">
        <v>45960</v>
      </c>
      <c r="C1341" s="51">
        <f t="shared" si="205"/>
        <v>1337</v>
      </c>
      <c r="D1341" s="27" t="s">
        <v>305</v>
      </c>
      <c r="E1341" s="28" t="s">
        <v>11</v>
      </c>
      <c r="F1341" s="26" t="s">
        <v>1620</v>
      </c>
      <c r="G1341" s="26" t="s">
        <v>1596</v>
      </c>
      <c r="H1341" s="254">
        <v>538.5</v>
      </c>
      <c r="I1341" s="49">
        <v>5</v>
      </c>
      <c r="J1341" s="49">
        <f t="shared" si="209"/>
        <v>5</v>
      </c>
      <c r="K1341" s="52">
        <f t="shared" si="206"/>
        <v>1</v>
      </c>
      <c r="L1341" s="209">
        <f t="shared" si="207"/>
        <v>0</v>
      </c>
      <c r="M1341" s="210">
        <f t="shared" si="208"/>
        <v>0</v>
      </c>
      <c r="N1341" s="26">
        <v>45961</v>
      </c>
      <c r="O1341" s="26">
        <v>45961</v>
      </c>
      <c r="P1341" s="26">
        <v>45961</v>
      </c>
      <c r="Q1341" s="2">
        <f t="shared" si="200"/>
        <v>1</v>
      </c>
      <c r="S1341" s="7">
        <f t="shared" si="203"/>
        <v>1</v>
      </c>
      <c r="T1341" s="157">
        <f t="shared" si="204"/>
        <v>1</v>
      </c>
      <c r="V1341" s="191">
        <f t="shared" si="201"/>
        <v>10</v>
      </c>
      <c r="W1341" s="7">
        <f t="shared" si="202"/>
        <v>2025</v>
      </c>
    </row>
    <row r="1342" spans="2:23" ht="31.95" customHeight="1" thickBot="1" x14ac:dyDescent="0.35">
      <c r="B1342" s="26">
        <v>45960</v>
      </c>
      <c r="C1342" s="51">
        <f t="shared" si="205"/>
        <v>1338</v>
      </c>
      <c r="D1342" s="27" t="s">
        <v>705</v>
      </c>
      <c r="E1342" s="28" t="s">
        <v>11</v>
      </c>
      <c r="F1342" s="26" t="s">
        <v>1620</v>
      </c>
      <c r="G1342" s="26" t="s">
        <v>1596</v>
      </c>
      <c r="H1342" s="254">
        <v>218.1</v>
      </c>
      <c r="I1342" s="49">
        <v>1</v>
      </c>
      <c r="J1342" s="49">
        <f t="shared" si="209"/>
        <v>1</v>
      </c>
      <c r="K1342" s="52">
        <f t="shared" si="206"/>
        <v>1</v>
      </c>
      <c r="L1342" s="209">
        <f t="shared" si="207"/>
        <v>0</v>
      </c>
      <c r="M1342" s="210">
        <f t="shared" si="208"/>
        <v>0</v>
      </c>
      <c r="N1342" s="26">
        <v>45961</v>
      </c>
      <c r="O1342" s="26">
        <v>45961</v>
      </c>
      <c r="P1342" s="26">
        <v>45961</v>
      </c>
      <c r="Q1342" s="2">
        <f t="shared" si="200"/>
        <v>1</v>
      </c>
      <c r="S1342" s="7">
        <f t="shared" si="203"/>
        <v>1</v>
      </c>
      <c r="T1342" s="157">
        <f t="shared" si="204"/>
        <v>1</v>
      </c>
      <c r="V1342" s="191">
        <f t="shared" si="201"/>
        <v>10</v>
      </c>
      <c r="W1342" s="7">
        <f t="shared" si="202"/>
        <v>2025</v>
      </c>
    </row>
    <row r="1343" spans="2:23" ht="31.95" customHeight="1" thickBot="1" x14ac:dyDescent="0.35">
      <c r="B1343" s="26">
        <v>45960</v>
      </c>
      <c r="C1343" s="51">
        <f t="shared" si="205"/>
        <v>1339</v>
      </c>
      <c r="D1343" s="27" t="s">
        <v>321</v>
      </c>
      <c r="E1343" s="26" t="s">
        <v>1614</v>
      </c>
      <c r="F1343" s="26" t="s">
        <v>1621</v>
      </c>
      <c r="G1343" s="28" t="s">
        <v>11</v>
      </c>
      <c r="H1343" s="254">
        <f>285+69</f>
        <v>354</v>
      </c>
      <c r="I1343" s="49">
        <v>2</v>
      </c>
      <c r="J1343" s="49">
        <f t="shared" si="209"/>
        <v>2</v>
      </c>
      <c r="K1343" s="52">
        <f t="shared" si="206"/>
        <v>1</v>
      </c>
      <c r="L1343" s="209">
        <f t="shared" si="207"/>
        <v>0</v>
      </c>
      <c r="M1343" s="210">
        <f t="shared" si="208"/>
        <v>0</v>
      </c>
      <c r="N1343" s="26">
        <v>45961</v>
      </c>
      <c r="O1343" s="26">
        <v>45961</v>
      </c>
      <c r="P1343" s="26">
        <v>45961</v>
      </c>
      <c r="Q1343" s="2">
        <f t="shared" si="200"/>
        <v>1</v>
      </c>
      <c r="S1343" s="7">
        <f t="shared" si="203"/>
        <v>1</v>
      </c>
      <c r="T1343" s="157">
        <f t="shared" si="204"/>
        <v>1</v>
      </c>
      <c r="V1343" s="191">
        <f t="shared" si="201"/>
        <v>10</v>
      </c>
      <c r="W1343" s="7">
        <f t="shared" si="202"/>
        <v>2025</v>
      </c>
    </row>
    <row r="1344" spans="2:23" ht="31.95" customHeight="1" thickBot="1" x14ac:dyDescent="0.35">
      <c r="B1344" s="26">
        <v>45960</v>
      </c>
      <c r="C1344" s="51">
        <f t="shared" si="205"/>
        <v>1340</v>
      </c>
      <c r="D1344" s="27" t="s">
        <v>705</v>
      </c>
      <c r="E1344" s="28" t="s">
        <v>11</v>
      </c>
      <c r="F1344" s="26" t="s">
        <v>1622</v>
      </c>
      <c r="G1344" s="26" t="s">
        <v>1596</v>
      </c>
      <c r="H1344" s="254">
        <v>520</v>
      </c>
      <c r="I1344" s="49">
        <v>6</v>
      </c>
      <c r="J1344" s="49">
        <f t="shared" si="209"/>
        <v>6</v>
      </c>
      <c r="K1344" s="52">
        <f t="shared" si="206"/>
        <v>1</v>
      </c>
      <c r="L1344" s="209">
        <f t="shared" si="207"/>
        <v>0</v>
      </c>
      <c r="M1344" s="210">
        <f t="shared" si="208"/>
        <v>0</v>
      </c>
      <c r="N1344" s="26">
        <v>45961</v>
      </c>
      <c r="O1344" s="26">
        <v>45961</v>
      </c>
      <c r="P1344" s="26">
        <v>45961</v>
      </c>
      <c r="Q1344" s="2">
        <f t="shared" si="200"/>
        <v>1</v>
      </c>
      <c r="S1344" s="7">
        <f t="shared" si="203"/>
        <v>1</v>
      </c>
      <c r="T1344" s="157">
        <f t="shared" si="204"/>
        <v>1</v>
      </c>
      <c r="V1344" s="191">
        <f t="shared" si="201"/>
        <v>10</v>
      </c>
      <c r="W1344" s="7">
        <f t="shared" si="202"/>
        <v>2025</v>
      </c>
    </row>
    <row r="1345" spans="2:23" ht="31.95" customHeight="1" thickBot="1" x14ac:dyDescent="0.35">
      <c r="B1345" s="26">
        <v>45960</v>
      </c>
      <c r="C1345" s="51">
        <f t="shared" si="205"/>
        <v>1341</v>
      </c>
      <c r="D1345" s="27" t="s">
        <v>890</v>
      </c>
      <c r="E1345" s="26" t="s">
        <v>1617</v>
      </c>
      <c r="F1345" s="26" t="s">
        <v>1623</v>
      </c>
      <c r="G1345" s="28" t="s">
        <v>11</v>
      </c>
      <c r="H1345" s="254"/>
      <c r="I1345" s="49">
        <v>4</v>
      </c>
      <c r="J1345" s="49">
        <f t="shared" si="209"/>
        <v>4</v>
      </c>
      <c r="K1345" s="52">
        <f t="shared" si="206"/>
        <v>1</v>
      </c>
      <c r="L1345" s="209">
        <f t="shared" si="207"/>
        <v>0</v>
      </c>
      <c r="M1345" s="210">
        <f t="shared" si="208"/>
        <v>0</v>
      </c>
      <c r="N1345" s="26">
        <v>45988</v>
      </c>
      <c r="O1345" s="26">
        <v>45988</v>
      </c>
      <c r="P1345" s="26">
        <v>45988</v>
      </c>
      <c r="Q1345" s="2">
        <f t="shared" si="200"/>
        <v>1</v>
      </c>
      <c r="S1345" s="7">
        <f t="shared" si="203"/>
        <v>1</v>
      </c>
      <c r="T1345" s="157">
        <f t="shared" si="204"/>
        <v>1</v>
      </c>
      <c r="V1345" s="191">
        <f t="shared" si="201"/>
        <v>10</v>
      </c>
      <c r="W1345" s="7">
        <f t="shared" si="202"/>
        <v>2025</v>
      </c>
    </row>
    <row r="1346" spans="2:23" ht="31.95" customHeight="1" thickBot="1" x14ac:dyDescent="0.35">
      <c r="B1346" s="259">
        <v>45964</v>
      </c>
      <c r="C1346" s="51">
        <f t="shared" si="205"/>
        <v>1342</v>
      </c>
      <c r="D1346" s="27" t="s">
        <v>1028</v>
      </c>
      <c r="E1346" s="26" t="s">
        <v>1612</v>
      </c>
      <c r="F1346" s="26" t="s">
        <v>1627</v>
      </c>
      <c r="G1346" s="28" t="s">
        <v>11</v>
      </c>
      <c r="H1346" s="254">
        <v>0</v>
      </c>
      <c r="I1346" s="49">
        <v>0</v>
      </c>
      <c r="J1346" s="49">
        <f t="shared" si="209"/>
        <v>0</v>
      </c>
      <c r="K1346" s="52" t="str">
        <f t="shared" si="206"/>
        <v/>
      </c>
      <c r="L1346" s="209">
        <f t="shared" si="207"/>
        <v>0</v>
      </c>
      <c r="M1346" s="210" t="str">
        <f t="shared" si="208"/>
        <v/>
      </c>
      <c r="N1346" s="28" t="s">
        <v>11</v>
      </c>
      <c r="O1346" s="28" t="s">
        <v>11</v>
      </c>
      <c r="P1346" s="28" t="s">
        <v>11</v>
      </c>
      <c r="Q1346" s="2">
        <f t="shared" si="200"/>
        <v>1</v>
      </c>
      <c r="S1346" s="7">
        <f t="shared" si="203"/>
        <v>1</v>
      </c>
      <c r="T1346" s="157">
        <f t="shared" si="204"/>
        <v>1</v>
      </c>
      <c r="V1346" s="191">
        <f t="shared" si="201"/>
        <v>11</v>
      </c>
      <c r="W1346" s="7">
        <f t="shared" si="202"/>
        <v>2025</v>
      </c>
    </row>
    <row r="1347" spans="2:23" ht="31.95" customHeight="1" thickBot="1" x14ac:dyDescent="0.35">
      <c r="B1347" s="26">
        <v>45964</v>
      </c>
      <c r="C1347" s="51">
        <f t="shared" si="205"/>
        <v>1343</v>
      </c>
      <c r="D1347" s="27" t="s">
        <v>1028</v>
      </c>
      <c r="E1347" s="26" t="s">
        <v>1614</v>
      </c>
      <c r="F1347" s="26" t="s">
        <v>1621</v>
      </c>
      <c r="G1347" s="28" t="s">
        <v>11</v>
      </c>
      <c r="H1347" s="254">
        <v>19798.8</v>
      </c>
      <c r="I1347" s="49">
        <v>2</v>
      </c>
      <c r="J1347" s="49">
        <f t="shared" si="209"/>
        <v>2</v>
      </c>
      <c r="K1347" s="52">
        <f t="shared" si="206"/>
        <v>1</v>
      </c>
      <c r="L1347" s="209">
        <f t="shared" si="207"/>
        <v>0</v>
      </c>
      <c r="M1347" s="210">
        <f t="shared" si="208"/>
        <v>0</v>
      </c>
      <c r="N1347" s="26">
        <v>45967</v>
      </c>
      <c r="O1347" s="26">
        <v>45967</v>
      </c>
      <c r="P1347" s="26">
        <v>45967</v>
      </c>
      <c r="Q1347" s="2">
        <f t="shared" si="200"/>
        <v>1</v>
      </c>
      <c r="S1347" s="7">
        <f t="shared" si="203"/>
        <v>1</v>
      </c>
      <c r="T1347" s="157">
        <f t="shared" si="204"/>
        <v>1</v>
      </c>
      <c r="V1347" s="191">
        <f t="shared" si="201"/>
        <v>11</v>
      </c>
      <c r="W1347" s="7">
        <f t="shared" si="202"/>
        <v>2025</v>
      </c>
    </row>
    <row r="1348" spans="2:23" ht="31.95" customHeight="1" thickBot="1" x14ac:dyDescent="0.35">
      <c r="B1348" s="26">
        <v>45964</v>
      </c>
      <c r="C1348" s="51">
        <f t="shared" si="205"/>
        <v>1344</v>
      </c>
      <c r="D1348" s="27" t="s">
        <v>1150</v>
      </c>
      <c r="E1348" s="26" t="s">
        <v>1614</v>
      </c>
      <c r="F1348" s="26" t="s">
        <v>1621</v>
      </c>
      <c r="G1348" s="28" t="s">
        <v>11</v>
      </c>
      <c r="H1348" s="254">
        <v>4254.12</v>
      </c>
      <c r="I1348" s="49">
        <v>1</v>
      </c>
      <c r="J1348" s="49">
        <f t="shared" si="209"/>
        <v>1</v>
      </c>
      <c r="K1348" s="52">
        <f t="shared" si="206"/>
        <v>1</v>
      </c>
      <c r="L1348" s="209">
        <f t="shared" si="207"/>
        <v>0</v>
      </c>
      <c r="M1348" s="210">
        <f t="shared" si="208"/>
        <v>0</v>
      </c>
      <c r="N1348" s="26">
        <v>45967</v>
      </c>
      <c r="O1348" s="26">
        <v>45967</v>
      </c>
      <c r="P1348" s="26">
        <v>45967</v>
      </c>
      <c r="Q1348" s="2">
        <f t="shared" si="200"/>
        <v>1</v>
      </c>
      <c r="S1348" s="7">
        <f t="shared" si="203"/>
        <v>1</v>
      </c>
      <c r="T1348" s="157">
        <f t="shared" si="204"/>
        <v>1</v>
      </c>
      <c r="V1348" s="191">
        <f t="shared" si="201"/>
        <v>11</v>
      </c>
      <c r="W1348" s="7">
        <f t="shared" si="202"/>
        <v>2025</v>
      </c>
    </row>
    <row r="1349" spans="2:23" ht="31.95" customHeight="1" thickBot="1" x14ac:dyDescent="0.35">
      <c r="B1349" s="26">
        <v>45968</v>
      </c>
      <c r="C1349" s="51">
        <f t="shared" si="205"/>
        <v>1345</v>
      </c>
      <c r="D1349" s="27" t="s">
        <v>1150</v>
      </c>
      <c r="E1349" s="26" t="s">
        <v>1612</v>
      </c>
      <c r="F1349" s="26" t="s">
        <v>1627</v>
      </c>
      <c r="G1349" s="28" t="s">
        <v>11</v>
      </c>
      <c r="H1349" s="254">
        <v>3113.55</v>
      </c>
      <c r="I1349" s="49">
        <v>1</v>
      </c>
      <c r="J1349" s="49">
        <f t="shared" si="209"/>
        <v>1</v>
      </c>
      <c r="K1349" s="52">
        <f t="shared" si="206"/>
        <v>1</v>
      </c>
      <c r="L1349" s="209">
        <f t="shared" si="207"/>
        <v>0</v>
      </c>
      <c r="M1349" s="210">
        <f t="shared" si="208"/>
        <v>0</v>
      </c>
      <c r="N1349" s="26">
        <v>45979</v>
      </c>
      <c r="O1349" s="26">
        <v>45979</v>
      </c>
      <c r="P1349" s="26">
        <v>45979</v>
      </c>
      <c r="Q1349" s="2">
        <f t="shared" ref="Q1349:Q1412" si="210">IF(B1349&lt;&gt;"",1,0)</f>
        <v>1</v>
      </c>
      <c r="S1349" s="7">
        <f t="shared" si="203"/>
        <v>1</v>
      </c>
      <c r="T1349" s="157">
        <f t="shared" si="204"/>
        <v>1</v>
      </c>
      <c r="V1349" s="191">
        <f t="shared" ref="V1349:V1412" si="211">MONTH(B1349)</f>
        <v>11</v>
      </c>
      <c r="W1349" s="7">
        <f t="shared" ref="W1349:W1412" si="212">YEAR(B1349)</f>
        <v>2025</v>
      </c>
    </row>
    <row r="1350" spans="2:23" ht="31.95" customHeight="1" thickBot="1" x14ac:dyDescent="0.35">
      <c r="B1350" s="26">
        <v>45968</v>
      </c>
      <c r="C1350" s="51">
        <f t="shared" si="205"/>
        <v>1346</v>
      </c>
      <c r="D1350" s="27" t="s">
        <v>305</v>
      </c>
      <c r="E1350" s="28" t="s">
        <v>11</v>
      </c>
      <c r="F1350" s="26" t="s">
        <v>1633</v>
      </c>
      <c r="G1350" s="28" t="s">
        <v>1634</v>
      </c>
      <c r="H1350" s="254">
        <v>1160</v>
      </c>
      <c r="I1350" s="49">
        <v>2</v>
      </c>
      <c r="J1350" s="49">
        <f t="shared" si="209"/>
        <v>2</v>
      </c>
      <c r="K1350" s="52">
        <f t="shared" si="206"/>
        <v>1</v>
      </c>
      <c r="L1350" s="209">
        <f t="shared" si="207"/>
        <v>0</v>
      </c>
      <c r="M1350" s="210">
        <f t="shared" si="208"/>
        <v>0</v>
      </c>
      <c r="N1350" s="26">
        <v>45968</v>
      </c>
      <c r="O1350" s="26">
        <v>45968</v>
      </c>
      <c r="P1350" s="26">
        <v>45968</v>
      </c>
      <c r="Q1350" s="2">
        <f t="shared" si="210"/>
        <v>1</v>
      </c>
      <c r="S1350" s="7">
        <f t="shared" ref="S1350:S1413" si="213">IF(AND(O1350&lt;=N1350,O1350&lt;&gt;""),1,0)</f>
        <v>1</v>
      </c>
      <c r="T1350" s="157">
        <f t="shared" ref="T1350:T1413" si="214">IF(AND(P1350&lt;=N1350,P1350&lt;&gt;""),1,0)</f>
        <v>1</v>
      </c>
      <c r="V1350" s="191">
        <f t="shared" si="211"/>
        <v>11</v>
      </c>
      <c r="W1350" s="7">
        <f t="shared" si="212"/>
        <v>2025</v>
      </c>
    </row>
    <row r="1351" spans="2:23" ht="31.95" customHeight="1" thickBot="1" x14ac:dyDescent="0.35">
      <c r="B1351" s="26">
        <v>45968</v>
      </c>
      <c r="C1351" s="51">
        <f t="shared" ref="C1351:C1414" si="215">IF(B1351&lt;&gt;"",C1350+1,"")</f>
        <v>1347</v>
      </c>
      <c r="D1351" s="27" t="s">
        <v>317</v>
      </c>
      <c r="E1351" s="28" t="s">
        <v>11</v>
      </c>
      <c r="F1351" s="26" t="s">
        <v>1633</v>
      </c>
      <c r="G1351" s="28" t="s">
        <v>1634</v>
      </c>
      <c r="H1351" s="254">
        <v>127.5</v>
      </c>
      <c r="I1351" s="49">
        <v>1</v>
      </c>
      <c r="J1351" s="49">
        <f t="shared" si="209"/>
        <v>1</v>
      </c>
      <c r="K1351" s="52">
        <f t="shared" si="206"/>
        <v>1</v>
      </c>
      <c r="L1351" s="209">
        <f t="shared" si="207"/>
        <v>0</v>
      </c>
      <c r="M1351" s="210">
        <f t="shared" si="208"/>
        <v>0</v>
      </c>
      <c r="N1351" s="26">
        <v>45968</v>
      </c>
      <c r="O1351" s="26">
        <v>45968</v>
      </c>
      <c r="P1351" s="26">
        <v>45968</v>
      </c>
      <c r="Q1351" s="2">
        <f t="shared" si="210"/>
        <v>1</v>
      </c>
      <c r="S1351" s="7">
        <f t="shared" si="213"/>
        <v>1</v>
      </c>
      <c r="T1351" s="157">
        <f t="shared" si="214"/>
        <v>1</v>
      </c>
      <c r="V1351" s="191">
        <f t="shared" si="211"/>
        <v>11</v>
      </c>
      <c r="W1351" s="7">
        <f t="shared" si="212"/>
        <v>2025</v>
      </c>
    </row>
    <row r="1352" spans="2:23" ht="31.95" customHeight="1" thickBot="1" x14ac:dyDescent="0.35">
      <c r="B1352" s="26">
        <v>45973</v>
      </c>
      <c r="C1352" s="51">
        <f t="shared" si="215"/>
        <v>1348</v>
      </c>
      <c r="D1352" s="27" t="s">
        <v>1533</v>
      </c>
      <c r="E1352" s="28" t="s">
        <v>11</v>
      </c>
      <c r="F1352" s="26" t="s">
        <v>1635</v>
      </c>
      <c r="G1352" s="26" t="s">
        <v>1634</v>
      </c>
      <c r="H1352" s="254">
        <v>157.57</v>
      </c>
      <c r="I1352" s="49">
        <v>1</v>
      </c>
      <c r="J1352" s="49">
        <f t="shared" si="209"/>
        <v>1</v>
      </c>
      <c r="K1352" s="52">
        <f t="shared" si="206"/>
        <v>1</v>
      </c>
      <c r="L1352" s="209">
        <f t="shared" si="207"/>
        <v>0</v>
      </c>
      <c r="M1352" s="210">
        <f t="shared" si="208"/>
        <v>0</v>
      </c>
      <c r="N1352" s="26">
        <v>45978</v>
      </c>
      <c r="O1352" s="26">
        <v>45978</v>
      </c>
      <c r="P1352" s="26">
        <v>45978</v>
      </c>
      <c r="Q1352" s="2">
        <f t="shared" si="210"/>
        <v>1</v>
      </c>
      <c r="S1352" s="7">
        <f t="shared" si="213"/>
        <v>1</v>
      </c>
      <c r="T1352" s="157">
        <f t="shared" si="214"/>
        <v>1</v>
      </c>
      <c r="V1352" s="191">
        <f t="shared" si="211"/>
        <v>11</v>
      </c>
      <c r="W1352" s="7">
        <f t="shared" si="212"/>
        <v>2025</v>
      </c>
    </row>
    <row r="1353" spans="2:23" ht="31.95" customHeight="1" thickBot="1" x14ac:dyDescent="0.35">
      <c r="B1353" s="26">
        <v>45973</v>
      </c>
      <c r="C1353" s="51">
        <f t="shared" si="215"/>
        <v>1349</v>
      </c>
      <c r="D1353" s="27" t="s">
        <v>1533</v>
      </c>
      <c r="E1353" s="28" t="s">
        <v>11</v>
      </c>
      <c r="F1353" s="26" t="s">
        <v>1637</v>
      </c>
      <c r="G1353" s="26" t="s">
        <v>1634</v>
      </c>
      <c r="H1353" s="254">
        <v>159.97</v>
      </c>
      <c r="I1353" s="49">
        <v>1</v>
      </c>
      <c r="J1353" s="49">
        <f t="shared" si="209"/>
        <v>1</v>
      </c>
      <c r="K1353" s="52">
        <f t="shared" si="206"/>
        <v>1</v>
      </c>
      <c r="L1353" s="209">
        <f t="shared" si="207"/>
        <v>0</v>
      </c>
      <c r="M1353" s="210">
        <f t="shared" si="208"/>
        <v>0</v>
      </c>
      <c r="N1353" s="26">
        <v>45975</v>
      </c>
      <c r="O1353" s="26">
        <v>45975</v>
      </c>
      <c r="P1353" s="26">
        <v>45975</v>
      </c>
      <c r="Q1353" s="2">
        <f t="shared" si="210"/>
        <v>1</v>
      </c>
      <c r="S1353" s="7">
        <f t="shared" si="213"/>
        <v>1</v>
      </c>
      <c r="T1353" s="157">
        <f t="shared" si="214"/>
        <v>1</v>
      </c>
      <c r="V1353" s="191">
        <f t="shared" si="211"/>
        <v>11</v>
      </c>
      <c r="W1353" s="7">
        <f t="shared" si="212"/>
        <v>2025</v>
      </c>
    </row>
    <row r="1354" spans="2:23" ht="31.95" customHeight="1" thickBot="1" x14ac:dyDescent="0.35">
      <c r="B1354" s="26">
        <v>45974</v>
      </c>
      <c r="C1354" s="51">
        <f t="shared" si="215"/>
        <v>1350</v>
      </c>
      <c r="D1354" s="27" t="s">
        <v>1533</v>
      </c>
      <c r="E1354" s="28" t="s">
        <v>11</v>
      </c>
      <c r="F1354" s="26" t="s">
        <v>1641</v>
      </c>
      <c r="G1354" s="26" t="s">
        <v>1642</v>
      </c>
      <c r="H1354" s="254">
        <v>805.23</v>
      </c>
      <c r="I1354" s="49">
        <v>1</v>
      </c>
      <c r="J1354" s="49">
        <f t="shared" si="209"/>
        <v>1</v>
      </c>
      <c r="K1354" s="52">
        <f t="shared" si="206"/>
        <v>1</v>
      </c>
      <c r="L1354" s="209">
        <f t="shared" si="207"/>
        <v>0</v>
      </c>
      <c r="M1354" s="210">
        <f t="shared" si="208"/>
        <v>0</v>
      </c>
      <c r="N1354" s="26">
        <v>45979</v>
      </c>
      <c r="O1354" s="26">
        <v>45979</v>
      </c>
      <c r="P1354" s="26">
        <v>45979</v>
      </c>
      <c r="Q1354" s="2">
        <f t="shared" si="210"/>
        <v>1</v>
      </c>
      <c r="S1354" s="7">
        <f t="shared" si="213"/>
        <v>1</v>
      </c>
      <c r="T1354" s="157">
        <f t="shared" si="214"/>
        <v>1</v>
      </c>
      <c r="V1354" s="191">
        <f t="shared" si="211"/>
        <v>11</v>
      </c>
      <c r="W1354" s="7">
        <f t="shared" si="212"/>
        <v>2025</v>
      </c>
    </row>
    <row r="1355" spans="2:23" ht="31.95" customHeight="1" thickBot="1" x14ac:dyDescent="0.35">
      <c r="B1355" s="26">
        <v>45980</v>
      </c>
      <c r="C1355" s="51">
        <f t="shared" si="215"/>
        <v>1351</v>
      </c>
      <c r="D1355" s="27" t="s">
        <v>321</v>
      </c>
      <c r="E1355" s="26" t="s">
        <v>1639</v>
      </c>
      <c r="F1355" s="26" t="s">
        <v>1644</v>
      </c>
      <c r="G1355" s="28" t="s">
        <v>11</v>
      </c>
      <c r="H1355" s="254">
        <v>1297</v>
      </c>
      <c r="I1355" s="49">
        <v>6</v>
      </c>
      <c r="J1355" s="49">
        <f t="shared" si="209"/>
        <v>6</v>
      </c>
      <c r="K1355" s="52">
        <f t="shared" si="206"/>
        <v>1</v>
      </c>
      <c r="L1355" s="209">
        <f t="shared" si="207"/>
        <v>0</v>
      </c>
      <c r="M1355" s="210">
        <f t="shared" si="208"/>
        <v>0</v>
      </c>
      <c r="N1355" s="26">
        <v>45980</v>
      </c>
      <c r="O1355" s="26">
        <v>45980</v>
      </c>
      <c r="P1355" s="26">
        <v>45980</v>
      </c>
      <c r="Q1355" s="2">
        <f t="shared" si="210"/>
        <v>1</v>
      </c>
      <c r="S1355" s="7">
        <f t="shared" si="213"/>
        <v>1</v>
      </c>
      <c r="T1355" s="157">
        <f t="shared" si="214"/>
        <v>1</v>
      </c>
      <c r="V1355" s="191">
        <f t="shared" si="211"/>
        <v>11</v>
      </c>
      <c r="W1355" s="7">
        <f t="shared" si="212"/>
        <v>2025</v>
      </c>
    </row>
    <row r="1356" spans="2:23" ht="31.95" customHeight="1" thickBot="1" x14ac:dyDescent="0.35">
      <c r="B1356" s="26">
        <v>45985</v>
      </c>
      <c r="C1356" s="51">
        <f t="shared" si="215"/>
        <v>1352</v>
      </c>
      <c r="D1356" s="27" t="s">
        <v>705</v>
      </c>
      <c r="E1356" s="28" t="s">
        <v>11</v>
      </c>
      <c r="F1356" s="26" t="s">
        <v>1649</v>
      </c>
      <c r="G1356" s="26" t="s">
        <v>1642</v>
      </c>
      <c r="H1356" s="254">
        <v>2317.6</v>
      </c>
      <c r="I1356" s="49">
        <v>10</v>
      </c>
      <c r="J1356" s="49">
        <f t="shared" si="209"/>
        <v>10</v>
      </c>
      <c r="K1356" s="52">
        <f t="shared" si="206"/>
        <v>1</v>
      </c>
      <c r="L1356" s="209">
        <f t="shared" si="207"/>
        <v>0</v>
      </c>
      <c r="M1356" s="210">
        <f t="shared" si="208"/>
        <v>0</v>
      </c>
      <c r="N1356" s="26">
        <v>45985</v>
      </c>
      <c r="O1356" s="26">
        <v>45985</v>
      </c>
      <c r="P1356" s="26">
        <v>45985</v>
      </c>
      <c r="Q1356" s="2">
        <f t="shared" si="210"/>
        <v>1</v>
      </c>
      <c r="S1356" s="7">
        <f t="shared" si="213"/>
        <v>1</v>
      </c>
      <c r="T1356" s="157">
        <f t="shared" si="214"/>
        <v>1</v>
      </c>
      <c r="V1356" s="191">
        <f t="shared" si="211"/>
        <v>11</v>
      </c>
      <c r="W1356" s="7">
        <f t="shared" si="212"/>
        <v>2025</v>
      </c>
    </row>
    <row r="1357" spans="2:23" ht="31.95" customHeight="1" thickBot="1" x14ac:dyDescent="0.35">
      <c r="B1357" s="26">
        <v>45985</v>
      </c>
      <c r="C1357" s="51">
        <f t="shared" si="215"/>
        <v>1353</v>
      </c>
      <c r="D1357" s="27" t="s">
        <v>305</v>
      </c>
      <c r="E1357" s="28" t="s">
        <v>11</v>
      </c>
      <c r="F1357" s="26" t="s">
        <v>1649</v>
      </c>
      <c r="G1357" s="26" t="s">
        <v>1642</v>
      </c>
      <c r="H1357" s="254">
        <v>165</v>
      </c>
      <c r="I1357" s="49">
        <v>3</v>
      </c>
      <c r="J1357" s="49">
        <f t="shared" si="209"/>
        <v>3</v>
      </c>
      <c r="K1357" s="52">
        <f t="shared" si="206"/>
        <v>1</v>
      </c>
      <c r="L1357" s="209">
        <f t="shared" si="207"/>
        <v>0</v>
      </c>
      <c r="M1357" s="210">
        <f t="shared" si="208"/>
        <v>0</v>
      </c>
      <c r="N1357" s="26">
        <v>45985</v>
      </c>
      <c r="O1357" s="26">
        <v>45985</v>
      </c>
      <c r="P1357" s="26">
        <v>45985</v>
      </c>
      <c r="Q1357" s="2">
        <f t="shared" si="210"/>
        <v>1</v>
      </c>
      <c r="S1357" s="7">
        <f t="shared" si="213"/>
        <v>1</v>
      </c>
      <c r="T1357" s="157">
        <f t="shared" si="214"/>
        <v>1</v>
      </c>
      <c r="V1357" s="191">
        <f t="shared" si="211"/>
        <v>11</v>
      </c>
      <c r="W1357" s="7">
        <f t="shared" si="212"/>
        <v>2025</v>
      </c>
    </row>
    <row r="1358" spans="2:23" ht="31.95" customHeight="1" thickBot="1" x14ac:dyDescent="0.35">
      <c r="B1358" s="26">
        <v>45985</v>
      </c>
      <c r="C1358" s="51">
        <f t="shared" si="215"/>
        <v>1354</v>
      </c>
      <c r="D1358" s="27" t="s">
        <v>705</v>
      </c>
      <c r="E1358" s="28" t="s">
        <v>11</v>
      </c>
      <c r="F1358" s="26" t="s">
        <v>1648</v>
      </c>
      <c r="G1358" s="26" t="s">
        <v>1642</v>
      </c>
      <c r="H1358" s="254">
        <v>56</v>
      </c>
      <c r="I1358" s="49">
        <v>1</v>
      </c>
      <c r="J1358" s="49">
        <f t="shared" si="209"/>
        <v>1</v>
      </c>
      <c r="K1358" s="52">
        <f t="shared" si="206"/>
        <v>1</v>
      </c>
      <c r="L1358" s="209">
        <f t="shared" si="207"/>
        <v>0</v>
      </c>
      <c r="M1358" s="210">
        <f t="shared" si="208"/>
        <v>0</v>
      </c>
      <c r="N1358" s="26">
        <v>45985</v>
      </c>
      <c r="O1358" s="26">
        <v>45985</v>
      </c>
      <c r="P1358" s="26">
        <v>45985</v>
      </c>
      <c r="Q1358" s="2">
        <f t="shared" si="210"/>
        <v>1</v>
      </c>
      <c r="S1358" s="7">
        <f t="shared" si="213"/>
        <v>1</v>
      </c>
      <c r="T1358" s="157">
        <f t="shared" si="214"/>
        <v>1</v>
      </c>
      <c r="V1358" s="191">
        <f t="shared" si="211"/>
        <v>11</v>
      </c>
      <c r="W1358" s="7">
        <f t="shared" si="212"/>
        <v>2025</v>
      </c>
    </row>
    <row r="1359" spans="2:23" ht="31.95" customHeight="1" thickBot="1" x14ac:dyDescent="0.35">
      <c r="B1359" s="26">
        <v>45985</v>
      </c>
      <c r="C1359" s="51">
        <f t="shared" si="215"/>
        <v>1355</v>
      </c>
      <c r="D1359" s="27" t="s">
        <v>317</v>
      </c>
      <c r="E1359" s="28" t="s">
        <v>1651</v>
      </c>
      <c r="F1359" s="26" t="s">
        <v>1652</v>
      </c>
      <c r="G1359" s="28" t="s">
        <v>11</v>
      </c>
      <c r="H1359" s="254">
        <v>360</v>
      </c>
      <c r="I1359" s="49">
        <v>1</v>
      </c>
      <c r="J1359" s="49">
        <f t="shared" si="209"/>
        <v>1</v>
      </c>
      <c r="K1359" s="52">
        <f t="shared" si="206"/>
        <v>1</v>
      </c>
      <c r="L1359" s="209">
        <f t="shared" si="207"/>
        <v>0</v>
      </c>
      <c r="M1359" s="210">
        <f t="shared" si="208"/>
        <v>0</v>
      </c>
      <c r="N1359" s="26">
        <v>45985</v>
      </c>
      <c r="O1359" s="26">
        <v>45985</v>
      </c>
      <c r="P1359" s="26">
        <v>45985</v>
      </c>
      <c r="Q1359" s="2">
        <f t="shared" si="210"/>
        <v>1</v>
      </c>
      <c r="S1359" s="7">
        <f t="shared" si="213"/>
        <v>1</v>
      </c>
      <c r="T1359" s="157">
        <f t="shared" si="214"/>
        <v>1</v>
      </c>
      <c r="V1359" s="191">
        <f t="shared" si="211"/>
        <v>11</v>
      </c>
      <c r="W1359" s="7">
        <f t="shared" si="212"/>
        <v>2025</v>
      </c>
    </row>
    <row r="1360" spans="2:23" ht="31.95" customHeight="1" thickBot="1" x14ac:dyDescent="0.35">
      <c r="B1360" s="26">
        <v>45995</v>
      </c>
      <c r="C1360" s="51">
        <f t="shared" si="215"/>
        <v>1356</v>
      </c>
      <c r="D1360" s="27" t="s">
        <v>1533</v>
      </c>
      <c r="E1360" s="28" t="s">
        <v>11</v>
      </c>
      <c r="F1360" s="26" t="s">
        <v>1656</v>
      </c>
      <c r="G1360" s="26" t="s">
        <v>1658</v>
      </c>
      <c r="H1360" s="254">
        <v>391.29</v>
      </c>
      <c r="I1360" s="49">
        <v>1</v>
      </c>
      <c r="J1360" s="49">
        <f t="shared" si="209"/>
        <v>1</v>
      </c>
      <c r="K1360" s="52">
        <f t="shared" si="206"/>
        <v>1</v>
      </c>
      <c r="L1360" s="209">
        <f t="shared" si="207"/>
        <v>0</v>
      </c>
      <c r="M1360" s="210">
        <f t="shared" si="208"/>
        <v>0</v>
      </c>
      <c r="N1360" s="26">
        <v>46002</v>
      </c>
      <c r="O1360" s="26">
        <v>46002</v>
      </c>
      <c r="P1360" s="26">
        <v>46002</v>
      </c>
      <c r="Q1360" s="2">
        <f t="shared" si="210"/>
        <v>1</v>
      </c>
      <c r="S1360" s="7">
        <f t="shared" si="213"/>
        <v>1</v>
      </c>
      <c r="T1360" s="157">
        <f t="shared" si="214"/>
        <v>1</v>
      </c>
      <c r="V1360" s="191">
        <f t="shared" si="211"/>
        <v>12</v>
      </c>
      <c r="W1360" s="7">
        <f t="shared" si="212"/>
        <v>2025</v>
      </c>
    </row>
    <row r="1361" spans="2:23" ht="31.95" customHeight="1" thickBot="1" x14ac:dyDescent="0.35">
      <c r="B1361" s="26">
        <v>45995</v>
      </c>
      <c r="C1361" s="51">
        <f t="shared" si="215"/>
        <v>1357</v>
      </c>
      <c r="D1361" s="27" t="s">
        <v>1533</v>
      </c>
      <c r="E1361" s="28" t="s">
        <v>11</v>
      </c>
      <c r="F1361" s="26" t="s">
        <v>1659</v>
      </c>
      <c r="G1361" s="26" t="s">
        <v>1658</v>
      </c>
      <c r="H1361" s="254">
        <f>488.44*2</f>
        <v>976.88</v>
      </c>
      <c r="I1361" s="49">
        <v>1</v>
      </c>
      <c r="J1361" s="49">
        <f t="shared" si="209"/>
        <v>1</v>
      </c>
      <c r="K1361" s="52">
        <f t="shared" si="206"/>
        <v>1</v>
      </c>
      <c r="L1361" s="209">
        <f t="shared" si="207"/>
        <v>0</v>
      </c>
      <c r="M1361" s="210">
        <f t="shared" si="208"/>
        <v>0</v>
      </c>
      <c r="N1361" s="26">
        <v>46002</v>
      </c>
      <c r="O1361" s="26">
        <v>46002</v>
      </c>
      <c r="P1361" s="26">
        <v>46002</v>
      </c>
      <c r="Q1361" s="2">
        <f t="shared" si="210"/>
        <v>1</v>
      </c>
      <c r="S1361" s="7">
        <f t="shared" si="213"/>
        <v>1</v>
      </c>
      <c r="T1361" s="157">
        <f t="shared" si="214"/>
        <v>1</v>
      </c>
      <c r="V1361" s="191">
        <f t="shared" si="211"/>
        <v>12</v>
      </c>
      <c r="W1361" s="7">
        <f t="shared" si="212"/>
        <v>2025</v>
      </c>
    </row>
    <row r="1362" spans="2:23" ht="31.95" customHeight="1" thickBot="1" x14ac:dyDescent="0.35">
      <c r="B1362" s="26">
        <v>45995</v>
      </c>
      <c r="C1362" s="51">
        <f t="shared" si="215"/>
        <v>1358</v>
      </c>
      <c r="D1362" s="27" t="s">
        <v>1533</v>
      </c>
      <c r="E1362" s="28" t="s">
        <v>11</v>
      </c>
      <c r="F1362" s="26" t="s">
        <v>1660</v>
      </c>
      <c r="G1362" s="26" t="s">
        <v>1606</v>
      </c>
      <c r="H1362" s="254">
        <f>19.39*6</f>
        <v>116.34</v>
      </c>
      <c r="I1362" s="49">
        <v>1</v>
      </c>
      <c r="J1362" s="49">
        <f t="shared" si="209"/>
        <v>1</v>
      </c>
      <c r="K1362" s="52">
        <f t="shared" si="206"/>
        <v>1</v>
      </c>
      <c r="L1362" s="209">
        <f t="shared" si="207"/>
        <v>0</v>
      </c>
      <c r="M1362" s="210">
        <f t="shared" si="208"/>
        <v>0</v>
      </c>
      <c r="N1362" s="26">
        <v>46002</v>
      </c>
      <c r="O1362" s="26">
        <v>46002</v>
      </c>
      <c r="P1362" s="26">
        <v>46002</v>
      </c>
      <c r="Q1362" s="2">
        <f t="shared" si="210"/>
        <v>1</v>
      </c>
      <c r="S1362" s="7">
        <f t="shared" si="213"/>
        <v>1</v>
      </c>
      <c r="T1362" s="157">
        <f t="shared" si="214"/>
        <v>1</v>
      </c>
      <c r="V1362" s="191">
        <f t="shared" si="211"/>
        <v>12</v>
      </c>
      <c r="W1362" s="7">
        <f t="shared" si="212"/>
        <v>2025</v>
      </c>
    </row>
    <row r="1363" spans="2:23" ht="31.95" customHeight="1" thickBot="1" x14ac:dyDescent="0.35">
      <c r="B1363" s="26">
        <v>45995</v>
      </c>
      <c r="C1363" s="51">
        <f t="shared" si="215"/>
        <v>1359</v>
      </c>
      <c r="D1363" s="27" t="s">
        <v>1533</v>
      </c>
      <c r="E1363" s="28" t="s">
        <v>11</v>
      </c>
      <c r="F1363" s="26" t="s">
        <v>1661</v>
      </c>
      <c r="G1363" s="26" t="s">
        <v>1658</v>
      </c>
      <c r="H1363" s="254">
        <v>862.18000000000006</v>
      </c>
      <c r="I1363" s="49">
        <v>2</v>
      </c>
      <c r="J1363" s="49">
        <f t="shared" si="209"/>
        <v>2</v>
      </c>
      <c r="K1363" s="52">
        <f t="shared" si="206"/>
        <v>1</v>
      </c>
      <c r="L1363" s="209">
        <f t="shared" si="207"/>
        <v>0</v>
      </c>
      <c r="M1363" s="210">
        <f t="shared" si="208"/>
        <v>0</v>
      </c>
      <c r="N1363" s="26">
        <v>46002</v>
      </c>
      <c r="O1363" s="26">
        <v>46002</v>
      </c>
      <c r="P1363" s="26">
        <v>46002</v>
      </c>
      <c r="Q1363" s="2">
        <f t="shared" si="210"/>
        <v>1</v>
      </c>
      <c r="S1363" s="7">
        <f t="shared" si="213"/>
        <v>1</v>
      </c>
      <c r="T1363" s="157">
        <f t="shared" si="214"/>
        <v>1</v>
      </c>
      <c r="V1363" s="191">
        <f t="shared" si="211"/>
        <v>12</v>
      </c>
      <c r="W1363" s="7">
        <f t="shared" si="212"/>
        <v>2025</v>
      </c>
    </row>
    <row r="1364" spans="2:23" ht="31.95" customHeight="1" thickBot="1" x14ac:dyDescent="0.35">
      <c r="B1364" s="26">
        <v>45995</v>
      </c>
      <c r="C1364" s="51">
        <f t="shared" si="215"/>
        <v>1360</v>
      </c>
      <c r="D1364" s="27" t="s">
        <v>1533</v>
      </c>
      <c r="E1364" s="28" t="s">
        <v>11</v>
      </c>
      <c r="F1364" s="26" t="s">
        <v>1662</v>
      </c>
      <c r="G1364" s="26" t="s">
        <v>1606</v>
      </c>
      <c r="H1364" s="254">
        <v>149.28</v>
      </c>
      <c r="I1364" s="49">
        <v>1</v>
      </c>
      <c r="J1364" s="49">
        <f t="shared" si="209"/>
        <v>1</v>
      </c>
      <c r="K1364" s="52">
        <f t="shared" si="206"/>
        <v>1</v>
      </c>
      <c r="L1364" s="209">
        <f t="shared" si="207"/>
        <v>0</v>
      </c>
      <c r="M1364" s="210">
        <f t="shared" si="208"/>
        <v>0</v>
      </c>
      <c r="N1364" s="26">
        <v>46002</v>
      </c>
      <c r="O1364" s="26">
        <v>46002</v>
      </c>
      <c r="P1364" s="26">
        <v>46002</v>
      </c>
      <c r="Q1364" s="2">
        <f t="shared" si="210"/>
        <v>1</v>
      </c>
      <c r="S1364" s="7">
        <f t="shared" si="213"/>
        <v>1</v>
      </c>
      <c r="T1364" s="157">
        <f t="shared" si="214"/>
        <v>1</v>
      </c>
      <c r="V1364" s="191">
        <f t="shared" si="211"/>
        <v>12</v>
      </c>
      <c r="W1364" s="7">
        <f t="shared" si="212"/>
        <v>2025</v>
      </c>
    </row>
    <row r="1365" spans="2:23" ht="31.95" customHeight="1" thickBot="1" x14ac:dyDescent="0.35">
      <c r="B1365" s="26">
        <v>46001</v>
      </c>
      <c r="C1365" s="51">
        <f t="shared" si="215"/>
        <v>1361</v>
      </c>
      <c r="D1365" s="27" t="s">
        <v>1663</v>
      </c>
      <c r="E1365" s="26" t="s">
        <v>1671</v>
      </c>
      <c r="F1365" s="26" t="s">
        <v>1672</v>
      </c>
      <c r="G1365" s="28" t="s">
        <v>11</v>
      </c>
      <c r="H1365" s="254">
        <v>5176.4799999999996</v>
      </c>
      <c r="I1365" s="49">
        <v>3</v>
      </c>
      <c r="J1365" s="49">
        <v>0</v>
      </c>
      <c r="K1365" s="52">
        <f t="shared" si="206"/>
        <v>0</v>
      </c>
      <c r="L1365" s="209">
        <f t="shared" si="207"/>
        <v>3</v>
      </c>
      <c r="M1365" s="210">
        <f t="shared" si="208"/>
        <v>1</v>
      </c>
      <c r="N1365" s="26">
        <v>46037</v>
      </c>
      <c r="O1365" s="26"/>
      <c r="P1365" s="26"/>
      <c r="Q1365" s="2">
        <f t="shared" si="210"/>
        <v>1</v>
      </c>
      <c r="S1365" s="7">
        <f t="shared" si="213"/>
        <v>0</v>
      </c>
      <c r="T1365" s="157">
        <f t="shared" si="214"/>
        <v>0</v>
      </c>
      <c r="V1365" s="191">
        <f t="shared" si="211"/>
        <v>12</v>
      </c>
      <c r="W1365" s="7">
        <f t="shared" si="212"/>
        <v>2025</v>
      </c>
    </row>
    <row r="1366" spans="2:23" ht="31.95" customHeight="1" thickBot="1" x14ac:dyDescent="0.35">
      <c r="B1366" s="26">
        <v>46001</v>
      </c>
      <c r="C1366" s="51">
        <f t="shared" si="215"/>
        <v>1362</v>
      </c>
      <c r="D1366" s="27" t="s">
        <v>890</v>
      </c>
      <c r="E1366" s="26" t="s">
        <v>1671</v>
      </c>
      <c r="F1366" s="26" t="s">
        <v>1672</v>
      </c>
      <c r="G1366" s="28" t="s">
        <v>11</v>
      </c>
      <c r="H1366" s="254"/>
      <c r="I1366" s="49">
        <v>2</v>
      </c>
      <c r="J1366" s="49">
        <v>0</v>
      </c>
      <c r="K1366" s="52">
        <f t="shared" si="206"/>
        <v>0</v>
      </c>
      <c r="L1366" s="209">
        <f t="shared" si="207"/>
        <v>2</v>
      </c>
      <c r="M1366" s="210">
        <f t="shared" si="208"/>
        <v>1</v>
      </c>
      <c r="N1366" s="26">
        <v>46037</v>
      </c>
      <c r="O1366" s="26"/>
      <c r="P1366" s="26"/>
      <c r="Q1366" s="2">
        <f t="shared" si="210"/>
        <v>1</v>
      </c>
      <c r="S1366" s="7">
        <f t="shared" si="213"/>
        <v>0</v>
      </c>
      <c r="T1366" s="157">
        <f t="shared" si="214"/>
        <v>0</v>
      </c>
      <c r="V1366" s="191">
        <f t="shared" si="211"/>
        <v>12</v>
      </c>
      <c r="W1366" s="7">
        <f t="shared" si="212"/>
        <v>2025</v>
      </c>
    </row>
    <row r="1367" spans="2:23" ht="31.95" customHeight="1" thickBot="1" x14ac:dyDescent="0.35">
      <c r="B1367" s="26">
        <v>46001</v>
      </c>
      <c r="C1367" s="51">
        <f t="shared" si="215"/>
        <v>1363</v>
      </c>
      <c r="D1367" s="27" t="s">
        <v>305</v>
      </c>
      <c r="E1367" s="28" t="s">
        <v>11</v>
      </c>
      <c r="F1367" s="26" t="s">
        <v>1676</v>
      </c>
      <c r="G1367" s="26" t="s">
        <v>1677</v>
      </c>
      <c r="H1367" s="254">
        <v>1400</v>
      </c>
      <c r="I1367" s="49">
        <v>5</v>
      </c>
      <c r="J1367" s="49">
        <f>I1367</f>
        <v>5</v>
      </c>
      <c r="K1367" s="52">
        <f t="shared" si="206"/>
        <v>1</v>
      </c>
      <c r="L1367" s="209">
        <f t="shared" si="207"/>
        <v>0</v>
      </c>
      <c r="M1367" s="210">
        <f t="shared" si="208"/>
        <v>0</v>
      </c>
      <c r="N1367" s="26">
        <v>46002</v>
      </c>
      <c r="O1367" s="26">
        <v>46002</v>
      </c>
      <c r="P1367" s="26">
        <v>46002</v>
      </c>
      <c r="Q1367" s="2">
        <f t="shared" si="210"/>
        <v>1</v>
      </c>
      <c r="S1367" s="7">
        <f t="shared" si="213"/>
        <v>1</v>
      </c>
      <c r="T1367" s="157">
        <f t="shared" si="214"/>
        <v>1</v>
      </c>
      <c r="V1367" s="191">
        <f t="shared" si="211"/>
        <v>12</v>
      </c>
      <c r="W1367" s="7">
        <f t="shared" si="212"/>
        <v>2025</v>
      </c>
    </row>
    <row r="1368" spans="2:23" ht="31.95" customHeight="1" thickBot="1" x14ac:dyDescent="0.35">
      <c r="B1368" s="26">
        <v>46001</v>
      </c>
      <c r="C1368" s="51">
        <f t="shared" si="215"/>
        <v>1364</v>
      </c>
      <c r="D1368" s="27" t="s">
        <v>305</v>
      </c>
      <c r="E1368" s="28" t="s">
        <v>11</v>
      </c>
      <c r="F1368" s="26" t="s">
        <v>1678</v>
      </c>
      <c r="G1368" s="26" t="s">
        <v>1677</v>
      </c>
      <c r="H1368" s="254">
        <v>484.4</v>
      </c>
      <c r="I1368" s="49">
        <v>3</v>
      </c>
      <c r="J1368" s="49">
        <f t="shared" ref="J1368:J1372" si="216">I1368</f>
        <v>3</v>
      </c>
      <c r="K1368" s="52">
        <f t="shared" si="206"/>
        <v>1</v>
      </c>
      <c r="L1368" s="209">
        <f t="shared" si="207"/>
        <v>0</v>
      </c>
      <c r="M1368" s="210">
        <f t="shared" si="208"/>
        <v>0</v>
      </c>
      <c r="N1368" s="26">
        <v>46002</v>
      </c>
      <c r="O1368" s="26">
        <v>46002</v>
      </c>
      <c r="P1368" s="26">
        <v>46002</v>
      </c>
      <c r="Q1368" s="2">
        <f t="shared" si="210"/>
        <v>1</v>
      </c>
      <c r="S1368" s="7">
        <f t="shared" si="213"/>
        <v>1</v>
      </c>
      <c r="T1368" s="157">
        <f t="shared" si="214"/>
        <v>1</v>
      </c>
      <c r="V1368" s="191">
        <f t="shared" si="211"/>
        <v>12</v>
      </c>
      <c r="W1368" s="7">
        <f t="shared" si="212"/>
        <v>2025</v>
      </c>
    </row>
    <row r="1369" spans="2:23" ht="31.95" customHeight="1" thickBot="1" x14ac:dyDescent="0.35">
      <c r="B1369" s="26">
        <v>46002</v>
      </c>
      <c r="C1369" s="51">
        <f t="shared" si="215"/>
        <v>1365</v>
      </c>
      <c r="D1369" s="27" t="s">
        <v>305</v>
      </c>
      <c r="E1369" s="28" t="s">
        <v>11</v>
      </c>
      <c r="F1369" s="26" t="s">
        <v>1679</v>
      </c>
      <c r="G1369" s="26" t="s">
        <v>1677</v>
      </c>
      <c r="H1369" s="254">
        <v>386.9</v>
      </c>
      <c r="I1369" s="49">
        <v>3</v>
      </c>
      <c r="J1369" s="49">
        <f t="shared" si="216"/>
        <v>3</v>
      </c>
      <c r="K1369" s="52">
        <f t="shared" si="206"/>
        <v>1</v>
      </c>
      <c r="L1369" s="209">
        <f t="shared" si="207"/>
        <v>0</v>
      </c>
      <c r="M1369" s="210">
        <f t="shared" si="208"/>
        <v>0</v>
      </c>
      <c r="N1369" s="26">
        <v>46002</v>
      </c>
      <c r="O1369" s="26">
        <v>46002</v>
      </c>
      <c r="P1369" s="26">
        <v>46002</v>
      </c>
      <c r="Q1369" s="2">
        <f t="shared" si="210"/>
        <v>1</v>
      </c>
      <c r="S1369" s="7">
        <f t="shared" si="213"/>
        <v>1</v>
      </c>
      <c r="T1369" s="157">
        <f t="shared" si="214"/>
        <v>1</v>
      </c>
      <c r="V1369" s="191">
        <f t="shared" si="211"/>
        <v>12</v>
      </c>
      <c r="W1369" s="7">
        <f t="shared" si="212"/>
        <v>2025</v>
      </c>
    </row>
    <row r="1370" spans="2:23" ht="31.95" customHeight="1" thickBot="1" x14ac:dyDescent="0.35">
      <c r="B1370" s="26">
        <v>46002</v>
      </c>
      <c r="C1370" s="51">
        <f t="shared" si="215"/>
        <v>1366</v>
      </c>
      <c r="D1370" s="27" t="s">
        <v>705</v>
      </c>
      <c r="E1370" s="28" t="s">
        <v>11</v>
      </c>
      <c r="F1370" s="26" t="s">
        <v>1679</v>
      </c>
      <c r="G1370" s="26" t="s">
        <v>1677</v>
      </c>
      <c r="H1370" s="254">
        <v>2538.1999999999998</v>
      </c>
      <c r="I1370" s="49">
        <v>3</v>
      </c>
      <c r="J1370" s="49">
        <f t="shared" si="216"/>
        <v>3</v>
      </c>
      <c r="K1370" s="52">
        <f t="shared" si="206"/>
        <v>1</v>
      </c>
      <c r="L1370" s="209">
        <f t="shared" si="207"/>
        <v>0</v>
      </c>
      <c r="M1370" s="210">
        <f t="shared" si="208"/>
        <v>0</v>
      </c>
      <c r="N1370" s="26">
        <v>46002</v>
      </c>
      <c r="O1370" s="26">
        <v>46002</v>
      </c>
      <c r="P1370" s="26">
        <v>46002</v>
      </c>
      <c r="Q1370" s="2">
        <f t="shared" si="210"/>
        <v>1</v>
      </c>
      <c r="S1370" s="7">
        <f t="shared" si="213"/>
        <v>1</v>
      </c>
      <c r="T1370" s="157">
        <f t="shared" si="214"/>
        <v>1</v>
      </c>
      <c r="V1370" s="191">
        <f t="shared" si="211"/>
        <v>12</v>
      </c>
      <c r="W1370" s="7">
        <f t="shared" si="212"/>
        <v>2025</v>
      </c>
    </row>
    <row r="1371" spans="2:23" ht="31.95" customHeight="1" thickBot="1" x14ac:dyDescent="0.35">
      <c r="B1371" s="26">
        <v>46002</v>
      </c>
      <c r="C1371" s="51">
        <f t="shared" si="215"/>
        <v>1367</v>
      </c>
      <c r="D1371" s="27" t="s">
        <v>602</v>
      </c>
      <c r="E1371" s="26" t="s">
        <v>1671</v>
      </c>
      <c r="F1371" s="26" t="s">
        <v>1672</v>
      </c>
      <c r="G1371" s="28" t="s">
        <v>11</v>
      </c>
      <c r="H1371" s="254">
        <v>3187.8</v>
      </c>
      <c r="I1371" s="49">
        <v>2</v>
      </c>
      <c r="J1371" s="49">
        <f t="shared" si="216"/>
        <v>2</v>
      </c>
      <c r="K1371" s="52">
        <f t="shared" si="206"/>
        <v>1</v>
      </c>
      <c r="L1371" s="209">
        <f t="shared" si="207"/>
        <v>0</v>
      </c>
      <c r="M1371" s="210">
        <f t="shared" si="208"/>
        <v>0</v>
      </c>
      <c r="N1371" s="26">
        <v>46007</v>
      </c>
      <c r="O1371" s="26">
        <v>46007</v>
      </c>
      <c r="P1371" s="26">
        <v>46007</v>
      </c>
      <c r="Q1371" s="2">
        <f t="shared" si="210"/>
        <v>1</v>
      </c>
      <c r="S1371" s="7">
        <f t="shared" si="213"/>
        <v>1</v>
      </c>
      <c r="T1371" s="157">
        <f t="shared" si="214"/>
        <v>1</v>
      </c>
      <c r="V1371" s="191">
        <f t="shared" si="211"/>
        <v>12</v>
      </c>
      <c r="W1371" s="7">
        <f t="shared" si="212"/>
        <v>2025</v>
      </c>
    </row>
    <row r="1372" spans="2:23" ht="31.95" customHeight="1" thickBot="1" x14ac:dyDescent="0.35">
      <c r="B1372" s="26">
        <v>46002</v>
      </c>
      <c r="C1372" s="51">
        <f t="shared" si="215"/>
        <v>1368</v>
      </c>
      <c r="D1372" s="27" t="s">
        <v>1150</v>
      </c>
      <c r="E1372" s="26" t="s">
        <v>1671</v>
      </c>
      <c r="F1372" s="26" t="s">
        <v>1672</v>
      </c>
      <c r="G1372" s="28" t="s">
        <v>11</v>
      </c>
      <c r="H1372" s="260">
        <v>20399.79</v>
      </c>
      <c r="I1372" s="49">
        <v>4</v>
      </c>
      <c r="J1372" s="49">
        <f t="shared" si="216"/>
        <v>4</v>
      </c>
      <c r="K1372" s="52">
        <f t="shared" si="206"/>
        <v>1</v>
      </c>
      <c r="L1372" s="209">
        <f t="shared" si="207"/>
        <v>0</v>
      </c>
      <c r="M1372" s="210">
        <f t="shared" si="208"/>
        <v>0</v>
      </c>
      <c r="N1372" s="26">
        <v>46007</v>
      </c>
      <c r="O1372" s="26">
        <v>46007</v>
      </c>
      <c r="P1372" s="26">
        <v>46007</v>
      </c>
      <c r="Q1372" s="2">
        <f t="shared" si="210"/>
        <v>1</v>
      </c>
      <c r="S1372" s="7">
        <f t="shared" si="213"/>
        <v>1</v>
      </c>
      <c r="T1372" s="157">
        <f t="shared" si="214"/>
        <v>1</v>
      </c>
      <c r="V1372" s="191">
        <f t="shared" si="211"/>
        <v>12</v>
      </c>
      <c r="W1372" s="7">
        <f t="shared" si="212"/>
        <v>2025</v>
      </c>
    </row>
    <row r="1373" spans="2:23" ht="31.95" customHeight="1" thickBot="1" x14ac:dyDescent="0.35">
      <c r="B1373" s="26">
        <v>46003</v>
      </c>
      <c r="C1373" s="51">
        <f t="shared" si="215"/>
        <v>1369</v>
      </c>
      <c r="D1373" s="27" t="s">
        <v>1680</v>
      </c>
      <c r="E1373" s="26" t="s">
        <v>1671</v>
      </c>
      <c r="F1373" s="28" t="s">
        <v>11</v>
      </c>
      <c r="G1373" s="28" t="s">
        <v>11</v>
      </c>
      <c r="H1373" s="254">
        <v>1300</v>
      </c>
      <c r="I1373" s="49">
        <v>1</v>
      </c>
      <c r="J1373" s="49">
        <v>0</v>
      </c>
      <c r="K1373" s="52">
        <f t="shared" si="206"/>
        <v>0</v>
      </c>
      <c r="L1373" s="209">
        <f t="shared" si="207"/>
        <v>1</v>
      </c>
      <c r="M1373" s="210">
        <f t="shared" si="208"/>
        <v>1</v>
      </c>
      <c r="N1373" s="26">
        <v>46032</v>
      </c>
      <c r="O1373" s="26"/>
      <c r="P1373" s="26"/>
      <c r="Q1373" s="2">
        <f t="shared" si="210"/>
        <v>1</v>
      </c>
      <c r="S1373" s="7">
        <f t="shared" si="213"/>
        <v>0</v>
      </c>
      <c r="T1373" s="157">
        <f t="shared" si="214"/>
        <v>0</v>
      </c>
      <c r="V1373" s="191">
        <f t="shared" si="211"/>
        <v>12</v>
      </c>
      <c r="W1373" s="7">
        <f t="shared" si="212"/>
        <v>2025</v>
      </c>
    </row>
    <row r="1374" spans="2:23" ht="31.95" customHeight="1" thickBot="1" x14ac:dyDescent="0.35">
      <c r="B1374" s="26">
        <v>46003</v>
      </c>
      <c r="C1374" s="51">
        <f t="shared" si="215"/>
        <v>1370</v>
      </c>
      <c r="D1374" s="27" t="s">
        <v>1150</v>
      </c>
      <c r="E1374" s="26" t="s">
        <v>1671</v>
      </c>
      <c r="F1374" s="26" t="s">
        <v>1672</v>
      </c>
      <c r="G1374" s="28" t="s">
        <v>11</v>
      </c>
      <c r="H1374" s="254">
        <v>12975.8</v>
      </c>
      <c r="I1374" s="49">
        <v>1</v>
      </c>
      <c r="J1374" s="49">
        <v>0</v>
      </c>
      <c r="K1374" s="52">
        <f t="shared" si="206"/>
        <v>0</v>
      </c>
      <c r="L1374" s="209">
        <f t="shared" si="207"/>
        <v>1</v>
      </c>
      <c r="M1374" s="210">
        <f t="shared" si="208"/>
        <v>1</v>
      </c>
      <c r="N1374" s="26">
        <v>46007</v>
      </c>
      <c r="O1374" s="26"/>
      <c r="P1374" s="26"/>
      <c r="Q1374" s="2">
        <f t="shared" si="210"/>
        <v>1</v>
      </c>
      <c r="S1374" s="7">
        <f t="shared" si="213"/>
        <v>0</v>
      </c>
      <c r="T1374" s="157">
        <f t="shared" si="214"/>
        <v>0</v>
      </c>
      <c r="V1374" s="191">
        <f t="shared" si="211"/>
        <v>12</v>
      </c>
      <c r="W1374" s="7">
        <f t="shared" si="212"/>
        <v>2025</v>
      </c>
    </row>
    <row r="1375" spans="2:23" ht="31.95" customHeight="1" thickBot="1" x14ac:dyDescent="0.35">
      <c r="B1375" s="26">
        <v>46009</v>
      </c>
      <c r="C1375" s="51">
        <f t="shared" si="215"/>
        <v>1371</v>
      </c>
      <c r="D1375" s="27" t="s">
        <v>1533</v>
      </c>
      <c r="E1375" s="28" t="s">
        <v>11</v>
      </c>
      <c r="F1375" s="26" t="s">
        <v>1685</v>
      </c>
      <c r="G1375" s="26" t="s">
        <v>1677</v>
      </c>
      <c r="H1375" s="254">
        <v>333.84</v>
      </c>
      <c r="I1375" s="49">
        <v>2</v>
      </c>
      <c r="J1375" s="49">
        <f>I1375</f>
        <v>2</v>
      </c>
      <c r="K1375" s="52">
        <f t="shared" si="206"/>
        <v>1</v>
      </c>
      <c r="L1375" s="209">
        <f t="shared" si="207"/>
        <v>0</v>
      </c>
      <c r="M1375" s="210">
        <f t="shared" si="208"/>
        <v>0</v>
      </c>
      <c r="N1375" s="26">
        <v>46010</v>
      </c>
      <c r="O1375" s="26">
        <v>46010</v>
      </c>
      <c r="P1375" s="26">
        <v>46010</v>
      </c>
      <c r="Q1375" s="2">
        <f t="shared" si="210"/>
        <v>1</v>
      </c>
      <c r="S1375" s="7">
        <f t="shared" si="213"/>
        <v>1</v>
      </c>
      <c r="T1375" s="157">
        <f t="shared" si="214"/>
        <v>1</v>
      </c>
      <c r="V1375" s="191">
        <f t="shared" si="211"/>
        <v>12</v>
      </c>
      <c r="W1375" s="7">
        <f t="shared" si="212"/>
        <v>2025</v>
      </c>
    </row>
    <row r="1376" spans="2:23" ht="31.95" customHeight="1" thickBot="1" x14ac:dyDescent="0.35">
      <c r="B1376" s="26">
        <v>46009</v>
      </c>
      <c r="C1376" s="51">
        <f t="shared" si="215"/>
        <v>1372</v>
      </c>
      <c r="D1376" s="27" t="s">
        <v>1688</v>
      </c>
      <c r="E1376" s="26" t="s">
        <v>1671</v>
      </c>
      <c r="F1376" s="26" t="s">
        <v>1672</v>
      </c>
      <c r="G1376" s="28" t="s">
        <v>11</v>
      </c>
      <c r="H1376" s="254">
        <v>53258.41</v>
      </c>
      <c r="I1376" s="49">
        <v>2</v>
      </c>
      <c r="J1376" s="49">
        <v>0</v>
      </c>
      <c r="K1376" s="52">
        <f t="shared" si="206"/>
        <v>0</v>
      </c>
      <c r="L1376" s="209">
        <f t="shared" si="207"/>
        <v>2</v>
      </c>
      <c r="M1376" s="210">
        <f t="shared" si="208"/>
        <v>1</v>
      </c>
      <c r="N1376" s="26">
        <v>46030</v>
      </c>
      <c r="O1376" s="26"/>
      <c r="P1376" s="26"/>
      <c r="Q1376" s="2">
        <f t="shared" si="210"/>
        <v>1</v>
      </c>
      <c r="S1376" s="7">
        <f t="shared" si="213"/>
        <v>0</v>
      </c>
      <c r="T1376" s="157">
        <f t="shared" si="214"/>
        <v>0</v>
      </c>
      <c r="V1376" s="191">
        <f t="shared" si="211"/>
        <v>12</v>
      </c>
      <c r="W1376" s="7">
        <f t="shared" si="212"/>
        <v>2025</v>
      </c>
    </row>
    <row r="1377" spans="2:23" ht="31.95" customHeight="1" thickBot="1" x14ac:dyDescent="0.35">
      <c r="B1377" s="26">
        <v>46010</v>
      </c>
      <c r="C1377" s="51">
        <f t="shared" si="215"/>
        <v>1373</v>
      </c>
      <c r="D1377" s="27" t="s">
        <v>321</v>
      </c>
      <c r="E1377" s="26" t="s">
        <v>1671</v>
      </c>
      <c r="F1377" s="26" t="s">
        <v>1696</v>
      </c>
      <c r="G1377" s="28" t="s">
        <v>11</v>
      </c>
      <c r="H1377" s="254">
        <v>9086</v>
      </c>
      <c r="I1377" s="49">
        <v>12</v>
      </c>
      <c r="J1377" s="49">
        <f>I1377</f>
        <v>12</v>
      </c>
      <c r="K1377" s="52">
        <f t="shared" si="206"/>
        <v>1</v>
      </c>
      <c r="L1377" s="209">
        <f t="shared" si="207"/>
        <v>0</v>
      </c>
      <c r="M1377" s="210">
        <f t="shared" si="208"/>
        <v>0</v>
      </c>
      <c r="N1377" s="26">
        <v>46010</v>
      </c>
      <c r="O1377" s="26">
        <v>46010</v>
      </c>
      <c r="P1377" s="26">
        <v>46010</v>
      </c>
      <c r="Q1377" s="2">
        <f t="shared" si="210"/>
        <v>1</v>
      </c>
      <c r="S1377" s="7">
        <f t="shared" si="213"/>
        <v>1</v>
      </c>
      <c r="T1377" s="157">
        <f t="shared" si="214"/>
        <v>1</v>
      </c>
      <c r="V1377" s="191">
        <f t="shared" si="211"/>
        <v>12</v>
      </c>
      <c r="W1377" s="7">
        <f t="shared" si="212"/>
        <v>2025</v>
      </c>
    </row>
    <row r="1378" spans="2:23" ht="31.95" customHeight="1" thickBot="1" x14ac:dyDescent="0.35">
      <c r="B1378" s="26">
        <v>46010</v>
      </c>
      <c r="C1378" s="51">
        <f t="shared" si="215"/>
        <v>1374</v>
      </c>
      <c r="D1378" s="27" t="s">
        <v>705</v>
      </c>
      <c r="E1378" s="28" t="s">
        <v>11</v>
      </c>
      <c r="F1378" s="26" t="s">
        <v>1697</v>
      </c>
      <c r="G1378" s="26" t="s">
        <v>1677</v>
      </c>
      <c r="H1378" s="254">
        <v>808.1</v>
      </c>
      <c r="I1378" s="49">
        <v>8</v>
      </c>
      <c r="J1378" s="49">
        <f t="shared" ref="J1378:J1383" si="217">I1378</f>
        <v>8</v>
      </c>
      <c r="K1378" s="52">
        <f t="shared" si="206"/>
        <v>1</v>
      </c>
      <c r="L1378" s="209">
        <f t="shared" si="207"/>
        <v>0</v>
      </c>
      <c r="M1378" s="210">
        <f t="shared" si="208"/>
        <v>0</v>
      </c>
      <c r="N1378" s="26">
        <v>46010</v>
      </c>
      <c r="O1378" s="26">
        <v>46010</v>
      </c>
      <c r="P1378" s="26">
        <v>46010</v>
      </c>
      <c r="Q1378" s="2">
        <f t="shared" si="210"/>
        <v>1</v>
      </c>
      <c r="S1378" s="7">
        <f t="shared" si="213"/>
        <v>1</v>
      </c>
      <c r="T1378" s="157">
        <f t="shared" si="214"/>
        <v>1</v>
      </c>
      <c r="V1378" s="191">
        <f t="shared" si="211"/>
        <v>12</v>
      </c>
      <c r="W1378" s="7">
        <f t="shared" si="212"/>
        <v>2025</v>
      </c>
    </row>
    <row r="1379" spans="2:23" ht="31.95" customHeight="1" thickBot="1" x14ac:dyDescent="0.35">
      <c r="B1379" s="26">
        <v>46010</v>
      </c>
      <c r="C1379" s="51">
        <f t="shared" si="215"/>
        <v>1375</v>
      </c>
      <c r="D1379" s="27" t="s">
        <v>305</v>
      </c>
      <c r="E1379" s="28" t="s">
        <v>11</v>
      </c>
      <c r="F1379" s="28" t="s">
        <v>11</v>
      </c>
      <c r="G1379" s="26" t="s">
        <v>1677</v>
      </c>
      <c r="H1379" s="254">
        <v>2664</v>
      </c>
      <c r="I1379" s="49">
        <v>6</v>
      </c>
      <c r="J1379" s="49">
        <f t="shared" si="217"/>
        <v>6</v>
      </c>
      <c r="K1379" s="52">
        <f t="shared" si="206"/>
        <v>1</v>
      </c>
      <c r="L1379" s="209">
        <f t="shared" si="207"/>
        <v>0</v>
      </c>
      <c r="M1379" s="210">
        <f t="shared" si="208"/>
        <v>0</v>
      </c>
      <c r="N1379" s="26">
        <v>46010</v>
      </c>
      <c r="O1379" s="26">
        <v>46010</v>
      </c>
      <c r="P1379" s="26">
        <v>46010</v>
      </c>
      <c r="Q1379" s="2">
        <f t="shared" si="210"/>
        <v>1</v>
      </c>
      <c r="S1379" s="7">
        <f t="shared" si="213"/>
        <v>1</v>
      </c>
      <c r="T1379" s="157">
        <f t="shared" si="214"/>
        <v>1</v>
      </c>
      <c r="V1379" s="191">
        <f t="shared" si="211"/>
        <v>12</v>
      </c>
      <c r="W1379" s="7">
        <f t="shared" si="212"/>
        <v>2025</v>
      </c>
    </row>
    <row r="1380" spans="2:23" ht="31.95" customHeight="1" thickBot="1" x14ac:dyDescent="0.35">
      <c r="B1380" s="26">
        <v>46010</v>
      </c>
      <c r="C1380" s="51">
        <f t="shared" si="215"/>
        <v>1376</v>
      </c>
      <c r="D1380" s="27" t="s">
        <v>524</v>
      </c>
      <c r="E1380" s="26" t="s">
        <v>1617</v>
      </c>
      <c r="F1380" s="26" t="s">
        <v>1701</v>
      </c>
      <c r="G1380" s="28" t="s">
        <v>11</v>
      </c>
      <c r="H1380" s="254">
        <v>28237.020000000004</v>
      </c>
      <c r="I1380" s="49">
        <v>3</v>
      </c>
      <c r="J1380" s="49">
        <f t="shared" si="217"/>
        <v>3</v>
      </c>
      <c r="K1380" s="52">
        <f t="shared" si="206"/>
        <v>1</v>
      </c>
      <c r="L1380" s="209">
        <f t="shared" si="207"/>
        <v>0</v>
      </c>
      <c r="M1380" s="210">
        <f t="shared" si="208"/>
        <v>0</v>
      </c>
      <c r="N1380" s="26">
        <v>46020</v>
      </c>
      <c r="O1380" s="26">
        <v>46020</v>
      </c>
      <c r="P1380" s="26">
        <v>46020</v>
      </c>
      <c r="Q1380" s="2">
        <f t="shared" si="210"/>
        <v>1</v>
      </c>
      <c r="S1380" s="7">
        <f t="shared" si="213"/>
        <v>1</v>
      </c>
      <c r="T1380" s="157">
        <f t="shared" si="214"/>
        <v>1</v>
      </c>
      <c r="V1380" s="191">
        <f t="shared" si="211"/>
        <v>12</v>
      </c>
      <c r="W1380" s="7">
        <f t="shared" si="212"/>
        <v>2025</v>
      </c>
    </row>
    <row r="1381" spans="2:23" ht="31.95" customHeight="1" thickBot="1" x14ac:dyDescent="0.35">
      <c r="B1381" s="26">
        <v>46014</v>
      </c>
      <c r="C1381" s="51">
        <f t="shared" si="215"/>
        <v>1377</v>
      </c>
      <c r="D1381" s="27" t="s">
        <v>1150</v>
      </c>
      <c r="E1381" s="26" t="s">
        <v>1702</v>
      </c>
      <c r="F1381" s="28" t="s">
        <v>11</v>
      </c>
      <c r="G1381" s="28" t="s">
        <v>11</v>
      </c>
      <c r="H1381" s="254">
        <v>1926</v>
      </c>
      <c r="I1381" s="49">
        <v>2</v>
      </c>
      <c r="J1381" s="49">
        <f t="shared" si="217"/>
        <v>2</v>
      </c>
      <c r="K1381" s="52">
        <f t="shared" si="206"/>
        <v>1</v>
      </c>
      <c r="L1381" s="209">
        <f t="shared" si="207"/>
        <v>0</v>
      </c>
      <c r="M1381" s="210">
        <f t="shared" si="208"/>
        <v>0</v>
      </c>
      <c r="N1381" s="26">
        <v>46014</v>
      </c>
      <c r="O1381" s="26">
        <v>46014</v>
      </c>
      <c r="P1381" s="26">
        <v>46014</v>
      </c>
      <c r="Q1381" s="2">
        <f t="shared" si="210"/>
        <v>1</v>
      </c>
      <c r="S1381" s="7">
        <f t="shared" si="213"/>
        <v>1</v>
      </c>
      <c r="T1381" s="157">
        <f t="shared" si="214"/>
        <v>1</v>
      </c>
      <c r="V1381" s="191">
        <f t="shared" si="211"/>
        <v>12</v>
      </c>
      <c r="W1381" s="7">
        <f t="shared" si="212"/>
        <v>2025</v>
      </c>
    </row>
    <row r="1382" spans="2:23" ht="31.95" customHeight="1" thickBot="1" x14ac:dyDescent="0.35">
      <c r="B1382" s="26">
        <v>46017</v>
      </c>
      <c r="C1382" s="51">
        <f t="shared" si="215"/>
        <v>1378</v>
      </c>
      <c r="D1382" s="27" t="s">
        <v>305</v>
      </c>
      <c r="E1382" s="26" t="s">
        <v>1703</v>
      </c>
      <c r="F1382" s="28" t="s">
        <v>11</v>
      </c>
      <c r="G1382" s="28" t="s">
        <v>11</v>
      </c>
      <c r="H1382" s="254">
        <v>135</v>
      </c>
      <c r="I1382" s="49">
        <v>1</v>
      </c>
      <c r="J1382" s="49">
        <f t="shared" si="217"/>
        <v>1</v>
      </c>
      <c r="K1382" s="52">
        <f t="shared" si="206"/>
        <v>1</v>
      </c>
      <c r="L1382" s="209">
        <f t="shared" si="207"/>
        <v>0</v>
      </c>
      <c r="M1382" s="210">
        <f t="shared" si="208"/>
        <v>0</v>
      </c>
      <c r="N1382" s="26">
        <v>46017</v>
      </c>
      <c r="O1382" s="26">
        <v>46017</v>
      </c>
      <c r="P1382" s="26">
        <v>46017</v>
      </c>
      <c r="Q1382" s="2">
        <f t="shared" si="210"/>
        <v>1</v>
      </c>
      <c r="S1382" s="7">
        <f t="shared" si="213"/>
        <v>1</v>
      </c>
      <c r="T1382" s="157">
        <f t="shared" si="214"/>
        <v>1</v>
      </c>
      <c r="V1382" s="191">
        <f t="shared" si="211"/>
        <v>12</v>
      </c>
      <c r="W1382" s="7">
        <f t="shared" si="212"/>
        <v>2025</v>
      </c>
    </row>
    <row r="1383" spans="2:23" ht="31.95" customHeight="1" thickBot="1" x14ac:dyDescent="0.35">
      <c r="B1383" s="26">
        <v>46017</v>
      </c>
      <c r="C1383" s="51">
        <f t="shared" si="215"/>
        <v>1379</v>
      </c>
      <c r="D1383" s="27" t="s">
        <v>321</v>
      </c>
      <c r="E1383" s="26" t="s">
        <v>1703</v>
      </c>
      <c r="F1383" s="28" t="s">
        <v>11</v>
      </c>
      <c r="G1383" s="28" t="s">
        <v>11</v>
      </c>
      <c r="H1383" s="254">
        <v>1864.4</v>
      </c>
      <c r="I1383" s="49">
        <v>6</v>
      </c>
      <c r="J1383" s="49">
        <f t="shared" si="217"/>
        <v>6</v>
      </c>
      <c r="K1383" s="52">
        <f t="shared" si="206"/>
        <v>1</v>
      </c>
      <c r="L1383" s="209">
        <f t="shared" si="207"/>
        <v>0</v>
      </c>
      <c r="M1383" s="210">
        <f t="shared" si="208"/>
        <v>0</v>
      </c>
      <c r="N1383" s="26">
        <v>46017</v>
      </c>
      <c r="O1383" s="26">
        <v>46017</v>
      </c>
      <c r="P1383" s="26">
        <v>46017</v>
      </c>
      <c r="Q1383" s="2">
        <f t="shared" si="210"/>
        <v>1</v>
      </c>
      <c r="S1383" s="7">
        <f t="shared" si="213"/>
        <v>1</v>
      </c>
      <c r="T1383" s="157">
        <f t="shared" si="214"/>
        <v>1</v>
      </c>
      <c r="V1383" s="191">
        <f t="shared" si="211"/>
        <v>12</v>
      </c>
      <c r="W1383" s="7">
        <f t="shared" si="212"/>
        <v>2025</v>
      </c>
    </row>
    <row r="1384" spans="2:23" ht="31.95" customHeight="1" thickBot="1" x14ac:dyDescent="0.35">
      <c r="B1384" s="26">
        <v>46017</v>
      </c>
      <c r="C1384" s="51">
        <f t="shared" si="215"/>
        <v>1380</v>
      </c>
      <c r="D1384" s="27" t="s">
        <v>1680</v>
      </c>
      <c r="E1384" s="26" t="s">
        <v>1671</v>
      </c>
      <c r="F1384" s="28" t="s">
        <v>11</v>
      </c>
      <c r="G1384" s="28" t="s">
        <v>11</v>
      </c>
      <c r="H1384" s="254">
        <v>6500</v>
      </c>
      <c r="I1384" s="49">
        <v>1</v>
      </c>
      <c r="J1384" s="49">
        <v>0</v>
      </c>
      <c r="K1384" s="52">
        <f t="shared" si="206"/>
        <v>0</v>
      </c>
      <c r="L1384" s="209">
        <f t="shared" si="207"/>
        <v>1</v>
      </c>
      <c r="M1384" s="210">
        <f t="shared" si="208"/>
        <v>1</v>
      </c>
      <c r="N1384" s="26">
        <v>46031</v>
      </c>
      <c r="O1384" s="26"/>
      <c r="P1384" s="26"/>
      <c r="Q1384" s="2">
        <f t="shared" si="210"/>
        <v>1</v>
      </c>
      <c r="S1384" s="7">
        <f t="shared" si="213"/>
        <v>0</v>
      </c>
      <c r="T1384" s="157">
        <f t="shared" si="214"/>
        <v>0</v>
      </c>
      <c r="V1384" s="191">
        <f t="shared" si="211"/>
        <v>12</v>
      </c>
      <c r="W1384" s="7">
        <f t="shared" si="212"/>
        <v>2025</v>
      </c>
    </row>
    <row r="1385" spans="2:23" ht="31.95" customHeight="1" thickBot="1" x14ac:dyDescent="0.35">
      <c r="B1385" s="26">
        <v>46027</v>
      </c>
      <c r="C1385" s="51">
        <f t="shared" si="215"/>
        <v>1381</v>
      </c>
      <c r="D1385" s="27" t="s">
        <v>488</v>
      </c>
      <c r="E1385" s="26" t="s">
        <v>1617</v>
      </c>
      <c r="F1385" s="26" t="s">
        <v>1701</v>
      </c>
      <c r="G1385" s="28" t="s">
        <v>11</v>
      </c>
      <c r="H1385" s="254">
        <v>8528.4</v>
      </c>
      <c r="I1385" s="49">
        <v>4</v>
      </c>
      <c r="J1385" s="49">
        <v>4</v>
      </c>
      <c r="K1385" s="52">
        <f t="shared" si="206"/>
        <v>1</v>
      </c>
      <c r="L1385" s="209">
        <f t="shared" si="207"/>
        <v>0</v>
      </c>
      <c r="M1385" s="210">
        <f t="shared" si="208"/>
        <v>0</v>
      </c>
      <c r="N1385" s="26">
        <v>46034</v>
      </c>
      <c r="O1385" s="26">
        <v>46043</v>
      </c>
      <c r="P1385" s="26"/>
      <c r="Q1385" s="2">
        <f t="shared" si="210"/>
        <v>1</v>
      </c>
      <c r="S1385" s="7">
        <f t="shared" si="213"/>
        <v>0</v>
      </c>
      <c r="T1385" s="157">
        <f t="shared" si="214"/>
        <v>0</v>
      </c>
      <c r="V1385" s="191">
        <f t="shared" si="211"/>
        <v>1</v>
      </c>
      <c r="W1385" s="7">
        <f t="shared" si="212"/>
        <v>2026</v>
      </c>
    </row>
    <row r="1386" spans="2:23" ht="31.95" customHeight="1" thickBot="1" x14ac:dyDescent="0.35">
      <c r="B1386" s="26">
        <v>46027</v>
      </c>
      <c r="C1386" s="51">
        <f t="shared" si="215"/>
        <v>1382</v>
      </c>
      <c r="D1386" s="27" t="s">
        <v>978</v>
      </c>
      <c r="E1386" s="26" t="s">
        <v>1707</v>
      </c>
      <c r="F1386" s="26" t="s">
        <v>1708</v>
      </c>
      <c r="G1386" s="28" t="s">
        <v>11</v>
      </c>
      <c r="H1386" s="254">
        <v>19875</v>
      </c>
      <c r="I1386" s="49">
        <v>15</v>
      </c>
      <c r="J1386" s="49">
        <v>0</v>
      </c>
      <c r="K1386" s="52">
        <f t="shared" si="206"/>
        <v>0</v>
      </c>
      <c r="L1386" s="209">
        <f t="shared" si="207"/>
        <v>15</v>
      </c>
      <c r="M1386" s="210">
        <f t="shared" si="208"/>
        <v>1</v>
      </c>
      <c r="N1386" s="26">
        <v>46028</v>
      </c>
      <c r="O1386" s="26"/>
      <c r="P1386" s="26"/>
      <c r="Q1386" s="2">
        <f t="shared" si="210"/>
        <v>1</v>
      </c>
      <c r="S1386" s="7">
        <f t="shared" si="213"/>
        <v>0</v>
      </c>
      <c r="T1386" s="157">
        <f t="shared" si="214"/>
        <v>0</v>
      </c>
      <c r="V1386" s="191">
        <f t="shared" si="211"/>
        <v>1</v>
      </c>
      <c r="W1386" s="7">
        <f t="shared" si="212"/>
        <v>2026</v>
      </c>
    </row>
    <row r="1387" spans="2:23" ht="31.95" customHeight="1" thickBot="1" x14ac:dyDescent="0.35">
      <c r="B1387" s="26">
        <v>46027</v>
      </c>
      <c r="C1387" s="51">
        <f t="shared" si="215"/>
        <v>1383</v>
      </c>
      <c r="D1387" s="27" t="s">
        <v>890</v>
      </c>
      <c r="E1387" s="26" t="s">
        <v>1705</v>
      </c>
      <c r="F1387" s="26" t="s">
        <v>1709</v>
      </c>
      <c r="G1387" s="28" t="s">
        <v>11</v>
      </c>
      <c r="H1387" s="254">
        <v>919.4</v>
      </c>
      <c r="I1387" s="49">
        <v>3</v>
      </c>
      <c r="J1387" s="49">
        <v>0</v>
      </c>
      <c r="K1387" s="52">
        <f t="shared" si="206"/>
        <v>0</v>
      </c>
      <c r="L1387" s="209">
        <f t="shared" si="207"/>
        <v>3</v>
      </c>
      <c r="M1387" s="210">
        <f t="shared" si="208"/>
        <v>1</v>
      </c>
      <c r="N1387" s="26">
        <v>46036</v>
      </c>
      <c r="O1387" s="26"/>
      <c r="P1387" s="26"/>
      <c r="Q1387" s="2">
        <f t="shared" si="210"/>
        <v>1</v>
      </c>
      <c r="S1387" s="7">
        <f t="shared" si="213"/>
        <v>0</v>
      </c>
      <c r="T1387" s="157">
        <f t="shared" si="214"/>
        <v>0</v>
      </c>
      <c r="V1387" s="191">
        <f t="shared" si="211"/>
        <v>1</v>
      </c>
      <c r="W1387" s="7">
        <f t="shared" si="212"/>
        <v>2026</v>
      </c>
    </row>
    <row r="1388" spans="2:23" ht="31.95" customHeight="1" thickBot="1" x14ac:dyDescent="0.35">
      <c r="B1388" s="26">
        <v>46027</v>
      </c>
      <c r="C1388" s="51">
        <f t="shared" si="215"/>
        <v>1384</v>
      </c>
      <c r="D1388" s="27" t="s">
        <v>305</v>
      </c>
      <c r="E1388" s="28" t="s">
        <v>11</v>
      </c>
      <c r="F1388" s="26" t="s">
        <v>1711</v>
      </c>
      <c r="G1388" s="26" t="s">
        <v>1677</v>
      </c>
      <c r="H1388" s="254">
        <v>1756.5</v>
      </c>
      <c r="I1388" s="49">
        <v>8</v>
      </c>
      <c r="J1388" s="49">
        <v>0</v>
      </c>
      <c r="K1388" s="52">
        <f t="shared" si="206"/>
        <v>0</v>
      </c>
      <c r="L1388" s="209">
        <f t="shared" si="207"/>
        <v>8</v>
      </c>
      <c r="M1388" s="210">
        <f t="shared" si="208"/>
        <v>1</v>
      </c>
      <c r="N1388" s="26">
        <v>46028</v>
      </c>
      <c r="O1388" s="26"/>
      <c r="P1388" s="27"/>
      <c r="Q1388" s="2">
        <f t="shared" si="210"/>
        <v>1</v>
      </c>
      <c r="S1388" s="7">
        <f t="shared" si="213"/>
        <v>0</v>
      </c>
      <c r="T1388" s="157">
        <f t="shared" si="214"/>
        <v>0</v>
      </c>
      <c r="V1388" s="191">
        <f t="shared" si="211"/>
        <v>1</v>
      </c>
      <c r="W1388" s="7">
        <f t="shared" si="212"/>
        <v>2026</v>
      </c>
    </row>
    <row r="1389" spans="2:23" ht="31.95" customHeight="1" thickBot="1" x14ac:dyDescent="0.35">
      <c r="B1389" s="26">
        <v>46027</v>
      </c>
      <c r="C1389" s="51">
        <f t="shared" si="215"/>
        <v>1385</v>
      </c>
      <c r="D1389" s="27" t="s">
        <v>890</v>
      </c>
      <c r="E1389" s="26" t="s">
        <v>1706</v>
      </c>
      <c r="F1389" s="26" t="s">
        <v>1713</v>
      </c>
      <c r="G1389" s="28" t="s">
        <v>11</v>
      </c>
      <c r="H1389" s="254"/>
      <c r="I1389" s="49">
        <v>3</v>
      </c>
      <c r="J1389" s="49">
        <v>0</v>
      </c>
      <c r="K1389" s="52">
        <f t="shared" ref="K1389:K1452" si="218">IFERROR(J1389/I1389,"")</f>
        <v>0</v>
      </c>
      <c r="L1389" s="209">
        <f t="shared" ref="L1389:L1452" si="219">IF(I1389="","",I1389-J1389)</f>
        <v>3</v>
      </c>
      <c r="M1389" s="210">
        <f t="shared" ref="M1389:M1452" si="220">IFERROR(1-K1389,"")</f>
        <v>1</v>
      </c>
      <c r="N1389" s="26">
        <v>46034</v>
      </c>
      <c r="O1389" s="26"/>
      <c r="P1389" s="27"/>
      <c r="Q1389" s="2">
        <f t="shared" si="210"/>
        <v>1</v>
      </c>
      <c r="S1389" s="7">
        <f t="shared" si="213"/>
        <v>0</v>
      </c>
      <c r="T1389" s="157">
        <f t="shared" si="214"/>
        <v>0</v>
      </c>
      <c r="V1389" s="191">
        <f t="shared" si="211"/>
        <v>1</v>
      </c>
      <c r="W1389" s="7">
        <f t="shared" si="212"/>
        <v>2026</v>
      </c>
    </row>
    <row r="1390" spans="2:23" ht="31.95" customHeight="1" thickBot="1" x14ac:dyDescent="0.35">
      <c r="B1390" s="26">
        <v>46027</v>
      </c>
      <c r="C1390" s="51">
        <f t="shared" si="215"/>
        <v>1386</v>
      </c>
      <c r="D1390" s="27" t="s">
        <v>321</v>
      </c>
      <c r="E1390" s="26" t="s">
        <v>1702</v>
      </c>
      <c r="F1390" s="26" t="s">
        <v>1714</v>
      </c>
      <c r="G1390" s="28" t="s">
        <v>11</v>
      </c>
      <c r="H1390" s="254">
        <v>2147</v>
      </c>
      <c r="I1390" s="49">
        <v>10</v>
      </c>
      <c r="J1390" s="49">
        <v>0</v>
      </c>
      <c r="K1390" s="52">
        <f t="shared" si="218"/>
        <v>0</v>
      </c>
      <c r="L1390" s="209">
        <f t="shared" si="219"/>
        <v>10</v>
      </c>
      <c r="M1390" s="210">
        <f t="shared" si="220"/>
        <v>1</v>
      </c>
      <c r="N1390" s="26">
        <v>46028</v>
      </c>
      <c r="O1390" s="26"/>
      <c r="P1390" s="27"/>
      <c r="Q1390" s="2">
        <f t="shared" si="210"/>
        <v>1</v>
      </c>
      <c r="S1390" s="7">
        <f t="shared" si="213"/>
        <v>0</v>
      </c>
      <c r="T1390" s="157">
        <f t="shared" si="214"/>
        <v>0</v>
      </c>
      <c r="V1390" s="191">
        <f t="shared" si="211"/>
        <v>1</v>
      </c>
      <c r="W1390" s="7">
        <f t="shared" si="212"/>
        <v>2026</v>
      </c>
    </row>
    <row r="1391" spans="2:23" ht="31.95" customHeight="1" thickBot="1" x14ac:dyDescent="0.35">
      <c r="B1391" s="26">
        <v>46027</v>
      </c>
      <c r="C1391" s="51">
        <f t="shared" si="215"/>
        <v>1387</v>
      </c>
      <c r="D1391" s="27" t="s">
        <v>890</v>
      </c>
      <c r="E1391" s="26" t="s">
        <v>1702</v>
      </c>
      <c r="F1391" s="26" t="s">
        <v>1714</v>
      </c>
      <c r="G1391" s="28" t="s">
        <v>11</v>
      </c>
      <c r="H1391" s="254">
        <v>494.3</v>
      </c>
      <c r="I1391" s="49">
        <v>10</v>
      </c>
      <c r="J1391" s="49">
        <v>0</v>
      </c>
      <c r="K1391" s="52">
        <f t="shared" si="218"/>
        <v>0</v>
      </c>
      <c r="L1391" s="209">
        <f t="shared" si="219"/>
        <v>10</v>
      </c>
      <c r="M1391" s="210">
        <f t="shared" si="220"/>
        <v>1</v>
      </c>
      <c r="N1391" s="26">
        <v>46028</v>
      </c>
      <c r="O1391" s="26"/>
      <c r="P1391" s="27"/>
      <c r="Q1391" s="2">
        <f t="shared" si="210"/>
        <v>1</v>
      </c>
      <c r="S1391" s="7">
        <f t="shared" si="213"/>
        <v>0</v>
      </c>
      <c r="T1391" s="157">
        <f t="shared" si="214"/>
        <v>0</v>
      </c>
      <c r="V1391" s="191">
        <f t="shared" si="211"/>
        <v>1</v>
      </c>
      <c r="W1391" s="7">
        <f t="shared" si="212"/>
        <v>2026</v>
      </c>
    </row>
    <row r="1392" spans="2:23" ht="31.95" customHeight="1" thickBot="1" x14ac:dyDescent="0.35">
      <c r="B1392" s="26">
        <v>46027</v>
      </c>
      <c r="C1392" s="51">
        <f t="shared" si="215"/>
        <v>1388</v>
      </c>
      <c r="D1392" s="27" t="s">
        <v>488</v>
      </c>
      <c r="E1392" s="26" t="s">
        <v>1707</v>
      </c>
      <c r="F1392" s="26" t="s">
        <v>1708</v>
      </c>
      <c r="G1392" s="28" t="s">
        <v>11</v>
      </c>
      <c r="H1392" s="254">
        <v>1075.3800000000001</v>
      </c>
      <c r="I1392" s="49">
        <v>2</v>
      </c>
      <c r="J1392" s="49">
        <v>0</v>
      </c>
      <c r="K1392" s="52">
        <f t="shared" si="218"/>
        <v>0</v>
      </c>
      <c r="L1392" s="209">
        <f t="shared" si="219"/>
        <v>2</v>
      </c>
      <c r="M1392" s="210">
        <f t="shared" si="220"/>
        <v>1</v>
      </c>
      <c r="N1392" s="26">
        <v>46036</v>
      </c>
      <c r="O1392" s="26"/>
      <c r="P1392" s="27"/>
      <c r="Q1392" s="2">
        <f t="shared" si="210"/>
        <v>1</v>
      </c>
      <c r="S1392" s="7">
        <f t="shared" si="213"/>
        <v>0</v>
      </c>
      <c r="T1392" s="157">
        <f t="shared" si="214"/>
        <v>0</v>
      </c>
      <c r="V1392" s="191">
        <f t="shared" si="211"/>
        <v>1</v>
      </c>
      <c r="W1392" s="7">
        <f t="shared" si="212"/>
        <v>2026</v>
      </c>
    </row>
    <row r="1393" spans="2:23" ht="31.95" customHeight="1" thickBot="1" x14ac:dyDescent="0.35">
      <c r="B1393" s="26">
        <v>46027</v>
      </c>
      <c r="C1393" s="51">
        <f t="shared" si="215"/>
        <v>1389</v>
      </c>
      <c r="D1393" s="27" t="s">
        <v>305</v>
      </c>
      <c r="E1393" s="26" t="s">
        <v>1705</v>
      </c>
      <c r="F1393" s="26" t="s">
        <v>1715</v>
      </c>
      <c r="G1393" s="28" t="s">
        <v>11</v>
      </c>
      <c r="H1393" s="254">
        <v>357.7</v>
      </c>
      <c r="I1393" s="49">
        <v>4</v>
      </c>
      <c r="J1393" s="49">
        <v>0</v>
      </c>
      <c r="K1393" s="52">
        <f t="shared" si="218"/>
        <v>0</v>
      </c>
      <c r="L1393" s="209">
        <f t="shared" si="219"/>
        <v>4</v>
      </c>
      <c r="M1393" s="210">
        <f t="shared" si="220"/>
        <v>1</v>
      </c>
      <c r="N1393" s="26">
        <v>46028</v>
      </c>
      <c r="O1393" s="26"/>
      <c r="P1393" s="27"/>
      <c r="Q1393" s="2">
        <f t="shared" si="210"/>
        <v>1</v>
      </c>
      <c r="S1393" s="7">
        <f t="shared" si="213"/>
        <v>0</v>
      </c>
      <c r="T1393" s="157">
        <f t="shared" si="214"/>
        <v>0</v>
      </c>
      <c r="V1393" s="191">
        <f t="shared" si="211"/>
        <v>1</v>
      </c>
      <c r="W1393" s="7">
        <f t="shared" si="212"/>
        <v>2026</v>
      </c>
    </row>
    <row r="1394" spans="2:23" ht="31.95" customHeight="1" thickBot="1" x14ac:dyDescent="0.35">
      <c r="B1394" s="26">
        <v>46027</v>
      </c>
      <c r="C1394" s="51">
        <f t="shared" si="215"/>
        <v>1390</v>
      </c>
      <c r="D1394" s="27" t="s">
        <v>705</v>
      </c>
      <c r="E1394" s="26" t="s">
        <v>1705</v>
      </c>
      <c r="F1394" s="26" t="s">
        <v>1715</v>
      </c>
      <c r="G1394" s="28" t="s">
        <v>11</v>
      </c>
      <c r="H1394" s="254">
        <v>53.6</v>
      </c>
      <c r="I1394" s="49">
        <v>1</v>
      </c>
      <c r="J1394" s="49">
        <v>0</v>
      </c>
      <c r="K1394" s="52">
        <f t="shared" si="218"/>
        <v>0</v>
      </c>
      <c r="L1394" s="209">
        <f t="shared" si="219"/>
        <v>1</v>
      </c>
      <c r="M1394" s="210">
        <f t="shared" si="220"/>
        <v>1</v>
      </c>
      <c r="N1394" s="26">
        <v>46028</v>
      </c>
      <c r="O1394" s="26"/>
      <c r="P1394" s="27"/>
      <c r="Q1394" s="2">
        <f t="shared" si="210"/>
        <v>1</v>
      </c>
      <c r="S1394" s="7">
        <f t="shared" si="213"/>
        <v>0</v>
      </c>
      <c r="T1394" s="157">
        <f t="shared" si="214"/>
        <v>0</v>
      </c>
      <c r="V1394" s="191">
        <f t="shared" si="211"/>
        <v>1</v>
      </c>
      <c r="W1394" s="7">
        <f t="shared" si="212"/>
        <v>2026</v>
      </c>
    </row>
    <row r="1395" spans="2:23" ht="31.95" customHeight="1" thickBot="1" x14ac:dyDescent="0.35">
      <c r="B1395" s="26">
        <v>46027</v>
      </c>
      <c r="C1395" s="51">
        <f t="shared" si="215"/>
        <v>1391</v>
      </c>
      <c r="D1395" s="27" t="s">
        <v>305</v>
      </c>
      <c r="E1395" s="28" t="s">
        <v>11</v>
      </c>
      <c r="F1395" s="26" t="s">
        <v>1716</v>
      </c>
      <c r="G1395" s="26" t="s">
        <v>1717</v>
      </c>
      <c r="H1395" s="254">
        <v>560.79999999999995</v>
      </c>
      <c r="I1395" s="49">
        <v>6</v>
      </c>
      <c r="J1395" s="49">
        <v>0</v>
      </c>
      <c r="K1395" s="52">
        <f t="shared" si="218"/>
        <v>0</v>
      </c>
      <c r="L1395" s="209">
        <f t="shared" si="219"/>
        <v>6</v>
      </c>
      <c r="M1395" s="210">
        <f t="shared" si="220"/>
        <v>1</v>
      </c>
      <c r="N1395" s="26">
        <v>46028</v>
      </c>
      <c r="O1395" s="26"/>
      <c r="P1395" s="27"/>
      <c r="Q1395" s="2">
        <f t="shared" si="210"/>
        <v>1</v>
      </c>
      <c r="S1395" s="7">
        <f t="shared" si="213"/>
        <v>0</v>
      </c>
      <c r="T1395" s="157">
        <f t="shared" si="214"/>
        <v>0</v>
      </c>
      <c r="V1395" s="191">
        <f t="shared" si="211"/>
        <v>1</v>
      </c>
      <c r="W1395" s="7">
        <f t="shared" si="212"/>
        <v>2026</v>
      </c>
    </row>
    <row r="1396" spans="2:23" ht="31.95" customHeight="1" thickBot="1" x14ac:dyDescent="0.35">
      <c r="B1396" s="26">
        <v>46027</v>
      </c>
      <c r="C1396" s="51">
        <f t="shared" si="215"/>
        <v>1392</v>
      </c>
      <c r="D1396" s="27" t="s">
        <v>890</v>
      </c>
      <c r="E1396" s="26" t="s">
        <v>1617</v>
      </c>
      <c r="F1396" s="26" t="s">
        <v>1718</v>
      </c>
      <c r="G1396" s="28" t="s">
        <v>11</v>
      </c>
      <c r="H1396" s="254">
        <v>900</v>
      </c>
      <c r="I1396" s="49">
        <v>1</v>
      </c>
      <c r="J1396" s="49">
        <v>0</v>
      </c>
      <c r="K1396" s="52">
        <f t="shared" si="218"/>
        <v>0</v>
      </c>
      <c r="L1396" s="209">
        <f t="shared" si="219"/>
        <v>1</v>
      </c>
      <c r="M1396" s="210">
        <f t="shared" si="220"/>
        <v>1</v>
      </c>
      <c r="N1396" s="26">
        <v>46048</v>
      </c>
      <c r="O1396" s="26"/>
      <c r="P1396" s="27"/>
      <c r="Q1396" s="2">
        <f t="shared" si="210"/>
        <v>1</v>
      </c>
      <c r="S1396" s="7">
        <f t="shared" si="213"/>
        <v>0</v>
      </c>
      <c r="T1396" s="157">
        <f t="shared" si="214"/>
        <v>0</v>
      </c>
      <c r="V1396" s="191">
        <f t="shared" si="211"/>
        <v>1</v>
      </c>
      <c r="W1396" s="7">
        <f t="shared" si="212"/>
        <v>2026</v>
      </c>
    </row>
    <row r="1397" spans="2:23" ht="31.95" customHeight="1" thickBot="1" x14ac:dyDescent="0.35">
      <c r="B1397" s="26">
        <v>46027</v>
      </c>
      <c r="C1397" s="51">
        <f t="shared" si="215"/>
        <v>1393</v>
      </c>
      <c r="D1397" s="27" t="s">
        <v>321</v>
      </c>
      <c r="E1397" s="26" t="s">
        <v>1705</v>
      </c>
      <c r="F1397" s="26" t="s">
        <v>1719</v>
      </c>
      <c r="G1397" s="28" t="s">
        <v>11</v>
      </c>
      <c r="H1397" s="254">
        <v>0</v>
      </c>
      <c r="I1397" s="49">
        <v>0</v>
      </c>
      <c r="J1397" s="49">
        <v>0</v>
      </c>
      <c r="K1397" s="52" t="str">
        <f t="shared" si="218"/>
        <v/>
      </c>
      <c r="L1397" s="209">
        <f t="shared" si="219"/>
        <v>0</v>
      </c>
      <c r="M1397" s="210" t="str">
        <f t="shared" si="220"/>
        <v/>
      </c>
      <c r="N1397" s="28" t="s">
        <v>11</v>
      </c>
      <c r="O1397" s="28" t="s">
        <v>11</v>
      </c>
      <c r="P1397" s="261" t="s">
        <v>11</v>
      </c>
      <c r="Q1397" s="2">
        <f t="shared" si="210"/>
        <v>1</v>
      </c>
      <c r="S1397" s="7">
        <f t="shared" si="213"/>
        <v>1</v>
      </c>
      <c r="T1397" s="157">
        <f t="shared" si="214"/>
        <v>1</v>
      </c>
      <c r="V1397" s="191">
        <f t="shared" si="211"/>
        <v>1</v>
      </c>
      <c r="W1397" s="7">
        <f t="shared" si="212"/>
        <v>2026</v>
      </c>
    </row>
    <row r="1398" spans="2:23" ht="31.95" customHeight="1" thickBot="1" x14ac:dyDescent="0.35">
      <c r="B1398" s="26">
        <v>46027</v>
      </c>
      <c r="C1398" s="51">
        <f t="shared" si="215"/>
        <v>1394</v>
      </c>
      <c r="D1398" s="27" t="s">
        <v>890</v>
      </c>
      <c r="E1398" s="26" t="s">
        <v>1707</v>
      </c>
      <c r="F1398" s="26" t="s">
        <v>1708</v>
      </c>
      <c r="G1398" s="28" t="s">
        <v>11</v>
      </c>
      <c r="H1398" s="254">
        <v>2180</v>
      </c>
      <c r="I1398" s="49">
        <v>1</v>
      </c>
      <c r="J1398" s="49">
        <v>0</v>
      </c>
      <c r="K1398" s="52">
        <f t="shared" si="218"/>
        <v>0</v>
      </c>
      <c r="L1398" s="209">
        <f t="shared" si="219"/>
        <v>1</v>
      </c>
      <c r="M1398" s="210">
        <f t="shared" si="220"/>
        <v>1</v>
      </c>
      <c r="N1398" s="26">
        <v>46035</v>
      </c>
      <c r="O1398" s="26"/>
      <c r="P1398" s="27"/>
      <c r="Q1398" s="2">
        <f t="shared" si="210"/>
        <v>1</v>
      </c>
      <c r="S1398" s="7">
        <f t="shared" si="213"/>
        <v>0</v>
      </c>
      <c r="T1398" s="157">
        <f t="shared" si="214"/>
        <v>0</v>
      </c>
      <c r="V1398" s="191">
        <f t="shared" si="211"/>
        <v>1</v>
      </c>
      <c r="W1398" s="7">
        <f t="shared" si="212"/>
        <v>2026</v>
      </c>
    </row>
    <row r="1399" spans="2:23" ht="31.95" customHeight="1" thickBot="1" x14ac:dyDescent="0.35">
      <c r="B1399" s="26">
        <v>46027</v>
      </c>
      <c r="C1399" s="51">
        <f t="shared" si="215"/>
        <v>1395</v>
      </c>
      <c r="D1399" s="27" t="s">
        <v>1150</v>
      </c>
      <c r="E1399" s="26" t="s">
        <v>1707</v>
      </c>
      <c r="F1399" s="26" t="s">
        <v>1708</v>
      </c>
      <c r="G1399" s="28" t="s">
        <v>11</v>
      </c>
      <c r="H1399" s="254">
        <v>501.75</v>
      </c>
      <c r="I1399" s="49">
        <v>1</v>
      </c>
      <c r="J1399" s="49">
        <v>0</v>
      </c>
      <c r="K1399" s="52">
        <f t="shared" si="218"/>
        <v>0</v>
      </c>
      <c r="L1399" s="209">
        <f t="shared" si="219"/>
        <v>1</v>
      </c>
      <c r="M1399" s="210">
        <f t="shared" si="220"/>
        <v>1</v>
      </c>
      <c r="N1399" s="26">
        <v>46028</v>
      </c>
      <c r="O1399" s="26"/>
      <c r="P1399" s="27"/>
      <c r="Q1399" s="2">
        <f t="shared" si="210"/>
        <v>1</v>
      </c>
      <c r="S1399" s="7">
        <f t="shared" si="213"/>
        <v>0</v>
      </c>
      <c r="T1399" s="157">
        <f t="shared" si="214"/>
        <v>0</v>
      </c>
      <c r="V1399" s="191">
        <f t="shared" si="211"/>
        <v>1</v>
      </c>
      <c r="W1399" s="7">
        <f t="shared" si="212"/>
        <v>2026</v>
      </c>
    </row>
    <row r="1400" spans="2:23" ht="31.95" customHeight="1" thickBot="1" x14ac:dyDescent="0.35">
      <c r="B1400" s="26">
        <v>46027</v>
      </c>
      <c r="C1400" s="51">
        <f t="shared" si="215"/>
        <v>1396</v>
      </c>
      <c r="D1400" s="27" t="s">
        <v>321</v>
      </c>
      <c r="E1400" s="26" t="s">
        <v>1707</v>
      </c>
      <c r="F1400" s="26" t="s">
        <v>1720</v>
      </c>
      <c r="G1400" s="28" t="s">
        <v>11</v>
      </c>
      <c r="H1400" s="254" t="s">
        <v>11</v>
      </c>
      <c r="I1400" s="166">
        <v>0</v>
      </c>
      <c r="J1400" s="49">
        <v>0</v>
      </c>
      <c r="K1400" s="52" t="str">
        <f t="shared" si="218"/>
        <v/>
      </c>
      <c r="L1400" s="209">
        <f t="shared" si="219"/>
        <v>0</v>
      </c>
      <c r="M1400" s="210" t="str">
        <f t="shared" si="220"/>
        <v/>
      </c>
      <c r="N1400" s="28" t="s">
        <v>11</v>
      </c>
      <c r="O1400" s="28" t="s">
        <v>11</v>
      </c>
      <c r="P1400" s="261" t="s">
        <v>11</v>
      </c>
      <c r="Q1400" s="2">
        <f t="shared" si="210"/>
        <v>1</v>
      </c>
      <c r="S1400" s="7">
        <f t="shared" si="213"/>
        <v>1</v>
      </c>
      <c r="T1400" s="157">
        <f t="shared" si="214"/>
        <v>1</v>
      </c>
      <c r="V1400" s="191">
        <f t="shared" si="211"/>
        <v>1</v>
      </c>
      <c r="W1400" s="7">
        <f t="shared" si="212"/>
        <v>2026</v>
      </c>
    </row>
    <row r="1401" spans="2:23" ht="31.95" customHeight="1" thickBot="1" x14ac:dyDescent="0.35">
      <c r="B1401" s="26">
        <v>46027</v>
      </c>
      <c r="C1401" s="51">
        <f t="shared" si="215"/>
        <v>1397</v>
      </c>
      <c r="D1401" s="27" t="s">
        <v>822</v>
      </c>
      <c r="E1401" s="26" t="s">
        <v>1617</v>
      </c>
      <c r="F1401" s="26" t="s">
        <v>1701</v>
      </c>
      <c r="G1401" s="28" t="s">
        <v>11</v>
      </c>
      <c r="H1401" s="254">
        <v>27509.46</v>
      </c>
      <c r="I1401" s="49">
        <v>2</v>
      </c>
      <c r="J1401" s="49">
        <v>2</v>
      </c>
      <c r="K1401" s="52">
        <f t="shared" si="218"/>
        <v>1</v>
      </c>
      <c r="L1401" s="209">
        <f t="shared" si="219"/>
        <v>0</v>
      </c>
      <c r="M1401" s="210">
        <f t="shared" si="220"/>
        <v>0</v>
      </c>
      <c r="N1401" s="26">
        <v>46030</v>
      </c>
      <c r="O1401" s="26">
        <v>46030</v>
      </c>
      <c r="P1401" s="27"/>
      <c r="Q1401" s="2">
        <f t="shared" si="210"/>
        <v>1</v>
      </c>
      <c r="S1401" s="7">
        <f t="shared" si="213"/>
        <v>1</v>
      </c>
      <c r="T1401" s="157">
        <f t="shared" si="214"/>
        <v>0</v>
      </c>
      <c r="V1401" s="191">
        <f t="shared" si="211"/>
        <v>1</v>
      </c>
      <c r="W1401" s="7">
        <f t="shared" si="212"/>
        <v>2026</v>
      </c>
    </row>
    <row r="1402" spans="2:23" ht="31.95" customHeight="1" thickBot="1" x14ac:dyDescent="0.35">
      <c r="B1402" s="26">
        <v>46027</v>
      </c>
      <c r="C1402" s="51">
        <f t="shared" si="215"/>
        <v>1398</v>
      </c>
      <c r="D1402" s="27" t="s">
        <v>822</v>
      </c>
      <c r="E1402" s="26" t="s">
        <v>1706</v>
      </c>
      <c r="F1402" s="26" t="s">
        <v>1713</v>
      </c>
      <c r="G1402" s="28" t="s">
        <v>11</v>
      </c>
      <c r="H1402" s="254">
        <v>3776.56</v>
      </c>
      <c r="I1402" s="49">
        <v>2</v>
      </c>
      <c r="J1402" s="49">
        <v>0</v>
      </c>
      <c r="K1402" s="52">
        <f t="shared" si="218"/>
        <v>0</v>
      </c>
      <c r="L1402" s="209">
        <f t="shared" si="219"/>
        <v>2</v>
      </c>
      <c r="M1402" s="210">
        <f t="shared" si="220"/>
        <v>1</v>
      </c>
      <c r="N1402" s="26">
        <v>46030</v>
      </c>
      <c r="O1402" s="26"/>
      <c r="P1402" s="27"/>
      <c r="Q1402" s="2">
        <f t="shared" si="210"/>
        <v>1</v>
      </c>
      <c r="S1402" s="7">
        <f t="shared" si="213"/>
        <v>0</v>
      </c>
      <c r="T1402" s="157">
        <f t="shared" si="214"/>
        <v>0</v>
      </c>
      <c r="V1402" s="191">
        <f t="shared" si="211"/>
        <v>1</v>
      </c>
      <c r="W1402" s="7">
        <f t="shared" si="212"/>
        <v>2026</v>
      </c>
    </row>
    <row r="1403" spans="2:23" ht="31.95" customHeight="1" thickBot="1" x14ac:dyDescent="0.35">
      <c r="B1403" s="26">
        <v>46028</v>
      </c>
      <c r="C1403" s="51">
        <f t="shared" si="215"/>
        <v>1399</v>
      </c>
      <c r="D1403" s="27" t="s">
        <v>1721</v>
      </c>
      <c r="E1403" s="26" t="s">
        <v>1707</v>
      </c>
      <c r="F1403" s="26" t="s">
        <v>1708</v>
      </c>
      <c r="G1403" s="28" t="s">
        <v>11</v>
      </c>
      <c r="H1403" s="254">
        <v>25132.859999999997</v>
      </c>
      <c r="I1403" s="49">
        <v>3</v>
      </c>
      <c r="J1403" s="49">
        <v>0</v>
      </c>
      <c r="K1403" s="52">
        <f t="shared" si="218"/>
        <v>0</v>
      </c>
      <c r="L1403" s="209">
        <f t="shared" si="219"/>
        <v>3</v>
      </c>
      <c r="M1403" s="210">
        <f t="shared" si="220"/>
        <v>1</v>
      </c>
      <c r="N1403" s="26">
        <v>46030</v>
      </c>
      <c r="O1403" s="26"/>
      <c r="P1403" s="27"/>
      <c r="Q1403" s="2">
        <f t="shared" si="210"/>
        <v>1</v>
      </c>
      <c r="S1403" s="7">
        <f t="shared" si="213"/>
        <v>0</v>
      </c>
      <c r="T1403" s="157">
        <f t="shared" si="214"/>
        <v>0</v>
      </c>
      <c r="V1403" s="191">
        <f t="shared" si="211"/>
        <v>1</v>
      </c>
      <c r="W1403" s="7">
        <f t="shared" si="212"/>
        <v>2026</v>
      </c>
    </row>
    <row r="1404" spans="2:23" ht="31.95" customHeight="1" thickBot="1" x14ac:dyDescent="0.35">
      <c r="B1404" s="26">
        <v>46028</v>
      </c>
      <c r="C1404" s="51">
        <f t="shared" si="215"/>
        <v>1400</v>
      </c>
      <c r="D1404" s="27" t="s">
        <v>822</v>
      </c>
      <c r="E1404" s="26" t="s">
        <v>1705</v>
      </c>
      <c r="F1404" s="26" t="s">
        <v>1709</v>
      </c>
      <c r="G1404" s="28" t="s">
        <v>11</v>
      </c>
      <c r="H1404" s="254">
        <v>87772.69</v>
      </c>
      <c r="I1404" s="49">
        <v>17</v>
      </c>
      <c r="J1404" s="49">
        <v>0</v>
      </c>
      <c r="K1404" s="52">
        <f t="shared" si="218"/>
        <v>0</v>
      </c>
      <c r="L1404" s="209">
        <f t="shared" si="219"/>
        <v>17</v>
      </c>
      <c r="M1404" s="210">
        <f t="shared" si="220"/>
        <v>1</v>
      </c>
      <c r="N1404" s="26">
        <v>46034</v>
      </c>
      <c r="O1404" s="26"/>
      <c r="P1404" s="27"/>
      <c r="Q1404" s="2">
        <f t="shared" si="210"/>
        <v>1</v>
      </c>
      <c r="S1404" s="7">
        <f t="shared" si="213"/>
        <v>0</v>
      </c>
      <c r="T1404" s="157">
        <f t="shared" si="214"/>
        <v>0</v>
      </c>
      <c r="V1404" s="191">
        <f t="shared" si="211"/>
        <v>1</v>
      </c>
      <c r="W1404" s="7">
        <f t="shared" si="212"/>
        <v>2026</v>
      </c>
    </row>
    <row r="1405" spans="2:23" ht="31.95" customHeight="1" thickBot="1" x14ac:dyDescent="0.35">
      <c r="B1405" s="26">
        <v>46028</v>
      </c>
      <c r="C1405" s="51">
        <f t="shared" si="215"/>
        <v>1401</v>
      </c>
      <c r="D1405" s="27" t="s">
        <v>822</v>
      </c>
      <c r="E1405" s="26" t="s">
        <v>1705</v>
      </c>
      <c r="F1405" s="26" t="s">
        <v>1709</v>
      </c>
      <c r="G1405" s="28" t="s">
        <v>11</v>
      </c>
      <c r="H1405" s="254">
        <v>4863.5600000000004</v>
      </c>
      <c r="I1405" s="49">
        <v>3</v>
      </c>
      <c r="J1405" s="49">
        <v>1</v>
      </c>
      <c r="K1405" s="52">
        <f t="shared" si="218"/>
        <v>0.33333333333333331</v>
      </c>
      <c r="L1405" s="209">
        <f t="shared" si="219"/>
        <v>2</v>
      </c>
      <c r="M1405" s="210">
        <f t="shared" si="220"/>
        <v>0.66666666666666674</v>
      </c>
      <c r="N1405" s="26">
        <v>46031</v>
      </c>
      <c r="O1405" s="26">
        <v>46037</v>
      </c>
      <c r="P1405" s="27"/>
      <c r="Q1405" s="2">
        <f t="shared" si="210"/>
        <v>1</v>
      </c>
      <c r="S1405" s="7">
        <f t="shared" si="213"/>
        <v>0</v>
      </c>
      <c r="T1405" s="157">
        <f t="shared" si="214"/>
        <v>0</v>
      </c>
      <c r="V1405" s="191">
        <f t="shared" si="211"/>
        <v>1</v>
      </c>
      <c r="W1405" s="7">
        <f t="shared" si="212"/>
        <v>2026</v>
      </c>
    </row>
    <row r="1406" spans="2:23" ht="31.95" customHeight="1" thickBot="1" x14ac:dyDescent="0.35">
      <c r="B1406" s="26">
        <v>46028</v>
      </c>
      <c r="C1406" s="51">
        <f t="shared" si="215"/>
        <v>1402</v>
      </c>
      <c r="D1406" s="27" t="s">
        <v>822</v>
      </c>
      <c r="E1406" s="26" t="s">
        <v>1705</v>
      </c>
      <c r="F1406" s="26" t="s">
        <v>1727</v>
      </c>
      <c r="G1406" s="28" t="s">
        <v>11</v>
      </c>
      <c r="H1406" s="254">
        <v>834.78</v>
      </c>
      <c r="I1406" s="49">
        <v>1</v>
      </c>
      <c r="J1406" s="49">
        <v>0</v>
      </c>
      <c r="K1406" s="52">
        <f t="shared" si="218"/>
        <v>0</v>
      </c>
      <c r="L1406" s="209">
        <f t="shared" si="219"/>
        <v>1</v>
      </c>
      <c r="M1406" s="210">
        <f t="shared" si="220"/>
        <v>1</v>
      </c>
      <c r="N1406" s="26">
        <v>46034</v>
      </c>
      <c r="O1406" s="26"/>
      <c r="P1406" s="27"/>
      <c r="Q1406" s="2">
        <f t="shared" si="210"/>
        <v>1</v>
      </c>
      <c r="S1406" s="7">
        <f t="shared" si="213"/>
        <v>0</v>
      </c>
      <c r="T1406" s="157">
        <f t="shared" si="214"/>
        <v>0</v>
      </c>
      <c r="V1406" s="191">
        <f t="shared" si="211"/>
        <v>1</v>
      </c>
      <c r="W1406" s="7">
        <f t="shared" si="212"/>
        <v>2026</v>
      </c>
    </row>
    <row r="1407" spans="2:23" ht="31.95" customHeight="1" thickBot="1" x14ac:dyDescent="0.35">
      <c r="B1407" s="26">
        <v>46028</v>
      </c>
      <c r="C1407" s="51">
        <f t="shared" si="215"/>
        <v>1403</v>
      </c>
      <c r="D1407" s="27" t="s">
        <v>594</v>
      </c>
      <c r="E1407" s="26" t="s">
        <v>1705</v>
      </c>
      <c r="F1407" s="26" t="s">
        <v>1709</v>
      </c>
      <c r="G1407" s="28" t="s">
        <v>11</v>
      </c>
      <c r="H1407" s="254">
        <v>1424</v>
      </c>
      <c r="I1407" s="49">
        <v>2</v>
      </c>
      <c r="J1407" s="49">
        <v>2</v>
      </c>
      <c r="K1407" s="52">
        <f t="shared" si="218"/>
        <v>1</v>
      </c>
      <c r="L1407" s="209">
        <f t="shared" si="219"/>
        <v>0</v>
      </c>
      <c r="M1407" s="210">
        <f t="shared" si="220"/>
        <v>0</v>
      </c>
      <c r="N1407" s="26">
        <v>46038</v>
      </c>
      <c r="O1407" s="26">
        <v>46034</v>
      </c>
      <c r="P1407" s="27"/>
      <c r="Q1407" s="2">
        <f t="shared" si="210"/>
        <v>1</v>
      </c>
      <c r="S1407" s="7">
        <f t="shared" si="213"/>
        <v>1</v>
      </c>
      <c r="T1407" s="157">
        <f t="shared" si="214"/>
        <v>0</v>
      </c>
      <c r="V1407" s="191">
        <f t="shared" si="211"/>
        <v>1</v>
      </c>
      <c r="W1407" s="7">
        <f t="shared" si="212"/>
        <v>2026</v>
      </c>
    </row>
    <row r="1408" spans="2:23" ht="31.95" customHeight="1" thickBot="1" x14ac:dyDescent="0.35">
      <c r="B1408" s="26">
        <v>46028</v>
      </c>
      <c r="C1408" s="51">
        <f t="shared" si="215"/>
        <v>1404</v>
      </c>
      <c r="D1408" s="27" t="s">
        <v>1663</v>
      </c>
      <c r="E1408" s="26" t="s">
        <v>1702</v>
      </c>
      <c r="F1408" s="26" t="s">
        <v>1728</v>
      </c>
      <c r="G1408" s="28" t="s">
        <v>11</v>
      </c>
      <c r="H1408" s="254">
        <v>1068.1600000000001</v>
      </c>
      <c r="I1408" s="49">
        <v>2</v>
      </c>
      <c r="J1408" s="49">
        <v>0</v>
      </c>
      <c r="K1408" s="52">
        <f t="shared" si="218"/>
        <v>0</v>
      </c>
      <c r="L1408" s="209">
        <f t="shared" si="219"/>
        <v>2</v>
      </c>
      <c r="M1408" s="210">
        <f t="shared" si="220"/>
        <v>1</v>
      </c>
      <c r="N1408" s="26">
        <v>46036</v>
      </c>
      <c r="O1408" s="26"/>
      <c r="P1408" s="27"/>
      <c r="Q1408" s="2">
        <f t="shared" si="210"/>
        <v>1</v>
      </c>
      <c r="S1408" s="7">
        <f t="shared" si="213"/>
        <v>0</v>
      </c>
      <c r="T1408" s="157">
        <f t="shared" si="214"/>
        <v>0</v>
      </c>
      <c r="V1408" s="191">
        <f t="shared" si="211"/>
        <v>1</v>
      </c>
      <c r="W1408" s="7">
        <f t="shared" si="212"/>
        <v>2026</v>
      </c>
    </row>
    <row r="1409" spans="2:23" ht="31.95" customHeight="1" thickBot="1" x14ac:dyDescent="0.35">
      <c r="B1409" s="26">
        <v>46028</v>
      </c>
      <c r="C1409" s="51">
        <f t="shared" si="215"/>
        <v>1405</v>
      </c>
      <c r="D1409" s="27" t="s">
        <v>1533</v>
      </c>
      <c r="E1409" s="26" t="s">
        <v>1706</v>
      </c>
      <c r="F1409" s="26" t="s">
        <v>1729</v>
      </c>
      <c r="G1409" s="28" t="s">
        <v>11</v>
      </c>
      <c r="H1409" s="254">
        <v>223.74</v>
      </c>
      <c r="I1409" s="49">
        <v>1</v>
      </c>
      <c r="J1409" s="49">
        <v>0</v>
      </c>
      <c r="K1409" s="52">
        <f t="shared" si="218"/>
        <v>0</v>
      </c>
      <c r="L1409" s="209">
        <f t="shared" si="219"/>
        <v>1</v>
      </c>
      <c r="M1409" s="210">
        <f t="shared" si="220"/>
        <v>1</v>
      </c>
      <c r="N1409" s="26">
        <v>46034</v>
      </c>
      <c r="O1409" s="26"/>
      <c r="P1409" s="27"/>
      <c r="Q1409" s="2">
        <f t="shared" si="210"/>
        <v>1</v>
      </c>
      <c r="S1409" s="7">
        <f t="shared" si="213"/>
        <v>0</v>
      </c>
      <c r="T1409" s="157">
        <f t="shared" si="214"/>
        <v>0</v>
      </c>
      <c r="V1409" s="191">
        <f t="shared" si="211"/>
        <v>1</v>
      </c>
      <c r="W1409" s="7">
        <f t="shared" si="212"/>
        <v>2026</v>
      </c>
    </row>
    <row r="1410" spans="2:23" ht="31.95" customHeight="1" thickBot="1" x14ac:dyDescent="0.35">
      <c r="B1410" s="26">
        <v>46028</v>
      </c>
      <c r="C1410" s="51">
        <f t="shared" si="215"/>
        <v>1406</v>
      </c>
      <c r="D1410" s="27" t="s">
        <v>1150</v>
      </c>
      <c r="E1410" s="26" t="s">
        <v>1617</v>
      </c>
      <c r="F1410" s="26" t="s">
        <v>1718</v>
      </c>
      <c r="G1410" s="28" t="s">
        <v>11</v>
      </c>
      <c r="H1410" s="254">
        <f>1885.3+2105.2</f>
        <v>3990.5</v>
      </c>
      <c r="I1410" s="49">
        <v>2</v>
      </c>
      <c r="J1410" s="49">
        <v>2</v>
      </c>
      <c r="K1410" s="52">
        <f t="shared" si="218"/>
        <v>1</v>
      </c>
      <c r="L1410" s="209">
        <f t="shared" si="219"/>
        <v>0</v>
      </c>
      <c r="M1410" s="210">
        <f t="shared" si="220"/>
        <v>0</v>
      </c>
      <c r="N1410" s="26">
        <v>46030</v>
      </c>
      <c r="O1410" s="26">
        <v>46030</v>
      </c>
      <c r="P1410" s="27"/>
      <c r="Q1410" s="2">
        <f t="shared" si="210"/>
        <v>1</v>
      </c>
      <c r="S1410" s="7">
        <f t="shared" si="213"/>
        <v>1</v>
      </c>
      <c r="T1410" s="157">
        <f t="shared" si="214"/>
        <v>0</v>
      </c>
      <c r="V1410" s="191">
        <f t="shared" si="211"/>
        <v>1</v>
      </c>
      <c r="W1410" s="7">
        <f t="shared" si="212"/>
        <v>2026</v>
      </c>
    </row>
    <row r="1411" spans="2:23" ht="31.95" customHeight="1" thickBot="1" x14ac:dyDescent="0.35">
      <c r="B1411" s="26">
        <v>46029</v>
      </c>
      <c r="C1411" s="51">
        <f t="shared" si="215"/>
        <v>1407</v>
      </c>
      <c r="D1411" s="27" t="s">
        <v>822</v>
      </c>
      <c r="E1411" s="26" t="s">
        <v>1707</v>
      </c>
      <c r="F1411" s="26" t="s">
        <v>1708</v>
      </c>
      <c r="G1411" s="28" t="s">
        <v>11</v>
      </c>
      <c r="H1411" s="254">
        <f>112500+227.8</f>
        <v>112727.8</v>
      </c>
      <c r="I1411" s="49">
        <v>2</v>
      </c>
      <c r="J1411" s="49">
        <v>0</v>
      </c>
      <c r="K1411" s="52">
        <f t="shared" si="218"/>
        <v>0</v>
      </c>
      <c r="L1411" s="209">
        <f t="shared" si="219"/>
        <v>2</v>
      </c>
      <c r="M1411" s="210">
        <f t="shared" si="220"/>
        <v>1</v>
      </c>
      <c r="N1411" s="26">
        <v>46035</v>
      </c>
      <c r="O1411" s="26"/>
      <c r="P1411" s="27"/>
      <c r="Q1411" s="2">
        <f t="shared" si="210"/>
        <v>1</v>
      </c>
      <c r="S1411" s="7">
        <f t="shared" si="213"/>
        <v>0</v>
      </c>
      <c r="T1411" s="157">
        <f t="shared" si="214"/>
        <v>0</v>
      </c>
      <c r="V1411" s="191">
        <f t="shared" si="211"/>
        <v>1</v>
      </c>
      <c r="W1411" s="7">
        <f t="shared" si="212"/>
        <v>2026</v>
      </c>
    </row>
    <row r="1412" spans="2:23" ht="31.95" customHeight="1" thickBot="1" x14ac:dyDescent="0.35">
      <c r="B1412" s="26">
        <v>46029</v>
      </c>
      <c r="C1412" s="51">
        <f t="shared" si="215"/>
        <v>1408</v>
      </c>
      <c r="D1412" s="27" t="s">
        <v>1533</v>
      </c>
      <c r="E1412" s="28" t="s">
        <v>11</v>
      </c>
      <c r="F1412" s="26" t="s">
        <v>1730</v>
      </c>
      <c r="G1412" s="28" t="s">
        <v>11</v>
      </c>
      <c r="H1412" s="254">
        <v>695.84</v>
      </c>
      <c r="I1412" s="49">
        <v>4</v>
      </c>
      <c r="J1412" s="49">
        <v>0</v>
      </c>
      <c r="K1412" s="52">
        <f t="shared" si="218"/>
        <v>0</v>
      </c>
      <c r="L1412" s="209">
        <f t="shared" si="219"/>
        <v>4</v>
      </c>
      <c r="M1412" s="210">
        <f t="shared" si="220"/>
        <v>1</v>
      </c>
      <c r="N1412" s="26">
        <v>46034</v>
      </c>
      <c r="O1412" s="26"/>
      <c r="P1412" s="27"/>
      <c r="Q1412" s="2">
        <f t="shared" si="210"/>
        <v>1</v>
      </c>
      <c r="S1412" s="7">
        <f t="shared" si="213"/>
        <v>0</v>
      </c>
      <c r="T1412" s="157">
        <f t="shared" si="214"/>
        <v>0</v>
      </c>
      <c r="V1412" s="191">
        <f t="shared" si="211"/>
        <v>1</v>
      </c>
      <c r="W1412" s="7">
        <f t="shared" si="212"/>
        <v>2026</v>
      </c>
    </row>
    <row r="1413" spans="2:23" ht="31.95" customHeight="1" thickBot="1" x14ac:dyDescent="0.35">
      <c r="B1413" s="26">
        <v>46030</v>
      </c>
      <c r="C1413" s="51">
        <f t="shared" si="215"/>
        <v>1409</v>
      </c>
      <c r="D1413" s="27" t="s">
        <v>722</v>
      </c>
      <c r="E1413" s="28" t="s">
        <v>11</v>
      </c>
      <c r="F1413" s="28" t="s">
        <v>11</v>
      </c>
      <c r="G1413" s="28" t="s">
        <v>11</v>
      </c>
      <c r="H1413" s="254">
        <v>10698.19</v>
      </c>
      <c r="I1413" s="49">
        <v>11</v>
      </c>
      <c r="J1413" s="49">
        <v>11</v>
      </c>
      <c r="K1413" s="52">
        <f t="shared" si="218"/>
        <v>1</v>
      </c>
      <c r="L1413" s="209">
        <f t="shared" si="219"/>
        <v>0</v>
      </c>
      <c r="M1413" s="210">
        <f t="shared" si="220"/>
        <v>0</v>
      </c>
      <c r="N1413" s="26">
        <v>46037</v>
      </c>
      <c r="O1413" s="26">
        <v>46036</v>
      </c>
      <c r="P1413" s="27"/>
      <c r="Q1413" s="2">
        <f t="shared" ref="Q1413:Q1476" si="221">IF(B1413&lt;&gt;"",1,0)</f>
        <v>1</v>
      </c>
      <c r="S1413" s="7">
        <f t="shared" si="213"/>
        <v>1</v>
      </c>
      <c r="T1413" s="157">
        <f t="shared" si="214"/>
        <v>0</v>
      </c>
      <c r="V1413" s="191">
        <f t="shared" ref="V1413:V1476" si="222">MONTH(B1413)</f>
        <v>1</v>
      </c>
      <c r="W1413" s="7">
        <f t="shared" ref="W1413:W1476" si="223">YEAR(B1413)</f>
        <v>2026</v>
      </c>
    </row>
    <row r="1414" spans="2:23" ht="31.95" customHeight="1" thickBot="1" x14ac:dyDescent="0.35">
      <c r="B1414" s="26">
        <v>46030</v>
      </c>
      <c r="C1414" s="51">
        <f t="shared" si="215"/>
        <v>1410</v>
      </c>
      <c r="D1414" s="27" t="s">
        <v>427</v>
      </c>
      <c r="E1414" s="26" t="s">
        <v>1617</v>
      </c>
      <c r="F1414" s="26" t="s">
        <v>1718</v>
      </c>
      <c r="G1414" s="28" t="s">
        <v>11</v>
      </c>
      <c r="H1414" s="254">
        <v>21406.82</v>
      </c>
      <c r="I1414" s="49">
        <v>1</v>
      </c>
      <c r="J1414" s="49">
        <v>1</v>
      </c>
      <c r="K1414" s="52">
        <f t="shared" si="218"/>
        <v>1</v>
      </c>
      <c r="L1414" s="209">
        <f t="shared" si="219"/>
        <v>0</v>
      </c>
      <c r="M1414" s="210">
        <f t="shared" si="220"/>
        <v>0</v>
      </c>
      <c r="N1414" s="26">
        <v>46038</v>
      </c>
      <c r="O1414" s="26">
        <v>46038</v>
      </c>
      <c r="P1414" s="27"/>
      <c r="Q1414" s="2">
        <f t="shared" si="221"/>
        <v>1</v>
      </c>
      <c r="S1414" s="7">
        <f t="shared" ref="S1414:S1477" si="224">IF(AND(O1414&lt;=N1414,O1414&lt;&gt;""),1,0)</f>
        <v>1</v>
      </c>
      <c r="T1414" s="157">
        <f t="shared" ref="T1414:T1477" si="225">IF(AND(P1414&lt;=N1414,P1414&lt;&gt;""),1,0)</f>
        <v>0</v>
      </c>
      <c r="V1414" s="191">
        <f t="shared" si="222"/>
        <v>1</v>
      </c>
      <c r="W1414" s="7">
        <f t="shared" si="223"/>
        <v>2026</v>
      </c>
    </row>
    <row r="1415" spans="2:23" ht="31.95" customHeight="1" thickBot="1" x14ac:dyDescent="0.35">
      <c r="B1415" s="26">
        <v>46030</v>
      </c>
      <c r="C1415" s="51">
        <f t="shared" ref="C1415:C1478" si="226">IF(B1415&lt;&gt;"",C1414+1,"")</f>
        <v>1411</v>
      </c>
      <c r="D1415" s="27" t="s">
        <v>269</v>
      </c>
      <c r="E1415" s="26" t="s">
        <v>1319</v>
      </c>
      <c r="F1415" s="26" t="s">
        <v>1734</v>
      </c>
      <c r="G1415" s="28" t="s">
        <v>11</v>
      </c>
      <c r="H1415" s="254">
        <v>3620.06</v>
      </c>
      <c r="I1415" s="49">
        <v>4</v>
      </c>
      <c r="J1415" s="49">
        <v>0</v>
      </c>
      <c r="K1415" s="52">
        <f t="shared" si="218"/>
        <v>0</v>
      </c>
      <c r="L1415" s="209">
        <f t="shared" si="219"/>
        <v>4</v>
      </c>
      <c r="M1415" s="210">
        <f t="shared" si="220"/>
        <v>1</v>
      </c>
      <c r="N1415" s="26">
        <v>46030</v>
      </c>
      <c r="O1415" s="26"/>
      <c r="P1415" s="27"/>
      <c r="Q1415" s="2">
        <f t="shared" si="221"/>
        <v>1</v>
      </c>
      <c r="S1415" s="7">
        <f t="shared" si="224"/>
        <v>0</v>
      </c>
      <c r="T1415" s="157">
        <f t="shared" si="225"/>
        <v>0</v>
      </c>
      <c r="V1415" s="191">
        <f t="shared" si="222"/>
        <v>1</v>
      </c>
      <c r="W1415" s="7">
        <f t="shared" si="223"/>
        <v>2026</v>
      </c>
    </row>
    <row r="1416" spans="2:23" ht="31.95" customHeight="1" thickBot="1" x14ac:dyDescent="0.35">
      <c r="B1416" s="26">
        <v>46030</v>
      </c>
      <c r="C1416" s="51">
        <f t="shared" si="226"/>
        <v>1412</v>
      </c>
      <c r="D1416" s="27" t="s">
        <v>822</v>
      </c>
      <c r="E1416" s="26" t="s">
        <v>1732</v>
      </c>
      <c r="F1416" s="26" t="s">
        <v>1771</v>
      </c>
      <c r="G1416" s="28" t="s">
        <v>11</v>
      </c>
      <c r="H1416" s="254">
        <v>513.66</v>
      </c>
      <c r="I1416" s="49">
        <v>1</v>
      </c>
      <c r="J1416" s="49">
        <v>1</v>
      </c>
      <c r="K1416" s="52">
        <f t="shared" si="218"/>
        <v>1</v>
      </c>
      <c r="L1416" s="209">
        <f t="shared" si="219"/>
        <v>0</v>
      </c>
      <c r="M1416" s="210">
        <f t="shared" si="220"/>
        <v>0</v>
      </c>
      <c r="N1416" s="26">
        <v>46031</v>
      </c>
      <c r="O1416" s="26">
        <v>46030</v>
      </c>
      <c r="P1416" s="27"/>
      <c r="Q1416" s="2">
        <f t="shared" si="221"/>
        <v>1</v>
      </c>
      <c r="S1416" s="7">
        <f t="shared" si="224"/>
        <v>1</v>
      </c>
      <c r="T1416" s="157">
        <f t="shared" si="225"/>
        <v>0</v>
      </c>
      <c r="V1416" s="191">
        <f t="shared" si="222"/>
        <v>1</v>
      </c>
      <c r="W1416" s="7">
        <f t="shared" si="223"/>
        <v>2026</v>
      </c>
    </row>
    <row r="1417" spans="2:23" ht="31.95" customHeight="1" thickBot="1" x14ac:dyDescent="0.35">
      <c r="B1417" s="26">
        <v>46034</v>
      </c>
      <c r="C1417" s="51">
        <f t="shared" si="226"/>
        <v>1413</v>
      </c>
      <c r="D1417" s="27" t="s">
        <v>1735</v>
      </c>
      <c r="E1417" s="26" t="s">
        <v>1741</v>
      </c>
      <c r="F1417" s="26" t="s">
        <v>1772</v>
      </c>
      <c r="G1417" s="28" t="s">
        <v>11</v>
      </c>
      <c r="H1417" s="254">
        <v>460</v>
      </c>
      <c r="I1417" s="49">
        <v>1</v>
      </c>
      <c r="J1417" s="49">
        <v>0</v>
      </c>
      <c r="K1417" s="52">
        <f t="shared" si="218"/>
        <v>0</v>
      </c>
      <c r="L1417" s="209">
        <f t="shared" si="219"/>
        <v>1</v>
      </c>
      <c r="M1417" s="210">
        <f t="shared" si="220"/>
        <v>1</v>
      </c>
      <c r="N1417" s="26">
        <v>46034</v>
      </c>
      <c r="O1417" s="26"/>
      <c r="P1417" s="27"/>
      <c r="Q1417" s="2">
        <f t="shared" si="221"/>
        <v>1</v>
      </c>
      <c r="S1417" s="7">
        <f t="shared" si="224"/>
        <v>0</v>
      </c>
      <c r="T1417" s="157">
        <f t="shared" si="225"/>
        <v>0</v>
      </c>
      <c r="V1417" s="191">
        <f t="shared" si="222"/>
        <v>1</v>
      </c>
      <c r="W1417" s="7">
        <f t="shared" si="223"/>
        <v>2026</v>
      </c>
    </row>
    <row r="1418" spans="2:23" ht="31.95" customHeight="1" thickBot="1" x14ac:dyDescent="0.35">
      <c r="B1418" s="26">
        <v>46034</v>
      </c>
      <c r="C1418" s="51">
        <f t="shared" si="226"/>
        <v>1414</v>
      </c>
      <c r="D1418" s="27" t="s">
        <v>305</v>
      </c>
      <c r="E1418" s="26" t="s">
        <v>1319</v>
      </c>
      <c r="F1418" s="26" t="s">
        <v>1773</v>
      </c>
      <c r="G1418" s="28" t="s">
        <v>11</v>
      </c>
      <c r="H1418" s="254">
        <v>131</v>
      </c>
      <c r="I1418" s="49">
        <v>2</v>
      </c>
      <c r="J1418" s="49">
        <v>0</v>
      </c>
      <c r="K1418" s="52">
        <f t="shared" si="218"/>
        <v>0</v>
      </c>
      <c r="L1418" s="209">
        <f t="shared" si="219"/>
        <v>2</v>
      </c>
      <c r="M1418" s="210">
        <f t="shared" si="220"/>
        <v>1</v>
      </c>
      <c r="N1418" s="26">
        <v>46034</v>
      </c>
      <c r="O1418" s="26"/>
      <c r="P1418" s="27"/>
      <c r="Q1418" s="2">
        <f t="shared" si="221"/>
        <v>1</v>
      </c>
      <c r="S1418" s="7">
        <f t="shared" si="224"/>
        <v>0</v>
      </c>
      <c r="T1418" s="157">
        <f t="shared" si="225"/>
        <v>0</v>
      </c>
      <c r="V1418" s="191">
        <f t="shared" si="222"/>
        <v>1</v>
      </c>
      <c r="W1418" s="7">
        <f t="shared" si="223"/>
        <v>2026</v>
      </c>
    </row>
    <row r="1419" spans="2:23" ht="31.95" customHeight="1" thickBot="1" x14ac:dyDescent="0.35">
      <c r="B1419" s="26">
        <v>46034</v>
      </c>
      <c r="C1419" s="51">
        <f t="shared" si="226"/>
        <v>1415</v>
      </c>
      <c r="D1419" s="27" t="s">
        <v>705</v>
      </c>
      <c r="E1419" s="26" t="s">
        <v>1319</v>
      </c>
      <c r="F1419" s="26" t="s">
        <v>1773</v>
      </c>
      <c r="G1419" s="28" t="s">
        <v>11</v>
      </c>
      <c r="H1419" s="254">
        <v>1580</v>
      </c>
      <c r="I1419" s="49">
        <v>3</v>
      </c>
      <c r="J1419" s="49">
        <v>0</v>
      </c>
      <c r="K1419" s="52">
        <f t="shared" si="218"/>
        <v>0</v>
      </c>
      <c r="L1419" s="209">
        <f t="shared" si="219"/>
        <v>3</v>
      </c>
      <c r="M1419" s="210">
        <f t="shared" si="220"/>
        <v>1</v>
      </c>
      <c r="N1419" s="26">
        <v>46034</v>
      </c>
      <c r="O1419" s="26"/>
      <c r="P1419" s="27"/>
      <c r="Q1419" s="2">
        <f t="shared" si="221"/>
        <v>1</v>
      </c>
      <c r="S1419" s="7">
        <f t="shared" si="224"/>
        <v>0</v>
      </c>
      <c r="T1419" s="157">
        <f t="shared" si="225"/>
        <v>0</v>
      </c>
      <c r="V1419" s="191">
        <f t="shared" si="222"/>
        <v>1</v>
      </c>
      <c r="W1419" s="7">
        <f t="shared" si="223"/>
        <v>2026</v>
      </c>
    </row>
    <row r="1420" spans="2:23" ht="31.95" customHeight="1" thickBot="1" x14ac:dyDescent="0.35">
      <c r="B1420" s="26">
        <v>46034</v>
      </c>
      <c r="C1420" s="51">
        <f t="shared" si="226"/>
        <v>1416</v>
      </c>
      <c r="D1420" s="27" t="s">
        <v>822</v>
      </c>
      <c r="E1420" s="26" t="s">
        <v>1742</v>
      </c>
      <c r="F1420" s="26" t="s">
        <v>1774</v>
      </c>
      <c r="G1420" s="28" t="s">
        <v>11</v>
      </c>
      <c r="H1420" s="254">
        <v>368.7</v>
      </c>
      <c r="I1420" s="49">
        <v>1</v>
      </c>
      <c r="J1420" s="49">
        <v>0</v>
      </c>
      <c r="K1420" s="52">
        <f t="shared" si="218"/>
        <v>0</v>
      </c>
      <c r="L1420" s="209">
        <f t="shared" si="219"/>
        <v>1</v>
      </c>
      <c r="M1420" s="210">
        <f t="shared" si="220"/>
        <v>1</v>
      </c>
      <c r="N1420" s="26">
        <v>46034</v>
      </c>
      <c r="O1420" s="26"/>
      <c r="P1420" s="27"/>
      <c r="Q1420" s="2">
        <f t="shared" si="221"/>
        <v>1</v>
      </c>
      <c r="S1420" s="7">
        <f t="shared" si="224"/>
        <v>0</v>
      </c>
      <c r="T1420" s="157">
        <f t="shared" si="225"/>
        <v>0</v>
      </c>
      <c r="V1420" s="191">
        <f t="shared" si="222"/>
        <v>1</v>
      </c>
      <c r="W1420" s="7">
        <f t="shared" si="223"/>
        <v>2026</v>
      </c>
    </row>
    <row r="1421" spans="2:23" ht="31.95" customHeight="1" thickBot="1" x14ac:dyDescent="0.35">
      <c r="B1421" s="26">
        <v>46034</v>
      </c>
      <c r="C1421" s="51">
        <f t="shared" si="226"/>
        <v>1417</v>
      </c>
      <c r="D1421" s="27" t="s">
        <v>1150</v>
      </c>
      <c r="E1421" s="26" t="s">
        <v>1742</v>
      </c>
      <c r="F1421" s="26" t="s">
        <v>1774</v>
      </c>
      <c r="G1421" s="28" t="s">
        <v>11</v>
      </c>
      <c r="H1421" s="254">
        <v>1530</v>
      </c>
      <c r="I1421" s="49">
        <v>2</v>
      </c>
      <c r="J1421" s="49">
        <v>0</v>
      </c>
      <c r="K1421" s="52">
        <f t="shared" si="218"/>
        <v>0</v>
      </c>
      <c r="L1421" s="209">
        <f t="shared" si="219"/>
        <v>2</v>
      </c>
      <c r="M1421" s="210">
        <f t="shared" si="220"/>
        <v>1</v>
      </c>
      <c r="N1421" s="26">
        <v>46036</v>
      </c>
      <c r="O1421" s="26"/>
      <c r="P1421" s="27"/>
      <c r="Q1421" s="2">
        <f t="shared" si="221"/>
        <v>1</v>
      </c>
      <c r="S1421" s="7">
        <f t="shared" si="224"/>
        <v>0</v>
      </c>
      <c r="T1421" s="157">
        <f t="shared" si="225"/>
        <v>0</v>
      </c>
      <c r="V1421" s="191">
        <f t="shared" si="222"/>
        <v>1</v>
      </c>
      <c r="W1421" s="7">
        <f t="shared" si="223"/>
        <v>2026</v>
      </c>
    </row>
    <row r="1422" spans="2:23" ht="31.95" customHeight="1" thickBot="1" x14ac:dyDescent="0.35">
      <c r="B1422" s="26">
        <v>46034</v>
      </c>
      <c r="C1422" s="51">
        <f t="shared" si="226"/>
        <v>1418</v>
      </c>
      <c r="D1422" s="27" t="s">
        <v>890</v>
      </c>
      <c r="E1422" s="26" t="s">
        <v>1743</v>
      </c>
      <c r="F1422" s="26" t="s">
        <v>1774</v>
      </c>
      <c r="G1422" s="28" t="s">
        <v>11</v>
      </c>
      <c r="H1422" s="254">
        <v>350</v>
      </c>
      <c r="I1422" s="49">
        <v>2</v>
      </c>
      <c r="J1422" s="49">
        <v>0</v>
      </c>
      <c r="K1422" s="52">
        <f t="shared" si="218"/>
        <v>0</v>
      </c>
      <c r="L1422" s="209">
        <f t="shared" si="219"/>
        <v>2</v>
      </c>
      <c r="M1422" s="210">
        <f t="shared" si="220"/>
        <v>1</v>
      </c>
      <c r="N1422" s="26">
        <v>46036</v>
      </c>
      <c r="O1422" s="26"/>
      <c r="P1422" s="27"/>
      <c r="Q1422" s="2">
        <f t="shared" si="221"/>
        <v>1</v>
      </c>
      <c r="S1422" s="7">
        <f t="shared" si="224"/>
        <v>0</v>
      </c>
      <c r="T1422" s="157">
        <f t="shared" si="225"/>
        <v>0</v>
      </c>
      <c r="V1422" s="191">
        <f t="shared" si="222"/>
        <v>1</v>
      </c>
      <c r="W1422" s="7">
        <f t="shared" si="223"/>
        <v>2026</v>
      </c>
    </row>
    <row r="1423" spans="2:23" ht="31.95" customHeight="1" thickBot="1" x14ac:dyDescent="0.35">
      <c r="B1423" s="26">
        <v>46034</v>
      </c>
      <c r="C1423" s="51">
        <f t="shared" si="226"/>
        <v>1419</v>
      </c>
      <c r="D1423" s="27" t="s">
        <v>1150</v>
      </c>
      <c r="E1423" s="26" t="s">
        <v>1744</v>
      </c>
      <c r="F1423" s="26" t="s">
        <v>1775</v>
      </c>
      <c r="G1423" s="28" t="s">
        <v>11</v>
      </c>
      <c r="H1423" s="254">
        <v>44683.3</v>
      </c>
      <c r="I1423" s="49">
        <v>2</v>
      </c>
      <c r="J1423" s="49">
        <v>2</v>
      </c>
      <c r="K1423" s="52">
        <f t="shared" si="218"/>
        <v>1</v>
      </c>
      <c r="L1423" s="209">
        <f t="shared" si="219"/>
        <v>0</v>
      </c>
      <c r="M1423" s="210">
        <f t="shared" si="220"/>
        <v>0</v>
      </c>
      <c r="N1423" s="26">
        <v>46036</v>
      </c>
      <c r="O1423" s="26">
        <v>46036</v>
      </c>
      <c r="P1423" s="27"/>
      <c r="Q1423" s="2">
        <f t="shared" si="221"/>
        <v>1</v>
      </c>
      <c r="S1423" s="7">
        <f t="shared" si="224"/>
        <v>1</v>
      </c>
      <c r="T1423" s="157">
        <f t="shared" si="225"/>
        <v>0</v>
      </c>
      <c r="V1423" s="191">
        <f t="shared" si="222"/>
        <v>1</v>
      </c>
      <c r="W1423" s="7">
        <f t="shared" si="223"/>
        <v>2026</v>
      </c>
    </row>
    <row r="1424" spans="2:23" ht="31.95" customHeight="1" thickBot="1" x14ac:dyDescent="0.35">
      <c r="B1424" s="26">
        <v>46035</v>
      </c>
      <c r="C1424" s="51">
        <f t="shared" si="226"/>
        <v>1420</v>
      </c>
      <c r="D1424" s="27" t="s">
        <v>978</v>
      </c>
      <c r="E1424" s="26" t="s">
        <v>1705</v>
      </c>
      <c r="F1424" s="26" t="s">
        <v>1709</v>
      </c>
      <c r="G1424" s="28" t="s">
        <v>11</v>
      </c>
      <c r="H1424" s="254">
        <v>1497.13</v>
      </c>
      <c r="I1424" s="49">
        <v>1</v>
      </c>
      <c r="J1424" s="49">
        <v>0</v>
      </c>
      <c r="K1424" s="52">
        <f t="shared" si="218"/>
        <v>0</v>
      </c>
      <c r="L1424" s="209">
        <f t="shared" si="219"/>
        <v>1</v>
      </c>
      <c r="M1424" s="210">
        <f t="shared" si="220"/>
        <v>1</v>
      </c>
      <c r="N1424" s="26">
        <v>46038</v>
      </c>
      <c r="O1424" s="26"/>
      <c r="P1424" s="27"/>
      <c r="Q1424" s="2">
        <f t="shared" si="221"/>
        <v>1</v>
      </c>
      <c r="S1424" s="7">
        <f t="shared" si="224"/>
        <v>0</v>
      </c>
      <c r="T1424" s="157">
        <f t="shared" si="225"/>
        <v>0</v>
      </c>
      <c r="V1424" s="191">
        <f t="shared" si="222"/>
        <v>1</v>
      </c>
      <c r="W1424" s="7">
        <f t="shared" si="223"/>
        <v>2026</v>
      </c>
    </row>
    <row r="1425" spans="2:23" ht="31.95" customHeight="1" thickBot="1" x14ac:dyDescent="0.35">
      <c r="B1425" s="26">
        <v>46035</v>
      </c>
      <c r="C1425" s="51">
        <f t="shared" si="226"/>
        <v>1421</v>
      </c>
      <c r="D1425" s="27" t="s">
        <v>1745</v>
      </c>
      <c r="E1425" s="26" t="s">
        <v>1705</v>
      </c>
      <c r="F1425" s="26" t="s">
        <v>1709</v>
      </c>
      <c r="G1425" s="28" t="s">
        <v>11</v>
      </c>
      <c r="H1425" s="254">
        <v>2235.5300000000002</v>
      </c>
      <c r="I1425" s="49">
        <v>1</v>
      </c>
      <c r="J1425" s="49">
        <v>0</v>
      </c>
      <c r="K1425" s="52">
        <f t="shared" si="218"/>
        <v>0</v>
      </c>
      <c r="L1425" s="209">
        <f t="shared" si="219"/>
        <v>1</v>
      </c>
      <c r="M1425" s="210">
        <f t="shared" si="220"/>
        <v>1</v>
      </c>
      <c r="N1425" s="26">
        <v>46041</v>
      </c>
      <c r="O1425" s="26"/>
      <c r="P1425" s="27"/>
      <c r="Q1425" s="2">
        <f t="shared" si="221"/>
        <v>1</v>
      </c>
      <c r="S1425" s="7">
        <f t="shared" si="224"/>
        <v>0</v>
      </c>
      <c r="T1425" s="157">
        <f t="shared" si="225"/>
        <v>0</v>
      </c>
      <c r="V1425" s="191">
        <f t="shared" si="222"/>
        <v>1</v>
      </c>
      <c r="W1425" s="7">
        <f t="shared" si="223"/>
        <v>2026</v>
      </c>
    </row>
    <row r="1426" spans="2:23" ht="31.95" customHeight="1" thickBot="1" x14ac:dyDescent="0.35">
      <c r="B1426" s="26">
        <v>46035</v>
      </c>
      <c r="C1426" s="51">
        <f t="shared" si="226"/>
        <v>1422</v>
      </c>
      <c r="D1426" s="27" t="s">
        <v>705</v>
      </c>
      <c r="E1426" s="26" t="s">
        <v>1705</v>
      </c>
      <c r="F1426" s="26" t="s">
        <v>1776</v>
      </c>
      <c r="G1426" s="28" t="s">
        <v>11</v>
      </c>
      <c r="H1426" s="254">
        <v>917</v>
      </c>
      <c r="I1426" s="49">
        <v>5</v>
      </c>
      <c r="J1426" s="49">
        <v>0</v>
      </c>
      <c r="K1426" s="52">
        <f t="shared" si="218"/>
        <v>0</v>
      </c>
      <c r="L1426" s="209">
        <v>3</v>
      </c>
      <c r="M1426" s="210">
        <f t="shared" si="220"/>
        <v>1</v>
      </c>
      <c r="N1426" s="26">
        <v>46035</v>
      </c>
      <c r="O1426" s="26"/>
      <c r="P1426" s="27"/>
      <c r="Q1426" s="2">
        <f t="shared" si="221"/>
        <v>1</v>
      </c>
      <c r="S1426" s="7">
        <f t="shared" si="224"/>
        <v>0</v>
      </c>
      <c r="T1426" s="157">
        <f t="shared" si="225"/>
        <v>0</v>
      </c>
      <c r="V1426" s="191">
        <f t="shared" si="222"/>
        <v>1</v>
      </c>
      <c r="W1426" s="7">
        <f t="shared" si="223"/>
        <v>2026</v>
      </c>
    </row>
    <row r="1427" spans="2:23" ht="31.95" customHeight="1" thickBot="1" x14ac:dyDescent="0.35">
      <c r="B1427" s="26">
        <v>46035</v>
      </c>
      <c r="C1427" s="51">
        <f t="shared" si="226"/>
        <v>1423</v>
      </c>
      <c r="D1427" s="27" t="s">
        <v>1751</v>
      </c>
      <c r="E1427" s="26" t="s">
        <v>1705</v>
      </c>
      <c r="F1427" s="26" t="s">
        <v>1709</v>
      </c>
      <c r="G1427" s="28" t="s">
        <v>11</v>
      </c>
      <c r="H1427" s="254">
        <v>86269.89</v>
      </c>
      <c r="I1427" s="49">
        <v>5</v>
      </c>
      <c r="J1427" s="49">
        <v>5</v>
      </c>
      <c r="K1427" s="52">
        <f t="shared" si="218"/>
        <v>1</v>
      </c>
      <c r="L1427" s="209">
        <f t="shared" si="219"/>
        <v>0</v>
      </c>
      <c r="M1427" s="210">
        <f t="shared" si="220"/>
        <v>0</v>
      </c>
      <c r="N1427" s="26">
        <v>46043</v>
      </c>
      <c r="O1427" s="26">
        <v>46043</v>
      </c>
      <c r="P1427" s="27"/>
      <c r="Q1427" s="2">
        <f t="shared" si="221"/>
        <v>1</v>
      </c>
      <c r="S1427" s="7">
        <f t="shared" si="224"/>
        <v>1</v>
      </c>
      <c r="T1427" s="157">
        <f t="shared" si="225"/>
        <v>0</v>
      </c>
      <c r="V1427" s="191">
        <f t="shared" si="222"/>
        <v>1</v>
      </c>
      <c r="W1427" s="7">
        <f t="shared" si="223"/>
        <v>2026</v>
      </c>
    </row>
    <row r="1428" spans="2:23" ht="31.95" customHeight="1" thickBot="1" x14ac:dyDescent="0.35">
      <c r="B1428" s="26">
        <v>46036</v>
      </c>
      <c r="C1428" s="51">
        <f t="shared" si="226"/>
        <v>1424</v>
      </c>
      <c r="D1428" s="27" t="s">
        <v>652</v>
      </c>
      <c r="E1428" s="26" t="s">
        <v>1707</v>
      </c>
      <c r="F1428" s="26" t="s">
        <v>1708</v>
      </c>
      <c r="G1428" s="28" t="s">
        <v>11</v>
      </c>
      <c r="H1428" s="254">
        <v>34.32</v>
      </c>
      <c r="I1428" s="49">
        <v>1</v>
      </c>
      <c r="J1428" s="49">
        <v>0</v>
      </c>
      <c r="K1428" s="52">
        <f t="shared" si="218"/>
        <v>0</v>
      </c>
      <c r="L1428" s="209">
        <f t="shared" si="219"/>
        <v>1</v>
      </c>
      <c r="M1428" s="210">
        <f t="shared" si="220"/>
        <v>1</v>
      </c>
      <c r="N1428" s="26">
        <v>46037</v>
      </c>
      <c r="O1428" s="26"/>
      <c r="P1428" s="27"/>
      <c r="Q1428" s="2">
        <f t="shared" si="221"/>
        <v>1</v>
      </c>
      <c r="S1428" s="7">
        <f t="shared" si="224"/>
        <v>0</v>
      </c>
      <c r="T1428" s="157">
        <f t="shared" si="225"/>
        <v>0</v>
      </c>
      <c r="V1428" s="191">
        <f t="shared" si="222"/>
        <v>1</v>
      </c>
      <c r="W1428" s="7">
        <f t="shared" si="223"/>
        <v>2026</v>
      </c>
    </row>
    <row r="1429" spans="2:23" ht="31.95" customHeight="1" thickBot="1" x14ac:dyDescent="0.35">
      <c r="B1429" s="26">
        <v>46036</v>
      </c>
      <c r="C1429" s="51">
        <f t="shared" si="226"/>
        <v>1425</v>
      </c>
      <c r="D1429" s="27" t="s">
        <v>741</v>
      </c>
      <c r="E1429" s="26" t="s">
        <v>1707</v>
      </c>
      <c r="F1429" s="26" t="s">
        <v>1777</v>
      </c>
      <c r="G1429" s="28" t="s">
        <v>11</v>
      </c>
      <c r="H1429" s="254">
        <v>150</v>
      </c>
      <c r="I1429" s="49">
        <v>1</v>
      </c>
      <c r="J1429" s="49">
        <v>0</v>
      </c>
      <c r="K1429" s="52">
        <f t="shared" si="218"/>
        <v>0</v>
      </c>
      <c r="L1429" s="209">
        <f t="shared" si="219"/>
        <v>1</v>
      </c>
      <c r="M1429" s="210">
        <f t="shared" si="220"/>
        <v>1</v>
      </c>
      <c r="N1429" s="26">
        <v>46044</v>
      </c>
      <c r="O1429" s="26"/>
      <c r="P1429" s="27"/>
      <c r="Q1429" s="2">
        <f t="shared" si="221"/>
        <v>1</v>
      </c>
      <c r="S1429" s="7">
        <f t="shared" si="224"/>
        <v>0</v>
      </c>
      <c r="T1429" s="157">
        <f t="shared" si="225"/>
        <v>0</v>
      </c>
      <c r="V1429" s="191">
        <f t="shared" si="222"/>
        <v>1</v>
      </c>
      <c r="W1429" s="7">
        <f t="shared" si="223"/>
        <v>2026</v>
      </c>
    </row>
    <row r="1430" spans="2:23" ht="31.95" customHeight="1" thickBot="1" x14ac:dyDescent="0.35">
      <c r="B1430" s="26">
        <v>46038</v>
      </c>
      <c r="C1430" s="51">
        <f t="shared" si="226"/>
        <v>1426</v>
      </c>
      <c r="D1430" s="27" t="s">
        <v>1150</v>
      </c>
      <c r="E1430" s="26" t="s">
        <v>1763</v>
      </c>
      <c r="F1430" s="26" t="s">
        <v>1827</v>
      </c>
      <c r="G1430" s="28" t="s">
        <v>11</v>
      </c>
      <c r="H1430" s="254">
        <v>10414.67</v>
      </c>
      <c r="I1430" s="49">
        <v>2</v>
      </c>
      <c r="J1430" s="49">
        <v>0</v>
      </c>
      <c r="K1430" s="52">
        <f t="shared" si="218"/>
        <v>0</v>
      </c>
      <c r="L1430" s="209">
        <f t="shared" si="219"/>
        <v>2</v>
      </c>
      <c r="M1430" s="210">
        <f t="shared" si="220"/>
        <v>1</v>
      </c>
      <c r="N1430" s="26">
        <v>46041</v>
      </c>
      <c r="O1430" s="26"/>
      <c r="P1430" s="27"/>
      <c r="Q1430" s="2">
        <f t="shared" si="221"/>
        <v>1</v>
      </c>
      <c r="S1430" s="7">
        <f t="shared" si="224"/>
        <v>0</v>
      </c>
      <c r="T1430" s="157">
        <f t="shared" si="225"/>
        <v>0</v>
      </c>
      <c r="V1430" s="191">
        <f t="shared" si="222"/>
        <v>1</v>
      </c>
      <c r="W1430" s="7">
        <f t="shared" si="223"/>
        <v>2026</v>
      </c>
    </row>
    <row r="1431" spans="2:23" ht="31.95" customHeight="1" thickBot="1" x14ac:dyDescent="0.35">
      <c r="B1431" s="26">
        <v>46041</v>
      </c>
      <c r="C1431" s="51">
        <f t="shared" si="226"/>
        <v>1427</v>
      </c>
      <c r="D1431" s="27" t="s">
        <v>321</v>
      </c>
      <c r="E1431" s="26" t="s">
        <v>1671</v>
      </c>
      <c r="F1431" s="26" t="s">
        <v>1778</v>
      </c>
      <c r="G1431" s="28" t="s">
        <v>11</v>
      </c>
      <c r="H1431" s="254">
        <v>1340</v>
      </c>
      <c r="I1431" s="49">
        <v>1</v>
      </c>
      <c r="J1431" s="49">
        <v>0</v>
      </c>
      <c r="K1431" s="52">
        <f t="shared" si="218"/>
        <v>0</v>
      </c>
      <c r="L1431" s="209">
        <f t="shared" si="219"/>
        <v>1</v>
      </c>
      <c r="M1431" s="210">
        <f t="shared" si="220"/>
        <v>1</v>
      </c>
      <c r="N1431" s="26">
        <v>46041</v>
      </c>
      <c r="O1431" s="26"/>
      <c r="P1431" s="27"/>
      <c r="Q1431" s="2">
        <f t="shared" si="221"/>
        <v>1</v>
      </c>
      <c r="S1431" s="7">
        <f t="shared" si="224"/>
        <v>0</v>
      </c>
      <c r="T1431" s="157">
        <f t="shared" si="225"/>
        <v>0</v>
      </c>
      <c r="V1431" s="191">
        <f t="shared" si="222"/>
        <v>1</v>
      </c>
      <c r="W1431" s="7">
        <f t="shared" si="223"/>
        <v>2026</v>
      </c>
    </row>
    <row r="1432" spans="2:23" ht="31.95" customHeight="1" thickBot="1" x14ac:dyDescent="0.35">
      <c r="B1432" s="26">
        <v>46041</v>
      </c>
      <c r="C1432" s="51">
        <v>1429</v>
      </c>
      <c r="D1432" s="27" t="s">
        <v>321</v>
      </c>
      <c r="E1432" s="26" t="s">
        <v>1671</v>
      </c>
      <c r="F1432" s="26" t="s">
        <v>1779</v>
      </c>
      <c r="G1432" s="28" t="s">
        <v>11</v>
      </c>
      <c r="H1432" s="254">
        <v>708</v>
      </c>
      <c r="I1432" s="49">
        <v>2</v>
      </c>
      <c r="J1432" s="49">
        <v>0</v>
      </c>
      <c r="K1432" s="52">
        <f t="shared" si="218"/>
        <v>0</v>
      </c>
      <c r="L1432" s="209">
        <f t="shared" si="219"/>
        <v>2</v>
      </c>
      <c r="M1432" s="210">
        <f t="shared" si="220"/>
        <v>1</v>
      </c>
      <c r="N1432" s="26">
        <v>46041</v>
      </c>
      <c r="O1432" s="26"/>
      <c r="P1432" s="27"/>
      <c r="Q1432" s="2">
        <f t="shared" si="221"/>
        <v>1</v>
      </c>
      <c r="S1432" s="7">
        <f t="shared" si="224"/>
        <v>0</v>
      </c>
      <c r="T1432" s="157">
        <f t="shared" si="225"/>
        <v>0</v>
      </c>
      <c r="V1432" s="191">
        <f t="shared" si="222"/>
        <v>1</v>
      </c>
      <c r="W1432" s="7">
        <f t="shared" si="223"/>
        <v>2026</v>
      </c>
    </row>
    <row r="1433" spans="2:23" ht="31.95" customHeight="1" thickBot="1" x14ac:dyDescent="0.35">
      <c r="B1433" s="26">
        <v>46041</v>
      </c>
      <c r="C1433" s="51">
        <f t="shared" si="226"/>
        <v>1430</v>
      </c>
      <c r="D1433" s="27" t="s">
        <v>317</v>
      </c>
      <c r="E1433" s="26" t="s">
        <v>1319</v>
      </c>
      <c r="F1433" s="26" t="s">
        <v>1779</v>
      </c>
      <c r="G1433" s="28" t="s">
        <v>11</v>
      </c>
      <c r="H1433" s="254">
        <v>672.8</v>
      </c>
      <c r="I1433" s="49">
        <v>2</v>
      </c>
      <c r="J1433" s="49">
        <v>0</v>
      </c>
      <c r="K1433" s="52">
        <f t="shared" si="218"/>
        <v>0</v>
      </c>
      <c r="L1433" s="209">
        <f t="shared" si="219"/>
        <v>2</v>
      </c>
      <c r="M1433" s="210">
        <f t="shared" si="220"/>
        <v>1</v>
      </c>
      <c r="N1433" s="26">
        <v>46041</v>
      </c>
      <c r="O1433" s="26"/>
      <c r="P1433" s="27"/>
      <c r="Q1433" s="2">
        <f t="shared" si="221"/>
        <v>1</v>
      </c>
      <c r="S1433" s="7">
        <f t="shared" si="224"/>
        <v>0</v>
      </c>
      <c r="T1433" s="157">
        <f t="shared" si="225"/>
        <v>0</v>
      </c>
      <c r="V1433" s="191">
        <f t="shared" si="222"/>
        <v>1</v>
      </c>
      <c r="W1433" s="7">
        <f t="shared" si="223"/>
        <v>2026</v>
      </c>
    </row>
    <row r="1434" spans="2:23" ht="31.95" customHeight="1" thickBot="1" x14ac:dyDescent="0.35">
      <c r="B1434" s="26">
        <v>46041</v>
      </c>
      <c r="C1434" s="51">
        <f t="shared" si="226"/>
        <v>1431</v>
      </c>
      <c r="D1434" s="27" t="s">
        <v>705</v>
      </c>
      <c r="E1434" s="26" t="s">
        <v>1759</v>
      </c>
      <c r="F1434" s="26" t="s">
        <v>1760</v>
      </c>
      <c r="G1434" s="28" t="s">
        <v>11</v>
      </c>
      <c r="H1434" s="254">
        <v>7460</v>
      </c>
      <c r="I1434" s="49">
        <v>1</v>
      </c>
      <c r="J1434" s="49">
        <v>0</v>
      </c>
      <c r="K1434" s="52">
        <f t="shared" si="218"/>
        <v>0</v>
      </c>
      <c r="L1434" s="209">
        <f t="shared" si="219"/>
        <v>1</v>
      </c>
      <c r="M1434" s="210">
        <f t="shared" si="220"/>
        <v>1</v>
      </c>
      <c r="N1434" s="26">
        <v>46041</v>
      </c>
      <c r="O1434" s="26"/>
      <c r="P1434" s="27"/>
      <c r="Q1434" s="2">
        <f t="shared" si="221"/>
        <v>1</v>
      </c>
      <c r="S1434" s="7">
        <f t="shared" si="224"/>
        <v>0</v>
      </c>
      <c r="T1434" s="157">
        <f t="shared" si="225"/>
        <v>0</v>
      </c>
      <c r="V1434" s="191">
        <f t="shared" si="222"/>
        <v>1</v>
      </c>
      <c r="W1434" s="7">
        <f t="shared" si="223"/>
        <v>2026</v>
      </c>
    </row>
    <row r="1435" spans="2:23" ht="31.95" customHeight="1" thickBot="1" x14ac:dyDescent="0.35">
      <c r="B1435" s="26">
        <v>46041</v>
      </c>
      <c r="C1435" s="51">
        <f t="shared" si="226"/>
        <v>1432</v>
      </c>
      <c r="D1435" s="27" t="s">
        <v>305</v>
      </c>
      <c r="E1435" s="26" t="s">
        <v>1759</v>
      </c>
      <c r="F1435" s="26" t="s">
        <v>1760</v>
      </c>
      <c r="G1435" s="28" t="s">
        <v>11</v>
      </c>
      <c r="H1435" s="254">
        <v>1058</v>
      </c>
      <c r="I1435" s="49">
        <v>9</v>
      </c>
      <c r="J1435" s="49">
        <v>0</v>
      </c>
      <c r="K1435" s="52">
        <f t="shared" si="218"/>
        <v>0</v>
      </c>
      <c r="L1435" s="209">
        <f t="shared" si="219"/>
        <v>9</v>
      </c>
      <c r="M1435" s="210">
        <f t="shared" si="220"/>
        <v>1</v>
      </c>
      <c r="N1435" s="26">
        <v>46041</v>
      </c>
      <c r="O1435" s="26"/>
      <c r="P1435" s="27"/>
      <c r="Q1435" s="2">
        <f t="shared" si="221"/>
        <v>1</v>
      </c>
      <c r="S1435" s="7">
        <f t="shared" si="224"/>
        <v>0</v>
      </c>
      <c r="T1435" s="157">
        <f t="shared" si="225"/>
        <v>0</v>
      </c>
      <c r="V1435" s="191">
        <f t="shared" si="222"/>
        <v>1</v>
      </c>
      <c r="W1435" s="7">
        <f t="shared" si="223"/>
        <v>2026</v>
      </c>
    </row>
    <row r="1436" spans="2:23" ht="31.95" customHeight="1" thickBot="1" x14ac:dyDescent="0.35">
      <c r="B1436" s="26">
        <v>46045</v>
      </c>
      <c r="C1436" s="51">
        <f t="shared" si="226"/>
        <v>1433</v>
      </c>
      <c r="D1436" s="27" t="s">
        <v>305</v>
      </c>
      <c r="E1436" s="28" t="s">
        <v>11</v>
      </c>
      <c r="F1436" s="26" t="s">
        <v>1784</v>
      </c>
      <c r="G1436" s="26" t="s">
        <v>1717</v>
      </c>
      <c r="H1436" s="254">
        <v>1540</v>
      </c>
      <c r="I1436" s="49">
        <v>3</v>
      </c>
      <c r="J1436" s="49">
        <v>0</v>
      </c>
      <c r="K1436" s="52">
        <f t="shared" si="218"/>
        <v>0</v>
      </c>
      <c r="L1436" s="209">
        <f t="shared" si="219"/>
        <v>3</v>
      </c>
      <c r="M1436" s="210">
        <f t="shared" si="220"/>
        <v>1</v>
      </c>
      <c r="N1436" s="26">
        <v>46045</v>
      </c>
      <c r="O1436" s="26"/>
      <c r="P1436" s="27"/>
      <c r="Q1436" s="2">
        <f t="shared" si="221"/>
        <v>1</v>
      </c>
      <c r="S1436" s="7">
        <f t="shared" si="224"/>
        <v>0</v>
      </c>
      <c r="T1436" s="157">
        <f t="shared" si="225"/>
        <v>0</v>
      </c>
      <c r="V1436" s="191">
        <f t="shared" si="222"/>
        <v>1</v>
      </c>
      <c r="W1436" s="7">
        <f t="shared" si="223"/>
        <v>2026</v>
      </c>
    </row>
    <row r="1437" spans="2:23" ht="31.95" customHeight="1" thickBot="1" x14ac:dyDescent="0.35">
      <c r="B1437" s="26">
        <v>46045</v>
      </c>
      <c r="C1437" s="51">
        <f t="shared" si="226"/>
        <v>1434</v>
      </c>
      <c r="D1437" s="27" t="s">
        <v>705</v>
      </c>
      <c r="E1437" s="28" t="s">
        <v>11</v>
      </c>
      <c r="F1437" s="26" t="s">
        <v>1784</v>
      </c>
      <c r="G1437" s="26" t="s">
        <v>1717</v>
      </c>
      <c r="H1437" s="254">
        <v>3440.8</v>
      </c>
      <c r="I1437" s="49">
        <v>7</v>
      </c>
      <c r="J1437" s="49">
        <v>0</v>
      </c>
      <c r="K1437" s="52">
        <f t="shared" si="218"/>
        <v>0</v>
      </c>
      <c r="L1437" s="209">
        <f t="shared" si="219"/>
        <v>7</v>
      </c>
      <c r="M1437" s="210">
        <f t="shared" si="220"/>
        <v>1</v>
      </c>
      <c r="N1437" s="26">
        <v>46045</v>
      </c>
      <c r="O1437" s="26"/>
      <c r="P1437" s="27"/>
      <c r="Q1437" s="2">
        <f t="shared" si="221"/>
        <v>1</v>
      </c>
      <c r="S1437" s="7">
        <f t="shared" si="224"/>
        <v>0</v>
      </c>
      <c r="T1437" s="157">
        <f t="shared" si="225"/>
        <v>0</v>
      </c>
      <c r="V1437" s="191">
        <f t="shared" si="222"/>
        <v>1</v>
      </c>
      <c r="W1437" s="7">
        <f t="shared" si="223"/>
        <v>2026</v>
      </c>
    </row>
    <row r="1438" spans="2:23" ht="31.95" customHeight="1" thickBot="1" x14ac:dyDescent="0.35">
      <c r="B1438" s="26">
        <v>46045</v>
      </c>
      <c r="C1438" s="51">
        <f t="shared" si="226"/>
        <v>1435</v>
      </c>
      <c r="D1438" s="27" t="s">
        <v>269</v>
      </c>
      <c r="E1438" s="28" t="s">
        <v>11</v>
      </c>
      <c r="F1438" s="26" t="s">
        <v>1784</v>
      </c>
      <c r="G1438" s="26" t="s">
        <v>1717</v>
      </c>
      <c r="H1438" s="254">
        <v>402.5</v>
      </c>
      <c r="I1438" s="49">
        <v>2</v>
      </c>
      <c r="J1438" s="49">
        <v>0</v>
      </c>
      <c r="K1438" s="52">
        <f t="shared" si="218"/>
        <v>0</v>
      </c>
      <c r="L1438" s="209">
        <f t="shared" si="219"/>
        <v>2</v>
      </c>
      <c r="M1438" s="210">
        <f t="shared" si="220"/>
        <v>1</v>
      </c>
      <c r="N1438" s="26">
        <v>46048</v>
      </c>
      <c r="O1438" s="26"/>
      <c r="P1438" s="27"/>
      <c r="Q1438" s="2">
        <f t="shared" si="221"/>
        <v>1</v>
      </c>
      <c r="S1438" s="7">
        <f t="shared" si="224"/>
        <v>0</v>
      </c>
      <c r="T1438" s="157">
        <f t="shared" si="225"/>
        <v>0</v>
      </c>
      <c r="V1438" s="191">
        <f t="shared" si="222"/>
        <v>1</v>
      </c>
      <c r="W1438" s="7">
        <f t="shared" si="223"/>
        <v>2026</v>
      </c>
    </row>
    <row r="1439" spans="2:23" ht="31.95" customHeight="1" thickBot="1" x14ac:dyDescent="0.35">
      <c r="B1439" s="26">
        <v>46045</v>
      </c>
      <c r="C1439" s="51">
        <f t="shared" si="226"/>
        <v>1436</v>
      </c>
      <c r="D1439" s="27" t="s">
        <v>978</v>
      </c>
      <c r="E1439" s="26" t="s">
        <v>1761</v>
      </c>
      <c r="F1439" s="26" t="s">
        <v>1780</v>
      </c>
      <c r="G1439" s="28" t="s">
        <v>11</v>
      </c>
      <c r="H1439" s="254">
        <v>686.18</v>
      </c>
      <c r="I1439" s="49">
        <v>2</v>
      </c>
      <c r="J1439" s="49">
        <v>2</v>
      </c>
      <c r="K1439" s="52">
        <f t="shared" si="218"/>
        <v>1</v>
      </c>
      <c r="L1439" s="209">
        <f t="shared" si="219"/>
        <v>0</v>
      </c>
      <c r="M1439" s="210">
        <f t="shared" si="220"/>
        <v>0</v>
      </c>
      <c r="N1439" s="26">
        <v>46048</v>
      </c>
      <c r="O1439" s="26">
        <v>46049</v>
      </c>
      <c r="P1439" s="27"/>
      <c r="Q1439" s="2">
        <f t="shared" si="221"/>
        <v>1</v>
      </c>
      <c r="S1439" s="7">
        <f t="shared" si="224"/>
        <v>0</v>
      </c>
      <c r="T1439" s="157">
        <f t="shared" si="225"/>
        <v>0</v>
      </c>
      <c r="V1439" s="191">
        <f t="shared" si="222"/>
        <v>1</v>
      </c>
      <c r="W1439" s="7">
        <f t="shared" si="223"/>
        <v>2026</v>
      </c>
    </row>
    <row r="1440" spans="2:23" ht="31.95" customHeight="1" thickBot="1" x14ac:dyDescent="0.35">
      <c r="B1440" s="26">
        <v>46045</v>
      </c>
      <c r="C1440" s="51">
        <f t="shared" si="226"/>
        <v>1437</v>
      </c>
      <c r="D1440" s="27" t="s">
        <v>978</v>
      </c>
      <c r="E1440" s="26" t="s">
        <v>1762</v>
      </c>
      <c r="F1440" s="26" t="s">
        <v>1776</v>
      </c>
      <c r="G1440" s="28" t="s">
        <v>11</v>
      </c>
      <c r="H1440" s="254">
        <v>3695.4</v>
      </c>
      <c r="I1440" s="49">
        <v>3</v>
      </c>
      <c r="J1440" s="49">
        <v>3</v>
      </c>
      <c r="K1440" s="52">
        <f t="shared" si="218"/>
        <v>1</v>
      </c>
      <c r="L1440" s="209">
        <f t="shared" si="219"/>
        <v>0</v>
      </c>
      <c r="M1440" s="210">
        <f t="shared" si="220"/>
        <v>0</v>
      </c>
      <c r="N1440" s="26">
        <v>46048</v>
      </c>
      <c r="O1440" s="26">
        <v>46057</v>
      </c>
      <c r="P1440" s="27"/>
      <c r="Q1440" s="2">
        <f t="shared" si="221"/>
        <v>1</v>
      </c>
      <c r="S1440" s="7">
        <f t="shared" si="224"/>
        <v>0</v>
      </c>
      <c r="T1440" s="157">
        <f t="shared" si="225"/>
        <v>0</v>
      </c>
      <c r="V1440" s="191">
        <f t="shared" si="222"/>
        <v>1</v>
      </c>
      <c r="W1440" s="7">
        <f t="shared" si="223"/>
        <v>2026</v>
      </c>
    </row>
    <row r="1441" spans="2:23" ht="31.95" customHeight="1" thickBot="1" x14ac:dyDescent="0.35">
      <c r="B1441" s="26">
        <v>46045</v>
      </c>
      <c r="C1441" s="51">
        <f t="shared" si="226"/>
        <v>1438</v>
      </c>
      <c r="D1441" s="27" t="s">
        <v>978</v>
      </c>
      <c r="E1441" s="26" t="s">
        <v>1764</v>
      </c>
      <c r="F1441" s="26" t="s">
        <v>1781</v>
      </c>
      <c r="G1441" s="28" t="s">
        <v>11</v>
      </c>
      <c r="H1441" s="254">
        <v>882.35</v>
      </c>
      <c r="I1441" s="49">
        <v>2</v>
      </c>
      <c r="J1441" s="49">
        <v>2</v>
      </c>
      <c r="K1441" s="52">
        <f t="shared" si="218"/>
        <v>1</v>
      </c>
      <c r="L1441" s="209">
        <f t="shared" si="219"/>
        <v>0</v>
      </c>
      <c r="M1441" s="210">
        <f t="shared" si="220"/>
        <v>0</v>
      </c>
      <c r="N1441" s="26">
        <v>46048</v>
      </c>
      <c r="O1441" s="26">
        <v>46048</v>
      </c>
      <c r="P1441" s="27"/>
      <c r="Q1441" s="2">
        <f t="shared" si="221"/>
        <v>1</v>
      </c>
      <c r="S1441" s="7">
        <f t="shared" si="224"/>
        <v>1</v>
      </c>
      <c r="T1441" s="157">
        <f t="shared" si="225"/>
        <v>0</v>
      </c>
      <c r="V1441" s="191">
        <f t="shared" si="222"/>
        <v>1</v>
      </c>
      <c r="W1441" s="7">
        <f t="shared" si="223"/>
        <v>2026</v>
      </c>
    </row>
    <row r="1442" spans="2:23" ht="31.95" customHeight="1" thickBot="1" x14ac:dyDescent="0.35">
      <c r="B1442" s="26">
        <v>46045</v>
      </c>
      <c r="C1442" s="51">
        <f t="shared" si="226"/>
        <v>1439</v>
      </c>
      <c r="D1442" s="27" t="s">
        <v>705</v>
      </c>
      <c r="E1442" s="28" t="s">
        <v>11</v>
      </c>
      <c r="F1442" s="26" t="s">
        <v>1782</v>
      </c>
      <c r="G1442" s="26" t="s">
        <v>1717</v>
      </c>
      <c r="H1442" s="254">
        <v>376</v>
      </c>
      <c r="I1442" s="49">
        <v>1</v>
      </c>
      <c r="J1442" s="49">
        <v>0</v>
      </c>
      <c r="K1442" s="52">
        <f t="shared" si="218"/>
        <v>0</v>
      </c>
      <c r="L1442" s="209">
        <f t="shared" si="219"/>
        <v>1</v>
      </c>
      <c r="M1442" s="210">
        <f t="shared" si="220"/>
        <v>1</v>
      </c>
      <c r="N1442" s="26">
        <v>46045</v>
      </c>
      <c r="O1442" s="26"/>
      <c r="P1442" s="27"/>
      <c r="Q1442" s="2">
        <f t="shared" si="221"/>
        <v>1</v>
      </c>
      <c r="S1442" s="7">
        <f t="shared" si="224"/>
        <v>0</v>
      </c>
      <c r="T1442" s="157">
        <f t="shared" si="225"/>
        <v>0</v>
      </c>
      <c r="V1442" s="191">
        <f t="shared" si="222"/>
        <v>1</v>
      </c>
      <c r="W1442" s="7">
        <f t="shared" si="223"/>
        <v>2026</v>
      </c>
    </row>
    <row r="1443" spans="2:23" ht="31.95" customHeight="1" thickBot="1" x14ac:dyDescent="0.35">
      <c r="B1443" s="26">
        <v>46045</v>
      </c>
      <c r="C1443" s="51">
        <f t="shared" si="226"/>
        <v>1440</v>
      </c>
      <c r="D1443" s="27" t="s">
        <v>705</v>
      </c>
      <c r="E1443" s="28" t="s">
        <v>11</v>
      </c>
      <c r="F1443" s="26" t="s">
        <v>1783</v>
      </c>
      <c r="G1443" s="26" t="s">
        <v>1717</v>
      </c>
      <c r="H1443" s="254">
        <v>1183.5</v>
      </c>
      <c r="I1443" s="49">
        <v>1</v>
      </c>
      <c r="J1443" s="49">
        <v>0</v>
      </c>
      <c r="K1443" s="52">
        <f t="shared" si="218"/>
        <v>0</v>
      </c>
      <c r="L1443" s="209">
        <f t="shared" si="219"/>
        <v>1</v>
      </c>
      <c r="M1443" s="210">
        <f t="shared" si="220"/>
        <v>1</v>
      </c>
      <c r="N1443" s="26">
        <v>46045</v>
      </c>
      <c r="O1443" s="26"/>
      <c r="P1443" s="27"/>
      <c r="Q1443" s="2">
        <f t="shared" si="221"/>
        <v>1</v>
      </c>
      <c r="S1443" s="7">
        <f t="shared" si="224"/>
        <v>0</v>
      </c>
      <c r="T1443" s="157">
        <f t="shared" si="225"/>
        <v>0</v>
      </c>
      <c r="V1443" s="191">
        <f t="shared" si="222"/>
        <v>1</v>
      </c>
      <c r="W1443" s="7">
        <f t="shared" si="223"/>
        <v>2026</v>
      </c>
    </row>
    <row r="1444" spans="2:23" ht="31.95" customHeight="1" thickBot="1" x14ac:dyDescent="0.35">
      <c r="B1444" s="26">
        <v>46045</v>
      </c>
      <c r="C1444" s="51">
        <f t="shared" si="226"/>
        <v>1441</v>
      </c>
      <c r="D1444" s="27" t="s">
        <v>1785</v>
      </c>
      <c r="E1444" s="28" t="s">
        <v>11</v>
      </c>
      <c r="F1444" s="26"/>
      <c r="G1444" s="26" t="s">
        <v>1658</v>
      </c>
      <c r="H1444" s="254">
        <v>15234.23</v>
      </c>
      <c r="I1444" s="49">
        <v>2</v>
      </c>
      <c r="J1444" s="49">
        <v>0</v>
      </c>
      <c r="K1444" s="52">
        <f t="shared" si="218"/>
        <v>0</v>
      </c>
      <c r="L1444" s="209">
        <f t="shared" si="219"/>
        <v>2</v>
      </c>
      <c r="M1444" s="210">
        <f t="shared" si="220"/>
        <v>1</v>
      </c>
      <c r="N1444" s="26">
        <v>46087</v>
      </c>
      <c r="O1444" s="26"/>
      <c r="P1444" s="27"/>
      <c r="Q1444" s="2">
        <f t="shared" si="221"/>
        <v>1</v>
      </c>
      <c r="S1444" s="7">
        <f t="shared" si="224"/>
        <v>0</v>
      </c>
      <c r="T1444" s="157">
        <f t="shared" si="225"/>
        <v>0</v>
      </c>
      <c r="V1444" s="191">
        <f t="shared" si="222"/>
        <v>1</v>
      </c>
      <c r="W1444" s="7">
        <f t="shared" si="223"/>
        <v>2026</v>
      </c>
    </row>
    <row r="1445" spans="2:23" ht="31.95" customHeight="1" thickBot="1" x14ac:dyDescent="0.35">
      <c r="B1445" s="26">
        <v>46046</v>
      </c>
      <c r="C1445" s="51">
        <f t="shared" si="226"/>
        <v>1442</v>
      </c>
      <c r="D1445" s="27" t="s">
        <v>871</v>
      </c>
      <c r="E1445" s="28" t="s">
        <v>1764</v>
      </c>
      <c r="F1445" s="26" t="s">
        <v>1781</v>
      </c>
      <c r="G1445" s="28" t="s">
        <v>11</v>
      </c>
      <c r="H1445" s="254">
        <v>180</v>
      </c>
      <c r="I1445" s="49">
        <v>2</v>
      </c>
      <c r="J1445" s="49">
        <v>0</v>
      </c>
      <c r="K1445" s="52">
        <f t="shared" si="218"/>
        <v>0</v>
      </c>
      <c r="L1445" s="209">
        <f t="shared" si="219"/>
        <v>2</v>
      </c>
      <c r="M1445" s="210">
        <f t="shared" si="220"/>
        <v>1</v>
      </c>
      <c r="N1445" s="26">
        <v>46049</v>
      </c>
      <c r="O1445" s="26"/>
      <c r="P1445" s="27"/>
      <c r="Q1445" s="2">
        <f t="shared" si="221"/>
        <v>1</v>
      </c>
      <c r="S1445" s="7">
        <f t="shared" si="224"/>
        <v>0</v>
      </c>
      <c r="T1445" s="157">
        <f t="shared" si="225"/>
        <v>0</v>
      </c>
      <c r="V1445" s="191">
        <f t="shared" si="222"/>
        <v>1</v>
      </c>
      <c r="W1445" s="7">
        <f t="shared" si="223"/>
        <v>2026</v>
      </c>
    </row>
    <row r="1446" spans="2:23" ht="31.95" customHeight="1" thickBot="1" x14ac:dyDescent="0.35">
      <c r="B1446" s="26">
        <v>46046</v>
      </c>
      <c r="C1446" s="51">
        <f t="shared" si="226"/>
        <v>1443</v>
      </c>
      <c r="D1446" s="27" t="s">
        <v>871</v>
      </c>
      <c r="E1446" s="26" t="s">
        <v>1762</v>
      </c>
      <c r="F1446" s="26" t="s">
        <v>1788</v>
      </c>
      <c r="G1446" s="28" t="s">
        <v>11</v>
      </c>
      <c r="H1446" s="254">
        <v>670</v>
      </c>
      <c r="I1446" s="49">
        <v>2</v>
      </c>
      <c r="J1446" s="49">
        <v>0</v>
      </c>
      <c r="K1446" s="52">
        <f t="shared" si="218"/>
        <v>0</v>
      </c>
      <c r="L1446" s="209">
        <f t="shared" si="219"/>
        <v>2</v>
      </c>
      <c r="M1446" s="210">
        <f t="shared" si="220"/>
        <v>1</v>
      </c>
      <c r="N1446" s="26">
        <v>46049</v>
      </c>
      <c r="O1446" s="26"/>
      <c r="P1446" s="27"/>
      <c r="Q1446" s="2">
        <f t="shared" si="221"/>
        <v>1</v>
      </c>
      <c r="S1446" s="7">
        <f t="shared" si="224"/>
        <v>0</v>
      </c>
      <c r="T1446" s="157">
        <f t="shared" si="225"/>
        <v>0</v>
      </c>
      <c r="V1446" s="191">
        <f t="shared" si="222"/>
        <v>1</v>
      </c>
      <c r="W1446" s="7">
        <f t="shared" si="223"/>
        <v>2026</v>
      </c>
    </row>
    <row r="1447" spans="2:23" ht="31.95" customHeight="1" thickBot="1" x14ac:dyDescent="0.35">
      <c r="B1447" s="26">
        <v>46046</v>
      </c>
      <c r="C1447" s="51">
        <f t="shared" si="226"/>
        <v>1444</v>
      </c>
      <c r="D1447" s="27" t="s">
        <v>871</v>
      </c>
      <c r="E1447" s="26" t="s">
        <v>1761</v>
      </c>
      <c r="F1447" s="26" t="s">
        <v>1780</v>
      </c>
      <c r="G1447" s="28" t="s">
        <v>11</v>
      </c>
      <c r="H1447" s="254">
        <v>180</v>
      </c>
      <c r="I1447" s="49">
        <v>2</v>
      </c>
      <c r="J1447" s="49">
        <v>0</v>
      </c>
      <c r="K1447" s="52">
        <f t="shared" si="218"/>
        <v>0</v>
      </c>
      <c r="L1447" s="209">
        <f t="shared" si="219"/>
        <v>2</v>
      </c>
      <c r="M1447" s="210">
        <f t="shared" si="220"/>
        <v>1</v>
      </c>
      <c r="N1447" s="26">
        <v>46049</v>
      </c>
      <c r="O1447" s="26"/>
      <c r="P1447" s="27"/>
      <c r="Q1447" s="2">
        <f t="shared" si="221"/>
        <v>1</v>
      </c>
      <c r="S1447" s="7">
        <f t="shared" si="224"/>
        <v>0</v>
      </c>
      <c r="T1447" s="157">
        <f t="shared" si="225"/>
        <v>0</v>
      </c>
      <c r="V1447" s="191">
        <f t="shared" si="222"/>
        <v>1</v>
      </c>
      <c r="W1447" s="7">
        <f t="shared" si="223"/>
        <v>2026</v>
      </c>
    </row>
    <row r="1448" spans="2:23" ht="31.95" customHeight="1" thickBot="1" x14ac:dyDescent="0.35">
      <c r="B1448" s="26">
        <v>46048</v>
      </c>
      <c r="C1448" s="51">
        <f t="shared" si="226"/>
        <v>1445</v>
      </c>
      <c r="D1448" s="27" t="s">
        <v>822</v>
      </c>
      <c r="E1448" s="26" t="s">
        <v>1761</v>
      </c>
      <c r="F1448" s="26" t="s">
        <v>1780</v>
      </c>
      <c r="G1448" s="28" t="s">
        <v>11</v>
      </c>
      <c r="H1448" s="254">
        <v>1894.14</v>
      </c>
      <c r="I1448" s="49">
        <v>1</v>
      </c>
      <c r="J1448" s="49">
        <v>1</v>
      </c>
      <c r="K1448" s="52">
        <f t="shared" si="218"/>
        <v>1</v>
      </c>
      <c r="L1448" s="209">
        <f t="shared" si="219"/>
        <v>0</v>
      </c>
      <c r="M1448" s="210">
        <f t="shared" si="220"/>
        <v>0</v>
      </c>
      <c r="N1448" s="26">
        <v>46049</v>
      </c>
      <c r="O1448" s="26">
        <v>46049</v>
      </c>
      <c r="P1448" s="27"/>
      <c r="Q1448" s="2">
        <f t="shared" si="221"/>
        <v>1</v>
      </c>
      <c r="S1448" s="7">
        <f t="shared" si="224"/>
        <v>1</v>
      </c>
      <c r="T1448" s="157">
        <f t="shared" si="225"/>
        <v>0</v>
      </c>
      <c r="V1448" s="191">
        <f t="shared" si="222"/>
        <v>1</v>
      </c>
      <c r="W1448" s="7">
        <f t="shared" si="223"/>
        <v>2026</v>
      </c>
    </row>
    <row r="1449" spans="2:23" ht="31.95" customHeight="1" thickBot="1" x14ac:dyDescent="0.35">
      <c r="B1449" s="26">
        <v>46048</v>
      </c>
      <c r="C1449" s="51">
        <f t="shared" si="226"/>
        <v>1446</v>
      </c>
      <c r="D1449" s="27" t="s">
        <v>762</v>
      </c>
      <c r="E1449" s="26" t="s">
        <v>1789</v>
      </c>
      <c r="F1449" s="26" t="s">
        <v>1790</v>
      </c>
      <c r="G1449" s="28" t="s">
        <v>11</v>
      </c>
      <c r="H1449" s="254">
        <v>15049.67</v>
      </c>
      <c r="I1449" s="49">
        <v>3</v>
      </c>
      <c r="J1449" s="49">
        <v>0</v>
      </c>
      <c r="K1449" s="52">
        <f t="shared" si="218"/>
        <v>0</v>
      </c>
      <c r="L1449" s="209">
        <f t="shared" si="219"/>
        <v>3</v>
      </c>
      <c r="M1449" s="210">
        <f t="shared" si="220"/>
        <v>1</v>
      </c>
      <c r="N1449" s="26">
        <v>46050</v>
      </c>
      <c r="O1449" s="26"/>
      <c r="P1449" s="27"/>
      <c r="Q1449" s="2">
        <f t="shared" si="221"/>
        <v>1</v>
      </c>
      <c r="S1449" s="7">
        <f t="shared" si="224"/>
        <v>0</v>
      </c>
      <c r="T1449" s="157">
        <f t="shared" si="225"/>
        <v>0</v>
      </c>
      <c r="V1449" s="191">
        <f t="shared" si="222"/>
        <v>1</v>
      </c>
      <c r="W1449" s="7">
        <f t="shared" si="223"/>
        <v>2026</v>
      </c>
    </row>
    <row r="1450" spans="2:23" ht="31.95" customHeight="1" thickBot="1" x14ac:dyDescent="0.35">
      <c r="B1450" s="26">
        <v>46049</v>
      </c>
      <c r="C1450" s="51">
        <f t="shared" si="226"/>
        <v>1447</v>
      </c>
      <c r="D1450" s="27" t="s">
        <v>890</v>
      </c>
      <c r="E1450" s="26" t="s">
        <v>1761</v>
      </c>
      <c r="F1450" s="26" t="s">
        <v>1780</v>
      </c>
      <c r="G1450" s="28" t="s">
        <v>11</v>
      </c>
      <c r="H1450" s="254">
        <v>552.48</v>
      </c>
      <c r="I1450" s="49">
        <v>1</v>
      </c>
      <c r="J1450" s="49">
        <v>0</v>
      </c>
      <c r="K1450" s="52">
        <f t="shared" si="218"/>
        <v>0</v>
      </c>
      <c r="L1450" s="209">
        <f t="shared" si="219"/>
        <v>1</v>
      </c>
      <c r="M1450" s="210">
        <f t="shared" si="220"/>
        <v>1</v>
      </c>
      <c r="N1450" s="26">
        <v>46069</v>
      </c>
      <c r="O1450" s="26"/>
      <c r="P1450" s="27"/>
      <c r="Q1450" s="2">
        <f t="shared" si="221"/>
        <v>1</v>
      </c>
      <c r="S1450" s="7">
        <f t="shared" si="224"/>
        <v>0</v>
      </c>
      <c r="T1450" s="157">
        <f t="shared" si="225"/>
        <v>0</v>
      </c>
      <c r="V1450" s="191">
        <f t="shared" si="222"/>
        <v>1</v>
      </c>
      <c r="W1450" s="7">
        <f t="shared" si="223"/>
        <v>2026</v>
      </c>
    </row>
    <row r="1451" spans="2:23" ht="31.95" customHeight="1" thickBot="1" x14ac:dyDescent="0.35">
      <c r="B1451" s="26">
        <v>46049</v>
      </c>
      <c r="C1451" s="51">
        <f t="shared" si="226"/>
        <v>1448</v>
      </c>
      <c r="D1451" s="27" t="s">
        <v>890</v>
      </c>
      <c r="E1451" s="26" t="s">
        <v>1762</v>
      </c>
      <c r="F1451" s="26" t="s">
        <v>1788</v>
      </c>
      <c r="G1451" s="28" t="s">
        <v>11</v>
      </c>
      <c r="H1451" s="254">
        <v>1200.48</v>
      </c>
      <c r="I1451" s="49">
        <v>1</v>
      </c>
      <c r="J1451" s="49">
        <v>0</v>
      </c>
      <c r="K1451" s="52">
        <f t="shared" si="218"/>
        <v>0</v>
      </c>
      <c r="L1451" s="209">
        <f t="shared" si="219"/>
        <v>1</v>
      </c>
      <c r="M1451" s="210">
        <f t="shared" si="220"/>
        <v>1</v>
      </c>
      <c r="N1451" s="26">
        <v>46069</v>
      </c>
      <c r="O1451" s="26"/>
      <c r="P1451" s="27"/>
      <c r="Q1451" s="2">
        <f t="shared" si="221"/>
        <v>1</v>
      </c>
      <c r="S1451" s="7">
        <f t="shared" si="224"/>
        <v>0</v>
      </c>
      <c r="T1451" s="157">
        <f t="shared" si="225"/>
        <v>0</v>
      </c>
      <c r="V1451" s="191">
        <f t="shared" si="222"/>
        <v>1</v>
      </c>
      <c r="W1451" s="7">
        <f t="shared" si="223"/>
        <v>2026</v>
      </c>
    </row>
    <row r="1452" spans="2:23" ht="31.95" customHeight="1" thickBot="1" x14ac:dyDescent="0.35">
      <c r="B1452" s="26">
        <v>46049</v>
      </c>
      <c r="C1452" s="51">
        <f t="shared" si="226"/>
        <v>1449</v>
      </c>
      <c r="D1452" s="27" t="s">
        <v>890</v>
      </c>
      <c r="E1452" s="26" t="s">
        <v>1764</v>
      </c>
      <c r="F1452" s="26" t="s">
        <v>1781</v>
      </c>
      <c r="G1452" s="28" t="s">
        <v>11</v>
      </c>
      <c r="H1452" s="254" t="s">
        <v>1792</v>
      </c>
      <c r="I1452" s="49">
        <v>1</v>
      </c>
      <c r="J1452" s="49">
        <v>0</v>
      </c>
      <c r="K1452" s="52">
        <f t="shared" si="218"/>
        <v>0</v>
      </c>
      <c r="L1452" s="209">
        <f t="shared" si="219"/>
        <v>1</v>
      </c>
      <c r="M1452" s="210">
        <f t="shared" si="220"/>
        <v>1</v>
      </c>
      <c r="N1452" s="26">
        <v>46069</v>
      </c>
      <c r="O1452" s="26"/>
      <c r="P1452" s="27"/>
      <c r="Q1452" s="2">
        <f t="shared" si="221"/>
        <v>1</v>
      </c>
      <c r="S1452" s="7">
        <f t="shared" si="224"/>
        <v>0</v>
      </c>
      <c r="T1452" s="157">
        <f t="shared" si="225"/>
        <v>0</v>
      </c>
      <c r="V1452" s="191">
        <f t="shared" si="222"/>
        <v>1</v>
      </c>
      <c r="W1452" s="7">
        <f t="shared" si="223"/>
        <v>2026</v>
      </c>
    </row>
    <row r="1453" spans="2:23" ht="31.95" customHeight="1" thickBot="1" x14ac:dyDescent="0.35">
      <c r="B1453" s="26">
        <v>46049</v>
      </c>
      <c r="C1453" s="51">
        <f t="shared" si="226"/>
        <v>1450</v>
      </c>
      <c r="D1453" s="27" t="s">
        <v>317</v>
      </c>
      <c r="E1453" s="28" t="s">
        <v>11</v>
      </c>
      <c r="F1453" s="26" t="s">
        <v>1793</v>
      </c>
      <c r="G1453" s="26" t="s">
        <v>1658</v>
      </c>
      <c r="H1453" s="254">
        <v>1023.5</v>
      </c>
      <c r="I1453" s="49">
        <v>10</v>
      </c>
      <c r="J1453" s="49">
        <v>0</v>
      </c>
      <c r="K1453" s="52">
        <f t="shared" ref="K1453:K1516" si="227">IFERROR(J1453/I1453,"")</f>
        <v>0</v>
      </c>
      <c r="L1453" s="209">
        <f t="shared" ref="L1453:L1516" si="228">IF(I1453="","",I1453-J1453)</f>
        <v>10</v>
      </c>
      <c r="M1453" s="210">
        <f t="shared" ref="M1453:M1516" si="229">IFERROR(1-K1453,"")</f>
        <v>1</v>
      </c>
      <c r="N1453" s="26">
        <v>46049</v>
      </c>
      <c r="O1453" s="26"/>
      <c r="P1453" s="27"/>
      <c r="Q1453" s="2">
        <f t="shared" si="221"/>
        <v>1</v>
      </c>
      <c r="S1453" s="7">
        <f t="shared" si="224"/>
        <v>0</v>
      </c>
      <c r="T1453" s="157">
        <f t="shared" si="225"/>
        <v>0</v>
      </c>
      <c r="V1453" s="191">
        <f t="shared" si="222"/>
        <v>1</v>
      </c>
      <c r="W1453" s="7">
        <f t="shared" si="223"/>
        <v>2026</v>
      </c>
    </row>
    <row r="1454" spans="2:23" ht="31.95" customHeight="1" thickBot="1" x14ac:dyDescent="0.35">
      <c r="B1454" s="26">
        <v>46049</v>
      </c>
      <c r="C1454" s="51">
        <f t="shared" si="226"/>
        <v>1451</v>
      </c>
      <c r="D1454" s="27" t="s">
        <v>705</v>
      </c>
      <c r="E1454" s="28" t="s">
        <v>11</v>
      </c>
      <c r="F1454" s="26" t="s">
        <v>1793</v>
      </c>
      <c r="G1454" s="26" t="s">
        <v>1658</v>
      </c>
      <c r="H1454" s="254">
        <v>705</v>
      </c>
      <c r="I1454" s="49">
        <v>5</v>
      </c>
      <c r="J1454" s="49">
        <v>0</v>
      </c>
      <c r="K1454" s="52">
        <f t="shared" si="227"/>
        <v>0</v>
      </c>
      <c r="L1454" s="209">
        <f t="shared" si="228"/>
        <v>5</v>
      </c>
      <c r="M1454" s="210">
        <f t="shared" si="229"/>
        <v>1</v>
      </c>
      <c r="N1454" s="26">
        <v>46049</v>
      </c>
      <c r="O1454" s="26"/>
      <c r="P1454" s="27"/>
      <c r="Q1454" s="2">
        <f t="shared" si="221"/>
        <v>1</v>
      </c>
      <c r="S1454" s="7">
        <f t="shared" si="224"/>
        <v>0</v>
      </c>
      <c r="T1454" s="157">
        <f t="shared" si="225"/>
        <v>0</v>
      </c>
      <c r="V1454" s="191">
        <f t="shared" si="222"/>
        <v>1</v>
      </c>
      <c r="W1454" s="7">
        <f t="shared" si="223"/>
        <v>2026</v>
      </c>
    </row>
    <row r="1455" spans="2:23" ht="31.95" customHeight="1" thickBot="1" x14ac:dyDescent="0.35">
      <c r="B1455" s="26">
        <v>46049</v>
      </c>
      <c r="C1455" s="51">
        <f t="shared" si="226"/>
        <v>1452</v>
      </c>
      <c r="D1455" s="27" t="s">
        <v>321</v>
      </c>
      <c r="E1455" s="26" t="s">
        <v>1742</v>
      </c>
      <c r="F1455" s="26" t="s">
        <v>1794</v>
      </c>
      <c r="G1455" s="28" t="s">
        <v>11</v>
      </c>
      <c r="H1455" s="254">
        <v>2467</v>
      </c>
      <c r="I1455" s="49">
        <v>8</v>
      </c>
      <c r="J1455" s="49">
        <v>0</v>
      </c>
      <c r="K1455" s="52">
        <f t="shared" si="227"/>
        <v>0</v>
      </c>
      <c r="L1455" s="209">
        <f t="shared" si="228"/>
        <v>8</v>
      </c>
      <c r="M1455" s="210">
        <f t="shared" si="229"/>
        <v>1</v>
      </c>
      <c r="N1455" s="26">
        <v>46049</v>
      </c>
      <c r="O1455" s="26"/>
      <c r="P1455" s="27"/>
      <c r="Q1455" s="2">
        <f t="shared" si="221"/>
        <v>1</v>
      </c>
      <c r="S1455" s="7">
        <f t="shared" si="224"/>
        <v>0</v>
      </c>
      <c r="T1455" s="157">
        <f t="shared" si="225"/>
        <v>0</v>
      </c>
      <c r="V1455" s="191">
        <f t="shared" si="222"/>
        <v>1</v>
      </c>
      <c r="W1455" s="7">
        <f t="shared" si="223"/>
        <v>2026</v>
      </c>
    </row>
    <row r="1456" spans="2:23" ht="31.95" customHeight="1" thickBot="1" x14ac:dyDescent="0.35">
      <c r="B1456" s="26">
        <v>46049</v>
      </c>
      <c r="C1456" s="51">
        <f t="shared" si="226"/>
        <v>1453</v>
      </c>
      <c r="D1456" s="27" t="s">
        <v>1795</v>
      </c>
      <c r="E1456" s="26" t="s">
        <v>1671</v>
      </c>
      <c r="F1456" s="26"/>
      <c r="G1456" s="28" t="s">
        <v>11</v>
      </c>
      <c r="H1456" s="254">
        <v>4800</v>
      </c>
      <c r="I1456" s="49">
        <v>1</v>
      </c>
      <c r="J1456" s="49">
        <v>0</v>
      </c>
      <c r="K1456" s="52">
        <f t="shared" si="227"/>
        <v>0</v>
      </c>
      <c r="L1456" s="209">
        <f t="shared" si="228"/>
        <v>1</v>
      </c>
      <c r="M1456" s="210">
        <f t="shared" si="229"/>
        <v>1</v>
      </c>
      <c r="N1456" s="26">
        <v>46051</v>
      </c>
      <c r="O1456" s="26"/>
      <c r="P1456" s="27"/>
      <c r="Q1456" s="2">
        <f t="shared" si="221"/>
        <v>1</v>
      </c>
      <c r="S1456" s="7">
        <f t="shared" si="224"/>
        <v>0</v>
      </c>
      <c r="T1456" s="157">
        <f t="shared" si="225"/>
        <v>0</v>
      </c>
      <c r="V1456" s="191">
        <f t="shared" si="222"/>
        <v>1</v>
      </c>
      <c r="W1456" s="7">
        <f t="shared" si="223"/>
        <v>2026</v>
      </c>
    </row>
    <row r="1457" spans="2:23" ht="31.95" customHeight="1" thickBot="1" x14ac:dyDescent="0.35">
      <c r="B1457" s="26">
        <v>46049</v>
      </c>
      <c r="C1457" s="51">
        <f t="shared" si="226"/>
        <v>1454</v>
      </c>
      <c r="D1457" s="27" t="s">
        <v>953</v>
      </c>
      <c r="E1457" s="26" t="s">
        <v>1744</v>
      </c>
      <c r="F1457" s="26"/>
      <c r="G1457" s="28" t="s">
        <v>11</v>
      </c>
      <c r="H1457" s="254">
        <v>1920</v>
      </c>
      <c r="I1457" s="49">
        <v>1</v>
      </c>
      <c r="J1457" s="49">
        <v>0</v>
      </c>
      <c r="K1457" s="52">
        <f t="shared" si="227"/>
        <v>0</v>
      </c>
      <c r="L1457" s="209">
        <f t="shared" si="228"/>
        <v>1</v>
      </c>
      <c r="M1457" s="210">
        <f t="shared" si="229"/>
        <v>1</v>
      </c>
      <c r="N1457" s="26">
        <v>46051</v>
      </c>
      <c r="O1457" s="26"/>
      <c r="P1457" s="27"/>
      <c r="Q1457" s="2">
        <f t="shared" si="221"/>
        <v>1</v>
      </c>
      <c r="S1457" s="7">
        <f t="shared" si="224"/>
        <v>0</v>
      </c>
      <c r="T1457" s="157">
        <f t="shared" si="225"/>
        <v>0</v>
      </c>
      <c r="V1457" s="191">
        <f t="shared" si="222"/>
        <v>1</v>
      </c>
      <c r="W1457" s="7">
        <f t="shared" si="223"/>
        <v>2026</v>
      </c>
    </row>
    <row r="1458" spans="2:23" ht="31.95" customHeight="1" thickBot="1" x14ac:dyDescent="0.35">
      <c r="B1458" s="26">
        <v>46049</v>
      </c>
      <c r="C1458" s="51">
        <f t="shared" si="226"/>
        <v>1455</v>
      </c>
      <c r="D1458" s="27" t="s">
        <v>305</v>
      </c>
      <c r="E1458" s="28" t="s">
        <v>11</v>
      </c>
      <c r="F1458" s="26" t="s">
        <v>1802</v>
      </c>
      <c r="G1458" s="26" t="s">
        <v>1658</v>
      </c>
      <c r="H1458" s="254">
        <v>316</v>
      </c>
      <c r="I1458" s="49">
        <v>1</v>
      </c>
      <c r="J1458" s="49">
        <v>0</v>
      </c>
      <c r="K1458" s="52">
        <f t="shared" si="227"/>
        <v>0</v>
      </c>
      <c r="L1458" s="209">
        <f t="shared" si="228"/>
        <v>1</v>
      </c>
      <c r="M1458" s="210">
        <f t="shared" si="229"/>
        <v>1</v>
      </c>
      <c r="N1458" s="26">
        <v>46049</v>
      </c>
      <c r="O1458" s="26"/>
      <c r="P1458" s="27"/>
      <c r="Q1458" s="2">
        <f t="shared" si="221"/>
        <v>1</v>
      </c>
      <c r="S1458" s="7">
        <f t="shared" si="224"/>
        <v>0</v>
      </c>
      <c r="T1458" s="157">
        <f t="shared" si="225"/>
        <v>0</v>
      </c>
      <c r="V1458" s="191">
        <f t="shared" si="222"/>
        <v>1</v>
      </c>
      <c r="W1458" s="7">
        <f t="shared" si="223"/>
        <v>2026</v>
      </c>
    </row>
    <row r="1459" spans="2:23" ht="31.95" customHeight="1" thickBot="1" x14ac:dyDescent="0.35">
      <c r="B1459" s="26">
        <v>46049</v>
      </c>
      <c r="C1459" s="51">
        <f t="shared" si="226"/>
        <v>1456</v>
      </c>
      <c r="D1459" s="27" t="s">
        <v>1751</v>
      </c>
      <c r="E1459" s="26" t="s">
        <v>1705</v>
      </c>
      <c r="F1459" s="26" t="s">
        <v>1716</v>
      </c>
      <c r="G1459" s="28" t="s">
        <v>11</v>
      </c>
      <c r="H1459" s="254">
        <v>13251.6</v>
      </c>
      <c r="I1459" s="49">
        <v>2</v>
      </c>
      <c r="J1459" s="49">
        <v>0</v>
      </c>
      <c r="K1459" s="52">
        <f t="shared" si="227"/>
        <v>0</v>
      </c>
      <c r="L1459" s="209">
        <f t="shared" si="228"/>
        <v>2</v>
      </c>
      <c r="M1459" s="210">
        <f t="shared" si="229"/>
        <v>1</v>
      </c>
      <c r="N1459" s="26">
        <v>46063</v>
      </c>
      <c r="O1459" s="26"/>
      <c r="P1459" s="27"/>
      <c r="Q1459" s="2">
        <f t="shared" si="221"/>
        <v>1</v>
      </c>
      <c r="S1459" s="7">
        <f t="shared" si="224"/>
        <v>0</v>
      </c>
      <c r="T1459" s="157">
        <f t="shared" si="225"/>
        <v>0</v>
      </c>
      <c r="V1459" s="191">
        <f t="shared" si="222"/>
        <v>1</v>
      </c>
      <c r="W1459" s="7">
        <f t="shared" si="223"/>
        <v>2026</v>
      </c>
    </row>
    <row r="1460" spans="2:23" ht="31.95" customHeight="1" thickBot="1" x14ac:dyDescent="0.35">
      <c r="B1460" s="26">
        <v>46049</v>
      </c>
      <c r="C1460" s="51">
        <f t="shared" si="226"/>
        <v>1457</v>
      </c>
      <c r="D1460" s="27" t="s">
        <v>953</v>
      </c>
      <c r="E1460" s="26" t="s">
        <v>1803</v>
      </c>
      <c r="F1460" s="26" t="s">
        <v>1804</v>
      </c>
      <c r="G1460" s="28" t="s">
        <v>11</v>
      </c>
      <c r="H1460" s="254">
        <v>4272</v>
      </c>
      <c r="I1460" s="49">
        <v>1</v>
      </c>
      <c r="J1460" s="49">
        <v>0</v>
      </c>
      <c r="K1460" s="52">
        <f t="shared" si="227"/>
        <v>0</v>
      </c>
      <c r="L1460" s="209">
        <f t="shared" si="228"/>
        <v>1</v>
      </c>
      <c r="M1460" s="210">
        <f t="shared" si="229"/>
        <v>1</v>
      </c>
      <c r="N1460" s="26">
        <v>46052</v>
      </c>
      <c r="O1460" s="26"/>
      <c r="P1460" s="27"/>
      <c r="Q1460" s="2">
        <f t="shared" si="221"/>
        <v>1</v>
      </c>
      <c r="S1460" s="7">
        <f t="shared" si="224"/>
        <v>0</v>
      </c>
      <c r="T1460" s="157">
        <f t="shared" si="225"/>
        <v>0</v>
      </c>
      <c r="V1460" s="191">
        <f t="shared" si="222"/>
        <v>1</v>
      </c>
      <c r="W1460" s="7">
        <f t="shared" si="223"/>
        <v>2026</v>
      </c>
    </row>
    <row r="1461" spans="2:23" ht="31.95" customHeight="1" thickBot="1" x14ac:dyDescent="0.35">
      <c r="B1461" s="26">
        <v>46050</v>
      </c>
      <c r="C1461" s="51">
        <f t="shared" si="226"/>
        <v>1458</v>
      </c>
      <c r="D1461" s="27" t="s">
        <v>705</v>
      </c>
      <c r="E1461" s="28" t="s">
        <v>11</v>
      </c>
      <c r="F1461" s="26" t="s">
        <v>1805</v>
      </c>
      <c r="G1461" s="26" t="s">
        <v>1658</v>
      </c>
      <c r="H1461" s="254">
        <v>1845</v>
      </c>
      <c r="I1461" s="49">
        <v>2</v>
      </c>
      <c r="J1461" s="49">
        <v>0</v>
      </c>
      <c r="K1461" s="52">
        <f t="shared" si="227"/>
        <v>0</v>
      </c>
      <c r="L1461" s="209">
        <f t="shared" si="228"/>
        <v>2</v>
      </c>
      <c r="M1461" s="210">
        <f t="shared" si="229"/>
        <v>1</v>
      </c>
      <c r="N1461" s="26">
        <v>46050</v>
      </c>
      <c r="O1461" s="26"/>
      <c r="P1461" s="27"/>
      <c r="Q1461" s="2">
        <f t="shared" si="221"/>
        <v>1</v>
      </c>
      <c r="S1461" s="7">
        <f t="shared" si="224"/>
        <v>0</v>
      </c>
      <c r="T1461" s="157">
        <f t="shared" si="225"/>
        <v>0</v>
      </c>
      <c r="V1461" s="191">
        <f t="shared" si="222"/>
        <v>1</v>
      </c>
      <c r="W1461" s="7">
        <f t="shared" si="223"/>
        <v>2026</v>
      </c>
    </row>
    <row r="1462" spans="2:23" ht="31.95" customHeight="1" thickBot="1" x14ac:dyDescent="0.35">
      <c r="B1462" s="26">
        <v>46050</v>
      </c>
      <c r="C1462" s="51">
        <f t="shared" si="226"/>
        <v>1459</v>
      </c>
      <c r="D1462" s="27" t="s">
        <v>705</v>
      </c>
      <c r="E1462" s="28" t="s">
        <v>11</v>
      </c>
      <c r="F1462" s="26" t="s">
        <v>1806</v>
      </c>
      <c r="G1462" s="26" t="s">
        <v>1658</v>
      </c>
      <c r="H1462" s="254">
        <v>376</v>
      </c>
      <c r="I1462" s="49">
        <v>1</v>
      </c>
      <c r="J1462" s="49">
        <v>0</v>
      </c>
      <c r="K1462" s="52">
        <f t="shared" si="227"/>
        <v>0</v>
      </c>
      <c r="L1462" s="209">
        <f t="shared" si="228"/>
        <v>1</v>
      </c>
      <c r="M1462" s="210">
        <f t="shared" si="229"/>
        <v>1</v>
      </c>
      <c r="N1462" s="26">
        <v>46050</v>
      </c>
      <c r="O1462" s="26"/>
      <c r="P1462" s="27"/>
      <c r="Q1462" s="2">
        <f t="shared" si="221"/>
        <v>1</v>
      </c>
      <c r="S1462" s="7">
        <f t="shared" si="224"/>
        <v>0</v>
      </c>
      <c r="T1462" s="157">
        <f t="shared" si="225"/>
        <v>0</v>
      </c>
      <c r="V1462" s="191">
        <f t="shared" si="222"/>
        <v>1</v>
      </c>
      <c r="W1462" s="7">
        <f t="shared" si="223"/>
        <v>2026</v>
      </c>
    </row>
    <row r="1463" spans="2:23" ht="31.95" customHeight="1" thickBot="1" x14ac:dyDescent="0.35">
      <c r="B1463" s="26">
        <v>46051</v>
      </c>
      <c r="C1463" s="51">
        <f t="shared" si="226"/>
        <v>1460</v>
      </c>
      <c r="D1463" s="27" t="s">
        <v>722</v>
      </c>
      <c r="E1463" s="26" t="s">
        <v>1761</v>
      </c>
      <c r="F1463" s="26" t="s">
        <v>1780</v>
      </c>
      <c r="G1463" s="28" t="s">
        <v>11</v>
      </c>
      <c r="H1463" s="254">
        <v>5827.17</v>
      </c>
      <c r="I1463" s="49">
        <v>12</v>
      </c>
      <c r="J1463" s="49">
        <v>0</v>
      </c>
      <c r="K1463" s="52">
        <f t="shared" si="227"/>
        <v>0</v>
      </c>
      <c r="L1463" s="209">
        <f t="shared" si="228"/>
        <v>12</v>
      </c>
      <c r="M1463" s="210">
        <f t="shared" si="229"/>
        <v>1</v>
      </c>
      <c r="N1463" s="26">
        <v>46058</v>
      </c>
      <c r="O1463" s="26"/>
      <c r="P1463" s="27"/>
      <c r="Q1463" s="2">
        <f t="shared" si="221"/>
        <v>1</v>
      </c>
      <c r="S1463" s="7">
        <f t="shared" si="224"/>
        <v>0</v>
      </c>
      <c r="T1463" s="157">
        <f t="shared" si="225"/>
        <v>0</v>
      </c>
      <c r="V1463" s="191">
        <f t="shared" si="222"/>
        <v>1</v>
      </c>
      <c r="W1463" s="7">
        <f t="shared" si="223"/>
        <v>2026</v>
      </c>
    </row>
    <row r="1464" spans="2:23" ht="31.95" customHeight="1" thickBot="1" x14ac:dyDescent="0.35">
      <c r="B1464" s="26">
        <v>46052</v>
      </c>
      <c r="C1464" s="51">
        <f t="shared" si="226"/>
        <v>1461</v>
      </c>
      <c r="D1464" s="27" t="s">
        <v>1150</v>
      </c>
      <c r="E1464" s="26" t="s">
        <v>1789</v>
      </c>
      <c r="F1464" s="26" t="s">
        <v>1807</v>
      </c>
      <c r="G1464" s="28" t="s">
        <v>11</v>
      </c>
      <c r="H1464" s="254">
        <v>1568.74</v>
      </c>
      <c r="I1464" s="49">
        <v>2</v>
      </c>
      <c r="J1464" s="49">
        <v>0</v>
      </c>
      <c r="K1464" s="52">
        <f t="shared" si="227"/>
        <v>0</v>
      </c>
      <c r="L1464" s="209">
        <f t="shared" si="228"/>
        <v>2</v>
      </c>
      <c r="M1464" s="210">
        <f t="shared" si="229"/>
        <v>1</v>
      </c>
      <c r="N1464" s="26">
        <v>46055</v>
      </c>
      <c r="O1464" s="26"/>
      <c r="P1464" s="27"/>
      <c r="Q1464" s="2">
        <f t="shared" si="221"/>
        <v>1</v>
      </c>
      <c r="S1464" s="7">
        <f t="shared" si="224"/>
        <v>0</v>
      </c>
      <c r="T1464" s="157">
        <f t="shared" si="225"/>
        <v>0</v>
      </c>
      <c r="V1464" s="191">
        <f t="shared" si="222"/>
        <v>1</v>
      </c>
      <c r="W1464" s="7">
        <f t="shared" si="223"/>
        <v>2026</v>
      </c>
    </row>
    <row r="1465" spans="2:23" ht="31.95" customHeight="1" thickBot="1" x14ac:dyDescent="0.35">
      <c r="B1465" s="26">
        <v>46056</v>
      </c>
      <c r="C1465" s="51">
        <f t="shared" si="226"/>
        <v>1462</v>
      </c>
      <c r="D1465" s="27" t="s">
        <v>1808</v>
      </c>
      <c r="E1465" s="28" t="s">
        <v>11</v>
      </c>
      <c r="F1465" s="26"/>
      <c r="G1465" s="26" t="s">
        <v>1520</v>
      </c>
      <c r="H1465" s="254">
        <v>13655</v>
      </c>
      <c r="I1465" s="49">
        <v>2</v>
      </c>
      <c r="J1465" s="49">
        <v>0</v>
      </c>
      <c r="K1465" s="52">
        <f t="shared" si="227"/>
        <v>0</v>
      </c>
      <c r="L1465" s="209">
        <f t="shared" si="228"/>
        <v>2</v>
      </c>
      <c r="M1465" s="210">
        <f t="shared" si="229"/>
        <v>1</v>
      </c>
      <c r="N1465" s="26">
        <v>46082</v>
      </c>
      <c r="O1465" s="26"/>
      <c r="P1465" s="27"/>
      <c r="Q1465" s="2">
        <f t="shared" si="221"/>
        <v>1</v>
      </c>
      <c r="S1465" s="7">
        <f t="shared" si="224"/>
        <v>0</v>
      </c>
      <c r="T1465" s="157">
        <f t="shared" si="225"/>
        <v>0</v>
      </c>
      <c r="V1465" s="191">
        <f t="shared" si="222"/>
        <v>2</v>
      </c>
      <c r="W1465" s="7">
        <f t="shared" si="223"/>
        <v>2026</v>
      </c>
    </row>
    <row r="1466" spans="2:23" ht="31.95" customHeight="1" thickBot="1" x14ac:dyDescent="0.35">
      <c r="B1466" s="26">
        <v>46056</v>
      </c>
      <c r="C1466" s="51">
        <f t="shared" si="226"/>
        <v>1463</v>
      </c>
      <c r="D1466" s="27" t="s">
        <v>305</v>
      </c>
      <c r="E1466" s="28" t="s">
        <v>11</v>
      </c>
      <c r="F1466" s="26" t="s">
        <v>1815</v>
      </c>
      <c r="G1466" s="26" t="s">
        <v>1520</v>
      </c>
      <c r="H1466" s="254">
        <v>1491</v>
      </c>
      <c r="I1466" s="49">
        <v>5</v>
      </c>
      <c r="J1466" s="49">
        <v>0</v>
      </c>
      <c r="K1466" s="52">
        <f t="shared" si="227"/>
        <v>0</v>
      </c>
      <c r="L1466" s="209">
        <f t="shared" si="228"/>
        <v>5</v>
      </c>
      <c r="M1466" s="210">
        <f t="shared" si="229"/>
        <v>1</v>
      </c>
      <c r="N1466" s="26">
        <v>46056</v>
      </c>
      <c r="O1466" s="26"/>
      <c r="P1466" s="27"/>
      <c r="Q1466" s="2">
        <f t="shared" si="221"/>
        <v>1</v>
      </c>
      <c r="S1466" s="7">
        <f t="shared" si="224"/>
        <v>0</v>
      </c>
      <c r="T1466" s="157">
        <f t="shared" si="225"/>
        <v>0</v>
      </c>
      <c r="V1466" s="191">
        <f t="shared" si="222"/>
        <v>2</v>
      </c>
      <c r="W1466" s="7">
        <f t="shared" si="223"/>
        <v>2026</v>
      </c>
    </row>
    <row r="1467" spans="2:23" ht="31.95" customHeight="1" thickBot="1" x14ac:dyDescent="0.35">
      <c r="B1467" s="26">
        <v>46056</v>
      </c>
      <c r="C1467" s="51">
        <f t="shared" si="226"/>
        <v>1464</v>
      </c>
      <c r="D1467" s="27" t="s">
        <v>705</v>
      </c>
      <c r="E1467" s="28" t="s">
        <v>11</v>
      </c>
      <c r="F1467" s="26" t="s">
        <v>1816</v>
      </c>
      <c r="G1467" s="26" t="s">
        <v>1520</v>
      </c>
      <c r="H1467" s="254">
        <v>124</v>
      </c>
      <c r="I1467" s="49">
        <v>1</v>
      </c>
      <c r="J1467" s="49">
        <v>0</v>
      </c>
      <c r="K1467" s="52">
        <f t="shared" si="227"/>
        <v>0</v>
      </c>
      <c r="L1467" s="209">
        <f t="shared" si="228"/>
        <v>1</v>
      </c>
      <c r="M1467" s="210">
        <f t="shared" si="229"/>
        <v>1</v>
      </c>
      <c r="N1467" s="26">
        <v>46056</v>
      </c>
      <c r="O1467" s="26"/>
      <c r="P1467" s="27"/>
      <c r="Q1467" s="2">
        <f t="shared" si="221"/>
        <v>1</v>
      </c>
      <c r="S1467" s="7">
        <f t="shared" si="224"/>
        <v>0</v>
      </c>
      <c r="T1467" s="157">
        <f t="shared" si="225"/>
        <v>0</v>
      </c>
      <c r="V1467" s="191">
        <f t="shared" si="222"/>
        <v>2</v>
      </c>
      <c r="W1467" s="7">
        <f t="shared" si="223"/>
        <v>2026</v>
      </c>
    </row>
    <row r="1468" spans="2:23" ht="31.95" customHeight="1" thickBot="1" x14ac:dyDescent="0.35">
      <c r="B1468" s="26">
        <v>46056</v>
      </c>
      <c r="C1468" s="51">
        <f t="shared" si="226"/>
        <v>1465</v>
      </c>
      <c r="D1468" s="27" t="s">
        <v>1150</v>
      </c>
      <c r="E1468" s="26" t="s">
        <v>1732</v>
      </c>
      <c r="F1468" s="26" t="s">
        <v>1771</v>
      </c>
      <c r="G1468" s="28" t="s">
        <v>11</v>
      </c>
      <c r="H1468" s="254">
        <v>2624.27</v>
      </c>
      <c r="I1468" s="49">
        <v>3</v>
      </c>
      <c r="J1468" s="49">
        <v>0</v>
      </c>
      <c r="K1468" s="52">
        <f t="shared" si="227"/>
        <v>0</v>
      </c>
      <c r="L1468" s="209">
        <f t="shared" si="228"/>
        <v>3</v>
      </c>
      <c r="M1468" s="210">
        <f t="shared" si="229"/>
        <v>1</v>
      </c>
      <c r="N1468" s="26">
        <v>46059</v>
      </c>
      <c r="O1468" s="26"/>
      <c r="P1468" s="27"/>
      <c r="Q1468" s="2">
        <f t="shared" si="221"/>
        <v>1</v>
      </c>
      <c r="S1468" s="7">
        <f t="shared" si="224"/>
        <v>0</v>
      </c>
      <c r="T1468" s="157">
        <f t="shared" si="225"/>
        <v>0</v>
      </c>
      <c r="V1468" s="191">
        <f t="shared" si="222"/>
        <v>2</v>
      </c>
      <c r="W1468" s="7">
        <f t="shared" si="223"/>
        <v>2026</v>
      </c>
    </row>
    <row r="1469" spans="2:23" ht="31.95" customHeight="1" thickBot="1" x14ac:dyDescent="0.35">
      <c r="B1469" s="26">
        <v>46056</v>
      </c>
      <c r="C1469" s="51">
        <f t="shared" si="226"/>
        <v>1466</v>
      </c>
      <c r="D1469" s="27" t="s">
        <v>1150</v>
      </c>
      <c r="E1469" s="26" t="s">
        <v>1617</v>
      </c>
      <c r="F1469" s="26" t="s">
        <v>1804</v>
      </c>
      <c r="G1469" s="28" t="s">
        <v>11</v>
      </c>
      <c r="H1469" s="254">
        <v>26801.43</v>
      </c>
      <c r="I1469" s="49">
        <v>1</v>
      </c>
      <c r="J1469" s="49">
        <v>0</v>
      </c>
      <c r="K1469" s="52">
        <f t="shared" si="227"/>
        <v>0</v>
      </c>
      <c r="L1469" s="209">
        <f t="shared" si="228"/>
        <v>1</v>
      </c>
      <c r="M1469" s="210">
        <f t="shared" si="229"/>
        <v>1</v>
      </c>
      <c r="N1469" s="26">
        <v>46058</v>
      </c>
      <c r="O1469" s="26"/>
      <c r="P1469" s="27"/>
      <c r="Q1469" s="2">
        <f t="shared" si="221"/>
        <v>1</v>
      </c>
      <c r="S1469" s="7">
        <f t="shared" si="224"/>
        <v>0</v>
      </c>
      <c r="T1469" s="157">
        <f t="shared" si="225"/>
        <v>0</v>
      </c>
      <c r="V1469" s="191">
        <f t="shared" si="222"/>
        <v>2</v>
      </c>
      <c r="W1469" s="7">
        <f t="shared" si="223"/>
        <v>2026</v>
      </c>
    </row>
    <row r="1470" spans="2:23" ht="31.95" customHeight="1" thickBot="1" x14ac:dyDescent="0.35">
      <c r="B1470" s="26">
        <v>46057</v>
      </c>
      <c r="C1470" s="51">
        <f t="shared" si="226"/>
        <v>1467</v>
      </c>
      <c r="D1470" s="27" t="s">
        <v>1735</v>
      </c>
      <c r="E1470" s="26" t="s">
        <v>1617</v>
      </c>
      <c r="F1470" s="26"/>
      <c r="G1470" s="28" t="s">
        <v>11</v>
      </c>
      <c r="H1470" s="254">
        <v>330</v>
      </c>
      <c r="I1470" s="49">
        <v>1</v>
      </c>
      <c r="J1470" s="49">
        <v>0</v>
      </c>
      <c r="K1470" s="52">
        <f t="shared" si="227"/>
        <v>0</v>
      </c>
      <c r="L1470" s="209">
        <f t="shared" si="228"/>
        <v>1</v>
      </c>
      <c r="M1470" s="210">
        <f t="shared" si="229"/>
        <v>1</v>
      </c>
      <c r="N1470" s="26">
        <v>46057</v>
      </c>
      <c r="O1470" s="26"/>
      <c r="P1470" s="27"/>
      <c r="Q1470" s="2">
        <f t="shared" si="221"/>
        <v>1</v>
      </c>
      <c r="S1470" s="7">
        <f t="shared" si="224"/>
        <v>0</v>
      </c>
      <c r="T1470" s="157">
        <f t="shared" si="225"/>
        <v>0</v>
      </c>
      <c r="V1470" s="191">
        <f t="shared" si="222"/>
        <v>2</v>
      </c>
      <c r="W1470" s="7">
        <f t="shared" si="223"/>
        <v>2026</v>
      </c>
    </row>
    <row r="1471" spans="2:23" ht="31.95" customHeight="1" thickBot="1" x14ac:dyDescent="0.35">
      <c r="B1471" s="26">
        <v>46057</v>
      </c>
      <c r="C1471" s="51">
        <f t="shared" si="226"/>
        <v>1468</v>
      </c>
      <c r="D1471" s="27" t="s">
        <v>741</v>
      </c>
      <c r="E1471" s="26" t="s">
        <v>1617</v>
      </c>
      <c r="F1471" s="26"/>
      <c r="G1471" s="28" t="s">
        <v>11</v>
      </c>
      <c r="H1471" s="254">
        <v>130</v>
      </c>
      <c r="I1471" s="49">
        <v>2</v>
      </c>
      <c r="J1471" s="49">
        <v>0</v>
      </c>
      <c r="K1471" s="52">
        <f t="shared" si="227"/>
        <v>0</v>
      </c>
      <c r="L1471" s="209">
        <f t="shared" si="228"/>
        <v>2</v>
      </c>
      <c r="M1471" s="210">
        <f t="shared" si="229"/>
        <v>1</v>
      </c>
      <c r="N1471" s="26">
        <v>46058</v>
      </c>
      <c r="O1471" s="26"/>
      <c r="P1471" s="27"/>
      <c r="Q1471" s="2">
        <f t="shared" si="221"/>
        <v>1</v>
      </c>
      <c r="S1471" s="7">
        <f t="shared" si="224"/>
        <v>0</v>
      </c>
      <c r="T1471" s="157">
        <f t="shared" si="225"/>
        <v>0</v>
      </c>
      <c r="V1471" s="191">
        <f t="shared" si="222"/>
        <v>2</v>
      </c>
      <c r="W1471" s="7">
        <f t="shared" si="223"/>
        <v>2026</v>
      </c>
    </row>
    <row r="1472" spans="2:23" ht="31.95" customHeight="1" thickBot="1" x14ac:dyDescent="0.35">
      <c r="B1472" s="26">
        <v>46057</v>
      </c>
      <c r="C1472" s="51">
        <f t="shared" si="226"/>
        <v>1469</v>
      </c>
      <c r="D1472" s="27" t="s">
        <v>705</v>
      </c>
      <c r="E1472" s="28" t="s">
        <v>11</v>
      </c>
      <c r="F1472" s="26" t="s">
        <v>1817</v>
      </c>
      <c r="G1472" s="26" t="s">
        <v>1520</v>
      </c>
      <c r="H1472" s="254">
        <v>1549.7</v>
      </c>
      <c r="I1472" s="49">
        <v>2</v>
      </c>
      <c r="J1472" s="49">
        <v>0</v>
      </c>
      <c r="K1472" s="52">
        <f t="shared" si="227"/>
        <v>0</v>
      </c>
      <c r="L1472" s="209">
        <f t="shared" si="228"/>
        <v>2</v>
      </c>
      <c r="M1472" s="210">
        <f t="shared" si="229"/>
        <v>1</v>
      </c>
      <c r="N1472" s="26">
        <v>46057</v>
      </c>
      <c r="O1472" s="26"/>
      <c r="P1472" s="27"/>
      <c r="Q1472" s="2">
        <f t="shared" si="221"/>
        <v>1</v>
      </c>
      <c r="S1472" s="7">
        <f t="shared" si="224"/>
        <v>0</v>
      </c>
      <c r="T1472" s="157">
        <f t="shared" si="225"/>
        <v>0</v>
      </c>
      <c r="V1472" s="191">
        <f t="shared" si="222"/>
        <v>2</v>
      </c>
      <c r="W1472" s="7">
        <f t="shared" si="223"/>
        <v>2026</v>
      </c>
    </row>
    <row r="1473" spans="2:23" ht="31.95" customHeight="1" thickBot="1" x14ac:dyDescent="0.35">
      <c r="B1473" s="26">
        <v>46057</v>
      </c>
      <c r="C1473" s="51">
        <f t="shared" si="226"/>
        <v>1470</v>
      </c>
      <c r="D1473" s="27" t="s">
        <v>401</v>
      </c>
      <c r="E1473" s="26" t="s">
        <v>1707</v>
      </c>
      <c r="F1473" s="26"/>
      <c r="G1473" s="26" t="s">
        <v>11</v>
      </c>
      <c r="H1473" s="254">
        <v>9567</v>
      </c>
      <c r="I1473" s="49">
        <v>1</v>
      </c>
      <c r="J1473" s="49">
        <v>0</v>
      </c>
      <c r="K1473" s="52">
        <f t="shared" si="227"/>
        <v>0</v>
      </c>
      <c r="L1473" s="209">
        <f t="shared" si="228"/>
        <v>1</v>
      </c>
      <c r="M1473" s="210">
        <f t="shared" si="229"/>
        <v>1</v>
      </c>
      <c r="N1473" s="26">
        <v>46057</v>
      </c>
      <c r="O1473" s="26"/>
      <c r="P1473" s="27"/>
      <c r="Q1473" s="2">
        <f t="shared" si="221"/>
        <v>1</v>
      </c>
      <c r="S1473" s="7">
        <f t="shared" si="224"/>
        <v>0</v>
      </c>
      <c r="T1473" s="157">
        <f t="shared" si="225"/>
        <v>0</v>
      </c>
      <c r="V1473" s="191">
        <f t="shared" si="222"/>
        <v>2</v>
      </c>
      <c r="W1473" s="7">
        <f t="shared" si="223"/>
        <v>2026</v>
      </c>
    </row>
    <row r="1474" spans="2:23" ht="31.95" customHeight="1" thickBot="1" x14ac:dyDescent="0.35">
      <c r="B1474" s="26">
        <v>46058</v>
      </c>
      <c r="C1474" s="51">
        <f t="shared" si="226"/>
        <v>1471</v>
      </c>
      <c r="D1474" s="27" t="s">
        <v>524</v>
      </c>
      <c r="E1474" s="26" t="s">
        <v>1707</v>
      </c>
      <c r="F1474" s="26"/>
      <c r="G1474" s="28" t="s">
        <v>11</v>
      </c>
      <c r="H1474" s="254">
        <v>3749.38</v>
      </c>
      <c r="I1474" s="49">
        <v>2</v>
      </c>
      <c r="J1474" s="49">
        <v>0</v>
      </c>
      <c r="K1474" s="52">
        <f t="shared" si="227"/>
        <v>0</v>
      </c>
      <c r="L1474" s="209">
        <f t="shared" si="228"/>
        <v>2</v>
      </c>
      <c r="M1474" s="210">
        <f t="shared" si="229"/>
        <v>1</v>
      </c>
      <c r="N1474" s="26">
        <v>46059</v>
      </c>
      <c r="O1474" s="26"/>
      <c r="P1474" s="27"/>
      <c r="Q1474" s="2">
        <f t="shared" si="221"/>
        <v>1</v>
      </c>
      <c r="S1474" s="7">
        <f t="shared" si="224"/>
        <v>0</v>
      </c>
      <c r="T1474" s="157">
        <f t="shared" si="225"/>
        <v>0</v>
      </c>
      <c r="V1474" s="191">
        <f t="shared" si="222"/>
        <v>2</v>
      </c>
      <c r="W1474" s="7">
        <f t="shared" si="223"/>
        <v>2026</v>
      </c>
    </row>
    <row r="1475" spans="2:23" ht="31.95" customHeight="1" thickBot="1" x14ac:dyDescent="0.35">
      <c r="B1475" s="26">
        <v>46058</v>
      </c>
      <c r="C1475" s="51">
        <f t="shared" si="226"/>
        <v>1472</v>
      </c>
      <c r="D1475" s="27" t="s">
        <v>1150</v>
      </c>
      <c r="E1475" s="26" t="s">
        <v>1844</v>
      </c>
      <c r="F1475" s="26"/>
      <c r="G1475" s="28" t="s">
        <v>11</v>
      </c>
      <c r="H1475" s="254"/>
      <c r="I1475" s="49">
        <v>1</v>
      </c>
      <c r="J1475" s="49">
        <v>0</v>
      </c>
      <c r="K1475" s="52">
        <f t="shared" si="227"/>
        <v>0</v>
      </c>
      <c r="L1475" s="209">
        <f t="shared" si="228"/>
        <v>1</v>
      </c>
      <c r="M1475" s="210">
        <f t="shared" si="229"/>
        <v>1</v>
      </c>
      <c r="N1475" s="26">
        <v>46059</v>
      </c>
      <c r="O1475" s="26"/>
      <c r="P1475" s="27"/>
      <c r="Q1475" s="2">
        <f t="shared" si="221"/>
        <v>1</v>
      </c>
      <c r="S1475" s="7">
        <f t="shared" si="224"/>
        <v>0</v>
      </c>
      <c r="T1475" s="157">
        <f t="shared" si="225"/>
        <v>0</v>
      </c>
      <c r="V1475" s="191">
        <f t="shared" si="222"/>
        <v>2</v>
      </c>
      <c r="W1475" s="7">
        <f t="shared" si="223"/>
        <v>2026</v>
      </c>
    </row>
    <row r="1476" spans="2:23" ht="31.95" customHeight="1" thickBot="1" x14ac:dyDescent="0.35">
      <c r="B1476" s="26">
        <v>46058</v>
      </c>
      <c r="C1476" s="51">
        <f t="shared" si="226"/>
        <v>1473</v>
      </c>
      <c r="D1476" s="27" t="s">
        <v>1121</v>
      </c>
      <c r="E1476" s="26" t="s">
        <v>1732</v>
      </c>
      <c r="F1476" s="26" t="s">
        <v>1845</v>
      </c>
      <c r="G1476" s="28" t="s">
        <v>11</v>
      </c>
      <c r="H1476" s="254">
        <v>5505.14</v>
      </c>
      <c r="I1476" s="49">
        <v>12</v>
      </c>
      <c r="J1476" s="49">
        <v>0</v>
      </c>
      <c r="K1476" s="52">
        <f t="shared" si="227"/>
        <v>0</v>
      </c>
      <c r="L1476" s="209">
        <f t="shared" si="228"/>
        <v>12</v>
      </c>
      <c r="M1476" s="210">
        <f t="shared" si="229"/>
        <v>1</v>
      </c>
      <c r="N1476" s="26">
        <v>46065</v>
      </c>
      <c r="O1476" s="26"/>
      <c r="P1476" s="27"/>
      <c r="Q1476" s="2">
        <f t="shared" si="221"/>
        <v>1</v>
      </c>
      <c r="S1476" s="7">
        <f t="shared" si="224"/>
        <v>0</v>
      </c>
      <c r="T1476" s="157">
        <f t="shared" si="225"/>
        <v>0</v>
      </c>
      <c r="V1476" s="191">
        <f t="shared" si="222"/>
        <v>2</v>
      </c>
      <c r="W1476" s="7">
        <f t="shared" si="223"/>
        <v>2026</v>
      </c>
    </row>
    <row r="1477" spans="2:23" ht="31.95" customHeight="1" thickBot="1" x14ac:dyDescent="0.35">
      <c r="B1477" s="26">
        <v>46058</v>
      </c>
      <c r="C1477" s="51">
        <f t="shared" si="226"/>
        <v>1474</v>
      </c>
      <c r="D1477" s="27" t="s">
        <v>890</v>
      </c>
      <c r="E1477" s="26" t="s">
        <v>1732</v>
      </c>
      <c r="F1477" s="26" t="s">
        <v>1846</v>
      </c>
      <c r="G1477" s="28" t="s">
        <v>11</v>
      </c>
      <c r="H1477" s="254">
        <v>40</v>
      </c>
      <c r="I1477" s="49">
        <v>1</v>
      </c>
      <c r="J1477" s="49">
        <v>0</v>
      </c>
      <c r="K1477" s="52">
        <f t="shared" si="227"/>
        <v>0</v>
      </c>
      <c r="L1477" s="209">
        <f t="shared" si="228"/>
        <v>1</v>
      </c>
      <c r="M1477" s="210">
        <f t="shared" si="229"/>
        <v>1</v>
      </c>
      <c r="N1477" s="26">
        <v>46059</v>
      </c>
      <c r="O1477" s="26"/>
      <c r="P1477" s="27"/>
      <c r="Q1477" s="2">
        <f t="shared" ref="Q1477:Q1540" si="230">IF(B1477&lt;&gt;"",1,0)</f>
        <v>1</v>
      </c>
      <c r="S1477" s="7">
        <f t="shared" si="224"/>
        <v>0</v>
      </c>
      <c r="T1477" s="157">
        <f t="shared" si="225"/>
        <v>0</v>
      </c>
      <c r="V1477" s="191">
        <f t="shared" ref="V1477:V1540" si="231">MONTH(B1477)</f>
        <v>2</v>
      </c>
      <c r="W1477" s="7">
        <f t="shared" ref="W1477:W1540" si="232">YEAR(B1477)</f>
        <v>2026</v>
      </c>
    </row>
    <row r="1478" spans="2:23" ht="31.95" customHeight="1" thickBot="1" x14ac:dyDescent="0.35">
      <c r="B1478" s="26">
        <v>46058</v>
      </c>
      <c r="C1478" s="51">
        <f t="shared" si="226"/>
        <v>1475</v>
      </c>
      <c r="D1478" s="27" t="s">
        <v>321</v>
      </c>
      <c r="E1478" s="26" t="s">
        <v>1847</v>
      </c>
      <c r="F1478" s="26" t="s">
        <v>1790</v>
      </c>
      <c r="G1478" s="28" t="s">
        <v>11</v>
      </c>
      <c r="H1478" s="254">
        <v>5828</v>
      </c>
      <c r="I1478" s="49">
        <v>6</v>
      </c>
      <c r="J1478" s="49">
        <v>0</v>
      </c>
      <c r="K1478" s="52">
        <f t="shared" si="227"/>
        <v>0</v>
      </c>
      <c r="L1478" s="209">
        <f t="shared" si="228"/>
        <v>6</v>
      </c>
      <c r="M1478" s="210">
        <f t="shared" si="229"/>
        <v>1</v>
      </c>
      <c r="N1478" s="26">
        <v>46059</v>
      </c>
      <c r="O1478" s="26"/>
      <c r="P1478" s="27"/>
      <c r="Q1478" s="2">
        <f t="shared" si="230"/>
        <v>1</v>
      </c>
      <c r="S1478" s="7">
        <f t="shared" ref="S1478:S1541" si="233">IF(AND(O1478&lt;=N1478,O1478&lt;&gt;""),1,0)</f>
        <v>0</v>
      </c>
      <c r="T1478" s="157">
        <f t="shared" ref="T1478:T1541" si="234">IF(AND(P1478&lt;=N1478,P1478&lt;&gt;""),1,0)</f>
        <v>0</v>
      </c>
      <c r="V1478" s="191">
        <f t="shared" si="231"/>
        <v>2</v>
      </c>
      <c r="W1478" s="7">
        <f t="shared" si="232"/>
        <v>2026</v>
      </c>
    </row>
    <row r="1479" spans="2:23" ht="31.95" customHeight="1" thickBot="1" x14ac:dyDescent="0.35">
      <c r="B1479" s="26"/>
      <c r="C1479" s="51" t="str">
        <f t="shared" ref="C1479:C1542" si="235">IF(B1479&lt;&gt;"",C1478+1,"")</f>
        <v/>
      </c>
      <c r="D1479" s="27"/>
      <c r="E1479" s="26"/>
      <c r="F1479" s="26"/>
      <c r="G1479" s="26"/>
      <c r="H1479" s="254"/>
      <c r="I1479" s="49"/>
      <c r="J1479" s="49"/>
      <c r="K1479" s="52" t="str">
        <f t="shared" si="227"/>
        <v/>
      </c>
      <c r="L1479" s="209" t="str">
        <f t="shared" si="228"/>
        <v/>
      </c>
      <c r="M1479" s="210" t="str">
        <f t="shared" si="229"/>
        <v/>
      </c>
      <c r="N1479" s="26"/>
      <c r="O1479" s="26"/>
      <c r="P1479" s="27"/>
      <c r="Q1479" s="2">
        <f t="shared" si="230"/>
        <v>0</v>
      </c>
      <c r="S1479" s="7">
        <f t="shared" si="233"/>
        <v>0</v>
      </c>
      <c r="T1479" s="157">
        <f t="shared" si="234"/>
        <v>0</v>
      </c>
      <c r="V1479" s="191">
        <f t="shared" si="231"/>
        <v>1</v>
      </c>
      <c r="W1479" s="7">
        <f t="shared" si="232"/>
        <v>1900</v>
      </c>
    </row>
    <row r="1480" spans="2:23" ht="31.95" customHeight="1" thickBot="1" x14ac:dyDescent="0.35">
      <c r="B1480" s="26"/>
      <c r="C1480" s="51" t="str">
        <f t="shared" si="235"/>
        <v/>
      </c>
      <c r="D1480" s="27"/>
      <c r="E1480" s="26"/>
      <c r="F1480" s="26"/>
      <c r="G1480" s="26"/>
      <c r="H1480" s="254"/>
      <c r="I1480" s="49"/>
      <c r="J1480" s="49"/>
      <c r="K1480" s="52" t="str">
        <f t="shared" si="227"/>
        <v/>
      </c>
      <c r="L1480" s="209" t="str">
        <f t="shared" si="228"/>
        <v/>
      </c>
      <c r="M1480" s="210" t="str">
        <f t="shared" si="229"/>
        <v/>
      </c>
      <c r="N1480" s="26"/>
      <c r="O1480" s="26"/>
      <c r="P1480" s="27"/>
      <c r="Q1480" s="2">
        <f t="shared" si="230"/>
        <v>0</v>
      </c>
      <c r="S1480" s="7">
        <f t="shared" si="233"/>
        <v>0</v>
      </c>
      <c r="T1480" s="157">
        <f t="shared" si="234"/>
        <v>0</v>
      </c>
      <c r="V1480" s="191">
        <f t="shared" si="231"/>
        <v>1</v>
      </c>
      <c r="W1480" s="7">
        <f t="shared" si="232"/>
        <v>1900</v>
      </c>
    </row>
    <row r="1481" spans="2:23" ht="31.95" customHeight="1" thickBot="1" x14ac:dyDescent="0.35">
      <c r="B1481" s="26"/>
      <c r="C1481" s="51" t="str">
        <f t="shared" si="235"/>
        <v/>
      </c>
      <c r="D1481" s="27"/>
      <c r="E1481" s="26"/>
      <c r="F1481" s="26"/>
      <c r="G1481" s="26"/>
      <c r="H1481" s="254"/>
      <c r="I1481" s="49"/>
      <c r="J1481" s="49"/>
      <c r="K1481" s="52" t="str">
        <f t="shared" si="227"/>
        <v/>
      </c>
      <c r="L1481" s="209" t="str">
        <f t="shared" si="228"/>
        <v/>
      </c>
      <c r="M1481" s="210" t="str">
        <f t="shared" si="229"/>
        <v/>
      </c>
      <c r="N1481" s="26"/>
      <c r="O1481" s="26"/>
      <c r="P1481" s="27"/>
      <c r="Q1481" s="2">
        <f t="shared" si="230"/>
        <v>0</v>
      </c>
      <c r="S1481" s="7">
        <f t="shared" si="233"/>
        <v>0</v>
      </c>
      <c r="T1481" s="157">
        <f t="shared" si="234"/>
        <v>0</v>
      </c>
      <c r="V1481" s="191">
        <f t="shared" si="231"/>
        <v>1</v>
      </c>
      <c r="W1481" s="7">
        <f t="shared" si="232"/>
        <v>1900</v>
      </c>
    </row>
    <row r="1482" spans="2:23" ht="31.95" customHeight="1" thickBot="1" x14ac:dyDescent="0.35">
      <c r="B1482" s="26"/>
      <c r="C1482" s="51" t="str">
        <f t="shared" si="235"/>
        <v/>
      </c>
      <c r="D1482" s="27"/>
      <c r="E1482" s="26"/>
      <c r="F1482" s="26"/>
      <c r="G1482" s="26"/>
      <c r="H1482" s="254"/>
      <c r="I1482" s="49"/>
      <c r="J1482" s="49"/>
      <c r="K1482" s="52" t="str">
        <f t="shared" si="227"/>
        <v/>
      </c>
      <c r="L1482" s="209" t="str">
        <f t="shared" si="228"/>
        <v/>
      </c>
      <c r="M1482" s="210" t="str">
        <f t="shared" si="229"/>
        <v/>
      </c>
      <c r="N1482" s="26"/>
      <c r="O1482" s="26"/>
      <c r="P1482" s="27"/>
      <c r="Q1482" s="2">
        <f t="shared" si="230"/>
        <v>0</v>
      </c>
      <c r="S1482" s="7">
        <f t="shared" si="233"/>
        <v>0</v>
      </c>
      <c r="T1482" s="157">
        <f t="shared" si="234"/>
        <v>0</v>
      </c>
      <c r="V1482" s="191">
        <f t="shared" si="231"/>
        <v>1</v>
      </c>
      <c r="W1482" s="7">
        <f t="shared" si="232"/>
        <v>1900</v>
      </c>
    </row>
    <row r="1483" spans="2:23" ht="31.95" customHeight="1" thickBot="1" x14ac:dyDescent="0.35">
      <c r="B1483" s="26"/>
      <c r="C1483" s="51" t="str">
        <f t="shared" si="235"/>
        <v/>
      </c>
      <c r="D1483" s="27"/>
      <c r="E1483" s="26"/>
      <c r="F1483" s="26"/>
      <c r="G1483" s="26"/>
      <c r="H1483" s="254"/>
      <c r="I1483" s="49"/>
      <c r="J1483" s="49"/>
      <c r="K1483" s="52" t="str">
        <f t="shared" si="227"/>
        <v/>
      </c>
      <c r="L1483" s="209" t="str">
        <f t="shared" si="228"/>
        <v/>
      </c>
      <c r="M1483" s="210" t="str">
        <f t="shared" si="229"/>
        <v/>
      </c>
      <c r="N1483" s="26"/>
      <c r="O1483" s="26"/>
      <c r="P1483" s="27"/>
      <c r="Q1483" s="2">
        <f t="shared" si="230"/>
        <v>0</v>
      </c>
      <c r="S1483" s="7">
        <f t="shared" si="233"/>
        <v>0</v>
      </c>
      <c r="T1483" s="157">
        <f t="shared" si="234"/>
        <v>0</v>
      </c>
      <c r="V1483" s="191">
        <f t="shared" si="231"/>
        <v>1</v>
      </c>
      <c r="W1483" s="7">
        <f t="shared" si="232"/>
        <v>1900</v>
      </c>
    </row>
    <row r="1484" spans="2:23" ht="31.95" customHeight="1" thickBot="1" x14ac:dyDescent="0.35">
      <c r="B1484" s="26"/>
      <c r="C1484" s="51" t="str">
        <f t="shared" si="235"/>
        <v/>
      </c>
      <c r="D1484" s="27"/>
      <c r="E1484" s="26"/>
      <c r="F1484" s="26"/>
      <c r="G1484" s="26"/>
      <c r="H1484" s="254"/>
      <c r="I1484" s="49"/>
      <c r="J1484" s="49"/>
      <c r="K1484" s="52" t="str">
        <f t="shared" si="227"/>
        <v/>
      </c>
      <c r="L1484" s="209" t="str">
        <f t="shared" si="228"/>
        <v/>
      </c>
      <c r="M1484" s="210" t="str">
        <f t="shared" si="229"/>
        <v/>
      </c>
      <c r="N1484" s="26"/>
      <c r="O1484" s="26"/>
      <c r="P1484" s="27"/>
      <c r="Q1484" s="2">
        <f t="shared" si="230"/>
        <v>0</v>
      </c>
      <c r="S1484" s="7">
        <f t="shared" si="233"/>
        <v>0</v>
      </c>
      <c r="T1484" s="157">
        <f t="shared" si="234"/>
        <v>0</v>
      </c>
      <c r="V1484" s="191">
        <f t="shared" si="231"/>
        <v>1</v>
      </c>
      <c r="W1484" s="7">
        <f t="shared" si="232"/>
        <v>1900</v>
      </c>
    </row>
    <row r="1485" spans="2:23" ht="31.95" customHeight="1" thickBot="1" x14ac:dyDescent="0.35">
      <c r="B1485" s="26"/>
      <c r="C1485" s="51" t="str">
        <f t="shared" si="235"/>
        <v/>
      </c>
      <c r="D1485" s="27"/>
      <c r="E1485" s="26"/>
      <c r="F1485" s="26"/>
      <c r="G1485" s="26"/>
      <c r="H1485" s="254"/>
      <c r="I1485" s="49"/>
      <c r="J1485" s="49"/>
      <c r="K1485" s="52" t="str">
        <f t="shared" si="227"/>
        <v/>
      </c>
      <c r="L1485" s="209" t="str">
        <f t="shared" si="228"/>
        <v/>
      </c>
      <c r="M1485" s="210" t="str">
        <f t="shared" si="229"/>
        <v/>
      </c>
      <c r="N1485" s="26"/>
      <c r="O1485" s="26"/>
      <c r="P1485" s="27"/>
      <c r="Q1485" s="2">
        <f t="shared" si="230"/>
        <v>0</v>
      </c>
      <c r="S1485" s="7">
        <f t="shared" si="233"/>
        <v>0</v>
      </c>
      <c r="T1485" s="157">
        <f t="shared" si="234"/>
        <v>0</v>
      </c>
      <c r="V1485" s="191">
        <f t="shared" si="231"/>
        <v>1</v>
      </c>
      <c r="W1485" s="7">
        <f t="shared" si="232"/>
        <v>1900</v>
      </c>
    </row>
    <row r="1486" spans="2:23" ht="31.95" customHeight="1" thickBot="1" x14ac:dyDescent="0.35">
      <c r="B1486" s="26"/>
      <c r="C1486" s="51" t="str">
        <f t="shared" si="235"/>
        <v/>
      </c>
      <c r="D1486" s="27"/>
      <c r="E1486" s="26"/>
      <c r="F1486" s="26"/>
      <c r="G1486" s="26"/>
      <c r="H1486" s="254"/>
      <c r="I1486" s="49"/>
      <c r="J1486" s="49"/>
      <c r="K1486" s="52" t="str">
        <f t="shared" si="227"/>
        <v/>
      </c>
      <c r="L1486" s="209" t="str">
        <f t="shared" si="228"/>
        <v/>
      </c>
      <c r="M1486" s="210" t="str">
        <f t="shared" si="229"/>
        <v/>
      </c>
      <c r="N1486" s="26"/>
      <c r="O1486" s="26"/>
      <c r="P1486" s="27"/>
      <c r="Q1486" s="2">
        <f t="shared" si="230"/>
        <v>0</v>
      </c>
      <c r="S1486" s="7">
        <f t="shared" si="233"/>
        <v>0</v>
      </c>
      <c r="T1486" s="157">
        <f t="shared" si="234"/>
        <v>0</v>
      </c>
      <c r="V1486" s="191">
        <f t="shared" si="231"/>
        <v>1</v>
      </c>
      <c r="W1486" s="7">
        <f t="shared" si="232"/>
        <v>1900</v>
      </c>
    </row>
    <row r="1487" spans="2:23" ht="31.95" customHeight="1" thickBot="1" x14ac:dyDescent="0.35">
      <c r="B1487" s="26"/>
      <c r="C1487" s="51" t="str">
        <f t="shared" si="235"/>
        <v/>
      </c>
      <c r="D1487" s="27"/>
      <c r="E1487" s="26"/>
      <c r="F1487" s="26"/>
      <c r="G1487" s="26"/>
      <c r="H1487" s="254"/>
      <c r="I1487" s="49"/>
      <c r="J1487" s="49"/>
      <c r="K1487" s="52" t="str">
        <f t="shared" si="227"/>
        <v/>
      </c>
      <c r="L1487" s="209" t="str">
        <f t="shared" si="228"/>
        <v/>
      </c>
      <c r="M1487" s="210" t="str">
        <f t="shared" si="229"/>
        <v/>
      </c>
      <c r="N1487" s="26"/>
      <c r="O1487" s="26"/>
      <c r="P1487" s="27"/>
      <c r="Q1487" s="2">
        <f t="shared" si="230"/>
        <v>0</v>
      </c>
      <c r="S1487" s="7">
        <f t="shared" si="233"/>
        <v>0</v>
      </c>
      <c r="T1487" s="157">
        <f t="shared" si="234"/>
        <v>0</v>
      </c>
      <c r="V1487" s="191">
        <f t="shared" si="231"/>
        <v>1</v>
      </c>
      <c r="W1487" s="7">
        <f t="shared" si="232"/>
        <v>1900</v>
      </c>
    </row>
    <row r="1488" spans="2:23" ht="31.95" customHeight="1" thickBot="1" x14ac:dyDescent="0.35">
      <c r="B1488" s="26"/>
      <c r="C1488" s="51" t="str">
        <f t="shared" si="235"/>
        <v/>
      </c>
      <c r="D1488" s="27"/>
      <c r="E1488" s="26"/>
      <c r="F1488" s="26"/>
      <c r="G1488" s="26"/>
      <c r="H1488" s="254"/>
      <c r="I1488" s="49"/>
      <c r="J1488" s="49"/>
      <c r="K1488" s="52" t="str">
        <f t="shared" si="227"/>
        <v/>
      </c>
      <c r="L1488" s="209" t="str">
        <f t="shared" si="228"/>
        <v/>
      </c>
      <c r="M1488" s="210" t="str">
        <f t="shared" si="229"/>
        <v/>
      </c>
      <c r="N1488" s="26"/>
      <c r="O1488" s="26"/>
      <c r="P1488" s="27"/>
      <c r="Q1488" s="2">
        <f t="shared" si="230"/>
        <v>0</v>
      </c>
      <c r="S1488" s="7">
        <f t="shared" si="233"/>
        <v>0</v>
      </c>
      <c r="T1488" s="157">
        <f t="shared" si="234"/>
        <v>0</v>
      </c>
      <c r="V1488" s="191">
        <f t="shared" si="231"/>
        <v>1</v>
      </c>
      <c r="W1488" s="7">
        <f t="shared" si="232"/>
        <v>1900</v>
      </c>
    </row>
    <row r="1489" spans="2:23" ht="31.95" customHeight="1" thickBot="1" x14ac:dyDescent="0.35">
      <c r="B1489" s="26"/>
      <c r="C1489" s="51" t="str">
        <f t="shared" si="235"/>
        <v/>
      </c>
      <c r="D1489" s="27"/>
      <c r="E1489" s="26"/>
      <c r="F1489" s="26"/>
      <c r="G1489" s="26"/>
      <c r="H1489" s="254"/>
      <c r="I1489" s="49"/>
      <c r="J1489" s="49"/>
      <c r="K1489" s="52" t="str">
        <f t="shared" si="227"/>
        <v/>
      </c>
      <c r="L1489" s="209" t="str">
        <f t="shared" si="228"/>
        <v/>
      </c>
      <c r="M1489" s="210" t="str">
        <f t="shared" si="229"/>
        <v/>
      </c>
      <c r="N1489" s="26"/>
      <c r="O1489" s="26"/>
      <c r="P1489" s="27"/>
      <c r="Q1489" s="2">
        <f t="shared" si="230"/>
        <v>0</v>
      </c>
      <c r="S1489" s="7">
        <f t="shared" si="233"/>
        <v>0</v>
      </c>
      <c r="T1489" s="157">
        <f t="shared" si="234"/>
        <v>0</v>
      </c>
      <c r="V1489" s="191">
        <f t="shared" si="231"/>
        <v>1</v>
      </c>
      <c r="W1489" s="7">
        <f t="shared" si="232"/>
        <v>1900</v>
      </c>
    </row>
    <row r="1490" spans="2:23" ht="31.95" customHeight="1" thickBot="1" x14ac:dyDescent="0.35">
      <c r="B1490" s="26"/>
      <c r="C1490" s="51" t="str">
        <f t="shared" si="235"/>
        <v/>
      </c>
      <c r="D1490" s="27"/>
      <c r="E1490" s="26"/>
      <c r="F1490" s="26"/>
      <c r="G1490" s="26"/>
      <c r="H1490" s="254"/>
      <c r="I1490" s="49"/>
      <c r="J1490" s="49"/>
      <c r="K1490" s="52" t="str">
        <f t="shared" si="227"/>
        <v/>
      </c>
      <c r="L1490" s="209" t="str">
        <f t="shared" si="228"/>
        <v/>
      </c>
      <c r="M1490" s="210" t="str">
        <f t="shared" si="229"/>
        <v/>
      </c>
      <c r="N1490" s="26"/>
      <c r="O1490" s="26"/>
      <c r="P1490" s="27"/>
      <c r="Q1490" s="2">
        <f t="shared" si="230"/>
        <v>0</v>
      </c>
      <c r="S1490" s="7">
        <f t="shared" si="233"/>
        <v>0</v>
      </c>
      <c r="T1490" s="157">
        <f t="shared" si="234"/>
        <v>0</v>
      </c>
      <c r="V1490" s="191">
        <f t="shared" si="231"/>
        <v>1</v>
      </c>
      <c r="W1490" s="7">
        <f t="shared" si="232"/>
        <v>1900</v>
      </c>
    </row>
    <row r="1491" spans="2:23" ht="31.95" customHeight="1" thickBot="1" x14ac:dyDescent="0.35">
      <c r="B1491" s="26"/>
      <c r="C1491" s="51" t="str">
        <f t="shared" si="235"/>
        <v/>
      </c>
      <c r="D1491" s="27"/>
      <c r="E1491" s="26"/>
      <c r="F1491" s="26"/>
      <c r="G1491" s="26"/>
      <c r="H1491" s="254"/>
      <c r="I1491" s="49"/>
      <c r="J1491" s="49"/>
      <c r="K1491" s="52" t="str">
        <f t="shared" si="227"/>
        <v/>
      </c>
      <c r="L1491" s="209" t="str">
        <f t="shared" si="228"/>
        <v/>
      </c>
      <c r="M1491" s="210" t="str">
        <f t="shared" si="229"/>
        <v/>
      </c>
      <c r="N1491" s="26"/>
      <c r="O1491" s="26"/>
      <c r="P1491" s="27"/>
      <c r="Q1491" s="2">
        <f t="shared" si="230"/>
        <v>0</v>
      </c>
      <c r="S1491" s="7">
        <f t="shared" si="233"/>
        <v>0</v>
      </c>
      <c r="T1491" s="157">
        <f t="shared" si="234"/>
        <v>0</v>
      </c>
      <c r="V1491" s="191">
        <f t="shared" si="231"/>
        <v>1</v>
      </c>
      <c r="W1491" s="7">
        <f t="shared" si="232"/>
        <v>1900</v>
      </c>
    </row>
    <row r="1492" spans="2:23" ht="31.95" customHeight="1" thickBot="1" x14ac:dyDescent="0.35">
      <c r="B1492" s="26"/>
      <c r="C1492" s="51" t="str">
        <f t="shared" si="235"/>
        <v/>
      </c>
      <c r="D1492" s="27"/>
      <c r="E1492" s="26"/>
      <c r="F1492" s="26"/>
      <c r="G1492" s="26"/>
      <c r="H1492" s="254"/>
      <c r="I1492" s="49"/>
      <c r="J1492" s="49"/>
      <c r="K1492" s="52" t="str">
        <f t="shared" si="227"/>
        <v/>
      </c>
      <c r="L1492" s="209" t="str">
        <f t="shared" si="228"/>
        <v/>
      </c>
      <c r="M1492" s="210" t="str">
        <f t="shared" si="229"/>
        <v/>
      </c>
      <c r="N1492" s="26"/>
      <c r="O1492" s="26"/>
      <c r="P1492" s="27"/>
      <c r="Q1492" s="2">
        <f t="shared" si="230"/>
        <v>0</v>
      </c>
      <c r="S1492" s="7">
        <f t="shared" si="233"/>
        <v>0</v>
      </c>
      <c r="T1492" s="157">
        <f t="shared" si="234"/>
        <v>0</v>
      </c>
      <c r="V1492" s="191">
        <f t="shared" si="231"/>
        <v>1</v>
      </c>
      <c r="W1492" s="7">
        <f t="shared" si="232"/>
        <v>1900</v>
      </c>
    </row>
    <row r="1493" spans="2:23" ht="31.95" customHeight="1" thickBot="1" x14ac:dyDescent="0.35">
      <c r="B1493" s="26"/>
      <c r="C1493" s="51" t="str">
        <f t="shared" si="235"/>
        <v/>
      </c>
      <c r="D1493" s="27"/>
      <c r="E1493" s="26"/>
      <c r="F1493" s="26"/>
      <c r="G1493" s="26"/>
      <c r="H1493" s="254"/>
      <c r="I1493" s="49"/>
      <c r="J1493" s="49"/>
      <c r="K1493" s="52" t="str">
        <f t="shared" si="227"/>
        <v/>
      </c>
      <c r="L1493" s="209" t="str">
        <f t="shared" si="228"/>
        <v/>
      </c>
      <c r="M1493" s="210" t="str">
        <f t="shared" si="229"/>
        <v/>
      </c>
      <c r="N1493" s="26"/>
      <c r="O1493" s="26"/>
      <c r="P1493" s="27"/>
      <c r="Q1493" s="2">
        <f t="shared" si="230"/>
        <v>0</v>
      </c>
      <c r="S1493" s="7">
        <f t="shared" si="233"/>
        <v>0</v>
      </c>
      <c r="T1493" s="157">
        <f t="shared" si="234"/>
        <v>0</v>
      </c>
      <c r="V1493" s="191">
        <f t="shared" si="231"/>
        <v>1</v>
      </c>
      <c r="W1493" s="7">
        <f t="shared" si="232"/>
        <v>1900</v>
      </c>
    </row>
    <row r="1494" spans="2:23" ht="31.95" customHeight="1" thickBot="1" x14ac:dyDescent="0.35">
      <c r="B1494" s="26"/>
      <c r="C1494" s="51" t="str">
        <f t="shared" si="235"/>
        <v/>
      </c>
      <c r="D1494" s="27"/>
      <c r="E1494" s="26"/>
      <c r="F1494" s="26"/>
      <c r="G1494" s="26"/>
      <c r="H1494" s="254"/>
      <c r="I1494" s="49"/>
      <c r="J1494" s="49"/>
      <c r="K1494" s="52" t="str">
        <f t="shared" si="227"/>
        <v/>
      </c>
      <c r="L1494" s="209" t="str">
        <f t="shared" si="228"/>
        <v/>
      </c>
      <c r="M1494" s="210" t="str">
        <f t="shared" si="229"/>
        <v/>
      </c>
      <c r="N1494" s="26"/>
      <c r="O1494" s="26"/>
      <c r="P1494" s="27"/>
      <c r="Q1494" s="2">
        <f t="shared" si="230"/>
        <v>0</v>
      </c>
      <c r="S1494" s="7">
        <f t="shared" si="233"/>
        <v>0</v>
      </c>
      <c r="T1494" s="157">
        <f t="shared" si="234"/>
        <v>0</v>
      </c>
      <c r="V1494" s="191">
        <f t="shared" si="231"/>
        <v>1</v>
      </c>
      <c r="W1494" s="7">
        <f t="shared" si="232"/>
        <v>1900</v>
      </c>
    </row>
    <row r="1495" spans="2:23" ht="31.95" customHeight="1" thickBot="1" x14ac:dyDescent="0.35">
      <c r="B1495" s="26"/>
      <c r="C1495" s="51" t="str">
        <f t="shared" si="235"/>
        <v/>
      </c>
      <c r="D1495" s="27"/>
      <c r="E1495" s="26"/>
      <c r="F1495" s="26"/>
      <c r="G1495" s="26"/>
      <c r="H1495" s="254"/>
      <c r="I1495" s="49"/>
      <c r="J1495" s="49"/>
      <c r="K1495" s="52" t="str">
        <f t="shared" si="227"/>
        <v/>
      </c>
      <c r="L1495" s="209" t="str">
        <f t="shared" si="228"/>
        <v/>
      </c>
      <c r="M1495" s="210" t="str">
        <f t="shared" si="229"/>
        <v/>
      </c>
      <c r="N1495" s="26"/>
      <c r="O1495" s="26"/>
      <c r="P1495" s="27"/>
      <c r="Q1495" s="2">
        <f t="shared" si="230"/>
        <v>0</v>
      </c>
      <c r="S1495" s="7">
        <f t="shared" si="233"/>
        <v>0</v>
      </c>
      <c r="T1495" s="157">
        <f t="shared" si="234"/>
        <v>0</v>
      </c>
      <c r="V1495" s="191">
        <f t="shared" si="231"/>
        <v>1</v>
      </c>
      <c r="W1495" s="7">
        <f t="shared" si="232"/>
        <v>1900</v>
      </c>
    </row>
    <row r="1496" spans="2:23" ht="31.95" customHeight="1" thickBot="1" x14ac:dyDescent="0.35">
      <c r="B1496" s="26"/>
      <c r="C1496" s="51" t="str">
        <f t="shared" si="235"/>
        <v/>
      </c>
      <c r="D1496" s="27"/>
      <c r="E1496" s="26"/>
      <c r="F1496" s="26"/>
      <c r="G1496" s="26"/>
      <c r="H1496" s="254"/>
      <c r="I1496" s="49"/>
      <c r="J1496" s="49"/>
      <c r="K1496" s="52" t="str">
        <f t="shared" si="227"/>
        <v/>
      </c>
      <c r="L1496" s="209" t="str">
        <f t="shared" si="228"/>
        <v/>
      </c>
      <c r="M1496" s="210" t="str">
        <f t="shared" si="229"/>
        <v/>
      </c>
      <c r="N1496" s="26"/>
      <c r="O1496" s="26"/>
      <c r="P1496" s="27"/>
      <c r="Q1496" s="2">
        <f t="shared" si="230"/>
        <v>0</v>
      </c>
      <c r="S1496" s="7">
        <f t="shared" si="233"/>
        <v>0</v>
      </c>
      <c r="T1496" s="157">
        <f t="shared" si="234"/>
        <v>0</v>
      </c>
      <c r="V1496" s="191">
        <f t="shared" si="231"/>
        <v>1</v>
      </c>
      <c r="W1496" s="7">
        <f t="shared" si="232"/>
        <v>1900</v>
      </c>
    </row>
    <row r="1497" spans="2:23" ht="31.95" customHeight="1" thickBot="1" x14ac:dyDescent="0.35">
      <c r="B1497" s="26"/>
      <c r="C1497" s="51" t="str">
        <f t="shared" si="235"/>
        <v/>
      </c>
      <c r="D1497" s="27"/>
      <c r="E1497" s="26"/>
      <c r="F1497" s="26"/>
      <c r="G1497" s="26"/>
      <c r="H1497" s="254"/>
      <c r="I1497" s="49"/>
      <c r="J1497" s="49"/>
      <c r="K1497" s="52" t="str">
        <f t="shared" si="227"/>
        <v/>
      </c>
      <c r="L1497" s="209" t="str">
        <f t="shared" si="228"/>
        <v/>
      </c>
      <c r="M1497" s="210" t="str">
        <f t="shared" si="229"/>
        <v/>
      </c>
      <c r="N1497" s="26"/>
      <c r="O1497" s="26"/>
      <c r="P1497" s="27"/>
      <c r="Q1497" s="2">
        <f t="shared" si="230"/>
        <v>0</v>
      </c>
      <c r="S1497" s="7">
        <f t="shared" si="233"/>
        <v>0</v>
      </c>
      <c r="T1497" s="157">
        <f t="shared" si="234"/>
        <v>0</v>
      </c>
      <c r="V1497" s="191">
        <f t="shared" si="231"/>
        <v>1</v>
      </c>
      <c r="W1497" s="7">
        <f t="shared" si="232"/>
        <v>1900</v>
      </c>
    </row>
    <row r="1498" spans="2:23" ht="31.95" customHeight="1" thickBot="1" x14ac:dyDescent="0.35">
      <c r="B1498" s="26"/>
      <c r="C1498" s="51" t="str">
        <f t="shared" si="235"/>
        <v/>
      </c>
      <c r="D1498" s="27"/>
      <c r="E1498" s="26"/>
      <c r="F1498" s="26"/>
      <c r="G1498" s="26"/>
      <c r="H1498" s="254"/>
      <c r="I1498" s="49"/>
      <c r="J1498" s="49"/>
      <c r="K1498" s="52" t="str">
        <f t="shared" si="227"/>
        <v/>
      </c>
      <c r="L1498" s="209" t="str">
        <f t="shared" si="228"/>
        <v/>
      </c>
      <c r="M1498" s="210" t="str">
        <f t="shared" si="229"/>
        <v/>
      </c>
      <c r="N1498" s="26"/>
      <c r="O1498" s="26"/>
      <c r="P1498" s="27"/>
      <c r="Q1498" s="2">
        <f t="shared" si="230"/>
        <v>0</v>
      </c>
      <c r="S1498" s="7">
        <f t="shared" si="233"/>
        <v>0</v>
      </c>
      <c r="T1498" s="157">
        <f t="shared" si="234"/>
        <v>0</v>
      </c>
      <c r="V1498" s="191">
        <f t="shared" si="231"/>
        <v>1</v>
      </c>
      <c r="W1498" s="7">
        <f t="shared" si="232"/>
        <v>1900</v>
      </c>
    </row>
    <row r="1499" spans="2:23" ht="31.95" customHeight="1" thickBot="1" x14ac:dyDescent="0.35">
      <c r="B1499" s="26"/>
      <c r="C1499" s="51" t="str">
        <f t="shared" si="235"/>
        <v/>
      </c>
      <c r="D1499" s="27"/>
      <c r="E1499" s="26"/>
      <c r="F1499" s="26"/>
      <c r="G1499" s="26"/>
      <c r="H1499" s="254"/>
      <c r="I1499" s="49"/>
      <c r="J1499" s="49"/>
      <c r="K1499" s="52" t="str">
        <f t="shared" si="227"/>
        <v/>
      </c>
      <c r="L1499" s="209" t="str">
        <f t="shared" si="228"/>
        <v/>
      </c>
      <c r="M1499" s="210" t="str">
        <f t="shared" si="229"/>
        <v/>
      </c>
      <c r="N1499" s="26"/>
      <c r="O1499" s="26"/>
      <c r="P1499" s="27"/>
      <c r="Q1499" s="2">
        <f t="shared" si="230"/>
        <v>0</v>
      </c>
      <c r="S1499" s="7">
        <f t="shared" si="233"/>
        <v>0</v>
      </c>
      <c r="T1499" s="157">
        <f t="shared" si="234"/>
        <v>0</v>
      </c>
      <c r="V1499" s="191">
        <f t="shared" si="231"/>
        <v>1</v>
      </c>
      <c r="W1499" s="7">
        <f t="shared" si="232"/>
        <v>1900</v>
      </c>
    </row>
    <row r="1500" spans="2:23" ht="31.95" customHeight="1" thickBot="1" x14ac:dyDescent="0.35">
      <c r="B1500" s="26"/>
      <c r="C1500" s="51" t="str">
        <f t="shared" si="235"/>
        <v/>
      </c>
      <c r="D1500" s="27"/>
      <c r="E1500" s="26"/>
      <c r="F1500" s="26"/>
      <c r="G1500" s="26"/>
      <c r="H1500" s="254"/>
      <c r="I1500" s="49"/>
      <c r="J1500" s="49"/>
      <c r="K1500" s="52" t="str">
        <f t="shared" si="227"/>
        <v/>
      </c>
      <c r="L1500" s="209" t="str">
        <f t="shared" si="228"/>
        <v/>
      </c>
      <c r="M1500" s="210" t="str">
        <f t="shared" si="229"/>
        <v/>
      </c>
      <c r="N1500" s="26"/>
      <c r="O1500" s="26"/>
      <c r="P1500" s="27"/>
      <c r="Q1500" s="2">
        <f t="shared" si="230"/>
        <v>0</v>
      </c>
      <c r="S1500" s="7">
        <f t="shared" si="233"/>
        <v>0</v>
      </c>
      <c r="T1500" s="157">
        <f t="shared" si="234"/>
        <v>0</v>
      </c>
      <c r="V1500" s="191">
        <f t="shared" si="231"/>
        <v>1</v>
      </c>
      <c r="W1500" s="7">
        <f t="shared" si="232"/>
        <v>1900</v>
      </c>
    </row>
    <row r="1501" spans="2:23" ht="31.95" customHeight="1" thickBot="1" x14ac:dyDescent="0.35">
      <c r="B1501" s="26"/>
      <c r="C1501" s="51" t="str">
        <f t="shared" si="235"/>
        <v/>
      </c>
      <c r="D1501" s="27"/>
      <c r="E1501" s="26"/>
      <c r="F1501" s="26"/>
      <c r="G1501" s="26"/>
      <c r="H1501" s="254"/>
      <c r="I1501" s="49"/>
      <c r="J1501" s="49"/>
      <c r="K1501" s="52" t="str">
        <f t="shared" si="227"/>
        <v/>
      </c>
      <c r="L1501" s="209" t="str">
        <f t="shared" si="228"/>
        <v/>
      </c>
      <c r="M1501" s="210" t="str">
        <f t="shared" si="229"/>
        <v/>
      </c>
      <c r="N1501" s="26"/>
      <c r="O1501" s="26"/>
      <c r="P1501" s="27"/>
      <c r="Q1501" s="2">
        <f t="shared" si="230"/>
        <v>0</v>
      </c>
      <c r="S1501" s="7">
        <f t="shared" si="233"/>
        <v>0</v>
      </c>
      <c r="T1501" s="157">
        <f t="shared" si="234"/>
        <v>0</v>
      </c>
      <c r="V1501" s="191">
        <f t="shared" si="231"/>
        <v>1</v>
      </c>
      <c r="W1501" s="7">
        <f t="shared" si="232"/>
        <v>1900</v>
      </c>
    </row>
    <row r="1502" spans="2:23" ht="31.95" customHeight="1" thickBot="1" x14ac:dyDescent="0.35">
      <c r="B1502" s="26"/>
      <c r="C1502" s="51" t="str">
        <f t="shared" si="235"/>
        <v/>
      </c>
      <c r="D1502" s="27"/>
      <c r="E1502" s="26"/>
      <c r="F1502" s="26"/>
      <c r="G1502" s="26"/>
      <c r="H1502" s="254"/>
      <c r="I1502" s="49"/>
      <c r="J1502" s="49"/>
      <c r="K1502" s="52" t="str">
        <f t="shared" si="227"/>
        <v/>
      </c>
      <c r="L1502" s="209" t="str">
        <f t="shared" si="228"/>
        <v/>
      </c>
      <c r="M1502" s="210" t="str">
        <f t="shared" si="229"/>
        <v/>
      </c>
      <c r="N1502" s="26"/>
      <c r="O1502" s="26"/>
      <c r="P1502" s="27"/>
      <c r="Q1502" s="2">
        <f t="shared" si="230"/>
        <v>0</v>
      </c>
      <c r="S1502" s="7">
        <f t="shared" si="233"/>
        <v>0</v>
      </c>
      <c r="T1502" s="157">
        <f t="shared" si="234"/>
        <v>0</v>
      </c>
      <c r="V1502" s="191">
        <f t="shared" si="231"/>
        <v>1</v>
      </c>
      <c r="W1502" s="7">
        <f t="shared" si="232"/>
        <v>1900</v>
      </c>
    </row>
    <row r="1503" spans="2:23" ht="31.95" customHeight="1" thickBot="1" x14ac:dyDescent="0.35">
      <c r="B1503" s="26"/>
      <c r="C1503" s="51" t="str">
        <f t="shared" si="235"/>
        <v/>
      </c>
      <c r="D1503" s="27"/>
      <c r="E1503" s="26"/>
      <c r="F1503" s="26"/>
      <c r="G1503" s="26"/>
      <c r="H1503" s="254"/>
      <c r="I1503" s="49"/>
      <c r="J1503" s="49"/>
      <c r="K1503" s="52" t="str">
        <f t="shared" si="227"/>
        <v/>
      </c>
      <c r="L1503" s="209" t="str">
        <f t="shared" si="228"/>
        <v/>
      </c>
      <c r="M1503" s="210" t="str">
        <f t="shared" si="229"/>
        <v/>
      </c>
      <c r="N1503" s="26"/>
      <c r="O1503" s="26"/>
      <c r="P1503" s="27"/>
      <c r="Q1503" s="2">
        <f t="shared" si="230"/>
        <v>0</v>
      </c>
      <c r="S1503" s="7">
        <f t="shared" si="233"/>
        <v>0</v>
      </c>
      <c r="T1503" s="157">
        <f t="shared" si="234"/>
        <v>0</v>
      </c>
      <c r="V1503" s="191">
        <f t="shared" si="231"/>
        <v>1</v>
      </c>
      <c r="W1503" s="7">
        <f t="shared" si="232"/>
        <v>1900</v>
      </c>
    </row>
    <row r="1504" spans="2:23" ht="31.95" customHeight="1" thickBot="1" x14ac:dyDescent="0.35">
      <c r="B1504" s="26"/>
      <c r="C1504" s="51" t="str">
        <f t="shared" si="235"/>
        <v/>
      </c>
      <c r="D1504" s="27"/>
      <c r="E1504" s="26"/>
      <c r="F1504" s="26"/>
      <c r="G1504" s="26"/>
      <c r="H1504" s="254"/>
      <c r="I1504" s="49"/>
      <c r="J1504" s="49"/>
      <c r="K1504" s="52" t="str">
        <f t="shared" si="227"/>
        <v/>
      </c>
      <c r="L1504" s="209" t="str">
        <f t="shared" si="228"/>
        <v/>
      </c>
      <c r="M1504" s="210" t="str">
        <f t="shared" si="229"/>
        <v/>
      </c>
      <c r="N1504" s="26"/>
      <c r="O1504" s="26"/>
      <c r="P1504" s="27"/>
      <c r="Q1504" s="2">
        <f t="shared" si="230"/>
        <v>0</v>
      </c>
      <c r="S1504" s="7">
        <f t="shared" si="233"/>
        <v>0</v>
      </c>
      <c r="T1504" s="157">
        <f t="shared" si="234"/>
        <v>0</v>
      </c>
      <c r="V1504" s="191">
        <f t="shared" si="231"/>
        <v>1</v>
      </c>
      <c r="W1504" s="7">
        <f t="shared" si="232"/>
        <v>1900</v>
      </c>
    </row>
    <row r="1505" spans="2:23" ht="31.95" customHeight="1" thickBot="1" x14ac:dyDescent="0.35">
      <c r="B1505" s="26"/>
      <c r="C1505" s="51" t="str">
        <f t="shared" si="235"/>
        <v/>
      </c>
      <c r="D1505" s="27"/>
      <c r="E1505" s="26"/>
      <c r="F1505" s="26"/>
      <c r="G1505" s="26"/>
      <c r="H1505" s="254"/>
      <c r="I1505" s="49"/>
      <c r="J1505" s="49"/>
      <c r="K1505" s="52" t="str">
        <f t="shared" si="227"/>
        <v/>
      </c>
      <c r="L1505" s="209" t="str">
        <f t="shared" si="228"/>
        <v/>
      </c>
      <c r="M1505" s="210" t="str">
        <f t="shared" si="229"/>
        <v/>
      </c>
      <c r="N1505" s="26"/>
      <c r="O1505" s="26"/>
      <c r="P1505" s="27"/>
      <c r="Q1505" s="2">
        <f t="shared" si="230"/>
        <v>0</v>
      </c>
      <c r="S1505" s="7">
        <f t="shared" si="233"/>
        <v>0</v>
      </c>
      <c r="T1505" s="157">
        <f t="shared" si="234"/>
        <v>0</v>
      </c>
      <c r="V1505" s="191">
        <f t="shared" si="231"/>
        <v>1</v>
      </c>
      <c r="W1505" s="7">
        <f t="shared" si="232"/>
        <v>1900</v>
      </c>
    </row>
    <row r="1506" spans="2:23" ht="31.95" customHeight="1" thickBot="1" x14ac:dyDescent="0.35">
      <c r="B1506" s="26"/>
      <c r="C1506" s="51" t="str">
        <f t="shared" si="235"/>
        <v/>
      </c>
      <c r="D1506" s="27"/>
      <c r="E1506" s="26"/>
      <c r="F1506" s="26"/>
      <c r="G1506" s="26"/>
      <c r="H1506" s="254"/>
      <c r="I1506" s="49"/>
      <c r="J1506" s="49"/>
      <c r="K1506" s="52" t="str">
        <f t="shared" si="227"/>
        <v/>
      </c>
      <c r="L1506" s="209" t="str">
        <f t="shared" si="228"/>
        <v/>
      </c>
      <c r="M1506" s="210" t="str">
        <f t="shared" si="229"/>
        <v/>
      </c>
      <c r="N1506" s="26"/>
      <c r="O1506" s="26"/>
      <c r="P1506" s="27"/>
      <c r="Q1506" s="2">
        <f t="shared" si="230"/>
        <v>0</v>
      </c>
      <c r="S1506" s="7">
        <f t="shared" si="233"/>
        <v>0</v>
      </c>
      <c r="T1506" s="157">
        <f t="shared" si="234"/>
        <v>0</v>
      </c>
      <c r="V1506" s="191">
        <f t="shared" si="231"/>
        <v>1</v>
      </c>
      <c r="W1506" s="7">
        <f t="shared" si="232"/>
        <v>1900</v>
      </c>
    </row>
    <row r="1507" spans="2:23" ht="31.95" customHeight="1" thickBot="1" x14ac:dyDescent="0.35">
      <c r="B1507" s="26"/>
      <c r="C1507" s="51" t="str">
        <f t="shared" si="235"/>
        <v/>
      </c>
      <c r="D1507" s="27"/>
      <c r="E1507" s="26"/>
      <c r="F1507" s="26"/>
      <c r="G1507" s="26"/>
      <c r="H1507" s="254"/>
      <c r="I1507" s="49"/>
      <c r="J1507" s="49"/>
      <c r="K1507" s="52" t="str">
        <f t="shared" si="227"/>
        <v/>
      </c>
      <c r="L1507" s="209" t="str">
        <f t="shared" si="228"/>
        <v/>
      </c>
      <c r="M1507" s="210" t="str">
        <f t="shared" si="229"/>
        <v/>
      </c>
      <c r="N1507" s="26"/>
      <c r="O1507" s="26"/>
      <c r="P1507" s="27"/>
      <c r="Q1507" s="2">
        <f t="shared" si="230"/>
        <v>0</v>
      </c>
      <c r="S1507" s="7">
        <f t="shared" si="233"/>
        <v>0</v>
      </c>
      <c r="T1507" s="157">
        <f t="shared" si="234"/>
        <v>0</v>
      </c>
      <c r="V1507" s="191">
        <f t="shared" si="231"/>
        <v>1</v>
      </c>
      <c r="W1507" s="7">
        <f t="shared" si="232"/>
        <v>1900</v>
      </c>
    </row>
    <row r="1508" spans="2:23" ht="31.95" customHeight="1" thickBot="1" x14ac:dyDescent="0.35">
      <c r="B1508" s="26"/>
      <c r="C1508" s="51" t="str">
        <f t="shared" si="235"/>
        <v/>
      </c>
      <c r="D1508" s="27"/>
      <c r="E1508" s="26"/>
      <c r="F1508" s="26"/>
      <c r="G1508" s="26"/>
      <c r="H1508" s="254"/>
      <c r="I1508" s="49"/>
      <c r="J1508" s="49"/>
      <c r="K1508" s="52" t="str">
        <f t="shared" si="227"/>
        <v/>
      </c>
      <c r="L1508" s="209" t="str">
        <f t="shared" si="228"/>
        <v/>
      </c>
      <c r="M1508" s="210" t="str">
        <f t="shared" si="229"/>
        <v/>
      </c>
      <c r="N1508" s="26"/>
      <c r="O1508" s="26"/>
      <c r="P1508" s="27"/>
      <c r="Q1508" s="2">
        <f t="shared" si="230"/>
        <v>0</v>
      </c>
      <c r="S1508" s="7">
        <f t="shared" si="233"/>
        <v>0</v>
      </c>
      <c r="T1508" s="157">
        <f t="shared" si="234"/>
        <v>0</v>
      </c>
      <c r="V1508" s="191">
        <f t="shared" si="231"/>
        <v>1</v>
      </c>
      <c r="W1508" s="7">
        <f t="shared" si="232"/>
        <v>1900</v>
      </c>
    </row>
    <row r="1509" spans="2:23" ht="31.95" customHeight="1" thickBot="1" x14ac:dyDescent="0.35">
      <c r="B1509" s="26"/>
      <c r="C1509" s="51" t="str">
        <f t="shared" si="235"/>
        <v/>
      </c>
      <c r="D1509" s="27"/>
      <c r="E1509" s="26"/>
      <c r="F1509" s="26"/>
      <c r="G1509" s="26"/>
      <c r="H1509" s="254"/>
      <c r="I1509" s="49"/>
      <c r="J1509" s="49"/>
      <c r="K1509" s="52" t="str">
        <f t="shared" si="227"/>
        <v/>
      </c>
      <c r="L1509" s="209" t="str">
        <f t="shared" si="228"/>
        <v/>
      </c>
      <c r="M1509" s="210" t="str">
        <f t="shared" si="229"/>
        <v/>
      </c>
      <c r="N1509" s="26"/>
      <c r="O1509" s="26"/>
      <c r="P1509" s="27"/>
      <c r="Q1509" s="2">
        <f t="shared" si="230"/>
        <v>0</v>
      </c>
      <c r="S1509" s="7">
        <f t="shared" si="233"/>
        <v>0</v>
      </c>
      <c r="T1509" s="157">
        <f t="shared" si="234"/>
        <v>0</v>
      </c>
      <c r="V1509" s="191">
        <f t="shared" si="231"/>
        <v>1</v>
      </c>
      <c r="W1509" s="7">
        <f t="shared" si="232"/>
        <v>1900</v>
      </c>
    </row>
    <row r="1510" spans="2:23" ht="31.95" customHeight="1" thickBot="1" x14ac:dyDescent="0.35">
      <c r="B1510" s="26"/>
      <c r="C1510" s="51" t="str">
        <f t="shared" si="235"/>
        <v/>
      </c>
      <c r="D1510" s="27"/>
      <c r="E1510" s="26"/>
      <c r="F1510" s="26"/>
      <c r="G1510" s="26"/>
      <c r="H1510" s="254"/>
      <c r="I1510" s="49"/>
      <c r="J1510" s="49"/>
      <c r="K1510" s="52" t="str">
        <f t="shared" si="227"/>
        <v/>
      </c>
      <c r="L1510" s="209" t="str">
        <f t="shared" si="228"/>
        <v/>
      </c>
      <c r="M1510" s="210" t="str">
        <f t="shared" si="229"/>
        <v/>
      </c>
      <c r="N1510" s="26"/>
      <c r="O1510" s="26"/>
      <c r="P1510" s="27"/>
      <c r="Q1510" s="2">
        <f t="shared" si="230"/>
        <v>0</v>
      </c>
      <c r="S1510" s="7">
        <f t="shared" si="233"/>
        <v>0</v>
      </c>
      <c r="T1510" s="157">
        <f t="shared" si="234"/>
        <v>0</v>
      </c>
      <c r="V1510" s="191">
        <f t="shared" si="231"/>
        <v>1</v>
      </c>
      <c r="W1510" s="7">
        <f t="shared" si="232"/>
        <v>1900</v>
      </c>
    </row>
    <row r="1511" spans="2:23" ht="31.95" customHeight="1" thickBot="1" x14ac:dyDescent="0.35">
      <c r="B1511" s="26"/>
      <c r="C1511" s="51" t="str">
        <f t="shared" si="235"/>
        <v/>
      </c>
      <c r="D1511" s="27"/>
      <c r="E1511" s="26"/>
      <c r="F1511" s="26"/>
      <c r="G1511" s="26"/>
      <c r="H1511" s="254"/>
      <c r="I1511" s="49"/>
      <c r="J1511" s="49"/>
      <c r="K1511" s="52" t="str">
        <f t="shared" si="227"/>
        <v/>
      </c>
      <c r="L1511" s="209" t="str">
        <f t="shared" si="228"/>
        <v/>
      </c>
      <c r="M1511" s="210" t="str">
        <f t="shared" si="229"/>
        <v/>
      </c>
      <c r="N1511" s="26"/>
      <c r="O1511" s="26"/>
      <c r="P1511" s="27"/>
      <c r="Q1511" s="2">
        <f t="shared" si="230"/>
        <v>0</v>
      </c>
      <c r="S1511" s="7">
        <f t="shared" si="233"/>
        <v>0</v>
      </c>
      <c r="T1511" s="157">
        <f t="shared" si="234"/>
        <v>0</v>
      </c>
      <c r="V1511" s="191">
        <f t="shared" si="231"/>
        <v>1</v>
      </c>
      <c r="W1511" s="7">
        <f t="shared" si="232"/>
        <v>1900</v>
      </c>
    </row>
    <row r="1512" spans="2:23" ht="31.95" customHeight="1" thickBot="1" x14ac:dyDescent="0.35">
      <c r="B1512" s="26"/>
      <c r="C1512" s="51" t="str">
        <f t="shared" si="235"/>
        <v/>
      </c>
      <c r="D1512" s="27"/>
      <c r="E1512" s="26"/>
      <c r="F1512" s="26"/>
      <c r="G1512" s="26"/>
      <c r="H1512" s="254"/>
      <c r="I1512" s="49"/>
      <c r="J1512" s="49"/>
      <c r="K1512" s="52" t="str">
        <f t="shared" si="227"/>
        <v/>
      </c>
      <c r="L1512" s="209" t="str">
        <f t="shared" si="228"/>
        <v/>
      </c>
      <c r="M1512" s="210" t="str">
        <f t="shared" si="229"/>
        <v/>
      </c>
      <c r="N1512" s="26"/>
      <c r="O1512" s="26"/>
      <c r="P1512" s="27"/>
      <c r="Q1512" s="2">
        <f t="shared" si="230"/>
        <v>0</v>
      </c>
      <c r="S1512" s="7">
        <f t="shared" si="233"/>
        <v>0</v>
      </c>
      <c r="T1512" s="157">
        <f t="shared" si="234"/>
        <v>0</v>
      </c>
      <c r="V1512" s="191">
        <f t="shared" si="231"/>
        <v>1</v>
      </c>
      <c r="W1512" s="7">
        <f t="shared" si="232"/>
        <v>1900</v>
      </c>
    </row>
    <row r="1513" spans="2:23" ht="31.95" customHeight="1" thickBot="1" x14ac:dyDescent="0.35">
      <c r="B1513" s="26"/>
      <c r="C1513" s="51" t="str">
        <f t="shared" si="235"/>
        <v/>
      </c>
      <c r="D1513" s="27"/>
      <c r="E1513" s="26"/>
      <c r="F1513" s="26"/>
      <c r="G1513" s="26"/>
      <c r="H1513" s="254"/>
      <c r="I1513" s="49"/>
      <c r="J1513" s="49"/>
      <c r="K1513" s="52" t="str">
        <f t="shared" si="227"/>
        <v/>
      </c>
      <c r="L1513" s="209" t="str">
        <f t="shared" si="228"/>
        <v/>
      </c>
      <c r="M1513" s="210" t="str">
        <f t="shared" si="229"/>
        <v/>
      </c>
      <c r="N1513" s="26"/>
      <c r="O1513" s="26"/>
      <c r="P1513" s="27"/>
      <c r="Q1513" s="2">
        <f t="shared" si="230"/>
        <v>0</v>
      </c>
      <c r="S1513" s="7">
        <f t="shared" si="233"/>
        <v>0</v>
      </c>
      <c r="T1513" s="157">
        <f t="shared" si="234"/>
        <v>0</v>
      </c>
      <c r="V1513" s="191">
        <f t="shared" si="231"/>
        <v>1</v>
      </c>
      <c r="W1513" s="7">
        <f t="shared" si="232"/>
        <v>1900</v>
      </c>
    </row>
    <row r="1514" spans="2:23" ht="31.95" customHeight="1" thickBot="1" x14ac:dyDescent="0.35">
      <c r="B1514" s="26"/>
      <c r="C1514" s="51" t="str">
        <f t="shared" si="235"/>
        <v/>
      </c>
      <c r="D1514" s="27"/>
      <c r="E1514" s="26"/>
      <c r="F1514" s="26"/>
      <c r="G1514" s="26"/>
      <c r="H1514" s="254"/>
      <c r="I1514" s="49"/>
      <c r="J1514" s="49"/>
      <c r="K1514" s="52" t="str">
        <f t="shared" si="227"/>
        <v/>
      </c>
      <c r="L1514" s="209" t="str">
        <f t="shared" si="228"/>
        <v/>
      </c>
      <c r="M1514" s="210" t="str">
        <f t="shared" si="229"/>
        <v/>
      </c>
      <c r="N1514" s="26"/>
      <c r="O1514" s="26"/>
      <c r="P1514" s="27"/>
      <c r="Q1514" s="2">
        <f t="shared" si="230"/>
        <v>0</v>
      </c>
      <c r="S1514" s="7">
        <f t="shared" si="233"/>
        <v>0</v>
      </c>
      <c r="T1514" s="157">
        <f t="shared" si="234"/>
        <v>0</v>
      </c>
      <c r="V1514" s="191">
        <f t="shared" si="231"/>
        <v>1</v>
      </c>
      <c r="W1514" s="7">
        <f t="shared" si="232"/>
        <v>1900</v>
      </c>
    </row>
    <row r="1515" spans="2:23" ht="31.95" customHeight="1" thickBot="1" x14ac:dyDescent="0.35">
      <c r="B1515" s="26"/>
      <c r="C1515" s="51" t="str">
        <f t="shared" si="235"/>
        <v/>
      </c>
      <c r="D1515" s="27"/>
      <c r="E1515" s="26"/>
      <c r="F1515" s="26"/>
      <c r="G1515" s="26"/>
      <c r="H1515" s="254"/>
      <c r="I1515" s="49"/>
      <c r="J1515" s="49"/>
      <c r="K1515" s="52" t="str">
        <f t="shared" si="227"/>
        <v/>
      </c>
      <c r="L1515" s="209" t="str">
        <f t="shared" si="228"/>
        <v/>
      </c>
      <c r="M1515" s="210" t="str">
        <f t="shared" si="229"/>
        <v/>
      </c>
      <c r="N1515" s="26"/>
      <c r="O1515" s="26"/>
      <c r="P1515" s="27"/>
      <c r="Q1515" s="2">
        <f t="shared" si="230"/>
        <v>0</v>
      </c>
      <c r="S1515" s="7">
        <f t="shared" si="233"/>
        <v>0</v>
      </c>
      <c r="T1515" s="157">
        <f t="shared" si="234"/>
        <v>0</v>
      </c>
      <c r="V1515" s="191">
        <f t="shared" si="231"/>
        <v>1</v>
      </c>
      <c r="W1515" s="7">
        <f t="shared" si="232"/>
        <v>1900</v>
      </c>
    </row>
    <row r="1516" spans="2:23" ht="31.95" customHeight="1" thickBot="1" x14ac:dyDescent="0.35">
      <c r="B1516" s="26"/>
      <c r="C1516" s="51" t="str">
        <f t="shared" si="235"/>
        <v/>
      </c>
      <c r="D1516" s="27"/>
      <c r="E1516" s="26"/>
      <c r="F1516" s="26"/>
      <c r="G1516" s="26"/>
      <c r="H1516" s="254"/>
      <c r="I1516" s="49"/>
      <c r="J1516" s="49"/>
      <c r="K1516" s="52" t="str">
        <f t="shared" si="227"/>
        <v/>
      </c>
      <c r="L1516" s="209" t="str">
        <f t="shared" si="228"/>
        <v/>
      </c>
      <c r="M1516" s="210" t="str">
        <f t="shared" si="229"/>
        <v/>
      </c>
      <c r="N1516" s="26"/>
      <c r="O1516" s="26"/>
      <c r="P1516" s="27"/>
      <c r="Q1516" s="2">
        <f t="shared" si="230"/>
        <v>0</v>
      </c>
      <c r="S1516" s="7">
        <f t="shared" si="233"/>
        <v>0</v>
      </c>
      <c r="T1516" s="157">
        <f t="shared" si="234"/>
        <v>0</v>
      </c>
      <c r="V1516" s="191">
        <f t="shared" si="231"/>
        <v>1</v>
      </c>
      <c r="W1516" s="7">
        <f t="shared" si="232"/>
        <v>1900</v>
      </c>
    </row>
    <row r="1517" spans="2:23" ht="31.95" customHeight="1" thickBot="1" x14ac:dyDescent="0.35">
      <c r="B1517" s="26"/>
      <c r="C1517" s="51" t="str">
        <f t="shared" si="235"/>
        <v/>
      </c>
      <c r="D1517" s="27"/>
      <c r="E1517" s="26"/>
      <c r="F1517" s="26"/>
      <c r="G1517" s="26"/>
      <c r="H1517" s="254"/>
      <c r="I1517" s="49"/>
      <c r="J1517" s="49"/>
      <c r="K1517" s="52" t="str">
        <f t="shared" ref="K1517:K1580" si="236">IFERROR(J1517/I1517,"")</f>
        <v/>
      </c>
      <c r="L1517" s="209" t="str">
        <f t="shared" ref="L1517:L1580" si="237">IF(I1517="","",I1517-J1517)</f>
        <v/>
      </c>
      <c r="M1517" s="210" t="str">
        <f t="shared" ref="M1517:M1580" si="238">IFERROR(1-K1517,"")</f>
        <v/>
      </c>
      <c r="N1517" s="26"/>
      <c r="O1517" s="26"/>
      <c r="P1517" s="27"/>
      <c r="Q1517" s="2">
        <f t="shared" si="230"/>
        <v>0</v>
      </c>
      <c r="S1517" s="7">
        <f t="shared" si="233"/>
        <v>0</v>
      </c>
      <c r="T1517" s="157">
        <f t="shared" si="234"/>
        <v>0</v>
      </c>
      <c r="V1517" s="191">
        <f t="shared" si="231"/>
        <v>1</v>
      </c>
      <c r="W1517" s="7">
        <f t="shared" si="232"/>
        <v>1900</v>
      </c>
    </row>
    <row r="1518" spans="2:23" ht="31.95" customHeight="1" thickBot="1" x14ac:dyDescent="0.35">
      <c r="B1518" s="26"/>
      <c r="C1518" s="51" t="str">
        <f t="shared" si="235"/>
        <v/>
      </c>
      <c r="D1518" s="27"/>
      <c r="E1518" s="26"/>
      <c r="F1518" s="26"/>
      <c r="G1518" s="26"/>
      <c r="H1518" s="254"/>
      <c r="I1518" s="49"/>
      <c r="J1518" s="49"/>
      <c r="K1518" s="52" t="str">
        <f t="shared" si="236"/>
        <v/>
      </c>
      <c r="L1518" s="209" t="str">
        <f t="shared" si="237"/>
        <v/>
      </c>
      <c r="M1518" s="210" t="str">
        <f t="shared" si="238"/>
        <v/>
      </c>
      <c r="N1518" s="26"/>
      <c r="O1518" s="26"/>
      <c r="P1518" s="27"/>
      <c r="Q1518" s="2">
        <f t="shared" si="230"/>
        <v>0</v>
      </c>
      <c r="S1518" s="7">
        <f t="shared" si="233"/>
        <v>0</v>
      </c>
      <c r="T1518" s="157">
        <f t="shared" si="234"/>
        <v>0</v>
      </c>
      <c r="V1518" s="191">
        <f t="shared" si="231"/>
        <v>1</v>
      </c>
      <c r="W1518" s="7">
        <f t="shared" si="232"/>
        <v>1900</v>
      </c>
    </row>
    <row r="1519" spans="2:23" ht="31.95" customHeight="1" thickBot="1" x14ac:dyDescent="0.35">
      <c r="B1519" s="26"/>
      <c r="C1519" s="51" t="str">
        <f t="shared" si="235"/>
        <v/>
      </c>
      <c r="D1519" s="27"/>
      <c r="E1519" s="26"/>
      <c r="F1519" s="26"/>
      <c r="G1519" s="26"/>
      <c r="H1519" s="254"/>
      <c r="I1519" s="49"/>
      <c r="J1519" s="49"/>
      <c r="K1519" s="52" t="str">
        <f t="shared" si="236"/>
        <v/>
      </c>
      <c r="L1519" s="209" t="str">
        <f t="shared" si="237"/>
        <v/>
      </c>
      <c r="M1519" s="210" t="str">
        <f t="shared" si="238"/>
        <v/>
      </c>
      <c r="N1519" s="26"/>
      <c r="O1519" s="26"/>
      <c r="P1519" s="27"/>
      <c r="Q1519" s="2">
        <f t="shared" si="230"/>
        <v>0</v>
      </c>
      <c r="S1519" s="7">
        <f t="shared" si="233"/>
        <v>0</v>
      </c>
      <c r="T1519" s="157">
        <f t="shared" si="234"/>
        <v>0</v>
      </c>
      <c r="V1519" s="191">
        <f t="shared" si="231"/>
        <v>1</v>
      </c>
      <c r="W1519" s="7">
        <f t="shared" si="232"/>
        <v>1900</v>
      </c>
    </row>
    <row r="1520" spans="2:23" ht="31.95" customHeight="1" thickBot="1" x14ac:dyDescent="0.35">
      <c r="B1520" s="26"/>
      <c r="C1520" s="51" t="str">
        <f t="shared" si="235"/>
        <v/>
      </c>
      <c r="D1520" s="27"/>
      <c r="E1520" s="26"/>
      <c r="F1520" s="26"/>
      <c r="G1520" s="26"/>
      <c r="H1520" s="254"/>
      <c r="I1520" s="49"/>
      <c r="J1520" s="49"/>
      <c r="K1520" s="52" t="str">
        <f t="shared" si="236"/>
        <v/>
      </c>
      <c r="L1520" s="209" t="str">
        <f t="shared" si="237"/>
        <v/>
      </c>
      <c r="M1520" s="210" t="str">
        <f t="shared" si="238"/>
        <v/>
      </c>
      <c r="N1520" s="26"/>
      <c r="O1520" s="26"/>
      <c r="P1520" s="27"/>
      <c r="Q1520" s="2">
        <f t="shared" si="230"/>
        <v>0</v>
      </c>
      <c r="S1520" s="7">
        <f t="shared" si="233"/>
        <v>0</v>
      </c>
      <c r="T1520" s="157">
        <f t="shared" si="234"/>
        <v>0</v>
      </c>
      <c r="V1520" s="191">
        <f t="shared" si="231"/>
        <v>1</v>
      </c>
      <c r="W1520" s="7">
        <f t="shared" si="232"/>
        <v>1900</v>
      </c>
    </row>
    <row r="1521" spans="2:23" ht="31.95" customHeight="1" thickBot="1" x14ac:dyDescent="0.35">
      <c r="B1521" s="26"/>
      <c r="C1521" s="51" t="str">
        <f t="shared" si="235"/>
        <v/>
      </c>
      <c r="D1521" s="27"/>
      <c r="E1521" s="26"/>
      <c r="F1521" s="26"/>
      <c r="G1521" s="26"/>
      <c r="H1521" s="254"/>
      <c r="I1521" s="49"/>
      <c r="J1521" s="49"/>
      <c r="K1521" s="52" t="str">
        <f t="shared" si="236"/>
        <v/>
      </c>
      <c r="L1521" s="209" t="str">
        <f t="shared" si="237"/>
        <v/>
      </c>
      <c r="M1521" s="210" t="str">
        <f t="shared" si="238"/>
        <v/>
      </c>
      <c r="N1521" s="26"/>
      <c r="O1521" s="26"/>
      <c r="P1521" s="27"/>
      <c r="Q1521" s="2">
        <f t="shared" si="230"/>
        <v>0</v>
      </c>
      <c r="S1521" s="7">
        <f t="shared" si="233"/>
        <v>0</v>
      </c>
      <c r="T1521" s="157">
        <f t="shared" si="234"/>
        <v>0</v>
      </c>
      <c r="V1521" s="191">
        <f t="shared" si="231"/>
        <v>1</v>
      </c>
      <c r="W1521" s="7">
        <f t="shared" si="232"/>
        <v>1900</v>
      </c>
    </row>
    <row r="1522" spans="2:23" ht="31.95" customHeight="1" thickBot="1" x14ac:dyDescent="0.35">
      <c r="B1522" s="26"/>
      <c r="C1522" s="51" t="str">
        <f t="shared" si="235"/>
        <v/>
      </c>
      <c r="D1522" s="27"/>
      <c r="E1522" s="26"/>
      <c r="F1522" s="26"/>
      <c r="G1522" s="26"/>
      <c r="H1522" s="254"/>
      <c r="I1522" s="49"/>
      <c r="J1522" s="49"/>
      <c r="K1522" s="52" t="str">
        <f t="shared" si="236"/>
        <v/>
      </c>
      <c r="L1522" s="209" t="str">
        <f t="shared" si="237"/>
        <v/>
      </c>
      <c r="M1522" s="210" t="str">
        <f t="shared" si="238"/>
        <v/>
      </c>
      <c r="N1522" s="26"/>
      <c r="O1522" s="26"/>
      <c r="P1522" s="27"/>
      <c r="Q1522" s="2">
        <f t="shared" si="230"/>
        <v>0</v>
      </c>
      <c r="S1522" s="7">
        <f t="shared" si="233"/>
        <v>0</v>
      </c>
      <c r="T1522" s="157">
        <f t="shared" si="234"/>
        <v>0</v>
      </c>
      <c r="V1522" s="191">
        <f t="shared" si="231"/>
        <v>1</v>
      </c>
      <c r="W1522" s="7">
        <f t="shared" si="232"/>
        <v>1900</v>
      </c>
    </row>
    <row r="1523" spans="2:23" ht="31.95" customHeight="1" thickBot="1" x14ac:dyDescent="0.35">
      <c r="B1523" s="26"/>
      <c r="C1523" s="51" t="str">
        <f t="shared" si="235"/>
        <v/>
      </c>
      <c r="D1523" s="27"/>
      <c r="E1523" s="26"/>
      <c r="F1523" s="26"/>
      <c r="G1523" s="26"/>
      <c r="H1523" s="254"/>
      <c r="I1523" s="49"/>
      <c r="J1523" s="49"/>
      <c r="K1523" s="52" t="str">
        <f t="shared" si="236"/>
        <v/>
      </c>
      <c r="L1523" s="209" t="str">
        <f t="shared" si="237"/>
        <v/>
      </c>
      <c r="M1523" s="210" t="str">
        <f t="shared" si="238"/>
        <v/>
      </c>
      <c r="N1523" s="26"/>
      <c r="O1523" s="26"/>
      <c r="P1523" s="27"/>
      <c r="Q1523" s="2">
        <f t="shared" si="230"/>
        <v>0</v>
      </c>
      <c r="S1523" s="7">
        <f t="shared" si="233"/>
        <v>0</v>
      </c>
      <c r="T1523" s="157">
        <f t="shared" si="234"/>
        <v>0</v>
      </c>
      <c r="V1523" s="191">
        <f t="shared" si="231"/>
        <v>1</v>
      </c>
      <c r="W1523" s="7">
        <f t="shared" si="232"/>
        <v>1900</v>
      </c>
    </row>
    <row r="1524" spans="2:23" ht="31.95" customHeight="1" thickBot="1" x14ac:dyDescent="0.35">
      <c r="B1524" s="26"/>
      <c r="C1524" s="51" t="str">
        <f t="shared" si="235"/>
        <v/>
      </c>
      <c r="D1524" s="27"/>
      <c r="E1524" s="26"/>
      <c r="F1524" s="26"/>
      <c r="G1524" s="26"/>
      <c r="H1524" s="254"/>
      <c r="I1524" s="49"/>
      <c r="J1524" s="49"/>
      <c r="K1524" s="52" t="str">
        <f t="shared" si="236"/>
        <v/>
      </c>
      <c r="L1524" s="209" t="str">
        <f t="shared" si="237"/>
        <v/>
      </c>
      <c r="M1524" s="210" t="str">
        <f t="shared" si="238"/>
        <v/>
      </c>
      <c r="N1524" s="26"/>
      <c r="O1524" s="26"/>
      <c r="P1524" s="27"/>
      <c r="Q1524" s="2">
        <f t="shared" si="230"/>
        <v>0</v>
      </c>
      <c r="S1524" s="7">
        <f t="shared" si="233"/>
        <v>0</v>
      </c>
      <c r="T1524" s="157">
        <f t="shared" si="234"/>
        <v>0</v>
      </c>
      <c r="V1524" s="191">
        <f t="shared" si="231"/>
        <v>1</v>
      </c>
      <c r="W1524" s="7">
        <f t="shared" si="232"/>
        <v>1900</v>
      </c>
    </row>
    <row r="1525" spans="2:23" ht="31.95" customHeight="1" thickBot="1" x14ac:dyDescent="0.35">
      <c r="B1525" s="26"/>
      <c r="C1525" s="51" t="str">
        <f t="shared" si="235"/>
        <v/>
      </c>
      <c r="D1525" s="27"/>
      <c r="E1525" s="26"/>
      <c r="F1525" s="26"/>
      <c r="G1525" s="26"/>
      <c r="H1525" s="254"/>
      <c r="I1525" s="49"/>
      <c r="J1525" s="49"/>
      <c r="K1525" s="52" t="str">
        <f t="shared" si="236"/>
        <v/>
      </c>
      <c r="L1525" s="209" t="str">
        <f t="shared" si="237"/>
        <v/>
      </c>
      <c r="M1525" s="210" t="str">
        <f t="shared" si="238"/>
        <v/>
      </c>
      <c r="N1525" s="26"/>
      <c r="O1525" s="26"/>
      <c r="P1525" s="27"/>
      <c r="Q1525" s="2">
        <f t="shared" si="230"/>
        <v>0</v>
      </c>
      <c r="S1525" s="7">
        <f t="shared" si="233"/>
        <v>0</v>
      </c>
      <c r="T1525" s="157">
        <f t="shared" si="234"/>
        <v>0</v>
      </c>
      <c r="V1525" s="191">
        <f t="shared" si="231"/>
        <v>1</v>
      </c>
      <c r="W1525" s="7">
        <f t="shared" si="232"/>
        <v>1900</v>
      </c>
    </row>
    <row r="1526" spans="2:23" ht="31.95" customHeight="1" thickBot="1" x14ac:dyDescent="0.35">
      <c r="B1526" s="26"/>
      <c r="C1526" s="51" t="str">
        <f t="shared" si="235"/>
        <v/>
      </c>
      <c r="D1526" s="27"/>
      <c r="E1526" s="26"/>
      <c r="F1526" s="26"/>
      <c r="G1526" s="26"/>
      <c r="H1526" s="254"/>
      <c r="I1526" s="49"/>
      <c r="J1526" s="49"/>
      <c r="K1526" s="52" t="str">
        <f t="shared" si="236"/>
        <v/>
      </c>
      <c r="L1526" s="209" t="str">
        <f t="shared" si="237"/>
        <v/>
      </c>
      <c r="M1526" s="210" t="str">
        <f t="shared" si="238"/>
        <v/>
      </c>
      <c r="N1526" s="26"/>
      <c r="O1526" s="26"/>
      <c r="P1526" s="27"/>
      <c r="Q1526" s="2">
        <f t="shared" si="230"/>
        <v>0</v>
      </c>
      <c r="S1526" s="7">
        <f t="shared" si="233"/>
        <v>0</v>
      </c>
      <c r="T1526" s="157">
        <f t="shared" si="234"/>
        <v>0</v>
      </c>
      <c r="V1526" s="191">
        <f t="shared" si="231"/>
        <v>1</v>
      </c>
      <c r="W1526" s="7">
        <f t="shared" si="232"/>
        <v>1900</v>
      </c>
    </row>
    <row r="1527" spans="2:23" ht="31.95" customHeight="1" thickBot="1" x14ac:dyDescent="0.35">
      <c r="B1527" s="26"/>
      <c r="C1527" s="51" t="str">
        <f t="shared" si="235"/>
        <v/>
      </c>
      <c r="D1527" s="27"/>
      <c r="E1527" s="26"/>
      <c r="F1527" s="26"/>
      <c r="G1527" s="26"/>
      <c r="H1527" s="254"/>
      <c r="I1527" s="49"/>
      <c r="J1527" s="49"/>
      <c r="K1527" s="52" t="str">
        <f t="shared" si="236"/>
        <v/>
      </c>
      <c r="L1527" s="209" t="str">
        <f t="shared" si="237"/>
        <v/>
      </c>
      <c r="M1527" s="210" t="str">
        <f t="shared" si="238"/>
        <v/>
      </c>
      <c r="N1527" s="26"/>
      <c r="O1527" s="26"/>
      <c r="P1527" s="27"/>
      <c r="Q1527" s="2">
        <f t="shared" si="230"/>
        <v>0</v>
      </c>
      <c r="S1527" s="7">
        <f t="shared" si="233"/>
        <v>0</v>
      </c>
      <c r="T1527" s="157">
        <f t="shared" si="234"/>
        <v>0</v>
      </c>
      <c r="V1527" s="191">
        <f t="shared" si="231"/>
        <v>1</v>
      </c>
      <c r="W1527" s="7">
        <f t="shared" si="232"/>
        <v>1900</v>
      </c>
    </row>
    <row r="1528" spans="2:23" ht="31.95" customHeight="1" thickBot="1" x14ac:dyDescent="0.35">
      <c r="B1528" s="26"/>
      <c r="C1528" s="51" t="str">
        <f t="shared" si="235"/>
        <v/>
      </c>
      <c r="D1528" s="27"/>
      <c r="E1528" s="26"/>
      <c r="F1528" s="26"/>
      <c r="G1528" s="26"/>
      <c r="H1528" s="254"/>
      <c r="I1528" s="49"/>
      <c r="J1528" s="49"/>
      <c r="K1528" s="52" t="str">
        <f t="shared" si="236"/>
        <v/>
      </c>
      <c r="L1528" s="209" t="str">
        <f t="shared" si="237"/>
        <v/>
      </c>
      <c r="M1528" s="210" t="str">
        <f t="shared" si="238"/>
        <v/>
      </c>
      <c r="N1528" s="26"/>
      <c r="O1528" s="26"/>
      <c r="P1528" s="27"/>
      <c r="Q1528" s="2">
        <f t="shared" si="230"/>
        <v>0</v>
      </c>
      <c r="S1528" s="7">
        <f t="shared" si="233"/>
        <v>0</v>
      </c>
      <c r="T1528" s="157">
        <f t="shared" si="234"/>
        <v>0</v>
      </c>
      <c r="V1528" s="191">
        <f t="shared" si="231"/>
        <v>1</v>
      </c>
      <c r="W1528" s="7">
        <f t="shared" si="232"/>
        <v>1900</v>
      </c>
    </row>
    <row r="1529" spans="2:23" ht="31.95" customHeight="1" thickBot="1" x14ac:dyDescent="0.35">
      <c r="B1529" s="26"/>
      <c r="C1529" s="51" t="str">
        <f t="shared" si="235"/>
        <v/>
      </c>
      <c r="D1529" s="27"/>
      <c r="E1529" s="26"/>
      <c r="F1529" s="26"/>
      <c r="G1529" s="26"/>
      <c r="H1529" s="254"/>
      <c r="I1529" s="49"/>
      <c r="J1529" s="49"/>
      <c r="K1529" s="52" t="str">
        <f t="shared" si="236"/>
        <v/>
      </c>
      <c r="L1529" s="209" t="str">
        <f t="shared" si="237"/>
        <v/>
      </c>
      <c r="M1529" s="210" t="str">
        <f t="shared" si="238"/>
        <v/>
      </c>
      <c r="N1529" s="26"/>
      <c r="O1529" s="26"/>
      <c r="P1529" s="27"/>
      <c r="Q1529" s="2">
        <f t="shared" si="230"/>
        <v>0</v>
      </c>
      <c r="S1529" s="7">
        <f t="shared" si="233"/>
        <v>0</v>
      </c>
      <c r="T1529" s="157">
        <f t="shared" si="234"/>
        <v>0</v>
      </c>
      <c r="V1529" s="191">
        <f t="shared" si="231"/>
        <v>1</v>
      </c>
      <c r="W1529" s="7">
        <f t="shared" si="232"/>
        <v>1900</v>
      </c>
    </row>
    <row r="1530" spans="2:23" ht="31.95" customHeight="1" thickBot="1" x14ac:dyDescent="0.35">
      <c r="B1530" s="26"/>
      <c r="C1530" s="51" t="str">
        <f t="shared" si="235"/>
        <v/>
      </c>
      <c r="D1530" s="27"/>
      <c r="E1530" s="26"/>
      <c r="F1530" s="26"/>
      <c r="G1530" s="26"/>
      <c r="H1530" s="254"/>
      <c r="I1530" s="49"/>
      <c r="J1530" s="49"/>
      <c r="K1530" s="52" t="str">
        <f t="shared" si="236"/>
        <v/>
      </c>
      <c r="L1530" s="209" t="str">
        <f t="shared" si="237"/>
        <v/>
      </c>
      <c r="M1530" s="210" t="str">
        <f t="shared" si="238"/>
        <v/>
      </c>
      <c r="N1530" s="26"/>
      <c r="O1530" s="26"/>
      <c r="P1530" s="27"/>
      <c r="Q1530" s="2">
        <f t="shared" si="230"/>
        <v>0</v>
      </c>
      <c r="S1530" s="7">
        <f t="shared" si="233"/>
        <v>0</v>
      </c>
      <c r="T1530" s="157">
        <f t="shared" si="234"/>
        <v>0</v>
      </c>
      <c r="V1530" s="191">
        <f t="shared" si="231"/>
        <v>1</v>
      </c>
      <c r="W1530" s="7">
        <f t="shared" si="232"/>
        <v>1900</v>
      </c>
    </row>
    <row r="1531" spans="2:23" ht="31.95" customHeight="1" thickBot="1" x14ac:dyDescent="0.35">
      <c r="B1531" s="26"/>
      <c r="C1531" s="51" t="str">
        <f t="shared" si="235"/>
        <v/>
      </c>
      <c r="D1531" s="27"/>
      <c r="E1531" s="26"/>
      <c r="F1531" s="26"/>
      <c r="G1531" s="26"/>
      <c r="H1531" s="254"/>
      <c r="I1531" s="49"/>
      <c r="J1531" s="49"/>
      <c r="K1531" s="52" t="str">
        <f t="shared" si="236"/>
        <v/>
      </c>
      <c r="L1531" s="209" t="str">
        <f t="shared" si="237"/>
        <v/>
      </c>
      <c r="M1531" s="210" t="str">
        <f t="shared" si="238"/>
        <v/>
      </c>
      <c r="N1531" s="26"/>
      <c r="O1531" s="26"/>
      <c r="P1531" s="27"/>
      <c r="Q1531" s="2">
        <f t="shared" si="230"/>
        <v>0</v>
      </c>
      <c r="S1531" s="7">
        <f t="shared" si="233"/>
        <v>0</v>
      </c>
      <c r="T1531" s="157">
        <f t="shared" si="234"/>
        <v>0</v>
      </c>
      <c r="V1531" s="191">
        <f t="shared" si="231"/>
        <v>1</v>
      </c>
      <c r="W1531" s="7">
        <f t="shared" si="232"/>
        <v>1900</v>
      </c>
    </row>
    <row r="1532" spans="2:23" ht="31.95" customHeight="1" thickBot="1" x14ac:dyDescent="0.35">
      <c r="B1532" s="26"/>
      <c r="C1532" s="51" t="str">
        <f t="shared" si="235"/>
        <v/>
      </c>
      <c r="D1532" s="27"/>
      <c r="E1532" s="26"/>
      <c r="F1532" s="26"/>
      <c r="G1532" s="26"/>
      <c r="H1532" s="254"/>
      <c r="I1532" s="49"/>
      <c r="J1532" s="49"/>
      <c r="K1532" s="52" t="str">
        <f t="shared" si="236"/>
        <v/>
      </c>
      <c r="L1532" s="209" t="str">
        <f t="shared" si="237"/>
        <v/>
      </c>
      <c r="M1532" s="210" t="str">
        <f t="shared" si="238"/>
        <v/>
      </c>
      <c r="N1532" s="26"/>
      <c r="O1532" s="26"/>
      <c r="P1532" s="27"/>
      <c r="Q1532" s="2">
        <f t="shared" si="230"/>
        <v>0</v>
      </c>
      <c r="S1532" s="7">
        <f t="shared" si="233"/>
        <v>0</v>
      </c>
      <c r="T1532" s="157">
        <f t="shared" si="234"/>
        <v>0</v>
      </c>
      <c r="V1532" s="191">
        <f t="shared" si="231"/>
        <v>1</v>
      </c>
      <c r="W1532" s="7">
        <f t="shared" si="232"/>
        <v>1900</v>
      </c>
    </row>
    <row r="1533" spans="2:23" ht="31.95" customHeight="1" thickBot="1" x14ac:dyDescent="0.35">
      <c r="B1533" s="26"/>
      <c r="C1533" s="51" t="str">
        <f t="shared" si="235"/>
        <v/>
      </c>
      <c r="D1533" s="27"/>
      <c r="E1533" s="26"/>
      <c r="F1533" s="26"/>
      <c r="G1533" s="26"/>
      <c r="H1533" s="254"/>
      <c r="I1533" s="49"/>
      <c r="J1533" s="49"/>
      <c r="K1533" s="52" t="str">
        <f t="shared" si="236"/>
        <v/>
      </c>
      <c r="L1533" s="209" t="str">
        <f t="shared" si="237"/>
        <v/>
      </c>
      <c r="M1533" s="210" t="str">
        <f t="shared" si="238"/>
        <v/>
      </c>
      <c r="N1533" s="26"/>
      <c r="O1533" s="26"/>
      <c r="P1533" s="27"/>
      <c r="Q1533" s="2">
        <f t="shared" si="230"/>
        <v>0</v>
      </c>
      <c r="S1533" s="7">
        <f t="shared" si="233"/>
        <v>0</v>
      </c>
      <c r="T1533" s="157">
        <f t="shared" si="234"/>
        <v>0</v>
      </c>
      <c r="V1533" s="191">
        <f t="shared" si="231"/>
        <v>1</v>
      </c>
      <c r="W1533" s="7">
        <f t="shared" si="232"/>
        <v>1900</v>
      </c>
    </row>
    <row r="1534" spans="2:23" ht="31.95" customHeight="1" thickBot="1" x14ac:dyDescent="0.35">
      <c r="B1534" s="26"/>
      <c r="C1534" s="51" t="str">
        <f t="shared" si="235"/>
        <v/>
      </c>
      <c r="D1534" s="27"/>
      <c r="E1534" s="26"/>
      <c r="F1534" s="26"/>
      <c r="G1534" s="26"/>
      <c r="H1534" s="254"/>
      <c r="I1534" s="49"/>
      <c r="J1534" s="49"/>
      <c r="K1534" s="52" t="str">
        <f t="shared" si="236"/>
        <v/>
      </c>
      <c r="L1534" s="209" t="str">
        <f t="shared" si="237"/>
        <v/>
      </c>
      <c r="M1534" s="210" t="str">
        <f t="shared" si="238"/>
        <v/>
      </c>
      <c r="N1534" s="26"/>
      <c r="O1534" s="26"/>
      <c r="P1534" s="27"/>
      <c r="Q1534" s="2">
        <f t="shared" si="230"/>
        <v>0</v>
      </c>
      <c r="S1534" s="7">
        <f t="shared" si="233"/>
        <v>0</v>
      </c>
      <c r="T1534" s="157">
        <f t="shared" si="234"/>
        <v>0</v>
      </c>
      <c r="V1534" s="191">
        <f t="shared" si="231"/>
        <v>1</v>
      </c>
      <c r="W1534" s="7">
        <f t="shared" si="232"/>
        <v>1900</v>
      </c>
    </row>
    <row r="1535" spans="2:23" ht="31.95" customHeight="1" thickBot="1" x14ac:dyDescent="0.35">
      <c r="B1535" s="26"/>
      <c r="C1535" s="51" t="str">
        <f t="shared" si="235"/>
        <v/>
      </c>
      <c r="D1535" s="27"/>
      <c r="E1535" s="26"/>
      <c r="F1535" s="26"/>
      <c r="G1535" s="26"/>
      <c r="H1535" s="254"/>
      <c r="I1535" s="49"/>
      <c r="J1535" s="49"/>
      <c r="K1535" s="52" t="str">
        <f t="shared" si="236"/>
        <v/>
      </c>
      <c r="L1535" s="209" t="str">
        <f t="shared" si="237"/>
        <v/>
      </c>
      <c r="M1535" s="210" t="str">
        <f t="shared" si="238"/>
        <v/>
      </c>
      <c r="N1535" s="26"/>
      <c r="O1535" s="26"/>
      <c r="P1535" s="27"/>
      <c r="Q1535" s="2">
        <f t="shared" si="230"/>
        <v>0</v>
      </c>
      <c r="S1535" s="7">
        <f t="shared" si="233"/>
        <v>0</v>
      </c>
      <c r="T1535" s="157">
        <f t="shared" si="234"/>
        <v>0</v>
      </c>
      <c r="V1535" s="191">
        <f t="shared" si="231"/>
        <v>1</v>
      </c>
      <c r="W1535" s="7">
        <f t="shared" si="232"/>
        <v>1900</v>
      </c>
    </row>
    <row r="1536" spans="2:23" ht="31.95" customHeight="1" thickBot="1" x14ac:dyDescent="0.35">
      <c r="B1536" s="26"/>
      <c r="C1536" s="51" t="str">
        <f t="shared" si="235"/>
        <v/>
      </c>
      <c r="D1536" s="27"/>
      <c r="E1536" s="26"/>
      <c r="F1536" s="26"/>
      <c r="G1536" s="26"/>
      <c r="H1536" s="254"/>
      <c r="I1536" s="49"/>
      <c r="J1536" s="49"/>
      <c r="K1536" s="52" t="str">
        <f t="shared" si="236"/>
        <v/>
      </c>
      <c r="L1536" s="209" t="str">
        <f t="shared" si="237"/>
        <v/>
      </c>
      <c r="M1536" s="210" t="str">
        <f t="shared" si="238"/>
        <v/>
      </c>
      <c r="N1536" s="26"/>
      <c r="O1536" s="26"/>
      <c r="P1536" s="27"/>
      <c r="Q1536" s="2">
        <f t="shared" si="230"/>
        <v>0</v>
      </c>
      <c r="S1536" s="7">
        <f t="shared" si="233"/>
        <v>0</v>
      </c>
      <c r="T1536" s="157">
        <f t="shared" si="234"/>
        <v>0</v>
      </c>
      <c r="V1536" s="191">
        <f t="shared" si="231"/>
        <v>1</v>
      </c>
      <c r="W1536" s="7">
        <f t="shared" si="232"/>
        <v>1900</v>
      </c>
    </row>
    <row r="1537" spans="2:23" ht="31.95" customHeight="1" thickBot="1" x14ac:dyDescent="0.35">
      <c r="B1537" s="26"/>
      <c r="C1537" s="51" t="str">
        <f t="shared" si="235"/>
        <v/>
      </c>
      <c r="D1537" s="27"/>
      <c r="E1537" s="26"/>
      <c r="F1537" s="26"/>
      <c r="G1537" s="26"/>
      <c r="H1537" s="254"/>
      <c r="I1537" s="49"/>
      <c r="J1537" s="49"/>
      <c r="K1537" s="52" t="str">
        <f t="shared" si="236"/>
        <v/>
      </c>
      <c r="L1537" s="209" t="str">
        <f t="shared" si="237"/>
        <v/>
      </c>
      <c r="M1537" s="210" t="str">
        <f t="shared" si="238"/>
        <v/>
      </c>
      <c r="N1537" s="26"/>
      <c r="O1537" s="26"/>
      <c r="P1537" s="27"/>
      <c r="Q1537" s="2">
        <f t="shared" si="230"/>
        <v>0</v>
      </c>
      <c r="S1537" s="7">
        <f t="shared" si="233"/>
        <v>0</v>
      </c>
      <c r="T1537" s="157">
        <f t="shared" si="234"/>
        <v>0</v>
      </c>
      <c r="V1537" s="191">
        <f t="shared" si="231"/>
        <v>1</v>
      </c>
      <c r="W1537" s="7">
        <f t="shared" si="232"/>
        <v>1900</v>
      </c>
    </row>
    <row r="1538" spans="2:23" ht="31.95" customHeight="1" thickBot="1" x14ac:dyDescent="0.35">
      <c r="B1538" s="26"/>
      <c r="C1538" s="51" t="str">
        <f t="shared" si="235"/>
        <v/>
      </c>
      <c r="D1538" s="27"/>
      <c r="E1538" s="26"/>
      <c r="F1538" s="26"/>
      <c r="G1538" s="26"/>
      <c r="H1538" s="254"/>
      <c r="I1538" s="49"/>
      <c r="J1538" s="49"/>
      <c r="K1538" s="52" t="str">
        <f t="shared" si="236"/>
        <v/>
      </c>
      <c r="L1538" s="209" t="str">
        <f t="shared" si="237"/>
        <v/>
      </c>
      <c r="M1538" s="210" t="str">
        <f t="shared" si="238"/>
        <v/>
      </c>
      <c r="N1538" s="26"/>
      <c r="O1538" s="26"/>
      <c r="P1538" s="27"/>
      <c r="Q1538" s="2">
        <f t="shared" si="230"/>
        <v>0</v>
      </c>
      <c r="S1538" s="7">
        <f t="shared" si="233"/>
        <v>0</v>
      </c>
      <c r="T1538" s="157">
        <f t="shared" si="234"/>
        <v>0</v>
      </c>
      <c r="V1538" s="191">
        <f t="shared" si="231"/>
        <v>1</v>
      </c>
      <c r="W1538" s="7">
        <f t="shared" si="232"/>
        <v>1900</v>
      </c>
    </row>
    <row r="1539" spans="2:23" ht="31.95" customHeight="1" thickBot="1" x14ac:dyDescent="0.35">
      <c r="B1539" s="26"/>
      <c r="C1539" s="51" t="str">
        <f t="shared" si="235"/>
        <v/>
      </c>
      <c r="D1539" s="27"/>
      <c r="E1539" s="26"/>
      <c r="F1539" s="26"/>
      <c r="G1539" s="26"/>
      <c r="H1539" s="254"/>
      <c r="I1539" s="49"/>
      <c r="J1539" s="49"/>
      <c r="K1539" s="52" t="str">
        <f t="shared" si="236"/>
        <v/>
      </c>
      <c r="L1539" s="209" t="str">
        <f t="shared" si="237"/>
        <v/>
      </c>
      <c r="M1539" s="210" t="str">
        <f t="shared" si="238"/>
        <v/>
      </c>
      <c r="N1539" s="26"/>
      <c r="O1539" s="26"/>
      <c r="P1539" s="27"/>
      <c r="Q1539" s="2">
        <f t="shared" si="230"/>
        <v>0</v>
      </c>
      <c r="S1539" s="7">
        <f t="shared" si="233"/>
        <v>0</v>
      </c>
      <c r="T1539" s="157">
        <f t="shared" si="234"/>
        <v>0</v>
      </c>
      <c r="V1539" s="191">
        <f t="shared" si="231"/>
        <v>1</v>
      </c>
      <c r="W1539" s="7">
        <f t="shared" si="232"/>
        <v>1900</v>
      </c>
    </row>
    <row r="1540" spans="2:23" ht="31.95" customHeight="1" thickBot="1" x14ac:dyDescent="0.35">
      <c r="B1540" s="26"/>
      <c r="C1540" s="51" t="str">
        <f t="shared" si="235"/>
        <v/>
      </c>
      <c r="D1540" s="27"/>
      <c r="E1540" s="26"/>
      <c r="F1540" s="26"/>
      <c r="G1540" s="26"/>
      <c r="H1540" s="254"/>
      <c r="I1540" s="49"/>
      <c r="J1540" s="49"/>
      <c r="K1540" s="52" t="str">
        <f t="shared" si="236"/>
        <v/>
      </c>
      <c r="L1540" s="209" t="str">
        <f t="shared" si="237"/>
        <v/>
      </c>
      <c r="M1540" s="210" t="str">
        <f t="shared" si="238"/>
        <v/>
      </c>
      <c r="N1540" s="26"/>
      <c r="O1540" s="26"/>
      <c r="P1540" s="27"/>
      <c r="Q1540" s="2">
        <f t="shared" si="230"/>
        <v>0</v>
      </c>
      <c r="S1540" s="7">
        <f t="shared" si="233"/>
        <v>0</v>
      </c>
      <c r="T1540" s="157">
        <f t="shared" si="234"/>
        <v>0</v>
      </c>
      <c r="V1540" s="191">
        <f t="shared" si="231"/>
        <v>1</v>
      </c>
      <c r="W1540" s="7">
        <f t="shared" si="232"/>
        <v>1900</v>
      </c>
    </row>
    <row r="1541" spans="2:23" ht="31.95" customHeight="1" thickBot="1" x14ac:dyDescent="0.35">
      <c r="B1541" s="26"/>
      <c r="C1541" s="51" t="str">
        <f t="shared" si="235"/>
        <v/>
      </c>
      <c r="D1541" s="27"/>
      <c r="E1541" s="26"/>
      <c r="F1541" s="26"/>
      <c r="G1541" s="26"/>
      <c r="H1541" s="254"/>
      <c r="I1541" s="49"/>
      <c r="J1541" s="49"/>
      <c r="K1541" s="52" t="str">
        <f t="shared" si="236"/>
        <v/>
      </c>
      <c r="L1541" s="209" t="str">
        <f t="shared" si="237"/>
        <v/>
      </c>
      <c r="M1541" s="210" t="str">
        <f t="shared" si="238"/>
        <v/>
      </c>
      <c r="N1541" s="26"/>
      <c r="O1541" s="26"/>
      <c r="P1541" s="27"/>
      <c r="Q1541" s="2">
        <f t="shared" ref="Q1541:Q1604" si="239">IF(B1541&lt;&gt;"",1,0)</f>
        <v>0</v>
      </c>
      <c r="S1541" s="7">
        <f t="shared" si="233"/>
        <v>0</v>
      </c>
      <c r="T1541" s="157">
        <f t="shared" si="234"/>
        <v>0</v>
      </c>
      <c r="V1541" s="191">
        <f t="shared" ref="V1541:V1604" si="240">MONTH(B1541)</f>
        <v>1</v>
      </c>
      <c r="W1541" s="7">
        <f t="shared" ref="W1541:W1604" si="241">YEAR(B1541)</f>
        <v>1900</v>
      </c>
    </row>
    <row r="1542" spans="2:23" ht="31.95" customHeight="1" thickBot="1" x14ac:dyDescent="0.35">
      <c r="B1542" s="26"/>
      <c r="C1542" s="51" t="str">
        <f t="shared" si="235"/>
        <v/>
      </c>
      <c r="D1542" s="27"/>
      <c r="E1542" s="26"/>
      <c r="F1542" s="26"/>
      <c r="G1542" s="26"/>
      <c r="H1542" s="254"/>
      <c r="I1542" s="49"/>
      <c r="J1542" s="49"/>
      <c r="K1542" s="52" t="str">
        <f t="shared" si="236"/>
        <v/>
      </c>
      <c r="L1542" s="209" t="str">
        <f t="shared" si="237"/>
        <v/>
      </c>
      <c r="M1542" s="210" t="str">
        <f t="shared" si="238"/>
        <v/>
      </c>
      <c r="N1542" s="26"/>
      <c r="O1542" s="26"/>
      <c r="P1542" s="27"/>
      <c r="Q1542" s="2">
        <f t="shared" si="239"/>
        <v>0</v>
      </c>
      <c r="S1542" s="7">
        <f t="shared" ref="S1542:S1605" si="242">IF(AND(O1542&lt;=N1542,O1542&lt;&gt;""),1,0)</f>
        <v>0</v>
      </c>
      <c r="T1542" s="157">
        <f t="shared" ref="T1542:T1605" si="243">IF(AND(P1542&lt;=N1542,P1542&lt;&gt;""),1,0)</f>
        <v>0</v>
      </c>
      <c r="V1542" s="191">
        <f t="shared" si="240"/>
        <v>1</v>
      </c>
      <c r="W1542" s="7">
        <f t="shared" si="241"/>
        <v>1900</v>
      </c>
    </row>
    <row r="1543" spans="2:23" ht="31.95" customHeight="1" thickBot="1" x14ac:dyDescent="0.35">
      <c r="B1543" s="26"/>
      <c r="C1543" s="51" t="str">
        <f t="shared" ref="C1543:C1606" si="244">IF(B1543&lt;&gt;"",C1542+1,"")</f>
        <v/>
      </c>
      <c r="D1543" s="27"/>
      <c r="E1543" s="26"/>
      <c r="F1543" s="26"/>
      <c r="G1543" s="26"/>
      <c r="H1543" s="254"/>
      <c r="I1543" s="49"/>
      <c r="J1543" s="49"/>
      <c r="K1543" s="52" t="str">
        <f t="shared" si="236"/>
        <v/>
      </c>
      <c r="L1543" s="209" t="str">
        <f t="shared" si="237"/>
        <v/>
      </c>
      <c r="M1543" s="210" t="str">
        <f t="shared" si="238"/>
        <v/>
      </c>
      <c r="N1543" s="26"/>
      <c r="O1543" s="26"/>
      <c r="P1543" s="27"/>
      <c r="Q1543" s="2">
        <f t="shared" si="239"/>
        <v>0</v>
      </c>
      <c r="S1543" s="7">
        <f t="shared" si="242"/>
        <v>0</v>
      </c>
      <c r="T1543" s="157">
        <f t="shared" si="243"/>
        <v>0</v>
      </c>
      <c r="V1543" s="191">
        <f t="shared" si="240"/>
        <v>1</v>
      </c>
      <c r="W1543" s="7">
        <f t="shared" si="241"/>
        <v>1900</v>
      </c>
    </row>
    <row r="1544" spans="2:23" ht="31.95" customHeight="1" thickBot="1" x14ac:dyDescent="0.35">
      <c r="B1544" s="26"/>
      <c r="C1544" s="51" t="str">
        <f t="shared" si="244"/>
        <v/>
      </c>
      <c r="D1544" s="27"/>
      <c r="E1544" s="26"/>
      <c r="F1544" s="26"/>
      <c r="G1544" s="26"/>
      <c r="H1544" s="254"/>
      <c r="I1544" s="49"/>
      <c r="J1544" s="49"/>
      <c r="K1544" s="52" t="str">
        <f t="shared" si="236"/>
        <v/>
      </c>
      <c r="L1544" s="209" t="str">
        <f t="shared" si="237"/>
        <v/>
      </c>
      <c r="M1544" s="210" t="str">
        <f t="shared" si="238"/>
        <v/>
      </c>
      <c r="N1544" s="26"/>
      <c r="O1544" s="26"/>
      <c r="P1544" s="27"/>
      <c r="Q1544" s="2">
        <f t="shared" si="239"/>
        <v>0</v>
      </c>
      <c r="S1544" s="7">
        <f t="shared" si="242"/>
        <v>0</v>
      </c>
      <c r="T1544" s="157">
        <f t="shared" si="243"/>
        <v>0</v>
      </c>
      <c r="V1544" s="191">
        <f t="shared" si="240"/>
        <v>1</v>
      </c>
      <c r="W1544" s="7">
        <f t="shared" si="241"/>
        <v>1900</v>
      </c>
    </row>
    <row r="1545" spans="2:23" ht="31.95" customHeight="1" thickBot="1" x14ac:dyDescent="0.35">
      <c r="B1545" s="26"/>
      <c r="C1545" s="51" t="str">
        <f t="shared" si="244"/>
        <v/>
      </c>
      <c r="D1545" s="27"/>
      <c r="E1545" s="26"/>
      <c r="F1545" s="26"/>
      <c r="G1545" s="26"/>
      <c r="H1545" s="254"/>
      <c r="I1545" s="49"/>
      <c r="J1545" s="49"/>
      <c r="K1545" s="52" t="str">
        <f t="shared" si="236"/>
        <v/>
      </c>
      <c r="L1545" s="209" t="str">
        <f t="shared" si="237"/>
        <v/>
      </c>
      <c r="M1545" s="210" t="str">
        <f t="shared" si="238"/>
        <v/>
      </c>
      <c r="N1545" s="26"/>
      <c r="O1545" s="26"/>
      <c r="P1545" s="27"/>
      <c r="Q1545" s="2">
        <f t="shared" si="239"/>
        <v>0</v>
      </c>
      <c r="S1545" s="7">
        <f t="shared" si="242"/>
        <v>0</v>
      </c>
      <c r="T1545" s="157">
        <f t="shared" si="243"/>
        <v>0</v>
      </c>
      <c r="V1545" s="191">
        <f t="shared" si="240"/>
        <v>1</v>
      </c>
      <c r="W1545" s="7">
        <f t="shared" si="241"/>
        <v>1900</v>
      </c>
    </row>
    <row r="1546" spans="2:23" ht="31.95" customHeight="1" thickBot="1" x14ac:dyDescent="0.35">
      <c r="B1546" s="26"/>
      <c r="C1546" s="51" t="str">
        <f t="shared" si="244"/>
        <v/>
      </c>
      <c r="D1546" s="27"/>
      <c r="E1546" s="26"/>
      <c r="F1546" s="26"/>
      <c r="G1546" s="26"/>
      <c r="H1546" s="254"/>
      <c r="I1546" s="49"/>
      <c r="J1546" s="49"/>
      <c r="K1546" s="52" t="str">
        <f t="shared" si="236"/>
        <v/>
      </c>
      <c r="L1546" s="209" t="str">
        <f t="shared" si="237"/>
        <v/>
      </c>
      <c r="M1546" s="210" t="str">
        <f t="shared" si="238"/>
        <v/>
      </c>
      <c r="N1546" s="26"/>
      <c r="O1546" s="26"/>
      <c r="P1546" s="27"/>
      <c r="Q1546" s="2">
        <f t="shared" si="239"/>
        <v>0</v>
      </c>
      <c r="S1546" s="7">
        <f t="shared" si="242"/>
        <v>0</v>
      </c>
      <c r="T1546" s="157">
        <f t="shared" si="243"/>
        <v>0</v>
      </c>
      <c r="V1546" s="191">
        <f t="shared" si="240"/>
        <v>1</v>
      </c>
      <c r="W1546" s="7">
        <f t="shared" si="241"/>
        <v>1900</v>
      </c>
    </row>
    <row r="1547" spans="2:23" ht="31.95" customHeight="1" thickBot="1" x14ac:dyDescent="0.35">
      <c r="B1547" s="26"/>
      <c r="C1547" s="51" t="str">
        <f t="shared" si="244"/>
        <v/>
      </c>
      <c r="D1547" s="27"/>
      <c r="E1547" s="26"/>
      <c r="F1547" s="26"/>
      <c r="G1547" s="26"/>
      <c r="H1547" s="254"/>
      <c r="I1547" s="49"/>
      <c r="J1547" s="49"/>
      <c r="K1547" s="52" t="str">
        <f t="shared" si="236"/>
        <v/>
      </c>
      <c r="L1547" s="209" t="str">
        <f t="shared" si="237"/>
        <v/>
      </c>
      <c r="M1547" s="210" t="str">
        <f t="shared" si="238"/>
        <v/>
      </c>
      <c r="N1547" s="26"/>
      <c r="O1547" s="26"/>
      <c r="P1547" s="27"/>
      <c r="Q1547" s="2">
        <f t="shared" si="239"/>
        <v>0</v>
      </c>
      <c r="S1547" s="7">
        <f t="shared" si="242"/>
        <v>0</v>
      </c>
      <c r="T1547" s="157">
        <f t="shared" si="243"/>
        <v>0</v>
      </c>
      <c r="V1547" s="191">
        <f t="shared" si="240"/>
        <v>1</v>
      </c>
      <c r="W1547" s="7">
        <f t="shared" si="241"/>
        <v>1900</v>
      </c>
    </row>
    <row r="1548" spans="2:23" ht="31.95" customHeight="1" thickBot="1" x14ac:dyDescent="0.35">
      <c r="B1548" s="26"/>
      <c r="C1548" s="51" t="str">
        <f t="shared" si="244"/>
        <v/>
      </c>
      <c r="D1548" s="27"/>
      <c r="E1548" s="26"/>
      <c r="F1548" s="26"/>
      <c r="G1548" s="26"/>
      <c r="H1548" s="254"/>
      <c r="I1548" s="49"/>
      <c r="J1548" s="49"/>
      <c r="K1548" s="52" t="str">
        <f t="shared" si="236"/>
        <v/>
      </c>
      <c r="L1548" s="209" t="str">
        <f t="shared" si="237"/>
        <v/>
      </c>
      <c r="M1548" s="210" t="str">
        <f t="shared" si="238"/>
        <v/>
      </c>
      <c r="N1548" s="26"/>
      <c r="O1548" s="26"/>
      <c r="P1548" s="27"/>
      <c r="Q1548" s="2">
        <f t="shared" si="239"/>
        <v>0</v>
      </c>
      <c r="S1548" s="7">
        <f t="shared" si="242"/>
        <v>0</v>
      </c>
      <c r="T1548" s="157">
        <f t="shared" si="243"/>
        <v>0</v>
      </c>
      <c r="V1548" s="191">
        <f t="shared" si="240"/>
        <v>1</v>
      </c>
      <c r="W1548" s="7">
        <f t="shared" si="241"/>
        <v>1900</v>
      </c>
    </row>
    <row r="1549" spans="2:23" ht="31.95" customHeight="1" thickBot="1" x14ac:dyDescent="0.35">
      <c r="B1549" s="26"/>
      <c r="C1549" s="51" t="str">
        <f t="shared" si="244"/>
        <v/>
      </c>
      <c r="D1549" s="27"/>
      <c r="E1549" s="26"/>
      <c r="F1549" s="26"/>
      <c r="G1549" s="26"/>
      <c r="H1549" s="254"/>
      <c r="I1549" s="49"/>
      <c r="J1549" s="49"/>
      <c r="K1549" s="52" t="str">
        <f t="shared" si="236"/>
        <v/>
      </c>
      <c r="L1549" s="209" t="str">
        <f t="shared" si="237"/>
        <v/>
      </c>
      <c r="M1549" s="210" t="str">
        <f t="shared" si="238"/>
        <v/>
      </c>
      <c r="N1549" s="26"/>
      <c r="O1549" s="26"/>
      <c r="P1549" s="27"/>
      <c r="Q1549" s="2">
        <f t="shared" si="239"/>
        <v>0</v>
      </c>
      <c r="S1549" s="7">
        <f t="shared" si="242"/>
        <v>0</v>
      </c>
      <c r="T1549" s="157">
        <f t="shared" si="243"/>
        <v>0</v>
      </c>
      <c r="V1549" s="191">
        <f t="shared" si="240"/>
        <v>1</v>
      </c>
      <c r="W1549" s="7">
        <f t="shared" si="241"/>
        <v>1900</v>
      </c>
    </row>
    <row r="1550" spans="2:23" ht="31.95" customHeight="1" thickBot="1" x14ac:dyDescent="0.35">
      <c r="B1550" s="26"/>
      <c r="C1550" s="51" t="str">
        <f t="shared" si="244"/>
        <v/>
      </c>
      <c r="D1550" s="27"/>
      <c r="E1550" s="26"/>
      <c r="F1550" s="26"/>
      <c r="G1550" s="26"/>
      <c r="H1550" s="254"/>
      <c r="I1550" s="49"/>
      <c r="J1550" s="49"/>
      <c r="K1550" s="52" t="str">
        <f t="shared" si="236"/>
        <v/>
      </c>
      <c r="L1550" s="209" t="str">
        <f t="shared" si="237"/>
        <v/>
      </c>
      <c r="M1550" s="210" t="str">
        <f t="shared" si="238"/>
        <v/>
      </c>
      <c r="N1550" s="26"/>
      <c r="O1550" s="26"/>
      <c r="P1550" s="27"/>
      <c r="Q1550" s="2">
        <f t="shared" si="239"/>
        <v>0</v>
      </c>
      <c r="S1550" s="7">
        <f t="shared" si="242"/>
        <v>0</v>
      </c>
      <c r="T1550" s="157">
        <f t="shared" si="243"/>
        <v>0</v>
      </c>
      <c r="V1550" s="191">
        <f t="shared" si="240"/>
        <v>1</v>
      </c>
      <c r="W1550" s="7">
        <f t="shared" si="241"/>
        <v>1900</v>
      </c>
    </row>
    <row r="1551" spans="2:23" ht="31.95" customHeight="1" thickBot="1" x14ac:dyDescent="0.35">
      <c r="B1551" s="26"/>
      <c r="C1551" s="51" t="str">
        <f t="shared" si="244"/>
        <v/>
      </c>
      <c r="D1551" s="27"/>
      <c r="E1551" s="26"/>
      <c r="F1551" s="26"/>
      <c r="G1551" s="26"/>
      <c r="H1551" s="254"/>
      <c r="I1551" s="49"/>
      <c r="J1551" s="49"/>
      <c r="K1551" s="52" t="str">
        <f t="shared" si="236"/>
        <v/>
      </c>
      <c r="L1551" s="209" t="str">
        <f t="shared" si="237"/>
        <v/>
      </c>
      <c r="M1551" s="210" t="str">
        <f t="shared" si="238"/>
        <v/>
      </c>
      <c r="N1551" s="26"/>
      <c r="O1551" s="26"/>
      <c r="P1551" s="27"/>
      <c r="Q1551" s="2">
        <f t="shared" si="239"/>
        <v>0</v>
      </c>
      <c r="S1551" s="7">
        <f t="shared" si="242"/>
        <v>0</v>
      </c>
      <c r="T1551" s="157">
        <f t="shared" si="243"/>
        <v>0</v>
      </c>
      <c r="V1551" s="191">
        <f t="shared" si="240"/>
        <v>1</v>
      </c>
      <c r="W1551" s="7">
        <f t="shared" si="241"/>
        <v>1900</v>
      </c>
    </row>
    <row r="1552" spans="2:23" ht="31.95" customHeight="1" thickBot="1" x14ac:dyDescent="0.35">
      <c r="B1552" s="26"/>
      <c r="C1552" s="51" t="str">
        <f t="shared" si="244"/>
        <v/>
      </c>
      <c r="D1552" s="27"/>
      <c r="E1552" s="26"/>
      <c r="F1552" s="26"/>
      <c r="G1552" s="26"/>
      <c r="H1552" s="254"/>
      <c r="I1552" s="49"/>
      <c r="J1552" s="49"/>
      <c r="K1552" s="52" t="str">
        <f t="shared" si="236"/>
        <v/>
      </c>
      <c r="L1552" s="209" t="str">
        <f t="shared" si="237"/>
        <v/>
      </c>
      <c r="M1552" s="210" t="str">
        <f t="shared" si="238"/>
        <v/>
      </c>
      <c r="N1552" s="26"/>
      <c r="O1552" s="26"/>
      <c r="P1552" s="27"/>
      <c r="Q1552" s="2">
        <f t="shared" si="239"/>
        <v>0</v>
      </c>
      <c r="S1552" s="7">
        <f t="shared" si="242"/>
        <v>0</v>
      </c>
      <c r="T1552" s="157">
        <f t="shared" si="243"/>
        <v>0</v>
      </c>
      <c r="V1552" s="191">
        <f t="shared" si="240"/>
        <v>1</v>
      </c>
      <c r="W1552" s="7">
        <f t="shared" si="241"/>
        <v>1900</v>
      </c>
    </row>
    <row r="1553" spans="2:23" ht="31.95" customHeight="1" thickBot="1" x14ac:dyDescent="0.35">
      <c r="B1553" s="26"/>
      <c r="C1553" s="51" t="str">
        <f t="shared" si="244"/>
        <v/>
      </c>
      <c r="D1553" s="27"/>
      <c r="E1553" s="26"/>
      <c r="F1553" s="26"/>
      <c r="G1553" s="26"/>
      <c r="H1553" s="254"/>
      <c r="I1553" s="49"/>
      <c r="J1553" s="49"/>
      <c r="K1553" s="52" t="str">
        <f t="shared" si="236"/>
        <v/>
      </c>
      <c r="L1553" s="209" t="str">
        <f t="shared" si="237"/>
        <v/>
      </c>
      <c r="M1553" s="210" t="str">
        <f t="shared" si="238"/>
        <v/>
      </c>
      <c r="N1553" s="26"/>
      <c r="O1553" s="26"/>
      <c r="P1553" s="27"/>
      <c r="Q1553" s="2">
        <f t="shared" si="239"/>
        <v>0</v>
      </c>
      <c r="S1553" s="7">
        <f t="shared" si="242"/>
        <v>0</v>
      </c>
      <c r="T1553" s="157">
        <f t="shared" si="243"/>
        <v>0</v>
      </c>
      <c r="V1553" s="191">
        <f t="shared" si="240"/>
        <v>1</v>
      </c>
      <c r="W1553" s="7">
        <f t="shared" si="241"/>
        <v>1900</v>
      </c>
    </row>
    <row r="1554" spans="2:23" ht="31.95" customHeight="1" thickBot="1" x14ac:dyDescent="0.35">
      <c r="B1554" s="26"/>
      <c r="C1554" s="51" t="str">
        <f t="shared" si="244"/>
        <v/>
      </c>
      <c r="D1554" s="27"/>
      <c r="E1554" s="26"/>
      <c r="F1554" s="26"/>
      <c r="G1554" s="26"/>
      <c r="H1554" s="254"/>
      <c r="I1554" s="49"/>
      <c r="J1554" s="49"/>
      <c r="K1554" s="52" t="str">
        <f t="shared" si="236"/>
        <v/>
      </c>
      <c r="L1554" s="209" t="str">
        <f t="shared" si="237"/>
        <v/>
      </c>
      <c r="M1554" s="210" t="str">
        <f t="shared" si="238"/>
        <v/>
      </c>
      <c r="N1554" s="26"/>
      <c r="O1554" s="26"/>
      <c r="P1554" s="27"/>
      <c r="Q1554" s="2">
        <f t="shared" si="239"/>
        <v>0</v>
      </c>
      <c r="S1554" s="7">
        <f t="shared" si="242"/>
        <v>0</v>
      </c>
      <c r="T1554" s="157">
        <f t="shared" si="243"/>
        <v>0</v>
      </c>
      <c r="V1554" s="191">
        <f t="shared" si="240"/>
        <v>1</v>
      </c>
      <c r="W1554" s="7">
        <f t="shared" si="241"/>
        <v>1900</v>
      </c>
    </row>
    <row r="1555" spans="2:23" ht="31.95" customHeight="1" thickBot="1" x14ac:dyDescent="0.35">
      <c r="B1555" s="26"/>
      <c r="C1555" s="51" t="str">
        <f t="shared" si="244"/>
        <v/>
      </c>
      <c r="D1555" s="27"/>
      <c r="E1555" s="26"/>
      <c r="F1555" s="26"/>
      <c r="G1555" s="26"/>
      <c r="H1555" s="254"/>
      <c r="I1555" s="49"/>
      <c r="J1555" s="49"/>
      <c r="K1555" s="52" t="str">
        <f t="shared" si="236"/>
        <v/>
      </c>
      <c r="L1555" s="209" t="str">
        <f t="shared" si="237"/>
        <v/>
      </c>
      <c r="M1555" s="210" t="str">
        <f t="shared" si="238"/>
        <v/>
      </c>
      <c r="N1555" s="26"/>
      <c r="O1555" s="26"/>
      <c r="P1555" s="27"/>
      <c r="Q1555" s="2">
        <f t="shared" si="239"/>
        <v>0</v>
      </c>
      <c r="S1555" s="7">
        <f t="shared" si="242"/>
        <v>0</v>
      </c>
      <c r="T1555" s="157">
        <f t="shared" si="243"/>
        <v>0</v>
      </c>
      <c r="V1555" s="191">
        <f t="shared" si="240"/>
        <v>1</v>
      </c>
      <c r="W1555" s="7">
        <f t="shared" si="241"/>
        <v>1900</v>
      </c>
    </row>
    <row r="1556" spans="2:23" ht="31.95" customHeight="1" thickBot="1" x14ac:dyDescent="0.35">
      <c r="B1556" s="26"/>
      <c r="C1556" s="51" t="str">
        <f t="shared" si="244"/>
        <v/>
      </c>
      <c r="D1556" s="27"/>
      <c r="E1556" s="26"/>
      <c r="F1556" s="26"/>
      <c r="G1556" s="26"/>
      <c r="H1556" s="254"/>
      <c r="I1556" s="49"/>
      <c r="J1556" s="49"/>
      <c r="K1556" s="52" t="str">
        <f t="shared" si="236"/>
        <v/>
      </c>
      <c r="L1556" s="209" t="str">
        <f t="shared" si="237"/>
        <v/>
      </c>
      <c r="M1556" s="210" t="str">
        <f t="shared" si="238"/>
        <v/>
      </c>
      <c r="N1556" s="26"/>
      <c r="O1556" s="26"/>
      <c r="P1556" s="27"/>
      <c r="Q1556" s="2">
        <f t="shared" si="239"/>
        <v>0</v>
      </c>
      <c r="S1556" s="7">
        <f t="shared" si="242"/>
        <v>0</v>
      </c>
      <c r="T1556" s="157">
        <f t="shared" si="243"/>
        <v>0</v>
      </c>
      <c r="V1556" s="191">
        <f t="shared" si="240"/>
        <v>1</v>
      </c>
      <c r="W1556" s="7">
        <f t="shared" si="241"/>
        <v>1900</v>
      </c>
    </row>
    <row r="1557" spans="2:23" ht="31.95" customHeight="1" thickBot="1" x14ac:dyDescent="0.35">
      <c r="B1557" s="26"/>
      <c r="C1557" s="51" t="str">
        <f t="shared" si="244"/>
        <v/>
      </c>
      <c r="D1557" s="27"/>
      <c r="E1557" s="26"/>
      <c r="F1557" s="26"/>
      <c r="G1557" s="26"/>
      <c r="H1557" s="254"/>
      <c r="I1557" s="49"/>
      <c r="J1557" s="49"/>
      <c r="K1557" s="52" t="str">
        <f t="shared" si="236"/>
        <v/>
      </c>
      <c r="L1557" s="209" t="str">
        <f t="shared" si="237"/>
        <v/>
      </c>
      <c r="M1557" s="210" t="str">
        <f t="shared" si="238"/>
        <v/>
      </c>
      <c r="N1557" s="26"/>
      <c r="O1557" s="26"/>
      <c r="P1557" s="27"/>
      <c r="Q1557" s="2">
        <f t="shared" si="239"/>
        <v>0</v>
      </c>
      <c r="S1557" s="7">
        <f t="shared" si="242"/>
        <v>0</v>
      </c>
      <c r="T1557" s="157">
        <f t="shared" si="243"/>
        <v>0</v>
      </c>
      <c r="V1557" s="191">
        <f t="shared" si="240"/>
        <v>1</v>
      </c>
      <c r="W1557" s="7">
        <f t="shared" si="241"/>
        <v>1900</v>
      </c>
    </row>
    <row r="1558" spans="2:23" ht="31.95" customHeight="1" thickBot="1" x14ac:dyDescent="0.35">
      <c r="B1558" s="26"/>
      <c r="C1558" s="51" t="str">
        <f t="shared" si="244"/>
        <v/>
      </c>
      <c r="D1558" s="27"/>
      <c r="E1558" s="26"/>
      <c r="F1558" s="26"/>
      <c r="G1558" s="26"/>
      <c r="H1558" s="254"/>
      <c r="I1558" s="49"/>
      <c r="J1558" s="49"/>
      <c r="K1558" s="52" t="str">
        <f t="shared" si="236"/>
        <v/>
      </c>
      <c r="L1558" s="209" t="str">
        <f t="shared" si="237"/>
        <v/>
      </c>
      <c r="M1558" s="210" t="str">
        <f t="shared" si="238"/>
        <v/>
      </c>
      <c r="N1558" s="26"/>
      <c r="O1558" s="26"/>
      <c r="P1558" s="27"/>
      <c r="Q1558" s="2">
        <f t="shared" si="239"/>
        <v>0</v>
      </c>
      <c r="S1558" s="7">
        <f t="shared" si="242"/>
        <v>0</v>
      </c>
      <c r="T1558" s="157">
        <f t="shared" si="243"/>
        <v>0</v>
      </c>
      <c r="V1558" s="191">
        <f t="shared" si="240"/>
        <v>1</v>
      </c>
      <c r="W1558" s="7">
        <f t="shared" si="241"/>
        <v>1900</v>
      </c>
    </row>
    <row r="1559" spans="2:23" ht="31.95" customHeight="1" thickBot="1" x14ac:dyDescent="0.35">
      <c r="B1559" s="26"/>
      <c r="C1559" s="51" t="str">
        <f t="shared" si="244"/>
        <v/>
      </c>
      <c r="D1559" s="27"/>
      <c r="E1559" s="26"/>
      <c r="F1559" s="26"/>
      <c r="G1559" s="26"/>
      <c r="H1559" s="254"/>
      <c r="I1559" s="49"/>
      <c r="J1559" s="49"/>
      <c r="K1559" s="52" t="str">
        <f t="shared" si="236"/>
        <v/>
      </c>
      <c r="L1559" s="209" t="str">
        <f t="shared" si="237"/>
        <v/>
      </c>
      <c r="M1559" s="210" t="str">
        <f t="shared" si="238"/>
        <v/>
      </c>
      <c r="N1559" s="26"/>
      <c r="O1559" s="26"/>
      <c r="P1559" s="27"/>
      <c r="Q1559" s="2">
        <f t="shared" si="239"/>
        <v>0</v>
      </c>
      <c r="S1559" s="7">
        <f t="shared" si="242"/>
        <v>0</v>
      </c>
      <c r="T1559" s="157">
        <f t="shared" si="243"/>
        <v>0</v>
      </c>
      <c r="V1559" s="191">
        <f t="shared" si="240"/>
        <v>1</v>
      </c>
      <c r="W1559" s="7">
        <f t="shared" si="241"/>
        <v>1900</v>
      </c>
    </row>
    <row r="1560" spans="2:23" ht="31.95" customHeight="1" thickBot="1" x14ac:dyDescent="0.35">
      <c r="B1560" s="26"/>
      <c r="C1560" s="51" t="str">
        <f t="shared" si="244"/>
        <v/>
      </c>
      <c r="D1560" s="27"/>
      <c r="E1560" s="26"/>
      <c r="F1560" s="26"/>
      <c r="G1560" s="26"/>
      <c r="H1560" s="254"/>
      <c r="I1560" s="49"/>
      <c r="J1560" s="49"/>
      <c r="K1560" s="52" t="str">
        <f t="shared" si="236"/>
        <v/>
      </c>
      <c r="L1560" s="209" t="str">
        <f t="shared" si="237"/>
        <v/>
      </c>
      <c r="M1560" s="210" t="str">
        <f t="shared" si="238"/>
        <v/>
      </c>
      <c r="N1560" s="26"/>
      <c r="O1560" s="26"/>
      <c r="P1560" s="27"/>
      <c r="Q1560" s="2">
        <f t="shared" si="239"/>
        <v>0</v>
      </c>
      <c r="S1560" s="7">
        <f t="shared" si="242"/>
        <v>0</v>
      </c>
      <c r="T1560" s="157">
        <f t="shared" si="243"/>
        <v>0</v>
      </c>
      <c r="V1560" s="191">
        <f t="shared" si="240"/>
        <v>1</v>
      </c>
      <c r="W1560" s="7">
        <f t="shared" si="241"/>
        <v>1900</v>
      </c>
    </row>
    <row r="1561" spans="2:23" ht="31.95" customHeight="1" thickBot="1" x14ac:dyDescent="0.35">
      <c r="B1561" s="26"/>
      <c r="C1561" s="51" t="str">
        <f t="shared" si="244"/>
        <v/>
      </c>
      <c r="D1561" s="27"/>
      <c r="E1561" s="26"/>
      <c r="F1561" s="26"/>
      <c r="G1561" s="26"/>
      <c r="H1561" s="254"/>
      <c r="I1561" s="49"/>
      <c r="J1561" s="49"/>
      <c r="K1561" s="52" t="str">
        <f t="shared" si="236"/>
        <v/>
      </c>
      <c r="L1561" s="209" t="str">
        <f t="shared" si="237"/>
        <v/>
      </c>
      <c r="M1561" s="210" t="str">
        <f t="shared" si="238"/>
        <v/>
      </c>
      <c r="N1561" s="26"/>
      <c r="O1561" s="26"/>
      <c r="P1561" s="27"/>
      <c r="Q1561" s="2">
        <f t="shared" si="239"/>
        <v>0</v>
      </c>
      <c r="S1561" s="7">
        <f t="shared" si="242"/>
        <v>0</v>
      </c>
      <c r="T1561" s="157">
        <f t="shared" si="243"/>
        <v>0</v>
      </c>
      <c r="V1561" s="191">
        <f t="shared" si="240"/>
        <v>1</v>
      </c>
      <c r="W1561" s="7">
        <f t="shared" si="241"/>
        <v>1900</v>
      </c>
    </row>
    <row r="1562" spans="2:23" ht="31.95" customHeight="1" thickBot="1" x14ac:dyDescent="0.35">
      <c r="B1562" s="26"/>
      <c r="C1562" s="51" t="str">
        <f t="shared" si="244"/>
        <v/>
      </c>
      <c r="D1562" s="27"/>
      <c r="E1562" s="26"/>
      <c r="F1562" s="26"/>
      <c r="G1562" s="26"/>
      <c r="H1562" s="254"/>
      <c r="I1562" s="49"/>
      <c r="J1562" s="49"/>
      <c r="K1562" s="52" t="str">
        <f t="shared" si="236"/>
        <v/>
      </c>
      <c r="L1562" s="209" t="str">
        <f t="shared" si="237"/>
        <v/>
      </c>
      <c r="M1562" s="210" t="str">
        <f t="shared" si="238"/>
        <v/>
      </c>
      <c r="N1562" s="26"/>
      <c r="O1562" s="26"/>
      <c r="P1562" s="27"/>
      <c r="Q1562" s="2">
        <f t="shared" si="239"/>
        <v>0</v>
      </c>
      <c r="S1562" s="7">
        <f t="shared" si="242"/>
        <v>0</v>
      </c>
      <c r="T1562" s="157">
        <f t="shared" si="243"/>
        <v>0</v>
      </c>
      <c r="V1562" s="191">
        <f t="shared" si="240"/>
        <v>1</v>
      </c>
      <c r="W1562" s="7">
        <f t="shared" si="241"/>
        <v>1900</v>
      </c>
    </row>
    <row r="1563" spans="2:23" ht="31.95" customHeight="1" thickBot="1" x14ac:dyDescent="0.35">
      <c r="B1563" s="26"/>
      <c r="C1563" s="51" t="str">
        <f t="shared" si="244"/>
        <v/>
      </c>
      <c r="D1563" s="27"/>
      <c r="E1563" s="26"/>
      <c r="F1563" s="26"/>
      <c r="G1563" s="26"/>
      <c r="H1563" s="254"/>
      <c r="I1563" s="49"/>
      <c r="J1563" s="49"/>
      <c r="K1563" s="52" t="str">
        <f t="shared" si="236"/>
        <v/>
      </c>
      <c r="L1563" s="209" t="str">
        <f t="shared" si="237"/>
        <v/>
      </c>
      <c r="M1563" s="210" t="str">
        <f t="shared" si="238"/>
        <v/>
      </c>
      <c r="N1563" s="26"/>
      <c r="O1563" s="26"/>
      <c r="P1563" s="27"/>
      <c r="Q1563" s="2">
        <f t="shared" si="239"/>
        <v>0</v>
      </c>
      <c r="S1563" s="7">
        <f t="shared" si="242"/>
        <v>0</v>
      </c>
      <c r="T1563" s="157">
        <f t="shared" si="243"/>
        <v>0</v>
      </c>
      <c r="V1563" s="191">
        <f t="shared" si="240"/>
        <v>1</v>
      </c>
      <c r="W1563" s="7">
        <f t="shared" si="241"/>
        <v>1900</v>
      </c>
    </row>
    <row r="1564" spans="2:23" ht="31.95" customHeight="1" thickBot="1" x14ac:dyDescent="0.35">
      <c r="B1564" s="26"/>
      <c r="C1564" s="51" t="str">
        <f t="shared" si="244"/>
        <v/>
      </c>
      <c r="D1564" s="27"/>
      <c r="E1564" s="26"/>
      <c r="F1564" s="26"/>
      <c r="G1564" s="26"/>
      <c r="H1564" s="254"/>
      <c r="I1564" s="49"/>
      <c r="J1564" s="49"/>
      <c r="K1564" s="52" t="str">
        <f t="shared" si="236"/>
        <v/>
      </c>
      <c r="L1564" s="209" t="str">
        <f t="shared" si="237"/>
        <v/>
      </c>
      <c r="M1564" s="210" t="str">
        <f t="shared" si="238"/>
        <v/>
      </c>
      <c r="N1564" s="26"/>
      <c r="O1564" s="26"/>
      <c r="P1564" s="27"/>
      <c r="Q1564" s="2">
        <f t="shared" si="239"/>
        <v>0</v>
      </c>
      <c r="S1564" s="7">
        <f t="shared" si="242"/>
        <v>0</v>
      </c>
      <c r="T1564" s="157">
        <f t="shared" si="243"/>
        <v>0</v>
      </c>
      <c r="V1564" s="191">
        <f t="shared" si="240"/>
        <v>1</v>
      </c>
      <c r="W1564" s="7">
        <f t="shared" si="241"/>
        <v>1900</v>
      </c>
    </row>
    <row r="1565" spans="2:23" ht="31.95" customHeight="1" thickBot="1" x14ac:dyDescent="0.35">
      <c r="B1565" s="26"/>
      <c r="C1565" s="51" t="str">
        <f t="shared" si="244"/>
        <v/>
      </c>
      <c r="D1565" s="27"/>
      <c r="E1565" s="26"/>
      <c r="F1565" s="26"/>
      <c r="G1565" s="26"/>
      <c r="H1565" s="254"/>
      <c r="I1565" s="49"/>
      <c r="J1565" s="49"/>
      <c r="K1565" s="52" t="str">
        <f t="shared" si="236"/>
        <v/>
      </c>
      <c r="L1565" s="209" t="str">
        <f t="shared" si="237"/>
        <v/>
      </c>
      <c r="M1565" s="210" t="str">
        <f t="shared" si="238"/>
        <v/>
      </c>
      <c r="N1565" s="26"/>
      <c r="O1565" s="26"/>
      <c r="P1565" s="27"/>
      <c r="Q1565" s="2">
        <f t="shared" si="239"/>
        <v>0</v>
      </c>
      <c r="S1565" s="7">
        <f t="shared" si="242"/>
        <v>0</v>
      </c>
      <c r="T1565" s="157">
        <f t="shared" si="243"/>
        <v>0</v>
      </c>
      <c r="V1565" s="191">
        <f t="shared" si="240"/>
        <v>1</v>
      </c>
      <c r="W1565" s="7">
        <f t="shared" si="241"/>
        <v>1900</v>
      </c>
    </row>
    <row r="1566" spans="2:23" ht="31.95" customHeight="1" thickBot="1" x14ac:dyDescent="0.35">
      <c r="B1566" s="26"/>
      <c r="C1566" s="51" t="str">
        <f t="shared" si="244"/>
        <v/>
      </c>
      <c r="D1566" s="27"/>
      <c r="E1566" s="26"/>
      <c r="F1566" s="26"/>
      <c r="G1566" s="26"/>
      <c r="H1566" s="254"/>
      <c r="I1566" s="49"/>
      <c r="J1566" s="49"/>
      <c r="K1566" s="52" t="str">
        <f t="shared" si="236"/>
        <v/>
      </c>
      <c r="L1566" s="209" t="str">
        <f t="shared" si="237"/>
        <v/>
      </c>
      <c r="M1566" s="210" t="str">
        <f t="shared" si="238"/>
        <v/>
      </c>
      <c r="N1566" s="26"/>
      <c r="O1566" s="26"/>
      <c r="P1566" s="27"/>
      <c r="Q1566" s="2">
        <f t="shared" si="239"/>
        <v>0</v>
      </c>
      <c r="S1566" s="7">
        <f t="shared" si="242"/>
        <v>0</v>
      </c>
      <c r="T1566" s="157">
        <f t="shared" si="243"/>
        <v>0</v>
      </c>
      <c r="V1566" s="191">
        <f t="shared" si="240"/>
        <v>1</v>
      </c>
      <c r="W1566" s="7">
        <f t="shared" si="241"/>
        <v>1900</v>
      </c>
    </row>
    <row r="1567" spans="2:23" ht="31.95" customHeight="1" thickBot="1" x14ac:dyDescent="0.35">
      <c r="B1567" s="26"/>
      <c r="C1567" s="51" t="str">
        <f t="shared" si="244"/>
        <v/>
      </c>
      <c r="D1567" s="27"/>
      <c r="E1567" s="26"/>
      <c r="F1567" s="26"/>
      <c r="G1567" s="26"/>
      <c r="H1567" s="254"/>
      <c r="I1567" s="49"/>
      <c r="J1567" s="49"/>
      <c r="K1567" s="52" t="str">
        <f t="shared" si="236"/>
        <v/>
      </c>
      <c r="L1567" s="209" t="str">
        <f t="shared" si="237"/>
        <v/>
      </c>
      <c r="M1567" s="210" t="str">
        <f t="shared" si="238"/>
        <v/>
      </c>
      <c r="N1567" s="26"/>
      <c r="O1567" s="26"/>
      <c r="P1567" s="27"/>
      <c r="Q1567" s="2">
        <f t="shared" si="239"/>
        <v>0</v>
      </c>
      <c r="S1567" s="7">
        <f t="shared" si="242"/>
        <v>0</v>
      </c>
      <c r="T1567" s="157">
        <f t="shared" si="243"/>
        <v>0</v>
      </c>
      <c r="V1567" s="191">
        <f t="shared" si="240"/>
        <v>1</v>
      </c>
      <c r="W1567" s="7">
        <f t="shared" si="241"/>
        <v>1900</v>
      </c>
    </row>
    <row r="1568" spans="2:23" ht="31.95" customHeight="1" thickBot="1" x14ac:dyDescent="0.35">
      <c r="B1568" s="26"/>
      <c r="C1568" s="51" t="str">
        <f t="shared" si="244"/>
        <v/>
      </c>
      <c r="D1568" s="27"/>
      <c r="E1568" s="26"/>
      <c r="F1568" s="26"/>
      <c r="G1568" s="26"/>
      <c r="H1568" s="254"/>
      <c r="I1568" s="49"/>
      <c r="J1568" s="49"/>
      <c r="K1568" s="52" t="str">
        <f t="shared" si="236"/>
        <v/>
      </c>
      <c r="L1568" s="209" t="str">
        <f t="shared" si="237"/>
        <v/>
      </c>
      <c r="M1568" s="210" t="str">
        <f t="shared" si="238"/>
        <v/>
      </c>
      <c r="N1568" s="26"/>
      <c r="O1568" s="26"/>
      <c r="P1568" s="27"/>
      <c r="Q1568" s="2">
        <f t="shared" si="239"/>
        <v>0</v>
      </c>
      <c r="S1568" s="7">
        <f t="shared" si="242"/>
        <v>0</v>
      </c>
      <c r="T1568" s="157">
        <f t="shared" si="243"/>
        <v>0</v>
      </c>
      <c r="V1568" s="191">
        <f t="shared" si="240"/>
        <v>1</v>
      </c>
      <c r="W1568" s="7">
        <f t="shared" si="241"/>
        <v>1900</v>
      </c>
    </row>
    <row r="1569" spans="2:23" ht="31.95" customHeight="1" thickBot="1" x14ac:dyDescent="0.35">
      <c r="B1569" s="26"/>
      <c r="C1569" s="51" t="str">
        <f t="shared" si="244"/>
        <v/>
      </c>
      <c r="D1569" s="27"/>
      <c r="E1569" s="26"/>
      <c r="F1569" s="26"/>
      <c r="G1569" s="26"/>
      <c r="H1569" s="254"/>
      <c r="I1569" s="49"/>
      <c r="J1569" s="49"/>
      <c r="K1569" s="52" t="str">
        <f t="shared" si="236"/>
        <v/>
      </c>
      <c r="L1569" s="209" t="str">
        <f t="shared" si="237"/>
        <v/>
      </c>
      <c r="M1569" s="210" t="str">
        <f t="shared" si="238"/>
        <v/>
      </c>
      <c r="N1569" s="26"/>
      <c r="O1569" s="26"/>
      <c r="P1569" s="27"/>
      <c r="Q1569" s="2">
        <f t="shared" si="239"/>
        <v>0</v>
      </c>
      <c r="S1569" s="7">
        <f t="shared" si="242"/>
        <v>0</v>
      </c>
      <c r="T1569" s="157">
        <f t="shared" si="243"/>
        <v>0</v>
      </c>
      <c r="V1569" s="191">
        <f t="shared" si="240"/>
        <v>1</v>
      </c>
      <c r="W1569" s="7">
        <f t="shared" si="241"/>
        <v>1900</v>
      </c>
    </row>
    <row r="1570" spans="2:23" ht="31.95" customHeight="1" thickBot="1" x14ac:dyDescent="0.35">
      <c r="B1570" s="26"/>
      <c r="C1570" s="51" t="str">
        <f t="shared" si="244"/>
        <v/>
      </c>
      <c r="D1570" s="27"/>
      <c r="E1570" s="26"/>
      <c r="F1570" s="26"/>
      <c r="G1570" s="26"/>
      <c r="H1570" s="254"/>
      <c r="I1570" s="49"/>
      <c r="J1570" s="49"/>
      <c r="K1570" s="52" t="str">
        <f t="shared" si="236"/>
        <v/>
      </c>
      <c r="L1570" s="209" t="str">
        <f t="shared" si="237"/>
        <v/>
      </c>
      <c r="M1570" s="210" t="str">
        <f t="shared" si="238"/>
        <v/>
      </c>
      <c r="N1570" s="26"/>
      <c r="O1570" s="26"/>
      <c r="P1570" s="27"/>
      <c r="Q1570" s="2">
        <f t="shared" si="239"/>
        <v>0</v>
      </c>
      <c r="S1570" s="7">
        <f t="shared" si="242"/>
        <v>0</v>
      </c>
      <c r="T1570" s="157">
        <f t="shared" si="243"/>
        <v>0</v>
      </c>
      <c r="V1570" s="191">
        <f t="shared" si="240"/>
        <v>1</v>
      </c>
      <c r="W1570" s="7">
        <f t="shared" si="241"/>
        <v>1900</v>
      </c>
    </row>
    <row r="1571" spans="2:23" ht="31.95" customHeight="1" thickBot="1" x14ac:dyDescent="0.35">
      <c r="B1571" s="26"/>
      <c r="C1571" s="51" t="str">
        <f t="shared" si="244"/>
        <v/>
      </c>
      <c r="D1571" s="27"/>
      <c r="E1571" s="26"/>
      <c r="F1571" s="26"/>
      <c r="G1571" s="26"/>
      <c r="H1571" s="254"/>
      <c r="I1571" s="49"/>
      <c r="J1571" s="49"/>
      <c r="K1571" s="52" t="str">
        <f t="shared" si="236"/>
        <v/>
      </c>
      <c r="L1571" s="209" t="str">
        <f t="shared" si="237"/>
        <v/>
      </c>
      <c r="M1571" s="210" t="str">
        <f t="shared" si="238"/>
        <v/>
      </c>
      <c r="N1571" s="26"/>
      <c r="O1571" s="26"/>
      <c r="P1571" s="27"/>
      <c r="Q1571" s="2">
        <f t="shared" si="239"/>
        <v>0</v>
      </c>
      <c r="S1571" s="7">
        <f t="shared" si="242"/>
        <v>0</v>
      </c>
      <c r="T1571" s="157">
        <f t="shared" si="243"/>
        <v>0</v>
      </c>
      <c r="V1571" s="191">
        <f t="shared" si="240"/>
        <v>1</v>
      </c>
      <c r="W1571" s="7">
        <f t="shared" si="241"/>
        <v>1900</v>
      </c>
    </row>
    <row r="1572" spans="2:23" ht="31.95" customHeight="1" thickBot="1" x14ac:dyDescent="0.35">
      <c r="B1572" s="26"/>
      <c r="C1572" s="51" t="str">
        <f t="shared" si="244"/>
        <v/>
      </c>
      <c r="D1572" s="27"/>
      <c r="E1572" s="26"/>
      <c r="F1572" s="26"/>
      <c r="G1572" s="26"/>
      <c r="H1572" s="254"/>
      <c r="I1572" s="49"/>
      <c r="J1572" s="49"/>
      <c r="K1572" s="52" t="str">
        <f t="shared" si="236"/>
        <v/>
      </c>
      <c r="L1572" s="209" t="str">
        <f t="shared" si="237"/>
        <v/>
      </c>
      <c r="M1572" s="210" t="str">
        <f t="shared" si="238"/>
        <v/>
      </c>
      <c r="N1572" s="26"/>
      <c r="O1572" s="26"/>
      <c r="P1572" s="27"/>
      <c r="Q1572" s="2">
        <f t="shared" si="239"/>
        <v>0</v>
      </c>
      <c r="S1572" s="7">
        <f t="shared" si="242"/>
        <v>0</v>
      </c>
      <c r="T1572" s="157">
        <f t="shared" si="243"/>
        <v>0</v>
      </c>
      <c r="V1572" s="191">
        <f t="shared" si="240"/>
        <v>1</v>
      </c>
      <c r="W1572" s="7">
        <f t="shared" si="241"/>
        <v>1900</v>
      </c>
    </row>
    <row r="1573" spans="2:23" ht="31.95" customHeight="1" thickBot="1" x14ac:dyDescent="0.35">
      <c r="B1573" s="26"/>
      <c r="C1573" s="51" t="str">
        <f t="shared" si="244"/>
        <v/>
      </c>
      <c r="D1573" s="27"/>
      <c r="E1573" s="26"/>
      <c r="F1573" s="26"/>
      <c r="G1573" s="26"/>
      <c r="H1573" s="254"/>
      <c r="I1573" s="49"/>
      <c r="J1573" s="49"/>
      <c r="K1573" s="52" t="str">
        <f t="shared" si="236"/>
        <v/>
      </c>
      <c r="L1573" s="209" t="str">
        <f t="shared" si="237"/>
        <v/>
      </c>
      <c r="M1573" s="210" t="str">
        <f t="shared" si="238"/>
        <v/>
      </c>
      <c r="N1573" s="26"/>
      <c r="O1573" s="26"/>
      <c r="P1573" s="27"/>
      <c r="Q1573" s="2">
        <f t="shared" si="239"/>
        <v>0</v>
      </c>
      <c r="S1573" s="7">
        <f t="shared" si="242"/>
        <v>0</v>
      </c>
      <c r="T1573" s="157">
        <f t="shared" si="243"/>
        <v>0</v>
      </c>
      <c r="V1573" s="191">
        <f t="shared" si="240"/>
        <v>1</v>
      </c>
      <c r="W1573" s="7">
        <f t="shared" si="241"/>
        <v>1900</v>
      </c>
    </row>
    <row r="1574" spans="2:23" ht="31.95" customHeight="1" thickBot="1" x14ac:dyDescent="0.35">
      <c r="B1574" s="26"/>
      <c r="C1574" s="51" t="str">
        <f t="shared" si="244"/>
        <v/>
      </c>
      <c r="D1574" s="27"/>
      <c r="E1574" s="26"/>
      <c r="F1574" s="26"/>
      <c r="G1574" s="26"/>
      <c r="H1574" s="254"/>
      <c r="I1574" s="49"/>
      <c r="J1574" s="49"/>
      <c r="K1574" s="52" t="str">
        <f t="shared" si="236"/>
        <v/>
      </c>
      <c r="L1574" s="209" t="str">
        <f t="shared" si="237"/>
        <v/>
      </c>
      <c r="M1574" s="210" t="str">
        <f t="shared" si="238"/>
        <v/>
      </c>
      <c r="N1574" s="26"/>
      <c r="O1574" s="26"/>
      <c r="P1574" s="27"/>
      <c r="Q1574" s="2">
        <f t="shared" si="239"/>
        <v>0</v>
      </c>
      <c r="S1574" s="7">
        <f t="shared" si="242"/>
        <v>0</v>
      </c>
      <c r="T1574" s="157">
        <f t="shared" si="243"/>
        <v>0</v>
      </c>
      <c r="V1574" s="191">
        <f t="shared" si="240"/>
        <v>1</v>
      </c>
      <c r="W1574" s="7">
        <f t="shared" si="241"/>
        <v>1900</v>
      </c>
    </row>
    <row r="1575" spans="2:23" ht="31.95" customHeight="1" thickBot="1" x14ac:dyDescent="0.35">
      <c r="B1575" s="26"/>
      <c r="C1575" s="51" t="str">
        <f t="shared" si="244"/>
        <v/>
      </c>
      <c r="D1575" s="27"/>
      <c r="E1575" s="26"/>
      <c r="F1575" s="26"/>
      <c r="G1575" s="26"/>
      <c r="H1575" s="254"/>
      <c r="I1575" s="49"/>
      <c r="J1575" s="49"/>
      <c r="K1575" s="52" t="str">
        <f t="shared" si="236"/>
        <v/>
      </c>
      <c r="L1575" s="209" t="str">
        <f t="shared" si="237"/>
        <v/>
      </c>
      <c r="M1575" s="210" t="str">
        <f t="shared" si="238"/>
        <v/>
      </c>
      <c r="N1575" s="26"/>
      <c r="O1575" s="26"/>
      <c r="P1575" s="27"/>
      <c r="Q1575" s="2">
        <f t="shared" si="239"/>
        <v>0</v>
      </c>
      <c r="S1575" s="7">
        <f t="shared" si="242"/>
        <v>0</v>
      </c>
      <c r="T1575" s="157">
        <f t="shared" si="243"/>
        <v>0</v>
      </c>
      <c r="V1575" s="191">
        <f t="shared" si="240"/>
        <v>1</v>
      </c>
      <c r="W1575" s="7">
        <f t="shared" si="241"/>
        <v>1900</v>
      </c>
    </row>
    <row r="1576" spans="2:23" ht="31.95" customHeight="1" thickBot="1" x14ac:dyDescent="0.35">
      <c r="B1576" s="26"/>
      <c r="C1576" s="51" t="str">
        <f t="shared" si="244"/>
        <v/>
      </c>
      <c r="D1576" s="27"/>
      <c r="E1576" s="26"/>
      <c r="F1576" s="26"/>
      <c r="G1576" s="26"/>
      <c r="H1576" s="254"/>
      <c r="I1576" s="49"/>
      <c r="J1576" s="49"/>
      <c r="K1576" s="52" t="str">
        <f t="shared" si="236"/>
        <v/>
      </c>
      <c r="L1576" s="209" t="str">
        <f t="shared" si="237"/>
        <v/>
      </c>
      <c r="M1576" s="210" t="str">
        <f t="shared" si="238"/>
        <v/>
      </c>
      <c r="N1576" s="26"/>
      <c r="O1576" s="26"/>
      <c r="P1576" s="27"/>
      <c r="Q1576" s="2">
        <f t="shared" si="239"/>
        <v>0</v>
      </c>
      <c r="S1576" s="7">
        <f t="shared" si="242"/>
        <v>0</v>
      </c>
      <c r="T1576" s="157">
        <f t="shared" si="243"/>
        <v>0</v>
      </c>
      <c r="V1576" s="191">
        <f t="shared" si="240"/>
        <v>1</v>
      </c>
      <c r="W1576" s="7">
        <f t="shared" si="241"/>
        <v>1900</v>
      </c>
    </row>
    <row r="1577" spans="2:23" ht="31.95" customHeight="1" thickBot="1" x14ac:dyDescent="0.35">
      <c r="B1577" s="26"/>
      <c r="C1577" s="51" t="str">
        <f t="shared" si="244"/>
        <v/>
      </c>
      <c r="D1577" s="27"/>
      <c r="E1577" s="26"/>
      <c r="F1577" s="26"/>
      <c r="G1577" s="26"/>
      <c r="H1577" s="254"/>
      <c r="I1577" s="49"/>
      <c r="J1577" s="49"/>
      <c r="K1577" s="52" t="str">
        <f t="shared" si="236"/>
        <v/>
      </c>
      <c r="L1577" s="209" t="str">
        <f t="shared" si="237"/>
        <v/>
      </c>
      <c r="M1577" s="210" t="str">
        <f t="shared" si="238"/>
        <v/>
      </c>
      <c r="N1577" s="26"/>
      <c r="O1577" s="26"/>
      <c r="P1577" s="27"/>
      <c r="Q1577" s="2">
        <f t="shared" si="239"/>
        <v>0</v>
      </c>
      <c r="S1577" s="7">
        <f t="shared" si="242"/>
        <v>0</v>
      </c>
      <c r="T1577" s="157">
        <f t="shared" si="243"/>
        <v>0</v>
      </c>
      <c r="V1577" s="191">
        <f t="shared" si="240"/>
        <v>1</v>
      </c>
      <c r="W1577" s="7">
        <f t="shared" si="241"/>
        <v>1900</v>
      </c>
    </row>
    <row r="1578" spans="2:23" ht="31.95" customHeight="1" thickBot="1" x14ac:dyDescent="0.35">
      <c r="B1578" s="26"/>
      <c r="C1578" s="51" t="str">
        <f t="shared" si="244"/>
        <v/>
      </c>
      <c r="D1578" s="27"/>
      <c r="E1578" s="26"/>
      <c r="F1578" s="26"/>
      <c r="G1578" s="26"/>
      <c r="H1578" s="254"/>
      <c r="I1578" s="49"/>
      <c r="J1578" s="49"/>
      <c r="K1578" s="52" t="str">
        <f t="shared" si="236"/>
        <v/>
      </c>
      <c r="L1578" s="209" t="str">
        <f t="shared" si="237"/>
        <v/>
      </c>
      <c r="M1578" s="210" t="str">
        <f t="shared" si="238"/>
        <v/>
      </c>
      <c r="N1578" s="26"/>
      <c r="O1578" s="26"/>
      <c r="P1578" s="27"/>
      <c r="Q1578" s="2">
        <f t="shared" si="239"/>
        <v>0</v>
      </c>
      <c r="S1578" s="7">
        <f t="shared" si="242"/>
        <v>0</v>
      </c>
      <c r="T1578" s="157">
        <f t="shared" si="243"/>
        <v>0</v>
      </c>
      <c r="V1578" s="191">
        <f t="shared" si="240"/>
        <v>1</v>
      </c>
      <c r="W1578" s="7">
        <f t="shared" si="241"/>
        <v>1900</v>
      </c>
    </row>
    <row r="1579" spans="2:23" ht="31.95" customHeight="1" thickBot="1" x14ac:dyDescent="0.35">
      <c r="B1579" s="26"/>
      <c r="C1579" s="51" t="str">
        <f t="shared" si="244"/>
        <v/>
      </c>
      <c r="D1579" s="27"/>
      <c r="E1579" s="26"/>
      <c r="F1579" s="26"/>
      <c r="G1579" s="26"/>
      <c r="H1579" s="254"/>
      <c r="I1579" s="49"/>
      <c r="J1579" s="49"/>
      <c r="K1579" s="52" t="str">
        <f t="shared" si="236"/>
        <v/>
      </c>
      <c r="L1579" s="209" t="str">
        <f t="shared" si="237"/>
        <v/>
      </c>
      <c r="M1579" s="210" t="str">
        <f t="shared" si="238"/>
        <v/>
      </c>
      <c r="N1579" s="26"/>
      <c r="O1579" s="26"/>
      <c r="P1579" s="27"/>
      <c r="Q1579" s="2">
        <f t="shared" si="239"/>
        <v>0</v>
      </c>
      <c r="S1579" s="7">
        <f t="shared" si="242"/>
        <v>0</v>
      </c>
      <c r="T1579" s="157">
        <f t="shared" si="243"/>
        <v>0</v>
      </c>
      <c r="V1579" s="191">
        <f t="shared" si="240"/>
        <v>1</v>
      </c>
      <c r="W1579" s="7">
        <f t="shared" si="241"/>
        <v>1900</v>
      </c>
    </row>
    <row r="1580" spans="2:23" ht="31.95" customHeight="1" thickBot="1" x14ac:dyDescent="0.35">
      <c r="B1580" s="26"/>
      <c r="C1580" s="51" t="str">
        <f t="shared" si="244"/>
        <v/>
      </c>
      <c r="D1580" s="27"/>
      <c r="E1580" s="26"/>
      <c r="F1580" s="26"/>
      <c r="G1580" s="26"/>
      <c r="H1580" s="254"/>
      <c r="I1580" s="49"/>
      <c r="J1580" s="49"/>
      <c r="K1580" s="52" t="str">
        <f t="shared" si="236"/>
        <v/>
      </c>
      <c r="L1580" s="209" t="str">
        <f t="shared" si="237"/>
        <v/>
      </c>
      <c r="M1580" s="210" t="str">
        <f t="shared" si="238"/>
        <v/>
      </c>
      <c r="N1580" s="26"/>
      <c r="O1580" s="26"/>
      <c r="P1580" s="27"/>
      <c r="Q1580" s="2">
        <f t="shared" si="239"/>
        <v>0</v>
      </c>
      <c r="S1580" s="7">
        <f t="shared" si="242"/>
        <v>0</v>
      </c>
      <c r="T1580" s="157">
        <f t="shared" si="243"/>
        <v>0</v>
      </c>
      <c r="V1580" s="191">
        <f t="shared" si="240"/>
        <v>1</v>
      </c>
      <c r="W1580" s="7">
        <f t="shared" si="241"/>
        <v>1900</v>
      </c>
    </row>
    <row r="1581" spans="2:23" ht="31.95" customHeight="1" thickBot="1" x14ac:dyDescent="0.35">
      <c r="B1581" s="26"/>
      <c r="C1581" s="51" t="str">
        <f t="shared" si="244"/>
        <v/>
      </c>
      <c r="D1581" s="27"/>
      <c r="E1581" s="26"/>
      <c r="F1581" s="26"/>
      <c r="G1581" s="26"/>
      <c r="H1581" s="254"/>
      <c r="I1581" s="49"/>
      <c r="J1581" s="49"/>
      <c r="K1581" s="52" t="str">
        <f t="shared" ref="K1581:K1644" si="245">IFERROR(J1581/I1581,"")</f>
        <v/>
      </c>
      <c r="L1581" s="209" t="str">
        <f t="shared" ref="L1581:L1644" si="246">IF(I1581="","",I1581-J1581)</f>
        <v/>
      </c>
      <c r="M1581" s="210" t="str">
        <f t="shared" ref="M1581:M1644" si="247">IFERROR(1-K1581,"")</f>
        <v/>
      </c>
      <c r="N1581" s="26"/>
      <c r="O1581" s="26"/>
      <c r="P1581" s="27"/>
      <c r="Q1581" s="2">
        <f t="shared" si="239"/>
        <v>0</v>
      </c>
      <c r="S1581" s="7">
        <f t="shared" si="242"/>
        <v>0</v>
      </c>
      <c r="T1581" s="157">
        <f t="shared" si="243"/>
        <v>0</v>
      </c>
      <c r="V1581" s="191">
        <f t="shared" si="240"/>
        <v>1</v>
      </c>
      <c r="W1581" s="7">
        <f t="shared" si="241"/>
        <v>1900</v>
      </c>
    </row>
    <row r="1582" spans="2:23" ht="31.95" customHeight="1" thickBot="1" x14ac:dyDescent="0.35">
      <c r="B1582" s="26"/>
      <c r="C1582" s="51" t="str">
        <f t="shared" si="244"/>
        <v/>
      </c>
      <c r="D1582" s="27"/>
      <c r="E1582" s="26"/>
      <c r="F1582" s="26"/>
      <c r="G1582" s="26"/>
      <c r="H1582" s="254"/>
      <c r="I1582" s="49"/>
      <c r="J1582" s="49"/>
      <c r="K1582" s="52" t="str">
        <f t="shared" si="245"/>
        <v/>
      </c>
      <c r="L1582" s="209" t="str">
        <f t="shared" si="246"/>
        <v/>
      </c>
      <c r="M1582" s="210" t="str">
        <f t="shared" si="247"/>
        <v/>
      </c>
      <c r="N1582" s="26"/>
      <c r="O1582" s="26"/>
      <c r="P1582" s="27"/>
      <c r="Q1582" s="2">
        <f t="shared" si="239"/>
        <v>0</v>
      </c>
      <c r="S1582" s="7">
        <f t="shared" si="242"/>
        <v>0</v>
      </c>
      <c r="T1582" s="157">
        <f t="shared" si="243"/>
        <v>0</v>
      </c>
      <c r="V1582" s="191">
        <f t="shared" si="240"/>
        <v>1</v>
      </c>
      <c r="W1582" s="7">
        <f t="shared" si="241"/>
        <v>1900</v>
      </c>
    </row>
    <row r="1583" spans="2:23" ht="31.95" customHeight="1" thickBot="1" x14ac:dyDescent="0.35">
      <c r="B1583" s="26"/>
      <c r="C1583" s="51" t="str">
        <f t="shared" si="244"/>
        <v/>
      </c>
      <c r="D1583" s="27"/>
      <c r="E1583" s="26"/>
      <c r="F1583" s="26"/>
      <c r="G1583" s="26"/>
      <c r="H1583" s="254"/>
      <c r="I1583" s="49"/>
      <c r="J1583" s="49"/>
      <c r="K1583" s="52" t="str">
        <f t="shared" si="245"/>
        <v/>
      </c>
      <c r="L1583" s="209" t="str">
        <f t="shared" si="246"/>
        <v/>
      </c>
      <c r="M1583" s="210" t="str">
        <f t="shared" si="247"/>
        <v/>
      </c>
      <c r="N1583" s="26"/>
      <c r="O1583" s="26"/>
      <c r="P1583" s="27"/>
      <c r="Q1583" s="2">
        <f t="shared" si="239"/>
        <v>0</v>
      </c>
      <c r="S1583" s="7">
        <f t="shared" si="242"/>
        <v>0</v>
      </c>
      <c r="T1583" s="157">
        <f t="shared" si="243"/>
        <v>0</v>
      </c>
      <c r="V1583" s="191">
        <f t="shared" si="240"/>
        <v>1</v>
      </c>
      <c r="W1583" s="7">
        <f t="shared" si="241"/>
        <v>1900</v>
      </c>
    </row>
    <row r="1584" spans="2:23" ht="31.95" customHeight="1" thickBot="1" x14ac:dyDescent="0.35">
      <c r="B1584" s="26"/>
      <c r="C1584" s="51" t="str">
        <f t="shared" si="244"/>
        <v/>
      </c>
      <c r="D1584" s="27"/>
      <c r="E1584" s="26"/>
      <c r="F1584" s="26"/>
      <c r="G1584" s="26"/>
      <c r="H1584" s="254"/>
      <c r="I1584" s="49"/>
      <c r="J1584" s="49"/>
      <c r="K1584" s="52" t="str">
        <f t="shared" si="245"/>
        <v/>
      </c>
      <c r="L1584" s="209" t="str">
        <f t="shared" si="246"/>
        <v/>
      </c>
      <c r="M1584" s="210" t="str">
        <f t="shared" si="247"/>
        <v/>
      </c>
      <c r="N1584" s="26"/>
      <c r="O1584" s="26"/>
      <c r="P1584" s="27"/>
      <c r="Q1584" s="2">
        <f t="shared" si="239"/>
        <v>0</v>
      </c>
      <c r="S1584" s="7">
        <f t="shared" si="242"/>
        <v>0</v>
      </c>
      <c r="T1584" s="157">
        <f t="shared" si="243"/>
        <v>0</v>
      </c>
      <c r="V1584" s="191">
        <f t="shared" si="240"/>
        <v>1</v>
      </c>
      <c r="W1584" s="7">
        <f t="shared" si="241"/>
        <v>1900</v>
      </c>
    </row>
    <row r="1585" spans="2:23" ht="31.95" customHeight="1" thickBot="1" x14ac:dyDescent="0.35">
      <c r="B1585" s="26"/>
      <c r="C1585" s="51" t="str">
        <f t="shared" si="244"/>
        <v/>
      </c>
      <c r="D1585" s="27"/>
      <c r="E1585" s="26"/>
      <c r="F1585" s="26"/>
      <c r="G1585" s="26"/>
      <c r="H1585" s="254"/>
      <c r="I1585" s="49"/>
      <c r="J1585" s="49"/>
      <c r="K1585" s="52" t="str">
        <f t="shared" si="245"/>
        <v/>
      </c>
      <c r="L1585" s="209" t="str">
        <f t="shared" si="246"/>
        <v/>
      </c>
      <c r="M1585" s="210" t="str">
        <f t="shared" si="247"/>
        <v/>
      </c>
      <c r="N1585" s="26"/>
      <c r="O1585" s="26"/>
      <c r="P1585" s="27"/>
      <c r="Q1585" s="2">
        <f t="shared" si="239"/>
        <v>0</v>
      </c>
      <c r="S1585" s="7">
        <f t="shared" si="242"/>
        <v>0</v>
      </c>
      <c r="T1585" s="157">
        <f t="shared" si="243"/>
        <v>0</v>
      </c>
      <c r="V1585" s="191">
        <f t="shared" si="240"/>
        <v>1</v>
      </c>
      <c r="W1585" s="7">
        <f t="shared" si="241"/>
        <v>1900</v>
      </c>
    </row>
    <row r="1586" spans="2:23" ht="31.95" customHeight="1" thickBot="1" x14ac:dyDescent="0.35">
      <c r="B1586" s="26"/>
      <c r="C1586" s="51" t="str">
        <f t="shared" si="244"/>
        <v/>
      </c>
      <c r="D1586" s="27"/>
      <c r="E1586" s="26"/>
      <c r="F1586" s="26"/>
      <c r="G1586" s="26"/>
      <c r="H1586" s="254"/>
      <c r="I1586" s="49"/>
      <c r="J1586" s="49"/>
      <c r="K1586" s="52" t="str">
        <f t="shared" si="245"/>
        <v/>
      </c>
      <c r="L1586" s="209" t="str">
        <f t="shared" si="246"/>
        <v/>
      </c>
      <c r="M1586" s="210" t="str">
        <f t="shared" si="247"/>
        <v/>
      </c>
      <c r="N1586" s="26"/>
      <c r="O1586" s="26"/>
      <c r="P1586" s="27"/>
      <c r="Q1586" s="2">
        <f t="shared" si="239"/>
        <v>0</v>
      </c>
      <c r="S1586" s="7">
        <f t="shared" si="242"/>
        <v>0</v>
      </c>
      <c r="T1586" s="157">
        <f t="shared" si="243"/>
        <v>0</v>
      </c>
      <c r="V1586" s="191">
        <f t="shared" si="240"/>
        <v>1</v>
      </c>
      <c r="W1586" s="7">
        <f t="shared" si="241"/>
        <v>1900</v>
      </c>
    </row>
    <row r="1587" spans="2:23" ht="31.95" customHeight="1" thickBot="1" x14ac:dyDescent="0.35">
      <c r="B1587" s="26"/>
      <c r="C1587" s="51" t="str">
        <f t="shared" si="244"/>
        <v/>
      </c>
      <c r="D1587" s="27"/>
      <c r="E1587" s="26"/>
      <c r="F1587" s="26"/>
      <c r="G1587" s="26"/>
      <c r="H1587" s="254"/>
      <c r="I1587" s="49"/>
      <c r="J1587" s="49"/>
      <c r="K1587" s="52" t="str">
        <f t="shared" si="245"/>
        <v/>
      </c>
      <c r="L1587" s="209" t="str">
        <f t="shared" si="246"/>
        <v/>
      </c>
      <c r="M1587" s="210" t="str">
        <f t="shared" si="247"/>
        <v/>
      </c>
      <c r="N1587" s="26"/>
      <c r="O1587" s="26"/>
      <c r="P1587" s="27"/>
      <c r="Q1587" s="2">
        <f t="shared" si="239"/>
        <v>0</v>
      </c>
      <c r="S1587" s="7">
        <f t="shared" si="242"/>
        <v>0</v>
      </c>
      <c r="T1587" s="157">
        <f t="shared" si="243"/>
        <v>0</v>
      </c>
      <c r="V1587" s="191">
        <f t="shared" si="240"/>
        <v>1</v>
      </c>
      <c r="W1587" s="7">
        <f t="shared" si="241"/>
        <v>1900</v>
      </c>
    </row>
    <row r="1588" spans="2:23" ht="31.95" customHeight="1" thickBot="1" x14ac:dyDescent="0.35">
      <c r="B1588" s="26"/>
      <c r="C1588" s="51" t="str">
        <f t="shared" si="244"/>
        <v/>
      </c>
      <c r="D1588" s="27"/>
      <c r="E1588" s="26"/>
      <c r="F1588" s="26"/>
      <c r="G1588" s="26"/>
      <c r="H1588" s="254"/>
      <c r="I1588" s="49"/>
      <c r="J1588" s="49"/>
      <c r="K1588" s="52" t="str">
        <f t="shared" si="245"/>
        <v/>
      </c>
      <c r="L1588" s="209" t="str">
        <f t="shared" si="246"/>
        <v/>
      </c>
      <c r="M1588" s="210" t="str">
        <f t="shared" si="247"/>
        <v/>
      </c>
      <c r="N1588" s="26"/>
      <c r="O1588" s="26"/>
      <c r="P1588" s="27"/>
      <c r="Q1588" s="2">
        <f t="shared" si="239"/>
        <v>0</v>
      </c>
      <c r="S1588" s="7">
        <f t="shared" si="242"/>
        <v>0</v>
      </c>
      <c r="T1588" s="157">
        <f t="shared" si="243"/>
        <v>0</v>
      </c>
      <c r="V1588" s="191">
        <f t="shared" si="240"/>
        <v>1</v>
      </c>
      <c r="W1588" s="7">
        <f t="shared" si="241"/>
        <v>1900</v>
      </c>
    </row>
    <row r="1589" spans="2:23" ht="31.95" customHeight="1" thickBot="1" x14ac:dyDescent="0.35">
      <c r="B1589" s="26"/>
      <c r="C1589" s="51" t="str">
        <f t="shared" si="244"/>
        <v/>
      </c>
      <c r="D1589" s="27"/>
      <c r="E1589" s="26"/>
      <c r="F1589" s="26"/>
      <c r="G1589" s="26"/>
      <c r="H1589" s="254"/>
      <c r="I1589" s="49"/>
      <c r="J1589" s="49"/>
      <c r="K1589" s="52" t="str">
        <f t="shared" si="245"/>
        <v/>
      </c>
      <c r="L1589" s="209" t="str">
        <f t="shared" si="246"/>
        <v/>
      </c>
      <c r="M1589" s="210" t="str">
        <f t="shared" si="247"/>
        <v/>
      </c>
      <c r="N1589" s="26"/>
      <c r="O1589" s="26"/>
      <c r="P1589" s="27"/>
      <c r="Q1589" s="2">
        <f t="shared" si="239"/>
        <v>0</v>
      </c>
      <c r="S1589" s="7">
        <f t="shared" si="242"/>
        <v>0</v>
      </c>
      <c r="T1589" s="157">
        <f t="shared" si="243"/>
        <v>0</v>
      </c>
      <c r="V1589" s="191">
        <f t="shared" si="240"/>
        <v>1</v>
      </c>
      <c r="W1589" s="7">
        <f t="shared" si="241"/>
        <v>1900</v>
      </c>
    </row>
    <row r="1590" spans="2:23" ht="31.95" customHeight="1" thickBot="1" x14ac:dyDescent="0.35">
      <c r="B1590" s="26"/>
      <c r="C1590" s="51" t="str">
        <f t="shared" si="244"/>
        <v/>
      </c>
      <c r="D1590" s="27"/>
      <c r="E1590" s="26"/>
      <c r="F1590" s="26"/>
      <c r="G1590" s="26"/>
      <c r="H1590" s="254"/>
      <c r="I1590" s="49"/>
      <c r="J1590" s="49"/>
      <c r="K1590" s="52" t="str">
        <f t="shared" si="245"/>
        <v/>
      </c>
      <c r="L1590" s="209" t="str">
        <f t="shared" si="246"/>
        <v/>
      </c>
      <c r="M1590" s="210" t="str">
        <f t="shared" si="247"/>
        <v/>
      </c>
      <c r="N1590" s="26"/>
      <c r="O1590" s="26"/>
      <c r="P1590" s="27"/>
      <c r="Q1590" s="2">
        <f t="shared" si="239"/>
        <v>0</v>
      </c>
      <c r="S1590" s="7">
        <f t="shared" si="242"/>
        <v>0</v>
      </c>
      <c r="T1590" s="157">
        <f t="shared" si="243"/>
        <v>0</v>
      </c>
      <c r="V1590" s="191">
        <f t="shared" si="240"/>
        <v>1</v>
      </c>
      <c r="W1590" s="7">
        <f t="shared" si="241"/>
        <v>1900</v>
      </c>
    </row>
    <row r="1591" spans="2:23" ht="31.95" customHeight="1" thickBot="1" x14ac:dyDescent="0.35">
      <c r="B1591" s="26"/>
      <c r="C1591" s="51" t="str">
        <f t="shared" si="244"/>
        <v/>
      </c>
      <c r="D1591" s="27"/>
      <c r="E1591" s="26"/>
      <c r="F1591" s="26"/>
      <c r="G1591" s="26"/>
      <c r="H1591" s="254"/>
      <c r="I1591" s="49"/>
      <c r="J1591" s="49"/>
      <c r="K1591" s="52" t="str">
        <f t="shared" si="245"/>
        <v/>
      </c>
      <c r="L1591" s="209" t="str">
        <f t="shared" si="246"/>
        <v/>
      </c>
      <c r="M1591" s="210" t="str">
        <f t="shared" si="247"/>
        <v/>
      </c>
      <c r="N1591" s="26"/>
      <c r="O1591" s="26"/>
      <c r="P1591" s="27"/>
      <c r="Q1591" s="2">
        <f t="shared" si="239"/>
        <v>0</v>
      </c>
      <c r="S1591" s="7">
        <f t="shared" si="242"/>
        <v>0</v>
      </c>
      <c r="T1591" s="157">
        <f t="shared" si="243"/>
        <v>0</v>
      </c>
      <c r="V1591" s="191">
        <f t="shared" si="240"/>
        <v>1</v>
      </c>
      <c r="W1591" s="7">
        <f t="shared" si="241"/>
        <v>1900</v>
      </c>
    </row>
    <row r="1592" spans="2:23" ht="31.95" customHeight="1" thickBot="1" x14ac:dyDescent="0.35">
      <c r="B1592" s="26"/>
      <c r="C1592" s="51" t="str">
        <f t="shared" si="244"/>
        <v/>
      </c>
      <c r="D1592" s="27"/>
      <c r="E1592" s="26"/>
      <c r="F1592" s="26"/>
      <c r="G1592" s="26"/>
      <c r="H1592" s="254"/>
      <c r="I1592" s="49"/>
      <c r="J1592" s="49"/>
      <c r="K1592" s="52" t="str">
        <f t="shared" si="245"/>
        <v/>
      </c>
      <c r="L1592" s="209" t="str">
        <f t="shared" si="246"/>
        <v/>
      </c>
      <c r="M1592" s="210" t="str">
        <f t="shared" si="247"/>
        <v/>
      </c>
      <c r="N1592" s="26"/>
      <c r="O1592" s="26"/>
      <c r="P1592" s="27"/>
      <c r="Q1592" s="2">
        <f t="shared" si="239"/>
        <v>0</v>
      </c>
      <c r="S1592" s="7">
        <f t="shared" si="242"/>
        <v>0</v>
      </c>
      <c r="T1592" s="157">
        <f t="shared" si="243"/>
        <v>0</v>
      </c>
      <c r="V1592" s="191">
        <f t="shared" si="240"/>
        <v>1</v>
      </c>
      <c r="W1592" s="7">
        <f t="shared" si="241"/>
        <v>1900</v>
      </c>
    </row>
    <row r="1593" spans="2:23" ht="31.95" customHeight="1" thickBot="1" x14ac:dyDescent="0.35">
      <c r="B1593" s="26"/>
      <c r="C1593" s="51" t="str">
        <f t="shared" si="244"/>
        <v/>
      </c>
      <c r="D1593" s="27"/>
      <c r="E1593" s="26"/>
      <c r="F1593" s="26"/>
      <c r="G1593" s="26"/>
      <c r="H1593" s="254"/>
      <c r="I1593" s="49"/>
      <c r="J1593" s="49"/>
      <c r="K1593" s="52" t="str">
        <f t="shared" si="245"/>
        <v/>
      </c>
      <c r="L1593" s="209" t="str">
        <f t="shared" si="246"/>
        <v/>
      </c>
      <c r="M1593" s="210" t="str">
        <f t="shared" si="247"/>
        <v/>
      </c>
      <c r="N1593" s="26"/>
      <c r="O1593" s="26"/>
      <c r="P1593" s="27"/>
      <c r="Q1593" s="2">
        <f t="shared" si="239"/>
        <v>0</v>
      </c>
      <c r="S1593" s="7">
        <f t="shared" si="242"/>
        <v>0</v>
      </c>
      <c r="T1593" s="157">
        <f t="shared" si="243"/>
        <v>0</v>
      </c>
      <c r="V1593" s="191">
        <f t="shared" si="240"/>
        <v>1</v>
      </c>
      <c r="W1593" s="7">
        <f t="shared" si="241"/>
        <v>1900</v>
      </c>
    </row>
    <row r="1594" spans="2:23" ht="31.95" customHeight="1" thickBot="1" x14ac:dyDescent="0.35">
      <c r="B1594" s="26"/>
      <c r="C1594" s="51" t="str">
        <f t="shared" si="244"/>
        <v/>
      </c>
      <c r="D1594" s="27"/>
      <c r="E1594" s="26"/>
      <c r="F1594" s="26"/>
      <c r="G1594" s="26"/>
      <c r="H1594" s="254"/>
      <c r="I1594" s="49"/>
      <c r="J1594" s="49"/>
      <c r="K1594" s="52" t="str">
        <f t="shared" si="245"/>
        <v/>
      </c>
      <c r="L1594" s="209" t="str">
        <f t="shared" si="246"/>
        <v/>
      </c>
      <c r="M1594" s="210" t="str">
        <f t="shared" si="247"/>
        <v/>
      </c>
      <c r="N1594" s="26"/>
      <c r="O1594" s="26"/>
      <c r="P1594" s="27"/>
      <c r="Q1594" s="2">
        <f t="shared" si="239"/>
        <v>0</v>
      </c>
      <c r="S1594" s="7">
        <f t="shared" si="242"/>
        <v>0</v>
      </c>
      <c r="T1594" s="157">
        <f t="shared" si="243"/>
        <v>0</v>
      </c>
      <c r="V1594" s="191">
        <f t="shared" si="240"/>
        <v>1</v>
      </c>
      <c r="W1594" s="7">
        <f t="shared" si="241"/>
        <v>1900</v>
      </c>
    </row>
    <row r="1595" spans="2:23" ht="31.95" customHeight="1" thickBot="1" x14ac:dyDescent="0.35">
      <c r="B1595" s="26"/>
      <c r="C1595" s="51" t="str">
        <f t="shared" si="244"/>
        <v/>
      </c>
      <c r="D1595" s="27"/>
      <c r="E1595" s="26"/>
      <c r="F1595" s="26"/>
      <c r="G1595" s="26"/>
      <c r="H1595" s="254"/>
      <c r="I1595" s="49"/>
      <c r="J1595" s="49"/>
      <c r="K1595" s="52" t="str">
        <f t="shared" si="245"/>
        <v/>
      </c>
      <c r="L1595" s="209" t="str">
        <f t="shared" si="246"/>
        <v/>
      </c>
      <c r="M1595" s="210" t="str">
        <f t="shared" si="247"/>
        <v/>
      </c>
      <c r="N1595" s="26"/>
      <c r="O1595" s="26"/>
      <c r="P1595" s="27"/>
      <c r="Q1595" s="2">
        <f t="shared" si="239"/>
        <v>0</v>
      </c>
      <c r="S1595" s="7">
        <f t="shared" si="242"/>
        <v>0</v>
      </c>
      <c r="T1595" s="157">
        <f t="shared" si="243"/>
        <v>0</v>
      </c>
      <c r="V1595" s="191">
        <f t="shared" si="240"/>
        <v>1</v>
      </c>
      <c r="W1595" s="7">
        <f t="shared" si="241"/>
        <v>1900</v>
      </c>
    </row>
    <row r="1596" spans="2:23" ht="31.95" customHeight="1" thickBot="1" x14ac:dyDescent="0.35">
      <c r="B1596" s="26"/>
      <c r="C1596" s="51" t="str">
        <f t="shared" si="244"/>
        <v/>
      </c>
      <c r="D1596" s="27"/>
      <c r="E1596" s="26"/>
      <c r="F1596" s="26"/>
      <c r="G1596" s="26"/>
      <c r="H1596" s="254"/>
      <c r="I1596" s="49"/>
      <c r="J1596" s="49"/>
      <c r="K1596" s="52" t="str">
        <f t="shared" si="245"/>
        <v/>
      </c>
      <c r="L1596" s="209" t="str">
        <f t="shared" si="246"/>
        <v/>
      </c>
      <c r="M1596" s="210" t="str">
        <f t="shared" si="247"/>
        <v/>
      </c>
      <c r="N1596" s="26"/>
      <c r="O1596" s="26"/>
      <c r="P1596" s="27"/>
      <c r="Q1596" s="2">
        <f t="shared" si="239"/>
        <v>0</v>
      </c>
      <c r="S1596" s="7">
        <f t="shared" si="242"/>
        <v>0</v>
      </c>
      <c r="T1596" s="157">
        <f t="shared" si="243"/>
        <v>0</v>
      </c>
      <c r="V1596" s="191">
        <f t="shared" si="240"/>
        <v>1</v>
      </c>
      <c r="W1596" s="7">
        <f t="shared" si="241"/>
        <v>1900</v>
      </c>
    </row>
    <row r="1597" spans="2:23" ht="31.95" customHeight="1" thickBot="1" x14ac:dyDescent="0.35">
      <c r="B1597" s="26"/>
      <c r="C1597" s="51" t="str">
        <f t="shared" si="244"/>
        <v/>
      </c>
      <c r="D1597" s="27"/>
      <c r="E1597" s="26"/>
      <c r="F1597" s="26"/>
      <c r="G1597" s="26"/>
      <c r="H1597" s="254"/>
      <c r="I1597" s="49"/>
      <c r="J1597" s="49"/>
      <c r="K1597" s="52" t="str">
        <f t="shared" si="245"/>
        <v/>
      </c>
      <c r="L1597" s="209" t="str">
        <f t="shared" si="246"/>
        <v/>
      </c>
      <c r="M1597" s="210" t="str">
        <f t="shared" si="247"/>
        <v/>
      </c>
      <c r="N1597" s="26"/>
      <c r="O1597" s="26"/>
      <c r="P1597" s="27"/>
      <c r="Q1597" s="2">
        <f t="shared" si="239"/>
        <v>0</v>
      </c>
      <c r="S1597" s="7">
        <f t="shared" si="242"/>
        <v>0</v>
      </c>
      <c r="T1597" s="157">
        <f t="shared" si="243"/>
        <v>0</v>
      </c>
      <c r="V1597" s="191">
        <f t="shared" si="240"/>
        <v>1</v>
      </c>
      <c r="W1597" s="7">
        <f t="shared" si="241"/>
        <v>1900</v>
      </c>
    </row>
    <row r="1598" spans="2:23" ht="31.95" customHeight="1" thickBot="1" x14ac:dyDescent="0.35">
      <c r="B1598" s="26"/>
      <c r="C1598" s="51" t="str">
        <f t="shared" si="244"/>
        <v/>
      </c>
      <c r="D1598" s="27"/>
      <c r="E1598" s="26"/>
      <c r="F1598" s="26"/>
      <c r="G1598" s="26"/>
      <c r="H1598" s="254"/>
      <c r="I1598" s="49"/>
      <c r="J1598" s="49"/>
      <c r="K1598" s="52" t="str">
        <f t="shared" si="245"/>
        <v/>
      </c>
      <c r="L1598" s="209" t="str">
        <f t="shared" si="246"/>
        <v/>
      </c>
      <c r="M1598" s="210" t="str">
        <f t="shared" si="247"/>
        <v/>
      </c>
      <c r="N1598" s="26"/>
      <c r="O1598" s="26"/>
      <c r="P1598" s="27"/>
      <c r="Q1598" s="2">
        <f t="shared" si="239"/>
        <v>0</v>
      </c>
      <c r="S1598" s="7">
        <f t="shared" si="242"/>
        <v>0</v>
      </c>
      <c r="T1598" s="157">
        <f t="shared" si="243"/>
        <v>0</v>
      </c>
      <c r="V1598" s="191">
        <f t="shared" si="240"/>
        <v>1</v>
      </c>
      <c r="W1598" s="7">
        <f t="shared" si="241"/>
        <v>1900</v>
      </c>
    </row>
    <row r="1599" spans="2:23" ht="31.95" customHeight="1" thickBot="1" x14ac:dyDescent="0.35">
      <c r="B1599" s="26"/>
      <c r="C1599" s="51" t="str">
        <f t="shared" si="244"/>
        <v/>
      </c>
      <c r="D1599" s="27"/>
      <c r="E1599" s="26"/>
      <c r="F1599" s="26"/>
      <c r="G1599" s="26"/>
      <c r="H1599" s="254"/>
      <c r="I1599" s="49"/>
      <c r="J1599" s="49"/>
      <c r="K1599" s="52" t="str">
        <f t="shared" si="245"/>
        <v/>
      </c>
      <c r="L1599" s="209" t="str">
        <f t="shared" si="246"/>
        <v/>
      </c>
      <c r="M1599" s="210" t="str">
        <f t="shared" si="247"/>
        <v/>
      </c>
      <c r="N1599" s="26"/>
      <c r="O1599" s="26"/>
      <c r="P1599" s="27"/>
      <c r="Q1599" s="2">
        <f t="shared" si="239"/>
        <v>0</v>
      </c>
      <c r="S1599" s="7">
        <f t="shared" si="242"/>
        <v>0</v>
      </c>
      <c r="T1599" s="157">
        <f t="shared" si="243"/>
        <v>0</v>
      </c>
      <c r="V1599" s="191">
        <f t="shared" si="240"/>
        <v>1</v>
      </c>
      <c r="W1599" s="7">
        <f t="shared" si="241"/>
        <v>1900</v>
      </c>
    </row>
    <row r="1600" spans="2:23" ht="31.95" customHeight="1" thickBot="1" x14ac:dyDescent="0.35">
      <c r="B1600" s="26"/>
      <c r="C1600" s="51" t="str">
        <f t="shared" si="244"/>
        <v/>
      </c>
      <c r="D1600" s="27"/>
      <c r="E1600" s="26"/>
      <c r="F1600" s="26"/>
      <c r="G1600" s="26"/>
      <c r="H1600" s="254"/>
      <c r="I1600" s="49"/>
      <c r="J1600" s="49"/>
      <c r="K1600" s="52" t="str">
        <f t="shared" si="245"/>
        <v/>
      </c>
      <c r="L1600" s="209" t="str">
        <f t="shared" si="246"/>
        <v/>
      </c>
      <c r="M1600" s="210" t="str">
        <f t="shared" si="247"/>
        <v/>
      </c>
      <c r="N1600" s="26"/>
      <c r="O1600" s="26"/>
      <c r="P1600" s="27"/>
      <c r="Q1600" s="2">
        <f t="shared" si="239"/>
        <v>0</v>
      </c>
      <c r="S1600" s="7">
        <f t="shared" si="242"/>
        <v>0</v>
      </c>
      <c r="T1600" s="157">
        <f t="shared" si="243"/>
        <v>0</v>
      </c>
      <c r="V1600" s="191">
        <f t="shared" si="240"/>
        <v>1</v>
      </c>
      <c r="W1600" s="7">
        <f t="shared" si="241"/>
        <v>1900</v>
      </c>
    </row>
    <row r="1601" spans="2:23" ht="31.95" customHeight="1" thickBot="1" x14ac:dyDescent="0.35">
      <c r="B1601" s="26"/>
      <c r="C1601" s="51" t="str">
        <f t="shared" si="244"/>
        <v/>
      </c>
      <c r="D1601" s="27"/>
      <c r="E1601" s="26"/>
      <c r="F1601" s="26"/>
      <c r="G1601" s="26"/>
      <c r="H1601" s="254"/>
      <c r="I1601" s="49"/>
      <c r="J1601" s="49"/>
      <c r="K1601" s="52" t="str">
        <f t="shared" si="245"/>
        <v/>
      </c>
      <c r="L1601" s="209" t="str">
        <f t="shared" si="246"/>
        <v/>
      </c>
      <c r="M1601" s="210" t="str">
        <f t="shared" si="247"/>
        <v/>
      </c>
      <c r="N1601" s="26"/>
      <c r="O1601" s="26"/>
      <c r="P1601" s="27"/>
      <c r="Q1601" s="2">
        <f t="shared" si="239"/>
        <v>0</v>
      </c>
      <c r="S1601" s="7">
        <f t="shared" si="242"/>
        <v>0</v>
      </c>
      <c r="T1601" s="157">
        <f t="shared" si="243"/>
        <v>0</v>
      </c>
      <c r="V1601" s="191">
        <f t="shared" si="240"/>
        <v>1</v>
      </c>
      <c r="W1601" s="7">
        <f t="shared" si="241"/>
        <v>1900</v>
      </c>
    </row>
    <row r="1602" spans="2:23" ht="31.95" customHeight="1" thickBot="1" x14ac:dyDescent="0.35">
      <c r="B1602" s="26"/>
      <c r="C1602" s="51" t="str">
        <f t="shared" si="244"/>
        <v/>
      </c>
      <c r="D1602" s="27"/>
      <c r="E1602" s="26"/>
      <c r="F1602" s="26"/>
      <c r="G1602" s="26"/>
      <c r="H1602" s="254"/>
      <c r="I1602" s="49"/>
      <c r="J1602" s="49"/>
      <c r="K1602" s="52" t="str">
        <f t="shared" si="245"/>
        <v/>
      </c>
      <c r="L1602" s="209" t="str">
        <f t="shared" si="246"/>
        <v/>
      </c>
      <c r="M1602" s="210" t="str">
        <f t="shared" si="247"/>
        <v/>
      </c>
      <c r="N1602" s="26"/>
      <c r="O1602" s="26"/>
      <c r="P1602" s="27"/>
      <c r="Q1602" s="2">
        <f t="shared" si="239"/>
        <v>0</v>
      </c>
      <c r="S1602" s="7">
        <f t="shared" si="242"/>
        <v>0</v>
      </c>
      <c r="T1602" s="157">
        <f t="shared" si="243"/>
        <v>0</v>
      </c>
      <c r="V1602" s="191">
        <f t="shared" si="240"/>
        <v>1</v>
      </c>
      <c r="W1602" s="7">
        <f t="shared" si="241"/>
        <v>1900</v>
      </c>
    </row>
    <row r="1603" spans="2:23" ht="31.95" customHeight="1" thickBot="1" x14ac:dyDescent="0.35">
      <c r="B1603" s="26"/>
      <c r="C1603" s="51" t="str">
        <f t="shared" si="244"/>
        <v/>
      </c>
      <c r="D1603" s="27"/>
      <c r="E1603" s="26"/>
      <c r="F1603" s="26"/>
      <c r="G1603" s="26"/>
      <c r="H1603" s="254"/>
      <c r="I1603" s="49"/>
      <c r="J1603" s="49"/>
      <c r="K1603" s="52" t="str">
        <f t="shared" si="245"/>
        <v/>
      </c>
      <c r="L1603" s="209" t="str">
        <f t="shared" si="246"/>
        <v/>
      </c>
      <c r="M1603" s="210" t="str">
        <f t="shared" si="247"/>
        <v/>
      </c>
      <c r="N1603" s="26"/>
      <c r="O1603" s="26"/>
      <c r="P1603" s="27"/>
      <c r="Q1603" s="2">
        <f t="shared" si="239"/>
        <v>0</v>
      </c>
      <c r="S1603" s="7">
        <f t="shared" si="242"/>
        <v>0</v>
      </c>
      <c r="T1603" s="157">
        <f t="shared" si="243"/>
        <v>0</v>
      </c>
      <c r="V1603" s="191">
        <f t="shared" si="240"/>
        <v>1</v>
      </c>
      <c r="W1603" s="7">
        <f t="shared" si="241"/>
        <v>1900</v>
      </c>
    </row>
    <row r="1604" spans="2:23" ht="31.95" customHeight="1" thickBot="1" x14ac:dyDescent="0.35">
      <c r="B1604" s="26"/>
      <c r="C1604" s="51" t="str">
        <f t="shared" si="244"/>
        <v/>
      </c>
      <c r="D1604" s="27"/>
      <c r="E1604" s="26"/>
      <c r="F1604" s="26"/>
      <c r="G1604" s="26"/>
      <c r="H1604" s="254"/>
      <c r="I1604" s="49"/>
      <c r="J1604" s="49"/>
      <c r="K1604" s="52" t="str">
        <f t="shared" si="245"/>
        <v/>
      </c>
      <c r="L1604" s="209" t="str">
        <f t="shared" si="246"/>
        <v/>
      </c>
      <c r="M1604" s="210" t="str">
        <f t="shared" si="247"/>
        <v/>
      </c>
      <c r="N1604" s="26"/>
      <c r="O1604" s="26"/>
      <c r="P1604" s="27"/>
      <c r="Q1604" s="2">
        <f t="shared" si="239"/>
        <v>0</v>
      </c>
      <c r="S1604" s="7">
        <f t="shared" si="242"/>
        <v>0</v>
      </c>
      <c r="T1604" s="157">
        <f t="shared" si="243"/>
        <v>0</v>
      </c>
      <c r="V1604" s="191">
        <f t="shared" si="240"/>
        <v>1</v>
      </c>
      <c r="W1604" s="7">
        <f t="shared" si="241"/>
        <v>1900</v>
      </c>
    </row>
    <row r="1605" spans="2:23" ht="31.95" customHeight="1" thickBot="1" x14ac:dyDescent="0.35">
      <c r="B1605" s="26"/>
      <c r="C1605" s="51" t="str">
        <f t="shared" si="244"/>
        <v/>
      </c>
      <c r="D1605" s="27"/>
      <c r="E1605" s="26"/>
      <c r="F1605" s="26"/>
      <c r="G1605" s="26"/>
      <c r="H1605" s="254"/>
      <c r="I1605" s="49"/>
      <c r="J1605" s="49"/>
      <c r="K1605" s="52" t="str">
        <f t="shared" si="245"/>
        <v/>
      </c>
      <c r="L1605" s="209" t="str">
        <f t="shared" si="246"/>
        <v/>
      </c>
      <c r="M1605" s="210" t="str">
        <f t="shared" si="247"/>
        <v/>
      </c>
      <c r="N1605" s="26"/>
      <c r="O1605" s="26"/>
      <c r="P1605" s="27"/>
      <c r="Q1605" s="2">
        <f t="shared" ref="Q1605:Q1668" si="248">IF(B1605&lt;&gt;"",1,0)</f>
        <v>0</v>
      </c>
      <c r="S1605" s="7">
        <f t="shared" si="242"/>
        <v>0</v>
      </c>
      <c r="T1605" s="157">
        <f t="shared" si="243"/>
        <v>0</v>
      </c>
      <c r="V1605" s="191">
        <f t="shared" ref="V1605:V1668" si="249">MONTH(B1605)</f>
        <v>1</v>
      </c>
      <c r="W1605" s="7">
        <f t="shared" ref="W1605:W1668" si="250">YEAR(B1605)</f>
        <v>1900</v>
      </c>
    </row>
    <row r="1606" spans="2:23" ht="31.95" customHeight="1" thickBot="1" x14ac:dyDescent="0.35">
      <c r="B1606" s="26"/>
      <c r="C1606" s="51" t="str">
        <f t="shared" si="244"/>
        <v/>
      </c>
      <c r="D1606" s="27"/>
      <c r="E1606" s="26"/>
      <c r="F1606" s="26"/>
      <c r="G1606" s="26"/>
      <c r="H1606" s="254"/>
      <c r="I1606" s="49"/>
      <c r="J1606" s="49"/>
      <c r="K1606" s="52" t="str">
        <f t="shared" si="245"/>
        <v/>
      </c>
      <c r="L1606" s="209" t="str">
        <f t="shared" si="246"/>
        <v/>
      </c>
      <c r="M1606" s="210" t="str">
        <f t="shared" si="247"/>
        <v/>
      </c>
      <c r="N1606" s="26"/>
      <c r="O1606" s="26"/>
      <c r="P1606" s="27"/>
      <c r="Q1606" s="2">
        <f t="shared" si="248"/>
        <v>0</v>
      </c>
      <c r="S1606" s="7">
        <f t="shared" ref="S1606:S1669" si="251">IF(AND(O1606&lt;=N1606,O1606&lt;&gt;""),1,0)</f>
        <v>0</v>
      </c>
      <c r="T1606" s="157">
        <f t="shared" ref="T1606:T1669" si="252">IF(AND(P1606&lt;=N1606,P1606&lt;&gt;""),1,0)</f>
        <v>0</v>
      </c>
      <c r="V1606" s="191">
        <f t="shared" si="249"/>
        <v>1</v>
      </c>
      <c r="W1606" s="7">
        <f t="shared" si="250"/>
        <v>1900</v>
      </c>
    </row>
    <row r="1607" spans="2:23" ht="31.95" customHeight="1" thickBot="1" x14ac:dyDescent="0.35">
      <c r="B1607" s="26"/>
      <c r="C1607" s="51" t="str">
        <f t="shared" ref="C1607:C1670" si="253">IF(B1607&lt;&gt;"",C1606+1,"")</f>
        <v/>
      </c>
      <c r="D1607" s="27"/>
      <c r="E1607" s="26"/>
      <c r="F1607" s="26"/>
      <c r="G1607" s="26"/>
      <c r="H1607" s="254"/>
      <c r="I1607" s="49"/>
      <c r="J1607" s="49"/>
      <c r="K1607" s="52" t="str">
        <f t="shared" si="245"/>
        <v/>
      </c>
      <c r="L1607" s="209" t="str">
        <f t="shared" si="246"/>
        <v/>
      </c>
      <c r="M1607" s="210" t="str">
        <f t="shared" si="247"/>
        <v/>
      </c>
      <c r="N1607" s="26"/>
      <c r="O1607" s="26"/>
      <c r="P1607" s="27"/>
      <c r="Q1607" s="2">
        <f t="shared" si="248"/>
        <v>0</v>
      </c>
      <c r="S1607" s="7">
        <f t="shared" si="251"/>
        <v>0</v>
      </c>
      <c r="T1607" s="157">
        <f t="shared" si="252"/>
        <v>0</v>
      </c>
      <c r="V1607" s="191">
        <f t="shared" si="249"/>
        <v>1</v>
      </c>
      <c r="W1607" s="7">
        <f t="shared" si="250"/>
        <v>1900</v>
      </c>
    </row>
    <row r="1608" spans="2:23" ht="31.95" customHeight="1" thickBot="1" x14ac:dyDescent="0.35">
      <c r="B1608" s="26"/>
      <c r="C1608" s="51" t="str">
        <f t="shared" si="253"/>
        <v/>
      </c>
      <c r="D1608" s="27"/>
      <c r="E1608" s="26"/>
      <c r="F1608" s="26"/>
      <c r="G1608" s="26"/>
      <c r="H1608" s="254"/>
      <c r="I1608" s="49"/>
      <c r="J1608" s="49"/>
      <c r="K1608" s="52" t="str">
        <f t="shared" si="245"/>
        <v/>
      </c>
      <c r="L1608" s="209" t="str">
        <f t="shared" si="246"/>
        <v/>
      </c>
      <c r="M1608" s="210" t="str">
        <f t="shared" si="247"/>
        <v/>
      </c>
      <c r="N1608" s="26"/>
      <c r="O1608" s="26"/>
      <c r="P1608" s="27"/>
      <c r="Q1608" s="2">
        <f t="shared" si="248"/>
        <v>0</v>
      </c>
      <c r="S1608" s="7">
        <f t="shared" si="251"/>
        <v>0</v>
      </c>
      <c r="T1608" s="157">
        <f t="shared" si="252"/>
        <v>0</v>
      </c>
      <c r="V1608" s="191">
        <f t="shared" si="249"/>
        <v>1</v>
      </c>
      <c r="W1608" s="7">
        <f t="shared" si="250"/>
        <v>1900</v>
      </c>
    </row>
    <row r="1609" spans="2:23" ht="31.95" customHeight="1" thickBot="1" x14ac:dyDescent="0.35">
      <c r="B1609" s="26"/>
      <c r="C1609" s="51" t="str">
        <f t="shared" si="253"/>
        <v/>
      </c>
      <c r="D1609" s="27"/>
      <c r="E1609" s="26"/>
      <c r="F1609" s="26"/>
      <c r="G1609" s="26"/>
      <c r="H1609" s="254"/>
      <c r="I1609" s="49"/>
      <c r="J1609" s="49"/>
      <c r="K1609" s="52" t="str">
        <f t="shared" si="245"/>
        <v/>
      </c>
      <c r="L1609" s="209" t="str">
        <f t="shared" si="246"/>
        <v/>
      </c>
      <c r="M1609" s="210" t="str">
        <f t="shared" si="247"/>
        <v/>
      </c>
      <c r="N1609" s="26"/>
      <c r="O1609" s="26"/>
      <c r="P1609" s="27"/>
      <c r="Q1609" s="2">
        <f t="shared" si="248"/>
        <v>0</v>
      </c>
      <c r="S1609" s="7">
        <f t="shared" si="251"/>
        <v>0</v>
      </c>
      <c r="T1609" s="157">
        <f t="shared" si="252"/>
        <v>0</v>
      </c>
      <c r="V1609" s="191">
        <f t="shared" si="249"/>
        <v>1</v>
      </c>
      <c r="W1609" s="7">
        <f t="shared" si="250"/>
        <v>1900</v>
      </c>
    </row>
    <row r="1610" spans="2:23" ht="31.95" customHeight="1" thickBot="1" x14ac:dyDescent="0.35">
      <c r="B1610" s="26"/>
      <c r="C1610" s="51" t="str">
        <f t="shared" si="253"/>
        <v/>
      </c>
      <c r="D1610" s="27"/>
      <c r="E1610" s="26"/>
      <c r="F1610" s="26"/>
      <c r="G1610" s="26"/>
      <c r="H1610" s="254"/>
      <c r="I1610" s="49"/>
      <c r="J1610" s="49"/>
      <c r="K1610" s="52" t="str">
        <f t="shared" si="245"/>
        <v/>
      </c>
      <c r="L1610" s="209" t="str">
        <f t="shared" si="246"/>
        <v/>
      </c>
      <c r="M1610" s="210" t="str">
        <f t="shared" si="247"/>
        <v/>
      </c>
      <c r="N1610" s="26"/>
      <c r="O1610" s="26"/>
      <c r="P1610" s="27"/>
      <c r="Q1610" s="2">
        <f t="shared" si="248"/>
        <v>0</v>
      </c>
      <c r="S1610" s="7">
        <f t="shared" si="251"/>
        <v>0</v>
      </c>
      <c r="T1610" s="157">
        <f t="shared" si="252"/>
        <v>0</v>
      </c>
      <c r="V1610" s="191">
        <f t="shared" si="249"/>
        <v>1</v>
      </c>
      <c r="W1610" s="7">
        <f t="shared" si="250"/>
        <v>1900</v>
      </c>
    </row>
    <row r="1611" spans="2:23" ht="31.95" customHeight="1" thickBot="1" x14ac:dyDescent="0.35">
      <c r="B1611" s="26"/>
      <c r="C1611" s="51" t="str">
        <f t="shared" si="253"/>
        <v/>
      </c>
      <c r="D1611" s="27"/>
      <c r="E1611" s="26"/>
      <c r="F1611" s="26"/>
      <c r="G1611" s="26"/>
      <c r="H1611" s="254"/>
      <c r="I1611" s="49"/>
      <c r="J1611" s="49"/>
      <c r="K1611" s="52" t="str">
        <f t="shared" si="245"/>
        <v/>
      </c>
      <c r="L1611" s="209" t="str">
        <f t="shared" si="246"/>
        <v/>
      </c>
      <c r="M1611" s="210" t="str">
        <f t="shared" si="247"/>
        <v/>
      </c>
      <c r="N1611" s="26"/>
      <c r="O1611" s="26"/>
      <c r="P1611" s="27"/>
      <c r="Q1611" s="2">
        <f t="shared" si="248"/>
        <v>0</v>
      </c>
      <c r="S1611" s="7">
        <f t="shared" si="251"/>
        <v>0</v>
      </c>
      <c r="T1611" s="157">
        <f t="shared" si="252"/>
        <v>0</v>
      </c>
      <c r="V1611" s="191">
        <f t="shared" si="249"/>
        <v>1</v>
      </c>
      <c r="W1611" s="7">
        <f t="shared" si="250"/>
        <v>1900</v>
      </c>
    </row>
    <row r="1612" spans="2:23" ht="31.95" customHeight="1" thickBot="1" x14ac:dyDescent="0.35">
      <c r="B1612" s="26"/>
      <c r="C1612" s="51" t="str">
        <f t="shared" si="253"/>
        <v/>
      </c>
      <c r="D1612" s="27"/>
      <c r="E1612" s="26"/>
      <c r="F1612" s="26"/>
      <c r="G1612" s="26"/>
      <c r="H1612" s="254"/>
      <c r="I1612" s="49"/>
      <c r="J1612" s="49"/>
      <c r="K1612" s="52" t="str">
        <f t="shared" si="245"/>
        <v/>
      </c>
      <c r="L1612" s="209" t="str">
        <f t="shared" si="246"/>
        <v/>
      </c>
      <c r="M1612" s="210" t="str">
        <f t="shared" si="247"/>
        <v/>
      </c>
      <c r="N1612" s="26"/>
      <c r="O1612" s="26"/>
      <c r="P1612" s="27"/>
      <c r="Q1612" s="2">
        <f t="shared" si="248"/>
        <v>0</v>
      </c>
      <c r="S1612" s="7">
        <f t="shared" si="251"/>
        <v>0</v>
      </c>
      <c r="T1612" s="157">
        <f t="shared" si="252"/>
        <v>0</v>
      </c>
      <c r="V1612" s="191">
        <f t="shared" si="249"/>
        <v>1</v>
      </c>
      <c r="W1612" s="7">
        <f t="shared" si="250"/>
        <v>1900</v>
      </c>
    </row>
    <row r="1613" spans="2:23" ht="31.95" customHeight="1" thickBot="1" x14ac:dyDescent="0.35">
      <c r="B1613" s="26"/>
      <c r="C1613" s="51" t="str">
        <f t="shared" si="253"/>
        <v/>
      </c>
      <c r="D1613" s="27"/>
      <c r="E1613" s="26"/>
      <c r="F1613" s="26"/>
      <c r="G1613" s="26"/>
      <c r="H1613" s="254"/>
      <c r="I1613" s="49"/>
      <c r="J1613" s="49"/>
      <c r="K1613" s="52" t="str">
        <f t="shared" si="245"/>
        <v/>
      </c>
      <c r="L1613" s="209" t="str">
        <f t="shared" si="246"/>
        <v/>
      </c>
      <c r="M1613" s="210" t="str">
        <f t="shared" si="247"/>
        <v/>
      </c>
      <c r="N1613" s="26"/>
      <c r="O1613" s="26"/>
      <c r="P1613" s="27"/>
      <c r="Q1613" s="2">
        <f t="shared" si="248"/>
        <v>0</v>
      </c>
      <c r="S1613" s="7">
        <f t="shared" si="251"/>
        <v>0</v>
      </c>
      <c r="T1613" s="157">
        <f t="shared" si="252"/>
        <v>0</v>
      </c>
      <c r="V1613" s="191">
        <f t="shared" si="249"/>
        <v>1</v>
      </c>
      <c r="W1613" s="7">
        <f t="shared" si="250"/>
        <v>1900</v>
      </c>
    </row>
    <row r="1614" spans="2:23" ht="31.95" customHeight="1" thickBot="1" x14ac:dyDescent="0.35">
      <c r="B1614" s="26"/>
      <c r="C1614" s="51" t="str">
        <f t="shared" si="253"/>
        <v/>
      </c>
      <c r="D1614" s="27"/>
      <c r="E1614" s="26"/>
      <c r="F1614" s="26"/>
      <c r="G1614" s="26"/>
      <c r="H1614" s="254"/>
      <c r="I1614" s="49"/>
      <c r="J1614" s="49"/>
      <c r="K1614" s="52" t="str">
        <f t="shared" si="245"/>
        <v/>
      </c>
      <c r="L1614" s="209" t="str">
        <f t="shared" si="246"/>
        <v/>
      </c>
      <c r="M1614" s="210" t="str">
        <f t="shared" si="247"/>
        <v/>
      </c>
      <c r="N1614" s="26"/>
      <c r="O1614" s="26"/>
      <c r="P1614" s="27"/>
      <c r="Q1614" s="2">
        <f t="shared" si="248"/>
        <v>0</v>
      </c>
      <c r="S1614" s="7">
        <f t="shared" si="251"/>
        <v>0</v>
      </c>
      <c r="T1614" s="157">
        <f t="shared" si="252"/>
        <v>0</v>
      </c>
      <c r="V1614" s="191">
        <f t="shared" si="249"/>
        <v>1</v>
      </c>
      <c r="W1614" s="7">
        <f t="shared" si="250"/>
        <v>1900</v>
      </c>
    </row>
    <row r="1615" spans="2:23" ht="31.95" customHeight="1" thickBot="1" x14ac:dyDescent="0.35">
      <c r="B1615" s="26"/>
      <c r="C1615" s="51" t="str">
        <f t="shared" si="253"/>
        <v/>
      </c>
      <c r="D1615" s="27"/>
      <c r="E1615" s="26"/>
      <c r="F1615" s="26"/>
      <c r="G1615" s="26"/>
      <c r="H1615" s="254"/>
      <c r="I1615" s="49"/>
      <c r="J1615" s="49"/>
      <c r="K1615" s="52" t="str">
        <f t="shared" si="245"/>
        <v/>
      </c>
      <c r="L1615" s="209" t="str">
        <f t="shared" si="246"/>
        <v/>
      </c>
      <c r="M1615" s="210" t="str">
        <f t="shared" si="247"/>
        <v/>
      </c>
      <c r="N1615" s="26"/>
      <c r="O1615" s="26"/>
      <c r="P1615" s="27"/>
      <c r="Q1615" s="2">
        <f t="shared" si="248"/>
        <v>0</v>
      </c>
      <c r="S1615" s="7">
        <f t="shared" si="251"/>
        <v>0</v>
      </c>
      <c r="T1615" s="157">
        <f t="shared" si="252"/>
        <v>0</v>
      </c>
      <c r="V1615" s="191">
        <f t="shared" si="249"/>
        <v>1</v>
      </c>
      <c r="W1615" s="7">
        <f t="shared" si="250"/>
        <v>1900</v>
      </c>
    </row>
    <row r="1616" spans="2:23" ht="31.95" customHeight="1" thickBot="1" x14ac:dyDescent="0.35">
      <c r="B1616" s="26"/>
      <c r="C1616" s="51" t="str">
        <f t="shared" si="253"/>
        <v/>
      </c>
      <c r="D1616" s="27"/>
      <c r="E1616" s="26"/>
      <c r="F1616" s="26"/>
      <c r="G1616" s="26"/>
      <c r="H1616" s="254"/>
      <c r="I1616" s="49"/>
      <c r="J1616" s="49"/>
      <c r="K1616" s="52" t="str">
        <f t="shared" si="245"/>
        <v/>
      </c>
      <c r="L1616" s="209" t="str">
        <f t="shared" si="246"/>
        <v/>
      </c>
      <c r="M1616" s="210" t="str">
        <f t="shared" si="247"/>
        <v/>
      </c>
      <c r="N1616" s="26"/>
      <c r="O1616" s="26"/>
      <c r="P1616" s="27"/>
      <c r="Q1616" s="2">
        <f t="shared" si="248"/>
        <v>0</v>
      </c>
      <c r="S1616" s="7">
        <f t="shared" si="251"/>
        <v>0</v>
      </c>
      <c r="T1616" s="157">
        <f t="shared" si="252"/>
        <v>0</v>
      </c>
      <c r="V1616" s="191">
        <f t="shared" si="249"/>
        <v>1</v>
      </c>
      <c r="W1616" s="7">
        <f t="shared" si="250"/>
        <v>1900</v>
      </c>
    </row>
    <row r="1617" spans="2:23" ht="31.95" customHeight="1" thickBot="1" x14ac:dyDescent="0.35">
      <c r="B1617" s="26"/>
      <c r="C1617" s="51" t="str">
        <f t="shared" si="253"/>
        <v/>
      </c>
      <c r="D1617" s="27"/>
      <c r="E1617" s="26"/>
      <c r="F1617" s="26"/>
      <c r="G1617" s="26"/>
      <c r="H1617" s="254"/>
      <c r="I1617" s="49"/>
      <c r="J1617" s="49"/>
      <c r="K1617" s="52" t="str">
        <f t="shared" si="245"/>
        <v/>
      </c>
      <c r="L1617" s="209" t="str">
        <f t="shared" si="246"/>
        <v/>
      </c>
      <c r="M1617" s="210" t="str">
        <f t="shared" si="247"/>
        <v/>
      </c>
      <c r="N1617" s="26"/>
      <c r="O1617" s="26"/>
      <c r="P1617" s="27"/>
      <c r="Q1617" s="2">
        <f t="shared" si="248"/>
        <v>0</v>
      </c>
      <c r="S1617" s="7">
        <f t="shared" si="251"/>
        <v>0</v>
      </c>
      <c r="T1617" s="157">
        <f t="shared" si="252"/>
        <v>0</v>
      </c>
      <c r="V1617" s="191">
        <f t="shared" si="249"/>
        <v>1</v>
      </c>
      <c r="W1617" s="7">
        <f t="shared" si="250"/>
        <v>1900</v>
      </c>
    </row>
    <row r="1618" spans="2:23" ht="31.95" customHeight="1" thickBot="1" x14ac:dyDescent="0.35">
      <c r="B1618" s="26"/>
      <c r="C1618" s="51" t="str">
        <f t="shared" si="253"/>
        <v/>
      </c>
      <c r="D1618" s="27"/>
      <c r="E1618" s="26"/>
      <c r="F1618" s="26"/>
      <c r="G1618" s="26"/>
      <c r="H1618" s="254"/>
      <c r="I1618" s="49"/>
      <c r="J1618" s="49"/>
      <c r="K1618" s="52" t="str">
        <f t="shared" si="245"/>
        <v/>
      </c>
      <c r="L1618" s="209" t="str">
        <f t="shared" si="246"/>
        <v/>
      </c>
      <c r="M1618" s="210" t="str">
        <f t="shared" si="247"/>
        <v/>
      </c>
      <c r="N1618" s="26"/>
      <c r="O1618" s="26"/>
      <c r="P1618" s="27"/>
      <c r="Q1618" s="2">
        <f t="shared" si="248"/>
        <v>0</v>
      </c>
      <c r="S1618" s="7">
        <f t="shared" si="251"/>
        <v>0</v>
      </c>
      <c r="T1618" s="157">
        <f t="shared" si="252"/>
        <v>0</v>
      </c>
      <c r="V1618" s="191">
        <f t="shared" si="249"/>
        <v>1</v>
      </c>
      <c r="W1618" s="7">
        <f t="shared" si="250"/>
        <v>1900</v>
      </c>
    </row>
    <row r="1619" spans="2:23" ht="31.95" customHeight="1" thickBot="1" x14ac:dyDescent="0.35">
      <c r="B1619" s="26"/>
      <c r="C1619" s="51" t="str">
        <f t="shared" si="253"/>
        <v/>
      </c>
      <c r="D1619" s="27"/>
      <c r="E1619" s="26"/>
      <c r="F1619" s="26"/>
      <c r="G1619" s="26"/>
      <c r="H1619" s="254"/>
      <c r="I1619" s="49"/>
      <c r="J1619" s="49"/>
      <c r="K1619" s="52" t="str">
        <f t="shared" si="245"/>
        <v/>
      </c>
      <c r="L1619" s="209" t="str">
        <f t="shared" si="246"/>
        <v/>
      </c>
      <c r="M1619" s="210" t="str">
        <f t="shared" si="247"/>
        <v/>
      </c>
      <c r="N1619" s="26"/>
      <c r="O1619" s="26"/>
      <c r="P1619" s="27"/>
      <c r="Q1619" s="2">
        <f t="shared" si="248"/>
        <v>0</v>
      </c>
      <c r="S1619" s="7">
        <f t="shared" si="251"/>
        <v>0</v>
      </c>
      <c r="T1619" s="157">
        <f t="shared" si="252"/>
        <v>0</v>
      </c>
      <c r="V1619" s="191">
        <f t="shared" si="249"/>
        <v>1</v>
      </c>
      <c r="W1619" s="7">
        <f t="shared" si="250"/>
        <v>1900</v>
      </c>
    </row>
    <row r="1620" spans="2:23" ht="31.95" customHeight="1" thickBot="1" x14ac:dyDescent="0.35">
      <c r="B1620" s="26"/>
      <c r="C1620" s="51" t="str">
        <f t="shared" si="253"/>
        <v/>
      </c>
      <c r="D1620" s="27"/>
      <c r="E1620" s="26"/>
      <c r="F1620" s="26"/>
      <c r="G1620" s="26"/>
      <c r="H1620" s="254"/>
      <c r="I1620" s="49"/>
      <c r="J1620" s="49"/>
      <c r="K1620" s="52" t="str">
        <f t="shared" si="245"/>
        <v/>
      </c>
      <c r="L1620" s="209" t="str">
        <f t="shared" si="246"/>
        <v/>
      </c>
      <c r="M1620" s="210" t="str">
        <f t="shared" si="247"/>
        <v/>
      </c>
      <c r="N1620" s="26"/>
      <c r="O1620" s="26"/>
      <c r="P1620" s="27"/>
      <c r="Q1620" s="2">
        <f t="shared" si="248"/>
        <v>0</v>
      </c>
      <c r="S1620" s="7">
        <f t="shared" si="251"/>
        <v>0</v>
      </c>
      <c r="T1620" s="157">
        <f t="shared" si="252"/>
        <v>0</v>
      </c>
      <c r="V1620" s="191">
        <f t="shared" si="249"/>
        <v>1</v>
      </c>
      <c r="W1620" s="7">
        <f t="shared" si="250"/>
        <v>1900</v>
      </c>
    </row>
    <row r="1621" spans="2:23" ht="31.95" customHeight="1" thickBot="1" x14ac:dyDescent="0.35">
      <c r="B1621" s="26"/>
      <c r="C1621" s="51" t="str">
        <f t="shared" si="253"/>
        <v/>
      </c>
      <c r="D1621" s="27"/>
      <c r="E1621" s="26"/>
      <c r="F1621" s="26"/>
      <c r="G1621" s="26"/>
      <c r="H1621" s="254"/>
      <c r="I1621" s="49"/>
      <c r="J1621" s="49"/>
      <c r="K1621" s="52" t="str">
        <f t="shared" si="245"/>
        <v/>
      </c>
      <c r="L1621" s="209" t="str">
        <f t="shared" si="246"/>
        <v/>
      </c>
      <c r="M1621" s="210" t="str">
        <f t="shared" si="247"/>
        <v/>
      </c>
      <c r="N1621" s="26"/>
      <c r="O1621" s="26"/>
      <c r="P1621" s="27"/>
      <c r="Q1621" s="2">
        <f t="shared" si="248"/>
        <v>0</v>
      </c>
      <c r="S1621" s="7">
        <f t="shared" si="251"/>
        <v>0</v>
      </c>
      <c r="T1621" s="157">
        <f t="shared" si="252"/>
        <v>0</v>
      </c>
      <c r="V1621" s="191">
        <f t="shared" si="249"/>
        <v>1</v>
      </c>
      <c r="W1621" s="7">
        <f t="shared" si="250"/>
        <v>1900</v>
      </c>
    </row>
    <row r="1622" spans="2:23" ht="31.95" customHeight="1" thickBot="1" x14ac:dyDescent="0.35">
      <c r="B1622" s="26"/>
      <c r="C1622" s="51" t="str">
        <f t="shared" si="253"/>
        <v/>
      </c>
      <c r="D1622" s="27"/>
      <c r="E1622" s="26"/>
      <c r="F1622" s="26"/>
      <c r="G1622" s="26"/>
      <c r="H1622" s="254"/>
      <c r="I1622" s="49"/>
      <c r="J1622" s="49"/>
      <c r="K1622" s="52" t="str">
        <f t="shared" si="245"/>
        <v/>
      </c>
      <c r="L1622" s="209" t="str">
        <f t="shared" si="246"/>
        <v/>
      </c>
      <c r="M1622" s="210" t="str">
        <f t="shared" si="247"/>
        <v/>
      </c>
      <c r="N1622" s="26"/>
      <c r="O1622" s="26"/>
      <c r="P1622" s="27"/>
      <c r="Q1622" s="2">
        <f t="shared" si="248"/>
        <v>0</v>
      </c>
      <c r="S1622" s="7">
        <f t="shared" si="251"/>
        <v>0</v>
      </c>
      <c r="T1622" s="157">
        <f t="shared" si="252"/>
        <v>0</v>
      </c>
      <c r="V1622" s="191">
        <f t="shared" si="249"/>
        <v>1</v>
      </c>
      <c r="W1622" s="7">
        <f t="shared" si="250"/>
        <v>1900</v>
      </c>
    </row>
    <row r="1623" spans="2:23" ht="31.95" customHeight="1" thickBot="1" x14ac:dyDescent="0.35">
      <c r="B1623" s="26"/>
      <c r="C1623" s="51" t="str">
        <f t="shared" si="253"/>
        <v/>
      </c>
      <c r="D1623" s="27"/>
      <c r="E1623" s="26"/>
      <c r="F1623" s="26"/>
      <c r="G1623" s="26"/>
      <c r="H1623" s="254"/>
      <c r="I1623" s="49"/>
      <c r="J1623" s="49"/>
      <c r="K1623" s="52" t="str">
        <f t="shared" si="245"/>
        <v/>
      </c>
      <c r="L1623" s="209" t="str">
        <f t="shared" si="246"/>
        <v/>
      </c>
      <c r="M1623" s="210" t="str">
        <f t="shared" si="247"/>
        <v/>
      </c>
      <c r="N1623" s="26"/>
      <c r="O1623" s="26"/>
      <c r="P1623" s="27"/>
      <c r="Q1623" s="2">
        <f t="shared" si="248"/>
        <v>0</v>
      </c>
      <c r="S1623" s="7">
        <f t="shared" si="251"/>
        <v>0</v>
      </c>
      <c r="T1623" s="157">
        <f t="shared" si="252"/>
        <v>0</v>
      </c>
      <c r="V1623" s="191">
        <f t="shared" si="249"/>
        <v>1</v>
      </c>
      <c r="W1623" s="7">
        <f t="shared" si="250"/>
        <v>1900</v>
      </c>
    </row>
    <row r="1624" spans="2:23" ht="31.95" customHeight="1" thickBot="1" x14ac:dyDescent="0.35">
      <c r="B1624" s="26"/>
      <c r="C1624" s="51" t="str">
        <f t="shared" si="253"/>
        <v/>
      </c>
      <c r="D1624" s="27"/>
      <c r="E1624" s="26"/>
      <c r="F1624" s="26"/>
      <c r="G1624" s="26"/>
      <c r="H1624" s="254"/>
      <c r="I1624" s="49"/>
      <c r="J1624" s="49"/>
      <c r="K1624" s="52" t="str">
        <f t="shared" si="245"/>
        <v/>
      </c>
      <c r="L1624" s="209" t="str">
        <f t="shared" si="246"/>
        <v/>
      </c>
      <c r="M1624" s="210" t="str">
        <f t="shared" si="247"/>
        <v/>
      </c>
      <c r="N1624" s="26"/>
      <c r="O1624" s="26"/>
      <c r="P1624" s="27"/>
      <c r="Q1624" s="2">
        <f t="shared" si="248"/>
        <v>0</v>
      </c>
      <c r="S1624" s="7">
        <f t="shared" si="251"/>
        <v>0</v>
      </c>
      <c r="T1624" s="157">
        <f t="shared" si="252"/>
        <v>0</v>
      </c>
      <c r="V1624" s="191">
        <f t="shared" si="249"/>
        <v>1</v>
      </c>
      <c r="W1624" s="7">
        <f t="shared" si="250"/>
        <v>1900</v>
      </c>
    </row>
    <row r="1625" spans="2:23" ht="31.95" customHeight="1" thickBot="1" x14ac:dyDescent="0.35">
      <c r="B1625" s="26"/>
      <c r="C1625" s="51" t="str">
        <f t="shared" si="253"/>
        <v/>
      </c>
      <c r="D1625" s="27"/>
      <c r="E1625" s="26"/>
      <c r="F1625" s="26"/>
      <c r="G1625" s="26"/>
      <c r="H1625" s="254"/>
      <c r="I1625" s="49"/>
      <c r="J1625" s="49"/>
      <c r="K1625" s="52" t="str">
        <f t="shared" si="245"/>
        <v/>
      </c>
      <c r="L1625" s="209" t="str">
        <f t="shared" si="246"/>
        <v/>
      </c>
      <c r="M1625" s="210" t="str">
        <f t="shared" si="247"/>
        <v/>
      </c>
      <c r="N1625" s="26"/>
      <c r="O1625" s="26"/>
      <c r="P1625" s="27"/>
      <c r="Q1625" s="2">
        <f t="shared" si="248"/>
        <v>0</v>
      </c>
      <c r="S1625" s="7">
        <f t="shared" si="251"/>
        <v>0</v>
      </c>
      <c r="T1625" s="157">
        <f t="shared" si="252"/>
        <v>0</v>
      </c>
      <c r="V1625" s="191">
        <f t="shared" si="249"/>
        <v>1</v>
      </c>
      <c r="W1625" s="7">
        <f t="shared" si="250"/>
        <v>1900</v>
      </c>
    </row>
    <row r="1626" spans="2:23" ht="31.95" customHeight="1" thickBot="1" x14ac:dyDescent="0.35">
      <c r="B1626" s="26"/>
      <c r="C1626" s="51" t="str">
        <f t="shared" si="253"/>
        <v/>
      </c>
      <c r="D1626" s="27"/>
      <c r="E1626" s="26"/>
      <c r="F1626" s="26"/>
      <c r="G1626" s="26"/>
      <c r="H1626" s="254"/>
      <c r="I1626" s="49"/>
      <c r="J1626" s="49"/>
      <c r="K1626" s="52" t="str">
        <f t="shared" si="245"/>
        <v/>
      </c>
      <c r="L1626" s="209" t="str">
        <f t="shared" si="246"/>
        <v/>
      </c>
      <c r="M1626" s="210" t="str">
        <f t="shared" si="247"/>
        <v/>
      </c>
      <c r="N1626" s="26"/>
      <c r="O1626" s="26"/>
      <c r="P1626" s="27"/>
      <c r="Q1626" s="2">
        <f t="shared" si="248"/>
        <v>0</v>
      </c>
      <c r="S1626" s="7">
        <f t="shared" si="251"/>
        <v>0</v>
      </c>
      <c r="T1626" s="157">
        <f t="shared" si="252"/>
        <v>0</v>
      </c>
      <c r="V1626" s="191">
        <f t="shared" si="249"/>
        <v>1</v>
      </c>
      <c r="W1626" s="7">
        <f t="shared" si="250"/>
        <v>1900</v>
      </c>
    </row>
    <row r="1627" spans="2:23" ht="31.95" customHeight="1" thickBot="1" x14ac:dyDescent="0.35">
      <c r="B1627" s="26"/>
      <c r="C1627" s="51" t="str">
        <f t="shared" si="253"/>
        <v/>
      </c>
      <c r="D1627" s="27"/>
      <c r="E1627" s="26"/>
      <c r="F1627" s="26"/>
      <c r="G1627" s="26"/>
      <c r="H1627" s="254"/>
      <c r="I1627" s="49"/>
      <c r="J1627" s="49"/>
      <c r="K1627" s="52" t="str">
        <f t="shared" si="245"/>
        <v/>
      </c>
      <c r="L1627" s="209" t="str">
        <f t="shared" si="246"/>
        <v/>
      </c>
      <c r="M1627" s="210" t="str">
        <f t="shared" si="247"/>
        <v/>
      </c>
      <c r="N1627" s="26"/>
      <c r="O1627" s="26"/>
      <c r="P1627" s="27"/>
      <c r="Q1627" s="2">
        <f t="shared" si="248"/>
        <v>0</v>
      </c>
      <c r="S1627" s="7">
        <f t="shared" si="251"/>
        <v>0</v>
      </c>
      <c r="T1627" s="157">
        <f t="shared" si="252"/>
        <v>0</v>
      </c>
      <c r="V1627" s="191">
        <f t="shared" si="249"/>
        <v>1</v>
      </c>
      <c r="W1627" s="7">
        <f t="shared" si="250"/>
        <v>1900</v>
      </c>
    </row>
    <row r="1628" spans="2:23" ht="31.95" customHeight="1" thickBot="1" x14ac:dyDescent="0.35">
      <c r="B1628" s="26"/>
      <c r="C1628" s="51" t="str">
        <f t="shared" si="253"/>
        <v/>
      </c>
      <c r="D1628" s="27"/>
      <c r="E1628" s="26"/>
      <c r="F1628" s="26"/>
      <c r="G1628" s="26"/>
      <c r="H1628" s="254"/>
      <c r="I1628" s="49"/>
      <c r="J1628" s="49"/>
      <c r="K1628" s="52" t="str">
        <f t="shared" si="245"/>
        <v/>
      </c>
      <c r="L1628" s="209" t="str">
        <f t="shared" si="246"/>
        <v/>
      </c>
      <c r="M1628" s="210" t="str">
        <f t="shared" si="247"/>
        <v/>
      </c>
      <c r="N1628" s="26"/>
      <c r="O1628" s="26"/>
      <c r="P1628" s="27"/>
      <c r="Q1628" s="2">
        <f t="shared" si="248"/>
        <v>0</v>
      </c>
      <c r="S1628" s="7">
        <f t="shared" si="251"/>
        <v>0</v>
      </c>
      <c r="T1628" s="157">
        <f t="shared" si="252"/>
        <v>0</v>
      </c>
      <c r="V1628" s="191">
        <f t="shared" si="249"/>
        <v>1</v>
      </c>
      <c r="W1628" s="7">
        <f t="shared" si="250"/>
        <v>1900</v>
      </c>
    </row>
    <row r="1629" spans="2:23" ht="31.95" customHeight="1" thickBot="1" x14ac:dyDescent="0.35">
      <c r="B1629" s="26"/>
      <c r="C1629" s="51" t="str">
        <f t="shared" si="253"/>
        <v/>
      </c>
      <c r="D1629" s="27"/>
      <c r="E1629" s="26"/>
      <c r="F1629" s="26"/>
      <c r="G1629" s="26"/>
      <c r="H1629" s="254"/>
      <c r="I1629" s="49"/>
      <c r="J1629" s="49"/>
      <c r="K1629" s="52" t="str">
        <f t="shared" si="245"/>
        <v/>
      </c>
      <c r="L1629" s="209" t="str">
        <f t="shared" si="246"/>
        <v/>
      </c>
      <c r="M1629" s="210" t="str">
        <f t="shared" si="247"/>
        <v/>
      </c>
      <c r="N1629" s="26"/>
      <c r="O1629" s="26"/>
      <c r="P1629" s="27"/>
      <c r="Q1629" s="2">
        <f t="shared" si="248"/>
        <v>0</v>
      </c>
      <c r="S1629" s="7">
        <f t="shared" si="251"/>
        <v>0</v>
      </c>
      <c r="T1629" s="157">
        <f t="shared" si="252"/>
        <v>0</v>
      </c>
      <c r="V1629" s="191">
        <f t="shared" si="249"/>
        <v>1</v>
      </c>
      <c r="W1629" s="7">
        <f t="shared" si="250"/>
        <v>1900</v>
      </c>
    </row>
    <row r="1630" spans="2:23" ht="31.95" customHeight="1" thickBot="1" x14ac:dyDescent="0.35">
      <c r="B1630" s="26"/>
      <c r="C1630" s="51" t="str">
        <f t="shared" si="253"/>
        <v/>
      </c>
      <c r="D1630" s="27"/>
      <c r="E1630" s="26"/>
      <c r="F1630" s="26"/>
      <c r="G1630" s="26"/>
      <c r="H1630" s="254"/>
      <c r="I1630" s="49"/>
      <c r="J1630" s="49"/>
      <c r="K1630" s="52" t="str">
        <f t="shared" si="245"/>
        <v/>
      </c>
      <c r="L1630" s="209" t="str">
        <f t="shared" si="246"/>
        <v/>
      </c>
      <c r="M1630" s="210" t="str">
        <f t="shared" si="247"/>
        <v/>
      </c>
      <c r="N1630" s="26"/>
      <c r="O1630" s="26"/>
      <c r="P1630" s="27"/>
      <c r="Q1630" s="2">
        <f t="shared" si="248"/>
        <v>0</v>
      </c>
      <c r="S1630" s="7">
        <f t="shared" si="251"/>
        <v>0</v>
      </c>
      <c r="T1630" s="157">
        <f t="shared" si="252"/>
        <v>0</v>
      </c>
      <c r="V1630" s="191">
        <f t="shared" si="249"/>
        <v>1</v>
      </c>
      <c r="W1630" s="7">
        <f t="shared" si="250"/>
        <v>1900</v>
      </c>
    </row>
    <row r="1631" spans="2:23" ht="31.95" customHeight="1" thickBot="1" x14ac:dyDescent="0.35">
      <c r="B1631" s="26"/>
      <c r="C1631" s="51" t="str">
        <f t="shared" si="253"/>
        <v/>
      </c>
      <c r="D1631" s="27"/>
      <c r="E1631" s="26"/>
      <c r="F1631" s="26"/>
      <c r="G1631" s="26"/>
      <c r="H1631" s="254"/>
      <c r="I1631" s="49"/>
      <c r="J1631" s="49"/>
      <c r="K1631" s="52" t="str">
        <f t="shared" si="245"/>
        <v/>
      </c>
      <c r="L1631" s="209" t="str">
        <f t="shared" si="246"/>
        <v/>
      </c>
      <c r="M1631" s="210" t="str">
        <f t="shared" si="247"/>
        <v/>
      </c>
      <c r="N1631" s="26"/>
      <c r="O1631" s="26"/>
      <c r="P1631" s="27"/>
      <c r="Q1631" s="2">
        <f t="shared" si="248"/>
        <v>0</v>
      </c>
      <c r="S1631" s="7">
        <f t="shared" si="251"/>
        <v>0</v>
      </c>
      <c r="T1631" s="157">
        <f t="shared" si="252"/>
        <v>0</v>
      </c>
      <c r="V1631" s="191">
        <f t="shared" si="249"/>
        <v>1</v>
      </c>
      <c r="W1631" s="7">
        <f t="shared" si="250"/>
        <v>1900</v>
      </c>
    </row>
    <row r="1632" spans="2:23" ht="31.95" customHeight="1" thickBot="1" x14ac:dyDescent="0.35">
      <c r="B1632" s="26"/>
      <c r="C1632" s="51" t="str">
        <f t="shared" si="253"/>
        <v/>
      </c>
      <c r="D1632" s="27"/>
      <c r="E1632" s="26"/>
      <c r="F1632" s="26"/>
      <c r="G1632" s="26"/>
      <c r="H1632" s="254"/>
      <c r="I1632" s="49"/>
      <c r="J1632" s="49"/>
      <c r="K1632" s="52" t="str">
        <f t="shared" si="245"/>
        <v/>
      </c>
      <c r="L1632" s="209" t="str">
        <f t="shared" si="246"/>
        <v/>
      </c>
      <c r="M1632" s="210" t="str">
        <f t="shared" si="247"/>
        <v/>
      </c>
      <c r="N1632" s="26"/>
      <c r="O1632" s="26"/>
      <c r="P1632" s="27"/>
      <c r="Q1632" s="2">
        <f t="shared" si="248"/>
        <v>0</v>
      </c>
      <c r="S1632" s="7">
        <f t="shared" si="251"/>
        <v>0</v>
      </c>
      <c r="T1632" s="157">
        <f t="shared" si="252"/>
        <v>0</v>
      </c>
      <c r="V1632" s="191">
        <f t="shared" si="249"/>
        <v>1</v>
      </c>
      <c r="W1632" s="7">
        <f t="shared" si="250"/>
        <v>1900</v>
      </c>
    </row>
    <row r="1633" spans="2:23" ht="31.95" customHeight="1" thickBot="1" x14ac:dyDescent="0.35">
      <c r="B1633" s="26"/>
      <c r="C1633" s="51" t="str">
        <f t="shared" si="253"/>
        <v/>
      </c>
      <c r="D1633" s="27"/>
      <c r="E1633" s="26"/>
      <c r="F1633" s="26"/>
      <c r="G1633" s="26"/>
      <c r="H1633" s="254"/>
      <c r="I1633" s="49"/>
      <c r="J1633" s="49"/>
      <c r="K1633" s="52" t="str">
        <f t="shared" si="245"/>
        <v/>
      </c>
      <c r="L1633" s="209" t="str">
        <f t="shared" si="246"/>
        <v/>
      </c>
      <c r="M1633" s="210" t="str">
        <f t="shared" si="247"/>
        <v/>
      </c>
      <c r="N1633" s="26"/>
      <c r="O1633" s="26"/>
      <c r="P1633" s="27"/>
      <c r="Q1633" s="2">
        <f t="shared" si="248"/>
        <v>0</v>
      </c>
      <c r="S1633" s="7">
        <f t="shared" si="251"/>
        <v>0</v>
      </c>
      <c r="T1633" s="157">
        <f t="shared" si="252"/>
        <v>0</v>
      </c>
      <c r="V1633" s="191">
        <f t="shared" si="249"/>
        <v>1</v>
      </c>
      <c r="W1633" s="7">
        <f t="shared" si="250"/>
        <v>1900</v>
      </c>
    </row>
    <row r="1634" spans="2:23" ht="31.95" customHeight="1" thickBot="1" x14ac:dyDescent="0.35">
      <c r="B1634" s="26"/>
      <c r="C1634" s="51" t="str">
        <f t="shared" si="253"/>
        <v/>
      </c>
      <c r="D1634" s="27"/>
      <c r="E1634" s="26"/>
      <c r="F1634" s="26"/>
      <c r="G1634" s="26"/>
      <c r="H1634" s="254"/>
      <c r="I1634" s="49"/>
      <c r="J1634" s="49"/>
      <c r="K1634" s="52" t="str">
        <f t="shared" si="245"/>
        <v/>
      </c>
      <c r="L1634" s="209" t="str">
        <f t="shared" si="246"/>
        <v/>
      </c>
      <c r="M1634" s="210" t="str">
        <f t="shared" si="247"/>
        <v/>
      </c>
      <c r="N1634" s="26"/>
      <c r="O1634" s="26"/>
      <c r="P1634" s="27"/>
      <c r="Q1634" s="2">
        <f t="shared" si="248"/>
        <v>0</v>
      </c>
      <c r="S1634" s="7">
        <f t="shared" si="251"/>
        <v>0</v>
      </c>
      <c r="T1634" s="157">
        <f t="shared" si="252"/>
        <v>0</v>
      </c>
      <c r="V1634" s="191">
        <f t="shared" si="249"/>
        <v>1</v>
      </c>
      <c r="W1634" s="7">
        <f t="shared" si="250"/>
        <v>1900</v>
      </c>
    </row>
    <row r="1635" spans="2:23" ht="31.95" customHeight="1" thickBot="1" x14ac:dyDescent="0.35">
      <c r="B1635" s="26"/>
      <c r="C1635" s="51" t="str">
        <f t="shared" si="253"/>
        <v/>
      </c>
      <c r="D1635" s="27"/>
      <c r="E1635" s="26"/>
      <c r="F1635" s="26"/>
      <c r="G1635" s="26"/>
      <c r="H1635" s="254"/>
      <c r="I1635" s="49"/>
      <c r="J1635" s="49"/>
      <c r="K1635" s="52" t="str">
        <f t="shared" si="245"/>
        <v/>
      </c>
      <c r="L1635" s="209" t="str">
        <f t="shared" si="246"/>
        <v/>
      </c>
      <c r="M1635" s="210" t="str">
        <f t="shared" si="247"/>
        <v/>
      </c>
      <c r="N1635" s="26"/>
      <c r="O1635" s="26"/>
      <c r="P1635" s="27"/>
      <c r="Q1635" s="2">
        <f t="shared" si="248"/>
        <v>0</v>
      </c>
      <c r="S1635" s="7">
        <f t="shared" si="251"/>
        <v>0</v>
      </c>
      <c r="T1635" s="157">
        <f t="shared" si="252"/>
        <v>0</v>
      </c>
      <c r="V1635" s="191">
        <f t="shared" si="249"/>
        <v>1</v>
      </c>
      <c r="W1635" s="7">
        <f t="shared" si="250"/>
        <v>1900</v>
      </c>
    </row>
    <row r="1636" spans="2:23" ht="31.95" customHeight="1" thickBot="1" x14ac:dyDescent="0.35">
      <c r="B1636" s="26"/>
      <c r="C1636" s="51" t="str">
        <f t="shared" si="253"/>
        <v/>
      </c>
      <c r="D1636" s="27"/>
      <c r="E1636" s="26"/>
      <c r="F1636" s="26"/>
      <c r="G1636" s="26"/>
      <c r="H1636" s="254"/>
      <c r="I1636" s="49"/>
      <c r="J1636" s="49"/>
      <c r="K1636" s="52" t="str">
        <f t="shared" si="245"/>
        <v/>
      </c>
      <c r="L1636" s="209" t="str">
        <f t="shared" si="246"/>
        <v/>
      </c>
      <c r="M1636" s="210" t="str">
        <f t="shared" si="247"/>
        <v/>
      </c>
      <c r="N1636" s="26"/>
      <c r="O1636" s="26"/>
      <c r="P1636" s="27"/>
      <c r="Q1636" s="2">
        <f t="shared" si="248"/>
        <v>0</v>
      </c>
      <c r="S1636" s="7">
        <f t="shared" si="251"/>
        <v>0</v>
      </c>
      <c r="T1636" s="157">
        <f t="shared" si="252"/>
        <v>0</v>
      </c>
      <c r="V1636" s="191">
        <f t="shared" si="249"/>
        <v>1</v>
      </c>
      <c r="W1636" s="7">
        <f t="shared" si="250"/>
        <v>1900</v>
      </c>
    </row>
    <row r="1637" spans="2:23" ht="31.95" customHeight="1" thickBot="1" x14ac:dyDescent="0.35">
      <c r="B1637" s="26"/>
      <c r="C1637" s="51" t="str">
        <f t="shared" si="253"/>
        <v/>
      </c>
      <c r="D1637" s="27"/>
      <c r="E1637" s="26"/>
      <c r="F1637" s="26"/>
      <c r="G1637" s="26"/>
      <c r="H1637" s="254"/>
      <c r="I1637" s="49"/>
      <c r="J1637" s="49"/>
      <c r="K1637" s="52" t="str">
        <f t="shared" si="245"/>
        <v/>
      </c>
      <c r="L1637" s="209" t="str">
        <f t="shared" si="246"/>
        <v/>
      </c>
      <c r="M1637" s="210" t="str">
        <f t="shared" si="247"/>
        <v/>
      </c>
      <c r="N1637" s="26"/>
      <c r="O1637" s="26"/>
      <c r="P1637" s="27"/>
      <c r="Q1637" s="2">
        <f t="shared" si="248"/>
        <v>0</v>
      </c>
      <c r="S1637" s="7">
        <f t="shared" si="251"/>
        <v>0</v>
      </c>
      <c r="T1637" s="157">
        <f t="shared" si="252"/>
        <v>0</v>
      </c>
      <c r="V1637" s="191">
        <f t="shared" si="249"/>
        <v>1</v>
      </c>
      <c r="W1637" s="7">
        <f t="shared" si="250"/>
        <v>1900</v>
      </c>
    </row>
    <row r="1638" spans="2:23" ht="31.95" customHeight="1" thickBot="1" x14ac:dyDescent="0.35">
      <c r="B1638" s="26"/>
      <c r="C1638" s="51" t="str">
        <f t="shared" si="253"/>
        <v/>
      </c>
      <c r="D1638" s="27"/>
      <c r="E1638" s="26"/>
      <c r="F1638" s="26"/>
      <c r="G1638" s="26"/>
      <c r="H1638" s="254"/>
      <c r="I1638" s="49"/>
      <c r="J1638" s="49"/>
      <c r="K1638" s="52" t="str">
        <f t="shared" si="245"/>
        <v/>
      </c>
      <c r="L1638" s="209" t="str">
        <f t="shared" si="246"/>
        <v/>
      </c>
      <c r="M1638" s="210" t="str">
        <f t="shared" si="247"/>
        <v/>
      </c>
      <c r="N1638" s="26"/>
      <c r="O1638" s="26"/>
      <c r="P1638" s="27"/>
      <c r="Q1638" s="2">
        <f t="shared" si="248"/>
        <v>0</v>
      </c>
      <c r="S1638" s="7">
        <f t="shared" si="251"/>
        <v>0</v>
      </c>
      <c r="T1638" s="157">
        <f t="shared" si="252"/>
        <v>0</v>
      </c>
      <c r="V1638" s="191">
        <f t="shared" si="249"/>
        <v>1</v>
      </c>
      <c r="W1638" s="7">
        <f t="shared" si="250"/>
        <v>1900</v>
      </c>
    </row>
    <row r="1639" spans="2:23" ht="31.95" customHeight="1" thickBot="1" x14ac:dyDescent="0.35">
      <c r="B1639" s="26"/>
      <c r="C1639" s="51" t="str">
        <f t="shared" si="253"/>
        <v/>
      </c>
      <c r="D1639" s="27"/>
      <c r="E1639" s="26"/>
      <c r="F1639" s="26"/>
      <c r="G1639" s="26"/>
      <c r="H1639" s="254"/>
      <c r="I1639" s="49"/>
      <c r="J1639" s="49"/>
      <c r="K1639" s="52" t="str">
        <f t="shared" si="245"/>
        <v/>
      </c>
      <c r="L1639" s="209" t="str">
        <f t="shared" si="246"/>
        <v/>
      </c>
      <c r="M1639" s="210" t="str">
        <f t="shared" si="247"/>
        <v/>
      </c>
      <c r="N1639" s="26"/>
      <c r="O1639" s="26"/>
      <c r="P1639" s="27"/>
      <c r="Q1639" s="2">
        <f t="shared" si="248"/>
        <v>0</v>
      </c>
      <c r="S1639" s="7">
        <f t="shared" si="251"/>
        <v>0</v>
      </c>
      <c r="T1639" s="157">
        <f t="shared" si="252"/>
        <v>0</v>
      </c>
      <c r="V1639" s="191">
        <f t="shared" si="249"/>
        <v>1</v>
      </c>
      <c r="W1639" s="7">
        <f t="shared" si="250"/>
        <v>1900</v>
      </c>
    </row>
    <row r="1640" spans="2:23" ht="31.95" customHeight="1" thickBot="1" x14ac:dyDescent="0.35">
      <c r="B1640" s="26"/>
      <c r="C1640" s="51" t="str">
        <f t="shared" si="253"/>
        <v/>
      </c>
      <c r="D1640" s="27"/>
      <c r="E1640" s="26"/>
      <c r="F1640" s="26"/>
      <c r="G1640" s="26"/>
      <c r="H1640" s="254"/>
      <c r="I1640" s="49"/>
      <c r="J1640" s="49"/>
      <c r="K1640" s="52" t="str">
        <f t="shared" si="245"/>
        <v/>
      </c>
      <c r="L1640" s="209" t="str">
        <f t="shared" si="246"/>
        <v/>
      </c>
      <c r="M1640" s="210" t="str">
        <f t="shared" si="247"/>
        <v/>
      </c>
      <c r="N1640" s="26"/>
      <c r="O1640" s="26"/>
      <c r="P1640" s="27"/>
      <c r="Q1640" s="2">
        <f t="shared" si="248"/>
        <v>0</v>
      </c>
      <c r="S1640" s="7">
        <f t="shared" si="251"/>
        <v>0</v>
      </c>
      <c r="T1640" s="157">
        <f t="shared" si="252"/>
        <v>0</v>
      </c>
      <c r="V1640" s="191">
        <f t="shared" si="249"/>
        <v>1</v>
      </c>
      <c r="W1640" s="7">
        <f t="shared" si="250"/>
        <v>1900</v>
      </c>
    </row>
    <row r="1641" spans="2:23" ht="31.95" customHeight="1" thickBot="1" x14ac:dyDescent="0.35">
      <c r="B1641" s="26"/>
      <c r="C1641" s="51" t="str">
        <f t="shared" si="253"/>
        <v/>
      </c>
      <c r="D1641" s="27"/>
      <c r="E1641" s="26"/>
      <c r="F1641" s="26"/>
      <c r="G1641" s="26"/>
      <c r="H1641" s="254"/>
      <c r="I1641" s="49"/>
      <c r="J1641" s="49"/>
      <c r="K1641" s="52" t="str">
        <f t="shared" si="245"/>
        <v/>
      </c>
      <c r="L1641" s="209" t="str">
        <f t="shared" si="246"/>
        <v/>
      </c>
      <c r="M1641" s="210" t="str">
        <f t="shared" si="247"/>
        <v/>
      </c>
      <c r="N1641" s="26"/>
      <c r="O1641" s="26"/>
      <c r="P1641" s="27"/>
      <c r="Q1641" s="2">
        <f t="shared" si="248"/>
        <v>0</v>
      </c>
      <c r="S1641" s="7">
        <f t="shared" si="251"/>
        <v>0</v>
      </c>
      <c r="T1641" s="157">
        <f t="shared" si="252"/>
        <v>0</v>
      </c>
      <c r="V1641" s="191">
        <f t="shared" si="249"/>
        <v>1</v>
      </c>
      <c r="W1641" s="7">
        <f t="shared" si="250"/>
        <v>1900</v>
      </c>
    </row>
    <row r="1642" spans="2:23" ht="31.95" customHeight="1" thickBot="1" x14ac:dyDescent="0.35">
      <c r="B1642" s="26"/>
      <c r="C1642" s="51" t="str">
        <f t="shared" si="253"/>
        <v/>
      </c>
      <c r="D1642" s="27"/>
      <c r="E1642" s="26"/>
      <c r="F1642" s="26"/>
      <c r="G1642" s="26"/>
      <c r="H1642" s="254"/>
      <c r="I1642" s="49"/>
      <c r="J1642" s="49"/>
      <c r="K1642" s="52" t="str">
        <f t="shared" si="245"/>
        <v/>
      </c>
      <c r="L1642" s="209" t="str">
        <f t="shared" si="246"/>
        <v/>
      </c>
      <c r="M1642" s="210" t="str">
        <f t="shared" si="247"/>
        <v/>
      </c>
      <c r="N1642" s="26"/>
      <c r="O1642" s="26"/>
      <c r="P1642" s="27"/>
      <c r="Q1642" s="2">
        <f t="shared" si="248"/>
        <v>0</v>
      </c>
      <c r="S1642" s="7">
        <f t="shared" si="251"/>
        <v>0</v>
      </c>
      <c r="T1642" s="157">
        <f t="shared" si="252"/>
        <v>0</v>
      </c>
      <c r="V1642" s="191">
        <f t="shared" si="249"/>
        <v>1</v>
      </c>
      <c r="W1642" s="7">
        <f t="shared" si="250"/>
        <v>1900</v>
      </c>
    </row>
    <row r="1643" spans="2:23" ht="31.95" customHeight="1" thickBot="1" x14ac:dyDescent="0.35">
      <c r="B1643" s="26"/>
      <c r="C1643" s="51" t="str">
        <f t="shared" si="253"/>
        <v/>
      </c>
      <c r="D1643" s="27"/>
      <c r="E1643" s="26"/>
      <c r="F1643" s="26"/>
      <c r="G1643" s="26"/>
      <c r="H1643" s="254"/>
      <c r="I1643" s="49"/>
      <c r="J1643" s="49"/>
      <c r="K1643" s="52" t="str">
        <f t="shared" si="245"/>
        <v/>
      </c>
      <c r="L1643" s="209" t="str">
        <f t="shared" si="246"/>
        <v/>
      </c>
      <c r="M1643" s="210" t="str">
        <f t="shared" si="247"/>
        <v/>
      </c>
      <c r="N1643" s="26"/>
      <c r="O1643" s="26"/>
      <c r="P1643" s="27"/>
      <c r="Q1643" s="2">
        <f t="shared" si="248"/>
        <v>0</v>
      </c>
      <c r="S1643" s="7">
        <f t="shared" si="251"/>
        <v>0</v>
      </c>
      <c r="T1643" s="157">
        <f t="shared" si="252"/>
        <v>0</v>
      </c>
      <c r="V1643" s="191">
        <f t="shared" si="249"/>
        <v>1</v>
      </c>
      <c r="W1643" s="7">
        <f t="shared" si="250"/>
        <v>1900</v>
      </c>
    </row>
    <row r="1644" spans="2:23" ht="31.95" customHeight="1" thickBot="1" x14ac:dyDescent="0.35">
      <c r="B1644" s="26"/>
      <c r="C1644" s="51" t="str">
        <f t="shared" si="253"/>
        <v/>
      </c>
      <c r="D1644" s="27"/>
      <c r="E1644" s="26"/>
      <c r="F1644" s="26"/>
      <c r="G1644" s="26"/>
      <c r="H1644" s="254"/>
      <c r="I1644" s="49"/>
      <c r="J1644" s="49"/>
      <c r="K1644" s="52" t="str">
        <f t="shared" si="245"/>
        <v/>
      </c>
      <c r="L1644" s="209" t="str">
        <f t="shared" si="246"/>
        <v/>
      </c>
      <c r="M1644" s="210" t="str">
        <f t="shared" si="247"/>
        <v/>
      </c>
      <c r="N1644" s="26"/>
      <c r="O1644" s="26"/>
      <c r="P1644" s="27"/>
      <c r="Q1644" s="2">
        <f t="shared" si="248"/>
        <v>0</v>
      </c>
      <c r="S1644" s="7">
        <f t="shared" si="251"/>
        <v>0</v>
      </c>
      <c r="T1644" s="157">
        <f t="shared" si="252"/>
        <v>0</v>
      </c>
      <c r="V1644" s="191">
        <f t="shared" si="249"/>
        <v>1</v>
      </c>
      <c r="W1644" s="7">
        <f t="shared" si="250"/>
        <v>1900</v>
      </c>
    </row>
    <row r="1645" spans="2:23" ht="31.95" customHeight="1" thickBot="1" x14ac:dyDescent="0.35">
      <c r="B1645" s="26"/>
      <c r="C1645" s="51" t="str">
        <f t="shared" si="253"/>
        <v/>
      </c>
      <c r="D1645" s="27"/>
      <c r="E1645" s="26"/>
      <c r="F1645" s="26"/>
      <c r="G1645" s="26"/>
      <c r="H1645" s="254"/>
      <c r="I1645" s="49"/>
      <c r="J1645" s="49"/>
      <c r="K1645" s="52" t="str">
        <f t="shared" ref="K1645:K1708" si="254">IFERROR(J1645/I1645,"")</f>
        <v/>
      </c>
      <c r="L1645" s="209" t="str">
        <f t="shared" ref="L1645:L1708" si="255">IF(I1645="","",I1645-J1645)</f>
        <v/>
      </c>
      <c r="M1645" s="210" t="str">
        <f t="shared" ref="M1645:M1708" si="256">IFERROR(1-K1645,"")</f>
        <v/>
      </c>
      <c r="N1645" s="26"/>
      <c r="O1645" s="26"/>
      <c r="P1645" s="27"/>
      <c r="Q1645" s="2">
        <f t="shared" si="248"/>
        <v>0</v>
      </c>
      <c r="S1645" s="7">
        <f t="shared" si="251"/>
        <v>0</v>
      </c>
      <c r="T1645" s="157">
        <f t="shared" si="252"/>
        <v>0</v>
      </c>
      <c r="V1645" s="191">
        <f t="shared" si="249"/>
        <v>1</v>
      </c>
      <c r="W1645" s="7">
        <f t="shared" si="250"/>
        <v>1900</v>
      </c>
    </row>
    <row r="1646" spans="2:23" ht="31.95" customHeight="1" thickBot="1" x14ac:dyDescent="0.35">
      <c r="B1646" s="26"/>
      <c r="C1646" s="51" t="str">
        <f t="shared" si="253"/>
        <v/>
      </c>
      <c r="D1646" s="27"/>
      <c r="E1646" s="26"/>
      <c r="F1646" s="26"/>
      <c r="G1646" s="26"/>
      <c r="H1646" s="254"/>
      <c r="I1646" s="49"/>
      <c r="J1646" s="49"/>
      <c r="K1646" s="52" t="str">
        <f t="shared" si="254"/>
        <v/>
      </c>
      <c r="L1646" s="209" t="str">
        <f t="shared" si="255"/>
        <v/>
      </c>
      <c r="M1646" s="210" t="str">
        <f t="shared" si="256"/>
        <v/>
      </c>
      <c r="N1646" s="26"/>
      <c r="O1646" s="26"/>
      <c r="P1646" s="27"/>
      <c r="Q1646" s="2">
        <f t="shared" si="248"/>
        <v>0</v>
      </c>
      <c r="S1646" s="7">
        <f t="shared" si="251"/>
        <v>0</v>
      </c>
      <c r="T1646" s="157">
        <f t="shared" si="252"/>
        <v>0</v>
      </c>
      <c r="V1646" s="191">
        <f t="shared" si="249"/>
        <v>1</v>
      </c>
      <c r="W1646" s="7">
        <f t="shared" si="250"/>
        <v>1900</v>
      </c>
    </row>
    <row r="1647" spans="2:23" ht="31.95" customHeight="1" thickBot="1" x14ac:dyDescent="0.35">
      <c r="B1647" s="26"/>
      <c r="C1647" s="51" t="str">
        <f t="shared" si="253"/>
        <v/>
      </c>
      <c r="D1647" s="27"/>
      <c r="E1647" s="26"/>
      <c r="F1647" s="26"/>
      <c r="G1647" s="26"/>
      <c r="H1647" s="254"/>
      <c r="I1647" s="49"/>
      <c r="J1647" s="49"/>
      <c r="K1647" s="52" t="str">
        <f t="shared" si="254"/>
        <v/>
      </c>
      <c r="L1647" s="209" t="str">
        <f t="shared" si="255"/>
        <v/>
      </c>
      <c r="M1647" s="210" t="str">
        <f t="shared" si="256"/>
        <v/>
      </c>
      <c r="N1647" s="26"/>
      <c r="O1647" s="26"/>
      <c r="P1647" s="27"/>
      <c r="Q1647" s="2">
        <f t="shared" si="248"/>
        <v>0</v>
      </c>
      <c r="S1647" s="7">
        <f t="shared" si="251"/>
        <v>0</v>
      </c>
      <c r="T1647" s="157">
        <f t="shared" si="252"/>
        <v>0</v>
      </c>
      <c r="V1647" s="191">
        <f t="shared" si="249"/>
        <v>1</v>
      </c>
      <c r="W1647" s="7">
        <f t="shared" si="250"/>
        <v>1900</v>
      </c>
    </row>
    <row r="1648" spans="2:23" ht="31.95" customHeight="1" thickBot="1" x14ac:dyDescent="0.35">
      <c r="B1648" s="26"/>
      <c r="C1648" s="51" t="str">
        <f t="shared" si="253"/>
        <v/>
      </c>
      <c r="D1648" s="27"/>
      <c r="E1648" s="26"/>
      <c r="F1648" s="26"/>
      <c r="G1648" s="26"/>
      <c r="H1648" s="254"/>
      <c r="I1648" s="49"/>
      <c r="J1648" s="49"/>
      <c r="K1648" s="52" t="str">
        <f t="shared" si="254"/>
        <v/>
      </c>
      <c r="L1648" s="209" t="str">
        <f t="shared" si="255"/>
        <v/>
      </c>
      <c r="M1648" s="210" t="str">
        <f t="shared" si="256"/>
        <v/>
      </c>
      <c r="N1648" s="26"/>
      <c r="O1648" s="26"/>
      <c r="P1648" s="27"/>
      <c r="Q1648" s="2">
        <f t="shared" si="248"/>
        <v>0</v>
      </c>
      <c r="S1648" s="7">
        <f t="shared" si="251"/>
        <v>0</v>
      </c>
      <c r="T1648" s="157">
        <f t="shared" si="252"/>
        <v>0</v>
      </c>
      <c r="V1648" s="191">
        <f t="shared" si="249"/>
        <v>1</v>
      </c>
      <c r="W1648" s="7">
        <f t="shared" si="250"/>
        <v>1900</v>
      </c>
    </row>
    <row r="1649" spans="2:23" ht="31.95" customHeight="1" thickBot="1" x14ac:dyDescent="0.35">
      <c r="B1649" s="26"/>
      <c r="C1649" s="51" t="str">
        <f t="shared" si="253"/>
        <v/>
      </c>
      <c r="D1649" s="27"/>
      <c r="E1649" s="26"/>
      <c r="F1649" s="26"/>
      <c r="G1649" s="26"/>
      <c r="H1649" s="254"/>
      <c r="I1649" s="49"/>
      <c r="J1649" s="49"/>
      <c r="K1649" s="52" t="str">
        <f t="shared" si="254"/>
        <v/>
      </c>
      <c r="L1649" s="209" t="str">
        <f t="shared" si="255"/>
        <v/>
      </c>
      <c r="M1649" s="210" t="str">
        <f t="shared" si="256"/>
        <v/>
      </c>
      <c r="N1649" s="26"/>
      <c r="O1649" s="26"/>
      <c r="P1649" s="27"/>
      <c r="Q1649" s="2">
        <f t="shared" si="248"/>
        <v>0</v>
      </c>
      <c r="S1649" s="7">
        <f t="shared" si="251"/>
        <v>0</v>
      </c>
      <c r="T1649" s="157">
        <f t="shared" si="252"/>
        <v>0</v>
      </c>
      <c r="V1649" s="191">
        <f t="shared" si="249"/>
        <v>1</v>
      </c>
      <c r="W1649" s="7">
        <f t="shared" si="250"/>
        <v>1900</v>
      </c>
    </row>
    <row r="1650" spans="2:23" ht="31.95" customHeight="1" thickBot="1" x14ac:dyDescent="0.35">
      <c r="B1650" s="26"/>
      <c r="C1650" s="51" t="str">
        <f t="shared" si="253"/>
        <v/>
      </c>
      <c r="D1650" s="27"/>
      <c r="E1650" s="26"/>
      <c r="F1650" s="26"/>
      <c r="G1650" s="26"/>
      <c r="H1650" s="254"/>
      <c r="I1650" s="49"/>
      <c r="J1650" s="49"/>
      <c r="K1650" s="52" t="str">
        <f t="shared" si="254"/>
        <v/>
      </c>
      <c r="L1650" s="209" t="str">
        <f t="shared" si="255"/>
        <v/>
      </c>
      <c r="M1650" s="210" t="str">
        <f t="shared" si="256"/>
        <v/>
      </c>
      <c r="N1650" s="26"/>
      <c r="O1650" s="26"/>
      <c r="P1650" s="27"/>
      <c r="Q1650" s="2">
        <f t="shared" si="248"/>
        <v>0</v>
      </c>
      <c r="S1650" s="7">
        <f t="shared" si="251"/>
        <v>0</v>
      </c>
      <c r="T1650" s="157">
        <f t="shared" si="252"/>
        <v>0</v>
      </c>
      <c r="V1650" s="191">
        <f t="shared" si="249"/>
        <v>1</v>
      </c>
      <c r="W1650" s="7">
        <f t="shared" si="250"/>
        <v>1900</v>
      </c>
    </row>
    <row r="1651" spans="2:23" ht="31.95" customHeight="1" thickBot="1" x14ac:dyDescent="0.35">
      <c r="B1651" s="26"/>
      <c r="C1651" s="51" t="str">
        <f t="shared" si="253"/>
        <v/>
      </c>
      <c r="D1651" s="27"/>
      <c r="E1651" s="26"/>
      <c r="F1651" s="26"/>
      <c r="G1651" s="26"/>
      <c r="H1651" s="254"/>
      <c r="I1651" s="49"/>
      <c r="J1651" s="49"/>
      <c r="K1651" s="52" t="str">
        <f t="shared" si="254"/>
        <v/>
      </c>
      <c r="L1651" s="209" t="str">
        <f t="shared" si="255"/>
        <v/>
      </c>
      <c r="M1651" s="210" t="str">
        <f t="shared" si="256"/>
        <v/>
      </c>
      <c r="N1651" s="26"/>
      <c r="O1651" s="26"/>
      <c r="P1651" s="27"/>
      <c r="Q1651" s="2">
        <f t="shared" si="248"/>
        <v>0</v>
      </c>
      <c r="S1651" s="7">
        <f t="shared" si="251"/>
        <v>0</v>
      </c>
      <c r="T1651" s="157">
        <f t="shared" si="252"/>
        <v>0</v>
      </c>
      <c r="V1651" s="191">
        <f t="shared" si="249"/>
        <v>1</v>
      </c>
      <c r="W1651" s="7">
        <f t="shared" si="250"/>
        <v>1900</v>
      </c>
    </row>
    <row r="1652" spans="2:23" ht="31.95" customHeight="1" thickBot="1" x14ac:dyDescent="0.35">
      <c r="B1652" s="26"/>
      <c r="C1652" s="51" t="str">
        <f t="shared" si="253"/>
        <v/>
      </c>
      <c r="D1652" s="27"/>
      <c r="E1652" s="26"/>
      <c r="F1652" s="26"/>
      <c r="G1652" s="26"/>
      <c r="H1652" s="254"/>
      <c r="I1652" s="49"/>
      <c r="J1652" s="49"/>
      <c r="K1652" s="52" t="str">
        <f t="shared" si="254"/>
        <v/>
      </c>
      <c r="L1652" s="209" t="str">
        <f t="shared" si="255"/>
        <v/>
      </c>
      <c r="M1652" s="210" t="str">
        <f t="shared" si="256"/>
        <v/>
      </c>
      <c r="N1652" s="26"/>
      <c r="O1652" s="26"/>
      <c r="P1652" s="27"/>
      <c r="Q1652" s="2">
        <f t="shared" si="248"/>
        <v>0</v>
      </c>
      <c r="S1652" s="7">
        <f t="shared" si="251"/>
        <v>0</v>
      </c>
      <c r="T1652" s="157">
        <f t="shared" si="252"/>
        <v>0</v>
      </c>
      <c r="V1652" s="191">
        <f t="shared" si="249"/>
        <v>1</v>
      </c>
      <c r="W1652" s="7">
        <f t="shared" si="250"/>
        <v>1900</v>
      </c>
    </row>
    <row r="1653" spans="2:23" ht="31.95" customHeight="1" thickBot="1" x14ac:dyDescent="0.35">
      <c r="B1653" s="26"/>
      <c r="C1653" s="51" t="str">
        <f t="shared" si="253"/>
        <v/>
      </c>
      <c r="D1653" s="27"/>
      <c r="E1653" s="26"/>
      <c r="F1653" s="26"/>
      <c r="G1653" s="26"/>
      <c r="H1653" s="254"/>
      <c r="I1653" s="49"/>
      <c r="J1653" s="49"/>
      <c r="K1653" s="52" t="str">
        <f t="shared" si="254"/>
        <v/>
      </c>
      <c r="L1653" s="209" t="str">
        <f t="shared" si="255"/>
        <v/>
      </c>
      <c r="M1653" s="210" t="str">
        <f t="shared" si="256"/>
        <v/>
      </c>
      <c r="N1653" s="26"/>
      <c r="O1653" s="26"/>
      <c r="P1653" s="27"/>
      <c r="Q1653" s="2">
        <f t="shared" si="248"/>
        <v>0</v>
      </c>
      <c r="S1653" s="7">
        <f t="shared" si="251"/>
        <v>0</v>
      </c>
      <c r="T1653" s="157">
        <f t="shared" si="252"/>
        <v>0</v>
      </c>
      <c r="V1653" s="191">
        <f t="shared" si="249"/>
        <v>1</v>
      </c>
      <c r="W1653" s="7">
        <f t="shared" si="250"/>
        <v>1900</v>
      </c>
    </row>
    <row r="1654" spans="2:23" ht="31.95" customHeight="1" thickBot="1" x14ac:dyDescent="0.35">
      <c r="B1654" s="26"/>
      <c r="C1654" s="51" t="str">
        <f t="shared" si="253"/>
        <v/>
      </c>
      <c r="D1654" s="27"/>
      <c r="E1654" s="26"/>
      <c r="F1654" s="26"/>
      <c r="G1654" s="26"/>
      <c r="H1654" s="254"/>
      <c r="I1654" s="49"/>
      <c r="J1654" s="49"/>
      <c r="K1654" s="52" t="str">
        <f t="shared" si="254"/>
        <v/>
      </c>
      <c r="L1654" s="209" t="str">
        <f t="shared" si="255"/>
        <v/>
      </c>
      <c r="M1654" s="210" t="str">
        <f t="shared" si="256"/>
        <v/>
      </c>
      <c r="N1654" s="26"/>
      <c r="O1654" s="26"/>
      <c r="P1654" s="27"/>
      <c r="Q1654" s="2">
        <f t="shared" si="248"/>
        <v>0</v>
      </c>
      <c r="S1654" s="7">
        <f t="shared" si="251"/>
        <v>0</v>
      </c>
      <c r="T1654" s="157">
        <f t="shared" si="252"/>
        <v>0</v>
      </c>
      <c r="V1654" s="191">
        <f t="shared" si="249"/>
        <v>1</v>
      </c>
      <c r="W1654" s="7">
        <f t="shared" si="250"/>
        <v>1900</v>
      </c>
    </row>
    <row r="1655" spans="2:23" ht="31.95" customHeight="1" thickBot="1" x14ac:dyDescent="0.35">
      <c r="B1655" s="26"/>
      <c r="C1655" s="51" t="str">
        <f t="shared" si="253"/>
        <v/>
      </c>
      <c r="D1655" s="27"/>
      <c r="E1655" s="26"/>
      <c r="F1655" s="26"/>
      <c r="G1655" s="26"/>
      <c r="H1655" s="254"/>
      <c r="I1655" s="49"/>
      <c r="J1655" s="49"/>
      <c r="K1655" s="52" t="str">
        <f t="shared" si="254"/>
        <v/>
      </c>
      <c r="L1655" s="209" t="str">
        <f t="shared" si="255"/>
        <v/>
      </c>
      <c r="M1655" s="210" t="str">
        <f t="shared" si="256"/>
        <v/>
      </c>
      <c r="N1655" s="26"/>
      <c r="O1655" s="26"/>
      <c r="P1655" s="27"/>
      <c r="Q1655" s="2">
        <f t="shared" si="248"/>
        <v>0</v>
      </c>
      <c r="S1655" s="7">
        <f t="shared" si="251"/>
        <v>0</v>
      </c>
      <c r="T1655" s="157">
        <f t="shared" si="252"/>
        <v>0</v>
      </c>
      <c r="V1655" s="191">
        <f t="shared" si="249"/>
        <v>1</v>
      </c>
      <c r="W1655" s="7">
        <f t="shared" si="250"/>
        <v>1900</v>
      </c>
    </row>
    <row r="1656" spans="2:23" ht="31.95" customHeight="1" thickBot="1" x14ac:dyDescent="0.35">
      <c r="B1656" s="26"/>
      <c r="C1656" s="51" t="str">
        <f t="shared" si="253"/>
        <v/>
      </c>
      <c r="D1656" s="27"/>
      <c r="E1656" s="26"/>
      <c r="F1656" s="26"/>
      <c r="G1656" s="26"/>
      <c r="H1656" s="254"/>
      <c r="I1656" s="49"/>
      <c r="J1656" s="49"/>
      <c r="K1656" s="52" t="str">
        <f t="shared" si="254"/>
        <v/>
      </c>
      <c r="L1656" s="209" t="str">
        <f t="shared" si="255"/>
        <v/>
      </c>
      <c r="M1656" s="210" t="str">
        <f t="shared" si="256"/>
        <v/>
      </c>
      <c r="N1656" s="26"/>
      <c r="O1656" s="26"/>
      <c r="P1656" s="27"/>
      <c r="Q1656" s="2">
        <f t="shared" si="248"/>
        <v>0</v>
      </c>
      <c r="S1656" s="7">
        <f t="shared" si="251"/>
        <v>0</v>
      </c>
      <c r="T1656" s="157">
        <f t="shared" si="252"/>
        <v>0</v>
      </c>
      <c r="V1656" s="191">
        <f t="shared" si="249"/>
        <v>1</v>
      </c>
      <c r="W1656" s="7">
        <f t="shared" si="250"/>
        <v>1900</v>
      </c>
    </row>
    <row r="1657" spans="2:23" ht="31.95" customHeight="1" thickBot="1" x14ac:dyDescent="0.35">
      <c r="B1657" s="26"/>
      <c r="C1657" s="51" t="str">
        <f t="shared" si="253"/>
        <v/>
      </c>
      <c r="D1657" s="27"/>
      <c r="E1657" s="26"/>
      <c r="F1657" s="26"/>
      <c r="G1657" s="26"/>
      <c r="H1657" s="254"/>
      <c r="I1657" s="49"/>
      <c r="J1657" s="49"/>
      <c r="K1657" s="52" t="str">
        <f t="shared" si="254"/>
        <v/>
      </c>
      <c r="L1657" s="209" t="str">
        <f t="shared" si="255"/>
        <v/>
      </c>
      <c r="M1657" s="210" t="str">
        <f t="shared" si="256"/>
        <v/>
      </c>
      <c r="N1657" s="26"/>
      <c r="O1657" s="26"/>
      <c r="P1657" s="27"/>
      <c r="Q1657" s="2">
        <f t="shared" si="248"/>
        <v>0</v>
      </c>
      <c r="S1657" s="7">
        <f t="shared" si="251"/>
        <v>0</v>
      </c>
      <c r="T1657" s="157">
        <f t="shared" si="252"/>
        <v>0</v>
      </c>
      <c r="V1657" s="191">
        <f t="shared" si="249"/>
        <v>1</v>
      </c>
      <c r="W1657" s="7">
        <f t="shared" si="250"/>
        <v>1900</v>
      </c>
    </row>
    <row r="1658" spans="2:23" ht="31.95" customHeight="1" thickBot="1" x14ac:dyDescent="0.35">
      <c r="B1658" s="26"/>
      <c r="C1658" s="51" t="str">
        <f t="shared" si="253"/>
        <v/>
      </c>
      <c r="D1658" s="27"/>
      <c r="E1658" s="26"/>
      <c r="F1658" s="26"/>
      <c r="G1658" s="26"/>
      <c r="H1658" s="254"/>
      <c r="I1658" s="49"/>
      <c r="J1658" s="49"/>
      <c r="K1658" s="52" t="str">
        <f t="shared" si="254"/>
        <v/>
      </c>
      <c r="L1658" s="209" t="str">
        <f t="shared" si="255"/>
        <v/>
      </c>
      <c r="M1658" s="210" t="str">
        <f t="shared" si="256"/>
        <v/>
      </c>
      <c r="N1658" s="26"/>
      <c r="O1658" s="26"/>
      <c r="P1658" s="27"/>
      <c r="Q1658" s="2">
        <f t="shared" si="248"/>
        <v>0</v>
      </c>
      <c r="S1658" s="7">
        <f t="shared" si="251"/>
        <v>0</v>
      </c>
      <c r="T1658" s="157">
        <f t="shared" si="252"/>
        <v>0</v>
      </c>
      <c r="V1658" s="191">
        <f t="shared" si="249"/>
        <v>1</v>
      </c>
      <c r="W1658" s="7">
        <f t="shared" si="250"/>
        <v>1900</v>
      </c>
    </row>
    <row r="1659" spans="2:23" ht="31.95" customHeight="1" thickBot="1" x14ac:dyDescent="0.35">
      <c r="B1659" s="26"/>
      <c r="C1659" s="51" t="str">
        <f t="shared" si="253"/>
        <v/>
      </c>
      <c r="D1659" s="27"/>
      <c r="E1659" s="26"/>
      <c r="F1659" s="26"/>
      <c r="G1659" s="26"/>
      <c r="H1659" s="254"/>
      <c r="I1659" s="49"/>
      <c r="J1659" s="49"/>
      <c r="K1659" s="52" t="str">
        <f t="shared" si="254"/>
        <v/>
      </c>
      <c r="L1659" s="209" t="str">
        <f t="shared" si="255"/>
        <v/>
      </c>
      <c r="M1659" s="210" t="str">
        <f t="shared" si="256"/>
        <v/>
      </c>
      <c r="N1659" s="26"/>
      <c r="O1659" s="26"/>
      <c r="P1659" s="27"/>
      <c r="Q1659" s="2">
        <f t="shared" si="248"/>
        <v>0</v>
      </c>
      <c r="S1659" s="7">
        <f t="shared" si="251"/>
        <v>0</v>
      </c>
      <c r="T1659" s="157">
        <f t="shared" si="252"/>
        <v>0</v>
      </c>
      <c r="V1659" s="191">
        <f t="shared" si="249"/>
        <v>1</v>
      </c>
      <c r="W1659" s="7">
        <f t="shared" si="250"/>
        <v>1900</v>
      </c>
    </row>
    <row r="1660" spans="2:23" ht="31.95" customHeight="1" thickBot="1" x14ac:dyDescent="0.35">
      <c r="B1660" s="26"/>
      <c r="C1660" s="51" t="str">
        <f t="shared" si="253"/>
        <v/>
      </c>
      <c r="D1660" s="27"/>
      <c r="E1660" s="26"/>
      <c r="F1660" s="26"/>
      <c r="G1660" s="26"/>
      <c r="H1660" s="254"/>
      <c r="I1660" s="49"/>
      <c r="J1660" s="49"/>
      <c r="K1660" s="52" t="str">
        <f t="shared" si="254"/>
        <v/>
      </c>
      <c r="L1660" s="209" t="str">
        <f t="shared" si="255"/>
        <v/>
      </c>
      <c r="M1660" s="210" t="str">
        <f t="shared" si="256"/>
        <v/>
      </c>
      <c r="N1660" s="26"/>
      <c r="O1660" s="26"/>
      <c r="P1660" s="27"/>
      <c r="Q1660" s="2">
        <f t="shared" si="248"/>
        <v>0</v>
      </c>
      <c r="S1660" s="7">
        <f t="shared" si="251"/>
        <v>0</v>
      </c>
      <c r="T1660" s="157">
        <f t="shared" si="252"/>
        <v>0</v>
      </c>
      <c r="V1660" s="191">
        <f t="shared" si="249"/>
        <v>1</v>
      </c>
      <c r="W1660" s="7">
        <f t="shared" si="250"/>
        <v>1900</v>
      </c>
    </row>
    <row r="1661" spans="2:23" ht="31.95" customHeight="1" thickBot="1" x14ac:dyDescent="0.35">
      <c r="B1661" s="26"/>
      <c r="C1661" s="51" t="str">
        <f t="shared" si="253"/>
        <v/>
      </c>
      <c r="D1661" s="27"/>
      <c r="E1661" s="26"/>
      <c r="F1661" s="26"/>
      <c r="G1661" s="26"/>
      <c r="H1661" s="254"/>
      <c r="I1661" s="49"/>
      <c r="J1661" s="49"/>
      <c r="K1661" s="52" t="str">
        <f t="shared" si="254"/>
        <v/>
      </c>
      <c r="L1661" s="209" t="str">
        <f t="shared" si="255"/>
        <v/>
      </c>
      <c r="M1661" s="210" t="str">
        <f t="shared" si="256"/>
        <v/>
      </c>
      <c r="N1661" s="26"/>
      <c r="O1661" s="26"/>
      <c r="P1661" s="27"/>
      <c r="Q1661" s="2">
        <f t="shared" si="248"/>
        <v>0</v>
      </c>
      <c r="S1661" s="7">
        <f t="shared" si="251"/>
        <v>0</v>
      </c>
      <c r="T1661" s="157">
        <f t="shared" si="252"/>
        <v>0</v>
      </c>
      <c r="V1661" s="191">
        <f t="shared" si="249"/>
        <v>1</v>
      </c>
      <c r="W1661" s="7">
        <f t="shared" si="250"/>
        <v>1900</v>
      </c>
    </row>
    <row r="1662" spans="2:23" ht="31.95" customHeight="1" thickBot="1" x14ac:dyDescent="0.35">
      <c r="B1662" s="26"/>
      <c r="C1662" s="51" t="str">
        <f t="shared" si="253"/>
        <v/>
      </c>
      <c r="D1662" s="27"/>
      <c r="E1662" s="26"/>
      <c r="F1662" s="26"/>
      <c r="G1662" s="26"/>
      <c r="H1662" s="254"/>
      <c r="I1662" s="49"/>
      <c r="J1662" s="49"/>
      <c r="K1662" s="52" t="str">
        <f t="shared" si="254"/>
        <v/>
      </c>
      <c r="L1662" s="209" t="str">
        <f t="shared" si="255"/>
        <v/>
      </c>
      <c r="M1662" s="210" t="str">
        <f t="shared" si="256"/>
        <v/>
      </c>
      <c r="N1662" s="26"/>
      <c r="O1662" s="26"/>
      <c r="P1662" s="27"/>
      <c r="Q1662" s="2">
        <f t="shared" si="248"/>
        <v>0</v>
      </c>
      <c r="S1662" s="7">
        <f t="shared" si="251"/>
        <v>0</v>
      </c>
      <c r="T1662" s="157">
        <f t="shared" si="252"/>
        <v>0</v>
      </c>
      <c r="V1662" s="191">
        <f t="shared" si="249"/>
        <v>1</v>
      </c>
      <c r="W1662" s="7">
        <f t="shared" si="250"/>
        <v>1900</v>
      </c>
    </row>
    <row r="1663" spans="2:23" ht="31.95" customHeight="1" thickBot="1" x14ac:dyDescent="0.35">
      <c r="B1663" s="26"/>
      <c r="C1663" s="51" t="str">
        <f t="shared" si="253"/>
        <v/>
      </c>
      <c r="D1663" s="27"/>
      <c r="E1663" s="26"/>
      <c r="F1663" s="26"/>
      <c r="G1663" s="26"/>
      <c r="H1663" s="254"/>
      <c r="I1663" s="49"/>
      <c r="J1663" s="49"/>
      <c r="K1663" s="52" t="str">
        <f t="shared" si="254"/>
        <v/>
      </c>
      <c r="L1663" s="209" t="str">
        <f t="shared" si="255"/>
        <v/>
      </c>
      <c r="M1663" s="210" t="str">
        <f t="shared" si="256"/>
        <v/>
      </c>
      <c r="N1663" s="26"/>
      <c r="O1663" s="26"/>
      <c r="P1663" s="27"/>
      <c r="Q1663" s="2">
        <f t="shared" si="248"/>
        <v>0</v>
      </c>
      <c r="S1663" s="7">
        <f t="shared" si="251"/>
        <v>0</v>
      </c>
      <c r="T1663" s="157">
        <f t="shared" si="252"/>
        <v>0</v>
      </c>
      <c r="V1663" s="191">
        <f t="shared" si="249"/>
        <v>1</v>
      </c>
      <c r="W1663" s="7">
        <f t="shared" si="250"/>
        <v>1900</v>
      </c>
    </row>
    <row r="1664" spans="2:23" ht="31.95" customHeight="1" thickBot="1" x14ac:dyDescent="0.35">
      <c r="B1664" s="26"/>
      <c r="C1664" s="51" t="str">
        <f t="shared" si="253"/>
        <v/>
      </c>
      <c r="D1664" s="27"/>
      <c r="E1664" s="26"/>
      <c r="F1664" s="26"/>
      <c r="G1664" s="26"/>
      <c r="H1664" s="254"/>
      <c r="I1664" s="49"/>
      <c r="J1664" s="49"/>
      <c r="K1664" s="52" t="str">
        <f t="shared" si="254"/>
        <v/>
      </c>
      <c r="L1664" s="209" t="str">
        <f t="shared" si="255"/>
        <v/>
      </c>
      <c r="M1664" s="210" t="str">
        <f t="shared" si="256"/>
        <v/>
      </c>
      <c r="N1664" s="26"/>
      <c r="O1664" s="26"/>
      <c r="P1664" s="27"/>
      <c r="Q1664" s="2">
        <f t="shared" si="248"/>
        <v>0</v>
      </c>
      <c r="S1664" s="7">
        <f t="shared" si="251"/>
        <v>0</v>
      </c>
      <c r="T1664" s="157">
        <f t="shared" si="252"/>
        <v>0</v>
      </c>
      <c r="V1664" s="191">
        <f t="shared" si="249"/>
        <v>1</v>
      </c>
      <c r="W1664" s="7">
        <f t="shared" si="250"/>
        <v>1900</v>
      </c>
    </row>
    <row r="1665" spans="2:23" ht="31.95" customHeight="1" thickBot="1" x14ac:dyDescent="0.35">
      <c r="B1665" s="26"/>
      <c r="C1665" s="51" t="str">
        <f t="shared" si="253"/>
        <v/>
      </c>
      <c r="D1665" s="27"/>
      <c r="E1665" s="26"/>
      <c r="F1665" s="26"/>
      <c r="G1665" s="26"/>
      <c r="H1665" s="254"/>
      <c r="I1665" s="49"/>
      <c r="J1665" s="49"/>
      <c r="K1665" s="52" t="str">
        <f t="shared" si="254"/>
        <v/>
      </c>
      <c r="L1665" s="209" t="str">
        <f t="shared" si="255"/>
        <v/>
      </c>
      <c r="M1665" s="210" t="str">
        <f t="shared" si="256"/>
        <v/>
      </c>
      <c r="N1665" s="26"/>
      <c r="O1665" s="26"/>
      <c r="P1665" s="27"/>
      <c r="Q1665" s="2">
        <f t="shared" si="248"/>
        <v>0</v>
      </c>
      <c r="S1665" s="7">
        <f t="shared" si="251"/>
        <v>0</v>
      </c>
      <c r="T1665" s="157">
        <f t="shared" si="252"/>
        <v>0</v>
      </c>
      <c r="V1665" s="191">
        <f t="shared" si="249"/>
        <v>1</v>
      </c>
      <c r="W1665" s="7">
        <f t="shared" si="250"/>
        <v>1900</v>
      </c>
    </row>
    <row r="1666" spans="2:23" ht="31.95" customHeight="1" thickBot="1" x14ac:dyDescent="0.35">
      <c r="B1666" s="26"/>
      <c r="C1666" s="51" t="str">
        <f t="shared" si="253"/>
        <v/>
      </c>
      <c r="D1666" s="27"/>
      <c r="E1666" s="26"/>
      <c r="F1666" s="26"/>
      <c r="G1666" s="26"/>
      <c r="H1666" s="254"/>
      <c r="I1666" s="49"/>
      <c r="J1666" s="49"/>
      <c r="K1666" s="52" t="str">
        <f t="shared" si="254"/>
        <v/>
      </c>
      <c r="L1666" s="209" t="str">
        <f t="shared" si="255"/>
        <v/>
      </c>
      <c r="M1666" s="210" t="str">
        <f t="shared" si="256"/>
        <v/>
      </c>
      <c r="N1666" s="26"/>
      <c r="O1666" s="26"/>
      <c r="P1666" s="27"/>
      <c r="Q1666" s="2">
        <f t="shared" si="248"/>
        <v>0</v>
      </c>
      <c r="S1666" s="7">
        <f t="shared" si="251"/>
        <v>0</v>
      </c>
      <c r="T1666" s="157">
        <f t="shared" si="252"/>
        <v>0</v>
      </c>
      <c r="V1666" s="191">
        <f t="shared" si="249"/>
        <v>1</v>
      </c>
      <c r="W1666" s="7">
        <f t="shared" si="250"/>
        <v>1900</v>
      </c>
    </row>
    <row r="1667" spans="2:23" ht="31.95" customHeight="1" thickBot="1" x14ac:dyDescent="0.35">
      <c r="B1667" s="26"/>
      <c r="C1667" s="51" t="str">
        <f t="shared" si="253"/>
        <v/>
      </c>
      <c r="D1667" s="27"/>
      <c r="E1667" s="26"/>
      <c r="F1667" s="26"/>
      <c r="G1667" s="26"/>
      <c r="H1667" s="254"/>
      <c r="I1667" s="49"/>
      <c r="J1667" s="49"/>
      <c r="K1667" s="52" t="str">
        <f t="shared" si="254"/>
        <v/>
      </c>
      <c r="L1667" s="209" t="str">
        <f t="shared" si="255"/>
        <v/>
      </c>
      <c r="M1667" s="210" t="str">
        <f t="shared" si="256"/>
        <v/>
      </c>
      <c r="N1667" s="26"/>
      <c r="O1667" s="26"/>
      <c r="P1667" s="27"/>
      <c r="Q1667" s="2">
        <f t="shared" si="248"/>
        <v>0</v>
      </c>
      <c r="S1667" s="7">
        <f t="shared" si="251"/>
        <v>0</v>
      </c>
      <c r="T1667" s="157">
        <f t="shared" si="252"/>
        <v>0</v>
      </c>
      <c r="V1667" s="191">
        <f t="shared" si="249"/>
        <v>1</v>
      </c>
      <c r="W1667" s="7">
        <f t="shared" si="250"/>
        <v>1900</v>
      </c>
    </row>
    <row r="1668" spans="2:23" ht="31.95" customHeight="1" thickBot="1" x14ac:dyDescent="0.35">
      <c r="B1668" s="26"/>
      <c r="C1668" s="51" t="str">
        <f t="shared" si="253"/>
        <v/>
      </c>
      <c r="D1668" s="27"/>
      <c r="E1668" s="26"/>
      <c r="F1668" s="26"/>
      <c r="G1668" s="26"/>
      <c r="H1668" s="254"/>
      <c r="I1668" s="49"/>
      <c r="J1668" s="49"/>
      <c r="K1668" s="52" t="str">
        <f t="shared" si="254"/>
        <v/>
      </c>
      <c r="L1668" s="209" t="str">
        <f t="shared" si="255"/>
        <v/>
      </c>
      <c r="M1668" s="210" t="str">
        <f t="shared" si="256"/>
        <v/>
      </c>
      <c r="N1668" s="26"/>
      <c r="O1668" s="26"/>
      <c r="P1668" s="27"/>
      <c r="Q1668" s="2">
        <f t="shared" si="248"/>
        <v>0</v>
      </c>
      <c r="S1668" s="7">
        <f t="shared" si="251"/>
        <v>0</v>
      </c>
      <c r="T1668" s="157">
        <f t="shared" si="252"/>
        <v>0</v>
      </c>
      <c r="V1668" s="191">
        <f t="shared" si="249"/>
        <v>1</v>
      </c>
      <c r="W1668" s="7">
        <f t="shared" si="250"/>
        <v>1900</v>
      </c>
    </row>
    <row r="1669" spans="2:23" ht="31.95" customHeight="1" thickBot="1" x14ac:dyDescent="0.35">
      <c r="B1669" s="26"/>
      <c r="C1669" s="51" t="str">
        <f t="shared" si="253"/>
        <v/>
      </c>
      <c r="D1669" s="27"/>
      <c r="E1669" s="26"/>
      <c r="F1669" s="26"/>
      <c r="G1669" s="26"/>
      <c r="H1669" s="254"/>
      <c r="I1669" s="49"/>
      <c r="J1669" s="49"/>
      <c r="K1669" s="52" t="str">
        <f t="shared" si="254"/>
        <v/>
      </c>
      <c r="L1669" s="209" t="str">
        <f t="shared" si="255"/>
        <v/>
      </c>
      <c r="M1669" s="210" t="str">
        <f t="shared" si="256"/>
        <v/>
      </c>
      <c r="N1669" s="26"/>
      <c r="O1669" s="27"/>
      <c r="P1669" s="27"/>
      <c r="Q1669" s="2">
        <f t="shared" ref="Q1669:Q1732" si="257">IF(B1669&lt;&gt;"",1,0)</f>
        <v>0</v>
      </c>
      <c r="S1669" s="7">
        <f t="shared" si="251"/>
        <v>0</v>
      </c>
      <c r="T1669" s="157">
        <f t="shared" si="252"/>
        <v>0</v>
      </c>
      <c r="V1669" s="191">
        <f t="shared" ref="V1669:V1732" si="258">MONTH(B1669)</f>
        <v>1</v>
      </c>
      <c r="W1669" s="7">
        <f t="shared" ref="W1669:W1732" si="259">YEAR(B1669)</f>
        <v>1900</v>
      </c>
    </row>
    <row r="1670" spans="2:23" ht="31.95" customHeight="1" thickBot="1" x14ac:dyDescent="0.35">
      <c r="B1670" s="26"/>
      <c r="C1670" s="51" t="str">
        <f t="shared" si="253"/>
        <v/>
      </c>
      <c r="D1670" s="27"/>
      <c r="E1670" s="26"/>
      <c r="F1670" s="26"/>
      <c r="G1670" s="26"/>
      <c r="H1670" s="254"/>
      <c r="I1670" s="49"/>
      <c r="J1670" s="49"/>
      <c r="K1670" s="52" t="str">
        <f t="shared" si="254"/>
        <v/>
      </c>
      <c r="L1670" s="209" t="str">
        <f t="shared" si="255"/>
        <v/>
      </c>
      <c r="M1670" s="210" t="str">
        <f t="shared" si="256"/>
        <v/>
      </c>
      <c r="N1670" s="26"/>
      <c r="O1670" s="27"/>
      <c r="P1670" s="27"/>
      <c r="Q1670" s="2">
        <f t="shared" si="257"/>
        <v>0</v>
      </c>
      <c r="S1670" s="7">
        <f t="shared" ref="S1670:S1733" si="260">IF(AND(O1670&lt;=N1670,O1670&lt;&gt;""),1,0)</f>
        <v>0</v>
      </c>
      <c r="T1670" s="157">
        <f t="shared" ref="T1670:T1733" si="261">IF(AND(P1670&lt;=N1670,P1670&lt;&gt;""),1,0)</f>
        <v>0</v>
      </c>
      <c r="V1670" s="191">
        <f t="shared" si="258"/>
        <v>1</v>
      </c>
      <c r="W1670" s="7">
        <f t="shared" si="259"/>
        <v>1900</v>
      </c>
    </row>
    <row r="1671" spans="2:23" ht="31.95" customHeight="1" thickBot="1" x14ac:dyDescent="0.35">
      <c r="B1671" s="26"/>
      <c r="C1671" s="51" t="str">
        <f t="shared" ref="C1671:C1734" si="262">IF(B1671&lt;&gt;"",C1670+1,"")</f>
        <v/>
      </c>
      <c r="D1671" s="27"/>
      <c r="E1671" s="26"/>
      <c r="F1671" s="26"/>
      <c r="G1671" s="26"/>
      <c r="H1671" s="254"/>
      <c r="I1671" s="49"/>
      <c r="J1671" s="49"/>
      <c r="K1671" s="52" t="str">
        <f t="shared" si="254"/>
        <v/>
      </c>
      <c r="L1671" s="209" t="str">
        <f t="shared" si="255"/>
        <v/>
      </c>
      <c r="M1671" s="210" t="str">
        <f t="shared" si="256"/>
        <v/>
      </c>
      <c r="N1671" s="26"/>
      <c r="O1671" s="27"/>
      <c r="P1671" s="27"/>
      <c r="Q1671" s="2">
        <f t="shared" si="257"/>
        <v>0</v>
      </c>
      <c r="S1671" s="7">
        <f t="shared" si="260"/>
        <v>0</v>
      </c>
      <c r="T1671" s="157">
        <f t="shared" si="261"/>
        <v>0</v>
      </c>
      <c r="V1671" s="191">
        <f t="shared" si="258"/>
        <v>1</v>
      </c>
      <c r="W1671" s="7">
        <f t="shared" si="259"/>
        <v>1900</v>
      </c>
    </row>
    <row r="1672" spans="2:23" ht="31.95" customHeight="1" thickBot="1" x14ac:dyDescent="0.35">
      <c r="B1672" s="26"/>
      <c r="C1672" s="51" t="str">
        <f t="shared" si="262"/>
        <v/>
      </c>
      <c r="D1672" s="27"/>
      <c r="E1672" s="26"/>
      <c r="F1672" s="26"/>
      <c r="G1672" s="26"/>
      <c r="H1672" s="254"/>
      <c r="I1672" s="49"/>
      <c r="J1672" s="49"/>
      <c r="K1672" s="52" t="str">
        <f t="shared" si="254"/>
        <v/>
      </c>
      <c r="L1672" s="209" t="str">
        <f t="shared" si="255"/>
        <v/>
      </c>
      <c r="M1672" s="210" t="str">
        <f t="shared" si="256"/>
        <v/>
      </c>
      <c r="N1672" s="26"/>
      <c r="O1672" s="27"/>
      <c r="P1672" s="27"/>
      <c r="Q1672" s="2">
        <f t="shared" si="257"/>
        <v>0</v>
      </c>
      <c r="S1672" s="7">
        <f t="shared" si="260"/>
        <v>0</v>
      </c>
      <c r="T1672" s="157">
        <f t="shared" si="261"/>
        <v>0</v>
      </c>
      <c r="V1672" s="191">
        <f t="shared" si="258"/>
        <v>1</v>
      </c>
      <c r="W1672" s="7">
        <f t="shared" si="259"/>
        <v>1900</v>
      </c>
    </row>
    <row r="1673" spans="2:23" ht="31.95" customHeight="1" thickBot="1" x14ac:dyDescent="0.35">
      <c r="B1673" s="26"/>
      <c r="C1673" s="51" t="str">
        <f t="shared" si="262"/>
        <v/>
      </c>
      <c r="D1673" s="27"/>
      <c r="E1673" s="26"/>
      <c r="F1673" s="26"/>
      <c r="G1673" s="26"/>
      <c r="H1673" s="254"/>
      <c r="I1673" s="49"/>
      <c r="J1673" s="49"/>
      <c r="K1673" s="52" t="str">
        <f t="shared" si="254"/>
        <v/>
      </c>
      <c r="L1673" s="209" t="str">
        <f t="shared" si="255"/>
        <v/>
      </c>
      <c r="M1673" s="210" t="str">
        <f t="shared" si="256"/>
        <v/>
      </c>
      <c r="N1673" s="26"/>
      <c r="O1673" s="27"/>
      <c r="P1673" s="27"/>
      <c r="Q1673" s="2">
        <f t="shared" si="257"/>
        <v>0</v>
      </c>
      <c r="S1673" s="7">
        <f t="shared" si="260"/>
        <v>0</v>
      </c>
      <c r="T1673" s="157">
        <f t="shared" si="261"/>
        <v>0</v>
      </c>
      <c r="V1673" s="191">
        <f t="shared" si="258"/>
        <v>1</v>
      </c>
      <c r="W1673" s="7">
        <f t="shared" si="259"/>
        <v>1900</v>
      </c>
    </row>
    <row r="1674" spans="2:23" ht="31.95" customHeight="1" thickBot="1" x14ac:dyDescent="0.35">
      <c r="B1674" s="26"/>
      <c r="C1674" s="51" t="str">
        <f t="shared" si="262"/>
        <v/>
      </c>
      <c r="D1674" s="27"/>
      <c r="E1674" s="26"/>
      <c r="F1674" s="26"/>
      <c r="G1674" s="26"/>
      <c r="H1674" s="254"/>
      <c r="I1674" s="49"/>
      <c r="J1674" s="49"/>
      <c r="K1674" s="52" t="str">
        <f t="shared" si="254"/>
        <v/>
      </c>
      <c r="L1674" s="209" t="str">
        <f t="shared" si="255"/>
        <v/>
      </c>
      <c r="M1674" s="210" t="str">
        <f t="shared" si="256"/>
        <v/>
      </c>
      <c r="N1674" s="26"/>
      <c r="O1674" s="27"/>
      <c r="P1674" s="27"/>
      <c r="Q1674" s="2">
        <f t="shared" si="257"/>
        <v>0</v>
      </c>
      <c r="S1674" s="7">
        <f t="shared" si="260"/>
        <v>0</v>
      </c>
      <c r="T1674" s="157">
        <f t="shared" si="261"/>
        <v>0</v>
      </c>
      <c r="V1674" s="191">
        <f t="shared" si="258"/>
        <v>1</v>
      </c>
      <c r="W1674" s="7">
        <f t="shared" si="259"/>
        <v>1900</v>
      </c>
    </row>
    <row r="1675" spans="2:23" ht="31.95" customHeight="1" thickBot="1" x14ac:dyDescent="0.35">
      <c r="B1675" s="26"/>
      <c r="C1675" s="51" t="str">
        <f t="shared" si="262"/>
        <v/>
      </c>
      <c r="D1675" s="27"/>
      <c r="E1675" s="26"/>
      <c r="F1675" s="26"/>
      <c r="G1675" s="26"/>
      <c r="H1675" s="254"/>
      <c r="I1675" s="49"/>
      <c r="J1675" s="49"/>
      <c r="K1675" s="52" t="str">
        <f t="shared" si="254"/>
        <v/>
      </c>
      <c r="L1675" s="209" t="str">
        <f t="shared" si="255"/>
        <v/>
      </c>
      <c r="M1675" s="210" t="str">
        <f t="shared" si="256"/>
        <v/>
      </c>
      <c r="N1675" s="26"/>
      <c r="O1675" s="27"/>
      <c r="P1675" s="27"/>
      <c r="Q1675" s="2">
        <f t="shared" si="257"/>
        <v>0</v>
      </c>
      <c r="S1675" s="7">
        <f t="shared" si="260"/>
        <v>0</v>
      </c>
      <c r="T1675" s="157">
        <f t="shared" si="261"/>
        <v>0</v>
      </c>
      <c r="V1675" s="191">
        <f t="shared" si="258"/>
        <v>1</v>
      </c>
      <c r="W1675" s="7">
        <f t="shared" si="259"/>
        <v>1900</v>
      </c>
    </row>
    <row r="1676" spans="2:23" ht="31.95" customHeight="1" thickBot="1" x14ac:dyDescent="0.35">
      <c r="B1676" s="26"/>
      <c r="C1676" s="51" t="str">
        <f t="shared" si="262"/>
        <v/>
      </c>
      <c r="D1676" s="27"/>
      <c r="E1676" s="26"/>
      <c r="F1676" s="26"/>
      <c r="G1676" s="26"/>
      <c r="H1676" s="254"/>
      <c r="I1676" s="49"/>
      <c r="J1676" s="49"/>
      <c r="K1676" s="52" t="str">
        <f t="shared" si="254"/>
        <v/>
      </c>
      <c r="L1676" s="209" t="str">
        <f t="shared" si="255"/>
        <v/>
      </c>
      <c r="M1676" s="210" t="str">
        <f t="shared" si="256"/>
        <v/>
      </c>
      <c r="N1676" s="26"/>
      <c r="O1676" s="27"/>
      <c r="P1676" s="27"/>
      <c r="Q1676" s="2">
        <f t="shared" si="257"/>
        <v>0</v>
      </c>
      <c r="S1676" s="7">
        <f t="shared" si="260"/>
        <v>0</v>
      </c>
      <c r="T1676" s="157">
        <f t="shared" si="261"/>
        <v>0</v>
      </c>
      <c r="V1676" s="191">
        <f t="shared" si="258"/>
        <v>1</v>
      </c>
      <c r="W1676" s="7">
        <f t="shared" si="259"/>
        <v>1900</v>
      </c>
    </row>
    <row r="1677" spans="2:23" ht="31.95" customHeight="1" thickBot="1" x14ac:dyDescent="0.35">
      <c r="B1677" s="26"/>
      <c r="C1677" s="51" t="str">
        <f t="shared" si="262"/>
        <v/>
      </c>
      <c r="D1677" s="27"/>
      <c r="E1677" s="26"/>
      <c r="F1677" s="26"/>
      <c r="G1677" s="26"/>
      <c r="H1677" s="254"/>
      <c r="I1677" s="49"/>
      <c r="J1677" s="49"/>
      <c r="K1677" s="52" t="str">
        <f t="shared" si="254"/>
        <v/>
      </c>
      <c r="L1677" s="209" t="str">
        <f t="shared" si="255"/>
        <v/>
      </c>
      <c r="M1677" s="210" t="str">
        <f t="shared" si="256"/>
        <v/>
      </c>
      <c r="N1677" s="26"/>
      <c r="O1677" s="27"/>
      <c r="P1677" s="27"/>
      <c r="Q1677" s="2">
        <f t="shared" si="257"/>
        <v>0</v>
      </c>
      <c r="S1677" s="7">
        <f t="shared" si="260"/>
        <v>0</v>
      </c>
      <c r="T1677" s="157">
        <f t="shared" si="261"/>
        <v>0</v>
      </c>
      <c r="V1677" s="191">
        <f t="shared" si="258"/>
        <v>1</v>
      </c>
      <c r="W1677" s="7">
        <f t="shared" si="259"/>
        <v>1900</v>
      </c>
    </row>
    <row r="1678" spans="2:23" ht="31.95" customHeight="1" thickBot="1" x14ac:dyDescent="0.35">
      <c r="B1678" s="26"/>
      <c r="C1678" s="51" t="str">
        <f t="shared" si="262"/>
        <v/>
      </c>
      <c r="D1678" s="27"/>
      <c r="E1678" s="26"/>
      <c r="F1678" s="26"/>
      <c r="G1678" s="26"/>
      <c r="H1678" s="254"/>
      <c r="I1678" s="49"/>
      <c r="J1678" s="49"/>
      <c r="K1678" s="52" t="str">
        <f t="shared" si="254"/>
        <v/>
      </c>
      <c r="L1678" s="209" t="str">
        <f t="shared" si="255"/>
        <v/>
      </c>
      <c r="M1678" s="210" t="str">
        <f t="shared" si="256"/>
        <v/>
      </c>
      <c r="N1678" s="26"/>
      <c r="O1678" s="27"/>
      <c r="P1678" s="27"/>
      <c r="Q1678" s="2">
        <f t="shared" si="257"/>
        <v>0</v>
      </c>
      <c r="S1678" s="7">
        <f t="shared" si="260"/>
        <v>0</v>
      </c>
      <c r="T1678" s="157">
        <f t="shared" si="261"/>
        <v>0</v>
      </c>
      <c r="V1678" s="191">
        <f t="shared" si="258"/>
        <v>1</v>
      </c>
      <c r="W1678" s="7">
        <f t="shared" si="259"/>
        <v>1900</v>
      </c>
    </row>
    <row r="1679" spans="2:23" ht="31.95" customHeight="1" thickBot="1" x14ac:dyDescent="0.35">
      <c r="B1679" s="26"/>
      <c r="C1679" s="51" t="str">
        <f t="shared" si="262"/>
        <v/>
      </c>
      <c r="D1679" s="27"/>
      <c r="E1679" s="26"/>
      <c r="F1679" s="26"/>
      <c r="G1679" s="26"/>
      <c r="H1679" s="254"/>
      <c r="I1679" s="49"/>
      <c r="J1679" s="49"/>
      <c r="K1679" s="52" t="str">
        <f t="shared" si="254"/>
        <v/>
      </c>
      <c r="L1679" s="209" t="str">
        <f t="shared" si="255"/>
        <v/>
      </c>
      <c r="M1679" s="210" t="str">
        <f t="shared" si="256"/>
        <v/>
      </c>
      <c r="N1679" s="26"/>
      <c r="O1679" s="27"/>
      <c r="P1679" s="27"/>
      <c r="Q1679" s="2">
        <f t="shared" si="257"/>
        <v>0</v>
      </c>
      <c r="S1679" s="7">
        <f t="shared" si="260"/>
        <v>0</v>
      </c>
      <c r="T1679" s="157">
        <f t="shared" si="261"/>
        <v>0</v>
      </c>
      <c r="V1679" s="191">
        <f t="shared" si="258"/>
        <v>1</v>
      </c>
      <c r="W1679" s="7">
        <f t="shared" si="259"/>
        <v>1900</v>
      </c>
    </row>
    <row r="1680" spans="2:23" ht="31.95" customHeight="1" thickBot="1" x14ac:dyDescent="0.35">
      <c r="B1680" s="26"/>
      <c r="C1680" s="51" t="str">
        <f t="shared" si="262"/>
        <v/>
      </c>
      <c r="D1680" s="27"/>
      <c r="E1680" s="26"/>
      <c r="F1680" s="26"/>
      <c r="G1680" s="26"/>
      <c r="H1680" s="254"/>
      <c r="I1680" s="49"/>
      <c r="J1680" s="49"/>
      <c r="K1680" s="52" t="str">
        <f t="shared" si="254"/>
        <v/>
      </c>
      <c r="L1680" s="209" t="str">
        <f t="shared" si="255"/>
        <v/>
      </c>
      <c r="M1680" s="210" t="str">
        <f t="shared" si="256"/>
        <v/>
      </c>
      <c r="N1680" s="26"/>
      <c r="O1680" s="27"/>
      <c r="P1680" s="27"/>
      <c r="Q1680" s="2">
        <f t="shared" si="257"/>
        <v>0</v>
      </c>
      <c r="S1680" s="7">
        <f t="shared" si="260"/>
        <v>0</v>
      </c>
      <c r="T1680" s="157">
        <f t="shared" si="261"/>
        <v>0</v>
      </c>
      <c r="V1680" s="191">
        <f t="shared" si="258"/>
        <v>1</v>
      </c>
      <c r="W1680" s="7">
        <f t="shared" si="259"/>
        <v>1900</v>
      </c>
    </row>
    <row r="1681" spans="2:23" ht="31.95" customHeight="1" thickBot="1" x14ac:dyDescent="0.35">
      <c r="B1681" s="26"/>
      <c r="C1681" s="51" t="str">
        <f t="shared" si="262"/>
        <v/>
      </c>
      <c r="D1681" s="27"/>
      <c r="E1681" s="26"/>
      <c r="F1681" s="26"/>
      <c r="G1681" s="26"/>
      <c r="H1681" s="254"/>
      <c r="I1681" s="49"/>
      <c r="J1681" s="49"/>
      <c r="K1681" s="52" t="str">
        <f t="shared" si="254"/>
        <v/>
      </c>
      <c r="L1681" s="209" t="str">
        <f t="shared" si="255"/>
        <v/>
      </c>
      <c r="M1681" s="210" t="str">
        <f t="shared" si="256"/>
        <v/>
      </c>
      <c r="N1681" s="26"/>
      <c r="O1681" s="27"/>
      <c r="P1681" s="27"/>
      <c r="Q1681" s="2">
        <f t="shared" si="257"/>
        <v>0</v>
      </c>
      <c r="S1681" s="7">
        <f t="shared" si="260"/>
        <v>0</v>
      </c>
      <c r="T1681" s="157">
        <f t="shared" si="261"/>
        <v>0</v>
      </c>
      <c r="V1681" s="191">
        <f t="shared" si="258"/>
        <v>1</v>
      </c>
      <c r="W1681" s="7">
        <f t="shared" si="259"/>
        <v>1900</v>
      </c>
    </row>
    <row r="1682" spans="2:23" ht="31.95" customHeight="1" thickBot="1" x14ac:dyDescent="0.35">
      <c r="B1682" s="26"/>
      <c r="C1682" s="51" t="str">
        <f t="shared" si="262"/>
        <v/>
      </c>
      <c r="D1682" s="27"/>
      <c r="E1682" s="26"/>
      <c r="F1682" s="26"/>
      <c r="G1682" s="26"/>
      <c r="H1682" s="254"/>
      <c r="I1682" s="49"/>
      <c r="J1682" s="49"/>
      <c r="K1682" s="52" t="str">
        <f t="shared" si="254"/>
        <v/>
      </c>
      <c r="L1682" s="209" t="str">
        <f t="shared" si="255"/>
        <v/>
      </c>
      <c r="M1682" s="210" t="str">
        <f t="shared" si="256"/>
        <v/>
      </c>
      <c r="N1682" s="26"/>
      <c r="O1682" s="27"/>
      <c r="P1682" s="27"/>
      <c r="Q1682" s="2">
        <f t="shared" si="257"/>
        <v>0</v>
      </c>
      <c r="S1682" s="7">
        <f t="shared" si="260"/>
        <v>0</v>
      </c>
      <c r="T1682" s="157">
        <f t="shared" si="261"/>
        <v>0</v>
      </c>
      <c r="V1682" s="191">
        <f t="shared" si="258"/>
        <v>1</v>
      </c>
      <c r="W1682" s="7">
        <f t="shared" si="259"/>
        <v>1900</v>
      </c>
    </row>
    <row r="1683" spans="2:23" ht="31.95" customHeight="1" thickBot="1" x14ac:dyDescent="0.35">
      <c r="B1683" s="26"/>
      <c r="C1683" s="51" t="str">
        <f t="shared" si="262"/>
        <v/>
      </c>
      <c r="D1683" s="27"/>
      <c r="E1683" s="26"/>
      <c r="F1683" s="26"/>
      <c r="G1683" s="26"/>
      <c r="H1683" s="254"/>
      <c r="I1683" s="49"/>
      <c r="J1683" s="49"/>
      <c r="K1683" s="52" t="str">
        <f t="shared" si="254"/>
        <v/>
      </c>
      <c r="L1683" s="209" t="str">
        <f t="shared" si="255"/>
        <v/>
      </c>
      <c r="M1683" s="210" t="str">
        <f t="shared" si="256"/>
        <v/>
      </c>
      <c r="N1683" s="26"/>
      <c r="O1683" s="27"/>
      <c r="P1683" s="27"/>
      <c r="Q1683" s="2">
        <f t="shared" si="257"/>
        <v>0</v>
      </c>
      <c r="S1683" s="7">
        <f t="shared" si="260"/>
        <v>0</v>
      </c>
      <c r="T1683" s="157">
        <f t="shared" si="261"/>
        <v>0</v>
      </c>
      <c r="V1683" s="191">
        <f t="shared" si="258"/>
        <v>1</v>
      </c>
      <c r="W1683" s="7">
        <f t="shared" si="259"/>
        <v>1900</v>
      </c>
    </row>
    <row r="1684" spans="2:23" ht="31.95" customHeight="1" thickBot="1" x14ac:dyDescent="0.35">
      <c r="B1684" s="26"/>
      <c r="C1684" s="51" t="str">
        <f t="shared" si="262"/>
        <v/>
      </c>
      <c r="D1684" s="27"/>
      <c r="E1684" s="26"/>
      <c r="F1684" s="26"/>
      <c r="G1684" s="26"/>
      <c r="H1684" s="254"/>
      <c r="I1684" s="49"/>
      <c r="J1684" s="49"/>
      <c r="K1684" s="52" t="str">
        <f t="shared" si="254"/>
        <v/>
      </c>
      <c r="L1684" s="209" t="str">
        <f t="shared" si="255"/>
        <v/>
      </c>
      <c r="M1684" s="210" t="str">
        <f t="shared" si="256"/>
        <v/>
      </c>
      <c r="N1684" s="26"/>
      <c r="O1684" s="27"/>
      <c r="P1684" s="27"/>
      <c r="Q1684" s="2">
        <f t="shared" si="257"/>
        <v>0</v>
      </c>
      <c r="S1684" s="7">
        <f t="shared" si="260"/>
        <v>0</v>
      </c>
      <c r="T1684" s="157">
        <f t="shared" si="261"/>
        <v>0</v>
      </c>
      <c r="V1684" s="191">
        <f t="shared" si="258"/>
        <v>1</v>
      </c>
      <c r="W1684" s="7">
        <f t="shared" si="259"/>
        <v>1900</v>
      </c>
    </row>
    <row r="1685" spans="2:23" ht="31.95" customHeight="1" thickBot="1" x14ac:dyDescent="0.35">
      <c r="B1685" s="26"/>
      <c r="C1685" s="51" t="str">
        <f t="shared" si="262"/>
        <v/>
      </c>
      <c r="D1685" s="27"/>
      <c r="E1685" s="26"/>
      <c r="F1685" s="26"/>
      <c r="G1685" s="26"/>
      <c r="H1685" s="254"/>
      <c r="I1685" s="49"/>
      <c r="J1685" s="49"/>
      <c r="K1685" s="52" t="str">
        <f t="shared" si="254"/>
        <v/>
      </c>
      <c r="L1685" s="209" t="str">
        <f t="shared" si="255"/>
        <v/>
      </c>
      <c r="M1685" s="210" t="str">
        <f t="shared" si="256"/>
        <v/>
      </c>
      <c r="N1685" s="26"/>
      <c r="O1685" s="27"/>
      <c r="P1685" s="27"/>
      <c r="Q1685" s="2">
        <f t="shared" si="257"/>
        <v>0</v>
      </c>
      <c r="S1685" s="7">
        <f t="shared" si="260"/>
        <v>0</v>
      </c>
      <c r="T1685" s="157">
        <f t="shared" si="261"/>
        <v>0</v>
      </c>
      <c r="V1685" s="191">
        <f t="shared" si="258"/>
        <v>1</v>
      </c>
      <c r="W1685" s="7">
        <f t="shared" si="259"/>
        <v>1900</v>
      </c>
    </row>
    <row r="1686" spans="2:23" ht="31.95" customHeight="1" thickBot="1" x14ac:dyDescent="0.35">
      <c r="B1686" s="26"/>
      <c r="C1686" s="51" t="str">
        <f t="shared" si="262"/>
        <v/>
      </c>
      <c r="D1686" s="27"/>
      <c r="E1686" s="26"/>
      <c r="F1686" s="26"/>
      <c r="G1686" s="26"/>
      <c r="H1686" s="254"/>
      <c r="I1686" s="49"/>
      <c r="J1686" s="49"/>
      <c r="K1686" s="52" t="str">
        <f t="shared" si="254"/>
        <v/>
      </c>
      <c r="L1686" s="209" t="str">
        <f t="shared" si="255"/>
        <v/>
      </c>
      <c r="M1686" s="210" t="str">
        <f t="shared" si="256"/>
        <v/>
      </c>
      <c r="N1686" s="26"/>
      <c r="O1686" s="27"/>
      <c r="P1686" s="27"/>
      <c r="Q1686" s="2">
        <f t="shared" si="257"/>
        <v>0</v>
      </c>
      <c r="S1686" s="7">
        <f t="shared" si="260"/>
        <v>0</v>
      </c>
      <c r="T1686" s="157">
        <f t="shared" si="261"/>
        <v>0</v>
      </c>
      <c r="V1686" s="191">
        <f t="shared" si="258"/>
        <v>1</v>
      </c>
      <c r="W1686" s="7">
        <f t="shared" si="259"/>
        <v>1900</v>
      </c>
    </row>
    <row r="1687" spans="2:23" ht="31.95" customHeight="1" thickBot="1" x14ac:dyDescent="0.35">
      <c r="B1687" s="26"/>
      <c r="C1687" s="51" t="str">
        <f t="shared" si="262"/>
        <v/>
      </c>
      <c r="D1687" s="27"/>
      <c r="E1687" s="26"/>
      <c r="F1687" s="26"/>
      <c r="G1687" s="26"/>
      <c r="H1687" s="254"/>
      <c r="I1687" s="49"/>
      <c r="J1687" s="49"/>
      <c r="K1687" s="52" t="str">
        <f t="shared" si="254"/>
        <v/>
      </c>
      <c r="L1687" s="209" t="str">
        <f t="shared" si="255"/>
        <v/>
      </c>
      <c r="M1687" s="210" t="str">
        <f t="shared" si="256"/>
        <v/>
      </c>
      <c r="N1687" s="26"/>
      <c r="O1687" s="27"/>
      <c r="P1687" s="27"/>
      <c r="Q1687" s="2">
        <f t="shared" si="257"/>
        <v>0</v>
      </c>
      <c r="S1687" s="7">
        <f t="shared" si="260"/>
        <v>0</v>
      </c>
      <c r="T1687" s="157">
        <f t="shared" si="261"/>
        <v>0</v>
      </c>
      <c r="V1687" s="191">
        <f t="shared" si="258"/>
        <v>1</v>
      </c>
      <c r="W1687" s="7">
        <f t="shared" si="259"/>
        <v>1900</v>
      </c>
    </row>
    <row r="1688" spans="2:23" ht="31.95" customHeight="1" thickBot="1" x14ac:dyDescent="0.35">
      <c r="B1688" s="26"/>
      <c r="C1688" s="51" t="str">
        <f t="shared" si="262"/>
        <v/>
      </c>
      <c r="D1688" s="27"/>
      <c r="E1688" s="26"/>
      <c r="F1688" s="26"/>
      <c r="G1688" s="26"/>
      <c r="H1688" s="254"/>
      <c r="I1688" s="49"/>
      <c r="J1688" s="49"/>
      <c r="K1688" s="52" t="str">
        <f t="shared" si="254"/>
        <v/>
      </c>
      <c r="L1688" s="209" t="str">
        <f t="shared" si="255"/>
        <v/>
      </c>
      <c r="M1688" s="210" t="str">
        <f t="shared" si="256"/>
        <v/>
      </c>
      <c r="N1688" s="26"/>
      <c r="O1688" s="27"/>
      <c r="P1688" s="27"/>
      <c r="Q1688" s="2">
        <f t="shared" si="257"/>
        <v>0</v>
      </c>
      <c r="S1688" s="7">
        <f t="shared" si="260"/>
        <v>0</v>
      </c>
      <c r="T1688" s="157">
        <f t="shared" si="261"/>
        <v>0</v>
      </c>
      <c r="V1688" s="191">
        <f t="shared" si="258"/>
        <v>1</v>
      </c>
      <c r="W1688" s="7">
        <f t="shared" si="259"/>
        <v>1900</v>
      </c>
    </row>
    <row r="1689" spans="2:23" ht="31.95" customHeight="1" thickBot="1" x14ac:dyDescent="0.35">
      <c r="B1689" s="26"/>
      <c r="C1689" s="51" t="str">
        <f t="shared" si="262"/>
        <v/>
      </c>
      <c r="D1689" s="27"/>
      <c r="E1689" s="26"/>
      <c r="F1689" s="26"/>
      <c r="G1689" s="26"/>
      <c r="H1689" s="254"/>
      <c r="I1689" s="49"/>
      <c r="J1689" s="49"/>
      <c r="K1689" s="52" t="str">
        <f t="shared" si="254"/>
        <v/>
      </c>
      <c r="L1689" s="209" t="str">
        <f t="shared" si="255"/>
        <v/>
      </c>
      <c r="M1689" s="210" t="str">
        <f t="shared" si="256"/>
        <v/>
      </c>
      <c r="N1689" s="26"/>
      <c r="O1689" s="27"/>
      <c r="P1689" s="27"/>
      <c r="Q1689" s="2">
        <f t="shared" si="257"/>
        <v>0</v>
      </c>
      <c r="S1689" s="7">
        <f t="shared" si="260"/>
        <v>0</v>
      </c>
      <c r="T1689" s="157">
        <f t="shared" si="261"/>
        <v>0</v>
      </c>
      <c r="V1689" s="191">
        <f t="shared" si="258"/>
        <v>1</v>
      </c>
      <c r="W1689" s="7">
        <f t="shared" si="259"/>
        <v>1900</v>
      </c>
    </row>
    <row r="1690" spans="2:23" ht="31.95" customHeight="1" thickBot="1" x14ac:dyDescent="0.35">
      <c r="B1690" s="26"/>
      <c r="C1690" s="51" t="str">
        <f t="shared" si="262"/>
        <v/>
      </c>
      <c r="D1690" s="27"/>
      <c r="E1690" s="26"/>
      <c r="F1690" s="26"/>
      <c r="G1690" s="26"/>
      <c r="H1690" s="254"/>
      <c r="I1690" s="49"/>
      <c r="J1690" s="49"/>
      <c r="K1690" s="52" t="str">
        <f t="shared" si="254"/>
        <v/>
      </c>
      <c r="L1690" s="209" t="str">
        <f t="shared" si="255"/>
        <v/>
      </c>
      <c r="M1690" s="210" t="str">
        <f t="shared" si="256"/>
        <v/>
      </c>
      <c r="N1690" s="26"/>
      <c r="O1690" s="27"/>
      <c r="P1690" s="27"/>
      <c r="Q1690" s="2">
        <f t="shared" si="257"/>
        <v>0</v>
      </c>
      <c r="S1690" s="7">
        <f t="shared" si="260"/>
        <v>0</v>
      </c>
      <c r="T1690" s="157">
        <f t="shared" si="261"/>
        <v>0</v>
      </c>
      <c r="V1690" s="191">
        <f t="shared" si="258"/>
        <v>1</v>
      </c>
      <c r="W1690" s="7">
        <f t="shared" si="259"/>
        <v>1900</v>
      </c>
    </row>
    <row r="1691" spans="2:23" ht="31.95" customHeight="1" thickBot="1" x14ac:dyDescent="0.35">
      <c r="B1691" s="26"/>
      <c r="C1691" s="51" t="str">
        <f t="shared" si="262"/>
        <v/>
      </c>
      <c r="D1691" s="27"/>
      <c r="E1691" s="26"/>
      <c r="F1691" s="26"/>
      <c r="G1691" s="26"/>
      <c r="H1691" s="254"/>
      <c r="I1691" s="49"/>
      <c r="J1691" s="49"/>
      <c r="K1691" s="52" t="str">
        <f t="shared" si="254"/>
        <v/>
      </c>
      <c r="L1691" s="209" t="str">
        <f t="shared" si="255"/>
        <v/>
      </c>
      <c r="M1691" s="210" t="str">
        <f t="shared" si="256"/>
        <v/>
      </c>
      <c r="N1691" s="26"/>
      <c r="O1691" s="27"/>
      <c r="P1691" s="27"/>
      <c r="Q1691" s="2">
        <f t="shared" si="257"/>
        <v>0</v>
      </c>
      <c r="S1691" s="7">
        <f t="shared" si="260"/>
        <v>0</v>
      </c>
      <c r="T1691" s="157">
        <f t="shared" si="261"/>
        <v>0</v>
      </c>
      <c r="V1691" s="191">
        <f t="shared" si="258"/>
        <v>1</v>
      </c>
      <c r="W1691" s="7">
        <f t="shared" si="259"/>
        <v>1900</v>
      </c>
    </row>
    <row r="1692" spans="2:23" ht="31.95" customHeight="1" thickBot="1" x14ac:dyDescent="0.35">
      <c r="B1692" s="26"/>
      <c r="C1692" s="51" t="str">
        <f t="shared" si="262"/>
        <v/>
      </c>
      <c r="D1692" s="27"/>
      <c r="E1692" s="26"/>
      <c r="F1692" s="26"/>
      <c r="G1692" s="26"/>
      <c r="H1692" s="254"/>
      <c r="I1692" s="49"/>
      <c r="J1692" s="49"/>
      <c r="K1692" s="52" t="str">
        <f t="shared" si="254"/>
        <v/>
      </c>
      <c r="L1692" s="209" t="str">
        <f t="shared" si="255"/>
        <v/>
      </c>
      <c r="M1692" s="210" t="str">
        <f t="shared" si="256"/>
        <v/>
      </c>
      <c r="N1692" s="26"/>
      <c r="O1692" s="27"/>
      <c r="P1692" s="27"/>
      <c r="Q1692" s="2">
        <f t="shared" si="257"/>
        <v>0</v>
      </c>
      <c r="S1692" s="7">
        <f t="shared" si="260"/>
        <v>0</v>
      </c>
      <c r="T1692" s="157">
        <f t="shared" si="261"/>
        <v>0</v>
      </c>
      <c r="V1692" s="191">
        <f t="shared" si="258"/>
        <v>1</v>
      </c>
      <c r="W1692" s="7">
        <f t="shared" si="259"/>
        <v>1900</v>
      </c>
    </row>
    <row r="1693" spans="2:23" ht="31.95" customHeight="1" thickBot="1" x14ac:dyDescent="0.35">
      <c r="B1693" s="26"/>
      <c r="C1693" s="51" t="str">
        <f t="shared" si="262"/>
        <v/>
      </c>
      <c r="D1693" s="27"/>
      <c r="E1693" s="26"/>
      <c r="F1693" s="26"/>
      <c r="G1693" s="26"/>
      <c r="H1693" s="254"/>
      <c r="I1693" s="49"/>
      <c r="J1693" s="49"/>
      <c r="K1693" s="52" t="str">
        <f t="shared" si="254"/>
        <v/>
      </c>
      <c r="L1693" s="209" t="str">
        <f t="shared" si="255"/>
        <v/>
      </c>
      <c r="M1693" s="210" t="str">
        <f t="shared" si="256"/>
        <v/>
      </c>
      <c r="N1693" s="26"/>
      <c r="O1693" s="27"/>
      <c r="P1693" s="27"/>
      <c r="Q1693" s="2">
        <f t="shared" si="257"/>
        <v>0</v>
      </c>
      <c r="S1693" s="7">
        <f t="shared" si="260"/>
        <v>0</v>
      </c>
      <c r="T1693" s="157">
        <f t="shared" si="261"/>
        <v>0</v>
      </c>
      <c r="V1693" s="191">
        <f t="shared" si="258"/>
        <v>1</v>
      </c>
      <c r="W1693" s="7">
        <f t="shared" si="259"/>
        <v>1900</v>
      </c>
    </row>
    <row r="1694" spans="2:23" ht="31.95" customHeight="1" thickBot="1" x14ac:dyDescent="0.35">
      <c r="B1694" s="26"/>
      <c r="C1694" s="51" t="str">
        <f t="shared" si="262"/>
        <v/>
      </c>
      <c r="D1694" s="27"/>
      <c r="E1694" s="26"/>
      <c r="F1694" s="26"/>
      <c r="G1694" s="26"/>
      <c r="H1694" s="254"/>
      <c r="I1694" s="49"/>
      <c r="J1694" s="49"/>
      <c r="K1694" s="52" t="str">
        <f t="shared" si="254"/>
        <v/>
      </c>
      <c r="L1694" s="209" t="str">
        <f t="shared" si="255"/>
        <v/>
      </c>
      <c r="M1694" s="210" t="str">
        <f t="shared" si="256"/>
        <v/>
      </c>
      <c r="N1694" s="26"/>
      <c r="O1694" s="27"/>
      <c r="P1694" s="27"/>
      <c r="Q1694" s="2">
        <f t="shared" si="257"/>
        <v>0</v>
      </c>
      <c r="S1694" s="7">
        <f t="shared" si="260"/>
        <v>0</v>
      </c>
      <c r="T1694" s="157">
        <f t="shared" si="261"/>
        <v>0</v>
      </c>
      <c r="V1694" s="191">
        <f t="shared" si="258"/>
        <v>1</v>
      </c>
      <c r="W1694" s="7">
        <f t="shared" si="259"/>
        <v>1900</v>
      </c>
    </row>
    <row r="1695" spans="2:23" ht="31.95" customHeight="1" thickBot="1" x14ac:dyDescent="0.35">
      <c r="B1695" s="26"/>
      <c r="C1695" s="51" t="str">
        <f t="shared" si="262"/>
        <v/>
      </c>
      <c r="D1695" s="27"/>
      <c r="E1695" s="26"/>
      <c r="F1695" s="26"/>
      <c r="G1695" s="26"/>
      <c r="H1695" s="254"/>
      <c r="I1695" s="49"/>
      <c r="J1695" s="49"/>
      <c r="K1695" s="52" t="str">
        <f t="shared" si="254"/>
        <v/>
      </c>
      <c r="L1695" s="209" t="str">
        <f t="shared" si="255"/>
        <v/>
      </c>
      <c r="M1695" s="210" t="str">
        <f t="shared" si="256"/>
        <v/>
      </c>
      <c r="N1695" s="26"/>
      <c r="O1695" s="27"/>
      <c r="P1695" s="27"/>
      <c r="Q1695" s="2">
        <f t="shared" si="257"/>
        <v>0</v>
      </c>
      <c r="S1695" s="7">
        <f t="shared" si="260"/>
        <v>0</v>
      </c>
      <c r="T1695" s="157">
        <f t="shared" si="261"/>
        <v>0</v>
      </c>
      <c r="V1695" s="191">
        <f t="shared" si="258"/>
        <v>1</v>
      </c>
      <c r="W1695" s="7">
        <f t="shared" si="259"/>
        <v>1900</v>
      </c>
    </row>
    <row r="1696" spans="2:23" ht="31.95" customHeight="1" thickBot="1" x14ac:dyDescent="0.35">
      <c r="B1696" s="26"/>
      <c r="C1696" s="51" t="str">
        <f t="shared" si="262"/>
        <v/>
      </c>
      <c r="D1696" s="27"/>
      <c r="E1696" s="26"/>
      <c r="F1696" s="26"/>
      <c r="G1696" s="26"/>
      <c r="H1696" s="254"/>
      <c r="I1696" s="49"/>
      <c r="J1696" s="49"/>
      <c r="K1696" s="52" t="str">
        <f t="shared" si="254"/>
        <v/>
      </c>
      <c r="L1696" s="209" t="str">
        <f t="shared" si="255"/>
        <v/>
      </c>
      <c r="M1696" s="210" t="str">
        <f t="shared" si="256"/>
        <v/>
      </c>
      <c r="N1696" s="26"/>
      <c r="O1696" s="27"/>
      <c r="P1696" s="27"/>
      <c r="Q1696" s="2">
        <f t="shared" si="257"/>
        <v>0</v>
      </c>
      <c r="S1696" s="7">
        <f t="shared" si="260"/>
        <v>0</v>
      </c>
      <c r="T1696" s="157">
        <f t="shared" si="261"/>
        <v>0</v>
      </c>
      <c r="V1696" s="191">
        <f t="shared" si="258"/>
        <v>1</v>
      </c>
      <c r="W1696" s="7">
        <f t="shared" si="259"/>
        <v>1900</v>
      </c>
    </row>
    <row r="1697" spans="2:23" ht="31.95" customHeight="1" thickBot="1" x14ac:dyDescent="0.35">
      <c r="B1697" s="26"/>
      <c r="C1697" s="51" t="str">
        <f t="shared" si="262"/>
        <v/>
      </c>
      <c r="D1697" s="27"/>
      <c r="E1697" s="26"/>
      <c r="F1697" s="26"/>
      <c r="G1697" s="26"/>
      <c r="H1697" s="254"/>
      <c r="I1697" s="49"/>
      <c r="J1697" s="49"/>
      <c r="K1697" s="52" t="str">
        <f t="shared" si="254"/>
        <v/>
      </c>
      <c r="L1697" s="209" t="str">
        <f t="shared" si="255"/>
        <v/>
      </c>
      <c r="M1697" s="210" t="str">
        <f t="shared" si="256"/>
        <v/>
      </c>
      <c r="N1697" s="26"/>
      <c r="O1697" s="27"/>
      <c r="P1697" s="27"/>
      <c r="Q1697" s="2">
        <f t="shared" si="257"/>
        <v>0</v>
      </c>
      <c r="S1697" s="7">
        <f t="shared" si="260"/>
        <v>0</v>
      </c>
      <c r="T1697" s="157">
        <f t="shared" si="261"/>
        <v>0</v>
      </c>
      <c r="V1697" s="191">
        <f t="shared" si="258"/>
        <v>1</v>
      </c>
      <c r="W1697" s="7">
        <f t="shared" si="259"/>
        <v>1900</v>
      </c>
    </row>
    <row r="1698" spans="2:23" ht="31.95" customHeight="1" thickBot="1" x14ac:dyDescent="0.35">
      <c r="B1698" s="26"/>
      <c r="C1698" s="51" t="str">
        <f t="shared" si="262"/>
        <v/>
      </c>
      <c r="D1698" s="27"/>
      <c r="E1698" s="26"/>
      <c r="F1698" s="26"/>
      <c r="G1698" s="26"/>
      <c r="H1698" s="254"/>
      <c r="I1698" s="49"/>
      <c r="J1698" s="49"/>
      <c r="K1698" s="52" t="str">
        <f t="shared" si="254"/>
        <v/>
      </c>
      <c r="L1698" s="209" t="str">
        <f t="shared" si="255"/>
        <v/>
      </c>
      <c r="M1698" s="210" t="str">
        <f t="shared" si="256"/>
        <v/>
      </c>
      <c r="N1698" s="26"/>
      <c r="O1698" s="27"/>
      <c r="P1698" s="27"/>
      <c r="Q1698" s="2">
        <f t="shared" si="257"/>
        <v>0</v>
      </c>
      <c r="S1698" s="7">
        <f t="shared" si="260"/>
        <v>0</v>
      </c>
      <c r="T1698" s="157">
        <f t="shared" si="261"/>
        <v>0</v>
      </c>
      <c r="V1698" s="191">
        <f t="shared" si="258"/>
        <v>1</v>
      </c>
      <c r="W1698" s="7">
        <f t="shared" si="259"/>
        <v>1900</v>
      </c>
    </row>
    <row r="1699" spans="2:23" ht="31.95" customHeight="1" thickBot="1" x14ac:dyDescent="0.35">
      <c r="B1699" s="26"/>
      <c r="C1699" s="51" t="str">
        <f t="shared" si="262"/>
        <v/>
      </c>
      <c r="D1699" s="27"/>
      <c r="E1699" s="26"/>
      <c r="F1699" s="26"/>
      <c r="G1699" s="26"/>
      <c r="H1699" s="254"/>
      <c r="I1699" s="49"/>
      <c r="J1699" s="49"/>
      <c r="K1699" s="52" t="str">
        <f t="shared" si="254"/>
        <v/>
      </c>
      <c r="L1699" s="209" t="str">
        <f t="shared" si="255"/>
        <v/>
      </c>
      <c r="M1699" s="210" t="str">
        <f t="shared" si="256"/>
        <v/>
      </c>
      <c r="N1699" s="26"/>
      <c r="O1699" s="27"/>
      <c r="P1699" s="27"/>
      <c r="Q1699" s="2">
        <f t="shared" si="257"/>
        <v>0</v>
      </c>
      <c r="S1699" s="7">
        <f t="shared" si="260"/>
        <v>0</v>
      </c>
      <c r="T1699" s="157">
        <f t="shared" si="261"/>
        <v>0</v>
      </c>
      <c r="V1699" s="191">
        <f t="shared" si="258"/>
        <v>1</v>
      </c>
      <c r="W1699" s="7">
        <f t="shared" si="259"/>
        <v>1900</v>
      </c>
    </row>
    <row r="1700" spans="2:23" ht="31.95" customHeight="1" thickBot="1" x14ac:dyDescent="0.35">
      <c r="B1700" s="26"/>
      <c r="C1700" s="51" t="str">
        <f t="shared" si="262"/>
        <v/>
      </c>
      <c r="D1700" s="27"/>
      <c r="E1700" s="26"/>
      <c r="F1700" s="26"/>
      <c r="G1700" s="26"/>
      <c r="H1700" s="254"/>
      <c r="I1700" s="49"/>
      <c r="J1700" s="49"/>
      <c r="K1700" s="52" t="str">
        <f t="shared" si="254"/>
        <v/>
      </c>
      <c r="L1700" s="209" t="str">
        <f t="shared" si="255"/>
        <v/>
      </c>
      <c r="M1700" s="210" t="str">
        <f t="shared" si="256"/>
        <v/>
      </c>
      <c r="N1700" s="26"/>
      <c r="O1700" s="27"/>
      <c r="P1700" s="27"/>
      <c r="Q1700" s="2">
        <f t="shared" si="257"/>
        <v>0</v>
      </c>
      <c r="S1700" s="7">
        <f t="shared" si="260"/>
        <v>0</v>
      </c>
      <c r="T1700" s="157">
        <f t="shared" si="261"/>
        <v>0</v>
      </c>
      <c r="V1700" s="191">
        <f t="shared" si="258"/>
        <v>1</v>
      </c>
      <c r="W1700" s="7">
        <f t="shared" si="259"/>
        <v>1900</v>
      </c>
    </row>
    <row r="1701" spans="2:23" ht="31.95" customHeight="1" thickBot="1" x14ac:dyDescent="0.35">
      <c r="B1701" s="26"/>
      <c r="C1701" s="51" t="str">
        <f t="shared" si="262"/>
        <v/>
      </c>
      <c r="D1701" s="27"/>
      <c r="E1701" s="26"/>
      <c r="F1701" s="26"/>
      <c r="G1701" s="26"/>
      <c r="H1701" s="254"/>
      <c r="I1701" s="49"/>
      <c r="J1701" s="49"/>
      <c r="K1701" s="52" t="str">
        <f t="shared" si="254"/>
        <v/>
      </c>
      <c r="L1701" s="209" t="str">
        <f t="shared" si="255"/>
        <v/>
      </c>
      <c r="M1701" s="210" t="str">
        <f t="shared" si="256"/>
        <v/>
      </c>
      <c r="N1701" s="26"/>
      <c r="O1701" s="27"/>
      <c r="P1701" s="27"/>
      <c r="Q1701" s="2">
        <f t="shared" si="257"/>
        <v>0</v>
      </c>
      <c r="S1701" s="7">
        <f t="shared" si="260"/>
        <v>0</v>
      </c>
      <c r="T1701" s="157">
        <f t="shared" si="261"/>
        <v>0</v>
      </c>
      <c r="V1701" s="191">
        <f t="shared" si="258"/>
        <v>1</v>
      </c>
      <c r="W1701" s="7">
        <f t="shared" si="259"/>
        <v>1900</v>
      </c>
    </row>
    <row r="1702" spans="2:23" ht="31.95" customHeight="1" thickBot="1" x14ac:dyDescent="0.35">
      <c r="B1702" s="26"/>
      <c r="C1702" s="51" t="str">
        <f t="shared" si="262"/>
        <v/>
      </c>
      <c r="D1702" s="27"/>
      <c r="E1702" s="26"/>
      <c r="F1702" s="26"/>
      <c r="G1702" s="26"/>
      <c r="H1702" s="254"/>
      <c r="I1702" s="49"/>
      <c r="J1702" s="49"/>
      <c r="K1702" s="52" t="str">
        <f t="shared" si="254"/>
        <v/>
      </c>
      <c r="L1702" s="209" t="str">
        <f t="shared" si="255"/>
        <v/>
      </c>
      <c r="M1702" s="210" t="str">
        <f t="shared" si="256"/>
        <v/>
      </c>
      <c r="N1702" s="26"/>
      <c r="O1702" s="27"/>
      <c r="P1702" s="27"/>
      <c r="Q1702" s="2">
        <f t="shared" si="257"/>
        <v>0</v>
      </c>
      <c r="S1702" s="7">
        <f t="shared" si="260"/>
        <v>0</v>
      </c>
      <c r="T1702" s="157">
        <f t="shared" si="261"/>
        <v>0</v>
      </c>
      <c r="V1702" s="191">
        <f t="shared" si="258"/>
        <v>1</v>
      </c>
      <c r="W1702" s="7">
        <f t="shared" si="259"/>
        <v>1900</v>
      </c>
    </row>
    <row r="1703" spans="2:23" ht="31.95" customHeight="1" thickBot="1" x14ac:dyDescent="0.35">
      <c r="B1703" s="26"/>
      <c r="C1703" s="51" t="str">
        <f t="shared" si="262"/>
        <v/>
      </c>
      <c r="D1703" s="27"/>
      <c r="E1703" s="26"/>
      <c r="F1703" s="26"/>
      <c r="G1703" s="26"/>
      <c r="H1703" s="254"/>
      <c r="I1703" s="49"/>
      <c r="J1703" s="49"/>
      <c r="K1703" s="52" t="str">
        <f t="shared" si="254"/>
        <v/>
      </c>
      <c r="L1703" s="209" t="str">
        <f t="shared" si="255"/>
        <v/>
      </c>
      <c r="M1703" s="210" t="str">
        <f t="shared" si="256"/>
        <v/>
      </c>
      <c r="N1703" s="26"/>
      <c r="O1703" s="27"/>
      <c r="P1703" s="27"/>
      <c r="Q1703" s="2">
        <f t="shared" si="257"/>
        <v>0</v>
      </c>
      <c r="S1703" s="7">
        <f t="shared" si="260"/>
        <v>0</v>
      </c>
      <c r="T1703" s="157">
        <f t="shared" si="261"/>
        <v>0</v>
      </c>
      <c r="V1703" s="191">
        <f t="shared" si="258"/>
        <v>1</v>
      </c>
      <c r="W1703" s="7">
        <f t="shared" si="259"/>
        <v>1900</v>
      </c>
    </row>
    <row r="1704" spans="2:23" ht="31.95" customHeight="1" thickBot="1" x14ac:dyDescent="0.35">
      <c r="B1704" s="26"/>
      <c r="C1704" s="51" t="str">
        <f t="shared" si="262"/>
        <v/>
      </c>
      <c r="D1704" s="27"/>
      <c r="E1704" s="26"/>
      <c r="F1704" s="26"/>
      <c r="G1704" s="26"/>
      <c r="H1704" s="254"/>
      <c r="I1704" s="49"/>
      <c r="J1704" s="49"/>
      <c r="K1704" s="52" t="str">
        <f t="shared" si="254"/>
        <v/>
      </c>
      <c r="L1704" s="209" t="str">
        <f t="shared" si="255"/>
        <v/>
      </c>
      <c r="M1704" s="210" t="str">
        <f t="shared" si="256"/>
        <v/>
      </c>
      <c r="N1704" s="26"/>
      <c r="O1704" s="27"/>
      <c r="P1704" s="27"/>
      <c r="Q1704" s="2">
        <f t="shared" si="257"/>
        <v>0</v>
      </c>
      <c r="S1704" s="7">
        <f t="shared" si="260"/>
        <v>0</v>
      </c>
      <c r="T1704" s="157">
        <f t="shared" si="261"/>
        <v>0</v>
      </c>
      <c r="V1704" s="191">
        <f t="shared" si="258"/>
        <v>1</v>
      </c>
      <c r="W1704" s="7">
        <f t="shared" si="259"/>
        <v>1900</v>
      </c>
    </row>
    <row r="1705" spans="2:23" ht="31.95" customHeight="1" thickBot="1" x14ac:dyDescent="0.35">
      <c r="B1705" s="26"/>
      <c r="C1705" s="51" t="str">
        <f t="shared" si="262"/>
        <v/>
      </c>
      <c r="D1705" s="27"/>
      <c r="E1705" s="26"/>
      <c r="F1705" s="26"/>
      <c r="G1705" s="26"/>
      <c r="H1705" s="254"/>
      <c r="I1705" s="49"/>
      <c r="J1705" s="49"/>
      <c r="K1705" s="52" t="str">
        <f t="shared" si="254"/>
        <v/>
      </c>
      <c r="L1705" s="209" t="str">
        <f t="shared" si="255"/>
        <v/>
      </c>
      <c r="M1705" s="210" t="str">
        <f t="shared" si="256"/>
        <v/>
      </c>
      <c r="N1705" s="26"/>
      <c r="O1705" s="27"/>
      <c r="P1705" s="27"/>
      <c r="Q1705" s="2">
        <f t="shared" si="257"/>
        <v>0</v>
      </c>
      <c r="S1705" s="7">
        <f t="shared" si="260"/>
        <v>0</v>
      </c>
      <c r="T1705" s="157">
        <f t="shared" si="261"/>
        <v>0</v>
      </c>
      <c r="V1705" s="191">
        <f t="shared" si="258"/>
        <v>1</v>
      </c>
      <c r="W1705" s="7">
        <f t="shared" si="259"/>
        <v>1900</v>
      </c>
    </row>
    <row r="1706" spans="2:23" ht="31.95" customHeight="1" thickBot="1" x14ac:dyDescent="0.35">
      <c r="B1706" s="26"/>
      <c r="C1706" s="51" t="str">
        <f t="shared" si="262"/>
        <v/>
      </c>
      <c r="D1706" s="27"/>
      <c r="E1706" s="26"/>
      <c r="F1706" s="26"/>
      <c r="G1706" s="26"/>
      <c r="H1706" s="254"/>
      <c r="I1706" s="49"/>
      <c r="J1706" s="49"/>
      <c r="K1706" s="52" t="str">
        <f t="shared" si="254"/>
        <v/>
      </c>
      <c r="L1706" s="209" t="str">
        <f t="shared" si="255"/>
        <v/>
      </c>
      <c r="M1706" s="210" t="str">
        <f t="shared" si="256"/>
        <v/>
      </c>
      <c r="N1706" s="26"/>
      <c r="O1706" s="27"/>
      <c r="P1706" s="27"/>
      <c r="Q1706" s="2">
        <f t="shared" si="257"/>
        <v>0</v>
      </c>
      <c r="S1706" s="7">
        <f t="shared" si="260"/>
        <v>0</v>
      </c>
      <c r="T1706" s="157">
        <f t="shared" si="261"/>
        <v>0</v>
      </c>
      <c r="V1706" s="191">
        <f t="shared" si="258"/>
        <v>1</v>
      </c>
      <c r="W1706" s="7">
        <f t="shared" si="259"/>
        <v>1900</v>
      </c>
    </row>
    <row r="1707" spans="2:23" ht="31.95" customHeight="1" thickBot="1" x14ac:dyDescent="0.35">
      <c r="B1707" s="26"/>
      <c r="C1707" s="51" t="str">
        <f t="shared" si="262"/>
        <v/>
      </c>
      <c r="D1707" s="27"/>
      <c r="E1707" s="26"/>
      <c r="F1707" s="26"/>
      <c r="G1707" s="26"/>
      <c r="H1707" s="254"/>
      <c r="I1707" s="49"/>
      <c r="J1707" s="49"/>
      <c r="K1707" s="52" t="str">
        <f t="shared" si="254"/>
        <v/>
      </c>
      <c r="L1707" s="209" t="str">
        <f t="shared" si="255"/>
        <v/>
      </c>
      <c r="M1707" s="210" t="str">
        <f t="shared" si="256"/>
        <v/>
      </c>
      <c r="N1707" s="26"/>
      <c r="O1707" s="27"/>
      <c r="P1707" s="27"/>
      <c r="Q1707" s="2">
        <f t="shared" si="257"/>
        <v>0</v>
      </c>
      <c r="S1707" s="7">
        <f t="shared" si="260"/>
        <v>0</v>
      </c>
      <c r="T1707" s="157">
        <f t="shared" si="261"/>
        <v>0</v>
      </c>
      <c r="V1707" s="191">
        <f t="shared" si="258"/>
        <v>1</v>
      </c>
      <c r="W1707" s="7">
        <f t="shared" si="259"/>
        <v>1900</v>
      </c>
    </row>
    <row r="1708" spans="2:23" ht="31.95" customHeight="1" thickBot="1" x14ac:dyDescent="0.35">
      <c r="B1708" s="26"/>
      <c r="C1708" s="51" t="str">
        <f t="shared" si="262"/>
        <v/>
      </c>
      <c r="D1708" s="27"/>
      <c r="E1708" s="26"/>
      <c r="F1708" s="26"/>
      <c r="G1708" s="26"/>
      <c r="H1708" s="254"/>
      <c r="I1708" s="49"/>
      <c r="J1708" s="49"/>
      <c r="K1708" s="52" t="str">
        <f t="shared" si="254"/>
        <v/>
      </c>
      <c r="L1708" s="209" t="str">
        <f t="shared" si="255"/>
        <v/>
      </c>
      <c r="M1708" s="210" t="str">
        <f t="shared" si="256"/>
        <v/>
      </c>
      <c r="N1708" s="26"/>
      <c r="O1708" s="27"/>
      <c r="P1708" s="27"/>
      <c r="Q1708" s="2">
        <f t="shared" si="257"/>
        <v>0</v>
      </c>
      <c r="S1708" s="7">
        <f t="shared" si="260"/>
        <v>0</v>
      </c>
      <c r="T1708" s="157">
        <f t="shared" si="261"/>
        <v>0</v>
      </c>
      <c r="V1708" s="191">
        <f t="shared" si="258"/>
        <v>1</v>
      </c>
      <c r="W1708" s="7">
        <f t="shared" si="259"/>
        <v>1900</v>
      </c>
    </row>
    <row r="1709" spans="2:23" ht="31.95" customHeight="1" thickBot="1" x14ac:dyDescent="0.35">
      <c r="B1709" s="26"/>
      <c r="C1709" s="51" t="str">
        <f t="shared" si="262"/>
        <v/>
      </c>
      <c r="D1709" s="27"/>
      <c r="E1709" s="26"/>
      <c r="F1709" s="26"/>
      <c r="G1709" s="26"/>
      <c r="H1709" s="254"/>
      <c r="I1709" s="49"/>
      <c r="J1709" s="49"/>
      <c r="K1709" s="52" t="str">
        <f t="shared" ref="K1709:K1772" si="263">IFERROR(J1709/I1709,"")</f>
        <v/>
      </c>
      <c r="L1709" s="209" t="str">
        <f t="shared" ref="L1709:L1772" si="264">IF(I1709="","",I1709-J1709)</f>
        <v/>
      </c>
      <c r="M1709" s="210" t="str">
        <f t="shared" ref="M1709:M1772" si="265">IFERROR(1-K1709,"")</f>
        <v/>
      </c>
      <c r="N1709" s="26"/>
      <c r="O1709" s="27"/>
      <c r="P1709" s="27"/>
      <c r="Q1709" s="2">
        <f t="shared" si="257"/>
        <v>0</v>
      </c>
      <c r="S1709" s="7">
        <f t="shared" si="260"/>
        <v>0</v>
      </c>
      <c r="T1709" s="157">
        <f t="shared" si="261"/>
        <v>0</v>
      </c>
      <c r="V1709" s="191">
        <f t="shared" si="258"/>
        <v>1</v>
      </c>
      <c r="W1709" s="7">
        <f t="shared" si="259"/>
        <v>1900</v>
      </c>
    </row>
    <row r="1710" spans="2:23" ht="31.95" customHeight="1" thickBot="1" x14ac:dyDescent="0.35">
      <c r="B1710" s="26"/>
      <c r="C1710" s="51" t="str">
        <f t="shared" si="262"/>
        <v/>
      </c>
      <c r="D1710" s="27"/>
      <c r="E1710" s="26"/>
      <c r="F1710" s="26"/>
      <c r="G1710" s="26"/>
      <c r="H1710" s="254"/>
      <c r="I1710" s="49"/>
      <c r="J1710" s="49"/>
      <c r="K1710" s="52" t="str">
        <f t="shared" si="263"/>
        <v/>
      </c>
      <c r="L1710" s="209" t="str">
        <f t="shared" si="264"/>
        <v/>
      </c>
      <c r="M1710" s="210" t="str">
        <f t="shared" si="265"/>
        <v/>
      </c>
      <c r="N1710" s="26"/>
      <c r="O1710" s="27"/>
      <c r="P1710" s="27"/>
      <c r="Q1710" s="2">
        <f t="shared" si="257"/>
        <v>0</v>
      </c>
      <c r="S1710" s="7">
        <f t="shared" si="260"/>
        <v>0</v>
      </c>
      <c r="T1710" s="157">
        <f t="shared" si="261"/>
        <v>0</v>
      </c>
      <c r="V1710" s="191">
        <f t="shared" si="258"/>
        <v>1</v>
      </c>
      <c r="W1710" s="7">
        <f t="shared" si="259"/>
        <v>1900</v>
      </c>
    </row>
    <row r="1711" spans="2:23" ht="31.95" customHeight="1" thickBot="1" x14ac:dyDescent="0.35">
      <c r="B1711" s="26"/>
      <c r="C1711" s="51" t="str">
        <f t="shared" si="262"/>
        <v/>
      </c>
      <c r="D1711" s="27"/>
      <c r="E1711" s="26"/>
      <c r="F1711" s="26"/>
      <c r="G1711" s="26"/>
      <c r="H1711" s="254"/>
      <c r="I1711" s="49"/>
      <c r="J1711" s="49"/>
      <c r="K1711" s="52" t="str">
        <f t="shared" si="263"/>
        <v/>
      </c>
      <c r="L1711" s="209" t="str">
        <f t="shared" si="264"/>
        <v/>
      </c>
      <c r="M1711" s="210" t="str">
        <f t="shared" si="265"/>
        <v/>
      </c>
      <c r="N1711" s="26"/>
      <c r="O1711" s="27"/>
      <c r="P1711" s="27"/>
      <c r="Q1711" s="2">
        <f t="shared" si="257"/>
        <v>0</v>
      </c>
      <c r="S1711" s="7">
        <f t="shared" si="260"/>
        <v>0</v>
      </c>
      <c r="T1711" s="157">
        <f t="shared" si="261"/>
        <v>0</v>
      </c>
      <c r="V1711" s="191">
        <f t="shared" si="258"/>
        <v>1</v>
      </c>
      <c r="W1711" s="7">
        <f t="shared" si="259"/>
        <v>1900</v>
      </c>
    </row>
    <row r="1712" spans="2:23" ht="31.95" customHeight="1" thickBot="1" x14ac:dyDescent="0.35">
      <c r="B1712" s="26"/>
      <c r="C1712" s="51" t="str">
        <f t="shared" si="262"/>
        <v/>
      </c>
      <c r="D1712" s="27"/>
      <c r="E1712" s="26"/>
      <c r="F1712" s="26"/>
      <c r="G1712" s="26"/>
      <c r="H1712" s="254"/>
      <c r="I1712" s="49"/>
      <c r="J1712" s="49"/>
      <c r="K1712" s="52" t="str">
        <f t="shared" si="263"/>
        <v/>
      </c>
      <c r="L1712" s="209" t="str">
        <f t="shared" si="264"/>
        <v/>
      </c>
      <c r="M1712" s="210" t="str">
        <f t="shared" si="265"/>
        <v/>
      </c>
      <c r="N1712" s="26"/>
      <c r="O1712" s="27"/>
      <c r="P1712" s="27"/>
      <c r="Q1712" s="2">
        <f t="shared" si="257"/>
        <v>0</v>
      </c>
      <c r="S1712" s="7">
        <f t="shared" si="260"/>
        <v>0</v>
      </c>
      <c r="T1712" s="157">
        <f t="shared" si="261"/>
        <v>0</v>
      </c>
      <c r="V1712" s="191">
        <f t="shared" si="258"/>
        <v>1</v>
      </c>
      <c r="W1712" s="7">
        <f t="shared" si="259"/>
        <v>1900</v>
      </c>
    </row>
    <row r="1713" spans="2:23" ht="31.95" customHeight="1" thickBot="1" x14ac:dyDescent="0.35">
      <c r="B1713" s="26"/>
      <c r="C1713" s="51" t="str">
        <f t="shared" si="262"/>
        <v/>
      </c>
      <c r="D1713" s="27"/>
      <c r="E1713" s="26"/>
      <c r="F1713" s="26"/>
      <c r="G1713" s="26"/>
      <c r="H1713" s="254"/>
      <c r="I1713" s="49"/>
      <c r="J1713" s="49"/>
      <c r="K1713" s="52" t="str">
        <f t="shared" si="263"/>
        <v/>
      </c>
      <c r="L1713" s="209" t="str">
        <f t="shared" si="264"/>
        <v/>
      </c>
      <c r="M1713" s="210" t="str">
        <f t="shared" si="265"/>
        <v/>
      </c>
      <c r="N1713" s="26"/>
      <c r="O1713" s="27"/>
      <c r="P1713" s="27"/>
      <c r="Q1713" s="2">
        <f t="shared" si="257"/>
        <v>0</v>
      </c>
      <c r="S1713" s="7">
        <f t="shared" si="260"/>
        <v>0</v>
      </c>
      <c r="T1713" s="157">
        <f t="shared" si="261"/>
        <v>0</v>
      </c>
      <c r="V1713" s="191">
        <f t="shared" si="258"/>
        <v>1</v>
      </c>
      <c r="W1713" s="7">
        <f t="shared" si="259"/>
        <v>1900</v>
      </c>
    </row>
    <row r="1714" spans="2:23" ht="31.95" customHeight="1" thickBot="1" x14ac:dyDescent="0.35">
      <c r="B1714" s="26"/>
      <c r="C1714" s="51" t="str">
        <f t="shared" si="262"/>
        <v/>
      </c>
      <c r="D1714" s="27"/>
      <c r="E1714" s="26"/>
      <c r="F1714" s="26"/>
      <c r="G1714" s="26"/>
      <c r="H1714" s="254"/>
      <c r="I1714" s="49"/>
      <c r="J1714" s="49"/>
      <c r="K1714" s="52" t="str">
        <f t="shared" si="263"/>
        <v/>
      </c>
      <c r="L1714" s="209" t="str">
        <f t="shared" si="264"/>
        <v/>
      </c>
      <c r="M1714" s="210" t="str">
        <f t="shared" si="265"/>
        <v/>
      </c>
      <c r="N1714" s="26"/>
      <c r="O1714" s="27"/>
      <c r="P1714" s="27"/>
      <c r="Q1714" s="2">
        <f t="shared" si="257"/>
        <v>0</v>
      </c>
      <c r="S1714" s="7">
        <f t="shared" si="260"/>
        <v>0</v>
      </c>
      <c r="T1714" s="157">
        <f t="shared" si="261"/>
        <v>0</v>
      </c>
      <c r="V1714" s="191">
        <f t="shared" si="258"/>
        <v>1</v>
      </c>
      <c r="W1714" s="7">
        <f t="shared" si="259"/>
        <v>1900</v>
      </c>
    </row>
    <row r="1715" spans="2:23" ht="31.95" customHeight="1" thickBot="1" x14ac:dyDescent="0.35">
      <c r="B1715" s="26"/>
      <c r="C1715" s="51" t="str">
        <f t="shared" si="262"/>
        <v/>
      </c>
      <c r="D1715" s="27"/>
      <c r="E1715" s="26"/>
      <c r="F1715" s="26"/>
      <c r="G1715" s="26"/>
      <c r="H1715" s="254"/>
      <c r="I1715" s="49"/>
      <c r="J1715" s="49"/>
      <c r="K1715" s="52" t="str">
        <f t="shared" si="263"/>
        <v/>
      </c>
      <c r="L1715" s="209" t="str">
        <f t="shared" si="264"/>
        <v/>
      </c>
      <c r="M1715" s="210" t="str">
        <f t="shared" si="265"/>
        <v/>
      </c>
      <c r="N1715" s="26"/>
      <c r="O1715" s="27"/>
      <c r="P1715" s="27"/>
      <c r="Q1715" s="2">
        <f t="shared" si="257"/>
        <v>0</v>
      </c>
      <c r="S1715" s="7">
        <f t="shared" si="260"/>
        <v>0</v>
      </c>
      <c r="T1715" s="157">
        <f t="shared" si="261"/>
        <v>0</v>
      </c>
      <c r="V1715" s="191">
        <f t="shared" si="258"/>
        <v>1</v>
      </c>
      <c r="W1715" s="7">
        <f t="shared" si="259"/>
        <v>1900</v>
      </c>
    </row>
    <row r="1716" spans="2:23" ht="31.95" customHeight="1" thickBot="1" x14ac:dyDescent="0.35">
      <c r="B1716" s="26"/>
      <c r="C1716" s="51" t="str">
        <f t="shared" si="262"/>
        <v/>
      </c>
      <c r="D1716" s="27"/>
      <c r="E1716" s="26"/>
      <c r="F1716" s="26"/>
      <c r="G1716" s="26"/>
      <c r="H1716" s="254"/>
      <c r="I1716" s="49"/>
      <c r="J1716" s="49"/>
      <c r="K1716" s="52" t="str">
        <f t="shared" si="263"/>
        <v/>
      </c>
      <c r="L1716" s="209" t="str">
        <f t="shared" si="264"/>
        <v/>
      </c>
      <c r="M1716" s="210" t="str">
        <f t="shared" si="265"/>
        <v/>
      </c>
      <c r="N1716" s="26"/>
      <c r="O1716" s="27"/>
      <c r="P1716" s="27"/>
      <c r="Q1716" s="2">
        <f t="shared" si="257"/>
        <v>0</v>
      </c>
      <c r="S1716" s="7">
        <f t="shared" si="260"/>
        <v>0</v>
      </c>
      <c r="T1716" s="157">
        <f t="shared" si="261"/>
        <v>0</v>
      </c>
      <c r="V1716" s="191">
        <f t="shared" si="258"/>
        <v>1</v>
      </c>
      <c r="W1716" s="7">
        <f t="shared" si="259"/>
        <v>1900</v>
      </c>
    </row>
    <row r="1717" spans="2:23" ht="31.95" customHeight="1" thickBot="1" x14ac:dyDescent="0.35">
      <c r="B1717" s="26"/>
      <c r="C1717" s="51" t="str">
        <f t="shared" si="262"/>
        <v/>
      </c>
      <c r="D1717" s="27"/>
      <c r="E1717" s="26"/>
      <c r="F1717" s="26"/>
      <c r="G1717" s="26"/>
      <c r="H1717" s="254"/>
      <c r="I1717" s="49"/>
      <c r="J1717" s="49"/>
      <c r="K1717" s="52" t="str">
        <f t="shared" si="263"/>
        <v/>
      </c>
      <c r="L1717" s="209" t="str">
        <f t="shared" si="264"/>
        <v/>
      </c>
      <c r="M1717" s="210" t="str">
        <f t="shared" si="265"/>
        <v/>
      </c>
      <c r="N1717" s="26"/>
      <c r="O1717" s="27"/>
      <c r="P1717" s="27"/>
      <c r="Q1717" s="2">
        <f t="shared" si="257"/>
        <v>0</v>
      </c>
      <c r="S1717" s="7">
        <f t="shared" si="260"/>
        <v>0</v>
      </c>
      <c r="T1717" s="157">
        <f t="shared" si="261"/>
        <v>0</v>
      </c>
      <c r="V1717" s="191">
        <f t="shared" si="258"/>
        <v>1</v>
      </c>
      <c r="W1717" s="7">
        <f t="shared" si="259"/>
        <v>1900</v>
      </c>
    </row>
    <row r="1718" spans="2:23" ht="31.95" customHeight="1" thickBot="1" x14ac:dyDescent="0.35">
      <c r="B1718" s="26"/>
      <c r="C1718" s="51" t="str">
        <f t="shared" si="262"/>
        <v/>
      </c>
      <c r="D1718" s="27"/>
      <c r="E1718" s="26"/>
      <c r="F1718" s="26"/>
      <c r="G1718" s="26"/>
      <c r="H1718" s="254"/>
      <c r="I1718" s="49"/>
      <c r="J1718" s="49"/>
      <c r="K1718" s="52" t="str">
        <f t="shared" si="263"/>
        <v/>
      </c>
      <c r="L1718" s="209" t="str">
        <f t="shared" si="264"/>
        <v/>
      </c>
      <c r="M1718" s="210" t="str">
        <f t="shared" si="265"/>
        <v/>
      </c>
      <c r="N1718" s="26"/>
      <c r="O1718" s="27"/>
      <c r="P1718" s="27"/>
      <c r="Q1718" s="2">
        <f t="shared" si="257"/>
        <v>0</v>
      </c>
      <c r="S1718" s="7">
        <f t="shared" si="260"/>
        <v>0</v>
      </c>
      <c r="T1718" s="157">
        <f t="shared" si="261"/>
        <v>0</v>
      </c>
      <c r="V1718" s="191">
        <f t="shared" si="258"/>
        <v>1</v>
      </c>
      <c r="W1718" s="7">
        <f t="shared" si="259"/>
        <v>1900</v>
      </c>
    </row>
    <row r="1719" spans="2:23" ht="31.95" customHeight="1" thickBot="1" x14ac:dyDescent="0.35">
      <c r="B1719" s="26"/>
      <c r="C1719" s="51" t="str">
        <f t="shared" si="262"/>
        <v/>
      </c>
      <c r="D1719" s="27"/>
      <c r="E1719" s="26"/>
      <c r="F1719" s="26"/>
      <c r="G1719" s="26"/>
      <c r="H1719" s="254"/>
      <c r="I1719" s="49"/>
      <c r="J1719" s="49"/>
      <c r="K1719" s="52" t="str">
        <f t="shared" si="263"/>
        <v/>
      </c>
      <c r="L1719" s="209" t="str">
        <f t="shared" si="264"/>
        <v/>
      </c>
      <c r="M1719" s="210" t="str">
        <f t="shared" si="265"/>
        <v/>
      </c>
      <c r="N1719" s="26"/>
      <c r="O1719" s="27"/>
      <c r="P1719" s="27"/>
      <c r="Q1719" s="2">
        <f t="shared" si="257"/>
        <v>0</v>
      </c>
      <c r="S1719" s="7">
        <f t="shared" si="260"/>
        <v>0</v>
      </c>
      <c r="T1719" s="157">
        <f t="shared" si="261"/>
        <v>0</v>
      </c>
      <c r="V1719" s="191">
        <f t="shared" si="258"/>
        <v>1</v>
      </c>
      <c r="W1719" s="7">
        <f t="shared" si="259"/>
        <v>1900</v>
      </c>
    </row>
    <row r="1720" spans="2:23" ht="31.95" customHeight="1" thickBot="1" x14ac:dyDescent="0.35">
      <c r="B1720" s="26"/>
      <c r="C1720" s="51" t="str">
        <f t="shared" si="262"/>
        <v/>
      </c>
      <c r="D1720" s="27"/>
      <c r="E1720" s="26"/>
      <c r="F1720" s="26"/>
      <c r="G1720" s="26"/>
      <c r="H1720" s="254"/>
      <c r="I1720" s="49"/>
      <c r="J1720" s="49"/>
      <c r="K1720" s="52" t="str">
        <f t="shared" si="263"/>
        <v/>
      </c>
      <c r="L1720" s="209" t="str">
        <f t="shared" si="264"/>
        <v/>
      </c>
      <c r="M1720" s="210" t="str">
        <f t="shared" si="265"/>
        <v/>
      </c>
      <c r="N1720" s="26"/>
      <c r="O1720" s="27"/>
      <c r="P1720" s="27"/>
      <c r="Q1720" s="2">
        <f t="shared" si="257"/>
        <v>0</v>
      </c>
      <c r="S1720" s="7">
        <f t="shared" si="260"/>
        <v>0</v>
      </c>
      <c r="T1720" s="157">
        <f t="shared" si="261"/>
        <v>0</v>
      </c>
      <c r="V1720" s="191">
        <f t="shared" si="258"/>
        <v>1</v>
      </c>
      <c r="W1720" s="7">
        <f t="shared" si="259"/>
        <v>1900</v>
      </c>
    </row>
    <row r="1721" spans="2:23" ht="31.95" customHeight="1" thickBot="1" x14ac:dyDescent="0.35">
      <c r="B1721" s="26"/>
      <c r="C1721" s="51" t="str">
        <f t="shared" si="262"/>
        <v/>
      </c>
      <c r="D1721" s="27"/>
      <c r="E1721" s="26"/>
      <c r="F1721" s="26"/>
      <c r="G1721" s="26"/>
      <c r="H1721" s="254"/>
      <c r="I1721" s="49"/>
      <c r="J1721" s="49"/>
      <c r="K1721" s="52" t="str">
        <f t="shared" si="263"/>
        <v/>
      </c>
      <c r="L1721" s="209" t="str">
        <f t="shared" si="264"/>
        <v/>
      </c>
      <c r="M1721" s="210" t="str">
        <f t="shared" si="265"/>
        <v/>
      </c>
      <c r="N1721" s="26"/>
      <c r="O1721" s="27"/>
      <c r="P1721" s="27"/>
      <c r="Q1721" s="2">
        <f t="shared" si="257"/>
        <v>0</v>
      </c>
      <c r="S1721" s="7">
        <f t="shared" si="260"/>
        <v>0</v>
      </c>
      <c r="T1721" s="157">
        <f t="shared" si="261"/>
        <v>0</v>
      </c>
      <c r="V1721" s="191">
        <f t="shared" si="258"/>
        <v>1</v>
      </c>
      <c r="W1721" s="7">
        <f t="shared" si="259"/>
        <v>1900</v>
      </c>
    </row>
    <row r="1722" spans="2:23" ht="31.95" customHeight="1" thickBot="1" x14ac:dyDescent="0.35">
      <c r="B1722" s="26"/>
      <c r="C1722" s="51" t="str">
        <f t="shared" si="262"/>
        <v/>
      </c>
      <c r="D1722" s="27"/>
      <c r="E1722" s="26"/>
      <c r="F1722" s="26"/>
      <c r="G1722" s="26"/>
      <c r="H1722" s="254"/>
      <c r="I1722" s="49"/>
      <c r="J1722" s="49"/>
      <c r="K1722" s="52" t="str">
        <f t="shared" si="263"/>
        <v/>
      </c>
      <c r="L1722" s="209" t="str">
        <f t="shared" si="264"/>
        <v/>
      </c>
      <c r="M1722" s="210" t="str">
        <f t="shared" si="265"/>
        <v/>
      </c>
      <c r="N1722" s="26"/>
      <c r="O1722" s="27"/>
      <c r="P1722" s="27"/>
      <c r="Q1722" s="2">
        <f t="shared" si="257"/>
        <v>0</v>
      </c>
      <c r="S1722" s="7">
        <f t="shared" si="260"/>
        <v>0</v>
      </c>
      <c r="T1722" s="157">
        <f t="shared" si="261"/>
        <v>0</v>
      </c>
      <c r="V1722" s="191">
        <f t="shared" si="258"/>
        <v>1</v>
      </c>
      <c r="W1722" s="7">
        <f t="shared" si="259"/>
        <v>1900</v>
      </c>
    </row>
    <row r="1723" spans="2:23" ht="31.95" customHeight="1" thickBot="1" x14ac:dyDescent="0.35">
      <c r="B1723" s="26"/>
      <c r="C1723" s="51" t="str">
        <f t="shared" si="262"/>
        <v/>
      </c>
      <c r="D1723" s="27"/>
      <c r="E1723" s="26"/>
      <c r="F1723" s="26"/>
      <c r="G1723" s="26"/>
      <c r="H1723" s="254"/>
      <c r="I1723" s="49"/>
      <c r="J1723" s="49"/>
      <c r="K1723" s="52" t="str">
        <f t="shared" si="263"/>
        <v/>
      </c>
      <c r="L1723" s="209" t="str">
        <f t="shared" si="264"/>
        <v/>
      </c>
      <c r="M1723" s="210" t="str">
        <f t="shared" si="265"/>
        <v/>
      </c>
      <c r="N1723" s="26"/>
      <c r="O1723" s="27"/>
      <c r="P1723" s="27"/>
      <c r="Q1723" s="2">
        <f t="shared" si="257"/>
        <v>0</v>
      </c>
      <c r="S1723" s="7">
        <f t="shared" si="260"/>
        <v>0</v>
      </c>
      <c r="T1723" s="157">
        <f t="shared" si="261"/>
        <v>0</v>
      </c>
      <c r="V1723" s="191">
        <f t="shared" si="258"/>
        <v>1</v>
      </c>
      <c r="W1723" s="7">
        <f t="shared" si="259"/>
        <v>1900</v>
      </c>
    </row>
    <row r="1724" spans="2:23" ht="31.95" customHeight="1" thickBot="1" x14ac:dyDescent="0.35">
      <c r="B1724" s="26"/>
      <c r="C1724" s="51" t="str">
        <f t="shared" si="262"/>
        <v/>
      </c>
      <c r="D1724" s="27"/>
      <c r="E1724" s="26"/>
      <c r="F1724" s="26"/>
      <c r="G1724" s="26"/>
      <c r="H1724" s="254"/>
      <c r="I1724" s="49"/>
      <c r="J1724" s="49"/>
      <c r="K1724" s="52" t="str">
        <f t="shared" si="263"/>
        <v/>
      </c>
      <c r="L1724" s="209" t="str">
        <f t="shared" si="264"/>
        <v/>
      </c>
      <c r="M1724" s="210" t="str">
        <f t="shared" si="265"/>
        <v/>
      </c>
      <c r="N1724" s="26"/>
      <c r="O1724" s="27"/>
      <c r="P1724" s="27"/>
      <c r="Q1724" s="2">
        <f t="shared" si="257"/>
        <v>0</v>
      </c>
      <c r="S1724" s="7">
        <f t="shared" si="260"/>
        <v>0</v>
      </c>
      <c r="T1724" s="157">
        <f t="shared" si="261"/>
        <v>0</v>
      </c>
      <c r="V1724" s="191">
        <f t="shared" si="258"/>
        <v>1</v>
      </c>
      <c r="W1724" s="7">
        <f t="shared" si="259"/>
        <v>1900</v>
      </c>
    </row>
    <row r="1725" spans="2:23" ht="31.95" customHeight="1" thickBot="1" x14ac:dyDescent="0.35">
      <c r="B1725" s="26"/>
      <c r="C1725" s="51" t="str">
        <f t="shared" si="262"/>
        <v/>
      </c>
      <c r="D1725" s="27"/>
      <c r="E1725" s="26"/>
      <c r="F1725" s="26"/>
      <c r="G1725" s="26"/>
      <c r="H1725" s="254"/>
      <c r="I1725" s="49"/>
      <c r="J1725" s="49"/>
      <c r="K1725" s="52" t="str">
        <f t="shared" si="263"/>
        <v/>
      </c>
      <c r="L1725" s="209" t="str">
        <f t="shared" si="264"/>
        <v/>
      </c>
      <c r="M1725" s="210" t="str">
        <f t="shared" si="265"/>
        <v/>
      </c>
      <c r="N1725" s="26"/>
      <c r="O1725" s="27"/>
      <c r="P1725" s="27"/>
      <c r="Q1725" s="2">
        <f t="shared" si="257"/>
        <v>0</v>
      </c>
      <c r="S1725" s="7">
        <f t="shared" si="260"/>
        <v>0</v>
      </c>
      <c r="T1725" s="157">
        <f t="shared" si="261"/>
        <v>0</v>
      </c>
      <c r="V1725" s="191">
        <f t="shared" si="258"/>
        <v>1</v>
      </c>
      <c r="W1725" s="7">
        <f t="shared" si="259"/>
        <v>1900</v>
      </c>
    </row>
    <row r="1726" spans="2:23" ht="31.95" customHeight="1" thickBot="1" x14ac:dyDescent="0.35">
      <c r="B1726" s="26"/>
      <c r="C1726" s="51" t="str">
        <f t="shared" si="262"/>
        <v/>
      </c>
      <c r="D1726" s="27"/>
      <c r="E1726" s="26"/>
      <c r="F1726" s="26"/>
      <c r="G1726" s="26"/>
      <c r="H1726" s="254"/>
      <c r="I1726" s="49"/>
      <c r="J1726" s="49"/>
      <c r="K1726" s="52" t="str">
        <f t="shared" si="263"/>
        <v/>
      </c>
      <c r="L1726" s="209" t="str">
        <f t="shared" si="264"/>
        <v/>
      </c>
      <c r="M1726" s="210" t="str">
        <f t="shared" si="265"/>
        <v/>
      </c>
      <c r="N1726" s="26"/>
      <c r="O1726" s="27"/>
      <c r="P1726" s="27"/>
      <c r="Q1726" s="2">
        <f t="shared" si="257"/>
        <v>0</v>
      </c>
      <c r="S1726" s="7">
        <f t="shared" si="260"/>
        <v>0</v>
      </c>
      <c r="T1726" s="157">
        <f t="shared" si="261"/>
        <v>0</v>
      </c>
      <c r="V1726" s="191">
        <f t="shared" si="258"/>
        <v>1</v>
      </c>
      <c r="W1726" s="7">
        <f t="shared" si="259"/>
        <v>1900</v>
      </c>
    </row>
    <row r="1727" spans="2:23" ht="31.95" customHeight="1" thickBot="1" x14ac:dyDescent="0.35">
      <c r="B1727" s="26"/>
      <c r="C1727" s="51" t="str">
        <f t="shared" si="262"/>
        <v/>
      </c>
      <c r="D1727" s="27"/>
      <c r="E1727" s="26"/>
      <c r="F1727" s="26"/>
      <c r="G1727" s="26"/>
      <c r="H1727" s="254"/>
      <c r="I1727" s="49"/>
      <c r="J1727" s="49"/>
      <c r="K1727" s="52" t="str">
        <f t="shared" si="263"/>
        <v/>
      </c>
      <c r="L1727" s="209" t="str">
        <f t="shared" si="264"/>
        <v/>
      </c>
      <c r="M1727" s="210" t="str">
        <f t="shared" si="265"/>
        <v/>
      </c>
      <c r="N1727" s="26"/>
      <c r="O1727" s="27"/>
      <c r="P1727" s="27"/>
      <c r="Q1727" s="2">
        <f t="shared" si="257"/>
        <v>0</v>
      </c>
      <c r="S1727" s="7">
        <f t="shared" si="260"/>
        <v>0</v>
      </c>
      <c r="T1727" s="157">
        <f t="shared" si="261"/>
        <v>0</v>
      </c>
      <c r="V1727" s="191">
        <f t="shared" si="258"/>
        <v>1</v>
      </c>
      <c r="W1727" s="7">
        <f t="shared" si="259"/>
        <v>1900</v>
      </c>
    </row>
    <row r="1728" spans="2:23" ht="31.95" customHeight="1" thickBot="1" x14ac:dyDescent="0.35">
      <c r="B1728" s="26"/>
      <c r="C1728" s="51" t="str">
        <f t="shared" si="262"/>
        <v/>
      </c>
      <c r="D1728" s="27"/>
      <c r="E1728" s="26"/>
      <c r="F1728" s="26"/>
      <c r="G1728" s="26"/>
      <c r="H1728" s="254"/>
      <c r="I1728" s="49"/>
      <c r="J1728" s="49"/>
      <c r="K1728" s="52" t="str">
        <f t="shared" si="263"/>
        <v/>
      </c>
      <c r="L1728" s="209" t="str">
        <f t="shared" si="264"/>
        <v/>
      </c>
      <c r="M1728" s="210" t="str">
        <f t="shared" si="265"/>
        <v/>
      </c>
      <c r="N1728" s="26"/>
      <c r="O1728" s="27"/>
      <c r="P1728" s="27"/>
      <c r="Q1728" s="2">
        <f t="shared" si="257"/>
        <v>0</v>
      </c>
      <c r="S1728" s="7">
        <f t="shared" si="260"/>
        <v>0</v>
      </c>
      <c r="T1728" s="157">
        <f t="shared" si="261"/>
        <v>0</v>
      </c>
      <c r="V1728" s="191">
        <f t="shared" si="258"/>
        <v>1</v>
      </c>
      <c r="W1728" s="7">
        <f t="shared" si="259"/>
        <v>1900</v>
      </c>
    </row>
    <row r="1729" spans="2:23" ht="31.95" customHeight="1" thickBot="1" x14ac:dyDescent="0.35">
      <c r="B1729" s="26"/>
      <c r="C1729" s="51" t="str">
        <f t="shared" si="262"/>
        <v/>
      </c>
      <c r="D1729" s="27"/>
      <c r="E1729" s="26"/>
      <c r="F1729" s="26"/>
      <c r="G1729" s="26"/>
      <c r="H1729" s="254"/>
      <c r="I1729" s="49"/>
      <c r="J1729" s="49"/>
      <c r="K1729" s="52" t="str">
        <f t="shared" si="263"/>
        <v/>
      </c>
      <c r="L1729" s="209" t="str">
        <f t="shared" si="264"/>
        <v/>
      </c>
      <c r="M1729" s="210" t="str">
        <f t="shared" si="265"/>
        <v/>
      </c>
      <c r="N1729" s="26"/>
      <c r="O1729" s="27"/>
      <c r="P1729" s="27"/>
      <c r="Q1729" s="2">
        <f t="shared" si="257"/>
        <v>0</v>
      </c>
      <c r="S1729" s="7">
        <f t="shared" si="260"/>
        <v>0</v>
      </c>
      <c r="T1729" s="157">
        <f t="shared" si="261"/>
        <v>0</v>
      </c>
      <c r="V1729" s="191">
        <f t="shared" si="258"/>
        <v>1</v>
      </c>
      <c r="W1729" s="7">
        <f t="shared" si="259"/>
        <v>1900</v>
      </c>
    </row>
    <row r="1730" spans="2:23" ht="31.95" customHeight="1" thickBot="1" x14ac:dyDescent="0.35">
      <c r="B1730" s="26"/>
      <c r="C1730" s="51" t="str">
        <f t="shared" si="262"/>
        <v/>
      </c>
      <c r="D1730" s="27"/>
      <c r="E1730" s="26"/>
      <c r="F1730" s="26"/>
      <c r="G1730" s="26"/>
      <c r="H1730" s="254"/>
      <c r="I1730" s="49"/>
      <c r="J1730" s="49"/>
      <c r="K1730" s="52" t="str">
        <f t="shared" si="263"/>
        <v/>
      </c>
      <c r="L1730" s="209" t="str">
        <f t="shared" si="264"/>
        <v/>
      </c>
      <c r="M1730" s="210" t="str">
        <f t="shared" si="265"/>
        <v/>
      </c>
      <c r="N1730" s="26"/>
      <c r="O1730" s="27"/>
      <c r="P1730" s="27"/>
      <c r="Q1730" s="2">
        <f t="shared" si="257"/>
        <v>0</v>
      </c>
      <c r="S1730" s="7">
        <f t="shared" si="260"/>
        <v>0</v>
      </c>
      <c r="T1730" s="157">
        <f t="shared" si="261"/>
        <v>0</v>
      </c>
      <c r="V1730" s="191">
        <f t="shared" si="258"/>
        <v>1</v>
      </c>
      <c r="W1730" s="7">
        <f t="shared" si="259"/>
        <v>1900</v>
      </c>
    </row>
    <row r="1731" spans="2:23" ht="31.95" customHeight="1" thickBot="1" x14ac:dyDescent="0.35">
      <c r="B1731" s="26"/>
      <c r="C1731" s="51" t="str">
        <f t="shared" si="262"/>
        <v/>
      </c>
      <c r="D1731" s="27"/>
      <c r="E1731" s="26"/>
      <c r="F1731" s="26"/>
      <c r="G1731" s="26"/>
      <c r="H1731" s="254"/>
      <c r="I1731" s="49"/>
      <c r="J1731" s="49"/>
      <c r="K1731" s="52" t="str">
        <f t="shared" si="263"/>
        <v/>
      </c>
      <c r="L1731" s="209" t="str">
        <f t="shared" si="264"/>
        <v/>
      </c>
      <c r="M1731" s="210" t="str">
        <f t="shared" si="265"/>
        <v/>
      </c>
      <c r="N1731" s="26"/>
      <c r="O1731" s="27"/>
      <c r="P1731" s="27"/>
      <c r="Q1731" s="2">
        <f t="shared" si="257"/>
        <v>0</v>
      </c>
      <c r="S1731" s="7">
        <f t="shared" si="260"/>
        <v>0</v>
      </c>
      <c r="T1731" s="157">
        <f t="shared" si="261"/>
        <v>0</v>
      </c>
      <c r="V1731" s="191">
        <f t="shared" si="258"/>
        <v>1</v>
      </c>
      <c r="W1731" s="7">
        <f t="shared" si="259"/>
        <v>1900</v>
      </c>
    </row>
    <row r="1732" spans="2:23" ht="31.95" customHeight="1" thickBot="1" x14ac:dyDescent="0.35">
      <c r="B1732" s="26"/>
      <c r="C1732" s="51" t="str">
        <f t="shared" si="262"/>
        <v/>
      </c>
      <c r="D1732" s="27"/>
      <c r="E1732" s="26"/>
      <c r="F1732" s="26"/>
      <c r="G1732" s="26"/>
      <c r="H1732" s="254"/>
      <c r="I1732" s="49"/>
      <c r="J1732" s="49"/>
      <c r="K1732" s="52" t="str">
        <f t="shared" si="263"/>
        <v/>
      </c>
      <c r="L1732" s="209" t="str">
        <f t="shared" si="264"/>
        <v/>
      </c>
      <c r="M1732" s="210" t="str">
        <f t="shared" si="265"/>
        <v/>
      </c>
      <c r="N1732" s="26"/>
      <c r="O1732" s="27"/>
      <c r="P1732" s="27"/>
      <c r="Q1732" s="2">
        <f t="shared" si="257"/>
        <v>0</v>
      </c>
      <c r="S1732" s="7">
        <f t="shared" si="260"/>
        <v>0</v>
      </c>
      <c r="T1732" s="157">
        <f t="shared" si="261"/>
        <v>0</v>
      </c>
      <c r="V1732" s="191">
        <f t="shared" si="258"/>
        <v>1</v>
      </c>
      <c r="W1732" s="7">
        <f t="shared" si="259"/>
        <v>1900</v>
      </c>
    </row>
    <row r="1733" spans="2:23" ht="31.95" customHeight="1" thickBot="1" x14ac:dyDescent="0.35">
      <c r="B1733" s="26"/>
      <c r="C1733" s="51" t="str">
        <f t="shared" si="262"/>
        <v/>
      </c>
      <c r="D1733" s="27"/>
      <c r="E1733" s="26"/>
      <c r="F1733" s="26"/>
      <c r="G1733" s="26"/>
      <c r="H1733" s="254"/>
      <c r="I1733" s="49"/>
      <c r="J1733" s="49"/>
      <c r="K1733" s="52" t="str">
        <f t="shared" si="263"/>
        <v/>
      </c>
      <c r="L1733" s="209" t="str">
        <f t="shared" si="264"/>
        <v/>
      </c>
      <c r="M1733" s="210" t="str">
        <f t="shared" si="265"/>
        <v/>
      </c>
      <c r="N1733" s="26"/>
      <c r="O1733" s="27"/>
      <c r="P1733" s="27"/>
      <c r="Q1733" s="2">
        <f t="shared" ref="Q1733:Q1796" si="266">IF(B1733&lt;&gt;"",1,0)</f>
        <v>0</v>
      </c>
      <c r="S1733" s="7">
        <f t="shared" si="260"/>
        <v>0</v>
      </c>
      <c r="T1733" s="157">
        <f t="shared" si="261"/>
        <v>0</v>
      </c>
      <c r="V1733" s="191">
        <f t="shared" ref="V1733:V1796" si="267">MONTH(B1733)</f>
        <v>1</v>
      </c>
      <c r="W1733" s="7">
        <f t="shared" ref="W1733:W1796" si="268">YEAR(B1733)</f>
        <v>1900</v>
      </c>
    </row>
    <row r="1734" spans="2:23" ht="31.95" customHeight="1" thickBot="1" x14ac:dyDescent="0.35">
      <c r="B1734" s="26"/>
      <c r="C1734" s="51" t="str">
        <f t="shared" si="262"/>
        <v/>
      </c>
      <c r="D1734" s="27"/>
      <c r="E1734" s="26"/>
      <c r="F1734" s="26"/>
      <c r="G1734" s="26"/>
      <c r="H1734" s="254"/>
      <c r="I1734" s="49"/>
      <c r="J1734" s="49"/>
      <c r="K1734" s="52" t="str">
        <f t="shared" si="263"/>
        <v/>
      </c>
      <c r="L1734" s="209" t="str">
        <f t="shared" si="264"/>
        <v/>
      </c>
      <c r="M1734" s="210" t="str">
        <f t="shared" si="265"/>
        <v/>
      </c>
      <c r="N1734" s="26"/>
      <c r="O1734" s="27"/>
      <c r="P1734" s="27"/>
      <c r="Q1734" s="2">
        <f t="shared" si="266"/>
        <v>0</v>
      </c>
      <c r="S1734" s="7">
        <f t="shared" ref="S1734:S1797" si="269">IF(AND(O1734&lt;=N1734,O1734&lt;&gt;""),1,0)</f>
        <v>0</v>
      </c>
      <c r="T1734" s="157">
        <f t="shared" ref="T1734:T1797" si="270">IF(AND(P1734&lt;=N1734,P1734&lt;&gt;""),1,0)</f>
        <v>0</v>
      </c>
      <c r="V1734" s="191">
        <f t="shared" si="267"/>
        <v>1</v>
      </c>
      <c r="W1734" s="7">
        <f t="shared" si="268"/>
        <v>1900</v>
      </c>
    </row>
    <row r="1735" spans="2:23" ht="31.95" customHeight="1" thickBot="1" x14ac:dyDescent="0.35">
      <c r="B1735" s="26"/>
      <c r="C1735" s="51" t="str">
        <f t="shared" ref="C1735:C1798" si="271">IF(B1735&lt;&gt;"",C1734+1,"")</f>
        <v/>
      </c>
      <c r="D1735" s="27"/>
      <c r="E1735" s="26"/>
      <c r="F1735" s="26"/>
      <c r="G1735" s="26"/>
      <c r="H1735" s="254"/>
      <c r="I1735" s="49"/>
      <c r="J1735" s="49"/>
      <c r="K1735" s="52" t="str">
        <f t="shared" si="263"/>
        <v/>
      </c>
      <c r="L1735" s="209" t="str">
        <f t="shared" si="264"/>
        <v/>
      </c>
      <c r="M1735" s="210" t="str">
        <f t="shared" si="265"/>
        <v/>
      </c>
      <c r="N1735" s="26"/>
      <c r="O1735" s="27"/>
      <c r="P1735" s="27"/>
      <c r="Q1735" s="2">
        <f t="shared" si="266"/>
        <v>0</v>
      </c>
      <c r="S1735" s="7">
        <f t="shared" si="269"/>
        <v>0</v>
      </c>
      <c r="T1735" s="157">
        <f t="shared" si="270"/>
        <v>0</v>
      </c>
      <c r="V1735" s="191">
        <f t="shared" si="267"/>
        <v>1</v>
      </c>
      <c r="W1735" s="7">
        <f t="shared" si="268"/>
        <v>1900</v>
      </c>
    </row>
    <row r="1736" spans="2:23" ht="31.95" customHeight="1" thickBot="1" x14ac:dyDescent="0.35">
      <c r="B1736" s="26"/>
      <c r="C1736" s="51" t="str">
        <f t="shared" si="271"/>
        <v/>
      </c>
      <c r="D1736" s="27"/>
      <c r="E1736" s="26"/>
      <c r="F1736" s="26"/>
      <c r="G1736" s="26"/>
      <c r="H1736" s="254"/>
      <c r="I1736" s="49"/>
      <c r="J1736" s="49"/>
      <c r="K1736" s="52" t="str">
        <f t="shared" si="263"/>
        <v/>
      </c>
      <c r="L1736" s="209" t="str">
        <f t="shared" si="264"/>
        <v/>
      </c>
      <c r="M1736" s="210" t="str">
        <f t="shared" si="265"/>
        <v/>
      </c>
      <c r="N1736" s="26"/>
      <c r="O1736" s="27"/>
      <c r="P1736" s="27"/>
      <c r="Q1736" s="2">
        <f t="shared" si="266"/>
        <v>0</v>
      </c>
      <c r="S1736" s="7">
        <f t="shared" si="269"/>
        <v>0</v>
      </c>
      <c r="T1736" s="157">
        <f t="shared" si="270"/>
        <v>0</v>
      </c>
      <c r="V1736" s="191">
        <f t="shared" si="267"/>
        <v>1</v>
      </c>
      <c r="W1736" s="7">
        <f t="shared" si="268"/>
        <v>1900</v>
      </c>
    </row>
    <row r="1737" spans="2:23" ht="31.95" customHeight="1" thickBot="1" x14ac:dyDescent="0.35">
      <c r="B1737" s="26"/>
      <c r="C1737" s="51" t="str">
        <f t="shared" si="271"/>
        <v/>
      </c>
      <c r="D1737" s="27"/>
      <c r="E1737" s="26"/>
      <c r="F1737" s="26"/>
      <c r="G1737" s="26"/>
      <c r="H1737" s="254"/>
      <c r="I1737" s="49"/>
      <c r="J1737" s="49"/>
      <c r="K1737" s="52" t="str">
        <f t="shared" si="263"/>
        <v/>
      </c>
      <c r="L1737" s="209" t="str">
        <f t="shared" si="264"/>
        <v/>
      </c>
      <c r="M1737" s="210" t="str">
        <f t="shared" si="265"/>
        <v/>
      </c>
      <c r="N1737" s="26"/>
      <c r="O1737" s="27"/>
      <c r="P1737" s="27"/>
      <c r="Q1737" s="2">
        <f t="shared" si="266"/>
        <v>0</v>
      </c>
      <c r="S1737" s="7">
        <f t="shared" si="269"/>
        <v>0</v>
      </c>
      <c r="T1737" s="157">
        <f t="shared" si="270"/>
        <v>0</v>
      </c>
      <c r="V1737" s="191">
        <f t="shared" si="267"/>
        <v>1</v>
      </c>
      <c r="W1737" s="7">
        <f t="shared" si="268"/>
        <v>1900</v>
      </c>
    </row>
    <row r="1738" spans="2:23" ht="31.95" customHeight="1" thickBot="1" x14ac:dyDescent="0.35">
      <c r="B1738" s="26"/>
      <c r="C1738" s="51" t="str">
        <f t="shared" si="271"/>
        <v/>
      </c>
      <c r="D1738" s="27"/>
      <c r="E1738" s="26"/>
      <c r="F1738" s="26"/>
      <c r="G1738" s="26"/>
      <c r="H1738" s="254"/>
      <c r="I1738" s="49"/>
      <c r="J1738" s="49"/>
      <c r="K1738" s="52" t="str">
        <f t="shared" si="263"/>
        <v/>
      </c>
      <c r="L1738" s="209" t="str">
        <f t="shared" si="264"/>
        <v/>
      </c>
      <c r="M1738" s="210" t="str">
        <f t="shared" si="265"/>
        <v/>
      </c>
      <c r="N1738" s="26"/>
      <c r="O1738" s="27"/>
      <c r="P1738" s="27"/>
      <c r="Q1738" s="2">
        <f t="shared" si="266"/>
        <v>0</v>
      </c>
      <c r="S1738" s="7">
        <f t="shared" si="269"/>
        <v>0</v>
      </c>
      <c r="T1738" s="157">
        <f t="shared" si="270"/>
        <v>0</v>
      </c>
      <c r="V1738" s="191">
        <f t="shared" si="267"/>
        <v>1</v>
      </c>
      <c r="W1738" s="7">
        <f t="shared" si="268"/>
        <v>1900</v>
      </c>
    </row>
    <row r="1739" spans="2:23" ht="31.95" customHeight="1" thickBot="1" x14ac:dyDescent="0.35">
      <c r="B1739" s="26"/>
      <c r="C1739" s="51" t="str">
        <f t="shared" si="271"/>
        <v/>
      </c>
      <c r="D1739" s="27"/>
      <c r="E1739" s="26"/>
      <c r="F1739" s="26"/>
      <c r="G1739" s="26"/>
      <c r="H1739" s="254"/>
      <c r="I1739" s="49"/>
      <c r="J1739" s="49"/>
      <c r="K1739" s="52" t="str">
        <f t="shared" si="263"/>
        <v/>
      </c>
      <c r="L1739" s="209" t="str">
        <f t="shared" si="264"/>
        <v/>
      </c>
      <c r="M1739" s="210" t="str">
        <f t="shared" si="265"/>
        <v/>
      </c>
      <c r="N1739" s="26"/>
      <c r="O1739" s="27"/>
      <c r="P1739" s="27"/>
      <c r="Q1739" s="2">
        <f t="shared" si="266"/>
        <v>0</v>
      </c>
      <c r="S1739" s="7">
        <f t="shared" si="269"/>
        <v>0</v>
      </c>
      <c r="T1739" s="157">
        <f t="shared" si="270"/>
        <v>0</v>
      </c>
      <c r="V1739" s="191">
        <f t="shared" si="267"/>
        <v>1</v>
      </c>
      <c r="W1739" s="7">
        <f t="shared" si="268"/>
        <v>1900</v>
      </c>
    </row>
    <row r="1740" spans="2:23" ht="31.95" customHeight="1" thickBot="1" x14ac:dyDescent="0.35">
      <c r="B1740" s="26"/>
      <c r="C1740" s="51" t="str">
        <f t="shared" si="271"/>
        <v/>
      </c>
      <c r="D1740" s="27"/>
      <c r="E1740" s="26"/>
      <c r="F1740" s="26"/>
      <c r="G1740" s="26"/>
      <c r="H1740" s="254"/>
      <c r="I1740" s="49"/>
      <c r="J1740" s="49"/>
      <c r="K1740" s="52" t="str">
        <f t="shared" si="263"/>
        <v/>
      </c>
      <c r="L1740" s="209" t="str">
        <f t="shared" si="264"/>
        <v/>
      </c>
      <c r="M1740" s="210" t="str">
        <f t="shared" si="265"/>
        <v/>
      </c>
      <c r="N1740" s="26"/>
      <c r="O1740" s="27"/>
      <c r="P1740" s="27"/>
      <c r="Q1740" s="2">
        <f t="shared" si="266"/>
        <v>0</v>
      </c>
      <c r="S1740" s="7">
        <f t="shared" si="269"/>
        <v>0</v>
      </c>
      <c r="T1740" s="157">
        <f t="shared" si="270"/>
        <v>0</v>
      </c>
      <c r="V1740" s="191">
        <f t="shared" si="267"/>
        <v>1</v>
      </c>
      <c r="W1740" s="7">
        <f t="shared" si="268"/>
        <v>1900</v>
      </c>
    </row>
    <row r="1741" spans="2:23" ht="31.95" customHeight="1" thickBot="1" x14ac:dyDescent="0.35">
      <c r="B1741" s="26"/>
      <c r="C1741" s="51" t="str">
        <f t="shared" si="271"/>
        <v/>
      </c>
      <c r="D1741" s="27"/>
      <c r="E1741" s="26"/>
      <c r="F1741" s="26"/>
      <c r="G1741" s="26"/>
      <c r="H1741" s="254"/>
      <c r="I1741" s="49"/>
      <c r="J1741" s="49"/>
      <c r="K1741" s="52" t="str">
        <f t="shared" si="263"/>
        <v/>
      </c>
      <c r="L1741" s="209" t="str">
        <f t="shared" si="264"/>
        <v/>
      </c>
      <c r="M1741" s="210" t="str">
        <f t="shared" si="265"/>
        <v/>
      </c>
      <c r="N1741" s="26"/>
      <c r="O1741" s="27"/>
      <c r="P1741" s="27"/>
      <c r="Q1741" s="2">
        <f t="shared" si="266"/>
        <v>0</v>
      </c>
      <c r="S1741" s="7">
        <f t="shared" si="269"/>
        <v>0</v>
      </c>
      <c r="T1741" s="157">
        <f t="shared" si="270"/>
        <v>0</v>
      </c>
      <c r="V1741" s="191">
        <f t="shared" si="267"/>
        <v>1</v>
      </c>
      <c r="W1741" s="7">
        <f t="shared" si="268"/>
        <v>1900</v>
      </c>
    </row>
    <row r="1742" spans="2:23" ht="31.95" customHeight="1" thickBot="1" x14ac:dyDescent="0.35">
      <c r="B1742" s="26"/>
      <c r="C1742" s="51" t="str">
        <f t="shared" si="271"/>
        <v/>
      </c>
      <c r="D1742" s="27"/>
      <c r="E1742" s="26"/>
      <c r="F1742" s="26"/>
      <c r="G1742" s="26"/>
      <c r="H1742" s="254"/>
      <c r="I1742" s="49"/>
      <c r="J1742" s="49"/>
      <c r="K1742" s="52" t="str">
        <f t="shared" si="263"/>
        <v/>
      </c>
      <c r="L1742" s="209" t="str">
        <f t="shared" si="264"/>
        <v/>
      </c>
      <c r="M1742" s="210" t="str">
        <f t="shared" si="265"/>
        <v/>
      </c>
      <c r="N1742" s="26"/>
      <c r="O1742" s="27"/>
      <c r="P1742" s="27"/>
      <c r="Q1742" s="2">
        <f t="shared" si="266"/>
        <v>0</v>
      </c>
      <c r="S1742" s="7">
        <f t="shared" si="269"/>
        <v>0</v>
      </c>
      <c r="T1742" s="157">
        <f t="shared" si="270"/>
        <v>0</v>
      </c>
      <c r="V1742" s="191">
        <f t="shared" si="267"/>
        <v>1</v>
      </c>
      <c r="W1742" s="7">
        <f t="shared" si="268"/>
        <v>1900</v>
      </c>
    </row>
    <row r="1743" spans="2:23" ht="31.95" customHeight="1" thickBot="1" x14ac:dyDescent="0.35">
      <c r="B1743" s="26"/>
      <c r="C1743" s="51" t="str">
        <f t="shared" si="271"/>
        <v/>
      </c>
      <c r="D1743" s="27"/>
      <c r="E1743" s="26"/>
      <c r="F1743" s="26"/>
      <c r="G1743" s="26"/>
      <c r="H1743" s="254"/>
      <c r="I1743" s="49"/>
      <c r="J1743" s="49"/>
      <c r="K1743" s="52" t="str">
        <f t="shared" si="263"/>
        <v/>
      </c>
      <c r="L1743" s="209" t="str">
        <f t="shared" si="264"/>
        <v/>
      </c>
      <c r="M1743" s="210" t="str">
        <f t="shared" si="265"/>
        <v/>
      </c>
      <c r="N1743" s="26"/>
      <c r="O1743" s="27"/>
      <c r="P1743" s="27"/>
      <c r="Q1743" s="2">
        <f t="shared" si="266"/>
        <v>0</v>
      </c>
      <c r="S1743" s="7">
        <f t="shared" si="269"/>
        <v>0</v>
      </c>
      <c r="T1743" s="157">
        <f t="shared" si="270"/>
        <v>0</v>
      </c>
      <c r="V1743" s="191">
        <f t="shared" si="267"/>
        <v>1</v>
      </c>
      <c r="W1743" s="7">
        <f t="shared" si="268"/>
        <v>1900</v>
      </c>
    </row>
    <row r="1744" spans="2:23" ht="31.95" customHeight="1" thickBot="1" x14ac:dyDescent="0.35">
      <c r="B1744" s="26"/>
      <c r="C1744" s="51" t="str">
        <f t="shared" si="271"/>
        <v/>
      </c>
      <c r="D1744" s="27"/>
      <c r="E1744" s="26"/>
      <c r="F1744" s="26"/>
      <c r="G1744" s="26"/>
      <c r="H1744" s="254"/>
      <c r="I1744" s="49"/>
      <c r="J1744" s="49"/>
      <c r="K1744" s="52" t="str">
        <f t="shared" si="263"/>
        <v/>
      </c>
      <c r="L1744" s="209" t="str">
        <f t="shared" si="264"/>
        <v/>
      </c>
      <c r="M1744" s="210" t="str">
        <f t="shared" si="265"/>
        <v/>
      </c>
      <c r="N1744" s="26"/>
      <c r="O1744" s="27"/>
      <c r="P1744" s="27"/>
      <c r="Q1744" s="2">
        <f t="shared" si="266"/>
        <v>0</v>
      </c>
      <c r="S1744" s="7">
        <f t="shared" si="269"/>
        <v>0</v>
      </c>
      <c r="T1744" s="157">
        <f t="shared" si="270"/>
        <v>0</v>
      </c>
      <c r="V1744" s="191">
        <f t="shared" si="267"/>
        <v>1</v>
      </c>
      <c r="W1744" s="7">
        <f t="shared" si="268"/>
        <v>1900</v>
      </c>
    </row>
    <row r="1745" spans="2:23" ht="31.95" customHeight="1" thickBot="1" x14ac:dyDescent="0.35">
      <c r="B1745" s="26"/>
      <c r="C1745" s="51" t="str">
        <f t="shared" si="271"/>
        <v/>
      </c>
      <c r="D1745" s="27"/>
      <c r="E1745" s="26"/>
      <c r="F1745" s="26"/>
      <c r="G1745" s="26"/>
      <c r="H1745" s="254"/>
      <c r="I1745" s="49"/>
      <c r="J1745" s="49"/>
      <c r="K1745" s="52" t="str">
        <f t="shared" si="263"/>
        <v/>
      </c>
      <c r="L1745" s="209" t="str">
        <f t="shared" si="264"/>
        <v/>
      </c>
      <c r="M1745" s="210" t="str">
        <f t="shared" si="265"/>
        <v/>
      </c>
      <c r="N1745" s="26"/>
      <c r="O1745" s="27"/>
      <c r="P1745" s="27"/>
      <c r="Q1745" s="2">
        <f t="shared" si="266"/>
        <v>0</v>
      </c>
      <c r="S1745" s="7">
        <f t="shared" si="269"/>
        <v>0</v>
      </c>
      <c r="T1745" s="157">
        <f t="shared" si="270"/>
        <v>0</v>
      </c>
      <c r="V1745" s="191">
        <f t="shared" si="267"/>
        <v>1</v>
      </c>
      <c r="W1745" s="7">
        <f t="shared" si="268"/>
        <v>1900</v>
      </c>
    </row>
    <row r="1746" spans="2:23" ht="31.95" customHeight="1" thickBot="1" x14ac:dyDescent="0.35">
      <c r="B1746" s="26"/>
      <c r="C1746" s="51" t="str">
        <f t="shared" si="271"/>
        <v/>
      </c>
      <c r="D1746" s="27"/>
      <c r="E1746" s="26"/>
      <c r="F1746" s="26"/>
      <c r="G1746" s="26"/>
      <c r="H1746" s="254"/>
      <c r="I1746" s="49"/>
      <c r="J1746" s="49"/>
      <c r="K1746" s="52" t="str">
        <f t="shared" si="263"/>
        <v/>
      </c>
      <c r="L1746" s="209" t="str">
        <f t="shared" si="264"/>
        <v/>
      </c>
      <c r="M1746" s="210" t="str">
        <f t="shared" si="265"/>
        <v/>
      </c>
      <c r="N1746" s="26"/>
      <c r="O1746" s="27"/>
      <c r="P1746" s="27"/>
      <c r="Q1746" s="2">
        <f t="shared" si="266"/>
        <v>0</v>
      </c>
      <c r="S1746" s="7">
        <f t="shared" si="269"/>
        <v>0</v>
      </c>
      <c r="T1746" s="157">
        <f t="shared" si="270"/>
        <v>0</v>
      </c>
      <c r="V1746" s="191">
        <f t="shared" si="267"/>
        <v>1</v>
      </c>
      <c r="W1746" s="7">
        <f t="shared" si="268"/>
        <v>1900</v>
      </c>
    </row>
    <row r="1747" spans="2:23" ht="31.95" customHeight="1" thickBot="1" x14ac:dyDescent="0.35">
      <c r="B1747" s="26"/>
      <c r="C1747" s="51" t="str">
        <f t="shared" si="271"/>
        <v/>
      </c>
      <c r="D1747" s="27"/>
      <c r="E1747" s="26"/>
      <c r="F1747" s="26"/>
      <c r="G1747" s="26"/>
      <c r="H1747" s="254"/>
      <c r="I1747" s="49"/>
      <c r="J1747" s="49"/>
      <c r="K1747" s="52" t="str">
        <f t="shared" si="263"/>
        <v/>
      </c>
      <c r="L1747" s="209" t="str">
        <f t="shared" si="264"/>
        <v/>
      </c>
      <c r="M1747" s="210" t="str">
        <f t="shared" si="265"/>
        <v/>
      </c>
      <c r="N1747" s="26"/>
      <c r="O1747" s="27"/>
      <c r="P1747" s="27"/>
      <c r="Q1747" s="2">
        <f t="shared" si="266"/>
        <v>0</v>
      </c>
      <c r="S1747" s="7">
        <f t="shared" si="269"/>
        <v>0</v>
      </c>
      <c r="T1747" s="157">
        <f t="shared" si="270"/>
        <v>0</v>
      </c>
      <c r="V1747" s="191">
        <f t="shared" si="267"/>
        <v>1</v>
      </c>
      <c r="W1747" s="7">
        <f t="shared" si="268"/>
        <v>1900</v>
      </c>
    </row>
    <row r="1748" spans="2:23" ht="31.95" customHeight="1" thickBot="1" x14ac:dyDescent="0.35">
      <c r="B1748" s="26"/>
      <c r="C1748" s="51" t="str">
        <f t="shared" si="271"/>
        <v/>
      </c>
      <c r="D1748" s="27"/>
      <c r="E1748" s="26"/>
      <c r="F1748" s="26"/>
      <c r="G1748" s="26"/>
      <c r="H1748" s="254"/>
      <c r="I1748" s="49"/>
      <c r="J1748" s="49"/>
      <c r="K1748" s="52" t="str">
        <f t="shared" si="263"/>
        <v/>
      </c>
      <c r="L1748" s="209" t="str">
        <f t="shared" si="264"/>
        <v/>
      </c>
      <c r="M1748" s="210" t="str">
        <f t="shared" si="265"/>
        <v/>
      </c>
      <c r="N1748" s="26"/>
      <c r="O1748" s="27"/>
      <c r="P1748" s="27"/>
      <c r="Q1748" s="2">
        <f t="shared" si="266"/>
        <v>0</v>
      </c>
      <c r="S1748" s="7">
        <f t="shared" si="269"/>
        <v>0</v>
      </c>
      <c r="T1748" s="157">
        <f t="shared" si="270"/>
        <v>0</v>
      </c>
      <c r="V1748" s="191">
        <f t="shared" si="267"/>
        <v>1</v>
      </c>
      <c r="W1748" s="7">
        <f t="shared" si="268"/>
        <v>1900</v>
      </c>
    </row>
    <row r="1749" spans="2:23" ht="31.95" customHeight="1" thickBot="1" x14ac:dyDescent="0.35">
      <c r="B1749" s="26"/>
      <c r="C1749" s="51" t="str">
        <f t="shared" si="271"/>
        <v/>
      </c>
      <c r="D1749" s="27"/>
      <c r="E1749" s="26"/>
      <c r="F1749" s="26"/>
      <c r="G1749" s="26"/>
      <c r="H1749" s="254"/>
      <c r="I1749" s="49"/>
      <c r="J1749" s="49"/>
      <c r="K1749" s="52" t="str">
        <f t="shared" si="263"/>
        <v/>
      </c>
      <c r="L1749" s="209" t="str">
        <f t="shared" si="264"/>
        <v/>
      </c>
      <c r="M1749" s="210" t="str">
        <f t="shared" si="265"/>
        <v/>
      </c>
      <c r="N1749" s="26"/>
      <c r="O1749" s="27"/>
      <c r="P1749" s="27"/>
      <c r="Q1749" s="2">
        <f t="shared" si="266"/>
        <v>0</v>
      </c>
      <c r="S1749" s="7">
        <f t="shared" si="269"/>
        <v>0</v>
      </c>
      <c r="T1749" s="157">
        <f t="shared" si="270"/>
        <v>0</v>
      </c>
      <c r="V1749" s="191">
        <f t="shared" si="267"/>
        <v>1</v>
      </c>
      <c r="W1749" s="7">
        <f t="shared" si="268"/>
        <v>1900</v>
      </c>
    </row>
    <row r="1750" spans="2:23" ht="31.95" customHeight="1" thickBot="1" x14ac:dyDescent="0.35">
      <c r="B1750" s="26"/>
      <c r="C1750" s="51" t="str">
        <f t="shared" si="271"/>
        <v/>
      </c>
      <c r="D1750" s="27"/>
      <c r="E1750" s="26"/>
      <c r="F1750" s="26"/>
      <c r="G1750" s="26"/>
      <c r="H1750" s="254"/>
      <c r="I1750" s="49"/>
      <c r="J1750" s="49"/>
      <c r="K1750" s="52" t="str">
        <f t="shared" si="263"/>
        <v/>
      </c>
      <c r="L1750" s="209" t="str">
        <f t="shared" si="264"/>
        <v/>
      </c>
      <c r="M1750" s="210" t="str">
        <f t="shared" si="265"/>
        <v/>
      </c>
      <c r="N1750" s="26"/>
      <c r="O1750" s="27"/>
      <c r="P1750" s="27"/>
      <c r="Q1750" s="2">
        <f t="shared" si="266"/>
        <v>0</v>
      </c>
      <c r="S1750" s="7">
        <f t="shared" si="269"/>
        <v>0</v>
      </c>
      <c r="T1750" s="157">
        <f t="shared" si="270"/>
        <v>0</v>
      </c>
      <c r="V1750" s="191">
        <f t="shared" si="267"/>
        <v>1</v>
      </c>
      <c r="W1750" s="7">
        <f t="shared" si="268"/>
        <v>1900</v>
      </c>
    </row>
    <row r="1751" spans="2:23" ht="31.95" customHeight="1" thickBot="1" x14ac:dyDescent="0.35">
      <c r="B1751" s="26"/>
      <c r="C1751" s="51" t="str">
        <f t="shared" si="271"/>
        <v/>
      </c>
      <c r="D1751" s="27"/>
      <c r="E1751" s="26"/>
      <c r="F1751" s="26"/>
      <c r="G1751" s="26"/>
      <c r="H1751" s="254"/>
      <c r="I1751" s="49"/>
      <c r="J1751" s="49"/>
      <c r="K1751" s="52" t="str">
        <f t="shared" si="263"/>
        <v/>
      </c>
      <c r="L1751" s="209" t="str">
        <f t="shared" si="264"/>
        <v/>
      </c>
      <c r="M1751" s="210" t="str">
        <f t="shared" si="265"/>
        <v/>
      </c>
      <c r="N1751" s="26"/>
      <c r="O1751" s="27"/>
      <c r="P1751" s="27"/>
      <c r="Q1751" s="2">
        <f t="shared" si="266"/>
        <v>0</v>
      </c>
      <c r="S1751" s="7">
        <f t="shared" si="269"/>
        <v>0</v>
      </c>
      <c r="T1751" s="157">
        <f t="shared" si="270"/>
        <v>0</v>
      </c>
      <c r="V1751" s="191">
        <f t="shared" si="267"/>
        <v>1</v>
      </c>
      <c r="W1751" s="7">
        <f t="shared" si="268"/>
        <v>1900</v>
      </c>
    </row>
    <row r="1752" spans="2:23" ht="31.95" customHeight="1" thickBot="1" x14ac:dyDescent="0.35">
      <c r="B1752" s="26"/>
      <c r="C1752" s="51" t="str">
        <f t="shared" si="271"/>
        <v/>
      </c>
      <c r="D1752" s="27"/>
      <c r="E1752" s="26"/>
      <c r="F1752" s="26"/>
      <c r="G1752" s="26"/>
      <c r="H1752" s="254"/>
      <c r="I1752" s="49"/>
      <c r="J1752" s="49"/>
      <c r="K1752" s="52" t="str">
        <f t="shared" si="263"/>
        <v/>
      </c>
      <c r="L1752" s="209" t="str">
        <f t="shared" si="264"/>
        <v/>
      </c>
      <c r="M1752" s="210" t="str">
        <f t="shared" si="265"/>
        <v/>
      </c>
      <c r="N1752" s="26"/>
      <c r="O1752" s="27"/>
      <c r="P1752" s="27"/>
      <c r="Q1752" s="2">
        <f t="shared" si="266"/>
        <v>0</v>
      </c>
      <c r="S1752" s="7">
        <f t="shared" si="269"/>
        <v>0</v>
      </c>
      <c r="T1752" s="157">
        <f t="shared" si="270"/>
        <v>0</v>
      </c>
      <c r="V1752" s="191">
        <f t="shared" si="267"/>
        <v>1</v>
      </c>
      <c r="W1752" s="7">
        <f t="shared" si="268"/>
        <v>1900</v>
      </c>
    </row>
    <row r="1753" spans="2:23" ht="31.95" customHeight="1" thickBot="1" x14ac:dyDescent="0.35">
      <c r="B1753" s="26"/>
      <c r="C1753" s="51" t="str">
        <f t="shared" si="271"/>
        <v/>
      </c>
      <c r="D1753" s="27"/>
      <c r="E1753" s="26"/>
      <c r="F1753" s="26"/>
      <c r="G1753" s="26"/>
      <c r="H1753" s="254"/>
      <c r="I1753" s="49"/>
      <c r="J1753" s="49"/>
      <c r="K1753" s="52" t="str">
        <f t="shared" si="263"/>
        <v/>
      </c>
      <c r="L1753" s="209" t="str">
        <f t="shared" si="264"/>
        <v/>
      </c>
      <c r="M1753" s="210" t="str">
        <f t="shared" si="265"/>
        <v/>
      </c>
      <c r="N1753" s="26"/>
      <c r="O1753" s="27"/>
      <c r="P1753" s="27"/>
      <c r="Q1753" s="2">
        <f t="shared" si="266"/>
        <v>0</v>
      </c>
      <c r="S1753" s="7">
        <f t="shared" si="269"/>
        <v>0</v>
      </c>
      <c r="T1753" s="157">
        <f t="shared" si="270"/>
        <v>0</v>
      </c>
      <c r="V1753" s="191">
        <f t="shared" si="267"/>
        <v>1</v>
      </c>
      <c r="W1753" s="7">
        <f t="shared" si="268"/>
        <v>1900</v>
      </c>
    </row>
    <row r="1754" spans="2:23" ht="31.95" customHeight="1" thickBot="1" x14ac:dyDescent="0.35">
      <c r="B1754" s="26"/>
      <c r="C1754" s="51" t="str">
        <f t="shared" si="271"/>
        <v/>
      </c>
      <c r="D1754" s="27"/>
      <c r="E1754" s="26"/>
      <c r="F1754" s="26"/>
      <c r="G1754" s="26"/>
      <c r="H1754" s="254"/>
      <c r="I1754" s="49"/>
      <c r="J1754" s="49"/>
      <c r="K1754" s="52" t="str">
        <f t="shared" si="263"/>
        <v/>
      </c>
      <c r="L1754" s="209" t="str">
        <f t="shared" si="264"/>
        <v/>
      </c>
      <c r="M1754" s="210" t="str">
        <f t="shared" si="265"/>
        <v/>
      </c>
      <c r="N1754" s="26"/>
      <c r="O1754" s="27"/>
      <c r="P1754" s="27"/>
      <c r="Q1754" s="2">
        <f t="shared" si="266"/>
        <v>0</v>
      </c>
      <c r="S1754" s="7">
        <f t="shared" si="269"/>
        <v>0</v>
      </c>
      <c r="T1754" s="157">
        <f t="shared" si="270"/>
        <v>0</v>
      </c>
      <c r="V1754" s="191">
        <f t="shared" si="267"/>
        <v>1</v>
      </c>
      <c r="W1754" s="7">
        <f t="shared" si="268"/>
        <v>1900</v>
      </c>
    </row>
    <row r="1755" spans="2:23" ht="31.95" customHeight="1" thickBot="1" x14ac:dyDescent="0.35">
      <c r="B1755" s="26"/>
      <c r="C1755" s="51" t="str">
        <f t="shared" si="271"/>
        <v/>
      </c>
      <c r="D1755" s="27"/>
      <c r="E1755" s="26"/>
      <c r="F1755" s="26"/>
      <c r="G1755" s="26"/>
      <c r="H1755" s="254"/>
      <c r="I1755" s="49"/>
      <c r="J1755" s="49"/>
      <c r="K1755" s="52" t="str">
        <f t="shared" si="263"/>
        <v/>
      </c>
      <c r="L1755" s="209" t="str">
        <f t="shared" si="264"/>
        <v/>
      </c>
      <c r="M1755" s="210" t="str">
        <f t="shared" si="265"/>
        <v/>
      </c>
      <c r="N1755" s="26"/>
      <c r="O1755" s="27"/>
      <c r="P1755" s="27"/>
      <c r="Q1755" s="2">
        <f t="shared" si="266"/>
        <v>0</v>
      </c>
      <c r="S1755" s="7">
        <f t="shared" si="269"/>
        <v>0</v>
      </c>
      <c r="T1755" s="157">
        <f t="shared" si="270"/>
        <v>0</v>
      </c>
      <c r="V1755" s="191">
        <f t="shared" si="267"/>
        <v>1</v>
      </c>
      <c r="W1755" s="7">
        <f t="shared" si="268"/>
        <v>1900</v>
      </c>
    </row>
    <row r="1756" spans="2:23" ht="31.95" customHeight="1" thickBot="1" x14ac:dyDescent="0.35">
      <c r="B1756" s="26"/>
      <c r="C1756" s="51" t="str">
        <f t="shared" si="271"/>
        <v/>
      </c>
      <c r="D1756" s="27"/>
      <c r="E1756" s="26"/>
      <c r="F1756" s="26"/>
      <c r="G1756" s="26"/>
      <c r="H1756" s="254"/>
      <c r="I1756" s="49"/>
      <c r="J1756" s="49"/>
      <c r="K1756" s="52" t="str">
        <f t="shared" si="263"/>
        <v/>
      </c>
      <c r="L1756" s="209" t="str">
        <f t="shared" si="264"/>
        <v/>
      </c>
      <c r="M1756" s="210" t="str">
        <f t="shared" si="265"/>
        <v/>
      </c>
      <c r="N1756" s="26"/>
      <c r="O1756" s="27"/>
      <c r="P1756" s="27"/>
      <c r="Q1756" s="2">
        <f t="shared" si="266"/>
        <v>0</v>
      </c>
      <c r="S1756" s="7">
        <f t="shared" si="269"/>
        <v>0</v>
      </c>
      <c r="T1756" s="157">
        <f t="shared" si="270"/>
        <v>0</v>
      </c>
      <c r="V1756" s="191">
        <f t="shared" si="267"/>
        <v>1</v>
      </c>
      <c r="W1756" s="7">
        <f t="shared" si="268"/>
        <v>1900</v>
      </c>
    </row>
    <row r="1757" spans="2:23" ht="31.95" customHeight="1" thickBot="1" x14ac:dyDescent="0.35">
      <c r="B1757" s="26"/>
      <c r="C1757" s="51" t="str">
        <f t="shared" si="271"/>
        <v/>
      </c>
      <c r="D1757" s="27"/>
      <c r="E1757" s="26"/>
      <c r="F1757" s="26"/>
      <c r="G1757" s="26"/>
      <c r="H1757" s="254"/>
      <c r="I1757" s="49"/>
      <c r="J1757" s="49"/>
      <c r="K1757" s="52" t="str">
        <f t="shared" si="263"/>
        <v/>
      </c>
      <c r="L1757" s="209" t="str">
        <f t="shared" si="264"/>
        <v/>
      </c>
      <c r="M1757" s="210" t="str">
        <f t="shared" si="265"/>
        <v/>
      </c>
      <c r="N1757" s="26"/>
      <c r="O1757" s="27"/>
      <c r="P1757" s="27"/>
      <c r="Q1757" s="2">
        <f t="shared" si="266"/>
        <v>0</v>
      </c>
      <c r="S1757" s="7">
        <f t="shared" si="269"/>
        <v>0</v>
      </c>
      <c r="T1757" s="157">
        <f t="shared" si="270"/>
        <v>0</v>
      </c>
      <c r="V1757" s="191">
        <f t="shared" si="267"/>
        <v>1</v>
      </c>
      <c r="W1757" s="7">
        <f t="shared" si="268"/>
        <v>1900</v>
      </c>
    </row>
    <row r="1758" spans="2:23" ht="31.95" customHeight="1" thickBot="1" x14ac:dyDescent="0.35">
      <c r="B1758" s="26"/>
      <c r="C1758" s="51" t="str">
        <f t="shared" si="271"/>
        <v/>
      </c>
      <c r="D1758" s="27"/>
      <c r="E1758" s="26"/>
      <c r="F1758" s="26"/>
      <c r="G1758" s="26"/>
      <c r="H1758" s="254"/>
      <c r="I1758" s="49"/>
      <c r="J1758" s="49"/>
      <c r="K1758" s="52" t="str">
        <f t="shared" si="263"/>
        <v/>
      </c>
      <c r="L1758" s="209" t="str">
        <f t="shared" si="264"/>
        <v/>
      </c>
      <c r="M1758" s="210" t="str">
        <f t="shared" si="265"/>
        <v/>
      </c>
      <c r="N1758" s="26"/>
      <c r="O1758" s="27"/>
      <c r="P1758" s="27"/>
      <c r="Q1758" s="2">
        <f t="shared" si="266"/>
        <v>0</v>
      </c>
      <c r="S1758" s="7">
        <f t="shared" si="269"/>
        <v>0</v>
      </c>
      <c r="T1758" s="157">
        <f t="shared" si="270"/>
        <v>0</v>
      </c>
      <c r="V1758" s="191">
        <f t="shared" si="267"/>
        <v>1</v>
      </c>
      <c r="W1758" s="7">
        <f t="shared" si="268"/>
        <v>1900</v>
      </c>
    </row>
    <row r="1759" spans="2:23" ht="31.95" customHeight="1" thickBot="1" x14ac:dyDescent="0.35">
      <c r="B1759" s="26"/>
      <c r="C1759" s="51" t="str">
        <f t="shared" si="271"/>
        <v/>
      </c>
      <c r="D1759" s="27"/>
      <c r="E1759" s="26"/>
      <c r="F1759" s="26"/>
      <c r="G1759" s="26"/>
      <c r="H1759" s="254"/>
      <c r="I1759" s="49"/>
      <c r="J1759" s="49"/>
      <c r="K1759" s="52" t="str">
        <f t="shared" si="263"/>
        <v/>
      </c>
      <c r="L1759" s="209" t="str">
        <f t="shared" si="264"/>
        <v/>
      </c>
      <c r="M1759" s="210" t="str">
        <f t="shared" si="265"/>
        <v/>
      </c>
      <c r="N1759" s="26"/>
      <c r="O1759" s="27"/>
      <c r="P1759" s="27"/>
      <c r="Q1759" s="2">
        <f t="shared" si="266"/>
        <v>0</v>
      </c>
      <c r="S1759" s="7">
        <f t="shared" si="269"/>
        <v>0</v>
      </c>
      <c r="T1759" s="157">
        <f t="shared" si="270"/>
        <v>0</v>
      </c>
      <c r="V1759" s="191">
        <f t="shared" si="267"/>
        <v>1</v>
      </c>
      <c r="W1759" s="7">
        <f t="shared" si="268"/>
        <v>1900</v>
      </c>
    </row>
    <row r="1760" spans="2:23" ht="31.95" customHeight="1" thickBot="1" x14ac:dyDescent="0.35">
      <c r="B1760" s="26"/>
      <c r="C1760" s="51" t="str">
        <f t="shared" si="271"/>
        <v/>
      </c>
      <c r="D1760" s="27"/>
      <c r="E1760" s="26"/>
      <c r="F1760" s="26"/>
      <c r="G1760" s="26"/>
      <c r="H1760" s="254"/>
      <c r="I1760" s="49"/>
      <c r="J1760" s="49"/>
      <c r="K1760" s="52" t="str">
        <f t="shared" si="263"/>
        <v/>
      </c>
      <c r="L1760" s="209" t="str">
        <f t="shared" si="264"/>
        <v/>
      </c>
      <c r="M1760" s="210" t="str">
        <f t="shared" si="265"/>
        <v/>
      </c>
      <c r="N1760" s="26"/>
      <c r="O1760" s="27"/>
      <c r="P1760" s="27"/>
      <c r="Q1760" s="2">
        <f t="shared" si="266"/>
        <v>0</v>
      </c>
      <c r="S1760" s="7">
        <f t="shared" si="269"/>
        <v>0</v>
      </c>
      <c r="T1760" s="157">
        <f t="shared" si="270"/>
        <v>0</v>
      </c>
      <c r="V1760" s="191">
        <f t="shared" si="267"/>
        <v>1</v>
      </c>
      <c r="W1760" s="7">
        <f t="shared" si="268"/>
        <v>1900</v>
      </c>
    </row>
    <row r="1761" spans="2:23" ht="31.95" customHeight="1" thickBot="1" x14ac:dyDescent="0.35">
      <c r="B1761" s="26"/>
      <c r="C1761" s="51" t="str">
        <f t="shared" si="271"/>
        <v/>
      </c>
      <c r="D1761" s="27"/>
      <c r="E1761" s="26"/>
      <c r="F1761" s="26"/>
      <c r="G1761" s="26"/>
      <c r="H1761" s="254"/>
      <c r="I1761" s="49"/>
      <c r="J1761" s="49"/>
      <c r="K1761" s="52" t="str">
        <f t="shared" si="263"/>
        <v/>
      </c>
      <c r="L1761" s="209" t="str">
        <f t="shared" si="264"/>
        <v/>
      </c>
      <c r="M1761" s="210" t="str">
        <f t="shared" si="265"/>
        <v/>
      </c>
      <c r="N1761" s="26"/>
      <c r="O1761" s="27"/>
      <c r="P1761" s="27"/>
      <c r="Q1761" s="2">
        <f t="shared" si="266"/>
        <v>0</v>
      </c>
      <c r="S1761" s="7">
        <f t="shared" si="269"/>
        <v>0</v>
      </c>
      <c r="T1761" s="157">
        <f t="shared" si="270"/>
        <v>0</v>
      </c>
      <c r="V1761" s="191">
        <f t="shared" si="267"/>
        <v>1</v>
      </c>
      <c r="W1761" s="7">
        <f t="shared" si="268"/>
        <v>1900</v>
      </c>
    </row>
    <row r="1762" spans="2:23" ht="31.95" customHeight="1" thickBot="1" x14ac:dyDescent="0.35">
      <c r="B1762" s="26"/>
      <c r="C1762" s="51" t="str">
        <f t="shared" si="271"/>
        <v/>
      </c>
      <c r="D1762" s="27"/>
      <c r="E1762" s="26"/>
      <c r="F1762" s="26"/>
      <c r="G1762" s="26"/>
      <c r="H1762" s="254"/>
      <c r="I1762" s="49"/>
      <c r="J1762" s="49"/>
      <c r="K1762" s="52" t="str">
        <f t="shared" si="263"/>
        <v/>
      </c>
      <c r="L1762" s="209" t="str">
        <f t="shared" si="264"/>
        <v/>
      </c>
      <c r="M1762" s="210" t="str">
        <f t="shared" si="265"/>
        <v/>
      </c>
      <c r="N1762" s="26"/>
      <c r="O1762" s="27"/>
      <c r="P1762" s="27"/>
      <c r="Q1762" s="2">
        <f t="shared" si="266"/>
        <v>0</v>
      </c>
      <c r="S1762" s="7">
        <f t="shared" si="269"/>
        <v>0</v>
      </c>
      <c r="T1762" s="157">
        <f t="shared" si="270"/>
        <v>0</v>
      </c>
      <c r="V1762" s="191">
        <f t="shared" si="267"/>
        <v>1</v>
      </c>
      <c r="W1762" s="7">
        <f t="shared" si="268"/>
        <v>1900</v>
      </c>
    </row>
    <row r="1763" spans="2:23" ht="31.95" customHeight="1" thickBot="1" x14ac:dyDescent="0.35">
      <c r="B1763" s="26"/>
      <c r="C1763" s="51" t="str">
        <f t="shared" si="271"/>
        <v/>
      </c>
      <c r="D1763" s="27"/>
      <c r="E1763" s="26"/>
      <c r="F1763" s="26"/>
      <c r="G1763" s="26"/>
      <c r="H1763" s="254"/>
      <c r="I1763" s="49"/>
      <c r="J1763" s="49"/>
      <c r="K1763" s="52" t="str">
        <f t="shared" si="263"/>
        <v/>
      </c>
      <c r="L1763" s="209" t="str">
        <f t="shared" si="264"/>
        <v/>
      </c>
      <c r="M1763" s="210" t="str">
        <f t="shared" si="265"/>
        <v/>
      </c>
      <c r="N1763" s="26"/>
      <c r="O1763" s="27"/>
      <c r="P1763" s="27"/>
      <c r="Q1763" s="2">
        <f t="shared" si="266"/>
        <v>0</v>
      </c>
      <c r="S1763" s="7">
        <f t="shared" si="269"/>
        <v>0</v>
      </c>
      <c r="T1763" s="157">
        <f t="shared" si="270"/>
        <v>0</v>
      </c>
      <c r="V1763" s="191">
        <f t="shared" si="267"/>
        <v>1</v>
      </c>
      <c r="W1763" s="7">
        <f t="shared" si="268"/>
        <v>1900</v>
      </c>
    </row>
    <row r="1764" spans="2:23" ht="31.95" customHeight="1" thickBot="1" x14ac:dyDescent="0.35">
      <c r="B1764" s="26"/>
      <c r="C1764" s="51" t="str">
        <f t="shared" si="271"/>
        <v/>
      </c>
      <c r="D1764" s="27"/>
      <c r="E1764" s="26"/>
      <c r="F1764" s="26"/>
      <c r="G1764" s="26"/>
      <c r="H1764" s="254"/>
      <c r="I1764" s="49"/>
      <c r="J1764" s="49"/>
      <c r="K1764" s="52" t="str">
        <f t="shared" si="263"/>
        <v/>
      </c>
      <c r="L1764" s="209" t="str">
        <f t="shared" si="264"/>
        <v/>
      </c>
      <c r="M1764" s="210" t="str">
        <f t="shared" si="265"/>
        <v/>
      </c>
      <c r="N1764" s="26"/>
      <c r="O1764" s="27"/>
      <c r="P1764" s="27"/>
      <c r="Q1764" s="2">
        <f t="shared" si="266"/>
        <v>0</v>
      </c>
      <c r="S1764" s="7">
        <f t="shared" si="269"/>
        <v>0</v>
      </c>
      <c r="T1764" s="157">
        <f t="shared" si="270"/>
        <v>0</v>
      </c>
      <c r="V1764" s="191">
        <f t="shared" si="267"/>
        <v>1</v>
      </c>
      <c r="W1764" s="7">
        <f t="shared" si="268"/>
        <v>1900</v>
      </c>
    </row>
    <row r="1765" spans="2:23" ht="31.95" customHeight="1" thickBot="1" x14ac:dyDescent="0.35">
      <c r="B1765" s="26"/>
      <c r="C1765" s="51" t="str">
        <f t="shared" si="271"/>
        <v/>
      </c>
      <c r="D1765" s="27"/>
      <c r="E1765" s="26"/>
      <c r="F1765" s="26"/>
      <c r="G1765" s="26"/>
      <c r="H1765" s="254"/>
      <c r="I1765" s="49"/>
      <c r="J1765" s="49"/>
      <c r="K1765" s="52" t="str">
        <f t="shared" si="263"/>
        <v/>
      </c>
      <c r="L1765" s="209" t="str">
        <f t="shared" si="264"/>
        <v/>
      </c>
      <c r="M1765" s="210" t="str">
        <f t="shared" si="265"/>
        <v/>
      </c>
      <c r="N1765" s="26"/>
      <c r="O1765" s="27"/>
      <c r="P1765" s="27"/>
      <c r="Q1765" s="2">
        <f t="shared" si="266"/>
        <v>0</v>
      </c>
      <c r="S1765" s="7">
        <f t="shared" si="269"/>
        <v>0</v>
      </c>
      <c r="T1765" s="157">
        <f t="shared" si="270"/>
        <v>0</v>
      </c>
      <c r="V1765" s="191">
        <f t="shared" si="267"/>
        <v>1</v>
      </c>
      <c r="W1765" s="7">
        <f t="shared" si="268"/>
        <v>1900</v>
      </c>
    </row>
    <row r="1766" spans="2:23" ht="31.95" customHeight="1" thickBot="1" x14ac:dyDescent="0.35">
      <c r="B1766" s="26"/>
      <c r="C1766" s="51" t="str">
        <f t="shared" si="271"/>
        <v/>
      </c>
      <c r="D1766" s="27"/>
      <c r="E1766" s="26"/>
      <c r="F1766" s="26"/>
      <c r="G1766" s="26"/>
      <c r="H1766" s="254"/>
      <c r="I1766" s="49"/>
      <c r="J1766" s="49"/>
      <c r="K1766" s="52" t="str">
        <f t="shared" si="263"/>
        <v/>
      </c>
      <c r="L1766" s="209" t="str">
        <f t="shared" si="264"/>
        <v/>
      </c>
      <c r="M1766" s="210" t="str">
        <f t="shared" si="265"/>
        <v/>
      </c>
      <c r="N1766" s="26"/>
      <c r="O1766" s="27"/>
      <c r="P1766" s="27"/>
      <c r="Q1766" s="2">
        <f t="shared" si="266"/>
        <v>0</v>
      </c>
      <c r="S1766" s="7">
        <f t="shared" si="269"/>
        <v>0</v>
      </c>
      <c r="T1766" s="157">
        <f t="shared" si="270"/>
        <v>0</v>
      </c>
      <c r="V1766" s="191">
        <f t="shared" si="267"/>
        <v>1</v>
      </c>
      <c r="W1766" s="7">
        <f t="shared" si="268"/>
        <v>1900</v>
      </c>
    </row>
    <row r="1767" spans="2:23" ht="31.95" customHeight="1" thickBot="1" x14ac:dyDescent="0.35">
      <c r="B1767" s="26"/>
      <c r="C1767" s="51" t="str">
        <f t="shared" si="271"/>
        <v/>
      </c>
      <c r="D1767" s="27"/>
      <c r="E1767" s="26"/>
      <c r="F1767" s="26"/>
      <c r="G1767" s="26"/>
      <c r="H1767" s="254"/>
      <c r="I1767" s="49"/>
      <c r="J1767" s="49"/>
      <c r="K1767" s="52" t="str">
        <f t="shared" si="263"/>
        <v/>
      </c>
      <c r="L1767" s="209" t="str">
        <f t="shared" si="264"/>
        <v/>
      </c>
      <c r="M1767" s="210" t="str">
        <f t="shared" si="265"/>
        <v/>
      </c>
      <c r="N1767" s="26"/>
      <c r="O1767" s="27"/>
      <c r="P1767" s="27"/>
      <c r="Q1767" s="2">
        <f t="shared" si="266"/>
        <v>0</v>
      </c>
      <c r="S1767" s="7">
        <f t="shared" si="269"/>
        <v>0</v>
      </c>
      <c r="T1767" s="157">
        <f t="shared" si="270"/>
        <v>0</v>
      </c>
      <c r="V1767" s="191">
        <f t="shared" si="267"/>
        <v>1</v>
      </c>
      <c r="W1767" s="7">
        <f t="shared" si="268"/>
        <v>1900</v>
      </c>
    </row>
    <row r="1768" spans="2:23" ht="31.95" customHeight="1" thickBot="1" x14ac:dyDescent="0.35">
      <c r="B1768" s="26"/>
      <c r="C1768" s="51" t="str">
        <f t="shared" si="271"/>
        <v/>
      </c>
      <c r="D1768" s="27"/>
      <c r="E1768" s="26"/>
      <c r="F1768" s="26"/>
      <c r="G1768" s="26"/>
      <c r="H1768" s="254"/>
      <c r="I1768" s="49"/>
      <c r="J1768" s="49"/>
      <c r="K1768" s="52" t="str">
        <f t="shared" si="263"/>
        <v/>
      </c>
      <c r="L1768" s="209" t="str">
        <f t="shared" si="264"/>
        <v/>
      </c>
      <c r="M1768" s="210" t="str">
        <f t="shared" si="265"/>
        <v/>
      </c>
      <c r="N1768" s="26"/>
      <c r="O1768" s="27"/>
      <c r="P1768" s="27"/>
      <c r="Q1768" s="2">
        <f t="shared" si="266"/>
        <v>0</v>
      </c>
      <c r="S1768" s="7">
        <f t="shared" si="269"/>
        <v>0</v>
      </c>
      <c r="T1768" s="157">
        <f t="shared" si="270"/>
        <v>0</v>
      </c>
      <c r="V1768" s="191">
        <f t="shared" si="267"/>
        <v>1</v>
      </c>
      <c r="W1768" s="7">
        <f t="shared" si="268"/>
        <v>1900</v>
      </c>
    </row>
    <row r="1769" spans="2:23" ht="31.95" customHeight="1" thickBot="1" x14ac:dyDescent="0.35">
      <c r="B1769" s="26"/>
      <c r="C1769" s="51" t="str">
        <f t="shared" si="271"/>
        <v/>
      </c>
      <c r="D1769" s="27"/>
      <c r="E1769" s="26"/>
      <c r="F1769" s="26"/>
      <c r="G1769" s="26"/>
      <c r="H1769" s="254"/>
      <c r="I1769" s="49"/>
      <c r="J1769" s="49"/>
      <c r="K1769" s="52" t="str">
        <f t="shared" si="263"/>
        <v/>
      </c>
      <c r="L1769" s="209" t="str">
        <f t="shared" si="264"/>
        <v/>
      </c>
      <c r="M1769" s="210" t="str">
        <f t="shared" si="265"/>
        <v/>
      </c>
      <c r="N1769" s="26"/>
      <c r="O1769" s="27"/>
      <c r="P1769" s="27"/>
      <c r="Q1769" s="2">
        <f t="shared" si="266"/>
        <v>0</v>
      </c>
      <c r="S1769" s="7">
        <f t="shared" si="269"/>
        <v>0</v>
      </c>
      <c r="T1769" s="157">
        <f t="shared" si="270"/>
        <v>0</v>
      </c>
      <c r="V1769" s="191">
        <f t="shared" si="267"/>
        <v>1</v>
      </c>
      <c r="W1769" s="7">
        <f t="shared" si="268"/>
        <v>1900</v>
      </c>
    </row>
    <row r="1770" spans="2:23" ht="31.95" customHeight="1" thickBot="1" x14ac:dyDescent="0.35">
      <c r="B1770" s="26"/>
      <c r="C1770" s="51" t="str">
        <f t="shared" si="271"/>
        <v/>
      </c>
      <c r="D1770" s="27"/>
      <c r="E1770" s="26"/>
      <c r="F1770" s="26"/>
      <c r="G1770" s="26"/>
      <c r="H1770" s="254"/>
      <c r="I1770" s="49"/>
      <c r="J1770" s="49"/>
      <c r="K1770" s="52" t="str">
        <f t="shared" si="263"/>
        <v/>
      </c>
      <c r="L1770" s="209" t="str">
        <f t="shared" si="264"/>
        <v/>
      </c>
      <c r="M1770" s="210" t="str">
        <f t="shared" si="265"/>
        <v/>
      </c>
      <c r="N1770" s="26"/>
      <c r="O1770" s="27"/>
      <c r="P1770" s="27"/>
      <c r="Q1770" s="2">
        <f t="shared" si="266"/>
        <v>0</v>
      </c>
      <c r="S1770" s="7">
        <f t="shared" si="269"/>
        <v>0</v>
      </c>
      <c r="T1770" s="157">
        <f t="shared" si="270"/>
        <v>0</v>
      </c>
      <c r="V1770" s="191">
        <f t="shared" si="267"/>
        <v>1</v>
      </c>
      <c r="W1770" s="7">
        <f t="shared" si="268"/>
        <v>1900</v>
      </c>
    </row>
    <row r="1771" spans="2:23" ht="31.95" customHeight="1" thickBot="1" x14ac:dyDescent="0.35">
      <c r="B1771" s="26"/>
      <c r="C1771" s="51" t="str">
        <f t="shared" si="271"/>
        <v/>
      </c>
      <c r="D1771" s="27"/>
      <c r="E1771" s="26"/>
      <c r="F1771" s="26"/>
      <c r="G1771" s="26"/>
      <c r="H1771" s="254"/>
      <c r="I1771" s="49"/>
      <c r="J1771" s="49"/>
      <c r="K1771" s="52" t="str">
        <f t="shared" si="263"/>
        <v/>
      </c>
      <c r="L1771" s="209" t="str">
        <f t="shared" si="264"/>
        <v/>
      </c>
      <c r="M1771" s="210" t="str">
        <f t="shared" si="265"/>
        <v/>
      </c>
      <c r="N1771" s="26"/>
      <c r="O1771" s="27"/>
      <c r="P1771" s="27"/>
      <c r="Q1771" s="2">
        <f t="shared" si="266"/>
        <v>0</v>
      </c>
      <c r="S1771" s="7">
        <f t="shared" si="269"/>
        <v>0</v>
      </c>
      <c r="T1771" s="157">
        <f t="shared" si="270"/>
        <v>0</v>
      </c>
      <c r="V1771" s="191">
        <f t="shared" si="267"/>
        <v>1</v>
      </c>
      <c r="W1771" s="7">
        <f t="shared" si="268"/>
        <v>1900</v>
      </c>
    </row>
    <row r="1772" spans="2:23" ht="31.95" customHeight="1" thickBot="1" x14ac:dyDescent="0.35">
      <c r="B1772" s="26"/>
      <c r="C1772" s="51" t="str">
        <f t="shared" si="271"/>
        <v/>
      </c>
      <c r="D1772" s="27"/>
      <c r="E1772" s="26"/>
      <c r="F1772" s="26"/>
      <c r="G1772" s="26"/>
      <c r="H1772" s="254"/>
      <c r="I1772" s="49"/>
      <c r="J1772" s="49"/>
      <c r="K1772" s="52" t="str">
        <f t="shared" si="263"/>
        <v/>
      </c>
      <c r="L1772" s="209" t="str">
        <f t="shared" si="264"/>
        <v/>
      </c>
      <c r="M1772" s="210" t="str">
        <f t="shared" si="265"/>
        <v/>
      </c>
      <c r="N1772" s="26"/>
      <c r="O1772" s="27"/>
      <c r="P1772" s="27"/>
      <c r="Q1772" s="2">
        <f t="shared" si="266"/>
        <v>0</v>
      </c>
      <c r="S1772" s="7">
        <f t="shared" si="269"/>
        <v>0</v>
      </c>
      <c r="T1772" s="157">
        <f t="shared" si="270"/>
        <v>0</v>
      </c>
      <c r="V1772" s="191">
        <f t="shared" si="267"/>
        <v>1</v>
      </c>
      <c r="W1772" s="7">
        <f t="shared" si="268"/>
        <v>1900</v>
      </c>
    </row>
    <row r="1773" spans="2:23" ht="31.95" customHeight="1" thickBot="1" x14ac:dyDescent="0.35">
      <c r="B1773" s="26"/>
      <c r="C1773" s="51" t="str">
        <f t="shared" si="271"/>
        <v/>
      </c>
      <c r="D1773" s="27"/>
      <c r="E1773" s="26"/>
      <c r="F1773" s="26"/>
      <c r="G1773" s="26"/>
      <c r="H1773" s="254"/>
      <c r="I1773" s="49"/>
      <c r="J1773" s="49"/>
      <c r="K1773" s="52" t="str">
        <f t="shared" ref="K1773:K1836" si="272">IFERROR(J1773/I1773,"")</f>
        <v/>
      </c>
      <c r="L1773" s="209" t="str">
        <f t="shared" ref="L1773:L1836" si="273">IF(I1773="","",I1773-J1773)</f>
        <v/>
      </c>
      <c r="M1773" s="210" t="str">
        <f t="shared" ref="M1773:M1836" si="274">IFERROR(1-K1773,"")</f>
        <v/>
      </c>
      <c r="N1773" s="26"/>
      <c r="O1773" s="27"/>
      <c r="P1773" s="27"/>
      <c r="Q1773" s="2">
        <f t="shared" si="266"/>
        <v>0</v>
      </c>
      <c r="S1773" s="7">
        <f t="shared" si="269"/>
        <v>0</v>
      </c>
      <c r="T1773" s="157">
        <f t="shared" si="270"/>
        <v>0</v>
      </c>
      <c r="V1773" s="191">
        <f t="shared" si="267"/>
        <v>1</v>
      </c>
      <c r="W1773" s="7">
        <f t="shared" si="268"/>
        <v>1900</v>
      </c>
    </row>
    <row r="1774" spans="2:23" ht="31.95" customHeight="1" thickBot="1" x14ac:dyDescent="0.35">
      <c r="B1774" s="26"/>
      <c r="C1774" s="51" t="str">
        <f t="shared" si="271"/>
        <v/>
      </c>
      <c r="D1774" s="27"/>
      <c r="E1774" s="26"/>
      <c r="F1774" s="26"/>
      <c r="G1774" s="26"/>
      <c r="H1774" s="254"/>
      <c r="I1774" s="49"/>
      <c r="J1774" s="49"/>
      <c r="K1774" s="52" t="str">
        <f t="shared" si="272"/>
        <v/>
      </c>
      <c r="L1774" s="209" t="str">
        <f t="shared" si="273"/>
        <v/>
      </c>
      <c r="M1774" s="210" t="str">
        <f t="shared" si="274"/>
        <v/>
      </c>
      <c r="N1774" s="26"/>
      <c r="O1774" s="27"/>
      <c r="P1774" s="27"/>
      <c r="Q1774" s="2">
        <f t="shared" si="266"/>
        <v>0</v>
      </c>
      <c r="S1774" s="7">
        <f t="shared" si="269"/>
        <v>0</v>
      </c>
      <c r="T1774" s="157">
        <f t="shared" si="270"/>
        <v>0</v>
      </c>
      <c r="V1774" s="191">
        <f t="shared" si="267"/>
        <v>1</v>
      </c>
      <c r="W1774" s="7">
        <f t="shared" si="268"/>
        <v>1900</v>
      </c>
    </row>
    <row r="1775" spans="2:23" ht="31.95" customHeight="1" thickBot="1" x14ac:dyDescent="0.35">
      <c r="B1775" s="26"/>
      <c r="C1775" s="51" t="str">
        <f t="shared" si="271"/>
        <v/>
      </c>
      <c r="D1775" s="27"/>
      <c r="E1775" s="26"/>
      <c r="F1775" s="26"/>
      <c r="G1775" s="26"/>
      <c r="H1775" s="254"/>
      <c r="I1775" s="49"/>
      <c r="J1775" s="49"/>
      <c r="K1775" s="52" t="str">
        <f t="shared" si="272"/>
        <v/>
      </c>
      <c r="L1775" s="209" t="str">
        <f t="shared" si="273"/>
        <v/>
      </c>
      <c r="M1775" s="210" t="str">
        <f t="shared" si="274"/>
        <v/>
      </c>
      <c r="N1775" s="26"/>
      <c r="O1775" s="27"/>
      <c r="P1775" s="27"/>
      <c r="Q1775" s="2">
        <f t="shared" si="266"/>
        <v>0</v>
      </c>
      <c r="S1775" s="7">
        <f t="shared" si="269"/>
        <v>0</v>
      </c>
      <c r="T1775" s="157">
        <f t="shared" si="270"/>
        <v>0</v>
      </c>
      <c r="V1775" s="191">
        <f t="shared" si="267"/>
        <v>1</v>
      </c>
      <c r="W1775" s="7">
        <f t="shared" si="268"/>
        <v>1900</v>
      </c>
    </row>
    <row r="1776" spans="2:23" ht="31.95" customHeight="1" thickBot="1" x14ac:dyDescent="0.35">
      <c r="B1776" s="26"/>
      <c r="C1776" s="51" t="str">
        <f t="shared" si="271"/>
        <v/>
      </c>
      <c r="D1776" s="27"/>
      <c r="E1776" s="26"/>
      <c r="F1776" s="26"/>
      <c r="G1776" s="26"/>
      <c r="H1776" s="254"/>
      <c r="I1776" s="49"/>
      <c r="J1776" s="49"/>
      <c r="K1776" s="52" t="str">
        <f t="shared" si="272"/>
        <v/>
      </c>
      <c r="L1776" s="209" t="str">
        <f t="shared" si="273"/>
        <v/>
      </c>
      <c r="M1776" s="210" t="str">
        <f t="shared" si="274"/>
        <v/>
      </c>
      <c r="N1776" s="26"/>
      <c r="O1776" s="27"/>
      <c r="P1776" s="27"/>
      <c r="Q1776" s="2">
        <f t="shared" si="266"/>
        <v>0</v>
      </c>
      <c r="S1776" s="7">
        <f t="shared" si="269"/>
        <v>0</v>
      </c>
      <c r="T1776" s="157">
        <f t="shared" si="270"/>
        <v>0</v>
      </c>
      <c r="V1776" s="191">
        <f t="shared" si="267"/>
        <v>1</v>
      </c>
      <c r="W1776" s="7">
        <f t="shared" si="268"/>
        <v>1900</v>
      </c>
    </row>
    <row r="1777" spans="2:23" ht="31.95" customHeight="1" thickBot="1" x14ac:dyDescent="0.35">
      <c r="B1777" s="26"/>
      <c r="C1777" s="51" t="str">
        <f t="shared" si="271"/>
        <v/>
      </c>
      <c r="D1777" s="27"/>
      <c r="E1777" s="26"/>
      <c r="F1777" s="26"/>
      <c r="G1777" s="26"/>
      <c r="H1777" s="254"/>
      <c r="I1777" s="49"/>
      <c r="J1777" s="49"/>
      <c r="K1777" s="52" t="str">
        <f t="shared" si="272"/>
        <v/>
      </c>
      <c r="L1777" s="209" t="str">
        <f t="shared" si="273"/>
        <v/>
      </c>
      <c r="M1777" s="210" t="str">
        <f t="shared" si="274"/>
        <v/>
      </c>
      <c r="N1777" s="26"/>
      <c r="O1777" s="27"/>
      <c r="P1777" s="27"/>
      <c r="Q1777" s="2">
        <f t="shared" si="266"/>
        <v>0</v>
      </c>
      <c r="S1777" s="7">
        <f t="shared" si="269"/>
        <v>0</v>
      </c>
      <c r="T1777" s="157">
        <f t="shared" si="270"/>
        <v>0</v>
      </c>
      <c r="V1777" s="191">
        <f t="shared" si="267"/>
        <v>1</v>
      </c>
      <c r="W1777" s="7">
        <f t="shared" si="268"/>
        <v>1900</v>
      </c>
    </row>
    <row r="1778" spans="2:23" ht="31.95" customHeight="1" thickBot="1" x14ac:dyDescent="0.35">
      <c r="B1778" s="26"/>
      <c r="C1778" s="51" t="str">
        <f t="shared" si="271"/>
        <v/>
      </c>
      <c r="D1778" s="27"/>
      <c r="E1778" s="26"/>
      <c r="F1778" s="26"/>
      <c r="G1778" s="26"/>
      <c r="H1778" s="254"/>
      <c r="I1778" s="49"/>
      <c r="J1778" s="49"/>
      <c r="K1778" s="52" t="str">
        <f t="shared" si="272"/>
        <v/>
      </c>
      <c r="L1778" s="209" t="str">
        <f t="shared" si="273"/>
        <v/>
      </c>
      <c r="M1778" s="210" t="str">
        <f t="shared" si="274"/>
        <v/>
      </c>
      <c r="N1778" s="26"/>
      <c r="O1778" s="27"/>
      <c r="P1778" s="27"/>
      <c r="Q1778" s="2">
        <f t="shared" si="266"/>
        <v>0</v>
      </c>
      <c r="S1778" s="7">
        <f t="shared" si="269"/>
        <v>0</v>
      </c>
      <c r="T1778" s="157">
        <f t="shared" si="270"/>
        <v>0</v>
      </c>
      <c r="V1778" s="191">
        <f t="shared" si="267"/>
        <v>1</v>
      </c>
      <c r="W1778" s="7">
        <f t="shared" si="268"/>
        <v>1900</v>
      </c>
    </row>
    <row r="1779" spans="2:23" ht="31.95" customHeight="1" thickBot="1" x14ac:dyDescent="0.35">
      <c r="B1779" s="26"/>
      <c r="C1779" s="51" t="str">
        <f t="shared" si="271"/>
        <v/>
      </c>
      <c r="D1779" s="27"/>
      <c r="E1779" s="26"/>
      <c r="F1779" s="26"/>
      <c r="G1779" s="26"/>
      <c r="H1779" s="254"/>
      <c r="I1779" s="49"/>
      <c r="J1779" s="49"/>
      <c r="K1779" s="52" t="str">
        <f t="shared" si="272"/>
        <v/>
      </c>
      <c r="L1779" s="209" t="str">
        <f t="shared" si="273"/>
        <v/>
      </c>
      <c r="M1779" s="210" t="str">
        <f t="shared" si="274"/>
        <v/>
      </c>
      <c r="N1779" s="26"/>
      <c r="O1779" s="27"/>
      <c r="P1779" s="27"/>
      <c r="Q1779" s="2">
        <f t="shared" si="266"/>
        <v>0</v>
      </c>
      <c r="S1779" s="7">
        <f t="shared" si="269"/>
        <v>0</v>
      </c>
      <c r="T1779" s="157">
        <f t="shared" si="270"/>
        <v>0</v>
      </c>
      <c r="V1779" s="191">
        <f t="shared" si="267"/>
        <v>1</v>
      </c>
      <c r="W1779" s="7">
        <f t="shared" si="268"/>
        <v>1900</v>
      </c>
    </row>
    <row r="1780" spans="2:23" ht="31.95" customHeight="1" thickBot="1" x14ac:dyDescent="0.35">
      <c r="B1780" s="26"/>
      <c r="C1780" s="51" t="str">
        <f t="shared" si="271"/>
        <v/>
      </c>
      <c r="D1780" s="27"/>
      <c r="E1780" s="26"/>
      <c r="F1780" s="26"/>
      <c r="G1780" s="26"/>
      <c r="H1780" s="254"/>
      <c r="I1780" s="49"/>
      <c r="J1780" s="49"/>
      <c r="K1780" s="52" t="str">
        <f t="shared" si="272"/>
        <v/>
      </c>
      <c r="L1780" s="209" t="str">
        <f t="shared" si="273"/>
        <v/>
      </c>
      <c r="M1780" s="210" t="str">
        <f t="shared" si="274"/>
        <v/>
      </c>
      <c r="N1780" s="26"/>
      <c r="O1780" s="27"/>
      <c r="P1780" s="27"/>
      <c r="Q1780" s="2">
        <f t="shared" si="266"/>
        <v>0</v>
      </c>
      <c r="S1780" s="7">
        <f t="shared" si="269"/>
        <v>0</v>
      </c>
      <c r="T1780" s="157">
        <f t="shared" si="270"/>
        <v>0</v>
      </c>
      <c r="V1780" s="191">
        <f t="shared" si="267"/>
        <v>1</v>
      </c>
      <c r="W1780" s="7">
        <f t="shared" si="268"/>
        <v>1900</v>
      </c>
    </row>
    <row r="1781" spans="2:23" ht="31.95" customHeight="1" thickBot="1" x14ac:dyDescent="0.35">
      <c r="B1781" s="26"/>
      <c r="C1781" s="51" t="str">
        <f t="shared" si="271"/>
        <v/>
      </c>
      <c r="D1781" s="27"/>
      <c r="E1781" s="26"/>
      <c r="F1781" s="26"/>
      <c r="G1781" s="26"/>
      <c r="H1781" s="254"/>
      <c r="I1781" s="49"/>
      <c r="J1781" s="49"/>
      <c r="K1781" s="52" t="str">
        <f t="shared" si="272"/>
        <v/>
      </c>
      <c r="L1781" s="209" t="str">
        <f t="shared" si="273"/>
        <v/>
      </c>
      <c r="M1781" s="210" t="str">
        <f t="shared" si="274"/>
        <v/>
      </c>
      <c r="N1781" s="26"/>
      <c r="O1781" s="27"/>
      <c r="P1781" s="27"/>
      <c r="Q1781" s="2">
        <f t="shared" si="266"/>
        <v>0</v>
      </c>
      <c r="S1781" s="7">
        <f t="shared" si="269"/>
        <v>0</v>
      </c>
      <c r="T1781" s="157">
        <f t="shared" si="270"/>
        <v>0</v>
      </c>
      <c r="V1781" s="191">
        <f t="shared" si="267"/>
        <v>1</v>
      </c>
      <c r="W1781" s="7">
        <f t="shared" si="268"/>
        <v>1900</v>
      </c>
    </row>
    <row r="1782" spans="2:23" ht="31.95" customHeight="1" thickBot="1" x14ac:dyDescent="0.35">
      <c r="B1782" s="26"/>
      <c r="C1782" s="51" t="str">
        <f t="shared" si="271"/>
        <v/>
      </c>
      <c r="D1782" s="27"/>
      <c r="E1782" s="26"/>
      <c r="F1782" s="26"/>
      <c r="G1782" s="26"/>
      <c r="H1782" s="254"/>
      <c r="I1782" s="49"/>
      <c r="J1782" s="49"/>
      <c r="K1782" s="52" t="str">
        <f t="shared" si="272"/>
        <v/>
      </c>
      <c r="L1782" s="209" t="str">
        <f t="shared" si="273"/>
        <v/>
      </c>
      <c r="M1782" s="210" t="str">
        <f t="shared" si="274"/>
        <v/>
      </c>
      <c r="N1782" s="26"/>
      <c r="O1782" s="27"/>
      <c r="P1782" s="27"/>
      <c r="Q1782" s="2">
        <f t="shared" si="266"/>
        <v>0</v>
      </c>
      <c r="S1782" s="7">
        <f t="shared" si="269"/>
        <v>0</v>
      </c>
      <c r="T1782" s="157">
        <f t="shared" si="270"/>
        <v>0</v>
      </c>
      <c r="V1782" s="191">
        <f t="shared" si="267"/>
        <v>1</v>
      </c>
      <c r="W1782" s="7">
        <f t="shared" si="268"/>
        <v>1900</v>
      </c>
    </row>
    <row r="1783" spans="2:23" ht="31.95" customHeight="1" thickBot="1" x14ac:dyDescent="0.35">
      <c r="B1783" s="26"/>
      <c r="C1783" s="51" t="str">
        <f t="shared" si="271"/>
        <v/>
      </c>
      <c r="D1783" s="27"/>
      <c r="E1783" s="26"/>
      <c r="F1783" s="26"/>
      <c r="G1783" s="26"/>
      <c r="H1783" s="254"/>
      <c r="I1783" s="49"/>
      <c r="J1783" s="49"/>
      <c r="K1783" s="52" t="str">
        <f t="shared" si="272"/>
        <v/>
      </c>
      <c r="L1783" s="209" t="str">
        <f t="shared" si="273"/>
        <v/>
      </c>
      <c r="M1783" s="210" t="str">
        <f t="shared" si="274"/>
        <v/>
      </c>
      <c r="N1783" s="26"/>
      <c r="O1783" s="27"/>
      <c r="P1783" s="27"/>
      <c r="Q1783" s="2">
        <f t="shared" si="266"/>
        <v>0</v>
      </c>
      <c r="S1783" s="7">
        <f t="shared" si="269"/>
        <v>0</v>
      </c>
      <c r="T1783" s="157">
        <f t="shared" si="270"/>
        <v>0</v>
      </c>
      <c r="V1783" s="191">
        <f t="shared" si="267"/>
        <v>1</v>
      </c>
      <c r="W1783" s="7">
        <f t="shared" si="268"/>
        <v>1900</v>
      </c>
    </row>
    <row r="1784" spans="2:23" ht="31.95" customHeight="1" thickBot="1" x14ac:dyDescent="0.35">
      <c r="B1784" s="26"/>
      <c r="C1784" s="51" t="str">
        <f t="shared" si="271"/>
        <v/>
      </c>
      <c r="D1784" s="27"/>
      <c r="E1784" s="26"/>
      <c r="F1784" s="26"/>
      <c r="G1784" s="26"/>
      <c r="H1784" s="254"/>
      <c r="I1784" s="49"/>
      <c r="J1784" s="49"/>
      <c r="K1784" s="52" t="str">
        <f t="shared" si="272"/>
        <v/>
      </c>
      <c r="L1784" s="209" t="str">
        <f t="shared" si="273"/>
        <v/>
      </c>
      <c r="M1784" s="210" t="str">
        <f t="shared" si="274"/>
        <v/>
      </c>
      <c r="N1784" s="26"/>
      <c r="O1784" s="27"/>
      <c r="P1784" s="27"/>
      <c r="Q1784" s="2">
        <f t="shared" si="266"/>
        <v>0</v>
      </c>
      <c r="S1784" s="7">
        <f t="shared" si="269"/>
        <v>0</v>
      </c>
      <c r="T1784" s="157">
        <f t="shared" si="270"/>
        <v>0</v>
      </c>
      <c r="V1784" s="191">
        <f t="shared" si="267"/>
        <v>1</v>
      </c>
      <c r="W1784" s="7">
        <f t="shared" si="268"/>
        <v>1900</v>
      </c>
    </row>
    <row r="1785" spans="2:23" ht="31.95" customHeight="1" thickBot="1" x14ac:dyDescent="0.35">
      <c r="B1785" s="26"/>
      <c r="C1785" s="51" t="str">
        <f t="shared" si="271"/>
        <v/>
      </c>
      <c r="D1785" s="27"/>
      <c r="E1785" s="26"/>
      <c r="F1785" s="26"/>
      <c r="G1785" s="26"/>
      <c r="H1785" s="254"/>
      <c r="I1785" s="49"/>
      <c r="J1785" s="49"/>
      <c r="K1785" s="52" t="str">
        <f t="shared" si="272"/>
        <v/>
      </c>
      <c r="L1785" s="209" t="str">
        <f t="shared" si="273"/>
        <v/>
      </c>
      <c r="M1785" s="210" t="str">
        <f t="shared" si="274"/>
        <v/>
      </c>
      <c r="N1785" s="26"/>
      <c r="O1785" s="27"/>
      <c r="P1785" s="27"/>
      <c r="Q1785" s="2">
        <f t="shared" si="266"/>
        <v>0</v>
      </c>
      <c r="S1785" s="7">
        <f t="shared" si="269"/>
        <v>0</v>
      </c>
      <c r="T1785" s="157">
        <f t="shared" si="270"/>
        <v>0</v>
      </c>
      <c r="V1785" s="191">
        <f t="shared" si="267"/>
        <v>1</v>
      </c>
      <c r="W1785" s="7">
        <f t="shared" si="268"/>
        <v>1900</v>
      </c>
    </row>
    <row r="1786" spans="2:23" ht="31.95" customHeight="1" thickBot="1" x14ac:dyDescent="0.35">
      <c r="B1786" s="26"/>
      <c r="C1786" s="51" t="str">
        <f t="shared" si="271"/>
        <v/>
      </c>
      <c r="D1786" s="27"/>
      <c r="E1786" s="26"/>
      <c r="F1786" s="26"/>
      <c r="G1786" s="26"/>
      <c r="H1786" s="254"/>
      <c r="I1786" s="49"/>
      <c r="J1786" s="49"/>
      <c r="K1786" s="52" t="str">
        <f t="shared" si="272"/>
        <v/>
      </c>
      <c r="L1786" s="209" t="str">
        <f t="shared" si="273"/>
        <v/>
      </c>
      <c r="M1786" s="210" t="str">
        <f t="shared" si="274"/>
        <v/>
      </c>
      <c r="N1786" s="26"/>
      <c r="O1786" s="27"/>
      <c r="P1786" s="27"/>
      <c r="Q1786" s="2">
        <f t="shared" si="266"/>
        <v>0</v>
      </c>
      <c r="S1786" s="7">
        <f t="shared" si="269"/>
        <v>0</v>
      </c>
      <c r="T1786" s="157">
        <f t="shared" si="270"/>
        <v>0</v>
      </c>
      <c r="V1786" s="191">
        <f t="shared" si="267"/>
        <v>1</v>
      </c>
      <c r="W1786" s="7">
        <f t="shared" si="268"/>
        <v>1900</v>
      </c>
    </row>
    <row r="1787" spans="2:23" ht="31.95" customHeight="1" thickBot="1" x14ac:dyDescent="0.35">
      <c r="B1787" s="26"/>
      <c r="C1787" s="51" t="str">
        <f t="shared" si="271"/>
        <v/>
      </c>
      <c r="D1787" s="27"/>
      <c r="E1787" s="26"/>
      <c r="F1787" s="26"/>
      <c r="G1787" s="26"/>
      <c r="H1787" s="254"/>
      <c r="I1787" s="49"/>
      <c r="J1787" s="49"/>
      <c r="K1787" s="52" t="str">
        <f t="shared" si="272"/>
        <v/>
      </c>
      <c r="L1787" s="209" t="str">
        <f t="shared" si="273"/>
        <v/>
      </c>
      <c r="M1787" s="210" t="str">
        <f t="shared" si="274"/>
        <v/>
      </c>
      <c r="N1787" s="26"/>
      <c r="O1787" s="27"/>
      <c r="P1787" s="27"/>
      <c r="Q1787" s="2">
        <f t="shared" si="266"/>
        <v>0</v>
      </c>
      <c r="S1787" s="7">
        <f t="shared" si="269"/>
        <v>0</v>
      </c>
      <c r="T1787" s="157">
        <f t="shared" si="270"/>
        <v>0</v>
      </c>
      <c r="V1787" s="191">
        <f t="shared" si="267"/>
        <v>1</v>
      </c>
      <c r="W1787" s="7">
        <f t="shared" si="268"/>
        <v>1900</v>
      </c>
    </row>
    <row r="1788" spans="2:23" ht="31.95" customHeight="1" thickBot="1" x14ac:dyDescent="0.35">
      <c r="B1788" s="26"/>
      <c r="C1788" s="51" t="str">
        <f t="shared" si="271"/>
        <v/>
      </c>
      <c r="D1788" s="27"/>
      <c r="E1788" s="26"/>
      <c r="F1788" s="26"/>
      <c r="G1788" s="26"/>
      <c r="H1788" s="254"/>
      <c r="I1788" s="49"/>
      <c r="J1788" s="49"/>
      <c r="K1788" s="52" t="str">
        <f t="shared" si="272"/>
        <v/>
      </c>
      <c r="L1788" s="209" t="str">
        <f t="shared" si="273"/>
        <v/>
      </c>
      <c r="M1788" s="210" t="str">
        <f t="shared" si="274"/>
        <v/>
      </c>
      <c r="N1788" s="26"/>
      <c r="O1788" s="27"/>
      <c r="P1788" s="27"/>
      <c r="Q1788" s="2">
        <f t="shared" si="266"/>
        <v>0</v>
      </c>
      <c r="S1788" s="7">
        <f t="shared" si="269"/>
        <v>0</v>
      </c>
      <c r="T1788" s="157">
        <f t="shared" si="270"/>
        <v>0</v>
      </c>
      <c r="V1788" s="191">
        <f t="shared" si="267"/>
        <v>1</v>
      </c>
      <c r="W1788" s="7">
        <f t="shared" si="268"/>
        <v>1900</v>
      </c>
    </row>
    <row r="1789" spans="2:23" ht="31.95" customHeight="1" thickBot="1" x14ac:dyDescent="0.35">
      <c r="B1789" s="26"/>
      <c r="C1789" s="51" t="str">
        <f t="shared" si="271"/>
        <v/>
      </c>
      <c r="D1789" s="27"/>
      <c r="E1789" s="26"/>
      <c r="F1789" s="26"/>
      <c r="G1789" s="26"/>
      <c r="H1789" s="254"/>
      <c r="I1789" s="49"/>
      <c r="J1789" s="49"/>
      <c r="K1789" s="52" t="str">
        <f t="shared" si="272"/>
        <v/>
      </c>
      <c r="L1789" s="209" t="str">
        <f t="shared" si="273"/>
        <v/>
      </c>
      <c r="M1789" s="210" t="str">
        <f t="shared" si="274"/>
        <v/>
      </c>
      <c r="N1789" s="26"/>
      <c r="O1789" s="27"/>
      <c r="P1789" s="27"/>
      <c r="Q1789" s="2">
        <f t="shared" si="266"/>
        <v>0</v>
      </c>
      <c r="S1789" s="7">
        <f t="shared" si="269"/>
        <v>0</v>
      </c>
      <c r="T1789" s="157">
        <f t="shared" si="270"/>
        <v>0</v>
      </c>
      <c r="V1789" s="191">
        <f t="shared" si="267"/>
        <v>1</v>
      </c>
      <c r="W1789" s="7">
        <f t="shared" si="268"/>
        <v>1900</v>
      </c>
    </row>
    <row r="1790" spans="2:23" ht="31.95" customHeight="1" thickBot="1" x14ac:dyDescent="0.35">
      <c r="B1790" s="26"/>
      <c r="C1790" s="51" t="str">
        <f t="shared" si="271"/>
        <v/>
      </c>
      <c r="D1790" s="27"/>
      <c r="E1790" s="26"/>
      <c r="F1790" s="26"/>
      <c r="G1790" s="26"/>
      <c r="H1790" s="254"/>
      <c r="I1790" s="49"/>
      <c r="J1790" s="49"/>
      <c r="K1790" s="52" t="str">
        <f t="shared" si="272"/>
        <v/>
      </c>
      <c r="L1790" s="209" t="str">
        <f t="shared" si="273"/>
        <v/>
      </c>
      <c r="M1790" s="210" t="str">
        <f t="shared" si="274"/>
        <v/>
      </c>
      <c r="N1790" s="26"/>
      <c r="O1790" s="27"/>
      <c r="P1790" s="27"/>
      <c r="Q1790" s="2">
        <f t="shared" si="266"/>
        <v>0</v>
      </c>
      <c r="S1790" s="7">
        <f t="shared" si="269"/>
        <v>0</v>
      </c>
      <c r="T1790" s="157">
        <f t="shared" si="270"/>
        <v>0</v>
      </c>
      <c r="V1790" s="191">
        <f t="shared" si="267"/>
        <v>1</v>
      </c>
      <c r="W1790" s="7">
        <f t="shared" si="268"/>
        <v>1900</v>
      </c>
    </row>
    <row r="1791" spans="2:23" ht="31.95" customHeight="1" thickBot="1" x14ac:dyDescent="0.35">
      <c r="B1791" s="26"/>
      <c r="C1791" s="51" t="str">
        <f t="shared" si="271"/>
        <v/>
      </c>
      <c r="D1791" s="27"/>
      <c r="E1791" s="26"/>
      <c r="F1791" s="26"/>
      <c r="G1791" s="26"/>
      <c r="H1791" s="254"/>
      <c r="I1791" s="49"/>
      <c r="J1791" s="49"/>
      <c r="K1791" s="52" t="str">
        <f t="shared" si="272"/>
        <v/>
      </c>
      <c r="L1791" s="209" t="str">
        <f t="shared" si="273"/>
        <v/>
      </c>
      <c r="M1791" s="210" t="str">
        <f t="shared" si="274"/>
        <v/>
      </c>
      <c r="N1791" s="26"/>
      <c r="O1791" s="27"/>
      <c r="P1791" s="27"/>
      <c r="Q1791" s="2">
        <f t="shared" si="266"/>
        <v>0</v>
      </c>
      <c r="S1791" s="7">
        <f t="shared" si="269"/>
        <v>0</v>
      </c>
      <c r="T1791" s="157">
        <f t="shared" si="270"/>
        <v>0</v>
      </c>
      <c r="V1791" s="191">
        <f t="shared" si="267"/>
        <v>1</v>
      </c>
      <c r="W1791" s="7">
        <f t="shared" si="268"/>
        <v>1900</v>
      </c>
    </row>
    <row r="1792" spans="2:23" ht="31.95" customHeight="1" thickBot="1" x14ac:dyDescent="0.35">
      <c r="B1792" s="26"/>
      <c r="C1792" s="51" t="str">
        <f t="shared" si="271"/>
        <v/>
      </c>
      <c r="D1792" s="27"/>
      <c r="E1792" s="26"/>
      <c r="F1792" s="26"/>
      <c r="G1792" s="26"/>
      <c r="H1792" s="254"/>
      <c r="I1792" s="49"/>
      <c r="J1792" s="49"/>
      <c r="K1792" s="52" t="str">
        <f t="shared" si="272"/>
        <v/>
      </c>
      <c r="L1792" s="209" t="str">
        <f t="shared" si="273"/>
        <v/>
      </c>
      <c r="M1792" s="210" t="str">
        <f t="shared" si="274"/>
        <v/>
      </c>
      <c r="N1792" s="26"/>
      <c r="O1792" s="27"/>
      <c r="P1792" s="27"/>
      <c r="Q1792" s="2">
        <f t="shared" si="266"/>
        <v>0</v>
      </c>
      <c r="S1792" s="7">
        <f t="shared" si="269"/>
        <v>0</v>
      </c>
      <c r="T1792" s="157">
        <f t="shared" si="270"/>
        <v>0</v>
      </c>
      <c r="V1792" s="191">
        <f t="shared" si="267"/>
        <v>1</v>
      </c>
      <c r="W1792" s="7">
        <f t="shared" si="268"/>
        <v>1900</v>
      </c>
    </row>
    <row r="1793" spans="2:23" ht="31.95" customHeight="1" thickBot="1" x14ac:dyDescent="0.35">
      <c r="B1793" s="26"/>
      <c r="C1793" s="51" t="str">
        <f t="shared" si="271"/>
        <v/>
      </c>
      <c r="D1793" s="27"/>
      <c r="E1793" s="26"/>
      <c r="F1793" s="26"/>
      <c r="G1793" s="26"/>
      <c r="H1793" s="254"/>
      <c r="I1793" s="49"/>
      <c r="J1793" s="49"/>
      <c r="K1793" s="52" t="str">
        <f t="shared" si="272"/>
        <v/>
      </c>
      <c r="L1793" s="209" t="str">
        <f t="shared" si="273"/>
        <v/>
      </c>
      <c r="M1793" s="210" t="str">
        <f t="shared" si="274"/>
        <v/>
      </c>
      <c r="N1793" s="26"/>
      <c r="O1793" s="27"/>
      <c r="P1793" s="27"/>
      <c r="Q1793" s="2">
        <f t="shared" si="266"/>
        <v>0</v>
      </c>
      <c r="S1793" s="7">
        <f t="shared" si="269"/>
        <v>0</v>
      </c>
      <c r="T1793" s="157">
        <f t="shared" si="270"/>
        <v>0</v>
      </c>
      <c r="V1793" s="191">
        <f t="shared" si="267"/>
        <v>1</v>
      </c>
      <c r="W1793" s="7">
        <f t="shared" si="268"/>
        <v>1900</v>
      </c>
    </row>
    <row r="1794" spans="2:23" ht="31.95" customHeight="1" thickBot="1" x14ac:dyDescent="0.35">
      <c r="B1794" s="26"/>
      <c r="C1794" s="51" t="str">
        <f t="shared" si="271"/>
        <v/>
      </c>
      <c r="D1794" s="27"/>
      <c r="E1794" s="26"/>
      <c r="F1794" s="26"/>
      <c r="G1794" s="26"/>
      <c r="H1794" s="254"/>
      <c r="I1794" s="49"/>
      <c r="J1794" s="49"/>
      <c r="K1794" s="52" t="str">
        <f t="shared" si="272"/>
        <v/>
      </c>
      <c r="L1794" s="209" t="str">
        <f t="shared" si="273"/>
        <v/>
      </c>
      <c r="M1794" s="210" t="str">
        <f t="shared" si="274"/>
        <v/>
      </c>
      <c r="N1794" s="26"/>
      <c r="O1794" s="27"/>
      <c r="P1794" s="27"/>
      <c r="Q1794" s="2">
        <f t="shared" si="266"/>
        <v>0</v>
      </c>
      <c r="S1794" s="7">
        <f t="shared" si="269"/>
        <v>0</v>
      </c>
      <c r="T1794" s="157">
        <f t="shared" si="270"/>
        <v>0</v>
      </c>
      <c r="V1794" s="191">
        <f t="shared" si="267"/>
        <v>1</v>
      </c>
      <c r="W1794" s="7">
        <f t="shared" si="268"/>
        <v>1900</v>
      </c>
    </row>
    <row r="1795" spans="2:23" ht="31.95" customHeight="1" thickBot="1" x14ac:dyDescent="0.35">
      <c r="B1795" s="26"/>
      <c r="C1795" s="51" t="str">
        <f t="shared" si="271"/>
        <v/>
      </c>
      <c r="D1795" s="27"/>
      <c r="E1795" s="26"/>
      <c r="F1795" s="26"/>
      <c r="G1795" s="26"/>
      <c r="H1795" s="254"/>
      <c r="I1795" s="49"/>
      <c r="J1795" s="49"/>
      <c r="K1795" s="52" t="str">
        <f t="shared" si="272"/>
        <v/>
      </c>
      <c r="L1795" s="209" t="str">
        <f t="shared" si="273"/>
        <v/>
      </c>
      <c r="M1795" s="210" t="str">
        <f t="shared" si="274"/>
        <v/>
      </c>
      <c r="N1795" s="26"/>
      <c r="O1795" s="27"/>
      <c r="P1795" s="27"/>
      <c r="Q1795" s="2">
        <f t="shared" si="266"/>
        <v>0</v>
      </c>
      <c r="S1795" s="7">
        <f t="shared" si="269"/>
        <v>0</v>
      </c>
      <c r="T1795" s="157">
        <f t="shared" si="270"/>
        <v>0</v>
      </c>
      <c r="V1795" s="191">
        <f t="shared" si="267"/>
        <v>1</v>
      </c>
      <c r="W1795" s="7">
        <f t="shared" si="268"/>
        <v>1900</v>
      </c>
    </row>
    <row r="1796" spans="2:23" ht="31.95" customHeight="1" thickBot="1" x14ac:dyDescent="0.35">
      <c r="B1796" s="26"/>
      <c r="C1796" s="51" t="str">
        <f t="shared" si="271"/>
        <v/>
      </c>
      <c r="D1796" s="27"/>
      <c r="E1796" s="26"/>
      <c r="F1796" s="26"/>
      <c r="G1796" s="26"/>
      <c r="H1796" s="254"/>
      <c r="I1796" s="49"/>
      <c r="J1796" s="49"/>
      <c r="K1796" s="52" t="str">
        <f t="shared" si="272"/>
        <v/>
      </c>
      <c r="L1796" s="209" t="str">
        <f t="shared" si="273"/>
        <v/>
      </c>
      <c r="M1796" s="210" t="str">
        <f t="shared" si="274"/>
        <v/>
      </c>
      <c r="N1796" s="26"/>
      <c r="O1796" s="27"/>
      <c r="P1796" s="27"/>
      <c r="Q1796" s="2">
        <f t="shared" si="266"/>
        <v>0</v>
      </c>
      <c r="S1796" s="7">
        <f t="shared" si="269"/>
        <v>0</v>
      </c>
      <c r="T1796" s="157">
        <f t="shared" si="270"/>
        <v>0</v>
      </c>
      <c r="V1796" s="191">
        <f t="shared" si="267"/>
        <v>1</v>
      </c>
      <c r="W1796" s="7">
        <f t="shared" si="268"/>
        <v>1900</v>
      </c>
    </row>
    <row r="1797" spans="2:23" ht="31.95" customHeight="1" thickBot="1" x14ac:dyDescent="0.35">
      <c r="B1797" s="26"/>
      <c r="C1797" s="51" t="str">
        <f t="shared" si="271"/>
        <v/>
      </c>
      <c r="D1797" s="27"/>
      <c r="E1797" s="26"/>
      <c r="F1797" s="26"/>
      <c r="G1797" s="26"/>
      <c r="H1797" s="254"/>
      <c r="I1797" s="49"/>
      <c r="J1797" s="49"/>
      <c r="K1797" s="52" t="str">
        <f t="shared" si="272"/>
        <v/>
      </c>
      <c r="L1797" s="209" t="str">
        <f t="shared" si="273"/>
        <v/>
      </c>
      <c r="M1797" s="210" t="str">
        <f t="shared" si="274"/>
        <v/>
      </c>
      <c r="N1797" s="26"/>
      <c r="O1797" s="27"/>
      <c r="P1797" s="27"/>
      <c r="Q1797" s="2">
        <f t="shared" ref="Q1797:Q1860" si="275">IF(B1797&lt;&gt;"",1,0)</f>
        <v>0</v>
      </c>
      <c r="S1797" s="7">
        <f t="shared" si="269"/>
        <v>0</v>
      </c>
      <c r="T1797" s="157">
        <f t="shared" si="270"/>
        <v>0</v>
      </c>
      <c r="V1797" s="191">
        <f t="shared" ref="V1797:V1860" si="276">MONTH(B1797)</f>
        <v>1</v>
      </c>
      <c r="W1797" s="7">
        <f t="shared" ref="W1797:W1860" si="277">YEAR(B1797)</f>
        <v>1900</v>
      </c>
    </row>
    <row r="1798" spans="2:23" ht="31.95" customHeight="1" thickBot="1" x14ac:dyDescent="0.35">
      <c r="B1798" s="26"/>
      <c r="C1798" s="51" t="str">
        <f t="shared" si="271"/>
        <v/>
      </c>
      <c r="D1798" s="27"/>
      <c r="E1798" s="26"/>
      <c r="F1798" s="26"/>
      <c r="G1798" s="26"/>
      <c r="H1798" s="254"/>
      <c r="I1798" s="49"/>
      <c r="J1798" s="49"/>
      <c r="K1798" s="52" t="str">
        <f t="shared" si="272"/>
        <v/>
      </c>
      <c r="L1798" s="209" t="str">
        <f t="shared" si="273"/>
        <v/>
      </c>
      <c r="M1798" s="210" t="str">
        <f t="shared" si="274"/>
        <v/>
      </c>
      <c r="N1798" s="26"/>
      <c r="O1798" s="27"/>
      <c r="P1798" s="27"/>
      <c r="Q1798" s="2">
        <f t="shared" si="275"/>
        <v>0</v>
      </c>
      <c r="S1798" s="7">
        <f t="shared" ref="S1798:S1861" si="278">IF(AND(O1798&lt;=N1798,O1798&lt;&gt;""),1,0)</f>
        <v>0</v>
      </c>
      <c r="T1798" s="157">
        <f t="shared" ref="T1798:T1861" si="279">IF(AND(P1798&lt;=N1798,P1798&lt;&gt;""),1,0)</f>
        <v>0</v>
      </c>
      <c r="V1798" s="191">
        <f t="shared" si="276"/>
        <v>1</v>
      </c>
      <c r="W1798" s="7">
        <f t="shared" si="277"/>
        <v>1900</v>
      </c>
    </row>
    <row r="1799" spans="2:23" ht="31.95" customHeight="1" thickBot="1" x14ac:dyDescent="0.35">
      <c r="B1799" s="26"/>
      <c r="C1799" s="51" t="str">
        <f t="shared" ref="C1799:C1862" si="280">IF(B1799&lt;&gt;"",C1798+1,"")</f>
        <v/>
      </c>
      <c r="D1799" s="27"/>
      <c r="E1799" s="26"/>
      <c r="F1799" s="26"/>
      <c r="G1799" s="26"/>
      <c r="H1799" s="254"/>
      <c r="I1799" s="49"/>
      <c r="J1799" s="49"/>
      <c r="K1799" s="52" t="str">
        <f t="shared" si="272"/>
        <v/>
      </c>
      <c r="L1799" s="209" t="str">
        <f t="shared" si="273"/>
        <v/>
      </c>
      <c r="M1799" s="210" t="str">
        <f t="shared" si="274"/>
        <v/>
      </c>
      <c r="N1799" s="26"/>
      <c r="O1799" s="27"/>
      <c r="P1799" s="27"/>
      <c r="Q1799" s="2">
        <f t="shared" si="275"/>
        <v>0</v>
      </c>
      <c r="S1799" s="7">
        <f t="shared" si="278"/>
        <v>0</v>
      </c>
      <c r="T1799" s="157">
        <f t="shared" si="279"/>
        <v>0</v>
      </c>
      <c r="V1799" s="191">
        <f t="shared" si="276"/>
        <v>1</v>
      </c>
      <c r="W1799" s="7">
        <f t="shared" si="277"/>
        <v>1900</v>
      </c>
    </row>
    <row r="1800" spans="2:23" ht="31.95" customHeight="1" thickBot="1" x14ac:dyDescent="0.35">
      <c r="B1800" s="26"/>
      <c r="C1800" s="51" t="str">
        <f t="shared" si="280"/>
        <v/>
      </c>
      <c r="D1800" s="27"/>
      <c r="E1800" s="26"/>
      <c r="F1800" s="26"/>
      <c r="G1800" s="26"/>
      <c r="H1800" s="254"/>
      <c r="I1800" s="49"/>
      <c r="J1800" s="49"/>
      <c r="K1800" s="52" t="str">
        <f t="shared" si="272"/>
        <v/>
      </c>
      <c r="L1800" s="209" t="str">
        <f t="shared" si="273"/>
        <v/>
      </c>
      <c r="M1800" s="210" t="str">
        <f t="shared" si="274"/>
        <v/>
      </c>
      <c r="N1800" s="26"/>
      <c r="O1800" s="27"/>
      <c r="P1800" s="27"/>
      <c r="Q1800" s="2">
        <f t="shared" si="275"/>
        <v>0</v>
      </c>
      <c r="S1800" s="7">
        <f t="shared" si="278"/>
        <v>0</v>
      </c>
      <c r="T1800" s="157">
        <f t="shared" si="279"/>
        <v>0</v>
      </c>
      <c r="V1800" s="191">
        <f t="shared" si="276"/>
        <v>1</v>
      </c>
      <c r="W1800" s="7">
        <f t="shared" si="277"/>
        <v>1900</v>
      </c>
    </row>
    <row r="1801" spans="2:23" ht="31.95" customHeight="1" thickBot="1" x14ac:dyDescent="0.35">
      <c r="B1801" s="26"/>
      <c r="C1801" s="51" t="str">
        <f t="shared" si="280"/>
        <v/>
      </c>
      <c r="D1801" s="27"/>
      <c r="E1801" s="26"/>
      <c r="F1801" s="26"/>
      <c r="G1801" s="26"/>
      <c r="H1801" s="254"/>
      <c r="I1801" s="49"/>
      <c r="J1801" s="49"/>
      <c r="K1801" s="52" t="str">
        <f t="shared" si="272"/>
        <v/>
      </c>
      <c r="L1801" s="209" t="str">
        <f t="shared" si="273"/>
        <v/>
      </c>
      <c r="M1801" s="210" t="str">
        <f t="shared" si="274"/>
        <v/>
      </c>
      <c r="N1801" s="26"/>
      <c r="O1801" s="27"/>
      <c r="P1801" s="27"/>
      <c r="Q1801" s="2">
        <f t="shared" si="275"/>
        <v>0</v>
      </c>
      <c r="S1801" s="7">
        <f t="shared" si="278"/>
        <v>0</v>
      </c>
      <c r="T1801" s="157">
        <f t="shared" si="279"/>
        <v>0</v>
      </c>
      <c r="V1801" s="191">
        <f t="shared" si="276"/>
        <v>1</v>
      </c>
      <c r="W1801" s="7">
        <f t="shared" si="277"/>
        <v>1900</v>
      </c>
    </row>
    <row r="1802" spans="2:23" ht="31.95" customHeight="1" thickBot="1" x14ac:dyDescent="0.35">
      <c r="B1802" s="26"/>
      <c r="C1802" s="51" t="str">
        <f t="shared" si="280"/>
        <v/>
      </c>
      <c r="D1802" s="27"/>
      <c r="E1802" s="26"/>
      <c r="F1802" s="26"/>
      <c r="G1802" s="26"/>
      <c r="H1802" s="254"/>
      <c r="I1802" s="49"/>
      <c r="J1802" s="49"/>
      <c r="K1802" s="52" t="str">
        <f t="shared" si="272"/>
        <v/>
      </c>
      <c r="L1802" s="209" t="str">
        <f t="shared" si="273"/>
        <v/>
      </c>
      <c r="M1802" s="210" t="str">
        <f t="shared" si="274"/>
        <v/>
      </c>
      <c r="N1802" s="26"/>
      <c r="O1802" s="27"/>
      <c r="P1802" s="27"/>
      <c r="Q1802" s="2">
        <f t="shared" si="275"/>
        <v>0</v>
      </c>
      <c r="S1802" s="7">
        <f t="shared" si="278"/>
        <v>0</v>
      </c>
      <c r="T1802" s="157">
        <f t="shared" si="279"/>
        <v>0</v>
      </c>
      <c r="V1802" s="191">
        <f t="shared" si="276"/>
        <v>1</v>
      </c>
      <c r="W1802" s="7">
        <f t="shared" si="277"/>
        <v>1900</v>
      </c>
    </row>
    <row r="1803" spans="2:23" ht="31.95" customHeight="1" thickBot="1" x14ac:dyDescent="0.35">
      <c r="B1803" s="26"/>
      <c r="C1803" s="51" t="str">
        <f t="shared" si="280"/>
        <v/>
      </c>
      <c r="D1803" s="27"/>
      <c r="E1803" s="26"/>
      <c r="F1803" s="26"/>
      <c r="G1803" s="26"/>
      <c r="H1803" s="254"/>
      <c r="I1803" s="49"/>
      <c r="J1803" s="49"/>
      <c r="K1803" s="52" t="str">
        <f t="shared" si="272"/>
        <v/>
      </c>
      <c r="L1803" s="209" t="str">
        <f t="shared" si="273"/>
        <v/>
      </c>
      <c r="M1803" s="210" t="str">
        <f t="shared" si="274"/>
        <v/>
      </c>
      <c r="N1803" s="26"/>
      <c r="O1803" s="27"/>
      <c r="P1803" s="27"/>
      <c r="Q1803" s="2">
        <f t="shared" si="275"/>
        <v>0</v>
      </c>
      <c r="S1803" s="7">
        <f t="shared" si="278"/>
        <v>0</v>
      </c>
      <c r="T1803" s="157">
        <f t="shared" si="279"/>
        <v>0</v>
      </c>
      <c r="V1803" s="191">
        <f t="shared" si="276"/>
        <v>1</v>
      </c>
      <c r="W1803" s="7">
        <f t="shared" si="277"/>
        <v>1900</v>
      </c>
    </row>
    <row r="1804" spans="2:23" ht="31.95" customHeight="1" thickBot="1" x14ac:dyDescent="0.35">
      <c r="B1804" s="26"/>
      <c r="C1804" s="51" t="str">
        <f t="shared" si="280"/>
        <v/>
      </c>
      <c r="D1804" s="27"/>
      <c r="E1804" s="26"/>
      <c r="F1804" s="26"/>
      <c r="G1804" s="26"/>
      <c r="H1804" s="254"/>
      <c r="I1804" s="49"/>
      <c r="J1804" s="49"/>
      <c r="K1804" s="52" t="str">
        <f t="shared" si="272"/>
        <v/>
      </c>
      <c r="L1804" s="209" t="str">
        <f t="shared" si="273"/>
        <v/>
      </c>
      <c r="M1804" s="210" t="str">
        <f t="shared" si="274"/>
        <v/>
      </c>
      <c r="N1804" s="26"/>
      <c r="O1804" s="27"/>
      <c r="P1804" s="27"/>
      <c r="Q1804" s="2">
        <f t="shared" si="275"/>
        <v>0</v>
      </c>
      <c r="S1804" s="7">
        <f t="shared" si="278"/>
        <v>0</v>
      </c>
      <c r="T1804" s="157">
        <f t="shared" si="279"/>
        <v>0</v>
      </c>
      <c r="V1804" s="191">
        <f t="shared" si="276"/>
        <v>1</v>
      </c>
      <c r="W1804" s="7">
        <f t="shared" si="277"/>
        <v>1900</v>
      </c>
    </row>
    <row r="1805" spans="2:23" ht="31.95" customHeight="1" thickBot="1" x14ac:dyDescent="0.35">
      <c r="B1805" s="26"/>
      <c r="C1805" s="51" t="str">
        <f t="shared" si="280"/>
        <v/>
      </c>
      <c r="D1805" s="27"/>
      <c r="E1805" s="26"/>
      <c r="F1805" s="26"/>
      <c r="G1805" s="26"/>
      <c r="H1805" s="254"/>
      <c r="I1805" s="49"/>
      <c r="J1805" s="49"/>
      <c r="K1805" s="52" t="str">
        <f t="shared" si="272"/>
        <v/>
      </c>
      <c r="L1805" s="209" t="str">
        <f t="shared" si="273"/>
        <v/>
      </c>
      <c r="M1805" s="210" t="str">
        <f t="shared" si="274"/>
        <v/>
      </c>
      <c r="N1805" s="26"/>
      <c r="O1805" s="27"/>
      <c r="P1805" s="27"/>
      <c r="Q1805" s="2">
        <f t="shared" si="275"/>
        <v>0</v>
      </c>
      <c r="S1805" s="7">
        <f t="shared" si="278"/>
        <v>0</v>
      </c>
      <c r="T1805" s="157">
        <f t="shared" si="279"/>
        <v>0</v>
      </c>
      <c r="V1805" s="191">
        <f t="shared" si="276"/>
        <v>1</v>
      </c>
      <c r="W1805" s="7">
        <f t="shared" si="277"/>
        <v>1900</v>
      </c>
    </row>
    <row r="1806" spans="2:23" ht="31.95" customHeight="1" thickBot="1" x14ac:dyDescent="0.35">
      <c r="B1806" s="26"/>
      <c r="C1806" s="51" t="str">
        <f t="shared" si="280"/>
        <v/>
      </c>
      <c r="D1806" s="27"/>
      <c r="E1806" s="26"/>
      <c r="F1806" s="26"/>
      <c r="G1806" s="26"/>
      <c r="H1806" s="254"/>
      <c r="I1806" s="49"/>
      <c r="J1806" s="49"/>
      <c r="K1806" s="52" t="str">
        <f t="shared" si="272"/>
        <v/>
      </c>
      <c r="L1806" s="209" t="str">
        <f t="shared" si="273"/>
        <v/>
      </c>
      <c r="M1806" s="210" t="str">
        <f t="shared" si="274"/>
        <v/>
      </c>
      <c r="N1806" s="26"/>
      <c r="O1806" s="27"/>
      <c r="P1806" s="27"/>
      <c r="Q1806" s="2">
        <f t="shared" si="275"/>
        <v>0</v>
      </c>
      <c r="S1806" s="7">
        <f t="shared" si="278"/>
        <v>0</v>
      </c>
      <c r="T1806" s="157">
        <f t="shared" si="279"/>
        <v>0</v>
      </c>
      <c r="V1806" s="191">
        <f t="shared" si="276"/>
        <v>1</v>
      </c>
      <c r="W1806" s="7">
        <f t="shared" si="277"/>
        <v>1900</v>
      </c>
    </row>
    <row r="1807" spans="2:23" ht="31.95" customHeight="1" thickBot="1" x14ac:dyDescent="0.35">
      <c r="B1807" s="26"/>
      <c r="C1807" s="51" t="str">
        <f t="shared" si="280"/>
        <v/>
      </c>
      <c r="D1807" s="27"/>
      <c r="E1807" s="26"/>
      <c r="F1807" s="26"/>
      <c r="G1807" s="26"/>
      <c r="H1807" s="254"/>
      <c r="I1807" s="49"/>
      <c r="J1807" s="49"/>
      <c r="K1807" s="52" t="str">
        <f t="shared" si="272"/>
        <v/>
      </c>
      <c r="L1807" s="209" t="str">
        <f t="shared" si="273"/>
        <v/>
      </c>
      <c r="M1807" s="210" t="str">
        <f t="shared" si="274"/>
        <v/>
      </c>
      <c r="N1807" s="26"/>
      <c r="O1807" s="27"/>
      <c r="P1807" s="27"/>
      <c r="Q1807" s="2">
        <f t="shared" si="275"/>
        <v>0</v>
      </c>
      <c r="S1807" s="7">
        <f t="shared" si="278"/>
        <v>0</v>
      </c>
      <c r="T1807" s="157">
        <f t="shared" si="279"/>
        <v>0</v>
      </c>
      <c r="V1807" s="191">
        <f t="shared" si="276"/>
        <v>1</v>
      </c>
      <c r="W1807" s="7">
        <f t="shared" si="277"/>
        <v>1900</v>
      </c>
    </row>
    <row r="1808" spans="2:23" ht="31.95" customHeight="1" thickBot="1" x14ac:dyDescent="0.35">
      <c r="B1808" s="26"/>
      <c r="C1808" s="51" t="str">
        <f t="shared" si="280"/>
        <v/>
      </c>
      <c r="D1808" s="27"/>
      <c r="E1808" s="26"/>
      <c r="F1808" s="26"/>
      <c r="G1808" s="26"/>
      <c r="H1808" s="254"/>
      <c r="I1808" s="49"/>
      <c r="J1808" s="49"/>
      <c r="K1808" s="52" t="str">
        <f t="shared" si="272"/>
        <v/>
      </c>
      <c r="L1808" s="209" t="str">
        <f t="shared" si="273"/>
        <v/>
      </c>
      <c r="M1808" s="210" t="str">
        <f t="shared" si="274"/>
        <v/>
      </c>
      <c r="N1808" s="26"/>
      <c r="O1808" s="27"/>
      <c r="P1808" s="27"/>
      <c r="Q1808" s="2">
        <f t="shared" si="275"/>
        <v>0</v>
      </c>
      <c r="S1808" s="7">
        <f t="shared" si="278"/>
        <v>0</v>
      </c>
      <c r="T1808" s="157">
        <f t="shared" si="279"/>
        <v>0</v>
      </c>
      <c r="V1808" s="191">
        <f t="shared" si="276"/>
        <v>1</v>
      </c>
      <c r="W1808" s="7">
        <f t="shared" si="277"/>
        <v>1900</v>
      </c>
    </row>
    <row r="1809" spans="2:23" ht="31.95" customHeight="1" thickBot="1" x14ac:dyDescent="0.35">
      <c r="B1809" s="26"/>
      <c r="C1809" s="51" t="str">
        <f t="shared" si="280"/>
        <v/>
      </c>
      <c r="D1809" s="27"/>
      <c r="E1809" s="26"/>
      <c r="F1809" s="26"/>
      <c r="G1809" s="26"/>
      <c r="H1809" s="254"/>
      <c r="I1809" s="49"/>
      <c r="J1809" s="49"/>
      <c r="K1809" s="52" t="str">
        <f t="shared" si="272"/>
        <v/>
      </c>
      <c r="L1809" s="209" t="str">
        <f t="shared" si="273"/>
        <v/>
      </c>
      <c r="M1809" s="210" t="str">
        <f t="shared" si="274"/>
        <v/>
      </c>
      <c r="N1809" s="26"/>
      <c r="O1809" s="27"/>
      <c r="P1809" s="27"/>
      <c r="Q1809" s="2">
        <f t="shared" si="275"/>
        <v>0</v>
      </c>
      <c r="S1809" s="7">
        <f t="shared" si="278"/>
        <v>0</v>
      </c>
      <c r="T1809" s="157">
        <f t="shared" si="279"/>
        <v>0</v>
      </c>
      <c r="V1809" s="191">
        <f t="shared" si="276"/>
        <v>1</v>
      </c>
      <c r="W1809" s="7">
        <f t="shared" si="277"/>
        <v>1900</v>
      </c>
    </row>
    <row r="1810" spans="2:23" ht="31.95" customHeight="1" thickBot="1" x14ac:dyDescent="0.35">
      <c r="B1810" s="26"/>
      <c r="C1810" s="51" t="str">
        <f t="shared" si="280"/>
        <v/>
      </c>
      <c r="D1810" s="27"/>
      <c r="E1810" s="26"/>
      <c r="F1810" s="26"/>
      <c r="G1810" s="26"/>
      <c r="H1810" s="254"/>
      <c r="I1810" s="49"/>
      <c r="J1810" s="49"/>
      <c r="K1810" s="52" t="str">
        <f t="shared" si="272"/>
        <v/>
      </c>
      <c r="L1810" s="209" t="str">
        <f t="shared" si="273"/>
        <v/>
      </c>
      <c r="M1810" s="210" t="str">
        <f t="shared" si="274"/>
        <v/>
      </c>
      <c r="N1810" s="26"/>
      <c r="O1810" s="27"/>
      <c r="P1810" s="27"/>
      <c r="Q1810" s="2">
        <f t="shared" si="275"/>
        <v>0</v>
      </c>
      <c r="S1810" s="7">
        <f t="shared" si="278"/>
        <v>0</v>
      </c>
      <c r="T1810" s="157">
        <f t="shared" si="279"/>
        <v>0</v>
      </c>
      <c r="V1810" s="191">
        <f t="shared" si="276"/>
        <v>1</v>
      </c>
      <c r="W1810" s="7">
        <f t="shared" si="277"/>
        <v>1900</v>
      </c>
    </row>
    <row r="1811" spans="2:23" ht="31.95" customHeight="1" thickBot="1" x14ac:dyDescent="0.35">
      <c r="B1811" s="26"/>
      <c r="C1811" s="51" t="str">
        <f t="shared" si="280"/>
        <v/>
      </c>
      <c r="D1811" s="27"/>
      <c r="E1811" s="26"/>
      <c r="F1811" s="26"/>
      <c r="G1811" s="26"/>
      <c r="H1811" s="254"/>
      <c r="I1811" s="49"/>
      <c r="J1811" s="49"/>
      <c r="K1811" s="52" t="str">
        <f t="shared" si="272"/>
        <v/>
      </c>
      <c r="L1811" s="209" t="str">
        <f t="shared" si="273"/>
        <v/>
      </c>
      <c r="M1811" s="210" t="str">
        <f t="shared" si="274"/>
        <v/>
      </c>
      <c r="N1811" s="26"/>
      <c r="O1811" s="27"/>
      <c r="P1811" s="27"/>
      <c r="Q1811" s="2">
        <f t="shared" si="275"/>
        <v>0</v>
      </c>
      <c r="S1811" s="7">
        <f t="shared" si="278"/>
        <v>0</v>
      </c>
      <c r="T1811" s="157">
        <f t="shared" si="279"/>
        <v>0</v>
      </c>
      <c r="V1811" s="191">
        <f t="shared" si="276"/>
        <v>1</v>
      </c>
      <c r="W1811" s="7">
        <f t="shared" si="277"/>
        <v>1900</v>
      </c>
    </row>
    <row r="1812" spans="2:23" ht="31.95" customHeight="1" thickBot="1" x14ac:dyDescent="0.35">
      <c r="B1812" s="26"/>
      <c r="C1812" s="51" t="str">
        <f t="shared" si="280"/>
        <v/>
      </c>
      <c r="D1812" s="27"/>
      <c r="E1812" s="26"/>
      <c r="F1812" s="26"/>
      <c r="G1812" s="26"/>
      <c r="H1812" s="254"/>
      <c r="I1812" s="49"/>
      <c r="J1812" s="49"/>
      <c r="K1812" s="52" t="str">
        <f t="shared" si="272"/>
        <v/>
      </c>
      <c r="L1812" s="209" t="str">
        <f t="shared" si="273"/>
        <v/>
      </c>
      <c r="M1812" s="210" t="str">
        <f t="shared" si="274"/>
        <v/>
      </c>
      <c r="N1812" s="26"/>
      <c r="O1812" s="27"/>
      <c r="P1812" s="27"/>
      <c r="Q1812" s="2">
        <f t="shared" si="275"/>
        <v>0</v>
      </c>
      <c r="S1812" s="7">
        <f t="shared" si="278"/>
        <v>0</v>
      </c>
      <c r="T1812" s="157">
        <f t="shared" si="279"/>
        <v>0</v>
      </c>
      <c r="V1812" s="191">
        <f t="shared" si="276"/>
        <v>1</v>
      </c>
      <c r="W1812" s="7">
        <f t="shared" si="277"/>
        <v>1900</v>
      </c>
    </row>
    <row r="1813" spans="2:23" ht="31.95" customHeight="1" thickBot="1" x14ac:dyDescent="0.35">
      <c r="B1813" s="26"/>
      <c r="C1813" s="51" t="str">
        <f t="shared" si="280"/>
        <v/>
      </c>
      <c r="D1813" s="27"/>
      <c r="E1813" s="26"/>
      <c r="F1813" s="26"/>
      <c r="G1813" s="26"/>
      <c r="H1813" s="254"/>
      <c r="I1813" s="49"/>
      <c r="J1813" s="49"/>
      <c r="K1813" s="52" t="str">
        <f t="shared" si="272"/>
        <v/>
      </c>
      <c r="L1813" s="209" t="str">
        <f t="shared" si="273"/>
        <v/>
      </c>
      <c r="M1813" s="210" t="str">
        <f t="shared" si="274"/>
        <v/>
      </c>
      <c r="N1813" s="26"/>
      <c r="O1813" s="27"/>
      <c r="P1813" s="27"/>
      <c r="Q1813" s="2">
        <f t="shared" si="275"/>
        <v>0</v>
      </c>
      <c r="S1813" s="7">
        <f t="shared" si="278"/>
        <v>0</v>
      </c>
      <c r="T1813" s="157">
        <f t="shared" si="279"/>
        <v>0</v>
      </c>
      <c r="V1813" s="191">
        <f t="shared" si="276"/>
        <v>1</v>
      </c>
      <c r="W1813" s="7">
        <f t="shared" si="277"/>
        <v>1900</v>
      </c>
    </row>
    <row r="1814" spans="2:23" ht="31.95" customHeight="1" thickBot="1" x14ac:dyDescent="0.35">
      <c r="B1814" s="26"/>
      <c r="C1814" s="51" t="str">
        <f t="shared" si="280"/>
        <v/>
      </c>
      <c r="D1814" s="27"/>
      <c r="E1814" s="26"/>
      <c r="F1814" s="26"/>
      <c r="G1814" s="26"/>
      <c r="H1814" s="254"/>
      <c r="I1814" s="49"/>
      <c r="J1814" s="49"/>
      <c r="K1814" s="52" t="str">
        <f t="shared" si="272"/>
        <v/>
      </c>
      <c r="L1814" s="209" t="str">
        <f t="shared" si="273"/>
        <v/>
      </c>
      <c r="M1814" s="210" t="str">
        <f t="shared" si="274"/>
        <v/>
      </c>
      <c r="N1814" s="26"/>
      <c r="O1814" s="27"/>
      <c r="P1814" s="27"/>
      <c r="Q1814" s="2">
        <f t="shared" si="275"/>
        <v>0</v>
      </c>
      <c r="S1814" s="7">
        <f t="shared" si="278"/>
        <v>0</v>
      </c>
      <c r="T1814" s="157">
        <f t="shared" si="279"/>
        <v>0</v>
      </c>
      <c r="V1814" s="191">
        <f t="shared" si="276"/>
        <v>1</v>
      </c>
      <c r="W1814" s="7">
        <f t="shared" si="277"/>
        <v>1900</v>
      </c>
    </row>
    <row r="1815" spans="2:23" ht="31.95" customHeight="1" thickBot="1" x14ac:dyDescent="0.35">
      <c r="B1815" s="26"/>
      <c r="C1815" s="51" t="str">
        <f t="shared" si="280"/>
        <v/>
      </c>
      <c r="D1815" s="27"/>
      <c r="E1815" s="26"/>
      <c r="F1815" s="26"/>
      <c r="G1815" s="26"/>
      <c r="H1815" s="254"/>
      <c r="I1815" s="49"/>
      <c r="J1815" s="49"/>
      <c r="K1815" s="52" t="str">
        <f t="shared" si="272"/>
        <v/>
      </c>
      <c r="L1815" s="209" t="str">
        <f t="shared" si="273"/>
        <v/>
      </c>
      <c r="M1815" s="210" t="str">
        <f t="shared" si="274"/>
        <v/>
      </c>
      <c r="N1815" s="26"/>
      <c r="O1815" s="27"/>
      <c r="P1815" s="27"/>
      <c r="Q1815" s="2">
        <f t="shared" si="275"/>
        <v>0</v>
      </c>
      <c r="S1815" s="7">
        <f t="shared" si="278"/>
        <v>0</v>
      </c>
      <c r="T1815" s="157">
        <f t="shared" si="279"/>
        <v>0</v>
      </c>
      <c r="V1815" s="191">
        <f t="shared" si="276"/>
        <v>1</v>
      </c>
      <c r="W1815" s="7">
        <f t="shared" si="277"/>
        <v>1900</v>
      </c>
    </row>
    <row r="1816" spans="2:23" ht="31.95" customHeight="1" thickBot="1" x14ac:dyDescent="0.35">
      <c r="B1816" s="26"/>
      <c r="C1816" s="51" t="str">
        <f t="shared" si="280"/>
        <v/>
      </c>
      <c r="D1816" s="27"/>
      <c r="E1816" s="26"/>
      <c r="F1816" s="26"/>
      <c r="G1816" s="26"/>
      <c r="H1816" s="254"/>
      <c r="I1816" s="49"/>
      <c r="J1816" s="49"/>
      <c r="K1816" s="52" t="str">
        <f t="shared" si="272"/>
        <v/>
      </c>
      <c r="L1816" s="209" t="str">
        <f t="shared" si="273"/>
        <v/>
      </c>
      <c r="M1816" s="210" t="str">
        <f t="shared" si="274"/>
        <v/>
      </c>
      <c r="N1816" s="26"/>
      <c r="O1816" s="27"/>
      <c r="P1816" s="27"/>
      <c r="Q1816" s="2">
        <f t="shared" si="275"/>
        <v>0</v>
      </c>
      <c r="S1816" s="7">
        <f t="shared" si="278"/>
        <v>0</v>
      </c>
      <c r="T1816" s="157">
        <f t="shared" si="279"/>
        <v>0</v>
      </c>
      <c r="V1816" s="191">
        <f t="shared" si="276"/>
        <v>1</v>
      </c>
      <c r="W1816" s="7">
        <f t="shared" si="277"/>
        <v>1900</v>
      </c>
    </row>
    <row r="1817" spans="2:23" ht="31.95" customHeight="1" thickBot="1" x14ac:dyDescent="0.35">
      <c r="B1817" s="26"/>
      <c r="C1817" s="51" t="str">
        <f t="shared" si="280"/>
        <v/>
      </c>
      <c r="D1817" s="27"/>
      <c r="E1817" s="26"/>
      <c r="F1817" s="26"/>
      <c r="G1817" s="26"/>
      <c r="H1817" s="254"/>
      <c r="I1817" s="49"/>
      <c r="J1817" s="49"/>
      <c r="K1817" s="52" t="str">
        <f t="shared" si="272"/>
        <v/>
      </c>
      <c r="L1817" s="209" t="str">
        <f t="shared" si="273"/>
        <v/>
      </c>
      <c r="M1817" s="210" t="str">
        <f t="shared" si="274"/>
        <v/>
      </c>
      <c r="N1817" s="26"/>
      <c r="O1817" s="27"/>
      <c r="P1817" s="27"/>
      <c r="Q1817" s="2">
        <f t="shared" si="275"/>
        <v>0</v>
      </c>
      <c r="S1817" s="7">
        <f t="shared" si="278"/>
        <v>0</v>
      </c>
      <c r="T1817" s="157">
        <f t="shared" si="279"/>
        <v>0</v>
      </c>
      <c r="V1817" s="191">
        <f t="shared" si="276"/>
        <v>1</v>
      </c>
      <c r="W1817" s="7">
        <f t="shared" si="277"/>
        <v>1900</v>
      </c>
    </row>
    <row r="1818" spans="2:23" ht="31.95" customHeight="1" thickBot="1" x14ac:dyDescent="0.35">
      <c r="B1818" s="26"/>
      <c r="C1818" s="51" t="str">
        <f t="shared" si="280"/>
        <v/>
      </c>
      <c r="D1818" s="27"/>
      <c r="E1818" s="26"/>
      <c r="F1818" s="26"/>
      <c r="G1818" s="26"/>
      <c r="H1818" s="254"/>
      <c r="I1818" s="49"/>
      <c r="J1818" s="49"/>
      <c r="K1818" s="52" t="str">
        <f t="shared" si="272"/>
        <v/>
      </c>
      <c r="L1818" s="209" t="str">
        <f t="shared" si="273"/>
        <v/>
      </c>
      <c r="M1818" s="210" t="str">
        <f t="shared" si="274"/>
        <v/>
      </c>
      <c r="N1818" s="26"/>
      <c r="O1818" s="27"/>
      <c r="P1818" s="27"/>
      <c r="Q1818" s="2">
        <f t="shared" si="275"/>
        <v>0</v>
      </c>
      <c r="S1818" s="7">
        <f t="shared" si="278"/>
        <v>0</v>
      </c>
      <c r="T1818" s="157">
        <f t="shared" si="279"/>
        <v>0</v>
      </c>
      <c r="V1818" s="191">
        <f t="shared" si="276"/>
        <v>1</v>
      </c>
      <c r="W1818" s="7">
        <f t="shared" si="277"/>
        <v>1900</v>
      </c>
    </row>
    <row r="1819" spans="2:23" ht="31.95" customHeight="1" thickBot="1" x14ac:dyDescent="0.35">
      <c r="B1819" s="26"/>
      <c r="C1819" s="51" t="str">
        <f t="shared" si="280"/>
        <v/>
      </c>
      <c r="D1819" s="27"/>
      <c r="E1819" s="26"/>
      <c r="F1819" s="26"/>
      <c r="G1819" s="26"/>
      <c r="H1819" s="254"/>
      <c r="I1819" s="49"/>
      <c r="J1819" s="49"/>
      <c r="K1819" s="52" t="str">
        <f t="shared" si="272"/>
        <v/>
      </c>
      <c r="L1819" s="209" t="str">
        <f t="shared" si="273"/>
        <v/>
      </c>
      <c r="M1819" s="210" t="str">
        <f t="shared" si="274"/>
        <v/>
      </c>
      <c r="N1819" s="26"/>
      <c r="O1819" s="27"/>
      <c r="P1819" s="27"/>
      <c r="Q1819" s="2">
        <f t="shared" si="275"/>
        <v>0</v>
      </c>
      <c r="S1819" s="7">
        <f t="shared" si="278"/>
        <v>0</v>
      </c>
      <c r="T1819" s="157">
        <f t="shared" si="279"/>
        <v>0</v>
      </c>
      <c r="V1819" s="191">
        <f t="shared" si="276"/>
        <v>1</v>
      </c>
      <c r="W1819" s="7">
        <f t="shared" si="277"/>
        <v>1900</v>
      </c>
    </row>
    <row r="1820" spans="2:23" ht="31.95" customHeight="1" thickBot="1" x14ac:dyDescent="0.35">
      <c r="B1820" s="26"/>
      <c r="C1820" s="51" t="str">
        <f t="shared" si="280"/>
        <v/>
      </c>
      <c r="D1820" s="27"/>
      <c r="E1820" s="26"/>
      <c r="F1820" s="26"/>
      <c r="G1820" s="26"/>
      <c r="H1820" s="254"/>
      <c r="I1820" s="49"/>
      <c r="J1820" s="49"/>
      <c r="K1820" s="52" t="str">
        <f t="shared" si="272"/>
        <v/>
      </c>
      <c r="L1820" s="209" t="str">
        <f t="shared" si="273"/>
        <v/>
      </c>
      <c r="M1820" s="210" t="str">
        <f t="shared" si="274"/>
        <v/>
      </c>
      <c r="N1820" s="26"/>
      <c r="O1820" s="27"/>
      <c r="P1820" s="27"/>
      <c r="Q1820" s="2">
        <f t="shared" si="275"/>
        <v>0</v>
      </c>
      <c r="S1820" s="7">
        <f t="shared" si="278"/>
        <v>0</v>
      </c>
      <c r="T1820" s="157">
        <f t="shared" si="279"/>
        <v>0</v>
      </c>
      <c r="V1820" s="191">
        <f t="shared" si="276"/>
        <v>1</v>
      </c>
      <c r="W1820" s="7">
        <f t="shared" si="277"/>
        <v>1900</v>
      </c>
    </row>
    <row r="1821" spans="2:23" ht="31.95" customHeight="1" thickBot="1" x14ac:dyDescent="0.35">
      <c r="B1821" s="26"/>
      <c r="C1821" s="51" t="str">
        <f t="shared" si="280"/>
        <v/>
      </c>
      <c r="D1821" s="27"/>
      <c r="E1821" s="26"/>
      <c r="F1821" s="26"/>
      <c r="G1821" s="26"/>
      <c r="H1821" s="254"/>
      <c r="I1821" s="49"/>
      <c r="J1821" s="49"/>
      <c r="K1821" s="52" t="str">
        <f t="shared" si="272"/>
        <v/>
      </c>
      <c r="L1821" s="209" t="str">
        <f t="shared" si="273"/>
        <v/>
      </c>
      <c r="M1821" s="210" t="str">
        <f t="shared" si="274"/>
        <v/>
      </c>
      <c r="N1821" s="26"/>
      <c r="O1821" s="27"/>
      <c r="P1821" s="27"/>
      <c r="Q1821" s="2">
        <f t="shared" si="275"/>
        <v>0</v>
      </c>
      <c r="S1821" s="7">
        <f t="shared" si="278"/>
        <v>0</v>
      </c>
      <c r="T1821" s="157">
        <f t="shared" si="279"/>
        <v>0</v>
      </c>
      <c r="V1821" s="191">
        <f t="shared" si="276"/>
        <v>1</v>
      </c>
      <c r="W1821" s="7">
        <f t="shared" si="277"/>
        <v>1900</v>
      </c>
    </row>
    <row r="1822" spans="2:23" ht="31.95" customHeight="1" thickBot="1" x14ac:dyDescent="0.35">
      <c r="B1822" s="26"/>
      <c r="C1822" s="51" t="str">
        <f t="shared" si="280"/>
        <v/>
      </c>
      <c r="D1822" s="27"/>
      <c r="E1822" s="26"/>
      <c r="F1822" s="26"/>
      <c r="G1822" s="26"/>
      <c r="H1822" s="254"/>
      <c r="I1822" s="49"/>
      <c r="J1822" s="49"/>
      <c r="K1822" s="52" t="str">
        <f t="shared" si="272"/>
        <v/>
      </c>
      <c r="L1822" s="209" t="str">
        <f t="shared" si="273"/>
        <v/>
      </c>
      <c r="M1822" s="210" t="str">
        <f t="shared" si="274"/>
        <v/>
      </c>
      <c r="N1822" s="26"/>
      <c r="O1822" s="27"/>
      <c r="P1822" s="27"/>
      <c r="Q1822" s="2">
        <f t="shared" si="275"/>
        <v>0</v>
      </c>
      <c r="S1822" s="7">
        <f t="shared" si="278"/>
        <v>0</v>
      </c>
      <c r="T1822" s="157">
        <f t="shared" si="279"/>
        <v>0</v>
      </c>
      <c r="V1822" s="191">
        <f t="shared" si="276"/>
        <v>1</v>
      </c>
      <c r="W1822" s="7">
        <f t="shared" si="277"/>
        <v>1900</v>
      </c>
    </row>
    <row r="1823" spans="2:23" ht="31.95" customHeight="1" thickBot="1" x14ac:dyDescent="0.35">
      <c r="B1823" s="26"/>
      <c r="C1823" s="51" t="str">
        <f t="shared" si="280"/>
        <v/>
      </c>
      <c r="D1823" s="27"/>
      <c r="E1823" s="26"/>
      <c r="F1823" s="26"/>
      <c r="G1823" s="26"/>
      <c r="H1823" s="254"/>
      <c r="I1823" s="49"/>
      <c r="J1823" s="49"/>
      <c r="K1823" s="52" t="str">
        <f t="shared" si="272"/>
        <v/>
      </c>
      <c r="L1823" s="209" t="str">
        <f t="shared" si="273"/>
        <v/>
      </c>
      <c r="M1823" s="210" t="str">
        <f t="shared" si="274"/>
        <v/>
      </c>
      <c r="N1823" s="26"/>
      <c r="O1823" s="27"/>
      <c r="P1823" s="27"/>
      <c r="Q1823" s="2">
        <f t="shared" si="275"/>
        <v>0</v>
      </c>
      <c r="S1823" s="7">
        <f t="shared" si="278"/>
        <v>0</v>
      </c>
      <c r="T1823" s="157">
        <f t="shared" si="279"/>
        <v>0</v>
      </c>
      <c r="V1823" s="191">
        <f t="shared" si="276"/>
        <v>1</v>
      </c>
      <c r="W1823" s="7">
        <f t="shared" si="277"/>
        <v>1900</v>
      </c>
    </row>
    <row r="1824" spans="2:23" ht="31.95" customHeight="1" thickBot="1" x14ac:dyDescent="0.35">
      <c r="B1824" s="26"/>
      <c r="C1824" s="51" t="str">
        <f t="shared" si="280"/>
        <v/>
      </c>
      <c r="D1824" s="27"/>
      <c r="E1824" s="26"/>
      <c r="F1824" s="26"/>
      <c r="G1824" s="26"/>
      <c r="H1824" s="254"/>
      <c r="I1824" s="49"/>
      <c r="J1824" s="49"/>
      <c r="K1824" s="52" t="str">
        <f t="shared" si="272"/>
        <v/>
      </c>
      <c r="L1824" s="209" t="str">
        <f t="shared" si="273"/>
        <v/>
      </c>
      <c r="M1824" s="210" t="str">
        <f t="shared" si="274"/>
        <v/>
      </c>
      <c r="N1824" s="26"/>
      <c r="O1824" s="27"/>
      <c r="P1824" s="27"/>
      <c r="Q1824" s="2">
        <f t="shared" si="275"/>
        <v>0</v>
      </c>
      <c r="S1824" s="7">
        <f t="shared" si="278"/>
        <v>0</v>
      </c>
      <c r="T1824" s="157">
        <f t="shared" si="279"/>
        <v>0</v>
      </c>
      <c r="V1824" s="191">
        <f t="shared" si="276"/>
        <v>1</v>
      </c>
      <c r="W1824" s="7">
        <f t="shared" si="277"/>
        <v>1900</v>
      </c>
    </row>
    <row r="1825" spans="2:23" ht="31.95" customHeight="1" thickBot="1" x14ac:dyDescent="0.35">
      <c r="B1825" s="26"/>
      <c r="C1825" s="51" t="str">
        <f t="shared" si="280"/>
        <v/>
      </c>
      <c r="D1825" s="27"/>
      <c r="E1825" s="26"/>
      <c r="F1825" s="26"/>
      <c r="G1825" s="26"/>
      <c r="H1825" s="254"/>
      <c r="I1825" s="49"/>
      <c r="J1825" s="49"/>
      <c r="K1825" s="52" t="str">
        <f t="shared" si="272"/>
        <v/>
      </c>
      <c r="L1825" s="209" t="str">
        <f t="shared" si="273"/>
        <v/>
      </c>
      <c r="M1825" s="210" t="str">
        <f t="shared" si="274"/>
        <v/>
      </c>
      <c r="N1825" s="26"/>
      <c r="O1825" s="27"/>
      <c r="P1825" s="27"/>
      <c r="Q1825" s="2">
        <f t="shared" si="275"/>
        <v>0</v>
      </c>
      <c r="S1825" s="7">
        <f t="shared" si="278"/>
        <v>0</v>
      </c>
      <c r="T1825" s="157">
        <f t="shared" si="279"/>
        <v>0</v>
      </c>
      <c r="V1825" s="191">
        <f t="shared" si="276"/>
        <v>1</v>
      </c>
      <c r="W1825" s="7">
        <f t="shared" si="277"/>
        <v>1900</v>
      </c>
    </row>
    <row r="1826" spans="2:23" ht="31.95" customHeight="1" thickBot="1" x14ac:dyDescent="0.35">
      <c r="B1826" s="26"/>
      <c r="C1826" s="51" t="str">
        <f t="shared" si="280"/>
        <v/>
      </c>
      <c r="D1826" s="27"/>
      <c r="E1826" s="26"/>
      <c r="F1826" s="26"/>
      <c r="G1826" s="26"/>
      <c r="H1826" s="254"/>
      <c r="I1826" s="49"/>
      <c r="J1826" s="49"/>
      <c r="K1826" s="52" t="str">
        <f t="shared" si="272"/>
        <v/>
      </c>
      <c r="L1826" s="209" t="str">
        <f t="shared" si="273"/>
        <v/>
      </c>
      <c r="M1826" s="210" t="str">
        <f t="shared" si="274"/>
        <v/>
      </c>
      <c r="N1826" s="26"/>
      <c r="O1826" s="27"/>
      <c r="P1826" s="27"/>
      <c r="Q1826" s="2">
        <f t="shared" si="275"/>
        <v>0</v>
      </c>
      <c r="S1826" s="7">
        <f t="shared" si="278"/>
        <v>0</v>
      </c>
      <c r="T1826" s="157">
        <f t="shared" si="279"/>
        <v>0</v>
      </c>
      <c r="V1826" s="191">
        <f t="shared" si="276"/>
        <v>1</v>
      </c>
      <c r="W1826" s="7">
        <f t="shared" si="277"/>
        <v>1900</v>
      </c>
    </row>
    <row r="1827" spans="2:23" ht="31.95" customHeight="1" thickBot="1" x14ac:dyDescent="0.35">
      <c r="B1827" s="26"/>
      <c r="C1827" s="51" t="str">
        <f t="shared" si="280"/>
        <v/>
      </c>
      <c r="D1827" s="27"/>
      <c r="E1827" s="26"/>
      <c r="F1827" s="26"/>
      <c r="G1827" s="26"/>
      <c r="H1827" s="254"/>
      <c r="I1827" s="49"/>
      <c r="J1827" s="49"/>
      <c r="K1827" s="52" t="str">
        <f t="shared" si="272"/>
        <v/>
      </c>
      <c r="L1827" s="209" t="str">
        <f t="shared" si="273"/>
        <v/>
      </c>
      <c r="M1827" s="210" t="str">
        <f t="shared" si="274"/>
        <v/>
      </c>
      <c r="N1827" s="26"/>
      <c r="O1827" s="27"/>
      <c r="P1827" s="27"/>
      <c r="Q1827" s="2">
        <f t="shared" si="275"/>
        <v>0</v>
      </c>
      <c r="S1827" s="7">
        <f t="shared" si="278"/>
        <v>0</v>
      </c>
      <c r="T1827" s="157">
        <f t="shared" si="279"/>
        <v>0</v>
      </c>
      <c r="V1827" s="191">
        <f t="shared" si="276"/>
        <v>1</v>
      </c>
      <c r="W1827" s="7">
        <f t="shared" si="277"/>
        <v>1900</v>
      </c>
    </row>
    <row r="1828" spans="2:23" ht="31.95" customHeight="1" thickBot="1" x14ac:dyDescent="0.35">
      <c r="B1828" s="26"/>
      <c r="C1828" s="51" t="str">
        <f t="shared" si="280"/>
        <v/>
      </c>
      <c r="D1828" s="27"/>
      <c r="E1828" s="26"/>
      <c r="F1828" s="26"/>
      <c r="G1828" s="26"/>
      <c r="H1828" s="254"/>
      <c r="I1828" s="49"/>
      <c r="J1828" s="49"/>
      <c r="K1828" s="52" t="str">
        <f t="shared" si="272"/>
        <v/>
      </c>
      <c r="L1828" s="209" t="str">
        <f t="shared" si="273"/>
        <v/>
      </c>
      <c r="M1828" s="210" t="str">
        <f t="shared" si="274"/>
        <v/>
      </c>
      <c r="N1828" s="26"/>
      <c r="O1828" s="27"/>
      <c r="P1828" s="27"/>
      <c r="Q1828" s="2">
        <f t="shared" si="275"/>
        <v>0</v>
      </c>
      <c r="S1828" s="7">
        <f t="shared" si="278"/>
        <v>0</v>
      </c>
      <c r="T1828" s="157">
        <f t="shared" si="279"/>
        <v>0</v>
      </c>
      <c r="V1828" s="191">
        <f t="shared" si="276"/>
        <v>1</v>
      </c>
      <c r="W1828" s="7">
        <f t="shared" si="277"/>
        <v>1900</v>
      </c>
    </row>
    <row r="1829" spans="2:23" ht="31.95" customHeight="1" thickBot="1" x14ac:dyDescent="0.35">
      <c r="B1829" s="26"/>
      <c r="C1829" s="51" t="str">
        <f t="shared" si="280"/>
        <v/>
      </c>
      <c r="D1829" s="27"/>
      <c r="E1829" s="26"/>
      <c r="F1829" s="26"/>
      <c r="G1829" s="26"/>
      <c r="H1829" s="254"/>
      <c r="I1829" s="49"/>
      <c r="J1829" s="49"/>
      <c r="K1829" s="52" t="str">
        <f t="shared" si="272"/>
        <v/>
      </c>
      <c r="L1829" s="209" t="str">
        <f t="shared" si="273"/>
        <v/>
      </c>
      <c r="M1829" s="210" t="str">
        <f t="shared" si="274"/>
        <v/>
      </c>
      <c r="N1829" s="26"/>
      <c r="O1829" s="27"/>
      <c r="P1829" s="27"/>
      <c r="Q1829" s="2">
        <f t="shared" si="275"/>
        <v>0</v>
      </c>
      <c r="S1829" s="7">
        <f t="shared" si="278"/>
        <v>0</v>
      </c>
      <c r="T1829" s="157">
        <f t="shared" si="279"/>
        <v>0</v>
      </c>
      <c r="V1829" s="191">
        <f t="shared" si="276"/>
        <v>1</v>
      </c>
      <c r="W1829" s="7">
        <f t="shared" si="277"/>
        <v>1900</v>
      </c>
    </row>
    <row r="1830" spans="2:23" ht="31.95" customHeight="1" thickBot="1" x14ac:dyDescent="0.35">
      <c r="B1830" s="26"/>
      <c r="C1830" s="51" t="str">
        <f t="shared" si="280"/>
        <v/>
      </c>
      <c r="D1830" s="27"/>
      <c r="E1830" s="26"/>
      <c r="F1830" s="26"/>
      <c r="G1830" s="26"/>
      <c r="H1830" s="254"/>
      <c r="I1830" s="49"/>
      <c r="J1830" s="49"/>
      <c r="K1830" s="52" t="str">
        <f t="shared" si="272"/>
        <v/>
      </c>
      <c r="L1830" s="209" t="str">
        <f t="shared" si="273"/>
        <v/>
      </c>
      <c r="M1830" s="210" t="str">
        <f t="shared" si="274"/>
        <v/>
      </c>
      <c r="N1830" s="26"/>
      <c r="O1830" s="27"/>
      <c r="P1830" s="27"/>
      <c r="Q1830" s="2">
        <f t="shared" si="275"/>
        <v>0</v>
      </c>
      <c r="S1830" s="7">
        <f t="shared" si="278"/>
        <v>0</v>
      </c>
      <c r="T1830" s="157">
        <f t="shared" si="279"/>
        <v>0</v>
      </c>
      <c r="V1830" s="191">
        <f t="shared" si="276"/>
        <v>1</v>
      </c>
      <c r="W1830" s="7">
        <f t="shared" si="277"/>
        <v>1900</v>
      </c>
    </row>
    <row r="1831" spans="2:23" ht="31.95" customHeight="1" thickBot="1" x14ac:dyDescent="0.35">
      <c r="B1831" s="26"/>
      <c r="C1831" s="51" t="str">
        <f t="shared" si="280"/>
        <v/>
      </c>
      <c r="D1831" s="27"/>
      <c r="E1831" s="26"/>
      <c r="F1831" s="26"/>
      <c r="G1831" s="26"/>
      <c r="H1831" s="254"/>
      <c r="I1831" s="49"/>
      <c r="J1831" s="49"/>
      <c r="K1831" s="52" t="str">
        <f t="shared" si="272"/>
        <v/>
      </c>
      <c r="L1831" s="209" t="str">
        <f t="shared" si="273"/>
        <v/>
      </c>
      <c r="M1831" s="210" t="str">
        <f t="shared" si="274"/>
        <v/>
      </c>
      <c r="N1831" s="26"/>
      <c r="O1831" s="27"/>
      <c r="P1831" s="27"/>
      <c r="Q1831" s="2">
        <f t="shared" si="275"/>
        <v>0</v>
      </c>
      <c r="S1831" s="7">
        <f t="shared" si="278"/>
        <v>0</v>
      </c>
      <c r="T1831" s="157">
        <f t="shared" si="279"/>
        <v>0</v>
      </c>
      <c r="V1831" s="191">
        <f t="shared" si="276"/>
        <v>1</v>
      </c>
      <c r="W1831" s="7">
        <f t="shared" si="277"/>
        <v>1900</v>
      </c>
    </row>
    <row r="1832" spans="2:23" ht="31.95" customHeight="1" thickBot="1" x14ac:dyDescent="0.35">
      <c r="B1832" s="26"/>
      <c r="C1832" s="51" t="str">
        <f t="shared" si="280"/>
        <v/>
      </c>
      <c r="D1832" s="27"/>
      <c r="E1832" s="26"/>
      <c r="F1832" s="26"/>
      <c r="G1832" s="26"/>
      <c r="H1832" s="254"/>
      <c r="I1832" s="49"/>
      <c r="J1832" s="49"/>
      <c r="K1832" s="52" t="str">
        <f t="shared" si="272"/>
        <v/>
      </c>
      <c r="L1832" s="209" t="str">
        <f t="shared" si="273"/>
        <v/>
      </c>
      <c r="M1832" s="210" t="str">
        <f t="shared" si="274"/>
        <v/>
      </c>
      <c r="N1832" s="26"/>
      <c r="O1832" s="27"/>
      <c r="P1832" s="27"/>
      <c r="Q1832" s="2">
        <f t="shared" si="275"/>
        <v>0</v>
      </c>
      <c r="S1832" s="7">
        <f t="shared" si="278"/>
        <v>0</v>
      </c>
      <c r="T1832" s="157">
        <f t="shared" si="279"/>
        <v>0</v>
      </c>
      <c r="V1832" s="191">
        <f t="shared" si="276"/>
        <v>1</v>
      </c>
      <c r="W1832" s="7">
        <f t="shared" si="277"/>
        <v>1900</v>
      </c>
    </row>
    <row r="1833" spans="2:23" ht="31.95" customHeight="1" thickBot="1" x14ac:dyDescent="0.35">
      <c r="B1833" s="26"/>
      <c r="C1833" s="51" t="str">
        <f t="shared" si="280"/>
        <v/>
      </c>
      <c r="D1833" s="27"/>
      <c r="E1833" s="26"/>
      <c r="F1833" s="26"/>
      <c r="G1833" s="26"/>
      <c r="H1833" s="254"/>
      <c r="I1833" s="49"/>
      <c r="J1833" s="49"/>
      <c r="K1833" s="52" t="str">
        <f t="shared" si="272"/>
        <v/>
      </c>
      <c r="L1833" s="209" t="str">
        <f t="shared" si="273"/>
        <v/>
      </c>
      <c r="M1833" s="210" t="str">
        <f t="shared" si="274"/>
        <v/>
      </c>
      <c r="N1833" s="26"/>
      <c r="O1833" s="27"/>
      <c r="P1833" s="27"/>
      <c r="Q1833" s="2">
        <f t="shared" si="275"/>
        <v>0</v>
      </c>
      <c r="S1833" s="7">
        <f t="shared" si="278"/>
        <v>0</v>
      </c>
      <c r="T1833" s="157">
        <f t="shared" si="279"/>
        <v>0</v>
      </c>
      <c r="V1833" s="191">
        <f t="shared" si="276"/>
        <v>1</v>
      </c>
      <c r="W1833" s="7">
        <f t="shared" si="277"/>
        <v>1900</v>
      </c>
    </row>
    <row r="1834" spans="2:23" ht="31.95" customHeight="1" thickBot="1" x14ac:dyDescent="0.35">
      <c r="B1834" s="26"/>
      <c r="C1834" s="51" t="str">
        <f t="shared" si="280"/>
        <v/>
      </c>
      <c r="D1834" s="27"/>
      <c r="E1834" s="26"/>
      <c r="F1834" s="26"/>
      <c r="G1834" s="26"/>
      <c r="H1834" s="254"/>
      <c r="I1834" s="49"/>
      <c r="J1834" s="49"/>
      <c r="K1834" s="52" t="str">
        <f t="shared" si="272"/>
        <v/>
      </c>
      <c r="L1834" s="209" t="str">
        <f t="shared" si="273"/>
        <v/>
      </c>
      <c r="M1834" s="210" t="str">
        <f t="shared" si="274"/>
        <v/>
      </c>
      <c r="N1834" s="26"/>
      <c r="O1834" s="27"/>
      <c r="P1834" s="27"/>
      <c r="Q1834" s="2">
        <f t="shared" si="275"/>
        <v>0</v>
      </c>
      <c r="S1834" s="7">
        <f t="shared" si="278"/>
        <v>0</v>
      </c>
      <c r="T1834" s="157">
        <f t="shared" si="279"/>
        <v>0</v>
      </c>
      <c r="V1834" s="191">
        <f t="shared" si="276"/>
        <v>1</v>
      </c>
      <c r="W1834" s="7">
        <f t="shared" si="277"/>
        <v>1900</v>
      </c>
    </row>
    <row r="1835" spans="2:23" ht="31.95" customHeight="1" thickBot="1" x14ac:dyDescent="0.35">
      <c r="B1835" s="26"/>
      <c r="C1835" s="51" t="str">
        <f t="shared" si="280"/>
        <v/>
      </c>
      <c r="D1835" s="27"/>
      <c r="E1835" s="26"/>
      <c r="F1835" s="26"/>
      <c r="G1835" s="26"/>
      <c r="H1835" s="254"/>
      <c r="I1835" s="49"/>
      <c r="J1835" s="49"/>
      <c r="K1835" s="52" t="str">
        <f t="shared" si="272"/>
        <v/>
      </c>
      <c r="L1835" s="209" t="str">
        <f t="shared" si="273"/>
        <v/>
      </c>
      <c r="M1835" s="210" t="str">
        <f t="shared" si="274"/>
        <v/>
      </c>
      <c r="N1835" s="26"/>
      <c r="O1835" s="27"/>
      <c r="P1835" s="27"/>
      <c r="Q1835" s="2">
        <f t="shared" si="275"/>
        <v>0</v>
      </c>
      <c r="S1835" s="7">
        <f t="shared" si="278"/>
        <v>0</v>
      </c>
      <c r="T1835" s="157">
        <f t="shared" si="279"/>
        <v>0</v>
      </c>
      <c r="V1835" s="191">
        <f t="shared" si="276"/>
        <v>1</v>
      </c>
      <c r="W1835" s="7">
        <f t="shared" si="277"/>
        <v>1900</v>
      </c>
    </row>
    <row r="1836" spans="2:23" ht="31.95" customHeight="1" thickBot="1" x14ac:dyDescent="0.35">
      <c r="B1836" s="26"/>
      <c r="C1836" s="51" t="str">
        <f t="shared" si="280"/>
        <v/>
      </c>
      <c r="D1836" s="27"/>
      <c r="E1836" s="26"/>
      <c r="F1836" s="26"/>
      <c r="G1836" s="26"/>
      <c r="H1836" s="254"/>
      <c r="I1836" s="49"/>
      <c r="J1836" s="49"/>
      <c r="K1836" s="52" t="str">
        <f t="shared" si="272"/>
        <v/>
      </c>
      <c r="L1836" s="209" t="str">
        <f t="shared" si="273"/>
        <v/>
      </c>
      <c r="M1836" s="210" t="str">
        <f t="shared" si="274"/>
        <v/>
      </c>
      <c r="N1836" s="26"/>
      <c r="O1836" s="27"/>
      <c r="P1836" s="27"/>
      <c r="Q1836" s="2">
        <f t="shared" si="275"/>
        <v>0</v>
      </c>
      <c r="S1836" s="7">
        <f t="shared" si="278"/>
        <v>0</v>
      </c>
      <c r="T1836" s="157">
        <f t="shared" si="279"/>
        <v>0</v>
      </c>
      <c r="V1836" s="191">
        <f t="shared" si="276"/>
        <v>1</v>
      </c>
      <c r="W1836" s="7">
        <f t="shared" si="277"/>
        <v>1900</v>
      </c>
    </row>
    <row r="1837" spans="2:23" ht="31.95" customHeight="1" thickBot="1" x14ac:dyDescent="0.35">
      <c r="B1837" s="26"/>
      <c r="C1837" s="51" t="str">
        <f t="shared" si="280"/>
        <v/>
      </c>
      <c r="D1837" s="27"/>
      <c r="E1837" s="26"/>
      <c r="F1837" s="26"/>
      <c r="G1837" s="26"/>
      <c r="H1837" s="254"/>
      <c r="I1837" s="49"/>
      <c r="J1837" s="49"/>
      <c r="K1837" s="52" t="str">
        <f t="shared" ref="K1837:K1900" si="281">IFERROR(J1837/I1837,"")</f>
        <v/>
      </c>
      <c r="L1837" s="209" t="str">
        <f t="shared" ref="L1837:L1900" si="282">IF(I1837="","",I1837-J1837)</f>
        <v/>
      </c>
      <c r="M1837" s="210" t="str">
        <f t="shared" ref="M1837:M1900" si="283">IFERROR(1-K1837,"")</f>
        <v/>
      </c>
      <c r="N1837" s="26"/>
      <c r="O1837" s="27"/>
      <c r="P1837" s="27"/>
      <c r="Q1837" s="2">
        <f t="shared" si="275"/>
        <v>0</v>
      </c>
      <c r="S1837" s="7">
        <f t="shared" si="278"/>
        <v>0</v>
      </c>
      <c r="T1837" s="157">
        <f t="shared" si="279"/>
        <v>0</v>
      </c>
      <c r="V1837" s="191">
        <f t="shared" si="276"/>
        <v>1</v>
      </c>
      <c r="W1837" s="7">
        <f t="shared" si="277"/>
        <v>1900</v>
      </c>
    </row>
    <row r="1838" spans="2:23" ht="31.95" customHeight="1" thickBot="1" x14ac:dyDescent="0.35">
      <c r="B1838" s="26"/>
      <c r="C1838" s="51" t="str">
        <f t="shared" si="280"/>
        <v/>
      </c>
      <c r="D1838" s="27"/>
      <c r="E1838" s="26"/>
      <c r="F1838" s="26"/>
      <c r="G1838" s="26"/>
      <c r="H1838" s="254"/>
      <c r="I1838" s="49"/>
      <c r="J1838" s="49"/>
      <c r="K1838" s="52" t="str">
        <f t="shared" si="281"/>
        <v/>
      </c>
      <c r="L1838" s="209" t="str">
        <f t="shared" si="282"/>
        <v/>
      </c>
      <c r="M1838" s="210" t="str">
        <f t="shared" si="283"/>
        <v/>
      </c>
      <c r="N1838" s="26"/>
      <c r="O1838" s="27"/>
      <c r="P1838" s="27"/>
      <c r="Q1838" s="2">
        <f t="shared" si="275"/>
        <v>0</v>
      </c>
      <c r="S1838" s="7">
        <f t="shared" si="278"/>
        <v>0</v>
      </c>
      <c r="T1838" s="157">
        <f t="shared" si="279"/>
        <v>0</v>
      </c>
      <c r="V1838" s="191">
        <f t="shared" si="276"/>
        <v>1</v>
      </c>
      <c r="W1838" s="7">
        <f t="shared" si="277"/>
        <v>1900</v>
      </c>
    </row>
    <row r="1839" spans="2:23" ht="31.95" customHeight="1" thickBot="1" x14ac:dyDescent="0.35">
      <c r="B1839" s="26"/>
      <c r="C1839" s="51" t="str">
        <f t="shared" si="280"/>
        <v/>
      </c>
      <c r="D1839" s="27"/>
      <c r="E1839" s="26"/>
      <c r="F1839" s="26"/>
      <c r="G1839" s="26"/>
      <c r="H1839" s="254"/>
      <c r="I1839" s="49"/>
      <c r="J1839" s="49"/>
      <c r="K1839" s="52" t="str">
        <f t="shared" si="281"/>
        <v/>
      </c>
      <c r="L1839" s="209" t="str">
        <f t="shared" si="282"/>
        <v/>
      </c>
      <c r="M1839" s="210" t="str">
        <f t="shared" si="283"/>
        <v/>
      </c>
      <c r="N1839" s="26"/>
      <c r="O1839" s="27"/>
      <c r="P1839" s="27"/>
      <c r="Q1839" s="2">
        <f t="shared" si="275"/>
        <v>0</v>
      </c>
      <c r="S1839" s="7">
        <f t="shared" si="278"/>
        <v>0</v>
      </c>
      <c r="T1839" s="157">
        <f t="shared" si="279"/>
        <v>0</v>
      </c>
      <c r="V1839" s="191">
        <f t="shared" si="276"/>
        <v>1</v>
      </c>
      <c r="W1839" s="7">
        <f t="shared" si="277"/>
        <v>1900</v>
      </c>
    </row>
    <row r="1840" spans="2:23" ht="31.95" customHeight="1" thickBot="1" x14ac:dyDescent="0.35">
      <c r="B1840" s="26"/>
      <c r="C1840" s="51" t="str">
        <f t="shared" si="280"/>
        <v/>
      </c>
      <c r="D1840" s="27"/>
      <c r="E1840" s="26"/>
      <c r="F1840" s="26"/>
      <c r="G1840" s="26"/>
      <c r="H1840" s="254"/>
      <c r="I1840" s="49"/>
      <c r="J1840" s="49"/>
      <c r="K1840" s="52" t="str">
        <f t="shared" si="281"/>
        <v/>
      </c>
      <c r="L1840" s="209" t="str">
        <f t="shared" si="282"/>
        <v/>
      </c>
      <c r="M1840" s="210" t="str">
        <f t="shared" si="283"/>
        <v/>
      </c>
      <c r="N1840" s="26"/>
      <c r="O1840" s="27"/>
      <c r="P1840" s="27"/>
      <c r="Q1840" s="2">
        <f t="shared" si="275"/>
        <v>0</v>
      </c>
      <c r="S1840" s="7">
        <f t="shared" si="278"/>
        <v>0</v>
      </c>
      <c r="T1840" s="157">
        <f t="shared" si="279"/>
        <v>0</v>
      </c>
      <c r="V1840" s="191">
        <f t="shared" si="276"/>
        <v>1</v>
      </c>
      <c r="W1840" s="7">
        <f t="shared" si="277"/>
        <v>1900</v>
      </c>
    </row>
    <row r="1841" spans="2:23" ht="31.95" customHeight="1" thickBot="1" x14ac:dyDescent="0.35">
      <c r="B1841" s="26"/>
      <c r="C1841" s="51" t="str">
        <f t="shared" si="280"/>
        <v/>
      </c>
      <c r="D1841" s="27"/>
      <c r="E1841" s="26"/>
      <c r="F1841" s="26"/>
      <c r="G1841" s="26"/>
      <c r="H1841" s="254"/>
      <c r="I1841" s="49"/>
      <c r="J1841" s="49"/>
      <c r="K1841" s="52" t="str">
        <f t="shared" si="281"/>
        <v/>
      </c>
      <c r="L1841" s="209" t="str">
        <f t="shared" si="282"/>
        <v/>
      </c>
      <c r="M1841" s="210" t="str">
        <f t="shared" si="283"/>
        <v/>
      </c>
      <c r="N1841" s="26"/>
      <c r="O1841" s="27"/>
      <c r="P1841" s="27"/>
      <c r="Q1841" s="2">
        <f t="shared" si="275"/>
        <v>0</v>
      </c>
      <c r="S1841" s="7">
        <f t="shared" si="278"/>
        <v>0</v>
      </c>
      <c r="T1841" s="157">
        <f t="shared" si="279"/>
        <v>0</v>
      </c>
      <c r="V1841" s="191">
        <f t="shared" si="276"/>
        <v>1</v>
      </c>
      <c r="W1841" s="7">
        <f t="shared" si="277"/>
        <v>1900</v>
      </c>
    </row>
    <row r="1842" spans="2:23" ht="31.95" customHeight="1" thickBot="1" x14ac:dyDescent="0.35">
      <c r="B1842" s="26"/>
      <c r="C1842" s="51" t="str">
        <f t="shared" si="280"/>
        <v/>
      </c>
      <c r="D1842" s="27"/>
      <c r="E1842" s="26"/>
      <c r="F1842" s="26"/>
      <c r="G1842" s="26"/>
      <c r="H1842" s="254"/>
      <c r="I1842" s="49"/>
      <c r="J1842" s="49"/>
      <c r="K1842" s="52" t="str">
        <f t="shared" si="281"/>
        <v/>
      </c>
      <c r="L1842" s="209" t="str">
        <f t="shared" si="282"/>
        <v/>
      </c>
      <c r="M1842" s="210" t="str">
        <f t="shared" si="283"/>
        <v/>
      </c>
      <c r="N1842" s="26"/>
      <c r="O1842" s="27"/>
      <c r="P1842" s="27"/>
      <c r="Q1842" s="2">
        <f t="shared" si="275"/>
        <v>0</v>
      </c>
      <c r="S1842" s="7">
        <f t="shared" si="278"/>
        <v>0</v>
      </c>
      <c r="T1842" s="157">
        <f t="shared" si="279"/>
        <v>0</v>
      </c>
      <c r="V1842" s="191">
        <f t="shared" si="276"/>
        <v>1</v>
      </c>
      <c r="W1842" s="7">
        <f t="shared" si="277"/>
        <v>1900</v>
      </c>
    </row>
    <row r="1843" spans="2:23" ht="31.95" customHeight="1" thickBot="1" x14ac:dyDescent="0.35">
      <c r="B1843" s="26"/>
      <c r="C1843" s="51" t="str">
        <f t="shared" si="280"/>
        <v/>
      </c>
      <c r="D1843" s="27"/>
      <c r="E1843" s="26"/>
      <c r="F1843" s="26"/>
      <c r="G1843" s="26"/>
      <c r="H1843" s="254"/>
      <c r="I1843" s="49"/>
      <c r="J1843" s="49"/>
      <c r="K1843" s="52" t="str">
        <f t="shared" si="281"/>
        <v/>
      </c>
      <c r="L1843" s="209" t="str">
        <f t="shared" si="282"/>
        <v/>
      </c>
      <c r="M1843" s="210" t="str">
        <f t="shared" si="283"/>
        <v/>
      </c>
      <c r="N1843" s="26"/>
      <c r="O1843" s="27"/>
      <c r="P1843" s="27"/>
      <c r="Q1843" s="2">
        <f t="shared" si="275"/>
        <v>0</v>
      </c>
      <c r="S1843" s="7">
        <f t="shared" si="278"/>
        <v>0</v>
      </c>
      <c r="T1843" s="157">
        <f t="shared" si="279"/>
        <v>0</v>
      </c>
      <c r="V1843" s="191">
        <f t="shared" si="276"/>
        <v>1</v>
      </c>
      <c r="W1843" s="7">
        <f t="shared" si="277"/>
        <v>1900</v>
      </c>
    </row>
    <row r="1844" spans="2:23" ht="31.95" customHeight="1" thickBot="1" x14ac:dyDescent="0.35">
      <c r="B1844" s="26"/>
      <c r="C1844" s="51" t="str">
        <f t="shared" si="280"/>
        <v/>
      </c>
      <c r="D1844" s="27"/>
      <c r="E1844" s="26"/>
      <c r="F1844" s="26"/>
      <c r="G1844" s="26"/>
      <c r="H1844" s="254"/>
      <c r="I1844" s="49"/>
      <c r="J1844" s="49"/>
      <c r="K1844" s="52" t="str">
        <f t="shared" si="281"/>
        <v/>
      </c>
      <c r="L1844" s="209" t="str">
        <f t="shared" si="282"/>
        <v/>
      </c>
      <c r="M1844" s="210" t="str">
        <f t="shared" si="283"/>
        <v/>
      </c>
      <c r="N1844" s="26"/>
      <c r="O1844" s="27"/>
      <c r="P1844" s="27"/>
      <c r="Q1844" s="2">
        <f t="shared" si="275"/>
        <v>0</v>
      </c>
      <c r="S1844" s="7">
        <f t="shared" si="278"/>
        <v>0</v>
      </c>
      <c r="T1844" s="157">
        <f t="shared" si="279"/>
        <v>0</v>
      </c>
      <c r="V1844" s="191">
        <f t="shared" si="276"/>
        <v>1</v>
      </c>
      <c r="W1844" s="7">
        <f t="shared" si="277"/>
        <v>1900</v>
      </c>
    </row>
    <row r="1845" spans="2:23" ht="31.95" customHeight="1" thickBot="1" x14ac:dyDescent="0.35">
      <c r="B1845" s="26"/>
      <c r="C1845" s="51" t="str">
        <f t="shared" si="280"/>
        <v/>
      </c>
      <c r="D1845" s="27"/>
      <c r="E1845" s="26"/>
      <c r="F1845" s="26"/>
      <c r="G1845" s="26"/>
      <c r="H1845" s="254"/>
      <c r="I1845" s="49"/>
      <c r="J1845" s="49"/>
      <c r="K1845" s="52" t="str">
        <f t="shared" si="281"/>
        <v/>
      </c>
      <c r="L1845" s="209" t="str">
        <f t="shared" si="282"/>
        <v/>
      </c>
      <c r="M1845" s="210" t="str">
        <f t="shared" si="283"/>
        <v/>
      </c>
      <c r="N1845" s="26"/>
      <c r="O1845" s="27"/>
      <c r="P1845" s="27"/>
      <c r="Q1845" s="2">
        <f t="shared" si="275"/>
        <v>0</v>
      </c>
      <c r="S1845" s="7">
        <f t="shared" si="278"/>
        <v>0</v>
      </c>
      <c r="T1845" s="157">
        <f t="shared" si="279"/>
        <v>0</v>
      </c>
      <c r="V1845" s="191">
        <f t="shared" si="276"/>
        <v>1</v>
      </c>
      <c r="W1845" s="7">
        <f t="shared" si="277"/>
        <v>1900</v>
      </c>
    </row>
    <row r="1846" spans="2:23" ht="31.95" customHeight="1" thickBot="1" x14ac:dyDescent="0.35">
      <c r="B1846" s="26"/>
      <c r="C1846" s="51" t="str">
        <f t="shared" si="280"/>
        <v/>
      </c>
      <c r="D1846" s="27"/>
      <c r="E1846" s="26"/>
      <c r="F1846" s="26"/>
      <c r="G1846" s="26"/>
      <c r="H1846" s="254"/>
      <c r="I1846" s="49"/>
      <c r="J1846" s="49"/>
      <c r="K1846" s="52" t="str">
        <f t="shared" si="281"/>
        <v/>
      </c>
      <c r="L1846" s="209" t="str">
        <f t="shared" si="282"/>
        <v/>
      </c>
      <c r="M1846" s="210" t="str">
        <f t="shared" si="283"/>
        <v/>
      </c>
      <c r="N1846" s="26"/>
      <c r="O1846" s="27"/>
      <c r="P1846" s="27"/>
      <c r="Q1846" s="2">
        <f t="shared" si="275"/>
        <v>0</v>
      </c>
      <c r="S1846" s="7">
        <f t="shared" si="278"/>
        <v>0</v>
      </c>
      <c r="T1846" s="157">
        <f t="shared" si="279"/>
        <v>0</v>
      </c>
      <c r="V1846" s="191">
        <f t="shared" si="276"/>
        <v>1</v>
      </c>
      <c r="W1846" s="7">
        <f t="shared" si="277"/>
        <v>1900</v>
      </c>
    </row>
    <row r="1847" spans="2:23" ht="31.95" customHeight="1" thickBot="1" x14ac:dyDescent="0.35">
      <c r="B1847" s="26"/>
      <c r="C1847" s="51" t="str">
        <f t="shared" si="280"/>
        <v/>
      </c>
      <c r="D1847" s="27"/>
      <c r="E1847" s="26"/>
      <c r="F1847" s="26"/>
      <c r="G1847" s="26"/>
      <c r="H1847" s="254"/>
      <c r="I1847" s="49"/>
      <c r="J1847" s="49"/>
      <c r="K1847" s="52" t="str">
        <f t="shared" si="281"/>
        <v/>
      </c>
      <c r="L1847" s="209" t="str">
        <f t="shared" si="282"/>
        <v/>
      </c>
      <c r="M1847" s="210" t="str">
        <f t="shared" si="283"/>
        <v/>
      </c>
      <c r="N1847" s="26"/>
      <c r="O1847" s="27"/>
      <c r="P1847" s="27"/>
      <c r="Q1847" s="2">
        <f t="shared" si="275"/>
        <v>0</v>
      </c>
      <c r="S1847" s="7">
        <f t="shared" si="278"/>
        <v>0</v>
      </c>
      <c r="T1847" s="157">
        <f t="shared" si="279"/>
        <v>0</v>
      </c>
      <c r="V1847" s="191">
        <f t="shared" si="276"/>
        <v>1</v>
      </c>
      <c r="W1847" s="7">
        <f t="shared" si="277"/>
        <v>1900</v>
      </c>
    </row>
    <row r="1848" spans="2:23" ht="31.95" customHeight="1" thickBot="1" x14ac:dyDescent="0.35">
      <c r="B1848" s="26"/>
      <c r="C1848" s="51" t="str">
        <f t="shared" si="280"/>
        <v/>
      </c>
      <c r="D1848" s="27"/>
      <c r="E1848" s="26"/>
      <c r="F1848" s="26"/>
      <c r="G1848" s="26"/>
      <c r="H1848" s="254"/>
      <c r="I1848" s="49"/>
      <c r="J1848" s="49"/>
      <c r="K1848" s="52" t="str">
        <f t="shared" si="281"/>
        <v/>
      </c>
      <c r="L1848" s="209" t="str">
        <f t="shared" si="282"/>
        <v/>
      </c>
      <c r="M1848" s="210" t="str">
        <f t="shared" si="283"/>
        <v/>
      </c>
      <c r="N1848" s="26"/>
      <c r="O1848" s="27"/>
      <c r="P1848" s="27"/>
      <c r="Q1848" s="2">
        <f t="shared" si="275"/>
        <v>0</v>
      </c>
      <c r="S1848" s="7">
        <f t="shared" si="278"/>
        <v>0</v>
      </c>
      <c r="T1848" s="157">
        <f t="shared" si="279"/>
        <v>0</v>
      </c>
      <c r="V1848" s="191">
        <f t="shared" si="276"/>
        <v>1</v>
      </c>
      <c r="W1848" s="7">
        <f t="shared" si="277"/>
        <v>1900</v>
      </c>
    </row>
    <row r="1849" spans="2:23" ht="31.95" customHeight="1" thickBot="1" x14ac:dyDescent="0.35">
      <c r="B1849" s="26"/>
      <c r="C1849" s="51" t="str">
        <f t="shared" si="280"/>
        <v/>
      </c>
      <c r="D1849" s="27"/>
      <c r="E1849" s="26"/>
      <c r="F1849" s="26"/>
      <c r="G1849" s="26"/>
      <c r="H1849" s="254"/>
      <c r="I1849" s="49"/>
      <c r="J1849" s="49"/>
      <c r="K1849" s="52" t="str">
        <f t="shared" si="281"/>
        <v/>
      </c>
      <c r="L1849" s="209" t="str">
        <f t="shared" si="282"/>
        <v/>
      </c>
      <c r="M1849" s="210" t="str">
        <f t="shared" si="283"/>
        <v/>
      </c>
      <c r="N1849" s="26"/>
      <c r="O1849" s="27"/>
      <c r="P1849" s="27"/>
      <c r="Q1849" s="2">
        <f t="shared" si="275"/>
        <v>0</v>
      </c>
      <c r="S1849" s="7">
        <f t="shared" si="278"/>
        <v>0</v>
      </c>
      <c r="T1849" s="157">
        <f t="shared" si="279"/>
        <v>0</v>
      </c>
      <c r="V1849" s="191">
        <f t="shared" si="276"/>
        <v>1</v>
      </c>
      <c r="W1849" s="7">
        <f t="shared" si="277"/>
        <v>1900</v>
      </c>
    </row>
    <row r="1850" spans="2:23" ht="31.95" customHeight="1" thickBot="1" x14ac:dyDescent="0.35">
      <c r="B1850" s="26"/>
      <c r="C1850" s="51" t="str">
        <f t="shared" si="280"/>
        <v/>
      </c>
      <c r="D1850" s="27"/>
      <c r="E1850" s="26"/>
      <c r="F1850" s="26"/>
      <c r="G1850" s="26"/>
      <c r="H1850" s="254"/>
      <c r="I1850" s="49"/>
      <c r="J1850" s="49"/>
      <c r="K1850" s="52" t="str">
        <f t="shared" si="281"/>
        <v/>
      </c>
      <c r="L1850" s="209" t="str">
        <f t="shared" si="282"/>
        <v/>
      </c>
      <c r="M1850" s="210" t="str">
        <f t="shared" si="283"/>
        <v/>
      </c>
      <c r="N1850" s="26"/>
      <c r="O1850" s="27"/>
      <c r="P1850" s="27"/>
      <c r="Q1850" s="2">
        <f t="shared" si="275"/>
        <v>0</v>
      </c>
      <c r="S1850" s="7">
        <f t="shared" si="278"/>
        <v>0</v>
      </c>
      <c r="T1850" s="157">
        <f t="shared" si="279"/>
        <v>0</v>
      </c>
      <c r="V1850" s="191">
        <f t="shared" si="276"/>
        <v>1</v>
      </c>
      <c r="W1850" s="7">
        <f t="shared" si="277"/>
        <v>1900</v>
      </c>
    </row>
    <row r="1851" spans="2:23" ht="31.95" customHeight="1" thickBot="1" x14ac:dyDescent="0.35">
      <c r="B1851" s="26"/>
      <c r="C1851" s="51" t="str">
        <f t="shared" si="280"/>
        <v/>
      </c>
      <c r="D1851" s="27"/>
      <c r="E1851" s="26"/>
      <c r="F1851" s="26"/>
      <c r="G1851" s="26"/>
      <c r="H1851" s="254"/>
      <c r="I1851" s="49"/>
      <c r="J1851" s="49"/>
      <c r="K1851" s="52" t="str">
        <f t="shared" si="281"/>
        <v/>
      </c>
      <c r="L1851" s="209" t="str">
        <f t="shared" si="282"/>
        <v/>
      </c>
      <c r="M1851" s="210" t="str">
        <f t="shared" si="283"/>
        <v/>
      </c>
      <c r="N1851" s="26"/>
      <c r="O1851" s="27"/>
      <c r="P1851" s="27"/>
      <c r="Q1851" s="2">
        <f t="shared" si="275"/>
        <v>0</v>
      </c>
      <c r="S1851" s="7">
        <f t="shared" si="278"/>
        <v>0</v>
      </c>
      <c r="T1851" s="157">
        <f t="shared" si="279"/>
        <v>0</v>
      </c>
      <c r="V1851" s="191">
        <f t="shared" si="276"/>
        <v>1</v>
      </c>
      <c r="W1851" s="7">
        <f t="shared" si="277"/>
        <v>1900</v>
      </c>
    </row>
    <row r="1852" spans="2:23" ht="31.95" customHeight="1" thickBot="1" x14ac:dyDescent="0.35">
      <c r="B1852" s="26"/>
      <c r="C1852" s="51" t="str">
        <f t="shared" si="280"/>
        <v/>
      </c>
      <c r="D1852" s="27"/>
      <c r="E1852" s="26"/>
      <c r="F1852" s="26"/>
      <c r="G1852" s="26"/>
      <c r="H1852" s="254"/>
      <c r="I1852" s="49"/>
      <c r="J1852" s="49"/>
      <c r="K1852" s="52" t="str">
        <f t="shared" si="281"/>
        <v/>
      </c>
      <c r="L1852" s="209" t="str">
        <f t="shared" si="282"/>
        <v/>
      </c>
      <c r="M1852" s="210" t="str">
        <f t="shared" si="283"/>
        <v/>
      </c>
      <c r="N1852" s="26"/>
      <c r="O1852" s="27"/>
      <c r="P1852" s="27"/>
      <c r="Q1852" s="2">
        <f t="shared" si="275"/>
        <v>0</v>
      </c>
      <c r="S1852" s="7">
        <f t="shared" si="278"/>
        <v>0</v>
      </c>
      <c r="T1852" s="157">
        <f t="shared" si="279"/>
        <v>0</v>
      </c>
      <c r="V1852" s="191">
        <f t="shared" si="276"/>
        <v>1</v>
      </c>
      <c r="W1852" s="7">
        <f t="shared" si="277"/>
        <v>1900</v>
      </c>
    </row>
    <row r="1853" spans="2:23" ht="31.95" customHeight="1" thickBot="1" x14ac:dyDescent="0.35">
      <c r="B1853" s="26"/>
      <c r="C1853" s="51" t="str">
        <f t="shared" si="280"/>
        <v/>
      </c>
      <c r="D1853" s="27"/>
      <c r="E1853" s="26"/>
      <c r="F1853" s="26"/>
      <c r="G1853" s="26"/>
      <c r="H1853" s="254"/>
      <c r="I1853" s="49"/>
      <c r="J1853" s="49"/>
      <c r="K1853" s="52" t="str">
        <f t="shared" si="281"/>
        <v/>
      </c>
      <c r="L1853" s="209" t="str">
        <f t="shared" si="282"/>
        <v/>
      </c>
      <c r="M1853" s="210" t="str">
        <f t="shared" si="283"/>
        <v/>
      </c>
      <c r="N1853" s="26"/>
      <c r="O1853" s="27"/>
      <c r="P1853" s="27"/>
      <c r="Q1853" s="2">
        <f t="shared" si="275"/>
        <v>0</v>
      </c>
      <c r="S1853" s="7">
        <f t="shared" si="278"/>
        <v>0</v>
      </c>
      <c r="T1853" s="157">
        <f t="shared" si="279"/>
        <v>0</v>
      </c>
      <c r="V1853" s="191">
        <f t="shared" si="276"/>
        <v>1</v>
      </c>
      <c r="W1853" s="7">
        <f t="shared" si="277"/>
        <v>1900</v>
      </c>
    </row>
    <row r="1854" spans="2:23" ht="31.95" customHeight="1" thickBot="1" x14ac:dyDescent="0.35">
      <c r="B1854" s="26"/>
      <c r="C1854" s="51" t="str">
        <f t="shared" si="280"/>
        <v/>
      </c>
      <c r="D1854" s="27"/>
      <c r="E1854" s="26"/>
      <c r="F1854" s="26"/>
      <c r="G1854" s="26"/>
      <c r="H1854" s="254"/>
      <c r="I1854" s="49"/>
      <c r="J1854" s="49"/>
      <c r="K1854" s="52" t="str">
        <f t="shared" si="281"/>
        <v/>
      </c>
      <c r="L1854" s="209" t="str">
        <f t="shared" si="282"/>
        <v/>
      </c>
      <c r="M1854" s="210" t="str">
        <f t="shared" si="283"/>
        <v/>
      </c>
      <c r="N1854" s="26"/>
      <c r="O1854" s="27"/>
      <c r="P1854" s="27"/>
      <c r="Q1854" s="2">
        <f t="shared" si="275"/>
        <v>0</v>
      </c>
      <c r="S1854" s="7">
        <f t="shared" si="278"/>
        <v>0</v>
      </c>
      <c r="T1854" s="157">
        <f t="shared" si="279"/>
        <v>0</v>
      </c>
      <c r="V1854" s="191">
        <f t="shared" si="276"/>
        <v>1</v>
      </c>
      <c r="W1854" s="7">
        <f t="shared" si="277"/>
        <v>1900</v>
      </c>
    </row>
    <row r="1855" spans="2:23" ht="31.95" customHeight="1" thickBot="1" x14ac:dyDescent="0.35">
      <c r="B1855" s="26"/>
      <c r="C1855" s="51" t="str">
        <f t="shared" si="280"/>
        <v/>
      </c>
      <c r="D1855" s="27"/>
      <c r="E1855" s="26"/>
      <c r="F1855" s="26"/>
      <c r="G1855" s="26"/>
      <c r="H1855" s="254"/>
      <c r="I1855" s="49"/>
      <c r="J1855" s="49"/>
      <c r="K1855" s="52" t="str">
        <f t="shared" si="281"/>
        <v/>
      </c>
      <c r="L1855" s="209" t="str">
        <f t="shared" si="282"/>
        <v/>
      </c>
      <c r="M1855" s="210" t="str">
        <f t="shared" si="283"/>
        <v/>
      </c>
      <c r="N1855" s="26"/>
      <c r="O1855" s="27"/>
      <c r="P1855" s="27"/>
      <c r="Q1855" s="2">
        <f t="shared" si="275"/>
        <v>0</v>
      </c>
      <c r="S1855" s="7">
        <f t="shared" si="278"/>
        <v>0</v>
      </c>
      <c r="T1855" s="157">
        <f t="shared" si="279"/>
        <v>0</v>
      </c>
      <c r="V1855" s="191">
        <f t="shared" si="276"/>
        <v>1</v>
      </c>
      <c r="W1855" s="7">
        <f t="shared" si="277"/>
        <v>1900</v>
      </c>
    </row>
    <row r="1856" spans="2:23" ht="31.95" customHeight="1" thickBot="1" x14ac:dyDescent="0.35">
      <c r="B1856" s="26"/>
      <c r="C1856" s="51" t="str">
        <f t="shared" si="280"/>
        <v/>
      </c>
      <c r="D1856" s="27"/>
      <c r="E1856" s="26"/>
      <c r="F1856" s="26"/>
      <c r="G1856" s="26"/>
      <c r="H1856" s="254"/>
      <c r="I1856" s="49"/>
      <c r="J1856" s="49"/>
      <c r="K1856" s="52" t="str">
        <f t="shared" si="281"/>
        <v/>
      </c>
      <c r="L1856" s="209" t="str">
        <f t="shared" si="282"/>
        <v/>
      </c>
      <c r="M1856" s="210" t="str">
        <f t="shared" si="283"/>
        <v/>
      </c>
      <c r="N1856" s="26"/>
      <c r="O1856" s="27"/>
      <c r="P1856" s="27"/>
      <c r="Q1856" s="2">
        <f t="shared" si="275"/>
        <v>0</v>
      </c>
      <c r="S1856" s="7">
        <f t="shared" si="278"/>
        <v>0</v>
      </c>
      <c r="T1856" s="157">
        <f t="shared" si="279"/>
        <v>0</v>
      </c>
      <c r="V1856" s="191">
        <f t="shared" si="276"/>
        <v>1</v>
      </c>
      <c r="W1856" s="7">
        <f t="shared" si="277"/>
        <v>1900</v>
      </c>
    </row>
    <row r="1857" spans="2:23" ht="31.95" customHeight="1" thickBot="1" x14ac:dyDescent="0.35">
      <c r="B1857" s="26"/>
      <c r="C1857" s="51" t="str">
        <f t="shared" si="280"/>
        <v/>
      </c>
      <c r="D1857" s="27"/>
      <c r="E1857" s="26"/>
      <c r="F1857" s="26"/>
      <c r="G1857" s="26"/>
      <c r="H1857" s="254"/>
      <c r="I1857" s="49"/>
      <c r="J1857" s="49"/>
      <c r="K1857" s="52" t="str">
        <f t="shared" si="281"/>
        <v/>
      </c>
      <c r="L1857" s="209" t="str">
        <f t="shared" si="282"/>
        <v/>
      </c>
      <c r="M1857" s="210" t="str">
        <f t="shared" si="283"/>
        <v/>
      </c>
      <c r="N1857" s="26"/>
      <c r="O1857" s="27"/>
      <c r="P1857" s="27"/>
      <c r="Q1857" s="2">
        <f t="shared" si="275"/>
        <v>0</v>
      </c>
      <c r="S1857" s="7">
        <f t="shared" si="278"/>
        <v>0</v>
      </c>
      <c r="T1857" s="157">
        <f t="shared" si="279"/>
        <v>0</v>
      </c>
      <c r="V1857" s="191">
        <f t="shared" si="276"/>
        <v>1</v>
      </c>
      <c r="W1857" s="7">
        <f t="shared" si="277"/>
        <v>1900</v>
      </c>
    </row>
    <row r="1858" spans="2:23" ht="31.95" customHeight="1" thickBot="1" x14ac:dyDescent="0.35">
      <c r="B1858" s="26"/>
      <c r="C1858" s="51" t="str">
        <f t="shared" si="280"/>
        <v/>
      </c>
      <c r="D1858" s="27"/>
      <c r="E1858" s="26"/>
      <c r="F1858" s="26"/>
      <c r="G1858" s="26"/>
      <c r="H1858" s="254"/>
      <c r="I1858" s="49"/>
      <c r="J1858" s="49"/>
      <c r="K1858" s="52" t="str">
        <f t="shared" si="281"/>
        <v/>
      </c>
      <c r="L1858" s="209" t="str">
        <f t="shared" si="282"/>
        <v/>
      </c>
      <c r="M1858" s="210" t="str">
        <f t="shared" si="283"/>
        <v/>
      </c>
      <c r="N1858" s="26"/>
      <c r="O1858" s="27"/>
      <c r="P1858" s="27"/>
      <c r="Q1858" s="2">
        <f t="shared" si="275"/>
        <v>0</v>
      </c>
      <c r="S1858" s="7">
        <f t="shared" si="278"/>
        <v>0</v>
      </c>
      <c r="T1858" s="157">
        <f t="shared" si="279"/>
        <v>0</v>
      </c>
      <c r="V1858" s="191">
        <f t="shared" si="276"/>
        <v>1</v>
      </c>
      <c r="W1858" s="7">
        <f t="shared" si="277"/>
        <v>1900</v>
      </c>
    </row>
    <row r="1859" spans="2:23" ht="31.95" customHeight="1" thickBot="1" x14ac:dyDescent="0.35">
      <c r="B1859" s="26"/>
      <c r="C1859" s="51" t="str">
        <f t="shared" si="280"/>
        <v/>
      </c>
      <c r="D1859" s="27"/>
      <c r="E1859" s="26"/>
      <c r="F1859" s="26"/>
      <c r="G1859" s="26"/>
      <c r="H1859" s="254"/>
      <c r="I1859" s="49"/>
      <c r="J1859" s="49"/>
      <c r="K1859" s="52" t="str">
        <f t="shared" si="281"/>
        <v/>
      </c>
      <c r="L1859" s="209" t="str">
        <f t="shared" si="282"/>
        <v/>
      </c>
      <c r="M1859" s="210" t="str">
        <f t="shared" si="283"/>
        <v/>
      </c>
      <c r="N1859" s="26"/>
      <c r="O1859" s="27"/>
      <c r="P1859" s="27"/>
      <c r="Q1859" s="2">
        <f t="shared" si="275"/>
        <v>0</v>
      </c>
      <c r="S1859" s="7">
        <f t="shared" si="278"/>
        <v>0</v>
      </c>
      <c r="T1859" s="157">
        <f t="shared" si="279"/>
        <v>0</v>
      </c>
      <c r="V1859" s="191">
        <f t="shared" si="276"/>
        <v>1</v>
      </c>
      <c r="W1859" s="7">
        <f t="shared" si="277"/>
        <v>1900</v>
      </c>
    </row>
    <row r="1860" spans="2:23" ht="31.95" customHeight="1" thickBot="1" x14ac:dyDescent="0.35">
      <c r="B1860" s="26"/>
      <c r="C1860" s="51" t="str">
        <f t="shared" si="280"/>
        <v/>
      </c>
      <c r="D1860" s="27"/>
      <c r="E1860" s="26"/>
      <c r="F1860" s="26"/>
      <c r="G1860" s="26"/>
      <c r="H1860" s="254"/>
      <c r="I1860" s="49"/>
      <c r="J1860" s="49"/>
      <c r="K1860" s="52" t="str">
        <f t="shared" si="281"/>
        <v/>
      </c>
      <c r="L1860" s="209" t="str">
        <f t="shared" si="282"/>
        <v/>
      </c>
      <c r="M1860" s="210" t="str">
        <f t="shared" si="283"/>
        <v/>
      </c>
      <c r="N1860" s="26"/>
      <c r="O1860" s="27"/>
      <c r="P1860" s="27"/>
      <c r="Q1860" s="2">
        <f t="shared" si="275"/>
        <v>0</v>
      </c>
      <c r="S1860" s="7">
        <f t="shared" si="278"/>
        <v>0</v>
      </c>
      <c r="T1860" s="157">
        <f t="shared" si="279"/>
        <v>0</v>
      </c>
      <c r="V1860" s="191">
        <f t="shared" si="276"/>
        <v>1</v>
      </c>
      <c r="W1860" s="7">
        <f t="shared" si="277"/>
        <v>1900</v>
      </c>
    </row>
    <row r="1861" spans="2:23" ht="31.95" customHeight="1" thickBot="1" x14ac:dyDescent="0.35">
      <c r="B1861" s="26"/>
      <c r="C1861" s="51" t="str">
        <f t="shared" si="280"/>
        <v/>
      </c>
      <c r="D1861" s="27"/>
      <c r="E1861" s="26"/>
      <c r="F1861" s="26"/>
      <c r="G1861" s="26"/>
      <c r="H1861" s="254"/>
      <c r="I1861" s="49"/>
      <c r="J1861" s="49"/>
      <c r="K1861" s="52" t="str">
        <f t="shared" si="281"/>
        <v/>
      </c>
      <c r="L1861" s="209" t="str">
        <f t="shared" si="282"/>
        <v/>
      </c>
      <c r="M1861" s="210" t="str">
        <f t="shared" si="283"/>
        <v/>
      </c>
      <c r="N1861" s="26"/>
      <c r="O1861" s="27"/>
      <c r="P1861" s="27"/>
      <c r="Q1861" s="2">
        <f t="shared" ref="Q1861:Q1924" si="284">IF(B1861&lt;&gt;"",1,0)</f>
        <v>0</v>
      </c>
      <c r="S1861" s="7">
        <f t="shared" si="278"/>
        <v>0</v>
      </c>
      <c r="T1861" s="157">
        <f t="shared" si="279"/>
        <v>0</v>
      </c>
      <c r="V1861" s="191">
        <f t="shared" ref="V1861:V1924" si="285">MONTH(B1861)</f>
        <v>1</v>
      </c>
      <c r="W1861" s="7">
        <f t="shared" ref="W1861:W1924" si="286">YEAR(B1861)</f>
        <v>1900</v>
      </c>
    </row>
    <row r="1862" spans="2:23" ht="31.95" customHeight="1" thickBot="1" x14ac:dyDescent="0.35">
      <c r="B1862" s="26"/>
      <c r="C1862" s="51" t="str">
        <f t="shared" si="280"/>
        <v/>
      </c>
      <c r="D1862" s="27"/>
      <c r="E1862" s="26"/>
      <c r="F1862" s="26"/>
      <c r="G1862" s="26"/>
      <c r="H1862" s="254"/>
      <c r="I1862" s="49"/>
      <c r="J1862" s="49"/>
      <c r="K1862" s="52" t="str">
        <f t="shared" si="281"/>
        <v/>
      </c>
      <c r="L1862" s="209" t="str">
        <f t="shared" si="282"/>
        <v/>
      </c>
      <c r="M1862" s="210" t="str">
        <f t="shared" si="283"/>
        <v/>
      </c>
      <c r="N1862" s="26"/>
      <c r="O1862" s="27"/>
      <c r="P1862" s="27"/>
      <c r="Q1862" s="2">
        <f t="shared" si="284"/>
        <v>0</v>
      </c>
      <c r="S1862" s="7">
        <f t="shared" ref="S1862:S1925" si="287">IF(AND(O1862&lt;=N1862,O1862&lt;&gt;""),1,0)</f>
        <v>0</v>
      </c>
      <c r="T1862" s="157">
        <f t="shared" ref="T1862:T1925" si="288">IF(AND(P1862&lt;=N1862,P1862&lt;&gt;""),1,0)</f>
        <v>0</v>
      </c>
      <c r="V1862" s="191">
        <f t="shared" si="285"/>
        <v>1</v>
      </c>
      <c r="W1862" s="7">
        <f t="shared" si="286"/>
        <v>1900</v>
      </c>
    </row>
    <row r="1863" spans="2:23" ht="31.95" customHeight="1" thickBot="1" x14ac:dyDescent="0.35">
      <c r="B1863" s="26"/>
      <c r="C1863" s="51" t="str">
        <f t="shared" ref="C1863:C1926" si="289">IF(B1863&lt;&gt;"",C1862+1,"")</f>
        <v/>
      </c>
      <c r="D1863" s="27"/>
      <c r="E1863" s="26"/>
      <c r="F1863" s="26"/>
      <c r="G1863" s="26"/>
      <c r="H1863" s="254"/>
      <c r="I1863" s="49"/>
      <c r="J1863" s="49"/>
      <c r="K1863" s="52" t="str">
        <f t="shared" si="281"/>
        <v/>
      </c>
      <c r="L1863" s="209" t="str">
        <f t="shared" si="282"/>
        <v/>
      </c>
      <c r="M1863" s="210" t="str">
        <f t="shared" si="283"/>
        <v/>
      </c>
      <c r="N1863" s="26"/>
      <c r="O1863" s="27"/>
      <c r="P1863" s="27"/>
      <c r="Q1863" s="2">
        <f t="shared" si="284"/>
        <v>0</v>
      </c>
      <c r="S1863" s="7">
        <f t="shared" si="287"/>
        <v>0</v>
      </c>
      <c r="T1863" s="157">
        <f t="shared" si="288"/>
        <v>0</v>
      </c>
      <c r="V1863" s="191">
        <f t="shared" si="285"/>
        <v>1</v>
      </c>
      <c r="W1863" s="7">
        <f t="shared" si="286"/>
        <v>1900</v>
      </c>
    </row>
    <row r="1864" spans="2:23" ht="31.95" customHeight="1" thickBot="1" x14ac:dyDescent="0.35">
      <c r="B1864" s="26"/>
      <c r="C1864" s="51" t="str">
        <f t="shared" si="289"/>
        <v/>
      </c>
      <c r="D1864" s="27"/>
      <c r="E1864" s="26"/>
      <c r="F1864" s="26"/>
      <c r="G1864" s="26"/>
      <c r="H1864" s="254"/>
      <c r="I1864" s="49"/>
      <c r="J1864" s="49"/>
      <c r="K1864" s="52" t="str">
        <f t="shared" si="281"/>
        <v/>
      </c>
      <c r="L1864" s="209" t="str">
        <f t="shared" si="282"/>
        <v/>
      </c>
      <c r="M1864" s="210" t="str">
        <f t="shared" si="283"/>
        <v/>
      </c>
      <c r="N1864" s="26"/>
      <c r="O1864" s="27"/>
      <c r="P1864" s="27"/>
      <c r="Q1864" s="2">
        <f t="shared" si="284"/>
        <v>0</v>
      </c>
      <c r="S1864" s="7">
        <f t="shared" si="287"/>
        <v>0</v>
      </c>
      <c r="T1864" s="157">
        <f t="shared" si="288"/>
        <v>0</v>
      </c>
      <c r="V1864" s="191">
        <f t="shared" si="285"/>
        <v>1</v>
      </c>
      <c r="W1864" s="7">
        <f t="shared" si="286"/>
        <v>1900</v>
      </c>
    </row>
    <row r="1865" spans="2:23" ht="31.95" customHeight="1" thickBot="1" x14ac:dyDescent="0.35">
      <c r="B1865" s="26"/>
      <c r="C1865" s="51" t="str">
        <f t="shared" si="289"/>
        <v/>
      </c>
      <c r="D1865" s="27"/>
      <c r="E1865" s="26"/>
      <c r="F1865" s="26"/>
      <c r="G1865" s="26"/>
      <c r="H1865" s="254"/>
      <c r="I1865" s="49"/>
      <c r="J1865" s="49"/>
      <c r="K1865" s="52" t="str">
        <f t="shared" si="281"/>
        <v/>
      </c>
      <c r="L1865" s="209" t="str">
        <f t="shared" si="282"/>
        <v/>
      </c>
      <c r="M1865" s="210" t="str">
        <f t="shared" si="283"/>
        <v/>
      </c>
      <c r="N1865" s="26"/>
      <c r="O1865" s="27"/>
      <c r="P1865" s="27"/>
      <c r="Q1865" s="2">
        <f t="shared" si="284"/>
        <v>0</v>
      </c>
      <c r="S1865" s="7">
        <f t="shared" si="287"/>
        <v>0</v>
      </c>
      <c r="T1865" s="157">
        <f t="shared" si="288"/>
        <v>0</v>
      </c>
      <c r="V1865" s="191">
        <f t="shared" si="285"/>
        <v>1</v>
      </c>
      <c r="W1865" s="7">
        <f t="shared" si="286"/>
        <v>1900</v>
      </c>
    </row>
    <row r="1866" spans="2:23" ht="31.95" customHeight="1" thickBot="1" x14ac:dyDescent="0.35">
      <c r="B1866" s="26"/>
      <c r="C1866" s="51" t="str">
        <f t="shared" si="289"/>
        <v/>
      </c>
      <c r="D1866" s="27"/>
      <c r="E1866" s="26"/>
      <c r="F1866" s="26"/>
      <c r="G1866" s="26"/>
      <c r="H1866" s="254"/>
      <c r="I1866" s="49"/>
      <c r="J1866" s="49"/>
      <c r="K1866" s="52" t="str">
        <f t="shared" si="281"/>
        <v/>
      </c>
      <c r="L1866" s="209" t="str">
        <f t="shared" si="282"/>
        <v/>
      </c>
      <c r="M1866" s="210" t="str">
        <f t="shared" si="283"/>
        <v/>
      </c>
      <c r="N1866" s="26"/>
      <c r="O1866" s="27"/>
      <c r="P1866" s="27"/>
      <c r="Q1866" s="2">
        <f t="shared" si="284"/>
        <v>0</v>
      </c>
      <c r="S1866" s="7">
        <f t="shared" si="287"/>
        <v>0</v>
      </c>
      <c r="T1866" s="157">
        <f t="shared" si="288"/>
        <v>0</v>
      </c>
      <c r="V1866" s="191">
        <f t="shared" si="285"/>
        <v>1</v>
      </c>
      <c r="W1866" s="7">
        <f t="shared" si="286"/>
        <v>1900</v>
      </c>
    </row>
    <row r="1867" spans="2:23" ht="31.95" customHeight="1" thickBot="1" x14ac:dyDescent="0.35">
      <c r="B1867" s="26"/>
      <c r="C1867" s="51" t="str">
        <f t="shared" si="289"/>
        <v/>
      </c>
      <c r="D1867" s="27"/>
      <c r="E1867" s="26"/>
      <c r="F1867" s="26"/>
      <c r="G1867" s="26"/>
      <c r="H1867" s="254"/>
      <c r="I1867" s="49"/>
      <c r="J1867" s="49"/>
      <c r="K1867" s="52" t="str">
        <f t="shared" si="281"/>
        <v/>
      </c>
      <c r="L1867" s="209" t="str">
        <f t="shared" si="282"/>
        <v/>
      </c>
      <c r="M1867" s="210" t="str">
        <f t="shared" si="283"/>
        <v/>
      </c>
      <c r="N1867" s="26"/>
      <c r="O1867" s="27"/>
      <c r="P1867" s="27"/>
      <c r="Q1867" s="2">
        <f t="shared" si="284"/>
        <v>0</v>
      </c>
      <c r="S1867" s="7">
        <f t="shared" si="287"/>
        <v>0</v>
      </c>
      <c r="T1867" s="157">
        <f t="shared" si="288"/>
        <v>0</v>
      </c>
      <c r="V1867" s="191">
        <f t="shared" si="285"/>
        <v>1</v>
      </c>
      <c r="W1867" s="7">
        <f t="shared" si="286"/>
        <v>1900</v>
      </c>
    </row>
    <row r="1868" spans="2:23" ht="31.95" customHeight="1" thickBot="1" x14ac:dyDescent="0.35">
      <c r="B1868" s="26"/>
      <c r="C1868" s="51" t="str">
        <f t="shared" si="289"/>
        <v/>
      </c>
      <c r="D1868" s="27"/>
      <c r="E1868" s="26"/>
      <c r="F1868" s="26"/>
      <c r="G1868" s="26"/>
      <c r="H1868" s="254"/>
      <c r="I1868" s="49"/>
      <c r="J1868" s="49"/>
      <c r="K1868" s="52" t="str">
        <f t="shared" si="281"/>
        <v/>
      </c>
      <c r="L1868" s="209" t="str">
        <f t="shared" si="282"/>
        <v/>
      </c>
      <c r="M1868" s="210" t="str">
        <f t="shared" si="283"/>
        <v/>
      </c>
      <c r="N1868" s="26"/>
      <c r="O1868" s="27"/>
      <c r="P1868" s="27"/>
      <c r="Q1868" s="2">
        <f t="shared" si="284"/>
        <v>0</v>
      </c>
      <c r="S1868" s="7">
        <f t="shared" si="287"/>
        <v>0</v>
      </c>
      <c r="T1868" s="157">
        <f t="shared" si="288"/>
        <v>0</v>
      </c>
      <c r="V1868" s="191">
        <f t="shared" si="285"/>
        <v>1</v>
      </c>
      <c r="W1868" s="7">
        <f t="shared" si="286"/>
        <v>1900</v>
      </c>
    </row>
    <row r="1869" spans="2:23" ht="31.95" customHeight="1" thickBot="1" x14ac:dyDescent="0.35">
      <c r="B1869" s="26"/>
      <c r="C1869" s="51" t="str">
        <f t="shared" si="289"/>
        <v/>
      </c>
      <c r="D1869" s="27"/>
      <c r="E1869" s="26"/>
      <c r="F1869" s="26"/>
      <c r="G1869" s="26"/>
      <c r="H1869" s="254"/>
      <c r="I1869" s="49"/>
      <c r="J1869" s="49"/>
      <c r="K1869" s="52" t="str">
        <f t="shared" si="281"/>
        <v/>
      </c>
      <c r="L1869" s="209" t="str">
        <f t="shared" si="282"/>
        <v/>
      </c>
      <c r="M1869" s="210" t="str">
        <f t="shared" si="283"/>
        <v/>
      </c>
      <c r="N1869" s="26"/>
      <c r="O1869" s="27"/>
      <c r="P1869" s="27"/>
      <c r="Q1869" s="2">
        <f t="shared" si="284"/>
        <v>0</v>
      </c>
      <c r="S1869" s="7">
        <f t="shared" si="287"/>
        <v>0</v>
      </c>
      <c r="T1869" s="157">
        <f t="shared" si="288"/>
        <v>0</v>
      </c>
      <c r="V1869" s="191">
        <f t="shared" si="285"/>
        <v>1</v>
      </c>
      <c r="W1869" s="7">
        <f t="shared" si="286"/>
        <v>1900</v>
      </c>
    </row>
    <row r="1870" spans="2:23" ht="31.95" customHeight="1" thickBot="1" x14ac:dyDescent="0.35">
      <c r="B1870" s="26"/>
      <c r="C1870" s="51" t="str">
        <f t="shared" si="289"/>
        <v/>
      </c>
      <c r="D1870" s="27"/>
      <c r="E1870" s="26"/>
      <c r="F1870" s="26"/>
      <c r="G1870" s="26"/>
      <c r="H1870" s="254"/>
      <c r="I1870" s="49"/>
      <c r="J1870" s="49"/>
      <c r="K1870" s="52" t="str">
        <f t="shared" si="281"/>
        <v/>
      </c>
      <c r="L1870" s="209" t="str">
        <f t="shared" si="282"/>
        <v/>
      </c>
      <c r="M1870" s="210" t="str">
        <f t="shared" si="283"/>
        <v/>
      </c>
      <c r="N1870" s="26"/>
      <c r="O1870" s="27"/>
      <c r="P1870" s="27"/>
      <c r="Q1870" s="2">
        <f t="shared" si="284"/>
        <v>0</v>
      </c>
      <c r="S1870" s="7">
        <f t="shared" si="287"/>
        <v>0</v>
      </c>
      <c r="T1870" s="157">
        <f t="shared" si="288"/>
        <v>0</v>
      </c>
      <c r="V1870" s="191">
        <f t="shared" si="285"/>
        <v>1</v>
      </c>
      <c r="W1870" s="7">
        <f t="shared" si="286"/>
        <v>1900</v>
      </c>
    </row>
    <row r="1871" spans="2:23" ht="31.95" customHeight="1" thickBot="1" x14ac:dyDescent="0.35">
      <c r="B1871" s="26"/>
      <c r="C1871" s="51" t="str">
        <f t="shared" si="289"/>
        <v/>
      </c>
      <c r="D1871" s="27"/>
      <c r="E1871" s="26"/>
      <c r="F1871" s="26"/>
      <c r="G1871" s="26"/>
      <c r="H1871" s="254"/>
      <c r="I1871" s="49"/>
      <c r="J1871" s="49"/>
      <c r="K1871" s="52" t="str">
        <f t="shared" si="281"/>
        <v/>
      </c>
      <c r="L1871" s="209" t="str">
        <f t="shared" si="282"/>
        <v/>
      </c>
      <c r="M1871" s="210" t="str">
        <f t="shared" si="283"/>
        <v/>
      </c>
      <c r="N1871" s="26"/>
      <c r="O1871" s="27"/>
      <c r="P1871" s="27"/>
      <c r="Q1871" s="2">
        <f t="shared" si="284"/>
        <v>0</v>
      </c>
      <c r="S1871" s="7">
        <f t="shared" si="287"/>
        <v>0</v>
      </c>
      <c r="T1871" s="157">
        <f t="shared" si="288"/>
        <v>0</v>
      </c>
      <c r="V1871" s="191">
        <f t="shared" si="285"/>
        <v>1</v>
      </c>
      <c r="W1871" s="7">
        <f t="shared" si="286"/>
        <v>1900</v>
      </c>
    </row>
    <row r="1872" spans="2:23" ht="31.95" customHeight="1" thickBot="1" x14ac:dyDescent="0.35">
      <c r="B1872" s="26"/>
      <c r="C1872" s="51" t="str">
        <f t="shared" si="289"/>
        <v/>
      </c>
      <c r="D1872" s="27"/>
      <c r="E1872" s="26"/>
      <c r="F1872" s="26"/>
      <c r="G1872" s="26"/>
      <c r="H1872" s="254"/>
      <c r="I1872" s="49"/>
      <c r="J1872" s="49"/>
      <c r="K1872" s="52" t="str">
        <f t="shared" si="281"/>
        <v/>
      </c>
      <c r="L1872" s="209" t="str">
        <f t="shared" si="282"/>
        <v/>
      </c>
      <c r="M1872" s="210" t="str">
        <f t="shared" si="283"/>
        <v/>
      </c>
      <c r="N1872" s="26"/>
      <c r="O1872" s="27"/>
      <c r="P1872" s="27"/>
      <c r="Q1872" s="2">
        <f t="shared" si="284"/>
        <v>0</v>
      </c>
      <c r="S1872" s="7">
        <f t="shared" si="287"/>
        <v>0</v>
      </c>
      <c r="T1872" s="157">
        <f t="shared" si="288"/>
        <v>0</v>
      </c>
      <c r="V1872" s="191">
        <f t="shared" si="285"/>
        <v>1</v>
      </c>
      <c r="W1872" s="7">
        <f t="shared" si="286"/>
        <v>1900</v>
      </c>
    </row>
    <row r="1873" spans="2:23" ht="31.95" customHeight="1" thickBot="1" x14ac:dyDescent="0.35">
      <c r="B1873" s="26"/>
      <c r="C1873" s="51" t="str">
        <f t="shared" si="289"/>
        <v/>
      </c>
      <c r="D1873" s="27"/>
      <c r="E1873" s="26"/>
      <c r="F1873" s="26"/>
      <c r="G1873" s="26"/>
      <c r="H1873" s="254"/>
      <c r="I1873" s="49"/>
      <c r="J1873" s="49"/>
      <c r="K1873" s="52" t="str">
        <f t="shared" si="281"/>
        <v/>
      </c>
      <c r="L1873" s="209" t="str">
        <f t="shared" si="282"/>
        <v/>
      </c>
      <c r="M1873" s="210" t="str">
        <f t="shared" si="283"/>
        <v/>
      </c>
      <c r="N1873" s="26"/>
      <c r="O1873" s="27"/>
      <c r="P1873" s="27"/>
      <c r="Q1873" s="2">
        <f t="shared" si="284"/>
        <v>0</v>
      </c>
      <c r="S1873" s="7">
        <f t="shared" si="287"/>
        <v>0</v>
      </c>
      <c r="T1873" s="157">
        <f t="shared" si="288"/>
        <v>0</v>
      </c>
      <c r="V1873" s="191">
        <f t="shared" si="285"/>
        <v>1</v>
      </c>
      <c r="W1873" s="7">
        <f t="shared" si="286"/>
        <v>1900</v>
      </c>
    </row>
    <row r="1874" spans="2:23" ht="31.95" customHeight="1" thickBot="1" x14ac:dyDescent="0.35">
      <c r="B1874" s="26"/>
      <c r="C1874" s="51" t="str">
        <f t="shared" si="289"/>
        <v/>
      </c>
      <c r="D1874" s="27"/>
      <c r="E1874" s="26"/>
      <c r="F1874" s="26"/>
      <c r="G1874" s="26"/>
      <c r="H1874" s="254"/>
      <c r="I1874" s="49"/>
      <c r="J1874" s="49"/>
      <c r="K1874" s="52" t="str">
        <f t="shared" si="281"/>
        <v/>
      </c>
      <c r="L1874" s="209" t="str">
        <f t="shared" si="282"/>
        <v/>
      </c>
      <c r="M1874" s="210" t="str">
        <f t="shared" si="283"/>
        <v/>
      </c>
      <c r="N1874" s="26"/>
      <c r="O1874" s="27"/>
      <c r="P1874" s="27"/>
      <c r="Q1874" s="2">
        <f t="shared" si="284"/>
        <v>0</v>
      </c>
      <c r="S1874" s="7">
        <f t="shared" si="287"/>
        <v>0</v>
      </c>
      <c r="T1874" s="157">
        <f t="shared" si="288"/>
        <v>0</v>
      </c>
      <c r="V1874" s="191">
        <f t="shared" si="285"/>
        <v>1</v>
      </c>
      <c r="W1874" s="7">
        <f t="shared" si="286"/>
        <v>1900</v>
      </c>
    </row>
    <row r="1875" spans="2:23" ht="31.95" customHeight="1" thickBot="1" x14ac:dyDescent="0.35">
      <c r="B1875" s="26"/>
      <c r="C1875" s="51" t="str">
        <f t="shared" si="289"/>
        <v/>
      </c>
      <c r="D1875" s="27"/>
      <c r="E1875" s="26"/>
      <c r="F1875" s="26"/>
      <c r="G1875" s="26"/>
      <c r="H1875" s="254"/>
      <c r="I1875" s="49"/>
      <c r="J1875" s="49"/>
      <c r="K1875" s="52" t="str">
        <f t="shared" si="281"/>
        <v/>
      </c>
      <c r="L1875" s="209" t="str">
        <f t="shared" si="282"/>
        <v/>
      </c>
      <c r="M1875" s="210" t="str">
        <f t="shared" si="283"/>
        <v/>
      </c>
      <c r="N1875" s="26"/>
      <c r="O1875" s="27"/>
      <c r="P1875" s="27"/>
      <c r="Q1875" s="2">
        <f t="shared" si="284"/>
        <v>0</v>
      </c>
      <c r="S1875" s="7">
        <f t="shared" si="287"/>
        <v>0</v>
      </c>
      <c r="T1875" s="157">
        <f t="shared" si="288"/>
        <v>0</v>
      </c>
      <c r="V1875" s="191">
        <f t="shared" si="285"/>
        <v>1</v>
      </c>
      <c r="W1875" s="7">
        <f t="shared" si="286"/>
        <v>1900</v>
      </c>
    </row>
    <row r="1876" spans="2:23" ht="31.95" customHeight="1" thickBot="1" x14ac:dyDescent="0.35">
      <c r="B1876" s="26"/>
      <c r="C1876" s="51" t="str">
        <f t="shared" si="289"/>
        <v/>
      </c>
      <c r="D1876" s="27"/>
      <c r="E1876" s="26"/>
      <c r="F1876" s="26"/>
      <c r="G1876" s="26"/>
      <c r="H1876" s="254"/>
      <c r="I1876" s="49"/>
      <c r="J1876" s="49"/>
      <c r="K1876" s="52" t="str">
        <f t="shared" si="281"/>
        <v/>
      </c>
      <c r="L1876" s="209" t="str">
        <f t="shared" si="282"/>
        <v/>
      </c>
      <c r="M1876" s="210" t="str">
        <f t="shared" si="283"/>
        <v/>
      </c>
      <c r="N1876" s="26"/>
      <c r="O1876" s="27"/>
      <c r="P1876" s="27"/>
      <c r="Q1876" s="2">
        <f t="shared" si="284"/>
        <v>0</v>
      </c>
      <c r="S1876" s="7">
        <f t="shared" si="287"/>
        <v>0</v>
      </c>
      <c r="T1876" s="157">
        <f t="shared" si="288"/>
        <v>0</v>
      </c>
      <c r="V1876" s="191">
        <f t="shared" si="285"/>
        <v>1</v>
      </c>
      <c r="W1876" s="7">
        <f t="shared" si="286"/>
        <v>1900</v>
      </c>
    </row>
    <row r="1877" spans="2:23" ht="31.95" customHeight="1" thickBot="1" x14ac:dyDescent="0.35">
      <c r="B1877" s="26"/>
      <c r="C1877" s="51" t="str">
        <f t="shared" si="289"/>
        <v/>
      </c>
      <c r="D1877" s="27"/>
      <c r="E1877" s="26"/>
      <c r="F1877" s="26"/>
      <c r="G1877" s="26"/>
      <c r="H1877" s="254"/>
      <c r="I1877" s="49"/>
      <c r="J1877" s="49"/>
      <c r="K1877" s="52" t="str">
        <f t="shared" si="281"/>
        <v/>
      </c>
      <c r="L1877" s="209" t="str">
        <f t="shared" si="282"/>
        <v/>
      </c>
      <c r="M1877" s="210" t="str">
        <f t="shared" si="283"/>
        <v/>
      </c>
      <c r="N1877" s="26"/>
      <c r="O1877" s="27"/>
      <c r="P1877" s="27"/>
      <c r="Q1877" s="2">
        <f t="shared" si="284"/>
        <v>0</v>
      </c>
      <c r="S1877" s="7">
        <f t="shared" si="287"/>
        <v>0</v>
      </c>
      <c r="T1877" s="157">
        <f t="shared" si="288"/>
        <v>0</v>
      </c>
      <c r="V1877" s="191">
        <f t="shared" si="285"/>
        <v>1</v>
      </c>
      <c r="W1877" s="7">
        <f t="shared" si="286"/>
        <v>1900</v>
      </c>
    </row>
    <row r="1878" spans="2:23" ht="31.95" customHeight="1" thickBot="1" x14ac:dyDescent="0.35">
      <c r="B1878" s="26"/>
      <c r="C1878" s="51" t="str">
        <f t="shared" si="289"/>
        <v/>
      </c>
      <c r="D1878" s="27"/>
      <c r="E1878" s="26"/>
      <c r="F1878" s="26"/>
      <c r="G1878" s="26"/>
      <c r="H1878" s="254"/>
      <c r="I1878" s="49"/>
      <c r="J1878" s="49"/>
      <c r="K1878" s="52" t="str">
        <f t="shared" si="281"/>
        <v/>
      </c>
      <c r="L1878" s="209" t="str">
        <f t="shared" si="282"/>
        <v/>
      </c>
      <c r="M1878" s="210" t="str">
        <f t="shared" si="283"/>
        <v/>
      </c>
      <c r="N1878" s="26"/>
      <c r="O1878" s="27"/>
      <c r="P1878" s="27"/>
      <c r="Q1878" s="2">
        <f t="shared" si="284"/>
        <v>0</v>
      </c>
      <c r="S1878" s="7">
        <f t="shared" si="287"/>
        <v>0</v>
      </c>
      <c r="T1878" s="157">
        <f t="shared" si="288"/>
        <v>0</v>
      </c>
      <c r="V1878" s="191">
        <f t="shared" si="285"/>
        <v>1</v>
      </c>
      <c r="W1878" s="7">
        <f t="shared" si="286"/>
        <v>1900</v>
      </c>
    </row>
    <row r="1879" spans="2:23" ht="31.95" customHeight="1" thickBot="1" x14ac:dyDescent="0.35">
      <c r="B1879" s="26"/>
      <c r="C1879" s="51" t="str">
        <f t="shared" si="289"/>
        <v/>
      </c>
      <c r="D1879" s="27"/>
      <c r="E1879" s="26"/>
      <c r="F1879" s="26"/>
      <c r="G1879" s="26"/>
      <c r="H1879" s="254"/>
      <c r="I1879" s="49"/>
      <c r="J1879" s="49"/>
      <c r="K1879" s="52" t="str">
        <f t="shared" si="281"/>
        <v/>
      </c>
      <c r="L1879" s="209" t="str">
        <f t="shared" si="282"/>
        <v/>
      </c>
      <c r="M1879" s="210" t="str">
        <f t="shared" si="283"/>
        <v/>
      </c>
      <c r="N1879" s="26"/>
      <c r="O1879" s="27"/>
      <c r="P1879" s="27"/>
      <c r="Q1879" s="2">
        <f t="shared" si="284"/>
        <v>0</v>
      </c>
      <c r="S1879" s="7">
        <f t="shared" si="287"/>
        <v>0</v>
      </c>
      <c r="T1879" s="157">
        <f t="shared" si="288"/>
        <v>0</v>
      </c>
      <c r="V1879" s="191">
        <f t="shared" si="285"/>
        <v>1</v>
      </c>
      <c r="W1879" s="7">
        <f t="shared" si="286"/>
        <v>1900</v>
      </c>
    </row>
    <row r="1880" spans="2:23" ht="31.95" customHeight="1" thickBot="1" x14ac:dyDescent="0.35">
      <c r="B1880" s="26"/>
      <c r="C1880" s="51" t="str">
        <f t="shared" si="289"/>
        <v/>
      </c>
      <c r="D1880" s="27"/>
      <c r="E1880" s="26"/>
      <c r="F1880" s="26"/>
      <c r="G1880" s="26"/>
      <c r="H1880" s="254"/>
      <c r="I1880" s="49"/>
      <c r="J1880" s="49"/>
      <c r="K1880" s="52" t="str">
        <f t="shared" si="281"/>
        <v/>
      </c>
      <c r="L1880" s="209" t="str">
        <f t="shared" si="282"/>
        <v/>
      </c>
      <c r="M1880" s="210" t="str">
        <f t="shared" si="283"/>
        <v/>
      </c>
      <c r="N1880" s="26"/>
      <c r="O1880" s="27"/>
      <c r="P1880" s="27"/>
      <c r="Q1880" s="2">
        <f t="shared" si="284"/>
        <v>0</v>
      </c>
      <c r="S1880" s="7">
        <f t="shared" si="287"/>
        <v>0</v>
      </c>
      <c r="T1880" s="157">
        <f t="shared" si="288"/>
        <v>0</v>
      </c>
      <c r="V1880" s="191">
        <f t="shared" si="285"/>
        <v>1</v>
      </c>
      <c r="W1880" s="7">
        <f t="shared" si="286"/>
        <v>1900</v>
      </c>
    </row>
    <row r="1881" spans="2:23" ht="31.95" customHeight="1" thickBot="1" x14ac:dyDescent="0.35">
      <c r="B1881" s="26"/>
      <c r="C1881" s="51" t="str">
        <f t="shared" si="289"/>
        <v/>
      </c>
      <c r="D1881" s="27"/>
      <c r="E1881" s="26"/>
      <c r="F1881" s="26"/>
      <c r="G1881" s="26"/>
      <c r="H1881" s="254"/>
      <c r="I1881" s="49"/>
      <c r="J1881" s="49"/>
      <c r="K1881" s="52" t="str">
        <f t="shared" si="281"/>
        <v/>
      </c>
      <c r="L1881" s="209" t="str">
        <f t="shared" si="282"/>
        <v/>
      </c>
      <c r="M1881" s="210" t="str">
        <f t="shared" si="283"/>
        <v/>
      </c>
      <c r="N1881" s="26"/>
      <c r="O1881" s="27"/>
      <c r="P1881" s="27"/>
      <c r="Q1881" s="2">
        <f t="shared" si="284"/>
        <v>0</v>
      </c>
      <c r="S1881" s="7">
        <f t="shared" si="287"/>
        <v>0</v>
      </c>
      <c r="T1881" s="157">
        <f t="shared" si="288"/>
        <v>0</v>
      </c>
      <c r="V1881" s="191">
        <f t="shared" si="285"/>
        <v>1</v>
      </c>
      <c r="W1881" s="7">
        <f t="shared" si="286"/>
        <v>1900</v>
      </c>
    </row>
    <row r="1882" spans="2:23" ht="31.95" customHeight="1" thickBot="1" x14ac:dyDescent="0.35">
      <c r="B1882" s="26"/>
      <c r="C1882" s="51" t="str">
        <f t="shared" si="289"/>
        <v/>
      </c>
      <c r="D1882" s="27"/>
      <c r="E1882" s="26"/>
      <c r="F1882" s="26"/>
      <c r="G1882" s="26"/>
      <c r="H1882" s="254"/>
      <c r="I1882" s="49"/>
      <c r="J1882" s="49"/>
      <c r="K1882" s="52" t="str">
        <f t="shared" si="281"/>
        <v/>
      </c>
      <c r="L1882" s="209" t="str">
        <f t="shared" si="282"/>
        <v/>
      </c>
      <c r="M1882" s="210" t="str">
        <f t="shared" si="283"/>
        <v/>
      </c>
      <c r="N1882" s="26"/>
      <c r="O1882" s="27"/>
      <c r="P1882" s="27"/>
      <c r="Q1882" s="2">
        <f t="shared" si="284"/>
        <v>0</v>
      </c>
      <c r="S1882" s="7">
        <f t="shared" si="287"/>
        <v>0</v>
      </c>
      <c r="T1882" s="157">
        <f t="shared" si="288"/>
        <v>0</v>
      </c>
      <c r="V1882" s="191">
        <f t="shared" si="285"/>
        <v>1</v>
      </c>
      <c r="W1882" s="7">
        <f t="shared" si="286"/>
        <v>1900</v>
      </c>
    </row>
    <row r="1883" spans="2:23" ht="31.95" customHeight="1" thickBot="1" x14ac:dyDescent="0.35">
      <c r="B1883" s="26"/>
      <c r="C1883" s="51" t="str">
        <f t="shared" si="289"/>
        <v/>
      </c>
      <c r="D1883" s="27"/>
      <c r="E1883" s="26"/>
      <c r="F1883" s="26"/>
      <c r="G1883" s="26"/>
      <c r="H1883" s="254"/>
      <c r="I1883" s="49"/>
      <c r="J1883" s="49"/>
      <c r="K1883" s="52" t="str">
        <f t="shared" si="281"/>
        <v/>
      </c>
      <c r="L1883" s="209" t="str">
        <f t="shared" si="282"/>
        <v/>
      </c>
      <c r="M1883" s="210" t="str">
        <f t="shared" si="283"/>
        <v/>
      </c>
      <c r="N1883" s="26"/>
      <c r="O1883" s="27"/>
      <c r="P1883" s="27"/>
      <c r="Q1883" s="2">
        <f t="shared" si="284"/>
        <v>0</v>
      </c>
      <c r="S1883" s="7">
        <f t="shared" si="287"/>
        <v>0</v>
      </c>
      <c r="T1883" s="157">
        <f t="shared" si="288"/>
        <v>0</v>
      </c>
      <c r="V1883" s="191">
        <f t="shared" si="285"/>
        <v>1</v>
      </c>
      <c r="W1883" s="7">
        <f t="shared" si="286"/>
        <v>1900</v>
      </c>
    </row>
    <row r="1884" spans="2:23" ht="31.95" customHeight="1" thickBot="1" x14ac:dyDescent="0.35">
      <c r="B1884" s="26"/>
      <c r="C1884" s="51" t="str">
        <f t="shared" si="289"/>
        <v/>
      </c>
      <c r="D1884" s="27"/>
      <c r="E1884" s="26"/>
      <c r="F1884" s="26"/>
      <c r="G1884" s="26"/>
      <c r="H1884" s="254"/>
      <c r="I1884" s="49"/>
      <c r="J1884" s="49"/>
      <c r="K1884" s="52" t="str">
        <f t="shared" si="281"/>
        <v/>
      </c>
      <c r="L1884" s="209" t="str">
        <f t="shared" si="282"/>
        <v/>
      </c>
      <c r="M1884" s="210" t="str">
        <f t="shared" si="283"/>
        <v/>
      </c>
      <c r="N1884" s="26"/>
      <c r="O1884" s="27"/>
      <c r="P1884" s="27"/>
      <c r="Q1884" s="2">
        <f t="shared" si="284"/>
        <v>0</v>
      </c>
      <c r="S1884" s="7">
        <f t="shared" si="287"/>
        <v>0</v>
      </c>
      <c r="T1884" s="157">
        <f t="shared" si="288"/>
        <v>0</v>
      </c>
      <c r="V1884" s="191">
        <f t="shared" si="285"/>
        <v>1</v>
      </c>
      <c r="W1884" s="7">
        <f t="shared" si="286"/>
        <v>1900</v>
      </c>
    </row>
    <row r="1885" spans="2:23" ht="31.95" customHeight="1" thickBot="1" x14ac:dyDescent="0.35">
      <c r="B1885" s="26"/>
      <c r="C1885" s="51" t="str">
        <f t="shared" si="289"/>
        <v/>
      </c>
      <c r="D1885" s="27"/>
      <c r="E1885" s="26"/>
      <c r="F1885" s="26"/>
      <c r="G1885" s="26"/>
      <c r="H1885" s="254"/>
      <c r="I1885" s="49"/>
      <c r="J1885" s="49"/>
      <c r="K1885" s="52" t="str">
        <f t="shared" si="281"/>
        <v/>
      </c>
      <c r="L1885" s="209" t="str">
        <f t="shared" si="282"/>
        <v/>
      </c>
      <c r="M1885" s="210" t="str">
        <f t="shared" si="283"/>
        <v/>
      </c>
      <c r="N1885" s="26"/>
      <c r="O1885" s="27"/>
      <c r="P1885" s="27"/>
      <c r="Q1885" s="2">
        <f t="shared" si="284"/>
        <v>0</v>
      </c>
      <c r="S1885" s="7">
        <f t="shared" si="287"/>
        <v>0</v>
      </c>
      <c r="T1885" s="157">
        <f t="shared" si="288"/>
        <v>0</v>
      </c>
      <c r="V1885" s="191">
        <f t="shared" si="285"/>
        <v>1</v>
      </c>
      <c r="W1885" s="7">
        <f t="shared" si="286"/>
        <v>1900</v>
      </c>
    </row>
    <row r="1886" spans="2:23" ht="31.95" customHeight="1" thickBot="1" x14ac:dyDescent="0.35">
      <c r="B1886" s="26"/>
      <c r="C1886" s="51" t="str">
        <f t="shared" si="289"/>
        <v/>
      </c>
      <c r="D1886" s="27"/>
      <c r="E1886" s="26"/>
      <c r="F1886" s="26"/>
      <c r="G1886" s="26"/>
      <c r="H1886" s="254"/>
      <c r="I1886" s="49"/>
      <c r="J1886" s="49"/>
      <c r="K1886" s="52" t="str">
        <f t="shared" si="281"/>
        <v/>
      </c>
      <c r="L1886" s="209" t="str">
        <f t="shared" si="282"/>
        <v/>
      </c>
      <c r="M1886" s="210" t="str">
        <f t="shared" si="283"/>
        <v/>
      </c>
      <c r="N1886" s="26"/>
      <c r="O1886" s="27"/>
      <c r="P1886" s="27"/>
      <c r="Q1886" s="2">
        <f t="shared" si="284"/>
        <v>0</v>
      </c>
      <c r="S1886" s="7">
        <f t="shared" si="287"/>
        <v>0</v>
      </c>
      <c r="T1886" s="157">
        <f t="shared" si="288"/>
        <v>0</v>
      </c>
      <c r="V1886" s="191">
        <f t="shared" si="285"/>
        <v>1</v>
      </c>
      <c r="W1886" s="7">
        <f t="shared" si="286"/>
        <v>1900</v>
      </c>
    </row>
    <row r="1887" spans="2:23" ht="31.95" customHeight="1" thickBot="1" x14ac:dyDescent="0.35">
      <c r="B1887" s="26"/>
      <c r="C1887" s="51" t="str">
        <f t="shared" si="289"/>
        <v/>
      </c>
      <c r="D1887" s="27"/>
      <c r="E1887" s="26"/>
      <c r="F1887" s="26"/>
      <c r="G1887" s="26"/>
      <c r="H1887" s="254"/>
      <c r="I1887" s="49"/>
      <c r="J1887" s="49"/>
      <c r="K1887" s="52" t="str">
        <f t="shared" si="281"/>
        <v/>
      </c>
      <c r="L1887" s="209" t="str">
        <f t="shared" si="282"/>
        <v/>
      </c>
      <c r="M1887" s="210" t="str">
        <f t="shared" si="283"/>
        <v/>
      </c>
      <c r="N1887" s="26"/>
      <c r="O1887" s="27"/>
      <c r="P1887" s="27"/>
      <c r="Q1887" s="2">
        <f t="shared" si="284"/>
        <v>0</v>
      </c>
      <c r="S1887" s="7">
        <f t="shared" si="287"/>
        <v>0</v>
      </c>
      <c r="T1887" s="157">
        <f t="shared" si="288"/>
        <v>0</v>
      </c>
      <c r="V1887" s="191">
        <f t="shared" si="285"/>
        <v>1</v>
      </c>
      <c r="W1887" s="7">
        <f t="shared" si="286"/>
        <v>1900</v>
      </c>
    </row>
    <row r="1888" spans="2:23" ht="31.95" customHeight="1" thickBot="1" x14ac:dyDescent="0.35">
      <c r="B1888" s="26"/>
      <c r="C1888" s="51" t="str">
        <f t="shared" si="289"/>
        <v/>
      </c>
      <c r="D1888" s="27"/>
      <c r="E1888" s="26"/>
      <c r="F1888" s="26"/>
      <c r="G1888" s="26"/>
      <c r="H1888" s="254"/>
      <c r="I1888" s="49"/>
      <c r="J1888" s="49"/>
      <c r="K1888" s="52" t="str">
        <f t="shared" si="281"/>
        <v/>
      </c>
      <c r="L1888" s="209" t="str">
        <f t="shared" si="282"/>
        <v/>
      </c>
      <c r="M1888" s="210" t="str">
        <f t="shared" si="283"/>
        <v/>
      </c>
      <c r="N1888" s="26"/>
      <c r="O1888" s="27"/>
      <c r="P1888" s="27"/>
      <c r="Q1888" s="2">
        <f t="shared" si="284"/>
        <v>0</v>
      </c>
      <c r="S1888" s="7">
        <f t="shared" si="287"/>
        <v>0</v>
      </c>
      <c r="T1888" s="157">
        <f t="shared" si="288"/>
        <v>0</v>
      </c>
      <c r="V1888" s="191">
        <f t="shared" si="285"/>
        <v>1</v>
      </c>
      <c r="W1888" s="7">
        <f t="shared" si="286"/>
        <v>1900</v>
      </c>
    </row>
    <row r="1889" spans="2:23" ht="31.95" customHeight="1" thickBot="1" x14ac:dyDescent="0.35">
      <c r="B1889" s="26"/>
      <c r="C1889" s="51" t="str">
        <f t="shared" si="289"/>
        <v/>
      </c>
      <c r="D1889" s="27"/>
      <c r="E1889" s="26"/>
      <c r="F1889" s="26"/>
      <c r="G1889" s="26"/>
      <c r="H1889" s="254"/>
      <c r="I1889" s="49"/>
      <c r="J1889" s="49"/>
      <c r="K1889" s="52" t="str">
        <f t="shared" si="281"/>
        <v/>
      </c>
      <c r="L1889" s="209" t="str">
        <f t="shared" si="282"/>
        <v/>
      </c>
      <c r="M1889" s="210" t="str">
        <f t="shared" si="283"/>
        <v/>
      </c>
      <c r="N1889" s="26"/>
      <c r="O1889" s="27"/>
      <c r="P1889" s="27"/>
      <c r="Q1889" s="2">
        <f t="shared" si="284"/>
        <v>0</v>
      </c>
      <c r="S1889" s="7">
        <f t="shared" si="287"/>
        <v>0</v>
      </c>
      <c r="T1889" s="157">
        <f t="shared" si="288"/>
        <v>0</v>
      </c>
      <c r="V1889" s="191">
        <f t="shared" si="285"/>
        <v>1</v>
      </c>
      <c r="W1889" s="7">
        <f t="shared" si="286"/>
        <v>1900</v>
      </c>
    </row>
    <row r="1890" spans="2:23" ht="31.95" customHeight="1" thickBot="1" x14ac:dyDescent="0.35">
      <c r="B1890" s="26"/>
      <c r="C1890" s="51" t="str">
        <f t="shared" si="289"/>
        <v/>
      </c>
      <c r="D1890" s="27"/>
      <c r="E1890" s="26"/>
      <c r="F1890" s="26"/>
      <c r="G1890" s="26"/>
      <c r="H1890" s="254"/>
      <c r="I1890" s="49"/>
      <c r="J1890" s="49"/>
      <c r="K1890" s="52" t="str">
        <f t="shared" si="281"/>
        <v/>
      </c>
      <c r="L1890" s="209" t="str">
        <f t="shared" si="282"/>
        <v/>
      </c>
      <c r="M1890" s="210" t="str">
        <f t="shared" si="283"/>
        <v/>
      </c>
      <c r="N1890" s="26"/>
      <c r="O1890" s="27"/>
      <c r="P1890" s="27"/>
      <c r="Q1890" s="2">
        <f t="shared" si="284"/>
        <v>0</v>
      </c>
      <c r="S1890" s="7">
        <f t="shared" si="287"/>
        <v>0</v>
      </c>
      <c r="T1890" s="157">
        <f t="shared" si="288"/>
        <v>0</v>
      </c>
      <c r="V1890" s="191">
        <f t="shared" si="285"/>
        <v>1</v>
      </c>
      <c r="W1890" s="7">
        <f t="shared" si="286"/>
        <v>1900</v>
      </c>
    </row>
    <row r="1891" spans="2:23" ht="31.95" customHeight="1" thickBot="1" x14ac:dyDescent="0.35">
      <c r="B1891" s="26"/>
      <c r="C1891" s="51" t="str">
        <f t="shared" si="289"/>
        <v/>
      </c>
      <c r="D1891" s="27"/>
      <c r="E1891" s="26"/>
      <c r="F1891" s="26"/>
      <c r="G1891" s="26"/>
      <c r="H1891" s="254"/>
      <c r="I1891" s="49"/>
      <c r="J1891" s="49"/>
      <c r="K1891" s="52" t="str">
        <f t="shared" si="281"/>
        <v/>
      </c>
      <c r="L1891" s="209" t="str">
        <f t="shared" si="282"/>
        <v/>
      </c>
      <c r="M1891" s="210" t="str">
        <f t="shared" si="283"/>
        <v/>
      </c>
      <c r="N1891" s="26"/>
      <c r="O1891" s="27"/>
      <c r="P1891" s="27"/>
      <c r="Q1891" s="2">
        <f t="shared" si="284"/>
        <v>0</v>
      </c>
      <c r="S1891" s="7">
        <f t="shared" si="287"/>
        <v>0</v>
      </c>
      <c r="T1891" s="157">
        <f t="shared" si="288"/>
        <v>0</v>
      </c>
      <c r="V1891" s="191">
        <f t="shared" si="285"/>
        <v>1</v>
      </c>
      <c r="W1891" s="7">
        <f t="shared" si="286"/>
        <v>1900</v>
      </c>
    </row>
    <row r="1892" spans="2:23" ht="31.95" customHeight="1" thickBot="1" x14ac:dyDescent="0.35">
      <c r="B1892" s="26"/>
      <c r="C1892" s="51" t="str">
        <f t="shared" si="289"/>
        <v/>
      </c>
      <c r="D1892" s="27"/>
      <c r="E1892" s="26"/>
      <c r="F1892" s="26"/>
      <c r="G1892" s="26"/>
      <c r="H1892" s="254"/>
      <c r="I1892" s="49"/>
      <c r="J1892" s="49"/>
      <c r="K1892" s="52" t="str">
        <f t="shared" si="281"/>
        <v/>
      </c>
      <c r="L1892" s="209" t="str">
        <f t="shared" si="282"/>
        <v/>
      </c>
      <c r="M1892" s="210" t="str">
        <f t="shared" si="283"/>
        <v/>
      </c>
      <c r="N1892" s="26"/>
      <c r="O1892" s="27"/>
      <c r="P1892" s="27"/>
      <c r="Q1892" s="2">
        <f t="shared" si="284"/>
        <v>0</v>
      </c>
      <c r="S1892" s="7">
        <f t="shared" si="287"/>
        <v>0</v>
      </c>
      <c r="T1892" s="157">
        <f t="shared" si="288"/>
        <v>0</v>
      </c>
      <c r="V1892" s="191">
        <f t="shared" si="285"/>
        <v>1</v>
      </c>
      <c r="W1892" s="7">
        <f t="shared" si="286"/>
        <v>1900</v>
      </c>
    </row>
    <row r="1893" spans="2:23" ht="31.95" customHeight="1" thickBot="1" x14ac:dyDescent="0.35">
      <c r="B1893" s="26"/>
      <c r="C1893" s="51" t="str">
        <f t="shared" si="289"/>
        <v/>
      </c>
      <c r="D1893" s="27"/>
      <c r="E1893" s="26"/>
      <c r="F1893" s="26"/>
      <c r="G1893" s="26"/>
      <c r="H1893" s="254"/>
      <c r="I1893" s="49"/>
      <c r="J1893" s="49"/>
      <c r="K1893" s="52" t="str">
        <f t="shared" si="281"/>
        <v/>
      </c>
      <c r="L1893" s="209" t="str">
        <f t="shared" si="282"/>
        <v/>
      </c>
      <c r="M1893" s="210" t="str">
        <f t="shared" si="283"/>
        <v/>
      </c>
      <c r="N1893" s="26"/>
      <c r="O1893" s="27"/>
      <c r="P1893" s="27"/>
      <c r="Q1893" s="2">
        <f t="shared" si="284"/>
        <v>0</v>
      </c>
      <c r="S1893" s="7">
        <f t="shared" si="287"/>
        <v>0</v>
      </c>
      <c r="T1893" s="157">
        <f t="shared" si="288"/>
        <v>0</v>
      </c>
      <c r="V1893" s="191">
        <f t="shared" si="285"/>
        <v>1</v>
      </c>
      <c r="W1893" s="7">
        <f t="shared" si="286"/>
        <v>1900</v>
      </c>
    </row>
    <row r="1894" spans="2:23" ht="31.95" customHeight="1" thickBot="1" x14ac:dyDescent="0.35">
      <c r="B1894" s="26"/>
      <c r="C1894" s="51" t="str">
        <f t="shared" si="289"/>
        <v/>
      </c>
      <c r="D1894" s="27"/>
      <c r="E1894" s="26"/>
      <c r="F1894" s="26"/>
      <c r="G1894" s="26"/>
      <c r="H1894" s="254"/>
      <c r="I1894" s="49"/>
      <c r="J1894" s="49"/>
      <c r="K1894" s="52" t="str">
        <f t="shared" si="281"/>
        <v/>
      </c>
      <c r="L1894" s="209" t="str">
        <f t="shared" si="282"/>
        <v/>
      </c>
      <c r="M1894" s="210" t="str">
        <f t="shared" si="283"/>
        <v/>
      </c>
      <c r="N1894" s="26"/>
      <c r="O1894" s="27"/>
      <c r="P1894" s="27"/>
      <c r="Q1894" s="2">
        <f t="shared" si="284"/>
        <v>0</v>
      </c>
      <c r="S1894" s="7">
        <f t="shared" si="287"/>
        <v>0</v>
      </c>
      <c r="T1894" s="157">
        <f t="shared" si="288"/>
        <v>0</v>
      </c>
      <c r="V1894" s="191">
        <f t="shared" si="285"/>
        <v>1</v>
      </c>
      <c r="W1894" s="7">
        <f t="shared" si="286"/>
        <v>1900</v>
      </c>
    </row>
    <row r="1895" spans="2:23" ht="31.95" customHeight="1" thickBot="1" x14ac:dyDescent="0.35">
      <c r="B1895" s="26"/>
      <c r="C1895" s="51" t="str">
        <f t="shared" si="289"/>
        <v/>
      </c>
      <c r="D1895" s="27"/>
      <c r="E1895" s="26"/>
      <c r="F1895" s="26"/>
      <c r="G1895" s="26"/>
      <c r="H1895" s="254"/>
      <c r="I1895" s="49"/>
      <c r="J1895" s="49"/>
      <c r="K1895" s="52" t="str">
        <f t="shared" si="281"/>
        <v/>
      </c>
      <c r="L1895" s="209" t="str">
        <f t="shared" si="282"/>
        <v/>
      </c>
      <c r="M1895" s="210" t="str">
        <f t="shared" si="283"/>
        <v/>
      </c>
      <c r="N1895" s="26"/>
      <c r="O1895" s="27"/>
      <c r="P1895" s="27"/>
      <c r="Q1895" s="2">
        <f t="shared" si="284"/>
        <v>0</v>
      </c>
      <c r="S1895" s="7">
        <f t="shared" si="287"/>
        <v>0</v>
      </c>
      <c r="T1895" s="157">
        <f t="shared" si="288"/>
        <v>0</v>
      </c>
      <c r="V1895" s="191">
        <f t="shared" si="285"/>
        <v>1</v>
      </c>
      <c r="W1895" s="7">
        <f t="shared" si="286"/>
        <v>1900</v>
      </c>
    </row>
    <row r="1896" spans="2:23" ht="31.95" customHeight="1" thickBot="1" x14ac:dyDescent="0.35">
      <c r="B1896" s="26"/>
      <c r="C1896" s="51" t="str">
        <f t="shared" si="289"/>
        <v/>
      </c>
      <c r="D1896" s="27"/>
      <c r="E1896" s="26"/>
      <c r="F1896" s="26"/>
      <c r="G1896" s="26"/>
      <c r="H1896" s="254"/>
      <c r="I1896" s="49"/>
      <c r="J1896" s="49"/>
      <c r="K1896" s="52" t="str">
        <f t="shared" si="281"/>
        <v/>
      </c>
      <c r="L1896" s="209" t="str">
        <f t="shared" si="282"/>
        <v/>
      </c>
      <c r="M1896" s="210" t="str">
        <f t="shared" si="283"/>
        <v/>
      </c>
      <c r="N1896" s="26"/>
      <c r="O1896" s="27"/>
      <c r="P1896" s="27"/>
      <c r="Q1896" s="2">
        <f t="shared" si="284"/>
        <v>0</v>
      </c>
      <c r="S1896" s="7">
        <f t="shared" si="287"/>
        <v>0</v>
      </c>
      <c r="T1896" s="157">
        <f t="shared" si="288"/>
        <v>0</v>
      </c>
      <c r="V1896" s="191">
        <f t="shared" si="285"/>
        <v>1</v>
      </c>
      <c r="W1896" s="7">
        <f t="shared" si="286"/>
        <v>1900</v>
      </c>
    </row>
    <row r="1897" spans="2:23" ht="31.95" customHeight="1" thickBot="1" x14ac:dyDescent="0.35">
      <c r="B1897" s="26"/>
      <c r="C1897" s="51" t="str">
        <f t="shared" si="289"/>
        <v/>
      </c>
      <c r="D1897" s="27"/>
      <c r="E1897" s="26"/>
      <c r="F1897" s="26"/>
      <c r="G1897" s="26"/>
      <c r="H1897" s="254"/>
      <c r="I1897" s="49"/>
      <c r="J1897" s="49"/>
      <c r="K1897" s="52" t="str">
        <f t="shared" si="281"/>
        <v/>
      </c>
      <c r="L1897" s="209" t="str">
        <f t="shared" si="282"/>
        <v/>
      </c>
      <c r="M1897" s="210" t="str">
        <f t="shared" si="283"/>
        <v/>
      </c>
      <c r="N1897" s="26"/>
      <c r="O1897" s="27"/>
      <c r="P1897" s="27"/>
      <c r="Q1897" s="2">
        <f t="shared" si="284"/>
        <v>0</v>
      </c>
      <c r="S1897" s="7">
        <f t="shared" si="287"/>
        <v>0</v>
      </c>
      <c r="T1897" s="157">
        <f t="shared" si="288"/>
        <v>0</v>
      </c>
      <c r="V1897" s="191">
        <f t="shared" si="285"/>
        <v>1</v>
      </c>
      <c r="W1897" s="7">
        <f t="shared" si="286"/>
        <v>1900</v>
      </c>
    </row>
    <row r="1898" spans="2:23" ht="31.95" customHeight="1" thickBot="1" x14ac:dyDescent="0.35">
      <c r="B1898" s="26"/>
      <c r="C1898" s="51" t="str">
        <f t="shared" si="289"/>
        <v/>
      </c>
      <c r="D1898" s="27"/>
      <c r="E1898" s="26"/>
      <c r="F1898" s="26"/>
      <c r="G1898" s="26"/>
      <c r="H1898" s="254"/>
      <c r="I1898" s="49"/>
      <c r="J1898" s="49"/>
      <c r="K1898" s="52" t="str">
        <f t="shared" si="281"/>
        <v/>
      </c>
      <c r="L1898" s="209" t="str">
        <f t="shared" si="282"/>
        <v/>
      </c>
      <c r="M1898" s="210" t="str">
        <f t="shared" si="283"/>
        <v/>
      </c>
      <c r="N1898" s="26"/>
      <c r="O1898" s="27"/>
      <c r="P1898" s="27"/>
      <c r="Q1898" s="2">
        <f t="shared" si="284"/>
        <v>0</v>
      </c>
      <c r="S1898" s="7">
        <f t="shared" si="287"/>
        <v>0</v>
      </c>
      <c r="T1898" s="157">
        <f t="shared" si="288"/>
        <v>0</v>
      </c>
      <c r="V1898" s="191">
        <f t="shared" si="285"/>
        <v>1</v>
      </c>
      <c r="W1898" s="7">
        <f t="shared" si="286"/>
        <v>1900</v>
      </c>
    </row>
    <row r="1899" spans="2:23" ht="31.95" customHeight="1" thickBot="1" x14ac:dyDescent="0.35">
      <c r="B1899" s="26"/>
      <c r="C1899" s="51" t="str">
        <f t="shared" si="289"/>
        <v/>
      </c>
      <c r="D1899" s="27"/>
      <c r="E1899" s="26"/>
      <c r="F1899" s="26"/>
      <c r="G1899" s="26"/>
      <c r="H1899" s="254"/>
      <c r="I1899" s="49"/>
      <c r="J1899" s="49"/>
      <c r="K1899" s="52" t="str">
        <f t="shared" si="281"/>
        <v/>
      </c>
      <c r="L1899" s="209" t="str">
        <f t="shared" si="282"/>
        <v/>
      </c>
      <c r="M1899" s="210" t="str">
        <f t="shared" si="283"/>
        <v/>
      </c>
      <c r="N1899" s="26"/>
      <c r="O1899" s="27"/>
      <c r="P1899" s="27"/>
      <c r="Q1899" s="2">
        <f t="shared" si="284"/>
        <v>0</v>
      </c>
      <c r="S1899" s="7">
        <f t="shared" si="287"/>
        <v>0</v>
      </c>
      <c r="T1899" s="157">
        <f t="shared" si="288"/>
        <v>0</v>
      </c>
      <c r="V1899" s="191">
        <f t="shared" si="285"/>
        <v>1</v>
      </c>
      <c r="W1899" s="7">
        <f t="shared" si="286"/>
        <v>1900</v>
      </c>
    </row>
    <row r="1900" spans="2:23" ht="31.95" customHeight="1" thickBot="1" x14ac:dyDescent="0.35">
      <c r="B1900" s="26"/>
      <c r="C1900" s="51" t="str">
        <f t="shared" si="289"/>
        <v/>
      </c>
      <c r="D1900" s="27"/>
      <c r="E1900" s="26"/>
      <c r="F1900" s="26"/>
      <c r="G1900" s="26"/>
      <c r="H1900" s="254"/>
      <c r="I1900" s="49"/>
      <c r="J1900" s="49"/>
      <c r="K1900" s="52" t="str">
        <f t="shared" si="281"/>
        <v/>
      </c>
      <c r="L1900" s="209" t="str">
        <f t="shared" si="282"/>
        <v/>
      </c>
      <c r="M1900" s="210" t="str">
        <f t="shared" si="283"/>
        <v/>
      </c>
      <c r="N1900" s="26"/>
      <c r="O1900" s="27"/>
      <c r="P1900" s="27"/>
      <c r="Q1900" s="2">
        <f t="shared" si="284"/>
        <v>0</v>
      </c>
      <c r="S1900" s="7">
        <f t="shared" si="287"/>
        <v>0</v>
      </c>
      <c r="T1900" s="157">
        <f t="shared" si="288"/>
        <v>0</v>
      </c>
      <c r="V1900" s="191">
        <f t="shared" si="285"/>
        <v>1</v>
      </c>
      <c r="W1900" s="7">
        <f t="shared" si="286"/>
        <v>1900</v>
      </c>
    </row>
    <row r="1901" spans="2:23" ht="31.95" customHeight="1" thickBot="1" x14ac:dyDescent="0.35">
      <c r="B1901" s="26"/>
      <c r="C1901" s="51" t="str">
        <f t="shared" si="289"/>
        <v/>
      </c>
      <c r="D1901" s="27"/>
      <c r="E1901" s="26"/>
      <c r="F1901" s="26"/>
      <c r="G1901" s="26"/>
      <c r="H1901" s="254"/>
      <c r="I1901" s="49"/>
      <c r="J1901" s="49"/>
      <c r="K1901" s="52" t="str">
        <f t="shared" ref="K1901:K1964" si="290">IFERROR(J1901/I1901,"")</f>
        <v/>
      </c>
      <c r="L1901" s="209" t="str">
        <f t="shared" ref="L1901:L1964" si="291">IF(I1901="","",I1901-J1901)</f>
        <v/>
      </c>
      <c r="M1901" s="210" t="str">
        <f t="shared" ref="M1901:M1964" si="292">IFERROR(1-K1901,"")</f>
        <v/>
      </c>
      <c r="N1901" s="26"/>
      <c r="O1901" s="27"/>
      <c r="P1901" s="27"/>
      <c r="Q1901" s="2">
        <f t="shared" si="284"/>
        <v>0</v>
      </c>
      <c r="S1901" s="7">
        <f t="shared" si="287"/>
        <v>0</v>
      </c>
      <c r="T1901" s="157">
        <f t="shared" si="288"/>
        <v>0</v>
      </c>
      <c r="V1901" s="191">
        <f t="shared" si="285"/>
        <v>1</v>
      </c>
      <c r="W1901" s="7">
        <f t="shared" si="286"/>
        <v>1900</v>
      </c>
    </row>
    <row r="1902" spans="2:23" ht="31.95" customHeight="1" thickBot="1" x14ac:dyDescent="0.35">
      <c r="B1902" s="26"/>
      <c r="C1902" s="51" t="str">
        <f t="shared" si="289"/>
        <v/>
      </c>
      <c r="D1902" s="27"/>
      <c r="E1902" s="26"/>
      <c r="F1902" s="26"/>
      <c r="G1902" s="26"/>
      <c r="H1902" s="254"/>
      <c r="I1902" s="49"/>
      <c r="J1902" s="49"/>
      <c r="K1902" s="52" t="str">
        <f t="shared" si="290"/>
        <v/>
      </c>
      <c r="L1902" s="209" t="str">
        <f t="shared" si="291"/>
        <v/>
      </c>
      <c r="M1902" s="210" t="str">
        <f t="shared" si="292"/>
        <v/>
      </c>
      <c r="N1902" s="26"/>
      <c r="O1902" s="27"/>
      <c r="P1902" s="27"/>
      <c r="Q1902" s="2">
        <f t="shared" si="284"/>
        <v>0</v>
      </c>
      <c r="S1902" s="7">
        <f t="shared" si="287"/>
        <v>0</v>
      </c>
      <c r="T1902" s="157">
        <f t="shared" si="288"/>
        <v>0</v>
      </c>
      <c r="V1902" s="191">
        <f t="shared" si="285"/>
        <v>1</v>
      </c>
      <c r="W1902" s="7">
        <f t="shared" si="286"/>
        <v>1900</v>
      </c>
    </row>
    <row r="1903" spans="2:23" ht="31.95" customHeight="1" thickBot="1" x14ac:dyDescent="0.35">
      <c r="B1903" s="26"/>
      <c r="C1903" s="51" t="str">
        <f t="shared" si="289"/>
        <v/>
      </c>
      <c r="D1903" s="27"/>
      <c r="E1903" s="26"/>
      <c r="F1903" s="26"/>
      <c r="G1903" s="26"/>
      <c r="H1903" s="254"/>
      <c r="I1903" s="49"/>
      <c r="J1903" s="49"/>
      <c r="K1903" s="52" t="str">
        <f t="shared" si="290"/>
        <v/>
      </c>
      <c r="L1903" s="209" t="str">
        <f t="shared" si="291"/>
        <v/>
      </c>
      <c r="M1903" s="210" t="str">
        <f t="shared" si="292"/>
        <v/>
      </c>
      <c r="N1903" s="26"/>
      <c r="O1903" s="27"/>
      <c r="P1903" s="27"/>
      <c r="Q1903" s="2">
        <f t="shared" si="284"/>
        <v>0</v>
      </c>
      <c r="S1903" s="7">
        <f t="shared" si="287"/>
        <v>0</v>
      </c>
      <c r="T1903" s="157">
        <f t="shared" si="288"/>
        <v>0</v>
      </c>
      <c r="V1903" s="191">
        <f t="shared" si="285"/>
        <v>1</v>
      </c>
      <c r="W1903" s="7">
        <f t="shared" si="286"/>
        <v>1900</v>
      </c>
    </row>
    <row r="1904" spans="2:23" ht="31.95" customHeight="1" thickBot="1" x14ac:dyDescent="0.35">
      <c r="B1904" s="26"/>
      <c r="C1904" s="51" t="str">
        <f t="shared" si="289"/>
        <v/>
      </c>
      <c r="D1904" s="27"/>
      <c r="E1904" s="26"/>
      <c r="F1904" s="26"/>
      <c r="G1904" s="26"/>
      <c r="H1904" s="254"/>
      <c r="I1904" s="49"/>
      <c r="J1904" s="49"/>
      <c r="K1904" s="52" t="str">
        <f t="shared" si="290"/>
        <v/>
      </c>
      <c r="L1904" s="209" t="str">
        <f t="shared" si="291"/>
        <v/>
      </c>
      <c r="M1904" s="210" t="str">
        <f t="shared" si="292"/>
        <v/>
      </c>
      <c r="N1904" s="26"/>
      <c r="O1904" s="27"/>
      <c r="P1904" s="27"/>
      <c r="Q1904" s="2">
        <f t="shared" si="284"/>
        <v>0</v>
      </c>
      <c r="S1904" s="7">
        <f t="shared" si="287"/>
        <v>0</v>
      </c>
      <c r="T1904" s="157">
        <f t="shared" si="288"/>
        <v>0</v>
      </c>
      <c r="V1904" s="191">
        <f t="shared" si="285"/>
        <v>1</v>
      </c>
      <c r="W1904" s="7">
        <f t="shared" si="286"/>
        <v>1900</v>
      </c>
    </row>
    <row r="1905" spans="2:23" ht="31.95" customHeight="1" thickBot="1" x14ac:dyDescent="0.35">
      <c r="B1905" s="26"/>
      <c r="C1905" s="51" t="str">
        <f t="shared" si="289"/>
        <v/>
      </c>
      <c r="D1905" s="27"/>
      <c r="E1905" s="26"/>
      <c r="F1905" s="26"/>
      <c r="G1905" s="26"/>
      <c r="H1905" s="254"/>
      <c r="I1905" s="49"/>
      <c r="J1905" s="49"/>
      <c r="K1905" s="52" t="str">
        <f t="shared" si="290"/>
        <v/>
      </c>
      <c r="L1905" s="209" t="str">
        <f t="shared" si="291"/>
        <v/>
      </c>
      <c r="M1905" s="210" t="str">
        <f t="shared" si="292"/>
        <v/>
      </c>
      <c r="N1905" s="26"/>
      <c r="O1905" s="27"/>
      <c r="P1905" s="27"/>
      <c r="Q1905" s="2">
        <f t="shared" si="284"/>
        <v>0</v>
      </c>
      <c r="S1905" s="7">
        <f t="shared" si="287"/>
        <v>0</v>
      </c>
      <c r="T1905" s="157">
        <f t="shared" si="288"/>
        <v>0</v>
      </c>
      <c r="V1905" s="191">
        <f t="shared" si="285"/>
        <v>1</v>
      </c>
      <c r="W1905" s="7">
        <f t="shared" si="286"/>
        <v>1900</v>
      </c>
    </row>
    <row r="1906" spans="2:23" ht="31.95" customHeight="1" thickBot="1" x14ac:dyDescent="0.35">
      <c r="B1906" s="26"/>
      <c r="C1906" s="51" t="str">
        <f t="shared" si="289"/>
        <v/>
      </c>
      <c r="D1906" s="27"/>
      <c r="E1906" s="26"/>
      <c r="F1906" s="26"/>
      <c r="G1906" s="26"/>
      <c r="H1906" s="254"/>
      <c r="I1906" s="49"/>
      <c r="J1906" s="49"/>
      <c r="K1906" s="52" t="str">
        <f t="shared" si="290"/>
        <v/>
      </c>
      <c r="L1906" s="209" t="str">
        <f t="shared" si="291"/>
        <v/>
      </c>
      <c r="M1906" s="210" t="str">
        <f t="shared" si="292"/>
        <v/>
      </c>
      <c r="N1906" s="26"/>
      <c r="O1906" s="27"/>
      <c r="P1906" s="27"/>
      <c r="Q1906" s="2">
        <f t="shared" si="284"/>
        <v>0</v>
      </c>
      <c r="S1906" s="7">
        <f t="shared" si="287"/>
        <v>0</v>
      </c>
      <c r="T1906" s="157">
        <f t="shared" si="288"/>
        <v>0</v>
      </c>
      <c r="V1906" s="191">
        <f t="shared" si="285"/>
        <v>1</v>
      </c>
      <c r="W1906" s="7">
        <f t="shared" si="286"/>
        <v>1900</v>
      </c>
    </row>
    <row r="1907" spans="2:23" ht="31.95" customHeight="1" thickBot="1" x14ac:dyDescent="0.35">
      <c r="B1907" s="26"/>
      <c r="C1907" s="51" t="str">
        <f t="shared" si="289"/>
        <v/>
      </c>
      <c r="D1907" s="27"/>
      <c r="E1907" s="26"/>
      <c r="F1907" s="26"/>
      <c r="G1907" s="26"/>
      <c r="H1907" s="254"/>
      <c r="I1907" s="49"/>
      <c r="J1907" s="49"/>
      <c r="K1907" s="52" t="str">
        <f t="shared" si="290"/>
        <v/>
      </c>
      <c r="L1907" s="209" t="str">
        <f t="shared" si="291"/>
        <v/>
      </c>
      <c r="M1907" s="210" t="str">
        <f t="shared" si="292"/>
        <v/>
      </c>
      <c r="N1907" s="26"/>
      <c r="O1907" s="27"/>
      <c r="P1907" s="27"/>
      <c r="Q1907" s="2">
        <f t="shared" si="284"/>
        <v>0</v>
      </c>
      <c r="S1907" s="7">
        <f t="shared" si="287"/>
        <v>0</v>
      </c>
      <c r="T1907" s="157">
        <f t="shared" si="288"/>
        <v>0</v>
      </c>
      <c r="V1907" s="191">
        <f t="shared" si="285"/>
        <v>1</v>
      </c>
      <c r="W1907" s="7">
        <f t="shared" si="286"/>
        <v>1900</v>
      </c>
    </row>
    <row r="1908" spans="2:23" ht="31.95" customHeight="1" thickBot="1" x14ac:dyDescent="0.35">
      <c r="B1908" s="26"/>
      <c r="C1908" s="51" t="str">
        <f t="shared" si="289"/>
        <v/>
      </c>
      <c r="D1908" s="27"/>
      <c r="E1908" s="26"/>
      <c r="F1908" s="26"/>
      <c r="G1908" s="26"/>
      <c r="H1908" s="254"/>
      <c r="I1908" s="49"/>
      <c r="J1908" s="49"/>
      <c r="K1908" s="52" t="str">
        <f t="shared" si="290"/>
        <v/>
      </c>
      <c r="L1908" s="209" t="str">
        <f t="shared" si="291"/>
        <v/>
      </c>
      <c r="M1908" s="210" t="str">
        <f t="shared" si="292"/>
        <v/>
      </c>
      <c r="N1908" s="26"/>
      <c r="O1908" s="27"/>
      <c r="P1908" s="27"/>
      <c r="Q1908" s="2">
        <f t="shared" si="284"/>
        <v>0</v>
      </c>
      <c r="S1908" s="7">
        <f t="shared" si="287"/>
        <v>0</v>
      </c>
      <c r="T1908" s="157">
        <f t="shared" si="288"/>
        <v>0</v>
      </c>
      <c r="V1908" s="191">
        <f t="shared" si="285"/>
        <v>1</v>
      </c>
      <c r="W1908" s="7">
        <f t="shared" si="286"/>
        <v>1900</v>
      </c>
    </row>
    <row r="1909" spans="2:23" ht="31.95" customHeight="1" thickBot="1" x14ac:dyDescent="0.35">
      <c r="B1909" s="26"/>
      <c r="C1909" s="51" t="str">
        <f t="shared" si="289"/>
        <v/>
      </c>
      <c r="D1909" s="27"/>
      <c r="E1909" s="26"/>
      <c r="F1909" s="26"/>
      <c r="G1909" s="26"/>
      <c r="H1909" s="254"/>
      <c r="I1909" s="49"/>
      <c r="J1909" s="49"/>
      <c r="K1909" s="52" t="str">
        <f t="shared" si="290"/>
        <v/>
      </c>
      <c r="L1909" s="209" t="str">
        <f t="shared" si="291"/>
        <v/>
      </c>
      <c r="M1909" s="210" t="str">
        <f t="shared" si="292"/>
        <v/>
      </c>
      <c r="N1909" s="26"/>
      <c r="O1909" s="27"/>
      <c r="P1909" s="27"/>
      <c r="Q1909" s="2">
        <f t="shared" si="284"/>
        <v>0</v>
      </c>
      <c r="S1909" s="7">
        <f t="shared" si="287"/>
        <v>0</v>
      </c>
      <c r="T1909" s="157">
        <f t="shared" si="288"/>
        <v>0</v>
      </c>
      <c r="V1909" s="191">
        <f t="shared" si="285"/>
        <v>1</v>
      </c>
      <c r="W1909" s="7">
        <f t="shared" si="286"/>
        <v>1900</v>
      </c>
    </row>
    <row r="1910" spans="2:23" ht="31.95" customHeight="1" thickBot="1" x14ac:dyDescent="0.35">
      <c r="B1910" s="26"/>
      <c r="C1910" s="51" t="str">
        <f t="shared" si="289"/>
        <v/>
      </c>
      <c r="D1910" s="27"/>
      <c r="E1910" s="26"/>
      <c r="F1910" s="26"/>
      <c r="G1910" s="26"/>
      <c r="H1910" s="254"/>
      <c r="I1910" s="49"/>
      <c r="J1910" s="49"/>
      <c r="K1910" s="52" t="str">
        <f t="shared" si="290"/>
        <v/>
      </c>
      <c r="L1910" s="209" t="str">
        <f t="shared" si="291"/>
        <v/>
      </c>
      <c r="M1910" s="210" t="str">
        <f t="shared" si="292"/>
        <v/>
      </c>
      <c r="N1910" s="26"/>
      <c r="O1910" s="27"/>
      <c r="P1910" s="27"/>
      <c r="Q1910" s="2">
        <f t="shared" si="284"/>
        <v>0</v>
      </c>
      <c r="S1910" s="7">
        <f t="shared" si="287"/>
        <v>0</v>
      </c>
      <c r="T1910" s="157">
        <f t="shared" si="288"/>
        <v>0</v>
      </c>
      <c r="V1910" s="191">
        <f t="shared" si="285"/>
        <v>1</v>
      </c>
      <c r="W1910" s="7">
        <f t="shared" si="286"/>
        <v>1900</v>
      </c>
    </row>
    <row r="1911" spans="2:23" ht="31.95" customHeight="1" thickBot="1" x14ac:dyDescent="0.35">
      <c r="B1911" s="26"/>
      <c r="C1911" s="51" t="str">
        <f t="shared" si="289"/>
        <v/>
      </c>
      <c r="D1911" s="27"/>
      <c r="E1911" s="26"/>
      <c r="F1911" s="26"/>
      <c r="G1911" s="26"/>
      <c r="H1911" s="254"/>
      <c r="I1911" s="49"/>
      <c r="J1911" s="49"/>
      <c r="K1911" s="52" t="str">
        <f t="shared" si="290"/>
        <v/>
      </c>
      <c r="L1911" s="209" t="str">
        <f t="shared" si="291"/>
        <v/>
      </c>
      <c r="M1911" s="210" t="str">
        <f t="shared" si="292"/>
        <v/>
      </c>
      <c r="N1911" s="26"/>
      <c r="O1911" s="27"/>
      <c r="P1911" s="27"/>
      <c r="Q1911" s="2">
        <f t="shared" si="284"/>
        <v>0</v>
      </c>
      <c r="S1911" s="7">
        <f t="shared" si="287"/>
        <v>0</v>
      </c>
      <c r="T1911" s="157">
        <f t="shared" si="288"/>
        <v>0</v>
      </c>
      <c r="V1911" s="191">
        <f t="shared" si="285"/>
        <v>1</v>
      </c>
      <c r="W1911" s="7">
        <f t="shared" si="286"/>
        <v>1900</v>
      </c>
    </row>
    <row r="1912" spans="2:23" ht="31.95" customHeight="1" thickBot="1" x14ac:dyDescent="0.35">
      <c r="B1912" s="26"/>
      <c r="C1912" s="51" t="str">
        <f t="shared" si="289"/>
        <v/>
      </c>
      <c r="D1912" s="27"/>
      <c r="E1912" s="26"/>
      <c r="F1912" s="26"/>
      <c r="G1912" s="26"/>
      <c r="H1912" s="254"/>
      <c r="I1912" s="49"/>
      <c r="J1912" s="49"/>
      <c r="K1912" s="52" t="str">
        <f t="shared" si="290"/>
        <v/>
      </c>
      <c r="L1912" s="209" t="str">
        <f t="shared" si="291"/>
        <v/>
      </c>
      <c r="M1912" s="210" t="str">
        <f t="shared" si="292"/>
        <v/>
      </c>
      <c r="N1912" s="26"/>
      <c r="O1912" s="27"/>
      <c r="P1912" s="27"/>
      <c r="Q1912" s="2">
        <f t="shared" si="284"/>
        <v>0</v>
      </c>
      <c r="S1912" s="7">
        <f t="shared" si="287"/>
        <v>0</v>
      </c>
      <c r="T1912" s="157">
        <f t="shared" si="288"/>
        <v>0</v>
      </c>
      <c r="V1912" s="191">
        <f t="shared" si="285"/>
        <v>1</v>
      </c>
      <c r="W1912" s="7">
        <f t="shared" si="286"/>
        <v>1900</v>
      </c>
    </row>
    <row r="1913" spans="2:23" ht="31.95" customHeight="1" thickBot="1" x14ac:dyDescent="0.35">
      <c r="B1913" s="26"/>
      <c r="C1913" s="51" t="str">
        <f t="shared" si="289"/>
        <v/>
      </c>
      <c r="D1913" s="27"/>
      <c r="E1913" s="26"/>
      <c r="F1913" s="26"/>
      <c r="G1913" s="26"/>
      <c r="H1913" s="254"/>
      <c r="I1913" s="49"/>
      <c r="J1913" s="49"/>
      <c r="K1913" s="52" t="str">
        <f t="shared" si="290"/>
        <v/>
      </c>
      <c r="L1913" s="209" t="str">
        <f t="shared" si="291"/>
        <v/>
      </c>
      <c r="M1913" s="210" t="str">
        <f t="shared" si="292"/>
        <v/>
      </c>
      <c r="N1913" s="26"/>
      <c r="O1913" s="27"/>
      <c r="P1913" s="27"/>
      <c r="Q1913" s="2">
        <f t="shared" si="284"/>
        <v>0</v>
      </c>
      <c r="S1913" s="7">
        <f t="shared" si="287"/>
        <v>0</v>
      </c>
      <c r="T1913" s="157">
        <f t="shared" si="288"/>
        <v>0</v>
      </c>
      <c r="V1913" s="191">
        <f t="shared" si="285"/>
        <v>1</v>
      </c>
      <c r="W1913" s="7">
        <f t="shared" si="286"/>
        <v>1900</v>
      </c>
    </row>
    <row r="1914" spans="2:23" ht="31.95" customHeight="1" thickBot="1" x14ac:dyDescent="0.35">
      <c r="B1914" s="26"/>
      <c r="C1914" s="51" t="str">
        <f t="shared" si="289"/>
        <v/>
      </c>
      <c r="D1914" s="27"/>
      <c r="E1914" s="26"/>
      <c r="F1914" s="26"/>
      <c r="G1914" s="26"/>
      <c r="H1914" s="254"/>
      <c r="I1914" s="49"/>
      <c r="J1914" s="49"/>
      <c r="K1914" s="52" t="str">
        <f t="shared" si="290"/>
        <v/>
      </c>
      <c r="L1914" s="209" t="str">
        <f t="shared" si="291"/>
        <v/>
      </c>
      <c r="M1914" s="210" t="str">
        <f t="shared" si="292"/>
        <v/>
      </c>
      <c r="N1914" s="26"/>
      <c r="O1914" s="27"/>
      <c r="P1914" s="27"/>
      <c r="Q1914" s="2">
        <f t="shared" si="284"/>
        <v>0</v>
      </c>
      <c r="S1914" s="7">
        <f t="shared" si="287"/>
        <v>0</v>
      </c>
      <c r="T1914" s="157">
        <f t="shared" si="288"/>
        <v>0</v>
      </c>
      <c r="V1914" s="191">
        <f t="shared" si="285"/>
        <v>1</v>
      </c>
      <c r="W1914" s="7">
        <f t="shared" si="286"/>
        <v>1900</v>
      </c>
    </row>
    <row r="1915" spans="2:23" ht="31.95" customHeight="1" thickBot="1" x14ac:dyDescent="0.35">
      <c r="B1915" s="26"/>
      <c r="C1915" s="51" t="str">
        <f t="shared" si="289"/>
        <v/>
      </c>
      <c r="D1915" s="27"/>
      <c r="E1915" s="26"/>
      <c r="F1915" s="26"/>
      <c r="G1915" s="26"/>
      <c r="H1915" s="254"/>
      <c r="I1915" s="49"/>
      <c r="J1915" s="49"/>
      <c r="K1915" s="52" t="str">
        <f t="shared" si="290"/>
        <v/>
      </c>
      <c r="L1915" s="209" t="str">
        <f t="shared" si="291"/>
        <v/>
      </c>
      <c r="M1915" s="210" t="str">
        <f t="shared" si="292"/>
        <v/>
      </c>
      <c r="N1915" s="26"/>
      <c r="O1915" s="27"/>
      <c r="P1915" s="27"/>
      <c r="Q1915" s="2">
        <f t="shared" si="284"/>
        <v>0</v>
      </c>
      <c r="S1915" s="7">
        <f t="shared" si="287"/>
        <v>0</v>
      </c>
      <c r="T1915" s="157">
        <f t="shared" si="288"/>
        <v>0</v>
      </c>
      <c r="V1915" s="191">
        <f t="shared" si="285"/>
        <v>1</v>
      </c>
      <c r="W1915" s="7">
        <f t="shared" si="286"/>
        <v>1900</v>
      </c>
    </row>
    <row r="1916" spans="2:23" ht="31.95" customHeight="1" thickBot="1" x14ac:dyDescent="0.35">
      <c r="B1916" s="26"/>
      <c r="C1916" s="51" t="str">
        <f t="shared" si="289"/>
        <v/>
      </c>
      <c r="D1916" s="27"/>
      <c r="E1916" s="26"/>
      <c r="F1916" s="26"/>
      <c r="G1916" s="26"/>
      <c r="H1916" s="254"/>
      <c r="I1916" s="49"/>
      <c r="J1916" s="49"/>
      <c r="K1916" s="52" t="str">
        <f t="shared" si="290"/>
        <v/>
      </c>
      <c r="L1916" s="209" t="str">
        <f t="shared" si="291"/>
        <v/>
      </c>
      <c r="M1916" s="210" t="str">
        <f t="shared" si="292"/>
        <v/>
      </c>
      <c r="N1916" s="26"/>
      <c r="O1916" s="27"/>
      <c r="P1916" s="27"/>
      <c r="Q1916" s="2">
        <f t="shared" si="284"/>
        <v>0</v>
      </c>
      <c r="S1916" s="7">
        <f t="shared" si="287"/>
        <v>0</v>
      </c>
      <c r="T1916" s="157">
        <f t="shared" si="288"/>
        <v>0</v>
      </c>
      <c r="V1916" s="191">
        <f t="shared" si="285"/>
        <v>1</v>
      </c>
      <c r="W1916" s="7">
        <f t="shared" si="286"/>
        <v>1900</v>
      </c>
    </row>
    <row r="1917" spans="2:23" ht="31.95" customHeight="1" thickBot="1" x14ac:dyDescent="0.35">
      <c r="B1917" s="26"/>
      <c r="C1917" s="51" t="str">
        <f t="shared" si="289"/>
        <v/>
      </c>
      <c r="D1917" s="27"/>
      <c r="E1917" s="26"/>
      <c r="F1917" s="26"/>
      <c r="G1917" s="26"/>
      <c r="H1917" s="254"/>
      <c r="I1917" s="49"/>
      <c r="J1917" s="49"/>
      <c r="K1917" s="52" t="str">
        <f t="shared" si="290"/>
        <v/>
      </c>
      <c r="L1917" s="209" t="str">
        <f t="shared" si="291"/>
        <v/>
      </c>
      <c r="M1917" s="210" t="str">
        <f t="shared" si="292"/>
        <v/>
      </c>
      <c r="N1917" s="26"/>
      <c r="O1917" s="27"/>
      <c r="P1917" s="27"/>
      <c r="Q1917" s="2">
        <f t="shared" si="284"/>
        <v>0</v>
      </c>
      <c r="S1917" s="7">
        <f t="shared" si="287"/>
        <v>0</v>
      </c>
      <c r="T1917" s="157">
        <f t="shared" si="288"/>
        <v>0</v>
      </c>
      <c r="V1917" s="191">
        <f t="shared" si="285"/>
        <v>1</v>
      </c>
      <c r="W1917" s="7">
        <f t="shared" si="286"/>
        <v>1900</v>
      </c>
    </row>
    <row r="1918" spans="2:23" ht="31.95" customHeight="1" thickBot="1" x14ac:dyDescent="0.35">
      <c r="B1918" s="26"/>
      <c r="C1918" s="51" t="str">
        <f t="shared" si="289"/>
        <v/>
      </c>
      <c r="D1918" s="27"/>
      <c r="E1918" s="26"/>
      <c r="F1918" s="26"/>
      <c r="G1918" s="26"/>
      <c r="H1918" s="254"/>
      <c r="I1918" s="49"/>
      <c r="J1918" s="49"/>
      <c r="K1918" s="52" t="str">
        <f t="shared" si="290"/>
        <v/>
      </c>
      <c r="L1918" s="209" t="str">
        <f t="shared" si="291"/>
        <v/>
      </c>
      <c r="M1918" s="210" t="str">
        <f t="shared" si="292"/>
        <v/>
      </c>
      <c r="N1918" s="26"/>
      <c r="O1918" s="27"/>
      <c r="P1918" s="27"/>
      <c r="Q1918" s="2">
        <f t="shared" si="284"/>
        <v>0</v>
      </c>
      <c r="S1918" s="7">
        <f t="shared" si="287"/>
        <v>0</v>
      </c>
      <c r="T1918" s="157">
        <f t="shared" si="288"/>
        <v>0</v>
      </c>
      <c r="V1918" s="191">
        <f t="shared" si="285"/>
        <v>1</v>
      </c>
      <c r="W1918" s="7">
        <f t="shared" si="286"/>
        <v>1900</v>
      </c>
    </row>
    <row r="1919" spans="2:23" ht="31.95" customHeight="1" thickBot="1" x14ac:dyDescent="0.35">
      <c r="B1919" s="26"/>
      <c r="C1919" s="51" t="str">
        <f t="shared" si="289"/>
        <v/>
      </c>
      <c r="D1919" s="27"/>
      <c r="E1919" s="26"/>
      <c r="F1919" s="26"/>
      <c r="G1919" s="26"/>
      <c r="H1919" s="254"/>
      <c r="I1919" s="49"/>
      <c r="J1919" s="49"/>
      <c r="K1919" s="52" t="str">
        <f t="shared" si="290"/>
        <v/>
      </c>
      <c r="L1919" s="209" t="str">
        <f t="shared" si="291"/>
        <v/>
      </c>
      <c r="M1919" s="210" t="str">
        <f t="shared" si="292"/>
        <v/>
      </c>
      <c r="N1919" s="26"/>
      <c r="O1919" s="27"/>
      <c r="P1919" s="27"/>
      <c r="Q1919" s="2">
        <f t="shared" si="284"/>
        <v>0</v>
      </c>
      <c r="S1919" s="7">
        <f t="shared" si="287"/>
        <v>0</v>
      </c>
      <c r="T1919" s="157">
        <f t="shared" si="288"/>
        <v>0</v>
      </c>
      <c r="V1919" s="191">
        <f t="shared" si="285"/>
        <v>1</v>
      </c>
      <c r="W1919" s="7">
        <f t="shared" si="286"/>
        <v>1900</v>
      </c>
    </row>
    <row r="1920" spans="2:23" ht="31.95" customHeight="1" thickBot="1" x14ac:dyDescent="0.35">
      <c r="B1920" s="26"/>
      <c r="C1920" s="51" t="str">
        <f t="shared" si="289"/>
        <v/>
      </c>
      <c r="D1920" s="27"/>
      <c r="E1920" s="26"/>
      <c r="F1920" s="26"/>
      <c r="G1920" s="26"/>
      <c r="H1920" s="254"/>
      <c r="I1920" s="49"/>
      <c r="J1920" s="49"/>
      <c r="K1920" s="52" t="str">
        <f t="shared" si="290"/>
        <v/>
      </c>
      <c r="L1920" s="209" t="str">
        <f t="shared" si="291"/>
        <v/>
      </c>
      <c r="M1920" s="210" t="str">
        <f t="shared" si="292"/>
        <v/>
      </c>
      <c r="N1920" s="26"/>
      <c r="O1920" s="27"/>
      <c r="P1920" s="27"/>
      <c r="Q1920" s="2">
        <f t="shared" si="284"/>
        <v>0</v>
      </c>
      <c r="S1920" s="7">
        <f t="shared" si="287"/>
        <v>0</v>
      </c>
      <c r="T1920" s="157">
        <f t="shared" si="288"/>
        <v>0</v>
      </c>
      <c r="V1920" s="191">
        <f t="shared" si="285"/>
        <v>1</v>
      </c>
      <c r="W1920" s="7">
        <f t="shared" si="286"/>
        <v>1900</v>
      </c>
    </row>
    <row r="1921" spans="2:23" ht="31.95" customHeight="1" thickBot="1" x14ac:dyDescent="0.35">
      <c r="B1921" s="26"/>
      <c r="C1921" s="51" t="str">
        <f t="shared" si="289"/>
        <v/>
      </c>
      <c r="D1921" s="27"/>
      <c r="E1921" s="26"/>
      <c r="F1921" s="26"/>
      <c r="G1921" s="26"/>
      <c r="H1921" s="254"/>
      <c r="I1921" s="49"/>
      <c r="J1921" s="49"/>
      <c r="K1921" s="52" t="str">
        <f t="shared" si="290"/>
        <v/>
      </c>
      <c r="L1921" s="209" t="str">
        <f t="shared" si="291"/>
        <v/>
      </c>
      <c r="M1921" s="210" t="str">
        <f t="shared" si="292"/>
        <v/>
      </c>
      <c r="N1921" s="26"/>
      <c r="O1921" s="27"/>
      <c r="P1921" s="27"/>
      <c r="Q1921" s="2">
        <f t="shared" si="284"/>
        <v>0</v>
      </c>
      <c r="S1921" s="7">
        <f t="shared" si="287"/>
        <v>0</v>
      </c>
      <c r="T1921" s="157">
        <f t="shared" si="288"/>
        <v>0</v>
      </c>
      <c r="V1921" s="191">
        <f t="shared" si="285"/>
        <v>1</v>
      </c>
      <c r="W1921" s="7">
        <f t="shared" si="286"/>
        <v>1900</v>
      </c>
    </row>
    <row r="1922" spans="2:23" ht="31.95" customHeight="1" thickBot="1" x14ac:dyDescent="0.35">
      <c r="B1922" s="26"/>
      <c r="C1922" s="51" t="str">
        <f t="shared" si="289"/>
        <v/>
      </c>
      <c r="D1922" s="27"/>
      <c r="E1922" s="26"/>
      <c r="F1922" s="26"/>
      <c r="G1922" s="26"/>
      <c r="H1922" s="254"/>
      <c r="I1922" s="49"/>
      <c r="J1922" s="49"/>
      <c r="K1922" s="52" t="str">
        <f t="shared" si="290"/>
        <v/>
      </c>
      <c r="L1922" s="209" t="str">
        <f t="shared" si="291"/>
        <v/>
      </c>
      <c r="M1922" s="210" t="str">
        <f t="shared" si="292"/>
        <v/>
      </c>
      <c r="N1922" s="26"/>
      <c r="O1922" s="27"/>
      <c r="P1922" s="27"/>
      <c r="Q1922" s="2">
        <f t="shared" si="284"/>
        <v>0</v>
      </c>
      <c r="S1922" s="7">
        <f t="shared" si="287"/>
        <v>0</v>
      </c>
      <c r="T1922" s="157">
        <f t="shared" si="288"/>
        <v>0</v>
      </c>
      <c r="V1922" s="191">
        <f t="shared" si="285"/>
        <v>1</v>
      </c>
      <c r="W1922" s="7">
        <f t="shared" si="286"/>
        <v>1900</v>
      </c>
    </row>
    <row r="1923" spans="2:23" ht="31.95" customHeight="1" thickBot="1" x14ac:dyDescent="0.35">
      <c r="B1923" s="26"/>
      <c r="C1923" s="51" t="str">
        <f t="shared" si="289"/>
        <v/>
      </c>
      <c r="D1923" s="27"/>
      <c r="E1923" s="26"/>
      <c r="F1923" s="26"/>
      <c r="G1923" s="26"/>
      <c r="H1923" s="254"/>
      <c r="I1923" s="49"/>
      <c r="J1923" s="49"/>
      <c r="K1923" s="52" t="str">
        <f t="shared" si="290"/>
        <v/>
      </c>
      <c r="L1923" s="209" t="str">
        <f t="shared" si="291"/>
        <v/>
      </c>
      <c r="M1923" s="210" t="str">
        <f t="shared" si="292"/>
        <v/>
      </c>
      <c r="N1923" s="26"/>
      <c r="O1923" s="27"/>
      <c r="P1923" s="27"/>
      <c r="Q1923" s="2">
        <f t="shared" si="284"/>
        <v>0</v>
      </c>
      <c r="S1923" s="7">
        <f t="shared" si="287"/>
        <v>0</v>
      </c>
      <c r="T1923" s="157">
        <f t="shared" si="288"/>
        <v>0</v>
      </c>
      <c r="V1923" s="191">
        <f t="shared" si="285"/>
        <v>1</v>
      </c>
      <c r="W1923" s="7">
        <f t="shared" si="286"/>
        <v>1900</v>
      </c>
    </row>
    <row r="1924" spans="2:23" ht="31.95" customHeight="1" thickBot="1" x14ac:dyDescent="0.35">
      <c r="B1924" s="26"/>
      <c r="C1924" s="51" t="str">
        <f t="shared" si="289"/>
        <v/>
      </c>
      <c r="D1924" s="27"/>
      <c r="E1924" s="26"/>
      <c r="F1924" s="26"/>
      <c r="G1924" s="26"/>
      <c r="H1924" s="254"/>
      <c r="I1924" s="49"/>
      <c r="J1924" s="49"/>
      <c r="K1924" s="52" t="str">
        <f t="shared" si="290"/>
        <v/>
      </c>
      <c r="L1924" s="209" t="str">
        <f t="shared" si="291"/>
        <v/>
      </c>
      <c r="M1924" s="210" t="str">
        <f t="shared" si="292"/>
        <v/>
      </c>
      <c r="N1924" s="26"/>
      <c r="O1924" s="27"/>
      <c r="P1924" s="27"/>
      <c r="Q1924" s="2">
        <f t="shared" si="284"/>
        <v>0</v>
      </c>
      <c r="S1924" s="7">
        <f t="shared" si="287"/>
        <v>0</v>
      </c>
      <c r="T1924" s="157">
        <f t="shared" si="288"/>
        <v>0</v>
      </c>
      <c r="V1924" s="191">
        <f t="shared" si="285"/>
        <v>1</v>
      </c>
      <c r="W1924" s="7">
        <f t="shared" si="286"/>
        <v>1900</v>
      </c>
    </row>
    <row r="1925" spans="2:23" ht="31.95" customHeight="1" thickBot="1" x14ac:dyDescent="0.35">
      <c r="B1925" s="26"/>
      <c r="C1925" s="51" t="str">
        <f t="shared" si="289"/>
        <v/>
      </c>
      <c r="D1925" s="27"/>
      <c r="E1925" s="26"/>
      <c r="F1925" s="26"/>
      <c r="G1925" s="26"/>
      <c r="H1925" s="254"/>
      <c r="I1925" s="49"/>
      <c r="J1925" s="49"/>
      <c r="K1925" s="52" t="str">
        <f t="shared" si="290"/>
        <v/>
      </c>
      <c r="L1925" s="209" t="str">
        <f t="shared" si="291"/>
        <v/>
      </c>
      <c r="M1925" s="210" t="str">
        <f t="shared" si="292"/>
        <v/>
      </c>
      <c r="N1925" s="26"/>
      <c r="O1925" s="27"/>
      <c r="P1925" s="27"/>
      <c r="Q1925" s="2">
        <f t="shared" ref="Q1925:Q1988" si="293">IF(B1925&lt;&gt;"",1,0)</f>
        <v>0</v>
      </c>
      <c r="S1925" s="7">
        <f t="shared" si="287"/>
        <v>0</v>
      </c>
      <c r="T1925" s="157">
        <f t="shared" si="288"/>
        <v>0</v>
      </c>
      <c r="V1925" s="191">
        <f t="shared" ref="V1925:V1989" si="294">MONTH(B1925)</f>
        <v>1</v>
      </c>
      <c r="W1925" s="7">
        <f t="shared" ref="W1925:W1989" si="295">YEAR(B1925)</f>
        <v>1900</v>
      </c>
    </row>
    <row r="1926" spans="2:23" ht="31.95" customHeight="1" thickBot="1" x14ac:dyDescent="0.35">
      <c r="B1926" s="26"/>
      <c r="C1926" s="51" t="str">
        <f t="shared" si="289"/>
        <v/>
      </c>
      <c r="D1926" s="27"/>
      <c r="E1926" s="26"/>
      <c r="F1926" s="26"/>
      <c r="G1926" s="26"/>
      <c r="H1926" s="254"/>
      <c r="I1926" s="49"/>
      <c r="J1926" s="49"/>
      <c r="K1926" s="52" t="str">
        <f t="shared" si="290"/>
        <v/>
      </c>
      <c r="L1926" s="209" t="str">
        <f t="shared" si="291"/>
        <v/>
      </c>
      <c r="M1926" s="210" t="str">
        <f t="shared" si="292"/>
        <v/>
      </c>
      <c r="N1926" s="26"/>
      <c r="O1926" s="27"/>
      <c r="P1926" s="27"/>
      <c r="Q1926" s="2">
        <f t="shared" si="293"/>
        <v>0</v>
      </c>
      <c r="S1926" s="7">
        <f t="shared" ref="S1926:S1989" si="296">IF(AND(O1926&lt;=N1926,O1926&lt;&gt;""),1,0)</f>
        <v>0</v>
      </c>
      <c r="T1926" s="157">
        <f t="shared" ref="T1926:T1989" si="297">IF(AND(P1926&lt;=N1926,P1926&lt;&gt;""),1,0)</f>
        <v>0</v>
      </c>
      <c r="V1926" s="191">
        <f t="shared" si="294"/>
        <v>1</v>
      </c>
      <c r="W1926" s="7">
        <f t="shared" si="295"/>
        <v>1900</v>
      </c>
    </row>
    <row r="1927" spans="2:23" ht="31.95" customHeight="1" thickBot="1" x14ac:dyDescent="0.35">
      <c r="B1927" s="26"/>
      <c r="C1927" s="51" t="str">
        <f t="shared" ref="C1927:C1990" si="298">IF(B1927&lt;&gt;"",C1926+1,"")</f>
        <v/>
      </c>
      <c r="D1927" s="27"/>
      <c r="E1927" s="26"/>
      <c r="F1927" s="26"/>
      <c r="G1927" s="26"/>
      <c r="H1927" s="254"/>
      <c r="I1927" s="49"/>
      <c r="J1927" s="49"/>
      <c r="K1927" s="52" t="str">
        <f t="shared" si="290"/>
        <v/>
      </c>
      <c r="L1927" s="209" t="str">
        <f t="shared" si="291"/>
        <v/>
      </c>
      <c r="M1927" s="210" t="str">
        <f t="shared" si="292"/>
        <v/>
      </c>
      <c r="N1927" s="26"/>
      <c r="O1927" s="27"/>
      <c r="P1927" s="27"/>
      <c r="Q1927" s="2">
        <f t="shared" si="293"/>
        <v>0</v>
      </c>
      <c r="S1927" s="7">
        <f t="shared" si="296"/>
        <v>0</v>
      </c>
      <c r="T1927" s="157">
        <f t="shared" si="297"/>
        <v>0</v>
      </c>
      <c r="V1927" s="191">
        <f t="shared" si="294"/>
        <v>1</v>
      </c>
      <c r="W1927" s="7">
        <f t="shared" si="295"/>
        <v>1900</v>
      </c>
    </row>
    <row r="1928" spans="2:23" ht="31.95" customHeight="1" thickBot="1" x14ac:dyDescent="0.35">
      <c r="B1928" s="26"/>
      <c r="C1928" s="51" t="str">
        <f t="shared" si="298"/>
        <v/>
      </c>
      <c r="D1928" s="27"/>
      <c r="E1928" s="26"/>
      <c r="F1928" s="26"/>
      <c r="G1928" s="26"/>
      <c r="H1928" s="254"/>
      <c r="I1928" s="49"/>
      <c r="J1928" s="49"/>
      <c r="K1928" s="52" t="str">
        <f t="shared" si="290"/>
        <v/>
      </c>
      <c r="L1928" s="209" t="str">
        <f t="shared" si="291"/>
        <v/>
      </c>
      <c r="M1928" s="210" t="str">
        <f t="shared" si="292"/>
        <v/>
      </c>
      <c r="N1928" s="26"/>
      <c r="O1928" s="27"/>
      <c r="P1928" s="27"/>
      <c r="Q1928" s="2">
        <f t="shared" si="293"/>
        <v>0</v>
      </c>
      <c r="S1928" s="7">
        <f t="shared" si="296"/>
        <v>0</v>
      </c>
      <c r="T1928" s="157">
        <f t="shared" si="297"/>
        <v>0</v>
      </c>
      <c r="V1928" s="191">
        <f t="shared" si="294"/>
        <v>1</v>
      </c>
      <c r="W1928" s="7">
        <f t="shared" si="295"/>
        <v>1900</v>
      </c>
    </row>
    <row r="1929" spans="2:23" ht="31.95" customHeight="1" thickBot="1" x14ac:dyDescent="0.35">
      <c r="B1929" s="26"/>
      <c r="C1929" s="51" t="str">
        <f t="shared" si="298"/>
        <v/>
      </c>
      <c r="D1929" s="27"/>
      <c r="E1929" s="26"/>
      <c r="F1929" s="26"/>
      <c r="G1929" s="26"/>
      <c r="H1929" s="254"/>
      <c r="I1929" s="49"/>
      <c r="J1929" s="49"/>
      <c r="K1929" s="52" t="str">
        <f t="shared" si="290"/>
        <v/>
      </c>
      <c r="L1929" s="209" t="str">
        <f t="shared" si="291"/>
        <v/>
      </c>
      <c r="M1929" s="210" t="str">
        <f t="shared" si="292"/>
        <v/>
      </c>
      <c r="N1929" s="26"/>
      <c r="O1929" s="27"/>
      <c r="P1929" s="27"/>
      <c r="Q1929" s="2">
        <f t="shared" si="293"/>
        <v>0</v>
      </c>
      <c r="S1929" s="7">
        <f t="shared" si="296"/>
        <v>0</v>
      </c>
      <c r="T1929" s="157">
        <f t="shared" si="297"/>
        <v>0</v>
      </c>
      <c r="V1929" s="191">
        <f t="shared" si="294"/>
        <v>1</v>
      </c>
      <c r="W1929" s="7">
        <f t="shared" si="295"/>
        <v>1900</v>
      </c>
    </row>
    <row r="1930" spans="2:23" ht="31.95" customHeight="1" thickBot="1" x14ac:dyDescent="0.35">
      <c r="B1930" s="26"/>
      <c r="C1930" s="51" t="str">
        <f t="shared" si="298"/>
        <v/>
      </c>
      <c r="D1930" s="27"/>
      <c r="E1930" s="26"/>
      <c r="F1930" s="26"/>
      <c r="G1930" s="26"/>
      <c r="H1930" s="254"/>
      <c r="I1930" s="49"/>
      <c r="J1930" s="49"/>
      <c r="K1930" s="52" t="str">
        <f t="shared" si="290"/>
        <v/>
      </c>
      <c r="L1930" s="209" t="str">
        <f t="shared" si="291"/>
        <v/>
      </c>
      <c r="M1930" s="210" t="str">
        <f t="shared" si="292"/>
        <v/>
      </c>
      <c r="N1930" s="26"/>
      <c r="O1930" s="27"/>
      <c r="P1930" s="27"/>
      <c r="Q1930" s="2">
        <f t="shared" si="293"/>
        <v>0</v>
      </c>
      <c r="S1930" s="7">
        <f t="shared" si="296"/>
        <v>0</v>
      </c>
      <c r="T1930" s="157">
        <f t="shared" si="297"/>
        <v>0</v>
      </c>
      <c r="V1930" s="191">
        <f t="shared" si="294"/>
        <v>1</v>
      </c>
      <c r="W1930" s="7">
        <f t="shared" si="295"/>
        <v>1900</v>
      </c>
    </row>
    <row r="1931" spans="2:23" ht="31.95" customHeight="1" thickBot="1" x14ac:dyDescent="0.35">
      <c r="B1931" s="26"/>
      <c r="C1931" s="51" t="str">
        <f t="shared" si="298"/>
        <v/>
      </c>
      <c r="D1931" s="27"/>
      <c r="E1931" s="26"/>
      <c r="F1931" s="26"/>
      <c r="G1931" s="26"/>
      <c r="H1931" s="254"/>
      <c r="I1931" s="49"/>
      <c r="J1931" s="49"/>
      <c r="K1931" s="52" t="str">
        <f t="shared" si="290"/>
        <v/>
      </c>
      <c r="L1931" s="209" t="str">
        <f t="shared" si="291"/>
        <v/>
      </c>
      <c r="M1931" s="210" t="str">
        <f t="shared" si="292"/>
        <v/>
      </c>
      <c r="N1931" s="26"/>
      <c r="O1931" s="27"/>
      <c r="P1931" s="27"/>
      <c r="Q1931" s="2">
        <f t="shared" si="293"/>
        <v>0</v>
      </c>
      <c r="S1931" s="7">
        <f t="shared" si="296"/>
        <v>0</v>
      </c>
      <c r="T1931" s="157">
        <f t="shared" si="297"/>
        <v>0</v>
      </c>
      <c r="V1931" s="191">
        <f t="shared" si="294"/>
        <v>1</v>
      </c>
      <c r="W1931" s="7">
        <f t="shared" si="295"/>
        <v>1900</v>
      </c>
    </row>
    <row r="1932" spans="2:23" ht="31.95" customHeight="1" thickBot="1" x14ac:dyDescent="0.35">
      <c r="B1932" s="26"/>
      <c r="C1932" s="51" t="str">
        <f t="shared" si="298"/>
        <v/>
      </c>
      <c r="D1932" s="27"/>
      <c r="E1932" s="26"/>
      <c r="F1932" s="26"/>
      <c r="G1932" s="26"/>
      <c r="H1932" s="254"/>
      <c r="I1932" s="49"/>
      <c r="J1932" s="49"/>
      <c r="K1932" s="52" t="str">
        <f t="shared" si="290"/>
        <v/>
      </c>
      <c r="L1932" s="209" t="str">
        <f t="shared" si="291"/>
        <v/>
      </c>
      <c r="M1932" s="210" t="str">
        <f t="shared" si="292"/>
        <v/>
      </c>
      <c r="N1932" s="26"/>
      <c r="O1932" s="27"/>
      <c r="P1932" s="27"/>
      <c r="Q1932" s="2">
        <f t="shared" si="293"/>
        <v>0</v>
      </c>
      <c r="S1932" s="7">
        <f t="shared" si="296"/>
        <v>0</v>
      </c>
      <c r="T1932" s="157">
        <f t="shared" si="297"/>
        <v>0</v>
      </c>
      <c r="V1932" s="191">
        <f t="shared" si="294"/>
        <v>1</v>
      </c>
      <c r="W1932" s="7">
        <f t="shared" si="295"/>
        <v>1900</v>
      </c>
    </row>
    <row r="1933" spans="2:23" ht="31.95" customHeight="1" thickBot="1" x14ac:dyDescent="0.35">
      <c r="B1933" s="26"/>
      <c r="C1933" s="51" t="str">
        <f t="shared" si="298"/>
        <v/>
      </c>
      <c r="D1933" s="27"/>
      <c r="E1933" s="26"/>
      <c r="F1933" s="26"/>
      <c r="G1933" s="26"/>
      <c r="H1933" s="254"/>
      <c r="I1933" s="49"/>
      <c r="J1933" s="49"/>
      <c r="K1933" s="52" t="str">
        <f t="shared" si="290"/>
        <v/>
      </c>
      <c r="L1933" s="209" t="str">
        <f t="shared" si="291"/>
        <v/>
      </c>
      <c r="M1933" s="210" t="str">
        <f t="shared" si="292"/>
        <v/>
      </c>
      <c r="N1933" s="26"/>
      <c r="O1933" s="27"/>
      <c r="P1933" s="27"/>
      <c r="Q1933" s="2">
        <f t="shared" si="293"/>
        <v>0</v>
      </c>
      <c r="S1933" s="7">
        <f t="shared" si="296"/>
        <v>0</v>
      </c>
      <c r="T1933" s="157">
        <f t="shared" si="297"/>
        <v>0</v>
      </c>
      <c r="V1933" s="191">
        <f t="shared" si="294"/>
        <v>1</v>
      </c>
      <c r="W1933" s="7">
        <f t="shared" si="295"/>
        <v>1900</v>
      </c>
    </row>
    <row r="1934" spans="2:23" ht="31.95" customHeight="1" thickBot="1" x14ac:dyDescent="0.35">
      <c r="B1934" s="26"/>
      <c r="C1934" s="51" t="str">
        <f t="shared" si="298"/>
        <v/>
      </c>
      <c r="D1934" s="27"/>
      <c r="E1934" s="26"/>
      <c r="F1934" s="26"/>
      <c r="G1934" s="26"/>
      <c r="H1934" s="254"/>
      <c r="I1934" s="49"/>
      <c r="J1934" s="49"/>
      <c r="K1934" s="52" t="str">
        <f t="shared" si="290"/>
        <v/>
      </c>
      <c r="L1934" s="209" t="str">
        <f t="shared" si="291"/>
        <v/>
      </c>
      <c r="M1934" s="210" t="str">
        <f t="shared" si="292"/>
        <v/>
      </c>
      <c r="N1934" s="26"/>
      <c r="O1934" s="27"/>
      <c r="P1934" s="27"/>
      <c r="Q1934" s="2">
        <f t="shared" si="293"/>
        <v>0</v>
      </c>
      <c r="S1934" s="7">
        <f t="shared" si="296"/>
        <v>0</v>
      </c>
      <c r="T1934" s="157">
        <f t="shared" si="297"/>
        <v>0</v>
      </c>
      <c r="V1934" s="191">
        <f t="shared" si="294"/>
        <v>1</v>
      </c>
      <c r="W1934" s="7">
        <f t="shared" si="295"/>
        <v>1900</v>
      </c>
    </row>
    <row r="1935" spans="2:23" ht="31.95" customHeight="1" thickBot="1" x14ac:dyDescent="0.35">
      <c r="B1935" s="26"/>
      <c r="C1935" s="51" t="str">
        <f t="shared" si="298"/>
        <v/>
      </c>
      <c r="D1935" s="27"/>
      <c r="E1935" s="26"/>
      <c r="F1935" s="26"/>
      <c r="G1935" s="26"/>
      <c r="H1935" s="254"/>
      <c r="I1935" s="49"/>
      <c r="J1935" s="49"/>
      <c r="K1935" s="52" t="str">
        <f t="shared" si="290"/>
        <v/>
      </c>
      <c r="L1935" s="209" t="str">
        <f t="shared" si="291"/>
        <v/>
      </c>
      <c r="M1935" s="210" t="str">
        <f t="shared" si="292"/>
        <v/>
      </c>
      <c r="N1935" s="26"/>
      <c r="O1935" s="27"/>
      <c r="P1935" s="27"/>
      <c r="Q1935" s="2">
        <f t="shared" si="293"/>
        <v>0</v>
      </c>
      <c r="S1935" s="7">
        <f t="shared" si="296"/>
        <v>0</v>
      </c>
      <c r="T1935" s="157">
        <f t="shared" si="297"/>
        <v>0</v>
      </c>
      <c r="V1935" s="191">
        <f t="shared" si="294"/>
        <v>1</v>
      </c>
      <c r="W1935" s="7">
        <f t="shared" si="295"/>
        <v>1900</v>
      </c>
    </row>
    <row r="1936" spans="2:23" ht="31.95" customHeight="1" thickBot="1" x14ac:dyDescent="0.35">
      <c r="B1936" s="26"/>
      <c r="C1936" s="51" t="str">
        <f t="shared" si="298"/>
        <v/>
      </c>
      <c r="D1936" s="27"/>
      <c r="E1936" s="26"/>
      <c r="F1936" s="26"/>
      <c r="G1936" s="26"/>
      <c r="H1936" s="254"/>
      <c r="I1936" s="49"/>
      <c r="J1936" s="49"/>
      <c r="K1936" s="52" t="str">
        <f t="shared" si="290"/>
        <v/>
      </c>
      <c r="L1936" s="209" t="str">
        <f t="shared" si="291"/>
        <v/>
      </c>
      <c r="M1936" s="210" t="str">
        <f t="shared" si="292"/>
        <v/>
      </c>
      <c r="N1936" s="26"/>
      <c r="O1936" s="27"/>
      <c r="P1936" s="27"/>
      <c r="Q1936" s="2">
        <f t="shared" si="293"/>
        <v>0</v>
      </c>
      <c r="S1936" s="7">
        <f t="shared" si="296"/>
        <v>0</v>
      </c>
      <c r="T1936" s="157">
        <f t="shared" si="297"/>
        <v>0</v>
      </c>
      <c r="V1936" s="191">
        <f t="shared" si="294"/>
        <v>1</v>
      </c>
      <c r="W1936" s="7">
        <f t="shared" si="295"/>
        <v>1900</v>
      </c>
    </row>
    <row r="1937" spans="2:23" ht="31.95" customHeight="1" thickBot="1" x14ac:dyDescent="0.35">
      <c r="B1937" s="26"/>
      <c r="C1937" s="51" t="str">
        <f t="shared" si="298"/>
        <v/>
      </c>
      <c r="D1937" s="27"/>
      <c r="E1937" s="26"/>
      <c r="F1937" s="26"/>
      <c r="G1937" s="26"/>
      <c r="H1937" s="254"/>
      <c r="I1937" s="49"/>
      <c r="J1937" s="49"/>
      <c r="K1937" s="52" t="str">
        <f t="shared" si="290"/>
        <v/>
      </c>
      <c r="L1937" s="209" t="str">
        <f t="shared" si="291"/>
        <v/>
      </c>
      <c r="M1937" s="210" t="str">
        <f t="shared" si="292"/>
        <v/>
      </c>
      <c r="N1937" s="26"/>
      <c r="O1937" s="27"/>
      <c r="P1937" s="27"/>
      <c r="Q1937" s="2">
        <f t="shared" si="293"/>
        <v>0</v>
      </c>
      <c r="S1937" s="7">
        <f t="shared" si="296"/>
        <v>0</v>
      </c>
      <c r="T1937" s="157">
        <f t="shared" si="297"/>
        <v>0</v>
      </c>
      <c r="V1937" s="191">
        <f t="shared" si="294"/>
        <v>1</v>
      </c>
      <c r="W1937" s="7">
        <f t="shared" si="295"/>
        <v>1900</v>
      </c>
    </row>
    <row r="1938" spans="2:23" ht="31.95" customHeight="1" thickBot="1" x14ac:dyDescent="0.35">
      <c r="B1938" s="26"/>
      <c r="C1938" s="51" t="str">
        <f t="shared" si="298"/>
        <v/>
      </c>
      <c r="D1938" s="27"/>
      <c r="E1938" s="26"/>
      <c r="F1938" s="26"/>
      <c r="G1938" s="26"/>
      <c r="H1938" s="254"/>
      <c r="I1938" s="49"/>
      <c r="J1938" s="49"/>
      <c r="K1938" s="52" t="str">
        <f t="shared" si="290"/>
        <v/>
      </c>
      <c r="L1938" s="209" t="str">
        <f t="shared" si="291"/>
        <v/>
      </c>
      <c r="M1938" s="210" t="str">
        <f t="shared" si="292"/>
        <v/>
      </c>
      <c r="N1938" s="26"/>
      <c r="O1938" s="27"/>
      <c r="P1938" s="27"/>
      <c r="Q1938" s="2">
        <f t="shared" si="293"/>
        <v>0</v>
      </c>
      <c r="S1938" s="7">
        <f t="shared" si="296"/>
        <v>0</v>
      </c>
      <c r="T1938" s="157">
        <f t="shared" si="297"/>
        <v>0</v>
      </c>
      <c r="V1938" s="191">
        <f t="shared" si="294"/>
        <v>1</v>
      </c>
      <c r="W1938" s="7">
        <f t="shared" si="295"/>
        <v>1900</v>
      </c>
    </row>
    <row r="1939" spans="2:23" ht="31.95" customHeight="1" thickBot="1" x14ac:dyDescent="0.35">
      <c r="B1939" s="26"/>
      <c r="C1939" s="51" t="str">
        <f t="shared" si="298"/>
        <v/>
      </c>
      <c r="D1939" s="27"/>
      <c r="E1939" s="26"/>
      <c r="F1939" s="26"/>
      <c r="G1939" s="26"/>
      <c r="H1939" s="254"/>
      <c r="I1939" s="49"/>
      <c r="J1939" s="49"/>
      <c r="K1939" s="52" t="str">
        <f t="shared" si="290"/>
        <v/>
      </c>
      <c r="L1939" s="209" t="str">
        <f t="shared" si="291"/>
        <v/>
      </c>
      <c r="M1939" s="210" t="str">
        <f t="shared" si="292"/>
        <v/>
      </c>
      <c r="N1939" s="26"/>
      <c r="O1939" s="27"/>
      <c r="P1939" s="27"/>
      <c r="Q1939" s="2">
        <f t="shared" si="293"/>
        <v>0</v>
      </c>
      <c r="S1939" s="7">
        <f t="shared" si="296"/>
        <v>0</v>
      </c>
      <c r="T1939" s="157">
        <f t="shared" si="297"/>
        <v>0</v>
      </c>
      <c r="V1939" s="191">
        <f t="shared" si="294"/>
        <v>1</v>
      </c>
      <c r="W1939" s="7">
        <f t="shared" si="295"/>
        <v>1900</v>
      </c>
    </row>
    <row r="1940" spans="2:23" ht="31.95" customHeight="1" thickBot="1" x14ac:dyDescent="0.35">
      <c r="B1940" s="26"/>
      <c r="C1940" s="51" t="str">
        <f t="shared" si="298"/>
        <v/>
      </c>
      <c r="D1940" s="27"/>
      <c r="E1940" s="26"/>
      <c r="F1940" s="26"/>
      <c r="G1940" s="26"/>
      <c r="H1940" s="254"/>
      <c r="I1940" s="49"/>
      <c r="J1940" s="49"/>
      <c r="K1940" s="52" t="str">
        <f t="shared" si="290"/>
        <v/>
      </c>
      <c r="L1940" s="209" t="str">
        <f t="shared" si="291"/>
        <v/>
      </c>
      <c r="M1940" s="210" t="str">
        <f t="shared" si="292"/>
        <v/>
      </c>
      <c r="N1940" s="26"/>
      <c r="O1940" s="27"/>
      <c r="P1940" s="27"/>
      <c r="Q1940" s="2">
        <f t="shared" si="293"/>
        <v>0</v>
      </c>
      <c r="S1940" s="7">
        <f t="shared" si="296"/>
        <v>0</v>
      </c>
      <c r="T1940" s="157">
        <f t="shared" si="297"/>
        <v>0</v>
      </c>
      <c r="V1940" s="191">
        <f t="shared" si="294"/>
        <v>1</v>
      </c>
      <c r="W1940" s="7">
        <f t="shared" si="295"/>
        <v>1900</v>
      </c>
    </row>
    <row r="1941" spans="2:23" ht="31.95" customHeight="1" thickBot="1" x14ac:dyDescent="0.35">
      <c r="B1941" s="26"/>
      <c r="C1941" s="51" t="str">
        <f t="shared" si="298"/>
        <v/>
      </c>
      <c r="D1941" s="27"/>
      <c r="E1941" s="26"/>
      <c r="F1941" s="26"/>
      <c r="G1941" s="26"/>
      <c r="H1941" s="254"/>
      <c r="I1941" s="49"/>
      <c r="J1941" s="49"/>
      <c r="K1941" s="52" t="str">
        <f t="shared" si="290"/>
        <v/>
      </c>
      <c r="L1941" s="209" t="str">
        <f t="shared" si="291"/>
        <v/>
      </c>
      <c r="M1941" s="210" t="str">
        <f t="shared" si="292"/>
        <v/>
      </c>
      <c r="N1941" s="26"/>
      <c r="O1941" s="27"/>
      <c r="P1941" s="27"/>
      <c r="Q1941" s="2">
        <f t="shared" si="293"/>
        <v>0</v>
      </c>
      <c r="S1941" s="7">
        <f t="shared" si="296"/>
        <v>0</v>
      </c>
      <c r="T1941" s="157">
        <f t="shared" si="297"/>
        <v>0</v>
      </c>
      <c r="V1941" s="191">
        <f t="shared" si="294"/>
        <v>1</v>
      </c>
      <c r="W1941" s="7">
        <f t="shared" si="295"/>
        <v>1900</v>
      </c>
    </row>
    <row r="1942" spans="2:23" ht="31.95" customHeight="1" thickBot="1" x14ac:dyDescent="0.35">
      <c r="B1942" s="26"/>
      <c r="C1942" s="51" t="str">
        <f t="shared" si="298"/>
        <v/>
      </c>
      <c r="D1942" s="27"/>
      <c r="E1942" s="26"/>
      <c r="F1942" s="26"/>
      <c r="G1942" s="26"/>
      <c r="H1942" s="254"/>
      <c r="I1942" s="49"/>
      <c r="J1942" s="49"/>
      <c r="K1942" s="52" t="str">
        <f t="shared" si="290"/>
        <v/>
      </c>
      <c r="L1942" s="209" t="str">
        <f t="shared" si="291"/>
        <v/>
      </c>
      <c r="M1942" s="210" t="str">
        <f t="shared" si="292"/>
        <v/>
      </c>
      <c r="N1942" s="26"/>
      <c r="O1942" s="27"/>
      <c r="P1942" s="27"/>
      <c r="Q1942" s="2">
        <f t="shared" si="293"/>
        <v>0</v>
      </c>
      <c r="S1942" s="7">
        <f t="shared" si="296"/>
        <v>0</v>
      </c>
      <c r="T1942" s="157">
        <f t="shared" si="297"/>
        <v>0</v>
      </c>
      <c r="V1942" s="191">
        <f t="shared" si="294"/>
        <v>1</v>
      </c>
      <c r="W1942" s="7">
        <f t="shared" si="295"/>
        <v>1900</v>
      </c>
    </row>
    <row r="1943" spans="2:23" ht="31.95" customHeight="1" thickBot="1" x14ac:dyDescent="0.35">
      <c r="B1943" s="26"/>
      <c r="C1943" s="51" t="str">
        <f t="shared" si="298"/>
        <v/>
      </c>
      <c r="D1943" s="27"/>
      <c r="E1943" s="26"/>
      <c r="F1943" s="26"/>
      <c r="G1943" s="26"/>
      <c r="H1943" s="254"/>
      <c r="I1943" s="49"/>
      <c r="J1943" s="49"/>
      <c r="K1943" s="52" t="str">
        <f t="shared" si="290"/>
        <v/>
      </c>
      <c r="L1943" s="209" t="str">
        <f t="shared" si="291"/>
        <v/>
      </c>
      <c r="M1943" s="210" t="str">
        <f t="shared" si="292"/>
        <v/>
      </c>
      <c r="N1943" s="26"/>
      <c r="O1943" s="27"/>
      <c r="P1943" s="27"/>
      <c r="Q1943" s="2">
        <f t="shared" si="293"/>
        <v>0</v>
      </c>
      <c r="S1943" s="7">
        <f t="shared" si="296"/>
        <v>0</v>
      </c>
      <c r="T1943" s="157">
        <f t="shared" si="297"/>
        <v>0</v>
      </c>
      <c r="V1943" s="191">
        <f t="shared" si="294"/>
        <v>1</v>
      </c>
      <c r="W1943" s="7">
        <f t="shared" si="295"/>
        <v>1900</v>
      </c>
    </row>
    <row r="1944" spans="2:23" ht="31.95" customHeight="1" thickBot="1" x14ac:dyDescent="0.35">
      <c r="B1944" s="26"/>
      <c r="C1944" s="51" t="str">
        <f t="shared" si="298"/>
        <v/>
      </c>
      <c r="D1944" s="27"/>
      <c r="E1944" s="26"/>
      <c r="F1944" s="26"/>
      <c r="G1944" s="26"/>
      <c r="H1944" s="254"/>
      <c r="I1944" s="49"/>
      <c r="J1944" s="49"/>
      <c r="K1944" s="52" t="str">
        <f t="shared" si="290"/>
        <v/>
      </c>
      <c r="L1944" s="209" t="str">
        <f t="shared" si="291"/>
        <v/>
      </c>
      <c r="M1944" s="210" t="str">
        <f t="shared" si="292"/>
        <v/>
      </c>
      <c r="N1944" s="26"/>
      <c r="O1944" s="27"/>
      <c r="P1944" s="27"/>
      <c r="Q1944" s="2">
        <f t="shared" si="293"/>
        <v>0</v>
      </c>
      <c r="S1944" s="7">
        <f t="shared" si="296"/>
        <v>0</v>
      </c>
      <c r="T1944" s="157">
        <f t="shared" si="297"/>
        <v>0</v>
      </c>
      <c r="V1944" s="191">
        <f t="shared" si="294"/>
        <v>1</v>
      </c>
      <c r="W1944" s="7">
        <f t="shared" si="295"/>
        <v>1900</v>
      </c>
    </row>
    <row r="1945" spans="2:23" ht="31.95" customHeight="1" thickBot="1" x14ac:dyDescent="0.35">
      <c r="B1945" s="26"/>
      <c r="C1945" s="51" t="str">
        <f t="shared" si="298"/>
        <v/>
      </c>
      <c r="D1945" s="27"/>
      <c r="E1945" s="26"/>
      <c r="F1945" s="26"/>
      <c r="G1945" s="26"/>
      <c r="H1945" s="254"/>
      <c r="I1945" s="49"/>
      <c r="J1945" s="49"/>
      <c r="K1945" s="52" t="str">
        <f t="shared" si="290"/>
        <v/>
      </c>
      <c r="L1945" s="209" t="str">
        <f t="shared" si="291"/>
        <v/>
      </c>
      <c r="M1945" s="210" t="str">
        <f t="shared" si="292"/>
        <v/>
      </c>
      <c r="N1945" s="26"/>
      <c r="O1945" s="27"/>
      <c r="P1945" s="27"/>
      <c r="Q1945" s="2">
        <f t="shared" si="293"/>
        <v>0</v>
      </c>
      <c r="S1945" s="7">
        <f t="shared" si="296"/>
        <v>0</v>
      </c>
      <c r="T1945" s="157">
        <f t="shared" si="297"/>
        <v>0</v>
      </c>
      <c r="V1945" s="191">
        <f t="shared" si="294"/>
        <v>1</v>
      </c>
      <c r="W1945" s="7">
        <f t="shared" si="295"/>
        <v>1900</v>
      </c>
    </row>
    <row r="1946" spans="2:23" ht="31.95" customHeight="1" thickBot="1" x14ac:dyDescent="0.35">
      <c r="B1946" s="26"/>
      <c r="C1946" s="51" t="str">
        <f t="shared" si="298"/>
        <v/>
      </c>
      <c r="D1946" s="27"/>
      <c r="E1946" s="26"/>
      <c r="F1946" s="26"/>
      <c r="G1946" s="26"/>
      <c r="H1946" s="254"/>
      <c r="I1946" s="49"/>
      <c r="J1946" s="49"/>
      <c r="K1946" s="52" t="str">
        <f t="shared" si="290"/>
        <v/>
      </c>
      <c r="L1946" s="209" t="str">
        <f t="shared" si="291"/>
        <v/>
      </c>
      <c r="M1946" s="210" t="str">
        <f t="shared" si="292"/>
        <v/>
      </c>
      <c r="N1946" s="26"/>
      <c r="O1946" s="27"/>
      <c r="P1946" s="27"/>
      <c r="Q1946" s="2">
        <f t="shared" si="293"/>
        <v>0</v>
      </c>
      <c r="S1946" s="7">
        <f t="shared" si="296"/>
        <v>0</v>
      </c>
      <c r="T1946" s="157">
        <f t="shared" si="297"/>
        <v>0</v>
      </c>
      <c r="V1946" s="191">
        <f t="shared" si="294"/>
        <v>1</v>
      </c>
      <c r="W1946" s="7">
        <f t="shared" si="295"/>
        <v>1900</v>
      </c>
    </row>
    <row r="1947" spans="2:23" ht="31.95" customHeight="1" thickBot="1" x14ac:dyDescent="0.35">
      <c r="B1947" s="26"/>
      <c r="C1947" s="51" t="str">
        <f t="shared" si="298"/>
        <v/>
      </c>
      <c r="D1947" s="27"/>
      <c r="E1947" s="26"/>
      <c r="F1947" s="26"/>
      <c r="G1947" s="26"/>
      <c r="H1947" s="254"/>
      <c r="I1947" s="49"/>
      <c r="J1947" s="49"/>
      <c r="K1947" s="52" t="str">
        <f t="shared" si="290"/>
        <v/>
      </c>
      <c r="L1947" s="209" t="str">
        <f t="shared" si="291"/>
        <v/>
      </c>
      <c r="M1947" s="210" t="str">
        <f t="shared" si="292"/>
        <v/>
      </c>
      <c r="N1947" s="26"/>
      <c r="O1947" s="27"/>
      <c r="P1947" s="27"/>
      <c r="Q1947" s="2">
        <f t="shared" si="293"/>
        <v>0</v>
      </c>
      <c r="S1947" s="7">
        <f t="shared" si="296"/>
        <v>0</v>
      </c>
      <c r="T1947" s="157">
        <f t="shared" si="297"/>
        <v>0</v>
      </c>
      <c r="V1947" s="191">
        <f t="shared" si="294"/>
        <v>1</v>
      </c>
      <c r="W1947" s="7">
        <f t="shared" si="295"/>
        <v>1900</v>
      </c>
    </row>
    <row r="1948" spans="2:23" ht="31.95" customHeight="1" thickBot="1" x14ac:dyDescent="0.35">
      <c r="B1948" s="26"/>
      <c r="C1948" s="51" t="str">
        <f t="shared" si="298"/>
        <v/>
      </c>
      <c r="D1948" s="27"/>
      <c r="E1948" s="26"/>
      <c r="F1948" s="26"/>
      <c r="G1948" s="26"/>
      <c r="H1948" s="254"/>
      <c r="I1948" s="49"/>
      <c r="J1948" s="49"/>
      <c r="K1948" s="52" t="str">
        <f t="shared" si="290"/>
        <v/>
      </c>
      <c r="L1948" s="209" t="str">
        <f t="shared" si="291"/>
        <v/>
      </c>
      <c r="M1948" s="210" t="str">
        <f t="shared" si="292"/>
        <v/>
      </c>
      <c r="N1948" s="26"/>
      <c r="O1948" s="27"/>
      <c r="P1948" s="27"/>
      <c r="Q1948" s="2">
        <f t="shared" si="293"/>
        <v>0</v>
      </c>
      <c r="S1948" s="7">
        <f t="shared" si="296"/>
        <v>0</v>
      </c>
      <c r="T1948" s="157">
        <f t="shared" si="297"/>
        <v>0</v>
      </c>
      <c r="V1948" s="191">
        <f t="shared" si="294"/>
        <v>1</v>
      </c>
      <c r="W1948" s="7">
        <f t="shared" si="295"/>
        <v>1900</v>
      </c>
    </row>
    <row r="1949" spans="2:23" ht="31.95" customHeight="1" thickBot="1" x14ac:dyDescent="0.35">
      <c r="B1949" s="26"/>
      <c r="C1949" s="51" t="str">
        <f t="shared" si="298"/>
        <v/>
      </c>
      <c r="D1949" s="27"/>
      <c r="E1949" s="26"/>
      <c r="F1949" s="26"/>
      <c r="G1949" s="26"/>
      <c r="H1949" s="254"/>
      <c r="I1949" s="49"/>
      <c r="J1949" s="49"/>
      <c r="K1949" s="52" t="str">
        <f t="shared" si="290"/>
        <v/>
      </c>
      <c r="L1949" s="209" t="str">
        <f t="shared" si="291"/>
        <v/>
      </c>
      <c r="M1949" s="210" t="str">
        <f t="shared" si="292"/>
        <v/>
      </c>
      <c r="N1949" s="26"/>
      <c r="O1949" s="27"/>
      <c r="P1949" s="27"/>
      <c r="Q1949" s="2">
        <f t="shared" si="293"/>
        <v>0</v>
      </c>
      <c r="S1949" s="7">
        <f t="shared" si="296"/>
        <v>0</v>
      </c>
      <c r="T1949" s="157">
        <f t="shared" si="297"/>
        <v>0</v>
      </c>
      <c r="V1949" s="191">
        <f t="shared" si="294"/>
        <v>1</v>
      </c>
      <c r="W1949" s="7">
        <f t="shared" si="295"/>
        <v>1900</v>
      </c>
    </row>
    <row r="1950" spans="2:23" ht="31.95" customHeight="1" thickBot="1" x14ac:dyDescent="0.35">
      <c r="B1950" s="26"/>
      <c r="C1950" s="51" t="str">
        <f t="shared" si="298"/>
        <v/>
      </c>
      <c r="D1950" s="27"/>
      <c r="E1950" s="26"/>
      <c r="F1950" s="26"/>
      <c r="G1950" s="26"/>
      <c r="H1950" s="254"/>
      <c r="I1950" s="49"/>
      <c r="J1950" s="49"/>
      <c r="K1950" s="52" t="str">
        <f t="shared" si="290"/>
        <v/>
      </c>
      <c r="L1950" s="209" t="str">
        <f t="shared" si="291"/>
        <v/>
      </c>
      <c r="M1950" s="210" t="str">
        <f t="shared" si="292"/>
        <v/>
      </c>
      <c r="N1950" s="26"/>
      <c r="O1950" s="27"/>
      <c r="P1950" s="27"/>
      <c r="Q1950" s="2">
        <f t="shared" si="293"/>
        <v>0</v>
      </c>
      <c r="S1950" s="7">
        <f t="shared" si="296"/>
        <v>0</v>
      </c>
      <c r="T1950" s="157">
        <f t="shared" si="297"/>
        <v>0</v>
      </c>
      <c r="V1950" s="191">
        <f t="shared" si="294"/>
        <v>1</v>
      </c>
      <c r="W1950" s="7">
        <f t="shared" si="295"/>
        <v>1900</v>
      </c>
    </row>
    <row r="1951" spans="2:23" ht="31.95" customHeight="1" thickBot="1" x14ac:dyDescent="0.35">
      <c r="B1951" s="26"/>
      <c r="C1951" s="51" t="str">
        <f t="shared" si="298"/>
        <v/>
      </c>
      <c r="D1951" s="27"/>
      <c r="E1951" s="26"/>
      <c r="F1951" s="26"/>
      <c r="G1951" s="26"/>
      <c r="H1951" s="254"/>
      <c r="I1951" s="49"/>
      <c r="J1951" s="49"/>
      <c r="K1951" s="52" t="str">
        <f t="shared" si="290"/>
        <v/>
      </c>
      <c r="L1951" s="209" t="str">
        <f t="shared" si="291"/>
        <v/>
      </c>
      <c r="M1951" s="210" t="str">
        <f t="shared" si="292"/>
        <v/>
      </c>
      <c r="N1951" s="26"/>
      <c r="O1951" s="27"/>
      <c r="P1951" s="27"/>
      <c r="Q1951" s="2">
        <f t="shared" si="293"/>
        <v>0</v>
      </c>
      <c r="S1951" s="7">
        <f t="shared" si="296"/>
        <v>0</v>
      </c>
      <c r="T1951" s="157">
        <f t="shared" si="297"/>
        <v>0</v>
      </c>
      <c r="V1951" s="191">
        <f t="shared" si="294"/>
        <v>1</v>
      </c>
      <c r="W1951" s="7">
        <f t="shared" si="295"/>
        <v>1900</v>
      </c>
    </row>
    <row r="1952" spans="2:23" ht="31.95" customHeight="1" thickBot="1" x14ac:dyDescent="0.35">
      <c r="B1952" s="26"/>
      <c r="C1952" s="51" t="str">
        <f t="shared" si="298"/>
        <v/>
      </c>
      <c r="D1952" s="27"/>
      <c r="E1952" s="26"/>
      <c r="F1952" s="26"/>
      <c r="G1952" s="26"/>
      <c r="H1952" s="254"/>
      <c r="I1952" s="49"/>
      <c r="J1952" s="49"/>
      <c r="K1952" s="52" t="str">
        <f t="shared" si="290"/>
        <v/>
      </c>
      <c r="L1952" s="209" t="str">
        <f t="shared" si="291"/>
        <v/>
      </c>
      <c r="M1952" s="210" t="str">
        <f t="shared" si="292"/>
        <v/>
      </c>
      <c r="N1952" s="26"/>
      <c r="O1952" s="27"/>
      <c r="P1952" s="27"/>
      <c r="Q1952" s="2">
        <f t="shared" si="293"/>
        <v>0</v>
      </c>
      <c r="S1952" s="7">
        <f t="shared" si="296"/>
        <v>0</v>
      </c>
      <c r="T1952" s="157">
        <f t="shared" si="297"/>
        <v>0</v>
      </c>
      <c r="V1952" s="191">
        <f t="shared" si="294"/>
        <v>1</v>
      </c>
      <c r="W1952" s="7">
        <f t="shared" si="295"/>
        <v>1900</v>
      </c>
    </row>
    <row r="1953" spans="2:23" ht="31.95" customHeight="1" thickBot="1" x14ac:dyDescent="0.35">
      <c r="B1953" s="26"/>
      <c r="C1953" s="51" t="str">
        <f t="shared" si="298"/>
        <v/>
      </c>
      <c r="D1953" s="27"/>
      <c r="E1953" s="26"/>
      <c r="F1953" s="26"/>
      <c r="G1953" s="26"/>
      <c r="H1953" s="254"/>
      <c r="I1953" s="49"/>
      <c r="J1953" s="49"/>
      <c r="K1953" s="52" t="str">
        <f t="shared" si="290"/>
        <v/>
      </c>
      <c r="L1953" s="209" t="str">
        <f t="shared" si="291"/>
        <v/>
      </c>
      <c r="M1953" s="210" t="str">
        <f t="shared" si="292"/>
        <v/>
      </c>
      <c r="N1953" s="26"/>
      <c r="O1953" s="27"/>
      <c r="P1953" s="27"/>
      <c r="Q1953" s="2">
        <f t="shared" si="293"/>
        <v>0</v>
      </c>
      <c r="S1953" s="7">
        <f t="shared" si="296"/>
        <v>0</v>
      </c>
      <c r="T1953" s="157">
        <f t="shared" si="297"/>
        <v>0</v>
      </c>
      <c r="V1953" s="191">
        <f t="shared" si="294"/>
        <v>1</v>
      </c>
      <c r="W1953" s="7">
        <f t="shared" si="295"/>
        <v>1900</v>
      </c>
    </row>
    <row r="1954" spans="2:23" ht="31.95" customHeight="1" thickBot="1" x14ac:dyDescent="0.35">
      <c r="B1954" s="26"/>
      <c r="C1954" s="51" t="str">
        <f t="shared" si="298"/>
        <v/>
      </c>
      <c r="D1954" s="27"/>
      <c r="E1954" s="26"/>
      <c r="F1954" s="26"/>
      <c r="G1954" s="26"/>
      <c r="H1954" s="254"/>
      <c r="I1954" s="49"/>
      <c r="J1954" s="49"/>
      <c r="K1954" s="52" t="str">
        <f t="shared" si="290"/>
        <v/>
      </c>
      <c r="L1954" s="209" t="str">
        <f t="shared" si="291"/>
        <v/>
      </c>
      <c r="M1954" s="210" t="str">
        <f t="shared" si="292"/>
        <v/>
      </c>
      <c r="N1954" s="26"/>
      <c r="O1954" s="27"/>
      <c r="P1954" s="27"/>
      <c r="Q1954" s="2">
        <f t="shared" si="293"/>
        <v>0</v>
      </c>
      <c r="S1954" s="7">
        <f t="shared" si="296"/>
        <v>0</v>
      </c>
      <c r="T1954" s="157">
        <f t="shared" si="297"/>
        <v>0</v>
      </c>
      <c r="V1954" s="191">
        <f t="shared" si="294"/>
        <v>1</v>
      </c>
      <c r="W1954" s="7">
        <f t="shared" si="295"/>
        <v>1900</v>
      </c>
    </row>
    <row r="1955" spans="2:23" ht="31.95" customHeight="1" thickBot="1" x14ac:dyDescent="0.35">
      <c r="B1955" s="26"/>
      <c r="C1955" s="51" t="str">
        <f t="shared" si="298"/>
        <v/>
      </c>
      <c r="D1955" s="27"/>
      <c r="E1955" s="26"/>
      <c r="F1955" s="26"/>
      <c r="G1955" s="26"/>
      <c r="H1955" s="254"/>
      <c r="I1955" s="49"/>
      <c r="J1955" s="49"/>
      <c r="K1955" s="52" t="str">
        <f t="shared" si="290"/>
        <v/>
      </c>
      <c r="L1955" s="209" t="str">
        <f t="shared" si="291"/>
        <v/>
      </c>
      <c r="M1955" s="210" t="str">
        <f t="shared" si="292"/>
        <v/>
      </c>
      <c r="N1955" s="26"/>
      <c r="O1955" s="27"/>
      <c r="P1955" s="27"/>
      <c r="Q1955" s="2">
        <f t="shared" si="293"/>
        <v>0</v>
      </c>
      <c r="S1955" s="7">
        <f t="shared" si="296"/>
        <v>0</v>
      </c>
      <c r="T1955" s="157">
        <f t="shared" si="297"/>
        <v>0</v>
      </c>
      <c r="V1955" s="191">
        <f t="shared" si="294"/>
        <v>1</v>
      </c>
      <c r="W1955" s="7">
        <f t="shared" si="295"/>
        <v>1900</v>
      </c>
    </row>
    <row r="1956" spans="2:23" ht="31.95" customHeight="1" thickBot="1" x14ac:dyDescent="0.35">
      <c r="B1956" s="26"/>
      <c r="C1956" s="51" t="str">
        <f t="shared" si="298"/>
        <v/>
      </c>
      <c r="D1956" s="27"/>
      <c r="E1956" s="26"/>
      <c r="F1956" s="26"/>
      <c r="G1956" s="26"/>
      <c r="H1956" s="254"/>
      <c r="I1956" s="49"/>
      <c r="J1956" s="49"/>
      <c r="K1956" s="52" t="str">
        <f t="shared" si="290"/>
        <v/>
      </c>
      <c r="L1956" s="209" t="str">
        <f t="shared" si="291"/>
        <v/>
      </c>
      <c r="M1956" s="210" t="str">
        <f t="shared" si="292"/>
        <v/>
      </c>
      <c r="N1956" s="26"/>
      <c r="O1956" s="27"/>
      <c r="P1956" s="27"/>
      <c r="Q1956" s="2">
        <f t="shared" si="293"/>
        <v>0</v>
      </c>
      <c r="S1956" s="7">
        <f t="shared" si="296"/>
        <v>0</v>
      </c>
      <c r="T1956" s="157">
        <f t="shared" si="297"/>
        <v>0</v>
      </c>
      <c r="V1956" s="191">
        <f t="shared" si="294"/>
        <v>1</v>
      </c>
      <c r="W1956" s="7">
        <f t="shared" si="295"/>
        <v>1900</v>
      </c>
    </row>
    <row r="1957" spans="2:23" ht="31.95" customHeight="1" thickBot="1" x14ac:dyDescent="0.35">
      <c r="B1957" s="26"/>
      <c r="C1957" s="51" t="str">
        <f t="shared" si="298"/>
        <v/>
      </c>
      <c r="D1957" s="27"/>
      <c r="E1957" s="26"/>
      <c r="F1957" s="26"/>
      <c r="G1957" s="26"/>
      <c r="H1957" s="254"/>
      <c r="I1957" s="49"/>
      <c r="J1957" s="49"/>
      <c r="K1957" s="52" t="str">
        <f t="shared" si="290"/>
        <v/>
      </c>
      <c r="L1957" s="209" t="str">
        <f t="shared" si="291"/>
        <v/>
      </c>
      <c r="M1957" s="210" t="str">
        <f t="shared" si="292"/>
        <v/>
      </c>
      <c r="N1957" s="26"/>
      <c r="O1957" s="27"/>
      <c r="P1957" s="27"/>
      <c r="Q1957" s="2">
        <f t="shared" si="293"/>
        <v>0</v>
      </c>
      <c r="S1957" s="7">
        <f t="shared" si="296"/>
        <v>0</v>
      </c>
      <c r="T1957" s="157">
        <f t="shared" si="297"/>
        <v>0</v>
      </c>
      <c r="V1957" s="191">
        <f t="shared" si="294"/>
        <v>1</v>
      </c>
      <c r="W1957" s="7">
        <f t="shared" si="295"/>
        <v>1900</v>
      </c>
    </row>
    <row r="1958" spans="2:23" ht="31.95" customHeight="1" thickBot="1" x14ac:dyDescent="0.35">
      <c r="B1958" s="26"/>
      <c r="C1958" s="51" t="str">
        <f t="shared" si="298"/>
        <v/>
      </c>
      <c r="D1958" s="27"/>
      <c r="E1958" s="26"/>
      <c r="F1958" s="26"/>
      <c r="G1958" s="26"/>
      <c r="H1958" s="254"/>
      <c r="I1958" s="49"/>
      <c r="J1958" s="49"/>
      <c r="K1958" s="52" t="str">
        <f t="shared" si="290"/>
        <v/>
      </c>
      <c r="L1958" s="209" t="str">
        <f t="shared" si="291"/>
        <v/>
      </c>
      <c r="M1958" s="210" t="str">
        <f t="shared" si="292"/>
        <v/>
      </c>
      <c r="N1958" s="26"/>
      <c r="O1958" s="27"/>
      <c r="P1958" s="27"/>
      <c r="Q1958" s="2">
        <f t="shared" si="293"/>
        <v>0</v>
      </c>
      <c r="S1958" s="7">
        <f t="shared" si="296"/>
        <v>0</v>
      </c>
      <c r="T1958" s="157">
        <f t="shared" si="297"/>
        <v>0</v>
      </c>
      <c r="V1958" s="191">
        <f t="shared" si="294"/>
        <v>1</v>
      </c>
      <c r="W1958" s="7">
        <f t="shared" si="295"/>
        <v>1900</v>
      </c>
    </row>
    <row r="1959" spans="2:23" ht="31.95" customHeight="1" thickBot="1" x14ac:dyDescent="0.35">
      <c r="B1959" s="26"/>
      <c r="C1959" s="51" t="str">
        <f t="shared" si="298"/>
        <v/>
      </c>
      <c r="D1959" s="27"/>
      <c r="E1959" s="26"/>
      <c r="F1959" s="26"/>
      <c r="G1959" s="26"/>
      <c r="H1959" s="254"/>
      <c r="I1959" s="49"/>
      <c r="J1959" s="49"/>
      <c r="K1959" s="52" t="str">
        <f t="shared" si="290"/>
        <v/>
      </c>
      <c r="L1959" s="209" t="str">
        <f t="shared" si="291"/>
        <v/>
      </c>
      <c r="M1959" s="210" t="str">
        <f t="shared" si="292"/>
        <v/>
      </c>
      <c r="N1959" s="26"/>
      <c r="O1959" s="27"/>
      <c r="P1959" s="27"/>
      <c r="Q1959" s="2">
        <f t="shared" si="293"/>
        <v>0</v>
      </c>
      <c r="S1959" s="7">
        <f t="shared" si="296"/>
        <v>0</v>
      </c>
      <c r="T1959" s="157">
        <f t="shared" si="297"/>
        <v>0</v>
      </c>
      <c r="V1959" s="191">
        <f t="shared" si="294"/>
        <v>1</v>
      </c>
      <c r="W1959" s="7">
        <f t="shared" si="295"/>
        <v>1900</v>
      </c>
    </row>
    <row r="1960" spans="2:23" ht="31.95" customHeight="1" thickBot="1" x14ac:dyDescent="0.35">
      <c r="B1960" s="26"/>
      <c r="C1960" s="51" t="str">
        <f t="shared" si="298"/>
        <v/>
      </c>
      <c r="D1960" s="27"/>
      <c r="E1960" s="26"/>
      <c r="F1960" s="26"/>
      <c r="G1960" s="26"/>
      <c r="H1960" s="254"/>
      <c r="I1960" s="49"/>
      <c r="J1960" s="49"/>
      <c r="K1960" s="52" t="str">
        <f t="shared" si="290"/>
        <v/>
      </c>
      <c r="L1960" s="209" t="str">
        <f t="shared" si="291"/>
        <v/>
      </c>
      <c r="M1960" s="210" t="str">
        <f t="shared" si="292"/>
        <v/>
      </c>
      <c r="N1960" s="26"/>
      <c r="O1960" s="27"/>
      <c r="P1960" s="27"/>
      <c r="Q1960" s="2">
        <f t="shared" si="293"/>
        <v>0</v>
      </c>
      <c r="S1960" s="7">
        <f t="shared" si="296"/>
        <v>0</v>
      </c>
      <c r="T1960" s="157">
        <f t="shared" si="297"/>
        <v>0</v>
      </c>
      <c r="V1960" s="191">
        <f t="shared" si="294"/>
        <v>1</v>
      </c>
      <c r="W1960" s="7">
        <f t="shared" si="295"/>
        <v>1900</v>
      </c>
    </row>
    <row r="1961" spans="2:23" ht="31.95" customHeight="1" thickBot="1" x14ac:dyDescent="0.35">
      <c r="B1961" s="26"/>
      <c r="C1961" s="51" t="str">
        <f t="shared" si="298"/>
        <v/>
      </c>
      <c r="D1961" s="27"/>
      <c r="E1961" s="26"/>
      <c r="F1961" s="26"/>
      <c r="G1961" s="26"/>
      <c r="H1961" s="254"/>
      <c r="I1961" s="49"/>
      <c r="J1961" s="49"/>
      <c r="K1961" s="52" t="str">
        <f t="shared" si="290"/>
        <v/>
      </c>
      <c r="L1961" s="209" t="str">
        <f t="shared" si="291"/>
        <v/>
      </c>
      <c r="M1961" s="210" t="str">
        <f t="shared" si="292"/>
        <v/>
      </c>
      <c r="N1961" s="26"/>
      <c r="O1961" s="27"/>
      <c r="P1961" s="27"/>
      <c r="Q1961" s="2">
        <f t="shared" si="293"/>
        <v>0</v>
      </c>
      <c r="S1961" s="7">
        <f t="shared" si="296"/>
        <v>0</v>
      </c>
      <c r="T1961" s="157">
        <f t="shared" si="297"/>
        <v>0</v>
      </c>
      <c r="V1961" s="191">
        <f t="shared" si="294"/>
        <v>1</v>
      </c>
      <c r="W1961" s="7">
        <f t="shared" si="295"/>
        <v>1900</v>
      </c>
    </row>
    <row r="1962" spans="2:23" ht="31.95" customHeight="1" thickBot="1" x14ac:dyDescent="0.35">
      <c r="B1962" s="26"/>
      <c r="C1962" s="51" t="str">
        <f t="shared" si="298"/>
        <v/>
      </c>
      <c r="D1962" s="27"/>
      <c r="E1962" s="26"/>
      <c r="F1962" s="26"/>
      <c r="G1962" s="26"/>
      <c r="H1962" s="254"/>
      <c r="I1962" s="49"/>
      <c r="J1962" s="49"/>
      <c r="K1962" s="52" t="str">
        <f t="shared" si="290"/>
        <v/>
      </c>
      <c r="L1962" s="209" t="str">
        <f t="shared" si="291"/>
        <v/>
      </c>
      <c r="M1962" s="210" t="str">
        <f t="shared" si="292"/>
        <v/>
      </c>
      <c r="N1962" s="26"/>
      <c r="O1962" s="27"/>
      <c r="P1962" s="27"/>
      <c r="Q1962" s="2">
        <f t="shared" si="293"/>
        <v>0</v>
      </c>
      <c r="S1962" s="7">
        <f t="shared" si="296"/>
        <v>0</v>
      </c>
      <c r="T1962" s="157">
        <f t="shared" si="297"/>
        <v>0</v>
      </c>
      <c r="V1962" s="191">
        <f t="shared" si="294"/>
        <v>1</v>
      </c>
      <c r="W1962" s="7">
        <f t="shared" si="295"/>
        <v>1900</v>
      </c>
    </row>
    <row r="1963" spans="2:23" ht="31.95" customHeight="1" thickBot="1" x14ac:dyDescent="0.35">
      <c r="B1963" s="26"/>
      <c r="C1963" s="51" t="str">
        <f t="shared" si="298"/>
        <v/>
      </c>
      <c r="D1963" s="27"/>
      <c r="E1963" s="26"/>
      <c r="F1963" s="26"/>
      <c r="G1963" s="26"/>
      <c r="H1963" s="254"/>
      <c r="I1963" s="49"/>
      <c r="J1963" s="49"/>
      <c r="K1963" s="52" t="str">
        <f t="shared" si="290"/>
        <v/>
      </c>
      <c r="L1963" s="209" t="str">
        <f t="shared" si="291"/>
        <v/>
      </c>
      <c r="M1963" s="210" t="str">
        <f t="shared" si="292"/>
        <v/>
      </c>
      <c r="N1963" s="26"/>
      <c r="O1963" s="27"/>
      <c r="P1963" s="27"/>
      <c r="Q1963" s="2">
        <f t="shared" si="293"/>
        <v>0</v>
      </c>
      <c r="S1963" s="7">
        <f t="shared" si="296"/>
        <v>0</v>
      </c>
      <c r="T1963" s="157">
        <f t="shared" si="297"/>
        <v>0</v>
      </c>
      <c r="V1963" s="191">
        <f t="shared" si="294"/>
        <v>1</v>
      </c>
      <c r="W1963" s="7">
        <f t="shared" si="295"/>
        <v>1900</v>
      </c>
    </row>
    <row r="1964" spans="2:23" ht="31.95" customHeight="1" thickBot="1" x14ac:dyDescent="0.35">
      <c r="B1964" s="26"/>
      <c r="C1964" s="51" t="str">
        <f t="shared" si="298"/>
        <v/>
      </c>
      <c r="D1964" s="27"/>
      <c r="E1964" s="26"/>
      <c r="F1964" s="26"/>
      <c r="G1964" s="26"/>
      <c r="H1964" s="254"/>
      <c r="I1964" s="49"/>
      <c r="J1964" s="49"/>
      <c r="K1964" s="52" t="str">
        <f t="shared" si="290"/>
        <v/>
      </c>
      <c r="L1964" s="209" t="str">
        <f t="shared" si="291"/>
        <v/>
      </c>
      <c r="M1964" s="210" t="str">
        <f t="shared" si="292"/>
        <v/>
      </c>
      <c r="N1964" s="26"/>
      <c r="O1964" s="27"/>
      <c r="P1964" s="27"/>
      <c r="Q1964" s="2">
        <f t="shared" si="293"/>
        <v>0</v>
      </c>
      <c r="S1964" s="7">
        <f t="shared" si="296"/>
        <v>0</v>
      </c>
      <c r="T1964" s="157">
        <f t="shared" si="297"/>
        <v>0</v>
      </c>
      <c r="V1964" s="191">
        <f t="shared" si="294"/>
        <v>1</v>
      </c>
      <c r="W1964" s="7">
        <f t="shared" si="295"/>
        <v>1900</v>
      </c>
    </row>
    <row r="1965" spans="2:23" ht="31.95" customHeight="1" thickBot="1" x14ac:dyDescent="0.35">
      <c r="B1965" s="26"/>
      <c r="C1965" s="51" t="str">
        <f t="shared" si="298"/>
        <v/>
      </c>
      <c r="D1965" s="27"/>
      <c r="E1965" s="26"/>
      <c r="F1965" s="26"/>
      <c r="G1965" s="26"/>
      <c r="H1965" s="254"/>
      <c r="I1965" s="49"/>
      <c r="J1965" s="49"/>
      <c r="K1965" s="52" t="str">
        <f t="shared" ref="K1965:K2000" si="299">IFERROR(J1965/I1965,"")</f>
        <v/>
      </c>
      <c r="L1965" s="209" t="str">
        <f t="shared" ref="L1965:L2000" si="300">IF(I1965="","",I1965-J1965)</f>
        <v/>
      </c>
      <c r="M1965" s="210" t="str">
        <f t="shared" ref="M1965:M2000" si="301">IFERROR(1-K1965,"")</f>
        <v/>
      </c>
      <c r="N1965" s="26"/>
      <c r="O1965" s="27"/>
      <c r="P1965" s="27"/>
      <c r="Q1965" s="2">
        <f t="shared" si="293"/>
        <v>0</v>
      </c>
      <c r="S1965" s="7">
        <f t="shared" si="296"/>
        <v>0</v>
      </c>
      <c r="T1965" s="157">
        <f t="shared" si="297"/>
        <v>0</v>
      </c>
      <c r="V1965" s="191">
        <f t="shared" si="294"/>
        <v>1</v>
      </c>
      <c r="W1965" s="7">
        <f t="shared" si="295"/>
        <v>1900</v>
      </c>
    </row>
    <row r="1966" spans="2:23" ht="31.95" customHeight="1" thickBot="1" x14ac:dyDescent="0.35">
      <c r="B1966" s="26"/>
      <c r="C1966" s="51" t="str">
        <f t="shared" si="298"/>
        <v/>
      </c>
      <c r="D1966" s="27"/>
      <c r="E1966" s="26"/>
      <c r="F1966" s="26"/>
      <c r="G1966" s="26"/>
      <c r="H1966" s="254"/>
      <c r="I1966" s="49"/>
      <c r="J1966" s="49"/>
      <c r="K1966" s="52" t="str">
        <f t="shared" si="299"/>
        <v/>
      </c>
      <c r="L1966" s="209" t="str">
        <f t="shared" si="300"/>
        <v/>
      </c>
      <c r="M1966" s="210" t="str">
        <f t="shared" si="301"/>
        <v/>
      </c>
      <c r="N1966" s="26"/>
      <c r="O1966" s="27"/>
      <c r="P1966" s="27"/>
      <c r="Q1966" s="2">
        <f t="shared" si="293"/>
        <v>0</v>
      </c>
      <c r="S1966" s="7">
        <f t="shared" si="296"/>
        <v>0</v>
      </c>
      <c r="T1966" s="157">
        <f t="shared" si="297"/>
        <v>0</v>
      </c>
      <c r="V1966" s="191">
        <f t="shared" si="294"/>
        <v>1</v>
      </c>
      <c r="W1966" s="7">
        <f t="shared" si="295"/>
        <v>1900</v>
      </c>
    </row>
    <row r="1967" spans="2:23" ht="31.95" customHeight="1" thickBot="1" x14ac:dyDescent="0.35">
      <c r="B1967" s="26"/>
      <c r="C1967" s="51" t="str">
        <f t="shared" si="298"/>
        <v/>
      </c>
      <c r="D1967" s="27"/>
      <c r="E1967" s="26"/>
      <c r="F1967" s="26"/>
      <c r="G1967" s="26"/>
      <c r="H1967" s="254"/>
      <c r="I1967" s="49"/>
      <c r="J1967" s="49"/>
      <c r="K1967" s="52" t="str">
        <f t="shared" si="299"/>
        <v/>
      </c>
      <c r="L1967" s="209" t="str">
        <f t="shared" si="300"/>
        <v/>
      </c>
      <c r="M1967" s="210" t="str">
        <f t="shared" si="301"/>
        <v/>
      </c>
      <c r="N1967" s="26"/>
      <c r="O1967" s="27"/>
      <c r="P1967" s="27"/>
      <c r="Q1967" s="2">
        <f t="shared" si="293"/>
        <v>0</v>
      </c>
      <c r="S1967" s="7">
        <f t="shared" si="296"/>
        <v>0</v>
      </c>
      <c r="T1967" s="157">
        <f t="shared" si="297"/>
        <v>0</v>
      </c>
      <c r="V1967" s="191">
        <f t="shared" si="294"/>
        <v>1</v>
      </c>
      <c r="W1967" s="7">
        <f t="shared" si="295"/>
        <v>1900</v>
      </c>
    </row>
    <row r="1968" spans="2:23" ht="31.95" customHeight="1" thickBot="1" x14ac:dyDescent="0.35">
      <c r="B1968" s="26"/>
      <c r="C1968" s="51" t="str">
        <f t="shared" si="298"/>
        <v/>
      </c>
      <c r="D1968" s="27"/>
      <c r="E1968" s="26"/>
      <c r="F1968" s="26"/>
      <c r="G1968" s="26"/>
      <c r="H1968" s="254"/>
      <c r="I1968" s="49"/>
      <c r="J1968" s="49"/>
      <c r="K1968" s="52" t="str">
        <f t="shared" si="299"/>
        <v/>
      </c>
      <c r="L1968" s="209" t="str">
        <f t="shared" si="300"/>
        <v/>
      </c>
      <c r="M1968" s="210" t="str">
        <f t="shared" si="301"/>
        <v/>
      </c>
      <c r="N1968" s="26"/>
      <c r="O1968" s="27"/>
      <c r="P1968" s="27"/>
      <c r="Q1968" s="2">
        <f t="shared" si="293"/>
        <v>0</v>
      </c>
      <c r="S1968" s="7">
        <f t="shared" si="296"/>
        <v>0</v>
      </c>
      <c r="T1968" s="157">
        <f t="shared" si="297"/>
        <v>0</v>
      </c>
      <c r="V1968" s="191">
        <f t="shared" si="294"/>
        <v>1</v>
      </c>
      <c r="W1968" s="7">
        <f t="shared" si="295"/>
        <v>1900</v>
      </c>
    </row>
    <row r="1969" spans="2:23" ht="31.95" customHeight="1" thickBot="1" x14ac:dyDescent="0.35">
      <c r="B1969" s="26"/>
      <c r="C1969" s="51" t="str">
        <f t="shared" si="298"/>
        <v/>
      </c>
      <c r="D1969" s="27"/>
      <c r="E1969" s="26"/>
      <c r="F1969" s="26"/>
      <c r="G1969" s="26"/>
      <c r="H1969" s="254"/>
      <c r="I1969" s="49"/>
      <c r="J1969" s="49"/>
      <c r="K1969" s="52" t="str">
        <f t="shared" si="299"/>
        <v/>
      </c>
      <c r="L1969" s="209" t="str">
        <f t="shared" si="300"/>
        <v/>
      </c>
      <c r="M1969" s="210" t="str">
        <f t="shared" si="301"/>
        <v/>
      </c>
      <c r="N1969" s="26"/>
      <c r="O1969" s="27"/>
      <c r="P1969" s="27"/>
      <c r="Q1969" s="2">
        <f t="shared" si="293"/>
        <v>0</v>
      </c>
      <c r="S1969" s="7">
        <f t="shared" si="296"/>
        <v>0</v>
      </c>
      <c r="T1969" s="157">
        <f t="shared" si="297"/>
        <v>0</v>
      </c>
      <c r="V1969" s="191">
        <f t="shared" si="294"/>
        <v>1</v>
      </c>
      <c r="W1969" s="7">
        <f t="shared" si="295"/>
        <v>1900</v>
      </c>
    </row>
    <row r="1970" spans="2:23" ht="31.95" customHeight="1" thickBot="1" x14ac:dyDescent="0.35">
      <c r="B1970" s="26"/>
      <c r="C1970" s="51" t="str">
        <f t="shared" si="298"/>
        <v/>
      </c>
      <c r="D1970" s="27"/>
      <c r="E1970" s="26"/>
      <c r="F1970" s="26"/>
      <c r="G1970" s="26"/>
      <c r="H1970" s="254"/>
      <c r="I1970" s="49"/>
      <c r="J1970" s="49"/>
      <c r="K1970" s="52" t="str">
        <f t="shared" si="299"/>
        <v/>
      </c>
      <c r="L1970" s="209" t="str">
        <f t="shared" si="300"/>
        <v/>
      </c>
      <c r="M1970" s="210" t="str">
        <f t="shared" si="301"/>
        <v/>
      </c>
      <c r="N1970" s="26"/>
      <c r="O1970" s="27"/>
      <c r="P1970" s="27"/>
      <c r="Q1970" s="2">
        <f t="shared" si="293"/>
        <v>0</v>
      </c>
      <c r="S1970" s="7">
        <f t="shared" si="296"/>
        <v>0</v>
      </c>
      <c r="T1970" s="157">
        <f t="shared" si="297"/>
        <v>0</v>
      </c>
      <c r="V1970" s="191">
        <f t="shared" si="294"/>
        <v>1</v>
      </c>
      <c r="W1970" s="7">
        <f t="shared" si="295"/>
        <v>1900</v>
      </c>
    </row>
    <row r="1971" spans="2:23" ht="31.95" customHeight="1" thickBot="1" x14ac:dyDescent="0.35">
      <c r="B1971" s="26"/>
      <c r="C1971" s="51" t="str">
        <f t="shared" si="298"/>
        <v/>
      </c>
      <c r="D1971" s="27"/>
      <c r="E1971" s="26"/>
      <c r="F1971" s="26"/>
      <c r="G1971" s="26"/>
      <c r="H1971" s="254"/>
      <c r="I1971" s="49"/>
      <c r="J1971" s="49"/>
      <c r="K1971" s="52" t="str">
        <f t="shared" si="299"/>
        <v/>
      </c>
      <c r="L1971" s="209" t="str">
        <f t="shared" si="300"/>
        <v/>
      </c>
      <c r="M1971" s="210" t="str">
        <f t="shared" si="301"/>
        <v/>
      </c>
      <c r="N1971" s="26"/>
      <c r="O1971" s="27"/>
      <c r="P1971" s="27"/>
      <c r="Q1971" s="2">
        <f t="shared" si="293"/>
        <v>0</v>
      </c>
      <c r="S1971" s="7">
        <f t="shared" si="296"/>
        <v>0</v>
      </c>
      <c r="T1971" s="157">
        <f t="shared" si="297"/>
        <v>0</v>
      </c>
      <c r="V1971" s="191">
        <f t="shared" si="294"/>
        <v>1</v>
      </c>
      <c r="W1971" s="7">
        <f t="shared" si="295"/>
        <v>1900</v>
      </c>
    </row>
    <row r="1972" spans="2:23" ht="31.95" customHeight="1" thickBot="1" x14ac:dyDescent="0.35">
      <c r="B1972" s="26"/>
      <c r="C1972" s="51" t="str">
        <f t="shared" si="298"/>
        <v/>
      </c>
      <c r="D1972" s="27"/>
      <c r="E1972" s="26"/>
      <c r="F1972" s="26"/>
      <c r="G1972" s="26"/>
      <c r="H1972" s="254"/>
      <c r="I1972" s="49"/>
      <c r="J1972" s="49"/>
      <c r="K1972" s="52" t="str">
        <f t="shared" si="299"/>
        <v/>
      </c>
      <c r="L1972" s="209" t="str">
        <f t="shared" si="300"/>
        <v/>
      </c>
      <c r="M1972" s="210" t="str">
        <f t="shared" si="301"/>
        <v/>
      </c>
      <c r="N1972" s="26"/>
      <c r="O1972" s="27"/>
      <c r="P1972" s="27"/>
      <c r="Q1972" s="2">
        <f t="shared" si="293"/>
        <v>0</v>
      </c>
      <c r="S1972" s="7">
        <f t="shared" si="296"/>
        <v>0</v>
      </c>
      <c r="T1972" s="157">
        <f t="shared" si="297"/>
        <v>0</v>
      </c>
      <c r="V1972" s="191">
        <f t="shared" si="294"/>
        <v>1</v>
      </c>
      <c r="W1972" s="7">
        <f t="shared" si="295"/>
        <v>1900</v>
      </c>
    </row>
    <row r="1973" spans="2:23" ht="31.95" customHeight="1" thickBot="1" x14ac:dyDescent="0.35">
      <c r="B1973" s="26"/>
      <c r="C1973" s="51" t="str">
        <f t="shared" si="298"/>
        <v/>
      </c>
      <c r="D1973" s="27"/>
      <c r="E1973" s="26"/>
      <c r="F1973" s="26"/>
      <c r="G1973" s="26"/>
      <c r="H1973" s="254"/>
      <c r="I1973" s="49"/>
      <c r="J1973" s="49"/>
      <c r="K1973" s="52" t="str">
        <f t="shared" si="299"/>
        <v/>
      </c>
      <c r="L1973" s="209" t="str">
        <f t="shared" si="300"/>
        <v/>
      </c>
      <c r="M1973" s="210" t="str">
        <f t="shared" si="301"/>
        <v/>
      </c>
      <c r="N1973" s="26"/>
      <c r="O1973" s="27"/>
      <c r="P1973" s="27"/>
      <c r="Q1973" s="2">
        <f t="shared" si="293"/>
        <v>0</v>
      </c>
      <c r="S1973" s="7">
        <f t="shared" si="296"/>
        <v>0</v>
      </c>
      <c r="T1973" s="157">
        <f t="shared" si="297"/>
        <v>0</v>
      </c>
      <c r="V1973" s="191">
        <f t="shared" si="294"/>
        <v>1</v>
      </c>
      <c r="W1973" s="7">
        <f t="shared" si="295"/>
        <v>1900</v>
      </c>
    </row>
    <row r="1974" spans="2:23" ht="31.95" customHeight="1" thickBot="1" x14ac:dyDescent="0.35">
      <c r="B1974" s="26"/>
      <c r="C1974" s="51" t="str">
        <f t="shared" si="298"/>
        <v/>
      </c>
      <c r="D1974" s="27"/>
      <c r="E1974" s="26"/>
      <c r="F1974" s="26"/>
      <c r="G1974" s="26"/>
      <c r="H1974" s="254"/>
      <c r="I1974" s="49"/>
      <c r="J1974" s="49"/>
      <c r="K1974" s="52" t="str">
        <f t="shared" si="299"/>
        <v/>
      </c>
      <c r="L1974" s="209" t="str">
        <f t="shared" si="300"/>
        <v/>
      </c>
      <c r="M1974" s="210" t="str">
        <f t="shared" si="301"/>
        <v/>
      </c>
      <c r="N1974" s="26"/>
      <c r="O1974" s="27"/>
      <c r="P1974" s="27"/>
      <c r="Q1974" s="2">
        <f t="shared" si="293"/>
        <v>0</v>
      </c>
      <c r="S1974" s="7">
        <f t="shared" si="296"/>
        <v>0</v>
      </c>
      <c r="T1974" s="157">
        <f t="shared" si="297"/>
        <v>0</v>
      </c>
      <c r="V1974" s="191">
        <f t="shared" si="294"/>
        <v>1</v>
      </c>
      <c r="W1974" s="7">
        <f t="shared" si="295"/>
        <v>1900</v>
      </c>
    </row>
    <row r="1975" spans="2:23" ht="31.95" customHeight="1" thickBot="1" x14ac:dyDescent="0.35">
      <c r="B1975" s="26"/>
      <c r="C1975" s="51" t="str">
        <f t="shared" si="298"/>
        <v/>
      </c>
      <c r="D1975" s="27"/>
      <c r="E1975" s="26"/>
      <c r="F1975" s="26"/>
      <c r="G1975" s="26"/>
      <c r="H1975" s="254"/>
      <c r="I1975" s="49"/>
      <c r="J1975" s="49"/>
      <c r="K1975" s="52" t="str">
        <f t="shared" si="299"/>
        <v/>
      </c>
      <c r="L1975" s="209" t="str">
        <f t="shared" si="300"/>
        <v/>
      </c>
      <c r="M1975" s="210" t="str">
        <f t="shared" si="301"/>
        <v/>
      </c>
      <c r="N1975" s="26"/>
      <c r="O1975" s="27"/>
      <c r="P1975" s="27"/>
      <c r="Q1975" s="2">
        <f t="shared" si="293"/>
        <v>0</v>
      </c>
      <c r="S1975" s="7">
        <f t="shared" si="296"/>
        <v>0</v>
      </c>
      <c r="T1975" s="157">
        <f t="shared" si="297"/>
        <v>0</v>
      </c>
      <c r="V1975" s="191">
        <f t="shared" si="294"/>
        <v>1</v>
      </c>
      <c r="W1975" s="7">
        <f t="shared" si="295"/>
        <v>1900</v>
      </c>
    </row>
    <row r="1976" spans="2:23" ht="31.95" customHeight="1" thickBot="1" x14ac:dyDescent="0.35">
      <c r="B1976" s="26"/>
      <c r="C1976" s="51" t="str">
        <f t="shared" si="298"/>
        <v/>
      </c>
      <c r="D1976" s="27"/>
      <c r="E1976" s="26"/>
      <c r="F1976" s="26"/>
      <c r="G1976" s="26"/>
      <c r="H1976" s="254"/>
      <c r="I1976" s="49"/>
      <c r="J1976" s="49"/>
      <c r="K1976" s="52" t="str">
        <f t="shared" si="299"/>
        <v/>
      </c>
      <c r="L1976" s="209" t="str">
        <f t="shared" si="300"/>
        <v/>
      </c>
      <c r="M1976" s="210" t="str">
        <f t="shared" si="301"/>
        <v/>
      </c>
      <c r="N1976" s="26"/>
      <c r="O1976" s="27"/>
      <c r="P1976" s="27"/>
      <c r="Q1976" s="2">
        <f t="shared" si="293"/>
        <v>0</v>
      </c>
      <c r="S1976" s="7">
        <f t="shared" si="296"/>
        <v>0</v>
      </c>
      <c r="T1976" s="157">
        <f t="shared" si="297"/>
        <v>0</v>
      </c>
      <c r="V1976" s="191">
        <f t="shared" si="294"/>
        <v>1</v>
      </c>
      <c r="W1976" s="7">
        <f t="shared" si="295"/>
        <v>1900</v>
      </c>
    </row>
    <row r="1977" spans="2:23" ht="31.95" customHeight="1" thickBot="1" x14ac:dyDescent="0.35">
      <c r="B1977" s="26"/>
      <c r="C1977" s="51" t="str">
        <f t="shared" si="298"/>
        <v/>
      </c>
      <c r="D1977" s="27"/>
      <c r="E1977" s="26"/>
      <c r="F1977" s="26"/>
      <c r="G1977" s="26"/>
      <c r="H1977" s="254"/>
      <c r="I1977" s="49"/>
      <c r="J1977" s="49"/>
      <c r="K1977" s="52" t="str">
        <f t="shared" si="299"/>
        <v/>
      </c>
      <c r="L1977" s="209" t="str">
        <f t="shared" si="300"/>
        <v/>
      </c>
      <c r="M1977" s="210" t="str">
        <f t="shared" si="301"/>
        <v/>
      </c>
      <c r="N1977" s="26"/>
      <c r="O1977" s="27"/>
      <c r="P1977" s="27"/>
      <c r="Q1977" s="2">
        <f t="shared" si="293"/>
        <v>0</v>
      </c>
      <c r="S1977" s="7">
        <f t="shared" si="296"/>
        <v>0</v>
      </c>
      <c r="T1977" s="157">
        <f t="shared" si="297"/>
        <v>0</v>
      </c>
      <c r="V1977" s="191">
        <f t="shared" si="294"/>
        <v>1</v>
      </c>
      <c r="W1977" s="7">
        <f t="shared" si="295"/>
        <v>1900</v>
      </c>
    </row>
    <row r="1978" spans="2:23" ht="31.95" customHeight="1" thickBot="1" x14ac:dyDescent="0.35">
      <c r="B1978" s="26"/>
      <c r="C1978" s="51" t="str">
        <f t="shared" si="298"/>
        <v/>
      </c>
      <c r="D1978" s="27"/>
      <c r="E1978" s="26"/>
      <c r="F1978" s="26"/>
      <c r="G1978" s="26"/>
      <c r="H1978" s="254"/>
      <c r="I1978" s="49"/>
      <c r="J1978" s="49"/>
      <c r="K1978" s="52" t="str">
        <f t="shared" si="299"/>
        <v/>
      </c>
      <c r="L1978" s="209" t="str">
        <f t="shared" si="300"/>
        <v/>
      </c>
      <c r="M1978" s="210" t="str">
        <f t="shared" si="301"/>
        <v/>
      </c>
      <c r="N1978" s="26"/>
      <c r="O1978" s="27"/>
      <c r="P1978" s="27"/>
      <c r="Q1978" s="2">
        <f t="shared" si="293"/>
        <v>0</v>
      </c>
      <c r="S1978" s="7">
        <f t="shared" si="296"/>
        <v>0</v>
      </c>
      <c r="T1978" s="157">
        <f t="shared" si="297"/>
        <v>0</v>
      </c>
      <c r="V1978" s="191">
        <f t="shared" si="294"/>
        <v>1</v>
      </c>
      <c r="W1978" s="7">
        <f t="shared" si="295"/>
        <v>1900</v>
      </c>
    </row>
    <row r="1979" spans="2:23" ht="31.95" customHeight="1" thickBot="1" x14ac:dyDescent="0.35">
      <c r="B1979" s="26"/>
      <c r="C1979" s="51" t="str">
        <f t="shared" si="298"/>
        <v/>
      </c>
      <c r="D1979" s="27"/>
      <c r="E1979" s="26"/>
      <c r="F1979" s="26"/>
      <c r="G1979" s="26"/>
      <c r="H1979" s="254"/>
      <c r="I1979" s="49"/>
      <c r="J1979" s="49"/>
      <c r="K1979" s="52" t="str">
        <f t="shared" si="299"/>
        <v/>
      </c>
      <c r="L1979" s="209" t="str">
        <f t="shared" si="300"/>
        <v/>
      </c>
      <c r="M1979" s="210" t="str">
        <f t="shared" si="301"/>
        <v/>
      </c>
      <c r="N1979" s="26"/>
      <c r="O1979" s="27"/>
      <c r="P1979" s="27"/>
      <c r="Q1979" s="2">
        <f t="shared" si="293"/>
        <v>0</v>
      </c>
      <c r="S1979" s="7">
        <f t="shared" si="296"/>
        <v>0</v>
      </c>
      <c r="T1979" s="157">
        <f t="shared" si="297"/>
        <v>0</v>
      </c>
      <c r="V1979" s="191">
        <f t="shared" si="294"/>
        <v>1</v>
      </c>
      <c r="W1979" s="7">
        <f t="shared" si="295"/>
        <v>1900</v>
      </c>
    </row>
    <row r="1980" spans="2:23" ht="31.95" customHeight="1" thickBot="1" x14ac:dyDescent="0.35">
      <c r="B1980" s="26"/>
      <c r="C1980" s="51" t="str">
        <f t="shared" si="298"/>
        <v/>
      </c>
      <c r="D1980" s="27"/>
      <c r="E1980" s="26"/>
      <c r="F1980" s="26"/>
      <c r="G1980" s="26"/>
      <c r="H1980" s="254"/>
      <c r="I1980" s="49"/>
      <c r="J1980" s="49"/>
      <c r="K1980" s="52" t="str">
        <f t="shared" si="299"/>
        <v/>
      </c>
      <c r="L1980" s="209" t="str">
        <f t="shared" si="300"/>
        <v/>
      </c>
      <c r="M1980" s="210" t="str">
        <f t="shared" si="301"/>
        <v/>
      </c>
      <c r="N1980" s="26"/>
      <c r="O1980" s="27"/>
      <c r="P1980" s="27"/>
      <c r="Q1980" s="2">
        <f t="shared" si="293"/>
        <v>0</v>
      </c>
      <c r="S1980" s="7">
        <f t="shared" si="296"/>
        <v>0</v>
      </c>
      <c r="T1980" s="157">
        <f t="shared" si="297"/>
        <v>0</v>
      </c>
      <c r="V1980" s="191">
        <f t="shared" si="294"/>
        <v>1</v>
      </c>
      <c r="W1980" s="7">
        <f t="shared" si="295"/>
        <v>1900</v>
      </c>
    </row>
    <row r="1981" spans="2:23" ht="31.95" customHeight="1" thickBot="1" x14ac:dyDescent="0.35">
      <c r="B1981" s="26"/>
      <c r="C1981" s="51" t="str">
        <f t="shared" si="298"/>
        <v/>
      </c>
      <c r="D1981" s="27"/>
      <c r="E1981" s="26"/>
      <c r="F1981" s="26"/>
      <c r="G1981" s="26"/>
      <c r="H1981" s="254"/>
      <c r="I1981" s="49"/>
      <c r="J1981" s="49"/>
      <c r="K1981" s="52" t="str">
        <f t="shared" si="299"/>
        <v/>
      </c>
      <c r="L1981" s="209" t="str">
        <f t="shared" si="300"/>
        <v/>
      </c>
      <c r="M1981" s="210" t="str">
        <f t="shared" si="301"/>
        <v/>
      </c>
      <c r="N1981" s="26"/>
      <c r="O1981" s="27"/>
      <c r="P1981" s="27"/>
      <c r="Q1981" s="2">
        <f t="shared" si="293"/>
        <v>0</v>
      </c>
      <c r="S1981" s="7">
        <f t="shared" si="296"/>
        <v>0</v>
      </c>
      <c r="T1981" s="157">
        <f t="shared" si="297"/>
        <v>0</v>
      </c>
      <c r="V1981" s="191">
        <f t="shared" si="294"/>
        <v>1</v>
      </c>
      <c r="W1981" s="7">
        <f t="shared" si="295"/>
        <v>1900</v>
      </c>
    </row>
    <row r="1982" spans="2:23" ht="31.95" customHeight="1" thickBot="1" x14ac:dyDescent="0.35">
      <c r="B1982" s="26"/>
      <c r="C1982" s="51" t="str">
        <f t="shared" si="298"/>
        <v/>
      </c>
      <c r="D1982" s="27"/>
      <c r="E1982" s="26"/>
      <c r="F1982" s="26"/>
      <c r="G1982" s="26"/>
      <c r="H1982" s="254"/>
      <c r="I1982" s="49"/>
      <c r="J1982" s="49"/>
      <c r="K1982" s="52" t="str">
        <f t="shared" si="299"/>
        <v/>
      </c>
      <c r="L1982" s="209" t="str">
        <f t="shared" si="300"/>
        <v/>
      </c>
      <c r="M1982" s="210" t="str">
        <f t="shared" si="301"/>
        <v/>
      </c>
      <c r="N1982" s="26"/>
      <c r="O1982" s="27"/>
      <c r="P1982" s="27"/>
      <c r="Q1982" s="2">
        <f t="shared" si="293"/>
        <v>0</v>
      </c>
      <c r="S1982" s="7">
        <f t="shared" si="296"/>
        <v>0</v>
      </c>
      <c r="T1982" s="157">
        <f t="shared" si="297"/>
        <v>0</v>
      </c>
      <c r="V1982" s="191">
        <f t="shared" si="294"/>
        <v>1</v>
      </c>
      <c r="W1982" s="7">
        <f t="shared" si="295"/>
        <v>1900</v>
      </c>
    </row>
    <row r="1983" spans="2:23" ht="31.95" customHeight="1" thickBot="1" x14ac:dyDescent="0.35">
      <c r="B1983" s="26"/>
      <c r="C1983" s="51" t="str">
        <f t="shared" si="298"/>
        <v/>
      </c>
      <c r="D1983" s="27"/>
      <c r="E1983" s="26"/>
      <c r="F1983" s="26"/>
      <c r="G1983" s="26"/>
      <c r="H1983" s="254"/>
      <c r="I1983" s="49"/>
      <c r="J1983" s="49"/>
      <c r="K1983" s="52" t="str">
        <f t="shared" si="299"/>
        <v/>
      </c>
      <c r="L1983" s="209" t="str">
        <f t="shared" si="300"/>
        <v/>
      </c>
      <c r="M1983" s="210" t="str">
        <f t="shared" si="301"/>
        <v/>
      </c>
      <c r="N1983" s="26"/>
      <c r="O1983" s="27"/>
      <c r="P1983" s="27"/>
      <c r="Q1983" s="2">
        <f t="shared" si="293"/>
        <v>0</v>
      </c>
      <c r="S1983" s="7">
        <f t="shared" si="296"/>
        <v>0</v>
      </c>
      <c r="T1983" s="157">
        <f t="shared" si="297"/>
        <v>0</v>
      </c>
      <c r="V1983" s="191">
        <f t="shared" si="294"/>
        <v>1</v>
      </c>
      <c r="W1983" s="7">
        <f t="shared" si="295"/>
        <v>1900</v>
      </c>
    </row>
    <row r="1984" spans="2:23" ht="31.95" customHeight="1" thickBot="1" x14ac:dyDescent="0.35">
      <c r="B1984" s="26"/>
      <c r="C1984" s="51" t="str">
        <f t="shared" si="298"/>
        <v/>
      </c>
      <c r="D1984" s="27"/>
      <c r="E1984" s="26"/>
      <c r="F1984" s="26"/>
      <c r="G1984" s="26"/>
      <c r="H1984" s="254"/>
      <c r="I1984" s="49"/>
      <c r="J1984" s="49"/>
      <c r="K1984" s="52" t="str">
        <f t="shared" si="299"/>
        <v/>
      </c>
      <c r="L1984" s="209" t="str">
        <f t="shared" si="300"/>
        <v/>
      </c>
      <c r="M1984" s="210" t="str">
        <f t="shared" si="301"/>
        <v/>
      </c>
      <c r="N1984" s="26"/>
      <c r="O1984" s="27"/>
      <c r="P1984" s="27"/>
      <c r="Q1984" s="2">
        <f t="shared" si="293"/>
        <v>0</v>
      </c>
      <c r="S1984" s="7">
        <f t="shared" si="296"/>
        <v>0</v>
      </c>
      <c r="T1984" s="157">
        <f t="shared" si="297"/>
        <v>0</v>
      </c>
      <c r="V1984" s="191">
        <f t="shared" si="294"/>
        <v>1</v>
      </c>
      <c r="W1984" s="7">
        <f t="shared" si="295"/>
        <v>1900</v>
      </c>
    </row>
    <row r="1985" spans="2:23" ht="31.95" customHeight="1" thickBot="1" x14ac:dyDescent="0.35">
      <c r="B1985" s="26"/>
      <c r="C1985" s="51" t="str">
        <f t="shared" si="298"/>
        <v/>
      </c>
      <c r="D1985" s="27"/>
      <c r="E1985" s="26"/>
      <c r="F1985" s="26"/>
      <c r="G1985" s="26"/>
      <c r="H1985" s="254"/>
      <c r="I1985" s="49"/>
      <c r="J1985" s="49"/>
      <c r="K1985" s="52" t="str">
        <f t="shared" si="299"/>
        <v/>
      </c>
      <c r="L1985" s="209" t="str">
        <f t="shared" si="300"/>
        <v/>
      </c>
      <c r="M1985" s="210" t="str">
        <f t="shared" si="301"/>
        <v/>
      </c>
      <c r="N1985" s="26"/>
      <c r="O1985" s="27"/>
      <c r="P1985" s="27"/>
      <c r="Q1985" s="2">
        <f t="shared" si="293"/>
        <v>0</v>
      </c>
      <c r="S1985" s="7">
        <f t="shared" si="296"/>
        <v>0</v>
      </c>
      <c r="T1985" s="157">
        <f t="shared" si="297"/>
        <v>0</v>
      </c>
      <c r="V1985" s="191">
        <f t="shared" si="294"/>
        <v>1</v>
      </c>
      <c r="W1985" s="7">
        <f t="shared" si="295"/>
        <v>1900</v>
      </c>
    </row>
    <row r="1986" spans="2:23" ht="31.95" customHeight="1" thickBot="1" x14ac:dyDescent="0.35">
      <c r="B1986" s="26"/>
      <c r="C1986" s="51" t="str">
        <f t="shared" si="298"/>
        <v/>
      </c>
      <c r="D1986" s="27"/>
      <c r="E1986" s="26"/>
      <c r="F1986" s="26"/>
      <c r="G1986" s="26"/>
      <c r="H1986" s="254"/>
      <c r="I1986" s="49"/>
      <c r="J1986" s="49"/>
      <c r="K1986" s="52" t="str">
        <f t="shared" si="299"/>
        <v/>
      </c>
      <c r="L1986" s="209" t="str">
        <f t="shared" si="300"/>
        <v/>
      </c>
      <c r="M1986" s="210" t="str">
        <f t="shared" si="301"/>
        <v/>
      </c>
      <c r="N1986" s="26"/>
      <c r="O1986" s="27"/>
      <c r="P1986" s="27"/>
      <c r="Q1986" s="2">
        <f t="shared" si="293"/>
        <v>0</v>
      </c>
      <c r="S1986" s="7">
        <f t="shared" si="296"/>
        <v>0</v>
      </c>
      <c r="T1986" s="157">
        <f t="shared" si="297"/>
        <v>0</v>
      </c>
      <c r="V1986" s="191">
        <f t="shared" si="294"/>
        <v>1</v>
      </c>
      <c r="W1986" s="7">
        <f t="shared" si="295"/>
        <v>1900</v>
      </c>
    </row>
    <row r="1987" spans="2:23" ht="31.95" customHeight="1" thickBot="1" x14ac:dyDescent="0.35">
      <c r="B1987" s="26"/>
      <c r="C1987" s="51" t="str">
        <f t="shared" si="298"/>
        <v/>
      </c>
      <c r="D1987" s="27"/>
      <c r="E1987" s="26"/>
      <c r="F1987" s="26"/>
      <c r="G1987" s="26"/>
      <c r="H1987" s="254"/>
      <c r="I1987" s="49"/>
      <c r="J1987" s="49"/>
      <c r="K1987" s="52" t="str">
        <f t="shared" si="299"/>
        <v/>
      </c>
      <c r="L1987" s="209" t="str">
        <f t="shared" si="300"/>
        <v/>
      </c>
      <c r="M1987" s="210" t="str">
        <f t="shared" si="301"/>
        <v/>
      </c>
      <c r="N1987" s="26"/>
      <c r="O1987" s="27"/>
      <c r="P1987" s="27"/>
      <c r="Q1987" s="2">
        <f t="shared" si="293"/>
        <v>0</v>
      </c>
      <c r="S1987" s="7">
        <f t="shared" si="296"/>
        <v>0</v>
      </c>
      <c r="T1987" s="157">
        <f t="shared" si="297"/>
        <v>0</v>
      </c>
      <c r="V1987" s="191">
        <f t="shared" si="294"/>
        <v>1</v>
      </c>
      <c r="W1987" s="7">
        <f t="shared" si="295"/>
        <v>1900</v>
      </c>
    </row>
    <row r="1988" spans="2:23" ht="31.95" customHeight="1" thickBot="1" x14ac:dyDescent="0.35">
      <c r="B1988" s="26"/>
      <c r="C1988" s="51" t="str">
        <f t="shared" si="298"/>
        <v/>
      </c>
      <c r="D1988" s="27"/>
      <c r="E1988" s="26"/>
      <c r="F1988" s="26"/>
      <c r="G1988" s="26"/>
      <c r="H1988" s="254"/>
      <c r="I1988" s="49"/>
      <c r="J1988" s="49"/>
      <c r="K1988" s="52" t="str">
        <f t="shared" si="299"/>
        <v/>
      </c>
      <c r="L1988" s="209" t="str">
        <f t="shared" si="300"/>
        <v/>
      </c>
      <c r="M1988" s="210" t="str">
        <f t="shared" si="301"/>
        <v/>
      </c>
      <c r="N1988" s="26"/>
      <c r="O1988" s="27"/>
      <c r="P1988" s="27"/>
      <c r="Q1988" s="2">
        <f t="shared" si="293"/>
        <v>0</v>
      </c>
      <c r="S1988" s="7">
        <f t="shared" si="296"/>
        <v>0</v>
      </c>
      <c r="T1988" s="157">
        <f t="shared" si="297"/>
        <v>0</v>
      </c>
      <c r="V1988" s="191">
        <f t="shared" si="294"/>
        <v>1</v>
      </c>
      <c r="W1988" s="7">
        <f t="shared" si="295"/>
        <v>1900</v>
      </c>
    </row>
    <row r="1989" spans="2:23" ht="31.95" customHeight="1" thickBot="1" x14ac:dyDescent="0.35">
      <c r="B1989" s="26"/>
      <c r="C1989" s="51" t="str">
        <f t="shared" si="298"/>
        <v/>
      </c>
      <c r="D1989" s="27"/>
      <c r="E1989" s="26"/>
      <c r="F1989" s="26"/>
      <c r="G1989" s="26"/>
      <c r="H1989" s="254"/>
      <c r="I1989" s="49"/>
      <c r="J1989" s="49"/>
      <c r="K1989" s="52" t="str">
        <f t="shared" si="299"/>
        <v/>
      </c>
      <c r="L1989" s="209" t="str">
        <f t="shared" si="300"/>
        <v/>
      </c>
      <c r="M1989" s="210" t="str">
        <f t="shared" si="301"/>
        <v/>
      </c>
      <c r="N1989" s="26"/>
      <c r="O1989" s="27"/>
      <c r="P1989" s="27"/>
      <c r="Q1989" s="2">
        <f t="shared" ref="Q1989:Q2000" si="302">IF(B1989&lt;&gt;"",1,0)</f>
        <v>0</v>
      </c>
      <c r="S1989" s="7">
        <f t="shared" si="296"/>
        <v>0</v>
      </c>
      <c r="T1989" s="157">
        <f t="shared" si="297"/>
        <v>0</v>
      </c>
      <c r="V1989" s="191">
        <f t="shared" si="294"/>
        <v>1</v>
      </c>
      <c r="W1989" s="7">
        <f t="shared" si="295"/>
        <v>1900</v>
      </c>
    </row>
    <row r="1990" spans="2:23" ht="31.95" customHeight="1" thickBot="1" x14ac:dyDescent="0.35">
      <c r="B1990" s="26"/>
      <c r="C1990" s="51" t="str">
        <f t="shared" si="298"/>
        <v/>
      </c>
      <c r="D1990" s="27"/>
      <c r="E1990" s="26"/>
      <c r="F1990" s="26"/>
      <c r="G1990" s="26"/>
      <c r="H1990" s="254"/>
      <c r="I1990" s="49"/>
      <c r="J1990" s="49"/>
      <c r="K1990" s="52" t="str">
        <f t="shared" si="299"/>
        <v/>
      </c>
      <c r="L1990" s="209" t="str">
        <f t="shared" si="300"/>
        <v/>
      </c>
      <c r="M1990" s="210" t="str">
        <f t="shared" si="301"/>
        <v/>
      </c>
      <c r="N1990" s="26"/>
      <c r="O1990" s="27"/>
      <c r="P1990" s="27"/>
      <c r="Q1990" s="2">
        <f t="shared" si="302"/>
        <v>0</v>
      </c>
      <c r="S1990" s="7">
        <f t="shared" ref="S1990:S2000" si="303">IF(AND(O1990&lt;=N1990,O1990&lt;&gt;""),1,0)</f>
        <v>0</v>
      </c>
      <c r="T1990" s="157">
        <f t="shared" ref="T1990:T2000" si="304">IF(AND(P1990&lt;=N1990,P1990&lt;&gt;""),1,0)</f>
        <v>0</v>
      </c>
      <c r="V1990" s="191">
        <f t="shared" ref="V1990:V2000" si="305">MONTH(B1990)</f>
        <v>1</v>
      </c>
      <c r="W1990" s="7">
        <f t="shared" ref="W1990:W2000" si="306">YEAR(B1990)</f>
        <v>1900</v>
      </c>
    </row>
    <row r="1991" spans="2:23" ht="31.95" customHeight="1" thickBot="1" x14ac:dyDescent="0.35">
      <c r="B1991" s="26"/>
      <c r="C1991" s="51" t="str">
        <f t="shared" ref="C1991:C2000" si="307">IF(B1991&lt;&gt;"",C1990+1,"")</f>
        <v/>
      </c>
      <c r="D1991" s="27"/>
      <c r="E1991" s="26"/>
      <c r="F1991" s="26"/>
      <c r="G1991" s="26"/>
      <c r="H1991" s="254"/>
      <c r="I1991" s="49"/>
      <c r="J1991" s="49"/>
      <c r="K1991" s="52" t="str">
        <f t="shared" si="299"/>
        <v/>
      </c>
      <c r="L1991" s="209" t="str">
        <f t="shared" si="300"/>
        <v/>
      </c>
      <c r="M1991" s="210" t="str">
        <f t="shared" si="301"/>
        <v/>
      </c>
      <c r="N1991" s="26"/>
      <c r="O1991" s="27"/>
      <c r="P1991" s="27"/>
      <c r="Q1991" s="2">
        <f t="shared" si="302"/>
        <v>0</v>
      </c>
      <c r="S1991" s="7">
        <f t="shared" si="303"/>
        <v>0</v>
      </c>
      <c r="T1991" s="157">
        <f t="shared" si="304"/>
        <v>0</v>
      </c>
      <c r="V1991" s="191">
        <f t="shared" si="305"/>
        <v>1</v>
      </c>
      <c r="W1991" s="7">
        <f t="shared" si="306"/>
        <v>1900</v>
      </c>
    </row>
    <row r="1992" spans="2:23" ht="31.95" customHeight="1" thickBot="1" x14ac:dyDescent="0.35">
      <c r="B1992" s="26"/>
      <c r="C1992" s="51" t="str">
        <f t="shared" si="307"/>
        <v/>
      </c>
      <c r="D1992" s="27"/>
      <c r="E1992" s="26"/>
      <c r="F1992" s="26"/>
      <c r="G1992" s="26"/>
      <c r="H1992" s="254"/>
      <c r="I1992" s="49"/>
      <c r="J1992" s="49"/>
      <c r="K1992" s="52" t="str">
        <f t="shared" si="299"/>
        <v/>
      </c>
      <c r="L1992" s="209" t="str">
        <f t="shared" si="300"/>
        <v/>
      </c>
      <c r="M1992" s="210" t="str">
        <f t="shared" si="301"/>
        <v/>
      </c>
      <c r="N1992" s="26"/>
      <c r="O1992" s="27"/>
      <c r="P1992" s="27"/>
      <c r="Q1992" s="2">
        <f t="shared" si="302"/>
        <v>0</v>
      </c>
      <c r="S1992" s="7">
        <f t="shared" si="303"/>
        <v>0</v>
      </c>
      <c r="T1992" s="157">
        <f t="shared" si="304"/>
        <v>0</v>
      </c>
      <c r="V1992" s="191">
        <f t="shared" si="305"/>
        <v>1</v>
      </c>
      <c r="W1992" s="7">
        <f t="shared" si="306"/>
        <v>1900</v>
      </c>
    </row>
    <row r="1993" spans="2:23" ht="31.95" customHeight="1" thickBot="1" x14ac:dyDescent="0.35">
      <c r="B1993" s="26"/>
      <c r="C1993" s="51" t="str">
        <f t="shared" si="307"/>
        <v/>
      </c>
      <c r="D1993" s="27"/>
      <c r="E1993" s="26"/>
      <c r="F1993" s="26"/>
      <c r="G1993" s="26"/>
      <c r="H1993" s="254"/>
      <c r="I1993" s="49"/>
      <c r="J1993" s="49"/>
      <c r="K1993" s="52" t="str">
        <f t="shared" si="299"/>
        <v/>
      </c>
      <c r="L1993" s="209" t="str">
        <f t="shared" si="300"/>
        <v/>
      </c>
      <c r="M1993" s="210" t="str">
        <f t="shared" si="301"/>
        <v/>
      </c>
      <c r="N1993" s="26"/>
      <c r="O1993" s="27"/>
      <c r="P1993" s="27"/>
      <c r="Q1993" s="2">
        <f t="shared" si="302"/>
        <v>0</v>
      </c>
      <c r="S1993" s="7">
        <f t="shared" si="303"/>
        <v>0</v>
      </c>
      <c r="T1993" s="157">
        <f t="shared" si="304"/>
        <v>0</v>
      </c>
      <c r="V1993" s="191">
        <f t="shared" si="305"/>
        <v>1</v>
      </c>
      <c r="W1993" s="7">
        <f t="shared" si="306"/>
        <v>1900</v>
      </c>
    </row>
    <row r="1994" spans="2:23" ht="31.95" customHeight="1" thickBot="1" x14ac:dyDescent="0.35">
      <c r="B1994" s="26"/>
      <c r="C1994" s="51" t="str">
        <f t="shared" si="307"/>
        <v/>
      </c>
      <c r="D1994" s="27"/>
      <c r="E1994" s="26"/>
      <c r="F1994" s="26"/>
      <c r="G1994" s="26"/>
      <c r="H1994" s="254"/>
      <c r="I1994" s="49"/>
      <c r="J1994" s="49"/>
      <c r="K1994" s="52" t="str">
        <f t="shared" si="299"/>
        <v/>
      </c>
      <c r="L1994" s="209" t="str">
        <f t="shared" si="300"/>
        <v/>
      </c>
      <c r="M1994" s="210" t="str">
        <f t="shared" si="301"/>
        <v/>
      </c>
      <c r="N1994" s="26"/>
      <c r="O1994" s="27"/>
      <c r="P1994" s="27"/>
      <c r="Q1994" s="2">
        <f t="shared" si="302"/>
        <v>0</v>
      </c>
      <c r="S1994" s="7">
        <f t="shared" si="303"/>
        <v>0</v>
      </c>
      <c r="T1994" s="157">
        <f t="shared" si="304"/>
        <v>0</v>
      </c>
      <c r="V1994" s="191">
        <f t="shared" si="305"/>
        <v>1</v>
      </c>
      <c r="W1994" s="7">
        <f t="shared" si="306"/>
        <v>1900</v>
      </c>
    </row>
    <row r="1995" spans="2:23" ht="31.95" customHeight="1" thickBot="1" x14ac:dyDescent="0.35">
      <c r="B1995" s="26"/>
      <c r="C1995" s="51" t="str">
        <f t="shared" si="307"/>
        <v/>
      </c>
      <c r="D1995" s="27"/>
      <c r="E1995" s="26"/>
      <c r="F1995" s="26"/>
      <c r="G1995" s="26"/>
      <c r="H1995" s="254"/>
      <c r="I1995" s="49"/>
      <c r="J1995" s="49"/>
      <c r="K1995" s="52" t="str">
        <f t="shared" si="299"/>
        <v/>
      </c>
      <c r="L1995" s="209" t="str">
        <f t="shared" si="300"/>
        <v/>
      </c>
      <c r="M1995" s="210" t="str">
        <f t="shared" si="301"/>
        <v/>
      </c>
      <c r="N1995" s="26"/>
      <c r="O1995" s="27"/>
      <c r="P1995" s="27"/>
      <c r="Q1995" s="2">
        <f t="shared" si="302"/>
        <v>0</v>
      </c>
      <c r="S1995" s="7">
        <f t="shared" si="303"/>
        <v>0</v>
      </c>
      <c r="T1995" s="157">
        <f t="shared" si="304"/>
        <v>0</v>
      </c>
      <c r="V1995" s="191">
        <f t="shared" si="305"/>
        <v>1</v>
      </c>
      <c r="W1995" s="7">
        <f t="shared" si="306"/>
        <v>1900</v>
      </c>
    </row>
    <row r="1996" spans="2:23" ht="31.95" customHeight="1" thickBot="1" x14ac:dyDescent="0.35">
      <c r="B1996" s="26"/>
      <c r="C1996" s="51" t="str">
        <f t="shared" si="307"/>
        <v/>
      </c>
      <c r="D1996" s="27"/>
      <c r="E1996" s="26"/>
      <c r="F1996" s="26"/>
      <c r="G1996" s="26"/>
      <c r="H1996" s="254"/>
      <c r="I1996" s="49"/>
      <c r="J1996" s="49"/>
      <c r="K1996" s="52" t="str">
        <f t="shared" si="299"/>
        <v/>
      </c>
      <c r="L1996" s="209" t="str">
        <f t="shared" si="300"/>
        <v/>
      </c>
      <c r="M1996" s="210" t="str">
        <f t="shared" si="301"/>
        <v/>
      </c>
      <c r="N1996" s="26"/>
      <c r="O1996" s="27"/>
      <c r="P1996" s="27"/>
      <c r="Q1996" s="2">
        <f t="shared" si="302"/>
        <v>0</v>
      </c>
      <c r="S1996" s="7">
        <f t="shared" si="303"/>
        <v>0</v>
      </c>
      <c r="T1996" s="157">
        <f t="shared" si="304"/>
        <v>0</v>
      </c>
      <c r="V1996" s="191">
        <f t="shared" si="305"/>
        <v>1</v>
      </c>
      <c r="W1996" s="7">
        <f t="shared" si="306"/>
        <v>1900</v>
      </c>
    </row>
    <row r="1997" spans="2:23" ht="31.95" customHeight="1" thickBot="1" x14ac:dyDescent="0.35">
      <c r="B1997" s="26"/>
      <c r="C1997" s="51" t="str">
        <f t="shared" si="307"/>
        <v/>
      </c>
      <c r="D1997" s="27"/>
      <c r="E1997" s="26"/>
      <c r="F1997" s="26"/>
      <c r="G1997" s="26"/>
      <c r="H1997" s="254"/>
      <c r="I1997" s="49"/>
      <c r="J1997" s="49"/>
      <c r="K1997" s="52" t="str">
        <f t="shared" si="299"/>
        <v/>
      </c>
      <c r="L1997" s="209" t="str">
        <f t="shared" si="300"/>
        <v/>
      </c>
      <c r="M1997" s="210" t="str">
        <f t="shared" si="301"/>
        <v/>
      </c>
      <c r="N1997" s="26"/>
      <c r="O1997" s="27"/>
      <c r="P1997" s="27"/>
      <c r="Q1997" s="2">
        <f t="shared" si="302"/>
        <v>0</v>
      </c>
      <c r="S1997" s="7">
        <f t="shared" si="303"/>
        <v>0</v>
      </c>
      <c r="T1997" s="157">
        <f t="shared" si="304"/>
        <v>0</v>
      </c>
      <c r="V1997" s="191">
        <f t="shared" si="305"/>
        <v>1</v>
      </c>
      <c r="W1997" s="7">
        <f t="shared" si="306"/>
        <v>1900</v>
      </c>
    </row>
    <row r="1998" spans="2:23" ht="31.95" customHeight="1" thickBot="1" x14ac:dyDescent="0.35">
      <c r="B1998" s="26"/>
      <c r="C1998" s="51" t="str">
        <f t="shared" si="307"/>
        <v/>
      </c>
      <c r="D1998" s="27"/>
      <c r="E1998" s="26"/>
      <c r="F1998" s="26"/>
      <c r="G1998" s="26"/>
      <c r="H1998" s="254"/>
      <c r="I1998" s="49"/>
      <c r="J1998" s="49"/>
      <c r="K1998" s="52" t="str">
        <f t="shared" si="299"/>
        <v/>
      </c>
      <c r="L1998" s="209" t="str">
        <f t="shared" si="300"/>
        <v/>
      </c>
      <c r="M1998" s="210" t="str">
        <f t="shared" si="301"/>
        <v/>
      </c>
      <c r="N1998" s="26"/>
      <c r="O1998" s="27"/>
      <c r="P1998" s="27"/>
      <c r="Q1998" s="2">
        <f t="shared" si="302"/>
        <v>0</v>
      </c>
      <c r="S1998" s="7">
        <f t="shared" si="303"/>
        <v>0</v>
      </c>
      <c r="T1998" s="157">
        <f t="shared" si="304"/>
        <v>0</v>
      </c>
      <c r="V1998" s="191">
        <f t="shared" si="305"/>
        <v>1</v>
      </c>
      <c r="W1998" s="7">
        <f t="shared" si="306"/>
        <v>1900</v>
      </c>
    </row>
    <row r="1999" spans="2:23" ht="31.95" customHeight="1" thickBot="1" x14ac:dyDescent="0.35">
      <c r="B1999" s="26"/>
      <c r="C1999" s="51" t="str">
        <f t="shared" si="307"/>
        <v/>
      </c>
      <c r="D1999" s="27"/>
      <c r="E1999" s="26"/>
      <c r="F1999" s="26"/>
      <c r="G1999" s="26"/>
      <c r="H1999" s="254"/>
      <c r="I1999" s="49"/>
      <c r="J1999" s="49"/>
      <c r="K1999" s="52" t="str">
        <f t="shared" si="299"/>
        <v/>
      </c>
      <c r="L1999" s="209" t="str">
        <f t="shared" si="300"/>
        <v/>
      </c>
      <c r="M1999" s="210" t="str">
        <f t="shared" si="301"/>
        <v/>
      </c>
      <c r="N1999" s="26"/>
      <c r="O1999" s="27"/>
      <c r="P1999" s="27"/>
      <c r="Q1999" s="2">
        <f t="shared" si="302"/>
        <v>0</v>
      </c>
      <c r="S1999" s="7">
        <f t="shared" si="303"/>
        <v>0</v>
      </c>
      <c r="T1999" s="157">
        <f t="shared" si="304"/>
        <v>0</v>
      </c>
      <c r="V1999" s="191">
        <f t="shared" si="305"/>
        <v>1</v>
      </c>
      <c r="W1999" s="7">
        <f t="shared" si="306"/>
        <v>1900</v>
      </c>
    </row>
    <row r="2000" spans="2:23" ht="31.95" customHeight="1" thickBot="1" x14ac:dyDescent="0.35">
      <c r="B2000" s="26"/>
      <c r="C2000" s="51" t="str">
        <f t="shared" si="307"/>
        <v/>
      </c>
      <c r="D2000" s="27"/>
      <c r="E2000" s="26"/>
      <c r="F2000" s="26"/>
      <c r="G2000" s="26"/>
      <c r="H2000" s="254"/>
      <c r="I2000" s="49"/>
      <c r="J2000" s="49"/>
      <c r="K2000" s="52" t="str">
        <f t="shared" si="299"/>
        <v/>
      </c>
      <c r="L2000" s="209" t="str">
        <f t="shared" si="300"/>
        <v/>
      </c>
      <c r="M2000" s="210" t="str">
        <f t="shared" si="301"/>
        <v/>
      </c>
      <c r="N2000" s="26"/>
      <c r="O2000" s="27"/>
      <c r="P2000" s="27"/>
      <c r="Q2000" s="2">
        <f t="shared" si="302"/>
        <v>0</v>
      </c>
      <c r="S2000" s="7">
        <f t="shared" si="303"/>
        <v>0</v>
      </c>
      <c r="T2000" s="157">
        <f t="shared" si="304"/>
        <v>0</v>
      </c>
      <c r="V2000" s="191">
        <f t="shared" si="305"/>
        <v>1</v>
      </c>
      <c r="W2000" s="7">
        <f t="shared" si="306"/>
        <v>1900</v>
      </c>
    </row>
  </sheetData>
  <sheetProtection formatCells="0" formatColumns="0" formatRows="0" insertColumns="0" insertRows="0" insertHyperlinks="0" deleteColumns="0" deleteRows="0" sort="0" autoFilter="0" pivotTables="0"/>
  <autoFilter ref="B4:P1004" xr:uid="{16E03DE0-F594-427C-8C5B-D1C64917A8BC}"/>
  <phoneticPr fontId="4" type="noConversion"/>
  <hyperlinks>
    <hyperlink ref="A1" location="'Ordem de compra'!A1" display="'Ordem de compra'!A1" xr:uid="{F13DE2DC-D037-4F10-A09D-F04BDB83986A}"/>
  </hyperlink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0CABB6C-9E4E-4200-B139-A34D3B339204}">
          <x14:formula1>
            <xm:f>CAD_CL!$B$5:$B$250</xm:f>
          </x14:formula1>
          <xm:sqref>D5:D1469 D1474:D2000</xm:sqref>
        </x14:dataValidation>
        <x14:dataValidation type="list" allowBlank="1" showInputMessage="1" showErrorMessage="1" xr:uid="{C5139A24-E362-470E-B253-5901735CA73B}">
          <x14:formula1>
            <xm:f>CONTROLE_RM!$C$5:$C$305</xm:f>
          </x14:formula1>
          <xm:sqref>F1261:F1469 F1474:F2000</xm:sqref>
        </x14:dataValidation>
        <x14:dataValidation type="list" allowBlank="1" showInputMessage="1" showErrorMessage="1" xr:uid="{A6ACD8CB-7792-473E-8B9A-35D160EAA488}">
          <x14:formula1>
            <xm:f>CONTROLE_CCI!$C$5:$C$204</xm:f>
          </x14:formula1>
          <xm:sqref>G1285:G1469 G1474:G2000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7B647-0C3C-4E34-A6B6-432378B80F93}">
  <sheetPr codeName="Planilha5" filterMode="1"/>
  <dimension ref="A1:M305"/>
  <sheetViews>
    <sheetView showGridLines="0" zoomScaleNormal="100" workbookViewId="0">
      <pane ySplit="4" topLeftCell="A135" activePane="bottomLeft" state="frozen"/>
      <selection pane="bottomLeft" activeCell="I135" sqref="I135"/>
    </sheetView>
  </sheetViews>
  <sheetFormatPr defaultColWidth="8.88671875" defaultRowHeight="14.4" x14ac:dyDescent="0.3"/>
  <cols>
    <col min="1" max="1" width="10.6640625" style="2" customWidth="1"/>
    <col min="2" max="3" width="15.6640625" style="2" customWidth="1"/>
    <col min="4" max="6" width="20.6640625" style="2" customWidth="1"/>
    <col min="7" max="7" width="8.88671875" style="2" hidden="1" customWidth="1"/>
    <col min="8" max="8" width="15.6640625" style="7" hidden="1" customWidth="1"/>
    <col min="9" max="10" width="38.6640625" style="7" customWidth="1"/>
    <col min="11" max="11" width="11.33203125" style="2" customWidth="1"/>
    <col min="12" max="12" width="8.88671875" style="2" customWidth="1"/>
    <col min="13" max="13" width="8.88671875" style="2" hidden="1" customWidth="1"/>
    <col min="14" max="14" width="8.88671875" style="2" customWidth="1"/>
    <col min="15" max="16384" width="8.88671875" style="2"/>
  </cols>
  <sheetData>
    <row r="1" spans="1:13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32"/>
      <c r="I1" s="32"/>
      <c r="J1" s="32"/>
      <c r="K1" s="1"/>
    </row>
    <row r="2" spans="1:13" ht="31.95" customHeight="1" x14ac:dyDescent="0.3">
      <c r="A2" s="3"/>
      <c r="B2" s="3"/>
      <c r="C2" s="3"/>
      <c r="D2" s="3"/>
      <c r="E2" s="3"/>
      <c r="F2" s="3"/>
      <c r="G2" s="3"/>
      <c r="H2" s="33"/>
      <c r="I2" s="33"/>
      <c r="J2" s="33"/>
      <c r="K2" s="3"/>
    </row>
    <row r="3" spans="1:13" ht="15" thickBot="1" x14ac:dyDescent="0.35">
      <c r="H3" s="7" t="s">
        <v>1406</v>
      </c>
      <c r="M3" s="2" t="s">
        <v>1416</v>
      </c>
    </row>
    <row r="4" spans="1:13" ht="31.95" customHeight="1" thickBot="1" x14ac:dyDescent="0.35">
      <c r="B4" s="24" t="s">
        <v>1413</v>
      </c>
      <c r="C4" s="25" t="s">
        <v>1409</v>
      </c>
      <c r="D4" s="25" t="s">
        <v>1410</v>
      </c>
      <c r="E4" s="25" t="s">
        <v>1411</v>
      </c>
      <c r="F4" s="46" t="s">
        <v>1412</v>
      </c>
      <c r="G4" s="46" t="s">
        <v>1412</v>
      </c>
      <c r="H4" s="46" t="s">
        <v>1407</v>
      </c>
      <c r="I4" s="46" t="s">
        <v>1769</v>
      </c>
      <c r="J4" s="46" t="s">
        <v>1418</v>
      </c>
      <c r="M4" s="2" t="s">
        <v>1415</v>
      </c>
    </row>
    <row r="5" spans="1:13" ht="31.95" hidden="1" customHeight="1" thickBot="1" x14ac:dyDescent="0.35">
      <c r="A5" s="15"/>
      <c r="B5" s="26">
        <v>45831</v>
      </c>
      <c r="C5" s="211" t="str">
        <f>CONCATENATE("RM ",H5,".25")</f>
        <v>RM 100.25</v>
      </c>
      <c r="D5" s="49">
        <v>1</v>
      </c>
      <c r="E5" s="49">
        <v>1</v>
      </c>
      <c r="F5" s="49" t="s">
        <v>1406</v>
      </c>
      <c r="H5" s="7">
        <v>100</v>
      </c>
      <c r="I5" s="49"/>
      <c r="J5" s="49"/>
      <c r="K5" s="191"/>
      <c r="L5" s="7"/>
    </row>
    <row r="6" spans="1:13" ht="31.95" hidden="1" customHeight="1" thickBot="1" x14ac:dyDescent="0.35">
      <c r="A6" s="15"/>
      <c r="B6" s="26">
        <v>45831</v>
      </c>
      <c r="C6" s="211" t="str">
        <f t="shared" ref="C6:C69" si="0">CONCATENATE("RM ",H6,".25")</f>
        <v>RM 101.25</v>
      </c>
      <c r="D6" s="49">
        <v>3</v>
      </c>
      <c r="E6" s="49">
        <v>3</v>
      </c>
      <c r="F6" s="49" t="s">
        <v>1406</v>
      </c>
      <c r="H6" s="7">
        <v>101</v>
      </c>
      <c r="I6" s="49"/>
      <c r="J6" s="49"/>
      <c r="K6" s="191"/>
      <c r="L6" s="7"/>
    </row>
    <row r="7" spans="1:13" ht="31.95" hidden="1" customHeight="1" thickBot="1" x14ac:dyDescent="0.35">
      <c r="A7" s="15"/>
      <c r="B7" s="26">
        <v>45831</v>
      </c>
      <c r="C7" s="211" t="str">
        <f t="shared" si="0"/>
        <v>RM 102.25</v>
      </c>
      <c r="D7" s="49">
        <v>1</v>
      </c>
      <c r="E7" s="49">
        <v>1</v>
      </c>
      <c r="F7" s="49" t="s">
        <v>1406</v>
      </c>
      <c r="H7" s="7">
        <v>102</v>
      </c>
      <c r="I7" s="49"/>
      <c r="J7" s="49"/>
      <c r="K7" s="191"/>
      <c r="L7" s="7"/>
    </row>
    <row r="8" spans="1:13" ht="31.95" hidden="1" customHeight="1" thickBot="1" x14ac:dyDescent="0.35">
      <c r="A8" s="15"/>
      <c r="B8" s="26">
        <v>45833</v>
      </c>
      <c r="C8" s="211" t="str">
        <f t="shared" si="0"/>
        <v>RM 103.25</v>
      </c>
      <c r="D8" s="49">
        <v>2</v>
      </c>
      <c r="E8" s="49">
        <v>2</v>
      </c>
      <c r="F8" s="49" t="s">
        <v>1406</v>
      </c>
      <c r="H8" s="7">
        <v>103</v>
      </c>
      <c r="I8" s="49"/>
      <c r="J8" s="49"/>
      <c r="K8" s="191"/>
      <c r="L8" s="7"/>
    </row>
    <row r="9" spans="1:13" ht="31.95" hidden="1" customHeight="1" thickBot="1" x14ac:dyDescent="0.35">
      <c r="A9" s="15"/>
      <c r="B9" s="26">
        <v>45834</v>
      </c>
      <c r="C9" s="211" t="str">
        <f t="shared" si="0"/>
        <v>RM 104.25</v>
      </c>
      <c r="D9" s="49">
        <v>2</v>
      </c>
      <c r="E9" s="49">
        <v>2</v>
      </c>
      <c r="F9" s="49" t="s">
        <v>1406</v>
      </c>
      <c r="H9" s="7">
        <v>104</v>
      </c>
      <c r="I9" s="49"/>
      <c r="J9" s="49"/>
      <c r="K9" s="191"/>
      <c r="L9" s="7"/>
    </row>
    <row r="10" spans="1:13" ht="31.95" hidden="1" customHeight="1" thickBot="1" x14ac:dyDescent="0.35">
      <c r="A10" s="15"/>
      <c r="B10" s="26">
        <v>45834</v>
      </c>
      <c r="C10" s="211" t="str">
        <f t="shared" si="0"/>
        <v>RM 105.25</v>
      </c>
      <c r="D10" s="49">
        <v>2</v>
      </c>
      <c r="E10" s="49">
        <v>2</v>
      </c>
      <c r="F10" s="49" t="s">
        <v>1406</v>
      </c>
      <c r="H10" s="7">
        <v>105</v>
      </c>
      <c r="I10" s="49"/>
      <c r="J10" s="49"/>
      <c r="K10" s="191"/>
      <c r="L10" s="7"/>
    </row>
    <row r="11" spans="1:13" ht="31.95" hidden="1" customHeight="1" thickBot="1" x14ac:dyDescent="0.35">
      <c r="A11" s="15"/>
      <c r="B11" s="26">
        <v>45838</v>
      </c>
      <c r="C11" s="211" t="str">
        <f t="shared" si="0"/>
        <v>RM 106.25</v>
      </c>
      <c r="D11" s="49">
        <v>1</v>
      </c>
      <c r="E11" s="49">
        <v>1</v>
      </c>
      <c r="F11" s="49" t="s">
        <v>1406</v>
      </c>
      <c r="H11" s="7">
        <v>106</v>
      </c>
      <c r="I11" s="49"/>
      <c r="J11" s="49"/>
      <c r="K11" s="191"/>
      <c r="L11" s="7"/>
    </row>
    <row r="12" spans="1:13" ht="31.95" hidden="1" customHeight="1" thickBot="1" x14ac:dyDescent="0.35">
      <c r="A12" s="15"/>
      <c r="B12" s="26">
        <v>45840</v>
      </c>
      <c r="C12" s="211" t="str">
        <f t="shared" si="0"/>
        <v>RM 107.25</v>
      </c>
      <c r="D12" s="49">
        <v>9</v>
      </c>
      <c r="E12" s="49">
        <v>9</v>
      </c>
      <c r="F12" s="49" t="s">
        <v>1406</v>
      </c>
      <c r="H12" s="7">
        <v>107</v>
      </c>
      <c r="I12" s="49"/>
      <c r="J12" s="49"/>
      <c r="K12" s="191"/>
      <c r="L12" s="7"/>
    </row>
    <row r="13" spans="1:13" ht="31.95" hidden="1" customHeight="1" thickBot="1" x14ac:dyDescent="0.35">
      <c r="A13" s="15"/>
      <c r="B13" s="26">
        <v>45839</v>
      </c>
      <c r="C13" s="211" t="str">
        <f t="shared" si="0"/>
        <v>RM 108.25</v>
      </c>
      <c r="D13" s="49">
        <v>5</v>
      </c>
      <c r="E13" s="49">
        <v>5</v>
      </c>
      <c r="F13" s="49" t="s">
        <v>1406</v>
      </c>
      <c r="H13" s="7">
        <v>108</v>
      </c>
      <c r="I13" s="49"/>
      <c r="J13" s="49"/>
      <c r="K13" s="191"/>
      <c r="L13" s="7"/>
    </row>
    <row r="14" spans="1:13" ht="31.95" hidden="1" customHeight="1" thickBot="1" x14ac:dyDescent="0.35">
      <c r="A14" s="15"/>
      <c r="B14" s="26">
        <v>45840</v>
      </c>
      <c r="C14" s="211" t="str">
        <f t="shared" si="0"/>
        <v>RM 109.25</v>
      </c>
      <c r="D14" s="49">
        <v>2</v>
      </c>
      <c r="E14" s="49">
        <v>2</v>
      </c>
      <c r="F14" s="49" t="s">
        <v>1406</v>
      </c>
      <c r="H14" s="7">
        <v>109</v>
      </c>
      <c r="I14" s="49"/>
      <c r="J14" s="49"/>
      <c r="K14" s="191"/>
      <c r="L14" s="7"/>
    </row>
    <row r="15" spans="1:13" ht="31.95" hidden="1" customHeight="1" thickBot="1" x14ac:dyDescent="0.35">
      <c r="A15" s="15"/>
      <c r="B15" s="26">
        <v>45842</v>
      </c>
      <c r="C15" s="211" t="str">
        <f t="shared" si="0"/>
        <v>RM 110.25</v>
      </c>
      <c r="D15" s="49">
        <v>1</v>
      </c>
      <c r="E15" s="49">
        <v>1</v>
      </c>
      <c r="F15" s="49" t="s">
        <v>1406</v>
      </c>
      <c r="H15" s="7">
        <v>110</v>
      </c>
      <c r="I15" s="49"/>
      <c r="J15" s="49" t="s">
        <v>1425</v>
      </c>
      <c r="K15" s="191"/>
      <c r="L15" s="7"/>
    </row>
    <row r="16" spans="1:13" ht="31.95" hidden="1" customHeight="1" thickBot="1" x14ac:dyDescent="0.35">
      <c r="A16" s="15"/>
      <c r="B16" s="26">
        <v>45846</v>
      </c>
      <c r="C16" s="211" t="str">
        <f t="shared" si="0"/>
        <v>RM 111.25</v>
      </c>
      <c r="D16" s="49">
        <v>1</v>
      </c>
      <c r="E16" s="49">
        <v>1</v>
      </c>
      <c r="F16" s="49" t="s">
        <v>1406</v>
      </c>
      <c r="H16" s="7">
        <v>111</v>
      </c>
      <c r="I16" s="49"/>
      <c r="J16" s="49"/>
      <c r="K16" s="191"/>
      <c r="L16" s="7"/>
    </row>
    <row r="17" spans="1:12" ht="31.95" hidden="1" customHeight="1" thickBot="1" x14ac:dyDescent="0.35">
      <c r="A17" s="15"/>
      <c r="B17" s="26">
        <v>45846</v>
      </c>
      <c r="C17" s="211" t="str">
        <f t="shared" si="0"/>
        <v>RM 112.25</v>
      </c>
      <c r="D17" s="49">
        <v>7</v>
      </c>
      <c r="E17" s="49">
        <v>7</v>
      </c>
      <c r="F17" s="49" t="s">
        <v>1406</v>
      </c>
      <c r="H17" s="7">
        <v>112</v>
      </c>
      <c r="I17" s="49"/>
      <c r="J17" s="49"/>
      <c r="K17" s="191"/>
      <c r="L17" s="7"/>
    </row>
    <row r="18" spans="1:12" ht="31.95" hidden="1" customHeight="1" thickBot="1" x14ac:dyDescent="0.35">
      <c r="A18" s="15"/>
      <c r="B18" s="26">
        <v>45846</v>
      </c>
      <c r="C18" s="211" t="str">
        <f t="shared" si="0"/>
        <v>RM 113.25</v>
      </c>
      <c r="D18" s="49">
        <v>1</v>
      </c>
      <c r="E18" s="49">
        <v>1</v>
      </c>
      <c r="F18" s="49" t="s">
        <v>1406</v>
      </c>
      <c r="H18" s="7">
        <v>113</v>
      </c>
      <c r="I18" s="49"/>
      <c r="J18" s="49"/>
      <c r="K18" s="191"/>
      <c r="L18" s="7"/>
    </row>
    <row r="19" spans="1:12" ht="31.95" hidden="1" customHeight="1" thickBot="1" x14ac:dyDescent="0.35">
      <c r="A19" s="15"/>
      <c r="B19" s="26">
        <v>45846</v>
      </c>
      <c r="C19" s="211" t="str">
        <f t="shared" si="0"/>
        <v>RM 114.25</v>
      </c>
      <c r="D19" s="49">
        <v>2</v>
      </c>
      <c r="E19" s="49">
        <v>2</v>
      </c>
      <c r="F19" s="49" t="s">
        <v>1406</v>
      </c>
      <c r="H19" s="7">
        <v>114</v>
      </c>
      <c r="I19" s="49"/>
      <c r="J19" s="49"/>
      <c r="K19" s="191"/>
      <c r="L19" s="7"/>
    </row>
    <row r="20" spans="1:12" ht="31.95" hidden="1" customHeight="1" thickBot="1" x14ac:dyDescent="0.35">
      <c r="A20" s="15"/>
      <c r="B20" s="26">
        <v>45847</v>
      </c>
      <c r="C20" s="211" t="str">
        <f t="shared" si="0"/>
        <v>RM 115.25</v>
      </c>
      <c r="D20" s="49">
        <v>1</v>
      </c>
      <c r="E20" s="49">
        <v>1</v>
      </c>
      <c r="F20" s="49" t="s">
        <v>1406</v>
      </c>
      <c r="H20" s="7">
        <v>115</v>
      </c>
      <c r="I20" s="49"/>
      <c r="J20" s="49"/>
      <c r="K20" s="191"/>
      <c r="L20" s="7"/>
    </row>
    <row r="21" spans="1:12" ht="31.95" hidden="1" customHeight="1" thickBot="1" x14ac:dyDescent="0.35">
      <c r="A21" s="15"/>
      <c r="B21" s="26">
        <v>45847</v>
      </c>
      <c r="C21" s="211" t="str">
        <f t="shared" si="0"/>
        <v>RM 116.25</v>
      </c>
      <c r="D21" s="49">
        <v>1</v>
      </c>
      <c r="E21" s="49">
        <v>1</v>
      </c>
      <c r="F21" s="49" t="s">
        <v>1406</v>
      </c>
      <c r="H21" s="7">
        <v>116</v>
      </c>
      <c r="I21" s="49"/>
      <c r="J21" s="49"/>
      <c r="K21" s="191"/>
      <c r="L21" s="7"/>
    </row>
    <row r="22" spans="1:12" ht="31.95" hidden="1" customHeight="1" thickBot="1" x14ac:dyDescent="0.35">
      <c r="A22" s="15"/>
      <c r="B22" s="26">
        <v>45847</v>
      </c>
      <c r="C22" s="211" t="str">
        <f t="shared" si="0"/>
        <v>RM 117.25</v>
      </c>
      <c r="D22" s="49">
        <v>2</v>
      </c>
      <c r="E22" s="49">
        <v>2</v>
      </c>
      <c r="F22" s="49" t="s">
        <v>1406</v>
      </c>
      <c r="H22" s="7">
        <v>117</v>
      </c>
      <c r="I22" s="49"/>
      <c r="J22" s="49"/>
      <c r="K22" s="191"/>
      <c r="L22" s="7"/>
    </row>
    <row r="23" spans="1:12" ht="31.95" hidden="1" customHeight="1" thickBot="1" x14ac:dyDescent="0.35">
      <c r="A23" s="15"/>
      <c r="B23" s="26">
        <v>45849</v>
      </c>
      <c r="C23" s="211" t="str">
        <f t="shared" si="0"/>
        <v>RM 118.25</v>
      </c>
      <c r="D23" s="49">
        <v>3</v>
      </c>
      <c r="E23" s="49">
        <v>3</v>
      </c>
      <c r="F23" s="49" t="s">
        <v>1406</v>
      </c>
      <c r="H23" s="7">
        <v>118</v>
      </c>
      <c r="I23" s="49"/>
      <c r="J23" s="49"/>
      <c r="K23" s="191"/>
      <c r="L23" s="7"/>
    </row>
    <row r="24" spans="1:12" ht="31.95" hidden="1" customHeight="1" thickBot="1" x14ac:dyDescent="0.35">
      <c r="A24" s="15"/>
      <c r="B24" s="26">
        <v>45859</v>
      </c>
      <c r="C24" s="211" t="str">
        <f t="shared" si="0"/>
        <v>RM 119.25</v>
      </c>
      <c r="D24" s="49">
        <v>24</v>
      </c>
      <c r="E24" s="49">
        <v>23</v>
      </c>
      <c r="F24" s="49" t="s">
        <v>1406</v>
      </c>
      <c r="H24" s="7">
        <v>119</v>
      </c>
      <c r="I24" s="49"/>
      <c r="J24" s="49" t="s">
        <v>1587</v>
      </c>
      <c r="K24" s="191"/>
      <c r="L24" s="7"/>
    </row>
    <row r="25" spans="1:12" ht="31.95" hidden="1" customHeight="1" thickBot="1" x14ac:dyDescent="0.35">
      <c r="A25" s="15"/>
      <c r="B25" s="26">
        <v>45860</v>
      </c>
      <c r="C25" s="211" t="str">
        <f t="shared" si="0"/>
        <v>RM 120.25</v>
      </c>
      <c r="D25" s="49">
        <v>23</v>
      </c>
      <c r="E25" s="49">
        <v>23</v>
      </c>
      <c r="F25" s="49" t="s">
        <v>1406</v>
      </c>
      <c r="H25" s="7">
        <v>120</v>
      </c>
      <c r="I25" s="49"/>
      <c r="J25" s="49"/>
      <c r="K25" s="191"/>
      <c r="L25" s="7"/>
    </row>
    <row r="26" spans="1:12" ht="31.95" hidden="1" customHeight="1" thickBot="1" x14ac:dyDescent="0.35">
      <c r="A26" s="15"/>
      <c r="B26" s="26">
        <v>45854</v>
      </c>
      <c r="C26" s="211" t="str">
        <f t="shared" si="0"/>
        <v>RM 121.25</v>
      </c>
      <c r="D26" s="49">
        <v>4</v>
      </c>
      <c r="E26" s="49">
        <v>4</v>
      </c>
      <c r="F26" s="49" t="s">
        <v>1406</v>
      </c>
      <c r="H26" s="7">
        <v>121</v>
      </c>
      <c r="I26" s="49"/>
      <c r="J26" s="49"/>
      <c r="K26" s="191"/>
      <c r="L26" s="7"/>
    </row>
    <row r="27" spans="1:12" ht="31.95" hidden="1" customHeight="1" thickBot="1" x14ac:dyDescent="0.35">
      <c r="A27" s="15"/>
      <c r="B27" s="26">
        <v>45854</v>
      </c>
      <c r="C27" s="211" t="str">
        <f t="shared" si="0"/>
        <v>RM 122.25</v>
      </c>
      <c r="D27" s="49">
        <v>7</v>
      </c>
      <c r="E27" s="49">
        <v>7</v>
      </c>
      <c r="F27" s="49" t="s">
        <v>1406</v>
      </c>
      <c r="H27" s="7">
        <v>122</v>
      </c>
      <c r="I27" s="49"/>
      <c r="J27" s="49"/>
      <c r="K27" s="191"/>
      <c r="L27" s="7"/>
    </row>
    <row r="28" spans="1:12" ht="31.95" hidden="1" customHeight="1" thickBot="1" x14ac:dyDescent="0.35">
      <c r="A28" s="15"/>
      <c r="B28" s="26">
        <v>45854</v>
      </c>
      <c r="C28" s="211" t="str">
        <f t="shared" si="0"/>
        <v>RM 123.25</v>
      </c>
      <c r="D28" s="49">
        <v>3</v>
      </c>
      <c r="E28" s="49">
        <v>3</v>
      </c>
      <c r="F28" s="49" t="s">
        <v>1406</v>
      </c>
      <c r="H28" s="7">
        <v>123</v>
      </c>
      <c r="I28" s="49"/>
      <c r="J28" s="49"/>
      <c r="K28" s="191"/>
      <c r="L28" s="7"/>
    </row>
    <row r="29" spans="1:12" ht="31.95" hidden="1" customHeight="1" thickBot="1" x14ac:dyDescent="0.35">
      <c r="A29" s="15"/>
      <c r="B29" s="26">
        <v>45854</v>
      </c>
      <c r="C29" s="211" t="str">
        <f t="shared" si="0"/>
        <v>RM 124.25</v>
      </c>
      <c r="D29" s="49">
        <v>4</v>
      </c>
      <c r="E29" s="49">
        <v>4</v>
      </c>
      <c r="F29" s="49" t="s">
        <v>1406</v>
      </c>
      <c r="H29" s="7">
        <v>124</v>
      </c>
      <c r="I29" s="49"/>
      <c r="J29" s="49"/>
      <c r="K29" s="191"/>
      <c r="L29" s="7"/>
    </row>
    <row r="30" spans="1:12" ht="31.95" hidden="1" customHeight="1" thickBot="1" x14ac:dyDescent="0.35">
      <c r="A30" s="15"/>
      <c r="B30" s="26">
        <v>45854</v>
      </c>
      <c r="C30" s="211" t="str">
        <f t="shared" si="0"/>
        <v>RM 125.25</v>
      </c>
      <c r="D30" s="49">
        <v>7</v>
      </c>
      <c r="E30" s="49">
        <v>7</v>
      </c>
      <c r="F30" s="49" t="s">
        <v>1406</v>
      </c>
      <c r="H30" s="7">
        <v>125</v>
      </c>
      <c r="I30" s="49"/>
      <c r="J30" s="49"/>
      <c r="K30" s="191"/>
      <c r="L30" s="7"/>
    </row>
    <row r="31" spans="1:12" ht="31.95" hidden="1" customHeight="1" thickBot="1" x14ac:dyDescent="0.35">
      <c r="A31" s="15"/>
      <c r="B31" s="26">
        <v>45854</v>
      </c>
      <c r="C31" s="211" t="str">
        <f t="shared" si="0"/>
        <v>RM 126.25</v>
      </c>
      <c r="D31" s="49">
        <v>3</v>
      </c>
      <c r="E31" s="49">
        <v>3</v>
      </c>
      <c r="F31" s="49" t="s">
        <v>1406</v>
      </c>
      <c r="H31" s="7">
        <v>126</v>
      </c>
      <c r="I31" s="49"/>
      <c r="J31" s="49"/>
      <c r="K31" s="191"/>
      <c r="L31" s="7"/>
    </row>
    <row r="32" spans="1:12" ht="31.95" hidden="1" customHeight="1" thickBot="1" x14ac:dyDescent="0.35">
      <c r="A32" s="15"/>
      <c r="B32" s="26">
        <v>45849</v>
      </c>
      <c r="C32" s="211" t="str">
        <f t="shared" si="0"/>
        <v>RM 127.25</v>
      </c>
      <c r="D32" s="49">
        <v>4</v>
      </c>
      <c r="E32" s="49">
        <v>4</v>
      </c>
      <c r="F32" s="49" t="s">
        <v>1406</v>
      </c>
      <c r="H32" s="7">
        <v>127</v>
      </c>
      <c r="I32" s="49"/>
      <c r="J32" s="49"/>
      <c r="K32" s="191"/>
      <c r="L32" s="7"/>
    </row>
    <row r="33" spans="1:13" ht="31.95" hidden="1" customHeight="1" thickBot="1" x14ac:dyDescent="0.35">
      <c r="A33" s="15"/>
      <c r="B33" s="26">
        <v>45856</v>
      </c>
      <c r="C33" s="211" t="str">
        <f t="shared" si="0"/>
        <v>RM 128.25</v>
      </c>
      <c r="D33" s="49">
        <v>4</v>
      </c>
      <c r="E33" s="49">
        <v>4</v>
      </c>
      <c r="F33" s="49" t="s">
        <v>1406</v>
      </c>
      <c r="H33" s="7">
        <v>128</v>
      </c>
      <c r="I33" s="49"/>
      <c r="J33" s="49"/>
      <c r="K33" s="191"/>
      <c r="L33" s="7"/>
    </row>
    <row r="34" spans="1:13" ht="31.95" hidden="1" customHeight="1" thickBot="1" x14ac:dyDescent="0.35">
      <c r="A34" s="15"/>
      <c r="B34" s="26">
        <v>45859</v>
      </c>
      <c r="C34" s="211" t="str">
        <f t="shared" si="0"/>
        <v>RM 129.25</v>
      </c>
      <c r="D34" s="49">
        <v>8</v>
      </c>
      <c r="E34" s="49">
        <v>8</v>
      </c>
      <c r="F34" s="49" t="s">
        <v>1406</v>
      </c>
      <c r="H34" s="7">
        <v>129</v>
      </c>
      <c r="I34" s="49"/>
      <c r="J34" s="49"/>
      <c r="K34" s="191"/>
      <c r="L34" s="7"/>
    </row>
    <row r="35" spans="1:13" ht="31.95" hidden="1" customHeight="1" thickBot="1" x14ac:dyDescent="0.35">
      <c r="A35" s="15"/>
      <c r="B35" s="26">
        <v>45859</v>
      </c>
      <c r="C35" s="211" t="str">
        <f t="shared" si="0"/>
        <v>RM 130.25</v>
      </c>
      <c r="D35" s="49">
        <v>15</v>
      </c>
      <c r="E35" s="49">
        <v>15</v>
      </c>
      <c r="F35" s="49" t="s">
        <v>1406</v>
      </c>
      <c r="H35" s="7">
        <v>130</v>
      </c>
      <c r="I35" s="49"/>
      <c r="J35" s="49"/>
      <c r="K35" s="191"/>
      <c r="L35" s="7"/>
    </row>
    <row r="36" spans="1:13" ht="31.95" hidden="1" customHeight="1" thickBot="1" x14ac:dyDescent="0.35">
      <c r="A36" s="15"/>
      <c r="B36" s="26">
        <v>45859</v>
      </c>
      <c r="C36" s="211" t="str">
        <f t="shared" si="0"/>
        <v>RM 131.25</v>
      </c>
      <c r="D36" s="49">
        <v>1</v>
      </c>
      <c r="E36" s="49">
        <v>1</v>
      </c>
      <c r="F36" s="49" t="s">
        <v>1406</v>
      </c>
      <c r="H36" s="7">
        <v>131</v>
      </c>
      <c r="I36" s="49"/>
      <c r="J36" s="49"/>
      <c r="K36" s="191"/>
      <c r="L36" s="7"/>
    </row>
    <row r="37" spans="1:13" ht="31.95" hidden="1" customHeight="1" thickBot="1" x14ac:dyDescent="0.35">
      <c r="A37" s="15"/>
      <c r="B37" s="26">
        <v>45862</v>
      </c>
      <c r="C37" s="211" t="str">
        <f t="shared" si="0"/>
        <v>RM 132.25</v>
      </c>
      <c r="D37" s="49">
        <v>3</v>
      </c>
      <c r="E37" s="49">
        <v>3</v>
      </c>
      <c r="F37" s="49" t="s">
        <v>1406</v>
      </c>
      <c r="H37" s="7">
        <v>132</v>
      </c>
      <c r="I37" s="49"/>
      <c r="J37" s="49"/>
      <c r="K37" s="191"/>
      <c r="L37" s="7"/>
    </row>
    <row r="38" spans="1:13" ht="31.95" hidden="1" customHeight="1" thickBot="1" x14ac:dyDescent="0.35">
      <c r="A38" s="15"/>
      <c r="B38" s="26">
        <v>45861</v>
      </c>
      <c r="C38" s="211" t="str">
        <f t="shared" si="0"/>
        <v>RM 133.25</v>
      </c>
      <c r="D38" s="49">
        <v>5</v>
      </c>
      <c r="E38" s="49">
        <v>5</v>
      </c>
      <c r="F38" s="49" t="s">
        <v>1406</v>
      </c>
      <c r="H38" s="7">
        <v>133</v>
      </c>
      <c r="I38" s="49"/>
      <c r="J38" s="49"/>
      <c r="K38" s="191"/>
      <c r="L38" s="7"/>
    </row>
    <row r="39" spans="1:13" ht="31.95" hidden="1" customHeight="1" thickBot="1" x14ac:dyDescent="0.35">
      <c r="A39" s="15"/>
      <c r="B39" s="26">
        <v>45861</v>
      </c>
      <c r="C39" s="211" t="str">
        <f t="shared" si="0"/>
        <v>RM 134.25</v>
      </c>
      <c r="D39" s="49">
        <v>6</v>
      </c>
      <c r="E39" s="49">
        <v>6</v>
      </c>
      <c r="F39" s="49" t="s">
        <v>1406</v>
      </c>
      <c r="H39" s="7">
        <v>134</v>
      </c>
      <c r="I39" s="49"/>
      <c r="J39" s="49"/>
      <c r="K39" s="191"/>
      <c r="L39" s="7"/>
      <c r="M39" s="2" t="s">
        <v>1427</v>
      </c>
    </row>
    <row r="40" spans="1:13" ht="31.95" hidden="1" customHeight="1" thickBot="1" x14ac:dyDescent="0.35">
      <c r="A40" s="15"/>
      <c r="B40" s="26">
        <v>45861</v>
      </c>
      <c r="C40" s="211" t="str">
        <f t="shared" si="0"/>
        <v>RM 135.25</v>
      </c>
      <c r="D40" s="49">
        <v>1</v>
      </c>
      <c r="E40" s="49">
        <v>1</v>
      </c>
      <c r="F40" s="49" t="s">
        <v>1406</v>
      </c>
      <c r="H40" s="7">
        <v>135</v>
      </c>
      <c r="I40" s="49"/>
      <c r="J40" s="49"/>
      <c r="K40" s="191"/>
      <c r="L40" s="7"/>
    </row>
    <row r="41" spans="1:13" ht="31.95" hidden="1" customHeight="1" thickBot="1" x14ac:dyDescent="0.35">
      <c r="A41" s="15"/>
      <c r="B41" s="26">
        <v>45867</v>
      </c>
      <c r="C41" s="211" t="str">
        <f t="shared" si="0"/>
        <v>RM 136.25</v>
      </c>
      <c r="D41" s="49">
        <v>9</v>
      </c>
      <c r="E41" s="49">
        <v>9</v>
      </c>
      <c r="F41" s="49" t="s">
        <v>1406</v>
      </c>
      <c r="H41" s="7">
        <v>136</v>
      </c>
      <c r="I41" s="49"/>
      <c r="J41" s="49"/>
      <c r="K41" s="191"/>
      <c r="L41" s="7"/>
    </row>
    <row r="42" spans="1:13" ht="31.95" hidden="1" customHeight="1" thickBot="1" x14ac:dyDescent="0.35">
      <c r="A42" s="15"/>
      <c r="B42" s="26">
        <v>45867</v>
      </c>
      <c r="C42" s="211" t="str">
        <f t="shared" si="0"/>
        <v>RM 137.25</v>
      </c>
      <c r="D42" s="49">
        <v>10</v>
      </c>
      <c r="E42" s="49">
        <v>10</v>
      </c>
      <c r="F42" s="49" t="s">
        <v>1406</v>
      </c>
      <c r="H42" s="7">
        <v>137</v>
      </c>
      <c r="I42" s="49"/>
      <c r="J42" s="49"/>
      <c r="K42" s="191"/>
      <c r="L42" s="7"/>
    </row>
    <row r="43" spans="1:13" ht="31.95" hidden="1" customHeight="1" thickBot="1" x14ac:dyDescent="0.35">
      <c r="A43" s="15"/>
      <c r="B43" s="26">
        <v>45866</v>
      </c>
      <c r="C43" s="211" t="str">
        <f t="shared" si="0"/>
        <v>RM 138.25</v>
      </c>
      <c r="D43" s="49">
        <v>10</v>
      </c>
      <c r="E43" s="49">
        <v>10</v>
      </c>
      <c r="F43" s="49" t="s">
        <v>1406</v>
      </c>
      <c r="H43" s="7">
        <v>138</v>
      </c>
      <c r="I43" s="49"/>
      <c r="J43" s="49" t="s">
        <v>1428</v>
      </c>
      <c r="K43" s="191"/>
      <c r="L43" s="7"/>
    </row>
    <row r="44" spans="1:13" ht="31.95" hidden="1" customHeight="1" thickBot="1" x14ac:dyDescent="0.35">
      <c r="A44" s="15"/>
      <c r="B44" s="26">
        <v>45867</v>
      </c>
      <c r="C44" s="211" t="str">
        <f t="shared" si="0"/>
        <v>RM 139.25</v>
      </c>
      <c r="D44" s="49">
        <v>2</v>
      </c>
      <c r="E44" s="49">
        <v>2</v>
      </c>
      <c r="F44" s="49" t="s">
        <v>1406</v>
      </c>
      <c r="H44" s="7">
        <v>139</v>
      </c>
      <c r="I44" s="49"/>
      <c r="J44" s="49"/>
      <c r="K44" s="191"/>
      <c r="L44" s="7"/>
    </row>
    <row r="45" spans="1:13" ht="31.95" hidden="1" customHeight="1" thickBot="1" x14ac:dyDescent="0.35">
      <c r="A45" s="15"/>
      <c r="B45" s="26">
        <v>45867</v>
      </c>
      <c r="C45" s="211" t="str">
        <f t="shared" si="0"/>
        <v>RM 140.25</v>
      </c>
      <c r="D45" s="49">
        <v>2</v>
      </c>
      <c r="E45" s="49">
        <v>2</v>
      </c>
      <c r="F45" s="49" t="s">
        <v>1406</v>
      </c>
      <c r="H45" s="7">
        <v>140</v>
      </c>
      <c r="I45" s="49"/>
      <c r="J45" s="49"/>
      <c r="K45" s="191"/>
      <c r="L45" s="7"/>
    </row>
    <row r="46" spans="1:13" ht="31.95" hidden="1" customHeight="1" thickBot="1" x14ac:dyDescent="0.35">
      <c r="A46" s="15"/>
      <c r="B46" s="26">
        <v>45868</v>
      </c>
      <c r="C46" s="211" t="str">
        <f t="shared" si="0"/>
        <v>RM 141.25</v>
      </c>
      <c r="D46" s="49">
        <v>2</v>
      </c>
      <c r="E46" s="49">
        <v>2</v>
      </c>
      <c r="F46" s="49" t="s">
        <v>1406</v>
      </c>
      <c r="H46" s="7">
        <v>141</v>
      </c>
      <c r="I46" s="49"/>
      <c r="J46" s="49"/>
      <c r="K46" s="191"/>
      <c r="L46" s="7"/>
    </row>
    <row r="47" spans="1:13" ht="31.95" hidden="1" customHeight="1" thickBot="1" x14ac:dyDescent="0.35">
      <c r="A47" s="15"/>
      <c r="B47" s="26">
        <v>45868</v>
      </c>
      <c r="C47" s="211" t="str">
        <f t="shared" si="0"/>
        <v>RM 142.25</v>
      </c>
      <c r="D47" s="49">
        <v>1</v>
      </c>
      <c r="E47" s="49">
        <v>1</v>
      </c>
      <c r="F47" s="49" t="s">
        <v>1406</v>
      </c>
      <c r="H47" s="7">
        <v>142</v>
      </c>
      <c r="I47" s="49"/>
      <c r="J47" s="49"/>
      <c r="K47" s="191"/>
      <c r="L47" s="7"/>
    </row>
    <row r="48" spans="1:13" ht="31.95" hidden="1" customHeight="1" thickBot="1" x14ac:dyDescent="0.35">
      <c r="A48" s="15"/>
      <c r="B48" s="26">
        <v>45868</v>
      </c>
      <c r="C48" s="211" t="str">
        <f t="shared" si="0"/>
        <v>RM 143.25</v>
      </c>
      <c r="D48" s="49">
        <v>1</v>
      </c>
      <c r="E48" s="49">
        <v>1</v>
      </c>
      <c r="F48" s="49" t="s">
        <v>1406</v>
      </c>
      <c r="H48" s="7">
        <v>143</v>
      </c>
      <c r="I48" s="49"/>
      <c r="J48" s="49"/>
      <c r="K48" s="191"/>
      <c r="L48" s="7"/>
    </row>
    <row r="49" spans="1:12" ht="31.95" hidden="1" customHeight="1" thickBot="1" x14ac:dyDescent="0.35">
      <c r="A49" s="15"/>
      <c r="B49" s="26">
        <v>45870</v>
      </c>
      <c r="C49" s="211" t="str">
        <f t="shared" si="0"/>
        <v>RM 144.25</v>
      </c>
      <c r="D49" s="49">
        <v>19</v>
      </c>
      <c r="E49" s="49">
        <v>19</v>
      </c>
      <c r="F49" s="49" t="s">
        <v>1406</v>
      </c>
      <c r="H49" s="7">
        <v>144</v>
      </c>
      <c r="I49" s="49"/>
      <c r="J49" s="49" t="s">
        <v>1469</v>
      </c>
      <c r="K49" s="191"/>
      <c r="L49" s="7"/>
    </row>
    <row r="50" spans="1:12" ht="31.95" hidden="1" customHeight="1" thickBot="1" x14ac:dyDescent="0.35">
      <c r="A50" s="15"/>
      <c r="B50" s="26">
        <v>45869</v>
      </c>
      <c r="C50" s="211" t="str">
        <f t="shared" si="0"/>
        <v>RM 145.25</v>
      </c>
      <c r="D50" s="49">
        <v>10</v>
      </c>
      <c r="E50" s="49">
        <v>10</v>
      </c>
      <c r="F50" s="49" t="s">
        <v>1406</v>
      </c>
      <c r="H50" s="7">
        <v>145</v>
      </c>
      <c r="I50" s="49"/>
      <c r="J50" s="49" t="s">
        <v>1464</v>
      </c>
      <c r="K50" s="191"/>
      <c r="L50" s="7"/>
    </row>
    <row r="51" spans="1:12" ht="31.95" hidden="1" customHeight="1" thickBot="1" x14ac:dyDescent="0.35">
      <c r="A51" s="15"/>
      <c r="B51" s="26">
        <v>45871</v>
      </c>
      <c r="C51" s="211" t="str">
        <f t="shared" si="0"/>
        <v>RM 146.25</v>
      </c>
      <c r="D51" s="49">
        <v>4</v>
      </c>
      <c r="E51" s="49">
        <v>4</v>
      </c>
      <c r="F51" s="49" t="s">
        <v>1406</v>
      </c>
      <c r="H51" s="7">
        <v>146</v>
      </c>
      <c r="I51" s="49"/>
      <c r="J51" s="49"/>
      <c r="K51" s="191"/>
      <c r="L51" s="7"/>
    </row>
    <row r="52" spans="1:12" ht="31.95" hidden="1" customHeight="1" thickBot="1" x14ac:dyDescent="0.35">
      <c r="A52" s="15"/>
      <c r="B52" s="26">
        <v>45871</v>
      </c>
      <c r="C52" s="211" t="str">
        <f t="shared" si="0"/>
        <v>RM 147.25</v>
      </c>
      <c r="D52" s="49">
        <v>1</v>
      </c>
      <c r="E52" s="49">
        <v>1</v>
      </c>
      <c r="F52" s="49" t="s">
        <v>1406</v>
      </c>
      <c r="H52" s="7">
        <v>147</v>
      </c>
      <c r="I52" s="49"/>
      <c r="J52" s="49" t="s">
        <v>1429</v>
      </c>
      <c r="K52" s="191"/>
      <c r="L52" s="7"/>
    </row>
    <row r="53" spans="1:12" ht="31.95" hidden="1" customHeight="1" thickBot="1" x14ac:dyDescent="0.35">
      <c r="A53" s="15"/>
      <c r="B53" s="26">
        <v>45874</v>
      </c>
      <c r="C53" s="211" t="str">
        <f t="shared" si="0"/>
        <v>RM 148.25</v>
      </c>
      <c r="D53" s="49">
        <v>2</v>
      </c>
      <c r="E53" s="49">
        <v>2</v>
      </c>
      <c r="F53" s="49" t="s">
        <v>1406</v>
      </c>
      <c r="H53" s="7">
        <v>148</v>
      </c>
      <c r="I53" s="49"/>
      <c r="J53" s="49" t="s">
        <v>1467</v>
      </c>
      <c r="K53" s="191"/>
      <c r="L53" s="7"/>
    </row>
    <row r="54" spans="1:12" ht="31.95" hidden="1" customHeight="1" thickBot="1" x14ac:dyDescent="0.35">
      <c r="A54" s="15"/>
      <c r="B54" s="26">
        <v>45874</v>
      </c>
      <c r="C54" s="211" t="str">
        <f t="shared" si="0"/>
        <v>RM 149.25</v>
      </c>
      <c r="D54" s="49">
        <v>7</v>
      </c>
      <c r="E54" s="49">
        <v>7</v>
      </c>
      <c r="F54" s="49" t="s">
        <v>1406</v>
      </c>
      <c r="H54" s="7">
        <v>149</v>
      </c>
      <c r="I54" s="49"/>
      <c r="J54" s="49" t="s">
        <v>1319</v>
      </c>
      <c r="K54" s="191"/>
      <c r="L54" s="7"/>
    </row>
    <row r="55" spans="1:12" ht="31.95" hidden="1" customHeight="1" thickBot="1" x14ac:dyDescent="0.35">
      <c r="A55" s="15"/>
      <c r="B55" s="26">
        <v>45874</v>
      </c>
      <c r="C55" s="211" t="str">
        <f t="shared" si="0"/>
        <v>RM 150.25</v>
      </c>
      <c r="D55" s="49">
        <v>2</v>
      </c>
      <c r="E55" s="49">
        <v>2</v>
      </c>
      <c r="F55" s="49" t="s">
        <v>1406</v>
      </c>
      <c r="H55" s="7">
        <v>150</v>
      </c>
      <c r="I55" s="247"/>
      <c r="J55" s="247" t="s">
        <v>1489</v>
      </c>
      <c r="K55" s="191"/>
      <c r="L55" s="7"/>
    </row>
    <row r="56" spans="1:12" ht="31.95" hidden="1" customHeight="1" thickBot="1" x14ac:dyDescent="0.35">
      <c r="A56" s="15"/>
      <c r="B56" s="238"/>
      <c r="C56" s="239" t="str">
        <f t="shared" si="0"/>
        <v>RM 151.25</v>
      </c>
      <c r="D56" s="235"/>
      <c r="E56" s="235"/>
      <c r="F56" s="235"/>
      <c r="G56" s="236"/>
      <c r="H56" s="237">
        <v>151</v>
      </c>
      <c r="I56" s="235"/>
      <c r="J56" s="235" t="s">
        <v>1471</v>
      </c>
      <c r="K56" s="191"/>
      <c r="L56" s="7"/>
    </row>
    <row r="57" spans="1:12" ht="31.95" hidden="1" customHeight="1" thickBot="1" x14ac:dyDescent="0.35">
      <c r="A57" s="15"/>
      <c r="B57" s="26">
        <v>45875</v>
      </c>
      <c r="C57" s="211" t="str">
        <f t="shared" si="0"/>
        <v>RM 152.25</v>
      </c>
      <c r="D57" s="49">
        <v>2</v>
      </c>
      <c r="E57" s="49">
        <v>2</v>
      </c>
      <c r="F57" s="49" t="s">
        <v>1406</v>
      </c>
      <c r="H57" s="7">
        <v>152</v>
      </c>
      <c r="I57" s="49"/>
      <c r="J57" s="49" t="s">
        <v>1468</v>
      </c>
      <c r="K57" s="191"/>
      <c r="L57" s="7"/>
    </row>
    <row r="58" spans="1:12" ht="31.95" hidden="1" customHeight="1" thickBot="1" x14ac:dyDescent="0.35">
      <c r="A58" s="15"/>
      <c r="B58" s="26">
        <v>45876</v>
      </c>
      <c r="C58" s="211" t="str">
        <f t="shared" si="0"/>
        <v>RM 153.25</v>
      </c>
      <c r="D58" s="49">
        <v>6</v>
      </c>
      <c r="E58" s="49">
        <v>6</v>
      </c>
      <c r="F58" s="49" t="s">
        <v>1406</v>
      </c>
      <c r="H58" s="7">
        <v>153</v>
      </c>
      <c r="I58" s="49"/>
      <c r="J58" s="49"/>
      <c r="K58" s="191"/>
      <c r="L58" s="7"/>
    </row>
    <row r="59" spans="1:12" ht="31.95" hidden="1" customHeight="1" thickBot="1" x14ac:dyDescent="0.35">
      <c r="A59" s="15"/>
      <c r="B59" s="26">
        <v>45877</v>
      </c>
      <c r="C59" s="211" t="str">
        <f t="shared" si="0"/>
        <v>RM 154.25</v>
      </c>
      <c r="D59" s="49">
        <v>7</v>
      </c>
      <c r="E59" s="49">
        <v>7</v>
      </c>
      <c r="F59" s="49" t="s">
        <v>1406</v>
      </c>
      <c r="H59" s="7">
        <v>154</v>
      </c>
      <c r="I59" s="49"/>
      <c r="J59" s="49"/>
      <c r="K59" s="191"/>
      <c r="L59" s="7"/>
    </row>
    <row r="60" spans="1:12" ht="31.95" hidden="1" customHeight="1" thickBot="1" x14ac:dyDescent="0.35">
      <c r="A60" s="15"/>
      <c r="B60" s="26">
        <v>45877</v>
      </c>
      <c r="C60" s="211" t="str">
        <f t="shared" si="0"/>
        <v>RM 155.25</v>
      </c>
      <c r="D60" s="49">
        <v>27</v>
      </c>
      <c r="E60" s="49">
        <v>26</v>
      </c>
      <c r="F60" s="49" t="s">
        <v>1406</v>
      </c>
      <c r="H60" s="7">
        <v>155</v>
      </c>
      <c r="I60" s="49"/>
      <c r="J60" s="49" t="s">
        <v>1502</v>
      </c>
      <c r="K60" s="191"/>
      <c r="L60" s="7"/>
    </row>
    <row r="61" spans="1:12" ht="31.95" hidden="1" customHeight="1" thickBot="1" x14ac:dyDescent="0.35">
      <c r="A61" s="15"/>
      <c r="B61" s="26">
        <v>45877</v>
      </c>
      <c r="C61" s="211" t="str">
        <f t="shared" si="0"/>
        <v>RM 156.25</v>
      </c>
      <c r="D61" s="49">
        <v>5</v>
      </c>
      <c r="E61" s="49">
        <v>5</v>
      </c>
      <c r="F61" s="49" t="s">
        <v>1406</v>
      </c>
      <c r="H61" s="7">
        <v>156</v>
      </c>
      <c r="I61" s="49"/>
      <c r="J61" s="49"/>
      <c r="K61" s="191"/>
      <c r="L61" s="7"/>
    </row>
    <row r="62" spans="1:12" ht="31.95" hidden="1" customHeight="1" thickBot="1" x14ac:dyDescent="0.35">
      <c r="A62" s="15"/>
      <c r="B62" s="26">
        <v>45880</v>
      </c>
      <c r="C62" s="211" t="str">
        <f t="shared" si="0"/>
        <v>RM 157.25</v>
      </c>
      <c r="D62" s="49">
        <v>10</v>
      </c>
      <c r="E62" s="49">
        <v>7</v>
      </c>
      <c r="F62" s="49" t="s">
        <v>1406</v>
      </c>
      <c r="H62" s="7">
        <v>157</v>
      </c>
      <c r="I62" s="248"/>
      <c r="J62" s="248" t="s">
        <v>1503</v>
      </c>
      <c r="K62" s="191"/>
      <c r="L62" s="7"/>
    </row>
    <row r="63" spans="1:12" ht="31.95" hidden="1" customHeight="1" thickBot="1" x14ac:dyDescent="0.35">
      <c r="A63" s="15"/>
      <c r="B63" s="26">
        <v>45880</v>
      </c>
      <c r="C63" s="211" t="str">
        <f t="shared" si="0"/>
        <v>RM 158.25</v>
      </c>
      <c r="D63" s="49">
        <v>17</v>
      </c>
      <c r="E63" s="49">
        <v>17</v>
      </c>
      <c r="F63" s="49" t="s">
        <v>1406</v>
      </c>
      <c r="H63" s="7">
        <v>158</v>
      </c>
      <c r="I63" s="49"/>
      <c r="J63" s="49" t="s">
        <v>1540</v>
      </c>
      <c r="K63" s="191"/>
      <c r="L63" s="7"/>
    </row>
    <row r="64" spans="1:12" ht="31.95" hidden="1" customHeight="1" thickBot="1" x14ac:dyDescent="0.35">
      <c r="A64" s="15"/>
      <c r="B64" s="26">
        <v>45880</v>
      </c>
      <c r="C64" s="211" t="str">
        <f t="shared" si="0"/>
        <v>RM 159.25</v>
      </c>
      <c r="D64" s="49">
        <v>4</v>
      </c>
      <c r="E64" s="49">
        <v>4</v>
      </c>
      <c r="F64" s="49" t="s">
        <v>1406</v>
      </c>
      <c r="H64" s="7">
        <v>159</v>
      </c>
      <c r="I64" s="49"/>
      <c r="J64" s="49"/>
      <c r="K64" s="191"/>
      <c r="L64" s="7"/>
    </row>
    <row r="65" spans="1:12" ht="31.95" hidden="1" customHeight="1" thickBot="1" x14ac:dyDescent="0.35">
      <c r="A65" s="15"/>
      <c r="B65" s="26">
        <v>45880</v>
      </c>
      <c r="C65" s="211" t="str">
        <f t="shared" si="0"/>
        <v>RM 160.25</v>
      </c>
      <c r="D65" s="49">
        <v>11</v>
      </c>
      <c r="E65" s="49">
        <v>11</v>
      </c>
      <c r="F65" s="49" t="s">
        <v>1406</v>
      </c>
      <c r="H65" s="7">
        <v>160</v>
      </c>
      <c r="I65" s="49"/>
      <c r="J65" s="49"/>
      <c r="K65" s="191"/>
      <c r="L65" s="7"/>
    </row>
    <row r="66" spans="1:12" ht="31.95" hidden="1" customHeight="1" thickBot="1" x14ac:dyDescent="0.35">
      <c r="A66" s="15"/>
      <c r="B66" s="26">
        <v>45881</v>
      </c>
      <c r="C66" s="211" t="str">
        <f t="shared" si="0"/>
        <v>RM 161.25</v>
      </c>
      <c r="D66" s="49">
        <v>5</v>
      </c>
      <c r="E66" s="49">
        <v>5</v>
      </c>
      <c r="F66" s="49" t="s">
        <v>1406</v>
      </c>
      <c r="H66" s="7">
        <v>161</v>
      </c>
      <c r="I66" s="49"/>
      <c r="J66" s="49" t="s">
        <v>1505</v>
      </c>
      <c r="K66" s="191"/>
      <c r="L66" s="7"/>
    </row>
    <row r="67" spans="1:12" ht="31.95" hidden="1" customHeight="1" thickBot="1" x14ac:dyDescent="0.35">
      <c r="A67" s="15"/>
      <c r="B67" s="26">
        <v>45882</v>
      </c>
      <c r="C67" s="211" t="str">
        <f t="shared" si="0"/>
        <v>RM 162.25</v>
      </c>
      <c r="D67" s="49">
        <v>1</v>
      </c>
      <c r="E67" s="49">
        <v>1</v>
      </c>
      <c r="F67" s="49" t="s">
        <v>1406</v>
      </c>
      <c r="H67" s="7">
        <v>162</v>
      </c>
      <c r="I67" s="49"/>
      <c r="J67" s="49" t="s">
        <v>1504</v>
      </c>
      <c r="K67" s="191"/>
      <c r="L67" s="7"/>
    </row>
    <row r="68" spans="1:12" ht="31.95" hidden="1" customHeight="1" thickBot="1" x14ac:dyDescent="0.35">
      <c r="A68" s="15"/>
      <c r="B68" s="26">
        <v>45882</v>
      </c>
      <c r="C68" s="211" t="str">
        <f t="shared" si="0"/>
        <v>RM 163.25</v>
      </c>
      <c r="D68" s="49">
        <v>2</v>
      </c>
      <c r="E68" s="49">
        <v>2</v>
      </c>
      <c r="F68" s="49" t="s">
        <v>1406</v>
      </c>
      <c r="H68" s="7">
        <v>163</v>
      </c>
      <c r="I68" s="49"/>
      <c r="J68" s="49" t="s">
        <v>1504</v>
      </c>
      <c r="K68" s="191"/>
      <c r="L68" s="7"/>
    </row>
    <row r="69" spans="1:12" ht="31.95" hidden="1" customHeight="1" thickBot="1" x14ac:dyDescent="0.35">
      <c r="A69" s="15"/>
      <c r="B69" s="26">
        <v>45882</v>
      </c>
      <c r="C69" s="211" t="str">
        <f t="shared" si="0"/>
        <v>RM 164.25</v>
      </c>
      <c r="D69" s="49">
        <v>1</v>
      </c>
      <c r="E69" s="49">
        <v>1</v>
      </c>
      <c r="F69" s="49" t="s">
        <v>1406</v>
      </c>
      <c r="H69" s="7">
        <v>164</v>
      </c>
      <c r="I69" s="49"/>
      <c r="J69" s="49" t="s">
        <v>1504</v>
      </c>
      <c r="K69" s="191"/>
      <c r="L69" s="7"/>
    </row>
    <row r="70" spans="1:12" ht="31.95" hidden="1" customHeight="1" thickBot="1" x14ac:dyDescent="0.35">
      <c r="A70" s="15"/>
      <c r="B70" s="26"/>
      <c r="C70" s="211" t="str">
        <f t="shared" ref="C70:C133" si="1">CONCATENATE("RM ",H70,".25")</f>
        <v>RM 165.25</v>
      </c>
      <c r="D70" s="49"/>
      <c r="E70" s="49"/>
      <c r="F70" s="49"/>
      <c r="H70" s="7">
        <v>165</v>
      </c>
      <c r="I70" s="49"/>
      <c r="J70" s="49"/>
      <c r="K70" s="191"/>
      <c r="L70" s="7"/>
    </row>
    <row r="71" spans="1:12" ht="31.95" hidden="1" customHeight="1" thickBot="1" x14ac:dyDescent="0.35">
      <c r="A71" s="15"/>
      <c r="B71" s="26">
        <v>45884</v>
      </c>
      <c r="C71" s="211" t="str">
        <f t="shared" si="1"/>
        <v>RM 166.25</v>
      </c>
      <c r="D71" s="49">
        <v>1</v>
      </c>
      <c r="E71" s="49">
        <v>1</v>
      </c>
      <c r="F71" s="49" t="s">
        <v>1406</v>
      </c>
      <c r="H71" s="7">
        <v>166</v>
      </c>
      <c r="I71" s="49"/>
      <c r="J71" s="49" t="s">
        <v>1504</v>
      </c>
      <c r="K71" s="191"/>
      <c r="L71" s="7"/>
    </row>
    <row r="72" spans="1:12" ht="31.95" hidden="1" customHeight="1" thickBot="1" x14ac:dyDescent="0.35">
      <c r="A72" s="15"/>
      <c r="B72" s="26"/>
      <c r="C72" s="211" t="str">
        <f t="shared" si="1"/>
        <v>RM 167.25</v>
      </c>
      <c r="D72" s="49"/>
      <c r="E72" s="49"/>
      <c r="F72" s="49"/>
      <c r="H72" s="7">
        <v>167</v>
      </c>
      <c r="I72" s="49"/>
      <c r="J72" s="49"/>
      <c r="K72" s="191"/>
      <c r="L72" s="7"/>
    </row>
    <row r="73" spans="1:12" ht="31.95" hidden="1" customHeight="1" thickBot="1" x14ac:dyDescent="0.35">
      <c r="A73" s="15"/>
      <c r="B73" s="26">
        <v>45884</v>
      </c>
      <c r="C73" s="211" t="str">
        <f t="shared" si="1"/>
        <v>RM 168.25</v>
      </c>
      <c r="D73" s="49">
        <v>2</v>
      </c>
      <c r="E73" s="49">
        <v>2</v>
      </c>
      <c r="F73" s="49" t="s">
        <v>1406</v>
      </c>
      <c r="H73" s="7">
        <v>168</v>
      </c>
      <c r="I73" s="49"/>
      <c r="J73" s="49" t="s">
        <v>1504</v>
      </c>
      <c r="K73" s="191"/>
      <c r="L73" s="7"/>
    </row>
    <row r="74" spans="1:12" ht="31.95" hidden="1" customHeight="1" thickBot="1" x14ac:dyDescent="0.35">
      <c r="A74" s="15"/>
      <c r="B74" s="26">
        <v>45888</v>
      </c>
      <c r="C74" s="211" t="str">
        <f t="shared" si="1"/>
        <v>RM 169.25</v>
      </c>
      <c r="D74" s="49">
        <v>1</v>
      </c>
      <c r="E74" s="49">
        <v>1</v>
      </c>
      <c r="F74" s="49" t="s">
        <v>1406</v>
      </c>
      <c r="H74" s="7">
        <v>169</v>
      </c>
      <c r="I74" s="49"/>
      <c r="J74" s="49" t="s">
        <v>1508</v>
      </c>
      <c r="K74" s="191"/>
      <c r="L74" s="7"/>
    </row>
    <row r="75" spans="1:12" ht="31.95" hidden="1" customHeight="1" thickBot="1" x14ac:dyDescent="0.35">
      <c r="A75" s="15"/>
      <c r="B75" s="26">
        <v>45889</v>
      </c>
      <c r="C75" s="211" t="str">
        <f t="shared" si="1"/>
        <v>RM 170.25</v>
      </c>
      <c r="D75" s="49">
        <v>1</v>
      </c>
      <c r="E75" s="49">
        <v>1</v>
      </c>
      <c r="F75" s="49" t="s">
        <v>1406</v>
      </c>
      <c r="H75" s="7">
        <v>170</v>
      </c>
      <c r="I75" s="49"/>
      <c r="J75" s="49" t="s">
        <v>1509</v>
      </c>
      <c r="K75" s="191"/>
      <c r="L75" s="7"/>
    </row>
    <row r="76" spans="1:12" ht="31.95" hidden="1" customHeight="1" thickBot="1" x14ac:dyDescent="0.35">
      <c r="A76" s="15"/>
      <c r="B76" s="26">
        <v>45894</v>
      </c>
      <c r="C76" s="211" t="str">
        <f t="shared" si="1"/>
        <v>RM 171.25</v>
      </c>
      <c r="D76" s="49">
        <v>8</v>
      </c>
      <c r="E76" s="49">
        <v>7</v>
      </c>
      <c r="F76" s="49" t="s">
        <v>1406</v>
      </c>
      <c r="H76" s="7">
        <v>171</v>
      </c>
      <c r="I76" s="49"/>
      <c r="J76" s="49" t="s">
        <v>1510</v>
      </c>
      <c r="K76" s="191"/>
      <c r="L76" s="7"/>
    </row>
    <row r="77" spans="1:12" ht="31.95" hidden="1" customHeight="1" thickBot="1" x14ac:dyDescent="0.35">
      <c r="A77" s="15"/>
      <c r="B77" s="26">
        <v>45891</v>
      </c>
      <c r="C77" s="211" t="str">
        <f t="shared" si="1"/>
        <v>RM 172.25</v>
      </c>
      <c r="D77" s="49">
        <v>2</v>
      </c>
      <c r="E77" s="49">
        <v>2</v>
      </c>
      <c r="F77" s="49" t="s">
        <v>1406</v>
      </c>
      <c r="H77" s="7">
        <v>172</v>
      </c>
      <c r="I77" s="49"/>
      <c r="J77" s="49"/>
      <c r="K77" s="191"/>
      <c r="L77" s="7"/>
    </row>
    <row r="78" spans="1:12" ht="31.95" hidden="1" customHeight="1" thickBot="1" x14ac:dyDescent="0.35">
      <c r="A78" s="15"/>
      <c r="B78" s="26">
        <v>45895</v>
      </c>
      <c r="C78" s="211" t="str">
        <f t="shared" si="1"/>
        <v>RM 173.25</v>
      </c>
      <c r="D78" s="49">
        <v>1</v>
      </c>
      <c r="E78" s="49">
        <v>1</v>
      </c>
      <c r="F78" s="49" t="s">
        <v>1406</v>
      </c>
      <c r="H78" s="7">
        <v>173</v>
      </c>
      <c r="I78" s="49"/>
      <c r="J78" s="49"/>
      <c r="K78" s="191"/>
      <c r="L78" s="7"/>
    </row>
    <row r="79" spans="1:12" ht="31.95" hidden="1" customHeight="1" thickBot="1" x14ac:dyDescent="0.35">
      <c r="A79" s="15"/>
      <c r="B79" s="26">
        <v>45896</v>
      </c>
      <c r="C79" s="211" t="str">
        <f t="shared" si="1"/>
        <v>RM 174.25</v>
      </c>
      <c r="D79" s="49">
        <v>3</v>
      </c>
      <c r="E79" s="49">
        <v>1</v>
      </c>
      <c r="F79" s="49" t="s">
        <v>1406</v>
      </c>
      <c r="H79" s="7">
        <v>174</v>
      </c>
      <c r="I79" s="49"/>
      <c r="J79" s="49" t="s">
        <v>1541</v>
      </c>
      <c r="K79" s="191"/>
      <c r="L79" s="7"/>
    </row>
    <row r="80" spans="1:12" ht="31.95" hidden="1" customHeight="1" thickBot="1" x14ac:dyDescent="0.35">
      <c r="A80" s="15"/>
      <c r="B80" s="26">
        <v>45896</v>
      </c>
      <c r="C80" s="211" t="str">
        <f t="shared" si="1"/>
        <v>RM 175.25</v>
      </c>
      <c r="D80" s="49">
        <v>1</v>
      </c>
      <c r="E80" s="49">
        <v>1</v>
      </c>
      <c r="F80" s="49" t="s">
        <v>1406</v>
      </c>
      <c r="H80" s="7">
        <v>175</v>
      </c>
      <c r="I80" s="49"/>
      <c r="J80" s="49"/>
      <c r="K80" s="191"/>
      <c r="L80" s="7"/>
    </row>
    <row r="81" spans="1:12" ht="31.95" hidden="1" customHeight="1" thickBot="1" x14ac:dyDescent="0.35">
      <c r="A81" s="15"/>
      <c r="B81" s="26">
        <v>45897</v>
      </c>
      <c r="C81" s="211" t="str">
        <f t="shared" si="1"/>
        <v>RM 176.25</v>
      </c>
      <c r="D81" s="49">
        <v>5</v>
      </c>
      <c r="E81" s="49">
        <v>5</v>
      </c>
      <c r="F81" s="49" t="s">
        <v>1406</v>
      </c>
      <c r="H81" s="7">
        <v>176</v>
      </c>
      <c r="I81" s="49"/>
      <c r="J81" s="49" t="s">
        <v>1546</v>
      </c>
      <c r="K81" s="191"/>
      <c r="L81" s="7"/>
    </row>
    <row r="82" spans="1:12" ht="31.95" hidden="1" customHeight="1" thickBot="1" x14ac:dyDescent="0.35">
      <c r="A82" s="15"/>
      <c r="B82" s="26">
        <v>45898</v>
      </c>
      <c r="C82" s="211" t="str">
        <f t="shared" si="1"/>
        <v>RM 177.25</v>
      </c>
      <c r="D82" s="49">
        <v>8</v>
      </c>
      <c r="E82" s="49">
        <v>8</v>
      </c>
      <c r="F82" s="49" t="s">
        <v>1406</v>
      </c>
      <c r="H82" s="7">
        <v>177</v>
      </c>
      <c r="I82" s="49"/>
      <c r="J82" s="49"/>
      <c r="K82" s="191"/>
      <c r="L82" s="7"/>
    </row>
    <row r="83" spans="1:12" ht="31.95" hidden="1" customHeight="1" thickBot="1" x14ac:dyDescent="0.35">
      <c r="A83" s="15"/>
      <c r="B83" s="26">
        <v>45898</v>
      </c>
      <c r="C83" s="211" t="str">
        <f t="shared" si="1"/>
        <v>RM 178.25</v>
      </c>
      <c r="D83" s="49">
        <v>1</v>
      </c>
      <c r="E83" s="49">
        <v>1</v>
      </c>
      <c r="F83" s="49" t="s">
        <v>1406</v>
      </c>
      <c r="H83" s="7">
        <v>178</v>
      </c>
      <c r="I83" s="49"/>
      <c r="J83" s="49"/>
      <c r="K83" s="191"/>
      <c r="L83" s="7"/>
    </row>
    <row r="84" spans="1:12" ht="31.95" hidden="1" customHeight="1" thickBot="1" x14ac:dyDescent="0.35">
      <c r="A84" s="15"/>
      <c r="B84" s="26">
        <v>45899</v>
      </c>
      <c r="C84" s="211" t="str">
        <f t="shared" si="1"/>
        <v>RM 179.25</v>
      </c>
      <c r="D84" s="49">
        <v>14</v>
      </c>
      <c r="E84" s="49">
        <v>14</v>
      </c>
      <c r="F84" s="49" t="s">
        <v>1406</v>
      </c>
      <c r="H84" s="7">
        <v>179</v>
      </c>
      <c r="I84" s="49"/>
      <c r="J84" s="49"/>
      <c r="K84" s="191"/>
      <c r="L84" s="7"/>
    </row>
    <row r="85" spans="1:12" ht="31.95" hidden="1" customHeight="1" thickBot="1" x14ac:dyDescent="0.35">
      <c r="A85" s="15"/>
      <c r="B85" s="26">
        <v>45901</v>
      </c>
      <c r="C85" s="211" t="str">
        <f t="shared" si="1"/>
        <v>RM 180.25</v>
      </c>
      <c r="D85" s="49">
        <v>1</v>
      </c>
      <c r="E85" s="49">
        <v>1</v>
      </c>
      <c r="F85" s="49" t="s">
        <v>1406</v>
      </c>
      <c r="H85" s="7">
        <v>180</v>
      </c>
      <c r="I85" s="49"/>
      <c r="J85" s="49"/>
      <c r="K85" s="191"/>
      <c r="L85" s="7"/>
    </row>
    <row r="86" spans="1:12" ht="31.95" hidden="1" customHeight="1" thickBot="1" x14ac:dyDescent="0.35">
      <c r="A86" s="15"/>
      <c r="B86" s="28" t="s">
        <v>11</v>
      </c>
      <c r="C86" s="211" t="str">
        <f t="shared" si="1"/>
        <v>RM 181.25</v>
      </c>
      <c r="D86" s="166" t="s">
        <v>11</v>
      </c>
      <c r="E86" s="166" t="s">
        <v>11</v>
      </c>
      <c r="F86" s="49"/>
      <c r="H86" s="7">
        <v>181</v>
      </c>
      <c r="I86" s="49"/>
      <c r="J86" s="49"/>
      <c r="K86" s="191"/>
      <c r="L86" s="7"/>
    </row>
    <row r="87" spans="1:12" ht="31.95" hidden="1" customHeight="1" thickBot="1" x14ac:dyDescent="0.35">
      <c r="A87" s="15"/>
      <c r="B87" s="26">
        <v>45903</v>
      </c>
      <c r="C87" s="211" t="str">
        <f t="shared" si="1"/>
        <v>RM 182.25</v>
      </c>
      <c r="D87" s="49">
        <v>5</v>
      </c>
      <c r="E87" s="49">
        <v>0</v>
      </c>
      <c r="F87" s="49" t="s">
        <v>1406</v>
      </c>
      <c r="H87" s="7">
        <v>182</v>
      </c>
      <c r="I87" s="49"/>
      <c r="J87" s="49" t="s">
        <v>1588</v>
      </c>
      <c r="K87" s="191"/>
      <c r="L87" s="7"/>
    </row>
    <row r="88" spans="1:12" ht="31.95" hidden="1" customHeight="1" thickBot="1" x14ac:dyDescent="0.35">
      <c r="A88" s="15"/>
      <c r="B88" s="26">
        <v>45903</v>
      </c>
      <c r="C88" s="211" t="str">
        <f t="shared" si="1"/>
        <v>RM 183.25</v>
      </c>
      <c r="D88" s="49">
        <v>2</v>
      </c>
      <c r="E88" s="49">
        <v>2</v>
      </c>
      <c r="F88" s="49" t="s">
        <v>1406</v>
      </c>
      <c r="H88" s="7">
        <v>183</v>
      </c>
      <c r="I88" s="49"/>
      <c r="J88" s="49"/>
      <c r="K88" s="191"/>
      <c r="L88" s="7"/>
    </row>
    <row r="89" spans="1:12" ht="31.95" hidden="1" customHeight="1" thickBot="1" x14ac:dyDescent="0.35">
      <c r="A89" s="15"/>
      <c r="B89" s="26">
        <v>45903</v>
      </c>
      <c r="C89" s="211" t="str">
        <f t="shared" si="1"/>
        <v>RM 184.25</v>
      </c>
      <c r="D89" s="49">
        <v>4</v>
      </c>
      <c r="E89" s="49">
        <v>4</v>
      </c>
      <c r="F89" s="49" t="s">
        <v>1406</v>
      </c>
      <c r="H89" s="7">
        <v>184</v>
      </c>
      <c r="I89" s="49"/>
      <c r="J89" s="49"/>
      <c r="K89" s="191"/>
      <c r="L89" s="7"/>
    </row>
    <row r="90" spans="1:12" ht="31.95" hidden="1" customHeight="1" thickBot="1" x14ac:dyDescent="0.35">
      <c r="A90" s="15"/>
      <c r="B90" s="26">
        <v>45903</v>
      </c>
      <c r="C90" s="211" t="str">
        <f t="shared" si="1"/>
        <v>RM 185.25</v>
      </c>
      <c r="D90" s="49">
        <v>6</v>
      </c>
      <c r="E90" s="49">
        <v>6</v>
      </c>
      <c r="F90" s="49" t="s">
        <v>1406</v>
      </c>
      <c r="H90" s="7">
        <v>185</v>
      </c>
      <c r="I90" s="49"/>
      <c r="J90" s="49" t="s">
        <v>1550</v>
      </c>
      <c r="K90" s="191"/>
      <c r="L90" s="7"/>
    </row>
    <row r="91" spans="1:12" ht="31.95" hidden="1" customHeight="1" thickBot="1" x14ac:dyDescent="0.35">
      <c r="A91" s="15"/>
      <c r="B91" s="26">
        <v>45904</v>
      </c>
      <c r="C91" s="211" t="str">
        <f t="shared" si="1"/>
        <v>RM 186.25</v>
      </c>
      <c r="D91" s="49">
        <v>1</v>
      </c>
      <c r="E91" s="49">
        <v>1</v>
      </c>
      <c r="F91" s="49" t="s">
        <v>1406</v>
      </c>
      <c r="H91" s="7">
        <v>186</v>
      </c>
      <c r="I91" s="49"/>
      <c r="J91" s="49"/>
      <c r="K91" s="191"/>
      <c r="L91" s="7"/>
    </row>
    <row r="92" spans="1:12" ht="31.95" hidden="1" customHeight="1" thickBot="1" x14ac:dyDescent="0.35">
      <c r="A92" s="15"/>
      <c r="B92" s="26">
        <v>45908</v>
      </c>
      <c r="C92" s="211" t="str">
        <f t="shared" si="1"/>
        <v>RM 187.25</v>
      </c>
      <c r="D92" s="49">
        <v>1</v>
      </c>
      <c r="E92" s="49">
        <v>1</v>
      </c>
      <c r="F92" s="49" t="s">
        <v>1406</v>
      </c>
      <c r="H92" s="7">
        <v>187</v>
      </c>
      <c r="I92" s="49"/>
      <c r="J92" s="49"/>
      <c r="K92" s="191"/>
      <c r="L92" s="7"/>
    </row>
    <row r="93" spans="1:12" ht="31.95" hidden="1" customHeight="1" thickBot="1" x14ac:dyDescent="0.35">
      <c r="A93" s="15"/>
      <c r="B93" s="26">
        <v>45909</v>
      </c>
      <c r="C93" s="211" t="str">
        <f t="shared" si="1"/>
        <v>RM 188.25</v>
      </c>
      <c r="D93" s="49">
        <v>1</v>
      </c>
      <c r="E93" s="49">
        <v>1</v>
      </c>
      <c r="F93" s="49" t="s">
        <v>1406</v>
      </c>
      <c r="H93" s="7">
        <v>188</v>
      </c>
      <c r="I93" s="49"/>
      <c r="J93" s="49"/>
      <c r="K93" s="191"/>
      <c r="L93" s="7"/>
    </row>
    <row r="94" spans="1:12" ht="31.95" hidden="1" customHeight="1" thickBot="1" x14ac:dyDescent="0.35">
      <c r="A94" s="15"/>
      <c r="B94" s="26">
        <v>45909</v>
      </c>
      <c r="C94" s="211" t="str">
        <f t="shared" si="1"/>
        <v>RM 189.25</v>
      </c>
      <c r="D94" s="49">
        <v>13</v>
      </c>
      <c r="E94" s="49">
        <v>13</v>
      </c>
      <c r="F94" s="49" t="s">
        <v>1406</v>
      </c>
      <c r="H94" s="7">
        <v>189</v>
      </c>
      <c r="I94" s="49"/>
      <c r="J94" s="49"/>
      <c r="K94" s="191"/>
      <c r="L94" s="7"/>
    </row>
    <row r="95" spans="1:12" ht="31.95" hidden="1" customHeight="1" thickBot="1" x14ac:dyDescent="0.35">
      <c r="A95" s="15"/>
      <c r="B95" s="26">
        <v>45909</v>
      </c>
      <c r="C95" s="211" t="str">
        <f t="shared" si="1"/>
        <v>RM 190.25</v>
      </c>
      <c r="D95" s="49">
        <v>1</v>
      </c>
      <c r="E95" s="49">
        <v>1</v>
      </c>
      <c r="F95" s="49" t="s">
        <v>1406</v>
      </c>
      <c r="H95" s="7">
        <v>190</v>
      </c>
      <c r="I95" s="49"/>
      <c r="J95" s="49"/>
      <c r="K95" s="191"/>
      <c r="L95" s="7"/>
    </row>
    <row r="96" spans="1:12" ht="31.95" hidden="1" customHeight="1" thickBot="1" x14ac:dyDescent="0.35">
      <c r="A96" s="15"/>
      <c r="B96" s="26">
        <v>45909</v>
      </c>
      <c r="C96" s="211" t="str">
        <f t="shared" si="1"/>
        <v>RM 191.25</v>
      </c>
      <c r="D96" s="49">
        <v>3</v>
      </c>
      <c r="E96" s="49">
        <v>3</v>
      </c>
      <c r="F96" s="49" t="s">
        <v>1406</v>
      </c>
      <c r="H96" s="7">
        <v>191</v>
      </c>
      <c r="I96" s="49"/>
      <c r="J96" s="49"/>
      <c r="K96" s="191"/>
      <c r="L96" s="7"/>
    </row>
    <row r="97" spans="1:12" ht="31.95" hidden="1" customHeight="1" thickBot="1" x14ac:dyDescent="0.35">
      <c r="A97" s="15"/>
      <c r="B97" s="26">
        <v>45909</v>
      </c>
      <c r="C97" s="211" t="str">
        <f t="shared" si="1"/>
        <v>RM 192.25</v>
      </c>
      <c r="D97" s="49">
        <v>1</v>
      </c>
      <c r="E97" s="49">
        <v>1</v>
      </c>
      <c r="F97" s="49" t="s">
        <v>1406</v>
      </c>
      <c r="H97" s="7">
        <v>192</v>
      </c>
      <c r="I97" s="49"/>
      <c r="J97" s="49"/>
      <c r="K97" s="191"/>
      <c r="L97" s="7"/>
    </row>
    <row r="98" spans="1:12" ht="31.95" hidden="1" customHeight="1" thickBot="1" x14ac:dyDescent="0.35">
      <c r="A98" s="15"/>
      <c r="B98" s="26"/>
      <c r="C98" s="211" t="str">
        <f t="shared" si="1"/>
        <v>RM 193.25</v>
      </c>
      <c r="D98" s="49"/>
      <c r="E98" s="49"/>
      <c r="F98" s="49"/>
      <c r="H98" s="7">
        <v>193</v>
      </c>
      <c r="I98" s="49"/>
      <c r="J98" s="49" t="s">
        <v>1567</v>
      </c>
      <c r="K98" s="191"/>
      <c r="L98" s="7"/>
    </row>
    <row r="99" spans="1:12" ht="31.95" hidden="1" customHeight="1" thickBot="1" x14ac:dyDescent="0.35">
      <c r="A99" s="15"/>
      <c r="B99" s="26">
        <v>45910</v>
      </c>
      <c r="C99" s="211" t="str">
        <f t="shared" si="1"/>
        <v>RM 194.25</v>
      </c>
      <c r="D99" s="49">
        <v>7</v>
      </c>
      <c r="E99" s="49">
        <v>5</v>
      </c>
      <c r="F99" s="49" t="s">
        <v>1406</v>
      </c>
      <c r="H99" s="7">
        <v>194</v>
      </c>
      <c r="I99" s="49"/>
      <c r="J99" s="49" t="s">
        <v>1568</v>
      </c>
      <c r="K99" s="191"/>
      <c r="L99" s="7"/>
    </row>
    <row r="100" spans="1:12" ht="31.95" hidden="1" customHeight="1" thickBot="1" x14ac:dyDescent="0.35">
      <c r="A100" s="15"/>
      <c r="B100" s="26">
        <v>45911</v>
      </c>
      <c r="C100" s="211" t="str">
        <f t="shared" si="1"/>
        <v>RM 195.25</v>
      </c>
      <c r="D100" s="49">
        <v>5</v>
      </c>
      <c r="E100" s="49">
        <v>5</v>
      </c>
      <c r="F100" s="49" t="s">
        <v>1406</v>
      </c>
      <c r="H100" s="7">
        <v>195</v>
      </c>
      <c r="I100" s="49"/>
      <c r="J100" s="49" t="s">
        <v>1570</v>
      </c>
      <c r="K100" s="191"/>
      <c r="L100" s="7"/>
    </row>
    <row r="101" spans="1:12" ht="31.95" hidden="1" customHeight="1" thickBot="1" x14ac:dyDescent="0.35">
      <c r="A101" s="15"/>
      <c r="B101" s="26">
        <v>45912</v>
      </c>
      <c r="C101" s="211" t="str">
        <f t="shared" si="1"/>
        <v>RM 196.25</v>
      </c>
      <c r="D101" s="49">
        <v>1</v>
      </c>
      <c r="E101" s="49">
        <v>1</v>
      </c>
      <c r="F101" s="49" t="s">
        <v>1406</v>
      </c>
      <c r="H101" s="7">
        <v>196</v>
      </c>
      <c r="I101" s="49"/>
      <c r="J101" s="49"/>
      <c r="K101" s="191"/>
      <c r="L101" s="7"/>
    </row>
    <row r="102" spans="1:12" ht="31.95" hidden="1" customHeight="1" thickBot="1" x14ac:dyDescent="0.35">
      <c r="A102" s="15"/>
      <c r="B102" s="26">
        <v>45912</v>
      </c>
      <c r="C102" s="211" t="str">
        <f t="shared" si="1"/>
        <v>RM 197.25</v>
      </c>
      <c r="D102" s="166">
        <v>0</v>
      </c>
      <c r="E102" s="166">
        <v>0</v>
      </c>
      <c r="F102" s="49" t="s">
        <v>1406</v>
      </c>
      <c r="H102" s="7">
        <v>197</v>
      </c>
      <c r="I102" s="49"/>
      <c r="J102" s="49" t="s">
        <v>1579</v>
      </c>
      <c r="K102" s="191"/>
      <c r="L102" s="7"/>
    </row>
    <row r="103" spans="1:12" ht="31.95" hidden="1" customHeight="1" thickBot="1" x14ac:dyDescent="0.35">
      <c r="A103" s="15"/>
      <c r="B103" s="26">
        <v>45915</v>
      </c>
      <c r="C103" s="211" t="str">
        <f t="shared" si="1"/>
        <v>RM 198.25</v>
      </c>
      <c r="D103" s="166">
        <v>1</v>
      </c>
      <c r="E103" s="166">
        <v>1</v>
      </c>
      <c r="F103" s="49" t="s">
        <v>1406</v>
      </c>
      <c r="H103" s="7">
        <v>198</v>
      </c>
      <c r="I103" s="49"/>
      <c r="J103" s="49" t="s">
        <v>1581</v>
      </c>
      <c r="K103" s="191"/>
      <c r="L103" s="7"/>
    </row>
    <row r="104" spans="1:12" ht="31.95" hidden="1" customHeight="1" thickBot="1" x14ac:dyDescent="0.35">
      <c r="A104" s="15"/>
      <c r="B104" s="26">
        <v>45915</v>
      </c>
      <c r="C104" s="211" t="str">
        <f t="shared" si="1"/>
        <v>RM 199.25</v>
      </c>
      <c r="D104" s="49">
        <v>1</v>
      </c>
      <c r="E104" s="49">
        <v>1</v>
      </c>
      <c r="F104" s="49" t="s">
        <v>1406</v>
      </c>
      <c r="H104" s="7">
        <v>199</v>
      </c>
      <c r="I104" s="49"/>
      <c r="J104" s="49" t="s">
        <v>1589</v>
      </c>
      <c r="K104" s="191"/>
      <c r="L104" s="7"/>
    </row>
    <row r="105" spans="1:12" ht="31.95" hidden="1" customHeight="1" thickBot="1" x14ac:dyDescent="0.35">
      <c r="A105" s="15"/>
      <c r="B105" s="26">
        <v>45915</v>
      </c>
      <c r="C105" s="211" t="str">
        <f t="shared" si="1"/>
        <v>RM 200.25</v>
      </c>
      <c r="D105" s="49">
        <v>1</v>
      </c>
      <c r="E105" s="49">
        <v>1</v>
      </c>
      <c r="F105" s="49" t="s">
        <v>1406</v>
      </c>
      <c r="H105" s="7">
        <v>200</v>
      </c>
      <c r="I105" s="49"/>
      <c r="J105" s="49"/>
      <c r="K105" s="191"/>
      <c r="L105" s="7"/>
    </row>
    <row r="106" spans="1:12" ht="31.95" hidden="1" customHeight="1" thickBot="1" x14ac:dyDescent="0.35">
      <c r="A106" s="15"/>
      <c r="B106" s="26">
        <v>45916</v>
      </c>
      <c r="C106" s="211" t="str">
        <f t="shared" si="1"/>
        <v>RM 201.25</v>
      </c>
      <c r="D106" s="166">
        <v>17</v>
      </c>
      <c r="E106" s="166">
        <v>0</v>
      </c>
      <c r="F106" s="49" t="s">
        <v>1406</v>
      </c>
      <c r="H106" s="7">
        <v>201</v>
      </c>
      <c r="I106" s="49"/>
      <c r="J106" s="49" t="s">
        <v>1590</v>
      </c>
      <c r="K106" s="191"/>
      <c r="L106" s="7"/>
    </row>
    <row r="107" spans="1:12" ht="31.95" hidden="1" customHeight="1" thickBot="1" x14ac:dyDescent="0.35">
      <c r="A107" s="15"/>
      <c r="B107" s="26">
        <v>45916</v>
      </c>
      <c r="C107" s="211" t="str">
        <f t="shared" si="1"/>
        <v>RM 202.25</v>
      </c>
      <c r="D107" s="49">
        <v>3</v>
      </c>
      <c r="E107" s="49">
        <v>0</v>
      </c>
      <c r="F107" s="49" t="s">
        <v>1406</v>
      </c>
      <c r="H107" s="7">
        <v>202</v>
      </c>
      <c r="I107" s="49"/>
      <c r="J107" s="49" t="s">
        <v>1590</v>
      </c>
      <c r="K107" s="191"/>
      <c r="L107" s="7"/>
    </row>
    <row r="108" spans="1:12" ht="31.95" hidden="1" customHeight="1" thickBot="1" x14ac:dyDescent="0.35">
      <c r="A108" s="15"/>
      <c r="B108" s="26">
        <v>45919</v>
      </c>
      <c r="C108" s="211" t="str">
        <f t="shared" si="1"/>
        <v>RM 203.25</v>
      </c>
      <c r="D108" s="49">
        <v>1</v>
      </c>
      <c r="E108" s="49">
        <v>1</v>
      </c>
      <c r="F108" s="49" t="s">
        <v>1406</v>
      </c>
      <c r="H108" s="7">
        <v>203</v>
      </c>
      <c r="I108" s="49"/>
      <c r="J108" s="49"/>
      <c r="K108" s="191"/>
      <c r="L108" s="7"/>
    </row>
    <row r="109" spans="1:12" ht="31.95" hidden="1" customHeight="1" thickBot="1" x14ac:dyDescent="0.35">
      <c r="A109" s="15"/>
      <c r="B109" s="26">
        <v>45922</v>
      </c>
      <c r="C109" s="211" t="str">
        <f t="shared" si="1"/>
        <v>RM 204.25</v>
      </c>
      <c r="D109" s="166">
        <v>5</v>
      </c>
      <c r="E109" s="166">
        <v>4</v>
      </c>
      <c r="F109" s="49" t="s">
        <v>1406</v>
      </c>
      <c r="H109" s="7">
        <v>204</v>
      </c>
      <c r="I109" s="49"/>
      <c r="J109" s="49"/>
      <c r="K109" s="191"/>
      <c r="L109" s="7"/>
    </row>
    <row r="110" spans="1:12" ht="31.95" hidden="1" customHeight="1" thickBot="1" x14ac:dyDescent="0.35">
      <c r="A110" s="15"/>
      <c r="B110" s="26">
        <v>45926</v>
      </c>
      <c r="C110" s="211" t="str">
        <f t="shared" si="1"/>
        <v>RM 205.25</v>
      </c>
      <c r="D110" s="166">
        <v>1</v>
      </c>
      <c r="E110" s="166">
        <v>1</v>
      </c>
      <c r="F110" s="49" t="s">
        <v>1406</v>
      </c>
      <c r="H110" s="7">
        <v>205</v>
      </c>
      <c r="I110" s="49"/>
      <c r="J110" s="49"/>
      <c r="K110" s="191"/>
      <c r="L110" s="7"/>
    </row>
    <row r="111" spans="1:12" ht="31.95" hidden="1" customHeight="1" thickBot="1" x14ac:dyDescent="0.35">
      <c r="A111" s="15"/>
      <c r="B111" s="26">
        <v>45929</v>
      </c>
      <c r="C111" s="211" t="str">
        <f t="shared" si="1"/>
        <v>RM 206.25</v>
      </c>
      <c r="D111" s="49">
        <v>2</v>
      </c>
      <c r="E111" s="49">
        <v>2</v>
      </c>
      <c r="F111" s="49" t="s">
        <v>1406</v>
      </c>
      <c r="H111" s="7">
        <v>206</v>
      </c>
      <c r="I111" s="49"/>
      <c r="J111" s="49"/>
      <c r="K111" s="191"/>
      <c r="L111" s="7"/>
    </row>
    <row r="112" spans="1:12" ht="31.95" hidden="1" customHeight="1" thickBot="1" x14ac:dyDescent="0.35">
      <c r="A112" s="15"/>
      <c r="B112" s="26">
        <v>45929</v>
      </c>
      <c r="C112" s="211" t="str">
        <f t="shared" si="1"/>
        <v>RM 207.25</v>
      </c>
      <c r="D112" s="49">
        <v>1</v>
      </c>
      <c r="E112" s="49">
        <v>1</v>
      </c>
      <c r="F112" s="49" t="s">
        <v>1406</v>
      </c>
      <c r="H112" s="7">
        <v>207</v>
      </c>
      <c r="I112" s="49"/>
      <c r="J112" s="49"/>
      <c r="K112" s="191"/>
      <c r="L112" s="7"/>
    </row>
    <row r="113" spans="1:12" ht="31.95" hidden="1" customHeight="1" thickBot="1" x14ac:dyDescent="0.35">
      <c r="A113" s="15"/>
      <c r="B113" s="26">
        <v>45936</v>
      </c>
      <c r="C113" s="211" t="str">
        <f t="shared" si="1"/>
        <v>RM 208.25</v>
      </c>
      <c r="D113" s="49">
        <v>4</v>
      </c>
      <c r="E113" s="49">
        <v>3</v>
      </c>
      <c r="F113" s="49" t="s">
        <v>1406</v>
      </c>
      <c r="H113" s="7">
        <v>208</v>
      </c>
      <c r="I113" s="49"/>
      <c r="J113" s="49" t="s">
        <v>1591</v>
      </c>
      <c r="K113" s="191"/>
      <c r="L113" s="7"/>
    </row>
    <row r="114" spans="1:12" ht="31.95" hidden="1" customHeight="1" thickBot="1" x14ac:dyDescent="0.35">
      <c r="A114" s="15"/>
      <c r="B114" s="26">
        <v>45936</v>
      </c>
      <c r="C114" s="211" t="str">
        <f t="shared" si="1"/>
        <v>RM 209.25</v>
      </c>
      <c r="D114" s="49">
        <v>2</v>
      </c>
      <c r="E114" s="49">
        <v>2</v>
      </c>
      <c r="F114" s="49" t="s">
        <v>1406</v>
      </c>
      <c r="H114" s="7">
        <v>209</v>
      </c>
      <c r="I114" s="49"/>
      <c r="J114" s="49"/>
      <c r="K114" s="191"/>
      <c r="L114" s="7"/>
    </row>
    <row r="115" spans="1:12" ht="31.95" hidden="1" customHeight="1" thickBot="1" x14ac:dyDescent="0.35">
      <c r="A115" s="15"/>
      <c r="B115" s="26">
        <v>45936</v>
      </c>
      <c r="C115" s="211" t="str">
        <f t="shared" si="1"/>
        <v>RM 210.25</v>
      </c>
      <c r="D115" s="49">
        <v>2</v>
      </c>
      <c r="E115" s="49">
        <v>2</v>
      </c>
      <c r="F115" s="49" t="s">
        <v>1406</v>
      </c>
      <c r="H115" s="7">
        <v>210</v>
      </c>
      <c r="I115" s="49"/>
      <c r="J115" s="49"/>
      <c r="K115" s="191"/>
      <c r="L115" s="7"/>
    </row>
    <row r="116" spans="1:12" ht="31.95" hidden="1" customHeight="1" thickBot="1" x14ac:dyDescent="0.35">
      <c r="A116" s="15"/>
      <c r="B116" s="26">
        <v>45938</v>
      </c>
      <c r="C116" s="211" t="str">
        <f t="shared" si="1"/>
        <v>RM 211.25</v>
      </c>
      <c r="D116" s="49">
        <v>3</v>
      </c>
      <c r="E116" s="49">
        <v>3</v>
      </c>
      <c r="F116" s="49" t="s">
        <v>1406</v>
      </c>
      <c r="H116" s="7">
        <v>211</v>
      </c>
      <c r="I116" s="49"/>
      <c r="J116" s="49"/>
      <c r="K116" s="191"/>
      <c r="L116" s="7"/>
    </row>
    <row r="117" spans="1:12" ht="31.95" hidden="1" customHeight="1" thickBot="1" x14ac:dyDescent="0.35">
      <c r="A117" s="15"/>
      <c r="B117" s="26">
        <v>45942</v>
      </c>
      <c r="C117" s="211" t="str">
        <f t="shared" si="1"/>
        <v>RM 212.25</v>
      </c>
      <c r="D117" s="49">
        <v>1</v>
      </c>
      <c r="E117" s="49">
        <v>1</v>
      </c>
      <c r="F117" s="49" t="s">
        <v>1406</v>
      </c>
      <c r="H117" s="7">
        <v>212</v>
      </c>
      <c r="I117" s="49"/>
      <c r="J117" s="49"/>
      <c r="K117" s="191"/>
      <c r="L117" s="7"/>
    </row>
    <row r="118" spans="1:12" ht="31.95" hidden="1" customHeight="1" thickBot="1" x14ac:dyDescent="0.35">
      <c r="A118" s="15"/>
      <c r="B118" s="26">
        <v>45945</v>
      </c>
      <c r="C118" s="211" t="str">
        <f t="shared" si="1"/>
        <v>RM 213.25</v>
      </c>
      <c r="D118" s="49">
        <v>2</v>
      </c>
      <c r="E118" s="49">
        <v>2</v>
      </c>
      <c r="F118" s="49" t="s">
        <v>1406</v>
      </c>
      <c r="H118" s="7">
        <v>213</v>
      </c>
      <c r="I118" s="49"/>
      <c r="J118" s="49"/>
      <c r="K118" s="191"/>
      <c r="L118" s="7"/>
    </row>
    <row r="119" spans="1:12" ht="31.95" hidden="1" customHeight="1" thickBot="1" x14ac:dyDescent="0.35">
      <c r="A119" s="15"/>
      <c r="B119" s="26">
        <v>45945</v>
      </c>
      <c r="C119" s="211" t="str">
        <f t="shared" si="1"/>
        <v>RM 214.25</v>
      </c>
      <c r="D119" s="49">
        <v>2</v>
      </c>
      <c r="E119" s="49">
        <v>0</v>
      </c>
      <c r="F119" s="49" t="s">
        <v>1406</v>
      </c>
      <c r="H119" s="7">
        <v>214</v>
      </c>
      <c r="I119" s="49"/>
      <c r="J119" s="49" t="s">
        <v>1602</v>
      </c>
      <c r="K119" s="191"/>
      <c r="L119" s="7"/>
    </row>
    <row r="120" spans="1:12" ht="31.95" hidden="1" customHeight="1" thickBot="1" x14ac:dyDescent="0.35">
      <c r="A120" s="15"/>
      <c r="B120" s="26">
        <v>45945</v>
      </c>
      <c r="C120" s="211" t="str">
        <f t="shared" si="1"/>
        <v>RM 215.25</v>
      </c>
      <c r="D120" s="49">
        <v>1</v>
      </c>
      <c r="E120" s="49">
        <v>1</v>
      </c>
      <c r="F120" s="49" t="s">
        <v>1406</v>
      </c>
      <c r="H120" s="7">
        <v>215</v>
      </c>
      <c r="I120" s="49"/>
      <c r="J120" s="49"/>
      <c r="K120" s="191"/>
      <c r="L120" s="7"/>
    </row>
    <row r="121" spans="1:12" ht="31.95" hidden="1" customHeight="1" thickBot="1" x14ac:dyDescent="0.35">
      <c r="A121" s="15"/>
      <c r="B121" s="26">
        <v>45945</v>
      </c>
      <c r="C121" s="211" t="str">
        <f t="shared" si="1"/>
        <v>RM 216.25</v>
      </c>
      <c r="D121" s="49">
        <v>1</v>
      </c>
      <c r="E121" s="49">
        <v>1</v>
      </c>
      <c r="F121" s="49" t="s">
        <v>1406</v>
      </c>
      <c r="H121" s="7">
        <v>216</v>
      </c>
      <c r="I121" s="49"/>
      <c r="J121" s="49" t="s">
        <v>1504</v>
      </c>
      <c r="K121" s="191"/>
      <c r="L121" s="7"/>
    </row>
    <row r="122" spans="1:12" ht="31.95" hidden="1" customHeight="1" thickBot="1" x14ac:dyDescent="0.35">
      <c r="A122" s="15"/>
      <c r="B122" s="26">
        <v>45946</v>
      </c>
      <c r="C122" s="211" t="str">
        <f t="shared" si="1"/>
        <v>RM 217.25</v>
      </c>
      <c r="D122" s="49">
        <v>10</v>
      </c>
      <c r="E122" s="49">
        <v>0</v>
      </c>
      <c r="F122" s="49" t="s">
        <v>1406</v>
      </c>
      <c r="H122" s="7">
        <v>217</v>
      </c>
      <c r="I122" s="49"/>
      <c r="J122" s="49" t="s">
        <v>1615</v>
      </c>
      <c r="K122" s="191"/>
      <c r="L122" s="7"/>
    </row>
    <row r="123" spans="1:12" ht="31.95" hidden="1" customHeight="1" thickBot="1" x14ac:dyDescent="0.35">
      <c r="A123" s="15"/>
      <c r="B123" s="26">
        <v>45946</v>
      </c>
      <c r="C123" s="211" t="str">
        <f t="shared" si="1"/>
        <v>RM 218.25</v>
      </c>
      <c r="D123" s="49">
        <v>6</v>
      </c>
      <c r="E123" s="49">
        <v>0</v>
      </c>
      <c r="F123" s="49" t="s">
        <v>1406</v>
      </c>
      <c r="H123" s="7">
        <v>218</v>
      </c>
      <c r="I123" s="49"/>
      <c r="J123" s="49" t="s">
        <v>1616</v>
      </c>
      <c r="K123" s="191"/>
      <c r="L123" s="7"/>
    </row>
    <row r="124" spans="1:12" ht="31.95" hidden="1" customHeight="1" thickBot="1" x14ac:dyDescent="0.35">
      <c r="A124" s="15"/>
      <c r="B124" s="26">
        <v>45946</v>
      </c>
      <c r="C124" s="211" t="str">
        <f t="shared" si="1"/>
        <v>RM 219.25</v>
      </c>
      <c r="D124" s="49">
        <v>5</v>
      </c>
      <c r="E124" s="49">
        <v>0</v>
      </c>
      <c r="F124" s="49" t="s">
        <v>1406</v>
      </c>
      <c r="H124" s="7">
        <v>219</v>
      </c>
      <c r="I124" s="49"/>
      <c r="J124" s="49" t="s">
        <v>1598</v>
      </c>
      <c r="K124" s="191"/>
      <c r="L124" s="7"/>
    </row>
    <row r="125" spans="1:12" ht="31.95" hidden="1" customHeight="1" thickBot="1" x14ac:dyDescent="0.35">
      <c r="A125" s="15"/>
      <c r="B125" s="26">
        <v>45946</v>
      </c>
      <c r="C125" s="211" t="str">
        <f t="shared" si="1"/>
        <v>RM 220.25</v>
      </c>
      <c r="D125" s="49">
        <v>3</v>
      </c>
      <c r="E125" s="49">
        <v>3</v>
      </c>
      <c r="F125" s="49" t="s">
        <v>1406</v>
      </c>
      <c r="H125" s="7">
        <v>220</v>
      </c>
      <c r="I125" s="49"/>
      <c r="J125" s="49" t="s">
        <v>1607</v>
      </c>
      <c r="K125" s="191"/>
      <c r="L125" s="7"/>
    </row>
    <row r="126" spans="1:12" ht="31.95" hidden="1" customHeight="1" thickBot="1" x14ac:dyDescent="0.35">
      <c r="A126" s="15"/>
      <c r="B126" s="26">
        <v>45950</v>
      </c>
      <c r="C126" s="211" t="str">
        <f t="shared" si="1"/>
        <v>RM 221.25</v>
      </c>
      <c r="D126" s="49">
        <v>1</v>
      </c>
      <c r="E126" s="49">
        <v>0</v>
      </c>
      <c r="F126" s="49" t="s">
        <v>1406</v>
      </c>
      <c r="H126" s="7">
        <v>221</v>
      </c>
      <c r="I126" s="49"/>
      <c r="J126" s="49" t="s">
        <v>1601</v>
      </c>
      <c r="K126" s="191"/>
      <c r="L126" s="7"/>
    </row>
    <row r="127" spans="1:12" ht="31.95" hidden="1" customHeight="1" thickBot="1" x14ac:dyDescent="0.35">
      <c r="A127" s="15"/>
      <c r="B127" s="26">
        <v>45950</v>
      </c>
      <c r="C127" s="211" t="str">
        <f t="shared" si="1"/>
        <v>RM 222.25</v>
      </c>
      <c r="D127" s="49">
        <v>2</v>
      </c>
      <c r="E127" s="49">
        <v>0</v>
      </c>
      <c r="F127" s="49" t="s">
        <v>1406</v>
      </c>
      <c r="H127" s="7">
        <v>222</v>
      </c>
      <c r="I127" s="49"/>
      <c r="J127" s="49" t="s">
        <v>1608</v>
      </c>
      <c r="K127" s="191"/>
      <c r="L127" s="7"/>
    </row>
    <row r="128" spans="1:12" ht="31.95" hidden="1" customHeight="1" thickBot="1" x14ac:dyDescent="0.35">
      <c r="A128" s="15"/>
      <c r="B128" s="26">
        <v>45950</v>
      </c>
      <c r="C128" s="211" t="str">
        <f t="shared" si="1"/>
        <v>RM 223.25</v>
      </c>
      <c r="D128" s="49">
        <v>1</v>
      </c>
      <c r="E128" s="49">
        <v>0</v>
      </c>
      <c r="F128" s="49" t="s">
        <v>1406</v>
      </c>
      <c r="H128" s="7">
        <v>223</v>
      </c>
      <c r="I128" s="49"/>
      <c r="J128" s="49" t="s">
        <v>1489</v>
      </c>
      <c r="K128" s="191"/>
      <c r="L128" s="7"/>
    </row>
    <row r="129" spans="1:12" ht="31.95" hidden="1" customHeight="1" thickBot="1" x14ac:dyDescent="0.35">
      <c r="A129" s="15"/>
      <c r="B129" s="26">
        <v>45950</v>
      </c>
      <c r="C129" s="211" t="str">
        <f t="shared" si="1"/>
        <v>RM 224.25</v>
      </c>
      <c r="D129" s="49">
        <v>2</v>
      </c>
      <c r="E129" s="49">
        <v>2</v>
      </c>
      <c r="F129" s="49" t="s">
        <v>1406</v>
      </c>
      <c r="H129" s="7">
        <v>224</v>
      </c>
      <c r="I129" s="49"/>
      <c r="J129" s="49" t="s">
        <v>1599</v>
      </c>
      <c r="K129" s="191"/>
      <c r="L129" s="7"/>
    </row>
    <row r="130" spans="1:12" ht="31.95" hidden="1" customHeight="1" thickBot="1" x14ac:dyDescent="0.35">
      <c r="A130" s="15"/>
      <c r="B130" s="26">
        <v>45951</v>
      </c>
      <c r="C130" s="211" t="str">
        <f t="shared" si="1"/>
        <v>RM 225.25</v>
      </c>
      <c r="D130" s="49">
        <v>10</v>
      </c>
      <c r="E130" s="49">
        <v>10</v>
      </c>
      <c r="F130" s="49" t="s">
        <v>1406</v>
      </c>
      <c r="H130" s="7">
        <v>225</v>
      </c>
      <c r="I130" s="49"/>
      <c r="J130" s="49" t="s">
        <v>1700</v>
      </c>
      <c r="K130" s="191"/>
      <c r="L130" s="7"/>
    </row>
    <row r="131" spans="1:12" ht="31.95" hidden="1" customHeight="1" thickBot="1" x14ac:dyDescent="0.35">
      <c r="A131" s="15"/>
      <c r="B131" s="26">
        <v>45951</v>
      </c>
      <c r="C131" s="211" t="str">
        <f t="shared" si="1"/>
        <v>RM 226.25</v>
      </c>
      <c r="D131" s="49">
        <v>6</v>
      </c>
      <c r="E131" s="49">
        <v>6</v>
      </c>
      <c r="F131" s="49" t="s">
        <v>1406</v>
      </c>
      <c r="H131" s="7">
        <v>226</v>
      </c>
      <c r="I131" s="49"/>
      <c r="J131" s="49" t="s">
        <v>1617</v>
      </c>
      <c r="K131" s="191"/>
      <c r="L131" s="7"/>
    </row>
    <row r="132" spans="1:12" ht="31.95" hidden="1" customHeight="1" thickBot="1" x14ac:dyDescent="0.35">
      <c r="A132" s="15"/>
      <c r="B132" s="26">
        <v>45951</v>
      </c>
      <c r="C132" s="211" t="str">
        <f t="shared" si="1"/>
        <v>RM 227.25</v>
      </c>
      <c r="D132" s="49">
        <v>1</v>
      </c>
      <c r="E132" s="49">
        <v>1</v>
      </c>
      <c r="F132" s="49" t="s">
        <v>1406</v>
      </c>
      <c r="H132" s="7">
        <v>227</v>
      </c>
      <c r="I132" s="49"/>
      <c r="J132" s="49"/>
      <c r="K132" s="191"/>
      <c r="L132" s="7"/>
    </row>
    <row r="133" spans="1:12" ht="31.95" hidden="1" customHeight="1" thickBot="1" x14ac:dyDescent="0.35">
      <c r="A133" s="15"/>
      <c r="B133" s="26">
        <v>45951</v>
      </c>
      <c r="C133" s="211" t="str">
        <f t="shared" si="1"/>
        <v>RM 228.25</v>
      </c>
      <c r="D133" s="49">
        <v>2</v>
      </c>
      <c r="E133" s="49">
        <v>2</v>
      </c>
      <c r="F133" s="49" t="s">
        <v>1406</v>
      </c>
      <c r="H133" s="7">
        <v>228</v>
      </c>
      <c r="I133" s="49"/>
      <c r="J133" s="49"/>
      <c r="K133" s="191"/>
      <c r="L133" s="7"/>
    </row>
    <row r="134" spans="1:12" ht="31.95" hidden="1" customHeight="1" thickBot="1" x14ac:dyDescent="0.35">
      <c r="A134" s="15"/>
      <c r="B134" s="26">
        <v>45953</v>
      </c>
      <c r="C134" s="211" t="str">
        <f t="shared" ref="C134:C197" si="2">CONCATENATE("RM ",H134,".25")</f>
        <v>RM 229.25</v>
      </c>
      <c r="D134" s="49">
        <v>1</v>
      </c>
      <c r="E134" s="49">
        <v>1</v>
      </c>
      <c r="F134" s="49" t="s">
        <v>1406</v>
      </c>
      <c r="H134" s="7">
        <v>229</v>
      </c>
      <c r="I134" s="49"/>
      <c r="J134" s="49" t="s">
        <v>1319</v>
      </c>
      <c r="K134" s="191"/>
      <c r="L134" s="7"/>
    </row>
    <row r="135" spans="1:12" ht="31.95" customHeight="1" thickBot="1" x14ac:dyDescent="0.35">
      <c r="A135" s="15"/>
      <c r="B135" s="26">
        <v>45954</v>
      </c>
      <c r="C135" s="211" t="str">
        <f t="shared" si="2"/>
        <v>RM 230.25</v>
      </c>
      <c r="D135" s="49">
        <v>5</v>
      </c>
      <c r="E135" s="49">
        <v>4</v>
      </c>
      <c r="F135" s="49" t="s">
        <v>1407</v>
      </c>
      <c r="H135" s="7">
        <v>230</v>
      </c>
      <c r="I135" s="49"/>
      <c r="J135" s="49" t="s">
        <v>1710</v>
      </c>
      <c r="K135" s="191"/>
      <c r="L135" s="7"/>
    </row>
    <row r="136" spans="1:12" ht="31.95" hidden="1" customHeight="1" thickBot="1" x14ac:dyDescent="0.35">
      <c r="A136" s="15"/>
      <c r="B136" s="26">
        <v>45954</v>
      </c>
      <c r="C136" s="211" t="str">
        <f t="shared" si="2"/>
        <v>RM 231.25</v>
      </c>
      <c r="D136" s="49">
        <v>4</v>
      </c>
      <c r="E136" s="49">
        <v>4</v>
      </c>
      <c r="F136" s="49" t="s">
        <v>1406</v>
      </c>
      <c r="H136" s="7">
        <v>231</v>
      </c>
      <c r="I136" s="49"/>
      <c r="J136" s="49" t="s">
        <v>1614</v>
      </c>
      <c r="K136" s="191"/>
      <c r="L136" s="7"/>
    </row>
    <row r="137" spans="1:12" ht="31.95" hidden="1" customHeight="1" thickBot="1" x14ac:dyDescent="0.35">
      <c r="A137" s="15"/>
      <c r="B137" s="26">
        <v>45959</v>
      </c>
      <c r="C137" s="211" t="str">
        <f t="shared" si="2"/>
        <v>RM 232.25</v>
      </c>
      <c r="D137" s="49">
        <v>7</v>
      </c>
      <c r="E137" s="49">
        <v>6</v>
      </c>
      <c r="F137" s="49" t="s">
        <v>1406</v>
      </c>
      <c r="H137" s="7">
        <v>232</v>
      </c>
      <c r="I137" s="49"/>
      <c r="J137" s="49" t="s">
        <v>1319</v>
      </c>
      <c r="K137" s="191"/>
      <c r="L137" s="7"/>
    </row>
    <row r="138" spans="1:12" ht="31.95" hidden="1" customHeight="1" thickBot="1" x14ac:dyDescent="0.35">
      <c r="A138" s="15"/>
      <c r="B138" s="26">
        <v>45959</v>
      </c>
      <c r="C138" s="211" t="str">
        <f t="shared" si="2"/>
        <v>RM 233.25</v>
      </c>
      <c r="D138" s="49">
        <v>5</v>
      </c>
      <c r="E138" s="49">
        <v>5</v>
      </c>
      <c r="F138" s="49" t="s">
        <v>1406</v>
      </c>
      <c r="H138" s="7">
        <v>233</v>
      </c>
      <c r="I138" s="49"/>
      <c r="J138" s="49" t="s">
        <v>1319</v>
      </c>
      <c r="K138" s="191"/>
      <c r="L138" s="7"/>
    </row>
    <row r="139" spans="1:12" ht="31.95" hidden="1" customHeight="1" thickBot="1" x14ac:dyDescent="0.35">
      <c r="A139" s="15"/>
      <c r="B139" s="26">
        <v>45959</v>
      </c>
      <c r="C139" s="211" t="str">
        <f t="shared" si="2"/>
        <v>RM 234.25</v>
      </c>
      <c r="D139" s="49">
        <v>4</v>
      </c>
      <c r="E139" s="49">
        <v>4</v>
      </c>
      <c r="F139" s="49" t="s">
        <v>1406</v>
      </c>
      <c r="H139" s="7">
        <v>234</v>
      </c>
      <c r="I139" s="49"/>
      <c r="J139" s="49" t="s">
        <v>1613</v>
      </c>
      <c r="K139" s="191"/>
      <c r="L139" s="7"/>
    </row>
    <row r="140" spans="1:12" ht="31.95" hidden="1" customHeight="1" thickBot="1" x14ac:dyDescent="0.35">
      <c r="A140" s="15"/>
      <c r="B140" s="26">
        <v>45960</v>
      </c>
      <c r="C140" s="211" t="str">
        <f t="shared" si="2"/>
        <v>RM 235.25</v>
      </c>
      <c r="D140" s="49">
        <v>1</v>
      </c>
      <c r="E140" s="49">
        <v>1</v>
      </c>
      <c r="F140" s="49" t="s">
        <v>1406</v>
      </c>
      <c r="H140" s="7">
        <v>235</v>
      </c>
      <c r="I140" s="49"/>
      <c r="J140" s="49" t="s">
        <v>1612</v>
      </c>
      <c r="K140" s="191"/>
      <c r="L140" s="7"/>
    </row>
    <row r="141" spans="1:12" ht="31.95" hidden="1" customHeight="1" thickBot="1" x14ac:dyDescent="0.35">
      <c r="A141" s="15"/>
      <c r="B141" s="26">
        <v>45960</v>
      </c>
      <c r="C141" s="211" t="str">
        <f t="shared" si="2"/>
        <v>RM 236.25</v>
      </c>
      <c r="D141" s="49">
        <v>1</v>
      </c>
      <c r="E141" s="49">
        <v>1</v>
      </c>
      <c r="F141" s="49" t="s">
        <v>1406</v>
      </c>
      <c r="H141" s="7">
        <v>236</v>
      </c>
      <c r="I141" s="49"/>
      <c r="J141" s="49" t="s">
        <v>1611</v>
      </c>
      <c r="K141" s="191"/>
      <c r="L141" s="7"/>
    </row>
    <row r="142" spans="1:12" ht="31.95" hidden="1" customHeight="1" thickBot="1" x14ac:dyDescent="0.35">
      <c r="A142" s="15"/>
      <c r="B142" s="26">
        <v>45960</v>
      </c>
      <c r="C142" s="211" t="str">
        <f t="shared" si="2"/>
        <v>RM 237.25</v>
      </c>
      <c r="D142" s="49">
        <v>1</v>
      </c>
      <c r="E142" s="49">
        <v>1</v>
      </c>
      <c r="F142" s="49" t="s">
        <v>1406</v>
      </c>
      <c r="H142" s="7">
        <v>237</v>
      </c>
      <c r="I142" s="49"/>
      <c r="J142" s="49" t="s">
        <v>1610</v>
      </c>
      <c r="K142" s="191"/>
      <c r="L142" s="7"/>
    </row>
    <row r="143" spans="1:12" ht="31.95" customHeight="1" thickBot="1" x14ac:dyDescent="0.35">
      <c r="A143" s="15"/>
      <c r="B143" s="26">
        <v>45960</v>
      </c>
      <c r="C143" s="211" t="str">
        <f t="shared" si="2"/>
        <v>RM 238.25</v>
      </c>
      <c r="D143" s="49">
        <v>2</v>
      </c>
      <c r="E143" s="49">
        <v>0</v>
      </c>
      <c r="F143" s="49" t="s">
        <v>1407</v>
      </c>
      <c r="H143" s="7">
        <v>238</v>
      </c>
      <c r="I143" s="49"/>
      <c r="J143" s="49" t="s">
        <v>1768</v>
      </c>
      <c r="K143" s="191"/>
      <c r="L143" s="7"/>
    </row>
    <row r="144" spans="1:12" ht="31.95" hidden="1" customHeight="1" thickBot="1" x14ac:dyDescent="0.35">
      <c r="A144" s="15"/>
      <c r="B144" s="26" t="s">
        <v>1624</v>
      </c>
      <c r="C144" s="211" t="str">
        <f t="shared" si="2"/>
        <v>RM 239.25</v>
      </c>
      <c r="D144" s="49">
        <v>1</v>
      </c>
      <c r="E144" s="49">
        <v>1</v>
      </c>
      <c r="F144" s="49" t="s">
        <v>1406</v>
      </c>
      <c r="H144" s="7">
        <v>239</v>
      </c>
      <c r="I144" s="49"/>
      <c r="J144" s="49" t="s">
        <v>1599</v>
      </c>
      <c r="K144" s="191"/>
      <c r="L144" s="7"/>
    </row>
    <row r="145" spans="1:12" ht="31.95" hidden="1" customHeight="1" thickBot="1" x14ac:dyDescent="0.35">
      <c r="A145" s="15"/>
      <c r="B145" s="26">
        <v>45964</v>
      </c>
      <c r="C145" s="211" t="str">
        <f t="shared" si="2"/>
        <v>RM 240.25</v>
      </c>
      <c r="D145" s="49">
        <v>5</v>
      </c>
      <c r="E145" s="49">
        <v>0</v>
      </c>
      <c r="F145" s="49" t="s">
        <v>1406</v>
      </c>
      <c r="H145" s="7">
        <v>240</v>
      </c>
      <c r="I145" s="49"/>
      <c r="J145" s="49" t="s">
        <v>1625</v>
      </c>
      <c r="K145" s="191"/>
      <c r="L145" s="7"/>
    </row>
    <row r="146" spans="1:12" ht="31.95" hidden="1" customHeight="1" thickBot="1" x14ac:dyDescent="0.35">
      <c r="A146" s="15"/>
      <c r="B146" s="26">
        <v>45964</v>
      </c>
      <c r="C146" s="211" t="str">
        <f t="shared" si="2"/>
        <v>RM 241.25</v>
      </c>
      <c r="D146" s="49">
        <v>1</v>
      </c>
      <c r="E146" s="49">
        <v>0</v>
      </c>
      <c r="F146" s="49" t="s">
        <v>1406</v>
      </c>
      <c r="H146" s="7">
        <v>241</v>
      </c>
      <c r="I146" s="49"/>
      <c r="J146" s="49" t="s">
        <v>1626</v>
      </c>
      <c r="K146" s="191"/>
      <c r="L146" s="7"/>
    </row>
    <row r="147" spans="1:12" ht="31.95" hidden="1" customHeight="1" thickBot="1" x14ac:dyDescent="0.35">
      <c r="A147" s="15"/>
      <c r="B147" s="26">
        <v>45965</v>
      </c>
      <c r="C147" s="211" t="str">
        <f t="shared" si="2"/>
        <v>RM 242.25</v>
      </c>
      <c r="D147" s="49">
        <v>6</v>
      </c>
      <c r="E147" s="49">
        <v>2</v>
      </c>
      <c r="F147" s="49" t="s">
        <v>1406</v>
      </c>
      <c r="H147" s="7">
        <v>242</v>
      </c>
      <c r="I147" s="49"/>
      <c r="J147" s="49" t="s">
        <v>1630</v>
      </c>
      <c r="K147" s="191"/>
      <c r="L147" s="7"/>
    </row>
    <row r="148" spans="1:12" ht="31.95" hidden="1" customHeight="1" thickBot="1" x14ac:dyDescent="0.35">
      <c r="A148" s="15"/>
      <c r="B148" s="26">
        <v>45965</v>
      </c>
      <c r="C148" s="211" t="str">
        <f t="shared" si="2"/>
        <v>RM 243.25</v>
      </c>
      <c r="D148" s="49">
        <v>3</v>
      </c>
      <c r="E148" s="49">
        <v>3</v>
      </c>
      <c r="F148" s="49" t="s">
        <v>1406</v>
      </c>
      <c r="H148" s="7">
        <v>243</v>
      </c>
      <c r="I148" s="49"/>
      <c r="J148" s="49" t="s">
        <v>1319</v>
      </c>
      <c r="K148" s="191"/>
      <c r="L148" s="7"/>
    </row>
    <row r="149" spans="1:12" ht="31.95" hidden="1" customHeight="1" thickBot="1" x14ac:dyDescent="0.35">
      <c r="A149" s="15"/>
      <c r="B149" s="26">
        <v>45965</v>
      </c>
      <c r="C149" s="211" t="str">
        <f t="shared" si="2"/>
        <v>RM 244.25</v>
      </c>
      <c r="D149" s="49">
        <v>1</v>
      </c>
      <c r="E149" s="49">
        <v>0</v>
      </c>
      <c r="F149" s="49" t="s">
        <v>1406</v>
      </c>
      <c r="H149" s="7">
        <v>244</v>
      </c>
      <c r="I149" s="49"/>
      <c r="J149" s="49" t="s">
        <v>1619</v>
      </c>
      <c r="K149" s="191"/>
      <c r="L149" s="7"/>
    </row>
    <row r="150" spans="1:12" ht="31.95" hidden="1" customHeight="1" thickBot="1" x14ac:dyDescent="0.35">
      <c r="A150" s="15"/>
      <c r="B150" s="26">
        <v>45966</v>
      </c>
      <c r="C150" s="211" t="str">
        <f t="shared" si="2"/>
        <v>RM 245.25</v>
      </c>
      <c r="D150" s="49">
        <v>1</v>
      </c>
      <c r="E150" s="49">
        <v>0</v>
      </c>
      <c r="F150" s="49" t="s">
        <v>1406</v>
      </c>
      <c r="H150" s="7">
        <v>245</v>
      </c>
      <c r="I150" s="49"/>
      <c r="J150" s="49" t="s">
        <v>1631</v>
      </c>
      <c r="K150" s="191"/>
      <c r="L150" s="7"/>
    </row>
    <row r="151" spans="1:12" ht="31.95" customHeight="1" thickBot="1" x14ac:dyDescent="0.35">
      <c r="A151" s="15"/>
      <c r="B151" s="26">
        <v>45966</v>
      </c>
      <c r="C151" s="211" t="str">
        <f t="shared" si="2"/>
        <v>RM 246.25</v>
      </c>
      <c r="D151" s="49">
        <v>1</v>
      </c>
      <c r="E151" s="49">
        <v>0</v>
      </c>
      <c r="F151" s="49" t="s">
        <v>1407</v>
      </c>
      <c r="H151" s="7">
        <v>246</v>
      </c>
      <c r="I151" s="49"/>
      <c r="J151" s="49" t="s">
        <v>1599</v>
      </c>
      <c r="K151" s="191"/>
      <c r="L151" s="7"/>
    </row>
    <row r="152" spans="1:12" ht="31.95" hidden="1" customHeight="1" thickBot="1" x14ac:dyDescent="0.35">
      <c r="A152" s="15"/>
      <c r="B152" s="26">
        <v>45966</v>
      </c>
      <c r="C152" s="211" t="str">
        <f t="shared" si="2"/>
        <v>RM 247.25</v>
      </c>
      <c r="D152" s="49">
        <v>1</v>
      </c>
      <c r="E152" s="49">
        <v>1</v>
      </c>
      <c r="F152" s="49" t="s">
        <v>1406</v>
      </c>
      <c r="H152" s="7">
        <v>247</v>
      </c>
      <c r="I152" s="49"/>
      <c r="J152" s="49" t="s">
        <v>1319</v>
      </c>
      <c r="K152" s="191"/>
      <c r="L152" s="7"/>
    </row>
    <row r="153" spans="1:12" ht="31.95" hidden="1" customHeight="1" thickBot="1" x14ac:dyDescent="0.35">
      <c r="A153" s="15"/>
      <c r="B153" s="26">
        <v>45967</v>
      </c>
      <c r="C153" s="211" t="str">
        <f t="shared" si="2"/>
        <v>RM 248.25</v>
      </c>
      <c r="D153" s="49">
        <v>1</v>
      </c>
      <c r="E153" s="49">
        <v>1</v>
      </c>
      <c r="F153" s="49" t="s">
        <v>1406</v>
      </c>
      <c r="H153" s="7">
        <v>248</v>
      </c>
      <c r="I153" s="49"/>
      <c r="J153" s="49" t="s">
        <v>1632</v>
      </c>
      <c r="K153" s="191"/>
      <c r="L153" s="7"/>
    </row>
    <row r="154" spans="1:12" ht="31.95" customHeight="1" thickBot="1" x14ac:dyDescent="0.35">
      <c r="A154" s="15"/>
      <c r="B154" s="26">
        <v>45968</v>
      </c>
      <c r="C154" s="211" t="str">
        <f t="shared" si="2"/>
        <v>RM 249.25</v>
      </c>
      <c r="D154" s="49">
        <v>1</v>
      </c>
      <c r="E154" s="49">
        <v>0</v>
      </c>
      <c r="F154" s="49" t="s">
        <v>1407</v>
      </c>
      <c r="H154" s="7">
        <v>249</v>
      </c>
      <c r="I154" s="49"/>
      <c r="J154" s="49" t="s">
        <v>1638</v>
      </c>
      <c r="K154" s="191"/>
      <c r="L154" s="7"/>
    </row>
    <row r="155" spans="1:12" ht="31.95" hidden="1" customHeight="1" thickBot="1" x14ac:dyDescent="0.35">
      <c r="A155" s="15"/>
      <c r="B155" s="26">
        <v>45973</v>
      </c>
      <c r="C155" s="211" t="str">
        <f t="shared" si="2"/>
        <v>RM 250.25</v>
      </c>
      <c r="D155" s="49">
        <v>1</v>
      </c>
      <c r="E155" s="49">
        <v>0</v>
      </c>
      <c r="F155" s="49" t="s">
        <v>1406</v>
      </c>
      <c r="H155" s="7">
        <v>250</v>
      </c>
      <c r="I155" s="49"/>
      <c r="J155" s="49" t="s">
        <v>1636</v>
      </c>
      <c r="K155" s="191"/>
      <c r="L155" s="7"/>
    </row>
    <row r="156" spans="1:12" ht="31.95" hidden="1" customHeight="1" thickBot="1" x14ac:dyDescent="0.35">
      <c r="A156" s="15"/>
      <c r="B156" s="26">
        <v>45973</v>
      </c>
      <c r="C156" s="211" t="str">
        <f t="shared" si="2"/>
        <v>RM 251.25</v>
      </c>
      <c r="D156" s="49">
        <v>1</v>
      </c>
      <c r="E156" s="49">
        <v>1</v>
      </c>
      <c r="F156" s="49" t="s">
        <v>1406</v>
      </c>
      <c r="H156" s="7">
        <v>251</v>
      </c>
      <c r="I156" s="49"/>
      <c r="J156" s="49" t="s">
        <v>1504</v>
      </c>
      <c r="K156" s="191"/>
      <c r="L156" s="7"/>
    </row>
    <row r="157" spans="1:12" ht="31.95" hidden="1" customHeight="1" thickBot="1" x14ac:dyDescent="0.35">
      <c r="A157" s="15"/>
      <c r="B157" s="26">
        <v>45973</v>
      </c>
      <c r="C157" s="211" t="str">
        <f t="shared" si="2"/>
        <v>RM 252.25</v>
      </c>
      <c r="D157" s="49">
        <v>1</v>
      </c>
      <c r="E157" s="49">
        <v>1</v>
      </c>
      <c r="F157" s="49" t="s">
        <v>1406</v>
      </c>
      <c r="H157" s="7">
        <v>252</v>
      </c>
      <c r="I157" s="49"/>
      <c r="J157" s="49" t="s">
        <v>1319</v>
      </c>
      <c r="K157" s="191"/>
      <c r="L157" s="7"/>
    </row>
    <row r="158" spans="1:12" ht="31.95" hidden="1" customHeight="1" thickBot="1" x14ac:dyDescent="0.35">
      <c r="A158" s="15"/>
      <c r="B158" s="26">
        <v>45973</v>
      </c>
      <c r="C158" s="211" t="str">
        <f t="shared" si="2"/>
        <v>RM 253.25</v>
      </c>
      <c r="D158" s="49">
        <v>2</v>
      </c>
      <c r="E158" s="49">
        <v>2</v>
      </c>
      <c r="F158" s="49" t="s">
        <v>1406</v>
      </c>
      <c r="H158" s="7">
        <v>253</v>
      </c>
      <c r="I158" s="49"/>
      <c r="J158" s="49" t="s">
        <v>1640</v>
      </c>
      <c r="K158" s="191"/>
      <c r="L158" s="7"/>
    </row>
    <row r="159" spans="1:12" ht="31.95" hidden="1" customHeight="1" thickBot="1" x14ac:dyDescent="0.35">
      <c r="A159" s="15"/>
      <c r="B159" s="26">
        <v>45973</v>
      </c>
      <c r="C159" s="211" t="str">
        <f t="shared" si="2"/>
        <v>RM 254.25</v>
      </c>
      <c r="D159" s="49">
        <v>4</v>
      </c>
      <c r="E159" s="49">
        <v>4</v>
      </c>
      <c r="F159" s="49" t="s">
        <v>1406</v>
      </c>
      <c r="H159" s="7">
        <v>254</v>
      </c>
      <c r="I159" s="49"/>
      <c r="J159" s="49" t="s">
        <v>1639</v>
      </c>
      <c r="K159" s="191"/>
      <c r="L159" s="7"/>
    </row>
    <row r="160" spans="1:12" ht="31.95" hidden="1" customHeight="1" thickBot="1" x14ac:dyDescent="0.35">
      <c r="A160" s="15"/>
      <c r="B160" s="26">
        <v>45973</v>
      </c>
      <c r="C160" s="211" t="str">
        <f t="shared" si="2"/>
        <v>RM 255.25</v>
      </c>
      <c r="D160" s="49">
        <v>1</v>
      </c>
      <c r="E160" s="49">
        <v>0</v>
      </c>
      <c r="F160" s="49" t="s">
        <v>1406</v>
      </c>
      <c r="H160" s="7">
        <v>255</v>
      </c>
      <c r="I160" s="49"/>
      <c r="J160" s="49" t="s">
        <v>1645</v>
      </c>
      <c r="K160" s="191"/>
      <c r="L160" s="7"/>
    </row>
    <row r="161" spans="1:12" ht="31.95" hidden="1" customHeight="1" thickBot="1" x14ac:dyDescent="0.35">
      <c r="A161" s="15"/>
      <c r="B161" s="26">
        <v>45973</v>
      </c>
      <c r="C161" s="211" t="str">
        <f t="shared" si="2"/>
        <v>RM 256.25</v>
      </c>
      <c r="D161" s="49">
        <v>1</v>
      </c>
      <c r="E161" s="49">
        <v>1</v>
      </c>
      <c r="F161" s="49" t="s">
        <v>1406</v>
      </c>
      <c r="H161" s="7">
        <v>256</v>
      </c>
      <c r="I161" s="49"/>
      <c r="J161" s="49" t="s">
        <v>1646</v>
      </c>
      <c r="K161" s="191"/>
      <c r="L161" s="7"/>
    </row>
    <row r="162" spans="1:12" ht="31.95" customHeight="1" thickBot="1" x14ac:dyDescent="0.35">
      <c r="A162" s="15"/>
      <c r="B162" s="26">
        <v>45973</v>
      </c>
      <c r="C162" s="211" t="str">
        <f t="shared" si="2"/>
        <v>RM 257.25</v>
      </c>
      <c r="D162" s="49">
        <v>10</v>
      </c>
      <c r="E162" s="49">
        <v>0</v>
      </c>
      <c r="F162" s="49" t="s">
        <v>1407</v>
      </c>
      <c r="H162" s="7">
        <v>257</v>
      </c>
      <c r="I162" s="49"/>
      <c r="J162" s="49" t="s">
        <v>1647</v>
      </c>
      <c r="K162" s="191"/>
      <c r="L162" s="7"/>
    </row>
    <row r="163" spans="1:12" ht="31.95" hidden="1" customHeight="1" thickBot="1" x14ac:dyDescent="0.35">
      <c r="A163" s="15"/>
      <c r="B163" s="26">
        <v>45980</v>
      </c>
      <c r="C163" s="211" t="str">
        <f t="shared" si="2"/>
        <v>RM 258.25</v>
      </c>
      <c r="D163" s="49">
        <v>2</v>
      </c>
      <c r="E163" s="49">
        <v>0</v>
      </c>
      <c r="F163" s="49" t="s">
        <v>1406</v>
      </c>
      <c r="H163" s="7">
        <v>258</v>
      </c>
      <c r="I163" s="49"/>
      <c r="J163" s="49" t="s">
        <v>1643</v>
      </c>
      <c r="K163" s="191"/>
      <c r="L163" s="7"/>
    </row>
    <row r="164" spans="1:12" ht="31.95" hidden="1" customHeight="1" thickBot="1" x14ac:dyDescent="0.35">
      <c r="A164" s="15"/>
      <c r="B164" s="26">
        <v>45980</v>
      </c>
      <c r="C164" s="211" t="str">
        <f t="shared" si="2"/>
        <v>RM 259.25</v>
      </c>
      <c r="D164" s="49">
        <v>10</v>
      </c>
      <c r="E164" s="49">
        <v>10</v>
      </c>
      <c r="F164" s="49" t="s">
        <v>1406</v>
      </c>
      <c r="H164" s="7">
        <v>259</v>
      </c>
      <c r="I164" s="49"/>
      <c r="J164" s="49" t="s">
        <v>1319</v>
      </c>
      <c r="K164" s="191"/>
      <c r="L164" s="7"/>
    </row>
    <row r="165" spans="1:12" ht="31.95" hidden="1" customHeight="1" thickBot="1" x14ac:dyDescent="0.35">
      <c r="A165" s="15"/>
      <c r="B165" s="26">
        <v>45980</v>
      </c>
      <c r="C165" s="211" t="str">
        <f t="shared" si="2"/>
        <v>RM 260.25</v>
      </c>
      <c r="D165" s="49">
        <v>1</v>
      </c>
      <c r="E165" s="49">
        <v>1</v>
      </c>
      <c r="F165" s="49" t="s">
        <v>1406</v>
      </c>
      <c r="H165" s="7">
        <v>260</v>
      </c>
      <c r="I165" s="49"/>
      <c r="J165" s="49"/>
      <c r="K165" s="191"/>
      <c r="L165" s="7"/>
    </row>
    <row r="166" spans="1:12" ht="31.95" hidden="1" customHeight="1" thickBot="1" x14ac:dyDescent="0.35">
      <c r="A166" s="15"/>
      <c r="B166" s="26">
        <v>45992</v>
      </c>
      <c r="C166" s="211" t="str">
        <f t="shared" si="2"/>
        <v>RM 261.25</v>
      </c>
      <c r="D166" s="49">
        <v>1</v>
      </c>
      <c r="E166" s="49">
        <v>0</v>
      </c>
      <c r="F166" s="49" t="s">
        <v>1406</v>
      </c>
      <c r="H166" s="7">
        <v>261</v>
      </c>
      <c r="I166" s="49"/>
      <c r="J166" s="49"/>
      <c r="K166" s="191"/>
      <c r="L166" s="7"/>
    </row>
    <row r="167" spans="1:12" ht="31.95" customHeight="1" thickBot="1" x14ac:dyDescent="0.35">
      <c r="A167" s="15"/>
      <c r="B167" s="26">
        <v>45992</v>
      </c>
      <c r="C167" s="211" t="str">
        <f t="shared" si="2"/>
        <v>RM 262.25</v>
      </c>
      <c r="D167" s="49">
        <v>1</v>
      </c>
      <c r="E167" s="49">
        <v>0</v>
      </c>
      <c r="F167" s="49" t="s">
        <v>1407</v>
      </c>
      <c r="H167" s="7">
        <v>262</v>
      </c>
      <c r="I167" s="49"/>
      <c r="J167" s="49" t="s">
        <v>1653</v>
      </c>
      <c r="K167" s="191"/>
      <c r="L167" s="7"/>
    </row>
    <row r="168" spans="1:12" ht="31.95" hidden="1" customHeight="1" thickBot="1" x14ac:dyDescent="0.35">
      <c r="A168" s="15"/>
      <c r="B168" s="26">
        <v>45992</v>
      </c>
      <c r="C168" s="211" t="str">
        <f t="shared" si="2"/>
        <v>RM 263.25</v>
      </c>
      <c r="D168" s="49">
        <v>1</v>
      </c>
      <c r="E168" s="49">
        <v>0</v>
      </c>
      <c r="F168" s="49" t="s">
        <v>1406</v>
      </c>
      <c r="H168" s="7">
        <v>263</v>
      </c>
      <c r="I168" s="49"/>
      <c r="J168" s="49" t="s">
        <v>1655</v>
      </c>
      <c r="K168" s="191"/>
      <c r="L168" s="7"/>
    </row>
    <row r="169" spans="1:12" ht="31.95" hidden="1" customHeight="1" thickBot="1" x14ac:dyDescent="0.35">
      <c r="A169" s="15"/>
      <c r="B169" s="26">
        <v>45992</v>
      </c>
      <c r="C169" s="211" t="str">
        <f t="shared" si="2"/>
        <v>RM 264.25</v>
      </c>
      <c r="D169" s="49">
        <v>5</v>
      </c>
      <c r="E169" s="49">
        <v>0</v>
      </c>
      <c r="F169" s="49" t="s">
        <v>1406</v>
      </c>
      <c r="H169" s="7">
        <v>264</v>
      </c>
      <c r="I169" s="49"/>
      <c r="J169" s="49" t="s">
        <v>1654</v>
      </c>
      <c r="K169" s="191"/>
      <c r="L169" s="7"/>
    </row>
    <row r="170" spans="1:12" ht="31.95" hidden="1" customHeight="1" thickBot="1" x14ac:dyDescent="0.35">
      <c r="A170" s="15"/>
      <c r="B170" s="26">
        <v>45992</v>
      </c>
      <c r="C170" s="211" t="str">
        <f t="shared" si="2"/>
        <v>RM 265.25</v>
      </c>
      <c r="D170" s="49">
        <v>6</v>
      </c>
      <c r="E170" s="49">
        <v>4</v>
      </c>
      <c r="F170" s="49" t="s">
        <v>1406</v>
      </c>
      <c r="H170" s="7">
        <v>265</v>
      </c>
      <c r="I170" s="49"/>
      <c r="J170" s="49"/>
      <c r="K170" s="191"/>
      <c r="L170" s="7"/>
    </row>
    <row r="171" spans="1:12" ht="31.95" hidden="1" customHeight="1" thickBot="1" x14ac:dyDescent="0.35">
      <c r="A171" s="15"/>
      <c r="B171" s="26">
        <v>45992</v>
      </c>
      <c r="C171" s="211" t="str">
        <f t="shared" si="2"/>
        <v>RM 266.25</v>
      </c>
      <c r="D171" s="49">
        <v>5</v>
      </c>
      <c r="E171" s="49">
        <v>5</v>
      </c>
      <c r="F171" s="49" t="s">
        <v>1406</v>
      </c>
      <c r="H171" s="7">
        <v>266</v>
      </c>
      <c r="I171" s="49"/>
      <c r="J171" s="49"/>
      <c r="K171" s="191"/>
      <c r="L171" s="7"/>
    </row>
    <row r="172" spans="1:12" ht="31.95" hidden="1" customHeight="1" thickBot="1" x14ac:dyDescent="0.35">
      <c r="A172" s="15"/>
      <c r="B172" s="26">
        <v>46001</v>
      </c>
      <c r="C172" s="211" t="str">
        <f t="shared" si="2"/>
        <v>RM 267.25</v>
      </c>
      <c r="D172" s="49">
        <v>5</v>
      </c>
      <c r="E172" s="49">
        <v>0</v>
      </c>
      <c r="F172" s="49" t="s">
        <v>1406</v>
      </c>
      <c r="H172" s="7">
        <v>267</v>
      </c>
      <c r="I172" s="49"/>
      <c r="J172" s="49" t="s">
        <v>1675</v>
      </c>
      <c r="K172" s="191"/>
      <c r="L172" s="7"/>
    </row>
    <row r="173" spans="1:12" ht="31.95" hidden="1" customHeight="1" thickBot="1" x14ac:dyDescent="0.35">
      <c r="A173" s="15"/>
      <c r="B173" s="26">
        <v>46001</v>
      </c>
      <c r="C173" s="211" t="str">
        <f t="shared" si="2"/>
        <v>RM 268.25</v>
      </c>
      <c r="D173" s="49">
        <v>6</v>
      </c>
      <c r="E173" s="49">
        <v>0</v>
      </c>
      <c r="F173" s="49" t="s">
        <v>1406</v>
      </c>
      <c r="H173" s="7">
        <v>268</v>
      </c>
      <c r="I173" s="49"/>
      <c r="J173" s="49" t="s">
        <v>1319</v>
      </c>
      <c r="K173" s="191"/>
      <c r="L173" s="7"/>
    </row>
    <row r="174" spans="1:12" ht="31.95" hidden="1" customHeight="1" thickBot="1" x14ac:dyDescent="0.35">
      <c r="A174" s="15"/>
      <c r="B174" s="26">
        <v>46003</v>
      </c>
      <c r="C174" s="211" t="str">
        <f t="shared" si="2"/>
        <v>RM 269.25</v>
      </c>
      <c r="D174" s="49">
        <v>18</v>
      </c>
      <c r="E174" s="49">
        <v>18</v>
      </c>
      <c r="F174" s="49" t="s">
        <v>1406</v>
      </c>
      <c r="H174" s="7">
        <v>269</v>
      </c>
      <c r="I174" s="49"/>
      <c r="J174" s="49" t="s">
        <v>1687</v>
      </c>
      <c r="K174" s="191"/>
      <c r="L174" s="7"/>
    </row>
    <row r="175" spans="1:12" ht="31.95" hidden="1" customHeight="1" thickBot="1" x14ac:dyDescent="0.35">
      <c r="A175" s="15"/>
      <c r="B175" s="26">
        <v>46003</v>
      </c>
      <c r="C175" s="211" t="str">
        <f t="shared" si="2"/>
        <v>RM 270.25</v>
      </c>
      <c r="D175" s="49">
        <v>7</v>
      </c>
      <c r="E175" s="49">
        <v>7</v>
      </c>
      <c r="F175" s="49" t="s">
        <v>1406</v>
      </c>
      <c r="H175" s="7">
        <v>270</v>
      </c>
      <c r="I175" s="49"/>
      <c r="J175" s="49" t="s">
        <v>1686</v>
      </c>
      <c r="K175" s="191"/>
      <c r="L175" s="7"/>
    </row>
    <row r="176" spans="1:12" ht="31.95" hidden="1" customHeight="1" thickBot="1" x14ac:dyDescent="0.35">
      <c r="A176" s="15"/>
      <c r="B176" s="26">
        <v>46006</v>
      </c>
      <c r="C176" s="211" t="str">
        <f t="shared" si="2"/>
        <v>RM 271.25</v>
      </c>
      <c r="D176" s="49">
        <v>7</v>
      </c>
      <c r="E176" s="49">
        <v>7</v>
      </c>
      <c r="F176" s="49" t="s">
        <v>1406</v>
      </c>
      <c r="H176" s="7">
        <v>271</v>
      </c>
      <c r="I176" s="49"/>
      <c r="J176" s="49"/>
      <c r="K176" s="191"/>
      <c r="L176" s="7"/>
    </row>
    <row r="177" spans="1:12" ht="31.95" hidden="1" customHeight="1" thickBot="1" x14ac:dyDescent="0.35">
      <c r="A177" s="15"/>
      <c r="B177" s="26">
        <v>46009</v>
      </c>
      <c r="C177" s="211" t="str">
        <f t="shared" si="2"/>
        <v>RM 272.25</v>
      </c>
      <c r="D177" s="49">
        <v>2</v>
      </c>
      <c r="E177" s="49">
        <v>2</v>
      </c>
      <c r="F177" s="49" t="s">
        <v>1406</v>
      </c>
      <c r="H177" s="7">
        <v>272</v>
      </c>
      <c r="I177" s="49"/>
      <c r="J177" s="49" t="s">
        <v>1504</v>
      </c>
      <c r="K177" s="191"/>
      <c r="L177" s="7"/>
    </row>
    <row r="178" spans="1:12" ht="31.95" hidden="1" customHeight="1" thickBot="1" x14ac:dyDescent="0.35">
      <c r="A178" s="15"/>
      <c r="B178" s="26">
        <v>46009</v>
      </c>
      <c r="C178" s="211" t="str">
        <f t="shared" si="2"/>
        <v>RM 273.25</v>
      </c>
      <c r="D178" s="49">
        <v>5</v>
      </c>
      <c r="E178" s="49">
        <v>5</v>
      </c>
      <c r="F178" s="49" t="s">
        <v>1406</v>
      </c>
      <c r="H178" s="7">
        <v>273</v>
      </c>
      <c r="I178" s="49"/>
      <c r="J178" s="49" t="s">
        <v>1699</v>
      </c>
      <c r="K178" s="191"/>
      <c r="L178" s="7"/>
    </row>
    <row r="179" spans="1:12" ht="31.95" hidden="1" customHeight="1" thickBot="1" x14ac:dyDescent="0.35">
      <c r="A179" s="15"/>
      <c r="B179" s="26">
        <v>46385</v>
      </c>
      <c r="C179" s="211" t="str">
        <f t="shared" si="2"/>
        <v>RM 274.25</v>
      </c>
      <c r="D179" s="49">
        <v>8</v>
      </c>
      <c r="E179" s="49">
        <v>4</v>
      </c>
      <c r="F179" s="49" t="s">
        <v>1406</v>
      </c>
      <c r="H179" s="7">
        <v>274</v>
      </c>
      <c r="I179" s="49"/>
      <c r="J179" s="49" t="s">
        <v>1319</v>
      </c>
      <c r="K179" s="191"/>
      <c r="L179" s="7"/>
    </row>
    <row r="180" spans="1:12" ht="31.95" customHeight="1" thickBot="1" x14ac:dyDescent="0.35">
      <c r="A180" s="15"/>
      <c r="B180" s="26">
        <v>46020</v>
      </c>
      <c r="C180" s="211" t="str">
        <f t="shared" si="2"/>
        <v>RM 275.25</v>
      </c>
      <c r="D180" s="49">
        <v>31</v>
      </c>
      <c r="E180" s="49">
        <v>26</v>
      </c>
      <c r="F180" s="49" t="s">
        <v>1407</v>
      </c>
      <c r="H180" s="7">
        <v>275</v>
      </c>
      <c r="I180" s="49"/>
      <c r="J180" s="49" t="s">
        <v>1705</v>
      </c>
      <c r="K180" s="191"/>
      <c r="L180" s="7"/>
    </row>
    <row r="181" spans="1:12" ht="31.95" hidden="1" customHeight="1" thickBot="1" x14ac:dyDescent="0.35">
      <c r="A181" s="15"/>
      <c r="B181" s="26">
        <v>46020</v>
      </c>
      <c r="C181" s="211" t="str">
        <f t="shared" si="2"/>
        <v>RM 276.25</v>
      </c>
      <c r="D181" s="49">
        <v>26</v>
      </c>
      <c r="E181" s="49">
        <v>26</v>
      </c>
      <c r="F181" s="49" t="s">
        <v>1406</v>
      </c>
      <c r="H181" s="7">
        <v>276</v>
      </c>
      <c r="I181" s="49"/>
      <c r="J181" s="49" t="s">
        <v>1707</v>
      </c>
      <c r="K181" s="191"/>
      <c r="L181" s="7"/>
    </row>
    <row r="182" spans="1:12" ht="31.95" hidden="1" customHeight="1" thickBot="1" x14ac:dyDescent="0.35">
      <c r="A182" s="15"/>
      <c r="B182" s="26">
        <v>46020</v>
      </c>
      <c r="C182" s="211" t="str">
        <f t="shared" si="2"/>
        <v>RM 277.25</v>
      </c>
      <c r="D182" s="49">
        <v>13</v>
      </c>
      <c r="E182" s="49">
        <v>12</v>
      </c>
      <c r="F182" s="49" t="s">
        <v>1406</v>
      </c>
      <c r="H182" s="7">
        <v>277</v>
      </c>
      <c r="I182" s="49"/>
      <c r="J182" s="49" t="s">
        <v>1702</v>
      </c>
      <c r="K182" s="191"/>
      <c r="L182" s="7"/>
    </row>
    <row r="183" spans="1:12" ht="31.95" hidden="1" customHeight="1" thickBot="1" x14ac:dyDescent="0.35">
      <c r="A183" s="15"/>
      <c r="B183" s="26">
        <v>46020</v>
      </c>
      <c r="C183" s="211" t="str">
        <f t="shared" si="2"/>
        <v>RM 278.25</v>
      </c>
      <c r="D183" s="49">
        <v>5</v>
      </c>
      <c r="E183" s="49">
        <v>5</v>
      </c>
      <c r="F183" s="49" t="s">
        <v>1406</v>
      </c>
      <c r="H183" s="7">
        <v>278</v>
      </c>
      <c r="I183" s="49"/>
      <c r="J183" s="49" t="s">
        <v>1705</v>
      </c>
      <c r="K183" s="191"/>
      <c r="L183" s="7"/>
    </row>
    <row r="184" spans="1:12" ht="31.95" hidden="1" customHeight="1" thickBot="1" x14ac:dyDescent="0.35">
      <c r="A184" s="15"/>
      <c r="B184" s="26">
        <v>46020</v>
      </c>
      <c r="C184" s="211" t="str">
        <f t="shared" si="2"/>
        <v>RM 279.25</v>
      </c>
      <c r="D184" s="49">
        <v>4</v>
      </c>
      <c r="E184" s="49">
        <v>4</v>
      </c>
      <c r="F184" s="49" t="s">
        <v>1406</v>
      </c>
      <c r="H184" s="7">
        <v>279</v>
      </c>
      <c r="I184" s="49"/>
      <c r="J184" s="49" t="s">
        <v>1705</v>
      </c>
      <c r="K184" s="191"/>
      <c r="L184" s="7"/>
    </row>
    <row r="185" spans="1:12" ht="31.95" hidden="1" customHeight="1" thickBot="1" x14ac:dyDescent="0.35">
      <c r="A185" s="15"/>
      <c r="B185" s="26">
        <v>46020</v>
      </c>
      <c r="C185" s="211" t="str">
        <f t="shared" si="2"/>
        <v>RM 280.25</v>
      </c>
      <c r="D185" s="49">
        <v>4</v>
      </c>
      <c r="E185" s="49">
        <v>4</v>
      </c>
      <c r="F185" s="49" t="s">
        <v>1406</v>
      </c>
      <c r="H185" s="7">
        <v>280</v>
      </c>
      <c r="I185" s="49"/>
      <c r="J185" s="49" t="s">
        <v>1707</v>
      </c>
      <c r="K185" s="191"/>
      <c r="L185" s="7"/>
    </row>
    <row r="186" spans="1:12" ht="31.95" hidden="1" customHeight="1" thickBot="1" x14ac:dyDescent="0.35">
      <c r="A186" s="15"/>
      <c r="B186" s="26">
        <v>46020</v>
      </c>
      <c r="C186" s="211" t="str">
        <f t="shared" si="2"/>
        <v>RM 281.25</v>
      </c>
      <c r="D186" s="49">
        <v>6</v>
      </c>
      <c r="E186" s="49">
        <v>6</v>
      </c>
      <c r="F186" s="49" t="s">
        <v>1406</v>
      </c>
      <c r="H186" s="7">
        <v>281</v>
      </c>
      <c r="I186" s="49"/>
      <c r="J186" s="49" t="s">
        <v>1702</v>
      </c>
      <c r="K186" s="191"/>
      <c r="L186" s="7"/>
    </row>
    <row r="187" spans="1:12" ht="31.95" hidden="1" customHeight="1" thickBot="1" x14ac:dyDescent="0.35">
      <c r="A187" s="15"/>
      <c r="B187" s="26">
        <v>46020</v>
      </c>
      <c r="C187" s="211" t="str">
        <f t="shared" si="2"/>
        <v>RM 282.25</v>
      </c>
      <c r="D187" s="49">
        <v>1</v>
      </c>
      <c r="E187" s="49">
        <v>1</v>
      </c>
      <c r="F187" s="49" t="s">
        <v>1406</v>
      </c>
      <c r="H187" s="7">
        <v>282</v>
      </c>
      <c r="I187" s="49"/>
      <c r="J187" s="49" t="s">
        <v>1671</v>
      </c>
      <c r="K187" s="191"/>
      <c r="L187" s="7"/>
    </row>
    <row r="188" spans="1:12" ht="31.95" hidden="1" customHeight="1" thickBot="1" x14ac:dyDescent="0.35">
      <c r="A188" s="15"/>
      <c r="B188" s="26">
        <v>46020</v>
      </c>
      <c r="C188" s="211" t="str">
        <f t="shared" si="2"/>
        <v>RM 283.25</v>
      </c>
      <c r="D188" s="49">
        <v>8</v>
      </c>
      <c r="E188" s="49">
        <v>8</v>
      </c>
      <c r="F188" s="49" t="s">
        <v>1406</v>
      </c>
      <c r="H188" s="7">
        <v>283</v>
      </c>
      <c r="I188" s="49"/>
      <c r="J188" s="49" t="s">
        <v>1319</v>
      </c>
      <c r="K188" s="191"/>
      <c r="L188" s="7"/>
    </row>
    <row r="189" spans="1:12" ht="31.95" hidden="1" customHeight="1" thickBot="1" x14ac:dyDescent="0.35">
      <c r="A189" s="15"/>
      <c r="B189" s="26">
        <v>46021</v>
      </c>
      <c r="C189" s="211" t="str">
        <f t="shared" si="2"/>
        <v>RM 284.25</v>
      </c>
      <c r="D189" s="49">
        <v>12</v>
      </c>
      <c r="E189" s="49">
        <v>12</v>
      </c>
      <c r="F189" s="49" t="s">
        <v>1406</v>
      </c>
      <c r="H189" s="7">
        <v>284</v>
      </c>
      <c r="I189" s="49"/>
      <c r="J189" s="49" t="s">
        <v>1706</v>
      </c>
      <c r="K189" s="191"/>
      <c r="L189" s="7"/>
    </row>
    <row r="190" spans="1:12" ht="31.95" hidden="1" customHeight="1" thickBot="1" x14ac:dyDescent="0.35">
      <c r="A190" s="15"/>
      <c r="B190" s="26">
        <v>46021</v>
      </c>
      <c r="C190" s="211" t="str">
        <f t="shared" si="2"/>
        <v>RM 285.25</v>
      </c>
      <c r="D190" s="49">
        <v>1</v>
      </c>
      <c r="E190" s="49">
        <v>1</v>
      </c>
      <c r="F190" s="49" t="s">
        <v>1406</v>
      </c>
      <c r="H190" s="7">
        <v>285</v>
      </c>
      <c r="I190" s="49"/>
      <c r="J190" s="49" t="s">
        <v>1705</v>
      </c>
      <c r="K190" s="191"/>
      <c r="L190" s="7"/>
    </row>
    <row r="191" spans="1:12" ht="31.95" hidden="1" customHeight="1" thickBot="1" x14ac:dyDescent="0.35">
      <c r="A191" s="15"/>
      <c r="B191" s="26">
        <v>46027</v>
      </c>
      <c r="C191" s="211" t="str">
        <f t="shared" si="2"/>
        <v>RM 286.25</v>
      </c>
      <c r="D191" s="49">
        <v>4</v>
      </c>
      <c r="E191" s="49">
        <v>0</v>
      </c>
      <c r="F191" s="49" t="s">
        <v>1406</v>
      </c>
      <c r="H191" s="7">
        <v>286</v>
      </c>
      <c r="I191" s="49"/>
      <c r="J191" s="49" t="s">
        <v>1759</v>
      </c>
      <c r="K191" s="191"/>
      <c r="L191" s="7"/>
    </row>
    <row r="192" spans="1:12" ht="31.95" customHeight="1" thickBot="1" x14ac:dyDescent="0.35">
      <c r="A192" s="15"/>
      <c r="B192" s="26">
        <v>46027</v>
      </c>
      <c r="C192" s="211" t="str">
        <f>CONCATENATE("RM ",H192,".26")</f>
        <v>RM 287.26</v>
      </c>
      <c r="D192" s="49">
        <v>2</v>
      </c>
      <c r="E192" s="49">
        <v>0</v>
      </c>
      <c r="F192" s="49" t="s">
        <v>1407</v>
      </c>
      <c r="H192" s="7">
        <v>287</v>
      </c>
      <c r="I192" s="49"/>
      <c r="J192" s="49" t="s">
        <v>1767</v>
      </c>
      <c r="K192" s="191"/>
      <c r="L192" s="7"/>
    </row>
    <row r="193" spans="1:12" ht="31.95" hidden="1" customHeight="1" thickBot="1" x14ac:dyDescent="0.35">
      <c r="A193" s="15"/>
      <c r="B193" s="26">
        <v>46027</v>
      </c>
      <c r="C193" s="211" t="str">
        <f t="shared" si="2"/>
        <v>RM 288.25</v>
      </c>
      <c r="D193" s="49">
        <v>1</v>
      </c>
      <c r="E193" s="49">
        <v>1</v>
      </c>
      <c r="F193" s="49" t="s">
        <v>1406</v>
      </c>
      <c r="H193" s="7">
        <v>288</v>
      </c>
      <c r="I193" s="49"/>
      <c r="J193" s="49" t="s">
        <v>1706</v>
      </c>
      <c r="K193" s="191"/>
      <c r="L193" s="7"/>
    </row>
    <row r="194" spans="1:12" ht="31.95" hidden="1" customHeight="1" thickBot="1" x14ac:dyDescent="0.35">
      <c r="A194" s="15"/>
      <c r="B194" s="26">
        <v>46029</v>
      </c>
      <c r="C194" s="211" t="str">
        <f t="shared" si="2"/>
        <v>RM 289.25</v>
      </c>
      <c r="D194" s="49">
        <v>8</v>
      </c>
      <c r="E194" s="49">
        <v>7</v>
      </c>
      <c r="F194" s="49" t="s">
        <v>1406</v>
      </c>
      <c r="H194" s="7">
        <v>289</v>
      </c>
      <c r="I194" s="49"/>
      <c r="J194" s="49" t="s">
        <v>1731</v>
      </c>
      <c r="K194" s="191"/>
      <c r="L194" s="7"/>
    </row>
    <row r="195" spans="1:12" ht="31.95" hidden="1" customHeight="1" thickBot="1" x14ac:dyDescent="0.35">
      <c r="A195" s="15"/>
      <c r="B195" s="26">
        <v>46029</v>
      </c>
      <c r="C195" s="211" t="str">
        <f t="shared" si="2"/>
        <v>RM 290.25</v>
      </c>
      <c r="D195" s="49">
        <v>1</v>
      </c>
      <c r="E195" s="49">
        <v>0</v>
      </c>
      <c r="F195" s="49" t="s">
        <v>1406</v>
      </c>
      <c r="H195" s="7">
        <v>290</v>
      </c>
      <c r="I195" s="49"/>
      <c r="J195" s="49" t="s">
        <v>1319</v>
      </c>
      <c r="K195" s="191"/>
      <c r="L195" s="7"/>
    </row>
    <row r="196" spans="1:12" ht="31.95" hidden="1" customHeight="1" thickBot="1" x14ac:dyDescent="0.35">
      <c r="A196" s="15"/>
      <c r="B196" s="26">
        <v>46029</v>
      </c>
      <c r="C196" s="211" t="str">
        <f t="shared" si="2"/>
        <v>RM 291.25</v>
      </c>
      <c r="D196" s="49">
        <v>1</v>
      </c>
      <c r="E196" s="49">
        <v>1</v>
      </c>
      <c r="F196" s="49" t="s">
        <v>1406</v>
      </c>
      <c r="H196" s="7">
        <v>291</v>
      </c>
      <c r="I196" s="49"/>
      <c r="J196" s="49" t="s">
        <v>1319</v>
      </c>
      <c r="K196" s="191"/>
      <c r="L196" s="7"/>
    </row>
    <row r="197" spans="1:12" ht="31.95" hidden="1" customHeight="1" thickBot="1" x14ac:dyDescent="0.35">
      <c r="A197" s="15"/>
      <c r="B197" s="26">
        <v>46030</v>
      </c>
      <c r="C197" s="211" t="str">
        <f t="shared" si="2"/>
        <v>RM 292.25</v>
      </c>
      <c r="D197" s="49">
        <v>2</v>
      </c>
      <c r="E197" s="49">
        <v>2</v>
      </c>
      <c r="F197" s="49" t="s">
        <v>1406</v>
      </c>
      <c r="H197" s="7">
        <v>292</v>
      </c>
      <c r="I197" s="49"/>
      <c r="J197" s="49" t="s">
        <v>1319</v>
      </c>
      <c r="K197" s="191"/>
      <c r="L197" s="7"/>
    </row>
    <row r="198" spans="1:12" ht="31.95" customHeight="1" thickBot="1" x14ac:dyDescent="0.35">
      <c r="A198" s="15"/>
      <c r="B198" s="26">
        <v>46030</v>
      </c>
      <c r="C198" s="211" t="str">
        <f>CONCATENATE("RM ",H198,".26")</f>
        <v>RM 293.26</v>
      </c>
      <c r="D198" s="49">
        <v>1</v>
      </c>
      <c r="E198" s="49">
        <v>0</v>
      </c>
      <c r="F198" s="49" t="s">
        <v>1407</v>
      </c>
      <c r="H198" s="7">
        <v>293</v>
      </c>
      <c r="I198" s="49"/>
      <c r="J198" s="49" t="s">
        <v>1733</v>
      </c>
      <c r="K198" s="191"/>
      <c r="L198" s="7"/>
    </row>
    <row r="199" spans="1:12" ht="31.95" customHeight="1" thickBot="1" x14ac:dyDescent="0.35">
      <c r="A199" s="15"/>
      <c r="B199" s="26">
        <v>46030</v>
      </c>
      <c r="C199" s="211" t="str">
        <f>CONCATENATE("RM ",H199,".26")</f>
        <v>RM 294.26</v>
      </c>
      <c r="D199" s="49">
        <v>7</v>
      </c>
      <c r="E199" s="49">
        <v>5</v>
      </c>
      <c r="F199" s="49" t="s">
        <v>1407</v>
      </c>
      <c r="H199" s="7">
        <v>294</v>
      </c>
      <c r="I199" s="49" t="s">
        <v>1819</v>
      </c>
      <c r="J199" s="49" t="s">
        <v>1732</v>
      </c>
      <c r="K199" s="191"/>
      <c r="L199" s="7"/>
    </row>
    <row r="200" spans="1:12" ht="31.95" hidden="1" customHeight="1" thickBot="1" x14ac:dyDescent="0.35">
      <c r="A200" s="15"/>
      <c r="B200" s="26">
        <v>46030</v>
      </c>
      <c r="C200" s="211" t="str">
        <f>CONCATENATE("RM ",H200,".26")</f>
        <v>RM 295.26</v>
      </c>
      <c r="D200" s="49">
        <v>6</v>
      </c>
      <c r="E200" s="49">
        <v>0</v>
      </c>
      <c r="F200" s="49" t="s">
        <v>1406</v>
      </c>
      <c r="H200" s="7">
        <v>295</v>
      </c>
      <c r="I200" s="49"/>
      <c r="J200" s="49" t="s">
        <v>1319</v>
      </c>
      <c r="K200" s="191"/>
      <c r="L200" s="7"/>
    </row>
    <row r="201" spans="1:12" ht="31.95" hidden="1" customHeight="1" thickBot="1" x14ac:dyDescent="0.35">
      <c r="A201" s="15"/>
      <c r="B201" s="26">
        <v>46030</v>
      </c>
      <c r="C201" s="211" t="str">
        <f t="shared" ref="C201:C212" si="3">CONCATENATE("RM ",H201,".26")</f>
        <v>RM 296.26</v>
      </c>
      <c r="D201" s="49">
        <v>1</v>
      </c>
      <c r="E201" s="49">
        <v>1</v>
      </c>
      <c r="F201" s="49" t="s">
        <v>1406</v>
      </c>
      <c r="H201" s="7">
        <v>296</v>
      </c>
      <c r="I201" s="49" t="s">
        <v>1820</v>
      </c>
      <c r="J201" s="49" t="s">
        <v>1707</v>
      </c>
      <c r="K201" s="191"/>
      <c r="L201" s="7"/>
    </row>
    <row r="202" spans="1:12" ht="31.95" customHeight="1" thickBot="1" x14ac:dyDescent="0.35">
      <c r="A202" s="15"/>
      <c r="B202" s="26">
        <v>46031</v>
      </c>
      <c r="C202" s="211" t="str">
        <f t="shared" si="3"/>
        <v>RM 297.26</v>
      </c>
      <c r="D202" s="49">
        <v>6</v>
      </c>
      <c r="E202" s="49">
        <v>0</v>
      </c>
      <c r="F202" s="49" t="s">
        <v>1407</v>
      </c>
      <c r="H202" s="7">
        <v>297</v>
      </c>
      <c r="I202" s="49"/>
      <c r="J202" s="49" t="s">
        <v>1765</v>
      </c>
      <c r="K202" s="191"/>
      <c r="L202" s="7"/>
    </row>
    <row r="203" spans="1:12" ht="31.95" hidden="1" customHeight="1" thickBot="1" x14ac:dyDescent="0.35">
      <c r="A203" s="15"/>
      <c r="B203" s="26">
        <v>46034</v>
      </c>
      <c r="C203" s="211" t="str">
        <f t="shared" si="3"/>
        <v>RM 298.26</v>
      </c>
      <c r="D203" s="49">
        <v>5</v>
      </c>
      <c r="E203" s="49">
        <v>5</v>
      </c>
      <c r="F203" s="49" t="s">
        <v>1406</v>
      </c>
      <c r="H203" s="7">
        <v>298</v>
      </c>
      <c r="I203" s="49" t="s">
        <v>1821</v>
      </c>
      <c r="J203" s="49" t="s">
        <v>1319</v>
      </c>
      <c r="K203" s="191"/>
      <c r="L203" s="7"/>
    </row>
    <row r="204" spans="1:12" ht="31.95" hidden="1" customHeight="1" thickBot="1" x14ac:dyDescent="0.35">
      <c r="A204" s="15"/>
      <c r="B204" s="26">
        <v>46034</v>
      </c>
      <c r="C204" s="211" t="str">
        <f t="shared" si="3"/>
        <v>RM 299.26</v>
      </c>
      <c r="D204" s="49">
        <v>5</v>
      </c>
      <c r="E204" s="49">
        <v>5</v>
      </c>
      <c r="F204" s="49" t="s">
        <v>1406</v>
      </c>
      <c r="H204" s="7">
        <v>299</v>
      </c>
      <c r="I204" s="49" t="s">
        <v>1822</v>
      </c>
      <c r="J204" s="49" t="s">
        <v>1742</v>
      </c>
      <c r="K204" s="191"/>
      <c r="L204" s="7"/>
    </row>
    <row r="205" spans="1:12" ht="31.95" hidden="1" customHeight="1" thickBot="1" x14ac:dyDescent="0.35">
      <c r="A205" s="15"/>
      <c r="B205" s="26">
        <v>46034</v>
      </c>
      <c r="C205" s="211" t="str">
        <f t="shared" si="3"/>
        <v>RM 300.26</v>
      </c>
      <c r="D205" s="49">
        <v>3</v>
      </c>
      <c r="E205" s="49">
        <v>3</v>
      </c>
      <c r="F205" s="49" t="s">
        <v>1406</v>
      </c>
      <c r="H205" s="7">
        <v>300</v>
      </c>
      <c r="I205" s="49" t="s">
        <v>1823</v>
      </c>
      <c r="J205" s="49" t="s">
        <v>1744</v>
      </c>
      <c r="K205" s="191"/>
      <c r="L205" s="7"/>
    </row>
    <row r="206" spans="1:12" ht="31.95" hidden="1" customHeight="1" thickBot="1" x14ac:dyDescent="0.35">
      <c r="A206" s="15"/>
      <c r="B206" s="26">
        <v>46035</v>
      </c>
      <c r="C206" s="211" t="str">
        <f t="shared" si="3"/>
        <v>RM 301.26</v>
      </c>
      <c r="D206" s="49">
        <v>2</v>
      </c>
      <c r="E206" s="49">
        <v>2</v>
      </c>
      <c r="F206" s="49" t="s">
        <v>1406</v>
      </c>
      <c r="H206" s="7">
        <v>301</v>
      </c>
      <c r="I206" s="49" t="s">
        <v>1824</v>
      </c>
      <c r="J206" s="49" t="s">
        <v>1319</v>
      </c>
      <c r="K206" s="191"/>
      <c r="L206" s="7"/>
    </row>
    <row r="207" spans="1:12" ht="31.95" hidden="1" customHeight="1" thickBot="1" x14ac:dyDescent="0.35">
      <c r="A207" s="15"/>
      <c r="B207" s="26">
        <v>46035</v>
      </c>
      <c r="C207" s="211" t="str">
        <f t="shared" si="3"/>
        <v>RM 302.26</v>
      </c>
      <c r="D207" s="49">
        <v>1</v>
      </c>
      <c r="E207" s="49">
        <v>1</v>
      </c>
      <c r="F207" s="49" t="s">
        <v>1406</v>
      </c>
      <c r="H207" s="7">
        <v>302</v>
      </c>
      <c r="I207" s="49" t="s">
        <v>1825</v>
      </c>
      <c r="J207" s="49" t="s">
        <v>1766</v>
      </c>
      <c r="K207" s="191"/>
      <c r="L207" s="7"/>
    </row>
    <row r="208" spans="1:12" ht="31.95" customHeight="1" thickBot="1" x14ac:dyDescent="0.35">
      <c r="A208" s="15"/>
      <c r="B208" s="26">
        <v>46037</v>
      </c>
      <c r="C208" s="211" t="str">
        <f t="shared" si="3"/>
        <v>RM 303.26</v>
      </c>
      <c r="D208" s="49">
        <v>1</v>
      </c>
      <c r="E208" s="49">
        <v>0</v>
      </c>
      <c r="F208" s="49" t="s">
        <v>1407</v>
      </c>
      <c r="H208" s="7">
        <v>303</v>
      </c>
      <c r="I208" s="49"/>
      <c r="J208" s="49" t="s">
        <v>1319</v>
      </c>
      <c r="K208" s="191"/>
      <c r="L208" s="7"/>
    </row>
    <row r="209" spans="1:12" ht="31.95" hidden="1" customHeight="1" thickBot="1" x14ac:dyDescent="0.35">
      <c r="A209" s="15"/>
      <c r="B209" s="26">
        <v>46038</v>
      </c>
      <c r="C209" s="211" t="str">
        <f t="shared" si="3"/>
        <v>RM 304.26</v>
      </c>
      <c r="D209" s="49">
        <v>1</v>
      </c>
      <c r="E209" s="49">
        <v>1</v>
      </c>
      <c r="F209" s="49" t="s">
        <v>1406</v>
      </c>
      <c r="H209" s="7">
        <v>304</v>
      </c>
      <c r="I209" s="49" t="s">
        <v>1826</v>
      </c>
      <c r="J209" s="49" t="s">
        <v>1671</v>
      </c>
      <c r="K209" s="191"/>
      <c r="L209" s="7"/>
    </row>
    <row r="210" spans="1:12" ht="31.95" hidden="1" customHeight="1" thickBot="1" x14ac:dyDescent="0.35">
      <c r="A210" s="15"/>
      <c r="B210" s="26">
        <v>46038</v>
      </c>
      <c r="C210" s="211" t="str">
        <f t="shared" si="3"/>
        <v>RM 305.26</v>
      </c>
      <c r="D210" s="49">
        <v>2</v>
      </c>
      <c r="E210" s="49">
        <v>2</v>
      </c>
      <c r="F210" s="49" t="s">
        <v>1406</v>
      </c>
      <c r="H210" s="7">
        <v>305</v>
      </c>
      <c r="I210" s="49" t="s">
        <v>1828</v>
      </c>
      <c r="J210" s="49" t="s">
        <v>1763</v>
      </c>
      <c r="K210" s="191"/>
      <c r="L210" s="7"/>
    </row>
    <row r="211" spans="1:12" ht="31.95" hidden="1" customHeight="1" thickBot="1" x14ac:dyDescent="0.35">
      <c r="A211" s="15"/>
      <c r="B211" s="26">
        <v>46041</v>
      </c>
      <c r="C211" s="211" t="str">
        <f t="shared" si="3"/>
        <v>RM 306.26</v>
      </c>
      <c r="D211" s="49">
        <v>2</v>
      </c>
      <c r="E211" s="49">
        <v>2</v>
      </c>
      <c r="F211" s="49" t="s">
        <v>1406</v>
      </c>
      <c r="H211" s="7">
        <v>306</v>
      </c>
      <c r="I211" s="49" t="s">
        <v>1829</v>
      </c>
      <c r="J211" s="49" t="s">
        <v>1671</v>
      </c>
      <c r="K211" s="191"/>
      <c r="L211" s="7"/>
    </row>
    <row r="212" spans="1:12" ht="31.95" hidden="1" customHeight="1" thickBot="1" x14ac:dyDescent="0.35">
      <c r="A212" s="15"/>
      <c r="B212" s="26">
        <v>46045</v>
      </c>
      <c r="C212" s="211" t="str">
        <f t="shared" si="3"/>
        <v>RM 307.26</v>
      </c>
      <c r="D212" s="49">
        <v>12</v>
      </c>
      <c r="E212" s="49">
        <v>12</v>
      </c>
      <c r="F212" s="49" t="s">
        <v>1406</v>
      </c>
      <c r="H212" s="7">
        <v>307</v>
      </c>
      <c r="I212" s="49"/>
      <c r="J212" s="49" t="s">
        <v>1319</v>
      </c>
      <c r="K212" s="191"/>
      <c r="L212" s="7"/>
    </row>
    <row r="213" spans="1:12" ht="31.95" customHeight="1" thickBot="1" x14ac:dyDescent="0.35">
      <c r="A213" s="15"/>
      <c r="B213" s="26">
        <v>46045</v>
      </c>
      <c r="C213" s="211" t="str">
        <f t="shared" ref="C213:C276" si="4">CONCATENATE("RM ",H213,".26")</f>
        <v>RM 308.26</v>
      </c>
      <c r="D213" s="49">
        <v>7</v>
      </c>
      <c r="E213" s="49">
        <v>1</v>
      </c>
      <c r="F213" s="49" t="s">
        <v>1407</v>
      </c>
      <c r="H213" s="7">
        <v>308</v>
      </c>
      <c r="I213" s="49" t="s">
        <v>1837</v>
      </c>
      <c r="J213" s="49" t="s">
        <v>1319</v>
      </c>
      <c r="K213" s="191"/>
      <c r="L213" s="7"/>
    </row>
    <row r="214" spans="1:12" ht="31.95" customHeight="1" thickBot="1" x14ac:dyDescent="0.35">
      <c r="A214" s="15"/>
      <c r="B214" s="26">
        <v>46045</v>
      </c>
      <c r="C214" s="211" t="str">
        <f t="shared" si="4"/>
        <v>RM 309.26</v>
      </c>
      <c r="D214" s="49">
        <v>12</v>
      </c>
      <c r="E214" s="49">
        <v>10</v>
      </c>
      <c r="F214" s="49" t="s">
        <v>1407</v>
      </c>
      <c r="H214" s="7">
        <v>309</v>
      </c>
      <c r="I214" s="49" t="s">
        <v>1838</v>
      </c>
      <c r="J214" s="49" t="s">
        <v>1761</v>
      </c>
      <c r="K214" s="191"/>
      <c r="L214" s="7"/>
    </row>
    <row r="215" spans="1:12" ht="31.95" customHeight="1" thickBot="1" x14ac:dyDescent="0.35">
      <c r="A215" s="15"/>
      <c r="B215" s="26">
        <v>46045</v>
      </c>
      <c r="C215" s="211" t="str">
        <f t="shared" si="4"/>
        <v>RM 310.26</v>
      </c>
      <c r="D215" s="49">
        <v>15</v>
      </c>
      <c r="E215" s="49">
        <v>12</v>
      </c>
      <c r="F215" s="49" t="s">
        <v>1407</v>
      </c>
      <c r="H215" s="7">
        <v>310</v>
      </c>
      <c r="I215" s="49" t="s">
        <v>1830</v>
      </c>
      <c r="J215" s="49" t="s">
        <v>1762</v>
      </c>
      <c r="K215" s="191"/>
      <c r="L215" s="7"/>
    </row>
    <row r="216" spans="1:12" ht="31.95" hidden="1" customHeight="1" thickBot="1" x14ac:dyDescent="0.35">
      <c r="A216" s="15"/>
      <c r="B216" s="26">
        <v>46045</v>
      </c>
      <c r="C216" s="211" t="str">
        <f t="shared" si="4"/>
        <v>RM 311.26</v>
      </c>
      <c r="D216" s="49">
        <v>1</v>
      </c>
      <c r="E216" s="49">
        <v>1</v>
      </c>
      <c r="F216" s="49" t="s">
        <v>1406</v>
      </c>
      <c r="H216" s="7">
        <v>311</v>
      </c>
      <c r="I216" s="49" t="s">
        <v>1770</v>
      </c>
      <c r="J216" s="49" t="s">
        <v>1319</v>
      </c>
      <c r="K216" s="191"/>
      <c r="L216" s="7"/>
    </row>
    <row r="217" spans="1:12" ht="31.95" customHeight="1" thickBot="1" x14ac:dyDescent="0.35">
      <c r="A217" s="15"/>
      <c r="B217" s="26">
        <v>46045</v>
      </c>
      <c r="C217" s="211" t="str">
        <f t="shared" si="4"/>
        <v>RM 312.26</v>
      </c>
      <c r="D217" s="49">
        <v>12</v>
      </c>
      <c r="E217" s="49">
        <v>10</v>
      </c>
      <c r="F217" s="49" t="s">
        <v>1407</v>
      </c>
      <c r="H217" s="7">
        <v>312</v>
      </c>
      <c r="I217" s="49" t="s">
        <v>1839</v>
      </c>
      <c r="J217" s="49" t="s">
        <v>1764</v>
      </c>
      <c r="K217" s="191"/>
      <c r="L217" s="7"/>
    </row>
    <row r="218" spans="1:12" ht="31.95" customHeight="1" thickBot="1" x14ac:dyDescent="0.35">
      <c r="A218" s="15"/>
      <c r="B218" s="26">
        <v>46057</v>
      </c>
      <c r="C218" s="211" t="str">
        <f t="shared" si="4"/>
        <v>RM 313.26</v>
      </c>
      <c r="D218" s="49">
        <v>8</v>
      </c>
      <c r="E218" s="49">
        <v>3</v>
      </c>
      <c r="F218" s="49" t="s">
        <v>1407</v>
      </c>
      <c r="H218" s="7">
        <v>313</v>
      </c>
      <c r="I218" s="49" t="s">
        <v>1840</v>
      </c>
      <c r="J218" s="49" t="s">
        <v>1789</v>
      </c>
      <c r="K218" s="191"/>
      <c r="L218" s="7"/>
    </row>
    <row r="219" spans="1:12" ht="31.95" hidden="1" customHeight="1" thickBot="1" x14ac:dyDescent="0.35">
      <c r="A219" s="15"/>
      <c r="B219" s="26">
        <v>46057</v>
      </c>
      <c r="C219" s="211" t="str">
        <f t="shared" si="4"/>
        <v>RM 314.26</v>
      </c>
      <c r="D219" s="49">
        <v>16</v>
      </c>
      <c r="E219" s="49">
        <v>16</v>
      </c>
      <c r="F219" s="49" t="s">
        <v>1406</v>
      </c>
      <c r="H219" s="7">
        <v>314</v>
      </c>
      <c r="I219" s="49" t="s">
        <v>1841</v>
      </c>
      <c r="J219" s="49" t="s">
        <v>1319</v>
      </c>
      <c r="K219" s="191"/>
      <c r="L219" s="7"/>
    </row>
    <row r="220" spans="1:12" ht="31.95" hidden="1" customHeight="1" thickBot="1" x14ac:dyDescent="0.35">
      <c r="A220" s="15"/>
      <c r="B220" s="26">
        <v>46057</v>
      </c>
      <c r="C220" s="211" t="str">
        <f t="shared" si="4"/>
        <v>RM 315.26</v>
      </c>
      <c r="D220" s="49">
        <v>1</v>
      </c>
      <c r="E220" s="49">
        <v>1</v>
      </c>
      <c r="F220" s="49" t="s">
        <v>1406</v>
      </c>
      <c r="H220" s="7">
        <v>315</v>
      </c>
      <c r="I220" s="49" t="s">
        <v>1843</v>
      </c>
      <c r="J220" s="49" t="s">
        <v>1319</v>
      </c>
      <c r="K220" s="191"/>
      <c r="L220" s="7"/>
    </row>
    <row r="221" spans="1:12" ht="31.95" hidden="1" customHeight="1" thickBot="1" x14ac:dyDescent="0.35">
      <c r="A221" s="15"/>
      <c r="B221" s="26">
        <v>46057</v>
      </c>
      <c r="C221" s="211" t="str">
        <f t="shared" si="4"/>
        <v>RM 316.26</v>
      </c>
      <c r="D221" s="49">
        <v>5</v>
      </c>
      <c r="E221" s="49">
        <v>5</v>
      </c>
      <c r="F221" s="49" t="s">
        <v>1406</v>
      </c>
      <c r="H221" s="7">
        <v>316</v>
      </c>
      <c r="I221" s="49" t="s">
        <v>1842</v>
      </c>
      <c r="J221" s="49" t="s">
        <v>1742</v>
      </c>
      <c r="K221" s="191"/>
      <c r="L221" s="7"/>
    </row>
    <row r="222" spans="1:12" ht="31.95" customHeight="1" thickBot="1" x14ac:dyDescent="0.35">
      <c r="A222" s="15"/>
      <c r="B222" s="26">
        <v>46057</v>
      </c>
      <c r="C222" s="211" t="str">
        <f t="shared" si="4"/>
        <v>RM 317.26</v>
      </c>
      <c r="D222" s="49">
        <v>4</v>
      </c>
      <c r="E222" s="49">
        <v>2</v>
      </c>
      <c r="F222" s="49" t="s">
        <v>1407</v>
      </c>
      <c r="H222" s="7">
        <v>317</v>
      </c>
      <c r="I222" s="49" t="s">
        <v>1831</v>
      </c>
      <c r="J222" s="49" t="s">
        <v>1319</v>
      </c>
      <c r="K222" s="191"/>
      <c r="L222" s="7"/>
    </row>
    <row r="223" spans="1:12" ht="31.95" hidden="1" customHeight="1" thickBot="1" x14ac:dyDescent="0.35">
      <c r="A223" s="15"/>
      <c r="B223" s="26">
        <v>46057</v>
      </c>
      <c r="C223" s="211" t="str">
        <f t="shared" si="4"/>
        <v>RM 318.26</v>
      </c>
      <c r="D223" s="49">
        <v>1</v>
      </c>
      <c r="E223" s="49">
        <v>1</v>
      </c>
      <c r="F223" s="49" t="s">
        <v>1406</v>
      </c>
      <c r="H223" s="7">
        <v>318</v>
      </c>
      <c r="I223" s="49" t="s">
        <v>1832</v>
      </c>
      <c r="J223" s="49" t="s">
        <v>1319</v>
      </c>
      <c r="K223" s="191"/>
      <c r="L223" s="7"/>
    </row>
    <row r="224" spans="1:12" ht="31.95" hidden="1" customHeight="1" thickBot="1" x14ac:dyDescent="0.35">
      <c r="A224" s="15"/>
      <c r="B224" s="26">
        <v>46057</v>
      </c>
      <c r="C224" s="211" t="str">
        <f t="shared" si="4"/>
        <v>RM 319.26</v>
      </c>
      <c r="D224" s="49">
        <v>1</v>
      </c>
      <c r="E224" s="49">
        <v>1</v>
      </c>
      <c r="F224" s="49" t="s">
        <v>1406</v>
      </c>
      <c r="H224" s="7">
        <v>319</v>
      </c>
      <c r="I224" s="49" t="s">
        <v>1833</v>
      </c>
      <c r="J224" s="49" t="s">
        <v>1319</v>
      </c>
      <c r="K224" s="191"/>
      <c r="L224" s="7"/>
    </row>
    <row r="225" spans="1:12" ht="31.95" customHeight="1" thickBot="1" x14ac:dyDescent="0.35">
      <c r="A225" s="15"/>
      <c r="B225" s="26">
        <v>46057</v>
      </c>
      <c r="C225" s="211" t="str">
        <f t="shared" si="4"/>
        <v>RM 320.26</v>
      </c>
      <c r="D225" s="49">
        <v>3</v>
      </c>
      <c r="E225" s="49">
        <v>0</v>
      </c>
      <c r="F225" s="49" t="s">
        <v>1407</v>
      </c>
      <c r="H225" s="7">
        <v>320</v>
      </c>
      <c r="I225" s="49"/>
      <c r="J225" s="49" t="s">
        <v>1319</v>
      </c>
      <c r="K225" s="191"/>
      <c r="L225" s="7"/>
    </row>
    <row r="226" spans="1:12" ht="31.95" customHeight="1" thickBot="1" x14ac:dyDescent="0.35">
      <c r="A226" s="15"/>
      <c r="B226" s="26">
        <v>46057</v>
      </c>
      <c r="C226" s="211" t="str">
        <f t="shared" si="4"/>
        <v>RM 321.26</v>
      </c>
      <c r="D226" s="49">
        <v>1</v>
      </c>
      <c r="E226" s="49">
        <v>0</v>
      </c>
      <c r="F226" s="49" t="s">
        <v>1407</v>
      </c>
      <c r="H226" s="7">
        <v>321</v>
      </c>
      <c r="I226" s="49"/>
      <c r="J226" s="49" t="s">
        <v>1732</v>
      </c>
      <c r="K226" s="191"/>
      <c r="L226" s="7"/>
    </row>
    <row r="227" spans="1:12" ht="31.95" hidden="1" customHeight="1" thickBot="1" x14ac:dyDescent="0.35">
      <c r="A227" s="15"/>
      <c r="B227" s="26">
        <v>46057</v>
      </c>
      <c r="C227" s="211" t="str">
        <f t="shared" si="4"/>
        <v>RM 322.26</v>
      </c>
      <c r="D227" s="49">
        <v>2</v>
      </c>
      <c r="E227" s="49">
        <v>2</v>
      </c>
      <c r="F227" s="49" t="s">
        <v>1406</v>
      </c>
      <c r="H227" s="7">
        <v>322</v>
      </c>
      <c r="I227" s="49" t="s">
        <v>1834</v>
      </c>
      <c r="J227" s="49" t="s">
        <v>1789</v>
      </c>
      <c r="K227" s="191"/>
      <c r="L227" s="7"/>
    </row>
    <row r="228" spans="1:12" ht="31.95" hidden="1" customHeight="1" thickBot="1" x14ac:dyDescent="0.35">
      <c r="A228" s="15"/>
      <c r="B228" s="26">
        <v>46057</v>
      </c>
      <c r="C228" s="211" t="str">
        <f t="shared" si="4"/>
        <v>RM 323.26</v>
      </c>
      <c r="D228" s="49">
        <v>7</v>
      </c>
      <c r="E228" s="49">
        <v>5</v>
      </c>
      <c r="F228" s="49" t="s">
        <v>1406</v>
      </c>
      <c r="H228" s="7">
        <v>323</v>
      </c>
      <c r="I228" s="49" t="s">
        <v>1835</v>
      </c>
      <c r="J228" s="49" t="s">
        <v>1319</v>
      </c>
      <c r="K228" s="191"/>
      <c r="L228" s="7"/>
    </row>
    <row r="229" spans="1:12" ht="31.95" customHeight="1" thickBot="1" x14ac:dyDescent="0.35">
      <c r="A229" s="15"/>
      <c r="B229" s="26">
        <v>46057</v>
      </c>
      <c r="C229" s="211" t="str">
        <f t="shared" si="4"/>
        <v>RM 324.26</v>
      </c>
      <c r="D229" s="49">
        <v>2</v>
      </c>
      <c r="E229" s="49">
        <v>0</v>
      </c>
      <c r="F229" s="49" t="s">
        <v>1407</v>
      </c>
      <c r="H229" s="7">
        <v>324</v>
      </c>
      <c r="I229" s="49"/>
      <c r="J229" s="49" t="s">
        <v>1319</v>
      </c>
      <c r="K229" s="191"/>
      <c r="L229" s="7"/>
    </row>
    <row r="230" spans="1:12" ht="31.95" hidden="1" customHeight="1" thickBot="1" x14ac:dyDescent="0.35">
      <c r="A230" s="15"/>
      <c r="B230" s="26">
        <v>46057</v>
      </c>
      <c r="C230" s="211" t="str">
        <f t="shared" si="4"/>
        <v>RM 325.26</v>
      </c>
      <c r="D230" s="49">
        <v>1</v>
      </c>
      <c r="E230" s="49">
        <v>1</v>
      </c>
      <c r="F230" s="49" t="s">
        <v>1406</v>
      </c>
      <c r="H230" s="7">
        <v>325</v>
      </c>
      <c r="I230" s="49" t="s">
        <v>1836</v>
      </c>
      <c r="J230" s="49" t="s">
        <v>1319</v>
      </c>
      <c r="K230" s="191"/>
      <c r="L230" s="7"/>
    </row>
    <row r="231" spans="1:12" ht="31.95" customHeight="1" thickBot="1" x14ac:dyDescent="0.35">
      <c r="A231" s="15"/>
      <c r="B231" s="26">
        <v>46057</v>
      </c>
      <c r="C231" s="211" t="str">
        <f t="shared" si="4"/>
        <v>RM 326.26</v>
      </c>
      <c r="D231" s="49">
        <v>2</v>
      </c>
      <c r="E231" s="49">
        <v>1</v>
      </c>
      <c r="F231" s="49" t="s">
        <v>1407</v>
      </c>
      <c r="H231" s="7">
        <v>326</v>
      </c>
      <c r="I231" s="49" t="s">
        <v>1833</v>
      </c>
      <c r="J231" s="49" t="s">
        <v>1319</v>
      </c>
      <c r="K231" s="191"/>
      <c r="L231" s="7"/>
    </row>
    <row r="232" spans="1:12" ht="31.95" customHeight="1" thickBot="1" x14ac:dyDescent="0.35">
      <c r="A232" s="15"/>
      <c r="B232" s="26">
        <v>46057</v>
      </c>
      <c r="C232" s="211" t="str">
        <f t="shared" si="4"/>
        <v>RM 327.26</v>
      </c>
      <c r="D232" s="166">
        <v>2</v>
      </c>
      <c r="E232" s="166">
        <v>0</v>
      </c>
      <c r="F232" s="49" t="s">
        <v>1407</v>
      </c>
      <c r="H232" s="7">
        <v>327</v>
      </c>
      <c r="I232" s="49"/>
      <c r="J232" s="49" t="s">
        <v>1818</v>
      </c>
      <c r="K232" s="191"/>
      <c r="L232" s="7"/>
    </row>
    <row r="233" spans="1:12" ht="31.95" customHeight="1" thickBot="1" x14ac:dyDescent="0.35">
      <c r="A233" s="15"/>
      <c r="B233" s="26"/>
      <c r="C233" s="211" t="str">
        <f t="shared" si="4"/>
        <v>RM 328.26</v>
      </c>
      <c r="D233" s="49"/>
      <c r="E233" s="49"/>
      <c r="F233" s="49"/>
      <c r="H233" s="7">
        <v>328</v>
      </c>
      <c r="I233" s="49"/>
      <c r="J233" s="49"/>
      <c r="K233" s="191"/>
      <c r="L233" s="7"/>
    </row>
    <row r="234" spans="1:12" ht="31.95" customHeight="1" thickBot="1" x14ac:dyDescent="0.35">
      <c r="A234" s="15"/>
      <c r="B234" s="26"/>
      <c r="C234" s="211" t="str">
        <f t="shared" si="4"/>
        <v>RM 329.26</v>
      </c>
      <c r="D234" s="49"/>
      <c r="E234" s="49"/>
      <c r="F234" s="49"/>
      <c r="H234" s="7">
        <v>329</v>
      </c>
      <c r="I234" s="49"/>
      <c r="J234" s="49"/>
      <c r="K234" s="191"/>
      <c r="L234" s="7"/>
    </row>
    <row r="235" spans="1:12" ht="31.95" customHeight="1" thickBot="1" x14ac:dyDescent="0.35">
      <c r="A235" s="15"/>
      <c r="B235" s="26"/>
      <c r="C235" s="211" t="str">
        <f t="shared" si="4"/>
        <v>RM 330.26</v>
      </c>
      <c r="D235" s="49"/>
      <c r="E235" s="49"/>
      <c r="F235" s="49"/>
      <c r="H235" s="7">
        <v>330</v>
      </c>
      <c r="I235" s="49"/>
      <c r="J235" s="49"/>
      <c r="K235" s="191"/>
      <c r="L235" s="7"/>
    </row>
    <row r="236" spans="1:12" ht="31.95" customHeight="1" thickBot="1" x14ac:dyDescent="0.35">
      <c r="A236" s="15"/>
      <c r="B236" s="26"/>
      <c r="C236" s="211" t="str">
        <f t="shared" si="4"/>
        <v>RM 331.26</v>
      </c>
      <c r="D236" s="49"/>
      <c r="E236" s="49"/>
      <c r="F236" s="49"/>
      <c r="H236" s="7">
        <v>331</v>
      </c>
      <c r="I236" s="49"/>
      <c r="J236" s="49"/>
      <c r="K236" s="191"/>
      <c r="L236" s="7"/>
    </row>
    <row r="237" spans="1:12" ht="31.95" customHeight="1" thickBot="1" x14ac:dyDescent="0.35">
      <c r="A237" s="15"/>
      <c r="B237" s="26"/>
      <c r="C237" s="211" t="str">
        <f t="shared" si="4"/>
        <v>RM 332.26</v>
      </c>
      <c r="D237" s="49"/>
      <c r="E237" s="49"/>
      <c r="F237" s="49"/>
      <c r="H237" s="7">
        <v>332</v>
      </c>
      <c r="I237" s="49"/>
      <c r="J237" s="49"/>
      <c r="K237" s="191"/>
      <c r="L237" s="7"/>
    </row>
    <row r="238" spans="1:12" ht="31.95" customHeight="1" thickBot="1" x14ac:dyDescent="0.35">
      <c r="A238" s="15"/>
      <c r="B238" s="26"/>
      <c r="C238" s="211" t="str">
        <f t="shared" si="4"/>
        <v>RM 333.26</v>
      </c>
      <c r="D238" s="49"/>
      <c r="E238" s="49"/>
      <c r="F238" s="49"/>
      <c r="H238" s="7">
        <v>333</v>
      </c>
      <c r="I238" s="49"/>
      <c r="J238" s="49"/>
      <c r="K238" s="191"/>
      <c r="L238" s="7"/>
    </row>
    <row r="239" spans="1:12" ht="31.95" customHeight="1" thickBot="1" x14ac:dyDescent="0.35">
      <c r="A239" s="15"/>
      <c r="B239" s="26"/>
      <c r="C239" s="211" t="str">
        <f t="shared" si="4"/>
        <v>RM 334.26</v>
      </c>
      <c r="D239" s="49"/>
      <c r="E239" s="49"/>
      <c r="F239" s="49"/>
      <c r="H239" s="7">
        <v>334</v>
      </c>
      <c r="I239" s="49"/>
      <c r="J239" s="49"/>
      <c r="K239" s="191"/>
      <c r="L239" s="7"/>
    </row>
    <row r="240" spans="1:12" ht="31.95" customHeight="1" thickBot="1" x14ac:dyDescent="0.35">
      <c r="A240" s="15"/>
      <c r="B240" s="26"/>
      <c r="C240" s="211" t="str">
        <f t="shared" si="4"/>
        <v>RM 335.26</v>
      </c>
      <c r="D240" s="49"/>
      <c r="E240" s="49"/>
      <c r="F240" s="49"/>
      <c r="H240" s="7">
        <v>335</v>
      </c>
      <c r="I240" s="49"/>
      <c r="J240" s="49"/>
      <c r="K240" s="191"/>
      <c r="L240" s="7"/>
    </row>
    <row r="241" spans="1:12" ht="31.95" customHeight="1" thickBot="1" x14ac:dyDescent="0.35">
      <c r="A241" s="15"/>
      <c r="B241" s="26"/>
      <c r="C241" s="211" t="str">
        <f t="shared" si="4"/>
        <v>RM 336.26</v>
      </c>
      <c r="D241" s="49"/>
      <c r="E241" s="49"/>
      <c r="F241" s="49"/>
      <c r="H241" s="7">
        <v>336</v>
      </c>
      <c r="I241" s="49"/>
      <c r="J241" s="49"/>
      <c r="K241" s="191"/>
      <c r="L241" s="7"/>
    </row>
    <row r="242" spans="1:12" ht="31.95" customHeight="1" thickBot="1" x14ac:dyDescent="0.35">
      <c r="A242" s="15"/>
      <c r="B242" s="26"/>
      <c r="C242" s="211" t="str">
        <f t="shared" si="4"/>
        <v>RM 337.26</v>
      </c>
      <c r="D242" s="49"/>
      <c r="E242" s="49"/>
      <c r="F242" s="49"/>
      <c r="H242" s="7">
        <v>337</v>
      </c>
      <c r="I242" s="49"/>
      <c r="J242" s="49"/>
      <c r="K242" s="191"/>
      <c r="L242" s="7"/>
    </row>
    <row r="243" spans="1:12" ht="31.95" customHeight="1" thickBot="1" x14ac:dyDescent="0.35">
      <c r="A243" s="15"/>
      <c r="B243" s="26"/>
      <c r="C243" s="211" t="str">
        <f t="shared" si="4"/>
        <v>RM 338.26</v>
      </c>
      <c r="D243" s="49"/>
      <c r="E243" s="49"/>
      <c r="F243" s="49"/>
      <c r="H243" s="7">
        <v>338</v>
      </c>
      <c r="I243" s="49"/>
      <c r="J243" s="49"/>
      <c r="K243" s="191"/>
      <c r="L243" s="7"/>
    </row>
    <row r="244" spans="1:12" ht="31.95" customHeight="1" thickBot="1" x14ac:dyDescent="0.35">
      <c r="A244" s="15"/>
      <c r="B244" s="26"/>
      <c r="C244" s="211" t="str">
        <f t="shared" si="4"/>
        <v>RM 339.26</v>
      </c>
      <c r="D244" s="49"/>
      <c r="E244" s="49"/>
      <c r="F244" s="49"/>
      <c r="H244" s="7">
        <v>339</v>
      </c>
      <c r="I244" s="49"/>
      <c r="J244" s="49"/>
      <c r="K244" s="191"/>
      <c r="L244" s="7"/>
    </row>
    <row r="245" spans="1:12" ht="31.95" customHeight="1" thickBot="1" x14ac:dyDescent="0.35">
      <c r="A245" s="15"/>
      <c r="B245" s="26"/>
      <c r="C245" s="211" t="str">
        <f t="shared" si="4"/>
        <v>RM 340.26</v>
      </c>
      <c r="D245" s="49"/>
      <c r="E245" s="49"/>
      <c r="F245" s="49"/>
      <c r="H245" s="7">
        <v>340</v>
      </c>
      <c r="I245" s="49"/>
      <c r="J245" s="49"/>
      <c r="K245" s="191"/>
      <c r="L245" s="7"/>
    </row>
    <row r="246" spans="1:12" ht="31.95" customHeight="1" thickBot="1" x14ac:dyDescent="0.35">
      <c r="A246" s="15"/>
      <c r="B246" s="26"/>
      <c r="C246" s="211" t="str">
        <f t="shared" si="4"/>
        <v>RM 341.26</v>
      </c>
      <c r="D246" s="49"/>
      <c r="E246" s="49"/>
      <c r="F246" s="49"/>
      <c r="H246" s="7">
        <v>341</v>
      </c>
      <c r="I246" s="49"/>
      <c r="J246" s="49"/>
      <c r="K246" s="191"/>
      <c r="L246" s="7"/>
    </row>
    <row r="247" spans="1:12" ht="31.95" customHeight="1" thickBot="1" x14ac:dyDescent="0.35">
      <c r="A247" s="15"/>
      <c r="B247" s="26"/>
      <c r="C247" s="211" t="str">
        <f t="shared" si="4"/>
        <v>RM 342.26</v>
      </c>
      <c r="D247" s="49"/>
      <c r="E247" s="49"/>
      <c r="F247" s="49"/>
      <c r="H247" s="7">
        <v>342</v>
      </c>
      <c r="I247" s="49"/>
      <c r="J247" s="49"/>
      <c r="K247" s="191"/>
      <c r="L247" s="7"/>
    </row>
    <row r="248" spans="1:12" ht="31.95" customHeight="1" thickBot="1" x14ac:dyDescent="0.35">
      <c r="A248" s="15"/>
      <c r="B248" s="26"/>
      <c r="C248" s="211" t="str">
        <f t="shared" si="4"/>
        <v>RM 343.26</v>
      </c>
      <c r="D248" s="49"/>
      <c r="E248" s="49"/>
      <c r="F248" s="49"/>
      <c r="H248" s="7">
        <v>343</v>
      </c>
      <c r="I248" s="49"/>
      <c r="J248" s="49"/>
      <c r="K248" s="191"/>
      <c r="L248" s="7"/>
    </row>
    <row r="249" spans="1:12" ht="31.95" customHeight="1" thickBot="1" x14ac:dyDescent="0.35">
      <c r="A249" s="15"/>
      <c r="B249" s="26"/>
      <c r="C249" s="211" t="str">
        <f t="shared" si="4"/>
        <v>RM 344.26</v>
      </c>
      <c r="D249" s="49"/>
      <c r="E249" s="49"/>
      <c r="F249" s="49"/>
      <c r="H249" s="7">
        <v>344</v>
      </c>
      <c r="I249" s="49"/>
      <c r="J249" s="49"/>
      <c r="K249" s="191"/>
      <c r="L249" s="7"/>
    </row>
    <row r="250" spans="1:12" ht="31.95" customHeight="1" thickBot="1" x14ac:dyDescent="0.35">
      <c r="A250" s="15"/>
      <c r="B250" s="26"/>
      <c r="C250" s="211" t="str">
        <f t="shared" si="4"/>
        <v>RM 345.26</v>
      </c>
      <c r="D250" s="49"/>
      <c r="E250" s="49"/>
      <c r="F250" s="49"/>
      <c r="H250" s="7">
        <v>345</v>
      </c>
      <c r="I250" s="49"/>
      <c r="J250" s="49"/>
      <c r="K250" s="191"/>
      <c r="L250" s="7"/>
    </row>
    <row r="251" spans="1:12" ht="31.95" customHeight="1" thickBot="1" x14ac:dyDescent="0.35">
      <c r="A251" s="15"/>
      <c r="B251" s="26"/>
      <c r="C251" s="211" t="str">
        <f t="shared" si="4"/>
        <v>RM 346.26</v>
      </c>
      <c r="D251" s="49"/>
      <c r="E251" s="49"/>
      <c r="F251" s="49"/>
      <c r="H251" s="7">
        <v>346</v>
      </c>
      <c r="I251" s="49"/>
      <c r="J251" s="49"/>
      <c r="K251" s="191"/>
      <c r="L251" s="7"/>
    </row>
    <row r="252" spans="1:12" ht="31.95" customHeight="1" thickBot="1" x14ac:dyDescent="0.35">
      <c r="A252" s="15"/>
      <c r="B252" s="26"/>
      <c r="C252" s="211" t="str">
        <f t="shared" si="4"/>
        <v>RM 347.26</v>
      </c>
      <c r="D252" s="49"/>
      <c r="E252" s="49"/>
      <c r="F252" s="49"/>
      <c r="H252" s="7">
        <v>347</v>
      </c>
      <c r="I252" s="49"/>
      <c r="J252" s="49"/>
      <c r="K252" s="191"/>
      <c r="L252" s="7"/>
    </row>
    <row r="253" spans="1:12" ht="31.95" customHeight="1" thickBot="1" x14ac:dyDescent="0.35">
      <c r="A253" s="15"/>
      <c r="B253" s="26"/>
      <c r="C253" s="211" t="str">
        <f t="shared" si="4"/>
        <v>RM 348.26</v>
      </c>
      <c r="D253" s="49"/>
      <c r="E253" s="49"/>
      <c r="F253" s="49"/>
      <c r="H253" s="7">
        <v>348</v>
      </c>
      <c r="I253" s="49"/>
      <c r="J253" s="49"/>
      <c r="K253" s="191"/>
      <c r="L253" s="7"/>
    </row>
    <row r="254" spans="1:12" ht="31.95" customHeight="1" thickBot="1" x14ac:dyDescent="0.35">
      <c r="A254" s="15"/>
      <c r="B254" s="26"/>
      <c r="C254" s="211" t="str">
        <f t="shared" si="4"/>
        <v>RM 349.26</v>
      </c>
      <c r="D254" s="49"/>
      <c r="E254" s="49"/>
      <c r="F254" s="49"/>
      <c r="H254" s="7">
        <v>349</v>
      </c>
      <c r="I254" s="49"/>
      <c r="J254" s="49"/>
      <c r="K254" s="191"/>
      <c r="L254" s="7"/>
    </row>
    <row r="255" spans="1:12" ht="31.95" customHeight="1" thickBot="1" x14ac:dyDescent="0.35">
      <c r="A255" s="15"/>
      <c r="B255" s="26"/>
      <c r="C255" s="211" t="str">
        <f t="shared" si="4"/>
        <v>RM 350.26</v>
      </c>
      <c r="D255" s="49"/>
      <c r="E255" s="49"/>
      <c r="F255" s="49"/>
      <c r="H255" s="7">
        <v>350</v>
      </c>
      <c r="I255" s="49"/>
      <c r="J255" s="49"/>
      <c r="K255" s="191"/>
      <c r="L255" s="7"/>
    </row>
    <row r="256" spans="1:12" ht="31.95" customHeight="1" thickBot="1" x14ac:dyDescent="0.35">
      <c r="A256" s="15"/>
      <c r="B256" s="26"/>
      <c r="C256" s="211" t="str">
        <f t="shared" si="4"/>
        <v>RM 351.26</v>
      </c>
      <c r="D256" s="49"/>
      <c r="E256" s="49"/>
      <c r="F256" s="49"/>
      <c r="H256" s="7">
        <v>351</v>
      </c>
      <c r="I256" s="49"/>
      <c r="J256" s="49"/>
      <c r="K256" s="191"/>
      <c r="L256" s="7"/>
    </row>
    <row r="257" spans="1:12" ht="31.95" customHeight="1" thickBot="1" x14ac:dyDescent="0.35">
      <c r="A257" s="15"/>
      <c r="B257" s="26"/>
      <c r="C257" s="211" t="str">
        <f t="shared" si="4"/>
        <v>RM 352.26</v>
      </c>
      <c r="D257" s="49"/>
      <c r="E257" s="49"/>
      <c r="F257" s="49"/>
      <c r="H257" s="7">
        <v>352</v>
      </c>
      <c r="I257" s="49"/>
      <c r="J257" s="49"/>
      <c r="K257" s="191"/>
      <c r="L257" s="7"/>
    </row>
    <row r="258" spans="1:12" ht="31.95" customHeight="1" thickBot="1" x14ac:dyDescent="0.35">
      <c r="A258" s="15"/>
      <c r="B258" s="26"/>
      <c r="C258" s="211" t="str">
        <f t="shared" si="4"/>
        <v>RM 353.26</v>
      </c>
      <c r="D258" s="49"/>
      <c r="E258" s="49"/>
      <c r="F258" s="49"/>
      <c r="H258" s="7">
        <v>353</v>
      </c>
      <c r="I258" s="49"/>
      <c r="J258" s="49"/>
      <c r="K258" s="191"/>
      <c r="L258" s="7"/>
    </row>
    <row r="259" spans="1:12" ht="31.95" customHeight="1" thickBot="1" x14ac:dyDescent="0.35">
      <c r="A259" s="15"/>
      <c r="B259" s="26"/>
      <c r="C259" s="211" t="str">
        <f t="shared" si="4"/>
        <v>RM 354.26</v>
      </c>
      <c r="D259" s="49"/>
      <c r="E259" s="49"/>
      <c r="F259" s="49"/>
      <c r="H259" s="7">
        <v>354</v>
      </c>
      <c r="I259" s="49"/>
      <c r="J259" s="49"/>
      <c r="K259" s="191"/>
      <c r="L259" s="7"/>
    </row>
    <row r="260" spans="1:12" ht="31.95" customHeight="1" thickBot="1" x14ac:dyDescent="0.35">
      <c r="A260" s="15"/>
      <c r="B260" s="26"/>
      <c r="C260" s="211" t="str">
        <f t="shared" si="4"/>
        <v>RM 355.26</v>
      </c>
      <c r="D260" s="49"/>
      <c r="E260" s="49"/>
      <c r="F260" s="49"/>
      <c r="H260" s="7">
        <v>355</v>
      </c>
      <c r="I260" s="49"/>
      <c r="J260" s="49"/>
      <c r="K260" s="191"/>
      <c r="L260" s="7"/>
    </row>
    <row r="261" spans="1:12" ht="31.95" customHeight="1" thickBot="1" x14ac:dyDescent="0.35">
      <c r="A261" s="15"/>
      <c r="B261" s="26"/>
      <c r="C261" s="211" t="str">
        <f t="shared" si="4"/>
        <v>RM 356.26</v>
      </c>
      <c r="D261" s="49"/>
      <c r="E261" s="49"/>
      <c r="F261" s="49"/>
      <c r="H261" s="7">
        <v>356</v>
      </c>
      <c r="I261" s="49"/>
      <c r="J261" s="49"/>
      <c r="K261" s="191"/>
      <c r="L261" s="7"/>
    </row>
    <row r="262" spans="1:12" ht="31.95" customHeight="1" thickBot="1" x14ac:dyDescent="0.35">
      <c r="A262" s="15"/>
      <c r="B262" s="26"/>
      <c r="C262" s="211" t="str">
        <f t="shared" si="4"/>
        <v>RM 357.26</v>
      </c>
      <c r="D262" s="49"/>
      <c r="E262" s="49"/>
      <c r="F262" s="49"/>
      <c r="H262" s="7">
        <v>357</v>
      </c>
      <c r="I262" s="49"/>
      <c r="J262" s="49"/>
      <c r="K262" s="191"/>
      <c r="L262" s="7"/>
    </row>
    <row r="263" spans="1:12" ht="31.95" customHeight="1" thickBot="1" x14ac:dyDescent="0.35">
      <c r="A263" s="15"/>
      <c r="B263" s="26"/>
      <c r="C263" s="211" t="str">
        <f t="shared" si="4"/>
        <v>RM 358.26</v>
      </c>
      <c r="D263" s="49"/>
      <c r="E263" s="49"/>
      <c r="F263" s="49"/>
      <c r="H263" s="7">
        <v>358</v>
      </c>
      <c r="I263" s="49"/>
      <c r="J263" s="49"/>
      <c r="K263" s="191"/>
      <c r="L263" s="7"/>
    </row>
    <row r="264" spans="1:12" ht="31.95" customHeight="1" thickBot="1" x14ac:dyDescent="0.35">
      <c r="A264" s="15"/>
      <c r="B264" s="26"/>
      <c r="C264" s="211" t="str">
        <f t="shared" si="4"/>
        <v>RM 359.26</v>
      </c>
      <c r="D264" s="49"/>
      <c r="E264" s="49"/>
      <c r="F264" s="49"/>
      <c r="H264" s="7">
        <v>359</v>
      </c>
      <c r="I264" s="49"/>
      <c r="J264" s="49"/>
      <c r="K264" s="191"/>
      <c r="L264" s="7"/>
    </row>
    <row r="265" spans="1:12" ht="31.95" customHeight="1" thickBot="1" x14ac:dyDescent="0.35">
      <c r="A265" s="15"/>
      <c r="B265" s="26"/>
      <c r="C265" s="211" t="str">
        <f t="shared" si="4"/>
        <v>RM 360.26</v>
      </c>
      <c r="D265" s="49"/>
      <c r="E265" s="49"/>
      <c r="F265" s="49"/>
      <c r="H265" s="7">
        <v>360</v>
      </c>
      <c r="I265" s="49"/>
      <c r="J265" s="49"/>
      <c r="K265" s="191"/>
      <c r="L265" s="7"/>
    </row>
    <row r="266" spans="1:12" ht="31.95" customHeight="1" thickBot="1" x14ac:dyDescent="0.35">
      <c r="A266" s="15"/>
      <c r="B266" s="26"/>
      <c r="C266" s="211" t="str">
        <f t="shared" si="4"/>
        <v>RM 361.26</v>
      </c>
      <c r="D266" s="49"/>
      <c r="E266" s="49"/>
      <c r="F266" s="49"/>
      <c r="H266" s="7">
        <v>361</v>
      </c>
      <c r="I266" s="49"/>
      <c r="J266" s="49"/>
      <c r="K266" s="191"/>
      <c r="L266" s="7"/>
    </row>
    <row r="267" spans="1:12" ht="31.95" customHeight="1" thickBot="1" x14ac:dyDescent="0.35">
      <c r="A267" s="15"/>
      <c r="B267" s="26"/>
      <c r="C267" s="211" t="str">
        <f t="shared" si="4"/>
        <v>RM 362.26</v>
      </c>
      <c r="D267" s="49"/>
      <c r="E267" s="49"/>
      <c r="F267" s="49"/>
      <c r="H267" s="7">
        <v>362</v>
      </c>
      <c r="I267" s="49"/>
      <c r="J267" s="49"/>
      <c r="K267" s="191"/>
      <c r="L267" s="7"/>
    </row>
    <row r="268" spans="1:12" ht="31.95" customHeight="1" thickBot="1" x14ac:dyDescent="0.35">
      <c r="A268" s="15"/>
      <c r="B268" s="26"/>
      <c r="C268" s="211" t="str">
        <f t="shared" si="4"/>
        <v>RM 363.26</v>
      </c>
      <c r="D268" s="49"/>
      <c r="E268" s="49"/>
      <c r="F268" s="49"/>
      <c r="H268" s="7">
        <v>363</v>
      </c>
      <c r="I268" s="49"/>
      <c r="J268" s="49"/>
      <c r="K268" s="191"/>
      <c r="L268" s="7"/>
    </row>
    <row r="269" spans="1:12" ht="31.95" customHeight="1" thickBot="1" x14ac:dyDescent="0.35">
      <c r="A269" s="15"/>
      <c r="B269" s="26"/>
      <c r="C269" s="211" t="str">
        <f t="shared" si="4"/>
        <v>RM 364.26</v>
      </c>
      <c r="D269" s="49"/>
      <c r="E269" s="49"/>
      <c r="F269" s="49"/>
      <c r="H269" s="7">
        <v>364</v>
      </c>
      <c r="I269" s="49"/>
      <c r="J269" s="49"/>
      <c r="K269" s="191"/>
      <c r="L269" s="7"/>
    </row>
    <row r="270" spans="1:12" ht="31.95" customHeight="1" thickBot="1" x14ac:dyDescent="0.35">
      <c r="A270" s="15"/>
      <c r="B270" s="26"/>
      <c r="C270" s="211" t="str">
        <f t="shared" si="4"/>
        <v>RM 365.26</v>
      </c>
      <c r="D270" s="49"/>
      <c r="E270" s="49"/>
      <c r="F270" s="49"/>
      <c r="H270" s="7">
        <v>365</v>
      </c>
      <c r="I270" s="49"/>
      <c r="J270" s="49"/>
      <c r="K270" s="191"/>
      <c r="L270" s="7"/>
    </row>
    <row r="271" spans="1:12" ht="31.95" customHeight="1" thickBot="1" x14ac:dyDescent="0.35">
      <c r="A271" s="15"/>
      <c r="B271" s="26"/>
      <c r="C271" s="211" t="str">
        <f t="shared" si="4"/>
        <v>RM 366.26</v>
      </c>
      <c r="D271" s="49"/>
      <c r="E271" s="49"/>
      <c r="F271" s="49"/>
      <c r="H271" s="7">
        <v>366</v>
      </c>
      <c r="I271" s="49"/>
      <c r="J271" s="49"/>
      <c r="K271" s="191"/>
      <c r="L271" s="7"/>
    </row>
    <row r="272" spans="1:12" ht="31.95" customHeight="1" thickBot="1" x14ac:dyDescent="0.35">
      <c r="A272" s="15"/>
      <c r="B272" s="26"/>
      <c r="C272" s="211" t="str">
        <f t="shared" si="4"/>
        <v>RM 367.26</v>
      </c>
      <c r="D272" s="49"/>
      <c r="E272" s="49"/>
      <c r="F272" s="49"/>
      <c r="H272" s="7">
        <v>367</v>
      </c>
      <c r="I272" s="49"/>
      <c r="J272" s="49"/>
      <c r="K272" s="191"/>
      <c r="L272" s="7"/>
    </row>
    <row r="273" spans="1:12" ht="31.95" customHeight="1" thickBot="1" x14ac:dyDescent="0.35">
      <c r="A273" s="15"/>
      <c r="B273" s="26"/>
      <c r="C273" s="211" t="str">
        <f t="shared" si="4"/>
        <v>RM 368.26</v>
      </c>
      <c r="D273" s="49"/>
      <c r="E273" s="49"/>
      <c r="F273" s="49"/>
      <c r="H273" s="7">
        <v>368</v>
      </c>
      <c r="I273" s="49"/>
      <c r="J273" s="49"/>
      <c r="K273" s="191"/>
      <c r="L273" s="7"/>
    </row>
    <row r="274" spans="1:12" ht="31.95" customHeight="1" thickBot="1" x14ac:dyDescent="0.35">
      <c r="A274" s="15"/>
      <c r="B274" s="26"/>
      <c r="C274" s="211" t="str">
        <f t="shared" si="4"/>
        <v>RM 369.26</v>
      </c>
      <c r="D274" s="49"/>
      <c r="E274" s="49"/>
      <c r="F274" s="49"/>
      <c r="H274" s="7">
        <v>369</v>
      </c>
      <c r="I274" s="49"/>
      <c r="J274" s="49"/>
      <c r="K274" s="191"/>
      <c r="L274" s="7"/>
    </row>
    <row r="275" spans="1:12" ht="31.95" customHeight="1" thickBot="1" x14ac:dyDescent="0.35">
      <c r="A275" s="15"/>
      <c r="B275" s="26"/>
      <c r="C275" s="211" t="str">
        <f t="shared" si="4"/>
        <v>RM 370.26</v>
      </c>
      <c r="D275" s="49"/>
      <c r="E275" s="49"/>
      <c r="F275" s="49"/>
      <c r="H275" s="7">
        <v>370</v>
      </c>
      <c r="I275" s="49"/>
      <c r="J275" s="49"/>
      <c r="K275" s="191"/>
      <c r="L275" s="7"/>
    </row>
    <row r="276" spans="1:12" ht="31.95" customHeight="1" thickBot="1" x14ac:dyDescent="0.35">
      <c r="A276" s="15"/>
      <c r="B276" s="26"/>
      <c r="C276" s="211" t="str">
        <f t="shared" si="4"/>
        <v>RM 371.26</v>
      </c>
      <c r="D276" s="49"/>
      <c r="E276" s="49"/>
      <c r="F276" s="49"/>
      <c r="H276" s="7">
        <v>371</v>
      </c>
      <c r="I276" s="49"/>
      <c r="J276" s="49"/>
      <c r="K276" s="191"/>
      <c r="L276" s="7"/>
    </row>
    <row r="277" spans="1:12" ht="31.95" customHeight="1" thickBot="1" x14ac:dyDescent="0.35">
      <c r="A277" s="15"/>
      <c r="B277" s="26"/>
      <c r="C277" s="211" t="str">
        <f t="shared" ref="C277:C305" si="5">CONCATENATE("RM ",H277,".26")</f>
        <v>RM 372.26</v>
      </c>
      <c r="D277" s="49"/>
      <c r="E277" s="49"/>
      <c r="F277" s="49"/>
      <c r="H277" s="7">
        <v>372</v>
      </c>
      <c r="I277" s="49"/>
      <c r="J277" s="49"/>
      <c r="K277" s="191"/>
      <c r="L277" s="7"/>
    </row>
    <row r="278" spans="1:12" ht="31.95" customHeight="1" thickBot="1" x14ac:dyDescent="0.35">
      <c r="A278" s="15"/>
      <c r="B278" s="26"/>
      <c r="C278" s="211" t="str">
        <f t="shared" si="5"/>
        <v>RM 373.26</v>
      </c>
      <c r="D278" s="49"/>
      <c r="E278" s="49"/>
      <c r="F278" s="49"/>
      <c r="H278" s="7">
        <v>373</v>
      </c>
      <c r="I278" s="49"/>
      <c r="J278" s="49"/>
      <c r="K278" s="191"/>
      <c r="L278" s="7"/>
    </row>
    <row r="279" spans="1:12" ht="31.95" customHeight="1" thickBot="1" x14ac:dyDescent="0.35">
      <c r="A279" s="15"/>
      <c r="B279" s="26"/>
      <c r="C279" s="211" t="str">
        <f t="shared" si="5"/>
        <v>RM 374.26</v>
      </c>
      <c r="D279" s="49"/>
      <c r="E279" s="49"/>
      <c r="F279" s="49"/>
      <c r="H279" s="7">
        <v>374</v>
      </c>
      <c r="I279" s="49"/>
      <c r="J279" s="49"/>
      <c r="K279" s="191"/>
      <c r="L279" s="7"/>
    </row>
    <row r="280" spans="1:12" ht="31.95" customHeight="1" thickBot="1" x14ac:dyDescent="0.35">
      <c r="A280" s="15"/>
      <c r="B280" s="26"/>
      <c r="C280" s="211" t="str">
        <f t="shared" si="5"/>
        <v>RM 375.26</v>
      </c>
      <c r="D280" s="49"/>
      <c r="E280" s="49"/>
      <c r="F280" s="49"/>
      <c r="H280" s="7">
        <v>375</v>
      </c>
      <c r="I280" s="49"/>
      <c r="J280" s="49"/>
      <c r="K280" s="191"/>
      <c r="L280" s="7"/>
    </row>
    <row r="281" spans="1:12" ht="31.95" customHeight="1" thickBot="1" x14ac:dyDescent="0.35">
      <c r="A281" s="15"/>
      <c r="B281" s="26"/>
      <c r="C281" s="211" t="str">
        <f t="shared" si="5"/>
        <v>RM 376.26</v>
      </c>
      <c r="D281" s="49"/>
      <c r="E281" s="49"/>
      <c r="F281" s="49"/>
      <c r="H281" s="7">
        <v>376</v>
      </c>
      <c r="I281" s="49"/>
      <c r="J281" s="49"/>
      <c r="K281" s="191"/>
      <c r="L281" s="7"/>
    </row>
    <row r="282" spans="1:12" ht="31.95" customHeight="1" thickBot="1" x14ac:dyDescent="0.35">
      <c r="A282" s="15"/>
      <c r="B282" s="26"/>
      <c r="C282" s="211" t="str">
        <f t="shared" si="5"/>
        <v>RM 377.26</v>
      </c>
      <c r="D282" s="49"/>
      <c r="E282" s="49"/>
      <c r="F282" s="49"/>
      <c r="H282" s="7">
        <v>377</v>
      </c>
      <c r="I282" s="49"/>
      <c r="J282" s="49"/>
      <c r="K282" s="191"/>
      <c r="L282" s="7"/>
    </row>
    <row r="283" spans="1:12" ht="31.95" customHeight="1" thickBot="1" x14ac:dyDescent="0.35">
      <c r="A283" s="15"/>
      <c r="B283" s="26"/>
      <c r="C283" s="211" t="str">
        <f t="shared" si="5"/>
        <v>RM 378.26</v>
      </c>
      <c r="D283" s="49"/>
      <c r="E283" s="49"/>
      <c r="F283" s="49"/>
      <c r="H283" s="7">
        <v>378</v>
      </c>
      <c r="I283" s="49"/>
      <c r="J283" s="49"/>
      <c r="K283" s="191"/>
      <c r="L283" s="7"/>
    </row>
    <row r="284" spans="1:12" ht="31.95" customHeight="1" thickBot="1" x14ac:dyDescent="0.35">
      <c r="A284" s="15"/>
      <c r="B284" s="26"/>
      <c r="C284" s="211" t="str">
        <f t="shared" si="5"/>
        <v>RM 379.26</v>
      </c>
      <c r="D284" s="49"/>
      <c r="E284" s="49"/>
      <c r="F284" s="49"/>
      <c r="H284" s="7">
        <v>379</v>
      </c>
      <c r="I284" s="49"/>
      <c r="J284" s="49"/>
      <c r="K284" s="191"/>
      <c r="L284" s="7"/>
    </row>
    <row r="285" spans="1:12" ht="31.95" customHeight="1" thickBot="1" x14ac:dyDescent="0.35">
      <c r="A285" s="15"/>
      <c r="B285" s="26"/>
      <c r="C285" s="211" t="str">
        <f t="shared" si="5"/>
        <v>RM 380.26</v>
      </c>
      <c r="D285" s="49"/>
      <c r="E285" s="49"/>
      <c r="F285" s="49"/>
      <c r="H285" s="7">
        <v>380</v>
      </c>
      <c r="I285" s="49"/>
      <c r="J285" s="49"/>
      <c r="K285" s="191"/>
      <c r="L285" s="7"/>
    </row>
    <row r="286" spans="1:12" ht="31.95" customHeight="1" thickBot="1" x14ac:dyDescent="0.35">
      <c r="A286" s="15"/>
      <c r="B286" s="26"/>
      <c r="C286" s="211" t="str">
        <f t="shared" si="5"/>
        <v>RM 381.26</v>
      </c>
      <c r="D286" s="49"/>
      <c r="E286" s="49"/>
      <c r="F286" s="49"/>
      <c r="H286" s="7">
        <v>381</v>
      </c>
      <c r="I286" s="49"/>
      <c r="J286" s="49"/>
      <c r="K286" s="191"/>
      <c r="L286" s="7"/>
    </row>
    <row r="287" spans="1:12" ht="31.95" customHeight="1" thickBot="1" x14ac:dyDescent="0.35">
      <c r="A287" s="15"/>
      <c r="B287" s="26"/>
      <c r="C287" s="211" t="str">
        <f t="shared" si="5"/>
        <v>RM 382.26</v>
      </c>
      <c r="D287" s="49"/>
      <c r="E287" s="49"/>
      <c r="F287" s="49"/>
      <c r="H287" s="7">
        <v>382</v>
      </c>
      <c r="I287" s="49"/>
      <c r="J287" s="49"/>
      <c r="K287" s="191"/>
      <c r="L287" s="7"/>
    </row>
    <row r="288" spans="1:12" ht="31.95" customHeight="1" thickBot="1" x14ac:dyDescent="0.35">
      <c r="A288" s="15"/>
      <c r="B288" s="26"/>
      <c r="C288" s="211" t="str">
        <f t="shared" si="5"/>
        <v>RM 383.26</v>
      </c>
      <c r="D288" s="49"/>
      <c r="E288" s="49"/>
      <c r="F288" s="49"/>
      <c r="H288" s="7">
        <v>383</v>
      </c>
      <c r="I288" s="49"/>
      <c r="J288" s="49"/>
      <c r="K288" s="191"/>
      <c r="L288" s="7"/>
    </row>
    <row r="289" spans="1:12" ht="31.95" customHeight="1" thickBot="1" x14ac:dyDescent="0.35">
      <c r="A289" s="15"/>
      <c r="B289" s="26"/>
      <c r="C289" s="211" t="str">
        <f t="shared" si="5"/>
        <v>RM 384.26</v>
      </c>
      <c r="D289" s="49"/>
      <c r="E289" s="49"/>
      <c r="F289" s="49"/>
      <c r="H289" s="7">
        <v>384</v>
      </c>
      <c r="I289" s="49"/>
      <c r="J289" s="49"/>
      <c r="K289" s="191"/>
      <c r="L289" s="7"/>
    </row>
    <row r="290" spans="1:12" ht="31.95" customHeight="1" thickBot="1" x14ac:dyDescent="0.35">
      <c r="A290" s="15"/>
      <c r="B290" s="26"/>
      <c r="C290" s="211" t="str">
        <f t="shared" si="5"/>
        <v>RM 385.26</v>
      </c>
      <c r="D290" s="49"/>
      <c r="E290" s="49"/>
      <c r="F290" s="49"/>
      <c r="H290" s="7">
        <v>385</v>
      </c>
      <c r="I290" s="49"/>
      <c r="J290" s="49"/>
      <c r="K290" s="191"/>
      <c r="L290" s="7"/>
    </row>
    <row r="291" spans="1:12" ht="31.95" customHeight="1" thickBot="1" x14ac:dyDescent="0.35">
      <c r="A291" s="15"/>
      <c r="B291" s="26"/>
      <c r="C291" s="211" t="str">
        <f t="shared" si="5"/>
        <v>RM 386.26</v>
      </c>
      <c r="D291" s="49"/>
      <c r="E291" s="49"/>
      <c r="F291" s="49"/>
      <c r="H291" s="7">
        <v>386</v>
      </c>
      <c r="I291" s="49"/>
      <c r="J291" s="49"/>
      <c r="K291" s="191"/>
      <c r="L291" s="7"/>
    </row>
    <row r="292" spans="1:12" ht="31.95" customHeight="1" thickBot="1" x14ac:dyDescent="0.35">
      <c r="A292" s="15"/>
      <c r="B292" s="26"/>
      <c r="C292" s="211" t="str">
        <f t="shared" si="5"/>
        <v>RM 387.26</v>
      </c>
      <c r="D292" s="49"/>
      <c r="E292" s="49"/>
      <c r="F292" s="49"/>
      <c r="H292" s="7">
        <v>387</v>
      </c>
      <c r="I292" s="49"/>
      <c r="J292" s="49"/>
      <c r="K292" s="191"/>
      <c r="L292" s="7"/>
    </row>
    <row r="293" spans="1:12" ht="31.95" customHeight="1" thickBot="1" x14ac:dyDescent="0.35">
      <c r="A293" s="15"/>
      <c r="B293" s="26"/>
      <c r="C293" s="211" t="str">
        <f t="shared" si="5"/>
        <v>RM 388.26</v>
      </c>
      <c r="D293" s="49"/>
      <c r="E293" s="49"/>
      <c r="F293" s="49"/>
      <c r="H293" s="7">
        <v>388</v>
      </c>
      <c r="I293" s="49"/>
      <c r="J293" s="49"/>
      <c r="K293" s="191"/>
      <c r="L293" s="7"/>
    </row>
    <row r="294" spans="1:12" ht="31.95" customHeight="1" thickBot="1" x14ac:dyDescent="0.35">
      <c r="A294" s="15"/>
      <c r="B294" s="26"/>
      <c r="C294" s="211" t="str">
        <f t="shared" si="5"/>
        <v>RM 389.26</v>
      </c>
      <c r="D294" s="49"/>
      <c r="E294" s="49"/>
      <c r="F294" s="49"/>
      <c r="H294" s="7">
        <v>389</v>
      </c>
      <c r="I294" s="49"/>
      <c r="J294" s="49"/>
      <c r="K294" s="191"/>
      <c r="L294" s="7"/>
    </row>
    <row r="295" spans="1:12" ht="31.95" customHeight="1" thickBot="1" x14ac:dyDescent="0.35">
      <c r="A295" s="15"/>
      <c r="B295" s="26"/>
      <c r="C295" s="211" t="str">
        <f t="shared" si="5"/>
        <v>RM 390.26</v>
      </c>
      <c r="D295" s="49"/>
      <c r="E295" s="49"/>
      <c r="F295" s="49"/>
      <c r="H295" s="7">
        <v>390</v>
      </c>
      <c r="I295" s="49"/>
      <c r="J295" s="49"/>
      <c r="K295" s="191"/>
      <c r="L295" s="7"/>
    </row>
    <row r="296" spans="1:12" ht="31.95" customHeight="1" thickBot="1" x14ac:dyDescent="0.35">
      <c r="A296" s="15"/>
      <c r="B296" s="26"/>
      <c r="C296" s="211" t="str">
        <f t="shared" si="5"/>
        <v>RM 391.26</v>
      </c>
      <c r="D296" s="49"/>
      <c r="E296" s="49"/>
      <c r="F296" s="49"/>
      <c r="H296" s="7">
        <v>391</v>
      </c>
      <c r="I296" s="49"/>
      <c r="J296" s="49"/>
      <c r="K296" s="191"/>
      <c r="L296" s="7"/>
    </row>
    <row r="297" spans="1:12" ht="31.95" customHeight="1" thickBot="1" x14ac:dyDescent="0.35">
      <c r="A297" s="15"/>
      <c r="B297" s="26"/>
      <c r="C297" s="211" t="str">
        <f t="shared" si="5"/>
        <v>RM 392.26</v>
      </c>
      <c r="D297" s="49"/>
      <c r="E297" s="49"/>
      <c r="F297" s="49"/>
      <c r="H297" s="7">
        <v>392</v>
      </c>
      <c r="I297" s="49"/>
      <c r="J297" s="49"/>
      <c r="K297" s="191"/>
      <c r="L297" s="7"/>
    </row>
    <row r="298" spans="1:12" ht="31.95" customHeight="1" thickBot="1" x14ac:dyDescent="0.35">
      <c r="A298" s="15"/>
      <c r="B298" s="26"/>
      <c r="C298" s="211" t="str">
        <f t="shared" si="5"/>
        <v>RM 393.26</v>
      </c>
      <c r="D298" s="49"/>
      <c r="E298" s="49"/>
      <c r="F298" s="49"/>
      <c r="H298" s="7">
        <v>393</v>
      </c>
      <c r="I298" s="49"/>
      <c r="J298" s="49"/>
      <c r="K298" s="191"/>
      <c r="L298" s="7"/>
    </row>
    <row r="299" spans="1:12" ht="31.95" customHeight="1" thickBot="1" x14ac:dyDescent="0.35">
      <c r="A299" s="15"/>
      <c r="B299" s="26"/>
      <c r="C299" s="211" t="str">
        <f t="shared" si="5"/>
        <v>RM 394.26</v>
      </c>
      <c r="D299" s="49"/>
      <c r="E299" s="49"/>
      <c r="F299" s="49"/>
      <c r="H299" s="7">
        <v>394</v>
      </c>
      <c r="I299" s="49"/>
      <c r="J299" s="49"/>
      <c r="K299" s="191"/>
      <c r="L299" s="7"/>
    </row>
    <row r="300" spans="1:12" ht="31.95" customHeight="1" thickBot="1" x14ac:dyDescent="0.35">
      <c r="A300" s="15"/>
      <c r="B300" s="26"/>
      <c r="C300" s="211" t="str">
        <f t="shared" si="5"/>
        <v>RM 395.26</v>
      </c>
      <c r="D300" s="49"/>
      <c r="E300" s="49"/>
      <c r="F300" s="49"/>
      <c r="H300" s="7">
        <v>395</v>
      </c>
      <c r="I300" s="49"/>
      <c r="J300" s="49"/>
      <c r="K300" s="191"/>
      <c r="L300" s="7"/>
    </row>
    <row r="301" spans="1:12" ht="31.95" customHeight="1" thickBot="1" x14ac:dyDescent="0.35">
      <c r="A301" s="15"/>
      <c r="B301" s="26"/>
      <c r="C301" s="211" t="str">
        <f t="shared" si="5"/>
        <v>RM 396.26</v>
      </c>
      <c r="D301" s="49"/>
      <c r="E301" s="49"/>
      <c r="F301" s="49"/>
      <c r="H301" s="7">
        <v>396</v>
      </c>
      <c r="I301" s="49"/>
      <c r="J301" s="49"/>
      <c r="K301" s="191"/>
      <c r="L301" s="7"/>
    </row>
    <row r="302" spans="1:12" ht="31.95" customHeight="1" thickBot="1" x14ac:dyDescent="0.35">
      <c r="A302" s="15"/>
      <c r="B302" s="26"/>
      <c r="C302" s="211" t="str">
        <f t="shared" si="5"/>
        <v>RM 397.26</v>
      </c>
      <c r="D302" s="49"/>
      <c r="E302" s="49"/>
      <c r="F302" s="49"/>
      <c r="H302" s="7">
        <v>397</v>
      </c>
      <c r="I302" s="49"/>
      <c r="J302" s="49"/>
      <c r="K302" s="191"/>
      <c r="L302" s="7"/>
    </row>
    <row r="303" spans="1:12" ht="31.95" customHeight="1" thickBot="1" x14ac:dyDescent="0.35">
      <c r="A303" s="15"/>
      <c r="B303" s="26"/>
      <c r="C303" s="211" t="str">
        <f t="shared" si="5"/>
        <v>RM 398.26</v>
      </c>
      <c r="D303" s="49"/>
      <c r="E303" s="49"/>
      <c r="F303" s="49"/>
      <c r="H303" s="7">
        <v>398</v>
      </c>
      <c r="I303" s="49"/>
      <c r="J303" s="49"/>
      <c r="K303" s="191"/>
      <c r="L303" s="7"/>
    </row>
    <row r="304" spans="1:12" ht="31.95" customHeight="1" thickBot="1" x14ac:dyDescent="0.35">
      <c r="A304" s="15"/>
      <c r="B304" s="26"/>
      <c r="C304" s="211" t="str">
        <f t="shared" si="5"/>
        <v>RM 399.26</v>
      </c>
      <c r="D304" s="49"/>
      <c r="E304" s="49"/>
      <c r="F304" s="49"/>
      <c r="H304" s="7">
        <v>399</v>
      </c>
      <c r="I304" s="49"/>
      <c r="J304" s="49"/>
      <c r="K304" s="191"/>
      <c r="L304" s="7"/>
    </row>
    <row r="305" spans="1:12" ht="31.95" customHeight="1" thickBot="1" x14ac:dyDescent="0.35">
      <c r="A305" s="15"/>
      <c r="B305" s="26"/>
      <c r="C305" s="211" t="str">
        <f t="shared" si="5"/>
        <v>RM 400.26</v>
      </c>
      <c r="D305" s="49"/>
      <c r="E305" s="49"/>
      <c r="F305" s="49"/>
      <c r="H305" s="7">
        <v>400</v>
      </c>
      <c r="I305" s="49"/>
      <c r="J305" s="49"/>
      <c r="K305" s="191"/>
      <c r="L305" s="7"/>
    </row>
  </sheetData>
  <sheetProtection formatCells="0" formatColumns="0" formatRows="0" insertColumns="0" insertRows="0" insertHyperlinks="0" deleteColumns="0" deleteRows="0" sort="0" autoFilter="0" pivotTables="0"/>
  <autoFilter ref="B4:J305" xr:uid="{0507B647-0C3C-4E34-A6B6-432378B80F93}">
    <filterColumn colId="4">
      <filters blank="1">
        <filter val="Não"/>
      </filters>
    </filterColumn>
  </autoFilter>
  <conditionalFormatting sqref="F5:F305">
    <cfRule type="containsText" dxfId="5" priority="1" operator="containsText" text="Não">
      <formula>NOT(ISERROR(SEARCH("Não",F5)))</formula>
    </cfRule>
    <cfRule type="containsText" dxfId="4" priority="2" operator="containsText" text="Sim">
      <formula>NOT(ISERROR(SEARCH("Sim",F5)))</formula>
    </cfRule>
  </conditionalFormatting>
  <dataValidations count="1">
    <dataValidation type="list" allowBlank="1" showInputMessage="1" showErrorMessage="1" sqref="F5:F305" xr:uid="{AB387F48-5C9F-4657-B5ED-846AA1F41C9D}">
      <formula1>$H$2:$H$4</formula1>
    </dataValidation>
  </dataValidations>
  <hyperlinks>
    <hyperlink ref="A1" location="'Ordem de compra'!A1" display="'Ordem de compra'!A1" xr:uid="{F0D0C2C8-3E07-402D-9E96-257CC5BDFE5F}"/>
  </hyperlink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EAA43-E41C-4068-8A56-060840BE06EA}">
  <sheetPr codeName="Planilha10" filterMode="1"/>
  <dimension ref="A1:P204"/>
  <sheetViews>
    <sheetView showGridLines="0" zoomScaleNormal="100" workbookViewId="0">
      <pane ySplit="4" topLeftCell="A5" activePane="bottomLeft" state="frozen"/>
      <selection pane="bottomLeft"/>
    </sheetView>
  </sheetViews>
  <sheetFormatPr defaultColWidth="8.88671875" defaultRowHeight="14.4" x14ac:dyDescent="0.3"/>
  <cols>
    <col min="1" max="1" width="10.6640625" style="2" customWidth="1"/>
    <col min="2" max="3" width="15.6640625" style="2" customWidth="1"/>
    <col min="4" max="4" width="189.44140625" style="2" customWidth="1"/>
    <col min="5" max="5" width="20.6640625" style="2" customWidth="1"/>
    <col min="6" max="13" width="10.5546875" style="2" customWidth="1"/>
    <col min="14" max="14" width="11.33203125" style="2" customWidth="1"/>
    <col min="15" max="17" width="8.88671875" style="2" customWidth="1"/>
    <col min="18" max="16384" width="8.88671875" style="2"/>
  </cols>
  <sheetData>
    <row r="1" spans="1:15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5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5" ht="15" thickBot="1" x14ac:dyDescent="0.35">
      <c r="O3" s="2" t="s">
        <v>1515</v>
      </c>
    </row>
    <row r="4" spans="1:15" ht="31.95" customHeight="1" thickBot="1" x14ac:dyDescent="0.35">
      <c r="B4" s="24" t="s">
        <v>1413</v>
      </c>
      <c r="C4" s="25" t="s">
        <v>1512</v>
      </c>
      <c r="D4" s="25" t="s">
        <v>202</v>
      </c>
      <c r="E4" s="46" t="s">
        <v>1514</v>
      </c>
      <c r="F4" s="154"/>
      <c r="G4" s="154"/>
      <c r="H4" s="154"/>
      <c r="I4" s="154"/>
      <c r="J4" s="154"/>
      <c r="K4" s="154"/>
      <c r="L4" s="154"/>
      <c r="M4" s="154"/>
      <c r="O4" s="2" t="s">
        <v>1516</v>
      </c>
    </row>
    <row r="5" spans="1:15" ht="31.95" customHeight="1" thickBot="1" x14ac:dyDescent="0.35">
      <c r="A5" s="15"/>
      <c r="B5" s="26">
        <v>45895</v>
      </c>
      <c r="C5" s="211" t="str">
        <f t="shared" ref="C5:C11" si="0">CONCATENATE("CCI ",O5,".25")</f>
        <v>CCI 1.25</v>
      </c>
      <c r="D5" s="49" t="s">
        <v>1517</v>
      </c>
      <c r="E5" s="49" t="s">
        <v>1516</v>
      </c>
      <c r="F5" s="23"/>
      <c r="G5" s="23"/>
      <c r="H5" s="23"/>
      <c r="I5" s="23"/>
      <c r="J5" s="23"/>
      <c r="K5" s="23"/>
      <c r="L5" s="23"/>
      <c r="M5" s="23"/>
      <c r="N5" s="191"/>
      <c r="O5" s="7">
        <v>1</v>
      </c>
    </row>
    <row r="6" spans="1:15" ht="31.95" hidden="1" customHeight="1" thickBot="1" x14ac:dyDescent="0.35">
      <c r="A6" s="15"/>
      <c r="B6" s="26">
        <v>45895</v>
      </c>
      <c r="C6" s="211" t="str">
        <f t="shared" si="0"/>
        <v>CCI 2.25</v>
      </c>
      <c r="D6" s="49" t="s">
        <v>1518</v>
      </c>
      <c r="E6" s="49" t="s">
        <v>1515</v>
      </c>
      <c r="N6" s="191"/>
      <c r="O6" s="7">
        <v>2</v>
      </c>
    </row>
    <row r="7" spans="1:15" ht="31.95" customHeight="1" thickBot="1" x14ac:dyDescent="0.35">
      <c r="A7" s="15"/>
      <c r="B7" s="26">
        <v>45899</v>
      </c>
      <c r="C7" s="211" t="str">
        <f t="shared" si="0"/>
        <v>CCI 3.25</v>
      </c>
      <c r="D7" s="49" t="s">
        <v>1599</v>
      </c>
      <c r="E7" s="49" t="s">
        <v>1516</v>
      </c>
      <c r="N7" s="191"/>
      <c r="O7" s="7">
        <v>3</v>
      </c>
    </row>
    <row r="8" spans="1:15" ht="31.95" hidden="1" customHeight="1" thickBot="1" x14ac:dyDescent="0.35">
      <c r="A8" s="15"/>
      <c r="B8" s="26">
        <v>45901</v>
      </c>
      <c r="C8" s="211" t="str">
        <f t="shared" si="0"/>
        <v>CCI 4.25</v>
      </c>
      <c r="D8" s="49" t="s">
        <v>1535</v>
      </c>
      <c r="E8" s="49" t="s">
        <v>1515</v>
      </c>
      <c r="N8" s="191"/>
      <c r="O8" s="7">
        <v>4</v>
      </c>
    </row>
    <row r="9" spans="1:15" ht="31.95" hidden="1" customHeight="1" thickBot="1" x14ac:dyDescent="0.35">
      <c r="A9" s="15"/>
      <c r="B9" s="26">
        <v>45936</v>
      </c>
      <c r="C9" s="211" t="str">
        <f t="shared" si="0"/>
        <v>CCI 5.25</v>
      </c>
      <c r="D9" s="49" t="s">
        <v>1595</v>
      </c>
      <c r="E9" s="49" t="s">
        <v>1515</v>
      </c>
      <c r="N9" s="191"/>
      <c r="O9" s="7">
        <v>5</v>
      </c>
    </row>
    <row r="10" spans="1:15" ht="31.95" hidden="1" customHeight="1" thickBot="1" x14ac:dyDescent="0.35">
      <c r="A10" s="15"/>
      <c r="B10" s="26">
        <v>45966</v>
      </c>
      <c r="C10" s="211" t="str">
        <f t="shared" si="0"/>
        <v>CCI 6.25</v>
      </c>
      <c r="D10" s="49" t="s">
        <v>1628</v>
      </c>
      <c r="E10" s="49" t="s">
        <v>1515</v>
      </c>
      <c r="N10" s="191"/>
      <c r="O10" s="7">
        <v>6</v>
      </c>
    </row>
    <row r="11" spans="1:15" ht="31.95" customHeight="1" thickBot="1" x14ac:dyDescent="0.35">
      <c r="A11" s="15"/>
      <c r="B11" s="26">
        <v>45995</v>
      </c>
      <c r="C11" s="211" t="str">
        <f t="shared" si="0"/>
        <v>CCI 7.25</v>
      </c>
      <c r="D11" s="49" t="s">
        <v>1657</v>
      </c>
      <c r="E11" s="49" t="s">
        <v>1515</v>
      </c>
      <c r="N11" s="191"/>
      <c r="O11" s="7">
        <v>7</v>
      </c>
    </row>
    <row r="12" spans="1:15" ht="31.95" customHeight="1" thickBot="1" x14ac:dyDescent="0.35">
      <c r="A12" s="15"/>
      <c r="B12" s="26">
        <v>46027</v>
      </c>
      <c r="C12" s="211" t="str">
        <f>CONCATENATE("CCI ",O12,".26")</f>
        <v>CCI 8.26</v>
      </c>
      <c r="D12" s="49" t="s">
        <v>1712</v>
      </c>
      <c r="E12" s="49" t="s">
        <v>1516</v>
      </c>
      <c r="N12" s="191"/>
      <c r="O12" s="7">
        <v>8</v>
      </c>
    </row>
    <row r="13" spans="1:15" ht="31.95" customHeight="1" thickBot="1" x14ac:dyDescent="0.35">
      <c r="A13" s="15"/>
      <c r="B13" s="26"/>
      <c r="C13" s="211" t="str">
        <f t="shared" ref="C13:C76" si="1">CONCATENATE("CCI ",O13,".26")</f>
        <v>CCI 9.26</v>
      </c>
      <c r="D13" s="49"/>
      <c r="E13" s="49"/>
      <c r="F13" s="23"/>
      <c r="G13" s="23"/>
      <c r="H13" s="23"/>
      <c r="I13" s="23"/>
      <c r="J13" s="23"/>
      <c r="K13" s="23"/>
      <c r="L13" s="23"/>
      <c r="M13" s="23"/>
      <c r="N13" s="191"/>
      <c r="O13" s="7">
        <v>9</v>
      </c>
    </row>
    <row r="14" spans="1:15" ht="31.95" customHeight="1" thickBot="1" x14ac:dyDescent="0.35">
      <c r="A14" s="15"/>
      <c r="B14" s="26"/>
      <c r="C14" s="211" t="str">
        <f t="shared" si="1"/>
        <v>CCI 10.26</v>
      </c>
      <c r="D14" s="49"/>
      <c r="E14" s="49"/>
      <c r="N14" s="191"/>
      <c r="O14" s="7">
        <v>10</v>
      </c>
    </row>
    <row r="15" spans="1:15" ht="31.95" customHeight="1" thickBot="1" x14ac:dyDescent="0.35">
      <c r="A15" s="15"/>
      <c r="B15" s="26"/>
      <c r="C15" s="211" t="str">
        <f t="shared" si="1"/>
        <v>CCI 11.26</v>
      </c>
      <c r="D15" s="49"/>
      <c r="E15" s="49"/>
      <c r="N15" s="191"/>
      <c r="O15" s="7">
        <v>11</v>
      </c>
    </row>
    <row r="16" spans="1:15" ht="31.95" customHeight="1" thickBot="1" x14ac:dyDescent="0.35">
      <c r="A16" s="15"/>
      <c r="B16" s="26"/>
      <c r="C16" s="211" t="str">
        <f t="shared" si="1"/>
        <v>CCI 12.26</v>
      </c>
      <c r="D16" s="49"/>
      <c r="E16" s="49"/>
      <c r="N16" s="191"/>
      <c r="O16" s="7">
        <v>12</v>
      </c>
    </row>
    <row r="17" spans="1:15" ht="31.95" customHeight="1" thickBot="1" x14ac:dyDescent="0.35">
      <c r="A17" s="15"/>
      <c r="B17" s="26"/>
      <c r="C17" s="211" t="str">
        <f t="shared" si="1"/>
        <v>CCI 13.26</v>
      </c>
      <c r="D17" s="49"/>
      <c r="E17" s="49"/>
      <c r="N17" s="191"/>
      <c r="O17" s="7">
        <v>13</v>
      </c>
    </row>
    <row r="18" spans="1:15" ht="31.95" customHeight="1" thickBot="1" x14ac:dyDescent="0.35">
      <c r="A18" s="15"/>
      <c r="B18" s="26"/>
      <c r="C18" s="211" t="str">
        <f t="shared" si="1"/>
        <v>CCI 14.26</v>
      </c>
      <c r="D18" s="49"/>
      <c r="E18" s="49"/>
      <c r="N18" s="191"/>
      <c r="O18" s="7">
        <v>14</v>
      </c>
    </row>
    <row r="19" spans="1:15" ht="31.95" customHeight="1" thickBot="1" x14ac:dyDescent="0.35">
      <c r="A19" s="15"/>
      <c r="B19" s="26"/>
      <c r="C19" s="211" t="str">
        <f t="shared" si="1"/>
        <v>CCI 15.26</v>
      </c>
      <c r="D19" s="49"/>
      <c r="E19" s="49"/>
      <c r="N19" s="191"/>
      <c r="O19" s="7">
        <v>15</v>
      </c>
    </row>
    <row r="20" spans="1:15" ht="31.95" customHeight="1" thickBot="1" x14ac:dyDescent="0.35">
      <c r="A20" s="15"/>
      <c r="B20" s="26"/>
      <c r="C20" s="211" t="str">
        <f t="shared" si="1"/>
        <v>CCI 16.26</v>
      </c>
      <c r="D20" s="49"/>
      <c r="E20" s="49"/>
      <c r="N20" s="191"/>
      <c r="O20" s="7">
        <v>16</v>
      </c>
    </row>
    <row r="21" spans="1:15" ht="31.95" customHeight="1" thickBot="1" x14ac:dyDescent="0.35">
      <c r="A21" s="15"/>
      <c r="B21" s="26"/>
      <c r="C21" s="211" t="str">
        <f t="shared" si="1"/>
        <v>CCI 17.26</v>
      </c>
      <c r="D21" s="49"/>
      <c r="E21" s="49"/>
      <c r="N21" s="191"/>
      <c r="O21" s="7">
        <v>17</v>
      </c>
    </row>
    <row r="22" spans="1:15" ht="31.95" customHeight="1" thickBot="1" x14ac:dyDescent="0.35">
      <c r="A22" s="15"/>
      <c r="B22" s="26"/>
      <c r="C22" s="211" t="str">
        <f t="shared" si="1"/>
        <v>CCI 18.26</v>
      </c>
      <c r="D22" s="49"/>
      <c r="E22" s="49"/>
      <c r="N22" s="191"/>
      <c r="O22" s="7">
        <v>18</v>
      </c>
    </row>
    <row r="23" spans="1:15" ht="31.95" customHeight="1" thickBot="1" x14ac:dyDescent="0.35">
      <c r="A23" s="15"/>
      <c r="B23" s="26"/>
      <c r="C23" s="211" t="str">
        <f t="shared" si="1"/>
        <v>CCI 19.26</v>
      </c>
      <c r="D23" s="49"/>
      <c r="E23" s="49"/>
      <c r="N23" s="191"/>
      <c r="O23" s="7">
        <v>19</v>
      </c>
    </row>
    <row r="24" spans="1:15" ht="31.95" customHeight="1" thickBot="1" x14ac:dyDescent="0.35">
      <c r="A24" s="15"/>
      <c r="B24" s="26"/>
      <c r="C24" s="211" t="str">
        <f t="shared" si="1"/>
        <v>CCI 20.26</v>
      </c>
      <c r="D24" s="49"/>
      <c r="E24" s="49"/>
      <c r="N24" s="191"/>
      <c r="O24" s="7">
        <v>20</v>
      </c>
    </row>
    <row r="25" spans="1:15" ht="31.95" customHeight="1" thickBot="1" x14ac:dyDescent="0.35">
      <c r="A25" s="15"/>
      <c r="B25" s="26"/>
      <c r="C25" s="211" t="str">
        <f t="shared" si="1"/>
        <v>CCI 21.26</v>
      </c>
      <c r="D25" s="49"/>
      <c r="E25" s="49"/>
      <c r="N25" s="191"/>
      <c r="O25" s="7">
        <v>21</v>
      </c>
    </row>
    <row r="26" spans="1:15" ht="31.95" customHeight="1" thickBot="1" x14ac:dyDescent="0.35">
      <c r="A26" s="15"/>
      <c r="B26" s="26"/>
      <c r="C26" s="211" t="str">
        <f t="shared" si="1"/>
        <v>CCI 22.26</v>
      </c>
      <c r="D26" s="49"/>
      <c r="E26" s="49"/>
      <c r="N26" s="191"/>
      <c r="O26" s="7">
        <v>22</v>
      </c>
    </row>
    <row r="27" spans="1:15" ht="31.95" customHeight="1" thickBot="1" x14ac:dyDescent="0.35">
      <c r="A27" s="15"/>
      <c r="B27" s="26"/>
      <c r="C27" s="211" t="str">
        <f t="shared" si="1"/>
        <v>CCI 23.26</v>
      </c>
      <c r="D27" s="49"/>
      <c r="E27" s="49"/>
      <c r="N27" s="191"/>
      <c r="O27" s="7">
        <v>23</v>
      </c>
    </row>
    <row r="28" spans="1:15" ht="31.95" customHeight="1" thickBot="1" x14ac:dyDescent="0.35">
      <c r="A28" s="15"/>
      <c r="B28" s="26"/>
      <c r="C28" s="211" t="str">
        <f t="shared" si="1"/>
        <v>CCI 24.26</v>
      </c>
      <c r="D28" s="49"/>
      <c r="E28" s="49"/>
      <c r="N28" s="191"/>
      <c r="O28" s="7">
        <v>24</v>
      </c>
    </row>
    <row r="29" spans="1:15" ht="31.95" customHeight="1" thickBot="1" x14ac:dyDescent="0.35">
      <c r="A29" s="15"/>
      <c r="B29" s="26"/>
      <c r="C29" s="211" t="str">
        <f t="shared" si="1"/>
        <v>CCI 25.26</v>
      </c>
      <c r="D29" s="49"/>
      <c r="E29" s="49"/>
      <c r="N29" s="191"/>
      <c r="O29" s="7">
        <v>25</v>
      </c>
    </row>
    <row r="30" spans="1:15" ht="31.95" customHeight="1" thickBot="1" x14ac:dyDescent="0.35">
      <c r="A30" s="15"/>
      <c r="B30" s="26"/>
      <c r="C30" s="211" t="str">
        <f t="shared" si="1"/>
        <v>CCI 26.26</v>
      </c>
      <c r="D30" s="49"/>
      <c r="E30" s="49"/>
      <c r="N30" s="191"/>
      <c r="O30" s="7">
        <v>26</v>
      </c>
    </row>
    <row r="31" spans="1:15" ht="31.95" customHeight="1" thickBot="1" x14ac:dyDescent="0.35">
      <c r="A31" s="15"/>
      <c r="B31" s="26"/>
      <c r="C31" s="211" t="str">
        <f t="shared" si="1"/>
        <v>CCI 27.26</v>
      </c>
      <c r="D31" s="49"/>
      <c r="E31" s="49"/>
      <c r="N31" s="191"/>
      <c r="O31" s="7">
        <v>27</v>
      </c>
    </row>
    <row r="32" spans="1:15" ht="31.95" customHeight="1" thickBot="1" x14ac:dyDescent="0.35">
      <c r="A32" s="15"/>
      <c r="B32" s="26"/>
      <c r="C32" s="211" t="str">
        <f t="shared" si="1"/>
        <v>CCI 28.26</v>
      </c>
      <c r="D32" s="49"/>
      <c r="E32" s="49"/>
      <c r="N32" s="191"/>
      <c r="O32" s="7">
        <v>28</v>
      </c>
    </row>
    <row r="33" spans="1:16" ht="31.95" customHeight="1" thickBot="1" x14ac:dyDescent="0.35">
      <c r="A33" s="15"/>
      <c r="B33" s="26"/>
      <c r="C33" s="211" t="str">
        <f t="shared" si="1"/>
        <v>CCI 29.26</v>
      </c>
      <c r="D33" s="49"/>
      <c r="E33" s="49"/>
      <c r="N33" s="191"/>
      <c r="O33" s="7">
        <v>29</v>
      </c>
    </row>
    <row r="34" spans="1:16" ht="31.95" customHeight="1" thickBot="1" x14ac:dyDescent="0.35">
      <c r="A34" s="15"/>
      <c r="B34" s="26"/>
      <c r="C34" s="211" t="str">
        <f t="shared" si="1"/>
        <v>CCI 30.26</v>
      </c>
      <c r="D34" s="49"/>
      <c r="E34" s="49"/>
      <c r="N34" s="191"/>
      <c r="O34" s="7">
        <v>30</v>
      </c>
    </row>
    <row r="35" spans="1:16" ht="31.95" customHeight="1" thickBot="1" x14ac:dyDescent="0.35">
      <c r="A35" s="15"/>
      <c r="B35" s="26"/>
      <c r="C35" s="211" t="str">
        <f t="shared" si="1"/>
        <v>CCI 31.26</v>
      </c>
      <c r="D35" s="49"/>
      <c r="E35" s="49"/>
      <c r="N35" s="191"/>
      <c r="O35" s="7">
        <v>31</v>
      </c>
    </row>
    <row r="36" spans="1:16" ht="31.95" customHeight="1" thickBot="1" x14ac:dyDescent="0.35">
      <c r="A36" s="15"/>
      <c r="B36" s="26"/>
      <c r="C36" s="211" t="str">
        <f t="shared" si="1"/>
        <v>CCI 32.26</v>
      </c>
      <c r="D36" s="49"/>
      <c r="E36" s="49"/>
      <c r="N36" s="191"/>
      <c r="O36" s="7">
        <v>32</v>
      </c>
    </row>
    <row r="37" spans="1:16" ht="31.95" customHeight="1" thickBot="1" x14ac:dyDescent="0.35">
      <c r="A37" s="15"/>
      <c r="B37" s="26"/>
      <c r="C37" s="211" t="str">
        <f t="shared" si="1"/>
        <v>CCI 33.26</v>
      </c>
      <c r="D37" s="49"/>
      <c r="E37" s="49"/>
      <c r="N37" s="191"/>
      <c r="O37" s="7">
        <v>33</v>
      </c>
    </row>
    <row r="38" spans="1:16" ht="31.95" customHeight="1" thickBot="1" x14ac:dyDescent="0.35">
      <c r="A38" s="15"/>
      <c r="B38" s="26"/>
      <c r="C38" s="211" t="str">
        <f t="shared" si="1"/>
        <v>CCI 34.26</v>
      </c>
      <c r="D38" s="49"/>
      <c r="E38" s="49"/>
      <c r="N38" s="191"/>
      <c r="O38" s="7">
        <v>34</v>
      </c>
    </row>
    <row r="39" spans="1:16" ht="31.95" customHeight="1" thickBot="1" x14ac:dyDescent="0.35">
      <c r="A39" s="15"/>
      <c r="B39" s="26"/>
      <c r="C39" s="211" t="str">
        <f t="shared" si="1"/>
        <v>CCI 35.26</v>
      </c>
      <c r="D39" s="49"/>
      <c r="E39" s="49"/>
      <c r="N39" s="191"/>
      <c r="O39" s="7">
        <v>35</v>
      </c>
      <c r="P39" s="2" t="s">
        <v>1427</v>
      </c>
    </row>
    <row r="40" spans="1:16" ht="31.95" customHeight="1" thickBot="1" x14ac:dyDescent="0.35">
      <c r="A40" s="15"/>
      <c r="B40" s="26"/>
      <c r="C40" s="211" t="str">
        <f t="shared" si="1"/>
        <v>CCI 36.26</v>
      </c>
      <c r="D40" s="49"/>
      <c r="E40" s="49"/>
      <c r="N40" s="191"/>
      <c r="O40" s="7">
        <v>36</v>
      </c>
    </row>
    <row r="41" spans="1:16" ht="31.95" customHeight="1" thickBot="1" x14ac:dyDescent="0.35">
      <c r="A41" s="15"/>
      <c r="B41" s="26"/>
      <c r="C41" s="211" t="str">
        <f t="shared" si="1"/>
        <v>CCI 37.26</v>
      </c>
      <c r="D41" s="49"/>
      <c r="E41" s="49"/>
      <c r="N41" s="191"/>
      <c r="O41" s="7">
        <v>37</v>
      </c>
    </row>
    <row r="42" spans="1:16" ht="31.95" customHeight="1" thickBot="1" x14ac:dyDescent="0.35">
      <c r="A42" s="15"/>
      <c r="B42" s="26"/>
      <c r="C42" s="211" t="str">
        <f t="shared" si="1"/>
        <v>CCI 38.26</v>
      </c>
      <c r="D42" s="49"/>
      <c r="E42" s="49"/>
      <c r="N42" s="191"/>
      <c r="O42" s="7">
        <v>38</v>
      </c>
    </row>
    <row r="43" spans="1:16" ht="31.95" customHeight="1" thickBot="1" x14ac:dyDescent="0.35">
      <c r="A43" s="15"/>
      <c r="B43" s="26"/>
      <c r="C43" s="211" t="str">
        <f t="shared" si="1"/>
        <v>CCI 39.26</v>
      </c>
      <c r="D43" s="49"/>
      <c r="E43" s="49"/>
      <c r="N43" s="191"/>
      <c r="O43" s="7">
        <v>39</v>
      </c>
    </row>
    <row r="44" spans="1:16" ht="31.95" customHeight="1" thickBot="1" x14ac:dyDescent="0.35">
      <c r="A44" s="15"/>
      <c r="B44" s="26"/>
      <c r="C44" s="211" t="str">
        <f t="shared" si="1"/>
        <v>CCI 40.26</v>
      </c>
      <c r="D44" s="49"/>
      <c r="E44" s="49"/>
      <c r="N44" s="191"/>
      <c r="O44" s="7">
        <v>40</v>
      </c>
    </row>
    <row r="45" spans="1:16" ht="31.95" customHeight="1" thickBot="1" x14ac:dyDescent="0.35">
      <c r="A45" s="15"/>
      <c r="B45" s="26"/>
      <c r="C45" s="211" t="str">
        <f t="shared" si="1"/>
        <v>CCI 41.26</v>
      </c>
      <c r="D45" s="49"/>
      <c r="E45" s="49"/>
      <c r="N45" s="191"/>
      <c r="O45" s="7">
        <v>41</v>
      </c>
    </row>
    <row r="46" spans="1:16" ht="31.95" customHeight="1" thickBot="1" x14ac:dyDescent="0.35">
      <c r="A46" s="15"/>
      <c r="B46" s="26"/>
      <c r="C46" s="211" t="str">
        <f t="shared" si="1"/>
        <v>CCI 42.26</v>
      </c>
      <c r="D46" s="49"/>
      <c r="E46" s="49"/>
      <c r="N46" s="191"/>
      <c r="O46" s="7">
        <v>42</v>
      </c>
    </row>
    <row r="47" spans="1:16" ht="31.95" customHeight="1" thickBot="1" x14ac:dyDescent="0.35">
      <c r="A47" s="15"/>
      <c r="B47" s="26"/>
      <c r="C47" s="211" t="str">
        <f t="shared" si="1"/>
        <v>CCI 43.26</v>
      </c>
      <c r="D47" s="49"/>
      <c r="E47" s="49"/>
      <c r="N47" s="191"/>
      <c r="O47" s="7">
        <v>43</v>
      </c>
    </row>
    <row r="48" spans="1:16" ht="31.95" customHeight="1" thickBot="1" x14ac:dyDescent="0.35">
      <c r="A48" s="15"/>
      <c r="B48" s="26"/>
      <c r="C48" s="211" t="str">
        <f t="shared" si="1"/>
        <v>CCI 44.26</v>
      </c>
      <c r="D48" s="49"/>
      <c r="E48" s="49"/>
      <c r="N48" s="191"/>
      <c r="O48" s="7">
        <v>44</v>
      </c>
    </row>
    <row r="49" spans="1:15" ht="31.95" customHeight="1" thickBot="1" x14ac:dyDescent="0.35">
      <c r="A49" s="15"/>
      <c r="B49" s="26"/>
      <c r="C49" s="211" t="str">
        <f t="shared" si="1"/>
        <v>CCI 45.26</v>
      </c>
      <c r="D49" s="49"/>
      <c r="E49" s="49"/>
      <c r="N49" s="191"/>
      <c r="O49" s="7">
        <v>45</v>
      </c>
    </row>
    <row r="50" spans="1:15" ht="31.95" customHeight="1" thickBot="1" x14ac:dyDescent="0.35">
      <c r="A50" s="15"/>
      <c r="B50" s="26"/>
      <c r="C50" s="211" t="str">
        <f t="shared" si="1"/>
        <v>CCI 46.26</v>
      </c>
      <c r="D50" s="49"/>
      <c r="E50" s="49"/>
      <c r="N50" s="191"/>
      <c r="O50" s="7">
        <v>46</v>
      </c>
    </row>
    <row r="51" spans="1:15" ht="31.95" customHeight="1" thickBot="1" x14ac:dyDescent="0.35">
      <c r="A51" s="15"/>
      <c r="B51" s="26"/>
      <c r="C51" s="211" t="str">
        <f t="shared" si="1"/>
        <v>CCI 47.26</v>
      </c>
      <c r="D51" s="49"/>
      <c r="E51" s="49"/>
      <c r="N51" s="191"/>
      <c r="O51" s="7">
        <v>47</v>
      </c>
    </row>
    <row r="52" spans="1:15" ht="31.95" customHeight="1" thickBot="1" x14ac:dyDescent="0.35">
      <c r="A52" s="15"/>
      <c r="B52" s="26"/>
      <c r="C52" s="211" t="str">
        <f t="shared" si="1"/>
        <v>CCI 48.26</v>
      </c>
      <c r="D52" s="49"/>
      <c r="E52" s="49"/>
      <c r="N52" s="191"/>
      <c r="O52" s="7">
        <v>48</v>
      </c>
    </row>
    <row r="53" spans="1:15" ht="31.95" customHeight="1" thickBot="1" x14ac:dyDescent="0.35">
      <c r="A53" s="15"/>
      <c r="B53" s="26"/>
      <c r="C53" s="211" t="str">
        <f t="shared" si="1"/>
        <v>CCI 49.26</v>
      </c>
      <c r="D53" s="49"/>
      <c r="E53" s="49"/>
      <c r="N53" s="191"/>
      <c r="O53" s="7">
        <v>49</v>
      </c>
    </row>
    <row r="54" spans="1:15" ht="31.95" customHeight="1" thickBot="1" x14ac:dyDescent="0.35">
      <c r="A54" s="15"/>
      <c r="B54" s="26"/>
      <c r="C54" s="211" t="str">
        <f t="shared" si="1"/>
        <v>CCI 50.26</v>
      </c>
      <c r="D54" s="49"/>
      <c r="E54" s="49"/>
      <c r="N54" s="191"/>
      <c r="O54" s="7">
        <v>50</v>
      </c>
    </row>
    <row r="55" spans="1:15" ht="31.95" customHeight="1" thickBot="1" x14ac:dyDescent="0.35">
      <c r="A55" s="15"/>
      <c r="B55" s="26"/>
      <c r="C55" s="211" t="str">
        <f t="shared" si="1"/>
        <v>CCI 51.26</v>
      </c>
      <c r="D55" s="49"/>
      <c r="E55" s="49"/>
      <c r="N55" s="191"/>
      <c r="O55" s="7">
        <v>51</v>
      </c>
    </row>
    <row r="56" spans="1:15" ht="31.95" customHeight="1" thickBot="1" x14ac:dyDescent="0.35">
      <c r="A56" s="15"/>
      <c r="B56" s="26"/>
      <c r="C56" s="211" t="str">
        <f t="shared" si="1"/>
        <v>CCI 52.26</v>
      </c>
      <c r="D56" s="49"/>
      <c r="E56" s="49"/>
      <c r="N56" s="191"/>
      <c r="O56" s="7">
        <v>52</v>
      </c>
    </row>
    <row r="57" spans="1:15" ht="31.95" customHeight="1" thickBot="1" x14ac:dyDescent="0.35">
      <c r="A57" s="15"/>
      <c r="B57" s="26"/>
      <c r="C57" s="211" t="str">
        <f t="shared" si="1"/>
        <v>CCI 53.26</v>
      </c>
      <c r="D57" s="49"/>
      <c r="E57" s="49"/>
      <c r="N57" s="191"/>
      <c r="O57" s="7">
        <v>53</v>
      </c>
    </row>
    <row r="58" spans="1:15" ht="31.95" customHeight="1" thickBot="1" x14ac:dyDescent="0.35">
      <c r="A58" s="15"/>
      <c r="B58" s="26"/>
      <c r="C58" s="211" t="str">
        <f t="shared" si="1"/>
        <v>CCI 54.26</v>
      </c>
      <c r="D58" s="49"/>
      <c r="E58" s="49"/>
      <c r="N58" s="191"/>
      <c r="O58" s="7">
        <v>54</v>
      </c>
    </row>
    <row r="59" spans="1:15" ht="31.95" customHeight="1" thickBot="1" x14ac:dyDescent="0.35">
      <c r="A59" s="15"/>
      <c r="B59" s="26"/>
      <c r="C59" s="211" t="str">
        <f t="shared" si="1"/>
        <v>CCI 55.26</v>
      </c>
      <c r="D59" s="49"/>
      <c r="E59" s="49"/>
      <c r="N59" s="191"/>
      <c r="O59" s="7">
        <v>55</v>
      </c>
    </row>
    <row r="60" spans="1:15" ht="31.95" customHeight="1" thickBot="1" x14ac:dyDescent="0.35">
      <c r="A60" s="15"/>
      <c r="B60" s="26"/>
      <c r="C60" s="211" t="str">
        <f t="shared" si="1"/>
        <v>CCI 56.26</v>
      </c>
      <c r="D60" s="49"/>
      <c r="E60" s="49"/>
      <c r="N60" s="191"/>
      <c r="O60" s="7">
        <v>56</v>
      </c>
    </row>
    <row r="61" spans="1:15" ht="31.95" customHeight="1" thickBot="1" x14ac:dyDescent="0.35">
      <c r="A61" s="15"/>
      <c r="B61" s="26"/>
      <c r="C61" s="211" t="str">
        <f t="shared" si="1"/>
        <v>CCI 57.26</v>
      </c>
      <c r="D61" s="49"/>
      <c r="E61" s="49"/>
      <c r="N61" s="191"/>
      <c r="O61" s="7">
        <v>57</v>
      </c>
    </row>
    <row r="62" spans="1:15" ht="31.95" customHeight="1" thickBot="1" x14ac:dyDescent="0.35">
      <c r="A62" s="15"/>
      <c r="B62" s="26"/>
      <c r="C62" s="211" t="str">
        <f t="shared" si="1"/>
        <v>CCI 58.26</v>
      </c>
      <c r="D62" s="49"/>
      <c r="E62" s="49"/>
      <c r="N62" s="191"/>
      <c r="O62" s="7">
        <v>58</v>
      </c>
    </row>
    <row r="63" spans="1:15" ht="31.95" customHeight="1" thickBot="1" x14ac:dyDescent="0.35">
      <c r="A63" s="15"/>
      <c r="B63" s="26"/>
      <c r="C63" s="211" t="str">
        <f t="shared" si="1"/>
        <v>CCI 59.26</v>
      </c>
      <c r="D63" s="49"/>
      <c r="E63" s="49"/>
      <c r="N63" s="191"/>
      <c r="O63" s="7">
        <v>59</v>
      </c>
    </row>
    <row r="64" spans="1:15" ht="31.95" customHeight="1" thickBot="1" x14ac:dyDescent="0.35">
      <c r="A64" s="15"/>
      <c r="B64" s="26"/>
      <c r="C64" s="211" t="str">
        <f t="shared" si="1"/>
        <v>CCI 60.26</v>
      </c>
      <c r="D64" s="49"/>
      <c r="E64" s="49"/>
      <c r="N64" s="191"/>
      <c r="O64" s="7">
        <v>60</v>
      </c>
    </row>
    <row r="65" spans="1:15" ht="31.95" customHeight="1" thickBot="1" x14ac:dyDescent="0.35">
      <c r="A65" s="15"/>
      <c r="B65" s="26"/>
      <c r="C65" s="211" t="str">
        <f t="shared" si="1"/>
        <v>CCI 61.26</v>
      </c>
      <c r="D65" s="49"/>
      <c r="E65" s="49"/>
      <c r="N65" s="191"/>
      <c r="O65" s="7">
        <v>61</v>
      </c>
    </row>
    <row r="66" spans="1:15" ht="31.95" customHeight="1" thickBot="1" x14ac:dyDescent="0.35">
      <c r="A66" s="15"/>
      <c r="B66" s="26"/>
      <c r="C66" s="211" t="str">
        <f t="shared" si="1"/>
        <v>CCI 62.26</v>
      </c>
      <c r="D66" s="49"/>
      <c r="E66" s="49"/>
      <c r="N66" s="191"/>
      <c r="O66" s="7">
        <v>62</v>
      </c>
    </row>
    <row r="67" spans="1:15" ht="31.95" customHeight="1" thickBot="1" x14ac:dyDescent="0.35">
      <c r="A67" s="15"/>
      <c r="B67" s="26"/>
      <c r="C67" s="211" t="str">
        <f t="shared" si="1"/>
        <v>CCI 63.26</v>
      </c>
      <c r="D67" s="49"/>
      <c r="E67" s="49"/>
      <c r="N67" s="191"/>
      <c r="O67" s="7">
        <v>63</v>
      </c>
    </row>
    <row r="68" spans="1:15" ht="31.95" customHeight="1" thickBot="1" x14ac:dyDescent="0.35">
      <c r="A68" s="15"/>
      <c r="B68" s="26"/>
      <c r="C68" s="211" t="str">
        <f t="shared" si="1"/>
        <v>CCI 64.26</v>
      </c>
      <c r="D68" s="49"/>
      <c r="E68" s="49"/>
      <c r="N68" s="191"/>
      <c r="O68" s="7">
        <v>64</v>
      </c>
    </row>
    <row r="69" spans="1:15" ht="31.95" customHeight="1" thickBot="1" x14ac:dyDescent="0.35">
      <c r="A69" s="15"/>
      <c r="B69" s="26"/>
      <c r="C69" s="211" t="str">
        <f t="shared" si="1"/>
        <v>CCI 65.26</v>
      </c>
      <c r="D69" s="49"/>
      <c r="E69" s="49"/>
      <c r="N69" s="191"/>
      <c r="O69" s="7">
        <v>65</v>
      </c>
    </row>
    <row r="70" spans="1:15" ht="31.95" customHeight="1" thickBot="1" x14ac:dyDescent="0.35">
      <c r="A70" s="15"/>
      <c r="B70" s="26"/>
      <c r="C70" s="211" t="str">
        <f t="shared" si="1"/>
        <v>CCI 66.26</v>
      </c>
      <c r="D70" s="49"/>
      <c r="E70" s="49"/>
      <c r="N70" s="191"/>
      <c r="O70" s="7">
        <v>66</v>
      </c>
    </row>
    <row r="71" spans="1:15" ht="31.95" customHeight="1" thickBot="1" x14ac:dyDescent="0.35">
      <c r="A71" s="15"/>
      <c r="B71" s="26"/>
      <c r="C71" s="211" t="str">
        <f t="shared" si="1"/>
        <v>CCI 67.26</v>
      </c>
      <c r="D71" s="49"/>
      <c r="E71" s="49"/>
      <c r="N71" s="191"/>
      <c r="O71" s="7">
        <v>67</v>
      </c>
    </row>
    <row r="72" spans="1:15" ht="31.95" customHeight="1" thickBot="1" x14ac:dyDescent="0.35">
      <c r="A72" s="15"/>
      <c r="B72" s="26"/>
      <c r="C72" s="211" t="str">
        <f t="shared" si="1"/>
        <v>CCI 68.26</v>
      </c>
      <c r="D72" s="49"/>
      <c r="E72" s="49"/>
      <c r="N72" s="191"/>
      <c r="O72" s="7">
        <v>68</v>
      </c>
    </row>
    <row r="73" spans="1:15" ht="31.95" customHeight="1" thickBot="1" x14ac:dyDescent="0.35">
      <c r="A73" s="15"/>
      <c r="B73" s="26"/>
      <c r="C73" s="211" t="str">
        <f t="shared" si="1"/>
        <v>CCI 69.26</v>
      </c>
      <c r="D73" s="49"/>
      <c r="E73" s="49"/>
      <c r="N73" s="191"/>
      <c r="O73" s="7">
        <v>69</v>
      </c>
    </row>
    <row r="74" spans="1:15" ht="31.95" customHeight="1" thickBot="1" x14ac:dyDescent="0.35">
      <c r="A74" s="15"/>
      <c r="B74" s="26"/>
      <c r="C74" s="211" t="str">
        <f t="shared" si="1"/>
        <v>CCI 70.26</v>
      </c>
      <c r="D74" s="49"/>
      <c r="E74" s="49"/>
      <c r="N74" s="191"/>
      <c r="O74" s="7">
        <v>70</v>
      </c>
    </row>
    <row r="75" spans="1:15" ht="31.95" customHeight="1" thickBot="1" x14ac:dyDescent="0.35">
      <c r="A75" s="15"/>
      <c r="B75" s="26"/>
      <c r="C75" s="211" t="str">
        <f t="shared" si="1"/>
        <v>CCI 71.26</v>
      </c>
      <c r="D75" s="49"/>
      <c r="E75" s="49"/>
      <c r="N75" s="191"/>
      <c r="O75" s="7">
        <v>71</v>
      </c>
    </row>
    <row r="76" spans="1:15" ht="31.95" customHeight="1" thickBot="1" x14ac:dyDescent="0.35">
      <c r="A76" s="15"/>
      <c r="B76" s="26"/>
      <c r="C76" s="211" t="str">
        <f t="shared" si="1"/>
        <v>CCI 72.26</v>
      </c>
      <c r="D76" s="49"/>
      <c r="E76" s="49"/>
      <c r="N76" s="191"/>
      <c r="O76" s="7">
        <v>72</v>
      </c>
    </row>
    <row r="77" spans="1:15" ht="31.95" customHeight="1" thickBot="1" x14ac:dyDescent="0.35">
      <c r="A77" s="15"/>
      <c r="B77" s="26"/>
      <c r="C77" s="211" t="str">
        <f t="shared" ref="C77:C140" si="2">CONCATENATE("CCI ",O77,".26")</f>
        <v>CCI 73.26</v>
      </c>
      <c r="D77" s="49"/>
      <c r="E77" s="49"/>
      <c r="N77" s="191"/>
      <c r="O77" s="7">
        <v>73</v>
      </c>
    </row>
    <row r="78" spans="1:15" ht="31.95" customHeight="1" thickBot="1" x14ac:dyDescent="0.35">
      <c r="A78" s="15"/>
      <c r="B78" s="26"/>
      <c r="C78" s="211" t="str">
        <f t="shared" si="2"/>
        <v>CCI 74.26</v>
      </c>
      <c r="D78" s="49"/>
      <c r="E78" s="49"/>
      <c r="N78" s="191"/>
      <c r="O78" s="7">
        <v>74</v>
      </c>
    </row>
    <row r="79" spans="1:15" ht="31.95" customHeight="1" thickBot="1" x14ac:dyDescent="0.35">
      <c r="A79" s="15"/>
      <c r="B79" s="26"/>
      <c r="C79" s="211" t="str">
        <f t="shared" si="2"/>
        <v>CCI 75.26</v>
      </c>
      <c r="D79" s="49"/>
      <c r="E79" s="49"/>
      <c r="N79" s="191"/>
      <c r="O79" s="7">
        <v>75</v>
      </c>
    </row>
    <row r="80" spans="1:15" ht="31.95" customHeight="1" thickBot="1" x14ac:dyDescent="0.35">
      <c r="A80" s="15"/>
      <c r="B80" s="26"/>
      <c r="C80" s="211" t="str">
        <f t="shared" si="2"/>
        <v>CCI 76.26</v>
      </c>
      <c r="D80" s="49"/>
      <c r="E80" s="49"/>
      <c r="N80" s="191"/>
      <c r="O80" s="7">
        <v>76</v>
      </c>
    </row>
    <row r="81" spans="1:15" ht="31.95" customHeight="1" thickBot="1" x14ac:dyDescent="0.35">
      <c r="A81" s="15"/>
      <c r="B81" s="26"/>
      <c r="C81" s="211" t="str">
        <f t="shared" si="2"/>
        <v>CCI 77.26</v>
      </c>
      <c r="D81" s="49"/>
      <c r="E81" s="49"/>
      <c r="N81" s="191"/>
      <c r="O81" s="7">
        <v>77</v>
      </c>
    </row>
    <row r="82" spans="1:15" ht="31.95" customHeight="1" thickBot="1" x14ac:dyDescent="0.35">
      <c r="A82" s="15"/>
      <c r="B82" s="26"/>
      <c r="C82" s="211" t="str">
        <f t="shared" si="2"/>
        <v>CCI 78.26</v>
      </c>
      <c r="D82" s="49"/>
      <c r="E82" s="49"/>
      <c r="N82" s="191"/>
      <c r="O82" s="7">
        <v>78</v>
      </c>
    </row>
    <row r="83" spans="1:15" ht="31.95" customHeight="1" thickBot="1" x14ac:dyDescent="0.35">
      <c r="A83" s="15"/>
      <c r="B83" s="26"/>
      <c r="C83" s="211" t="str">
        <f t="shared" si="2"/>
        <v>CCI 79.26</v>
      </c>
      <c r="D83" s="49"/>
      <c r="E83" s="49"/>
      <c r="N83" s="191"/>
      <c r="O83" s="7">
        <v>79</v>
      </c>
    </row>
    <row r="84" spans="1:15" ht="31.95" customHeight="1" thickBot="1" x14ac:dyDescent="0.35">
      <c r="A84" s="15"/>
      <c r="B84" s="26"/>
      <c r="C84" s="211" t="str">
        <f t="shared" si="2"/>
        <v>CCI 80.26</v>
      </c>
      <c r="D84" s="49"/>
      <c r="E84" s="49"/>
      <c r="N84" s="191"/>
      <c r="O84" s="7">
        <v>80</v>
      </c>
    </row>
    <row r="85" spans="1:15" ht="31.95" customHeight="1" thickBot="1" x14ac:dyDescent="0.35">
      <c r="A85" s="15"/>
      <c r="B85" s="26"/>
      <c r="C85" s="211" t="str">
        <f t="shared" si="2"/>
        <v>CCI 81.26</v>
      </c>
      <c r="D85" s="49"/>
      <c r="E85" s="49"/>
      <c r="N85" s="191"/>
      <c r="O85" s="7">
        <v>81</v>
      </c>
    </row>
    <row r="86" spans="1:15" ht="31.95" customHeight="1" thickBot="1" x14ac:dyDescent="0.35">
      <c r="A86" s="15"/>
      <c r="B86" s="26"/>
      <c r="C86" s="211" t="str">
        <f t="shared" si="2"/>
        <v>CCI 82.26</v>
      </c>
      <c r="D86" s="49"/>
      <c r="E86" s="49"/>
      <c r="N86" s="191"/>
      <c r="O86" s="7">
        <v>82</v>
      </c>
    </row>
    <row r="87" spans="1:15" ht="31.95" customHeight="1" thickBot="1" x14ac:dyDescent="0.35">
      <c r="A87" s="15"/>
      <c r="B87" s="26"/>
      <c r="C87" s="211" t="str">
        <f t="shared" si="2"/>
        <v>CCI 83.26</v>
      </c>
      <c r="D87" s="49"/>
      <c r="E87" s="49"/>
      <c r="N87" s="191"/>
      <c r="O87" s="7">
        <v>83</v>
      </c>
    </row>
    <row r="88" spans="1:15" ht="31.95" customHeight="1" thickBot="1" x14ac:dyDescent="0.35">
      <c r="A88" s="15"/>
      <c r="B88" s="26"/>
      <c r="C88" s="211" t="str">
        <f t="shared" si="2"/>
        <v>CCI 84.26</v>
      </c>
      <c r="D88" s="49"/>
      <c r="E88" s="49"/>
      <c r="N88" s="191"/>
      <c r="O88" s="7">
        <v>84</v>
      </c>
    </row>
    <row r="89" spans="1:15" ht="31.95" customHeight="1" thickBot="1" x14ac:dyDescent="0.35">
      <c r="A89" s="15"/>
      <c r="B89" s="26"/>
      <c r="C89" s="211" t="str">
        <f t="shared" si="2"/>
        <v>CCI 85.26</v>
      </c>
      <c r="D89" s="49"/>
      <c r="E89" s="49"/>
      <c r="N89" s="191"/>
      <c r="O89" s="7">
        <v>85</v>
      </c>
    </row>
    <row r="90" spans="1:15" ht="31.95" customHeight="1" thickBot="1" x14ac:dyDescent="0.35">
      <c r="A90" s="15"/>
      <c r="B90" s="26"/>
      <c r="C90" s="211" t="str">
        <f t="shared" si="2"/>
        <v>CCI 86.26</v>
      </c>
      <c r="D90" s="49"/>
      <c r="E90" s="49"/>
      <c r="N90" s="191"/>
      <c r="O90" s="7">
        <v>86</v>
      </c>
    </row>
    <row r="91" spans="1:15" ht="31.95" customHeight="1" thickBot="1" x14ac:dyDescent="0.35">
      <c r="A91" s="15"/>
      <c r="B91" s="26"/>
      <c r="C91" s="211" t="str">
        <f t="shared" si="2"/>
        <v>CCI 87.26</v>
      </c>
      <c r="D91" s="49"/>
      <c r="E91" s="49"/>
      <c r="N91" s="191"/>
      <c r="O91" s="7">
        <v>87</v>
      </c>
    </row>
    <row r="92" spans="1:15" ht="31.95" customHeight="1" thickBot="1" x14ac:dyDescent="0.35">
      <c r="A92" s="15"/>
      <c r="B92" s="26"/>
      <c r="C92" s="211" t="str">
        <f t="shared" si="2"/>
        <v>CCI 88.26</v>
      </c>
      <c r="D92" s="49"/>
      <c r="E92" s="49"/>
      <c r="N92" s="191"/>
      <c r="O92" s="7">
        <v>88</v>
      </c>
    </row>
    <row r="93" spans="1:15" ht="31.95" customHeight="1" thickBot="1" x14ac:dyDescent="0.35">
      <c r="A93" s="15"/>
      <c r="B93" s="26"/>
      <c r="C93" s="211" t="str">
        <f t="shared" si="2"/>
        <v>CCI 89.26</v>
      </c>
      <c r="D93" s="49"/>
      <c r="E93" s="49"/>
      <c r="N93" s="191"/>
      <c r="O93" s="7">
        <v>89</v>
      </c>
    </row>
    <row r="94" spans="1:15" ht="31.95" customHeight="1" thickBot="1" x14ac:dyDescent="0.35">
      <c r="A94" s="15"/>
      <c r="B94" s="26"/>
      <c r="C94" s="211" t="str">
        <f t="shared" si="2"/>
        <v>CCI 90.26</v>
      </c>
      <c r="D94" s="49"/>
      <c r="E94" s="49"/>
      <c r="N94" s="191"/>
      <c r="O94" s="7">
        <v>90</v>
      </c>
    </row>
    <row r="95" spans="1:15" ht="31.95" customHeight="1" thickBot="1" x14ac:dyDescent="0.35">
      <c r="A95" s="15"/>
      <c r="B95" s="26"/>
      <c r="C95" s="211" t="str">
        <f t="shared" si="2"/>
        <v>CCI 91.26</v>
      </c>
      <c r="D95" s="49"/>
      <c r="E95" s="49"/>
      <c r="N95" s="191"/>
      <c r="O95" s="7">
        <v>91</v>
      </c>
    </row>
    <row r="96" spans="1:15" ht="31.95" customHeight="1" thickBot="1" x14ac:dyDescent="0.35">
      <c r="A96" s="15"/>
      <c r="B96" s="26"/>
      <c r="C96" s="211" t="str">
        <f t="shared" si="2"/>
        <v>CCI 92.26</v>
      </c>
      <c r="D96" s="49"/>
      <c r="E96" s="49"/>
      <c r="N96" s="191"/>
      <c r="O96" s="7">
        <v>92</v>
      </c>
    </row>
    <row r="97" spans="1:15" ht="31.95" customHeight="1" thickBot="1" x14ac:dyDescent="0.35">
      <c r="A97" s="15"/>
      <c r="B97" s="26"/>
      <c r="C97" s="211" t="str">
        <f t="shared" si="2"/>
        <v>CCI 93.26</v>
      </c>
      <c r="D97" s="49"/>
      <c r="E97" s="49"/>
      <c r="N97" s="191"/>
      <c r="O97" s="7">
        <v>93</v>
      </c>
    </row>
    <row r="98" spans="1:15" ht="31.95" customHeight="1" thickBot="1" x14ac:dyDescent="0.35">
      <c r="A98" s="15"/>
      <c r="B98" s="26"/>
      <c r="C98" s="211" t="str">
        <f t="shared" si="2"/>
        <v>CCI 94.26</v>
      </c>
      <c r="D98" s="49"/>
      <c r="E98" s="49"/>
      <c r="N98" s="191"/>
      <c r="O98" s="7">
        <v>94</v>
      </c>
    </row>
    <row r="99" spans="1:15" ht="31.95" customHeight="1" thickBot="1" x14ac:dyDescent="0.35">
      <c r="A99" s="15"/>
      <c r="B99" s="26"/>
      <c r="C99" s="211" t="str">
        <f t="shared" si="2"/>
        <v>CCI 95.26</v>
      </c>
      <c r="D99" s="49"/>
      <c r="E99" s="49"/>
      <c r="N99" s="191"/>
      <c r="O99" s="7">
        <v>95</v>
      </c>
    </row>
    <row r="100" spans="1:15" ht="31.95" customHeight="1" thickBot="1" x14ac:dyDescent="0.35">
      <c r="A100" s="15"/>
      <c r="B100" s="26"/>
      <c r="C100" s="211" t="str">
        <f t="shared" si="2"/>
        <v>CCI 96.26</v>
      </c>
      <c r="D100" s="49"/>
      <c r="E100" s="49"/>
      <c r="N100" s="191"/>
      <c r="O100" s="7">
        <v>96</v>
      </c>
    </row>
    <row r="101" spans="1:15" ht="31.95" customHeight="1" thickBot="1" x14ac:dyDescent="0.35">
      <c r="A101" s="15"/>
      <c r="B101" s="26"/>
      <c r="C101" s="211" t="str">
        <f t="shared" si="2"/>
        <v>CCI 97.26</v>
      </c>
      <c r="D101" s="49"/>
      <c r="E101" s="49"/>
      <c r="N101" s="191"/>
      <c r="O101" s="7">
        <v>97</v>
      </c>
    </row>
    <row r="102" spans="1:15" ht="31.95" customHeight="1" thickBot="1" x14ac:dyDescent="0.35">
      <c r="A102" s="15"/>
      <c r="B102" s="26"/>
      <c r="C102" s="211" t="str">
        <f t="shared" si="2"/>
        <v>CCI 98.26</v>
      </c>
      <c r="D102" s="166"/>
      <c r="E102" s="49"/>
      <c r="N102" s="191"/>
      <c r="O102" s="7">
        <v>98</v>
      </c>
    </row>
    <row r="103" spans="1:15" ht="31.95" customHeight="1" thickBot="1" x14ac:dyDescent="0.35">
      <c r="A103" s="15"/>
      <c r="B103" s="26"/>
      <c r="C103" s="211" t="str">
        <f t="shared" si="2"/>
        <v>CCI 99.26</v>
      </c>
      <c r="D103" s="166"/>
      <c r="E103" s="49"/>
      <c r="N103" s="191"/>
      <c r="O103" s="7">
        <v>99</v>
      </c>
    </row>
    <row r="104" spans="1:15" ht="31.95" customHeight="1" thickBot="1" x14ac:dyDescent="0.35">
      <c r="A104" s="15"/>
      <c r="B104" s="26"/>
      <c r="C104" s="211" t="str">
        <f t="shared" si="2"/>
        <v>CCI 100.26</v>
      </c>
      <c r="D104" s="49"/>
      <c r="E104" s="49"/>
      <c r="N104" s="191"/>
      <c r="O104" s="7">
        <v>100</v>
      </c>
    </row>
    <row r="105" spans="1:15" ht="31.95" customHeight="1" thickBot="1" x14ac:dyDescent="0.35">
      <c r="A105" s="15"/>
      <c r="B105" s="26"/>
      <c r="C105" s="211" t="str">
        <f t="shared" si="2"/>
        <v>CCI 101.26</v>
      </c>
      <c r="D105" s="49"/>
      <c r="E105" s="49"/>
      <c r="N105" s="191"/>
      <c r="O105" s="7">
        <v>101</v>
      </c>
    </row>
    <row r="106" spans="1:15" ht="31.95" customHeight="1" thickBot="1" x14ac:dyDescent="0.35">
      <c r="A106" s="15"/>
      <c r="B106" s="26"/>
      <c r="C106" s="211" t="str">
        <f t="shared" si="2"/>
        <v>CCI 102.26</v>
      </c>
      <c r="D106" s="166"/>
      <c r="E106" s="49"/>
      <c r="N106" s="191"/>
      <c r="O106" s="7">
        <v>102</v>
      </c>
    </row>
    <row r="107" spans="1:15" ht="31.95" customHeight="1" thickBot="1" x14ac:dyDescent="0.35">
      <c r="A107" s="15"/>
      <c r="B107" s="26"/>
      <c r="C107" s="211" t="str">
        <f t="shared" si="2"/>
        <v>CCI 103.26</v>
      </c>
      <c r="D107" s="49"/>
      <c r="E107" s="49"/>
      <c r="N107" s="191"/>
      <c r="O107" s="7">
        <v>103</v>
      </c>
    </row>
    <row r="108" spans="1:15" ht="31.95" customHeight="1" thickBot="1" x14ac:dyDescent="0.35">
      <c r="A108" s="15"/>
      <c r="B108" s="26"/>
      <c r="C108" s="211" t="str">
        <f t="shared" si="2"/>
        <v>CCI 104.26</v>
      </c>
      <c r="D108" s="49"/>
      <c r="E108" s="49"/>
      <c r="N108" s="191"/>
      <c r="O108" s="7">
        <v>104</v>
      </c>
    </row>
    <row r="109" spans="1:15" ht="31.95" customHeight="1" thickBot="1" x14ac:dyDescent="0.35">
      <c r="A109" s="15"/>
      <c r="B109" s="26"/>
      <c r="C109" s="211" t="str">
        <f t="shared" si="2"/>
        <v>CCI 105.26</v>
      </c>
      <c r="D109" s="166"/>
      <c r="E109" s="49"/>
      <c r="N109" s="191"/>
      <c r="O109" s="7">
        <v>105</v>
      </c>
    </row>
    <row r="110" spans="1:15" ht="31.95" customHeight="1" thickBot="1" x14ac:dyDescent="0.35">
      <c r="A110" s="15"/>
      <c r="B110" s="26"/>
      <c r="C110" s="211" t="str">
        <f t="shared" si="2"/>
        <v>CCI 106.26</v>
      </c>
      <c r="D110" s="166"/>
      <c r="E110" s="49"/>
      <c r="N110" s="191"/>
      <c r="O110" s="7">
        <v>106</v>
      </c>
    </row>
    <row r="111" spans="1:15" ht="31.95" customHeight="1" thickBot="1" x14ac:dyDescent="0.35">
      <c r="A111" s="15"/>
      <c r="B111" s="26"/>
      <c r="C111" s="211" t="str">
        <f t="shared" si="2"/>
        <v>CCI 107.26</v>
      </c>
      <c r="D111" s="49"/>
      <c r="E111" s="49"/>
      <c r="N111" s="191"/>
      <c r="O111" s="7">
        <v>107</v>
      </c>
    </row>
    <row r="112" spans="1:15" ht="31.95" customHeight="1" thickBot="1" x14ac:dyDescent="0.35">
      <c r="A112" s="15"/>
      <c r="B112" s="26"/>
      <c r="C112" s="211" t="str">
        <f t="shared" si="2"/>
        <v>CCI 108.26</v>
      </c>
      <c r="D112" s="49"/>
      <c r="E112" s="49"/>
      <c r="N112" s="191"/>
      <c r="O112" s="7">
        <v>108</v>
      </c>
    </row>
    <row r="113" spans="1:15" ht="31.95" customHeight="1" thickBot="1" x14ac:dyDescent="0.35">
      <c r="A113" s="15"/>
      <c r="B113" s="26"/>
      <c r="C113" s="211" t="str">
        <f t="shared" si="2"/>
        <v>CCI 109.26</v>
      </c>
      <c r="D113" s="49"/>
      <c r="E113" s="49"/>
      <c r="N113" s="191"/>
      <c r="O113" s="7">
        <v>109</v>
      </c>
    </row>
    <row r="114" spans="1:15" ht="31.95" customHeight="1" thickBot="1" x14ac:dyDescent="0.35">
      <c r="A114" s="15"/>
      <c r="B114" s="26"/>
      <c r="C114" s="211" t="str">
        <f t="shared" si="2"/>
        <v>CCI 110.26</v>
      </c>
      <c r="D114" s="49"/>
      <c r="E114" s="49"/>
      <c r="N114" s="191"/>
      <c r="O114" s="7">
        <v>110</v>
      </c>
    </row>
    <row r="115" spans="1:15" ht="31.95" customHeight="1" thickBot="1" x14ac:dyDescent="0.35">
      <c r="A115" s="15"/>
      <c r="B115" s="26"/>
      <c r="C115" s="211" t="str">
        <f t="shared" si="2"/>
        <v>CCI 111.26</v>
      </c>
      <c r="D115" s="49"/>
      <c r="E115" s="49"/>
      <c r="N115" s="191"/>
      <c r="O115" s="7">
        <v>111</v>
      </c>
    </row>
    <row r="116" spans="1:15" ht="31.95" customHeight="1" thickBot="1" x14ac:dyDescent="0.35">
      <c r="A116" s="15"/>
      <c r="B116" s="26"/>
      <c r="C116" s="211" t="str">
        <f t="shared" si="2"/>
        <v>CCI 112.26</v>
      </c>
      <c r="D116" s="49"/>
      <c r="E116" s="49"/>
      <c r="N116" s="191"/>
      <c r="O116" s="7">
        <v>112</v>
      </c>
    </row>
    <row r="117" spans="1:15" ht="31.95" customHeight="1" thickBot="1" x14ac:dyDescent="0.35">
      <c r="A117" s="15"/>
      <c r="B117" s="26"/>
      <c r="C117" s="211" t="str">
        <f t="shared" si="2"/>
        <v>CCI 113.26</v>
      </c>
      <c r="D117" s="49"/>
      <c r="E117" s="49"/>
      <c r="N117" s="191"/>
      <c r="O117" s="7">
        <v>113</v>
      </c>
    </row>
    <row r="118" spans="1:15" ht="31.95" customHeight="1" thickBot="1" x14ac:dyDescent="0.35">
      <c r="A118" s="15"/>
      <c r="B118" s="26"/>
      <c r="C118" s="211" t="str">
        <f t="shared" si="2"/>
        <v>CCI 114.26</v>
      </c>
      <c r="D118" s="49"/>
      <c r="E118" s="49"/>
      <c r="N118" s="191"/>
      <c r="O118" s="7">
        <v>114</v>
      </c>
    </row>
    <row r="119" spans="1:15" ht="31.95" customHeight="1" thickBot="1" x14ac:dyDescent="0.35">
      <c r="A119" s="15"/>
      <c r="B119" s="26"/>
      <c r="C119" s="211" t="str">
        <f t="shared" si="2"/>
        <v>CCI 115.26</v>
      </c>
      <c r="D119" s="49"/>
      <c r="E119" s="49"/>
      <c r="N119" s="191"/>
      <c r="O119" s="7">
        <v>115</v>
      </c>
    </row>
    <row r="120" spans="1:15" ht="31.95" customHeight="1" thickBot="1" x14ac:dyDescent="0.35">
      <c r="A120" s="15"/>
      <c r="B120" s="26"/>
      <c r="C120" s="211" t="str">
        <f t="shared" si="2"/>
        <v>CCI 116.26</v>
      </c>
      <c r="D120" s="49"/>
      <c r="E120" s="49"/>
      <c r="N120" s="191"/>
      <c r="O120" s="7">
        <v>116</v>
      </c>
    </row>
    <row r="121" spans="1:15" ht="31.95" customHeight="1" thickBot="1" x14ac:dyDescent="0.35">
      <c r="A121" s="15"/>
      <c r="B121" s="26"/>
      <c r="C121" s="211" t="str">
        <f t="shared" si="2"/>
        <v>CCI 117.26</v>
      </c>
      <c r="D121" s="49"/>
      <c r="E121" s="49"/>
      <c r="N121" s="191"/>
      <c r="O121" s="7">
        <v>117</v>
      </c>
    </row>
    <row r="122" spans="1:15" ht="31.95" customHeight="1" thickBot="1" x14ac:dyDescent="0.35">
      <c r="A122" s="15"/>
      <c r="B122" s="26"/>
      <c r="C122" s="211" t="str">
        <f t="shared" si="2"/>
        <v>CCI 118.26</v>
      </c>
      <c r="D122" s="49"/>
      <c r="E122" s="49"/>
      <c r="N122" s="191"/>
      <c r="O122" s="7">
        <v>118</v>
      </c>
    </row>
    <row r="123" spans="1:15" ht="31.95" customHeight="1" thickBot="1" x14ac:dyDescent="0.35">
      <c r="A123" s="15"/>
      <c r="B123" s="26"/>
      <c r="C123" s="211" t="str">
        <f t="shared" si="2"/>
        <v>CCI 119.26</v>
      </c>
      <c r="D123" s="49"/>
      <c r="E123" s="49"/>
      <c r="N123" s="191"/>
      <c r="O123" s="7">
        <v>119</v>
      </c>
    </row>
    <row r="124" spans="1:15" ht="31.95" customHeight="1" thickBot="1" x14ac:dyDescent="0.35">
      <c r="A124" s="15"/>
      <c r="B124" s="26"/>
      <c r="C124" s="211" t="str">
        <f t="shared" si="2"/>
        <v>CCI 120.26</v>
      </c>
      <c r="D124" s="49"/>
      <c r="E124" s="49"/>
      <c r="N124" s="191"/>
      <c r="O124" s="7">
        <v>120</v>
      </c>
    </row>
    <row r="125" spans="1:15" ht="31.95" customHeight="1" thickBot="1" x14ac:dyDescent="0.35">
      <c r="A125" s="15"/>
      <c r="B125" s="26"/>
      <c r="C125" s="211" t="str">
        <f t="shared" si="2"/>
        <v>CCI 121.26</v>
      </c>
      <c r="D125" s="49"/>
      <c r="E125" s="49"/>
      <c r="N125" s="191"/>
      <c r="O125" s="7">
        <v>121</v>
      </c>
    </row>
    <row r="126" spans="1:15" ht="31.95" customHeight="1" thickBot="1" x14ac:dyDescent="0.35">
      <c r="A126" s="15"/>
      <c r="B126" s="26"/>
      <c r="C126" s="211" t="str">
        <f t="shared" si="2"/>
        <v>CCI 122.26</v>
      </c>
      <c r="D126" s="49"/>
      <c r="E126" s="49"/>
      <c r="N126" s="191"/>
      <c r="O126" s="7">
        <v>122</v>
      </c>
    </row>
    <row r="127" spans="1:15" ht="31.95" customHeight="1" thickBot="1" x14ac:dyDescent="0.35">
      <c r="A127" s="15"/>
      <c r="B127" s="26"/>
      <c r="C127" s="211" t="str">
        <f t="shared" si="2"/>
        <v>CCI 123.26</v>
      </c>
      <c r="D127" s="49"/>
      <c r="E127" s="49"/>
      <c r="N127" s="191"/>
      <c r="O127" s="7">
        <v>123</v>
      </c>
    </row>
    <row r="128" spans="1:15" ht="31.95" customHeight="1" thickBot="1" x14ac:dyDescent="0.35">
      <c r="A128" s="15"/>
      <c r="B128" s="26"/>
      <c r="C128" s="211" t="str">
        <f t="shared" si="2"/>
        <v>CCI 124.26</v>
      </c>
      <c r="D128" s="49"/>
      <c r="E128" s="49"/>
      <c r="N128" s="191"/>
      <c r="O128" s="7">
        <v>124</v>
      </c>
    </row>
    <row r="129" spans="1:15" ht="31.95" customHeight="1" thickBot="1" x14ac:dyDescent="0.35">
      <c r="A129" s="15"/>
      <c r="B129" s="26"/>
      <c r="C129" s="211" t="str">
        <f t="shared" si="2"/>
        <v>CCI 125.26</v>
      </c>
      <c r="D129" s="49"/>
      <c r="E129" s="49"/>
      <c r="N129" s="191"/>
      <c r="O129" s="7">
        <v>125</v>
      </c>
    </row>
    <row r="130" spans="1:15" ht="31.95" customHeight="1" thickBot="1" x14ac:dyDescent="0.35">
      <c r="A130" s="15"/>
      <c r="B130" s="26"/>
      <c r="C130" s="211" t="str">
        <f t="shared" si="2"/>
        <v>CCI 126.26</v>
      </c>
      <c r="D130" s="49"/>
      <c r="E130" s="49"/>
      <c r="N130" s="191"/>
      <c r="O130" s="7">
        <v>126</v>
      </c>
    </row>
    <row r="131" spans="1:15" ht="31.95" customHeight="1" thickBot="1" x14ac:dyDescent="0.35">
      <c r="A131" s="15"/>
      <c r="B131" s="26"/>
      <c r="C131" s="211" t="str">
        <f t="shared" si="2"/>
        <v>CCI 127.26</v>
      </c>
      <c r="D131" s="49"/>
      <c r="E131" s="49"/>
      <c r="N131" s="191"/>
      <c r="O131" s="7">
        <v>127</v>
      </c>
    </row>
    <row r="132" spans="1:15" ht="31.95" customHeight="1" thickBot="1" x14ac:dyDescent="0.35">
      <c r="A132" s="15"/>
      <c r="B132" s="26"/>
      <c r="C132" s="211" t="str">
        <f t="shared" si="2"/>
        <v>CCI 128.26</v>
      </c>
      <c r="D132" s="49"/>
      <c r="E132" s="49"/>
      <c r="N132" s="191"/>
      <c r="O132" s="7">
        <v>128</v>
      </c>
    </row>
    <row r="133" spans="1:15" ht="31.95" customHeight="1" thickBot="1" x14ac:dyDescent="0.35">
      <c r="A133" s="15"/>
      <c r="B133" s="26"/>
      <c r="C133" s="211" t="str">
        <f t="shared" si="2"/>
        <v>CCI 129.26</v>
      </c>
      <c r="D133" s="49"/>
      <c r="E133" s="49"/>
      <c r="N133" s="191"/>
      <c r="O133" s="7">
        <v>129</v>
      </c>
    </row>
    <row r="134" spans="1:15" ht="31.95" customHeight="1" thickBot="1" x14ac:dyDescent="0.35">
      <c r="A134" s="15"/>
      <c r="B134" s="26"/>
      <c r="C134" s="211" t="str">
        <f t="shared" si="2"/>
        <v>CCI 130.26</v>
      </c>
      <c r="D134" s="49"/>
      <c r="E134" s="49"/>
      <c r="N134" s="191"/>
      <c r="O134" s="7">
        <v>130</v>
      </c>
    </row>
    <row r="135" spans="1:15" ht="31.95" customHeight="1" thickBot="1" x14ac:dyDescent="0.35">
      <c r="A135" s="15"/>
      <c r="B135" s="26"/>
      <c r="C135" s="211" t="str">
        <f t="shared" si="2"/>
        <v>CCI 131.26</v>
      </c>
      <c r="D135" s="49"/>
      <c r="E135" s="49"/>
      <c r="N135" s="191"/>
      <c r="O135" s="7">
        <v>131</v>
      </c>
    </row>
    <row r="136" spans="1:15" ht="31.95" customHeight="1" thickBot="1" x14ac:dyDescent="0.35">
      <c r="A136" s="15"/>
      <c r="B136" s="26"/>
      <c r="C136" s="211" t="str">
        <f t="shared" si="2"/>
        <v>CCI 132.26</v>
      </c>
      <c r="D136" s="49"/>
      <c r="E136" s="49"/>
      <c r="N136" s="191"/>
      <c r="O136" s="7">
        <v>132</v>
      </c>
    </row>
    <row r="137" spans="1:15" ht="31.95" customHeight="1" thickBot="1" x14ac:dyDescent="0.35">
      <c r="A137" s="15"/>
      <c r="B137" s="26"/>
      <c r="C137" s="211" t="str">
        <f t="shared" si="2"/>
        <v>CCI 133.26</v>
      </c>
      <c r="D137" s="49"/>
      <c r="E137" s="49"/>
      <c r="N137" s="191"/>
      <c r="O137" s="7">
        <v>133</v>
      </c>
    </row>
    <row r="138" spans="1:15" ht="31.95" customHeight="1" thickBot="1" x14ac:dyDescent="0.35">
      <c r="A138" s="15"/>
      <c r="B138" s="26"/>
      <c r="C138" s="211" t="str">
        <f t="shared" si="2"/>
        <v>CCI 134.26</v>
      </c>
      <c r="D138" s="49"/>
      <c r="E138" s="49"/>
      <c r="N138" s="191"/>
      <c r="O138" s="7">
        <v>134</v>
      </c>
    </row>
    <row r="139" spans="1:15" ht="31.95" customHeight="1" thickBot="1" x14ac:dyDescent="0.35">
      <c r="A139" s="15"/>
      <c r="B139" s="26"/>
      <c r="C139" s="211" t="str">
        <f t="shared" si="2"/>
        <v>CCI 135.26</v>
      </c>
      <c r="D139" s="49"/>
      <c r="E139" s="49"/>
      <c r="N139" s="191"/>
      <c r="O139" s="7">
        <v>135</v>
      </c>
    </row>
    <row r="140" spans="1:15" ht="31.95" customHeight="1" thickBot="1" x14ac:dyDescent="0.35">
      <c r="A140" s="15"/>
      <c r="B140" s="26"/>
      <c r="C140" s="211" t="str">
        <f t="shared" si="2"/>
        <v>CCI 136.26</v>
      </c>
      <c r="D140" s="49"/>
      <c r="E140" s="49"/>
      <c r="N140" s="191"/>
      <c r="O140" s="7">
        <v>136</v>
      </c>
    </row>
    <row r="141" spans="1:15" ht="31.95" customHeight="1" thickBot="1" x14ac:dyDescent="0.35">
      <c r="A141" s="15"/>
      <c r="B141" s="26"/>
      <c r="C141" s="211" t="str">
        <f t="shared" ref="C141:C203" si="3">CONCATENATE("CCI ",O141,".26")</f>
        <v>CCI 137.26</v>
      </c>
      <c r="D141" s="49"/>
      <c r="E141" s="49"/>
      <c r="N141" s="191"/>
      <c r="O141" s="7">
        <v>137</v>
      </c>
    </row>
    <row r="142" spans="1:15" ht="31.95" customHeight="1" thickBot="1" x14ac:dyDescent="0.35">
      <c r="A142" s="15"/>
      <c r="B142" s="26"/>
      <c r="C142" s="211" t="str">
        <f t="shared" si="3"/>
        <v>CCI 138.26</v>
      </c>
      <c r="D142" s="49"/>
      <c r="E142" s="49"/>
      <c r="N142" s="191"/>
      <c r="O142" s="7">
        <v>138</v>
      </c>
    </row>
    <row r="143" spans="1:15" ht="31.95" customHeight="1" thickBot="1" x14ac:dyDescent="0.35">
      <c r="A143" s="15"/>
      <c r="B143" s="26"/>
      <c r="C143" s="211" t="str">
        <f t="shared" si="3"/>
        <v>CCI 139.26</v>
      </c>
      <c r="D143" s="49"/>
      <c r="E143" s="49"/>
      <c r="N143" s="191"/>
      <c r="O143" s="7">
        <v>139</v>
      </c>
    </row>
    <row r="144" spans="1:15" ht="31.95" customHeight="1" thickBot="1" x14ac:dyDescent="0.35">
      <c r="A144" s="15"/>
      <c r="B144" s="26"/>
      <c r="C144" s="211" t="str">
        <f t="shared" si="3"/>
        <v>CCI 140.26</v>
      </c>
      <c r="D144" s="49"/>
      <c r="E144" s="49"/>
      <c r="N144" s="191"/>
      <c r="O144" s="7">
        <v>140</v>
      </c>
    </row>
    <row r="145" spans="1:15" ht="31.95" customHeight="1" thickBot="1" x14ac:dyDescent="0.35">
      <c r="A145" s="15"/>
      <c r="B145" s="26"/>
      <c r="C145" s="211" t="str">
        <f t="shared" si="3"/>
        <v>CCI 141.26</v>
      </c>
      <c r="D145" s="49"/>
      <c r="E145" s="49"/>
      <c r="N145" s="191"/>
      <c r="O145" s="7">
        <v>141</v>
      </c>
    </row>
    <row r="146" spans="1:15" ht="31.95" customHeight="1" thickBot="1" x14ac:dyDescent="0.35">
      <c r="A146" s="15"/>
      <c r="B146" s="26"/>
      <c r="C146" s="211" t="str">
        <f t="shared" si="3"/>
        <v>CCI 142.26</v>
      </c>
      <c r="D146" s="49"/>
      <c r="E146" s="49"/>
      <c r="N146" s="191"/>
      <c r="O146" s="7">
        <v>142</v>
      </c>
    </row>
    <row r="147" spans="1:15" ht="31.95" customHeight="1" thickBot="1" x14ac:dyDescent="0.35">
      <c r="A147" s="15"/>
      <c r="B147" s="26"/>
      <c r="C147" s="211" t="str">
        <f t="shared" si="3"/>
        <v>CCI 143.26</v>
      </c>
      <c r="D147" s="49"/>
      <c r="E147" s="49"/>
      <c r="N147" s="191"/>
      <c r="O147" s="7">
        <v>143</v>
      </c>
    </row>
    <row r="148" spans="1:15" ht="31.95" customHeight="1" thickBot="1" x14ac:dyDescent="0.35">
      <c r="A148" s="15"/>
      <c r="B148" s="26"/>
      <c r="C148" s="211" t="str">
        <f t="shared" si="3"/>
        <v>CCI 144.26</v>
      </c>
      <c r="D148" s="49"/>
      <c r="E148" s="49"/>
      <c r="N148" s="191"/>
      <c r="O148" s="7">
        <v>144</v>
      </c>
    </row>
    <row r="149" spans="1:15" ht="31.95" customHeight="1" thickBot="1" x14ac:dyDescent="0.35">
      <c r="A149" s="15"/>
      <c r="B149" s="26"/>
      <c r="C149" s="211" t="str">
        <f t="shared" si="3"/>
        <v>CCI 145.26</v>
      </c>
      <c r="D149" s="49"/>
      <c r="E149" s="49"/>
      <c r="N149" s="191"/>
      <c r="O149" s="7">
        <v>145</v>
      </c>
    </row>
    <row r="150" spans="1:15" ht="31.95" customHeight="1" thickBot="1" x14ac:dyDescent="0.35">
      <c r="A150" s="15"/>
      <c r="B150" s="26"/>
      <c r="C150" s="211" t="str">
        <f t="shared" si="3"/>
        <v>CCI 146.26</v>
      </c>
      <c r="D150" s="49"/>
      <c r="E150" s="49"/>
      <c r="N150" s="191"/>
      <c r="O150" s="7">
        <v>146</v>
      </c>
    </row>
    <row r="151" spans="1:15" ht="31.95" customHeight="1" thickBot="1" x14ac:dyDescent="0.35">
      <c r="A151" s="15"/>
      <c r="B151" s="26"/>
      <c r="C151" s="211" t="str">
        <f t="shared" si="3"/>
        <v>CCI 147.26</v>
      </c>
      <c r="D151" s="49"/>
      <c r="E151" s="49"/>
      <c r="N151" s="191"/>
      <c r="O151" s="7">
        <v>147</v>
      </c>
    </row>
    <row r="152" spans="1:15" ht="31.95" customHeight="1" thickBot="1" x14ac:dyDescent="0.35">
      <c r="A152" s="15"/>
      <c r="B152" s="26"/>
      <c r="C152" s="211" t="str">
        <f t="shared" si="3"/>
        <v>CCI 148.26</v>
      </c>
      <c r="D152" s="49"/>
      <c r="E152" s="49"/>
      <c r="N152" s="191"/>
      <c r="O152" s="7">
        <v>148</v>
      </c>
    </row>
    <row r="153" spans="1:15" ht="31.95" customHeight="1" thickBot="1" x14ac:dyDescent="0.35">
      <c r="A153" s="15"/>
      <c r="B153" s="26"/>
      <c r="C153" s="211" t="str">
        <f t="shared" si="3"/>
        <v>CCI 149.26</v>
      </c>
      <c r="D153" s="49"/>
      <c r="E153" s="49"/>
      <c r="N153" s="191"/>
      <c r="O153" s="7">
        <v>149</v>
      </c>
    </row>
    <row r="154" spans="1:15" ht="31.95" customHeight="1" thickBot="1" x14ac:dyDescent="0.35">
      <c r="A154" s="15"/>
      <c r="B154" s="26"/>
      <c r="C154" s="211" t="str">
        <f t="shared" si="3"/>
        <v>CCI 150.26</v>
      </c>
      <c r="D154" s="49"/>
      <c r="E154" s="49"/>
      <c r="N154" s="191"/>
      <c r="O154" s="7">
        <v>150</v>
      </c>
    </row>
    <row r="155" spans="1:15" ht="31.95" customHeight="1" thickBot="1" x14ac:dyDescent="0.35">
      <c r="A155" s="15"/>
      <c r="B155" s="26"/>
      <c r="C155" s="211" t="str">
        <f t="shared" si="3"/>
        <v>CCI 151.26</v>
      </c>
      <c r="D155" s="49"/>
      <c r="E155" s="49"/>
      <c r="N155" s="191"/>
      <c r="O155" s="7">
        <v>151</v>
      </c>
    </row>
    <row r="156" spans="1:15" ht="31.95" customHeight="1" thickBot="1" x14ac:dyDescent="0.35">
      <c r="A156" s="15"/>
      <c r="B156" s="26"/>
      <c r="C156" s="211" t="str">
        <f t="shared" si="3"/>
        <v>CCI 152.26</v>
      </c>
      <c r="D156" s="49"/>
      <c r="E156" s="49"/>
      <c r="N156" s="191"/>
      <c r="O156" s="7">
        <v>152</v>
      </c>
    </row>
    <row r="157" spans="1:15" ht="31.95" customHeight="1" thickBot="1" x14ac:dyDescent="0.35">
      <c r="A157" s="15"/>
      <c r="B157" s="26"/>
      <c r="C157" s="211" t="str">
        <f t="shared" si="3"/>
        <v>CCI 153.26</v>
      </c>
      <c r="D157" s="49"/>
      <c r="E157" s="49"/>
      <c r="N157" s="191"/>
      <c r="O157" s="7">
        <v>153</v>
      </c>
    </row>
    <row r="158" spans="1:15" ht="31.95" customHeight="1" thickBot="1" x14ac:dyDescent="0.35">
      <c r="A158" s="15"/>
      <c r="B158" s="26"/>
      <c r="C158" s="211" t="str">
        <f t="shared" si="3"/>
        <v>CCI 154.26</v>
      </c>
      <c r="D158" s="49"/>
      <c r="E158" s="49"/>
      <c r="N158" s="191"/>
      <c r="O158" s="7">
        <v>154</v>
      </c>
    </row>
    <row r="159" spans="1:15" ht="31.95" customHeight="1" thickBot="1" x14ac:dyDescent="0.35">
      <c r="A159" s="15"/>
      <c r="B159" s="26"/>
      <c r="C159" s="211" t="str">
        <f t="shared" si="3"/>
        <v>CCI 155.26</v>
      </c>
      <c r="D159" s="49"/>
      <c r="E159" s="49"/>
      <c r="N159" s="191"/>
      <c r="O159" s="7">
        <v>155</v>
      </c>
    </row>
    <row r="160" spans="1:15" ht="31.95" customHeight="1" thickBot="1" x14ac:dyDescent="0.35">
      <c r="A160" s="15"/>
      <c r="B160" s="26"/>
      <c r="C160" s="211" t="str">
        <f t="shared" si="3"/>
        <v>CCI 156.26</v>
      </c>
      <c r="D160" s="49"/>
      <c r="E160" s="49"/>
      <c r="N160" s="191"/>
      <c r="O160" s="7">
        <v>156</v>
      </c>
    </row>
    <row r="161" spans="1:15" ht="31.95" customHeight="1" thickBot="1" x14ac:dyDescent="0.35">
      <c r="A161" s="15"/>
      <c r="B161" s="26"/>
      <c r="C161" s="211" t="str">
        <f t="shared" si="3"/>
        <v>CCI 157.26</v>
      </c>
      <c r="D161" s="49"/>
      <c r="E161" s="49"/>
      <c r="N161" s="191"/>
      <c r="O161" s="7">
        <v>157</v>
      </c>
    </row>
    <row r="162" spans="1:15" ht="31.95" customHeight="1" thickBot="1" x14ac:dyDescent="0.35">
      <c r="A162" s="15"/>
      <c r="B162" s="26"/>
      <c r="C162" s="211" t="str">
        <f t="shared" si="3"/>
        <v>CCI 158.26</v>
      </c>
      <c r="D162" s="49"/>
      <c r="E162" s="49"/>
      <c r="N162" s="191"/>
      <c r="O162" s="7">
        <v>158</v>
      </c>
    </row>
    <row r="163" spans="1:15" ht="31.95" customHeight="1" thickBot="1" x14ac:dyDescent="0.35">
      <c r="A163" s="15"/>
      <c r="B163" s="26"/>
      <c r="C163" s="211" t="str">
        <f t="shared" si="3"/>
        <v>CCI 159.26</v>
      </c>
      <c r="D163" s="49"/>
      <c r="E163" s="49"/>
      <c r="N163" s="191"/>
      <c r="O163" s="7">
        <v>159</v>
      </c>
    </row>
    <row r="164" spans="1:15" ht="31.95" customHeight="1" thickBot="1" x14ac:dyDescent="0.35">
      <c r="A164" s="15"/>
      <c r="B164" s="26"/>
      <c r="C164" s="211" t="str">
        <f t="shared" si="3"/>
        <v>CCI 160.26</v>
      </c>
      <c r="D164" s="49"/>
      <c r="E164" s="49"/>
      <c r="N164" s="191"/>
      <c r="O164" s="7">
        <v>160</v>
      </c>
    </row>
    <row r="165" spans="1:15" ht="31.95" customHeight="1" thickBot="1" x14ac:dyDescent="0.35">
      <c r="A165" s="15"/>
      <c r="B165" s="26"/>
      <c r="C165" s="211" t="str">
        <f t="shared" si="3"/>
        <v>CCI 161.26</v>
      </c>
      <c r="D165" s="49"/>
      <c r="E165" s="49"/>
      <c r="N165" s="191"/>
      <c r="O165" s="7">
        <v>161</v>
      </c>
    </row>
    <row r="166" spans="1:15" ht="31.95" customHeight="1" thickBot="1" x14ac:dyDescent="0.35">
      <c r="A166" s="15"/>
      <c r="B166" s="26"/>
      <c r="C166" s="211" t="str">
        <f t="shared" si="3"/>
        <v>CCI 162.26</v>
      </c>
      <c r="D166" s="49"/>
      <c r="E166" s="49"/>
      <c r="N166" s="191"/>
      <c r="O166" s="7">
        <v>162</v>
      </c>
    </row>
    <row r="167" spans="1:15" ht="31.95" customHeight="1" thickBot="1" x14ac:dyDescent="0.35">
      <c r="A167" s="15"/>
      <c r="B167" s="26"/>
      <c r="C167" s="211" t="str">
        <f t="shared" si="3"/>
        <v>CCI 163.26</v>
      </c>
      <c r="D167" s="49"/>
      <c r="E167" s="49"/>
      <c r="N167" s="191"/>
      <c r="O167" s="7">
        <v>163</v>
      </c>
    </row>
    <row r="168" spans="1:15" ht="31.95" customHeight="1" thickBot="1" x14ac:dyDescent="0.35">
      <c r="A168" s="15"/>
      <c r="B168" s="26"/>
      <c r="C168" s="211" t="str">
        <f t="shared" si="3"/>
        <v>CCI 164.26</v>
      </c>
      <c r="D168" s="49"/>
      <c r="E168" s="49"/>
      <c r="N168" s="191"/>
      <c r="O168" s="7">
        <v>164</v>
      </c>
    </row>
    <row r="169" spans="1:15" ht="31.95" customHeight="1" thickBot="1" x14ac:dyDescent="0.35">
      <c r="A169" s="15"/>
      <c r="B169" s="26"/>
      <c r="C169" s="211" t="str">
        <f t="shared" si="3"/>
        <v>CCI 165.26</v>
      </c>
      <c r="D169" s="49"/>
      <c r="E169" s="49"/>
      <c r="N169" s="191"/>
      <c r="O169" s="7">
        <v>165</v>
      </c>
    </row>
    <row r="170" spans="1:15" ht="31.95" customHeight="1" thickBot="1" x14ac:dyDescent="0.35">
      <c r="A170" s="15"/>
      <c r="B170" s="26"/>
      <c r="C170" s="211" t="str">
        <f t="shared" si="3"/>
        <v>CCI 166.26</v>
      </c>
      <c r="D170" s="49"/>
      <c r="E170" s="49"/>
      <c r="N170" s="191"/>
      <c r="O170" s="7">
        <v>166</v>
      </c>
    </row>
    <row r="171" spans="1:15" ht="31.95" customHeight="1" thickBot="1" x14ac:dyDescent="0.35">
      <c r="A171" s="15"/>
      <c r="B171" s="26"/>
      <c r="C171" s="211" t="str">
        <f t="shared" si="3"/>
        <v>CCI 167.26</v>
      </c>
      <c r="D171" s="49"/>
      <c r="E171" s="49"/>
      <c r="N171" s="191"/>
      <c r="O171" s="7">
        <v>167</v>
      </c>
    </row>
    <row r="172" spans="1:15" ht="31.95" customHeight="1" thickBot="1" x14ac:dyDescent="0.35">
      <c r="A172" s="15"/>
      <c r="B172" s="26"/>
      <c r="C172" s="211" t="str">
        <f t="shared" si="3"/>
        <v>CCI 168.26</v>
      </c>
      <c r="D172" s="49"/>
      <c r="E172" s="49"/>
      <c r="N172" s="191"/>
      <c r="O172" s="7">
        <v>168</v>
      </c>
    </row>
    <row r="173" spans="1:15" ht="31.95" customHeight="1" thickBot="1" x14ac:dyDescent="0.35">
      <c r="A173" s="15"/>
      <c r="B173" s="26"/>
      <c r="C173" s="211" t="str">
        <f t="shared" si="3"/>
        <v>CCI 169.26</v>
      </c>
      <c r="D173" s="49"/>
      <c r="E173" s="49"/>
      <c r="N173" s="191"/>
      <c r="O173" s="7">
        <v>169</v>
      </c>
    </row>
    <row r="174" spans="1:15" ht="31.95" customHeight="1" thickBot="1" x14ac:dyDescent="0.35">
      <c r="A174" s="15"/>
      <c r="B174" s="26"/>
      <c r="C174" s="211" t="str">
        <f t="shared" si="3"/>
        <v>CCI 170.26</v>
      </c>
      <c r="D174" s="49"/>
      <c r="E174" s="49"/>
      <c r="N174" s="191"/>
      <c r="O174" s="7">
        <v>170</v>
      </c>
    </row>
    <row r="175" spans="1:15" ht="31.95" customHeight="1" thickBot="1" x14ac:dyDescent="0.35">
      <c r="A175" s="15"/>
      <c r="B175" s="26"/>
      <c r="C175" s="211" t="str">
        <f t="shared" si="3"/>
        <v>CCI 171.26</v>
      </c>
      <c r="D175" s="49"/>
      <c r="E175" s="49"/>
      <c r="N175" s="191"/>
      <c r="O175" s="7">
        <v>171</v>
      </c>
    </row>
    <row r="176" spans="1:15" ht="31.95" customHeight="1" thickBot="1" x14ac:dyDescent="0.35">
      <c r="A176" s="15"/>
      <c r="B176" s="26"/>
      <c r="C176" s="211" t="str">
        <f t="shared" si="3"/>
        <v>CCI 172.26</v>
      </c>
      <c r="D176" s="49"/>
      <c r="E176" s="49"/>
      <c r="N176" s="191"/>
      <c r="O176" s="7">
        <v>172</v>
      </c>
    </row>
    <row r="177" spans="1:15" ht="31.95" customHeight="1" thickBot="1" x14ac:dyDescent="0.35">
      <c r="A177" s="15"/>
      <c r="B177" s="26"/>
      <c r="C177" s="211" t="str">
        <f t="shared" si="3"/>
        <v>CCI 173.26</v>
      </c>
      <c r="D177" s="49"/>
      <c r="E177" s="49"/>
      <c r="N177" s="191"/>
      <c r="O177" s="7">
        <v>173</v>
      </c>
    </row>
    <row r="178" spans="1:15" ht="31.95" customHeight="1" thickBot="1" x14ac:dyDescent="0.35">
      <c r="A178" s="15"/>
      <c r="B178" s="26"/>
      <c r="C178" s="211" t="str">
        <f t="shared" si="3"/>
        <v>CCI 174.26</v>
      </c>
      <c r="D178" s="49"/>
      <c r="E178" s="49"/>
      <c r="N178" s="191"/>
      <c r="O178" s="7">
        <v>174</v>
      </c>
    </row>
    <row r="179" spans="1:15" ht="31.95" customHeight="1" thickBot="1" x14ac:dyDescent="0.35">
      <c r="A179" s="15"/>
      <c r="B179" s="26"/>
      <c r="C179" s="211" t="str">
        <f t="shared" si="3"/>
        <v>CCI 175.26</v>
      </c>
      <c r="D179" s="49"/>
      <c r="E179" s="49"/>
      <c r="N179" s="191"/>
      <c r="O179" s="7">
        <v>175</v>
      </c>
    </row>
    <row r="180" spans="1:15" ht="31.95" customHeight="1" thickBot="1" x14ac:dyDescent="0.35">
      <c r="A180" s="15"/>
      <c r="B180" s="26"/>
      <c r="C180" s="211" t="str">
        <f t="shared" si="3"/>
        <v>CCI 176.26</v>
      </c>
      <c r="D180" s="49"/>
      <c r="E180" s="49"/>
      <c r="N180" s="191"/>
      <c r="O180" s="7">
        <v>176</v>
      </c>
    </row>
    <row r="181" spans="1:15" ht="31.95" customHeight="1" thickBot="1" x14ac:dyDescent="0.35">
      <c r="A181" s="15"/>
      <c r="B181" s="26"/>
      <c r="C181" s="211" t="str">
        <f t="shared" si="3"/>
        <v>CCI 177.26</v>
      </c>
      <c r="D181" s="49"/>
      <c r="E181" s="49"/>
      <c r="N181" s="191"/>
      <c r="O181" s="7">
        <v>177</v>
      </c>
    </row>
    <row r="182" spans="1:15" ht="31.95" customHeight="1" thickBot="1" x14ac:dyDescent="0.35">
      <c r="A182" s="15"/>
      <c r="B182" s="26"/>
      <c r="C182" s="211" t="str">
        <f t="shared" si="3"/>
        <v>CCI 178.26</v>
      </c>
      <c r="D182" s="49"/>
      <c r="E182" s="49"/>
      <c r="N182" s="191"/>
      <c r="O182" s="7">
        <v>178</v>
      </c>
    </row>
    <row r="183" spans="1:15" ht="31.95" customHeight="1" thickBot="1" x14ac:dyDescent="0.35">
      <c r="A183" s="15"/>
      <c r="B183" s="26"/>
      <c r="C183" s="211" t="str">
        <f t="shared" si="3"/>
        <v>CCI 179.26</v>
      </c>
      <c r="D183" s="49"/>
      <c r="E183" s="49"/>
      <c r="N183" s="191"/>
      <c r="O183" s="7">
        <v>179</v>
      </c>
    </row>
    <row r="184" spans="1:15" ht="31.95" customHeight="1" thickBot="1" x14ac:dyDescent="0.35">
      <c r="A184" s="15"/>
      <c r="B184" s="26"/>
      <c r="C184" s="211" t="str">
        <f t="shared" si="3"/>
        <v>CCI 180.26</v>
      </c>
      <c r="D184" s="49"/>
      <c r="E184" s="49"/>
      <c r="N184" s="191"/>
      <c r="O184" s="7">
        <v>180</v>
      </c>
    </row>
    <row r="185" spans="1:15" ht="31.95" customHeight="1" thickBot="1" x14ac:dyDescent="0.35">
      <c r="A185" s="15"/>
      <c r="B185" s="26"/>
      <c r="C185" s="211" t="str">
        <f t="shared" si="3"/>
        <v>CCI 181.26</v>
      </c>
      <c r="D185" s="49"/>
      <c r="E185" s="49"/>
      <c r="N185" s="191"/>
      <c r="O185" s="7">
        <v>181</v>
      </c>
    </row>
    <row r="186" spans="1:15" ht="31.95" customHeight="1" thickBot="1" x14ac:dyDescent="0.35">
      <c r="A186" s="15"/>
      <c r="B186" s="26"/>
      <c r="C186" s="211" t="str">
        <f t="shared" si="3"/>
        <v>CCI 182.26</v>
      </c>
      <c r="D186" s="49"/>
      <c r="E186" s="49"/>
      <c r="N186" s="191"/>
      <c r="O186" s="7">
        <v>182</v>
      </c>
    </row>
    <row r="187" spans="1:15" ht="31.95" customHeight="1" thickBot="1" x14ac:dyDescent="0.35">
      <c r="A187" s="15"/>
      <c r="B187" s="26"/>
      <c r="C187" s="211" t="str">
        <f t="shared" si="3"/>
        <v>CCI 183.26</v>
      </c>
      <c r="D187" s="49"/>
      <c r="E187" s="49"/>
      <c r="N187" s="191"/>
      <c r="O187" s="7">
        <v>183</v>
      </c>
    </row>
    <row r="188" spans="1:15" ht="31.95" customHeight="1" thickBot="1" x14ac:dyDescent="0.35">
      <c r="A188" s="15"/>
      <c r="B188" s="26"/>
      <c r="C188" s="211" t="str">
        <f t="shared" si="3"/>
        <v>CCI 184.26</v>
      </c>
      <c r="D188" s="49"/>
      <c r="E188" s="49"/>
      <c r="N188" s="191"/>
      <c r="O188" s="7">
        <v>184</v>
      </c>
    </row>
    <row r="189" spans="1:15" ht="31.95" customHeight="1" thickBot="1" x14ac:dyDescent="0.35">
      <c r="A189" s="15"/>
      <c r="B189" s="26"/>
      <c r="C189" s="211" t="str">
        <f t="shared" si="3"/>
        <v>CCI 185.26</v>
      </c>
      <c r="D189" s="49"/>
      <c r="E189" s="49"/>
      <c r="N189" s="191"/>
      <c r="O189" s="7">
        <v>185</v>
      </c>
    </row>
    <row r="190" spans="1:15" ht="31.95" customHeight="1" thickBot="1" x14ac:dyDescent="0.35">
      <c r="A190" s="15"/>
      <c r="B190" s="26"/>
      <c r="C190" s="211" t="str">
        <f t="shared" si="3"/>
        <v>CCI 186.26</v>
      </c>
      <c r="D190" s="49"/>
      <c r="E190" s="49"/>
      <c r="N190" s="191"/>
      <c r="O190" s="7">
        <v>186</v>
      </c>
    </row>
    <row r="191" spans="1:15" ht="31.95" customHeight="1" thickBot="1" x14ac:dyDescent="0.35">
      <c r="A191" s="15"/>
      <c r="B191" s="26"/>
      <c r="C191" s="211" t="str">
        <f t="shared" si="3"/>
        <v>CCI 187.26</v>
      </c>
      <c r="D191" s="49"/>
      <c r="E191" s="49"/>
      <c r="N191" s="191"/>
      <c r="O191" s="7">
        <v>187</v>
      </c>
    </row>
    <row r="192" spans="1:15" ht="31.95" customHeight="1" thickBot="1" x14ac:dyDescent="0.35">
      <c r="A192" s="15"/>
      <c r="B192" s="26"/>
      <c r="C192" s="211" t="str">
        <f t="shared" si="3"/>
        <v>CCI 188.26</v>
      </c>
      <c r="D192" s="49"/>
      <c r="E192" s="49"/>
      <c r="N192" s="191"/>
      <c r="O192" s="7">
        <v>188</v>
      </c>
    </row>
    <row r="193" spans="1:15" ht="31.95" customHeight="1" thickBot="1" x14ac:dyDescent="0.35">
      <c r="A193" s="15"/>
      <c r="B193" s="26"/>
      <c r="C193" s="211" t="str">
        <f t="shared" si="3"/>
        <v>CCI 189.26</v>
      </c>
      <c r="D193" s="49"/>
      <c r="E193" s="49"/>
      <c r="N193" s="191"/>
      <c r="O193" s="7">
        <v>189</v>
      </c>
    </row>
    <row r="194" spans="1:15" ht="31.95" customHeight="1" thickBot="1" x14ac:dyDescent="0.35">
      <c r="A194" s="15"/>
      <c r="B194" s="26"/>
      <c r="C194" s="211" t="str">
        <f t="shared" si="3"/>
        <v>CCI 190.26</v>
      </c>
      <c r="D194" s="49"/>
      <c r="E194" s="49"/>
      <c r="N194" s="191"/>
      <c r="O194" s="7">
        <v>190</v>
      </c>
    </row>
    <row r="195" spans="1:15" ht="31.95" customHeight="1" thickBot="1" x14ac:dyDescent="0.35">
      <c r="A195" s="15"/>
      <c r="B195" s="26"/>
      <c r="C195" s="211" t="str">
        <f t="shared" si="3"/>
        <v>CCI 191.26</v>
      </c>
      <c r="D195" s="49"/>
      <c r="E195" s="49"/>
      <c r="N195" s="191"/>
      <c r="O195" s="7">
        <v>191</v>
      </c>
    </row>
    <row r="196" spans="1:15" ht="31.95" customHeight="1" thickBot="1" x14ac:dyDescent="0.35">
      <c r="A196" s="15"/>
      <c r="B196" s="26"/>
      <c r="C196" s="211" t="str">
        <f t="shared" si="3"/>
        <v>CCI 192.26</v>
      </c>
      <c r="D196" s="49"/>
      <c r="E196" s="49"/>
      <c r="N196" s="191"/>
      <c r="O196" s="7">
        <v>192</v>
      </c>
    </row>
    <row r="197" spans="1:15" ht="31.95" customHeight="1" thickBot="1" x14ac:dyDescent="0.35">
      <c r="A197" s="15"/>
      <c r="B197" s="26"/>
      <c r="C197" s="211" t="str">
        <f t="shared" si="3"/>
        <v>CCI 193.26</v>
      </c>
      <c r="D197" s="49"/>
      <c r="E197" s="49"/>
      <c r="N197" s="191"/>
      <c r="O197" s="7">
        <v>193</v>
      </c>
    </row>
    <row r="198" spans="1:15" ht="31.95" customHeight="1" thickBot="1" x14ac:dyDescent="0.35">
      <c r="A198" s="15"/>
      <c r="B198" s="26"/>
      <c r="C198" s="211" t="str">
        <f t="shared" si="3"/>
        <v>CCI 194.26</v>
      </c>
      <c r="D198" s="49"/>
      <c r="E198" s="49"/>
      <c r="N198" s="191"/>
      <c r="O198" s="7">
        <v>194</v>
      </c>
    </row>
    <row r="199" spans="1:15" ht="31.95" customHeight="1" thickBot="1" x14ac:dyDescent="0.35">
      <c r="A199" s="15"/>
      <c r="B199" s="26"/>
      <c r="C199" s="211" t="str">
        <f t="shared" si="3"/>
        <v>CCI 195.26</v>
      </c>
      <c r="D199" s="49"/>
      <c r="E199" s="49"/>
      <c r="N199" s="191"/>
      <c r="O199" s="7">
        <v>195</v>
      </c>
    </row>
    <row r="200" spans="1:15" ht="31.95" customHeight="1" thickBot="1" x14ac:dyDescent="0.35">
      <c r="A200" s="15"/>
      <c r="B200" s="26"/>
      <c r="C200" s="211" t="str">
        <f t="shared" si="3"/>
        <v>CCI 196.26</v>
      </c>
      <c r="D200" s="49"/>
      <c r="E200" s="49"/>
      <c r="N200" s="191"/>
      <c r="O200" s="7">
        <v>196</v>
      </c>
    </row>
    <row r="201" spans="1:15" ht="31.95" customHeight="1" thickBot="1" x14ac:dyDescent="0.35">
      <c r="A201" s="15"/>
      <c r="B201" s="26"/>
      <c r="C201" s="211" t="str">
        <f t="shared" si="3"/>
        <v>CCI 197.26</v>
      </c>
      <c r="D201" s="49"/>
      <c r="E201" s="49"/>
      <c r="N201" s="191"/>
      <c r="O201" s="7">
        <v>197</v>
      </c>
    </row>
    <row r="202" spans="1:15" ht="31.95" customHeight="1" thickBot="1" x14ac:dyDescent="0.35">
      <c r="A202" s="15"/>
      <c r="B202" s="26"/>
      <c r="C202" s="211" t="str">
        <f t="shared" si="3"/>
        <v>CCI 198.26</v>
      </c>
      <c r="D202" s="49"/>
      <c r="E202" s="49"/>
      <c r="N202" s="191"/>
      <c r="O202" s="7">
        <v>198</v>
      </c>
    </row>
    <row r="203" spans="1:15" ht="31.95" customHeight="1" thickBot="1" x14ac:dyDescent="0.35">
      <c r="A203" s="15"/>
      <c r="B203" s="26"/>
      <c r="C203" s="211" t="str">
        <f t="shared" si="3"/>
        <v>CCI 199.26</v>
      </c>
      <c r="D203" s="49"/>
      <c r="E203" s="49"/>
      <c r="N203" s="191"/>
      <c r="O203" s="7">
        <v>199</v>
      </c>
    </row>
    <row r="204" spans="1:15" ht="31.95" customHeight="1" thickBot="1" x14ac:dyDescent="0.35">
      <c r="A204" s="15"/>
      <c r="B204" s="26"/>
      <c r="C204" s="249" t="s">
        <v>11</v>
      </c>
      <c r="D204" s="49"/>
      <c r="E204" s="49"/>
      <c r="N204" s="191"/>
      <c r="O204" s="7">
        <v>200</v>
      </c>
    </row>
  </sheetData>
  <sheetProtection formatCells="0" formatColumns="0" formatRows="0" insertColumns="0" insertRows="0" insertHyperlinks="0" deleteColumns="0" deleteRows="0" sort="0" autoFilter="0" pivotTables="0"/>
  <autoFilter ref="B4:E204" xr:uid="{16E03DE0-F594-427C-8C5B-D1C64917A8BC}">
    <filterColumn colId="3">
      <filters blank="1">
        <filter val="Aberto"/>
      </filters>
    </filterColumn>
  </autoFilter>
  <phoneticPr fontId="4" type="noConversion"/>
  <conditionalFormatting sqref="E5:E204">
    <cfRule type="containsText" dxfId="3" priority="1" operator="containsText" text="Aberto">
      <formula>NOT(ISERROR(SEARCH("Aberto",E5)))</formula>
    </cfRule>
    <cfRule type="containsText" dxfId="2" priority="2" operator="containsText" text="Fechado">
      <formula>NOT(ISERROR(SEARCH("Fechado",E5)))</formula>
    </cfRule>
  </conditionalFormatting>
  <dataValidations count="2">
    <dataValidation type="list" allowBlank="1" showInputMessage="1" showErrorMessage="1" sqref="E5:E15" xr:uid="{CF32A38D-62A5-4F9F-A2DE-FFD80557F038}">
      <formula1>$O$3:$O$4</formula1>
    </dataValidation>
    <dataValidation type="list" allowBlank="1" showInputMessage="1" showErrorMessage="1" sqref="E16:E204" xr:uid="{2BD5378A-E8B3-4EF3-A6AA-46EF06483E2C}">
      <formula1>#REF!</formula1>
    </dataValidation>
  </dataValidations>
  <hyperlinks>
    <hyperlink ref="A1" location="'Ordem de compra'!A1" display="'Ordem de compra'!A1" xr:uid="{97595F3D-D211-429F-AD2F-00DF818F308F}"/>
  </hyperlink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206F-4555-47F4-8882-D0DE7BEB3BF0}">
  <sheetPr codeName="Planilha6" filterMode="1"/>
  <dimension ref="A1:V2000"/>
  <sheetViews>
    <sheetView showGridLine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10.6640625" style="2" customWidth="1"/>
    <col min="2" max="3" width="15.6640625" style="2" customWidth="1"/>
    <col min="4" max="4" width="42.6640625" style="2" customWidth="1"/>
    <col min="5" max="11" width="15.6640625" style="2" customWidth="1"/>
    <col min="12" max="16384" width="8.88671875" style="2"/>
  </cols>
  <sheetData>
    <row r="1" spans="1:22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4" spans="1:22" ht="31.95" customHeight="1" x14ac:dyDescent="0.3">
      <c r="B4" s="29" t="s">
        <v>1276</v>
      </c>
      <c r="C4" s="29" t="s">
        <v>4</v>
      </c>
      <c r="D4" s="29" t="s">
        <v>1275</v>
      </c>
      <c r="E4" s="29" t="s">
        <v>5</v>
      </c>
      <c r="F4" s="12"/>
      <c r="G4" s="12"/>
      <c r="H4" s="10"/>
      <c r="I4" s="10"/>
      <c r="J4" s="10"/>
      <c r="K4" s="11"/>
    </row>
    <row r="5" spans="1:22" ht="31.95" hidden="1" customHeight="1" x14ac:dyDescent="0.3">
      <c r="B5" s="6" t="str">
        <f ca="1">IF(AND(NEGOCIAÇÕES!O5="",NEGOCIAÇÕES!N5&lt;TODAY()),NEGOCIAÇÕES!C5,"")</f>
        <v/>
      </c>
      <c r="C5" s="6" t="str">
        <f ca="1">IF(AND(NEGOCIAÇÕES!O5="",NEGOCIAÇÕES!N5&lt;TODAY()),NEGOCIAÇÕES!E5,"")</f>
        <v/>
      </c>
      <c r="D5" s="6" t="str">
        <f ca="1">IF(AND(NEGOCIAÇÕES!O5="",NEGOCIAÇÕES!N5&lt;TODAY()),NEGOCIAÇÕES!D5,"")</f>
        <v/>
      </c>
      <c r="E5" s="9" t="str">
        <f ca="1">IF(AND(NEGOCIAÇÕES!O5="",NEGOCIAÇÕES!N5&lt;TODAY()),NEGOCIAÇÕES!N5,"")</f>
        <v/>
      </c>
      <c r="F5" s="6"/>
      <c r="G5" s="9"/>
      <c r="H5" s="9"/>
      <c r="I5" s="9"/>
      <c r="J5" s="6"/>
      <c r="K5" s="8"/>
    </row>
    <row r="6" spans="1:22" ht="31.95" hidden="1" customHeight="1" x14ac:dyDescent="0.3">
      <c r="B6" s="6" t="str">
        <f ca="1">IF(AND(NEGOCIAÇÕES!O6="",NEGOCIAÇÕES!N6&lt;TODAY()),NEGOCIAÇÕES!C6,"")</f>
        <v/>
      </c>
      <c r="C6" s="6" t="str">
        <f ca="1">IF(AND(NEGOCIAÇÕES!O6="",NEGOCIAÇÕES!N6&lt;TODAY()),NEGOCIAÇÕES!E6,"")</f>
        <v/>
      </c>
      <c r="D6" s="6" t="str">
        <f ca="1">IF(AND(NEGOCIAÇÕES!O6="",NEGOCIAÇÕES!N6&lt;TODAY()),NEGOCIAÇÕES!D6,"")</f>
        <v/>
      </c>
      <c r="E6" s="9" t="str">
        <f ca="1">IF(AND(NEGOCIAÇÕES!O6="",NEGOCIAÇÕES!N6&lt;TODAY()),NEGOCIAÇÕES!N6,"")</f>
        <v/>
      </c>
      <c r="F6" s="6"/>
      <c r="G6" s="9"/>
    </row>
    <row r="7" spans="1:22" ht="31.95" hidden="1" customHeight="1" x14ac:dyDescent="0.3">
      <c r="B7" s="6" t="str">
        <f ca="1">IF(AND(NEGOCIAÇÕES!O7="",NEGOCIAÇÕES!N7&lt;TODAY()),NEGOCIAÇÕES!C7,"")</f>
        <v/>
      </c>
      <c r="C7" s="6" t="str">
        <f ca="1">IF(AND(NEGOCIAÇÕES!O7="",NEGOCIAÇÕES!N7&lt;TODAY()),NEGOCIAÇÕES!E7,"")</f>
        <v/>
      </c>
      <c r="D7" s="6" t="str">
        <f ca="1">IF(AND(NEGOCIAÇÕES!O7="",NEGOCIAÇÕES!N7&lt;TODAY()),NEGOCIAÇÕES!D7,"")</f>
        <v/>
      </c>
      <c r="E7" s="9" t="str">
        <f ca="1">IF(AND(NEGOCIAÇÕES!O7="",NEGOCIAÇÕES!N7&lt;TODAY()),NEGOCIAÇÕES!N7,"")</f>
        <v/>
      </c>
      <c r="F7" s="6"/>
    </row>
    <row r="8" spans="1:22" ht="31.95" hidden="1" customHeight="1" x14ac:dyDescent="0.3">
      <c r="B8" s="6" t="str">
        <f ca="1">IF(AND(NEGOCIAÇÕES!O8="",NEGOCIAÇÕES!N8&lt;TODAY()),NEGOCIAÇÕES!C8,"")</f>
        <v/>
      </c>
      <c r="C8" s="6" t="str">
        <f ca="1">IF(AND(NEGOCIAÇÕES!O8="",NEGOCIAÇÕES!N8&lt;TODAY()),NEGOCIAÇÕES!E8,"")</f>
        <v/>
      </c>
      <c r="D8" s="6" t="str">
        <f ca="1">IF(AND(NEGOCIAÇÕES!O8="",NEGOCIAÇÕES!N8&lt;TODAY()),NEGOCIAÇÕES!D8,"")</f>
        <v/>
      </c>
      <c r="E8" s="9" t="str">
        <f ca="1">IF(AND(NEGOCIAÇÕES!O8="",NEGOCIAÇÕES!N8&lt;TODAY()),NEGOCIAÇÕES!N8,"")</f>
        <v/>
      </c>
      <c r="F8" s="6"/>
    </row>
    <row r="9" spans="1:22" ht="31.95" hidden="1" customHeight="1" x14ac:dyDescent="0.3">
      <c r="B9" s="6" t="str">
        <f ca="1">IF(AND(NEGOCIAÇÕES!O9="",NEGOCIAÇÕES!N9&lt;TODAY()),NEGOCIAÇÕES!C9,"")</f>
        <v/>
      </c>
      <c r="C9" s="6" t="str">
        <f ca="1">IF(AND(NEGOCIAÇÕES!O9="",NEGOCIAÇÕES!N9&lt;TODAY()),NEGOCIAÇÕES!E9,"")</f>
        <v/>
      </c>
      <c r="D9" s="6" t="str">
        <f ca="1">IF(AND(NEGOCIAÇÕES!O9="",NEGOCIAÇÕES!N9&lt;TODAY()),NEGOCIAÇÕES!D9,"")</f>
        <v/>
      </c>
      <c r="E9" s="9" t="str">
        <f ca="1">IF(AND(NEGOCIAÇÕES!O9="",NEGOCIAÇÕES!N9&lt;TODAY()),NEGOCIAÇÕES!N9,"")</f>
        <v/>
      </c>
      <c r="F9" s="6"/>
    </row>
    <row r="10" spans="1:22" ht="31.95" hidden="1" customHeight="1" x14ac:dyDescent="0.3">
      <c r="B10" s="6" t="str">
        <f ca="1">IF(AND(NEGOCIAÇÕES!O10="",NEGOCIAÇÕES!N10&lt;TODAY()),NEGOCIAÇÕES!C10,"")</f>
        <v/>
      </c>
      <c r="C10" s="6" t="str">
        <f ca="1">IF(AND(NEGOCIAÇÕES!O10="",NEGOCIAÇÕES!N10&lt;TODAY()),NEGOCIAÇÕES!E10,"")</f>
        <v/>
      </c>
      <c r="D10" s="6" t="str">
        <f ca="1">IF(AND(NEGOCIAÇÕES!O10="",NEGOCIAÇÕES!N10&lt;TODAY()),NEGOCIAÇÕES!D10,"")</f>
        <v/>
      </c>
      <c r="E10" s="9" t="str">
        <f ca="1">IF(AND(NEGOCIAÇÕES!O10="",NEGOCIAÇÕES!N10&lt;TODAY()),NEGOCIAÇÕES!N10,"")</f>
        <v/>
      </c>
      <c r="F10" s="6"/>
    </row>
    <row r="11" spans="1:22" ht="31.95" hidden="1" customHeight="1" x14ac:dyDescent="0.3">
      <c r="B11" s="6" t="str">
        <f ca="1">IF(AND(NEGOCIAÇÕES!O11="",NEGOCIAÇÕES!N11&lt;TODAY()),NEGOCIAÇÕES!C11,"")</f>
        <v/>
      </c>
      <c r="C11" s="6" t="str">
        <f ca="1">IF(AND(NEGOCIAÇÕES!O11="",NEGOCIAÇÕES!N11&lt;TODAY()),NEGOCIAÇÕES!E11,"")</f>
        <v/>
      </c>
      <c r="D11" s="6" t="str">
        <f ca="1">IF(AND(NEGOCIAÇÕES!O11="",NEGOCIAÇÕES!N11&lt;TODAY()),NEGOCIAÇÕES!D11,"")</f>
        <v/>
      </c>
      <c r="E11" s="9" t="str">
        <f ca="1">IF(AND(NEGOCIAÇÕES!O11="",NEGOCIAÇÕES!N11&lt;TODAY()),NEGOCIAÇÕES!N11,"")</f>
        <v/>
      </c>
      <c r="F11" s="6"/>
    </row>
    <row r="12" spans="1:22" ht="31.95" hidden="1" customHeight="1" x14ac:dyDescent="0.3">
      <c r="B12" s="6" t="str">
        <f ca="1">IF(AND(NEGOCIAÇÕES!O12="",NEGOCIAÇÕES!N12&lt;TODAY()),NEGOCIAÇÕES!C12,"")</f>
        <v/>
      </c>
      <c r="C12" s="6" t="str">
        <f ca="1">IF(AND(NEGOCIAÇÕES!O12="",NEGOCIAÇÕES!N12&lt;TODAY()),NEGOCIAÇÕES!E12,"")</f>
        <v/>
      </c>
      <c r="D12" s="6" t="str">
        <f ca="1">IF(AND(NEGOCIAÇÕES!O12="",NEGOCIAÇÕES!N12&lt;TODAY()),NEGOCIAÇÕES!D12,"")</f>
        <v/>
      </c>
      <c r="E12" s="9" t="str">
        <f ca="1">IF(AND(NEGOCIAÇÕES!O12="",NEGOCIAÇÕES!N12&lt;TODAY()),NEGOCIAÇÕES!N12,"")</f>
        <v/>
      </c>
      <c r="F12" s="6"/>
    </row>
    <row r="13" spans="1:22" ht="31.95" hidden="1" customHeight="1" x14ac:dyDescent="0.3">
      <c r="B13" s="6" t="str">
        <f ca="1">IF(AND(NEGOCIAÇÕES!O13="",NEGOCIAÇÕES!N13&lt;TODAY()),NEGOCIAÇÕES!C13,"")</f>
        <v/>
      </c>
      <c r="C13" s="6" t="str">
        <f ca="1">IF(AND(NEGOCIAÇÕES!O13="",NEGOCIAÇÕES!N13&lt;TODAY()),NEGOCIAÇÕES!E13,"")</f>
        <v/>
      </c>
      <c r="D13" s="6" t="str">
        <f ca="1">IF(AND(NEGOCIAÇÕES!O13="",NEGOCIAÇÕES!N13&lt;TODAY()),NEGOCIAÇÕES!D13,"")</f>
        <v/>
      </c>
      <c r="E13" s="9" t="str">
        <f ca="1">IF(AND(NEGOCIAÇÕES!O13="",NEGOCIAÇÕES!N13&lt;TODAY()),NEGOCIAÇÕES!N13,"")</f>
        <v/>
      </c>
      <c r="F13" s="6"/>
    </row>
    <row r="14" spans="1:22" ht="31.95" hidden="1" customHeight="1" x14ac:dyDescent="0.3">
      <c r="B14" s="6" t="str">
        <f ca="1">IF(AND(NEGOCIAÇÕES!O14="",NEGOCIAÇÕES!N14&lt;TODAY()),NEGOCIAÇÕES!C14,"")</f>
        <v/>
      </c>
      <c r="C14" s="6" t="str">
        <f ca="1">IF(AND(NEGOCIAÇÕES!O14="",NEGOCIAÇÕES!N14&lt;TODAY()),NEGOCIAÇÕES!E14,"")</f>
        <v/>
      </c>
      <c r="D14" s="6" t="str">
        <f ca="1">IF(AND(NEGOCIAÇÕES!O14="",NEGOCIAÇÕES!N14&lt;TODAY()),NEGOCIAÇÕES!D14,"")</f>
        <v/>
      </c>
      <c r="E14" s="9" t="str">
        <f ca="1">IF(AND(NEGOCIAÇÕES!O14="",NEGOCIAÇÕES!N14&lt;TODAY()),NEGOCIAÇÕES!N14,"")</f>
        <v/>
      </c>
      <c r="F14" s="6"/>
    </row>
    <row r="15" spans="1:22" ht="31.95" hidden="1" customHeight="1" x14ac:dyDescent="0.3">
      <c r="B15" s="6" t="str">
        <f ca="1">IF(AND(NEGOCIAÇÕES!O15="",NEGOCIAÇÕES!N15&lt;TODAY()),NEGOCIAÇÕES!C15,"")</f>
        <v/>
      </c>
      <c r="C15" s="6" t="str">
        <f ca="1">IF(AND(NEGOCIAÇÕES!O15="",NEGOCIAÇÕES!N15&lt;TODAY()),NEGOCIAÇÕES!E15,"")</f>
        <v/>
      </c>
      <c r="D15" s="6" t="str">
        <f ca="1">IF(AND(NEGOCIAÇÕES!O15="",NEGOCIAÇÕES!N15&lt;TODAY()),NEGOCIAÇÕES!D15,"")</f>
        <v/>
      </c>
      <c r="E15" s="9" t="str">
        <f ca="1">IF(AND(NEGOCIAÇÕES!O15="",NEGOCIAÇÕES!N15&lt;TODAY()),NEGOCIAÇÕES!N15,"")</f>
        <v/>
      </c>
      <c r="F15" s="6"/>
    </row>
    <row r="16" spans="1:22" ht="31.95" hidden="1" customHeight="1" x14ac:dyDescent="0.3">
      <c r="B16" s="6" t="str">
        <f ca="1">IF(AND(NEGOCIAÇÕES!O16="",NEGOCIAÇÕES!N16&lt;TODAY()),NEGOCIAÇÕES!C16,"")</f>
        <v/>
      </c>
      <c r="C16" s="6" t="str">
        <f ca="1">IF(AND(NEGOCIAÇÕES!O16="",NEGOCIAÇÕES!N16&lt;TODAY()),NEGOCIAÇÕES!E16,"")</f>
        <v/>
      </c>
      <c r="D16" s="6" t="str">
        <f ca="1">IF(AND(NEGOCIAÇÕES!O16="",NEGOCIAÇÕES!N16&lt;TODAY()),NEGOCIAÇÕES!D16,"")</f>
        <v/>
      </c>
      <c r="E16" s="9" t="str">
        <f ca="1">IF(AND(NEGOCIAÇÕES!O16="",NEGOCIAÇÕES!N16&lt;TODAY()),NEGOCIAÇÕES!N16,"")</f>
        <v/>
      </c>
      <c r="F16" s="6"/>
    </row>
    <row r="17" spans="2:6" ht="31.95" hidden="1" customHeight="1" x14ac:dyDescent="0.3">
      <c r="B17" s="6" t="str">
        <f ca="1">IF(AND(NEGOCIAÇÕES!O17="",NEGOCIAÇÕES!N17&lt;TODAY()),NEGOCIAÇÕES!C17,"")</f>
        <v/>
      </c>
      <c r="C17" s="6" t="str">
        <f ca="1">IF(AND(NEGOCIAÇÕES!O17="",NEGOCIAÇÕES!N17&lt;TODAY()),NEGOCIAÇÕES!E17,"")</f>
        <v/>
      </c>
      <c r="D17" s="6" t="str">
        <f ca="1">IF(AND(NEGOCIAÇÕES!O17="",NEGOCIAÇÕES!N17&lt;TODAY()),NEGOCIAÇÕES!D17,"")</f>
        <v/>
      </c>
      <c r="E17" s="9" t="str">
        <f ca="1">IF(AND(NEGOCIAÇÕES!O17="",NEGOCIAÇÕES!N17&lt;TODAY()),NEGOCIAÇÕES!N17,"")</f>
        <v/>
      </c>
      <c r="F17" s="6"/>
    </row>
    <row r="18" spans="2:6" ht="31.95" hidden="1" customHeight="1" x14ac:dyDescent="0.3">
      <c r="B18" s="6" t="str">
        <f ca="1">IF(AND(NEGOCIAÇÕES!O18="",NEGOCIAÇÕES!N18&lt;TODAY()),NEGOCIAÇÕES!C18,"")</f>
        <v/>
      </c>
      <c r="C18" s="6" t="str">
        <f ca="1">IF(AND(NEGOCIAÇÕES!O18="",NEGOCIAÇÕES!N18&lt;TODAY()),NEGOCIAÇÕES!E18,"")</f>
        <v/>
      </c>
      <c r="D18" s="6" t="str">
        <f ca="1">IF(AND(NEGOCIAÇÕES!O18="",NEGOCIAÇÕES!N18&lt;TODAY()),NEGOCIAÇÕES!D18,"")</f>
        <v/>
      </c>
      <c r="E18" s="9" t="str">
        <f ca="1">IF(AND(NEGOCIAÇÕES!O18="",NEGOCIAÇÕES!N18&lt;TODAY()),NEGOCIAÇÕES!N18,"")</f>
        <v/>
      </c>
      <c r="F18" s="6"/>
    </row>
    <row r="19" spans="2:6" ht="31.95" hidden="1" customHeight="1" x14ac:dyDescent="0.3">
      <c r="B19" s="6" t="str">
        <f ca="1">IF(AND(NEGOCIAÇÕES!O19="",NEGOCIAÇÕES!N19&lt;TODAY()),NEGOCIAÇÕES!C19,"")</f>
        <v/>
      </c>
      <c r="C19" s="6" t="str">
        <f ca="1">IF(AND(NEGOCIAÇÕES!O19="",NEGOCIAÇÕES!N19&lt;TODAY()),NEGOCIAÇÕES!E19,"")</f>
        <v/>
      </c>
      <c r="D19" s="6" t="str">
        <f ca="1">IF(AND(NEGOCIAÇÕES!O19="",NEGOCIAÇÕES!N19&lt;TODAY()),NEGOCIAÇÕES!D19,"")</f>
        <v/>
      </c>
      <c r="E19" s="9" t="str">
        <f ca="1">IF(AND(NEGOCIAÇÕES!O19="",NEGOCIAÇÕES!N19&lt;TODAY()),NEGOCIAÇÕES!N19,"")</f>
        <v/>
      </c>
      <c r="F19" s="6"/>
    </row>
    <row r="20" spans="2:6" ht="31.95" hidden="1" customHeight="1" x14ac:dyDescent="0.3">
      <c r="B20" s="6" t="str">
        <f ca="1">IF(AND(NEGOCIAÇÕES!O20="",NEGOCIAÇÕES!N20&lt;TODAY()),NEGOCIAÇÕES!C20,"")</f>
        <v/>
      </c>
      <c r="C20" s="6" t="str">
        <f ca="1">IF(AND(NEGOCIAÇÕES!O20="",NEGOCIAÇÕES!N20&lt;TODAY()),NEGOCIAÇÕES!E20,"")</f>
        <v/>
      </c>
      <c r="D20" s="6" t="str">
        <f ca="1">IF(AND(NEGOCIAÇÕES!O20="",NEGOCIAÇÕES!N20&lt;TODAY()),NEGOCIAÇÕES!D20,"")</f>
        <v/>
      </c>
      <c r="E20" s="9" t="str">
        <f ca="1">IF(AND(NEGOCIAÇÕES!O20="",NEGOCIAÇÕES!N20&lt;TODAY()),NEGOCIAÇÕES!N20,"")</f>
        <v/>
      </c>
      <c r="F20" s="6"/>
    </row>
    <row r="21" spans="2:6" ht="31.95" hidden="1" customHeight="1" x14ac:dyDescent="0.3">
      <c r="B21" s="6" t="str">
        <f ca="1">IF(AND(NEGOCIAÇÕES!O21="",NEGOCIAÇÕES!N21&lt;TODAY()),NEGOCIAÇÕES!C21,"")</f>
        <v/>
      </c>
      <c r="C21" s="6" t="str">
        <f ca="1">IF(AND(NEGOCIAÇÕES!O21="",NEGOCIAÇÕES!N21&lt;TODAY()),NEGOCIAÇÕES!E21,"")</f>
        <v/>
      </c>
      <c r="D21" s="6" t="str">
        <f ca="1">IF(AND(NEGOCIAÇÕES!O21="",NEGOCIAÇÕES!N21&lt;TODAY()),NEGOCIAÇÕES!D21,"")</f>
        <v/>
      </c>
      <c r="E21" s="9" t="str">
        <f ca="1">IF(AND(NEGOCIAÇÕES!O21="",NEGOCIAÇÕES!N21&lt;TODAY()),NEGOCIAÇÕES!N21,"")</f>
        <v/>
      </c>
      <c r="F21" s="6"/>
    </row>
    <row r="22" spans="2:6" ht="31.95" hidden="1" customHeight="1" x14ac:dyDescent="0.3">
      <c r="B22" s="6" t="str">
        <f ca="1">IF(AND(NEGOCIAÇÕES!O22="",NEGOCIAÇÕES!N22&lt;TODAY()),NEGOCIAÇÕES!C22,"")</f>
        <v/>
      </c>
      <c r="C22" s="6" t="str">
        <f ca="1">IF(AND(NEGOCIAÇÕES!O22="",NEGOCIAÇÕES!N22&lt;TODAY()),NEGOCIAÇÕES!E22,"")</f>
        <v/>
      </c>
      <c r="D22" s="6" t="str">
        <f ca="1">IF(AND(NEGOCIAÇÕES!O22="",NEGOCIAÇÕES!N22&lt;TODAY()),NEGOCIAÇÕES!D22,"")</f>
        <v/>
      </c>
      <c r="E22" s="9" t="str">
        <f ca="1">IF(AND(NEGOCIAÇÕES!O22="",NEGOCIAÇÕES!N22&lt;TODAY()),NEGOCIAÇÕES!N22,"")</f>
        <v/>
      </c>
      <c r="F22" s="6"/>
    </row>
    <row r="23" spans="2:6" ht="31.95" hidden="1" customHeight="1" x14ac:dyDescent="0.3">
      <c r="B23" s="6" t="str">
        <f ca="1">IF(AND(NEGOCIAÇÕES!O23="",NEGOCIAÇÕES!N23&lt;TODAY()),NEGOCIAÇÕES!C23,"")</f>
        <v/>
      </c>
      <c r="C23" s="6" t="str">
        <f ca="1">IF(AND(NEGOCIAÇÕES!O23="",NEGOCIAÇÕES!N23&lt;TODAY()),NEGOCIAÇÕES!E23,"")</f>
        <v/>
      </c>
      <c r="D23" s="6" t="str">
        <f ca="1">IF(AND(NEGOCIAÇÕES!O23="",NEGOCIAÇÕES!N23&lt;TODAY()),NEGOCIAÇÕES!D23,"")</f>
        <v/>
      </c>
      <c r="E23" s="9" t="str">
        <f ca="1">IF(AND(NEGOCIAÇÕES!O23="",NEGOCIAÇÕES!N23&lt;TODAY()),NEGOCIAÇÕES!N23,"")</f>
        <v/>
      </c>
      <c r="F23" s="6"/>
    </row>
    <row r="24" spans="2:6" ht="31.95" hidden="1" customHeight="1" x14ac:dyDescent="0.3">
      <c r="B24" s="6" t="str">
        <f ca="1">IF(AND(NEGOCIAÇÕES!O24="",NEGOCIAÇÕES!N24&lt;TODAY()),NEGOCIAÇÕES!C24,"")</f>
        <v/>
      </c>
      <c r="C24" s="6" t="str">
        <f ca="1">IF(AND(NEGOCIAÇÕES!O24="",NEGOCIAÇÕES!N24&lt;TODAY()),NEGOCIAÇÕES!E24,"")</f>
        <v/>
      </c>
      <c r="D24" s="6" t="str">
        <f ca="1">IF(AND(NEGOCIAÇÕES!O24="",NEGOCIAÇÕES!N24&lt;TODAY()),NEGOCIAÇÕES!D24,"")</f>
        <v/>
      </c>
      <c r="E24" s="9" t="str">
        <f ca="1">IF(AND(NEGOCIAÇÕES!O24="",NEGOCIAÇÕES!N24&lt;TODAY()),NEGOCIAÇÕES!N24,"")</f>
        <v/>
      </c>
      <c r="F24" s="6"/>
    </row>
    <row r="25" spans="2:6" ht="31.95" hidden="1" customHeight="1" x14ac:dyDescent="0.3">
      <c r="B25" s="6" t="str">
        <f ca="1">IF(AND(NEGOCIAÇÕES!O25="",NEGOCIAÇÕES!N25&lt;TODAY()),NEGOCIAÇÕES!C25,"")</f>
        <v/>
      </c>
      <c r="C25" s="6" t="str">
        <f ca="1">IF(AND(NEGOCIAÇÕES!O25="",NEGOCIAÇÕES!N25&lt;TODAY()),NEGOCIAÇÕES!E25,"")</f>
        <v/>
      </c>
      <c r="D25" s="6" t="str">
        <f ca="1">IF(AND(NEGOCIAÇÕES!O25="",NEGOCIAÇÕES!N25&lt;TODAY()),NEGOCIAÇÕES!D25,"")</f>
        <v/>
      </c>
      <c r="E25" s="9" t="str">
        <f ca="1">IF(AND(NEGOCIAÇÕES!O25="",NEGOCIAÇÕES!N25&lt;TODAY()),NEGOCIAÇÕES!N25,"")</f>
        <v/>
      </c>
      <c r="F25" s="6"/>
    </row>
    <row r="26" spans="2:6" ht="31.95" hidden="1" customHeight="1" x14ac:dyDescent="0.3">
      <c r="B26" s="6" t="str">
        <f ca="1">IF(AND(NEGOCIAÇÕES!O26="",NEGOCIAÇÕES!N26&lt;TODAY()),NEGOCIAÇÕES!C26,"")</f>
        <v/>
      </c>
      <c r="C26" s="6" t="str">
        <f ca="1">IF(AND(NEGOCIAÇÕES!O26="",NEGOCIAÇÕES!N26&lt;TODAY()),NEGOCIAÇÕES!E26,"")</f>
        <v/>
      </c>
      <c r="D26" s="6" t="str">
        <f ca="1">IF(AND(NEGOCIAÇÕES!O26="",NEGOCIAÇÕES!N26&lt;TODAY()),NEGOCIAÇÕES!D26,"")</f>
        <v/>
      </c>
      <c r="E26" s="9" t="str">
        <f ca="1">IF(AND(NEGOCIAÇÕES!O26="",NEGOCIAÇÕES!N26&lt;TODAY()),NEGOCIAÇÕES!N26,"")</f>
        <v/>
      </c>
      <c r="F26" s="6"/>
    </row>
    <row r="27" spans="2:6" ht="31.95" hidden="1" customHeight="1" x14ac:dyDescent="0.3">
      <c r="B27" s="6" t="str">
        <f ca="1">IF(AND(NEGOCIAÇÕES!O27="",NEGOCIAÇÕES!N27&lt;TODAY()),NEGOCIAÇÕES!C27,"")</f>
        <v/>
      </c>
      <c r="C27" s="6" t="str">
        <f ca="1">IF(AND(NEGOCIAÇÕES!O27="",NEGOCIAÇÕES!N27&lt;TODAY()),NEGOCIAÇÕES!E27,"")</f>
        <v/>
      </c>
      <c r="D27" s="6" t="str">
        <f ca="1">IF(AND(NEGOCIAÇÕES!O27="",NEGOCIAÇÕES!N27&lt;TODAY()),NEGOCIAÇÕES!D27,"")</f>
        <v/>
      </c>
      <c r="E27" s="9" t="str">
        <f ca="1">IF(AND(NEGOCIAÇÕES!O27="",NEGOCIAÇÕES!N27&lt;TODAY()),NEGOCIAÇÕES!N27,"")</f>
        <v/>
      </c>
      <c r="F27" s="6"/>
    </row>
    <row r="28" spans="2:6" ht="31.95" hidden="1" customHeight="1" x14ac:dyDescent="0.3">
      <c r="B28" s="6" t="str">
        <f ca="1">IF(AND(NEGOCIAÇÕES!O28="",NEGOCIAÇÕES!N28&lt;TODAY()),NEGOCIAÇÕES!C28,"")</f>
        <v/>
      </c>
      <c r="C28" s="6" t="str">
        <f ca="1">IF(AND(NEGOCIAÇÕES!O28="",NEGOCIAÇÕES!N28&lt;TODAY()),NEGOCIAÇÕES!E28,"")</f>
        <v/>
      </c>
      <c r="D28" s="6" t="str">
        <f ca="1">IF(AND(NEGOCIAÇÕES!O28="",NEGOCIAÇÕES!N28&lt;TODAY()),NEGOCIAÇÕES!D28,"")</f>
        <v/>
      </c>
      <c r="E28" s="9" t="str">
        <f ca="1">IF(AND(NEGOCIAÇÕES!O28="",NEGOCIAÇÕES!N28&lt;TODAY()),NEGOCIAÇÕES!N28,"")</f>
        <v/>
      </c>
      <c r="F28" s="6"/>
    </row>
    <row r="29" spans="2:6" ht="31.95" hidden="1" customHeight="1" x14ac:dyDescent="0.3">
      <c r="B29" s="6" t="str">
        <f ca="1">IF(AND(NEGOCIAÇÕES!O29="",NEGOCIAÇÕES!N29&lt;TODAY()),NEGOCIAÇÕES!C29,"")</f>
        <v/>
      </c>
      <c r="C29" s="6" t="str">
        <f ca="1">IF(AND(NEGOCIAÇÕES!O29="",NEGOCIAÇÕES!N29&lt;TODAY()),NEGOCIAÇÕES!E29,"")</f>
        <v/>
      </c>
      <c r="D29" s="6" t="str">
        <f ca="1">IF(AND(NEGOCIAÇÕES!O29="",NEGOCIAÇÕES!N29&lt;TODAY()),NEGOCIAÇÕES!D29,"")</f>
        <v/>
      </c>
      <c r="E29" s="9" t="str">
        <f ca="1">IF(AND(NEGOCIAÇÕES!O29="",NEGOCIAÇÕES!N29&lt;TODAY()),NEGOCIAÇÕES!N29,"")</f>
        <v/>
      </c>
      <c r="F29" s="6"/>
    </row>
    <row r="30" spans="2:6" ht="31.95" hidden="1" customHeight="1" x14ac:dyDescent="0.3">
      <c r="B30" s="6" t="str">
        <f ca="1">IF(AND(NEGOCIAÇÕES!O30="",NEGOCIAÇÕES!N30&lt;TODAY()),NEGOCIAÇÕES!C30,"")</f>
        <v/>
      </c>
      <c r="C30" s="6" t="str">
        <f ca="1">IF(AND(NEGOCIAÇÕES!O30="",NEGOCIAÇÕES!N30&lt;TODAY()),NEGOCIAÇÕES!E30,"")</f>
        <v/>
      </c>
      <c r="D30" s="6" t="str">
        <f ca="1">IF(AND(NEGOCIAÇÕES!O30="",NEGOCIAÇÕES!N30&lt;TODAY()),NEGOCIAÇÕES!D30,"")</f>
        <v/>
      </c>
      <c r="E30" s="9" t="str">
        <f ca="1">IF(AND(NEGOCIAÇÕES!O30="",NEGOCIAÇÕES!N30&lt;TODAY()),NEGOCIAÇÕES!N30,"")</f>
        <v/>
      </c>
      <c r="F30" s="6"/>
    </row>
    <row r="31" spans="2:6" ht="31.95" hidden="1" customHeight="1" x14ac:dyDescent="0.3">
      <c r="B31" s="6" t="str">
        <f ca="1">IF(AND(NEGOCIAÇÕES!O31="",NEGOCIAÇÕES!N31&lt;TODAY()),NEGOCIAÇÕES!C31,"")</f>
        <v/>
      </c>
      <c r="C31" s="6" t="str">
        <f ca="1">IF(AND(NEGOCIAÇÕES!O31="",NEGOCIAÇÕES!N31&lt;TODAY()),NEGOCIAÇÕES!E31,"")</f>
        <v/>
      </c>
      <c r="D31" s="6" t="str">
        <f ca="1">IF(AND(NEGOCIAÇÕES!O31="",NEGOCIAÇÕES!N31&lt;TODAY()),NEGOCIAÇÕES!D31,"")</f>
        <v/>
      </c>
      <c r="E31" s="9" t="str">
        <f ca="1">IF(AND(NEGOCIAÇÕES!O31="",NEGOCIAÇÕES!N31&lt;TODAY()),NEGOCIAÇÕES!N31,"")</f>
        <v/>
      </c>
      <c r="F31" s="6"/>
    </row>
    <row r="32" spans="2:6" ht="31.95" hidden="1" customHeight="1" x14ac:dyDescent="0.3">
      <c r="B32" s="6" t="str">
        <f ca="1">IF(AND(NEGOCIAÇÕES!O32="",NEGOCIAÇÕES!N32&lt;TODAY()),NEGOCIAÇÕES!C32,"")</f>
        <v/>
      </c>
      <c r="C32" s="6" t="str">
        <f ca="1">IF(AND(NEGOCIAÇÕES!O32="",NEGOCIAÇÕES!N32&lt;TODAY()),NEGOCIAÇÕES!E32,"")</f>
        <v/>
      </c>
      <c r="D32" s="6" t="str">
        <f ca="1">IF(AND(NEGOCIAÇÕES!O32="",NEGOCIAÇÕES!N32&lt;TODAY()),NEGOCIAÇÕES!D32,"")</f>
        <v/>
      </c>
      <c r="E32" s="9" t="str">
        <f ca="1">IF(AND(NEGOCIAÇÕES!O32="",NEGOCIAÇÕES!N32&lt;TODAY()),NEGOCIAÇÕES!N32,"")</f>
        <v/>
      </c>
      <c r="F32" s="6"/>
    </row>
    <row r="33" spans="2:6" ht="31.95" hidden="1" customHeight="1" x14ac:dyDescent="0.3">
      <c r="B33" s="6" t="str">
        <f ca="1">IF(AND(NEGOCIAÇÕES!O33="",NEGOCIAÇÕES!N33&lt;TODAY()),NEGOCIAÇÕES!C33,"")</f>
        <v/>
      </c>
      <c r="C33" s="6" t="str">
        <f ca="1">IF(AND(NEGOCIAÇÕES!O33="",NEGOCIAÇÕES!N33&lt;TODAY()),NEGOCIAÇÕES!E33,"")</f>
        <v/>
      </c>
      <c r="D33" s="6" t="str">
        <f ca="1">IF(AND(NEGOCIAÇÕES!O33="",NEGOCIAÇÕES!N33&lt;TODAY()),NEGOCIAÇÕES!D33,"")</f>
        <v/>
      </c>
      <c r="E33" s="9" t="str">
        <f ca="1">IF(AND(NEGOCIAÇÕES!O33="",NEGOCIAÇÕES!N33&lt;TODAY()),NEGOCIAÇÕES!N33,"")</f>
        <v/>
      </c>
      <c r="F33" s="6"/>
    </row>
    <row r="34" spans="2:6" ht="31.95" hidden="1" customHeight="1" x14ac:dyDescent="0.3">
      <c r="B34" s="6" t="str">
        <f ca="1">IF(AND(NEGOCIAÇÕES!O34="",NEGOCIAÇÕES!N34&lt;TODAY()),NEGOCIAÇÕES!C34,"")</f>
        <v/>
      </c>
      <c r="C34" s="6" t="str">
        <f ca="1">IF(AND(NEGOCIAÇÕES!O34="",NEGOCIAÇÕES!N34&lt;TODAY()),NEGOCIAÇÕES!E34,"")</f>
        <v/>
      </c>
      <c r="D34" s="6" t="str">
        <f ca="1">IF(AND(NEGOCIAÇÕES!O34="",NEGOCIAÇÕES!N34&lt;TODAY()),NEGOCIAÇÕES!D34,"")</f>
        <v/>
      </c>
      <c r="E34" s="9" t="str">
        <f ca="1">IF(AND(NEGOCIAÇÕES!O34="",NEGOCIAÇÕES!N34&lt;TODAY()),NEGOCIAÇÕES!N34,"")</f>
        <v/>
      </c>
      <c r="F34" s="6"/>
    </row>
    <row r="35" spans="2:6" ht="31.95" hidden="1" customHeight="1" x14ac:dyDescent="0.3">
      <c r="B35" s="6" t="str">
        <f ca="1">IF(AND(NEGOCIAÇÕES!O35="",NEGOCIAÇÕES!N35&lt;TODAY()),NEGOCIAÇÕES!C35,"")</f>
        <v/>
      </c>
      <c r="C35" s="6" t="str">
        <f ca="1">IF(AND(NEGOCIAÇÕES!O35="",NEGOCIAÇÕES!N35&lt;TODAY()),NEGOCIAÇÕES!E35,"")</f>
        <v/>
      </c>
      <c r="D35" s="6" t="str">
        <f ca="1">IF(AND(NEGOCIAÇÕES!O35="",NEGOCIAÇÕES!N35&lt;TODAY()),NEGOCIAÇÕES!D35,"")</f>
        <v/>
      </c>
      <c r="E35" s="9" t="str">
        <f ca="1">IF(AND(NEGOCIAÇÕES!O35="",NEGOCIAÇÕES!N35&lt;TODAY()),NEGOCIAÇÕES!N35,"")</f>
        <v/>
      </c>
      <c r="F35" s="6"/>
    </row>
    <row r="36" spans="2:6" ht="31.95" hidden="1" customHeight="1" x14ac:dyDescent="0.3">
      <c r="B36" s="6" t="str">
        <f ca="1">IF(AND(NEGOCIAÇÕES!O36="",NEGOCIAÇÕES!N36&lt;TODAY()),NEGOCIAÇÕES!C36,"")</f>
        <v/>
      </c>
      <c r="C36" s="6" t="str">
        <f ca="1">IF(AND(NEGOCIAÇÕES!O36="",NEGOCIAÇÕES!N36&lt;TODAY()),NEGOCIAÇÕES!E36,"")</f>
        <v/>
      </c>
      <c r="D36" s="6" t="str">
        <f ca="1">IF(AND(NEGOCIAÇÕES!O36="",NEGOCIAÇÕES!N36&lt;TODAY()),NEGOCIAÇÕES!D36,"")</f>
        <v/>
      </c>
      <c r="E36" s="9" t="str">
        <f ca="1">IF(AND(NEGOCIAÇÕES!O36="",NEGOCIAÇÕES!N36&lt;TODAY()),NEGOCIAÇÕES!N36,"")</f>
        <v/>
      </c>
      <c r="F36" s="6"/>
    </row>
    <row r="37" spans="2:6" ht="31.95" hidden="1" customHeight="1" x14ac:dyDescent="0.3">
      <c r="B37" s="6" t="str">
        <f ca="1">IF(AND(NEGOCIAÇÕES!O37="",NEGOCIAÇÕES!N37&lt;TODAY()),NEGOCIAÇÕES!C37,"")</f>
        <v/>
      </c>
      <c r="C37" s="6" t="str">
        <f ca="1">IF(AND(NEGOCIAÇÕES!O37="",NEGOCIAÇÕES!N37&lt;TODAY()),NEGOCIAÇÕES!E37,"")</f>
        <v/>
      </c>
      <c r="D37" s="6" t="str">
        <f ca="1">IF(AND(NEGOCIAÇÕES!O37="",NEGOCIAÇÕES!N37&lt;TODAY()),NEGOCIAÇÕES!D37,"")</f>
        <v/>
      </c>
      <c r="E37" s="9" t="str">
        <f ca="1">IF(AND(NEGOCIAÇÕES!O37="",NEGOCIAÇÕES!N37&lt;TODAY()),NEGOCIAÇÕES!N37,"")</f>
        <v/>
      </c>
      <c r="F37" s="6"/>
    </row>
    <row r="38" spans="2:6" ht="31.95" hidden="1" customHeight="1" x14ac:dyDescent="0.3">
      <c r="B38" s="6" t="str">
        <f ca="1">IF(AND(NEGOCIAÇÕES!O38="",NEGOCIAÇÕES!N38&lt;TODAY()),NEGOCIAÇÕES!C38,"")</f>
        <v/>
      </c>
      <c r="C38" s="6" t="str">
        <f ca="1">IF(AND(NEGOCIAÇÕES!O38="",NEGOCIAÇÕES!N38&lt;TODAY()),NEGOCIAÇÕES!E38,"")</f>
        <v/>
      </c>
      <c r="D38" s="6" t="str">
        <f ca="1">IF(AND(NEGOCIAÇÕES!O38="",NEGOCIAÇÕES!N38&lt;TODAY()),NEGOCIAÇÕES!D38,"")</f>
        <v/>
      </c>
      <c r="E38" s="9" t="str">
        <f ca="1">IF(AND(NEGOCIAÇÕES!O38="",NEGOCIAÇÕES!N38&lt;TODAY()),NEGOCIAÇÕES!N38,"")</f>
        <v/>
      </c>
      <c r="F38" s="6"/>
    </row>
    <row r="39" spans="2:6" ht="31.95" hidden="1" customHeight="1" x14ac:dyDescent="0.3">
      <c r="B39" s="6" t="str">
        <f ca="1">IF(AND(NEGOCIAÇÕES!O39="",NEGOCIAÇÕES!N39&lt;TODAY()),NEGOCIAÇÕES!C39,"")</f>
        <v/>
      </c>
      <c r="C39" s="6" t="str">
        <f ca="1">IF(AND(NEGOCIAÇÕES!O39="",NEGOCIAÇÕES!N39&lt;TODAY()),NEGOCIAÇÕES!E39,"")</f>
        <v/>
      </c>
      <c r="D39" s="6" t="str">
        <f ca="1">IF(AND(NEGOCIAÇÕES!O39="",NEGOCIAÇÕES!N39&lt;TODAY()),NEGOCIAÇÕES!D39,"")</f>
        <v/>
      </c>
      <c r="E39" s="9" t="str">
        <f ca="1">IF(AND(NEGOCIAÇÕES!O39="",NEGOCIAÇÕES!N39&lt;TODAY()),NEGOCIAÇÕES!N39,"")</f>
        <v/>
      </c>
      <c r="F39" s="6"/>
    </row>
    <row r="40" spans="2:6" ht="31.95" hidden="1" customHeight="1" x14ac:dyDescent="0.3">
      <c r="B40" s="6" t="str">
        <f ca="1">IF(AND(NEGOCIAÇÕES!O40="",NEGOCIAÇÕES!N40&lt;TODAY()),NEGOCIAÇÕES!C40,"")</f>
        <v/>
      </c>
      <c r="C40" s="6" t="str">
        <f ca="1">IF(AND(NEGOCIAÇÕES!O40="",NEGOCIAÇÕES!N40&lt;TODAY()),NEGOCIAÇÕES!E40,"")</f>
        <v/>
      </c>
      <c r="D40" s="6" t="str">
        <f ca="1">IF(AND(NEGOCIAÇÕES!O40="",NEGOCIAÇÕES!N40&lt;TODAY()),NEGOCIAÇÕES!D40,"")</f>
        <v/>
      </c>
      <c r="E40" s="9" t="str">
        <f ca="1">IF(AND(NEGOCIAÇÕES!O40="",NEGOCIAÇÕES!N40&lt;TODAY()),NEGOCIAÇÕES!N40,"")</f>
        <v/>
      </c>
      <c r="F40" s="6"/>
    </row>
    <row r="41" spans="2:6" ht="31.95" hidden="1" customHeight="1" x14ac:dyDescent="0.3">
      <c r="B41" s="6" t="str">
        <f ca="1">IF(AND(NEGOCIAÇÕES!O41="",NEGOCIAÇÕES!N41&lt;TODAY()),NEGOCIAÇÕES!C41,"")</f>
        <v/>
      </c>
      <c r="C41" s="6" t="str">
        <f ca="1">IF(AND(NEGOCIAÇÕES!O41="",NEGOCIAÇÕES!N41&lt;TODAY()),NEGOCIAÇÕES!E41,"")</f>
        <v/>
      </c>
      <c r="D41" s="6" t="str">
        <f ca="1">IF(AND(NEGOCIAÇÕES!O41="",NEGOCIAÇÕES!N41&lt;TODAY()),NEGOCIAÇÕES!D41,"")</f>
        <v/>
      </c>
      <c r="E41" s="9" t="str">
        <f ca="1">IF(AND(NEGOCIAÇÕES!O41="",NEGOCIAÇÕES!N41&lt;TODAY()),NEGOCIAÇÕES!N41,"")</f>
        <v/>
      </c>
      <c r="F41" s="6"/>
    </row>
    <row r="42" spans="2:6" ht="31.95" hidden="1" customHeight="1" x14ac:dyDescent="0.3">
      <c r="B42" s="6" t="str">
        <f ca="1">IF(AND(NEGOCIAÇÕES!O42="",NEGOCIAÇÕES!N42&lt;TODAY()),NEGOCIAÇÕES!C42,"")</f>
        <v/>
      </c>
      <c r="C42" s="6" t="str">
        <f ca="1">IF(AND(NEGOCIAÇÕES!O42="",NEGOCIAÇÕES!N42&lt;TODAY()),NEGOCIAÇÕES!E42,"")</f>
        <v/>
      </c>
      <c r="D42" s="6" t="str">
        <f ca="1">IF(AND(NEGOCIAÇÕES!O42="",NEGOCIAÇÕES!N42&lt;TODAY()),NEGOCIAÇÕES!D42,"")</f>
        <v/>
      </c>
      <c r="E42" s="9" t="str">
        <f ca="1">IF(AND(NEGOCIAÇÕES!O42="",NEGOCIAÇÕES!N42&lt;TODAY()),NEGOCIAÇÕES!N42,"")</f>
        <v/>
      </c>
      <c r="F42" s="6"/>
    </row>
    <row r="43" spans="2:6" ht="31.95" hidden="1" customHeight="1" x14ac:dyDescent="0.3">
      <c r="B43" s="6" t="str">
        <f ca="1">IF(AND(NEGOCIAÇÕES!O43="",NEGOCIAÇÕES!N43&lt;TODAY()),NEGOCIAÇÕES!C43,"")</f>
        <v/>
      </c>
      <c r="C43" s="6" t="str">
        <f ca="1">IF(AND(NEGOCIAÇÕES!O43="",NEGOCIAÇÕES!N43&lt;TODAY()),NEGOCIAÇÕES!E43,"")</f>
        <v/>
      </c>
      <c r="D43" s="6" t="str">
        <f ca="1">IF(AND(NEGOCIAÇÕES!O43="",NEGOCIAÇÕES!N43&lt;TODAY()),NEGOCIAÇÕES!D43,"")</f>
        <v/>
      </c>
      <c r="E43" s="9" t="str">
        <f ca="1">IF(AND(NEGOCIAÇÕES!O43="",NEGOCIAÇÕES!N43&lt;TODAY()),NEGOCIAÇÕES!N43,"")</f>
        <v/>
      </c>
      <c r="F43" s="6"/>
    </row>
    <row r="44" spans="2:6" ht="31.95" hidden="1" customHeight="1" x14ac:dyDescent="0.3">
      <c r="B44" s="6" t="str">
        <f ca="1">IF(AND(NEGOCIAÇÕES!O44="",NEGOCIAÇÕES!N44&lt;TODAY()),NEGOCIAÇÕES!C44,"")</f>
        <v/>
      </c>
      <c r="C44" s="6" t="str">
        <f ca="1">IF(AND(NEGOCIAÇÕES!O44="",NEGOCIAÇÕES!N44&lt;TODAY()),NEGOCIAÇÕES!E44,"")</f>
        <v/>
      </c>
      <c r="D44" s="6" t="str">
        <f ca="1">IF(AND(NEGOCIAÇÕES!O44="",NEGOCIAÇÕES!N44&lt;TODAY()),NEGOCIAÇÕES!D44,"")</f>
        <v/>
      </c>
      <c r="E44" s="9" t="str">
        <f ca="1">IF(AND(NEGOCIAÇÕES!O44="",NEGOCIAÇÕES!N44&lt;TODAY()),NEGOCIAÇÕES!N44,"")</f>
        <v/>
      </c>
      <c r="F44" s="6"/>
    </row>
    <row r="45" spans="2:6" ht="31.95" hidden="1" customHeight="1" x14ac:dyDescent="0.3">
      <c r="B45" s="6" t="str">
        <f ca="1">IF(AND(NEGOCIAÇÕES!O45="",NEGOCIAÇÕES!N45&lt;TODAY()),NEGOCIAÇÕES!C45,"")</f>
        <v/>
      </c>
      <c r="C45" s="6" t="str">
        <f ca="1">IF(AND(NEGOCIAÇÕES!O45="",NEGOCIAÇÕES!N45&lt;TODAY()),NEGOCIAÇÕES!E45,"")</f>
        <v/>
      </c>
      <c r="D45" s="6" t="str">
        <f ca="1">IF(AND(NEGOCIAÇÕES!O45="",NEGOCIAÇÕES!N45&lt;TODAY()),NEGOCIAÇÕES!D45,"")</f>
        <v/>
      </c>
      <c r="E45" s="9" t="str">
        <f ca="1">IF(AND(NEGOCIAÇÕES!O45="",NEGOCIAÇÕES!N45&lt;TODAY()),NEGOCIAÇÕES!N45,"")</f>
        <v/>
      </c>
      <c r="F45" s="6"/>
    </row>
    <row r="46" spans="2:6" ht="31.95" hidden="1" customHeight="1" x14ac:dyDescent="0.3">
      <c r="B46" s="6" t="str">
        <f ca="1">IF(AND(NEGOCIAÇÕES!O46="",NEGOCIAÇÕES!N46&lt;TODAY()),NEGOCIAÇÕES!C46,"")</f>
        <v/>
      </c>
      <c r="C46" s="6" t="str">
        <f ca="1">IF(AND(NEGOCIAÇÕES!O46="",NEGOCIAÇÕES!N46&lt;TODAY()),NEGOCIAÇÕES!E46,"")</f>
        <v/>
      </c>
      <c r="D46" s="6" t="str">
        <f ca="1">IF(AND(NEGOCIAÇÕES!O46="",NEGOCIAÇÕES!N46&lt;TODAY()),NEGOCIAÇÕES!D46,"")</f>
        <v/>
      </c>
      <c r="E46" s="9" t="str">
        <f ca="1">IF(AND(NEGOCIAÇÕES!O46="",NEGOCIAÇÕES!N46&lt;TODAY()),NEGOCIAÇÕES!N46,"")</f>
        <v/>
      </c>
      <c r="F46" s="6"/>
    </row>
    <row r="47" spans="2:6" ht="31.95" hidden="1" customHeight="1" x14ac:dyDescent="0.3">
      <c r="B47" s="6" t="str">
        <f ca="1">IF(AND(NEGOCIAÇÕES!O47="",NEGOCIAÇÕES!N47&lt;TODAY()),NEGOCIAÇÕES!C47,"")</f>
        <v/>
      </c>
      <c r="C47" s="6" t="str">
        <f ca="1">IF(AND(NEGOCIAÇÕES!O47="",NEGOCIAÇÕES!N47&lt;TODAY()),NEGOCIAÇÕES!E47,"")</f>
        <v/>
      </c>
      <c r="D47" s="6" t="str">
        <f ca="1">IF(AND(NEGOCIAÇÕES!O47="",NEGOCIAÇÕES!N47&lt;TODAY()),NEGOCIAÇÕES!D47,"")</f>
        <v/>
      </c>
      <c r="E47" s="9" t="str">
        <f ca="1">IF(AND(NEGOCIAÇÕES!O47="",NEGOCIAÇÕES!N47&lt;TODAY()),NEGOCIAÇÕES!N47,"")</f>
        <v/>
      </c>
      <c r="F47" s="6"/>
    </row>
    <row r="48" spans="2:6" ht="31.95" hidden="1" customHeight="1" x14ac:dyDescent="0.3">
      <c r="B48" s="6" t="str">
        <f ca="1">IF(AND(NEGOCIAÇÕES!O48="",NEGOCIAÇÕES!N48&lt;TODAY()),NEGOCIAÇÕES!C48,"")</f>
        <v/>
      </c>
      <c r="C48" s="6" t="str">
        <f ca="1">IF(AND(NEGOCIAÇÕES!O48="",NEGOCIAÇÕES!N48&lt;TODAY()),NEGOCIAÇÕES!E48,"")</f>
        <v/>
      </c>
      <c r="D48" s="6" t="str">
        <f ca="1">IF(AND(NEGOCIAÇÕES!O48="",NEGOCIAÇÕES!N48&lt;TODAY()),NEGOCIAÇÕES!D48,"")</f>
        <v/>
      </c>
      <c r="E48" s="9" t="str">
        <f ca="1">IF(AND(NEGOCIAÇÕES!O48="",NEGOCIAÇÕES!N48&lt;TODAY()),NEGOCIAÇÕES!N48,"")</f>
        <v/>
      </c>
      <c r="F48" s="6"/>
    </row>
    <row r="49" spans="2:6" ht="31.95" hidden="1" customHeight="1" x14ac:dyDescent="0.3">
      <c r="B49" s="6" t="str">
        <f ca="1">IF(AND(NEGOCIAÇÕES!O49="",NEGOCIAÇÕES!N49&lt;TODAY()),NEGOCIAÇÕES!C49,"")</f>
        <v/>
      </c>
      <c r="C49" s="6" t="str">
        <f ca="1">IF(AND(NEGOCIAÇÕES!O49="",NEGOCIAÇÕES!N49&lt;TODAY()),NEGOCIAÇÕES!E49,"")</f>
        <v/>
      </c>
      <c r="D49" s="6" t="str">
        <f ca="1">IF(AND(NEGOCIAÇÕES!O49="",NEGOCIAÇÕES!N49&lt;TODAY()),NEGOCIAÇÕES!D49,"")</f>
        <v/>
      </c>
      <c r="E49" s="9" t="str">
        <f ca="1">IF(AND(NEGOCIAÇÕES!O49="",NEGOCIAÇÕES!N49&lt;TODAY()),NEGOCIAÇÕES!N49,"")</f>
        <v/>
      </c>
      <c r="F49" s="6"/>
    </row>
    <row r="50" spans="2:6" ht="31.95" hidden="1" customHeight="1" x14ac:dyDescent="0.3">
      <c r="B50" s="6" t="str">
        <f ca="1">IF(AND(NEGOCIAÇÕES!O50="",NEGOCIAÇÕES!N50&lt;TODAY()),NEGOCIAÇÕES!C50,"")</f>
        <v/>
      </c>
      <c r="C50" s="6" t="str">
        <f ca="1">IF(AND(NEGOCIAÇÕES!O50="",NEGOCIAÇÕES!N50&lt;TODAY()),NEGOCIAÇÕES!E50,"")</f>
        <v/>
      </c>
      <c r="D50" s="6" t="str">
        <f ca="1">IF(AND(NEGOCIAÇÕES!O50="",NEGOCIAÇÕES!N50&lt;TODAY()),NEGOCIAÇÕES!D50,"")</f>
        <v/>
      </c>
      <c r="E50" s="9" t="str">
        <f ca="1">IF(AND(NEGOCIAÇÕES!O50="",NEGOCIAÇÕES!N50&lt;TODAY()),NEGOCIAÇÕES!N50,"")</f>
        <v/>
      </c>
      <c r="F50" s="6"/>
    </row>
    <row r="51" spans="2:6" ht="31.95" hidden="1" customHeight="1" x14ac:dyDescent="0.3">
      <c r="B51" s="6" t="str">
        <f ca="1">IF(AND(NEGOCIAÇÕES!O51="",NEGOCIAÇÕES!N51&lt;TODAY()),NEGOCIAÇÕES!C51,"")</f>
        <v/>
      </c>
      <c r="C51" s="6" t="str">
        <f ca="1">IF(AND(NEGOCIAÇÕES!O51="",NEGOCIAÇÕES!N51&lt;TODAY()),NEGOCIAÇÕES!E51,"")</f>
        <v/>
      </c>
      <c r="D51" s="6" t="str">
        <f ca="1">IF(AND(NEGOCIAÇÕES!O51="",NEGOCIAÇÕES!N51&lt;TODAY()),NEGOCIAÇÕES!D51,"")</f>
        <v/>
      </c>
      <c r="E51" s="9" t="str">
        <f ca="1">IF(AND(NEGOCIAÇÕES!O51="",NEGOCIAÇÕES!N51&lt;TODAY()),NEGOCIAÇÕES!N51,"")</f>
        <v/>
      </c>
      <c r="F51" s="6"/>
    </row>
    <row r="52" spans="2:6" ht="31.95" hidden="1" customHeight="1" x14ac:dyDescent="0.3">
      <c r="B52" s="6" t="str">
        <f ca="1">IF(AND(NEGOCIAÇÕES!O52="",NEGOCIAÇÕES!N52&lt;TODAY()),NEGOCIAÇÕES!C52,"")</f>
        <v/>
      </c>
      <c r="C52" s="6" t="str">
        <f ca="1">IF(AND(NEGOCIAÇÕES!O52="",NEGOCIAÇÕES!N52&lt;TODAY()),NEGOCIAÇÕES!E52,"")</f>
        <v/>
      </c>
      <c r="D52" s="6" t="str">
        <f ca="1">IF(AND(NEGOCIAÇÕES!O52="",NEGOCIAÇÕES!N52&lt;TODAY()),NEGOCIAÇÕES!D52,"")</f>
        <v/>
      </c>
      <c r="E52" s="9" t="str">
        <f ca="1">IF(AND(NEGOCIAÇÕES!O52="",NEGOCIAÇÕES!N52&lt;TODAY()),NEGOCIAÇÕES!N52,"")</f>
        <v/>
      </c>
      <c r="F52" s="6"/>
    </row>
    <row r="53" spans="2:6" ht="31.95" hidden="1" customHeight="1" x14ac:dyDescent="0.3">
      <c r="B53" s="6" t="str">
        <f ca="1">IF(AND(NEGOCIAÇÕES!O53="",NEGOCIAÇÕES!N53&lt;TODAY()),NEGOCIAÇÕES!C53,"")</f>
        <v/>
      </c>
      <c r="C53" s="6" t="str">
        <f ca="1">IF(AND(NEGOCIAÇÕES!O53="",NEGOCIAÇÕES!N53&lt;TODAY()),NEGOCIAÇÕES!E53,"")</f>
        <v/>
      </c>
      <c r="D53" s="6" t="str">
        <f ca="1">IF(AND(NEGOCIAÇÕES!O53="",NEGOCIAÇÕES!N53&lt;TODAY()),NEGOCIAÇÕES!D53,"")</f>
        <v/>
      </c>
      <c r="E53" s="9" t="str">
        <f ca="1">IF(AND(NEGOCIAÇÕES!O53="",NEGOCIAÇÕES!N53&lt;TODAY()),NEGOCIAÇÕES!N53,"")</f>
        <v/>
      </c>
      <c r="F53" s="6"/>
    </row>
    <row r="54" spans="2:6" ht="31.95" hidden="1" customHeight="1" x14ac:dyDescent="0.3">
      <c r="B54" s="6" t="str">
        <f ca="1">IF(AND(NEGOCIAÇÕES!O54="",NEGOCIAÇÕES!N54&lt;TODAY()),NEGOCIAÇÕES!C54,"")</f>
        <v/>
      </c>
      <c r="C54" s="6" t="str">
        <f ca="1">IF(AND(NEGOCIAÇÕES!O54="",NEGOCIAÇÕES!N54&lt;TODAY()),NEGOCIAÇÕES!E54,"")</f>
        <v/>
      </c>
      <c r="D54" s="6" t="str">
        <f ca="1">IF(AND(NEGOCIAÇÕES!O54="",NEGOCIAÇÕES!N54&lt;TODAY()),NEGOCIAÇÕES!D54,"")</f>
        <v/>
      </c>
      <c r="E54" s="9" t="str">
        <f ca="1">IF(AND(NEGOCIAÇÕES!O54="",NEGOCIAÇÕES!N54&lt;TODAY()),NEGOCIAÇÕES!N54,"")</f>
        <v/>
      </c>
      <c r="F54" s="6"/>
    </row>
    <row r="55" spans="2:6" ht="31.95" hidden="1" customHeight="1" x14ac:dyDescent="0.3">
      <c r="B55" s="6" t="str">
        <f ca="1">IF(AND(NEGOCIAÇÕES!O55="",NEGOCIAÇÕES!N55&lt;TODAY()),NEGOCIAÇÕES!C55,"")</f>
        <v/>
      </c>
      <c r="C55" s="6" t="str">
        <f ca="1">IF(AND(NEGOCIAÇÕES!O55="",NEGOCIAÇÕES!N55&lt;TODAY()),NEGOCIAÇÕES!E55,"")</f>
        <v/>
      </c>
      <c r="D55" s="6" t="str">
        <f ca="1">IF(AND(NEGOCIAÇÕES!O55="",NEGOCIAÇÕES!N55&lt;TODAY()),NEGOCIAÇÕES!D55,"")</f>
        <v/>
      </c>
      <c r="E55" s="9" t="str">
        <f ca="1">IF(AND(NEGOCIAÇÕES!O55="",NEGOCIAÇÕES!N55&lt;TODAY()),NEGOCIAÇÕES!N55,"")</f>
        <v/>
      </c>
      <c r="F55" s="6"/>
    </row>
    <row r="56" spans="2:6" ht="31.95" hidden="1" customHeight="1" x14ac:dyDescent="0.3">
      <c r="B56" s="6" t="str">
        <f ca="1">IF(AND(NEGOCIAÇÕES!O56="",NEGOCIAÇÕES!N56&lt;TODAY()),NEGOCIAÇÕES!C56,"")</f>
        <v/>
      </c>
      <c r="C56" s="6" t="str">
        <f ca="1">IF(AND(NEGOCIAÇÕES!O56="",NEGOCIAÇÕES!N56&lt;TODAY()),NEGOCIAÇÕES!E56,"")</f>
        <v/>
      </c>
      <c r="D56" s="6" t="str">
        <f ca="1">IF(AND(NEGOCIAÇÕES!O56="",NEGOCIAÇÕES!N56&lt;TODAY()),NEGOCIAÇÕES!D56,"")</f>
        <v/>
      </c>
      <c r="E56" s="9" t="str">
        <f ca="1">IF(AND(NEGOCIAÇÕES!O56="",NEGOCIAÇÕES!N56&lt;TODAY()),NEGOCIAÇÕES!N56,"")</f>
        <v/>
      </c>
      <c r="F56" s="6"/>
    </row>
    <row r="57" spans="2:6" ht="31.95" hidden="1" customHeight="1" x14ac:dyDescent="0.3">
      <c r="B57" s="6" t="str">
        <f ca="1">IF(AND(NEGOCIAÇÕES!O57="",NEGOCIAÇÕES!N57&lt;TODAY()),NEGOCIAÇÕES!C57,"")</f>
        <v/>
      </c>
      <c r="C57" s="6" t="str">
        <f ca="1">IF(AND(NEGOCIAÇÕES!O57="",NEGOCIAÇÕES!N57&lt;TODAY()),NEGOCIAÇÕES!E57,"")</f>
        <v/>
      </c>
      <c r="D57" s="6" t="str">
        <f ca="1">IF(AND(NEGOCIAÇÕES!O57="",NEGOCIAÇÕES!N57&lt;TODAY()),NEGOCIAÇÕES!D57,"")</f>
        <v/>
      </c>
      <c r="E57" s="9" t="str">
        <f ca="1">IF(AND(NEGOCIAÇÕES!O57="",NEGOCIAÇÕES!N57&lt;TODAY()),NEGOCIAÇÕES!N57,"")</f>
        <v/>
      </c>
      <c r="F57" s="6"/>
    </row>
    <row r="58" spans="2:6" ht="31.95" hidden="1" customHeight="1" x14ac:dyDescent="0.3">
      <c r="B58" s="6" t="str">
        <f ca="1">IF(AND(NEGOCIAÇÕES!O58="",NEGOCIAÇÕES!N58&lt;TODAY()),NEGOCIAÇÕES!C58,"")</f>
        <v/>
      </c>
      <c r="C58" s="6" t="str">
        <f ca="1">IF(AND(NEGOCIAÇÕES!O58="",NEGOCIAÇÕES!N58&lt;TODAY()),NEGOCIAÇÕES!E58,"")</f>
        <v/>
      </c>
      <c r="D58" s="6" t="str">
        <f ca="1">IF(AND(NEGOCIAÇÕES!O58="",NEGOCIAÇÕES!N58&lt;TODAY()),NEGOCIAÇÕES!D58,"")</f>
        <v/>
      </c>
      <c r="E58" s="9" t="str">
        <f ca="1">IF(AND(NEGOCIAÇÕES!O58="",NEGOCIAÇÕES!N58&lt;TODAY()),NEGOCIAÇÕES!N58,"")</f>
        <v/>
      </c>
      <c r="F58" s="6"/>
    </row>
    <row r="59" spans="2:6" ht="31.95" hidden="1" customHeight="1" x14ac:dyDescent="0.3">
      <c r="B59" s="6" t="str">
        <f ca="1">IF(AND(NEGOCIAÇÕES!O59="",NEGOCIAÇÕES!N59&lt;TODAY()),NEGOCIAÇÕES!C59,"")</f>
        <v/>
      </c>
      <c r="C59" s="6" t="str">
        <f ca="1">IF(AND(NEGOCIAÇÕES!O59="",NEGOCIAÇÕES!N59&lt;TODAY()),NEGOCIAÇÕES!E59,"")</f>
        <v/>
      </c>
      <c r="D59" s="6" t="str">
        <f ca="1">IF(AND(NEGOCIAÇÕES!O59="",NEGOCIAÇÕES!N59&lt;TODAY()),NEGOCIAÇÕES!D59,"")</f>
        <v/>
      </c>
      <c r="E59" s="9" t="str">
        <f ca="1">IF(AND(NEGOCIAÇÕES!O59="",NEGOCIAÇÕES!N59&lt;TODAY()),NEGOCIAÇÕES!N59,"")</f>
        <v/>
      </c>
      <c r="F59" s="6"/>
    </row>
    <row r="60" spans="2:6" ht="31.95" hidden="1" customHeight="1" x14ac:dyDescent="0.3">
      <c r="B60" s="6" t="str">
        <f ca="1">IF(AND(NEGOCIAÇÕES!O60="",NEGOCIAÇÕES!N60&lt;TODAY()),NEGOCIAÇÕES!C60,"")</f>
        <v/>
      </c>
      <c r="C60" s="6" t="str">
        <f ca="1">IF(AND(NEGOCIAÇÕES!O60="",NEGOCIAÇÕES!N60&lt;TODAY()),NEGOCIAÇÕES!E60,"")</f>
        <v/>
      </c>
      <c r="D60" s="6" t="str">
        <f ca="1">IF(AND(NEGOCIAÇÕES!O60="",NEGOCIAÇÕES!N60&lt;TODAY()),NEGOCIAÇÕES!D60,"")</f>
        <v/>
      </c>
      <c r="E60" s="9" t="str">
        <f ca="1">IF(AND(NEGOCIAÇÕES!O60="",NEGOCIAÇÕES!N60&lt;TODAY()),NEGOCIAÇÕES!N60,"")</f>
        <v/>
      </c>
      <c r="F60" s="6"/>
    </row>
    <row r="61" spans="2:6" ht="31.95" hidden="1" customHeight="1" x14ac:dyDescent="0.3">
      <c r="B61" s="6" t="str">
        <f ca="1">IF(AND(NEGOCIAÇÕES!O61="",NEGOCIAÇÕES!N61&lt;TODAY()),NEGOCIAÇÕES!C61,"")</f>
        <v/>
      </c>
      <c r="C61" s="6" t="str">
        <f ca="1">IF(AND(NEGOCIAÇÕES!O61="",NEGOCIAÇÕES!N61&lt;TODAY()),NEGOCIAÇÕES!E61,"")</f>
        <v/>
      </c>
      <c r="D61" s="6" t="str">
        <f ca="1">IF(AND(NEGOCIAÇÕES!O61="",NEGOCIAÇÕES!N61&lt;TODAY()),NEGOCIAÇÕES!D61,"")</f>
        <v/>
      </c>
      <c r="E61" s="9" t="str">
        <f ca="1">IF(AND(NEGOCIAÇÕES!O61="",NEGOCIAÇÕES!N61&lt;TODAY()),NEGOCIAÇÕES!N61,"")</f>
        <v/>
      </c>
      <c r="F61" s="6"/>
    </row>
    <row r="62" spans="2:6" ht="31.95" hidden="1" customHeight="1" x14ac:dyDescent="0.3">
      <c r="B62" s="6" t="str">
        <f ca="1">IF(AND(NEGOCIAÇÕES!O62="",NEGOCIAÇÕES!N62&lt;TODAY()),NEGOCIAÇÕES!C62,"")</f>
        <v/>
      </c>
      <c r="C62" s="6" t="str">
        <f ca="1">IF(AND(NEGOCIAÇÕES!O62="",NEGOCIAÇÕES!N62&lt;TODAY()),NEGOCIAÇÕES!E62,"")</f>
        <v/>
      </c>
      <c r="D62" s="6" t="str">
        <f ca="1">IF(AND(NEGOCIAÇÕES!O62="",NEGOCIAÇÕES!N62&lt;TODAY()),NEGOCIAÇÕES!D62,"")</f>
        <v/>
      </c>
      <c r="E62" s="9" t="str">
        <f ca="1">IF(AND(NEGOCIAÇÕES!O62="",NEGOCIAÇÕES!N62&lt;TODAY()),NEGOCIAÇÕES!N62,"")</f>
        <v/>
      </c>
      <c r="F62" s="6"/>
    </row>
    <row r="63" spans="2:6" ht="31.95" hidden="1" customHeight="1" x14ac:dyDescent="0.3">
      <c r="B63" s="6" t="str">
        <f ca="1">IF(AND(NEGOCIAÇÕES!O63="",NEGOCIAÇÕES!N63&lt;TODAY()),NEGOCIAÇÕES!C63,"")</f>
        <v/>
      </c>
      <c r="C63" s="6" t="str">
        <f ca="1">IF(AND(NEGOCIAÇÕES!O63="",NEGOCIAÇÕES!N63&lt;TODAY()),NEGOCIAÇÕES!E63,"")</f>
        <v/>
      </c>
      <c r="D63" s="6" t="str">
        <f ca="1">IF(AND(NEGOCIAÇÕES!O63="",NEGOCIAÇÕES!N63&lt;TODAY()),NEGOCIAÇÕES!D63,"")</f>
        <v/>
      </c>
      <c r="E63" s="9" t="str">
        <f ca="1">IF(AND(NEGOCIAÇÕES!O63="",NEGOCIAÇÕES!N63&lt;TODAY()),NEGOCIAÇÕES!N63,"")</f>
        <v/>
      </c>
      <c r="F63" s="6"/>
    </row>
    <row r="64" spans="2:6" ht="31.95" hidden="1" customHeight="1" x14ac:dyDescent="0.3">
      <c r="B64" s="6" t="str">
        <f ca="1">IF(AND(NEGOCIAÇÕES!O64="",NEGOCIAÇÕES!N64&lt;TODAY()),NEGOCIAÇÕES!C64,"")</f>
        <v/>
      </c>
      <c r="C64" s="6" t="str">
        <f ca="1">IF(AND(NEGOCIAÇÕES!O64="",NEGOCIAÇÕES!N64&lt;TODAY()),NEGOCIAÇÕES!E64,"")</f>
        <v/>
      </c>
      <c r="D64" s="6" t="str">
        <f ca="1">IF(AND(NEGOCIAÇÕES!O64="",NEGOCIAÇÕES!N64&lt;TODAY()),NEGOCIAÇÕES!D64,"")</f>
        <v/>
      </c>
      <c r="E64" s="9" t="str">
        <f ca="1">IF(AND(NEGOCIAÇÕES!O64="",NEGOCIAÇÕES!N64&lt;TODAY()),NEGOCIAÇÕES!N64,"")</f>
        <v/>
      </c>
      <c r="F64" s="6"/>
    </row>
    <row r="65" spans="2:6" ht="31.95" hidden="1" customHeight="1" x14ac:dyDescent="0.3">
      <c r="B65" s="6" t="str">
        <f ca="1">IF(AND(NEGOCIAÇÕES!O65="",NEGOCIAÇÕES!N65&lt;TODAY()),NEGOCIAÇÕES!C65,"")</f>
        <v/>
      </c>
      <c r="C65" s="6" t="str">
        <f ca="1">IF(AND(NEGOCIAÇÕES!O65="",NEGOCIAÇÕES!N65&lt;TODAY()),NEGOCIAÇÕES!E65,"")</f>
        <v/>
      </c>
      <c r="D65" s="6" t="str">
        <f ca="1">IF(AND(NEGOCIAÇÕES!O65="",NEGOCIAÇÕES!N65&lt;TODAY()),NEGOCIAÇÕES!D65,"")</f>
        <v/>
      </c>
      <c r="E65" s="9" t="str">
        <f ca="1">IF(AND(NEGOCIAÇÕES!O65="",NEGOCIAÇÕES!N65&lt;TODAY()),NEGOCIAÇÕES!N65,"")</f>
        <v/>
      </c>
      <c r="F65" s="6"/>
    </row>
    <row r="66" spans="2:6" ht="31.95" hidden="1" customHeight="1" x14ac:dyDescent="0.3">
      <c r="B66" s="6" t="str">
        <f ca="1">IF(AND(NEGOCIAÇÕES!O66="",NEGOCIAÇÕES!N66&lt;TODAY()),NEGOCIAÇÕES!C66,"")</f>
        <v/>
      </c>
      <c r="C66" s="6" t="str">
        <f ca="1">IF(AND(NEGOCIAÇÕES!O66="",NEGOCIAÇÕES!N66&lt;TODAY()),NEGOCIAÇÕES!E66,"")</f>
        <v/>
      </c>
      <c r="D66" s="6" t="str">
        <f ca="1">IF(AND(NEGOCIAÇÕES!O66="",NEGOCIAÇÕES!N66&lt;TODAY()),NEGOCIAÇÕES!D66,"")</f>
        <v/>
      </c>
      <c r="E66" s="9" t="str">
        <f ca="1">IF(AND(NEGOCIAÇÕES!O66="",NEGOCIAÇÕES!N66&lt;TODAY()),NEGOCIAÇÕES!N66,"")</f>
        <v/>
      </c>
      <c r="F66" s="6"/>
    </row>
    <row r="67" spans="2:6" ht="31.95" hidden="1" customHeight="1" x14ac:dyDescent="0.3">
      <c r="B67" s="6" t="str">
        <f ca="1">IF(AND(NEGOCIAÇÕES!O67="",NEGOCIAÇÕES!N67&lt;TODAY()),NEGOCIAÇÕES!C67,"")</f>
        <v/>
      </c>
      <c r="C67" s="6" t="str">
        <f ca="1">IF(AND(NEGOCIAÇÕES!O67="",NEGOCIAÇÕES!N67&lt;TODAY()),NEGOCIAÇÕES!E67,"")</f>
        <v/>
      </c>
      <c r="D67" s="6" t="str">
        <f ca="1">IF(AND(NEGOCIAÇÕES!O67="",NEGOCIAÇÕES!N67&lt;TODAY()),NEGOCIAÇÕES!D67,"")</f>
        <v/>
      </c>
      <c r="E67" s="9" t="str">
        <f ca="1">IF(AND(NEGOCIAÇÕES!O67="",NEGOCIAÇÕES!N67&lt;TODAY()),NEGOCIAÇÕES!N67,"")</f>
        <v/>
      </c>
      <c r="F67" s="6"/>
    </row>
    <row r="68" spans="2:6" ht="31.95" hidden="1" customHeight="1" x14ac:dyDescent="0.3">
      <c r="B68" s="6" t="str">
        <f ca="1">IF(AND(NEGOCIAÇÕES!O68="",NEGOCIAÇÕES!N68&lt;TODAY()),NEGOCIAÇÕES!C68,"")</f>
        <v/>
      </c>
      <c r="C68" s="6" t="str">
        <f ca="1">IF(AND(NEGOCIAÇÕES!O68="",NEGOCIAÇÕES!N68&lt;TODAY()),NEGOCIAÇÕES!E68,"")</f>
        <v/>
      </c>
      <c r="D68" s="6" t="str">
        <f ca="1">IF(AND(NEGOCIAÇÕES!O68="",NEGOCIAÇÕES!N68&lt;TODAY()),NEGOCIAÇÕES!D68,"")</f>
        <v/>
      </c>
      <c r="E68" s="9" t="str">
        <f ca="1">IF(AND(NEGOCIAÇÕES!O68="",NEGOCIAÇÕES!N68&lt;TODAY()),NEGOCIAÇÕES!N68,"")</f>
        <v/>
      </c>
      <c r="F68" s="6"/>
    </row>
    <row r="69" spans="2:6" ht="31.95" hidden="1" customHeight="1" x14ac:dyDescent="0.3">
      <c r="B69" s="6" t="str">
        <f ca="1">IF(AND(NEGOCIAÇÕES!O69="",NEGOCIAÇÕES!N69&lt;TODAY()),NEGOCIAÇÕES!C69,"")</f>
        <v/>
      </c>
      <c r="C69" s="6" t="str">
        <f ca="1">IF(AND(NEGOCIAÇÕES!O69="",NEGOCIAÇÕES!N69&lt;TODAY()),NEGOCIAÇÕES!E69,"")</f>
        <v/>
      </c>
      <c r="D69" s="6" t="str">
        <f ca="1">IF(AND(NEGOCIAÇÕES!O69="",NEGOCIAÇÕES!N69&lt;TODAY()),NEGOCIAÇÕES!D69,"")</f>
        <v/>
      </c>
      <c r="E69" s="9" t="str">
        <f ca="1">IF(AND(NEGOCIAÇÕES!O69="",NEGOCIAÇÕES!N69&lt;TODAY()),NEGOCIAÇÕES!N69,"")</f>
        <v/>
      </c>
      <c r="F69" s="6"/>
    </row>
    <row r="70" spans="2:6" ht="31.95" hidden="1" customHeight="1" x14ac:dyDescent="0.3">
      <c r="B70" s="6" t="str">
        <f ca="1">IF(AND(NEGOCIAÇÕES!O70="",NEGOCIAÇÕES!N70&lt;TODAY()),NEGOCIAÇÕES!C70,"")</f>
        <v/>
      </c>
      <c r="C70" s="6" t="str">
        <f ca="1">IF(AND(NEGOCIAÇÕES!O70="",NEGOCIAÇÕES!N70&lt;TODAY()),NEGOCIAÇÕES!E70,"")</f>
        <v/>
      </c>
      <c r="D70" s="6" t="str">
        <f ca="1">IF(AND(NEGOCIAÇÕES!O70="",NEGOCIAÇÕES!N70&lt;TODAY()),NEGOCIAÇÕES!D70,"")</f>
        <v/>
      </c>
      <c r="E70" s="9" t="str">
        <f ca="1">IF(AND(NEGOCIAÇÕES!O70="",NEGOCIAÇÕES!N70&lt;TODAY()),NEGOCIAÇÕES!N70,"")</f>
        <v/>
      </c>
      <c r="F70" s="6"/>
    </row>
    <row r="71" spans="2:6" ht="31.95" hidden="1" customHeight="1" x14ac:dyDescent="0.3">
      <c r="B71" s="6" t="str">
        <f ca="1">IF(AND(NEGOCIAÇÕES!O71="",NEGOCIAÇÕES!N71&lt;TODAY()),NEGOCIAÇÕES!C71,"")</f>
        <v/>
      </c>
      <c r="C71" s="6" t="str">
        <f ca="1">IF(AND(NEGOCIAÇÕES!O71="",NEGOCIAÇÕES!N71&lt;TODAY()),NEGOCIAÇÕES!E71,"")</f>
        <v/>
      </c>
      <c r="D71" s="6" t="str">
        <f ca="1">IF(AND(NEGOCIAÇÕES!O71="",NEGOCIAÇÕES!N71&lt;TODAY()),NEGOCIAÇÕES!D71,"")</f>
        <v/>
      </c>
      <c r="E71" s="9" t="str">
        <f ca="1">IF(AND(NEGOCIAÇÕES!O71="",NEGOCIAÇÕES!N71&lt;TODAY()),NEGOCIAÇÕES!N71,"")</f>
        <v/>
      </c>
      <c r="F71" s="6"/>
    </row>
    <row r="72" spans="2:6" ht="31.95" hidden="1" customHeight="1" x14ac:dyDescent="0.3">
      <c r="B72" s="6" t="str">
        <f ca="1">IF(AND(NEGOCIAÇÕES!O72="",NEGOCIAÇÕES!N72&lt;TODAY()),NEGOCIAÇÕES!C72,"")</f>
        <v/>
      </c>
      <c r="C72" s="6" t="str">
        <f ca="1">IF(AND(NEGOCIAÇÕES!O72="",NEGOCIAÇÕES!N72&lt;TODAY()),NEGOCIAÇÕES!E72,"")</f>
        <v/>
      </c>
      <c r="D72" s="6" t="str">
        <f ca="1">IF(AND(NEGOCIAÇÕES!O72="",NEGOCIAÇÕES!N72&lt;TODAY()),NEGOCIAÇÕES!D72,"")</f>
        <v/>
      </c>
      <c r="E72" s="9" t="str">
        <f ca="1">IF(AND(NEGOCIAÇÕES!O72="",NEGOCIAÇÕES!N72&lt;TODAY()),NEGOCIAÇÕES!N72,"")</f>
        <v/>
      </c>
      <c r="F72" s="6"/>
    </row>
    <row r="73" spans="2:6" ht="31.95" hidden="1" customHeight="1" x14ac:dyDescent="0.3">
      <c r="B73" s="6" t="str">
        <f ca="1">IF(AND(NEGOCIAÇÕES!O73="",NEGOCIAÇÕES!N73&lt;TODAY()),NEGOCIAÇÕES!C73,"")</f>
        <v/>
      </c>
      <c r="C73" s="6" t="str">
        <f ca="1">IF(AND(NEGOCIAÇÕES!O73="",NEGOCIAÇÕES!N73&lt;TODAY()),NEGOCIAÇÕES!E73,"")</f>
        <v/>
      </c>
      <c r="D73" s="6" t="str">
        <f ca="1">IF(AND(NEGOCIAÇÕES!O73="",NEGOCIAÇÕES!N73&lt;TODAY()),NEGOCIAÇÕES!D73,"")</f>
        <v/>
      </c>
      <c r="E73" s="9" t="str">
        <f ca="1">IF(AND(NEGOCIAÇÕES!O73="",NEGOCIAÇÕES!N73&lt;TODAY()),NEGOCIAÇÕES!N73,"")</f>
        <v/>
      </c>
      <c r="F73" s="6"/>
    </row>
    <row r="74" spans="2:6" ht="31.95" hidden="1" customHeight="1" x14ac:dyDescent="0.3">
      <c r="B74" s="6" t="str">
        <f ca="1">IF(AND(NEGOCIAÇÕES!O74="",NEGOCIAÇÕES!N74&lt;TODAY()),NEGOCIAÇÕES!C74,"")</f>
        <v/>
      </c>
      <c r="C74" s="6" t="str">
        <f ca="1">IF(AND(NEGOCIAÇÕES!O74="",NEGOCIAÇÕES!N74&lt;TODAY()),NEGOCIAÇÕES!E74,"")</f>
        <v/>
      </c>
      <c r="D74" s="6" t="str">
        <f ca="1">IF(AND(NEGOCIAÇÕES!O74="",NEGOCIAÇÕES!N74&lt;TODAY()),NEGOCIAÇÕES!D74,"")</f>
        <v/>
      </c>
      <c r="E74" s="9" t="str">
        <f ca="1">IF(AND(NEGOCIAÇÕES!O74="",NEGOCIAÇÕES!N74&lt;TODAY()),NEGOCIAÇÕES!N74,"")</f>
        <v/>
      </c>
      <c r="F74" s="6"/>
    </row>
    <row r="75" spans="2:6" ht="31.95" hidden="1" customHeight="1" x14ac:dyDescent="0.3">
      <c r="B75" s="6" t="str">
        <f ca="1">IF(AND(NEGOCIAÇÕES!O75="",NEGOCIAÇÕES!N75&lt;TODAY()),NEGOCIAÇÕES!C75,"")</f>
        <v/>
      </c>
      <c r="C75" s="6" t="str">
        <f ca="1">IF(AND(NEGOCIAÇÕES!O75="",NEGOCIAÇÕES!N75&lt;TODAY()),NEGOCIAÇÕES!E75,"")</f>
        <v/>
      </c>
      <c r="D75" s="6" t="str">
        <f ca="1">IF(AND(NEGOCIAÇÕES!O75="",NEGOCIAÇÕES!N75&lt;TODAY()),NEGOCIAÇÕES!D75,"")</f>
        <v/>
      </c>
      <c r="E75" s="9" t="str">
        <f ca="1">IF(AND(NEGOCIAÇÕES!O75="",NEGOCIAÇÕES!N75&lt;TODAY()),NEGOCIAÇÕES!N75,"")</f>
        <v/>
      </c>
      <c r="F75" s="6"/>
    </row>
    <row r="76" spans="2:6" ht="31.95" hidden="1" customHeight="1" x14ac:dyDescent="0.3">
      <c r="B76" s="6" t="str">
        <f ca="1">IF(AND(NEGOCIAÇÕES!O76="",NEGOCIAÇÕES!N76&lt;TODAY()),NEGOCIAÇÕES!C76,"")</f>
        <v/>
      </c>
      <c r="C76" s="6" t="str">
        <f ca="1">IF(AND(NEGOCIAÇÕES!O76="",NEGOCIAÇÕES!N76&lt;TODAY()),NEGOCIAÇÕES!E76,"")</f>
        <v/>
      </c>
      <c r="D76" s="6" t="str">
        <f ca="1">IF(AND(NEGOCIAÇÕES!O76="",NEGOCIAÇÕES!N76&lt;TODAY()),NEGOCIAÇÕES!D76,"")</f>
        <v/>
      </c>
      <c r="E76" s="9" t="str">
        <f ca="1">IF(AND(NEGOCIAÇÕES!O76="",NEGOCIAÇÕES!N76&lt;TODAY()),NEGOCIAÇÕES!N76,"")</f>
        <v/>
      </c>
      <c r="F76" s="6"/>
    </row>
    <row r="77" spans="2:6" ht="31.95" hidden="1" customHeight="1" x14ac:dyDescent="0.3">
      <c r="B77" s="6" t="str">
        <f ca="1">IF(AND(NEGOCIAÇÕES!O77="",NEGOCIAÇÕES!N77&lt;TODAY()),NEGOCIAÇÕES!C77,"")</f>
        <v/>
      </c>
      <c r="C77" s="6" t="str">
        <f ca="1">IF(AND(NEGOCIAÇÕES!O77="",NEGOCIAÇÕES!N77&lt;TODAY()),NEGOCIAÇÕES!E77,"")</f>
        <v/>
      </c>
      <c r="D77" s="6" t="str">
        <f ca="1">IF(AND(NEGOCIAÇÕES!O77="",NEGOCIAÇÕES!N77&lt;TODAY()),NEGOCIAÇÕES!D77,"")</f>
        <v/>
      </c>
      <c r="E77" s="9" t="str">
        <f ca="1">IF(AND(NEGOCIAÇÕES!O77="",NEGOCIAÇÕES!N77&lt;TODAY()),NEGOCIAÇÕES!N77,"")</f>
        <v/>
      </c>
      <c r="F77" s="6"/>
    </row>
    <row r="78" spans="2:6" ht="31.95" hidden="1" customHeight="1" x14ac:dyDescent="0.3">
      <c r="B78" s="6" t="str">
        <f ca="1">IF(AND(NEGOCIAÇÕES!O78="",NEGOCIAÇÕES!N78&lt;TODAY()),NEGOCIAÇÕES!C78,"")</f>
        <v/>
      </c>
      <c r="C78" s="6" t="str">
        <f ca="1">IF(AND(NEGOCIAÇÕES!O78="",NEGOCIAÇÕES!N78&lt;TODAY()),NEGOCIAÇÕES!E78,"")</f>
        <v/>
      </c>
      <c r="D78" s="6" t="str">
        <f ca="1">IF(AND(NEGOCIAÇÕES!O78="",NEGOCIAÇÕES!N78&lt;TODAY()),NEGOCIAÇÕES!D78,"")</f>
        <v/>
      </c>
      <c r="E78" s="9" t="str">
        <f ca="1">IF(AND(NEGOCIAÇÕES!O78="",NEGOCIAÇÕES!N78&lt;TODAY()),NEGOCIAÇÕES!N78,"")</f>
        <v/>
      </c>
      <c r="F78" s="6"/>
    </row>
    <row r="79" spans="2:6" ht="31.95" hidden="1" customHeight="1" x14ac:dyDescent="0.3">
      <c r="B79" s="6" t="str">
        <f ca="1">IF(AND(NEGOCIAÇÕES!O79="",NEGOCIAÇÕES!N79&lt;TODAY()),NEGOCIAÇÕES!C79,"")</f>
        <v/>
      </c>
      <c r="C79" s="6" t="str">
        <f ca="1">IF(AND(NEGOCIAÇÕES!O79="",NEGOCIAÇÕES!N79&lt;TODAY()),NEGOCIAÇÕES!E79,"")</f>
        <v/>
      </c>
      <c r="D79" s="6" t="str">
        <f ca="1">IF(AND(NEGOCIAÇÕES!O79="",NEGOCIAÇÕES!N79&lt;TODAY()),NEGOCIAÇÕES!D79,"")</f>
        <v/>
      </c>
      <c r="E79" s="9" t="str">
        <f ca="1">IF(AND(NEGOCIAÇÕES!O79="",NEGOCIAÇÕES!N79&lt;TODAY()),NEGOCIAÇÕES!N79,"")</f>
        <v/>
      </c>
      <c r="F79" s="6"/>
    </row>
    <row r="80" spans="2:6" ht="31.95" hidden="1" customHeight="1" x14ac:dyDescent="0.3">
      <c r="B80" s="6" t="str">
        <f ca="1">IF(AND(NEGOCIAÇÕES!O80="",NEGOCIAÇÕES!N80&lt;TODAY()),NEGOCIAÇÕES!C80,"")</f>
        <v/>
      </c>
      <c r="C80" s="6" t="str">
        <f ca="1">IF(AND(NEGOCIAÇÕES!O80="",NEGOCIAÇÕES!N80&lt;TODAY()),NEGOCIAÇÕES!E80,"")</f>
        <v/>
      </c>
      <c r="D80" s="6" t="str">
        <f ca="1">IF(AND(NEGOCIAÇÕES!O80="",NEGOCIAÇÕES!N80&lt;TODAY()),NEGOCIAÇÕES!D80,"")</f>
        <v/>
      </c>
      <c r="E80" s="9" t="str">
        <f ca="1">IF(AND(NEGOCIAÇÕES!O80="",NEGOCIAÇÕES!N80&lt;TODAY()),NEGOCIAÇÕES!N80,"")</f>
        <v/>
      </c>
      <c r="F80" s="6"/>
    </row>
    <row r="81" spans="2:6" ht="31.95" hidden="1" customHeight="1" x14ac:dyDescent="0.3">
      <c r="B81" s="6" t="str">
        <f ca="1">IF(AND(NEGOCIAÇÕES!O81="",NEGOCIAÇÕES!N81&lt;TODAY()),NEGOCIAÇÕES!C81,"")</f>
        <v/>
      </c>
      <c r="C81" s="6" t="str">
        <f ca="1">IF(AND(NEGOCIAÇÕES!O81="",NEGOCIAÇÕES!N81&lt;TODAY()),NEGOCIAÇÕES!E81,"")</f>
        <v/>
      </c>
      <c r="D81" s="6" t="str">
        <f ca="1">IF(AND(NEGOCIAÇÕES!O81="",NEGOCIAÇÕES!N81&lt;TODAY()),NEGOCIAÇÕES!D81,"")</f>
        <v/>
      </c>
      <c r="E81" s="9" t="str">
        <f ca="1">IF(AND(NEGOCIAÇÕES!O81="",NEGOCIAÇÕES!N81&lt;TODAY()),NEGOCIAÇÕES!N81,"")</f>
        <v/>
      </c>
      <c r="F81" s="6"/>
    </row>
    <row r="82" spans="2:6" ht="31.95" hidden="1" customHeight="1" x14ac:dyDescent="0.3">
      <c r="B82" s="6" t="str">
        <f ca="1">IF(AND(NEGOCIAÇÕES!O82="",NEGOCIAÇÕES!N82&lt;TODAY()),NEGOCIAÇÕES!C82,"")</f>
        <v/>
      </c>
      <c r="C82" s="6" t="str">
        <f ca="1">IF(AND(NEGOCIAÇÕES!O82="",NEGOCIAÇÕES!N82&lt;TODAY()),NEGOCIAÇÕES!E82,"")</f>
        <v/>
      </c>
      <c r="D82" s="6" t="str">
        <f ca="1">IF(AND(NEGOCIAÇÕES!O82="",NEGOCIAÇÕES!N82&lt;TODAY()),NEGOCIAÇÕES!D82,"")</f>
        <v/>
      </c>
      <c r="E82" s="9" t="str">
        <f ca="1">IF(AND(NEGOCIAÇÕES!O82="",NEGOCIAÇÕES!N82&lt;TODAY()),NEGOCIAÇÕES!N82,"")</f>
        <v/>
      </c>
      <c r="F82" s="6"/>
    </row>
    <row r="83" spans="2:6" ht="31.95" hidden="1" customHeight="1" x14ac:dyDescent="0.3">
      <c r="B83" s="6" t="str">
        <f ca="1">IF(AND(NEGOCIAÇÕES!O83="",NEGOCIAÇÕES!N83&lt;TODAY()),NEGOCIAÇÕES!C83,"")</f>
        <v/>
      </c>
      <c r="C83" s="6" t="str">
        <f ca="1">IF(AND(NEGOCIAÇÕES!O83="",NEGOCIAÇÕES!N83&lt;TODAY()),NEGOCIAÇÕES!E83,"")</f>
        <v/>
      </c>
      <c r="D83" s="6" t="str">
        <f ca="1">IF(AND(NEGOCIAÇÕES!O83="",NEGOCIAÇÕES!N83&lt;TODAY()),NEGOCIAÇÕES!D83,"")</f>
        <v/>
      </c>
      <c r="E83" s="9" t="str">
        <f ca="1">IF(AND(NEGOCIAÇÕES!O83="",NEGOCIAÇÕES!N83&lt;TODAY()),NEGOCIAÇÕES!N83,"")</f>
        <v/>
      </c>
      <c r="F83" s="6"/>
    </row>
    <row r="84" spans="2:6" ht="31.95" hidden="1" customHeight="1" x14ac:dyDescent="0.3">
      <c r="B84" s="6" t="str">
        <f ca="1">IF(AND(NEGOCIAÇÕES!O84="",NEGOCIAÇÕES!N84&lt;TODAY()),NEGOCIAÇÕES!C84,"")</f>
        <v/>
      </c>
      <c r="C84" s="6" t="str">
        <f ca="1">IF(AND(NEGOCIAÇÕES!O84="",NEGOCIAÇÕES!N84&lt;TODAY()),NEGOCIAÇÕES!E84,"")</f>
        <v/>
      </c>
      <c r="D84" s="6" t="str">
        <f ca="1">IF(AND(NEGOCIAÇÕES!O84="",NEGOCIAÇÕES!N84&lt;TODAY()),NEGOCIAÇÕES!D84,"")</f>
        <v/>
      </c>
      <c r="E84" s="9" t="str">
        <f ca="1">IF(AND(NEGOCIAÇÕES!O84="",NEGOCIAÇÕES!N84&lt;TODAY()),NEGOCIAÇÕES!N84,"")</f>
        <v/>
      </c>
      <c r="F84" s="6"/>
    </row>
    <row r="85" spans="2:6" ht="31.95" hidden="1" customHeight="1" x14ac:dyDescent="0.3">
      <c r="B85" s="6" t="str">
        <f ca="1">IF(AND(NEGOCIAÇÕES!O85="",NEGOCIAÇÕES!N85&lt;TODAY()),NEGOCIAÇÕES!C85,"")</f>
        <v/>
      </c>
      <c r="C85" s="6" t="str">
        <f ca="1">IF(AND(NEGOCIAÇÕES!O85="",NEGOCIAÇÕES!N85&lt;TODAY()),NEGOCIAÇÕES!E85,"")</f>
        <v/>
      </c>
      <c r="D85" s="6" t="str">
        <f ca="1">IF(AND(NEGOCIAÇÕES!O85="",NEGOCIAÇÕES!N85&lt;TODAY()),NEGOCIAÇÕES!D85,"")</f>
        <v/>
      </c>
      <c r="E85" s="9" t="str">
        <f ca="1">IF(AND(NEGOCIAÇÕES!O85="",NEGOCIAÇÕES!N85&lt;TODAY()),NEGOCIAÇÕES!N85,"")</f>
        <v/>
      </c>
      <c r="F85" s="6"/>
    </row>
    <row r="86" spans="2:6" ht="31.95" hidden="1" customHeight="1" x14ac:dyDescent="0.3">
      <c r="B86" s="6" t="str">
        <f ca="1">IF(AND(NEGOCIAÇÕES!O86="",NEGOCIAÇÕES!N86&lt;TODAY()),NEGOCIAÇÕES!C86,"")</f>
        <v/>
      </c>
      <c r="C86" s="6" t="str">
        <f ca="1">IF(AND(NEGOCIAÇÕES!O86="",NEGOCIAÇÕES!N86&lt;TODAY()),NEGOCIAÇÕES!E86,"")</f>
        <v/>
      </c>
      <c r="D86" s="6" t="str">
        <f ca="1">IF(AND(NEGOCIAÇÕES!O86="",NEGOCIAÇÕES!N86&lt;TODAY()),NEGOCIAÇÕES!D86,"")</f>
        <v/>
      </c>
      <c r="E86" s="9" t="str">
        <f ca="1">IF(AND(NEGOCIAÇÕES!O86="",NEGOCIAÇÕES!N86&lt;TODAY()),NEGOCIAÇÕES!N86,"")</f>
        <v/>
      </c>
      <c r="F86" s="6"/>
    </row>
    <row r="87" spans="2:6" ht="31.95" hidden="1" customHeight="1" x14ac:dyDescent="0.3">
      <c r="B87" s="6" t="str">
        <f ca="1">IF(AND(NEGOCIAÇÕES!O87="",NEGOCIAÇÕES!N87&lt;TODAY()),NEGOCIAÇÕES!C87,"")</f>
        <v/>
      </c>
      <c r="C87" s="6" t="str">
        <f ca="1">IF(AND(NEGOCIAÇÕES!O87="",NEGOCIAÇÕES!N87&lt;TODAY()),NEGOCIAÇÕES!E87,"")</f>
        <v/>
      </c>
      <c r="D87" s="6" t="str">
        <f ca="1">IF(AND(NEGOCIAÇÕES!O87="",NEGOCIAÇÕES!N87&lt;TODAY()),NEGOCIAÇÕES!D87,"")</f>
        <v/>
      </c>
      <c r="E87" s="9" t="str">
        <f ca="1">IF(AND(NEGOCIAÇÕES!O87="",NEGOCIAÇÕES!N87&lt;TODAY()),NEGOCIAÇÕES!N87,"")</f>
        <v/>
      </c>
      <c r="F87" s="6"/>
    </row>
    <row r="88" spans="2:6" ht="31.95" hidden="1" customHeight="1" x14ac:dyDescent="0.3">
      <c r="B88" s="6" t="str">
        <f ca="1">IF(AND(NEGOCIAÇÕES!O88="",NEGOCIAÇÕES!N88&lt;TODAY()),NEGOCIAÇÕES!C88,"")</f>
        <v/>
      </c>
      <c r="C88" s="6" t="str">
        <f ca="1">IF(AND(NEGOCIAÇÕES!O88="",NEGOCIAÇÕES!N88&lt;TODAY()),NEGOCIAÇÕES!E88,"")</f>
        <v/>
      </c>
      <c r="D88" s="6" t="str">
        <f ca="1">IF(AND(NEGOCIAÇÕES!O88="",NEGOCIAÇÕES!N88&lt;TODAY()),NEGOCIAÇÕES!D88,"")</f>
        <v/>
      </c>
      <c r="E88" s="9" t="str">
        <f ca="1">IF(AND(NEGOCIAÇÕES!O88="",NEGOCIAÇÕES!N88&lt;TODAY()),NEGOCIAÇÕES!N88,"")</f>
        <v/>
      </c>
      <c r="F88" s="6"/>
    </row>
    <row r="89" spans="2:6" ht="31.95" hidden="1" customHeight="1" x14ac:dyDescent="0.3">
      <c r="B89" s="6" t="str">
        <f ca="1">IF(AND(NEGOCIAÇÕES!O89="",NEGOCIAÇÕES!N89&lt;TODAY()),NEGOCIAÇÕES!C89,"")</f>
        <v/>
      </c>
      <c r="C89" s="6" t="str">
        <f ca="1">IF(AND(NEGOCIAÇÕES!O89="",NEGOCIAÇÕES!N89&lt;TODAY()),NEGOCIAÇÕES!E89,"")</f>
        <v/>
      </c>
      <c r="D89" s="6" t="str">
        <f ca="1">IF(AND(NEGOCIAÇÕES!O89="",NEGOCIAÇÕES!N89&lt;TODAY()),NEGOCIAÇÕES!D89,"")</f>
        <v/>
      </c>
      <c r="E89" s="9" t="str">
        <f ca="1">IF(AND(NEGOCIAÇÕES!O89="",NEGOCIAÇÕES!N89&lt;TODAY()),NEGOCIAÇÕES!N89,"")</f>
        <v/>
      </c>
      <c r="F89" s="6"/>
    </row>
    <row r="90" spans="2:6" ht="31.95" hidden="1" customHeight="1" x14ac:dyDescent="0.3">
      <c r="B90" s="6" t="str">
        <f ca="1">IF(AND(NEGOCIAÇÕES!O90="",NEGOCIAÇÕES!N90&lt;TODAY()),NEGOCIAÇÕES!C90,"")</f>
        <v/>
      </c>
      <c r="C90" s="6" t="str">
        <f ca="1">IF(AND(NEGOCIAÇÕES!O90="",NEGOCIAÇÕES!N90&lt;TODAY()),NEGOCIAÇÕES!E90,"")</f>
        <v/>
      </c>
      <c r="D90" s="6" t="str">
        <f ca="1">IF(AND(NEGOCIAÇÕES!O90="",NEGOCIAÇÕES!N90&lt;TODAY()),NEGOCIAÇÕES!D90,"")</f>
        <v/>
      </c>
      <c r="E90" s="9" t="str">
        <f ca="1">IF(AND(NEGOCIAÇÕES!O90="",NEGOCIAÇÕES!N90&lt;TODAY()),NEGOCIAÇÕES!N90,"")</f>
        <v/>
      </c>
      <c r="F90" s="6"/>
    </row>
    <row r="91" spans="2:6" ht="31.95" hidden="1" customHeight="1" x14ac:dyDescent="0.3">
      <c r="B91" s="6" t="str">
        <f ca="1">IF(AND(NEGOCIAÇÕES!O91="",NEGOCIAÇÕES!N91&lt;TODAY()),NEGOCIAÇÕES!C91,"")</f>
        <v/>
      </c>
      <c r="C91" s="6" t="str">
        <f ca="1">IF(AND(NEGOCIAÇÕES!O91="",NEGOCIAÇÕES!N91&lt;TODAY()),NEGOCIAÇÕES!E91,"")</f>
        <v/>
      </c>
      <c r="D91" s="6" t="str">
        <f ca="1">IF(AND(NEGOCIAÇÕES!O91="",NEGOCIAÇÕES!N91&lt;TODAY()),NEGOCIAÇÕES!D91,"")</f>
        <v/>
      </c>
      <c r="E91" s="9" t="str">
        <f ca="1">IF(AND(NEGOCIAÇÕES!O91="",NEGOCIAÇÕES!N91&lt;TODAY()),NEGOCIAÇÕES!N91,"")</f>
        <v/>
      </c>
      <c r="F91" s="6"/>
    </row>
    <row r="92" spans="2:6" ht="31.95" hidden="1" customHeight="1" x14ac:dyDescent="0.3">
      <c r="B92" s="6" t="str">
        <f ca="1">IF(AND(NEGOCIAÇÕES!O92="",NEGOCIAÇÕES!N92&lt;TODAY()),NEGOCIAÇÕES!C92,"")</f>
        <v/>
      </c>
      <c r="C92" s="6" t="str">
        <f ca="1">IF(AND(NEGOCIAÇÕES!O92="",NEGOCIAÇÕES!N92&lt;TODAY()),NEGOCIAÇÕES!E92,"")</f>
        <v/>
      </c>
      <c r="D92" s="6" t="str">
        <f ca="1">IF(AND(NEGOCIAÇÕES!O92="",NEGOCIAÇÕES!N92&lt;TODAY()),NEGOCIAÇÕES!D92,"")</f>
        <v/>
      </c>
      <c r="E92" s="9" t="str">
        <f ca="1">IF(AND(NEGOCIAÇÕES!O92="",NEGOCIAÇÕES!N92&lt;TODAY()),NEGOCIAÇÕES!N92,"")</f>
        <v/>
      </c>
      <c r="F92" s="6"/>
    </row>
    <row r="93" spans="2:6" ht="31.95" hidden="1" customHeight="1" x14ac:dyDescent="0.3">
      <c r="B93" s="6" t="str">
        <f ca="1">IF(AND(NEGOCIAÇÕES!O93="",NEGOCIAÇÕES!N93&lt;TODAY()),NEGOCIAÇÕES!C93,"")</f>
        <v/>
      </c>
      <c r="C93" s="6" t="str">
        <f ca="1">IF(AND(NEGOCIAÇÕES!O93="",NEGOCIAÇÕES!N93&lt;TODAY()),NEGOCIAÇÕES!E93,"")</f>
        <v/>
      </c>
      <c r="D93" s="6" t="str">
        <f ca="1">IF(AND(NEGOCIAÇÕES!O93="",NEGOCIAÇÕES!N93&lt;TODAY()),NEGOCIAÇÕES!D93,"")</f>
        <v/>
      </c>
      <c r="E93" s="9" t="str">
        <f ca="1">IF(AND(NEGOCIAÇÕES!O93="",NEGOCIAÇÕES!N93&lt;TODAY()),NEGOCIAÇÕES!N93,"")</f>
        <v/>
      </c>
      <c r="F93" s="6"/>
    </row>
    <row r="94" spans="2:6" ht="31.95" hidden="1" customHeight="1" x14ac:dyDescent="0.3">
      <c r="B94" s="6" t="str">
        <f ca="1">IF(AND(NEGOCIAÇÕES!O94="",NEGOCIAÇÕES!N94&lt;TODAY()),NEGOCIAÇÕES!C94,"")</f>
        <v/>
      </c>
      <c r="C94" s="6" t="str">
        <f ca="1">IF(AND(NEGOCIAÇÕES!O94="",NEGOCIAÇÕES!N94&lt;TODAY()),NEGOCIAÇÕES!E94,"")</f>
        <v/>
      </c>
      <c r="D94" s="6" t="str">
        <f ca="1">IF(AND(NEGOCIAÇÕES!O94="",NEGOCIAÇÕES!N94&lt;TODAY()),NEGOCIAÇÕES!D94,"")</f>
        <v/>
      </c>
      <c r="E94" s="9" t="str">
        <f ca="1">IF(AND(NEGOCIAÇÕES!O94="",NEGOCIAÇÕES!N94&lt;TODAY()),NEGOCIAÇÕES!N94,"")</f>
        <v/>
      </c>
      <c r="F94" s="6"/>
    </row>
    <row r="95" spans="2:6" ht="31.95" hidden="1" customHeight="1" x14ac:dyDescent="0.3">
      <c r="B95" s="6" t="str">
        <f ca="1">IF(AND(NEGOCIAÇÕES!O95="",NEGOCIAÇÕES!N95&lt;TODAY()),NEGOCIAÇÕES!C95,"")</f>
        <v/>
      </c>
      <c r="C95" s="6" t="str">
        <f ca="1">IF(AND(NEGOCIAÇÕES!O95="",NEGOCIAÇÕES!N95&lt;TODAY()),NEGOCIAÇÕES!E95,"")</f>
        <v/>
      </c>
      <c r="D95" s="6" t="str">
        <f ca="1">IF(AND(NEGOCIAÇÕES!O95="",NEGOCIAÇÕES!N95&lt;TODAY()),NEGOCIAÇÕES!D95,"")</f>
        <v/>
      </c>
      <c r="E95" s="9" t="str">
        <f ca="1">IF(AND(NEGOCIAÇÕES!O95="",NEGOCIAÇÕES!N95&lt;TODAY()),NEGOCIAÇÕES!N95,"")</f>
        <v/>
      </c>
      <c r="F95" s="6"/>
    </row>
    <row r="96" spans="2:6" ht="31.95" hidden="1" customHeight="1" x14ac:dyDescent="0.3">
      <c r="B96" s="6" t="str">
        <f ca="1">IF(AND(NEGOCIAÇÕES!O96="",NEGOCIAÇÕES!N96&lt;TODAY()),NEGOCIAÇÕES!C96,"")</f>
        <v/>
      </c>
      <c r="C96" s="6" t="str">
        <f ca="1">IF(AND(NEGOCIAÇÕES!O96="",NEGOCIAÇÕES!N96&lt;TODAY()),NEGOCIAÇÕES!E96,"")</f>
        <v/>
      </c>
      <c r="D96" s="6" t="str">
        <f ca="1">IF(AND(NEGOCIAÇÕES!O96="",NEGOCIAÇÕES!N96&lt;TODAY()),NEGOCIAÇÕES!D96,"")</f>
        <v/>
      </c>
      <c r="E96" s="9" t="str">
        <f ca="1">IF(AND(NEGOCIAÇÕES!O96="",NEGOCIAÇÕES!N96&lt;TODAY()),NEGOCIAÇÕES!N96,"")</f>
        <v/>
      </c>
      <c r="F96" s="6"/>
    </row>
    <row r="97" spans="2:6" ht="31.95" hidden="1" customHeight="1" x14ac:dyDescent="0.3">
      <c r="B97" s="6" t="str">
        <f ca="1">IF(AND(NEGOCIAÇÕES!O97="",NEGOCIAÇÕES!N97&lt;TODAY()),NEGOCIAÇÕES!C97,"")</f>
        <v/>
      </c>
      <c r="C97" s="6" t="str">
        <f ca="1">IF(AND(NEGOCIAÇÕES!O97="",NEGOCIAÇÕES!N97&lt;TODAY()),NEGOCIAÇÕES!E97,"")</f>
        <v/>
      </c>
      <c r="D97" s="6" t="str">
        <f ca="1">IF(AND(NEGOCIAÇÕES!O97="",NEGOCIAÇÕES!N97&lt;TODAY()),NEGOCIAÇÕES!D97,"")</f>
        <v/>
      </c>
      <c r="E97" s="9" t="str">
        <f ca="1">IF(AND(NEGOCIAÇÕES!O97="",NEGOCIAÇÕES!N97&lt;TODAY()),NEGOCIAÇÕES!N97,"")</f>
        <v/>
      </c>
      <c r="F97" s="6"/>
    </row>
    <row r="98" spans="2:6" ht="31.95" hidden="1" customHeight="1" x14ac:dyDescent="0.3">
      <c r="B98" s="6" t="str">
        <f ca="1">IF(AND(NEGOCIAÇÕES!O98="",NEGOCIAÇÕES!N98&lt;TODAY()),NEGOCIAÇÕES!C98,"")</f>
        <v/>
      </c>
      <c r="C98" s="6" t="str">
        <f ca="1">IF(AND(NEGOCIAÇÕES!O98="",NEGOCIAÇÕES!N98&lt;TODAY()),NEGOCIAÇÕES!E98,"")</f>
        <v/>
      </c>
      <c r="D98" s="6" t="str">
        <f ca="1">IF(AND(NEGOCIAÇÕES!O98="",NEGOCIAÇÕES!N98&lt;TODAY()),NEGOCIAÇÕES!D98,"")</f>
        <v/>
      </c>
      <c r="E98" s="9" t="str">
        <f ca="1">IF(AND(NEGOCIAÇÕES!O98="",NEGOCIAÇÕES!N98&lt;TODAY()),NEGOCIAÇÕES!N98,"")</f>
        <v/>
      </c>
      <c r="F98" s="6"/>
    </row>
    <row r="99" spans="2:6" ht="31.95" hidden="1" customHeight="1" x14ac:dyDescent="0.3">
      <c r="B99" s="6" t="str">
        <f ca="1">IF(AND(NEGOCIAÇÕES!O99="",NEGOCIAÇÕES!N99&lt;TODAY()),NEGOCIAÇÕES!C99,"")</f>
        <v/>
      </c>
      <c r="C99" s="6" t="str">
        <f ca="1">IF(AND(NEGOCIAÇÕES!O99="",NEGOCIAÇÕES!N99&lt;TODAY()),NEGOCIAÇÕES!E99,"")</f>
        <v/>
      </c>
      <c r="D99" s="6" t="str">
        <f ca="1">IF(AND(NEGOCIAÇÕES!O99="",NEGOCIAÇÕES!N99&lt;TODAY()),NEGOCIAÇÕES!D99,"")</f>
        <v/>
      </c>
      <c r="E99" s="9" t="str">
        <f ca="1">IF(AND(NEGOCIAÇÕES!O99="",NEGOCIAÇÕES!N99&lt;TODAY()),NEGOCIAÇÕES!N99,"")</f>
        <v/>
      </c>
      <c r="F99" s="6"/>
    </row>
    <row r="100" spans="2:6" ht="31.95" hidden="1" customHeight="1" x14ac:dyDescent="0.3">
      <c r="B100" s="6" t="str">
        <f ca="1">IF(AND(NEGOCIAÇÕES!O100="",NEGOCIAÇÕES!N100&lt;TODAY()),NEGOCIAÇÕES!C100,"")</f>
        <v/>
      </c>
      <c r="C100" s="6" t="str">
        <f ca="1">IF(AND(NEGOCIAÇÕES!O100="",NEGOCIAÇÕES!N100&lt;TODAY()),NEGOCIAÇÕES!E100,"")</f>
        <v/>
      </c>
      <c r="D100" s="6" t="str">
        <f ca="1">IF(AND(NEGOCIAÇÕES!O100="",NEGOCIAÇÕES!N100&lt;TODAY()),NEGOCIAÇÕES!D100,"")</f>
        <v/>
      </c>
      <c r="E100" s="9" t="str">
        <f ca="1">IF(AND(NEGOCIAÇÕES!O100="",NEGOCIAÇÕES!N100&lt;TODAY()),NEGOCIAÇÕES!N100,"")</f>
        <v/>
      </c>
      <c r="F100" s="6"/>
    </row>
    <row r="101" spans="2:6" ht="31.95" hidden="1" customHeight="1" x14ac:dyDescent="0.3">
      <c r="B101" s="6" t="str">
        <f ca="1">IF(AND(NEGOCIAÇÕES!O101="",NEGOCIAÇÕES!N101&lt;TODAY()),NEGOCIAÇÕES!C101,"")</f>
        <v/>
      </c>
      <c r="C101" s="6" t="str">
        <f ca="1">IF(AND(NEGOCIAÇÕES!O101="",NEGOCIAÇÕES!N101&lt;TODAY()),NEGOCIAÇÕES!E101,"")</f>
        <v/>
      </c>
      <c r="D101" s="6" t="str">
        <f ca="1">IF(AND(NEGOCIAÇÕES!O101="",NEGOCIAÇÕES!N101&lt;TODAY()),NEGOCIAÇÕES!D101,"")</f>
        <v/>
      </c>
      <c r="E101" s="9" t="str">
        <f ca="1">IF(AND(NEGOCIAÇÕES!O101="",NEGOCIAÇÕES!N101&lt;TODAY()),NEGOCIAÇÕES!N101,"")</f>
        <v/>
      </c>
      <c r="F101" s="6"/>
    </row>
    <row r="102" spans="2:6" ht="31.95" hidden="1" customHeight="1" x14ac:dyDescent="0.3">
      <c r="B102" s="6" t="str">
        <f ca="1">IF(AND(NEGOCIAÇÕES!O102="",NEGOCIAÇÕES!N102&lt;TODAY()),NEGOCIAÇÕES!C102,"")</f>
        <v/>
      </c>
      <c r="C102" s="6" t="str">
        <f ca="1">IF(AND(NEGOCIAÇÕES!O102="",NEGOCIAÇÕES!N102&lt;TODAY()),NEGOCIAÇÕES!E102,"")</f>
        <v/>
      </c>
      <c r="D102" s="6" t="str">
        <f ca="1">IF(AND(NEGOCIAÇÕES!O102="",NEGOCIAÇÕES!N102&lt;TODAY()),NEGOCIAÇÕES!D102,"")</f>
        <v/>
      </c>
      <c r="E102" s="9" t="str">
        <f ca="1">IF(AND(NEGOCIAÇÕES!O102="",NEGOCIAÇÕES!N102&lt;TODAY()),NEGOCIAÇÕES!N102,"")</f>
        <v/>
      </c>
      <c r="F102" s="6"/>
    </row>
    <row r="103" spans="2:6" ht="31.95" hidden="1" customHeight="1" x14ac:dyDescent="0.3">
      <c r="B103" s="6" t="str">
        <f ca="1">IF(AND(NEGOCIAÇÕES!O103="",NEGOCIAÇÕES!N103&lt;TODAY()),NEGOCIAÇÕES!C103,"")</f>
        <v/>
      </c>
      <c r="C103" s="6" t="str">
        <f ca="1">IF(AND(NEGOCIAÇÕES!O103="",NEGOCIAÇÕES!N103&lt;TODAY()),NEGOCIAÇÕES!E103,"")</f>
        <v/>
      </c>
      <c r="D103" s="6" t="str">
        <f ca="1">IF(AND(NEGOCIAÇÕES!O103="",NEGOCIAÇÕES!N103&lt;TODAY()),NEGOCIAÇÕES!D103,"")</f>
        <v/>
      </c>
      <c r="E103" s="9" t="str">
        <f ca="1">IF(AND(NEGOCIAÇÕES!O103="",NEGOCIAÇÕES!N103&lt;TODAY()),NEGOCIAÇÕES!N103,"")</f>
        <v/>
      </c>
      <c r="F103" s="6"/>
    </row>
    <row r="104" spans="2:6" ht="31.95" hidden="1" customHeight="1" x14ac:dyDescent="0.3">
      <c r="B104" s="6" t="str">
        <f ca="1">IF(AND(NEGOCIAÇÕES!O104="",NEGOCIAÇÕES!N104&lt;TODAY()),NEGOCIAÇÕES!C104,"")</f>
        <v/>
      </c>
      <c r="C104" s="6" t="str">
        <f ca="1">IF(AND(NEGOCIAÇÕES!O104="",NEGOCIAÇÕES!N104&lt;TODAY()),NEGOCIAÇÕES!E104,"")</f>
        <v/>
      </c>
      <c r="D104" s="6" t="str">
        <f ca="1">IF(AND(NEGOCIAÇÕES!O104="",NEGOCIAÇÕES!N104&lt;TODAY()),NEGOCIAÇÕES!D104,"")</f>
        <v/>
      </c>
      <c r="E104" s="9" t="str">
        <f ca="1">IF(AND(NEGOCIAÇÕES!O104="",NEGOCIAÇÕES!N104&lt;TODAY()),NEGOCIAÇÕES!N104,"")</f>
        <v/>
      </c>
      <c r="F104" s="6"/>
    </row>
    <row r="105" spans="2:6" ht="31.95" hidden="1" customHeight="1" x14ac:dyDescent="0.3">
      <c r="B105" s="6" t="str">
        <f ca="1">IF(AND(NEGOCIAÇÕES!O105="",NEGOCIAÇÕES!N105&lt;TODAY()),NEGOCIAÇÕES!C105,"")</f>
        <v/>
      </c>
      <c r="C105" s="6" t="str">
        <f ca="1">IF(AND(NEGOCIAÇÕES!O105="",NEGOCIAÇÕES!N105&lt;TODAY()),NEGOCIAÇÕES!E105,"")</f>
        <v/>
      </c>
      <c r="D105" s="6" t="str">
        <f ca="1">IF(AND(NEGOCIAÇÕES!O105="",NEGOCIAÇÕES!N105&lt;TODAY()),NEGOCIAÇÕES!D105,"")</f>
        <v/>
      </c>
      <c r="E105" s="9" t="str">
        <f ca="1">IF(AND(NEGOCIAÇÕES!O105="",NEGOCIAÇÕES!N105&lt;TODAY()),NEGOCIAÇÕES!N105,"")</f>
        <v/>
      </c>
      <c r="F105" s="6"/>
    </row>
    <row r="106" spans="2:6" ht="31.95" hidden="1" customHeight="1" x14ac:dyDescent="0.3">
      <c r="B106" s="6" t="str">
        <f ca="1">IF(AND(NEGOCIAÇÕES!O106="",NEGOCIAÇÕES!N106&lt;TODAY()),NEGOCIAÇÕES!C106,"")</f>
        <v/>
      </c>
      <c r="C106" s="6" t="str">
        <f ca="1">IF(AND(NEGOCIAÇÕES!O106="",NEGOCIAÇÕES!N106&lt;TODAY()),NEGOCIAÇÕES!E106,"")</f>
        <v/>
      </c>
      <c r="D106" s="6" t="str">
        <f ca="1">IF(AND(NEGOCIAÇÕES!O106="",NEGOCIAÇÕES!N106&lt;TODAY()),NEGOCIAÇÕES!D106,"")</f>
        <v/>
      </c>
      <c r="E106" s="9" t="str">
        <f ca="1">IF(AND(NEGOCIAÇÕES!O106="",NEGOCIAÇÕES!N106&lt;TODAY()),NEGOCIAÇÕES!N106,"")</f>
        <v/>
      </c>
      <c r="F106" s="6"/>
    </row>
    <row r="107" spans="2:6" ht="31.95" hidden="1" customHeight="1" x14ac:dyDescent="0.3">
      <c r="B107" s="6" t="str">
        <f ca="1">IF(AND(NEGOCIAÇÕES!O107="",NEGOCIAÇÕES!N107&lt;TODAY()),NEGOCIAÇÕES!C107,"")</f>
        <v/>
      </c>
      <c r="C107" s="6" t="str">
        <f ca="1">IF(AND(NEGOCIAÇÕES!O107="",NEGOCIAÇÕES!N107&lt;TODAY()),NEGOCIAÇÕES!E107,"")</f>
        <v/>
      </c>
      <c r="D107" s="6" t="str">
        <f ca="1">IF(AND(NEGOCIAÇÕES!O107="",NEGOCIAÇÕES!N107&lt;TODAY()),NEGOCIAÇÕES!D107,"")</f>
        <v/>
      </c>
      <c r="E107" s="9" t="str">
        <f ca="1">IF(AND(NEGOCIAÇÕES!O107="",NEGOCIAÇÕES!N107&lt;TODAY()),NEGOCIAÇÕES!N107,"")</f>
        <v/>
      </c>
      <c r="F107" s="6"/>
    </row>
    <row r="108" spans="2:6" ht="31.95" hidden="1" customHeight="1" x14ac:dyDescent="0.3">
      <c r="B108" s="6" t="str">
        <f ca="1">IF(AND(NEGOCIAÇÕES!O108="",NEGOCIAÇÕES!N108&lt;TODAY()),NEGOCIAÇÕES!C108,"")</f>
        <v/>
      </c>
      <c r="C108" s="6" t="str">
        <f ca="1">IF(AND(NEGOCIAÇÕES!O108="",NEGOCIAÇÕES!N108&lt;TODAY()),NEGOCIAÇÕES!E108,"")</f>
        <v/>
      </c>
      <c r="D108" s="6" t="str">
        <f ca="1">IF(AND(NEGOCIAÇÕES!O108="",NEGOCIAÇÕES!N108&lt;TODAY()),NEGOCIAÇÕES!D108,"")</f>
        <v/>
      </c>
      <c r="E108" s="9" t="str">
        <f ca="1">IF(AND(NEGOCIAÇÕES!O108="",NEGOCIAÇÕES!N108&lt;TODAY()),NEGOCIAÇÕES!N108,"")</f>
        <v/>
      </c>
      <c r="F108" s="6"/>
    </row>
    <row r="109" spans="2:6" ht="31.95" hidden="1" customHeight="1" x14ac:dyDescent="0.3">
      <c r="B109" s="6" t="str">
        <f ca="1">IF(AND(NEGOCIAÇÕES!O109="",NEGOCIAÇÕES!N109&lt;TODAY()),NEGOCIAÇÕES!C109,"")</f>
        <v/>
      </c>
      <c r="C109" s="6" t="str">
        <f ca="1">IF(AND(NEGOCIAÇÕES!O109="",NEGOCIAÇÕES!N109&lt;TODAY()),NEGOCIAÇÕES!E109,"")</f>
        <v/>
      </c>
      <c r="D109" s="6" t="str">
        <f ca="1">IF(AND(NEGOCIAÇÕES!O109="",NEGOCIAÇÕES!N109&lt;TODAY()),NEGOCIAÇÕES!D109,"")</f>
        <v/>
      </c>
      <c r="E109" s="9" t="str">
        <f ca="1">IF(AND(NEGOCIAÇÕES!O109="",NEGOCIAÇÕES!N109&lt;TODAY()),NEGOCIAÇÕES!N109,"")</f>
        <v/>
      </c>
      <c r="F109" s="6"/>
    </row>
    <row r="110" spans="2:6" ht="31.95" hidden="1" customHeight="1" x14ac:dyDescent="0.3">
      <c r="B110" s="6" t="str">
        <f ca="1">IF(AND(NEGOCIAÇÕES!O110="",NEGOCIAÇÕES!N110&lt;TODAY()),NEGOCIAÇÕES!C110,"")</f>
        <v/>
      </c>
      <c r="C110" s="6" t="str">
        <f ca="1">IF(AND(NEGOCIAÇÕES!O110="",NEGOCIAÇÕES!N110&lt;TODAY()),NEGOCIAÇÕES!E110,"")</f>
        <v/>
      </c>
      <c r="D110" s="6" t="str">
        <f ca="1">IF(AND(NEGOCIAÇÕES!O110="",NEGOCIAÇÕES!N110&lt;TODAY()),NEGOCIAÇÕES!D110,"")</f>
        <v/>
      </c>
      <c r="E110" s="9" t="str">
        <f ca="1">IF(AND(NEGOCIAÇÕES!O110="",NEGOCIAÇÕES!N110&lt;TODAY()),NEGOCIAÇÕES!N110,"")</f>
        <v/>
      </c>
      <c r="F110" s="6"/>
    </row>
    <row r="111" spans="2:6" ht="31.95" hidden="1" customHeight="1" x14ac:dyDescent="0.3">
      <c r="B111" s="6" t="str">
        <f ca="1">IF(AND(NEGOCIAÇÕES!O111="",NEGOCIAÇÕES!N111&lt;TODAY()),NEGOCIAÇÕES!C111,"")</f>
        <v/>
      </c>
      <c r="C111" s="6" t="str">
        <f ca="1">IF(AND(NEGOCIAÇÕES!O111="",NEGOCIAÇÕES!N111&lt;TODAY()),NEGOCIAÇÕES!E111,"")</f>
        <v/>
      </c>
      <c r="D111" s="6" t="str">
        <f ca="1">IF(AND(NEGOCIAÇÕES!O111="",NEGOCIAÇÕES!N111&lt;TODAY()),NEGOCIAÇÕES!D111,"")</f>
        <v/>
      </c>
      <c r="E111" s="9" t="str">
        <f ca="1">IF(AND(NEGOCIAÇÕES!O111="",NEGOCIAÇÕES!N111&lt;TODAY()),NEGOCIAÇÕES!N111,"")</f>
        <v/>
      </c>
      <c r="F111" s="6"/>
    </row>
    <row r="112" spans="2:6" ht="31.95" hidden="1" customHeight="1" x14ac:dyDescent="0.3">
      <c r="B112" s="6" t="str">
        <f ca="1">IF(AND(NEGOCIAÇÕES!O112="",NEGOCIAÇÕES!N112&lt;TODAY()),NEGOCIAÇÕES!C112,"")</f>
        <v/>
      </c>
      <c r="C112" s="6" t="str">
        <f ca="1">IF(AND(NEGOCIAÇÕES!O112="",NEGOCIAÇÕES!N112&lt;TODAY()),NEGOCIAÇÕES!E112,"")</f>
        <v/>
      </c>
      <c r="D112" s="6" t="str">
        <f ca="1">IF(AND(NEGOCIAÇÕES!O112="",NEGOCIAÇÕES!N112&lt;TODAY()),NEGOCIAÇÕES!D112,"")</f>
        <v/>
      </c>
      <c r="E112" s="9" t="str">
        <f ca="1">IF(AND(NEGOCIAÇÕES!O112="",NEGOCIAÇÕES!N112&lt;TODAY()),NEGOCIAÇÕES!N112,"")</f>
        <v/>
      </c>
      <c r="F112" s="6"/>
    </row>
    <row r="113" spans="2:6" ht="31.95" hidden="1" customHeight="1" x14ac:dyDescent="0.3">
      <c r="B113" s="6" t="str">
        <f ca="1">IF(AND(NEGOCIAÇÕES!O113="",NEGOCIAÇÕES!N113&lt;TODAY()),NEGOCIAÇÕES!C113,"")</f>
        <v/>
      </c>
      <c r="C113" s="6" t="str">
        <f ca="1">IF(AND(NEGOCIAÇÕES!O113="",NEGOCIAÇÕES!N113&lt;TODAY()),NEGOCIAÇÕES!E113,"")</f>
        <v/>
      </c>
      <c r="D113" s="6" t="str">
        <f ca="1">IF(AND(NEGOCIAÇÕES!O113="",NEGOCIAÇÕES!N113&lt;TODAY()),NEGOCIAÇÕES!D113,"")</f>
        <v/>
      </c>
      <c r="E113" s="9" t="str">
        <f ca="1">IF(AND(NEGOCIAÇÕES!O113="",NEGOCIAÇÕES!N113&lt;TODAY()),NEGOCIAÇÕES!N113,"")</f>
        <v/>
      </c>
      <c r="F113" s="6"/>
    </row>
    <row r="114" spans="2:6" ht="31.95" hidden="1" customHeight="1" x14ac:dyDescent="0.3">
      <c r="B114" s="6" t="str">
        <f ca="1">IF(AND(NEGOCIAÇÕES!O114="",NEGOCIAÇÕES!N114&lt;TODAY()),NEGOCIAÇÕES!C114,"")</f>
        <v/>
      </c>
      <c r="C114" s="6" t="str">
        <f ca="1">IF(AND(NEGOCIAÇÕES!O114="",NEGOCIAÇÕES!N114&lt;TODAY()),NEGOCIAÇÕES!E114,"")</f>
        <v/>
      </c>
      <c r="D114" s="6" t="str">
        <f ca="1">IF(AND(NEGOCIAÇÕES!O114="",NEGOCIAÇÕES!N114&lt;TODAY()),NEGOCIAÇÕES!D114,"")</f>
        <v/>
      </c>
      <c r="E114" s="9" t="str">
        <f ca="1">IF(AND(NEGOCIAÇÕES!O114="",NEGOCIAÇÕES!N114&lt;TODAY()),NEGOCIAÇÕES!N114,"")</f>
        <v/>
      </c>
      <c r="F114" s="6"/>
    </row>
    <row r="115" spans="2:6" ht="31.95" hidden="1" customHeight="1" x14ac:dyDescent="0.3">
      <c r="B115" s="6" t="str">
        <f ca="1">IF(AND(NEGOCIAÇÕES!O115="",NEGOCIAÇÕES!N115&lt;TODAY()),NEGOCIAÇÕES!C115,"")</f>
        <v/>
      </c>
      <c r="C115" s="6" t="str">
        <f ca="1">IF(AND(NEGOCIAÇÕES!O115="",NEGOCIAÇÕES!N115&lt;TODAY()),NEGOCIAÇÕES!E115,"")</f>
        <v/>
      </c>
      <c r="D115" s="6" t="str">
        <f ca="1">IF(AND(NEGOCIAÇÕES!O115="",NEGOCIAÇÕES!N115&lt;TODAY()),NEGOCIAÇÕES!D115,"")</f>
        <v/>
      </c>
      <c r="E115" s="9" t="str">
        <f ca="1">IF(AND(NEGOCIAÇÕES!O115="",NEGOCIAÇÕES!N115&lt;TODAY()),NEGOCIAÇÕES!N115,"")</f>
        <v/>
      </c>
      <c r="F115" s="6"/>
    </row>
    <row r="116" spans="2:6" ht="31.95" hidden="1" customHeight="1" x14ac:dyDescent="0.3">
      <c r="B116" s="6" t="str">
        <f ca="1">IF(AND(NEGOCIAÇÕES!O116="",NEGOCIAÇÕES!N116&lt;TODAY()),NEGOCIAÇÕES!C116,"")</f>
        <v/>
      </c>
      <c r="C116" s="6" t="str">
        <f ca="1">IF(AND(NEGOCIAÇÕES!O116="",NEGOCIAÇÕES!N116&lt;TODAY()),NEGOCIAÇÕES!E116,"")</f>
        <v/>
      </c>
      <c r="D116" s="6" t="str">
        <f ca="1">IF(AND(NEGOCIAÇÕES!O116="",NEGOCIAÇÕES!N116&lt;TODAY()),NEGOCIAÇÕES!D116,"")</f>
        <v/>
      </c>
      <c r="E116" s="9" t="str">
        <f ca="1">IF(AND(NEGOCIAÇÕES!O116="",NEGOCIAÇÕES!N116&lt;TODAY()),NEGOCIAÇÕES!N116,"")</f>
        <v/>
      </c>
      <c r="F116" s="6"/>
    </row>
    <row r="117" spans="2:6" ht="31.95" hidden="1" customHeight="1" x14ac:dyDescent="0.3">
      <c r="B117" s="6" t="str">
        <f ca="1">IF(AND(NEGOCIAÇÕES!O117="",NEGOCIAÇÕES!N117&lt;TODAY()),NEGOCIAÇÕES!C117,"")</f>
        <v/>
      </c>
      <c r="C117" s="6" t="str">
        <f ca="1">IF(AND(NEGOCIAÇÕES!O117="",NEGOCIAÇÕES!N117&lt;TODAY()),NEGOCIAÇÕES!E117,"")</f>
        <v/>
      </c>
      <c r="D117" s="6" t="str">
        <f ca="1">IF(AND(NEGOCIAÇÕES!O117="",NEGOCIAÇÕES!N117&lt;TODAY()),NEGOCIAÇÕES!D117,"")</f>
        <v/>
      </c>
      <c r="E117" s="9" t="str">
        <f ca="1">IF(AND(NEGOCIAÇÕES!O117="",NEGOCIAÇÕES!N117&lt;TODAY()),NEGOCIAÇÕES!N117,"")</f>
        <v/>
      </c>
      <c r="F117" s="6"/>
    </row>
    <row r="118" spans="2:6" ht="31.95" hidden="1" customHeight="1" x14ac:dyDescent="0.3">
      <c r="B118" s="6" t="str">
        <f ca="1">IF(AND(NEGOCIAÇÕES!O118="",NEGOCIAÇÕES!N118&lt;TODAY()),NEGOCIAÇÕES!C118,"")</f>
        <v/>
      </c>
      <c r="C118" s="6" t="str">
        <f ca="1">IF(AND(NEGOCIAÇÕES!O118="",NEGOCIAÇÕES!N118&lt;TODAY()),NEGOCIAÇÕES!E118,"")</f>
        <v/>
      </c>
      <c r="D118" s="6" t="str">
        <f ca="1">IF(AND(NEGOCIAÇÕES!O118="",NEGOCIAÇÕES!N118&lt;TODAY()),NEGOCIAÇÕES!D118,"")</f>
        <v/>
      </c>
      <c r="E118" s="9" t="str">
        <f ca="1">IF(AND(NEGOCIAÇÕES!O118="",NEGOCIAÇÕES!N118&lt;TODAY()),NEGOCIAÇÕES!N118,"")</f>
        <v/>
      </c>
      <c r="F118" s="6"/>
    </row>
    <row r="119" spans="2:6" ht="31.95" hidden="1" customHeight="1" x14ac:dyDescent="0.3">
      <c r="B119" s="6" t="str">
        <f ca="1">IF(AND(NEGOCIAÇÕES!O119="",NEGOCIAÇÕES!N119&lt;TODAY()),NEGOCIAÇÕES!C119,"")</f>
        <v/>
      </c>
      <c r="C119" s="6" t="str">
        <f ca="1">IF(AND(NEGOCIAÇÕES!O119="",NEGOCIAÇÕES!N119&lt;TODAY()),NEGOCIAÇÕES!E119,"")</f>
        <v/>
      </c>
      <c r="D119" s="6" t="str">
        <f ca="1">IF(AND(NEGOCIAÇÕES!O119="",NEGOCIAÇÕES!N119&lt;TODAY()),NEGOCIAÇÕES!D119,"")</f>
        <v/>
      </c>
      <c r="E119" s="9" t="str">
        <f ca="1">IF(AND(NEGOCIAÇÕES!O119="",NEGOCIAÇÕES!N119&lt;TODAY()),NEGOCIAÇÕES!N119,"")</f>
        <v/>
      </c>
      <c r="F119" s="6"/>
    </row>
    <row r="120" spans="2:6" ht="31.95" hidden="1" customHeight="1" x14ac:dyDescent="0.3">
      <c r="B120" s="6" t="str">
        <f ca="1">IF(AND(NEGOCIAÇÕES!O120="",NEGOCIAÇÕES!N120&lt;TODAY()),NEGOCIAÇÕES!C120,"")</f>
        <v/>
      </c>
      <c r="C120" s="6" t="str">
        <f ca="1">IF(AND(NEGOCIAÇÕES!O120="",NEGOCIAÇÕES!N120&lt;TODAY()),NEGOCIAÇÕES!E120,"")</f>
        <v/>
      </c>
      <c r="D120" s="6" t="str">
        <f ca="1">IF(AND(NEGOCIAÇÕES!O120="",NEGOCIAÇÕES!N120&lt;TODAY()),NEGOCIAÇÕES!D120,"")</f>
        <v/>
      </c>
      <c r="E120" s="9" t="str">
        <f ca="1">IF(AND(NEGOCIAÇÕES!O120="",NEGOCIAÇÕES!N120&lt;TODAY()),NEGOCIAÇÕES!N120,"")</f>
        <v/>
      </c>
      <c r="F120" s="6"/>
    </row>
    <row r="121" spans="2:6" ht="31.95" hidden="1" customHeight="1" x14ac:dyDescent="0.3">
      <c r="B121" s="6" t="str">
        <f ca="1">IF(AND(NEGOCIAÇÕES!O121="",NEGOCIAÇÕES!N121&lt;TODAY()),NEGOCIAÇÕES!C121,"")</f>
        <v/>
      </c>
      <c r="C121" s="6" t="str">
        <f ca="1">IF(AND(NEGOCIAÇÕES!O121="",NEGOCIAÇÕES!N121&lt;TODAY()),NEGOCIAÇÕES!E121,"")</f>
        <v/>
      </c>
      <c r="D121" s="6" t="str">
        <f ca="1">IF(AND(NEGOCIAÇÕES!O121="",NEGOCIAÇÕES!N121&lt;TODAY()),NEGOCIAÇÕES!D121,"")</f>
        <v/>
      </c>
      <c r="E121" s="9" t="str">
        <f ca="1">IF(AND(NEGOCIAÇÕES!O121="",NEGOCIAÇÕES!N121&lt;TODAY()),NEGOCIAÇÕES!N121,"")</f>
        <v/>
      </c>
      <c r="F121" s="6"/>
    </row>
    <row r="122" spans="2:6" ht="31.95" hidden="1" customHeight="1" x14ac:dyDescent="0.3">
      <c r="B122" s="6" t="str">
        <f ca="1">IF(AND(NEGOCIAÇÕES!O122="",NEGOCIAÇÕES!N122&lt;TODAY()),NEGOCIAÇÕES!C122,"")</f>
        <v/>
      </c>
      <c r="C122" s="6" t="str">
        <f ca="1">IF(AND(NEGOCIAÇÕES!O122="",NEGOCIAÇÕES!N122&lt;TODAY()),NEGOCIAÇÕES!E122,"")</f>
        <v/>
      </c>
      <c r="D122" s="6" t="str">
        <f ca="1">IF(AND(NEGOCIAÇÕES!O122="",NEGOCIAÇÕES!N122&lt;TODAY()),NEGOCIAÇÕES!D122,"")</f>
        <v/>
      </c>
      <c r="E122" s="9" t="str">
        <f ca="1">IF(AND(NEGOCIAÇÕES!O122="",NEGOCIAÇÕES!N122&lt;TODAY()),NEGOCIAÇÕES!N122,"")</f>
        <v/>
      </c>
      <c r="F122" s="6"/>
    </row>
    <row r="123" spans="2:6" ht="31.95" hidden="1" customHeight="1" x14ac:dyDescent="0.3">
      <c r="B123" s="6" t="str">
        <f ca="1">IF(AND(NEGOCIAÇÕES!O123="",NEGOCIAÇÕES!N123&lt;TODAY()),NEGOCIAÇÕES!C123,"")</f>
        <v/>
      </c>
      <c r="C123" s="6" t="str">
        <f ca="1">IF(AND(NEGOCIAÇÕES!O123="",NEGOCIAÇÕES!N123&lt;TODAY()),NEGOCIAÇÕES!E123,"")</f>
        <v/>
      </c>
      <c r="D123" s="6" t="str">
        <f ca="1">IF(AND(NEGOCIAÇÕES!O123="",NEGOCIAÇÕES!N123&lt;TODAY()),NEGOCIAÇÕES!D123,"")</f>
        <v/>
      </c>
      <c r="E123" s="9" t="str">
        <f ca="1">IF(AND(NEGOCIAÇÕES!O123="",NEGOCIAÇÕES!N123&lt;TODAY()),NEGOCIAÇÕES!N123,"")</f>
        <v/>
      </c>
      <c r="F123" s="6"/>
    </row>
    <row r="124" spans="2:6" ht="31.95" hidden="1" customHeight="1" x14ac:dyDescent="0.3">
      <c r="B124" s="6" t="str">
        <f ca="1">IF(AND(NEGOCIAÇÕES!O124="",NEGOCIAÇÕES!N124&lt;TODAY()),NEGOCIAÇÕES!C124,"")</f>
        <v/>
      </c>
      <c r="C124" s="6" t="str">
        <f ca="1">IF(AND(NEGOCIAÇÕES!O124="",NEGOCIAÇÕES!N124&lt;TODAY()),NEGOCIAÇÕES!E124,"")</f>
        <v/>
      </c>
      <c r="D124" s="6" t="str">
        <f ca="1">IF(AND(NEGOCIAÇÕES!O124="",NEGOCIAÇÕES!N124&lt;TODAY()),NEGOCIAÇÕES!D124,"")</f>
        <v/>
      </c>
      <c r="E124" s="9" t="str">
        <f ca="1">IF(AND(NEGOCIAÇÕES!O124="",NEGOCIAÇÕES!N124&lt;TODAY()),NEGOCIAÇÕES!N124,"")</f>
        <v/>
      </c>
      <c r="F124" s="6"/>
    </row>
    <row r="125" spans="2:6" ht="31.95" hidden="1" customHeight="1" x14ac:dyDescent="0.3">
      <c r="B125" s="6" t="str">
        <f ca="1">IF(AND(NEGOCIAÇÕES!O125="",NEGOCIAÇÕES!N125&lt;TODAY()),NEGOCIAÇÕES!C125,"")</f>
        <v/>
      </c>
      <c r="C125" s="6" t="str">
        <f ca="1">IF(AND(NEGOCIAÇÕES!O125="",NEGOCIAÇÕES!N125&lt;TODAY()),NEGOCIAÇÕES!E125,"")</f>
        <v/>
      </c>
      <c r="D125" s="6" t="str">
        <f ca="1">IF(AND(NEGOCIAÇÕES!O125="",NEGOCIAÇÕES!N125&lt;TODAY()),NEGOCIAÇÕES!D125,"")</f>
        <v/>
      </c>
      <c r="E125" s="9" t="str">
        <f ca="1">IF(AND(NEGOCIAÇÕES!O125="",NEGOCIAÇÕES!N125&lt;TODAY()),NEGOCIAÇÕES!N125,"")</f>
        <v/>
      </c>
      <c r="F125" s="6"/>
    </row>
    <row r="126" spans="2:6" ht="31.95" hidden="1" customHeight="1" x14ac:dyDescent="0.3">
      <c r="B126" s="6" t="str">
        <f ca="1">IF(AND(NEGOCIAÇÕES!O126="",NEGOCIAÇÕES!N126&lt;TODAY()),NEGOCIAÇÕES!C126,"")</f>
        <v/>
      </c>
      <c r="C126" s="6" t="str">
        <f ca="1">IF(AND(NEGOCIAÇÕES!O126="",NEGOCIAÇÕES!N126&lt;TODAY()),NEGOCIAÇÕES!E126,"")</f>
        <v/>
      </c>
      <c r="D126" s="6" t="str">
        <f ca="1">IF(AND(NEGOCIAÇÕES!O126="",NEGOCIAÇÕES!N126&lt;TODAY()),NEGOCIAÇÕES!D126,"")</f>
        <v/>
      </c>
      <c r="E126" s="9" t="str">
        <f ca="1">IF(AND(NEGOCIAÇÕES!O126="",NEGOCIAÇÕES!N126&lt;TODAY()),NEGOCIAÇÕES!N126,"")</f>
        <v/>
      </c>
      <c r="F126" s="6"/>
    </row>
    <row r="127" spans="2:6" ht="31.95" hidden="1" customHeight="1" x14ac:dyDescent="0.3">
      <c r="B127" s="6" t="str">
        <f ca="1">IF(AND(NEGOCIAÇÕES!O127="",NEGOCIAÇÕES!N127&lt;TODAY()),NEGOCIAÇÕES!C127,"")</f>
        <v/>
      </c>
      <c r="C127" s="6" t="str">
        <f ca="1">IF(AND(NEGOCIAÇÕES!O127="",NEGOCIAÇÕES!N127&lt;TODAY()),NEGOCIAÇÕES!E127,"")</f>
        <v/>
      </c>
      <c r="D127" s="6" t="str">
        <f ca="1">IF(AND(NEGOCIAÇÕES!O127="",NEGOCIAÇÕES!N127&lt;TODAY()),NEGOCIAÇÕES!D127,"")</f>
        <v/>
      </c>
      <c r="E127" s="9" t="str">
        <f ca="1">IF(AND(NEGOCIAÇÕES!O127="",NEGOCIAÇÕES!N127&lt;TODAY()),NEGOCIAÇÕES!N127,"")</f>
        <v/>
      </c>
      <c r="F127" s="6"/>
    </row>
    <row r="128" spans="2:6" ht="31.95" hidden="1" customHeight="1" x14ac:dyDescent="0.3">
      <c r="B128" s="6" t="str">
        <f ca="1">IF(AND(NEGOCIAÇÕES!O128="",NEGOCIAÇÕES!N128&lt;TODAY()),NEGOCIAÇÕES!C128,"")</f>
        <v/>
      </c>
      <c r="C128" s="6" t="str">
        <f ca="1">IF(AND(NEGOCIAÇÕES!O128="",NEGOCIAÇÕES!N128&lt;TODAY()),NEGOCIAÇÕES!E128,"")</f>
        <v/>
      </c>
      <c r="D128" s="6" t="str">
        <f ca="1">IF(AND(NEGOCIAÇÕES!O128="",NEGOCIAÇÕES!N128&lt;TODAY()),NEGOCIAÇÕES!D128,"")</f>
        <v/>
      </c>
      <c r="E128" s="9" t="str">
        <f ca="1">IF(AND(NEGOCIAÇÕES!O128="",NEGOCIAÇÕES!N128&lt;TODAY()),NEGOCIAÇÕES!N128,"")</f>
        <v/>
      </c>
      <c r="F128" s="6"/>
    </row>
    <row r="129" spans="2:6" ht="31.95" hidden="1" customHeight="1" x14ac:dyDescent="0.3">
      <c r="B129" s="6" t="str">
        <f ca="1">IF(AND(NEGOCIAÇÕES!O129="",NEGOCIAÇÕES!N129&lt;TODAY()),NEGOCIAÇÕES!C129,"")</f>
        <v/>
      </c>
      <c r="C129" s="6" t="str">
        <f ca="1">IF(AND(NEGOCIAÇÕES!O129="",NEGOCIAÇÕES!N129&lt;TODAY()),NEGOCIAÇÕES!E129,"")</f>
        <v/>
      </c>
      <c r="D129" s="6" t="str">
        <f ca="1">IF(AND(NEGOCIAÇÕES!O129="",NEGOCIAÇÕES!N129&lt;TODAY()),NEGOCIAÇÕES!D129,"")</f>
        <v/>
      </c>
      <c r="E129" s="9" t="str">
        <f ca="1">IF(AND(NEGOCIAÇÕES!O129="",NEGOCIAÇÕES!N129&lt;TODAY()),NEGOCIAÇÕES!N129,"")</f>
        <v/>
      </c>
      <c r="F129" s="6"/>
    </row>
    <row r="130" spans="2:6" ht="31.95" hidden="1" customHeight="1" x14ac:dyDescent="0.3">
      <c r="B130" s="6" t="str">
        <f ca="1">IF(AND(NEGOCIAÇÕES!O130="",NEGOCIAÇÕES!N130&lt;TODAY()),NEGOCIAÇÕES!C130,"")</f>
        <v/>
      </c>
      <c r="C130" s="6" t="str">
        <f ca="1">IF(AND(NEGOCIAÇÕES!O130="",NEGOCIAÇÕES!N130&lt;TODAY()),NEGOCIAÇÕES!E130,"")</f>
        <v/>
      </c>
      <c r="D130" s="6" t="str">
        <f ca="1">IF(AND(NEGOCIAÇÕES!O130="",NEGOCIAÇÕES!N130&lt;TODAY()),NEGOCIAÇÕES!D130,"")</f>
        <v/>
      </c>
      <c r="E130" s="9" t="str">
        <f ca="1">IF(AND(NEGOCIAÇÕES!O130="",NEGOCIAÇÕES!N130&lt;TODAY()),NEGOCIAÇÕES!N130,"")</f>
        <v/>
      </c>
      <c r="F130" s="6"/>
    </row>
    <row r="131" spans="2:6" ht="31.95" hidden="1" customHeight="1" x14ac:dyDescent="0.3">
      <c r="B131" s="6" t="str">
        <f ca="1">IF(AND(NEGOCIAÇÕES!O131="",NEGOCIAÇÕES!N131&lt;TODAY()),NEGOCIAÇÕES!C131,"")</f>
        <v/>
      </c>
      <c r="C131" s="6" t="str">
        <f ca="1">IF(AND(NEGOCIAÇÕES!O131="",NEGOCIAÇÕES!N131&lt;TODAY()),NEGOCIAÇÕES!E131,"")</f>
        <v/>
      </c>
      <c r="D131" s="6" t="str">
        <f ca="1">IF(AND(NEGOCIAÇÕES!O131="",NEGOCIAÇÕES!N131&lt;TODAY()),NEGOCIAÇÕES!D131,"")</f>
        <v/>
      </c>
      <c r="E131" s="9" t="str">
        <f ca="1">IF(AND(NEGOCIAÇÕES!O131="",NEGOCIAÇÕES!N131&lt;TODAY()),NEGOCIAÇÕES!N131,"")</f>
        <v/>
      </c>
      <c r="F131" s="6"/>
    </row>
    <row r="132" spans="2:6" ht="31.95" hidden="1" customHeight="1" x14ac:dyDescent="0.3">
      <c r="B132" s="6" t="str">
        <f ca="1">IF(AND(NEGOCIAÇÕES!O132="",NEGOCIAÇÕES!N132&lt;TODAY()),NEGOCIAÇÕES!C132,"")</f>
        <v/>
      </c>
      <c r="C132" s="6" t="str">
        <f ca="1">IF(AND(NEGOCIAÇÕES!O132="",NEGOCIAÇÕES!N132&lt;TODAY()),NEGOCIAÇÕES!E132,"")</f>
        <v/>
      </c>
      <c r="D132" s="6" t="str">
        <f ca="1">IF(AND(NEGOCIAÇÕES!O132="",NEGOCIAÇÕES!N132&lt;TODAY()),NEGOCIAÇÕES!D132,"")</f>
        <v/>
      </c>
      <c r="E132" s="9" t="str">
        <f ca="1">IF(AND(NEGOCIAÇÕES!O132="",NEGOCIAÇÕES!N132&lt;TODAY()),NEGOCIAÇÕES!N132,"")</f>
        <v/>
      </c>
      <c r="F132" s="6"/>
    </row>
    <row r="133" spans="2:6" ht="31.95" hidden="1" customHeight="1" x14ac:dyDescent="0.3">
      <c r="B133" s="6" t="str">
        <f ca="1">IF(AND(NEGOCIAÇÕES!O133="",NEGOCIAÇÕES!N133&lt;TODAY()),NEGOCIAÇÕES!C133,"")</f>
        <v/>
      </c>
      <c r="C133" s="6" t="str">
        <f ca="1">IF(AND(NEGOCIAÇÕES!O133="",NEGOCIAÇÕES!N133&lt;TODAY()),NEGOCIAÇÕES!E133,"")</f>
        <v/>
      </c>
      <c r="D133" s="6" t="str">
        <f ca="1">IF(AND(NEGOCIAÇÕES!O133="",NEGOCIAÇÕES!N133&lt;TODAY()),NEGOCIAÇÕES!D133,"")</f>
        <v/>
      </c>
      <c r="E133" s="9" t="str">
        <f ca="1">IF(AND(NEGOCIAÇÕES!O133="",NEGOCIAÇÕES!N133&lt;TODAY()),NEGOCIAÇÕES!N133,"")</f>
        <v/>
      </c>
      <c r="F133" s="6"/>
    </row>
    <row r="134" spans="2:6" ht="31.95" hidden="1" customHeight="1" x14ac:dyDescent="0.3">
      <c r="B134" s="6" t="str">
        <f ca="1">IF(AND(NEGOCIAÇÕES!O134="",NEGOCIAÇÕES!N134&lt;TODAY()),NEGOCIAÇÕES!C134,"")</f>
        <v/>
      </c>
      <c r="C134" s="6" t="str">
        <f ca="1">IF(AND(NEGOCIAÇÕES!O134="",NEGOCIAÇÕES!N134&lt;TODAY()),NEGOCIAÇÕES!E134,"")</f>
        <v/>
      </c>
      <c r="D134" s="6" t="str">
        <f ca="1">IF(AND(NEGOCIAÇÕES!O134="",NEGOCIAÇÕES!N134&lt;TODAY()),NEGOCIAÇÕES!D134,"")</f>
        <v/>
      </c>
      <c r="E134" s="9" t="str">
        <f ca="1">IF(AND(NEGOCIAÇÕES!O134="",NEGOCIAÇÕES!N134&lt;TODAY()),NEGOCIAÇÕES!N134,"")</f>
        <v/>
      </c>
      <c r="F134" s="6"/>
    </row>
    <row r="135" spans="2:6" ht="31.95" hidden="1" customHeight="1" x14ac:dyDescent="0.3">
      <c r="B135" s="6" t="str">
        <f ca="1">IF(AND(NEGOCIAÇÕES!O135="",NEGOCIAÇÕES!N135&lt;TODAY()),NEGOCIAÇÕES!C135,"")</f>
        <v/>
      </c>
      <c r="C135" s="6" t="str">
        <f ca="1">IF(AND(NEGOCIAÇÕES!O135="",NEGOCIAÇÕES!N135&lt;TODAY()),NEGOCIAÇÕES!E135,"")</f>
        <v/>
      </c>
      <c r="D135" s="6" t="str">
        <f ca="1">IF(AND(NEGOCIAÇÕES!O135="",NEGOCIAÇÕES!N135&lt;TODAY()),NEGOCIAÇÕES!D135,"")</f>
        <v/>
      </c>
      <c r="E135" s="9" t="str">
        <f ca="1">IF(AND(NEGOCIAÇÕES!O135="",NEGOCIAÇÕES!N135&lt;TODAY()),NEGOCIAÇÕES!N135,"")</f>
        <v/>
      </c>
      <c r="F135" s="6"/>
    </row>
    <row r="136" spans="2:6" ht="31.95" hidden="1" customHeight="1" x14ac:dyDescent="0.3">
      <c r="B136" s="6" t="str">
        <f ca="1">IF(AND(NEGOCIAÇÕES!O136="",NEGOCIAÇÕES!N136&lt;TODAY()),NEGOCIAÇÕES!C136,"")</f>
        <v/>
      </c>
      <c r="C136" s="6" t="str">
        <f ca="1">IF(AND(NEGOCIAÇÕES!O136="",NEGOCIAÇÕES!N136&lt;TODAY()),NEGOCIAÇÕES!E136,"")</f>
        <v/>
      </c>
      <c r="D136" s="6" t="str">
        <f ca="1">IF(AND(NEGOCIAÇÕES!O136="",NEGOCIAÇÕES!N136&lt;TODAY()),NEGOCIAÇÕES!D136,"")</f>
        <v/>
      </c>
      <c r="E136" s="9" t="str">
        <f ca="1">IF(AND(NEGOCIAÇÕES!O136="",NEGOCIAÇÕES!N136&lt;TODAY()),NEGOCIAÇÕES!N136,"")</f>
        <v/>
      </c>
      <c r="F136" s="6"/>
    </row>
    <row r="137" spans="2:6" ht="31.95" hidden="1" customHeight="1" x14ac:dyDescent="0.3">
      <c r="B137" s="6" t="str">
        <f ca="1">IF(AND(NEGOCIAÇÕES!O137="",NEGOCIAÇÕES!N137&lt;TODAY()),NEGOCIAÇÕES!C137,"")</f>
        <v/>
      </c>
      <c r="C137" s="6" t="str">
        <f ca="1">IF(AND(NEGOCIAÇÕES!O137="",NEGOCIAÇÕES!N137&lt;TODAY()),NEGOCIAÇÕES!E137,"")</f>
        <v/>
      </c>
      <c r="D137" s="6" t="str">
        <f ca="1">IF(AND(NEGOCIAÇÕES!O137="",NEGOCIAÇÕES!N137&lt;TODAY()),NEGOCIAÇÕES!D137,"")</f>
        <v/>
      </c>
      <c r="E137" s="9" t="str">
        <f ca="1">IF(AND(NEGOCIAÇÕES!O137="",NEGOCIAÇÕES!N137&lt;TODAY()),NEGOCIAÇÕES!N137,"")</f>
        <v/>
      </c>
      <c r="F137" s="6"/>
    </row>
    <row r="138" spans="2:6" ht="31.95" hidden="1" customHeight="1" x14ac:dyDescent="0.3">
      <c r="B138" s="6" t="str">
        <f ca="1">IF(AND(NEGOCIAÇÕES!O138="",NEGOCIAÇÕES!N138&lt;TODAY()),NEGOCIAÇÕES!C138,"")</f>
        <v/>
      </c>
      <c r="C138" s="6" t="str">
        <f ca="1">IF(AND(NEGOCIAÇÕES!O138="",NEGOCIAÇÕES!N138&lt;TODAY()),NEGOCIAÇÕES!E138,"")</f>
        <v/>
      </c>
      <c r="D138" s="6" t="str">
        <f ca="1">IF(AND(NEGOCIAÇÕES!O138="",NEGOCIAÇÕES!N138&lt;TODAY()),NEGOCIAÇÕES!D138,"")</f>
        <v/>
      </c>
      <c r="E138" s="9" t="str">
        <f ca="1">IF(AND(NEGOCIAÇÕES!O138="",NEGOCIAÇÕES!N138&lt;TODAY()),NEGOCIAÇÕES!N138,"")</f>
        <v/>
      </c>
      <c r="F138" s="6"/>
    </row>
    <row r="139" spans="2:6" ht="31.95" hidden="1" customHeight="1" x14ac:dyDescent="0.3">
      <c r="B139" s="6" t="str">
        <f ca="1">IF(AND(NEGOCIAÇÕES!O139="",NEGOCIAÇÕES!N139&lt;TODAY()),NEGOCIAÇÕES!C139,"")</f>
        <v/>
      </c>
      <c r="C139" s="6" t="str">
        <f ca="1">IF(AND(NEGOCIAÇÕES!O139="",NEGOCIAÇÕES!N139&lt;TODAY()),NEGOCIAÇÕES!E139,"")</f>
        <v/>
      </c>
      <c r="D139" s="6" t="str">
        <f ca="1">IF(AND(NEGOCIAÇÕES!O139="",NEGOCIAÇÕES!N139&lt;TODAY()),NEGOCIAÇÕES!D139,"")</f>
        <v/>
      </c>
      <c r="E139" s="9" t="str">
        <f ca="1">IF(AND(NEGOCIAÇÕES!O139="",NEGOCIAÇÕES!N139&lt;TODAY()),NEGOCIAÇÕES!N139,"")</f>
        <v/>
      </c>
      <c r="F139" s="6"/>
    </row>
    <row r="140" spans="2:6" ht="31.95" hidden="1" customHeight="1" x14ac:dyDescent="0.3">
      <c r="B140" s="6" t="str">
        <f ca="1">IF(AND(NEGOCIAÇÕES!O140="",NEGOCIAÇÕES!N140&lt;TODAY()),NEGOCIAÇÕES!C140,"")</f>
        <v/>
      </c>
      <c r="C140" s="6" t="str">
        <f ca="1">IF(AND(NEGOCIAÇÕES!O140="",NEGOCIAÇÕES!N140&lt;TODAY()),NEGOCIAÇÕES!E140,"")</f>
        <v/>
      </c>
      <c r="D140" s="6" t="str">
        <f ca="1">IF(AND(NEGOCIAÇÕES!O140="",NEGOCIAÇÕES!N140&lt;TODAY()),NEGOCIAÇÕES!D140,"")</f>
        <v/>
      </c>
      <c r="E140" s="9" t="str">
        <f ca="1">IF(AND(NEGOCIAÇÕES!O140="",NEGOCIAÇÕES!N140&lt;TODAY()),NEGOCIAÇÕES!N140,"")</f>
        <v/>
      </c>
      <c r="F140" s="6"/>
    </row>
    <row r="141" spans="2:6" ht="31.95" hidden="1" customHeight="1" x14ac:dyDescent="0.3">
      <c r="B141" s="6" t="str">
        <f ca="1">IF(AND(NEGOCIAÇÕES!O141="",NEGOCIAÇÕES!N141&lt;TODAY()),NEGOCIAÇÕES!C141,"")</f>
        <v/>
      </c>
      <c r="C141" s="6" t="str">
        <f ca="1">IF(AND(NEGOCIAÇÕES!O141="",NEGOCIAÇÕES!N141&lt;TODAY()),NEGOCIAÇÕES!E141,"")</f>
        <v/>
      </c>
      <c r="D141" s="6" t="str">
        <f ca="1">IF(AND(NEGOCIAÇÕES!O141="",NEGOCIAÇÕES!N141&lt;TODAY()),NEGOCIAÇÕES!D141,"")</f>
        <v/>
      </c>
      <c r="E141" s="9" t="str">
        <f ca="1">IF(AND(NEGOCIAÇÕES!O141="",NEGOCIAÇÕES!N141&lt;TODAY()),NEGOCIAÇÕES!N141,"")</f>
        <v/>
      </c>
      <c r="F141" s="6"/>
    </row>
    <row r="142" spans="2:6" ht="31.95" hidden="1" customHeight="1" x14ac:dyDescent="0.3">
      <c r="B142" s="6" t="str">
        <f ca="1">IF(AND(NEGOCIAÇÕES!O142="",NEGOCIAÇÕES!N142&lt;TODAY()),NEGOCIAÇÕES!C142,"")</f>
        <v/>
      </c>
      <c r="C142" s="6" t="str">
        <f ca="1">IF(AND(NEGOCIAÇÕES!O142="",NEGOCIAÇÕES!N142&lt;TODAY()),NEGOCIAÇÕES!E142,"")</f>
        <v/>
      </c>
      <c r="D142" s="6" t="str">
        <f ca="1">IF(AND(NEGOCIAÇÕES!O142="",NEGOCIAÇÕES!N142&lt;TODAY()),NEGOCIAÇÕES!D142,"")</f>
        <v/>
      </c>
      <c r="E142" s="9" t="str">
        <f ca="1">IF(AND(NEGOCIAÇÕES!O142="",NEGOCIAÇÕES!N142&lt;TODAY()),NEGOCIAÇÕES!N142,"")</f>
        <v/>
      </c>
      <c r="F142" s="6"/>
    </row>
    <row r="143" spans="2:6" ht="31.95" hidden="1" customHeight="1" x14ac:dyDescent="0.3">
      <c r="B143" s="6" t="str">
        <f ca="1">IF(AND(NEGOCIAÇÕES!O143="",NEGOCIAÇÕES!N143&lt;TODAY()),NEGOCIAÇÕES!C143,"")</f>
        <v/>
      </c>
      <c r="C143" s="6" t="str">
        <f ca="1">IF(AND(NEGOCIAÇÕES!O143="",NEGOCIAÇÕES!N143&lt;TODAY()),NEGOCIAÇÕES!E143,"")</f>
        <v/>
      </c>
      <c r="D143" s="6" t="str">
        <f ca="1">IF(AND(NEGOCIAÇÕES!O143="",NEGOCIAÇÕES!N143&lt;TODAY()),NEGOCIAÇÕES!D143,"")</f>
        <v/>
      </c>
      <c r="E143" s="9" t="str">
        <f ca="1">IF(AND(NEGOCIAÇÕES!O143="",NEGOCIAÇÕES!N143&lt;TODAY()),NEGOCIAÇÕES!N143,"")</f>
        <v/>
      </c>
      <c r="F143" s="6"/>
    </row>
    <row r="144" spans="2:6" ht="31.95" hidden="1" customHeight="1" x14ac:dyDescent="0.3">
      <c r="B144" s="6" t="str">
        <f ca="1">IF(AND(NEGOCIAÇÕES!O144="",NEGOCIAÇÕES!N144&lt;TODAY()),NEGOCIAÇÕES!C144,"")</f>
        <v/>
      </c>
      <c r="C144" s="6" t="str">
        <f ca="1">IF(AND(NEGOCIAÇÕES!O144="",NEGOCIAÇÕES!N144&lt;TODAY()),NEGOCIAÇÕES!E144,"")</f>
        <v/>
      </c>
      <c r="D144" s="6" t="str">
        <f ca="1">IF(AND(NEGOCIAÇÕES!O144="",NEGOCIAÇÕES!N144&lt;TODAY()),NEGOCIAÇÕES!D144,"")</f>
        <v/>
      </c>
      <c r="E144" s="9" t="str">
        <f ca="1">IF(AND(NEGOCIAÇÕES!O144="",NEGOCIAÇÕES!N144&lt;TODAY()),NEGOCIAÇÕES!N144,"")</f>
        <v/>
      </c>
      <c r="F144" s="6"/>
    </row>
    <row r="145" spans="2:6" ht="31.95" hidden="1" customHeight="1" x14ac:dyDescent="0.3">
      <c r="B145" s="6" t="str">
        <f ca="1">IF(AND(NEGOCIAÇÕES!O145="",NEGOCIAÇÕES!N145&lt;TODAY()),NEGOCIAÇÕES!C145,"")</f>
        <v/>
      </c>
      <c r="C145" s="6" t="str">
        <f ca="1">IF(AND(NEGOCIAÇÕES!O145="",NEGOCIAÇÕES!N145&lt;TODAY()),NEGOCIAÇÕES!E145,"")</f>
        <v/>
      </c>
      <c r="D145" s="6" t="str">
        <f ca="1">IF(AND(NEGOCIAÇÕES!O145="",NEGOCIAÇÕES!N145&lt;TODAY()),NEGOCIAÇÕES!D145,"")</f>
        <v/>
      </c>
      <c r="E145" s="9" t="str">
        <f ca="1">IF(AND(NEGOCIAÇÕES!O145="",NEGOCIAÇÕES!N145&lt;TODAY()),NEGOCIAÇÕES!N145,"")</f>
        <v/>
      </c>
      <c r="F145" s="6"/>
    </row>
    <row r="146" spans="2:6" ht="31.95" hidden="1" customHeight="1" x14ac:dyDescent="0.3">
      <c r="B146" s="6" t="str">
        <f ca="1">IF(AND(NEGOCIAÇÕES!O146="",NEGOCIAÇÕES!N146&lt;TODAY()),NEGOCIAÇÕES!C146,"")</f>
        <v/>
      </c>
      <c r="C146" s="6" t="str">
        <f ca="1">IF(AND(NEGOCIAÇÕES!O146="",NEGOCIAÇÕES!N146&lt;TODAY()),NEGOCIAÇÕES!E146,"")</f>
        <v/>
      </c>
      <c r="D146" s="6" t="str">
        <f ca="1">IF(AND(NEGOCIAÇÕES!O146="",NEGOCIAÇÕES!N146&lt;TODAY()),NEGOCIAÇÕES!D146,"")</f>
        <v/>
      </c>
      <c r="E146" s="9" t="str">
        <f ca="1">IF(AND(NEGOCIAÇÕES!O146="",NEGOCIAÇÕES!N146&lt;TODAY()),NEGOCIAÇÕES!N146,"")</f>
        <v/>
      </c>
      <c r="F146" s="6"/>
    </row>
    <row r="147" spans="2:6" ht="31.95" hidden="1" customHeight="1" x14ac:dyDescent="0.3">
      <c r="B147" s="6" t="str">
        <f ca="1">IF(AND(NEGOCIAÇÕES!O147="",NEGOCIAÇÕES!N147&lt;TODAY()),NEGOCIAÇÕES!C147,"")</f>
        <v/>
      </c>
      <c r="C147" s="6" t="str">
        <f ca="1">IF(AND(NEGOCIAÇÕES!O147="",NEGOCIAÇÕES!N147&lt;TODAY()),NEGOCIAÇÕES!E147,"")</f>
        <v/>
      </c>
      <c r="D147" s="6" t="str">
        <f ca="1">IF(AND(NEGOCIAÇÕES!O147="",NEGOCIAÇÕES!N147&lt;TODAY()),NEGOCIAÇÕES!D147,"")</f>
        <v/>
      </c>
      <c r="E147" s="9" t="str">
        <f ca="1">IF(AND(NEGOCIAÇÕES!O147="",NEGOCIAÇÕES!N147&lt;TODAY()),NEGOCIAÇÕES!N147,"")</f>
        <v/>
      </c>
      <c r="F147" s="6"/>
    </row>
    <row r="148" spans="2:6" ht="31.95" hidden="1" customHeight="1" x14ac:dyDescent="0.3">
      <c r="B148" s="6" t="str">
        <f ca="1">IF(AND(NEGOCIAÇÕES!O148="",NEGOCIAÇÕES!N148&lt;TODAY()),NEGOCIAÇÕES!C148,"")</f>
        <v/>
      </c>
      <c r="C148" s="6" t="str">
        <f ca="1">IF(AND(NEGOCIAÇÕES!O148="",NEGOCIAÇÕES!N148&lt;TODAY()),NEGOCIAÇÕES!E148,"")</f>
        <v/>
      </c>
      <c r="D148" s="6" t="str">
        <f ca="1">IF(AND(NEGOCIAÇÕES!O148="",NEGOCIAÇÕES!N148&lt;TODAY()),NEGOCIAÇÕES!D148,"")</f>
        <v/>
      </c>
      <c r="E148" s="9" t="str">
        <f ca="1">IF(AND(NEGOCIAÇÕES!O148="",NEGOCIAÇÕES!N148&lt;TODAY()),NEGOCIAÇÕES!N148,"")</f>
        <v/>
      </c>
      <c r="F148" s="6"/>
    </row>
    <row r="149" spans="2:6" ht="31.95" hidden="1" customHeight="1" x14ac:dyDescent="0.3">
      <c r="B149" s="6" t="str">
        <f ca="1">IF(AND(NEGOCIAÇÕES!O149="",NEGOCIAÇÕES!N149&lt;TODAY()),NEGOCIAÇÕES!C149,"")</f>
        <v/>
      </c>
      <c r="C149" s="6" t="str">
        <f ca="1">IF(AND(NEGOCIAÇÕES!O149="",NEGOCIAÇÕES!N149&lt;TODAY()),NEGOCIAÇÕES!E149,"")</f>
        <v/>
      </c>
      <c r="D149" s="6" t="str">
        <f ca="1">IF(AND(NEGOCIAÇÕES!O149="",NEGOCIAÇÕES!N149&lt;TODAY()),NEGOCIAÇÕES!D149,"")</f>
        <v/>
      </c>
      <c r="E149" s="9" t="str">
        <f ca="1">IF(AND(NEGOCIAÇÕES!O149="",NEGOCIAÇÕES!N149&lt;TODAY()),NEGOCIAÇÕES!N149,"")</f>
        <v/>
      </c>
      <c r="F149" s="6"/>
    </row>
    <row r="150" spans="2:6" ht="31.95" hidden="1" customHeight="1" x14ac:dyDescent="0.3">
      <c r="B150" s="6" t="str">
        <f ca="1">IF(AND(NEGOCIAÇÕES!O150="",NEGOCIAÇÕES!N150&lt;TODAY()),NEGOCIAÇÕES!C150,"")</f>
        <v/>
      </c>
      <c r="C150" s="6" t="str">
        <f ca="1">IF(AND(NEGOCIAÇÕES!O150="",NEGOCIAÇÕES!N150&lt;TODAY()),NEGOCIAÇÕES!E150,"")</f>
        <v/>
      </c>
      <c r="D150" s="6" t="str">
        <f ca="1">IF(AND(NEGOCIAÇÕES!O150="",NEGOCIAÇÕES!N150&lt;TODAY()),NEGOCIAÇÕES!D150,"")</f>
        <v/>
      </c>
      <c r="E150" s="9" t="str">
        <f ca="1">IF(AND(NEGOCIAÇÕES!O150="",NEGOCIAÇÕES!N150&lt;TODAY()),NEGOCIAÇÕES!N150,"")</f>
        <v/>
      </c>
      <c r="F150" s="6"/>
    </row>
    <row r="151" spans="2:6" ht="31.95" hidden="1" customHeight="1" x14ac:dyDescent="0.3">
      <c r="B151" s="6" t="str">
        <f ca="1">IF(AND(NEGOCIAÇÕES!O151="",NEGOCIAÇÕES!N151&lt;TODAY()),NEGOCIAÇÕES!C151,"")</f>
        <v/>
      </c>
      <c r="C151" s="6" t="str">
        <f ca="1">IF(AND(NEGOCIAÇÕES!O151="",NEGOCIAÇÕES!N151&lt;TODAY()),NEGOCIAÇÕES!E151,"")</f>
        <v/>
      </c>
      <c r="D151" s="6" t="str">
        <f ca="1">IF(AND(NEGOCIAÇÕES!O151="",NEGOCIAÇÕES!N151&lt;TODAY()),NEGOCIAÇÕES!D151,"")</f>
        <v/>
      </c>
      <c r="E151" s="9" t="str">
        <f ca="1">IF(AND(NEGOCIAÇÕES!O151="",NEGOCIAÇÕES!N151&lt;TODAY()),NEGOCIAÇÕES!N151,"")</f>
        <v/>
      </c>
      <c r="F151" s="6"/>
    </row>
    <row r="152" spans="2:6" ht="31.95" hidden="1" customHeight="1" x14ac:dyDescent="0.3">
      <c r="B152" s="6" t="str">
        <f ca="1">IF(AND(NEGOCIAÇÕES!O152="",NEGOCIAÇÕES!N152&lt;TODAY()),NEGOCIAÇÕES!C152,"")</f>
        <v/>
      </c>
      <c r="C152" s="6" t="str">
        <f ca="1">IF(AND(NEGOCIAÇÕES!O152="",NEGOCIAÇÕES!N152&lt;TODAY()),NEGOCIAÇÕES!E152,"")</f>
        <v/>
      </c>
      <c r="D152" s="6" t="str">
        <f ca="1">IF(AND(NEGOCIAÇÕES!O152="",NEGOCIAÇÕES!N152&lt;TODAY()),NEGOCIAÇÕES!D152,"")</f>
        <v/>
      </c>
      <c r="E152" s="9" t="str">
        <f ca="1">IF(AND(NEGOCIAÇÕES!O152="",NEGOCIAÇÕES!N152&lt;TODAY()),NEGOCIAÇÕES!N152,"")</f>
        <v/>
      </c>
      <c r="F152" s="6"/>
    </row>
    <row r="153" spans="2:6" ht="31.95" hidden="1" customHeight="1" x14ac:dyDescent="0.3">
      <c r="B153" s="6" t="str">
        <f ca="1">IF(AND(NEGOCIAÇÕES!O153="",NEGOCIAÇÕES!N153&lt;TODAY()),NEGOCIAÇÕES!C153,"")</f>
        <v/>
      </c>
      <c r="C153" s="6" t="str">
        <f ca="1">IF(AND(NEGOCIAÇÕES!O153="",NEGOCIAÇÕES!N153&lt;TODAY()),NEGOCIAÇÕES!E153,"")</f>
        <v/>
      </c>
      <c r="D153" s="6" t="str">
        <f ca="1">IF(AND(NEGOCIAÇÕES!O153="",NEGOCIAÇÕES!N153&lt;TODAY()),NEGOCIAÇÕES!D153,"")</f>
        <v/>
      </c>
      <c r="E153" s="9" t="str">
        <f ca="1">IF(AND(NEGOCIAÇÕES!O153="",NEGOCIAÇÕES!N153&lt;TODAY()),NEGOCIAÇÕES!N153,"")</f>
        <v/>
      </c>
      <c r="F153" s="6"/>
    </row>
    <row r="154" spans="2:6" ht="31.95" hidden="1" customHeight="1" x14ac:dyDescent="0.3">
      <c r="B154" s="6" t="str">
        <f ca="1">IF(AND(NEGOCIAÇÕES!O154="",NEGOCIAÇÕES!N154&lt;TODAY()),NEGOCIAÇÕES!C154,"")</f>
        <v/>
      </c>
      <c r="C154" s="6" t="str">
        <f ca="1">IF(AND(NEGOCIAÇÕES!O154="",NEGOCIAÇÕES!N154&lt;TODAY()),NEGOCIAÇÕES!E154,"")</f>
        <v/>
      </c>
      <c r="D154" s="6" t="str">
        <f ca="1">IF(AND(NEGOCIAÇÕES!O154="",NEGOCIAÇÕES!N154&lt;TODAY()),NEGOCIAÇÕES!D154,"")</f>
        <v/>
      </c>
      <c r="E154" s="9" t="str">
        <f ca="1">IF(AND(NEGOCIAÇÕES!O154="",NEGOCIAÇÕES!N154&lt;TODAY()),NEGOCIAÇÕES!N154,"")</f>
        <v/>
      </c>
      <c r="F154" s="6"/>
    </row>
    <row r="155" spans="2:6" ht="31.95" hidden="1" customHeight="1" x14ac:dyDescent="0.3">
      <c r="B155" s="6" t="str">
        <f ca="1">IF(AND(NEGOCIAÇÕES!O155="",NEGOCIAÇÕES!N155&lt;TODAY()),NEGOCIAÇÕES!C155,"")</f>
        <v/>
      </c>
      <c r="C155" s="6" t="str">
        <f ca="1">IF(AND(NEGOCIAÇÕES!O155="",NEGOCIAÇÕES!N155&lt;TODAY()),NEGOCIAÇÕES!E155,"")</f>
        <v/>
      </c>
      <c r="D155" s="6" t="str">
        <f ca="1">IF(AND(NEGOCIAÇÕES!O155="",NEGOCIAÇÕES!N155&lt;TODAY()),NEGOCIAÇÕES!D155,"")</f>
        <v/>
      </c>
      <c r="E155" s="9" t="str">
        <f ca="1">IF(AND(NEGOCIAÇÕES!O155="",NEGOCIAÇÕES!N155&lt;TODAY()),NEGOCIAÇÕES!N155,"")</f>
        <v/>
      </c>
      <c r="F155" s="6"/>
    </row>
    <row r="156" spans="2:6" ht="31.95" hidden="1" customHeight="1" x14ac:dyDescent="0.3">
      <c r="B156" s="6" t="str">
        <f ca="1">IF(AND(NEGOCIAÇÕES!O156="",NEGOCIAÇÕES!N156&lt;TODAY()),NEGOCIAÇÕES!C156,"")</f>
        <v/>
      </c>
      <c r="C156" s="6" t="str">
        <f ca="1">IF(AND(NEGOCIAÇÕES!O156="",NEGOCIAÇÕES!N156&lt;TODAY()),NEGOCIAÇÕES!E156,"")</f>
        <v/>
      </c>
      <c r="D156" s="6" t="str">
        <f ca="1">IF(AND(NEGOCIAÇÕES!O156="",NEGOCIAÇÕES!N156&lt;TODAY()),NEGOCIAÇÕES!D156,"")</f>
        <v/>
      </c>
      <c r="E156" s="9" t="str">
        <f ca="1">IF(AND(NEGOCIAÇÕES!O156="",NEGOCIAÇÕES!N156&lt;TODAY()),NEGOCIAÇÕES!N156,"")</f>
        <v/>
      </c>
      <c r="F156" s="6"/>
    </row>
    <row r="157" spans="2:6" ht="31.95" hidden="1" customHeight="1" x14ac:dyDescent="0.3">
      <c r="B157" s="6" t="str">
        <f ca="1">IF(AND(NEGOCIAÇÕES!O157="",NEGOCIAÇÕES!N157&lt;TODAY()),NEGOCIAÇÕES!C157,"")</f>
        <v/>
      </c>
      <c r="C157" s="6" t="str">
        <f ca="1">IF(AND(NEGOCIAÇÕES!O157="",NEGOCIAÇÕES!N157&lt;TODAY()),NEGOCIAÇÕES!E157,"")</f>
        <v/>
      </c>
      <c r="D157" s="6" t="str">
        <f ca="1">IF(AND(NEGOCIAÇÕES!O157="",NEGOCIAÇÕES!N157&lt;TODAY()),NEGOCIAÇÕES!D157,"")</f>
        <v/>
      </c>
      <c r="E157" s="9" t="str">
        <f ca="1">IF(AND(NEGOCIAÇÕES!O157="",NEGOCIAÇÕES!N157&lt;TODAY()),NEGOCIAÇÕES!N157,"")</f>
        <v/>
      </c>
      <c r="F157" s="6"/>
    </row>
    <row r="158" spans="2:6" ht="31.95" hidden="1" customHeight="1" x14ac:dyDescent="0.3">
      <c r="B158" s="6" t="str">
        <f ca="1">IF(AND(NEGOCIAÇÕES!O158="",NEGOCIAÇÕES!N158&lt;TODAY()),NEGOCIAÇÕES!C158,"")</f>
        <v/>
      </c>
      <c r="C158" s="6" t="str">
        <f ca="1">IF(AND(NEGOCIAÇÕES!O158="",NEGOCIAÇÕES!N158&lt;TODAY()),NEGOCIAÇÕES!E158,"")</f>
        <v/>
      </c>
      <c r="D158" s="6" t="str">
        <f ca="1">IF(AND(NEGOCIAÇÕES!O158="",NEGOCIAÇÕES!N158&lt;TODAY()),NEGOCIAÇÕES!D158,"")</f>
        <v/>
      </c>
      <c r="E158" s="9" t="str">
        <f ca="1">IF(AND(NEGOCIAÇÕES!O158="",NEGOCIAÇÕES!N158&lt;TODAY()),NEGOCIAÇÕES!N158,"")</f>
        <v/>
      </c>
      <c r="F158" s="6"/>
    </row>
    <row r="159" spans="2:6" ht="31.95" hidden="1" customHeight="1" x14ac:dyDescent="0.3">
      <c r="B159" s="6" t="str">
        <f ca="1">IF(AND(NEGOCIAÇÕES!O159="",NEGOCIAÇÕES!N159&lt;TODAY()),NEGOCIAÇÕES!C159,"")</f>
        <v/>
      </c>
      <c r="C159" s="6" t="str">
        <f ca="1">IF(AND(NEGOCIAÇÕES!O159="",NEGOCIAÇÕES!N159&lt;TODAY()),NEGOCIAÇÕES!E159,"")</f>
        <v/>
      </c>
      <c r="D159" s="6" t="str">
        <f ca="1">IF(AND(NEGOCIAÇÕES!O159="",NEGOCIAÇÕES!N159&lt;TODAY()),NEGOCIAÇÕES!D159,"")</f>
        <v/>
      </c>
      <c r="E159" s="9" t="str">
        <f ca="1">IF(AND(NEGOCIAÇÕES!O159="",NEGOCIAÇÕES!N159&lt;TODAY()),NEGOCIAÇÕES!N159,"")</f>
        <v/>
      </c>
      <c r="F159" s="6"/>
    </row>
    <row r="160" spans="2:6" ht="31.95" hidden="1" customHeight="1" x14ac:dyDescent="0.3">
      <c r="B160" s="6" t="str">
        <f ca="1">IF(AND(NEGOCIAÇÕES!O160="",NEGOCIAÇÕES!N160&lt;TODAY()),NEGOCIAÇÕES!C160,"")</f>
        <v/>
      </c>
      <c r="C160" s="6" t="str">
        <f ca="1">IF(AND(NEGOCIAÇÕES!O160="",NEGOCIAÇÕES!N160&lt;TODAY()),NEGOCIAÇÕES!E160,"")</f>
        <v/>
      </c>
      <c r="D160" s="6" t="str">
        <f ca="1">IF(AND(NEGOCIAÇÕES!O160="",NEGOCIAÇÕES!N160&lt;TODAY()),NEGOCIAÇÕES!D160,"")</f>
        <v/>
      </c>
      <c r="E160" s="9" t="str">
        <f ca="1">IF(AND(NEGOCIAÇÕES!O160="",NEGOCIAÇÕES!N160&lt;TODAY()),NEGOCIAÇÕES!N160,"")</f>
        <v/>
      </c>
      <c r="F160" s="6"/>
    </row>
    <row r="161" spans="2:6" ht="31.95" hidden="1" customHeight="1" x14ac:dyDescent="0.3">
      <c r="B161" s="6" t="str">
        <f ca="1">IF(AND(NEGOCIAÇÕES!O161="",NEGOCIAÇÕES!N161&lt;TODAY()),NEGOCIAÇÕES!C161,"")</f>
        <v/>
      </c>
      <c r="C161" s="6" t="str">
        <f ca="1">IF(AND(NEGOCIAÇÕES!O161="",NEGOCIAÇÕES!N161&lt;TODAY()),NEGOCIAÇÕES!E161,"")</f>
        <v/>
      </c>
      <c r="D161" s="6" t="str">
        <f ca="1">IF(AND(NEGOCIAÇÕES!O161="",NEGOCIAÇÕES!N161&lt;TODAY()),NEGOCIAÇÕES!D161,"")</f>
        <v/>
      </c>
      <c r="E161" s="9" t="str">
        <f ca="1">IF(AND(NEGOCIAÇÕES!O161="",NEGOCIAÇÕES!N161&lt;TODAY()),NEGOCIAÇÕES!N161,"")</f>
        <v/>
      </c>
      <c r="F161" s="6"/>
    </row>
    <row r="162" spans="2:6" ht="31.95" hidden="1" customHeight="1" x14ac:dyDescent="0.3">
      <c r="B162" s="6" t="str">
        <f ca="1">IF(AND(NEGOCIAÇÕES!O162="",NEGOCIAÇÕES!N162&lt;TODAY()),NEGOCIAÇÕES!C162,"")</f>
        <v/>
      </c>
      <c r="C162" s="6" t="str">
        <f ca="1">IF(AND(NEGOCIAÇÕES!O162="",NEGOCIAÇÕES!N162&lt;TODAY()),NEGOCIAÇÕES!E162,"")</f>
        <v/>
      </c>
      <c r="D162" s="6" t="str">
        <f ca="1">IF(AND(NEGOCIAÇÕES!O162="",NEGOCIAÇÕES!N162&lt;TODAY()),NEGOCIAÇÕES!D162,"")</f>
        <v/>
      </c>
      <c r="E162" s="9" t="str">
        <f ca="1">IF(AND(NEGOCIAÇÕES!O162="",NEGOCIAÇÕES!N162&lt;TODAY()),NEGOCIAÇÕES!N162,"")</f>
        <v/>
      </c>
      <c r="F162" s="6"/>
    </row>
    <row r="163" spans="2:6" ht="31.95" hidden="1" customHeight="1" x14ac:dyDescent="0.3">
      <c r="B163" s="6" t="str">
        <f ca="1">IF(AND(NEGOCIAÇÕES!O163="",NEGOCIAÇÕES!N163&lt;TODAY()),NEGOCIAÇÕES!C163,"")</f>
        <v/>
      </c>
      <c r="C163" s="6" t="str">
        <f ca="1">IF(AND(NEGOCIAÇÕES!O163="",NEGOCIAÇÕES!N163&lt;TODAY()),NEGOCIAÇÕES!E163,"")</f>
        <v/>
      </c>
      <c r="D163" s="6" t="str">
        <f ca="1">IF(AND(NEGOCIAÇÕES!O163="",NEGOCIAÇÕES!N163&lt;TODAY()),NEGOCIAÇÕES!D163,"")</f>
        <v/>
      </c>
      <c r="E163" s="9" t="str">
        <f ca="1">IF(AND(NEGOCIAÇÕES!O163="",NEGOCIAÇÕES!N163&lt;TODAY()),NEGOCIAÇÕES!N163,"")</f>
        <v/>
      </c>
      <c r="F163" s="6"/>
    </row>
    <row r="164" spans="2:6" ht="31.95" hidden="1" customHeight="1" x14ac:dyDescent="0.3">
      <c r="B164" s="6" t="str">
        <f ca="1">IF(AND(NEGOCIAÇÕES!O164="",NEGOCIAÇÕES!N164&lt;TODAY()),NEGOCIAÇÕES!C164,"")</f>
        <v/>
      </c>
      <c r="C164" s="6" t="str">
        <f ca="1">IF(AND(NEGOCIAÇÕES!O164="",NEGOCIAÇÕES!N164&lt;TODAY()),NEGOCIAÇÕES!E164,"")</f>
        <v/>
      </c>
      <c r="D164" s="6" t="str">
        <f ca="1">IF(AND(NEGOCIAÇÕES!O164="",NEGOCIAÇÕES!N164&lt;TODAY()),NEGOCIAÇÕES!D164,"")</f>
        <v/>
      </c>
      <c r="E164" s="9" t="str">
        <f ca="1">IF(AND(NEGOCIAÇÕES!O164="",NEGOCIAÇÕES!N164&lt;TODAY()),NEGOCIAÇÕES!N164,"")</f>
        <v/>
      </c>
      <c r="F164" s="6"/>
    </row>
    <row r="165" spans="2:6" ht="31.95" hidden="1" customHeight="1" x14ac:dyDescent="0.3">
      <c r="B165" s="6" t="str">
        <f ca="1">IF(AND(NEGOCIAÇÕES!O165="",NEGOCIAÇÕES!N165&lt;TODAY()),NEGOCIAÇÕES!C165,"")</f>
        <v/>
      </c>
      <c r="C165" s="6" t="str">
        <f ca="1">IF(AND(NEGOCIAÇÕES!O165="",NEGOCIAÇÕES!N165&lt;TODAY()),NEGOCIAÇÕES!E165,"")</f>
        <v/>
      </c>
      <c r="D165" s="6" t="str">
        <f ca="1">IF(AND(NEGOCIAÇÕES!O165="",NEGOCIAÇÕES!N165&lt;TODAY()),NEGOCIAÇÕES!D165,"")</f>
        <v/>
      </c>
      <c r="E165" s="9" t="str">
        <f ca="1">IF(AND(NEGOCIAÇÕES!O165="",NEGOCIAÇÕES!N165&lt;TODAY()),NEGOCIAÇÕES!N165,"")</f>
        <v/>
      </c>
      <c r="F165" s="6"/>
    </row>
    <row r="166" spans="2:6" ht="31.95" hidden="1" customHeight="1" x14ac:dyDescent="0.3">
      <c r="B166" s="6" t="str">
        <f ca="1">IF(AND(NEGOCIAÇÕES!O166="",NEGOCIAÇÕES!N166&lt;TODAY()),NEGOCIAÇÕES!C166,"")</f>
        <v/>
      </c>
      <c r="C166" s="6" t="str">
        <f ca="1">IF(AND(NEGOCIAÇÕES!O166="",NEGOCIAÇÕES!N166&lt;TODAY()),NEGOCIAÇÕES!E166,"")</f>
        <v/>
      </c>
      <c r="D166" s="6" t="str">
        <f ca="1">IF(AND(NEGOCIAÇÕES!O166="",NEGOCIAÇÕES!N166&lt;TODAY()),NEGOCIAÇÕES!D166,"")</f>
        <v/>
      </c>
      <c r="E166" s="9" t="str">
        <f ca="1">IF(AND(NEGOCIAÇÕES!O166="",NEGOCIAÇÕES!N166&lt;TODAY()),NEGOCIAÇÕES!N166,"")</f>
        <v/>
      </c>
      <c r="F166" s="6"/>
    </row>
    <row r="167" spans="2:6" ht="31.95" hidden="1" customHeight="1" x14ac:dyDescent="0.3">
      <c r="B167" s="6" t="str">
        <f ca="1">IF(AND(NEGOCIAÇÕES!O167="",NEGOCIAÇÕES!N167&lt;TODAY()),NEGOCIAÇÕES!C167,"")</f>
        <v/>
      </c>
      <c r="C167" s="6" t="str">
        <f ca="1">IF(AND(NEGOCIAÇÕES!O167="",NEGOCIAÇÕES!N167&lt;TODAY()),NEGOCIAÇÕES!E167,"")</f>
        <v/>
      </c>
      <c r="D167" s="6" t="str">
        <f ca="1">IF(AND(NEGOCIAÇÕES!O167="",NEGOCIAÇÕES!N167&lt;TODAY()),NEGOCIAÇÕES!D167,"")</f>
        <v/>
      </c>
      <c r="E167" s="9" t="str">
        <f ca="1">IF(AND(NEGOCIAÇÕES!O167="",NEGOCIAÇÕES!N167&lt;TODAY()),NEGOCIAÇÕES!N167,"")</f>
        <v/>
      </c>
      <c r="F167" s="6"/>
    </row>
    <row r="168" spans="2:6" ht="31.95" hidden="1" customHeight="1" x14ac:dyDescent="0.3">
      <c r="B168" s="6" t="str">
        <f ca="1">IF(AND(NEGOCIAÇÕES!O168="",NEGOCIAÇÕES!N168&lt;TODAY()),NEGOCIAÇÕES!C168,"")</f>
        <v/>
      </c>
      <c r="C168" s="6" t="str">
        <f ca="1">IF(AND(NEGOCIAÇÕES!O168="",NEGOCIAÇÕES!N168&lt;TODAY()),NEGOCIAÇÕES!E168,"")</f>
        <v/>
      </c>
      <c r="D168" s="6" t="str">
        <f ca="1">IF(AND(NEGOCIAÇÕES!O168="",NEGOCIAÇÕES!N168&lt;TODAY()),NEGOCIAÇÕES!D168,"")</f>
        <v/>
      </c>
      <c r="E168" s="9" t="str">
        <f ca="1">IF(AND(NEGOCIAÇÕES!O168="",NEGOCIAÇÕES!N168&lt;TODAY()),NEGOCIAÇÕES!N168,"")</f>
        <v/>
      </c>
      <c r="F168" s="6"/>
    </row>
    <row r="169" spans="2:6" ht="31.95" hidden="1" customHeight="1" x14ac:dyDescent="0.3">
      <c r="B169" s="6" t="str">
        <f ca="1">IF(AND(NEGOCIAÇÕES!O169="",NEGOCIAÇÕES!N169&lt;TODAY()),NEGOCIAÇÕES!C169,"")</f>
        <v/>
      </c>
      <c r="C169" s="6" t="str">
        <f ca="1">IF(AND(NEGOCIAÇÕES!O169="",NEGOCIAÇÕES!N169&lt;TODAY()),NEGOCIAÇÕES!E169,"")</f>
        <v/>
      </c>
      <c r="D169" s="6" t="str">
        <f ca="1">IF(AND(NEGOCIAÇÕES!O169="",NEGOCIAÇÕES!N169&lt;TODAY()),NEGOCIAÇÕES!D169,"")</f>
        <v/>
      </c>
      <c r="E169" s="9" t="str">
        <f ca="1">IF(AND(NEGOCIAÇÕES!O169="",NEGOCIAÇÕES!N169&lt;TODAY()),NEGOCIAÇÕES!N169,"")</f>
        <v/>
      </c>
      <c r="F169" s="6"/>
    </row>
    <row r="170" spans="2:6" ht="31.95" hidden="1" customHeight="1" x14ac:dyDescent="0.3">
      <c r="B170" s="6" t="str">
        <f ca="1">IF(AND(NEGOCIAÇÕES!O170="",NEGOCIAÇÕES!N170&lt;TODAY()),NEGOCIAÇÕES!C170,"")</f>
        <v/>
      </c>
      <c r="C170" s="6" t="str">
        <f ca="1">IF(AND(NEGOCIAÇÕES!O170="",NEGOCIAÇÕES!N170&lt;TODAY()),NEGOCIAÇÕES!E170,"")</f>
        <v/>
      </c>
      <c r="D170" s="6" t="str">
        <f ca="1">IF(AND(NEGOCIAÇÕES!O170="",NEGOCIAÇÕES!N170&lt;TODAY()),NEGOCIAÇÕES!D170,"")</f>
        <v/>
      </c>
      <c r="E170" s="9" t="str">
        <f ca="1">IF(AND(NEGOCIAÇÕES!O170="",NEGOCIAÇÕES!N170&lt;TODAY()),NEGOCIAÇÕES!N170,"")</f>
        <v/>
      </c>
      <c r="F170" s="6"/>
    </row>
    <row r="171" spans="2:6" ht="31.95" hidden="1" customHeight="1" x14ac:dyDescent="0.3">
      <c r="B171" s="6" t="str">
        <f ca="1">IF(AND(NEGOCIAÇÕES!O171="",NEGOCIAÇÕES!N171&lt;TODAY()),NEGOCIAÇÕES!C171,"")</f>
        <v/>
      </c>
      <c r="C171" s="6" t="str">
        <f ca="1">IF(AND(NEGOCIAÇÕES!O171="",NEGOCIAÇÕES!N171&lt;TODAY()),NEGOCIAÇÕES!E171,"")</f>
        <v/>
      </c>
      <c r="D171" s="6" t="str">
        <f ca="1">IF(AND(NEGOCIAÇÕES!O171="",NEGOCIAÇÕES!N171&lt;TODAY()),NEGOCIAÇÕES!D171,"")</f>
        <v/>
      </c>
      <c r="E171" s="9" t="str">
        <f ca="1">IF(AND(NEGOCIAÇÕES!O171="",NEGOCIAÇÕES!N171&lt;TODAY()),NEGOCIAÇÕES!N171,"")</f>
        <v/>
      </c>
      <c r="F171" s="6"/>
    </row>
    <row r="172" spans="2:6" ht="31.95" hidden="1" customHeight="1" x14ac:dyDescent="0.3">
      <c r="B172" s="6" t="str">
        <f ca="1">IF(AND(NEGOCIAÇÕES!O172="",NEGOCIAÇÕES!N172&lt;TODAY()),NEGOCIAÇÕES!C172,"")</f>
        <v/>
      </c>
      <c r="C172" s="6" t="str">
        <f ca="1">IF(AND(NEGOCIAÇÕES!O172="",NEGOCIAÇÕES!N172&lt;TODAY()),NEGOCIAÇÕES!E172,"")</f>
        <v/>
      </c>
      <c r="D172" s="6" t="str">
        <f ca="1">IF(AND(NEGOCIAÇÕES!O172="",NEGOCIAÇÕES!N172&lt;TODAY()),NEGOCIAÇÕES!D172,"")</f>
        <v/>
      </c>
      <c r="E172" s="9" t="str">
        <f ca="1">IF(AND(NEGOCIAÇÕES!O172="",NEGOCIAÇÕES!N172&lt;TODAY()),NEGOCIAÇÕES!N172,"")</f>
        <v/>
      </c>
      <c r="F172" s="6"/>
    </row>
    <row r="173" spans="2:6" ht="31.95" hidden="1" customHeight="1" x14ac:dyDescent="0.3">
      <c r="B173" s="6" t="str">
        <f ca="1">IF(AND(NEGOCIAÇÕES!O173="",NEGOCIAÇÕES!N173&lt;TODAY()),NEGOCIAÇÕES!C173,"")</f>
        <v/>
      </c>
      <c r="C173" s="6" t="str">
        <f ca="1">IF(AND(NEGOCIAÇÕES!O173="",NEGOCIAÇÕES!N173&lt;TODAY()),NEGOCIAÇÕES!E173,"")</f>
        <v/>
      </c>
      <c r="D173" s="6" t="str">
        <f ca="1">IF(AND(NEGOCIAÇÕES!O173="",NEGOCIAÇÕES!N173&lt;TODAY()),NEGOCIAÇÕES!D173,"")</f>
        <v/>
      </c>
      <c r="E173" s="9" t="str">
        <f ca="1">IF(AND(NEGOCIAÇÕES!O173="",NEGOCIAÇÕES!N173&lt;TODAY()),NEGOCIAÇÕES!N173,"")</f>
        <v/>
      </c>
      <c r="F173" s="6"/>
    </row>
    <row r="174" spans="2:6" ht="31.95" hidden="1" customHeight="1" x14ac:dyDescent="0.3">
      <c r="B174" s="6" t="str">
        <f ca="1">IF(AND(NEGOCIAÇÕES!O174="",NEGOCIAÇÕES!N174&lt;TODAY()),NEGOCIAÇÕES!C174,"")</f>
        <v/>
      </c>
      <c r="C174" s="6" t="str">
        <f ca="1">IF(AND(NEGOCIAÇÕES!O174="",NEGOCIAÇÕES!N174&lt;TODAY()),NEGOCIAÇÕES!E174,"")</f>
        <v/>
      </c>
      <c r="D174" s="6" t="str">
        <f ca="1">IF(AND(NEGOCIAÇÕES!O174="",NEGOCIAÇÕES!N174&lt;TODAY()),NEGOCIAÇÕES!D174,"")</f>
        <v/>
      </c>
      <c r="E174" s="9" t="str">
        <f ca="1">IF(AND(NEGOCIAÇÕES!O174="",NEGOCIAÇÕES!N174&lt;TODAY()),NEGOCIAÇÕES!N174,"")</f>
        <v/>
      </c>
      <c r="F174" s="6"/>
    </row>
    <row r="175" spans="2:6" ht="31.95" hidden="1" customHeight="1" x14ac:dyDescent="0.3">
      <c r="B175" s="6" t="str">
        <f ca="1">IF(AND(NEGOCIAÇÕES!O175="",NEGOCIAÇÕES!N175&lt;TODAY()),NEGOCIAÇÕES!C175,"")</f>
        <v/>
      </c>
      <c r="C175" s="6" t="str">
        <f ca="1">IF(AND(NEGOCIAÇÕES!O175="",NEGOCIAÇÕES!N175&lt;TODAY()),NEGOCIAÇÕES!E175,"")</f>
        <v/>
      </c>
      <c r="D175" s="6" t="str">
        <f ca="1">IF(AND(NEGOCIAÇÕES!O175="",NEGOCIAÇÕES!N175&lt;TODAY()),NEGOCIAÇÕES!D175,"")</f>
        <v/>
      </c>
      <c r="E175" s="9" t="str">
        <f ca="1">IF(AND(NEGOCIAÇÕES!O175="",NEGOCIAÇÕES!N175&lt;TODAY()),NEGOCIAÇÕES!N175,"")</f>
        <v/>
      </c>
      <c r="F175" s="6"/>
    </row>
    <row r="176" spans="2:6" ht="31.95" hidden="1" customHeight="1" x14ac:dyDescent="0.3">
      <c r="B176" s="6" t="str">
        <f ca="1">IF(AND(NEGOCIAÇÕES!O176="",NEGOCIAÇÕES!N176&lt;TODAY()),NEGOCIAÇÕES!C176,"")</f>
        <v/>
      </c>
      <c r="C176" s="6" t="str">
        <f ca="1">IF(AND(NEGOCIAÇÕES!O176="",NEGOCIAÇÕES!N176&lt;TODAY()),NEGOCIAÇÕES!E176,"")</f>
        <v/>
      </c>
      <c r="D176" s="6" t="str">
        <f ca="1">IF(AND(NEGOCIAÇÕES!O176="",NEGOCIAÇÕES!N176&lt;TODAY()),NEGOCIAÇÕES!D176,"")</f>
        <v/>
      </c>
      <c r="E176" s="9" t="str">
        <f ca="1">IF(AND(NEGOCIAÇÕES!O176="",NEGOCIAÇÕES!N176&lt;TODAY()),NEGOCIAÇÕES!N176,"")</f>
        <v/>
      </c>
      <c r="F176" s="6"/>
    </row>
    <row r="177" spans="2:6" ht="31.95" hidden="1" customHeight="1" x14ac:dyDescent="0.3">
      <c r="B177" s="6" t="str">
        <f ca="1">IF(AND(NEGOCIAÇÕES!O177="",NEGOCIAÇÕES!N177&lt;TODAY()),NEGOCIAÇÕES!C177,"")</f>
        <v/>
      </c>
      <c r="C177" s="6" t="str">
        <f ca="1">IF(AND(NEGOCIAÇÕES!O177="",NEGOCIAÇÕES!N177&lt;TODAY()),NEGOCIAÇÕES!E177,"")</f>
        <v/>
      </c>
      <c r="D177" s="6" t="str">
        <f ca="1">IF(AND(NEGOCIAÇÕES!O177="",NEGOCIAÇÕES!N177&lt;TODAY()),NEGOCIAÇÕES!D177,"")</f>
        <v/>
      </c>
      <c r="E177" s="9" t="str">
        <f ca="1">IF(AND(NEGOCIAÇÕES!O177="",NEGOCIAÇÕES!N177&lt;TODAY()),NEGOCIAÇÕES!N177,"")</f>
        <v/>
      </c>
      <c r="F177" s="6"/>
    </row>
    <row r="178" spans="2:6" ht="31.95" hidden="1" customHeight="1" x14ac:dyDescent="0.3">
      <c r="B178" s="6" t="str">
        <f ca="1">IF(AND(NEGOCIAÇÕES!O178="",NEGOCIAÇÕES!N178&lt;TODAY()),NEGOCIAÇÕES!C178,"")</f>
        <v/>
      </c>
      <c r="C178" s="6" t="str">
        <f ca="1">IF(AND(NEGOCIAÇÕES!O178="",NEGOCIAÇÕES!N178&lt;TODAY()),NEGOCIAÇÕES!E178,"")</f>
        <v/>
      </c>
      <c r="D178" s="6" t="str">
        <f ca="1">IF(AND(NEGOCIAÇÕES!O178="",NEGOCIAÇÕES!N178&lt;TODAY()),NEGOCIAÇÕES!D178,"")</f>
        <v/>
      </c>
      <c r="E178" s="9" t="str">
        <f ca="1">IF(AND(NEGOCIAÇÕES!O178="",NEGOCIAÇÕES!N178&lt;TODAY()),NEGOCIAÇÕES!N178,"")</f>
        <v/>
      </c>
      <c r="F178" s="6"/>
    </row>
    <row r="179" spans="2:6" ht="31.95" hidden="1" customHeight="1" x14ac:dyDescent="0.3">
      <c r="B179" s="6" t="str">
        <f ca="1">IF(AND(NEGOCIAÇÕES!O179="",NEGOCIAÇÕES!N179&lt;TODAY()),NEGOCIAÇÕES!C179,"")</f>
        <v/>
      </c>
      <c r="C179" s="6" t="str">
        <f ca="1">IF(AND(NEGOCIAÇÕES!O179="",NEGOCIAÇÕES!N179&lt;TODAY()),NEGOCIAÇÕES!E179,"")</f>
        <v/>
      </c>
      <c r="D179" s="6" t="str">
        <f ca="1">IF(AND(NEGOCIAÇÕES!O179="",NEGOCIAÇÕES!N179&lt;TODAY()),NEGOCIAÇÕES!D179,"")</f>
        <v/>
      </c>
      <c r="E179" s="9" t="str">
        <f ca="1">IF(AND(NEGOCIAÇÕES!O179="",NEGOCIAÇÕES!N179&lt;TODAY()),NEGOCIAÇÕES!N179,"")</f>
        <v/>
      </c>
      <c r="F179" s="6"/>
    </row>
    <row r="180" spans="2:6" ht="31.95" hidden="1" customHeight="1" x14ac:dyDescent="0.3">
      <c r="B180" s="6" t="str">
        <f ca="1">IF(AND(NEGOCIAÇÕES!O180="",NEGOCIAÇÕES!N180&lt;TODAY()),NEGOCIAÇÕES!C180,"")</f>
        <v/>
      </c>
      <c r="C180" s="6" t="str">
        <f ca="1">IF(AND(NEGOCIAÇÕES!O180="",NEGOCIAÇÕES!N180&lt;TODAY()),NEGOCIAÇÕES!E180,"")</f>
        <v/>
      </c>
      <c r="D180" s="6" t="str">
        <f ca="1">IF(AND(NEGOCIAÇÕES!O180="",NEGOCIAÇÕES!N180&lt;TODAY()),NEGOCIAÇÕES!D180,"")</f>
        <v/>
      </c>
      <c r="E180" s="9" t="str">
        <f ca="1">IF(AND(NEGOCIAÇÕES!O180="",NEGOCIAÇÕES!N180&lt;TODAY()),NEGOCIAÇÕES!N180,"")</f>
        <v/>
      </c>
      <c r="F180" s="6"/>
    </row>
    <row r="181" spans="2:6" ht="31.95" hidden="1" customHeight="1" x14ac:dyDescent="0.3">
      <c r="B181" s="6" t="str">
        <f ca="1">IF(AND(NEGOCIAÇÕES!O181="",NEGOCIAÇÕES!N181&lt;TODAY()),NEGOCIAÇÕES!C181,"")</f>
        <v/>
      </c>
      <c r="C181" s="6" t="str">
        <f ca="1">IF(AND(NEGOCIAÇÕES!O181="",NEGOCIAÇÕES!N181&lt;TODAY()),NEGOCIAÇÕES!E181,"")</f>
        <v/>
      </c>
      <c r="D181" s="6" t="str">
        <f ca="1">IF(AND(NEGOCIAÇÕES!O181="",NEGOCIAÇÕES!N181&lt;TODAY()),NEGOCIAÇÕES!D181,"")</f>
        <v/>
      </c>
      <c r="E181" s="9" t="str">
        <f ca="1">IF(AND(NEGOCIAÇÕES!O181="",NEGOCIAÇÕES!N181&lt;TODAY()),NEGOCIAÇÕES!N181,"")</f>
        <v/>
      </c>
      <c r="F181" s="6"/>
    </row>
    <row r="182" spans="2:6" ht="31.95" hidden="1" customHeight="1" x14ac:dyDescent="0.3">
      <c r="B182" s="6" t="str">
        <f ca="1">IF(AND(NEGOCIAÇÕES!O182="",NEGOCIAÇÕES!N182&lt;TODAY()),NEGOCIAÇÕES!C182,"")</f>
        <v/>
      </c>
      <c r="C182" s="6" t="str">
        <f ca="1">IF(AND(NEGOCIAÇÕES!O182="",NEGOCIAÇÕES!N182&lt;TODAY()),NEGOCIAÇÕES!E182,"")</f>
        <v/>
      </c>
      <c r="D182" s="6" t="str">
        <f ca="1">IF(AND(NEGOCIAÇÕES!O182="",NEGOCIAÇÕES!N182&lt;TODAY()),NEGOCIAÇÕES!D182,"")</f>
        <v/>
      </c>
      <c r="E182" s="9" t="str">
        <f ca="1">IF(AND(NEGOCIAÇÕES!O182="",NEGOCIAÇÕES!N182&lt;TODAY()),NEGOCIAÇÕES!N182,"")</f>
        <v/>
      </c>
      <c r="F182" s="6"/>
    </row>
    <row r="183" spans="2:6" ht="31.95" hidden="1" customHeight="1" x14ac:dyDescent="0.3">
      <c r="B183" s="6" t="str">
        <f ca="1">IF(AND(NEGOCIAÇÕES!O183="",NEGOCIAÇÕES!N183&lt;TODAY()),NEGOCIAÇÕES!C183,"")</f>
        <v/>
      </c>
      <c r="C183" s="6" t="str">
        <f ca="1">IF(AND(NEGOCIAÇÕES!O183="",NEGOCIAÇÕES!N183&lt;TODAY()),NEGOCIAÇÕES!E183,"")</f>
        <v/>
      </c>
      <c r="D183" s="6" t="str">
        <f ca="1">IF(AND(NEGOCIAÇÕES!O183="",NEGOCIAÇÕES!N183&lt;TODAY()),NEGOCIAÇÕES!D183,"")</f>
        <v/>
      </c>
      <c r="E183" s="9" t="str">
        <f ca="1">IF(AND(NEGOCIAÇÕES!O183="",NEGOCIAÇÕES!N183&lt;TODAY()),NEGOCIAÇÕES!N183,"")</f>
        <v/>
      </c>
      <c r="F183" s="6"/>
    </row>
    <row r="184" spans="2:6" ht="31.95" hidden="1" customHeight="1" x14ac:dyDescent="0.3">
      <c r="B184" s="6" t="str">
        <f ca="1">IF(AND(NEGOCIAÇÕES!O184="",NEGOCIAÇÕES!N184&lt;TODAY()),NEGOCIAÇÕES!C184,"")</f>
        <v/>
      </c>
      <c r="C184" s="6" t="str">
        <f ca="1">IF(AND(NEGOCIAÇÕES!O184="",NEGOCIAÇÕES!N184&lt;TODAY()),NEGOCIAÇÕES!E184,"")</f>
        <v/>
      </c>
      <c r="D184" s="6" t="str">
        <f ca="1">IF(AND(NEGOCIAÇÕES!O184="",NEGOCIAÇÕES!N184&lt;TODAY()),NEGOCIAÇÕES!D184,"")</f>
        <v/>
      </c>
      <c r="E184" s="9" t="str">
        <f ca="1">IF(AND(NEGOCIAÇÕES!O184="",NEGOCIAÇÕES!N184&lt;TODAY()),NEGOCIAÇÕES!N184,"")</f>
        <v/>
      </c>
      <c r="F184" s="6"/>
    </row>
    <row r="185" spans="2:6" ht="31.95" hidden="1" customHeight="1" x14ac:dyDescent="0.3">
      <c r="B185" s="6" t="str">
        <f ca="1">IF(AND(NEGOCIAÇÕES!O185="",NEGOCIAÇÕES!N185&lt;TODAY()),NEGOCIAÇÕES!C185,"")</f>
        <v/>
      </c>
      <c r="C185" s="6" t="str">
        <f ca="1">IF(AND(NEGOCIAÇÕES!O185="",NEGOCIAÇÕES!N185&lt;TODAY()),NEGOCIAÇÕES!E185,"")</f>
        <v/>
      </c>
      <c r="D185" s="6" t="str">
        <f ca="1">IF(AND(NEGOCIAÇÕES!O185="",NEGOCIAÇÕES!N185&lt;TODAY()),NEGOCIAÇÕES!D185,"")</f>
        <v/>
      </c>
      <c r="E185" s="9" t="str">
        <f ca="1">IF(AND(NEGOCIAÇÕES!O185="",NEGOCIAÇÕES!N185&lt;TODAY()),NEGOCIAÇÕES!N185,"")</f>
        <v/>
      </c>
      <c r="F185" s="6"/>
    </row>
    <row r="186" spans="2:6" ht="31.95" hidden="1" customHeight="1" x14ac:dyDescent="0.3">
      <c r="B186" s="6" t="str">
        <f ca="1">IF(AND(NEGOCIAÇÕES!O186="",NEGOCIAÇÕES!N186&lt;TODAY()),NEGOCIAÇÕES!C186,"")</f>
        <v/>
      </c>
      <c r="C186" s="6" t="str">
        <f ca="1">IF(AND(NEGOCIAÇÕES!O186="",NEGOCIAÇÕES!N186&lt;TODAY()),NEGOCIAÇÕES!E186,"")</f>
        <v/>
      </c>
      <c r="D186" s="6" t="str">
        <f ca="1">IF(AND(NEGOCIAÇÕES!O186="",NEGOCIAÇÕES!N186&lt;TODAY()),NEGOCIAÇÕES!D186,"")</f>
        <v/>
      </c>
      <c r="E186" s="9" t="str">
        <f ca="1">IF(AND(NEGOCIAÇÕES!O186="",NEGOCIAÇÕES!N186&lt;TODAY()),NEGOCIAÇÕES!N186,"")</f>
        <v/>
      </c>
      <c r="F186" s="6"/>
    </row>
    <row r="187" spans="2:6" ht="31.95" hidden="1" customHeight="1" x14ac:dyDescent="0.3">
      <c r="B187" s="6" t="str">
        <f ca="1">IF(AND(NEGOCIAÇÕES!O187="",NEGOCIAÇÕES!N187&lt;TODAY()),NEGOCIAÇÕES!C187,"")</f>
        <v/>
      </c>
      <c r="C187" s="6" t="str">
        <f ca="1">IF(AND(NEGOCIAÇÕES!O187="",NEGOCIAÇÕES!N187&lt;TODAY()),NEGOCIAÇÕES!E187,"")</f>
        <v/>
      </c>
      <c r="D187" s="6" t="str">
        <f ca="1">IF(AND(NEGOCIAÇÕES!O187="",NEGOCIAÇÕES!N187&lt;TODAY()),NEGOCIAÇÕES!D187,"")</f>
        <v/>
      </c>
      <c r="E187" s="9" t="str">
        <f ca="1">IF(AND(NEGOCIAÇÕES!O187="",NEGOCIAÇÕES!N187&lt;TODAY()),NEGOCIAÇÕES!N187,"")</f>
        <v/>
      </c>
      <c r="F187" s="6"/>
    </row>
    <row r="188" spans="2:6" ht="31.95" hidden="1" customHeight="1" x14ac:dyDescent="0.3">
      <c r="B188" s="6" t="str">
        <f ca="1">IF(AND(NEGOCIAÇÕES!O188="",NEGOCIAÇÕES!N188&lt;TODAY()),NEGOCIAÇÕES!C188,"")</f>
        <v/>
      </c>
      <c r="C188" s="6" t="str">
        <f ca="1">IF(AND(NEGOCIAÇÕES!O188="",NEGOCIAÇÕES!N188&lt;TODAY()),NEGOCIAÇÕES!E188,"")</f>
        <v/>
      </c>
      <c r="D188" s="6" t="str">
        <f ca="1">IF(AND(NEGOCIAÇÕES!O188="",NEGOCIAÇÕES!N188&lt;TODAY()),NEGOCIAÇÕES!D188,"")</f>
        <v/>
      </c>
      <c r="E188" s="9" t="str">
        <f ca="1">IF(AND(NEGOCIAÇÕES!O188="",NEGOCIAÇÕES!N188&lt;TODAY()),NEGOCIAÇÕES!N188,"")</f>
        <v/>
      </c>
      <c r="F188" s="6"/>
    </row>
    <row r="189" spans="2:6" ht="31.95" hidden="1" customHeight="1" x14ac:dyDescent="0.3">
      <c r="B189" s="6" t="str">
        <f ca="1">IF(AND(NEGOCIAÇÕES!O189="",NEGOCIAÇÕES!N189&lt;TODAY()),NEGOCIAÇÕES!C189,"")</f>
        <v/>
      </c>
      <c r="C189" s="6" t="str">
        <f ca="1">IF(AND(NEGOCIAÇÕES!O189="",NEGOCIAÇÕES!N189&lt;TODAY()),NEGOCIAÇÕES!E189,"")</f>
        <v/>
      </c>
      <c r="D189" s="6" t="str">
        <f ca="1">IF(AND(NEGOCIAÇÕES!O189="",NEGOCIAÇÕES!N189&lt;TODAY()),NEGOCIAÇÕES!D189,"")</f>
        <v/>
      </c>
      <c r="E189" s="9" t="str">
        <f ca="1">IF(AND(NEGOCIAÇÕES!O189="",NEGOCIAÇÕES!N189&lt;TODAY()),NEGOCIAÇÕES!N189,"")</f>
        <v/>
      </c>
      <c r="F189" s="6"/>
    </row>
    <row r="190" spans="2:6" ht="31.95" hidden="1" customHeight="1" x14ac:dyDescent="0.3">
      <c r="B190" s="6" t="str">
        <f ca="1">IF(AND(NEGOCIAÇÕES!O190="",NEGOCIAÇÕES!N190&lt;TODAY()),NEGOCIAÇÕES!C190,"")</f>
        <v/>
      </c>
      <c r="C190" s="6" t="str">
        <f ca="1">IF(AND(NEGOCIAÇÕES!O190="",NEGOCIAÇÕES!N190&lt;TODAY()),NEGOCIAÇÕES!E190,"")</f>
        <v/>
      </c>
      <c r="D190" s="6" t="str">
        <f ca="1">IF(AND(NEGOCIAÇÕES!O190="",NEGOCIAÇÕES!N190&lt;TODAY()),NEGOCIAÇÕES!D190,"")</f>
        <v/>
      </c>
      <c r="E190" s="9" t="str">
        <f ca="1">IF(AND(NEGOCIAÇÕES!O190="",NEGOCIAÇÕES!N190&lt;TODAY()),NEGOCIAÇÕES!N190,"")</f>
        <v/>
      </c>
      <c r="F190" s="6"/>
    </row>
    <row r="191" spans="2:6" ht="31.95" hidden="1" customHeight="1" x14ac:dyDescent="0.3">
      <c r="B191" s="6" t="str">
        <f ca="1">IF(AND(NEGOCIAÇÕES!O191="",NEGOCIAÇÕES!N191&lt;TODAY()),NEGOCIAÇÕES!C191,"")</f>
        <v/>
      </c>
      <c r="C191" s="6" t="str">
        <f ca="1">IF(AND(NEGOCIAÇÕES!O191="",NEGOCIAÇÕES!N191&lt;TODAY()),NEGOCIAÇÕES!E191,"")</f>
        <v/>
      </c>
      <c r="D191" s="6" t="str">
        <f ca="1">IF(AND(NEGOCIAÇÕES!O191="",NEGOCIAÇÕES!N191&lt;TODAY()),NEGOCIAÇÕES!D191,"")</f>
        <v/>
      </c>
      <c r="E191" s="9" t="str">
        <f ca="1">IF(AND(NEGOCIAÇÕES!O191="",NEGOCIAÇÕES!N191&lt;TODAY()),NEGOCIAÇÕES!N191,"")</f>
        <v/>
      </c>
      <c r="F191" s="6"/>
    </row>
    <row r="192" spans="2:6" ht="31.95" hidden="1" customHeight="1" x14ac:dyDescent="0.3">
      <c r="B192" s="6" t="str">
        <f ca="1">IF(AND(NEGOCIAÇÕES!O192="",NEGOCIAÇÕES!N192&lt;TODAY()),NEGOCIAÇÕES!C192,"")</f>
        <v/>
      </c>
      <c r="C192" s="6" t="str">
        <f ca="1">IF(AND(NEGOCIAÇÕES!O192="",NEGOCIAÇÕES!N192&lt;TODAY()),NEGOCIAÇÕES!E192,"")</f>
        <v/>
      </c>
      <c r="D192" s="6" t="str">
        <f ca="1">IF(AND(NEGOCIAÇÕES!O192="",NEGOCIAÇÕES!N192&lt;TODAY()),NEGOCIAÇÕES!D192,"")</f>
        <v/>
      </c>
      <c r="E192" s="9" t="str">
        <f ca="1">IF(AND(NEGOCIAÇÕES!O192="",NEGOCIAÇÕES!N192&lt;TODAY()),NEGOCIAÇÕES!N192,"")</f>
        <v/>
      </c>
      <c r="F192" s="6"/>
    </row>
    <row r="193" spans="2:6" ht="31.95" hidden="1" customHeight="1" x14ac:dyDescent="0.3">
      <c r="B193" s="6" t="str">
        <f ca="1">IF(AND(NEGOCIAÇÕES!O193="",NEGOCIAÇÕES!N193&lt;TODAY()),NEGOCIAÇÕES!C193,"")</f>
        <v/>
      </c>
      <c r="C193" s="6" t="str">
        <f ca="1">IF(AND(NEGOCIAÇÕES!O193="",NEGOCIAÇÕES!N193&lt;TODAY()),NEGOCIAÇÕES!E193,"")</f>
        <v/>
      </c>
      <c r="D193" s="6" t="str">
        <f ca="1">IF(AND(NEGOCIAÇÕES!O193="",NEGOCIAÇÕES!N193&lt;TODAY()),NEGOCIAÇÕES!D193,"")</f>
        <v/>
      </c>
      <c r="E193" s="9" t="str">
        <f ca="1">IF(AND(NEGOCIAÇÕES!O193="",NEGOCIAÇÕES!N193&lt;TODAY()),NEGOCIAÇÕES!N193,"")</f>
        <v/>
      </c>
      <c r="F193" s="6"/>
    </row>
    <row r="194" spans="2:6" ht="31.95" hidden="1" customHeight="1" x14ac:dyDescent="0.3">
      <c r="B194" s="6" t="str">
        <f ca="1">IF(AND(NEGOCIAÇÕES!O194="",NEGOCIAÇÕES!N194&lt;TODAY()),NEGOCIAÇÕES!C194,"")</f>
        <v/>
      </c>
      <c r="C194" s="6" t="str">
        <f ca="1">IF(AND(NEGOCIAÇÕES!O194="",NEGOCIAÇÕES!N194&lt;TODAY()),NEGOCIAÇÕES!E194,"")</f>
        <v/>
      </c>
      <c r="D194" s="6" t="str">
        <f ca="1">IF(AND(NEGOCIAÇÕES!O194="",NEGOCIAÇÕES!N194&lt;TODAY()),NEGOCIAÇÕES!D194,"")</f>
        <v/>
      </c>
      <c r="E194" s="9" t="str">
        <f ca="1">IF(AND(NEGOCIAÇÕES!O194="",NEGOCIAÇÕES!N194&lt;TODAY()),NEGOCIAÇÕES!N194,"")</f>
        <v/>
      </c>
      <c r="F194" s="6"/>
    </row>
    <row r="195" spans="2:6" ht="31.95" hidden="1" customHeight="1" x14ac:dyDescent="0.3">
      <c r="B195" s="6" t="str">
        <f ca="1">IF(AND(NEGOCIAÇÕES!O195="",NEGOCIAÇÕES!N195&lt;TODAY()),NEGOCIAÇÕES!C195,"")</f>
        <v/>
      </c>
      <c r="C195" s="6" t="str">
        <f ca="1">IF(AND(NEGOCIAÇÕES!O195="",NEGOCIAÇÕES!N195&lt;TODAY()),NEGOCIAÇÕES!E195,"")</f>
        <v/>
      </c>
      <c r="D195" s="6" t="str">
        <f ca="1">IF(AND(NEGOCIAÇÕES!O195="",NEGOCIAÇÕES!N195&lt;TODAY()),NEGOCIAÇÕES!D195,"")</f>
        <v/>
      </c>
      <c r="E195" s="9" t="str">
        <f ca="1">IF(AND(NEGOCIAÇÕES!O195="",NEGOCIAÇÕES!N195&lt;TODAY()),NEGOCIAÇÕES!N195,"")</f>
        <v/>
      </c>
      <c r="F195" s="6"/>
    </row>
    <row r="196" spans="2:6" ht="31.95" hidden="1" customHeight="1" x14ac:dyDescent="0.3">
      <c r="B196" s="6" t="str">
        <f ca="1">IF(AND(NEGOCIAÇÕES!O196="",NEGOCIAÇÕES!N196&lt;TODAY()),NEGOCIAÇÕES!C196,"")</f>
        <v/>
      </c>
      <c r="C196" s="6" t="str">
        <f ca="1">IF(AND(NEGOCIAÇÕES!O196="",NEGOCIAÇÕES!N196&lt;TODAY()),NEGOCIAÇÕES!E196,"")</f>
        <v/>
      </c>
      <c r="D196" s="6" t="str">
        <f ca="1">IF(AND(NEGOCIAÇÕES!O196="",NEGOCIAÇÕES!N196&lt;TODAY()),NEGOCIAÇÕES!D196,"")</f>
        <v/>
      </c>
      <c r="E196" s="9" t="str">
        <f ca="1">IF(AND(NEGOCIAÇÕES!O196="",NEGOCIAÇÕES!N196&lt;TODAY()),NEGOCIAÇÕES!N196,"")</f>
        <v/>
      </c>
      <c r="F196" s="6"/>
    </row>
    <row r="197" spans="2:6" ht="31.95" hidden="1" customHeight="1" x14ac:dyDescent="0.3">
      <c r="B197" s="6" t="str">
        <f ca="1">IF(AND(NEGOCIAÇÕES!O197="",NEGOCIAÇÕES!N197&lt;TODAY()),NEGOCIAÇÕES!C197,"")</f>
        <v/>
      </c>
      <c r="C197" s="6" t="str">
        <f ca="1">IF(AND(NEGOCIAÇÕES!O197="",NEGOCIAÇÕES!N197&lt;TODAY()),NEGOCIAÇÕES!E197,"")</f>
        <v/>
      </c>
      <c r="D197" s="6" t="str">
        <f ca="1">IF(AND(NEGOCIAÇÕES!O197="",NEGOCIAÇÕES!N197&lt;TODAY()),NEGOCIAÇÕES!D197,"")</f>
        <v/>
      </c>
      <c r="E197" s="9" t="str">
        <f ca="1">IF(AND(NEGOCIAÇÕES!O197="",NEGOCIAÇÕES!N197&lt;TODAY()),NEGOCIAÇÕES!N197,"")</f>
        <v/>
      </c>
      <c r="F197" s="6"/>
    </row>
    <row r="198" spans="2:6" ht="31.95" hidden="1" customHeight="1" x14ac:dyDescent="0.3">
      <c r="B198" s="6" t="str">
        <f ca="1">IF(AND(NEGOCIAÇÕES!O198="",NEGOCIAÇÕES!N198&lt;TODAY()),NEGOCIAÇÕES!C198,"")</f>
        <v/>
      </c>
      <c r="C198" s="6" t="str">
        <f ca="1">IF(AND(NEGOCIAÇÕES!O198="",NEGOCIAÇÕES!N198&lt;TODAY()),NEGOCIAÇÕES!E198,"")</f>
        <v/>
      </c>
      <c r="D198" s="6" t="str">
        <f ca="1">IF(AND(NEGOCIAÇÕES!O198="",NEGOCIAÇÕES!N198&lt;TODAY()),NEGOCIAÇÕES!D198,"")</f>
        <v/>
      </c>
      <c r="E198" s="9" t="str">
        <f ca="1">IF(AND(NEGOCIAÇÕES!O198="",NEGOCIAÇÕES!N198&lt;TODAY()),NEGOCIAÇÕES!N198,"")</f>
        <v/>
      </c>
      <c r="F198" s="6"/>
    </row>
    <row r="199" spans="2:6" ht="31.95" hidden="1" customHeight="1" x14ac:dyDescent="0.3">
      <c r="B199" s="6" t="str">
        <f ca="1">IF(AND(NEGOCIAÇÕES!O199="",NEGOCIAÇÕES!N199&lt;TODAY()),NEGOCIAÇÕES!C199,"")</f>
        <v/>
      </c>
      <c r="C199" s="6" t="str">
        <f ca="1">IF(AND(NEGOCIAÇÕES!O199="",NEGOCIAÇÕES!N199&lt;TODAY()),NEGOCIAÇÕES!E199,"")</f>
        <v/>
      </c>
      <c r="D199" s="6" t="str">
        <f ca="1">IF(AND(NEGOCIAÇÕES!O199="",NEGOCIAÇÕES!N199&lt;TODAY()),NEGOCIAÇÕES!D199,"")</f>
        <v/>
      </c>
      <c r="E199" s="9" t="str">
        <f ca="1">IF(AND(NEGOCIAÇÕES!O199="",NEGOCIAÇÕES!N199&lt;TODAY()),NEGOCIAÇÕES!N199,"")</f>
        <v/>
      </c>
      <c r="F199" s="6"/>
    </row>
    <row r="200" spans="2:6" ht="31.95" hidden="1" customHeight="1" x14ac:dyDescent="0.3">
      <c r="B200" s="6" t="str">
        <f ca="1">IF(AND(NEGOCIAÇÕES!O200="",NEGOCIAÇÕES!N200&lt;TODAY()),NEGOCIAÇÕES!C200,"")</f>
        <v/>
      </c>
      <c r="C200" s="6" t="str">
        <f ca="1">IF(AND(NEGOCIAÇÕES!O200="",NEGOCIAÇÕES!N200&lt;TODAY()),NEGOCIAÇÕES!E200,"")</f>
        <v/>
      </c>
      <c r="D200" s="6" t="str">
        <f ca="1">IF(AND(NEGOCIAÇÕES!O200="",NEGOCIAÇÕES!N200&lt;TODAY()),NEGOCIAÇÕES!D200,"")</f>
        <v/>
      </c>
      <c r="E200" s="9" t="str">
        <f ca="1">IF(AND(NEGOCIAÇÕES!O200="",NEGOCIAÇÕES!N200&lt;TODAY()),NEGOCIAÇÕES!N200,"")</f>
        <v/>
      </c>
      <c r="F200" s="6"/>
    </row>
    <row r="201" spans="2:6" ht="31.95" hidden="1" customHeight="1" x14ac:dyDescent="0.3">
      <c r="B201" s="6" t="str">
        <f ca="1">IF(AND(NEGOCIAÇÕES!O201="",NEGOCIAÇÕES!N201&lt;TODAY()),NEGOCIAÇÕES!C201,"")</f>
        <v/>
      </c>
      <c r="C201" s="6" t="str">
        <f ca="1">IF(AND(NEGOCIAÇÕES!O201="",NEGOCIAÇÕES!N201&lt;TODAY()),NEGOCIAÇÕES!E201,"")</f>
        <v/>
      </c>
      <c r="D201" s="6" t="str">
        <f ca="1">IF(AND(NEGOCIAÇÕES!O201="",NEGOCIAÇÕES!N201&lt;TODAY()),NEGOCIAÇÕES!D201,"")</f>
        <v/>
      </c>
      <c r="E201" s="9" t="str">
        <f ca="1">IF(AND(NEGOCIAÇÕES!O201="",NEGOCIAÇÕES!N201&lt;TODAY()),NEGOCIAÇÕES!N201,"")</f>
        <v/>
      </c>
      <c r="F201" s="6"/>
    </row>
    <row r="202" spans="2:6" ht="31.95" hidden="1" customHeight="1" x14ac:dyDescent="0.3">
      <c r="B202" s="6" t="str">
        <f ca="1">IF(AND(NEGOCIAÇÕES!O202="",NEGOCIAÇÕES!N202&lt;TODAY()),NEGOCIAÇÕES!C202,"")</f>
        <v/>
      </c>
      <c r="C202" s="6" t="str">
        <f ca="1">IF(AND(NEGOCIAÇÕES!O202="",NEGOCIAÇÕES!N202&lt;TODAY()),NEGOCIAÇÕES!E202,"")</f>
        <v/>
      </c>
      <c r="D202" s="6" t="str">
        <f ca="1">IF(AND(NEGOCIAÇÕES!O202="",NEGOCIAÇÕES!N202&lt;TODAY()),NEGOCIAÇÕES!D202,"")</f>
        <v/>
      </c>
      <c r="E202" s="9" t="str">
        <f ca="1">IF(AND(NEGOCIAÇÕES!O202="",NEGOCIAÇÕES!N202&lt;TODAY()),NEGOCIAÇÕES!N202,"")</f>
        <v/>
      </c>
      <c r="F202" s="6"/>
    </row>
    <row r="203" spans="2:6" ht="31.95" hidden="1" customHeight="1" x14ac:dyDescent="0.3">
      <c r="B203" s="6" t="str">
        <f ca="1">IF(AND(NEGOCIAÇÕES!O203="",NEGOCIAÇÕES!N203&lt;TODAY()),NEGOCIAÇÕES!C203,"")</f>
        <v/>
      </c>
      <c r="C203" s="6" t="str">
        <f ca="1">IF(AND(NEGOCIAÇÕES!O203="",NEGOCIAÇÕES!N203&lt;TODAY()),NEGOCIAÇÕES!E203,"")</f>
        <v/>
      </c>
      <c r="D203" s="6" t="str">
        <f ca="1">IF(AND(NEGOCIAÇÕES!O203="",NEGOCIAÇÕES!N203&lt;TODAY()),NEGOCIAÇÕES!D203,"")</f>
        <v/>
      </c>
      <c r="E203" s="9" t="str">
        <f ca="1">IF(AND(NEGOCIAÇÕES!O203="",NEGOCIAÇÕES!N203&lt;TODAY()),NEGOCIAÇÕES!N203,"")</f>
        <v/>
      </c>
      <c r="F203" s="6"/>
    </row>
    <row r="204" spans="2:6" ht="31.95" hidden="1" customHeight="1" x14ac:dyDescent="0.3">
      <c r="B204" s="6" t="str">
        <f ca="1">IF(AND(NEGOCIAÇÕES!O204="",NEGOCIAÇÕES!N204&lt;TODAY()),NEGOCIAÇÕES!C204,"")</f>
        <v/>
      </c>
      <c r="C204" s="6" t="str">
        <f ca="1">IF(AND(NEGOCIAÇÕES!O204="",NEGOCIAÇÕES!N204&lt;TODAY()),NEGOCIAÇÕES!E204,"")</f>
        <v/>
      </c>
      <c r="D204" s="6" t="str">
        <f ca="1">IF(AND(NEGOCIAÇÕES!O204="",NEGOCIAÇÕES!N204&lt;TODAY()),NEGOCIAÇÕES!D204,"")</f>
        <v/>
      </c>
      <c r="E204" s="9" t="str">
        <f ca="1">IF(AND(NEGOCIAÇÕES!O204="",NEGOCIAÇÕES!N204&lt;TODAY()),NEGOCIAÇÕES!N204,"")</f>
        <v/>
      </c>
      <c r="F204" s="6"/>
    </row>
    <row r="205" spans="2:6" ht="31.95" hidden="1" customHeight="1" x14ac:dyDescent="0.3">
      <c r="B205" s="6" t="str">
        <f ca="1">IF(AND(NEGOCIAÇÕES!O205="",NEGOCIAÇÕES!N205&lt;TODAY()),NEGOCIAÇÕES!C205,"")</f>
        <v/>
      </c>
      <c r="C205" s="6" t="str">
        <f ca="1">IF(AND(NEGOCIAÇÕES!O205="",NEGOCIAÇÕES!N205&lt;TODAY()),NEGOCIAÇÕES!E205,"")</f>
        <v/>
      </c>
      <c r="D205" s="6" t="str">
        <f ca="1">IF(AND(NEGOCIAÇÕES!O205="",NEGOCIAÇÕES!N205&lt;TODAY()),NEGOCIAÇÕES!D205,"")</f>
        <v/>
      </c>
      <c r="E205" s="9" t="str">
        <f ca="1">IF(AND(NEGOCIAÇÕES!O205="",NEGOCIAÇÕES!N205&lt;TODAY()),NEGOCIAÇÕES!N205,"")</f>
        <v/>
      </c>
      <c r="F205" s="6"/>
    </row>
    <row r="206" spans="2:6" ht="31.95" hidden="1" customHeight="1" x14ac:dyDescent="0.3">
      <c r="B206" s="6" t="str">
        <f ca="1">IF(AND(NEGOCIAÇÕES!O206="",NEGOCIAÇÕES!N206&lt;TODAY()),NEGOCIAÇÕES!C206,"")</f>
        <v/>
      </c>
      <c r="C206" s="6" t="str">
        <f ca="1">IF(AND(NEGOCIAÇÕES!O206="",NEGOCIAÇÕES!N206&lt;TODAY()),NEGOCIAÇÕES!E206,"")</f>
        <v/>
      </c>
      <c r="D206" s="6" t="str">
        <f ca="1">IF(AND(NEGOCIAÇÕES!O206="",NEGOCIAÇÕES!N206&lt;TODAY()),NEGOCIAÇÕES!D206,"")</f>
        <v/>
      </c>
      <c r="E206" s="9" t="str">
        <f ca="1">IF(AND(NEGOCIAÇÕES!O206="",NEGOCIAÇÕES!N206&lt;TODAY()),NEGOCIAÇÕES!N206,"")</f>
        <v/>
      </c>
      <c r="F206" s="6"/>
    </row>
    <row r="207" spans="2:6" ht="31.95" hidden="1" customHeight="1" x14ac:dyDescent="0.3">
      <c r="B207" s="6" t="str">
        <f ca="1">IF(AND(NEGOCIAÇÕES!O207="",NEGOCIAÇÕES!N207&lt;TODAY()),NEGOCIAÇÕES!C207,"")</f>
        <v/>
      </c>
      <c r="C207" s="6" t="str">
        <f ca="1">IF(AND(NEGOCIAÇÕES!O207="",NEGOCIAÇÕES!N207&lt;TODAY()),NEGOCIAÇÕES!E207,"")</f>
        <v/>
      </c>
      <c r="D207" s="6" t="str">
        <f ca="1">IF(AND(NEGOCIAÇÕES!O207="",NEGOCIAÇÕES!N207&lt;TODAY()),NEGOCIAÇÕES!D207,"")</f>
        <v/>
      </c>
      <c r="E207" s="9" t="str">
        <f ca="1">IF(AND(NEGOCIAÇÕES!O207="",NEGOCIAÇÕES!N207&lt;TODAY()),NEGOCIAÇÕES!N207,"")</f>
        <v/>
      </c>
      <c r="F207" s="6"/>
    </row>
    <row r="208" spans="2:6" ht="31.95" hidden="1" customHeight="1" x14ac:dyDescent="0.3">
      <c r="B208" s="6" t="str">
        <f ca="1">IF(AND(NEGOCIAÇÕES!O208="",NEGOCIAÇÕES!N208&lt;TODAY()),NEGOCIAÇÕES!C208,"")</f>
        <v/>
      </c>
      <c r="C208" s="6" t="str">
        <f ca="1">IF(AND(NEGOCIAÇÕES!O208="",NEGOCIAÇÕES!N208&lt;TODAY()),NEGOCIAÇÕES!E208,"")</f>
        <v/>
      </c>
      <c r="D208" s="6" t="str">
        <f ca="1">IF(AND(NEGOCIAÇÕES!O208="",NEGOCIAÇÕES!N208&lt;TODAY()),NEGOCIAÇÕES!D208,"")</f>
        <v/>
      </c>
      <c r="E208" s="9" t="str">
        <f ca="1">IF(AND(NEGOCIAÇÕES!O208="",NEGOCIAÇÕES!N208&lt;TODAY()),NEGOCIAÇÕES!N208,"")</f>
        <v/>
      </c>
      <c r="F208" s="6"/>
    </row>
    <row r="209" spans="2:6" ht="31.95" hidden="1" customHeight="1" x14ac:dyDescent="0.3">
      <c r="B209" s="6" t="str">
        <f ca="1">IF(AND(NEGOCIAÇÕES!O209="",NEGOCIAÇÕES!N209&lt;TODAY()),NEGOCIAÇÕES!C209,"")</f>
        <v/>
      </c>
      <c r="C209" s="6" t="str">
        <f ca="1">IF(AND(NEGOCIAÇÕES!O209="",NEGOCIAÇÕES!N209&lt;TODAY()),NEGOCIAÇÕES!E209,"")</f>
        <v/>
      </c>
      <c r="D209" s="6" t="str">
        <f ca="1">IF(AND(NEGOCIAÇÕES!O209="",NEGOCIAÇÕES!N209&lt;TODAY()),NEGOCIAÇÕES!D209,"")</f>
        <v/>
      </c>
      <c r="E209" s="9" t="str">
        <f ca="1">IF(AND(NEGOCIAÇÕES!O209="",NEGOCIAÇÕES!N209&lt;TODAY()),NEGOCIAÇÕES!N209,"")</f>
        <v/>
      </c>
      <c r="F209" s="6"/>
    </row>
    <row r="210" spans="2:6" ht="31.95" hidden="1" customHeight="1" x14ac:dyDescent="0.3">
      <c r="B210" s="6" t="str">
        <f ca="1">IF(AND(NEGOCIAÇÕES!O210="",NEGOCIAÇÕES!N210&lt;TODAY()),NEGOCIAÇÕES!C210,"")</f>
        <v/>
      </c>
      <c r="C210" s="6" t="str">
        <f ca="1">IF(AND(NEGOCIAÇÕES!O210="",NEGOCIAÇÕES!N210&lt;TODAY()),NEGOCIAÇÕES!E210,"")</f>
        <v/>
      </c>
      <c r="D210" s="6" t="str">
        <f ca="1">IF(AND(NEGOCIAÇÕES!O210="",NEGOCIAÇÕES!N210&lt;TODAY()),NEGOCIAÇÕES!D210,"")</f>
        <v/>
      </c>
      <c r="E210" s="9" t="str">
        <f ca="1">IF(AND(NEGOCIAÇÕES!O210="",NEGOCIAÇÕES!N210&lt;TODAY()),NEGOCIAÇÕES!N210,"")</f>
        <v/>
      </c>
      <c r="F210" s="6"/>
    </row>
    <row r="211" spans="2:6" ht="31.95" hidden="1" customHeight="1" x14ac:dyDescent="0.3">
      <c r="B211" s="6" t="str">
        <f ca="1">IF(AND(NEGOCIAÇÕES!O211="",NEGOCIAÇÕES!N211&lt;TODAY()),NEGOCIAÇÕES!C211,"")</f>
        <v/>
      </c>
      <c r="C211" s="6" t="str">
        <f ca="1">IF(AND(NEGOCIAÇÕES!O211="",NEGOCIAÇÕES!N211&lt;TODAY()),NEGOCIAÇÕES!E211,"")</f>
        <v/>
      </c>
      <c r="D211" s="6" t="str">
        <f ca="1">IF(AND(NEGOCIAÇÕES!O211="",NEGOCIAÇÕES!N211&lt;TODAY()),NEGOCIAÇÕES!D211,"")</f>
        <v/>
      </c>
      <c r="E211" s="9" t="str">
        <f ca="1">IF(AND(NEGOCIAÇÕES!O211="",NEGOCIAÇÕES!N211&lt;TODAY()),NEGOCIAÇÕES!N211,"")</f>
        <v/>
      </c>
      <c r="F211" s="6"/>
    </row>
    <row r="212" spans="2:6" ht="31.95" hidden="1" customHeight="1" x14ac:dyDescent="0.3">
      <c r="B212" s="6" t="str">
        <f ca="1">IF(AND(NEGOCIAÇÕES!O212="",NEGOCIAÇÕES!N212&lt;TODAY()),NEGOCIAÇÕES!C212,"")</f>
        <v/>
      </c>
      <c r="C212" s="6" t="str">
        <f ca="1">IF(AND(NEGOCIAÇÕES!O212="",NEGOCIAÇÕES!N212&lt;TODAY()),NEGOCIAÇÕES!E212,"")</f>
        <v/>
      </c>
      <c r="D212" s="6" t="str">
        <f ca="1">IF(AND(NEGOCIAÇÕES!O212="",NEGOCIAÇÕES!N212&lt;TODAY()),NEGOCIAÇÕES!D212,"")</f>
        <v/>
      </c>
      <c r="E212" s="9" t="str">
        <f ca="1">IF(AND(NEGOCIAÇÕES!O212="",NEGOCIAÇÕES!N212&lt;TODAY()),NEGOCIAÇÕES!N212,"")</f>
        <v/>
      </c>
      <c r="F212" s="6"/>
    </row>
    <row r="213" spans="2:6" ht="31.95" hidden="1" customHeight="1" x14ac:dyDescent="0.3">
      <c r="B213" s="6" t="str">
        <f ca="1">IF(AND(NEGOCIAÇÕES!O213="",NEGOCIAÇÕES!N213&lt;TODAY()),NEGOCIAÇÕES!C213,"")</f>
        <v/>
      </c>
      <c r="C213" s="6" t="str">
        <f ca="1">IF(AND(NEGOCIAÇÕES!O213="",NEGOCIAÇÕES!N213&lt;TODAY()),NEGOCIAÇÕES!E213,"")</f>
        <v/>
      </c>
      <c r="D213" s="6" t="str">
        <f ca="1">IF(AND(NEGOCIAÇÕES!O213="",NEGOCIAÇÕES!N213&lt;TODAY()),NEGOCIAÇÕES!D213,"")</f>
        <v/>
      </c>
      <c r="E213" s="9" t="str">
        <f ca="1">IF(AND(NEGOCIAÇÕES!O213="",NEGOCIAÇÕES!N213&lt;TODAY()),NEGOCIAÇÕES!N213,"")</f>
        <v/>
      </c>
      <c r="F213" s="6"/>
    </row>
    <row r="214" spans="2:6" ht="31.95" hidden="1" customHeight="1" x14ac:dyDescent="0.3">
      <c r="B214" s="6" t="str">
        <f ca="1">IF(AND(NEGOCIAÇÕES!O214="",NEGOCIAÇÕES!N214&lt;TODAY()),NEGOCIAÇÕES!C214,"")</f>
        <v/>
      </c>
      <c r="C214" s="6" t="str">
        <f ca="1">IF(AND(NEGOCIAÇÕES!O214="",NEGOCIAÇÕES!N214&lt;TODAY()),NEGOCIAÇÕES!E214,"")</f>
        <v/>
      </c>
      <c r="D214" s="6" t="str">
        <f ca="1">IF(AND(NEGOCIAÇÕES!O214="",NEGOCIAÇÕES!N214&lt;TODAY()),NEGOCIAÇÕES!D214,"")</f>
        <v/>
      </c>
      <c r="E214" s="9" t="str">
        <f ca="1">IF(AND(NEGOCIAÇÕES!O214="",NEGOCIAÇÕES!N214&lt;TODAY()),NEGOCIAÇÕES!N214,"")</f>
        <v/>
      </c>
      <c r="F214" s="6"/>
    </row>
    <row r="215" spans="2:6" ht="31.95" hidden="1" customHeight="1" x14ac:dyDescent="0.3">
      <c r="B215" s="6" t="str">
        <f ca="1">IF(AND(NEGOCIAÇÕES!O215="",NEGOCIAÇÕES!N215&lt;TODAY()),NEGOCIAÇÕES!C215,"")</f>
        <v/>
      </c>
      <c r="C215" s="6" t="str">
        <f ca="1">IF(AND(NEGOCIAÇÕES!O215="",NEGOCIAÇÕES!N215&lt;TODAY()),NEGOCIAÇÕES!E215,"")</f>
        <v/>
      </c>
      <c r="D215" s="6" t="str">
        <f ca="1">IF(AND(NEGOCIAÇÕES!O215="",NEGOCIAÇÕES!N215&lt;TODAY()),NEGOCIAÇÕES!D215,"")</f>
        <v/>
      </c>
      <c r="E215" s="9" t="str">
        <f ca="1">IF(AND(NEGOCIAÇÕES!O215="",NEGOCIAÇÕES!N215&lt;TODAY()),NEGOCIAÇÕES!N215,"")</f>
        <v/>
      </c>
      <c r="F215" s="6"/>
    </row>
    <row r="216" spans="2:6" ht="31.95" hidden="1" customHeight="1" x14ac:dyDescent="0.3">
      <c r="B216" s="6" t="str">
        <f ca="1">IF(AND(NEGOCIAÇÕES!O216="",NEGOCIAÇÕES!N216&lt;TODAY()),NEGOCIAÇÕES!C216,"")</f>
        <v/>
      </c>
      <c r="C216" s="6" t="str">
        <f ca="1">IF(AND(NEGOCIAÇÕES!O216="",NEGOCIAÇÕES!N216&lt;TODAY()),NEGOCIAÇÕES!E216,"")</f>
        <v/>
      </c>
      <c r="D216" s="6" t="str">
        <f ca="1">IF(AND(NEGOCIAÇÕES!O216="",NEGOCIAÇÕES!N216&lt;TODAY()),NEGOCIAÇÕES!D216,"")</f>
        <v/>
      </c>
      <c r="E216" s="9" t="str">
        <f ca="1">IF(AND(NEGOCIAÇÕES!O216="",NEGOCIAÇÕES!N216&lt;TODAY()),NEGOCIAÇÕES!N216,"")</f>
        <v/>
      </c>
      <c r="F216" s="6"/>
    </row>
    <row r="217" spans="2:6" ht="31.95" hidden="1" customHeight="1" x14ac:dyDescent="0.3">
      <c r="B217" s="6" t="str">
        <f ca="1">IF(AND(NEGOCIAÇÕES!O217="",NEGOCIAÇÕES!N217&lt;TODAY()),NEGOCIAÇÕES!C217,"")</f>
        <v/>
      </c>
      <c r="C217" s="6" t="str">
        <f ca="1">IF(AND(NEGOCIAÇÕES!O217="",NEGOCIAÇÕES!N217&lt;TODAY()),NEGOCIAÇÕES!E217,"")</f>
        <v/>
      </c>
      <c r="D217" s="6" t="str">
        <f ca="1">IF(AND(NEGOCIAÇÕES!O217="",NEGOCIAÇÕES!N217&lt;TODAY()),NEGOCIAÇÕES!D217,"")</f>
        <v/>
      </c>
      <c r="E217" s="9" t="str">
        <f ca="1">IF(AND(NEGOCIAÇÕES!O217="",NEGOCIAÇÕES!N217&lt;TODAY()),NEGOCIAÇÕES!N217,"")</f>
        <v/>
      </c>
      <c r="F217" s="6"/>
    </row>
    <row r="218" spans="2:6" ht="31.95" hidden="1" customHeight="1" x14ac:dyDescent="0.3">
      <c r="B218" s="6" t="str">
        <f ca="1">IF(AND(NEGOCIAÇÕES!O218="",NEGOCIAÇÕES!N218&lt;TODAY()),NEGOCIAÇÕES!C218,"")</f>
        <v/>
      </c>
      <c r="C218" s="6" t="str">
        <f ca="1">IF(AND(NEGOCIAÇÕES!O218="",NEGOCIAÇÕES!N218&lt;TODAY()),NEGOCIAÇÕES!E218,"")</f>
        <v/>
      </c>
      <c r="D218" s="6" t="str">
        <f ca="1">IF(AND(NEGOCIAÇÕES!O218="",NEGOCIAÇÕES!N218&lt;TODAY()),NEGOCIAÇÕES!D218,"")</f>
        <v/>
      </c>
      <c r="E218" s="9" t="str">
        <f ca="1">IF(AND(NEGOCIAÇÕES!O218="",NEGOCIAÇÕES!N218&lt;TODAY()),NEGOCIAÇÕES!N218,"")</f>
        <v/>
      </c>
      <c r="F218" s="6"/>
    </row>
    <row r="219" spans="2:6" ht="31.95" hidden="1" customHeight="1" x14ac:dyDescent="0.3">
      <c r="B219" s="6" t="str">
        <f ca="1">IF(AND(NEGOCIAÇÕES!O219="",NEGOCIAÇÕES!N219&lt;TODAY()),NEGOCIAÇÕES!C219,"")</f>
        <v/>
      </c>
      <c r="C219" s="6" t="str">
        <f ca="1">IF(AND(NEGOCIAÇÕES!O219="",NEGOCIAÇÕES!N219&lt;TODAY()),NEGOCIAÇÕES!E219,"")</f>
        <v/>
      </c>
      <c r="D219" s="6" t="str">
        <f ca="1">IF(AND(NEGOCIAÇÕES!O219="",NEGOCIAÇÕES!N219&lt;TODAY()),NEGOCIAÇÕES!D219,"")</f>
        <v/>
      </c>
      <c r="E219" s="9" t="str">
        <f ca="1">IF(AND(NEGOCIAÇÕES!O219="",NEGOCIAÇÕES!N219&lt;TODAY()),NEGOCIAÇÕES!N219,"")</f>
        <v/>
      </c>
      <c r="F219" s="6"/>
    </row>
    <row r="220" spans="2:6" ht="31.95" hidden="1" customHeight="1" x14ac:dyDescent="0.3">
      <c r="B220" s="6" t="str">
        <f ca="1">IF(AND(NEGOCIAÇÕES!O220="",NEGOCIAÇÕES!N220&lt;TODAY()),NEGOCIAÇÕES!C220,"")</f>
        <v/>
      </c>
      <c r="C220" s="6" t="str">
        <f ca="1">IF(AND(NEGOCIAÇÕES!O220="",NEGOCIAÇÕES!N220&lt;TODAY()),NEGOCIAÇÕES!E220,"")</f>
        <v/>
      </c>
      <c r="D220" s="6" t="str">
        <f ca="1">IF(AND(NEGOCIAÇÕES!O220="",NEGOCIAÇÕES!N220&lt;TODAY()),NEGOCIAÇÕES!D220,"")</f>
        <v/>
      </c>
      <c r="E220" s="9" t="str">
        <f ca="1">IF(AND(NEGOCIAÇÕES!O220="",NEGOCIAÇÕES!N220&lt;TODAY()),NEGOCIAÇÕES!N220,"")</f>
        <v/>
      </c>
      <c r="F220" s="6"/>
    </row>
    <row r="221" spans="2:6" ht="31.95" hidden="1" customHeight="1" x14ac:dyDescent="0.3">
      <c r="B221" s="6" t="str">
        <f ca="1">IF(AND(NEGOCIAÇÕES!O221="",NEGOCIAÇÕES!N221&lt;TODAY()),NEGOCIAÇÕES!C221,"")</f>
        <v/>
      </c>
      <c r="C221" s="6" t="str">
        <f ca="1">IF(AND(NEGOCIAÇÕES!O221="",NEGOCIAÇÕES!N221&lt;TODAY()),NEGOCIAÇÕES!E221,"")</f>
        <v/>
      </c>
      <c r="D221" s="6" t="str">
        <f ca="1">IF(AND(NEGOCIAÇÕES!O221="",NEGOCIAÇÕES!N221&lt;TODAY()),NEGOCIAÇÕES!D221,"")</f>
        <v/>
      </c>
      <c r="E221" s="9" t="str">
        <f ca="1">IF(AND(NEGOCIAÇÕES!O221="",NEGOCIAÇÕES!N221&lt;TODAY()),NEGOCIAÇÕES!N221,"")</f>
        <v/>
      </c>
      <c r="F221" s="6"/>
    </row>
    <row r="222" spans="2:6" ht="31.95" hidden="1" customHeight="1" x14ac:dyDescent="0.3">
      <c r="B222" s="6" t="str">
        <f ca="1">IF(AND(NEGOCIAÇÕES!O222="",NEGOCIAÇÕES!N222&lt;TODAY()),NEGOCIAÇÕES!C222,"")</f>
        <v/>
      </c>
      <c r="C222" s="6" t="str">
        <f ca="1">IF(AND(NEGOCIAÇÕES!O222="",NEGOCIAÇÕES!N222&lt;TODAY()),NEGOCIAÇÕES!E222,"")</f>
        <v/>
      </c>
      <c r="D222" s="6" t="str">
        <f ca="1">IF(AND(NEGOCIAÇÕES!O222="",NEGOCIAÇÕES!N222&lt;TODAY()),NEGOCIAÇÕES!D222,"")</f>
        <v/>
      </c>
      <c r="E222" s="9" t="str">
        <f ca="1">IF(AND(NEGOCIAÇÕES!O222="",NEGOCIAÇÕES!N222&lt;TODAY()),NEGOCIAÇÕES!N222,"")</f>
        <v/>
      </c>
      <c r="F222" s="6"/>
    </row>
    <row r="223" spans="2:6" ht="31.95" hidden="1" customHeight="1" x14ac:dyDescent="0.3">
      <c r="B223" s="6" t="str">
        <f ca="1">IF(AND(NEGOCIAÇÕES!O223="",NEGOCIAÇÕES!N223&lt;TODAY()),NEGOCIAÇÕES!C223,"")</f>
        <v/>
      </c>
      <c r="C223" s="6" t="str">
        <f ca="1">IF(AND(NEGOCIAÇÕES!O223="",NEGOCIAÇÕES!N223&lt;TODAY()),NEGOCIAÇÕES!E223,"")</f>
        <v/>
      </c>
      <c r="D223" s="6" t="str">
        <f ca="1">IF(AND(NEGOCIAÇÕES!O223="",NEGOCIAÇÕES!N223&lt;TODAY()),NEGOCIAÇÕES!D223,"")</f>
        <v/>
      </c>
      <c r="E223" s="9" t="str">
        <f ca="1">IF(AND(NEGOCIAÇÕES!O223="",NEGOCIAÇÕES!N223&lt;TODAY()),NEGOCIAÇÕES!N223,"")</f>
        <v/>
      </c>
      <c r="F223" s="6"/>
    </row>
    <row r="224" spans="2:6" ht="31.95" hidden="1" customHeight="1" x14ac:dyDescent="0.3">
      <c r="B224" s="6" t="str">
        <f ca="1">IF(AND(NEGOCIAÇÕES!O224="",NEGOCIAÇÕES!N224&lt;TODAY()),NEGOCIAÇÕES!C224,"")</f>
        <v/>
      </c>
      <c r="C224" s="6" t="str">
        <f ca="1">IF(AND(NEGOCIAÇÕES!O224="",NEGOCIAÇÕES!N224&lt;TODAY()),NEGOCIAÇÕES!E224,"")</f>
        <v/>
      </c>
      <c r="D224" s="6" t="str">
        <f ca="1">IF(AND(NEGOCIAÇÕES!O224="",NEGOCIAÇÕES!N224&lt;TODAY()),NEGOCIAÇÕES!D224,"")</f>
        <v/>
      </c>
      <c r="E224" s="9" t="str">
        <f ca="1">IF(AND(NEGOCIAÇÕES!O224="",NEGOCIAÇÕES!N224&lt;TODAY()),NEGOCIAÇÕES!N224,"")</f>
        <v/>
      </c>
      <c r="F224" s="6"/>
    </row>
    <row r="225" spans="2:6" ht="31.95" hidden="1" customHeight="1" x14ac:dyDescent="0.3">
      <c r="B225" s="6" t="str">
        <f ca="1">IF(AND(NEGOCIAÇÕES!O225="",NEGOCIAÇÕES!N225&lt;TODAY()),NEGOCIAÇÕES!C225,"")</f>
        <v/>
      </c>
      <c r="C225" s="6" t="str">
        <f ca="1">IF(AND(NEGOCIAÇÕES!O225="",NEGOCIAÇÕES!N225&lt;TODAY()),NEGOCIAÇÕES!E225,"")</f>
        <v/>
      </c>
      <c r="D225" s="6" t="str">
        <f ca="1">IF(AND(NEGOCIAÇÕES!O225="",NEGOCIAÇÕES!N225&lt;TODAY()),NEGOCIAÇÕES!D225,"")</f>
        <v/>
      </c>
      <c r="E225" s="9" t="str">
        <f ca="1">IF(AND(NEGOCIAÇÕES!O225="",NEGOCIAÇÕES!N225&lt;TODAY()),NEGOCIAÇÕES!N225,"")</f>
        <v/>
      </c>
      <c r="F225" s="6"/>
    </row>
    <row r="226" spans="2:6" ht="31.95" hidden="1" customHeight="1" x14ac:dyDescent="0.3">
      <c r="B226" s="6" t="str">
        <f ca="1">IF(AND(NEGOCIAÇÕES!O226="",NEGOCIAÇÕES!N226&lt;TODAY()),NEGOCIAÇÕES!C226,"")</f>
        <v/>
      </c>
      <c r="C226" s="6" t="str">
        <f ca="1">IF(AND(NEGOCIAÇÕES!O226="",NEGOCIAÇÕES!N226&lt;TODAY()),NEGOCIAÇÕES!E226,"")</f>
        <v/>
      </c>
      <c r="D226" s="6" t="str">
        <f ca="1">IF(AND(NEGOCIAÇÕES!O226="",NEGOCIAÇÕES!N226&lt;TODAY()),NEGOCIAÇÕES!D226,"")</f>
        <v/>
      </c>
      <c r="E226" s="9" t="str">
        <f ca="1">IF(AND(NEGOCIAÇÕES!O226="",NEGOCIAÇÕES!N226&lt;TODAY()),NEGOCIAÇÕES!N226,"")</f>
        <v/>
      </c>
      <c r="F226" s="6"/>
    </row>
    <row r="227" spans="2:6" ht="31.95" hidden="1" customHeight="1" x14ac:dyDescent="0.3">
      <c r="B227" s="6" t="str">
        <f ca="1">IF(AND(NEGOCIAÇÕES!O227="",NEGOCIAÇÕES!N227&lt;TODAY()),NEGOCIAÇÕES!C227,"")</f>
        <v/>
      </c>
      <c r="C227" s="6" t="str">
        <f ca="1">IF(AND(NEGOCIAÇÕES!O227="",NEGOCIAÇÕES!N227&lt;TODAY()),NEGOCIAÇÕES!E227,"")</f>
        <v/>
      </c>
      <c r="D227" s="6" t="str">
        <f ca="1">IF(AND(NEGOCIAÇÕES!O227="",NEGOCIAÇÕES!N227&lt;TODAY()),NEGOCIAÇÕES!D227,"")</f>
        <v/>
      </c>
      <c r="E227" s="9" t="str">
        <f ca="1">IF(AND(NEGOCIAÇÕES!O227="",NEGOCIAÇÕES!N227&lt;TODAY()),NEGOCIAÇÕES!N227,"")</f>
        <v/>
      </c>
      <c r="F227" s="6"/>
    </row>
    <row r="228" spans="2:6" ht="31.95" hidden="1" customHeight="1" x14ac:dyDescent="0.3">
      <c r="B228" s="6" t="str">
        <f ca="1">IF(AND(NEGOCIAÇÕES!O228="",NEGOCIAÇÕES!N228&lt;TODAY()),NEGOCIAÇÕES!C228,"")</f>
        <v/>
      </c>
      <c r="C228" s="6" t="str">
        <f ca="1">IF(AND(NEGOCIAÇÕES!O228="",NEGOCIAÇÕES!N228&lt;TODAY()),NEGOCIAÇÕES!E228,"")</f>
        <v/>
      </c>
      <c r="D228" s="6" t="str">
        <f ca="1">IF(AND(NEGOCIAÇÕES!O228="",NEGOCIAÇÕES!N228&lt;TODAY()),NEGOCIAÇÕES!D228,"")</f>
        <v/>
      </c>
      <c r="E228" s="9" t="str">
        <f ca="1">IF(AND(NEGOCIAÇÕES!O228="",NEGOCIAÇÕES!N228&lt;TODAY()),NEGOCIAÇÕES!N228,"")</f>
        <v/>
      </c>
      <c r="F228" s="6"/>
    </row>
    <row r="229" spans="2:6" ht="31.95" hidden="1" customHeight="1" x14ac:dyDescent="0.3">
      <c r="B229" s="6" t="str">
        <f ca="1">IF(AND(NEGOCIAÇÕES!O229="",NEGOCIAÇÕES!N229&lt;TODAY()),NEGOCIAÇÕES!C229,"")</f>
        <v/>
      </c>
      <c r="C229" s="6" t="str">
        <f ca="1">IF(AND(NEGOCIAÇÕES!O229="",NEGOCIAÇÕES!N229&lt;TODAY()),NEGOCIAÇÕES!E229,"")</f>
        <v/>
      </c>
      <c r="D229" s="6" t="str">
        <f ca="1">IF(AND(NEGOCIAÇÕES!O229="",NEGOCIAÇÕES!N229&lt;TODAY()),NEGOCIAÇÕES!D229,"")</f>
        <v/>
      </c>
      <c r="E229" s="9" t="str">
        <f ca="1">IF(AND(NEGOCIAÇÕES!O229="",NEGOCIAÇÕES!N229&lt;TODAY()),NEGOCIAÇÕES!N229,"")</f>
        <v/>
      </c>
      <c r="F229" s="6"/>
    </row>
    <row r="230" spans="2:6" ht="31.95" hidden="1" customHeight="1" x14ac:dyDescent="0.3">
      <c r="B230" s="6" t="str">
        <f ca="1">IF(AND(NEGOCIAÇÕES!O230="",NEGOCIAÇÕES!N230&lt;TODAY()),NEGOCIAÇÕES!C230,"")</f>
        <v/>
      </c>
      <c r="C230" s="6" t="str">
        <f ca="1">IF(AND(NEGOCIAÇÕES!O230="",NEGOCIAÇÕES!N230&lt;TODAY()),NEGOCIAÇÕES!E230,"")</f>
        <v/>
      </c>
      <c r="D230" s="6" t="str">
        <f ca="1">IF(AND(NEGOCIAÇÕES!O230="",NEGOCIAÇÕES!N230&lt;TODAY()),NEGOCIAÇÕES!D230,"")</f>
        <v/>
      </c>
      <c r="E230" s="9" t="str">
        <f ca="1">IF(AND(NEGOCIAÇÕES!O230="",NEGOCIAÇÕES!N230&lt;TODAY()),NEGOCIAÇÕES!N230,"")</f>
        <v/>
      </c>
      <c r="F230" s="6"/>
    </row>
    <row r="231" spans="2:6" ht="31.95" hidden="1" customHeight="1" x14ac:dyDescent="0.3">
      <c r="B231" s="6" t="str">
        <f ca="1">IF(AND(NEGOCIAÇÕES!O231="",NEGOCIAÇÕES!N231&lt;TODAY()),NEGOCIAÇÕES!C231,"")</f>
        <v/>
      </c>
      <c r="C231" s="6" t="str">
        <f ca="1">IF(AND(NEGOCIAÇÕES!O231="",NEGOCIAÇÕES!N231&lt;TODAY()),NEGOCIAÇÕES!E231,"")</f>
        <v/>
      </c>
      <c r="D231" s="6" t="str">
        <f ca="1">IF(AND(NEGOCIAÇÕES!O231="",NEGOCIAÇÕES!N231&lt;TODAY()),NEGOCIAÇÕES!D231,"")</f>
        <v/>
      </c>
      <c r="E231" s="9" t="str">
        <f ca="1">IF(AND(NEGOCIAÇÕES!O231="",NEGOCIAÇÕES!N231&lt;TODAY()),NEGOCIAÇÕES!N231,"")</f>
        <v/>
      </c>
      <c r="F231" s="6"/>
    </row>
    <row r="232" spans="2:6" ht="31.95" hidden="1" customHeight="1" x14ac:dyDescent="0.3">
      <c r="B232" s="6" t="str">
        <f ca="1">IF(AND(NEGOCIAÇÕES!O232="",NEGOCIAÇÕES!N232&lt;TODAY()),NEGOCIAÇÕES!C232,"")</f>
        <v/>
      </c>
      <c r="C232" s="6" t="str">
        <f ca="1">IF(AND(NEGOCIAÇÕES!O232="",NEGOCIAÇÕES!N232&lt;TODAY()),NEGOCIAÇÕES!E232,"")</f>
        <v/>
      </c>
      <c r="D232" s="6" t="str">
        <f ca="1">IF(AND(NEGOCIAÇÕES!O232="",NEGOCIAÇÕES!N232&lt;TODAY()),NEGOCIAÇÕES!D232,"")</f>
        <v/>
      </c>
      <c r="E232" s="9" t="str">
        <f ca="1">IF(AND(NEGOCIAÇÕES!O232="",NEGOCIAÇÕES!N232&lt;TODAY()),NEGOCIAÇÕES!N232,"")</f>
        <v/>
      </c>
      <c r="F232" s="6"/>
    </row>
    <row r="233" spans="2:6" ht="31.95" hidden="1" customHeight="1" x14ac:dyDescent="0.3">
      <c r="B233" s="6" t="str">
        <f ca="1">IF(AND(NEGOCIAÇÕES!O233="",NEGOCIAÇÕES!N233&lt;TODAY()),NEGOCIAÇÕES!C233,"")</f>
        <v/>
      </c>
      <c r="C233" s="6" t="str">
        <f ca="1">IF(AND(NEGOCIAÇÕES!O233="",NEGOCIAÇÕES!N233&lt;TODAY()),NEGOCIAÇÕES!E233,"")</f>
        <v/>
      </c>
      <c r="D233" s="6" t="str">
        <f ca="1">IF(AND(NEGOCIAÇÕES!O233="",NEGOCIAÇÕES!N233&lt;TODAY()),NEGOCIAÇÕES!D233,"")</f>
        <v/>
      </c>
      <c r="E233" s="9" t="str">
        <f ca="1">IF(AND(NEGOCIAÇÕES!O233="",NEGOCIAÇÕES!N233&lt;TODAY()),NEGOCIAÇÕES!N233,"")</f>
        <v/>
      </c>
      <c r="F233" s="6"/>
    </row>
    <row r="234" spans="2:6" ht="31.95" hidden="1" customHeight="1" x14ac:dyDescent="0.3">
      <c r="B234" s="6" t="str">
        <f ca="1">IF(AND(NEGOCIAÇÕES!O234="",NEGOCIAÇÕES!N234&lt;TODAY()),NEGOCIAÇÕES!C234,"")</f>
        <v/>
      </c>
      <c r="C234" s="6" t="str">
        <f ca="1">IF(AND(NEGOCIAÇÕES!O234="",NEGOCIAÇÕES!N234&lt;TODAY()),NEGOCIAÇÕES!E234,"")</f>
        <v/>
      </c>
      <c r="D234" s="6" t="str">
        <f ca="1">IF(AND(NEGOCIAÇÕES!O234="",NEGOCIAÇÕES!N234&lt;TODAY()),NEGOCIAÇÕES!D234,"")</f>
        <v/>
      </c>
      <c r="E234" s="9" t="str">
        <f ca="1">IF(AND(NEGOCIAÇÕES!O234="",NEGOCIAÇÕES!N234&lt;TODAY()),NEGOCIAÇÕES!N234,"")</f>
        <v/>
      </c>
      <c r="F234" s="6"/>
    </row>
    <row r="235" spans="2:6" ht="31.95" hidden="1" customHeight="1" x14ac:dyDescent="0.3">
      <c r="B235" s="6" t="str">
        <f ca="1">IF(AND(NEGOCIAÇÕES!O235="",NEGOCIAÇÕES!N235&lt;TODAY()),NEGOCIAÇÕES!C235,"")</f>
        <v/>
      </c>
      <c r="C235" s="6" t="str">
        <f ca="1">IF(AND(NEGOCIAÇÕES!O235="",NEGOCIAÇÕES!N235&lt;TODAY()),NEGOCIAÇÕES!E235,"")</f>
        <v/>
      </c>
      <c r="D235" s="6" t="str">
        <f ca="1">IF(AND(NEGOCIAÇÕES!O235="",NEGOCIAÇÕES!N235&lt;TODAY()),NEGOCIAÇÕES!D235,"")</f>
        <v/>
      </c>
      <c r="E235" s="9" t="str">
        <f ca="1">IF(AND(NEGOCIAÇÕES!O235="",NEGOCIAÇÕES!N235&lt;TODAY()),NEGOCIAÇÕES!N235,"")</f>
        <v/>
      </c>
      <c r="F235" s="6"/>
    </row>
    <row r="236" spans="2:6" ht="31.95" hidden="1" customHeight="1" x14ac:dyDescent="0.3">
      <c r="B236" s="6" t="str">
        <f ca="1">IF(AND(NEGOCIAÇÕES!O236="",NEGOCIAÇÕES!N236&lt;TODAY()),NEGOCIAÇÕES!C236,"")</f>
        <v/>
      </c>
      <c r="C236" s="6" t="str">
        <f ca="1">IF(AND(NEGOCIAÇÕES!O236="",NEGOCIAÇÕES!N236&lt;TODAY()),NEGOCIAÇÕES!E236,"")</f>
        <v/>
      </c>
      <c r="D236" s="6" t="str">
        <f ca="1">IF(AND(NEGOCIAÇÕES!O236="",NEGOCIAÇÕES!N236&lt;TODAY()),NEGOCIAÇÕES!D236,"")</f>
        <v/>
      </c>
      <c r="E236" s="9" t="str">
        <f ca="1">IF(AND(NEGOCIAÇÕES!O236="",NEGOCIAÇÕES!N236&lt;TODAY()),NEGOCIAÇÕES!N236,"")</f>
        <v/>
      </c>
      <c r="F236" s="6"/>
    </row>
    <row r="237" spans="2:6" ht="31.95" hidden="1" customHeight="1" x14ac:dyDescent="0.3">
      <c r="B237" s="6" t="str">
        <f ca="1">IF(AND(NEGOCIAÇÕES!O237="",NEGOCIAÇÕES!N237&lt;TODAY()),NEGOCIAÇÕES!C237,"")</f>
        <v/>
      </c>
      <c r="C237" s="6" t="str">
        <f ca="1">IF(AND(NEGOCIAÇÕES!O237="",NEGOCIAÇÕES!N237&lt;TODAY()),NEGOCIAÇÕES!E237,"")</f>
        <v/>
      </c>
      <c r="D237" s="6" t="str">
        <f ca="1">IF(AND(NEGOCIAÇÕES!O237="",NEGOCIAÇÕES!N237&lt;TODAY()),NEGOCIAÇÕES!D237,"")</f>
        <v/>
      </c>
      <c r="E237" s="9" t="str">
        <f ca="1">IF(AND(NEGOCIAÇÕES!O237="",NEGOCIAÇÕES!N237&lt;TODAY()),NEGOCIAÇÕES!N237,"")</f>
        <v/>
      </c>
      <c r="F237" s="6"/>
    </row>
    <row r="238" spans="2:6" ht="31.95" hidden="1" customHeight="1" x14ac:dyDescent="0.3">
      <c r="B238" s="6" t="str">
        <f ca="1">IF(AND(NEGOCIAÇÕES!O238="",NEGOCIAÇÕES!N238&lt;TODAY()),NEGOCIAÇÕES!C238,"")</f>
        <v/>
      </c>
      <c r="C238" s="6" t="str">
        <f ca="1">IF(AND(NEGOCIAÇÕES!O238="",NEGOCIAÇÕES!N238&lt;TODAY()),NEGOCIAÇÕES!E238,"")</f>
        <v/>
      </c>
      <c r="D238" s="6" t="str">
        <f ca="1">IF(AND(NEGOCIAÇÕES!O238="",NEGOCIAÇÕES!N238&lt;TODAY()),NEGOCIAÇÕES!D238,"")</f>
        <v/>
      </c>
      <c r="E238" s="9" t="str">
        <f ca="1">IF(AND(NEGOCIAÇÕES!O238="",NEGOCIAÇÕES!N238&lt;TODAY()),NEGOCIAÇÕES!N238,"")</f>
        <v/>
      </c>
      <c r="F238" s="6"/>
    </row>
    <row r="239" spans="2:6" ht="31.95" hidden="1" customHeight="1" x14ac:dyDescent="0.3">
      <c r="B239" s="6" t="str">
        <f ca="1">IF(AND(NEGOCIAÇÕES!O239="",NEGOCIAÇÕES!N239&lt;TODAY()),NEGOCIAÇÕES!C239,"")</f>
        <v/>
      </c>
      <c r="C239" s="6" t="str">
        <f ca="1">IF(AND(NEGOCIAÇÕES!O239="",NEGOCIAÇÕES!N239&lt;TODAY()),NEGOCIAÇÕES!E239,"")</f>
        <v/>
      </c>
      <c r="D239" s="6" t="str">
        <f ca="1">IF(AND(NEGOCIAÇÕES!O239="",NEGOCIAÇÕES!N239&lt;TODAY()),NEGOCIAÇÕES!D239,"")</f>
        <v/>
      </c>
      <c r="E239" s="9" t="str">
        <f ca="1">IF(AND(NEGOCIAÇÕES!O239="",NEGOCIAÇÕES!N239&lt;TODAY()),NEGOCIAÇÕES!N239,"")</f>
        <v/>
      </c>
      <c r="F239" s="6"/>
    </row>
    <row r="240" spans="2:6" ht="31.95" hidden="1" customHeight="1" x14ac:dyDescent="0.3">
      <c r="B240" s="6" t="str">
        <f ca="1">IF(AND(NEGOCIAÇÕES!O240="",NEGOCIAÇÕES!N240&lt;TODAY()),NEGOCIAÇÕES!C240,"")</f>
        <v/>
      </c>
      <c r="C240" s="6" t="str">
        <f ca="1">IF(AND(NEGOCIAÇÕES!O240="",NEGOCIAÇÕES!N240&lt;TODAY()),NEGOCIAÇÕES!E240,"")</f>
        <v/>
      </c>
      <c r="D240" s="6" t="str">
        <f ca="1">IF(AND(NEGOCIAÇÕES!O240="",NEGOCIAÇÕES!N240&lt;TODAY()),NEGOCIAÇÕES!D240,"")</f>
        <v/>
      </c>
      <c r="E240" s="9" t="str">
        <f ca="1">IF(AND(NEGOCIAÇÕES!O240="",NEGOCIAÇÕES!N240&lt;TODAY()),NEGOCIAÇÕES!N240,"")</f>
        <v/>
      </c>
      <c r="F240" s="6"/>
    </row>
    <row r="241" spans="2:6" ht="31.95" hidden="1" customHeight="1" x14ac:dyDescent="0.3">
      <c r="B241" s="6" t="str">
        <f ca="1">IF(AND(NEGOCIAÇÕES!O241="",NEGOCIAÇÕES!N241&lt;TODAY()),NEGOCIAÇÕES!C241,"")</f>
        <v/>
      </c>
      <c r="C241" s="6" t="str">
        <f ca="1">IF(AND(NEGOCIAÇÕES!O241="",NEGOCIAÇÕES!N241&lt;TODAY()),NEGOCIAÇÕES!E241,"")</f>
        <v/>
      </c>
      <c r="D241" s="6" t="str">
        <f ca="1">IF(AND(NEGOCIAÇÕES!O241="",NEGOCIAÇÕES!N241&lt;TODAY()),NEGOCIAÇÕES!D241,"")</f>
        <v/>
      </c>
      <c r="E241" s="9" t="str">
        <f ca="1">IF(AND(NEGOCIAÇÕES!O241="",NEGOCIAÇÕES!N241&lt;TODAY()),NEGOCIAÇÕES!N241,"")</f>
        <v/>
      </c>
      <c r="F241" s="6"/>
    </row>
    <row r="242" spans="2:6" ht="31.95" hidden="1" customHeight="1" x14ac:dyDescent="0.3">
      <c r="B242" s="6" t="str">
        <f ca="1">IF(AND(NEGOCIAÇÕES!O242="",NEGOCIAÇÕES!N242&lt;TODAY()),NEGOCIAÇÕES!C242,"")</f>
        <v/>
      </c>
      <c r="C242" s="6" t="str">
        <f ca="1">IF(AND(NEGOCIAÇÕES!O242="",NEGOCIAÇÕES!N242&lt;TODAY()),NEGOCIAÇÕES!E242,"")</f>
        <v/>
      </c>
      <c r="D242" s="6" t="str">
        <f ca="1">IF(AND(NEGOCIAÇÕES!O242="",NEGOCIAÇÕES!N242&lt;TODAY()),NEGOCIAÇÕES!D242,"")</f>
        <v/>
      </c>
      <c r="E242" s="9" t="str">
        <f ca="1">IF(AND(NEGOCIAÇÕES!O242="",NEGOCIAÇÕES!N242&lt;TODAY()),NEGOCIAÇÕES!N242,"")</f>
        <v/>
      </c>
      <c r="F242" s="6"/>
    </row>
    <row r="243" spans="2:6" ht="31.95" hidden="1" customHeight="1" x14ac:dyDescent="0.3">
      <c r="B243" s="6" t="str">
        <f ca="1">IF(AND(NEGOCIAÇÕES!O243="",NEGOCIAÇÕES!N243&lt;TODAY()),NEGOCIAÇÕES!C243,"")</f>
        <v/>
      </c>
      <c r="C243" s="6" t="str">
        <f ca="1">IF(AND(NEGOCIAÇÕES!O243="",NEGOCIAÇÕES!N243&lt;TODAY()),NEGOCIAÇÕES!E243,"")</f>
        <v/>
      </c>
      <c r="D243" s="6" t="str">
        <f ca="1">IF(AND(NEGOCIAÇÕES!O243="",NEGOCIAÇÕES!N243&lt;TODAY()),NEGOCIAÇÕES!D243,"")</f>
        <v/>
      </c>
      <c r="E243" s="9" t="str">
        <f ca="1">IF(AND(NEGOCIAÇÕES!O243="",NEGOCIAÇÕES!N243&lt;TODAY()),NEGOCIAÇÕES!N243,"")</f>
        <v/>
      </c>
      <c r="F243" s="6"/>
    </row>
    <row r="244" spans="2:6" ht="31.95" hidden="1" customHeight="1" x14ac:dyDescent="0.3">
      <c r="B244" s="6" t="str">
        <f ca="1">IF(AND(NEGOCIAÇÕES!O244="",NEGOCIAÇÕES!N244&lt;TODAY()),NEGOCIAÇÕES!C244,"")</f>
        <v/>
      </c>
      <c r="C244" s="6" t="str">
        <f ca="1">IF(AND(NEGOCIAÇÕES!O244="",NEGOCIAÇÕES!N244&lt;TODAY()),NEGOCIAÇÕES!E244,"")</f>
        <v/>
      </c>
      <c r="D244" s="6" t="str">
        <f ca="1">IF(AND(NEGOCIAÇÕES!O244="",NEGOCIAÇÕES!N244&lt;TODAY()),NEGOCIAÇÕES!D244,"")</f>
        <v/>
      </c>
      <c r="E244" s="9" t="str">
        <f ca="1">IF(AND(NEGOCIAÇÕES!O244="",NEGOCIAÇÕES!N244&lt;TODAY()),NEGOCIAÇÕES!N244,"")</f>
        <v/>
      </c>
      <c r="F244" s="6"/>
    </row>
    <row r="245" spans="2:6" ht="31.95" hidden="1" customHeight="1" x14ac:dyDescent="0.3">
      <c r="B245" s="6" t="str">
        <f ca="1">IF(AND(NEGOCIAÇÕES!O245="",NEGOCIAÇÕES!N245&lt;TODAY()),NEGOCIAÇÕES!C245,"")</f>
        <v/>
      </c>
      <c r="C245" s="6" t="str">
        <f ca="1">IF(AND(NEGOCIAÇÕES!O245="",NEGOCIAÇÕES!N245&lt;TODAY()),NEGOCIAÇÕES!E245,"")</f>
        <v/>
      </c>
      <c r="D245" s="6" t="str">
        <f ca="1">IF(AND(NEGOCIAÇÕES!O245="",NEGOCIAÇÕES!N245&lt;TODAY()),NEGOCIAÇÕES!D245,"")</f>
        <v/>
      </c>
      <c r="E245" s="9" t="str">
        <f ca="1">IF(AND(NEGOCIAÇÕES!O245="",NEGOCIAÇÕES!N245&lt;TODAY()),NEGOCIAÇÕES!N245,"")</f>
        <v/>
      </c>
      <c r="F245" s="6"/>
    </row>
    <row r="246" spans="2:6" ht="31.95" hidden="1" customHeight="1" x14ac:dyDescent="0.3">
      <c r="B246" s="6" t="str">
        <f ca="1">IF(AND(NEGOCIAÇÕES!O246="",NEGOCIAÇÕES!N246&lt;TODAY()),NEGOCIAÇÕES!C246,"")</f>
        <v/>
      </c>
      <c r="C246" s="6" t="str">
        <f ca="1">IF(AND(NEGOCIAÇÕES!O246="",NEGOCIAÇÕES!N246&lt;TODAY()),NEGOCIAÇÕES!E246,"")</f>
        <v/>
      </c>
      <c r="D246" s="6" t="str">
        <f ca="1">IF(AND(NEGOCIAÇÕES!O246="",NEGOCIAÇÕES!N246&lt;TODAY()),NEGOCIAÇÕES!D246,"")</f>
        <v/>
      </c>
      <c r="E246" s="9" t="str">
        <f ca="1">IF(AND(NEGOCIAÇÕES!O246="",NEGOCIAÇÕES!N246&lt;TODAY()),NEGOCIAÇÕES!N246,"")</f>
        <v/>
      </c>
      <c r="F246" s="6"/>
    </row>
    <row r="247" spans="2:6" ht="31.95" hidden="1" customHeight="1" x14ac:dyDescent="0.3">
      <c r="B247" s="6" t="str">
        <f ca="1">IF(AND(NEGOCIAÇÕES!O247="",NEGOCIAÇÕES!N247&lt;TODAY()),NEGOCIAÇÕES!C247,"")</f>
        <v/>
      </c>
      <c r="C247" s="6" t="str">
        <f ca="1">IF(AND(NEGOCIAÇÕES!O247="",NEGOCIAÇÕES!N247&lt;TODAY()),NEGOCIAÇÕES!E247,"")</f>
        <v/>
      </c>
      <c r="D247" s="6" t="str">
        <f ca="1">IF(AND(NEGOCIAÇÕES!O247="",NEGOCIAÇÕES!N247&lt;TODAY()),NEGOCIAÇÕES!D247,"")</f>
        <v/>
      </c>
      <c r="E247" s="9" t="str">
        <f ca="1">IF(AND(NEGOCIAÇÕES!O247="",NEGOCIAÇÕES!N247&lt;TODAY()),NEGOCIAÇÕES!N247,"")</f>
        <v/>
      </c>
      <c r="F247" s="6"/>
    </row>
    <row r="248" spans="2:6" ht="31.95" hidden="1" customHeight="1" x14ac:dyDescent="0.3">
      <c r="B248" s="6" t="str">
        <f ca="1">IF(AND(NEGOCIAÇÕES!O248="",NEGOCIAÇÕES!N248&lt;TODAY()),NEGOCIAÇÕES!C248,"")</f>
        <v/>
      </c>
      <c r="C248" s="6" t="str">
        <f ca="1">IF(AND(NEGOCIAÇÕES!O248="",NEGOCIAÇÕES!N248&lt;TODAY()),NEGOCIAÇÕES!E248,"")</f>
        <v/>
      </c>
      <c r="D248" s="6" t="str">
        <f ca="1">IF(AND(NEGOCIAÇÕES!O248="",NEGOCIAÇÕES!N248&lt;TODAY()),NEGOCIAÇÕES!D248,"")</f>
        <v/>
      </c>
      <c r="E248" s="9" t="str">
        <f ca="1">IF(AND(NEGOCIAÇÕES!O248="",NEGOCIAÇÕES!N248&lt;TODAY()),NEGOCIAÇÕES!N248,"")</f>
        <v/>
      </c>
      <c r="F248" s="6"/>
    </row>
    <row r="249" spans="2:6" ht="31.95" hidden="1" customHeight="1" x14ac:dyDescent="0.3">
      <c r="B249" s="6" t="str">
        <f ca="1">IF(AND(NEGOCIAÇÕES!O249="",NEGOCIAÇÕES!N249&lt;TODAY()),NEGOCIAÇÕES!C249,"")</f>
        <v/>
      </c>
      <c r="C249" s="6" t="str">
        <f ca="1">IF(AND(NEGOCIAÇÕES!O249="",NEGOCIAÇÕES!N249&lt;TODAY()),NEGOCIAÇÕES!E249,"")</f>
        <v/>
      </c>
      <c r="D249" s="6" t="str">
        <f ca="1">IF(AND(NEGOCIAÇÕES!O249="",NEGOCIAÇÕES!N249&lt;TODAY()),NEGOCIAÇÕES!D249,"")</f>
        <v/>
      </c>
      <c r="E249" s="9" t="str">
        <f ca="1">IF(AND(NEGOCIAÇÕES!O249="",NEGOCIAÇÕES!N249&lt;TODAY()),NEGOCIAÇÕES!N249,"")</f>
        <v/>
      </c>
      <c r="F249" s="6"/>
    </row>
    <row r="250" spans="2:6" ht="31.95" hidden="1" customHeight="1" x14ac:dyDescent="0.3">
      <c r="B250" s="6" t="str">
        <f ca="1">IF(AND(NEGOCIAÇÕES!O250="",NEGOCIAÇÕES!N250&lt;TODAY()),NEGOCIAÇÕES!C250,"")</f>
        <v/>
      </c>
      <c r="C250" s="6" t="str">
        <f ca="1">IF(AND(NEGOCIAÇÕES!O250="",NEGOCIAÇÕES!N250&lt;TODAY()),NEGOCIAÇÕES!E250,"")</f>
        <v/>
      </c>
      <c r="D250" s="6" t="str">
        <f ca="1">IF(AND(NEGOCIAÇÕES!O250="",NEGOCIAÇÕES!N250&lt;TODAY()),NEGOCIAÇÕES!D250,"")</f>
        <v/>
      </c>
      <c r="E250" s="9" t="str">
        <f ca="1">IF(AND(NEGOCIAÇÕES!O250="",NEGOCIAÇÕES!N250&lt;TODAY()),NEGOCIAÇÕES!N250,"")</f>
        <v/>
      </c>
      <c r="F250" s="6"/>
    </row>
    <row r="251" spans="2:6" ht="31.95" hidden="1" customHeight="1" x14ac:dyDescent="0.3">
      <c r="B251" s="6" t="str">
        <f ca="1">IF(AND(NEGOCIAÇÕES!O251="",NEGOCIAÇÕES!N251&lt;TODAY()),NEGOCIAÇÕES!C251,"")</f>
        <v/>
      </c>
      <c r="C251" s="6" t="str">
        <f ca="1">IF(AND(NEGOCIAÇÕES!O251="",NEGOCIAÇÕES!N251&lt;TODAY()),NEGOCIAÇÕES!E251,"")</f>
        <v/>
      </c>
      <c r="D251" s="6" t="str">
        <f ca="1">IF(AND(NEGOCIAÇÕES!O251="",NEGOCIAÇÕES!N251&lt;TODAY()),NEGOCIAÇÕES!D251,"")</f>
        <v/>
      </c>
      <c r="E251" s="9" t="str">
        <f ca="1">IF(AND(NEGOCIAÇÕES!O251="",NEGOCIAÇÕES!N251&lt;TODAY()),NEGOCIAÇÕES!N251,"")</f>
        <v/>
      </c>
      <c r="F251" s="6"/>
    </row>
    <row r="252" spans="2:6" ht="31.95" hidden="1" customHeight="1" x14ac:dyDescent="0.3">
      <c r="B252" s="6" t="str">
        <f ca="1">IF(AND(NEGOCIAÇÕES!O252="",NEGOCIAÇÕES!N252&lt;TODAY()),NEGOCIAÇÕES!C252,"")</f>
        <v/>
      </c>
      <c r="C252" s="6" t="str">
        <f ca="1">IF(AND(NEGOCIAÇÕES!O252="",NEGOCIAÇÕES!N252&lt;TODAY()),NEGOCIAÇÕES!E252,"")</f>
        <v/>
      </c>
      <c r="D252" s="6" t="str">
        <f ca="1">IF(AND(NEGOCIAÇÕES!O252="",NEGOCIAÇÕES!N252&lt;TODAY()),NEGOCIAÇÕES!D252,"")</f>
        <v/>
      </c>
      <c r="E252" s="9" t="str">
        <f ca="1">IF(AND(NEGOCIAÇÕES!O252="",NEGOCIAÇÕES!N252&lt;TODAY()),NEGOCIAÇÕES!N252,"")</f>
        <v/>
      </c>
      <c r="F252" s="6"/>
    </row>
    <row r="253" spans="2:6" ht="31.95" hidden="1" customHeight="1" x14ac:dyDescent="0.3">
      <c r="B253" s="6" t="str">
        <f ca="1">IF(AND(NEGOCIAÇÕES!O253="",NEGOCIAÇÕES!N253&lt;TODAY()),NEGOCIAÇÕES!C253,"")</f>
        <v/>
      </c>
      <c r="C253" s="6" t="str">
        <f ca="1">IF(AND(NEGOCIAÇÕES!O253="",NEGOCIAÇÕES!N253&lt;TODAY()),NEGOCIAÇÕES!E253,"")</f>
        <v/>
      </c>
      <c r="D253" s="6" t="str">
        <f ca="1">IF(AND(NEGOCIAÇÕES!O253="",NEGOCIAÇÕES!N253&lt;TODAY()),NEGOCIAÇÕES!D253,"")</f>
        <v/>
      </c>
      <c r="E253" s="9" t="str">
        <f ca="1">IF(AND(NEGOCIAÇÕES!O253="",NEGOCIAÇÕES!N253&lt;TODAY()),NEGOCIAÇÕES!N253,"")</f>
        <v/>
      </c>
      <c r="F253" s="6"/>
    </row>
    <row r="254" spans="2:6" ht="31.95" hidden="1" customHeight="1" x14ac:dyDescent="0.3">
      <c r="B254" s="6" t="str">
        <f ca="1">IF(AND(NEGOCIAÇÕES!O254="",NEGOCIAÇÕES!N254&lt;TODAY()),NEGOCIAÇÕES!C254,"")</f>
        <v/>
      </c>
      <c r="C254" s="6" t="str">
        <f ca="1">IF(AND(NEGOCIAÇÕES!O254="",NEGOCIAÇÕES!N254&lt;TODAY()),NEGOCIAÇÕES!E254,"")</f>
        <v/>
      </c>
      <c r="D254" s="6" t="str">
        <f ca="1">IF(AND(NEGOCIAÇÕES!O254="",NEGOCIAÇÕES!N254&lt;TODAY()),NEGOCIAÇÕES!D254,"")</f>
        <v/>
      </c>
      <c r="E254" s="9" t="str">
        <f ca="1">IF(AND(NEGOCIAÇÕES!O254="",NEGOCIAÇÕES!N254&lt;TODAY()),NEGOCIAÇÕES!N254,"")</f>
        <v/>
      </c>
      <c r="F254" s="6"/>
    </row>
    <row r="255" spans="2:6" ht="31.95" hidden="1" customHeight="1" x14ac:dyDescent="0.3">
      <c r="B255" s="6" t="str">
        <f ca="1">IF(AND(NEGOCIAÇÕES!O255="",NEGOCIAÇÕES!N255&lt;TODAY()),NEGOCIAÇÕES!C255,"")</f>
        <v/>
      </c>
      <c r="C255" s="6" t="str">
        <f ca="1">IF(AND(NEGOCIAÇÕES!O255="",NEGOCIAÇÕES!N255&lt;TODAY()),NEGOCIAÇÕES!E255,"")</f>
        <v/>
      </c>
      <c r="D255" s="6" t="str">
        <f ca="1">IF(AND(NEGOCIAÇÕES!O255="",NEGOCIAÇÕES!N255&lt;TODAY()),NEGOCIAÇÕES!D255,"")</f>
        <v/>
      </c>
      <c r="E255" s="9" t="str">
        <f ca="1">IF(AND(NEGOCIAÇÕES!O255="",NEGOCIAÇÕES!N255&lt;TODAY()),NEGOCIAÇÕES!N255,"")</f>
        <v/>
      </c>
      <c r="F255" s="6"/>
    </row>
    <row r="256" spans="2:6" ht="31.95" hidden="1" customHeight="1" x14ac:dyDescent="0.3">
      <c r="B256" s="6" t="str">
        <f ca="1">IF(AND(NEGOCIAÇÕES!O256="",NEGOCIAÇÕES!N256&lt;TODAY()),NEGOCIAÇÕES!C256,"")</f>
        <v/>
      </c>
      <c r="C256" s="6" t="str">
        <f ca="1">IF(AND(NEGOCIAÇÕES!O256="",NEGOCIAÇÕES!N256&lt;TODAY()),NEGOCIAÇÕES!E256,"")</f>
        <v/>
      </c>
      <c r="D256" s="6" t="str">
        <f ca="1">IF(AND(NEGOCIAÇÕES!O256="",NEGOCIAÇÕES!N256&lt;TODAY()),NEGOCIAÇÕES!D256,"")</f>
        <v/>
      </c>
      <c r="E256" s="9" t="str">
        <f ca="1">IF(AND(NEGOCIAÇÕES!O256="",NEGOCIAÇÕES!N256&lt;TODAY()),NEGOCIAÇÕES!N256,"")</f>
        <v/>
      </c>
      <c r="F256" s="6"/>
    </row>
    <row r="257" spans="2:6" ht="31.95" hidden="1" customHeight="1" x14ac:dyDescent="0.3">
      <c r="B257" s="6" t="str">
        <f ca="1">IF(AND(NEGOCIAÇÕES!O257="",NEGOCIAÇÕES!N257&lt;TODAY()),NEGOCIAÇÕES!C257,"")</f>
        <v/>
      </c>
      <c r="C257" s="6" t="str">
        <f ca="1">IF(AND(NEGOCIAÇÕES!O257="",NEGOCIAÇÕES!N257&lt;TODAY()),NEGOCIAÇÕES!E257,"")</f>
        <v/>
      </c>
      <c r="D257" s="6" t="str">
        <f ca="1">IF(AND(NEGOCIAÇÕES!O257="",NEGOCIAÇÕES!N257&lt;TODAY()),NEGOCIAÇÕES!D257,"")</f>
        <v/>
      </c>
      <c r="E257" s="9" t="str">
        <f ca="1">IF(AND(NEGOCIAÇÕES!O257="",NEGOCIAÇÕES!N257&lt;TODAY()),NEGOCIAÇÕES!N257,"")</f>
        <v/>
      </c>
      <c r="F257" s="6"/>
    </row>
    <row r="258" spans="2:6" ht="31.95" hidden="1" customHeight="1" x14ac:dyDescent="0.3">
      <c r="B258" s="6" t="str">
        <f ca="1">IF(AND(NEGOCIAÇÕES!O258="",NEGOCIAÇÕES!N258&lt;TODAY()),NEGOCIAÇÕES!C258,"")</f>
        <v/>
      </c>
      <c r="C258" s="6" t="str">
        <f ca="1">IF(AND(NEGOCIAÇÕES!O258="",NEGOCIAÇÕES!N258&lt;TODAY()),NEGOCIAÇÕES!E258,"")</f>
        <v/>
      </c>
      <c r="D258" s="6" t="str">
        <f ca="1">IF(AND(NEGOCIAÇÕES!O258="",NEGOCIAÇÕES!N258&lt;TODAY()),NEGOCIAÇÕES!D258,"")</f>
        <v/>
      </c>
      <c r="E258" s="9" t="str">
        <f ca="1">IF(AND(NEGOCIAÇÕES!O258="",NEGOCIAÇÕES!N258&lt;TODAY()),NEGOCIAÇÕES!N258,"")</f>
        <v/>
      </c>
      <c r="F258" s="6"/>
    </row>
    <row r="259" spans="2:6" ht="31.95" hidden="1" customHeight="1" x14ac:dyDescent="0.3">
      <c r="B259" s="6" t="str">
        <f ca="1">IF(AND(NEGOCIAÇÕES!O259="",NEGOCIAÇÕES!N259&lt;TODAY()),NEGOCIAÇÕES!C259,"")</f>
        <v/>
      </c>
      <c r="C259" s="6" t="str">
        <f ca="1">IF(AND(NEGOCIAÇÕES!O259="",NEGOCIAÇÕES!N259&lt;TODAY()),NEGOCIAÇÕES!E259,"")</f>
        <v/>
      </c>
      <c r="D259" s="6" t="str">
        <f ca="1">IF(AND(NEGOCIAÇÕES!O259="",NEGOCIAÇÕES!N259&lt;TODAY()),NEGOCIAÇÕES!D259,"")</f>
        <v/>
      </c>
      <c r="E259" s="9" t="str">
        <f ca="1">IF(AND(NEGOCIAÇÕES!O259="",NEGOCIAÇÕES!N259&lt;TODAY()),NEGOCIAÇÕES!N259,"")</f>
        <v/>
      </c>
      <c r="F259" s="6"/>
    </row>
    <row r="260" spans="2:6" ht="31.95" hidden="1" customHeight="1" x14ac:dyDescent="0.3">
      <c r="B260" s="6" t="str">
        <f ca="1">IF(AND(NEGOCIAÇÕES!O260="",NEGOCIAÇÕES!N260&lt;TODAY()),NEGOCIAÇÕES!C260,"")</f>
        <v/>
      </c>
      <c r="C260" s="6" t="str">
        <f ca="1">IF(AND(NEGOCIAÇÕES!O260="",NEGOCIAÇÕES!N260&lt;TODAY()),NEGOCIAÇÕES!E260,"")</f>
        <v/>
      </c>
      <c r="D260" s="6" t="str">
        <f ca="1">IF(AND(NEGOCIAÇÕES!O260="",NEGOCIAÇÕES!N260&lt;TODAY()),NEGOCIAÇÕES!D260,"")</f>
        <v/>
      </c>
      <c r="E260" s="9" t="str">
        <f ca="1">IF(AND(NEGOCIAÇÕES!O260="",NEGOCIAÇÕES!N260&lt;TODAY()),NEGOCIAÇÕES!N260,"")</f>
        <v/>
      </c>
      <c r="F260" s="6"/>
    </row>
    <row r="261" spans="2:6" ht="31.95" hidden="1" customHeight="1" x14ac:dyDescent="0.3">
      <c r="B261" s="6" t="str">
        <f ca="1">IF(AND(NEGOCIAÇÕES!O261="",NEGOCIAÇÕES!N261&lt;TODAY()),NEGOCIAÇÕES!C261,"")</f>
        <v/>
      </c>
      <c r="C261" s="6" t="str">
        <f ca="1">IF(AND(NEGOCIAÇÕES!O261="",NEGOCIAÇÕES!N261&lt;TODAY()),NEGOCIAÇÕES!E261,"")</f>
        <v/>
      </c>
      <c r="D261" s="6" t="str">
        <f ca="1">IF(AND(NEGOCIAÇÕES!O261="",NEGOCIAÇÕES!N261&lt;TODAY()),NEGOCIAÇÕES!D261,"")</f>
        <v/>
      </c>
      <c r="E261" s="9" t="str">
        <f ca="1">IF(AND(NEGOCIAÇÕES!O261="",NEGOCIAÇÕES!N261&lt;TODAY()),NEGOCIAÇÕES!N261,"")</f>
        <v/>
      </c>
      <c r="F261" s="6"/>
    </row>
    <row r="262" spans="2:6" ht="31.95" hidden="1" customHeight="1" x14ac:dyDescent="0.3">
      <c r="B262" s="6" t="str">
        <f ca="1">IF(AND(NEGOCIAÇÕES!O262="",NEGOCIAÇÕES!N262&lt;TODAY()),NEGOCIAÇÕES!C262,"")</f>
        <v/>
      </c>
      <c r="C262" s="6" t="str">
        <f ca="1">IF(AND(NEGOCIAÇÕES!O262="",NEGOCIAÇÕES!N262&lt;TODAY()),NEGOCIAÇÕES!E262,"")</f>
        <v/>
      </c>
      <c r="D262" s="6" t="str">
        <f ca="1">IF(AND(NEGOCIAÇÕES!O262="",NEGOCIAÇÕES!N262&lt;TODAY()),NEGOCIAÇÕES!D262,"")</f>
        <v/>
      </c>
      <c r="E262" s="9" t="str">
        <f ca="1">IF(AND(NEGOCIAÇÕES!O262="",NEGOCIAÇÕES!N262&lt;TODAY()),NEGOCIAÇÕES!N262,"")</f>
        <v/>
      </c>
      <c r="F262" s="6"/>
    </row>
    <row r="263" spans="2:6" ht="31.95" hidden="1" customHeight="1" x14ac:dyDescent="0.3">
      <c r="B263" s="6" t="str">
        <f ca="1">IF(AND(NEGOCIAÇÕES!O263="",NEGOCIAÇÕES!N263&lt;TODAY()),NEGOCIAÇÕES!C263,"")</f>
        <v/>
      </c>
      <c r="C263" s="6" t="str">
        <f ca="1">IF(AND(NEGOCIAÇÕES!O263="",NEGOCIAÇÕES!N263&lt;TODAY()),NEGOCIAÇÕES!E263,"")</f>
        <v/>
      </c>
      <c r="D263" s="6" t="str">
        <f ca="1">IF(AND(NEGOCIAÇÕES!O263="",NEGOCIAÇÕES!N263&lt;TODAY()),NEGOCIAÇÕES!D263,"")</f>
        <v/>
      </c>
      <c r="E263" s="9" t="str">
        <f ca="1">IF(AND(NEGOCIAÇÕES!O263="",NEGOCIAÇÕES!N263&lt;TODAY()),NEGOCIAÇÕES!N263,"")</f>
        <v/>
      </c>
      <c r="F263" s="6"/>
    </row>
    <row r="264" spans="2:6" ht="31.95" hidden="1" customHeight="1" x14ac:dyDescent="0.3">
      <c r="B264" s="6" t="str">
        <f ca="1">IF(AND(NEGOCIAÇÕES!O264="",NEGOCIAÇÕES!N264&lt;TODAY()),NEGOCIAÇÕES!C264,"")</f>
        <v/>
      </c>
      <c r="C264" s="6" t="str">
        <f ca="1">IF(AND(NEGOCIAÇÕES!O264="",NEGOCIAÇÕES!N264&lt;TODAY()),NEGOCIAÇÕES!E264,"")</f>
        <v/>
      </c>
      <c r="D264" s="6" t="str">
        <f ca="1">IF(AND(NEGOCIAÇÕES!O264="",NEGOCIAÇÕES!N264&lt;TODAY()),NEGOCIAÇÕES!D264,"")</f>
        <v/>
      </c>
      <c r="E264" s="9" t="str">
        <f ca="1">IF(AND(NEGOCIAÇÕES!O264="",NEGOCIAÇÕES!N264&lt;TODAY()),NEGOCIAÇÕES!N264,"")</f>
        <v/>
      </c>
      <c r="F264" s="6"/>
    </row>
    <row r="265" spans="2:6" ht="31.95" hidden="1" customHeight="1" x14ac:dyDescent="0.3">
      <c r="B265" s="6" t="str">
        <f ca="1">IF(AND(NEGOCIAÇÕES!O265="",NEGOCIAÇÕES!N265&lt;TODAY()),NEGOCIAÇÕES!C265,"")</f>
        <v/>
      </c>
      <c r="C265" s="6" t="str">
        <f ca="1">IF(AND(NEGOCIAÇÕES!O265="",NEGOCIAÇÕES!N265&lt;TODAY()),NEGOCIAÇÕES!E265,"")</f>
        <v/>
      </c>
      <c r="D265" s="6" t="str">
        <f ca="1">IF(AND(NEGOCIAÇÕES!O265="",NEGOCIAÇÕES!N265&lt;TODAY()),NEGOCIAÇÕES!D265,"")</f>
        <v/>
      </c>
      <c r="E265" s="9" t="str">
        <f ca="1">IF(AND(NEGOCIAÇÕES!O265="",NEGOCIAÇÕES!N265&lt;TODAY()),NEGOCIAÇÕES!N265,"")</f>
        <v/>
      </c>
      <c r="F265" s="6"/>
    </row>
    <row r="266" spans="2:6" ht="31.95" hidden="1" customHeight="1" x14ac:dyDescent="0.3">
      <c r="B266" s="6" t="str">
        <f ca="1">IF(AND(NEGOCIAÇÕES!O266="",NEGOCIAÇÕES!N266&lt;TODAY()),NEGOCIAÇÕES!C266,"")</f>
        <v/>
      </c>
      <c r="C266" s="6" t="str">
        <f ca="1">IF(AND(NEGOCIAÇÕES!O266="",NEGOCIAÇÕES!N266&lt;TODAY()),NEGOCIAÇÕES!E266,"")</f>
        <v/>
      </c>
      <c r="D266" s="6" t="str">
        <f ca="1">IF(AND(NEGOCIAÇÕES!O266="",NEGOCIAÇÕES!N266&lt;TODAY()),NEGOCIAÇÕES!D266,"")</f>
        <v/>
      </c>
      <c r="E266" s="9" t="str">
        <f ca="1">IF(AND(NEGOCIAÇÕES!O266="",NEGOCIAÇÕES!N266&lt;TODAY()),NEGOCIAÇÕES!N266,"")</f>
        <v/>
      </c>
      <c r="F266" s="6"/>
    </row>
    <row r="267" spans="2:6" ht="31.95" hidden="1" customHeight="1" x14ac:dyDescent="0.3">
      <c r="B267" s="6" t="str">
        <f ca="1">IF(AND(NEGOCIAÇÕES!O267="",NEGOCIAÇÕES!N267&lt;TODAY()),NEGOCIAÇÕES!C267,"")</f>
        <v/>
      </c>
      <c r="C267" s="6" t="str">
        <f ca="1">IF(AND(NEGOCIAÇÕES!O267="",NEGOCIAÇÕES!N267&lt;TODAY()),NEGOCIAÇÕES!E267,"")</f>
        <v/>
      </c>
      <c r="D267" s="6" t="str">
        <f ca="1">IF(AND(NEGOCIAÇÕES!O267="",NEGOCIAÇÕES!N267&lt;TODAY()),NEGOCIAÇÕES!D267,"")</f>
        <v/>
      </c>
      <c r="E267" s="9" t="str">
        <f ca="1">IF(AND(NEGOCIAÇÕES!O267="",NEGOCIAÇÕES!N267&lt;TODAY()),NEGOCIAÇÕES!N267,"")</f>
        <v/>
      </c>
      <c r="F267" s="6"/>
    </row>
    <row r="268" spans="2:6" ht="31.95" hidden="1" customHeight="1" x14ac:dyDescent="0.3">
      <c r="B268" s="6" t="str">
        <f ca="1">IF(AND(NEGOCIAÇÕES!O268="",NEGOCIAÇÕES!N268&lt;TODAY()),NEGOCIAÇÕES!C268,"")</f>
        <v/>
      </c>
      <c r="C268" s="6" t="str">
        <f ca="1">IF(AND(NEGOCIAÇÕES!O268="",NEGOCIAÇÕES!N268&lt;TODAY()),NEGOCIAÇÕES!E268,"")</f>
        <v/>
      </c>
      <c r="D268" s="6" t="str">
        <f ca="1">IF(AND(NEGOCIAÇÕES!O268="",NEGOCIAÇÕES!N268&lt;TODAY()),NEGOCIAÇÕES!D268,"")</f>
        <v/>
      </c>
      <c r="E268" s="9" t="str">
        <f ca="1">IF(AND(NEGOCIAÇÕES!O268="",NEGOCIAÇÕES!N268&lt;TODAY()),NEGOCIAÇÕES!N268,"")</f>
        <v/>
      </c>
      <c r="F268" s="6"/>
    </row>
    <row r="269" spans="2:6" ht="31.95" hidden="1" customHeight="1" x14ac:dyDescent="0.3">
      <c r="B269" s="6" t="str">
        <f ca="1">IF(AND(NEGOCIAÇÕES!O269="",NEGOCIAÇÕES!N269&lt;TODAY()),NEGOCIAÇÕES!C269,"")</f>
        <v/>
      </c>
      <c r="C269" s="6" t="str">
        <f ca="1">IF(AND(NEGOCIAÇÕES!O269="",NEGOCIAÇÕES!N269&lt;TODAY()),NEGOCIAÇÕES!E269,"")</f>
        <v/>
      </c>
      <c r="D269" s="6" t="str">
        <f ca="1">IF(AND(NEGOCIAÇÕES!O269="",NEGOCIAÇÕES!N269&lt;TODAY()),NEGOCIAÇÕES!D269,"")</f>
        <v/>
      </c>
      <c r="E269" s="9" t="str">
        <f ca="1">IF(AND(NEGOCIAÇÕES!O269="",NEGOCIAÇÕES!N269&lt;TODAY()),NEGOCIAÇÕES!N269,"")</f>
        <v/>
      </c>
      <c r="F269" s="6"/>
    </row>
    <row r="270" spans="2:6" ht="31.95" hidden="1" customHeight="1" x14ac:dyDescent="0.3">
      <c r="B270" s="6" t="str">
        <f ca="1">IF(AND(NEGOCIAÇÕES!O270="",NEGOCIAÇÕES!N270&lt;TODAY()),NEGOCIAÇÕES!C270,"")</f>
        <v/>
      </c>
      <c r="C270" s="6" t="str">
        <f ca="1">IF(AND(NEGOCIAÇÕES!O270="",NEGOCIAÇÕES!N270&lt;TODAY()),NEGOCIAÇÕES!E270,"")</f>
        <v/>
      </c>
      <c r="D270" s="6" t="str">
        <f ca="1">IF(AND(NEGOCIAÇÕES!O270="",NEGOCIAÇÕES!N270&lt;TODAY()),NEGOCIAÇÕES!D270,"")</f>
        <v/>
      </c>
      <c r="E270" s="9" t="str">
        <f ca="1">IF(AND(NEGOCIAÇÕES!O270="",NEGOCIAÇÕES!N270&lt;TODAY()),NEGOCIAÇÕES!N270,"")</f>
        <v/>
      </c>
      <c r="F270" s="6"/>
    </row>
    <row r="271" spans="2:6" ht="31.95" hidden="1" customHeight="1" x14ac:dyDescent="0.3">
      <c r="B271" s="6" t="str">
        <f ca="1">IF(AND(NEGOCIAÇÕES!O271="",NEGOCIAÇÕES!N271&lt;TODAY()),NEGOCIAÇÕES!C271,"")</f>
        <v/>
      </c>
      <c r="C271" s="6" t="str">
        <f ca="1">IF(AND(NEGOCIAÇÕES!O271="",NEGOCIAÇÕES!N271&lt;TODAY()),NEGOCIAÇÕES!E271,"")</f>
        <v/>
      </c>
      <c r="D271" s="6" t="str">
        <f ca="1">IF(AND(NEGOCIAÇÕES!O271="",NEGOCIAÇÕES!N271&lt;TODAY()),NEGOCIAÇÕES!D271,"")</f>
        <v/>
      </c>
      <c r="E271" s="9" t="str">
        <f ca="1">IF(AND(NEGOCIAÇÕES!O271="",NEGOCIAÇÕES!N271&lt;TODAY()),NEGOCIAÇÕES!N271,"")</f>
        <v/>
      </c>
      <c r="F271" s="6"/>
    </row>
    <row r="272" spans="2:6" ht="31.95" hidden="1" customHeight="1" x14ac:dyDescent="0.3">
      <c r="B272" s="6" t="str">
        <f ca="1">IF(AND(NEGOCIAÇÕES!O272="",NEGOCIAÇÕES!N272&lt;TODAY()),NEGOCIAÇÕES!C272,"")</f>
        <v/>
      </c>
      <c r="C272" s="6" t="str">
        <f ca="1">IF(AND(NEGOCIAÇÕES!O272="",NEGOCIAÇÕES!N272&lt;TODAY()),NEGOCIAÇÕES!E272,"")</f>
        <v/>
      </c>
      <c r="D272" s="6" t="str">
        <f ca="1">IF(AND(NEGOCIAÇÕES!O272="",NEGOCIAÇÕES!N272&lt;TODAY()),NEGOCIAÇÕES!D272,"")</f>
        <v/>
      </c>
      <c r="E272" s="9" t="str">
        <f ca="1">IF(AND(NEGOCIAÇÕES!O272="",NEGOCIAÇÕES!N272&lt;TODAY()),NEGOCIAÇÕES!N272,"")</f>
        <v/>
      </c>
      <c r="F272" s="6"/>
    </row>
    <row r="273" spans="2:6" ht="31.95" hidden="1" customHeight="1" x14ac:dyDescent="0.3">
      <c r="B273" s="6" t="str">
        <f ca="1">IF(AND(NEGOCIAÇÕES!O273="",NEGOCIAÇÕES!N273&lt;TODAY()),NEGOCIAÇÕES!C273,"")</f>
        <v/>
      </c>
      <c r="C273" s="6" t="str">
        <f ca="1">IF(AND(NEGOCIAÇÕES!O273="",NEGOCIAÇÕES!N273&lt;TODAY()),NEGOCIAÇÕES!E273,"")</f>
        <v/>
      </c>
      <c r="D273" s="6" t="str">
        <f ca="1">IF(AND(NEGOCIAÇÕES!O273="",NEGOCIAÇÕES!N273&lt;TODAY()),NEGOCIAÇÕES!D273,"")</f>
        <v/>
      </c>
      <c r="E273" s="9" t="str">
        <f ca="1">IF(AND(NEGOCIAÇÕES!O273="",NEGOCIAÇÕES!N273&lt;TODAY()),NEGOCIAÇÕES!N273,"")</f>
        <v/>
      </c>
      <c r="F273" s="6"/>
    </row>
    <row r="274" spans="2:6" ht="31.95" hidden="1" customHeight="1" x14ac:dyDescent="0.3">
      <c r="B274" s="6" t="str">
        <f ca="1">IF(AND(NEGOCIAÇÕES!O274="",NEGOCIAÇÕES!N274&lt;TODAY()),NEGOCIAÇÕES!C274,"")</f>
        <v/>
      </c>
      <c r="C274" s="6" t="str">
        <f ca="1">IF(AND(NEGOCIAÇÕES!O274="",NEGOCIAÇÕES!N274&lt;TODAY()),NEGOCIAÇÕES!E274,"")</f>
        <v/>
      </c>
      <c r="D274" s="6" t="str">
        <f ca="1">IF(AND(NEGOCIAÇÕES!O274="",NEGOCIAÇÕES!N274&lt;TODAY()),NEGOCIAÇÕES!D274,"")</f>
        <v/>
      </c>
      <c r="E274" s="9" t="str">
        <f ca="1">IF(AND(NEGOCIAÇÕES!O274="",NEGOCIAÇÕES!N274&lt;TODAY()),NEGOCIAÇÕES!N274,"")</f>
        <v/>
      </c>
      <c r="F274" s="6"/>
    </row>
    <row r="275" spans="2:6" ht="31.95" hidden="1" customHeight="1" x14ac:dyDescent="0.3">
      <c r="B275" s="6" t="str">
        <f ca="1">IF(AND(NEGOCIAÇÕES!O275="",NEGOCIAÇÕES!N275&lt;TODAY()),NEGOCIAÇÕES!C275,"")</f>
        <v/>
      </c>
      <c r="C275" s="6" t="str">
        <f ca="1">IF(AND(NEGOCIAÇÕES!O275="",NEGOCIAÇÕES!N275&lt;TODAY()),NEGOCIAÇÕES!E275,"")</f>
        <v/>
      </c>
      <c r="D275" s="6" t="str">
        <f ca="1">IF(AND(NEGOCIAÇÕES!O275="",NEGOCIAÇÕES!N275&lt;TODAY()),NEGOCIAÇÕES!D275,"")</f>
        <v/>
      </c>
      <c r="E275" s="9" t="str">
        <f ca="1">IF(AND(NEGOCIAÇÕES!O275="",NEGOCIAÇÕES!N275&lt;TODAY()),NEGOCIAÇÕES!N275,"")</f>
        <v/>
      </c>
      <c r="F275" s="6"/>
    </row>
    <row r="276" spans="2:6" ht="31.95" hidden="1" customHeight="1" x14ac:dyDescent="0.3">
      <c r="B276" s="6" t="str">
        <f ca="1">IF(AND(NEGOCIAÇÕES!O276="",NEGOCIAÇÕES!N276&lt;TODAY()),NEGOCIAÇÕES!C276,"")</f>
        <v/>
      </c>
      <c r="C276" s="6" t="str">
        <f ca="1">IF(AND(NEGOCIAÇÕES!O276="",NEGOCIAÇÕES!N276&lt;TODAY()),NEGOCIAÇÕES!E276,"")</f>
        <v/>
      </c>
      <c r="D276" s="6" t="str">
        <f ca="1">IF(AND(NEGOCIAÇÕES!O276="",NEGOCIAÇÕES!N276&lt;TODAY()),NEGOCIAÇÕES!D276,"")</f>
        <v/>
      </c>
      <c r="E276" s="9" t="str">
        <f ca="1">IF(AND(NEGOCIAÇÕES!O276="",NEGOCIAÇÕES!N276&lt;TODAY()),NEGOCIAÇÕES!N276,"")</f>
        <v/>
      </c>
      <c r="F276" s="6"/>
    </row>
    <row r="277" spans="2:6" ht="31.95" hidden="1" customHeight="1" x14ac:dyDescent="0.3">
      <c r="B277" s="6" t="str">
        <f ca="1">IF(AND(NEGOCIAÇÕES!O277="",NEGOCIAÇÕES!N277&lt;TODAY()),NEGOCIAÇÕES!C277,"")</f>
        <v/>
      </c>
      <c r="C277" s="6" t="str">
        <f ca="1">IF(AND(NEGOCIAÇÕES!O277="",NEGOCIAÇÕES!N277&lt;TODAY()),NEGOCIAÇÕES!E277,"")</f>
        <v/>
      </c>
      <c r="D277" s="6" t="str">
        <f ca="1">IF(AND(NEGOCIAÇÕES!O277="",NEGOCIAÇÕES!N277&lt;TODAY()),NEGOCIAÇÕES!D277,"")</f>
        <v/>
      </c>
      <c r="E277" s="9" t="str">
        <f ca="1">IF(AND(NEGOCIAÇÕES!O277="",NEGOCIAÇÕES!N277&lt;TODAY()),NEGOCIAÇÕES!N277,"")</f>
        <v/>
      </c>
      <c r="F277" s="6"/>
    </row>
    <row r="278" spans="2:6" ht="31.95" hidden="1" customHeight="1" x14ac:dyDescent="0.3">
      <c r="B278" s="6" t="str">
        <f ca="1">IF(AND(NEGOCIAÇÕES!O278="",NEGOCIAÇÕES!N278&lt;TODAY()),NEGOCIAÇÕES!C278,"")</f>
        <v/>
      </c>
      <c r="C278" s="6" t="str">
        <f ca="1">IF(AND(NEGOCIAÇÕES!O278="",NEGOCIAÇÕES!N278&lt;TODAY()),NEGOCIAÇÕES!E278,"")</f>
        <v/>
      </c>
      <c r="D278" s="6" t="str">
        <f ca="1">IF(AND(NEGOCIAÇÕES!O278="",NEGOCIAÇÕES!N278&lt;TODAY()),NEGOCIAÇÕES!D278,"")</f>
        <v/>
      </c>
      <c r="E278" s="9" t="str">
        <f ca="1">IF(AND(NEGOCIAÇÕES!O278="",NEGOCIAÇÕES!N278&lt;TODAY()),NEGOCIAÇÕES!N278,"")</f>
        <v/>
      </c>
      <c r="F278" s="6"/>
    </row>
    <row r="279" spans="2:6" ht="31.95" hidden="1" customHeight="1" x14ac:dyDescent="0.3">
      <c r="B279" s="6" t="str">
        <f ca="1">IF(AND(NEGOCIAÇÕES!O279="",NEGOCIAÇÕES!N279&lt;TODAY()),NEGOCIAÇÕES!C279,"")</f>
        <v/>
      </c>
      <c r="C279" s="6" t="str">
        <f ca="1">IF(AND(NEGOCIAÇÕES!O279="",NEGOCIAÇÕES!N279&lt;TODAY()),NEGOCIAÇÕES!E279,"")</f>
        <v/>
      </c>
      <c r="D279" s="6" t="str">
        <f ca="1">IF(AND(NEGOCIAÇÕES!O279="",NEGOCIAÇÕES!N279&lt;TODAY()),NEGOCIAÇÕES!D279,"")</f>
        <v/>
      </c>
      <c r="E279" s="9" t="str">
        <f ca="1">IF(AND(NEGOCIAÇÕES!O279="",NEGOCIAÇÕES!N279&lt;TODAY()),NEGOCIAÇÕES!N279,"")</f>
        <v/>
      </c>
      <c r="F279" s="6"/>
    </row>
    <row r="280" spans="2:6" ht="31.95" hidden="1" customHeight="1" x14ac:dyDescent="0.3">
      <c r="B280" s="6" t="str">
        <f ca="1">IF(AND(NEGOCIAÇÕES!O280="",NEGOCIAÇÕES!N280&lt;TODAY()),NEGOCIAÇÕES!C280,"")</f>
        <v/>
      </c>
      <c r="C280" s="6" t="str">
        <f ca="1">IF(AND(NEGOCIAÇÕES!O280="",NEGOCIAÇÕES!N280&lt;TODAY()),NEGOCIAÇÕES!E280,"")</f>
        <v/>
      </c>
      <c r="D280" s="6" t="str">
        <f ca="1">IF(AND(NEGOCIAÇÕES!O280="",NEGOCIAÇÕES!N280&lt;TODAY()),NEGOCIAÇÕES!D280,"")</f>
        <v/>
      </c>
      <c r="E280" s="9" t="str">
        <f ca="1">IF(AND(NEGOCIAÇÕES!O280="",NEGOCIAÇÕES!N280&lt;TODAY()),NEGOCIAÇÕES!N280,"")</f>
        <v/>
      </c>
      <c r="F280" s="6"/>
    </row>
    <row r="281" spans="2:6" ht="31.95" hidden="1" customHeight="1" x14ac:dyDescent="0.3">
      <c r="B281" s="6" t="str">
        <f ca="1">IF(AND(NEGOCIAÇÕES!O281="",NEGOCIAÇÕES!N281&lt;TODAY()),NEGOCIAÇÕES!C281,"")</f>
        <v/>
      </c>
      <c r="C281" s="6" t="str">
        <f ca="1">IF(AND(NEGOCIAÇÕES!O281="",NEGOCIAÇÕES!N281&lt;TODAY()),NEGOCIAÇÕES!E281,"")</f>
        <v/>
      </c>
      <c r="D281" s="6" t="str">
        <f ca="1">IF(AND(NEGOCIAÇÕES!O281="",NEGOCIAÇÕES!N281&lt;TODAY()),NEGOCIAÇÕES!D281,"")</f>
        <v/>
      </c>
      <c r="E281" s="9" t="str">
        <f ca="1">IF(AND(NEGOCIAÇÕES!O281="",NEGOCIAÇÕES!N281&lt;TODAY()),NEGOCIAÇÕES!N281,"")</f>
        <v/>
      </c>
      <c r="F281" s="6"/>
    </row>
    <row r="282" spans="2:6" ht="31.95" hidden="1" customHeight="1" x14ac:dyDescent="0.3">
      <c r="B282" s="6" t="str">
        <f ca="1">IF(AND(NEGOCIAÇÕES!O282="",NEGOCIAÇÕES!N282&lt;TODAY()),NEGOCIAÇÕES!C282,"")</f>
        <v/>
      </c>
      <c r="C282" s="6" t="str">
        <f ca="1">IF(AND(NEGOCIAÇÕES!O282="",NEGOCIAÇÕES!N282&lt;TODAY()),NEGOCIAÇÕES!E282,"")</f>
        <v/>
      </c>
      <c r="D282" s="6" t="str">
        <f ca="1">IF(AND(NEGOCIAÇÕES!O282="",NEGOCIAÇÕES!N282&lt;TODAY()),NEGOCIAÇÕES!D282,"")</f>
        <v/>
      </c>
      <c r="E282" s="9" t="str">
        <f ca="1">IF(AND(NEGOCIAÇÕES!O282="",NEGOCIAÇÕES!N282&lt;TODAY()),NEGOCIAÇÕES!N282,"")</f>
        <v/>
      </c>
      <c r="F282" s="6"/>
    </row>
    <row r="283" spans="2:6" ht="31.95" hidden="1" customHeight="1" x14ac:dyDescent="0.3">
      <c r="B283" s="6" t="str">
        <f ca="1">IF(AND(NEGOCIAÇÕES!O283="",NEGOCIAÇÕES!N283&lt;TODAY()),NEGOCIAÇÕES!C283,"")</f>
        <v/>
      </c>
      <c r="C283" s="6" t="str">
        <f ca="1">IF(AND(NEGOCIAÇÕES!O283="",NEGOCIAÇÕES!N283&lt;TODAY()),NEGOCIAÇÕES!E283,"")</f>
        <v/>
      </c>
      <c r="D283" s="6" t="str">
        <f ca="1">IF(AND(NEGOCIAÇÕES!O283="",NEGOCIAÇÕES!N283&lt;TODAY()),NEGOCIAÇÕES!D283,"")</f>
        <v/>
      </c>
      <c r="E283" s="9" t="str">
        <f ca="1">IF(AND(NEGOCIAÇÕES!O283="",NEGOCIAÇÕES!N283&lt;TODAY()),NEGOCIAÇÕES!N283,"")</f>
        <v/>
      </c>
      <c r="F283" s="6"/>
    </row>
    <row r="284" spans="2:6" ht="31.95" hidden="1" customHeight="1" x14ac:dyDescent="0.3">
      <c r="B284" s="6" t="str">
        <f ca="1">IF(AND(NEGOCIAÇÕES!O284="",NEGOCIAÇÕES!N284&lt;TODAY()),NEGOCIAÇÕES!C284,"")</f>
        <v/>
      </c>
      <c r="C284" s="6" t="str">
        <f ca="1">IF(AND(NEGOCIAÇÕES!O284="",NEGOCIAÇÕES!N284&lt;TODAY()),NEGOCIAÇÕES!E284,"")</f>
        <v/>
      </c>
      <c r="D284" s="6" t="str">
        <f ca="1">IF(AND(NEGOCIAÇÕES!O284="",NEGOCIAÇÕES!N284&lt;TODAY()),NEGOCIAÇÕES!D284,"")</f>
        <v/>
      </c>
      <c r="E284" s="9" t="str">
        <f ca="1">IF(AND(NEGOCIAÇÕES!O284="",NEGOCIAÇÕES!N284&lt;TODAY()),NEGOCIAÇÕES!N284,"")</f>
        <v/>
      </c>
      <c r="F284" s="6"/>
    </row>
    <row r="285" spans="2:6" ht="31.95" hidden="1" customHeight="1" x14ac:dyDescent="0.3">
      <c r="B285" s="6" t="str">
        <f ca="1">IF(AND(NEGOCIAÇÕES!O285="",NEGOCIAÇÕES!N285&lt;TODAY()),NEGOCIAÇÕES!C285,"")</f>
        <v/>
      </c>
      <c r="C285" s="6" t="str">
        <f ca="1">IF(AND(NEGOCIAÇÕES!O285="",NEGOCIAÇÕES!N285&lt;TODAY()),NEGOCIAÇÕES!E285,"")</f>
        <v/>
      </c>
      <c r="D285" s="6" t="str">
        <f ca="1">IF(AND(NEGOCIAÇÕES!O285="",NEGOCIAÇÕES!N285&lt;TODAY()),NEGOCIAÇÕES!D285,"")</f>
        <v/>
      </c>
      <c r="E285" s="9" t="str">
        <f ca="1">IF(AND(NEGOCIAÇÕES!O285="",NEGOCIAÇÕES!N285&lt;TODAY()),NEGOCIAÇÕES!N285,"")</f>
        <v/>
      </c>
      <c r="F285" s="6"/>
    </row>
    <row r="286" spans="2:6" ht="31.95" hidden="1" customHeight="1" x14ac:dyDescent="0.3">
      <c r="B286" s="6" t="str">
        <f ca="1">IF(AND(NEGOCIAÇÕES!O286="",NEGOCIAÇÕES!N286&lt;TODAY()),NEGOCIAÇÕES!C286,"")</f>
        <v/>
      </c>
      <c r="C286" s="6" t="str">
        <f ca="1">IF(AND(NEGOCIAÇÕES!O286="",NEGOCIAÇÕES!N286&lt;TODAY()),NEGOCIAÇÕES!E286,"")</f>
        <v/>
      </c>
      <c r="D286" s="6" t="str">
        <f ca="1">IF(AND(NEGOCIAÇÕES!O286="",NEGOCIAÇÕES!N286&lt;TODAY()),NEGOCIAÇÕES!D286,"")</f>
        <v/>
      </c>
      <c r="E286" s="9" t="str">
        <f ca="1">IF(AND(NEGOCIAÇÕES!O286="",NEGOCIAÇÕES!N286&lt;TODAY()),NEGOCIAÇÕES!N286,"")</f>
        <v/>
      </c>
      <c r="F286" s="6"/>
    </row>
    <row r="287" spans="2:6" ht="31.95" hidden="1" customHeight="1" x14ac:dyDescent="0.3">
      <c r="B287" s="6" t="str">
        <f ca="1">IF(AND(NEGOCIAÇÕES!O287="",NEGOCIAÇÕES!N287&lt;TODAY()),NEGOCIAÇÕES!C287,"")</f>
        <v/>
      </c>
      <c r="C287" s="6" t="str">
        <f ca="1">IF(AND(NEGOCIAÇÕES!O287="",NEGOCIAÇÕES!N287&lt;TODAY()),NEGOCIAÇÕES!E287,"")</f>
        <v/>
      </c>
      <c r="D287" s="6" t="str">
        <f ca="1">IF(AND(NEGOCIAÇÕES!O287="",NEGOCIAÇÕES!N287&lt;TODAY()),NEGOCIAÇÕES!D287,"")</f>
        <v/>
      </c>
      <c r="E287" s="9" t="str">
        <f ca="1">IF(AND(NEGOCIAÇÕES!O287="",NEGOCIAÇÕES!N287&lt;TODAY()),NEGOCIAÇÕES!N287,"")</f>
        <v/>
      </c>
      <c r="F287" s="6"/>
    </row>
    <row r="288" spans="2:6" ht="31.95" hidden="1" customHeight="1" x14ac:dyDescent="0.3">
      <c r="B288" s="6" t="str">
        <f ca="1">IF(AND(NEGOCIAÇÕES!O288="",NEGOCIAÇÕES!N288&lt;TODAY()),NEGOCIAÇÕES!C288,"")</f>
        <v/>
      </c>
      <c r="C288" s="6" t="str">
        <f ca="1">IF(AND(NEGOCIAÇÕES!O288="",NEGOCIAÇÕES!N288&lt;TODAY()),NEGOCIAÇÕES!E288,"")</f>
        <v/>
      </c>
      <c r="D288" s="6" t="str">
        <f ca="1">IF(AND(NEGOCIAÇÕES!O288="",NEGOCIAÇÕES!N288&lt;TODAY()),NEGOCIAÇÕES!D288,"")</f>
        <v/>
      </c>
      <c r="E288" s="9" t="str">
        <f ca="1">IF(AND(NEGOCIAÇÕES!O288="",NEGOCIAÇÕES!N288&lt;TODAY()),NEGOCIAÇÕES!N288,"")</f>
        <v/>
      </c>
      <c r="F288" s="6"/>
    </row>
    <row r="289" spans="2:6" ht="31.95" hidden="1" customHeight="1" x14ac:dyDescent="0.3">
      <c r="B289" s="6" t="str">
        <f ca="1">IF(AND(NEGOCIAÇÕES!O289="",NEGOCIAÇÕES!N289&lt;TODAY()),NEGOCIAÇÕES!C289,"")</f>
        <v/>
      </c>
      <c r="C289" s="6" t="str">
        <f ca="1">IF(AND(NEGOCIAÇÕES!O289="",NEGOCIAÇÕES!N289&lt;TODAY()),NEGOCIAÇÕES!E289,"")</f>
        <v/>
      </c>
      <c r="D289" s="6" t="str">
        <f ca="1">IF(AND(NEGOCIAÇÕES!O289="",NEGOCIAÇÕES!N289&lt;TODAY()),NEGOCIAÇÕES!D289,"")</f>
        <v/>
      </c>
      <c r="E289" s="9" t="str">
        <f ca="1">IF(AND(NEGOCIAÇÕES!O289="",NEGOCIAÇÕES!N289&lt;TODAY()),NEGOCIAÇÕES!N289,"")</f>
        <v/>
      </c>
      <c r="F289" s="6"/>
    </row>
    <row r="290" spans="2:6" ht="31.95" hidden="1" customHeight="1" x14ac:dyDescent="0.3">
      <c r="B290" s="6" t="str">
        <f ca="1">IF(AND(NEGOCIAÇÕES!O290="",NEGOCIAÇÕES!N290&lt;TODAY()),NEGOCIAÇÕES!C290,"")</f>
        <v/>
      </c>
      <c r="C290" s="6" t="str">
        <f ca="1">IF(AND(NEGOCIAÇÕES!O290="",NEGOCIAÇÕES!N290&lt;TODAY()),NEGOCIAÇÕES!E290,"")</f>
        <v/>
      </c>
      <c r="D290" s="6" t="str">
        <f ca="1">IF(AND(NEGOCIAÇÕES!O290="",NEGOCIAÇÕES!N290&lt;TODAY()),NEGOCIAÇÕES!D290,"")</f>
        <v/>
      </c>
      <c r="E290" s="9" t="str">
        <f ca="1">IF(AND(NEGOCIAÇÕES!O290="",NEGOCIAÇÕES!N290&lt;TODAY()),NEGOCIAÇÕES!N290,"")</f>
        <v/>
      </c>
      <c r="F290" s="6"/>
    </row>
    <row r="291" spans="2:6" ht="31.95" hidden="1" customHeight="1" x14ac:dyDescent="0.3">
      <c r="B291" s="6" t="str">
        <f ca="1">IF(AND(NEGOCIAÇÕES!O291="",NEGOCIAÇÕES!N291&lt;TODAY()),NEGOCIAÇÕES!C291,"")</f>
        <v/>
      </c>
      <c r="C291" s="6" t="str">
        <f ca="1">IF(AND(NEGOCIAÇÕES!O291="",NEGOCIAÇÕES!N291&lt;TODAY()),NEGOCIAÇÕES!E291,"")</f>
        <v/>
      </c>
      <c r="D291" s="6" t="str">
        <f ca="1">IF(AND(NEGOCIAÇÕES!O291="",NEGOCIAÇÕES!N291&lt;TODAY()),NEGOCIAÇÕES!D291,"")</f>
        <v/>
      </c>
      <c r="E291" s="9" t="str">
        <f ca="1">IF(AND(NEGOCIAÇÕES!O291="",NEGOCIAÇÕES!N291&lt;TODAY()),NEGOCIAÇÕES!N291,"")</f>
        <v/>
      </c>
      <c r="F291" s="6"/>
    </row>
    <row r="292" spans="2:6" ht="31.95" hidden="1" customHeight="1" x14ac:dyDescent="0.3">
      <c r="B292" s="6" t="str">
        <f ca="1">IF(AND(NEGOCIAÇÕES!O292="",NEGOCIAÇÕES!N292&lt;TODAY()),NEGOCIAÇÕES!C292,"")</f>
        <v/>
      </c>
      <c r="C292" s="6" t="str">
        <f ca="1">IF(AND(NEGOCIAÇÕES!O292="",NEGOCIAÇÕES!N292&lt;TODAY()),NEGOCIAÇÕES!E292,"")</f>
        <v/>
      </c>
      <c r="D292" s="6" t="str">
        <f ca="1">IF(AND(NEGOCIAÇÕES!O292="",NEGOCIAÇÕES!N292&lt;TODAY()),NEGOCIAÇÕES!D292,"")</f>
        <v/>
      </c>
      <c r="E292" s="9" t="str">
        <f ca="1">IF(AND(NEGOCIAÇÕES!O292="",NEGOCIAÇÕES!N292&lt;TODAY()),NEGOCIAÇÕES!N292,"")</f>
        <v/>
      </c>
      <c r="F292" s="6"/>
    </row>
    <row r="293" spans="2:6" ht="31.95" hidden="1" customHeight="1" x14ac:dyDescent="0.3">
      <c r="B293" s="6" t="str">
        <f ca="1">IF(AND(NEGOCIAÇÕES!O293="",NEGOCIAÇÕES!N293&lt;TODAY()),NEGOCIAÇÕES!C293,"")</f>
        <v/>
      </c>
      <c r="C293" s="6" t="str">
        <f ca="1">IF(AND(NEGOCIAÇÕES!O293="",NEGOCIAÇÕES!N293&lt;TODAY()),NEGOCIAÇÕES!E293,"")</f>
        <v/>
      </c>
      <c r="D293" s="6" t="str">
        <f ca="1">IF(AND(NEGOCIAÇÕES!O293="",NEGOCIAÇÕES!N293&lt;TODAY()),NEGOCIAÇÕES!D293,"")</f>
        <v/>
      </c>
      <c r="E293" s="9" t="str">
        <f ca="1">IF(AND(NEGOCIAÇÕES!O293="",NEGOCIAÇÕES!N293&lt;TODAY()),NEGOCIAÇÕES!N293,"")</f>
        <v/>
      </c>
      <c r="F293" s="6"/>
    </row>
    <row r="294" spans="2:6" ht="31.95" hidden="1" customHeight="1" x14ac:dyDescent="0.3">
      <c r="B294" s="6" t="str">
        <f ca="1">IF(AND(NEGOCIAÇÕES!O294="",NEGOCIAÇÕES!N294&lt;TODAY()),NEGOCIAÇÕES!C294,"")</f>
        <v/>
      </c>
      <c r="C294" s="6" t="str">
        <f ca="1">IF(AND(NEGOCIAÇÕES!O294="",NEGOCIAÇÕES!N294&lt;TODAY()),NEGOCIAÇÕES!E294,"")</f>
        <v/>
      </c>
      <c r="D294" s="6" t="str">
        <f ca="1">IF(AND(NEGOCIAÇÕES!O294="",NEGOCIAÇÕES!N294&lt;TODAY()),NEGOCIAÇÕES!D294,"")</f>
        <v/>
      </c>
      <c r="E294" s="9" t="str">
        <f ca="1">IF(AND(NEGOCIAÇÕES!O294="",NEGOCIAÇÕES!N294&lt;TODAY()),NEGOCIAÇÕES!N294,"")</f>
        <v/>
      </c>
      <c r="F294" s="6"/>
    </row>
    <row r="295" spans="2:6" ht="31.95" hidden="1" customHeight="1" x14ac:dyDescent="0.3">
      <c r="B295" s="6" t="str">
        <f ca="1">IF(AND(NEGOCIAÇÕES!O295="",NEGOCIAÇÕES!N295&lt;TODAY()),NEGOCIAÇÕES!C295,"")</f>
        <v/>
      </c>
      <c r="C295" s="6" t="str">
        <f ca="1">IF(AND(NEGOCIAÇÕES!O295="",NEGOCIAÇÕES!N295&lt;TODAY()),NEGOCIAÇÕES!E295,"")</f>
        <v/>
      </c>
      <c r="D295" s="6" t="str">
        <f ca="1">IF(AND(NEGOCIAÇÕES!O295="",NEGOCIAÇÕES!N295&lt;TODAY()),NEGOCIAÇÕES!D295,"")</f>
        <v/>
      </c>
      <c r="E295" s="9" t="str">
        <f ca="1">IF(AND(NEGOCIAÇÕES!O295="",NEGOCIAÇÕES!N295&lt;TODAY()),NEGOCIAÇÕES!N295,"")</f>
        <v/>
      </c>
      <c r="F295" s="6"/>
    </row>
    <row r="296" spans="2:6" ht="31.95" hidden="1" customHeight="1" x14ac:dyDescent="0.3">
      <c r="B296" s="6" t="str">
        <f ca="1">IF(AND(NEGOCIAÇÕES!O296="",NEGOCIAÇÕES!N296&lt;TODAY()),NEGOCIAÇÕES!C296,"")</f>
        <v/>
      </c>
      <c r="C296" s="6" t="str">
        <f ca="1">IF(AND(NEGOCIAÇÕES!O296="",NEGOCIAÇÕES!N296&lt;TODAY()),NEGOCIAÇÕES!E296,"")</f>
        <v/>
      </c>
      <c r="D296" s="6" t="str">
        <f ca="1">IF(AND(NEGOCIAÇÕES!O296="",NEGOCIAÇÕES!N296&lt;TODAY()),NEGOCIAÇÕES!D296,"")</f>
        <v/>
      </c>
      <c r="E296" s="9" t="str">
        <f ca="1">IF(AND(NEGOCIAÇÕES!O296="",NEGOCIAÇÕES!N296&lt;TODAY()),NEGOCIAÇÕES!N296,"")</f>
        <v/>
      </c>
      <c r="F296" s="6"/>
    </row>
    <row r="297" spans="2:6" ht="31.95" hidden="1" customHeight="1" x14ac:dyDescent="0.3">
      <c r="B297" s="6" t="str">
        <f ca="1">IF(AND(NEGOCIAÇÕES!O297="",NEGOCIAÇÕES!N297&lt;TODAY()),NEGOCIAÇÕES!C297,"")</f>
        <v/>
      </c>
      <c r="C297" s="6" t="str">
        <f ca="1">IF(AND(NEGOCIAÇÕES!O297="",NEGOCIAÇÕES!N297&lt;TODAY()),NEGOCIAÇÕES!E297,"")</f>
        <v/>
      </c>
      <c r="D297" s="6" t="str">
        <f ca="1">IF(AND(NEGOCIAÇÕES!O297="",NEGOCIAÇÕES!N297&lt;TODAY()),NEGOCIAÇÕES!D297,"")</f>
        <v/>
      </c>
      <c r="E297" s="9" t="str">
        <f ca="1">IF(AND(NEGOCIAÇÕES!O297="",NEGOCIAÇÕES!N297&lt;TODAY()),NEGOCIAÇÕES!N297,"")</f>
        <v/>
      </c>
      <c r="F297" s="6"/>
    </row>
    <row r="298" spans="2:6" ht="31.95" hidden="1" customHeight="1" x14ac:dyDescent="0.3">
      <c r="B298" s="6" t="str">
        <f ca="1">IF(AND(NEGOCIAÇÕES!O298="",NEGOCIAÇÕES!N298&lt;TODAY()),NEGOCIAÇÕES!C298,"")</f>
        <v/>
      </c>
      <c r="C298" s="6" t="str">
        <f ca="1">IF(AND(NEGOCIAÇÕES!O298="",NEGOCIAÇÕES!N298&lt;TODAY()),NEGOCIAÇÕES!E298,"")</f>
        <v/>
      </c>
      <c r="D298" s="6" t="str">
        <f ca="1">IF(AND(NEGOCIAÇÕES!O298="",NEGOCIAÇÕES!N298&lt;TODAY()),NEGOCIAÇÕES!D298,"")</f>
        <v/>
      </c>
      <c r="E298" s="9" t="str">
        <f ca="1">IF(AND(NEGOCIAÇÕES!O298="",NEGOCIAÇÕES!N298&lt;TODAY()),NEGOCIAÇÕES!N298,"")</f>
        <v/>
      </c>
      <c r="F298" s="6"/>
    </row>
    <row r="299" spans="2:6" ht="31.95" hidden="1" customHeight="1" x14ac:dyDescent="0.3">
      <c r="B299" s="6" t="str">
        <f ca="1">IF(AND(NEGOCIAÇÕES!O299="",NEGOCIAÇÕES!N299&lt;TODAY()),NEGOCIAÇÕES!C299,"")</f>
        <v/>
      </c>
      <c r="C299" s="6" t="str">
        <f ca="1">IF(AND(NEGOCIAÇÕES!O299="",NEGOCIAÇÕES!N299&lt;TODAY()),NEGOCIAÇÕES!E299,"")</f>
        <v/>
      </c>
      <c r="D299" s="6" t="str">
        <f ca="1">IF(AND(NEGOCIAÇÕES!O299="",NEGOCIAÇÕES!N299&lt;TODAY()),NEGOCIAÇÕES!D299,"")</f>
        <v/>
      </c>
      <c r="E299" s="9" t="str">
        <f ca="1">IF(AND(NEGOCIAÇÕES!O299="",NEGOCIAÇÕES!N299&lt;TODAY()),NEGOCIAÇÕES!N299,"")</f>
        <v/>
      </c>
      <c r="F299" s="6"/>
    </row>
    <row r="300" spans="2:6" ht="31.95" hidden="1" customHeight="1" x14ac:dyDescent="0.3">
      <c r="B300" s="6" t="str">
        <f ca="1">IF(AND(NEGOCIAÇÕES!O300="",NEGOCIAÇÕES!N300&lt;TODAY()),NEGOCIAÇÕES!C300,"")</f>
        <v/>
      </c>
      <c r="C300" s="6" t="str">
        <f ca="1">IF(AND(NEGOCIAÇÕES!O300="",NEGOCIAÇÕES!N300&lt;TODAY()),NEGOCIAÇÕES!E300,"")</f>
        <v/>
      </c>
      <c r="D300" s="6" t="str">
        <f ca="1">IF(AND(NEGOCIAÇÕES!O300="",NEGOCIAÇÕES!N300&lt;TODAY()),NEGOCIAÇÕES!D300,"")</f>
        <v/>
      </c>
      <c r="E300" s="9" t="str">
        <f ca="1">IF(AND(NEGOCIAÇÕES!O300="",NEGOCIAÇÕES!N300&lt;TODAY()),NEGOCIAÇÕES!N300,"")</f>
        <v/>
      </c>
      <c r="F300" s="6"/>
    </row>
    <row r="301" spans="2:6" ht="31.95" hidden="1" customHeight="1" x14ac:dyDescent="0.3">
      <c r="B301" s="6" t="str">
        <f ca="1">IF(AND(NEGOCIAÇÕES!O301="",NEGOCIAÇÕES!N301&lt;TODAY()),NEGOCIAÇÕES!C301,"")</f>
        <v/>
      </c>
      <c r="C301" s="6" t="str">
        <f ca="1">IF(AND(NEGOCIAÇÕES!O301="",NEGOCIAÇÕES!N301&lt;TODAY()),NEGOCIAÇÕES!E301,"")</f>
        <v/>
      </c>
      <c r="D301" s="6" t="str">
        <f ca="1">IF(AND(NEGOCIAÇÕES!O301="",NEGOCIAÇÕES!N301&lt;TODAY()),NEGOCIAÇÕES!D301,"")</f>
        <v/>
      </c>
      <c r="E301" s="9" t="str">
        <f ca="1">IF(AND(NEGOCIAÇÕES!O301="",NEGOCIAÇÕES!N301&lt;TODAY()),NEGOCIAÇÕES!N301,"")</f>
        <v/>
      </c>
      <c r="F301" s="6"/>
    </row>
    <row r="302" spans="2:6" ht="31.95" hidden="1" customHeight="1" x14ac:dyDescent="0.3">
      <c r="B302" s="6" t="str">
        <f ca="1">IF(AND(NEGOCIAÇÕES!O302="",NEGOCIAÇÕES!N302&lt;TODAY()),NEGOCIAÇÕES!C302,"")</f>
        <v/>
      </c>
      <c r="C302" s="6" t="str">
        <f ca="1">IF(AND(NEGOCIAÇÕES!O302="",NEGOCIAÇÕES!N302&lt;TODAY()),NEGOCIAÇÕES!E302,"")</f>
        <v/>
      </c>
      <c r="D302" s="6" t="str">
        <f ca="1">IF(AND(NEGOCIAÇÕES!O302="",NEGOCIAÇÕES!N302&lt;TODAY()),NEGOCIAÇÕES!D302,"")</f>
        <v/>
      </c>
      <c r="E302" s="9" t="str">
        <f ca="1">IF(AND(NEGOCIAÇÕES!O302="",NEGOCIAÇÕES!N302&lt;TODAY()),NEGOCIAÇÕES!N302,"")</f>
        <v/>
      </c>
      <c r="F302" s="6"/>
    </row>
    <row r="303" spans="2:6" ht="31.95" hidden="1" customHeight="1" x14ac:dyDescent="0.3">
      <c r="B303" s="6" t="str">
        <f ca="1">IF(AND(NEGOCIAÇÕES!O303="",NEGOCIAÇÕES!N303&lt;TODAY()),NEGOCIAÇÕES!C303,"")</f>
        <v/>
      </c>
      <c r="C303" s="6" t="str">
        <f ca="1">IF(AND(NEGOCIAÇÕES!O303="",NEGOCIAÇÕES!N303&lt;TODAY()),NEGOCIAÇÕES!E303,"")</f>
        <v/>
      </c>
      <c r="D303" s="6" t="str">
        <f ca="1">IF(AND(NEGOCIAÇÕES!O303="",NEGOCIAÇÕES!N303&lt;TODAY()),NEGOCIAÇÕES!D303,"")</f>
        <v/>
      </c>
      <c r="E303" s="9" t="str">
        <f ca="1">IF(AND(NEGOCIAÇÕES!O303="",NEGOCIAÇÕES!N303&lt;TODAY()),NEGOCIAÇÕES!N303,"")</f>
        <v/>
      </c>
      <c r="F303" s="6"/>
    </row>
    <row r="304" spans="2:6" ht="31.95" hidden="1" customHeight="1" x14ac:dyDescent="0.3">
      <c r="B304" s="6" t="str">
        <f ca="1">IF(AND(NEGOCIAÇÕES!O304="",NEGOCIAÇÕES!N304&lt;TODAY()),NEGOCIAÇÕES!C304,"")</f>
        <v/>
      </c>
      <c r="C304" s="6" t="str">
        <f ca="1">IF(AND(NEGOCIAÇÕES!O304="",NEGOCIAÇÕES!N304&lt;TODAY()),NEGOCIAÇÕES!E304,"")</f>
        <v/>
      </c>
      <c r="D304" s="6" t="str">
        <f ca="1">IF(AND(NEGOCIAÇÕES!O304="",NEGOCIAÇÕES!N304&lt;TODAY()),NEGOCIAÇÕES!D304,"")</f>
        <v/>
      </c>
      <c r="E304" s="9" t="str">
        <f ca="1">IF(AND(NEGOCIAÇÕES!O304="",NEGOCIAÇÕES!N304&lt;TODAY()),NEGOCIAÇÕES!N304,"")</f>
        <v/>
      </c>
      <c r="F304" s="6"/>
    </row>
    <row r="305" spans="2:6" ht="31.95" hidden="1" customHeight="1" x14ac:dyDescent="0.3">
      <c r="B305" s="6" t="str">
        <f ca="1">IF(AND(NEGOCIAÇÕES!O305="",NEGOCIAÇÕES!N305&lt;TODAY()),NEGOCIAÇÕES!C305,"")</f>
        <v/>
      </c>
      <c r="C305" s="6" t="str">
        <f ca="1">IF(AND(NEGOCIAÇÕES!O305="",NEGOCIAÇÕES!N305&lt;TODAY()),NEGOCIAÇÕES!E305,"")</f>
        <v/>
      </c>
      <c r="D305" s="6" t="str">
        <f ca="1">IF(AND(NEGOCIAÇÕES!O305="",NEGOCIAÇÕES!N305&lt;TODAY()),NEGOCIAÇÕES!D305,"")</f>
        <v/>
      </c>
      <c r="E305" s="9" t="str">
        <f ca="1">IF(AND(NEGOCIAÇÕES!O305="",NEGOCIAÇÕES!N305&lt;TODAY()),NEGOCIAÇÕES!N305,"")</f>
        <v/>
      </c>
      <c r="F305" s="6"/>
    </row>
    <row r="306" spans="2:6" ht="31.95" hidden="1" customHeight="1" x14ac:dyDescent="0.3">
      <c r="B306" s="6" t="str">
        <f ca="1">IF(AND(NEGOCIAÇÕES!O306="",NEGOCIAÇÕES!N306&lt;TODAY()),NEGOCIAÇÕES!C306,"")</f>
        <v/>
      </c>
      <c r="C306" s="6" t="str">
        <f ca="1">IF(AND(NEGOCIAÇÕES!O306="",NEGOCIAÇÕES!N306&lt;TODAY()),NEGOCIAÇÕES!E306,"")</f>
        <v/>
      </c>
      <c r="D306" s="6" t="str">
        <f ca="1">IF(AND(NEGOCIAÇÕES!O306="",NEGOCIAÇÕES!N306&lt;TODAY()),NEGOCIAÇÕES!D306,"")</f>
        <v/>
      </c>
      <c r="E306" s="9" t="str">
        <f ca="1">IF(AND(NEGOCIAÇÕES!O306="",NEGOCIAÇÕES!N306&lt;TODAY()),NEGOCIAÇÕES!N306,"")</f>
        <v/>
      </c>
      <c r="F306" s="6"/>
    </row>
    <row r="307" spans="2:6" ht="31.95" hidden="1" customHeight="1" x14ac:dyDescent="0.3">
      <c r="B307" s="6" t="str">
        <f ca="1">IF(AND(NEGOCIAÇÕES!O307="",NEGOCIAÇÕES!N307&lt;TODAY()),NEGOCIAÇÕES!C307,"")</f>
        <v/>
      </c>
      <c r="C307" s="6" t="str">
        <f ca="1">IF(AND(NEGOCIAÇÕES!O307="",NEGOCIAÇÕES!N307&lt;TODAY()),NEGOCIAÇÕES!E307,"")</f>
        <v/>
      </c>
      <c r="D307" s="6" t="str">
        <f ca="1">IF(AND(NEGOCIAÇÕES!O307="",NEGOCIAÇÕES!N307&lt;TODAY()),NEGOCIAÇÕES!D307,"")</f>
        <v/>
      </c>
      <c r="E307" s="9" t="str">
        <f ca="1">IF(AND(NEGOCIAÇÕES!O307="",NEGOCIAÇÕES!N307&lt;TODAY()),NEGOCIAÇÕES!N307,"")</f>
        <v/>
      </c>
      <c r="F307" s="6"/>
    </row>
    <row r="308" spans="2:6" ht="31.95" hidden="1" customHeight="1" x14ac:dyDescent="0.3">
      <c r="B308" s="6" t="str">
        <f ca="1">IF(AND(NEGOCIAÇÕES!O308="",NEGOCIAÇÕES!N308&lt;TODAY()),NEGOCIAÇÕES!C308,"")</f>
        <v/>
      </c>
      <c r="C308" s="6" t="str">
        <f ca="1">IF(AND(NEGOCIAÇÕES!O308="",NEGOCIAÇÕES!N308&lt;TODAY()),NEGOCIAÇÕES!E308,"")</f>
        <v/>
      </c>
      <c r="D308" s="6" t="str">
        <f ca="1">IF(AND(NEGOCIAÇÕES!O308="",NEGOCIAÇÕES!N308&lt;TODAY()),NEGOCIAÇÕES!D308,"")</f>
        <v/>
      </c>
      <c r="E308" s="9" t="str">
        <f ca="1">IF(AND(NEGOCIAÇÕES!O308="",NEGOCIAÇÕES!N308&lt;TODAY()),NEGOCIAÇÕES!N308,"")</f>
        <v/>
      </c>
      <c r="F308" s="6"/>
    </row>
    <row r="309" spans="2:6" ht="31.95" hidden="1" customHeight="1" x14ac:dyDescent="0.3">
      <c r="B309" s="6" t="str">
        <f ca="1">IF(AND(NEGOCIAÇÕES!O309="",NEGOCIAÇÕES!N309&lt;TODAY()),NEGOCIAÇÕES!C309,"")</f>
        <v/>
      </c>
      <c r="C309" s="6" t="str">
        <f ca="1">IF(AND(NEGOCIAÇÕES!O309="",NEGOCIAÇÕES!N309&lt;TODAY()),NEGOCIAÇÕES!E309,"")</f>
        <v/>
      </c>
      <c r="D309" s="6" t="str">
        <f ca="1">IF(AND(NEGOCIAÇÕES!O309="",NEGOCIAÇÕES!N309&lt;TODAY()),NEGOCIAÇÕES!D309,"")</f>
        <v/>
      </c>
      <c r="E309" s="9" t="str">
        <f ca="1">IF(AND(NEGOCIAÇÕES!O309="",NEGOCIAÇÕES!N309&lt;TODAY()),NEGOCIAÇÕES!N309,"")</f>
        <v/>
      </c>
      <c r="F309" s="6"/>
    </row>
    <row r="310" spans="2:6" ht="31.95" hidden="1" customHeight="1" x14ac:dyDescent="0.3">
      <c r="B310" s="6" t="str">
        <f ca="1">IF(AND(NEGOCIAÇÕES!O310="",NEGOCIAÇÕES!N310&lt;TODAY()),NEGOCIAÇÕES!C310,"")</f>
        <v/>
      </c>
      <c r="C310" s="6" t="str">
        <f ca="1">IF(AND(NEGOCIAÇÕES!O310="",NEGOCIAÇÕES!N310&lt;TODAY()),NEGOCIAÇÕES!E310,"")</f>
        <v/>
      </c>
      <c r="D310" s="6" t="str">
        <f ca="1">IF(AND(NEGOCIAÇÕES!O310="",NEGOCIAÇÕES!N310&lt;TODAY()),NEGOCIAÇÕES!D310,"")</f>
        <v/>
      </c>
      <c r="E310" s="9" t="str">
        <f ca="1">IF(AND(NEGOCIAÇÕES!O310="",NEGOCIAÇÕES!N310&lt;TODAY()),NEGOCIAÇÕES!N310,"")</f>
        <v/>
      </c>
      <c r="F310" s="6"/>
    </row>
    <row r="311" spans="2:6" ht="31.95" hidden="1" customHeight="1" x14ac:dyDescent="0.3">
      <c r="B311" s="6" t="str">
        <f ca="1">IF(AND(NEGOCIAÇÕES!O311="",NEGOCIAÇÕES!N311&lt;TODAY()),NEGOCIAÇÕES!C311,"")</f>
        <v/>
      </c>
      <c r="C311" s="6" t="str">
        <f ca="1">IF(AND(NEGOCIAÇÕES!O311="",NEGOCIAÇÕES!N311&lt;TODAY()),NEGOCIAÇÕES!E311,"")</f>
        <v/>
      </c>
      <c r="D311" s="6" t="str">
        <f ca="1">IF(AND(NEGOCIAÇÕES!O311="",NEGOCIAÇÕES!N311&lt;TODAY()),NEGOCIAÇÕES!D311,"")</f>
        <v/>
      </c>
      <c r="E311" s="9" t="str">
        <f ca="1">IF(AND(NEGOCIAÇÕES!O311="",NEGOCIAÇÕES!N311&lt;TODAY()),NEGOCIAÇÕES!N311,"")</f>
        <v/>
      </c>
      <c r="F311" s="6"/>
    </row>
    <row r="312" spans="2:6" ht="31.95" hidden="1" customHeight="1" x14ac:dyDescent="0.3">
      <c r="B312" s="6" t="str">
        <f ca="1">IF(AND(NEGOCIAÇÕES!O312="",NEGOCIAÇÕES!N312&lt;TODAY()),NEGOCIAÇÕES!C312,"")</f>
        <v/>
      </c>
      <c r="C312" s="6" t="str">
        <f ca="1">IF(AND(NEGOCIAÇÕES!O312="",NEGOCIAÇÕES!N312&lt;TODAY()),NEGOCIAÇÕES!E312,"")</f>
        <v/>
      </c>
      <c r="D312" s="6" t="str">
        <f ca="1">IF(AND(NEGOCIAÇÕES!O312="",NEGOCIAÇÕES!N312&lt;TODAY()),NEGOCIAÇÕES!D312,"")</f>
        <v/>
      </c>
      <c r="E312" s="9" t="str">
        <f ca="1">IF(AND(NEGOCIAÇÕES!O312="",NEGOCIAÇÕES!N312&lt;TODAY()),NEGOCIAÇÕES!N312,"")</f>
        <v/>
      </c>
      <c r="F312" s="6"/>
    </row>
    <row r="313" spans="2:6" ht="31.95" hidden="1" customHeight="1" x14ac:dyDescent="0.3">
      <c r="B313" s="6" t="str">
        <f ca="1">IF(AND(NEGOCIAÇÕES!O313="",NEGOCIAÇÕES!N313&lt;TODAY()),NEGOCIAÇÕES!C313,"")</f>
        <v/>
      </c>
      <c r="C313" s="6" t="str">
        <f ca="1">IF(AND(NEGOCIAÇÕES!O313="",NEGOCIAÇÕES!N313&lt;TODAY()),NEGOCIAÇÕES!E313,"")</f>
        <v/>
      </c>
      <c r="D313" s="6" t="str">
        <f ca="1">IF(AND(NEGOCIAÇÕES!O313="",NEGOCIAÇÕES!N313&lt;TODAY()),NEGOCIAÇÕES!D313,"")</f>
        <v/>
      </c>
      <c r="E313" s="9" t="str">
        <f ca="1">IF(AND(NEGOCIAÇÕES!O313="",NEGOCIAÇÕES!N313&lt;TODAY()),NEGOCIAÇÕES!N313,"")</f>
        <v/>
      </c>
      <c r="F313" s="6"/>
    </row>
    <row r="314" spans="2:6" ht="31.95" hidden="1" customHeight="1" x14ac:dyDescent="0.3">
      <c r="B314" s="6" t="str">
        <f ca="1">IF(AND(NEGOCIAÇÕES!O314="",NEGOCIAÇÕES!N314&lt;TODAY()),NEGOCIAÇÕES!C314,"")</f>
        <v/>
      </c>
      <c r="C314" s="6" t="str">
        <f ca="1">IF(AND(NEGOCIAÇÕES!O314="",NEGOCIAÇÕES!N314&lt;TODAY()),NEGOCIAÇÕES!E314,"")</f>
        <v/>
      </c>
      <c r="D314" s="6" t="str">
        <f ca="1">IF(AND(NEGOCIAÇÕES!O314="",NEGOCIAÇÕES!N314&lt;TODAY()),NEGOCIAÇÕES!D314,"")</f>
        <v/>
      </c>
      <c r="E314" s="9" t="str">
        <f ca="1">IF(AND(NEGOCIAÇÕES!O314="",NEGOCIAÇÕES!N314&lt;TODAY()),NEGOCIAÇÕES!N314,"")</f>
        <v/>
      </c>
      <c r="F314" s="6"/>
    </row>
    <row r="315" spans="2:6" ht="31.95" hidden="1" customHeight="1" x14ac:dyDescent="0.3">
      <c r="B315" s="6" t="str">
        <f ca="1">IF(AND(NEGOCIAÇÕES!O315="",NEGOCIAÇÕES!N315&lt;TODAY()),NEGOCIAÇÕES!C315,"")</f>
        <v/>
      </c>
      <c r="C315" s="6" t="str">
        <f ca="1">IF(AND(NEGOCIAÇÕES!O315="",NEGOCIAÇÕES!N315&lt;TODAY()),NEGOCIAÇÕES!E315,"")</f>
        <v/>
      </c>
      <c r="D315" s="6" t="str">
        <f ca="1">IF(AND(NEGOCIAÇÕES!O315="",NEGOCIAÇÕES!N315&lt;TODAY()),NEGOCIAÇÕES!D315,"")</f>
        <v/>
      </c>
      <c r="E315" s="9" t="str">
        <f ca="1">IF(AND(NEGOCIAÇÕES!O315="",NEGOCIAÇÕES!N315&lt;TODAY()),NEGOCIAÇÕES!N315,"")</f>
        <v/>
      </c>
      <c r="F315" s="6"/>
    </row>
    <row r="316" spans="2:6" ht="31.95" hidden="1" customHeight="1" x14ac:dyDescent="0.3">
      <c r="B316" s="6" t="str">
        <f ca="1">IF(AND(NEGOCIAÇÕES!O316="",NEGOCIAÇÕES!N316&lt;TODAY()),NEGOCIAÇÕES!C316,"")</f>
        <v/>
      </c>
      <c r="C316" s="6" t="str">
        <f ca="1">IF(AND(NEGOCIAÇÕES!O316="",NEGOCIAÇÕES!N316&lt;TODAY()),NEGOCIAÇÕES!E316,"")</f>
        <v/>
      </c>
      <c r="D316" s="6" t="str">
        <f ca="1">IF(AND(NEGOCIAÇÕES!O316="",NEGOCIAÇÕES!N316&lt;TODAY()),NEGOCIAÇÕES!D316,"")</f>
        <v/>
      </c>
      <c r="E316" s="9" t="str">
        <f ca="1">IF(AND(NEGOCIAÇÕES!O316="",NEGOCIAÇÕES!N316&lt;TODAY()),NEGOCIAÇÕES!N316,"")</f>
        <v/>
      </c>
      <c r="F316" s="6"/>
    </row>
    <row r="317" spans="2:6" ht="31.95" hidden="1" customHeight="1" x14ac:dyDescent="0.3">
      <c r="B317" s="6" t="str">
        <f ca="1">IF(AND(NEGOCIAÇÕES!O317="",NEGOCIAÇÕES!N317&lt;TODAY()),NEGOCIAÇÕES!C317,"")</f>
        <v/>
      </c>
      <c r="C317" s="6" t="str">
        <f ca="1">IF(AND(NEGOCIAÇÕES!O317="",NEGOCIAÇÕES!N317&lt;TODAY()),NEGOCIAÇÕES!E317,"")</f>
        <v/>
      </c>
      <c r="D317" s="6" t="str">
        <f ca="1">IF(AND(NEGOCIAÇÕES!O317="",NEGOCIAÇÕES!N317&lt;TODAY()),NEGOCIAÇÕES!D317,"")</f>
        <v/>
      </c>
      <c r="E317" s="9" t="str">
        <f ca="1">IF(AND(NEGOCIAÇÕES!O317="",NEGOCIAÇÕES!N317&lt;TODAY()),NEGOCIAÇÕES!N317,"")</f>
        <v/>
      </c>
      <c r="F317" s="6"/>
    </row>
    <row r="318" spans="2:6" ht="31.95" hidden="1" customHeight="1" x14ac:dyDescent="0.3">
      <c r="B318" s="6" t="str">
        <f ca="1">IF(AND(NEGOCIAÇÕES!O318="",NEGOCIAÇÕES!N318&lt;TODAY()),NEGOCIAÇÕES!C318,"")</f>
        <v/>
      </c>
      <c r="C318" s="6" t="str">
        <f ca="1">IF(AND(NEGOCIAÇÕES!O318="",NEGOCIAÇÕES!N318&lt;TODAY()),NEGOCIAÇÕES!E318,"")</f>
        <v/>
      </c>
      <c r="D318" s="6" t="str">
        <f ca="1">IF(AND(NEGOCIAÇÕES!O318="",NEGOCIAÇÕES!N318&lt;TODAY()),NEGOCIAÇÕES!D318,"")</f>
        <v/>
      </c>
      <c r="E318" s="9" t="str">
        <f ca="1">IF(AND(NEGOCIAÇÕES!O318="",NEGOCIAÇÕES!N318&lt;TODAY()),NEGOCIAÇÕES!N318,"")</f>
        <v/>
      </c>
      <c r="F318" s="6"/>
    </row>
    <row r="319" spans="2:6" ht="31.95" hidden="1" customHeight="1" x14ac:dyDescent="0.3">
      <c r="B319" s="6" t="str">
        <f ca="1">IF(AND(NEGOCIAÇÕES!O319="",NEGOCIAÇÕES!N319&lt;TODAY()),NEGOCIAÇÕES!C319,"")</f>
        <v/>
      </c>
      <c r="C319" s="6" t="str">
        <f ca="1">IF(AND(NEGOCIAÇÕES!O319="",NEGOCIAÇÕES!N319&lt;TODAY()),NEGOCIAÇÕES!E319,"")</f>
        <v/>
      </c>
      <c r="D319" s="6" t="str">
        <f ca="1">IF(AND(NEGOCIAÇÕES!O319="",NEGOCIAÇÕES!N319&lt;TODAY()),NEGOCIAÇÕES!D319,"")</f>
        <v/>
      </c>
      <c r="E319" s="9" t="str">
        <f ca="1">IF(AND(NEGOCIAÇÕES!O319="",NEGOCIAÇÕES!N319&lt;TODAY()),NEGOCIAÇÕES!N319,"")</f>
        <v/>
      </c>
      <c r="F319" s="6"/>
    </row>
    <row r="320" spans="2:6" ht="31.95" hidden="1" customHeight="1" x14ac:dyDescent="0.3">
      <c r="B320" s="6" t="str">
        <f ca="1">IF(AND(NEGOCIAÇÕES!O320="",NEGOCIAÇÕES!N320&lt;TODAY()),NEGOCIAÇÕES!C320,"")</f>
        <v/>
      </c>
      <c r="C320" s="6" t="str">
        <f ca="1">IF(AND(NEGOCIAÇÕES!O320="",NEGOCIAÇÕES!N320&lt;TODAY()),NEGOCIAÇÕES!E320,"")</f>
        <v/>
      </c>
      <c r="D320" s="6" t="str">
        <f ca="1">IF(AND(NEGOCIAÇÕES!O320="",NEGOCIAÇÕES!N320&lt;TODAY()),NEGOCIAÇÕES!D320,"")</f>
        <v/>
      </c>
      <c r="E320" s="9" t="str">
        <f ca="1">IF(AND(NEGOCIAÇÕES!O320="",NEGOCIAÇÕES!N320&lt;TODAY()),NEGOCIAÇÕES!N320,"")</f>
        <v/>
      </c>
      <c r="F320" s="6"/>
    </row>
    <row r="321" spans="2:6" ht="31.95" hidden="1" customHeight="1" x14ac:dyDescent="0.3">
      <c r="B321" s="6" t="str">
        <f ca="1">IF(AND(NEGOCIAÇÕES!O321="",NEGOCIAÇÕES!N321&lt;TODAY()),NEGOCIAÇÕES!C321,"")</f>
        <v/>
      </c>
      <c r="C321" s="6" t="str">
        <f ca="1">IF(AND(NEGOCIAÇÕES!O321="",NEGOCIAÇÕES!N321&lt;TODAY()),NEGOCIAÇÕES!E321,"")</f>
        <v/>
      </c>
      <c r="D321" s="6" t="str">
        <f ca="1">IF(AND(NEGOCIAÇÕES!O321="",NEGOCIAÇÕES!N321&lt;TODAY()),NEGOCIAÇÕES!D321,"")</f>
        <v/>
      </c>
      <c r="E321" s="9" t="str">
        <f ca="1">IF(AND(NEGOCIAÇÕES!O321="",NEGOCIAÇÕES!N321&lt;TODAY()),NEGOCIAÇÕES!N321,"")</f>
        <v/>
      </c>
      <c r="F321" s="6"/>
    </row>
    <row r="322" spans="2:6" ht="31.95" hidden="1" customHeight="1" x14ac:dyDescent="0.3">
      <c r="B322" s="6" t="str">
        <f ca="1">IF(AND(NEGOCIAÇÕES!O322="",NEGOCIAÇÕES!N322&lt;TODAY()),NEGOCIAÇÕES!C322,"")</f>
        <v/>
      </c>
      <c r="C322" s="6" t="str">
        <f ca="1">IF(AND(NEGOCIAÇÕES!O322="",NEGOCIAÇÕES!N322&lt;TODAY()),NEGOCIAÇÕES!E322,"")</f>
        <v/>
      </c>
      <c r="D322" s="6" t="str">
        <f ca="1">IF(AND(NEGOCIAÇÕES!O322="",NEGOCIAÇÕES!N322&lt;TODAY()),NEGOCIAÇÕES!D322,"")</f>
        <v/>
      </c>
      <c r="E322" s="9" t="str">
        <f ca="1">IF(AND(NEGOCIAÇÕES!O322="",NEGOCIAÇÕES!N322&lt;TODAY()),NEGOCIAÇÕES!N322,"")</f>
        <v/>
      </c>
      <c r="F322" s="6"/>
    </row>
    <row r="323" spans="2:6" ht="31.95" hidden="1" customHeight="1" x14ac:dyDescent="0.3">
      <c r="B323" s="6" t="str">
        <f ca="1">IF(AND(NEGOCIAÇÕES!O323="",NEGOCIAÇÕES!N323&lt;TODAY()),NEGOCIAÇÕES!C323,"")</f>
        <v/>
      </c>
      <c r="C323" s="6" t="str">
        <f ca="1">IF(AND(NEGOCIAÇÕES!O323="",NEGOCIAÇÕES!N323&lt;TODAY()),NEGOCIAÇÕES!E323,"")</f>
        <v/>
      </c>
      <c r="D323" s="6" t="str">
        <f ca="1">IF(AND(NEGOCIAÇÕES!O323="",NEGOCIAÇÕES!N323&lt;TODAY()),NEGOCIAÇÕES!D323,"")</f>
        <v/>
      </c>
      <c r="E323" s="9" t="str">
        <f ca="1">IF(AND(NEGOCIAÇÕES!O323="",NEGOCIAÇÕES!N323&lt;TODAY()),NEGOCIAÇÕES!N323,"")</f>
        <v/>
      </c>
      <c r="F323" s="6"/>
    </row>
    <row r="324" spans="2:6" ht="31.95" hidden="1" customHeight="1" x14ac:dyDescent="0.3">
      <c r="B324" s="6" t="str">
        <f ca="1">IF(AND(NEGOCIAÇÕES!O324="",NEGOCIAÇÕES!N324&lt;TODAY()),NEGOCIAÇÕES!C324,"")</f>
        <v/>
      </c>
      <c r="C324" s="6" t="str">
        <f ca="1">IF(AND(NEGOCIAÇÕES!O324="",NEGOCIAÇÕES!N324&lt;TODAY()),NEGOCIAÇÕES!E324,"")</f>
        <v/>
      </c>
      <c r="D324" s="6" t="str">
        <f ca="1">IF(AND(NEGOCIAÇÕES!O324="",NEGOCIAÇÕES!N324&lt;TODAY()),NEGOCIAÇÕES!D324,"")</f>
        <v/>
      </c>
      <c r="E324" s="9" t="str">
        <f ca="1">IF(AND(NEGOCIAÇÕES!O324="",NEGOCIAÇÕES!N324&lt;TODAY()),NEGOCIAÇÕES!N324,"")</f>
        <v/>
      </c>
      <c r="F324" s="6"/>
    </row>
    <row r="325" spans="2:6" ht="31.95" hidden="1" customHeight="1" x14ac:dyDescent="0.3">
      <c r="B325" s="6" t="str">
        <f ca="1">IF(AND(NEGOCIAÇÕES!O325="",NEGOCIAÇÕES!N325&lt;TODAY()),NEGOCIAÇÕES!C325,"")</f>
        <v/>
      </c>
      <c r="C325" s="6" t="str">
        <f ca="1">IF(AND(NEGOCIAÇÕES!O325="",NEGOCIAÇÕES!N325&lt;TODAY()),NEGOCIAÇÕES!E325,"")</f>
        <v/>
      </c>
      <c r="D325" s="6" t="str">
        <f ca="1">IF(AND(NEGOCIAÇÕES!O325="",NEGOCIAÇÕES!N325&lt;TODAY()),NEGOCIAÇÕES!D325,"")</f>
        <v/>
      </c>
      <c r="E325" s="9" t="str">
        <f ca="1">IF(AND(NEGOCIAÇÕES!O325="",NEGOCIAÇÕES!N325&lt;TODAY()),NEGOCIAÇÕES!N325,"")</f>
        <v/>
      </c>
      <c r="F325" s="6"/>
    </row>
    <row r="326" spans="2:6" ht="31.95" hidden="1" customHeight="1" x14ac:dyDescent="0.3">
      <c r="B326" s="6" t="str">
        <f ca="1">IF(AND(NEGOCIAÇÕES!O326="",NEGOCIAÇÕES!N326&lt;TODAY()),NEGOCIAÇÕES!C326,"")</f>
        <v/>
      </c>
      <c r="C326" s="6" t="str">
        <f ca="1">IF(AND(NEGOCIAÇÕES!O326="",NEGOCIAÇÕES!N326&lt;TODAY()),NEGOCIAÇÕES!E326,"")</f>
        <v/>
      </c>
      <c r="D326" s="6" t="str">
        <f ca="1">IF(AND(NEGOCIAÇÕES!O326="",NEGOCIAÇÕES!N326&lt;TODAY()),NEGOCIAÇÕES!D326,"")</f>
        <v/>
      </c>
      <c r="E326" s="9" t="str">
        <f ca="1">IF(AND(NEGOCIAÇÕES!O326="",NEGOCIAÇÕES!N326&lt;TODAY()),NEGOCIAÇÕES!N326,"")</f>
        <v/>
      </c>
      <c r="F326" s="6"/>
    </row>
    <row r="327" spans="2:6" ht="31.95" hidden="1" customHeight="1" x14ac:dyDescent="0.3">
      <c r="B327" s="6" t="str">
        <f ca="1">IF(AND(NEGOCIAÇÕES!O327="",NEGOCIAÇÕES!N327&lt;TODAY()),NEGOCIAÇÕES!C327,"")</f>
        <v/>
      </c>
      <c r="C327" s="6" t="str">
        <f ca="1">IF(AND(NEGOCIAÇÕES!O327="",NEGOCIAÇÕES!N327&lt;TODAY()),NEGOCIAÇÕES!E327,"")</f>
        <v/>
      </c>
      <c r="D327" s="6" t="str">
        <f ca="1">IF(AND(NEGOCIAÇÕES!O327="",NEGOCIAÇÕES!N327&lt;TODAY()),NEGOCIAÇÕES!D327,"")</f>
        <v/>
      </c>
      <c r="E327" s="9" t="str">
        <f ca="1">IF(AND(NEGOCIAÇÕES!O327="",NEGOCIAÇÕES!N327&lt;TODAY()),NEGOCIAÇÕES!N327,"")</f>
        <v/>
      </c>
      <c r="F327" s="6"/>
    </row>
    <row r="328" spans="2:6" ht="31.95" hidden="1" customHeight="1" x14ac:dyDescent="0.3">
      <c r="B328" s="6" t="str">
        <f ca="1">IF(AND(NEGOCIAÇÕES!O328="",NEGOCIAÇÕES!N328&lt;TODAY()),NEGOCIAÇÕES!C328,"")</f>
        <v/>
      </c>
      <c r="C328" s="6" t="str">
        <f ca="1">IF(AND(NEGOCIAÇÕES!O328="",NEGOCIAÇÕES!N328&lt;TODAY()),NEGOCIAÇÕES!E328,"")</f>
        <v/>
      </c>
      <c r="D328" s="6" t="str">
        <f ca="1">IF(AND(NEGOCIAÇÕES!O328="",NEGOCIAÇÕES!N328&lt;TODAY()),NEGOCIAÇÕES!D328,"")</f>
        <v/>
      </c>
      <c r="E328" s="9" t="str">
        <f ca="1">IF(AND(NEGOCIAÇÕES!O328="",NEGOCIAÇÕES!N328&lt;TODAY()),NEGOCIAÇÕES!N328,"")</f>
        <v/>
      </c>
      <c r="F328" s="6"/>
    </row>
    <row r="329" spans="2:6" ht="31.95" hidden="1" customHeight="1" x14ac:dyDescent="0.3">
      <c r="B329" s="6" t="str">
        <f ca="1">IF(AND(NEGOCIAÇÕES!O329="",NEGOCIAÇÕES!N329&lt;TODAY()),NEGOCIAÇÕES!C329,"")</f>
        <v/>
      </c>
      <c r="C329" s="6" t="str">
        <f ca="1">IF(AND(NEGOCIAÇÕES!O329="",NEGOCIAÇÕES!N329&lt;TODAY()),NEGOCIAÇÕES!E329,"")</f>
        <v/>
      </c>
      <c r="D329" s="6" t="str">
        <f ca="1">IF(AND(NEGOCIAÇÕES!O329="",NEGOCIAÇÕES!N329&lt;TODAY()),NEGOCIAÇÕES!D329,"")</f>
        <v/>
      </c>
      <c r="E329" s="9" t="str">
        <f ca="1">IF(AND(NEGOCIAÇÕES!O329="",NEGOCIAÇÕES!N329&lt;TODAY()),NEGOCIAÇÕES!N329,"")</f>
        <v/>
      </c>
      <c r="F329" s="6"/>
    </row>
    <row r="330" spans="2:6" ht="31.95" hidden="1" customHeight="1" x14ac:dyDescent="0.3">
      <c r="B330" s="6" t="str">
        <f ca="1">IF(AND(NEGOCIAÇÕES!O330="",NEGOCIAÇÕES!N330&lt;TODAY()),NEGOCIAÇÕES!C330,"")</f>
        <v/>
      </c>
      <c r="C330" s="6" t="str">
        <f ca="1">IF(AND(NEGOCIAÇÕES!O330="",NEGOCIAÇÕES!N330&lt;TODAY()),NEGOCIAÇÕES!E330,"")</f>
        <v/>
      </c>
      <c r="D330" s="6" t="str">
        <f ca="1">IF(AND(NEGOCIAÇÕES!O330="",NEGOCIAÇÕES!N330&lt;TODAY()),NEGOCIAÇÕES!D330,"")</f>
        <v/>
      </c>
      <c r="E330" s="9" t="str">
        <f ca="1">IF(AND(NEGOCIAÇÕES!O330="",NEGOCIAÇÕES!N330&lt;TODAY()),NEGOCIAÇÕES!N330,"")</f>
        <v/>
      </c>
      <c r="F330" s="6"/>
    </row>
    <row r="331" spans="2:6" ht="31.95" hidden="1" customHeight="1" x14ac:dyDescent="0.3">
      <c r="B331" s="6" t="str">
        <f ca="1">IF(AND(NEGOCIAÇÕES!O331="",NEGOCIAÇÕES!N331&lt;TODAY()),NEGOCIAÇÕES!C331,"")</f>
        <v/>
      </c>
      <c r="C331" s="6" t="str">
        <f ca="1">IF(AND(NEGOCIAÇÕES!O331="",NEGOCIAÇÕES!N331&lt;TODAY()),NEGOCIAÇÕES!E331,"")</f>
        <v/>
      </c>
      <c r="D331" s="6" t="str">
        <f ca="1">IF(AND(NEGOCIAÇÕES!O331="",NEGOCIAÇÕES!N331&lt;TODAY()),NEGOCIAÇÕES!D331,"")</f>
        <v/>
      </c>
      <c r="E331" s="9" t="str">
        <f ca="1">IF(AND(NEGOCIAÇÕES!O331="",NEGOCIAÇÕES!N331&lt;TODAY()),NEGOCIAÇÕES!N331,"")</f>
        <v/>
      </c>
      <c r="F331" s="6"/>
    </row>
    <row r="332" spans="2:6" ht="31.95" hidden="1" customHeight="1" x14ac:dyDescent="0.3">
      <c r="B332" s="6" t="str">
        <f ca="1">IF(AND(NEGOCIAÇÕES!O332="",NEGOCIAÇÕES!N332&lt;TODAY()),NEGOCIAÇÕES!C332,"")</f>
        <v/>
      </c>
      <c r="C332" s="6" t="str">
        <f ca="1">IF(AND(NEGOCIAÇÕES!O332="",NEGOCIAÇÕES!N332&lt;TODAY()),NEGOCIAÇÕES!E332,"")</f>
        <v/>
      </c>
      <c r="D332" s="6" t="str">
        <f ca="1">IF(AND(NEGOCIAÇÕES!O332="",NEGOCIAÇÕES!N332&lt;TODAY()),NEGOCIAÇÕES!D332,"")</f>
        <v/>
      </c>
      <c r="E332" s="9" t="str">
        <f ca="1">IF(AND(NEGOCIAÇÕES!O332="",NEGOCIAÇÕES!N332&lt;TODAY()),NEGOCIAÇÕES!N332,"")</f>
        <v/>
      </c>
      <c r="F332" s="6"/>
    </row>
    <row r="333" spans="2:6" ht="31.95" hidden="1" customHeight="1" x14ac:dyDescent="0.3">
      <c r="B333" s="6" t="str">
        <f ca="1">IF(AND(NEGOCIAÇÕES!O333="",NEGOCIAÇÕES!N333&lt;TODAY()),NEGOCIAÇÕES!C333,"")</f>
        <v/>
      </c>
      <c r="C333" s="6" t="str">
        <f ca="1">IF(AND(NEGOCIAÇÕES!O333="",NEGOCIAÇÕES!N333&lt;TODAY()),NEGOCIAÇÕES!E333,"")</f>
        <v/>
      </c>
      <c r="D333" s="6" t="str">
        <f ca="1">IF(AND(NEGOCIAÇÕES!O333="",NEGOCIAÇÕES!N333&lt;TODAY()),NEGOCIAÇÕES!D333,"")</f>
        <v/>
      </c>
      <c r="E333" s="9" t="str">
        <f ca="1">IF(AND(NEGOCIAÇÕES!O333="",NEGOCIAÇÕES!N333&lt;TODAY()),NEGOCIAÇÕES!N333,"")</f>
        <v/>
      </c>
      <c r="F333" s="6"/>
    </row>
    <row r="334" spans="2:6" ht="31.95" hidden="1" customHeight="1" x14ac:dyDescent="0.3">
      <c r="B334" s="6" t="str">
        <f ca="1">IF(AND(NEGOCIAÇÕES!O334="",NEGOCIAÇÕES!N334&lt;TODAY()),NEGOCIAÇÕES!C334,"")</f>
        <v/>
      </c>
      <c r="C334" s="6" t="str">
        <f ca="1">IF(AND(NEGOCIAÇÕES!O334="",NEGOCIAÇÕES!N334&lt;TODAY()),NEGOCIAÇÕES!E334,"")</f>
        <v/>
      </c>
      <c r="D334" s="6" t="str">
        <f ca="1">IF(AND(NEGOCIAÇÕES!O334="",NEGOCIAÇÕES!N334&lt;TODAY()),NEGOCIAÇÕES!D334,"")</f>
        <v/>
      </c>
      <c r="E334" s="9" t="str">
        <f ca="1">IF(AND(NEGOCIAÇÕES!O334="",NEGOCIAÇÕES!N334&lt;TODAY()),NEGOCIAÇÕES!N334,"")</f>
        <v/>
      </c>
      <c r="F334" s="6"/>
    </row>
    <row r="335" spans="2:6" ht="31.95" hidden="1" customHeight="1" x14ac:dyDescent="0.3">
      <c r="B335" s="6" t="str">
        <f ca="1">IF(AND(NEGOCIAÇÕES!O335="",NEGOCIAÇÕES!N335&lt;TODAY()),NEGOCIAÇÕES!C335,"")</f>
        <v/>
      </c>
      <c r="C335" s="6" t="str">
        <f ca="1">IF(AND(NEGOCIAÇÕES!O335="",NEGOCIAÇÕES!N335&lt;TODAY()),NEGOCIAÇÕES!E335,"")</f>
        <v/>
      </c>
      <c r="D335" s="6" t="str">
        <f ca="1">IF(AND(NEGOCIAÇÕES!O335="",NEGOCIAÇÕES!N335&lt;TODAY()),NEGOCIAÇÕES!D335,"")</f>
        <v/>
      </c>
      <c r="E335" s="9" t="str">
        <f ca="1">IF(AND(NEGOCIAÇÕES!O335="",NEGOCIAÇÕES!N335&lt;TODAY()),NEGOCIAÇÕES!N335,"")</f>
        <v/>
      </c>
      <c r="F335" s="6"/>
    </row>
    <row r="336" spans="2:6" ht="31.95" hidden="1" customHeight="1" x14ac:dyDescent="0.3">
      <c r="B336" s="6" t="str">
        <f ca="1">IF(AND(NEGOCIAÇÕES!O336="",NEGOCIAÇÕES!N336&lt;TODAY()),NEGOCIAÇÕES!C336,"")</f>
        <v/>
      </c>
      <c r="C336" s="6" t="str">
        <f ca="1">IF(AND(NEGOCIAÇÕES!O336="",NEGOCIAÇÕES!N336&lt;TODAY()),NEGOCIAÇÕES!E336,"")</f>
        <v/>
      </c>
      <c r="D336" s="6" t="str">
        <f ca="1">IF(AND(NEGOCIAÇÕES!O336="",NEGOCIAÇÕES!N336&lt;TODAY()),NEGOCIAÇÕES!D336,"")</f>
        <v/>
      </c>
      <c r="E336" s="9" t="str">
        <f ca="1">IF(AND(NEGOCIAÇÕES!O336="",NEGOCIAÇÕES!N336&lt;TODAY()),NEGOCIAÇÕES!N336,"")</f>
        <v/>
      </c>
      <c r="F336" s="6"/>
    </row>
    <row r="337" spans="2:6" ht="31.95" hidden="1" customHeight="1" x14ac:dyDescent="0.3">
      <c r="B337" s="6" t="str">
        <f ca="1">IF(AND(NEGOCIAÇÕES!O337="",NEGOCIAÇÕES!N337&lt;TODAY()),NEGOCIAÇÕES!C337,"")</f>
        <v/>
      </c>
      <c r="C337" s="6" t="str">
        <f ca="1">IF(AND(NEGOCIAÇÕES!O337="",NEGOCIAÇÕES!N337&lt;TODAY()),NEGOCIAÇÕES!E337,"")</f>
        <v/>
      </c>
      <c r="D337" s="6" t="str">
        <f ca="1">IF(AND(NEGOCIAÇÕES!O337="",NEGOCIAÇÕES!N337&lt;TODAY()),NEGOCIAÇÕES!D337,"")</f>
        <v/>
      </c>
      <c r="E337" s="9" t="str">
        <f ca="1">IF(AND(NEGOCIAÇÕES!O337="",NEGOCIAÇÕES!N337&lt;TODAY()),NEGOCIAÇÕES!N337,"")</f>
        <v/>
      </c>
      <c r="F337" s="6"/>
    </row>
    <row r="338" spans="2:6" ht="31.95" hidden="1" customHeight="1" x14ac:dyDescent="0.3">
      <c r="B338" s="6" t="str">
        <f ca="1">IF(AND(NEGOCIAÇÕES!O338="",NEGOCIAÇÕES!N338&lt;TODAY()),NEGOCIAÇÕES!C338,"")</f>
        <v/>
      </c>
      <c r="C338" s="6" t="str">
        <f ca="1">IF(AND(NEGOCIAÇÕES!O338="",NEGOCIAÇÕES!N338&lt;TODAY()),NEGOCIAÇÕES!E338,"")</f>
        <v/>
      </c>
      <c r="D338" s="6" t="str">
        <f ca="1">IF(AND(NEGOCIAÇÕES!O338="",NEGOCIAÇÕES!N338&lt;TODAY()),NEGOCIAÇÕES!D338,"")</f>
        <v/>
      </c>
      <c r="E338" s="9" t="str">
        <f ca="1">IF(AND(NEGOCIAÇÕES!O338="",NEGOCIAÇÕES!N338&lt;TODAY()),NEGOCIAÇÕES!N338,"")</f>
        <v/>
      </c>
      <c r="F338" s="6"/>
    </row>
    <row r="339" spans="2:6" ht="31.95" hidden="1" customHeight="1" x14ac:dyDescent="0.3">
      <c r="B339" s="6" t="str">
        <f ca="1">IF(AND(NEGOCIAÇÕES!O339="",NEGOCIAÇÕES!N339&lt;TODAY()),NEGOCIAÇÕES!C339,"")</f>
        <v/>
      </c>
      <c r="C339" s="6" t="str">
        <f ca="1">IF(AND(NEGOCIAÇÕES!O339="",NEGOCIAÇÕES!N339&lt;TODAY()),NEGOCIAÇÕES!E339,"")</f>
        <v/>
      </c>
      <c r="D339" s="6" t="str">
        <f ca="1">IF(AND(NEGOCIAÇÕES!O339="",NEGOCIAÇÕES!N339&lt;TODAY()),NEGOCIAÇÕES!D339,"")</f>
        <v/>
      </c>
      <c r="E339" s="9" t="str">
        <f ca="1">IF(AND(NEGOCIAÇÕES!O339="",NEGOCIAÇÕES!N339&lt;TODAY()),NEGOCIAÇÕES!N339,"")</f>
        <v/>
      </c>
      <c r="F339" s="6"/>
    </row>
    <row r="340" spans="2:6" ht="31.95" hidden="1" customHeight="1" x14ac:dyDescent="0.3">
      <c r="B340" s="6" t="str">
        <f ca="1">IF(AND(NEGOCIAÇÕES!O340="",NEGOCIAÇÕES!N340&lt;TODAY()),NEGOCIAÇÕES!C340,"")</f>
        <v/>
      </c>
      <c r="C340" s="6" t="str">
        <f ca="1">IF(AND(NEGOCIAÇÕES!O340="",NEGOCIAÇÕES!N340&lt;TODAY()),NEGOCIAÇÕES!E340,"")</f>
        <v/>
      </c>
      <c r="D340" s="6" t="str">
        <f ca="1">IF(AND(NEGOCIAÇÕES!O340="",NEGOCIAÇÕES!N340&lt;TODAY()),NEGOCIAÇÕES!D340,"")</f>
        <v/>
      </c>
      <c r="E340" s="9" t="str">
        <f ca="1">IF(AND(NEGOCIAÇÕES!O340="",NEGOCIAÇÕES!N340&lt;TODAY()),NEGOCIAÇÕES!N340,"")</f>
        <v/>
      </c>
      <c r="F340" s="6"/>
    </row>
    <row r="341" spans="2:6" ht="31.95" hidden="1" customHeight="1" x14ac:dyDescent="0.3">
      <c r="B341" s="6" t="str">
        <f ca="1">IF(AND(NEGOCIAÇÕES!O341="",NEGOCIAÇÕES!N341&lt;TODAY()),NEGOCIAÇÕES!C341,"")</f>
        <v/>
      </c>
      <c r="C341" s="6" t="str">
        <f ca="1">IF(AND(NEGOCIAÇÕES!O341="",NEGOCIAÇÕES!N341&lt;TODAY()),NEGOCIAÇÕES!E341,"")</f>
        <v/>
      </c>
      <c r="D341" s="6" t="str">
        <f ca="1">IF(AND(NEGOCIAÇÕES!O341="",NEGOCIAÇÕES!N341&lt;TODAY()),NEGOCIAÇÕES!D341,"")</f>
        <v/>
      </c>
      <c r="E341" s="9" t="str">
        <f ca="1">IF(AND(NEGOCIAÇÕES!O341="",NEGOCIAÇÕES!N341&lt;TODAY()),NEGOCIAÇÕES!N341,"")</f>
        <v/>
      </c>
      <c r="F341" s="6"/>
    </row>
    <row r="342" spans="2:6" ht="31.95" hidden="1" customHeight="1" x14ac:dyDescent="0.3">
      <c r="B342" s="6" t="str">
        <f ca="1">IF(AND(NEGOCIAÇÕES!O342="",NEGOCIAÇÕES!N342&lt;TODAY()),NEGOCIAÇÕES!C342,"")</f>
        <v/>
      </c>
      <c r="C342" s="6" t="str">
        <f ca="1">IF(AND(NEGOCIAÇÕES!O342="",NEGOCIAÇÕES!N342&lt;TODAY()),NEGOCIAÇÕES!E342,"")</f>
        <v/>
      </c>
      <c r="D342" s="6" t="str">
        <f ca="1">IF(AND(NEGOCIAÇÕES!O342="",NEGOCIAÇÕES!N342&lt;TODAY()),NEGOCIAÇÕES!D342,"")</f>
        <v/>
      </c>
      <c r="E342" s="9" t="str">
        <f ca="1">IF(AND(NEGOCIAÇÕES!O342="",NEGOCIAÇÕES!N342&lt;TODAY()),NEGOCIAÇÕES!N342,"")</f>
        <v/>
      </c>
      <c r="F342" s="6"/>
    </row>
    <row r="343" spans="2:6" ht="31.95" hidden="1" customHeight="1" x14ac:dyDescent="0.3">
      <c r="B343" s="6" t="str">
        <f ca="1">IF(AND(NEGOCIAÇÕES!O343="",NEGOCIAÇÕES!N343&lt;TODAY()),NEGOCIAÇÕES!C343,"")</f>
        <v/>
      </c>
      <c r="C343" s="6" t="str">
        <f ca="1">IF(AND(NEGOCIAÇÕES!O343="",NEGOCIAÇÕES!N343&lt;TODAY()),NEGOCIAÇÕES!E343,"")</f>
        <v/>
      </c>
      <c r="D343" s="6" t="str">
        <f ca="1">IF(AND(NEGOCIAÇÕES!O343="",NEGOCIAÇÕES!N343&lt;TODAY()),NEGOCIAÇÕES!D343,"")</f>
        <v/>
      </c>
      <c r="E343" s="9" t="str">
        <f ca="1">IF(AND(NEGOCIAÇÕES!O343="",NEGOCIAÇÕES!N343&lt;TODAY()),NEGOCIAÇÕES!N343,"")</f>
        <v/>
      </c>
      <c r="F343" s="6"/>
    </row>
    <row r="344" spans="2:6" ht="31.95" hidden="1" customHeight="1" x14ac:dyDescent="0.3">
      <c r="B344" s="6" t="str">
        <f ca="1">IF(AND(NEGOCIAÇÕES!O344="",NEGOCIAÇÕES!N344&lt;TODAY()),NEGOCIAÇÕES!C344,"")</f>
        <v/>
      </c>
      <c r="C344" s="6" t="str">
        <f ca="1">IF(AND(NEGOCIAÇÕES!O344="",NEGOCIAÇÕES!N344&lt;TODAY()),NEGOCIAÇÕES!E344,"")</f>
        <v/>
      </c>
      <c r="D344" s="6" t="str">
        <f ca="1">IF(AND(NEGOCIAÇÕES!O344="",NEGOCIAÇÕES!N344&lt;TODAY()),NEGOCIAÇÕES!D344,"")</f>
        <v/>
      </c>
      <c r="E344" s="9" t="str">
        <f ca="1">IF(AND(NEGOCIAÇÕES!O344="",NEGOCIAÇÕES!N344&lt;TODAY()),NEGOCIAÇÕES!N344,"")</f>
        <v/>
      </c>
      <c r="F344" s="6"/>
    </row>
    <row r="345" spans="2:6" ht="31.95" hidden="1" customHeight="1" x14ac:dyDescent="0.3">
      <c r="B345" s="6" t="str">
        <f ca="1">IF(AND(NEGOCIAÇÕES!O345="",NEGOCIAÇÕES!N345&lt;TODAY()),NEGOCIAÇÕES!C345,"")</f>
        <v/>
      </c>
      <c r="C345" s="6" t="str">
        <f ca="1">IF(AND(NEGOCIAÇÕES!O345="",NEGOCIAÇÕES!N345&lt;TODAY()),NEGOCIAÇÕES!E345,"")</f>
        <v/>
      </c>
      <c r="D345" s="6" t="str">
        <f ca="1">IF(AND(NEGOCIAÇÕES!O345="",NEGOCIAÇÕES!N345&lt;TODAY()),NEGOCIAÇÕES!D345,"")</f>
        <v/>
      </c>
      <c r="E345" s="9" t="str">
        <f ca="1">IF(AND(NEGOCIAÇÕES!O345="",NEGOCIAÇÕES!N345&lt;TODAY()),NEGOCIAÇÕES!N345,"")</f>
        <v/>
      </c>
      <c r="F345" s="6"/>
    </row>
    <row r="346" spans="2:6" ht="31.95" hidden="1" customHeight="1" x14ac:dyDescent="0.3">
      <c r="B346" s="6" t="str">
        <f ca="1">IF(AND(NEGOCIAÇÕES!O346="",NEGOCIAÇÕES!N346&lt;TODAY()),NEGOCIAÇÕES!C346,"")</f>
        <v/>
      </c>
      <c r="C346" s="6" t="str">
        <f ca="1">IF(AND(NEGOCIAÇÕES!O346="",NEGOCIAÇÕES!N346&lt;TODAY()),NEGOCIAÇÕES!E346,"")</f>
        <v/>
      </c>
      <c r="D346" s="6" t="str">
        <f ca="1">IF(AND(NEGOCIAÇÕES!O346="",NEGOCIAÇÕES!N346&lt;TODAY()),NEGOCIAÇÕES!D346,"")</f>
        <v/>
      </c>
      <c r="E346" s="9" t="str">
        <f ca="1">IF(AND(NEGOCIAÇÕES!O346="",NEGOCIAÇÕES!N346&lt;TODAY()),NEGOCIAÇÕES!N346,"")</f>
        <v/>
      </c>
      <c r="F346" s="6"/>
    </row>
    <row r="347" spans="2:6" ht="31.95" hidden="1" customHeight="1" x14ac:dyDescent="0.3">
      <c r="B347" s="6" t="str">
        <f ca="1">IF(AND(NEGOCIAÇÕES!O347="",NEGOCIAÇÕES!N347&lt;TODAY()),NEGOCIAÇÕES!C347,"")</f>
        <v/>
      </c>
      <c r="C347" s="6" t="str">
        <f ca="1">IF(AND(NEGOCIAÇÕES!O347="",NEGOCIAÇÕES!N347&lt;TODAY()),NEGOCIAÇÕES!E347,"")</f>
        <v/>
      </c>
      <c r="D347" s="6" t="str">
        <f ca="1">IF(AND(NEGOCIAÇÕES!O347="",NEGOCIAÇÕES!N347&lt;TODAY()),NEGOCIAÇÕES!D347,"")</f>
        <v/>
      </c>
      <c r="E347" s="9" t="str">
        <f ca="1">IF(AND(NEGOCIAÇÕES!O347="",NEGOCIAÇÕES!N347&lt;TODAY()),NEGOCIAÇÕES!N347,"")</f>
        <v/>
      </c>
      <c r="F347" s="6"/>
    </row>
    <row r="348" spans="2:6" ht="31.95" hidden="1" customHeight="1" x14ac:dyDescent="0.3">
      <c r="B348" s="6" t="str">
        <f ca="1">IF(AND(NEGOCIAÇÕES!O348="",NEGOCIAÇÕES!N348&lt;TODAY()),NEGOCIAÇÕES!C348,"")</f>
        <v/>
      </c>
      <c r="C348" s="6" t="str">
        <f ca="1">IF(AND(NEGOCIAÇÕES!O348="",NEGOCIAÇÕES!N348&lt;TODAY()),NEGOCIAÇÕES!E348,"")</f>
        <v/>
      </c>
      <c r="D348" s="6" t="str">
        <f ca="1">IF(AND(NEGOCIAÇÕES!O348="",NEGOCIAÇÕES!N348&lt;TODAY()),NEGOCIAÇÕES!D348,"")</f>
        <v/>
      </c>
      <c r="E348" s="9" t="str">
        <f ca="1">IF(AND(NEGOCIAÇÕES!O348="",NEGOCIAÇÕES!N348&lt;TODAY()),NEGOCIAÇÕES!N348,"")</f>
        <v/>
      </c>
      <c r="F348" s="6"/>
    </row>
    <row r="349" spans="2:6" ht="31.95" hidden="1" customHeight="1" x14ac:dyDescent="0.3">
      <c r="B349" s="6" t="str">
        <f ca="1">IF(AND(NEGOCIAÇÕES!O349="",NEGOCIAÇÕES!N349&lt;TODAY()),NEGOCIAÇÕES!C349,"")</f>
        <v/>
      </c>
      <c r="C349" s="6" t="str">
        <f ca="1">IF(AND(NEGOCIAÇÕES!O349="",NEGOCIAÇÕES!N349&lt;TODAY()),NEGOCIAÇÕES!E349,"")</f>
        <v/>
      </c>
      <c r="D349" s="6" t="str">
        <f ca="1">IF(AND(NEGOCIAÇÕES!O349="",NEGOCIAÇÕES!N349&lt;TODAY()),NEGOCIAÇÕES!D349,"")</f>
        <v/>
      </c>
      <c r="E349" s="9" t="str">
        <f ca="1">IF(AND(NEGOCIAÇÕES!O349="",NEGOCIAÇÕES!N349&lt;TODAY()),NEGOCIAÇÕES!N349,"")</f>
        <v/>
      </c>
      <c r="F349" s="6"/>
    </row>
    <row r="350" spans="2:6" ht="31.95" hidden="1" customHeight="1" x14ac:dyDescent="0.3">
      <c r="B350" s="6" t="str">
        <f ca="1">IF(AND(NEGOCIAÇÕES!O350="",NEGOCIAÇÕES!N350&lt;TODAY()),NEGOCIAÇÕES!C350,"")</f>
        <v/>
      </c>
      <c r="C350" s="6" t="str">
        <f ca="1">IF(AND(NEGOCIAÇÕES!O350="",NEGOCIAÇÕES!N350&lt;TODAY()),NEGOCIAÇÕES!E350,"")</f>
        <v/>
      </c>
      <c r="D350" s="6" t="str">
        <f ca="1">IF(AND(NEGOCIAÇÕES!O350="",NEGOCIAÇÕES!N350&lt;TODAY()),NEGOCIAÇÕES!D350,"")</f>
        <v/>
      </c>
      <c r="E350" s="9" t="str">
        <f ca="1">IF(AND(NEGOCIAÇÕES!O350="",NEGOCIAÇÕES!N350&lt;TODAY()),NEGOCIAÇÕES!N350,"")</f>
        <v/>
      </c>
      <c r="F350" s="6"/>
    </row>
    <row r="351" spans="2:6" ht="31.95" hidden="1" customHeight="1" x14ac:dyDescent="0.3">
      <c r="B351" s="6" t="str">
        <f ca="1">IF(AND(NEGOCIAÇÕES!O351="",NEGOCIAÇÕES!N351&lt;TODAY()),NEGOCIAÇÕES!C351,"")</f>
        <v/>
      </c>
      <c r="C351" s="6" t="str">
        <f ca="1">IF(AND(NEGOCIAÇÕES!O351="",NEGOCIAÇÕES!N351&lt;TODAY()),NEGOCIAÇÕES!E351,"")</f>
        <v/>
      </c>
      <c r="D351" s="6" t="str">
        <f ca="1">IF(AND(NEGOCIAÇÕES!O351="",NEGOCIAÇÕES!N351&lt;TODAY()),NEGOCIAÇÕES!D351,"")</f>
        <v/>
      </c>
      <c r="E351" s="9" t="str">
        <f ca="1">IF(AND(NEGOCIAÇÕES!O351="",NEGOCIAÇÕES!N351&lt;TODAY()),NEGOCIAÇÕES!N351,"")</f>
        <v/>
      </c>
      <c r="F351" s="6"/>
    </row>
    <row r="352" spans="2:6" ht="31.95" hidden="1" customHeight="1" x14ac:dyDescent="0.3">
      <c r="B352" s="6" t="str">
        <f ca="1">IF(AND(NEGOCIAÇÕES!O352="",NEGOCIAÇÕES!N352&lt;TODAY()),NEGOCIAÇÕES!C352,"")</f>
        <v/>
      </c>
      <c r="C352" s="6" t="str">
        <f ca="1">IF(AND(NEGOCIAÇÕES!O352="",NEGOCIAÇÕES!N352&lt;TODAY()),NEGOCIAÇÕES!E352,"")</f>
        <v/>
      </c>
      <c r="D352" s="6" t="str">
        <f ca="1">IF(AND(NEGOCIAÇÕES!O352="",NEGOCIAÇÕES!N352&lt;TODAY()),NEGOCIAÇÕES!D352,"")</f>
        <v/>
      </c>
      <c r="E352" s="9" t="str">
        <f ca="1">IF(AND(NEGOCIAÇÕES!O352="",NEGOCIAÇÕES!N352&lt;TODAY()),NEGOCIAÇÕES!N352,"")</f>
        <v/>
      </c>
      <c r="F352" s="6"/>
    </row>
    <row r="353" spans="2:6" ht="31.95" hidden="1" customHeight="1" x14ac:dyDescent="0.3">
      <c r="B353" s="6" t="str">
        <f ca="1">IF(AND(NEGOCIAÇÕES!O353="",NEGOCIAÇÕES!N353&lt;TODAY()),NEGOCIAÇÕES!C353,"")</f>
        <v/>
      </c>
      <c r="C353" s="6" t="str">
        <f ca="1">IF(AND(NEGOCIAÇÕES!O353="",NEGOCIAÇÕES!N353&lt;TODAY()),NEGOCIAÇÕES!E353,"")</f>
        <v/>
      </c>
      <c r="D353" s="6" t="str">
        <f ca="1">IF(AND(NEGOCIAÇÕES!O353="",NEGOCIAÇÕES!N353&lt;TODAY()),NEGOCIAÇÕES!D353,"")</f>
        <v/>
      </c>
      <c r="E353" s="9" t="str">
        <f ca="1">IF(AND(NEGOCIAÇÕES!O353="",NEGOCIAÇÕES!N353&lt;TODAY()),NEGOCIAÇÕES!N353,"")</f>
        <v/>
      </c>
      <c r="F353" s="6"/>
    </row>
    <row r="354" spans="2:6" ht="31.95" hidden="1" customHeight="1" x14ac:dyDescent="0.3">
      <c r="B354" s="6" t="str">
        <f ca="1">IF(AND(NEGOCIAÇÕES!O354="",NEGOCIAÇÕES!N354&lt;TODAY()),NEGOCIAÇÕES!C354,"")</f>
        <v/>
      </c>
      <c r="C354" s="6" t="str">
        <f ca="1">IF(AND(NEGOCIAÇÕES!O354="",NEGOCIAÇÕES!N354&lt;TODAY()),NEGOCIAÇÕES!E354,"")</f>
        <v/>
      </c>
      <c r="D354" s="6" t="str">
        <f ca="1">IF(AND(NEGOCIAÇÕES!O354="",NEGOCIAÇÕES!N354&lt;TODAY()),NEGOCIAÇÕES!D354,"")</f>
        <v/>
      </c>
      <c r="E354" s="9" t="str">
        <f ca="1">IF(AND(NEGOCIAÇÕES!O354="",NEGOCIAÇÕES!N354&lt;TODAY()),NEGOCIAÇÕES!N354,"")</f>
        <v/>
      </c>
      <c r="F354" s="6"/>
    </row>
    <row r="355" spans="2:6" ht="31.95" hidden="1" customHeight="1" x14ac:dyDescent="0.3">
      <c r="B355" s="6" t="str">
        <f ca="1">IF(AND(NEGOCIAÇÕES!O355="",NEGOCIAÇÕES!N355&lt;TODAY()),NEGOCIAÇÕES!C355,"")</f>
        <v/>
      </c>
      <c r="C355" s="6" t="str">
        <f ca="1">IF(AND(NEGOCIAÇÕES!O355="",NEGOCIAÇÕES!N355&lt;TODAY()),NEGOCIAÇÕES!E355,"")</f>
        <v/>
      </c>
      <c r="D355" s="6" t="str">
        <f ca="1">IF(AND(NEGOCIAÇÕES!O355="",NEGOCIAÇÕES!N355&lt;TODAY()),NEGOCIAÇÕES!D355,"")</f>
        <v/>
      </c>
      <c r="E355" s="9" t="str">
        <f ca="1">IF(AND(NEGOCIAÇÕES!O355="",NEGOCIAÇÕES!N355&lt;TODAY()),NEGOCIAÇÕES!N355,"")</f>
        <v/>
      </c>
      <c r="F355" s="6"/>
    </row>
    <row r="356" spans="2:6" ht="31.95" hidden="1" customHeight="1" x14ac:dyDescent="0.3">
      <c r="B356" s="6" t="str">
        <f ca="1">IF(AND(NEGOCIAÇÕES!O356="",NEGOCIAÇÕES!N356&lt;TODAY()),NEGOCIAÇÕES!C356,"")</f>
        <v/>
      </c>
      <c r="C356" s="6" t="str">
        <f ca="1">IF(AND(NEGOCIAÇÕES!O356="",NEGOCIAÇÕES!N356&lt;TODAY()),NEGOCIAÇÕES!E356,"")</f>
        <v/>
      </c>
      <c r="D356" s="6" t="str">
        <f ca="1">IF(AND(NEGOCIAÇÕES!O356="",NEGOCIAÇÕES!N356&lt;TODAY()),NEGOCIAÇÕES!D356,"")</f>
        <v/>
      </c>
      <c r="E356" s="9" t="str">
        <f ca="1">IF(AND(NEGOCIAÇÕES!O356="",NEGOCIAÇÕES!N356&lt;TODAY()),NEGOCIAÇÕES!N356,"")</f>
        <v/>
      </c>
      <c r="F356" s="6"/>
    </row>
    <row r="357" spans="2:6" ht="31.95" hidden="1" customHeight="1" x14ac:dyDescent="0.3">
      <c r="B357" s="6" t="str">
        <f ca="1">IF(AND(NEGOCIAÇÕES!O357="",NEGOCIAÇÕES!N357&lt;TODAY()),NEGOCIAÇÕES!C357,"")</f>
        <v/>
      </c>
      <c r="C357" s="6" t="str">
        <f ca="1">IF(AND(NEGOCIAÇÕES!O357="",NEGOCIAÇÕES!N357&lt;TODAY()),NEGOCIAÇÕES!E357,"")</f>
        <v/>
      </c>
      <c r="D357" s="6" t="str">
        <f ca="1">IF(AND(NEGOCIAÇÕES!O357="",NEGOCIAÇÕES!N357&lt;TODAY()),NEGOCIAÇÕES!D357,"")</f>
        <v/>
      </c>
      <c r="E357" s="9" t="str">
        <f ca="1">IF(AND(NEGOCIAÇÕES!O357="",NEGOCIAÇÕES!N357&lt;TODAY()),NEGOCIAÇÕES!N357,"")</f>
        <v/>
      </c>
      <c r="F357" s="6"/>
    </row>
    <row r="358" spans="2:6" ht="31.95" hidden="1" customHeight="1" x14ac:dyDescent="0.3">
      <c r="B358" s="6" t="str">
        <f ca="1">IF(AND(NEGOCIAÇÕES!O358="",NEGOCIAÇÕES!N358&lt;TODAY()),NEGOCIAÇÕES!C358,"")</f>
        <v/>
      </c>
      <c r="C358" s="6" t="str">
        <f ca="1">IF(AND(NEGOCIAÇÕES!O358="",NEGOCIAÇÕES!N358&lt;TODAY()),NEGOCIAÇÕES!E358,"")</f>
        <v/>
      </c>
      <c r="D358" s="6" t="str">
        <f ca="1">IF(AND(NEGOCIAÇÕES!O358="",NEGOCIAÇÕES!N358&lt;TODAY()),NEGOCIAÇÕES!D358,"")</f>
        <v/>
      </c>
      <c r="E358" s="9" t="str">
        <f ca="1">IF(AND(NEGOCIAÇÕES!O358="",NEGOCIAÇÕES!N358&lt;TODAY()),NEGOCIAÇÕES!N358,"")</f>
        <v/>
      </c>
      <c r="F358" s="6"/>
    </row>
    <row r="359" spans="2:6" ht="31.95" hidden="1" customHeight="1" x14ac:dyDescent="0.3">
      <c r="B359" s="6" t="str">
        <f ca="1">IF(AND(NEGOCIAÇÕES!O359="",NEGOCIAÇÕES!N359&lt;TODAY()),NEGOCIAÇÕES!C359,"")</f>
        <v/>
      </c>
      <c r="C359" s="6" t="str">
        <f ca="1">IF(AND(NEGOCIAÇÕES!O359="",NEGOCIAÇÕES!N359&lt;TODAY()),NEGOCIAÇÕES!E359,"")</f>
        <v/>
      </c>
      <c r="D359" s="6" t="str">
        <f ca="1">IF(AND(NEGOCIAÇÕES!O359="",NEGOCIAÇÕES!N359&lt;TODAY()),NEGOCIAÇÕES!D359,"")</f>
        <v/>
      </c>
      <c r="E359" s="9" t="str">
        <f ca="1">IF(AND(NEGOCIAÇÕES!O359="",NEGOCIAÇÕES!N359&lt;TODAY()),NEGOCIAÇÕES!N359,"")</f>
        <v/>
      </c>
      <c r="F359" s="6"/>
    </row>
    <row r="360" spans="2:6" ht="31.95" hidden="1" customHeight="1" x14ac:dyDescent="0.3">
      <c r="B360" s="6" t="str">
        <f ca="1">IF(AND(NEGOCIAÇÕES!O360="",NEGOCIAÇÕES!N360&lt;TODAY()),NEGOCIAÇÕES!C360,"")</f>
        <v/>
      </c>
      <c r="C360" s="6" t="str">
        <f ca="1">IF(AND(NEGOCIAÇÕES!O360="",NEGOCIAÇÕES!N360&lt;TODAY()),NEGOCIAÇÕES!E360,"")</f>
        <v/>
      </c>
      <c r="D360" s="6" t="str">
        <f ca="1">IF(AND(NEGOCIAÇÕES!O360="",NEGOCIAÇÕES!N360&lt;TODAY()),NEGOCIAÇÕES!D360,"")</f>
        <v/>
      </c>
      <c r="E360" s="9" t="str">
        <f ca="1">IF(AND(NEGOCIAÇÕES!O360="",NEGOCIAÇÕES!N360&lt;TODAY()),NEGOCIAÇÕES!N360,"")</f>
        <v/>
      </c>
      <c r="F360" s="6"/>
    </row>
    <row r="361" spans="2:6" ht="31.95" hidden="1" customHeight="1" x14ac:dyDescent="0.3">
      <c r="B361" s="6" t="str">
        <f ca="1">IF(AND(NEGOCIAÇÕES!O361="",NEGOCIAÇÕES!N361&lt;TODAY()),NEGOCIAÇÕES!C361,"")</f>
        <v/>
      </c>
      <c r="C361" s="6" t="str">
        <f ca="1">IF(AND(NEGOCIAÇÕES!O361="",NEGOCIAÇÕES!N361&lt;TODAY()),NEGOCIAÇÕES!E361,"")</f>
        <v/>
      </c>
      <c r="D361" s="6" t="str">
        <f ca="1">IF(AND(NEGOCIAÇÕES!O361="",NEGOCIAÇÕES!N361&lt;TODAY()),NEGOCIAÇÕES!D361,"")</f>
        <v/>
      </c>
      <c r="E361" s="9" t="str">
        <f ca="1">IF(AND(NEGOCIAÇÕES!O361="",NEGOCIAÇÕES!N361&lt;TODAY()),NEGOCIAÇÕES!N361,"")</f>
        <v/>
      </c>
      <c r="F361" s="6"/>
    </row>
    <row r="362" spans="2:6" ht="31.95" hidden="1" customHeight="1" x14ac:dyDescent="0.3">
      <c r="B362" s="6" t="str">
        <f ca="1">IF(AND(NEGOCIAÇÕES!O362="",NEGOCIAÇÕES!N362&lt;TODAY()),NEGOCIAÇÕES!C362,"")</f>
        <v/>
      </c>
      <c r="C362" s="6" t="str">
        <f ca="1">IF(AND(NEGOCIAÇÕES!O362="",NEGOCIAÇÕES!N362&lt;TODAY()),NEGOCIAÇÕES!E362,"")</f>
        <v/>
      </c>
      <c r="D362" s="6" t="str">
        <f ca="1">IF(AND(NEGOCIAÇÕES!O362="",NEGOCIAÇÕES!N362&lt;TODAY()),NEGOCIAÇÕES!D362,"")</f>
        <v/>
      </c>
      <c r="E362" s="9" t="str">
        <f ca="1">IF(AND(NEGOCIAÇÕES!O362="",NEGOCIAÇÕES!N362&lt;TODAY()),NEGOCIAÇÕES!N362,"")</f>
        <v/>
      </c>
      <c r="F362" s="6"/>
    </row>
    <row r="363" spans="2:6" ht="31.95" hidden="1" customHeight="1" x14ac:dyDescent="0.3">
      <c r="B363" s="6" t="str">
        <f ca="1">IF(AND(NEGOCIAÇÕES!O363="",NEGOCIAÇÕES!N363&lt;TODAY()),NEGOCIAÇÕES!C363,"")</f>
        <v/>
      </c>
      <c r="C363" s="6" t="str">
        <f ca="1">IF(AND(NEGOCIAÇÕES!O363="",NEGOCIAÇÕES!N363&lt;TODAY()),NEGOCIAÇÕES!E363,"")</f>
        <v/>
      </c>
      <c r="D363" s="6" t="str">
        <f ca="1">IF(AND(NEGOCIAÇÕES!O363="",NEGOCIAÇÕES!N363&lt;TODAY()),NEGOCIAÇÕES!D363,"")</f>
        <v/>
      </c>
      <c r="E363" s="9" t="str">
        <f ca="1">IF(AND(NEGOCIAÇÕES!O363="",NEGOCIAÇÕES!N363&lt;TODAY()),NEGOCIAÇÕES!N363,"")</f>
        <v/>
      </c>
      <c r="F363" s="6"/>
    </row>
    <row r="364" spans="2:6" ht="31.95" hidden="1" customHeight="1" x14ac:dyDescent="0.3">
      <c r="B364" s="6" t="str">
        <f ca="1">IF(AND(NEGOCIAÇÕES!O364="",NEGOCIAÇÕES!N364&lt;TODAY()),NEGOCIAÇÕES!C364,"")</f>
        <v/>
      </c>
      <c r="C364" s="6" t="str">
        <f ca="1">IF(AND(NEGOCIAÇÕES!O364="",NEGOCIAÇÕES!N364&lt;TODAY()),NEGOCIAÇÕES!E364,"")</f>
        <v/>
      </c>
      <c r="D364" s="6" t="str">
        <f ca="1">IF(AND(NEGOCIAÇÕES!O364="",NEGOCIAÇÕES!N364&lt;TODAY()),NEGOCIAÇÕES!D364,"")</f>
        <v/>
      </c>
      <c r="E364" s="9" t="str">
        <f ca="1">IF(AND(NEGOCIAÇÕES!O364="",NEGOCIAÇÕES!N364&lt;TODAY()),NEGOCIAÇÕES!N364,"")</f>
        <v/>
      </c>
      <c r="F364" s="6"/>
    </row>
    <row r="365" spans="2:6" ht="31.95" hidden="1" customHeight="1" x14ac:dyDescent="0.3">
      <c r="B365" s="6" t="str">
        <f ca="1">IF(AND(NEGOCIAÇÕES!O365="",NEGOCIAÇÕES!N365&lt;TODAY()),NEGOCIAÇÕES!C365,"")</f>
        <v/>
      </c>
      <c r="C365" s="6" t="str">
        <f ca="1">IF(AND(NEGOCIAÇÕES!O365="",NEGOCIAÇÕES!N365&lt;TODAY()),NEGOCIAÇÕES!E365,"")</f>
        <v/>
      </c>
      <c r="D365" s="6" t="str">
        <f ca="1">IF(AND(NEGOCIAÇÕES!O365="",NEGOCIAÇÕES!N365&lt;TODAY()),NEGOCIAÇÕES!D365,"")</f>
        <v/>
      </c>
      <c r="E365" s="9" t="str">
        <f ca="1">IF(AND(NEGOCIAÇÕES!O365="",NEGOCIAÇÕES!N365&lt;TODAY()),NEGOCIAÇÕES!N365,"")</f>
        <v/>
      </c>
      <c r="F365" s="6"/>
    </row>
    <row r="366" spans="2:6" ht="31.95" hidden="1" customHeight="1" x14ac:dyDescent="0.3">
      <c r="B366" s="6" t="str">
        <f ca="1">IF(AND(NEGOCIAÇÕES!O366="",NEGOCIAÇÕES!N366&lt;TODAY()),NEGOCIAÇÕES!C366,"")</f>
        <v/>
      </c>
      <c r="C366" s="6" t="str">
        <f ca="1">IF(AND(NEGOCIAÇÕES!O366="",NEGOCIAÇÕES!N366&lt;TODAY()),NEGOCIAÇÕES!E366,"")</f>
        <v/>
      </c>
      <c r="D366" s="6" t="str">
        <f ca="1">IF(AND(NEGOCIAÇÕES!O366="",NEGOCIAÇÕES!N366&lt;TODAY()),NEGOCIAÇÕES!D366,"")</f>
        <v/>
      </c>
      <c r="E366" s="9" t="str">
        <f ca="1">IF(AND(NEGOCIAÇÕES!O366="",NEGOCIAÇÕES!N366&lt;TODAY()),NEGOCIAÇÕES!N366,"")</f>
        <v/>
      </c>
      <c r="F366" s="6"/>
    </row>
    <row r="367" spans="2:6" ht="31.95" hidden="1" customHeight="1" x14ac:dyDescent="0.3">
      <c r="B367" s="6" t="str">
        <f ca="1">IF(AND(NEGOCIAÇÕES!O367="",NEGOCIAÇÕES!N367&lt;TODAY()),NEGOCIAÇÕES!C367,"")</f>
        <v/>
      </c>
      <c r="C367" s="6" t="str">
        <f ca="1">IF(AND(NEGOCIAÇÕES!O367="",NEGOCIAÇÕES!N367&lt;TODAY()),NEGOCIAÇÕES!E367,"")</f>
        <v/>
      </c>
      <c r="D367" s="6" t="str">
        <f ca="1">IF(AND(NEGOCIAÇÕES!O367="",NEGOCIAÇÕES!N367&lt;TODAY()),NEGOCIAÇÕES!D367,"")</f>
        <v/>
      </c>
      <c r="E367" s="9" t="str">
        <f ca="1">IF(AND(NEGOCIAÇÕES!O367="",NEGOCIAÇÕES!N367&lt;TODAY()),NEGOCIAÇÕES!N367,"")</f>
        <v/>
      </c>
      <c r="F367" s="6"/>
    </row>
    <row r="368" spans="2:6" ht="31.95" hidden="1" customHeight="1" x14ac:dyDescent="0.3">
      <c r="B368" s="6" t="str">
        <f ca="1">IF(AND(NEGOCIAÇÕES!O368="",NEGOCIAÇÕES!N368&lt;TODAY()),NEGOCIAÇÕES!C368,"")</f>
        <v/>
      </c>
      <c r="C368" s="6" t="str">
        <f ca="1">IF(AND(NEGOCIAÇÕES!O368="",NEGOCIAÇÕES!N368&lt;TODAY()),NEGOCIAÇÕES!E368,"")</f>
        <v/>
      </c>
      <c r="D368" s="6" t="str">
        <f ca="1">IF(AND(NEGOCIAÇÕES!O368="",NEGOCIAÇÕES!N368&lt;TODAY()),NEGOCIAÇÕES!D368,"")</f>
        <v/>
      </c>
      <c r="E368" s="9" t="str">
        <f ca="1">IF(AND(NEGOCIAÇÕES!O368="",NEGOCIAÇÕES!N368&lt;TODAY()),NEGOCIAÇÕES!N368,"")</f>
        <v/>
      </c>
      <c r="F368" s="6"/>
    </row>
    <row r="369" spans="2:6" ht="31.95" hidden="1" customHeight="1" x14ac:dyDescent="0.3">
      <c r="B369" s="6" t="str">
        <f ca="1">IF(AND(NEGOCIAÇÕES!O369="",NEGOCIAÇÕES!N369&lt;TODAY()),NEGOCIAÇÕES!C369,"")</f>
        <v/>
      </c>
      <c r="C369" s="6" t="str">
        <f ca="1">IF(AND(NEGOCIAÇÕES!O369="",NEGOCIAÇÕES!N369&lt;TODAY()),NEGOCIAÇÕES!E369,"")</f>
        <v/>
      </c>
      <c r="D369" s="6" t="str">
        <f ca="1">IF(AND(NEGOCIAÇÕES!O369="",NEGOCIAÇÕES!N369&lt;TODAY()),NEGOCIAÇÕES!D369,"")</f>
        <v/>
      </c>
      <c r="E369" s="9" t="str">
        <f ca="1">IF(AND(NEGOCIAÇÕES!O369="",NEGOCIAÇÕES!N369&lt;TODAY()),NEGOCIAÇÕES!N369,"")</f>
        <v/>
      </c>
      <c r="F369" s="6"/>
    </row>
    <row r="370" spans="2:6" ht="31.95" hidden="1" customHeight="1" x14ac:dyDescent="0.3">
      <c r="B370" s="6" t="str">
        <f ca="1">IF(AND(NEGOCIAÇÕES!O370="",NEGOCIAÇÕES!N370&lt;TODAY()),NEGOCIAÇÕES!C370,"")</f>
        <v/>
      </c>
      <c r="C370" s="6" t="str">
        <f ca="1">IF(AND(NEGOCIAÇÕES!O370="",NEGOCIAÇÕES!N370&lt;TODAY()),NEGOCIAÇÕES!E370,"")</f>
        <v/>
      </c>
      <c r="D370" s="6" t="str">
        <f ca="1">IF(AND(NEGOCIAÇÕES!O370="",NEGOCIAÇÕES!N370&lt;TODAY()),NEGOCIAÇÕES!D370,"")</f>
        <v/>
      </c>
      <c r="E370" s="9" t="str">
        <f ca="1">IF(AND(NEGOCIAÇÕES!O370="",NEGOCIAÇÕES!N370&lt;TODAY()),NEGOCIAÇÕES!N370,"")</f>
        <v/>
      </c>
      <c r="F370" s="6"/>
    </row>
    <row r="371" spans="2:6" ht="31.95" hidden="1" customHeight="1" x14ac:dyDescent="0.3">
      <c r="B371" s="6" t="str">
        <f ca="1">IF(AND(NEGOCIAÇÕES!O371="",NEGOCIAÇÕES!N371&lt;TODAY()),NEGOCIAÇÕES!C371,"")</f>
        <v/>
      </c>
      <c r="C371" s="6" t="str">
        <f ca="1">IF(AND(NEGOCIAÇÕES!O371="",NEGOCIAÇÕES!N371&lt;TODAY()),NEGOCIAÇÕES!E371,"")</f>
        <v/>
      </c>
      <c r="D371" s="6" t="str">
        <f ca="1">IF(AND(NEGOCIAÇÕES!O371="",NEGOCIAÇÕES!N371&lt;TODAY()),NEGOCIAÇÕES!D371,"")</f>
        <v/>
      </c>
      <c r="E371" s="9" t="str">
        <f ca="1">IF(AND(NEGOCIAÇÕES!O371="",NEGOCIAÇÕES!N371&lt;TODAY()),NEGOCIAÇÕES!N371,"")</f>
        <v/>
      </c>
      <c r="F371" s="6"/>
    </row>
    <row r="372" spans="2:6" ht="31.95" hidden="1" customHeight="1" x14ac:dyDescent="0.3">
      <c r="B372" s="6" t="str">
        <f ca="1">IF(AND(NEGOCIAÇÕES!O372="",NEGOCIAÇÕES!N372&lt;TODAY()),NEGOCIAÇÕES!C372,"")</f>
        <v/>
      </c>
      <c r="C372" s="6" t="str">
        <f ca="1">IF(AND(NEGOCIAÇÕES!O372="",NEGOCIAÇÕES!N372&lt;TODAY()),NEGOCIAÇÕES!E372,"")</f>
        <v/>
      </c>
      <c r="D372" s="6" t="str">
        <f ca="1">IF(AND(NEGOCIAÇÕES!O372="",NEGOCIAÇÕES!N372&lt;TODAY()),NEGOCIAÇÕES!D372,"")</f>
        <v/>
      </c>
      <c r="E372" s="9" t="str">
        <f ca="1">IF(AND(NEGOCIAÇÕES!O372="",NEGOCIAÇÕES!N372&lt;TODAY()),NEGOCIAÇÕES!N372,"")</f>
        <v/>
      </c>
      <c r="F372" s="6"/>
    </row>
    <row r="373" spans="2:6" ht="31.95" hidden="1" customHeight="1" x14ac:dyDescent="0.3">
      <c r="B373" s="6" t="str">
        <f ca="1">IF(AND(NEGOCIAÇÕES!O373="",NEGOCIAÇÕES!N373&lt;TODAY()),NEGOCIAÇÕES!C373,"")</f>
        <v/>
      </c>
      <c r="C373" s="6" t="str">
        <f ca="1">IF(AND(NEGOCIAÇÕES!O373="",NEGOCIAÇÕES!N373&lt;TODAY()),NEGOCIAÇÕES!E373,"")</f>
        <v/>
      </c>
      <c r="D373" s="6" t="str">
        <f ca="1">IF(AND(NEGOCIAÇÕES!O373="",NEGOCIAÇÕES!N373&lt;TODAY()),NEGOCIAÇÕES!D373,"")</f>
        <v/>
      </c>
      <c r="E373" s="9" t="str">
        <f ca="1">IF(AND(NEGOCIAÇÕES!O373="",NEGOCIAÇÕES!N373&lt;TODAY()),NEGOCIAÇÕES!N373,"")</f>
        <v/>
      </c>
      <c r="F373" s="6"/>
    </row>
    <row r="374" spans="2:6" ht="31.95" hidden="1" customHeight="1" x14ac:dyDescent="0.3">
      <c r="B374" s="6" t="str">
        <f ca="1">IF(AND(NEGOCIAÇÕES!O374="",NEGOCIAÇÕES!N374&lt;TODAY()),NEGOCIAÇÕES!C374,"")</f>
        <v/>
      </c>
      <c r="C374" s="6" t="str">
        <f ca="1">IF(AND(NEGOCIAÇÕES!O374="",NEGOCIAÇÕES!N374&lt;TODAY()),NEGOCIAÇÕES!E374,"")</f>
        <v/>
      </c>
      <c r="D374" s="6" t="str">
        <f ca="1">IF(AND(NEGOCIAÇÕES!O374="",NEGOCIAÇÕES!N374&lt;TODAY()),NEGOCIAÇÕES!D374,"")</f>
        <v/>
      </c>
      <c r="E374" s="9" t="str">
        <f ca="1">IF(AND(NEGOCIAÇÕES!O374="",NEGOCIAÇÕES!N374&lt;TODAY()),NEGOCIAÇÕES!N374,"")</f>
        <v/>
      </c>
      <c r="F374" s="6"/>
    </row>
    <row r="375" spans="2:6" ht="31.95" hidden="1" customHeight="1" x14ac:dyDescent="0.3">
      <c r="B375" s="6" t="str">
        <f ca="1">IF(AND(NEGOCIAÇÕES!O375="",NEGOCIAÇÕES!N375&lt;TODAY()),NEGOCIAÇÕES!C375,"")</f>
        <v/>
      </c>
      <c r="C375" s="6" t="str">
        <f ca="1">IF(AND(NEGOCIAÇÕES!O375="",NEGOCIAÇÕES!N375&lt;TODAY()),NEGOCIAÇÕES!E375,"")</f>
        <v/>
      </c>
      <c r="D375" s="6" t="str">
        <f ca="1">IF(AND(NEGOCIAÇÕES!O375="",NEGOCIAÇÕES!N375&lt;TODAY()),NEGOCIAÇÕES!D375,"")</f>
        <v/>
      </c>
      <c r="E375" s="9" t="str">
        <f ca="1">IF(AND(NEGOCIAÇÕES!O375="",NEGOCIAÇÕES!N375&lt;TODAY()),NEGOCIAÇÕES!N375,"")</f>
        <v/>
      </c>
      <c r="F375" s="6"/>
    </row>
    <row r="376" spans="2:6" ht="31.95" hidden="1" customHeight="1" x14ac:dyDescent="0.3">
      <c r="B376" s="6" t="str">
        <f ca="1">IF(AND(NEGOCIAÇÕES!O376="",NEGOCIAÇÕES!N376&lt;TODAY()),NEGOCIAÇÕES!C376,"")</f>
        <v/>
      </c>
      <c r="C376" s="6" t="str">
        <f ca="1">IF(AND(NEGOCIAÇÕES!O376="",NEGOCIAÇÕES!N376&lt;TODAY()),NEGOCIAÇÕES!E376,"")</f>
        <v/>
      </c>
      <c r="D376" s="6" t="str">
        <f ca="1">IF(AND(NEGOCIAÇÕES!O376="",NEGOCIAÇÕES!N376&lt;TODAY()),NEGOCIAÇÕES!D376,"")</f>
        <v/>
      </c>
      <c r="E376" s="9" t="str">
        <f ca="1">IF(AND(NEGOCIAÇÕES!O376="",NEGOCIAÇÕES!N376&lt;TODAY()),NEGOCIAÇÕES!N376,"")</f>
        <v/>
      </c>
      <c r="F376" s="6"/>
    </row>
    <row r="377" spans="2:6" ht="31.95" hidden="1" customHeight="1" x14ac:dyDescent="0.3">
      <c r="B377" s="6" t="str">
        <f ca="1">IF(AND(NEGOCIAÇÕES!O377="",NEGOCIAÇÕES!N377&lt;TODAY()),NEGOCIAÇÕES!C377,"")</f>
        <v/>
      </c>
      <c r="C377" s="6" t="str">
        <f ca="1">IF(AND(NEGOCIAÇÕES!O377="",NEGOCIAÇÕES!N377&lt;TODAY()),NEGOCIAÇÕES!E377,"")</f>
        <v/>
      </c>
      <c r="D377" s="6" t="str">
        <f ca="1">IF(AND(NEGOCIAÇÕES!O377="",NEGOCIAÇÕES!N377&lt;TODAY()),NEGOCIAÇÕES!D377,"")</f>
        <v/>
      </c>
      <c r="E377" s="9" t="str">
        <f ca="1">IF(AND(NEGOCIAÇÕES!O377="",NEGOCIAÇÕES!N377&lt;TODAY()),NEGOCIAÇÕES!N377,"")</f>
        <v/>
      </c>
      <c r="F377" s="6"/>
    </row>
    <row r="378" spans="2:6" ht="31.95" hidden="1" customHeight="1" x14ac:dyDescent="0.3">
      <c r="B378" s="6" t="str">
        <f ca="1">IF(AND(NEGOCIAÇÕES!O378="",NEGOCIAÇÕES!N378&lt;TODAY()),NEGOCIAÇÕES!C378,"")</f>
        <v/>
      </c>
      <c r="C378" s="6" t="str">
        <f ca="1">IF(AND(NEGOCIAÇÕES!O378="",NEGOCIAÇÕES!N378&lt;TODAY()),NEGOCIAÇÕES!E378,"")</f>
        <v/>
      </c>
      <c r="D378" s="6" t="str">
        <f ca="1">IF(AND(NEGOCIAÇÕES!O378="",NEGOCIAÇÕES!N378&lt;TODAY()),NEGOCIAÇÕES!D378,"")</f>
        <v/>
      </c>
      <c r="E378" s="9" t="str">
        <f ca="1">IF(AND(NEGOCIAÇÕES!O378="",NEGOCIAÇÕES!N378&lt;TODAY()),NEGOCIAÇÕES!N378,"")</f>
        <v/>
      </c>
      <c r="F378" s="6"/>
    </row>
    <row r="379" spans="2:6" ht="31.95" hidden="1" customHeight="1" x14ac:dyDescent="0.3">
      <c r="B379" s="6" t="str">
        <f ca="1">IF(AND(NEGOCIAÇÕES!O379="",NEGOCIAÇÕES!N379&lt;TODAY()),NEGOCIAÇÕES!C379,"")</f>
        <v/>
      </c>
      <c r="C379" s="6" t="str">
        <f ca="1">IF(AND(NEGOCIAÇÕES!O379="",NEGOCIAÇÕES!N379&lt;TODAY()),NEGOCIAÇÕES!E379,"")</f>
        <v/>
      </c>
      <c r="D379" s="6" t="str">
        <f ca="1">IF(AND(NEGOCIAÇÕES!O379="",NEGOCIAÇÕES!N379&lt;TODAY()),NEGOCIAÇÕES!D379,"")</f>
        <v/>
      </c>
      <c r="E379" s="9" t="str">
        <f ca="1">IF(AND(NEGOCIAÇÕES!O379="",NEGOCIAÇÕES!N379&lt;TODAY()),NEGOCIAÇÕES!N379,"")</f>
        <v/>
      </c>
      <c r="F379" s="6"/>
    </row>
    <row r="380" spans="2:6" ht="31.95" hidden="1" customHeight="1" x14ac:dyDescent="0.3">
      <c r="B380" s="6" t="str">
        <f ca="1">IF(AND(NEGOCIAÇÕES!O380="",NEGOCIAÇÕES!N380&lt;TODAY()),NEGOCIAÇÕES!C380,"")</f>
        <v/>
      </c>
      <c r="C380" s="6" t="str">
        <f ca="1">IF(AND(NEGOCIAÇÕES!O380="",NEGOCIAÇÕES!N380&lt;TODAY()),NEGOCIAÇÕES!E380,"")</f>
        <v/>
      </c>
      <c r="D380" s="6" t="str">
        <f ca="1">IF(AND(NEGOCIAÇÕES!O380="",NEGOCIAÇÕES!N380&lt;TODAY()),NEGOCIAÇÕES!D380,"")</f>
        <v/>
      </c>
      <c r="E380" s="9" t="str">
        <f ca="1">IF(AND(NEGOCIAÇÕES!O380="",NEGOCIAÇÕES!N380&lt;TODAY()),NEGOCIAÇÕES!N380,"")</f>
        <v/>
      </c>
      <c r="F380" s="6"/>
    </row>
    <row r="381" spans="2:6" ht="31.95" hidden="1" customHeight="1" x14ac:dyDescent="0.3">
      <c r="B381" s="6" t="str">
        <f ca="1">IF(AND(NEGOCIAÇÕES!O381="",NEGOCIAÇÕES!N381&lt;TODAY()),NEGOCIAÇÕES!C381,"")</f>
        <v/>
      </c>
      <c r="C381" s="6" t="str">
        <f ca="1">IF(AND(NEGOCIAÇÕES!O381="",NEGOCIAÇÕES!N381&lt;TODAY()),NEGOCIAÇÕES!E381,"")</f>
        <v/>
      </c>
      <c r="D381" s="6" t="str">
        <f ca="1">IF(AND(NEGOCIAÇÕES!O381="",NEGOCIAÇÕES!N381&lt;TODAY()),NEGOCIAÇÕES!D381,"")</f>
        <v/>
      </c>
      <c r="E381" s="9" t="str">
        <f ca="1">IF(AND(NEGOCIAÇÕES!O381="",NEGOCIAÇÕES!N381&lt;TODAY()),NEGOCIAÇÕES!N381,"")</f>
        <v/>
      </c>
      <c r="F381" s="6"/>
    </row>
    <row r="382" spans="2:6" ht="31.95" hidden="1" customHeight="1" x14ac:dyDescent="0.3">
      <c r="B382" s="6" t="str">
        <f ca="1">IF(AND(NEGOCIAÇÕES!O382="",NEGOCIAÇÕES!N382&lt;TODAY()),NEGOCIAÇÕES!C382,"")</f>
        <v/>
      </c>
      <c r="C382" s="6" t="str">
        <f ca="1">IF(AND(NEGOCIAÇÕES!O382="",NEGOCIAÇÕES!N382&lt;TODAY()),NEGOCIAÇÕES!E382,"")</f>
        <v/>
      </c>
      <c r="D382" s="6" t="str">
        <f ca="1">IF(AND(NEGOCIAÇÕES!O382="",NEGOCIAÇÕES!N382&lt;TODAY()),NEGOCIAÇÕES!D382,"")</f>
        <v/>
      </c>
      <c r="E382" s="9" t="str">
        <f ca="1">IF(AND(NEGOCIAÇÕES!O382="",NEGOCIAÇÕES!N382&lt;TODAY()),NEGOCIAÇÕES!N382,"")</f>
        <v/>
      </c>
      <c r="F382" s="6"/>
    </row>
    <row r="383" spans="2:6" ht="31.95" hidden="1" customHeight="1" x14ac:dyDescent="0.3">
      <c r="B383" s="6" t="str">
        <f ca="1">IF(AND(NEGOCIAÇÕES!O383="",NEGOCIAÇÕES!N383&lt;TODAY()),NEGOCIAÇÕES!C383,"")</f>
        <v/>
      </c>
      <c r="C383" s="6" t="str">
        <f ca="1">IF(AND(NEGOCIAÇÕES!O383="",NEGOCIAÇÕES!N383&lt;TODAY()),NEGOCIAÇÕES!E383,"")</f>
        <v/>
      </c>
      <c r="D383" s="6" t="str">
        <f ca="1">IF(AND(NEGOCIAÇÕES!O383="",NEGOCIAÇÕES!N383&lt;TODAY()),NEGOCIAÇÕES!D383,"")</f>
        <v/>
      </c>
      <c r="E383" s="9" t="str">
        <f ca="1">IF(AND(NEGOCIAÇÕES!O383="",NEGOCIAÇÕES!N383&lt;TODAY()),NEGOCIAÇÕES!N383,"")</f>
        <v/>
      </c>
      <c r="F383" s="6"/>
    </row>
    <row r="384" spans="2:6" ht="31.95" hidden="1" customHeight="1" x14ac:dyDescent="0.3">
      <c r="B384" s="6" t="str">
        <f ca="1">IF(AND(NEGOCIAÇÕES!O384="",NEGOCIAÇÕES!N384&lt;TODAY()),NEGOCIAÇÕES!C384,"")</f>
        <v/>
      </c>
      <c r="C384" s="6" t="str">
        <f ca="1">IF(AND(NEGOCIAÇÕES!O384="",NEGOCIAÇÕES!N384&lt;TODAY()),NEGOCIAÇÕES!E384,"")</f>
        <v/>
      </c>
      <c r="D384" s="6" t="str">
        <f ca="1">IF(AND(NEGOCIAÇÕES!O384="",NEGOCIAÇÕES!N384&lt;TODAY()),NEGOCIAÇÕES!D384,"")</f>
        <v/>
      </c>
      <c r="E384" s="9" t="str">
        <f ca="1">IF(AND(NEGOCIAÇÕES!O384="",NEGOCIAÇÕES!N384&lt;TODAY()),NEGOCIAÇÕES!N384,"")</f>
        <v/>
      </c>
      <c r="F384" s="6"/>
    </row>
    <row r="385" spans="2:6" ht="31.95" hidden="1" customHeight="1" x14ac:dyDescent="0.3">
      <c r="B385" s="6" t="str">
        <f ca="1">IF(AND(NEGOCIAÇÕES!O385="",NEGOCIAÇÕES!N385&lt;TODAY()),NEGOCIAÇÕES!C385,"")</f>
        <v/>
      </c>
      <c r="C385" s="6" t="str">
        <f ca="1">IF(AND(NEGOCIAÇÕES!O385="",NEGOCIAÇÕES!N385&lt;TODAY()),NEGOCIAÇÕES!E385,"")</f>
        <v/>
      </c>
      <c r="D385" s="6" t="str">
        <f ca="1">IF(AND(NEGOCIAÇÕES!O385="",NEGOCIAÇÕES!N385&lt;TODAY()),NEGOCIAÇÕES!D385,"")</f>
        <v/>
      </c>
      <c r="E385" s="9" t="str">
        <f ca="1">IF(AND(NEGOCIAÇÕES!O385="",NEGOCIAÇÕES!N385&lt;TODAY()),NEGOCIAÇÕES!N385,"")</f>
        <v/>
      </c>
      <c r="F385" s="6"/>
    </row>
    <row r="386" spans="2:6" ht="31.95" hidden="1" customHeight="1" x14ac:dyDescent="0.3">
      <c r="B386" s="6" t="str">
        <f ca="1">IF(AND(NEGOCIAÇÕES!O386="",NEGOCIAÇÕES!N386&lt;TODAY()),NEGOCIAÇÕES!C386,"")</f>
        <v/>
      </c>
      <c r="C386" s="6" t="str">
        <f ca="1">IF(AND(NEGOCIAÇÕES!O386="",NEGOCIAÇÕES!N386&lt;TODAY()),NEGOCIAÇÕES!E386,"")</f>
        <v/>
      </c>
      <c r="D386" s="6" t="str">
        <f ca="1">IF(AND(NEGOCIAÇÕES!O386="",NEGOCIAÇÕES!N386&lt;TODAY()),NEGOCIAÇÕES!D386,"")</f>
        <v/>
      </c>
      <c r="E386" s="9" t="str">
        <f ca="1">IF(AND(NEGOCIAÇÕES!O386="",NEGOCIAÇÕES!N386&lt;TODAY()),NEGOCIAÇÕES!N386,"")</f>
        <v/>
      </c>
      <c r="F386" s="6"/>
    </row>
    <row r="387" spans="2:6" ht="31.95" hidden="1" customHeight="1" x14ac:dyDescent="0.3">
      <c r="B387" s="6" t="str">
        <f ca="1">IF(AND(NEGOCIAÇÕES!O387="",NEGOCIAÇÕES!N387&lt;TODAY()),NEGOCIAÇÕES!C387,"")</f>
        <v/>
      </c>
      <c r="C387" s="6" t="str">
        <f ca="1">IF(AND(NEGOCIAÇÕES!O387="",NEGOCIAÇÕES!N387&lt;TODAY()),NEGOCIAÇÕES!E387,"")</f>
        <v/>
      </c>
      <c r="D387" s="6" t="str">
        <f ca="1">IF(AND(NEGOCIAÇÕES!O387="",NEGOCIAÇÕES!N387&lt;TODAY()),NEGOCIAÇÕES!D387,"")</f>
        <v/>
      </c>
      <c r="E387" s="9" t="str">
        <f ca="1">IF(AND(NEGOCIAÇÕES!O387="",NEGOCIAÇÕES!N387&lt;TODAY()),NEGOCIAÇÕES!N387,"")</f>
        <v/>
      </c>
      <c r="F387" s="6"/>
    </row>
    <row r="388" spans="2:6" ht="31.95" hidden="1" customHeight="1" x14ac:dyDescent="0.3">
      <c r="B388" s="6" t="str">
        <f ca="1">IF(AND(NEGOCIAÇÕES!O388="",NEGOCIAÇÕES!N388&lt;TODAY()),NEGOCIAÇÕES!C388,"")</f>
        <v/>
      </c>
      <c r="C388" s="6" t="str">
        <f ca="1">IF(AND(NEGOCIAÇÕES!O388="",NEGOCIAÇÕES!N388&lt;TODAY()),NEGOCIAÇÕES!E388,"")</f>
        <v/>
      </c>
      <c r="D388" s="6" t="str">
        <f ca="1">IF(AND(NEGOCIAÇÕES!O388="",NEGOCIAÇÕES!N388&lt;TODAY()),NEGOCIAÇÕES!D388,"")</f>
        <v/>
      </c>
      <c r="E388" s="9" t="str">
        <f ca="1">IF(AND(NEGOCIAÇÕES!O388="",NEGOCIAÇÕES!N388&lt;TODAY()),NEGOCIAÇÕES!N388,"")</f>
        <v/>
      </c>
      <c r="F388" s="6"/>
    </row>
    <row r="389" spans="2:6" ht="31.95" hidden="1" customHeight="1" x14ac:dyDescent="0.3">
      <c r="B389" s="6" t="str">
        <f ca="1">IF(AND(NEGOCIAÇÕES!O389="",NEGOCIAÇÕES!N389&lt;TODAY()),NEGOCIAÇÕES!C389,"")</f>
        <v/>
      </c>
      <c r="C389" s="6" t="str">
        <f ca="1">IF(AND(NEGOCIAÇÕES!O389="",NEGOCIAÇÕES!N389&lt;TODAY()),NEGOCIAÇÕES!E389,"")</f>
        <v/>
      </c>
      <c r="D389" s="6" t="str">
        <f ca="1">IF(AND(NEGOCIAÇÕES!O389="",NEGOCIAÇÕES!N389&lt;TODAY()),NEGOCIAÇÕES!D389,"")</f>
        <v/>
      </c>
      <c r="E389" s="9" t="str">
        <f ca="1">IF(AND(NEGOCIAÇÕES!O389="",NEGOCIAÇÕES!N389&lt;TODAY()),NEGOCIAÇÕES!N389,"")</f>
        <v/>
      </c>
      <c r="F389" s="6"/>
    </row>
    <row r="390" spans="2:6" ht="31.95" hidden="1" customHeight="1" x14ac:dyDescent="0.3">
      <c r="B390" s="6" t="str">
        <f ca="1">IF(AND(NEGOCIAÇÕES!O390="",NEGOCIAÇÕES!N390&lt;TODAY()),NEGOCIAÇÕES!C390,"")</f>
        <v/>
      </c>
      <c r="C390" s="6" t="str">
        <f ca="1">IF(AND(NEGOCIAÇÕES!O390="",NEGOCIAÇÕES!N390&lt;TODAY()),NEGOCIAÇÕES!E390,"")</f>
        <v/>
      </c>
      <c r="D390" s="6" t="str">
        <f ca="1">IF(AND(NEGOCIAÇÕES!O390="",NEGOCIAÇÕES!N390&lt;TODAY()),NEGOCIAÇÕES!D390,"")</f>
        <v/>
      </c>
      <c r="E390" s="9" t="str">
        <f ca="1">IF(AND(NEGOCIAÇÕES!O390="",NEGOCIAÇÕES!N390&lt;TODAY()),NEGOCIAÇÕES!N390,"")</f>
        <v/>
      </c>
      <c r="F390" s="6"/>
    </row>
    <row r="391" spans="2:6" ht="31.95" hidden="1" customHeight="1" x14ac:dyDescent="0.3">
      <c r="B391" s="6" t="str">
        <f ca="1">IF(AND(NEGOCIAÇÕES!O391="",NEGOCIAÇÕES!N391&lt;TODAY()),NEGOCIAÇÕES!C391,"")</f>
        <v/>
      </c>
      <c r="C391" s="6" t="str">
        <f ca="1">IF(AND(NEGOCIAÇÕES!O391="",NEGOCIAÇÕES!N391&lt;TODAY()),NEGOCIAÇÕES!E391,"")</f>
        <v/>
      </c>
      <c r="D391" s="6" t="str">
        <f ca="1">IF(AND(NEGOCIAÇÕES!O391="",NEGOCIAÇÕES!N391&lt;TODAY()),NEGOCIAÇÕES!D391,"")</f>
        <v/>
      </c>
      <c r="E391" s="9" t="str">
        <f ca="1">IF(AND(NEGOCIAÇÕES!O391="",NEGOCIAÇÕES!N391&lt;TODAY()),NEGOCIAÇÕES!N391,"")</f>
        <v/>
      </c>
      <c r="F391" s="6"/>
    </row>
    <row r="392" spans="2:6" ht="31.95" hidden="1" customHeight="1" x14ac:dyDescent="0.3">
      <c r="B392" s="6" t="str">
        <f ca="1">IF(AND(NEGOCIAÇÕES!O392="",NEGOCIAÇÕES!N392&lt;TODAY()),NEGOCIAÇÕES!C392,"")</f>
        <v/>
      </c>
      <c r="C392" s="6" t="str">
        <f ca="1">IF(AND(NEGOCIAÇÕES!O392="",NEGOCIAÇÕES!N392&lt;TODAY()),NEGOCIAÇÕES!E392,"")</f>
        <v/>
      </c>
      <c r="D392" s="6" t="str">
        <f ca="1">IF(AND(NEGOCIAÇÕES!O392="",NEGOCIAÇÕES!N392&lt;TODAY()),NEGOCIAÇÕES!D392,"")</f>
        <v/>
      </c>
      <c r="E392" s="9" t="str">
        <f ca="1">IF(AND(NEGOCIAÇÕES!O392="",NEGOCIAÇÕES!N392&lt;TODAY()),NEGOCIAÇÕES!N392,"")</f>
        <v/>
      </c>
      <c r="F392" s="6"/>
    </row>
    <row r="393" spans="2:6" ht="31.95" hidden="1" customHeight="1" x14ac:dyDescent="0.3">
      <c r="B393" s="6" t="str">
        <f ca="1">IF(AND(NEGOCIAÇÕES!O393="",NEGOCIAÇÕES!N393&lt;TODAY()),NEGOCIAÇÕES!C393,"")</f>
        <v/>
      </c>
      <c r="C393" s="6" t="str">
        <f ca="1">IF(AND(NEGOCIAÇÕES!O393="",NEGOCIAÇÕES!N393&lt;TODAY()),NEGOCIAÇÕES!E393,"")</f>
        <v/>
      </c>
      <c r="D393" s="6" t="str">
        <f ca="1">IF(AND(NEGOCIAÇÕES!O393="",NEGOCIAÇÕES!N393&lt;TODAY()),NEGOCIAÇÕES!D393,"")</f>
        <v/>
      </c>
      <c r="E393" s="9" t="str">
        <f ca="1">IF(AND(NEGOCIAÇÕES!O393="",NEGOCIAÇÕES!N393&lt;TODAY()),NEGOCIAÇÕES!N393,"")</f>
        <v/>
      </c>
      <c r="F393" s="6"/>
    </row>
    <row r="394" spans="2:6" ht="31.95" hidden="1" customHeight="1" x14ac:dyDescent="0.3">
      <c r="B394" s="6" t="str">
        <f ca="1">IF(AND(NEGOCIAÇÕES!O394="",NEGOCIAÇÕES!N394&lt;TODAY()),NEGOCIAÇÕES!C394,"")</f>
        <v/>
      </c>
      <c r="C394" s="6" t="str">
        <f ca="1">IF(AND(NEGOCIAÇÕES!O394="",NEGOCIAÇÕES!N394&lt;TODAY()),NEGOCIAÇÕES!E394,"")</f>
        <v/>
      </c>
      <c r="D394" s="6" t="str">
        <f ca="1">IF(AND(NEGOCIAÇÕES!O394="",NEGOCIAÇÕES!N394&lt;TODAY()),NEGOCIAÇÕES!D394,"")</f>
        <v/>
      </c>
      <c r="E394" s="9" t="str">
        <f ca="1">IF(AND(NEGOCIAÇÕES!O394="",NEGOCIAÇÕES!N394&lt;TODAY()),NEGOCIAÇÕES!N394,"")</f>
        <v/>
      </c>
      <c r="F394" s="6"/>
    </row>
    <row r="395" spans="2:6" ht="31.95" hidden="1" customHeight="1" x14ac:dyDescent="0.3">
      <c r="B395" s="6" t="str">
        <f ca="1">IF(AND(NEGOCIAÇÕES!O395="",NEGOCIAÇÕES!N395&lt;TODAY()),NEGOCIAÇÕES!C395,"")</f>
        <v/>
      </c>
      <c r="C395" s="6" t="str">
        <f ca="1">IF(AND(NEGOCIAÇÕES!O395="",NEGOCIAÇÕES!N395&lt;TODAY()),NEGOCIAÇÕES!E395,"")</f>
        <v/>
      </c>
      <c r="D395" s="6" t="str">
        <f ca="1">IF(AND(NEGOCIAÇÕES!O395="",NEGOCIAÇÕES!N395&lt;TODAY()),NEGOCIAÇÕES!D395,"")</f>
        <v/>
      </c>
      <c r="E395" s="9" t="str">
        <f ca="1">IF(AND(NEGOCIAÇÕES!O395="",NEGOCIAÇÕES!N395&lt;TODAY()),NEGOCIAÇÕES!N395,"")</f>
        <v/>
      </c>
      <c r="F395" s="6"/>
    </row>
    <row r="396" spans="2:6" ht="31.95" hidden="1" customHeight="1" x14ac:dyDescent="0.3">
      <c r="B396" s="6" t="str">
        <f ca="1">IF(AND(NEGOCIAÇÕES!O396="",NEGOCIAÇÕES!N396&lt;TODAY()),NEGOCIAÇÕES!C396,"")</f>
        <v/>
      </c>
      <c r="C396" s="6" t="str">
        <f ca="1">IF(AND(NEGOCIAÇÕES!O396="",NEGOCIAÇÕES!N396&lt;TODAY()),NEGOCIAÇÕES!E396,"")</f>
        <v/>
      </c>
      <c r="D396" s="6" t="str">
        <f ca="1">IF(AND(NEGOCIAÇÕES!O396="",NEGOCIAÇÕES!N396&lt;TODAY()),NEGOCIAÇÕES!D396,"")</f>
        <v/>
      </c>
      <c r="E396" s="9" t="str">
        <f ca="1">IF(AND(NEGOCIAÇÕES!O396="",NEGOCIAÇÕES!N396&lt;TODAY()),NEGOCIAÇÕES!N396,"")</f>
        <v/>
      </c>
      <c r="F396" s="6"/>
    </row>
    <row r="397" spans="2:6" ht="31.95" hidden="1" customHeight="1" x14ac:dyDescent="0.3">
      <c r="B397" s="6" t="str">
        <f ca="1">IF(AND(NEGOCIAÇÕES!O397="",NEGOCIAÇÕES!N397&lt;TODAY()),NEGOCIAÇÕES!C397,"")</f>
        <v/>
      </c>
      <c r="C397" s="6" t="str">
        <f ca="1">IF(AND(NEGOCIAÇÕES!O397="",NEGOCIAÇÕES!N397&lt;TODAY()),NEGOCIAÇÕES!E397,"")</f>
        <v/>
      </c>
      <c r="D397" s="6" t="str">
        <f ca="1">IF(AND(NEGOCIAÇÕES!O397="",NEGOCIAÇÕES!N397&lt;TODAY()),NEGOCIAÇÕES!D397,"")</f>
        <v/>
      </c>
      <c r="E397" s="9" t="str">
        <f ca="1">IF(AND(NEGOCIAÇÕES!O397="",NEGOCIAÇÕES!N397&lt;TODAY()),NEGOCIAÇÕES!N397,"")</f>
        <v/>
      </c>
      <c r="F397" s="6"/>
    </row>
    <row r="398" spans="2:6" ht="31.95" hidden="1" customHeight="1" x14ac:dyDescent="0.3">
      <c r="B398" s="6" t="str">
        <f ca="1">IF(AND(NEGOCIAÇÕES!O398="",NEGOCIAÇÕES!N398&lt;TODAY()),NEGOCIAÇÕES!C398,"")</f>
        <v/>
      </c>
      <c r="C398" s="6" t="str">
        <f ca="1">IF(AND(NEGOCIAÇÕES!O398="",NEGOCIAÇÕES!N398&lt;TODAY()),NEGOCIAÇÕES!E398,"")</f>
        <v/>
      </c>
      <c r="D398" s="6" t="str">
        <f ca="1">IF(AND(NEGOCIAÇÕES!O398="",NEGOCIAÇÕES!N398&lt;TODAY()),NEGOCIAÇÕES!D398,"")</f>
        <v/>
      </c>
      <c r="E398" s="9" t="str">
        <f ca="1">IF(AND(NEGOCIAÇÕES!O398="",NEGOCIAÇÕES!N398&lt;TODAY()),NEGOCIAÇÕES!N398,"")</f>
        <v/>
      </c>
      <c r="F398" s="6"/>
    </row>
    <row r="399" spans="2:6" ht="31.95" hidden="1" customHeight="1" x14ac:dyDescent="0.3">
      <c r="B399" s="6" t="str">
        <f ca="1">IF(AND(NEGOCIAÇÕES!O399="",NEGOCIAÇÕES!N399&lt;TODAY()),NEGOCIAÇÕES!C399,"")</f>
        <v/>
      </c>
      <c r="C399" s="6" t="str">
        <f ca="1">IF(AND(NEGOCIAÇÕES!O399="",NEGOCIAÇÕES!N399&lt;TODAY()),NEGOCIAÇÕES!E399,"")</f>
        <v/>
      </c>
      <c r="D399" s="6" t="str">
        <f ca="1">IF(AND(NEGOCIAÇÕES!O399="",NEGOCIAÇÕES!N399&lt;TODAY()),NEGOCIAÇÕES!D399,"")</f>
        <v/>
      </c>
      <c r="E399" s="9" t="str">
        <f ca="1">IF(AND(NEGOCIAÇÕES!O399="",NEGOCIAÇÕES!N399&lt;TODAY()),NEGOCIAÇÕES!N399,"")</f>
        <v/>
      </c>
      <c r="F399" s="6"/>
    </row>
    <row r="400" spans="2:6" ht="31.95" hidden="1" customHeight="1" x14ac:dyDescent="0.3">
      <c r="B400" s="6" t="str">
        <f ca="1">IF(AND(NEGOCIAÇÕES!O400="",NEGOCIAÇÕES!N400&lt;TODAY()),NEGOCIAÇÕES!C400,"")</f>
        <v/>
      </c>
      <c r="C400" s="6" t="str">
        <f ca="1">IF(AND(NEGOCIAÇÕES!O400="",NEGOCIAÇÕES!N400&lt;TODAY()),NEGOCIAÇÕES!E400,"")</f>
        <v/>
      </c>
      <c r="D400" s="6" t="str">
        <f ca="1">IF(AND(NEGOCIAÇÕES!O400="",NEGOCIAÇÕES!N400&lt;TODAY()),NEGOCIAÇÕES!D400,"")</f>
        <v/>
      </c>
      <c r="E400" s="9" t="str">
        <f ca="1">IF(AND(NEGOCIAÇÕES!O400="",NEGOCIAÇÕES!N400&lt;TODAY()),NEGOCIAÇÕES!N400,"")</f>
        <v/>
      </c>
      <c r="F400" s="6"/>
    </row>
    <row r="401" spans="2:6" ht="31.95" hidden="1" customHeight="1" x14ac:dyDescent="0.3">
      <c r="B401" s="6" t="str">
        <f ca="1">IF(AND(NEGOCIAÇÕES!O401="",NEGOCIAÇÕES!N401&lt;TODAY()),NEGOCIAÇÕES!C401,"")</f>
        <v/>
      </c>
      <c r="C401" s="6" t="str">
        <f ca="1">IF(AND(NEGOCIAÇÕES!O401="",NEGOCIAÇÕES!N401&lt;TODAY()),NEGOCIAÇÕES!E401,"")</f>
        <v/>
      </c>
      <c r="D401" s="6" t="str">
        <f ca="1">IF(AND(NEGOCIAÇÕES!O401="",NEGOCIAÇÕES!N401&lt;TODAY()),NEGOCIAÇÕES!D401,"")</f>
        <v/>
      </c>
      <c r="E401" s="9" t="str">
        <f ca="1">IF(AND(NEGOCIAÇÕES!O401="",NEGOCIAÇÕES!N401&lt;TODAY()),NEGOCIAÇÕES!N401,"")</f>
        <v/>
      </c>
      <c r="F401" s="6"/>
    </row>
    <row r="402" spans="2:6" ht="31.95" hidden="1" customHeight="1" x14ac:dyDescent="0.3">
      <c r="B402" s="6" t="str">
        <f ca="1">IF(AND(NEGOCIAÇÕES!O402="",NEGOCIAÇÕES!N402&lt;TODAY()),NEGOCIAÇÕES!C402,"")</f>
        <v/>
      </c>
      <c r="C402" s="6" t="str">
        <f ca="1">IF(AND(NEGOCIAÇÕES!O402="",NEGOCIAÇÕES!N402&lt;TODAY()),NEGOCIAÇÕES!E402,"")</f>
        <v/>
      </c>
      <c r="D402" s="6" t="str">
        <f ca="1">IF(AND(NEGOCIAÇÕES!O402="",NEGOCIAÇÕES!N402&lt;TODAY()),NEGOCIAÇÕES!D402,"")</f>
        <v/>
      </c>
      <c r="E402" s="9" t="str">
        <f ca="1">IF(AND(NEGOCIAÇÕES!O402="",NEGOCIAÇÕES!N402&lt;TODAY()),NEGOCIAÇÕES!N402,"")</f>
        <v/>
      </c>
      <c r="F402" s="6"/>
    </row>
    <row r="403" spans="2:6" ht="31.95" hidden="1" customHeight="1" x14ac:dyDescent="0.3">
      <c r="B403" s="6" t="str">
        <f ca="1">IF(AND(NEGOCIAÇÕES!O403="",NEGOCIAÇÕES!N403&lt;TODAY()),NEGOCIAÇÕES!C403,"")</f>
        <v/>
      </c>
      <c r="C403" s="6" t="str">
        <f ca="1">IF(AND(NEGOCIAÇÕES!O403="",NEGOCIAÇÕES!N403&lt;TODAY()),NEGOCIAÇÕES!E403,"")</f>
        <v/>
      </c>
      <c r="D403" s="6" t="str">
        <f ca="1">IF(AND(NEGOCIAÇÕES!O403="",NEGOCIAÇÕES!N403&lt;TODAY()),NEGOCIAÇÕES!D403,"")</f>
        <v/>
      </c>
      <c r="E403" s="9" t="str">
        <f ca="1">IF(AND(NEGOCIAÇÕES!O403="",NEGOCIAÇÕES!N403&lt;TODAY()),NEGOCIAÇÕES!N403,"")</f>
        <v/>
      </c>
      <c r="F403" s="6"/>
    </row>
    <row r="404" spans="2:6" ht="31.95" hidden="1" customHeight="1" x14ac:dyDescent="0.3">
      <c r="B404" s="6" t="str">
        <f ca="1">IF(AND(NEGOCIAÇÕES!O404="",NEGOCIAÇÕES!N404&lt;TODAY()),NEGOCIAÇÕES!C404,"")</f>
        <v/>
      </c>
      <c r="C404" s="6" t="str">
        <f ca="1">IF(AND(NEGOCIAÇÕES!O404="",NEGOCIAÇÕES!N404&lt;TODAY()),NEGOCIAÇÕES!E404,"")</f>
        <v/>
      </c>
      <c r="D404" s="6" t="str">
        <f ca="1">IF(AND(NEGOCIAÇÕES!O404="",NEGOCIAÇÕES!N404&lt;TODAY()),NEGOCIAÇÕES!D404,"")</f>
        <v/>
      </c>
      <c r="E404" s="9" t="str">
        <f ca="1">IF(AND(NEGOCIAÇÕES!O404="",NEGOCIAÇÕES!N404&lt;TODAY()),NEGOCIAÇÕES!N404,"")</f>
        <v/>
      </c>
      <c r="F404" s="6"/>
    </row>
    <row r="405" spans="2:6" ht="31.95" hidden="1" customHeight="1" x14ac:dyDescent="0.3">
      <c r="B405" s="6" t="str">
        <f ca="1">IF(AND(NEGOCIAÇÕES!O405="",NEGOCIAÇÕES!N405&lt;TODAY()),NEGOCIAÇÕES!C405,"")</f>
        <v/>
      </c>
      <c r="C405" s="6" t="str">
        <f ca="1">IF(AND(NEGOCIAÇÕES!O405="",NEGOCIAÇÕES!N405&lt;TODAY()),NEGOCIAÇÕES!E405,"")</f>
        <v/>
      </c>
      <c r="D405" s="6" t="str">
        <f ca="1">IF(AND(NEGOCIAÇÕES!O405="",NEGOCIAÇÕES!N405&lt;TODAY()),NEGOCIAÇÕES!D405,"")</f>
        <v/>
      </c>
      <c r="E405" s="9" t="str">
        <f ca="1">IF(AND(NEGOCIAÇÕES!O405="",NEGOCIAÇÕES!N405&lt;TODAY()),NEGOCIAÇÕES!N405,"")</f>
        <v/>
      </c>
      <c r="F405" s="6"/>
    </row>
    <row r="406" spans="2:6" ht="31.95" hidden="1" customHeight="1" x14ac:dyDescent="0.3">
      <c r="B406" s="6" t="str">
        <f ca="1">IF(AND(NEGOCIAÇÕES!O406="",NEGOCIAÇÕES!N406&lt;TODAY()),NEGOCIAÇÕES!C406,"")</f>
        <v/>
      </c>
      <c r="C406" s="6" t="str">
        <f ca="1">IF(AND(NEGOCIAÇÕES!O406="",NEGOCIAÇÕES!N406&lt;TODAY()),NEGOCIAÇÕES!E406,"")</f>
        <v/>
      </c>
      <c r="D406" s="6" t="str">
        <f ca="1">IF(AND(NEGOCIAÇÕES!O406="",NEGOCIAÇÕES!N406&lt;TODAY()),NEGOCIAÇÕES!D406,"")</f>
        <v/>
      </c>
      <c r="E406" s="9" t="str">
        <f ca="1">IF(AND(NEGOCIAÇÕES!O406="",NEGOCIAÇÕES!N406&lt;TODAY()),NEGOCIAÇÕES!N406,"")</f>
        <v/>
      </c>
      <c r="F406" s="6"/>
    </row>
    <row r="407" spans="2:6" ht="31.95" hidden="1" customHeight="1" x14ac:dyDescent="0.3">
      <c r="B407" s="6" t="str">
        <f ca="1">IF(AND(NEGOCIAÇÕES!O407="",NEGOCIAÇÕES!N407&lt;TODAY()),NEGOCIAÇÕES!C407,"")</f>
        <v/>
      </c>
      <c r="C407" s="6" t="str">
        <f ca="1">IF(AND(NEGOCIAÇÕES!O407="",NEGOCIAÇÕES!N407&lt;TODAY()),NEGOCIAÇÕES!E407,"")</f>
        <v/>
      </c>
      <c r="D407" s="6" t="str">
        <f ca="1">IF(AND(NEGOCIAÇÕES!O407="",NEGOCIAÇÕES!N407&lt;TODAY()),NEGOCIAÇÕES!D407,"")</f>
        <v/>
      </c>
      <c r="E407" s="9" t="str">
        <f ca="1">IF(AND(NEGOCIAÇÕES!O407="",NEGOCIAÇÕES!N407&lt;TODAY()),NEGOCIAÇÕES!N407,"")</f>
        <v/>
      </c>
      <c r="F407" s="6"/>
    </row>
    <row r="408" spans="2:6" ht="31.95" hidden="1" customHeight="1" x14ac:dyDescent="0.3">
      <c r="B408" s="6" t="str">
        <f ca="1">IF(AND(NEGOCIAÇÕES!O408="",NEGOCIAÇÕES!N408&lt;TODAY()),NEGOCIAÇÕES!C408,"")</f>
        <v/>
      </c>
      <c r="C408" s="6" t="str">
        <f ca="1">IF(AND(NEGOCIAÇÕES!O408="",NEGOCIAÇÕES!N408&lt;TODAY()),NEGOCIAÇÕES!E408,"")</f>
        <v/>
      </c>
      <c r="D408" s="6" t="str">
        <f ca="1">IF(AND(NEGOCIAÇÕES!O408="",NEGOCIAÇÕES!N408&lt;TODAY()),NEGOCIAÇÕES!D408,"")</f>
        <v/>
      </c>
      <c r="E408" s="9" t="str">
        <f ca="1">IF(AND(NEGOCIAÇÕES!O408="",NEGOCIAÇÕES!N408&lt;TODAY()),NEGOCIAÇÕES!N408,"")</f>
        <v/>
      </c>
      <c r="F408" s="6"/>
    </row>
    <row r="409" spans="2:6" ht="31.95" hidden="1" customHeight="1" x14ac:dyDescent="0.3">
      <c r="B409" s="6" t="str">
        <f ca="1">IF(AND(NEGOCIAÇÕES!O409="",NEGOCIAÇÕES!N409&lt;TODAY()),NEGOCIAÇÕES!C409,"")</f>
        <v/>
      </c>
      <c r="C409" s="6" t="str">
        <f ca="1">IF(AND(NEGOCIAÇÕES!O409="",NEGOCIAÇÕES!N409&lt;TODAY()),NEGOCIAÇÕES!E409,"")</f>
        <v/>
      </c>
      <c r="D409" s="6" t="str">
        <f ca="1">IF(AND(NEGOCIAÇÕES!O409="",NEGOCIAÇÕES!N409&lt;TODAY()),NEGOCIAÇÕES!D409,"")</f>
        <v/>
      </c>
      <c r="E409" s="9" t="str">
        <f ca="1">IF(AND(NEGOCIAÇÕES!O409="",NEGOCIAÇÕES!N409&lt;TODAY()),NEGOCIAÇÕES!N409,"")</f>
        <v/>
      </c>
      <c r="F409" s="6"/>
    </row>
    <row r="410" spans="2:6" ht="31.95" hidden="1" customHeight="1" x14ac:dyDescent="0.3">
      <c r="B410" s="6" t="str">
        <f ca="1">IF(AND(NEGOCIAÇÕES!O410="",NEGOCIAÇÕES!N410&lt;TODAY()),NEGOCIAÇÕES!C410,"")</f>
        <v/>
      </c>
      <c r="C410" s="6" t="str">
        <f ca="1">IF(AND(NEGOCIAÇÕES!O410="",NEGOCIAÇÕES!N410&lt;TODAY()),NEGOCIAÇÕES!E410,"")</f>
        <v/>
      </c>
      <c r="D410" s="6" t="str">
        <f ca="1">IF(AND(NEGOCIAÇÕES!O410="",NEGOCIAÇÕES!N410&lt;TODAY()),NEGOCIAÇÕES!D410,"")</f>
        <v/>
      </c>
      <c r="E410" s="9" t="str">
        <f ca="1">IF(AND(NEGOCIAÇÕES!O410="",NEGOCIAÇÕES!N410&lt;TODAY()),NEGOCIAÇÕES!N410,"")</f>
        <v/>
      </c>
      <c r="F410" s="6"/>
    </row>
    <row r="411" spans="2:6" ht="31.95" hidden="1" customHeight="1" x14ac:dyDescent="0.3">
      <c r="B411" s="6" t="str">
        <f ca="1">IF(AND(NEGOCIAÇÕES!O411="",NEGOCIAÇÕES!N411&lt;TODAY()),NEGOCIAÇÕES!C411,"")</f>
        <v/>
      </c>
      <c r="C411" s="6" t="str">
        <f ca="1">IF(AND(NEGOCIAÇÕES!O411="",NEGOCIAÇÕES!N411&lt;TODAY()),NEGOCIAÇÕES!E411,"")</f>
        <v/>
      </c>
      <c r="D411" s="6" t="str">
        <f ca="1">IF(AND(NEGOCIAÇÕES!O411="",NEGOCIAÇÕES!N411&lt;TODAY()),NEGOCIAÇÕES!D411,"")</f>
        <v/>
      </c>
      <c r="E411" s="9" t="str">
        <f ca="1">IF(AND(NEGOCIAÇÕES!O411="",NEGOCIAÇÕES!N411&lt;TODAY()),NEGOCIAÇÕES!N411,"")</f>
        <v/>
      </c>
      <c r="F411" s="6"/>
    </row>
    <row r="412" spans="2:6" ht="31.95" hidden="1" customHeight="1" x14ac:dyDescent="0.3">
      <c r="B412" s="6" t="str">
        <f ca="1">IF(AND(NEGOCIAÇÕES!O412="",NEGOCIAÇÕES!N412&lt;TODAY()),NEGOCIAÇÕES!C412,"")</f>
        <v/>
      </c>
      <c r="C412" s="6" t="str">
        <f ca="1">IF(AND(NEGOCIAÇÕES!O412="",NEGOCIAÇÕES!N412&lt;TODAY()),NEGOCIAÇÕES!E412,"")</f>
        <v/>
      </c>
      <c r="D412" s="6" t="str">
        <f ca="1">IF(AND(NEGOCIAÇÕES!O412="",NEGOCIAÇÕES!N412&lt;TODAY()),NEGOCIAÇÕES!D412,"")</f>
        <v/>
      </c>
      <c r="E412" s="9" t="str">
        <f ca="1">IF(AND(NEGOCIAÇÕES!O412="",NEGOCIAÇÕES!N412&lt;TODAY()),NEGOCIAÇÕES!N412,"")</f>
        <v/>
      </c>
      <c r="F412" s="6"/>
    </row>
    <row r="413" spans="2:6" ht="31.95" hidden="1" customHeight="1" x14ac:dyDescent="0.3">
      <c r="B413" s="6" t="str">
        <f ca="1">IF(AND(NEGOCIAÇÕES!O413="",NEGOCIAÇÕES!N413&lt;TODAY()),NEGOCIAÇÕES!C413,"")</f>
        <v/>
      </c>
      <c r="C413" s="6" t="str">
        <f ca="1">IF(AND(NEGOCIAÇÕES!O413="",NEGOCIAÇÕES!N413&lt;TODAY()),NEGOCIAÇÕES!E413,"")</f>
        <v/>
      </c>
      <c r="D413" s="6" t="str">
        <f ca="1">IF(AND(NEGOCIAÇÕES!O413="",NEGOCIAÇÕES!N413&lt;TODAY()),NEGOCIAÇÕES!D413,"")</f>
        <v/>
      </c>
      <c r="E413" s="9" t="str">
        <f ca="1">IF(AND(NEGOCIAÇÕES!O413="",NEGOCIAÇÕES!N413&lt;TODAY()),NEGOCIAÇÕES!N413,"")</f>
        <v/>
      </c>
      <c r="F413" s="6"/>
    </row>
    <row r="414" spans="2:6" ht="31.95" hidden="1" customHeight="1" x14ac:dyDescent="0.3">
      <c r="B414" s="6" t="str">
        <f ca="1">IF(AND(NEGOCIAÇÕES!O414="",NEGOCIAÇÕES!N414&lt;TODAY()),NEGOCIAÇÕES!C414,"")</f>
        <v/>
      </c>
      <c r="C414" s="6" t="str">
        <f ca="1">IF(AND(NEGOCIAÇÕES!O414="",NEGOCIAÇÕES!N414&lt;TODAY()),NEGOCIAÇÕES!E414,"")</f>
        <v/>
      </c>
      <c r="D414" s="6" t="str">
        <f ca="1">IF(AND(NEGOCIAÇÕES!O414="",NEGOCIAÇÕES!N414&lt;TODAY()),NEGOCIAÇÕES!D414,"")</f>
        <v/>
      </c>
      <c r="E414" s="9" t="str">
        <f ca="1">IF(AND(NEGOCIAÇÕES!O414="",NEGOCIAÇÕES!N414&lt;TODAY()),NEGOCIAÇÕES!N414,"")</f>
        <v/>
      </c>
      <c r="F414" s="6"/>
    </row>
    <row r="415" spans="2:6" ht="31.95" hidden="1" customHeight="1" x14ac:dyDescent="0.3">
      <c r="B415" s="6" t="str">
        <f ca="1">IF(AND(NEGOCIAÇÕES!O415="",NEGOCIAÇÕES!N415&lt;TODAY()),NEGOCIAÇÕES!C415,"")</f>
        <v/>
      </c>
      <c r="C415" s="6" t="str">
        <f ca="1">IF(AND(NEGOCIAÇÕES!O415="",NEGOCIAÇÕES!N415&lt;TODAY()),NEGOCIAÇÕES!E415,"")</f>
        <v/>
      </c>
      <c r="D415" s="6" t="str">
        <f ca="1">IF(AND(NEGOCIAÇÕES!O415="",NEGOCIAÇÕES!N415&lt;TODAY()),NEGOCIAÇÕES!D415,"")</f>
        <v/>
      </c>
      <c r="E415" s="9" t="str">
        <f ca="1">IF(AND(NEGOCIAÇÕES!O415="",NEGOCIAÇÕES!N415&lt;TODAY()),NEGOCIAÇÕES!N415,"")</f>
        <v/>
      </c>
      <c r="F415" s="6"/>
    </row>
    <row r="416" spans="2:6" ht="31.95" hidden="1" customHeight="1" x14ac:dyDescent="0.3">
      <c r="B416" s="6" t="str">
        <f ca="1">IF(AND(NEGOCIAÇÕES!O416="",NEGOCIAÇÕES!N416&lt;TODAY()),NEGOCIAÇÕES!C416,"")</f>
        <v/>
      </c>
      <c r="C416" s="6" t="str">
        <f ca="1">IF(AND(NEGOCIAÇÕES!O416="",NEGOCIAÇÕES!N416&lt;TODAY()),NEGOCIAÇÕES!E416,"")</f>
        <v/>
      </c>
      <c r="D416" s="6" t="str">
        <f ca="1">IF(AND(NEGOCIAÇÕES!O416="",NEGOCIAÇÕES!N416&lt;TODAY()),NEGOCIAÇÕES!D416,"")</f>
        <v/>
      </c>
      <c r="E416" s="9" t="str">
        <f ca="1">IF(AND(NEGOCIAÇÕES!O416="",NEGOCIAÇÕES!N416&lt;TODAY()),NEGOCIAÇÕES!N416,"")</f>
        <v/>
      </c>
      <c r="F416" s="6"/>
    </row>
    <row r="417" spans="2:6" ht="31.95" hidden="1" customHeight="1" x14ac:dyDescent="0.3">
      <c r="B417" s="6" t="str">
        <f ca="1">IF(AND(NEGOCIAÇÕES!O417="",NEGOCIAÇÕES!N417&lt;TODAY()),NEGOCIAÇÕES!C417,"")</f>
        <v/>
      </c>
      <c r="C417" s="6" t="str">
        <f ca="1">IF(AND(NEGOCIAÇÕES!O417="",NEGOCIAÇÕES!N417&lt;TODAY()),NEGOCIAÇÕES!E417,"")</f>
        <v/>
      </c>
      <c r="D417" s="6" t="str">
        <f ca="1">IF(AND(NEGOCIAÇÕES!O417="",NEGOCIAÇÕES!N417&lt;TODAY()),NEGOCIAÇÕES!D417,"")</f>
        <v/>
      </c>
      <c r="E417" s="9" t="str">
        <f ca="1">IF(AND(NEGOCIAÇÕES!O417="",NEGOCIAÇÕES!N417&lt;TODAY()),NEGOCIAÇÕES!N417,"")</f>
        <v/>
      </c>
      <c r="F417" s="6"/>
    </row>
    <row r="418" spans="2:6" ht="31.95" hidden="1" customHeight="1" x14ac:dyDescent="0.3">
      <c r="B418" s="6" t="str">
        <f ca="1">IF(AND(NEGOCIAÇÕES!O418="",NEGOCIAÇÕES!N418&lt;TODAY()),NEGOCIAÇÕES!C418,"")</f>
        <v/>
      </c>
      <c r="C418" s="6" t="str">
        <f ca="1">IF(AND(NEGOCIAÇÕES!O418="",NEGOCIAÇÕES!N418&lt;TODAY()),NEGOCIAÇÕES!E418,"")</f>
        <v/>
      </c>
      <c r="D418" s="6" t="str">
        <f ca="1">IF(AND(NEGOCIAÇÕES!O418="",NEGOCIAÇÕES!N418&lt;TODAY()),NEGOCIAÇÕES!D418,"")</f>
        <v/>
      </c>
      <c r="E418" s="9" t="str">
        <f ca="1">IF(AND(NEGOCIAÇÕES!O418="",NEGOCIAÇÕES!N418&lt;TODAY()),NEGOCIAÇÕES!N418,"")</f>
        <v/>
      </c>
      <c r="F418" s="6"/>
    </row>
    <row r="419" spans="2:6" ht="31.95" hidden="1" customHeight="1" x14ac:dyDescent="0.3">
      <c r="B419" s="6" t="str">
        <f ca="1">IF(AND(NEGOCIAÇÕES!O419="",NEGOCIAÇÕES!N419&lt;TODAY()),NEGOCIAÇÕES!C419,"")</f>
        <v/>
      </c>
      <c r="C419" s="6" t="str">
        <f ca="1">IF(AND(NEGOCIAÇÕES!O419="",NEGOCIAÇÕES!N419&lt;TODAY()),NEGOCIAÇÕES!E419,"")</f>
        <v/>
      </c>
      <c r="D419" s="6" t="str">
        <f ca="1">IF(AND(NEGOCIAÇÕES!O419="",NEGOCIAÇÕES!N419&lt;TODAY()),NEGOCIAÇÕES!D419,"")</f>
        <v/>
      </c>
      <c r="E419" s="9" t="str">
        <f ca="1">IF(AND(NEGOCIAÇÕES!O419="",NEGOCIAÇÕES!N419&lt;TODAY()),NEGOCIAÇÕES!N419,"")</f>
        <v/>
      </c>
      <c r="F419" s="6"/>
    </row>
    <row r="420" spans="2:6" ht="31.95" hidden="1" customHeight="1" x14ac:dyDescent="0.3">
      <c r="B420" s="6" t="str">
        <f ca="1">IF(AND(NEGOCIAÇÕES!O420="",NEGOCIAÇÕES!N420&lt;TODAY()),NEGOCIAÇÕES!C420,"")</f>
        <v/>
      </c>
      <c r="C420" s="6" t="str">
        <f ca="1">IF(AND(NEGOCIAÇÕES!O420="",NEGOCIAÇÕES!N420&lt;TODAY()),NEGOCIAÇÕES!E420,"")</f>
        <v/>
      </c>
      <c r="D420" s="6" t="str">
        <f ca="1">IF(AND(NEGOCIAÇÕES!O420="",NEGOCIAÇÕES!N420&lt;TODAY()),NEGOCIAÇÕES!D420,"")</f>
        <v/>
      </c>
      <c r="E420" s="9" t="str">
        <f ca="1">IF(AND(NEGOCIAÇÕES!O420="",NEGOCIAÇÕES!N420&lt;TODAY()),NEGOCIAÇÕES!N420,"")</f>
        <v/>
      </c>
      <c r="F420" s="6"/>
    </row>
    <row r="421" spans="2:6" ht="31.95" hidden="1" customHeight="1" x14ac:dyDescent="0.3">
      <c r="B421" s="6" t="str">
        <f ca="1">IF(AND(NEGOCIAÇÕES!O421="",NEGOCIAÇÕES!N421&lt;TODAY()),NEGOCIAÇÕES!C421,"")</f>
        <v/>
      </c>
      <c r="C421" s="6" t="str">
        <f ca="1">IF(AND(NEGOCIAÇÕES!O421="",NEGOCIAÇÕES!N421&lt;TODAY()),NEGOCIAÇÕES!E421,"")</f>
        <v/>
      </c>
      <c r="D421" s="6" t="str">
        <f ca="1">IF(AND(NEGOCIAÇÕES!O421="",NEGOCIAÇÕES!N421&lt;TODAY()),NEGOCIAÇÕES!D421,"")</f>
        <v/>
      </c>
      <c r="E421" s="9" t="str">
        <f ca="1">IF(AND(NEGOCIAÇÕES!O421="",NEGOCIAÇÕES!N421&lt;TODAY()),NEGOCIAÇÕES!N421,"")</f>
        <v/>
      </c>
      <c r="F421" s="6"/>
    </row>
    <row r="422" spans="2:6" ht="31.95" hidden="1" customHeight="1" x14ac:dyDescent="0.3">
      <c r="B422" s="6" t="str">
        <f ca="1">IF(AND(NEGOCIAÇÕES!O422="",NEGOCIAÇÕES!N422&lt;TODAY()),NEGOCIAÇÕES!C422,"")</f>
        <v/>
      </c>
      <c r="C422" s="6" t="str">
        <f ca="1">IF(AND(NEGOCIAÇÕES!O422="",NEGOCIAÇÕES!N422&lt;TODAY()),NEGOCIAÇÕES!E422,"")</f>
        <v/>
      </c>
      <c r="D422" s="6" t="str">
        <f ca="1">IF(AND(NEGOCIAÇÕES!O422="",NEGOCIAÇÕES!N422&lt;TODAY()),NEGOCIAÇÕES!D422,"")</f>
        <v/>
      </c>
      <c r="E422" s="9" t="str">
        <f ca="1">IF(AND(NEGOCIAÇÕES!O422="",NEGOCIAÇÕES!N422&lt;TODAY()),NEGOCIAÇÕES!N422,"")</f>
        <v/>
      </c>
      <c r="F422" s="6"/>
    </row>
    <row r="423" spans="2:6" ht="31.95" hidden="1" customHeight="1" x14ac:dyDescent="0.3">
      <c r="B423" s="6" t="str">
        <f ca="1">IF(AND(NEGOCIAÇÕES!O423="",NEGOCIAÇÕES!N423&lt;TODAY()),NEGOCIAÇÕES!C423,"")</f>
        <v/>
      </c>
      <c r="C423" s="6" t="str">
        <f ca="1">IF(AND(NEGOCIAÇÕES!O423="",NEGOCIAÇÕES!N423&lt;TODAY()),NEGOCIAÇÕES!E423,"")</f>
        <v/>
      </c>
      <c r="D423" s="6" t="str">
        <f ca="1">IF(AND(NEGOCIAÇÕES!O423="",NEGOCIAÇÕES!N423&lt;TODAY()),NEGOCIAÇÕES!D423,"")</f>
        <v/>
      </c>
      <c r="E423" s="9" t="str">
        <f ca="1">IF(AND(NEGOCIAÇÕES!O423="",NEGOCIAÇÕES!N423&lt;TODAY()),NEGOCIAÇÕES!N423,"")</f>
        <v/>
      </c>
      <c r="F423" s="6"/>
    </row>
    <row r="424" spans="2:6" ht="31.95" hidden="1" customHeight="1" x14ac:dyDescent="0.3">
      <c r="B424" s="6" t="str">
        <f ca="1">IF(AND(NEGOCIAÇÕES!O424="",NEGOCIAÇÕES!N424&lt;TODAY()),NEGOCIAÇÕES!C424,"")</f>
        <v/>
      </c>
      <c r="C424" s="6" t="str">
        <f ca="1">IF(AND(NEGOCIAÇÕES!O424="",NEGOCIAÇÕES!N424&lt;TODAY()),NEGOCIAÇÕES!E424,"")</f>
        <v/>
      </c>
      <c r="D424" s="6" t="str">
        <f ca="1">IF(AND(NEGOCIAÇÕES!O424="",NEGOCIAÇÕES!N424&lt;TODAY()),NEGOCIAÇÕES!D424,"")</f>
        <v/>
      </c>
      <c r="E424" s="9" t="str">
        <f ca="1">IF(AND(NEGOCIAÇÕES!O424="",NEGOCIAÇÕES!N424&lt;TODAY()),NEGOCIAÇÕES!N424,"")</f>
        <v/>
      </c>
      <c r="F424" s="6"/>
    </row>
    <row r="425" spans="2:6" ht="31.95" hidden="1" customHeight="1" x14ac:dyDescent="0.3">
      <c r="B425" s="6" t="str">
        <f ca="1">IF(AND(NEGOCIAÇÕES!O425="",NEGOCIAÇÕES!N425&lt;TODAY()),NEGOCIAÇÕES!C425,"")</f>
        <v/>
      </c>
      <c r="C425" s="6" t="str">
        <f ca="1">IF(AND(NEGOCIAÇÕES!O425="",NEGOCIAÇÕES!N425&lt;TODAY()),NEGOCIAÇÕES!E425,"")</f>
        <v/>
      </c>
      <c r="D425" s="6" t="str">
        <f ca="1">IF(AND(NEGOCIAÇÕES!O425="",NEGOCIAÇÕES!N425&lt;TODAY()),NEGOCIAÇÕES!D425,"")</f>
        <v/>
      </c>
      <c r="E425" s="9" t="str">
        <f ca="1">IF(AND(NEGOCIAÇÕES!O425="",NEGOCIAÇÕES!N425&lt;TODAY()),NEGOCIAÇÕES!N425,"")</f>
        <v/>
      </c>
      <c r="F425" s="6"/>
    </row>
    <row r="426" spans="2:6" ht="31.95" hidden="1" customHeight="1" x14ac:dyDescent="0.3">
      <c r="B426" s="6" t="str">
        <f ca="1">IF(AND(NEGOCIAÇÕES!O426="",NEGOCIAÇÕES!N426&lt;TODAY()),NEGOCIAÇÕES!C426,"")</f>
        <v/>
      </c>
      <c r="C426" s="6" t="str">
        <f ca="1">IF(AND(NEGOCIAÇÕES!O426="",NEGOCIAÇÕES!N426&lt;TODAY()),NEGOCIAÇÕES!E426,"")</f>
        <v/>
      </c>
      <c r="D426" s="6" t="str">
        <f ca="1">IF(AND(NEGOCIAÇÕES!O426="",NEGOCIAÇÕES!N426&lt;TODAY()),NEGOCIAÇÕES!D426,"")</f>
        <v/>
      </c>
      <c r="E426" s="9" t="str">
        <f ca="1">IF(AND(NEGOCIAÇÕES!O426="",NEGOCIAÇÕES!N426&lt;TODAY()),NEGOCIAÇÕES!N426,"")</f>
        <v/>
      </c>
      <c r="F426" s="6"/>
    </row>
    <row r="427" spans="2:6" ht="31.95" hidden="1" customHeight="1" x14ac:dyDescent="0.3">
      <c r="B427" s="6" t="str">
        <f ca="1">IF(AND(NEGOCIAÇÕES!O427="",NEGOCIAÇÕES!N427&lt;TODAY()),NEGOCIAÇÕES!C427,"")</f>
        <v/>
      </c>
      <c r="C427" s="6" t="str">
        <f ca="1">IF(AND(NEGOCIAÇÕES!O427="",NEGOCIAÇÕES!N427&lt;TODAY()),NEGOCIAÇÕES!E427,"")</f>
        <v/>
      </c>
      <c r="D427" s="6" t="str">
        <f ca="1">IF(AND(NEGOCIAÇÕES!O427="",NEGOCIAÇÕES!N427&lt;TODAY()),NEGOCIAÇÕES!D427,"")</f>
        <v/>
      </c>
      <c r="E427" s="9" t="str">
        <f ca="1">IF(AND(NEGOCIAÇÕES!O427="",NEGOCIAÇÕES!N427&lt;TODAY()),NEGOCIAÇÕES!N427,"")</f>
        <v/>
      </c>
      <c r="F427" s="6"/>
    </row>
    <row r="428" spans="2:6" ht="31.95" hidden="1" customHeight="1" x14ac:dyDescent="0.3">
      <c r="B428" s="6" t="str">
        <f ca="1">IF(AND(NEGOCIAÇÕES!O428="",NEGOCIAÇÕES!N428&lt;TODAY()),NEGOCIAÇÕES!C428,"")</f>
        <v/>
      </c>
      <c r="C428" s="6" t="str">
        <f ca="1">IF(AND(NEGOCIAÇÕES!O428="",NEGOCIAÇÕES!N428&lt;TODAY()),NEGOCIAÇÕES!E428,"")</f>
        <v/>
      </c>
      <c r="D428" s="6" t="str">
        <f ca="1">IF(AND(NEGOCIAÇÕES!O428="",NEGOCIAÇÕES!N428&lt;TODAY()),NEGOCIAÇÕES!D428,"")</f>
        <v/>
      </c>
      <c r="E428" s="9" t="str">
        <f ca="1">IF(AND(NEGOCIAÇÕES!O428="",NEGOCIAÇÕES!N428&lt;TODAY()),NEGOCIAÇÕES!N428,"")</f>
        <v/>
      </c>
      <c r="F428" s="6"/>
    </row>
    <row r="429" spans="2:6" ht="31.95" hidden="1" customHeight="1" x14ac:dyDescent="0.3">
      <c r="B429" s="6" t="str">
        <f ca="1">IF(AND(NEGOCIAÇÕES!O429="",NEGOCIAÇÕES!N429&lt;TODAY()),NEGOCIAÇÕES!C429,"")</f>
        <v/>
      </c>
      <c r="C429" s="6" t="str">
        <f ca="1">IF(AND(NEGOCIAÇÕES!O429="",NEGOCIAÇÕES!N429&lt;TODAY()),NEGOCIAÇÕES!E429,"")</f>
        <v/>
      </c>
      <c r="D429" s="6" t="str">
        <f ca="1">IF(AND(NEGOCIAÇÕES!O429="",NEGOCIAÇÕES!N429&lt;TODAY()),NEGOCIAÇÕES!D429,"")</f>
        <v/>
      </c>
      <c r="E429" s="9" t="str">
        <f ca="1">IF(AND(NEGOCIAÇÕES!O429="",NEGOCIAÇÕES!N429&lt;TODAY()),NEGOCIAÇÕES!N429,"")</f>
        <v/>
      </c>
      <c r="F429" s="6"/>
    </row>
    <row r="430" spans="2:6" ht="31.95" hidden="1" customHeight="1" x14ac:dyDescent="0.3">
      <c r="B430" s="6" t="str">
        <f ca="1">IF(AND(NEGOCIAÇÕES!O430="",NEGOCIAÇÕES!N430&lt;TODAY()),NEGOCIAÇÕES!C430,"")</f>
        <v/>
      </c>
      <c r="C430" s="6" t="str">
        <f ca="1">IF(AND(NEGOCIAÇÕES!O430="",NEGOCIAÇÕES!N430&lt;TODAY()),NEGOCIAÇÕES!E430,"")</f>
        <v/>
      </c>
      <c r="D430" s="6" t="str">
        <f ca="1">IF(AND(NEGOCIAÇÕES!O430="",NEGOCIAÇÕES!N430&lt;TODAY()),NEGOCIAÇÕES!D430,"")</f>
        <v/>
      </c>
      <c r="E430" s="9" t="str">
        <f ca="1">IF(AND(NEGOCIAÇÕES!O430="",NEGOCIAÇÕES!N430&lt;TODAY()),NEGOCIAÇÕES!N430,"")</f>
        <v/>
      </c>
      <c r="F430" s="6"/>
    </row>
    <row r="431" spans="2:6" ht="31.95" hidden="1" customHeight="1" x14ac:dyDescent="0.3">
      <c r="B431" s="6" t="str">
        <f ca="1">IF(AND(NEGOCIAÇÕES!O431="",NEGOCIAÇÕES!N431&lt;TODAY()),NEGOCIAÇÕES!C431,"")</f>
        <v/>
      </c>
      <c r="C431" s="6" t="str">
        <f ca="1">IF(AND(NEGOCIAÇÕES!O431="",NEGOCIAÇÕES!N431&lt;TODAY()),NEGOCIAÇÕES!E431,"")</f>
        <v/>
      </c>
      <c r="D431" s="6" t="str">
        <f ca="1">IF(AND(NEGOCIAÇÕES!O431="",NEGOCIAÇÕES!N431&lt;TODAY()),NEGOCIAÇÕES!D431,"")</f>
        <v/>
      </c>
      <c r="E431" s="9" t="str">
        <f ca="1">IF(AND(NEGOCIAÇÕES!O431="",NEGOCIAÇÕES!N431&lt;TODAY()),NEGOCIAÇÕES!N431,"")</f>
        <v/>
      </c>
      <c r="F431" s="6"/>
    </row>
    <row r="432" spans="2:6" ht="31.95" hidden="1" customHeight="1" x14ac:dyDescent="0.3">
      <c r="B432" s="6" t="str">
        <f ca="1">IF(AND(NEGOCIAÇÕES!O432="",NEGOCIAÇÕES!N432&lt;TODAY()),NEGOCIAÇÕES!C432,"")</f>
        <v/>
      </c>
      <c r="C432" s="6" t="str">
        <f ca="1">IF(AND(NEGOCIAÇÕES!O432="",NEGOCIAÇÕES!N432&lt;TODAY()),NEGOCIAÇÕES!E432,"")</f>
        <v/>
      </c>
      <c r="D432" s="6" t="str">
        <f ca="1">IF(AND(NEGOCIAÇÕES!O432="",NEGOCIAÇÕES!N432&lt;TODAY()),NEGOCIAÇÕES!D432,"")</f>
        <v/>
      </c>
      <c r="E432" s="9" t="str">
        <f ca="1">IF(AND(NEGOCIAÇÕES!O432="",NEGOCIAÇÕES!N432&lt;TODAY()),NEGOCIAÇÕES!N432,"")</f>
        <v/>
      </c>
      <c r="F432" s="6"/>
    </row>
    <row r="433" spans="2:6" ht="31.95" hidden="1" customHeight="1" x14ac:dyDescent="0.3">
      <c r="B433" s="6" t="str">
        <f ca="1">IF(AND(NEGOCIAÇÕES!O433="",NEGOCIAÇÕES!N433&lt;TODAY()),NEGOCIAÇÕES!C433,"")</f>
        <v/>
      </c>
      <c r="C433" s="6" t="str">
        <f ca="1">IF(AND(NEGOCIAÇÕES!O433="",NEGOCIAÇÕES!N433&lt;TODAY()),NEGOCIAÇÕES!E433,"")</f>
        <v/>
      </c>
      <c r="D433" s="6" t="str">
        <f ca="1">IF(AND(NEGOCIAÇÕES!O433="",NEGOCIAÇÕES!N433&lt;TODAY()),NEGOCIAÇÕES!D433,"")</f>
        <v/>
      </c>
      <c r="E433" s="9" t="str">
        <f ca="1">IF(AND(NEGOCIAÇÕES!O433="",NEGOCIAÇÕES!N433&lt;TODAY()),NEGOCIAÇÕES!N433,"")</f>
        <v/>
      </c>
      <c r="F433" s="6"/>
    </row>
    <row r="434" spans="2:6" ht="31.95" hidden="1" customHeight="1" x14ac:dyDescent="0.3">
      <c r="B434" s="6" t="str">
        <f ca="1">IF(AND(NEGOCIAÇÕES!O434="",NEGOCIAÇÕES!N434&lt;TODAY()),NEGOCIAÇÕES!C434,"")</f>
        <v/>
      </c>
      <c r="C434" s="6" t="str">
        <f ca="1">IF(AND(NEGOCIAÇÕES!O434="",NEGOCIAÇÕES!N434&lt;TODAY()),NEGOCIAÇÕES!E434,"")</f>
        <v/>
      </c>
      <c r="D434" s="6" t="str">
        <f ca="1">IF(AND(NEGOCIAÇÕES!O434="",NEGOCIAÇÕES!N434&lt;TODAY()),NEGOCIAÇÕES!D434,"")</f>
        <v/>
      </c>
      <c r="E434" s="9" t="str">
        <f ca="1">IF(AND(NEGOCIAÇÕES!O434="",NEGOCIAÇÕES!N434&lt;TODAY()),NEGOCIAÇÕES!N434,"")</f>
        <v/>
      </c>
      <c r="F434" s="6"/>
    </row>
    <row r="435" spans="2:6" ht="31.95" hidden="1" customHeight="1" x14ac:dyDescent="0.3">
      <c r="B435" s="6" t="str">
        <f ca="1">IF(AND(NEGOCIAÇÕES!O435="",NEGOCIAÇÕES!N435&lt;TODAY()),NEGOCIAÇÕES!C435,"")</f>
        <v/>
      </c>
      <c r="C435" s="6" t="str">
        <f ca="1">IF(AND(NEGOCIAÇÕES!O435="",NEGOCIAÇÕES!N435&lt;TODAY()),NEGOCIAÇÕES!E435,"")</f>
        <v/>
      </c>
      <c r="D435" s="6" t="str">
        <f ca="1">IF(AND(NEGOCIAÇÕES!O435="",NEGOCIAÇÕES!N435&lt;TODAY()),NEGOCIAÇÕES!D435,"")</f>
        <v/>
      </c>
      <c r="E435" s="9" t="str">
        <f ca="1">IF(AND(NEGOCIAÇÕES!O435="",NEGOCIAÇÕES!N435&lt;TODAY()),NEGOCIAÇÕES!N435,"")</f>
        <v/>
      </c>
      <c r="F435" s="6"/>
    </row>
    <row r="436" spans="2:6" ht="31.95" hidden="1" customHeight="1" x14ac:dyDescent="0.3">
      <c r="B436" s="6" t="str">
        <f ca="1">IF(AND(NEGOCIAÇÕES!O436="",NEGOCIAÇÕES!N436&lt;TODAY()),NEGOCIAÇÕES!C436,"")</f>
        <v/>
      </c>
      <c r="C436" s="6" t="str">
        <f ca="1">IF(AND(NEGOCIAÇÕES!O436="",NEGOCIAÇÕES!N436&lt;TODAY()),NEGOCIAÇÕES!E436,"")</f>
        <v/>
      </c>
      <c r="D436" s="6" t="str">
        <f ca="1">IF(AND(NEGOCIAÇÕES!O436="",NEGOCIAÇÕES!N436&lt;TODAY()),NEGOCIAÇÕES!D436,"")</f>
        <v/>
      </c>
      <c r="E436" s="9" t="str">
        <f ca="1">IF(AND(NEGOCIAÇÕES!O436="",NEGOCIAÇÕES!N436&lt;TODAY()),NEGOCIAÇÕES!N436,"")</f>
        <v/>
      </c>
      <c r="F436" s="6"/>
    </row>
    <row r="437" spans="2:6" ht="31.95" hidden="1" customHeight="1" x14ac:dyDescent="0.3">
      <c r="B437" s="6" t="str">
        <f ca="1">IF(AND(NEGOCIAÇÕES!O437="",NEGOCIAÇÕES!N437&lt;TODAY()),NEGOCIAÇÕES!C437,"")</f>
        <v/>
      </c>
      <c r="C437" s="6" t="str">
        <f ca="1">IF(AND(NEGOCIAÇÕES!O437="",NEGOCIAÇÕES!N437&lt;TODAY()),NEGOCIAÇÕES!E437,"")</f>
        <v/>
      </c>
      <c r="D437" s="6" t="str">
        <f ca="1">IF(AND(NEGOCIAÇÕES!O437="",NEGOCIAÇÕES!N437&lt;TODAY()),NEGOCIAÇÕES!D437,"")</f>
        <v/>
      </c>
      <c r="E437" s="9" t="str">
        <f ca="1">IF(AND(NEGOCIAÇÕES!O437="",NEGOCIAÇÕES!N437&lt;TODAY()),NEGOCIAÇÕES!N437,"")</f>
        <v/>
      </c>
      <c r="F437" s="6"/>
    </row>
    <row r="438" spans="2:6" ht="31.95" hidden="1" customHeight="1" x14ac:dyDescent="0.3">
      <c r="B438" s="6" t="str">
        <f ca="1">IF(AND(NEGOCIAÇÕES!O438="",NEGOCIAÇÕES!N438&lt;TODAY()),NEGOCIAÇÕES!C438,"")</f>
        <v/>
      </c>
      <c r="C438" s="6" t="str">
        <f ca="1">IF(AND(NEGOCIAÇÕES!O438="",NEGOCIAÇÕES!N438&lt;TODAY()),NEGOCIAÇÕES!E438,"")</f>
        <v/>
      </c>
      <c r="D438" s="6" t="str">
        <f ca="1">IF(AND(NEGOCIAÇÕES!O438="",NEGOCIAÇÕES!N438&lt;TODAY()),NEGOCIAÇÕES!D438,"")</f>
        <v/>
      </c>
      <c r="E438" s="9" t="str">
        <f ca="1">IF(AND(NEGOCIAÇÕES!O438="",NEGOCIAÇÕES!N438&lt;TODAY()),NEGOCIAÇÕES!N438,"")</f>
        <v/>
      </c>
      <c r="F438" s="6"/>
    </row>
    <row r="439" spans="2:6" ht="31.95" hidden="1" customHeight="1" x14ac:dyDescent="0.3">
      <c r="B439" s="6" t="str">
        <f ca="1">IF(AND(NEGOCIAÇÕES!O439="",NEGOCIAÇÕES!N439&lt;TODAY()),NEGOCIAÇÕES!C439,"")</f>
        <v/>
      </c>
      <c r="C439" s="6" t="str">
        <f ca="1">IF(AND(NEGOCIAÇÕES!O439="",NEGOCIAÇÕES!N439&lt;TODAY()),NEGOCIAÇÕES!E439,"")</f>
        <v/>
      </c>
      <c r="D439" s="6" t="str">
        <f ca="1">IF(AND(NEGOCIAÇÕES!O439="",NEGOCIAÇÕES!N439&lt;TODAY()),NEGOCIAÇÕES!D439,"")</f>
        <v/>
      </c>
      <c r="E439" s="9" t="str">
        <f ca="1">IF(AND(NEGOCIAÇÕES!O439="",NEGOCIAÇÕES!N439&lt;TODAY()),NEGOCIAÇÕES!N439,"")</f>
        <v/>
      </c>
      <c r="F439" s="6"/>
    </row>
    <row r="440" spans="2:6" ht="31.95" hidden="1" customHeight="1" x14ac:dyDescent="0.3">
      <c r="B440" s="6" t="str">
        <f ca="1">IF(AND(NEGOCIAÇÕES!O440="",NEGOCIAÇÕES!N440&lt;TODAY()),NEGOCIAÇÕES!C440,"")</f>
        <v/>
      </c>
      <c r="C440" s="6" t="str">
        <f ca="1">IF(AND(NEGOCIAÇÕES!O440="",NEGOCIAÇÕES!N440&lt;TODAY()),NEGOCIAÇÕES!E440,"")</f>
        <v/>
      </c>
      <c r="D440" s="6" t="str">
        <f ca="1">IF(AND(NEGOCIAÇÕES!O440="",NEGOCIAÇÕES!N440&lt;TODAY()),NEGOCIAÇÕES!D440,"")</f>
        <v/>
      </c>
      <c r="E440" s="9" t="str">
        <f ca="1">IF(AND(NEGOCIAÇÕES!O440="",NEGOCIAÇÕES!N440&lt;TODAY()),NEGOCIAÇÕES!N440,"")</f>
        <v/>
      </c>
      <c r="F440" s="6"/>
    </row>
    <row r="441" spans="2:6" ht="31.95" hidden="1" customHeight="1" x14ac:dyDescent="0.3">
      <c r="B441" s="6" t="str">
        <f ca="1">IF(AND(NEGOCIAÇÕES!O441="",NEGOCIAÇÕES!N441&lt;TODAY()),NEGOCIAÇÕES!C441,"")</f>
        <v/>
      </c>
      <c r="C441" s="6" t="str">
        <f ca="1">IF(AND(NEGOCIAÇÕES!O441="",NEGOCIAÇÕES!N441&lt;TODAY()),NEGOCIAÇÕES!E441,"")</f>
        <v/>
      </c>
      <c r="D441" s="6" t="str">
        <f ca="1">IF(AND(NEGOCIAÇÕES!O441="",NEGOCIAÇÕES!N441&lt;TODAY()),NEGOCIAÇÕES!D441,"")</f>
        <v/>
      </c>
      <c r="E441" s="9" t="str">
        <f ca="1">IF(AND(NEGOCIAÇÕES!O441="",NEGOCIAÇÕES!N441&lt;TODAY()),NEGOCIAÇÕES!N441,"")</f>
        <v/>
      </c>
      <c r="F441" s="6"/>
    </row>
    <row r="442" spans="2:6" ht="31.95" hidden="1" customHeight="1" x14ac:dyDescent="0.3">
      <c r="B442" s="6" t="str">
        <f ca="1">IF(AND(NEGOCIAÇÕES!O442="",NEGOCIAÇÕES!N442&lt;TODAY()),NEGOCIAÇÕES!C442,"")</f>
        <v/>
      </c>
      <c r="C442" s="6" t="str">
        <f ca="1">IF(AND(NEGOCIAÇÕES!O442="",NEGOCIAÇÕES!N442&lt;TODAY()),NEGOCIAÇÕES!E442,"")</f>
        <v/>
      </c>
      <c r="D442" s="6" t="str">
        <f ca="1">IF(AND(NEGOCIAÇÕES!O442="",NEGOCIAÇÕES!N442&lt;TODAY()),NEGOCIAÇÕES!D442,"")</f>
        <v/>
      </c>
      <c r="E442" s="9" t="str">
        <f ca="1">IF(AND(NEGOCIAÇÕES!O442="",NEGOCIAÇÕES!N442&lt;TODAY()),NEGOCIAÇÕES!N442,"")</f>
        <v/>
      </c>
      <c r="F442" s="6"/>
    </row>
    <row r="443" spans="2:6" ht="31.95" hidden="1" customHeight="1" x14ac:dyDescent="0.3">
      <c r="B443" s="6" t="str">
        <f ca="1">IF(AND(NEGOCIAÇÕES!O443="",NEGOCIAÇÕES!N443&lt;TODAY()),NEGOCIAÇÕES!C443,"")</f>
        <v/>
      </c>
      <c r="C443" s="6" t="str">
        <f ca="1">IF(AND(NEGOCIAÇÕES!O443="",NEGOCIAÇÕES!N443&lt;TODAY()),NEGOCIAÇÕES!E443,"")</f>
        <v/>
      </c>
      <c r="D443" s="6" t="str">
        <f ca="1">IF(AND(NEGOCIAÇÕES!O443="",NEGOCIAÇÕES!N443&lt;TODAY()),NEGOCIAÇÕES!D443,"")</f>
        <v/>
      </c>
      <c r="E443" s="9" t="str">
        <f ca="1">IF(AND(NEGOCIAÇÕES!O443="",NEGOCIAÇÕES!N443&lt;TODAY()),NEGOCIAÇÕES!N443,"")</f>
        <v/>
      </c>
      <c r="F443" s="6"/>
    </row>
    <row r="444" spans="2:6" ht="31.95" hidden="1" customHeight="1" x14ac:dyDescent="0.3">
      <c r="B444" s="6" t="str">
        <f ca="1">IF(AND(NEGOCIAÇÕES!O444="",NEGOCIAÇÕES!N444&lt;TODAY()),NEGOCIAÇÕES!C444,"")</f>
        <v/>
      </c>
      <c r="C444" s="6" t="str">
        <f ca="1">IF(AND(NEGOCIAÇÕES!O444="",NEGOCIAÇÕES!N444&lt;TODAY()),NEGOCIAÇÕES!E444,"")</f>
        <v/>
      </c>
      <c r="D444" s="6" t="str">
        <f ca="1">IF(AND(NEGOCIAÇÕES!O444="",NEGOCIAÇÕES!N444&lt;TODAY()),NEGOCIAÇÕES!D444,"")</f>
        <v/>
      </c>
      <c r="E444" s="9" t="str">
        <f ca="1">IF(AND(NEGOCIAÇÕES!O444="",NEGOCIAÇÕES!N444&lt;TODAY()),NEGOCIAÇÕES!N444,"")</f>
        <v/>
      </c>
      <c r="F444" s="6"/>
    </row>
    <row r="445" spans="2:6" ht="31.95" hidden="1" customHeight="1" x14ac:dyDescent="0.3">
      <c r="B445" s="6" t="str">
        <f ca="1">IF(AND(NEGOCIAÇÕES!O445="",NEGOCIAÇÕES!N445&lt;TODAY()),NEGOCIAÇÕES!C445,"")</f>
        <v/>
      </c>
      <c r="C445" s="6" t="str">
        <f ca="1">IF(AND(NEGOCIAÇÕES!O445="",NEGOCIAÇÕES!N445&lt;TODAY()),NEGOCIAÇÕES!E445,"")</f>
        <v/>
      </c>
      <c r="D445" s="6" t="str">
        <f ca="1">IF(AND(NEGOCIAÇÕES!O445="",NEGOCIAÇÕES!N445&lt;TODAY()),NEGOCIAÇÕES!D445,"")</f>
        <v/>
      </c>
      <c r="E445" s="9" t="str">
        <f ca="1">IF(AND(NEGOCIAÇÕES!O445="",NEGOCIAÇÕES!N445&lt;TODAY()),NEGOCIAÇÕES!N445,"")</f>
        <v/>
      </c>
      <c r="F445" s="6"/>
    </row>
    <row r="446" spans="2:6" ht="31.95" hidden="1" customHeight="1" x14ac:dyDescent="0.3">
      <c r="B446" s="6" t="str">
        <f ca="1">IF(AND(NEGOCIAÇÕES!O446="",NEGOCIAÇÕES!N446&lt;TODAY()),NEGOCIAÇÕES!C446,"")</f>
        <v/>
      </c>
      <c r="C446" s="6" t="str">
        <f ca="1">IF(AND(NEGOCIAÇÕES!O446="",NEGOCIAÇÕES!N446&lt;TODAY()),NEGOCIAÇÕES!E446,"")</f>
        <v/>
      </c>
      <c r="D446" s="6" t="str">
        <f ca="1">IF(AND(NEGOCIAÇÕES!O446="",NEGOCIAÇÕES!N446&lt;TODAY()),NEGOCIAÇÕES!D446,"")</f>
        <v/>
      </c>
      <c r="E446" s="9" t="str">
        <f ca="1">IF(AND(NEGOCIAÇÕES!O446="",NEGOCIAÇÕES!N446&lt;TODAY()),NEGOCIAÇÕES!N446,"")</f>
        <v/>
      </c>
      <c r="F446" s="6"/>
    </row>
    <row r="447" spans="2:6" ht="31.95" hidden="1" customHeight="1" x14ac:dyDescent="0.3">
      <c r="B447" s="6" t="str">
        <f ca="1">IF(AND(NEGOCIAÇÕES!O447="",NEGOCIAÇÕES!N447&lt;TODAY()),NEGOCIAÇÕES!C447,"")</f>
        <v/>
      </c>
      <c r="C447" s="6" t="str">
        <f ca="1">IF(AND(NEGOCIAÇÕES!O447="",NEGOCIAÇÕES!N447&lt;TODAY()),NEGOCIAÇÕES!E447,"")</f>
        <v/>
      </c>
      <c r="D447" s="6" t="str">
        <f ca="1">IF(AND(NEGOCIAÇÕES!O447="",NEGOCIAÇÕES!N447&lt;TODAY()),NEGOCIAÇÕES!D447,"")</f>
        <v/>
      </c>
      <c r="E447" s="9" t="str">
        <f ca="1">IF(AND(NEGOCIAÇÕES!O447="",NEGOCIAÇÕES!N447&lt;TODAY()),NEGOCIAÇÕES!N447,"")</f>
        <v/>
      </c>
      <c r="F447" s="6"/>
    </row>
    <row r="448" spans="2:6" ht="31.95" hidden="1" customHeight="1" x14ac:dyDescent="0.3">
      <c r="B448" s="6" t="str">
        <f ca="1">IF(AND(NEGOCIAÇÕES!O448="",NEGOCIAÇÕES!N448&lt;TODAY()),NEGOCIAÇÕES!C448,"")</f>
        <v/>
      </c>
      <c r="C448" s="6" t="str">
        <f ca="1">IF(AND(NEGOCIAÇÕES!O448="",NEGOCIAÇÕES!N448&lt;TODAY()),NEGOCIAÇÕES!E448,"")</f>
        <v/>
      </c>
      <c r="D448" s="6" t="str">
        <f ca="1">IF(AND(NEGOCIAÇÕES!O448="",NEGOCIAÇÕES!N448&lt;TODAY()),NEGOCIAÇÕES!D448,"")</f>
        <v/>
      </c>
      <c r="E448" s="9" t="str">
        <f ca="1">IF(AND(NEGOCIAÇÕES!O448="",NEGOCIAÇÕES!N448&lt;TODAY()),NEGOCIAÇÕES!N448,"")</f>
        <v/>
      </c>
      <c r="F448" s="6"/>
    </row>
    <row r="449" spans="2:6" ht="31.95" hidden="1" customHeight="1" x14ac:dyDescent="0.3">
      <c r="B449" s="6" t="str">
        <f ca="1">IF(AND(NEGOCIAÇÕES!O449="",NEGOCIAÇÕES!N449&lt;TODAY()),NEGOCIAÇÕES!C449,"")</f>
        <v/>
      </c>
      <c r="C449" s="6" t="str">
        <f ca="1">IF(AND(NEGOCIAÇÕES!O449="",NEGOCIAÇÕES!N449&lt;TODAY()),NEGOCIAÇÕES!E449,"")</f>
        <v/>
      </c>
      <c r="D449" s="6" t="str">
        <f ca="1">IF(AND(NEGOCIAÇÕES!O449="",NEGOCIAÇÕES!N449&lt;TODAY()),NEGOCIAÇÕES!D449,"")</f>
        <v/>
      </c>
      <c r="E449" s="9" t="str">
        <f ca="1">IF(AND(NEGOCIAÇÕES!O449="",NEGOCIAÇÕES!N449&lt;TODAY()),NEGOCIAÇÕES!N449,"")</f>
        <v/>
      </c>
      <c r="F449" s="6"/>
    </row>
    <row r="450" spans="2:6" ht="31.95" hidden="1" customHeight="1" x14ac:dyDescent="0.3">
      <c r="B450" s="6" t="str">
        <f ca="1">IF(AND(NEGOCIAÇÕES!O450="",NEGOCIAÇÕES!N450&lt;TODAY()),NEGOCIAÇÕES!C450,"")</f>
        <v/>
      </c>
      <c r="C450" s="6" t="str">
        <f ca="1">IF(AND(NEGOCIAÇÕES!O450="",NEGOCIAÇÕES!N450&lt;TODAY()),NEGOCIAÇÕES!E450,"")</f>
        <v/>
      </c>
      <c r="D450" s="6" t="str">
        <f ca="1">IF(AND(NEGOCIAÇÕES!O450="",NEGOCIAÇÕES!N450&lt;TODAY()),NEGOCIAÇÕES!D450,"")</f>
        <v/>
      </c>
      <c r="E450" s="9" t="str">
        <f ca="1">IF(AND(NEGOCIAÇÕES!O450="",NEGOCIAÇÕES!N450&lt;TODAY()),NEGOCIAÇÕES!N450,"")</f>
        <v/>
      </c>
      <c r="F450" s="6"/>
    </row>
    <row r="451" spans="2:6" ht="31.95" hidden="1" customHeight="1" x14ac:dyDescent="0.3">
      <c r="B451" s="6" t="str">
        <f ca="1">IF(AND(NEGOCIAÇÕES!O451="",NEGOCIAÇÕES!N451&lt;TODAY()),NEGOCIAÇÕES!C451,"")</f>
        <v/>
      </c>
      <c r="C451" s="6" t="str">
        <f ca="1">IF(AND(NEGOCIAÇÕES!O451="",NEGOCIAÇÕES!N451&lt;TODAY()),NEGOCIAÇÕES!E451,"")</f>
        <v/>
      </c>
      <c r="D451" s="6" t="str">
        <f ca="1">IF(AND(NEGOCIAÇÕES!O451="",NEGOCIAÇÕES!N451&lt;TODAY()),NEGOCIAÇÕES!D451,"")</f>
        <v/>
      </c>
      <c r="E451" s="9" t="str">
        <f ca="1">IF(AND(NEGOCIAÇÕES!O451="",NEGOCIAÇÕES!N451&lt;TODAY()),NEGOCIAÇÕES!N451,"")</f>
        <v/>
      </c>
      <c r="F451" s="6"/>
    </row>
    <row r="452" spans="2:6" ht="31.95" hidden="1" customHeight="1" x14ac:dyDescent="0.3">
      <c r="B452" s="6" t="str">
        <f ca="1">IF(AND(NEGOCIAÇÕES!O452="",NEGOCIAÇÕES!N452&lt;TODAY()),NEGOCIAÇÕES!C452,"")</f>
        <v/>
      </c>
      <c r="C452" s="6" t="str">
        <f ca="1">IF(AND(NEGOCIAÇÕES!O452="",NEGOCIAÇÕES!N452&lt;TODAY()),NEGOCIAÇÕES!E452,"")</f>
        <v/>
      </c>
      <c r="D452" s="6" t="str">
        <f ca="1">IF(AND(NEGOCIAÇÕES!O452="",NEGOCIAÇÕES!N452&lt;TODAY()),NEGOCIAÇÕES!D452,"")</f>
        <v/>
      </c>
      <c r="E452" s="9" t="str">
        <f ca="1">IF(AND(NEGOCIAÇÕES!O452="",NEGOCIAÇÕES!N452&lt;TODAY()),NEGOCIAÇÕES!N452,"")</f>
        <v/>
      </c>
      <c r="F452" s="6"/>
    </row>
    <row r="453" spans="2:6" ht="31.95" hidden="1" customHeight="1" x14ac:dyDescent="0.3">
      <c r="B453" s="6" t="str">
        <f ca="1">IF(AND(NEGOCIAÇÕES!O453="",NEGOCIAÇÕES!N453&lt;TODAY()),NEGOCIAÇÕES!C453,"")</f>
        <v/>
      </c>
      <c r="C453" s="6" t="str">
        <f ca="1">IF(AND(NEGOCIAÇÕES!O453="",NEGOCIAÇÕES!N453&lt;TODAY()),NEGOCIAÇÕES!E453,"")</f>
        <v/>
      </c>
      <c r="D453" s="6" t="str">
        <f ca="1">IF(AND(NEGOCIAÇÕES!O453="",NEGOCIAÇÕES!N453&lt;TODAY()),NEGOCIAÇÕES!D453,"")</f>
        <v/>
      </c>
      <c r="E453" s="9" t="str">
        <f ca="1">IF(AND(NEGOCIAÇÕES!O453="",NEGOCIAÇÕES!N453&lt;TODAY()),NEGOCIAÇÕES!N453,"")</f>
        <v/>
      </c>
      <c r="F453" s="6"/>
    </row>
    <row r="454" spans="2:6" ht="31.95" hidden="1" customHeight="1" x14ac:dyDescent="0.3">
      <c r="B454" s="6" t="str">
        <f ca="1">IF(AND(NEGOCIAÇÕES!O454="",NEGOCIAÇÕES!N454&lt;TODAY()),NEGOCIAÇÕES!C454,"")</f>
        <v/>
      </c>
      <c r="C454" s="6" t="str">
        <f ca="1">IF(AND(NEGOCIAÇÕES!O454="",NEGOCIAÇÕES!N454&lt;TODAY()),NEGOCIAÇÕES!E454,"")</f>
        <v/>
      </c>
      <c r="D454" s="6" t="str">
        <f ca="1">IF(AND(NEGOCIAÇÕES!O454="",NEGOCIAÇÕES!N454&lt;TODAY()),NEGOCIAÇÕES!D454,"")</f>
        <v/>
      </c>
      <c r="E454" s="9" t="str">
        <f ca="1">IF(AND(NEGOCIAÇÕES!O454="",NEGOCIAÇÕES!N454&lt;TODAY()),NEGOCIAÇÕES!N454,"")</f>
        <v/>
      </c>
      <c r="F454" s="6"/>
    </row>
    <row r="455" spans="2:6" ht="31.95" hidden="1" customHeight="1" x14ac:dyDescent="0.3">
      <c r="B455" s="6" t="str">
        <f ca="1">IF(AND(NEGOCIAÇÕES!O455="",NEGOCIAÇÕES!N455&lt;TODAY()),NEGOCIAÇÕES!C455,"")</f>
        <v/>
      </c>
      <c r="C455" s="6" t="str">
        <f ca="1">IF(AND(NEGOCIAÇÕES!O455="",NEGOCIAÇÕES!N455&lt;TODAY()),NEGOCIAÇÕES!E455,"")</f>
        <v/>
      </c>
      <c r="D455" s="6" t="str">
        <f ca="1">IF(AND(NEGOCIAÇÕES!O455="",NEGOCIAÇÕES!N455&lt;TODAY()),NEGOCIAÇÕES!D455,"")</f>
        <v/>
      </c>
      <c r="E455" s="9" t="str">
        <f ca="1">IF(AND(NEGOCIAÇÕES!O455="",NEGOCIAÇÕES!N455&lt;TODAY()),NEGOCIAÇÕES!N455,"")</f>
        <v/>
      </c>
      <c r="F455" s="6"/>
    </row>
    <row r="456" spans="2:6" ht="31.95" hidden="1" customHeight="1" x14ac:dyDescent="0.3">
      <c r="B456" s="6" t="str">
        <f ca="1">IF(AND(NEGOCIAÇÕES!O456="",NEGOCIAÇÕES!N456&lt;TODAY()),NEGOCIAÇÕES!C456,"")</f>
        <v/>
      </c>
      <c r="C456" s="6" t="str">
        <f ca="1">IF(AND(NEGOCIAÇÕES!O456="",NEGOCIAÇÕES!N456&lt;TODAY()),NEGOCIAÇÕES!E456,"")</f>
        <v/>
      </c>
      <c r="D456" s="6" t="str">
        <f ca="1">IF(AND(NEGOCIAÇÕES!O456="",NEGOCIAÇÕES!N456&lt;TODAY()),NEGOCIAÇÕES!D456,"")</f>
        <v/>
      </c>
      <c r="E456" s="9" t="str">
        <f ca="1">IF(AND(NEGOCIAÇÕES!O456="",NEGOCIAÇÕES!N456&lt;TODAY()),NEGOCIAÇÕES!N456,"")</f>
        <v/>
      </c>
      <c r="F456" s="6"/>
    </row>
    <row r="457" spans="2:6" ht="31.95" hidden="1" customHeight="1" x14ac:dyDescent="0.3">
      <c r="B457" s="6" t="str">
        <f ca="1">IF(AND(NEGOCIAÇÕES!O457="",NEGOCIAÇÕES!N457&lt;TODAY()),NEGOCIAÇÕES!C457,"")</f>
        <v/>
      </c>
      <c r="C457" s="6" t="str">
        <f ca="1">IF(AND(NEGOCIAÇÕES!O457="",NEGOCIAÇÕES!N457&lt;TODAY()),NEGOCIAÇÕES!E457,"")</f>
        <v/>
      </c>
      <c r="D457" s="6" t="str">
        <f ca="1">IF(AND(NEGOCIAÇÕES!O457="",NEGOCIAÇÕES!N457&lt;TODAY()),NEGOCIAÇÕES!D457,"")</f>
        <v/>
      </c>
      <c r="E457" s="9" t="str">
        <f ca="1">IF(AND(NEGOCIAÇÕES!O457="",NEGOCIAÇÕES!N457&lt;TODAY()),NEGOCIAÇÕES!N457,"")</f>
        <v/>
      </c>
      <c r="F457" s="6"/>
    </row>
    <row r="458" spans="2:6" ht="31.95" hidden="1" customHeight="1" x14ac:dyDescent="0.3">
      <c r="B458" s="6" t="str">
        <f ca="1">IF(AND(NEGOCIAÇÕES!O458="",NEGOCIAÇÕES!N458&lt;TODAY()),NEGOCIAÇÕES!C458,"")</f>
        <v/>
      </c>
      <c r="C458" s="6" t="str">
        <f ca="1">IF(AND(NEGOCIAÇÕES!O458="",NEGOCIAÇÕES!N458&lt;TODAY()),NEGOCIAÇÕES!E458,"")</f>
        <v/>
      </c>
      <c r="D458" s="6" t="str">
        <f ca="1">IF(AND(NEGOCIAÇÕES!O458="",NEGOCIAÇÕES!N458&lt;TODAY()),NEGOCIAÇÕES!D458,"")</f>
        <v/>
      </c>
      <c r="E458" s="9" t="str">
        <f ca="1">IF(AND(NEGOCIAÇÕES!O458="",NEGOCIAÇÕES!N458&lt;TODAY()),NEGOCIAÇÕES!N458,"")</f>
        <v/>
      </c>
      <c r="F458" s="6"/>
    </row>
    <row r="459" spans="2:6" ht="31.95" hidden="1" customHeight="1" x14ac:dyDescent="0.3">
      <c r="B459" s="6" t="str">
        <f ca="1">IF(AND(NEGOCIAÇÕES!O459="",NEGOCIAÇÕES!N459&lt;TODAY()),NEGOCIAÇÕES!C459,"")</f>
        <v/>
      </c>
      <c r="C459" s="6" t="str">
        <f ca="1">IF(AND(NEGOCIAÇÕES!O459="",NEGOCIAÇÕES!N459&lt;TODAY()),NEGOCIAÇÕES!E459,"")</f>
        <v/>
      </c>
      <c r="D459" s="6" t="str">
        <f ca="1">IF(AND(NEGOCIAÇÕES!O459="",NEGOCIAÇÕES!N459&lt;TODAY()),NEGOCIAÇÕES!D459,"")</f>
        <v/>
      </c>
      <c r="E459" s="9" t="str">
        <f ca="1">IF(AND(NEGOCIAÇÕES!O459="",NEGOCIAÇÕES!N459&lt;TODAY()),NEGOCIAÇÕES!N459,"")</f>
        <v/>
      </c>
      <c r="F459" s="6"/>
    </row>
    <row r="460" spans="2:6" ht="31.95" hidden="1" customHeight="1" x14ac:dyDescent="0.3">
      <c r="B460" s="6" t="str">
        <f ca="1">IF(AND(NEGOCIAÇÕES!O460="",NEGOCIAÇÕES!N460&lt;TODAY()),NEGOCIAÇÕES!C460,"")</f>
        <v/>
      </c>
      <c r="C460" s="6" t="str">
        <f ca="1">IF(AND(NEGOCIAÇÕES!O460="",NEGOCIAÇÕES!N460&lt;TODAY()),NEGOCIAÇÕES!E460,"")</f>
        <v/>
      </c>
      <c r="D460" s="6" t="str">
        <f ca="1">IF(AND(NEGOCIAÇÕES!O460="",NEGOCIAÇÕES!N460&lt;TODAY()),NEGOCIAÇÕES!D460,"")</f>
        <v/>
      </c>
      <c r="E460" s="9" t="str">
        <f ca="1">IF(AND(NEGOCIAÇÕES!O460="",NEGOCIAÇÕES!N460&lt;TODAY()),NEGOCIAÇÕES!N460,"")</f>
        <v/>
      </c>
      <c r="F460" s="6"/>
    </row>
    <row r="461" spans="2:6" ht="31.95" hidden="1" customHeight="1" x14ac:dyDescent="0.3">
      <c r="B461" s="6" t="str">
        <f ca="1">IF(AND(NEGOCIAÇÕES!O461="",NEGOCIAÇÕES!N461&lt;TODAY()),NEGOCIAÇÕES!C461,"")</f>
        <v/>
      </c>
      <c r="C461" s="6" t="str">
        <f ca="1">IF(AND(NEGOCIAÇÕES!O461="",NEGOCIAÇÕES!N461&lt;TODAY()),NEGOCIAÇÕES!E461,"")</f>
        <v/>
      </c>
      <c r="D461" s="6" t="str">
        <f ca="1">IF(AND(NEGOCIAÇÕES!O461="",NEGOCIAÇÕES!N461&lt;TODAY()),NEGOCIAÇÕES!D461,"")</f>
        <v/>
      </c>
      <c r="E461" s="9" t="str">
        <f ca="1">IF(AND(NEGOCIAÇÕES!O461="",NEGOCIAÇÕES!N461&lt;TODAY()),NEGOCIAÇÕES!N461,"")</f>
        <v/>
      </c>
      <c r="F461" s="6"/>
    </row>
    <row r="462" spans="2:6" ht="31.95" hidden="1" customHeight="1" x14ac:dyDescent="0.3">
      <c r="B462" s="6" t="str">
        <f ca="1">IF(AND(NEGOCIAÇÕES!O462="",NEGOCIAÇÕES!N462&lt;TODAY()),NEGOCIAÇÕES!C462,"")</f>
        <v/>
      </c>
      <c r="C462" s="6" t="str">
        <f ca="1">IF(AND(NEGOCIAÇÕES!O462="",NEGOCIAÇÕES!N462&lt;TODAY()),NEGOCIAÇÕES!E462,"")</f>
        <v/>
      </c>
      <c r="D462" s="6" t="str">
        <f ca="1">IF(AND(NEGOCIAÇÕES!O462="",NEGOCIAÇÕES!N462&lt;TODAY()),NEGOCIAÇÕES!D462,"")</f>
        <v/>
      </c>
      <c r="E462" s="9" t="str">
        <f ca="1">IF(AND(NEGOCIAÇÕES!O462="",NEGOCIAÇÕES!N462&lt;TODAY()),NEGOCIAÇÕES!N462,"")</f>
        <v/>
      </c>
      <c r="F462" s="6"/>
    </row>
    <row r="463" spans="2:6" ht="31.95" hidden="1" customHeight="1" x14ac:dyDescent="0.3">
      <c r="B463" s="6" t="str">
        <f ca="1">IF(AND(NEGOCIAÇÕES!O463="",NEGOCIAÇÕES!N463&lt;TODAY()),NEGOCIAÇÕES!C463,"")</f>
        <v/>
      </c>
      <c r="C463" s="6" t="str">
        <f ca="1">IF(AND(NEGOCIAÇÕES!O463="",NEGOCIAÇÕES!N463&lt;TODAY()),NEGOCIAÇÕES!E463,"")</f>
        <v/>
      </c>
      <c r="D463" s="6" t="str">
        <f ca="1">IF(AND(NEGOCIAÇÕES!O463="",NEGOCIAÇÕES!N463&lt;TODAY()),NEGOCIAÇÕES!D463,"")</f>
        <v/>
      </c>
      <c r="E463" s="9" t="str">
        <f ca="1">IF(AND(NEGOCIAÇÕES!O463="",NEGOCIAÇÕES!N463&lt;TODAY()),NEGOCIAÇÕES!N463,"")</f>
        <v/>
      </c>
      <c r="F463" s="6"/>
    </row>
    <row r="464" spans="2:6" ht="31.95" hidden="1" customHeight="1" x14ac:dyDescent="0.3">
      <c r="B464" s="6" t="str">
        <f ca="1">IF(AND(NEGOCIAÇÕES!O464="",NEGOCIAÇÕES!N464&lt;TODAY()),NEGOCIAÇÕES!C464,"")</f>
        <v/>
      </c>
      <c r="C464" s="6" t="str">
        <f ca="1">IF(AND(NEGOCIAÇÕES!O464="",NEGOCIAÇÕES!N464&lt;TODAY()),NEGOCIAÇÕES!E464,"")</f>
        <v/>
      </c>
      <c r="D464" s="6" t="str">
        <f ca="1">IF(AND(NEGOCIAÇÕES!O464="",NEGOCIAÇÕES!N464&lt;TODAY()),NEGOCIAÇÕES!D464,"")</f>
        <v/>
      </c>
      <c r="E464" s="9" t="str">
        <f ca="1">IF(AND(NEGOCIAÇÕES!O464="",NEGOCIAÇÕES!N464&lt;TODAY()),NEGOCIAÇÕES!N464,"")</f>
        <v/>
      </c>
      <c r="F464" s="6"/>
    </row>
    <row r="465" spans="2:6" ht="31.95" hidden="1" customHeight="1" x14ac:dyDescent="0.3">
      <c r="B465" s="6" t="str">
        <f ca="1">IF(AND(NEGOCIAÇÕES!O465="",NEGOCIAÇÕES!N465&lt;TODAY()),NEGOCIAÇÕES!C465,"")</f>
        <v/>
      </c>
      <c r="C465" s="6" t="str">
        <f ca="1">IF(AND(NEGOCIAÇÕES!O465="",NEGOCIAÇÕES!N465&lt;TODAY()),NEGOCIAÇÕES!E465,"")</f>
        <v/>
      </c>
      <c r="D465" s="6" t="str">
        <f ca="1">IF(AND(NEGOCIAÇÕES!O465="",NEGOCIAÇÕES!N465&lt;TODAY()),NEGOCIAÇÕES!D465,"")</f>
        <v/>
      </c>
      <c r="E465" s="9" t="str">
        <f ca="1">IF(AND(NEGOCIAÇÕES!O465="",NEGOCIAÇÕES!N465&lt;TODAY()),NEGOCIAÇÕES!N465,"")</f>
        <v/>
      </c>
      <c r="F465" s="6"/>
    </row>
    <row r="466" spans="2:6" ht="31.95" hidden="1" customHeight="1" x14ac:dyDescent="0.3">
      <c r="B466" s="6" t="str">
        <f ca="1">IF(AND(NEGOCIAÇÕES!O466="",NEGOCIAÇÕES!N466&lt;TODAY()),NEGOCIAÇÕES!C466,"")</f>
        <v/>
      </c>
      <c r="C466" s="6" t="str">
        <f ca="1">IF(AND(NEGOCIAÇÕES!O466="",NEGOCIAÇÕES!N466&lt;TODAY()),NEGOCIAÇÕES!E466,"")</f>
        <v/>
      </c>
      <c r="D466" s="6" t="str">
        <f ca="1">IF(AND(NEGOCIAÇÕES!O466="",NEGOCIAÇÕES!N466&lt;TODAY()),NEGOCIAÇÕES!D466,"")</f>
        <v/>
      </c>
      <c r="E466" s="9" t="str">
        <f ca="1">IF(AND(NEGOCIAÇÕES!O466="",NEGOCIAÇÕES!N466&lt;TODAY()),NEGOCIAÇÕES!N466,"")</f>
        <v/>
      </c>
      <c r="F466" s="6"/>
    </row>
    <row r="467" spans="2:6" ht="31.95" hidden="1" customHeight="1" x14ac:dyDescent="0.3">
      <c r="B467" s="6" t="str">
        <f ca="1">IF(AND(NEGOCIAÇÕES!O467="",NEGOCIAÇÕES!N467&lt;TODAY()),NEGOCIAÇÕES!C467,"")</f>
        <v/>
      </c>
      <c r="C467" s="6" t="str">
        <f ca="1">IF(AND(NEGOCIAÇÕES!O467="",NEGOCIAÇÕES!N467&lt;TODAY()),NEGOCIAÇÕES!E467,"")</f>
        <v/>
      </c>
      <c r="D467" s="6" t="str">
        <f ca="1">IF(AND(NEGOCIAÇÕES!O467="",NEGOCIAÇÕES!N467&lt;TODAY()),NEGOCIAÇÕES!D467,"")</f>
        <v/>
      </c>
      <c r="E467" s="9" t="str">
        <f ca="1">IF(AND(NEGOCIAÇÕES!O467="",NEGOCIAÇÕES!N467&lt;TODAY()),NEGOCIAÇÕES!N467,"")</f>
        <v/>
      </c>
      <c r="F467" s="6"/>
    </row>
    <row r="468" spans="2:6" ht="31.95" hidden="1" customHeight="1" x14ac:dyDescent="0.3">
      <c r="B468" s="6" t="str">
        <f ca="1">IF(AND(NEGOCIAÇÕES!O468="",NEGOCIAÇÕES!N468&lt;TODAY()),NEGOCIAÇÕES!C468,"")</f>
        <v/>
      </c>
      <c r="C468" s="6" t="str">
        <f ca="1">IF(AND(NEGOCIAÇÕES!O468="",NEGOCIAÇÕES!N468&lt;TODAY()),NEGOCIAÇÕES!E468,"")</f>
        <v/>
      </c>
      <c r="D468" s="6" t="str">
        <f ca="1">IF(AND(NEGOCIAÇÕES!O468="",NEGOCIAÇÕES!N468&lt;TODAY()),NEGOCIAÇÕES!D468,"")</f>
        <v/>
      </c>
      <c r="E468" s="9" t="str">
        <f ca="1">IF(AND(NEGOCIAÇÕES!O468="",NEGOCIAÇÕES!N468&lt;TODAY()),NEGOCIAÇÕES!N468,"")</f>
        <v/>
      </c>
      <c r="F468" s="6"/>
    </row>
    <row r="469" spans="2:6" ht="31.95" hidden="1" customHeight="1" x14ac:dyDescent="0.3">
      <c r="B469" s="6" t="str">
        <f ca="1">IF(AND(NEGOCIAÇÕES!O469="",NEGOCIAÇÕES!N469&lt;TODAY()),NEGOCIAÇÕES!C469,"")</f>
        <v/>
      </c>
      <c r="C469" s="6" t="str">
        <f ca="1">IF(AND(NEGOCIAÇÕES!O469="",NEGOCIAÇÕES!N469&lt;TODAY()),NEGOCIAÇÕES!E469,"")</f>
        <v/>
      </c>
      <c r="D469" s="6" t="str">
        <f ca="1">IF(AND(NEGOCIAÇÕES!O469="",NEGOCIAÇÕES!N469&lt;TODAY()),NEGOCIAÇÕES!D469,"")</f>
        <v/>
      </c>
      <c r="E469" s="9" t="str">
        <f ca="1">IF(AND(NEGOCIAÇÕES!O469="",NEGOCIAÇÕES!N469&lt;TODAY()),NEGOCIAÇÕES!N469,"")</f>
        <v/>
      </c>
      <c r="F469" s="6"/>
    </row>
    <row r="470" spans="2:6" ht="31.95" hidden="1" customHeight="1" x14ac:dyDescent="0.3">
      <c r="B470" s="6" t="str">
        <f ca="1">IF(AND(NEGOCIAÇÕES!O470="",NEGOCIAÇÕES!N470&lt;TODAY()),NEGOCIAÇÕES!C470,"")</f>
        <v/>
      </c>
      <c r="C470" s="6" t="str">
        <f ca="1">IF(AND(NEGOCIAÇÕES!O470="",NEGOCIAÇÕES!N470&lt;TODAY()),NEGOCIAÇÕES!E470,"")</f>
        <v/>
      </c>
      <c r="D470" s="6" t="str">
        <f ca="1">IF(AND(NEGOCIAÇÕES!O470="",NEGOCIAÇÕES!N470&lt;TODAY()),NEGOCIAÇÕES!D470,"")</f>
        <v/>
      </c>
      <c r="E470" s="9" t="str">
        <f ca="1">IF(AND(NEGOCIAÇÕES!O470="",NEGOCIAÇÕES!N470&lt;TODAY()),NEGOCIAÇÕES!N470,"")</f>
        <v/>
      </c>
      <c r="F470" s="6"/>
    </row>
    <row r="471" spans="2:6" ht="31.95" hidden="1" customHeight="1" x14ac:dyDescent="0.3">
      <c r="B471" s="6" t="str">
        <f ca="1">IF(AND(NEGOCIAÇÕES!O471="",NEGOCIAÇÕES!N471&lt;TODAY()),NEGOCIAÇÕES!C471,"")</f>
        <v/>
      </c>
      <c r="C471" s="6" t="str">
        <f ca="1">IF(AND(NEGOCIAÇÕES!O471="",NEGOCIAÇÕES!N471&lt;TODAY()),NEGOCIAÇÕES!E471,"")</f>
        <v/>
      </c>
      <c r="D471" s="6" t="str">
        <f ca="1">IF(AND(NEGOCIAÇÕES!O471="",NEGOCIAÇÕES!N471&lt;TODAY()),NEGOCIAÇÕES!D471,"")</f>
        <v/>
      </c>
      <c r="E471" s="9" t="str">
        <f ca="1">IF(AND(NEGOCIAÇÕES!O471="",NEGOCIAÇÕES!N471&lt;TODAY()),NEGOCIAÇÕES!N471,"")</f>
        <v/>
      </c>
      <c r="F471" s="6"/>
    </row>
    <row r="472" spans="2:6" ht="31.95" hidden="1" customHeight="1" x14ac:dyDescent="0.3">
      <c r="B472" s="6" t="str">
        <f ca="1">IF(AND(NEGOCIAÇÕES!O472="",NEGOCIAÇÕES!N472&lt;TODAY()),NEGOCIAÇÕES!C472,"")</f>
        <v/>
      </c>
      <c r="C472" s="6" t="str">
        <f ca="1">IF(AND(NEGOCIAÇÕES!O472="",NEGOCIAÇÕES!N472&lt;TODAY()),NEGOCIAÇÕES!E472,"")</f>
        <v/>
      </c>
      <c r="D472" s="6" t="str">
        <f ca="1">IF(AND(NEGOCIAÇÕES!O472="",NEGOCIAÇÕES!N472&lt;TODAY()),NEGOCIAÇÕES!D472,"")</f>
        <v/>
      </c>
      <c r="E472" s="9" t="str">
        <f ca="1">IF(AND(NEGOCIAÇÕES!O472="",NEGOCIAÇÕES!N472&lt;TODAY()),NEGOCIAÇÕES!N472,"")</f>
        <v/>
      </c>
      <c r="F472" s="6"/>
    </row>
    <row r="473" spans="2:6" ht="31.95" hidden="1" customHeight="1" x14ac:dyDescent="0.3">
      <c r="B473" s="6" t="str">
        <f ca="1">IF(AND(NEGOCIAÇÕES!O473="",NEGOCIAÇÕES!N473&lt;TODAY()),NEGOCIAÇÕES!C473,"")</f>
        <v/>
      </c>
      <c r="C473" s="6" t="str">
        <f ca="1">IF(AND(NEGOCIAÇÕES!O473="",NEGOCIAÇÕES!N473&lt;TODAY()),NEGOCIAÇÕES!E473,"")</f>
        <v/>
      </c>
      <c r="D473" s="6" t="str">
        <f ca="1">IF(AND(NEGOCIAÇÕES!O473="",NEGOCIAÇÕES!N473&lt;TODAY()),NEGOCIAÇÕES!D473,"")</f>
        <v/>
      </c>
      <c r="E473" s="9" t="str">
        <f ca="1">IF(AND(NEGOCIAÇÕES!O473="",NEGOCIAÇÕES!N473&lt;TODAY()),NEGOCIAÇÕES!N473,"")</f>
        <v/>
      </c>
      <c r="F473" s="6"/>
    </row>
    <row r="474" spans="2:6" ht="31.95" hidden="1" customHeight="1" x14ac:dyDescent="0.3">
      <c r="B474" s="6" t="str">
        <f ca="1">IF(AND(NEGOCIAÇÕES!O474="",NEGOCIAÇÕES!N474&lt;TODAY()),NEGOCIAÇÕES!C474,"")</f>
        <v/>
      </c>
      <c r="C474" s="6" t="str">
        <f ca="1">IF(AND(NEGOCIAÇÕES!O474="",NEGOCIAÇÕES!N474&lt;TODAY()),NEGOCIAÇÕES!E474,"")</f>
        <v/>
      </c>
      <c r="D474" s="6" t="str">
        <f ca="1">IF(AND(NEGOCIAÇÕES!O474="",NEGOCIAÇÕES!N474&lt;TODAY()),NEGOCIAÇÕES!D474,"")</f>
        <v/>
      </c>
      <c r="E474" s="9" t="str">
        <f ca="1">IF(AND(NEGOCIAÇÕES!O474="",NEGOCIAÇÕES!N474&lt;TODAY()),NEGOCIAÇÕES!N474,"")</f>
        <v/>
      </c>
      <c r="F474" s="6"/>
    </row>
    <row r="475" spans="2:6" ht="31.95" hidden="1" customHeight="1" x14ac:dyDescent="0.3">
      <c r="B475" s="6" t="str">
        <f ca="1">IF(AND(NEGOCIAÇÕES!O475="",NEGOCIAÇÕES!N475&lt;TODAY()),NEGOCIAÇÕES!C475,"")</f>
        <v/>
      </c>
      <c r="C475" s="6" t="str">
        <f ca="1">IF(AND(NEGOCIAÇÕES!O475="",NEGOCIAÇÕES!N475&lt;TODAY()),NEGOCIAÇÕES!E475,"")</f>
        <v/>
      </c>
      <c r="D475" s="6" t="str">
        <f ca="1">IF(AND(NEGOCIAÇÕES!O475="",NEGOCIAÇÕES!N475&lt;TODAY()),NEGOCIAÇÕES!D475,"")</f>
        <v/>
      </c>
      <c r="E475" s="9" t="str">
        <f ca="1">IF(AND(NEGOCIAÇÕES!O475="",NEGOCIAÇÕES!N475&lt;TODAY()),NEGOCIAÇÕES!N475,"")</f>
        <v/>
      </c>
      <c r="F475" s="6"/>
    </row>
    <row r="476" spans="2:6" ht="31.95" hidden="1" customHeight="1" x14ac:dyDescent="0.3">
      <c r="B476" s="6" t="str">
        <f ca="1">IF(AND(NEGOCIAÇÕES!O476="",NEGOCIAÇÕES!N476&lt;TODAY()),NEGOCIAÇÕES!C476,"")</f>
        <v/>
      </c>
      <c r="C476" s="6" t="str">
        <f ca="1">IF(AND(NEGOCIAÇÕES!O476="",NEGOCIAÇÕES!N476&lt;TODAY()),NEGOCIAÇÕES!E476,"")</f>
        <v/>
      </c>
      <c r="D476" s="6" t="str">
        <f ca="1">IF(AND(NEGOCIAÇÕES!O476="",NEGOCIAÇÕES!N476&lt;TODAY()),NEGOCIAÇÕES!D476,"")</f>
        <v/>
      </c>
      <c r="E476" s="9" t="str">
        <f ca="1">IF(AND(NEGOCIAÇÕES!O476="",NEGOCIAÇÕES!N476&lt;TODAY()),NEGOCIAÇÕES!N476,"")</f>
        <v/>
      </c>
      <c r="F476" s="6"/>
    </row>
    <row r="477" spans="2:6" ht="31.95" hidden="1" customHeight="1" x14ac:dyDescent="0.3">
      <c r="B477" s="6" t="str">
        <f ca="1">IF(AND(NEGOCIAÇÕES!O477="",NEGOCIAÇÕES!N477&lt;TODAY()),NEGOCIAÇÕES!C477,"")</f>
        <v/>
      </c>
      <c r="C477" s="6" t="str">
        <f ca="1">IF(AND(NEGOCIAÇÕES!O477="",NEGOCIAÇÕES!N477&lt;TODAY()),NEGOCIAÇÕES!E477,"")</f>
        <v/>
      </c>
      <c r="D477" s="6" t="str">
        <f ca="1">IF(AND(NEGOCIAÇÕES!O477="",NEGOCIAÇÕES!N477&lt;TODAY()),NEGOCIAÇÕES!D477,"")</f>
        <v/>
      </c>
      <c r="E477" s="9" t="str">
        <f ca="1">IF(AND(NEGOCIAÇÕES!O477="",NEGOCIAÇÕES!N477&lt;TODAY()),NEGOCIAÇÕES!N477,"")</f>
        <v/>
      </c>
      <c r="F477" s="6"/>
    </row>
    <row r="478" spans="2:6" ht="31.95" hidden="1" customHeight="1" x14ac:dyDescent="0.3">
      <c r="B478" s="6" t="str">
        <f ca="1">IF(AND(NEGOCIAÇÕES!O478="",NEGOCIAÇÕES!N478&lt;TODAY()),NEGOCIAÇÕES!C478,"")</f>
        <v/>
      </c>
      <c r="C478" s="6" t="str">
        <f ca="1">IF(AND(NEGOCIAÇÕES!O478="",NEGOCIAÇÕES!N478&lt;TODAY()),NEGOCIAÇÕES!E478,"")</f>
        <v/>
      </c>
      <c r="D478" s="6" t="str">
        <f ca="1">IF(AND(NEGOCIAÇÕES!O478="",NEGOCIAÇÕES!N478&lt;TODAY()),NEGOCIAÇÕES!D478,"")</f>
        <v/>
      </c>
      <c r="E478" s="9" t="str">
        <f ca="1">IF(AND(NEGOCIAÇÕES!O478="",NEGOCIAÇÕES!N478&lt;TODAY()),NEGOCIAÇÕES!N478,"")</f>
        <v/>
      </c>
      <c r="F478" s="6"/>
    </row>
    <row r="479" spans="2:6" ht="31.95" hidden="1" customHeight="1" x14ac:dyDescent="0.3">
      <c r="B479" s="6" t="str">
        <f ca="1">IF(AND(NEGOCIAÇÕES!O479="",NEGOCIAÇÕES!N479&lt;TODAY()),NEGOCIAÇÕES!C479,"")</f>
        <v/>
      </c>
      <c r="C479" s="6" t="str">
        <f ca="1">IF(AND(NEGOCIAÇÕES!O479="",NEGOCIAÇÕES!N479&lt;TODAY()),NEGOCIAÇÕES!E479,"")</f>
        <v/>
      </c>
      <c r="D479" s="6" t="str">
        <f ca="1">IF(AND(NEGOCIAÇÕES!O479="",NEGOCIAÇÕES!N479&lt;TODAY()),NEGOCIAÇÕES!D479,"")</f>
        <v/>
      </c>
      <c r="E479" s="9" t="str">
        <f ca="1">IF(AND(NEGOCIAÇÕES!O479="",NEGOCIAÇÕES!N479&lt;TODAY()),NEGOCIAÇÕES!N479,"")</f>
        <v/>
      </c>
      <c r="F479" s="6"/>
    </row>
    <row r="480" spans="2:6" ht="31.95" hidden="1" customHeight="1" x14ac:dyDescent="0.3">
      <c r="B480" s="6" t="str">
        <f ca="1">IF(AND(NEGOCIAÇÕES!O480="",NEGOCIAÇÕES!N480&lt;TODAY()),NEGOCIAÇÕES!C480,"")</f>
        <v/>
      </c>
      <c r="C480" s="6" t="str">
        <f ca="1">IF(AND(NEGOCIAÇÕES!O480="",NEGOCIAÇÕES!N480&lt;TODAY()),NEGOCIAÇÕES!E480,"")</f>
        <v/>
      </c>
      <c r="D480" s="6" t="str">
        <f ca="1">IF(AND(NEGOCIAÇÕES!O480="",NEGOCIAÇÕES!N480&lt;TODAY()),NEGOCIAÇÕES!D480,"")</f>
        <v/>
      </c>
      <c r="E480" s="9" t="str">
        <f ca="1">IF(AND(NEGOCIAÇÕES!O480="",NEGOCIAÇÕES!N480&lt;TODAY()),NEGOCIAÇÕES!N480,"")</f>
        <v/>
      </c>
      <c r="F480" s="6"/>
    </row>
    <row r="481" spans="2:6" ht="31.95" hidden="1" customHeight="1" x14ac:dyDescent="0.3">
      <c r="B481" s="6" t="str">
        <f ca="1">IF(AND(NEGOCIAÇÕES!O481="",NEGOCIAÇÕES!N481&lt;TODAY()),NEGOCIAÇÕES!C481,"")</f>
        <v/>
      </c>
      <c r="C481" s="6" t="str">
        <f ca="1">IF(AND(NEGOCIAÇÕES!O481="",NEGOCIAÇÕES!N481&lt;TODAY()),NEGOCIAÇÕES!E481,"")</f>
        <v/>
      </c>
      <c r="D481" s="6" t="str">
        <f ca="1">IF(AND(NEGOCIAÇÕES!O481="",NEGOCIAÇÕES!N481&lt;TODAY()),NEGOCIAÇÕES!D481,"")</f>
        <v/>
      </c>
      <c r="E481" s="9" t="str">
        <f ca="1">IF(AND(NEGOCIAÇÕES!O481="",NEGOCIAÇÕES!N481&lt;TODAY()),NEGOCIAÇÕES!N481,"")</f>
        <v/>
      </c>
      <c r="F481" s="6"/>
    </row>
    <row r="482" spans="2:6" ht="31.95" hidden="1" customHeight="1" x14ac:dyDescent="0.3">
      <c r="B482" s="6" t="str">
        <f ca="1">IF(AND(NEGOCIAÇÕES!O482="",NEGOCIAÇÕES!N482&lt;TODAY()),NEGOCIAÇÕES!C482,"")</f>
        <v/>
      </c>
      <c r="C482" s="6" t="str">
        <f ca="1">IF(AND(NEGOCIAÇÕES!O482="",NEGOCIAÇÕES!N482&lt;TODAY()),NEGOCIAÇÕES!E482,"")</f>
        <v/>
      </c>
      <c r="D482" s="6" t="str">
        <f ca="1">IF(AND(NEGOCIAÇÕES!O482="",NEGOCIAÇÕES!N482&lt;TODAY()),NEGOCIAÇÕES!D482,"")</f>
        <v/>
      </c>
      <c r="E482" s="9" t="str">
        <f ca="1">IF(AND(NEGOCIAÇÕES!O482="",NEGOCIAÇÕES!N482&lt;TODAY()),NEGOCIAÇÕES!N482,"")</f>
        <v/>
      </c>
      <c r="F482" s="6"/>
    </row>
    <row r="483" spans="2:6" ht="31.95" hidden="1" customHeight="1" x14ac:dyDescent="0.3">
      <c r="B483" s="6" t="str">
        <f ca="1">IF(AND(NEGOCIAÇÕES!O483="",NEGOCIAÇÕES!N483&lt;TODAY()),NEGOCIAÇÕES!C483,"")</f>
        <v/>
      </c>
      <c r="C483" s="6" t="str">
        <f ca="1">IF(AND(NEGOCIAÇÕES!O483="",NEGOCIAÇÕES!N483&lt;TODAY()),NEGOCIAÇÕES!E483,"")</f>
        <v/>
      </c>
      <c r="D483" s="6" t="str">
        <f ca="1">IF(AND(NEGOCIAÇÕES!O483="",NEGOCIAÇÕES!N483&lt;TODAY()),NEGOCIAÇÕES!D483,"")</f>
        <v/>
      </c>
      <c r="E483" s="9" t="str">
        <f ca="1">IF(AND(NEGOCIAÇÕES!O483="",NEGOCIAÇÕES!N483&lt;TODAY()),NEGOCIAÇÕES!N483,"")</f>
        <v/>
      </c>
      <c r="F483" s="6"/>
    </row>
    <row r="484" spans="2:6" ht="31.95" hidden="1" customHeight="1" x14ac:dyDescent="0.3">
      <c r="B484" s="6" t="str">
        <f ca="1">IF(AND(NEGOCIAÇÕES!O484="",NEGOCIAÇÕES!N484&lt;TODAY()),NEGOCIAÇÕES!C484,"")</f>
        <v/>
      </c>
      <c r="C484" s="6" t="str">
        <f ca="1">IF(AND(NEGOCIAÇÕES!O484="",NEGOCIAÇÕES!N484&lt;TODAY()),NEGOCIAÇÕES!E484,"")</f>
        <v/>
      </c>
      <c r="D484" s="6" t="str">
        <f ca="1">IF(AND(NEGOCIAÇÕES!O484="",NEGOCIAÇÕES!N484&lt;TODAY()),NEGOCIAÇÕES!D484,"")</f>
        <v/>
      </c>
      <c r="E484" s="9" t="str">
        <f ca="1">IF(AND(NEGOCIAÇÕES!O484="",NEGOCIAÇÕES!N484&lt;TODAY()),NEGOCIAÇÕES!N484,"")</f>
        <v/>
      </c>
      <c r="F484" s="6"/>
    </row>
    <row r="485" spans="2:6" ht="31.95" hidden="1" customHeight="1" x14ac:dyDescent="0.3">
      <c r="B485" s="6" t="str">
        <f ca="1">IF(AND(NEGOCIAÇÕES!O485="",NEGOCIAÇÕES!N485&lt;TODAY()),NEGOCIAÇÕES!C485,"")</f>
        <v/>
      </c>
      <c r="C485" s="6" t="str">
        <f ca="1">IF(AND(NEGOCIAÇÕES!O485="",NEGOCIAÇÕES!N485&lt;TODAY()),NEGOCIAÇÕES!E485,"")</f>
        <v/>
      </c>
      <c r="D485" s="6" t="str">
        <f ca="1">IF(AND(NEGOCIAÇÕES!O485="",NEGOCIAÇÕES!N485&lt;TODAY()),NEGOCIAÇÕES!D485,"")</f>
        <v/>
      </c>
      <c r="E485" s="9" t="str">
        <f ca="1">IF(AND(NEGOCIAÇÕES!O485="",NEGOCIAÇÕES!N485&lt;TODAY()),NEGOCIAÇÕES!N485,"")</f>
        <v/>
      </c>
      <c r="F485" s="6"/>
    </row>
    <row r="486" spans="2:6" ht="31.95" hidden="1" customHeight="1" x14ac:dyDescent="0.3">
      <c r="B486" s="6" t="str">
        <f ca="1">IF(AND(NEGOCIAÇÕES!O486="",NEGOCIAÇÕES!N486&lt;TODAY()),NEGOCIAÇÕES!C486,"")</f>
        <v/>
      </c>
      <c r="C486" s="6" t="str">
        <f ca="1">IF(AND(NEGOCIAÇÕES!O486="",NEGOCIAÇÕES!N486&lt;TODAY()),NEGOCIAÇÕES!E486,"")</f>
        <v/>
      </c>
      <c r="D486" s="6" t="str">
        <f ca="1">IF(AND(NEGOCIAÇÕES!O486="",NEGOCIAÇÕES!N486&lt;TODAY()),NEGOCIAÇÕES!D486,"")</f>
        <v/>
      </c>
      <c r="E486" s="9" t="str">
        <f ca="1">IF(AND(NEGOCIAÇÕES!O486="",NEGOCIAÇÕES!N486&lt;TODAY()),NEGOCIAÇÕES!N486,"")</f>
        <v/>
      </c>
      <c r="F486" s="6"/>
    </row>
    <row r="487" spans="2:6" ht="31.95" hidden="1" customHeight="1" x14ac:dyDescent="0.3">
      <c r="B487" s="6" t="str">
        <f ca="1">IF(AND(NEGOCIAÇÕES!O487="",NEGOCIAÇÕES!N487&lt;TODAY()),NEGOCIAÇÕES!C487,"")</f>
        <v/>
      </c>
      <c r="C487" s="6" t="str">
        <f ca="1">IF(AND(NEGOCIAÇÕES!O487="",NEGOCIAÇÕES!N487&lt;TODAY()),NEGOCIAÇÕES!E487,"")</f>
        <v/>
      </c>
      <c r="D487" s="6" t="str">
        <f ca="1">IF(AND(NEGOCIAÇÕES!O487="",NEGOCIAÇÕES!N487&lt;TODAY()),NEGOCIAÇÕES!D487,"")</f>
        <v/>
      </c>
      <c r="E487" s="9" t="str">
        <f ca="1">IF(AND(NEGOCIAÇÕES!O487="",NEGOCIAÇÕES!N487&lt;TODAY()),NEGOCIAÇÕES!N487,"")</f>
        <v/>
      </c>
      <c r="F487" s="6"/>
    </row>
    <row r="488" spans="2:6" ht="31.95" hidden="1" customHeight="1" x14ac:dyDescent="0.3">
      <c r="B488" s="6" t="str">
        <f ca="1">IF(AND(NEGOCIAÇÕES!O488="",NEGOCIAÇÕES!N488&lt;TODAY()),NEGOCIAÇÕES!C488,"")</f>
        <v/>
      </c>
      <c r="C488" s="6" t="str">
        <f ca="1">IF(AND(NEGOCIAÇÕES!O488="",NEGOCIAÇÕES!N488&lt;TODAY()),NEGOCIAÇÕES!E488,"")</f>
        <v/>
      </c>
      <c r="D488" s="6" t="str">
        <f ca="1">IF(AND(NEGOCIAÇÕES!O488="",NEGOCIAÇÕES!N488&lt;TODAY()),NEGOCIAÇÕES!D488,"")</f>
        <v/>
      </c>
      <c r="E488" s="9" t="str">
        <f ca="1">IF(AND(NEGOCIAÇÕES!O488="",NEGOCIAÇÕES!N488&lt;TODAY()),NEGOCIAÇÕES!N488,"")</f>
        <v/>
      </c>
      <c r="F488" s="6"/>
    </row>
    <row r="489" spans="2:6" ht="31.95" hidden="1" customHeight="1" x14ac:dyDescent="0.3">
      <c r="B489" s="6" t="str">
        <f ca="1">IF(AND(NEGOCIAÇÕES!O489="",NEGOCIAÇÕES!N489&lt;TODAY()),NEGOCIAÇÕES!C489,"")</f>
        <v/>
      </c>
      <c r="C489" s="6" t="str">
        <f ca="1">IF(AND(NEGOCIAÇÕES!O489="",NEGOCIAÇÕES!N489&lt;TODAY()),NEGOCIAÇÕES!E489,"")</f>
        <v/>
      </c>
      <c r="D489" s="6" t="str">
        <f ca="1">IF(AND(NEGOCIAÇÕES!O489="",NEGOCIAÇÕES!N489&lt;TODAY()),NEGOCIAÇÕES!D489,"")</f>
        <v/>
      </c>
      <c r="E489" s="9" t="str">
        <f ca="1">IF(AND(NEGOCIAÇÕES!O489="",NEGOCIAÇÕES!N489&lt;TODAY()),NEGOCIAÇÕES!N489,"")</f>
        <v/>
      </c>
      <c r="F489" s="6"/>
    </row>
    <row r="490" spans="2:6" ht="31.95" hidden="1" customHeight="1" x14ac:dyDescent="0.3">
      <c r="B490" s="6" t="str">
        <f ca="1">IF(AND(NEGOCIAÇÕES!O490="",NEGOCIAÇÕES!N490&lt;TODAY()),NEGOCIAÇÕES!C490,"")</f>
        <v/>
      </c>
      <c r="C490" s="6" t="str">
        <f ca="1">IF(AND(NEGOCIAÇÕES!O490="",NEGOCIAÇÕES!N490&lt;TODAY()),NEGOCIAÇÕES!E490,"")</f>
        <v/>
      </c>
      <c r="D490" s="6" t="str">
        <f ca="1">IF(AND(NEGOCIAÇÕES!O490="",NEGOCIAÇÕES!N490&lt;TODAY()),NEGOCIAÇÕES!D490,"")</f>
        <v/>
      </c>
      <c r="E490" s="9" t="str">
        <f ca="1">IF(AND(NEGOCIAÇÕES!O490="",NEGOCIAÇÕES!N490&lt;TODAY()),NEGOCIAÇÕES!N490,"")</f>
        <v/>
      </c>
      <c r="F490" s="6"/>
    </row>
    <row r="491" spans="2:6" ht="31.95" hidden="1" customHeight="1" x14ac:dyDescent="0.3">
      <c r="B491" s="6" t="str">
        <f ca="1">IF(AND(NEGOCIAÇÕES!O491="",NEGOCIAÇÕES!N491&lt;TODAY()),NEGOCIAÇÕES!C491,"")</f>
        <v/>
      </c>
      <c r="C491" s="6" t="str">
        <f ca="1">IF(AND(NEGOCIAÇÕES!O491="",NEGOCIAÇÕES!N491&lt;TODAY()),NEGOCIAÇÕES!E491,"")</f>
        <v/>
      </c>
      <c r="D491" s="6" t="str">
        <f ca="1">IF(AND(NEGOCIAÇÕES!O491="",NEGOCIAÇÕES!N491&lt;TODAY()),NEGOCIAÇÕES!D491,"")</f>
        <v/>
      </c>
      <c r="E491" s="9" t="str">
        <f ca="1">IF(AND(NEGOCIAÇÕES!O491="",NEGOCIAÇÕES!N491&lt;TODAY()),NEGOCIAÇÕES!N491,"")</f>
        <v/>
      </c>
      <c r="F491" s="6"/>
    </row>
    <row r="492" spans="2:6" ht="31.95" hidden="1" customHeight="1" x14ac:dyDescent="0.3">
      <c r="B492" s="6" t="str">
        <f ca="1">IF(AND(NEGOCIAÇÕES!O492="",NEGOCIAÇÕES!N492&lt;TODAY()),NEGOCIAÇÕES!C492,"")</f>
        <v/>
      </c>
      <c r="C492" s="6" t="str">
        <f ca="1">IF(AND(NEGOCIAÇÕES!O492="",NEGOCIAÇÕES!N492&lt;TODAY()),NEGOCIAÇÕES!E492,"")</f>
        <v/>
      </c>
      <c r="D492" s="6" t="str">
        <f ca="1">IF(AND(NEGOCIAÇÕES!O492="",NEGOCIAÇÕES!N492&lt;TODAY()),NEGOCIAÇÕES!D492,"")</f>
        <v/>
      </c>
      <c r="E492" s="9" t="str">
        <f ca="1">IF(AND(NEGOCIAÇÕES!O492="",NEGOCIAÇÕES!N492&lt;TODAY()),NEGOCIAÇÕES!N492,"")</f>
        <v/>
      </c>
      <c r="F492" s="6"/>
    </row>
    <row r="493" spans="2:6" ht="31.95" hidden="1" customHeight="1" x14ac:dyDescent="0.3">
      <c r="B493" s="6" t="str">
        <f ca="1">IF(AND(NEGOCIAÇÕES!O493="",NEGOCIAÇÕES!N493&lt;TODAY()),NEGOCIAÇÕES!C493,"")</f>
        <v/>
      </c>
      <c r="C493" s="6" t="str">
        <f ca="1">IF(AND(NEGOCIAÇÕES!O493="",NEGOCIAÇÕES!N493&lt;TODAY()),NEGOCIAÇÕES!E493,"")</f>
        <v/>
      </c>
      <c r="D493" s="6" t="str">
        <f ca="1">IF(AND(NEGOCIAÇÕES!O493="",NEGOCIAÇÕES!N493&lt;TODAY()),NEGOCIAÇÕES!D493,"")</f>
        <v/>
      </c>
      <c r="E493" s="9" t="str">
        <f ca="1">IF(AND(NEGOCIAÇÕES!O493="",NEGOCIAÇÕES!N493&lt;TODAY()),NEGOCIAÇÕES!N493,"")</f>
        <v/>
      </c>
      <c r="F493" s="6"/>
    </row>
    <row r="494" spans="2:6" ht="31.95" hidden="1" customHeight="1" x14ac:dyDescent="0.3">
      <c r="B494" s="6" t="str">
        <f ca="1">IF(AND(NEGOCIAÇÕES!O494="",NEGOCIAÇÕES!N494&lt;TODAY()),NEGOCIAÇÕES!C494,"")</f>
        <v/>
      </c>
      <c r="C494" s="6" t="str">
        <f ca="1">IF(AND(NEGOCIAÇÕES!O494="",NEGOCIAÇÕES!N494&lt;TODAY()),NEGOCIAÇÕES!E494,"")</f>
        <v/>
      </c>
      <c r="D494" s="6" t="str">
        <f ca="1">IF(AND(NEGOCIAÇÕES!O494="",NEGOCIAÇÕES!N494&lt;TODAY()),NEGOCIAÇÕES!D494,"")</f>
        <v/>
      </c>
      <c r="E494" s="9" t="str">
        <f ca="1">IF(AND(NEGOCIAÇÕES!O494="",NEGOCIAÇÕES!N494&lt;TODAY()),NEGOCIAÇÕES!N494,"")</f>
        <v/>
      </c>
      <c r="F494" s="6"/>
    </row>
    <row r="495" spans="2:6" ht="31.95" hidden="1" customHeight="1" x14ac:dyDescent="0.3">
      <c r="B495" s="6" t="str">
        <f ca="1">IF(AND(NEGOCIAÇÕES!O495="",NEGOCIAÇÕES!N495&lt;TODAY()),NEGOCIAÇÕES!C495,"")</f>
        <v/>
      </c>
      <c r="C495" s="6" t="str">
        <f ca="1">IF(AND(NEGOCIAÇÕES!O495="",NEGOCIAÇÕES!N495&lt;TODAY()),NEGOCIAÇÕES!E495,"")</f>
        <v/>
      </c>
      <c r="D495" s="6" t="str">
        <f ca="1">IF(AND(NEGOCIAÇÕES!O495="",NEGOCIAÇÕES!N495&lt;TODAY()),NEGOCIAÇÕES!D495,"")</f>
        <v/>
      </c>
      <c r="E495" s="9" t="str">
        <f ca="1">IF(AND(NEGOCIAÇÕES!O495="",NEGOCIAÇÕES!N495&lt;TODAY()),NEGOCIAÇÕES!N495,"")</f>
        <v/>
      </c>
      <c r="F495" s="6"/>
    </row>
    <row r="496" spans="2:6" ht="31.95" hidden="1" customHeight="1" x14ac:dyDescent="0.3">
      <c r="B496" s="6" t="str">
        <f ca="1">IF(AND(NEGOCIAÇÕES!O496="",NEGOCIAÇÕES!N496&lt;TODAY()),NEGOCIAÇÕES!C496,"")</f>
        <v/>
      </c>
      <c r="C496" s="6" t="str">
        <f ca="1">IF(AND(NEGOCIAÇÕES!O496="",NEGOCIAÇÕES!N496&lt;TODAY()),NEGOCIAÇÕES!E496,"")</f>
        <v/>
      </c>
      <c r="D496" s="6" t="str">
        <f ca="1">IF(AND(NEGOCIAÇÕES!O496="",NEGOCIAÇÕES!N496&lt;TODAY()),NEGOCIAÇÕES!D496,"")</f>
        <v/>
      </c>
      <c r="E496" s="9" t="str">
        <f ca="1">IF(AND(NEGOCIAÇÕES!O496="",NEGOCIAÇÕES!N496&lt;TODAY()),NEGOCIAÇÕES!N496,"")</f>
        <v/>
      </c>
      <c r="F496" s="6"/>
    </row>
    <row r="497" spans="2:6" ht="31.95" hidden="1" customHeight="1" x14ac:dyDescent="0.3">
      <c r="B497" s="6" t="str">
        <f ca="1">IF(AND(NEGOCIAÇÕES!O497="",NEGOCIAÇÕES!N497&lt;TODAY()),NEGOCIAÇÕES!C497,"")</f>
        <v/>
      </c>
      <c r="C497" s="6" t="str">
        <f ca="1">IF(AND(NEGOCIAÇÕES!O497="",NEGOCIAÇÕES!N497&lt;TODAY()),NEGOCIAÇÕES!E497,"")</f>
        <v/>
      </c>
      <c r="D497" s="6" t="str">
        <f ca="1">IF(AND(NEGOCIAÇÕES!O497="",NEGOCIAÇÕES!N497&lt;TODAY()),NEGOCIAÇÕES!D497,"")</f>
        <v/>
      </c>
      <c r="E497" s="9" t="str">
        <f ca="1">IF(AND(NEGOCIAÇÕES!O497="",NEGOCIAÇÕES!N497&lt;TODAY()),NEGOCIAÇÕES!N497,"")</f>
        <v/>
      </c>
      <c r="F497" s="6"/>
    </row>
    <row r="498" spans="2:6" ht="31.95" hidden="1" customHeight="1" x14ac:dyDescent="0.3">
      <c r="B498" s="6" t="str">
        <f ca="1">IF(AND(NEGOCIAÇÕES!O498="",NEGOCIAÇÕES!N498&lt;TODAY()),NEGOCIAÇÕES!C498,"")</f>
        <v/>
      </c>
      <c r="C498" s="6" t="str">
        <f ca="1">IF(AND(NEGOCIAÇÕES!O498="",NEGOCIAÇÕES!N498&lt;TODAY()),NEGOCIAÇÕES!E498,"")</f>
        <v/>
      </c>
      <c r="D498" s="6" t="str">
        <f ca="1">IF(AND(NEGOCIAÇÕES!O498="",NEGOCIAÇÕES!N498&lt;TODAY()),NEGOCIAÇÕES!D498,"")</f>
        <v/>
      </c>
      <c r="E498" s="9" t="str">
        <f ca="1">IF(AND(NEGOCIAÇÕES!O498="",NEGOCIAÇÕES!N498&lt;TODAY()),NEGOCIAÇÕES!N498,"")</f>
        <v/>
      </c>
      <c r="F498" s="6"/>
    </row>
    <row r="499" spans="2:6" ht="31.95" hidden="1" customHeight="1" x14ac:dyDescent="0.3">
      <c r="B499" s="6" t="str">
        <f ca="1">IF(AND(NEGOCIAÇÕES!O499="",NEGOCIAÇÕES!N499&lt;TODAY()),NEGOCIAÇÕES!C499,"")</f>
        <v/>
      </c>
      <c r="C499" s="6" t="str">
        <f ca="1">IF(AND(NEGOCIAÇÕES!O499="",NEGOCIAÇÕES!N499&lt;TODAY()),NEGOCIAÇÕES!E499,"")</f>
        <v/>
      </c>
      <c r="D499" s="6" t="str">
        <f ca="1">IF(AND(NEGOCIAÇÕES!O499="",NEGOCIAÇÕES!N499&lt;TODAY()),NEGOCIAÇÕES!D499,"")</f>
        <v/>
      </c>
      <c r="E499" s="9" t="str">
        <f ca="1">IF(AND(NEGOCIAÇÕES!O499="",NEGOCIAÇÕES!N499&lt;TODAY()),NEGOCIAÇÕES!N499,"")</f>
        <v/>
      </c>
      <c r="F499" s="6"/>
    </row>
    <row r="500" spans="2:6" ht="31.95" hidden="1" customHeight="1" x14ac:dyDescent="0.3">
      <c r="B500" s="6" t="str">
        <f ca="1">IF(AND(NEGOCIAÇÕES!O500="",NEGOCIAÇÕES!N500&lt;TODAY()),NEGOCIAÇÕES!C500,"")</f>
        <v/>
      </c>
      <c r="C500" s="6" t="str">
        <f ca="1">IF(AND(NEGOCIAÇÕES!O500="",NEGOCIAÇÕES!N500&lt;TODAY()),NEGOCIAÇÕES!E500,"")</f>
        <v/>
      </c>
      <c r="D500" s="6" t="str">
        <f ca="1">IF(AND(NEGOCIAÇÕES!O500="",NEGOCIAÇÕES!N500&lt;TODAY()),NEGOCIAÇÕES!D500,"")</f>
        <v/>
      </c>
      <c r="E500" s="9" t="str">
        <f ca="1">IF(AND(NEGOCIAÇÕES!O500="",NEGOCIAÇÕES!N500&lt;TODAY()),NEGOCIAÇÕES!N500,"")</f>
        <v/>
      </c>
      <c r="F500" s="6"/>
    </row>
    <row r="501" spans="2:6" ht="31.95" hidden="1" customHeight="1" x14ac:dyDescent="0.3">
      <c r="B501" s="6" t="str">
        <f ca="1">IF(AND(NEGOCIAÇÕES!O501="",NEGOCIAÇÕES!N501&lt;TODAY()),NEGOCIAÇÕES!C501,"")</f>
        <v/>
      </c>
      <c r="C501" s="6" t="str">
        <f ca="1">IF(AND(NEGOCIAÇÕES!O501="",NEGOCIAÇÕES!N501&lt;TODAY()),NEGOCIAÇÕES!E501,"")</f>
        <v/>
      </c>
      <c r="D501" s="6" t="str">
        <f ca="1">IF(AND(NEGOCIAÇÕES!O501="",NEGOCIAÇÕES!N501&lt;TODAY()),NEGOCIAÇÕES!D501,"")</f>
        <v/>
      </c>
      <c r="E501" s="9" t="str">
        <f ca="1">IF(AND(NEGOCIAÇÕES!O501="",NEGOCIAÇÕES!N501&lt;TODAY()),NEGOCIAÇÕES!N501,"")</f>
        <v/>
      </c>
      <c r="F501" s="6"/>
    </row>
    <row r="502" spans="2:6" ht="31.95" hidden="1" customHeight="1" x14ac:dyDescent="0.3">
      <c r="B502" s="6" t="str">
        <f ca="1">IF(AND(NEGOCIAÇÕES!O502="",NEGOCIAÇÕES!N502&lt;TODAY()),NEGOCIAÇÕES!C502,"")</f>
        <v/>
      </c>
      <c r="C502" s="6" t="str">
        <f ca="1">IF(AND(NEGOCIAÇÕES!O502="",NEGOCIAÇÕES!N502&lt;TODAY()),NEGOCIAÇÕES!E502,"")</f>
        <v/>
      </c>
      <c r="D502" s="6" t="str">
        <f ca="1">IF(AND(NEGOCIAÇÕES!O502="",NEGOCIAÇÕES!N502&lt;TODAY()),NEGOCIAÇÕES!D502,"")</f>
        <v/>
      </c>
      <c r="E502" s="9" t="str">
        <f ca="1">IF(AND(NEGOCIAÇÕES!O502="",NEGOCIAÇÕES!N502&lt;TODAY()),NEGOCIAÇÕES!N502,"")</f>
        <v/>
      </c>
      <c r="F502" s="6"/>
    </row>
    <row r="503" spans="2:6" ht="31.95" hidden="1" customHeight="1" x14ac:dyDescent="0.3">
      <c r="B503" s="6" t="str">
        <f ca="1">IF(AND(NEGOCIAÇÕES!O503="",NEGOCIAÇÕES!N503&lt;TODAY()),NEGOCIAÇÕES!C503,"")</f>
        <v/>
      </c>
      <c r="C503" s="6" t="str">
        <f ca="1">IF(AND(NEGOCIAÇÕES!O503="",NEGOCIAÇÕES!N503&lt;TODAY()),NEGOCIAÇÕES!E503,"")</f>
        <v/>
      </c>
      <c r="D503" s="6" t="str">
        <f ca="1">IF(AND(NEGOCIAÇÕES!O503="",NEGOCIAÇÕES!N503&lt;TODAY()),NEGOCIAÇÕES!D503,"")</f>
        <v/>
      </c>
      <c r="E503" s="9" t="str">
        <f ca="1">IF(AND(NEGOCIAÇÕES!O503="",NEGOCIAÇÕES!N503&lt;TODAY()),NEGOCIAÇÕES!N503,"")</f>
        <v/>
      </c>
      <c r="F503" s="6"/>
    </row>
    <row r="504" spans="2:6" ht="31.95" hidden="1" customHeight="1" x14ac:dyDescent="0.3">
      <c r="B504" s="6" t="str">
        <f ca="1">IF(AND(NEGOCIAÇÕES!O504="",NEGOCIAÇÕES!N504&lt;TODAY()),NEGOCIAÇÕES!C504,"")</f>
        <v/>
      </c>
      <c r="C504" s="6" t="str">
        <f ca="1">IF(AND(NEGOCIAÇÕES!O504="",NEGOCIAÇÕES!N504&lt;TODAY()),NEGOCIAÇÕES!E504,"")</f>
        <v/>
      </c>
      <c r="D504" s="6" t="str">
        <f ca="1">IF(AND(NEGOCIAÇÕES!O504="",NEGOCIAÇÕES!N504&lt;TODAY()),NEGOCIAÇÕES!D504,"")</f>
        <v/>
      </c>
      <c r="E504" s="9" t="str">
        <f ca="1">IF(AND(NEGOCIAÇÕES!O504="",NEGOCIAÇÕES!N504&lt;TODAY()),NEGOCIAÇÕES!N504,"")</f>
        <v/>
      </c>
      <c r="F504" s="6"/>
    </row>
    <row r="505" spans="2:6" ht="31.95" hidden="1" customHeight="1" x14ac:dyDescent="0.3">
      <c r="B505" s="6" t="str">
        <f ca="1">IF(AND(NEGOCIAÇÕES!O505="",NEGOCIAÇÕES!N505&lt;TODAY()),NEGOCIAÇÕES!C505,"")</f>
        <v/>
      </c>
      <c r="C505" s="6" t="str">
        <f ca="1">IF(AND(NEGOCIAÇÕES!O505="",NEGOCIAÇÕES!N505&lt;TODAY()),NEGOCIAÇÕES!E505,"")</f>
        <v/>
      </c>
      <c r="D505" s="6" t="str">
        <f ca="1">IF(AND(NEGOCIAÇÕES!O505="",NEGOCIAÇÕES!N505&lt;TODAY()),NEGOCIAÇÕES!D505,"")</f>
        <v/>
      </c>
      <c r="E505" s="9" t="str">
        <f ca="1">IF(AND(NEGOCIAÇÕES!O505="",NEGOCIAÇÕES!N505&lt;TODAY()),NEGOCIAÇÕES!N505,"")</f>
        <v/>
      </c>
      <c r="F505" s="6"/>
    </row>
    <row r="506" spans="2:6" ht="31.95" hidden="1" customHeight="1" x14ac:dyDescent="0.3">
      <c r="B506" s="6" t="str">
        <f ca="1">IF(AND(NEGOCIAÇÕES!O506="",NEGOCIAÇÕES!N506&lt;TODAY()),NEGOCIAÇÕES!C506,"")</f>
        <v/>
      </c>
      <c r="C506" s="6" t="str">
        <f ca="1">IF(AND(NEGOCIAÇÕES!O506="",NEGOCIAÇÕES!N506&lt;TODAY()),NEGOCIAÇÕES!E506,"")</f>
        <v/>
      </c>
      <c r="D506" s="6" t="str">
        <f ca="1">IF(AND(NEGOCIAÇÕES!O506="",NEGOCIAÇÕES!N506&lt;TODAY()),NEGOCIAÇÕES!D506,"")</f>
        <v/>
      </c>
      <c r="E506" s="9" t="str">
        <f ca="1">IF(AND(NEGOCIAÇÕES!O506="",NEGOCIAÇÕES!N506&lt;TODAY()),NEGOCIAÇÕES!N506,"")</f>
        <v/>
      </c>
      <c r="F506" s="6"/>
    </row>
    <row r="507" spans="2:6" ht="31.95" hidden="1" customHeight="1" x14ac:dyDescent="0.3">
      <c r="B507" s="6" t="str">
        <f ca="1">IF(AND(NEGOCIAÇÕES!O507="",NEGOCIAÇÕES!N507&lt;TODAY()),NEGOCIAÇÕES!C507,"")</f>
        <v/>
      </c>
      <c r="C507" s="6" t="str">
        <f ca="1">IF(AND(NEGOCIAÇÕES!O507="",NEGOCIAÇÕES!N507&lt;TODAY()),NEGOCIAÇÕES!E507,"")</f>
        <v/>
      </c>
      <c r="D507" s="6" t="str">
        <f ca="1">IF(AND(NEGOCIAÇÕES!O507="",NEGOCIAÇÕES!N507&lt;TODAY()),NEGOCIAÇÕES!D507,"")</f>
        <v/>
      </c>
      <c r="E507" s="9" t="str">
        <f ca="1">IF(AND(NEGOCIAÇÕES!O507="",NEGOCIAÇÕES!N507&lt;TODAY()),NEGOCIAÇÕES!N507,"")</f>
        <v/>
      </c>
      <c r="F507" s="6"/>
    </row>
    <row r="508" spans="2:6" ht="31.95" hidden="1" customHeight="1" x14ac:dyDescent="0.3">
      <c r="B508" s="6" t="str">
        <f ca="1">IF(AND(NEGOCIAÇÕES!O508="",NEGOCIAÇÕES!N508&lt;TODAY()),NEGOCIAÇÕES!C508,"")</f>
        <v/>
      </c>
      <c r="C508" s="6" t="str">
        <f ca="1">IF(AND(NEGOCIAÇÕES!O508="",NEGOCIAÇÕES!N508&lt;TODAY()),NEGOCIAÇÕES!E508,"")</f>
        <v/>
      </c>
      <c r="D508" s="6" t="str">
        <f ca="1">IF(AND(NEGOCIAÇÕES!O508="",NEGOCIAÇÕES!N508&lt;TODAY()),NEGOCIAÇÕES!D508,"")</f>
        <v/>
      </c>
      <c r="E508" s="9" t="str">
        <f ca="1">IF(AND(NEGOCIAÇÕES!O508="",NEGOCIAÇÕES!N508&lt;TODAY()),NEGOCIAÇÕES!N508,"")</f>
        <v/>
      </c>
      <c r="F508" s="6"/>
    </row>
    <row r="509" spans="2:6" ht="31.95" hidden="1" customHeight="1" x14ac:dyDescent="0.3">
      <c r="B509" s="6" t="str">
        <f ca="1">IF(AND(NEGOCIAÇÕES!O509="",NEGOCIAÇÕES!N509&lt;TODAY()),NEGOCIAÇÕES!C509,"")</f>
        <v/>
      </c>
      <c r="C509" s="6" t="str">
        <f ca="1">IF(AND(NEGOCIAÇÕES!O509="",NEGOCIAÇÕES!N509&lt;TODAY()),NEGOCIAÇÕES!E509,"")</f>
        <v/>
      </c>
      <c r="D509" s="6" t="str">
        <f ca="1">IF(AND(NEGOCIAÇÕES!O509="",NEGOCIAÇÕES!N509&lt;TODAY()),NEGOCIAÇÕES!D509,"")</f>
        <v/>
      </c>
      <c r="E509" s="9" t="str">
        <f ca="1">IF(AND(NEGOCIAÇÕES!O509="",NEGOCIAÇÕES!N509&lt;TODAY()),NEGOCIAÇÕES!N509,"")</f>
        <v/>
      </c>
      <c r="F509" s="6"/>
    </row>
    <row r="510" spans="2:6" ht="31.95" hidden="1" customHeight="1" x14ac:dyDescent="0.3">
      <c r="B510" s="6" t="str">
        <f ca="1">IF(AND(NEGOCIAÇÕES!O510="",NEGOCIAÇÕES!N510&lt;TODAY()),NEGOCIAÇÕES!C510,"")</f>
        <v/>
      </c>
      <c r="C510" s="6" t="str">
        <f ca="1">IF(AND(NEGOCIAÇÕES!O510="",NEGOCIAÇÕES!N510&lt;TODAY()),NEGOCIAÇÕES!E510,"")</f>
        <v/>
      </c>
      <c r="D510" s="6" t="str">
        <f ca="1">IF(AND(NEGOCIAÇÕES!O510="",NEGOCIAÇÕES!N510&lt;TODAY()),NEGOCIAÇÕES!D510,"")</f>
        <v/>
      </c>
      <c r="E510" s="9" t="str">
        <f ca="1">IF(AND(NEGOCIAÇÕES!O510="",NEGOCIAÇÕES!N510&lt;TODAY()),NEGOCIAÇÕES!N510,"")</f>
        <v/>
      </c>
      <c r="F510" s="6"/>
    </row>
    <row r="511" spans="2:6" ht="31.95" hidden="1" customHeight="1" x14ac:dyDescent="0.3">
      <c r="B511" s="6" t="str">
        <f ca="1">IF(AND(NEGOCIAÇÕES!O511="",NEGOCIAÇÕES!N511&lt;TODAY()),NEGOCIAÇÕES!C511,"")</f>
        <v/>
      </c>
      <c r="C511" s="6" t="str">
        <f ca="1">IF(AND(NEGOCIAÇÕES!O511="",NEGOCIAÇÕES!N511&lt;TODAY()),NEGOCIAÇÕES!E511,"")</f>
        <v/>
      </c>
      <c r="D511" s="6" t="str">
        <f ca="1">IF(AND(NEGOCIAÇÕES!O511="",NEGOCIAÇÕES!N511&lt;TODAY()),NEGOCIAÇÕES!D511,"")</f>
        <v/>
      </c>
      <c r="E511" s="9" t="str">
        <f ca="1">IF(AND(NEGOCIAÇÕES!O511="",NEGOCIAÇÕES!N511&lt;TODAY()),NEGOCIAÇÕES!N511,"")</f>
        <v/>
      </c>
      <c r="F511" s="6"/>
    </row>
    <row r="512" spans="2:6" ht="31.95" hidden="1" customHeight="1" x14ac:dyDescent="0.3">
      <c r="B512" s="6" t="str">
        <f ca="1">IF(AND(NEGOCIAÇÕES!O512="",NEGOCIAÇÕES!N512&lt;TODAY()),NEGOCIAÇÕES!C512,"")</f>
        <v/>
      </c>
      <c r="C512" s="6" t="str">
        <f ca="1">IF(AND(NEGOCIAÇÕES!O512="",NEGOCIAÇÕES!N512&lt;TODAY()),NEGOCIAÇÕES!E512,"")</f>
        <v/>
      </c>
      <c r="D512" s="6" t="str">
        <f ca="1">IF(AND(NEGOCIAÇÕES!O512="",NEGOCIAÇÕES!N512&lt;TODAY()),NEGOCIAÇÕES!D512,"")</f>
        <v/>
      </c>
      <c r="E512" s="9" t="str">
        <f ca="1">IF(AND(NEGOCIAÇÕES!O512="",NEGOCIAÇÕES!N512&lt;TODAY()),NEGOCIAÇÕES!N512,"")</f>
        <v/>
      </c>
      <c r="F512" s="6"/>
    </row>
    <row r="513" spans="2:6" ht="31.95" hidden="1" customHeight="1" x14ac:dyDescent="0.3">
      <c r="B513" s="6" t="str">
        <f ca="1">IF(AND(NEGOCIAÇÕES!O513="",NEGOCIAÇÕES!N513&lt;TODAY()),NEGOCIAÇÕES!C513,"")</f>
        <v/>
      </c>
      <c r="C513" s="6" t="str">
        <f ca="1">IF(AND(NEGOCIAÇÕES!O513="",NEGOCIAÇÕES!N513&lt;TODAY()),NEGOCIAÇÕES!E513,"")</f>
        <v/>
      </c>
      <c r="D513" s="6" t="str">
        <f ca="1">IF(AND(NEGOCIAÇÕES!O513="",NEGOCIAÇÕES!N513&lt;TODAY()),NEGOCIAÇÕES!D513,"")</f>
        <v/>
      </c>
      <c r="E513" s="9" t="str">
        <f ca="1">IF(AND(NEGOCIAÇÕES!O513="",NEGOCIAÇÕES!N513&lt;TODAY()),NEGOCIAÇÕES!N513,"")</f>
        <v/>
      </c>
      <c r="F513" s="6"/>
    </row>
    <row r="514" spans="2:6" ht="31.95" hidden="1" customHeight="1" x14ac:dyDescent="0.3">
      <c r="B514" s="6" t="str">
        <f ca="1">IF(AND(NEGOCIAÇÕES!O514="",NEGOCIAÇÕES!N514&lt;TODAY()),NEGOCIAÇÕES!C514,"")</f>
        <v/>
      </c>
      <c r="C514" s="6" t="str">
        <f ca="1">IF(AND(NEGOCIAÇÕES!O514="",NEGOCIAÇÕES!N514&lt;TODAY()),NEGOCIAÇÕES!E514,"")</f>
        <v/>
      </c>
      <c r="D514" s="6" t="str">
        <f ca="1">IF(AND(NEGOCIAÇÕES!O514="",NEGOCIAÇÕES!N514&lt;TODAY()),NEGOCIAÇÕES!D514,"")</f>
        <v/>
      </c>
      <c r="E514" s="9" t="str">
        <f ca="1">IF(AND(NEGOCIAÇÕES!O514="",NEGOCIAÇÕES!N514&lt;TODAY()),NEGOCIAÇÕES!N514,"")</f>
        <v/>
      </c>
      <c r="F514" s="6"/>
    </row>
    <row r="515" spans="2:6" ht="31.95" hidden="1" customHeight="1" x14ac:dyDescent="0.3">
      <c r="B515" s="6" t="str">
        <f ca="1">IF(AND(NEGOCIAÇÕES!O515="",NEGOCIAÇÕES!N515&lt;TODAY()),NEGOCIAÇÕES!C515,"")</f>
        <v/>
      </c>
      <c r="C515" s="6" t="str">
        <f ca="1">IF(AND(NEGOCIAÇÕES!O515="",NEGOCIAÇÕES!N515&lt;TODAY()),NEGOCIAÇÕES!E515,"")</f>
        <v/>
      </c>
      <c r="D515" s="6" t="str">
        <f ca="1">IF(AND(NEGOCIAÇÕES!O515="",NEGOCIAÇÕES!N515&lt;TODAY()),NEGOCIAÇÕES!D515,"")</f>
        <v/>
      </c>
      <c r="E515" s="9" t="str">
        <f ca="1">IF(AND(NEGOCIAÇÕES!O515="",NEGOCIAÇÕES!N515&lt;TODAY()),NEGOCIAÇÕES!N515,"")</f>
        <v/>
      </c>
      <c r="F515" s="6"/>
    </row>
    <row r="516" spans="2:6" ht="31.95" hidden="1" customHeight="1" x14ac:dyDescent="0.3">
      <c r="B516" s="6" t="str">
        <f ca="1">IF(AND(NEGOCIAÇÕES!O516="",NEGOCIAÇÕES!N516&lt;TODAY()),NEGOCIAÇÕES!C516,"")</f>
        <v/>
      </c>
      <c r="C516" s="6" t="str">
        <f ca="1">IF(AND(NEGOCIAÇÕES!O516="",NEGOCIAÇÕES!N516&lt;TODAY()),NEGOCIAÇÕES!E516,"")</f>
        <v/>
      </c>
      <c r="D516" s="6" t="str">
        <f ca="1">IF(AND(NEGOCIAÇÕES!O516="",NEGOCIAÇÕES!N516&lt;TODAY()),NEGOCIAÇÕES!D516,"")</f>
        <v/>
      </c>
      <c r="E516" s="9" t="str">
        <f ca="1">IF(AND(NEGOCIAÇÕES!O516="",NEGOCIAÇÕES!N516&lt;TODAY()),NEGOCIAÇÕES!N516,"")</f>
        <v/>
      </c>
      <c r="F516" s="6"/>
    </row>
    <row r="517" spans="2:6" ht="31.95" hidden="1" customHeight="1" x14ac:dyDescent="0.3">
      <c r="B517" s="6" t="str">
        <f ca="1">IF(AND(NEGOCIAÇÕES!O517="",NEGOCIAÇÕES!N517&lt;TODAY()),NEGOCIAÇÕES!C517,"")</f>
        <v/>
      </c>
      <c r="C517" s="6" t="str">
        <f ca="1">IF(AND(NEGOCIAÇÕES!O517="",NEGOCIAÇÕES!N517&lt;TODAY()),NEGOCIAÇÕES!E517,"")</f>
        <v/>
      </c>
      <c r="D517" s="6" t="str">
        <f ca="1">IF(AND(NEGOCIAÇÕES!O517="",NEGOCIAÇÕES!N517&lt;TODAY()),NEGOCIAÇÕES!D517,"")</f>
        <v/>
      </c>
      <c r="E517" s="9" t="str">
        <f ca="1">IF(AND(NEGOCIAÇÕES!O517="",NEGOCIAÇÕES!N517&lt;TODAY()),NEGOCIAÇÕES!N517,"")</f>
        <v/>
      </c>
      <c r="F517" s="6"/>
    </row>
    <row r="518" spans="2:6" ht="31.95" hidden="1" customHeight="1" x14ac:dyDescent="0.3">
      <c r="B518" s="6" t="str">
        <f ca="1">IF(AND(NEGOCIAÇÕES!O518="",NEGOCIAÇÕES!N518&lt;TODAY()),NEGOCIAÇÕES!C518,"")</f>
        <v/>
      </c>
      <c r="C518" s="6" t="str">
        <f ca="1">IF(AND(NEGOCIAÇÕES!O518="",NEGOCIAÇÕES!N518&lt;TODAY()),NEGOCIAÇÕES!E518,"")</f>
        <v/>
      </c>
      <c r="D518" s="6" t="str">
        <f ca="1">IF(AND(NEGOCIAÇÕES!O518="",NEGOCIAÇÕES!N518&lt;TODAY()),NEGOCIAÇÕES!D518,"")</f>
        <v/>
      </c>
      <c r="E518" s="9" t="str">
        <f ca="1">IF(AND(NEGOCIAÇÕES!O518="",NEGOCIAÇÕES!N518&lt;TODAY()),NEGOCIAÇÕES!N518,"")</f>
        <v/>
      </c>
      <c r="F518" s="6"/>
    </row>
    <row r="519" spans="2:6" ht="31.95" hidden="1" customHeight="1" x14ac:dyDescent="0.3">
      <c r="B519" s="6" t="str">
        <f ca="1">IF(AND(NEGOCIAÇÕES!O519="",NEGOCIAÇÕES!N519&lt;TODAY()),NEGOCIAÇÕES!C519,"")</f>
        <v/>
      </c>
      <c r="C519" s="6" t="str">
        <f ca="1">IF(AND(NEGOCIAÇÕES!O519="",NEGOCIAÇÕES!N519&lt;TODAY()),NEGOCIAÇÕES!E519,"")</f>
        <v/>
      </c>
      <c r="D519" s="6" t="str">
        <f ca="1">IF(AND(NEGOCIAÇÕES!O519="",NEGOCIAÇÕES!N519&lt;TODAY()),NEGOCIAÇÕES!D519,"")</f>
        <v/>
      </c>
      <c r="E519" s="9" t="str">
        <f ca="1">IF(AND(NEGOCIAÇÕES!O519="",NEGOCIAÇÕES!N519&lt;TODAY()),NEGOCIAÇÕES!N519,"")</f>
        <v/>
      </c>
      <c r="F519" s="6"/>
    </row>
    <row r="520" spans="2:6" ht="31.95" hidden="1" customHeight="1" x14ac:dyDescent="0.3">
      <c r="B520" s="6" t="str">
        <f ca="1">IF(AND(NEGOCIAÇÕES!O520="",NEGOCIAÇÕES!N520&lt;TODAY()),NEGOCIAÇÕES!C520,"")</f>
        <v/>
      </c>
      <c r="C520" s="6" t="str">
        <f ca="1">IF(AND(NEGOCIAÇÕES!O520="",NEGOCIAÇÕES!N520&lt;TODAY()),NEGOCIAÇÕES!E520,"")</f>
        <v/>
      </c>
      <c r="D520" s="6" t="str">
        <f ca="1">IF(AND(NEGOCIAÇÕES!O520="",NEGOCIAÇÕES!N520&lt;TODAY()),NEGOCIAÇÕES!D520,"")</f>
        <v/>
      </c>
      <c r="E520" s="9" t="str">
        <f ca="1">IF(AND(NEGOCIAÇÕES!O520="",NEGOCIAÇÕES!N520&lt;TODAY()),NEGOCIAÇÕES!N520,"")</f>
        <v/>
      </c>
      <c r="F520" s="6"/>
    </row>
    <row r="521" spans="2:6" ht="31.95" hidden="1" customHeight="1" x14ac:dyDescent="0.3">
      <c r="B521" s="6" t="str">
        <f ca="1">IF(AND(NEGOCIAÇÕES!O521="",NEGOCIAÇÕES!N521&lt;TODAY()),NEGOCIAÇÕES!C521,"")</f>
        <v/>
      </c>
      <c r="C521" s="6" t="str">
        <f ca="1">IF(AND(NEGOCIAÇÕES!O521="",NEGOCIAÇÕES!N521&lt;TODAY()),NEGOCIAÇÕES!E521,"")</f>
        <v/>
      </c>
      <c r="D521" s="6" t="str">
        <f ca="1">IF(AND(NEGOCIAÇÕES!O521="",NEGOCIAÇÕES!N521&lt;TODAY()),NEGOCIAÇÕES!D521,"")</f>
        <v/>
      </c>
      <c r="E521" s="9" t="str">
        <f ca="1">IF(AND(NEGOCIAÇÕES!O521="",NEGOCIAÇÕES!N521&lt;TODAY()),NEGOCIAÇÕES!N521,"")</f>
        <v/>
      </c>
      <c r="F521" s="6"/>
    </row>
    <row r="522" spans="2:6" ht="31.95" hidden="1" customHeight="1" x14ac:dyDescent="0.3">
      <c r="B522" s="6" t="str">
        <f ca="1">IF(AND(NEGOCIAÇÕES!O522="",NEGOCIAÇÕES!N522&lt;TODAY()),NEGOCIAÇÕES!C522,"")</f>
        <v/>
      </c>
      <c r="C522" s="6" t="str">
        <f ca="1">IF(AND(NEGOCIAÇÕES!O522="",NEGOCIAÇÕES!N522&lt;TODAY()),NEGOCIAÇÕES!E522,"")</f>
        <v/>
      </c>
      <c r="D522" s="6" t="str">
        <f ca="1">IF(AND(NEGOCIAÇÕES!O522="",NEGOCIAÇÕES!N522&lt;TODAY()),NEGOCIAÇÕES!D522,"")</f>
        <v/>
      </c>
      <c r="E522" s="9" t="str">
        <f ca="1">IF(AND(NEGOCIAÇÕES!O522="",NEGOCIAÇÕES!N522&lt;TODAY()),NEGOCIAÇÕES!N522,"")</f>
        <v/>
      </c>
      <c r="F522" s="6"/>
    </row>
    <row r="523" spans="2:6" ht="31.95" hidden="1" customHeight="1" x14ac:dyDescent="0.3">
      <c r="B523" s="6" t="str">
        <f ca="1">IF(AND(NEGOCIAÇÕES!O523="",NEGOCIAÇÕES!N523&lt;TODAY()),NEGOCIAÇÕES!C523,"")</f>
        <v/>
      </c>
      <c r="C523" s="6" t="str">
        <f ca="1">IF(AND(NEGOCIAÇÕES!O523="",NEGOCIAÇÕES!N523&lt;TODAY()),NEGOCIAÇÕES!E523,"")</f>
        <v/>
      </c>
      <c r="D523" s="6" t="str">
        <f ca="1">IF(AND(NEGOCIAÇÕES!O523="",NEGOCIAÇÕES!N523&lt;TODAY()),NEGOCIAÇÕES!D523,"")</f>
        <v/>
      </c>
      <c r="E523" s="9" t="str">
        <f ca="1">IF(AND(NEGOCIAÇÕES!O523="",NEGOCIAÇÕES!N523&lt;TODAY()),NEGOCIAÇÕES!N523,"")</f>
        <v/>
      </c>
      <c r="F523" s="6"/>
    </row>
    <row r="524" spans="2:6" ht="31.95" hidden="1" customHeight="1" x14ac:dyDescent="0.3">
      <c r="B524" s="6" t="str">
        <f ca="1">IF(AND(NEGOCIAÇÕES!O524="",NEGOCIAÇÕES!N524&lt;TODAY()),NEGOCIAÇÕES!C524,"")</f>
        <v/>
      </c>
      <c r="C524" s="6" t="str">
        <f ca="1">IF(AND(NEGOCIAÇÕES!O524="",NEGOCIAÇÕES!N524&lt;TODAY()),NEGOCIAÇÕES!E524,"")</f>
        <v/>
      </c>
      <c r="D524" s="6" t="str">
        <f ca="1">IF(AND(NEGOCIAÇÕES!O524="",NEGOCIAÇÕES!N524&lt;TODAY()),NEGOCIAÇÕES!D524,"")</f>
        <v/>
      </c>
      <c r="E524" s="9" t="str">
        <f ca="1">IF(AND(NEGOCIAÇÕES!O524="",NEGOCIAÇÕES!N524&lt;TODAY()),NEGOCIAÇÕES!N524,"")</f>
        <v/>
      </c>
      <c r="F524" s="6"/>
    </row>
    <row r="525" spans="2:6" ht="31.95" hidden="1" customHeight="1" x14ac:dyDescent="0.3">
      <c r="B525" s="6" t="str">
        <f ca="1">IF(AND(NEGOCIAÇÕES!O525="",NEGOCIAÇÕES!N525&lt;TODAY()),NEGOCIAÇÕES!C525,"")</f>
        <v/>
      </c>
      <c r="C525" s="6" t="str">
        <f ca="1">IF(AND(NEGOCIAÇÕES!O525="",NEGOCIAÇÕES!N525&lt;TODAY()),NEGOCIAÇÕES!E525,"")</f>
        <v/>
      </c>
      <c r="D525" s="6" t="str">
        <f ca="1">IF(AND(NEGOCIAÇÕES!O525="",NEGOCIAÇÕES!N525&lt;TODAY()),NEGOCIAÇÕES!D525,"")</f>
        <v/>
      </c>
      <c r="E525" s="9" t="str">
        <f ca="1">IF(AND(NEGOCIAÇÕES!O525="",NEGOCIAÇÕES!N525&lt;TODAY()),NEGOCIAÇÕES!N525,"")</f>
        <v/>
      </c>
      <c r="F525" s="6"/>
    </row>
    <row r="526" spans="2:6" ht="31.95" hidden="1" customHeight="1" x14ac:dyDescent="0.3">
      <c r="B526" s="6" t="str">
        <f ca="1">IF(AND(NEGOCIAÇÕES!O526="",NEGOCIAÇÕES!N526&lt;TODAY()),NEGOCIAÇÕES!C526,"")</f>
        <v/>
      </c>
      <c r="C526" s="6" t="str">
        <f ca="1">IF(AND(NEGOCIAÇÕES!O526="",NEGOCIAÇÕES!N526&lt;TODAY()),NEGOCIAÇÕES!E526,"")</f>
        <v/>
      </c>
      <c r="D526" s="6" t="str">
        <f ca="1">IF(AND(NEGOCIAÇÕES!O526="",NEGOCIAÇÕES!N526&lt;TODAY()),NEGOCIAÇÕES!D526,"")</f>
        <v/>
      </c>
      <c r="E526" s="9" t="str">
        <f ca="1">IF(AND(NEGOCIAÇÕES!O526="",NEGOCIAÇÕES!N526&lt;TODAY()),NEGOCIAÇÕES!N526,"")</f>
        <v/>
      </c>
      <c r="F526" s="6"/>
    </row>
    <row r="527" spans="2:6" ht="31.95" hidden="1" customHeight="1" x14ac:dyDescent="0.3">
      <c r="B527" s="6" t="str">
        <f ca="1">IF(AND(NEGOCIAÇÕES!O527="",NEGOCIAÇÕES!N527&lt;TODAY()),NEGOCIAÇÕES!C527,"")</f>
        <v/>
      </c>
      <c r="C527" s="6" t="str">
        <f ca="1">IF(AND(NEGOCIAÇÕES!O527="",NEGOCIAÇÕES!N527&lt;TODAY()),NEGOCIAÇÕES!E527,"")</f>
        <v/>
      </c>
      <c r="D527" s="6" t="str">
        <f ca="1">IF(AND(NEGOCIAÇÕES!O527="",NEGOCIAÇÕES!N527&lt;TODAY()),NEGOCIAÇÕES!D527,"")</f>
        <v/>
      </c>
      <c r="E527" s="9" t="str">
        <f ca="1">IF(AND(NEGOCIAÇÕES!O527="",NEGOCIAÇÕES!N527&lt;TODAY()),NEGOCIAÇÕES!N527,"")</f>
        <v/>
      </c>
      <c r="F527" s="6"/>
    </row>
    <row r="528" spans="2:6" ht="31.95" hidden="1" customHeight="1" x14ac:dyDescent="0.3">
      <c r="B528" s="6" t="str">
        <f ca="1">IF(AND(NEGOCIAÇÕES!O528="",NEGOCIAÇÕES!N528&lt;TODAY()),NEGOCIAÇÕES!C528,"")</f>
        <v/>
      </c>
      <c r="C528" s="6" t="str">
        <f ca="1">IF(AND(NEGOCIAÇÕES!O528="",NEGOCIAÇÕES!N528&lt;TODAY()),NEGOCIAÇÕES!E528,"")</f>
        <v/>
      </c>
      <c r="D528" s="6" t="str">
        <f ca="1">IF(AND(NEGOCIAÇÕES!O528="",NEGOCIAÇÕES!N528&lt;TODAY()),NEGOCIAÇÕES!D528,"")</f>
        <v/>
      </c>
      <c r="E528" s="9" t="str">
        <f ca="1">IF(AND(NEGOCIAÇÕES!O528="",NEGOCIAÇÕES!N528&lt;TODAY()),NEGOCIAÇÕES!N528,"")</f>
        <v/>
      </c>
      <c r="F528" s="6"/>
    </row>
    <row r="529" spans="2:6" ht="31.95" hidden="1" customHeight="1" x14ac:dyDescent="0.3">
      <c r="B529" s="6" t="str">
        <f ca="1">IF(AND(NEGOCIAÇÕES!O529="",NEGOCIAÇÕES!N529&lt;TODAY()),NEGOCIAÇÕES!C529,"")</f>
        <v/>
      </c>
      <c r="C529" s="6" t="str">
        <f ca="1">IF(AND(NEGOCIAÇÕES!O529="",NEGOCIAÇÕES!N529&lt;TODAY()),NEGOCIAÇÕES!E529,"")</f>
        <v/>
      </c>
      <c r="D529" s="6" t="str">
        <f ca="1">IF(AND(NEGOCIAÇÕES!O529="",NEGOCIAÇÕES!N529&lt;TODAY()),NEGOCIAÇÕES!D529,"")</f>
        <v/>
      </c>
      <c r="E529" s="9" t="str">
        <f ca="1">IF(AND(NEGOCIAÇÕES!O529="",NEGOCIAÇÕES!N529&lt;TODAY()),NEGOCIAÇÕES!N529,"")</f>
        <v/>
      </c>
      <c r="F529" s="6"/>
    </row>
    <row r="530" spans="2:6" ht="31.95" hidden="1" customHeight="1" x14ac:dyDescent="0.3">
      <c r="B530" s="6" t="str">
        <f ca="1">IF(AND(NEGOCIAÇÕES!O530="",NEGOCIAÇÕES!N530&lt;TODAY()),NEGOCIAÇÕES!C530,"")</f>
        <v/>
      </c>
      <c r="C530" s="6" t="str">
        <f ca="1">IF(AND(NEGOCIAÇÕES!O530="",NEGOCIAÇÕES!N530&lt;TODAY()),NEGOCIAÇÕES!E530,"")</f>
        <v/>
      </c>
      <c r="D530" s="6" t="str">
        <f ca="1">IF(AND(NEGOCIAÇÕES!O530="",NEGOCIAÇÕES!N530&lt;TODAY()),NEGOCIAÇÕES!D530,"")</f>
        <v/>
      </c>
      <c r="E530" s="9" t="str">
        <f ca="1">IF(AND(NEGOCIAÇÕES!O530="",NEGOCIAÇÕES!N530&lt;TODAY()),NEGOCIAÇÕES!N530,"")</f>
        <v/>
      </c>
      <c r="F530" s="6"/>
    </row>
    <row r="531" spans="2:6" ht="31.95" hidden="1" customHeight="1" x14ac:dyDescent="0.3">
      <c r="B531" s="6" t="str">
        <f ca="1">IF(AND(NEGOCIAÇÕES!O531="",NEGOCIAÇÕES!N531&lt;TODAY()),NEGOCIAÇÕES!C531,"")</f>
        <v/>
      </c>
      <c r="C531" s="6" t="str">
        <f ca="1">IF(AND(NEGOCIAÇÕES!O531="",NEGOCIAÇÕES!N531&lt;TODAY()),NEGOCIAÇÕES!E531,"")</f>
        <v/>
      </c>
      <c r="D531" s="6" t="str">
        <f ca="1">IF(AND(NEGOCIAÇÕES!O531="",NEGOCIAÇÕES!N531&lt;TODAY()),NEGOCIAÇÕES!D531,"")</f>
        <v/>
      </c>
      <c r="E531" s="9" t="str">
        <f ca="1">IF(AND(NEGOCIAÇÕES!O531="",NEGOCIAÇÕES!N531&lt;TODAY()),NEGOCIAÇÕES!N531,"")</f>
        <v/>
      </c>
      <c r="F531" s="6"/>
    </row>
    <row r="532" spans="2:6" ht="31.95" hidden="1" customHeight="1" x14ac:dyDescent="0.3">
      <c r="B532" s="6" t="str">
        <f ca="1">IF(AND(NEGOCIAÇÕES!O532="",NEGOCIAÇÕES!N532&lt;TODAY()),NEGOCIAÇÕES!C532,"")</f>
        <v/>
      </c>
      <c r="C532" s="6" t="str">
        <f ca="1">IF(AND(NEGOCIAÇÕES!O532="",NEGOCIAÇÕES!N532&lt;TODAY()),NEGOCIAÇÕES!E532,"")</f>
        <v/>
      </c>
      <c r="D532" s="6" t="str">
        <f ca="1">IF(AND(NEGOCIAÇÕES!O532="",NEGOCIAÇÕES!N532&lt;TODAY()),NEGOCIAÇÕES!D532,"")</f>
        <v/>
      </c>
      <c r="E532" s="9" t="str">
        <f ca="1">IF(AND(NEGOCIAÇÕES!O532="",NEGOCIAÇÕES!N532&lt;TODAY()),NEGOCIAÇÕES!N532,"")</f>
        <v/>
      </c>
      <c r="F532" s="6"/>
    </row>
    <row r="533" spans="2:6" ht="31.95" hidden="1" customHeight="1" x14ac:dyDescent="0.3">
      <c r="B533" s="6" t="str">
        <f ca="1">IF(AND(NEGOCIAÇÕES!O533="",NEGOCIAÇÕES!N533&lt;TODAY()),NEGOCIAÇÕES!C533,"")</f>
        <v/>
      </c>
      <c r="C533" s="6" t="str">
        <f ca="1">IF(AND(NEGOCIAÇÕES!O533="",NEGOCIAÇÕES!N533&lt;TODAY()),NEGOCIAÇÕES!E533,"")</f>
        <v/>
      </c>
      <c r="D533" s="6" t="str">
        <f ca="1">IF(AND(NEGOCIAÇÕES!O533="",NEGOCIAÇÕES!N533&lt;TODAY()),NEGOCIAÇÕES!D533,"")</f>
        <v/>
      </c>
      <c r="E533" s="9" t="str">
        <f ca="1">IF(AND(NEGOCIAÇÕES!O533="",NEGOCIAÇÕES!N533&lt;TODAY()),NEGOCIAÇÕES!N533,"")</f>
        <v/>
      </c>
      <c r="F533" s="6"/>
    </row>
    <row r="534" spans="2:6" ht="31.95" hidden="1" customHeight="1" x14ac:dyDescent="0.3">
      <c r="B534" s="6" t="str">
        <f ca="1">IF(AND(NEGOCIAÇÕES!O534="",NEGOCIAÇÕES!N534&lt;TODAY()),NEGOCIAÇÕES!C534,"")</f>
        <v/>
      </c>
      <c r="C534" s="6" t="str">
        <f ca="1">IF(AND(NEGOCIAÇÕES!O534="",NEGOCIAÇÕES!N534&lt;TODAY()),NEGOCIAÇÕES!E534,"")</f>
        <v/>
      </c>
      <c r="D534" s="6" t="str">
        <f ca="1">IF(AND(NEGOCIAÇÕES!O534="",NEGOCIAÇÕES!N534&lt;TODAY()),NEGOCIAÇÕES!D534,"")</f>
        <v/>
      </c>
      <c r="E534" s="9" t="str">
        <f ca="1">IF(AND(NEGOCIAÇÕES!O534="",NEGOCIAÇÕES!N534&lt;TODAY()),NEGOCIAÇÕES!N534,"")</f>
        <v/>
      </c>
      <c r="F534" s="6"/>
    </row>
    <row r="535" spans="2:6" ht="31.95" hidden="1" customHeight="1" x14ac:dyDescent="0.3">
      <c r="B535" s="6" t="str">
        <f ca="1">IF(AND(NEGOCIAÇÕES!O535="",NEGOCIAÇÕES!N535&lt;TODAY()),NEGOCIAÇÕES!C535,"")</f>
        <v/>
      </c>
      <c r="C535" s="6" t="str">
        <f ca="1">IF(AND(NEGOCIAÇÕES!O535="",NEGOCIAÇÕES!N535&lt;TODAY()),NEGOCIAÇÕES!E535,"")</f>
        <v/>
      </c>
      <c r="D535" s="6" t="str">
        <f ca="1">IF(AND(NEGOCIAÇÕES!O535="",NEGOCIAÇÕES!N535&lt;TODAY()),NEGOCIAÇÕES!D535,"")</f>
        <v/>
      </c>
      <c r="E535" s="9" t="str">
        <f ca="1">IF(AND(NEGOCIAÇÕES!O535="",NEGOCIAÇÕES!N535&lt;TODAY()),NEGOCIAÇÕES!N535,"")</f>
        <v/>
      </c>
      <c r="F535" s="6"/>
    </row>
    <row r="536" spans="2:6" ht="31.95" hidden="1" customHeight="1" x14ac:dyDescent="0.3">
      <c r="B536" s="6" t="str">
        <f ca="1">IF(AND(NEGOCIAÇÕES!O536="",NEGOCIAÇÕES!N536&lt;TODAY()),NEGOCIAÇÕES!C536,"")</f>
        <v/>
      </c>
      <c r="C536" s="6" t="str">
        <f ca="1">IF(AND(NEGOCIAÇÕES!O536="",NEGOCIAÇÕES!N536&lt;TODAY()),NEGOCIAÇÕES!E536,"")</f>
        <v/>
      </c>
      <c r="D536" s="6" t="str">
        <f ca="1">IF(AND(NEGOCIAÇÕES!O536="",NEGOCIAÇÕES!N536&lt;TODAY()),NEGOCIAÇÕES!D536,"")</f>
        <v/>
      </c>
      <c r="E536" s="9" t="str">
        <f ca="1">IF(AND(NEGOCIAÇÕES!O536="",NEGOCIAÇÕES!N536&lt;TODAY()),NEGOCIAÇÕES!N536,"")</f>
        <v/>
      </c>
      <c r="F536" s="6"/>
    </row>
    <row r="537" spans="2:6" ht="31.95" hidden="1" customHeight="1" x14ac:dyDescent="0.3">
      <c r="B537" s="6" t="str">
        <f ca="1">IF(AND(NEGOCIAÇÕES!O537="",NEGOCIAÇÕES!N537&lt;TODAY()),NEGOCIAÇÕES!C537,"")</f>
        <v/>
      </c>
      <c r="C537" s="6" t="str">
        <f ca="1">IF(AND(NEGOCIAÇÕES!O537="",NEGOCIAÇÕES!N537&lt;TODAY()),NEGOCIAÇÕES!E537,"")</f>
        <v/>
      </c>
      <c r="D537" s="6" t="str">
        <f ca="1">IF(AND(NEGOCIAÇÕES!O537="",NEGOCIAÇÕES!N537&lt;TODAY()),NEGOCIAÇÕES!D537,"")</f>
        <v/>
      </c>
      <c r="E537" s="9" t="str">
        <f ca="1">IF(AND(NEGOCIAÇÕES!O537="",NEGOCIAÇÕES!N537&lt;TODAY()),NEGOCIAÇÕES!N537,"")</f>
        <v/>
      </c>
      <c r="F537" s="6"/>
    </row>
    <row r="538" spans="2:6" ht="31.95" hidden="1" customHeight="1" x14ac:dyDescent="0.3">
      <c r="B538" s="6" t="str">
        <f ca="1">IF(AND(NEGOCIAÇÕES!O538="",NEGOCIAÇÕES!N538&lt;TODAY()),NEGOCIAÇÕES!C538,"")</f>
        <v/>
      </c>
      <c r="C538" s="6" t="str">
        <f ca="1">IF(AND(NEGOCIAÇÕES!O538="",NEGOCIAÇÕES!N538&lt;TODAY()),NEGOCIAÇÕES!E538,"")</f>
        <v/>
      </c>
      <c r="D538" s="6" t="str">
        <f ca="1">IF(AND(NEGOCIAÇÕES!O538="",NEGOCIAÇÕES!N538&lt;TODAY()),NEGOCIAÇÕES!D538,"")</f>
        <v/>
      </c>
      <c r="E538" s="9" t="str">
        <f ca="1">IF(AND(NEGOCIAÇÕES!O538="",NEGOCIAÇÕES!N538&lt;TODAY()),NEGOCIAÇÕES!N538,"")</f>
        <v/>
      </c>
      <c r="F538" s="6"/>
    </row>
    <row r="539" spans="2:6" ht="31.95" hidden="1" customHeight="1" x14ac:dyDescent="0.3">
      <c r="B539" s="6" t="str">
        <f ca="1">IF(AND(NEGOCIAÇÕES!O539="",NEGOCIAÇÕES!N539&lt;TODAY()),NEGOCIAÇÕES!C539,"")</f>
        <v/>
      </c>
      <c r="C539" s="6" t="str">
        <f ca="1">IF(AND(NEGOCIAÇÕES!O539="",NEGOCIAÇÕES!N539&lt;TODAY()),NEGOCIAÇÕES!E539,"")</f>
        <v/>
      </c>
      <c r="D539" s="6" t="str">
        <f ca="1">IF(AND(NEGOCIAÇÕES!O539="",NEGOCIAÇÕES!N539&lt;TODAY()),NEGOCIAÇÕES!D539,"")</f>
        <v/>
      </c>
      <c r="E539" s="9" t="str">
        <f ca="1">IF(AND(NEGOCIAÇÕES!O539="",NEGOCIAÇÕES!N539&lt;TODAY()),NEGOCIAÇÕES!N539,"")</f>
        <v/>
      </c>
      <c r="F539" s="6"/>
    </row>
    <row r="540" spans="2:6" ht="31.95" hidden="1" customHeight="1" x14ac:dyDescent="0.3">
      <c r="B540" s="6" t="str">
        <f ca="1">IF(AND(NEGOCIAÇÕES!O540="",NEGOCIAÇÕES!N540&lt;TODAY()),NEGOCIAÇÕES!C540,"")</f>
        <v/>
      </c>
      <c r="C540" s="6" t="str">
        <f ca="1">IF(AND(NEGOCIAÇÕES!O540="",NEGOCIAÇÕES!N540&lt;TODAY()),NEGOCIAÇÕES!E540,"")</f>
        <v/>
      </c>
      <c r="D540" s="6" t="str">
        <f ca="1">IF(AND(NEGOCIAÇÕES!O540="",NEGOCIAÇÕES!N540&lt;TODAY()),NEGOCIAÇÕES!D540,"")</f>
        <v/>
      </c>
      <c r="E540" s="9" t="str">
        <f ca="1">IF(AND(NEGOCIAÇÕES!O540="",NEGOCIAÇÕES!N540&lt;TODAY()),NEGOCIAÇÕES!N540,"")</f>
        <v/>
      </c>
      <c r="F540" s="6"/>
    </row>
    <row r="541" spans="2:6" ht="31.95" hidden="1" customHeight="1" x14ac:dyDescent="0.3">
      <c r="B541" s="6" t="str">
        <f ca="1">IF(AND(NEGOCIAÇÕES!O541="",NEGOCIAÇÕES!N541&lt;TODAY()),NEGOCIAÇÕES!C541,"")</f>
        <v/>
      </c>
      <c r="C541" s="6" t="str">
        <f ca="1">IF(AND(NEGOCIAÇÕES!O541="",NEGOCIAÇÕES!N541&lt;TODAY()),NEGOCIAÇÕES!E541,"")</f>
        <v/>
      </c>
      <c r="D541" s="6" t="str">
        <f ca="1">IF(AND(NEGOCIAÇÕES!O541="",NEGOCIAÇÕES!N541&lt;TODAY()),NEGOCIAÇÕES!D541,"")</f>
        <v/>
      </c>
      <c r="E541" s="9" t="str">
        <f ca="1">IF(AND(NEGOCIAÇÕES!O541="",NEGOCIAÇÕES!N541&lt;TODAY()),NEGOCIAÇÕES!N541,"")</f>
        <v/>
      </c>
      <c r="F541" s="6"/>
    </row>
    <row r="542" spans="2:6" ht="31.95" hidden="1" customHeight="1" x14ac:dyDescent="0.3">
      <c r="B542" s="6" t="str">
        <f ca="1">IF(AND(NEGOCIAÇÕES!O542="",NEGOCIAÇÕES!N542&lt;TODAY()),NEGOCIAÇÕES!C542,"")</f>
        <v/>
      </c>
      <c r="C542" s="6" t="str">
        <f ca="1">IF(AND(NEGOCIAÇÕES!O542="",NEGOCIAÇÕES!N542&lt;TODAY()),NEGOCIAÇÕES!E542,"")</f>
        <v/>
      </c>
      <c r="D542" s="6" t="str">
        <f ca="1">IF(AND(NEGOCIAÇÕES!O542="",NEGOCIAÇÕES!N542&lt;TODAY()),NEGOCIAÇÕES!D542,"")</f>
        <v/>
      </c>
      <c r="E542" s="9" t="str">
        <f ca="1">IF(AND(NEGOCIAÇÕES!O542="",NEGOCIAÇÕES!N542&lt;TODAY()),NEGOCIAÇÕES!N542,"")</f>
        <v/>
      </c>
      <c r="F542" s="6"/>
    </row>
    <row r="543" spans="2:6" ht="31.95" hidden="1" customHeight="1" x14ac:dyDescent="0.3">
      <c r="B543" s="6" t="str">
        <f ca="1">IF(AND(NEGOCIAÇÕES!O543="",NEGOCIAÇÕES!N543&lt;TODAY()),NEGOCIAÇÕES!C543,"")</f>
        <v/>
      </c>
      <c r="C543" s="6" t="str">
        <f ca="1">IF(AND(NEGOCIAÇÕES!O543="",NEGOCIAÇÕES!N543&lt;TODAY()),NEGOCIAÇÕES!E543,"")</f>
        <v/>
      </c>
      <c r="D543" s="6" t="str">
        <f ca="1">IF(AND(NEGOCIAÇÕES!O543="",NEGOCIAÇÕES!N543&lt;TODAY()),NEGOCIAÇÕES!D543,"")</f>
        <v/>
      </c>
      <c r="E543" s="9" t="str">
        <f ca="1">IF(AND(NEGOCIAÇÕES!O543="",NEGOCIAÇÕES!N543&lt;TODAY()),NEGOCIAÇÕES!N543,"")</f>
        <v/>
      </c>
      <c r="F543" s="6"/>
    </row>
    <row r="544" spans="2:6" ht="31.95" hidden="1" customHeight="1" x14ac:dyDescent="0.3">
      <c r="B544" s="6" t="str">
        <f ca="1">IF(AND(NEGOCIAÇÕES!O544="",NEGOCIAÇÕES!N544&lt;TODAY()),NEGOCIAÇÕES!C544,"")</f>
        <v/>
      </c>
      <c r="C544" s="6" t="str">
        <f ca="1">IF(AND(NEGOCIAÇÕES!O544="",NEGOCIAÇÕES!N544&lt;TODAY()),NEGOCIAÇÕES!E544,"")</f>
        <v/>
      </c>
      <c r="D544" s="6" t="str">
        <f ca="1">IF(AND(NEGOCIAÇÕES!O544="",NEGOCIAÇÕES!N544&lt;TODAY()),NEGOCIAÇÕES!D544,"")</f>
        <v/>
      </c>
      <c r="E544" s="9" t="str">
        <f ca="1">IF(AND(NEGOCIAÇÕES!O544="",NEGOCIAÇÕES!N544&lt;TODAY()),NEGOCIAÇÕES!N544,"")</f>
        <v/>
      </c>
      <c r="F544" s="6"/>
    </row>
    <row r="545" spans="2:6" ht="31.95" hidden="1" customHeight="1" x14ac:dyDescent="0.3">
      <c r="B545" s="6" t="str">
        <f ca="1">IF(AND(NEGOCIAÇÕES!O545="",NEGOCIAÇÕES!N545&lt;TODAY()),NEGOCIAÇÕES!C545,"")</f>
        <v/>
      </c>
      <c r="C545" s="6" t="str">
        <f ca="1">IF(AND(NEGOCIAÇÕES!O545="",NEGOCIAÇÕES!N545&lt;TODAY()),NEGOCIAÇÕES!E545,"")</f>
        <v/>
      </c>
      <c r="D545" s="6" t="str">
        <f ca="1">IF(AND(NEGOCIAÇÕES!O545="",NEGOCIAÇÕES!N545&lt;TODAY()),NEGOCIAÇÕES!D545,"")</f>
        <v/>
      </c>
      <c r="E545" s="9" t="str">
        <f ca="1">IF(AND(NEGOCIAÇÕES!O545="",NEGOCIAÇÕES!N545&lt;TODAY()),NEGOCIAÇÕES!N545,"")</f>
        <v/>
      </c>
      <c r="F545" s="6"/>
    </row>
    <row r="546" spans="2:6" ht="31.95" hidden="1" customHeight="1" x14ac:dyDescent="0.3">
      <c r="B546" s="6" t="str">
        <f ca="1">IF(AND(NEGOCIAÇÕES!O546="",NEGOCIAÇÕES!N546&lt;TODAY()),NEGOCIAÇÕES!C546,"")</f>
        <v/>
      </c>
      <c r="C546" s="6" t="str">
        <f ca="1">IF(AND(NEGOCIAÇÕES!O546="",NEGOCIAÇÕES!N546&lt;TODAY()),NEGOCIAÇÕES!E546,"")</f>
        <v/>
      </c>
      <c r="D546" s="6" t="str">
        <f ca="1">IF(AND(NEGOCIAÇÕES!O546="",NEGOCIAÇÕES!N546&lt;TODAY()),NEGOCIAÇÕES!D546,"")</f>
        <v/>
      </c>
      <c r="E546" s="9" t="str">
        <f ca="1">IF(AND(NEGOCIAÇÕES!O546="",NEGOCIAÇÕES!N546&lt;TODAY()),NEGOCIAÇÕES!N546,"")</f>
        <v/>
      </c>
      <c r="F546" s="6"/>
    </row>
    <row r="547" spans="2:6" ht="31.95" hidden="1" customHeight="1" x14ac:dyDescent="0.3">
      <c r="B547" s="6" t="str">
        <f ca="1">IF(AND(NEGOCIAÇÕES!O547="",NEGOCIAÇÕES!N547&lt;TODAY()),NEGOCIAÇÕES!C547,"")</f>
        <v/>
      </c>
      <c r="C547" s="6" t="str">
        <f ca="1">IF(AND(NEGOCIAÇÕES!O547="",NEGOCIAÇÕES!N547&lt;TODAY()),NEGOCIAÇÕES!E547,"")</f>
        <v/>
      </c>
      <c r="D547" s="6" t="str">
        <f ca="1">IF(AND(NEGOCIAÇÕES!O547="",NEGOCIAÇÕES!N547&lt;TODAY()),NEGOCIAÇÕES!D547,"")</f>
        <v/>
      </c>
      <c r="E547" s="9" t="str">
        <f ca="1">IF(AND(NEGOCIAÇÕES!O547="",NEGOCIAÇÕES!N547&lt;TODAY()),NEGOCIAÇÕES!N547,"")</f>
        <v/>
      </c>
      <c r="F547" s="6"/>
    </row>
    <row r="548" spans="2:6" ht="31.95" hidden="1" customHeight="1" x14ac:dyDescent="0.3">
      <c r="B548" s="6" t="str">
        <f ca="1">IF(AND(NEGOCIAÇÕES!O548="",NEGOCIAÇÕES!N548&lt;TODAY()),NEGOCIAÇÕES!C548,"")</f>
        <v/>
      </c>
      <c r="C548" s="6" t="str">
        <f ca="1">IF(AND(NEGOCIAÇÕES!O548="",NEGOCIAÇÕES!N548&lt;TODAY()),NEGOCIAÇÕES!E548,"")</f>
        <v/>
      </c>
      <c r="D548" s="6" t="str">
        <f ca="1">IF(AND(NEGOCIAÇÕES!O548="",NEGOCIAÇÕES!N548&lt;TODAY()),NEGOCIAÇÕES!D548,"")</f>
        <v/>
      </c>
      <c r="E548" s="9" t="str">
        <f ca="1">IF(AND(NEGOCIAÇÕES!O548="",NEGOCIAÇÕES!N548&lt;TODAY()),NEGOCIAÇÕES!N548,"")</f>
        <v/>
      </c>
      <c r="F548" s="6"/>
    </row>
    <row r="549" spans="2:6" ht="31.95" hidden="1" customHeight="1" x14ac:dyDescent="0.3">
      <c r="B549" s="6" t="str">
        <f ca="1">IF(AND(NEGOCIAÇÕES!O549="",NEGOCIAÇÕES!N549&lt;TODAY()),NEGOCIAÇÕES!C549,"")</f>
        <v/>
      </c>
      <c r="C549" s="6" t="str">
        <f ca="1">IF(AND(NEGOCIAÇÕES!O549="",NEGOCIAÇÕES!N549&lt;TODAY()),NEGOCIAÇÕES!E549,"")</f>
        <v/>
      </c>
      <c r="D549" s="6" t="str">
        <f ca="1">IF(AND(NEGOCIAÇÕES!O549="",NEGOCIAÇÕES!N549&lt;TODAY()),NEGOCIAÇÕES!D549,"")</f>
        <v/>
      </c>
      <c r="E549" s="9" t="str">
        <f ca="1">IF(AND(NEGOCIAÇÕES!O549="",NEGOCIAÇÕES!N549&lt;TODAY()),NEGOCIAÇÕES!N549,"")</f>
        <v/>
      </c>
      <c r="F549" s="6"/>
    </row>
    <row r="550" spans="2:6" ht="31.95" hidden="1" customHeight="1" x14ac:dyDescent="0.3">
      <c r="B550" s="6" t="str">
        <f ca="1">IF(AND(NEGOCIAÇÕES!O550="",NEGOCIAÇÕES!N550&lt;TODAY()),NEGOCIAÇÕES!C550,"")</f>
        <v/>
      </c>
      <c r="C550" s="6" t="str">
        <f ca="1">IF(AND(NEGOCIAÇÕES!O550="",NEGOCIAÇÕES!N550&lt;TODAY()),NEGOCIAÇÕES!E550,"")</f>
        <v/>
      </c>
      <c r="D550" s="6" t="str">
        <f ca="1">IF(AND(NEGOCIAÇÕES!O550="",NEGOCIAÇÕES!N550&lt;TODAY()),NEGOCIAÇÕES!D550,"")</f>
        <v/>
      </c>
      <c r="E550" s="9" t="str">
        <f ca="1">IF(AND(NEGOCIAÇÕES!O550="",NEGOCIAÇÕES!N550&lt;TODAY()),NEGOCIAÇÕES!N550,"")</f>
        <v/>
      </c>
      <c r="F550" s="6"/>
    </row>
    <row r="551" spans="2:6" ht="31.95" hidden="1" customHeight="1" x14ac:dyDescent="0.3">
      <c r="B551" s="6" t="str">
        <f ca="1">IF(AND(NEGOCIAÇÕES!O551="",NEGOCIAÇÕES!N551&lt;TODAY()),NEGOCIAÇÕES!C551,"")</f>
        <v/>
      </c>
      <c r="C551" s="6" t="str">
        <f ca="1">IF(AND(NEGOCIAÇÕES!O551="",NEGOCIAÇÕES!N551&lt;TODAY()),NEGOCIAÇÕES!E551,"")</f>
        <v/>
      </c>
      <c r="D551" s="6" t="str">
        <f ca="1">IF(AND(NEGOCIAÇÕES!O551="",NEGOCIAÇÕES!N551&lt;TODAY()),NEGOCIAÇÕES!D551,"")</f>
        <v/>
      </c>
      <c r="E551" s="9" t="str">
        <f ca="1">IF(AND(NEGOCIAÇÕES!O551="",NEGOCIAÇÕES!N551&lt;TODAY()),NEGOCIAÇÕES!N551,"")</f>
        <v/>
      </c>
      <c r="F551" s="6"/>
    </row>
    <row r="552" spans="2:6" ht="31.95" hidden="1" customHeight="1" x14ac:dyDescent="0.3">
      <c r="B552" s="6" t="str">
        <f ca="1">IF(AND(NEGOCIAÇÕES!O552="",NEGOCIAÇÕES!N552&lt;TODAY()),NEGOCIAÇÕES!C552,"")</f>
        <v/>
      </c>
      <c r="C552" s="6" t="str">
        <f ca="1">IF(AND(NEGOCIAÇÕES!O552="",NEGOCIAÇÕES!N552&lt;TODAY()),NEGOCIAÇÕES!E552,"")</f>
        <v/>
      </c>
      <c r="D552" s="6" t="str">
        <f ca="1">IF(AND(NEGOCIAÇÕES!O552="",NEGOCIAÇÕES!N552&lt;TODAY()),NEGOCIAÇÕES!D552,"")</f>
        <v/>
      </c>
      <c r="E552" s="9" t="str">
        <f ca="1">IF(AND(NEGOCIAÇÕES!O552="",NEGOCIAÇÕES!N552&lt;TODAY()),NEGOCIAÇÕES!N552,"")</f>
        <v/>
      </c>
      <c r="F552" s="6"/>
    </row>
    <row r="553" spans="2:6" ht="31.95" hidden="1" customHeight="1" x14ac:dyDescent="0.3">
      <c r="B553" s="6" t="str">
        <f ca="1">IF(AND(NEGOCIAÇÕES!O553="",NEGOCIAÇÕES!N553&lt;TODAY()),NEGOCIAÇÕES!C553,"")</f>
        <v/>
      </c>
      <c r="C553" s="6" t="str">
        <f ca="1">IF(AND(NEGOCIAÇÕES!O553="",NEGOCIAÇÕES!N553&lt;TODAY()),NEGOCIAÇÕES!E553,"")</f>
        <v/>
      </c>
      <c r="D553" s="6" t="str">
        <f ca="1">IF(AND(NEGOCIAÇÕES!O553="",NEGOCIAÇÕES!N553&lt;TODAY()),NEGOCIAÇÕES!D553,"")</f>
        <v/>
      </c>
      <c r="E553" s="9" t="str">
        <f ca="1">IF(AND(NEGOCIAÇÕES!O553="",NEGOCIAÇÕES!N553&lt;TODAY()),NEGOCIAÇÕES!N553,"")</f>
        <v/>
      </c>
      <c r="F553" s="6"/>
    </row>
    <row r="554" spans="2:6" ht="31.95" hidden="1" customHeight="1" x14ac:dyDescent="0.3">
      <c r="B554" s="6" t="str">
        <f ca="1">IF(AND(NEGOCIAÇÕES!O554="",NEGOCIAÇÕES!N554&lt;TODAY()),NEGOCIAÇÕES!C554,"")</f>
        <v/>
      </c>
      <c r="C554" s="6" t="str">
        <f ca="1">IF(AND(NEGOCIAÇÕES!O554="",NEGOCIAÇÕES!N554&lt;TODAY()),NEGOCIAÇÕES!E554,"")</f>
        <v/>
      </c>
      <c r="D554" s="6" t="str">
        <f ca="1">IF(AND(NEGOCIAÇÕES!O554="",NEGOCIAÇÕES!N554&lt;TODAY()),NEGOCIAÇÕES!D554,"")</f>
        <v/>
      </c>
      <c r="E554" s="9" t="str">
        <f ca="1">IF(AND(NEGOCIAÇÕES!O554="",NEGOCIAÇÕES!N554&lt;TODAY()),NEGOCIAÇÕES!N554,"")</f>
        <v/>
      </c>
      <c r="F554" s="6"/>
    </row>
    <row r="555" spans="2:6" ht="31.95" hidden="1" customHeight="1" x14ac:dyDescent="0.3">
      <c r="B555" s="6" t="str">
        <f ca="1">IF(AND(NEGOCIAÇÕES!O555="",NEGOCIAÇÕES!N555&lt;TODAY()),NEGOCIAÇÕES!C555,"")</f>
        <v/>
      </c>
      <c r="C555" s="6" t="str">
        <f ca="1">IF(AND(NEGOCIAÇÕES!O555="",NEGOCIAÇÕES!N555&lt;TODAY()),NEGOCIAÇÕES!E555,"")</f>
        <v/>
      </c>
      <c r="D555" s="6" t="str">
        <f ca="1">IF(AND(NEGOCIAÇÕES!O555="",NEGOCIAÇÕES!N555&lt;TODAY()),NEGOCIAÇÕES!D555,"")</f>
        <v/>
      </c>
      <c r="E555" s="9" t="str">
        <f ca="1">IF(AND(NEGOCIAÇÕES!O555="",NEGOCIAÇÕES!N555&lt;TODAY()),NEGOCIAÇÕES!N555,"")</f>
        <v/>
      </c>
      <c r="F555" s="6"/>
    </row>
    <row r="556" spans="2:6" ht="31.95" hidden="1" customHeight="1" x14ac:dyDescent="0.3">
      <c r="B556" s="6" t="str">
        <f ca="1">IF(AND(NEGOCIAÇÕES!O556="",NEGOCIAÇÕES!N556&lt;TODAY()),NEGOCIAÇÕES!C556,"")</f>
        <v/>
      </c>
      <c r="C556" s="6" t="str">
        <f ca="1">IF(AND(NEGOCIAÇÕES!O556="",NEGOCIAÇÕES!N556&lt;TODAY()),NEGOCIAÇÕES!E556,"")</f>
        <v/>
      </c>
      <c r="D556" s="6" t="str">
        <f ca="1">IF(AND(NEGOCIAÇÕES!O556="",NEGOCIAÇÕES!N556&lt;TODAY()),NEGOCIAÇÕES!D556,"")</f>
        <v/>
      </c>
      <c r="E556" s="9" t="str">
        <f ca="1">IF(AND(NEGOCIAÇÕES!O556="",NEGOCIAÇÕES!N556&lt;TODAY()),NEGOCIAÇÕES!N556,"")</f>
        <v/>
      </c>
      <c r="F556" s="6"/>
    </row>
    <row r="557" spans="2:6" ht="31.95" hidden="1" customHeight="1" x14ac:dyDescent="0.3">
      <c r="B557" s="6" t="str">
        <f ca="1">IF(AND(NEGOCIAÇÕES!O557="",NEGOCIAÇÕES!N557&lt;TODAY()),NEGOCIAÇÕES!C557,"")</f>
        <v/>
      </c>
      <c r="C557" s="6" t="str">
        <f ca="1">IF(AND(NEGOCIAÇÕES!O557="",NEGOCIAÇÕES!N557&lt;TODAY()),NEGOCIAÇÕES!E557,"")</f>
        <v/>
      </c>
      <c r="D557" s="6" t="str">
        <f ca="1">IF(AND(NEGOCIAÇÕES!O557="",NEGOCIAÇÕES!N557&lt;TODAY()),NEGOCIAÇÕES!D557,"")</f>
        <v/>
      </c>
      <c r="E557" s="9" t="str">
        <f ca="1">IF(AND(NEGOCIAÇÕES!O557="",NEGOCIAÇÕES!N557&lt;TODAY()),NEGOCIAÇÕES!N557,"")</f>
        <v/>
      </c>
      <c r="F557" s="6"/>
    </row>
    <row r="558" spans="2:6" ht="31.95" hidden="1" customHeight="1" x14ac:dyDescent="0.3">
      <c r="B558" s="6" t="str">
        <f ca="1">IF(AND(NEGOCIAÇÕES!O558="",NEGOCIAÇÕES!N558&lt;TODAY()),NEGOCIAÇÕES!C558,"")</f>
        <v/>
      </c>
      <c r="C558" s="6" t="str">
        <f ca="1">IF(AND(NEGOCIAÇÕES!O558="",NEGOCIAÇÕES!N558&lt;TODAY()),NEGOCIAÇÕES!E558,"")</f>
        <v/>
      </c>
      <c r="D558" s="6" t="str">
        <f ca="1">IF(AND(NEGOCIAÇÕES!O558="",NEGOCIAÇÕES!N558&lt;TODAY()),NEGOCIAÇÕES!D558,"")</f>
        <v/>
      </c>
      <c r="E558" s="9" t="str">
        <f ca="1">IF(AND(NEGOCIAÇÕES!O558="",NEGOCIAÇÕES!N558&lt;TODAY()),NEGOCIAÇÕES!N558,"")</f>
        <v/>
      </c>
      <c r="F558" s="6"/>
    </row>
    <row r="559" spans="2:6" ht="31.95" hidden="1" customHeight="1" x14ac:dyDescent="0.3">
      <c r="B559" s="6" t="str">
        <f ca="1">IF(AND(NEGOCIAÇÕES!O559="",NEGOCIAÇÕES!N559&lt;TODAY()),NEGOCIAÇÕES!C559,"")</f>
        <v/>
      </c>
      <c r="C559" s="6" t="str">
        <f ca="1">IF(AND(NEGOCIAÇÕES!O559="",NEGOCIAÇÕES!N559&lt;TODAY()),NEGOCIAÇÕES!E559,"")</f>
        <v/>
      </c>
      <c r="D559" s="6" t="str">
        <f ca="1">IF(AND(NEGOCIAÇÕES!O559="",NEGOCIAÇÕES!N559&lt;TODAY()),NEGOCIAÇÕES!D559,"")</f>
        <v/>
      </c>
      <c r="E559" s="9" t="str">
        <f ca="1">IF(AND(NEGOCIAÇÕES!O559="",NEGOCIAÇÕES!N559&lt;TODAY()),NEGOCIAÇÕES!N559,"")</f>
        <v/>
      </c>
      <c r="F559" s="6"/>
    </row>
    <row r="560" spans="2:6" ht="31.95" hidden="1" customHeight="1" x14ac:dyDescent="0.3">
      <c r="B560" s="6" t="str">
        <f ca="1">IF(AND(NEGOCIAÇÕES!O560="",NEGOCIAÇÕES!N560&lt;TODAY()),NEGOCIAÇÕES!C560,"")</f>
        <v/>
      </c>
      <c r="C560" s="6" t="str">
        <f ca="1">IF(AND(NEGOCIAÇÕES!O560="",NEGOCIAÇÕES!N560&lt;TODAY()),NEGOCIAÇÕES!E560,"")</f>
        <v/>
      </c>
      <c r="D560" s="6" t="str">
        <f ca="1">IF(AND(NEGOCIAÇÕES!O560="",NEGOCIAÇÕES!N560&lt;TODAY()),NEGOCIAÇÕES!D560,"")</f>
        <v/>
      </c>
      <c r="E560" s="9" t="str">
        <f ca="1">IF(AND(NEGOCIAÇÕES!O560="",NEGOCIAÇÕES!N560&lt;TODAY()),NEGOCIAÇÕES!N560,"")</f>
        <v/>
      </c>
      <c r="F560" s="6"/>
    </row>
    <row r="561" spans="2:6" ht="31.95" hidden="1" customHeight="1" x14ac:dyDescent="0.3">
      <c r="B561" s="6" t="str">
        <f ca="1">IF(AND(NEGOCIAÇÕES!O561="",NEGOCIAÇÕES!N561&lt;TODAY()),NEGOCIAÇÕES!C561,"")</f>
        <v/>
      </c>
      <c r="C561" s="6" t="str">
        <f ca="1">IF(AND(NEGOCIAÇÕES!O561="",NEGOCIAÇÕES!N561&lt;TODAY()),NEGOCIAÇÕES!E561,"")</f>
        <v/>
      </c>
      <c r="D561" s="6" t="str">
        <f ca="1">IF(AND(NEGOCIAÇÕES!O561="",NEGOCIAÇÕES!N561&lt;TODAY()),NEGOCIAÇÕES!D561,"")</f>
        <v/>
      </c>
      <c r="E561" s="9" t="str">
        <f ca="1">IF(AND(NEGOCIAÇÕES!O561="",NEGOCIAÇÕES!N561&lt;TODAY()),NEGOCIAÇÕES!N561,"")</f>
        <v/>
      </c>
      <c r="F561" s="6"/>
    </row>
    <row r="562" spans="2:6" ht="31.95" hidden="1" customHeight="1" x14ac:dyDescent="0.3">
      <c r="B562" s="6" t="str">
        <f ca="1">IF(AND(NEGOCIAÇÕES!O562="",NEGOCIAÇÕES!N562&lt;TODAY()),NEGOCIAÇÕES!C562,"")</f>
        <v/>
      </c>
      <c r="C562" s="6" t="str">
        <f ca="1">IF(AND(NEGOCIAÇÕES!O562="",NEGOCIAÇÕES!N562&lt;TODAY()),NEGOCIAÇÕES!E562,"")</f>
        <v/>
      </c>
      <c r="D562" s="6" t="str">
        <f ca="1">IF(AND(NEGOCIAÇÕES!O562="",NEGOCIAÇÕES!N562&lt;TODAY()),NEGOCIAÇÕES!D562,"")</f>
        <v/>
      </c>
      <c r="E562" s="9" t="str">
        <f ca="1">IF(AND(NEGOCIAÇÕES!O562="",NEGOCIAÇÕES!N562&lt;TODAY()),NEGOCIAÇÕES!N562,"")</f>
        <v/>
      </c>
      <c r="F562" s="6"/>
    </row>
    <row r="563" spans="2:6" ht="31.95" hidden="1" customHeight="1" x14ac:dyDescent="0.3">
      <c r="B563" s="6" t="str">
        <f ca="1">IF(AND(NEGOCIAÇÕES!O563="",NEGOCIAÇÕES!N563&lt;TODAY()),NEGOCIAÇÕES!C563,"")</f>
        <v/>
      </c>
      <c r="C563" s="6" t="str">
        <f ca="1">IF(AND(NEGOCIAÇÕES!O563="",NEGOCIAÇÕES!N563&lt;TODAY()),NEGOCIAÇÕES!E563,"")</f>
        <v/>
      </c>
      <c r="D563" s="6" t="str">
        <f ca="1">IF(AND(NEGOCIAÇÕES!O563="",NEGOCIAÇÕES!N563&lt;TODAY()),NEGOCIAÇÕES!D563,"")</f>
        <v/>
      </c>
      <c r="E563" s="9" t="str">
        <f ca="1">IF(AND(NEGOCIAÇÕES!O563="",NEGOCIAÇÕES!N563&lt;TODAY()),NEGOCIAÇÕES!N563,"")</f>
        <v/>
      </c>
      <c r="F563" s="6"/>
    </row>
    <row r="564" spans="2:6" ht="31.95" hidden="1" customHeight="1" x14ac:dyDescent="0.3">
      <c r="B564" s="6" t="str">
        <f ca="1">IF(AND(NEGOCIAÇÕES!O564="",NEGOCIAÇÕES!N564&lt;TODAY()),NEGOCIAÇÕES!C564,"")</f>
        <v/>
      </c>
      <c r="C564" s="6" t="str">
        <f ca="1">IF(AND(NEGOCIAÇÕES!O564="",NEGOCIAÇÕES!N564&lt;TODAY()),NEGOCIAÇÕES!E564,"")</f>
        <v/>
      </c>
      <c r="D564" s="6" t="str">
        <f ca="1">IF(AND(NEGOCIAÇÕES!O564="",NEGOCIAÇÕES!N564&lt;TODAY()),NEGOCIAÇÕES!D564,"")</f>
        <v/>
      </c>
      <c r="E564" s="9" t="str">
        <f ca="1">IF(AND(NEGOCIAÇÕES!O564="",NEGOCIAÇÕES!N564&lt;TODAY()),NEGOCIAÇÕES!N564,"")</f>
        <v/>
      </c>
      <c r="F564" s="6"/>
    </row>
    <row r="565" spans="2:6" ht="31.95" hidden="1" customHeight="1" x14ac:dyDescent="0.3">
      <c r="B565" s="6" t="str">
        <f ca="1">IF(AND(NEGOCIAÇÕES!O565="",NEGOCIAÇÕES!N565&lt;TODAY()),NEGOCIAÇÕES!C565,"")</f>
        <v/>
      </c>
      <c r="C565" s="6" t="str">
        <f ca="1">IF(AND(NEGOCIAÇÕES!O565="",NEGOCIAÇÕES!N565&lt;TODAY()),NEGOCIAÇÕES!E565,"")</f>
        <v/>
      </c>
      <c r="D565" s="6" t="str">
        <f ca="1">IF(AND(NEGOCIAÇÕES!O565="",NEGOCIAÇÕES!N565&lt;TODAY()),NEGOCIAÇÕES!D565,"")</f>
        <v/>
      </c>
      <c r="E565" s="9" t="str">
        <f ca="1">IF(AND(NEGOCIAÇÕES!O565="",NEGOCIAÇÕES!N565&lt;TODAY()),NEGOCIAÇÕES!N565,"")</f>
        <v/>
      </c>
      <c r="F565" s="6"/>
    </row>
    <row r="566" spans="2:6" ht="31.95" hidden="1" customHeight="1" x14ac:dyDescent="0.3">
      <c r="B566" s="6" t="str">
        <f ca="1">IF(AND(NEGOCIAÇÕES!O566="",NEGOCIAÇÕES!N566&lt;TODAY()),NEGOCIAÇÕES!C566,"")</f>
        <v/>
      </c>
      <c r="C566" s="6" t="str">
        <f ca="1">IF(AND(NEGOCIAÇÕES!O566="",NEGOCIAÇÕES!N566&lt;TODAY()),NEGOCIAÇÕES!E566,"")</f>
        <v/>
      </c>
      <c r="D566" s="6" t="str">
        <f ca="1">IF(AND(NEGOCIAÇÕES!O566="",NEGOCIAÇÕES!N566&lt;TODAY()),NEGOCIAÇÕES!D566,"")</f>
        <v/>
      </c>
      <c r="E566" s="9" t="str">
        <f ca="1">IF(AND(NEGOCIAÇÕES!O566="",NEGOCIAÇÕES!N566&lt;TODAY()),NEGOCIAÇÕES!N566,"")</f>
        <v/>
      </c>
      <c r="F566" s="6"/>
    </row>
    <row r="567" spans="2:6" ht="31.95" hidden="1" customHeight="1" x14ac:dyDescent="0.3">
      <c r="B567" s="6" t="str">
        <f ca="1">IF(AND(NEGOCIAÇÕES!O567="",NEGOCIAÇÕES!N567&lt;TODAY()),NEGOCIAÇÕES!C567,"")</f>
        <v/>
      </c>
      <c r="C567" s="6" t="str">
        <f ca="1">IF(AND(NEGOCIAÇÕES!O567="",NEGOCIAÇÕES!N567&lt;TODAY()),NEGOCIAÇÕES!E567,"")</f>
        <v/>
      </c>
      <c r="D567" s="6" t="str">
        <f ca="1">IF(AND(NEGOCIAÇÕES!O567="",NEGOCIAÇÕES!N567&lt;TODAY()),NEGOCIAÇÕES!D567,"")</f>
        <v/>
      </c>
      <c r="E567" s="9" t="str">
        <f ca="1">IF(AND(NEGOCIAÇÕES!O567="",NEGOCIAÇÕES!N567&lt;TODAY()),NEGOCIAÇÕES!N567,"")</f>
        <v/>
      </c>
      <c r="F567" s="6"/>
    </row>
    <row r="568" spans="2:6" ht="31.95" hidden="1" customHeight="1" x14ac:dyDescent="0.3">
      <c r="B568" s="6" t="str">
        <f ca="1">IF(AND(NEGOCIAÇÕES!O568="",NEGOCIAÇÕES!N568&lt;TODAY()),NEGOCIAÇÕES!C568,"")</f>
        <v/>
      </c>
      <c r="C568" s="6" t="str">
        <f ca="1">IF(AND(NEGOCIAÇÕES!O568="",NEGOCIAÇÕES!N568&lt;TODAY()),NEGOCIAÇÕES!E568,"")</f>
        <v/>
      </c>
      <c r="D568" s="6" t="str">
        <f ca="1">IF(AND(NEGOCIAÇÕES!O568="",NEGOCIAÇÕES!N568&lt;TODAY()),NEGOCIAÇÕES!D568,"")</f>
        <v/>
      </c>
      <c r="E568" s="9" t="str">
        <f ca="1">IF(AND(NEGOCIAÇÕES!O568="",NEGOCIAÇÕES!N568&lt;TODAY()),NEGOCIAÇÕES!N568,"")</f>
        <v/>
      </c>
      <c r="F568" s="6"/>
    </row>
    <row r="569" spans="2:6" ht="31.95" hidden="1" customHeight="1" x14ac:dyDescent="0.3">
      <c r="B569" s="6" t="str">
        <f ca="1">IF(AND(NEGOCIAÇÕES!O569="",NEGOCIAÇÕES!N569&lt;TODAY()),NEGOCIAÇÕES!C569,"")</f>
        <v/>
      </c>
      <c r="C569" s="6" t="str">
        <f ca="1">IF(AND(NEGOCIAÇÕES!O569="",NEGOCIAÇÕES!N569&lt;TODAY()),NEGOCIAÇÕES!E569,"")</f>
        <v/>
      </c>
      <c r="D569" s="6" t="str">
        <f ca="1">IF(AND(NEGOCIAÇÕES!O569="",NEGOCIAÇÕES!N569&lt;TODAY()),NEGOCIAÇÕES!D569,"")</f>
        <v/>
      </c>
      <c r="E569" s="9" t="str">
        <f ca="1">IF(AND(NEGOCIAÇÕES!O569="",NEGOCIAÇÕES!N569&lt;TODAY()),NEGOCIAÇÕES!N569,"")</f>
        <v/>
      </c>
      <c r="F569" s="6"/>
    </row>
    <row r="570" spans="2:6" ht="31.95" hidden="1" customHeight="1" x14ac:dyDescent="0.3">
      <c r="B570" s="6" t="str">
        <f ca="1">IF(AND(NEGOCIAÇÕES!O570="",NEGOCIAÇÕES!N570&lt;TODAY()),NEGOCIAÇÕES!C570,"")</f>
        <v/>
      </c>
      <c r="C570" s="6" t="str">
        <f ca="1">IF(AND(NEGOCIAÇÕES!O570="",NEGOCIAÇÕES!N570&lt;TODAY()),NEGOCIAÇÕES!E570,"")</f>
        <v/>
      </c>
      <c r="D570" s="6" t="str">
        <f ca="1">IF(AND(NEGOCIAÇÕES!O570="",NEGOCIAÇÕES!N570&lt;TODAY()),NEGOCIAÇÕES!D570,"")</f>
        <v/>
      </c>
      <c r="E570" s="9" t="str">
        <f ca="1">IF(AND(NEGOCIAÇÕES!O570="",NEGOCIAÇÕES!N570&lt;TODAY()),NEGOCIAÇÕES!N570,"")</f>
        <v/>
      </c>
      <c r="F570" s="6"/>
    </row>
    <row r="571" spans="2:6" ht="31.95" hidden="1" customHeight="1" x14ac:dyDescent="0.3">
      <c r="B571" s="6" t="str">
        <f ca="1">IF(AND(NEGOCIAÇÕES!O571="",NEGOCIAÇÕES!N571&lt;TODAY()),NEGOCIAÇÕES!C571,"")</f>
        <v/>
      </c>
      <c r="C571" s="6" t="str">
        <f ca="1">IF(AND(NEGOCIAÇÕES!O571="",NEGOCIAÇÕES!N571&lt;TODAY()),NEGOCIAÇÕES!E571,"")</f>
        <v/>
      </c>
      <c r="D571" s="6" t="str">
        <f ca="1">IF(AND(NEGOCIAÇÕES!O571="",NEGOCIAÇÕES!N571&lt;TODAY()),NEGOCIAÇÕES!D571,"")</f>
        <v/>
      </c>
      <c r="E571" s="9" t="str">
        <f ca="1">IF(AND(NEGOCIAÇÕES!O571="",NEGOCIAÇÕES!N571&lt;TODAY()),NEGOCIAÇÕES!N571,"")</f>
        <v/>
      </c>
      <c r="F571" s="6"/>
    </row>
    <row r="572" spans="2:6" ht="31.95" hidden="1" customHeight="1" x14ac:dyDescent="0.3">
      <c r="B572" s="6" t="str">
        <f ca="1">IF(AND(NEGOCIAÇÕES!O572="",NEGOCIAÇÕES!N572&lt;TODAY()),NEGOCIAÇÕES!C572,"")</f>
        <v/>
      </c>
      <c r="C572" s="6" t="str">
        <f ca="1">IF(AND(NEGOCIAÇÕES!O572="",NEGOCIAÇÕES!N572&lt;TODAY()),NEGOCIAÇÕES!E572,"")</f>
        <v/>
      </c>
      <c r="D572" s="6" t="str">
        <f ca="1">IF(AND(NEGOCIAÇÕES!O572="",NEGOCIAÇÕES!N572&lt;TODAY()),NEGOCIAÇÕES!D572,"")</f>
        <v/>
      </c>
      <c r="E572" s="9" t="str">
        <f ca="1">IF(AND(NEGOCIAÇÕES!O572="",NEGOCIAÇÕES!N572&lt;TODAY()),NEGOCIAÇÕES!N572,"")</f>
        <v/>
      </c>
      <c r="F572" s="6"/>
    </row>
    <row r="573" spans="2:6" ht="31.95" hidden="1" customHeight="1" x14ac:dyDescent="0.3">
      <c r="B573" s="6" t="str">
        <f ca="1">IF(AND(NEGOCIAÇÕES!O573="",NEGOCIAÇÕES!N573&lt;TODAY()),NEGOCIAÇÕES!C573,"")</f>
        <v/>
      </c>
      <c r="C573" s="6" t="str">
        <f ca="1">IF(AND(NEGOCIAÇÕES!O573="",NEGOCIAÇÕES!N573&lt;TODAY()),NEGOCIAÇÕES!E573,"")</f>
        <v/>
      </c>
      <c r="D573" s="6" t="str">
        <f ca="1">IF(AND(NEGOCIAÇÕES!O573="",NEGOCIAÇÕES!N573&lt;TODAY()),NEGOCIAÇÕES!D573,"")</f>
        <v/>
      </c>
      <c r="E573" s="9" t="str">
        <f ca="1">IF(AND(NEGOCIAÇÕES!O573="",NEGOCIAÇÕES!N573&lt;TODAY()),NEGOCIAÇÕES!N573,"")</f>
        <v/>
      </c>
      <c r="F573" s="6"/>
    </row>
    <row r="574" spans="2:6" ht="31.95" hidden="1" customHeight="1" x14ac:dyDescent="0.3">
      <c r="B574" s="6" t="str">
        <f ca="1">IF(AND(NEGOCIAÇÕES!O574="",NEGOCIAÇÕES!N574&lt;TODAY()),NEGOCIAÇÕES!C574,"")</f>
        <v/>
      </c>
      <c r="C574" s="6" t="str">
        <f ca="1">IF(AND(NEGOCIAÇÕES!O574="",NEGOCIAÇÕES!N574&lt;TODAY()),NEGOCIAÇÕES!E574,"")</f>
        <v/>
      </c>
      <c r="D574" s="6" t="str">
        <f ca="1">IF(AND(NEGOCIAÇÕES!O574="",NEGOCIAÇÕES!N574&lt;TODAY()),NEGOCIAÇÕES!D574,"")</f>
        <v/>
      </c>
      <c r="E574" s="9" t="str">
        <f ca="1">IF(AND(NEGOCIAÇÕES!O574="",NEGOCIAÇÕES!N574&lt;TODAY()),NEGOCIAÇÕES!N574,"")</f>
        <v/>
      </c>
      <c r="F574" s="6"/>
    </row>
    <row r="575" spans="2:6" ht="31.95" hidden="1" customHeight="1" x14ac:dyDescent="0.3">
      <c r="B575" s="6" t="str">
        <f ca="1">IF(AND(NEGOCIAÇÕES!O575="",NEGOCIAÇÕES!N575&lt;TODAY()),NEGOCIAÇÕES!C575,"")</f>
        <v/>
      </c>
      <c r="C575" s="6" t="str">
        <f ca="1">IF(AND(NEGOCIAÇÕES!O575="",NEGOCIAÇÕES!N575&lt;TODAY()),NEGOCIAÇÕES!E575,"")</f>
        <v/>
      </c>
      <c r="D575" s="6" t="str">
        <f ca="1">IF(AND(NEGOCIAÇÕES!O575="",NEGOCIAÇÕES!N575&lt;TODAY()),NEGOCIAÇÕES!D575,"")</f>
        <v/>
      </c>
      <c r="E575" s="9" t="str">
        <f ca="1">IF(AND(NEGOCIAÇÕES!O575="",NEGOCIAÇÕES!N575&lt;TODAY()),NEGOCIAÇÕES!N575,"")</f>
        <v/>
      </c>
      <c r="F575" s="6"/>
    </row>
    <row r="576" spans="2:6" ht="31.95" hidden="1" customHeight="1" x14ac:dyDescent="0.3">
      <c r="B576" s="6" t="str">
        <f ca="1">IF(AND(NEGOCIAÇÕES!O576="",NEGOCIAÇÕES!N576&lt;TODAY()),NEGOCIAÇÕES!C576,"")</f>
        <v/>
      </c>
      <c r="C576" s="6" t="str">
        <f ca="1">IF(AND(NEGOCIAÇÕES!O576="",NEGOCIAÇÕES!N576&lt;TODAY()),NEGOCIAÇÕES!E576,"")</f>
        <v/>
      </c>
      <c r="D576" s="6" t="str">
        <f ca="1">IF(AND(NEGOCIAÇÕES!O576="",NEGOCIAÇÕES!N576&lt;TODAY()),NEGOCIAÇÕES!D576,"")</f>
        <v/>
      </c>
      <c r="E576" s="9" t="str">
        <f ca="1">IF(AND(NEGOCIAÇÕES!O576="",NEGOCIAÇÕES!N576&lt;TODAY()),NEGOCIAÇÕES!N576,"")</f>
        <v/>
      </c>
      <c r="F576" s="6"/>
    </row>
    <row r="577" spans="2:6" ht="31.95" hidden="1" customHeight="1" x14ac:dyDescent="0.3">
      <c r="B577" s="6" t="str">
        <f ca="1">IF(AND(NEGOCIAÇÕES!O577="",NEGOCIAÇÕES!N577&lt;TODAY()),NEGOCIAÇÕES!C577,"")</f>
        <v/>
      </c>
      <c r="C577" s="6" t="str">
        <f ca="1">IF(AND(NEGOCIAÇÕES!O577="",NEGOCIAÇÕES!N577&lt;TODAY()),NEGOCIAÇÕES!E577,"")</f>
        <v/>
      </c>
      <c r="D577" s="6" t="str">
        <f ca="1">IF(AND(NEGOCIAÇÕES!O577="",NEGOCIAÇÕES!N577&lt;TODAY()),NEGOCIAÇÕES!D577,"")</f>
        <v/>
      </c>
      <c r="E577" s="9" t="str">
        <f ca="1">IF(AND(NEGOCIAÇÕES!O577="",NEGOCIAÇÕES!N577&lt;TODAY()),NEGOCIAÇÕES!N577,"")</f>
        <v/>
      </c>
      <c r="F577" s="6"/>
    </row>
    <row r="578" spans="2:6" ht="31.95" hidden="1" customHeight="1" x14ac:dyDescent="0.3">
      <c r="B578" s="6" t="str">
        <f ca="1">IF(AND(NEGOCIAÇÕES!O578="",NEGOCIAÇÕES!N578&lt;TODAY()),NEGOCIAÇÕES!C578,"")</f>
        <v/>
      </c>
      <c r="C578" s="6" t="str">
        <f ca="1">IF(AND(NEGOCIAÇÕES!O578="",NEGOCIAÇÕES!N578&lt;TODAY()),NEGOCIAÇÕES!E578,"")</f>
        <v/>
      </c>
      <c r="D578" s="6" t="str">
        <f ca="1">IF(AND(NEGOCIAÇÕES!O578="",NEGOCIAÇÕES!N578&lt;TODAY()),NEGOCIAÇÕES!D578,"")</f>
        <v/>
      </c>
      <c r="E578" s="9" t="str">
        <f ca="1">IF(AND(NEGOCIAÇÕES!O578="",NEGOCIAÇÕES!N578&lt;TODAY()),NEGOCIAÇÕES!N578,"")</f>
        <v/>
      </c>
      <c r="F578" s="6"/>
    </row>
    <row r="579" spans="2:6" ht="31.95" hidden="1" customHeight="1" x14ac:dyDescent="0.3">
      <c r="B579" s="6" t="str">
        <f ca="1">IF(AND(NEGOCIAÇÕES!O579="",NEGOCIAÇÕES!N579&lt;TODAY()),NEGOCIAÇÕES!C579,"")</f>
        <v/>
      </c>
      <c r="C579" s="6" t="str">
        <f ca="1">IF(AND(NEGOCIAÇÕES!O579="",NEGOCIAÇÕES!N579&lt;TODAY()),NEGOCIAÇÕES!E579,"")</f>
        <v/>
      </c>
      <c r="D579" s="6" t="str">
        <f ca="1">IF(AND(NEGOCIAÇÕES!O579="",NEGOCIAÇÕES!N579&lt;TODAY()),NEGOCIAÇÕES!D579,"")</f>
        <v/>
      </c>
      <c r="E579" s="9" t="str">
        <f ca="1">IF(AND(NEGOCIAÇÕES!O579="",NEGOCIAÇÕES!N579&lt;TODAY()),NEGOCIAÇÕES!N579,"")</f>
        <v/>
      </c>
      <c r="F579" s="6"/>
    </row>
    <row r="580" spans="2:6" ht="31.95" hidden="1" customHeight="1" x14ac:dyDescent="0.3">
      <c r="B580" s="6" t="str">
        <f ca="1">IF(AND(NEGOCIAÇÕES!O580="",NEGOCIAÇÕES!N580&lt;TODAY()),NEGOCIAÇÕES!C580,"")</f>
        <v/>
      </c>
      <c r="C580" s="6" t="str">
        <f ca="1">IF(AND(NEGOCIAÇÕES!O580="",NEGOCIAÇÕES!N580&lt;TODAY()),NEGOCIAÇÕES!E580,"")</f>
        <v/>
      </c>
      <c r="D580" s="6" t="str">
        <f ca="1">IF(AND(NEGOCIAÇÕES!O580="",NEGOCIAÇÕES!N580&lt;TODAY()),NEGOCIAÇÕES!D580,"")</f>
        <v/>
      </c>
      <c r="E580" s="9" t="str">
        <f ca="1">IF(AND(NEGOCIAÇÕES!O580="",NEGOCIAÇÕES!N580&lt;TODAY()),NEGOCIAÇÕES!N580,"")</f>
        <v/>
      </c>
      <c r="F580" s="6"/>
    </row>
    <row r="581" spans="2:6" ht="31.95" hidden="1" customHeight="1" x14ac:dyDescent="0.3">
      <c r="B581" s="6" t="str">
        <f ca="1">IF(AND(NEGOCIAÇÕES!O581="",NEGOCIAÇÕES!N581&lt;TODAY()),NEGOCIAÇÕES!C581,"")</f>
        <v/>
      </c>
      <c r="C581" s="6" t="str">
        <f ca="1">IF(AND(NEGOCIAÇÕES!O581="",NEGOCIAÇÕES!N581&lt;TODAY()),NEGOCIAÇÕES!E581,"")</f>
        <v/>
      </c>
      <c r="D581" s="6" t="str">
        <f ca="1">IF(AND(NEGOCIAÇÕES!O581="",NEGOCIAÇÕES!N581&lt;TODAY()),NEGOCIAÇÕES!D581,"")</f>
        <v/>
      </c>
      <c r="E581" s="9" t="str">
        <f ca="1">IF(AND(NEGOCIAÇÕES!O581="",NEGOCIAÇÕES!N581&lt;TODAY()),NEGOCIAÇÕES!N581,"")</f>
        <v/>
      </c>
      <c r="F581" s="6"/>
    </row>
    <row r="582" spans="2:6" ht="31.95" hidden="1" customHeight="1" x14ac:dyDescent="0.3">
      <c r="B582" s="6" t="str">
        <f ca="1">IF(AND(NEGOCIAÇÕES!O582="",NEGOCIAÇÕES!N582&lt;TODAY()),NEGOCIAÇÕES!C582,"")</f>
        <v/>
      </c>
      <c r="C582" s="6" t="str">
        <f ca="1">IF(AND(NEGOCIAÇÕES!O582="",NEGOCIAÇÕES!N582&lt;TODAY()),NEGOCIAÇÕES!E582,"")</f>
        <v/>
      </c>
      <c r="D582" s="6" t="str">
        <f ca="1">IF(AND(NEGOCIAÇÕES!O582="",NEGOCIAÇÕES!N582&lt;TODAY()),NEGOCIAÇÕES!D582,"")</f>
        <v/>
      </c>
      <c r="E582" s="9" t="str">
        <f ca="1">IF(AND(NEGOCIAÇÕES!O582="",NEGOCIAÇÕES!N582&lt;TODAY()),NEGOCIAÇÕES!N582,"")</f>
        <v/>
      </c>
      <c r="F582" s="6"/>
    </row>
    <row r="583" spans="2:6" ht="31.95" hidden="1" customHeight="1" x14ac:dyDescent="0.3">
      <c r="B583" s="6" t="str">
        <f ca="1">IF(AND(NEGOCIAÇÕES!O583="",NEGOCIAÇÕES!N583&lt;TODAY()),NEGOCIAÇÕES!C583,"")</f>
        <v/>
      </c>
      <c r="C583" s="6" t="str">
        <f ca="1">IF(AND(NEGOCIAÇÕES!O583="",NEGOCIAÇÕES!N583&lt;TODAY()),NEGOCIAÇÕES!E583,"")</f>
        <v/>
      </c>
      <c r="D583" s="6" t="str">
        <f ca="1">IF(AND(NEGOCIAÇÕES!O583="",NEGOCIAÇÕES!N583&lt;TODAY()),NEGOCIAÇÕES!D583,"")</f>
        <v/>
      </c>
      <c r="E583" s="9" t="str">
        <f ca="1">IF(AND(NEGOCIAÇÕES!O583="",NEGOCIAÇÕES!N583&lt;TODAY()),NEGOCIAÇÕES!N583,"")</f>
        <v/>
      </c>
      <c r="F583" s="6"/>
    </row>
    <row r="584" spans="2:6" ht="31.95" hidden="1" customHeight="1" x14ac:dyDescent="0.3">
      <c r="B584" s="6" t="str">
        <f ca="1">IF(AND(NEGOCIAÇÕES!O584="",NEGOCIAÇÕES!N584&lt;TODAY()),NEGOCIAÇÕES!C584,"")</f>
        <v/>
      </c>
      <c r="C584" s="6" t="str">
        <f ca="1">IF(AND(NEGOCIAÇÕES!O584="",NEGOCIAÇÕES!N584&lt;TODAY()),NEGOCIAÇÕES!E584,"")</f>
        <v/>
      </c>
      <c r="D584" s="6" t="str">
        <f ca="1">IF(AND(NEGOCIAÇÕES!O584="",NEGOCIAÇÕES!N584&lt;TODAY()),NEGOCIAÇÕES!D584,"")</f>
        <v/>
      </c>
      <c r="E584" s="9" t="str">
        <f ca="1">IF(AND(NEGOCIAÇÕES!O584="",NEGOCIAÇÕES!N584&lt;TODAY()),NEGOCIAÇÕES!N584,"")</f>
        <v/>
      </c>
      <c r="F584" s="6"/>
    </row>
    <row r="585" spans="2:6" ht="31.95" hidden="1" customHeight="1" x14ac:dyDescent="0.3">
      <c r="B585" s="6" t="str">
        <f ca="1">IF(AND(NEGOCIAÇÕES!O585="",NEGOCIAÇÕES!N585&lt;TODAY()),NEGOCIAÇÕES!C585,"")</f>
        <v/>
      </c>
      <c r="C585" s="6" t="str">
        <f ca="1">IF(AND(NEGOCIAÇÕES!O585="",NEGOCIAÇÕES!N585&lt;TODAY()),NEGOCIAÇÕES!E585,"")</f>
        <v/>
      </c>
      <c r="D585" s="6" t="str">
        <f ca="1">IF(AND(NEGOCIAÇÕES!O585="",NEGOCIAÇÕES!N585&lt;TODAY()),NEGOCIAÇÕES!D585,"")</f>
        <v/>
      </c>
      <c r="E585" s="9" t="str">
        <f ca="1">IF(AND(NEGOCIAÇÕES!O585="",NEGOCIAÇÕES!N585&lt;TODAY()),NEGOCIAÇÕES!N585,"")</f>
        <v/>
      </c>
      <c r="F585" s="6"/>
    </row>
    <row r="586" spans="2:6" ht="31.95" hidden="1" customHeight="1" x14ac:dyDescent="0.3">
      <c r="B586" s="6" t="str">
        <f ca="1">IF(AND(NEGOCIAÇÕES!O586="",NEGOCIAÇÕES!N586&lt;TODAY()),NEGOCIAÇÕES!C586,"")</f>
        <v/>
      </c>
      <c r="C586" s="6" t="str">
        <f ca="1">IF(AND(NEGOCIAÇÕES!O586="",NEGOCIAÇÕES!N586&lt;TODAY()),NEGOCIAÇÕES!E586,"")</f>
        <v/>
      </c>
      <c r="D586" s="6" t="str">
        <f ca="1">IF(AND(NEGOCIAÇÕES!O586="",NEGOCIAÇÕES!N586&lt;TODAY()),NEGOCIAÇÕES!D586,"")</f>
        <v/>
      </c>
      <c r="E586" s="9" t="str">
        <f ca="1">IF(AND(NEGOCIAÇÕES!O586="",NEGOCIAÇÕES!N586&lt;TODAY()),NEGOCIAÇÕES!N586,"")</f>
        <v/>
      </c>
      <c r="F586" s="6"/>
    </row>
    <row r="587" spans="2:6" ht="31.95" hidden="1" customHeight="1" x14ac:dyDescent="0.3">
      <c r="B587" s="6" t="str">
        <f ca="1">IF(AND(NEGOCIAÇÕES!O587="",NEGOCIAÇÕES!N587&lt;TODAY()),NEGOCIAÇÕES!C587,"")</f>
        <v/>
      </c>
      <c r="C587" s="6" t="str">
        <f ca="1">IF(AND(NEGOCIAÇÕES!O587="",NEGOCIAÇÕES!N587&lt;TODAY()),NEGOCIAÇÕES!E587,"")</f>
        <v/>
      </c>
      <c r="D587" s="6" t="str">
        <f ca="1">IF(AND(NEGOCIAÇÕES!O587="",NEGOCIAÇÕES!N587&lt;TODAY()),NEGOCIAÇÕES!D587,"")</f>
        <v/>
      </c>
      <c r="E587" s="9" t="str">
        <f ca="1">IF(AND(NEGOCIAÇÕES!O587="",NEGOCIAÇÕES!N587&lt;TODAY()),NEGOCIAÇÕES!N587,"")</f>
        <v/>
      </c>
      <c r="F587" s="6"/>
    </row>
    <row r="588" spans="2:6" ht="31.95" hidden="1" customHeight="1" x14ac:dyDescent="0.3">
      <c r="B588" s="6" t="str">
        <f ca="1">IF(AND(NEGOCIAÇÕES!O588="",NEGOCIAÇÕES!N588&lt;TODAY()),NEGOCIAÇÕES!C588,"")</f>
        <v/>
      </c>
      <c r="C588" s="6" t="str">
        <f ca="1">IF(AND(NEGOCIAÇÕES!O588="",NEGOCIAÇÕES!N588&lt;TODAY()),NEGOCIAÇÕES!E588,"")</f>
        <v/>
      </c>
      <c r="D588" s="6" t="str">
        <f ca="1">IF(AND(NEGOCIAÇÕES!O588="",NEGOCIAÇÕES!N588&lt;TODAY()),NEGOCIAÇÕES!D588,"")</f>
        <v/>
      </c>
      <c r="E588" s="9" t="str">
        <f ca="1">IF(AND(NEGOCIAÇÕES!O588="",NEGOCIAÇÕES!N588&lt;TODAY()),NEGOCIAÇÕES!N588,"")</f>
        <v/>
      </c>
      <c r="F588" s="6"/>
    </row>
    <row r="589" spans="2:6" ht="31.95" hidden="1" customHeight="1" x14ac:dyDescent="0.3">
      <c r="B589" s="6" t="str">
        <f ca="1">IF(AND(NEGOCIAÇÕES!O589="",NEGOCIAÇÕES!N589&lt;TODAY()),NEGOCIAÇÕES!C589,"")</f>
        <v/>
      </c>
      <c r="C589" s="6" t="str">
        <f ca="1">IF(AND(NEGOCIAÇÕES!O589="",NEGOCIAÇÕES!N589&lt;TODAY()),NEGOCIAÇÕES!E589,"")</f>
        <v/>
      </c>
      <c r="D589" s="6" t="str">
        <f ca="1">IF(AND(NEGOCIAÇÕES!O589="",NEGOCIAÇÕES!N589&lt;TODAY()),NEGOCIAÇÕES!D589,"")</f>
        <v/>
      </c>
      <c r="E589" s="9" t="str">
        <f ca="1">IF(AND(NEGOCIAÇÕES!O589="",NEGOCIAÇÕES!N589&lt;TODAY()),NEGOCIAÇÕES!N589,"")</f>
        <v/>
      </c>
      <c r="F589" s="6"/>
    </row>
    <row r="590" spans="2:6" ht="31.95" hidden="1" customHeight="1" x14ac:dyDescent="0.3">
      <c r="B590" s="6" t="str">
        <f ca="1">IF(AND(NEGOCIAÇÕES!O590="",NEGOCIAÇÕES!N590&lt;TODAY()),NEGOCIAÇÕES!C590,"")</f>
        <v/>
      </c>
      <c r="C590" s="6" t="str">
        <f ca="1">IF(AND(NEGOCIAÇÕES!O590="",NEGOCIAÇÕES!N590&lt;TODAY()),NEGOCIAÇÕES!E590,"")</f>
        <v/>
      </c>
      <c r="D590" s="6" t="str">
        <f ca="1">IF(AND(NEGOCIAÇÕES!O590="",NEGOCIAÇÕES!N590&lt;TODAY()),NEGOCIAÇÕES!D590,"")</f>
        <v/>
      </c>
      <c r="E590" s="9" t="str">
        <f ca="1">IF(AND(NEGOCIAÇÕES!O590="",NEGOCIAÇÕES!N590&lt;TODAY()),NEGOCIAÇÕES!N590,"")</f>
        <v/>
      </c>
      <c r="F590" s="6"/>
    </row>
    <row r="591" spans="2:6" ht="31.95" hidden="1" customHeight="1" x14ac:dyDescent="0.3">
      <c r="B591" s="6" t="str">
        <f ca="1">IF(AND(NEGOCIAÇÕES!O591="",NEGOCIAÇÕES!N591&lt;TODAY()),NEGOCIAÇÕES!C591,"")</f>
        <v/>
      </c>
      <c r="C591" s="6" t="str">
        <f ca="1">IF(AND(NEGOCIAÇÕES!O591="",NEGOCIAÇÕES!N591&lt;TODAY()),NEGOCIAÇÕES!E591,"")</f>
        <v/>
      </c>
      <c r="D591" s="6" t="str">
        <f ca="1">IF(AND(NEGOCIAÇÕES!O591="",NEGOCIAÇÕES!N591&lt;TODAY()),NEGOCIAÇÕES!D591,"")</f>
        <v/>
      </c>
      <c r="E591" s="9" t="str">
        <f ca="1">IF(AND(NEGOCIAÇÕES!O591="",NEGOCIAÇÕES!N591&lt;TODAY()),NEGOCIAÇÕES!N591,"")</f>
        <v/>
      </c>
      <c r="F591" s="6"/>
    </row>
    <row r="592" spans="2:6" ht="31.95" hidden="1" customHeight="1" x14ac:dyDescent="0.3">
      <c r="B592" s="6" t="str">
        <f ca="1">IF(AND(NEGOCIAÇÕES!O592="",NEGOCIAÇÕES!N592&lt;TODAY()),NEGOCIAÇÕES!C592,"")</f>
        <v/>
      </c>
      <c r="C592" s="6" t="str">
        <f ca="1">IF(AND(NEGOCIAÇÕES!O592="",NEGOCIAÇÕES!N592&lt;TODAY()),NEGOCIAÇÕES!E592,"")</f>
        <v/>
      </c>
      <c r="D592" s="6" t="str">
        <f ca="1">IF(AND(NEGOCIAÇÕES!O592="",NEGOCIAÇÕES!N592&lt;TODAY()),NEGOCIAÇÕES!D592,"")</f>
        <v/>
      </c>
      <c r="E592" s="9" t="str">
        <f ca="1">IF(AND(NEGOCIAÇÕES!O592="",NEGOCIAÇÕES!N592&lt;TODAY()),NEGOCIAÇÕES!N592,"")</f>
        <v/>
      </c>
      <c r="F592" s="6"/>
    </row>
    <row r="593" spans="2:6" ht="31.95" hidden="1" customHeight="1" x14ac:dyDescent="0.3">
      <c r="B593" s="6" t="str">
        <f ca="1">IF(AND(NEGOCIAÇÕES!O593="",NEGOCIAÇÕES!N593&lt;TODAY()),NEGOCIAÇÕES!C593,"")</f>
        <v/>
      </c>
      <c r="C593" s="6" t="str">
        <f ca="1">IF(AND(NEGOCIAÇÕES!O593="",NEGOCIAÇÕES!N593&lt;TODAY()),NEGOCIAÇÕES!E593,"")</f>
        <v/>
      </c>
      <c r="D593" s="6" t="str">
        <f ca="1">IF(AND(NEGOCIAÇÕES!O593="",NEGOCIAÇÕES!N593&lt;TODAY()),NEGOCIAÇÕES!D593,"")</f>
        <v/>
      </c>
      <c r="E593" s="9" t="str">
        <f ca="1">IF(AND(NEGOCIAÇÕES!O593="",NEGOCIAÇÕES!N593&lt;TODAY()),NEGOCIAÇÕES!N593,"")</f>
        <v/>
      </c>
      <c r="F593" s="6"/>
    </row>
    <row r="594" spans="2:6" ht="31.95" hidden="1" customHeight="1" x14ac:dyDescent="0.3">
      <c r="B594" s="6" t="str">
        <f ca="1">IF(AND(NEGOCIAÇÕES!O594="",NEGOCIAÇÕES!N594&lt;TODAY()),NEGOCIAÇÕES!C594,"")</f>
        <v/>
      </c>
      <c r="C594" s="6" t="str">
        <f ca="1">IF(AND(NEGOCIAÇÕES!O594="",NEGOCIAÇÕES!N594&lt;TODAY()),NEGOCIAÇÕES!E594,"")</f>
        <v/>
      </c>
      <c r="D594" s="6" t="str">
        <f ca="1">IF(AND(NEGOCIAÇÕES!O594="",NEGOCIAÇÕES!N594&lt;TODAY()),NEGOCIAÇÕES!D594,"")</f>
        <v/>
      </c>
      <c r="E594" s="9" t="str">
        <f ca="1">IF(AND(NEGOCIAÇÕES!O594="",NEGOCIAÇÕES!N594&lt;TODAY()),NEGOCIAÇÕES!N594,"")</f>
        <v/>
      </c>
      <c r="F594" s="6"/>
    </row>
    <row r="595" spans="2:6" ht="31.95" hidden="1" customHeight="1" x14ac:dyDescent="0.3">
      <c r="B595" s="6" t="str">
        <f ca="1">IF(AND(NEGOCIAÇÕES!O595="",NEGOCIAÇÕES!N595&lt;TODAY()),NEGOCIAÇÕES!C595,"")</f>
        <v/>
      </c>
      <c r="C595" s="6" t="str">
        <f ca="1">IF(AND(NEGOCIAÇÕES!O595="",NEGOCIAÇÕES!N595&lt;TODAY()),NEGOCIAÇÕES!E595,"")</f>
        <v/>
      </c>
      <c r="D595" s="6" t="str">
        <f ca="1">IF(AND(NEGOCIAÇÕES!O595="",NEGOCIAÇÕES!N595&lt;TODAY()),NEGOCIAÇÕES!D595,"")</f>
        <v/>
      </c>
      <c r="E595" s="9" t="str">
        <f ca="1">IF(AND(NEGOCIAÇÕES!O595="",NEGOCIAÇÕES!N595&lt;TODAY()),NEGOCIAÇÕES!N595,"")</f>
        <v/>
      </c>
      <c r="F595" s="6"/>
    </row>
    <row r="596" spans="2:6" ht="31.95" hidden="1" customHeight="1" x14ac:dyDescent="0.3">
      <c r="B596" s="6" t="str">
        <f ca="1">IF(AND(NEGOCIAÇÕES!O596="",NEGOCIAÇÕES!N596&lt;TODAY()),NEGOCIAÇÕES!C596,"")</f>
        <v/>
      </c>
      <c r="C596" s="6" t="str">
        <f ca="1">IF(AND(NEGOCIAÇÕES!O596="",NEGOCIAÇÕES!N596&lt;TODAY()),NEGOCIAÇÕES!E596,"")</f>
        <v/>
      </c>
      <c r="D596" s="6" t="str">
        <f ca="1">IF(AND(NEGOCIAÇÕES!O596="",NEGOCIAÇÕES!N596&lt;TODAY()),NEGOCIAÇÕES!D596,"")</f>
        <v/>
      </c>
      <c r="E596" s="9" t="str">
        <f ca="1">IF(AND(NEGOCIAÇÕES!O596="",NEGOCIAÇÕES!N596&lt;TODAY()),NEGOCIAÇÕES!N596,"")</f>
        <v/>
      </c>
      <c r="F596" s="6"/>
    </row>
    <row r="597" spans="2:6" ht="31.95" hidden="1" customHeight="1" x14ac:dyDescent="0.3">
      <c r="B597" s="6" t="str">
        <f ca="1">IF(AND(NEGOCIAÇÕES!O597="",NEGOCIAÇÕES!N597&lt;TODAY()),NEGOCIAÇÕES!C597,"")</f>
        <v/>
      </c>
      <c r="C597" s="6" t="str">
        <f ca="1">IF(AND(NEGOCIAÇÕES!O597="",NEGOCIAÇÕES!N597&lt;TODAY()),NEGOCIAÇÕES!E597,"")</f>
        <v/>
      </c>
      <c r="D597" s="6" t="str">
        <f ca="1">IF(AND(NEGOCIAÇÕES!O597="",NEGOCIAÇÕES!N597&lt;TODAY()),NEGOCIAÇÕES!D597,"")</f>
        <v/>
      </c>
      <c r="E597" s="9" t="str">
        <f ca="1">IF(AND(NEGOCIAÇÕES!O597="",NEGOCIAÇÕES!N597&lt;TODAY()),NEGOCIAÇÕES!N597,"")</f>
        <v/>
      </c>
      <c r="F597" s="6"/>
    </row>
    <row r="598" spans="2:6" ht="31.95" hidden="1" customHeight="1" x14ac:dyDescent="0.3">
      <c r="B598" s="6" t="str">
        <f ca="1">IF(AND(NEGOCIAÇÕES!O598="",NEGOCIAÇÕES!N598&lt;TODAY()),NEGOCIAÇÕES!C598,"")</f>
        <v/>
      </c>
      <c r="C598" s="6" t="str">
        <f ca="1">IF(AND(NEGOCIAÇÕES!O598="",NEGOCIAÇÕES!N598&lt;TODAY()),NEGOCIAÇÕES!E598,"")</f>
        <v/>
      </c>
      <c r="D598" s="6" t="str">
        <f ca="1">IF(AND(NEGOCIAÇÕES!O598="",NEGOCIAÇÕES!N598&lt;TODAY()),NEGOCIAÇÕES!D598,"")</f>
        <v/>
      </c>
      <c r="E598" s="9" t="str">
        <f ca="1">IF(AND(NEGOCIAÇÕES!O598="",NEGOCIAÇÕES!N598&lt;TODAY()),NEGOCIAÇÕES!N598,"")</f>
        <v/>
      </c>
      <c r="F598" s="6"/>
    </row>
    <row r="599" spans="2:6" ht="31.95" hidden="1" customHeight="1" x14ac:dyDescent="0.3">
      <c r="B599" s="6" t="str">
        <f ca="1">IF(AND(NEGOCIAÇÕES!O599="",NEGOCIAÇÕES!N599&lt;TODAY()),NEGOCIAÇÕES!C599,"")</f>
        <v/>
      </c>
      <c r="C599" s="6" t="str">
        <f ca="1">IF(AND(NEGOCIAÇÕES!O599="",NEGOCIAÇÕES!N599&lt;TODAY()),NEGOCIAÇÕES!E599,"")</f>
        <v/>
      </c>
      <c r="D599" s="6" t="str">
        <f ca="1">IF(AND(NEGOCIAÇÕES!O599="",NEGOCIAÇÕES!N599&lt;TODAY()),NEGOCIAÇÕES!D599,"")</f>
        <v/>
      </c>
      <c r="E599" s="9" t="str">
        <f ca="1">IF(AND(NEGOCIAÇÕES!O599="",NEGOCIAÇÕES!N599&lt;TODAY()),NEGOCIAÇÕES!N599,"")</f>
        <v/>
      </c>
      <c r="F599" s="6"/>
    </row>
    <row r="600" spans="2:6" ht="31.95" hidden="1" customHeight="1" x14ac:dyDescent="0.3">
      <c r="B600" s="6" t="str">
        <f ca="1">IF(AND(NEGOCIAÇÕES!O600="",NEGOCIAÇÕES!N600&lt;TODAY()),NEGOCIAÇÕES!C600,"")</f>
        <v/>
      </c>
      <c r="C600" s="6" t="str">
        <f ca="1">IF(AND(NEGOCIAÇÕES!O600="",NEGOCIAÇÕES!N600&lt;TODAY()),NEGOCIAÇÕES!E600,"")</f>
        <v/>
      </c>
      <c r="D600" s="6" t="str">
        <f ca="1">IF(AND(NEGOCIAÇÕES!O600="",NEGOCIAÇÕES!N600&lt;TODAY()),NEGOCIAÇÕES!D600,"")</f>
        <v/>
      </c>
      <c r="E600" s="9" t="str">
        <f ca="1">IF(AND(NEGOCIAÇÕES!O600="",NEGOCIAÇÕES!N600&lt;TODAY()),NEGOCIAÇÕES!N600,"")</f>
        <v/>
      </c>
      <c r="F600" s="6"/>
    </row>
    <row r="601" spans="2:6" ht="31.95" hidden="1" customHeight="1" x14ac:dyDescent="0.3">
      <c r="B601" s="6" t="str">
        <f ca="1">IF(AND(NEGOCIAÇÕES!O601="",NEGOCIAÇÕES!N601&lt;TODAY()),NEGOCIAÇÕES!C601,"")</f>
        <v/>
      </c>
      <c r="C601" s="6" t="str">
        <f ca="1">IF(AND(NEGOCIAÇÕES!O601="",NEGOCIAÇÕES!N601&lt;TODAY()),NEGOCIAÇÕES!E601,"")</f>
        <v/>
      </c>
      <c r="D601" s="6" t="str">
        <f ca="1">IF(AND(NEGOCIAÇÕES!O601="",NEGOCIAÇÕES!N601&lt;TODAY()),NEGOCIAÇÕES!D601,"")</f>
        <v/>
      </c>
      <c r="E601" s="9" t="str">
        <f ca="1">IF(AND(NEGOCIAÇÕES!O601="",NEGOCIAÇÕES!N601&lt;TODAY()),NEGOCIAÇÕES!N601,"")</f>
        <v/>
      </c>
      <c r="F601" s="6"/>
    </row>
    <row r="602" spans="2:6" ht="31.95" hidden="1" customHeight="1" x14ac:dyDescent="0.3">
      <c r="B602" s="6" t="str">
        <f ca="1">IF(AND(NEGOCIAÇÕES!O602="",NEGOCIAÇÕES!N602&lt;TODAY()),NEGOCIAÇÕES!C602,"")</f>
        <v/>
      </c>
      <c r="C602" s="6" t="str">
        <f ca="1">IF(AND(NEGOCIAÇÕES!O602="",NEGOCIAÇÕES!N602&lt;TODAY()),NEGOCIAÇÕES!E602,"")</f>
        <v/>
      </c>
      <c r="D602" s="6" t="str">
        <f ca="1">IF(AND(NEGOCIAÇÕES!O602="",NEGOCIAÇÕES!N602&lt;TODAY()),NEGOCIAÇÕES!D602,"")</f>
        <v/>
      </c>
      <c r="E602" s="9" t="str">
        <f ca="1">IF(AND(NEGOCIAÇÕES!O602="",NEGOCIAÇÕES!N602&lt;TODAY()),NEGOCIAÇÕES!N602,"")</f>
        <v/>
      </c>
      <c r="F602" s="6"/>
    </row>
    <row r="603" spans="2:6" ht="31.95" hidden="1" customHeight="1" x14ac:dyDescent="0.3">
      <c r="B603" s="6" t="str">
        <f ca="1">IF(AND(NEGOCIAÇÕES!O603="",NEGOCIAÇÕES!N603&lt;TODAY()),NEGOCIAÇÕES!C603,"")</f>
        <v/>
      </c>
      <c r="C603" s="6" t="str">
        <f ca="1">IF(AND(NEGOCIAÇÕES!O603="",NEGOCIAÇÕES!N603&lt;TODAY()),NEGOCIAÇÕES!E603,"")</f>
        <v/>
      </c>
      <c r="D603" s="6" t="str">
        <f ca="1">IF(AND(NEGOCIAÇÕES!O603="",NEGOCIAÇÕES!N603&lt;TODAY()),NEGOCIAÇÕES!D603,"")</f>
        <v/>
      </c>
      <c r="E603" s="9" t="str">
        <f ca="1">IF(AND(NEGOCIAÇÕES!O603="",NEGOCIAÇÕES!N603&lt;TODAY()),NEGOCIAÇÕES!N603,"")</f>
        <v/>
      </c>
      <c r="F603" s="6"/>
    </row>
    <row r="604" spans="2:6" ht="31.95" hidden="1" customHeight="1" x14ac:dyDescent="0.3">
      <c r="B604" s="6" t="str">
        <f ca="1">IF(AND(NEGOCIAÇÕES!O604="",NEGOCIAÇÕES!N604&lt;TODAY()),NEGOCIAÇÕES!C604,"")</f>
        <v/>
      </c>
      <c r="C604" s="6" t="str">
        <f ca="1">IF(AND(NEGOCIAÇÕES!O604="",NEGOCIAÇÕES!N604&lt;TODAY()),NEGOCIAÇÕES!E604,"")</f>
        <v/>
      </c>
      <c r="D604" s="6" t="str">
        <f ca="1">IF(AND(NEGOCIAÇÕES!O604="",NEGOCIAÇÕES!N604&lt;TODAY()),NEGOCIAÇÕES!D604,"")</f>
        <v/>
      </c>
      <c r="E604" s="9" t="str">
        <f ca="1">IF(AND(NEGOCIAÇÕES!O604="",NEGOCIAÇÕES!N604&lt;TODAY()),NEGOCIAÇÕES!N604,"")</f>
        <v/>
      </c>
      <c r="F604" s="6"/>
    </row>
    <row r="605" spans="2:6" ht="31.95" hidden="1" customHeight="1" x14ac:dyDescent="0.3">
      <c r="B605" s="6" t="str">
        <f ca="1">IF(AND(NEGOCIAÇÕES!O605="",NEGOCIAÇÕES!N605&lt;TODAY()),NEGOCIAÇÕES!C605,"")</f>
        <v/>
      </c>
      <c r="C605" s="6" t="str">
        <f ca="1">IF(AND(NEGOCIAÇÕES!O605="",NEGOCIAÇÕES!N605&lt;TODAY()),NEGOCIAÇÕES!E605,"")</f>
        <v/>
      </c>
      <c r="D605" s="6" t="str">
        <f ca="1">IF(AND(NEGOCIAÇÕES!O605="",NEGOCIAÇÕES!N605&lt;TODAY()),NEGOCIAÇÕES!D605,"")</f>
        <v/>
      </c>
      <c r="E605" s="9" t="str">
        <f ca="1">IF(AND(NEGOCIAÇÕES!O605="",NEGOCIAÇÕES!N605&lt;TODAY()),NEGOCIAÇÕES!N605,"")</f>
        <v/>
      </c>
      <c r="F605" s="6"/>
    </row>
    <row r="606" spans="2:6" ht="31.95" hidden="1" customHeight="1" x14ac:dyDescent="0.3">
      <c r="B606" s="6" t="str">
        <f ca="1">IF(AND(NEGOCIAÇÕES!O606="",NEGOCIAÇÕES!N606&lt;TODAY()),NEGOCIAÇÕES!C606,"")</f>
        <v/>
      </c>
      <c r="C606" s="6" t="str">
        <f ca="1">IF(AND(NEGOCIAÇÕES!O606="",NEGOCIAÇÕES!N606&lt;TODAY()),NEGOCIAÇÕES!E606,"")</f>
        <v/>
      </c>
      <c r="D606" s="6" t="str">
        <f ca="1">IF(AND(NEGOCIAÇÕES!O606="",NEGOCIAÇÕES!N606&lt;TODAY()),NEGOCIAÇÕES!D606,"")</f>
        <v/>
      </c>
      <c r="E606" s="9" t="str">
        <f ca="1">IF(AND(NEGOCIAÇÕES!O606="",NEGOCIAÇÕES!N606&lt;TODAY()),NEGOCIAÇÕES!N606,"")</f>
        <v/>
      </c>
      <c r="F606" s="6"/>
    </row>
    <row r="607" spans="2:6" ht="31.95" hidden="1" customHeight="1" x14ac:dyDescent="0.3">
      <c r="B607" s="6" t="str">
        <f ca="1">IF(AND(NEGOCIAÇÕES!O607="",NEGOCIAÇÕES!N607&lt;TODAY()),NEGOCIAÇÕES!C607,"")</f>
        <v/>
      </c>
      <c r="C607" s="6" t="str">
        <f ca="1">IF(AND(NEGOCIAÇÕES!O607="",NEGOCIAÇÕES!N607&lt;TODAY()),NEGOCIAÇÕES!E607,"")</f>
        <v/>
      </c>
      <c r="D607" s="6" t="str">
        <f ca="1">IF(AND(NEGOCIAÇÕES!O607="",NEGOCIAÇÕES!N607&lt;TODAY()),NEGOCIAÇÕES!D607,"")</f>
        <v/>
      </c>
      <c r="E607" s="9" t="str">
        <f ca="1">IF(AND(NEGOCIAÇÕES!O607="",NEGOCIAÇÕES!N607&lt;TODAY()),NEGOCIAÇÕES!N607,"")</f>
        <v/>
      </c>
      <c r="F607" s="6"/>
    </row>
    <row r="608" spans="2:6" ht="31.95" hidden="1" customHeight="1" x14ac:dyDescent="0.3">
      <c r="B608" s="6" t="str">
        <f ca="1">IF(AND(NEGOCIAÇÕES!O608="",NEGOCIAÇÕES!N608&lt;TODAY()),NEGOCIAÇÕES!C608,"")</f>
        <v/>
      </c>
      <c r="C608" s="6" t="str">
        <f ca="1">IF(AND(NEGOCIAÇÕES!O608="",NEGOCIAÇÕES!N608&lt;TODAY()),NEGOCIAÇÕES!E608,"")</f>
        <v/>
      </c>
      <c r="D608" s="6" t="str">
        <f ca="1">IF(AND(NEGOCIAÇÕES!O608="",NEGOCIAÇÕES!N608&lt;TODAY()),NEGOCIAÇÕES!D608,"")</f>
        <v/>
      </c>
      <c r="E608" s="9" t="str">
        <f ca="1">IF(AND(NEGOCIAÇÕES!O608="",NEGOCIAÇÕES!N608&lt;TODAY()),NEGOCIAÇÕES!N608,"")</f>
        <v/>
      </c>
      <c r="F608" s="6"/>
    </row>
    <row r="609" spans="2:6" ht="31.95" hidden="1" customHeight="1" x14ac:dyDescent="0.3">
      <c r="B609" s="6" t="str">
        <f ca="1">IF(AND(NEGOCIAÇÕES!O609="",NEGOCIAÇÕES!N609&lt;TODAY()),NEGOCIAÇÕES!C609,"")</f>
        <v/>
      </c>
      <c r="C609" s="6" t="str">
        <f ca="1">IF(AND(NEGOCIAÇÕES!O609="",NEGOCIAÇÕES!N609&lt;TODAY()),NEGOCIAÇÕES!E609,"")</f>
        <v/>
      </c>
      <c r="D609" s="6" t="str">
        <f ca="1">IF(AND(NEGOCIAÇÕES!O609="",NEGOCIAÇÕES!N609&lt;TODAY()),NEGOCIAÇÕES!D609,"")</f>
        <v/>
      </c>
      <c r="E609" s="9" t="str">
        <f ca="1">IF(AND(NEGOCIAÇÕES!O609="",NEGOCIAÇÕES!N609&lt;TODAY()),NEGOCIAÇÕES!N609,"")</f>
        <v/>
      </c>
      <c r="F609" s="6"/>
    </row>
    <row r="610" spans="2:6" ht="31.95" hidden="1" customHeight="1" x14ac:dyDescent="0.3">
      <c r="B610" s="6" t="str">
        <f ca="1">IF(AND(NEGOCIAÇÕES!O610="",NEGOCIAÇÕES!N610&lt;TODAY()),NEGOCIAÇÕES!C610,"")</f>
        <v/>
      </c>
      <c r="C610" s="6" t="str">
        <f ca="1">IF(AND(NEGOCIAÇÕES!O610="",NEGOCIAÇÕES!N610&lt;TODAY()),NEGOCIAÇÕES!E610,"")</f>
        <v/>
      </c>
      <c r="D610" s="6" t="str">
        <f ca="1">IF(AND(NEGOCIAÇÕES!O610="",NEGOCIAÇÕES!N610&lt;TODAY()),NEGOCIAÇÕES!D610,"")</f>
        <v/>
      </c>
      <c r="E610" s="9" t="str">
        <f ca="1">IF(AND(NEGOCIAÇÕES!O610="",NEGOCIAÇÕES!N610&lt;TODAY()),NEGOCIAÇÕES!N610,"")</f>
        <v/>
      </c>
      <c r="F610" s="6"/>
    </row>
    <row r="611" spans="2:6" ht="31.95" hidden="1" customHeight="1" x14ac:dyDescent="0.3">
      <c r="B611" s="6" t="str">
        <f ca="1">IF(AND(NEGOCIAÇÕES!O611="",NEGOCIAÇÕES!N611&lt;TODAY()),NEGOCIAÇÕES!C611,"")</f>
        <v/>
      </c>
      <c r="C611" s="6" t="str">
        <f ca="1">IF(AND(NEGOCIAÇÕES!O611="",NEGOCIAÇÕES!N611&lt;TODAY()),NEGOCIAÇÕES!E611,"")</f>
        <v/>
      </c>
      <c r="D611" s="6" t="str">
        <f ca="1">IF(AND(NEGOCIAÇÕES!O611="",NEGOCIAÇÕES!N611&lt;TODAY()),NEGOCIAÇÕES!D611,"")</f>
        <v/>
      </c>
      <c r="E611" s="9" t="str">
        <f ca="1">IF(AND(NEGOCIAÇÕES!O611="",NEGOCIAÇÕES!N611&lt;TODAY()),NEGOCIAÇÕES!N611,"")</f>
        <v/>
      </c>
      <c r="F611" s="6"/>
    </row>
    <row r="612" spans="2:6" ht="31.95" hidden="1" customHeight="1" x14ac:dyDescent="0.3">
      <c r="B612" s="6" t="str">
        <f ca="1">IF(AND(NEGOCIAÇÕES!O612="",NEGOCIAÇÕES!N612&lt;TODAY()),NEGOCIAÇÕES!C612,"")</f>
        <v/>
      </c>
      <c r="C612" s="6" t="str">
        <f ca="1">IF(AND(NEGOCIAÇÕES!O612="",NEGOCIAÇÕES!N612&lt;TODAY()),NEGOCIAÇÕES!E612,"")</f>
        <v/>
      </c>
      <c r="D612" s="6" t="str">
        <f ca="1">IF(AND(NEGOCIAÇÕES!O612="",NEGOCIAÇÕES!N612&lt;TODAY()),NEGOCIAÇÕES!D612,"")</f>
        <v/>
      </c>
      <c r="E612" s="9" t="str">
        <f ca="1">IF(AND(NEGOCIAÇÕES!O612="",NEGOCIAÇÕES!N612&lt;TODAY()),NEGOCIAÇÕES!N612,"")</f>
        <v/>
      </c>
      <c r="F612" s="6"/>
    </row>
    <row r="613" spans="2:6" ht="31.95" hidden="1" customHeight="1" x14ac:dyDescent="0.3">
      <c r="B613" s="6" t="str">
        <f ca="1">IF(AND(NEGOCIAÇÕES!O613="",NEGOCIAÇÕES!N613&lt;TODAY()),NEGOCIAÇÕES!C613,"")</f>
        <v/>
      </c>
      <c r="C613" s="6" t="str">
        <f ca="1">IF(AND(NEGOCIAÇÕES!O613="",NEGOCIAÇÕES!N613&lt;TODAY()),NEGOCIAÇÕES!E613,"")</f>
        <v/>
      </c>
      <c r="D613" s="6" t="str">
        <f ca="1">IF(AND(NEGOCIAÇÕES!O613="",NEGOCIAÇÕES!N613&lt;TODAY()),NEGOCIAÇÕES!D613,"")</f>
        <v/>
      </c>
      <c r="E613" s="9" t="str">
        <f ca="1">IF(AND(NEGOCIAÇÕES!O613="",NEGOCIAÇÕES!N613&lt;TODAY()),NEGOCIAÇÕES!N613,"")</f>
        <v/>
      </c>
      <c r="F613" s="6"/>
    </row>
    <row r="614" spans="2:6" ht="31.95" hidden="1" customHeight="1" x14ac:dyDescent="0.3">
      <c r="B614" s="6" t="str">
        <f ca="1">IF(AND(NEGOCIAÇÕES!O614="",NEGOCIAÇÕES!N614&lt;TODAY()),NEGOCIAÇÕES!C614,"")</f>
        <v/>
      </c>
      <c r="C614" s="6" t="str">
        <f ca="1">IF(AND(NEGOCIAÇÕES!O614="",NEGOCIAÇÕES!N614&lt;TODAY()),NEGOCIAÇÕES!E614,"")</f>
        <v/>
      </c>
      <c r="D614" s="6" t="str">
        <f ca="1">IF(AND(NEGOCIAÇÕES!O614="",NEGOCIAÇÕES!N614&lt;TODAY()),NEGOCIAÇÕES!D614,"")</f>
        <v/>
      </c>
      <c r="E614" s="9" t="str">
        <f ca="1">IF(AND(NEGOCIAÇÕES!O614="",NEGOCIAÇÕES!N614&lt;TODAY()),NEGOCIAÇÕES!N614,"")</f>
        <v/>
      </c>
      <c r="F614" s="6"/>
    </row>
    <row r="615" spans="2:6" ht="31.95" hidden="1" customHeight="1" x14ac:dyDescent="0.3">
      <c r="B615" s="6" t="str">
        <f ca="1">IF(AND(NEGOCIAÇÕES!O615="",NEGOCIAÇÕES!N615&lt;TODAY()),NEGOCIAÇÕES!C615,"")</f>
        <v/>
      </c>
      <c r="C615" s="6" t="str">
        <f ca="1">IF(AND(NEGOCIAÇÕES!O615="",NEGOCIAÇÕES!N615&lt;TODAY()),NEGOCIAÇÕES!E615,"")</f>
        <v/>
      </c>
      <c r="D615" s="6" t="str">
        <f ca="1">IF(AND(NEGOCIAÇÕES!O615="",NEGOCIAÇÕES!N615&lt;TODAY()),NEGOCIAÇÕES!D615,"")</f>
        <v/>
      </c>
      <c r="E615" s="9" t="str">
        <f ca="1">IF(AND(NEGOCIAÇÕES!O615="",NEGOCIAÇÕES!N615&lt;TODAY()),NEGOCIAÇÕES!N615,"")</f>
        <v/>
      </c>
      <c r="F615" s="6"/>
    </row>
    <row r="616" spans="2:6" ht="31.95" hidden="1" customHeight="1" x14ac:dyDescent="0.3">
      <c r="B616" s="6" t="str">
        <f ca="1">IF(AND(NEGOCIAÇÕES!O616="",NEGOCIAÇÕES!N616&lt;TODAY()),NEGOCIAÇÕES!C616,"")</f>
        <v/>
      </c>
      <c r="C616" s="6" t="str">
        <f ca="1">IF(AND(NEGOCIAÇÕES!O616="",NEGOCIAÇÕES!N616&lt;TODAY()),NEGOCIAÇÕES!E616,"")</f>
        <v/>
      </c>
      <c r="D616" s="6" t="str">
        <f ca="1">IF(AND(NEGOCIAÇÕES!O616="",NEGOCIAÇÕES!N616&lt;TODAY()),NEGOCIAÇÕES!D616,"")</f>
        <v/>
      </c>
      <c r="E616" s="9" t="str">
        <f ca="1">IF(AND(NEGOCIAÇÕES!O616="",NEGOCIAÇÕES!N616&lt;TODAY()),NEGOCIAÇÕES!N616,"")</f>
        <v/>
      </c>
      <c r="F616" s="6"/>
    </row>
    <row r="617" spans="2:6" ht="31.95" hidden="1" customHeight="1" x14ac:dyDescent="0.3">
      <c r="B617" s="6" t="str">
        <f ca="1">IF(AND(NEGOCIAÇÕES!O617="",NEGOCIAÇÕES!N617&lt;TODAY()),NEGOCIAÇÕES!C617,"")</f>
        <v/>
      </c>
      <c r="C617" s="6" t="str">
        <f ca="1">IF(AND(NEGOCIAÇÕES!O617="",NEGOCIAÇÕES!N617&lt;TODAY()),NEGOCIAÇÕES!E617,"")</f>
        <v/>
      </c>
      <c r="D617" s="6" t="str">
        <f ca="1">IF(AND(NEGOCIAÇÕES!O617="",NEGOCIAÇÕES!N617&lt;TODAY()),NEGOCIAÇÕES!D617,"")</f>
        <v/>
      </c>
      <c r="E617" s="9" t="str">
        <f ca="1">IF(AND(NEGOCIAÇÕES!O617="",NEGOCIAÇÕES!N617&lt;TODAY()),NEGOCIAÇÕES!N617,"")</f>
        <v/>
      </c>
      <c r="F617" s="6"/>
    </row>
    <row r="618" spans="2:6" ht="31.95" hidden="1" customHeight="1" x14ac:dyDescent="0.3">
      <c r="B618" s="6" t="str">
        <f ca="1">IF(AND(NEGOCIAÇÕES!O618="",NEGOCIAÇÕES!N618&lt;TODAY()),NEGOCIAÇÕES!C618,"")</f>
        <v/>
      </c>
      <c r="C618" s="6" t="str">
        <f ca="1">IF(AND(NEGOCIAÇÕES!O618="",NEGOCIAÇÕES!N618&lt;TODAY()),NEGOCIAÇÕES!E618,"")</f>
        <v/>
      </c>
      <c r="D618" s="6" t="str">
        <f ca="1">IF(AND(NEGOCIAÇÕES!O618="",NEGOCIAÇÕES!N618&lt;TODAY()),NEGOCIAÇÕES!D618,"")</f>
        <v/>
      </c>
      <c r="E618" s="9" t="str">
        <f ca="1">IF(AND(NEGOCIAÇÕES!O618="",NEGOCIAÇÕES!N618&lt;TODAY()),NEGOCIAÇÕES!N618,"")</f>
        <v/>
      </c>
      <c r="F618" s="6"/>
    </row>
    <row r="619" spans="2:6" ht="31.95" hidden="1" customHeight="1" x14ac:dyDescent="0.3">
      <c r="B619" s="6" t="str">
        <f ca="1">IF(AND(NEGOCIAÇÕES!O619="",NEGOCIAÇÕES!N619&lt;TODAY()),NEGOCIAÇÕES!C619,"")</f>
        <v/>
      </c>
      <c r="C619" s="6" t="str">
        <f ca="1">IF(AND(NEGOCIAÇÕES!O619="",NEGOCIAÇÕES!N619&lt;TODAY()),NEGOCIAÇÕES!E619,"")</f>
        <v/>
      </c>
      <c r="D619" s="6" t="str">
        <f ca="1">IF(AND(NEGOCIAÇÕES!O619="",NEGOCIAÇÕES!N619&lt;TODAY()),NEGOCIAÇÕES!D619,"")</f>
        <v/>
      </c>
      <c r="E619" s="9" t="str">
        <f ca="1">IF(AND(NEGOCIAÇÕES!O619="",NEGOCIAÇÕES!N619&lt;TODAY()),NEGOCIAÇÕES!N619,"")</f>
        <v/>
      </c>
      <c r="F619" s="6"/>
    </row>
    <row r="620" spans="2:6" ht="31.95" hidden="1" customHeight="1" x14ac:dyDescent="0.3">
      <c r="B620" s="6" t="str">
        <f ca="1">IF(AND(NEGOCIAÇÕES!O620="",NEGOCIAÇÕES!N620&lt;TODAY()),NEGOCIAÇÕES!C620,"")</f>
        <v/>
      </c>
      <c r="C620" s="6" t="str">
        <f ca="1">IF(AND(NEGOCIAÇÕES!O620="",NEGOCIAÇÕES!N620&lt;TODAY()),NEGOCIAÇÕES!E620,"")</f>
        <v/>
      </c>
      <c r="D620" s="6" t="str">
        <f ca="1">IF(AND(NEGOCIAÇÕES!O620="",NEGOCIAÇÕES!N620&lt;TODAY()),NEGOCIAÇÕES!D620,"")</f>
        <v/>
      </c>
      <c r="E620" s="9" t="str">
        <f ca="1">IF(AND(NEGOCIAÇÕES!O620="",NEGOCIAÇÕES!N620&lt;TODAY()),NEGOCIAÇÕES!N620,"")</f>
        <v/>
      </c>
      <c r="F620" s="6"/>
    </row>
    <row r="621" spans="2:6" ht="31.95" hidden="1" customHeight="1" x14ac:dyDescent="0.3">
      <c r="B621" s="6" t="str">
        <f ca="1">IF(AND(NEGOCIAÇÕES!O621="",NEGOCIAÇÕES!N621&lt;TODAY()),NEGOCIAÇÕES!C621,"")</f>
        <v/>
      </c>
      <c r="C621" s="6" t="str">
        <f ca="1">IF(AND(NEGOCIAÇÕES!O621="",NEGOCIAÇÕES!N621&lt;TODAY()),NEGOCIAÇÕES!E621,"")</f>
        <v/>
      </c>
      <c r="D621" s="6" t="str">
        <f ca="1">IF(AND(NEGOCIAÇÕES!O621="",NEGOCIAÇÕES!N621&lt;TODAY()),NEGOCIAÇÕES!D621,"")</f>
        <v/>
      </c>
      <c r="E621" s="9" t="str">
        <f ca="1">IF(AND(NEGOCIAÇÕES!O621="",NEGOCIAÇÕES!N621&lt;TODAY()),NEGOCIAÇÕES!N621,"")</f>
        <v/>
      </c>
      <c r="F621" s="6"/>
    </row>
    <row r="622" spans="2:6" ht="31.95" hidden="1" customHeight="1" x14ac:dyDescent="0.3">
      <c r="B622" s="6" t="str">
        <f ca="1">IF(AND(NEGOCIAÇÕES!O622="",NEGOCIAÇÕES!N622&lt;TODAY()),NEGOCIAÇÕES!C622,"")</f>
        <v/>
      </c>
      <c r="C622" s="6" t="str">
        <f ca="1">IF(AND(NEGOCIAÇÕES!O622="",NEGOCIAÇÕES!N622&lt;TODAY()),NEGOCIAÇÕES!E622,"")</f>
        <v/>
      </c>
      <c r="D622" s="6" t="str">
        <f ca="1">IF(AND(NEGOCIAÇÕES!O622="",NEGOCIAÇÕES!N622&lt;TODAY()),NEGOCIAÇÕES!D622,"")</f>
        <v/>
      </c>
      <c r="E622" s="9" t="str">
        <f ca="1">IF(AND(NEGOCIAÇÕES!O622="",NEGOCIAÇÕES!N622&lt;TODAY()),NEGOCIAÇÕES!N622,"")</f>
        <v/>
      </c>
      <c r="F622" s="6"/>
    </row>
    <row r="623" spans="2:6" ht="31.95" hidden="1" customHeight="1" x14ac:dyDescent="0.3">
      <c r="B623" s="6" t="str">
        <f ca="1">IF(AND(NEGOCIAÇÕES!O623="",NEGOCIAÇÕES!N623&lt;TODAY()),NEGOCIAÇÕES!C623,"")</f>
        <v/>
      </c>
      <c r="C623" s="6" t="str">
        <f ca="1">IF(AND(NEGOCIAÇÕES!O623="",NEGOCIAÇÕES!N623&lt;TODAY()),NEGOCIAÇÕES!E623,"")</f>
        <v/>
      </c>
      <c r="D623" s="6" t="str">
        <f ca="1">IF(AND(NEGOCIAÇÕES!O623="",NEGOCIAÇÕES!N623&lt;TODAY()),NEGOCIAÇÕES!D623,"")</f>
        <v/>
      </c>
      <c r="E623" s="9" t="str">
        <f ca="1">IF(AND(NEGOCIAÇÕES!O623="",NEGOCIAÇÕES!N623&lt;TODAY()),NEGOCIAÇÕES!N623,"")</f>
        <v/>
      </c>
      <c r="F623" s="6"/>
    </row>
    <row r="624" spans="2:6" ht="31.95" hidden="1" customHeight="1" x14ac:dyDescent="0.3">
      <c r="B624" s="6" t="str">
        <f ca="1">IF(AND(NEGOCIAÇÕES!O624="",NEGOCIAÇÕES!N624&lt;TODAY()),NEGOCIAÇÕES!C624,"")</f>
        <v/>
      </c>
      <c r="C624" s="6" t="str">
        <f ca="1">IF(AND(NEGOCIAÇÕES!O624="",NEGOCIAÇÕES!N624&lt;TODAY()),NEGOCIAÇÕES!E624,"")</f>
        <v/>
      </c>
      <c r="D624" s="6" t="str">
        <f ca="1">IF(AND(NEGOCIAÇÕES!O624="",NEGOCIAÇÕES!N624&lt;TODAY()),NEGOCIAÇÕES!D624,"")</f>
        <v/>
      </c>
      <c r="E624" s="9" t="str">
        <f ca="1">IF(AND(NEGOCIAÇÕES!O624="",NEGOCIAÇÕES!N624&lt;TODAY()),NEGOCIAÇÕES!N624,"")</f>
        <v/>
      </c>
      <c r="F624" s="6"/>
    </row>
    <row r="625" spans="2:6" ht="31.95" hidden="1" customHeight="1" x14ac:dyDescent="0.3">
      <c r="B625" s="6" t="str">
        <f ca="1">IF(AND(NEGOCIAÇÕES!O625="",NEGOCIAÇÕES!N625&lt;TODAY()),NEGOCIAÇÕES!C625,"")</f>
        <v/>
      </c>
      <c r="C625" s="6" t="str">
        <f ca="1">IF(AND(NEGOCIAÇÕES!O625="",NEGOCIAÇÕES!N625&lt;TODAY()),NEGOCIAÇÕES!E625,"")</f>
        <v/>
      </c>
      <c r="D625" s="6" t="str">
        <f ca="1">IF(AND(NEGOCIAÇÕES!O625="",NEGOCIAÇÕES!N625&lt;TODAY()),NEGOCIAÇÕES!D625,"")</f>
        <v/>
      </c>
      <c r="E625" s="9" t="str">
        <f ca="1">IF(AND(NEGOCIAÇÕES!O625="",NEGOCIAÇÕES!N625&lt;TODAY()),NEGOCIAÇÕES!N625,"")</f>
        <v/>
      </c>
      <c r="F625" s="6"/>
    </row>
    <row r="626" spans="2:6" ht="31.95" hidden="1" customHeight="1" x14ac:dyDescent="0.3">
      <c r="B626" s="6" t="str">
        <f ca="1">IF(AND(NEGOCIAÇÕES!O626="",NEGOCIAÇÕES!N626&lt;TODAY()),NEGOCIAÇÕES!C626,"")</f>
        <v/>
      </c>
      <c r="C626" s="6" t="str">
        <f ca="1">IF(AND(NEGOCIAÇÕES!O626="",NEGOCIAÇÕES!N626&lt;TODAY()),NEGOCIAÇÕES!E626,"")</f>
        <v/>
      </c>
      <c r="D626" s="6" t="str">
        <f ca="1">IF(AND(NEGOCIAÇÕES!O626="",NEGOCIAÇÕES!N626&lt;TODAY()),NEGOCIAÇÕES!D626,"")</f>
        <v/>
      </c>
      <c r="E626" s="9" t="str">
        <f ca="1">IF(AND(NEGOCIAÇÕES!O626="",NEGOCIAÇÕES!N626&lt;TODAY()),NEGOCIAÇÕES!N626,"")</f>
        <v/>
      </c>
      <c r="F626" s="6"/>
    </row>
    <row r="627" spans="2:6" ht="31.95" hidden="1" customHeight="1" x14ac:dyDescent="0.3">
      <c r="B627" s="6" t="str">
        <f ca="1">IF(AND(NEGOCIAÇÕES!O627="",NEGOCIAÇÕES!N627&lt;TODAY()),NEGOCIAÇÕES!C627,"")</f>
        <v/>
      </c>
      <c r="C627" s="6" t="str">
        <f ca="1">IF(AND(NEGOCIAÇÕES!O627="",NEGOCIAÇÕES!N627&lt;TODAY()),NEGOCIAÇÕES!E627,"")</f>
        <v/>
      </c>
      <c r="D627" s="6" t="str">
        <f ca="1">IF(AND(NEGOCIAÇÕES!O627="",NEGOCIAÇÕES!N627&lt;TODAY()),NEGOCIAÇÕES!D627,"")</f>
        <v/>
      </c>
      <c r="E627" s="9" t="str">
        <f ca="1">IF(AND(NEGOCIAÇÕES!O627="",NEGOCIAÇÕES!N627&lt;TODAY()),NEGOCIAÇÕES!N627,"")</f>
        <v/>
      </c>
      <c r="F627" s="6"/>
    </row>
    <row r="628" spans="2:6" ht="31.95" hidden="1" customHeight="1" x14ac:dyDescent="0.3">
      <c r="B628" s="6" t="str">
        <f ca="1">IF(AND(NEGOCIAÇÕES!O628="",NEGOCIAÇÕES!N628&lt;TODAY()),NEGOCIAÇÕES!C628,"")</f>
        <v/>
      </c>
      <c r="C628" s="6" t="str">
        <f ca="1">IF(AND(NEGOCIAÇÕES!O628="",NEGOCIAÇÕES!N628&lt;TODAY()),NEGOCIAÇÕES!E628,"")</f>
        <v/>
      </c>
      <c r="D628" s="6" t="str">
        <f ca="1">IF(AND(NEGOCIAÇÕES!O628="",NEGOCIAÇÕES!N628&lt;TODAY()),NEGOCIAÇÕES!D628,"")</f>
        <v/>
      </c>
      <c r="E628" s="9" t="str">
        <f ca="1">IF(AND(NEGOCIAÇÕES!O628="",NEGOCIAÇÕES!N628&lt;TODAY()),NEGOCIAÇÕES!N628,"")</f>
        <v/>
      </c>
      <c r="F628" s="6"/>
    </row>
    <row r="629" spans="2:6" ht="31.95" hidden="1" customHeight="1" x14ac:dyDescent="0.3">
      <c r="B629" s="6" t="str">
        <f ca="1">IF(AND(NEGOCIAÇÕES!O629="",NEGOCIAÇÕES!N629&lt;TODAY()),NEGOCIAÇÕES!C629,"")</f>
        <v/>
      </c>
      <c r="C629" s="6" t="str">
        <f ca="1">IF(AND(NEGOCIAÇÕES!O629="",NEGOCIAÇÕES!N629&lt;TODAY()),NEGOCIAÇÕES!E629,"")</f>
        <v/>
      </c>
      <c r="D629" s="6" t="str">
        <f ca="1">IF(AND(NEGOCIAÇÕES!O629="",NEGOCIAÇÕES!N629&lt;TODAY()),NEGOCIAÇÕES!D629,"")</f>
        <v/>
      </c>
      <c r="E629" s="9" t="str">
        <f ca="1">IF(AND(NEGOCIAÇÕES!O629="",NEGOCIAÇÕES!N629&lt;TODAY()),NEGOCIAÇÕES!N629,"")</f>
        <v/>
      </c>
      <c r="F629" s="6"/>
    </row>
    <row r="630" spans="2:6" ht="31.95" hidden="1" customHeight="1" x14ac:dyDescent="0.3">
      <c r="B630" s="6" t="str">
        <f ca="1">IF(AND(NEGOCIAÇÕES!O630="",NEGOCIAÇÕES!N630&lt;TODAY()),NEGOCIAÇÕES!C630,"")</f>
        <v/>
      </c>
      <c r="C630" s="6" t="str">
        <f ca="1">IF(AND(NEGOCIAÇÕES!O630="",NEGOCIAÇÕES!N630&lt;TODAY()),NEGOCIAÇÕES!E630,"")</f>
        <v/>
      </c>
      <c r="D630" s="6" t="str">
        <f ca="1">IF(AND(NEGOCIAÇÕES!O630="",NEGOCIAÇÕES!N630&lt;TODAY()),NEGOCIAÇÕES!D630,"")</f>
        <v/>
      </c>
      <c r="E630" s="9" t="str">
        <f ca="1">IF(AND(NEGOCIAÇÕES!O630="",NEGOCIAÇÕES!N630&lt;TODAY()),NEGOCIAÇÕES!N630,"")</f>
        <v/>
      </c>
      <c r="F630" s="6"/>
    </row>
    <row r="631" spans="2:6" ht="31.95" hidden="1" customHeight="1" x14ac:dyDescent="0.3">
      <c r="B631" s="6" t="str">
        <f ca="1">IF(AND(NEGOCIAÇÕES!O631="",NEGOCIAÇÕES!N631&lt;TODAY()),NEGOCIAÇÕES!C631,"")</f>
        <v/>
      </c>
      <c r="C631" s="6" t="str">
        <f ca="1">IF(AND(NEGOCIAÇÕES!O631="",NEGOCIAÇÕES!N631&lt;TODAY()),NEGOCIAÇÕES!E631,"")</f>
        <v/>
      </c>
      <c r="D631" s="6" t="str">
        <f ca="1">IF(AND(NEGOCIAÇÕES!O631="",NEGOCIAÇÕES!N631&lt;TODAY()),NEGOCIAÇÕES!D631,"")</f>
        <v/>
      </c>
      <c r="E631" s="9" t="str">
        <f ca="1">IF(AND(NEGOCIAÇÕES!O631="",NEGOCIAÇÕES!N631&lt;TODAY()),NEGOCIAÇÕES!N631,"")</f>
        <v/>
      </c>
      <c r="F631" s="6"/>
    </row>
    <row r="632" spans="2:6" ht="31.95" hidden="1" customHeight="1" x14ac:dyDescent="0.3">
      <c r="B632" s="6" t="str">
        <f ca="1">IF(AND(NEGOCIAÇÕES!O632="",NEGOCIAÇÕES!N632&lt;TODAY()),NEGOCIAÇÕES!C632,"")</f>
        <v/>
      </c>
      <c r="C632" s="6" t="str">
        <f ca="1">IF(AND(NEGOCIAÇÕES!O632="",NEGOCIAÇÕES!N632&lt;TODAY()),NEGOCIAÇÕES!E632,"")</f>
        <v/>
      </c>
      <c r="D632" s="6" t="str">
        <f ca="1">IF(AND(NEGOCIAÇÕES!O632="",NEGOCIAÇÕES!N632&lt;TODAY()),NEGOCIAÇÕES!D632,"")</f>
        <v/>
      </c>
      <c r="E632" s="9" t="str">
        <f ca="1">IF(AND(NEGOCIAÇÕES!O632="",NEGOCIAÇÕES!N632&lt;TODAY()),NEGOCIAÇÕES!N632,"")</f>
        <v/>
      </c>
      <c r="F632" s="6"/>
    </row>
    <row r="633" spans="2:6" ht="31.95" hidden="1" customHeight="1" x14ac:dyDescent="0.3">
      <c r="B633" s="6" t="str">
        <f ca="1">IF(AND(NEGOCIAÇÕES!O633="",NEGOCIAÇÕES!N633&lt;TODAY()),NEGOCIAÇÕES!C633,"")</f>
        <v/>
      </c>
      <c r="C633" s="6" t="str">
        <f ca="1">IF(AND(NEGOCIAÇÕES!O633="",NEGOCIAÇÕES!N633&lt;TODAY()),NEGOCIAÇÕES!E633,"")</f>
        <v/>
      </c>
      <c r="D633" s="6" t="str">
        <f ca="1">IF(AND(NEGOCIAÇÕES!O633="",NEGOCIAÇÕES!N633&lt;TODAY()),NEGOCIAÇÕES!D633,"")</f>
        <v/>
      </c>
      <c r="E633" s="9" t="str">
        <f ca="1">IF(AND(NEGOCIAÇÕES!O633="",NEGOCIAÇÕES!N633&lt;TODAY()),NEGOCIAÇÕES!N633,"")</f>
        <v/>
      </c>
      <c r="F633" s="6"/>
    </row>
    <row r="634" spans="2:6" ht="31.95" hidden="1" customHeight="1" x14ac:dyDescent="0.3">
      <c r="B634" s="6" t="str">
        <f ca="1">IF(AND(NEGOCIAÇÕES!O634="",NEGOCIAÇÕES!N634&lt;TODAY()),NEGOCIAÇÕES!C634,"")</f>
        <v/>
      </c>
      <c r="C634" s="6" t="str">
        <f ca="1">IF(AND(NEGOCIAÇÕES!O634="",NEGOCIAÇÕES!N634&lt;TODAY()),NEGOCIAÇÕES!E634,"")</f>
        <v/>
      </c>
      <c r="D634" s="6" t="str">
        <f ca="1">IF(AND(NEGOCIAÇÕES!O634="",NEGOCIAÇÕES!N634&lt;TODAY()),NEGOCIAÇÕES!D634,"")</f>
        <v/>
      </c>
      <c r="E634" s="9" t="str">
        <f ca="1">IF(AND(NEGOCIAÇÕES!O634="",NEGOCIAÇÕES!N634&lt;TODAY()),NEGOCIAÇÕES!N634,"")</f>
        <v/>
      </c>
      <c r="F634" s="6"/>
    </row>
    <row r="635" spans="2:6" ht="31.95" hidden="1" customHeight="1" x14ac:dyDescent="0.3">
      <c r="B635" s="6" t="str">
        <f ca="1">IF(AND(NEGOCIAÇÕES!O635="",NEGOCIAÇÕES!N635&lt;TODAY()),NEGOCIAÇÕES!C635,"")</f>
        <v/>
      </c>
      <c r="C635" s="6" t="str">
        <f ca="1">IF(AND(NEGOCIAÇÕES!O635="",NEGOCIAÇÕES!N635&lt;TODAY()),NEGOCIAÇÕES!E635,"")</f>
        <v/>
      </c>
      <c r="D635" s="6" t="str">
        <f ca="1">IF(AND(NEGOCIAÇÕES!O635="",NEGOCIAÇÕES!N635&lt;TODAY()),NEGOCIAÇÕES!D635,"")</f>
        <v/>
      </c>
      <c r="E635" s="9" t="str">
        <f ca="1">IF(AND(NEGOCIAÇÕES!O635="",NEGOCIAÇÕES!N635&lt;TODAY()),NEGOCIAÇÕES!N635,"")</f>
        <v/>
      </c>
      <c r="F635" s="6"/>
    </row>
    <row r="636" spans="2:6" ht="31.95" hidden="1" customHeight="1" x14ac:dyDescent="0.3">
      <c r="B636" s="6" t="str">
        <f ca="1">IF(AND(NEGOCIAÇÕES!O636="",NEGOCIAÇÕES!N636&lt;TODAY()),NEGOCIAÇÕES!C636,"")</f>
        <v/>
      </c>
      <c r="C636" s="6" t="str">
        <f ca="1">IF(AND(NEGOCIAÇÕES!O636="",NEGOCIAÇÕES!N636&lt;TODAY()),NEGOCIAÇÕES!E636,"")</f>
        <v/>
      </c>
      <c r="D636" s="6" t="str">
        <f ca="1">IF(AND(NEGOCIAÇÕES!O636="",NEGOCIAÇÕES!N636&lt;TODAY()),NEGOCIAÇÕES!D636,"")</f>
        <v/>
      </c>
      <c r="E636" s="9" t="str">
        <f ca="1">IF(AND(NEGOCIAÇÕES!O636="",NEGOCIAÇÕES!N636&lt;TODAY()),NEGOCIAÇÕES!N636,"")</f>
        <v/>
      </c>
      <c r="F636" s="6"/>
    </row>
    <row r="637" spans="2:6" ht="31.95" hidden="1" customHeight="1" x14ac:dyDescent="0.3">
      <c r="B637" s="6" t="str">
        <f ca="1">IF(AND(NEGOCIAÇÕES!O637="",NEGOCIAÇÕES!N637&lt;TODAY()),NEGOCIAÇÕES!C637,"")</f>
        <v/>
      </c>
      <c r="C637" s="6" t="str">
        <f ca="1">IF(AND(NEGOCIAÇÕES!O637="",NEGOCIAÇÕES!N637&lt;TODAY()),NEGOCIAÇÕES!E637,"")</f>
        <v/>
      </c>
      <c r="D637" s="6" t="str">
        <f ca="1">IF(AND(NEGOCIAÇÕES!O637="",NEGOCIAÇÕES!N637&lt;TODAY()),NEGOCIAÇÕES!D637,"")</f>
        <v/>
      </c>
      <c r="E637" s="9" t="str">
        <f ca="1">IF(AND(NEGOCIAÇÕES!O637="",NEGOCIAÇÕES!N637&lt;TODAY()),NEGOCIAÇÕES!N637,"")</f>
        <v/>
      </c>
      <c r="F637" s="6"/>
    </row>
    <row r="638" spans="2:6" ht="31.95" hidden="1" customHeight="1" x14ac:dyDescent="0.3">
      <c r="B638" s="6" t="str">
        <f ca="1">IF(AND(NEGOCIAÇÕES!O638="",NEGOCIAÇÕES!N638&lt;TODAY()),NEGOCIAÇÕES!C638,"")</f>
        <v/>
      </c>
      <c r="C638" s="6" t="str">
        <f ca="1">IF(AND(NEGOCIAÇÕES!O638="",NEGOCIAÇÕES!N638&lt;TODAY()),NEGOCIAÇÕES!E638,"")</f>
        <v/>
      </c>
      <c r="D638" s="6" t="str">
        <f ca="1">IF(AND(NEGOCIAÇÕES!O638="",NEGOCIAÇÕES!N638&lt;TODAY()),NEGOCIAÇÕES!D638,"")</f>
        <v/>
      </c>
      <c r="E638" s="9" t="str">
        <f ca="1">IF(AND(NEGOCIAÇÕES!O638="",NEGOCIAÇÕES!N638&lt;TODAY()),NEGOCIAÇÕES!N638,"")</f>
        <v/>
      </c>
      <c r="F638" s="6"/>
    </row>
    <row r="639" spans="2:6" ht="31.95" hidden="1" customHeight="1" x14ac:dyDescent="0.3">
      <c r="B639" s="6" t="str">
        <f ca="1">IF(AND(NEGOCIAÇÕES!O639="",NEGOCIAÇÕES!N639&lt;TODAY()),NEGOCIAÇÕES!C639,"")</f>
        <v/>
      </c>
      <c r="C639" s="6" t="str">
        <f ca="1">IF(AND(NEGOCIAÇÕES!O639="",NEGOCIAÇÕES!N639&lt;TODAY()),NEGOCIAÇÕES!E639,"")</f>
        <v/>
      </c>
      <c r="D639" s="6" t="str">
        <f ca="1">IF(AND(NEGOCIAÇÕES!O639="",NEGOCIAÇÕES!N639&lt;TODAY()),NEGOCIAÇÕES!D639,"")</f>
        <v/>
      </c>
      <c r="E639" s="9" t="str">
        <f ca="1">IF(AND(NEGOCIAÇÕES!O639="",NEGOCIAÇÕES!N639&lt;TODAY()),NEGOCIAÇÕES!N639,"")</f>
        <v/>
      </c>
      <c r="F639" s="6"/>
    </row>
    <row r="640" spans="2:6" ht="31.95" hidden="1" customHeight="1" x14ac:dyDescent="0.3">
      <c r="B640" s="6" t="str">
        <f ca="1">IF(AND(NEGOCIAÇÕES!O640="",NEGOCIAÇÕES!N640&lt;TODAY()),NEGOCIAÇÕES!C640,"")</f>
        <v/>
      </c>
      <c r="C640" s="6" t="str">
        <f ca="1">IF(AND(NEGOCIAÇÕES!O640="",NEGOCIAÇÕES!N640&lt;TODAY()),NEGOCIAÇÕES!E640,"")</f>
        <v/>
      </c>
      <c r="D640" s="6" t="str">
        <f ca="1">IF(AND(NEGOCIAÇÕES!O640="",NEGOCIAÇÕES!N640&lt;TODAY()),NEGOCIAÇÕES!D640,"")</f>
        <v/>
      </c>
      <c r="E640" s="9" t="str">
        <f ca="1">IF(AND(NEGOCIAÇÕES!O640="",NEGOCIAÇÕES!N640&lt;TODAY()),NEGOCIAÇÕES!N640,"")</f>
        <v/>
      </c>
      <c r="F640" s="6"/>
    </row>
    <row r="641" spans="2:6" ht="31.95" hidden="1" customHeight="1" x14ac:dyDescent="0.3">
      <c r="B641" s="6" t="str">
        <f ca="1">IF(AND(NEGOCIAÇÕES!O641="",NEGOCIAÇÕES!N641&lt;TODAY()),NEGOCIAÇÕES!C641,"")</f>
        <v/>
      </c>
      <c r="C641" s="6" t="str">
        <f ca="1">IF(AND(NEGOCIAÇÕES!O641="",NEGOCIAÇÕES!N641&lt;TODAY()),NEGOCIAÇÕES!E641,"")</f>
        <v/>
      </c>
      <c r="D641" s="6" t="str">
        <f ca="1">IF(AND(NEGOCIAÇÕES!O641="",NEGOCIAÇÕES!N641&lt;TODAY()),NEGOCIAÇÕES!D641,"")</f>
        <v/>
      </c>
      <c r="E641" s="9" t="str">
        <f ca="1">IF(AND(NEGOCIAÇÕES!O641="",NEGOCIAÇÕES!N641&lt;TODAY()),NEGOCIAÇÕES!N641,"")</f>
        <v/>
      </c>
      <c r="F641" s="6"/>
    </row>
    <row r="642" spans="2:6" ht="31.95" hidden="1" customHeight="1" x14ac:dyDescent="0.3">
      <c r="B642" s="6" t="str">
        <f ca="1">IF(AND(NEGOCIAÇÕES!O642="",NEGOCIAÇÕES!N642&lt;TODAY()),NEGOCIAÇÕES!C642,"")</f>
        <v/>
      </c>
      <c r="C642" s="6" t="str">
        <f ca="1">IF(AND(NEGOCIAÇÕES!O642="",NEGOCIAÇÕES!N642&lt;TODAY()),NEGOCIAÇÕES!E642,"")</f>
        <v/>
      </c>
      <c r="D642" s="6" t="str">
        <f ca="1">IF(AND(NEGOCIAÇÕES!O642="",NEGOCIAÇÕES!N642&lt;TODAY()),NEGOCIAÇÕES!D642,"")</f>
        <v/>
      </c>
      <c r="E642" s="9" t="str">
        <f ca="1">IF(AND(NEGOCIAÇÕES!O642="",NEGOCIAÇÕES!N642&lt;TODAY()),NEGOCIAÇÕES!N642,"")</f>
        <v/>
      </c>
      <c r="F642" s="6"/>
    </row>
    <row r="643" spans="2:6" ht="31.95" hidden="1" customHeight="1" x14ac:dyDescent="0.3">
      <c r="B643" s="6" t="str">
        <f ca="1">IF(AND(NEGOCIAÇÕES!O643="",NEGOCIAÇÕES!N643&lt;TODAY()),NEGOCIAÇÕES!C643,"")</f>
        <v/>
      </c>
      <c r="C643" s="6" t="str">
        <f ca="1">IF(AND(NEGOCIAÇÕES!O643="",NEGOCIAÇÕES!N643&lt;TODAY()),NEGOCIAÇÕES!E643,"")</f>
        <v/>
      </c>
      <c r="D643" s="6" t="str">
        <f ca="1">IF(AND(NEGOCIAÇÕES!O643="",NEGOCIAÇÕES!N643&lt;TODAY()),NEGOCIAÇÕES!D643,"")</f>
        <v/>
      </c>
      <c r="E643" s="9" t="str">
        <f ca="1">IF(AND(NEGOCIAÇÕES!O643="",NEGOCIAÇÕES!N643&lt;TODAY()),NEGOCIAÇÕES!N643,"")</f>
        <v/>
      </c>
      <c r="F643" s="6"/>
    </row>
    <row r="644" spans="2:6" ht="31.95" hidden="1" customHeight="1" x14ac:dyDescent="0.3">
      <c r="B644" s="6" t="str">
        <f ca="1">IF(AND(NEGOCIAÇÕES!O644="",NEGOCIAÇÕES!N644&lt;TODAY()),NEGOCIAÇÕES!C644,"")</f>
        <v/>
      </c>
      <c r="C644" s="6" t="str">
        <f ca="1">IF(AND(NEGOCIAÇÕES!O644="",NEGOCIAÇÕES!N644&lt;TODAY()),NEGOCIAÇÕES!E644,"")</f>
        <v/>
      </c>
      <c r="D644" s="6" t="str">
        <f ca="1">IF(AND(NEGOCIAÇÕES!O644="",NEGOCIAÇÕES!N644&lt;TODAY()),NEGOCIAÇÕES!D644,"")</f>
        <v/>
      </c>
      <c r="E644" s="9" t="str">
        <f ca="1">IF(AND(NEGOCIAÇÕES!O644="",NEGOCIAÇÕES!N644&lt;TODAY()),NEGOCIAÇÕES!N644,"")</f>
        <v/>
      </c>
      <c r="F644" s="6"/>
    </row>
    <row r="645" spans="2:6" ht="31.95" hidden="1" customHeight="1" x14ac:dyDescent="0.3">
      <c r="B645" s="6" t="str">
        <f ca="1">IF(AND(NEGOCIAÇÕES!O645="",NEGOCIAÇÕES!N645&lt;TODAY()),NEGOCIAÇÕES!C645,"")</f>
        <v/>
      </c>
      <c r="C645" s="6" t="str">
        <f ca="1">IF(AND(NEGOCIAÇÕES!O645="",NEGOCIAÇÕES!N645&lt;TODAY()),NEGOCIAÇÕES!E645,"")</f>
        <v/>
      </c>
      <c r="D645" s="6" t="str">
        <f ca="1">IF(AND(NEGOCIAÇÕES!O645="",NEGOCIAÇÕES!N645&lt;TODAY()),NEGOCIAÇÕES!D645,"")</f>
        <v/>
      </c>
      <c r="E645" s="9" t="str">
        <f ca="1">IF(AND(NEGOCIAÇÕES!O645="",NEGOCIAÇÕES!N645&lt;TODAY()),NEGOCIAÇÕES!N645,"")</f>
        <v/>
      </c>
      <c r="F645" s="6"/>
    </row>
    <row r="646" spans="2:6" ht="31.95" hidden="1" customHeight="1" x14ac:dyDescent="0.3">
      <c r="B646" s="6" t="str">
        <f ca="1">IF(AND(NEGOCIAÇÕES!O646="",NEGOCIAÇÕES!N646&lt;TODAY()),NEGOCIAÇÕES!C646,"")</f>
        <v/>
      </c>
      <c r="C646" s="6" t="str">
        <f ca="1">IF(AND(NEGOCIAÇÕES!O646="",NEGOCIAÇÕES!N646&lt;TODAY()),NEGOCIAÇÕES!E646,"")</f>
        <v/>
      </c>
      <c r="D646" s="6" t="str">
        <f ca="1">IF(AND(NEGOCIAÇÕES!O646="",NEGOCIAÇÕES!N646&lt;TODAY()),NEGOCIAÇÕES!D646,"")</f>
        <v/>
      </c>
      <c r="E646" s="9" t="str">
        <f ca="1">IF(AND(NEGOCIAÇÕES!O646="",NEGOCIAÇÕES!N646&lt;TODAY()),NEGOCIAÇÕES!N646,"")</f>
        <v/>
      </c>
      <c r="F646" s="6"/>
    </row>
    <row r="647" spans="2:6" ht="31.95" hidden="1" customHeight="1" x14ac:dyDescent="0.3">
      <c r="B647" s="6" t="str">
        <f ca="1">IF(AND(NEGOCIAÇÕES!O647="",NEGOCIAÇÕES!N647&lt;TODAY()),NEGOCIAÇÕES!C647,"")</f>
        <v/>
      </c>
      <c r="C647" s="6" t="str">
        <f ca="1">IF(AND(NEGOCIAÇÕES!O647="",NEGOCIAÇÕES!N647&lt;TODAY()),NEGOCIAÇÕES!E647,"")</f>
        <v/>
      </c>
      <c r="D647" s="6" t="str">
        <f ca="1">IF(AND(NEGOCIAÇÕES!O647="",NEGOCIAÇÕES!N647&lt;TODAY()),NEGOCIAÇÕES!D647,"")</f>
        <v/>
      </c>
      <c r="E647" s="9" t="str">
        <f ca="1">IF(AND(NEGOCIAÇÕES!O647="",NEGOCIAÇÕES!N647&lt;TODAY()),NEGOCIAÇÕES!N647,"")</f>
        <v/>
      </c>
      <c r="F647" s="6"/>
    </row>
    <row r="648" spans="2:6" ht="31.95" hidden="1" customHeight="1" x14ac:dyDescent="0.3">
      <c r="B648" s="6" t="str">
        <f ca="1">IF(AND(NEGOCIAÇÕES!O648="",NEGOCIAÇÕES!N648&lt;TODAY()),NEGOCIAÇÕES!C648,"")</f>
        <v/>
      </c>
      <c r="C648" s="6" t="str">
        <f ca="1">IF(AND(NEGOCIAÇÕES!O648="",NEGOCIAÇÕES!N648&lt;TODAY()),NEGOCIAÇÕES!E648,"")</f>
        <v/>
      </c>
      <c r="D648" s="6" t="str">
        <f ca="1">IF(AND(NEGOCIAÇÕES!O648="",NEGOCIAÇÕES!N648&lt;TODAY()),NEGOCIAÇÕES!D648,"")</f>
        <v/>
      </c>
      <c r="E648" s="9" t="str">
        <f ca="1">IF(AND(NEGOCIAÇÕES!O648="",NEGOCIAÇÕES!N648&lt;TODAY()),NEGOCIAÇÕES!N648,"")</f>
        <v/>
      </c>
      <c r="F648" s="6"/>
    </row>
    <row r="649" spans="2:6" ht="31.95" hidden="1" customHeight="1" x14ac:dyDescent="0.3">
      <c r="B649" s="6" t="str">
        <f ca="1">IF(AND(NEGOCIAÇÕES!O649="",NEGOCIAÇÕES!N649&lt;TODAY()),NEGOCIAÇÕES!C649,"")</f>
        <v/>
      </c>
      <c r="C649" s="6" t="str">
        <f ca="1">IF(AND(NEGOCIAÇÕES!O649="",NEGOCIAÇÕES!N649&lt;TODAY()),NEGOCIAÇÕES!E649,"")</f>
        <v/>
      </c>
      <c r="D649" s="6" t="str">
        <f ca="1">IF(AND(NEGOCIAÇÕES!O649="",NEGOCIAÇÕES!N649&lt;TODAY()),NEGOCIAÇÕES!D649,"")</f>
        <v/>
      </c>
      <c r="E649" s="9" t="str">
        <f ca="1">IF(AND(NEGOCIAÇÕES!O649="",NEGOCIAÇÕES!N649&lt;TODAY()),NEGOCIAÇÕES!N649,"")</f>
        <v/>
      </c>
      <c r="F649" s="6"/>
    </row>
    <row r="650" spans="2:6" ht="31.95" hidden="1" customHeight="1" x14ac:dyDescent="0.3">
      <c r="B650" s="6" t="str">
        <f ca="1">IF(AND(NEGOCIAÇÕES!O650="",NEGOCIAÇÕES!N650&lt;TODAY()),NEGOCIAÇÕES!C650,"")</f>
        <v/>
      </c>
      <c r="C650" s="6" t="str">
        <f ca="1">IF(AND(NEGOCIAÇÕES!O650="",NEGOCIAÇÕES!N650&lt;TODAY()),NEGOCIAÇÕES!E650,"")</f>
        <v/>
      </c>
      <c r="D650" s="6" t="str">
        <f ca="1">IF(AND(NEGOCIAÇÕES!O650="",NEGOCIAÇÕES!N650&lt;TODAY()),NEGOCIAÇÕES!D650,"")</f>
        <v/>
      </c>
      <c r="E650" s="9" t="str">
        <f ca="1">IF(AND(NEGOCIAÇÕES!O650="",NEGOCIAÇÕES!N650&lt;TODAY()),NEGOCIAÇÕES!N650,"")</f>
        <v/>
      </c>
      <c r="F650" s="6"/>
    </row>
    <row r="651" spans="2:6" ht="31.95" hidden="1" customHeight="1" x14ac:dyDescent="0.3">
      <c r="B651" s="6" t="str">
        <f ca="1">IF(AND(NEGOCIAÇÕES!O651="",NEGOCIAÇÕES!N651&lt;TODAY()),NEGOCIAÇÕES!C651,"")</f>
        <v/>
      </c>
      <c r="C651" s="6" t="str">
        <f ca="1">IF(AND(NEGOCIAÇÕES!O651="",NEGOCIAÇÕES!N651&lt;TODAY()),NEGOCIAÇÕES!E651,"")</f>
        <v/>
      </c>
      <c r="D651" s="6" t="str">
        <f ca="1">IF(AND(NEGOCIAÇÕES!O651="",NEGOCIAÇÕES!N651&lt;TODAY()),NEGOCIAÇÕES!D651,"")</f>
        <v/>
      </c>
      <c r="E651" s="9" t="str">
        <f ca="1">IF(AND(NEGOCIAÇÕES!O651="",NEGOCIAÇÕES!N651&lt;TODAY()),NEGOCIAÇÕES!N651,"")</f>
        <v/>
      </c>
      <c r="F651" s="6"/>
    </row>
    <row r="652" spans="2:6" ht="31.95" hidden="1" customHeight="1" x14ac:dyDescent="0.3">
      <c r="B652" s="6" t="str">
        <f ca="1">IF(AND(NEGOCIAÇÕES!O652="",NEGOCIAÇÕES!N652&lt;TODAY()),NEGOCIAÇÕES!C652,"")</f>
        <v/>
      </c>
      <c r="C652" s="6" t="str">
        <f ca="1">IF(AND(NEGOCIAÇÕES!O652="",NEGOCIAÇÕES!N652&lt;TODAY()),NEGOCIAÇÕES!E652,"")</f>
        <v/>
      </c>
      <c r="D652" s="6" t="str">
        <f ca="1">IF(AND(NEGOCIAÇÕES!O652="",NEGOCIAÇÕES!N652&lt;TODAY()),NEGOCIAÇÕES!D652,"")</f>
        <v/>
      </c>
      <c r="E652" s="9" t="str">
        <f ca="1">IF(AND(NEGOCIAÇÕES!O652="",NEGOCIAÇÕES!N652&lt;TODAY()),NEGOCIAÇÕES!N652,"")</f>
        <v/>
      </c>
      <c r="F652" s="6"/>
    </row>
    <row r="653" spans="2:6" ht="31.95" hidden="1" customHeight="1" x14ac:dyDescent="0.3">
      <c r="B653" s="6" t="str">
        <f ca="1">IF(AND(NEGOCIAÇÕES!O653="",NEGOCIAÇÕES!N653&lt;TODAY()),NEGOCIAÇÕES!C653,"")</f>
        <v/>
      </c>
      <c r="C653" s="6" t="str">
        <f ca="1">IF(AND(NEGOCIAÇÕES!O653="",NEGOCIAÇÕES!N653&lt;TODAY()),NEGOCIAÇÕES!E653,"")</f>
        <v/>
      </c>
      <c r="D653" s="6" t="str">
        <f ca="1">IF(AND(NEGOCIAÇÕES!O653="",NEGOCIAÇÕES!N653&lt;TODAY()),NEGOCIAÇÕES!D653,"")</f>
        <v/>
      </c>
      <c r="E653" s="9" t="str">
        <f ca="1">IF(AND(NEGOCIAÇÕES!O653="",NEGOCIAÇÕES!N653&lt;TODAY()),NEGOCIAÇÕES!N653,"")</f>
        <v/>
      </c>
      <c r="F653" s="6"/>
    </row>
    <row r="654" spans="2:6" ht="31.95" hidden="1" customHeight="1" x14ac:dyDescent="0.3">
      <c r="B654" s="6" t="str">
        <f ca="1">IF(AND(NEGOCIAÇÕES!O654="",NEGOCIAÇÕES!N654&lt;TODAY()),NEGOCIAÇÕES!C654,"")</f>
        <v/>
      </c>
      <c r="C654" s="6" t="str">
        <f ca="1">IF(AND(NEGOCIAÇÕES!O654="",NEGOCIAÇÕES!N654&lt;TODAY()),NEGOCIAÇÕES!E654,"")</f>
        <v/>
      </c>
      <c r="D654" s="6" t="str">
        <f ca="1">IF(AND(NEGOCIAÇÕES!O654="",NEGOCIAÇÕES!N654&lt;TODAY()),NEGOCIAÇÕES!D654,"")</f>
        <v/>
      </c>
      <c r="E654" s="9" t="str">
        <f ca="1">IF(AND(NEGOCIAÇÕES!O654="",NEGOCIAÇÕES!N654&lt;TODAY()),NEGOCIAÇÕES!N654,"")</f>
        <v/>
      </c>
      <c r="F654" s="6"/>
    </row>
    <row r="655" spans="2:6" ht="31.95" hidden="1" customHeight="1" x14ac:dyDescent="0.3">
      <c r="B655" s="6" t="str">
        <f ca="1">IF(AND(NEGOCIAÇÕES!O655="",NEGOCIAÇÕES!N655&lt;TODAY()),NEGOCIAÇÕES!C655,"")</f>
        <v/>
      </c>
      <c r="C655" s="6" t="str">
        <f ca="1">IF(AND(NEGOCIAÇÕES!O655="",NEGOCIAÇÕES!N655&lt;TODAY()),NEGOCIAÇÕES!E655,"")</f>
        <v/>
      </c>
      <c r="D655" s="6" t="str">
        <f ca="1">IF(AND(NEGOCIAÇÕES!O655="",NEGOCIAÇÕES!N655&lt;TODAY()),NEGOCIAÇÕES!D655,"")</f>
        <v/>
      </c>
      <c r="E655" s="9" t="str">
        <f ca="1">IF(AND(NEGOCIAÇÕES!O655="",NEGOCIAÇÕES!N655&lt;TODAY()),NEGOCIAÇÕES!N655,"")</f>
        <v/>
      </c>
      <c r="F655" s="6"/>
    </row>
    <row r="656" spans="2:6" ht="31.95" hidden="1" customHeight="1" x14ac:dyDescent="0.3">
      <c r="B656" s="6" t="str">
        <f ca="1">IF(AND(NEGOCIAÇÕES!O656="",NEGOCIAÇÕES!N656&lt;TODAY()),NEGOCIAÇÕES!C656,"")</f>
        <v/>
      </c>
      <c r="C656" s="6" t="str">
        <f ca="1">IF(AND(NEGOCIAÇÕES!O656="",NEGOCIAÇÕES!N656&lt;TODAY()),NEGOCIAÇÕES!E656,"")</f>
        <v/>
      </c>
      <c r="D656" s="6" t="str">
        <f ca="1">IF(AND(NEGOCIAÇÕES!O656="",NEGOCIAÇÕES!N656&lt;TODAY()),NEGOCIAÇÕES!D656,"")</f>
        <v/>
      </c>
      <c r="E656" s="9" t="str">
        <f ca="1">IF(AND(NEGOCIAÇÕES!O656="",NEGOCIAÇÕES!N656&lt;TODAY()),NEGOCIAÇÕES!N656,"")</f>
        <v/>
      </c>
      <c r="F656" s="6"/>
    </row>
    <row r="657" spans="2:6" ht="31.95" hidden="1" customHeight="1" x14ac:dyDescent="0.3">
      <c r="B657" s="6" t="str">
        <f ca="1">IF(AND(NEGOCIAÇÕES!O657="",NEGOCIAÇÕES!N657&lt;TODAY()),NEGOCIAÇÕES!C657,"")</f>
        <v/>
      </c>
      <c r="C657" s="6" t="str">
        <f ca="1">IF(AND(NEGOCIAÇÕES!O657="",NEGOCIAÇÕES!N657&lt;TODAY()),NEGOCIAÇÕES!E657,"")</f>
        <v/>
      </c>
      <c r="D657" s="6" t="str">
        <f ca="1">IF(AND(NEGOCIAÇÕES!O657="",NEGOCIAÇÕES!N657&lt;TODAY()),NEGOCIAÇÕES!D657,"")</f>
        <v/>
      </c>
      <c r="E657" s="9" t="str">
        <f ca="1">IF(AND(NEGOCIAÇÕES!O657="",NEGOCIAÇÕES!N657&lt;TODAY()),NEGOCIAÇÕES!N657,"")</f>
        <v/>
      </c>
      <c r="F657" s="6"/>
    </row>
    <row r="658" spans="2:6" ht="31.95" hidden="1" customHeight="1" x14ac:dyDescent="0.3">
      <c r="B658" s="6" t="str">
        <f ca="1">IF(AND(NEGOCIAÇÕES!O658="",NEGOCIAÇÕES!N658&lt;TODAY()),NEGOCIAÇÕES!C658,"")</f>
        <v/>
      </c>
      <c r="C658" s="6" t="str">
        <f ca="1">IF(AND(NEGOCIAÇÕES!O658="",NEGOCIAÇÕES!N658&lt;TODAY()),NEGOCIAÇÕES!E658,"")</f>
        <v/>
      </c>
      <c r="D658" s="6" t="str">
        <f ca="1">IF(AND(NEGOCIAÇÕES!O658="",NEGOCIAÇÕES!N658&lt;TODAY()),NEGOCIAÇÕES!D658,"")</f>
        <v/>
      </c>
      <c r="E658" s="9" t="str">
        <f ca="1">IF(AND(NEGOCIAÇÕES!O658="",NEGOCIAÇÕES!N658&lt;TODAY()),NEGOCIAÇÕES!N658,"")</f>
        <v/>
      </c>
      <c r="F658" s="6"/>
    </row>
    <row r="659" spans="2:6" ht="31.95" hidden="1" customHeight="1" x14ac:dyDescent="0.3">
      <c r="B659" s="6" t="str">
        <f ca="1">IF(AND(NEGOCIAÇÕES!O659="",NEGOCIAÇÕES!N659&lt;TODAY()),NEGOCIAÇÕES!C659,"")</f>
        <v/>
      </c>
      <c r="C659" s="6" t="str">
        <f ca="1">IF(AND(NEGOCIAÇÕES!O659="",NEGOCIAÇÕES!N659&lt;TODAY()),NEGOCIAÇÕES!E659,"")</f>
        <v/>
      </c>
      <c r="D659" s="6" t="str">
        <f ca="1">IF(AND(NEGOCIAÇÕES!O659="",NEGOCIAÇÕES!N659&lt;TODAY()),NEGOCIAÇÕES!D659,"")</f>
        <v/>
      </c>
      <c r="E659" s="9" t="str">
        <f ca="1">IF(AND(NEGOCIAÇÕES!O659="",NEGOCIAÇÕES!N659&lt;TODAY()),NEGOCIAÇÕES!N659,"")</f>
        <v/>
      </c>
      <c r="F659" s="6"/>
    </row>
    <row r="660" spans="2:6" ht="31.95" hidden="1" customHeight="1" x14ac:dyDescent="0.3">
      <c r="B660" s="6" t="str">
        <f ca="1">IF(AND(NEGOCIAÇÕES!O660="",NEGOCIAÇÕES!N660&lt;TODAY()),NEGOCIAÇÕES!C660,"")</f>
        <v/>
      </c>
      <c r="C660" s="6" t="str">
        <f ca="1">IF(AND(NEGOCIAÇÕES!O660="",NEGOCIAÇÕES!N660&lt;TODAY()),NEGOCIAÇÕES!E660,"")</f>
        <v/>
      </c>
      <c r="D660" s="6" t="str">
        <f ca="1">IF(AND(NEGOCIAÇÕES!O660="",NEGOCIAÇÕES!N660&lt;TODAY()),NEGOCIAÇÕES!D660,"")</f>
        <v/>
      </c>
      <c r="E660" s="9" t="str">
        <f ca="1">IF(AND(NEGOCIAÇÕES!O660="",NEGOCIAÇÕES!N660&lt;TODAY()),NEGOCIAÇÕES!N660,"")</f>
        <v/>
      </c>
      <c r="F660" s="6"/>
    </row>
    <row r="661" spans="2:6" ht="31.95" hidden="1" customHeight="1" x14ac:dyDescent="0.3">
      <c r="B661" s="6" t="str">
        <f ca="1">IF(AND(NEGOCIAÇÕES!O661="",NEGOCIAÇÕES!N661&lt;TODAY()),NEGOCIAÇÕES!C661,"")</f>
        <v/>
      </c>
      <c r="C661" s="6" t="str">
        <f ca="1">IF(AND(NEGOCIAÇÕES!O661="",NEGOCIAÇÕES!N661&lt;TODAY()),NEGOCIAÇÕES!E661,"")</f>
        <v/>
      </c>
      <c r="D661" s="6" t="str">
        <f ca="1">IF(AND(NEGOCIAÇÕES!O661="",NEGOCIAÇÕES!N661&lt;TODAY()),NEGOCIAÇÕES!D661,"")</f>
        <v/>
      </c>
      <c r="E661" s="9" t="str">
        <f ca="1">IF(AND(NEGOCIAÇÕES!O661="",NEGOCIAÇÕES!N661&lt;TODAY()),NEGOCIAÇÕES!N661,"")</f>
        <v/>
      </c>
      <c r="F661" s="6"/>
    </row>
    <row r="662" spans="2:6" ht="31.95" hidden="1" customHeight="1" x14ac:dyDescent="0.3">
      <c r="B662" s="6" t="str">
        <f ca="1">IF(AND(NEGOCIAÇÕES!O662="",NEGOCIAÇÕES!N662&lt;TODAY()),NEGOCIAÇÕES!C662,"")</f>
        <v/>
      </c>
      <c r="C662" s="6" t="str">
        <f ca="1">IF(AND(NEGOCIAÇÕES!O662="",NEGOCIAÇÕES!N662&lt;TODAY()),NEGOCIAÇÕES!E662,"")</f>
        <v/>
      </c>
      <c r="D662" s="6" t="str">
        <f ca="1">IF(AND(NEGOCIAÇÕES!O662="",NEGOCIAÇÕES!N662&lt;TODAY()),NEGOCIAÇÕES!D662,"")</f>
        <v/>
      </c>
      <c r="E662" s="9" t="str">
        <f ca="1">IF(AND(NEGOCIAÇÕES!O662="",NEGOCIAÇÕES!N662&lt;TODAY()),NEGOCIAÇÕES!N662,"")</f>
        <v/>
      </c>
      <c r="F662" s="6"/>
    </row>
    <row r="663" spans="2:6" ht="31.95" hidden="1" customHeight="1" x14ac:dyDescent="0.3">
      <c r="B663" s="6" t="str">
        <f ca="1">IF(AND(NEGOCIAÇÕES!O663="",NEGOCIAÇÕES!N663&lt;TODAY()),NEGOCIAÇÕES!C663,"")</f>
        <v/>
      </c>
      <c r="C663" s="6" t="str">
        <f ca="1">IF(AND(NEGOCIAÇÕES!O663="",NEGOCIAÇÕES!N663&lt;TODAY()),NEGOCIAÇÕES!E663,"")</f>
        <v/>
      </c>
      <c r="D663" s="6" t="str">
        <f ca="1">IF(AND(NEGOCIAÇÕES!O663="",NEGOCIAÇÕES!N663&lt;TODAY()),NEGOCIAÇÕES!D663,"")</f>
        <v/>
      </c>
      <c r="E663" s="9" t="str">
        <f ca="1">IF(AND(NEGOCIAÇÕES!O663="",NEGOCIAÇÕES!N663&lt;TODAY()),NEGOCIAÇÕES!N663,"")</f>
        <v/>
      </c>
      <c r="F663" s="6"/>
    </row>
    <row r="664" spans="2:6" ht="31.95" hidden="1" customHeight="1" x14ac:dyDescent="0.3">
      <c r="B664" s="6" t="str">
        <f ca="1">IF(AND(NEGOCIAÇÕES!O664="",NEGOCIAÇÕES!N664&lt;TODAY()),NEGOCIAÇÕES!C664,"")</f>
        <v/>
      </c>
      <c r="C664" s="6" t="str">
        <f ca="1">IF(AND(NEGOCIAÇÕES!O664="",NEGOCIAÇÕES!N664&lt;TODAY()),NEGOCIAÇÕES!E664,"")</f>
        <v/>
      </c>
      <c r="D664" s="6" t="str">
        <f ca="1">IF(AND(NEGOCIAÇÕES!O664="",NEGOCIAÇÕES!N664&lt;TODAY()),NEGOCIAÇÕES!D664,"")</f>
        <v/>
      </c>
      <c r="E664" s="9" t="str">
        <f ca="1">IF(AND(NEGOCIAÇÕES!O664="",NEGOCIAÇÕES!N664&lt;TODAY()),NEGOCIAÇÕES!N664,"")</f>
        <v/>
      </c>
      <c r="F664" s="6"/>
    </row>
    <row r="665" spans="2:6" ht="31.95" hidden="1" customHeight="1" x14ac:dyDescent="0.3">
      <c r="B665" s="6" t="str">
        <f ca="1">IF(AND(NEGOCIAÇÕES!O665="",NEGOCIAÇÕES!N665&lt;TODAY()),NEGOCIAÇÕES!C665,"")</f>
        <v/>
      </c>
      <c r="C665" s="6" t="str">
        <f ca="1">IF(AND(NEGOCIAÇÕES!O665="",NEGOCIAÇÕES!N665&lt;TODAY()),NEGOCIAÇÕES!E665,"")</f>
        <v/>
      </c>
      <c r="D665" s="6" t="str">
        <f ca="1">IF(AND(NEGOCIAÇÕES!O665="",NEGOCIAÇÕES!N665&lt;TODAY()),NEGOCIAÇÕES!D665,"")</f>
        <v/>
      </c>
      <c r="E665" s="9" t="str">
        <f ca="1">IF(AND(NEGOCIAÇÕES!O665="",NEGOCIAÇÕES!N665&lt;TODAY()),NEGOCIAÇÕES!N665,"")</f>
        <v/>
      </c>
      <c r="F665" s="6"/>
    </row>
    <row r="666" spans="2:6" ht="31.95" hidden="1" customHeight="1" x14ac:dyDescent="0.3">
      <c r="B666" s="6" t="str">
        <f ca="1">IF(AND(NEGOCIAÇÕES!O666="",NEGOCIAÇÕES!N666&lt;TODAY()),NEGOCIAÇÕES!C666,"")</f>
        <v/>
      </c>
      <c r="C666" s="6" t="str">
        <f ca="1">IF(AND(NEGOCIAÇÕES!O666="",NEGOCIAÇÕES!N666&lt;TODAY()),NEGOCIAÇÕES!E666,"")</f>
        <v/>
      </c>
      <c r="D666" s="6" t="str">
        <f ca="1">IF(AND(NEGOCIAÇÕES!O666="",NEGOCIAÇÕES!N666&lt;TODAY()),NEGOCIAÇÕES!D666,"")</f>
        <v/>
      </c>
      <c r="E666" s="9" t="str">
        <f ca="1">IF(AND(NEGOCIAÇÕES!O666="",NEGOCIAÇÕES!N666&lt;TODAY()),NEGOCIAÇÕES!N666,"")</f>
        <v/>
      </c>
      <c r="F666" s="6"/>
    </row>
    <row r="667" spans="2:6" ht="31.95" hidden="1" customHeight="1" x14ac:dyDescent="0.3">
      <c r="B667" s="6" t="str">
        <f ca="1">IF(AND(NEGOCIAÇÕES!O667="",NEGOCIAÇÕES!N667&lt;TODAY()),NEGOCIAÇÕES!C667,"")</f>
        <v/>
      </c>
      <c r="C667" s="6" t="str">
        <f ca="1">IF(AND(NEGOCIAÇÕES!O667="",NEGOCIAÇÕES!N667&lt;TODAY()),NEGOCIAÇÕES!E667,"")</f>
        <v/>
      </c>
      <c r="D667" s="6" t="str">
        <f ca="1">IF(AND(NEGOCIAÇÕES!O667="",NEGOCIAÇÕES!N667&lt;TODAY()),NEGOCIAÇÕES!D667,"")</f>
        <v/>
      </c>
      <c r="E667" s="9" t="str">
        <f ca="1">IF(AND(NEGOCIAÇÕES!O667="",NEGOCIAÇÕES!N667&lt;TODAY()),NEGOCIAÇÕES!N667,"")</f>
        <v/>
      </c>
      <c r="F667" s="6"/>
    </row>
    <row r="668" spans="2:6" ht="31.95" hidden="1" customHeight="1" x14ac:dyDescent="0.3">
      <c r="B668" s="6" t="str">
        <f ca="1">IF(AND(NEGOCIAÇÕES!O668="",NEGOCIAÇÕES!N668&lt;TODAY()),NEGOCIAÇÕES!C668,"")</f>
        <v/>
      </c>
      <c r="C668" s="6" t="str">
        <f ca="1">IF(AND(NEGOCIAÇÕES!O668="",NEGOCIAÇÕES!N668&lt;TODAY()),NEGOCIAÇÕES!E668,"")</f>
        <v/>
      </c>
      <c r="D668" s="6" t="str">
        <f ca="1">IF(AND(NEGOCIAÇÕES!O668="",NEGOCIAÇÕES!N668&lt;TODAY()),NEGOCIAÇÕES!D668,"")</f>
        <v/>
      </c>
      <c r="E668" s="9" t="str">
        <f ca="1">IF(AND(NEGOCIAÇÕES!O668="",NEGOCIAÇÕES!N668&lt;TODAY()),NEGOCIAÇÕES!N668,"")</f>
        <v/>
      </c>
      <c r="F668" s="6"/>
    </row>
    <row r="669" spans="2:6" ht="31.95" hidden="1" customHeight="1" x14ac:dyDescent="0.3">
      <c r="B669" s="6" t="str">
        <f ca="1">IF(AND(NEGOCIAÇÕES!O669="",NEGOCIAÇÕES!N669&lt;TODAY()),NEGOCIAÇÕES!C669,"")</f>
        <v/>
      </c>
      <c r="C669" s="6" t="str">
        <f ca="1">IF(AND(NEGOCIAÇÕES!O669="",NEGOCIAÇÕES!N669&lt;TODAY()),NEGOCIAÇÕES!E669,"")</f>
        <v/>
      </c>
      <c r="D669" s="6" t="str">
        <f ca="1">IF(AND(NEGOCIAÇÕES!O669="",NEGOCIAÇÕES!N669&lt;TODAY()),NEGOCIAÇÕES!D669,"")</f>
        <v/>
      </c>
      <c r="E669" s="9" t="str">
        <f ca="1">IF(AND(NEGOCIAÇÕES!O669="",NEGOCIAÇÕES!N669&lt;TODAY()),NEGOCIAÇÕES!N669,"")</f>
        <v/>
      </c>
      <c r="F669" s="6"/>
    </row>
    <row r="670" spans="2:6" ht="31.95" hidden="1" customHeight="1" x14ac:dyDescent="0.3">
      <c r="B670" s="6" t="str">
        <f ca="1">IF(AND(NEGOCIAÇÕES!O670="",NEGOCIAÇÕES!N670&lt;TODAY()),NEGOCIAÇÕES!C670,"")</f>
        <v/>
      </c>
      <c r="C670" s="6" t="str">
        <f ca="1">IF(AND(NEGOCIAÇÕES!O670="",NEGOCIAÇÕES!N670&lt;TODAY()),NEGOCIAÇÕES!E670,"")</f>
        <v/>
      </c>
      <c r="D670" s="6" t="str">
        <f ca="1">IF(AND(NEGOCIAÇÕES!O670="",NEGOCIAÇÕES!N670&lt;TODAY()),NEGOCIAÇÕES!D670,"")</f>
        <v/>
      </c>
      <c r="E670" s="9" t="str">
        <f ca="1">IF(AND(NEGOCIAÇÕES!O670="",NEGOCIAÇÕES!N670&lt;TODAY()),NEGOCIAÇÕES!N670,"")</f>
        <v/>
      </c>
      <c r="F670" s="6"/>
    </row>
    <row r="671" spans="2:6" ht="31.95" hidden="1" customHeight="1" x14ac:dyDescent="0.3">
      <c r="B671" s="6" t="str">
        <f ca="1">IF(AND(NEGOCIAÇÕES!O671="",NEGOCIAÇÕES!N671&lt;TODAY()),NEGOCIAÇÕES!C671,"")</f>
        <v/>
      </c>
      <c r="C671" s="6" t="str">
        <f ca="1">IF(AND(NEGOCIAÇÕES!O671="",NEGOCIAÇÕES!N671&lt;TODAY()),NEGOCIAÇÕES!E671,"")</f>
        <v/>
      </c>
      <c r="D671" s="6" t="str">
        <f ca="1">IF(AND(NEGOCIAÇÕES!O671="",NEGOCIAÇÕES!N671&lt;TODAY()),NEGOCIAÇÕES!D671,"")</f>
        <v/>
      </c>
      <c r="E671" s="9" t="str">
        <f ca="1">IF(AND(NEGOCIAÇÕES!O671="",NEGOCIAÇÕES!N671&lt;TODAY()),NEGOCIAÇÕES!N671,"")</f>
        <v/>
      </c>
      <c r="F671" s="6"/>
    </row>
    <row r="672" spans="2:6" ht="31.95" hidden="1" customHeight="1" x14ac:dyDescent="0.3">
      <c r="B672" s="6" t="str">
        <f ca="1">IF(AND(NEGOCIAÇÕES!O672="",NEGOCIAÇÕES!N672&lt;TODAY()),NEGOCIAÇÕES!C672,"")</f>
        <v/>
      </c>
      <c r="C672" s="6" t="str">
        <f ca="1">IF(AND(NEGOCIAÇÕES!O672="",NEGOCIAÇÕES!N672&lt;TODAY()),NEGOCIAÇÕES!E672,"")</f>
        <v/>
      </c>
      <c r="D672" s="6" t="str">
        <f ca="1">IF(AND(NEGOCIAÇÕES!O672="",NEGOCIAÇÕES!N672&lt;TODAY()),NEGOCIAÇÕES!D672,"")</f>
        <v/>
      </c>
      <c r="E672" s="9" t="str">
        <f ca="1">IF(AND(NEGOCIAÇÕES!O672="",NEGOCIAÇÕES!N672&lt;TODAY()),NEGOCIAÇÕES!N672,"")</f>
        <v/>
      </c>
      <c r="F672" s="6"/>
    </row>
    <row r="673" spans="2:6" ht="31.95" hidden="1" customHeight="1" x14ac:dyDescent="0.3">
      <c r="B673" s="6" t="str">
        <f ca="1">IF(AND(NEGOCIAÇÕES!O673="",NEGOCIAÇÕES!N673&lt;TODAY()),NEGOCIAÇÕES!C673,"")</f>
        <v/>
      </c>
      <c r="C673" s="6" t="str">
        <f ca="1">IF(AND(NEGOCIAÇÕES!O673="",NEGOCIAÇÕES!N673&lt;TODAY()),NEGOCIAÇÕES!E673,"")</f>
        <v/>
      </c>
      <c r="D673" s="6" t="str">
        <f ca="1">IF(AND(NEGOCIAÇÕES!O673="",NEGOCIAÇÕES!N673&lt;TODAY()),NEGOCIAÇÕES!D673,"")</f>
        <v/>
      </c>
      <c r="E673" s="9" t="str">
        <f ca="1">IF(AND(NEGOCIAÇÕES!O673="",NEGOCIAÇÕES!N673&lt;TODAY()),NEGOCIAÇÕES!N673,"")</f>
        <v/>
      </c>
      <c r="F673" s="6"/>
    </row>
    <row r="674" spans="2:6" ht="31.95" hidden="1" customHeight="1" x14ac:dyDescent="0.3">
      <c r="B674" s="6" t="str">
        <f ca="1">IF(AND(NEGOCIAÇÕES!O674="",NEGOCIAÇÕES!N674&lt;TODAY()),NEGOCIAÇÕES!C674,"")</f>
        <v/>
      </c>
      <c r="C674" s="6" t="str">
        <f ca="1">IF(AND(NEGOCIAÇÕES!O674="",NEGOCIAÇÕES!N674&lt;TODAY()),NEGOCIAÇÕES!E674,"")</f>
        <v/>
      </c>
      <c r="D674" s="6" t="str">
        <f ca="1">IF(AND(NEGOCIAÇÕES!O674="",NEGOCIAÇÕES!N674&lt;TODAY()),NEGOCIAÇÕES!D674,"")</f>
        <v/>
      </c>
      <c r="E674" s="9" t="str">
        <f ca="1">IF(AND(NEGOCIAÇÕES!O674="",NEGOCIAÇÕES!N674&lt;TODAY()),NEGOCIAÇÕES!N674,"")</f>
        <v/>
      </c>
      <c r="F674" s="6"/>
    </row>
    <row r="675" spans="2:6" ht="31.95" hidden="1" customHeight="1" x14ac:dyDescent="0.3">
      <c r="B675" s="6" t="str">
        <f ca="1">IF(AND(NEGOCIAÇÕES!O675="",NEGOCIAÇÕES!N675&lt;TODAY()),NEGOCIAÇÕES!C675,"")</f>
        <v/>
      </c>
      <c r="C675" s="6" t="str">
        <f ca="1">IF(AND(NEGOCIAÇÕES!O675="",NEGOCIAÇÕES!N675&lt;TODAY()),NEGOCIAÇÕES!E675,"")</f>
        <v/>
      </c>
      <c r="D675" s="6" t="str">
        <f ca="1">IF(AND(NEGOCIAÇÕES!O675="",NEGOCIAÇÕES!N675&lt;TODAY()),NEGOCIAÇÕES!D675,"")</f>
        <v/>
      </c>
      <c r="E675" s="9" t="str">
        <f ca="1">IF(AND(NEGOCIAÇÕES!O675="",NEGOCIAÇÕES!N675&lt;TODAY()),NEGOCIAÇÕES!N675,"")</f>
        <v/>
      </c>
      <c r="F675" s="6"/>
    </row>
    <row r="676" spans="2:6" ht="31.95" hidden="1" customHeight="1" x14ac:dyDescent="0.3">
      <c r="B676" s="6" t="str">
        <f ca="1">IF(AND(NEGOCIAÇÕES!O676="",NEGOCIAÇÕES!N676&lt;TODAY()),NEGOCIAÇÕES!C676,"")</f>
        <v/>
      </c>
      <c r="C676" s="6" t="str">
        <f ca="1">IF(AND(NEGOCIAÇÕES!O676="",NEGOCIAÇÕES!N676&lt;TODAY()),NEGOCIAÇÕES!E676,"")</f>
        <v/>
      </c>
      <c r="D676" s="6" t="str">
        <f ca="1">IF(AND(NEGOCIAÇÕES!O676="",NEGOCIAÇÕES!N676&lt;TODAY()),NEGOCIAÇÕES!D676,"")</f>
        <v/>
      </c>
      <c r="E676" s="9" t="str">
        <f ca="1">IF(AND(NEGOCIAÇÕES!O676="",NEGOCIAÇÕES!N676&lt;TODAY()),NEGOCIAÇÕES!N676,"")</f>
        <v/>
      </c>
      <c r="F676" s="6"/>
    </row>
    <row r="677" spans="2:6" ht="31.95" hidden="1" customHeight="1" x14ac:dyDescent="0.3">
      <c r="B677" s="6" t="str">
        <f ca="1">IF(AND(NEGOCIAÇÕES!O677="",NEGOCIAÇÕES!N677&lt;TODAY()),NEGOCIAÇÕES!C677,"")</f>
        <v/>
      </c>
      <c r="C677" s="6" t="str">
        <f ca="1">IF(AND(NEGOCIAÇÕES!O677="",NEGOCIAÇÕES!N677&lt;TODAY()),NEGOCIAÇÕES!E677,"")</f>
        <v/>
      </c>
      <c r="D677" s="6" t="str">
        <f ca="1">IF(AND(NEGOCIAÇÕES!O677="",NEGOCIAÇÕES!N677&lt;TODAY()),NEGOCIAÇÕES!D677,"")</f>
        <v/>
      </c>
      <c r="E677" s="9" t="str">
        <f ca="1">IF(AND(NEGOCIAÇÕES!O677="",NEGOCIAÇÕES!N677&lt;TODAY()),NEGOCIAÇÕES!N677,"")</f>
        <v/>
      </c>
      <c r="F677" s="6"/>
    </row>
    <row r="678" spans="2:6" ht="31.95" hidden="1" customHeight="1" x14ac:dyDescent="0.3">
      <c r="B678" s="6" t="str">
        <f ca="1">IF(AND(NEGOCIAÇÕES!O678="",NEGOCIAÇÕES!N678&lt;TODAY()),NEGOCIAÇÕES!C678,"")</f>
        <v/>
      </c>
      <c r="C678" s="6" t="str">
        <f ca="1">IF(AND(NEGOCIAÇÕES!O678="",NEGOCIAÇÕES!N678&lt;TODAY()),NEGOCIAÇÕES!E678,"")</f>
        <v/>
      </c>
      <c r="D678" s="6" t="str">
        <f ca="1">IF(AND(NEGOCIAÇÕES!O678="",NEGOCIAÇÕES!N678&lt;TODAY()),NEGOCIAÇÕES!D678,"")</f>
        <v/>
      </c>
      <c r="E678" s="9" t="str">
        <f ca="1">IF(AND(NEGOCIAÇÕES!O678="",NEGOCIAÇÕES!N678&lt;TODAY()),NEGOCIAÇÕES!N678,"")</f>
        <v/>
      </c>
      <c r="F678" s="6"/>
    </row>
    <row r="679" spans="2:6" ht="31.95" hidden="1" customHeight="1" x14ac:dyDescent="0.3">
      <c r="B679" s="6" t="str">
        <f ca="1">IF(AND(NEGOCIAÇÕES!O679="",NEGOCIAÇÕES!N679&lt;TODAY()),NEGOCIAÇÕES!C679,"")</f>
        <v/>
      </c>
      <c r="C679" s="6" t="str">
        <f ca="1">IF(AND(NEGOCIAÇÕES!O679="",NEGOCIAÇÕES!N679&lt;TODAY()),NEGOCIAÇÕES!E679,"")</f>
        <v/>
      </c>
      <c r="D679" s="6" t="str">
        <f ca="1">IF(AND(NEGOCIAÇÕES!O679="",NEGOCIAÇÕES!N679&lt;TODAY()),NEGOCIAÇÕES!D679,"")</f>
        <v/>
      </c>
      <c r="E679" s="9" t="str">
        <f ca="1">IF(AND(NEGOCIAÇÕES!O679="",NEGOCIAÇÕES!N679&lt;TODAY()),NEGOCIAÇÕES!N679,"")</f>
        <v/>
      </c>
      <c r="F679" s="6"/>
    </row>
    <row r="680" spans="2:6" ht="31.95" hidden="1" customHeight="1" x14ac:dyDescent="0.3">
      <c r="B680" s="6" t="str">
        <f ca="1">IF(AND(NEGOCIAÇÕES!O680="",NEGOCIAÇÕES!N680&lt;TODAY()),NEGOCIAÇÕES!C680,"")</f>
        <v/>
      </c>
      <c r="C680" s="6" t="str">
        <f ca="1">IF(AND(NEGOCIAÇÕES!O680="",NEGOCIAÇÕES!N680&lt;TODAY()),NEGOCIAÇÕES!E680,"")</f>
        <v/>
      </c>
      <c r="D680" s="6" t="str">
        <f ca="1">IF(AND(NEGOCIAÇÕES!O680="",NEGOCIAÇÕES!N680&lt;TODAY()),NEGOCIAÇÕES!D680,"")</f>
        <v/>
      </c>
      <c r="E680" s="9" t="str">
        <f ca="1">IF(AND(NEGOCIAÇÕES!O680="",NEGOCIAÇÕES!N680&lt;TODAY()),NEGOCIAÇÕES!N680,"")</f>
        <v/>
      </c>
      <c r="F680" s="6"/>
    </row>
    <row r="681" spans="2:6" ht="31.95" hidden="1" customHeight="1" x14ac:dyDescent="0.3">
      <c r="B681" s="6" t="str">
        <f ca="1">IF(AND(NEGOCIAÇÕES!O681="",NEGOCIAÇÕES!N681&lt;TODAY()),NEGOCIAÇÕES!C681,"")</f>
        <v/>
      </c>
      <c r="C681" s="6" t="str">
        <f ca="1">IF(AND(NEGOCIAÇÕES!O681="",NEGOCIAÇÕES!N681&lt;TODAY()),NEGOCIAÇÕES!E681,"")</f>
        <v/>
      </c>
      <c r="D681" s="6" t="str">
        <f ca="1">IF(AND(NEGOCIAÇÕES!O681="",NEGOCIAÇÕES!N681&lt;TODAY()),NEGOCIAÇÕES!D681,"")</f>
        <v/>
      </c>
      <c r="E681" s="9" t="str">
        <f ca="1">IF(AND(NEGOCIAÇÕES!O681="",NEGOCIAÇÕES!N681&lt;TODAY()),NEGOCIAÇÕES!N681,"")</f>
        <v/>
      </c>
      <c r="F681" s="6"/>
    </row>
    <row r="682" spans="2:6" ht="31.95" hidden="1" customHeight="1" x14ac:dyDescent="0.3">
      <c r="B682" s="6" t="str">
        <f ca="1">IF(AND(NEGOCIAÇÕES!O682="",NEGOCIAÇÕES!N682&lt;TODAY()),NEGOCIAÇÕES!C682,"")</f>
        <v/>
      </c>
      <c r="C682" s="6" t="str">
        <f ca="1">IF(AND(NEGOCIAÇÕES!O682="",NEGOCIAÇÕES!N682&lt;TODAY()),NEGOCIAÇÕES!E682,"")</f>
        <v/>
      </c>
      <c r="D682" s="6" t="str">
        <f ca="1">IF(AND(NEGOCIAÇÕES!O682="",NEGOCIAÇÕES!N682&lt;TODAY()),NEGOCIAÇÕES!D682,"")</f>
        <v/>
      </c>
      <c r="E682" s="9" t="str">
        <f ca="1">IF(AND(NEGOCIAÇÕES!O682="",NEGOCIAÇÕES!N682&lt;TODAY()),NEGOCIAÇÕES!N682,"")</f>
        <v/>
      </c>
      <c r="F682" s="6"/>
    </row>
    <row r="683" spans="2:6" ht="31.95" hidden="1" customHeight="1" x14ac:dyDescent="0.3">
      <c r="B683" s="6" t="str">
        <f ca="1">IF(AND(NEGOCIAÇÕES!O683="",NEGOCIAÇÕES!N683&lt;TODAY()),NEGOCIAÇÕES!C683,"")</f>
        <v/>
      </c>
      <c r="C683" s="6" t="str">
        <f ca="1">IF(AND(NEGOCIAÇÕES!O683="",NEGOCIAÇÕES!N683&lt;TODAY()),NEGOCIAÇÕES!E683,"")</f>
        <v/>
      </c>
      <c r="D683" s="6" t="str">
        <f ca="1">IF(AND(NEGOCIAÇÕES!O683="",NEGOCIAÇÕES!N683&lt;TODAY()),NEGOCIAÇÕES!D683,"")</f>
        <v/>
      </c>
      <c r="E683" s="9" t="str">
        <f ca="1">IF(AND(NEGOCIAÇÕES!O683="",NEGOCIAÇÕES!N683&lt;TODAY()),NEGOCIAÇÕES!N683,"")</f>
        <v/>
      </c>
      <c r="F683" s="6"/>
    </row>
    <row r="684" spans="2:6" ht="31.95" hidden="1" customHeight="1" x14ac:dyDescent="0.3">
      <c r="B684" s="6" t="str">
        <f ca="1">IF(AND(NEGOCIAÇÕES!O684="",NEGOCIAÇÕES!N684&lt;TODAY()),NEGOCIAÇÕES!C684,"")</f>
        <v/>
      </c>
      <c r="C684" s="6" t="str">
        <f ca="1">IF(AND(NEGOCIAÇÕES!O684="",NEGOCIAÇÕES!N684&lt;TODAY()),NEGOCIAÇÕES!E684,"")</f>
        <v/>
      </c>
      <c r="D684" s="6" t="str">
        <f ca="1">IF(AND(NEGOCIAÇÕES!O684="",NEGOCIAÇÕES!N684&lt;TODAY()),NEGOCIAÇÕES!D684,"")</f>
        <v/>
      </c>
      <c r="E684" s="9" t="str">
        <f ca="1">IF(AND(NEGOCIAÇÕES!O684="",NEGOCIAÇÕES!N684&lt;TODAY()),NEGOCIAÇÕES!N684,"")</f>
        <v/>
      </c>
      <c r="F684" s="6"/>
    </row>
    <row r="685" spans="2:6" ht="31.95" hidden="1" customHeight="1" x14ac:dyDescent="0.3">
      <c r="B685" s="6" t="str">
        <f ca="1">IF(AND(NEGOCIAÇÕES!O685="",NEGOCIAÇÕES!N685&lt;TODAY()),NEGOCIAÇÕES!C685,"")</f>
        <v/>
      </c>
      <c r="C685" s="6" t="str">
        <f ca="1">IF(AND(NEGOCIAÇÕES!O685="",NEGOCIAÇÕES!N685&lt;TODAY()),NEGOCIAÇÕES!E685,"")</f>
        <v/>
      </c>
      <c r="D685" s="6" t="str">
        <f ca="1">IF(AND(NEGOCIAÇÕES!O685="",NEGOCIAÇÕES!N685&lt;TODAY()),NEGOCIAÇÕES!D685,"")</f>
        <v/>
      </c>
      <c r="E685" s="9" t="str">
        <f ca="1">IF(AND(NEGOCIAÇÕES!O685="",NEGOCIAÇÕES!N685&lt;TODAY()),NEGOCIAÇÕES!N685,"")</f>
        <v/>
      </c>
      <c r="F685" s="6"/>
    </row>
    <row r="686" spans="2:6" ht="31.95" hidden="1" customHeight="1" x14ac:dyDescent="0.3">
      <c r="B686" s="6" t="str">
        <f ca="1">IF(AND(NEGOCIAÇÕES!O686="",NEGOCIAÇÕES!N686&lt;TODAY()),NEGOCIAÇÕES!C686,"")</f>
        <v/>
      </c>
      <c r="C686" s="6" t="str">
        <f ca="1">IF(AND(NEGOCIAÇÕES!O686="",NEGOCIAÇÕES!N686&lt;TODAY()),NEGOCIAÇÕES!E686,"")</f>
        <v/>
      </c>
      <c r="D686" s="6" t="str">
        <f ca="1">IF(AND(NEGOCIAÇÕES!O686="",NEGOCIAÇÕES!N686&lt;TODAY()),NEGOCIAÇÕES!D686,"")</f>
        <v/>
      </c>
      <c r="E686" s="9" t="str">
        <f ca="1">IF(AND(NEGOCIAÇÕES!O686="",NEGOCIAÇÕES!N686&lt;TODAY()),NEGOCIAÇÕES!N686,"")</f>
        <v/>
      </c>
      <c r="F686" s="6"/>
    </row>
    <row r="687" spans="2:6" ht="31.95" hidden="1" customHeight="1" x14ac:dyDescent="0.3">
      <c r="B687" s="6" t="str">
        <f ca="1">IF(AND(NEGOCIAÇÕES!O687="",NEGOCIAÇÕES!N687&lt;TODAY()),NEGOCIAÇÕES!C687,"")</f>
        <v/>
      </c>
      <c r="C687" s="6" t="str">
        <f ca="1">IF(AND(NEGOCIAÇÕES!O687="",NEGOCIAÇÕES!N687&lt;TODAY()),NEGOCIAÇÕES!E687,"")</f>
        <v/>
      </c>
      <c r="D687" s="6" t="str">
        <f ca="1">IF(AND(NEGOCIAÇÕES!O687="",NEGOCIAÇÕES!N687&lt;TODAY()),NEGOCIAÇÕES!D687,"")</f>
        <v/>
      </c>
      <c r="E687" s="9" t="str">
        <f ca="1">IF(AND(NEGOCIAÇÕES!O687="",NEGOCIAÇÕES!N687&lt;TODAY()),NEGOCIAÇÕES!N687,"")</f>
        <v/>
      </c>
      <c r="F687" s="6"/>
    </row>
    <row r="688" spans="2:6" ht="31.95" hidden="1" customHeight="1" x14ac:dyDescent="0.3">
      <c r="B688" s="6" t="str">
        <f ca="1">IF(AND(NEGOCIAÇÕES!O688="",NEGOCIAÇÕES!N688&lt;TODAY()),NEGOCIAÇÕES!C688,"")</f>
        <v/>
      </c>
      <c r="C688" s="6" t="str">
        <f ca="1">IF(AND(NEGOCIAÇÕES!O688="",NEGOCIAÇÕES!N688&lt;TODAY()),NEGOCIAÇÕES!E688,"")</f>
        <v/>
      </c>
      <c r="D688" s="6" t="str">
        <f ca="1">IF(AND(NEGOCIAÇÕES!O688="",NEGOCIAÇÕES!N688&lt;TODAY()),NEGOCIAÇÕES!D688,"")</f>
        <v/>
      </c>
      <c r="E688" s="9" t="str">
        <f ca="1">IF(AND(NEGOCIAÇÕES!O688="",NEGOCIAÇÕES!N688&lt;TODAY()),NEGOCIAÇÕES!N688,"")</f>
        <v/>
      </c>
      <c r="F688" s="6"/>
    </row>
    <row r="689" spans="2:6" ht="31.95" hidden="1" customHeight="1" x14ac:dyDescent="0.3">
      <c r="B689" s="6" t="str">
        <f ca="1">IF(AND(NEGOCIAÇÕES!O689="",NEGOCIAÇÕES!N689&lt;TODAY()),NEGOCIAÇÕES!C689,"")</f>
        <v/>
      </c>
      <c r="C689" s="6" t="str">
        <f ca="1">IF(AND(NEGOCIAÇÕES!O689="",NEGOCIAÇÕES!N689&lt;TODAY()),NEGOCIAÇÕES!E689,"")</f>
        <v/>
      </c>
      <c r="D689" s="6" t="str">
        <f ca="1">IF(AND(NEGOCIAÇÕES!O689="",NEGOCIAÇÕES!N689&lt;TODAY()),NEGOCIAÇÕES!D689,"")</f>
        <v/>
      </c>
      <c r="E689" s="9" t="str">
        <f ca="1">IF(AND(NEGOCIAÇÕES!O689="",NEGOCIAÇÕES!N689&lt;TODAY()),NEGOCIAÇÕES!N689,"")</f>
        <v/>
      </c>
      <c r="F689" s="6"/>
    </row>
    <row r="690" spans="2:6" ht="31.95" hidden="1" customHeight="1" x14ac:dyDescent="0.3">
      <c r="B690" s="6" t="str">
        <f ca="1">IF(AND(NEGOCIAÇÕES!O690="",NEGOCIAÇÕES!N690&lt;TODAY()),NEGOCIAÇÕES!C690,"")</f>
        <v/>
      </c>
      <c r="C690" s="6" t="str">
        <f ca="1">IF(AND(NEGOCIAÇÕES!O690="",NEGOCIAÇÕES!N690&lt;TODAY()),NEGOCIAÇÕES!E690,"")</f>
        <v/>
      </c>
      <c r="D690" s="6" t="str">
        <f ca="1">IF(AND(NEGOCIAÇÕES!O690="",NEGOCIAÇÕES!N690&lt;TODAY()),NEGOCIAÇÕES!D690,"")</f>
        <v/>
      </c>
      <c r="E690" s="9" t="str">
        <f ca="1">IF(AND(NEGOCIAÇÕES!O690="",NEGOCIAÇÕES!N690&lt;TODAY()),NEGOCIAÇÕES!N690,"")</f>
        <v/>
      </c>
      <c r="F690" s="6"/>
    </row>
    <row r="691" spans="2:6" ht="31.95" hidden="1" customHeight="1" x14ac:dyDescent="0.3">
      <c r="B691" s="6" t="str">
        <f ca="1">IF(AND(NEGOCIAÇÕES!O691="",NEGOCIAÇÕES!N691&lt;TODAY()),NEGOCIAÇÕES!C691,"")</f>
        <v/>
      </c>
      <c r="C691" s="6" t="str">
        <f ca="1">IF(AND(NEGOCIAÇÕES!O691="",NEGOCIAÇÕES!N691&lt;TODAY()),NEGOCIAÇÕES!E691,"")</f>
        <v/>
      </c>
      <c r="D691" s="6" t="str">
        <f ca="1">IF(AND(NEGOCIAÇÕES!O691="",NEGOCIAÇÕES!N691&lt;TODAY()),NEGOCIAÇÕES!D691,"")</f>
        <v/>
      </c>
      <c r="E691" s="9" t="str">
        <f ca="1">IF(AND(NEGOCIAÇÕES!O691="",NEGOCIAÇÕES!N691&lt;TODAY()),NEGOCIAÇÕES!N691,"")</f>
        <v/>
      </c>
      <c r="F691" s="6"/>
    </row>
    <row r="692" spans="2:6" ht="31.95" hidden="1" customHeight="1" x14ac:dyDescent="0.3">
      <c r="B692" s="6" t="str">
        <f ca="1">IF(AND(NEGOCIAÇÕES!O692="",NEGOCIAÇÕES!N692&lt;TODAY()),NEGOCIAÇÕES!C692,"")</f>
        <v/>
      </c>
      <c r="C692" s="6" t="str">
        <f ca="1">IF(AND(NEGOCIAÇÕES!O692="",NEGOCIAÇÕES!N692&lt;TODAY()),NEGOCIAÇÕES!E692,"")</f>
        <v/>
      </c>
      <c r="D692" s="6" t="str">
        <f ca="1">IF(AND(NEGOCIAÇÕES!O692="",NEGOCIAÇÕES!N692&lt;TODAY()),NEGOCIAÇÕES!D692,"")</f>
        <v/>
      </c>
      <c r="E692" s="9" t="str">
        <f ca="1">IF(AND(NEGOCIAÇÕES!O692="",NEGOCIAÇÕES!N692&lt;TODAY()),NEGOCIAÇÕES!N692,"")</f>
        <v/>
      </c>
      <c r="F692" s="6"/>
    </row>
    <row r="693" spans="2:6" ht="31.95" hidden="1" customHeight="1" x14ac:dyDescent="0.3">
      <c r="B693" s="6" t="str">
        <f ca="1">IF(AND(NEGOCIAÇÕES!O693="",NEGOCIAÇÕES!N693&lt;TODAY()),NEGOCIAÇÕES!C693,"")</f>
        <v/>
      </c>
      <c r="C693" s="6" t="str">
        <f ca="1">IF(AND(NEGOCIAÇÕES!O693="",NEGOCIAÇÕES!N693&lt;TODAY()),NEGOCIAÇÕES!E693,"")</f>
        <v/>
      </c>
      <c r="D693" s="6" t="str">
        <f ca="1">IF(AND(NEGOCIAÇÕES!O693="",NEGOCIAÇÕES!N693&lt;TODAY()),NEGOCIAÇÕES!D693,"")</f>
        <v/>
      </c>
      <c r="E693" s="9" t="str">
        <f ca="1">IF(AND(NEGOCIAÇÕES!O693="",NEGOCIAÇÕES!N693&lt;TODAY()),NEGOCIAÇÕES!N693,"")</f>
        <v/>
      </c>
      <c r="F693" s="6"/>
    </row>
    <row r="694" spans="2:6" ht="31.95" hidden="1" customHeight="1" x14ac:dyDescent="0.3">
      <c r="B694" s="6" t="str">
        <f ca="1">IF(AND(NEGOCIAÇÕES!O694="",NEGOCIAÇÕES!N694&lt;TODAY()),NEGOCIAÇÕES!C694,"")</f>
        <v/>
      </c>
      <c r="C694" s="6" t="str">
        <f ca="1">IF(AND(NEGOCIAÇÕES!O694="",NEGOCIAÇÕES!N694&lt;TODAY()),NEGOCIAÇÕES!E694,"")</f>
        <v/>
      </c>
      <c r="D694" s="6" t="str">
        <f ca="1">IF(AND(NEGOCIAÇÕES!O694="",NEGOCIAÇÕES!N694&lt;TODAY()),NEGOCIAÇÕES!D694,"")</f>
        <v/>
      </c>
      <c r="E694" s="9" t="str">
        <f ca="1">IF(AND(NEGOCIAÇÕES!O694="",NEGOCIAÇÕES!N694&lt;TODAY()),NEGOCIAÇÕES!N694,"")</f>
        <v/>
      </c>
      <c r="F694" s="6"/>
    </row>
    <row r="695" spans="2:6" ht="31.95" hidden="1" customHeight="1" x14ac:dyDescent="0.3">
      <c r="B695" s="6" t="str">
        <f ca="1">IF(AND(NEGOCIAÇÕES!O695="",NEGOCIAÇÕES!N695&lt;TODAY()),NEGOCIAÇÕES!C695,"")</f>
        <v/>
      </c>
      <c r="C695" s="6" t="str">
        <f ca="1">IF(AND(NEGOCIAÇÕES!O695="",NEGOCIAÇÕES!N695&lt;TODAY()),NEGOCIAÇÕES!E695,"")</f>
        <v/>
      </c>
      <c r="D695" s="6" t="str">
        <f ca="1">IF(AND(NEGOCIAÇÕES!O695="",NEGOCIAÇÕES!N695&lt;TODAY()),NEGOCIAÇÕES!D695,"")</f>
        <v/>
      </c>
      <c r="E695" s="9" t="str">
        <f ca="1">IF(AND(NEGOCIAÇÕES!O695="",NEGOCIAÇÕES!N695&lt;TODAY()),NEGOCIAÇÕES!N695,"")</f>
        <v/>
      </c>
      <c r="F695" s="6"/>
    </row>
    <row r="696" spans="2:6" ht="31.95" hidden="1" customHeight="1" x14ac:dyDescent="0.3">
      <c r="B696" s="6" t="str">
        <f ca="1">IF(AND(NEGOCIAÇÕES!O696="",NEGOCIAÇÕES!N696&lt;TODAY()),NEGOCIAÇÕES!C696,"")</f>
        <v/>
      </c>
      <c r="C696" s="6" t="str">
        <f ca="1">IF(AND(NEGOCIAÇÕES!O696="",NEGOCIAÇÕES!N696&lt;TODAY()),NEGOCIAÇÕES!E696,"")</f>
        <v/>
      </c>
      <c r="D696" s="6" t="str">
        <f ca="1">IF(AND(NEGOCIAÇÕES!O696="",NEGOCIAÇÕES!N696&lt;TODAY()),NEGOCIAÇÕES!D696,"")</f>
        <v/>
      </c>
      <c r="E696" s="9" t="str">
        <f ca="1">IF(AND(NEGOCIAÇÕES!O696="",NEGOCIAÇÕES!N696&lt;TODAY()),NEGOCIAÇÕES!N696,"")</f>
        <v/>
      </c>
      <c r="F696" s="6"/>
    </row>
    <row r="697" spans="2:6" ht="31.95" hidden="1" customHeight="1" x14ac:dyDescent="0.3">
      <c r="B697" s="6" t="str">
        <f ca="1">IF(AND(NEGOCIAÇÕES!O697="",NEGOCIAÇÕES!N697&lt;TODAY()),NEGOCIAÇÕES!C697,"")</f>
        <v/>
      </c>
      <c r="C697" s="6" t="str">
        <f ca="1">IF(AND(NEGOCIAÇÕES!O697="",NEGOCIAÇÕES!N697&lt;TODAY()),NEGOCIAÇÕES!E697,"")</f>
        <v/>
      </c>
      <c r="D697" s="6" t="str">
        <f ca="1">IF(AND(NEGOCIAÇÕES!O697="",NEGOCIAÇÕES!N697&lt;TODAY()),NEGOCIAÇÕES!D697,"")</f>
        <v/>
      </c>
      <c r="E697" s="9" t="str">
        <f ca="1">IF(AND(NEGOCIAÇÕES!O697="",NEGOCIAÇÕES!N697&lt;TODAY()),NEGOCIAÇÕES!N697,"")</f>
        <v/>
      </c>
      <c r="F697" s="6"/>
    </row>
    <row r="698" spans="2:6" ht="31.95" hidden="1" customHeight="1" x14ac:dyDescent="0.3">
      <c r="B698" s="6" t="str">
        <f ca="1">IF(AND(NEGOCIAÇÕES!O698="",NEGOCIAÇÕES!N698&lt;TODAY()),NEGOCIAÇÕES!C698,"")</f>
        <v/>
      </c>
      <c r="C698" s="6" t="str">
        <f ca="1">IF(AND(NEGOCIAÇÕES!O698="",NEGOCIAÇÕES!N698&lt;TODAY()),NEGOCIAÇÕES!E698,"")</f>
        <v/>
      </c>
      <c r="D698" s="6" t="str">
        <f ca="1">IF(AND(NEGOCIAÇÕES!O698="",NEGOCIAÇÕES!N698&lt;TODAY()),NEGOCIAÇÕES!D698,"")</f>
        <v/>
      </c>
      <c r="E698" s="9" t="str">
        <f ca="1">IF(AND(NEGOCIAÇÕES!O698="",NEGOCIAÇÕES!N698&lt;TODAY()),NEGOCIAÇÕES!N698,"")</f>
        <v/>
      </c>
      <c r="F698" s="6"/>
    </row>
    <row r="699" spans="2:6" ht="31.95" hidden="1" customHeight="1" x14ac:dyDescent="0.3">
      <c r="B699" s="6" t="str">
        <f ca="1">IF(AND(NEGOCIAÇÕES!O699="",NEGOCIAÇÕES!N699&lt;TODAY()),NEGOCIAÇÕES!C699,"")</f>
        <v/>
      </c>
      <c r="C699" s="6" t="str">
        <f ca="1">IF(AND(NEGOCIAÇÕES!O699="",NEGOCIAÇÕES!N699&lt;TODAY()),NEGOCIAÇÕES!E699,"")</f>
        <v/>
      </c>
      <c r="D699" s="6" t="str">
        <f ca="1">IF(AND(NEGOCIAÇÕES!O699="",NEGOCIAÇÕES!N699&lt;TODAY()),NEGOCIAÇÕES!D699,"")</f>
        <v/>
      </c>
      <c r="E699" s="9" t="str">
        <f ca="1">IF(AND(NEGOCIAÇÕES!O699="",NEGOCIAÇÕES!N699&lt;TODAY()),NEGOCIAÇÕES!N699,"")</f>
        <v/>
      </c>
      <c r="F699" s="6"/>
    </row>
    <row r="700" spans="2:6" ht="31.95" hidden="1" customHeight="1" x14ac:dyDescent="0.3">
      <c r="B700" s="6" t="str">
        <f ca="1">IF(AND(NEGOCIAÇÕES!O700="",NEGOCIAÇÕES!N700&lt;TODAY()),NEGOCIAÇÕES!C700,"")</f>
        <v/>
      </c>
      <c r="C700" s="6" t="str">
        <f ca="1">IF(AND(NEGOCIAÇÕES!O700="",NEGOCIAÇÕES!N700&lt;TODAY()),NEGOCIAÇÕES!E700,"")</f>
        <v/>
      </c>
      <c r="D700" s="6" t="str">
        <f ca="1">IF(AND(NEGOCIAÇÕES!O700="",NEGOCIAÇÕES!N700&lt;TODAY()),NEGOCIAÇÕES!D700,"")</f>
        <v/>
      </c>
      <c r="E700" s="9" t="str">
        <f ca="1">IF(AND(NEGOCIAÇÕES!O700="",NEGOCIAÇÕES!N700&lt;TODAY()),NEGOCIAÇÕES!N700,"")</f>
        <v/>
      </c>
      <c r="F700" s="6"/>
    </row>
    <row r="701" spans="2:6" ht="31.95" hidden="1" customHeight="1" x14ac:dyDescent="0.3">
      <c r="B701" s="6" t="str">
        <f ca="1">IF(AND(NEGOCIAÇÕES!O701="",NEGOCIAÇÕES!N701&lt;TODAY()),NEGOCIAÇÕES!C701,"")</f>
        <v/>
      </c>
      <c r="C701" s="6" t="str">
        <f ca="1">IF(AND(NEGOCIAÇÕES!O701="",NEGOCIAÇÕES!N701&lt;TODAY()),NEGOCIAÇÕES!E701,"")</f>
        <v/>
      </c>
      <c r="D701" s="6" t="str">
        <f ca="1">IF(AND(NEGOCIAÇÕES!O701="",NEGOCIAÇÕES!N701&lt;TODAY()),NEGOCIAÇÕES!D701,"")</f>
        <v/>
      </c>
      <c r="E701" s="9" t="str">
        <f ca="1">IF(AND(NEGOCIAÇÕES!O701="",NEGOCIAÇÕES!N701&lt;TODAY()),NEGOCIAÇÕES!N701,"")</f>
        <v/>
      </c>
      <c r="F701" s="6"/>
    </row>
    <row r="702" spans="2:6" ht="31.95" hidden="1" customHeight="1" x14ac:dyDescent="0.3">
      <c r="B702" s="6" t="str">
        <f ca="1">IF(AND(NEGOCIAÇÕES!O702="",NEGOCIAÇÕES!N702&lt;TODAY()),NEGOCIAÇÕES!C702,"")</f>
        <v/>
      </c>
      <c r="C702" s="6" t="str">
        <f ca="1">IF(AND(NEGOCIAÇÕES!O702="",NEGOCIAÇÕES!N702&lt;TODAY()),NEGOCIAÇÕES!E702,"")</f>
        <v/>
      </c>
      <c r="D702" s="6" t="str">
        <f ca="1">IF(AND(NEGOCIAÇÕES!O702="",NEGOCIAÇÕES!N702&lt;TODAY()),NEGOCIAÇÕES!D702,"")</f>
        <v/>
      </c>
      <c r="E702" s="9" t="str">
        <f ca="1">IF(AND(NEGOCIAÇÕES!O702="",NEGOCIAÇÕES!N702&lt;TODAY()),NEGOCIAÇÕES!N702,"")</f>
        <v/>
      </c>
      <c r="F702" s="6"/>
    </row>
    <row r="703" spans="2:6" ht="31.95" hidden="1" customHeight="1" x14ac:dyDescent="0.3">
      <c r="B703" s="6" t="str">
        <f ca="1">IF(AND(NEGOCIAÇÕES!O703="",NEGOCIAÇÕES!N703&lt;TODAY()),NEGOCIAÇÕES!C703,"")</f>
        <v/>
      </c>
      <c r="C703" s="6" t="str">
        <f ca="1">IF(AND(NEGOCIAÇÕES!O703="",NEGOCIAÇÕES!N703&lt;TODAY()),NEGOCIAÇÕES!E703,"")</f>
        <v/>
      </c>
      <c r="D703" s="6" t="str">
        <f ca="1">IF(AND(NEGOCIAÇÕES!O703="",NEGOCIAÇÕES!N703&lt;TODAY()),NEGOCIAÇÕES!D703,"")</f>
        <v/>
      </c>
      <c r="E703" s="9" t="str">
        <f ca="1">IF(AND(NEGOCIAÇÕES!O703="",NEGOCIAÇÕES!N703&lt;TODAY()),NEGOCIAÇÕES!N703,"")</f>
        <v/>
      </c>
      <c r="F703" s="6"/>
    </row>
    <row r="704" spans="2:6" ht="31.95" hidden="1" customHeight="1" x14ac:dyDescent="0.3">
      <c r="B704" s="6" t="str">
        <f ca="1">IF(AND(NEGOCIAÇÕES!O704="",NEGOCIAÇÕES!N704&lt;TODAY()),NEGOCIAÇÕES!C704,"")</f>
        <v/>
      </c>
      <c r="C704" s="6" t="str">
        <f ca="1">IF(AND(NEGOCIAÇÕES!O704="",NEGOCIAÇÕES!N704&lt;TODAY()),NEGOCIAÇÕES!E704,"")</f>
        <v/>
      </c>
      <c r="D704" s="6" t="str">
        <f ca="1">IF(AND(NEGOCIAÇÕES!O704="",NEGOCIAÇÕES!N704&lt;TODAY()),NEGOCIAÇÕES!D704,"")</f>
        <v/>
      </c>
      <c r="E704" s="9" t="str">
        <f ca="1">IF(AND(NEGOCIAÇÕES!O704="",NEGOCIAÇÕES!N704&lt;TODAY()),NEGOCIAÇÕES!N704,"")</f>
        <v/>
      </c>
      <c r="F704" s="6"/>
    </row>
    <row r="705" spans="2:6" ht="31.95" hidden="1" customHeight="1" x14ac:dyDescent="0.3">
      <c r="B705" s="6" t="str">
        <f ca="1">IF(AND(NEGOCIAÇÕES!O705="",NEGOCIAÇÕES!N705&lt;TODAY()),NEGOCIAÇÕES!C705,"")</f>
        <v/>
      </c>
      <c r="C705" s="6" t="str">
        <f ca="1">IF(AND(NEGOCIAÇÕES!O705="",NEGOCIAÇÕES!N705&lt;TODAY()),NEGOCIAÇÕES!E705,"")</f>
        <v/>
      </c>
      <c r="D705" s="6" t="str">
        <f ca="1">IF(AND(NEGOCIAÇÕES!O705="",NEGOCIAÇÕES!N705&lt;TODAY()),NEGOCIAÇÕES!D705,"")</f>
        <v/>
      </c>
      <c r="E705" s="9" t="str">
        <f ca="1">IF(AND(NEGOCIAÇÕES!O705="",NEGOCIAÇÕES!N705&lt;TODAY()),NEGOCIAÇÕES!N705,"")</f>
        <v/>
      </c>
      <c r="F705" s="6"/>
    </row>
    <row r="706" spans="2:6" ht="31.95" hidden="1" customHeight="1" x14ac:dyDescent="0.3">
      <c r="B706" s="6" t="str">
        <f ca="1">IF(AND(NEGOCIAÇÕES!O706="",NEGOCIAÇÕES!N706&lt;TODAY()),NEGOCIAÇÕES!C706,"")</f>
        <v/>
      </c>
      <c r="C706" s="6" t="str">
        <f ca="1">IF(AND(NEGOCIAÇÕES!O706="",NEGOCIAÇÕES!N706&lt;TODAY()),NEGOCIAÇÕES!E706,"")</f>
        <v/>
      </c>
      <c r="D706" s="6" t="str">
        <f ca="1">IF(AND(NEGOCIAÇÕES!O706="",NEGOCIAÇÕES!N706&lt;TODAY()),NEGOCIAÇÕES!D706,"")</f>
        <v/>
      </c>
      <c r="E706" s="9" t="str">
        <f ca="1">IF(AND(NEGOCIAÇÕES!O706="",NEGOCIAÇÕES!N706&lt;TODAY()),NEGOCIAÇÕES!N706,"")</f>
        <v/>
      </c>
      <c r="F706" s="6"/>
    </row>
    <row r="707" spans="2:6" ht="31.95" hidden="1" customHeight="1" x14ac:dyDescent="0.3">
      <c r="B707" s="6" t="str">
        <f ca="1">IF(AND(NEGOCIAÇÕES!O707="",NEGOCIAÇÕES!N707&lt;TODAY()),NEGOCIAÇÕES!C707,"")</f>
        <v/>
      </c>
      <c r="C707" s="6" t="str">
        <f ca="1">IF(AND(NEGOCIAÇÕES!O707="",NEGOCIAÇÕES!N707&lt;TODAY()),NEGOCIAÇÕES!E707,"")</f>
        <v/>
      </c>
      <c r="D707" s="6" t="str">
        <f ca="1">IF(AND(NEGOCIAÇÕES!O707="",NEGOCIAÇÕES!N707&lt;TODAY()),NEGOCIAÇÕES!D707,"")</f>
        <v/>
      </c>
      <c r="E707" s="9" t="str">
        <f ca="1">IF(AND(NEGOCIAÇÕES!O707="",NEGOCIAÇÕES!N707&lt;TODAY()),NEGOCIAÇÕES!N707,"")</f>
        <v/>
      </c>
      <c r="F707" s="6"/>
    </row>
    <row r="708" spans="2:6" ht="31.95" hidden="1" customHeight="1" x14ac:dyDescent="0.3">
      <c r="B708" s="6" t="str">
        <f ca="1">IF(AND(NEGOCIAÇÕES!O708="",NEGOCIAÇÕES!N708&lt;TODAY()),NEGOCIAÇÕES!C708,"")</f>
        <v/>
      </c>
      <c r="C708" s="6" t="str">
        <f ca="1">IF(AND(NEGOCIAÇÕES!O708="",NEGOCIAÇÕES!N708&lt;TODAY()),NEGOCIAÇÕES!E708,"")</f>
        <v/>
      </c>
      <c r="D708" s="6" t="str">
        <f ca="1">IF(AND(NEGOCIAÇÕES!O708="",NEGOCIAÇÕES!N708&lt;TODAY()),NEGOCIAÇÕES!D708,"")</f>
        <v/>
      </c>
      <c r="E708" s="9" t="str">
        <f ca="1">IF(AND(NEGOCIAÇÕES!O708="",NEGOCIAÇÕES!N708&lt;TODAY()),NEGOCIAÇÕES!N708,"")</f>
        <v/>
      </c>
      <c r="F708" s="6"/>
    </row>
    <row r="709" spans="2:6" ht="31.95" hidden="1" customHeight="1" x14ac:dyDescent="0.3">
      <c r="B709" s="6" t="str">
        <f ca="1">IF(AND(NEGOCIAÇÕES!O709="",NEGOCIAÇÕES!N709&lt;TODAY()),NEGOCIAÇÕES!C709,"")</f>
        <v/>
      </c>
      <c r="C709" s="6" t="str">
        <f ca="1">IF(AND(NEGOCIAÇÕES!O709="",NEGOCIAÇÕES!N709&lt;TODAY()),NEGOCIAÇÕES!E709,"")</f>
        <v/>
      </c>
      <c r="D709" s="6" t="str">
        <f ca="1">IF(AND(NEGOCIAÇÕES!O709="",NEGOCIAÇÕES!N709&lt;TODAY()),NEGOCIAÇÕES!D709,"")</f>
        <v/>
      </c>
      <c r="E709" s="9" t="str">
        <f ca="1">IF(AND(NEGOCIAÇÕES!O709="",NEGOCIAÇÕES!N709&lt;TODAY()),NEGOCIAÇÕES!N709,"")</f>
        <v/>
      </c>
      <c r="F709" s="6"/>
    </row>
    <row r="710" spans="2:6" ht="31.95" hidden="1" customHeight="1" x14ac:dyDescent="0.3">
      <c r="B710" s="6" t="str">
        <f ca="1">IF(AND(NEGOCIAÇÕES!O710="",NEGOCIAÇÕES!N710&lt;TODAY()),NEGOCIAÇÕES!C710,"")</f>
        <v/>
      </c>
      <c r="C710" s="6" t="str">
        <f ca="1">IF(AND(NEGOCIAÇÕES!O710="",NEGOCIAÇÕES!N710&lt;TODAY()),NEGOCIAÇÕES!E710,"")</f>
        <v/>
      </c>
      <c r="D710" s="6" t="str">
        <f ca="1">IF(AND(NEGOCIAÇÕES!O710="",NEGOCIAÇÕES!N710&lt;TODAY()),NEGOCIAÇÕES!D710,"")</f>
        <v/>
      </c>
      <c r="E710" s="9" t="str">
        <f ca="1">IF(AND(NEGOCIAÇÕES!O710="",NEGOCIAÇÕES!N710&lt;TODAY()),NEGOCIAÇÕES!N710,"")</f>
        <v/>
      </c>
      <c r="F710" s="6"/>
    </row>
    <row r="711" spans="2:6" ht="31.95" hidden="1" customHeight="1" x14ac:dyDescent="0.3">
      <c r="B711" s="6" t="str">
        <f ca="1">IF(AND(NEGOCIAÇÕES!O711="",NEGOCIAÇÕES!N711&lt;TODAY()),NEGOCIAÇÕES!C711,"")</f>
        <v/>
      </c>
      <c r="C711" s="6" t="str">
        <f ca="1">IF(AND(NEGOCIAÇÕES!O711="",NEGOCIAÇÕES!N711&lt;TODAY()),NEGOCIAÇÕES!E711,"")</f>
        <v/>
      </c>
      <c r="D711" s="6" t="str">
        <f ca="1">IF(AND(NEGOCIAÇÕES!O711="",NEGOCIAÇÕES!N711&lt;TODAY()),NEGOCIAÇÕES!D711,"")</f>
        <v/>
      </c>
      <c r="E711" s="9" t="str">
        <f ca="1">IF(AND(NEGOCIAÇÕES!O711="",NEGOCIAÇÕES!N711&lt;TODAY()),NEGOCIAÇÕES!N711,"")</f>
        <v/>
      </c>
      <c r="F711" s="6"/>
    </row>
    <row r="712" spans="2:6" ht="31.95" hidden="1" customHeight="1" x14ac:dyDescent="0.3">
      <c r="B712" s="6" t="str">
        <f ca="1">IF(AND(NEGOCIAÇÕES!O712="",NEGOCIAÇÕES!N712&lt;TODAY()),NEGOCIAÇÕES!C712,"")</f>
        <v/>
      </c>
      <c r="C712" s="6" t="str">
        <f ca="1">IF(AND(NEGOCIAÇÕES!O712="",NEGOCIAÇÕES!N712&lt;TODAY()),NEGOCIAÇÕES!E712,"")</f>
        <v/>
      </c>
      <c r="D712" s="6" t="str">
        <f ca="1">IF(AND(NEGOCIAÇÕES!O712="",NEGOCIAÇÕES!N712&lt;TODAY()),NEGOCIAÇÕES!D712,"")</f>
        <v/>
      </c>
      <c r="E712" s="9" t="str">
        <f ca="1">IF(AND(NEGOCIAÇÕES!O712="",NEGOCIAÇÕES!N712&lt;TODAY()),NEGOCIAÇÕES!N712,"")</f>
        <v/>
      </c>
      <c r="F712" s="6"/>
    </row>
    <row r="713" spans="2:6" ht="31.95" hidden="1" customHeight="1" x14ac:dyDescent="0.3">
      <c r="B713" s="6" t="str">
        <f ca="1">IF(AND(NEGOCIAÇÕES!O713="",NEGOCIAÇÕES!N713&lt;TODAY()),NEGOCIAÇÕES!C713,"")</f>
        <v/>
      </c>
      <c r="C713" s="6" t="str">
        <f ca="1">IF(AND(NEGOCIAÇÕES!O713="",NEGOCIAÇÕES!N713&lt;TODAY()),NEGOCIAÇÕES!E713,"")</f>
        <v/>
      </c>
      <c r="D713" s="6" t="str">
        <f ca="1">IF(AND(NEGOCIAÇÕES!O713="",NEGOCIAÇÕES!N713&lt;TODAY()),NEGOCIAÇÕES!D713,"")</f>
        <v/>
      </c>
      <c r="E713" s="9" t="str">
        <f ca="1">IF(AND(NEGOCIAÇÕES!O713="",NEGOCIAÇÕES!N713&lt;TODAY()),NEGOCIAÇÕES!N713,"")</f>
        <v/>
      </c>
      <c r="F713" s="6"/>
    </row>
    <row r="714" spans="2:6" ht="31.95" hidden="1" customHeight="1" x14ac:dyDescent="0.3">
      <c r="B714" s="6" t="str">
        <f ca="1">IF(AND(NEGOCIAÇÕES!O714="",NEGOCIAÇÕES!N714&lt;TODAY()),NEGOCIAÇÕES!C714,"")</f>
        <v/>
      </c>
      <c r="C714" s="6" t="str">
        <f ca="1">IF(AND(NEGOCIAÇÕES!O714="",NEGOCIAÇÕES!N714&lt;TODAY()),NEGOCIAÇÕES!E714,"")</f>
        <v/>
      </c>
      <c r="D714" s="6" t="str">
        <f ca="1">IF(AND(NEGOCIAÇÕES!O714="",NEGOCIAÇÕES!N714&lt;TODAY()),NEGOCIAÇÕES!D714,"")</f>
        <v/>
      </c>
      <c r="E714" s="9" t="str">
        <f ca="1">IF(AND(NEGOCIAÇÕES!O714="",NEGOCIAÇÕES!N714&lt;TODAY()),NEGOCIAÇÕES!N714,"")</f>
        <v/>
      </c>
      <c r="F714" s="6"/>
    </row>
    <row r="715" spans="2:6" ht="31.95" hidden="1" customHeight="1" x14ac:dyDescent="0.3">
      <c r="B715" s="6" t="str">
        <f ca="1">IF(AND(NEGOCIAÇÕES!O715="",NEGOCIAÇÕES!N715&lt;TODAY()),NEGOCIAÇÕES!C715,"")</f>
        <v/>
      </c>
      <c r="C715" s="6" t="str">
        <f ca="1">IF(AND(NEGOCIAÇÕES!O715="",NEGOCIAÇÕES!N715&lt;TODAY()),NEGOCIAÇÕES!E715,"")</f>
        <v/>
      </c>
      <c r="D715" s="6" t="str">
        <f ca="1">IF(AND(NEGOCIAÇÕES!O715="",NEGOCIAÇÕES!N715&lt;TODAY()),NEGOCIAÇÕES!D715,"")</f>
        <v/>
      </c>
      <c r="E715" s="9" t="str">
        <f ca="1">IF(AND(NEGOCIAÇÕES!O715="",NEGOCIAÇÕES!N715&lt;TODAY()),NEGOCIAÇÕES!N715,"")</f>
        <v/>
      </c>
      <c r="F715" s="6"/>
    </row>
    <row r="716" spans="2:6" ht="31.95" hidden="1" customHeight="1" x14ac:dyDescent="0.3">
      <c r="B716" s="6" t="str">
        <f ca="1">IF(AND(NEGOCIAÇÕES!O716="",NEGOCIAÇÕES!N716&lt;TODAY()),NEGOCIAÇÕES!C716,"")</f>
        <v/>
      </c>
      <c r="C716" s="6" t="str">
        <f ca="1">IF(AND(NEGOCIAÇÕES!O716="",NEGOCIAÇÕES!N716&lt;TODAY()),NEGOCIAÇÕES!E716,"")</f>
        <v/>
      </c>
      <c r="D716" s="6" t="str">
        <f ca="1">IF(AND(NEGOCIAÇÕES!O716="",NEGOCIAÇÕES!N716&lt;TODAY()),NEGOCIAÇÕES!D716,"")</f>
        <v/>
      </c>
      <c r="E716" s="9" t="str">
        <f ca="1">IF(AND(NEGOCIAÇÕES!O716="",NEGOCIAÇÕES!N716&lt;TODAY()),NEGOCIAÇÕES!N716,"")</f>
        <v/>
      </c>
      <c r="F716" s="6"/>
    </row>
    <row r="717" spans="2:6" ht="31.95" hidden="1" customHeight="1" x14ac:dyDescent="0.3">
      <c r="B717" s="6" t="str">
        <f ca="1">IF(AND(NEGOCIAÇÕES!O717="",NEGOCIAÇÕES!N717&lt;TODAY()),NEGOCIAÇÕES!C717,"")</f>
        <v/>
      </c>
      <c r="C717" s="6" t="str">
        <f ca="1">IF(AND(NEGOCIAÇÕES!O717="",NEGOCIAÇÕES!N717&lt;TODAY()),NEGOCIAÇÕES!E717,"")</f>
        <v/>
      </c>
      <c r="D717" s="6" t="str">
        <f ca="1">IF(AND(NEGOCIAÇÕES!O717="",NEGOCIAÇÕES!N717&lt;TODAY()),NEGOCIAÇÕES!D717,"")</f>
        <v/>
      </c>
      <c r="E717" s="9" t="str">
        <f ca="1">IF(AND(NEGOCIAÇÕES!O717="",NEGOCIAÇÕES!N717&lt;TODAY()),NEGOCIAÇÕES!N717,"")</f>
        <v/>
      </c>
      <c r="F717" s="6"/>
    </row>
    <row r="718" spans="2:6" ht="31.95" hidden="1" customHeight="1" x14ac:dyDescent="0.3">
      <c r="B718" s="6" t="str">
        <f ca="1">IF(AND(NEGOCIAÇÕES!O718="",NEGOCIAÇÕES!N718&lt;TODAY()),NEGOCIAÇÕES!C718,"")</f>
        <v/>
      </c>
      <c r="C718" s="6" t="str">
        <f ca="1">IF(AND(NEGOCIAÇÕES!O718="",NEGOCIAÇÕES!N718&lt;TODAY()),NEGOCIAÇÕES!E718,"")</f>
        <v/>
      </c>
      <c r="D718" s="6" t="str">
        <f ca="1">IF(AND(NEGOCIAÇÕES!O718="",NEGOCIAÇÕES!N718&lt;TODAY()),NEGOCIAÇÕES!D718,"")</f>
        <v/>
      </c>
      <c r="E718" s="9" t="str">
        <f ca="1">IF(AND(NEGOCIAÇÕES!O718="",NEGOCIAÇÕES!N718&lt;TODAY()),NEGOCIAÇÕES!N718,"")</f>
        <v/>
      </c>
      <c r="F718" s="6"/>
    </row>
    <row r="719" spans="2:6" ht="31.95" hidden="1" customHeight="1" x14ac:dyDescent="0.3">
      <c r="B719" s="6" t="str">
        <f ca="1">IF(AND(NEGOCIAÇÕES!O719="",NEGOCIAÇÕES!N719&lt;TODAY()),NEGOCIAÇÕES!C719,"")</f>
        <v/>
      </c>
      <c r="C719" s="6" t="str">
        <f ca="1">IF(AND(NEGOCIAÇÕES!O719="",NEGOCIAÇÕES!N719&lt;TODAY()),NEGOCIAÇÕES!E719,"")</f>
        <v/>
      </c>
      <c r="D719" s="6" t="str">
        <f ca="1">IF(AND(NEGOCIAÇÕES!O719="",NEGOCIAÇÕES!N719&lt;TODAY()),NEGOCIAÇÕES!D719,"")</f>
        <v/>
      </c>
      <c r="E719" s="9" t="str">
        <f ca="1">IF(AND(NEGOCIAÇÕES!O719="",NEGOCIAÇÕES!N719&lt;TODAY()),NEGOCIAÇÕES!N719,"")</f>
        <v/>
      </c>
      <c r="F719" s="6"/>
    </row>
    <row r="720" spans="2:6" ht="31.95" hidden="1" customHeight="1" x14ac:dyDescent="0.3">
      <c r="B720" s="6" t="str">
        <f ca="1">IF(AND(NEGOCIAÇÕES!O720="",NEGOCIAÇÕES!N720&lt;TODAY()),NEGOCIAÇÕES!C720,"")</f>
        <v/>
      </c>
      <c r="C720" s="6" t="str">
        <f ca="1">IF(AND(NEGOCIAÇÕES!O720="",NEGOCIAÇÕES!N720&lt;TODAY()),NEGOCIAÇÕES!E720,"")</f>
        <v/>
      </c>
      <c r="D720" s="6" t="str">
        <f ca="1">IF(AND(NEGOCIAÇÕES!O720="",NEGOCIAÇÕES!N720&lt;TODAY()),NEGOCIAÇÕES!D720,"")</f>
        <v/>
      </c>
      <c r="E720" s="9" t="str">
        <f ca="1">IF(AND(NEGOCIAÇÕES!O720="",NEGOCIAÇÕES!N720&lt;TODAY()),NEGOCIAÇÕES!N720,"")</f>
        <v/>
      </c>
      <c r="F720" s="6"/>
    </row>
    <row r="721" spans="2:6" ht="31.95" hidden="1" customHeight="1" x14ac:dyDescent="0.3">
      <c r="B721" s="6" t="str">
        <f ca="1">IF(AND(NEGOCIAÇÕES!O721="",NEGOCIAÇÕES!N721&lt;TODAY()),NEGOCIAÇÕES!C721,"")</f>
        <v/>
      </c>
      <c r="C721" s="6" t="str">
        <f ca="1">IF(AND(NEGOCIAÇÕES!O721="",NEGOCIAÇÕES!N721&lt;TODAY()),NEGOCIAÇÕES!E721,"")</f>
        <v/>
      </c>
      <c r="D721" s="6" t="str">
        <f ca="1">IF(AND(NEGOCIAÇÕES!O721="",NEGOCIAÇÕES!N721&lt;TODAY()),NEGOCIAÇÕES!D721,"")</f>
        <v/>
      </c>
      <c r="E721" s="9" t="str">
        <f ca="1">IF(AND(NEGOCIAÇÕES!O721="",NEGOCIAÇÕES!N721&lt;TODAY()),NEGOCIAÇÕES!N721,"")</f>
        <v/>
      </c>
      <c r="F721" s="6"/>
    </row>
    <row r="722" spans="2:6" ht="31.95" hidden="1" customHeight="1" x14ac:dyDescent="0.3">
      <c r="B722" s="6" t="str">
        <f ca="1">IF(AND(NEGOCIAÇÕES!O722="",NEGOCIAÇÕES!N722&lt;TODAY()),NEGOCIAÇÕES!C722,"")</f>
        <v/>
      </c>
      <c r="C722" s="6" t="str">
        <f ca="1">IF(AND(NEGOCIAÇÕES!O722="",NEGOCIAÇÕES!N722&lt;TODAY()),NEGOCIAÇÕES!E722,"")</f>
        <v/>
      </c>
      <c r="D722" s="6" t="str">
        <f ca="1">IF(AND(NEGOCIAÇÕES!O722="",NEGOCIAÇÕES!N722&lt;TODAY()),NEGOCIAÇÕES!D722,"")</f>
        <v/>
      </c>
      <c r="E722" s="9" t="str">
        <f ca="1">IF(AND(NEGOCIAÇÕES!O722="",NEGOCIAÇÕES!N722&lt;TODAY()),NEGOCIAÇÕES!N722,"")</f>
        <v/>
      </c>
      <c r="F722" s="6"/>
    </row>
    <row r="723" spans="2:6" ht="31.95" hidden="1" customHeight="1" x14ac:dyDescent="0.3">
      <c r="B723" s="6" t="str">
        <f ca="1">IF(AND(NEGOCIAÇÕES!O723="",NEGOCIAÇÕES!N723&lt;TODAY()),NEGOCIAÇÕES!C723,"")</f>
        <v/>
      </c>
      <c r="C723" s="6" t="str">
        <f ca="1">IF(AND(NEGOCIAÇÕES!O723="",NEGOCIAÇÕES!N723&lt;TODAY()),NEGOCIAÇÕES!E723,"")</f>
        <v/>
      </c>
      <c r="D723" s="6" t="str">
        <f ca="1">IF(AND(NEGOCIAÇÕES!O723="",NEGOCIAÇÕES!N723&lt;TODAY()),NEGOCIAÇÕES!D723,"")</f>
        <v/>
      </c>
      <c r="E723" s="9" t="str">
        <f ca="1">IF(AND(NEGOCIAÇÕES!O723="",NEGOCIAÇÕES!N723&lt;TODAY()),NEGOCIAÇÕES!N723,"")</f>
        <v/>
      </c>
      <c r="F723" s="6"/>
    </row>
    <row r="724" spans="2:6" ht="31.95" hidden="1" customHeight="1" x14ac:dyDescent="0.3">
      <c r="B724" s="6" t="str">
        <f ca="1">IF(AND(NEGOCIAÇÕES!O724="",NEGOCIAÇÕES!N724&lt;TODAY()),NEGOCIAÇÕES!C724,"")</f>
        <v/>
      </c>
      <c r="C724" s="6" t="str">
        <f ca="1">IF(AND(NEGOCIAÇÕES!O724="",NEGOCIAÇÕES!N724&lt;TODAY()),NEGOCIAÇÕES!E724,"")</f>
        <v/>
      </c>
      <c r="D724" s="6" t="str">
        <f ca="1">IF(AND(NEGOCIAÇÕES!O724="",NEGOCIAÇÕES!N724&lt;TODAY()),NEGOCIAÇÕES!D724,"")</f>
        <v/>
      </c>
      <c r="E724" s="9" t="str">
        <f ca="1">IF(AND(NEGOCIAÇÕES!O724="",NEGOCIAÇÕES!N724&lt;TODAY()),NEGOCIAÇÕES!N724,"")</f>
        <v/>
      </c>
      <c r="F724" s="6"/>
    </row>
    <row r="725" spans="2:6" ht="31.95" hidden="1" customHeight="1" x14ac:dyDescent="0.3">
      <c r="B725" s="6" t="str">
        <f ca="1">IF(AND(NEGOCIAÇÕES!O725="",NEGOCIAÇÕES!N725&lt;TODAY()),NEGOCIAÇÕES!C725,"")</f>
        <v/>
      </c>
      <c r="C725" s="6" t="str">
        <f ca="1">IF(AND(NEGOCIAÇÕES!O725="",NEGOCIAÇÕES!N725&lt;TODAY()),NEGOCIAÇÕES!E725,"")</f>
        <v/>
      </c>
      <c r="D725" s="6" t="str">
        <f ca="1">IF(AND(NEGOCIAÇÕES!O725="",NEGOCIAÇÕES!N725&lt;TODAY()),NEGOCIAÇÕES!D725,"")</f>
        <v/>
      </c>
      <c r="E725" s="9" t="str">
        <f ca="1">IF(AND(NEGOCIAÇÕES!O725="",NEGOCIAÇÕES!N725&lt;TODAY()),NEGOCIAÇÕES!N725,"")</f>
        <v/>
      </c>
      <c r="F725" s="6"/>
    </row>
    <row r="726" spans="2:6" ht="31.95" hidden="1" customHeight="1" x14ac:dyDescent="0.3">
      <c r="B726" s="6" t="str">
        <f ca="1">IF(AND(NEGOCIAÇÕES!O726="",NEGOCIAÇÕES!N726&lt;TODAY()),NEGOCIAÇÕES!C726,"")</f>
        <v/>
      </c>
      <c r="C726" s="6" t="str">
        <f ca="1">IF(AND(NEGOCIAÇÕES!O726="",NEGOCIAÇÕES!N726&lt;TODAY()),NEGOCIAÇÕES!E726,"")</f>
        <v/>
      </c>
      <c r="D726" s="6" t="str">
        <f ca="1">IF(AND(NEGOCIAÇÕES!O726="",NEGOCIAÇÕES!N726&lt;TODAY()),NEGOCIAÇÕES!D726,"")</f>
        <v/>
      </c>
      <c r="E726" s="9" t="str">
        <f ca="1">IF(AND(NEGOCIAÇÕES!O726="",NEGOCIAÇÕES!N726&lt;TODAY()),NEGOCIAÇÕES!N726,"")</f>
        <v/>
      </c>
      <c r="F726" s="6"/>
    </row>
    <row r="727" spans="2:6" ht="31.95" hidden="1" customHeight="1" x14ac:dyDescent="0.3">
      <c r="B727" s="6" t="str">
        <f ca="1">IF(AND(NEGOCIAÇÕES!O727="",NEGOCIAÇÕES!N727&lt;TODAY()),NEGOCIAÇÕES!C727,"")</f>
        <v/>
      </c>
      <c r="C727" s="6" t="str">
        <f ca="1">IF(AND(NEGOCIAÇÕES!O727="",NEGOCIAÇÕES!N727&lt;TODAY()),NEGOCIAÇÕES!E727,"")</f>
        <v/>
      </c>
      <c r="D727" s="6" t="str">
        <f ca="1">IF(AND(NEGOCIAÇÕES!O727="",NEGOCIAÇÕES!N727&lt;TODAY()),NEGOCIAÇÕES!D727,"")</f>
        <v/>
      </c>
      <c r="E727" s="9" t="str">
        <f ca="1">IF(AND(NEGOCIAÇÕES!O727="",NEGOCIAÇÕES!N727&lt;TODAY()),NEGOCIAÇÕES!N727,"")</f>
        <v/>
      </c>
      <c r="F727" s="6"/>
    </row>
    <row r="728" spans="2:6" ht="31.95" hidden="1" customHeight="1" x14ac:dyDescent="0.3">
      <c r="B728" s="6" t="str">
        <f ca="1">IF(AND(NEGOCIAÇÕES!O728="",NEGOCIAÇÕES!N728&lt;TODAY()),NEGOCIAÇÕES!C728,"")</f>
        <v/>
      </c>
      <c r="C728" s="6" t="str">
        <f ca="1">IF(AND(NEGOCIAÇÕES!O728="",NEGOCIAÇÕES!N728&lt;TODAY()),NEGOCIAÇÕES!E728,"")</f>
        <v/>
      </c>
      <c r="D728" s="6" t="str">
        <f ca="1">IF(AND(NEGOCIAÇÕES!O728="",NEGOCIAÇÕES!N728&lt;TODAY()),NEGOCIAÇÕES!D728,"")</f>
        <v/>
      </c>
      <c r="E728" s="9" t="str">
        <f ca="1">IF(AND(NEGOCIAÇÕES!O728="",NEGOCIAÇÕES!N728&lt;TODAY()),NEGOCIAÇÕES!N728,"")</f>
        <v/>
      </c>
      <c r="F728" s="6"/>
    </row>
    <row r="729" spans="2:6" ht="31.95" hidden="1" customHeight="1" x14ac:dyDescent="0.3">
      <c r="B729" s="6" t="str">
        <f ca="1">IF(AND(NEGOCIAÇÕES!O729="",NEGOCIAÇÕES!N729&lt;TODAY()),NEGOCIAÇÕES!C729,"")</f>
        <v/>
      </c>
      <c r="C729" s="6" t="str">
        <f ca="1">IF(AND(NEGOCIAÇÕES!O729="",NEGOCIAÇÕES!N729&lt;TODAY()),NEGOCIAÇÕES!E729,"")</f>
        <v/>
      </c>
      <c r="D729" s="6" t="str">
        <f ca="1">IF(AND(NEGOCIAÇÕES!O729="",NEGOCIAÇÕES!N729&lt;TODAY()),NEGOCIAÇÕES!D729,"")</f>
        <v/>
      </c>
      <c r="E729" s="9" t="str">
        <f ca="1">IF(AND(NEGOCIAÇÕES!O729="",NEGOCIAÇÕES!N729&lt;TODAY()),NEGOCIAÇÕES!N729,"")</f>
        <v/>
      </c>
      <c r="F729" s="6"/>
    </row>
    <row r="730" spans="2:6" ht="31.95" hidden="1" customHeight="1" x14ac:dyDescent="0.3">
      <c r="B730" s="6" t="str">
        <f ca="1">IF(AND(NEGOCIAÇÕES!O730="",NEGOCIAÇÕES!N730&lt;TODAY()),NEGOCIAÇÕES!C730,"")</f>
        <v/>
      </c>
      <c r="C730" s="6" t="str">
        <f ca="1">IF(AND(NEGOCIAÇÕES!O730="",NEGOCIAÇÕES!N730&lt;TODAY()),NEGOCIAÇÕES!E730,"")</f>
        <v/>
      </c>
      <c r="D730" s="6" t="str">
        <f ca="1">IF(AND(NEGOCIAÇÕES!O730="",NEGOCIAÇÕES!N730&lt;TODAY()),NEGOCIAÇÕES!D730,"")</f>
        <v/>
      </c>
      <c r="E730" s="9" t="str">
        <f ca="1">IF(AND(NEGOCIAÇÕES!O730="",NEGOCIAÇÕES!N730&lt;TODAY()),NEGOCIAÇÕES!N730,"")</f>
        <v/>
      </c>
      <c r="F730" s="6"/>
    </row>
    <row r="731" spans="2:6" ht="31.95" hidden="1" customHeight="1" x14ac:dyDescent="0.3">
      <c r="B731" s="6" t="str">
        <f ca="1">IF(AND(NEGOCIAÇÕES!O731="",NEGOCIAÇÕES!N731&lt;TODAY()),NEGOCIAÇÕES!C731,"")</f>
        <v/>
      </c>
      <c r="C731" s="6" t="str">
        <f ca="1">IF(AND(NEGOCIAÇÕES!O731="",NEGOCIAÇÕES!N731&lt;TODAY()),NEGOCIAÇÕES!E731,"")</f>
        <v/>
      </c>
      <c r="D731" s="6" t="str">
        <f ca="1">IF(AND(NEGOCIAÇÕES!O731="",NEGOCIAÇÕES!N731&lt;TODAY()),NEGOCIAÇÕES!D731,"")</f>
        <v/>
      </c>
      <c r="E731" s="9" t="str">
        <f ca="1">IF(AND(NEGOCIAÇÕES!O731="",NEGOCIAÇÕES!N731&lt;TODAY()),NEGOCIAÇÕES!N731,"")</f>
        <v/>
      </c>
      <c r="F731" s="6"/>
    </row>
    <row r="732" spans="2:6" ht="31.95" hidden="1" customHeight="1" x14ac:dyDescent="0.3">
      <c r="B732" s="6" t="str">
        <f ca="1">IF(AND(NEGOCIAÇÕES!O732="",NEGOCIAÇÕES!N732&lt;TODAY()),NEGOCIAÇÕES!C732,"")</f>
        <v/>
      </c>
      <c r="C732" s="6" t="str">
        <f ca="1">IF(AND(NEGOCIAÇÕES!O732="",NEGOCIAÇÕES!N732&lt;TODAY()),NEGOCIAÇÕES!E732,"")</f>
        <v/>
      </c>
      <c r="D732" s="6" t="str">
        <f ca="1">IF(AND(NEGOCIAÇÕES!O732="",NEGOCIAÇÕES!N732&lt;TODAY()),NEGOCIAÇÕES!D732,"")</f>
        <v/>
      </c>
      <c r="E732" s="9" t="str">
        <f ca="1">IF(AND(NEGOCIAÇÕES!O732="",NEGOCIAÇÕES!N732&lt;TODAY()),NEGOCIAÇÕES!N732,"")</f>
        <v/>
      </c>
      <c r="F732" s="6"/>
    </row>
    <row r="733" spans="2:6" ht="31.95" hidden="1" customHeight="1" x14ac:dyDescent="0.3">
      <c r="B733" s="6" t="str">
        <f ca="1">IF(AND(NEGOCIAÇÕES!O733="",NEGOCIAÇÕES!N733&lt;TODAY()),NEGOCIAÇÕES!C733,"")</f>
        <v/>
      </c>
      <c r="C733" s="6" t="str">
        <f ca="1">IF(AND(NEGOCIAÇÕES!O733="",NEGOCIAÇÕES!N733&lt;TODAY()),NEGOCIAÇÕES!E733,"")</f>
        <v/>
      </c>
      <c r="D733" s="6" t="str">
        <f ca="1">IF(AND(NEGOCIAÇÕES!O733="",NEGOCIAÇÕES!N733&lt;TODAY()),NEGOCIAÇÕES!D733,"")</f>
        <v/>
      </c>
      <c r="E733" s="9" t="str">
        <f ca="1">IF(AND(NEGOCIAÇÕES!O733="",NEGOCIAÇÕES!N733&lt;TODAY()),NEGOCIAÇÕES!N733,"")</f>
        <v/>
      </c>
      <c r="F733" s="6"/>
    </row>
    <row r="734" spans="2:6" ht="31.95" hidden="1" customHeight="1" x14ac:dyDescent="0.3">
      <c r="B734" s="6" t="str">
        <f ca="1">IF(AND(NEGOCIAÇÕES!O734="",NEGOCIAÇÕES!N734&lt;TODAY()),NEGOCIAÇÕES!C734,"")</f>
        <v/>
      </c>
      <c r="C734" s="6" t="str">
        <f ca="1">IF(AND(NEGOCIAÇÕES!O734="",NEGOCIAÇÕES!N734&lt;TODAY()),NEGOCIAÇÕES!E734,"")</f>
        <v/>
      </c>
      <c r="D734" s="6" t="str">
        <f ca="1">IF(AND(NEGOCIAÇÕES!O734="",NEGOCIAÇÕES!N734&lt;TODAY()),NEGOCIAÇÕES!D734,"")</f>
        <v/>
      </c>
      <c r="E734" s="9" t="str">
        <f ca="1">IF(AND(NEGOCIAÇÕES!O734="",NEGOCIAÇÕES!N734&lt;TODAY()),NEGOCIAÇÕES!N734,"")</f>
        <v/>
      </c>
      <c r="F734" s="6"/>
    </row>
    <row r="735" spans="2:6" ht="31.95" hidden="1" customHeight="1" x14ac:dyDescent="0.3">
      <c r="B735" s="6" t="str">
        <f ca="1">IF(AND(NEGOCIAÇÕES!O735="",NEGOCIAÇÕES!N735&lt;TODAY()),NEGOCIAÇÕES!C735,"")</f>
        <v/>
      </c>
      <c r="C735" s="6" t="str">
        <f ca="1">IF(AND(NEGOCIAÇÕES!O735="",NEGOCIAÇÕES!N735&lt;TODAY()),NEGOCIAÇÕES!E735,"")</f>
        <v/>
      </c>
      <c r="D735" s="6" t="str">
        <f ca="1">IF(AND(NEGOCIAÇÕES!O735="",NEGOCIAÇÕES!N735&lt;TODAY()),NEGOCIAÇÕES!D735,"")</f>
        <v/>
      </c>
      <c r="E735" s="9" t="str">
        <f ca="1">IF(AND(NEGOCIAÇÕES!O735="",NEGOCIAÇÕES!N735&lt;TODAY()),NEGOCIAÇÕES!N735,"")</f>
        <v/>
      </c>
      <c r="F735" s="6"/>
    </row>
    <row r="736" spans="2:6" ht="31.95" hidden="1" customHeight="1" x14ac:dyDescent="0.3">
      <c r="B736" s="6" t="str">
        <f ca="1">IF(AND(NEGOCIAÇÕES!O736="",NEGOCIAÇÕES!N736&lt;TODAY()),NEGOCIAÇÕES!C736,"")</f>
        <v/>
      </c>
      <c r="C736" s="6" t="str">
        <f ca="1">IF(AND(NEGOCIAÇÕES!O736="",NEGOCIAÇÕES!N736&lt;TODAY()),NEGOCIAÇÕES!E736,"")</f>
        <v/>
      </c>
      <c r="D736" s="6" t="str">
        <f ca="1">IF(AND(NEGOCIAÇÕES!O736="",NEGOCIAÇÕES!N736&lt;TODAY()),NEGOCIAÇÕES!D736,"")</f>
        <v/>
      </c>
      <c r="E736" s="9" t="str">
        <f ca="1">IF(AND(NEGOCIAÇÕES!O736="",NEGOCIAÇÕES!N736&lt;TODAY()),NEGOCIAÇÕES!N736,"")</f>
        <v/>
      </c>
      <c r="F736" s="6"/>
    </row>
    <row r="737" spans="2:6" ht="31.95" hidden="1" customHeight="1" x14ac:dyDescent="0.3">
      <c r="B737" s="6" t="str">
        <f ca="1">IF(AND(NEGOCIAÇÕES!O737="",NEGOCIAÇÕES!N737&lt;TODAY()),NEGOCIAÇÕES!C737,"")</f>
        <v/>
      </c>
      <c r="C737" s="6" t="str">
        <f ca="1">IF(AND(NEGOCIAÇÕES!O737="",NEGOCIAÇÕES!N737&lt;TODAY()),NEGOCIAÇÕES!E737,"")</f>
        <v/>
      </c>
      <c r="D737" s="6" t="str">
        <f ca="1">IF(AND(NEGOCIAÇÕES!O737="",NEGOCIAÇÕES!N737&lt;TODAY()),NEGOCIAÇÕES!D737,"")</f>
        <v/>
      </c>
      <c r="E737" s="9" t="str">
        <f ca="1">IF(AND(NEGOCIAÇÕES!O737="",NEGOCIAÇÕES!N737&lt;TODAY()),NEGOCIAÇÕES!N737,"")</f>
        <v/>
      </c>
      <c r="F737" s="6"/>
    </row>
    <row r="738" spans="2:6" ht="31.95" hidden="1" customHeight="1" x14ac:dyDescent="0.3">
      <c r="B738" s="6" t="str">
        <f ca="1">IF(AND(NEGOCIAÇÕES!O738="",NEGOCIAÇÕES!N738&lt;TODAY()),NEGOCIAÇÕES!C738,"")</f>
        <v/>
      </c>
      <c r="C738" s="6" t="str">
        <f ca="1">IF(AND(NEGOCIAÇÕES!O738="",NEGOCIAÇÕES!N738&lt;TODAY()),NEGOCIAÇÕES!E738,"")</f>
        <v/>
      </c>
      <c r="D738" s="6" t="str">
        <f ca="1">IF(AND(NEGOCIAÇÕES!O738="",NEGOCIAÇÕES!N738&lt;TODAY()),NEGOCIAÇÕES!D738,"")</f>
        <v/>
      </c>
      <c r="E738" s="9" t="str">
        <f ca="1">IF(AND(NEGOCIAÇÕES!O738="",NEGOCIAÇÕES!N738&lt;TODAY()),NEGOCIAÇÕES!N738,"")</f>
        <v/>
      </c>
      <c r="F738" s="6"/>
    </row>
    <row r="739" spans="2:6" ht="31.95" hidden="1" customHeight="1" x14ac:dyDescent="0.3">
      <c r="B739" s="6" t="str">
        <f ca="1">IF(AND(NEGOCIAÇÕES!O739="",NEGOCIAÇÕES!N739&lt;TODAY()),NEGOCIAÇÕES!C739,"")</f>
        <v/>
      </c>
      <c r="C739" s="6" t="str">
        <f ca="1">IF(AND(NEGOCIAÇÕES!O739="",NEGOCIAÇÕES!N739&lt;TODAY()),NEGOCIAÇÕES!E739,"")</f>
        <v/>
      </c>
      <c r="D739" s="6" t="str">
        <f ca="1">IF(AND(NEGOCIAÇÕES!O739="",NEGOCIAÇÕES!N739&lt;TODAY()),NEGOCIAÇÕES!D739,"")</f>
        <v/>
      </c>
      <c r="E739" s="9" t="str">
        <f ca="1">IF(AND(NEGOCIAÇÕES!O739="",NEGOCIAÇÕES!N739&lt;TODAY()),NEGOCIAÇÕES!N739,"")</f>
        <v/>
      </c>
      <c r="F739" s="6"/>
    </row>
    <row r="740" spans="2:6" ht="31.95" hidden="1" customHeight="1" x14ac:dyDescent="0.3">
      <c r="B740" s="6" t="str">
        <f ca="1">IF(AND(NEGOCIAÇÕES!O740="",NEGOCIAÇÕES!N740&lt;TODAY()),NEGOCIAÇÕES!C740,"")</f>
        <v/>
      </c>
      <c r="C740" s="6" t="str">
        <f ca="1">IF(AND(NEGOCIAÇÕES!O740="",NEGOCIAÇÕES!N740&lt;TODAY()),NEGOCIAÇÕES!E740,"")</f>
        <v/>
      </c>
      <c r="D740" s="6" t="str">
        <f ca="1">IF(AND(NEGOCIAÇÕES!O740="",NEGOCIAÇÕES!N740&lt;TODAY()),NEGOCIAÇÕES!D740,"")</f>
        <v/>
      </c>
      <c r="E740" s="9" t="str">
        <f ca="1">IF(AND(NEGOCIAÇÕES!O740="",NEGOCIAÇÕES!N740&lt;TODAY()),NEGOCIAÇÕES!N740,"")</f>
        <v/>
      </c>
      <c r="F740" s="6"/>
    </row>
    <row r="741" spans="2:6" ht="31.95" hidden="1" customHeight="1" x14ac:dyDescent="0.3">
      <c r="B741" s="6" t="str">
        <f ca="1">IF(AND(NEGOCIAÇÕES!O741="",NEGOCIAÇÕES!N741&lt;TODAY()),NEGOCIAÇÕES!C741,"")</f>
        <v/>
      </c>
      <c r="C741" s="6" t="str">
        <f ca="1">IF(AND(NEGOCIAÇÕES!O741="",NEGOCIAÇÕES!N741&lt;TODAY()),NEGOCIAÇÕES!E741,"")</f>
        <v/>
      </c>
      <c r="D741" s="6" t="str">
        <f ca="1">IF(AND(NEGOCIAÇÕES!O741="",NEGOCIAÇÕES!N741&lt;TODAY()),NEGOCIAÇÕES!D741,"")</f>
        <v/>
      </c>
      <c r="E741" s="9" t="str">
        <f ca="1">IF(AND(NEGOCIAÇÕES!O741="",NEGOCIAÇÕES!N741&lt;TODAY()),NEGOCIAÇÕES!N741,"")</f>
        <v/>
      </c>
      <c r="F741" s="6"/>
    </row>
    <row r="742" spans="2:6" ht="31.95" hidden="1" customHeight="1" x14ac:dyDescent="0.3">
      <c r="B742" s="6" t="str">
        <f ca="1">IF(AND(NEGOCIAÇÕES!O742="",NEGOCIAÇÕES!N742&lt;TODAY()),NEGOCIAÇÕES!C742,"")</f>
        <v/>
      </c>
      <c r="C742" s="6" t="str">
        <f ca="1">IF(AND(NEGOCIAÇÕES!O742="",NEGOCIAÇÕES!N742&lt;TODAY()),NEGOCIAÇÕES!E742,"")</f>
        <v/>
      </c>
      <c r="D742" s="6" t="str">
        <f ca="1">IF(AND(NEGOCIAÇÕES!O742="",NEGOCIAÇÕES!N742&lt;TODAY()),NEGOCIAÇÕES!D742,"")</f>
        <v/>
      </c>
      <c r="E742" s="9" t="str">
        <f ca="1">IF(AND(NEGOCIAÇÕES!O742="",NEGOCIAÇÕES!N742&lt;TODAY()),NEGOCIAÇÕES!N742,"")</f>
        <v/>
      </c>
      <c r="F742" s="6"/>
    </row>
    <row r="743" spans="2:6" ht="31.95" hidden="1" customHeight="1" x14ac:dyDescent="0.3">
      <c r="B743" s="6" t="str">
        <f ca="1">IF(AND(NEGOCIAÇÕES!O743="",NEGOCIAÇÕES!N743&lt;TODAY()),NEGOCIAÇÕES!C743,"")</f>
        <v/>
      </c>
      <c r="C743" s="6" t="str">
        <f ca="1">IF(AND(NEGOCIAÇÕES!O743="",NEGOCIAÇÕES!N743&lt;TODAY()),NEGOCIAÇÕES!E743,"")</f>
        <v/>
      </c>
      <c r="D743" s="6" t="str">
        <f ca="1">IF(AND(NEGOCIAÇÕES!O743="",NEGOCIAÇÕES!N743&lt;TODAY()),NEGOCIAÇÕES!D743,"")</f>
        <v/>
      </c>
      <c r="E743" s="9" t="str">
        <f ca="1">IF(AND(NEGOCIAÇÕES!O743="",NEGOCIAÇÕES!N743&lt;TODAY()),NEGOCIAÇÕES!N743,"")</f>
        <v/>
      </c>
      <c r="F743" s="6"/>
    </row>
    <row r="744" spans="2:6" ht="31.95" hidden="1" customHeight="1" x14ac:dyDescent="0.3">
      <c r="B744" s="6" t="str">
        <f ca="1">IF(AND(NEGOCIAÇÕES!O744="",NEGOCIAÇÕES!N744&lt;TODAY()),NEGOCIAÇÕES!C744,"")</f>
        <v/>
      </c>
      <c r="C744" s="6" t="str">
        <f ca="1">IF(AND(NEGOCIAÇÕES!O744="",NEGOCIAÇÕES!N744&lt;TODAY()),NEGOCIAÇÕES!E744,"")</f>
        <v/>
      </c>
      <c r="D744" s="6" t="str">
        <f ca="1">IF(AND(NEGOCIAÇÕES!O744="",NEGOCIAÇÕES!N744&lt;TODAY()),NEGOCIAÇÕES!D744,"")</f>
        <v/>
      </c>
      <c r="E744" s="9" t="str">
        <f ca="1">IF(AND(NEGOCIAÇÕES!O744="",NEGOCIAÇÕES!N744&lt;TODAY()),NEGOCIAÇÕES!N744,"")</f>
        <v/>
      </c>
      <c r="F744" s="6"/>
    </row>
    <row r="745" spans="2:6" ht="31.95" hidden="1" customHeight="1" x14ac:dyDescent="0.3">
      <c r="B745" s="6" t="str">
        <f ca="1">IF(AND(NEGOCIAÇÕES!O745="",NEGOCIAÇÕES!N745&lt;TODAY()),NEGOCIAÇÕES!C745,"")</f>
        <v/>
      </c>
      <c r="C745" s="6" t="str">
        <f ca="1">IF(AND(NEGOCIAÇÕES!O745="",NEGOCIAÇÕES!N745&lt;TODAY()),NEGOCIAÇÕES!E745,"")</f>
        <v/>
      </c>
      <c r="D745" s="6" t="str">
        <f ca="1">IF(AND(NEGOCIAÇÕES!O745="",NEGOCIAÇÕES!N745&lt;TODAY()),NEGOCIAÇÕES!D745,"")</f>
        <v/>
      </c>
      <c r="E745" s="9" t="str">
        <f ca="1">IF(AND(NEGOCIAÇÕES!O745="",NEGOCIAÇÕES!N745&lt;TODAY()),NEGOCIAÇÕES!N745,"")</f>
        <v/>
      </c>
      <c r="F745" s="6"/>
    </row>
    <row r="746" spans="2:6" ht="31.95" hidden="1" customHeight="1" x14ac:dyDescent="0.3">
      <c r="B746" s="6" t="str">
        <f ca="1">IF(AND(NEGOCIAÇÕES!O746="",NEGOCIAÇÕES!N746&lt;TODAY()),NEGOCIAÇÕES!C746,"")</f>
        <v/>
      </c>
      <c r="C746" s="6" t="str">
        <f ca="1">IF(AND(NEGOCIAÇÕES!O746="",NEGOCIAÇÕES!N746&lt;TODAY()),NEGOCIAÇÕES!E746,"")</f>
        <v/>
      </c>
      <c r="D746" s="6" t="str">
        <f ca="1">IF(AND(NEGOCIAÇÕES!O746="",NEGOCIAÇÕES!N746&lt;TODAY()),NEGOCIAÇÕES!D746,"")</f>
        <v/>
      </c>
      <c r="E746" s="9" t="str">
        <f ca="1">IF(AND(NEGOCIAÇÕES!O746="",NEGOCIAÇÕES!N746&lt;TODAY()),NEGOCIAÇÕES!N746,"")</f>
        <v/>
      </c>
      <c r="F746" s="6"/>
    </row>
    <row r="747" spans="2:6" ht="31.95" hidden="1" customHeight="1" x14ac:dyDescent="0.3">
      <c r="B747" s="6" t="str">
        <f ca="1">IF(AND(NEGOCIAÇÕES!O747="",NEGOCIAÇÕES!N747&lt;TODAY()),NEGOCIAÇÕES!C747,"")</f>
        <v/>
      </c>
      <c r="C747" s="6" t="str">
        <f ca="1">IF(AND(NEGOCIAÇÕES!O747="",NEGOCIAÇÕES!N747&lt;TODAY()),NEGOCIAÇÕES!E747,"")</f>
        <v/>
      </c>
      <c r="D747" s="6" t="str">
        <f ca="1">IF(AND(NEGOCIAÇÕES!O747="",NEGOCIAÇÕES!N747&lt;TODAY()),NEGOCIAÇÕES!D747,"")</f>
        <v/>
      </c>
      <c r="E747" s="9" t="str">
        <f ca="1">IF(AND(NEGOCIAÇÕES!O747="",NEGOCIAÇÕES!N747&lt;TODAY()),NEGOCIAÇÕES!N747,"")</f>
        <v/>
      </c>
      <c r="F747" s="6"/>
    </row>
    <row r="748" spans="2:6" ht="31.95" hidden="1" customHeight="1" x14ac:dyDescent="0.3">
      <c r="B748" s="6" t="str">
        <f ca="1">IF(AND(NEGOCIAÇÕES!O748="",NEGOCIAÇÕES!N748&lt;TODAY()),NEGOCIAÇÕES!C748,"")</f>
        <v/>
      </c>
      <c r="C748" s="6" t="str">
        <f ca="1">IF(AND(NEGOCIAÇÕES!O748="",NEGOCIAÇÕES!N748&lt;TODAY()),NEGOCIAÇÕES!E748,"")</f>
        <v/>
      </c>
      <c r="D748" s="6" t="str">
        <f ca="1">IF(AND(NEGOCIAÇÕES!O748="",NEGOCIAÇÕES!N748&lt;TODAY()),NEGOCIAÇÕES!D748,"")</f>
        <v/>
      </c>
      <c r="E748" s="9" t="str">
        <f ca="1">IF(AND(NEGOCIAÇÕES!O748="",NEGOCIAÇÕES!N748&lt;TODAY()),NEGOCIAÇÕES!N748,"")</f>
        <v/>
      </c>
      <c r="F748" s="6"/>
    </row>
    <row r="749" spans="2:6" ht="31.95" hidden="1" customHeight="1" x14ac:dyDescent="0.3">
      <c r="B749" s="6" t="str">
        <f ca="1">IF(AND(NEGOCIAÇÕES!O749="",NEGOCIAÇÕES!N749&lt;TODAY()),NEGOCIAÇÕES!C749,"")</f>
        <v/>
      </c>
      <c r="C749" s="6" t="str">
        <f ca="1">IF(AND(NEGOCIAÇÕES!O749="",NEGOCIAÇÕES!N749&lt;TODAY()),NEGOCIAÇÕES!E749,"")</f>
        <v/>
      </c>
      <c r="D749" s="6" t="str">
        <f ca="1">IF(AND(NEGOCIAÇÕES!O749="",NEGOCIAÇÕES!N749&lt;TODAY()),NEGOCIAÇÕES!D749,"")</f>
        <v/>
      </c>
      <c r="E749" s="9" t="str">
        <f ca="1">IF(AND(NEGOCIAÇÕES!O749="",NEGOCIAÇÕES!N749&lt;TODAY()),NEGOCIAÇÕES!N749,"")</f>
        <v/>
      </c>
      <c r="F749" s="6"/>
    </row>
    <row r="750" spans="2:6" ht="31.95" hidden="1" customHeight="1" x14ac:dyDescent="0.3">
      <c r="B750" s="6" t="str">
        <f ca="1">IF(AND(NEGOCIAÇÕES!O750="",NEGOCIAÇÕES!N750&lt;TODAY()),NEGOCIAÇÕES!C750,"")</f>
        <v/>
      </c>
      <c r="C750" s="6" t="str">
        <f ca="1">IF(AND(NEGOCIAÇÕES!O750="",NEGOCIAÇÕES!N750&lt;TODAY()),NEGOCIAÇÕES!E750,"")</f>
        <v/>
      </c>
      <c r="D750" s="6" t="str">
        <f ca="1">IF(AND(NEGOCIAÇÕES!O750="",NEGOCIAÇÕES!N750&lt;TODAY()),NEGOCIAÇÕES!D750,"")</f>
        <v/>
      </c>
      <c r="E750" s="9" t="str">
        <f ca="1">IF(AND(NEGOCIAÇÕES!O750="",NEGOCIAÇÕES!N750&lt;TODAY()),NEGOCIAÇÕES!N750,"")</f>
        <v/>
      </c>
      <c r="F750" s="6"/>
    </row>
    <row r="751" spans="2:6" ht="31.95" hidden="1" customHeight="1" x14ac:dyDescent="0.3">
      <c r="B751" s="6" t="str">
        <f ca="1">IF(AND(NEGOCIAÇÕES!O751="",NEGOCIAÇÕES!N751&lt;TODAY()),NEGOCIAÇÕES!C751,"")</f>
        <v/>
      </c>
      <c r="C751" s="6" t="str">
        <f ca="1">IF(AND(NEGOCIAÇÕES!O751="",NEGOCIAÇÕES!N751&lt;TODAY()),NEGOCIAÇÕES!E751,"")</f>
        <v/>
      </c>
      <c r="D751" s="6" t="str">
        <f ca="1">IF(AND(NEGOCIAÇÕES!O751="",NEGOCIAÇÕES!N751&lt;TODAY()),NEGOCIAÇÕES!D751,"")</f>
        <v/>
      </c>
      <c r="E751" s="9" t="str">
        <f ca="1">IF(AND(NEGOCIAÇÕES!O751="",NEGOCIAÇÕES!N751&lt;TODAY()),NEGOCIAÇÕES!N751,"")</f>
        <v/>
      </c>
      <c r="F751" s="6"/>
    </row>
    <row r="752" spans="2:6" ht="31.95" hidden="1" customHeight="1" x14ac:dyDescent="0.3">
      <c r="B752" s="6" t="str">
        <f ca="1">IF(AND(NEGOCIAÇÕES!O752="",NEGOCIAÇÕES!N752&lt;TODAY()),NEGOCIAÇÕES!C752,"")</f>
        <v/>
      </c>
      <c r="C752" s="6" t="str">
        <f ca="1">IF(AND(NEGOCIAÇÕES!O752="",NEGOCIAÇÕES!N752&lt;TODAY()),NEGOCIAÇÕES!E752,"")</f>
        <v/>
      </c>
      <c r="D752" s="6" t="str">
        <f ca="1">IF(AND(NEGOCIAÇÕES!O752="",NEGOCIAÇÕES!N752&lt;TODAY()),NEGOCIAÇÕES!D752,"")</f>
        <v/>
      </c>
      <c r="E752" s="9" t="str">
        <f ca="1">IF(AND(NEGOCIAÇÕES!O752="",NEGOCIAÇÕES!N752&lt;TODAY()),NEGOCIAÇÕES!N752,"")</f>
        <v/>
      </c>
      <c r="F752" s="6"/>
    </row>
    <row r="753" spans="2:6" ht="31.95" hidden="1" customHeight="1" x14ac:dyDescent="0.3">
      <c r="B753" s="6" t="str">
        <f ca="1">IF(AND(NEGOCIAÇÕES!O753="",NEGOCIAÇÕES!N753&lt;TODAY()),NEGOCIAÇÕES!C753,"")</f>
        <v/>
      </c>
      <c r="C753" s="6" t="str">
        <f ca="1">IF(AND(NEGOCIAÇÕES!O753="",NEGOCIAÇÕES!N753&lt;TODAY()),NEGOCIAÇÕES!E753,"")</f>
        <v/>
      </c>
      <c r="D753" s="6" t="str">
        <f ca="1">IF(AND(NEGOCIAÇÕES!O753="",NEGOCIAÇÕES!N753&lt;TODAY()),NEGOCIAÇÕES!D753,"")</f>
        <v/>
      </c>
      <c r="E753" s="9" t="str">
        <f ca="1">IF(AND(NEGOCIAÇÕES!O753="",NEGOCIAÇÕES!N753&lt;TODAY()),NEGOCIAÇÕES!N753,"")</f>
        <v/>
      </c>
      <c r="F753" s="6"/>
    </row>
    <row r="754" spans="2:6" ht="31.95" hidden="1" customHeight="1" x14ac:dyDescent="0.3">
      <c r="B754" s="6" t="str">
        <f ca="1">IF(AND(NEGOCIAÇÕES!O754="",NEGOCIAÇÕES!N754&lt;TODAY()),NEGOCIAÇÕES!C754,"")</f>
        <v/>
      </c>
      <c r="C754" s="6" t="str">
        <f ca="1">IF(AND(NEGOCIAÇÕES!O754="",NEGOCIAÇÕES!N754&lt;TODAY()),NEGOCIAÇÕES!E754,"")</f>
        <v/>
      </c>
      <c r="D754" s="6" t="str">
        <f ca="1">IF(AND(NEGOCIAÇÕES!O754="",NEGOCIAÇÕES!N754&lt;TODAY()),NEGOCIAÇÕES!D754,"")</f>
        <v/>
      </c>
      <c r="E754" s="9" t="str">
        <f ca="1">IF(AND(NEGOCIAÇÕES!O754="",NEGOCIAÇÕES!N754&lt;TODAY()),NEGOCIAÇÕES!N754,"")</f>
        <v/>
      </c>
      <c r="F754" s="6"/>
    </row>
    <row r="755" spans="2:6" ht="31.95" hidden="1" customHeight="1" x14ac:dyDescent="0.3">
      <c r="B755" s="6" t="str">
        <f ca="1">IF(AND(NEGOCIAÇÕES!O755="",NEGOCIAÇÕES!N755&lt;TODAY()),NEGOCIAÇÕES!C755,"")</f>
        <v/>
      </c>
      <c r="C755" s="6" t="str">
        <f ca="1">IF(AND(NEGOCIAÇÕES!O755="",NEGOCIAÇÕES!N755&lt;TODAY()),NEGOCIAÇÕES!E755,"")</f>
        <v/>
      </c>
      <c r="D755" s="6" t="str">
        <f ca="1">IF(AND(NEGOCIAÇÕES!O755="",NEGOCIAÇÕES!N755&lt;TODAY()),NEGOCIAÇÕES!D755,"")</f>
        <v/>
      </c>
      <c r="E755" s="9" t="str">
        <f ca="1">IF(AND(NEGOCIAÇÕES!O755="",NEGOCIAÇÕES!N755&lt;TODAY()),NEGOCIAÇÕES!N755,"")</f>
        <v/>
      </c>
      <c r="F755" s="6"/>
    </row>
    <row r="756" spans="2:6" ht="31.95" hidden="1" customHeight="1" x14ac:dyDescent="0.3">
      <c r="B756" s="6" t="str">
        <f ca="1">IF(AND(NEGOCIAÇÕES!O756="",NEGOCIAÇÕES!N756&lt;TODAY()),NEGOCIAÇÕES!C756,"")</f>
        <v/>
      </c>
      <c r="C756" s="6" t="str">
        <f ca="1">IF(AND(NEGOCIAÇÕES!O756="",NEGOCIAÇÕES!N756&lt;TODAY()),NEGOCIAÇÕES!E756,"")</f>
        <v/>
      </c>
      <c r="D756" s="6" t="str">
        <f ca="1">IF(AND(NEGOCIAÇÕES!O756="",NEGOCIAÇÕES!N756&lt;TODAY()),NEGOCIAÇÕES!D756,"")</f>
        <v/>
      </c>
      <c r="E756" s="9" t="str">
        <f ca="1">IF(AND(NEGOCIAÇÕES!O756="",NEGOCIAÇÕES!N756&lt;TODAY()),NEGOCIAÇÕES!N756,"")</f>
        <v/>
      </c>
      <c r="F756" s="6"/>
    </row>
    <row r="757" spans="2:6" ht="31.95" hidden="1" customHeight="1" x14ac:dyDescent="0.3">
      <c r="B757" s="6" t="str">
        <f ca="1">IF(AND(NEGOCIAÇÕES!O757="",NEGOCIAÇÕES!N757&lt;TODAY()),NEGOCIAÇÕES!C757,"")</f>
        <v/>
      </c>
      <c r="C757" s="6" t="str">
        <f ca="1">IF(AND(NEGOCIAÇÕES!O757="",NEGOCIAÇÕES!N757&lt;TODAY()),NEGOCIAÇÕES!E757,"")</f>
        <v/>
      </c>
      <c r="D757" s="6" t="str">
        <f ca="1">IF(AND(NEGOCIAÇÕES!O757="",NEGOCIAÇÕES!N757&lt;TODAY()),NEGOCIAÇÕES!D757,"")</f>
        <v/>
      </c>
      <c r="E757" s="9" t="str">
        <f ca="1">IF(AND(NEGOCIAÇÕES!O757="",NEGOCIAÇÕES!N757&lt;TODAY()),NEGOCIAÇÕES!N757,"")</f>
        <v/>
      </c>
      <c r="F757" s="6"/>
    </row>
    <row r="758" spans="2:6" ht="31.95" hidden="1" customHeight="1" x14ac:dyDescent="0.3">
      <c r="B758" s="6" t="str">
        <f ca="1">IF(AND(NEGOCIAÇÕES!O758="",NEGOCIAÇÕES!N758&lt;TODAY()),NEGOCIAÇÕES!C758,"")</f>
        <v/>
      </c>
      <c r="C758" s="6" t="str">
        <f ca="1">IF(AND(NEGOCIAÇÕES!O758="",NEGOCIAÇÕES!N758&lt;TODAY()),NEGOCIAÇÕES!E758,"")</f>
        <v/>
      </c>
      <c r="D758" s="6" t="str">
        <f ca="1">IF(AND(NEGOCIAÇÕES!O758="",NEGOCIAÇÕES!N758&lt;TODAY()),NEGOCIAÇÕES!D758,"")</f>
        <v/>
      </c>
      <c r="E758" s="9" t="str">
        <f ca="1">IF(AND(NEGOCIAÇÕES!O758="",NEGOCIAÇÕES!N758&lt;TODAY()),NEGOCIAÇÕES!N758,"")</f>
        <v/>
      </c>
      <c r="F758" s="6"/>
    </row>
    <row r="759" spans="2:6" ht="31.95" hidden="1" customHeight="1" x14ac:dyDescent="0.3">
      <c r="B759" s="6" t="str">
        <f ca="1">IF(AND(NEGOCIAÇÕES!O759="",NEGOCIAÇÕES!N759&lt;TODAY()),NEGOCIAÇÕES!C759,"")</f>
        <v/>
      </c>
      <c r="C759" s="6" t="str">
        <f ca="1">IF(AND(NEGOCIAÇÕES!O759="",NEGOCIAÇÕES!N759&lt;TODAY()),NEGOCIAÇÕES!E759,"")</f>
        <v/>
      </c>
      <c r="D759" s="6" t="str">
        <f ca="1">IF(AND(NEGOCIAÇÕES!O759="",NEGOCIAÇÕES!N759&lt;TODAY()),NEGOCIAÇÕES!D759,"")</f>
        <v/>
      </c>
      <c r="E759" s="9" t="str">
        <f ca="1">IF(AND(NEGOCIAÇÕES!O759="",NEGOCIAÇÕES!N759&lt;TODAY()),NEGOCIAÇÕES!N759,"")</f>
        <v/>
      </c>
      <c r="F759" s="6"/>
    </row>
    <row r="760" spans="2:6" ht="31.95" hidden="1" customHeight="1" x14ac:dyDescent="0.3">
      <c r="B760" s="6" t="str">
        <f ca="1">IF(AND(NEGOCIAÇÕES!O760="",NEGOCIAÇÕES!N760&lt;TODAY()),NEGOCIAÇÕES!C760,"")</f>
        <v/>
      </c>
      <c r="C760" s="6" t="str">
        <f ca="1">IF(AND(NEGOCIAÇÕES!O760="",NEGOCIAÇÕES!N760&lt;TODAY()),NEGOCIAÇÕES!E760,"")</f>
        <v/>
      </c>
      <c r="D760" s="6" t="str">
        <f ca="1">IF(AND(NEGOCIAÇÕES!O760="",NEGOCIAÇÕES!N760&lt;TODAY()),NEGOCIAÇÕES!D760,"")</f>
        <v/>
      </c>
      <c r="E760" s="9" t="str">
        <f ca="1">IF(AND(NEGOCIAÇÕES!O760="",NEGOCIAÇÕES!N760&lt;TODAY()),NEGOCIAÇÕES!N760,"")</f>
        <v/>
      </c>
      <c r="F760" s="6"/>
    </row>
    <row r="761" spans="2:6" ht="31.95" hidden="1" customHeight="1" x14ac:dyDescent="0.3">
      <c r="B761" s="6" t="str">
        <f ca="1">IF(AND(NEGOCIAÇÕES!O761="",NEGOCIAÇÕES!N761&lt;TODAY()),NEGOCIAÇÕES!C761,"")</f>
        <v/>
      </c>
      <c r="C761" s="6" t="str">
        <f ca="1">IF(AND(NEGOCIAÇÕES!O761="",NEGOCIAÇÕES!N761&lt;TODAY()),NEGOCIAÇÕES!E761,"")</f>
        <v/>
      </c>
      <c r="D761" s="6" t="str">
        <f ca="1">IF(AND(NEGOCIAÇÕES!O761="",NEGOCIAÇÕES!N761&lt;TODAY()),NEGOCIAÇÕES!D761,"")</f>
        <v/>
      </c>
      <c r="E761" s="9" t="str">
        <f ca="1">IF(AND(NEGOCIAÇÕES!O761="",NEGOCIAÇÕES!N761&lt;TODAY()),NEGOCIAÇÕES!N761,"")</f>
        <v/>
      </c>
      <c r="F761" s="6"/>
    </row>
    <row r="762" spans="2:6" ht="31.95" hidden="1" customHeight="1" x14ac:dyDescent="0.3">
      <c r="B762" s="6" t="str">
        <f ca="1">IF(AND(NEGOCIAÇÕES!O762="",NEGOCIAÇÕES!N762&lt;TODAY()),NEGOCIAÇÕES!C762,"")</f>
        <v/>
      </c>
      <c r="C762" s="6" t="str">
        <f ca="1">IF(AND(NEGOCIAÇÕES!O762="",NEGOCIAÇÕES!N762&lt;TODAY()),NEGOCIAÇÕES!E762,"")</f>
        <v/>
      </c>
      <c r="D762" s="6" t="str">
        <f ca="1">IF(AND(NEGOCIAÇÕES!O762="",NEGOCIAÇÕES!N762&lt;TODAY()),NEGOCIAÇÕES!D762,"")</f>
        <v/>
      </c>
      <c r="E762" s="9" t="str">
        <f ca="1">IF(AND(NEGOCIAÇÕES!O762="",NEGOCIAÇÕES!N762&lt;TODAY()),NEGOCIAÇÕES!N762,"")</f>
        <v/>
      </c>
      <c r="F762" s="6"/>
    </row>
    <row r="763" spans="2:6" ht="31.95" hidden="1" customHeight="1" x14ac:dyDescent="0.3">
      <c r="B763" s="6" t="str">
        <f ca="1">IF(AND(NEGOCIAÇÕES!O763="",NEGOCIAÇÕES!N763&lt;TODAY()),NEGOCIAÇÕES!C763,"")</f>
        <v/>
      </c>
      <c r="C763" s="6" t="str">
        <f ca="1">IF(AND(NEGOCIAÇÕES!O763="",NEGOCIAÇÕES!N763&lt;TODAY()),NEGOCIAÇÕES!E763,"")</f>
        <v/>
      </c>
      <c r="D763" s="6" t="str">
        <f ca="1">IF(AND(NEGOCIAÇÕES!O763="",NEGOCIAÇÕES!N763&lt;TODAY()),NEGOCIAÇÕES!D763,"")</f>
        <v/>
      </c>
      <c r="E763" s="9" t="str">
        <f ca="1">IF(AND(NEGOCIAÇÕES!O763="",NEGOCIAÇÕES!N763&lt;TODAY()),NEGOCIAÇÕES!N763,"")</f>
        <v/>
      </c>
      <c r="F763" s="6"/>
    </row>
    <row r="764" spans="2:6" ht="31.95" hidden="1" customHeight="1" x14ac:dyDescent="0.3">
      <c r="B764" s="6" t="str">
        <f ca="1">IF(AND(NEGOCIAÇÕES!O764="",NEGOCIAÇÕES!N764&lt;TODAY()),NEGOCIAÇÕES!C764,"")</f>
        <v/>
      </c>
      <c r="C764" s="6" t="str">
        <f ca="1">IF(AND(NEGOCIAÇÕES!O764="",NEGOCIAÇÕES!N764&lt;TODAY()),NEGOCIAÇÕES!E764,"")</f>
        <v/>
      </c>
      <c r="D764" s="6" t="str">
        <f ca="1">IF(AND(NEGOCIAÇÕES!O764="",NEGOCIAÇÕES!N764&lt;TODAY()),NEGOCIAÇÕES!D764,"")</f>
        <v/>
      </c>
      <c r="E764" s="9" t="str">
        <f ca="1">IF(AND(NEGOCIAÇÕES!O764="",NEGOCIAÇÕES!N764&lt;TODAY()),NEGOCIAÇÕES!N764,"")</f>
        <v/>
      </c>
      <c r="F764" s="6"/>
    </row>
    <row r="765" spans="2:6" ht="31.95" hidden="1" customHeight="1" x14ac:dyDescent="0.3">
      <c r="B765" s="6" t="str">
        <f ca="1">IF(AND(NEGOCIAÇÕES!O765="",NEGOCIAÇÕES!N765&lt;TODAY()),NEGOCIAÇÕES!C765,"")</f>
        <v/>
      </c>
      <c r="C765" s="6" t="str">
        <f ca="1">IF(AND(NEGOCIAÇÕES!O765="",NEGOCIAÇÕES!N765&lt;TODAY()),NEGOCIAÇÕES!E765,"")</f>
        <v/>
      </c>
      <c r="D765" s="6" t="str">
        <f ca="1">IF(AND(NEGOCIAÇÕES!O765="",NEGOCIAÇÕES!N765&lt;TODAY()),NEGOCIAÇÕES!D765,"")</f>
        <v/>
      </c>
      <c r="E765" s="9" t="str">
        <f ca="1">IF(AND(NEGOCIAÇÕES!O765="",NEGOCIAÇÕES!N765&lt;TODAY()),NEGOCIAÇÕES!N765,"")</f>
        <v/>
      </c>
      <c r="F765" s="6"/>
    </row>
    <row r="766" spans="2:6" ht="31.95" hidden="1" customHeight="1" x14ac:dyDescent="0.3">
      <c r="B766" s="6" t="str">
        <f ca="1">IF(AND(NEGOCIAÇÕES!O766="",NEGOCIAÇÕES!N766&lt;TODAY()),NEGOCIAÇÕES!C766,"")</f>
        <v/>
      </c>
      <c r="C766" s="6" t="str">
        <f ca="1">IF(AND(NEGOCIAÇÕES!O766="",NEGOCIAÇÕES!N766&lt;TODAY()),NEGOCIAÇÕES!E766,"")</f>
        <v/>
      </c>
      <c r="D766" s="6" t="str">
        <f ca="1">IF(AND(NEGOCIAÇÕES!O766="",NEGOCIAÇÕES!N766&lt;TODAY()),NEGOCIAÇÕES!D766,"")</f>
        <v/>
      </c>
      <c r="E766" s="9" t="str">
        <f ca="1">IF(AND(NEGOCIAÇÕES!O766="",NEGOCIAÇÕES!N766&lt;TODAY()),NEGOCIAÇÕES!N766,"")</f>
        <v/>
      </c>
      <c r="F766" s="6"/>
    </row>
    <row r="767" spans="2:6" ht="31.95" hidden="1" customHeight="1" x14ac:dyDescent="0.3">
      <c r="B767" s="6" t="str">
        <f ca="1">IF(AND(NEGOCIAÇÕES!O767="",NEGOCIAÇÕES!N767&lt;TODAY()),NEGOCIAÇÕES!C767,"")</f>
        <v/>
      </c>
      <c r="C767" s="6" t="str">
        <f ca="1">IF(AND(NEGOCIAÇÕES!O767="",NEGOCIAÇÕES!N767&lt;TODAY()),NEGOCIAÇÕES!E767,"")</f>
        <v/>
      </c>
      <c r="D767" s="6" t="str">
        <f ca="1">IF(AND(NEGOCIAÇÕES!O767="",NEGOCIAÇÕES!N767&lt;TODAY()),NEGOCIAÇÕES!D767,"")</f>
        <v/>
      </c>
      <c r="E767" s="9" t="str">
        <f ca="1">IF(AND(NEGOCIAÇÕES!O767="",NEGOCIAÇÕES!N767&lt;TODAY()),NEGOCIAÇÕES!N767,"")</f>
        <v/>
      </c>
      <c r="F767" s="6"/>
    </row>
    <row r="768" spans="2:6" ht="31.95" hidden="1" customHeight="1" x14ac:dyDescent="0.3">
      <c r="B768" s="6" t="str">
        <f ca="1">IF(AND(NEGOCIAÇÕES!O768="",NEGOCIAÇÕES!N768&lt;TODAY()),NEGOCIAÇÕES!C768,"")</f>
        <v/>
      </c>
      <c r="C768" s="6" t="str">
        <f ca="1">IF(AND(NEGOCIAÇÕES!O768="",NEGOCIAÇÕES!N768&lt;TODAY()),NEGOCIAÇÕES!E768,"")</f>
        <v/>
      </c>
      <c r="D768" s="6" t="str">
        <f ca="1">IF(AND(NEGOCIAÇÕES!O768="",NEGOCIAÇÕES!N768&lt;TODAY()),NEGOCIAÇÕES!D768,"")</f>
        <v/>
      </c>
      <c r="E768" s="9" t="str">
        <f ca="1">IF(AND(NEGOCIAÇÕES!O768="",NEGOCIAÇÕES!N768&lt;TODAY()),NEGOCIAÇÕES!N768,"")</f>
        <v/>
      </c>
      <c r="F768" s="6"/>
    </row>
    <row r="769" spans="2:6" ht="31.95" hidden="1" customHeight="1" x14ac:dyDescent="0.3">
      <c r="B769" s="6" t="str">
        <f ca="1">IF(AND(NEGOCIAÇÕES!O769="",NEGOCIAÇÕES!N769&lt;TODAY()),NEGOCIAÇÕES!C769,"")</f>
        <v/>
      </c>
      <c r="C769" s="6" t="str">
        <f ca="1">IF(AND(NEGOCIAÇÕES!O769="",NEGOCIAÇÕES!N769&lt;TODAY()),NEGOCIAÇÕES!E769,"")</f>
        <v/>
      </c>
      <c r="D769" s="6" t="str">
        <f ca="1">IF(AND(NEGOCIAÇÕES!O769="",NEGOCIAÇÕES!N769&lt;TODAY()),NEGOCIAÇÕES!D769,"")</f>
        <v/>
      </c>
      <c r="E769" s="9" t="str">
        <f ca="1">IF(AND(NEGOCIAÇÕES!O769="",NEGOCIAÇÕES!N769&lt;TODAY()),NEGOCIAÇÕES!N769,"")</f>
        <v/>
      </c>
      <c r="F769" s="6"/>
    </row>
    <row r="770" spans="2:6" ht="31.95" hidden="1" customHeight="1" x14ac:dyDescent="0.3">
      <c r="B770" s="6" t="str">
        <f ca="1">IF(AND(NEGOCIAÇÕES!O770="",NEGOCIAÇÕES!N770&lt;TODAY()),NEGOCIAÇÕES!C770,"")</f>
        <v/>
      </c>
      <c r="C770" s="6" t="str">
        <f ca="1">IF(AND(NEGOCIAÇÕES!O770="",NEGOCIAÇÕES!N770&lt;TODAY()),NEGOCIAÇÕES!E770,"")</f>
        <v/>
      </c>
      <c r="D770" s="6" t="str">
        <f ca="1">IF(AND(NEGOCIAÇÕES!O770="",NEGOCIAÇÕES!N770&lt;TODAY()),NEGOCIAÇÕES!D770,"")</f>
        <v/>
      </c>
      <c r="E770" s="9" t="str">
        <f ca="1">IF(AND(NEGOCIAÇÕES!O770="",NEGOCIAÇÕES!N770&lt;TODAY()),NEGOCIAÇÕES!N770,"")</f>
        <v/>
      </c>
      <c r="F770" s="6"/>
    </row>
    <row r="771" spans="2:6" ht="31.95" hidden="1" customHeight="1" x14ac:dyDescent="0.3">
      <c r="B771" s="6" t="str">
        <f ca="1">IF(AND(NEGOCIAÇÕES!O771="",NEGOCIAÇÕES!N771&lt;TODAY()),NEGOCIAÇÕES!C771,"")</f>
        <v/>
      </c>
      <c r="C771" s="6" t="str">
        <f ca="1">IF(AND(NEGOCIAÇÕES!O771="",NEGOCIAÇÕES!N771&lt;TODAY()),NEGOCIAÇÕES!E771,"")</f>
        <v/>
      </c>
      <c r="D771" s="6" t="str">
        <f ca="1">IF(AND(NEGOCIAÇÕES!O771="",NEGOCIAÇÕES!N771&lt;TODAY()),NEGOCIAÇÕES!D771,"")</f>
        <v/>
      </c>
      <c r="E771" s="9" t="str">
        <f ca="1">IF(AND(NEGOCIAÇÕES!O771="",NEGOCIAÇÕES!N771&lt;TODAY()),NEGOCIAÇÕES!N771,"")</f>
        <v/>
      </c>
      <c r="F771" s="6"/>
    </row>
    <row r="772" spans="2:6" ht="31.95" hidden="1" customHeight="1" x14ac:dyDescent="0.3">
      <c r="B772" s="6" t="str">
        <f ca="1">IF(AND(NEGOCIAÇÕES!O772="",NEGOCIAÇÕES!N772&lt;TODAY()),NEGOCIAÇÕES!C772,"")</f>
        <v/>
      </c>
      <c r="C772" s="6" t="str">
        <f ca="1">IF(AND(NEGOCIAÇÕES!O772="",NEGOCIAÇÕES!N772&lt;TODAY()),NEGOCIAÇÕES!E772,"")</f>
        <v/>
      </c>
      <c r="D772" s="6" t="str">
        <f ca="1">IF(AND(NEGOCIAÇÕES!O772="",NEGOCIAÇÕES!N772&lt;TODAY()),NEGOCIAÇÕES!D772,"")</f>
        <v/>
      </c>
      <c r="E772" s="9" t="str">
        <f ca="1">IF(AND(NEGOCIAÇÕES!O772="",NEGOCIAÇÕES!N772&lt;TODAY()),NEGOCIAÇÕES!N772,"")</f>
        <v/>
      </c>
      <c r="F772" s="6"/>
    </row>
    <row r="773" spans="2:6" ht="31.95" hidden="1" customHeight="1" x14ac:dyDescent="0.3">
      <c r="B773" s="6" t="str">
        <f ca="1">IF(AND(NEGOCIAÇÕES!O773="",NEGOCIAÇÕES!N773&lt;TODAY()),NEGOCIAÇÕES!C773,"")</f>
        <v/>
      </c>
      <c r="C773" s="6" t="str">
        <f ca="1">IF(AND(NEGOCIAÇÕES!O773="",NEGOCIAÇÕES!N773&lt;TODAY()),NEGOCIAÇÕES!E773,"")</f>
        <v/>
      </c>
      <c r="D773" s="6" t="str">
        <f ca="1">IF(AND(NEGOCIAÇÕES!O773="",NEGOCIAÇÕES!N773&lt;TODAY()),NEGOCIAÇÕES!D773,"")</f>
        <v/>
      </c>
      <c r="E773" s="9" t="str">
        <f ca="1">IF(AND(NEGOCIAÇÕES!O773="",NEGOCIAÇÕES!N773&lt;TODAY()),NEGOCIAÇÕES!N773,"")</f>
        <v/>
      </c>
      <c r="F773" s="6"/>
    </row>
    <row r="774" spans="2:6" ht="31.95" hidden="1" customHeight="1" x14ac:dyDescent="0.3">
      <c r="B774" s="6" t="str">
        <f ca="1">IF(AND(NEGOCIAÇÕES!O774="",NEGOCIAÇÕES!N774&lt;TODAY()),NEGOCIAÇÕES!C774,"")</f>
        <v/>
      </c>
      <c r="C774" s="6" t="str">
        <f ca="1">IF(AND(NEGOCIAÇÕES!O774="",NEGOCIAÇÕES!N774&lt;TODAY()),NEGOCIAÇÕES!E774,"")</f>
        <v/>
      </c>
      <c r="D774" s="6" t="str">
        <f ca="1">IF(AND(NEGOCIAÇÕES!O774="",NEGOCIAÇÕES!N774&lt;TODAY()),NEGOCIAÇÕES!D774,"")</f>
        <v/>
      </c>
      <c r="E774" s="9" t="str">
        <f ca="1">IF(AND(NEGOCIAÇÕES!O774="",NEGOCIAÇÕES!N774&lt;TODAY()),NEGOCIAÇÕES!N774,"")</f>
        <v/>
      </c>
      <c r="F774" s="6"/>
    </row>
    <row r="775" spans="2:6" ht="31.95" hidden="1" customHeight="1" x14ac:dyDescent="0.3">
      <c r="B775" s="6" t="str">
        <f ca="1">IF(AND(NEGOCIAÇÕES!O775="",NEGOCIAÇÕES!N775&lt;TODAY()),NEGOCIAÇÕES!C775,"")</f>
        <v/>
      </c>
      <c r="C775" s="6" t="str">
        <f ca="1">IF(AND(NEGOCIAÇÕES!O775="",NEGOCIAÇÕES!N775&lt;TODAY()),NEGOCIAÇÕES!E775,"")</f>
        <v/>
      </c>
      <c r="D775" s="6" t="str">
        <f ca="1">IF(AND(NEGOCIAÇÕES!O775="",NEGOCIAÇÕES!N775&lt;TODAY()),NEGOCIAÇÕES!D775,"")</f>
        <v/>
      </c>
      <c r="E775" s="9" t="str">
        <f ca="1">IF(AND(NEGOCIAÇÕES!O775="",NEGOCIAÇÕES!N775&lt;TODAY()),NEGOCIAÇÕES!N775,"")</f>
        <v/>
      </c>
      <c r="F775" s="6"/>
    </row>
    <row r="776" spans="2:6" ht="31.95" hidden="1" customHeight="1" x14ac:dyDescent="0.3">
      <c r="B776" s="6" t="str">
        <f ca="1">IF(AND(NEGOCIAÇÕES!O776="",NEGOCIAÇÕES!N776&lt;TODAY()),NEGOCIAÇÕES!C776,"")</f>
        <v/>
      </c>
      <c r="C776" s="6" t="str">
        <f ca="1">IF(AND(NEGOCIAÇÕES!O776="",NEGOCIAÇÕES!N776&lt;TODAY()),NEGOCIAÇÕES!E776,"")</f>
        <v/>
      </c>
      <c r="D776" s="6" t="str">
        <f ca="1">IF(AND(NEGOCIAÇÕES!O776="",NEGOCIAÇÕES!N776&lt;TODAY()),NEGOCIAÇÕES!D776,"")</f>
        <v/>
      </c>
      <c r="E776" s="9" t="str">
        <f ca="1">IF(AND(NEGOCIAÇÕES!O776="",NEGOCIAÇÕES!N776&lt;TODAY()),NEGOCIAÇÕES!N776,"")</f>
        <v/>
      </c>
      <c r="F776" s="6"/>
    </row>
    <row r="777" spans="2:6" ht="31.95" hidden="1" customHeight="1" x14ac:dyDescent="0.3">
      <c r="B777" s="6" t="str">
        <f ca="1">IF(AND(NEGOCIAÇÕES!O777="",NEGOCIAÇÕES!N777&lt;TODAY()),NEGOCIAÇÕES!C777,"")</f>
        <v/>
      </c>
      <c r="C777" s="6" t="str">
        <f ca="1">IF(AND(NEGOCIAÇÕES!O777="",NEGOCIAÇÕES!N777&lt;TODAY()),NEGOCIAÇÕES!E777,"")</f>
        <v/>
      </c>
      <c r="D777" s="6" t="str">
        <f ca="1">IF(AND(NEGOCIAÇÕES!O777="",NEGOCIAÇÕES!N777&lt;TODAY()),NEGOCIAÇÕES!D777,"")</f>
        <v/>
      </c>
      <c r="E777" s="9" t="str">
        <f ca="1">IF(AND(NEGOCIAÇÕES!O777="",NEGOCIAÇÕES!N777&lt;TODAY()),NEGOCIAÇÕES!N777,"")</f>
        <v/>
      </c>
      <c r="F777" s="6"/>
    </row>
    <row r="778" spans="2:6" ht="31.95" hidden="1" customHeight="1" x14ac:dyDescent="0.3">
      <c r="B778" s="6" t="str">
        <f ca="1">IF(AND(NEGOCIAÇÕES!O778="",NEGOCIAÇÕES!N778&lt;TODAY()),NEGOCIAÇÕES!C778,"")</f>
        <v/>
      </c>
      <c r="C778" s="6" t="str">
        <f ca="1">IF(AND(NEGOCIAÇÕES!O778="",NEGOCIAÇÕES!N778&lt;TODAY()),NEGOCIAÇÕES!E778,"")</f>
        <v/>
      </c>
      <c r="D778" s="6" t="str">
        <f ca="1">IF(AND(NEGOCIAÇÕES!O778="",NEGOCIAÇÕES!N778&lt;TODAY()),NEGOCIAÇÕES!D778,"")</f>
        <v/>
      </c>
      <c r="E778" s="9" t="str">
        <f ca="1">IF(AND(NEGOCIAÇÕES!O778="",NEGOCIAÇÕES!N778&lt;TODAY()),NEGOCIAÇÕES!N778,"")</f>
        <v/>
      </c>
      <c r="F778" s="6"/>
    </row>
    <row r="779" spans="2:6" ht="31.95" hidden="1" customHeight="1" x14ac:dyDescent="0.3">
      <c r="B779" s="6" t="str">
        <f ca="1">IF(AND(NEGOCIAÇÕES!O779="",NEGOCIAÇÕES!N779&lt;TODAY()),NEGOCIAÇÕES!C779,"")</f>
        <v/>
      </c>
      <c r="C779" s="6" t="str">
        <f ca="1">IF(AND(NEGOCIAÇÕES!O779="",NEGOCIAÇÕES!N779&lt;TODAY()),NEGOCIAÇÕES!E779,"")</f>
        <v/>
      </c>
      <c r="D779" s="6" t="str">
        <f ca="1">IF(AND(NEGOCIAÇÕES!O779="",NEGOCIAÇÕES!N779&lt;TODAY()),NEGOCIAÇÕES!D779,"")</f>
        <v/>
      </c>
      <c r="E779" s="9" t="str">
        <f ca="1">IF(AND(NEGOCIAÇÕES!O779="",NEGOCIAÇÕES!N779&lt;TODAY()),NEGOCIAÇÕES!N779,"")</f>
        <v/>
      </c>
      <c r="F779" s="6"/>
    </row>
    <row r="780" spans="2:6" ht="31.95" hidden="1" customHeight="1" x14ac:dyDescent="0.3">
      <c r="B780" s="6" t="str">
        <f ca="1">IF(AND(NEGOCIAÇÕES!O780="",NEGOCIAÇÕES!N780&lt;TODAY()),NEGOCIAÇÕES!C780,"")</f>
        <v/>
      </c>
      <c r="C780" s="6" t="str">
        <f ca="1">IF(AND(NEGOCIAÇÕES!O780="",NEGOCIAÇÕES!N780&lt;TODAY()),NEGOCIAÇÕES!E780,"")</f>
        <v/>
      </c>
      <c r="D780" s="6" t="str">
        <f ca="1">IF(AND(NEGOCIAÇÕES!O780="",NEGOCIAÇÕES!N780&lt;TODAY()),NEGOCIAÇÕES!D780,"")</f>
        <v/>
      </c>
      <c r="E780" s="9" t="str">
        <f ca="1">IF(AND(NEGOCIAÇÕES!O780="",NEGOCIAÇÕES!N780&lt;TODAY()),NEGOCIAÇÕES!N780,"")</f>
        <v/>
      </c>
      <c r="F780" s="6"/>
    </row>
    <row r="781" spans="2:6" ht="31.95" hidden="1" customHeight="1" x14ac:dyDescent="0.3">
      <c r="B781" s="6" t="str">
        <f ca="1">IF(AND(NEGOCIAÇÕES!O781="",NEGOCIAÇÕES!N781&lt;TODAY()),NEGOCIAÇÕES!C781,"")</f>
        <v/>
      </c>
      <c r="C781" s="6" t="str">
        <f ca="1">IF(AND(NEGOCIAÇÕES!O781="",NEGOCIAÇÕES!N781&lt;TODAY()),NEGOCIAÇÕES!E781,"")</f>
        <v/>
      </c>
      <c r="D781" s="6" t="str">
        <f ca="1">IF(AND(NEGOCIAÇÕES!O781="",NEGOCIAÇÕES!N781&lt;TODAY()),NEGOCIAÇÕES!D781,"")</f>
        <v/>
      </c>
      <c r="E781" s="9" t="str">
        <f ca="1">IF(AND(NEGOCIAÇÕES!O781="",NEGOCIAÇÕES!N781&lt;TODAY()),NEGOCIAÇÕES!N781,"")</f>
        <v/>
      </c>
      <c r="F781" s="6"/>
    </row>
    <row r="782" spans="2:6" ht="31.95" hidden="1" customHeight="1" x14ac:dyDescent="0.3">
      <c r="B782" s="6" t="str">
        <f ca="1">IF(AND(NEGOCIAÇÕES!O782="",NEGOCIAÇÕES!N782&lt;TODAY()),NEGOCIAÇÕES!C782,"")</f>
        <v/>
      </c>
      <c r="C782" s="6" t="str">
        <f ca="1">IF(AND(NEGOCIAÇÕES!O782="",NEGOCIAÇÕES!N782&lt;TODAY()),NEGOCIAÇÕES!E782,"")</f>
        <v/>
      </c>
      <c r="D782" s="6" t="str">
        <f ca="1">IF(AND(NEGOCIAÇÕES!O782="",NEGOCIAÇÕES!N782&lt;TODAY()),NEGOCIAÇÕES!D782,"")</f>
        <v/>
      </c>
      <c r="E782" s="9" t="str">
        <f ca="1">IF(AND(NEGOCIAÇÕES!O782="",NEGOCIAÇÕES!N782&lt;TODAY()),NEGOCIAÇÕES!N782,"")</f>
        <v/>
      </c>
      <c r="F782" s="6"/>
    </row>
    <row r="783" spans="2:6" ht="31.95" hidden="1" customHeight="1" x14ac:dyDescent="0.3">
      <c r="B783" s="6" t="str">
        <f ca="1">IF(AND(NEGOCIAÇÕES!O783="",NEGOCIAÇÕES!N783&lt;TODAY()),NEGOCIAÇÕES!C783,"")</f>
        <v/>
      </c>
      <c r="C783" s="6" t="str">
        <f ca="1">IF(AND(NEGOCIAÇÕES!O783="",NEGOCIAÇÕES!N783&lt;TODAY()),NEGOCIAÇÕES!E783,"")</f>
        <v/>
      </c>
      <c r="D783" s="6" t="str">
        <f ca="1">IF(AND(NEGOCIAÇÕES!O783="",NEGOCIAÇÕES!N783&lt;TODAY()),NEGOCIAÇÕES!D783,"")</f>
        <v/>
      </c>
      <c r="E783" s="9" t="str">
        <f ca="1">IF(AND(NEGOCIAÇÕES!O783="",NEGOCIAÇÕES!N783&lt;TODAY()),NEGOCIAÇÕES!N783,"")</f>
        <v/>
      </c>
      <c r="F783" s="6"/>
    </row>
    <row r="784" spans="2:6" ht="31.95" hidden="1" customHeight="1" x14ac:dyDescent="0.3">
      <c r="B784" s="6" t="str">
        <f ca="1">IF(AND(NEGOCIAÇÕES!O784="",NEGOCIAÇÕES!N784&lt;TODAY()),NEGOCIAÇÕES!C784,"")</f>
        <v/>
      </c>
      <c r="C784" s="6" t="str">
        <f ca="1">IF(AND(NEGOCIAÇÕES!O784="",NEGOCIAÇÕES!N784&lt;TODAY()),NEGOCIAÇÕES!E784,"")</f>
        <v/>
      </c>
      <c r="D784" s="6" t="str">
        <f ca="1">IF(AND(NEGOCIAÇÕES!O784="",NEGOCIAÇÕES!N784&lt;TODAY()),NEGOCIAÇÕES!D784,"")</f>
        <v/>
      </c>
      <c r="E784" s="9" t="str">
        <f ca="1">IF(AND(NEGOCIAÇÕES!O784="",NEGOCIAÇÕES!N784&lt;TODAY()),NEGOCIAÇÕES!N784,"")</f>
        <v/>
      </c>
      <c r="F784" s="6"/>
    </row>
    <row r="785" spans="2:6" ht="31.95" hidden="1" customHeight="1" x14ac:dyDescent="0.3">
      <c r="B785" s="6" t="str">
        <f ca="1">IF(AND(NEGOCIAÇÕES!O785="",NEGOCIAÇÕES!N785&lt;TODAY()),NEGOCIAÇÕES!C785,"")</f>
        <v/>
      </c>
      <c r="C785" s="6" t="str">
        <f ca="1">IF(AND(NEGOCIAÇÕES!O785="",NEGOCIAÇÕES!N785&lt;TODAY()),NEGOCIAÇÕES!E785,"")</f>
        <v/>
      </c>
      <c r="D785" s="6" t="str">
        <f ca="1">IF(AND(NEGOCIAÇÕES!O785="",NEGOCIAÇÕES!N785&lt;TODAY()),NEGOCIAÇÕES!D785,"")</f>
        <v/>
      </c>
      <c r="E785" s="9" t="str">
        <f ca="1">IF(AND(NEGOCIAÇÕES!O785="",NEGOCIAÇÕES!N785&lt;TODAY()),NEGOCIAÇÕES!N785,"")</f>
        <v/>
      </c>
      <c r="F785" s="6"/>
    </row>
    <row r="786" spans="2:6" ht="31.95" hidden="1" customHeight="1" x14ac:dyDescent="0.3">
      <c r="B786" s="6" t="str">
        <f ca="1">IF(AND(NEGOCIAÇÕES!O786="",NEGOCIAÇÕES!N786&lt;TODAY()),NEGOCIAÇÕES!C786,"")</f>
        <v/>
      </c>
      <c r="C786" s="6" t="str">
        <f ca="1">IF(AND(NEGOCIAÇÕES!O786="",NEGOCIAÇÕES!N786&lt;TODAY()),NEGOCIAÇÕES!E786,"")</f>
        <v/>
      </c>
      <c r="D786" s="6" t="str">
        <f ca="1">IF(AND(NEGOCIAÇÕES!O786="",NEGOCIAÇÕES!N786&lt;TODAY()),NEGOCIAÇÕES!D786,"")</f>
        <v/>
      </c>
      <c r="E786" s="9" t="str">
        <f ca="1">IF(AND(NEGOCIAÇÕES!O786="",NEGOCIAÇÕES!N786&lt;TODAY()),NEGOCIAÇÕES!N786,"")</f>
        <v/>
      </c>
      <c r="F786" s="6"/>
    </row>
    <row r="787" spans="2:6" ht="31.95" hidden="1" customHeight="1" x14ac:dyDescent="0.3">
      <c r="B787" s="6" t="str">
        <f ca="1">IF(AND(NEGOCIAÇÕES!O787="",NEGOCIAÇÕES!N787&lt;TODAY()),NEGOCIAÇÕES!C787,"")</f>
        <v/>
      </c>
      <c r="C787" s="6" t="str">
        <f ca="1">IF(AND(NEGOCIAÇÕES!O787="",NEGOCIAÇÕES!N787&lt;TODAY()),NEGOCIAÇÕES!E787,"")</f>
        <v/>
      </c>
      <c r="D787" s="6" t="str">
        <f ca="1">IF(AND(NEGOCIAÇÕES!O787="",NEGOCIAÇÕES!N787&lt;TODAY()),NEGOCIAÇÕES!D787,"")</f>
        <v/>
      </c>
      <c r="E787" s="9" t="str">
        <f ca="1">IF(AND(NEGOCIAÇÕES!O787="",NEGOCIAÇÕES!N787&lt;TODAY()),NEGOCIAÇÕES!N787,"")</f>
        <v/>
      </c>
      <c r="F787" s="6"/>
    </row>
    <row r="788" spans="2:6" ht="31.95" hidden="1" customHeight="1" x14ac:dyDescent="0.3">
      <c r="B788" s="6" t="str">
        <f ca="1">IF(AND(NEGOCIAÇÕES!O788="",NEGOCIAÇÕES!N788&lt;TODAY()),NEGOCIAÇÕES!C788,"")</f>
        <v/>
      </c>
      <c r="C788" s="6" t="str">
        <f ca="1">IF(AND(NEGOCIAÇÕES!O788="",NEGOCIAÇÕES!N788&lt;TODAY()),NEGOCIAÇÕES!E788,"")</f>
        <v/>
      </c>
      <c r="D788" s="6" t="str">
        <f ca="1">IF(AND(NEGOCIAÇÕES!O788="",NEGOCIAÇÕES!N788&lt;TODAY()),NEGOCIAÇÕES!D788,"")</f>
        <v/>
      </c>
      <c r="E788" s="9" t="str">
        <f ca="1">IF(AND(NEGOCIAÇÕES!O788="",NEGOCIAÇÕES!N788&lt;TODAY()),NEGOCIAÇÕES!N788,"")</f>
        <v/>
      </c>
      <c r="F788" s="6"/>
    </row>
    <row r="789" spans="2:6" ht="31.95" hidden="1" customHeight="1" x14ac:dyDescent="0.3">
      <c r="B789" s="6" t="str">
        <f ca="1">IF(AND(NEGOCIAÇÕES!O789="",NEGOCIAÇÕES!N789&lt;TODAY()),NEGOCIAÇÕES!C789,"")</f>
        <v/>
      </c>
      <c r="C789" s="6" t="str">
        <f ca="1">IF(AND(NEGOCIAÇÕES!O789="",NEGOCIAÇÕES!N789&lt;TODAY()),NEGOCIAÇÕES!E789,"")</f>
        <v/>
      </c>
      <c r="D789" s="6" t="str">
        <f ca="1">IF(AND(NEGOCIAÇÕES!O789="",NEGOCIAÇÕES!N789&lt;TODAY()),NEGOCIAÇÕES!D789,"")</f>
        <v/>
      </c>
      <c r="E789" s="9" t="str">
        <f ca="1">IF(AND(NEGOCIAÇÕES!O789="",NEGOCIAÇÕES!N789&lt;TODAY()),NEGOCIAÇÕES!N789,"")</f>
        <v/>
      </c>
      <c r="F789" s="6"/>
    </row>
    <row r="790" spans="2:6" ht="31.95" hidden="1" customHeight="1" x14ac:dyDescent="0.3">
      <c r="B790" s="6" t="str">
        <f ca="1">IF(AND(NEGOCIAÇÕES!O790="",NEGOCIAÇÕES!N790&lt;TODAY()),NEGOCIAÇÕES!C790,"")</f>
        <v/>
      </c>
      <c r="C790" s="6" t="str">
        <f ca="1">IF(AND(NEGOCIAÇÕES!O790="",NEGOCIAÇÕES!N790&lt;TODAY()),NEGOCIAÇÕES!E790,"")</f>
        <v/>
      </c>
      <c r="D790" s="6" t="str">
        <f ca="1">IF(AND(NEGOCIAÇÕES!O790="",NEGOCIAÇÕES!N790&lt;TODAY()),NEGOCIAÇÕES!D790,"")</f>
        <v/>
      </c>
      <c r="E790" s="9" t="str">
        <f ca="1">IF(AND(NEGOCIAÇÕES!O790="",NEGOCIAÇÕES!N790&lt;TODAY()),NEGOCIAÇÕES!N790,"")</f>
        <v/>
      </c>
      <c r="F790" s="6"/>
    </row>
    <row r="791" spans="2:6" ht="31.95" hidden="1" customHeight="1" x14ac:dyDescent="0.3">
      <c r="B791" s="6" t="str">
        <f ca="1">IF(AND(NEGOCIAÇÕES!O791="",NEGOCIAÇÕES!N791&lt;TODAY()),NEGOCIAÇÕES!C791,"")</f>
        <v/>
      </c>
      <c r="C791" s="6" t="str">
        <f ca="1">IF(AND(NEGOCIAÇÕES!O791="",NEGOCIAÇÕES!N791&lt;TODAY()),NEGOCIAÇÕES!E791,"")</f>
        <v/>
      </c>
      <c r="D791" s="6" t="str">
        <f ca="1">IF(AND(NEGOCIAÇÕES!O791="",NEGOCIAÇÕES!N791&lt;TODAY()),NEGOCIAÇÕES!D791,"")</f>
        <v/>
      </c>
      <c r="E791" s="9" t="str">
        <f ca="1">IF(AND(NEGOCIAÇÕES!O791="",NEGOCIAÇÕES!N791&lt;TODAY()),NEGOCIAÇÕES!N791,"")</f>
        <v/>
      </c>
      <c r="F791" s="6"/>
    </row>
    <row r="792" spans="2:6" ht="31.95" hidden="1" customHeight="1" x14ac:dyDescent="0.3">
      <c r="B792" s="6" t="str">
        <f ca="1">IF(AND(NEGOCIAÇÕES!O792="",NEGOCIAÇÕES!N792&lt;TODAY()),NEGOCIAÇÕES!C792,"")</f>
        <v/>
      </c>
      <c r="C792" s="6" t="str">
        <f ca="1">IF(AND(NEGOCIAÇÕES!O792="",NEGOCIAÇÕES!N792&lt;TODAY()),NEGOCIAÇÕES!E792,"")</f>
        <v/>
      </c>
      <c r="D792" s="6" t="str">
        <f ca="1">IF(AND(NEGOCIAÇÕES!O792="",NEGOCIAÇÕES!N792&lt;TODAY()),NEGOCIAÇÕES!D792,"")</f>
        <v/>
      </c>
      <c r="E792" s="9" t="str">
        <f ca="1">IF(AND(NEGOCIAÇÕES!O792="",NEGOCIAÇÕES!N792&lt;TODAY()),NEGOCIAÇÕES!N792,"")</f>
        <v/>
      </c>
      <c r="F792" s="6"/>
    </row>
    <row r="793" spans="2:6" ht="31.95" hidden="1" customHeight="1" x14ac:dyDescent="0.3">
      <c r="B793" s="6" t="str">
        <f ca="1">IF(AND(NEGOCIAÇÕES!O793="",NEGOCIAÇÕES!N793&lt;TODAY()),NEGOCIAÇÕES!C793,"")</f>
        <v/>
      </c>
      <c r="C793" s="6" t="str">
        <f ca="1">IF(AND(NEGOCIAÇÕES!O793="",NEGOCIAÇÕES!N793&lt;TODAY()),NEGOCIAÇÕES!E793,"")</f>
        <v/>
      </c>
      <c r="D793" s="6" t="str">
        <f ca="1">IF(AND(NEGOCIAÇÕES!O793="",NEGOCIAÇÕES!N793&lt;TODAY()),NEGOCIAÇÕES!D793,"")</f>
        <v/>
      </c>
      <c r="E793" s="9" t="str">
        <f ca="1">IF(AND(NEGOCIAÇÕES!O793="",NEGOCIAÇÕES!N793&lt;TODAY()),NEGOCIAÇÕES!N793,"")</f>
        <v/>
      </c>
      <c r="F793" s="6"/>
    </row>
    <row r="794" spans="2:6" ht="31.95" hidden="1" customHeight="1" x14ac:dyDescent="0.3">
      <c r="B794" s="6" t="str">
        <f ca="1">IF(AND(NEGOCIAÇÕES!O794="",NEGOCIAÇÕES!N794&lt;TODAY()),NEGOCIAÇÕES!C794,"")</f>
        <v/>
      </c>
      <c r="C794" s="6" t="str">
        <f ca="1">IF(AND(NEGOCIAÇÕES!O794="",NEGOCIAÇÕES!N794&lt;TODAY()),NEGOCIAÇÕES!E794,"")</f>
        <v/>
      </c>
      <c r="D794" s="6" t="str">
        <f ca="1">IF(AND(NEGOCIAÇÕES!O794="",NEGOCIAÇÕES!N794&lt;TODAY()),NEGOCIAÇÕES!D794,"")</f>
        <v/>
      </c>
      <c r="E794" s="9" t="str">
        <f ca="1">IF(AND(NEGOCIAÇÕES!O794="",NEGOCIAÇÕES!N794&lt;TODAY()),NEGOCIAÇÕES!N794,"")</f>
        <v/>
      </c>
      <c r="F794" s="6"/>
    </row>
    <row r="795" spans="2:6" ht="31.95" hidden="1" customHeight="1" x14ac:dyDescent="0.3">
      <c r="B795" s="6" t="str">
        <f ca="1">IF(AND(NEGOCIAÇÕES!O795="",NEGOCIAÇÕES!N795&lt;TODAY()),NEGOCIAÇÕES!C795,"")</f>
        <v/>
      </c>
      <c r="C795" s="6" t="str">
        <f ca="1">IF(AND(NEGOCIAÇÕES!O795="",NEGOCIAÇÕES!N795&lt;TODAY()),NEGOCIAÇÕES!E795,"")</f>
        <v/>
      </c>
      <c r="D795" s="6" t="str">
        <f ca="1">IF(AND(NEGOCIAÇÕES!O795="",NEGOCIAÇÕES!N795&lt;TODAY()),NEGOCIAÇÕES!D795,"")</f>
        <v/>
      </c>
      <c r="E795" s="9" t="str">
        <f ca="1">IF(AND(NEGOCIAÇÕES!O795="",NEGOCIAÇÕES!N795&lt;TODAY()),NEGOCIAÇÕES!N795,"")</f>
        <v/>
      </c>
      <c r="F795" s="6"/>
    </row>
    <row r="796" spans="2:6" ht="31.95" hidden="1" customHeight="1" x14ac:dyDescent="0.3">
      <c r="B796" s="6" t="str">
        <f ca="1">IF(AND(NEGOCIAÇÕES!O796="",NEGOCIAÇÕES!N796&lt;TODAY()),NEGOCIAÇÕES!C796,"")</f>
        <v/>
      </c>
      <c r="C796" s="6" t="str">
        <f ca="1">IF(AND(NEGOCIAÇÕES!O796="",NEGOCIAÇÕES!N796&lt;TODAY()),NEGOCIAÇÕES!E796,"")</f>
        <v/>
      </c>
      <c r="D796" s="6" t="str">
        <f ca="1">IF(AND(NEGOCIAÇÕES!O796="",NEGOCIAÇÕES!N796&lt;TODAY()),NEGOCIAÇÕES!D796,"")</f>
        <v/>
      </c>
      <c r="E796" s="9" t="str">
        <f ca="1">IF(AND(NEGOCIAÇÕES!O796="",NEGOCIAÇÕES!N796&lt;TODAY()),NEGOCIAÇÕES!N796,"")</f>
        <v/>
      </c>
      <c r="F796" s="6"/>
    </row>
    <row r="797" spans="2:6" ht="31.95" hidden="1" customHeight="1" x14ac:dyDescent="0.3">
      <c r="B797" s="6" t="str">
        <f ca="1">IF(AND(NEGOCIAÇÕES!O797="",NEGOCIAÇÕES!N797&lt;TODAY()),NEGOCIAÇÕES!C797,"")</f>
        <v/>
      </c>
      <c r="C797" s="6" t="str">
        <f ca="1">IF(AND(NEGOCIAÇÕES!O797="",NEGOCIAÇÕES!N797&lt;TODAY()),NEGOCIAÇÕES!E797,"")</f>
        <v/>
      </c>
      <c r="D797" s="6" t="str">
        <f ca="1">IF(AND(NEGOCIAÇÕES!O797="",NEGOCIAÇÕES!N797&lt;TODAY()),NEGOCIAÇÕES!D797,"")</f>
        <v/>
      </c>
      <c r="E797" s="9" t="str">
        <f ca="1">IF(AND(NEGOCIAÇÕES!O797="",NEGOCIAÇÕES!N797&lt;TODAY()),NEGOCIAÇÕES!N797,"")</f>
        <v/>
      </c>
      <c r="F797" s="6"/>
    </row>
    <row r="798" spans="2:6" ht="31.95" hidden="1" customHeight="1" x14ac:dyDescent="0.3">
      <c r="B798" s="6" t="str">
        <f ca="1">IF(AND(NEGOCIAÇÕES!O798="",NEGOCIAÇÕES!N798&lt;TODAY()),NEGOCIAÇÕES!C798,"")</f>
        <v/>
      </c>
      <c r="C798" s="6" t="str">
        <f ca="1">IF(AND(NEGOCIAÇÕES!O798="",NEGOCIAÇÕES!N798&lt;TODAY()),NEGOCIAÇÕES!E798,"")</f>
        <v/>
      </c>
      <c r="D798" s="6" t="str">
        <f ca="1">IF(AND(NEGOCIAÇÕES!O798="",NEGOCIAÇÕES!N798&lt;TODAY()),NEGOCIAÇÕES!D798,"")</f>
        <v/>
      </c>
      <c r="E798" s="9" t="str">
        <f ca="1">IF(AND(NEGOCIAÇÕES!O798="",NEGOCIAÇÕES!N798&lt;TODAY()),NEGOCIAÇÕES!N798,"")</f>
        <v/>
      </c>
      <c r="F798" s="6"/>
    </row>
    <row r="799" spans="2:6" ht="31.95" hidden="1" customHeight="1" x14ac:dyDescent="0.3">
      <c r="B799" s="6" t="str">
        <f ca="1">IF(AND(NEGOCIAÇÕES!O799="",NEGOCIAÇÕES!N799&lt;TODAY()),NEGOCIAÇÕES!C799,"")</f>
        <v/>
      </c>
      <c r="C799" s="6" t="str">
        <f ca="1">IF(AND(NEGOCIAÇÕES!O799="",NEGOCIAÇÕES!N799&lt;TODAY()),NEGOCIAÇÕES!E799,"")</f>
        <v/>
      </c>
      <c r="D799" s="6" t="str">
        <f ca="1">IF(AND(NEGOCIAÇÕES!O799="",NEGOCIAÇÕES!N799&lt;TODAY()),NEGOCIAÇÕES!D799,"")</f>
        <v/>
      </c>
      <c r="E799" s="9" t="str">
        <f ca="1">IF(AND(NEGOCIAÇÕES!O799="",NEGOCIAÇÕES!N799&lt;TODAY()),NEGOCIAÇÕES!N799,"")</f>
        <v/>
      </c>
      <c r="F799" s="6"/>
    </row>
    <row r="800" spans="2:6" ht="31.95" hidden="1" customHeight="1" x14ac:dyDescent="0.3">
      <c r="B800" s="6" t="str">
        <f ca="1">IF(AND(NEGOCIAÇÕES!O800="",NEGOCIAÇÕES!N800&lt;TODAY()),NEGOCIAÇÕES!C800,"")</f>
        <v/>
      </c>
      <c r="C800" s="6" t="str">
        <f ca="1">IF(AND(NEGOCIAÇÕES!O800="",NEGOCIAÇÕES!N800&lt;TODAY()),NEGOCIAÇÕES!E800,"")</f>
        <v/>
      </c>
      <c r="D800" s="6" t="str">
        <f ca="1">IF(AND(NEGOCIAÇÕES!O800="",NEGOCIAÇÕES!N800&lt;TODAY()),NEGOCIAÇÕES!D800,"")</f>
        <v/>
      </c>
      <c r="E800" s="9" t="str">
        <f ca="1">IF(AND(NEGOCIAÇÕES!O800="",NEGOCIAÇÕES!N800&lt;TODAY()),NEGOCIAÇÕES!N800,"")</f>
        <v/>
      </c>
      <c r="F800" s="6"/>
    </row>
    <row r="801" spans="2:6" ht="31.95" hidden="1" customHeight="1" x14ac:dyDescent="0.3">
      <c r="B801" s="6" t="str">
        <f ca="1">IF(AND(NEGOCIAÇÕES!O801="",NEGOCIAÇÕES!N801&lt;TODAY()),NEGOCIAÇÕES!C801,"")</f>
        <v/>
      </c>
      <c r="C801" s="6" t="str">
        <f ca="1">IF(AND(NEGOCIAÇÕES!O801="",NEGOCIAÇÕES!N801&lt;TODAY()),NEGOCIAÇÕES!E801,"")</f>
        <v/>
      </c>
      <c r="D801" s="6" t="str">
        <f ca="1">IF(AND(NEGOCIAÇÕES!O801="",NEGOCIAÇÕES!N801&lt;TODAY()),NEGOCIAÇÕES!D801,"")</f>
        <v/>
      </c>
      <c r="E801" s="9" t="str">
        <f ca="1">IF(AND(NEGOCIAÇÕES!O801="",NEGOCIAÇÕES!N801&lt;TODAY()),NEGOCIAÇÕES!N801,"")</f>
        <v/>
      </c>
      <c r="F801" s="6"/>
    </row>
    <row r="802" spans="2:6" ht="31.95" hidden="1" customHeight="1" x14ac:dyDescent="0.3">
      <c r="B802" s="6" t="str">
        <f ca="1">IF(AND(NEGOCIAÇÕES!O802="",NEGOCIAÇÕES!N802&lt;TODAY()),NEGOCIAÇÕES!C802,"")</f>
        <v/>
      </c>
      <c r="C802" s="6" t="str">
        <f ca="1">IF(AND(NEGOCIAÇÕES!O802="",NEGOCIAÇÕES!N802&lt;TODAY()),NEGOCIAÇÕES!E802,"")</f>
        <v/>
      </c>
      <c r="D802" s="6" t="str">
        <f ca="1">IF(AND(NEGOCIAÇÕES!O802="",NEGOCIAÇÕES!N802&lt;TODAY()),NEGOCIAÇÕES!D802,"")</f>
        <v/>
      </c>
      <c r="E802" s="9" t="str">
        <f ca="1">IF(AND(NEGOCIAÇÕES!O802="",NEGOCIAÇÕES!N802&lt;TODAY()),NEGOCIAÇÕES!N802,"")</f>
        <v/>
      </c>
      <c r="F802" s="6"/>
    </row>
    <row r="803" spans="2:6" ht="31.95" hidden="1" customHeight="1" x14ac:dyDescent="0.3">
      <c r="B803" s="6" t="str">
        <f ca="1">IF(AND(NEGOCIAÇÕES!O803="",NEGOCIAÇÕES!N803&lt;TODAY()),NEGOCIAÇÕES!C803,"")</f>
        <v/>
      </c>
      <c r="C803" s="6" t="str">
        <f ca="1">IF(AND(NEGOCIAÇÕES!O803="",NEGOCIAÇÕES!N803&lt;TODAY()),NEGOCIAÇÕES!E803,"")</f>
        <v/>
      </c>
      <c r="D803" s="6" t="str">
        <f ca="1">IF(AND(NEGOCIAÇÕES!O803="",NEGOCIAÇÕES!N803&lt;TODAY()),NEGOCIAÇÕES!D803,"")</f>
        <v/>
      </c>
      <c r="E803" s="9" t="str">
        <f ca="1">IF(AND(NEGOCIAÇÕES!O803="",NEGOCIAÇÕES!N803&lt;TODAY()),NEGOCIAÇÕES!N803,"")</f>
        <v/>
      </c>
      <c r="F803" s="6"/>
    </row>
    <row r="804" spans="2:6" ht="31.95" hidden="1" customHeight="1" x14ac:dyDescent="0.3">
      <c r="B804" s="6" t="str">
        <f ca="1">IF(AND(NEGOCIAÇÕES!O804="",NEGOCIAÇÕES!N804&lt;TODAY()),NEGOCIAÇÕES!C804,"")</f>
        <v/>
      </c>
      <c r="C804" s="6" t="str">
        <f ca="1">IF(AND(NEGOCIAÇÕES!O804="",NEGOCIAÇÕES!N804&lt;TODAY()),NEGOCIAÇÕES!E804,"")</f>
        <v/>
      </c>
      <c r="D804" s="6" t="str">
        <f ca="1">IF(AND(NEGOCIAÇÕES!O804="",NEGOCIAÇÕES!N804&lt;TODAY()),NEGOCIAÇÕES!D804,"")</f>
        <v/>
      </c>
      <c r="E804" s="9" t="str">
        <f ca="1">IF(AND(NEGOCIAÇÕES!O804="",NEGOCIAÇÕES!N804&lt;TODAY()),NEGOCIAÇÕES!N804,"")</f>
        <v/>
      </c>
      <c r="F804" s="6"/>
    </row>
    <row r="805" spans="2:6" ht="31.95" hidden="1" customHeight="1" x14ac:dyDescent="0.3">
      <c r="B805" s="6" t="str">
        <f ca="1">IF(AND(NEGOCIAÇÕES!O805="",NEGOCIAÇÕES!N805&lt;TODAY()),NEGOCIAÇÕES!C805,"")</f>
        <v/>
      </c>
      <c r="C805" s="6" t="str">
        <f ca="1">IF(AND(NEGOCIAÇÕES!O805="",NEGOCIAÇÕES!N805&lt;TODAY()),NEGOCIAÇÕES!E805,"")</f>
        <v/>
      </c>
      <c r="D805" s="6" t="str">
        <f ca="1">IF(AND(NEGOCIAÇÕES!O805="",NEGOCIAÇÕES!N805&lt;TODAY()),NEGOCIAÇÕES!D805,"")</f>
        <v/>
      </c>
      <c r="E805" s="9" t="str">
        <f ca="1">IF(AND(NEGOCIAÇÕES!O805="",NEGOCIAÇÕES!N805&lt;TODAY()),NEGOCIAÇÕES!N805,"")</f>
        <v/>
      </c>
      <c r="F805" s="6"/>
    </row>
    <row r="806" spans="2:6" ht="31.95" hidden="1" customHeight="1" x14ac:dyDescent="0.3">
      <c r="B806" s="6" t="str">
        <f ca="1">IF(AND(NEGOCIAÇÕES!O806="",NEGOCIAÇÕES!N806&lt;TODAY()),NEGOCIAÇÕES!C806,"")</f>
        <v/>
      </c>
      <c r="C806" s="6" t="str">
        <f ca="1">IF(AND(NEGOCIAÇÕES!O806="",NEGOCIAÇÕES!N806&lt;TODAY()),NEGOCIAÇÕES!E806,"")</f>
        <v/>
      </c>
      <c r="D806" s="6" t="str">
        <f ca="1">IF(AND(NEGOCIAÇÕES!O806="",NEGOCIAÇÕES!N806&lt;TODAY()),NEGOCIAÇÕES!D806,"")</f>
        <v/>
      </c>
      <c r="E806" s="9" t="str">
        <f ca="1">IF(AND(NEGOCIAÇÕES!O806="",NEGOCIAÇÕES!N806&lt;TODAY()),NEGOCIAÇÕES!N806,"")</f>
        <v/>
      </c>
      <c r="F806" s="6"/>
    </row>
    <row r="807" spans="2:6" ht="31.95" hidden="1" customHeight="1" x14ac:dyDescent="0.3">
      <c r="B807" s="6" t="str">
        <f ca="1">IF(AND(NEGOCIAÇÕES!O807="",NEGOCIAÇÕES!N807&lt;TODAY()),NEGOCIAÇÕES!C807,"")</f>
        <v/>
      </c>
      <c r="C807" s="6" t="str">
        <f ca="1">IF(AND(NEGOCIAÇÕES!O807="",NEGOCIAÇÕES!N807&lt;TODAY()),NEGOCIAÇÕES!E807,"")</f>
        <v/>
      </c>
      <c r="D807" s="6" t="str">
        <f ca="1">IF(AND(NEGOCIAÇÕES!O807="",NEGOCIAÇÕES!N807&lt;TODAY()),NEGOCIAÇÕES!D807,"")</f>
        <v/>
      </c>
      <c r="E807" s="9" t="str">
        <f ca="1">IF(AND(NEGOCIAÇÕES!O807="",NEGOCIAÇÕES!N807&lt;TODAY()),NEGOCIAÇÕES!N807,"")</f>
        <v/>
      </c>
      <c r="F807" s="6"/>
    </row>
    <row r="808" spans="2:6" ht="31.95" hidden="1" customHeight="1" x14ac:dyDescent="0.3">
      <c r="B808" s="6" t="str">
        <f ca="1">IF(AND(NEGOCIAÇÕES!O808="",NEGOCIAÇÕES!N808&lt;TODAY()),NEGOCIAÇÕES!C808,"")</f>
        <v/>
      </c>
      <c r="C808" s="6" t="str">
        <f ca="1">IF(AND(NEGOCIAÇÕES!O808="",NEGOCIAÇÕES!N808&lt;TODAY()),NEGOCIAÇÕES!E808,"")</f>
        <v/>
      </c>
      <c r="D808" s="6" t="str">
        <f ca="1">IF(AND(NEGOCIAÇÕES!O808="",NEGOCIAÇÕES!N808&lt;TODAY()),NEGOCIAÇÕES!D808,"")</f>
        <v/>
      </c>
      <c r="E808" s="9" t="str">
        <f ca="1">IF(AND(NEGOCIAÇÕES!O808="",NEGOCIAÇÕES!N808&lt;TODAY()),NEGOCIAÇÕES!N808,"")</f>
        <v/>
      </c>
      <c r="F808" s="6"/>
    </row>
    <row r="809" spans="2:6" ht="31.95" hidden="1" customHeight="1" x14ac:dyDescent="0.3">
      <c r="B809" s="6" t="str">
        <f ca="1">IF(AND(NEGOCIAÇÕES!O809="",NEGOCIAÇÕES!N809&lt;TODAY()),NEGOCIAÇÕES!C809,"")</f>
        <v/>
      </c>
      <c r="C809" s="6" t="str">
        <f ca="1">IF(AND(NEGOCIAÇÕES!O809="",NEGOCIAÇÕES!N809&lt;TODAY()),NEGOCIAÇÕES!E809,"")</f>
        <v/>
      </c>
      <c r="D809" s="6" t="str">
        <f ca="1">IF(AND(NEGOCIAÇÕES!O809="",NEGOCIAÇÕES!N809&lt;TODAY()),NEGOCIAÇÕES!D809,"")</f>
        <v/>
      </c>
      <c r="E809" s="9" t="str">
        <f ca="1">IF(AND(NEGOCIAÇÕES!O809="",NEGOCIAÇÕES!N809&lt;TODAY()),NEGOCIAÇÕES!N809,"")</f>
        <v/>
      </c>
      <c r="F809" s="6"/>
    </row>
    <row r="810" spans="2:6" ht="31.95" hidden="1" customHeight="1" x14ac:dyDescent="0.3">
      <c r="B810" s="6" t="str">
        <f ca="1">IF(AND(NEGOCIAÇÕES!O810="",NEGOCIAÇÕES!N810&lt;TODAY()),NEGOCIAÇÕES!C810,"")</f>
        <v/>
      </c>
      <c r="C810" s="6" t="str">
        <f ca="1">IF(AND(NEGOCIAÇÕES!O810="",NEGOCIAÇÕES!N810&lt;TODAY()),NEGOCIAÇÕES!E810,"")</f>
        <v/>
      </c>
      <c r="D810" s="6" t="str">
        <f ca="1">IF(AND(NEGOCIAÇÕES!O810="",NEGOCIAÇÕES!N810&lt;TODAY()),NEGOCIAÇÕES!D810,"")</f>
        <v/>
      </c>
      <c r="E810" s="9" t="str">
        <f ca="1">IF(AND(NEGOCIAÇÕES!O810="",NEGOCIAÇÕES!N810&lt;TODAY()),NEGOCIAÇÕES!N810,"")</f>
        <v/>
      </c>
      <c r="F810" s="6"/>
    </row>
    <row r="811" spans="2:6" ht="31.95" hidden="1" customHeight="1" x14ac:dyDescent="0.3">
      <c r="B811" s="6" t="str">
        <f ca="1">IF(AND(NEGOCIAÇÕES!O811="",NEGOCIAÇÕES!N811&lt;TODAY()),NEGOCIAÇÕES!C811,"")</f>
        <v/>
      </c>
      <c r="C811" s="6" t="str">
        <f ca="1">IF(AND(NEGOCIAÇÕES!O811="",NEGOCIAÇÕES!N811&lt;TODAY()),NEGOCIAÇÕES!E811,"")</f>
        <v/>
      </c>
      <c r="D811" s="6" t="str">
        <f ca="1">IF(AND(NEGOCIAÇÕES!O811="",NEGOCIAÇÕES!N811&lt;TODAY()),NEGOCIAÇÕES!D811,"")</f>
        <v/>
      </c>
      <c r="E811" s="9" t="str">
        <f ca="1">IF(AND(NEGOCIAÇÕES!O811="",NEGOCIAÇÕES!N811&lt;TODAY()),NEGOCIAÇÕES!N811,"")</f>
        <v/>
      </c>
      <c r="F811" s="6"/>
    </row>
    <row r="812" spans="2:6" ht="31.95" hidden="1" customHeight="1" x14ac:dyDescent="0.3">
      <c r="B812" s="6" t="str">
        <f ca="1">IF(AND(NEGOCIAÇÕES!O812="",NEGOCIAÇÕES!N812&lt;TODAY()),NEGOCIAÇÕES!C812,"")</f>
        <v/>
      </c>
      <c r="C812" s="6" t="str">
        <f ca="1">IF(AND(NEGOCIAÇÕES!O812="",NEGOCIAÇÕES!N812&lt;TODAY()),NEGOCIAÇÕES!E812,"")</f>
        <v/>
      </c>
      <c r="D812" s="6" t="str">
        <f ca="1">IF(AND(NEGOCIAÇÕES!O812="",NEGOCIAÇÕES!N812&lt;TODAY()),NEGOCIAÇÕES!D812,"")</f>
        <v/>
      </c>
      <c r="E812" s="9" t="str">
        <f ca="1">IF(AND(NEGOCIAÇÕES!O812="",NEGOCIAÇÕES!N812&lt;TODAY()),NEGOCIAÇÕES!N812,"")</f>
        <v/>
      </c>
      <c r="F812" s="6"/>
    </row>
    <row r="813" spans="2:6" ht="31.95" hidden="1" customHeight="1" x14ac:dyDescent="0.3">
      <c r="B813" s="6" t="str">
        <f ca="1">IF(AND(NEGOCIAÇÕES!O813="",NEGOCIAÇÕES!N813&lt;TODAY()),NEGOCIAÇÕES!C813,"")</f>
        <v/>
      </c>
      <c r="C813" s="6" t="str">
        <f ca="1">IF(AND(NEGOCIAÇÕES!O813="",NEGOCIAÇÕES!N813&lt;TODAY()),NEGOCIAÇÕES!E813,"")</f>
        <v/>
      </c>
      <c r="D813" s="6" t="str">
        <f ca="1">IF(AND(NEGOCIAÇÕES!O813="",NEGOCIAÇÕES!N813&lt;TODAY()),NEGOCIAÇÕES!D813,"")</f>
        <v/>
      </c>
      <c r="E813" s="9" t="str">
        <f ca="1">IF(AND(NEGOCIAÇÕES!O813="",NEGOCIAÇÕES!N813&lt;TODAY()),NEGOCIAÇÕES!N813,"")</f>
        <v/>
      </c>
      <c r="F813" s="6"/>
    </row>
    <row r="814" spans="2:6" ht="31.95" hidden="1" customHeight="1" x14ac:dyDescent="0.3">
      <c r="B814" s="6" t="str">
        <f ca="1">IF(AND(NEGOCIAÇÕES!O814="",NEGOCIAÇÕES!N814&lt;TODAY()),NEGOCIAÇÕES!C814,"")</f>
        <v/>
      </c>
      <c r="C814" s="6" t="str">
        <f ca="1">IF(AND(NEGOCIAÇÕES!O814="",NEGOCIAÇÕES!N814&lt;TODAY()),NEGOCIAÇÕES!E814,"")</f>
        <v/>
      </c>
      <c r="D814" s="6" t="str">
        <f ca="1">IF(AND(NEGOCIAÇÕES!O814="",NEGOCIAÇÕES!N814&lt;TODAY()),NEGOCIAÇÕES!D814,"")</f>
        <v/>
      </c>
      <c r="E814" s="9" t="str">
        <f ca="1">IF(AND(NEGOCIAÇÕES!O814="",NEGOCIAÇÕES!N814&lt;TODAY()),NEGOCIAÇÕES!N814,"")</f>
        <v/>
      </c>
      <c r="F814" s="6"/>
    </row>
    <row r="815" spans="2:6" ht="31.95" hidden="1" customHeight="1" x14ac:dyDescent="0.3">
      <c r="B815" s="6" t="str">
        <f ca="1">IF(AND(NEGOCIAÇÕES!O815="",NEGOCIAÇÕES!N815&lt;TODAY()),NEGOCIAÇÕES!C815,"")</f>
        <v/>
      </c>
      <c r="C815" s="6" t="str">
        <f ca="1">IF(AND(NEGOCIAÇÕES!O815="",NEGOCIAÇÕES!N815&lt;TODAY()),NEGOCIAÇÕES!E815,"")</f>
        <v/>
      </c>
      <c r="D815" s="6" t="str">
        <f ca="1">IF(AND(NEGOCIAÇÕES!O815="",NEGOCIAÇÕES!N815&lt;TODAY()),NEGOCIAÇÕES!D815,"")</f>
        <v/>
      </c>
      <c r="E815" s="9" t="str">
        <f ca="1">IF(AND(NEGOCIAÇÕES!O815="",NEGOCIAÇÕES!N815&lt;TODAY()),NEGOCIAÇÕES!N815,"")</f>
        <v/>
      </c>
      <c r="F815" s="6"/>
    </row>
    <row r="816" spans="2:6" ht="31.95" hidden="1" customHeight="1" x14ac:dyDescent="0.3">
      <c r="B816" s="6" t="str">
        <f ca="1">IF(AND(NEGOCIAÇÕES!O816="",NEGOCIAÇÕES!N816&lt;TODAY()),NEGOCIAÇÕES!C816,"")</f>
        <v/>
      </c>
      <c r="C816" s="6" t="str">
        <f ca="1">IF(AND(NEGOCIAÇÕES!O816="",NEGOCIAÇÕES!N816&lt;TODAY()),NEGOCIAÇÕES!E816,"")</f>
        <v/>
      </c>
      <c r="D816" s="6" t="str">
        <f ca="1">IF(AND(NEGOCIAÇÕES!O816="",NEGOCIAÇÕES!N816&lt;TODAY()),NEGOCIAÇÕES!D816,"")</f>
        <v/>
      </c>
      <c r="E816" s="9" t="str">
        <f ca="1">IF(AND(NEGOCIAÇÕES!O816="",NEGOCIAÇÕES!N816&lt;TODAY()),NEGOCIAÇÕES!N816,"")</f>
        <v/>
      </c>
      <c r="F816" s="6"/>
    </row>
    <row r="817" spans="2:6" ht="31.95" hidden="1" customHeight="1" x14ac:dyDescent="0.3">
      <c r="B817" s="6" t="str">
        <f ca="1">IF(AND(NEGOCIAÇÕES!O817="",NEGOCIAÇÕES!N817&lt;TODAY()),NEGOCIAÇÕES!C817,"")</f>
        <v/>
      </c>
      <c r="C817" s="6" t="str">
        <f ca="1">IF(AND(NEGOCIAÇÕES!O817="",NEGOCIAÇÕES!N817&lt;TODAY()),NEGOCIAÇÕES!E817,"")</f>
        <v/>
      </c>
      <c r="D817" s="6" t="str">
        <f ca="1">IF(AND(NEGOCIAÇÕES!O817="",NEGOCIAÇÕES!N817&lt;TODAY()),NEGOCIAÇÕES!D817,"")</f>
        <v/>
      </c>
      <c r="E817" s="9" t="str">
        <f ca="1">IF(AND(NEGOCIAÇÕES!O817="",NEGOCIAÇÕES!N817&lt;TODAY()),NEGOCIAÇÕES!N817,"")</f>
        <v/>
      </c>
      <c r="F817" s="6"/>
    </row>
    <row r="818" spans="2:6" ht="31.95" hidden="1" customHeight="1" x14ac:dyDescent="0.3">
      <c r="B818" s="6" t="str">
        <f ca="1">IF(AND(NEGOCIAÇÕES!O818="",NEGOCIAÇÕES!N818&lt;TODAY()),NEGOCIAÇÕES!C818,"")</f>
        <v/>
      </c>
      <c r="C818" s="6" t="str">
        <f ca="1">IF(AND(NEGOCIAÇÕES!O818="",NEGOCIAÇÕES!N818&lt;TODAY()),NEGOCIAÇÕES!E818,"")</f>
        <v/>
      </c>
      <c r="D818" s="6" t="str">
        <f ca="1">IF(AND(NEGOCIAÇÕES!O818="",NEGOCIAÇÕES!N818&lt;TODAY()),NEGOCIAÇÕES!D818,"")</f>
        <v/>
      </c>
      <c r="E818" s="9" t="str">
        <f ca="1">IF(AND(NEGOCIAÇÕES!O818="",NEGOCIAÇÕES!N818&lt;TODAY()),NEGOCIAÇÕES!N818,"")</f>
        <v/>
      </c>
      <c r="F818" s="6"/>
    </row>
    <row r="819" spans="2:6" ht="31.95" hidden="1" customHeight="1" x14ac:dyDescent="0.3">
      <c r="B819" s="6" t="str">
        <f ca="1">IF(AND(NEGOCIAÇÕES!O819="",NEGOCIAÇÕES!N819&lt;TODAY()),NEGOCIAÇÕES!C819,"")</f>
        <v/>
      </c>
      <c r="C819" s="6" t="str">
        <f ca="1">IF(AND(NEGOCIAÇÕES!O819="",NEGOCIAÇÕES!N819&lt;TODAY()),NEGOCIAÇÕES!E819,"")</f>
        <v/>
      </c>
      <c r="D819" s="6" t="str">
        <f ca="1">IF(AND(NEGOCIAÇÕES!O819="",NEGOCIAÇÕES!N819&lt;TODAY()),NEGOCIAÇÕES!D819,"")</f>
        <v/>
      </c>
      <c r="E819" s="9" t="str">
        <f ca="1">IF(AND(NEGOCIAÇÕES!O819="",NEGOCIAÇÕES!N819&lt;TODAY()),NEGOCIAÇÕES!N819,"")</f>
        <v/>
      </c>
      <c r="F819" s="6"/>
    </row>
    <row r="820" spans="2:6" ht="31.95" hidden="1" customHeight="1" x14ac:dyDescent="0.3">
      <c r="B820" s="6" t="str">
        <f ca="1">IF(AND(NEGOCIAÇÕES!O820="",NEGOCIAÇÕES!N820&lt;TODAY()),NEGOCIAÇÕES!C820,"")</f>
        <v/>
      </c>
      <c r="C820" s="6" t="str">
        <f ca="1">IF(AND(NEGOCIAÇÕES!O820="",NEGOCIAÇÕES!N820&lt;TODAY()),NEGOCIAÇÕES!E820,"")</f>
        <v/>
      </c>
      <c r="D820" s="6" t="str">
        <f ca="1">IF(AND(NEGOCIAÇÕES!O820="",NEGOCIAÇÕES!N820&lt;TODAY()),NEGOCIAÇÕES!D820,"")</f>
        <v/>
      </c>
      <c r="E820" s="9" t="str">
        <f ca="1">IF(AND(NEGOCIAÇÕES!O820="",NEGOCIAÇÕES!N820&lt;TODAY()),NEGOCIAÇÕES!N820,"")</f>
        <v/>
      </c>
      <c r="F820" s="6"/>
    </row>
    <row r="821" spans="2:6" ht="31.95" hidden="1" customHeight="1" x14ac:dyDescent="0.3">
      <c r="B821" s="6" t="str">
        <f ca="1">IF(AND(NEGOCIAÇÕES!O821="",NEGOCIAÇÕES!N821&lt;TODAY()),NEGOCIAÇÕES!C821,"")</f>
        <v/>
      </c>
      <c r="C821" s="6" t="str">
        <f ca="1">IF(AND(NEGOCIAÇÕES!O821="",NEGOCIAÇÕES!N821&lt;TODAY()),NEGOCIAÇÕES!E821,"")</f>
        <v/>
      </c>
      <c r="D821" s="6" t="str">
        <f ca="1">IF(AND(NEGOCIAÇÕES!O821="",NEGOCIAÇÕES!N821&lt;TODAY()),NEGOCIAÇÕES!D821,"")</f>
        <v/>
      </c>
      <c r="E821" s="9" t="str">
        <f ca="1">IF(AND(NEGOCIAÇÕES!O821="",NEGOCIAÇÕES!N821&lt;TODAY()),NEGOCIAÇÕES!N821,"")</f>
        <v/>
      </c>
      <c r="F821" s="6"/>
    </row>
    <row r="822" spans="2:6" ht="31.95" hidden="1" customHeight="1" x14ac:dyDescent="0.3">
      <c r="B822" s="6" t="str">
        <f ca="1">IF(AND(NEGOCIAÇÕES!O822="",NEGOCIAÇÕES!N822&lt;TODAY()),NEGOCIAÇÕES!C822,"")</f>
        <v/>
      </c>
      <c r="C822" s="6" t="str">
        <f ca="1">IF(AND(NEGOCIAÇÕES!O822="",NEGOCIAÇÕES!N822&lt;TODAY()),NEGOCIAÇÕES!E822,"")</f>
        <v/>
      </c>
      <c r="D822" s="6" t="str">
        <f ca="1">IF(AND(NEGOCIAÇÕES!O822="",NEGOCIAÇÕES!N822&lt;TODAY()),NEGOCIAÇÕES!D822,"")</f>
        <v/>
      </c>
      <c r="E822" s="9" t="str">
        <f ca="1">IF(AND(NEGOCIAÇÕES!O822="",NEGOCIAÇÕES!N822&lt;TODAY()),NEGOCIAÇÕES!N822,"")</f>
        <v/>
      </c>
      <c r="F822" s="6"/>
    </row>
    <row r="823" spans="2:6" ht="31.95" hidden="1" customHeight="1" x14ac:dyDescent="0.3">
      <c r="B823" s="6" t="str">
        <f ca="1">IF(AND(NEGOCIAÇÕES!O823="",NEGOCIAÇÕES!N823&lt;TODAY()),NEGOCIAÇÕES!C823,"")</f>
        <v/>
      </c>
      <c r="C823" s="6" t="str">
        <f ca="1">IF(AND(NEGOCIAÇÕES!O823="",NEGOCIAÇÕES!N823&lt;TODAY()),NEGOCIAÇÕES!E823,"")</f>
        <v/>
      </c>
      <c r="D823" s="6" t="str">
        <f ca="1">IF(AND(NEGOCIAÇÕES!O823="",NEGOCIAÇÕES!N823&lt;TODAY()),NEGOCIAÇÕES!D823,"")</f>
        <v/>
      </c>
      <c r="E823" s="9" t="str">
        <f ca="1">IF(AND(NEGOCIAÇÕES!O823="",NEGOCIAÇÕES!N823&lt;TODAY()),NEGOCIAÇÕES!N823,"")</f>
        <v/>
      </c>
      <c r="F823" s="6"/>
    </row>
    <row r="824" spans="2:6" ht="31.95" hidden="1" customHeight="1" x14ac:dyDescent="0.3">
      <c r="B824" s="6" t="str">
        <f ca="1">IF(AND(NEGOCIAÇÕES!O824="",NEGOCIAÇÕES!N824&lt;TODAY()),NEGOCIAÇÕES!C824,"")</f>
        <v/>
      </c>
      <c r="C824" s="6" t="str">
        <f ca="1">IF(AND(NEGOCIAÇÕES!O824="",NEGOCIAÇÕES!N824&lt;TODAY()),NEGOCIAÇÕES!E824,"")</f>
        <v/>
      </c>
      <c r="D824" s="6" t="str">
        <f ca="1">IF(AND(NEGOCIAÇÕES!O824="",NEGOCIAÇÕES!N824&lt;TODAY()),NEGOCIAÇÕES!D824,"")</f>
        <v/>
      </c>
      <c r="E824" s="9" t="str">
        <f ca="1">IF(AND(NEGOCIAÇÕES!O824="",NEGOCIAÇÕES!N824&lt;TODAY()),NEGOCIAÇÕES!N824,"")</f>
        <v/>
      </c>
      <c r="F824" s="6"/>
    </row>
    <row r="825" spans="2:6" ht="31.95" hidden="1" customHeight="1" x14ac:dyDescent="0.3">
      <c r="B825" s="6" t="str">
        <f ca="1">IF(AND(NEGOCIAÇÕES!O825="",NEGOCIAÇÕES!N825&lt;TODAY()),NEGOCIAÇÕES!C825,"")</f>
        <v/>
      </c>
      <c r="C825" s="6" t="str">
        <f ca="1">IF(AND(NEGOCIAÇÕES!O825="",NEGOCIAÇÕES!N825&lt;TODAY()),NEGOCIAÇÕES!E825,"")</f>
        <v/>
      </c>
      <c r="D825" s="6" t="str">
        <f ca="1">IF(AND(NEGOCIAÇÕES!O825="",NEGOCIAÇÕES!N825&lt;TODAY()),NEGOCIAÇÕES!D825,"")</f>
        <v/>
      </c>
      <c r="E825" s="9" t="str">
        <f ca="1">IF(AND(NEGOCIAÇÕES!O825="",NEGOCIAÇÕES!N825&lt;TODAY()),NEGOCIAÇÕES!N825,"")</f>
        <v/>
      </c>
      <c r="F825" s="6"/>
    </row>
    <row r="826" spans="2:6" ht="31.95" hidden="1" customHeight="1" x14ac:dyDescent="0.3">
      <c r="B826" s="6" t="str">
        <f ca="1">IF(AND(NEGOCIAÇÕES!O826="",NEGOCIAÇÕES!N826&lt;TODAY()),NEGOCIAÇÕES!C826,"")</f>
        <v/>
      </c>
      <c r="C826" s="6" t="str">
        <f ca="1">IF(AND(NEGOCIAÇÕES!O826="",NEGOCIAÇÕES!N826&lt;TODAY()),NEGOCIAÇÕES!E826,"")</f>
        <v/>
      </c>
      <c r="D826" s="6" t="str">
        <f ca="1">IF(AND(NEGOCIAÇÕES!O826="",NEGOCIAÇÕES!N826&lt;TODAY()),NEGOCIAÇÕES!D826,"")</f>
        <v/>
      </c>
      <c r="E826" s="9" t="str">
        <f ca="1">IF(AND(NEGOCIAÇÕES!O826="",NEGOCIAÇÕES!N826&lt;TODAY()),NEGOCIAÇÕES!N826,"")</f>
        <v/>
      </c>
      <c r="F826" s="6"/>
    </row>
    <row r="827" spans="2:6" ht="31.95" hidden="1" customHeight="1" x14ac:dyDescent="0.3">
      <c r="B827" s="6" t="str">
        <f ca="1">IF(AND(NEGOCIAÇÕES!O827="",NEGOCIAÇÕES!N827&lt;TODAY()),NEGOCIAÇÕES!C827,"")</f>
        <v/>
      </c>
      <c r="C827" s="6" t="str">
        <f ca="1">IF(AND(NEGOCIAÇÕES!O827="",NEGOCIAÇÕES!N827&lt;TODAY()),NEGOCIAÇÕES!E827,"")</f>
        <v/>
      </c>
      <c r="D827" s="6" t="str">
        <f ca="1">IF(AND(NEGOCIAÇÕES!O827="",NEGOCIAÇÕES!N827&lt;TODAY()),NEGOCIAÇÕES!D827,"")</f>
        <v/>
      </c>
      <c r="E827" s="9" t="str">
        <f ca="1">IF(AND(NEGOCIAÇÕES!O827="",NEGOCIAÇÕES!N827&lt;TODAY()),NEGOCIAÇÕES!N827,"")</f>
        <v/>
      </c>
      <c r="F827" s="6"/>
    </row>
    <row r="828" spans="2:6" ht="31.95" hidden="1" customHeight="1" x14ac:dyDescent="0.3">
      <c r="B828" s="6" t="str">
        <f ca="1">IF(AND(NEGOCIAÇÕES!O828="",NEGOCIAÇÕES!N828&lt;TODAY()),NEGOCIAÇÕES!C828,"")</f>
        <v/>
      </c>
      <c r="C828" s="6" t="str">
        <f ca="1">IF(AND(NEGOCIAÇÕES!O828="",NEGOCIAÇÕES!N828&lt;TODAY()),NEGOCIAÇÕES!E828,"")</f>
        <v/>
      </c>
      <c r="D828" s="6" t="str">
        <f ca="1">IF(AND(NEGOCIAÇÕES!O828="",NEGOCIAÇÕES!N828&lt;TODAY()),NEGOCIAÇÕES!D828,"")</f>
        <v/>
      </c>
      <c r="E828" s="9" t="str">
        <f ca="1">IF(AND(NEGOCIAÇÕES!O828="",NEGOCIAÇÕES!N828&lt;TODAY()),NEGOCIAÇÕES!N828,"")</f>
        <v/>
      </c>
      <c r="F828" s="6"/>
    </row>
    <row r="829" spans="2:6" ht="31.95" hidden="1" customHeight="1" x14ac:dyDescent="0.3">
      <c r="B829" s="6" t="str">
        <f ca="1">IF(AND(NEGOCIAÇÕES!O829="",NEGOCIAÇÕES!N829&lt;TODAY()),NEGOCIAÇÕES!C829,"")</f>
        <v/>
      </c>
      <c r="C829" s="6" t="str">
        <f ca="1">IF(AND(NEGOCIAÇÕES!O829="",NEGOCIAÇÕES!N829&lt;TODAY()),NEGOCIAÇÕES!E829,"")</f>
        <v/>
      </c>
      <c r="D829" s="6" t="str">
        <f ca="1">IF(AND(NEGOCIAÇÕES!O829="",NEGOCIAÇÕES!N829&lt;TODAY()),NEGOCIAÇÕES!D829,"")</f>
        <v/>
      </c>
      <c r="E829" s="9" t="str">
        <f ca="1">IF(AND(NEGOCIAÇÕES!O829="",NEGOCIAÇÕES!N829&lt;TODAY()),NEGOCIAÇÕES!N829,"")</f>
        <v/>
      </c>
      <c r="F829" s="6"/>
    </row>
    <row r="830" spans="2:6" ht="31.95" hidden="1" customHeight="1" x14ac:dyDescent="0.3">
      <c r="B830" s="6" t="str">
        <f ca="1">IF(AND(NEGOCIAÇÕES!O830="",NEGOCIAÇÕES!N830&lt;TODAY()),NEGOCIAÇÕES!C830,"")</f>
        <v/>
      </c>
      <c r="C830" s="6" t="str">
        <f ca="1">IF(AND(NEGOCIAÇÕES!O830="",NEGOCIAÇÕES!N830&lt;TODAY()),NEGOCIAÇÕES!E830,"")</f>
        <v/>
      </c>
      <c r="D830" s="6" t="str">
        <f ca="1">IF(AND(NEGOCIAÇÕES!O830="",NEGOCIAÇÕES!N830&lt;TODAY()),NEGOCIAÇÕES!D830,"")</f>
        <v/>
      </c>
      <c r="E830" s="9" t="str">
        <f ca="1">IF(AND(NEGOCIAÇÕES!O830="",NEGOCIAÇÕES!N830&lt;TODAY()),NEGOCIAÇÕES!N830,"")</f>
        <v/>
      </c>
      <c r="F830" s="6"/>
    </row>
    <row r="831" spans="2:6" ht="31.95" hidden="1" customHeight="1" x14ac:dyDescent="0.3">
      <c r="B831" s="6" t="str">
        <f ca="1">IF(AND(NEGOCIAÇÕES!O831="",NEGOCIAÇÕES!N831&lt;TODAY()),NEGOCIAÇÕES!C831,"")</f>
        <v/>
      </c>
      <c r="C831" s="6" t="str">
        <f ca="1">IF(AND(NEGOCIAÇÕES!O831="",NEGOCIAÇÕES!N831&lt;TODAY()),NEGOCIAÇÕES!E831,"")</f>
        <v/>
      </c>
      <c r="D831" s="6" t="str">
        <f ca="1">IF(AND(NEGOCIAÇÕES!O831="",NEGOCIAÇÕES!N831&lt;TODAY()),NEGOCIAÇÕES!D831,"")</f>
        <v/>
      </c>
      <c r="E831" s="9" t="str">
        <f ca="1">IF(AND(NEGOCIAÇÕES!O831="",NEGOCIAÇÕES!N831&lt;TODAY()),NEGOCIAÇÕES!N831,"")</f>
        <v/>
      </c>
      <c r="F831" s="6"/>
    </row>
    <row r="832" spans="2:6" ht="31.95" hidden="1" customHeight="1" x14ac:dyDescent="0.3">
      <c r="B832" s="6" t="str">
        <f ca="1">IF(AND(NEGOCIAÇÕES!O832="",NEGOCIAÇÕES!N832&lt;TODAY()),NEGOCIAÇÕES!C832,"")</f>
        <v/>
      </c>
      <c r="C832" s="6" t="str">
        <f ca="1">IF(AND(NEGOCIAÇÕES!O832="",NEGOCIAÇÕES!N832&lt;TODAY()),NEGOCIAÇÕES!E832,"")</f>
        <v/>
      </c>
      <c r="D832" s="6" t="str">
        <f ca="1">IF(AND(NEGOCIAÇÕES!O832="",NEGOCIAÇÕES!N832&lt;TODAY()),NEGOCIAÇÕES!D832,"")</f>
        <v/>
      </c>
      <c r="E832" s="9" t="str">
        <f ca="1">IF(AND(NEGOCIAÇÕES!O832="",NEGOCIAÇÕES!N832&lt;TODAY()),NEGOCIAÇÕES!N832,"")</f>
        <v/>
      </c>
      <c r="F832" s="6"/>
    </row>
    <row r="833" spans="2:6" ht="31.95" hidden="1" customHeight="1" x14ac:dyDescent="0.3">
      <c r="B833" s="6" t="str">
        <f ca="1">IF(AND(NEGOCIAÇÕES!O833="",NEGOCIAÇÕES!N833&lt;TODAY()),NEGOCIAÇÕES!C833,"")</f>
        <v/>
      </c>
      <c r="C833" s="6" t="str">
        <f ca="1">IF(AND(NEGOCIAÇÕES!O833="",NEGOCIAÇÕES!N833&lt;TODAY()),NEGOCIAÇÕES!E833,"")</f>
        <v/>
      </c>
      <c r="D833" s="6" t="str">
        <f ca="1">IF(AND(NEGOCIAÇÕES!O833="",NEGOCIAÇÕES!N833&lt;TODAY()),NEGOCIAÇÕES!D833,"")</f>
        <v/>
      </c>
      <c r="E833" s="9" t="str">
        <f ca="1">IF(AND(NEGOCIAÇÕES!O833="",NEGOCIAÇÕES!N833&lt;TODAY()),NEGOCIAÇÕES!N833,"")</f>
        <v/>
      </c>
      <c r="F833" s="6"/>
    </row>
    <row r="834" spans="2:6" ht="31.95" hidden="1" customHeight="1" x14ac:dyDescent="0.3">
      <c r="B834" s="6" t="str">
        <f ca="1">IF(AND(NEGOCIAÇÕES!O834="",NEGOCIAÇÕES!N834&lt;TODAY()),NEGOCIAÇÕES!C834,"")</f>
        <v/>
      </c>
      <c r="C834" s="6" t="str">
        <f ca="1">IF(AND(NEGOCIAÇÕES!O834="",NEGOCIAÇÕES!N834&lt;TODAY()),NEGOCIAÇÕES!E834,"")</f>
        <v/>
      </c>
      <c r="D834" s="6" t="str">
        <f ca="1">IF(AND(NEGOCIAÇÕES!O834="",NEGOCIAÇÕES!N834&lt;TODAY()),NEGOCIAÇÕES!D834,"")</f>
        <v/>
      </c>
      <c r="E834" s="9" t="str">
        <f ca="1">IF(AND(NEGOCIAÇÕES!O834="",NEGOCIAÇÕES!N834&lt;TODAY()),NEGOCIAÇÕES!N834,"")</f>
        <v/>
      </c>
      <c r="F834" s="6"/>
    </row>
    <row r="835" spans="2:6" ht="31.95" hidden="1" customHeight="1" x14ac:dyDescent="0.3">
      <c r="B835" s="6" t="str">
        <f ca="1">IF(AND(NEGOCIAÇÕES!O835="",NEGOCIAÇÕES!N835&lt;TODAY()),NEGOCIAÇÕES!C835,"")</f>
        <v/>
      </c>
      <c r="C835" s="6" t="str">
        <f ca="1">IF(AND(NEGOCIAÇÕES!O835="",NEGOCIAÇÕES!N835&lt;TODAY()),NEGOCIAÇÕES!E835,"")</f>
        <v/>
      </c>
      <c r="D835" s="6" t="str">
        <f ca="1">IF(AND(NEGOCIAÇÕES!O835="",NEGOCIAÇÕES!N835&lt;TODAY()),NEGOCIAÇÕES!D835,"")</f>
        <v/>
      </c>
      <c r="E835" s="9" t="str">
        <f ca="1">IF(AND(NEGOCIAÇÕES!O835="",NEGOCIAÇÕES!N835&lt;TODAY()),NEGOCIAÇÕES!N835,"")</f>
        <v/>
      </c>
      <c r="F835" s="6"/>
    </row>
    <row r="836" spans="2:6" ht="31.95" hidden="1" customHeight="1" x14ac:dyDescent="0.3">
      <c r="B836" s="6" t="str">
        <f ca="1">IF(AND(NEGOCIAÇÕES!O836="",NEGOCIAÇÕES!N836&lt;TODAY()),NEGOCIAÇÕES!C836,"")</f>
        <v/>
      </c>
      <c r="C836" s="6" t="str">
        <f ca="1">IF(AND(NEGOCIAÇÕES!O836="",NEGOCIAÇÕES!N836&lt;TODAY()),NEGOCIAÇÕES!E836,"")</f>
        <v/>
      </c>
      <c r="D836" s="6" t="str">
        <f ca="1">IF(AND(NEGOCIAÇÕES!O836="",NEGOCIAÇÕES!N836&lt;TODAY()),NEGOCIAÇÕES!D836,"")</f>
        <v/>
      </c>
      <c r="E836" s="9" t="str">
        <f ca="1">IF(AND(NEGOCIAÇÕES!O836="",NEGOCIAÇÕES!N836&lt;TODAY()),NEGOCIAÇÕES!N836,"")</f>
        <v/>
      </c>
      <c r="F836" s="6"/>
    </row>
    <row r="837" spans="2:6" ht="31.95" hidden="1" customHeight="1" x14ac:dyDescent="0.3">
      <c r="B837" s="6" t="str">
        <f ca="1">IF(AND(NEGOCIAÇÕES!O837="",NEGOCIAÇÕES!N837&lt;TODAY()),NEGOCIAÇÕES!C837,"")</f>
        <v/>
      </c>
      <c r="C837" s="6" t="str">
        <f ca="1">IF(AND(NEGOCIAÇÕES!O837="",NEGOCIAÇÕES!N837&lt;TODAY()),NEGOCIAÇÕES!E837,"")</f>
        <v/>
      </c>
      <c r="D837" s="6" t="str">
        <f ca="1">IF(AND(NEGOCIAÇÕES!O837="",NEGOCIAÇÕES!N837&lt;TODAY()),NEGOCIAÇÕES!D837,"")</f>
        <v/>
      </c>
      <c r="E837" s="9" t="str">
        <f ca="1">IF(AND(NEGOCIAÇÕES!O837="",NEGOCIAÇÕES!N837&lt;TODAY()),NEGOCIAÇÕES!N837,"")</f>
        <v/>
      </c>
      <c r="F837" s="6"/>
    </row>
    <row r="838" spans="2:6" ht="31.95" hidden="1" customHeight="1" x14ac:dyDescent="0.3">
      <c r="B838" s="6" t="str">
        <f ca="1">IF(AND(NEGOCIAÇÕES!O838="",NEGOCIAÇÕES!N838&lt;TODAY()),NEGOCIAÇÕES!C838,"")</f>
        <v/>
      </c>
      <c r="C838" s="6" t="str">
        <f ca="1">IF(AND(NEGOCIAÇÕES!O838="",NEGOCIAÇÕES!N838&lt;TODAY()),NEGOCIAÇÕES!E838,"")</f>
        <v/>
      </c>
      <c r="D838" s="6" t="str">
        <f ca="1">IF(AND(NEGOCIAÇÕES!O838="",NEGOCIAÇÕES!N838&lt;TODAY()),NEGOCIAÇÕES!D838,"")</f>
        <v/>
      </c>
      <c r="E838" s="9" t="str">
        <f ca="1">IF(AND(NEGOCIAÇÕES!O838="",NEGOCIAÇÕES!N838&lt;TODAY()),NEGOCIAÇÕES!N838,"")</f>
        <v/>
      </c>
      <c r="F838" s="6"/>
    </row>
    <row r="839" spans="2:6" ht="31.95" hidden="1" customHeight="1" x14ac:dyDescent="0.3">
      <c r="B839" s="6" t="str">
        <f ca="1">IF(AND(NEGOCIAÇÕES!O839="",NEGOCIAÇÕES!N839&lt;TODAY()),NEGOCIAÇÕES!C839,"")</f>
        <v/>
      </c>
      <c r="C839" s="6" t="str">
        <f ca="1">IF(AND(NEGOCIAÇÕES!O839="",NEGOCIAÇÕES!N839&lt;TODAY()),NEGOCIAÇÕES!E839,"")</f>
        <v/>
      </c>
      <c r="D839" s="6" t="str">
        <f ca="1">IF(AND(NEGOCIAÇÕES!O839="",NEGOCIAÇÕES!N839&lt;TODAY()),NEGOCIAÇÕES!D839,"")</f>
        <v/>
      </c>
      <c r="E839" s="9" t="str">
        <f ca="1">IF(AND(NEGOCIAÇÕES!O839="",NEGOCIAÇÕES!N839&lt;TODAY()),NEGOCIAÇÕES!N839,"")</f>
        <v/>
      </c>
      <c r="F839" s="6"/>
    </row>
    <row r="840" spans="2:6" ht="31.95" hidden="1" customHeight="1" x14ac:dyDescent="0.3">
      <c r="B840" s="6" t="str">
        <f ca="1">IF(AND(NEGOCIAÇÕES!O840="",NEGOCIAÇÕES!N840&lt;TODAY()),NEGOCIAÇÕES!C840,"")</f>
        <v/>
      </c>
      <c r="C840" s="6" t="str">
        <f ca="1">IF(AND(NEGOCIAÇÕES!O840="",NEGOCIAÇÕES!N840&lt;TODAY()),NEGOCIAÇÕES!E840,"")</f>
        <v/>
      </c>
      <c r="D840" s="6" t="str">
        <f ca="1">IF(AND(NEGOCIAÇÕES!O840="",NEGOCIAÇÕES!N840&lt;TODAY()),NEGOCIAÇÕES!D840,"")</f>
        <v/>
      </c>
      <c r="E840" s="9" t="str">
        <f ca="1">IF(AND(NEGOCIAÇÕES!O840="",NEGOCIAÇÕES!N840&lt;TODAY()),NEGOCIAÇÕES!N840,"")</f>
        <v/>
      </c>
      <c r="F840" s="6"/>
    </row>
    <row r="841" spans="2:6" ht="31.95" hidden="1" customHeight="1" x14ac:dyDescent="0.3">
      <c r="B841" s="6" t="str">
        <f ca="1">IF(AND(NEGOCIAÇÕES!O841="",NEGOCIAÇÕES!N841&lt;TODAY()),NEGOCIAÇÕES!C841,"")</f>
        <v/>
      </c>
      <c r="C841" s="6" t="str">
        <f ca="1">IF(AND(NEGOCIAÇÕES!O841="",NEGOCIAÇÕES!N841&lt;TODAY()),NEGOCIAÇÕES!E841,"")</f>
        <v/>
      </c>
      <c r="D841" s="6" t="str">
        <f ca="1">IF(AND(NEGOCIAÇÕES!O841="",NEGOCIAÇÕES!N841&lt;TODAY()),NEGOCIAÇÕES!D841,"")</f>
        <v/>
      </c>
      <c r="E841" s="9" t="str">
        <f ca="1">IF(AND(NEGOCIAÇÕES!O841="",NEGOCIAÇÕES!N841&lt;TODAY()),NEGOCIAÇÕES!N841,"")</f>
        <v/>
      </c>
      <c r="F841" s="6"/>
    </row>
    <row r="842" spans="2:6" ht="31.95" hidden="1" customHeight="1" x14ac:dyDescent="0.3">
      <c r="B842" s="6" t="str">
        <f ca="1">IF(AND(NEGOCIAÇÕES!O842="",NEGOCIAÇÕES!N842&lt;TODAY()),NEGOCIAÇÕES!C842,"")</f>
        <v/>
      </c>
      <c r="C842" s="6" t="str">
        <f ca="1">IF(AND(NEGOCIAÇÕES!O842="",NEGOCIAÇÕES!N842&lt;TODAY()),NEGOCIAÇÕES!E842,"")</f>
        <v/>
      </c>
      <c r="D842" s="6" t="str">
        <f ca="1">IF(AND(NEGOCIAÇÕES!O842="",NEGOCIAÇÕES!N842&lt;TODAY()),NEGOCIAÇÕES!D842,"")</f>
        <v/>
      </c>
      <c r="E842" s="9" t="str">
        <f ca="1">IF(AND(NEGOCIAÇÕES!O842="",NEGOCIAÇÕES!N842&lt;TODAY()),NEGOCIAÇÕES!N842,"")</f>
        <v/>
      </c>
      <c r="F842" s="6"/>
    </row>
    <row r="843" spans="2:6" ht="31.95" hidden="1" customHeight="1" x14ac:dyDescent="0.3">
      <c r="B843" s="6" t="str">
        <f ca="1">IF(AND(NEGOCIAÇÕES!O843="",NEGOCIAÇÕES!N843&lt;TODAY()),NEGOCIAÇÕES!C843,"")</f>
        <v/>
      </c>
      <c r="C843" s="6" t="str">
        <f ca="1">IF(AND(NEGOCIAÇÕES!O843="",NEGOCIAÇÕES!N843&lt;TODAY()),NEGOCIAÇÕES!E843,"")</f>
        <v/>
      </c>
      <c r="D843" s="6" t="str">
        <f ca="1">IF(AND(NEGOCIAÇÕES!O843="",NEGOCIAÇÕES!N843&lt;TODAY()),NEGOCIAÇÕES!D843,"")</f>
        <v/>
      </c>
      <c r="E843" s="9" t="str">
        <f ca="1">IF(AND(NEGOCIAÇÕES!O843="",NEGOCIAÇÕES!N843&lt;TODAY()),NEGOCIAÇÕES!N843,"")</f>
        <v/>
      </c>
      <c r="F843" s="6"/>
    </row>
    <row r="844" spans="2:6" ht="31.95" hidden="1" customHeight="1" x14ac:dyDescent="0.3">
      <c r="B844" s="6" t="str">
        <f ca="1">IF(AND(NEGOCIAÇÕES!O844="",NEGOCIAÇÕES!N844&lt;TODAY()),NEGOCIAÇÕES!C844,"")</f>
        <v/>
      </c>
      <c r="C844" s="6" t="str">
        <f ca="1">IF(AND(NEGOCIAÇÕES!O844="",NEGOCIAÇÕES!N844&lt;TODAY()),NEGOCIAÇÕES!E844,"")</f>
        <v/>
      </c>
      <c r="D844" s="6" t="str">
        <f ca="1">IF(AND(NEGOCIAÇÕES!O844="",NEGOCIAÇÕES!N844&lt;TODAY()),NEGOCIAÇÕES!D844,"")</f>
        <v/>
      </c>
      <c r="E844" s="9" t="str">
        <f ca="1">IF(AND(NEGOCIAÇÕES!O844="",NEGOCIAÇÕES!N844&lt;TODAY()),NEGOCIAÇÕES!N844,"")</f>
        <v/>
      </c>
      <c r="F844" s="6"/>
    </row>
    <row r="845" spans="2:6" ht="31.95" hidden="1" customHeight="1" x14ac:dyDescent="0.3">
      <c r="B845" s="6" t="str">
        <f ca="1">IF(AND(NEGOCIAÇÕES!O845="",NEGOCIAÇÕES!N845&lt;TODAY()),NEGOCIAÇÕES!C845,"")</f>
        <v/>
      </c>
      <c r="C845" s="6" t="str">
        <f ca="1">IF(AND(NEGOCIAÇÕES!O845="",NEGOCIAÇÕES!N845&lt;TODAY()),NEGOCIAÇÕES!E845,"")</f>
        <v/>
      </c>
      <c r="D845" s="6" t="str">
        <f ca="1">IF(AND(NEGOCIAÇÕES!O845="",NEGOCIAÇÕES!N845&lt;TODAY()),NEGOCIAÇÕES!D845,"")</f>
        <v/>
      </c>
      <c r="E845" s="9" t="str">
        <f ca="1">IF(AND(NEGOCIAÇÕES!O845="",NEGOCIAÇÕES!N845&lt;TODAY()),NEGOCIAÇÕES!N845,"")</f>
        <v/>
      </c>
      <c r="F845" s="6"/>
    </row>
    <row r="846" spans="2:6" ht="31.95" hidden="1" customHeight="1" x14ac:dyDescent="0.3">
      <c r="B846" s="6" t="str">
        <f ca="1">IF(AND(NEGOCIAÇÕES!O846="",NEGOCIAÇÕES!N846&lt;TODAY()),NEGOCIAÇÕES!C846,"")</f>
        <v/>
      </c>
      <c r="C846" s="6" t="str">
        <f ca="1">IF(AND(NEGOCIAÇÕES!O846="",NEGOCIAÇÕES!N846&lt;TODAY()),NEGOCIAÇÕES!E846,"")</f>
        <v/>
      </c>
      <c r="D846" s="6" t="str">
        <f ca="1">IF(AND(NEGOCIAÇÕES!O846="",NEGOCIAÇÕES!N846&lt;TODAY()),NEGOCIAÇÕES!D846,"")</f>
        <v/>
      </c>
      <c r="E846" s="9" t="str">
        <f ca="1">IF(AND(NEGOCIAÇÕES!O846="",NEGOCIAÇÕES!N846&lt;TODAY()),NEGOCIAÇÕES!N846,"")</f>
        <v/>
      </c>
      <c r="F846" s="6"/>
    </row>
    <row r="847" spans="2:6" ht="31.95" hidden="1" customHeight="1" x14ac:dyDescent="0.3">
      <c r="B847" s="6" t="str">
        <f ca="1">IF(AND(NEGOCIAÇÕES!O847="",NEGOCIAÇÕES!N847&lt;TODAY()),NEGOCIAÇÕES!C847,"")</f>
        <v/>
      </c>
      <c r="C847" s="6" t="str">
        <f ca="1">IF(AND(NEGOCIAÇÕES!O847="",NEGOCIAÇÕES!N847&lt;TODAY()),NEGOCIAÇÕES!E847,"")</f>
        <v/>
      </c>
      <c r="D847" s="6" t="str">
        <f ca="1">IF(AND(NEGOCIAÇÕES!O847="",NEGOCIAÇÕES!N847&lt;TODAY()),NEGOCIAÇÕES!D847,"")</f>
        <v/>
      </c>
      <c r="E847" s="9" t="str">
        <f ca="1">IF(AND(NEGOCIAÇÕES!O847="",NEGOCIAÇÕES!N847&lt;TODAY()),NEGOCIAÇÕES!N847,"")</f>
        <v/>
      </c>
      <c r="F847" s="6"/>
    </row>
    <row r="848" spans="2:6" ht="31.95" hidden="1" customHeight="1" x14ac:dyDescent="0.3">
      <c r="B848" s="6" t="str">
        <f ca="1">IF(AND(NEGOCIAÇÕES!O848="",NEGOCIAÇÕES!N848&lt;TODAY()),NEGOCIAÇÕES!C848,"")</f>
        <v/>
      </c>
      <c r="C848" s="6" t="str">
        <f ca="1">IF(AND(NEGOCIAÇÕES!O848="",NEGOCIAÇÕES!N848&lt;TODAY()),NEGOCIAÇÕES!E848,"")</f>
        <v/>
      </c>
      <c r="D848" s="6" t="str">
        <f ca="1">IF(AND(NEGOCIAÇÕES!O848="",NEGOCIAÇÕES!N848&lt;TODAY()),NEGOCIAÇÕES!D848,"")</f>
        <v/>
      </c>
      <c r="E848" s="9" t="str">
        <f ca="1">IF(AND(NEGOCIAÇÕES!O848="",NEGOCIAÇÕES!N848&lt;TODAY()),NEGOCIAÇÕES!N848,"")</f>
        <v/>
      </c>
      <c r="F848" s="6"/>
    </row>
    <row r="849" spans="2:6" ht="31.95" hidden="1" customHeight="1" x14ac:dyDescent="0.3">
      <c r="B849" s="6" t="str">
        <f ca="1">IF(AND(NEGOCIAÇÕES!O849="",NEGOCIAÇÕES!N849&lt;TODAY()),NEGOCIAÇÕES!C849,"")</f>
        <v/>
      </c>
      <c r="C849" s="6" t="str">
        <f ca="1">IF(AND(NEGOCIAÇÕES!O849="",NEGOCIAÇÕES!N849&lt;TODAY()),NEGOCIAÇÕES!E849,"")</f>
        <v/>
      </c>
      <c r="D849" s="6" t="str">
        <f ca="1">IF(AND(NEGOCIAÇÕES!O849="",NEGOCIAÇÕES!N849&lt;TODAY()),NEGOCIAÇÕES!D849,"")</f>
        <v/>
      </c>
      <c r="E849" s="9" t="str">
        <f ca="1">IF(AND(NEGOCIAÇÕES!O849="",NEGOCIAÇÕES!N849&lt;TODAY()),NEGOCIAÇÕES!N849,"")</f>
        <v/>
      </c>
      <c r="F849" s="6"/>
    </row>
    <row r="850" spans="2:6" ht="31.95" hidden="1" customHeight="1" x14ac:dyDescent="0.3">
      <c r="B850" s="6" t="str">
        <f ca="1">IF(AND(NEGOCIAÇÕES!O850="",NEGOCIAÇÕES!N850&lt;TODAY()),NEGOCIAÇÕES!C850,"")</f>
        <v/>
      </c>
      <c r="C850" s="6" t="str">
        <f ca="1">IF(AND(NEGOCIAÇÕES!O850="",NEGOCIAÇÕES!N850&lt;TODAY()),NEGOCIAÇÕES!E850,"")</f>
        <v/>
      </c>
      <c r="D850" s="6" t="str">
        <f ca="1">IF(AND(NEGOCIAÇÕES!O850="",NEGOCIAÇÕES!N850&lt;TODAY()),NEGOCIAÇÕES!D850,"")</f>
        <v/>
      </c>
      <c r="E850" s="9" t="str">
        <f ca="1">IF(AND(NEGOCIAÇÕES!O850="",NEGOCIAÇÕES!N850&lt;TODAY()),NEGOCIAÇÕES!N850,"")</f>
        <v/>
      </c>
      <c r="F850" s="6"/>
    </row>
    <row r="851" spans="2:6" ht="31.95" hidden="1" customHeight="1" x14ac:dyDescent="0.3">
      <c r="B851" s="6" t="str">
        <f ca="1">IF(AND(NEGOCIAÇÕES!O851="",NEGOCIAÇÕES!N851&lt;TODAY()),NEGOCIAÇÕES!C851,"")</f>
        <v/>
      </c>
      <c r="C851" s="6" t="str">
        <f ca="1">IF(AND(NEGOCIAÇÕES!O851="",NEGOCIAÇÕES!N851&lt;TODAY()),NEGOCIAÇÕES!E851,"")</f>
        <v/>
      </c>
      <c r="D851" s="6" t="str">
        <f ca="1">IF(AND(NEGOCIAÇÕES!O851="",NEGOCIAÇÕES!N851&lt;TODAY()),NEGOCIAÇÕES!D851,"")</f>
        <v/>
      </c>
      <c r="E851" s="9" t="str">
        <f ca="1">IF(AND(NEGOCIAÇÕES!O851="",NEGOCIAÇÕES!N851&lt;TODAY()),NEGOCIAÇÕES!N851,"")</f>
        <v/>
      </c>
      <c r="F851" s="6"/>
    </row>
    <row r="852" spans="2:6" ht="31.95" hidden="1" customHeight="1" x14ac:dyDescent="0.3">
      <c r="B852" s="6" t="str">
        <f ca="1">IF(AND(NEGOCIAÇÕES!O852="",NEGOCIAÇÕES!N852&lt;TODAY()),NEGOCIAÇÕES!C852,"")</f>
        <v/>
      </c>
      <c r="C852" s="6" t="str">
        <f ca="1">IF(AND(NEGOCIAÇÕES!O852="",NEGOCIAÇÕES!N852&lt;TODAY()),NEGOCIAÇÕES!E852,"")</f>
        <v/>
      </c>
      <c r="D852" s="6" t="str">
        <f ca="1">IF(AND(NEGOCIAÇÕES!O852="",NEGOCIAÇÕES!N852&lt;TODAY()),NEGOCIAÇÕES!D852,"")</f>
        <v/>
      </c>
      <c r="E852" s="9" t="str">
        <f ca="1">IF(AND(NEGOCIAÇÕES!O852="",NEGOCIAÇÕES!N852&lt;TODAY()),NEGOCIAÇÕES!N852,"")</f>
        <v/>
      </c>
      <c r="F852" s="6"/>
    </row>
    <row r="853" spans="2:6" ht="31.95" hidden="1" customHeight="1" x14ac:dyDescent="0.3">
      <c r="B853" s="6" t="str">
        <f ca="1">IF(AND(NEGOCIAÇÕES!O853="",NEGOCIAÇÕES!N853&lt;TODAY()),NEGOCIAÇÕES!C853,"")</f>
        <v/>
      </c>
      <c r="C853" s="6" t="str">
        <f ca="1">IF(AND(NEGOCIAÇÕES!O853="",NEGOCIAÇÕES!N853&lt;TODAY()),NEGOCIAÇÕES!E853,"")</f>
        <v/>
      </c>
      <c r="D853" s="6" t="str">
        <f ca="1">IF(AND(NEGOCIAÇÕES!O853="",NEGOCIAÇÕES!N853&lt;TODAY()),NEGOCIAÇÕES!D853,"")</f>
        <v/>
      </c>
      <c r="E853" s="9" t="str">
        <f ca="1">IF(AND(NEGOCIAÇÕES!O853="",NEGOCIAÇÕES!N853&lt;TODAY()),NEGOCIAÇÕES!N853,"")</f>
        <v/>
      </c>
      <c r="F853" s="6"/>
    </row>
    <row r="854" spans="2:6" ht="31.95" hidden="1" customHeight="1" x14ac:dyDescent="0.3">
      <c r="B854" s="6" t="str">
        <f ca="1">IF(AND(NEGOCIAÇÕES!O854="",NEGOCIAÇÕES!N854&lt;TODAY()),NEGOCIAÇÕES!C854,"")</f>
        <v/>
      </c>
      <c r="C854" s="6" t="str">
        <f ca="1">IF(AND(NEGOCIAÇÕES!O854="",NEGOCIAÇÕES!N854&lt;TODAY()),NEGOCIAÇÕES!E854,"")</f>
        <v/>
      </c>
      <c r="D854" s="6" t="str">
        <f ca="1">IF(AND(NEGOCIAÇÕES!O854="",NEGOCIAÇÕES!N854&lt;TODAY()),NEGOCIAÇÕES!D854,"")</f>
        <v/>
      </c>
      <c r="E854" s="9" t="str">
        <f ca="1">IF(AND(NEGOCIAÇÕES!O854="",NEGOCIAÇÕES!N854&lt;TODAY()),NEGOCIAÇÕES!N854,"")</f>
        <v/>
      </c>
      <c r="F854" s="6"/>
    </row>
    <row r="855" spans="2:6" ht="31.95" hidden="1" customHeight="1" x14ac:dyDescent="0.3">
      <c r="B855" s="6" t="str">
        <f ca="1">IF(AND(NEGOCIAÇÕES!O855="",NEGOCIAÇÕES!N855&lt;TODAY()),NEGOCIAÇÕES!C855,"")</f>
        <v/>
      </c>
      <c r="C855" s="6" t="str">
        <f ca="1">IF(AND(NEGOCIAÇÕES!O855="",NEGOCIAÇÕES!N855&lt;TODAY()),NEGOCIAÇÕES!E855,"")</f>
        <v/>
      </c>
      <c r="D855" s="6" t="str">
        <f ca="1">IF(AND(NEGOCIAÇÕES!O855="",NEGOCIAÇÕES!N855&lt;TODAY()),NEGOCIAÇÕES!D855,"")</f>
        <v/>
      </c>
      <c r="E855" s="9" t="str">
        <f ca="1">IF(AND(NEGOCIAÇÕES!O855="",NEGOCIAÇÕES!N855&lt;TODAY()),NEGOCIAÇÕES!N855,"")</f>
        <v/>
      </c>
      <c r="F855" s="6"/>
    </row>
    <row r="856" spans="2:6" ht="31.95" hidden="1" customHeight="1" x14ac:dyDescent="0.3">
      <c r="B856" s="6" t="str">
        <f ca="1">IF(AND(NEGOCIAÇÕES!O856="",NEGOCIAÇÕES!N856&lt;TODAY()),NEGOCIAÇÕES!C856,"")</f>
        <v/>
      </c>
      <c r="C856" s="6" t="str">
        <f ca="1">IF(AND(NEGOCIAÇÕES!O856="",NEGOCIAÇÕES!N856&lt;TODAY()),NEGOCIAÇÕES!E856,"")</f>
        <v/>
      </c>
      <c r="D856" s="6" t="str">
        <f ca="1">IF(AND(NEGOCIAÇÕES!O856="",NEGOCIAÇÕES!N856&lt;TODAY()),NEGOCIAÇÕES!D856,"")</f>
        <v/>
      </c>
      <c r="E856" s="9" t="str">
        <f ca="1">IF(AND(NEGOCIAÇÕES!O856="",NEGOCIAÇÕES!N856&lt;TODAY()),NEGOCIAÇÕES!N856,"")</f>
        <v/>
      </c>
      <c r="F856" s="6"/>
    </row>
    <row r="857" spans="2:6" ht="31.95" hidden="1" customHeight="1" x14ac:dyDescent="0.3">
      <c r="B857" s="6" t="str">
        <f ca="1">IF(AND(NEGOCIAÇÕES!O857="",NEGOCIAÇÕES!N857&lt;TODAY()),NEGOCIAÇÕES!C857,"")</f>
        <v/>
      </c>
      <c r="C857" s="6" t="str">
        <f ca="1">IF(AND(NEGOCIAÇÕES!O857="",NEGOCIAÇÕES!N857&lt;TODAY()),NEGOCIAÇÕES!E857,"")</f>
        <v/>
      </c>
      <c r="D857" s="6" t="str">
        <f ca="1">IF(AND(NEGOCIAÇÕES!O857="",NEGOCIAÇÕES!N857&lt;TODAY()),NEGOCIAÇÕES!D857,"")</f>
        <v/>
      </c>
      <c r="E857" s="9" t="str">
        <f ca="1">IF(AND(NEGOCIAÇÕES!O857="",NEGOCIAÇÕES!N857&lt;TODAY()),NEGOCIAÇÕES!N857,"")</f>
        <v/>
      </c>
      <c r="F857" s="6"/>
    </row>
    <row r="858" spans="2:6" ht="31.95" hidden="1" customHeight="1" x14ac:dyDescent="0.3">
      <c r="B858" s="6" t="str">
        <f ca="1">IF(AND(NEGOCIAÇÕES!O858="",NEGOCIAÇÕES!N858&lt;TODAY()),NEGOCIAÇÕES!C858,"")</f>
        <v/>
      </c>
      <c r="C858" s="6" t="str">
        <f ca="1">IF(AND(NEGOCIAÇÕES!O858="",NEGOCIAÇÕES!N858&lt;TODAY()),NEGOCIAÇÕES!E858,"")</f>
        <v/>
      </c>
      <c r="D858" s="6" t="str">
        <f ca="1">IF(AND(NEGOCIAÇÕES!O858="",NEGOCIAÇÕES!N858&lt;TODAY()),NEGOCIAÇÕES!D858,"")</f>
        <v/>
      </c>
      <c r="E858" s="9" t="str">
        <f ca="1">IF(AND(NEGOCIAÇÕES!O858="",NEGOCIAÇÕES!N858&lt;TODAY()),NEGOCIAÇÕES!N858,"")</f>
        <v/>
      </c>
      <c r="F858" s="6"/>
    </row>
    <row r="859" spans="2:6" ht="31.95" hidden="1" customHeight="1" x14ac:dyDescent="0.3">
      <c r="B859" s="6" t="str">
        <f ca="1">IF(AND(NEGOCIAÇÕES!O859="",NEGOCIAÇÕES!N859&lt;TODAY()),NEGOCIAÇÕES!C859,"")</f>
        <v/>
      </c>
      <c r="C859" s="6" t="str">
        <f ca="1">IF(AND(NEGOCIAÇÕES!O859="",NEGOCIAÇÕES!N859&lt;TODAY()),NEGOCIAÇÕES!E859,"")</f>
        <v/>
      </c>
      <c r="D859" s="6" t="str">
        <f ca="1">IF(AND(NEGOCIAÇÕES!O859="",NEGOCIAÇÕES!N859&lt;TODAY()),NEGOCIAÇÕES!D859,"")</f>
        <v/>
      </c>
      <c r="E859" s="9" t="str">
        <f ca="1">IF(AND(NEGOCIAÇÕES!O859="",NEGOCIAÇÕES!N859&lt;TODAY()),NEGOCIAÇÕES!N859,"")</f>
        <v/>
      </c>
      <c r="F859" s="6"/>
    </row>
    <row r="860" spans="2:6" ht="31.95" hidden="1" customHeight="1" x14ac:dyDescent="0.3">
      <c r="B860" s="6" t="str">
        <f ca="1">IF(AND(NEGOCIAÇÕES!O860="",NEGOCIAÇÕES!N860&lt;TODAY()),NEGOCIAÇÕES!C860,"")</f>
        <v/>
      </c>
      <c r="C860" s="6" t="str">
        <f ca="1">IF(AND(NEGOCIAÇÕES!O860="",NEGOCIAÇÕES!N860&lt;TODAY()),NEGOCIAÇÕES!E860,"")</f>
        <v/>
      </c>
      <c r="D860" s="6" t="str">
        <f ca="1">IF(AND(NEGOCIAÇÕES!O860="",NEGOCIAÇÕES!N860&lt;TODAY()),NEGOCIAÇÕES!D860,"")</f>
        <v/>
      </c>
      <c r="E860" s="9" t="str">
        <f ca="1">IF(AND(NEGOCIAÇÕES!O860="",NEGOCIAÇÕES!N860&lt;TODAY()),NEGOCIAÇÕES!N860,"")</f>
        <v/>
      </c>
      <c r="F860" s="6"/>
    </row>
    <row r="861" spans="2:6" ht="31.95" hidden="1" customHeight="1" x14ac:dyDescent="0.3">
      <c r="B861" s="6" t="str">
        <f ca="1">IF(AND(NEGOCIAÇÕES!O861="",NEGOCIAÇÕES!N861&lt;TODAY()),NEGOCIAÇÕES!C861,"")</f>
        <v/>
      </c>
      <c r="C861" s="6" t="str">
        <f ca="1">IF(AND(NEGOCIAÇÕES!O861="",NEGOCIAÇÕES!N861&lt;TODAY()),NEGOCIAÇÕES!E861,"")</f>
        <v/>
      </c>
      <c r="D861" s="6" t="str">
        <f ca="1">IF(AND(NEGOCIAÇÕES!O861="",NEGOCIAÇÕES!N861&lt;TODAY()),NEGOCIAÇÕES!D861,"")</f>
        <v/>
      </c>
      <c r="E861" s="9" t="str">
        <f ca="1">IF(AND(NEGOCIAÇÕES!O861="",NEGOCIAÇÕES!N861&lt;TODAY()),NEGOCIAÇÕES!N861,"")</f>
        <v/>
      </c>
      <c r="F861" s="6"/>
    </row>
    <row r="862" spans="2:6" ht="31.95" hidden="1" customHeight="1" x14ac:dyDescent="0.3">
      <c r="B862" s="6" t="str">
        <f ca="1">IF(AND(NEGOCIAÇÕES!O862="",NEGOCIAÇÕES!N862&lt;TODAY()),NEGOCIAÇÕES!C862,"")</f>
        <v/>
      </c>
      <c r="C862" s="6" t="str">
        <f ca="1">IF(AND(NEGOCIAÇÕES!O862="",NEGOCIAÇÕES!N862&lt;TODAY()),NEGOCIAÇÕES!E862,"")</f>
        <v/>
      </c>
      <c r="D862" s="6" t="str">
        <f ca="1">IF(AND(NEGOCIAÇÕES!O862="",NEGOCIAÇÕES!N862&lt;TODAY()),NEGOCIAÇÕES!D862,"")</f>
        <v/>
      </c>
      <c r="E862" s="9" t="str">
        <f ca="1">IF(AND(NEGOCIAÇÕES!O862="",NEGOCIAÇÕES!N862&lt;TODAY()),NEGOCIAÇÕES!N862,"")</f>
        <v/>
      </c>
      <c r="F862" s="6"/>
    </row>
    <row r="863" spans="2:6" ht="31.95" hidden="1" customHeight="1" x14ac:dyDescent="0.3">
      <c r="B863" s="6" t="str">
        <f ca="1">IF(AND(NEGOCIAÇÕES!O863="",NEGOCIAÇÕES!N863&lt;TODAY()),NEGOCIAÇÕES!C863,"")</f>
        <v/>
      </c>
      <c r="C863" s="6" t="str">
        <f ca="1">IF(AND(NEGOCIAÇÕES!O863="",NEGOCIAÇÕES!N863&lt;TODAY()),NEGOCIAÇÕES!E863,"")</f>
        <v/>
      </c>
      <c r="D863" s="6" t="str">
        <f ca="1">IF(AND(NEGOCIAÇÕES!O863="",NEGOCIAÇÕES!N863&lt;TODAY()),NEGOCIAÇÕES!D863,"")</f>
        <v/>
      </c>
      <c r="E863" s="9" t="str">
        <f ca="1">IF(AND(NEGOCIAÇÕES!O863="",NEGOCIAÇÕES!N863&lt;TODAY()),NEGOCIAÇÕES!N863,"")</f>
        <v/>
      </c>
      <c r="F863" s="6"/>
    </row>
    <row r="864" spans="2:6" ht="31.95" hidden="1" customHeight="1" x14ac:dyDescent="0.3">
      <c r="B864" s="6" t="str">
        <f ca="1">IF(AND(NEGOCIAÇÕES!O864="",NEGOCIAÇÕES!N864&lt;TODAY()),NEGOCIAÇÕES!C864,"")</f>
        <v/>
      </c>
      <c r="C864" s="6" t="str">
        <f ca="1">IF(AND(NEGOCIAÇÕES!O864="",NEGOCIAÇÕES!N864&lt;TODAY()),NEGOCIAÇÕES!E864,"")</f>
        <v/>
      </c>
      <c r="D864" s="6" t="str">
        <f ca="1">IF(AND(NEGOCIAÇÕES!O864="",NEGOCIAÇÕES!N864&lt;TODAY()),NEGOCIAÇÕES!D864,"")</f>
        <v/>
      </c>
      <c r="E864" s="9" t="str">
        <f ca="1">IF(AND(NEGOCIAÇÕES!O864="",NEGOCIAÇÕES!N864&lt;TODAY()),NEGOCIAÇÕES!N864,"")</f>
        <v/>
      </c>
      <c r="F864" s="6"/>
    </row>
    <row r="865" spans="2:6" ht="31.95" hidden="1" customHeight="1" x14ac:dyDescent="0.3">
      <c r="B865" s="6" t="str">
        <f ca="1">IF(AND(NEGOCIAÇÕES!O865="",NEGOCIAÇÕES!N865&lt;TODAY()),NEGOCIAÇÕES!C865,"")</f>
        <v/>
      </c>
      <c r="C865" s="6" t="str">
        <f ca="1">IF(AND(NEGOCIAÇÕES!O865="",NEGOCIAÇÕES!N865&lt;TODAY()),NEGOCIAÇÕES!E865,"")</f>
        <v/>
      </c>
      <c r="D865" s="6" t="str">
        <f ca="1">IF(AND(NEGOCIAÇÕES!O865="",NEGOCIAÇÕES!N865&lt;TODAY()),NEGOCIAÇÕES!D865,"")</f>
        <v/>
      </c>
      <c r="E865" s="9" t="str">
        <f ca="1">IF(AND(NEGOCIAÇÕES!O865="",NEGOCIAÇÕES!N865&lt;TODAY()),NEGOCIAÇÕES!N865,"")</f>
        <v/>
      </c>
      <c r="F865" s="6"/>
    </row>
    <row r="866" spans="2:6" ht="31.95" hidden="1" customHeight="1" x14ac:dyDescent="0.3">
      <c r="B866" s="6" t="str">
        <f ca="1">IF(AND(NEGOCIAÇÕES!O866="",NEGOCIAÇÕES!N866&lt;TODAY()),NEGOCIAÇÕES!C866,"")</f>
        <v/>
      </c>
      <c r="C866" s="6" t="str">
        <f ca="1">IF(AND(NEGOCIAÇÕES!O866="",NEGOCIAÇÕES!N866&lt;TODAY()),NEGOCIAÇÕES!E866,"")</f>
        <v/>
      </c>
      <c r="D866" s="6" t="str">
        <f ca="1">IF(AND(NEGOCIAÇÕES!O866="",NEGOCIAÇÕES!N866&lt;TODAY()),NEGOCIAÇÕES!D866,"")</f>
        <v/>
      </c>
      <c r="E866" s="9" t="str">
        <f ca="1">IF(AND(NEGOCIAÇÕES!O866="",NEGOCIAÇÕES!N866&lt;TODAY()),NEGOCIAÇÕES!N866,"")</f>
        <v/>
      </c>
      <c r="F866" s="6"/>
    </row>
    <row r="867" spans="2:6" ht="31.95" hidden="1" customHeight="1" x14ac:dyDescent="0.3">
      <c r="B867" s="6" t="str">
        <f ca="1">IF(AND(NEGOCIAÇÕES!O867="",NEGOCIAÇÕES!N867&lt;TODAY()),NEGOCIAÇÕES!C867,"")</f>
        <v/>
      </c>
      <c r="C867" s="6" t="str">
        <f ca="1">IF(AND(NEGOCIAÇÕES!O867="",NEGOCIAÇÕES!N867&lt;TODAY()),NEGOCIAÇÕES!E867,"")</f>
        <v/>
      </c>
      <c r="D867" s="6" t="str">
        <f ca="1">IF(AND(NEGOCIAÇÕES!O867="",NEGOCIAÇÕES!N867&lt;TODAY()),NEGOCIAÇÕES!D867,"")</f>
        <v/>
      </c>
      <c r="E867" s="9" t="str">
        <f ca="1">IF(AND(NEGOCIAÇÕES!O867="",NEGOCIAÇÕES!N867&lt;TODAY()),NEGOCIAÇÕES!N867,"")</f>
        <v/>
      </c>
      <c r="F867" s="6"/>
    </row>
    <row r="868" spans="2:6" ht="31.95" hidden="1" customHeight="1" x14ac:dyDescent="0.3">
      <c r="B868" s="6" t="str">
        <f ca="1">IF(AND(NEGOCIAÇÕES!O868="",NEGOCIAÇÕES!N868&lt;TODAY()),NEGOCIAÇÕES!C868,"")</f>
        <v/>
      </c>
      <c r="C868" s="6" t="str">
        <f ca="1">IF(AND(NEGOCIAÇÕES!O868="",NEGOCIAÇÕES!N868&lt;TODAY()),NEGOCIAÇÕES!E868,"")</f>
        <v/>
      </c>
      <c r="D868" s="6" t="str">
        <f ca="1">IF(AND(NEGOCIAÇÕES!O868="",NEGOCIAÇÕES!N868&lt;TODAY()),NEGOCIAÇÕES!D868,"")</f>
        <v/>
      </c>
      <c r="E868" s="9" t="str">
        <f ca="1">IF(AND(NEGOCIAÇÕES!O868="",NEGOCIAÇÕES!N868&lt;TODAY()),NEGOCIAÇÕES!N868,"")</f>
        <v/>
      </c>
      <c r="F868" s="6"/>
    </row>
    <row r="869" spans="2:6" ht="31.95" hidden="1" customHeight="1" x14ac:dyDescent="0.3">
      <c r="B869" s="6" t="str">
        <f ca="1">IF(AND(NEGOCIAÇÕES!O869="",NEGOCIAÇÕES!N869&lt;TODAY()),NEGOCIAÇÕES!C869,"")</f>
        <v/>
      </c>
      <c r="C869" s="6" t="str">
        <f ca="1">IF(AND(NEGOCIAÇÕES!O869="",NEGOCIAÇÕES!N869&lt;TODAY()),NEGOCIAÇÕES!E869,"")</f>
        <v/>
      </c>
      <c r="D869" s="6" t="str">
        <f ca="1">IF(AND(NEGOCIAÇÕES!O869="",NEGOCIAÇÕES!N869&lt;TODAY()),NEGOCIAÇÕES!D869,"")</f>
        <v/>
      </c>
      <c r="E869" s="9" t="str">
        <f ca="1">IF(AND(NEGOCIAÇÕES!O869="",NEGOCIAÇÕES!N869&lt;TODAY()),NEGOCIAÇÕES!N869,"")</f>
        <v/>
      </c>
      <c r="F869" s="6"/>
    </row>
    <row r="870" spans="2:6" ht="31.95" hidden="1" customHeight="1" x14ac:dyDescent="0.3">
      <c r="B870" s="6" t="str">
        <f ca="1">IF(AND(NEGOCIAÇÕES!O870="",NEGOCIAÇÕES!N870&lt;TODAY()),NEGOCIAÇÕES!C870,"")</f>
        <v/>
      </c>
      <c r="C870" s="6" t="str">
        <f ca="1">IF(AND(NEGOCIAÇÕES!O870="",NEGOCIAÇÕES!N870&lt;TODAY()),NEGOCIAÇÕES!E870,"")</f>
        <v/>
      </c>
      <c r="D870" s="6" t="str">
        <f ca="1">IF(AND(NEGOCIAÇÕES!O870="",NEGOCIAÇÕES!N870&lt;TODAY()),NEGOCIAÇÕES!D870,"")</f>
        <v/>
      </c>
      <c r="E870" s="9" t="str">
        <f ca="1">IF(AND(NEGOCIAÇÕES!O870="",NEGOCIAÇÕES!N870&lt;TODAY()),NEGOCIAÇÕES!N870,"")</f>
        <v/>
      </c>
      <c r="F870" s="6"/>
    </row>
    <row r="871" spans="2:6" ht="31.95" hidden="1" customHeight="1" x14ac:dyDescent="0.3">
      <c r="B871" s="6" t="str">
        <f ca="1">IF(AND(NEGOCIAÇÕES!O871="",NEGOCIAÇÕES!N871&lt;TODAY()),NEGOCIAÇÕES!C871,"")</f>
        <v/>
      </c>
      <c r="C871" s="6" t="str">
        <f ca="1">IF(AND(NEGOCIAÇÕES!O871="",NEGOCIAÇÕES!N871&lt;TODAY()),NEGOCIAÇÕES!E871,"")</f>
        <v/>
      </c>
      <c r="D871" s="6" t="str">
        <f ca="1">IF(AND(NEGOCIAÇÕES!O871="",NEGOCIAÇÕES!N871&lt;TODAY()),NEGOCIAÇÕES!D871,"")</f>
        <v/>
      </c>
      <c r="E871" s="9" t="str">
        <f ca="1">IF(AND(NEGOCIAÇÕES!O871="",NEGOCIAÇÕES!N871&lt;TODAY()),NEGOCIAÇÕES!N871,"")</f>
        <v/>
      </c>
      <c r="F871" s="6"/>
    </row>
    <row r="872" spans="2:6" ht="31.95" hidden="1" customHeight="1" x14ac:dyDescent="0.3">
      <c r="B872" s="6" t="str">
        <f ca="1">IF(AND(NEGOCIAÇÕES!O872="",NEGOCIAÇÕES!N872&lt;TODAY()),NEGOCIAÇÕES!C872,"")</f>
        <v/>
      </c>
      <c r="C872" s="6" t="str">
        <f ca="1">IF(AND(NEGOCIAÇÕES!O872="",NEGOCIAÇÕES!N872&lt;TODAY()),NEGOCIAÇÕES!E872,"")</f>
        <v/>
      </c>
      <c r="D872" s="6" t="str">
        <f ca="1">IF(AND(NEGOCIAÇÕES!O872="",NEGOCIAÇÕES!N872&lt;TODAY()),NEGOCIAÇÕES!D872,"")</f>
        <v/>
      </c>
      <c r="E872" s="9" t="str">
        <f ca="1">IF(AND(NEGOCIAÇÕES!O872="",NEGOCIAÇÕES!N872&lt;TODAY()),NEGOCIAÇÕES!N872,"")</f>
        <v/>
      </c>
      <c r="F872" s="6"/>
    </row>
    <row r="873" spans="2:6" ht="31.95" hidden="1" customHeight="1" x14ac:dyDescent="0.3">
      <c r="B873" s="6" t="str">
        <f ca="1">IF(AND(NEGOCIAÇÕES!O873="",NEGOCIAÇÕES!N873&lt;TODAY()),NEGOCIAÇÕES!C873,"")</f>
        <v/>
      </c>
      <c r="C873" s="6" t="str">
        <f ca="1">IF(AND(NEGOCIAÇÕES!O873="",NEGOCIAÇÕES!N873&lt;TODAY()),NEGOCIAÇÕES!E873,"")</f>
        <v/>
      </c>
      <c r="D873" s="6" t="str">
        <f ca="1">IF(AND(NEGOCIAÇÕES!O873="",NEGOCIAÇÕES!N873&lt;TODAY()),NEGOCIAÇÕES!D873,"")</f>
        <v/>
      </c>
      <c r="E873" s="9" t="str">
        <f ca="1">IF(AND(NEGOCIAÇÕES!O873="",NEGOCIAÇÕES!N873&lt;TODAY()),NEGOCIAÇÕES!N873,"")</f>
        <v/>
      </c>
      <c r="F873" s="6"/>
    </row>
    <row r="874" spans="2:6" ht="31.95" hidden="1" customHeight="1" x14ac:dyDescent="0.3">
      <c r="B874" s="6" t="str">
        <f ca="1">IF(AND(NEGOCIAÇÕES!O874="",NEGOCIAÇÕES!N874&lt;TODAY()),NEGOCIAÇÕES!C874,"")</f>
        <v/>
      </c>
      <c r="C874" s="6" t="str">
        <f ca="1">IF(AND(NEGOCIAÇÕES!O874="",NEGOCIAÇÕES!N874&lt;TODAY()),NEGOCIAÇÕES!E874,"")</f>
        <v/>
      </c>
      <c r="D874" s="6" t="str">
        <f ca="1">IF(AND(NEGOCIAÇÕES!O874="",NEGOCIAÇÕES!N874&lt;TODAY()),NEGOCIAÇÕES!D874,"")</f>
        <v/>
      </c>
      <c r="E874" s="9" t="str">
        <f ca="1">IF(AND(NEGOCIAÇÕES!O874="",NEGOCIAÇÕES!N874&lt;TODAY()),NEGOCIAÇÕES!N874,"")</f>
        <v/>
      </c>
      <c r="F874" s="6"/>
    </row>
    <row r="875" spans="2:6" ht="31.95" hidden="1" customHeight="1" x14ac:dyDescent="0.3">
      <c r="B875" s="6" t="str">
        <f ca="1">IF(AND(NEGOCIAÇÕES!O875="",NEGOCIAÇÕES!N875&lt;TODAY()),NEGOCIAÇÕES!C875,"")</f>
        <v/>
      </c>
      <c r="C875" s="6" t="str">
        <f ca="1">IF(AND(NEGOCIAÇÕES!O875="",NEGOCIAÇÕES!N875&lt;TODAY()),NEGOCIAÇÕES!E875,"")</f>
        <v/>
      </c>
      <c r="D875" s="6" t="str">
        <f ca="1">IF(AND(NEGOCIAÇÕES!O875="",NEGOCIAÇÕES!N875&lt;TODAY()),NEGOCIAÇÕES!D875,"")</f>
        <v/>
      </c>
      <c r="E875" s="9" t="str">
        <f ca="1">IF(AND(NEGOCIAÇÕES!O875="",NEGOCIAÇÕES!N875&lt;TODAY()),NEGOCIAÇÕES!N875,"")</f>
        <v/>
      </c>
      <c r="F875" s="6"/>
    </row>
    <row r="876" spans="2:6" ht="31.95" hidden="1" customHeight="1" x14ac:dyDescent="0.3">
      <c r="B876" s="6" t="str">
        <f ca="1">IF(AND(NEGOCIAÇÕES!O876="",NEGOCIAÇÕES!N876&lt;TODAY()),NEGOCIAÇÕES!C876,"")</f>
        <v/>
      </c>
      <c r="C876" s="6" t="str">
        <f ca="1">IF(AND(NEGOCIAÇÕES!O876="",NEGOCIAÇÕES!N876&lt;TODAY()),NEGOCIAÇÕES!E876,"")</f>
        <v/>
      </c>
      <c r="D876" s="6" t="str">
        <f ca="1">IF(AND(NEGOCIAÇÕES!O876="",NEGOCIAÇÕES!N876&lt;TODAY()),NEGOCIAÇÕES!D876,"")</f>
        <v/>
      </c>
      <c r="E876" s="9" t="str">
        <f ca="1">IF(AND(NEGOCIAÇÕES!O876="",NEGOCIAÇÕES!N876&lt;TODAY()),NEGOCIAÇÕES!N876,"")</f>
        <v/>
      </c>
      <c r="F876" s="6"/>
    </row>
    <row r="877" spans="2:6" ht="31.95" hidden="1" customHeight="1" x14ac:dyDescent="0.3">
      <c r="B877" s="6" t="str">
        <f ca="1">IF(AND(NEGOCIAÇÕES!O877="",NEGOCIAÇÕES!N877&lt;TODAY()),NEGOCIAÇÕES!C877,"")</f>
        <v/>
      </c>
      <c r="C877" s="6" t="str">
        <f ca="1">IF(AND(NEGOCIAÇÕES!O877="",NEGOCIAÇÕES!N877&lt;TODAY()),NEGOCIAÇÕES!E877,"")</f>
        <v/>
      </c>
      <c r="D877" s="6" t="str">
        <f ca="1">IF(AND(NEGOCIAÇÕES!O877="",NEGOCIAÇÕES!N877&lt;TODAY()),NEGOCIAÇÕES!D877,"")</f>
        <v/>
      </c>
      <c r="E877" s="9" t="str">
        <f ca="1">IF(AND(NEGOCIAÇÕES!O877="",NEGOCIAÇÕES!N877&lt;TODAY()),NEGOCIAÇÕES!N877,"")</f>
        <v/>
      </c>
      <c r="F877" s="6"/>
    </row>
    <row r="878" spans="2:6" ht="31.95" hidden="1" customHeight="1" x14ac:dyDescent="0.3">
      <c r="B878" s="6" t="str">
        <f ca="1">IF(AND(NEGOCIAÇÕES!O878="",NEGOCIAÇÕES!N878&lt;TODAY()),NEGOCIAÇÕES!C878,"")</f>
        <v/>
      </c>
      <c r="C878" s="6" t="str">
        <f ca="1">IF(AND(NEGOCIAÇÕES!O878="",NEGOCIAÇÕES!N878&lt;TODAY()),NEGOCIAÇÕES!E878,"")</f>
        <v/>
      </c>
      <c r="D878" s="6" t="str">
        <f ca="1">IF(AND(NEGOCIAÇÕES!O878="",NEGOCIAÇÕES!N878&lt;TODAY()),NEGOCIAÇÕES!D878,"")</f>
        <v/>
      </c>
      <c r="E878" s="9" t="str">
        <f ca="1">IF(AND(NEGOCIAÇÕES!O878="",NEGOCIAÇÕES!N878&lt;TODAY()),NEGOCIAÇÕES!N878,"")</f>
        <v/>
      </c>
      <c r="F878" s="6"/>
    </row>
    <row r="879" spans="2:6" ht="31.95" hidden="1" customHeight="1" x14ac:dyDescent="0.3">
      <c r="B879" s="6" t="str">
        <f ca="1">IF(AND(NEGOCIAÇÕES!O879="",NEGOCIAÇÕES!N879&lt;TODAY()),NEGOCIAÇÕES!C879,"")</f>
        <v/>
      </c>
      <c r="C879" s="6" t="str">
        <f ca="1">IF(AND(NEGOCIAÇÕES!O879="",NEGOCIAÇÕES!N879&lt;TODAY()),NEGOCIAÇÕES!E879,"")</f>
        <v/>
      </c>
      <c r="D879" s="6" t="str">
        <f ca="1">IF(AND(NEGOCIAÇÕES!O879="",NEGOCIAÇÕES!N879&lt;TODAY()),NEGOCIAÇÕES!D879,"")</f>
        <v/>
      </c>
      <c r="E879" s="9" t="str">
        <f ca="1">IF(AND(NEGOCIAÇÕES!O879="",NEGOCIAÇÕES!N879&lt;TODAY()),NEGOCIAÇÕES!N879,"")</f>
        <v/>
      </c>
      <c r="F879" s="6"/>
    </row>
    <row r="880" spans="2:6" ht="31.95" hidden="1" customHeight="1" x14ac:dyDescent="0.3">
      <c r="B880" s="6" t="str">
        <f ca="1">IF(AND(NEGOCIAÇÕES!O880="",NEGOCIAÇÕES!N880&lt;TODAY()),NEGOCIAÇÕES!C880,"")</f>
        <v/>
      </c>
      <c r="C880" s="6" t="str">
        <f ca="1">IF(AND(NEGOCIAÇÕES!O880="",NEGOCIAÇÕES!N880&lt;TODAY()),NEGOCIAÇÕES!E880,"")</f>
        <v/>
      </c>
      <c r="D880" s="6" t="str">
        <f ca="1">IF(AND(NEGOCIAÇÕES!O880="",NEGOCIAÇÕES!N880&lt;TODAY()),NEGOCIAÇÕES!D880,"")</f>
        <v/>
      </c>
      <c r="E880" s="9" t="str">
        <f ca="1">IF(AND(NEGOCIAÇÕES!O880="",NEGOCIAÇÕES!N880&lt;TODAY()),NEGOCIAÇÕES!N880,"")</f>
        <v/>
      </c>
      <c r="F880" s="6"/>
    </row>
    <row r="881" spans="2:6" ht="31.95" hidden="1" customHeight="1" x14ac:dyDescent="0.3">
      <c r="B881" s="6" t="str">
        <f ca="1">IF(AND(NEGOCIAÇÕES!O881="",NEGOCIAÇÕES!N881&lt;TODAY()),NEGOCIAÇÕES!C881,"")</f>
        <v/>
      </c>
      <c r="C881" s="6" t="str">
        <f ca="1">IF(AND(NEGOCIAÇÕES!O881="",NEGOCIAÇÕES!N881&lt;TODAY()),NEGOCIAÇÕES!E881,"")</f>
        <v/>
      </c>
      <c r="D881" s="6" t="str">
        <f ca="1">IF(AND(NEGOCIAÇÕES!O881="",NEGOCIAÇÕES!N881&lt;TODAY()),NEGOCIAÇÕES!D881,"")</f>
        <v/>
      </c>
      <c r="E881" s="9" t="str">
        <f ca="1">IF(AND(NEGOCIAÇÕES!O881="",NEGOCIAÇÕES!N881&lt;TODAY()),NEGOCIAÇÕES!N881,"")</f>
        <v/>
      </c>
      <c r="F881" s="6"/>
    </row>
    <row r="882" spans="2:6" ht="31.95" hidden="1" customHeight="1" x14ac:dyDescent="0.3">
      <c r="B882" s="6" t="str">
        <f ca="1">IF(AND(NEGOCIAÇÕES!O882="",NEGOCIAÇÕES!N882&lt;TODAY()),NEGOCIAÇÕES!C882,"")</f>
        <v/>
      </c>
      <c r="C882" s="6" t="str">
        <f ca="1">IF(AND(NEGOCIAÇÕES!O882="",NEGOCIAÇÕES!N882&lt;TODAY()),NEGOCIAÇÕES!E882,"")</f>
        <v/>
      </c>
      <c r="D882" s="6" t="str">
        <f ca="1">IF(AND(NEGOCIAÇÕES!O882="",NEGOCIAÇÕES!N882&lt;TODAY()),NEGOCIAÇÕES!D882,"")</f>
        <v/>
      </c>
      <c r="E882" s="9" t="str">
        <f ca="1">IF(AND(NEGOCIAÇÕES!O882="",NEGOCIAÇÕES!N882&lt;TODAY()),NEGOCIAÇÕES!N882,"")</f>
        <v/>
      </c>
      <c r="F882" s="6"/>
    </row>
    <row r="883" spans="2:6" ht="31.95" hidden="1" customHeight="1" x14ac:dyDescent="0.3">
      <c r="B883" s="6" t="str">
        <f ca="1">IF(AND(NEGOCIAÇÕES!O883="",NEGOCIAÇÕES!N883&lt;TODAY()),NEGOCIAÇÕES!C883,"")</f>
        <v/>
      </c>
      <c r="C883" s="6" t="str">
        <f ca="1">IF(AND(NEGOCIAÇÕES!O883="",NEGOCIAÇÕES!N883&lt;TODAY()),NEGOCIAÇÕES!E883,"")</f>
        <v/>
      </c>
      <c r="D883" s="6" t="str">
        <f ca="1">IF(AND(NEGOCIAÇÕES!O883="",NEGOCIAÇÕES!N883&lt;TODAY()),NEGOCIAÇÕES!D883,"")</f>
        <v/>
      </c>
      <c r="E883" s="9" t="str">
        <f ca="1">IF(AND(NEGOCIAÇÕES!O883="",NEGOCIAÇÕES!N883&lt;TODAY()),NEGOCIAÇÕES!N883,"")</f>
        <v/>
      </c>
      <c r="F883" s="6"/>
    </row>
    <row r="884" spans="2:6" ht="31.95" hidden="1" customHeight="1" x14ac:dyDescent="0.3">
      <c r="B884" s="6" t="str">
        <f ca="1">IF(AND(NEGOCIAÇÕES!O884="",NEGOCIAÇÕES!N884&lt;TODAY()),NEGOCIAÇÕES!C884,"")</f>
        <v/>
      </c>
      <c r="C884" s="6" t="str">
        <f ca="1">IF(AND(NEGOCIAÇÕES!O884="",NEGOCIAÇÕES!N884&lt;TODAY()),NEGOCIAÇÕES!E884,"")</f>
        <v/>
      </c>
      <c r="D884" s="6" t="str">
        <f ca="1">IF(AND(NEGOCIAÇÕES!O884="",NEGOCIAÇÕES!N884&lt;TODAY()),NEGOCIAÇÕES!D884,"")</f>
        <v/>
      </c>
      <c r="E884" s="9" t="str">
        <f ca="1">IF(AND(NEGOCIAÇÕES!O884="",NEGOCIAÇÕES!N884&lt;TODAY()),NEGOCIAÇÕES!N884,"")</f>
        <v/>
      </c>
      <c r="F884" s="6"/>
    </row>
    <row r="885" spans="2:6" ht="31.95" hidden="1" customHeight="1" x14ac:dyDescent="0.3">
      <c r="B885" s="6" t="str">
        <f ca="1">IF(AND(NEGOCIAÇÕES!O885="",NEGOCIAÇÕES!N885&lt;TODAY()),NEGOCIAÇÕES!C885,"")</f>
        <v/>
      </c>
      <c r="C885" s="6" t="str">
        <f ca="1">IF(AND(NEGOCIAÇÕES!O885="",NEGOCIAÇÕES!N885&lt;TODAY()),NEGOCIAÇÕES!E885,"")</f>
        <v/>
      </c>
      <c r="D885" s="6" t="str">
        <f ca="1">IF(AND(NEGOCIAÇÕES!O885="",NEGOCIAÇÕES!N885&lt;TODAY()),NEGOCIAÇÕES!D885,"")</f>
        <v/>
      </c>
      <c r="E885" s="9" t="str">
        <f ca="1">IF(AND(NEGOCIAÇÕES!O885="",NEGOCIAÇÕES!N885&lt;TODAY()),NEGOCIAÇÕES!N885,"")</f>
        <v/>
      </c>
      <c r="F885" s="6"/>
    </row>
    <row r="886" spans="2:6" ht="31.95" hidden="1" customHeight="1" x14ac:dyDescent="0.3">
      <c r="B886" s="6" t="str">
        <f ca="1">IF(AND(NEGOCIAÇÕES!O886="",NEGOCIAÇÕES!N886&lt;TODAY()),NEGOCIAÇÕES!C886,"")</f>
        <v/>
      </c>
      <c r="C886" s="6" t="str">
        <f ca="1">IF(AND(NEGOCIAÇÕES!O886="",NEGOCIAÇÕES!N886&lt;TODAY()),NEGOCIAÇÕES!E886,"")</f>
        <v/>
      </c>
      <c r="D886" s="6" t="str">
        <f ca="1">IF(AND(NEGOCIAÇÕES!O886="",NEGOCIAÇÕES!N886&lt;TODAY()),NEGOCIAÇÕES!D886,"")</f>
        <v/>
      </c>
      <c r="E886" s="9" t="str">
        <f ca="1">IF(AND(NEGOCIAÇÕES!O886="",NEGOCIAÇÕES!N886&lt;TODAY()),NEGOCIAÇÕES!N886,"")</f>
        <v/>
      </c>
      <c r="F886" s="6"/>
    </row>
    <row r="887" spans="2:6" ht="31.95" hidden="1" customHeight="1" x14ac:dyDescent="0.3">
      <c r="B887" s="6" t="str">
        <f ca="1">IF(AND(NEGOCIAÇÕES!O887="",NEGOCIAÇÕES!N887&lt;TODAY()),NEGOCIAÇÕES!C887,"")</f>
        <v/>
      </c>
      <c r="C887" s="6" t="str">
        <f ca="1">IF(AND(NEGOCIAÇÕES!O887="",NEGOCIAÇÕES!N887&lt;TODAY()),NEGOCIAÇÕES!E887,"")</f>
        <v/>
      </c>
      <c r="D887" s="6" t="str">
        <f ca="1">IF(AND(NEGOCIAÇÕES!O887="",NEGOCIAÇÕES!N887&lt;TODAY()),NEGOCIAÇÕES!D887,"")</f>
        <v/>
      </c>
      <c r="E887" s="9" t="str">
        <f ca="1">IF(AND(NEGOCIAÇÕES!O887="",NEGOCIAÇÕES!N887&lt;TODAY()),NEGOCIAÇÕES!N887,"")</f>
        <v/>
      </c>
      <c r="F887" s="6"/>
    </row>
    <row r="888" spans="2:6" ht="31.95" hidden="1" customHeight="1" x14ac:dyDescent="0.3">
      <c r="B888" s="6" t="str">
        <f ca="1">IF(AND(NEGOCIAÇÕES!O888="",NEGOCIAÇÕES!N888&lt;TODAY()),NEGOCIAÇÕES!C888,"")</f>
        <v/>
      </c>
      <c r="C888" s="6" t="str">
        <f ca="1">IF(AND(NEGOCIAÇÕES!O888="",NEGOCIAÇÕES!N888&lt;TODAY()),NEGOCIAÇÕES!E888,"")</f>
        <v/>
      </c>
      <c r="D888" s="6" t="str">
        <f ca="1">IF(AND(NEGOCIAÇÕES!O888="",NEGOCIAÇÕES!N888&lt;TODAY()),NEGOCIAÇÕES!D888,"")</f>
        <v/>
      </c>
      <c r="E888" s="9" t="str">
        <f ca="1">IF(AND(NEGOCIAÇÕES!O888="",NEGOCIAÇÕES!N888&lt;TODAY()),NEGOCIAÇÕES!N888,"")</f>
        <v/>
      </c>
      <c r="F888" s="6"/>
    </row>
    <row r="889" spans="2:6" ht="31.95" hidden="1" customHeight="1" x14ac:dyDescent="0.3">
      <c r="B889" s="6" t="str">
        <f ca="1">IF(AND(NEGOCIAÇÕES!O889="",NEGOCIAÇÕES!N889&lt;TODAY()),NEGOCIAÇÕES!C889,"")</f>
        <v/>
      </c>
      <c r="C889" s="6" t="str">
        <f ca="1">IF(AND(NEGOCIAÇÕES!O889="",NEGOCIAÇÕES!N889&lt;TODAY()),NEGOCIAÇÕES!E889,"")</f>
        <v/>
      </c>
      <c r="D889" s="6" t="str">
        <f ca="1">IF(AND(NEGOCIAÇÕES!O889="",NEGOCIAÇÕES!N889&lt;TODAY()),NEGOCIAÇÕES!D889,"")</f>
        <v/>
      </c>
      <c r="E889" s="9" t="str">
        <f ca="1">IF(AND(NEGOCIAÇÕES!O889="",NEGOCIAÇÕES!N889&lt;TODAY()),NEGOCIAÇÕES!N889,"")</f>
        <v/>
      </c>
      <c r="F889" s="6"/>
    </row>
    <row r="890" spans="2:6" ht="31.95" hidden="1" customHeight="1" x14ac:dyDescent="0.3">
      <c r="B890" s="6" t="str">
        <f ca="1">IF(AND(NEGOCIAÇÕES!O890="",NEGOCIAÇÕES!N890&lt;TODAY()),NEGOCIAÇÕES!C890,"")</f>
        <v/>
      </c>
      <c r="C890" s="6" t="str">
        <f ca="1">IF(AND(NEGOCIAÇÕES!O890="",NEGOCIAÇÕES!N890&lt;TODAY()),NEGOCIAÇÕES!E890,"")</f>
        <v/>
      </c>
      <c r="D890" s="6" t="str">
        <f ca="1">IF(AND(NEGOCIAÇÕES!O890="",NEGOCIAÇÕES!N890&lt;TODAY()),NEGOCIAÇÕES!D890,"")</f>
        <v/>
      </c>
      <c r="E890" s="9" t="str">
        <f ca="1">IF(AND(NEGOCIAÇÕES!O890="",NEGOCIAÇÕES!N890&lt;TODAY()),NEGOCIAÇÕES!N890,"")</f>
        <v/>
      </c>
      <c r="F890" s="6"/>
    </row>
    <row r="891" spans="2:6" ht="31.95" hidden="1" customHeight="1" x14ac:dyDescent="0.3">
      <c r="B891" s="6" t="str">
        <f ca="1">IF(AND(NEGOCIAÇÕES!O891="",NEGOCIAÇÕES!N891&lt;TODAY()),NEGOCIAÇÕES!C891,"")</f>
        <v/>
      </c>
      <c r="C891" s="6" t="str">
        <f ca="1">IF(AND(NEGOCIAÇÕES!O891="",NEGOCIAÇÕES!N891&lt;TODAY()),NEGOCIAÇÕES!E891,"")</f>
        <v/>
      </c>
      <c r="D891" s="6" t="str">
        <f ca="1">IF(AND(NEGOCIAÇÕES!O891="",NEGOCIAÇÕES!N891&lt;TODAY()),NEGOCIAÇÕES!D891,"")</f>
        <v/>
      </c>
      <c r="E891" s="9" t="str">
        <f ca="1">IF(AND(NEGOCIAÇÕES!O891="",NEGOCIAÇÕES!N891&lt;TODAY()),NEGOCIAÇÕES!N891,"")</f>
        <v/>
      </c>
      <c r="F891" s="6"/>
    </row>
    <row r="892" spans="2:6" ht="31.95" hidden="1" customHeight="1" x14ac:dyDescent="0.3">
      <c r="B892" s="6" t="str">
        <f ca="1">IF(AND(NEGOCIAÇÕES!O892="",NEGOCIAÇÕES!N892&lt;TODAY()),NEGOCIAÇÕES!C892,"")</f>
        <v/>
      </c>
      <c r="C892" s="6" t="str">
        <f ca="1">IF(AND(NEGOCIAÇÕES!O892="",NEGOCIAÇÕES!N892&lt;TODAY()),NEGOCIAÇÕES!E892,"")</f>
        <v/>
      </c>
      <c r="D892" s="6" t="str">
        <f ca="1">IF(AND(NEGOCIAÇÕES!O892="",NEGOCIAÇÕES!N892&lt;TODAY()),NEGOCIAÇÕES!D892,"")</f>
        <v/>
      </c>
      <c r="E892" s="9" t="str">
        <f ca="1">IF(AND(NEGOCIAÇÕES!O892="",NEGOCIAÇÕES!N892&lt;TODAY()),NEGOCIAÇÕES!N892,"")</f>
        <v/>
      </c>
      <c r="F892" s="6"/>
    </row>
    <row r="893" spans="2:6" ht="31.95" hidden="1" customHeight="1" x14ac:dyDescent="0.3">
      <c r="B893" s="6" t="str">
        <f ca="1">IF(AND(NEGOCIAÇÕES!O893="",NEGOCIAÇÕES!N893&lt;TODAY()),NEGOCIAÇÕES!C893,"")</f>
        <v/>
      </c>
      <c r="C893" s="6" t="str">
        <f ca="1">IF(AND(NEGOCIAÇÕES!O893="",NEGOCIAÇÕES!N893&lt;TODAY()),NEGOCIAÇÕES!E893,"")</f>
        <v/>
      </c>
      <c r="D893" s="6" t="str">
        <f ca="1">IF(AND(NEGOCIAÇÕES!O893="",NEGOCIAÇÕES!N893&lt;TODAY()),NEGOCIAÇÕES!D893,"")</f>
        <v/>
      </c>
      <c r="E893" s="9" t="str">
        <f ca="1">IF(AND(NEGOCIAÇÕES!O893="",NEGOCIAÇÕES!N893&lt;TODAY()),NEGOCIAÇÕES!N893,"")</f>
        <v/>
      </c>
      <c r="F893" s="6"/>
    </row>
    <row r="894" spans="2:6" ht="31.95" hidden="1" customHeight="1" x14ac:dyDescent="0.3">
      <c r="B894" s="6" t="str">
        <f ca="1">IF(AND(NEGOCIAÇÕES!O894="",NEGOCIAÇÕES!N894&lt;TODAY()),NEGOCIAÇÕES!C894,"")</f>
        <v/>
      </c>
      <c r="C894" s="6" t="str">
        <f ca="1">IF(AND(NEGOCIAÇÕES!O894="",NEGOCIAÇÕES!N894&lt;TODAY()),NEGOCIAÇÕES!E894,"")</f>
        <v/>
      </c>
      <c r="D894" s="6" t="str">
        <f ca="1">IF(AND(NEGOCIAÇÕES!O894="",NEGOCIAÇÕES!N894&lt;TODAY()),NEGOCIAÇÕES!D894,"")</f>
        <v/>
      </c>
      <c r="E894" s="9" t="str">
        <f ca="1">IF(AND(NEGOCIAÇÕES!O894="",NEGOCIAÇÕES!N894&lt;TODAY()),NEGOCIAÇÕES!N894,"")</f>
        <v/>
      </c>
      <c r="F894" s="6"/>
    </row>
    <row r="895" spans="2:6" ht="31.95" hidden="1" customHeight="1" x14ac:dyDescent="0.3">
      <c r="B895" s="6" t="str">
        <f ca="1">IF(AND(NEGOCIAÇÕES!O895="",NEGOCIAÇÕES!N895&lt;TODAY()),NEGOCIAÇÕES!C895,"")</f>
        <v/>
      </c>
      <c r="C895" s="6" t="str">
        <f ca="1">IF(AND(NEGOCIAÇÕES!O895="",NEGOCIAÇÕES!N895&lt;TODAY()),NEGOCIAÇÕES!E895,"")</f>
        <v/>
      </c>
      <c r="D895" s="6" t="str">
        <f ca="1">IF(AND(NEGOCIAÇÕES!O895="",NEGOCIAÇÕES!N895&lt;TODAY()),NEGOCIAÇÕES!D895,"")</f>
        <v/>
      </c>
      <c r="E895" s="9" t="str">
        <f ca="1">IF(AND(NEGOCIAÇÕES!O895="",NEGOCIAÇÕES!N895&lt;TODAY()),NEGOCIAÇÕES!N895,"")</f>
        <v/>
      </c>
      <c r="F895" s="6"/>
    </row>
    <row r="896" spans="2:6" ht="31.95" hidden="1" customHeight="1" x14ac:dyDescent="0.3">
      <c r="B896" s="6" t="str">
        <f ca="1">IF(AND(NEGOCIAÇÕES!O896="",NEGOCIAÇÕES!N896&lt;TODAY()),NEGOCIAÇÕES!C896,"")</f>
        <v/>
      </c>
      <c r="C896" s="6" t="str">
        <f ca="1">IF(AND(NEGOCIAÇÕES!O896="",NEGOCIAÇÕES!N896&lt;TODAY()),NEGOCIAÇÕES!E896,"")</f>
        <v/>
      </c>
      <c r="D896" s="6" t="str">
        <f ca="1">IF(AND(NEGOCIAÇÕES!O896="",NEGOCIAÇÕES!N896&lt;TODAY()),NEGOCIAÇÕES!D896,"")</f>
        <v/>
      </c>
      <c r="E896" s="9" t="str">
        <f ca="1">IF(AND(NEGOCIAÇÕES!O896="",NEGOCIAÇÕES!N896&lt;TODAY()),NEGOCIAÇÕES!N896,"")</f>
        <v/>
      </c>
      <c r="F896" s="6"/>
    </row>
    <row r="897" spans="2:6" ht="31.95" hidden="1" customHeight="1" x14ac:dyDescent="0.3">
      <c r="B897" s="6" t="str">
        <f ca="1">IF(AND(NEGOCIAÇÕES!O897="",NEGOCIAÇÕES!N897&lt;TODAY()),NEGOCIAÇÕES!C897,"")</f>
        <v/>
      </c>
      <c r="C897" s="6" t="str">
        <f ca="1">IF(AND(NEGOCIAÇÕES!O897="",NEGOCIAÇÕES!N897&lt;TODAY()),NEGOCIAÇÕES!E897,"")</f>
        <v/>
      </c>
      <c r="D897" s="6" t="str">
        <f ca="1">IF(AND(NEGOCIAÇÕES!O897="",NEGOCIAÇÕES!N897&lt;TODAY()),NEGOCIAÇÕES!D897,"")</f>
        <v/>
      </c>
      <c r="E897" s="9" t="str">
        <f ca="1">IF(AND(NEGOCIAÇÕES!O897="",NEGOCIAÇÕES!N897&lt;TODAY()),NEGOCIAÇÕES!N897,"")</f>
        <v/>
      </c>
      <c r="F897" s="6"/>
    </row>
    <row r="898" spans="2:6" ht="31.95" hidden="1" customHeight="1" x14ac:dyDescent="0.3">
      <c r="B898" s="6" t="str">
        <f ca="1">IF(AND(NEGOCIAÇÕES!O898="",NEGOCIAÇÕES!N898&lt;TODAY()),NEGOCIAÇÕES!C898,"")</f>
        <v/>
      </c>
      <c r="C898" s="6" t="str">
        <f ca="1">IF(AND(NEGOCIAÇÕES!O898="",NEGOCIAÇÕES!N898&lt;TODAY()),NEGOCIAÇÕES!E898,"")</f>
        <v/>
      </c>
      <c r="D898" s="6" t="str">
        <f ca="1">IF(AND(NEGOCIAÇÕES!O898="",NEGOCIAÇÕES!N898&lt;TODAY()),NEGOCIAÇÕES!D898,"")</f>
        <v/>
      </c>
      <c r="E898" s="9" t="str">
        <f ca="1">IF(AND(NEGOCIAÇÕES!O898="",NEGOCIAÇÕES!N898&lt;TODAY()),NEGOCIAÇÕES!N898,"")</f>
        <v/>
      </c>
      <c r="F898" s="6"/>
    </row>
    <row r="899" spans="2:6" ht="31.95" hidden="1" customHeight="1" x14ac:dyDescent="0.3">
      <c r="B899" s="6" t="str">
        <f ca="1">IF(AND(NEGOCIAÇÕES!O899="",NEGOCIAÇÕES!N899&lt;TODAY()),NEGOCIAÇÕES!C899,"")</f>
        <v/>
      </c>
      <c r="C899" s="6" t="str">
        <f ca="1">IF(AND(NEGOCIAÇÕES!O899="",NEGOCIAÇÕES!N899&lt;TODAY()),NEGOCIAÇÕES!E899,"")</f>
        <v/>
      </c>
      <c r="D899" s="6" t="str">
        <f ca="1">IF(AND(NEGOCIAÇÕES!O899="",NEGOCIAÇÕES!N899&lt;TODAY()),NEGOCIAÇÕES!D899,"")</f>
        <v/>
      </c>
      <c r="E899" s="9" t="str">
        <f ca="1">IF(AND(NEGOCIAÇÕES!O899="",NEGOCIAÇÕES!N899&lt;TODAY()),NEGOCIAÇÕES!N899,"")</f>
        <v/>
      </c>
      <c r="F899" s="6"/>
    </row>
    <row r="900" spans="2:6" ht="31.95" hidden="1" customHeight="1" x14ac:dyDescent="0.3">
      <c r="B900" s="6" t="str">
        <f ca="1">IF(AND(NEGOCIAÇÕES!O900="",NEGOCIAÇÕES!N900&lt;TODAY()),NEGOCIAÇÕES!C900,"")</f>
        <v/>
      </c>
      <c r="C900" s="6" t="str">
        <f ca="1">IF(AND(NEGOCIAÇÕES!O900="",NEGOCIAÇÕES!N900&lt;TODAY()),NEGOCIAÇÕES!E900,"")</f>
        <v/>
      </c>
      <c r="D900" s="6" t="str">
        <f ca="1">IF(AND(NEGOCIAÇÕES!O900="",NEGOCIAÇÕES!N900&lt;TODAY()),NEGOCIAÇÕES!D900,"")</f>
        <v/>
      </c>
      <c r="E900" s="9" t="str">
        <f ca="1">IF(AND(NEGOCIAÇÕES!O900="",NEGOCIAÇÕES!N900&lt;TODAY()),NEGOCIAÇÕES!N900,"")</f>
        <v/>
      </c>
      <c r="F900" s="6"/>
    </row>
    <row r="901" spans="2:6" ht="31.95" hidden="1" customHeight="1" x14ac:dyDescent="0.3">
      <c r="B901" s="6" t="str">
        <f ca="1">IF(AND(NEGOCIAÇÕES!O901="",NEGOCIAÇÕES!N901&lt;TODAY()),NEGOCIAÇÕES!C901,"")</f>
        <v/>
      </c>
      <c r="C901" s="6" t="str">
        <f ca="1">IF(AND(NEGOCIAÇÕES!O901="",NEGOCIAÇÕES!N901&lt;TODAY()),NEGOCIAÇÕES!E901,"")</f>
        <v/>
      </c>
      <c r="D901" s="6" t="str">
        <f ca="1">IF(AND(NEGOCIAÇÕES!O901="",NEGOCIAÇÕES!N901&lt;TODAY()),NEGOCIAÇÕES!D901,"")</f>
        <v/>
      </c>
      <c r="E901" s="9" t="str">
        <f ca="1">IF(AND(NEGOCIAÇÕES!O901="",NEGOCIAÇÕES!N901&lt;TODAY()),NEGOCIAÇÕES!N901,"")</f>
        <v/>
      </c>
      <c r="F901" s="6"/>
    </row>
    <row r="902" spans="2:6" ht="31.95" hidden="1" customHeight="1" x14ac:dyDescent="0.3">
      <c r="B902" s="6" t="str">
        <f ca="1">IF(AND(NEGOCIAÇÕES!O902="",NEGOCIAÇÕES!N902&lt;TODAY()),NEGOCIAÇÕES!C902,"")</f>
        <v/>
      </c>
      <c r="C902" s="6" t="str">
        <f ca="1">IF(AND(NEGOCIAÇÕES!O902="",NEGOCIAÇÕES!N902&lt;TODAY()),NEGOCIAÇÕES!E902,"")</f>
        <v/>
      </c>
      <c r="D902" s="6" t="str">
        <f ca="1">IF(AND(NEGOCIAÇÕES!O902="",NEGOCIAÇÕES!N902&lt;TODAY()),NEGOCIAÇÕES!D902,"")</f>
        <v/>
      </c>
      <c r="E902" s="9" t="str">
        <f ca="1">IF(AND(NEGOCIAÇÕES!O902="",NEGOCIAÇÕES!N902&lt;TODAY()),NEGOCIAÇÕES!N902,"")</f>
        <v/>
      </c>
      <c r="F902" s="6"/>
    </row>
    <row r="903" spans="2:6" ht="31.95" hidden="1" customHeight="1" x14ac:dyDescent="0.3">
      <c r="B903" s="6" t="str">
        <f ca="1">IF(AND(NEGOCIAÇÕES!O903="",NEGOCIAÇÕES!N903&lt;TODAY()),NEGOCIAÇÕES!C903,"")</f>
        <v/>
      </c>
      <c r="C903" s="6" t="str">
        <f ca="1">IF(AND(NEGOCIAÇÕES!O903="",NEGOCIAÇÕES!N903&lt;TODAY()),NEGOCIAÇÕES!E903,"")</f>
        <v/>
      </c>
      <c r="D903" s="6" t="str">
        <f ca="1">IF(AND(NEGOCIAÇÕES!O903="",NEGOCIAÇÕES!N903&lt;TODAY()),NEGOCIAÇÕES!D903,"")</f>
        <v/>
      </c>
      <c r="E903" s="9" t="str">
        <f ca="1">IF(AND(NEGOCIAÇÕES!O903="",NEGOCIAÇÕES!N903&lt;TODAY()),NEGOCIAÇÕES!N903,"")</f>
        <v/>
      </c>
      <c r="F903" s="6"/>
    </row>
    <row r="904" spans="2:6" ht="31.95" hidden="1" customHeight="1" x14ac:dyDescent="0.3">
      <c r="B904" s="6" t="str">
        <f ca="1">IF(AND(NEGOCIAÇÕES!O904="",NEGOCIAÇÕES!N904&lt;TODAY()),NEGOCIAÇÕES!C904,"")</f>
        <v/>
      </c>
      <c r="C904" s="6" t="str">
        <f ca="1">IF(AND(NEGOCIAÇÕES!O904="",NEGOCIAÇÕES!N904&lt;TODAY()),NEGOCIAÇÕES!E904,"")</f>
        <v/>
      </c>
      <c r="D904" s="6" t="str">
        <f ca="1">IF(AND(NEGOCIAÇÕES!O904="",NEGOCIAÇÕES!N904&lt;TODAY()),NEGOCIAÇÕES!D904,"")</f>
        <v/>
      </c>
      <c r="E904" s="9" t="str">
        <f ca="1">IF(AND(NEGOCIAÇÕES!O904="",NEGOCIAÇÕES!N904&lt;TODAY()),NEGOCIAÇÕES!N904,"")</f>
        <v/>
      </c>
      <c r="F904" s="6"/>
    </row>
    <row r="905" spans="2:6" ht="31.95" hidden="1" customHeight="1" x14ac:dyDescent="0.3">
      <c r="B905" s="6" t="str">
        <f ca="1">IF(AND(NEGOCIAÇÕES!O905="",NEGOCIAÇÕES!N905&lt;TODAY()),NEGOCIAÇÕES!C905,"")</f>
        <v/>
      </c>
      <c r="C905" s="6" t="str">
        <f ca="1">IF(AND(NEGOCIAÇÕES!O905="",NEGOCIAÇÕES!N905&lt;TODAY()),NEGOCIAÇÕES!E905,"")</f>
        <v/>
      </c>
      <c r="D905" s="6" t="str">
        <f ca="1">IF(AND(NEGOCIAÇÕES!O905="",NEGOCIAÇÕES!N905&lt;TODAY()),NEGOCIAÇÕES!D905,"")</f>
        <v/>
      </c>
      <c r="E905" s="9" t="str">
        <f ca="1">IF(AND(NEGOCIAÇÕES!O905="",NEGOCIAÇÕES!N905&lt;TODAY()),NEGOCIAÇÕES!N905,"")</f>
        <v/>
      </c>
      <c r="F905" s="6"/>
    </row>
    <row r="906" spans="2:6" ht="31.95" hidden="1" customHeight="1" x14ac:dyDescent="0.3">
      <c r="B906" s="6" t="str">
        <f ca="1">IF(AND(NEGOCIAÇÕES!O906="",NEGOCIAÇÕES!N906&lt;TODAY()),NEGOCIAÇÕES!C906,"")</f>
        <v/>
      </c>
      <c r="C906" s="6" t="str">
        <f ca="1">IF(AND(NEGOCIAÇÕES!O906="",NEGOCIAÇÕES!N906&lt;TODAY()),NEGOCIAÇÕES!E906,"")</f>
        <v/>
      </c>
      <c r="D906" s="6" t="str">
        <f ca="1">IF(AND(NEGOCIAÇÕES!O906="",NEGOCIAÇÕES!N906&lt;TODAY()),NEGOCIAÇÕES!D906,"")</f>
        <v/>
      </c>
      <c r="E906" s="9" t="str">
        <f ca="1">IF(AND(NEGOCIAÇÕES!O906="",NEGOCIAÇÕES!N906&lt;TODAY()),NEGOCIAÇÕES!N906,"")</f>
        <v/>
      </c>
      <c r="F906" s="6"/>
    </row>
    <row r="907" spans="2:6" ht="31.95" hidden="1" customHeight="1" x14ac:dyDescent="0.3">
      <c r="B907" s="6" t="str">
        <f ca="1">IF(AND(NEGOCIAÇÕES!O907="",NEGOCIAÇÕES!N907&lt;TODAY()),NEGOCIAÇÕES!C907,"")</f>
        <v/>
      </c>
      <c r="C907" s="6" t="str">
        <f ca="1">IF(AND(NEGOCIAÇÕES!O907="",NEGOCIAÇÕES!N907&lt;TODAY()),NEGOCIAÇÕES!E907,"")</f>
        <v/>
      </c>
      <c r="D907" s="6" t="str">
        <f ca="1">IF(AND(NEGOCIAÇÕES!O907="",NEGOCIAÇÕES!N907&lt;TODAY()),NEGOCIAÇÕES!D907,"")</f>
        <v/>
      </c>
      <c r="E907" s="9" t="str">
        <f ca="1">IF(AND(NEGOCIAÇÕES!O907="",NEGOCIAÇÕES!N907&lt;TODAY()),NEGOCIAÇÕES!N907,"")</f>
        <v/>
      </c>
      <c r="F907" s="6"/>
    </row>
    <row r="908" spans="2:6" ht="31.95" hidden="1" customHeight="1" x14ac:dyDescent="0.3">
      <c r="B908" s="6" t="str">
        <f ca="1">IF(AND(NEGOCIAÇÕES!O908="",NEGOCIAÇÕES!N908&lt;TODAY()),NEGOCIAÇÕES!C908,"")</f>
        <v/>
      </c>
      <c r="C908" s="6" t="str">
        <f ca="1">IF(AND(NEGOCIAÇÕES!O908="",NEGOCIAÇÕES!N908&lt;TODAY()),NEGOCIAÇÕES!E908,"")</f>
        <v/>
      </c>
      <c r="D908" s="6" t="str">
        <f ca="1">IF(AND(NEGOCIAÇÕES!O908="",NEGOCIAÇÕES!N908&lt;TODAY()),NEGOCIAÇÕES!D908,"")</f>
        <v/>
      </c>
      <c r="E908" s="9" t="str">
        <f ca="1">IF(AND(NEGOCIAÇÕES!O908="",NEGOCIAÇÕES!N908&lt;TODAY()),NEGOCIAÇÕES!N908,"")</f>
        <v/>
      </c>
      <c r="F908" s="6"/>
    </row>
    <row r="909" spans="2:6" ht="31.95" hidden="1" customHeight="1" x14ac:dyDescent="0.3">
      <c r="B909" s="6" t="str">
        <f ca="1">IF(AND(NEGOCIAÇÕES!O909="",NEGOCIAÇÕES!N909&lt;TODAY()),NEGOCIAÇÕES!C909,"")</f>
        <v/>
      </c>
      <c r="C909" s="6" t="str">
        <f ca="1">IF(AND(NEGOCIAÇÕES!O909="",NEGOCIAÇÕES!N909&lt;TODAY()),NEGOCIAÇÕES!E909,"")</f>
        <v/>
      </c>
      <c r="D909" s="6" t="str">
        <f ca="1">IF(AND(NEGOCIAÇÕES!O909="",NEGOCIAÇÕES!N909&lt;TODAY()),NEGOCIAÇÕES!D909,"")</f>
        <v/>
      </c>
      <c r="E909" s="9" t="str">
        <f ca="1">IF(AND(NEGOCIAÇÕES!O909="",NEGOCIAÇÕES!N909&lt;TODAY()),NEGOCIAÇÕES!N909,"")</f>
        <v/>
      </c>
      <c r="F909" s="6"/>
    </row>
    <row r="910" spans="2:6" ht="31.95" hidden="1" customHeight="1" x14ac:dyDescent="0.3">
      <c r="B910" s="6" t="str">
        <f ca="1">IF(AND(NEGOCIAÇÕES!O910="",NEGOCIAÇÕES!N910&lt;TODAY()),NEGOCIAÇÕES!C910,"")</f>
        <v/>
      </c>
      <c r="C910" s="6" t="str">
        <f ca="1">IF(AND(NEGOCIAÇÕES!O910="",NEGOCIAÇÕES!N910&lt;TODAY()),NEGOCIAÇÕES!E910,"")</f>
        <v/>
      </c>
      <c r="D910" s="6" t="str">
        <f ca="1">IF(AND(NEGOCIAÇÕES!O910="",NEGOCIAÇÕES!N910&lt;TODAY()),NEGOCIAÇÕES!D910,"")</f>
        <v/>
      </c>
      <c r="E910" s="9" t="str">
        <f ca="1">IF(AND(NEGOCIAÇÕES!O910="",NEGOCIAÇÕES!N910&lt;TODAY()),NEGOCIAÇÕES!N910,"")</f>
        <v/>
      </c>
      <c r="F910" s="6"/>
    </row>
    <row r="911" spans="2:6" ht="31.95" hidden="1" customHeight="1" x14ac:dyDescent="0.3">
      <c r="B911" s="6" t="str">
        <f ca="1">IF(AND(NEGOCIAÇÕES!O911="",NEGOCIAÇÕES!N911&lt;TODAY()),NEGOCIAÇÕES!C911,"")</f>
        <v/>
      </c>
      <c r="C911" s="6" t="str">
        <f ca="1">IF(AND(NEGOCIAÇÕES!O911="",NEGOCIAÇÕES!N911&lt;TODAY()),NEGOCIAÇÕES!E911,"")</f>
        <v/>
      </c>
      <c r="D911" s="6" t="str">
        <f ca="1">IF(AND(NEGOCIAÇÕES!O911="",NEGOCIAÇÕES!N911&lt;TODAY()),NEGOCIAÇÕES!D911,"")</f>
        <v/>
      </c>
      <c r="E911" s="9" t="str">
        <f ca="1">IF(AND(NEGOCIAÇÕES!O911="",NEGOCIAÇÕES!N911&lt;TODAY()),NEGOCIAÇÕES!N911,"")</f>
        <v/>
      </c>
      <c r="F911" s="6"/>
    </row>
    <row r="912" spans="2:6" ht="31.95" hidden="1" customHeight="1" x14ac:dyDescent="0.3">
      <c r="B912" s="6" t="str">
        <f ca="1">IF(AND(NEGOCIAÇÕES!O912="",NEGOCIAÇÕES!N912&lt;TODAY()),NEGOCIAÇÕES!C912,"")</f>
        <v/>
      </c>
      <c r="C912" s="6" t="str">
        <f ca="1">IF(AND(NEGOCIAÇÕES!O912="",NEGOCIAÇÕES!N912&lt;TODAY()),NEGOCIAÇÕES!E912,"")</f>
        <v/>
      </c>
      <c r="D912" s="6" t="str">
        <f ca="1">IF(AND(NEGOCIAÇÕES!O912="",NEGOCIAÇÕES!N912&lt;TODAY()),NEGOCIAÇÕES!D912,"")</f>
        <v/>
      </c>
      <c r="E912" s="9" t="str">
        <f ca="1">IF(AND(NEGOCIAÇÕES!O912="",NEGOCIAÇÕES!N912&lt;TODAY()),NEGOCIAÇÕES!N912,"")</f>
        <v/>
      </c>
      <c r="F912" s="6"/>
    </row>
    <row r="913" spans="2:6" ht="31.95" hidden="1" customHeight="1" x14ac:dyDescent="0.3">
      <c r="B913" s="6" t="str">
        <f ca="1">IF(AND(NEGOCIAÇÕES!O913="",NEGOCIAÇÕES!N913&lt;TODAY()),NEGOCIAÇÕES!C913,"")</f>
        <v/>
      </c>
      <c r="C913" s="6" t="str">
        <f ca="1">IF(AND(NEGOCIAÇÕES!O913="",NEGOCIAÇÕES!N913&lt;TODAY()),NEGOCIAÇÕES!E913,"")</f>
        <v/>
      </c>
      <c r="D913" s="6" t="str">
        <f ca="1">IF(AND(NEGOCIAÇÕES!O913="",NEGOCIAÇÕES!N913&lt;TODAY()),NEGOCIAÇÕES!D913,"")</f>
        <v/>
      </c>
      <c r="E913" s="9" t="str">
        <f ca="1">IF(AND(NEGOCIAÇÕES!O913="",NEGOCIAÇÕES!N913&lt;TODAY()),NEGOCIAÇÕES!N913,"")</f>
        <v/>
      </c>
      <c r="F913" s="6"/>
    </row>
    <row r="914" spans="2:6" ht="31.95" hidden="1" customHeight="1" x14ac:dyDescent="0.3">
      <c r="B914" s="6" t="str">
        <f ca="1">IF(AND(NEGOCIAÇÕES!O914="",NEGOCIAÇÕES!N914&lt;TODAY()),NEGOCIAÇÕES!C914,"")</f>
        <v/>
      </c>
      <c r="C914" s="6" t="str">
        <f ca="1">IF(AND(NEGOCIAÇÕES!O914="",NEGOCIAÇÕES!N914&lt;TODAY()),NEGOCIAÇÕES!E914,"")</f>
        <v/>
      </c>
      <c r="D914" s="6" t="str">
        <f ca="1">IF(AND(NEGOCIAÇÕES!O914="",NEGOCIAÇÕES!N914&lt;TODAY()),NEGOCIAÇÕES!D914,"")</f>
        <v/>
      </c>
      <c r="E914" s="9" t="str">
        <f ca="1">IF(AND(NEGOCIAÇÕES!O914="",NEGOCIAÇÕES!N914&lt;TODAY()),NEGOCIAÇÕES!N914,"")</f>
        <v/>
      </c>
      <c r="F914" s="6"/>
    </row>
    <row r="915" spans="2:6" ht="31.95" hidden="1" customHeight="1" x14ac:dyDescent="0.3">
      <c r="B915" s="6" t="str">
        <f ca="1">IF(AND(NEGOCIAÇÕES!O915="",NEGOCIAÇÕES!N915&lt;TODAY()),NEGOCIAÇÕES!C915,"")</f>
        <v/>
      </c>
      <c r="C915" s="6" t="str">
        <f ca="1">IF(AND(NEGOCIAÇÕES!O915="",NEGOCIAÇÕES!N915&lt;TODAY()),NEGOCIAÇÕES!E915,"")</f>
        <v/>
      </c>
      <c r="D915" s="6" t="str">
        <f ca="1">IF(AND(NEGOCIAÇÕES!O915="",NEGOCIAÇÕES!N915&lt;TODAY()),NEGOCIAÇÕES!D915,"")</f>
        <v/>
      </c>
      <c r="E915" s="9" t="str">
        <f ca="1">IF(AND(NEGOCIAÇÕES!O915="",NEGOCIAÇÕES!N915&lt;TODAY()),NEGOCIAÇÕES!N915,"")</f>
        <v/>
      </c>
      <c r="F915" s="6"/>
    </row>
    <row r="916" spans="2:6" ht="31.95" hidden="1" customHeight="1" x14ac:dyDescent="0.3">
      <c r="B916" s="6" t="str">
        <f ca="1">IF(AND(NEGOCIAÇÕES!O916="",NEGOCIAÇÕES!N916&lt;TODAY()),NEGOCIAÇÕES!C916,"")</f>
        <v/>
      </c>
      <c r="C916" s="6" t="str">
        <f ca="1">IF(AND(NEGOCIAÇÕES!O916="",NEGOCIAÇÕES!N916&lt;TODAY()),NEGOCIAÇÕES!E916,"")</f>
        <v/>
      </c>
      <c r="D916" s="6" t="str">
        <f ca="1">IF(AND(NEGOCIAÇÕES!O916="",NEGOCIAÇÕES!N916&lt;TODAY()),NEGOCIAÇÕES!D916,"")</f>
        <v/>
      </c>
      <c r="E916" s="9" t="str">
        <f ca="1">IF(AND(NEGOCIAÇÕES!O916="",NEGOCIAÇÕES!N916&lt;TODAY()),NEGOCIAÇÕES!N916,"")</f>
        <v/>
      </c>
      <c r="F916" s="6"/>
    </row>
    <row r="917" spans="2:6" ht="31.95" hidden="1" customHeight="1" x14ac:dyDescent="0.3">
      <c r="B917" s="6" t="str">
        <f ca="1">IF(AND(NEGOCIAÇÕES!O917="",NEGOCIAÇÕES!N917&lt;TODAY()),NEGOCIAÇÕES!C917,"")</f>
        <v/>
      </c>
      <c r="C917" s="6" t="str">
        <f ca="1">IF(AND(NEGOCIAÇÕES!O917="",NEGOCIAÇÕES!N917&lt;TODAY()),NEGOCIAÇÕES!E917,"")</f>
        <v/>
      </c>
      <c r="D917" s="6" t="str">
        <f ca="1">IF(AND(NEGOCIAÇÕES!O917="",NEGOCIAÇÕES!N917&lt;TODAY()),NEGOCIAÇÕES!D917,"")</f>
        <v/>
      </c>
      <c r="E917" s="9" t="str">
        <f ca="1">IF(AND(NEGOCIAÇÕES!O917="",NEGOCIAÇÕES!N917&lt;TODAY()),NEGOCIAÇÕES!N917,"")</f>
        <v/>
      </c>
      <c r="F917" s="6"/>
    </row>
    <row r="918" spans="2:6" ht="31.95" hidden="1" customHeight="1" x14ac:dyDescent="0.3">
      <c r="B918" s="6" t="str">
        <f ca="1">IF(AND(NEGOCIAÇÕES!O918="",NEGOCIAÇÕES!N918&lt;TODAY()),NEGOCIAÇÕES!C918,"")</f>
        <v/>
      </c>
      <c r="C918" s="6" t="str">
        <f ca="1">IF(AND(NEGOCIAÇÕES!O918="",NEGOCIAÇÕES!N918&lt;TODAY()),NEGOCIAÇÕES!E918,"")</f>
        <v/>
      </c>
      <c r="D918" s="6" t="str">
        <f ca="1">IF(AND(NEGOCIAÇÕES!O918="",NEGOCIAÇÕES!N918&lt;TODAY()),NEGOCIAÇÕES!D918,"")</f>
        <v/>
      </c>
      <c r="E918" s="9" t="str">
        <f ca="1">IF(AND(NEGOCIAÇÕES!O918="",NEGOCIAÇÕES!N918&lt;TODAY()),NEGOCIAÇÕES!N918,"")</f>
        <v/>
      </c>
      <c r="F918" s="6"/>
    </row>
    <row r="919" spans="2:6" ht="31.95" hidden="1" customHeight="1" x14ac:dyDescent="0.3">
      <c r="B919" s="6" t="str">
        <f ca="1">IF(AND(NEGOCIAÇÕES!O919="",NEGOCIAÇÕES!N919&lt;TODAY()),NEGOCIAÇÕES!C919,"")</f>
        <v/>
      </c>
      <c r="C919" s="6" t="str">
        <f ca="1">IF(AND(NEGOCIAÇÕES!O919="",NEGOCIAÇÕES!N919&lt;TODAY()),NEGOCIAÇÕES!E919,"")</f>
        <v/>
      </c>
      <c r="D919" s="6" t="str">
        <f ca="1">IF(AND(NEGOCIAÇÕES!O919="",NEGOCIAÇÕES!N919&lt;TODAY()),NEGOCIAÇÕES!D919,"")</f>
        <v/>
      </c>
      <c r="E919" s="9" t="str">
        <f ca="1">IF(AND(NEGOCIAÇÕES!O919="",NEGOCIAÇÕES!N919&lt;TODAY()),NEGOCIAÇÕES!N919,"")</f>
        <v/>
      </c>
      <c r="F919" s="6"/>
    </row>
    <row r="920" spans="2:6" ht="31.95" hidden="1" customHeight="1" x14ac:dyDescent="0.3">
      <c r="B920" s="6" t="str">
        <f ca="1">IF(AND(NEGOCIAÇÕES!O920="",NEGOCIAÇÕES!N920&lt;TODAY()),NEGOCIAÇÕES!C920,"")</f>
        <v/>
      </c>
      <c r="C920" s="6" t="str">
        <f ca="1">IF(AND(NEGOCIAÇÕES!O920="",NEGOCIAÇÕES!N920&lt;TODAY()),NEGOCIAÇÕES!E920,"")</f>
        <v/>
      </c>
      <c r="D920" s="6" t="str">
        <f ca="1">IF(AND(NEGOCIAÇÕES!O920="",NEGOCIAÇÕES!N920&lt;TODAY()),NEGOCIAÇÕES!D920,"")</f>
        <v/>
      </c>
      <c r="E920" s="9" t="str">
        <f ca="1">IF(AND(NEGOCIAÇÕES!O920="",NEGOCIAÇÕES!N920&lt;TODAY()),NEGOCIAÇÕES!N920,"")</f>
        <v/>
      </c>
      <c r="F920" s="6"/>
    </row>
    <row r="921" spans="2:6" ht="31.95" hidden="1" customHeight="1" x14ac:dyDescent="0.3">
      <c r="B921" s="6" t="str">
        <f ca="1">IF(AND(NEGOCIAÇÕES!O921="",NEGOCIAÇÕES!N921&lt;TODAY()),NEGOCIAÇÕES!C921,"")</f>
        <v/>
      </c>
      <c r="C921" s="6" t="str">
        <f ca="1">IF(AND(NEGOCIAÇÕES!O921="",NEGOCIAÇÕES!N921&lt;TODAY()),NEGOCIAÇÕES!E921,"")</f>
        <v/>
      </c>
      <c r="D921" s="6" t="str">
        <f ca="1">IF(AND(NEGOCIAÇÕES!O921="",NEGOCIAÇÕES!N921&lt;TODAY()),NEGOCIAÇÕES!D921,"")</f>
        <v/>
      </c>
      <c r="E921" s="9" t="str">
        <f ca="1">IF(AND(NEGOCIAÇÕES!O921="",NEGOCIAÇÕES!N921&lt;TODAY()),NEGOCIAÇÕES!N921,"")</f>
        <v/>
      </c>
      <c r="F921" s="6"/>
    </row>
    <row r="922" spans="2:6" ht="31.95" hidden="1" customHeight="1" x14ac:dyDescent="0.3">
      <c r="B922" s="6" t="str">
        <f ca="1">IF(AND(NEGOCIAÇÕES!O922="",NEGOCIAÇÕES!N922&lt;TODAY()),NEGOCIAÇÕES!C922,"")</f>
        <v/>
      </c>
      <c r="C922" s="6" t="str">
        <f ca="1">IF(AND(NEGOCIAÇÕES!O922="",NEGOCIAÇÕES!N922&lt;TODAY()),NEGOCIAÇÕES!E922,"")</f>
        <v/>
      </c>
      <c r="D922" s="6" t="str">
        <f ca="1">IF(AND(NEGOCIAÇÕES!O922="",NEGOCIAÇÕES!N922&lt;TODAY()),NEGOCIAÇÕES!D922,"")</f>
        <v/>
      </c>
      <c r="E922" s="9" t="str">
        <f ca="1">IF(AND(NEGOCIAÇÕES!O922="",NEGOCIAÇÕES!N922&lt;TODAY()),NEGOCIAÇÕES!N922,"")</f>
        <v/>
      </c>
      <c r="F922" s="6"/>
    </row>
    <row r="923" spans="2:6" ht="31.95" hidden="1" customHeight="1" x14ac:dyDescent="0.3">
      <c r="B923" s="6" t="str">
        <f ca="1">IF(AND(NEGOCIAÇÕES!O923="",NEGOCIAÇÕES!N923&lt;TODAY()),NEGOCIAÇÕES!C923,"")</f>
        <v/>
      </c>
      <c r="C923" s="6" t="str">
        <f ca="1">IF(AND(NEGOCIAÇÕES!O923="",NEGOCIAÇÕES!N923&lt;TODAY()),NEGOCIAÇÕES!E923,"")</f>
        <v/>
      </c>
      <c r="D923" s="6" t="str">
        <f ca="1">IF(AND(NEGOCIAÇÕES!O923="",NEGOCIAÇÕES!N923&lt;TODAY()),NEGOCIAÇÕES!D923,"")</f>
        <v/>
      </c>
      <c r="E923" s="9" t="str">
        <f ca="1">IF(AND(NEGOCIAÇÕES!O923="",NEGOCIAÇÕES!N923&lt;TODAY()),NEGOCIAÇÕES!N923,"")</f>
        <v/>
      </c>
      <c r="F923" s="6"/>
    </row>
    <row r="924" spans="2:6" ht="31.95" hidden="1" customHeight="1" x14ac:dyDescent="0.3">
      <c r="B924" s="6" t="str">
        <f ca="1">IF(AND(NEGOCIAÇÕES!O924="",NEGOCIAÇÕES!N924&lt;TODAY()),NEGOCIAÇÕES!C924,"")</f>
        <v/>
      </c>
      <c r="C924" s="6" t="str">
        <f ca="1">IF(AND(NEGOCIAÇÕES!O924="",NEGOCIAÇÕES!N924&lt;TODAY()),NEGOCIAÇÕES!E924,"")</f>
        <v/>
      </c>
      <c r="D924" s="6" t="str">
        <f ca="1">IF(AND(NEGOCIAÇÕES!O924="",NEGOCIAÇÕES!N924&lt;TODAY()),NEGOCIAÇÕES!D924,"")</f>
        <v/>
      </c>
      <c r="E924" s="9" t="str">
        <f ca="1">IF(AND(NEGOCIAÇÕES!O924="",NEGOCIAÇÕES!N924&lt;TODAY()),NEGOCIAÇÕES!N924,"")</f>
        <v/>
      </c>
      <c r="F924" s="6"/>
    </row>
    <row r="925" spans="2:6" ht="31.95" hidden="1" customHeight="1" x14ac:dyDescent="0.3">
      <c r="B925" s="6" t="str">
        <f ca="1">IF(AND(NEGOCIAÇÕES!O925="",NEGOCIAÇÕES!N925&lt;TODAY()),NEGOCIAÇÕES!C925,"")</f>
        <v/>
      </c>
      <c r="C925" s="6" t="str">
        <f ca="1">IF(AND(NEGOCIAÇÕES!O925="",NEGOCIAÇÕES!N925&lt;TODAY()),NEGOCIAÇÕES!E925,"")</f>
        <v/>
      </c>
      <c r="D925" s="6" t="str">
        <f ca="1">IF(AND(NEGOCIAÇÕES!O925="",NEGOCIAÇÕES!N925&lt;TODAY()),NEGOCIAÇÕES!D925,"")</f>
        <v/>
      </c>
      <c r="E925" s="9" t="str">
        <f ca="1">IF(AND(NEGOCIAÇÕES!O925="",NEGOCIAÇÕES!N925&lt;TODAY()),NEGOCIAÇÕES!N925,"")</f>
        <v/>
      </c>
      <c r="F925" s="6"/>
    </row>
    <row r="926" spans="2:6" ht="31.95" hidden="1" customHeight="1" x14ac:dyDescent="0.3">
      <c r="B926" s="6" t="str">
        <f ca="1">IF(AND(NEGOCIAÇÕES!O926="",NEGOCIAÇÕES!N926&lt;TODAY()),NEGOCIAÇÕES!C926,"")</f>
        <v/>
      </c>
      <c r="C926" s="6" t="str">
        <f ca="1">IF(AND(NEGOCIAÇÕES!O926="",NEGOCIAÇÕES!N926&lt;TODAY()),NEGOCIAÇÕES!E926,"")</f>
        <v/>
      </c>
      <c r="D926" s="6" t="str">
        <f ca="1">IF(AND(NEGOCIAÇÕES!O926="",NEGOCIAÇÕES!N926&lt;TODAY()),NEGOCIAÇÕES!D926,"")</f>
        <v/>
      </c>
      <c r="E926" s="9" t="str">
        <f ca="1">IF(AND(NEGOCIAÇÕES!O926="",NEGOCIAÇÕES!N926&lt;TODAY()),NEGOCIAÇÕES!N926,"")</f>
        <v/>
      </c>
      <c r="F926" s="6"/>
    </row>
    <row r="927" spans="2:6" ht="31.95" hidden="1" customHeight="1" x14ac:dyDescent="0.3">
      <c r="B927" s="6" t="str">
        <f ca="1">IF(AND(NEGOCIAÇÕES!O927="",NEGOCIAÇÕES!N927&lt;TODAY()),NEGOCIAÇÕES!C927,"")</f>
        <v/>
      </c>
      <c r="C927" s="6" t="str">
        <f ca="1">IF(AND(NEGOCIAÇÕES!O927="",NEGOCIAÇÕES!N927&lt;TODAY()),NEGOCIAÇÕES!E927,"")</f>
        <v/>
      </c>
      <c r="D927" s="6" t="str">
        <f ca="1">IF(AND(NEGOCIAÇÕES!O927="",NEGOCIAÇÕES!N927&lt;TODAY()),NEGOCIAÇÕES!D927,"")</f>
        <v/>
      </c>
      <c r="E927" s="9" t="str">
        <f ca="1">IF(AND(NEGOCIAÇÕES!O927="",NEGOCIAÇÕES!N927&lt;TODAY()),NEGOCIAÇÕES!N927,"")</f>
        <v/>
      </c>
      <c r="F927" s="6"/>
    </row>
    <row r="928" spans="2:6" ht="31.95" hidden="1" customHeight="1" x14ac:dyDescent="0.3">
      <c r="B928" s="6" t="str">
        <f ca="1">IF(AND(NEGOCIAÇÕES!O928="",NEGOCIAÇÕES!N928&lt;TODAY()),NEGOCIAÇÕES!C928,"")</f>
        <v/>
      </c>
      <c r="C928" s="6" t="str">
        <f ca="1">IF(AND(NEGOCIAÇÕES!O928="",NEGOCIAÇÕES!N928&lt;TODAY()),NEGOCIAÇÕES!E928,"")</f>
        <v/>
      </c>
      <c r="D928" s="6" t="str">
        <f ca="1">IF(AND(NEGOCIAÇÕES!O928="",NEGOCIAÇÕES!N928&lt;TODAY()),NEGOCIAÇÕES!D928,"")</f>
        <v/>
      </c>
      <c r="E928" s="9" t="str">
        <f ca="1">IF(AND(NEGOCIAÇÕES!O928="",NEGOCIAÇÕES!N928&lt;TODAY()),NEGOCIAÇÕES!N928,"")</f>
        <v/>
      </c>
      <c r="F928" s="6"/>
    </row>
    <row r="929" spans="2:6" ht="31.95" hidden="1" customHeight="1" x14ac:dyDescent="0.3">
      <c r="B929" s="6" t="str">
        <f ca="1">IF(AND(NEGOCIAÇÕES!O929="",NEGOCIAÇÕES!N929&lt;TODAY()),NEGOCIAÇÕES!C929,"")</f>
        <v/>
      </c>
      <c r="C929" s="6" t="str">
        <f ca="1">IF(AND(NEGOCIAÇÕES!O929="",NEGOCIAÇÕES!N929&lt;TODAY()),NEGOCIAÇÕES!E929,"")</f>
        <v/>
      </c>
      <c r="D929" s="6" t="str">
        <f ca="1">IF(AND(NEGOCIAÇÕES!O929="",NEGOCIAÇÕES!N929&lt;TODAY()),NEGOCIAÇÕES!D929,"")</f>
        <v/>
      </c>
      <c r="E929" s="9" t="str">
        <f ca="1">IF(AND(NEGOCIAÇÕES!O929="",NEGOCIAÇÕES!N929&lt;TODAY()),NEGOCIAÇÕES!N929,"")</f>
        <v/>
      </c>
      <c r="F929" s="6"/>
    </row>
    <row r="930" spans="2:6" ht="31.95" hidden="1" customHeight="1" x14ac:dyDescent="0.3">
      <c r="B930" s="6" t="str">
        <f ca="1">IF(AND(NEGOCIAÇÕES!O930="",NEGOCIAÇÕES!N930&lt;TODAY()),NEGOCIAÇÕES!C930,"")</f>
        <v/>
      </c>
      <c r="C930" s="6" t="str">
        <f ca="1">IF(AND(NEGOCIAÇÕES!O930="",NEGOCIAÇÕES!N930&lt;TODAY()),NEGOCIAÇÕES!E930,"")</f>
        <v/>
      </c>
      <c r="D930" s="6" t="str">
        <f ca="1">IF(AND(NEGOCIAÇÕES!O930="",NEGOCIAÇÕES!N930&lt;TODAY()),NEGOCIAÇÕES!D930,"")</f>
        <v/>
      </c>
      <c r="E930" s="9" t="str">
        <f ca="1">IF(AND(NEGOCIAÇÕES!O930="",NEGOCIAÇÕES!N930&lt;TODAY()),NEGOCIAÇÕES!N930,"")</f>
        <v/>
      </c>
      <c r="F930" s="6"/>
    </row>
    <row r="931" spans="2:6" ht="31.95" hidden="1" customHeight="1" x14ac:dyDescent="0.3">
      <c r="B931" s="6" t="str">
        <f ca="1">IF(AND(NEGOCIAÇÕES!O931="",NEGOCIAÇÕES!N931&lt;TODAY()),NEGOCIAÇÕES!C931,"")</f>
        <v/>
      </c>
      <c r="C931" s="6" t="str">
        <f ca="1">IF(AND(NEGOCIAÇÕES!O931="",NEGOCIAÇÕES!N931&lt;TODAY()),NEGOCIAÇÕES!E931,"")</f>
        <v/>
      </c>
      <c r="D931" s="6" t="str">
        <f ca="1">IF(AND(NEGOCIAÇÕES!O931="",NEGOCIAÇÕES!N931&lt;TODAY()),NEGOCIAÇÕES!D931,"")</f>
        <v/>
      </c>
      <c r="E931" s="9" t="str">
        <f ca="1">IF(AND(NEGOCIAÇÕES!O931="",NEGOCIAÇÕES!N931&lt;TODAY()),NEGOCIAÇÕES!N931,"")</f>
        <v/>
      </c>
      <c r="F931" s="6"/>
    </row>
    <row r="932" spans="2:6" ht="31.95" hidden="1" customHeight="1" x14ac:dyDescent="0.3">
      <c r="B932" s="6" t="str">
        <f ca="1">IF(AND(NEGOCIAÇÕES!O932="",NEGOCIAÇÕES!N932&lt;TODAY()),NEGOCIAÇÕES!C932,"")</f>
        <v/>
      </c>
      <c r="C932" s="6" t="str">
        <f ca="1">IF(AND(NEGOCIAÇÕES!O932="",NEGOCIAÇÕES!N932&lt;TODAY()),NEGOCIAÇÕES!E932,"")</f>
        <v/>
      </c>
      <c r="D932" s="6" t="str">
        <f ca="1">IF(AND(NEGOCIAÇÕES!O932="",NEGOCIAÇÕES!N932&lt;TODAY()),NEGOCIAÇÕES!D932,"")</f>
        <v/>
      </c>
      <c r="E932" s="9" t="str">
        <f ca="1">IF(AND(NEGOCIAÇÕES!O932="",NEGOCIAÇÕES!N932&lt;TODAY()),NEGOCIAÇÕES!N932,"")</f>
        <v/>
      </c>
      <c r="F932" s="6"/>
    </row>
    <row r="933" spans="2:6" ht="31.95" hidden="1" customHeight="1" x14ac:dyDescent="0.3">
      <c r="B933" s="6" t="str">
        <f ca="1">IF(AND(NEGOCIAÇÕES!O933="",NEGOCIAÇÕES!N933&lt;TODAY()),NEGOCIAÇÕES!C933,"")</f>
        <v/>
      </c>
      <c r="C933" s="6" t="str">
        <f ca="1">IF(AND(NEGOCIAÇÕES!O933="",NEGOCIAÇÕES!N933&lt;TODAY()),NEGOCIAÇÕES!E933,"")</f>
        <v/>
      </c>
      <c r="D933" s="6" t="str">
        <f ca="1">IF(AND(NEGOCIAÇÕES!O933="",NEGOCIAÇÕES!N933&lt;TODAY()),NEGOCIAÇÕES!D933,"")</f>
        <v/>
      </c>
      <c r="E933" s="9" t="str">
        <f ca="1">IF(AND(NEGOCIAÇÕES!O933="",NEGOCIAÇÕES!N933&lt;TODAY()),NEGOCIAÇÕES!N933,"")</f>
        <v/>
      </c>
      <c r="F933" s="6"/>
    </row>
    <row r="934" spans="2:6" ht="31.95" hidden="1" customHeight="1" x14ac:dyDescent="0.3">
      <c r="B934" s="6" t="str">
        <f ca="1">IF(AND(NEGOCIAÇÕES!O934="",NEGOCIAÇÕES!N934&lt;TODAY()),NEGOCIAÇÕES!C934,"")</f>
        <v/>
      </c>
      <c r="C934" s="6" t="str">
        <f ca="1">IF(AND(NEGOCIAÇÕES!O934="",NEGOCIAÇÕES!N934&lt;TODAY()),NEGOCIAÇÕES!E934,"")</f>
        <v/>
      </c>
      <c r="D934" s="6" t="str">
        <f ca="1">IF(AND(NEGOCIAÇÕES!O934="",NEGOCIAÇÕES!N934&lt;TODAY()),NEGOCIAÇÕES!D934,"")</f>
        <v/>
      </c>
      <c r="E934" s="9" t="str">
        <f ca="1">IF(AND(NEGOCIAÇÕES!O934="",NEGOCIAÇÕES!N934&lt;TODAY()),NEGOCIAÇÕES!N934,"")</f>
        <v/>
      </c>
      <c r="F934" s="6"/>
    </row>
    <row r="935" spans="2:6" ht="31.95" hidden="1" customHeight="1" x14ac:dyDescent="0.3">
      <c r="B935" s="6" t="str">
        <f ca="1">IF(AND(NEGOCIAÇÕES!O935="",NEGOCIAÇÕES!N935&lt;TODAY()),NEGOCIAÇÕES!C935,"")</f>
        <v/>
      </c>
      <c r="C935" s="6" t="str">
        <f ca="1">IF(AND(NEGOCIAÇÕES!O935="",NEGOCIAÇÕES!N935&lt;TODAY()),NEGOCIAÇÕES!E935,"")</f>
        <v/>
      </c>
      <c r="D935" s="6" t="str">
        <f ca="1">IF(AND(NEGOCIAÇÕES!O935="",NEGOCIAÇÕES!N935&lt;TODAY()),NEGOCIAÇÕES!D935,"")</f>
        <v/>
      </c>
      <c r="E935" s="9" t="str">
        <f ca="1">IF(AND(NEGOCIAÇÕES!O935="",NEGOCIAÇÕES!N935&lt;TODAY()),NEGOCIAÇÕES!N935,"")</f>
        <v/>
      </c>
      <c r="F935" s="6"/>
    </row>
    <row r="936" spans="2:6" ht="31.95" hidden="1" customHeight="1" x14ac:dyDescent="0.3">
      <c r="B936" s="6" t="str">
        <f ca="1">IF(AND(NEGOCIAÇÕES!O936="",NEGOCIAÇÕES!N936&lt;TODAY()),NEGOCIAÇÕES!C936,"")</f>
        <v/>
      </c>
      <c r="C936" s="6" t="str">
        <f ca="1">IF(AND(NEGOCIAÇÕES!O936="",NEGOCIAÇÕES!N936&lt;TODAY()),NEGOCIAÇÕES!E936,"")</f>
        <v/>
      </c>
      <c r="D936" s="6" t="str">
        <f ca="1">IF(AND(NEGOCIAÇÕES!O936="",NEGOCIAÇÕES!N936&lt;TODAY()),NEGOCIAÇÕES!D936,"")</f>
        <v/>
      </c>
      <c r="E936" s="9" t="str">
        <f ca="1">IF(AND(NEGOCIAÇÕES!O936="",NEGOCIAÇÕES!N936&lt;TODAY()),NEGOCIAÇÕES!N936,"")</f>
        <v/>
      </c>
      <c r="F936" s="6"/>
    </row>
    <row r="937" spans="2:6" ht="31.95" hidden="1" customHeight="1" x14ac:dyDescent="0.3">
      <c r="B937" s="6" t="str">
        <f ca="1">IF(AND(NEGOCIAÇÕES!O937="",NEGOCIAÇÕES!N937&lt;TODAY()),NEGOCIAÇÕES!C937,"")</f>
        <v/>
      </c>
      <c r="C937" s="6" t="str">
        <f ca="1">IF(AND(NEGOCIAÇÕES!O937="",NEGOCIAÇÕES!N937&lt;TODAY()),NEGOCIAÇÕES!E937,"")</f>
        <v/>
      </c>
      <c r="D937" s="6" t="str">
        <f ca="1">IF(AND(NEGOCIAÇÕES!O937="",NEGOCIAÇÕES!N937&lt;TODAY()),NEGOCIAÇÕES!D937,"")</f>
        <v/>
      </c>
      <c r="E937" s="9" t="str">
        <f ca="1">IF(AND(NEGOCIAÇÕES!O937="",NEGOCIAÇÕES!N937&lt;TODAY()),NEGOCIAÇÕES!N937,"")</f>
        <v/>
      </c>
      <c r="F937" s="6"/>
    </row>
    <row r="938" spans="2:6" ht="31.95" hidden="1" customHeight="1" x14ac:dyDescent="0.3">
      <c r="B938" s="6" t="str">
        <f ca="1">IF(AND(NEGOCIAÇÕES!O938="",NEGOCIAÇÕES!N938&lt;TODAY()),NEGOCIAÇÕES!C938,"")</f>
        <v/>
      </c>
      <c r="C938" s="6" t="str">
        <f ca="1">IF(AND(NEGOCIAÇÕES!O938="",NEGOCIAÇÕES!N938&lt;TODAY()),NEGOCIAÇÕES!E938,"")</f>
        <v/>
      </c>
      <c r="D938" s="6" t="str">
        <f ca="1">IF(AND(NEGOCIAÇÕES!O938="",NEGOCIAÇÕES!N938&lt;TODAY()),NEGOCIAÇÕES!D938,"")</f>
        <v/>
      </c>
      <c r="E938" s="9" t="str">
        <f ca="1">IF(AND(NEGOCIAÇÕES!O938="",NEGOCIAÇÕES!N938&lt;TODAY()),NEGOCIAÇÕES!N938,"")</f>
        <v/>
      </c>
      <c r="F938" s="6"/>
    </row>
    <row r="939" spans="2:6" ht="31.95" hidden="1" customHeight="1" x14ac:dyDescent="0.3">
      <c r="B939" s="6" t="str">
        <f ca="1">IF(AND(NEGOCIAÇÕES!O939="",NEGOCIAÇÕES!N939&lt;TODAY()),NEGOCIAÇÕES!C939,"")</f>
        <v/>
      </c>
      <c r="C939" s="6" t="str">
        <f ca="1">IF(AND(NEGOCIAÇÕES!O939="",NEGOCIAÇÕES!N939&lt;TODAY()),NEGOCIAÇÕES!E939,"")</f>
        <v/>
      </c>
      <c r="D939" s="6" t="str">
        <f ca="1">IF(AND(NEGOCIAÇÕES!O939="",NEGOCIAÇÕES!N939&lt;TODAY()),NEGOCIAÇÕES!D939,"")</f>
        <v/>
      </c>
      <c r="E939" s="9" t="str">
        <f ca="1">IF(AND(NEGOCIAÇÕES!O939="",NEGOCIAÇÕES!N939&lt;TODAY()),NEGOCIAÇÕES!N939,"")</f>
        <v/>
      </c>
      <c r="F939" s="6"/>
    </row>
    <row r="940" spans="2:6" ht="31.95" hidden="1" customHeight="1" x14ac:dyDescent="0.3">
      <c r="B940" s="6" t="str">
        <f ca="1">IF(AND(NEGOCIAÇÕES!O940="",NEGOCIAÇÕES!N940&lt;TODAY()),NEGOCIAÇÕES!C940,"")</f>
        <v/>
      </c>
      <c r="C940" s="6" t="str">
        <f ca="1">IF(AND(NEGOCIAÇÕES!O940="",NEGOCIAÇÕES!N940&lt;TODAY()),NEGOCIAÇÕES!E940,"")</f>
        <v/>
      </c>
      <c r="D940" s="6" t="str">
        <f ca="1">IF(AND(NEGOCIAÇÕES!O940="",NEGOCIAÇÕES!N940&lt;TODAY()),NEGOCIAÇÕES!D940,"")</f>
        <v/>
      </c>
      <c r="E940" s="9" t="str">
        <f ca="1">IF(AND(NEGOCIAÇÕES!O940="",NEGOCIAÇÕES!N940&lt;TODAY()),NEGOCIAÇÕES!N940,"")</f>
        <v/>
      </c>
      <c r="F940" s="6"/>
    </row>
    <row r="941" spans="2:6" ht="31.95" hidden="1" customHeight="1" x14ac:dyDescent="0.3">
      <c r="B941" s="6" t="str">
        <f ca="1">IF(AND(NEGOCIAÇÕES!O941="",NEGOCIAÇÕES!N941&lt;TODAY()),NEGOCIAÇÕES!C941,"")</f>
        <v/>
      </c>
      <c r="C941" s="6" t="str">
        <f ca="1">IF(AND(NEGOCIAÇÕES!O941="",NEGOCIAÇÕES!N941&lt;TODAY()),NEGOCIAÇÕES!E941,"")</f>
        <v/>
      </c>
      <c r="D941" s="6" t="str">
        <f ca="1">IF(AND(NEGOCIAÇÕES!O941="",NEGOCIAÇÕES!N941&lt;TODAY()),NEGOCIAÇÕES!D941,"")</f>
        <v/>
      </c>
      <c r="E941" s="9" t="str">
        <f ca="1">IF(AND(NEGOCIAÇÕES!O941="",NEGOCIAÇÕES!N941&lt;TODAY()),NEGOCIAÇÕES!N941,"")</f>
        <v/>
      </c>
      <c r="F941" s="6"/>
    </row>
    <row r="942" spans="2:6" ht="31.95" hidden="1" customHeight="1" x14ac:dyDescent="0.3">
      <c r="B942" s="6" t="str">
        <f ca="1">IF(AND(NEGOCIAÇÕES!O942="",NEGOCIAÇÕES!N942&lt;TODAY()),NEGOCIAÇÕES!C942,"")</f>
        <v/>
      </c>
      <c r="C942" s="6" t="str">
        <f ca="1">IF(AND(NEGOCIAÇÕES!O942="",NEGOCIAÇÕES!N942&lt;TODAY()),NEGOCIAÇÕES!E942,"")</f>
        <v/>
      </c>
      <c r="D942" s="6" t="str">
        <f ca="1">IF(AND(NEGOCIAÇÕES!O942="",NEGOCIAÇÕES!N942&lt;TODAY()),NEGOCIAÇÕES!D942,"")</f>
        <v/>
      </c>
      <c r="E942" s="9" t="str">
        <f ca="1">IF(AND(NEGOCIAÇÕES!O942="",NEGOCIAÇÕES!N942&lt;TODAY()),NEGOCIAÇÕES!N942,"")</f>
        <v/>
      </c>
      <c r="F942" s="6"/>
    </row>
    <row r="943" spans="2:6" ht="31.95" hidden="1" customHeight="1" x14ac:dyDescent="0.3">
      <c r="B943" s="6" t="str">
        <f ca="1">IF(AND(NEGOCIAÇÕES!O943="",NEGOCIAÇÕES!N943&lt;TODAY()),NEGOCIAÇÕES!C943,"")</f>
        <v/>
      </c>
      <c r="C943" s="6" t="str">
        <f ca="1">IF(AND(NEGOCIAÇÕES!O943="",NEGOCIAÇÕES!N943&lt;TODAY()),NEGOCIAÇÕES!E943,"")</f>
        <v/>
      </c>
      <c r="D943" s="6" t="str">
        <f ca="1">IF(AND(NEGOCIAÇÕES!O943="",NEGOCIAÇÕES!N943&lt;TODAY()),NEGOCIAÇÕES!D943,"")</f>
        <v/>
      </c>
      <c r="E943" s="9" t="str">
        <f ca="1">IF(AND(NEGOCIAÇÕES!O943="",NEGOCIAÇÕES!N943&lt;TODAY()),NEGOCIAÇÕES!N943,"")</f>
        <v/>
      </c>
      <c r="F943" s="6"/>
    </row>
    <row r="944" spans="2:6" ht="31.95" hidden="1" customHeight="1" x14ac:dyDescent="0.3">
      <c r="B944" s="6" t="str">
        <f ca="1">IF(AND(NEGOCIAÇÕES!O944="",NEGOCIAÇÕES!N944&lt;TODAY()),NEGOCIAÇÕES!C944,"")</f>
        <v/>
      </c>
      <c r="C944" s="6" t="str">
        <f ca="1">IF(AND(NEGOCIAÇÕES!O944="",NEGOCIAÇÕES!N944&lt;TODAY()),NEGOCIAÇÕES!E944,"")</f>
        <v/>
      </c>
      <c r="D944" s="6" t="str">
        <f ca="1">IF(AND(NEGOCIAÇÕES!O944="",NEGOCIAÇÕES!N944&lt;TODAY()),NEGOCIAÇÕES!D944,"")</f>
        <v/>
      </c>
      <c r="E944" s="9" t="str">
        <f ca="1">IF(AND(NEGOCIAÇÕES!O944="",NEGOCIAÇÕES!N944&lt;TODAY()),NEGOCIAÇÕES!N944,"")</f>
        <v/>
      </c>
      <c r="F944" s="6"/>
    </row>
    <row r="945" spans="2:6" ht="31.95" hidden="1" customHeight="1" x14ac:dyDescent="0.3">
      <c r="B945" s="6" t="str">
        <f ca="1">IF(AND(NEGOCIAÇÕES!O945="",NEGOCIAÇÕES!N945&lt;TODAY()),NEGOCIAÇÕES!C945,"")</f>
        <v/>
      </c>
      <c r="C945" s="6" t="str">
        <f ca="1">IF(AND(NEGOCIAÇÕES!O945="",NEGOCIAÇÕES!N945&lt;TODAY()),NEGOCIAÇÕES!E945,"")</f>
        <v/>
      </c>
      <c r="D945" s="6" t="str">
        <f ca="1">IF(AND(NEGOCIAÇÕES!O945="",NEGOCIAÇÕES!N945&lt;TODAY()),NEGOCIAÇÕES!D945,"")</f>
        <v/>
      </c>
      <c r="E945" s="9" t="str">
        <f ca="1">IF(AND(NEGOCIAÇÕES!O945="",NEGOCIAÇÕES!N945&lt;TODAY()),NEGOCIAÇÕES!N945,"")</f>
        <v/>
      </c>
      <c r="F945" s="6"/>
    </row>
    <row r="946" spans="2:6" ht="31.95" hidden="1" customHeight="1" x14ac:dyDescent="0.3">
      <c r="B946" s="6" t="str">
        <f ca="1">IF(AND(NEGOCIAÇÕES!O946="",NEGOCIAÇÕES!N946&lt;TODAY()),NEGOCIAÇÕES!C946,"")</f>
        <v/>
      </c>
      <c r="C946" s="6" t="str">
        <f ca="1">IF(AND(NEGOCIAÇÕES!O946="",NEGOCIAÇÕES!N946&lt;TODAY()),NEGOCIAÇÕES!E946,"")</f>
        <v/>
      </c>
      <c r="D946" s="6" t="str">
        <f ca="1">IF(AND(NEGOCIAÇÕES!O946="",NEGOCIAÇÕES!N946&lt;TODAY()),NEGOCIAÇÕES!D946,"")</f>
        <v/>
      </c>
      <c r="E946" s="9" t="str">
        <f ca="1">IF(AND(NEGOCIAÇÕES!O946="",NEGOCIAÇÕES!N946&lt;TODAY()),NEGOCIAÇÕES!N946,"")</f>
        <v/>
      </c>
      <c r="F946" s="6"/>
    </row>
    <row r="947" spans="2:6" ht="31.95" hidden="1" customHeight="1" x14ac:dyDescent="0.3">
      <c r="B947" s="6" t="str">
        <f ca="1">IF(AND(NEGOCIAÇÕES!O947="",NEGOCIAÇÕES!N947&lt;TODAY()),NEGOCIAÇÕES!C947,"")</f>
        <v/>
      </c>
      <c r="C947" s="6" t="str">
        <f ca="1">IF(AND(NEGOCIAÇÕES!O947="",NEGOCIAÇÕES!N947&lt;TODAY()),NEGOCIAÇÕES!E947,"")</f>
        <v/>
      </c>
      <c r="D947" s="6" t="str">
        <f ca="1">IF(AND(NEGOCIAÇÕES!O947="",NEGOCIAÇÕES!N947&lt;TODAY()),NEGOCIAÇÕES!D947,"")</f>
        <v/>
      </c>
      <c r="E947" s="9" t="str">
        <f ca="1">IF(AND(NEGOCIAÇÕES!O947="",NEGOCIAÇÕES!N947&lt;TODAY()),NEGOCIAÇÕES!N947,"")</f>
        <v/>
      </c>
      <c r="F947" s="6"/>
    </row>
    <row r="948" spans="2:6" ht="31.95" hidden="1" customHeight="1" x14ac:dyDescent="0.3">
      <c r="B948" s="6" t="str">
        <f ca="1">IF(AND(NEGOCIAÇÕES!O948="",NEGOCIAÇÕES!N948&lt;TODAY()),NEGOCIAÇÕES!C948,"")</f>
        <v/>
      </c>
      <c r="C948" s="6" t="str">
        <f ca="1">IF(AND(NEGOCIAÇÕES!O948="",NEGOCIAÇÕES!N948&lt;TODAY()),NEGOCIAÇÕES!E948,"")</f>
        <v/>
      </c>
      <c r="D948" s="6" t="str">
        <f ca="1">IF(AND(NEGOCIAÇÕES!O948="",NEGOCIAÇÕES!N948&lt;TODAY()),NEGOCIAÇÕES!D948,"")</f>
        <v/>
      </c>
      <c r="E948" s="9" t="str">
        <f ca="1">IF(AND(NEGOCIAÇÕES!O948="",NEGOCIAÇÕES!N948&lt;TODAY()),NEGOCIAÇÕES!N948,"")</f>
        <v/>
      </c>
      <c r="F948" s="6"/>
    </row>
    <row r="949" spans="2:6" ht="31.95" hidden="1" customHeight="1" x14ac:dyDescent="0.3">
      <c r="B949" s="6" t="str">
        <f ca="1">IF(AND(NEGOCIAÇÕES!O949="",NEGOCIAÇÕES!N949&lt;TODAY()),NEGOCIAÇÕES!C949,"")</f>
        <v/>
      </c>
      <c r="C949" s="6" t="str">
        <f ca="1">IF(AND(NEGOCIAÇÕES!O949="",NEGOCIAÇÕES!N949&lt;TODAY()),NEGOCIAÇÕES!E949,"")</f>
        <v/>
      </c>
      <c r="D949" s="6" t="str">
        <f ca="1">IF(AND(NEGOCIAÇÕES!O949="",NEGOCIAÇÕES!N949&lt;TODAY()),NEGOCIAÇÕES!D949,"")</f>
        <v/>
      </c>
      <c r="E949" s="9" t="str">
        <f ca="1">IF(AND(NEGOCIAÇÕES!O949="",NEGOCIAÇÕES!N949&lt;TODAY()),NEGOCIAÇÕES!N949,"")</f>
        <v/>
      </c>
      <c r="F949" s="6"/>
    </row>
    <row r="950" spans="2:6" ht="31.95" hidden="1" customHeight="1" x14ac:dyDescent="0.3">
      <c r="B950" s="6" t="str">
        <f ca="1">IF(AND(NEGOCIAÇÕES!O950="",NEGOCIAÇÕES!N950&lt;TODAY()),NEGOCIAÇÕES!C950,"")</f>
        <v/>
      </c>
      <c r="C950" s="6" t="str">
        <f ca="1">IF(AND(NEGOCIAÇÕES!O950="",NEGOCIAÇÕES!N950&lt;TODAY()),NEGOCIAÇÕES!E950,"")</f>
        <v/>
      </c>
      <c r="D950" s="6" t="str">
        <f ca="1">IF(AND(NEGOCIAÇÕES!O950="",NEGOCIAÇÕES!N950&lt;TODAY()),NEGOCIAÇÕES!D950,"")</f>
        <v/>
      </c>
      <c r="E950" s="9" t="str">
        <f ca="1">IF(AND(NEGOCIAÇÕES!O950="",NEGOCIAÇÕES!N950&lt;TODAY()),NEGOCIAÇÕES!N950,"")</f>
        <v/>
      </c>
      <c r="F950" s="6"/>
    </row>
    <row r="951" spans="2:6" ht="31.95" hidden="1" customHeight="1" x14ac:dyDescent="0.3">
      <c r="B951" s="6" t="str">
        <f ca="1">IF(AND(NEGOCIAÇÕES!O951="",NEGOCIAÇÕES!N951&lt;TODAY()),NEGOCIAÇÕES!C951,"")</f>
        <v/>
      </c>
      <c r="C951" s="6" t="str">
        <f ca="1">IF(AND(NEGOCIAÇÕES!O951="",NEGOCIAÇÕES!N951&lt;TODAY()),NEGOCIAÇÕES!E951,"")</f>
        <v/>
      </c>
      <c r="D951" s="6" t="str">
        <f ca="1">IF(AND(NEGOCIAÇÕES!O951="",NEGOCIAÇÕES!N951&lt;TODAY()),NEGOCIAÇÕES!D951,"")</f>
        <v/>
      </c>
      <c r="E951" s="9" t="str">
        <f ca="1">IF(AND(NEGOCIAÇÕES!O951="",NEGOCIAÇÕES!N951&lt;TODAY()),NEGOCIAÇÕES!N951,"")</f>
        <v/>
      </c>
      <c r="F951" s="6"/>
    </row>
    <row r="952" spans="2:6" ht="31.95" hidden="1" customHeight="1" x14ac:dyDescent="0.3">
      <c r="B952" s="6" t="str">
        <f ca="1">IF(AND(NEGOCIAÇÕES!O952="",NEGOCIAÇÕES!N952&lt;TODAY()),NEGOCIAÇÕES!C952,"")</f>
        <v/>
      </c>
      <c r="C952" s="6" t="str">
        <f ca="1">IF(AND(NEGOCIAÇÕES!O952="",NEGOCIAÇÕES!N952&lt;TODAY()),NEGOCIAÇÕES!E952,"")</f>
        <v/>
      </c>
      <c r="D952" s="6" t="str">
        <f ca="1">IF(AND(NEGOCIAÇÕES!O952="",NEGOCIAÇÕES!N952&lt;TODAY()),NEGOCIAÇÕES!D952,"")</f>
        <v/>
      </c>
      <c r="E952" s="9" t="str">
        <f ca="1">IF(AND(NEGOCIAÇÕES!O952="",NEGOCIAÇÕES!N952&lt;TODAY()),NEGOCIAÇÕES!N952,"")</f>
        <v/>
      </c>
      <c r="F952" s="6"/>
    </row>
    <row r="953" spans="2:6" ht="31.95" hidden="1" customHeight="1" x14ac:dyDescent="0.3">
      <c r="B953" s="6" t="str">
        <f ca="1">IF(AND(NEGOCIAÇÕES!O953="",NEGOCIAÇÕES!N953&lt;TODAY()),NEGOCIAÇÕES!C953,"")</f>
        <v/>
      </c>
      <c r="C953" s="6" t="str">
        <f ca="1">IF(AND(NEGOCIAÇÕES!O953="",NEGOCIAÇÕES!N953&lt;TODAY()),NEGOCIAÇÕES!E953,"")</f>
        <v/>
      </c>
      <c r="D953" s="6" t="str">
        <f ca="1">IF(AND(NEGOCIAÇÕES!O953="",NEGOCIAÇÕES!N953&lt;TODAY()),NEGOCIAÇÕES!D953,"")</f>
        <v/>
      </c>
      <c r="E953" s="9" t="str">
        <f ca="1">IF(AND(NEGOCIAÇÕES!O953="",NEGOCIAÇÕES!N953&lt;TODAY()),NEGOCIAÇÕES!N953,"")</f>
        <v/>
      </c>
      <c r="F953" s="6"/>
    </row>
    <row r="954" spans="2:6" ht="31.95" hidden="1" customHeight="1" x14ac:dyDescent="0.3">
      <c r="B954" s="6" t="str">
        <f ca="1">IF(AND(NEGOCIAÇÕES!O954="",NEGOCIAÇÕES!N954&lt;TODAY()),NEGOCIAÇÕES!C954,"")</f>
        <v/>
      </c>
      <c r="C954" s="6" t="str">
        <f ca="1">IF(AND(NEGOCIAÇÕES!O954="",NEGOCIAÇÕES!N954&lt;TODAY()),NEGOCIAÇÕES!E954,"")</f>
        <v/>
      </c>
      <c r="D954" s="6" t="str">
        <f ca="1">IF(AND(NEGOCIAÇÕES!O954="",NEGOCIAÇÕES!N954&lt;TODAY()),NEGOCIAÇÕES!D954,"")</f>
        <v/>
      </c>
      <c r="E954" s="9" t="str">
        <f ca="1">IF(AND(NEGOCIAÇÕES!O954="",NEGOCIAÇÕES!N954&lt;TODAY()),NEGOCIAÇÕES!N954,"")</f>
        <v/>
      </c>
      <c r="F954" s="6"/>
    </row>
    <row r="955" spans="2:6" ht="31.95" hidden="1" customHeight="1" x14ac:dyDescent="0.3">
      <c r="B955" s="6" t="str">
        <f ca="1">IF(AND(NEGOCIAÇÕES!O955="",NEGOCIAÇÕES!N955&lt;TODAY()),NEGOCIAÇÕES!C955,"")</f>
        <v/>
      </c>
      <c r="C955" s="6" t="str">
        <f ca="1">IF(AND(NEGOCIAÇÕES!O955="",NEGOCIAÇÕES!N955&lt;TODAY()),NEGOCIAÇÕES!E955,"")</f>
        <v/>
      </c>
      <c r="D955" s="6" t="str">
        <f ca="1">IF(AND(NEGOCIAÇÕES!O955="",NEGOCIAÇÕES!N955&lt;TODAY()),NEGOCIAÇÕES!D955,"")</f>
        <v/>
      </c>
      <c r="E955" s="9" t="str">
        <f ca="1">IF(AND(NEGOCIAÇÕES!O955="",NEGOCIAÇÕES!N955&lt;TODAY()),NEGOCIAÇÕES!N955,"")</f>
        <v/>
      </c>
      <c r="F955" s="6"/>
    </row>
    <row r="956" spans="2:6" ht="31.95" hidden="1" customHeight="1" x14ac:dyDescent="0.3">
      <c r="B956" s="6" t="str">
        <f ca="1">IF(AND(NEGOCIAÇÕES!O956="",NEGOCIAÇÕES!N956&lt;TODAY()),NEGOCIAÇÕES!C956,"")</f>
        <v/>
      </c>
      <c r="C956" s="6" t="str">
        <f ca="1">IF(AND(NEGOCIAÇÕES!O956="",NEGOCIAÇÕES!N956&lt;TODAY()),NEGOCIAÇÕES!E956,"")</f>
        <v/>
      </c>
      <c r="D956" s="6" t="str">
        <f ca="1">IF(AND(NEGOCIAÇÕES!O956="",NEGOCIAÇÕES!N956&lt;TODAY()),NEGOCIAÇÕES!D956,"")</f>
        <v/>
      </c>
      <c r="E956" s="9" t="str">
        <f ca="1">IF(AND(NEGOCIAÇÕES!O956="",NEGOCIAÇÕES!N956&lt;TODAY()),NEGOCIAÇÕES!N956,"")</f>
        <v/>
      </c>
      <c r="F956" s="6"/>
    </row>
    <row r="957" spans="2:6" ht="31.95" hidden="1" customHeight="1" x14ac:dyDescent="0.3">
      <c r="B957" s="6" t="str">
        <f ca="1">IF(AND(NEGOCIAÇÕES!O957="",NEGOCIAÇÕES!N957&lt;TODAY()),NEGOCIAÇÕES!C957,"")</f>
        <v/>
      </c>
      <c r="C957" s="6" t="str">
        <f ca="1">IF(AND(NEGOCIAÇÕES!O957="",NEGOCIAÇÕES!N957&lt;TODAY()),NEGOCIAÇÕES!E957,"")</f>
        <v/>
      </c>
      <c r="D957" s="6" t="str">
        <f ca="1">IF(AND(NEGOCIAÇÕES!O957="",NEGOCIAÇÕES!N957&lt;TODAY()),NEGOCIAÇÕES!D957,"")</f>
        <v/>
      </c>
      <c r="E957" s="9" t="str">
        <f ca="1">IF(AND(NEGOCIAÇÕES!O957="",NEGOCIAÇÕES!N957&lt;TODAY()),NEGOCIAÇÕES!N957,"")</f>
        <v/>
      </c>
      <c r="F957" s="6"/>
    </row>
    <row r="958" spans="2:6" ht="31.95" hidden="1" customHeight="1" x14ac:dyDescent="0.3">
      <c r="B958" s="6" t="str">
        <f ca="1">IF(AND(NEGOCIAÇÕES!O958="",NEGOCIAÇÕES!N958&lt;TODAY()),NEGOCIAÇÕES!C958,"")</f>
        <v/>
      </c>
      <c r="C958" s="6" t="str">
        <f ca="1">IF(AND(NEGOCIAÇÕES!O958="",NEGOCIAÇÕES!N958&lt;TODAY()),NEGOCIAÇÕES!E958,"")</f>
        <v/>
      </c>
      <c r="D958" s="6" t="str">
        <f ca="1">IF(AND(NEGOCIAÇÕES!O958="",NEGOCIAÇÕES!N958&lt;TODAY()),NEGOCIAÇÕES!D958,"")</f>
        <v/>
      </c>
      <c r="E958" s="9" t="str">
        <f ca="1">IF(AND(NEGOCIAÇÕES!O958="",NEGOCIAÇÕES!N958&lt;TODAY()),NEGOCIAÇÕES!N958,"")</f>
        <v/>
      </c>
      <c r="F958" s="6"/>
    </row>
    <row r="959" spans="2:6" ht="31.95" hidden="1" customHeight="1" x14ac:dyDescent="0.3">
      <c r="B959" s="6" t="str">
        <f ca="1">IF(AND(NEGOCIAÇÕES!O959="",NEGOCIAÇÕES!N959&lt;TODAY()),NEGOCIAÇÕES!C959,"")</f>
        <v/>
      </c>
      <c r="C959" s="6" t="str">
        <f ca="1">IF(AND(NEGOCIAÇÕES!O959="",NEGOCIAÇÕES!N959&lt;TODAY()),NEGOCIAÇÕES!E959,"")</f>
        <v/>
      </c>
      <c r="D959" s="6" t="str">
        <f ca="1">IF(AND(NEGOCIAÇÕES!O959="",NEGOCIAÇÕES!N959&lt;TODAY()),NEGOCIAÇÕES!D959,"")</f>
        <v/>
      </c>
      <c r="E959" s="9" t="str">
        <f ca="1">IF(AND(NEGOCIAÇÕES!O959="",NEGOCIAÇÕES!N959&lt;TODAY()),NEGOCIAÇÕES!N959,"")</f>
        <v/>
      </c>
      <c r="F959" s="6"/>
    </row>
    <row r="960" spans="2:6" ht="31.95" hidden="1" customHeight="1" x14ac:dyDescent="0.3">
      <c r="B960" s="6" t="str">
        <f ca="1">IF(AND(NEGOCIAÇÕES!O960="",NEGOCIAÇÕES!N960&lt;TODAY()),NEGOCIAÇÕES!C960,"")</f>
        <v/>
      </c>
      <c r="C960" s="6" t="str">
        <f ca="1">IF(AND(NEGOCIAÇÕES!O960="",NEGOCIAÇÕES!N960&lt;TODAY()),NEGOCIAÇÕES!E960,"")</f>
        <v/>
      </c>
      <c r="D960" s="6" t="str">
        <f ca="1">IF(AND(NEGOCIAÇÕES!O960="",NEGOCIAÇÕES!N960&lt;TODAY()),NEGOCIAÇÕES!D960,"")</f>
        <v/>
      </c>
      <c r="E960" s="9" t="str">
        <f ca="1">IF(AND(NEGOCIAÇÕES!O960="",NEGOCIAÇÕES!N960&lt;TODAY()),NEGOCIAÇÕES!N960,"")</f>
        <v/>
      </c>
      <c r="F960" s="6"/>
    </row>
    <row r="961" spans="2:6" ht="31.95" hidden="1" customHeight="1" x14ac:dyDescent="0.3">
      <c r="B961" s="6" t="str">
        <f ca="1">IF(AND(NEGOCIAÇÕES!O961="",NEGOCIAÇÕES!N961&lt;TODAY()),NEGOCIAÇÕES!C961,"")</f>
        <v/>
      </c>
      <c r="C961" s="6" t="str">
        <f ca="1">IF(AND(NEGOCIAÇÕES!O961="",NEGOCIAÇÕES!N961&lt;TODAY()),NEGOCIAÇÕES!E961,"")</f>
        <v/>
      </c>
      <c r="D961" s="6" t="str">
        <f ca="1">IF(AND(NEGOCIAÇÕES!O961="",NEGOCIAÇÕES!N961&lt;TODAY()),NEGOCIAÇÕES!D961,"")</f>
        <v/>
      </c>
      <c r="E961" s="9" t="str">
        <f ca="1">IF(AND(NEGOCIAÇÕES!O961="",NEGOCIAÇÕES!N961&lt;TODAY()),NEGOCIAÇÕES!N961,"")</f>
        <v/>
      </c>
      <c r="F961" s="6"/>
    </row>
    <row r="962" spans="2:6" ht="31.95" hidden="1" customHeight="1" x14ac:dyDescent="0.3">
      <c r="B962" s="6" t="str">
        <f ca="1">IF(AND(NEGOCIAÇÕES!O962="",NEGOCIAÇÕES!N962&lt;TODAY()),NEGOCIAÇÕES!C962,"")</f>
        <v/>
      </c>
      <c r="C962" s="6" t="str">
        <f ca="1">IF(AND(NEGOCIAÇÕES!O962="",NEGOCIAÇÕES!N962&lt;TODAY()),NEGOCIAÇÕES!E962,"")</f>
        <v/>
      </c>
      <c r="D962" s="6" t="str">
        <f ca="1">IF(AND(NEGOCIAÇÕES!O962="",NEGOCIAÇÕES!N962&lt;TODAY()),NEGOCIAÇÕES!D962,"")</f>
        <v/>
      </c>
      <c r="E962" s="9" t="str">
        <f ca="1">IF(AND(NEGOCIAÇÕES!O962="",NEGOCIAÇÕES!N962&lt;TODAY()),NEGOCIAÇÕES!N962,"")</f>
        <v/>
      </c>
      <c r="F962" s="6"/>
    </row>
    <row r="963" spans="2:6" ht="31.95" hidden="1" customHeight="1" x14ac:dyDescent="0.3">
      <c r="B963" s="6" t="str">
        <f ca="1">IF(AND(NEGOCIAÇÕES!O963="",NEGOCIAÇÕES!N963&lt;TODAY()),NEGOCIAÇÕES!C963,"")</f>
        <v/>
      </c>
      <c r="C963" s="6" t="str">
        <f ca="1">IF(AND(NEGOCIAÇÕES!O963="",NEGOCIAÇÕES!N963&lt;TODAY()),NEGOCIAÇÕES!E963,"")</f>
        <v/>
      </c>
      <c r="D963" s="6" t="str">
        <f ca="1">IF(AND(NEGOCIAÇÕES!O963="",NEGOCIAÇÕES!N963&lt;TODAY()),NEGOCIAÇÕES!D963,"")</f>
        <v/>
      </c>
      <c r="E963" s="9" t="str">
        <f ca="1">IF(AND(NEGOCIAÇÕES!O963="",NEGOCIAÇÕES!N963&lt;TODAY()),NEGOCIAÇÕES!N963,"")</f>
        <v/>
      </c>
      <c r="F963" s="6"/>
    </row>
    <row r="964" spans="2:6" ht="31.95" hidden="1" customHeight="1" x14ac:dyDescent="0.3">
      <c r="B964" s="6" t="str">
        <f ca="1">IF(AND(NEGOCIAÇÕES!O964="",NEGOCIAÇÕES!N964&lt;TODAY()),NEGOCIAÇÕES!C964,"")</f>
        <v/>
      </c>
      <c r="C964" s="6" t="str">
        <f ca="1">IF(AND(NEGOCIAÇÕES!O964="",NEGOCIAÇÕES!N964&lt;TODAY()),NEGOCIAÇÕES!E964,"")</f>
        <v/>
      </c>
      <c r="D964" s="6" t="str">
        <f ca="1">IF(AND(NEGOCIAÇÕES!O964="",NEGOCIAÇÕES!N964&lt;TODAY()),NEGOCIAÇÕES!D964,"")</f>
        <v/>
      </c>
      <c r="E964" s="9" t="str">
        <f ca="1">IF(AND(NEGOCIAÇÕES!O964="",NEGOCIAÇÕES!N964&lt;TODAY()),NEGOCIAÇÕES!N964,"")</f>
        <v/>
      </c>
      <c r="F964" s="6"/>
    </row>
    <row r="965" spans="2:6" ht="31.95" hidden="1" customHeight="1" x14ac:dyDescent="0.3">
      <c r="B965" s="6" t="str">
        <f ca="1">IF(AND(NEGOCIAÇÕES!O965="",NEGOCIAÇÕES!N965&lt;TODAY()),NEGOCIAÇÕES!C965,"")</f>
        <v/>
      </c>
      <c r="C965" s="6" t="str">
        <f ca="1">IF(AND(NEGOCIAÇÕES!O965="",NEGOCIAÇÕES!N965&lt;TODAY()),NEGOCIAÇÕES!E965,"")</f>
        <v/>
      </c>
      <c r="D965" s="6" t="str">
        <f ca="1">IF(AND(NEGOCIAÇÕES!O965="",NEGOCIAÇÕES!N965&lt;TODAY()),NEGOCIAÇÕES!D965,"")</f>
        <v/>
      </c>
      <c r="E965" s="9" t="str">
        <f ca="1">IF(AND(NEGOCIAÇÕES!O965="",NEGOCIAÇÕES!N965&lt;TODAY()),NEGOCIAÇÕES!N965,"")</f>
        <v/>
      </c>
      <c r="F965" s="6"/>
    </row>
    <row r="966" spans="2:6" ht="31.95" hidden="1" customHeight="1" x14ac:dyDescent="0.3">
      <c r="B966" s="6" t="str">
        <f ca="1">IF(AND(NEGOCIAÇÕES!O966="",NEGOCIAÇÕES!N966&lt;TODAY()),NEGOCIAÇÕES!C966,"")</f>
        <v/>
      </c>
      <c r="C966" s="6" t="str">
        <f ca="1">IF(AND(NEGOCIAÇÕES!O966="",NEGOCIAÇÕES!N966&lt;TODAY()),NEGOCIAÇÕES!E966,"")</f>
        <v/>
      </c>
      <c r="D966" s="6" t="str">
        <f ca="1">IF(AND(NEGOCIAÇÕES!O966="",NEGOCIAÇÕES!N966&lt;TODAY()),NEGOCIAÇÕES!D966,"")</f>
        <v/>
      </c>
      <c r="E966" s="9" t="str">
        <f ca="1">IF(AND(NEGOCIAÇÕES!O966="",NEGOCIAÇÕES!N966&lt;TODAY()),NEGOCIAÇÕES!N966,"")</f>
        <v/>
      </c>
      <c r="F966" s="6"/>
    </row>
    <row r="967" spans="2:6" ht="31.95" hidden="1" customHeight="1" x14ac:dyDescent="0.3">
      <c r="B967" s="6" t="str">
        <f ca="1">IF(AND(NEGOCIAÇÕES!O967="",NEGOCIAÇÕES!N967&lt;TODAY()),NEGOCIAÇÕES!C967,"")</f>
        <v/>
      </c>
      <c r="C967" s="6" t="str">
        <f ca="1">IF(AND(NEGOCIAÇÕES!O967="",NEGOCIAÇÕES!N967&lt;TODAY()),NEGOCIAÇÕES!E967,"")</f>
        <v/>
      </c>
      <c r="D967" s="6" t="str">
        <f ca="1">IF(AND(NEGOCIAÇÕES!O967="",NEGOCIAÇÕES!N967&lt;TODAY()),NEGOCIAÇÕES!D967,"")</f>
        <v/>
      </c>
      <c r="E967" s="9" t="str">
        <f ca="1">IF(AND(NEGOCIAÇÕES!O967="",NEGOCIAÇÕES!N967&lt;TODAY()),NEGOCIAÇÕES!N967,"")</f>
        <v/>
      </c>
      <c r="F967" s="6"/>
    </row>
    <row r="968" spans="2:6" ht="31.95" hidden="1" customHeight="1" x14ac:dyDescent="0.3">
      <c r="B968" s="6" t="str">
        <f ca="1">IF(AND(NEGOCIAÇÕES!O968="",NEGOCIAÇÕES!N968&lt;TODAY()),NEGOCIAÇÕES!C968,"")</f>
        <v/>
      </c>
      <c r="C968" s="6" t="str">
        <f ca="1">IF(AND(NEGOCIAÇÕES!O968="",NEGOCIAÇÕES!N968&lt;TODAY()),NEGOCIAÇÕES!E968,"")</f>
        <v/>
      </c>
      <c r="D968" s="6" t="str">
        <f ca="1">IF(AND(NEGOCIAÇÕES!O968="",NEGOCIAÇÕES!N968&lt;TODAY()),NEGOCIAÇÕES!D968,"")</f>
        <v/>
      </c>
      <c r="E968" s="9" t="str">
        <f ca="1">IF(AND(NEGOCIAÇÕES!O968="",NEGOCIAÇÕES!N968&lt;TODAY()),NEGOCIAÇÕES!N968,"")</f>
        <v/>
      </c>
      <c r="F968" s="6"/>
    </row>
    <row r="969" spans="2:6" ht="31.95" hidden="1" customHeight="1" x14ac:dyDescent="0.3">
      <c r="B969" s="6" t="str">
        <f ca="1">IF(AND(NEGOCIAÇÕES!O969="",NEGOCIAÇÕES!N969&lt;TODAY()),NEGOCIAÇÕES!C969,"")</f>
        <v/>
      </c>
      <c r="C969" s="6" t="str">
        <f ca="1">IF(AND(NEGOCIAÇÕES!O969="",NEGOCIAÇÕES!N969&lt;TODAY()),NEGOCIAÇÕES!E969,"")</f>
        <v/>
      </c>
      <c r="D969" s="6" t="str">
        <f ca="1">IF(AND(NEGOCIAÇÕES!O969="",NEGOCIAÇÕES!N969&lt;TODAY()),NEGOCIAÇÕES!D969,"")</f>
        <v/>
      </c>
      <c r="E969" s="9" t="str">
        <f ca="1">IF(AND(NEGOCIAÇÕES!O969="",NEGOCIAÇÕES!N969&lt;TODAY()),NEGOCIAÇÕES!N969,"")</f>
        <v/>
      </c>
      <c r="F969" s="6"/>
    </row>
    <row r="970" spans="2:6" ht="31.95" hidden="1" customHeight="1" x14ac:dyDescent="0.3">
      <c r="B970" s="6" t="str">
        <f ca="1">IF(AND(NEGOCIAÇÕES!O970="",NEGOCIAÇÕES!N970&lt;TODAY()),NEGOCIAÇÕES!C970,"")</f>
        <v/>
      </c>
      <c r="C970" s="6" t="str">
        <f ca="1">IF(AND(NEGOCIAÇÕES!O970="",NEGOCIAÇÕES!N970&lt;TODAY()),NEGOCIAÇÕES!E970,"")</f>
        <v/>
      </c>
      <c r="D970" s="6" t="str">
        <f ca="1">IF(AND(NEGOCIAÇÕES!O970="",NEGOCIAÇÕES!N970&lt;TODAY()),NEGOCIAÇÕES!D970,"")</f>
        <v/>
      </c>
      <c r="E970" s="9" t="str">
        <f ca="1">IF(AND(NEGOCIAÇÕES!O970="",NEGOCIAÇÕES!N970&lt;TODAY()),NEGOCIAÇÕES!N970,"")</f>
        <v/>
      </c>
      <c r="F970" s="6"/>
    </row>
    <row r="971" spans="2:6" ht="31.95" hidden="1" customHeight="1" x14ac:dyDescent="0.3">
      <c r="B971" s="6" t="str">
        <f ca="1">IF(AND(NEGOCIAÇÕES!O971="",NEGOCIAÇÕES!N971&lt;TODAY()),NEGOCIAÇÕES!C971,"")</f>
        <v/>
      </c>
      <c r="C971" s="6" t="str">
        <f ca="1">IF(AND(NEGOCIAÇÕES!O971="",NEGOCIAÇÕES!N971&lt;TODAY()),NEGOCIAÇÕES!E971,"")</f>
        <v/>
      </c>
      <c r="D971" s="6" t="str">
        <f ca="1">IF(AND(NEGOCIAÇÕES!O971="",NEGOCIAÇÕES!N971&lt;TODAY()),NEGOCIAÇÕES!D971,"")</f>
        <v/>
      </c>
      <c r="E971" s="9" t="str">
        <f ca="1">IF(AND(NEGOCIAÇÕES!O971="",NEGOCIAÇÕES!N971&lt;TODAY()),NEGOCIAÇÕES!N971,"")</f>
        <v/>
      </c>
      <c r="F971" s="6"/>
    </row>
    <row r="972" spans="2:6" ht="31.95" hidden="1" customHeight="1" x14ac:dyDescent="0.3">
      <c r="B972" s="6" t="str">
        <f ca="1">IF(AND(NEGOCIAÇÕES!O972="",NEGOCIAÇÕES!N972&lt;TODAY()),NEGOCIAÇÕES!C972,"")</f>
        <v/>
      </c>
      <c r="C972" s="6" t="str">
        <f ca="1">IF(AND(NEGOCIAÇÕES!O972="",NEGOCIAÇÕES!N972&lt;TODAY()),NEGOCIAÇÕES!E972,"")</f>
        <v/>
      </c>
      <c r="D972" s="6" t="str">
        <f ca="1">IF(AND(NEGOCIAÇÕES!O972="",NEGOCIAÇÕES!N972&lt;TODAY()),NEGOCIAÇÕES!D972,"")</f>
        <v/>
      </c>
      <c r="E972" s="9" t="str">
        <f ca="1">IF(AND(NEGOCIAÇÕES!O972="",NEGOCIAÇÕES!N972&lt;TODAY()),NEGOCIAÇÕES!N972,"")</f>
        <v/>
      </c>
      <c r="F972" s="6"/>
    </row>
    <row r="973" spans="2:6" ht="31.95" hidden="1" customHeight="1" x14ac:dyDescent="0.3">
      <c r="B973" s="6" t="str">
        <f ca="1">IF(AND(NEGOCIAÇÕES!O973="",NEGOCIAÇÕES!N973&lt;TODAY()),NEGOCIAÇÕES!C973,"")</f>
        <v/>
      </c>
      <c r="C973" s="6" t="str">
        <f ca="1">IF(AND(NEGOCIAÇÕES!O973="",NEGOCIAÇÕES!N973&lt;TODAY()),NEGOCIAÇÕES!E973,"")</f>
        <v/>
      </c>
      <c r="D973" s="6" t="str">
        <f ca="1">IF(AND(NEGOCIAÇÕES!O973="",NEGOCIAÇÕES!N973&lt;TODAY()),NEGOCIAÇÕES!D973,"")</f>
        <v/>
      </c>
      <c r="E973" s="9" t="str">
        <f ca="1">IF(AND(NEGOCIAÇÕES!O973="",NEGOCIAÇÕES!N973&lt;TODAY()),NEGOCIAÇÕES!N973,"")</f>
        <v/>
      </c>
      <c r="F973" s="6"/>
    </row>
    <row r="974" spans="2:6" ht="31.95" hidden="1" customHeight="1" x14ac:dyDescent="0.3">
      <c r="B974" s="6" t="str">
        <f ca="1">IF(AND(NEGOCIAÇÕES!O974="",NEGOCIAÇÕES!N974&lt;TODAY()),NEGOCIAÇÕES!C974,"")</f>
        <v/>
      </c>
      <c r="C974" s="6" t="str">
        <f ca="1">IF(AND(NEGOCIAÇÕES!O974="",NEGOCIAÇÕES!N974&lt;TODAY()),NEGOCIAÇÕES!E974,"")</f>
        <v/>
      </c>
      <c r="D974" s="6" t="str">
        <f ca="1">IF(AND(NEGOCIAÇÕES!O974="",NEGOCIAÇÕES!N974&lt;TODAY()),NEGOCIAÇÕES!D974,"")</f>
        <v/>
      </c>
      <c r="E974" s="9" t="str">
        <f ca="1">IF(AND(NEGOCIAÇÕES!O974="",NEGOCIAÇÕES!N974&lt;TODAY()),NEGOCIAÇÕES!N974,"")</f>
        <v/>
      </c>
      <c r="F974" s="6"/>
    </row>
    <row r="975" spans="2:6" ht="31.95" hidden="1" customHeight="1" x14ac:dyDescent="0.3">
      <c r="B975" s="6" t="str">
        <f ca="1">IF(AND(NEGOCIAÇÕES!O975="",NEGOCIAÇÕES!N975&lt;TODAY()),NEGOCIAÇÕES!C975,"")</f>
        <v/>
      </c>
      <c r="C975" s="6" t="str">
        <f ca="1">IF(AND(NEGOCIAÇÕES!O975="",NEGOCIAÇÕES!N975&lt;TODAY()),NEGOCIAÇÕES!E975,"")</f>
        <v/>
      </c>
      <c r="D975" s="6" t="str">
        <f ca="1">IF(AND(NEGOCIAÇÕES!O975="",NEGOCIAÇÕES!N975&lt;TODAY()),NEGOCIAÇÕES!D975,"")</f>
        <v/>
      </c>
      <c r="E975" s="9" t="str">
        <f ca="1">IF(AND(NEGOCIAÇÕES!O975="",NEGOCIAÇÕES!N975&lt;TODAY()),NEGOCIAÇÕES!N975,"")</f>
        <v/>
      </c>
      <c r="F975" s="6"/>
    </row>
    <row r="976" spans="2:6" ht="31.95" hidden="1" customHeight="1" x14ac:dyDescent="0.3">
      <c r="B976" s="6" t="str">
        <f ca="1">IF(AND(NEGOCIAÇÕES!O976="",NEGOCIAÇÕES!N976&lt;TODAY()),NEGOCIAÇÕES!C976,"")</f>
        <v/>
      </c>
      <c r="C976" s="6" t="str">
        <f ca="1">IF(AND(NEGOCIAÇÕES!O976="",NEGOCIAÇÕES!N976&lt;TODAY()),NEGOCIAÇÕES!E976,"")</f>
        <v/>
      </c>
      <c r="D976" s="6" t="str">
        <f ca="1">IF(AND(NEGOCIAÇÕES!O976="",NEGOCIAÇÕES!N976&lt;TODAY()),NEGOCIAÇÕES!D976,"")</f>
        <v/>
      </c>
      <c r="E976" s="9" t="str">
        <f ca="1">IF(AND(NEGOCIAÇÕES!O976="",NEGOCIAÇÕES!N976&lt;TODAY()),NEGOCIAÇÕES!N976,"")</f>
        <v/>
      </c>
      <c r="F976" s="6"/>
    </row>
    <row r="977" spans="2:6" ht="31.95" hidden="1" customHeight="1" x14ac:dyDescent="0.3">
      <c r="B977" s="6" t="str">
        <f ca="1">IF(AND(NEGOCIAÇÕES!O977="",NEGOCIAÇÕES!N977&lt;TODAY()),NEGOCIAÇÕES!C977,"")</f>
        <v/>
      </c>
      <c r="C977" s="6" t="str">
        <f ca="1">IF(AND(NEGOCIAÇÕES!O977="",NEGOCIAÇÕES!N977&lt;TODAY()),NEGOCIAÇÕES!E977,"")</f>
        <v/>
      </c>
      <c r="D977" s="6" t="str">
        <f ca="1">IF(AND(NEGOCIAÇÕES!O977="",NEGOCIAÇÕES!N977&lt;TODAY()),NEGOCIAÇÕES!D977,"")</f>
        <v/>
      </c>
      <c r="E977" s="9" t="str">
        <f ca="1">IF(AND(NEGOCIAÇÕES!O977="",NEGOCIAÇÕES!N977&lt;TODAY()),NEGOCIAÇÕES!N977,"")</f>
        <v/>
      </c>
      <c r="F977" s="6"/>
    </row>
    <row r="978" spans="2:6" ht="31.95" hidden="1" customHeight="1" x14ac:dyDescent="0.3">
      <c r="B978" s="6" t="str">
        <f ca="1">IF(AND(NEGOCIAÇÕES!O978="",NEGOCIAÇÕES!N978&lt;TODAY()),NEGOCIAÇÕES!C978,"")</f>
        <v/>
      </c>
      <c r="C978" s="6" t="str">
        <f ca="1">IF(AND(NEGOCIAÇÕES!O978="",NEGOCIAÇÕES!N978&lt;TODAY()),NEGOCIAÇÕES!E978,"")</f>
        <v/>
      </c>
      <c r="D978" s="6" t="str">
        <f ca="1">IF(AND(NEGOCIAÇÕES!O978="",NEGOCIAÇÕES!N978&lt;TODAY()),NEGOCIAÇÕES!D978,"")</f>
        <v/>
      </c>
      <c r="E978" s="9" t="str">
        <f ca="1">IF(AND(NEGOCIAÇÕES!O978="",NEGOCIAÇÕES!N978&lt;TODAY()),NEGOCIAÇÕES!N978,"")</f>
        <v/>
      </c>
      <c r="F978" s="6"/>
    </row>
    <row r="979" spans="2:6" ht="31.95" hidden="1" customHeight="1" x14ac:dyDescent="0.3">
      <c r="B979" s="6" t="str">
        <f ca="1">IF(AND(NEGOCIAÇÕES!O979="",NEGOCIAÇÕES!N979&lt;TODAY()),NEGOCIAÇÕES!C979,"")</f>
        <v/>
      </c>
      <c r="C979" s="6" t="str">
        <f ca="1">IF(AND(NEGOCIAÇÕES!O979="",NEGOCIAÇÕES!N979&lt;TODAY()),NEGOCIAÇÕES!E979,"")</f>
        <v/>
      </c>
      <c r="D979" s="6" t="str">
        <f ca="1">IF(AND(NEGOCIAÇÕES!O979="",NEGOCIAÇÕES!N979&lt;TODAY()),NEGOCIAÇÕES!D979,"")</f>
        <v/>
      </c>
      <c r="E979" s="9" t="str">
        <f ca="1">IF(AND(NEGOCIAÇÕES!O979="",NEGOCIAÇÕES!N979&lt;TODAY()),NEGOCIAÇÕES!N979,"")</f>
        <v/>
      </c>
      <c r="F979" s="6"/>
    </row>
    <row r="980" spans="2:6" ht="31.95" hidden="1" customHeight="1" x14ac:dyDescent="0.3">
      <c r="B980" s="6" t="str">
        <f ca="1">IF(AND(NEGOCIAÇÕES!O980="",NEGOCIAÇÕES!N980&lt;TODAY()),NEGOCIAÇÕES!C980,"")</f>
        <v/>
      </c>
      <c r="C980" s="6" t="str">
        <f ca="1">IF(AND(NEGOCIAÇÕES!O980="",NEGOCIAÇÕES!N980&lt;TODAY()),NEGOCIAÇÕES!E980,"")</f>
        <v/>
      </c>
      <c r="D980" s="6" t="str">
        <f ca="1">IF(AND(NEGOCIAÇÕES!O980="",NEGOCIAÇÕES!N980&lt;TODAY()),NEGOCIAÇÕES!D980,"")</f>
        <v/>
      </c>
      <c r="E980" s="9" t="str">
        <f ca="1">IF(AND(NEGOCIAÇÕES!O980="",NEGOCIAÇÕES!N980&lt;TODAY()),NEGOCIAÇÕES!N980,"")</f>
        <v/>
      </c>
      <c r="F980" s="6"/>
    </row>
    <row r="981" spans="2:6" ht="31.95" hidden="1" customHeight="1" x14ac:dyDescent="0.3">
      <c r="B981" s="6" t="str">
        <f ca="1">IF(AND(NEGOCIAÇÕES!O981="",NEGOCIAÇÕES!N981&lt;TODAY()),NEGOCIAÇÕES!C981,"")</f>
        <v/>
      </c>
      <c r="C981" s="6" t="str">
        <f ca="1">IF(AND(NEGOCIAÇÕES!O981="",NEGOCIAÇÕES!N981&lt;TODAY()),NEGOCIAÇÕES!E981,"")</f>
        <v/>
      </c>
      <c r="D981" s="6" t="str">
        <f ca="1">IF(AND(NEGOCIAÇÕES!O981="",NEGOCIAÇÕES!N981&lt;TODAY()),NEGOCIAÇÕES!D981,"")</f>
        <v/>
      </c>
      <c r="E981" s="9" t="str">
        <f ca="1">IF(AND(NEGOCIAÇÕES!O981="",NEGOCIAÇÕES!N981&lt;TODAY()),NEGOCIAÇÕES!N981,"")</f>
        <v/>
      </c>
      <c r="F981" s="6"/>
    </row>
    <row r="982" spans="2:6" ht="31.95" hidden="1" customHeight="1" x14ac:dyDescent="0.3">
      <c r="B982" s="6" t="str">
        <f ca="1">IF(AND(NEGOCIAÇÕES!O982="",NEGOCIAÇÕES!N982&lt;TODAY()),NEGOCIAÇÕES!C982,"")</f>
        <v/>
      </c>
      <c r="C982" s="6" t="str">
        <f ca="1">IF(AND(NEGOCIAÇÕES!O982="",NEGOCIAÇÕES!N982&lt;TODAY()),NEGOCIAÇÕES!E982,"")</f>
        <v/>
      </c>
      <c r="D982" s="6" t="str">
        <f ca="1">IF(AND(NEGOCIAÇÕES!O982="",NEGOCIAÇÕES!N982&lt;TODAY()),NEGOCIAÇÕES!D982,"")</f>
        <v/>
      </c>
      <c r="E982" s="9" t="str">
        <f ca="1">IF(AND(NEGOCIAÇÕES!O982="",NEGOCIAÇÕES!N982&lt;TODAY()),NEGOCIAÇÕES!N982,"")</f>
        <v/>
      </c>
      <c r="F982" s="6"/>
    </row>
    <row r="983" spans="2:6" ht="31.95" hidden="1" customHeight="1" x14ac:dyDescent="0.3">
      <c r="B983" s="6" t="str">
        <f ca="1">IF(AND(NEGOCIAÇÕES!O983="",NEGOCIAÇÕES!N983&lt;TODAY()),NEGOCIAÇÕES!C983,"")</f>
        <v/>
      </c>
      <c r="C983" s="6" t="str">
        <f ca="1">IF(AND(NEGOCIAÇÕES!O983="",NEGOCIAÇÕES!N983&lt;TODAY()),NEGOCIAÇÕES!E983,"")</f>
        <v/>
      </c>
      <c r="D983" s="6" t="str">
        <f ca="1">IF(AND(NEGOCIAÇÕES!O983="",NEGOCIAÇÕES!N983&lt;TODAY()),NEGOCIAÇÕES!D983,"")</f>
        <v/>
      </c>
      <c r="E983" s="9" t="str">
        <f ca="1">IF(AND(NEGOCIAÇÕES!O983="",NEGOCIAÇÕES!N983&lt;TODAY()),NEGOCIAÇÕES!N983,"")</f>
        <v/>
      </c>
      <c r="F983" s="6"/>
    </row>
    <row r="984" spans="2:6" ht="31.95" hidden="1" customHeight="1" x14ac:dyDescent="0.3">
      <c r="B984" s="6" t="str">
        <f ca="1">IF(AND(NEGOCIAÇÕES!O984="",NEGOCIAÇÕES!N984&lt;TODAY()),NEGOCIAÇÕES!C984,"")</f>
        <v/>
      </c>
      <c r="C984" s="6" t="str">
        <f ca="1">IF(AND(NEGOCIAÇÕES!O984="",NEGOCIAÇÕES!N984&lt;TODAY()),NEGOCIAÇÕES!E984,"")</f>
        <v/>
      </c>
      <c r="D984" s="6" t="str">
        <f ca="1">IF(AND(NEGOCIAÇÕES!O984="",NEGOCIAÇÕES!N984&lt;TODAY()),NEGOCIAÇÕES!D984,"")</f>
        <v/>
      </c>
      <c r="E984" s="9" t="str">
        <f ca="1">IF(AND(NEGOCIAÇÕES!O984="",NEGOCIAÇÕES!N984&lt;TODAY()),NEGOCIAÇÕES!N984,"")</f>
        <v/>
      </c>
      <c r="F984" s="6"/>
    </row>
    <row r="985" spans="2:6" ht="31.95" hidden="1" customHeight="1" x14ac:dyDescent="0.3">
      <c r="B985" s="6" t="str">
        <f ca="1">IF(AND(NEGOCIAÇÕES!O985="",NEGOCIAÇÕES!N985&lt;TODAY()),NEGOCIAÇÕES!C985,"")</f>
        <v/>
      </c>
      <c r="C985" s="6" t="str">
        <f ca="1">IF(AND(NEGOCIAÇÕES!O985="",NEGOCIAÇÕES!N985&lt;TODAY()),NEGOCIAÇÕES!E985,"")</f>
        <v/>
      </c>
      <c r="D985" s="6" t="str">
        <f ca="1">IF(AND(NEGOCIAÇÕES!O985="",NEGOCIAÇÕES!N985&lt;TODAY()),NEGOCIAÇÕES!D985,"")</f>
        <v/>
      </c>
      <c r="E985" s="9" t="str">
        <f ca="1">IF(AND(NEGOCIAÇÕES!O985="",NEGOCIAÇÕES!N985&lt;TODAY()),NEGOCIAÇÕES!N985,"")</f>
        <v/>
      </c>
      <c r="F985" s="6"/>
    </row>
    <row r="986" spans="2:6" ht="31.95" hidden="1" customHeight="1" x14ac:dyDescent="0.3">
      <c r="B986" s="6" t="str">
        <f ca="1">IF(AND(NEGOCIAÇÕES!O986="",NEGOCIAÇÕES!N986&lt;TODAY()),NEGOCIAÇÕES!C986,"")</f>
        <v/>
      </c>
      <c r="C986" s="6" t="str">
        <f ca="1">IF(AND(NEGOCIAÇÕES!O986="",NEGOCIAÇÕES!N986&lt;TODAY()),NEGOCIAÇÕES!E986,"")</f>
        <v/>
      </c>
      <c r="D986" s="6" t="str">
        <f ca="1">IF(AND(NEGOCIAÇÕES!O986="",NEGOCIAÇÕES!N986&lt;TODAY()),NEGOCIAÇÕES!D986,"")</f>
        <v/>
      </c>
      <c r="E986" s="9" t="str">
        <f ca="1">IF(AND(NEGOCIAÇÕES!O986="",NEGOCIAÇÕES!N986&lt;TODAY()),NEGOCIAÇÕES!N986,"")</f>
        <v/>
      </c>
      <c r="F986" s="6"/>
    </row>
    <row r="987" spans="2:6" ht="31.95" hidden="1" customHeight="1" x14ac:dyDescent="0.3">
      <c r="B987" s="6" t="str">
        <f ca="1">IF(AND(NEGOCIAÇÕES!O987="",NEGOCIAÇÕES!N987&lt;TODAY()),NEGOCIAÇÕES!C987,"")</f>
        <v/>
      </c>
      <c r="C987" s="6" t="str">
        <f ca="1">IF(AND(NEGOCIAÇÕES!O987="",NEGOCIAÇÕES!N987&lt;TODAY()),NEGOCIAÇÕES!E987,"")</f>
        <v/>
      </c>
      <c r="D987" s="6" t="str">
        <f ca="1">IF(AND(NEGOCIAÇÕES!O987="",NEGOCIAÇÕES!N987&lt;TODAY()),NEGOCIAÇÕES!D987,"")</f>
        <v/>
      </c>
      <c r="E987" s="9" t="str">
        <f ca="1">IF(AND(NEGOCIAÇÕES!O987="",NEGOCIAÇÕES!N987&lt;TODAY()),NEGOCIAÇÕES!N987,"")</f>
        <v/>
      </c>
      <c r="F987" s="6"/>
    </row>
    <row r="988" spans="2:6" ht="31.95" hidden="1" customHeight="1" x14ac:dyDescent="0.3">
      <c r="B988" s="6" t="str">
        <f ca="1">IF(AND(NEGOCIAÇÕES!O988="",NEGOCIAÇÕES!N988&lt;TODAY()),NEGOCIAÇÕES!C988,"")</f>
        <v/>
      </c>
      <c r="C988" s="6" t="str">
        <f ca="1">IF(AND(NEGOCIAÇÕES!O988="",NEGOCIAÇÕES!N988&lt;TODAY()),NEGOCIAÇÕES!E988,"")</f>
        <v/>
      </c>
      <c r="D988" s="6" t="str">
        <f ca="1">IF(AND(NEGOCIAÇÕES!O988="",NEGOCIAÇÕES!N988&lt;TODAY()),NEGOCIAÇÕES!D988,"")</f>
        <v/>
      </c>
      <c r="E988" s="9" t="str">
        <f ca="1">IF(AND(NEGOCIAÇÕES!O988="",NEGOCIAÇÕES!N988&lt;TODAY()),NEGOCIAÇÕES!N988,"")</f>
        <v/>
      </c>
      <c r="F988" s="6"/>
    </row>
    <row r="989" spans="2:6" ht="31.95" hidden="1" customHeight="1" x14ac:dyDescent="0.3">
      <c r="B989" s="6" t="str">
        <f ca="1">IF(AND(NEGOCIAÇÕES!O989="",NEGOCIAÇÕES!N989&lt;TODAY()),NEGOCIAÇÕES!C989,"")</f>
        <v/>
      </c>
      <c r="C989" s="6" t="str">
        <f ca="1">IF(AND(NEGOCIAÇÕES!O989="",NEGOCIAÇÕES!N989&lt;TODAY()),NEGOCIAÇÕES!E989,"")</f>
        <v/>
      </c>
      <c r="D989" s="6" t="str">
        <f ca="1">IF(AND(NEGOCIAÇÕES!O989="",NEGOCIAÇÕES!N989&lt;TODAY()),NEGOCIAÇÕES!D989,"")</f>
        <v/>
      </c>
      <c r="E989" s="9" t="str">
        <f ca="1">IF(AND(NEGOCIAÇÕES!O989="",NEGOCIAÇÕES!N989&lt;TODAY()),NEGOCIAÇÕES!N989,"")</f>
        <v/>
      </c>
      <c r="F989" s="6"/>
    </row>
    <row r="990" spans="2:6" ht="31.95" hidden="1" customHeight="1" x14ac:dyDescent="0.3">
      <c r="B990" s="6" t="str">
        <f ca="1">IF(AND(NEGOCIAÇÕES!O990="",NEGOCIAÇÕES!N990&lt;TODAY()),NEGOCIAÇÕES!C990,"")</f>
        <v/>
      </c>
      <c r="C990" s="6" t="str">
        <f ca="1">IF(AND(NEGOCIAÇÕES!O990="",NEGOCIAÇÕES!N990&lt;TODAY()),NEGOCIAÇÕES!E990,"")</f>
        <v/>
      </c>
      <c r="D990" s="6" t="str">
        <f ca="1">IF(AND(NEGOCIAÇÕES!O990="",NEGOCIAÇÕES!N990&lt;TODAY()),NEGOCIAÇÕES!D990,"")</f>
        <v/>
      </c>
      <c r="E990" s="9" t="str">
        <f ca="1">IF(AND(NEGOCIAÇÕES!O990="",NEGOCIAÇÕES!N990&lt;TODAY()),NEGOCIAÇÕES!N990,"")</f>
        <v/>
      </c>
      <c r="F990" s="6"/>
    </row>
    <row r="991" spans="2:6" ht="31.95" hidden="1" customHeight="1" x14ac:dyDescent="0.3">
      <c r="B991" s="6" t="str">
        <f ca="1">IF(AND(NEGOCIAÇÕES!O991="",NEGOCIAÇÕES!N991&lt;TODAY()),NEGOCIAÇÕES!C991,"")</f>
        <v/>
      </c>
      <c r="C991" s="6" t="str">
        <f ca="1">IF(AND(NEGOCIAÇÕES!O991="",NEGOCIAÇÕES!N991&lt;TODAY()),NEGOCIAÇÕES!E991,"")</f>
        <v/>
      </c>
      <c r="D991" s="6" t="str">
        <f ca="1">IF(AND(NEGOCIAÇÕES!O991="",NEGOCIAÇÕES!N991&lt;TODAY()),NEGOCIAÇÕES!D991,"")</f>
        <v/>
      </c>
      <c r="E991" s="9" t="str">
        <f ca="1">IF(AND(NEGOCIAÇÕES!O991="",NEGOCIAÇÕES!N991&lt;TODAY()),NEGOCIAÇÕES!N991,"")</f>
        <v/>
      </c>
      <c r="F991" s="6"/>
    </row>
    <row r="992" spans="2:6" ht="31.95" hidden="1" customHeight="1" x14ac:dyDescent="0.3">
      <c r="B992" s="6" t="str">
        <f ca="1">IF(AND(NEGOCIAÇÕES!O992="",NEGOCIAÇÕES!N992&lt;TODAY()),NEGOCIAÇÕES!C992,"")</f>
        <v/>
      </c>
      <c r="C992" s="6" t="str">
        <f ca="1">IF(AND(NEGOCIAÇÕES!O992="",NEGOCIAÇÕES!N992&lt;TODAY()),NEGOCIAÇÕES!E992,"")</f>
        <v/>
      </c>
      <c r="D992" s="6" t="str">
        <f ca="1">IF(AND(NEGOCIAÇÕES!O992="",NEGOCIAÇÕES!N992&lt;TODAY()),NEGOCIAÇÕES!D992,"")</f>
        <v/>
      </c>
      <c r="E992" s="9" t="str">
        <f ca="1">IF(AND(NEGOCIAÇÕES!O992="",NEGOCIAÇÕES!N992&lt;TODAY()),NEGOCIAÇÕES!N992,"")</f>
        <v/>
      </c>
      <c r="F992" s="6"/>
    </row>
    <row r="993" spans="2:6" ht="31.95" hidden="1" customHeight="1" x14ac:dyDescent="0.3">
      <c r="B993" s="6" t="str">
        <f ca="1">IF(AND(NEGOCIAÇÕES!O993="",NEGOCIAÇÕES!N993&lt;TODAY()),NEGOCIAÇÕES!C993,"")</f>
        <v/>
      </c>
      <c r="C993" s="6" t="str">
        <f ca="1">IF(AND(NEGOCIAÇÕES!O993="",NEGOCIAÇÕES!N993&lt;TODAY()),NEGOCIAÇÕES!E993,"")</f>
        <v/>
      </c>
      <c r="D993" s="6" t="str">
        <f ca="1">IF(AND(NEGOCIAÇÕES!O993="",NEGOCIAÇÕES!N993&lt;TODAY()),NEGOCIAÇÕES!D993,"")</f>
        <v/>
      </c>
      <c r="E993" s="9" t="str">
        <f ca="1">IF(AND(NEGOCIAÇÕES!O993="",NEGOCIAÇÕES!N993&lt;TODAY()),NEGOCIAÇÕES!N993,"")</f>
        <v/>
      </c>
      <c r="F993" s="6"/>
    </row>
    <row r="994" spans="2:6" ht="31.95" hidden="1" customHeight="1" x14ac:dyDescent="0.3">
      <c r="B994" s="6" t="str">
        <f ca="1">IF(AND(NEGOCIAÇÕES!O994="",NEGOCIAÇÕES!N994&lt;TODAY()),NEGOCIAÇÕES!C994,"")</f>
        <v/>
      </c>
      <c r="C994" s="6" t="str">
        <f ca="1">IF(AND(NEGOCIAÇÕES!O994="",NEGOCIAÇÕES!N994&lt;TODAY()),NEGOCIAÇÕES!E994,"")</f>
        <v/>
      </c>
      <c r="D994" s="6" t="str">
        <f ca="1">IF(AND(NEGOCIAÇÕES!O994="",NEGOCIAÇÕES!N994&lt;TODAY()),NEGOCIAÇÕES!D994,"")</f>
        <v/>
      </c>
      <c r="E994" s="9" t="str">
        <f ca="1">IF(AND(NEGOCIAÇÕES!O994="",NEGOCIAÇÕES!N994&lt;TODAY()),NEGOCIAÇÕES!N994,"")</f>
        <v/>
      </c>
      <c r="F994" s="6"/>
    </row>
    <row r="995" spans="2:6" ht="31.95" hidden="1" customHeight="1" x14ac:dyDescent="0.3">
      <c r="B995" s="6" t="str">
        <f ca="1">IF(AND(NEGOCIAÇÕES!O995="",NEGOCIAÇÕES!N995&lt;TODAY()),NEGOCIAÇÕES!C995,"")</f>
        <v/>
      </c>
      <c r="C995" s="6" t="str">
        <f ca="1">IF(AND(NEGOCIAÇÕES!O995="",NEGOCIAÇÕES!N995&lt;TODAY()),NEGOCIAÇÕES!E995,"")</f>
        <v/>
      </c>
      <c r="D995" s="6" t="str">
        <f ca="1">IF(AND(NEGOCIAÇÕES!O995="",NEGOCIAÇÕES!N995&lt;TODAY()),NEGOCIAÇÕES!D995,"")</f>
        <v/>
      </c>
      <c r="E995" s="9" t="str">
        <f ca="1">IF(AND(NEGOCIAÇÕES!O995="",NEGOCIAÇÕES!N995&lt;TODAY()),NEGOCIAÇÕES!N995,"")</f>
        <v/>
      </c>
      <c r="F995" s="6"/>
    </row>
    <row r="996" spans="2:6" ht="31.95" hidden="1" customHeight="1" x14ac:dyDescent="0.3">
      <c r="B996" s="6" t="str">
        <f ca="1">IF(AND(NEGOCIAÇÕES!O996="",NEGOCIAÇÕES!N996&lt;TODAY()),NEGOCIAÇÕES!C996,"")</f>
        <v/>
      </c>
      <c r="C996" s="6" t="str">
        <f ca="1">IF(AND(NEGOCIAÇÕES!O996="",NEGOCIAÇÕES!N996&lt;TODAY()),NEGOCIAÇÕES!E996,"")</f>
        <v/>
      </c>
      <c r="D996" s="6" t="str">
        <f ca="1">IF(AND(NEGOCIAÇÕES!O996="",NEGOCIAÇÕES!N996&lt;TODAY()),NEGOCIAÇÕES!D996,"")</f>
        <v/>
      </c>
      <c r="E996" s="9" t="str">
        <f ca="1">IF(AND(NEGOCIAÇÕES!O996="",NEGOCIAÇÕES!N996&lt;TODAY()),NEGOCIAÇÕES!N996,"")</f>
        <v/>
      </c>
      <c r="F996" s="6"/>
    </row>
    <row r="997" spans="2:6" ht="31.95" hidden="1" customHeight="1" x14ac:dyDescent="0.3">
      <c r="B997" s="6" t="str">
        <f ca="1">IF(AND(NEGOCIAÇÕES!O997="",NEGOCIAÇÕES!N997&lt;TODAY()),NEGOCIAÇÕES!C997,"")</f>
        <v/>
      </c>
      <c r="C997" s="6" t="str">
        <f ca="1">IF(AND(NEGOCIAÇÕES!O997="",NEGOCIAÇÕES!N997&lt;TODAY()),NEGOCIAÇÕES!E997,"")</f>
        <v/>
      </c>
      <c r="D997" s="6" t="str">
        <f ca="1">IF(AND(NEGOCIAÇÕES!O997="",NEGOCIAÇÕES!N997&lt;TODAY()),NEGOCIAÇÕES!D997,"")</f>
        <v/>
      </c>
      <c r="E997" s="9" t="str">
        <f ca="1">IF(AND(NEGOCIAÇÕES!O997="",NEGOCIAÇÕES!N997&lt;TODAY()),NEGOCIAÇÕES!N997,"")</f>
        <v/>
      </c>
      <c r="F997" s="6"/>
    </row>
    <row r="998" spans="2:6" ht="31.95" hidden="1" customHeight="1" x14ac:dyDescent="0.3">
      <c r="B998" s="6" t="str">
        <f ca="1">IF(AND(NEGOCIAÇÕES!O998="",NEGOCIAÇÕES!N998&lt;TODAY()),NEGOCIAÇÕES!C998,"")</f>
        <v/>
      </c>
      <c r="C998" s="6" t="str">
        <f ca="1">IF(AND(NEGOCIAÇÕES!O998="",NEGOCIAÇÕES!N998&lt;TODAY()),NEGOCIAÇÕES!E998,"")</f>
        <v/>
      </c>
      <c r="D998" s="6" t="str">
        <f ca="1">IF(AND(NEGOCIAÇÕES!O998="",NEGOCIAÇÕES!N998&lt;TODAY()),NEGOCIAÇÕES!D998,"")</f>
        <v/>
      </c>
      <c r="E998" s="9" t="str">
        <f ca="1">IF(AND(NEGOCIAÇÕES!O998="",NEGOCIAÇÕES!N998&lt;TODAY()),NEGOCIAÇÕES!N998,"")</f>
        <v/>
      </c>
      <c r="F998" s="6"/>
    </row>
    <row r="999" spans="2:6" ht="31.95" hidden="1" customHeight="1" x14ac:dyDescent="0.3">
      <c r="B999" s="6" t="str">
        <f ca="1">IF(AND(NEGOCIAÇÕES!O999="",NEGOCIAÇÕES!N999&lt;TODAY()),NEGOCIAÇÕES!C999,"")</f>
        <v/>
      </c>
      <c r="C999" s="6" t="str">
        <f ca="1">IF(AND(NEGOCIAÇÕES!O999="",NEGOCIAÇÕES!N999&lt;TODAY()),NEGOCIAÇÕES!E999,"")</f>
        <v/>
      </c>
      <c r="D999" s="6" t="str">
        <f ca="1">IF(AND(NEGOCIAÇÕES!O999="",NEGOCIAÇÕES!N999&lt;TODAY()),NEGOCIAÇÕES!D999,"")</f>
        <v/>
      </c>
      <c r="E999" s="9" t="str">
        <f ca="1">IF(AND(NEGOCIAÇÕES!O999="",NEGOCIAÇÕES!N999&lt;TODAY()),NEGOCIAÇÕES!N999,"")</f>
        <v/>
      </c>
      <c r="F999" s="6"/>
    </row>
    <row r="1000" spans="2:6" ht="31.95" hidden="1" customHeight="1" x14ac:dyDescent="0.3">
      <c r="B1000" s="6" t="str">
        <f ca="1">IF(AND(NEGOCIAÇÕES!O1000="",NEGOCIAÇÕES!N1000&lt;TODAY()),NEGOCIAÇÕES!C1000,"")</f>
        <v/>
      </c>
      <c r="C1000" s="6" t="str">
        <f ca="1">IF(AND(NEGOCIAÇÕES!O1000="",NEGOCIAÇÕES!N1000&lt;TODAY()),NEGOCIAÇÕES!E1000,"")</f>
        <v/>
      </c>
      <c r="D1000" s="6" t="str">
        <f ca="1">IF(AND(NEGOCIAÇÕES!O1000="",NEGOCIAÇÕES!N1000&lt;TODAY()),NEGOCIAÇÕES!D1000,"")</f>
        <v/>
      </c>
      <c r="E1000" s="9" t="str">
        <f ca="1">IF(AND(NEGOCIAÇÕES!O1000="",NEGOCIAÇÕES!N1000&lt;TODAY()),NEGOCIAÇÕES!N1000,"")</f>
        <v/>
      </c>
      <c r="F1000" s="6"/>
    </row>
    <row r="1001" spans="2:6" ht="31.95" hidden="1" customHeight="1" x14ac:dyDescent="0.3">
      <c r="B1001" s="6" t="str">
        <f ca="1">IF(AND(NEGOCIAÇÕES!O1001="",NEGOCIAÇÕES!N1001&lt;TODAY()),NEGOCIAÇÕES!C1001,"")</f>
        <v/>
      </c>
      <c r="C1001" s="6" t="str">
        <f ca="1">IF(AND(NEGOCIAÇÕES!O1001="",NEGOCIAÇÕES!N1001&lt;TODAY()),NEGOCIAÇÕES!E1001,"")</f>
        <v/>
      </c>
      <c r="D1001" s="6" t="str">
        <f ca="1">IF(AND(NEGOCIAÇÕES!O1001="",NEGOCIAÇÕES!N1001&lt;TODAY()),NEGOCIAÇÕES!D1001,"")</f>
        <v/>
      </c>
      <c r="E1001" s="9" t="str">
        <f ca="1">IF(AND(NEGOCIAÇÕES!O1001="",NEGOCIAÇÕES!N1001&lt;TODAY()),NEGOCIAÇÕES!N1001,"")</f>
        <v/>
      </c>
      <c r="F1001" s="6"/>
    </row>
    <row r="1002" spans="2:6" ht="31.95" hidden="1" customHeight="1" x14ac:dyDescent="0.3">
      <c r="B1002" s="6" t="str">
        <f ca="1">IF(AND(NEGOCIAÇÕES!O1002="",NEGOCIAÇÕES!N1002&lt;TODAY()),NEGOCIAÇÕES!C1002,"")</f>
        <v/>
      </c>
      <c r="C1002" s="6" t="str">
        <f ca="1">IF(AND(NEGOCIAÇÕES!O1002="",NEGOCIAÇÕES!N1002&lt;TODAY()),NEGOCIAÇÕES!E1002,"")</f>
        <v/>
      </c>
      <c r="D1002" s="6" t="str">
        <f ca="1">IF(AND(NEGOCIAÇÕES!O1002="",NEGOCIAÇÕES!N1002&lt;TODAY()),NEGOCIAÇÕES!D1002,"")</f>
        <v/>
      </c>
      <c r="E1002" s="9" t="str">
        <f ca="1">IF(AND(NEGOCIAÇÕES!O1002="",NEGOCIAÇÕES!N1002&lt;TODAY()),NEGOCIAÇÕES!N1002,"")</f>
        <v/>
      </c>
      <c r="F1002" s="6"/>
    </row>
    <row r="1003" spans="2:6" ht="31.95" hidden="1" customHeight="1" x14ac:dyDescent="0.3">
      <c r="B1003" s="6" t="str">
        <f ca="1">IF(AND(NEGOCIAÇÕES!O1003="",NEGOCIAÇÕES!N1003&lt;TODAY()),NEGOCIAÇÕES!C1003,"")</f>
        <v/>
      </c>
      <c r="C1003" s="6" t="str">
        <f ca="1">IF(AND(NEGOCIAÇÕES!O1003="",NEGOCIAÇÕES!N1003&lt;TODAY()),NEGOCIAÇÕES!E1003,"")</f>
        <v/>
      </c>
      <c r="D1003" s="6" t="str">
        <f ca="1">IF(AND(NEGOCIAÇÕES!O1003="",NEGOCIAÇÕES!N1003&lt;TODAY()),NEGOCIAÇÕES!D1003,"")</f>
        <v/>
      </c>
      <c r="E1003" s="9" t="str">
        <f ca="1">IF(AND(NEGOCIAÇÕES!O1003="",NEGOCIAÇÕES!N1003&lt;TODAY()),NEGOCIAÇÕES!N1003,"")</f>
        <v/>
      </c>
      <c r="F1003" s="6"/>
    </row>
    <row r="1004" spans="2:6" ht="31.95" hidden="1" customHeight="1" x14ac:dyDescent="0.3">
      <c r="B1004" s="6" t="str">
        <f ca="1">IF(AND(NEGOCIAÇÕES!O1004="",NEGOCIAÇÕES!N1004&lt;TODAY()),NEGOCIAÇÕES!C1004,"")</f>
        <v/>
      </c>
      <c r="C1004" s="6" t="str">
        <f ca="1">IF(AND(NEGOCIAÇÕES!O1004="",NEGOCIAÇÕES!N1004&lt;TODAY()),NEGOCIAÇÕES!E1004,"")</f>
        <v/>
      </c>
      <c r="D1004" s="6" t="str">
        <f ca="1">IF(AND(NEGOCIAÇÕES!O1004="",NEGOCIAÇÕES!N1004&lt;TODAY()),NEGOCIAÇÕES!D1004,"")</f>
        <v/>
      </c>
      <c r="E1004" s="9" t="str">
        <f ca="1">IF(AND(NEGOCIAÇÕES!O1004="",NEGOCIAÇÕES!N1004&lt;TODAY()),NEGOCIAÇÕES!N1004,"")</f>
        <v/>
      </c>
      <c r="F1004" s="6"/>
    </row>
    <row r="1005" spans="2:6" ht="31.95" hidden="1" customHeight="1" x14ac:dyDescent="0.3">
      <c r="B1005" s="6" t="str">
        <f ca="1">IF(AND(NEGOCIAÇÕES!O1005="",NEGOCIAÇÕES!N1005&lt;TODAY()),NEGOCIAÇÕES!C1005,"")</f>
        <v/>
      </c>
      <c r="C1005" s="6" t="str">
        <f ca="1">IF(AND(NEGOCIAÇÕES!O1005="",NEGOCIAÇÕES!N1005&lt;TODAY()),NEGOCIAÇÕES!E1005,"")</f>
        <v/>
      </c>
      <c r="D1005" s="6" t="str">
        <f ca="1">IF(AND(NEGOCIAÇÕES!O1005="",NEGOCIAÇÕES!N1005&lt;TODAY()),NEGOCIAÇÕES!D1005,"")</f>
        <v/>
      </c>
      <c r="E1005" s="9" t="str">
        <f ca="1">IF(AND(NEGOCIAÇÕES!O1005="",NEGOCIAÇÕES!N1005&lt;TODAY()),NEGOCIAÇÕES!N1005,"")</f>
        <v/>
      </c>
    </row>
    <row r="1006" spans="2:6" ht="31.95" hidden="1" customHeight="1" x14ac:dyDescent="0.3">
      <c r="B1006" s="6" t="str">
        <f ca="1">IF(AND(NEGOCIAÇÕES!O1006="",NEGOCIAÇÕES!N1006&lt;TODAY()),NEGOCIAÇÕES!C1006,"")</f>
        <v/>
      </c>
      <c r="C1006" s="6" t="str">
        <f ca="1">IF(AND(NEGOCIAÇÕES!O1006="",NEGOCIAÇÕES!N1006&lt;TODAY()),NEGOCIAÇÕES!E1006,"")</f>
        <v/>
      </c>
      <c r="D1006" s="6" t="str">
        <f ca="1">IF(AND(NEGOCIAÇÕES!O1006="",NEGOCIAÇÕES!N1006&lt;TODAY()),NEGOCIAÇÕES!D1006,"")</f>
        <v/>
      </c>
      <c r="E1006" s="9" t="str">
        <f ca="1">IF(AND(NEGOCIAÇÕES!O1006="",NEGOCIAÇÕES!N1006&lt;TODAY()),NEGOCIAÇÕES!N1006,"")</f>
        <v/>
      </c>
    </row>
    <row r="1007" spans="2:6" ht="31.95" hidden="1" customHeight="1" x14ac:dyDescent="0.3">
      <c r="B1007" s="6" t="str">
        <f ca="1">IF(AND(NEGOCIAÇÕES!O1007="",NEGOCIAÇÕES!N1007&lt;TODAY()),NEGOCIAÇÕES!C1007,"")</f>
        <v/>
      </c>
      <c r="C1007" s="6" t="str">
        <f ca="1">IF(AND(NEGOCIAÇÕES!O1007="",NEGOCIAÇÕES!N1007&lt;TODAY()),NEGOCIAÇÕES!E1007,"")</f>
        <v/>
      </c>
      <c r="D1007" s="6" t="str">
        <f ca="1">IF(AND(NEGOCIAÇÕES!O1007="",NEGOCIAÇÕES!N1007&lt;TODAY()),NEGOCIAÇÕES!D1007,"")</f>
        <v/>
      </c>
      <c r="E1007" s="9" t="str">
        <f ca="1">IF(AND(NEGOCIAÇÕES!O1007="",NEGOCIAÇÕES!N1007&lt;TODAY()),NEGOCIAÇÕES!N1007,"")</f>
        <v/>
      </c>
    </row>
    <row r="1008" spans="2:6" ht="31.95" hidden="1" customHeight="1" x14ac:dyDescent="0.3">
      <c r="B1008" s="6" t="str">
        <f ca="1">IF(AND(NEGOCIAÇÕES!O1008="",NEGOCIAÇÕES!N1008&lt;TODAY()),NEGOCIAÇÕES!C1008,"")</f>
        <v/>
      </c>
      <c r="C1008" s="6" t="str">
        <f ca="1">IF(AND(NEGOCIAÇÕES!O1008="",NEGOCIAÇÕES!N1008&lt;TODAY()),NEGOCIAÇÕES!E1008,"")</f>
        <v/>
      </c>
      <c r="D1008" s="6" t="str">
        <f ca="1">IF(AND(NEGOCIAÇÕES!O1008="",NEGOCIAÇÕES!N1008&lt;TODAY()),NEGOCIAÇÕES!D1008,"")</f>
        <v/>
      </c>
      <c r="E1008" s="9" t="str">
        <f ca="1">IF(AND(NEGOCIAÇÕES!O1008="",NEGOCIAÇÕES!N1008&lt;TODAY()),NEGOCIAÇÕES!N1008,"")</f>
        <v/>
      </c>
    </row>
    <row r="1009" spans="2:5" ht="31.95" hidden="1" customHeight="1" x14ac:dyDescent="0.3">
      <c r="B1009" s="6" t="str">
        <f ca="1">IF(AND(NEGOCIAÇÕES!O1009="",NEGOCIAÇÕES!N1009&lt;TODAY()),NEGOCIAÇÕES!C1009,"")</f>
        <v/>
      </c>
      <c r="C1009" s="6" t="str">
        <f ca="1">IF(AND(NEGOCIAÇÕES!O1009="",NEGOCIAÇÕES!N1009&lt;TODAY()),NEGOCIAÇÕES!E1009,"")</f>
        <v/>
      </c>
      <c r="D1009" s="6" t="str">
        <f ca="1">IF(AND(NEGOCIAÇÕES!O1009="",NEGOCIAÇÕES!N1009&lt;TODAY()),NEGOCIAÇÕES!D1009,"")</f>
        <v/>
      </c>
      <c r="E1009" s="9" t="str">
        <f ca="1">IF(AND(NEGOCIAÇÕES!O1009="",NEGOCIAÇÕES!N1009&lt;TODAY()),NEGOCIAÇÕES!N1009,"")</f>
        <v/>
      </c>
    </row>
    <row r="1010" spans="2:5" ht="31.95" hidden="1" customHeight="1" x14ac:dyDescent="0.3">
      <c r="B1010" s="6" t="str">
        <f ca="1">IF(AND(NEGOCIAÇÕES!O1010="",NEGOCIAÇÕES!N1010&lt;TODAY()),NEGOCIAÇÕES!C1010,"")</f>
        <v/>
      </c>
      <c r="C1010" s="6" t="str">
        <f ca="1">IF(AND(NEGOCIAÇÕES!O1010="",NEGOCIAÇÕES!N1010&lt;TODAY()),NEGOCIAÇÕES!E1010,"")</f>
        <v/>
      </c>
      <c r="D1010" s="6" t="str">
        <f ca="1">IF(AND(NEGOCIAÇÕES!O1010="",NEGOCIAÇÕES!N1010&lt;TODAY()),NEGOCIAÇÕES!D1010,"")</f>
        <v/>
      </c>
      <c r="E1010" s="9" t="str">
        <f ca="1">IF(AND(NEGOCIAÇÕES!O1010="",NEGOCIAÇÕES!N1010&lt;TODAY()),NEGOCIAÇÕES!N1010,"")</f>
        <v/>
      </c>
    </row>
    <row r="1011" spans="2:5" ht="31.95" hidden="1" customHeight="1" x14ac:dyDescent="0.3">
      <c r="B1011" s="6" t="str">
        <f ca="1">IF(AND(NEGOCIAÇÕES!O1011="",NEGOCIAÇÕES!N1011&lt;TODAY()),NEGOCIAÇÕES!C1011,"")</f>
        <v/>
      </c>
      <c r="C1011" s="6" t="str">
        <f ca="1">IF(AND(NEGOCIAÇÕES!O1011="",NEGOCIAÇÕES!N1011&lt;TODAY()),NEGOCIAÇÕES!E1011,"")</f>
        <v/>
      </c>
      <c r="D1011" s="6" t="str">
        <f ca="1">IF(AND(NEGOCIAÇÕES!O1011="",NEGOCIAÇÕES!N1011&lt;TODAY()),NEGOCIAÇÕES!D1011,"")</f>
        <v/>
      </c>
      <c r="E1011" s="9" t="str">
        <f ca="1">IF(AND(NEGOCIAÇÕES!O1011="",NEGOCIAÇÕES!N1011&lt;TODAY()),NEGOCIAÇÕES!N1011,"")</f>
        <v/>
      </c>
    </row>
    <row r="1012" spans="2:5" ht="31.95" hidden="1" customHeight="1" x14ac:dyDescent="0.3">
      <c r="B1012" s="6" t="str">
        <f ca="1">IF(AND(NEGOCIAÇÕES!O1012="",NEGOCIAÇÕES!N1012&lt;TODAY()),NEGOCIAÇÕES!C1012,"")</f>
        <v/>
      </c>
      <c r="C1012" s="6" t="str">
        <f ca="1">IF(AND(NEGOCIAÇÕES!O1012="",NEGOCIAÇÕES!N1012&lt;TODAY()),NEGOCIAÇÕES!E1012,"")</f>
        <v/>
      </c>
      <c r="D1012" s="6" t="str">
        <f ca="1">IF(AND(NEGOCIAÇÕES!O1012="",NEGOCIAÇÕES!N1012&lt;TODAY()),NEGOCIAÇÕES!D1012,"")</f>
        <v/>
      </c>
      <c r="E1012" s="9" t="str">
        <f ca="1">IF(AND(NEGOCIAÇÕES!O1012="",NEGOCIAÇÕES!N1012&lt;TODAY()),NEGOCIAÇÕES!N1012,"")</f>
        <v/>
      </c>
    </row>
    <row r="1013" spans="2:5" ht="31.95" hidden="1" customHeight="1" x14ac:dyDescent="0.3">
      <c r="B1013" s="6" t="str">
        <f ca="1">IF(AND(NEGOCIAÇÕES!O1013="",NEGOCIAÇÕES!N1013&lt;TODAY()),NEGOCIAÇÕES!C1013,"")</f>
        <v/>
      </c>
      <c r="C1013" s="6" t="str">
        <f ca="1">IF(AND(NEGOCIAÇÕES!O1013="",NEGOCIAÇÕES!N1013&lt;TODAY()),NEGOCIAÇÕES!E1013,"")</f>
        <v/>
      </c>
      <c r="D1013" s="6" t="str">
        <f ca="1">IF(AND(NEGOCIAÇÕES!O1013="",NEGOCIAÇÕES!N1013&lt;TODAY()),NEGOCIAÇÕES!D1013,"")</f>
        <v/>
      </c>
      <c r="E1013" s="9" t="str">
        <f ca="1">IF(AND(NEGOCIAÇÕES!O1013="",NEGOCIAÇÕES!N1013&lt;TODAY()),NEGOCIAÇÕES!N1013,"")</f>
        <v/>
      </c>
    </row>
    <row r="1014" spans="2:5" ht="31.95" hidden="1" customHeight="1" x14ac:dyDescent="0.3">
      <c r="B1014" s="6" t="str">
        <f ca="1">IF(AND(NEGOCIAÇÕES!O1014="",NEGOCIAÇÕES!N1014&lt;TODAY()),NEGOCIAÇÕES!C1014,"")</f>
        <v/>
      </c>
      <c r="C1014" s="6" t="str">
        <f ca="1">IF(AND(NEGOCIAÇÕES!O1014="",NEGOCIAÇÕES!N1014&lt;TODAY()),NEGOCIAÇÕES!E1014,"")</f>
        <v/>
      </c>
      <c r="D1014" s="6" t="str">
        <f ca="1">IF(AND(NEGOCIAÇÕES!O1014="",NEGOCIAÇÕES!N1014&lt;TODAY()),NEGOCIAÇÕES!D1014,"")</f>
        <v/>
      </c>
      <c r="E1014" s="9" t="str">
        <f ca="1">IF(AND(NEGOCIAÇÕES!O1014="",NEGOCIAÇÕES!N1014&lt;TODAY()),NEGOCIAÇÕES!N1014,"")</f>
        <v/>
      </c>
    </row>
    <row r="1015" spans="2:5" ht="31.95" hidden="1" customHeight="1" x14ac:dyDescent="0.3">
      <c r="B1015" s="6" t="str">
        <f ca="1">IF(AND(NEGOCIAÇÕES!O1015="",NEGOCIAÇÕES!N1015&lt;TODAY()),NEGOCIAÇÕES!C1015,"")</f>
        <v/>
      </c>
      <c r="C1015" s="6" t="str">
        <f ca="1">IF(AND(NEGOCIAÇÕES!O1015="",NEGOCIAÇÕES!N1015&lt;TODAY()),NEGOCIAÇÕES!E1015,"")</f>
        <v/>
      </c>
      <c r="D1015" s="6" t="str">
        <f ca="1">IF(AND(NEGOCIAÇÕES!O1015="",NEGOCIAÇÕES!N1015&lt;TODAY()),NEGOCIAÇÕES!D1015,"")</f>
        <v/>
      </c>
      <c r="E1015" s="9" t="str">
        <f ca="1">IF(AND(NEGOCIAÇÕES!O1015="",NEGOCIAÇÕES!N1015&lt;TODAY()),NEGOCIAÇÕES!N1015,"")</f>
        <v/>
      </c>
    </row>
    <row r="1016" spans="2:5" ht="31.95" hidden="1" customHeight="1" x14ac:dyDescent="0.3">
      <c r="B1016" s="6" t="str">
        <f ca="1">IF(AND(NEGOCIAÇÕES!O1016="",NEGOCIAÇÕES!N1016&lt;TODAY()),NEGOCIAÇÕES!C1016,"")</f>
        <v/>
      </c>
      <c r="C1016" s="6" t="str">
        <f ca="1">IF(AND(NEGOCIAÇÕES!O1016="",NEGOCIAÇÕES!N1016&lt;TODAY()),NEGOCIAÇÕES!E1016,"")</f>
        <v/>
      </c>
      <c r="D1016" s="6" t="str">
        <f ca="1">IF(AND(NEGOCIAÇÕES!O1016="",NEGOCIAÇÕES!N1016&lt;TODAY()),NEGOCIAÇÕES!D1016,"")</f>
        <v/>
      </c>
      <c r="E1016" s="9" t="str">
        <f ca="1">IF(AND(NEGOCIAÇÕES!O1016="",NEGOCIAÇÕES!N1016&lt;TODAY()),NEGOCIAÇÕES!N1016,"")</f>
        <v/>
      </c>
    </row>
    <row r="1017" spans="2:5" ht="31.95" hidden="1" customHeight="1" x14ac:dyDescent="0.3">
      <c r="B1017" s="6" t="str">
        <f ca="1">IF(AND(NEGOCIAÇÕES!O1017="",NEGOCIAÇÕES!N1017&lt;TODAY()),NEGOCIAÇÕES!C1017,"")</f>
        <v/>
      </c>
      <c r="C1017" s="6" t="str">
        <f ca="1">IF(AND(NEGOCIAÇÕES!O1017="",NEGOCIAÇÕES!N1017&lt;TODAY()),NEGOCIAÇÕES!E1017,"")</f>
        <v/>
      </c>
      <c r="D1017" s="6" t="str">
        <f ca="1">IF(AND(NEGOCIAÇÕES!O1017="",NEGOCIAÇÕES!N1017&lt;TODAY()),NEGOCIAÇÕES!D1017,"")</f>
        <v/>
      </c>
      <c r="E1017" s="9" t="str">
        <f ca="1">IF(AND(NEGOCIAÇÕES!O1017="",NEGOCIAÇÕES!N1017&lt;TODAY()),NEGOCIAÇÕES!N1017,"")</f>
        <v/>
      </c>
    </row>
    <row r="1018" spans="2:5" ht="31.95" hidden="1" customHeight="1" x14ac:dyDescent="0.3">
      <c r="B1018" s="6" t="str">
        <f ca="1">IF(AND(NEGOCIAÇÕES!O1018="",NEGOCIAÇÕES!N1018&lt;TODAY()),NEGOCIAÇÕES!C1018,"")</f>
        <v/>
      </c>
      <c r="C1018" s="6" t="str">
        <f ca="1">IF(AND(NEGOCIAÇÕES!O1018="",NEGOCIAÇÕES!N1018&lt;TODAY()),NEGOCIAÇÕES!E1018,"")</f>
        <v/>
      </c>
      <c r="D1018" s="6" t="str">
        <f ca="1">IF(AND(NEGOCIAÇÕES!O1018="",NEGOCIAÇÕES!N1018&lt;TODAY()),NEGOCIAÇÕES!D1018,"")</f>
        <v/>
      </c>
      <c r="E1018" s="9" t="str">
        <f ca="1">IF(AND(NEGOCIAÇÕES!O1018="",NEGOCIAÇÕES!N1018&lt;TODAY()),NEGOCIAÇÕES!N1018,"")</f>
        <v/>
      </c>
    </row>
    <row r="1019" spans="2:5" ht="31.95" hidden="1" customHeight="1" x14ac:dyDescent="0.3">
      <c r="B1019" s="6" t="str">
        <f ca="1">IF(AND(NEGOCIAÇÕES!O1019="",NEGOCIAÇÕES!N1019&lt;TODAY()),NEGOCIAÇÕES!C1019,"")</f>
        <v/>
      </c>
      <c r="C1019" s="6" t="str">
        <f ca="1">IF(AND(NEGOCIAÇÕES!O1019="",NEGOCIAÇÕES!N1019&lt;TODAY()),NEGOCIAÇÕES!E1019,"")</f>
        <v/>
      </c>
      <c r="D1019" s="6" t="str">
        <f ca="1">IF(AND(NEGOCIAÇÕES!O1019="",NEGOCIAÇÕES!N1019&lt;TODAY()),NEGOCIAÇÕES!D1019,"")</f>
        <v/>
      </c>
      <c r="E1019" s="9" t="str">
        <f ca="1">IF(AND(NEGOCIAÇÕES!O1019="",NEGOCIAÇÕES!N1019&lt;TODAY()),NEGOCIAÇÕES!N1019,"")</f>
        <v/>
      </c>
    </row>
    <row r="1020" spans="2:5" ht="31.95" hidden="1" customHeight="1" x14ac:dyDescent="0.3">
      <c r="B1020" s="6" t="str">
        <f ca="1">IF(AND(NEGOCIAÇÕES!O1020="",NEGOCIAÇÕES!N1020&lt;TODAY()),NEGOCIAÇÕES!C1020,"")</f>
        <v/>
      </c>
      <c r="C1020" s="6" t="str">
        <f ca="1">IF(AND(NEGOCIAÇÕES!O1020="",NEGOCIAÇÕES!N1020&lt;TODAY()),NEGOCIAÇÕES!E1020,"")</f>
        <v/>
      </c>
      <c r="D1020" s="6" t="str">
        <f ca="1">IF(AND(NEGOCIAÇÕES!O1020="",NEGOCIAÇÕES!N1020&lt;TODAY()),NEGOCIAÇÕES!D1020,"")</f>
        <v/>
      </c>
      <c r="E1020" s="9" t="str">
        <f ca="1">IF(AND(NEGOCIAÇÕES!O1020="",NEGOCIAÇÕES!N1020&lt;TODAY()),NEGOCIAÇÕES!N1020,"")</f>
        <v/>
      </c>
    </row>
    <row r="1021" spans="2:5" ht="31.95" hidden="1" customHeight="1" x14ac:dyDescent="0.3">
      <c r="B1021" s="6" t="str">
        <f ca="1">IF(AND(NEGOCIAÇÕES!O1021="",NEGOCIAÇÕES!N1021&lt;TODAY()),NEGOCIAÇÕES!C1021,"")</f>
        <v/>
      </c>
      <c r="C1021" s="6" t="str">
        <f ca="1">IF(AND(NEGOCIAÇÕES!O1021="",NEGOCIAÇÕES!N1021&lt;TODAY()),NEGOCIAÇÕES!E1021,"")</f>
        <v/>
      </c>
      <c r="D1021" s="6" t="str">
        <f ca="1">IF(AND(NEGOCIAÇÕES!O1021="",NEGOCIAÇÕES!N1021&lt;TODAY()),NEGOCIAÇÕES!D1021,"")</f>
        <v/>
      </c>
      <c r="E1021" s="9" t="str">
        <f ca="1">IF(AND(NEGOCIAÇÕES!O1021="",NEGOCIAÇÕES!N1021&lt;TODAY()),NEGOCIAÇÕES!N1021,"")</f>
        <v/>
      </c>
    </row>
    <row r="1022" spans="2:5" ht="31.95" hidden="1" customHeight="1" x14ac:dyDescent="0.3">
      <c r="B1022" s="6" t="str">
        <f ca="1">IF(AND(NEGOCIAÇÕES!O1022="",NEGOCIAÇÕES!N1022&lt;TODAY()),NEGOCIAÇÕES!C1022,"")</f>
        <v/>
      </c>
      <c r="C1022" s="6" t="str">
        <f ca="1">IF(AND(NEGOCIAÇÕES!O1022="",NEGOCIAÇÕES!N1022&lt;TODAY()),NEGOCIAÇÕES!E1022,"")</f>
        <v/>
      </c>
      <c r="D1022" s="6" t="str">
        <f ca="1">IF(AND(NEGOCIAÇÕES!O1022="",NEGOCIAÇÕES!N1022&lt;TODAY()),NEGOCIAÇÕES!D1022,"")</f>
        <v/>
      </c>
      <c r="E1022" s="9" t="str">
        <f ca="1">IF(AND(NEGOCIAÇÕES!O1022="",NEGOCIAÇÕES!N1022&lt;TODAY()),NEGOCIAÇÕES!N1022,"")</f>
        <v/>
      </c>
    </row>
    <row r="1023" spans="2:5" ht="31.95" hidden="1" customHeight="1" x14ac:dyDescent="0.3">
      <c r="B1023" s="6" t="str">
        <f ca="1">IF(AND(NEGOCIAÇÕES!O1023="",NEGOCIAÇÕES!N1023&lt;TODAY()),NEGOCIAÇÕES!C1023,"")</f>
        <v/>
      </c>
      <c r="C1023" s="6" t="str">
        <f ca="1">IF(AND(NEGOCIAÇÕES!O1023="",NEGOCIAÇÕES!N1023&lt;TODAY()),NEGOCIAÇÕES!E1023,"")</f>
        <v/>
      </c>
      <c r="D1023" s="6" t="str">
        <f ca="1">IF(AND(NEGOCIAÇÕES!O1023="",NEGOCIAÇÕES!N1023&lt;TODAY()),NEGOCIAÇÕES!D1023,"")</f>
        <v/>
      </c>
      <c r="E1023" s="9" t="str">
        <f ca="1">IF(AND(NEGOCIAÇÕES!O1023="",NEGOCIAÇÕES!N1023&lt;TODAY()),NEGOCIAÇÕES!N1023,"")</f>
        <v/>
      </c>
    </row>
    <row r="1024" spans="2:5" ht="31.95" hidden="1" customHeight="1" x14ac:dyDescent="0.3">
      <c r="B1024" s="6" t="str">
        <f ca="1">IF(AND(NEGOCIAÇÕES!O1024="",NEGOCIAÇÕES!N1024&lt;TODAY()),NEGOCIAÇÕES!C1024,"")</f>
        <v/>
      </c>
      <c r="C1024" s="6" t="str">
        <f ca="1">IF(AND(NEGOCIAÇÕES!O1024="",NEGOCIAÇÕES!N1024&lt;TODAY()),NEGOCIAÇÕES!E1024,"")</f>
        <v/>
      </c>
      <c r="D1024" s="6" t="str">
        <f ca="1">IF(AND(NEGOCIAÇÕES!O1024="",NEGOCIAÇÕES!N1024&lt;TODAY()),NEGOCIAÇÕES!D1024,"")</f>
        <v/>
      </c>
      <c r="E1024" s="9" t="str">
        <f ca="1">IF(AND(NEGOCIAÇÕES!O1024="",NEGOCIAÇÕES!N1024&lt;TODAY()),NEGOCIAÇÕES!N1024,"")</f>
        <v/>
      </c>
    </row>
    <row r="1025" spans="2:5" ht="31.95" hidden="1" customHeight="1" x14ac:dyDescent="0.3">
      <c r="B1025" s="6" t="str">
        <f ca="1">IF(AND(NEGOCIAÇÕES!O1025="",NEGOCIAÇÕES!N1025&lt;TODAY()),NEGOCIAÇÕES!C1025,"")</f>
        <v/>
      </c>
      <c r="C1025" s="6" t="str">
        <f ca="1">IF(AND(NEGOCIAÇÕES!O1025="",NEGOCIAÇÕES!N1025&lt;TODAY()),NEGOCIAÇÕES!E1025,"")</f>
        <v/>
      </c>
      <c r="D1025" s="6" t="str">
        <f ca="1">IF(AND(NEGOCIAÇÕES!O1025="",NEGOCIAÇÕES!N1025&lt;TODAY()),NEGOCIAÇÕES!D1025,"")</f>
        <v/>
      </c>
      <c r="E1025" s="9" t="str">
        <f ca="1">IF(AND(NEGOCIAÇÕES!O1025="",NEGOCIAÇÕES!N1025&lt;TODAY()),NEGOCIAÇÕES!N1025,"")</f>
        <v/>
      </c>
    </row>
    <row r="1026" spans="2:5" ht="31.95" hidden="1" customHeight="1" x14ac:dyDescent="0.3">
      <c r="B1026" s="6" t="str">
        <f ca="1">IF(AND(NEGOCIAÇÕES!O1026="",NEGOCIAÇÕES!N1026&lt;TODAY()),NEGOCIAÇÕES!C1026,"")</f>
        <v/>
      </c>
      <c r="C1026" s="6" t="str">
        <f ca="1">IF(AND(NEGOCIAÇÕES!O1026="",NEGOCIAÇÕES!N1026&lt;TODAY()),NEGOCIAÇÕES!E1026,"")</f>
        <v/>
      </c>
      <c r="D1026" s="6" t="str">
        <f ca="1">IF(AND(NEGOCIAÇÕES!O1026="",NEGOCIAÇÕES!N1026&lt;TODAY()),NEGOCIAÇÕES!D1026,"")</f>
        <v/>
      </c>
      <c r="E1026" s="9" t="str">
        <f ca="1">IF(AND(NEGOCIAÇÕES!O1026="",NEGOCIAÇÕES!N1026&lt;TODAY()),NEGOCIAÇÕES!N1026,"")</f>
        <v/>
      </c>
    </row>
    <row r="1027" spans="2:5" ht="31.95" hidden="1" customHeight="1" x14ac:dyDescent="0.3">
      <c r="B1027" s="6" t="str">
        <f ca="1">IF(AND(NEGOCIAÇÕES!O1027="",NEGOCIAÇÕES!N1027&lt;TODAY()),NEGOCIAÇÕES!C1027,"")</f>
        <v/>
      </c>
      <c r="C1027" s="6" t="str">
        <f ca="1">IF(AND(NEGOCIAÇÕES!O1027="",NEGOCIAÇÕES!N1027&lt;TODAY()),NEGOCIAÇÕES!E1027,"")</f>
        <v/>
      </c>
      <c r="D1027" s="6" t="str">
        <f ca="1">IF(AND(NEGOCIAÇÕES!O1027="",NEGOCIAÇÕES!N1027&lt;TODAY()),NEGOCIAÇÕES!D1027,"")</f>
        <v/>
      </c>
      <c r="E1027" s="9" t="str">
        <f ca="1">IF(AND(NEGOCIAÇÕES!O1027="",NEGOCIAÇÕES!N1027&lt;TODAY()),NEGOCIAÇÕES!N1027,"")</f>
        <v/>
      </c>
    </row>
    <row r="1028" spans="2:5" ht="31.95" hidden="1" customHeight="1" x14ac:dyDescent="0.3">
      <c r="B1028" s="6" t="str">
        <f ca="1">IF(AND(NEGOCIAÇÕES!O1028="",NEGOCIAÇÕES!N1028&lt;TODAY()),NEGOCIAÇÕES!C1028,"")</f>
        <v/>
      </c>
      <c r="C1028" s="6" t="str">
        <f ca="1">IF(AND(NEGOCIAÇÕES!O1028="",NEGOCIAÇÕES!N1028&lt;TODAY()),NEGOCIAÇÕES!E1028,"")</f>
        <v/>
      </c>
      <c r="D1028" s="6" t="str">
        <f ca="1">IF(AND(NEGOCIAÇÕES!O1028="",NEGOCIAÇÕES!N1028&lt;TODAY()),NEGOCIAÇÕES!D1028,"")</f>
        <v/>
      </c>
      <c r="E1028" s="9" t="str">
        <f ca="1">IF(AND(NEGOCIAÇÕES!O1028="",NEGOCIAÇÕES!N1028&lt;TODAY()),NEGOCIAÇÕES!N1028,"")</f>
        <v/>
      </c>
    </row>
    <row r="1029" spans="2:5" ht="31.95" hidden="1" customHeight="1" x14ac:dyDescent="0.3">
      <c r="B1029" s="6" t="str">
        <f ca="1">IF(AND(NEGOCIAÇÕES!O1029="",NEGOCIAÇÕES!N1029&lt;TODAY()),NEGOCIAÇÕES!C1029,"")</f>
        <v/>
      </c>
      <c r="C1029" s="6" t="str">
        <f ca="1">IF(AND(NEGOCIAÇÕES!O1029="",NEGOCIAÇÕES!N1029&lt;TODAY()),NEGOCIAÇÕES!E1029,"")</f>
        <v/>
      </c>
      <c r="D1029" s="6" t="str">
        <f ca="1">IF(AND(NEGOCIAÇÕES!O1029="",NEGOCIAÇÕES!N1029&lt;TODAY()),NEGOCIAÇÕES!D1029,"")</f>
        <v/>
      </c>
      <c r="E1029" s="9" t="str">
        <f ca="1">IF(AND(NEGOCIAÇÕES!O1029="",NEGOCIAÇÕES!N1029&lt;TODAY()),NEGOCIAÇÕES!N1029,"")</f>
        <v/>
      </c>
    </row>
    <row r="1030" spans="2:5" ht="31.95" hidden="1" customHeight="1" x14ac:dyDescent="0.3">
      <c r="B1030" s="6" t="str">
        <f ca="1">IF(AND(NEGOCIAÇÕES!O1030="",NEGOCIAÇÕES!N1030&lt;TODAY()),NEGOCIAÇÕES!C1030,"")</f>
        <v/>
      </c>
      <c r="C1030" s="6" t="str">
        <f ca="1">IF(AND(NEGOCIAÇÕES!O1030="",NEGOCIAÇÕES!N1030&lt;TODAY()),NEGOCIAÇÕES!E1030,"")</f>
        <v/>
      </c>
      <c r="D1030" s="6" t="str">
        <f ca="1">IF(AND(NEGOCIAÇÕES!O1030="",NEGOCIAÇÕES!N1030&lt;TODAY()),NEGOCIAÇÕES!D1030,"")</f>
        <v/>
      </c>
      <c r="E1030" s="9" t="str">
        <f ca="1">IF(AND(NEGOCIAÇÕES!O1030="",NEGOCIAÇÕES!N1030&lt;TODAY()),NEGOCIAÇÕES!N1030,"")</f>
        <v/>
      </c>
    </row>
    <row r="1031" spans="2:5" ht="31.95" hidden="1" customHeight="1" x14ac:dyDescent="0.3">
      <c r="B1031" s="6" t="str">
        <f ca="1">IF(AND(NEGOCIAÇÕES!O1031="",NEGOCIAÇÕES!N1031&lt;TODAY()),NEGOCIAÇÕES!C1031,"")</f>
        <v/>
      </c>
      <c r="C1031" s="6" t="str">
        <f ca="1">IF(AND(NEGOCIAÇÕES!O1031="",NEGOCIAÇÕES!N1031&lt;TODAY()),NEGOCIAÇÕES!E1031,"")</f>
        <v/>
      </c>
      <c r="D1031" s="6" t="str">
        <f ca="1">IF(AND(NEGOCIAÇÕES!O1031="",NEGOCIAÇÕES!N1031&lt;TODAY()),NEGOCIAÇÕES!D1031,"")</f>
        <v/>
      </c>
      <c r="E1031" s="9" t="str">
        <f ca="1">IF(AND(NEGOCIAÇÕES!O1031="",NEGOCIAÇÕES!N1031&lt;TODAY()),NEGOCIAÇÕES!N1031,"")</f>
        <v/>
      </c>
    </row>
    <row r="1032" spans="2:5" ht="31.95" hidden="1" customHeight="1" x14ac:dyDescent="0.3">
      <c r="B1032" s="6" t="str">
        <f ca="1">IF(AND(NEGOCIAÇÕES!O1032="",NEGOCIAÇÕES!N1032&lt;TODAY()),NEGOCIAÇÕES!C1032,"")</f>
        <v/>
      </c>
      <c r="C1032" s="6" t="str">
        <f ca="1">IF(AND(NEGOCIAÇÕES!O1032="",NEGOCIAÇÕES!N1032&lt;TODAY()),NEGOCIAÇÕES!E1032,"")</f>
        <v/>
      </c>
      <c r="D1032" s="6" t="str">
        <f ca="1">IF(AND(NEGOCIAÇÕES!O1032="",NEGOCIAÇÕES!N1032&lt;TODAY()),NEGOCIAÇÕES!D1032,"")</f>
        <v/>
      </c>
      <c r="E1032" s="9" t="str">
        <f ca="1">IF(AND(NEGOCIAÇÕES!O1032="",NEGOCIAÇÕES!N1032&lt;TODAY()),NEGOCIAÇÕES!N1032,"")</f>
        <v/>
      </c>
    </row>
    <row r="1033" spans="2:5" ht="31.95" hidden="1" customHeight="1" x14ac:dyDescent="0.3">
      <c r="B1033" s="6" t="str">
        <f ca="1">IF(AND(NEGOCIAÇÕES!O1033="",NEGOCIAÇÕES!N1033&lt;TODAY()),NEGOCIAÇÕES!C1033,"")</f>
        <v/>
      </c>
      <c r="C1033" s="6" t="str">
        <f ca="1">IF(AND(NEGOCIAÇÕES!O1033="",NEGOCIAÇÕES!N1033&lt;TODAY()),NEGOCIAÇÕES!E1033,"")</f>
        <v/>
      </c>
      <c r="D1033" s="6" t="str">
        <f ca="1">IF(AND(NEGOCIAÇÕES!O1033="",NEGOCIAÇÕES!N1033&lt;TODAY()),NEGOCIAÇÕES!D1033,"")</f>
        <v/>
      </c>
      <c r="E1033" s="9" t="str">
        <f ca="1">IF(AND(NEGOCIAÇÕES!O1033="",NEGOCIAÇÕES!N1033&lt;TODAY()),NEGOCIAÇÕES!N1033,"")</f>
        <v/>
      </c>
    </row>
    <row r="1034" spans="2:5" ht="31.95" hidden="1" customHeight="1" x14ac:dyDescent="0.3">
      <c r="B1034" s="6" t="str">
        <f ca="1">IF(AND(NEGOCIAÇÕES!O1034="",NEGOCIAÇÕES!N1034&lt;TODAY()),NEGOCIAÇÕES!C1034,"")</f>
        <v/>
      </c>
      <c r="C1034" s="6" t="str">
        <f ca="1">IF(AND(NEGOCIAÇÕES!O1034="",NEGOCIAÇÕES!N1034&lt;TODAY()),NEGOCIAÇÕES!E1034,"")</f>
        <v/>
      </c>
      <c r="D1034" s="6" t="str">
        <f ca="1">IF(AND(NEGOCIAÇÕES!O1034="",NEGOCIAÇÕES!N1034&lt;TODAY()),NEGOCIAÇÕES!D1034,"")</f>
        <v/>
      </c>
      <c r="E1034" s="9" t="str">
        <f ca="1">IF(AND(NEGOCIAÇÕES!O1034="",NEGOCIAÇÕES!N1034&lt;TODAY()),NEGOCIAÇÕES!N1034,"")</f>
        <v/>
      </c>
    </row>
    <row r="1035" spans="2:5" ht="31.95" hidden="1" customHeight="1" x14ac:dyDescent="0.3">
      <c r="B1035" s="6" t="str">
        <f ca="1">IF(AND(NEGOCIAÇÕES!O1035="",NEGOCIAÇÕES!N1035&lt;TODAY()),NEGOCIAÇÕES!C1035,"")</f>
        <v/>
      </c>
      <c r="C1035" s="6" t="str">
        <f ca="1">IF(AND(NEGOCIAÇÕES!O1035="",NEGOCIAÇÕES!N1035&lt;TODAY()),NEGOCIAÇÕES!E1035,"")</f>
        <v/>
      </c>
      <c r="D1035" s="6" t="str">
        <f ca="1">IF(AND(NEGOCIAÇÕES!O1035="",NEGOCIAÇÕES!N1035&lt;TODAY()),NEGOCIAÇÕES!D1035,"")</f>
        <v/>
      </c>
      <c r="E1035" s="9" t="str">
        <f ca="1">IF(AND(NEGOCIAÇÕES!O1035="",NEGOCIAÇÕES!N1035&lt;TODAY()),NEGOCIAÇÕES!N1035,"")</f>
        <v/>
      </c>
    </row>
    <row r="1036" spans="2:5" ht="31.95" hidden="1" customHeight="1" x14ac:dyDescent="0.3">
      <c r="B1036" s="6" t="str">
        <f ca="1">IF(AND(NEGOCIAÇÕES!O1036="",NEGOCIAÇÕES!N1036&lt;TODAY()),NEGOCIAÇÕES!C1036,"")</f>
        <v/>
      </c>
      <c r="C1036" s="6" t="str">
        <f ca="1">IF(AND(NEGOCIAÇÕES!O1036="",NEGOCIAÇÕES!N1036&lt;TODAY()),NEGOCIAÇÕES!E1036,"")</f>
        <v/>
      </c>
      <c r="D1036" s="6" t="str">
        <f ca="1">IF(AND(NEGOCIAÇÕES!O1036="",NEGOCIAÇÕES!N1036&lt;TODAY()),NEGOCIAÇÕES!D1036,"")</f>
        <v/>
      </c>
      <c r="E1036" s="9" t="str">
        <f ca="1">IF(AND(NEGOCIAÇÕES!O1036="",NEGOCIAÇÕES!N1036&lt;TODAY()),NEGOCIAÇÕES!N1036,"")</f>
        <v/>
      </c>
    </row>
    <row r="1037" spans="2:5" ht="31.95" hidden="1" customHeight="1" x14ac:dyDescent="0.3">
      <c r="B1037" s="6" t="str">
        <f ca="1">IF(AND(NEGOCIAÇÕES!O1037="",NEGOCIAÇÕES!N1037&lt;TODAY()),NEGOCIAÇÕES!C1037,"")</f>
        <v/>
      </c>
      <c r="C1037" s="6" t="str">
        <f ca="1">IF(AND(NEGOCIAÇÕES!O1037="",NEGOCIAÇÕES!N1037&lt;TODAY()),NEGOCIAÇÕES!E1037,"")</f>
        <v/>
      </c>
      <c r="D1037" s="6" t="str">
        <f ca="1">IF(AND(NEGOCIAÇÕES!O1037="",NEGOCIAÇÕES!N1037&lt;TODAY()),NEGOCIAÇÕES!D1037,"")</f>
        <v/>
      </c>
      <c r="E1037" s="9" t="str">
        <f ca="1">IF(AND(NEGOCIAÇÕES!O1037="",NEGOCIAÇÕES!N1037&lt;TODAY()),NEGOCIAÇÕES!N1037,"")</f>
        <v/>
      </c>
    </row>
    <row r="1038" spans="2:5" ht="31.95" hidden="1" customHeight="1" x14ac:dyDescent="0.3">
      <c r="B1038" s="6" t="str">
        <f ca="1">IF(AND(NEGOCIAÇÕES!O1038="",NEGOCIAÇÕES!N1038&lt;TODAY()),NEGOCIAÇÕES!C1038,"")</f>
        <v/>
      </c>
      <c r="C1038" s="6" t="str">
        <f ca="1">IF(AND(NEGOCIAÇÕES!O1038="",NEGOCIAÇÕES!N1038&lt;TODAY()),NEGOCIAÇÕES!E1038,"")</f>
        <v/>
      </c>
      <c r="D1038" s="6" t="str">
        <f ca="1">IF(AND(NEGOCIAÇÕES!O1038="",NEGOCIAÇÕES!N1038&lt;TODAY()),NEGOCIAÇÕES!D1038,"")</f>
        <v/>
      </c>
      <c r="E1038" s="9" t="str">
        <f ca="1">IF(AND(NEGOCIAÇÕES!O1038="",NEGOCIAÇÕES!N1038&lt;TODAY()),NEGOCIAÇÕES!N1038,"")</f>
        <v/>
      </c>
    </row>
    <row r="1039" spans="2:5" ht="31.95" hidden="1" customHeight="1" x14ac:dyDescent="0.3">
      <c r="B1039" s="6" t="str">
        <f ca="1">IF(AND(NEGOCIAÇÕES!O1039="",NEGOCIAÇÕES!N1039&lt;TODAY()),NEGOCIAÇÕES!C1039,"")</f>
        <v/>
      </c>
      <c r="C1039" s="6" t="str">
        <f ca="1">IF(AND(NEGOCIAÇÕES!O1039="",NEGOCIAÇÕES!N1039&lt;TODAY()),NEGOCIAÇÕES!E1039,"")</f>
        <v/>
      </c>
      <c r="D1039" s="6" t="str">
        <f ca="1">IF(AND(NEGOCIAÇÕES!O1039="",NEGOCIAÇÕES!N1039&lt;TODAY()),NEGOCIAÇÕES!D1039,"")</f>
        <v/>
      </c>
      <c r="E1039" s="9" t="str">
        <f ca="1">IF(AND(NEGOCIAÇÕES!O1039="",NEGOCIAÇÕES!N1039&lt;TODAY()),NEGOCIAÇÕES!N1039,"")</f>
        <v/>
      </c>
    </row>
    <row r="1040" spans="2:5" ht="31.95" hidden="1" customHeight="1" x14ac:dyDescent="0.3">
      <c r="B1040" s="6" t="str">
        <f ca="1">IF(AND(NEGOCIAÇÕES!O1040="",NEGOCIAÇÕES!N1040&lt;TODAY()),NEGOCIAÇÕES!C1040,"")</f>
        <v/>
      </c>
      <c r="C1040" s="6" t="str">
        <f ca="1">IF(AND(NEGOCIAÇÕES!O1040="",NEGOCIAÇÕES!N1040&lt;TODAY()),NEGOCIAÇÕES!E1040,"")</f>
        <v/>
      </c>
      <c r="D1040" s="6" t="str">
        <f ca="1">IF(AND(NEGOCIAÇÕES!O1040="",NEGOCIAÇÕES!N1040&lt;TODAY()),NEGOCIAÇÕES!D1040,"")</f>
        <v/>
      </c>
      <c r="E1040" s="9" t="str">
        <f ca="1">IF(AND(NEGOCIAÇÕES!O1040="",NEGOCIAÇÕES!N1040&lt;TODAY()),NEGOCIAÇÕES!N1040,"")</f>
        <v/>
      </c>
    </row>
    <row r="1041" spans="2:5" ht="31.95" hidden="1" customHeight="1" x14ac:dyDescent="0.3">
      <c r="B1041" s="6" t="str">
        <f ca="1">IF(AND(NEGOCIAÇÕES!O1041="",NEGOCIAÇÕES!N1041&lt;TODAY()),NEGOCIAÇÕES!C1041,"")</f>
        <v/>
      </c>
      <c r="C1041" s="6" t="str">
        <f ca="1">IF(AND(NEGOCIAÇÕES!O1041="",NEGOCIAÇÕES!N1041&lt;TODAY()),NEGOCIAÇÕES!E1041,"")</f>
        <v/>
      </c>
      <c r="D1041" s="6" t="str">
        <f ca="1">IF(AND(NEGOCIAÇÕES!O1041="",NEGOCIAÇÕES!N1041&lt;TODAY()),NEGOCIAÇÕES!D1041,"")</f>
        <v/>
      </c>
      <c r="E1041" s="9" t="str">
        <f ca="1">IF(AND(NEGOCIAÇÕES!O1041="",NEGOCIAÇÕES!N1041&lt;TODAY()),NEGOCIAÇÕES!N1041,"")</f>
        <v/>
      </c>
    </row>
    <row r="1042" spans="2:5" ht="31.95" hidden="1" customHeight="1" x14ac:dyDescent="0.3">
      <c r="B1042" s="6" t="str">
        <f ca="1">IF(AND(NEGOCIAÇÕES!O1042="",NEGOCIAÇÕES!N1042&lt;TODAY()),NEGOCIAÇÕES!C1042,"")</f>
        <v/>
      </c>
      <c r="C1042" s="6" t="str">
        <f ca="1">IF(AND(NEGOCIAÇÕES!O1042="",NEGOCIAÇÕES!N1042&lt;TODAY()),NEGOCIAÇÕES!E1042,"")</f>
        <v/>
      </c>
      <c r="D1042" s="6" t="str">
        <f ca="1">IF(AND(NEGOCIAÇÕES!O1042="",NEGOCIAÇÕES!N1042&lt;TODAY()),NEGOCIAÇÕES!D1042,"")</f>
        <v/>
      </c>
      <c r="E1042" s="9" t="str">
        <f ca="1">IF(AND(NEGOCIAÇÕES!O1042="",NEGOCIAÇÕES!N1042&lt;TODAY()),NEGOCIAÇÕES!N1042,"")</f>
        <v/>
      </c>
    </row>
    <row r="1043" spans="2:5" ht="31.95" hidden="1" customHeight="1" x14ac:dyDescent="0.3">
      <c r="B1043" s="6" t="str">
        <f ca="1">IF(AND(NEGOCIAÇÕES!O1043="",NEGOCIAÇÕES!N1043&lt;TODAY()),NEGOCIAÇÕES!C1043,"")</f>
        <v/>
      </c>
      <c r="C1043" s="6" t="str">
        <f ca="1">IF(AND(NEGOCIAÇÕES!O1043="",NEGOCIAÇÕES!N1043&lt;TODAY()),NEGOCIAÇÕES!E1043,"")</f>
        <v/>
      </c>
      <c r="D1043" s="6" t="str">
        <f ca="1">IF(AND(NEGOCIAÇÕES!O1043="",NEGOCIAÇÕES!N1043&lt;TODAY()),NEGOCIAÇÕES!D1043,"")</f>
        <v/>
      </c>
      <c r="E1043" s="9" t="str">
        <f ca="1">IF(AND(NEGOCIAÇÕES!O1043="",NEGOCIAÇÕES!N1043&lt;TODAY()),NEGOCIAÇÕES!N1043,"")</f>
        <v/>
      </c>
    </row>
    <row r="1044" spans="2:5" ht="31.95" hidden="1" customHeight="1" x14ac:dyDescent="0.3">
      <c r="B1044" s="6" t="str">
        <f ca="1">IF(AND(NEGOCIAÇÕES!O1044="",NEGOCIAÇÕES!N1044&lt;TODAY()),NEGOCIAÇÕES!C1044,"")</f>
        <v/>
      </c>
      <c r="C1044" s="6" t="str">
        <f ca="1">IF(AND(NEGOCIAÇÕES!O1044="",NEGOCIAÇÕES!N1044&lt;TODAY()),NEGOCIAÇÕES!E1044,"")</f>
        <v/>
      </c>
      <c r="D1044" s="6" t="str">
        <f ca="1">IF(AND(NEGOCIAÇÕES!O1044="",NEGOCIAÇÕES!N1044&lt;TODAY()),NEGOCIAÇÕES!D1044,"")</f>
        <v/>
      </c>
      <c r="E1044" s="9" t="str">
        <f ca="1">IF(AND(NEGOCIAÇÕES!O1044="",NEGOCIAÇÕES!N1044&lt;TODAY()),NEGOCIAÇÕES!N1044,"")</f>
        <v/>
      </c>
    </row>
    <row r="1045" spans="2:5" ht="31.95" hidden="1" customHeight="1" x14ac:dyDescent="0.3">
      <c r="B1045" s="6" t="str">
        <f ca="1">IF(AND(NEGOCIAÇÕES!O1045="",NEGOCIAÇÕES!N1045&lt;TODAY()),NEGOCIAÇÕES!C1045,"")</f>
        <v/>
      </c>
      <c r="C1045" s="6" t="str">
        <f ca="1">IF(AND(NEGOCIAÇÕES!O1045="",NEGOCIAÇÕES!N1045&lt;TODAY()),NEGOCIAÇÕES!E1045,"")</f>
        <v/>
      </c>
      <c r="D1045" s="6" t="str">
        <f ca="1">IF(AND(NEGOCIAÇÕES!O1045="",NEGOCIAÇÕES!N1045&lt;TODAY()),NEGOCIAÇÕES!D1045,"")</f>
        <v/>
      </c>
      <c r="E1045" s="9" t="str">
        <f ca="1">IF(AND(NEGOCIAÇÕES!O1045="",NEGOCIAÇÕES!N1045&lt;TODAY()),NEGOCIAÇÕES!N1045,"")</f>
        <v/>
      </c>
    </row>
    <row r="1046" spans="2:5" ht="31.95" hidden="1" customHeight="1" x14ac:dyDescent="0.3">
      <c r="B1046" s="6" t="str">
        <f ca="1">IF(AND(NEGOCIAÇÕES!O1046="",NEGOCIAÇÕES!N1046&lt;TODAY()),NEGOCIAÇÕES!C1046,"")</f>
        <v/>
      </c>
      <c r="C1046" s="6" t="str">
        <f ca="1">IF(AND(NEGOCIAÇÕES!O1046="",NEGOCIAÇÕES!N1046&lt;TODAY()),NEGOCIAÇÕES!E1046,"")</f>
        <v/>
      </c>
      <c r="D1046" s="6" t="str">
        <f ca="1">IF(AND(NEGOCIAÇÕES!O1046="",NEGOCIAÇÕES!N1046&lt;TODAY()),NEGOCIAÇÕES!D1046,"")</f>
        <v/>
      </c>
      <c r="E1046" s="9" t="str">
        <f ca="1">IF(AND(NEGOCIAÇÕES!O1046="",NEGOCIAÇÕES!N1046&lt;TODAY()),NEGOCIAÇÕES!N1046,"")</f>
        <v/>
      </c>
    </row>
    <row r="1047" spans="2:5" ht="31.95" hidden="1" customHeight="1" x14ac:dyDescent="0.3">
      <c r="B1047" s="6" t="str">
        <f ca="1">IF(AND(NEGOCIAÇÕES!O1047="",NEGOCIAÇÕES!N1047&lt;TODAY()),NEGOCIAÇÕES!C1047,"")</f>
        <v/>
      </c>
      <c r="C1047" s="6" t="str">
        <f ca="1">IF(AND(NEGOCIAÇÕES!O1047="",NEGOCIAÇÕES!N1047&lt;TODAY()),NEGOCIAÇÕES!E1047,"")</f>
        <v/>
      </c>
      <c r="D1047" s="6" t="str">
        <f ca="1">IF(AND(NEGOCIAÇÕES!O1047="",NEGOCIAÇÕES!N1047&lt;TODAY()),NEGOCIAÇÕES!D1047,"")</f>
        <v/>
      </c>
      <c r="E1047" s="9" t="str">
        <f ca="1">IF(AND(NEGOCIAÇÕES!O1047="",NEGOCIAÇÕES!N1047&lt;TODAY()),NEGOCIAÇÕES!N1047,"")</f>
        <v/>
      </c>
    </row>
    <row r="1048" spans="2:5" ht="31.95" hidden="1" customHeight="1" x14ac:dyDescent="0.3">
      <c r="B1048" s="6" t="str">
        <f ca="1">IF(AND(NEGOCIAÇÕES!O1048="",NEGOCIAÇÕES!N1048&lt;TODAY()),NEGOCIAÇÕES!C1048,"")</f>
        <v/>
      </c>
      <c r="C1048" s="6" t="str">
        <f ca="1">IF(AND(NEGOCIAÇÕES!O1048="",NEGOCIAÇÕES!N1048&lt;TODAY()),NEGOCIAÇÕES!E1048,"")</f>
        <v/>
      </c>
      <c r="D1048" s="6" t="str">
        <f ca="1">IF(AND(NEGOCIAÇÕES!O1048="",NEGOCIAÇÕES!N1048&lt;TODAY()),NEGOCIAÇÕES!D1048,"")</f>
        <v/>
      </c>
      <c r="E1048" s="9" t="str">
        <f ca="1">IF(AND(NEGOCIAÇÕES!O1048="",NEGOCIAÇÕES!N1048&lt;TODAY()),NEGOCIAÇÕES!N1048,"")</f>
        <v/>
      </c>
    </row>
    <row r="1049" spans="2:5" ht="31.95" hidden="1" customHeight="1" x14ac:dyDescent="0.3">
      <c r="B1049" s="6" t="str">
        <f ca="1">IF(AND(NEGOCIAÇÕES!O1049="",NEGOCIAÇÕES!N1049&lt;TODAY()),NEGOCIAÇÕES!C1049,"")</f>
        <v/>
      </c>
      <c r="C1049" s="6" t="str">
        <f ca="1">IF(AND(NEGOCIAÇÕES!O1049="",NEGOCIAÇÕES!N1049&lt;TODAY()),NEGOCIAÇÕES!E1049,"")</f>
        <v/>
      </c>
      <c r="D1049" s="6" t="str">
        <f ca="1">IF(AND(NEGOCIAÇÕES!O1049="",NEGOCIAÇÕES!N1049&lt;TODAY()),NEGOCIAÇÕES!D1049,"")</f>
        <v/>
      </c>
      <c r="E1049" s="9" t="str">
        <f ca="1">IF(AND(NEGOCIAÇÕES!O1049="",NEGOCIAÇÕES!N1049&lt;TODAY()),NEGOCIAÇÕES!N1049,"")</f>
        <v/>
      </c>
    </row>
    <row r="1050" spans="2:5" ht="31.95" hidden="1" customHeight="1" x14ac:dyDescent="0.3">
      <c r="B1050" s="6" t="str">
        <f ca="1">IF(AND(NEGOCIAÇÕES!O1050="",NEGOCIAÇÕES!N1050&lt;TODAY()),NEGOCIAÇÕES!C1050,"")</f>
        <v/>
      </c>
      <c r="C1050" s="6" t="str">
        <f ca="1">IF(AND(NEGOCIAÇÕES!O1050="",NEGOCIAÇÕES!N1050&lt;TODAY()),NEGOCIAÇÕES!E1050,"")</f>
        <v/>
      </c>
      <c r="D1050" s="6" t="str">
        <f ca="1">IF(AND(NEGOCIAÇÕES!O1050="",NEGOCIAÇÕES!N1050&lt;TODAY()),NEGOCIAÇÕES!D1050,"")</f>
        <v/>
      </c>
      <c r="E1050" s="9" t="str">
        <f ca="1">IF(AND(NEGOCIAÇÕES!O1050="",NEGOCIAÇÕES!N1050&lt;TODAY()),NEGOCIAÇÕES!N1050,"")</f>
        <v/>
      </c>
    </row>
    <row r="1051" spans="2:5" ht="31.95" hidden="1" customHeight="1" x14ac:dyDescent="0.3">
      <c r="B1051" s="6" t="str">
        <f ca="1">IF(AND(NEGOCIAÇÕES!O1051="",NEGOCIAÇÕES!N1051&lt;TODAY()),NEGOCIAÇÕES!C1051,"")</f>
        <v/>
      </c>
      <c r="C1051" s="6" t="str">
        <f ca="1">IF(AND(NEGOCIAÇÕES!O1051="",NEGOCIAÇÕES!N1051&lt;TODAY()),NEGOCIAÇÕES!E1051,"")</f>
        <v/>
      </c>
      <c r="D1051" s="6" t="str">
        <f ca="1">IF(AND(NEGOCIAÇÕES!O1051="",NEGOCIAÇÕES!N1051&lt;TODAY()),NEGOCIAÇÕES!D1051,"")</f>
        <v/>
      </c>
      <c r="E1051" s="9" t="str">
        <f ca="1">IF(AND(NEGOCIAÇÕES!O1051="",NEGOCIAÇÕES!N1051&lt;TODAY()),NEGOCIAÇÕES!N1051,"")</f>
        <v/>
      </c>
    </row>
    <row r="1052" spans="2:5" ht="31.95" hidden="1" customHeight="1" x14ac:dyDescent="0.3">
      <c r="B1052" s="6" t="str">
        <f ca="1">IF(AND(NEGOCIAÇÕES!O1052="",NEGOCIAÇÕES!N1052&lt;TODAY()),NEGOCIAÇÕES!C1052,"")</f>
        <v/>
      </c>
      <c r="C1052" s="6" t="str">
        <f ca="1">IF(AND(NEGOCIAÇÕES!O1052="",NEGOCIAÇÕES!N1052&lt;TODAY()),NEGOCIAÇÕES!E1052,"")</f>
        <v/>
      </c>
      <c r="D1052" s="6" t="str">
        <f ca="1">IF(AND(NEGOCIAÇÕES!O1052="",NEGOCIAÇÕES!N1052&lt;TODAY()),NEGOCIAÇÕES!D1052,"")</f>
        <v/>
      </c>
      <c r="E1052" s="9" t="str">
        <f ca="1">IF(AND(NEGOCIAÇÕES!O1052="",NEGOCIAÇÕES!N1052&lt;TODAY()),NEGOCIAÇÕES!N1052,"")</f>
        <v/>
      </c>
    </row>
    <row r="1053" spans="2:5" ht="31.95" hidden="1" customHeight="1" x14ac:dyDescent="0.3">
      <c r="B1053" s="6" t="str">
        <f ca="1">IF(AND(NEGOCIAÇÕES!O1053="",NEGOCIAÇÕES!N1053&lt;TODAY()),NEGOCIAÇÕES!C1053,"")</f>
        <v/>
      </c>
      <c r="C1053" s="6" t="str">
        <f ca="1">IF(AND(NEGOCIAÇÕES!O1053="",NEGOCIAÇÕES!N1053&lt;TODAY()),NEGOCIAÇÕES!E1053,"")</f>
        <v/>
      </c>
      <c r="D1053" s="6" t="str">
        <f ca="1">IF(AND(NEGOCIAÇÕES!O1053="",NEGOCIAÇÕES!N1053&lt;TODAY()),NEGOCIAÇÕES!D1053,"")</f>
        <v/>
      </c>
      <c r="E1053" s="9" t="str">
        <f ca="1">IF(AND(NEGOCIAÇÕES!O1053="",NEGOCIAÇÕES!N1053&lt;TODAY()),NEGOCIAÇÕES!N1053,"")</f>
        <v/>
      </c>
    </row>
    <row r="1054" spans="2:5" ht="31.95" hidden="1" customHeight="1" x14ac:dyDescent="0.3">
      <c r="B1054" s="6" t="str">
        <f ca="1">IF(AND(NEGOCIAÇÕES!O1054="",NEGOCIAÇÕES!N1054&lt;TODAY()),NEGOCIAÇÕES!C1054,"")</f>
        <v/>
      </c>
      <c r="C1054" s="6" t="str">
        <f ca="1">IF(AND(NEGOCIAÇÕES!O1054="",NEGOCIAÇÕES!N1054&lt;TODAY()),NEGOCIAÇÕES!E1054,"")</f>
        <v/>
      </c>
      <c r="D1054" s="6" t="str">
        <f ca="1">IF(AND(NEGOCIAÇÕES!O1054="",NEGOCIAÇÕES!N1054&lt;TODAY()),NEGOCIAÇÕES!D1054,"")</f>
        <v/>
      </c>
      <c r="E1054" s="9" t="str">
        <f ca="1">IF(AND(NEGOCIAÇÕES!O1054="",NEGOCIAÇÕES!N1054&lt;TODAY()),NEGOCIAÇÕES!N1054,"")</f>
        <v/>
      </c>
    </row>
    <row r="1055" spans="2:5" ht="31.95" hidden="1" customHeight="1" x14ac:dyDescent="0.3">
      <c r="B1055" s="6" t="str">
        <f ca="1">IF(AND(NEGOCIAÇÕES!O1055="",NEGOCIAÇÕES!N1055&lt;TODAY()),NEGOCIAÇÕES!C1055,"")</f>
        <v/>
      </c>
      <c r="C1055" s="6" t="str">
        <f ca="1">IF(AND(NEGOCIAÇÕES!O1055="",NEGOCIAÇÕES!N1055&lt;TODAY()),NEGOCIAÇÕES!E1055,"")</f>
        <v/>
      </c>
      <c r="D1055" s="6" t="str">
        <f ca="1">IF(AND(NEGOCIAÇÕES!O1055="",NEGOCIAÇÕES!N1055&lt;TODAY()),NEGOCIAÇÕES!D1055,"")</f>
        <v/>
      </c>
      <c r="E1055" s="9" t="str">
        <f ca="1">IF(AND(NEGOCIAÇÕES!O1055="",NEGOCIAÇÕES!N1055&lt;TODAY()),NEGOCIAÇÕES!N1055,"")</f>
        <v/>
      </c>
    </row>
    <row r="1056" spans="2:5" ht="31.95" hidden="1" customHeight="1" x14ac:dyDescent="0.3">
      <c r="B1056" s="6" t="str">
        <f ca="1">IF(AND(NEGOCIAÇÕES!O1056="",NEGOCIAÇÕES!N1056&lt;TODAY()),NEGOCIAÇÕES!C1056,"")</f>
        <v/>
      </c>
      <c r="C1056" s="6" t="str">
        <f ca="1">IF(AND(NEGOCIAÇÕES!O1056="",NEGOCIAÇÕES!N1056&lt;TODAY()),NEGOCIAÇÕES!E1056,"")</f>
        <v/>
      </c>
      <c r="D1056" s="6" t="str">
        <f ca="1">IF(AND(NEGOCIAÇÕES!O1056="",NEGOCIAÇÕES!N1056&lt;TODAY()),NEGOCIAÇÕES!D1056,"")</f>
        <v/>
      </c>
      <c r="E1056" s="9" t="str">
        <f ca="1">IF(AND(NEGOCIAÇÕES!O1056="",NEGOCIAÇÕES!N1056&lt;TODAY()),NEGOCIAÇÕES!N1056,"")</f>
        <v/>
      </c>
    </row>
    <row r="1057" spans="2:5" ht="31.95" hidden="1" customHeight="1" x14ac:dyDescent="0.3">
      <c r="B1057" s="6" t="str">
        <f ca="1">IF(AND(NEGOCIAÇÕES!O1057="",NEGOCIAÇÕES!N1057&lt;TODAY()),NEGOCIAÇÕES!C1057,"")</f>
        <v/>
      </c>
      <c r="C1057" s="6" t="str">
        <f ca="1">IF(AND(NEGOCIAÇÕES!O1057="",NEGOCIAÇÕES!N1057&lt;TODAY()),NEGOCIAÇÕES!E1057,"")</f>
        <v/>
      </c>
      <c r="D1057" s="6" t="str">
        <f ca="1">IF(AND(NEGOCIAÇÕES!O1057="",NEGOCIAÇÕES!N1057&lt;TODAY()),NEGOCIAÇÕES!D1057,"")</f>
        <v/>
      </c>
      <c r="E1057" s="9" t="str">
        <f ca="1">IF(AND(NEGOCIAÇÕES!O1057="",NEGOCIAÇÕES!N1057&lt;TODAY()),NEGOCIAÇÕES!N1057,"")</f>
        <v/>
      </c>
    </row>
    <row r="1058" spans="2:5" ht="31.95" hidden="1" customHeight="1" x14ac:dyDescent="0.3">
      <c r="B1058" s="6" t="str">
        <f ca="1">IF(AND(NEGOCIAÇÕES!O1058="",NEGOCIAÇÕES!N1058&lt;TODAY()),NEGOCIAÇÕES!C1058,"")</f>
        <v/>
      </c>
      <c r="C1058" s="6" t="str">
        <f ca="1">IF(AND(NEGOCIAÇÕES!O1058="",NEGOCIAÇÕES!N1058&lt;TODAY()),NEGOCIAÇÕES!E1058,"")</f>
        <v/>
      </c>
      <c r="D1058" s="6" t="str">
        <f ca="1">IF(AND(NEGOCIAÇÕES!O1058="",NEGOCIAÇÕES!N1058&lt;TODAY()),NEGOCIAÇÕES!D1058,"")</f>
        <v/>
      </c>
      <c r="E1058" s="9" t="str">
        <f ca="1">IF(AND(NEGOCIAÇÕES!O1058="",NEGOCIAÇÕES!N1058&lt;TODAY()),NEGOCIAÇÕES!N1058,"")</f>
        <v/>
      </c>
    </row>
    <row r="1059" spans="2:5" ht="31.95" hidden="1" customHeight="1" x14ac:dyDescent="0.3">
      <c r="B1059" s="6" t="str">
        <f ca="1">IF(AND(NEGOCIAÇÕES!O1059="",NEGOCIAÇÕES!N1059&lt;TODAY()),NEGOCIAÇÕES!C1059,"")</f>
        <v/>
      </c>
      <c r="C1059" s="6" t="str">
        <f ca="1">IF(AND(NEGOCIAÇÕES!O1059="",NEGOCIAÇÕES!N1059&lt;TODAY()),NEGOCIAÇÕES!E1059,"")</f>
        <v/>
      </c>
      <c r="D1059" s="6" t="str">
        <f ca="1">IF(AND(NEGOCIAÇÕES!O1059="",NEGOCIAÇÕES!N1059&lt;TODAY()),NEGOCIAÇÕES!D1059,"")</f>
        <v/>
      </c>
      <c r="E1059" s="9" t="str">
        <f ca="1">IF(AND(NEGOCIAÇÕES!O1059="",NEGOCIAÇÕES!N1059&lt;TODAY()),NEGOCIAÇÕES!N1059,"")</f>
        <v/>
      </c>
    </row>
    <row r="1060" spans="2:5" ht="31.95" hidden="1" customHeight="1" x14ac:dyDescent="0.3">
      <c r="B1060" s="6" t="str">
        <f ca="1">IF(AND(NEGOCIAÇÕES!O1060="",NEGOCIAÇÕES!N1060&lt;TODAY()),NEGOCIAÇÕES!C1060,"")</f>
        <v/>
      </c>
      <c r="C1060" s="6" t="str">
        <f ca="1">IF(AND(NEGOCIAÇÕES!O1060="",NEGOCIAÇÕES!N1060&lt;TODAY()),NEGOCIAÇÕES!E1060,"")</f>
        <v/>
      </c>
      <c r="D1060" s="6" t="str">
        <f ca="1">IF(AND(NEGOCIAÇÕES!O1060="",NEGOCIAÇÕES!N1060&lt;TODAY()),NEGOCIAÇÕES!D1060,"")</f>
        <v/>
      </c>
      <c r="E1060" s="9" t="str">
        <f ca="1">IF(AND(NEGOCIAÇÕES!O1060="",NEGOCIAÇÕES!N1060&lt;TODAY()),NEGOCIAÇÕES!N1060,"")</f>
        <v/>
      </c>
    </row>
    <row r="1061" spans="2:5" ht="31.95" hidden="1" customHeight="1" x14ac:dyDescent="0.3">
      <c r="B1061" s="6" t="str">
        <f ca="1">IF(AND(NEGOCIAÇÕES!O1061="",NEGOCIAÇÕES!N1061&lt;TODAY()),NEGOCIAÇÕES!C1061,"")</f>
        <v/>
      </c>
      <c r="C1061" s="6" t="str">
        <f ca="1">IF(AND(NEGOCIAÇÕES!O1061="",NEGOCIAÇÕES!N1061&lt;TODAY()),NEGOCIAÇÕES!E1061,"")</f>
        <v/>
      </c>
      <c r="D1061" s="6" t="str">
        <f ca="1">IF(AND(NEGOCIAÇÕES!O1061="",NEGOCIAÇÕES!N1061&lt;TODAY()),NEGOCIAÇÕES!D1061,"")</f>
        <v/>
      </c>
      <c r="E1061" s="9" t="str">
        <f ca="1">IF(AND(NEGOCIAÇÕES!O1061="",NEGOCIAÇÕES!N1061&lt;TODAY()),NEGOCIAÇÕES!N1061,"")</f>
        <v/>
      </c>
    </row>
    <row r="1062" spans="2:5" ht="31.95" hidden="1" customHeight="1" x14ac:dyDescent="0.3">
      <c r="B1062" s="6" t="str">
        <f ca="1">IF(AND(NEGOCIAÇÕES!O1062="",NEGOCIAÇÕES!N1062&lt;TODAY()),NEGOCIAÇÕES!C1062,"")</f>
        <v/>
      </c>
      <c r="C1062" s="6" t="str">
        <f ca="1">IF(AND(NEGOCIAÇÕES!O1062="",NEGOCIAÇÕES!N1062&lt;TODAY()),NEGOCIAÇÕES!E1062,"")</f>
        <v/>
      </c>
      <c r="D1062" s="6" t="str">
        <f ca="1">IF(AND(NEGOCIAÇÕES!O1062="",NEGOCIAÇÕES!N1062&lt;TODAY()),NEGOCIAÇÕES!D1062,"")</f>
        <v/>
      </c>
      <c r="E1062" s="9" t="str">
        <f ca="1">IF(AND(NEGOCIAÇÕES!O1062="",NEGOCIAÇÕES!N1062&lt;TODAY()),NEGOCIAÇÕES!N1062,"")</f>
        <v/>
      </c>
    </row>
    <row r="1063" spans="2:5" ht="31.95" hidden="1" customHeight="1" x14ac:dyDescent="0.3">
      <c r="B1063" s="6" t="str">
        <f ca="1">IF(AND(NEGOCIAÇÕES!O1063="",NEGOCIAÇÕES!N1063&lt;TODAY()),NEGOCIAÇÕES!C1063,"")</f>
        <v/>
      </c>
      <c r="C1063" s="6" t="str">
        <f ca="1">IF(AND(NEGOCIAÇÕES!O1063="",NEGOCIAÇÕES!N1063&lt;TODAY()),NEGOCIAÇÕES!E1063,"")</f>
        <v/>
      </c>
      <c r="D1063" s="6" t="str">
        <f ca="1">IF(AND(NEGOCIAÇÕES!O1063="",NEGOCIAÇÕES!N1063&lt;TODAY()),NEGOCIAÇÕES!D1063,"")</f>
        <v/>
      </c>
      <c r="E1063" s="9" t="str">
        <f ca="1">IF(AND(NEGOCIAÇÕES!O1063="",NEGOCIAÇÕES!N1063&lt;TODAY()),NEGOCIAÇÕES!N1063,"")</f>
        <v/>
      </c>
    </row>
    <row r="1064" spans="2:5" ht="31.95" hidden="1" customHeight="1" x14ac:dyDescent="0.3">
      <c r="B1064" s="6" t="str">
        <f ca="1">IF(AND(NEGOCIAÇÕES!O1064="",NEGOCIAÇÕES!N1064&lt;TODAY()),NEGOCIAÇÕES!C1064,"")</f>
        <v/>
      </c>
      <c r="C1064" s="6" t="str">
        <f ca="1">IF(AND(NEGOCIAÇÕES!O1064="",NEGOCIAÇÕES!N1064&lt;TODAY()),NEGOCIAÇÕES!E1064,"")</f>
        <v/>
      </c>
      <c r="D1064" s="6" t="str">
        <f ca="1">IF(AND(NEGOCIAÇÕES!O1064="",NEGOCIAÇÕES!N1064&lt;TODAY()),NEGOCIAÇÕES!D1064,"")</f>
        <v/>
      </c>
      <c r="E1064" s="9" t="str">
        <f ca="1">IF(AND(NEGOCIAÇÕES!O1064="",NEGOCIAÇÕES!N1064&lt;TODAY()),NEGOCIAÇÕES!N1064,"")</f>
        <v/>
      </c>
    </row>
    <row r="1065" spans="2:5" ht="31.95" hidden="1" customHeight="1" x14ac:dyDescent="0.3">
      <c r="B1065" s="6" t="str">
        <f ca="1">IF(AND(NEGOCIAÇÕES!O1065="",NEGOCIAÇÕES!N1065&lt;TODAY()),NEGOCIAÇÕES!C1065,"")</f>
        <v/>
      </c>
      <c r="C1065" s="6" t="str">
        <f ca="1">IF(AND(NEGOCIAÇÕES!O1065="",NEGOCIAÇÕES!N1065&lt;TODAY()),NEGOCIAÇÕES!E1065,"")</f>
        <v/>
      </c>
      <c r="D1065" s="6" t="str">
        <f ca="1">IF(AND(NEGOCIAÇÕES!O1065="",NEGOCIAÇÕES!N1065&lt;TODAY()),NEGOCIAÇÕES!D1065,"")</f>
        <v/>
      </c>
      <c r="E1065" s="9" t="str">
        <f ca="1">IF(AND(NEGOCIAÇÕES!O1065="",NEGOCIAÇÕES!N1065&lt;TODAY()),NEGOCIAÇÕES!N1065,"")</f>
        <v/>
      </c>
    </row>
    <row r="1066" spans="2:5" ht="31.95" hidden="1" customHeight="1" x14ac:dyDescent="0.3">
      <c r="B1066" s="6" t="str">
        <f ca="1">IF(AND(NEGOCIAÇÕES!O1066="",NEGOCIAÇÕES!N1066&lt;TODAY()),NEGOCIAÇÕES!C1066,"")</f>
        <v/>
      </c>
      <c r="C1066" s="6" t="str">
        <f ca="1">IF(AND(NEGOCIAÇÕES!O1066="",NEGOCIAÇÕES!N1066&lt;TODAY()),NEGOCIAÇÕES!E1066,"")</f>
        <v/>
      </c>
      <c r="D1066" s="6" t="str">
        <f ca="1">IF(AND(NEGOCIAÇÕES!O1066="",NEGOCIAÇÕES!N1066&lt;TODAY()),NEGOCIAÇÕES!D1066,"")</f>
        <v/>
      </c>
      <c r="E1066" s="9" t="str">
        <f ca="1">IF(AND(NEGOCIAÇÕES!O1066="",NEGOCIAÇÕES!N1066&lt;TODAY()),NEGOCIAÇÕES!N1066,"")</f>
        <v/>
      </c>
    </row>
    <row r="1067" spans="2:5" ht="31.95" hidden="1" customHeight="1" x14ac:dyDescent="0.3">
      <c r="B1067" s="6" t="str">
        <f ca="1">IF(AND(NEGOCIAÇÕES!O1067="",NEGOCIAÇÕES!N1067&lt;TODAY()),NEGOCIAÇÕES!C1067,"")</f>
        <v/>
      </c>
      <c r="C1067" s="6" t="str">
        <f ca="1">IF(AND(NEGOCIAÇÕES!O1067="",NEGOCIAÇÕES!N1067&lt;TODAY()),NEGOCIAÇÕES!E1067,"")</f>
        <v/>
      </c>
      <c r="D1067" s="6" t="str">
        <f ca="1">IF(AND(NEGOCIAÇÕES!O1067="",NEGOCIAÇÕES!N1067&lt;TODAY()),NEGOCIAÇÕES!D1067,"")</f>
        <v/>
      </c>
      <c r="E1067" s="9" t="str">
        <f ca="1">IF(AND(NEGOCIAÇÕES!O1067="",NEGOCIAÇÕES!N1067&lt;TODAY()),NEGOCIAÇÕES!N1067,"")</f>
        <v/>
      </c>
    </row>
    <row r="1068" spans="2:5" ht="31.95" hidden="1" customHeight="1" x14ac:dyDescent="0.3">
      <c r="B1068" s="6" t="str">
        <f ca="1">IF(AND(NEGOCIAÇÕES!O1068="",NEGOCIAÇÕES!N1068&lt;TODAY()),NEGOCIAÇÕES!C1068,"")</f>
        <v/>
      </c>
      <c r="C1068" s="6" t="str">
        <f ca="1">IF(AND(NEGOCIAÇÕES!O1068="",NEGOCIAÇÕES!N1068&lt;TODAY()),NEGOCIAÇÕES!E1068,"")</f>
        <v/>
      </c>
      <c r="D1068" s="6" t="str">
        <f ca="1">IF(AND(NEGOCIAÇÕES!O1068="",NEGOCIAÇÕES!N1068&lt;TODAY()),NEGOCIAÇÕES!D1068,"")</f>
        <v/>
      </c>
      <c r="E1068" s="9" t="str">
        <f ca="1">IF(AND(NEGOCIAÇÕES!O1068="",NEGOCIAÇÕES!N1068&lt;TODAY()),NEGOCIAÇÕES!N1068,"")</f>
        <v/>
      </c>
    </row>
    <row r="1069" spans="2:5" ht="31.95" hidden="1" customHeight="1" x14ac:dyDescent="0.3">
      <c r="B1069" s="6" t="str">
        <f ca="1">IF(AND(NEGOCIAÇÕES!O1069="",NEGOCIAÇÕES!N1069&lt;TODAY()),NEGOCIAÇÕES!C1069,"")</f>
        <v/>
      </c>
      <c r="C1069" s="6" t="str">
        <f ca="1">IF(AND(NEGOCIAÇÕES!O1069="",NEGOCIAÇÕES!N1069&lt;TODAY()),NEGOCIAÇÕES!E1069,"")</f>
        <v/>
      </c>
      <c r="D1069" s="6" t="str">
        <f ca="1">IF(AND(NEGOCIAÇÕES!O1069="",NEGOCIAÇÕES!N1069&lt;TODAY()),NEGOCIAÇÕES!D1069,"")</f>
        <v/>
      </c>
      <c r="E1069" s="9" t="str">
        <f ca="1">IF(AND(NEGOCIAÇÕES!O1069="",NEGOCIAÇÕES!N1069&lt;TODAY()),NEGOCIAÇÕES!N1069,"")</f>
        <v/>
      </c>
    </row>
    <row r="1070" spans="2:5" ht="31.95" hidden="1" customHeight="1" x14ac:dyDescent="0.3">
      <c r="B1070" s="6" t="str">
        <f ca="1">IF(AND(NEGOCIAÇÕES!O1070="",NEGOCIAÇÕES!N1070&lt;TODAY()),NEGOCIAÇÕES!C1070,"")</f>
        <v/>
      </c>
      <c r="C1070" s="6" t="str">
        <f ca="1">IF(AND(NEGOCIAÇÕES!O1070="",NEGOCIAÇÕES!N1070&lt;TODAY()),NEGOCIAÇÕES!E1070,"")</f>
        <v/>
      </c>
      <c r="D1070" s="6" t="str">
        <f ca="1">IF(AND(NEGOCIAÇÕES!O1070="",NEGOCIAÇÕES!N1070&lt;TODAY()),NEGOCIAÇÕES!D1070,"")</f>
        <v/>
      </c>
      <c r="E1070" s="9" t="str">
        <f ca="1">IF(AND(NEGOCIAÇÕES!O1070="",NEGOCIAÇÕES!N1070&lt;TODAY()),NEGOCIAÇÕES!N1070,"")</f>
        <v/>
      </c>
    </row>
    <row r="1071" spans="2:5" ht="31.95" hidden="1" customHeight="1" x14ac:dyDescent="0.3">
      <c r="B1071" s="6" t="str">
        <f ca="1">IF(AND(NEGOCIAÇÕES!O1071="",NEGOCIAÇÕES!N1071&lt;TODAY()),NEGOCIAÇÕES!C1071,"")</f>
        <v/>
      </c>
      <c r="C1071" s="6" t="str">
        <f ca="1">IF(AND(NEGOCIAÇÕES!O1071="",NEGOCIAÇÕES!N1071&lt;TODAY()),NEGOCIAÇÕES!E1071,"")</f>
        <v/>
      </c>
      <c r="D1071" s="6" t="str">
        <f ca="1">IF(AND(NEGOCIAÇÕES!O1071="",NEGOCIAÇÕES!N1071&lt;TODAY()),NEGOCIAÇÕES!D1071,"")</f>
        <v/>
      </c>
      <c r="E1071" s="9" t="str">
        <f ca="1">IF(AND(NEGOCIAÇÕES!O1071="",NEGOCIAÇÕES!N1071&lt;TODAY()),NEGOCIAÇÕES!N1071,"")</f>
        <v/>
      </c>
    </row>
    <row r="1072" spans="2:5" ht="31.95" hidden="1" customHeight="1" x14ac:dyDescent="0.3">
      <c r="B1072" s="6" t="str">
        <f ca="1">IF(AND(NEGOCIAÇÕES!O1072="",NEGOCIAÇÕES!N1072&lt;TODAY()),NEGOCIAÇÕES!C1072,"")</f>
        <v/>
      </c>
      <c r="C1072" s="6" t="str">
        <f ca="1">IF(AND(NEGOCIAÇÕES!O1072="",NEGOCIAÇÕES!N1072&lt;TODAY()),NEGOCIAÇÕES!E1072,"")</f>
        <v/>
      </c>
      <c r="D1072" s="6" t="str">
        <f ca="1">IF(AND(NEGOCIAÇÕES!O1072="",NEGOCIAÇÕES!N1072&lt;TODAY()),NEGOCIAÇÕES!D1072,"")</f>
        <v/>
      </c>
      <c r="E1072" s="9" t="str">
        <f ca="1">IF(AND(NEGOCIAÇÕES!O1072="",NEGOCIAÇÕES!N1072&lt;TODAY()),NEGOCIAÇÕES!N1072,"")</f>
        <v/>
      </c>
    </row>
    <row r="1073" spans="2:5" ht="31.95" hidden="1" customHeight="1" x14ac:dyDescent="0.3">
      <c r="B1073" s="6" t="str">
        <f ca="1">IF(AND(NEGOCIAÇÕES!O1073="",NEGOCIAÇÕES!N1073&lt;TODAY()),NEGOCIAÇÕES!C1073,"")</f>
        <v/>
      </c>
      <c r="C1073" s="6" t="str">
        <f ca="1">IF(AND(NEGOCIAÇÕES!O1073="",NEGOCIAÇÕES!N1073&lt;TODAY()),NEGOCIAÇÕES!E1073,"")</f>
        <v/>
      </c>
      <c r="D1073" s="6" t="str">
        <f ca="1">IF(AND(NEGOCIAÇÕES!O1073="",NEGOCIAÇÕES!N1073&lt;TODAY()),NEGOCIAÇÕES!D1073,"")</f>
        <v/>
      </c>
      <c r="E1073" s="9" t="str">
        <f ca="1">IF(AND(NEGOCIAÇÕES!O1073="",NEGOCIAÇÕES!N1073&lt;TODAY()),NEGOCIAÇÕES!N1073,"")</f>
        <v/>
      </c>
    </row>
    <row r="1074" spans="2:5" ht="31.95" hidden="1" customHeight="1" x14ac:dyDescent="0.3">
      <c r="B1074" s="6" t="str">
        <f ca="1">IF(AND(NEGOCIAÇÕES!O1074="",NEGOCIAÇÕES!N1074&lt;TODAY()),NEGOCIAÇÕES!C1074,"")</f>
        <v/>
      </c>
      <c r="C1074" s="6" t="str">
        <f ca="1">IF(AND(NEGOCIAÇÕES!O1074="",NEGOCIAÇÕES!N1074&lt;TODAY()),NEGOCIAÇÕES!E1074,"")</f>
        <v/>
      </c>
      <c r="D1074" s="6" t="str">
        <f ca="1">IF(AND(NEGOCIAÇÕES!O1074="",NEGOCIAÇÕES!N1074&lt;TODAY()),NEGOCIAÇÕES!D1074,"")</f>
        <v/>
      </c>
      <c r="E1074" s="9" t="str">
        <f ca="1">IF(AND(NEGOCIAÇÕES!O1074="",NEGOCIAÇÕES!N1074&lt;TODAY()),NEGOCIAÇÕES!N1074,"")</f>
        <v/>
      </c>
    </row>
    <row r="1075" spans="2:5" ht="31.95" hidden="1" customHeight="1" x14ac:dyDescent="0.3">
      <c r="B1075" s="6" t="str">
        <f ca="1">IF(AND(NEGOCIAÇÕES!O1075="",NEGOCIAÇÕES!N1075&lt;TODAY()),NEGOCIAÇÕES!C1075,"")</f>
        <v/>
      </c>
      <c r="C1075" s="6" t="str">
        <f ca="1">IF(AND(NEGOCIAÇÕES!O1075="",NEGOCIAÇÕES!N1075&lt;TODAY()),NEGOCIAÇÕES!E1075,"")</f>
        <v/>
      </c>
      <c r="D1075" s="6" t="str">
        <f ca="1">IF(AND(NEGOCIAÇÕES!O1075="",NEGOCIAÇÕES!N1075&lt;TODAY()),NEGOCIAÇÕES!D1075,"")</f>
        <v/>
      </c>
      <c r="E1075" s="9" t="str">
        <f ca="1">IF(AND(NEGOCIAÇÕES!O1075="",NEGOCIAÇÕES!N1075&lt;TODAY()),NEGOCIAÇÕES!N1075,"")</f>
        <v/>
      </c>
    </row>
    <row r="1076" spans="2:5" ht="31.95" hidden="1" customHeight="1" x14ac:dyDescent="0.3">
      <c r="B1076" s="6" t="str">
        <f ca="1">IF(AND(NEGOCIAÇÕES!O1076="",NEGOCIAÇÕES!N1076&lt;TODAY()),NEGOCIAÇÕES!C1076,"")</f>
        <v/>
      </c>
      <c r="C1076" s="6" t="str">
        <f ca="1">IF(AND(NEGOCIAÇÕES!O1076="",NEGOCIAÇÕES!N1076&lt;TODAY()),NEGOCIAÇÕES!E1076,"")</f>
        <v/>
      </c>
      <c r="D1076" s="6" t="str">
        <f ca="1">IF(AND(NEGOCIAÇÕES!O1076="",NEGOCIAÇÕES!N1076&lt;TODAY()),NEGOCIAÇÕES!D1076,"")</f>
        <v/>
      </c>
      <c r="E1076" s="9" t="str">
        <f ca="1">IF(AND(NEGOCIAÇÕES!O1076="",NEGOCIAÇÕES!N1076&lt;TODAY()),NEGOCIAÇÕES!N1076,"")</f>
        <v/>
      </c>
    </row>
    <row r="1077" spans="2:5" ht="31.95" hidden="1" customHeight="1" x14ac:dyDescent="0.3">
      <c r="B1077" s="6" t="str">
        <f ca="1">IF(AND(NEGOCIAÇÕES!O1077="",NEGOCIAÇÕES!N1077&lt;TODAY()),NEGOCIAÇÕES!C1077,"")</f>
        <v/>
      </c>
      <c r="C1077" s="6" t="str">
        <f ca="1">IF(AND(NEGOCIAÇÕES!O1077="",NEGOCIAÇÕES!N1077&lt;TODAY()),NEGOCIAÇÕES!E1077,"")</f>
        <v/>
      </c>
      <c r="D1077" s="6" t="str">
        <f ca="1">IF(AND(NEGOCIAÇÕES!O1077="",NEGOCIAÇÕES!N1077&lt;TODAY()),NEGOCIAÇÕES!D1077,"")</f>
        <v/>
      </c>
      <c r="E1077" s="9" t="str">
        <f ca="1">IF(AND(NEGOCIAÇÕES!O1077="",NEGOCIAÇÕES!N1077&lt;TODAY()),NEGOCIAÇÕES!N1077,"")</f>
        <v/>
      </c>
    </row>
    <row r="1078" spans="2:5" ht="31.95" hidden="1" customHeight="1" x14ac:dyDescent="0.3">
      <c r="B1078" s="6" t="str">
        <f ca="1">IF(AND(NEGOCIAÇÕES!O1078="",NEGOCIAÇÕES!N1078&lt;TODAY()),NEGOCIAÇÕES!C1078,"")</f>
        <v/>
      </c>
      <c r="C1078" s="6" t="str">
        <f ca="1">IF(AND(NEGOCIAÇÕES!O1078="",NEGOCIAÇÕES!N1078&lt;TODAY()),NEGOCIAÇÕES!E1078,"")</f>
        <v/>
      </c>
      <c r="D1078" s="6" t="str">
        <f ca="1">IF(AND(NEGOCIAÇÕES!O1078="",NEGOCIAÇÕES!N1078&lt;TODAY()),NEGOCIAÇÕES!D1078,"")</f>
        <v/>
      </c>
      <c r="E1078" s="9" t="str">
        <f ca="1">IF(AND(NEGOCIAÇÕES!O1078="",NEGOCIAÇÕES!N1078&lt;TODAY()),NEGOCIAÇÕES!N1078,"")</f>
        <v/>
      </c>
    </row>
    <row r="1079" spans="2:5" ht="31.95" hidden="1" customHeight="1" x14ac:dyDescent="0.3">
      <c r="B1079" s="6" t="str">
        <f ca="1">IF(AND(NEGOCIAÇÕES!O1079="",NEGOCIAÇÕES!N1079&lt;TODAY()),NEGOCIAÇÕES!C1079,"")</f>
        <v/>
      </c>
      <c r="C1079" s="6" t="str">
        <f ca="1">IF(AND(NEGOCIAÇÕES!O1079="",NEGOCIAÇÕES!N1079&lt;TODAY()),NEGOCIAÇÕES!E1079,"")</f>
        <v/>
      </c>
      <c r="D1079" s="6" t="str">
        <f ca="1">IF(AND(NEGOCIAÇÕES!O1079="",NEGOCIAÇÕES!N1079&lt;TODAY()),NEGOCIAÇÕES!D1079,"")</f>
        <v/>
      </c>
      <c r="E1079" s="9" t="str">
        <f ca="1">IF(AND(NEGOCIAÇÕES!O1079="",NEGOCIAÇÕES!N1079&lt;TODAY()),NEGOCIAÇÕES!N1079,"")</f>
        <v/>
      </c>
    </row>
    <row r="1080" spans="2:5" ht="31.95" hidden="1" customHeight="1" x14ac:dyDescent="0.3">
      <c r="B1080" s="6" t="str">
        <f ca="1">IF(AND(NEGOCIAÇÕES!O1080="",NEGOCIAÇÕES!N1080&lt;TODAY()),NEGOCIAÇÕES!C1080,"")</f>
        <v/>
      </c>
      <c r="C1080" s="6" t="str">
        <f ca="1">IF(AND(NEGOCIAÇÕES!O1080="",NEGOCIAÇÕES!N1080&lt;TODAY()),NEGOCIAÇÕES!E1080,"")</f>
        <v/>
      </c>
      <c r="D1080" s="6" t="str">
        <f ca="1">IF(AND(NEGOCIAÇÕES!O1080="",NEGOCIAÇÕES!N1080&lt;TODAY()),NEGOCIAÇÕES!D1080,"")</f>
        <v/>
      </c>
      <c r="E1080" s="9" t="str">
        <f ca="1">IF(AND(NEGOCIAÇÕES!O1080="",NEGOCIAÇÕES!N1080&lt;TODAY()),NEGOCIAÇÕES!N1080,"")</f>
        <v/>
      </c>
    </row>
    <row r="1081" spans="2:5" ht="31.95" hidden="1" customHeight="1" x14ac:dyDescent="0.3">
      <c r="B1081" s="6" t="str">
        <f ca="1">IF(AND(NEGOCIAÇÕES!O1081="",NEGOCIAÇÕES!N1081&lt;TODAY()),NEGOCIAÇÕES!C1081,"")</f>
        <v/>
      </c>
      <c r="C1081" s="6" t="str">
        <f ca="1">IF(AND(NEGOCIAÇÕES!O1081="",NEGOCIAÇÕES!N1081&lt;TODAY()),NEGOCIAÇÕES!E1081,"")</f>
        <v/>
      </c>
      <c r="D1081" s="6" t="str">
        <f ca="1">IF(AND(NEGOCIAÇÕES!O1081="",NEGOCIAÇÕES!N1081&lt;TODAY()),NEGOCIAÇÕES!D1081,"")</f>
        <v/>
      </c>
      <c r="E1081" s="9" t="str">
        <f ca="1">IF(AND(NEGOCIAÇÕES!O1081="",NEGOCIAÇÕES!N1081&lt;TODAY()),NEGOCIAÇÕES!N1081,"")</f>
        <v/>
      </c>
    </row>
    <row r="1082" spans="2:5" ht="31.95" hidden="1" customHeight="1" x14ac:dyDescent="0.3">
      <c r="B1082" s="6" t="str">
        <f ca="1">IF(AND(NEGOCIAÇÕES!O1082="",NEGOCIAÇÕES!N1082&lt;TODAY()),NEGOCIAÇÕES!C1082,"")</f>
        <v/>
      </c>
      <c r="C1082" s="6" t="str">
        <f ca="1">IF(AND(NEGOCIAÇÕES!O1082="",NEGOCIAÇÕES!N1082&lt;TODAY()),NEGOCIAÇÕES!E1082,"")</f>
        <v/>
      </c>
      <c r="D1082" s="6" t="str">
        <f ca="1">IF(AND(NEGOCIAÇÕES!O1082="",NEGOCIAÇÕES!N1082&lt;TODAY()),NEGOCIAÇÕES!D1082,"")</f>
        <v/>
      </c>
      <c r="E1082" s="9" t="str">
        <f ca="1">IF(AND(NEGOCIAÇÕES!O1082="",NEGOCIAÇÕES!N1082&lt;TODAY()),NEGOCIAÇÕES!N1082,"")</f>
        <v/>
      </c>
    </row>
    <row r="1083" spans="2:5" ht="31.95" hidden="1" customHeight="1" x14ac:dyDescent="0.3">
      <c r="B1083" s="6" t="str">
        <f ca="1">IF(AND(NEGOCIAÇÕES!O1083="",NEGOCIAÇÕES!N1083&lt;TODAY()),NEGOCIAÇÕES!C1083,"")</f>
        <v/>
      </c>
      <c r="C1083" s="6" t="str">
        <f ca="1">IF(AND(NEGOCIAÇÕES!O1083="",NEGOCIAÇÕES!N1083&lt;TODAY()),NEGOCIAÇÕES!E1083,"")</f>
        <v/>
      </c>
      <c r="D1083" s="6" t="str">
        <f ca="1">IF(AND(NEGOCIAÇÕES!O1083="",NEGOCIAÇÕES!N1083&lt;TODAY()),NEGOCIAÇÕES!D1083,"")</f>
        <v/>
      </c>
      <c r="E1083" s="9" t="str">
        <f ca="1">IF(AND(NEGOCIAÇÕES!O1083="",NEGOCIAÇÕES!N1083&lt;TODAY()),NEGOCIAÇÕES!N1083,"")</f>
        <v/>
      </c>
    </row>
    <row r="1084" spans="2:5" ht="31.95" hidden="1" customHeight="1" x14ac:dyDescent="0.3">
      <c r="B1084" s="6" t="str">
        <f ca="1">IF(AND(NEGOCIAÇÕES!O1084="",NEGOCIAÇÕES!N1084&lt;TODAY()),NEGOCIAÇÕES!C1084,"")</f>
        <v/>
      </c>
      <c r="C1084" s="6" t="str">
        <f ca="1">IF(AND(NEGOCIAÇÕES!O1084="",NEGOCIAÇÕES!N1084&lt;TODAY()),NEGOCIAÇÕES!E1084,"")</f>
        <v/>
      </c>
      <c r="D1084" s="6" t="str">
        <f ca="1">IF(AND(NEGOCIAÇÕES!O1084="",NEGOCIAÇÕES!N1084&lt;TODAY()),NEGOCIAÇÕES!D1084,"")</f>
        <v/>
      </c>
      <c r="E1084" s="9" t="str">
        <f ca="1">IF(AND(NEGOCIAÇÕES!O1084="",NEGOCIAÇÕES!N1084&lt;TODAY()),NEGOCIAÇÕES!N1084,"")</f>
        <v/>
      </c>
    </row>
    <row r="1085" spans="2:5" ht="31.95" hidden="1" customHeight="1" x14ac:dyDescent="0.3">
      <c r="B1085" s="6" t="str">
        <f ca="1">IF(AND(NEGOCIAÇÕES!O1085="",NEGOCIAÇÕES!N1085&lt;TODAY()),NEGOCIAÇÕES!C1085,"")</f>
        <v/>
      </c>
      <c r="C1085" s="6" t="str">
        <f ca="1">IF(AND(NEGOCIAÇÕES!O1085="",NEGOCIAÇÕES!N1085&lt;TODAY()),NEGOCIAÇÕES!E1085,"")</f>
        <v/>
      </c>
      <c r="D1085" s="6" t="str">
        <f ca="1">IF(AND(NEGOCIAÇÕES!O1085="",NEGOCIAÇÕES!N1085&lt;TODAY()),NEGOCIAÇÕES!D1085,"")</f>
        <v/>
      </c>
      <c r="E1085" s="9" t="str">
        <f ca="1">IF(AND(NEGOCIAÇÕES!O1085="",NEGOCIAÇÕES!N1085&lt;TODAY()),NEGOCIAÇÕES!N1085,"")</f>
        <v/>
      </c>
    </row>
    <row r="1086" spans="2:5" ht="31.95" hidden="1" customHeight="1" x14ac:dyDescent="0.3">
      <c r="B1086" s="6" t="str">
        <f ca="1">IF(AND(NEGOCIAÇÕES!O1086="",NEGOCIAÇÕES!N1086&lt;TODAY()),NEGOCIAÇÕES!C1086,"")</f>
        <v/>
      </c>
      <c r="C1086" s="6" t="str">
        <f ca="1">IF(AND(NEGOCIAÇÕES!O1086="",NEGOCIAÇÕES!N1086&lt;TODAY()),NEGOCIAÇÕES!E1086,"")</f>
        <v/>
      </c>
      <c r="D1086" s="6" t="str">
        <f ca="1">IF(AND(NEGOCIAÇÕES!O1086="",NEGOCIAÇÕES!N1086&lt;TODAY()),NEGOCIAÇÕES!D1086,"")</f>
        <v/>
      </c>
      <c r="E1086" s="9" t="str">
        <f ca="1">IF(AND(NEGOCIAÇÕES!O1086="",NEGOCIAÇÕES!N1086&lt;TODAY()),NEGOCIAÇÕES!N1086,"")</f>
        <v/>
      </c>
    </row>
    <row r="1087" spans="2:5" ht="31.95" hidden="1" customHeight="1" x14ac:dyDescent="0.3">
      <c r="B1087" s="6" t="str">
        <f ca="1">IF(AND(NEGOCIAÇÕES!O1087="",NEGOCIAÇÕES!N1087&lt;TODAY()),NEGOCIAÇÕES!C1087,"")</f>
        <v/>
      </c>
      <c r="C1087" s="6" t="str">
        <f ca="1">IF(AND(NEGOCIAÇÕES!O1087="",NEGOCIAÇÕES!N1087&lt;TODAY()),NEGOCIAÇÕES!E1087,"")</f>
        <v/>
      </c>
      <c r="D1087" s="6" t="str">
        <f ca="1">IF(AND(NEGOCIAÇÕES!O1087="",NEGOCIAÇÕES!N1087&lt;TODAY()),NEGOCIAÇÕES!D1087,"")</f>
        <v/>
      </c>
      <c r="E1087" s="9" t="str">
        <f ca="1">IF(AND(NEGOCIAÇÕES!O1087="",NEGOCIAÇÕES!N1087&lt;TODAY()),NEGOCIAÇÕES!N1087,"")</f>
        <v/>
      </c>
    </row>
    <row r="1088" spans="2:5" ht="31.95" hidden="1" customHeight="1" x14ac:dyDescent="0.3">
      <c r="B1088" s="6" t="str">
        <f ca="1">IF(AND(NEGOCIAÇÕES!O1088="",NEGOCIAÇÕES!N1088&lt;TODAY()),NEGOCIAÇÕES!C1088,"")</f>
        <v/>
      </c>
      <c r="C1088" s="6" t="str">
        <f ca="1">IF(AND(NEGOCIAÇÕES!O1088="",NEGOCIAÇÕES!N1088&lt;TODAY()),NEGOCIAÇÕES!E1088,"")</f>
        <v/>
      </c>
      <c r="D1088" s="6" t="str">
        <f ca="1">IF(AND(NEGOCIAÇÕES!O1088="",NEGOCIAÇÕES!N1088&lt;TODAY()),NEGOCIAÇÕES!D1088,"")</f>
        <v/>
      </c>
      <c r="E1088" s="9" t="str">
        <f ca="1">IF(AND(NEGOCIAÇÕES!O1088="",NEGOCIAÇÕES!N1088&lt;TODAY()),NEGOCIAÇÕES!N1088,"")</f>
        <v/>
      </c>
    </row>
    <row r="1089" spans="2:5" ht="31.95" hidden="1" customHeight="1" x14ac:dyDescent="0.3">
      <c r="B1089" s="6" t="str">
        <f ca="1">IF(AND(NEGOCIAÇÕES!O1089="",NEGOCIAÇÕES!N1089&lt;TODAY()),NEGOCIAÇÕES!C1089,"")</f>
        <v/>
      </c>
      <c r="C1089" s="6" t="str">
        <f ca="1">IF(AND(NEGOCIAÇÕES!O1089="",NEGOCIAÇÕES!N1089&lt;TODAY()),NEGOCIAÇÕES!E1089,"")</f>
        <v/>
      </c>
      <c r="D1089" s="6" t="str">
        <f ca="1">IF(AND(NEGOCIAÇÕES!O1089="",NEGOCIAÇÕES!N1089&lt;TODAY()),NEGOCIAÇÕES!D1089,"")</f>
        <v/>
      </c>
      <c r="E1089" s="9" t="str">
        <f ca="1">IF(AND(NEGOCIAÇÕES!O1089="",NEGOCIAÇÕES!N1089&lt;TODAY()),NEGOCIAÇÕES!N1089,"")</f>
        <v/>
      </c>
    </row>
    <row r="1090" spans="2:5" ht="31.95" hidden="1" customHeight="1" x14ac:dyDescent="0.3">
      <c r="B1090" s="6" t="str">
        <f ca="1">IF(AND(NEGOCIAÇÕES!O1090="",NEGOCIAÇÕES!N1090&lt;TODAY()),NEGOCIAÇÕES!C1090,"")</f>
        <v/>
      </c>
      <c r="C1090" s="6" t="str">
        <f ca="1">IF(AND(NEGOCIAÇÕES!O1090="",NEGOCIAÇÕES!N1090&lt;TODAY()),NEGOCIAÇÕES!E1090,"")</f>
        <v/>
      </c>
      <c r="D1090" s="6" t="str">
        <f ca="1">IF(AND(NEGOCIAÇÕES!O1090="",NEGOCIAÇÕES!N1090&lt;TODAY()),NEGOCIAÇÕES!D1090,"")</f>
        <v/>
      </c>
      <c r="E1090" s="9" t="str">
        <f ca="1">IF(AND(NEGOCIAÇÕES!O1090="",NEGOCIAÇÕES!N1090&lt;TODAY()),NEGOCIAÇÕES!N1090,"")</f>
        <v/>
      </c>
    </row>
    <row r="1091" spans="2:5" ht="31.95" hidden="1" customHeight="1" x14ac:dyDescent="0.3">
      <c r="B1091" s="6" t="str">
        <f ca="1">IF(AND(NEGOCIAÇÕES!O1091="",NEGOCIAÇÕES!N1091&lt;TODAY()),NEGOCIAÇÕES!C1091,"")</f>
        <v/>
      </c>
      <c r="C1091" s="6" t="str">
        <f ca="1">IF(AND(NEGOCIAÇÕES!O1091="",NEGOCIAÇÕES!N1091&lt;TODAY()),NEGOCIAÇÕES!E1091,"")</f>
        <v/>
      </c>
      <c r="D1091" s="6" t="str">
        <f ca="1">IF(AND(NEGOCIAÇÕES!O1091="",NEGOCIAÇÕES!N1091&lt;TODAY()),NEGOCIAÇÕES!D1091,"")</f>
        <v/>
      </c>
      <c r="E1091" s="9" t="str">
        <f ca="1">IF(AND(NEGOCIAÇÕES!O1091="",NEGOCIAÇÕES!N1091&lt;TODAY()),NEGOCIAÇÕES!N1091,"")</f>
        <v/>
      </c>
    </row>
    <row r="1092" spans="2:5" ht="31.95" hidden="1" customHeight="1" x14ac:dyDescent="0.3">
      <c r="B1092" s="6" t="str">
        <f ca="1">IF(AND(NEGOCIAÇÕES!O1092="",NEGOCIAÇÕES!N1092&lt;TODAY()),NEGOCIAÇÕES!C1092,"")</f>
        <v/>
      </c>
      <c r="C1092" s="6" t="str">
        <f ca="1">IF(AND(NEGOCIAÇÕES!O1092="",NEGOCIAÇÕES!N1092&lt;TODAY()),NEGOCIAÇÕES!E1092,"")</f>
        <v/>
      </c>
      <c r="D1092" s="6" t="str">
        <f ca="1">IF(AND(NEGOCIAÇÕES!O1092="",NEGOCIAÇÕES!N1092&lt;TODAY()),NEGOCIAÇÕES!D1092,"")</f>
        <v/>
      </c>
      <c r="E1092" s="9" t="str">
        <f ca="1">IF(AND(NEGOCIAÇÕES!O1092="",NEGOCIAÇÕES!N1092&lt;TODAY()),NEGOCIAÇÕES!N1092,"")</f>
        <v/>
      </c>
    </row>
    <row r="1093" spans="2:5" ht="31.95" hidden="1" customHeight="1" x14ac:dyDescent="0.3">
      <c r="B1093" s="6" t="str">
        <f ca="1">IF(AND(NEGOCIAÇÕES!O1093="",NEGOCIAÇÕES!N1093&lt;TODAY()),NEGOCIAÇÕES!C1093,"")</f>
        <v/>
      </c>
      <c r="C1093" s="6" t="str">
        <f ca="1">IF(AND(NEGOCIAÇÕES!O1093="",NEGOCIAÇÕES!N1093&lt;TODAY()),NEGOCIAÇÕES!E1093,"")</f>
        <v/>
      </c>
      <c r="D1093" s="6" t="str">
        <f ca="1">IF(AND(NEGOCIAÇÕES!O1093="",NEGOCIAÇÕES!N1093&lt;TODAY()),NEGOCIAÇÕES!D1093,"")</f>
        <v/>
      </c>
      <c r="E1093" s="9" t="str">
        <f ca="1">IF(AND(NEGOCIAÇÕES!O1093="",NEGOCIAÇÕES!N1093&lt;TODAY()),NEGOCIAÇÕES!N1093,"")</f>
        <v/>
      </c>
    </row>
    <row r="1094" spans="2:5" ht="31.95" hidden="1" customHeight="1" x14ac:dyDescent="0.3">
      <c r="B1094" s="6" t="str">
        <f ca="1">IF(AND(NEGOCIAÇÕES!O1094="",NEGOCIAÇÕES!N1094&lt;TODAY()),NEGOCIAÇÕES!C1094,"")</f>
        <v/>
      </c>
      <c r="C1094" s="6" t="str">
        <f ca="1">IF(AND(NEGOCIAÇÕES!O1094="",NEGOCIAÇÕES!N1094&lt;TODAY()),NEGOCIAÇÕES!E1094,"")</f>
        <v/>
      </c>
      <c r="D1094" s="6" t="str">
        <f ca="1">IF(AND(NEGOCIAÇÕES!O1094="",NEGOCIAÇÕES!N1094&lt;TODAY()),NEGOCIAÇÕES!D1094,"")</f>
        <v/>
      </c>
      <c r="E1094" s="9" t="str">
        <f ca="1">IF(AND(NEGOCIAÇÕES!O1094="",NEGOCIAÇÕES!N1094&lt;TODAY()),NEGOCIAÇÕES!N1094,"")</f>
        <v/>
      </c>
    </row>
    <row r="1095" spans="2:5" ht="31.95" hidden="1" customHeight="1" x14ac:dyDescent="0.3">
      <c r="B1095" s="6" t="str">
        <f ca="1">IF(AND(NEGOCIAÇÕES!O1095="",NEGOCIAÇÕES!N1095&lt;TODAY()),NEGOCIAÇÕES!C1095,"")</f>
        <v/>
      </c>
      <c r="C1095" s="6" t="str">
        <f ca="1">IF(AND(NEGOCIAÇÕES!O1095="",NEGOCIAÇÕES!N1095&lt;TODAY()),NEGOCIAÇÕES!E1095,"")</f>
        <v/>
      </c>
      <c r="D1095" s="6" t="str">
        <f ca="1">IF(AND(NEGOCIAÇÕES!O1095="",NEGOCIAÇÕES!N1095&lt;TODAY()),NEGOCIAÇÕES!D1095,"")</f>
        <v/>
      </c>
      <c r="E1095" s="9" t="str">
        <f ca="1">IF(AND(NEGOCIAÇÕES!O1095="",NEGOCIAÇÕES!N1095&lt;TODAY()),NEGOCIAÇÕES!N1095,"")</f>
        <v/>
      </c>
    </row>
    <row r="1096" spans="2:5" ht="31.95" hidden="1" customHeight="1" x14ac:dyDescent="0.3">
      <c r="B1096" s="6" t="str">
        <f ca="1">IF(AND(NEGOCIAÇÕES!O1096="",NEGOCIAÇÕES!N1096&lt;TODAY()),NEGOCIAÇÕES!C1096,"")</f>
        <v/>
      </c>
      <c r="C1096" s="6" t="str">
        <f ca="1">IF(AND(NEGOCIAÇÕES!O1096="",NEGOCIAÇÕES!N1096&lt;TODAY()),NEGOCIAÇÕES!E1096,"")</f>
        <v/>
      </c>
      <c r="D1096" s="6" t="str">
        <f ca="1">IF(AND(NEGOCIAÇÕES!O1096="",NEGOCIAÇÕES!N1096&lt;TODAY()),NEGOCIAÇÕES!D1096,"")</f>
        <v/>
      </c>
      <c r="E1096" s="9" t="str">
        <f ca="1">IF(AND(NEGOCIAÇÕES!O1096="",NEGOCIAÇÕES!N1096&lt;TODAY()),NEGOCIAÇÕES!N1096,"")</f>
        <v/>
      </c>
    </row>
    <row r="1097" spans="2:5" ht="31.95" hidden="1" customHeight="1" x14ac:dyDescent="0.3">
      <c r="B1097" s="6" t="str">
        <f ca="1">IF(AND(NEGOCIAÇÕES!O1097="",NEGOCIAÇÕES!N1097&lt;TODAY()),NEGOCIAÇÕES!C1097,"")</f>
        <v/>
      </c>
      <c r="C1097" s="6" t="str">
        <f ca="1">IF(AND(NEGOCIAÇÕES!O1097="",NEGOCIAÇÕES!N1097&lt;TODAY()),NEGOCIAÇÕES!E1097,"")</f>
        <v/>
      </c>
      <c r="D1097" s="6" t="str">
        <f ca="1">IF(AND(NEGOCIAÇÕES!O1097="",NEGOCIAÇÕES!N1097&lt;TODAY()),NEGOCIAÇÕES!D1097,"")</f>
        <v/>
      </c>
      <c r="E1097" s="9" t="str">
        <f ca="1">IF(AND(NEGOCIAÇÕES!O1097="",NEGOCIAÇÕES!N1097&lt;TODAY()),NEGOCIAÇÕES!N1097,"")</f>
        <v/>
      </c>
    </row>
    <row r="1098" spans="2:5" ht="31.95" hidden="1" customHeight="1" x14ac:dyDescent="0.3">
      <c r="B1098" s="6" t="str">
        <f ca="1">IF(AND(NEGOCIAÇÕES!O1098="",NEGOCIAÇÕES!N1098&lt;TODAY()),NEGOCIAÇÕES!C1098,"")</f>
        <v/>
      </c>
      <c r="C1098" s="6" t="str">
        <f ca="1">IF(AND(NEGOCIAÇÕES!O1098="",NEGOCIAÇÕES!N1098&lt;TODAY()),NEGOCIAÇÕES!E1098,"")</f>
        <v/>
      </c>
      <c r="D1098" s="6" t="str">
        <f ca="1">IF(AND(NEGOCIAÇÕES!O1098="",NEGOCIAÇÕES!N1098&lt;TODAY()),NEGOCIAÇÕES!D1098,"")</f>
        <v/>
      </c>
      <c r="E1098" s="9" t="str">
        <f ca="1">IF(AND(NEGOCIAÇÕES!O1098="",NEGOCIAÇÕES!N1098&lt;TODAY()),NEGOCIAÇÕES!N1098,"")</f>
        <v/>
      </c>
    </row>
    <row r="1099" spans="2:5" ht="31.95" hidden="1" customHeight="1" x14ac:dyDescent="0.3">
      <c r="B1099" s="6" t="str">
        <f ca="1">IF(AND(NEGOCIAÇÕES!O1099="",NEGOCIAÇÕES!N1099&lt;TODAY()),NEGOCIAÇÕES!C1099,"")</f>
        <v/>
      </c>
      <c r="C1099" s="6" t="str">
        <f ca="1">IF(AND(NEGOCIAÇÕES!O1099="",NEGOCIAÇÕES!N1099&lt;TODAY()),NEGOCIAÇÕES!E1099,"")</f>
        <v/>
      </c>
      <c r="D1099" s="6" t="str">
        <f ca="1">IF(AND(NEGOCIAÇÕES!O1099="",NEGOCIAÇÕES!N1099&lt;TODAY()),NEGOCIAÇÕES!D1099,"")</f>
        <v/>
      </c>
      <c r="E1099" s="9" t="str">
        <f ca="1">IF(AND(NEGOCIAÇÕES!O1099="",NEGOCIAÇÕES!N1099&lt;TODAY()),NEGOCIAÇÕES!N1099,"")</f>
        <v/>
      </c>
    </row>
    <row r="1100" spans="2:5" ht="31.95" hidden="1" customHeight="1" x14ac:dyDescent="0.3">
      <c r="B1100" s="6" t="str">
        <f ca="1">IF(AND(NEGOCIAÇÕES!O1100="",NEGOCIAÇÕES!N1100&lt;TODAY()),NEGOCIAÇÕES!C1100,"")</f>
        <v/>
      </c>
      <c r="C1100" s="6" t="str">
        <f ca="1">IF(AND(NEGOCIAÇÕES!O1100="",NEGOCIAÇÕES!N1100&lt;TODAY()),NEGOCIAÇÕES!E1100,"")</f>
        <v/>
      </c>
      <c r="D1100" s="6" t="str">
        <f ca="1">IF(AND(NEGOCIAÇÕES!O1100="",NEGOCIAÇÕES!N1100&lt;TODAY()),NEGOCIAÇÕES!D1100,"")</f>
        <v/>
      </c>
      <c r="E1100" s="9" t="str">
        <f ca="1">IF(AND(NEGOCIAÇÕES!O1100="",NEGOCIAÇÕES!N1100&lt;TODAY()),NEGOCIAÇÕES!N1100,"")</f>
        <v/>
      </c>
    </row>
    <row r="1101" spans="2:5" ht="31.95" hidden="1" customHeight="1" x14ac:dyDescent="0.3">
      <c r="B1101" s="6" t="str">
        <f ca="1">IF(AND(NEGOCIAÇÕES!O1101="",NEGOCIAÇÕES!N1101&lt;TODAY()),NEGOCIAÇÕES!C1101,"")</f>
        <v/>
      </c>
      <c r="C1101" s="6" t="str">
        <f ca="1">IF(AND(NEGOCIAÇÕES!O1101="",NEGOCIAÇÕES!N1101&lt;TODAY()),NEGOCIAÇÕES!E1101,"")</f>
        <v/>
      </c>
      <c r="D1101" s="6" t="str">
        <f ca="1">IF(AND(NEGOCIAÇÕES!O1101="",NEGOCIAÇÕES!N1101&lt;TODAY()),NEGOCIAÇÕES!D1101,"")</f>
        <v/>
      </c>
      <c r="E1101" s="9" t="str">
        <f ca="1">IF(AND(NEGOCIAÇÕES!O1101="",NEGOCIAÇÕES!N1101&lt;TODAY()),NEGOCIAÇÕES!N1101,"")</f>
        <v/>
      </c>
    </row>
    <row r="1102" spans="2:5" ht="31.95" hidden="1" customHeight="1" x14ac:dyDescent="0.3">
      <c r="B1102" s="6" t="str">
        <f ca="1">IF(AND(NEGOCIAÇÕES!O1102="",NEGOCIAÇÕES!N1102&lt;TODAY()),NEGOCIAÇÕES!C1102,"")</f>
        <v/>
      </c>
      <c r="C1102" s="6" t="str">
        <f ca="1">IF(AND(NEGOCIAÇÕES!O1102="",NEGOCIAÇÕES!N1102&lt;TODAY()),NEGOCIAÇÕES!E1102,"")</f>
        <v/>
      </c>
      <c r="D1102" s="6" t="str">
        <f ca="1">IF(AND(NEGOCIAÇÕES!O1102="",NEGOCIAÇÕES!N1102&lt;TODAY()),NEGOCIAÇÕES!D1102,"")</f>
        <v/>
      </c>
      <c r="E1102" s="9" t="str">
        <f ca="1">IF(AND(NEGOCIAÇÕES!O1102="",NEGOCIAÇÕES!N1102&lt;TODAY()),NEGOCIAÇÕES!N1102,"")</f>
        <v/>
      </c>
    </row>
    <row r="1103" spans="2:5" ht="31.95" hidden="1" customHeight="1" x14ac:dyDescent="0.3">
      <c r="B1103" s="6" t="str">
        <f ca="1">IF(AND(NEGOCIAÇÕES!O1103="",NEGOCIAÇÕES!N1103&lt;TODAY()),NEGOCIAÇÕES!C1103,"")</f>
        <v/>
      </c>
      <c r="C1103" s="6" t="str">
        <f ca="1">IF(AND(NEGOCIAÇÕES!O1103="",NEGOCIAÇÕES!N1103&lt;TODAY()),NEGOCIAÇÕES!E1103,"")</f>
        <v/>
      </c>
      <c r="D1103" s="6" t="str">
        <f ca="1">IF(AND(NEGOCIAÇÕES!O1103="",NEGOCIAÇÕES!N1103&lt;TODAY()),NEGOCIAÇÕES!D1103,"")</f>
        <v/>
      </c>
      <c r="E1103" s="9" t="str">
        <f ca="1">IF(AND(NEGOCIAÇÕES!O1103="",NEGOCIAÇÕES!N1103&lt;TODAY()),NEGOCIAÇÕES!N1103,"")</f>
        <v/>
      </c>
    </row>
    <row r="1104" spans="2:5" ht="31.95" hidden="1" customHeight="1" x14ac:dyDescent="0.3">
      <c r="B1104" s="6" t="str">
        <f ca="1">IF(AND(NEGOCIAÇÕES!O1104="",NEGOCIAÇÕES!N1104&lt;TODAY()),NEGOCIAÇÕES!C1104,"")</f>
        <v/>
      </c>
      <c r="C1104" s="6" t="str">
        <f ca="1">IF(AND(NEGOCIAÇÕES!O1104="",NEGOCIAÇÕES!N1104&lt;TODAY()),NEGOCIAÇÕES!E1104,"")</f>
        <v/>
      </c>
      <c r="D1104" s="6" t="str">
        <f ca="1">IF(AND(NEGOCIAÇÕES!O1104="",NEGOCIAÇÕES!N1104&lt;TODAY()),NEGOCIAÇÕES!D1104,"")</f>
        <v/>
      </c>
      <c r="E1104" s="9" t="str">
        <f ca="1">IF(AND(NEGOCIAÇÕES!O1104="",NEGOCIAÇÕES!N1104&lt;TODAY()),NEGOCIAÇÕES!N1104,"")</f>
        <v/>
      </c>
    </row>
    <row r="1105" spans="2:5" ht="31.95" hidden="1" customHeight="1" x14ac:dyDescent="0.3">
      <c r="B1105" s="6" t="str">
        <f ca="1">IF(AND(NEGOCIAÇÕES!O1105="",NEGOCIAÇÕES!N1105&lt;TODAY()),NEGOCIAÇÕES!C1105,"")</f>
        <v/>
      </c>
      <c r="C1105" s="6" t="str">
        <f ca="1">IF(AND(NEGOCIAÇÕES!O1105="",NEGOCIAÇÕES!N1105&lt;TODAY()),NEGOCIAÇÕES!E1105,"")</f>
        <v/>
      </c>
      <c r="D1105" s="6" t="str">
        <f ca="1">IF(AND(NEGOCIAÇÕES!O1105="",NEGOCIAÇÕES!N1105&lt;TODAY()),NEGOCIAÇÕES!D1105,"")</f>
        <v/>
      </c>
      <c r="E1105" s="9" t="str">
        <f ca="1">IF(AND(NEGOCIAÇÕES!O1105="",NEGOCIAÇÕES!N1105&lt;TODAY()),NEGOCIAÇÕES!N1105,"")</f>
        <v/>
      </c>
    </row>
    <row r="1106" spans="2:5" ht="31.95" hidden="1" customHeight="1" x14ac:dyDescent="0.3">
      <c r="B1106" s="6" t="str">
        <f ca="1">IF(AND(NEGOCIAÇÕES!O1106="",NEGOCIAÇÕES!N1106&lt;TODAY()),NEGOCIAÇÕES!C1106,"")</f>
        <v/>
      </c>
      <c r="C1106" s="6" t="str">
        <f ca="1">IF(AND(NEGOCIAÇÕES!O1106="",NEGOCIAÇÕES!N1106&lt;TODAY()),NEGOCIAÇÕES!E1106,"")</f>
        <v/>
      </c>
      <c r="D1106" s="6" t="str">
        <f ca="1">IF(AND(NEGOCIAÇÕES!O1106="",NEGOCIAÇÕES!N1106&lt;TODAY()),NEGOCIAÇÕES!D1106,"")</f>
        <v/>
      </c>
      <c r="E1106" s="9" t="str">
        <f ca="1">IF(AND(NEGOCIAÇÕES!O1106="",NEGOCIAÇÕES!N1106&lt;TODAY()),NEGOCIAÇÕES!N1106,"")</f>
        <v/>
      </c>
    </row>
    <row r="1107" spans="2:5" ht="31.95" hidden="1" customHeight="1" x14ac:dyDescent="0.3">
      <c r="B1107" s="6" t="str">
        <f ca="1">IF(AND(NEGOCIAÇÕES!O1107="",NEGOCIAÇÕES!N1107&lt;TODAY()),NEGOCIAÇÕES!C1107,"")</f>
        <v/>
      </c>
      <c r="C1107" s="6" t="str">
        <f ca="1">IF(AND(NEGOCIAÇÕES!O1107="",NEGOCIAÇÕES!N1107&lt;TODAY()),NEGOCIAÇÕES!E1107,"")</f>
        <v/>
      </c>
      <c r="D1107" s="6" t="str">
        <f ca="1">IF(AND(NEGOCIAÇÕES!O1107="",NEGOCIAÇÕES!N1107&lt;TODAY()),NEGOCIAÇÕES!D1107,"")</f>
        <v/>
      </c>
      <c r="E1107" s="9" t="str">
        <f ca="1">IF(AND(NEGOCIAÇÕES!O1107="",NEGOCIAÇÕES!N1107&lt;TODAY()),NEGOCIAÇÕES!N1107,"")</f>
        <v/>
      </c>
    </row>
    <row r="1108" spans="2:5" ht="31.95" hidden="1" customHeight="1" x14ac:dyDescent="0.3">
      <c r="B1108" s="6" t="str">
        <f ca="1">IF(AND(NEGOCIAÇÕES!O1108="",NEGOCIAÇÕES!N1108&lt;TODAY()),NEGOCIAÇÕES!C1108,"")</f>
        <v/>
      </c>
      <c r="C1108" s="6" t="str">
        <f ca="1">IF(AND(NEGOCIAÇÕES!O1108="",NEGOCIAÇÕES!N1108&lt;TODAY()),NEGOCIAÇÕES!E1108,"")</f>
        <v/>
      </c>
      <c r="D1108" s="6" t="str">
        <f ca="1">IF(AND(NEGOCIAÇÕES!O1108="",NEGOCIAÇÕES!N1108&lt;TODAY()),NEGOCIAÇÕES!D1108,"")</f>
        <v/>
      </c>
      <c r="E1108" s="9" t="str">
        <f ca="1">IF(AND(NEGOCIAÇÕES!O1108="",NEGOCIAÇÕES!N1108&lt;TODAY()),NEGOCIAÇÕES!N1108,"")</f>
        <v/>
      </c>
    </row>
    <row r="1109" spans="2:5" ht="31.95" hidden="1" customHeight="1" x14ac:dyDescent="0.3">
      <c r="B1109" s="6" t="str">
        <f ca="1">IF(AND(NEGOCIAÇÕES!O1109="",NEGOCIAÇÕES!N1109&lt;TODAY()),NEGOCIAÇÕES!C1109,"")</f>
        <v/>
      </c>
      <c r="C1109" s="6" t="str">
        <f ca="1">IF(AND(NEGOCIAÇÕES!O1109="",NEGOCIAÇÕES!N1109&lt;TODAY()),NEGOCIAÇÕES!E1109,"")</f>
        <v/>
      </c>
      <c r="D1109" s="6" t="str">
        <f ca="1">IF(AND(NEGOCIAÇÕES!O1109="",NEGOCIAÇÕES!N1109&lt;TODAY()),NEGOCIAÇÕES!D1109,"")</f>
        <v/>
      </c>
      <c r="E1109" s="9" t="str">
        <f ca="1">IF(AND(NEGOCIAÇÕES!O1109="",NEGOCIAÇÕES!N1109&lt;TODAY()),NEGOCIAÇÕES!N1109,"")</f>
        <v/>
      </c>
    </row>
    <row r="1110" spans="2:5" ht="31.95" hidden="1" customHeight="1" x14ac:dyDescent="0.3">
      <c r="B1110" s="6" t="str">
        <f ca="1">IF(AND(NEGOCIAÇÕES!O1110="",NEGOCIAÇÕES!N1110&lt;TODAY()),NEGOCIAÇÕES!C1110,"")</f>
        <v/>
      </c>
      <c r="C1110" s="6" t="str">
        <f ca="1">IF(AND(NEGOCIAÇÕES!O1110="",NEGOCIAÇÕES!N1110&lt;TODAY()),NEGOCIAÇÕES!E1110,"")</f>
        <v/>
      </c>
      <c r="D1110" s="6" t="str">
        <f ca="1">IF(AND(NEGOCIAÇÕES!O1110="",NEGOCIAÇÕES!N1110&lt;TODAY()),NEGOCIAÇÕES!D1110,"")</f>
        <v/>
      </c>
      <c r="E1110" s="9" t="str">
        <f ca="1">IF(AND(NEGOCIAÇÕES!O1110="",NEGOCIAÇÕES!N1110&lt;TODAY()),NEGOCIAÇÕES!N1110,"")</f>
        <v/>
      </c>
    </row>
    <row r="1111" spans="2:5" ht="31.95" hidden="1" customHeight="1" x14ac:dyDescent="0.3">
      <c r="B1111" s="6" t="str">
        <f ca="1">IF(AND(NEGOCIAÇÕES!O1111="",NEGOCIAÇÕES!N1111&lt;TODAY()),NEGOCIAÇÕES!C1111,"")</f>
        <v/>
      </c>
      <c r="C1111" s="6" t="str">
        <f ca="1">IF(AND(NEGOCIAÇÕES!O1111="",NEGOCIAÇÕES!N1111&lt;TODAY()),NEGOCIAÇÕES!E1111,"")</f>
        <v/>
      </c>
      <c r="D1111" s="6" t="str">
        <f ca="1">IF(AND(NEGOCIAÇÕES!O1111="",NEGOCIAÇÕES!N1111&lt;TODAY()),NEGOCIAÇÕES!D1111,"")</f>
        <v/>
      </c>
      <c r="E1111" s="9" t="str">
        <f ca="1">IF(AND(NEGOCIAÇÕES!O1111="",NEGOCIAÇÕES!N1111&lt;TODAY()),NEGOCIAÇÕES!N1111,"")</f>
        <v/>
      </c>
    </row>
    <row r="1112" spans="2:5" ht="31.95" hidden="1" customHeight="1" x14ac:dyDescent="0.3">
      <c r="B1112" s="6" t="str">
        <f ca="1">IF(AND(NEGOCIAÇÕES!O1112="",NEGOCIAÇÕES!N1112&lt;TODAY()),NEGOCIAÇÕES!C1112,"")</f>
        <v/>
      </c>
      <c r="C1112" s="6" t="str">
        <f ca="1">IF(AND(NEGOCIAÇÕES!O1112="",NEGOCIAÇÕES!N1112&lt;TODAY()),NEGOCIAÇÕES!E1112,"")</f>
        <v/>
      </c>
      <c r="D1112" s="6" t="str">
        <f ca="1">IF(AND(NEGOCIAÇÕES!O1112="",NEGOCIAÇÕES!N1112&lt;TODAY()),NEGOCIAÇÕES!D1112,"")</f>
        <v/>
      </c>
      <c r="E1112" s="9" t="str">
        <f ca="1">IF(AND(NEGOCIAÇÕES!O1112="",NEGOCIAÇÕES!N1112&lt;TODAY()),NEGOCIAÇÕES!N1112,"")</f>
        <v/>
      </c>
    </row>
    <row r="1113" spans="2:5" ht="31.95" hidden="1" customHeight="1" x14ac:dyDescent="0.3">
      <c r="B1113" s="6" t="str">
        <f ca="1">IF(AND(NEGOCIAÇÕES!O1113="",NEGOCIAÇÕES!N1113&lt;TODAY()),NEGOCIAÇÕES!C1113,"")</f>
        <v/>
      </c>
      <c r="C1113" s="6" t="str">
        <f ca="1">IF(AND(NEGOCIAÇÕES!O1113="",NEGOCIAÇÕES!N1113&lt;TODAY()),NEGOCIAÇÕES!E1113,"")</f>
        <v/>
      </c>
      <c r="D1113" s="6" t="str">
        <f ca="1">IF(AND(NEGOCIAÇÕES!O1113="",NEGOCIAÇÕES!N1113&lt;TODAY()),NEGOCIAÇÕES!D1113,"")</f>
        <v/>
      </c>
      <c r="E1113" s="9" t="str">
        <f ca="1">IF(AND(NEGOCIAÇÕES!O1113="",NEGOCIAÇÕES!N1113&lt;TODAY()),NEGOCIAÇÕES!N1113,"")</f>
        <v/>
      </c>
    </row>
    <row r="1114" spans="2:5" ht="31.95" hidden="1" customHeight="1" x14ac:dyDescent="0.3">
      <c r="B1114" s="6" t="str">
        <f ca="1">IF(AND(NEGOCIAÇÕES!O1114="",NEGOCIAÇÕES!N1114&lt;TODAY()),NEGOCIAÇÕES!C1114,"")</f>
        <v/>
      </c>
      <c r="C1114" s="6" t="str">
        <f ca="1">IF(AND(NEGOCIAÇÕES!O1114="",NEGOCIAÇÕES!N1114&lt;TODAY()),NEGOCIAÇÕES!E1114,"")</f>
        <v/>
      </c>
      <c r="D1114" s="6" t="str">
        <f ca="1">IF(AND(NEGOCIAÇÕES!O1114="",NEGOCIAÇÕES!N1114&lt;TODAY()),NEGOCIAÇÕES!D1114,"")</f>
        <v/>
      </c>
      <c r="E1114" s="9" t="str">
        <f ca="1">IF(AND(NEGOCIAÇÕES!O1114="",NEGOCIAÇÕES!N1114&lt;TODAY()),NEGOCIAÇÕES!N1114,"")</f>
        <v/>
      </c>
    </row>
    <row r="1115" spans="2:5" ht="31.95" hidden="1" customHeight="1" x14ac:dyDescent="0.3">
      <c r="B1115" s="6" t="str">
        <f ca="1">IF(AND(NEGOCIAÇÕES!O1115="",NEGOCIAÇÕES!N1115&lt;TODAY()),NEGOCIAÇÕES!C1115,"")</f>
        <v/>
      </c>
      <c r="C1115" s="6" t="str">
        <f ca="1">IF(AND(NEGOCIAÇÕES!O1115="",NEGOCIAÇÕES!N1115&lt;TODAY()),NEGOCIAÇÕES!E1115,"")</f>
        <v/>
      </c>
      <c r="D1115" s="6" t="str">
        <f ca="1">IF(AND(NEGOCIAÇÕES!O1115="",NEGOCIAÇÕES!N1115&lt;TODAY()),NEGOCIAÇÕES!D1115,"")</f>
        <v/>
      </c>
      <c r="E1115" s="9" t="str">
        <f ca="1">IF(AND(NEGOCIAÇÕES!O1115="",NEGOCIAÇÕES!N1115&lt;TODAY()),NEGOCIAÇÕES!N1115,"")</f>
        <v/>
      </c>
    </row>
    <row r="1116" spans="2:5" ht="31.95" hidden="1" customHeight="1" x14ac:dyDescent="0.3">
      <c r="B1116" s="6" t="str">
        <f ca="1">IF(AND(NEGOCIAÇÕES!O1116="",NEGOCIAÇÕES!N1116&lt;TODAY()),NEGOCIAÇÕES!C1116,"")</f>
        <v/>
      </c>
      <c r="C1116" s="6" t="str">
        <f ca="1">IF(AND(NEGOCIAÇÕES!O1116="",NEGOCIAÇÕES!N1116&lt;TODAY()),NEGOCIAÇÕES!E1116,"")</f>
        <v/>
      </c>
      <c r="D1116" s="6" t="str">
        <f ca="1">IF(AND(NEGOCIAÇÕES!O1116="",NEGOCIAÇÕES!N1116&lt;TODAY()),NEGOCIAÇÕES!D1116,"")</f>
        <v/>
      </c>
      <c r="E1116" s="9" t="str">
        <f ca="1">IF(AND(NEGOCIAÇÕES!O1116="",NEGOCIAÇÕES!N1116&lt;TODAY()),NEGOCIAÇÕES!N1116,"")</f>
        <v/>
      </c>
    </row>
    <row r="1117" spans="2:5" ht="31.95" hidden="1" customHeight="1" x14ac:dyDescent="0.3">
      <c r="B1117" s="6" t="str">
        <f ca="1">IF(AND(NEGOCIAÇÕES!O1117="",NEGOCIAÇÕES!N1117&lt;TODAY()),NEGOCIAÇÕES!C1117,"")</f>
        <v/>
      </c>
      <c r="C1117" s="6" t="str">
        <f ca="1">IF(AND(NEGOCIAÇÕES!O1117="",NEGOCIAÇÕES!N1117&lt;TODAY()),NEGOCIAÇÕES!E1117,"")</f>
        <v/>
      </c>
      <c r="D1117" s="6" t="str">
        <f ca="1">IF(AND(NEGOCIAÇÕES!O1117="",NEGOCIAÇÕES!N1117&lt;TODAY()),NEGOCIAÇÕES!D1117,"")</f>
        <v/>
      </c>
      <c r="E1117" s="9" t="str">
        <f ca="1">IF(AND(NEGOCIAÇÕES!O1117="",NEGOCIAÇÕES!N1117&lt;TODAY()),NEGOCIAÇÕES!N1117,"")</f>
        <v/>
      </c>
    </row>
    <row r="1118" spans="2:5" ht="31.95" hidden="1" customHeight="1" x14ac:dyDescent="0.3">
      <c r="B1118" s="6" t="str">
        <f ca="1">IF(AND(NEGOCIAÇÕES!O1118="",NEGOCIAÇÕES!N1118&lt;TODAY()),NEGOCIAÇÕES!C1118,"")</f>
        <v/>
      </c>
      <c r="C1118" s="6" t="str">
        <f ca="1">IF(AND(NEGOCIAÇÕES!O1118="",NEGOCIAÇÕES!N1118&lt;TODAY()),NEGOCIAÇÕES!E1118,"")</f>
        <v/>
      </c>
      <c r="D1118" s="6" t="str">
        <f ca="1">IF(AND(NEGOCIAÇÕES!O1118="",NEGOCIAÇÕES!N1118&lt;TODAY()),NEGOCIAÇÕES!D1118,"")</f>
        <v/>
      </c>
      <c r="E1118" s="9" t="str">
        <f ca="1">IF(AND(NEGOCIAÇÕES!O1118="",NEGOCIAÇÕES!N1118&lt;TODAY()),NEGOCIAÇÕES!N1118,"")</f>
        <v/>
      </c>
    </row>
    <row r="1119" spans="2:5" ht="31.95" hidden="1" customHeight="1" x14ac:dyDescent="0.3">
      <c r="B1119" s="6" t="str">
        <f ca="1">IF(AND(NEGOCIAÇÕES!O1119="",NEGOCIAÇÕES!N1119&lt;TODAY()),NEGOCIAÇÕES!C1119,"")</f>
        <v/>
      </c>
      <c r="C1119" s="6" t="str">
        <f ca="1">IF(AND(NEGOCIAÇÕES!O1119="",NEGOCIAÇÕES!N1119&lt;TODAY()),NEGOCIAÇÕES!E1119,"")</f>
        <v/>
      </c>
      <c r="D1119" s="6" t="str">
        <f ca="1">IF(AND(NEGOCIAÇÕES!O1119="",NEGOCIAÇÕES!N1119&lt;TODAY()),NEGOCIAÇÕES!D1119,"")</f>
        <v/>
      </c>
      <c r="E1119" s="9" t="str">
        <f ca="1">IF(AND(NEGOCIAÇÕES!O1119="",NEGOCIAÇÕES!N1119&lt;TODAY()),NEGOCIAÇÕES!N1119,"")</f>
        <v/>
      </c>
    </row>
    <row r="1120" spans="2:5" ht="31.95" hidden="1" customHeight="1" x14ac:dyDescent="0.3">
      <c r="B1120" s="6" t="str">
        <f ca="1">IF(AND(NEGOCIAÇÕES!O1120="",NEGOCIAÇÕES!N1120&lt;TODAY()),NEGOCIAÇÕES!C1120,"")</f>
        <v/>
      </c>
      <c r="C1120" s="6" t="str">
        <f ca="1">IF(AND(NEGOCIAÇÕES!O1120="",NEGOCIAÇÕES!N1120&lt;TODAY()),NEGOCIAÇÕES!E1120,"")</f>
        <v/>
      </c>
      <c r="D1120" s="6" t="str">
        <f ca="1">IF(AND(NEGOCIAÇÕES!O1120="",NEGOCIAÇÕES!N1120&lt;TODAY()),NEGOCIAÇÕES!D1120,"")</f>
        <v/>
      </c>
      <c r="E1120" s="9" t="str">
        <f ca="1">IF(AND(NEGOCIAÇÕES!O1120="",NEGOCIAÇÕES!N1120&lt;TODAY()),NEGOCIAÇÕES!N1120,"")</f>
        <v/>
      </c>
    </row>
    <row r="1121" spans="2:5" ht="31.95" hidden="1" customHeight="1" x14ac:dyDescent="0.3">
      <c r="B1121" s="6" t="str">
        <f ca="1">IF(AND(NEGOCIAÇÕES!O1121="",NEGOCIAÇÕES!N1121&lt;TODAY()),NEGOCIAÇÕES!C1121,"")</f>
        <v/>
      </c>
      <c r="C1121" s="6" t="str">
        <f ca="1">IF(AND(NEGOCIAÇÕES!O1121="",NEGOCIAÇÕES!N1121&lt;TODAY()),NEGOCIAÇÕES!E1121,"")</f>
        <v/>
      </c>
      <c r="D1121" s="6" t="str">
        <f ca="1">IF(AND(NEGOCIAÇÕES!O1121="",NEGOCIAÇÕES!N1121&lt;TODAY()),NEGOCIAÇÕES!D1121,"")</f>
        <v/>
      </c>
      <c r="E1121" s="9" t="str">
        <f ca="1">IF(AND(NEGOCIAÇÕES!O1121="",NEGOCIAÇÕES!N1121&lt;TODAY()),NEGOCIAÇÕES!N1121,"")</f>
        <v/>
      </c>
    </row>
    <row r="1122" spans="2:5" ht="31.95" hidden="1" customHeight="1" x14ac:dyDescent="0.3">
      <c r="B1122" s="6" t="str">
        <f ca="1">IF(AND(NEGOCIAÇÕES!O1122="",NEGOCIAÇÕES!N1122&lt;TODAY()),NEGOCIAÇÕES!C1122,"")</f>
        <v/>
      </c>
      <c r="C1122" s="6" t="str">
        <f ca="1">IF(AND(NEGOCIAÇÕES!O1122="",NEGOCIAÇÕES!N1122&lt;TODAY()),NEGOCIAÇÕES!E1122,"")</f>
        <v/>
      </c>
      <c r="D1122" s="6" t="str">
        <f ca="1">IF(AND(NEGOCIAÇÕES!O1122="",NEGOCIAÇÕES!N1122&lt;TODAY()),NEGOCIAÇÕES!D1122,"")</f>
        <v/>
      </c>
      <c r="E1122" s="9" t="str">
        <f ca="1">IF(AND(NEGOCIAÇÕES!O1122="",NEGOCIAÇÕES!N1122&lt;TODAY()),NEGOCIAÇÕES!N1122,"")</f>
        <v/>
      </c>
    </row>
    <row r="1123" spans="2:5" ht="31.95" hidden="1" customHeight="1" x14ac:dyDescent="0.3">
      <c r="B1123" s="6" t="str">
        <f ca="1">IF(AND(NEGOCIAÇÕES!O1123="",NEGOCIAÇÕES!N1123&lt;TODAY()),NEGOCIAÇÕES!C1123,"")</f>
        <v/>
      </c>
      <c r="C1123" s="6" t="str">
        <f ca="1">IF(AND(NEGOCIAÇÕES!O1123="",NEGOCIAÇÕES!N1123&lt;TODAY()),NEGOCIAÇÕES!E1123,"")</f>
        <v/>
      </c>
      <c r="D1123" s="6" t="str">
        <f ca="1">IF(AND(NEGOCIAÇÕES!O1123="",NEGOCIAÇÕES!N1123&lt;TODAY()),NEGOCIAÇÕES!D1123,"")</f>
        <v/>
      </c>
      <c r="E1123" s="9" t="str">
        <f ca="1">IF(AND(NEGOCIAÇÕES!O1123="",NEGOCIAÇÕES!N1123&lt;TODAY()),NEGOCIAÇÕES!N1123,"")</f>
        <v/>
      </c>
    </row>
    <row r="1124" spans="2:5" ht="31.95" hidden="1" customHeight="1" x14ac:dyDescent="0.3">
      <c r="B1124" s="6" t="str">
        <f ca="1">IF(AND(NEGOCIAÇÕES!O1124="",NEGOCIAÇÕES!N1124&lt;TODAY()),NEGOCIAÇÕES!C1124,"")</f>
        <v/>
      </c>
      <c r="C1124" s="6" t="str">
        <f ca="1">IF(AND(NEGOCIAÇÕES!O1124="",NEGOCIAÇÕES!N1124&lt;TODAY()),NEGOCIAÇÕES!E1124,"")</f>
        <v/>
      </c>
      <c r="D1124" s="6" t="str">
        <f ca="1">IF(AND(NEGOCIAÇÕES!O1124="",NEGOCIAÇÕES!N1124&lt;TODAY()),NEGOCIAÇÕES!D1124,"")</f>
        <v/>
      </c>
      <c r="E1124" s="9" t="str">
        <f ca="1">IF(AND(NEGOCIAÇÕES!O1124="",NEGOCIAÇÕES!N1124&lt;TODAY()),NEGOCIAÇÕES!N1124,"")</f>
        <v/>
      </c>
    </row>
    <row r="1125" spans="2:5" ht="31.95" hidden="1" customHeight="1" x14ac:dyDescent="0.3">
      <c r="B1125" s="6" t="str">
        <f ca="1">IF(AND(NEGOCIAÇÕES!O1125="",NEGOCIAÇÕES!N1125&lt;TODAY()),NEGOCIAÇÕES!C1125,"")</f>
        <v/>
      </c>
      <c r="C1125" s="6" t="str">
        <f ca="1">IF(AND(NEGOCIAÇÕES!O1125="",NEGOCIAÇÕES!N1125&lt;TODAY()),NEGOCIAÇÕES!E1125,"")</f>
        <v/>
      </c>
      <c r="D1125" s="6" t="str">
        <f ca="1">IF(AND(NEGOCIAÇÕES!O1125="",NEGOCIAÇÕES!N1125&lt;TODAY()),NEGOCIAÇÕES!D1125,"")</f>
        <v/>
      </c>
      <c r="E1125" s="9" t="str">
        <f ca="1">IF(AND(NEGOCIAÇÕES!O1125="",NEGOCIAÇÕES!N1125&lt;TODAY()),NEGOCIAÇÕES!N1125,"")</f>
        <v/>
      </c>
    </row>
    <row r="1126" spans="2:5" ht="31.95" hidden="1" customHeight="1" x14ac:dyDescent="0.3">
      <c r="B1126" s="6" t="str">
        <f ca="1">IF(AND(NEGOCIAÇÕES!O1126="",NEGOCIAÇÕES!N1126&lt;TODAY()),NEGOCIAÇÕES!C1126,"")</f>
        <v/>
      </c>
      <c r="C1126" s="6" t="str">
        <f ca="1">IF(AND(NEGOCIAÇÕES!O1126="",NEGOCIAÇÕES!N1126&lt;TODAY()),NEGOCIAÇÕES!E1126,"")</f>
        <v/>
      </c>
      <c r="D1126" s="6" t="str">
        <f ca="1">IF(AND(NEGOCIAÇÕES!O1126="",NEGOCIAÇÕES!N1126&lt;TODAY()),NEGOCIAÇÕES!D1126,"")</f>
        <v/>
      </c>
      <c r="E1126" s="9" t="str">
        <f ca="1">IF(AND(NEGOCIAÇÕES!O1126="",NEGOCIAÇÕES!N1126&lt;TODAY()),NEGOCIAÇÕES!N1126,"")</f>
        <v/>
      </c>
    </row>
    <row r="1127" spans="2:5" ht="31.95" hidden="1" customHeight="1" x14ac:dyDescent="0.3">
      <c r="B1127" s="6" t="str">
        <f ca="1">IF(AND(NEGOCIAÇÕES!O1127="",NEGOCIAÇÕES!N1127&lt;TODAY()),NEGOCIAÇÕES!C1127,"")</f>
        <v/>
      </c>
      <c r="C1127" s="6" t="str">
        <f ca="1">IF(AND(NEGOCIAÇÕES!O1127="",NEGOCIAÇÕES!N1127&lt;TODAY()),NEGOCIAÇÕES!E1127,"")</f>
        <v/>
      </c>
      <c r="D1127" s="6" t="str">
        <f ca="1">IF(AND(NEGOCIAÇÕES!O1127="",NEGOCIAÇÕES!N1127&lt;TODAY()),NEGOCIAÇÕES!D1127,"")</f>
        <v/>
      </c>
      <c r="E1127" s="9" t="str">
        <f ca="1">IF(AND(NEGOCIAÇÕES!O1127="",NEGOCIAÇÕES!N1127&lt;TODAY()),NEGOCIAÇÕES!N1127,"")</f>
        <v/>
      </c>
    </row>
    <row r="1128" spans="2:5" ht="31.95" hidden="1" customHeight="1" x14ac:dyDescent="0.3">
      <c r="B1128" s="6" t="str">
        <f ca="1">IF(AND(NEGOCIAÇÕES!O1128="",NEGOCIAÇÕES!N1128&lt;TODAY()),NEGOCIAÇÕES!C1128,"")</f>
        <v/>
      </c>
      <c r="C1128" s="6" t="str">
        <f ca="1">IF(AND(NEGOCIAÇÕES!O1128="",NEGOCIAÇÕES!N1128&lt;TODAY()),NEGOCIAÇÕES!E1128,"")</f>
        <v/>
      </c>
      <c r="D1128" s="6" t="str">
        <f ca="1">IF(AND(NEGOCIAÇÕES!O1128="",NEGOCIAÇÕES!N1128&lt;TODAY()),NEGOCIAÇÕES!D1128,"")</f>
        <v/>
      </c>
      <c r="E1128" s="9" t="str">
        <f ca="1">IF(AND(NEGOCIAÇÕES!O1128="",NEGOCIAÇÕES!N1128&lt;TODAY()),NEGOCIAÇÕES!N1128,"")</f>
        <v/>
      </c>
    </row>
    <row r="1129" spans="2:5" ht="31.95" hidden="1" customHeight="1" x14ac:dyDescent="0.3">
      <c r="B1129" s="6" t="str">
        <f ca="1">IF(AND(NEGOCIAÇÕES!O1129="",NEGOCIAÇÕES!N1129&lt;TODAY()),NEGOCIAÇÕES!C1129,"")</f>
        <v/>
      </c>
      <c r="C1129" s="6" t="str">
        <f ca="1">IF(AND(NEGOCIAÇÕES!O1129="",NEGOCIAÇÕES!N1129&lt;TODAY()),NEGOCIAÇÕES!E1129,"")</f>
        <v/>
      </c>
      <c r="D1129" s="6" t="str">
        <f ca="1">IF(AND(NEGOCIAÇÕES!O1129="",NEGOCIAÇÕES!N1129&lt;TODAY()),NEGOCIAÇÕES!D1129,"")</f>
        <v/>
      </c>
      <c r="E1129" s="9" t="str">
        <f ca="1">IF(AND(NEGOCIAÇÕES!O1129="",NEGOCIAÇÕES!N1129&lt;TODAY()),NEGOCIAÇÕES!N1129,"")</f>
        <v/>
      </c>
    </row>
    <row r="1130" spans="2:5" ht="31.95" hidden="1" customHeight="1" x14ac:dyDescent="0.3">
      <c r="B1130" s="6" t="str">
        <f ca="1">IF(AND(NEGOCIAÇÕES!O1130="",NEGOCIAÇÕES!N1130&lt;TODAY()),NEGOCIAÇÕES!C1130,"")</f>
        <v/>
      </c>
      <c r="C1130" s="6" t="str">
        <f ca="1">IF(AND(NEGOCIAÇÕES!O1130="",NEGOCIAÇÕES!N1130&lt;TODAY()),NEGOCIAÇÕES!E1130,"")</f>
        <v/>
      </c>
      <c r="D1130" s="6" t="str">
        <f ca="1">IF(AND(NEGOCIAÇÕES!O1130="",NEGOCIAÇÕES!N1130&lt;TODAY()),NEGOCIAÇÕES!D1130,"")</f>
        <v/>
      </c>
      <c r="E1130" s="9" t="str">
        <f ca="1">IF(AND(NEGOCIAÇÕES!O1130="",NEGOCIAÇÕES!N1130&lt;TODAY()),NEGOCIAÇÕES!N1130,"")</f>
        <v/>
      </c>
    </row>
    <row r="1131" spans="2:5" ht="31.95" hidden="1" customHeight="1" x14ac:dyDescent="0.3">
      <c r="B1131" s="6" t="str">
        <f ca="1">IF(AND(NEGOCIAÇÕES!O1131="",NEGOCIAÇÕES!N1131&lt;TODAY()),NEGOCIAÇÕES!C1131,"")</f>
        <v/>
      </c>
      <c r="C1131" s="6" t="str">
        <f ca="1">IF(AND(NEGOCIAÇÕES!O1131="",NEGOCIAÇÕES!N1131&lt;TODAY()),NEGOCIAÇÕES!E1131,"")</f>
        <v/>
      </c>
      <c r="D1131" s="6" t="str">
        <f ca="1">IF(AND(NEGOCIAÇÕES!O1131="",NEGOCIAÇÕES!N1131&lt;TODAY()),NEGOCIAÇÕES!D1131,"")</f>
        <v/>
      </c>
      <c r="E1131" s="9" t="str">
        <f ca="1">IF(AND(NEGOCIAÇÕES!O1131="",NEGOCIAÇÕES!N1131&lt;TODAY()),NEGOCIAÇÕES!N1131,"")</f>
        <v/>
      </c>
    </row>
    <row r="1132" spans="2:5" ht="31.95" hidden="1" customHeight="1" x14ac:dyDescent="0.3">
      <c r="B1132" s="6" t="str">
        <f ca="1">IF(AND(NEGOCIAÇÕES!O1132="",NEGOCIAÇÕES!N1132&lt;TODAY()),NEGOCIAÇÕES!C1132,"")</f>
        <v/>
      </c>
      <c r="C1132" s="6" t="str">
        <f ca="1">IF(AND(NEGOCIAÇÕES!O1132="",NEGOCIAÇÕES!N1132&lt;TODAY()),NEGOCIAÇÕES!E1132,"")</f>
        <v/>
      </c>
      <c r="D1132" s="6" t="str">
        <f ca="1">IF(AND(NEGOCIAÇÕES!O1132="",NEGOCIAÇÕES!N1132&lt;TODAY()),NEGOCIAÇÕES!D1132,"")</f>
        <v/>
      </c>
      <c r="E1132" s="9" t="str">
        <f ca="1">IF(AND(NEGOCIAÇÕES!O1132="",NEGOCIAÇÕES!N1132&lt;TODAY()),NEGOCIAÇÕES!N1132,"")</f>
        <v/>
      </c>
    </row>
    <row r="1133" spans="2:5" ht="31.95" hidden="1" customHeight="1" x14ac:dyDescent="0.3">
      <c r="B1133" s="6" t="str">
        <f ca="1">IF(AND(NEGOCIAÇÕES!O1133="",NEGOCIAÇÕES!N1133&lt;TODAY()),NEGOCIAÇÕES!C1133,"")</f>
        <v/>
      </c>
      <c r="C1133" s="6" t="str">
        <f ca="1">IF(AND(NEGOCIAÇÕES!O1133="",NEGOCIAÇÕES!N1133&lt;TODAY()),NEGOCIAÇÕES!E1133,"")</f>
        <v/>
      </c>
      <c r="D1133" s="6" t="str">
        <f ca="1">IF(AND(NEGOCIAÇÕES!O1133="",NEGOCIAÇÕES!N1133&lt;TODAY()),NEGOCIAÇÕES!D1133,"")</f>
        <v/>
      </c>
      <c r="E1133" s="9" t="str">
        <f ca="1">IF(AND(NEGOCIAÇÕES!O1133="",NEGOCIAÇÕES!N1133&lt;TODAY()),NEGOCIAÇÕES!N1133,"")</f>
        <v/>
      </c>
    </row>
    <row r="1134" spans="2:5" ht="31.95" hidden="1" customHeight="1" x14ac:dyDescent="0.3">
      <c r="B1134" s="6" t="str">
        <f ca="1">IF(AND(NEGOCIAÇÕES!O1134="",NEGOCIAÇÕES!N1134&lt;TODAY()),NEGOCIAÇÕES!C1134,"")</f>
        <v/>
      </c>
      <c r="C1134" s="6" t="str">
        <f ca="1">IF(AND(NEGOCIAÇÕES!O1134="",NEGOCIAÇÕES!N1134&lt;TODAY()),NEGOCIAÇÕES!E1134,"")</f>
        <v/>
      </c>
      <c r="D1134" s="6" t="str">
        <f ca="1">IF(AND(NEGOCIAÇÕES!O1134="",NEGOCIAÇÕES!N1134&lt;TODAY()),NEGOCIAÇÕES!D1134,"")</f>
        <v/>
      </c>
      <c r="E1134" s="9" t="str">
        <f ca="1">IF(AND(NEGOCIAÇÕES!O1134="",NEGOCIAÇÕES!N1134&lt;TODAY()),NEGOCIAÇÕES!N1134,"")</f>
        <v/>
      </c>
    </row>
    <row r="1135" spans="2:5" ht="31.95" hidden="1" customHeight="1" x14ac:dyDescent="0.3">
      <c r="B1135" s="6" t="str">
        <f ca="1">IF(AND(NEGOCIAÇÕES!O1135="",NEGOCIAÇÕES!N1135&lt;TODAY()),NEGOCIAÇÕES!C1135,"")</f>
        <v/>
      </c>
      <c r="C1135" s="6" t="str">
        <f ca="1">IF(AND(NEGOCIAÇÕES!O1135="",NEGOCIAÇÕES!N1135&lt;TODAY()),NEGOCIAÇÕES!E1135,"")</f>
        <v/>
      </c>
      <c r="D1135" s="6" t="str">
        <f ca="1">IF(AND(NEGOCIAÇÕES!O1135="",NEGOCIAÇÕES!N1135&lt;TODAY()),NEGOCIAÇÕES!D1135,"")</f>
        <v/>
      </c>
      <c r="E1135" s="9" t="str">
        <f ca="1">IF(AND(NEGOCIAÇÕES!O1135="",NEGOCIAÇÕES!N1135&lt;TODAY()),NEGOCIAÇÕES!N1135,"")</f>
        <v/>
      </c>
    </row>
    <row r="1136" spans="2:5" ht="31.95" hidden="1" customHeight="1" x14ac:dyDescent="0.3">
      <c r="B1136" s="6" t="str">
        <f ca="1">IF(AND(NEGOCIAÇÕES!O1136="",NEGOCIAÇÕES!N1136&lt;TODAY()),NEGOCIAÇÕES!C1136,"")</f>
        <v/>
      </c>
      <c r="C1136" s="6" t="str">
        <f ca="1">IF(AND(NEGOCIAÇÕES!O1136="",NEGOCIAÇÕES!N1136&lt;TODAY()),NEGOCIAÇÕES!E1136,"")</f>
        <v/>
      </c>
      <c r="D1136" s="6" t="str">
        <f ca="1">IF(AND(NEGOCIAÇÕES!O1136="",NEGOCIAÇÕES!N1136&lt;TODAY()),NEGOCIAÇÕES!D1136,"")</f>
        <v/>
      </c>
      <c r="E1136" s="9" t="str">
        <f ca="1">IF(AND(NEGOCIAÇÕES!O1136="",NEGOCIAÇÕES!N1136&lt;TODAY()),NEGOCIAÇÕES!N1136,"")</f>
        <v/>
      </c>
    </row>
    <row r="1137" spans="2:5" ht="31.95" hidden="1" customHeight="1" x14ac:dyDescent="0.3">
      <c r="B1137" s="6" t="str">
        <f ca="1">IF(AND(NEGOCIAÇÕES!O1137="",NEGOCIAÇÕES!N1137&lt;TODAY()),NEGOCIAÇÕES!C1137,"")</f>
        <v/>
      </c>
      <c r="C1137" s="6" t="str">
        <f ca="1">IF(AND(NEGOCIAÇÕES!O1137="",NEGOCIAÇÕES!N1137&lt;TODAY()),NEGOCIAÇÕES!E1137,"")</f>
        <v/>
      </c>
      <c r="D1137" s="6" t="str">
        <f ca="1">IF(AND(NEGOCIAÇÕES!O1137="",NEGOCIAÇÕES!N1137&lt;TODAY()),NEGOCIAÇÕES!D1137,"")</f>
        <v/>
      </c>
      <c r="E1137" s="9" t="str">
        <f ca="1">IF(AND(NEGOCIAÇÕES!O1137="",NEGOCIAÇÕES!N1137&lt;TODAY()),NEGOCIAÇÕES!N1137,"")</f>
        <v/>
      </c>
    </row>
    <row r="1138" spans="2:5" ht="31.95" hidden="1" customHeight="1" x14ac:dyDescent="0.3">
      <c r="B1138" s="6" t="str">
        <f ca="1">IF(AND(NEGOCIAÇÕES!O1138="",NEGOCIAÇÕES!N1138&lt;TODAY()),NEGOCIAÇÕES!C1138,"")</f>
        <v/>
      </c>
      <c r="C1138" s="6" t="str">
        <f ca="1">IF(AND(NEGOCIAÇÕES!O1138="",NEGOCIAÇÕES!N1138&lt;TODAY()),NEGOCIAÇÕES!E1138,"")</f>
        <v/>
      </c>
      <c r="D1138" s="6" t="str">
        <f ca="1">IF(AND(NEGOCIAÇÕES!O1138="",NEGOCIAÇÕES!N1138&lt;TODAY()),NEGOCIAÇÕES!D1138,"")</f>
        <v/>
      </c>
      <c r="E1138" s="9" t="str">
        <f ca="1">IF(AND(NEGOCIAÇÕES!O1138="",NEGOCIAÇÕES!N1138&lt;TODAY()),NEGOCIAÇÕES!N1138,"")</f>
        <v/>
      </c>
    </row>
    <row r="1139" spans="2:5" ht="31.95" hidden="1" customHeight="1" x14ac:dyDescent="0.3">
      <c r="B1139" s="6" t="str">
        <f ca="1">IF(AND(NEGOCIAÇÕES!O1139="",NEGOCIAÇÕES!N1139&lt;TODAY()),NEGOCIAÇÕES!C1139,"")</f>
        <v/>
      </c>
      <c r="C1139" s="6" t="str">
        <f ca="1">IF(AND(NEGOCIAÇÕES!O1139="",NEGOCIAÇÕES!N1139&lt;TODAY()),NEGOCIAÇÕES!E1139,"")</f>
        <v/>
      </c>
      <c r="D1139" s="6" t="str">
        <f ca="1">IF(AND(NEGOCIAÇÕES!O1139="",NEGOCIAÇÕES!N1139&lt;TODAY()),NEGOCIAÇÕES!D1139,"")</f>
        <v/>
      </c>
      <c r="E1139" s="9" t="str">
        <f ca="1">IF(AND(NEGOCIAÇÕES!O1139="",NEGOCIAÇÕES!N1139&lt;TODAY()),NEGOCIAÇÕES!N1139,"")</f>
        <v/>
      </c>
    </row>
    <row r="1140" spans="2:5" ht="31.95" hidden="1" customHeight="1" x14ac:dyDescent="0.3">
      <c r="B1140" s="6" t="str">
        <f ca="1">IF(AND(NEGOCIAÇÕES!O1140="",NEGOCIAÇÕES!N1140&lt;TODAY()),NEGOCIAÇÕES!C1140,"")</f>
        <v/>
      </c>
      <c r="C1140" s="6" t="str">
        <f ca="1">IF(AND(NEGOCIAÇÕES!O1140="",NEGOCIAÇÕES!N1140&lt;TODAY()),NEGOCIAÇÕES!E1140,"")</f>
        <v/>
      </c>
      <c r="D1140" s="6" t="str">
        <f ca="1">IF(AND(NEGOCIAÇÕES!O1140="",NEGOCIAÇÕES!N1140&lt;TODAY()),NEGOCIAÇÕES!D1140,"")</f>
        <v/>
      </c>
      <c r="E1140" s="9" t="str">
        <f ca="1">IF(AND(NEGOCIAÇÕES!O1140="",NEGOCIAÇÕES!N1140&lt;TODAY()),NEGOCIAÇÕES!N1140,"")</f>
        <v/>
      </c>
    </row>
    <row r="1141" spans="2:5" ht="31.95" hidden="1" customHeight="1" x14ac:dyDescent="0.3">
      <c r="B1141" s="6" t="str">
        <f ca="1">IF(AND(NEGOCIAÇÕES!O1141="",NEGOCIAÇÕES!N1141&lt;TODAY()),NEGOCIAÇÕES!C1141,"")</f>
        <v/>
      </c>
      <c r="C1141" s="6" t="str">
        <f ca="1">IF(AND(NEGOCIAÇÕES!O1141="",NEGOCIAÇÕES!N1141&lt;TODAY()),NEGOCIAÇÕES!E1141,"")</f>
        <v/>
      </c>
      <c r="D1141" s="6" t="str">
        <f ca="1">IF(AND(NEGOCIAÇÕES!O1141="",NEGOCIAÇÕES!N1141&lt;TODAY()),NEGOCIAÇÕES!D1141,"")</f>
        <v/>
      </c>
      <c r="E1141" s="9" t="str">
        <f ca="1">IF(AND(NEGOCIAÇÕES!O1141="",NEGOCIAÇÕES!N1141&lt;TODAY()),NEGOCIAÇÕES!N1141,"")</f>
        <v/>
      </c>
    </row>
    <row r="1142" spans="2:5" ht="31.95" hidden="1" customHeight="1" x14ac:dyDescent="0.3">
      <c r="B1142" s="6" t="str">
        <f ca="1">IF(AND(NEGOCIAÇÕES!O1142="",NEGOCIAÇÕES!N1142&lt;TODAY()),NEGOCIAÇÕES!C1142,"")</f>
        <v/>
      </c>
      <c r="C1142" s="6" t="str">
        <f ca="1">IF(AND(NEGOCIAÇÕES!O1142="",NEGOCIAÇÕES!N1142&lt;TODAY()),NEGOCIAÇÕES!E1142,"")</f>
        <v/>
      </c>
      <c r="D1142" s="6" t="str">
        <f ca="1">IF(AND(NEGOCIAÇÕES!O1142="",NEGOCIAÇÕES!N1142&lt;TODAY()),NEGOCIAÇÕES!D1142,"")</f>
        <v/>
      </c>
      <c r="E1142" s="9" t="str">
        <f ca="1">IF(AND(NEGOCIAÇÕES!O1142="",NEGOCIAÇÕES!N1142&lt;TODAY()),NEGOCIAÇÕES!N1142,"")</f>
        <v/>
      </c>
    </row>
    <row r="1143" spans="2:5" ht="31.95" hidden="1" customHeight="1" x14ac:dyDescent="0.3">
      <c r="B1143" s="6" t="str">
        <f ca="1">IF(AND(NEGOCIAÇÕES!O1143="",NEGOCIAÇÕES!N1143&lt;TODAY()),NEGOCIAÇÕES!C1143,"")</f>
        <v/>
      </c>
      <c r="C1143" s="6" t="str">
        <f ca="1">IF(AND(NEGOCIAÇÕES!O1143="",NEGOCIAÇÕES!N1143&lt;TODAY()),NEGOCIAÇÕES!E1143,"")</f>
        <v/>
      </c>
      <c r="D1143" s="6" t="str">
        <f ca="1">IF(AND(NEGOCIAÇÕES!O1143="",NEGOCIAÇÕES!N1143&lt;TODAY()),NEGOCIAÇÕES!D1143,"")</f>
        <v/>
      </c>
      <c r="E1143" s="9" t="str">
        <f ca="1">IF(AND(NEGOCIAÇÕES!O1143="",NEGOCIAÇÕES!N1143&lt;TODAY()),NEGOCIAÇÕES!N1143,"")</f>
        <v/>
      </c>
    </row>
    <row r="1144" spans="2:5" ht="31.95" hidden="1" customHeight="1" x14ac:dyDescent="0.3">
      <c r="B1144" s="6" t="str">
        <f ca="1">IF(AND(NEGOCIAÇÕES!O1144="",NEGOCIAÇÕES!N1144&lt;TODAY()),NEGOCIAÇÕES!C1144,"")</f>
        <v/>
      </c>
      <c r="C1144" s="6" t="str">
        <f ca="1">IF(AND(NEGOCIAÇÕES!O1144="",NEGOCIAÇÕES!N1144&lt;TODAY()),NEGOCIAÇÕES!E1144,"")</f>
        <v/>
      </c>
      <c r="D1144" s="6" t="str">
        <f ca="1">IF(AND(NEGOCIAÇÕES!O1144="",NEGOCIAÇÕES!N1144&lt;TODAY()),NEGOCIAÇÕES!D1144,"")</f>
        <v/>
      </c>
      <c r="E1144" s="9" t="str">
        <f ca="1">IF(AND(NEGOCIAÇÕES!O1144="",NEGOCIAÇÕES!N1144&lt;TODAY()),NEGOCIAÇÕES!N1144,"")</f>
        <v/>
      </c>
    </row>
    <row r="1145" spans="2:5" ht="31.95" hidden="1" customHeight="1" x14ac:dyDescent="0.3">
      <c r="B1145" s="6" t="str">
        <f ca="1">IF(AND(NEGOCIAÇÕES!O1145="",NEGOCIAÇÕES!N1145&lt;TODAY()),NEGOCIAÇÕES!C1145,"")</f>
        <v/>
      </c>
      <c r="C1145" s="6" t="str">
        <f ca="1">IF(AND(NEGOCIAÇÕES!O1145="",NEGOCIAÇÕES!N1145&lt;TODAY()),NEGOCIAÇÕES!E1145,"")</f>
        <v/>
      </c>
      <c r="D1145" s="6" t="str">
        <f ca="1">IF(AND(NEGOCIAÇÕES!O1145="",NEGOCIAÇÕES!N1145&lt;TODAY()),NEGOCIAÇÕES!D1145,"")</f>
        <v/>
      </c>
      <c r="E1145" s="9" t="str">
        <f ca="1">IF(AND(NEGOCIAÇÕES!O1145="",NEGOCIAÇÕES!N1145&lt;TODAY()),NEGOCIAÇÕES!N1145,"")</f>
        <v/>
      </c>
    </row>
    <row r="1146" spans="2:5" ht="31.95" hidden="1" customHeight="1" x14ac:dyDescent="0.3">
      <c r="B1146" s="6" t="str">
        <f ca="1">IF(AND(NEGOCIAÇÕES!O1146="",NEGOCIAÇÕES!N1146&lt;TODAY()),NEGOCIAÇÕES!C1146,"")</f>
        <v/>
      </c>
      <c r="C1146" s="6" t="str">
        <f ca="1">IF(AND(NEGOCIAÇÕES!O1146="",NEGOCIAÇÕES!N1146&lt;TODAY()),NEGOCIAÇÕES!E1146,"")</f>
        <v/>
      </c>
      <c r="D1146" s="6" t="str">
        <f ca="1">IF(AND(NEGOCIAÇÕES!O1146="",NEGOCIAÇÕES!N1146&lt;TODAY()),NEGOCIAÇÕES!D1146,"")</f>
        <v/>
      </c>
      <c r="E1146" s="9" t="str">
        <f ca="1">IF(AND(NEGOCIAÇÕES!O1146="",NEGOCIAÇÕES!N1146&lt;TODAY()),NEGOCIAÇÕES!N1146,"")</f>
        <v/>
      </c>
    </row>
    <row r="1147" spans="2:5" ht="31.95" hidden="1" customHeight="1" x14ac:dyDescent="0.3">
      <c r="B1147" s="6" t="str">
        <f ca="1">IF(AND(NEGOCIAÇÕES!O1147="",NEGOCIAÇÕES!N1147&lt;TODAY()),NEGOCIAÇÕES!C1147,"")</f>
        <v/>
      </c>
      <c r="C1147" s="6" t="str">
        <f ca="1">IF(AND(NEGOCIAÇÕES!O1147="",NEGOCIAÇÕES!N1147&lt;TODAY()),NEGOCIAÇÕES!E1147,"")</f>
        <v/>
      </c>
      <c r="D1147" s="6" t="str">
        <f ca="1">IF(AND(NEGOCIAÇÕES!O1147="",NEGOCIAÇÕES!N1147&lt;TODAY()),NEGOCIAÇÕES!D1147,"")</f>
        <v/>
      </c>
      <c r="E1147" s="9" t="str">
        <f ca="1">IF(AND(NEGOCIAÇÕES!O1147="",NEGOCIAÇÕES!N1147&lt;TODAY()),NEGOCIAÇÕES!N1147,"")</f>
        <v/>
      </c>
    </row>
    <row r="1148" spans="2:5" ht="31.95" hidden="1" customHeight="1" x14ac:dyDescent="0.3">
      <c r="B1148" s="6" t="str">
        <f ca="1">IF(AND(NEGOCIAÇÕES!O1148="",NEGOCIAÇÕES!N1148&lt;TODAY()),NEGOCIAÇÕES!C1148,"")</f>
        <v/>
      </c>
      <c r="C1148" s="6" t="str">
        <f ca="1">IF(AND(NEGOCIAÇÕES!O1148="",NEGOCIAÇÕES!N1148&lt;TODAY()),NEGOCIAÇÕES!E1148,"")</f>
        <v/>
      </c>
      <c r="D1148" s="6" t="str">
        <f ca="1">IF(AND(NEGOCIAÇÕES!O1148="",NEGOCIAÇÕES!N1148&lt;TODAY()),NEGOCIAÇÕES!D1148,"")</f>
        <v/>
      </c>
      <c r="E1148" s="9" t="str">
        <f ca="1">IF(AND(NEGOCIAÇÕES!O1148="",NEGOCIAÇÕES!N1148&lt;TODAY()),NEGOCIAÇÕES!N1148,"")</f>
        <v/>
      </c>
    </row>
    <row r="1149" spans="2:5" ht="31.95" hidden="1" customHeight="1" x14ac:dyDescent="0.3">
      <c r="B1149" s="6" t="str">
        <f ca="1">IF(AND(NEGOCIAÇÕES!O1149="",NEGOCIAÇÕES!N1149&lt;TODAY()),NEGOCIAÇÕES!C1149,"")</f>
        <v/>
      </c>
      <c r="C1149" s="6" t="str">
        <f ca="1">IF(AND(NEGOCIAÇÕES!O1149="",NEGOCIAÇÕES!N1149&lt;TODAY()),NEGOCIAÇÕES!E1149,"")</f>
        <v/>
      </c>
      <c r="D1149" s="6" t="str">
        <f ca="1">IF(AND(NEGOCIAÇÕES!O1149="",NEGOCIAÇÕES!N1149&lt;TODAY()),NEGOCIAÇÕES!D1149,"")</f>
        <v/>
      </c>
      <c r="E1149" s="9" t="str">
        <f ca="1">IF(AND(NEGOCIAÇÕES!O1149="",NEGOCIAÇÕES!N1149&lt;TODAY()),NEGOCIAÇÕES!N1149,"")</f>
        <v/>
      </c>
    </row>
    <row r="1150" spans="2:5" ht="31.95" hidden="1" customHeight="1" x14ac:dyDescent="0.3">
      <c r="B1150" s="6" t="str">
        <f ca="1">IF(AND(NEGOCIAÇÕES!O1150="",NEGOCIAÇÕES!N1150&lt;TODAY()),NEGOCIAÇÕES!C1150,"")</f>
        <v/>
      </c>
      <c r="C1150" s="6" t="str">
        <f ca="1">IF(AND(NEGOCIAÇÕES!O1150="",NEGOCIAÇÕES!N1150&lt;TODAY()),NEGOCIAÇÕES!E1150,"")</f>
        <v/>
      </c>
      <c r="D1150" s="6" t="str">
        <f ca="1">IF(AND(NEGOCIAÇÕES!O1150="",NEGOCIAÇÕES!N1150&lt;TODAY()),NEGOCIAÇÕES!D1150,"")</f>
        <v/>
      </c>
      <c r="E1150" s="9" t="str">
        <f ca="1">IF(AND(NEGOCIAÇÕES!O1150="",NEGOCIAÇÕES!N1150&lt;TODAY()),NEGOCIAÇÕES!N1150,"")</f>
        <v/>
      </c>
    </row>
    <row r="1151" spans="2:5" ht="31.95" hidden="1" customHeight="1" x14ac:dyDescent="0.3">
      <c r="B1151" s="6" t="str">
        <f ca="1">IF(AND(NEGOCIAÇÕES!O1151="",NEGOCIAÇÕES!N1151&lt;TODAY()),NEGOCIAÇÕES!C1151,"")</f>
        <v/>
      </c>
      <c r="C1151" s="6" t="str">
        <f ca="1">IF(AND(NEGOCIAÇÕES!O1151="",NEGOCIAÇÕES!N1151&lt;TODAY()),NEGOCIAÇÕES!E1151,"")</f>
        <v/>
      </c>
      <c r="D1151" s="6" t="str">
        <f ca="1">IF(AND(NEGOCIAÇÕES!O1151="",NEGOCIAÇÕES!N1151&lt;TODAY()),NEGOCIAÇÕES!D1151,"")</f>
        <v/>
      </c>
      <c r="E1151" s="9" t="str">
        <f ca="1">IF(AND(NEGOCIAÇÕES!O1151="",NEGOCIAÇÕES!N1151&lt;TODAY()),NEGOCIAÇÕES!N1151,"")</f>
        <v/>
      </c>
    </row>
    <row r="1152" spans="2:5" ht="31.95" hidden="1" customHeight="1" x14ac:dyDescent="0.3">
      <c r="B1152" s="6" t="str">
        <f ca="1">IF(AND(NEGOCIAÇÕES!O1152="",NEGOCIAÇÕES!N1152&lt;TODAY()),NEGOCIAÇÕES!C1152,"")</f>
        <v/>
      </c>
      <c r="C1152" s="6" t="str">
        <f ca="1">IF(AND(NEGOCIAÇÕES!O1152="",NEGOCIAÇÕES!N1152&lt;TODAY()),NEGOCIAÇÕES!E1152,"")</f>
        <v/>
      </c>
      <c r="D1152" s="6" t="str">
        <f ca="1">IF(AND(NEGOCIAÇÕES!O1152="",NEGOCIAÇÕES!N1152&lt;TODAY()),NEGOCIAÇÕES!D1152,"")</f>
        <v/>
      </c>
      <c r="E1152" s="9" t="str">
        <f ca="1">IF(AND(NEGOCIAÇÕES!O1152="",NEGOCIAÇÕES!N1152&lt;TODAY()),NEGOCIAÇÕES!N1152,"")</f>
        <v/>
      </c>
    </row>
    <row r="1153" spans="2:5" ht="31.95" hidden="1" customHeight="1" x14ac:dyDescent="0.3">
      <c r="B1153" s="6" t="str">
        <f ca="1">IF(AND(NEGOCIAÇÕES!O1153="",NEGOCIAÇÕES!N1153&lt;TODAY()),NEGOCIAÇÕES!C1153,"")</f>
        <v/>
      </c>
      <c r="C1153" s="6" t="str">
        <f ca="1">IF(AND(NEGOCIAÇÕES!O1153="",NEGOCIAÇÕES!N1153&lt;TODAY()),NEGOCIAÇÕES!E1153,"")</f>
        <v/>
      </c>
      <c r="D1153" s="6" t="str">
        <f ca="1">IF(AND(NEGOCIAÇÕES!O1153="",NEGOCIAÇÕES!N1153&lt;TODAY()),NEGOCIAÇÕES!D1153,"")</f>
        <v/>
      </c>
      <c r="E1153" s="9" t="str">
        <f ca="1">IF(AND(NEGOCIAÇÕES!O1153="",NEGOCIAÇÕES!N1153&lt;TODAY()),NEGOCIAÇÕES!N1153,"")</f>
        <v/>
      </c>
    </row>
    <row r="1154" spans="2:5" ht="31.95" hidden="1" customHeight="1" x14ac:dyDescent="0.3">
      <c r="B1154" s="6" t="str">
        <f ca="1">IF(AND(NEGOCIAÇÕES!O1154="",NEGOCIAÇÕES!N1154&lt;TODAY()),NEGOCIAÇÕES!C1154,"")</f>
        <v/>
      </c>
      <c r="C1154" s="6" t="str">
        <f ca="1">IF(AND(NEGOCIAÇÕES!O1154="",NEGOCIAÇÕES!N1154&lt;TODAY()),NEGOCIAÇÕES!E1154,"")</f>
        <v/>
      </c>
      <c r="D1154" s="6" t="str">
        <f ca="1">IF(AND(NEGOCIAÇÕES!O1154="",NEGOCIAÇÕES!N1154&lt;TODAY()),NEGOCIAÇÕES!D1154,"")</f>
        <v/>
      </c>
      <c r="E1154" s="9" t="str">
        <f ca="1">IF(AND(NEGOCIAÇÕES!O1154="",NEGOCIAÇÕES!N1154&lt;TODAY()),NEGOCIAÇÕES!N1154,"")</f>
        <v/>
      </c>
    </row>
    <row r="1155" spans="2:5" ht="31.95" hidden="1" customHeight="1" x14ac:dyDescent="0.3">
      <c r="B1155" s="6" t="str">
        <f ca="1">IF(AND(NEGOCIAÇÕES!O1155="",NEGOCIAÇÕES!N1155&lt;TODAY()),NEGOCIAÇÕES!C1155,"")</f>
        <v/>
      </c>
      <c r="C1155" s="6" t="str">
        <f ca="1">IF(AND(NEGOCIAÇÕES!O1155="",NEGOCIAÇÕES!N1155&lt;TODAY()),NEGOCIAÇÕES!E1155,"")</f>
        <v/>
      </c>
      <c r="D1155" s="6" t="str">
        <f ca="1">IF(AND(NEGOCIAÇÕES!O1155="",NEGOCIAÇÕES!N1155&lt;TODAY()),NEGOCIAÇÕES!D1155,"")</f>
        <v/>
      </c>
      <c r="E1155" s="9" t="str">
        <f ca="1">IF(AND(NEGOCIAÇÕES!O1155="",NEGOCIAÇÕES!N1155&lt;TODAY()),NEGOCIAÇÕES!N1155,"")</f>
        <v/>
      </c>
    </row>
    <row r="1156" spans="2:5" ht="31.95" hidden="1" customHeight="1" x14ac:dyDescent="0.3">
      <c r="B1156" s="6" t="str">
        <f ca="1">IF(AND(NEGOCIAÇÕES!O1156="",NEGOCIAÇÕES!N1156&lt;TODAY()),NEGOCIAÇÕES!C1156,"")</f>
        <v/>
      </c>
      <c r="C1156" s="6" t="str">
        <f ca="1">IF(AND(NEGOCIAÇÕES!O1156="",NEGOCIAÇÕES!N1156&lt;TODAY()),NEGOCIAÇÕES!E1156,"")</f>
        <v/>
      </c>
      <c r="D1156" s="6" t="str">
        <f ca="1">IF(AND(NEGOCIAÇÕES!O1156="",NEGOCIAÇÕES!N1156&lt;TODAY()),NEGOCIAÇÕES!D1156,"")</f>
        <v/>
      </c>
      <c r="E1156" s="9" t="str">
        <f ca="1">IF(AND(NEGOCIAÇÕES!O1156="",NEGOCIAÇÕES!N1156&lt;TODAY()),NEGOCIAÇÕES!N1156,"")</f>
        <v/>
      </c>
    </row>
    <row r="1157" spans="2:5" ht="31.95" hidden="1" customHeight="1" x14ac:dyDescent="0.3">
      <c r="B1157" s="6" t="str">
        <f ca="1">IF(AND(NEGOCIAÇÕES!O1157="",NEGOCIAÇÕES!N1157&lt;TODAY()),NEGOCIAÇÕES!C1157,"")</f>
        <v/>
      </c>
      <c r="C1157" s="6" t="str">
        <f ca="1">IF(AND(NEGOCIAÇÕES!O1157="",NEGOCIAÇÕES!N1157&lt;TODAY()),NEGOCIAÇÕES!E1157,"")</f>
        <v/>
      </c>
      <c r="D1157" s="6" t="str">
        <f ca="1">IF(AND(NEGOCIAÇÕES!O1157="",NEGOCIAÇÕES!N1157&lt;TODAY()),NEGOCIAÇÕES!D1157,"")</f>
        <v/>
      </c>
      <c r="E1157" s="9" t="str">
        <f ca="1">IF(AND(NEGOCIAÇÕES!O1157="",NEGOCIAÇÕES!N1157&lt;TODAY()),NEGOCIAÇÕES!N1157,"")</f>
        <v/>
      </c>
    </row>
    <row r="1158" spans="2:5" ht="31.95" hidden="1" customHeight="1" x14ac:dyDescent="0.3">
      <c r="B1158" s="6" t="str">
        <f ca="1">IF(AND(NEGOCIAÇÕES!O1158="",NEGOCIAÇÕES!N1158&lt;TODAY()),NEGOCIAÇÕES!C1158,"")</f>
        <v/>
      </c>
      <c r="C1158" s="6" t="str">
        <f ca="1">IF(AND(NEGOCIAÇÕES!O1158="",NEGOCIAÇÕES!N1158&lt;TODAY()),NEGOCIAÇÕES!E1158,"")</f>
        <v/>
      </c>
      <c r="D1158" s="6" t="str">
        <f ca="1">IF(AND(NEGOCIAÇÕES!O1158="",NEGOCIAÇÕES!N1158&lt;TODAY()),NEGOCIAÇÕES!D1158,"")</f>
        <v/>
      </c>
      <c r="E1158" s="9" t="str">
        <f ca="1">IF(AND(NEGOCIAÇÕES!O1158="",NEGOCIAÇÕES!N1158&lt;TODAY()),NEGOCIAÇÕES!N1158,"")</f>
        <v/>
      </c>
    </row>
    <row r="1159" spans="2:5" ht="31.95" hidden="1" customHeight="1" x14ac:dyDescent="0.3">
      <c r="B1159" s="6" t="str">
        <f ca="1">IF(AND(NEGOCIAÇÕES!O1159="",NEGOCIAÇÕES!N1159&lt;TODAY()),NEGOCIAÇÕES!C1159,"")</f>
        <v/>
      </c>
      <c r="C1159" s="6" t="str">
        <f ca="1">IF(AND(NEGOCIAÇÕES!O1159="",NEGOCIAÇÕES!N1159&lt;TODAY()),NEGOCIAÇÕES!E1159,"")</f>
        <v/>
      </c>
      <c r="D1159" s="6" t="str">
        <f ca="1">IF(AND(NEGOCIAÇÕES!O1159="",NEGOCIAÇÕES!N1159&lt;TODAY()),NEGOCIAÇÕES!D1159,"")</f>
        <v/>
      </c>
      <c r="E1159" s="9" t="str">
        <f ca="1">IF(AND(NEGOCIAÇÕES!O1159="",NEGOCIAÇÕES!N1159&lt;TODAY()),NEGOCIAÇÕES!N1159,"")</f>
        <v/>
      </c>
    </row>
    <row r="1160" spans="2:5" ht="31.95" hidden="1" customHeight="1" x14ac:dyDescent="0.3">
      <c r="B1160" s="6" t="str">
        <f ca="1">IF(AND(NEGOCIAÇÕES!O1160="",NEGOCIAÇÕES!N1160&lt;TODAY()),NEGOCIAÇÕES!C1160,"")</f>
        <v/>
      </c>
      <c r="C1160" s="6" t="str">
        <f ca="1">IF(AND(NEGOCIAÇÕES!O1160="",NEGOCIAÇÕES!N1160&lt;TODAY()),NEGOCIAÇÕES!E1160,"")</f>
        <v/>
      </c>
      <c r="D1160" s="6" t="str">
        <f ca="1">IF(AND(NEGOCIAÇÕES!O1160="",NEGOCIAÇÕES!N1160&lt;TODAY()),NEGOCIAÇÕES!D1160,"")</f>
        <v/>
      </c>
      <c r="E1160" s="9" t="str">
        <f ca="1">IF(AND(NEGOCIAÇÕES!O1160="",NEGOCIAÇÕES!N1160&lt;TODAY()),NEGOCIAÇÕES!N1160,"")</f>
        <v/>
      </c>
    </row>
    <row r="1161" spans="2:5" ht="31.95" hidden="1" customHeight="1" x14ac:dyDescent="0.3">
      <c r="B1161" s="6" t="str">
        <f ca="1">IF(AND(NEGOCIAÇÕES!O1161="",NEGOCIAÇÕES!N1161&lt;TODAY()),NEGOCIAÇÕES!C1161,"")</f>
        <v/>
      </c>
      <c r="C1161" s="6" t="str">
        <f ca="1">IF(AND(NEGOCIAÇÕES!O1161="",NEGOCIAÇÕES!N1161&lt;TODAY()),NEGOCIAÇÕES!E1161,"")</f>
        <v/>
      </c>
      <c r="D1161" s="6" t="str">
        <f ca="1">IF(AND(NEGOCIAÇÕES!O1161="",NEGOCIAÇÕES!N1161&lt;TODAY()),NEGOCIAÇÕES!D1161,"")</f>
        <v/>
      </c>
      <c r="E1161" s="9" t="str">
        <f ca="1">IF(AND(NEGOCIAÇÕES!O1161="",NEGOCIAÇÕES!N1161&lt;TODAY()),NEGOCIAÇÕES!N1161,"")</f>
        <v/>
      </c>
    </row>
    <row r="1162" spans="2:5" ht="31.95" hidden="1" customHeight="1" x14ac:dyDescent="0.3">
      <c r="B1162" s="6" t="str">
        <f ca="1">IF(AND(NEGOCIAÇÕES!O1162="",NEGOCIAÇÕES!N1162&lt;TODAY()),NEGOCIAÇÕES!C1162,"")</f>
        <v/>
      </c>
      <c r="C1162" s="6" t="str">
        <f ca="1">IF(AND(NEGOCIAÇÕES!O1162="",NEGOCIAÇÕES!N1162&lt;TODAY()),NEGOCIAÇÕES!E1162,"")</f>
        <v/>
      </c>
      <c r="D1162" s="6" t="str">
        <f ca="1">IF(AND(NEGOCIAÇÕES!O1162="",NEGOCIAÇÕES!N1162&lt;TODAY()),NEGOCIAÇÕES!D1162,"")</f>
        <v/>
      </c>
      <c r="E1162" s="9" t="str">
        <f ca="1">IF(AND(NEGOCIAÇÕES!O1162="",NEGOCIAÇÕES!N1162&lt;TODAY()),NEGOCIAÇÕES!N1162,"")</f>
        <v/>
      </c>
    </row>
    <row r="1163" spans="2:5" ht="31.95" hidden="1" customHeight="1" x14ac:dyDescent="0.3">
      <c r="B1163" s="6" t="str">
        <f ca="1">IF(AND(NEGOCIAÇÕES!O1163="",NEGOCIAÇÕES!N1163&lt;TODAY()),NEGOCIAÇÕES!C1163,"")</f>
        <v/>
      </c>
      <c r="C1163" s="6" t="str">
        <f ca="1">IF(AND(NEGOCIAÇÕES!O1163="",NEGOCIAÇÕES!N1163&lt;TODAY()),NEGOCIAÇÕES!E1163,"")</f>
        <v/>
      </c>
      <c r="D1163" s="6" t="str">
        <f ca="1">IF(AND(NEGOCIAÇÕES!O1163="",NEGOCIAÇÕES!N1163&lt;TODAY()),NEGOCIAÇÕES!D1163,"")</f>
        <v/>
      </c>
      <c r="E1163" s="9" t="str">
        <f ca="1">IF(AND(NEGOCIAÇÕES!O1163="",NEGOCIAÇÕES!N1163&lt;TODAY()),NEGOCIAÇÕES!N1163,"")</f>
        <v/>
      </c>
    </row>
    <row r="1164" spans="2:5" ht="31.95" hidden="1" customHeight="1" x14ac:dyDescent="0.3">
      <c r="B1164" s="6" t="str">
        <f ca="1">IF(AND(NEGOCIAÇÕES!O1164="",NEGOCIAÇÕES!N1164&lt;TODAY()),NEGOCIAÇÕES!C1164,"")</f>
        <v/>
      </c>
      <c r="C1164" s="6" t="str">
        <f ca="1">IF(AND(NEGOCIAÇÕES!O1164="",NEGOCIAÇÕES!N1164&lt;TODAY()),NEGOCIAÇÕES!E1164,"")</f>
        <v/>
      </c>
      <c r="D1164" s="6" t="str">
        <f ca="1">IF(AND(NEGOCIAÇÕES!O1164="",NEGOCIAÇÕES!N1164&lt;TODAY()),NEGOCIAÇÕES!D1164,"")</f>
        <v/>
      </c>
      <c r="E1164" s="9" t="str">
        <f ca="1">IF(AND(NEGOCIAÇÕES!O1164="",NEGOCIAÇÕES!N1164&lt;TODAY()),NEGOCIAÇÕES!N1164,"")</f>
        <v/>
      </c>
    </row>
    <row r="1165" spans="2:5" ht="31.95" hidden="1" customHeight="1" x14ac:dyDescent="0.3">
      <c r="B1165" s="6" t="str">
        <f ca="1">IF(AND(NEGOCIAÇÕES!O1165="",NEGOCIAÇÕES!N1165&lt;TODAY()),NEGOCIAÇÕES!C1165,"")</f>
        <v/>
      </c>
      <c r="C1165" s="6" t="str">
        <f ca="1">IF(AND(NEGOCIAÇÕES!O1165="",NEGOCIAÇÕES!N1165&lt;TODAY()),NEGOCIAÇÕES!E1165,"")</f>
        <v/>
      </c>
      <c r="D1165" s="6" t="str">
        <f ca="1">IF(AND(NEGOCIAÇÕES!O1165="",NEGOCIAÇÕES!N1165&lt;TODAY()),NEGOCIAÇÕES!D1165,"")</f>
        <v/>
      </c>
      <c r="E1165" s="9" t="str">
        <f ca="1">IF(AND(NEGOCIAÇÕES!O1165="",NEGOCIAÇÕES!N1165&lt;TODAY()),NEGOCIAÇÕES!N1165,"")</f>
        <v/>
      </c>
    </row>
    <row r="1166" spans="2:5" ht="31.95" hidden="1" customHeight="1" x14ac:dyDescent="0.3">
      <c r="B1166" s="6" t="str">
        <f ca="1">IF(AND(NEGOCIAÇÕES!O1166="",NEGOCIAÇÕES!N1166&lt;TODAY()),NEGOCIAÇÕES!C1166,"")</f>
        <v/>
      </c>
      <c r="C1166" s="6" t="str">
        <f ca="1">IF(AND(NEGOCIAÇÕES!O1166="",NEGOCIAÇÕES!N1166&lt;TODAY()),NEGOCIAÇÕES!E1166,"")</f>
        <v/>
      </c>
      <c r="D1166" s="6" t="str">
        <f ca="1">IF(AND(NEGOCIAÇÕES!O1166="",NEGOCIAÇÕES!N1166&lt;TODAY()),NEGOCIAÇÕES!D1166,"")</f>
        <v/>
      </c>
      <c r="E1166" s="9" t="str">
        <f ca="1">IF(AND(NEGOCIAÇÕES!O1166="",NEGOCIAÇÕES!N1166&lt;TODAY()),NEGOCIAÇÕES!N1166,"")</f>
        <v/>
      </c>
    </row>
    <row r="1167" spans="2:5" ht="31.95" hidden="1" customHeight="1" x14ac:dyDescent="0.3">
      <c r="B1167" s="6" t="str">
        <f ca="1">IF(AND(NEGOCIAÇÕES!O1167="",NEGOCIAÇÕES!N1167&lt;TODAY()),NEGOCIAÇÕES!C1167,"")</f>
        <v/>
      </c>
      <c r="C1167" s="6" t="str">
        <f ca="1">IF(AND(NEGOCIAÇÕES!O1167="",NEGOCIAÇÕES!N1167&lt;TODAY()),NEGOCIAÇÕES!E1167,"")</f>
        <v/>
      </c>
      <c r="D1167" s="6" t="str">
        <f ca="1">IF(AND(NEGOCIAÇÕES!O1167="",NEGOCIAÇÕES!N1167&lt;TODAY()),NEGOCIAÇÕES!D1167,"")</f>
        <v/>
      </c>
      <c r="E1167" s="9" t="str">
        <f ca="1">IF(AND(NEGOCIAÇÕES!O1167="",NEGOCIAÇÕES!N1167&lt;TODAY()),NEGOCIAÇÕES!N1167,"")</f>
        <v/>
      </c>
    </row>
    <row r="1168" spans="2:5" ht="31.95" hidden="1" customHeight="1" x14ac:dyDescent="0.3">
      <c r="B1168" s="6" t="str">
        <f ca="1">IF(AND(NEGOCIAÇÕES!O1168="",NEGOCIAÇÕES!N1168&lt;TODAY()),NEGOCIAÇÕES!C1168,"")</f>
        <v/>
      </c>
      <c r="C1168" s="6" t="str">
        <f ca="1">IF(AND(NEGOCIAÇÕES!O1168="",NEGOCIAÇÕES!N1168&lt;TODAY()),NEGOCIAÇÕES!E1168,"")</f>
        <v/>
      </c>
      <c r="D1168" s="6" t="str">
        <f ca="1">IF(AND(NEGOCIAÇÕES!O1168="",NEGOCIAÇÕES!N1168&lt;TODAY()),NEGOCIAÇÕES!D1168,"")</f>
        <v/>
      </c>
      <c r="E1168" s="9" t="str">
        <f ca="1">IF(AND(NEGOCIAÇÕES!O1168="",NEGOCIAÇÕES!N1168&lt;TODAY()),NEGOCIAÇÕES!N1168,"")</f>
        <v/>
      </c>
    </row>
    <row r="1169" spans="2:5" ht="31.95" hidden="1" customHeight="1" x14ac:dyDescent="0.3">
      <c r="B1169" s="6" t="str">
        <f ca="1">IF(AND(NEGOCIAÇÕES!O1169="",NEGOCIAÇÕES!N1169&lt;TODAY()),NEGOCIAÇÕES!C1169,"")</f>
        <v/>
      </c>
      <c r="C1169" s="6" t="str">
        <f ca="1">IF(AND(NEGOCIAÇÕES!O1169="",NEGOCIAÇÕES!N1169&lt;TODAY()),NEGOCIAÇÕES!E1169,"")</f>
        <v/>
      </c>
      <c r="D1169" s="6" t="str">
        <f ca="1">IF(AND(NEGOCIAÇÕES!O1169="",NEGOCIAÇÕES!N1169&lt;TODAY()),NEGOCIAÇÕES!D1169,"")</f>
        <v/>
      </c>
      <c r="E1169" s="9" t="str">
        <f ca="1">IF(AND(NEGOCIAÇÕES!O1169="",NEGOCIAÇÕES!N1169&lt;TODAY()),NEGOCIAÇÕES!N1169,"")</f>
        <v/>
      </c>
    </row>
    <row r="1170" spans="2:5" ht="31.95" hidden="1" customHeight="1" x14ac:dyDescent="0.3">
      <c r="B1170" s="6" t="str">
        <f ca="1">IF(AND(NEGOCIAÇÕES!O1170="",NEGOCIAÇÕES!N1170&lt;TODAY()),NEGOCIAÇÕES!C1170,"")</f>
        <v/>
      </c>
      <c r="C1170" s="6" t="str">
        <f ca="1">IF(AND(NEGOCIAÇÕES!O1170="",NEGOCIAÇÕES!N1170&lt;TODAY()),NEGOCIAÇÕES!E1170,"")</f>
        <v/>
      </c>
      <c r="D1170" s="6" t="str">
        <f ca="1">IF(AND(NEGOCIAÇÕES!O1170="",NEGOCIAÇÕES!N1170&lt;TODAY()),NEGOCIAÇÕES!D1170,"")</f>
        <v/>
      </c>
      <c r="E1170" s="9" t="str">
        <f ca="1">IF(AND(NEGOCIAÇÕES!O1170="",NEGOCIAÇÕES!N1170&lt;TODAY()),NEGOCIAÇÕES!N1170,"")</f>
        <v/>
      </c>
    </row>
    <row r="1171" spans="2:5" ht="31.95" hidden="1" customHeight="1" x14ac:dyDescent="0.3">
      <c r="B1171" s="6" t="str">
        <f ca="1">IF(AND(NEGOCIAÇÕES!O1171="",NEGOCIAÇÕES!N1171&lt;TODAY()),NEGOCIAÇÕES!C1171,"")</f>
        <v/>
      </c>
      <c r="C1171" s="6" t="str">
        <f ca="1">IF(AND(NEGOCIAÇÕES!O1171="",NEGOCIAÇÕES!N1171&lt;TODAY()),NEGOCIAÇÕES!E1171,"")</f>
        <v/>
      </c>
      <c r="D1171" s="6" t="str">
        <f ca="1">IF(AND(NEGOCIAÇÕES!O1171="",NEGOCIAÇÕES!N1171&lt;TODAY()),NEGOCIAÇÕES!D1171,"")</f>
        <v/>
      </c>
      <c r="E1171" s="9" t="str">
        <f ca="1">IF(AND(NEGOCIAÇÕES!O1171="",NEGOCIAÇÕES!N1171&lt;TODAY()),NEGOCIAÇÕES!N1171,"")</f>
        <v/>
      </c>
    </row>
    <row r="1172" spans="2:5" ht="31.95" hidden="1" customHeight="1" x14ac:dyDescent="0.3">
      <c r="B1172" s="6" t="str">
        <f ca="1">IF(AND(NEGOCIAÇÕES!O1172="",NEGOCIAÇÕES!N1172&lt;TODAY()),NEGOCIAÇÕES!C1172,"")</f>
        <v/>
      </c>
      <c r="C1172" s="6" t="str">
        <f ca="1">IF(AND(NEGOCIAÇÕES!O1172="",NEGOCIAÇÕES!N1172&lt;TODAY()),NEGOCIAÇÕES!E1172,"")</f>
        <v/>
      </c>
      <c r="D1172" s="6" t="str">
        <f ca="1">IF(AND(NEGOCIAÇÕES!O1172="",NEGOCIAÇÕES!N1172&lt;TODAY()),NEGOCIAÇÕES!D1172,"")</f>
        <v/>
      </c>
      <c r="E1172" s="9" t="str">
        <f ca="1">IF(AND(NEGOCIAÇÕES!O1172="",NEGOCIAÇÕES!N1172&lt;TODAY()),NEGOCIAÇÕES!N1172,"")</f>
        <v/>
      </c>
    </row>
    <row r="1173" spans="2:5" ht="31.95" hidden="1" customHeight="1" x14ac:dyDescent="0.3">
      <c r="B1173" s="6" t="str">
        <f ca="1">IF(AND(NEGOCIAÇÕES!O1173="",NEGOCIAÇÕES!N1173&lt;TODAY()),NEGOCIAÇÕES!C1173,"")</f>
        <v/>
      </c>
      <c r="C1173" s="6" t="str">
        <f ca="1">IF(AND(NEGOCIAÇÕES!O1173="",NEGOCIAÇÕES!N1173&lt;TODAY()),NEGOCIAÇÕES!E1173,"")</f>
        <v/>
      </c>
      <c r="D1173" s="6" t="str">
        <f ca="1">IF(AND(NEGOCIAÇÕES!O1173="",NEGOCIAÇÕES!N1173&lt;TODAY()),NEGOCIAÇÕES!D1173,"")</f>
        <v/>
      </c>
      <c r="E1173" s="9" t="str">
        <f ca="1">IF(AND(NEGOCIAÇÕES!O1173="",NEGOCIAÇÕES!N1173&lt;TODAY()),NEGOCIAÇÕES!N1173,"")</f>
        <v/>
      </c>
    </row>
    <row r="1174" spans="2:5" ht="31.95" hidden="1" customHeight="1" x14ac:dyDescent="0.3">
      <c r="B1174" s="6" t="str">
        <f ca="1">IF(AND(NEGOCIAÇÕES!O1174="",NEGOCIAÇÕES!N1174&lt;TODAY()),NEGOCIAÇÕES!C1174,"")</f>
        <v/>
      </c>
      <c r="C1174" s="6" t="str">
        <f ca="1">IF(AND(NEGOCIAÇÕES!O1174="",NEGOCIAÇÕES!N1174&lt;TODAY()),NEGOCIAÇÕES!E1174,"")</f>
        <v/>
      </c>
      <c r="D1174" s="6" t="str">
        <f ca="1">IF(AND(NEGOCIAÇÕES!O1174="",NEGOCIAÇÕES!N1174&lt;TODAY()),NEGOCIAÇÕES!D1174,"")</f>
        <v/>
      </c>
      <c r="E1174" s="9" t="str">
        <f ca="1">IF(AND(NEGOCIAÇÕES!O1174="",NEGOCIAÇÕES!N1174&lt;TODAY()),NEGOCIAÇÕES!N1174,"")</f>
        <v/>
      </c>
    </row>
    <row r="1175" spans="2:5" ht="31.95" hidden="1" customHeight="1" x14ac:dyDescent="0.3">
      <c r="B1175" s="6" t="str">
        <f ca="1">IF(AND(NEGOCIAÇÕES!O1175="",NEGOCIAÇÕES!N1175&lt;TODAY()),NEGOCIAÇÕES!C1175,"")</f>
        <v/>
      </c>
      <c r="C1175" s="6" t="str">
        <f ca="1">IF(AND(NEGOCIAÇÕES!O1175="",NEGOCIAÇÕES!N1175&lt;TODAY()),NEGOCIAÇÕES!E1175,"")</f>
        <v/>
      </c>
      <c r="D1175" s="6" t="str">
        <f ca="1">IF(AND(NEGOCIAÇÕES!O1175="",NEGOCIAÇÕES!N1175&lt;TODAY()),NEGOCIAÇÕES!D1175,"")</f>
        <v/>
      </c>
      <c r="E1175" s="9" t="str">
        <f ca="1">IF(AND(NEGOCIAÇÕES!O1175="",NEGOCIAÇÕES!N1175&lt;TODAY()),NEGOCIAÇÕES!N1175,"")</f>
        <v/>
      </c>
    </row>
    <row r="1176" spans="2:5" ht="31.95" hidden="1" customHeight="1" x14ac:dyDescent="0.3">
      <c r="B1176" s="6" t="str">
        <f ca="1">IF(AND(NEGOCIAÇÕES!O1176="",NEGOCIAÇÕES!N1176&lt;TODAY()),NEGOCIAÇÕES!C1176,"")</f>
        <v/>
      </c>
      <c r="C1176" s="6" t="str">
        <f ca="1">IF(AND(NEGOCIAÇÕES!O1176="",NEGOCIAÇÕES!N1176&lt;TODAY()),NEGOCIAÇÕES!E1176,"")</f>
        <v/>
      </c>
      <c r="D1176" s="6" t="str">
        <f ca="1">IF(AND(NEGOCIAÇÕES!O1176="",NEGOCIAÇÕES!N1176&lt;TODAY()),NEGOCIAÇÕES!D1176,"")</f>
        <v/>
      </c>
      <c r="E1176" s="9" t="str">
        <f ca="1">IF(AND(NEGOCIAÇÕES!O1176="",NEGOCIAÇÕES!N1176&lt;TODAY()),NEGOCIAÇÕES!N1176,"")</f>
        <v/>
      </c>
    </row>
    <row r="1177" spans="2:5" ht="31.95" hidden="1" customHeight="1" x14ac:dyDescent="0.3">
      <c r="B1177" s="6" t="str">
        <f ca="1">IF(AND(NEGOCIAÇÕES!O1177="",NEGOCIAÇÕES!N1177&lt;TODAY()),NEGOCIAÇÕES!C1177,"")</f>
        <v/>
      </c>
      <c r="C1177" s="6" t="str">
        <f ca="1">IF(AND(NEGOCIAÇÕES!O1177="",NEGOCIAÇÕES!N1177&lt;TODAY()),NEGOCIAÇÕES!E1177,"")</f>
        <v/>
      </c>
      <c r="D1177" s="6" t="str">
        <f ca="1">IF(AND(NEGOCIAÇÕES!O1177="",NEGOCIAÇÕES!N1177&lt;TODAY()),NEGOCIAÇÕES!D1177,"")</f>
        <v/>
      </c>
      <c r="E1177" s="9" t="str">
        <f ca="1">IF(AND(NEGOCIAÇÕES!O1177="",NEGOCIAÇÕES!N1177&lt;TODAY()),NEGOCIAÇÕES!N1177,"")</f>
        <v/>
      </c>
    </row>
    <row r="1178" spans="2:5" ht="31.95" hidden="1" customHeight="1" x14ac:dyDescent="0.3">
      <c r="B1178" s="6" t="str">
        <f ca="1">IF(AND(NEGOCIAÇÕES!O1178="",NEGOCIAÇÕES!N1178&lt;TODAY()),NEGOCIAÇÕES!C1178,"")</f>
        <v/>
      </c>
      <c r="C1178" s="6" t="str">
        <f ca="1">IF(AND(NEGOCIAÇÕES!O1178="",NEGOCIAÇÕES!N1178&lt;TODAY()),NEGOCIAÇÕES!E1178,"")</f>
        <v/>
      </c>
      <c r="D1178" s="6" t="str">
        <f ca="1">IF(AND(NEGOCIAÇÕES!O1178="",NEGOCIAÇÕES!N1178&lt;TODAY()),NEGOCIAÇÕES!D1178,"")</f>
        <v/>
      </c>
      <c r="E1178" s="9" t="str">
        <f ca="1">IF(AND(NEGOCIAÇÕES!O1178="",NEGOCIAÇÕES!N1178&lt;TODAY()),NEGOCIAÇÕES!N1178,"")</f>
        <v/>
      </c>
    </row>
    <row r="1179" spans="2:5" ht="31.95" hidden="1" customHeight="1" x14ac:dyDescent="0.3">
      <c r="B1179" s="6" t="str">
        <f ca="1">IF(AND(NEGOCIAÇÕES!O1179="",NEGOCIAÇÕES!N1179&lt;TODAY()),NEGOCIAÇÕES!C1179,"")</f>
        <v/>
      </c>
      <c r="C1179" s="6" t="str">
        <f ca="1">IF(AND(NEGOCIAÇÕES!O1179="",NEGOCIAÇÕES!N1179&lt;TODAY()),NEGOCIAÇÕES!E1179,"")</f>
        <v/>
      </c>
      <c r="D1179" s="6" t="str">
        <f ca="1">IF(AND(NEGOCIAÇÕES!O1179="",NEGOCIAÇÕES!N1179&lt;TODAY()),NEGOCIAÇÕES!D1179,"")</f>
        <v/>
      </c>
      <c r="E1179" s="9" t="str">
        <f ca="1">IF(AND(NEGOCIAÇÕES!O1179="",NEGOCIAÇÕES!N1179&lt;TODAY()),NEGOCIAÇÕES!N1179,"")</f>
        <v/>
      </c>
    </row>
    <row r="1180" spans="2:5" ht="31.95" hidden="1" customHeight="1" x14ac:dyDescent="0.3">
      <c r="B1180" s="6" t="str">
        <f ca="1">IF(AND(NEGOCIAÇÕES!O1180="",NEGOCIAÇÕES!N1180&lt;TODAY()),NEGOCIAÇÕES!C1180,"")</f>
        <v/>
      </c>
      <c r="C1180" s="6" t="str">
        <f ca="1">IF(AND(NEGOCIAÇÕES!O1180="",NEGOCIAÇÕES!N1180&lt;TODAY()),NEGOCIAÇÕES!E1180,"")</f>
        <v/>
      </c>
      <c r="D1180" s="6" t="str">
        <f ca="1">IF(AND(NEGOCIAÇÕES!O1180="",NEGOCIAÇÕES!N1180&lt;TODAY()),NEGOCIAÇÕES!D1180,"")</f>
        <v/>
      </c>
      <c r="E1180" s="9" t="str">
        <f ca="1">IF(AND(NEGOCIAÇÕES!O1180="",NEGOCIAÇÕES!N1180&lt;TODAY()),NEGOCIAÇÕES!N1180,"")</f>
        <v/>
      </c>
    </row>
    <row r="1181" spans="2:5" ht="31.95" hidden="1" customHeight="1" x14ac:dyDescent="0.3">
      <c r="B1181" s="6" t="str">
        <f ca="1">IF(AND(NEGOCIAÇÕES!O1181="",NEGOCIAÇÕES!N1181&lt;TODAY()),NEGOCIAÇÕES!C1181,"")</f>
        <v/>
      </c>
      <c r="C1181" s="6" t="str">
        <f ca="1">IF(AND(NEGOCIAÇÕES!O1181="",NEGOCIAÇÕES!N1181&lt;TODAY()),NEGOCIAÇÕES!E1181,"")</f>
        <v/>
      </c>
      <c r="D1181" s="6" t="str">
        <f ca="1">IF(AND(NEGOCIAÇÕES!O1181="",NEGOCIAÇÕES!N1181&lt;TODAY()),NEGOCIAÇÕES!D1181,"")</f>
        <v/>
      </c>
      <c r="E1181" s="9" t="str">
        <f ca="1">IF(AND(NEGOCIAÇÕES!O1181="",NEGOCIAÇÕES!N1181&lt;TODAY()),NEGOCIAÇÕES!N1181,"")</f>
        <v/>
      </c>
    </row>
    <row r="1182" spans="2:5" ht="31.95" hidden="1" customHeight="1" x14ac:dyDescent="0.3">
      <c r="B1182" s="6" t="str">
        <f ca="1">IF(AND(NEGOCIAÇÕES!O1182="",NEGOCIAÇÕES!N1182&lt;TODAY()),NEGOCIAÇÕES!C1182,"")</f>
        <v/>
      </c>
      <c r="C1182" s="6" t="str">
        <f ca="1">IF(AND(NEGOCIAÇÕES!O1182="",NEGOCIAÇÕES!N1182&lt;TODAY()),NEGOCIAÇÕES!E1182,"")</f>
        <v/>
      </c>
      <c r="D1182" s="6" t="str">
        <f ca="1">IF(AND(NEGOCIAÇÕES!O1182="",NEGOCIAÇÕES!N1182&lt;TODAY()),NEGOCIAÇÕES!D1182,"")</f>
        <v/>
      </c>
      <c r="E1182" s="9" t="str">
        <f ca="1">IF(AND(NEGOCIAÇÕES!O1182="",NEGOCIAÇÕES!N1182&lt;TODAY()),NEGOCIAÇÕES!N1182,"")</f>
        <v/>
      </c>
    </row>
    <row r="1183" spans="2:5" ht="31.95" hidden="1" customHeight="1" x14ac:dyDescent="0.3">
      <c r="B1183" s="6" t="str">
        <f ca="1">IF(AND(NEGOCIAÇÕES!O1183="",NEGOCIAÇÕES!N1183&lt;TODAY()),NEGOCIAÇÕES!C1183,"")</f>
        <v/>
      </c>
      <c r="C1183" s="6" t="str">
        <f ca="1">IF(AND(NEGOCIAÇÕES!O1183="",NEGOCIAÇÕES!N1183&lt;TODAY()),NEGOCIAÇÕES!E1183,"")</f>
        <v/>
      </c>
      <c r="D1183" s="6" t="str">
        <f ca="1">IF(AND(NEGOCIAÇÕES!O1183="",NEGOCIAÇÕES!N1183&lt;TODAY()),NEGOCIAÇÕES!D1183,"")</f>
        <v/>
      </c>
      <c r="E1183" s="9" t="str">
        <f ca="1">IF(AND(NEGOCIAÇÕES!O1183="",NEGOCIAÇÕES!N1183&lt;TODAY()),NEGOCIAÇÕES!N1183,"")</f>
        <v/>
      </c>
    </row>
    <row r="1184" spans="2:5" ht="31.95" hidden="1" customHeight="1" x14ac:dyDescent="0.3">
      <c r="B1184" s="6" t="str">
        <f ca="1">IF(AND(NEGOCIAÇÕES!O1184="",NEGOCIAÇÕES!N1184&lt;TODAY()),NEGOCIAÇÕES!C1184,"")</f>
        <v/>
      </c>
      <c r="C1184" s="6" t="str">
        <f ca="1">IF(AND(NEGOCIAÇÕES!O1184="",NEGOCIAÇÕES!N1184&lt;TODAY()),NEGOCIAÇÕES!E1184,"")</f>
        <v/>
      </c>
      <c r="D1184" s="6" t="str">
        <f ca="1">IF(AND(NEGOCIAÇÕES!O1184="",NEGOCIAÇÕES!N1184&lt;TODAY()),NEGOCIAÇÕES!D1184,"")</f>
        <v/>
      </c>
      <c r="E1184" s="9" t="str">
        <f ca="1">IF(AND(NEGOCIAÇÕES!O1184="",NEGOCIAÇÕES!N1184&lt;TODAY()),NEGOCIAÇÕES!N1184,"")</f>
        <v/>
      </c>
    </row>
    <row r="1185" spans="2:5" ht="31.95" hidden="1" customHeight="1" x14ac:dyDescent="0.3">
      <c r="B1185" s="6" t="str">
        <f ca="1">IF(AND(NEGOCIAÇÕES!O1185="",NEGOCIAÇÕES!N1185&lt;TODAY()),NEGOCIAÇÕES!C1185,"")</f>
        <v/>
      </c>
      <c r="C1185" s="6" t="str">
        <f ca="1">IF(AND(NEGOCIAÇÕES!O1185="",NEGOCIAÇÕES!N1185&lt;TODAY()),NEGOCIAÇÕES!E1185,"")</f>
        <v/>
      </c>
      <c r="D1185" s="6" t="str">
        <f ca="1">IF(AND(NEGOCIAÇÕES!O1185="",NEGOCIAÇÕES!N1185&lt;TODAY()),NEGOCIAÇÕES!D1185,"")</f>
        <v/>
      </c>
      <c r="E1185" s="9" t="str">
        <f ca="1">IF(AND(NEGOCIAÇÕES!O1185="",NEGOCIAÇÕES!N1185&lt;TODAY()),NEGOCIAÇÕES!N1185,"")</f>
        <v/>
      </c>
    </row>
    <row r="1186" spans="2:5" ht="31.95" hidden="1" customHeight="1" x14ac:dyDescent="0.3">
      <c r="B1186" s="6" t="str">
        <f ca="1">IF(AND(NEGOCIAÇÕES!O1186="",NEGOCIAÇÕES!N1186&lt;TODAY()),NEGOCIAÇÕES!C1186,"")</f>
        <v/>
      </c>
      <c r="C1186" s="6" t="str">
        <f ca="1">IF(AND(NEGOCIAÇÕES!O1186="",NEGOCIAÇÕES!N1186&lt;TODAY()),NEGOCIAÇÕES!E1186,"")</f>
        <v/>
      </c>
      <c r="D1186" s="6" t="str">
        <f ca="1">IF(AND(NEGOCIAÇÕES!O1186="",NEGOCIAÇÕES!N1186&lt;TODAY()),NEGOCIAÇÕES!D1186,"")</f>
        <v/>
      </c>
      <c r="E1186" s="9" t="str">
        <f ca="1">IF(AND(NEGOCIAÇÕES!O1186="",NEGOCIAÇÕES!N1186&lt;TODAY()),NEGOCIAÇÕES!N1186,"")</f>
        <v/>
      </c>
    </row>
    <row r="1187" spans="2:5" ht="31.95" hidden="1" customHeight="1" x14ac:dyDescent="0.3">
      <c r="B1187" s="6" t="str">
        <f ca="1">IF(AND(NEGOCIAÇÕES!O1187="",NEGOCIAÇÕES!N1187&lt;TODAY()),NEGOCIAÇÕES!C1187,"")</f>
        <v/>
      </c>
      <c r="C1187" s="6" t="str">
        <f ca="1">IF(AND(NEGOCIAÇÕES!O1187="",NEGOCIAÇÕES!N1187&lt;TODAY()),NEGOCIAÇÕES!E1187,"")</f>
        <v/>
      </c>
      <c r="D1187" s="6" t="str">
        <f ca="1">IF(AND(NEGOCIAÇÕES!O1187="",NEGOCIAÇÕES!N1187&lt;TODAY()),NEGOCIAÇÕES!D1187,"")</f>
        <v/>
      </c>
      <c r="E1187" s="9" t="str">
        <f ca="1">IF(AND(NEGOCIAÇÕES!O1187="",NEGOCIAÇÕES!N1187&lt;TODAY()),NEGOCIAÇÕES!N1187,"")</f>
        <v/>
      </c>
    </row>
    <row r="1188" spans="2:5" ht="31.95" hidden="1" customHeight="1" x14ac:dyDescent="0.3">
      <c r="B1188" s="6" t="str">
        <f ca="1">IF(AND(NEGOCIAÇÕES!O1188="",NEGOCIAÇÕES!N1188&lt;TODAY()),NEGOCIAÇÕES!C1188,"")</f>
        <v/>
      </c>
      <c r="C1188" s="6" t="str">
        <f ca="1">IF(AND(NEGOCIAÇÕES!O1188="",NEGOCIAÇÕES!N1188&lt;TODAY()),NEGOCIAÇÕES!E1188,"")</f>
        <v/>
      </c>
      <c r="D1188" s="6" t="str">
        <f ca="1">IF(AND(NEGOCIAÇÕES!O1188="",NEGOCIAÇÕES!N1188&lt;TODAY()),NEGOCIAÇÕES!D1188,"")</f>
        <v/>
      </c>
      <c r="E1188" s="9" t="str">
        <f ca="1">IF(AND(NEGOCIAÇÕES!O1188="",NEGOCIAÇÕES!N1188&lt;TODAY()),NEGOCIAÇÕES!N1188,"")</f>
        <v/>
      </c>
    </row>
    <row r="1189" spans="2:5" ht="31.95" hidden="1" customHeight="1" x14ac:dyDescent="0.3">
      <c r="B1189" s="6" t="str">
        <f ca="1">IF(AND(NEGOCIAÇÕES!O1189="",NEGOCIAÇÕES!N1189&lt;TODAY()),NEGOCIAÇÕES!C1189,"")</f>
        <v/>
      </c>
      <c r="C1189" s="6" t="str">
        <f ca="1">IF(AND(NEGOCIAÇÕES!O1189="",NEGOCIAÇÕES!N1189&lt;TODAY()),NEGOCIAÇÕES!E1189,"")</f>
        <v/>
      </c>
      <c r="D1189" s="6" t="str">
        <f ca="1">IF(AND(NEGOCIAÇÕES!O1189="",NEGOCIAÇÕES!N1189&lt;TODAY()),NEGOCIAÇÕES!D1189,"")</f>
        <v/>
      </c>
      <c r="E1189" s="9" t="str">
        <f ca="1">IF(AND(NEGOCIAÇÕES!O1189="",NEGOCIAÇÕES!N1189&lt;TODAY()),NEGOCIAÇÕES!N1189,"")</f>
        <v/>
      </c>
    </row>
    <row r="1190" spans="2:5" ht="31.95" hidden="1" customHeight="1" x14ac:dyDescent="0.3">
      <c r="B1190" s="6" t="str">
        <f ca="1">IF(AND(NEGOCIAÇÕES!O1190="",NEGOCIAÇÕES!N1190&lt;TODAY()),NEGOCIAÇÕES!C1190,"")</f>
        <v/>
      </c>
      <c r="C1190" s="6" t="str">
        <f ca="1">IF(AND(NEGOCIAÇÕES!O1190="",NEGOCIAÇÕES!N1190&lt;TODAY()),NEGOCIAÇÕES!E1190,"")</f>
        <v/>
      </c>
      <c r="D1190" s="6" t="str">
        <f ca="1">IF(AND(NEGOCIAÇÕES!O1190="",NEGOCIAÇÕES!N1190&lt;TODAY()),NEGOCIAÇÕES!D1190,"")</f>
        <v/>
      </c>
      <c r="E1190" s="9" t="str">
        <f ca="1">IF(AND(NEGOCIAÇÕES!O1190="",NEGOCIAÇÕES!N1190&lt;TODAY()),NEGOCIAÇÕES!N1190,"")</f>
        <v/>
      </c>
    </row>
    <row r="1191" spans="2:5" ht="31.95" hidden="1" customHeight="1" x14ac:dyDescent="0.3">
      <c r="B1191" s="6" t="str">
        <f ca="1">IF(AND(NEGOCIAÇÕES!O1191="",NEGOCIAÇÕES!N1191&lt;TODAY()),NEGOCIAÇÕES!C1191,"")</f>
        <v/>
      </c>
      <c r="C1191" s="6" t="str">
        <f ca="1">IF(AND(NEGOCIAÇÕES!O1191="",NEGOCIAÇÕES!N1191&lt;TODAY()),NEGOCIAÇÕES!E1191,"")</f>
        <v/>
      </c>
      <c r="D1191" s="6" t="str">
        <f ca="1">IF(AND(NEGOCIAÇÕES!O1191="",NEGOCIAÇÕES!N1191&lt;TODAY()),NEGOCIAÇÕES!D1191,"")</f>
        <v/>
      </c>
      <c r="E1191" s="9" t="str">
        <f ca="1">IF(AND(NEGOCIAÇÕES!O1191="",NEGOCIAÇÕES!N1191&lt;TODAY()),NEGOCIAÇÕES!N1191,"")</f>
        <v/>
      </c>
    </row>
    <row r="1192" spans="2:5" ht="31.95" hidden="1" customHeight="1" x14ac:dyDescent="0.3">
      <c r="B1192" s="6" t="str">
        <f ca="1">IF(AND(NEGOCIAÇÕES!O1192="",NEGOCIAÇÕES!N1192&lt;TODAY()),NEGOCIAÇÕES!C1192,"")</f>
        <v/>
      </c>
      <c r="C1192" s="6" t="str">
        <f ca="1">IF(AND(NEGOCIAÇÕES!O1192="",NEGOCIAÇÕES!N1192&lt;TODAY()),NEGOCIAÇÕES!E1192,"")</f>
        <v/>
      </c>
      <c r="D1192" s="6" t="str">
        <f ca="1">IF(AND(NEGOCIAÇÕES!O1192="",NEGOCIAÇÕES!N1192&lt;TODAY()),NEGOCIAÇÕES!D1192,"")</f>
        <v/>
      </c>
      <c r="E1192" s="9" t="str">
        <f ca="1">IF(AND(NEGOCIAÇÕES!O1192="",NEGOCIAÇÕES!N1192&lt;TODAY()),NEGOCIAÇÕES!N1192,"")</f>
        <v/>
      </c>
    </row>
    <row r="1193" spans="2:5" ht="31.95" hidden="1" customHeight="1" x14ac:dyDescent="0.3">
      <c r="B1193" s="6" t="str">
        <f ca="1">IF(AND(NEGOCIAÇÕES!O1193="",NEGOCIAÇÕES!N1193&lt;TODAY()),NEGOCIAÇÕES!C1193,"")</f>
        <v/>
      </c>
      <c r="C1193" s="6" t="str">
        <f ca="1">IF(AND(NEGOCIAÇÕES!O1193="",NEGOCIAÇÕES!N1193&lt;TODAY()),NEGOCIAÇÕES!E1193,"")</f>
        <v/>
      </c>
      <c r="D1193" s="6" t="str">
        <f ca="1">IF(AND(NEGOCIAÇÕES!O1193="",NEGOCIAÇÕES!N1193&lt;TODAY()),NEGOCIAÇÕES!D1193,"")</f>
        <v/>
      </c>
      <c r="E1193" s="9" t="str">
        <f ca="1">IF(AND(NEGOCIAÇÕES!O1193="",NEGOCIAÇÕES!N1193&lt;TODAY()),NEGOCIAÇÕES!N1193,"")</f>
        <v/>
      </c>
    </row>
    <row r="1194" spans="2:5" ht="31.95" hidden="1" customHeight="1" x14ac:dyDescent="0.3">
      <c r="B1194" s="6" t="str">
        <f ca="1">IF(AND(NEGOCIAÇÕES!O1194="",NEGOCIAÇÕES!N1194&lt;TODAY()),NEGOCIAÇÕES!C1194,"")</f>
        <v/>
      </c>
      <c r="C1194" s="6" t="str">
        <f ca="1">IF(AND(NEGOCIAÇÕES!O1194="",NEGOCIAÇÕES!N1194&lt;TODAY()),NEGOCIAÇÕES!E1194,"")</f>
        <v/>
      </c>
      <c r="D1194" s="6" t="str">
        <f ca="1">IF(AND(NEGOCIAÇÕES!O1194="",NEGOCIAÇÕES!N1194&lt;TODAY()),NEGOCIAÇÕES!D1194,"")</f>
        <v/>
      </c>
      <c r="E1194" s="9" t="str">
        <f ca="1">IF(AND(NEGOCIAÇÕES!O1194="",NEGOCIAÇÕES!N1194&lt;TODAY()),NEGOCIAÇÕES!N1194,"")</f>
        <v/>
      </c>
    </row>
    <row r="1195" spans="2:5" ht="31.95" hidden="1" customHeight="1" x14ac:dyDescent="0.3">
      <c r="B1195" s="6" t="str">
        <f ca="1">IF(AND(NEGOCIAÇÕES!O1195="",NEGOCIAÇÕES!N1195&lt;TODAY()),NEGOCIAÇÕES!C1195,"")</f>
        <v/>
      </c>
      <c r="C1195" s="6" t="str">
        <f ca="1">IF(AND(NEGOCIAÇÕES!O1195="",NEGOCIAÇÕES!N1195&lt;TODAY()),NEGOCIAÇÕES!E1195,"")</f>
        <v/>
      </c>
      <c r="D1195" s="6" t="str">
        <f ca="1">IF(AND(NEGOCIAÇÕES!O1195="",NEGOCIAÇÕES!N1195&lt;TODAY()),NEGOCIAÇÕES!D1195,"")</f>
        <v/>
      </c>
      <c r="E1195" s="9" t="str">
        <f ca="1">IF(AND(NEGOCIAÇÕES!O1195="",NEGOCIAÇÕES!N1195&lt;TODAY()),NEGOCIAÇÕES!N1195,"")</f>
        <v/>
      </c>
    </row>
    <row r="1196" spans="2:5" ht="31.95" hidden="1" customHeight="1" x14ac:dyDescent="0.3">
      <c r="B1196" s="6" t="str">
        <f ca="1">IF(AND(NEGOCIAÇÕES!O1196="",NEGOCIAÇÕES!N1196&lt;TODAY()),NEGOCIAÇÕES!C1196,"")</f>
        <v/>
      </c>
      <c r="C1196" s="6" t="str">
        <f ca="1">IF(AND(NEGOCIAÇÕES!O1196="",NEGOCIAÇÕES!N1196&lt;TODAY()),NEGOCIAÇÕES!E1196,"")</f>
        <v/>
      </c>
      <c r="D1196" s="6" t="str">
        <f ca="1">IF(AND(NEGOCIAÇÕES!O1196="",NEGOCIAÇÕES!N1196&lt;TODAY()),NEGOCIAÇÕES!D1196,"")</f>
        <v/>
      </c>
      <c r="E1196" s="9" t="str">
        <f ca="1">IF(AND(NEGOCIAÇÕES!O1196="",NEGOCIAÇÕES!N1196&lt;TODAY()),NEGOCIAÇÕES!N1196,"")</f>
        <v/>
      </c>
    </row>
    <row r="1197" spans="2:5" ht="31.95" hidden="1" customHeight="1" x14ac:dyDescent="0.3">
      <c r="B1197" s="6" t="str">
        <f ca="1">IF(AND(NEGOCIAÇÕES!O1197="",NEGOCIAÇÕES!N1197&lt;TODAY()),NEGOCIAÇÕES!C1197,"")</f>
        <v/>
      </c>
      <c r="C1197" s="6" t="str">
        <f ca="1">IF(AND(NEGOCIAÇÕES!O1197="",NEGOCIAÇÕES!N1197&lt;TODAY()),NEGOCIAÇÕES!E1197,"")</f>
        <v/>
      </c>
      <c r="D1197" s="6" t="str">
        <f ca="1">IF(AND(NEGOCIAÇÕES!O1197="",NEGOCIAÇÕES!N1197&lt;TODAY()),NEGOCIAÇÕES!D1197,"")</f>
        <v/>
      </c>
      <c r="E1197" s="9" t="str">
        <f ca="1">IF(AND(NEGOCIAÇÕES!O1197="",NEGOCIAÇÕES!N1197&lt;TODAY()),NEGOCIAÇÕES!N1197,"")</f>
        <v/>
      </c>
    </row>
    <row r="1198" spans="2:5" ht="31.95" hidden="1" customHeight="1" x14ac:dyDescent="0.3">
      <c r="B1198" s="6" t="str">
        <f ca="1">IF(AND(NEGOCIAÇÕES!O1198="",NEGOCIAÇÕES!N1198&lt;TODAY()),NEGOCIAÇÕES!C1198,"")</f>
        <v/>
      </c>
      <c r="C1198" s="6" t="str">
        <f ca="1">IF(AND(NEGOCIAÇÕES!O1198="",NEGOCIAÇÕES!N1198&lt;TODAY()),NEGOCIAÇÕES!E1198,"")</f>
        <v/>
      </c>
      <c r="D1198" s="6" t="str">
        <f ca="1">IF(AND(NEGOCIAÇÕES!O1198="",NEGOCIAÇÕES!N1198&lt;TODAY()),NEGOCIAÇÕES!D1198,"")</f>
        <v/>
      </c>
      <c r="E1198" s="9" t="str">
        <f ca="1">IF(AND(NEGOCIAÇÕES!O1198="",NEGOCIAÇÕES!N1198&lt;TODAY()),NEGOCIAÇÕES!N1198,"")</f>
        <v/>
      </c>
    </row>
    <row r="1199" spans="2:5" ht="31.95" hidden="1" customHeight="1" x14ac:dyDescent="0.3">
      <c r="B1199" s="6" t="str">
        <f ca="1">IF(AND(NEGOCIAÇÕES!O1199="",NEGOCIAÇÕES!N1199&lt;TODAY()),NEGOCIAÇÕES!C1199,"")</f>
        <v/>
      </c>
      <c r="C1199" s="6" t="str">
        <f ca="1">IF(AND(NEGOCIAÇÕES!O1199="",NEGOCIAÇÕES!N1199&lt;TODAY()),NEGOCIAÇÕES!E1199,"")</f>
        <v/>
      </c>
      <c r="D1199" s="6" t="str">
        <f ca="1">IF(AND(NEGOCIAÇÕES!O1199="",NEGOCIAÇÕES!N1199&lt;TODAY()),NEGOCIAÇÕES!D1199,"")</f>
        <v/>
      </c>
      <c r="E1199" s="9" t="str">
        <f ca="1">IF(AND(NEGOCIAÇÕES!O1199="",NEGOCIAÇÕES!N1199&lt;TODAY()),NEGOCIAÇÕES!N1199,"")</f>
        <v/>
      </c>
    </row>
    <row r="1200" spans="2:5" ht="31.95" hidden="1" customHeight="1" x14ac:dyDescent="0.3">
      <c r="B1200" s="6" t="str">
        <f ca="1">IF(AND(NEGOCIAÇÕES!O1200="",NEGOCIAÇÕES!N1200&lt;TODAY()),NEGOCIAÇÕES!C1200,"")</f>
        <v/>
      </c>
      <c r="C1200" s="6" t="str">
        <f ca="1">IF(AND(NEGOCIAÇÕES!O1200="",NEGOCIAÇÕES!N1200&lt;TODAY()),NEGOCIAÇÕES!E1200,"")</f>
        <v/>
      </c>
      <c r="D1200" s="6" t="str">
        <f ca="1">IF(AND(NEGOCIAÇÕES!O1200="",NEGOCIAÇÕES!N1200&lt;TODAY()),NEGOCIAÇÕES!D1200,"")</f>
        <v/>
      </c>
      <c r="E1200" s="9" t="str">
        <f ca="1">IF(AND(NEGOCIAÇÕES!O1200="",NEGOCIAÇÕES!N1200&lt;TODAY()),NEGOCIAÇÕES!N1200,"")</f>
        <v/>
      </c>
    </row>
    <row r="1201" spans="2:5" ht="31.95" hidden="1" customHeight="1" x14ac:dyDescent="0.3">
      <c r="B1201" s="6" t="str">
        <f ca="1">IF(AND(NEGOCIAÇÕES!O1201="",NEGOCIAÇÕES!N1201&lt;TODAY()),NEGOCIAÇÕES!C1201,"")</f>
        <v/>
      </c>
      <c r="C1201" s="6" t="str">
        <f ca="1">IF(AND(NEGOCIAÇÕES!O1201="",NEGOCIAÇÕES!N1201&lt;TODAY()),NEGOCIAÇÕES!E1201,"")</f>
        <v/>
      </c>
      <c r="D1201" s="6" t="str">
        <f ca="1">IF(AND(NEGOCIAÇÕES!O1201="",NEGOCIAÇÕES!N1201&lt;TODAY()),NEGOCIAÇÕES!D1201,"")</f>
        <v/>
      </c>
      <c r="E1201" s="9" t="str">
        <f ca="1">IF(AND(NEGOCIAÇÕES!O1201="",NEGOCIAÇÕES!N1201&lt;TODAY()),NEGOCIAÇÕES!N1201,"")</f>
        <v/>
      </c>
    </row>
    <row r="1202" spans="2:5" ht="31.95" hidden="1" customHeight="1" x14ac:dyDescent="0.3">
      <c r="B1202" s="6" t="str">
        <f ca="1">IF(AND(NEGOCIAÇÕES!O1202="",NEGOCIAÇÕES!N1202&lt;TODAY()),NEGOCIAÇÕES!C1202,"")</f>
        <v/>
      </c>
      <c r="C1202" s="6" t="str">
        <f ca="1">IF(AND(NEGOCIAÇÕES!O1202="",NEGOCIAÇÕES!N1202&lt;TODAY()),NEGOCIAÇÕES!E1202,"")</f>
        <v/>
      </c>
      <c r="D1202" s="6" t="str">
        <f ca="1">IF(AND(NEGOCIAÇÕES!O1202="",NEGOCIAÇÕES!N1202&lt;TODAY()),NEGOCIAÇÕES!D1202,"")</f>
        <v/>
      </c>
      <c r="E1202" s="9" t="str">
        <f ca="1">IF(AND(NEGOCIAÇÕES!O1202="",NEGOCIAÇÕES!N1202&lt;TODAY()),NEGOCIAÇÕES!N1202,"")</f>
        <v/>
      </c>
    </row>
    <row r="1203" spans="2:5" ht="31.95" hidden="1" customHeight="1" x14ac:dyDescent="0.3">
      <c r="B1203" s="6" t="str">
        <f ca="1">IF(AND(NEGOCIAÇÕES!O1203="",NEGOCIAÇÕES!N1203&lt;TODAY()),NEGOCIAÇÕES!C1203,"")</f>
        <v/>
      </c>
      <c r="C1203" s="6" t="str">
        <f ca="1">IF(AND(NEGOCIAÇÕES!O1203="",NEGOCIAÇÕES!N1203&lt;TODAY()),NEGOCIAÇÕES!E1203,"")</f>
        <v/>
      </c>
      <c r="D1203" s="6" t="str">
        <f ca="1">IF(AND(NEGOCIAÇÕES!O1203="",NEGOCIAÇÕES!N1203&lt;TODAY()),NEGOCIAÇÕES!D1203,"")</f>
        <v/>
      </c>
      <c r="E1203" s="9" t="str">
        <f ca="1">IF(AND(NEGOCIAÇÕES!O1203="",NEGOCIAÇÕES!N1203&lt;TODAY()),NEGOCIAÇÕES!N1203,"")</f>
        <v/>
      </c>
    </row>
    <row r="1204" spans="2:5" ht="31.95" hidden="1" customHeight="1" x14ac:dyDescent="0.3">
      <c r="B1204" s="6" t="str">
        <f ca="1">IF(AND(NEGOCIAÇÕES!O1204="",NEGOCIAÇÕES!N1204&lt;TODAY()),NEGOCIAÇÕES!C1204,"")</f>
        <v/>
      </c>
      <c r="C1204" s="6" t="str">
        <f ca="1">IF(AND(NEGOCIAÇÕES!O1204="",NEGOCIAÇÕES!N1204&lt;TODAY()),NEGOCIAÇÕES!E1204,"")</f>
        <v/>
      </c>
      <c r="D1204" s="6" t="str">
        <f ca="1">IF(AND(NEGOCIAÇÕES!O1204="",NEGOCIAÇÕES!N1204&lt;TODAY()),NEGOCIAÇÕES!D1204,"")</f>
        <v/>
      </c>
      <c r="E1204" s="9" t="str">
        <f ca="1">IF(AND(NEGOCIAÇÕES!O1204="",NEGOCIAÇÕES!N1204&lt;TODAY()),NEGOCIAÇÕES!N1204,"")</f>
        <v/>
      </c>
    </row>
    <row r="1205" spans="2:5" ht="31.95" hidden="1" customHeight="1" x14ac:dyDescent="0.3">
      <c r="B1205" s="6" t="str">
        <f ca="1">IF(AND(NEGOCIAÇÕES!O1205="",NEGOCIAÇÕES!N1205&lt;TODAY()),NEGOCIAÇÕES!C1205,"")</f>
        <v/>
      </c>
      <c r="C1205" s="6" t="str">
        <f ca="1">IF(AND(NEGOCIAÇÕES!O1205="",NEGOCIAÇÕES!N1205&lt;TODAY()),NEGOCIAÇÕES!E1205,"")</f>
        <v/>
      </c>
      <c r="D1205" s="6" t="str">
        <f ca="1">IF(AND(NEGOCIAÇÕES!O1205="",NEGOCIAÇÕES!N1205&lt;TODAY()),NEGOCIAÇÕES!D1205,"")</f>
        <v/>
      </c>
      <c r="E1205" s="9" t="str">
        <f ca="1">IF(AND(NEGOCIAÇÕES!O1205="",NEGOCIAÇÕES!N1205&lt;TODAY()),NEGOCIAÇÕES!N1205,"")</f>
        <v/>
      </c>
    </row>
    <row r="1206" spans="2:5" ht="31.95" hidden="1" customHeight="1" x14ac:dyDescent="0.3">
      <c r="B1206" s="6" t="str">
        <f ca="1">IF(AND(NEGOCIAÇÕES!O1206="",NEGOCIAÇÕES!N1206&lt;TODAY()),NEGOCIAÇÕES!C1206,"")</f>
        <v/>
      </c>
      <c r="C1206" s="6" t="str">
        <f ca="1">IF(AND(NEGOCIAÇÕES!O1206="",NEGOCIAÇÕES!N1206&lt;TODAY()),NEGOCIAÇÕES!E1206,"")</f>
        <v/>
      </c>
      <c r="D1206" s="6" t="str">
        <f ca="1">IF(AND(NEGOCIAÇÕES!O1206="",NEGOCIAÇÕES!N1206&lt;TODAY()),NEGOCIAÇÕES!D1206,"")</f>
        <v/>
      </c>
      <c r="E1206" s="9" t="str">
        <f ca="1">IF(AND(NEGOCIAÇÕES!O1206="",NEGOCIAÇÕES!N1206&lt;TODAY()),NEGOCIAÇÕES!N1206,"")</f>
        <v/>
      </c>
    </row>
    <row r="1207" spans="2:5" ht="31.95" hidden="1" customHeight="1" x14ac:dyDescent="0.3">
      <c r="B1207" s="6" t="str">
        <f ca="1">IF(AND(NEGOCIAÇÕES!O1207="",NEGOCIAÇÕES!N1207&lt;TODAY()),NEGOCIAÇÕES!C1207,"")</f>
        <v/>
      </c>
      <c r="C1207" s="6" t="str">
        <f ca="1">IF(AND(NEGOCIAÇÕES!O1207="",NEGOCIAÇÕES!N1207&lt;TODAY()),NEGOCIAÇÕES!E1207,"")</f>
        <v/>
      </c>
      <c r="D1207" s="6" t="str">
        <f ca="1">IF(AND(NEGOCIAÇÕES!O1207="",NEGOCIAÇÕES!N1207&lt;TODAY()),NEGOCIAÇÕES!D1207,"")</f>
        <v/>
      </c>
      <c r="E1207" s="9" t="str">
        <f ca="1">IF(AND(NEGOCIAÇÕES!O1207="",NEGOCIAÇÕES!N1207&lt;TODAY()),NEGOCIAÇÕES!N1207,"")</f>
        <v/>
      </c>
    </row>
    <row r="1208" spans="2:5" ht="31.95" hidden="1" customHeight="1" x14ac:dyDescent="0.3">
      <c r="B1208" s="6" t="str">
        <f ca="1">IF(AND(NEGOCIAÇÕES!O1208="",NEGOCIAÇÕES!N1208&lt;TODAY()),NEGOCIAÇÕES!C1208,"")</f>
        <v/>
      </c>
      <c r="C1208" s="6" t="str">
        <f ca="1">IF(AND(NEGOCIAÇÕES!O1208="",NEGOCIAÇÕES!N1208&lt;TODAY()),NEGOCIAÇÕES!E1208,"")</f>
        <v/>
      </c>
      <c r="D1208" s="6" t="str">
        <f ca="1">IF(AND(NEGOCIAÇÕES!O1208="",NEGOCIAÇÕES!N1208&lt;TODAY()),NEGOCIAÇÕES!D1208,"")</f>
        <v/>
      </c>
      <c r="E1208" s="9" t="str">
        <f ca="1">IF(AND(NEGOCIAÇÕES!O1208="",NEGOCIAÇÕES!N1208&lt;TODAY()),NEGOCIAÇÕES!N1208,"")</f>
        <v/>
      </c>
    </row>
    <row r="1209" spans="2:5" ht="31.95" hidden="1" customHeight="1" x14ac:dyDescent="0.3">
      <c r="B1209" s="6" t="str">
        <f ca="1">IF(AND(NEGOCIAÇÕES!O1209="",NEGOCIAÇÕES!N1209&lt;TODAY()),NEGOCIAÇÕES!C1209,"")</f>
        <v/>
      </c>
      <c r="C1209" s="6" t="str">
        <f ca="1">IF(AND(NEGOCIAÇÕES!O1209="",NEGOCIAÇÕES!N1209&lt;TODAY()),NEGOCIAÇÕES!E1209,"")</f>
        <v/>
      </c>
      <c r="D1209" s="6" t="str">
        <f ca="1">IF(AND(NEGOCIAÇÕES!O1209="",NEGOCIAÇÕES!N1209&lt;TODAY()),NEGOCIAÇÕES!D1209,"")</f>
        <v/>
      </c>
      <c r="E1209" s="9" t="str">
        <f ca="1">IF(AND(NEGOCIAÇÕES!O1209="",NEGOCIAÇÕES!N1209&lt;TODAY()),NEGOCIAÇÕES!N1209,"")</f>
        <v/>
      </c>
    </row>
    <row r="1210" spans="2:5" ht="31.95" hidden="1" customHeight="1" x14ac:dyDescent="0.3">
      <c r="B1210" s="6" t="str">
        <f ca="1">IF(AND(NEGOCIAÇÕES!O1210="",NEGOCIAÇÕES!N1210&lt;TODAY()),NEGOCIAÇÕES!C1210,"")</f>
        <v/>
      </c>
      <c r="C1210" s="6" t="str">
        <f ca="1">IF(AND(NEGOCIAÇÕES!O1210="",NEGOCIAÇÕES!N1210&lt;TODAY()),NEGOCIAÇÕES!E1210,"")</f>
        <v/>
      </c>
      <c r="D1210" s="6" t="str">
        <f ca="1">IF(AND(NEGOCIAÇÕES!O1210="",NEGOCIAÇÕES!N1210&lt;TODAY()),NEGOCIAÇÕES!D1210,"")</f>
        <v/>
      </c>
      <c r="E1210" s="9" t="str">
        <f ca="1">IF(AND(NEGOCIAÇÕES!O1210="",NEGOCIAÇÕES!N1210&lt;TODAY()),NEGOCIAÇÕES!N1210,"")</f>
        <v/>
      </c>
    </row>
    <row r="1211" spans="2:5" ht="31.95" hidden="1" customHeight="1" x14ac:dyDescent="0.3">
      <c r="B1211" s="6" t="str">
        <f ca="1">IF(AND(NEGOCIAÇÕES!O1211="",NEGOCIAÇÕES!N1211&lt;TODAY()),NEGOCIAÇÕES!C1211,"")</f>
        <v/>
      </c>
      <c r="C1211" s="6" t="str">
        <f ca="1">IF(AND(NEGOCIAÇÕES!O1211="",NEGOCIAÇÕES!N1211&lt;TODAY()),NEGOCIAÇÕES!E1211,"")</f>
        <v/>
      </c>
      <c r="D1211" s="6" t="str">
        <f ca="1">IF(AND(NEGOCIAÇÕES!O1211="",NEGOCIAÇÕES!N1211&lt;TODAY()),NEGOCIAÇÕES!D1211,"")</f>
        <v/>
      </c>
      <c r="E1211" s="9" t="str">
        <f ca="1">IF(AND(NEGOCIAÇÕES!O1211="",NEGOCIAÇÕES!N1211&lt;TODAY()),NEGOCIAÇÕES!N1211,"")</f>
        <v/>
      </c>
    </row>
    <row r="1212" spans="2:5" ht="31.95" hidden="1" customHeight="1" x14ac:dyDescent="0.3">
      <c r="B1212" s="6" t="str">
        <f ca="1">IF(AND(NEGOCIAÇÕES!O1212="",NEGOCIAÇÕES!N1212&lt;TODAY()),NEGOCIAÇÕES!C1212,"")</f>
        <v/>
      </c>
      <c r="C1212" s="6" t="str">
        <f ca="1">IF(AND(NEGOCIAÇÕES!O1212="",NEGOCIAÇÕES!N1212&lt;TODAY()),NEGOCIAÇÕES!E1212,"")</f>
        <v/>
      </c>
      <c r="D1212" s="6" t="str">
        <f ca="1">IF(AND(NEGOCIAÇÕES!O1212="",NEGOCIAÇÕES!N1212&lt;TODAY()),NEGOCIAÇÕES!D1212,"")</f>
        <v/>
      </c>
      <c r="E1212" s="9" t="str">
        <f ca="1">IF(AND(NEGOCIAÇÕES!O1212="",NEGOCIAÇÕES!N1212&lt;TODAY()),NEGOCIAÇÕES!N1212,"")</f>
        <v/>
      </c>
    </row>
    <row r="1213" spans="2:5" ht="31.95" hidden="1" customHeight="1" x14ac:dyDescent="0.3">
      <c r="B1213" s="6" t="str">
        <f ca="1">IF(AND(NEGOCIAÇÕES!O1213="",NEGOCIAÇÕES!N1213&lt;TODAY()),NEGOCIAÇÕES!C1213,"")</f>
        <v/>
      </c>
      <c r="C1213" s="6" t="str">
        <f ca="1">IF(AND(NEGOCIAÇÕES!O1213="",NEGOCIAÇÕES!N1213&lt;TODAY()),NEGOCIAÇÕES!E1213,"")</f>
        <v/>
      </c>
      <c r="D1213" s="6" t="str">
        <f ca="1">IF(AND(NEGOCIAÇÕES!O1213="",NEGOCIAÇÕES!N1213&lt;TODAY()),NEGOCIAÇÕES!D1213,"")</f>
        <v/>
      </c>
      <c r="E1213" s="9" t="str">
        <f ca="1">IF(AND(NEGOCIAÇÕES!O1213="",NEGOCIAÇÕES!N1213&lt;TODAY()),NEGOCIAÇÕES!N1213,"")</f>
        <v/>
      </c>
    </row>
    <row r="1214" spans="2:5" ht="31.95" hidden="1" customHeight="1" x14ac:dyDescent="0.3">
      <c r="B1214" s="6" t="str">
        <f ca="1">IF(AND(NEGOCIAÇÕES!O1214="",NEGOCIAÇÕES!N1214&lt;TODAY()),NEGOCIAÇÕES!C1214,"")</f>
        <v/>
      </c>
      <c r="C1214" s="6" t="str">
        <f ca="1">IF(AND(NEGOCIAÇÕES!O1214="",NEGOCIAÇÕES!N1214&lt;TODAY()),NEGOCIAÇÕES!E1214,"")</f>
        <v/>
      </c>
      <c r="D1214" s="6" t="str">
        <f ca="1">IF(AND(NEGOCIAÇÕES!O1214="",NEGOCIAÇÕES!N1214&lt;TODAY()),NEGOCIAÇÕES!D1214,"")</f>
        <v/>
      </c>
      <c r="E1214" s="9" t="str">
        <f ca="1">IF(AND(NEGOCIAÇÕES!O1214="",NEGOCIAÇÕES!N1214&lt;TODAY()),NEGOCIAÇÕES!N1214,"")</f>
        <v/>
      </c>
    </row>
    <row r="1215" spans="2:5" ht="31.95" hidden="1" customHeight="1" x14ac:dyDescent="0.3">
      <c r="B1215" s="6" t="str">
        <f ca="1">IF(AND(NEGOCIAÇÕES!O1215="",NEGOCIAÇÕES!N1215&lt;TODAY()),NEGOCIAÇÕES!C1215,"")</f>
        <v/>
      </c>
      <c r="C1215" s="6" t="str">
        <f ca="1">IF(AND(NEGOCIAÇÕES!O1215="",NEGOCIAÇÕES!N1215&lt;TODAY()),NEGOCIAÇÕES!E1215,"")</f>
        <v/>
      </c>
      <c r="D1215" s="6" t="str">
        <f ca="1">IF(AND(NEGOCIAÇÕES!O1215="",NEGOCIAÇÕES!N1215&lt;TODAY()),NEGOCIAÇÕES!D1215,"")</f>
        <v/>
      </c>
      <c r="E1215" s="9" t="str">
        <f ca="1">IF(AND(NEGOCIAÇÕES!O1215="",NEGOCIAÇÕES!N1215&lt;TODAY()),NEGOCIAÇÕES!N1215,"")</f>
        <v/>
      </c>
    </row>
    <row r="1216" spans="2:5" ht="31.95" hidden="1" customHeight="1" x14ac:dyDescent="0.3">
      <c r="B1216" s="6" t="str">
        <f ca="1">IF(AND(NEGOCIAÇÕES!O1216="",NEGOCIAÇÕES!N1216&lt;TODAY()),NEGOCIAÇÕES!C1216,"")</f>
        <v/>
      </c>
      <c r="C1216" s="6" t="str">
        <f ca="1">IF(AND(NEGOCIAÇÕES!O1216="",NEGOCIAÇÕES!N1216&lt;TODAY()),NEGOCIAÇÕES!E1216,"")</f>
        <v/>
      </c>
      <c r="D1216" s="6" t="str">
        <f ca="1">IF(AND(NEGOCIAÇÕES!O1216="",NEGOCIAÇÕES!N1216&lt;TODAY()),NEGOCIAÇÕES!D1216,"")</f>
        <v/>
      </c>
      <c r="E1216" s="9" t="str">
        <f ca="1">IF(AND(NEGOCIAÇÕES!O1216="",NEGOCIAÇÕES!N1216&lt;TODAY()),NEGOCIAÇÕES!N1216,"")</f>
        <v/>
      </c>
    </row>
    <row r="1217" spans="2:5" ht="31.95" hidden="1" customHeight="1" x14ac:dyDescent="0.3">
      <c r="B1217" s="6" t="str">
        <f ca="1">IF(AND(NEGOCIAÇÕES!O1217="",NEGOCIAÇÕES!N1217&lt;TODAY()),NEGOCIAÇÕES!C1217,"")</f>
        <v/>
      </c>
      <c r="C1217" s="6" t="str">
        <f ca="1">IF(AND(NEGOCIAÇÕES!O1217="",NEGOCIAÇÕES!N1217&lt;TODAY()),NEGOCIAÇÕES!E1217,"")</f>
        <v/>
      </c>
      <c r="D1217" s="6" t="str">
        <f ca="1">IF(AND(NEGOCIAÇÕES!O1217="",NEGOCIAÇÕES!N1217&lt;TODAY()),NEGOCIAÇÕES!D1217,"")</f>
        <v/>
      </c>
      <c r="E1217" s="9" t="str">
        <f ca="1">IF(AND(NEGOCIAÇÕES!O1217="",NEGOCIAÇÕES!N1217&lt;TODAY()),NEGOCIAÇÕES!N1217,"")</f>
        <v/>
      </c>
    </row>
    <row r="1218" spans="2:5" ht="31.95" hidden="1" customHeight="1" x14ac:dyDescent="0.3">
      <c r="B1218" s="6" t="str">
        <f ca="1">IF(AND(NEGOCIAÇÕES!O1218="",NEGOCIAÇÕES!N1218&lt;TODAY()),NEGOCIAÇÕES!C1218,"")</f>
        <v/>
      </c>
      <c r="C1218" s="6" t="str">
        <f ca="1">IF(AND(NEGOCIAÇÕES!O1218="",NEGOCIAÇÕES!N1218&lt;TODAY()),NEGOCIAÇÕES!E1218,"")</f>
        <v/>
      </c>
      <c r="D1218" s="6" t="str">
        <f ca="1">IF(AND(NEGOCIAÇÕES!O1218="",NEGOCIAÇÕES!N1218&lt;TODAY()),NEGOCIAÇÕES!D1218,"")</f>
        <v/>
      </c>
      <c r="E1218" s="9" t="str">
        <f ca="1">IF(AND(NEGOCIAÇÕES!O1218="",NEGOCIAÇÕES!N1218&lt;TODAY()),NEGOCIAÇÕES!N1218,"")</f>
        <v/>
      </c>
    </row>
    <row r="1219" spans="2:5" ht="31.95" hidden="1" customHeight="1" x14ac:dyDescent="0.3">
      <c r="B1219" s="6" t="str">
        <f ca="1">IF(AND(NEGOCIAÇÕES!O1219="",NEGOCIAÇÕES!N1219&lt;TODAY()),NEGOCIAÇÕES!C1219,"")</f>
        <v/>
      </c>
      <c r="C1219" s="6" t="str">
        <f ca="1">IF(AND(NEGOCIAÇÕES!O1219="",NEGOCIAÇÕES!N1219&lt;TODAY()),NEGOCIAÇÕES!E1219,"")</f>
        <v/>
      </c>
      <c r="D1219" s="6" t="str">
        <f ca="1">IF(AND(NEGOCIAÇÕES!O1219="",NEGOCIAÇÕES!N1219&lt;TODAY()),NEGOCIAÇÕES!D1219,"")</f>
        <v/>
      </c>
      <c r="E1219" s="9" t="str">
        <f ca="1">IF(AND(NEGOCIAÇÕES!O1219="",NEGOCIAÇÕES!N1219&lt;TODAY()),NEGOCIAÇÕES!N1219,"")</f>
        <v/>
      </c>
    </row>
    <row r="1220" spans="2:5" ht="31.95" hidden="1" customHeight="1" x14ac:dyDescent="0.3">
      <c r="B1220" s="6" t="str">
        <f ca="1">IF(AND(NEGOCIAÇÕES!O1220="",NEGOCIAÇÕES!N1220&lt;TODAY()),NEGOCIAÇÕES!C1220,"")</f>
        <v/>
      </c>
      <c r="C1220" s="6" t="str">
        <f ca="1">IF(AND(NEGOCIAÇÕES!O1220="",NEGOCIAÇÕES!N1220&lt;TODAY()),NEGOCIAÇÕES!E1220,"")</f>
        <v/>
      </c>
      <c r="D1220" s="6" t="str">
        <f ca="1">IF(AND(NEGOCIAÇÕES!O1220="",NEGOCIAÇÕES!N1220&lt;TODAY()),NEGOCIAÇÕES!D1220,"")</f>
        <v/>
      </c>
      <c r="E1220" s="9" t="str">
        <f ca="1">IF(AND(NEGOCIAÇÕES!O1220="",NEGOCIAÇÕES!N1220&lt;TODAY()),NEGOCIAÇÕES!N1220,"")</f>
        <v/>
      </c>
    </row>
    <row r="1221" spans="2:5" ht="31.95" hidden="1" customHeight="1" x14ac:dyDescent="0.3">
      <c r="B1221" s="6" t="str">
        <f ca="1">IF(AND(NEGOCIAÇÕES!O1221="",NEGOCIAÇÕES!N1221&lt;TODAY()),NEGOCIAÇÕES!C1221,"")</f>
        <v/>
      </c>
      <c r="C1221" s="6" t="str">
        <f ca="1">IF(AND(NEGOCIAÇÕES!O1221="",NEGOCIAÇÕES!N1221&lt;TODAY()),NEGOCIAÇÕES!E1221,"")</f>
        <v/>
      </c>
      <c r="D1221" s="6" t="str">
        <f ca="1">IF(AND(NEGOCIAÇÕES!O1221="",NEGOCIAÇÕES!N1221&lt;TODAY()),NEGOCIAÇÕES!D1221,"")</f>
        <v/>
      </c>
      <c r="E1221" s="9" t="str">
        <f ca="1">IF(AND(NEGOCIAÇÕES!O1221="",NEGOCIAÇÕES!N1221&lt;TODAY()),NEGOCIAÇÕES!N1221,"")</f>
        <v/>
      </c>
    </row>
    <row r="1222" spans="2:5" ht="31.95" hidden="1" customHeight="1" x14ac:dyDescent="0.3">
      <c r="B1222" s="6" t="str">
        <f ca="1">IF(AND(NEGOCIAÇÕES!O1222="",NEGOCIAÇÕES!N1222&lt;TODAY()),NEGOCIAÇÕES!C1222,"")</f>
        <v/>
      </c>
      <c r="C1222" s="6" t="str">
        <f ca="1">IF(AND(NEGOCIAÇÕES!O1222="",NEGOCIAÇÕES!N1222&lt;TODAY()),NEGOCIAÇÕES!E1222,"")</f>
        <v/>
      </c>
      <c r="D1222" s="6" t="str">
        <f ca="1">IF(AND(NEGOCIAÇÕES!O1222="",NEGOCIAÇÕES!N1222&lt;TODAY()),NEGOCIAÇÕES!D1222,"")</f>
        <v/>
      </c>
      <c r="E1222" s="9" t="str">
        <f ca="1">IF(AND(NEGOCIAÇÕES!O1222="",NEGOCIAÇÕES!N1222&lt;TODAY()),NEGOCIAÇÕES!N1222,"")</f>
        <v/>
      </c>
    </row>
    <row r="1223" spans="2:5" ht="31.95" hidden="1" customHeight="1" x14ac:dyDescent="0.3">
      <c r="B1223" s="6" t="str">
        <f ca="1">IF(AND(NEGOCIAÇÕES!O1223="",NEGOCIAÇÕES!N1223&lt;TODAY()),NEGOCIAÇÕES!C1223,"")</f>
        <v/>
      </c>
      <c r="C1223" s="6" t="str">
        <f ca="1">IF(AND(NEGOCIAÇÕES!O1223="",NEGOCIAÇÕES!N1223&lt;TODAY()),NEGOCIAÇÕES!E1223,"")</f>
        <v/>
      </c>
      <c r="D1223" s="6" t="str">
        <f ca="1">IF(AND(NEGOCIAÇÕES!O1223="",NEGOCIAÇÕES!N1223&lt;TODAY()),NEGOCIAÇÕES!D1223,"")</f>
        <v/>
      </c>
      <c r="E1223" s="9" t="str">
        <f ca="1">IF(AND(NEGOCIAÇÕES!O1223="",NEGOCIAÇÕES!N1223&lt;TODAY()),NEGOCIAÇÕES!N1223,"")</f>
        <v/>
      </c>
    </row>
    <row r="1224" spans="2:5" ht="31.95" hidden="1" customHeight="1" x14ac:dyDescent="0.3">
      <c r="B1224" s="6" t="str">
        <f ca="1">IF(AND(NEGOCIAÇÕES!O1224="",NEGOCIAÇÕES!N1224&lt;TODAY()),NEGOCIAÇÕES!C1224,"")</f>
        <v/>
      </c>
      <c r="C1224" s="6" t="str">
        <f ca="1">IF(AND(NEGOCIAÇÕES!O1224="",NEGOCIAÇÕES!N1224&lt;TODAY()),NEGOCIAÇÕES!E1224,"")</f>
        <v/>
      </c>
      <c r="D1224" s="6" t="str">
        <f ca="1">IF(AND(NEGOCIAÇÕES!O1224="",NEGOCIAÇÕES!N1224&lt;TODAY()),NEGOCIAÇÕES!D1224,"")</f>
        <v/>
      </c>
      <c r="E1224" s="9" t="str">
        <f ca="1">IF(AND(NEGOCIAÇÕES!O1224="",NEGOCIAÇÕES!N1224&lt;TODAY()),NEGOCIAÇÕES!N1224,"")</f>
        <v/>
      </c>
    </row>
    <row r="1225" spans="2:5" ht="31.95" hidden="1" customHeight="1" x14ac:dyDescent="0.3">
      <c r="B1225" s="6" t="str">
        <f ca="1">IF(AND(NEGOCIAÇÕES!O1225="",NEGOCIAÇÕES!N1225&lt;TODAY()),NEGOCIAÇÕES!C1225,"")</f>
        <v/>
      </c>
      <c r="C1225" s="6" t="str">
        <f ca="1">IF(AND(NEGOCIAÇÕES!O1225="",NEGOCIAÇÕES!N1225&lt;TODAY()),NEGOCIAÇÕES!E1225,"")</f>
        <v/>
      </c>
      <c r="D1225" s="6" t="str">
        <f ca="1">IF(AND(NEGOCIAÇÕES!O1225="",NEGOCIAÇÕES!N1225&lt;TODAY()),NEGOCIAÇÕES!D1225,"")</f>
        <v/>
      </c>
      <c r="E1225" s="9" t="str">
        <f ca="1">IF(AND(NEGOCIAÇÕES!O1225="",NEGOCIAÇÕES!N1225&lt;TODAY()),NEGOCIAÇÕES!N1225,"")</f>
        <v/>
      </c>
    </row>
    <row r="1226" spans="2:5" ht="31.95" hidden="1" customHeight="1" x14ac:dyDescent="0.3">
      <c r="B1226" s="6" t="str">
        <f ca="1">IF(AND(NEGOCIAÇÕES!O1226="",NEGOCIAÇÕES!N1226&lt;TODAY()),NEGOCIAÇÕES!C1226,"")</f>
        <v/>
      </c>
      <c r="C1226" s="6" t="str">
        <f ca="1">IF(AND(NEGOCIAÇÕES!O1226="",NEGOCIAÇÕES!N1226&lt;TODAY()),NEGOCIAÇÕES!E1226,"")</f>
        <v/>
      </c>
      <c r="D1226" s="6" t="str">
        <f ca="1">IF(AND(NEGOCIAÇÕES!O1226="",NEGOCIAÇÕES!N1226&lt;TODAY()),NEGOCIAÇÕES!D1226,"")</f>
        <v/>
      </c>
      <c r="E1226" s="9" t="str">
        <f ca="1">IF(AND(NEGOCIAÇÕES!O1226="",NEGOCIAÇÕES!N1226&lt;TODAY()),NEGOCIAÇÕES!N1226,"")</f>
        <v/>
      </c>
    </row>
    <row r="1227" spans="2:5" ht="31.95" hidden="1" customHeight="1" x14ac:dyDescent="0.3">
      <c r="B1227" s="6" t="str">
        <f ca="1">IF(AND(NEGOCIAÇÕES!O1227="",NEGOCIAÇÕES!N1227&lt;TODAY()),NEGOCIAÇÕES!C1227,"")</f>
        <v/>
      </c>
      <c r="C1227" s="6" t="str">
        <f ca="1">IF(AND(NEGOCIAÇÕES!O1227="",NEGOCIAÇÕES!N1227&lt;TODAY()),NEGOCIAÇÕES!E1227,"")</f>
        <v/>
      </c>
      <c r="D1227" s="6" t="str">
        <f ca="1">IF(AND(NEGOCIAÇÕES!O1227="",NEGOCIAÇÕES!N1227&lt;TODAY()),NEGOCIAÇÕES!D1227,"")</f>
        <v/>
      </c>
      <c r="E1227" s="9" t="str">
        <f ca="1">IF(AND(NEGOCIAÇÕES!O1227="",NEGOCIAÇÕES!N1227&lt;TODAY()),NEGOCIAÇÕES!N1227,"")</f>
        <v/>
      </c>
    </row>
    <row r="1228" spans="2:5" ht="31.95" hidden="1" customHeight="1" x14ac:dyDescent="0.3">
      <c r="B1228" s="6" t="str">
        <f ca="1">IF(AND(NEGOCIAÇÕES!O1228="",NEGOCIAÇÕES!N1228&lt;TODAY()),NEGOCIAÇÕES!C1228,"")</f>
        <v/>
      </c>
      <c r="C1228" s="6" t="str">
        <f ca="1">IF(AND(NEGOCIAÇÕES!O1228="",NEGOCIAÇÕES!N1228&lt;TODAY()),NEGOCIAÇÕES!E1228,"")</f>
        <v/>
      </c>
      <c r="D1228" s="6" t="str">
        <f ca="1">IF(AND(NEGOCIAÇÕES!O1228="",NEGOCIAÇÕES!N1228&lt;TODAY()),NEGOCIAÇÕES!D1228,"")</f>
        <v/>
      </c>
      <c r="E1228" s="9" t="str">
        <f ca="1">IF(AND(NEGOCIAÇÕES!O1228="",NEGOCIAÇÕES!N1228&lt;TODAY()),NEGOCIAÇÕES!N1228,"")</f>
        <v/>
      </c>
    </row>
    <row r="1229" spans="2:5" ht="31.95" hidden="1" customHeight="1" x14ac:dyDescent="0.3">
      <c r="B1229" s="6" t="str">
        <f ca="1">IF(AND(NEGOCIAÇÕES!O1229="",NEGOCIAÇÕES!N1229&lt;TODAY()),NEGOCIAÇÕES!C1229,"")</f>
        <v/>
      </c>
      <c r="C1229" s="6" t="str">
        <f ca="1">IF(AND(NEGOCIAÇÕES!O1229="",NEGOCIAÇÕES!N1229&lt;TODAY()),NEGOCIAÇÕES!E1229,"")</f>
        <v/>
      </c>
      <c r="D1229" s="6" t="str">
        <f ca="1">IF(AND(NEGOCIAÇÕES!O1229="",NEGOCIAÇÕES!N1229&lt;TODAY()),NEGOCIAÇÕES!D1229,"")</f>
        <v/>
      </c>
      <c r="E1229" s="9" t="str">
        <f ca="1">IF(AND(NEGOCIAÇÕES!O1229="",NEGOCIAÇÕES!N1229&lt;TODAY()),NEGOCIAÇÕES!N1229,"")</f>
        <v/>
      </c>
    </row>
    <row r="1230" spans="2:5" ht="31.95" hidden="1" customHeight="1" x14ac:dyDescent="0.3">
      <c r="B1230" s="6" t="str">
        <f ca="1">IF(AND(NEGOCIAÇÕES!O1230="",NEGOCIAÇÕES!N1230&lt;TODAY()),NEGOCIAÇÕES!C1230,"")</f>
        <v/>
      </c>
      <c r="C1230" s="6" t="str">
        <f ca="1">IF(AND(NEGOCIAÇÕES!O1230="",NEGOCIAÇÕES!N1230&lt;TODAY()),NEGOCIAÇÕES!E1230,"")</f>
        <v/>
      </c>
      <c r="D1230" s="6" t="str">
        <f ca="1">IF(AND(NEGOCIAÇÕES!O1230="",NEGOCIAÇÕES!N1230&lt;TODAY()),NEGOCIAÇÕES!D1230,"")</f>
        <v/>
      </c>
      <c r="E1230" s="9" t="str">
        <f ca="1">IF(AND(NEGOCIAÇÕES!O1230="",NEGOCIAÇÕES!N1230&lt;TODAY()),NEGOCIAÇÕES!N1230,"")</f>
        <v/>
      </c>
    </row>
    <row r="1231" spans="2:5" ht="31.95" hidden="1" customHeight="1" x14ac:dyDescent="0.3">
      <c r="B1231" s="6" t="str">
        <f ca="1">IF(AND(NEGOCIAÇÕES!O1231="",NEGOCIAÇÕES!N1231&lt;TODAY()),NEGOCIAÇÕES!C1231,"")</f>
        <v/>
      </c>
      <c r="C1231" s="6" t="str">
        <f ca="1">IF(AND(NEGOCIAÇÕES!O1231="",NEGOCIAÇÕES!N1231&lt;TODAY()),NEGOCIAÇÕES!E1231,"")</f>
        <v/>
      </c>
      <c r="D1231" s="6" t="str">
        <f ca="1">IF(AND(NEGOCIAÇÕES!O1231="",NEGOCIAÇÕES!N1231&lt;TODAY()),NEGOCIAÇÕES!D1231,"")</f>
        <v/>
      </c>
      <c r="E1231" s="9" t="str">
        <f ca="1">IF(AND(NEGOCIAÇÕES!O1231="",NEGOCIAÇÕES!N1231&lt;TODAY()),NEGOCIAÇÕES!N1231,"")</f>
        <v/>
      </c>
    </row>
    <row r="1232" spans="2:5" ht="31.95" hidden="1" customHeight="1" x14ac:dyDescent="0.3">
      <c r="B1232" s="6" t="str">
        <f ca="1">IF(AND(NEGOCIAÇÕES!O1232="",NEGOCIAÇÕES!N1232&lt;TODAY()),NEGOCIAÇÕES!C1232,"")</f>
        <v/>
      </c>
      <c r="C1232" s="6" t="str">
        <f ca="1">IF(AND(NEGOCIAÇÕES!O1232="",NEGOCIAÇÕES!N1232&lt;TODAY()),NEGOCIAÇÕES!E1232,"")</f>
        <v/>
      </c>
      <c r="D1232" s="6" t="str">
        <f ca="1">IF(AND(NEGOCIAÇÕES!O1232="",NEGOCIAÇÕES!N1232&lt;TODAY()),NEGOCIAÇÕES!D1232,"")</f>
        <v/>
      </c>
      <c r="E1232" s="9" t="str">
        <f ca="1">IF(AND(NEGOCIAÇÕES!O1232="",NEGOCIAÇÕES!N1232&lt;TODAY()),NEGOCIAÇÕES!N1232,"")</f>
        <v/>
      </c>
    </row>
    <row r="1233" spans="2:5" ht="31.95" hidden="1" customHeight="1" x14ac:dyDescent="0.3">
      <c r="B1233" s="6" t="str">
        <f ca="1">IF(AND(NEGOCIAÇÕES!O1233="",NEGOCIAÇÕES!N1233&lt;TODAY()),NEGOCIAÇÕES!C1233,"")</f>
        <v/>
      </c>
      <c r="C1233" s="6" t="str">
        <f ca="1">IF(AND(NEGOCIAÇÕES!O1233="",NEGOCIAÇÕES!N1233&lt;TODAY()),NEGOCIAÇÕES!E1233,"")</f>
        <v/>
      </c>
      <c r="D1233" s="6" t="str">
        <f ca="1">IF(AND(NEGOCIAÇÕES!O1233="",NEGOCIAÇÕES!N1233&lt;TODAY()),NEGOCIAÇÕES!D1233,"")</f>
        <v/>
      </c>
      <c r="E1233" s="9" t="str">
        <f ca="1">IF(AND(NEGOCIAÇÕES!O1233="",NEGOCIAÇÕES!N1233&lt;TODAY()),NEGOCIAÇÕES!N1233,"")</f>
        <v/>
      </c>
    </row>
    <row r="1234" spans="2:5" ht="31.95" hidden="1" customHeight="1" x14ac:dyDescent="0.3">
      <c r="B1234" s="6" t="str">
        <f ca="1">IF(AND(NEGOCIAÇÕES!O1234="",NEGOCIAÇÕES!N1234&lt;TODAY()),NEGOCIAÇÕES!C1234,"")</f>
        <v/>
      </c>
      <c r="C1234" s="6" t="str">
        <f ca="1">IF(AND(NEGOCIAÇÕES!O1234="",NEGOCIAÇÕES!N1234&lt;TODAY()),NEGOCIAÇÕES!E1234,"")</f>
        <v/>
      </c>
      <c r="D1234" s="6" t="str">
        <f ca="1">IF(AND(NEGOCIAÇÕES!O1234="",NEGOCIAÇÕES!N1234&lt;TODAY()),NEGOCIAÇÕES!D1234,"")</f>
        <v/>
      </c>
      <c r="E1234" s="9" t="str">
        <f ca="1">IF(AND(NEGOCIAÇÕES!O1234="",NEGOCIAÇÕES!N1234&lt;TODAY()),NEGOCIAÇÕES!N1234,"")</f>
        <v/>
      </c>
    </row>
    <row r="1235" spans="2:5" ht="31.95" hidden="1" customHeight="1" x14ac:dyDescent="0.3">
      <c r="B1235" s="6" t="str">
        <f ca="1">IF(AND(NEGOCIAÇÕES!O1235="",NEGOCIAÇÕES!N1235&lt;TODAY()),NEGOCIAÇÕES!C1235,"")</f>
        <v/>
      </c>
      <c r="C1235" s="6" t="str">
        <f ca="1">IF(AND(NEGOCIAÇÕES!O1235="",NEGOCIAÇÕES!N1235&lt;TODAY()),NEGOCIAÇÕES!E1235,"")</f>
        <v/>
      </c>
      <c r="D1235" s="6" t="str">
        <f ca="1">IF(AND(NEGOCIAÇÕES!O1235="",NEGOCIAÇÕES!N1235&lt;TODAY()),NEGOCIAÇÕES!D1235,"")</f>
        <v/>
      </c>
      <c r="E1235" s="9" t="str">
        <f ca="1">IF(AND(NEGOCIAÇÕES!O1235="",NEGOCIAÇÕES!N1235&lt;TODAY()),NEGOCIAÇÕES!N1235,"")</f>
        <v/>
      </c>
    </row>
    <row r="1236" spans="2:5" ht="31.95" hidden="1" customHeight="1" x14ac:dyDescent="0.3">
      <c r="B1236" s="6" t="str">
        <f ca="1">IF(AND(NEGOCIAÇÕES!O1236="",NEGOCIAÇÕES!N1236&lt;TODAY()),NEGOCIAÇÕES!C1236,"")</f>
        <v/>
      </c>
      <c r="C1236" s="6" t="str">
        <f ca="1">IF(AND(NEGOCIAÇÕES!O1236="",NEGOCIAÇÕES!N1236&lt;TODAY()),NEGOCIAÇÕES!E1236,"")</f>
        <v/>
      </c>
      <c r="D1236" s="6" t="str">
        <f ca="1">IF(AND(NEGOCIAÇÕES!O1236="",NEGOCIAÇÕES!N1236&lt;TODAY()),NEGOCIAÇÕES!D1236,"")</f>
        <v/>
      </c>
      <c r="E1236" s="9" t="str">
        <f ca="1">IF(AND(NEGOCIAÇÕES!O1236="",NEGOCIAÇÕES!N1236&lt;TODAY()),NEGOCIAÇÕES!N1236,"")</f>
        <v/>
      </c>
    </row>
    <row r="1237" spans="2:5" ht="31.95" hidden="1" customHeight="1" x14ac:dyDescent="0.3">
      <c r="B1237" s="6" t="str">
        <f ca="1">IF(AND(NEGOCIAÇÕES!O1237="",NEGOCIAÇÕES!N1237&lt;TODAY()),NEGOCIAÇÕES!C1237,"")</f>
        <v/>
      </c>
      <c r="C1237" s="6" t="str">
        <f ca="1">IF(AND(NEGOCIAÇÕES!O1237="",NEGOCIAÇÕES!N1237&lt;TODAY()),NEGOCIAÇÕES!E1237,"")</f>
        <v/>
      </c>
      <c r="D1237" s="6" t="str">
        <f ca="1">IF(AND(NEGOCIAÇÕES!O1237="",NEGOCIAÇÕES!N1237&lt;TODAY()),NEGOCIAÇÕES!D1237,"")</f>
        <v/>
      </c>
      <c r="E1237" s="9" t="str">
        <f ca="1">IF(AND(NEGOCIAÇÕES!O1237="",NEGOCIAÇÕES!N1237&lt;TODAY()),NEGOCIAÇÕES!N1237,"")</f>
        <v/>
      </c>
    </row>
    <row r="1238" spans="2:5" ht="31.95" hidden="1" customHeight="1" x14ac:dyDescent="0.3">
      <c r="B1238" s="6" t="str">
        <f ca="1">IF(AND(NEGOCIAÇÕES!O1238="",NEGOCIAÇÕES!N1238&lt;TODAY()),NEGOCIAÇÕES!C1238,"")</f>
        <v/>
      </c>
      <c r="C1238" s="6" t="str">
        <f ca="1">IF(AND(NEGOCIAÇÕES!O1238="",NEGOCIAÇÕES!N1238&lt;TODAY()),NEGOCIAÇÕES!E1238,"")</f>
        <v/>
      </c>
      <c r="D1238" s="6" t="str">
        <f ca="1">IF(AND(NEGOCIAÇÕES!O1238="",NEGOCIAÇÕES!N1238&lt;TODAY()),NEGOCIAÇÕES!D1238,"")</f>
        <v/>
      </c>
      <c r="E1238" s="9" t="str">
        <f ca="1">IF(AND(NEGOCIAÇÕES!O1238="",NEGOCIAÇÕES!N1238&lt;TODAY()),NEGOCIAÇÕES!N1238,"")</f>
        <v/>
      </c>
    </row>
    <row r="1239" spans="2:5" ht="31.95" hidden="1" customHeight="1" x14ac:dyDescent="0.3">
      <c r="B1239" s="6" t="str">
        <f ca="1">IF(AND(NEGOCIAÇÕES!O1239="",NEGOCIAÇÕES!N1239&lt;TODAY()),NEGOCIAÇÕES!C1239,"")</f>
        <v/>
      </c>
      <c r="C1239" s="6" t="str">
        <f ca="1">IF(AND(NEGOCIAÇÕES!O1239="",NEGOCIAÇÕES!N1239&lt;TODAY()),NEGOCIAÇÕES!E1239,"")</f>
        <v/>
      </c>
      <c r="D1239" s="6" t="str">
        <f ca="1">IF(AND(NEGOCIAÇÕES!O1239="",NEGOCIAÇÕES!N1239&lt;TODAY()),NEGOCIAÇÕES!D1239,"")</f>
        <v/>
      </c>
      <c r="E1239" s="9" t="str">
        <f ca="1">IF(AND(NEGOCIAÇÕES!O1239="",NEGOCIAÇÕES!N1239&lt;TODAY()),NEGOCIAÇÕES!N1239,"")</f>
        <v/>
      </c>
    </row>
    <row r="1240" spans="2:5" ht="31.95" hidden="1" customHeight="1" x14ac:dyDescent="0.3">
      <c r="B1240" s="6" t="str">
        <f ca="1">IF(AND(NEGOCIAÇÕES!O1240="",NEGOCIAÇÕES!N1240&lt;TODAY()),NEGOCIAÇÕES!C1240,"")</f>
        <v/>
      </c>
      <c r="C1240" s="6" t="str">
        <f ca="1">IF(AND(NEGOCIAÇÕES!O1240="",NEGOCIAÇÕES!N1240&lt;TODAY()),NEGOCIAÇÕES!E1240,"")</f>
        <v/>
      </c>
      <c r="D1240" s="6" t="str">
        <f ca="1">IF(AND(NEGOCIAÇÕES!O1240="",NEGOCIAÇÕES!N1240&lt;TODAY()),NEGOCIAÇÕES!D1240,"")</f>
        <v/>
      </c>
      <c r="E1240" s="9" t="str">
        <f ca="1">IF(AND(NEGOCIAÇÕES!O1240="",NEGOCIAÇÕES!N1240&lt;TODAY()),NEGOCIAÇÕES!N1240,"")</f>
        <v/>
      </c>
    </row>
    <row r="1241" spans="2:5" ht="31.95" hidden="1" customHeight="1" x14ac:dyDescent="0.3">
      <c r="B1241" s="6" t="str">
        <f ca="1">IF(AND(NEGOCIAÇÕES!O1241="",NEGOCIAÇÕES!N1241&lt;TODAY()),NEGOCIAÇÕES!C1241,"")</f>
        <v/>
      </c>
      <c r="C1241" s="6" t="str">
        <f ca="1">IF(AND(NEGOCIAÇÕES!O1241="",NEGOCIAÇÕES!N1241&lt;TODAY()),NEGOCIAÇÕES!E1241,"")</f>
        <v/>
      </c>
      <c r="D1241" s="6" t="str">
        <f ca="1">IF(AND(NEGOCIAÇÕES!O1241="",NEGOCIAÇÕES!N1241&lt;TODAY()),NEGOCIAÇÕES!D1241,"")</f>
        <v/>
      </c>
      <c r="E1241" s="9" t="str">
        <f ca="1">IF(AND(NEGOCIAÇÕES!O1241="",NEGOCIAÇÕES!N1241&lt;TODAY()),NEGOCIAÇÕES!N1241,"")</f>
        <v/>
      </c>
    </row>
    <row r="1242" spans="2:5" ht="31.95" hidden="1" customHeight="1" x14ac:dyDescent="0.3">
      <c r="B1242" s="6" t="str">
        <f ca="1">IF(AND(NEGOCIAÇÕES!O1242="",NEGOCIAÇÕES!N1242&lt;TODAY()),NEGOCIAÇÕES!C1242,"")</f>
        <v/>
      </c>
      <c r="C1242" s="6" t="str">
        <f ca="1">IF(AND(NEGOCIAÇÕES!O1242="",NEGOCIAÇÕES!N1242&lt;TODAY()),NEGOCIAÇÕES!E1242,"")</f>
        <v/>
      </c>
      <c r="D1242" s="6" t="str">
        <f ca="1">IF(AND(NEGOCIAÇÕES!O1242="",NEGOCIAÇÕES!N1242&lt;TODAY()),NEGOCIAÇÕES!D1242,"")</f>
        <v/>
      </c>
      <c r="E1242" s="9" t="str">
        <f ca="1">IF(AND(NEGOCIAÇÕES!O1242="",NEGOCIAÇÕES!N1242&lt;TODAY()),NEGOCIAÇÕES!N1242,"")</f>
        <v/>
      </c>
    </row>
    <row r="1243" spans="2:5" ht="31.95" hidden="1" customHeight="1" x14ac:dyDescent="0.3">
      <c r="B1243" s="6" t="str">
        <f ca="1">IF(AND(NEGOCIAÇÕES!O1243="",NEGOCIAÇÕES!N1243&lt;TODAY()),NEGOCIAÇÕES!C1243,"")</f>
        <v/>
      </c>
      <c r="C1243" s="6" t="str">
        <f ca="1">IF(AND(NEGOCIAÇÕES!O1243="",NEGOCIAÇÕES!N1243&lt;TODAY()),NEGOCIAÇÕES!E1243,"")</f>
        <v/>
      </c>
      <c r="D1243" s="6" t="str">
        <f ca="1">IF(AND(NEGOCIAÇÕES!O1243="",NEGOCIAÇÕES!N1243&lt;TODAY()),NEGOCIAÇÕES!D1243,"")</f>
        <v/>
      </c>
      <c r="E1243" s="9" t="str">
        <f ca="1">IF(AND(NEGOCIAÇÕES!O1243="",NEGOCIAÇÕES!N1243&lt;TODAY()),NEGOCIAÇÕES!N1243,"")</f>
        <v/>
      </c>
    </row>
    <row r="1244" spans="2:5" ht="31.95" hidden="1" customHeight="1" x14ac:dyDescent="0.3">
      <c r="B1244" s="6" t="str">
        <f ca="1">IF(AND(NEGOCIAÇÕES!O1244="",NEGOCIAÇÕES!N1244&lt;TODAY()),NEGOCIAÇÕES!C1244,"")</f>
        <v/>
      </c>
      <c r="C1244" s="6" t="str">
        <f ca="1">IF(AND(NEGOCIAÇÕES!O1244="",NEGOCIAÇÕES!N1244&lt;TODAY()),NEGOCIAÇÕES!E1244,"")</f>
        <v/>
      </c>
      <c r="D1244" s="6" t="str">
        <f ca="1">IF(AND(NEGOCIAÇÕES!O1244="",NEGOCIAÇÕES!N1244&lt;TODAY()),NEGOCIAÇÕES!D1244,"")</f>
        <v/>
      </c>
      <c r="E1244" s="9" t="str">
        <f ca="1">IF(AND(NEGOCIAÇÕES!O1244="",NEGOCIAÇÕES!N1244&lt;TODAY()),NEGOCIAÇÕES!N1244,"")</f>
        <v/>
      </c>
    </row>
    <row r="1245" spans="2:5" ht="31.95" hidden="1" customHeight="1" x14ac:dyDescent="0.3">
      <c r="B1245" s="6" t="str">
        <f ca="1">IF(AND(NEGOCIAÇÕES!O1245="",NEGOCIAÇÕES!N1245&lt;TODAY()),NEGOCIAÇÕES!C1245,"")</f>
        <v/>
      </c>
      <c r="C1245" s="6" t="str">
        <f ca="1">IF(AND(NEGOCIAÇÕES!O1245="",NEGOCIAÇÕES!N1245&lt;TODAY()),NEGOCIAÇÕES!E1245,"")</f>
        <v/>
      </c>
      <c r="D1245" s="6" t="str">
        <f ca="1">IF(AND(NEGOCIAÇÕES!O1245="",NEGOCIAÇÕES!N1245&lt;TODAY()),NEGOCIAÇÕES!D1245,"")</f>
        <v/>
      </c>
      <c r="E1245" s="9" t="str">
        <f ca="1">IF(AND(NEGOCIAÇÕES!O1245="",NEGOCIAÇÕES!N1245&lt;TODAY()),NEGOCIAÇÕES!N1245,"")</f>
        <v/>
      </c>
    </row>
    <row r="1246" spans="2:5" ht="31.95" hidden="1" customHeight="1" x14ac:dyDescent="0.3">
      <c r="B1246" s="6" t="str">
        <f ca="1">IF(AND(NEGOCIAÇÕES!O1246="",NEGOCIAÇÕES!N1246&lt;TODAY()),NEGOCIAÇÕES!C1246,"")</f>
        <v/>
      </c>
      <c r="C1246" s="6" t="str">
        <f ca="1">IF(AND(NEGOCIAÇÕES!O1246="",NEGOCIAÇÕES!N1246&lt;TODAY()),NEGOCIAÇÕES!E1246,"")</f>
        <v/>
      </c>
      <c r="D1246" s="6" t="str">
        <f ca="1">IF(AND(NEGOCIAÇÕES!O1246="",NEGOCIAÇÕES!N1246&lt;TODAY()),NEGOCIAÇÕES!D1246,"")</f>
        <v/>
      </c>
      <c r="E1246" s="9" t="str">
        <f ca="1">IF(AND(NEGOCIAÇÕES!O1246="",NEGOCIAÇÕES!N1246&lt;TODAY()),NEGOCIAÇÕES!N1246,"")</f>
        <v/>
      </c>
    </row>
    <row r="1247" spans="2:5" ht="31.95" hidden="1" customHeight="1" x14ac:dyDescent="0.3">
      <c r="B1247" s="6" t="str">
        <f ca="1">IF(AND(NEGOCIAÇÕES!O1247="",NEGOCIAÇÕES!N1247&lt;TODAY()),NEGOCIAÇÕES!C1247,"")</f>
        <v/>
      </c>
      <c r="C1247" s="6" t="str">
        <f ca="1">IF(AND(NEGOCIAÇÕES!O1247="",NEGOCIAÇÕES!N1247&lt;TODAY()),NEGOCIAÇÕES!E1247,"")</f>
        <v/>
      </c>
      <c r="D1247" s="6" t="str">
        <f ca="1">IF(AND(NEGOCIAÇÕES!O1247="",NEGOCIAÇÕES!N1247&lt;TODAY()),NEGOCIAÇÕES!D1247,"")</f>
        <v/>
      </c>
      <c r="E1247" s="9" t="str">
        <f ca="1">IF(AND(NEGOCIAÇÕES!O1247="",NEGOCIAÇÕES!N1247&lt;TODAY()),NEGOCIAÇÕES!N1247,"")</f>
        <v/>
      </c>
    </row>
    <row r="1248" spans="2:5" ht="31.95" hidden="1" customHeight="1" x14ac:dyDescent="0.3">
      <c r="B1248" s="6" t="str">
        <f ca="1">IF(AND(NEGOCIAÇÕES!O1248="",NEGOCIAÇÕES!N1248&lt;TODAY()),NEGOCIAÇÕES!C1248,"")</f>
        <v/>
      </c>
      <c r="C1248" s="6" t="str">
        <f ca="1">IF(AND(NEGOCIAÇÕES!O1248="",NEGOCIAÇÕES!N1248&lt;TODAY()),NEGOCIAÇÕES!E1248,"")</f>
        <v/>
      </c>
      <c r="D1248" s="6" t="str">
        <f ca="1">IF(AND(NEGOCIAÇÕES!O1248="",NEGOCIAÇÕES!N1248&lt;TODAY()),NEGOCIAÇÕES!D1248,"")</f>
        <v/>
      </c>
      <c r="E1248" s="9" t="str">
        <f ca="1">IF(AND(NEGOCIAÇÕES!O1248="",NEGOCIAÇÕES!N1248&lt;TODAY()),NEGOCIAÇÕES!N1248,"")</f>
        <v/>
      </c>
    </row>
    <row r="1249" spans="2:5" ht="31.95" hidden="1" customHeight="1" x14ac:dyDescent="0.3">
      <c r="B1249" s="6" t="str">
        <f ca="1">IF(AND(NEGOCIAÇÕES!O1249="",NEGOCIAÇÕES!N1249&lt;TODAY()),NEGOCIAÇÕES!C1249,"")</f>
        <v/>
      </c>
      <c r="C1249" s="6" t="str">
        <f ca="1">IF(AND(NEGOCIAÇÕES!O1249="",NEGOCIAÇÕES!N1249&lt;TODAY()),NEGOCIAÇÕES!E1249,"")</f>
        <v/>
      </c>
      <c r="D1249" s="6" t="str">
        <f ca="1">IF(AND(NEGOCIAÇÕES!O1249="",NEGOCIAÇÕES!N1249&lt;TODAY()),NEGOCIAÇÕES!D1249,"")</f>
        <v/>
      </c>
      <c r="E1249" s="9" t="str">
        <f ca="1">IF(AND(NEGOCIAÇÕES!O1249="",NEGOCIAÇÕES!N1249&lt;TODAY()),NEGOCIAÇÕES!N1249,"")</f>
        <v/>
      </c>
    </row>
    <row r="1250" spans="2:5" ht="31.95" hidden="1" customHeight="1" x14ac:dyDescent="0.3">
      <c r="B1250" s="6" t="str">
        <f ca="1">IF(AND(NEGOCIAÇÕES!O1250="",NEGOCIAÇÕES!N1250&lt;TODAY()),NEGOCIAÇÕES!C1250,"")</f>
        <v/>
      </c>
      <c r="C1250" s="6" t="str">
        <f ca="1">IF(AND(NEGOCIAÇÕES!O1250="",NEGOCIAÇÕES!N1250&lt;TODAY()),NEGOCIAÇÕES!E1250,"")</f>
        <v/>
      </c>
      <c r="D1250" s="6" t="str">
        <f ca="1">IF(AND(NEGOCIAÇÕES!O1250="",NEGOCIAÇÕES!N1250&lt;TODAY()),NEGOCIAÇÕES!D1250,"")</f>
        <v/>
      </c>
      <c r="E1250" s="9" t="str">
        <f ca="1">IF(AND(NEGOCIAÇÕES!O1250="",NEGOCIAÇÕES!N1250&lt;TODAY()),NEGOCIAÇÕES!N1250,"")</f>
        <v/>
      </c>
    </row>
    <row r="1251" spans="2:5" ht="31.95" hidden="1" customHeight="1" x14ac:dyDescent="0.3">
      <c r="B1251" s="6" t="str">
        <f ca="1">IF(AND(NEGOCIAÇÕES!O1251="",NEGOCIAÇÕES!N1251&lt;TODAY()),NEGOCIAÇÕES!C1251,"")</f>
        <v/>
      </c>
      <c r="C1251" s="6" t="str">
        <f ca="1">IF(AND(NEGOCIAÇÕES!O1251="",NEGOCIAÇÕES!N1251&lt;TODAY()),NEGOCIAÇÕES!E1251,"")</f>
        <v/>
      </c>
      <c r="D1251" s="6" t="str">
        <f ca="1">IF(AND(NEGOCIAÇÕES!O1251="",NEGOCIAÇÕES!N1251&lt;TODAY()),NEGOCIAÇÕES!D1251,"")</f>
        <v/>
      </c>
      <c r="E1251" s="9" t="str">
        <f ca="1">IF(AND(NEGOCIAÇÕES!O1251="",NEGOCIAÇÕES!N1251&lt;TODAY()),NEGOCIAÇÕES!N1251,"")</f>
        <v/>
      </c>
    </row>
    <row r="1252" spans="2:5" ht="31.95" hidden="1" customHeight="1" x14ac:dyDescent="0.3">
      <c r="B1252" s="6" t="str">
        <f ca="1">IF(AND(NEGOCIAÇÕES!O1252="",NEGOCIAÇÕES!N1252&lt;TODAY()),NEGOCIAÇÕES!C1252,"")</f>
        <v/>
      </c>
      <c r="C1252" s="6" t="str">
        <f ca="1">IF(AND(NEGOCIAÇÕES!O1252="",NEGOCIAÇÕES!N1252&lt;TODAY()),NEGOCIAÇÕES!E1252,"")</f>
        <v/>
      </c>
      <c r="D1252" s="6" t="str">
        <f ca="1">IF(AND(NEGOCIAÇÕES!O1252="",NEGOCIAÇÕES!N1252&lt;TODAY()),NEGOCIAÇÕES!D1252,"")</f>
        <v/>
      </c>
      <c r="E1252" s="9" t="str">
        <f ca="1">IF(AND(NEGOCIAÇÕES!O1252="",NEGOCIAÇÕES!N1252&lt;TODAY()),NEGOCIAÇÕES!N1252,"")</f>
        <v/>
      </c>
    </row>
    <row r="1253" spans="2:5" ht="31.95" hidden="1" customHeight="1" x14ac:dyDescent="0.3">
      <c r="B1253" s="6" t="str">
        <f ca="1">IF(AND(NEGOCIAÇÕES!O1253="",NEGOCIAÇÕES!N1253&lt;TODAY()),NEGOCIAÇÕES!C1253,"")</f>
        <v/>
      </c>
      <c r="C1253" s="6" t="str">
        <f ca="1">IF(AND(NEGOCIAÇÕES!O1253="",NEGOCIAÇÕES!N1253&lt;TODAY()),NEGOCIAÇÕES!E1253,"")</f>
        <v/>
      </c>
      <c r="D1253" s="6" t="str">
        <f ca="1">IF(AND(NEGOCIAÇÕES!O1253="",NEGOCIAÇÕES!N1253&lt;TODAY()),NEGOCIAÇÕES!D1253,"")</f>
        <v/>
      </c>
      <c r="E1253" s="9" t="str">
        <f ca="1">IF(AND(NEGOCIAÇÕES!O1253="",NEGOCIAÇÕES!N1253&lt;TODAY()),NEGOCIAÇÕES!N1253,"")</f>
        <v/>
      </c>
    </row>
    <row r="1254" spans="2:5" ht="31.95" hidden="1" customHeight="1" x14ac:dyDescent="0.3">
      <c r="B1254" s="6" t="str">
        <f ca="1">IF(AND(NEGOCIAÇÕES!O1254="",NEGOCIAÇÕES!N1254&lt;TODAY()),NEGOCIAÇÕES!C1254,"")</f>
        <v/>
      </c>
      <c r="C1254" s="6" t="str">
        <f ca="1">IF(AND(NEGOCIAÇÕES!O1254="",NEGOCIAÇÕES!N1254&lt;TODAY()),NEGOCIAÇÕES!E1254,"")</f>
        <v/>
      </c>
      <c r="D1254" s="6" t="str">
        <f ca="1">IF(AND(NEGOCIAÇÕES!O1254="",NEGOCIAÇÕES!N1254&lt;TODAY()),NEGOCIAÇÕES!D1254,"")</f>
        <v/>
      </c>
      <c r="E1254" s="9" t="str">
        <f ca="1">IF(AND(NEGOCIAÇÕES!O1254="",NEGOCIAÇÕES!N1254&lt;TODAY()),NEGOCIAÇÕES!N1254,"")</f>
        <v/>
      </c>
    </row>
    <row r="1255" spans="2:5" ht="31.95" hidden="1" customHeight="1" x14ac:dyDescent="0.3">
      <c r="B1255" s="6" t="str">
        <f ca="1">IF(AND(NEGOCIAÇÕES!O1255="",NEGOCIAÇÕES!N1255&lt;TODAY()),NEGOCIAÇÕES!C1255,"")</f>
        <v/>
      </c>
      <c r="C1255" s="6" t="str">
        <f ca="1">IF(AND(NEGOCIAÇÕES!O1255="",NEGOCIAÇÕES!N1255&lt;TODAY()),NEGOCIAÇÕES!E1255,"")</f>
        <v/>
      </c>
      <c r="D1255" s="6" t="str">
        <f ca="1">IF(AND(NEGOCIAÇÕES!O1255="",NEGOCIAÇÕES!N1255&lt;TODAY()),NEGOCIAÇÕES!D1255,"")</f>
        <v/>
      </c>
      <c r="E1255" s="9" t="str">
        <f ca="1">IF(AND(NEGOCIAÇÕES!O1255="",NEGOCIAÇÕES!N1255&lt;TODAY()),NEGOCIAÇÕES!N1255,"")</f>
        <v/>
      </c>
    </row>
    <row r="1256" spans="2:5" ht="31.95" hidden="1" customHeight="1" x14ac:dyDescent="0.3">
      <c r="B1256" s="6" t="str">
        <f ca="1">IF(AND(NEGOCIAÇÕES!O1256="",NEGOCIAÇÕES!N1256&lt;TODAY()),NEGOCIAÇÕES!C1256,"")</f>
        <v/>
      </c>
      <c r="C1256" s="6" t="str">
        <f ca="1">IF(AND(NEGOCIAÇÕES!O1256="",NEGOCIAÇÕES!N1256&lt;TODAY()),NEGOCIAÇÕES!E1256,"")</f>
        <v/>
      </c>
      <c r="D1256" s="6" t="str">
        <f ca="1">IF(AND(NEGOCIAÇÕES!O1256="",NEGOCIAÇÕES!N1256&lt;TODAY()),NEGOCIAÇÕES!D1256,"")</f>
        <v/>
      </c>
      <c r="E1256" s="9" t="str">
        <f ca="1">IF(AND(NEGOCIAÇÕES!O1256="",NEGOCIAÇÕES!N1256&lt;TODAY()),NEGOCIAÇÕES!N1256,"")</f>
        <v/>
      </c>
    </row>
    <row r="1257" spans="2:5" ht="31.95" hidden="1" customHeight="1" x14ac:dyDescent="0.3">
      <c r="B1257" s="6" t="str">
        <f ca="1">IF(AND(NEGOCIAÇÕES!O1257="",NEGOCIAÇÕES!N1257&lt;TODAY()),NEGOCIAÇÕES!C1257,"")</f>
        <v/>
      </c>
      <c r="C1257" s="6" t="str">
        <f ca="1">IF(AND(NEGOCIAÇÕES!O1257="",NEGOCIAÇÕES!N1257&lt;TODAY()),NEGOCIAÇÕES!E1257,"")</f>
        <v/>
      </c>
      <c r="D1257" s="6" t="str">
        <f ca="1">IF(AND(NEGOCIAÇÕES!O1257="",NEGOCIAÇÕES!N1257&lt;TODAY()),NEGOCIAÇÕES!D1257,"")</f>
        <v/>
      </c>
      <c r="E1257" s="9" t="str">
        <f ca="1">IF(AND(NEGOCIAÇÕES!O1257="",NEGOCIAÇÕES!N1257&lt;TODAY()),NEGOCIAÇÕES!N1257,"")</f>
        <v/>
      </c>
    </row>
    <row r="1258" spans="2:5" ht="31.95" hidden="1" customHeight="1" x14ac:dyDescent="0.3">
      <c r="B1258" s="6" t="str">
        <f ca="1">IF(AND(NEGOCIAÇÕES!O1258="",NEGOCIAÇÕES!N1258&lt;TODAY()),NEGOCIAÇÕES!C1258,"")</f>
        <v/>
      </c>
      <c r="C1258" s="6" t="str">
        <f ca="1">IF(AND(NEGOCIAÇÕES!O1258="",NEGOCIAÇÕES!N1258&lt;TODAY()),NEGOCIAÇÕES!E1258,"")</f>
        <v/>
      </c>
      <c r="D1258" s="6" t="str">
        <f ca="1">IF(AND(NEGOCIAÇÕES!O1258="",NEGOCIAÇÕES!N1258&lt;TODAY()),NEGOCIAÇÕES!D1258,"")</f>
        <v/>
      </c>
      <c r="E1258" s="9" t="str">
        <f ca="1">IF(AND(NEGOCIAÇÕES!O1258="",NEGOCIAÇÕES!N1258&lt;TODAY()),NEGOCIAÇÕES!N1258,"")</f>
        <v/>
      </c>
    </row>
    <row r="1259" spans="2:5" ht="31.95" hidden="1" customHeight="1" x14ac:dyDescent="0.3">
      <c r="B1259" s="6" t="str">
        <f ca="1">IF(AND(NEGOCIAÇÕES!O1259="",NEGOCIAÇÕES!N1259&lt;TODAY()),NEGOCIAÇÕES!C1259,"")</f>
        <v/>
      </c>
      <c r="C1259" s="6" t="str">
        <f ca="1">IF(AND(NEGOCIAÇÕES!O1259="",NEGOCIAÇÕES!N1259&lt;TODAY()),NEGOCIAÇÕES!E1259,"")</f>
        <v/>
      </c>
      <c r="D1259" s="6" t="str">
        <f ca="1">IF(AND(NEGOCIAÇÕES!O1259="",NEGOCIAÇÕES!N1259&lt;TODAY()),NEGOCIAÇÕES!D1259,"")</f>
        <v/>
      </c>
      <c r="E1259" s="9" t="str">
        <f ca="1">IF(AND(NEGOCIAÇÕES!O1259="",NEGOCIAÇÕES!N1259&lt;TODAY()),NEGOCIAÇÕES!N1259,"")</f>
        <v/>
      </c>
    </row>
    <row r="1260" spans="2:5" ht="31.95" hidden="1" customHeight="1" x14ac:dyDescent="0.3">
      <c r="B1260" s="6" t="str">
        <f ca="1">IF(AND(NEGOCIAÇÕES!O1260="",NEGOCIAÇÕES!N1260&lt;TODAY()),NEGOCIAÇÕES!C1260,"")</f>
        <v/>
      </c>
      <c r="C1260" s="6" t="str">
        <f ca="1">IF(AND(NEGOCIAÇÕES!O1260="",NEGOCIAÇÕES!N1260&lt;TODAY()),NEGOCIAÇÕES!E1260,"")</f>
        <v/>
      </c>
      <c r="D1260" s="6" t="str">
        <f ca="1">IF(AND(NEGOCIAÇÕES!O1260="",NEGOCIAÇÕES!N1260&lt;TODAY()),NEGOCIAÇÕES!D1260,"")</f>
        <v/>
      </c>
      <c r="E1260" s="9" t="str">
        <f ca="1">IF(AND(NEGOCIAÇÕES!O1260="",NEGOCIAÇÕES!N1260&lt;TODAY()),NEGOCIAÇÕES!N1260,"")</f>
        <v/>
      </c>
    </row>
    <row r="1261" spans="2:5" ht="31.95" hidden="1" customHeight="1" x14ac:dyDescent="0.3">
      <c r="B1261" s="6" t="str">
        <f ca="1">IF(AND(NEGOCIAÇÕES!O1261="",NEGOCIAÇÕES!N1261&lt;TODAY()),NEGOCIAÇÕES!C1261,"")</f>
        <v/>
      </c>
      <c r="C1261" s="6" t="str">
        <f ca="1">IF(AND(NEGOCIAÇÕES!O1261="",NEGOCIAÇÕES!N1261&lt;TODAY()),NEGOCIAÇÕES!E1261,"")</f>
        <v/>
      </c>
      <c r="D1261" s="6" t="str">
        <f ca="1">IF(AND(NEGOCIAÇÕES!O1261="",NEGOCIAÇÕES!N1261&lt;TODAY()),NEGOCIAÇÕES!D1261,"")</f>
        <v/>
      </c>
      <c r="E1261" s="9" t="str">
        <f ca="1">IF(AND(NEGOCIAÇÕES!O1261="",NEGOCIAÇÕES!N1261&lt;TODAY()),NEGOCIAÇÕES!N1261,"")</f>
        <v/>
      </c>
    </row>
    <row r="1262" spans="2:5" ht="31.95" hidden="1" customHeight="1" x14ac:dyDescent="0.3">
      <c r="B1262" s="6" t="str">
        <f ca="1">IF(AND(NEGOCIAÇÕES!O1262="",NEGOCIAÇÕES!N1262&lt;TODAY()),NEGOCIAÇÕES!C1262,"")</f>
        <v/>
      </c>
      <c r="C1262" s="6" t="str">
        <f ca="1">IF(AND(NEGOCIAÇÕES!O1262="",NEGOCIAÇÕES!N1262&lt;TODAY()),NEGOCIAÇÕES!E1262,"")</f>
        <v/>
      </c>
      <c r="D1262" s="6" t="str">
        <f ca="1">IF(AND(NEGOCIAÇÕES!O1262="",NEGOCIAÇÕES!N1262&lt;TODAY()),NEGOCIAÇÕES!D1262,"")</f>
        <v/>
      </c>
      <c r="E1262" s="9" t="str">
        <f ca="1">IF(AND(NEGOCIAÇÕES!O1262="",NEGOCIAÇÕES!N1262&lt;TODAY()),NEGOCIAÇÕES!N1262,"")</f>
        <v/>
      </c>
    </row>
    <row r="1263" spans="2:5" ht="31.95" hidden="1" customHeight="1" x14ac:dyDescent="0.3">
      <c r="B1263" s="6" t="str">
        <f ca="1">IF(AND(NEGOCIAÇÕES!O1263="",NEGOCIAÇÕES!N1263&lt;TODAY()),NEGOCIAÇÕES!C1263,"")</f>
        <v/>
      </c>
      <c r="C1263" s="6" t="str">
        <f ca="1">IF(AND(NEGOCIAÇÕES!O1263="",NEGOCIAÇÕES!N1263&lt;TODAY()),NEGOCIAÇÕES!E1263,"")</f>
        <v/>
      </c>
      <c r="D1263" s="6" t="str">
        <f ca="1">IF(AND(NEGOCIAÇÕES!O1263="",NEGOCIAÇÕES!N1263&lt;TODAY()),NEGOCIAÇÕES!D1263,"")</f>
        <v/>
      </c>
      <c r="E1263" s="9" t="str">
        <f ca="1">IF(AND(NEGOCIAÇÕES!O1263="",NEGOCIAÇÕES!N1263&lt;TODAY()),NEGOCIAÇÕES!N1263,"")</f>
        <v/>
      </c>
    </row>
    <row r="1264" spans="2:5" ht="31.95" hidden="1" customHeight="1" x14ac:dyDescent="0.3">
      <c r="B1264" s="6" t="str">
        <f ca="1">IF(AND(NEGOCIAÇÕES!O1264="",NEGOCIAÇÕES!N1264&lt;TODAY()),NEGOCIAÇÕES!C1264,"")</f>
        <v/>
      </c>
      <c r="C1264" s="6" t="str">
        <f ca="1">IF(AND(NEGOCIAÇÕES!O1264="",NEGOCIAÇÕES!N1264&lt;TODAY()),NEGOCIAÇÕES!E1264,"")</f>
        <v/>
      </c>
      <c r="D1264" s="6" t="str">
        <f ca="1">IF(AND(NEGOCIAÇÕES!O1264="",NEGOCIAÇÕES!N1264&lt;TODAY()),NEGOCIAÇÕES!D1264,"")</f>
        <v/>
      </c>
      <c r="E1264" s="9" t="str">
        <f ca="1">IF(AND(NEGOCIAÇÕES!O1264="",NEGOCIAÇÕES!N1264&lt;TODAY()),NEGOCIAÇÕES!N1264,"")</f>
        <v/>
      </c>
    </row>
    <row r="1265" spans="2:5" ht="31.95" hidden="1" customHeight="1" x14ac:dyDescent="0.3">
      <c r="B1265" s="6" t="str">
        <f ca="1">IF(AND(NEGOCIAÇÕES!O1265="",NEGOCIAÇÕES!N1265&lt;TODAY()),NEGOCIAÇÕES!C1265,"")</f>
        <v/>
      </c>
      <c r="C1265" s="6" t="str">
        <f ca="1">IF(AND(NEGOCIAÇÕES!O1265="",NEGOCIAÇÕES!N1265&lt;TODAY()),NEGOCIAÇÕES!E1265,"")</f>
        <v/>
      </c>
      <c r="D1265" s="6" t="str">
        <f ca="1">IF(AND(NEGOCIAÇÕES!O1265="",NEGOCIAÇÕES!N1265&lt;TODAY()),NEGOCIAÇÕES!D1265,"")</f>
        <v/>
      </c>
      <c r="E1265" s="9" t="str">
        <f ca="1">IF(AND(NEGOCIAÇÕES!O1265="",NEGOCIAÇÕES!N1265&lt;TODAY()),NEGOCIAÇÕES!N1265,"")</f>
        <v/>
      </c>
    </row>
    <row r="1266" spans="2:5" ht="31.95" hidden="1" customHeight="1" x14ac:dyDescent="0.3">
      <c r="B1266" s="6" t="str">
        <f ca="1">IF(AND(NEGOCIAÇÕES!O1266="",NEGOCIAÇÕES!N1266&lt;TODAY()),NEGOCIAÇÕES!C1266,"")</f>
        <v/>
      </c>
      <c r="C1266" s="6" t="str">
        <f ca="1">IF(AND(NEGOCIAÇÕES!O1266="",NEGOCIAÇÕES!N1266&lt;TODAY()),NEGOCIAÇÕES!E1266,"")</f>
        <v/>
      </c>
      <c r="D1266" s="6" t="str">
        <f ca="1">IF(AND(NEGOCIAÇÕES!O1266="",NEGOCIAÇÕES!N1266&lt;TODAY()),NEGOCIAÇÕES!D1266,"")</f>
        <v/>
      </c>
      <c r="E1266" s="9" t="str">
        <f ca="1">IF(AND(NEGOCIAÇÕES!O1266="",NEGOCIAÇÕES!N1266&lt;TODAY()),NEGOCIAÇÕES!N1266,"")</f>
        <v/>
      </c>
    </row>
    <row r="1267" spans="2:5" ht="31.95" hidden="1" customHeight="1" x14ac:dyDescent="0.3">
      <c r="B1267" s="6" t="str">
        <f ca="1">IF(AND(NEGOCIAÇÕES!O1267="",NEGOCIAÇÕES!N1267&lt;TODAY()),NEGOCIAÇÕES!C1267,"")</f>
        <v/>
      </c>
      <c r="C1267" s="6" t="str">
        <f ca="1">IF(AND(NEGOCIAÇÕES!O1267="",NEGOCIAÇÕES!N1267&lt;TODAY()),NEGOCIAÇÕES!E1267,"")</f>
        <v/>
      </c>
      <c r="D1267" s="6" t="str">
        <f ca="1">IF(AND(NEGOCIAÇÕES!O1267="",NEGOCIAÇÕES!N1267&lt;TODAY()),NEGOCIAÇÕES!D1267,"")</f>
        <v/>
      </c>
      <c r="E1267" s="9" t="str">
        <f ca="1">IF(AND(NEGOCIAÇÕES!O1267="",NEGOCIAÇÕES!N1267&lt;TODAY()),NEGOCIAÇÕES!N1267,"")</f>
        <v/>
      </c>
    </row>
    <row r="1268" spans="2:5" ht="31.95" hidden="1" customHeight="1" x14ac:dyDescent="0.3">
      <c r="B1268" s="6" t="str">
        <f ca="1">IF(AND(NEGOCIAÇÕES!O1268="",NEGOCIAÇÕES!N1268&lt;TODAY()),NEGOCIAÇÕES!C1268,"")</f>
        <v/>
      </c>
      <c r="C1268" s="6" t="str">
        <f ca="1">IF(AND(NEGOCIAÇÕES!O1268="",NEGOCIAÇÕES!N1268&lt;TODAY()),NEGOCIAÇÕES!E1268,"")</f>
        <v/>
      </c>
      <c r="D1268" s="6" t="str">
        <f ca="1">IF(AND(NEGOCIAÇÕES!O1268="",NEGOCIAÇÕES!N1268&lt;TODAY()),NEGOCIAÇÕES!D1268,"")</f>
        <v/>
      </c>
      <c r="E1268" s="9" t="str">
        <f ca="1">IF(AND(NEGOCIAÇÕES!O1268="",NEGOCIAÇÕES!N1268&lt;TODAY()),NEGOCIAÇÕES!N1268,"")</f>
        <v/>
      </c>
    </row>
    <row r="1269" spans="2:5" ht="31.95" hidden="1" customHeight="1" x14ac:dyDescent="0.3">
      <c r="B1269" s="6" t="str">
        <f ca="1">IF(AND(NEGOCIAÇÕES!O1269="",NEGOCIAÇÕES!N1269&lt;TODAY()),NEGOCIAÇÕES!C1269,"")</f>
        <v/>
      </c>
      <c r="C1269" s="6" t="str">
        <f ca="1">IF(AND(NEGOCIAÇÕES!O1269="",NEGOCIAÇÕES!N1269&lt;TODAY()),NEGOCIAÇÕES!E1269,"")</f>
        <v/>
      </c>
      <c r="D1269" s="6" t="str">
        <f ca="1">IF(AND(NEGOCIAÇÕES!O1269="",NEGOCIAÇÕES!N1269&lt;TODAY()),NEGOCIAÇÕES!D1269,"")</f>
        <v/>
      </c>
      <c r="E1269" s="9" t="str">
        <f ca="1">IF(AND(NEGOCIAÇÕES!O1269="",NEGOCIAÇÕES!N1269&lt;TODAY()),NEGOCIAÇÕES!N1269,"")</f>
        <v/>
      </c>
    </row>
    <row r="1270" spans="2:5" ht="31.95" hidden="1" customHeight="1" x14ac:dyDescent="0.3">
      <c r="B1270" s="6" t="str">
        <f ca="1">IF(AND(NEGOCIAÇÕES!O1270="",NEGOCIAÇÕES!N1270&lt;TODAY()),NEGOCIAÇÕES!C1270,"")</f>
        <v/>
      </c>
      <c r="C1270" s="6" t="str">
        <f ca="1">IF(AND(NEGOCIAÇÕES!O1270="",NEGOCIAÇÕES!N1270&lt;TODAY()),NEGOCIAÇÕES!E1270,"")</f>
        <v/>
      </c>
      <c r="D1270" s="6" t="str">
        <f ca="1">IF(AND(NEGOCIAÇÕES!O1270="",NEGOCIAÇÕES!N1270&lt;TODAY()),NEGOCIAÇÕES!D1270,"")</f>
        <v/>
      </c>
      <c r="E1270" s="9" t="str">
        <f ca="1">IF(AND(NEGOCIAÇÕES!O1270="",NEGOCIAÇÕES!N1270&lt;TODAY()),NEGOCIAÇÕES!N1270,"")</f>
        <v/>
      </c>
    </row>
    <row r="1271" spans="2:5" ht="31.95" hidden="1" customHeight="1" x14ac:dyDescent="0.3">
      <c r="B1271" s="6" t="str">
        <f ca="1">IF(AND(NEGOCIAÇÕES!O1271="",NEGOCIAÇÕES!N1271&lt;TODAY()),NEGOCIAÇÕES!C1271,"")</f>
        <v/>
      </c>
      <c r="C1271" s="6" t="str">
        <f ca="1">IF(AND(NEGOCIAÇÕES!O1271="",NEGOCIAÇÕES!N1271&lt;TODAY()),NEGOCIAÇÕES!E1271,"")</f>
        <v/>
      </c>
      <c r="D1271" s="6" t="str">
        <f ca="1">IF(AND(NEGOCIAÇÕES!O1271="",NEGOCIAÇÕES!N1271&lt;TODAY()),NEGOCIAÇÕES!D1271,"")</f>
        <v/>
      </c>
      <c r="E1271" s="9" t="str">
        <f ca="1">IF(AND(NEGOCIAÇÕES!O1271="",NEGOCIAÇÕES!N1271&lt;TODAY()),NEGOCIAÇÕES!N1271,"")</f>
        <v/>
      </c>
    </row>
    <row r="1272" spans="2:5" ht="31.95" hidden="1" customHeight="1" x14ac:dyDescent="0.3">
      <c r="B1272" s="6" t="str">
        <f ca="1">IF(AND(NEGOCIAÇÕES!O1272="",NEGOCIAÇÕES!N1272&lt;TODAY()),NEGOCIAÇÕES!C1272,"")</f>
        <v/>
      </c>
      <c r="C1272" s="6" t="str">
        <f ca="1">IF(AND(NEGOCIAÇÕES!O1272="",NEGOCIAÇÕES!N1272&lt;TODAY()),NEGOCIAÇÕES!E1272,"")</f>
        <v/>
      </c>
      <c r="D1272" s="6" t="str">
        <f ca="1">IF(AND(NEGOCIAÇÕES!O1272="",NEGOCIAÇÕES!N1272&lt;TODAY()),NEGOCIAÇÕES!D1272,"")</f>
        <v/>
      </c>
      <c r="E1272" s="9" t="str">
        <f ca="1">IF(AND(NEGOCIAÇÕES!O1272="",NEGOCIAÇÕES!N1272&lt;TODAY()),NEGOCIAÇÕES!N1272,"")</f>
        <v/>
      </c>
    </row>
    <row r="1273" spans="2:5" ht="31.95" hidden="1" customHeight="1" x14ac:dyDescent="0.3">
      <c r="B1273" s="6" t="str">
        <f ca="1">IF(AND(NEGOCIAÇÕES!O1273="",NEGOCIAÇÕES!N1273&lt;TODAY()),NEGOCIAÇÕES!C1273,"")</f>
        <v/>
      </c>
      <c r="C1273" s="6" t="str">
        <f ca="1">IF(AND(NEGOCIAÇÕES!O1273="",NEGOCIAÇÕES!N1273&lt;TODAY()),NEGOCIAÇÕES!E1273,"")</f>
        <v/>
      </c>
      <c r="D1273" s="6" t="str">
        <f ca="1">IF(AND(NEGOCIAÇÕES!O1273="",NEGOCIAÇÕES!N1273&lt;TODAY()),NEGOCIAÇÕES!D1273,"")</f>
        <v/>
      </c>
      <c r="E1273" s="9" t="str">
        <f ca="1">IF(AND(NEGOCIAÇÕES!O1273="",NEGOCIAÇÕES!N1273&lt;TODAY()),NEGOCIAÇÕES!N1273,"")</f>
        <v/>
      </c>
    </row>
    <row r="1274" spans="2:5" ht="31.95" hidden="1" customHeight="1" x14ac:dyDescent="0.3">
      <c r="B1274" s="6" t="str">
        <f ca="1">IF(AND(NEGOCIAÇÕES!O1274="",NEGOCIAÇÕES!N1274&lt;TODAY()),NEGOCIAÇÕES!C1274,"")</f>
        <v/>
      </c>
      <c r="C1274" s="6" t="str">
        <f ca="1">IF(AND(NEGOCIAÇÕES!O1274="",NEGOCIAÇÕES!N1274&lt;TODAY()),NEGOCIAÇÕES!E1274,"")</f>
        <v/>
      </c>
      <c r="D1274" s="6" t="str">
        <f ca="1">IF(AND(NEGOCIAÇÕES!O1274="",NEGOCIAÇÕES!N1274&lt;TODAY()),NEGOCIAÇÕES!D1274,"")</f>
        <v/>
      </c>
      <c r="E1274" s="9" t="str">
        <f ca="1">IF(AND(NEGOCIAÇÕES!O1274="",NEGOCIAÇÕES!N1274&lt;TODAY()),NEGOCIAÇÕES!N1274,"")</f>
        <v/>
      </c>
    </row>
    <row r="1275" spans="2:5" ht="31.95" hidden="1" customHeight="1" x14ac:dyDescent="0.3">
      <c r="B1275" s="6" t="str">
        <f ca="1">IF(AND(NEGOCIAÇÕES!O1275="",NEGOCIAÇÕES!N1275&lt;TODAY()),NEGOCIAÇÕES!C1275,"")</f>
        <v/>
      </c>
      <c r="C1275" s="6" t="str">
        <f ca="1">IF(AND(NEGOCIAÇÕES!O1275="",NEGOCIAÇÕES!N1275&lt;TODAY()),NEGOCIAÇÕES!E1275,"")</f>
        <v/>
      </c>
      <c r="D1275" s="6" t="str">
        <f ca="1">IF(AND(NEGOCIAÇÕES!O1275="",NEGOCIAÇÕES!N1275&lt;TODAY()),NEGOCIAÇÕES!D1275,"")</f>
        <v/>
      </c>
      <c r="E1275" s="9" t="str">
        <f ca="1">IF(AND(NEGOCIAÇÕES!O1275="",NEGOCIAÇÕES!N1275&lt;TODAY()),NEGOCIAÇÕES!N1275,"")</f>
        <v/>
      </c>
    </row>
    <row r="1276" spans="2:5" ht="31.95" hidden="1" customHeight="1" x14ac:dyDescent="0.3">
      <c r="B1276" s="6" t="str">
        <f ca="1">IF(AND(NEGOCIAÇÕES!O1276="",NEGOCIAÇÕES!N1276&lt;TODAY()),NEGOCIAÇÕES!C1276,"")</f>
        <v/>
      </c>
      <c r="C1276" s="6" t="str">
        <f ca="1">IF(AND(NEGOCIAÇÕES!O1276="",NEGOCIAÇÕES!N1276&lt;TODAY()),NEGOCIAÇÕES!E1276,"")</f>
        <v/>
      </c>
      <c r="D1276" s="6" t="str">
        <f ca="1">IF(AND(NEGOCIAÇÕES!O1276="",NEGOCIAÇÕES!N1276&lt;TODAY()),NEGOCIAÇÕES!D1276,"")</f>
        <v/>
      </c>
      <c r="E1276" s="9" t="str">
        <f ca="1">IF(AND(NEGOCIAÇÕES!O1276="",NEGOCIAÇÕES!N1276&lt;TODAY()),NEGOCIAÇÕES!N1276,"")</f>
        <v/>
      </c>
    </row>
    <row r="1277" spans="2:5" ht="31.95" hidden="1" customHeight="1" x14ac:dyDescent="0.3">
      <c r="B1277" s="6" t="str">
        <f ca="1">IF(AND(NEGOCIAÇÕES!O1277="",NEGOCIAÇÕES!N1277&lt;TODAY()),NEGOCIAÇÕES!C1277,"")</f>
        <v/>
      </c>
      <c r="C1277" s="6" t="str">
        <f ca="1">IF(AND(NEGOCIAÇÕES!O1277="",NEGOCIAÇÕES!N1277&lt;TODAY()),NEGOCIAÇÕES!E1277,"")</f>
        <v/>
      </c>
      <c r="D1277" s="6" t="str">
        <f ca="1">IF(AND(NEGOCIAÇÕES!O1277="",NEGOCIAÇÕES!N1277&lt;TODAY()),NEGOCIAÇÕES!D1277,"")</f>
        <v/>
      </c>
      <c r="E1277" s="9" t="str">
        <f ca="1">IF(AND(NEGOCIAÇÕES!O1277="",NEGOCIAÇÕES!N1277&lt;TODAY()),NEGOCIAÇÕES!N1277,"")</f>
        <v/>
      </c>
    </row>
    <row r="1278" spans="2:5" ht="31.95" hidden="1" customHeight="1" x14ac:dyDescent="0.3">
      <c r="B1278" s="6" t="str">
        <f ca="1">IF(AND(NEGOCIAÇÕES!O1278="",NEGOCIAÇÕES!N1278&lt;TODAY()),NEGOCIAÇÕES!C1278,"")</f>
        <v/>
      </c>
      <c r="C1278" s="6" t="str">
        <f ca="1">IF(AND(NEGOCIAÇÕES!O1278="",NEGOCIAÇÕES!N1278&lt;TODAY()),NEGOCIAÇÕES!E1278,"")</f>
        <v/>
      </c>
      <c r="D1278" s="6" t="str">
        <f ca="1">IF(AND(NEGOCIAÇÕES!O1278="",NEGOCIAÇÕES!N1278&lt;TODAY()),NEGOCIAÇÕES!D1278,"")</f>
        <v/>
      </c>
      <c r="E1278" s="9" t="str">
        <f ca="1">IF(AND(NEGOCIAÇÕES!O1278="",NEGOCIAÇÕES!N1278&lt;TODAY()),NEGOCIAÇÕES!N1278,"")</f>
        <v/>
      </c>
    </row>
    <row r="1279" spans="2:5" ht="31.95" hidden="1" customHeight="1" x14ac:dyDescent="0.3">
      <c r="B1279" s="6" t="str">
        <f ca="1">IF(AND(NEGOCIAÇÕES!O1279="",NEGOCIAÇÕES!N1279&lt;TODAY()),NEGOCIAÇÕES!C1279,"")</f>
        <v/>
      </c>
      <c r="C1279" s="6" t="str">
        <f ca="1">IF(AND(NEGOCIAÇÕES!O1279="",NEGOCIAÇÕES!N1279&lt;TODAY()),NEGOCIAÇÕES!E1279,"")</f>
        <v/>
      </c>
      <c r="D1279" s="6" t="str">
        <f ca="1">IF(AND(NEGOCIAÇÕES!O1279="",NEGOCIAÇÕES!N1279&lt;TODAY()),NEGOCIAÇÕES!D1279,"")</f>
        <v/>
      </c>
      <c r="E1279" s="9" t="str">
        <f ca="1">IF(AND(NEGOCIAÇÕES!O1279="",NEGOCIAÇÕES!N1279&lt;TODAY()),NEGOCIAÇÕES!N1279,"")</f>
        <v/>
      </c>
    </row>
    <row r="1280" spans="2:5" ht="31.95" hidden="1" customHeight="1" x14ac:dyDescent="0.3">
      <c r="B1280" s="6" t="str">
        <f ca="1">IF(AND(NEGOCIAÇÕES!O1280="",NEGOCIAÇÕES!N1280&lt;TODAY()),NEGOCIAÇÕES!C1280,"")</f>
        <v/>
      </c>
      <c r="C1280" s="6" t="str">
        <f ca="1">IF(AND(NEGOCIAÇÕES!O1280="",NEGOCIAÇÕES!N1280&lt;TODAY()),NEGOCIAÇÕES!E1280,"")</f>
        <v/>
      </c>
      <c r="D1280" s="6" t="str">
        <f ca="1">IF(AND(NEGOCIAÇÕES!O1280="",NEGOCIAÇÕES!N1280&lt;TODAY()),NEGOCIAÇÕES!D1280,"")</f>
        <v/>
      </c>
      <c r="E1280" s="9" t="str">
        <f ca="1">IF(AND(NEGOCIAÇÕES!O1280="",NEGOCIAÇÕES!N1280&lt;TODAY()),NEGOCIAÇÕES!N1280,"")</f>
        <v/>
      </c>
    </row>
    <row r="1281" spans="2:5" ht="31.95" hidden="1" customHeight="1" x14ac:dyDescent="0.3">
      <c r="B1281" s="6" t="str">
        <f ca="1">IF(AND(NEGOCIAÇÕES!O1281="",NEGOCIAÇÕES!N1281&lt;TODAY()),NEGOCIAÇÕES!C1281,"")</f>
        <v/>
      </c>
      <c r="C1281" s="6" t="str">
        <f ca="1">IF(AND(NEGOCIAÇÕES!O1281="",NEGOCIAÇÕES!N1281&lt;TODAY()),NEGOCIAÇÕES!E1281,"")</f>
        <v/>
      </c>
      <c r="D1281" s="6" t="str">
        <f ca="1">IF(AND(NEGOCIAÇÕES!O1281="",NEGOCIAÇÕES!N1281&lt;TODAY()),NEGOCIAÇÕES!D1281,"")</f>
        <v/>
      </c>
      <c r="E1281" s="9" t="str">
        <f ca="1">IF(AND(NEGOCIAÇÕES!O1281="",NEGOCIAÇÕES!N1281&lt;TODAY()),NEGOCIAÇÕES!N1281,"")</f>
        <v/>
      </c>
    </row>
    <row r="1282" spans="2:5" ht="31.95" hidden="1" customHeight="1" x14ac:dyDescent="0.3">
      <c r="B1282" s="6" t="str">
        <f ca="1">IF(AND(NEGOCIAÇÕES!O1282="",NEGOCIAÇÕES!N1282&lt;TODAY()),NEGOCIAÇÕES!C1282,"")</f>
        <v/>
      </c>
      <c r="C1282" s="6" t="str">
        <f ca="1">IF(AND(NEGOCIAÇÕES!O1282="",NEGOCIAÇÕES!N1282&lt;TODAY()),NEGOCIAÇÕES!E1282,"")</f>
        <v/>
      </c>
      <c r="D1282" s="6" t="str">
        <f ca="1">IF(AND(NEGOCIAÇÕES!O1282="",NEGOCIAÇÕES!N1282&lt;TODAY()),NEGOCIAÇÕES!D1282,"")</f>
        <v/>
      </c>
      <c r="E1282" s="9" t="str">
        <f ca="1">IF(AND(NEGOCIAÇÕES!O1282="",NEGOCIAÇÕES!N1282&lt;TODAY()),NEGOCIAÇÕES!N1282,"")</f>
        <v/>
      </c>
    </row>
    <row r="1283" spans="2:5" ht="31.95" hidden="1" customHeight="1" x14ac:dyDescent="0.3">
      <c r="B1283" s="6" t="str">
        <f ca="1">IF(AND(NEGOCIAÇÕES!O1283="",NEGOCIAÇÕES!N1283&lt;TODAY()),NEGOCIAÇÕES!C1283,"")</f>
        <v/>
      </c>
      <c r="C1283" s="6" t="str">
        <f ca="1">IF(AND(NEGOCIAÇÕES!O1283="",NEGOCIAÇÕES!N1283&lt;TODAY()),NEGOCIAÇÕES!E1283,"")</f>
        <v/>
      </c>
      <c r="D1283" s="6" t="str">
        <f ca="1">IF(AND(NEGOCIAÇÕES!O1283="",NEGOCIAÇÕES!N1283&lt;TODAY()),NEGOCIAÇÕES!D1283,"")</f>
        <v/>
      </c>
      <c r="E1283" s="9" t="str">
        <f ca="1">IF(AND(NEGOCIAÇÕES!O1283="",NEGOCIAÇÕES!N1283&lt;TODAY()),NEGOCIAÇÕES!N1283,"")</f>
        <v/>
      </c>
    </row>
    <row r="1284" spans="2:5" ht="31.95" hidden="1" customHeight="1" x14ac:dyDescent="0.3">
      <c r="B1284" s="6" t="str">
        <f ca="1">IF(AND(NEGOCIAÇÕES!O1284="",NEGOCIAÇÕES!N1284&lt;TODAY()),NEGOCIAÇÕES!C1284,"")</f>
        <v/>
      </c>
      <c r="C1284" s="6" t="str">
        <f ca="1">IF(AND(NEGOCIAÇÕES!O1284="",NEGOCIAÇÕES!N1284&lt;TODAY()),NEGOCIAÇÕES!E1284,"")</f>
        <v/>
      </c>
      <c r="D1284" s="6" t="str">
        <f ca="1">IF(AND(NEGOCIAÇÕES!O1284="",NEGOCIAÇÕES!N1284&lt;TODAY()),NEGOCIAÇÕES!D1284,"")</f>
        <v/>
      </c>
      <c r="E1284" s="9" t="str">
        <f ca="1">IF(AND(NEGOCIAÇÕES!O1284="",NEGOCIAÇÕES!N1284&lt;TODAY()),NEGOCIAÇÕES!N1284,"")</f>
        <v/>
      </c>
    </row>
    <row r="1285" spans="2:5" ht="31.95" hidden="1" customHeight="1" x14ac:dyDescent="0.3">
      <c r="B1285" s="6" t="str">
        <f ca="1">IF(AND(NEGOCIAÇÕES!O1285="",NEGOCIAÇÕES!N1285&lt;TODAY()),NEGOCIAÇÕES!C1285,"")</f>
        <v/>
      </c>
      <c r="C1285" s="6" t="str">
        <f ca="1">IF(AND(NEGOCIAÇÕES!O1285="",NEGOCIAÇÕES!N1285&lt;TODAY()),NEGOCIAÇÕES!E1285,"")</f>
        <v/>
      </c>
      <c r="D1285" s="6" t="str">
        <f ca="1">IF(AND(NEGOCIAÇÕES!O1285="",NEGOCIAÇÕES!N1285&lt;TODAY()),NEGOCIAÇÕES!D1285,"")</f>
        <v/>
      </c>
      <c r="E1285" s="9" t="str">
        <f ca="1">IF(AND(NEGOCIAÇÕES!O1285="",NEGOCIAÇÕES!N1285&lt;TODAY()),NEGOCIAÇÕES!N1285,"")</f>
        <v/>
      </c>
    </row>
    <row r="1286" spans="2:5" ht="31.95" hidden="1" customHeight="1" x14ac:dyDescent="0.3">
      <c r="B1286" s="6" t="str">
        <f ca="1">IF(AND(NEGOCIAÇÕES!O1286="",NEGOCIAÇÕES!N1286&lt;TODAY()),NEGOCIAÇÕES!C1286,"")</f>
        <v/>
      </c>
      <c r="C1286" s="6" t="str">
        <f ca="1">IF(AND(NEGOCIAÇÕES!O1286="",NEGOCIAÇÕES!N1286&lt;TODAY()),NEGOCIAÇÕES!E1286,"")</f>
        <v/>
      </c>
      <c r="D1286" s="6" t="str">
        <f ca="1">IF(AND(NEGOCIAÇÕES!O1286="",NEGOCIAÇÕES!N1286&lt;TODAY()),NEGOCIAÇÕES!D1286,"")</f>
        <v/>
      </c>
      <c r="E1286" s="9" t="str">
        <f ca="1">IF(AND(NEGOCIAÇÕES!O1286="",NEGOCIAÇÕES!N1286&lt;TODAY()),NEGOCIAÇÕES!N1286,"")</f>
        <v/>
      </c>
    </row>
    <row r="1287" spans="2:5" ht="31.95" hidden="1" customHeight="1" x14ac:dyDescent="0.3">
      <c r="B1287" s="6" t="str">
        <f ca="1">IF(AND(NEGOCIAÇÕES!O1287="",NEGOCIAÇÕES!N1287&lt;TODAY()),NEGOCIAÇÕES!C1287,"")</f>
        <v/>
      </c>
      <c r="C1287" s="6" t="str">
        <f ca="1">IF(AND(NEGOCIAÇÕES!O1287="",NEGOCIAÇÕES!N1287&lt;TODAY()),NEGOCIAÇÕES!E1287,"")</f>
        <v/>
      </c>
      <c r="D1287" s="6" t="str">
        <f ca="1">IF(AND(NEGOCIAÇÕES!O1287="",NEGOCIAÇÕES!N1287&lt;TODAY()),NEGOCIAÇÕES!D1287,"")</f>
        <v/>
      </c>
      <c r="E1287" s="9" t="str">
        <f ca="1">IF(AND(NEGOCIAÇÕES!O1287="",NEGOCIAÇÕES!N1287&lt;TODAY()),NEGOCIAÇÕES!N1287,"")</f>
        <v/>
      </c>
    </row>
    <row r="1288" spans="2:5" ht="31.95" hidden="1" customHeight="1" x14ac:dyDescent="0.3">
      <c r="B1288" s="6" t="str">
        <f ca="1">IF(AND(NEGOCIAÇÕES!O1288="",NEGOCIAÇÕES!N1288&lt;TODAY()),NEGOCIAÇÕES!C1288,"")</f>
        <v/>
      </c>
      <c r="C1288" s="6" t="str">
        <f ca="1">IF(AND(NEGOCIAÇÕES!O1288="",NEGOCIAÇÕES!N1288&lt;TODAY()),NEGOCIAÇÕES!E1288,"")</f>
        <v/>
      </c>
      <c r="D1288" s="6" t="str">
        <f ca="1">IF(AND(NEGOCIAÇÕES!O1288="",NEGOCIAÇÕES!N1288&lt;TODAY()),NEGOCIAÇÕES!D1288,"")</f>
        <v/>
      </c>
      <c r="E1288" s="9" t="str">
        <f ca="1">IF(AND(NEGOCIAÇÕES!O1288="",NEGOCIAÇÕES!N1288&lt;TODAY()),NEGOCIAÇÕES!N1288,"")</f>
        <v/>
      </c>
    </row>
    <row r="1289" spans="2:5" ht="31.95" hidden="1" customHeight="1" x14ac:dyDescent="0.3">
      <c r="B1289" s="6" t="str">
        <f ca="1">IF(AND(NEGOCIAÇÕES!O1289="",NEGOCIAÇÕES!N1289&lt;TODAY()),NEGOCIAÇÕES!C1289,"")</f>
        <v/>
      </c>
      <c r="C1289" s="6" t="str">
        <f ca="1">IF(AND(NEGOCIAÇÕES!O1289="",NEGOCIAÇÕES!N1289&lt;TODAY()),NEGOCIAÇÕES!E1289,"")</f>
        <v/>
      </c>
      <c r="D1289" s="6" t="str">
        <f ca="1">IF(AND(NEGOCIAÇÕES!O1289="",NEGOCIAÇÕES!N1289&lt;TODAY()),NEGOCIAÇÕES!D1289,"")</f>
        <v/>
      </c>
      <c r="E1289" s="9" t="str">
        <f ca="1">IF(AND(NEGOCIAÇÕES!O1289="",NEGOCIAÇÕES!N1289&lt;TODAY()),NEGOCIAÇÕES!N1289,"")</f>
        <v/>
      </c>
    </row>
    <row r="1290" spans="2:5" ht="31.95" hidden="1" customHeight="1" x14ac:dyDescent="0.3">
      <c r="B1290" s="6" t="str">
        <f ca="1">IF(AND(NEGOCIAÇÕES!O1290="",NEGOCIAÇÕES!N1290&lt;TODAY()),NEGOCIAÇÕES!C1290,"")</f>
        <v/>
      </c>
      <c r="C1290" s="6" t="str">
        <f ca="1">IF(AND(NEGOCIAÇÕES!O1290="",NEGOCIAÇÕES!N1290&lt;TODAY()),NEGOCIAÇÕES!E1290,"")</f>
        <v/>
      </c>
      <c r="D1290" s="6" t="str">
        <f ca="1">IF(AND(NEGOCIAÇÕES!O1290="",NEGOCIAÇÕES!N1290&lt;TODAY()),NEGOCIAÇÕES!D1290,"")</f>
        <v/>
      </c>
      <c r="E1290" s="9" t="str">
        <f ca="1">IF(AND(NEGOCIAÇÕES!O1290="",NEGOCIAÇÕES!N1290&lt;TODAY()),NEGOCIAÇÕES!N1290,"")</f>
        <v/>
      </c>
    </row>
    <row r="1291" spans="2:5" ht="31.95" hidden="1" customHeight="1" x14ac:dyDescent="0.3">
      <c r="B1291" s="6" t="str">
        <f ca="1">IF(AND(NEGOCIAÇÕES!O1291="",NEGOCIAÇÕES!N1291&lt;TODAY()),NEGOCIAÇÕES!C1291,"")</f>
        <v/>
      </c>
      <c r="C1291" s="6" t="str">
        <f ca="1">IF(AND(NEGOCIAÇÕES!O1291="",NEGOCIAÇÕES!N1291&lt;TODAY()),NEGOCIAÇÕES!E1291,"")</f>
        <v/>
      </c>
      <c r="D1291" s="6" t="str">
        <f ca="1">IF(AND(NEGOCIAÇÕES!O1291="",NEGOCIAÇÕES!N1291&lt;TODAY()),NEGOCIAÇÕES!D1291,"")</f>
        <v/>
      </c>
      <c r="E1291" s="9" t="str">
        <f ca="1">IF(AND(NEGOCIAÇÕES!O1291="",NEGOCIAÇÕES!N1291&lt;TODAY()),NEGOCIAÇÕES!N1291,"")</f>
        <v/>
      </c>
    </row>
    <row r="1292" spans="2:5" ht="31.95" hidden="1" customHeight="1" x14ac:dyDescent="0.3">
      <c r="B1292" s="6" t="str">
        <f ca="1">IF(AND(NEGOCIAÇÕES!O1292="",NEGOCIAÇÕES!N1292&lt;TODAY()),NEGOCIAÇÕES!C1292,"")</f>
        <v/>
      </c>
      <c r="C1292" s="6" t="str">
        <f ca="1">IF(AND(NEGOCIAÇÕES!O1292="",NEGOCIAÇÕES!N1292&lt;TODAY()),NEGOCIAÇÕES!E1292,"")</f>
        <v/>
      </c>
      <c r="D1292" s="6" t="str">
        <f ca="1">IF(AND(NEGOCIAÇÕES!O1292="",NEGOCIAÇÕES!N1292&lt;TODAY()),NEGOCIAÇÕES!D1292,"")</f>
        <v/>
      </c>
      <c r="E1292" s="9" t="str">
        <f ca="1">IF(AND(NEGOCIAÇÕES!O1292="",NEGOCIAÇÕES!N1292&lt;TODAY()),NEGOCIAÇÕES!N1292,"")</f>
        <v/>
      </c>
    </row>
    <row r="1293" spans="2:5" ht="31.95" hidden="1" customHeight="1" x14ac:dyDescent="0.3">
      <c r="B1293" s="6" t="str">
        <f ca="1">IF(AND(NEGOCIAÇÕES!O1293="",NEGOCIAÇÕES!N1293&lt;TODAY()),NEGOCIAÇÕES!C1293,"")</f>
        <v/>
      </c>
      <c r="C1293" s="6" t="str">
        <f ca="1">IF(AND(NEGOCIAÇÕES!O1293="",NEGOCIAÇÕES!N1293&lt;TODAY()),NEGOCIAÇÕES!E1293,"")</f>
        <v/>
      </c>
      <c r="D1293" s="6" t="str">
        <f ca="1">IF(AND(NEGOCIAÇÕES!O1293="",NEGOCIAÇÕES!N1293&lt;TODAY()),NEGOCIAÇÕES!D1293,"")</f>
        <v/>
      </c>
      <c r="E1293" s="9" t="str">
        <f ca="1">IF(AND(NEGOCIAÇÕES!O1293="",NEGOCIAÇÕES!N1293&lt;TODAY()),NEGOCIAÇÕES!N1293,"")</f>
        <v/>
      </c>
    </row>
    <row r="1294" spans="2:5" ht="31.95" hidden="1" customHeight="1" x14ac:dyDescent="0.3">
      <c r="B1294" s="6" t="str">
        <f ca="1">IF(AND(NEGOCIAÇÕES!O1294="",NEGOCIAÇÕES!N1294&lt;TODAY()),NEGOCIAÇÕES!C1294,"")</f>
        <v/>
      </c>
      <c r="C1294" s="6" t="str">
        <f ca="1">IF(AND(NEGOCIAÇÕES!O1294="",NEGOCIAÇÕES!N1294&lt;TODAY()),NEGOCIAÇÕES!E1294,"")</f>
        <v/>
      </c>
      <c r="D1294" s="6" t="str">
        <f ca="1">IF(AND(NEGOCIAÇÕES!O1294="",NEGOCIAÇÕES!N1294&lt;TODAY()),NEGOCIAÇÕES!D1294,"")</f>
        <v/>
      </c>
      <c r="E1294" s="9" t="str">
        <f ca="1">IF(AND(NEGOCIAÇÕES!O1294="",NEGOCIAÇÕES!N1294&lt;TODAY()),NEGOCIAÇÕES!N1294,"")</f>
        <v/>
      </c>
    </row>
    <row r="1295" spans="2:5" ht="31.95" hidden="1" customHeight="1" x14ac:dyDescent="0.3">
      <c r="B1295" s="6" t="str">
        <f ca="1">IF(AND(NEGOCIAÇÕES!O1295="",NEGOCIAÇÕES!N1295&lt;TODAY()),NEGOCIAÇÕES!C1295,"")</f>
        <v/>
      </c>
      <c r="C1295" s="6" t="str">
        <f ca="1">IF(AND(NEGOCIAÇÕES!O1295="",NEGOCIAÇÕES!N1295&lt;TODAY()),NEGOCIAÇÕES!E1295,"")</f>
        <v/>
      </c>
      <c r="D1295" s="6" t="str">
        <f ca="1">IF(AND(NEGOCIAÇÕES!O1295="",NEGOCIAÇÕES!N1295&lt;TODAY()),NEGOCIAÇÕES!D1295,"")</f>
        <v/>
      </c>
      <c r="E1295" s="9" t="str">
        <f ca="1">IF(AND(NEGOCIAÇÕES!O1295="",NEGOCIAÇÕES!N1295&lt;TODAY()),NEGOCIAÇÕES!N1295,"")</f>
        <v/>
      </c>
    </row>
    <row r="1296" spans="2:5" ht="31.95" hidden="1" customHeight="1" x14ac:dyDescent="0.3">
      <c r="B1296" s="6" t="str">
        <f ca="1">IF(AND(NEGOCIAÇÕES!O1296="",NEGOCIAÇÕES!N1296&lt;TODAY()),NEGOCIAÇÕES!C1296,"")</f>
        <v/>
      </c>
      <c r="C1296" s="6" t="str">
        <f ca="1">IF(AND(NEGOCIAÇÕES!O1296="",NEGOCIAÇÕES!N1296&lt;TODAY()),NEGOCIAÇÕES!E1296,"")</f>
        <v/>
      </c>
      <c r="D1296" s="6" t="str">
        <f ca="1">IF(AND(NEGOCIAÇÕES!O1296="",NEGOCIAÇÕES!N1296&lt;TODAY()),NEGOCIAÇÕES!D1296,"")</f>
        <v/>
      </c>
      <c r="E1296" s="9" t="str">
        <f ca="1">IF(AND(NEGOCIAÇÕES!O1296="",NEGOCIAÇÕES!N1296&lt;TODAY()),NEGOCIAÇÕES!N1296,"")</f>
        <v/>
      </c>
    </row>
    <row r="1297" spans="2:5" ht="31.95" hidden="1" customHeight="1" x14ac:dyDescent="0.3">
      <c r="B1297" s="6" t="str">
        <f ca="1">IF(AND(NEGOCIAÇÕES!O1297="",NEGOCIAÇÕES!N1297&lt;TODAY()),NEGOCIAÇÕES!C1297,"")</f>
        <v/>
      </c>
      <c r="C1297" s="6" t="str">
        <f ca="1">IF(AND(NEGOCIAÇÕES!O1297="",NEGOCIAÇÕES!N1297&lt;TODAY()),NEGOCIAÇÕES!E1297,"")</f>
        <v/>
      </c>
      <c r="D1297" s="6" t="str">
        <f ca="1">IF(AND(NEGOCIAÇÕES!O1297="",NEGOCIAÇÕES!N1297&lt;TODAY()),NEGOCIAÇÕES!D1297,"")</f>
        <v/>
      </c>
      <c r="E1297" s="9" t="str">
        <f ca="1">IF(AND(NEGOCIAÇÕES!O1297="",NEGOCIAÇÕES!N1297&lt;TODAY()),NEGOCIAÇÕES!N1297,"")</f>
        <v/>
      </c>
    </row>
    <row r="1298" spans="2:5" ht="31.95" hidden="1" customHeight="1" x14ac:dyDescent="0.3">
      <c r="B1298" s="6" t="str">
        <f ca="1">IF(AND(NEGOCIAÇÕES!O1298="",NEGOCIAÇÕES!N1298&lt;TODAY()),NEGOCIAÇÕES!C1298,"")</f>
        <v/>
      </c>
      <c r="C1298" s="6" t="str">
        <f ca="1">IF(AND(NEGOCIAÇÕES!O1298="",NEGOCIAÇÕES!N1298&lt;TODAY()),NEGOCIAÇÕES!E1298,"")</f>
        <v/>
      </c>
      <c r="D1298" s="6" t="str">
        <f ca="1">IF(AND(NEGOCIAÇÕES!O1298="",NEGOCIAÇÕES!N1298&lt;TODAY()),NEGOCIAÇÕES!D1298,"")</f>
        <v/>
      </c>
      <c r="E1298" s="9" t="str">
        <f ca="1">IF(AND(NEGOCIAÇÕES!O1298="",NEGOCIAÇÕES!N1298&lt;TODAY()),NEGOCIAÇÕES!N1298,"")</f>
        <v/>
      </c>
    </row>
    <row r="1299" spans="2:5" ht="31.95" hidden="1" customHeight="1" x14ac:dyDescent="0.3">
      <c r="B1299" s="6" t="str">
        <f ca="1">IF(AND(NEGOCIAÇÕES!O1299="",NEGOCIAÇÕES!N1299&lt;TODAY()),NEGOCIAÇÕES!C1299,"")</f>
        <v/>
      </c>
      <c r="C1299" s="6" t="str">
        <f ca="1">IF(AND(NEGOCIAÇÕES!O1299="",NEGOCIAÇÕES!N1299&lt;TODAY()),NEGOCIAÇÕES!E1299,"")</f>
        <v/>
      </c>
      <c r="D1299" s="6" t="str">
        <f ca="1">IF(AND(NEGOCIAÇÕES!O1299="",NEGOCIAÇÕES!N1299&lt;TODAY()),NEGOCIAÇÕES!D1299,"")</f>
        <v/>
      </c>
      <c r="E1299" s="9" t="str">
        <f ca="1">IF(AND(NEGOCIAÇÕES!O1299="",NEGOCIAÇÕES!N1299&lt;TODAY()),NEGOCIAÇÕES!N1299,"")</f>
        <v/>
      </c>
    </row>
    <row r="1300" spans="2:5" ht="31.95" hidden="1" customHeight="1" x14ac:dyDescent="0.3">
      <c r="B1300" s="6" t="str">
        <f ca="1">IF(AND(NEGOCIAÇÕES!O1300="",NEGOCIAÇÕES!N1300&lt;TODAY()),NEGOCIAÇÕES!C1300,"")</f>
        <v/>
      </c>
      <c r="C1300" s="6" t="str">
        <f ca="1">IF(AND(NEGOCIAÇÕES!O1300="",NEGOCIAÇÕES!N1300&lt;TODAY()),NEGOCIAÇÕES!E1300,"")</f>
        <v/>
      </c>
      <c r="D1300" s="6" t="str">
        <f ca="1">IF(AND(NEGOCIAÇÕES!O1300="",NEGOCIAÇÕES!N1300&lt;TODAY()),NEGOCIAÇÕES!D1300,"")</f>
        <v/>
      </c>
      <c r="E1300" s="9" t="str">
        <f ca="1">IF(AND(NEGOCIAÇÕES!O1300="",NEGOCIAÇÕES!N1300&lt;TODAY()),NEGOCIAÇÕES!N1300,"")</f>
        <v/>
      </c>
    </row>
    <row r="1301" spans="2:5" ht="31.95" hidden="1" customHeight="1" x14ac:dyDescent="0.3">
      <c r="B1301" s="6" t="str">
        <f ca="1">IF(AND(NEGOCIAÇÕES!O1301="",NEGOCIAÇÕES!N1301&lt;TODAY()),NEGOCIAÇÕES!C1301,"")</f>
        <v/>
      </c>
      <c r="C1301" s="6" t="str">
        <f ca="1">IF(AND(NEGOCIAÇÕES!O1301="",NEGOCIAÇÕES!N1301&lt;TODAY()),NEGOCIAÇÕES!E1301,"")</f>
        <v/>
      </c>
      <c r="D1301" s="6" t="str">
        <f ca="1">IF(AND(NEGOCIAÇÕES!O1301="",NEGOCIAÇÕES!N1301&lt;TODAY()),NEGOCIAÇÕES!D1301,"")</f>
        <v/>
      </c>
      <c r="E1301" s="9" t="str">
        <f ca="1">IF(AND(NEGOCIAÇÕES!O1301="",NEGOCIAÇÕES!N1301&lt;TODAY()),NEGOCIAÇÕES!N1301,"")</f>
        <v/>
      </c>
    </row>
    <row r="1302" spans="2:5" ht="31.95" hidden="1" customHeight="1" x14ac:dyDescent="0.3">
      <c r="B1302" s="6" t="str">
        <f ca="1">IF(AND(NEGOCIAÇÕES!O1302="",NEGOCIAÇÕES!N1302&lt;TODAY()),NEGOCIAÇÕES!C1302,"")</f>
        <v/>
      </c>
      <c r="C1302" s="6" t="str">
        <f ca="1">IF(AND(NEGOCIAÇÕES!O1302="",NEGOCIAÇÕES!N1302&lt;TODAY()),NEGOCIAÇÕES!E1302,"")</f>
        <v/>
      </c>
      <c r="D1302" s="6" t="str">
        <f ca="1">IF(AND(NEGOCIAÇÕES!O1302="",NEGOCIAÇÕES!N1302&lt;TODAY()),NEGOCIAÇÕES!D1302,"")</f>
        <v/>
      </c>
      <c r="E1302" s="9" t="str">
        <f ca="1">IF(AND(NEGOCIAÇÕES!O1302="",NEGOCIAÇÕES!N1302&lt;TODAY()),NEGOCIAÇÕES!N1302,"")</f>
        <v/>
      </c>
    </row>
    <row r="1303" spans="2:5" ht="31.95" hidden="1" customHeight="1" x14ac:dyDescent="0.3">
      <c r="B1303" s="6" t="str">
        <f ca="1">IF(AND(NEGOCIAÇÕES!O1303="",NEGOCIAÇÕES!N1303&lt;TODAY()),NEGOCIAÇÕES!C1303,"")</f>
        <v/>
      </c>
      <c r="C1303" s="6" t="str">
        <f ca="1">IF(AND(NEGOCIAÇÕES!O1303="",NEGOCIAÇÕES!N1303&lt;TODAY()),NEGOCIAÇÕES!E1303,"")</f>
        <v/>
      </c>
      <c r="D1303" s="6" t="str">
        <f ca="1">IF(AND(NEGOCIAÇÕES!O1303="",NEGOCIAÇÕES!N1303&lt;TODAY()),NEGOCIAÇÕES!D1303,"")</f>
        <v/>
      </c>
      <c r="E1303" s="9" t="str">
        <f ca="1">IF(AND(NEGOCIAÇÕES!O1303="",NEGOCIAÇÕES!N1303&lt;TODAY()),NEGOCIAÇÕES!N1303,"")</f>
        <v/>
      </c>
    </row>
    <row r="1304" spans="2:5" ht="31.95" hidden="1" customHeight="1" x14ac:dyDescent="0.3">
      <c r="B1304" s="6" t="str">
        <f ca="1">IF(AND(NEGOCIAÇÕES!O1304="",NEGOCIAÇÕES!N1304&lt;TODAY()),NEGOCIAÇÕES!C1304,"")</f>
        <v/>
      </c>
      <c r="C1304" s="6" t="str">
        <f ca="1">IF(AND(NEGOCIAÇÕES!O1304="",NEGOCIAÇÕES!N1304&lt;TODAY()),NEGOCIAÇÕES!E1304,"")</f>
        <v/>
      </c>
      <c r="D1304" s="6" t="str">
        <f ca="1">IF(AND(NEGOCIAÇÕES!O1304="",NEGOCIAÇÕES!N1304&lt;TODAY()),NEGOCIAÇÕES!D1304,"")</f>
        <v/>
      </c>
      <c r="E1304" s="9" t="str">
        <f ca="1">IF(AND(NEGOCIAÇÕES!O1304="",NEGOCIAÇÕES!N1304&lt;TODAY()),NEGOCIAÇÕES!N1304,"")</f>
        <v/>
      </c>
    </row>
    <row r="1305" spans="2:5" ht="31.95" hidden="1" customHeight="1" x14ac:dyDescent="0.3">
      <c r="B1305" s="6" t="str">
        <f ca="1">IF(AND(NEGOCIAÇÕES!O1305="",NEGOCIAÇÕES!N1305&lt;TODAY()),NEGOCIAÇÕES!C1305,"")</f>
        <v/>
      </c>
      <c r="C1305" s="6" t="str">
        <f ca="1">IF(AND(NEGOCIAÇÕES!O1305="",NEGOCIAÇÕES!N1305&lt;TODAY()),NEGOCIAÇÕES!E1305,"")</f>
        <v/>
      </c>
      <c r="D1305" s="6" t="str">
        <f ca="1">IF(AND(NEGOCIAÇÕES!O1305="",NEGOCIAÇÕES!N1305&lt;TODAY()),NEGOCIAÇÕES!D1305,"")</f>
        <v/>
      </c>
      <c r="E1305" s="9" t="str">
        <f ca="1">IF(AND(NEGOCIAÇÕES!O1305="",NEGOCIAÇÕES!N1305&lt;TODAY()),NEGOCIAÇÕES!N1305,"")</f>
        <v/>
      </c>
    </row>
    <row r="1306" spans="2:5" ht="31.95" hidden="1" customHeight="1" x14ac:dyDescent="0.3">
      <c r="B1306" s="6" t="str">
        <f ca="1">IF(AND(NEGOCIAÇÕES!O1306="",NEGOCIAÇÕES!N1306&lt;TODAY()),NEGOCIAÇÕES!C1306,"")</f>
        <v/>
      </c>
      <c r="C1306" s="6" t="str">
        <f ca="1">IF(AND(NEGOCIAÇÕES!O1306="",NEGOCIAÇÕES!N1306&lt;TODAY()),NEGOCIAÇÕES!E1306,"")</f>
        <v/>
      </c>
      <c r="D1306" s="6" t="str">
        <f ca="1">IF(AND(NEGOCIAÇÕES!O1306="",NEGOCIAÇÕES!N1306&lt;TODAY()),NEGOCIAÇÕES!D1306,"")</f>
        <v/>
      </c>
      <c r="E1306" s="9" t="str">
        <f ca="1">IF(AND(NEGOCIAÇÕES!O1306="",NEGOCIAÇÕES!N1306&lt;TODAY()),NEGOCIAÇÕES!N1306,"")</f>
        <v/>
      </c>
    </row>
    <row r="1307" spans="2:5" ht="31.95" hidden="1" customHeight="1" x14ac:dyDescent="0.3">
      <c r="B1307" s="6" t="str">
        <f ca="1">IF(AND(NEGOCIAÇÕES!O1307="",NEGOCIAÇÕES!N1307&lt;TODAY()),NEGOCIAÇÕES!C1307,"")</f>
        <v/>
      </c>
      <c r="C1307" s="6" t="str">
        <f ca="1">IF(AND(NEGOCIAÇÕES!O1307="",NEGOCIAÇÕES!N1307&lt;TODAY()),NEGOCIAÇÕES!E1307,"")</f>
        <v/>
      </c>
      <c r="D1307" s="6" t="str">
        <f ca="1">IF(AND(NEGOCIAÇÕES!O1307="",NEGOCIAÇÕES!N1307&lt;TODAY()),NEGOCIAÇÕES!D1307,"")</f>
        <v/>
      </c>
      <c r="E1307" s="9" t="str">
        <f ca="1">IF(AND(NEGOCIAÇÕES!O1307="",NEGOCIAÇÕES!N1307&lt;TODAY()),NEGOCIAÇÕES!N1307,"")</f>
        <v/>
      </c>
    </row>
    <row r="1308" spans="2:5" ht="31.95" hidden="1" customHeight="1" x14ac:dyDescent="0.3">
      <c r="B1308" s="6" t="str">
        <f ca="1">IF(AND(NEGOCIAÇÕES!O1308="",NEGOCIAÇÕES!N1308&lt;TODAY()),NEGOCIAÇÕES!C1308,"")</f>
        <v/>
      </c>
      <c r="C1308" s="6" t="str">
        <f ca="1">IF(AND(NEGOCIAÇÕES!O1308="",NEGOCIAÇÕES!N1308&lt;TODAY()),NEGOCIAÇÕES!E1308,"")</f>
        <v/>
      </c>
      <c r="D1308" s="6" t="str">
        <f ca="1">IF(AND(NEGOCIAÇÕES!O1308="",NEGOCIAÇÕES!N1308&lt;TODAY()),NEGOCIAÇÕES!D1308,"")</f>
        <v/>
      </c>
      <c r="E1308" s="9" t="str">
        <f ca="1">IF(AND(NEGOCIAÇÕES!O1308="",NEGOCIAÇÕES!N1308&lt;TODAY()),NEGOCIAÇÕES!N1308,"")</f>
        <v/>
      </c>
    </row>
    <row r="1309" spans="2:5" ht="31.95" hidden="1" customHeight="1" x14ac:dyDescent="0.3">
      <c r="B1309" s="6" t="str">
        <f ca="1">IF(AND(NEGOCIAÇÕES!O1309="",NEGOCIAÇÕES!N1309&lt;TODAY()),NEGOCIAÇÕES!C1309,"")</f>
        <v/>
      </c>
      <c r="C1309" s="6" t="str">
        <f ca="1">IF(AND(NEGOCIAÇÕES!O1309="",NEGOCIAÇÕES!N1309&lt;TODAY()),NEGOCIAÇÕES!E1309,"")</f>
        <v/>
      </c>
      <c r="D1309" s="6" t="str">
        <f ca="1">IF(AND(NEGOCIAÇÕES!O1309="",NEGOCIAÇÕES!N1309&lt;TODAY()),NEGOCIAÇÕES!D1309,"")</f>
        <v/>
      </c>
      <c r="E1309" s="9" t="str">
        <f ca="1">IF(AND(NEGOCIAÇÕES!O1309="",NEGOCIAÇÕES!N1309&lt;TODAY()),NEGOCIAÇÕES!N1309,"")</f>
        <v/>
      </c>
    </row>
    <row r="1310" spans="2:5" ht="31.95" hidden="1" customHeight="1" x14ac:dyDescent="0.3">
      <c r="B1310" s="6" t="str">
        <f ca="1">IF(AND(NEGOCIAÇÕES!O1310="",NEGOCIAÇÕES!N1310&lt;TODAY()),NEGOCIAÇÕES!C1310,"")</f>
        <v/>
      </c>
      <c r="C1310" s="6" t="str">
        <f ca="1">IF(AND(NEGOCIAÇÕES!O1310="",NEGOCIAÇÕES!N1310&lt;TODAY()),NEGOCIAÇÕES!E1310,"")</f>
        <v/>
      </c>
      <c r="D1310" s="6" t="str">
        <f ca="1">IF(AND(NEGOCIAÇÕES!O1310="",NEGOCIAÇÕES!N1310&lt;TODAY()),NEGOCIAÇÕES!D1310,"")</f>
        <v/>
      </c>
      <c r="E1310" s="9" t="str">
        <f ca="1">IF(AND(NEGOCIAÇÕES!O1310="",NEGOCIAÇÕES!N1310&lt;TODAY()),NEGOCIAÇÕES!N1310,"")</f>
        <v/>
      </c>
    </row>
    <row r="1311" spans="2:5" ht="31.95" hidden="1" customHeight="1" x14ac:dyDescent="0.3">
      <c r="B1311" s="6" t="str">
        <f ca="1">IF(AND(NEGOCIAÇÕES!O1311="",NEGOCIAÇÕES!N1311&lt;TODAY()),NEGOCIAÇÕES!C1311,"")</f>
        <v/>
      </c>
      <c r="C1311" s="6" t="str">
        <f ca="1">IF(AND(NEGOCIAÇÕES!O1311="",NEGOCIAÇÕES!N1311&lt;TODAY()),NEGOCIAÇÕES!E1311,"")</f>
        <v/>
      </c>
      <c r="D1311" s="6" t="str">
        <f ca="1">IF(AND(NEGOCIAÇÕES!O1311="",NEGOCIAÇÕES!N1311&lt;TODAY()),NEGOCIAÇÕES!D1311,"")</f>
        <v/>
      </c>
      <c r="E1311" s="9" t="str">
        <f ca="1">IF(AND(NEGOCIAÇÕES!O1311="",NEGOCIAÇÕES!N1311&lt;TODAY()),NEGOCIAÇÕES!N1311,"")</f>
        <v/>
      </c>
    </row>
    <row r="1312" spans="2:5" ht="31.95" hidden="1" customHeight="1" x14ac:dyDescent="0.3">
      <c r="B1312" s="6" t="str">
        <f ca="1">IF(AND(NEGOCIAÇÕES!O1312="",NEGOCIAÇÕES!N1312&lt;TODAY()),NEGOCIAÇÕES!C1312,"")</f>
        <v/>
      </c>
      <c r="C1312" s="6" t="str">
        <f ca="1">IF(AND(NEGOCIAÇÕES!O1312="",NEGOCIAÇÕES!N1312&lt;TODAY()),NEGOCIAÇÕES!E1312,"")</f>
        <v/>
      </c>
      <c r="D1312" s="6" t="str">
        <f ca="1">IF(AND(NEGOCIAÇÕES!O1312="",NEGOCIAÇÕES!N1312&lt;TODAY()),NEGOCIAÇÕES!D1312,"")</f>
        <v/>
      </c>
      <c r="E1312" s="9" t="str">
        <f ca="1">IF(AND(NEGOCIAÇÕES!O1312="",NEGOCIAÇÕES!N1312&lt;TODAY()),NEGOCIAÇÕES!N1312,"")</f>
        <v/>
      </c>
    </row>
    <row r="1313" spans="2:5" ht="31.95" hidden="1" customHeight="1" x14ac:dyDescent="0.3">
      <c r="B1313" s="6" t="str">
        <f ca="1">IF(AND(NEGOCIAÇÕES!O1313="",NEGOCIAÇÕES!N1313&lt;TODAY()),NEGOCIAÇÕES!C1313,"")</f>
        <v/>
      </c>
      <c r="C1313" s="6" t="str">
        <f ca="1">IF(AND(NEGOCIAÇÕES!O1313="",NEGOCIAÇÕES!N1313&lt;TODAY()),NEGOCIAÇÕES!E1313,"")</f>
        <v/>
      </c>
      <c r="D1313" s="6" t="str">
        <f ca="1">IF(AND(NEGOCIAÇÕES!O1313="",NEGOCIAÇÕES!N1313&lt;TODAY()),NEGOCIAÇÕES!D1313,"")</f>
        <v/>
      </c>
      <c r="E1313" s="9" t="str">
        <f ca="1">IF(AND(NEGOCIAÇÕES!O1313="",NEGOCIAÇÕES!N1313&lt;TODAY()),NEGOCIAÇÕES!N1313,"")</f>
        <v/>
      </c>
    </row>
    <row r="1314" spans="2:5" ht="31.95" hidden="1" customHeight="1" x14ac:dyDescent="0.3">
      <c r="B1314" s="6" t="str">
        <f ca="1">IF(AND(NEGOCIAÇÕES!O1314="",NEGOCIAÇÕES!N1314&lt;TODAY()),NEGOCIAÇÕES!C1314,"")</f>
        <v/>
      </c>
      <c r="C1314" s="6" t="str">
        <f ca="1">IF(AND(NEGOCIAÇÕES!O1314="",NEGOCIAÇÕES!N1314&lt;TODAY()),NEGOCIAÇÕES!E1314,"")</f>
        <v/>
      </c>
      <c r="D1314" s="6" t="str">
        <f ca="1">IF(AND(NEGOCIAÇÕES!O1314="",NEGOCIAÇÕES!N1314&lt;TODAY()),NEGOCIAÇÕES!D1314,"")</f>
        <v/>
      </c>
      <c r="E1314" s="9" t="str">
        <f ca="1">IF(AND(NEGOCIAÇÕES!O1314="",NEGOCIAÇÕES!N1314&lt;TODAY()),NEGOCIAÇÕES!N1314,"")</f>
        <v/>
      </c>
    </row>
    <row r="1315" spans="2:5" ht="31.95" hidden="1" customHeight="1" x14ac:dyDescent="0.3">
      <c r="B1315" s="6" t="str">
        <f ca="1">IF(AND(NEGOCIAÇÕES!O1315="",NEGOCIAÇÕES!N1315&lt;TODAY()),NEGOCIAÇÕES!C1315,"")</f>
        <v/>
      </c>
      <c r="C1315" s="6" t="str">
        <f ca="1">IF(AND(NEGOCIAÇÕES!O1315="",NEGOCIAÇÕES!N1315&lt;TODAY()),NEGOCIAÇÕES!E1315,"")</f>
        <v/>
      </c>
      <c r="D1315" s="6" t="str">
        <f ca="1">IF(AND(NEGOCIAÇÕES!O1315="",NEGOCIAÇÕES!N1315&lt;TODAY()),NEGOCIAÇÕES!D1315,"")</f>
        <v/>
      </c>
      <c r="E1315" s="9" t="str">
        <f ca="1">IF(AND(NEGOCIAÇÕES!O1315="",NEGOCIAÇÕES!N1315&lt;TODAY()),NEGOCIAÇÕES!N1315,"")</f>
        <v/>
      </c>
    </row>
    <row r="1316" spans="2:5" ht="31.95" hidden="1" customHeight="1" x14ac:dyDescent="0.3">
      <c r="B1316" s="6" t="str">
        <f ca="1">IF(AND(NEGOCIAÇÕES!O1316="",NEGOCIAÇÕES!N1316&lt;TODAY()),NEGOCIAÇÕES!C1316,"")</f>
        <v/>
      </c>
      <c r="C1316" s="6" t="str">
        <f ca="1">IF(AND(NEGOCIAÇÕES!O1316="",NEGOCIAÇÕES!N1316&lt;TODAY()),NEGOCIAÇÕES!E1316,"")</f>
        <v/>
      </c>
      <c r="D1316" s="6" t="str">
        <f ca="1">IF(AND(NEGOCIAÇÕES!O1316="",NEGOCIAÇÕES!N1316&lt;TODAY()),NEGOCIAÇÕES!D1316,"")</f>
        <v/>
      </c>
      <c r="E1316" s="9" t="str">
        <f ca="1">IF(AND(NEGOCIAÇÕES!O1316="",NEGOCIAÇÕES!N1316&lt;TODAY()),NEGOCIAÇÕES!N1316,"")</f>
        <v/>
      </c>
    </row>
    <row r="1317" spans="2:5" ht="31.95" hidden="1" customHeight="1" x14ac:dyDescent="0.3">
      <c r="B1317" s="6" t="str">
        <f ca="1">IF(AND(NEGOCIAÇÕES!O1317="",NEGOCIAÇÕES!N1317&lt;TODAY()),NEGOCIAÇÕES!C1317,"")</f>
        <v/>
      </c>
      <c r="C1317" s="6" t="str">
        <f ca="1">IF(AND(NEGOCIAÇÕES!O1317="",NEGOCIAÇÕES!N1317&lt;TODAY()),NEGOCIAÇÕES!E1317,"")</f>
        <v/>
      </c>
      <c r="D1317" s="6" t="str">
        <f ca="1">IF(AND(NEGOCIAÇÕES!O1317="",NEGOCIAÇÕES!N1317&lt;TODAY()),NEGOCIAÇÕES!D1317,"")</f>
        <v/>
      </c>
      <c r="E1317" s="9" t="str">
        <f ca="1">IF(AND(NEGOCIAÇÕES!O1317="",NEGOCIAÇÕES!N1317&lt;TODAY()),NEGOCIAÇÕES!N1317,"")</f>
        <v/>
      </c>
    </row>
    <row r="1318" spans="2:5" ht="31.95" hidden="1" customHeight="1" x14ac:dyDescent="0.3">
      <c r="B1318" s="6" t="str">
        <f ca="1">IF(AND(NEGOCIAÇÕES!O1318="",NEGOCIAÇÕES!N1318&lt;TODAY()),NEGOCIAÇÕES!C1318,"")</f>
        <v/>
      </c>
      <c r="C1318" s="6" t="str">
        <f ca="1">IF(AND(NEGOCIAÇÕES!O1318="",NEGOCIAÇÕES!N1318&lt;TODAY()),NEGOCIAÇÕES!E1318,"")</f>
        <v/>
      </c>
      <c r="D1318" s="6" t="str">
        <f ca="1">IF(AND(NEGOCIAÇÕES!O1318="",NEGOCIAÇÕES!N1318&lt;TODAY()),NEGOCIAÇÕES!D1318,"")</f>
        <v/>
      </c>
      <c r="E1318" s="9" t="str">
        <f ca="1">IF(AND(NEGOCIAÇÕES!O1318="",NEGOCIAÇÕES!N1318&lt;TODAY()),NEGOCIAÇÕES!N1318,"")</f>
        <v/>
      </c>
    </row>
    <row r="1319" spans="2:5" ht="31.95" hidden="1" customHeight="1" x14ac:dyDescent="0.3">
      <c r="B1319" s="6" t="str">
        <f ca="1">IF(AND(NEGOCIAÇÕES!O1319="",NEGOCIAÇÕES!N1319&lt;TODAY()),NEGOCIAÇÕES!C1319,"")</f>
        <v/>
      </c>
      <c r="C1319" s="6" t="str">
        <f ca="1">IF(AND(NEGOCIAÇÕES!O1319="",NEGOCIAÇÕES!N1319&lt;TODAY()),NEGOCIAÇÕES!E1319,"")</f>
        <v/>
      </c>
      <c r="D1319" s="6" t="str">
        <f ca="1">IF(AND(NEGOCIAÇÕES!O1319="",NEGOCIAÇÕES!N1319&lt;TODAY()),NEGOCIAÇÕES!D1319,"")</f>
        <v/>
      </c>
      <c r="E1319" s="9" t="str">
        <f ca="1">IF(AND(NEGOCIAÇÕES!O1319="",NEGOCIAÇÕES!N1319&lt;TODAY()),NEGOCIAÇÕES!N1319,"")</f>
        <v/>
      </c>
    </row>
    <row r="1320" spans="2:5" ht="31.95" hidden="1" customHeight="1" x14ac:dyDescent="0.3">
      <c r="B1320" s="6" t="str">
        <f ca="1">IF(AND(NEGOCIAÇÕES!O1320="",NEGOCIAÇÕES!N1320&lt;TODAY()),NEGOCIAÇÕES!C1320,"")</f>
        <v/>
      </c>
      <c r="C1320" s="6" t="str">
        <f ca="1">IF(AND(NEGOCIAÇÕES!O1320="",NEGOCIAÇÕES!N1320&lt;TODAY()),NEGOCIAÇÕES!E1320,"")</f>
        <v/>
      </c>
      <c r="D1320" s="6" t="str">
        <f ca="1">IF(AND(NEGOCIAÇÕES!O1320="",NEGOCIAÇÕES!N1320&lt;TODAY()),NEGOCIAÇÕES!D1320,"")</f>
        <v/>
      </c>
      <c r="E1320" s="9" t="str">
        <f ca="1">IF(AND(NEGOCIAÇÕES!O1320="",NEGOCIAÇÕES!N1320&lt;TODAY()),NEGOCIAÇÕES!N1320,"")</f>
        <v/>
      </c>
    </row>
    <row r="1321" spans="2:5" ht="31.95" hidden="1" customHeight="1" x14ac:dyDescent="0.3">
      <c r="B1321" s="6" t="str">
        <f ca="1">IF(AND(NEGOCIAÇÕES!O1321="",NEGOCIAÇÕES!N1321&lt;TODAY()),NEGOCIAÇÕES!C1321,"")</f>
        <v/>
      </c>
      <c r="C1321" s="6" t="str">
        <f ca="1">IF(AND(NEGOCIAÇÕES!O1321="",NEGOCIAÇÕES!N1321&lt;TODAY()),NEGOCIAÇÕES!E1321,"")</f>
        <v/>
      </c>
      <c r="D1321" s="6" t="str">
        <f ca="1">IF(AND(NEGOCIAÇÕES!O1321="",NEGOCIAÇÕES!N1321&lt;TODAY()),NEGOCIAÇÕES!D1321,"")</f>
        <v/>
      </c>
      <c r="E1321" s="9" t="str">
        <f ca="1">IF(AND(NEGOCIAÇÕES!O1321="",NEGOCIAÇÕES!N1321&lt;TODAY()),NEGOCIAÇÕES!N1321,"")</f>
        <v/>
      </c>
    </row>
    <row r="1322" spans="2:5" ht="31.95" hidden="1" customHeight="1" x14ac:dyDescent="0.3">
      <c r="B1322" s="6" t="str">
        <f ca="1">IF(AND(NEGOCIAÇÕES!O1322="",NEGOCIAÇÕES!N1322&lt;TODAY()),NEGOCIAÇÕES!C1322,"")</f>
        <v/>
      </c>
      <c r="C1322" s="6" t="str">
        <f ca="1">IF(AND(NEGOCIAÇÕES!O1322="",NEGOCIAÇÕES!N1322&lt;TODAY()),NEGOCIAÇÕES!E1322,"")</f>
        <v/>
      </c>
      <c r="D1322" s="6" t="str">
        <f ca="1">IF(AND(NEGOCIAÇÕES!O1322="",NEGOCIAÇÕES!N1322&lt;TODAY()),NEGOCIAÇÕES!D1322,"")</f>
        <v/>
      </c>
      <c r="E1322" s="9" t="str">
        <f ca="1">IF(AND(NEGOCIAÇÕES!O1322="",NEGOCIAÇÕES!N1322&lt;TODAY()),NEGOCIAÇÕES!N1322,"")</f>
        <v/>
      </c>
    </row>
    <row r="1323" spans="2:5" ht="31.95" hidden="1" customHeight="1" x14ac:dyDescent="0.3">
      <c r="B1323" s="6" t="str">
        <f ca="1">IF(AND(NEGOCIAÇÕES!O1323="",NEGOCIAÇÕES!N1323&lt;TODAY()),NEGOCIAÇÕES!C1323,"")</f>
        <v/>
      </c>
      <c r="C1323" s="6" t="str">
        <f ca="1">IF(AND(NEGOCIAÇÕES!O1323="",NEGOCIAÇÕES!N1323&lt;TODAY()),NEGOCIAÇÕES!E1323,"")</f>
        <v/>
      </c>
      <c r="D1323" s="6" t="str">
        <f ca="1">IF(AND(NEGOCIAÇÕES!O1323="",NEGOCIAÇÕES!N1323&lt;TODAY()),NEGOCIAÇÕES!D1323,"")</f>
        <v/>
      </c>
      <c r="E1323" s="9" t="str">
        <f ca="1">IF(AND(NEGOCIAÇÕES!O1323="",NEGOCIAÇÕES!N1323&lt;TODAY()),NEGOCIAÇÕES!N1323,"")</f>
        <v/>
      </c>
    </row>
    <row r="1324" spans="2:5" ht="31.95" hidden="1" customHeight="1" x14ac:dyDescent="0.3">
      <c r="B1324" s="6" t="str">
        <f ca="1">IF(AND(NEGOCIAÇÕES!O1324="",NEGOCIAÇÕES!N1324&lt;TODAY()),NEGOCIAÇÕES!C1324,"")</f>
        <v/>
      </c>
      <c r="C1324" s="6" t="str">
        <f ca="1">IF(AND(NEGOCIAÇÕES!O1324="",NEGOCIAÇÕES!N1324&lt;TODAY()),NEGOCIAÇÕES!E1324,"")</f>
        <v/>
      </c>
      <c r="D1324" s="6" t="str">
        <f ca="1">IF(AND(NEGOCIAÇÕES!O1324="",NEGOCIAÇÕES!N1324&lt;TODAY()),NEGOCIAÇÕES!D1324,"")</f>
        <v/>
      </c>
      <c r="E1324" s="9" t="str">
        <f ca="1">IF(AND(NEGOCIAÇÕES!O1324="",NEGOCIAÇÕES!N1324&lt;TODAY()),NEGOCIAÇÕES!N1324,"")</f>
        <v/>
      </c>
    </row>
    <row r="1325" spans="2:5" ht="31.95" hidden="1" customHeight="1" x14ac:dyDescent="0.3">
      <c r="B1325" s="6" t="str">
        <f ca="1">IF(AND(NEGOCIAÇÕES!O1325="",NEGOCIAÇÕES!N1325&lt;TODAY()),NEGOCIAÇÕES!C1325,"")</f>
        <v/>
      </c>
      <c r="C1325" s="6" t="str">
        <f ca="1">IF(AND(NEGOCIAÇÕES!O1325="",NEGOCIAÇÕES!N1325&lt;TODAY()),NEGOCIAÇÕES!E1325,"")</f>
        <v/>
      </c>
      <c r="D1325" s="6" t="str">
        <f ca="1">IF(AND(NEGOCIAÇÕES!O1325="",NEGOCIAÇÕES!N1325&lt;TODAY()),NEGOCIAÇÕES!D1325,"")</f>
        <v/>
      </c>
      <c r="E1325" s="9" t="str">
        <f ca="1">IF(AND(NEGOCIAÇÕES!O1325="",NEGOCIAÇÕES!N1325&lt;TODAY()),NEGOCIAÇÕES!N1325,"")</f>
        <v/>
      </c>
    </row>
    <row r="1326" spans="2:5" ht="31.95" hidden="1" customHeight="1" x14ac:dyDescent="0.3">
      <c r="B1326" s="6" t="str">
        <f ca="1">IF(AND(NEGOCIAÇÕES!O1326="",NEGOCIAÇÕES!N1326&lt;TODAY()),NEGOCIAÇÕES!C1326,"")</f>
        <v/>
      </c>
      <c r="C1326" s="6" t="str">
        <f ca="1">IF(AND(NEGOCIAÇÕES!O1326="",NEGOCIAÇÕES!N1326&lt;TODAY()),NEGOCIAÇÕES!E1326,"")</f>
        <v/>
      </c>
      <c r="D1326" s="6" t="str">
        <f ca="1">IF(AND(NEGOCIAÇÕES!O1326="",NEGOCIAÇÕES!N1326&lt;TODAY()),NEGOCIAÇÕES!D1326,"")</f>
        <v/>
      </c>
      <c r="E1326" s="9" t="str">
        <f ca="1">IF(AND(NEGOCIAÇÕES!O1326="",NEGOCIAÇÕES!N1326&lt;TODAY()),NEGOCIAÇÕES!N1326,"")</f>
        <v/>
      </c>
    </row>
    <row r="1327" spans="2:5" ht="31.95" hidden="1" customHeight="1" x14ac:dyDescent="0.3">
      <c r="B1327" s="6" t="str">
        <f ca="1">IF(AND(NEGOCIAÇÕES!O1327="",NEGOCIAÇÕES!N1327&lt;TODAY()),NEGOCIAÇÕES!C1327,"")</f>
        <v/>
      </c>
      <c r="C1327" s="6" t="str">
        <f ca="1">IF(AND(NEGOCIAÇÕES!O1327="",NEGOCIAÇÕES!N1327&lt;TODAY()),NEGOCIAÇÕES!E1327,"")</f>
        <v/>
      </c>
      <c r="D1327" s="6" t="str">
        <f ca="1">IF(AND(NEGOCIAÇÕES!O1327="",NEGOCIAÇÕES!N1327&lt;TODAY()),NEGOCIAÇÕES!D1327,"")</f>
        <v/>
      </c>
      <c r="E1327" s="9" t="str">
        <f ca="1">IF(AND(NEGOCIAÇÕES!O1327="",NEGOCIAÇÕES!N1327&lt;TODAY()),NEGOCIAÇÕES!N1327,"")</f>
        <v/>
      </c>
    </row>
    <row r="1328" spans="2:5" ht="31.95" hidden="1" customHeight="1" x14ac:dyDescent="0.3">
      <c r="B1328" s="6" t="str">
        <f ca="1">IF(AND(NEGOCIAÇÕES!O1328="",NEGOCIAÇÕES!N1328&lt;TODAY()),NEGOCIAÇÕES!C1328,"")</f>
        <v/>
      </c>
      <c r="C1328" s="6" t="str">
        <f ca="1">IF(AND(NEGOCIAÇÕES!O1328="",NEGOCIAÇÕES!N1328&lt;TODAY()),NEGOCIAÇÕES!E1328,"")</f>
        <v/>
      </c>
      <c r="D1328" s="6" t="str">
        <f ca="1">IF(AND(NEGOCIAÇÕES!O1328="",NEGOCIAÇÕES!N1328&lt;TODAY()),NEGOCIAÇÕES!D1328,"")</f>
        <v/>
      </c>
      <c r="E1328" s="9" t="str">
        <f ca="1">IF(AND(NEGOCIAÇÕES!O1328="",NEGOCIAÇÕES!N1328&lt;TODAY()),NEGOCIAÇÕES!N1328,"")</f>
        <v/>
      </c>
    </row>
    <row r="1329" spans="2:5" ht="31.95" hidden="1" customHeight="1" x14ac:dyDescent="0.3">
      <c r="B1329" s="6" t="str">
        <f ca="1">IF(AND(NEGOCIAÇÕES!O1329="",NEGOCIAÇÕES!N1329&lt;TODAY()),NEGOCIAÇÕES!C1329,"")</f>
        <v/>
      </c>
      <c r="C1329" s="6" t="str">
        <f ca="1">IF(AND(NEGOCIAÇÕES!O1329="",NEGOCIAÇÕES!N1329&lt;TODAY()),NEGOCIAÇÕES!E1329,"")</f>
        <v/>
      </c>
      <c r="D1329" s="6" t="str">
        <f ca="1">IF(AND(NEGOCIAÇÕES!O1329="",NEGOCIAÇÕES!N1329&lt;TODAY()),NEGOCIAÇÕES!D1329,"")</f>
        <v/>
      </c>
      <c r="E1329" s="9" t="str">
        <f ca="1">IF(AND(NEGOCIAÇÕES!O1329="",NEGOCIAÇÕES!N1329&lt;TODAY()),NEGOCIAÇÕES!N1329,"")</f>
        <v/>
      </c>
    </row>
    <row r="1330" spans="2:5" ht="31.95" hidden="1" customHeight="1" x14ac:dyDescent="0.3">
      <c r="B1330" s="6" t="str">
        <f ca="1">IF(AND(NEGOCIAÇÕES!O1330="",NEGOCIAÇÕES!N1330&lt;TODAY()),NEGOCIAÇÕES!C1330,"")</f>
        <v/>
      </c>
      <c r="C1330" s="6" t="str">
        <f ca="1">IF(AND(NEGOCIAÇÕES!O1330="",NEGOCIAÇÕES!N1330&lt;TODAY()),NEGOCIAÇÕES!E1330,"")</f>
        <v/>
      </c>
      <c r="D1330" s="6" t="str">
        <f ca="1">IF(AND(NEGOCIAÇÕES!O1330="",NEGOCIAÇÕES!N1330&lt;TODAY()),NEGOCIAÇÕES!D1330,"")</f>
        <v/>
      </c>
      <c r="E1330" s="9" t="str">
        <f ca="1">IF(AND(NEGOCIAÇÕES!O1330="",NEGOCIAÇÕES!N1330&lt;TODAY()),NEGOCIAÇÕES!N1330,"")</f>
        <v/>
      </c>
    </row>
    <row r="1331" spans="2:5" ht="31.95" hidden="1" customHeight="1" x14ac:dyDescent="0.3">
      <c r="B1331" s="6" t="str">
        <f ca="1">IF(AND(NEGOCIAÇÕES!O1331="",NEGOCIAÇÕES!N1331&lt;TODAY()),NEGOCIAÇÕES!C1331,"")</f>
        <v/>
      </c>
      <c r="C1331" s="6" t="str">
        <f ca="1">IF(AND(NEGOCIAÇÕES!O1331="",NEGOCIAÇÕES!N1331&lt;TODAY()),NEGOCIAÇÕES!E1331,"")</f>
        <v/>
      </c>
      <c r="D1331" s="6" t="str">
        <f ca="1">IF(AND(NEGOCIAÇÕES!O1331="",NEGOCIAÇÕES!N1331&lt;TODAY()),NEGOCIAÇÕES!D1331,"")</f>
        <v/>
      </c>
      <c r="E1331" s="9" t="str">
        <f ca="1">IF(AND(NEGOCIAÇÕES!O1331="",NEGOCIAÇÕES!N1331&lt;TODAY()),NEGOCIAÇÕES!N1331,"")</f>
        <v/>
      </c>
    </row>
    <row r="1332" spans="2:5" ht="31.95" hidden="1" customHeight="1" x14ac:dyDescent="0.3">
      <c r="B1332" s="6" t="str">
        <f ca="1">IF(AND(NEGOCIAÇÕES!O1332="",NEGOCIAÇÕES!N1332&lt;TODAY()),NEGOCIAÇÕES!C1332,"")</f>
        <v/>
      </c>
      <c r="C1332" s="6" t="str">
        <f ca="1">IF(AND(NEGOCIAÇÕES!O1332="",NEGOCIAÇÕES!N1332&lt;TODAY()),NEGOCIAÇÕES!E1332,"")</f>
        <v/>
      </c>
      <c r="D1332" s="6" t="str">
        <f ca="1">IF(AND(NEGOCIAÇÕES!O1332="",NEGOCIAÇÕES!N1332&lt;TODAY()),NEGOCIAÇÕES!D1332,"")</f>
        <v/>
      </c>
      <c r="E1332" s="9" t="str">
        <f ca="1">IF(AND(NEGOCIAÇÕES!O1332="",NEGOCIAÇÕES!N1332&lt;TODAY()),NEGOCIAÇÕES!N1332,"")</f>
        <v/>
      </c>
    </row>
    <row r="1333" spans="2:5" ht="31.95" hidden="1" customHeight="1" x14ac:dyDescent="0.3">
      <c r="B1333" s="6" t="str">
        <f ca="1">IF(AND(NEGOCIAÇÕES!O1333="",NEGOCIAÇÕES!N1333&lt;TODAY()),NEGOCIAÇÕES!C1333,"")</f>
        <v/>
      </c>
      <c r="C1333" s="6" t="str">
        <f ca="1">IF(AND(NEGOCIAÇÕES!O1333="",NEGOCIAÇÕES!N1333&lt;TODAY()),NEGOCIAÇÕES!E1333,"")</f>
        <v/>
      </c>
      <c r="D1333" s="6" t="str">
        <f ca="1">IF(AND(NEGOCIAÇÕES!O1333="",NEGOCIAÇÕES!N1333&lt;TODAY()),NEGOCIAÇÕES!D1333,"")</f>
        <v/>
      </c>
      <c r="E1333" s="9" t="str">
        <f ca="1">IF(AND(NEGOCIAÇÕES!O1333="",NEGOCIAÇÕES!N1333&lt;TODAY()),NEGOCIAÇÕES!N1333,"")</f>
        <v/>
      </c>
    </row>
    <row r="1334" spans="2:5" ht="31.95" hidden="1" customHeight="1" x14ac:dyDescent="0.3">
      <c r="B1334" s="6" t="str">
        <f ca="1">IF(AND(NEGOCIAÇÕES!O1334="",NEGOCIAÇÕES!N1334&lt;TODAY()),NEGOCIAÇÕES!C1334,"")</f>
        <v/>
      </c>
      <c r="C1334" s="6" t="str">
        <f ca="1">IF(AND(NEGOCIAÇÕES!O1334="",NEGOCIAÇÕES!N1334&lt;TODAY()),NEGOCIAÇÕES!E1334,"")</f>
        <v/>
      </c>
      <c r="D1334" s="6" t="str">
        <f ca="1">IF(AND(NEGOCIAÇÕES!O1334="",NEGOCIAÇÕES!N1334&lt;TODAY()),NEGOCIAÇÕES!D1334,"")</f>
        <v/>
      </c>
      <c r="E1334" s="9" t="str">
        <f ca="1">IF(AND(NEGOCIAÇÕES!O1334="",NEGOCIAÇÕES!N1334&lt;TODAY()),NEGOCIAÇÕES!N1334,"")</f>
        <v/>
      </c>
    </row>
    <row r="1335" spans="2:5" ht="31.95" hidden="1" customHeight="1" x14ac:dyDescent="0.3">
      <c r="B1335" s="6" t="str">
        <f ca="1">IF(AND(NEGOCIAÇÕES!O1335="",NEGOCIAÇÕES!N1335&lt;TODAY()),NEGOCIAÇÕES!C1335,"")</f>
        <v/>
      </c>
      <c r="C1335" s="6" t="str">
        <f ca="1">IF(AND(NEGOCIAÇÕES!O1335="",NEGOCIAÇÕES!N1335&lt;TODAY()),NEGOCIAÇÕES!E1335,"")</f>
        <v/>
      </c>
      <c r="D1335" s="6" t="str">
        <f ca="1">IF(AND(NEGOCIAÇÕES!O1335="",NEGOCIAÇÕES!N1335&lt;TODAY()),NEGOCIAÇÕES!D1335,"")</f>
        <v/>
      </c>
      <c r="E1335" s="9" t="str">
        <f ca="1">IF(AND(NEGOCIAÇÕES!O1335="",NEGOCIAÇÕES!N1335&lt;TODAY()),NEGOCIAÇÕES!N1335,"")</f>
        <v/>
      </c>
    </row>
    <row r="1336" spans="2:5" ht="31.95" hidden="1" customHeight="1" x14ac:dyDescent="0.3">
      <c r="B1336" s="6" t="str">
        <f ca="1">IF(AND(NEGOCIAÇÕES!O1336="",NEGOCIAÇÕES!N1336&lt;TODAY()),NEGOCIAÇÕES!C1336,"")</f>
        <v/>
      </c>
      <c r="C1336" s="6" t="str">
        <f ca="1">IF(AND(NEGOCIAÇÕES!O1336="",NEGOCIAÇÕES!N1336&lt;TODAY()),NEGOCIAÇÕES!E1336,"")</f>
        <v/>
      </c>
      <c r="D1336" s="6" t="str">
        <f ca="1">IF(AND(NEGOCIAÇÕES!O1336="",NEGOCIAÇÕES!N1336&lt;TODAY()),NEGOCIAÇÕES!D1336,"")</f>
        <v/>
      </c>
      <c r="E1336" s="9" t="str">
        <f ca="1">IF(AND(NEGOCIAÇÕES!O1336="",NEGOCIAÇÕES!N1336&lt;TODAY()),NEGOCIAÇÕES!N1336,"")</f>
        <v/>
      </c>
    </row>
    <row r="1337" spans="2:5" ht="31.95" hidden="1" customHeight="1" x14ac:dyDescent="0.3">
      <c r="B1337" s="6" t="str">
        <f ca="1">IF(AND(NEGOCIAÇÕES!O1337="",NEGOCIAÇÕES!N1337&lt;TODAY()),NEGOCIAÇÕES!C1337,"")</f>
        <v/>
      </c>
      <c r="C1337" s="6" t="str">
        <f ca="1">IF(AND(NEGOCIAÇÕES!O1337="",NEGOCIAÇÕES!N1337&lt;TODAY()),NEGOCIAÇÕES!E1337,"")</f>
        <v/>
      </c>
      <c r="D1337" s="6" t="str">
        <f ca="1">IF(AND(NEGOCIAÇÕES!O1337="",NEGOCIAÇÕES!N1337&lt;TODAY()),NEGOCIAÇÕES!D1337,"")</f>
        <v/>
      </c>
      <c r="E1337" s="9" t="str">
        <f ca="1">IF(AND(NEGOCIAÇÕES!O1337="",NEGOCIAÇÕES!N1337&lt;TODAY()),NEGOCIAÇÕES!N1337,"")</f>
        <v/>
      </c>
    </row>
    <row r="1338" spans="2:5" ht="31.95" hidden="1" customHeight="1" x14ac:dyDescent="0.3">
      <c r="B1338" s="6" t="str">
        <f ca="1">IF(AND(NEGOCIAÇÕES!O1338="",NEGOCIAÇÕES!N1338&lt;TODAY()),NEGOCIAÇÕES!C1338,"")</f>
        <v/>
      </c>
      <c r="C1338" s="6" t="str">
        <f ca="1">IF(AND(NEGOCIAÇÕES!O1338="",NEGOCIAÇÕES!N1338&lt;TODAY()),NEGOCIAÇÕES!E1338,"")</f>
        <v/>
      </c>
      <c r="D1338" s="6" t="str">
        <f ca="1">IF(AND(NEGOCIAÇÕES!O1338="",NEGOCIAÇÕES!N1338&lt;TODAY()),NEGOCIAÇÕES!D1338,"")</f>
        <v/>
      </c>
      <c r="E1338" s="9" t="str">
        <f ca="1">IF(AND(NEGOCIAÇÕES!O1338="",NEGOCIAÇÕES!N1338&lt;TODAY()),NEGOCIAÇÕES!N1338,"")</f>
        <v/>
      </c>
    </row>
    <row r="1339" spans="2:5" ht="31.95" hidden="1" customHeight="1" x14ac:dyDescent="0.3">
      <c r="B1339" s="6" t="str">
        <f ca="1">IF(AND(NEGOCIAÇÕES!O1339="",NEGOCIAÇÕES!N1339&lt;TODAY()),NEGOCIAÇÕES!C1339,"")</f>
        <v/>
      </c>
      <c r="C1339" s="6" t="str">
        <f ca="1">IF(AND(NEGOCIAÇÕES!O1339="",NEGOCIAÇÕES!N1339&lt;TODAY()),NEGOCIAÇÕES!E1339,"")</f>
        <v/>
      </c>
      <c r="D1339" s="6" t="str">
        <f ca="1">IF(AND(NEGOCIAÇÕES!O1339="",NEGOCIAÇÕES!N1339&lt;TODAY()),NEGOCIAÇÕES!D1339,"")</f>
        <v/>
      </c>
      <c r="E1339" s="9" t="str">
        <f ca="1">IF(AND(NEGOCIAÇÕES!O1339="",NEGOCIAÇÕES!N1339&lt;TODAY()),NEGOCIAÇÕES!N1339,"")</f>
        <v/>
      </c>
    </row>
    <row r="1340" spans="2:5" ht="31.95" hidden="1" customHeight="1" x14ac:dyDescent="0.3">
      <c r="B1340" s="6" t="str">
        <f ca="1">IF(AND(NEGOCIAÇÕES!O1340="",NEGOCIAÇÕES!N1340&lt;TODAY()),NEGOCIAÇÕES!C1340,"")</f>
        <v/>
      </c>
      <c r="C1340" s="6" t="str">
        <f ca="1">IF(AND(NEGOCIAÇÕES!O1340="",NEGOCIAÇÕES!N1340&lt;TODAY()),NEGOCIAÇÕES!E1340,"")</f>
        <v/>
      </c>
      <c r="D1340" s="6" t="str">
        <f ca="1">IF(AND(NEGOCIAÇÕES!O1340="",NEGOCIAÇÕES!N1340&lt;TODAY()),NEGOCIAÇÕES!D1340,"")</f>
        <v/>
      </c>
      <c r="E1340" s="9" t="str">
        <f ca="1">IF(AND(NEGOCIAÇÕES!O1340="",NEGOCIAÇÕES!N1340&lt;TODAY()),NEGOCIAÇÕES!N1340,"")</f>
        <v/>
      </c>
    </row>
    <row r="1341" spans="2:5" ht="31.95" hidden="1" customHeight="1" x14ac:dyDescent="0.3">
      <c r="B1341" s="6" t="str">
        <f ca="1">IF(AND(NEGOCIAÇÕES!O1341="",NEGOCIAÇÕES!N1341&lt;TODAY()),NEGOCIAÇÕES!C1341,"")</f>
        <v/>
      </c>
      <c r="C1341" s="6" t="str">
        <f ca="1">IF(AND(NEGOCIAÇÕES!O1341="",NEGOCIAÇÕES!N1341&lt;TODAY()),NEGOCIAÇÕES!E1341,"")</f>
        <v/>
      </c>
      <c r="D1341" s="6" t="str">
        <f ca="1">IF(AND(NEGOCIAÇÕES!O1341="",NEGOCIAÇÕES!N1341&lt;TODAY()),NEGOCIAÇÕES!D1341,"")</f>
        <v/>
      </c>
      <c r="E1341" s="9" t="str">
        <f ca="1">IF(AND(NEGOCIAÇÕES!O1341="",NEGOCIAÇÕES!N1341&lt;TODAY()),NEGOCIAÇÕES!N1341,"")</f>
        <v/>
      </c>
    </row>
    <row r="1342" spans="2:5" ht="31.95" hidden="1" customHeight="1" x14ac:dyDescent="0.3">
      <c r="B1342" s="6" t="str">
        <f ca="1">IF(AND(NEGOCIAÇÕES!O1342="",NEGOCIAÇÕES!N1342&lt;TODAY()),NEGOCIAÇÕES!C1342,"")</f>
        <v/>
      </c>
      <c r="C1342" s="6" t="str">
        <f ca="1">IF(AND(NEGOCIAÇÕES!O1342="",NEGOCIAÇÕES!N1342&lt;TODAY()),NEGOCIAÇÕES!E1342,"")</f>
        <v/>
      </c>
      <c r="D1342" s="6" t="str">
        <f ca="1">IF(AND(NEGOCIAÇÕES!O1342="",NEGOCIAÇÕES!N1342&lt;TODAY()),NEGOCIAÇÕES!D1342,"")</f>
        <v/>
      </c>
      <c r="E1342" s="9" t="str">
        <f ca="1">IF(AND(NEGOCIAÇÕES!O1342="",NEGOCIAÇÕES!N1342&lt;TODAY()),NEGOCIAÇÕES!N1342,"")</f>
        <v/>
      </c>
    </row>
    <row r="1343" spans="2:5" ht="31.95" hidden="1" customHeight="1" x14ac:dyDescent="0.3">
      <c r="B1343" s="6" t="str">
        <f ca="1">IF(AND(NEGOCIAÇÕES!O1343="",NEGOCIAÇÕES!N1343&lt;TODAY()),NEGOCIAÇÕES!C1343,"")</f>
        <v/>
      </c>
      <c r="C1343" s="6" t="str">
        <f ca="1">IF(AND(NEGOCIAÇÕES!O1343="",NEGOCIAÇÕES!N1343&lt;TODAY()),NEGOCIAÇÕES!E1343,"")</f>
        <v/>
      </c>
      <c r="D1343" s="6" t="str">
        <f ca="1">IF(AND(NEGOCIAÇÕES!O1343="",NEGOCIAÇÕES!N1343&lt;TODAY()),NEGOCIAÇÕES!D1343,"")</f>
        <v/>
      </c>
      <c r="E1343" s="9" t="str">
        <f ca="1">IF(AND(NEGOCIAÇÕES!O1343="",NEGOCIAÇÕES!N1343&lt;TODAY()),NEGOCIAÇÕES!N1343,"")</f>
        <v/>
      </c>
    </row>
    <row r="1344" spans="2:5" ht="31.95" hidden="1" customHeight="1" x14ac:dyDescent="0.3">
      <c r="B1344" s="6" t="str">
        <f ca="1">IF(AND(NEGOCIAÇÕES!O1344="",NEGOCIAÇÕES!N1344&lt;TODAY()),NEGOCIAÇÕES!C1344,"")</f>
        <v/>
      </c>
      <c r="C1344" s="6" t="str">
        <f ca="1">IF(AND(NEGOCIAÇÕES!O1344="",NEGOCIAÇÕES!N1344&lt;TODAY()),NEGOCIAÇÕES!E1344,"")</f>
        <v/>
      </c>
      <c r="D1344" s="6" t="str">
        <f ca="1">IF(AND(NEGOCIAÇÕES!O1344="",NEGOCIAÇÕES!N1344&lt;TODAY()),NEGOCIAÇÕES!D1344,"")</f>
        <v/>
      </c>
      <c r="E1344" s="9" t="str">
        <f ca="1">IF(AND(NEGOCIAÇÕES!O1344="",NEGOCIAÇÕES!N1344&lt;TODAY()),NEGOCIAÇÕES!N1344,"")</f>
        <v/>
      </c>
    </row>
    <row r="1345" spans="2:5" ht="31.95" hidden="1" customHeight="1" x14ac:dyDescent="0.3">
      <c r="B1345" s="6" t="str">
        <f ca="1">IF(AND(NEGOCIAÇÕES!O1345="",NEGOCIAÇÕES!N1345&lt;TODAY()),NEGOCIAÇÕES!C1345,"")</f>
        <v/>
      </c>
      <c r="C1345" s="6" t="str">
        <f ca="1">IF(AND(NEGOCIAÇÕES!O1345="",NEGOCIAÇÕES!N1345&lt;TODAY()),NEGOCIAÇÕES!E1345,"")</f>
        <v/>
      </c>
      <c r="D1345" s="6" t="str">
        <f ca="1">IF(AND(NEGOCIAÇÕES!O1345="",NEGOCIAÇÕES!N1345&lt;TODAY()),NEGOCIAÇÕES!D1345,"")</f>
        <v/>
      </c>
      <c r="E1345" s="9" t="str">
        <f ca="1">IF(AND(NEGOCIAÇÕES!O1345="",NEGOCIAÇÕES!N1345&lt;TODAY()),NEGOCIAÇÕES!N1345,"")</f>
        <v/>
      </c>
    </row>
    <row r="1346" spans="2:5" ht="31.95" hidden="1" customHeight="1" x14ac:dyDescent="0.3">
      <c r="B1346" s="6" t="str">
        <f ca="1">IF(AND(NEGOCIAÇÕES!O1346="",NEGOCIAÇÕES!N1346&lt;TODAY()),NEGOCIAÇÕES!C1346,"")</f>
        <v/>
      </c>
      <c r="C1346" s="6" t="str">
        <f ca="1">IF(AND(NEGOCIAÇÕES!O1346="",NEGOCIAÇÕES!N1346&lt;TODAY()),NEGOCIAÇÕES!E1346,"")</f>
        <v/>
      </c>
      <c r="D1346" s="6" t="str">
        <f ca="1">IF(AND(NEGOCIAÇÕES!O1346="",NEGOCIAÇÕES!N1346&lt;TODAY()),NEGOCIAÇÕES!D1346,"")</f>
        <v/>
      </c>
      <c r="E1346" s="9" t="str">
        <f ca="1">IF(AND(NEGOCIAÇÕES!O1346="",NEGOCIAÇÕES!N1346&lt;TODAY()),NEGOCIAÇÕES!N1346,"")</f>
        <v/>
      </c>
    </row>
    <row r="1347" spans="2:5" ht="31.95" hidden="1" customHeight="1" x14ac:dyDescent="0.3">
      <c r="B1347" s="6" t="str">
        <f ca="1">IF(AND(NEGOCIAÇÕES!O1347="",NEGOCIAÇÕES!N1347&lt;TODAY()),NEGOCIAÇÕES!C1347,"")</f>
        <v/>
      </c>
      <c r="C1347" s="6" t="str">
        <f ca="1">IF(AND(NEGOCIAÇÕES!O1347="",NEGOCIAÇÕES!N1347&lt;TODAY()),NEGOCIAÇÕES!E1347,"")</f>
        <v/>
      </c>
      <c r="D1347" s="6" t="str">
        <f ca="1">IF(AND(NEGOCIAÇÕES!O1347="",NEGOCIAÇÕES!N1347&lt;TODAY()),NEGOCIAÇÕES!D1347,"")</f>
        <v/>
      </c>
      <c r="E1347" s="9" t="str">
        <f ca="1">IF(AND(NEGOCIAÇÕES!O1347="",NEGOCIAÇÕES!N1347&lt;TODAY()),NEGOCIAÇÕES!N1347,"")</f>
        <v/>
      </c>
    </row>
    <row r="1348" spans="2:5" ht="31.95" hidden="1" customHeight="1" x14ac:dyDescent="0.3">
      <c r="B1348" s="6" t="str">
        <f ca="1">IF(AND(NEGOCIAÇÕES!O1348="",NEGOCIAÇÕES!N1348&lt;TODAY()),NEGOCIAÇÕES!C1348,"")</f>
        <v/>
      </c>
      <c r="C1348" s="6" t="str">
        <f ca="1">IF(AND(NEGOCIAÇÕES!O1348="",NEGOCIAÇÕES!N1348&lt;TODAY()),NEGOCIAÇÕES!E1348,"")</f>
        <v/>
      </c>
      <c r="D1348" s="6" t="str">
        <f ca="1">IF(AND(NEGOCIAÇÕES!O1348="",NEGOCIAÇÕES!N1348&lt;TODAY()),NEGOCIAÇÕES!D1348,"")</f>
        <v/>
      </c>
      <c r="E1348" s="9" t="str">
        <f ca="1">IF(AND(NEGOCIAÇÕES!O1348="",NEGOCIAÇÕES!N1348&lt;TODAY()),NEGOCIAÇÕES!N1348,"")</f>
        <v/>
      </c>
    </row>
    <row r="1349" spans="2:5" ht="31.95" hidden="1" customHeight="1" x14ac:dyDescent="0.3">
      <c r="B1349" s="6" t="str">
        <f ca="1">IF(AND(NEGOCIAÇÕES!O1349="",NEGOCIAÇÕES!N1349&lt;TODAY()),NEGOCIAÇÕES!C1349,"")</f>
        <v/>
      </c>
      <c r="C1349" s="6" t="str">
        <f ca="1">IF(AND(NEGOCIAÇÕES!O1349="",NEGOCIAÇÕES!N1349&lt;TODAY()),NEGOCIAÇÕES!E1349,"")</f>
        <v/>
      </c>
      <c r="D1349" s="6" t="str">
        <f ca="1">IF(AND(NEGOCIAÇÕES!O1349="",NEGOCIAÇÕES!N1349&lt;TODAY()),NEGOCIAÇÕES!D1349,"")</f>
        <v/>
      </c>
      <c r="E1349" s="9" t="str">
        <f ca="1">IF(AND(NEGOCIAÇÕES!O1349="",NEGOCIAÇÕES!N1349&lt;TODAY()),NEGOCIAÇÕES!N1349,"")</f>
        <v/>
      </c>
    </row>
    <row r="1350" spans="2:5" ht="31.95" hidden="1" customHeight="1" x14ac:dyDescent="0.3">
      <c r="B1350" s="6" t="str">
        <f ca="1">IF(AND(NEGOCIAÇÕES!O1350="",NEGOCIAÇÕES!N1350&lt;TODAY()),NEGOCIAÇÕES!C1350,"")</f>
        <v/>
      </c>
      <c r="C1350" s="6" t="str">
        <f ca="1">IF(AND(NEGOCIAÇÕES!O1350="",NEGOCIAÇÕES!N1350&lt;TODAY()),NEGOCIAÇÕES!E1350,"")</f>
        <v/>
      </c>
      <c r="D1350" s="6" t="str">
        <f ca="1">IF(AND(NEGOCIAÇÕES!O1350="",NEGOCIAÇÕES!N1350&lt;TODAY()),NEGOCIAÇÕES!D1350,"")</f>
        <v/>
      </c>
      <c r="E1350" s="9" t="str">
        <f ca="1">IF(AND(NEGOCIAÇÕES!O1350="",NEGOCIAÇÕES!N1350&lt;TODAY()),NEGOCIAÇÕES!N1350,"")</f>
        <v/>
      </c>
    </row>
    <row r="1351" spans="2:5" ht="31.95" hidden="1" customHeight="1" x14ac:dyDescent="0.3">
      <c r="B1351" s="6" t="str">
        <f ca="1">IF(AND(NEGOCIAÇÕES!O1351="",NEGOCIAÇÕES!N1351&lt;TODAY()),NEGOCIAÇÕES!C1351,"")</f>
        <v/>
      </c>
      <c r="C1351" s="6" t="str">
        <f ca="1">IF(AND(NEGOCIAÇÕES!O1351="",NEGOCIAÇÕES!N1351&lt;TODAY()),NEGOCIAÇÕES!E1351,"")</f>
        <v/>
      </c>
      <c r="D1351" s="6" t="str">
        <f ca="1">IF(AND(NEGOCIAÇÕES!O1351="",NEGOCIAÇÕES!N1351&lt;TODAY()),NEGOCIAÇÕES!D1351,"")</f>
        <v/>
      </c>
      <c r="E1351" s="9" t="str">
        <f ca="1">IF(AND(NEGOCIAÇÕES!O1351="",NEGOCIAÇÕES!N1351&lt;TODAY()),NEGOCIAÇÕES!N1351,"")</f>
        <v/>
      </c>
    </row>
    <row r="1352" spans="2:5" ht="31.95" hidden="1" customHeight="1" x14ac:dyDescent="0.3">
      <c r="B1352" s="6" t="str">
        <f ca="1">IF(AND(NEGOCIAÇÕES!O1352="",NEGOCIAÇÕES!N1352&lt;TODAY()),NEGOCIAÇÕES!C1352,"")</f>
        <v/>
      </c>
      <c r="C1352" s="6" t="str">
        <f ca="1">IF(AND(NEGOCIAÇÕES!O1352="",NEGOCIAÇÕES!N1352&lt;TODAY()),NEGOCIAÇÕES!E1352,"")</f>
        <v/>
      </c>
      <c r="D1352" s="6" t="str">
        <f ca="1">IF(AND(NEGOCIAÇÕES!O1352="",NEGOCIAÇÕES!N1352&lt;TODAY()),NEGOCIAÇÕES!D1352,"")</f>
        <v/>
      </c>
      <c r="E1352" s="9" t="str">
        <f ca="1">IF(AND(NEGOCIAÇÕES!O1352="",NEGOCIAÇÕES!N1352&lt;TODAY()),NEGOCIAÇÕES!N1352,"")</f>
        <v/>
      </c>
    </row>
    <row r="1353" spans="2:5" ht="31.95" hidden="1" customHeight="1" x14ac:dyDescent="0.3">
      <c r="B1353" s="6" t="str">
        <f ca="1">IF(AND(NEGOCIAÇÕES!O1353="",NEGOCIAÇÕES!N1353&lt;TODAY()),NEGOCIAÇÕES!C1353,"")</f>
        <v/>
      </c>
      <c r="C1353" s="6" t="str">
        <f ca="1">IF(AND(NEGOCIAÇÕES!O1353="",NEGOCIAÇÕES!N1353&lt;TODAY()),NEGOCIAÇÕES!E1353,"")</f>
        <v/>
      </c>
      <c r="D1353" s="6" t="str">
        <f ca="1">IF(AND(NEGOCIAÇÕES!O1353="",NEGOCIAÇÕES!N1353&lt;TODAY()),NEGOCIAÇÕES!D1353,"")</f>
        <v/>
      </c>
      <c r="E1353" s="9" t="str">
        <f ca="1">IF(AND(NEGOCIAÇÕES!O1353="",NEGOCIAÇÕES!N1353&lt;TODAY()),NEGOCIAÇÕES!N1353,"")</f>
        <v/>
      </c>
    </row>
    <row r="1354" spans="2:5" ht="31.95" hidden="1" customHeight="1" x14ac:dyDescent="0.3">
      <c r="B1354" s="6" t="str">
        <f ca="1">IF(AND(NEGOCIAÇÕES!O1354="",NEGOCIAÇÕES!N1354&lt;TODAY()),NEGOCIAÇÕES!C1354,"")</f>
        <v/>
      </c>
      <c r="C1354" s="6" t="str">
        <f ca="1">IF(AND(NEGOCIAÇÕES!O1354="",NEGOCIAÇÕES!N1354&lt;TODAY()),NEGOCIAÇÕES!E1354,"")</f>
        <v/>
      </c>
      <c r="D1354" s="6" t="str">
        <f ca="1">IF(AND(NEGOCIAÇÕES!O1354="",NEGOCIAÇÕES!N1354&lt;TODAY()),NEGOCIAÇÕES!D1354,"")</f>
        <v/>
      </c>
      <c r="E1354" s="9" t="str">
        <f ca="1">IF(AND(NEGOCIAÇÕES!O1354="",NEGOCIAÇÕES!N1354&lt;TODAY()),NEGOCIAÇÕES!N1354,"")</f>
        <v/>
      </c>
    </row>
    <row r="1355" spans="2:5" ht="31.95" hidden="1" customHeight="1" x14ac:dyDescent="0.3">
      <c r="B1355" s="6" t="str">
        <f ca="1">IF(AND(NEGOCIAÇÕES!O1355="",NEGOCIAÇÕES!N1355&lt;TODAY()),NEGOCIAÇÕES!C1355,"")</f>
        <v/>
      </c>
      <c r="C1355" s="6" t="str">
        <f ca="1">IF(AND(NEGOCIAÇÕES!O1355="",NEGOCIAÇÕES!N1355&lt;TODAY()),NEGOCIAÇÕES!E1355,"")</f>
        <v/>
      </c>
      <c r="D1355" s="6" t="str">
        <f ca="1">IF(AND(NEGOCIAÇÕES!O1355="",NEGOCIAÇÕES!N1355&lt;TODAY()),NEGOCIAÇÕES!D1355,"")</f>
        <v/>
      </c>
      <c r="E1355" s="9" t="str">
        <f ca="1">IF(AND(NEGOCIAÇÕES!O1355="",NEGOCIAÇÕES!N1355&lt;TODAY()),NEGOCIAÇÕES!N1355,"")</f>
        <v/>
      </c>
    </row>
    <row r="1356" spans="2:5" ht="31.95" hidden="1" customHeight="1" x14ac:dyDescent="0.3">
      <c r="B1356" s="6" t="str">
        <f ca="1">IF(AND(NEGOCIAÇÕES!O1356="",NEGOCIAÇÕES!N1356&lt;TODAY()),NEGOCIAÇÕES!C1356,"")</f>
        <v/>
      </c>
      <c r="C1356" s="6" t="str">
        <f ca="1">IF(AND(NEGOCIAÇÕES!O1356="",NEGOCIAÇÕES!N1356&lt;TODAY()),NEGOCIAÇÕES!E1356,"")</f>
        <v/>
      </c>
      <c r="D1356" s="6" t="str">
        <f ca="1">IF(AND(NEGOCIAÇÕES!O1356="",NEGOCIAÇÕES!N1356&lt;TODAY()),NEGOCIAÇÕES!D1356,"")</f>
        <v/>
      </c>
      <c r="E1356" s="9" t="str">
        <f ca="1">IF(AND(NEGOCIAÇÕES!O1356="",NEGOCIAÇÕES!N1356&lt;TODAY()),NEGOCIAÇÕES!N1356,"")</f>
        <v/>
      </c>
    </row>
    <row r="1357" spans="2:5" ht="31.95" hidden="1" customHeight="1" x14ac:dyDescent="0.3">
      <c r="B1357" s="6" t="str">
        <f ca="1">IF(AND(NEGOCIAÇÕES!O1357="",NEGOCIAÇÕES!N1357&lt;TODAY()),NEGOCIAÇÕES!C1357,"")</f>
        <v/>
      </c>
      <c r="C1357" s="6" t="str">
        <f ca="1">IF(AND(NEGOCIAÇÕES!O1357="",NEGOCIAÇÕES!N1357&lt;TODAY()),NEGOCIAÇÕES!E1357,"")</f>
        <v/>
      </c>
      <c r="D1357" s="6" t="str">
        <f ca="1">IF(AND(NEGOCIAÇÕES!O1357="",NEGOCIAÇÕES!N1357&lt;TODAY()),NEGOCIAÇÕES!D1357,"")</f>
        <v/>
      </c>
      <c r="E1357" s="9" t="str">
        <f ca="1">IF(AND(NEGOCIAÇÕES!O1357="",NEGOCIAÇÕES!N1357&lt;TODAY()),NEGOCIAÇÕES!N1357,"")</f>
        <v/>
      </c>
    </row>
    <row r="1358" spans="2:5" ht="31.95" hidden="1" customHeight="1" x14ac:dyDescent="0.3">
      <c r="B1358" s="6" t="str">
        <f ca="1">IF(AND(NEGOCIAÇÕES!O1358="",NEGOCIAÇÕES!N1358&lt;TODAY()),NEGOCIAÇÕES!C1358,"")</f>
        <v/>
      </c>
      <c r="C1358" s="6" t="str">
        <f ca="1">IF(AND(NEGOCIAÇÕES!O1358="",NEGOCIAÇÕES!N1358&lt;TODAY()),NEGOCIAÇÕES!E1358,"")</f>
        <v/>
      </c>
      <c r="D1358" s="6" t="str">
        <f ca="1">IF(AND(NEGOCIAÇÕES!O1358="",NEGOCIAÇÕES!N1358&lt;TODAY()),NEGOCIAÇÕES!D1358,"")</f>
        <v/>
      </c>
      <c r="E1358" s="9" t="str">
        <f ca="1">IF(AND(NEGOCIAÇÕES!O1358="",NEGOCIAÇÕES!N1358&lt;TODAY()),NEGOCIAÇÕES!N1358,"")</f>
        <v/>
      </c>
    </row>
    <row r="1359" spans="2:5" ht="31.95" hidden="1" customHeight="1" x14ac:dyDescent="0.3">
      <c r="B1359" s="6" t="str">
        <f ca="1">IF(AND(NEGOCIAÇÕES!O1359="",NEGOCIAÇÕES!N1359&lt;TODAY()),NEGOCIAÇÕES!C1359,"")</f>
        <v/>
      </c>
      <c r="C1359" s="6" t="str">
        <f ca="1">IF(AND(NEGOCIAÇÕES!O1359="",NEGOCIAÇÕES!N1359&lt;TODAY()),NEGOCIAÇÕES!E1359,"")</f>
        <v/>
      </c>
      <c r="D1359" s="6" t="str">
        <f ca="1">IF(AND(NEGOCIAÇÕES!O1359="",NEGOCIAÇÕES!N1359&lt;TODAY()),NEGOCIAÇÕES!D1359,"")</f>
        <v/>
      </c>
      <c r="E1359" s="9" t="str">
        <f ca="1">IF(AND(NEGOCIAÇÕES!O1359="",NEGOCIAÇÕES!N1359&lt;TODAY()),NEGOCIAÇÕES!N1359,"")</f>
        <v/>
      </c>
    </row>
    <row r="1360" spans="2:5" ht="31.95" hidden="1" customHeight="1" x14ac:dyDescent="0.3">
      <c r="B1360" s="6" t="str">
        <f ca="1">IF(AND(NEGOCIAÇÕES!O1360="",NEGOCIAÇÕES!N1360&lt;TODAY()),NEGOCIAÇÕES!C1360,"")</f>
        <v/>
      </c>
      <c r="C1360" s="6" t="str">
        <f ca="1">IF(AND(NEGOCIAÇÕES!O1360="",NEGOCIAÇÕES!N1360&lt;TODAY()),NEGOCIAÇÕES!E1360,"")</f>
        <v/>
      </c>
      <c r="D1360" s="6" t="str">
        <f ca="1">IF(AND(NEGOCIAÇÕES!O1360="",NEGOCIAÇÕES!N1360&lt;TODAY()),NEGOCIAÇÕES!D1360,"")</f>
        <v/>
      </c>
      <c r="E1360" s="9" t="str">
        <f ca="1">IF(AND(NEGOCIAÇÕES!O1360="",NEGOCIAÇÕES!N1360&lt;TODAY()),NEGOCIAÇÕES!N1360,"")</f>
        <v/>
      </c>
    </row>
    <row r="1361" spans="2:5" ht="31.95" hidden="1" customHeight="1" x14ac:dyDescent="0.3">
      <c r="B1361" s="6" t="str">
        <f ca="1">IF(AND(NEGOCIAÇÕES!O1361="",NEGOCIAÇÕES!N1361&lt;TODAY()),NEGOCIAÇÕES!C1361,"")</f>
        <v/>
      </c>
      <c r="C1361" s="6" t="str">
        <f ca="1">IF(AND(NEGOCIAÇÕES!O1361="",NEGOCIAÇÕES!N1361&lt;TODAY()),NEGOCIAÇÕES!E1361,"")</f>
        <v/>
      </c>
      <c r="D1361" s="6" t="str">
        <f ca="1">IF(AND(NEGOCIAÇÕES!O1361="",NEGOCIAÇÕES!N1361&lt;TODAY()),NEGOCIAÇÕES!D1361,"")</f>
        <v/>
      </c>
      <c r="E1361" s="9" t="str">
        <f ca="1">IF(AND(NEGOCIAÇÕES!O1361="",NEGOCIAÇÕES!N1361&lt;TODAY()),NEGOCIAÇÕES!N1361,"")</f>
        <v/>
      </c>
    </row>
    <row r="1362" spans="2:5" ht="31.95" hidden="1" customHeight="1" x14ac:dyDescent="0.3">
      <c r="B1362" s="6" t="str">
        <f ca="1">IF(AND(NEGOCIAÇÕES!O1362="",NEGOCIAÇÕES!N1362&lt;TODAY()),NEGOCIAÇÕES!C1362,"")</f>
        <v/>
      </c>
      <c r="C1362" s="6" t="str">
        <f ca="1">IF(AND(NEGOCIAÇÕES!O1362="",NEGOCIAÇÕES!N1362&lt;TODAY()),NEGOCIAÇÕES!E1362,"")</f>
        <v/>
      </c>
      <c r="D1362" s="6" t="str">
        <f ca="1">IF(AND(NEGOCIAÇÕES!O1362="",NEGOCIAÇÕES!N1362&lt;TODAY()),NEGOCIAÇÕES!D1362,"")</f>
        <v/>
      </c>
      <c r="E1362" s="9" t="str">
        <f ca="1">IF(AND(NEGOCIAÇÕES!O1362="",NEGOCIAÇÕES!N1362&lt;TODAY()),NEGOCIAÇÕES!N1362,"")</f>
        <v/>
      </c>
    </row>
    <row r="1363" spans="2:5" ht="31.95" hidden="1" customHeight="1" x14ac:dyDescent="0.3">
      <c r="B1363" s="6" t="str">
        <f ca="1">IF(AND(NEGOCIAÇÕES!O1363="",NEGOCIAÇÕES!N1363&lt;TODAY()),NEGOCIAÇÕES!C1363,"")</f>
        <v/>
      </c>
      <c r="C1363" s="6" t="str">
        <f ca="1">IF(AND(NEGOCIAÇÕES!O1363="",NEGOCIAÇÕES!N1363&lt;TODAY()),NEGOCIAÇÕES!E1363,"")</f>
        <v/>
      </c>
      <c r="D1363" s="6" t="str">
        <f ca="1">IF(AND(NEGOCIAÇÕES!O1363="",NEGOCIAÇÕES!N1363&lt;TODAY()),NEGOCIAÇÕES!D1363,"")</f>
        <v/>
      </c>
      <c r="E1363" s="9" t="str">
        <f ca="1">IF(AND(NEGOCIAÇÕES!O1363="",NEGOCIAÇÕES!N1363&lt;TODAY()),NEGOCIAÇÕES!N1363,"")</f>
        <v/>
      </c>
    </row>
    <row r="1364" spans="2:5" ht="31.95" hidden="1" customHeight="1" x14ac:dyDescent="0.3">
      <c r="B1364" s="6" t="str">
        <f ca="1">IF(AND(NEGOCIAÇÕES!O1364="",NEGOCIAÇÕES!N1364&lt;TODAY()),NEGOCIAÇÕES!C1364,"")</f>
        <v/>
      </c>
      <c r="C1364" s="6" t="str">
        <f ca="1">IF(AND(NEGOCIAÇÕES!O1364="",NEGOCIAÇÕES!N1364&lt;TODAY()),NEGOCIAÇÕES!E1364,"")</f>
        <v/>
      </c>
      <c r="D1364" s="6" t="str">
        <f ca="1">IF(AND(NEGOCIAÇÕES!O1364="",NEGOCIAÇÕES!N1364&lt;TODAY()),NEGOCIAÇÕES!D1364,"")</f>
        <v/>
      </c>
      <c r="E1364" s="9" t="str">
        <f ca="1">IF(AND(NEGOCIAÇÕES!O1364="",NEGOCIAÇÕES!N1364&lt;TODAY()),NEGOCIAÇÕES!N1364,"")</f>
        <v/>
      </c>
    </row>
    <row r="1365" spans="2:5" ht="31.95" customHeight="1" x14ac:dyDescent="0.3">
      <c r="B1365" s="6">
        <f ca="1">IF(AND(NEGOCIAÇÕES!O1365="",NEGOCIAÇÕES!N1365&lt;TODAY()),NEGOCIAÇÕES!C1365,"")</f>
        <v>1361</v>
      </c>
      <c r="C1365" s="6" t="str">
        <f ca="1">IF(AND(NEGOCIAÇÕES!O1365="",NEGOCIAÇÕES!N1365&lt;TODAY()),NEGOCIAÇÕES!E1365,"")</f>
        <v>OS 392.25</v>
      </c>
      <c r="D1365" s="6" t="str">
        <f ca="1">IF(AND(NEGOCIAÇÕES!O1365="",NEGOCIAÇÕES!N1365&lt;TODAY()),NEGOCIAÇÕES!D1365,"")</f>
        <v>RV - COMPOSITOS</v>
      </c>
      <c r="E1365" s="9">
        <f ca="1">IF(AND(NEGOCIAÇÕES!O1365="",NEGOCIAÇÕES!N1365&lt;TODAY()),NEGOCIAÇÕES!N1365,"")</f>
        <v>46037</v>
      </c>
    </row>
    <row r="1366" spans="2:5" ht="31.95" customHeight="1" x14ac:dyDescent="0.3">
      <c r="B1366" s="6">
        <f ca="1">IF(AND(NEGOCIAÇÕES!O1366="",NEGOCIAÇÕES!N1366&lt;TODAY()),NEGOCIAÇÕES!C1366,"")</f>
        <v>1362</v>
      </c>
      <c r="C1366" s="6" t="str">
        <f ca="1">IF(AND(NEGOCIAÇÕES!O1366="",NEGOCIAÇÕES!N1366&lt;TODAY()),NEGOCIAÇÕES!E1366,"")</f>
        <v>OS 392.25</v>
      </c>
      <c r="D1366" s="6" t="str">
        <f ca="1">IF(AND(NEGOCIAÇÕES!O1366="",NEGOCIAÇÕES!N1366&lt;TODAY()),NEGOCIAÇÕES!D1366,"")</f>
        <v>PAFER COMÉRCIO E REPRESENTAÇÕES LTDA</v>
      </c>
      <c r="E1366" s="9">
        <f ca="1">IF(AND(NEGOCIAÇÕES!O1366="",NEGOCIAÇÕES!N1366&lt;TODAY()),NEGOCIAÇÕES!N1366,"")</f>
        <v>46037</v>
      </c>
    </row>
    <row r="1367" spans="2:5" ht="31.95" hidden="1" customHeight="1" x14ac:dyDescent="0.3">
      <c r="B1367" s="6" t="str">
        <f ca="1">IF(AND(NEGOCIAÇÕES!O1367="",NEGOCIAÇÕES!N1367&lt;TODAY()),NEGOCIAÇÕES!C1367,"")</f>
        <v/>
      </c>
      <c r="C1367" s="6" t="str">
        <f ca="1">IF(AND(NEGOCIAÇÕES!O1367="",NEGOCIAÇÕES!N1367&lt;TODAY()),NEGOCIAÇÕES!E1367,"")</f>
        <v/>
      </c>
      <c r="D1367" s="6" t="str">
        <f ca="1">IF(AND(NEGOCIAÇÕES!O1367="",NEGOCIAÇÕES!N1367&lt;TODAY()),NEGOCIAÇÕES!D1367,"")</f>
        <v/>
      </c>
      <c r="E1367" s="9" t="str">
        <f ca="1">IF(AND(NEGOCIAÇÕES!O1367="",NEGOCIAÇÕES!N1367&lt;TODAY()),NEGOCIAÇÕES!N1367,"")</f>
        <v/>
      </c>
    </row>
    <row r="1368" spans="2:5" ht="31.95" hidden="1" customHeight="1" x14ac:dyDescent="0.3">
      <c r="B1368" s="6" t="str">
        <f ca="1">IF(AND(NEGOCIAÇÕES!O1368="",NEGOCIAÇÕES!N1368&lt;TODAY()),NEGOCIAÇÕES!C1368,"")</f>
        <v/>
      </c>
      <c r="C1368" s="6" t="str">
        <f ca="1">IF(AND(NEGOCIAÇÕES!O1368="",NEGOCIAÇÕES!N1368&lt;TODAY()),NEGOCIAÇÕES!E1368,"")</f>
        <v/>
      </c>
      <c r="D1368" s="6" t="str">
        <f ca="1">IF(AND(NEGOCIAÇÕES!O1368="",NEGOCIAÇÕES!N1368&lt;TODAY()),NEGOCIAÇÕES!D1368,"")</f>
        <v/>
      </c>
      <c r="E1368" s="9" t="str">
        <f ca="1">IF(AND(NEGOCIAÇÕES!O1368="",NEGOCIAÇÕES!N1368&lt;TODAY()),NEGOCIAÇÕES!N1368,"")</f>
        <v/>
      </c>
    </row>
    <row r="1369" spans="2:5" ht="31.95" hidden="1" customHeight="1" x14ac:dyDescent="0.3">
      <c r="B1369" s="6" t="str">
        <f ca="1">IF(AND(NEGOCIAÇÕES!O1369="",NEGOCIAÇÕES!N1369&lt;TODAY()),NEGOCIAÇÕES!C1369,"")</f>
        <v/>
      </c>
      <c r="C1369" s="6" t="str">
        <f ca="1">IF(AND(NEGOCIAÇÕES!O1369="",NEGOCIAÇÕES!N1369&lt;TODAY()),NEGOCIAÇÕES!E1369,"")</f>
        <v/>
      </c>
      <c r="D1369" s="6" t="str">
        <f ca="1">IF(AND(NEGOCIAÇÕES!O1369="",NEGOCIAÇÕES!N1369&lt;TODAY()),NEGOCIAÇÕES!D1369,"")</f>
        <v/>
      </c>
      <c r="E1369" s="9" t="str">
        <f ca="1">IF(AND(NEGOCIAÇÕES!O1369="",NEGOCIAÇÕES!N1369&lt;TODAY()),NEGOCIAÇÕES!N1369,"")</f>
        <v/>
      </c>
    </row>
    <row r="1370" spans="2:5" ht="31.95" hidden="1" customHeight="1" x14ac:dyDescent="0.3">
      <c r="B1370" s="6" t="str">
        <f ca="1">IF(AND(NEGOCIAÇÕES!O1370="",NEGOCIAÇÕES!N1370&lt;TODAY()),NEGOCIAÇÕES!C1370,"")</f>
        <v/>
      </c>
      <c r="C1370" s="6" t="str">
        <f ca="1">IF(AND(NEGOCIAÇÕES!O1370="",NEGOCIAÇÕES!N1370&lt;TODAY()),NEGOCIAÇÕES!E1370,"")</f>
        <v/>
      </c>
      <c r="D1370" s="6" t="str">
        <f ca="1">IF(AND(NEGOCIAÇÕES!O1370="",NEGOCIAÇÕES!N1370&lt;TODAY()),NEGOCIAÇÕES!D1370,"")</f>
        <v/>
      </c>
      <c r="E1370" s="9" t="str">
        <f ca="1">IF(AND(NEGOCIAÇÕES!O1370="",NEGOCIAÇÕES!N1370&lt;TODAY()),NEGOCIAÇÕES!N1370,"")</f>
        <v/>
      </c>
    </row>
    <row r="1371" spans="2:5" ht="31.95" hidden="1" customHeight="1" x14ac:dyDescent="0.3">
      <c r="B1371" s="6" t="str">
        <f ca="1">IF(AND(NEGOCIAÇÕES!O1371="",NEGOCIAÇÕES!N1371&lt;TODAY()),NEGOCIAÇÕES!C1371,"")</f>
        <v/>
      </c>
      <c r="C1371" s="6" t="str">
        <f ca="1">IF(AND(NEGOCIAÇÕES!O1371="",NEGOCIAÇÕES!N1371&lt;TODAY()),NEGOCIAÇÕES!E1371,"")</f>
        <v/>
      </c>
      <c r="D1371" s="6" t="str">
        <f ca="1">IF(AND(NEGOCIAÇÕES!O1371="",NEGOCIAÇÕES!N1371&lt;TODAY()),NEGOCIAÇÕES!D1371,"")</f>
        <v/>
      </c>
      <c r="E1371" s="9" t="str">
        <f ca="1">IF(AND(NEGOCIAÇÕES!O1371="",NEGOCIAÇÕES!N1371&lt;TODAY()),NEGOCIAÇÕES!N1371,"")</f>
        <v/>
      </c>
    </row>
    <row r="1372" spans="2:5" ht="31.95" hidden="1" customHeight="1" x14ac:dyDescent="0.3">
      <c r="B1372" s="6" t="str">
        <f ca="1">IF(AND(NEGOCIAÇÕES!O1372="",NEGOCIAÇÕES!N1372&lt;TODAY()),NEGOCIAÇÕES!C1372,"")</f>
        <v/>
      </c>
      <c r="C1372" s="6" t="str">
        <f ca="1">IF(AND(NEGOCIAÇÕES!O1372="",NEGOCIAÇÕES!N1372&lt;TODAY()),NEGOCIAÇÕES!E1372,"")</f>
        <v/>
      </c>
      <c r="D1372" s="6" t="str">
        <f ca="1">IF(AND(NEGOCIAÇÕES!O1372="",NEGOCIAÇÕES!N1372&lt;TODAY()),NEGOCIAÇÕES!D1372,"")</f>
        <v/>
      </c>
      <c r="E1372" s="9" t="str">
        <f ca="1">IF(AND(NEGOCIAÇÕES!O1372="",NEGOCIAÇÕES!N1372&lt;TODAY()),NEGOCIAÇÕES!N1372,"")</f>
        <v/>
      </c>
    </row>
    <row r="1373" spans="2:5" ht="31.95" customHeight="1" x14ac:dyDescent="0.3">
      <c r="B1373" s="6">
        <f ca="1">IF(AND(NEGOCIAÇÕES!O1373="",NEGOCIAÇÕES!N1373&lt;TODAY()),NEGOCIAÇÕES!C1373,"")</f>
        <v>1369</v>
      </c>
      <c r="C1373" s="6" t="str">
        <f ca="1">IF(AND(NEGOCIAÇÕES!O1373="",NEGOCIAÇÕES!N1373&lt;TODAY()),NEGOCIAÇÕES!E1373,"")</f>
        <v>OS 392.25</v>
      </c>
      <c r="D1373" s="6" t="str">
        <f ca="1">IF(AND(NEGOCIAÇÕES!O1373="",NEGOCIAÇÕES!N1373&lt;TODAY()),NEGOCIAÇÕES!D1373,"")</f>
        <v>Maziero Máquinas e equipamentos</v>
      </c>
      <c r="E1373" s="9">
        <f ca="1">IF(AND(NEGOCIAÇÕES!O1373="",NEGOCIAÇÕES!N1373&lt;TODAY()),NEGOCIAÇÕES!N1373,"")</f>
        <v>46032</v>
      </c>
    </row>
    <row r="1374" spans="2:5" ht="31.95" customHeight="1" x14ac:dyDescent="0.3">
      <c r="B1374" s="6">
        <f ca="1">IF(AND(NEGOCIAÇÕES!O1374="",NEGOCIAÇÕES!N1374&lt;TODAY()),NEGOCIAÇÕES!C1374,"")</f>
        <v>1370</v>
      </c>
      <c r="C1374" s="6" t="str">
        <f ca="1">IF(AND(NEGOCIAÇÕES!O1374="",NEGOCIAÇÕES!N1374&lt;TODAY()),NEGOCIAÇÕES!E1374,"")</f>
        <v>OS 392.25</v>
      </c>
      <c r="D1374" s="6" t="str">
        <f ca="1">IF(AND(NEGOCIAÇÕES!O1374="",NEGOCIAÇÕES!N1374&lt;TODAY()),NEGOCIAÇÕES!D1374,"")</f>
        <v>TENAX ACO E FERRO MATRIZ</v>
      </c>
      <c r="E1374" s="9">
        <f ca="1">IF(AND(NEGOCIAÇÕES!O1374="",NEGOCIAÇÕES!N1374&lt;TODAY()),NEGOCIAÇÕES!N1374,"")</f>
        <v>46007</v>
      </c>
    </row>
    <row r="1375" spans="2:5" ht="31.95" hidden="1" customHeight="1" x14ac:dyDescent="0.3">
      <c r="B1375" s="6" t="str">
        <f ca="1">IF(AND(NEGOCIAÇÕES!O1375="",NEGOCIAÇÕES!N1375&lt;TODAY()),NEGOCIAÇÕES!C1375,"")</f>
        <v/>
      </c>
      <c r="C1375" s="6" t="str">
        <f ca="1">IF(AND(NEGOCIAÇÕES!O1375="",NEGOCIAÇÕES!N1375&lt;TODAY()),NEGOCIAÇÕES!E1375,"")</f>
        <v/>
      </c>
      <c r="D1375" s="6" t="str">
        <f ca="1">IF(AND(NEGOCIAÇÕES!O1375="",NEGOCIAÇÕES!N1375&lt;TODAY()),NEGOCIAÇÕES!D1375,"")</f>
        <v/>
      </c>
      <c r="E1375" s="9" t="str">
        <f ca="1">IF(AND(NEGOCIAÇÕES!O1375="",NEGOCIAÇÕES!N1375&lt;TODAY()),NEGOCIAÇÕES!N1375,"")</f>
        <v/>
      </c>
    </row>
    <row r="1376" spans="2:5" ht="31.95" customHeight="1" x14ac:dyDescent="0.3">
      <c r="B1376" s="6">
        <f ca="1">IF(AND(NEGOCIAÇÕES!O1376="",NEGOCIAÇÕES!N1376&lt;TODAY()),NEGOCIAÇÕES!C1376,"")</f>
        <v>1372</v>
      </c>
      <c r="C1376" s="6" t="str">
        <f ca="1">IF(AND(NEGOCIAÇÕES!O1376="",NEGOCIAÇÕES!N1376&lt;TODAY()),NEGOCIAÇÕES!E1376,"")</f>
        <v>OS 392.25</v>
      </c>
      <c r="D1376" s="6" t="str">
        <f ca="1">IF(AND(NEGOCIAÇÕES!O1376="",NEGOCIAÇÕES!N1376&lt;TODAY()),NEGOCIAÇÕES!D1376,"")</f>
        <v>SPECIAL TUBOS E AÇOS LTDA.</v>
      </c>
      <c r="E1376" s="9">
        <f ca="1">IF(AND(NEGOCIAÇÕES!O1376="",NEGOCIAÇÕES!N1376&lt;TODAY()),NEGOCIAÇÕES!N1376,"")</f>
        <v>46030</v>
      </c>
    </row>
    <row r="1377" spans="2:5" ht="31.95" hidden="1" customHeight="1" x14ac:dyDescent="0.3">
      <c r="B1377" s="6" t="str">
        <f ca="1">IF(AND(NEGOCIAÇÕES!O1377="",NEGOCIAÇÕES!N1377&lt;TODAY()),NEGOCIAÇÕES!C1377,"")</f>
        <v/>
      </c>
      <c r="C1377" s="6" t="str">
        <f ca="1">IF(AND(NEGOCIAÇÕES!O1377="",NEGOCIAÇÕES!N1377&lt;TODAY()),NEGOCIAÇÕES!E1377,"")</f>
        <v/>
      </c>
      <c r="D1377" s="6" t="str">
        <f ca="1">IF(AND(NEGOCIAÇÕES!O1377="",NEGOCIAÇÕES!N1377&lt;TODAY()),NEGOCIAÇÕES!D1377,"")</f>
        <v/>
      </c>
      <c r="E1377" s="9" t="str">
        <f ca="1">IF(AND(NEGOCIAÇÕES!O1377="",NEGOCIAÇÕES!N1377&lt;TODAY()),NEGOCIAÇÕES!N1377,"")</f>
        <v/>
      </c>
    </row>
    <row r="1378" spans="2:5" ht="31.95" hidden="1" customHeight="1" x14ac:dyDescent="0.3">
      <c r="B1378" s="6" t="str">
        <f ca="1">IF(AND(NEGOCIAÇÕES!O1378="",NEGOCIAÇÕES!N1378&lt;TODAY()),NEGOCIAÇÕES!C1378,"")</f>
        <v/>
      </c>
      <c r="C1378" s="6" t="str">
        <f ca="1">IF(AND(NEGOCIAÇÕES!O1378="",NEGOCIAÇÕES!N1378&lt;TODAY()),NEGOCIAÇÕES!E1378,"")</f>
        <v/>
      </c>
      <c r="D1378" s="6" t="str">
        <f ca="1">IF(AND(NEGOCIAÇÕES!O1378="",NEGOCIAÇÕES!N1378&lt;TODAY()),NEGOCIAÇÕES!D1378,"")</f>
        <v/>
      </c>
      <c r="E1378" s="9" t="str">
        <f ca="1">IF(AND(NEGOCIAÇÕES!O1378="",NEGOCIAÇÕES!N1378&lt;TODAY()),NEGOCIAÇÕES!N1378,"")</f>
        <v/>
      </c>
    </row>
    <row r="1379" spans="2:5" ht="31.95" hidden="1" customHeight="1" x14ac:dyDescent="0.3">
      <c r="B1379" s="6" t="str">
        <f ca="1">IF(AND(NEGOCIAÇÕES!O1379="",NEGOCIAÇÕES!N1379&lt;TODAY()),NEGOCIAÇÕES!C1379,"")</f>
        <v/>
      </c>
      <c r="C1379" s="6" t="str">
        <f ca="1">IF(AND(NEGOCIAÇÕES!O1379="",NEGOCIAÇÕES!N1379&lt;TODAY()),NEGOCIAÇÕES!E1379,"")</f>
        <v/>
      </c>
      <c r="D1379" s="6" t="str">
        <f ca="1">IF(AND(NEGOCIAÇÕES!O1379="",NEGOCIAÇÕES!N1379&lt;TODAY()),NEGOCIAÇÕES!D1379,"")</f>
        <v/>
      </c>
      <c r="E1379" s="9" t="str">
        <f ca="1">IF(AND(NEGOCIAÇÕES!O1379="",NEGOCIAÇÕES!N1379&lt;TODAY()),NEGOCIAÇÕES!N1379,"")</f>
        <v/>
      </c>
    </row>
    <row r="1380" spans="2:5" ht="31.95" hidden="1" customHeight="1" x14ac:dyDescent="0.3">
      <c r="B1380" s="6" t="str">
        <f ca="1">IF(AND(NEGOCIAÇÕES!O1380="",NEGOCIAÇÕES!N1380&lt;TODAY()),NEGOCIAÇÕES!C1380,"")</f>
        <v/>
      </c>
      <c r="C1380" s="6" t="str">
        <f ca="1">IF(AND(NEGOCIAÇÕES!O1380="",NEGOCIAÇÕES!N1380&lt;TODAY()),NEGOCIAÇÕES!E1380,"")</f>
        <v/>
      </c>
      <c r="D1380" s="6" t="str">
        <f ca="1">IF(AND(NEGOCIAÇÕES!O1380="",NEGOCIAÇÕES!N1380&lt;TODAY()),NEGOCIAÇÕES!D1380,"")</f>
        <v/>
      </c>
      <c r="E1380" s="9" t="str">
        <f ca="1">IF(AND(NEGOCIAÇÕES!O1380="",NEGOCIAÇÕES!N1380&lt;TODAY()),NEGOCIAÇÕES!N1380,"")</f>
        <v/>
      </c>
    </row>
    <row r="1381" spans="2:5" ht="31.95" hidden="1" customHeight="1" x14ac:dyDescent="0.3">
      <c r="B1381" s="6" t="str">
        <f ca="1">IF(AND(NEGOCIAÇÕES!O1381="",NEGOCIAÇÕES!N1381&lt;TODAY()),NEGOCIAÇÕES!C1381,"")</f>
        <v/>
      </c>
      <c r="C1381" s="6" t="str">
        <f ca="1">IF(AND(NEGOCIAÇÕES!O1381="",NEGOCIAÇÕES!N1381&lt;TODAY()),NEGOCIAÇÕES!E1381,"")</f>
        <v/>
      </c>
      <c r="D1381" s="6" t="str">
        <f ca="1">IF(AND(NEGOCIAÇÕES!O1381="",NEGOCIAÇÕES!N1381&lt;TODAY()),NEGOCIAÇÕES!D1381,"")</f>
        <v/>
      </c>
      <c r="E1381" s="9" t="str">
        <f ca="1">IF(AND(NEGOCIAÇÕES!O1381="",NEGOCIAÇÕES!N1381&lt;TODAY()),NEGOCIAÇÕES!N1381,"")</f>
        <v/>
      </c>
    </row>
    <row r="1382" spans="2:5" ht="31.95" hidden="1" customHeight="1" x14ac:dyDescent="0.3">
      <c r="B1382" s="6" t="str">
        <f ca="1">IF(AND(NEGOCIAÇÕES!O1382="",NEGOCIAÇÕES!N1382&lt;TODAY()),NEGOCIAÇÕES!C1382,"")</f>
        <v/>
      </c>
      <c r="C1382" s="6" t="str">
        <f ca="1">IF(AND(NEGOCIAÇÕES!O1382="",NEGOCIAÇÕES!N1382&lt;TODAY()),NEGOCIAÇÕES!E1382,"")</f>
        <v/>
      </c>
      <c r="D1382" s="6" t="str">
        <f ca="1">IF(AND(NEGOCIAÇÕES!O1382="",NEGOCIAÇÕES!N1382&lt;TODAY()),NEGOCIAÇÕES!D1382,"")</f>
        <v/>
      </c>
      <c r="E1382" s="9" t="str">
        <f ca="1">IF(AND(NEGOCIAÇÕES!O1382="",NEGOCIAÇÕES!N1382&lt;TODAY()),NEGOCIAÇÕES!N1382,"")</f>
        <v/>
      </c>
    </row>
    <row r="1383" spans="2:5" ht="31.95" hidden="1" customHeight="1" x14ac:dyDescent="0.3">
      <c r="B1383" s="6" t="str">
        <f ca="1">IF(AND(NEGOCIAÇÕES!O1383="",NEGOCIAÇÕES!N1383&lt;TODAY()),NEGOCIAÇÕES!C1383,"")</f>
        <v/>
      </c>
      <c r="C1383" s="6" t="str">
        <f ca="1">IF(AND(NEGOCIAÇÕES!O1383="",NEGOCIAÇÕES!N1383&lt;TODAY()),NEGOCIAÇÕES!E1383,"")</f>
        <v/>
      </c>
      <c r="D1383" s="6" t="str">
        <f ca="1">IF(AND(NEGOCIAÇÕES!O1383="",NEGOCIAÇÕES!N1383&lt;TODAY()),NEGOCIAÇÕES!D1383,"")</f>
        <v/>
      </c>
      <c r="E1383" s="9" t="str">
        <f ca="1">IF(AND(NEGOCIAÇÕES!O1383="",NEGOCIAÇÕES!N1383&lt;TODAY()),NEGOCIAÇÕES!N1383,"")</f>
        <v/>
      </c>
    </row>
    <row r="1384" spans="2:5" ht="31.95" customHeight="1" x14ac:dyDescent="0.3">
      <c r="B1384" s="6">
        <f ca="1">IF(AND(NEGOCIAÇÕES!O1384="",NEGOCIAÇÕES!N1384&lt;TODAY()),NEGOCIAÇÕES!C1384,"")</f>
        <v>1380</v>
      </c>
      <c r="C1384" s="6" t="str">
        <f ca="1">IF(AND(NEGOCIAÇÕES!O1384="",NEGOCIAÇÕES!N1384&lt;TODAY()),NEGOCIAÇÕES!E1384,"")</f>
        <v>OS 392.25</v>
      </c>
      <c r="D1384" s="6" t="str">
        <f ca="1">IF(AND(NEGOCIAÇÕES!O1384="",NEGOCIAÇÕES!N1384&lt;TODAY()),NEGOCIAÇÕES!D1384,"")</f>
        <v>Maziero Máquinas e equipamentos</v>
      </c>
      <c r="E1384" s="9">
        <f ca="1">IF(AND(NEGOCIAÇÕES!O1384="",NEGOCIAÇÕES!N1384&lt;TODAY()),NEGOCIAÇÕES!N1384,"")</f>
        <v>46031</v>
      </c>
    </row>
    <row r="1385" spans="2:5" ht="31.95" hidden="1" customHeight="1" x14ac:dyDescent="0.3">
      <c r="B1385" s="6" t="str">
        <f ca="1">IF(AND(NEGOCIAÇÕES!O1385="",NEGOCIAÇÕES!N1385&lt;TODAY()),NEGOCIAÇÕES!C1385,"")</f>
        <v/>
      </c>
      <c r="C1385" s="6" t="str">
        <f ca="1">IF(AND(NEGOCIAÇÕES!O1385="",NEGOCIAÇÕES!N1385&lt;TODAY()),NEGOCIAÇÕES!E1385,"")</f>
        <v/>
      </c>
      <c r="D1385" s="6" t="str">
        <f ca="1">IF(AND(NEGOCIAÇÕES!O1385="",NEGOCIAÇÕES!N1385&lt;TODAY()),NEGOCIAÇÕES!D1385,"")</f>
        <v/>
      </c>
      <c r="E1385" s="9" t="str">
        <f ca="1">IF(AND(NEGOCIAÇÕES!O1385="",NEGOCIAÇÕES!N1385&lt;TODAY()),NEGOCIAÇÕES!N1385,"")</f>
        <v/>
      </c>
    </row>
    <row r="1386" spans="2:5" ht="31.95" customHeight="1" x14ac:dyDescent="0.3">
      <c r="B1386" s="6">
        <f ca="1">IF(AND(NEGOCIAÇÕES!O1386="",NEGOCIAÇÕES!N1386&lt;TODAY()),NEGOCIAÇÕES!C1386,"")</f>
        <v>1382</v>
      </c>
      <c r="C1386" s="6" t="str">
        <f ca="1">IF(AND(NEGOCIAÇÕES!O1386="",NEGOCIAÇÕES!N1386&lt;TODAY()),NEGOCIAÇÕES!E1386,"")</f>
        <v>OS 397.25</v>
      </c>
      <c r="D1386" s="6" t="str">
        <f ca="1">IF(AND(NEGOCIAÇÕES!O1386="",NEGOCIAÇÕES!N1386&lt;TODAY()),NEGOCIAÇÕES!D1386,"")</f>
        <v xml:space="preserve">RJM COMERCIO E CONEXÕES EIRELI </v>
      </c>
      <c r="E1386" s="9">
        <f ca="1">IF(AND(NEGOCIAÇÕES!O1386="",NEGOCIAÇÕES!N1386&lt;TODAY()),NEGOCIAÇÕES!N1386,"")</f>
        <v>46028</v>
      </c>
    </row>
    <row r="1387" spans="2:5" ht="31.95" customHeight="1" x14ac:dyDescent="0.3">
      <c r="B1387" s="6">
        <f ca="1">IF(AND(NEGOCIAÇÕES!O1387="",NEGOCIAÇÕES!N1387&lt;TODAY()),NEGOCIAÇÕES!C1387,"")</f>
        <v>1383</v>
      </c>
      <c r="C1387" s="6" t="str">
        <f ca="1">IF(AND(NEGOCIAÇÕES!O1387="",NEGOCIAÇÕES!N1387&lt;TODAY()),NEGOCIAÇÕES!E1387,"")</f>
        <v>OS 396.25</v>
      </c>
      <c r="D1387" s="6" t="str">
        <f ca="1">IF(AND(NEGOCIAÇÕES!O1387="",NEGOCIAÇÕES!N1387&lt;TODAY()),NEGOCIAÇÕES!D1387,"")</f>
        <v>PAFER COMÉRCIO E REPRESENTAÇÕES LTDA</v>
      </c>
      <c r="E1387" s="9">
        <f ca="1">IF(AND(NEGOCIAÇÕES!O1387="",NEGOCIAÇÕES!N1387&lt;TODAY()),NEGOCIAÇÕES!N1387,"")</f>
        <v>46036</v>
      </c>
    </row>
    <row r="1388" spans="2:5" ht="31.95" customHeight="1" x14ac:dyDescent="0.3">
      <c r="B1388" s="6">
        <f ca="1">IF(AND(NEGOCIAÇÕES!O1388="",NEGOCIAÇÕES!N1388&lt;TODAY()),NEGOCIAÇÕES!C1388,"")</f>
        <v>1384</v>
      </c>
      <c r="C1388" s="6" t="str">
        <f ca="1">IF(AND(NEGOCIAÇÕES!O1388="",NEGOCIAÇÕES!N1388&lt;TODAY()),NEGOCIAÇÕES!E1388,"")</f>
        <v>-</v>
      </c>
      <c r="D1388" s="6" t="str">
        <f ca="1">IF(AND(NEGOCIAÇÕES!O1388="",NEGOCIAÇÕES!N1388&lt;TODAY()),NEGOCIAÇÕES!D1388,"")</f>
        <v>AENEJOTA FERRAGENS LTDA</v>
      </c>
      <c r="E1388" s="9">
        <f ca="1">IF(AND(NEGOCIAÇÕES!O1388="",NEGOCIAÇÕES!N1388&lt;TODAY()),NEGOCIAÇÕES!N1388,"")</f>
        <v>46028</v>
      </c>
    </row>
    <row r="1389" spans="2:5" ht="31.95" customHeight="1" x14ac:dyDescent="0.3">
      <c r="B1389" s="6">
        <f ca="1">IF(AND(NEGOCIAÇÕES!O1389="",NEGOCIAÇÕES!N1389&lt;TODAY()),NEGOCIAÇÕES!C1389,"")</f>
        <v>1385</v>
      </c>
      <c r="C1389" s="6" t="str">
        <f ca="1">IF(AND(NEGOCIAÇÕES!O1389="",NEGOCIAÇÕES!N1389&lt;TODAY()),NEGOCIAÇÕES!E1389,"")</f>
        <v>OS 401.25</v>
      </c>
      <c r="D1389" s="6" t="str">
        <f ca="1">IF(AND(NEGOCIAÇÕES!O1389="",NEGOCIAÇÕES!N1389&lt;TODAY()),NEGOCIAÇÕES!D1389,"")</f>
        <v>PAFER COMÉRCIO E REPRESENTAÇÕES LTDA</v>
      </c>
      <c r="E1389" s="9">
        <f ca="1">IF(AND(NEGOCIAÇÕES!O1389="",NEGOCIAÇÕES!N1389&lt;TODAY()),NEGOCIAÇÕES!N1389,"")</f>
        <v>46034</v>
      </c>
    </row>
    <row r="1390" spans="2:5" ht="31.95" customHeight="1" x14ac:dyDescent="0.3">
      <c r="B1390" s="6">
        <f ca="1">IF(AND(NEGOCIAÇÕES!O1390="",NEGOCIAÇÕES!N1390&lt;TODAY()),NEGOCIAÇÕES!C1390,"")</f>
        <v>1386</v>
      </c>
      <c r="C1390" s="6" t="str">
        <f ca="1">IF(AND(NEGOCIAÇÕES!O1390="",NEGOCIAÇÕES!N1390&lt;TODAY()),NEGOCIAÇÕES!E1390,"")</f>
        <v>OS 398.25</v>
      </c>
      <c r="D1390" s="6" t="str">
        <f ca="1">IF(AND(NEGOCIAÇÕES!O1390="",NEGOCIAÇÕES!N1390&lt;TODAY()),NEGOCIAÇÕES!D1390,"")</f>
        <v>ANJ TINTAS NAVAIS E INDUSTRIAL LTDA</v>
      </c>
      <c r="E1390" s="9">
        <f ca="1">IF(AND(NEGOCIAÇÕES!O1390="",NEGOCIAÇÕES!N1390&lt;TODAY()),NEGOCIAÇÕES!N1390,"")</f>
        <v>46028</v>
      </c>
    </row>
    <row r="1391" spans="2:5" ht="31.95" customHeight="1" x14ac:dyDescent="0.3">
      <c r="B1391" s="6">
        <f ca="1">IF(AND(NEGOCIAÇÕES!O1391="",NEGOCIAÇÕES!N1391&lt;TODAY()),NEGOCIAÇÕES!C1391,"")</f>
        <v>1387</v>
      </c>
      <c r="C1391" s="6" t="str">
        <f ca="1">IF(AND(NEGOCIAÇÕES!O1391="",NEGOCIAÇÕES!N1391&lt;TODAY()),NEGOCIAÇÕES!E1391,"")</f>
        <v>OS 398.25</v>
      </c>
      <c r="D1391" s="6" t="str">
        <f ca="1">IF(AND(NEGOCIAÇÕES!O1391="",NEGOCIAÇÕES!N1391&lt;TODAY()),NEGOCIAÇÕES!D1391,"")</f>
        <v>PAFER COMÉRCIO E REPRESENTAÇÕES LTDA</v>
      </c>
      <c r="E1391" s="9">
        <f ca="1">IF(AND(NEGOCIAÇÕES!O1391="",NEGOCIAÇÕES!N1391&lt;TODAY()),NEGOCIAÇÕES!N1391,"")</f>
        <v>46028</v>
      </c>
    </row>
    <row r="1392" spans="2:5" ht="31.95" customHeight="1" x14ac:dyDescent="0.3">
      <c r="B1392" s="6">
        <f ca="1">IF(AND(NEGOCIAÇÕES!O1392="",NEGOCIAÇÕES!N1392&lt;TODAY()),NEGOCIAÇÕES!C1392,"")</f>
        <v>1388</v>
      </c>
      <c r="C1392" s="6" t="str">
        <f ca="1">IF(AND(NEGOCIAÇÕES!O1392="",NEGOCIAÇÕES!N1392&lt;TODAY()),NEGOCIAÇÕES!E1392,"")</f>
        <v>OS 397.25</v>
      </c>
      <c r="D1392" s="6" t="str">
        <f ca="1">IF(AND(NEGOCIAÇÕES!O1392="",NEGOCIAÇÕES!N1392&lt;TODAY()),NEGOCIAÇÕES!D1392,"")</f>
        <v>DS RIO VEDAÇÕES  - EIRELI</v>
      </c>
      <c r="E1392" s="9">
        <f ca="1">IF(AND(NEGOCIAÇÕES!O1392="",NEGOCIAÇÕES!N1392&lt;TODAY()),NEGOCIAÇÕES!N1392,"")</f>
        <v>46036</v>
      </c>
    </row>
    <row r="1393" spans="2:5" ht="31.95" customHeight="1" x14ac:dyDescent="0.3">
      <c r="B1393" s="6">
        <f ca="1">IF(AND(NEGOCIAÇÕES!O1393="",NEGOCIAÇÕES!N1393&lt;TODAY()),NEGOCIAÇÕES!C1393,"")</f>
        <v>1389</v>
      </c>
      <c r="C1393" s="6" t="str">
        <f ca="1">IF(AND(NEGOCIAÇÕES!O1393="",NEGOCIAÇÕES!N1393&lt;TODAY()),NEGOCIAÇÕES!E1393,"")</f>
        <v>OS 396.25</v>
      </c>
      <c r="D1393" s="6" t="str">
        <f ca="1">IF(AND(NEGOCIAÇÕES!O1393="",NEGOCIAÇÕES!N1393&lt;TODAY()),NEGOCIAÇÕES!D1393,"")</f>
        <v>AENEJOTA FERRAGENS LTDA</v>
      </c>
      <c r="E1393" s="9">
        <f ca="1">IF(AND(NEGOCIAÇÕES!O1393="",NEGOCIAÇÕES!N1393&lt;TODAY()),NEGOCIAÇÕES!N1393,"")</f>
        <v>46028</v>
      </c>
    </row>
    <row r="1394" spans="2:5" ht="31.95" customHeight="1" x14ac:dyDescent="0.3">
      <c r="B1394" s="6">
        <f ca="1">IF(AND(NEGOCIAÇÕES!O1394="",NEGOCIAÇÕES!N1394&lt;TODAY()),NEGOCIAÇÕES!C1394,"")</f>
        <v>1390</v>
      </c>
      <c r="C1394" s="6" t="str">
        <f ca="1">IF(AND(NEGOCIAÇÕES!O1394="",NEGOCIAÇÕES!N1394&lt;TODAY()),NEGOCIAÇÕES!E1394,"")</f>
        <v>OS 396.25</v>
      </c>
      <c r="D1394" s="6" t="str">
        <f ca="1">IF(AND(NEGOCIAÇÕES!O1394="",NEGOCIAÇÕES!N1394&lt;TODAY()),NEGOCIAÇÕES!D1394,"")</f>
        <v>ISOPRO COMERCIO DE JUNTAS E SOLDAS LTDA</v>
      </c>
      <c r="E1394" s="9">
        <f ca="1">IF(AND(NEGOCIAÇÕES!O1394="",NEGOCIAÇÕES!N1394&lt;TODAY()),NEGOCIAÇÕES!N1394,"")</f>
        <v>46028</v>
      </c>
    </row>
    <row r="1395" spans="2:5" ht="31.95" customHeight="1" x14ac:dyDescent="0.3">
      <c r="B1395" s="6">
        <f ca="1">IF(AND(NEGOCIAÇÕES!O1395="",NEGOCIAÇÕES!N1395&lt;TODAY()),NEGOCIAÇÕES!C1395,"")</f>
        <v>1391</v>
      </c>
      <c r="C1395" s="6" t="str">
        <f ca="1">IF(AND(NEGOCIAÇÕES!O1395="",NEGOCIAÇÕES!N1395&lt;TODAY()),NEGOCIAÇÕES!E1395,"")</f>
        <v>-</v>
      </c>
      <c r="D1395" s="6" t="str">
        <f ca="1">IF(AND(NEGOCIAÇÕES!O1395="",NEGOCIAÇÕES!N1395&lt;TODAY()),NEGOCIAÇÕES!D1395,"")</f>
        <v>AENEJOTA FERRAGENS LTDA</v>
      </c>
      <c r="E1395" s="9">
        <f ca="1">IF(AND(NEGOCIAÇÕES!O1395="",NEGOCIAÇÕES!N1395&lt;TODAY()),NEGOCIAÇÕES!N1395,"")</f>
        <v>46028</v>
      </c>
    </row>
    <row r="1396" spans="2:5" ht="31.95" customHeight="1" x14ac:dyDescent="0.3">
      <c r="B1396" s="6">
        <f ca="1">IF(AND(NEGOCIAÇÕES!O1396="",NEGOCIAÇÕES!N1396&lt;TODAY()),NEGOCIAÇÕES!C1396,"")</f>
        <v>1392</v>
      </c>
      <c r="C1396" s="6" t="str">
        <f ca="1">IF(AND(NEGOCIAÇÕES!O1396="",NEGOCIAÇÕES!N1396&lt;TODAY()),NEGOCIAÇÕES!E1396,"")</f>
        <v>OS 376.25</v>
      </c>
      <c r="D1396" s="6" t="str">
        <f ca="1">IF(AND(NEGOCIAÇÕES!O1396="",NEGOCIAÇÕES!N1396&lt;TODAY()),NEGOCIAÇÕES!D1396,"")</f>
        <v>PAFER COMÉRCIO E REPRESENTAÇÕES LTDA</v>
      </c>
      <c r="E1396" s="9">
        <f ca="1">IF(AND(NEGOCIAÇÕES!O1396="",NEGOCIAÇÕES!N1396&lt;TODAY()),NEGOCIAÇÕES!N1396,"")</f>
        <v>46048</v>
      </c>
    </row>
    <row r="1397" spans="2:5" ht="31.95" hidden="1" customHeight="1" x14ac:dyDescent="0.3">
      <c r="B1397" s="6" t="str">
        <f ca="1">IF(AND(NEGOCIAÇÕES!O1397="",NEGOCIAÇÕES!N1397&lt;TODAY()),NEGOCIAÇÕES!C1397,"")</f>
        <v/>
      </c>
      <c r="C1397" s="6" t="str">
        <f ca="1">IF(AND(NEGOCIAÇÕES!O1397="",NEGOCIAÇÕES!N1397&lt;TODAY()),NEGOCIAÇÕES!E1397,"")</f>
        <v/>
      </c>
      <c r="D1397" s="6" t="str">
        <f ca="1">IF(AND(NEGOCIAÇÕES!O1397="",NEGOCIAÇÕES!N1397&lt;TODAY()),NEGOCIAÇÕES!D1397,"")</f>
        <v/>
      </c>
      <c r="E1397" s="9" t="str">
        <f ca="1">IF(AND(NEGOCIAÇÕES!O1397="",NEGOCIAÇÕES!N1397&lt;TODAY()),NEGOCIAÇÕES!N1397,"")</f>
        <v/>
      </c>
    </row>
    <row r="1398" spans="2:5" ht="31.95" customHeight="1" x14ac:dyDescent="0.3">
      <c r="B1398" s="6">
        <f ca="1">IF(AND(NEGOCIAÇÕES!O1398="",NEGOCIAÇÕES!N1398&lt;TODAY()),NEGOCIAÇÕES!C1398,"")</f>
        <v>1394</v>
      </c>
      <c r="C1398" s="6" t="str">
        <f ca="1">IF(AND(NEGOCIAÇÕES!O1398="",NEGOCIAÇÕES!N1398&lt;TODAY()),NEGOCIAÇÕES!E1398,"")</f>
        <v>OS 397.25</v>
      </c>
      <c r="D1398" s="6" t="str">
        <f ca="1">IF(AND(NEGOCIAÇÕES!O1398="",NEGOCIAÇÕES!N1398&lt;TODAY()),NEGOCIAÇÕES!D1398,"")</f>
        <v>PAFER COMÉRCIO E REPRESENTAÇÕES LTDA</v>
      </c>
      <c r="E1398" s="9">
        <f ca="1">IF(AND(NEGOCIAÇÕES!O1398="",NEGOCIAÇÕES!N1398&lt;TODAY()),NEGOCIAÇÕES!N1398,"")</f>
        <v>46035</v>
      </c>
    </row>
    <row r="1399" spans="2:5" ht="31.95" customHeight="1" x14ac:dyDescent="0.3">
      <c r="B1399" s="6">
        <f ca="1">IF(AND(NEGOCIAÇÕES!O1399="",NEGOCIAÇÕES!N1399&lt;TODAY()),NEGOCIAÇÕES!C1399,"")</f>
        <v>1395</v>
      </c>
      <c r="C1399" s="6" t="str">
        <f ca="1">IF(AND(NEGOCIAÇÕES!O1399="",NEGOCIAÇÕES!N1399&lt;TODAY()),NEGOCIAÇÕES!E1399,"")</f>
        <v>OS 397.25</v>
      </c>
      <c r="D1399" s="6" t="str">
        <f ca="1">IF(AND(NEGOCIAÇÕES!O1399="",NEGOCIAÇÕES!N1399&lt;TODAY()),NEGOCIAÇÕES!D1399,"")</f>
        <v>TENAX ACO E FERRO MATRIZ</v>
      </c>
      <c r="E1399" s="9">
        <f ca="1">IF(AND(NEGOCIAÇÕES!O1399="",NEGOCIAÇÕES!N1399&lt;TODAY()),NEGOCIAÇÕES!N1399,"")</f>
        <v>46028</v>
      </c>
    </row>
    <row r="1400" spans="2:5" ht="31.95" hidden="1" customHeight="1" x14ac:dyDescent="0.3">
      <c r="B1400" s="6" t="str">
        <f ca="1">IF(AND(NEGOCIAÇÕES!O1400="",NEGOCIAÇÕES!N1400&lt;TODAY()),NEGOCIAÇÕES!C1400,"")</f>
        <v/>
      </c>
      <c r="C1400" s="6" t="str">
        <f ca="1">IF(AND(NEGOCIAÇÕES!O1400="",NEGOCIAÇÕES!N1400&lt;TODAY()),NEGOCIAÇÕES!E1400,"")</f>
        <v/>
      </c>
      <c r="D1400" s="6" t="str">
        <f ca="1">IF(AND(NEGOCIAÇÕES!O1400="",NEGOCIAÇÕES!N1400&lt;TODAY()),NEGOCIAÇÕES!D1400,"")</f>
        <v/>
      </c>
      <c r="E1400" s="9" t="str">
        <f ca="1">IF(AND(NEGOCIAÇÕES!O1400="",NEGOCIAÇÕES!N1400&lt;TODAY()),NEGOCIAÇÕES!N1400,"")</f>
        <v/>
      </c>
    </row>
    <row r="1401" spans="2:5" ht="31.95" hidden="1" customHeight="1" x14ac:dyDescent="0.3">
      <c r="B1401" s="6" t="str">
        <f ca="1">IF(AND(NEGOCIAÇÕES!O1401="",NEGOCIAÇÕES!N1401&lt;TODAY()),NEGOCIAÇÕES!C1401,"")</f>
        <v/>
      </c>
      <c r="C1401" s="6" t="str">
        <f ca="1">IF(AND(NEGOCIAÇÕES!O1401="",NEGOCIAÇÕES!N1401&lt;TODAY()),NEGOCIAÇÕES!E1401,"")</f>
        <v/>
      </c>
      <c r="D1401" s="6" t="str">
        <f ca="1">IF(AND(NEGOCIAÇÕES!O1401="",NEGOCIAÇÕES!N1401&lt;TODAY()),NEGOCIAÇÕES!D1401,"")</f>
        <v/>
      </c>
      <c r="E1401" s="9" t="str">
        <f ca="1">IF(AND(NEGOCIAÇÕES!O1401="",NEGOCIAÇÕES!N1401&lt;TODAY()),NEGOCIAÇÕES!N1401,"")</f>
        <v/>
      </c>
    </row>
    <row r="1402" spans="2:5" ht="31.95" customHeight="1" x14ac:dyDescent="0.3">
      <c r="B1402" s="6">
        <f ca="1">IF(AND(NEGOCIAÇÕES!O1402="",NEGOCIAÇÕES!N1402&lt;TODAY()),NEGOCIAÇÕES!C1402,"")</f>
        <v>1398</v>
      </c>
      <c r="C1402" s="6" t="str">
        <f ca="1">IF(AND(NEGOCIAÇÕES!O1402="",NEGOCIAÇÕES!N1402&lt;TODAY()),NEGOCIAÇÕES!E1402,"")</f>
        <v>OS 401.25</v>
      </c>
      <c r="D1402" s="6" t="str">
        <f ca="1">IF(AND(NEGOCIAÇÕES!O1402="",NEGOCIAÇÕES!N1402&lt;TODAY()),NEGOCIAÇÕES!D1402,"")</f>
        <v>METALRIO VÁLVULAS, TUBOS E CONEXÕES INDUSTRIAIS LTDA</v>
      </c>
      <c r="E1402" s="9">
        <f ca="1">IF(AND(NEGOCIAÇÕES!O1402="",NEGOCIAÇÕES!N1402&lt;TODAY()),NEGOCIAÇÕES!N1402,"")</f>
        <v>46030</v>
      </c>
    </row>
    <row r="1403" spans="2:5" ht="31.95" customHeight="1" x14ac:dyDescent="0.3">
      <c r="B1403" s="6">
        <f ca="1">IF(AND(NEGOCIAÇÕES!O1403="",NEGOCIAÇÕES!N1403&lt;TODAY()),NEGOCIAÇÕES!C1403,"")</f>
        <v>1399</v>
      </c>
      <c r="C1403" s="6" t="str">
        <f ca="1">IF(AND(NEGOCIAÇÕES!O1403="",NEGOCIAÇÕES!N1403&lt;TODAY()),NEGOCIAÇÕES!E1403,"")</f>
        <v>OS 397.25</v>
      </c>
      <c r="D1403" s="6" t="str">
        <f ca="1">IF(AND(NEGOCIAÇÕES!O1403="",NEGOCIAÇÕES!N1403&lt;TODAY()),NEGOCIAÇÕES!D1403,"")</f>
        <v>MERCANTE TUBOS E AÇOS LTDA.</v>
      </c>
      <c r="E1403" s="9">
        <f ca="1">IF(AND(NEGOCIAÇÕES!O1403="",NEGOCIAÇÕES!N1403&lt;TODAY()),NEGOCIAÇÕES!N1403,"")</f>
        <v>46030</v>
      </c>
    </row>
    <row r="1404" spans="2:5" ht="31.95" customHeight="1" x14ac:dyDescent="0.3">
      <c r="B1404" s="6">
        <f ca="1">IF(AND(NEGOCIAÇÕES!O1404="",NEGOCIAÇÕES!N1404&lt;TODAY()),NEGOCIAÇÕES!C1404,"")</f>
        <v>1400</v>
      </c>
      <c r="C1404" s="6" t="str">
        <f ca="1">IF(AND(NEGOCIAÇÕES!O1404="",NEGOCIAÇÕES!N1404&lt;TODAY()),NEGOCIAÇÕES!E1404,"")</f>
        <v>OS 396.25</v>
      </c>
      <c r="D1404" s="6" t="str">
        <f ca="1">IF(AND(NEGOCIAÇÕES!O1404="",NEGOCIAÇÕES!N1404&lt;TODAY()),NEGOCIAÇÕES!D1404,"")</f>
        <v>METALRIO VÁLVULAS, TUBOS E CONEXÕES INDUSTRIAIS LTDA</v>
      </c>
      <c r="E1404" s="9">
        <f ca="1">IF(AND(NEGOCIAÇÕES!O1404="",NEGOCIAÇÕES!N1404&lt;TODAY()),NEGOCIAÇÕES!N1404,"")</f>
        <v>46034</v>
      </c>
    </row>
    <row r="1405" spans="2:5" ht="31.95" hidden="1" customHeight="1" x14ac:dyDescent="0.3">
      <c r="B1405" s="6" t="str">
        <f ca="1">IF(AND(NEGOCIAÇÕES!O1405="",NEGOCIAÇÕES!N1405&lt;TODAY()),NEGOCIAÇÕES!C1405,"")</f>
        <v/>
      </c>
      <c r="C1405" s="6" t="str">
        <f ca="1">IF(AND(NEGOCIAÇÕES!O1405="",NEGOCIAÇÕES!N1405&lt;TODAY()),NEGOCIAÇÕES!E1405,"")</f>
        <v/>
      </c>
      <c r="D1405" s="6" t="str">
        <f ca="1">IF(AND(NEGOCIAÇÕES!O1405="",NEGOCIAÇÕES!N1405&lt;TODAY()),NEGOCIAÇÕES!D1405,"")</f>
        <v/>
      </c>
      <c r="E1405" s="9" t="str">
        <f ca="1">IF(AND(NEGOCIAÇÕES!O1405="",NEGOCIAÇÕES!N1405&lt;TODAY()),NEGOCIAÇÕES!N1405,"")</f>
        <v/>
      </c>
    </row>
    <row r="1406" spans="2:5" ht="31.95" customHeight="1" x14ac:dyDescent="0.3">
      <c r="B1406" s="6">
        <f ca="1">IF(AND(NEGOCIAÇÕES!O1406="",NEGOCIAÇÕES!N1406&lt;TODAY()),NEGOCIAÇÕES!C1406,"")</f>
        <v>1402</v>
      </c>
      <c r="C1406" s="6" t="str">
        <f ca="1">IF(AND(NEGOCIAÇÕES!O1406="",NEGOCIAÇÕES!N1406&lt;TODAY()),NEGOCIAÇÕES!E1406,"")</f>
        <v>OS 396.25</v>
      </c>
      <c r="D1406" s="6" t="str">
        <f ca="1">IF(AND(NEGOCIAÇÕES!O1406="",NEGOCIAÇÕES!N1406&lt;TODAY()),NEGOCIAÇÕES!D1406,"")</f>
        <v>METALRIO VÁLVULAS, TUBOS E CONEXÕES INDUSTRIAIS LTDA</v>
      </c>
      <c r="E1406" s="9">
        <f ca="1">IF(AND(NEGOCIAÇÕES!O1406="",NEGOCIAÇÕES!N1406&lt;TODAY()),NEGOCIAÇÕES!N1406,"")</f>
        <v>46034</v>
      </c>
    </row>
    <row r="1407" spans="2:5" ht="31.95" hidden="1" customHeight="1" x14ac:dyDescent="0.3">
      <c r="B1407" s="6" t="str">
        <f ca="1">IF(AND(NEGOCIAÇÕES!O1407="",NEGOCIAÇÕES!N1407&lt;TODAY()),NEGOCIAÇÕES!C1407,"")</f>
        <v/>
      </c>
      <c r="C1407" s="6" t="str">
        <f ca="1">IF(AND(NEGOCIAÇÕES!O1407="",NEGOCIAÇÕES!N1407&lt;TODAY()),NEGOCIAÇÕES!E1407,"")</f>
        <v/>
      </c>
      <c r="D1407" s="6" t="str">
        <f ca="1">IF(AND(NEGOCIAÇÕES!O1407="",NEGOCIAÇÕES!N1407&lt;TODAY()),NEGOCIAÇÕES!D1407,"")</f>
        <v/>
      </c>
      <c r="E1407" s="9" t="str">
        <f ca="1">IF(AND(NEGOCIAÇÕES!O1407="",NEGOCIAÇÕES!N1407&lt;TODAY()),NEGOCIAÇÕES!N1407,"")</f>
        <v/>
      </c>
    </row>
    <row r="1408" spans="2:5" ht="31.95" customHeight="1" x14ac:dyDescent="0.3">
      <c r="B1408" s="6">
        <f ca="1">IF(AND(NEGOCIAÇÕES!O1408="",NEGOCIAÇÕES!N1408&lt;TODAY()),NEGOCIAÇÕES!C1408,"")</f>
        <v>1404</v>
      </c>
      <c r="C1408" s="6" t="str">
        <f ca="1">IF(AND(NEGOCIAÇÕES!O1408="",NEGOCIAÇÕES!N1408&lt;TODAY()),NEGOCIAÇÕES!E1408,"")</f>
        <v>OS 398.25</v>
      </c>
      <c r="D1408" s="6" t="str">
        <f ca="1">IF(AND(NEGOCIAÇÕES!O1408="",NEGOCIAÇÕES!N1408&lt;TODAY()),NEGOCIAÇÕES!D1408,"")</f>
        <v>RV - COMPOSITOS</v>
      </c>
      <c r="E1408" s="9">
        <f ca="1">IF(AND(NEGOCIAÇÕES!O1408="",NEGOCIAÇÕES!N1408&lt;TODAY()),NEGOCIAÇÕES!N1408,"")</f>
        <v>46036</v>
      </c>
    </row>
    <row r="1409" spans="2:5" ht="31.95" customHeight="1" x14ac:dyDescent="0.3">
      <c r="B1409" s="6">
        <f ca="1">IF(AND(NEGOCIAÇÕES!O1409="",NEGOCIAÇÕES!N1409&lt;TODAY()),NEGOCIAÇÕES!C1409,"")</f>
        <v>1405</v>
      </c>
      <c r="C1409" s="6" t="str">
        <f ca="1">IF(AND(NEGOCIAÇÕES!O1409="",NEGOCIAÇÕES!N1409&lt;TODAY()),NEGOCIAÇÕES!E1409,"")</f>
        <v>OS 401.25</v>
      </c>
      <c r="D1409" s="6" t="str">
        <f ca="1">IF(AND(NEGOCIAÇÕES!O1409="",NEGOCIAÇÕES!N1409&lt;TODAY()),NEGOCIAÇÕES!D1409,"")</f>
        <v>MERCADO LIVRE</v>
      </c>
      <c r="E1409" s="9">
        <f ca="1">IF(AND(NEGOCIAÇÕES!O1409="",NEGOCIAÇÕES!N1409&lt;TODAY()),NEGOCIAÇÕES!N1409,"")</f>
        <v>46034</v>
      </c>
    </row>
    <row r="1410" spans="2:5" ht="31.95" hidden="1" customHeight="1" x14ac:dyDescent="0.3">
      <c r="B1410" s="6" t="str">
        <f ca="1">IF(AND(NEGOCIAÇÕES!O1410="",NEGOCIAÇÕES!N1410&lt;TODAY()),NEGOCIAÇÕES!C1410,"")</f>
        <v/>
      </c>
      <c r="C1410" s="6" t="str">
        <f ca="1">IF(AND(NEGOCIAÇÕES!O1410="",NEGOCIAÇÕES!N1410&lt;TODAY()),NEGOCIAÇÕES!E1410,"")</f>
        <v/>
      </c>
      <c r="D1410" s="6" t="str">
        <f ca="1">IF(AND(NEGOCIAÇÕES!O1410="",NEGOCIAÇÕES!N1410&lt;TODAY()),NEGOCIAÇÕES!D1410,"")</f>
        <v/>
      </c>
      <c r="E1410" s="9" t="str">
        <f ca="1">IF(AND(NEGOCIAÇÕES!O1410="",NEGOCIAÇÕES!N1410&lt;TODAY()),NEGOCIAÇÕES!N1410,"")</f>
        <v/>
      </c>
    </row>
    <row r="1411" spans="2:5" ht="31.95" customHeight="1" x14ac:dyDescent="0.3">
      <c r="B1411" s="6">
        <f ca="1">IF(AND(NEGOCIAÇÕES!O1411="",NEGOCIAÇÕES!N1411&lt;TODAY()),NEGOCIAÇÕES!C1411,"")</f>
        <v>1407</v>
      </c>
      <c r="C1411" s="6" t="str">
        <f ca="1">IF(AND(NEGOCIAÇÕES!O1411="",NEGOCIAÇÕES!N1411&lt;TODAY()),NEGOCIAÇÕES!E1411,"")</f>
        <v>OS 397.25</v>
      </c>
      <c r="D1411" s="6" t="str">
        <f ca="1">IF(AND(NEGOCIAÇÕES!O1411="",NEGOCIAÇÕES!N1411&lt;TODAY()),NEGOCIAÇÕES!D1411,"")</f>
        <v>METALRIO VÁLVULAS, TUBOS E CONEXÕES INDUSTRIAIS LTDA</v>
      </c>
      <c r="E1411" s="9">
        <f ca="1">IF(AND(NEGOCIAÇÕES!O1411="",NEGOCIAÇÕES!N1411&lt;TODAY()),NEGOCIAÇÕES!N1411,"")</f>
        <v>46035</v>
      </c>
    </row>
    <row r="1412" spans="2:5" ht="31.95" customHeight="1" x14ac:dyDescent="0.3">
      <c r="B1412" s="6">
        <f ca="1">IF(AND(NEGOCIAÇÕES!O1412="",NEGOCIAÇÕES!N1412&lt;TODAY()),NEGOCIAÇÕES!C1412,"")</f>
        <v>1408</v>
      </c>
      <c r="C1412" s="6" t="str">
        <f ca="1">IF(AND(NEGOCIAÇÕES!O1412="",NEGOCIAÇÕES!N1412&lt;TODAY()),NEGOCIAÇÕES!E1412,"")</f>
        <v>-</v>
      </c>
      <c r="D1412" s="6" t="str">
        <f ca="1">IF(AND(NEGOCIAÇÕES!O1412="",NEGOCIAÇÕES!N1412&lt;TODAY()),NEGOCIAÇÕES!D1412,"")</f>
        <v>MERCADO LIVRE</v>
      </c>
      <c r="E1412" s="9">
        <f ca="1">IF(AND(NEGOCIAÇÕES!O1412="",NEGOCIAÇÕES!N1412&lt;TODAY()),NEGOCIAÇÕES!N1412,"")</f>
        <v>46034</v>
      </c>
    </row>
    <row r="1413" spans="2:5" ht="31.95" hidden="1" customHeight="1" x14ac:dyDescent="0.3">
      <c r="B1413" s="6" t="str">
        <f ca="1">IF(AND(NEGOCIAÇÕES!O1413="",NEGOCIAÇÕES!N1413&lt;TODAY()),NEGOCIAÇÕES!C1413,"")</f>
        <v/>
      </c>
      <c r="C1413" s="6" t="str">
        <f ca="1">IF(AND(NEGOCIAÇÕES!O1413="",NEGOCIAÇÕES!N1413&lt;TODAY()),NEGOCIAÇÕES!E1413,"")</f>
        <v/>
      </c>
      <c r="D1413" s="6" t="str">
        <f ca="1">IF(AND(NEGOCIAÇÕES!O1413="",NEGOCIAÇÕES!N1413&lt;TODAY()),NEGOCIAÇÕES!D1413,"")</f>
        <v/>
      </c>
      <c r="E1413" s="9" t="str">
        <f ca="1">IF(AND(NEGOCIAÇÕES!O1413="",NEGOCIAÇÕES!N1413&lt;TODAY()),NEGOCIAÇÕES!N1413,"")</f>
        <v/>
      </c>
    </row>
    <row r="1414" spans="2:5" ht="31.95" hidden="1" customHeight="1" x14ac:dyDescent="0.3">
      <c r="B1414" s="6" t="str">
        <f ca="1">IF(AND(NEGOCIAÇÕES!O1414="",NEGOCIAÇÕES!N1414&lt;TODAY()),NEGOCIAÇÕES!C1414,"")</f>
        <v/>
      </c>
      <c r="C1414" s="6" t="str">
        <f ca="1">IF(AND(NEGOCIAÇÕES!O1414="",NEGOCIAÇÕES!N1414&lt;TODAY()),NEGOCIAÇÕES!E1414,"")</f>
        <v/>
      </c>
      <c r="D1414" s="6" t="str">
        <f ca="1">IF(AND(NEGOCIAÇÕES!O1414="",NEGOCIAÇÕES!N1414&lt;TODAY()),NEGOCIAÇÕES!D1414,"")</f>
        <v/>
      </c>
      <c r="E1414" s="9" t="str">
        <f ca="1">IF(AND(NEGOCIAÇÕES!O1414="",NEGOCIAÇÕES!N1414&lt;TODAY()),NEGOCIAÇÕES!N1414,"")</f>
        <v/>
      </c>
    </row>
    <row r="1415" spans="2:5" ht="31.95" customHeight="1" x14ac:dyDescent="0.3">
      <c r="B1415" s="6">
        <f ca="1">IF(AND(NEGOCIAÇÕES!O1415="",NEGOCIAÇÕES!N1415&lt;TODAY()),NEGOCIAÇÕES!C1415,"")</f>
        <v>1411</v>
      </c>
      <c r="C1415" s="6" t="str">
        <f ca="1">IF(AND(NEGOCIAÇÕES!O1415="",NEGOCIAÇÕES!N1415&lt;TODAY()),NEGOCIAÇÕES!E1415,"")</f>
        <v>Estoque</v>
      </c>
      <c r="D1415" s="6" t="str">
        <f ca="1">IF(AND(NEGOCIAÇÕES!O1415="",NEGOCIAÇÕES!N1415&lt;TODAY()),NEGOCIAÇÕES!D1415,"")</f>
        <v>ABRASEG COMERCIAL SOLDAS LTDA</v>
      </c>
      <c r="E1415" s="9">
        <f ca="1">IF(AND(NEGOCIAÇÕES!O1415="",NEGOCIAÇÕES!N1415&lt;TODAY()),NEGOCIAÇÕES!N1415,"")</f>
        <v>46030</v>
      </c>
    </row>
    <row r="1416" spans="2:5" ht="31.95" hidden="1" customHeight="1" x14ac:dyDescent="0.3">
      <c r="B1416" s="6" t="str">
        <f ca="1">IF(AND(NEGOCIAÇÕES!O1416="",NEGOCIAÇÕES!N1416&lt;TODAY()),NEGOCIAÇÕES!C1416,"")</f>
        <v/>
      </c>
      <c r="C1416" s="6" t="str">
        <f ca="1">IF(AND(NEGOCIAÇÕES!O1416="",NEGOCIAÇÕES!N1416&lt;TODAY()),NEGOCIAÇÕES!E1416,"")</f>
        <v/>
      </c>
      <c r="D1416" s="6" t="str">
        <f ca="1">IF(AND(NEGOCIAÇÕES!O1416="",NEGOCIAÇÕES!N1416&lt;TODAY()),NEGOCIAÇÕES!D1416,"")</f>
        <v/>
      </c>
      <c r="E1416" s="9" t="str">
        <f ca="1">IF(AND(NEGOCIAÇÕES!O1416="",NEGOCIAÇÕES!N1416&lt;TODAY()),NEGOCIAÇÕES!N1416,"")</f>
        <v/>
      </c>
    </row>
    <row r="1417" spans="2:5" ht="31.95" customHeight="1" x14ac:dyDescent="0.3">
      <c r="B1417" s="6">
        <f ca="1">IF(AND(NEGOCIAÇÕES!O1417="",NEGOCIAÇÕES!N1417&lt;TODAY()),NEGOCIAÇÕES!C1417,"")</f>
        <v>1413</v>
      </c>
      <c r="C1417" s="6" t="str">
        <f ca="1">IF(AND(NEGOCIAÇÕES!O1417="",NEGOCIAÇÕES!N1417&lt;TODAY()),NEGOCIAÇÕES!E1417,"")</f>
        <v>397.25</v>
      </c>
      <c r="D1417" s="6" t="str">
        <f ca="1">IF(AND(NEGOCIAÇÕES!O1417="",NEGOCIAÇÕES!N1417&lt;TODAY()),NEGOCIAÇÕES!D1417,"")</f>
        <v>CONEC RIO Conexões e Peças Ltda</v>
      </c>
      <c r="E1417" s="9">
        <f ca="1">IF(AND(NEGOCIAÇÕES!O1417="",NEGOCIAÇÕES!N1417&lt;TODAY()),NEGOCIAÇÕES!N1417,"")</f>
        <v>46034</v>
      </c>
    </row>
    <row r="1418" spans="2:5" ht="31.95" customHeight="1" x14ac:dyDescent="0.3">
      <c r="B1418" s="6">
        <f ca="1">IF(AND(NEGOCIAÇÕES!O1418="",NEGOCIAÇÕES!N1418&lt;TODAY()),NEGOCIAÇÕES!C1418,"")</f>
        <v>1414</v>
      </c>
      <c r="C1418" s="6" t="str">
        <f ca="1">IF(AND(NEGOCIAÇÕES!O1418="",NEGOCIAÇÕES!N1418&lt;TODAY()),NEGOCIAÇÕES!E1418,"")</f>
        <v>Estoque</v>
      </c>
      <c r="D1418" s="6" t="str">
        <f ca="1">IF(AND(NEGOCIAÇÕES!O1418="",NEGOCIAÇÕES!N1418&lt;TODAY()),NEGOCIAÇÕES!D1418,"")</f>
        <v>AENEJOTA FERRAGENS LTDA</v>
      </c>
      <c r="E1418" s="9">
        <f ca="1">IF(AND(NEGOCIAÇÕES!O1418="",NEGOCIAÇÕES!N1418&lt;TODAY()),NEGOCIAÇÕES!N1418,"")</f>
        <v>46034</v>
      </c>
    </row>
    <row r="1419" spans="2:5" ht="31.95" customHeight="1" x14ac:dyDescent="0.3">
      <c r="B1419" s="6">
        <f ca="1">IF(AND(NEGOCIAÇÕES!O1419="",NEGOCIAÇÕES!N1419&lt;TODAY()),NEGOCIAÇÕES!C1419,"")</f>
        <v>1415</v>
      </c>
      <c r="C1419" s="6" t="str">
        <f ca="1">IF(AND(NEGOCIAÇÕES!O1419="",NEGOCIAÇÕES!N1419&lt;TODAY()),NEGOCIAÇÕES!E1419,"")</f>
        <v>Estoque</v>
      </c>
      <c r="D1419" s="6" t="str">
        <f ca="1">IF(AND(NEGOCIAÇÕES!O1419="",NEGOCIAÇÕES!N1419&lt;TODAY()),NEGOCIAÇÕES!D1419,"")</f>
        <v>ISOPRO COMERCIO DE JUNTAS E SOLDAS LTDA</v>
      </c>
      <c r="E1419" s="9">
        <f ca="1">IF(AND(NEGOCIAÇÕES!O1419="",NEGOCIAÇÕES!N1419&lt;TODAY()),NEGOCIAÇÕES!N1419,"")</f>
        <v>46034</v>
      </c>
    </row>
    <row r="1420" spans="2:5" ht="31.95" customHeight="1" x14ac:dyDescent="0.3">
      <c r="B1420" s="6">
        <f ca="1">IF(AND(NEGOCIAÇÕES!O1420="",NEGOCIAÇÕES!N1420&lt;TODAY()),NEGOCIAÇÕES!C1420,"")</f>
        <v>1416</v>
      </c>
      <c r="C1420" s="6" t="str">
        <f ca="1">IF(AND(NEGOCIAÇÕES!O1420="",NEGOCIAÇÕES!N1420&lt;TODAY()),NEGOCIAÇÕES!E1420,"")</f>
        <v>OS 408.26</v>
      </c>
      <c r="D1420" s="6" t="str">
        <f ca="1">IF(AND(NEGOCIAÇÕES!O1420="",NEGOCIAÇÕES!N1420&lt;TODAY()),NEGOCIAÇÕES!D1420,"")</f>
        <v>METALRIO VÁLVULAS, TUBOS E CONEXÕES INDUSTRIAIS LTDA</v>
      </c>
      <c r="E1420" s="9">
        <f ca="1">IF(AND(NEGOCIAÇÕES!O1420="",NEGOCIAÇÕES!N1420&lt;TODAY()),NEGOCIAÇÕES!N1420,"")</f>
        <v>46034</v>
      </c>
    </row>
    <row r="1421" spans="2:5" ht="31.95" customHeight="1" x14ac:dyDescent="0.3">
      <c r="B1421" s="6">
        <f ca="1">IF(AND(NEGOCIAÇÕES!O1421="",NEGOCIAÇÕES!N1421&lt;TODAY()),NEGOCIAÇÕES!C1421,"")</f>
        <v>1417</v>
      </c>
      <c r="C1421" s="6" t="str">
        <f ca="1">IF(AND(NEGOCIAÇÕES!O1421="",NEGOCIAÇÕES!N1421&lt;TODAY()),NEGOCIAÇÕES!E1421,"")</f>
        <v>OS 408.26</v>
      </c>
      <c r="D1421" s="6" t="str">
        <f ca="1">IF(AND(NEGOCIAÇÕES!O1421="",NEGOCIAÇÕES!N1421&lt;TODAY()),NEGOCIAÇÕES!D1421,"")</f>
        <v>TENAX ACO E FERRO MATRIZ</v>
      </c>
      <c r="E1421" s="9">
        <f ca="1">IF(AND(NEGOCIAÇÕES!O1421="",NEGOCIAÇÕES!N1421&lt;TODAY()),NEGOCIAÇÕES!N1421,"")</f>
        <v>46036</v>
      </c>
    </row>
    <row r="1422" spans="2:5" ht="31.95" customHeight="1" x14ac:dyDescent="0.3">
      <c r="B1422" s="6">
        <f ca="1">IF(AND(NEGOCIAÇÕES!O1422="",NEGOCIAÇÕES!N1422&lt;TODAY()),NEGOCIAÇÕES!C1422,"")</f>
        <v>1418</v>
      </c>
      <c r="C1422" s="6" t="str">
        <f ca="1">IF(AND(NEGOCIAÇÕES!O1422="",NEGOCIAÇÕES!N1422&lt;TODAY()),NEGOCIAÇÕES!E1422,"")</f>
        <v>OS 248.26</v>
      </c>
      <c r="D1422" s="6" t="str">
        <f ca="1">IF(AND(NEGOCIAÇÕES!O1422="",NEGOCIAÇÕES!N1422&lt;TODAY()),NEGOCIAÇÕES!D1422,"")</f>
        <v>PAFER COMÉRCIO E REPRESENTAÇÕES LTDA</v>
      </c>
      <c r="E1422" s="9">
        <f ca="1">IF(AND(NEGOCIAÇÕES!O1422="",NEGOCIAÇÕES!N1422&lt;TODAY()),NEGOCIAÇÕES!N1422,"")</f>
        <v>46036</v>
      </c>
    </row>
    <row r="1423" spans="2:5" ht="31.95" hidden="1" customHeight="1" x14ac:dyDescent="0.3">
      <c r="B1423" s="6" t="str">
        <f ca="1">IF(AND(NEGOCIAÇÕES!O1423="",NEGOCIAÇÕES!N1423&lt;TODAY()),NEGOCIAÇÕES!C1423,"")</f>
        <v/>
      </c>
      <c r="C1423" s="6" t="str">
        <f ca="1">IF(AND(NEGOCIAÇÕES!O1423="",NEGOCIAÇÕES!N1423&lt;TODAY()),NEGOCIAÇÕES!E1423,"")</f>
        <v/>
      </c>
      <c r="D1423" s="6" t="str">
        <f ca="1">IF(AND(NEGOCIAÇÕES!O1423="",NEGOCIAÇÕES!N1423&lt;TODAY()),NEGOCIAÇÕES!D1423,"")</f>
        <v/>
      </c>
      <c r="E1423" s="9" t="str">
        <f ca="1">IF(AND(NEGOCIAÇÕES!O1423="",NEGOCIAÇÕES!N1423&lt;TODAY()),NEGOCIAÇÕES!N1423,"")</f>
        <v/>
      </c>
    </row>
    <row r="1424" spans="2:5" ht="31.95" customHeight="1" x14ac:dyDescent="0.3">
      <c r="B1424" s="6">
        <f ca="1">IF(AND(NEGOCIAÇÕES!O1424="",NEGOCIAÇÕES!N1424&lt;TODAY()),NEGOCIAÇÕES!C1424,"")</f>
        <v>1420</v>
      </c>
      <c r="C1424" s="6" t="str">
        <f ca="1">IF(AND(NEGOCIAÇÕES!O1424="",NEGOCIAÇÕES!N1424&lt;TODAY()),NEGOCIAÇÕES!E1424,"")</f>
        <v>OS 396.25</v>
      </c>
      <c r="D1424" s="6" t="str">
        <f ca="1">IF(AND(NEGOCIAÇÕES!O1424="",NEGOCIAÇÕES!N1424&lt;TODAY()),NEGOCIAÇÕES!D1424,"")</f>
        <v xml:space="preserve">RJM COMERCIO E CONEXÕES EIRELI </v>
      </c>
      <c r="E1424" s="9">
        <f ca="1">IF(AND(NEGOCIAÇÕES!O1424="",NEGOCIAÇÕES!N1424&lt;TODAY()),NEGOCIAÇÕES!N1424,"")</f>
        <v>46038</v>
      </c>
    </row>
    <row r="1425" spans="2:5" ht="31.95" customHeight="1" x14ac:dyDescent="0.3">
      <c r="B1425" s="6">
        <f ca="1">IF(AND(NEGOCIAÇÕES!O1425="",NEGOCIAÇÕES!N1425&lt;TODAY()),NEGOCIAÇÕES!C1425,"")</f>
        <v>1421</v>
      </c>
      <c r="C1425" s="6" t="str">
        <f ca="1">IF(AND(NEGOCIAÇÕES!O1425="",NEGOCIAÇÕES!N1425&lt;TODAY()),NEGOCIAÇÕES!E1425,"")</f>
        <v>OS 396.25</v>
      </c>
      <c r="D1425" s="6" t="str">
        <f ca="1">IF(AND(NEGOCIAÇÕES!O1425="",NEGOCIAÇÕES!N1425&lt;TODAY()),NEGOCIAÇÕES!D1425,"")</f>
        <v>TECNOLUVA INDUSTRIA E COMERCIO LTDA</v>
      </c>
      <c r="E1425" s="9">
        <f ca="1">IF(AND(NEGOCIAÇÕES!O1425="",NEGOCIAÇÕES!N1425&lt;TODAY()),NEGOCIAÇÕES!N1425,"")</f>
        <v>46041</v>
      </c>
    </row>
    <row r="1426" spans="2:5" ht="31.95" customHeight="1" x14ac:dyDescent="0.3">
      <c r="B1426" s="6">
        <f ca="1">IF(AND(NEGOCIAÇÕES!O1426="",NEGOCIAÇÕES!N1426&lt;TODAY()),NEGOCIAÇÕES!C1426,"")</f>
        <v>1422</v>
      </c>
      <c r="C1426" s="6" t="str">
        <f ca="1">IF(AND(NEGOCIAÇÕES!O1426="",NEGOCIAÇÕES!N1426&lt;TODAY()),NEGOCIAÇÕES!E1426,"")</f>
        <v>OS 396.25</v>
      </c>
      <c r="D1426" s="6" t="str">
        <f ca="1">IF(AND(NEGOCIAÇÕES!O1426="",NEGOCIAÇÕES!N1426&lt;TODAY()),NEGOCIAÇÕES!D1426,"")</f>
        <v>ISOPRO COMERCIO DE JUNTAS E SOLDAS LTDA</v>
      </c>
      <c r="E1426" s="9">
        <f ca="1">IF(AND(NEGOCIAÇÕES!O1426="",NEGOCIAÇÕES!N1426&lt;TODAY()),NEGOCIAÇÕES!N1426,"")</f>
        <v>46035</v>
      </c>
    </row>
    <row r="1427" spans="2:5" ht="31.95" hidden="1" customHeight="1" x14ac:dyDescent="0.3">
      <c r="B1427" s="6" t="str">
        <f ca="1">IF(AND(NEGOCIAÇÕES!O1427="",NEGOCIAÇÕES!N1427&lt;TODAY()),NEGOCIAÇÕES!C1427,"")</f>
        <v/>
      </c>
      <c r="C1427" s="6" t="str">
        <f ca="1">IF(AND(NEGOCIAÇÕES!O1427="",NEGOCIAÇÕES!N1427&lt;TODAY()),NEGOCIAÇÕES!E1427,"")</f>
        <v/>
      </c>
      <c r="D1427" s="6" t="str">
        <f ca="1">IF(AND(NEGOCIAÇÕES!O1427="",NEGOCIAÇÕES!N1427&lt;TODAY()),NEGOCIAÇÕES!D1427,"")</f>
        <v/>
      </c>
      <c r="E1427" s="9" t="str">
        <f ca="1">IF(AND(NEGOCIAÇÕES!O1427="",NEGOCIAÇÕES!N1427&lt;TODAY()),NEGOCIAÇÕES!N1427,"")</f>
        <v/>
      </c>
    </row>
    <row r="1428" spans="2:5" ht="31.95" customHeight="1" x14ac:dyDescent="0.3">
      <c r="B1428" s="6">
        <f ca="1">IF(AND(NEGOCIAÇÕES!O1428="",NEGOCIAÇÕES!N1428&lt;TODAY()),NEGOCIAÇÕES!C1428,"")</f>
        <v>1424</v>
      </c>
      <c r="C1428" s="6" t="str">
        <f ca="1">IF(AND(NEGOCIAÇÕES!O1428="",NEGOCIAÇÕES!N1428&lt;TODAY()),NEGOCIAÇÕES!E1428,"")</f>
        <v>OS 397.25</v>
      </c>
      <c r="D1428" s="6" t="str">
        <f ca="1">IF(AND(NEGOCIAÇÕES!O1428="",NEGOCIAÇÕES!N1428&lt;TODAY()),NEGOCIAÇÕES!D1428,"")</f>
        <v>INCOMPLAST POLÍMEROS E METAIS</v>
      </c>
      <c r="E1428" s="9">
        <f ca="1">IF(AND(NEGOCIAÇÕES!O1428="",NEGOCIAÇÕES!N1428&lt;TODAY()),NEGOCIAÇÕES!N1428,"")</f>
        <v>46037</v>
      </c>
    </row>
    <row r="1429" spans="2:5" ht="31.95" customHeight="1" x14ac:dyDescent="0.3">
      <c r="B1429" s="6">
        <f ca="1">IF(AND(NEGOCIAÇÕES!O1429="",NEGOCIAÇÕES!N1429&lt;TODAY()),NEGOCIAÇÕES!C1429,"")</f>
        <v>1425</v>
      </c>
      <c r="C1429" s="6" t="str">
        <f ca="1">IF(AND(NEGOCIAÇÕES!O1429="",NEGOCIAÇÕES!N1429&lt;TODAY()),NEGOCIAÇÕES!E1429,"")</f>
        <v>OS 397.25</v>
      </c>
      <c r="D1429" s="6" t="str">
        <f ca="1">IF(AND(NEGOCIAÇÕES!O1429="",NEGOCIAÇÕES!N1429&lt;TODAY()),NEGOCIAÇÕES!D1429,"")</f>
        <v>L E M CALIBRAÇÃO E METROLOGIA PADRÃO LTDA</v>
      </c>
      <c r="E1429" s="9">
        <f ca="1">IF(AND(NEGOCIAÇÕES!O1429="",NEGOCIAÇÕES!N1429&lt;TODAY()),NEGOCIAÇÕES!N1429,"")</f>
        <v>46044</v>
      </c>
    </row>
    <row r="1430" spans="2:5" ht="31.95" customHeight="1" x14ac:dyDescent="0.3">
      <c r="B1430" s="6">
        <f ca="1">IF(AND(NEGOCIAÇÕES!O1430="",NEGOCIAÇÕES!N1430&lt;TODAY()),NEGOCIAÇÕES!C1430,"")</f>
        <v>1426</v>
      </c>
      <c r="C1430" s="6" t="str">
        <f ca="1">IF(AND(NEGOCIAÇÕES!O1430="",NEGOCIAÇÕES!N1430&lt;TODAY()),NEGOCIAÇÕES!E1430,"")</f>
        <v>OS 413.26</v>
      </c>
      <c r="D1430" s="6" t="str">
        <f ca="1">IF(AND(NEGOCIAÇÕES!O1430="",NEGOCIAÇÕES!N1430&lt;TODAY()),NEGOCIAÇÕES!D1430,"")</f>
        <v>TENAX ACO E FERRO MATRIZ</v>
      </c>
      <c r="E1430" s="9">
        <f ca="1">IF(AND(NEGOCIAÇÕES!O1430="",NEGOCIAÇÕES!N1430&lt;TODAY()),NEGOCIAÇÕES!N1430,"")</f>
        <v>46041</v>
      </c>
    </row>
    <row r="1431" spans="2:5" ht="31.95" customHeight="1" x14ac:dyDescent="0.3">
      <c r="B1431" s="6">
        <f ca="1">IF(AND(NEGOCIAÇÕES!O1431="",NEGOCIAÇÕES!N1431&lt;TODAY()),NEGOCIAÇÕES!C1431,"")</f>
        <v>1427</v>
      </c>
      <c r="C1431" s="6" t="str">
        <f ca="1">IF(AND(NEGOCIAÇÕES!O1431="",NEGOCIAÇÕES!N1431&lt;TODAY()),NEGOCIAÇÕES!E1431,"")</f>
        <v>OS 392.25</v>
      </c>
      <c r="D1431" s="6" t="str">
        <f ca="1">IF(AND(NEGOCIAÇÕES!O1431="",NEGOCIAÇÕES!N1431&lt;TODAY()),NEGOCIAÇÕES!D1431,"")</f>
        <v>ANJ TINTAS NAVAIS E INDUSTRIAL LTDA</v>
      </c>
      <c r="E1431" s="9">
        <f ca="1">IF(AND(NEGOCIAÇÕES!O1431="",NEGOCIAÇÕES!N1431&lt;TODAY()),NEGOCIAÇÕES!N1431,"")</f>
        <v>46041</v>
      </c>
    </row>
    <row r="1432" spans="2:5" ht="31.95" customHeight="1" x14ac:dyDescent="0.3">
      <c r="B1432" s="6">
        <f ca="1">IF(AND(NEGOCIAÇÕES!O1432="",NEGOCIAÇÕES!N1432&lt;TODAY()),NEGOCIAÇÕES!C1432,"")</f>
        <v>1429</v>
      </c>
      <c r="C1432" s="6" t="str">
        <f ca="1">IF(AND(NEGOCIAÇÕES!O1432="",NEGOCIAÇÕES!N1432&lt;TODAY()),NEGOCIAÇÕES!E1432,"")</f>
        <v>OS 392.25</v>
      </c>
      <c r="D1432" s="6" t="str">
        <f ca="1">IF(AND(NEGOCIAÇÕES!O1432="",NEGOCIAÇÕES!N1432&lt;TODAY()),NEGOCIAÇÕES!D1432,"")</f>
        <v>ANJ TINTAS NAVAIS E INDUSTRIAL LTDA</v>
      </c>
      <c r="E1432" s="9">
        <f ca="1">IF(AND(NEGOCIAÇÕES!O1432="",NEGOCIAÇÕES!N1432&lt;TODAY()),NEGOCIAÇÕES!N1432,"")</f>
        <v>46041</v>
      </c>
    </row>
    <row r="1433" spans="2:5" ht="31.95" customHeight="1" x14ac:dyDescent="0.3">
      <c r="B1433" s="6">
        <f ca="1">IF(AND(NEGOCIAÇÕES!O1433="",NEGOCIAÇÕES!N1433&lt;TODAY()),NEGOCIAÇÕES!C1433,"")</f>
        <v>1430</v>
      </c>
      <c r="C1433" s="6" t="str">
        <f ca="1">IF(AND(NEGOCIAÇÕES!O1433="",NEGOCIAÇÕES!N1433&lt;TODAY()),NEGOCIAÇÕES!E1433,"")</f>
        <v>Estoque</v>
      </c>
      <c r="D1433" s="6" t="str">
        <f ca="1">IF(AND(NEGOCIAÇÕES!O1433="",NEGOCIAÇÕES!N1433&lt;TODAY()),NEGOCIAÇÕES!D1433,"")</f>
        <v>ANJ COMERCIAL LTDA</v>
      </c>
      <c r="E1433" s="9">
        <f ca="1">IF(AND(NEGOCIAÇÕES!O1433="",NEGOCIAÇÕES!N1433&lt;TODAY()),NEGOCIAÇÕES!N1433,"")</f>
        <v>46041</v>
      </c>
    </row>
    <row r="1434" spans="2:5" ht="31.95" customHeight="1" x14ac:dyDescent="0.3">
      <c r="B1434" s="6">
        <f ca="1">IF(AND(NEGOCIAÇÕES!O1434="",NEGOCIAÇÕES!N1434&lt;TODAY()),NEGOCIAÇÕES!C1434,"")</f>
        <v>1431</v>
      </c>
      <c r="C1434" s="6" t="str">
        <f ca="1">IF(AND(NEGOCIAÇÕES!O1434="",NEGOCIAÇÕES!N1434&lt;TODAY()),NEGOCIAÇÕES!E1434,"")</f>
        <v>OS 393.25</v>
      </c>
      <c r="D1434" s="6" t="str">
        <f ca="1">IF(AND(NEGOCIAÇÕES!O1434="",NEGOCIAÇÕES!N1434&lt;TODAY()),NEGOCIAÇÕES!D1434,"")</f>
        <v>ISOPRO COMERCIO DE JUNTAS E SOLDAS LTDA</v>
      </c>
      <c r="E1434" s="9">
        <f ca="1">IF(AND(NEGOCIAÇÕES!O1434="",NEGOCIAÇÕES!N1434&lt;TODAY()),NEGOCIAÇÕES!N1434,"")</f>
        <v>46041</v>
      </c>
    </row>
    <row r="1435" spans="2:5" ht="31.95" customHeight="1" x14ac:dyDescent="0.3">
      <c r="B1435" s="6">
        <f ca="1">IF(AND(NEGOCIAÇÕES!O1435="",NEGOCIAÇÕES!N1435&lt;TODAY()),NEGOCIAÇÕES!C1435,"")</f>
        <v>1432</v>
      </c>
      <c r="C1435" s="6" t="str">
        <f ca="1">IF(AND(NEGOCIAÇÕES!O1435="",NEGOCIAÇÕES!N1435&lt;TODAY()),NEGOCIAÇÕES!E1435,"")</f>
        <v>OS 393.25</v>
      </c>
      <c r="D1435" s="6" t="str">
        <f ca="1">IF(AND(NEGOCIAÇÕES!O1435="",NEGOCIAÇÕES!N1435&lt;TODAY()),NEGOCIAÇÕES!D1435,"")</f>
        <v>AENEJOTA FERRAGENS LTDA</v>
      </c>
      <c r="E1435" s="9">
        <f ca="1">IF(AND(NEGOCIAÇÕES!O1435="",NEGOCIAÇÕES!N1435&lt;TODAY()),NEGOCIAÇÕES!N1435,"")</f>
        <v>46041</v>
      </c>
    </row>
    <row r="1436" spans="2:5" ht="31.95" customHeight="1" x14ac:dyDescent="0.3">
      <c r="B1436" s="6">
        <f ca="1">IF(AND(NEGOCIAÇÕES!O1436="",NEGOCIAÇÕES!N1436&lt;TODAY()),NEGOCIAÇÕES!C1436,"")</f>
        <v>1433</v>
      </c>
      <c r="C1436" s="6" t="str">
        <f ca="1">IF(AND(NEGOCIAÇÕES!O1436="",NEGOCIAÇÕES!N1436&lt;TODAY()),NEGOCIAÇÕES!E1436,"")</f>
        <v>-</v>
      </c>
      <c r="D1436" s="6" t="str">
        <f ca="1">IF(AND(NEGOCIAÇÕES!O1436="",NEGOCIAÇÕES!N1436&lt;TODAY()),NEGOCIAÇÕES!D1436,"")</f>
        <v>AENEJOTA FERRAGENS LTDA</v>
      </c>
      <c r="E1436" s="9">
        <f ca="1">IF(AND(NEGOCIAÇÕES!O1436="",NEGOCIAÇÕES!N1436&lt;TODAY()),NEGOCIAÇÕES!N1436,"")</f>
        <v>46045</v>
      </c>
    </row>
    <row r="1437" spans="2:5" ht="31.95" customHeight="1" x14ac:dyDescent="0.3">
      <c r="B1437" s="6">
        <f ca="1">IF(AND(NEGOCIAÇÕES!O1437="",NEGOCIAÇÕES!N1437&lt;TODAY()),NEGOCIAÇÕES!C1437,"")</f>
        <v>1434</v>
      </c>
      <c r="C1437" s="6" t="str">
        <f ca="1">IF(AND(NEGOCIAÇÕES!O1437="",NEGOCIAÇÕES!N1437&lt;TODAY()),NEGOCIAÇÕES!E1437,"")</f>
        <v>-</v>
      </c>
      <c r="D1437" s="6" t="str">
        <f ca="1">IF(AND(NEGOCIAÇÕES!O1437="",NEGOCIAÇÕES!N1437&lt;TODAY()),NEGOCIAÇÕES!D1437,"")</f>
        <v>ISOPRO COMERCIO DE JUNTAS E SOLDAS LTDA</v>
      </c>
      <c r="E1437" s="9">
        <f ca="1">IF(AND(NEGOCIAÇÕES!O1437="",NEGOCIAÇÕES!N1437&lt;TODAY()),NEGOCIAÇÕES!N1437,"")</f>
        <v>46045</v>
      </c>
    </row>
    <row r="1438" spans="2:5" ht="31.95" customHeight="1" x14ac:dyDescent="0.3">
      <c r="B1438" s="6">
        <f ca="1">IF(AND(NEGOCIAÇÕES!O1438="",NEGOCIAÇÕES!N1438&lt;TODAY()),NEGOCIAÇÕES!C1438,"")</f>
        <v>1435</v>
      </c>
      <c r="C1438" s="6" t="str">
        <f ca="1">IF(AND(NEGOCIAÇÕES!O1438="",NEGOCIAÇÕES!N1438&lt;TODAY()),NEGOCIAÇÕES!E1438,"")</f>
        <v>-</v>
      </c>
      <c r="D1438" s="6" t="str">
        <f ca="1">IF(AND(NEGOCIAÇÕES!O1438="",NEGOCIAÇÕES!N1438&lt;TODAY()),NEGOCIAÇÕES!D1438,"")</f>
        <v>ABRASEG COMERCIAL SOLDAS LTDA</v>
      </c>
      <c r="E1438" s="9">
        <f ca="1">IF(AND(NEGOCIAÇÕES!O1438="",NEGOCIAÇÕES!N1438&lt;TODAY()),NEGOCIAÇÕES!N1438,"")</f>
        <v>46048</v>
      </c>
    </row>
    <row r="1439" spans="2:5" ht="31.95" hidden="1" customHeight="1" x14ac:dyDescent="0.3">
      <c r="B1439" s="6" t="str">
        <f ca="1">IF(AND(NEGOCIAÇÕES!O1439="",NEGOCIAÇÕES!N1439&lt;TODAY()),NEGOCIAÇÕES!C1439,"")</f>
        <v/>
      </c>
      <c r="C1439" s="6" t="str">
        <f ca="1">IF(AND(NEGOCIAÇÕES!O1439="",NEGOCIAÇÕES!N1439&lt;TODAY()),NEGOCIAÇÕES!E1439,"")</f>
        <v/>
      </c>
      <c r="D1439" s="6" t="str">
        <f ca="1">IF(AND(NEGOCIAÇÕES!O1439="",NEGOCIAÇÕES!N1439&lt;TODAY()),NEGOCIAÇÕES!D1439,"")</f>
        <v/>
      </c>
      <c r="E1439" s="9" t="str">
        <f ca="1">IF(AND(NEGOCIAÇÕES!O1439="",NEGOCIAÇÕES!N1439&lt;TODAY()),NEGOCIAÇÕES!N1439,"")</f>
        <v/>
      </c>
    </row>
    <row r="1440" spans="2:5" ht="31.95" hidden="1" customHeight="1" x14ac:dyDescent="0.3">
      <c r="B1440" s="6" t="str">
        <f ca="1">IF(AND(NEGOCIAÇÕES!O1440="",NEGOCIAÇÕES!N1440&lt;TODAY()),NEGOCIAÇÕES!C1440,"")</f>
        <v/>
      </c>
      <c r="C1440" s="6" t="str">
        <f ca="1">IF(AND(NEGOCIAÇÕES!O1440="",NEGOCIAÇÕES!N1440&lt;TODAY()),NEGOCIAÇÕES!E1440,"")</f>
        <v/>
      </c>
      <c r="D1440" s="6" t="str">
        <f ca="1">IF(AND(NEGOCIAÇÕES!O1440="",NEGOCIAÇÕES!N1440&lt;TODAY()),NEGOCIAÇÕES!D1440,"")</f>
        <v/>
      </c>
      <c r="E1440" s="9" t="str">
        <f ca="1">IF(AND(NEGOCIAÇÕES!O1440="",NEGOCIAÇÕES!N1440&lt;TODAY()),NEGOCIAÇÕES!N1440,"")</f>
        <v/>
      </c>
    </row>
    <row r="1441" spans="2:5" ht="31.95" hidden="1" customHeight="1" x14ac:dyDescent="0.3">
      <c r="B1441" s="6" t="str">
        <f ca="1">IF(AND(NEGOCIAÇÕES!O1441="",NEGOCIAÇÕES!N1441&lt;TODAY()),NEGOCIAÇÕES!C1441,"")</f>
        <v/>
      </c>
      <c r="C1441" s="6" t="str">
        <f ca="1">IF(AND(NEGOCIAÇÕES!O1441="",NEGOCIAÇÕES!N1441&lt;TODAY()),NEGOCIAÇÕES!E1441,"")</f>
        <v/>
      </c>
      <c r="D1441" s="6" t="str">
        <f ca="1">IF(AND(NEGOCIAÇÕES!O1441="",NEGOCIAÇÕES!N1441&lt;TODAY()),NEGOCIAÇÕES!D1441,"")</f>
        <v/>
      </c>
      <c r="E1441" s="9" t="str">
        <f ca="1">IF(AND(NEGOCIAÇÕES!O1441="",NEGOCIAÇÕES!N1441&lt;TODAY()),NEGOCIAÇÕES!N1441,"")</f>
        <v/>
      </c>
    </row>
    <row r="1442" spans="2:5" ht="31.95" customHeight="1" x14ac:dyDescent="0.3">
      <c r="B1442" s="6">
        <f ca="1">IF(AND(NEGOCIAÇÕES!O1442="",NEGOCIAÇÕES!N1442&lt;TODAY()),NEGOCIAÇÕES!C1442,"")</f>
        <v>1439</v>
      </c>
      <c r="C1442" s="6" t="str">
        <f ca="1">IF(AND(NEGOCIAÇÕES!O1442="",NEGOCIAÇÕES!N1442&lt;TODAY()),NEGOCIAÇÕES!E1442,"")</f>
        <v>-</v>
      </c>
      <c r="D1442" s="6" t="str">
        <f ca="1">IF(AND(NEGOCIAÇÕES!O1442="",NEGOCIAÇÕES!N1442&lt;TODAY()),NEGOCIAÇÕES!D1442,"")</f>
        <v>ISOPRO COMERCIO DE JUNTAS E SOLDAS LTDA</v>
      </c>
      <c r="E1442" s="9">
        <f ca="1">IF(AND(NEGOCIAÇÕES!O1442="",NEGOCIAÇÕES!N1442&lt;TODAY()),NEGOCIAÇÕES!N1442,"")</f>
        <v>46045</v>
      </c>
    </row>
    <row r="1443" spans="2:5" ht="31.95" customHeight="1" x14ac:dyDescent="0.3">
      <c r="B1443" s="6">
        <f ca="1">IF(AND(NEGOCIAÇÕES!O1443="",NEGOCIAÇÕES!N1443&lt;TODAY()),NEGOCIAÇÕES!C1443,"")</f>
        <v>1440</v>
      </c>
      <c r="C1443" s="6" t="str">
        <f ca="1">IF(AND(NEGOCIAÇÕES!O1443="",NEGOCIAÇÕES!N1443&lt;TODAY()),NEGOCIAÇÕES!E1443,"")</f>
        <v>-</v>
      </c>
      <c r="D1443" s="6" t="str">
        <f ca="1">IF(AND(NEGOCIAÇÕES!O1443="",NEGOCIAÇÕES!N1443&lt;TODAY()),NEGOCIAÇÕES!D1443,"")</f>
        <v>ISOPRO COMERCIO DE JUNTAS E SOLDAS LTDA</v>
      </c>
      <c r="E1443" s="9">
        <f ca="1">IF(AND(NEGOCIAÇÕES!O1443="",NEGOCIAÇÕES!N1443&lt;TODAY()),NEGOCIAÇÕES!N1443,"")</f>
        <v>46045</v>
      </c>
    </row>
    <row r="1444" spans="2:5" ht="31.95" hidden="1" customHeight="1" x14ac:dyDescent="0.3">
      <c r="B1444" s="6" t="str">
        <f ca="1">IF(AND(NEGOCIAÇÕES!O1444="",NEGOCIAÇÕES!N1444&lt;TODAY()),NEGOCIAÇÕES!C1444,"")</f>
        <v/>
      </c>
      <c r="C1444" s="6" t="str">
        <f ca="1">IF(AND(NEGOCIAÇÕES!O1444="",NEGOCIAÇÕES!N1444&lt;TODAY()),NEGOCIAÇÕES!E1444,"")</f>
        <v/>
      </c>
      <c r="D1444" s="6" t="str">
        <f ca="1">IF(AND(NEGOCIAÇÕES!O1444="",NEGOCIAÇÕES!N1444&lt;TODAY()),NEGOCIAÇÕES!D1444,"")</f>
        <v/>
      </c>
      <c r="E1444" s="9" t="str">
        <f ca="1">IF(AND(NEGOCIAÇÕES!O1444="",NEGOCIAÇÕES!N1444&lt;TODAY()),NEGOCIAÇÕES!N1444,"")</f>
        <v/>
      </c>
    </row>
    <row r="1445" spans="2:5" ht="31.95" customHeight="1" x14ac:dyDescent="0.3">
      <c r="B1445" s="6">
        <f ca="1">IF(AND(NEGOCIAÇÕES!O1445="",NEGOCIAÇÕES!N1445&lt;TODAY()),NEGOCIAÇÕES!C1445,"")</f>
        <v>1442</v>
      </c>
      <c r="C1445" s="6" t="str">
        <f ca="1">IF(AND(NEGOCIAÇÕES!O1445="",NEGOCIAÇÕES!N1445&lt;TODAY()),NEGOCIAÇÕES!E1445,"")</f>
        <v>OS 417.26</v>
      </c>
      <c r="D1445" s="6" t="str">
        <f ca="1">IF(AND(NEGOCIAÇÕES!O1445="",NEGOCIAÇÕES!N1445&lt;TODAY()),NEGOCIAÇÕES!D1445,"")</f>
        <v>NOVO MUNDO VEDAÇÕES LTDA</v>
      </c>
      <c r="E1445" s="9">
        <f ca="1">IF(AND(NEGOCIAÇÕES!O1445="",NEGOCIAÇÕES!N1445&lt;TODAY()),NEGOCIAÇÕES!N1445,"")</f>
        <v>46049</v>
      </c>
    </row>
    <row r="1446" spans="2:5" ht="31.95" customHeight="1" x14ac:dyDescent="0.3">
      <c r="B1446" s="6">
        <f ca="1">IF(AND(NEGOCIAÇÕES!O1446="",NEGOCIAÇÕES!N1446&lt;TODAY()),NEGOCIAÇÕES!C1446,"")</f>
        <v>1443</v>
      </c>
      <c r="C1446" s="6" t="str">
        <f ca="1">IF(AND(NEGOCIAÇÕES!O1446="",NEGOCIAÇÕES!N1446&lt;TODAY()),NEGOCIAÇÕES!E1446,"")</f>
        <v>OS 416.26</v>
      </c>
      <c r="D1446" s="6" t="str">
        <f ca="1">IF(AND(NEGOCIAÇÕES!O1446="",NEGOCIAÇÕES!N1446&lt;TODAY()),NEGOCIAÇÕES!D1446,"")</f>
        <v>NOVO MUNDO VEDAÇÕES LTDA</v>
      </c>
      <c r="E1446" s="9">
        <f ca="1">IF(AND(NEGOCIAÇÕES!O1446="",NEGOCIAÇÕES!N1446&lt;TODAY()),NEGOCIAÇÕES!N1446,"")</f>
        <v>46049</v>
      </c>
    </row>
    <row r="1447" spans="2:5" ht="31.95" customHeight="1" x14ac:dyDescent="0.3">
      <c r="B1447" s="6">
        <f ca="1">IF(AND(NEGOCIAÇÕES!O1447="",NEGOCIAÇÕES!N1447&lt;TODAY()),NEGOCIAÇÕES!C1447,"")</f>
        <v>1444</v>
      </c>
      <c r="C1447" s="6" t="str">
        <f ca="1">IF(AND(NEGOCIAÇÕES!O1447="",NEGOCIAÇÕES!N1447&lt;TODAY()),NEGOCIAÇÕES!E1447,"")</f>
        <v>OS 415.26</v>
      </c>
      <c r="D1447" s="6" t="str">
        <f ca="1">IF(AND(NEGOCIAÇÕES!O1447="",NEGOCIAÇÕES!N1447&lt;TODAY()),NEGOCIAÇÕES!D1447,"")</f>
        <v>NOVO MUNDO VEDAÇÕES LTDA</v>
      </c>
      <c r="E1447" s="9">
        <f ca="1">IF(AND(NEGOCIAÇÕES!O1447="",NEGOCIAÇÕES!N1447&lt;TODAY()),NEGOCIAÇÕES!N1447,"")</f>
        <v>46049</v>
      </c>
    </row>
    <row r="1448" spans="2:5" ht="31.95" hidden="1" customHeight="1" x14ac:dyDescent="0.3">
      <c r="B1448" s="6" t="str">
        <f ca="1">IF(AND(NEGOCIAÇÕES!O1448="",NEGOCIAÇÕES!N1448&lt;TODAY()),NEGOCIAÇÕES!C1448,"")</f>
        <v/>
      </c>
      <c r="C1448" s="6" t="str">
        <f ca="1">IF(AND(NEGOCIAÇÕES!O1448="",NEGOCIAÇÕES!N1448&lt;TODAY()),NEGOCIAÇÕES!E1448,"")</f>
        <v/>
      </c>
      <c r="D1448" s="6" t="str">
        <f ca="1">IF(AND(NEGOCIAÇÕES!O1448="",NEGOCIAÇÕES!N1448&lt;TODAY()),NEGOCIAÇÕES!D1448,"")</f>
        <v/>
      </c>
      <c r="E1448" s="9" t="str">
        <f ca="1">IF(AND(NEGOCIAÇÕES!O1448="",NEGOCIAÇÕES!N1448&lt;TODAY()),NEGOCIAÇÕES!N1448,"")</f>
        <v/>
      </c>
    </row>
    <row r="1449" spans="2:5" ht="31.95" customHeight="1" x14ac:dyDescent="0.3">
      <c r="B1449" s="6">
        <f ca="1">IF(AND(NEGOCIAÇÕES!O1449="",NEGOCIAÇÕES!N1449&lt;TODAY()),NEGOCIAÇÕES!C1449,"")</f>
        <v>1446</v>
      </c>
      <c r="C1449" s="6" t="str">
        <f ca="1">IF(AND(NEGOCIAÇÕES!O1449="",NEGOCIAÇÕES!N1449&lt;TODAY()),NEGOCIAÇÕES!E1449,"")</f>
        <v>OS 418.26</v>
      </c>
      <c r="D1449" s="6" t="str">
        <f ca="1">IF(AND(NEGOCIAÇÕES!O1449="",NEGOCIAÇÕES!N1449&lt;TODAY()),NEGOCIAÇÕES!D1449,"")</f>
        <v xml:space="preserve">Lapefer Comércio e Indústria de Laminados Ltda </v>
      </c>
      <c r="E1449" s="9">
        <f ca="1">IF(AND(NEGOCIAÇÕES!O1449="",NEGOCIAÇÕES!N1449&lt;TODAY()),NEGOCIAÇÕES!N1449,"")</f>
        <v>46050</v>
      </c>
    </row>
    <row r="1450" spans="2:5" ht="31.95" hidden="1" customHeight="1" x14ac:dyDescent="0.3">
      <c r="B1450" s="6" t="str">
        <f ca="1">IF(AND(NEGOCIAÇÕES!O1450="",NEGOCIAÇÕES!N1450&lt;TODAY()),NEGOCIAÇÕES!C1450,"")</f>
        <v/>
      </c>
      <c r="C1450" s="6" t="str">
        <f ca="1">IF(AND(NEGOCIAÇÕES!O1450="",NEGOCIAÇÕES!N1450&lt;TODAY()),NEGOCIAÇÕES!E1450,"")</f>
        <v/>
      </c>
      <c r="D1450" s="6" t="str">
        <f ca="1">IF(AND(NEGOCIAÇÕES!O1450="",NEGOCIAÇÕES!N1450&lt;TODAY()),NEGOCIAÇÕES!D1450,"")</f>
        <v/>
      </c>
      <c r="E1450" s="9" t="str">
        <f ca="1">IF(AND(NEGOCIAÇÕES!O1450="",NEGOCIAÇÕES!N1450&lt;TODAY()),NEGOCIAÇÕES!N1450,"")</f>
        <v/>
      </c>
    </row>
    <row r="1451" spans="2:5" ht="31.95" hidden="1" customHeight="1" x14ac:dyDescent="0.3">
      <c r="B1451" s="6" t="str">
        <f ca="1">IF(AND(NEGOCIAÇÕES!O1451="",NEGOCIAÇÕES!N1451&lt;TODAY()),NEGOCIAÇÕES!C1451,"")</f>
        <v/>
      </c>
      <c r="C1451" s="6" t="str">
        <f ca="1">IF(AND(NEGOCIAÇÕES!O1451="",NEGOCIAÇÕES!N1451&lt;TODAY()),NEGOCIAÇÕES!E1451,"")</f>
        <v/>
      </c>
      <c r="D1451" s="6" t="str">
        <f ca="1">IF(AND(NEGOCIAÇÕES!O1451="",NEGOCIAÇÕES!N1451&lt;TODAY()),NEGOCIAÇÕES!D1451,"")</f>
        <v/>
      </c>
      <c r="E1451" s="9" t="str">
        <f ca="1">IF(AND(NEGOCIAÇÕES!O1451="",NEGOCIAÇÕES!N1451&lt;TODAY()),NEGOCIAÇÕES!N1451,"")</f>
        <v/>
      </c>
    </row>
    <row r="1452" spans="2:5" ht="31.95" hidden="1" customHeight="1" x14ac:dyDescent="0.3">
      <c r="B1452" s="6" t="str">
        <f ca="1">IF(AND(NEGOCIAÇÕES!O1452="",NEGOCIAÇÕES!N1452&lt;TODAY()),NEGOCIAÇÕES!C1452,"")</f>
        <v/>
      </c>
      <c r="C1452" s="6" t="str">
        <f ca="1">IF(AND(NEGOCIAÇÕES!O1452="",NEGOCIAÇÕES!N1452&lt;TODAY()),NEGOCIAÇÕES!E1452,"")</f>
        <v/>
      </c>
      <c r="D1452" s="6" t="str">
        <f ca="1">IF(AND(NEGOCIAÇÕES!O1452="",NEGOCIAÇÕES!N1452&lt;TODAY()),NEGOCIAÇÕES!D1452,"")</f>
        <v/>
      </c>
      <c r="E1452" s="9" t="str">
        <f ca="1">IF(AND(NEGOCIAÇÕES!O1452="",NEGOCIAÇÕES!N1452&lt;TODAY()),NEGOCIAÇÕES!N1452,"")</f>
        <v/>
      </c>
    </row>
    <row r="1453" spans="2:5" ht="31.95" customHeight="1" x14ac:dyDescent="0.3">
      <c r="B1453" s="6">
        <f ca="1">IF(AND(NEGOCIAÇÕES!O1453="",NEGOCIAÇÕES!N1453&lt;TODAY()),NEGOCIAÇÕES!C1453,"")</f>
        <v>1450</v>
      </c>
      <c r="C1453" s="6" t="str">
        <f ca="1">IF(AND(NEGOCIAÇÕES!O1453="",NEGOCIAÇÕES!N1453&lt;TODAY()),NEGOCIAÇÕES!E1453,"")</f>
        <v>-</v>
      </c>
      <c r="D1453" s="6" t="str">
        <f ca="1">IF(AND(NEGOCIAÇÕES!O1453="",NEGOCIAÇÕES!N1453&lt;TODAY()),NEGOCIAÇÕES!D1453,"")</f>
        <v>ANJ COMERCIAL LTDA</v>
      </c>
      <c r="E1453" s="9">
        <f ca="1">IF(AND(NEGOCIAÇÕES!O1453="",NEGOCIAÇÕES!N1453&lt;TODAY()),NEGOCIAÇÕES!N1453,"")</f>
        <v>46049</v>
      </c>
    </row>
    <row r="1454" spans="2:5" ht="31.95" customHeight="1" x14ac:dyDescent="0.3">
      <c r="B1454" s="6">
        <f ca="1">IF(AND(NEGOCIAÇÕES!O1454="",NEGOCIAÇÕES!N1454&lt;TODAY()),NEGOCIAÇÕES!C1454,"")</f>
        <v>1451</v>
      </c>
      <c r="C1454" s="6" t="str">
        <f ca="1">IF(AND(NEGOCIAÇÕES!O1454="",NEGOCIAÇÕES!N1454&lt;TODAY()),NEGOCIAÇÕES!E1454,"")</f>
        <v>-</v>
      </c>
      <c r="D1454" s="6" t="str">
        <f ca="1">IF(AND(NEGOCIAÇÕES!O1454="",NEGOCIAÇÕES!N1454&lt;TODAY()),NEGOCIAÇÕES!D1454,"")</f>
        <v>ISOPRO COMERCIO DE JUNTAS E SOLDAS LTDA</v>
      </c>
      <c r="E1454" s="9">
        <f ca="1">IF(AND(NEGOCIAÇÕES!O1454="",NEGOCIAÇÕES!N1454&lt;TODAY()),NEGOCIAÇÕES!N1454,"")</f>
        <v>46049</v>
      </c>
    </row>
    <row r="1455" spans="2:5" ht="31.95" customHeight="1" x14ac:dyDescent="0.3">
      <c r="B1455" s="6">
        <f ca="1">IF(AND(NEGOCIAÇÕES!O1455="",NEGOCIAÇÕES!N1455&lt;TODAY()),NEGOCIAÇÕES!C1455,"")</f>
        <v>1452</v>
      </c>
      <c r="C1455" s="6" t="str">
        <f ca="1">IF(AND(NEGOCIAÇÕES!O1455="",NEGOCIAÇÕES!N1455&lt;TODAY()),NEGOCIAÇÕES!E1455,"")</f>
        <v>OS 408.26</v>
      </c>
      <c r="D1455" s="6" t="str">
        <f ca="1">IF(AND(NEGOCIAÇÕES!O1455="",NEGOCIAÇÕES!N1455&lt;TODAY()),NEGOCIAÇÕES!D1455,"")</f>
        <v>ANJ TINTAS NAVAIS E INDUSTRIAL LTDA</v>
      </c>
      <c r="E1455" s="9">
        <f ca="1">IF(AND(NEGOCIAÇÕES!O1455="",NEGOCIAÇÕES!N1455&lt;TODAY()),NEGOCIAÇÕES!N1455,"")</f>
        <v>46049</v>
      </c>
    </row>
    <row r="1456" spans="2:5" ht="31.95" customHeight="1" x14ac:dyDescent="0.3">
      <c r="B1456" s="6">
        <f ca="1">IF(AND(NEGOCIAÇÕES!O1456="",NEGOCIAÇÕES!N1456&lt;TODAY()),NEGOCIAÇÕES!C1456,"")</f>
        <v>1453</v>
      </c>
      <c r="C1456" s="6" t="str">
        <f ca="1">IF(AND(NEGOCIAÇÕES!O1456="",NEGOCIAÇÕES!N1456&lt;TODAY()),NEGOCIAÇÕES!E1456,"")</f>
        <v>OS 392.25</v>
      </c>
      <c r="D1456" s="6" t="str">
        <f ca="1">IF(AND(NEGOCIAÇÕES!O1456="",NEGOCIAÇÕES!N1456&lt;TODAY()),NEGOCIAÇÕES!D1456,"")</f>
        <v>NHJ DO BRASIL</v>
      </c>
      <c r="E1456" s="9">
        <f ca="1">IF(AND(NEGOCIAÇÕES!O1456="",NEGOCIAÇÕES!N1456&lt;TODAY()),NEGOCIAÇÕES!N1456,"")</f>
        <v>46051</v>
      </c>
    </row>
    <row r="1457" spans="2:5" ht="31.95" customHeight="1" x14ac:dyDescent="0.3">
      <c r="B1457" s="6">
        <f ca="1">IF(AND(NEGOCIAÇÕES!O1457="",NEGOCIAÇÕES!N1457&lt;TODAY()),NEGOCIAÇÕES!C1457,"")</f>
        <v>1454</v>
      </c>
      <c r="C1457" s="6" t="str">
        <f ca="1">IF(AND(NEGOCIAÇÕES!O1457="",NEGOCIAÇÕES!N1457&lt;TODAY()),NEGOCIAÇÕES!E1457,"")</f>
        <v>OS 409.26</v>
      </c>
      <c r="D1457" s="6" t="str">
        <f ca="1">IF(AND(NEGOCIAÇÕES!O1457="",NEGOCIAÇÕES!N1457&lt;TODAY()),NEGOCIAÇÕES!D1457,"")</f>
        <v>RENAVI ENGENHARIA</v>
      </c>
      <c r="E1457" s="9">
        <f ca="1">IF(AND(NEGOCIAÇÕES!O1457="",NEGOCIAÇÕES!N1457&lt;TODAY()),NEGOCIAÇÕES!N1457,"")</f>
        <v>46051</v>
      </c>
    </row>
    <row r="1458" spans="2:5" ht="31.95" customHeight="1" x14ac:dyDescent="0.3">
      <c r="B1458" s="6">
        <f ca="1">IF(AND(NEGOCIAÇÕES!O1458="",NEGOCIAÇÕES!N1458&lt;TODAY()),NEGOCIAÇÕES!C1458,"")</f>
        <v>1455</v>
      </c>
      <c r="C1458" s="6" t="str">
        <f ca="1">IF(AND(NEGOCIAÇÕES!O1458="",NEGOCIAÇÕES!N1458&lt;TODAY()),NEGOCIAÇÕES!E1458,"")</f>
        <v>-</v>
      </c>
      <c r="D1458" s="6" t="str">
        <f ca="1">IF(AND(NEGOCIAÇÕES!O1458="",NEGOCIAÇÕES!N1458&lt;TODAY()),NEGOCIAÇÕES!D1458,"")</f>
        <v>AENEJOTA FERRAGENS LTDA</v>
      </c>
      <c r="E1458" s="9">
        <f ca="1">IF(AND(NEGOCIAÇÕES!O1458="",NEGOCIAÇÕES!N1458&lt;TODAY()),NEGOCIAÇÕES!N1458,"")</f>
        <v>46049</v>
      </c>
    </row>
    <row r="1459" spans="2:5" ht="31.95" hidden="1" customHeight="1" x14ac:dyDescent="0.3">
      <c r="B1459" s="6" t="str">
        <f ca="1">IF(AND(NEGOCIAÇÕES!O1459="",NEGOCIAÇÕES!N1459&lt;TODAY()),NEGOCIAÇÕES!C1459,"")</f>
        <v/>
      </c>
      <c r="C1459" s="6" t="str">
        <f ca="1">IF(AND(NEGOCIAÇÕES!O1459="",NEGOCIAÇÕES!N1459&lt;TODAY()),NEGOCIAÇÕES!E1459,"")</f>
        <v/>
      </c>
      <c r="D1459" s="6" t="str">
        <f ca="1">IF(AND(NEGOCIAÇÕES!O1459="",NEGOCIAÇÕES!N1459&lt;TODAY()),NEGOCIAÇÕES!D1459,"")</f>
        <v/>
      </c>
      <c r="E1459" s="9" t="str">
        <f ca="1">IF(AND(NEGOCIAÇÕES!O1459="",NEGOCIAÇÕES!N1459&lt;TODAY()),NEGOCIAÇÕES!N1459,"")</f>
        <v/>
      </c>
    </row>
    <row r="1460" spans="2:5" ht="31.95" customHeight="1" x14ac:dyDescent="0.3">
      <c r="B1460" s="6">
        <f ca="1">IF(AND(NEGOCIAÇÕES!O1460="",NEGOCIAÇÕES!N1460&lt;TODAY()),NEGOCIAÇÕES!C1460,"")</f>
        <v>1457</v>
      </c>
      <c r="C1460" s="6" t="str">
        <f ca="1">IF(AND(NEGOCIAÇÕES!O1460="",NEGOCIAÇÕES!N1460&lt;TODAY()),NEGOCIAÇÕES!E1460,"")</f>
        <v>OS 406.26</v>
      </c>
      <c r="D1460" s="6" t="str">
        <f ca="1">IF(AND(NEGOCIAÇÕES!O1460="",NEGOCIAÇÕES!N1460&lt;TODAY()),NEGOCIAÇÕES!D1460,"")</f>
        <v>RENAVI ENGENHARIA</v>
      </c>
      <c r="E1460" s="9">
        <f ca="1">IF(AND(NEGOCIAÇÕES!O1460="",NEGOCIAÇÕES!N1460&lt;TODAY()),NEGOCIAÇÕES!N1460,"")</f>
        <v>46052</v>
      </c>
    </row>
    <row r="1461" spans="2:5" ht="31.95" customHeight="1" x14ac:dyDescent="0.3">
      <c r="B1461" s="6">
        <f ca="1">IF(AND(NEGOCIAÇÕES!O1461="",NEGOCIAÇÕES!N1461&lt;TODAY()),NEGOCIAÇÕES!C1461,"")</f>
        <v>1458</v>
      </c>
      <c r="C1461" s="6" t="str">
        <f ca="1">IF(AND(NEGOCIAÇÕES!O1461="",NEGOCIAÇÕES!N1461&lt;TODAY()),NEGOCIAÇÕES!E1461,"")</f>
        <v>-</v>
      </c>
      <c r="D1461" s="6" t="str">
        <f ca="1">IF(AND(NEGOCIAÇÕES!O1461="",NEGOCIAÇÕES!N1461&lt;TODAY()),NEGOCIAÇÕES!D1461,"")</f>
        <v>ISOPRO COMERCIO DE JUNTAS E SOLDAS LTDA</v>
      </c>
      <c r="E1461" s="9">
        <f ca="1">IF(AND(NEGOCIAÇÕES!O1461="",NEGOCIAÇÕES!N1461&lt;TODAY()),NEGOCIAÇÕES!N1461,"")</f>
        <v>46050</v>
      </c>
    </row>
    <row r="1462" spans="2:5" ht="31.95" customHeight="1" x14ac:dyDescent="0.3">
      <c r="B1462" s="6">
        <f ca="1">IF(AND(NEGOCIAÇÕES!O1462="",NEGOCIAÇÕES!N1462&lt;TODAY()),NEGOCIAÇÕES!C1462,"")</f>
        <v>1459</v>
      </c>
      <c r="C1462" s="6" t="str">
        <f ca="1">IF(AND(NEGOCIAÇÕES!O1462="",NEGOCIAÇÕES!N1462&lt;TODAY()),NEGOCIAÇÕES!E1462,"")</f>
        <v>-</v>
      </c>
      <c r="D1462" s="6" t="str">
        <f ca="1">IF(AND(NEGOCIAÇÕES!O1462="",NEGOCIAÇÕES!N1462&lt;TODAY()),NEGOCIAÇÕES!D1462,"")</f>
        <v>ISOPRO COMERCIO DE JUNTAS E SOLDAS LTDA</v>
      </c>
      <c r="E1462" s="9">
        <f ca="1">IF(AND(NEGOCIAÇÕES!O1462="",NEGOCIAÇÕES!N1462&lt;TODAY()),NEGOCIAÇÕES!N1462,"")</f>
        <v>46050</v>
      </c>
    </row>
    <row r="1463" spans="2:5" ht="31.95" hidden="1" customHeight="1" x14ac:dyDescent="0.3">
      <c r="B1463" s="6">
        <f ca="1">IF(AND(NEGOCIAÇÕES!O1463="",NEGOCIAÇÕES!N1463&lt;TODAY()),NEGOCIAÇÕES!C1463,"")</f>
        <v>1460</v>
      </c>
      <c r="C1463" s="6" t="str">
        <f ca="1">IF(AND(NEGOCIAÇÕES!O1463="",NEGOCIAÇÕES!N1463&lt;TODAY()),NEGOCIAÇÕES!E1463,"")</f>
        <v>OS 415.26</v>
      </c>
      <c r="D1463" s="6" t="str">
        <f ca="1">IF(AND(NEGOCIAÇÕES!O1463="",NEGOCIAÇÕES!N1463&lt;TODAY()),NEGOCIAÇÕES!D1463,"")</f>
        <v>JOTUN BRASIL IMP.EXP.E INDUSTRIA DE TINTAS LTDA.</v>
      </c>
      <c r="E1463" s="9">
        <f ca="1">IF(AND(NEGOCIAÇÕES!O1463="",NEGOCIAÇÕES!N1463&lt;TODAY()),NEGOCIAÇÕES!N1463,"")</f>
        <v>46058</v>
      </c>
    </row>
    <row r="1464" spans="2:5" ht="31.95" customHeight="1" x14ac:dyDescent="0.3">
      <c r="B1464" s="6">
        <f ca="1">IF(AND(NEGOCIAÇÕES!O1464="",NEGOCIAÇÕES!N1464&lt;TODAY()),NEGOCIAÇÕES!C1464,"")</f>
        <v>1461</v>
      </c>
      <c r="C1464" s="6" t="str">
        <f ca="1">IF(AND(NEGOCIAÇÕES!O1464="",NEGOCIAÇÕES!N1464&lt;TODAY()),NEGOCIAÇÕES!E1464,"")</f>
        <v>OS 418.26</v>
      </c>
      <c r="D1464" s="6" t="str">
        <f ca="1">IF(AND(NEGOCIAÇÕES!O1464="",NEGOCIAÇÕES!N1464&lt;TODAY()),NEGOCIAÇÕES!D1464,"")</f>
        <v>TENAX ACO E FERRO MATRIZ</v>
      </c>
      <c r="E1464" s="9">
        <f ca="1">IF(AND(NEGOCIAÇÕES!O1464="",NEGOCIAÇÕES!N1464&lt;TODAY()),NEGOCIAÇÕES!N1464,"")</f>
        <v>46055</v>
      </c>
    </row>
    <row r="1465" spans="2:5" ht="31.95" hidden="1" customHeight="1" x14ac:dyDescent="0.3">
      <c r="B1465" s="6" t="str">
        <f ca="1">IF(AND(NEGOCIAÇÕES!O1465="",NEGOCIAÇÕES!N1465&lt;TODAY()),NEGOCIAÇÕES!C1465,"")</f>
        <v/>
      </c>
      <c r="C1465" s="6" t="str">
        <f ca="1">IF(AND(NEGOCIAÇÕES!O1465="",NEGOCIAÇÕES!N1465&lt;TODAY()),NEGOCIAÇÕES!E1465,"")</f>
        <v/>
      </c>
      <c r="D1465" s="6" t="str">
        <f ca="1">IF(AND(NEGOCIAÇÕES!O1465="",NEGOCIAÇÕES!N1465&lt;TODAY()),NEGOCIAÇÕES!D1465,"")</f>
        <v/>
      </c>
      <c r="E1465" s="9" t="str">
        <f ca="1">IF(AND(NEGOCIAÇÕES!O1465="",NEGOCIAÇÕES!N1465&lt;TODAY()),NEGOCIAÇÕES!N1465,"")</f>
        <v/>
      </c>
    </row>
    <row r="1466" spans="2:5" ht="31.95" customHeight="1" x14ac:dyDescent="0.3">
      <c r="B1466" s="6">
        <f ca="1">IF(AND(NEGOCIAÇÕES!O1466="",NEGOCIAÇÕES!N1466&lt;TODAY()),NEGOCIAÇÕES!C1466,"")</f>
        <v>1463</v>
      </c>
      <c r="C1466" s="6" t="str">
        <f ca="1">IF(AND(NEGOCIAÇÕES!O1466="",NEGOCIAÇÕES!N1466&lt;TODAY()),NEGOCIAÇÕES!E1466,"")</f>
        <v>-</v>
      </c>
      <c r="D1466" s="6" t="str">
        <f ca="1">IF(AND(NEGOCIAÇÕES!O1466="",NEGOCIAÇÕES!N1466&lt;TODAY()),NEGOCIAÇÕES!D1466,"")</f>
        <v>AENEJOTA FERRAGENS LTDA</v>
      </c>
      <c r="E1466" s="9">
        <f ca="1">IF(AND(NEGOCIAÇÕES!O1466="",NEGOCIAÇÕES!N1466&lt;TODAY()),NEGOCIAÇÕES!N1466,"")</f>
        <v>46056</v>
      </c>
    </row>
    <row r="1467" spans="2:5" ht="31.95" customHeight="1" x14ac:dyDescent="0.3">
      <c r="B1467" s="6">
        <f ca="1">IF(AND(NEGOCIAÇÕES!O1467="",NEGOCIAÇÕES!N1467&lt;TODAY()),NEGOCIAÇÕES!C1467,"")</f>
        <v>1464</v>
      </c>
      <c r="C1467" s="6" t="str">
        <f ca="1">IF(AND(NEGOCIAÇÕES!O1467="",NEGOCIAÇÕES!N1467&lt;TODAY()),NEGOCIAÇÕES!E1467,"")</f>
        <v>-</v>
      </c>
      <c r="D1467" s="6" t="str">
        <f ca="1">IF(AND(NEGOCIAÇÕES!O1467="",NEGOCIAÇÕES!N1467&lt;TODAY()),NEGOCIAÇÕES!D1467,"")</f>
        <v>ISOPRO COMERCIO DE JUNTAS E SOLDAS LTDA</v>
      </c>
      <c r="E1467" s="9">
        <f ca="1">IF(AND(NEGOCIAÇÕES!O1467="",NEGOCIAÇÕES!N1467&lt;TODAY()),NEGOCIAÇÕES!N1467,"")</f>
        <v>46056</v>
      </c>
    </row>
    <row r="1468" spans="2:5" ht="31.95" hidden="1" customHeight="1" x14ac:dyDescent="0.3">
      <c r="B1468" s="6">
        <f ca="1">IF(AND(NEGOCIAÇÕES!O1468="",NEGOCIAÇÕES!N1468&lt;TODAY()),NEGOCIAÇÕES!C1468,"")</f>
        <v>1465</v>
      </c>
      <c r="C1468" s="6" t="str">
        <f ca="1">IF(AND(NEGOCIAÇÕES!O1468="",NEGOCIAÇÕES!N1468&lt;TODAY()),NEGOCIAÇÕES!E1468,"")</f>
        <v>OS 405.26</v>
      </c>
      <c r="D1468" s="6" t="str">
        <f ca="1">IF(AND(NEGOCIAÇÕES!O1468="",NEGOCIAÇÕES!N1468&lt;TODAY()),NEGOCIAÇÕES!D1468,"")</f>
        <v>TENAX ACO E FERRO MATRIZ</v>
      </c>
      <c r="E1468" s="9">
        <f ca="1">IF(AND(NEGOCIAÇÕES!O1468="",NEGOCIAÇÕES!N1468&lt;TODAY()),NEGOCIAÇÕES!N1468,"")</f>
        <v>46059</v>
      </c>
    </row>
    <row r="1469" spans="2:5" ht="31.95" hidden="1" customHeight="1" x14ac:dyDescent="0.3">
      <c r="B1469" s="6">
        <f ca="1">IF(AND(NEGOCIAÇÕES!O1469="",NEGOCIAÇÕES!N1469&lt;TODAY()),NEGOCIAÇÕES!C1469,"")</f>
        <v>1466</v>
      </c>
      <c r="C1469" s="6" t="str">
        <f ca="1">IF(AND(NEGOCIAÇÕES!O1469="",NEGOCIAÇÕES!N1469&lt;TODAY()),NEGOCIAÇÕES!E1469,"")</f>
        <v>OS 376.25</v>
      </c>
      <c r="D1469" s="6" t="str">
        <f ca="1">IF(AND(NEGOCIAÇÕES!O1469="",NEGOCIAÇÕES!N1469&lt;TODAY()),NEGOCIAÇÕES!D1469,"")</f>
        <v>TENAX ACO E FERRO MATRIZ</v>
      </c>
      <c r="E1469" s="9">
        <f ca="1">IF(AND(NEGOCIAÇÕES!O1469="",NEGOCIAÇÕES!N1469&lt;TODAY()),NEGOCIAÇÕES!N1469,"")</f>
        <v>46058</v>
      </c>
    </row>
    <row r="1470" spans="2:5" ht="31.95" hidden="1" customHeight="1" x14ac:dyDescent="0.3">
      <c r="B1470" s="6">
        <f ca="1">IF(AND(NEGOCIAÇÕES!O1470="",NEGOCIAÇÕES!N1470&lt;TODAY()),NEGOCIAÇÕES!C1470,"")</f>
        <v>1467</v>
      </c>
      <c r="C1470" s="6" t="str">
        <f ca="1">IF(AND(NEGOCIAÇÕES!O1470="",NEGOCIAÇÕES!N1470&lt;TODAY()),NEGOCIAÇÕES!E1470,"")</f>
        <v>OS 376.25</v>
      </c>
      <c r="D1470" s="6" t="str">
        <f ca="1">IF(AND(NEGOCIAÇÕES!O1470="",NEGOCIAÇÕES!N1470&lt;TODAY()),NEGOCIAÇÕES!D1470,"")</f>
        <v>CONEC RIO Conexões e Peças Ltda</v>
      </c>
      <c r="E1470" s="9">
        <f ca="1">IF(AND(NEGOCIAÇÕES!O1470="",NEGOCIAÇÕES!N1470&lt;TODAY()),NEGOCIAÇÕES!N1470,"")</f>
        <v>46057</v>
      </c>
    </row>
    <row r="1471" spans="2:5" ht="31.95" hidden="1" customHeight="1" x14ac:dyDescent="0.3">
      <c r="B1471" s="6">
        <f ca="1">IF(AND(NEGOCIAÇÕES!O1471="",NEGOCIAÇÕES!N1471&lt;TODAY()),NEGOCIAÇÕES!C1471,"")</f>
        <v>1468</v>
      </c>
      <c r="C1471" s="6" t="str">
        <f ca="1">IF(AND(NEGOCIAÇÕES!O1471="",NEGOCIAÇÕES!N1471&lt;TODAY()),NEGOCIAÇÕES!E1471,"")</f>
        <v>OS 376.25</v>
      </c>
      <c r="D1471" s="6" t="str">
        <f ca="1">IF(AND(NEGOCIAÇÕES!O1471="",NEGOCIAÇÕES!N1471&lt;TODAY()),NEGOCIAÇÕES!D1471,"")</f>
        <v>L E M CALIBRAÇÃO E METROLOGIA PADRÃO LTDA</v>
      </c>
      <c r="E1471" s="9">
        <f ca="1">IF(AND(NEGOCIAÇÕES!O1471="",NEGOCIAÇÕES!N1471&lt;TODAY()),NEGOCIAÇÕES!N1471,"")</f>
        <v>46058</v>
      </c>
    </row>
    <row r="1472" spans="2:5" ht="31.95" hidden="1" customHeight="1" x14ac:dyDescent="0.3">
      <c r="B1472" s="6">
        <f ca="1">IF(AND(NEGOCIAÇÕES!O1472="",NEGOCIAÇÕES!N1472&lt;TODAY()),NEGOCIAÇÕES!C1472,"")</f>
        <v>1469</v>
      </c>
      <c r="C1472" s="6" t="str">
        <f ca="1">IF(AND(NEGOCIAÇÕES!O1472="",NEGOCIAÇÕES!N1472&lt;TODAY()),NEGOCIAÇÕES!E1472,"")</f>
        <v>-</v>
      </c>
      <c r="D1472" s="6" t="str">
        <f ca="1">IF(AND(NEGOCIAÇÕES!O1472="",NEGOCIAÇÕES!N1472&lt;TODAY()),NEGOCIAÇÕES!D1472,"")</f>
        <v>ISOPRO COMERCIO DE JUNTAS E SOLDAS LTDA</v>
      </c>
      <c r="E1472" s="9">
        <f ca="1">IF(AND(NEGOCIAÇÕES!O1472="",NEGOCIAÇÕES!N1472&lt;TODAY()),NEGOCIAÇÕES!N1472,"")</f>
        <v>46057</v>
      </c>
    </row>
    <row r="1473" spans="2:5" ht="31.95" hidden="1" customHeight="1" x14ac:dyDescent="0.3">
      <c r="B1473" s="6">
        <f ca="1">IF(AND(NEGOCIAÇÕES!O1473="",NEGOCIAÇÕES!N1473&lt;TODAY()),NEGOCIAÇÕES!C1473,"")</f>
        <v>1470</v>
      </c>
      <c r="C1473" s="6" t="str">
        <f ca="1">IF(AND(NEGOCIAÇÕES!O1473="",NEGOCIAÇÕES!N1473&lt;TODAY()),NEGOCIAÇÕES!E1473,"")</f>
        <v>OS 397.25</v>
      </c>
      <c r="D1473" s="6" t="str">
        <f ca="1">IF(AND(NEGOCIAÇÕES!O1473="",NEGOCIAÇÕES!N1473&lt;TODAY()),NEGOCIAÇÕES!D1473,"")</f>
        <v>C B INSP. - CONTROLE DE QUALIDADE ENDS LTDA</v>
      </c>
      <c r="E1473" s="9">
        <f ca="1">IF(AND(NEGOCIAÇÕES!O1473="",NEGOCIAÇÕES!N1473&lt;TODAY()),NEGOCIAÇÕES!N1473,"")</f>
        <v>46057</v>
      </c>
    </row>
    <row r="1474" spans="2:5" ht="31.95" hidden="1" customHeight="1" x14ac:dyDescent="0.3">
      <c r="B1474" s="6">
        <f ca="1">IF(AND(NEGOCIAÇÕES!O1474="",NEGOCIAÇÕES!N1474&lt;TODAY()),NEGOCIAÇÕES!C1474,"")</f>
        <v>1471</v>
      </c>
      <c r="C1474" s="6" t="str">
        <f ca="1">IF(AND(NEGOCIAÇÕES!O1474="",NEGOCIAÇÕES!N1474&lt;TODAY()),NEGOCIAÇÕES!E1474,"")</f>
        <v>OS 397.25</v>
      </c>
      <c r="D1474" s="6" t="str">
        <f ca="1">IF(AND(NEGOCIAÇÕES!O1474="",NEGOCIAÇÕES!N1474&lt;TODAY()),NEGOCIAÇÕES!D1474,"")</f>
        <v>ESTRELAÇO TUBOS E CONEXÕES COMERCIO E SERVIÇO LTDA</v>
      </c>
      <c r="E1474" s="9">
        <f ca="1">IF(AND(NEGOCIAÇÕES!O1474="",NEGOCIAÇÕES!N1474&lt;TODAY()),NEGOCIAÇÕES!N1474,"")</f>
        <v>46059</v>
      </c>
    </row>
    <row r="1475" spans="2:5" ht="31.95" hidden="1" customHeight="1" x14ac:dyDescent="0.3">
      <c r="B1475" s="6">
        <f ca="1">IF(AND(NEGOCIAÇÕES!O1475="",NEGOCIAÇÕES!N1475&lt;TODAY()),NEGOCIAÇÕES!C1475,"")</f>
        <v>1472</v>
      </c>
      <c r="C1475" s="6" t="str">
        <f ca="1">IF(AND(NEGOCIAÇÕES!O1475="",NEGOCIAÇÕES!N1475&lt;TODAY()),NEGOCIAÇÕES!E1475,"")</f>
        <v>OS 423.26</v>
      </c>
      <c r="D1475" s="6" t="str">
        <f ca="1">IF(AND(NEGOCIAÇÕES!O1475="",NEGOCIAÇÕES!N1475&lt;TODAY()),NEGOCIAÇÕES!D1475,"")</f>
        <v>TENAX ACO E FERRO MATRIZ</v>
      </c>
      <c r="E1475" s="9">
        <f ca="1">IF(AND(NEGOCIAÇÕES!O1475="",NEGOCIAÇÕES!N1475&lt;TODAY()),NEGOCIAÇÕES!N1475,"")</f>
        <v>46059</v>
      </c>
    </row>
    <row r="1476" spans="2:5" ht="31.95" hidden="1" customHeight="1" x14ac:dyDescent="0.3">
      <c r="B1476" s="6" t="str">
        <f ca="1">IF(AND(NEGOCIAÇÕES!O1476="",NEGOCIAÇÕES!N1476&lt;TODAY()),NEGOCIAÇÕES!C1476,"")</f>
        <v/>
      </c>
      <c r="C1476" s="6" t="str">
        <f ca="1">IF(AND(NEGOCIAÇÕES!O1476="",NEGOCIAÇÕES!N1476&lt;TODAY()),NEGOCIAÇÕES!E1476,"")</f>
        <v/>
      </c>
      <c r="D1476" s="6" t="str">
        <f ca="1">IF(AND(NEGOCIAÇÕES!O1476="",NEGOCIAÇÕES!N1476&lt;TODAY()),NEGOCIAÇÕES!D1476,"")</f>
        <v/>
      </c>
      <c r="E1476" s="9" t="str">
        <f ca="1">IF(AND(NEGOCIAÇÕES!O1476="",NEGOCIAÇÕES!N1476&lt;TODAY()),NEGOCIAÇÕES!N1476,"")</f>
        <v/>
      </c>
    </row>
    <row r="1477" spans="2:5" ht="31.95" hidden="1" customHeight="1" x14ac:dyDescent="0.3">
      <c r="B1477" s="6">
        <f ca="1">IF(AND(NEGOCIAÇÕES!O1477="",NEGOCIAÇÕES!N1477&lt;TODAY()),NEGOCIAÇÕES!C1477,"")</f>
        <v>1474</v>
      </c>
      <c r="C1477" s="6" t="str">
        <f ca="1">IF(AND(NEGOCIAÇÕES!O1477="",NEGOCIAÇÕES!N1477&lt;TODAY()),NEGOCIAÇÕES!E1477,"")</f>
        <v>OS 405.26</v>
      </c>
      <c r="D1477" s="6" t="str">
        <f ca="1">IF(AND(NEGOCIAÇÕES!O1477="",NEGOCIAÇÕES!N1477&lt;TODAY()),NEGOCIAÇÕES!D1477,"")</f>
        <v>PAFER COMÉRCIO E REPRESENTAÇÕES LTDA</v>
      </c>
      <c r="E1477" s="9">
        <f ca="1">IF(AND(NEGOCIAÇÕES!O1477="",NEGOCIAÇÕES!N1477&lt;TODAY()),NEGOCIAÇÕES!N1477,"")</f>
        <v>46059</v>
      </c>
    </row>
    <row r="1478" spans="2:5" ht="31.95" hidden="1" customHeight="1" x14ac:dyDescent="0.3">
      <c r="B1478" s="6">
        <f ca="1">IF(AND(NEGOCIAÇÕES!O1478="",NEGOCIAÇÕES!N1478&lt;TODAY()),NEGOCIAÇÕES!C1478,"")</f>
        <v>1475</v>
      </c>
      <c r="C1478" s="6" t="str">
        <f ca="1">IF(AND(NEGOCIAÇÕES!O1478="",NEGOCIAÇÕES!N1478&lt;TODAY()),NEGOCIAÇÕES!E1478,"")</f>
        <v>OS 418.25</v>
      </c>
      <c r="D1478" s="6" t="str">
        <f ca="1">IF(AND(NEGOCIAÇÕES!O1478="",NEGOCIAÇÕES!N1478&lt;TODAY()),NEGOCIAÇÕES!D1478,"")</f>
        <v>ANJ TINTAS NAVAIS E INDUSTRIAL LTDA</v>
      </c>
      <c r="E1478" s="9">
        <f ca="1">IF(AND(NEGOCIAÇÕES!O1478="",NEGOCIAÇÕES!N1478&lt;TODAY()),NEGOCIAÇÕES!N1478,"")</f>
        <v>46059</v>
      </c>
    </row>
    <row r="1479" spans="2:5" ht="31.95" hidden="1" customHeight="1" x14ac:dyDescent="0.3">
      <c r="B1479" s="6" t="str">
        <f ca="1">IF(AND(NEGOCIAÇÕES!O1479="",NEGOCIAÇÕES!N1479&lt;TODAY()),NEGOCIAÇÕES!C1479,"")</f>
        <v/>
      </c>
      <c r="C1479" s="6">
        <f ca="1">IF(AND(NEGOCIAÇÕES!O1479="",NEGOCIAÇÕES!N1479&lt;TODAY()),NEGOCIAÇÕES!E1479,"")</f>
        <v>0</v>
      </c>
      <c r="D1479" s="6">
        <f ca="1">IF(AND(NEGOCIAÇÕES!O1479="",NEGOCIAÇÕES!N1479&lt;TODAY()),NEGOCIAÇÕES!D1479,"")</f>
        <v>0</v>
      </c>
      <c r="E1479" s="9">
        <f ca="1">IF(AND(NEGOCIAÇÕES!O1479="",NEGOCIAÇÕES!N1479&lt;TODAY()),NEGOCIAÇÕES!N1479,"")</f>
        <v>0</v>
      </c>
    </row>
    <row r="1480" spans="2:5" ht="31.95" hidden="1" customHeight="1" x14ac:dyDescent="0.3">
      <c r="B1480" s="6" t="str">
        <f ca="1">IF(AND(NEGOCIAÇÕES!O1480="",NEGOCIAÇÕES!N1480&lt;TODAY()),NEGOCIAÇÕES!C1480,"")</f>
        <v/>
      </c>
      <c r="C1480" s="6">
        <f ca="1">IF(AND(NEGOCIAÇÕES!O1480="",NEGOCIAÇÕES!N1480&lt;TODAY()),NEGOCIAÇÕES!E1480,"")</f>
        <v>0</v>
      </c>
      <c r="D1480" s="6">
        <f ca="1">IF(AND(NEGOCIAÇÕES!O1480="",NEGOCIAÇÕES!N1480&lt;TODAY()),NEGOCIAÇÕES!D1480,"")</f>
        <v>0</v>
      </c>
      <c r="E1480" s="9">
        <f ca="1">IF(AND(NEGOCIAÇÕES!O1480="",NEGOCIAÇÕES!N1480&lt;TODAY()),NEGOCIAÇÕES!N1480,"")</f>
        <v>0</v>
      </c>
    </row>
    <row r="1481" spans="2:5" ht="31.95" hidden="1" customHeight="1" x14ac:dyDescent="0.3">
      <c r="B1481" s="6" t="str">
        <f ca="1">IF(AND(NEGOCIAÇÕES!O1481="",NEGOCIAÇÕES!N1481&lt;TODAY()),NEGOCIAÇÕES!C1481,"")</f>
        <v/>
      </c>
      <c r="C1481" s="6">
        <f ca="1">IF(AND(NEGOCIAÇÕES!O1481="",NEGOCIAÇÕES!N1481&lt;TODAY()),NEGOCIAÇÕES!E1481,"")</f>
        <v>0</v>
      </c>
      <c r="D1481" s="6">
        <f ca="1">IF(AND(NEGOCIAÇÕES!O1481="",NEGOCIAÇÕES!N1481&lt;TODAY()),NEGOCIAÇÕES!D1481,"")</f>
        <v>0</v>
      </c>
      <c r="E1481" s="9">
        <f ca="1">IF(AND(NEGOCIAÇÕES!O1481="",NEGOCIAÇÕES!N1481&lt;TODAY()),NEGOCIAÇÕES!N1481,"")</f>
        <v>0</v>
      </c>
    </row>
    <row r="1482" spans="2:5" ht="31.95" hidden="1" customHeight="1" x14ac:dyDescent="0.3">
      <c r="B1482" s="6" t="str">
        <f ca="1">IF(AND(NEGOCIAÇÕES!O1482="",NEGOCIAÇÕES!N1482&lt;TODAY()),NEGOCIAÇÕES!C1482,"")</f>
        <v/>
      </c>
      <c r="C1482" s="6">
        <f ca="1">IF(AND(NEGOCIAÇÕES!O1482="",NEGOCIAÇÕES!N1482&lt;TODAY()),NEGOCIAÇÕES!E1482,"")</f>
        <v>0</v>
      </c>
      <c r="D1482" s="6">
        <f ca="1">IF(AND(NEGOCIAÇÕES!O1482="",NEGOCIAÇÕES!N1482&lt;TODAY()),NEGOCIAÇÕES!D1482,"")</f>
        <v>0</v>
      </c>
      <c r="E1482" s="9">
        <f ca="1">IF(AND(NEGOCIAÇÕES!O1482="",NEGOCIAÇÕES!N1482&lt;TODAY()),NEGOCIAÇÕES!N1482,"")</f>
        <v>0</v>
      </c>
    </row>
    <row r="1483" spans="2:5" ht="31.95" hidden="1" customHeight="1" x14ac:dyDescent="0.3">
      <c r="B1483" s="6" t="str">
        <f ca="1">IF(AND(NEGOCIAÇÕES!O1483="",NEGOCIAÇÕES!N1483&lt;TODAY()),NEGOCIAÇÕES!C1483,"")</f>
        <v/>
      </c>
      <c r="C1483" s="6">
        <f ca="1">IF(AND(NEGOCIAÇÕES!O1483="",NEGOCIAÇÕES!N1483&lt;TODAY()),NEGOCIAÇÕES!E1483,"")</f>
        <v>0</v>
      </c>
      <c r="D1483" s="6">
        <f ca="1">IF(AND(NEGOCIAÇÕES!O1483="",NEGOCIAÇÕES!N1483&lt;TODAY()),NEGOCIAÇÕES!D1483,"")</f>
        <v>0</v>
      </c>
      <c r="E1483" s="9">
        <f ca="1">IF(AND(NEGOCIAÇÕES!O1483="",NEGOCIAÇÕES!N1483&lt;TODAY()),NEGOCIAÇÕES!N1483,"")</f>
        <v>0</v>
      </c>
    </row>
    <row r="1484" spans="2:5" ht="31.95" hidden="1" customHeight="1" x14ac:dyDescent="0.3">
      <c r="B1484" s="6" t="str">
        <f ca="1">IF(AND(NEGOCIAÇÕES!O1484="",NEGOCIAÇÕES!N1484&lt;TODAY()),NEGOCIAÇÕES!C1484,"")</f>
        <v/>
      </c>
      <c r="C1484" s="6">
        <f ca="1">IF(AND(NEGOCIAÇÕES!O1484="",NEGOCIAÇÕES!N1484&lt;TODAY()),NEGOCIAÇÕES!E1484,"")</f>
        <v>0</v>
      </c>
      <c r="D1484" s="6">
        <f ca="1">IF(AND(NEGOCIAÇÕES!O1484="",NEGOCIAÇÕES!N1484&lt;TODAY()),NEGOCIAÇÕES!D1484,"")</f>
        <v>0</v>
      </c>
      <c r="E1484" s="9">
        <f ca="1">IF(AND(NEGOCIAÇÕES!O1484="",NEGOCIAÇÕES!N1484&lt;TODAY()),NEGOCIAÇÕES!N1484,"")</f>
        <v>0</v>
      </c>
    </row>
    <row r="1485" spans="2:5" ht="31.95" hidden="1" customHeight="1" x14ac:dyDescent="0.3">
      <c r="B1485" s="6" t="str">
        <f ca="1">IF(AND(NEGOCIAÇÕES!O1485="",NEGOCIAÇÕES!N1485&lt;TODAY()),NEGOCIAÇÕES!C1485,"")</f>
        <v/>
      </c>
      <c r="C1485" s="6">
        <f ca="1">IF(AND(NEGOCIAÇÕES!O1485="",NEGOCIAÇÕES!N1485&lt;TODAY()),NEGOCIAÇÕES!E1485,"")</f>
        <v>0</v>
      </c>
      <c r="D1485" s="6">
        <f ca="1">IF(AND(NEGOCIAÇÕES!O1485="",NEGOCIAÇÕES!N1485&lt;TODAY()),NEGOCIAÇÕES!D1485,"")</f>
        <v>0</v>
      </c>
      <c r="E1485" s="9">
        <f ca="1">IF(AND(NEGOCIAÇÕES!O1485="",NEGOCIAÇÕES!N1485&lt;TODAY()),NEGOCIAÇÕES!N1485,"")</f>
        <v>0</v>
      </c>
    </row>
    <row r="1486" spans="2:5" ht="31.95" hidden="1" customHeight="1" x14ac:dyDescent="0.3">
      <c r="B1486" s="6" t="str">
        <f ca="1">IF(AND(NEGOCIAÇÕES!O1486="",NEGOCIAÇÕES!N1486&lt;TODAY()),NEGOCIAÇÕES!C1486,"")</f>
        <v/>
      </c>
      <c r="C1486" s="6">
        <f ca="1">IF(AND(NEGOCIAÇÕES!O1486="",NEGOCIAÇÕES!N1486&lt;TODAY()),NEGOCIAÇÕES!E1486,"")</f>
        <v>0</v>
      </c>
      <c r="D1486" s="6">
        <f ca="1">IF(AND(NEGOCIAÇÕES!O1486="",NEGOCIAÇÕES!N1486&lt;TODAY()),NEGOCIAÇÕES!D1486,"")</f>
        <v>0</v>
      </c>
      <c r="E1486" s="9">
        <f ca="1">IF(AND(NEGOCIAÇÕES!O1486="",NEGOCIAÇÕES!N1486&lt;TODAY()),NEGOCIAÇÕES!N1486,"")</f>
        <v>0</v>
      </c>
    </row>
    <row r="1487" spans="2:5" ht="31.95" hidden="1" customHeight="1" x14ac:dyDescent="0.3">
      <c r="B1487" s="6" t="str">
        <f ca="1">IF(AND(NEGOCIAÇÕES!O1487="",NEGOCIAÇÕES!N1487&lt;TODAY()),NEGOCIAÇÕES!C1487,"")</f>
        <v/>
      </c>
      <c r="C1487" s="6">
        <f ca="1">IF(AND(NEGOCIAÇÕES!O1487="",NEGOCIAÇÕES!N1487&lt;TODAY()),NEGOCIAÇÕES!E1487,"")</f>
        <v>0</v>
      </c>
      <c r="D1487" s="6">
        <f ca="1">IF(AND(NEGOCIAÇÕES!O1487="",NEGOCIAÇÕES!N1487&lt;TODAY()),NEGOCIAÇÕES!D1487,"")</f>
        <v>0</v>
      </c>
      <c r="E1487" s="9">
        <f ca="1">IF(AND(NEGOCIAÇÕES!O1487="",NEGOCIAÇÕES!N1487&lt;TODAY()),NEGOCIAÇÕES!N1487,"")</f>
        <v>0</v>
      </c>
    </row>
    <row r="1488" spans="2:5" ht="31.95" hidden="1" customHeight="1" x14ac:dyDescent="0.3">
      <c r="B1488" s="6" t="str">
        <f ca="1">IF(AND(NEGOCIAÇÕES!O1488="",NEGOCIAÇÕES!N1488&lt;TODAY()),NEGOCIAÇÕES!C1488,"")</f>
        <v/>
      </c>
      <c r="C1488" s="6">
        <f ca="1">IF(AND(NEGOCIAÇÕES!O1488="",NEGOCIAÇÕES!N1488&lt;TODAY()),NEGOCIAÇÕES!E1488,"")</f>
        <v>0</v>
      </c>
      <c r="D1488" s="6">
        <f ca="1">IF(AND(NEGOCIAÇÕES!O1488="",NEGOCIAÇÕES!N1488&lt;TODAY()),NEGOCIAÇÕES!D1488,"")</f>
        <v>0</v>
      </c>
      <c r="E1488" s="9">
        <f ca="1">IF(AND(NEGOCIAÇÕES!O1488="",NEGOCIAÇÕES!N1488&lt;TODAY()),NEGOCIAÇÕES!N1488,"")</f>
        <v>0</v>
      </c>
    </row>
    <row r="1489" spans="2:5" ht="31.95" hidden="1" customHeight="1" x14ac:dyDescent="0.3">
      <c r="B1489" s="6" t="str">
        <f ca="1">IF(AND(NEGOCIAÇÕES!O1489="",NEGOCIAÇÕES!N1489&lt;TODAY()),NEGOCIAÇÕES!C1489,"")</f>
        <v/>
      </c>
      <c r="C1489" s="6">
        <f ca="1">IF(AND(NEGOCIAÇÕES!O1489="",NEGOCIAÇÕES!N1489&lt;TODAY()),NEGOCIAÇÕES!E1489,"")</f>
        <v>0</v>
      </c>
      <c r="D1489" s="6">
        <f ca="1">IF(AND(NEGOCIAÇÕES!O1489="",NEGOCIAÇÕES!N1489&lt;TODAY()),NEGOCIAÇÕES!D1489,"")</f>
        <v>0</v>
      </c>
      <c r="E1489" s="9">
        <f ca="1">IF(AND(NEGOCIAÇÕES!O1489="",NEGOCIAÇÕES!N1489&lt;TODAY()),NEGOCIAÇÕES!N1489,"")</f>
        <v>0</v>
      </c>
    </row>
    <row r="1490" spans="2:5" ht="31.95" hidden="1" customHeight="1" x14ac:dyDescent="0.3">
      <c r="B1490" s="6" t="str">
        <f ca="1">IF(AND(NEGOCIAÇÕES!O1490="",NEGOCIAÇÕES!N1490&lt;TODAY()),NEGOCIAÇÕES!C1490,"")</f>
        <v/>
      </c>
      <c r="C1490" s="6">
        <f ca="1">IF(AND(NEGOCIAÇÕES!O1490="",NEGOCIAÇÕES!N1490&lt;TODAY()),NEGOCIAÇÕES!E1490,"")</f>
        <v>0</v>
      </c>
      <c r="D1490" s="6">
        <f ca="1">IF(AND(NEGOCIAÇÕES!O1490="",NEGOCIAÇÕES!N1490&lt;TODAY()),NEGOCIAÇÕES!D1490,"")</f>
        <v>0</v>
      </c>
      <c r="E1490" s="9">
        <f ca="1">IF(AND(NEGOCIAÇÕES!O1490="",NEGOCIAÇÕES!N1490&lt;TODAY()),NEGOCIAÇÕES!N1490,"")</f>
        <v>0</v>
      </c>
    </row>
    <row r="1491" spans="2:5" ht="31.95" hidden="1" customHeight="1" x14ac:dyDescent="0.3">
      <c r="B1491" s="6" t="str">
        <f ca="1">IF(AND(NEGOCIAÇÕES!O1491="",NEGOCIAÇÕES!N1491&lt;TODAY()),NEGOCIAÇÕES!C1491,"")</f>
        <v/>
      </c>
      <c r="C1491" s="6">
        <f ca="1">IF(AND(NEGOCIAÇÕES!O1491="",NEGOCIAÇÕES!N1491&lt;TODAY()),NEGOCIAÇÕES!E1491,"")</f>
        <v>0</v>
      </c>
      <c r="D1491" s="6">
        <f ca="1">IF(AND(NEGOCIAÇÕES!O1491="",NEGOCIAÇÕES!N1491&lt;TODAY()),NEGOCIAÇÕES!D1491,"")</f>
        <v>0</v>
      </c>
      <c r="E1491" s="9">
        <f ca="1">IF(AND(NEGOCIAÇÕES!O1491="",NEGOCIAÇÕES!N1491&lt;TODAY()),NEGOCIAÇÕES!N1491,"")</f>
        <v>0</v>
      </c>
    </row>
    <row r="1492" spans="2:5" ht="31.95" hidden="1" customHeight="1" x14ac:dyDescent="0.3">
      <c r="B1492" s="6" t="str">
        <f ca="1">IF(AND(NEGOCIAÇÕES!O1492="",NEGOCIAÇÕES!N1492&lt;TODAY()),NEGOCIAÇÕES!C1492,"")</f>
        <v/>
      </c>
      <c r="C1492" s="6">
        <f ca="1">IF(AND(NEGOCIAÇÕES!O1492="",NEGOCIAÇÕES!N1492&lt;TODAY()),NEGOCIAÇÕES!E1492,"")</f>
        <v>0</v>
      </c>
      <c r="D1492" s="6">
        <f ca="1">IF(AND(NEGOCIAÇÕES!O1492="",NEGOCIAÇÕES!N1492&lt;TODAY()),NEGOCIAÇÕES!D1492,"")</f>
        <v>0</v>
      </c>
      <c r="E1492" s="9">
        <f ca="1">IF(AND(NEGOCIAÇÕES!O1492="",NEGOCIAÇÕES!N1492&lt;TODAY()),NEGOCIAÇÕES!N1492,"")</f>
        <v>0</v>
      </c>
    </row>
    <row r="1493" spans="2:5" ht="31.95" hidden="1" customHeight="1" x14ac:dyDescent="0.3">
      <c r="B1493" s="6" t="str">
        <f ca="1">IF(AND(NEGOCIAÇÕES!O1493="",NEGOCIAÇÕES!N1493&lt;TODAY()),NEGOCIAÇÕES!C1493,"")</f>
        <v/>
      </c>
      <c r="C1493" s="6">
        <f ca="1">IF(AND(NEGOCIAÇÕES!O1493="",NEGOCIAÇÕES!N1493&lt;TODAY()),NEGOCIAÇÕES!E1493,"")</f>
        <v>0</v>
      </c>
      <c r="D1493" s="6">
        <f ca="1">IF(AND(NEGOCIAÇÕES!O1493="",NEGOCIAÇÕES!N1493&lt;TODAY()),NEGOCIAÇÕES!D1493,"")</f>
        <v>0</v>
      </c>
      <c r="E1493" s="9">
        <f ca="1">IF(AND(NEGOCIAÇÕES!O1493="",NEGOCIAÇÕES!N1493&lt;TODAY()),NEGOCIAÇÕES!N1493,"")</f>
        <v>0</v>
      </c>
    </row>
    <row r="1494" spans="2:5" ht="31.95" hidden="1" customHeight="1" x14ac:dyDescent="0.3">
      <c r="B1494" s="6" t="str">
        <f ca="1">IF(AND(NEGOCIAÇÕES!O1494="",NEGOCIAÇÕES!N1494&lt;TODAY()),NEGOCIAÇÕES!C1494,"")</f>
        <v/>
      </c>
      <c r="C1494" s="6">
        <f ca="1">IF(AND(NEGOCIAÇÕES!O1494="",NEGOCIAÇÕES!N1494&lt;TODAY()),NEGOCIAÇÕES!E1494,"")</f>
        <v>0</v>
      </c>
      <c r="D1494" s="6">
        <f ca="1">IF(AND(NEGOCIAÇÕES!O1494="",NEGOCIAÇÕES!N1494&lt;TODAY()),NEGOCIAÇÕES!D1494,"")</f>
        <v>0</v>
      </c>
      <c r="E1494" s="9">
        <f ca="1">IF(AND(NEGOCIAÇÕES!O1494="",NEGOCIAÇÕES!N1494&lt;TODAY()),NEGOCIAÇÕES!N1494,"")</f>
        <v>0</v>
      </c>
    </row>
    <row r="1495" spans="2:5" ht="31.95" hidden="1" customHeight="1" x14ac:dyDescent="0.3">
      <c r="B1495" s="6" t="str">
        <f ca="1">IF(AND(NEGOCIAÇÕES!O1495="",NEGOCIAÇÕES!N1495&lt;TODAY()),NEGOCIAÇÕES!C1495,"")</f>
        <v/>
      </c>
      <c r="C1495" s="6">
        <f ca="1">IF(AND(NEGOCIAÇÕES!O1495="",NEGOCIAÇÕES!N1495&lt;TODAY()),NEGOCIAÇÕES!E1495,"")</f>
        <v>0</v>
      </c>
      <c r="D1495" s="6">
        <f ca="1">IF(AND(NEGOCIAÇÕES!O1495="",NEGOCIAÇÕES!N1495&lt;TODAY()),NEGOCIAÇÕES!D1495,"")</f>
        <v>0</v>
      </c>
      <c r="E1495" s="9">
        <f ca="1">IF(AND(NEGOCIAÇÕES!O1495="",NEGOCIAÇÕES!N1495&lt;TODAY()),NEGOCIAÇÕES!N1495,"")</f>
        <v>0</v>
      </c>
    </row>
    <row r="1496" spans="2:5" ht="31.95" hidden="1" customHeight="1" x14ac:dyDescent="0.3">
      <c r="B1496" s="6" t="str">
        <f ca="1">IF(AND(NEGOCIAÇÕES!O1496="",NEGOCIAÇÕES!N1496&lt;TODAY()),NEGOCIAÇÕES!C1496,"")</f>
        <v/>
      </c>
      <c r="C1496" s="6">
        <f ca="1">IF(AND(NEGOCIAÇÕES!O1496="",NEGOCIAÇÕES!N1496&lt;TODAY()),NEGOCIAÇÕES!E1496,"")</f>
        <v>0</v>
      </c>
      <c r="D1496" s="6">
        <f ca="1">IF(AND(NEGOCIAÇÕES!O1496="",NEGOCIAÇÕES!N1496&lt;TODAY()),NEGOCIAÇÕES!D1496,"")</f>
        <v>0</v>
      </c>
      <c r="E1496" s="9">
        <f ca="1">IF(AND(NEGOCIAÇÕES!O1496="",NEGOCIAÇÕES!N1496&lt;TODAY()),NEGOCIAÇÕES!N1496,"")</f>
        <v>0</v>
      </c>
    </row>
    <row r="1497" spans="2:5" ht="31.95" hidden="1" customHeight="1" x14ac:dyDescent="0.3">
      <c r="B1497" s="6" t="str">
        <f ca="1">IF(AND(NEGOCIAÇÕES!O1497="",NEGOCIAÇÕES!N1497&lt;TODAY()),NEGOCIAÇÕES!C1497,"")</f>
        <v/>
      </c>
      <c r="C1497" s="6">
        <f ca="1">IF(AND(NEGOCIAÇÕES!O1497="",NEGOCIAÇÕES!N1497&lt;TODAY()),NEGOCIAÇÕES!E1497,"")</f>
        <v>0</v>
      </c>
      <c r="D1497" s="6">
        <f ca="1">IF(AND(NEGOCIAÇÕES!O1497="",NEGOCIAÇÕES!N1497&lt;TODAY()),NEGOCIAÇÕES!D1497,"")</f>
        <v>0</v>
      </c>
      <c r="E1497" s="9">
        <f ca="1">IF(AND(NEGOCIAÇÕES!O1497="",NEGOCIAÇÕES!N1497&lt;TODAY()),NEGOCIAÇÕES!N1497,"")</f>
        <v>0</v>
      </c>
    </row>
    <row r="1498" spans="2:5" ht="31.95" hidden="1" customHeight="1" x14ac:dyDescent="0.3">
      <c r="B1498" s="6" t="str">
        <f ca="1">IF(AND(NEGOCIAÇÕES!O1498="",NEGOCIAÇÕES!N1498&lt;TODAY()),NEGOCIAÇÕES!C1498,"")</f>
        <v/>
      </c>
      <c r="C1498" s="6">
        <f ca="1">IF(AND(NEGOCIAÇÕES!O1498="",NEGOCIAÇÕES!N1498&lt;TODAY()),NEGOCIAÇÕES!E1498,"")</f>
        <v>0</v>
      </c>
      <c r="D1498" s="6">
        <f ca="1">IF(AND(NEGOCIAÇÕES!O1498="",NEGOCIAÇÕES!N1498&lt;TODAY()),NEGOCIAÇÕES!D1498,"")</f>
        <v>0</v>
      </c>
      <c r="E1498" s="9">
        <f ca="1">IF(AND(NEGOCIAÇÕES!O1498="",NEGOCIAÇÕES!N1498&lt;TODAY()),NEGOCIAÇÕES!N1498,"")</f>
        <v>0</v>
      </c>
    </row>
    <row r="1499" spans="2:5" ht="31.95" hidden="1" customHeight="1" x14ac:dyDescent="0.3">
      <c r="B1499" s="6" t="str">
        <f ca="1">IF(AND(NEGOCIAÇÕES!O1499="",NEGOCIAÇÕES!N1499&lt;TODAY()),NEGOCIAÇÕES!C1499,"")</f>
        <v/>
      </c>
      <c r="C1499" s="6">
        <f ca="1">IF(AND(NEGOCIAÇÕES!O1499="",NEGOCIAÇÕES!N1499&lt;TODAY()),NEGOCIAÇÕES!E1499,"")</f>
        <v>0</v>
      </c>
      <c r="D1499" s="6">
        <f ca="1">IF(AND(NEGOCIAÇÕES!O1499="",NEGOCIAÇÕES!N1499&lt;TODAY()),NEGOCIAÇÕES!D1499,"")</f>
        <v>0</v>
      </c>
      <c r="E1499" s="9">
        <f ca="1">IF(AND(NEGOCIAÇÕES!O1499="",NEGOCIAÇÕES!N1499&lt;TODAY()),NEGOCIAÇÕES!N1499,"")</f>
        <v>0</v>
      </c>
    </row>
    <row r="1500" spans="2:5" ht="31.95" hidden="1" customHeight="1" x14ac:dyDescent="0.3">
      <c r="B1500" s="6" t="str">
        <f ca="1">IF(AND(NEGOCIAÇÕES!O1500="",NEGOCIAÇÕES!N1500&lt;TODAY()),NEGOCIAÇÕES!C1500,"")</f>
        <v/>
      </c>
      <c r="C1500" s="6">
        <f ca="1">IF(AND(NEGOCIAÇÕES!O1500="",NEGOCIAÇÕES!N1500&lt;TODAY()),NEGOCIAÇÕES!E1500,"")</f>
        <v>0</v>
      </c>
      <c r="D1500" s="6">
        <f ca="1">IF(AND(NEGOCIAÇÕES!O1500="",NEGOCIAÇÕES!N1500&lt;TODAY()),NEGOCIAÇÕES!D1500,"")</f>
        <v>0</v>
      </c>
      <c r="E1500" s="9">
        <f ca="1">IF(AND(NEGOCIAÇÕES!O1500="",NEGOCIAÇÕES!N1500&lt;TODAY()),NEGOCIAÇÕES!N1500,"")</f>
        <v>0</v>
      </c>
    </row>
    <row r="1501" spans="2:5" ht="31.95" hidden="1" customHeight="1" x14ac:dyDescent="0.3">
      <c r="B1501" s="6" t="str">
        <f ca="1">IF(AND(NEGOCIAÇÕES!O1501="",NEGOCIAÇÕES!N1501&lt;TODAY()),NEGOCIAÇÕES!C1501,"")</f>
        <v/>
      </c>
      <c r="C1501" s="6">
        <f ca="1">IF(AND(NEGOCIAÇÕES!O1501="",NEGOCIAÇÕES!N1501&lt;TODAY()),NEGOCIAÇÕES!E1501,"")</f>
        <v>0</v>
      </c>
      <c r="D1501" s="6">
        <f ca="1">IF(AND(NEGOCIAÇÕES!O1501="",NEGOCIAÇÕES!N1501&lt;TODAY()),NEGOCIAÇÕES!D1501,"")</f>
        <v>0</v>
      </c>
      <c r="E1501" s="9">
        <f ca="1">IF(AND(NEGOCIAÇÕES!O1501="",NEGOCIAÇÕES!N1501&lt;TODAY()),NEGOCIAÇÕES!N1501,"")</f>
        <v>0</v>
      </c>
    </row>
    <row r="1502" spans="2:5" ht="31.95" hidden="1" customHeight="1" x14ac:dyDescent="0.3">
      <c r="B1502" s="6" t="str">
        <f ca="1">IF(AND(NEGOCIAÇÕES!O1502="",NEGOCIAÇÕES!N1502&lt;TODAY()),NEGOCIAÇÕES!C1502,"")</f>
        <v/>
      </c>
      <c r="C1502" s="6">
        <f ca="1">IF(AND(NEGOCIAÇÕES!O1502="",NEGOCIAÇÕES!N1502&lt;TODAY()),NEGOCIAÇÕES!E1502,"")</f>
        <v>0</v>
      </c>
      <c r="D1502" s="6">
        <f ca="1">IF(AND(NEGOCIAÇÕES!O1502="",NEGOCIAÇÕES!N1502&lt;TODAY()),NEGOCIAÇÕES!D1502,"")</f>
        <v>0</v>
      </c>
      <c r="E1502" s="9">
        <f ca="1">IF(AND(NEGOCIAÇÕES!O1502="",NEGOCIAÇÕES!N1502&lt;TODAY()),NEGOCIAÇÕES!N1502,"")</f>
        <v>0</v>
      </c>
    </row>
    <row r="1503" spans="2:5" ht="31.95" hidden="1" customHeight="1" x14ac:dyDescent="0.3">
      <c r="B1503" s="6" t="str">
        <f ca="1">IF(AND(NEGOCIAÇÕES!O1503="",NEGOCIAÇÕES!N1503&lt;TODAY()),NEGOCIAÇÕES!C1503,"")</f>
        <v/>
      </c>
      <c r="C1503" s="6">
        <f ca="1">IF(AND(NEGOCIAÇÕES!O1503="",NEGOCIAÇÕES!N1503&lt;TODAY()),NEGOCIAÇÕES!E1503,"")</f>
        <v>0</v>
      </c>
      <c r="D1503" s="6">
        <f ca="1">IF(AND(NEGOCIAÇÕES!O1503="",NEGOCIAÇÕES!N1503&lt;TODAY()),NEGOCIAÇÕES!D1503,"")</f>
        <v>0</v>
      </c>
      <c r="E1503" s="9">
        <f ca="1">IF(AND(NEGOCIAÇÕES!O1503="",NEGOCIAÇÕES!N1503&lt;TODAY()),NEGOCIAÇÕES!N1503,"")</f>
        <v>0</v>
      </c>
    </row>
    <row r="1504" spans="2:5" ht="31.95" hidden="1" customHeight="1" x14ac:dyDescent="0.3">
      <c r="B1504" s="6" t="str">
        <f ca="1">IF(AND(NEGOCIAÇÕES!O1504="",NEGOCIAÇÕES!N1504&lt;TODAY()),NEGOCIAÇÕES!C1504,"")</f>
        <v/>
      </c>
      <c r="C1504" s="6">
        <f ca="1">IF(AND(NEGOCIAÇÕES!O1504="",NEGOCIAÇÕES!N1504&lt;TODAY()),NEGOCIAÇÕES!E1504,"")</f>
        <v>0</v>
      </c>
      <c r="D1504" s="6">
        <f ca="1">IF(AND(NEGOCIAÇÕES!O1504="",NEGOCIAÇÕES!N1504&lt;TODAY()),NEGOCIAÇÕES!D1504,"")</f>
        <v>0</v>
      </c>
      <c r="E1504" s="9">
        <f ca="1">IF(AND(NEGOCIAÇÕES!O1504="",NEGOCIAÇÕES!N1504&lt;TODAY()),NEGOCIAÇÕES!N1504,"")</f>
        <v>0</v>
      </c>
    </row>
    <row r="1505" spans="2:5" ht="31.95" hidden="1" customHeight="1" x14ac:dyDescent="0.3">
      <c r="B1505" s="6" t="str">
        <f ca="1">IF(AND(NEGOCIAÇÕES!O1505="",NEGOCIAÇÕES!N1505&lt;TODAY()),NEGOCIAÇÕES!C1505,"")</f>
        <v/>
      </c>
      <c r="C1505" s="6">
        <f ca="1">IF(AND(NEGOCIAÇÕES!O1505="",NEGOCIAÇÕES!N1505&lt;TODAY()),NEGOCIAÇÕES!E1505,"")</f>
        <v>0</v>
      </c>
      <c r="D1505" s="6">
        <f ca="1">IF(AND(NEGOCIAÇÕES!O1505="",NEGOCIAÇÕES!N1505&lt;TODAY()),NEGOCIAÇÕES!D1505,"")</f>
        <v>0</v>
      </c>
      <c r="E1505" s="9">
        <f ca="1">IF(AND(NEGOCIAÇÕES!O1505="",NEGOCIAÇÕES!N1505&lt;TODAY()),NEGOCIAÇÕES!N1505,"")</f>
        <v>0</v>
      </c>
    </row>
    <row r="1506" spans="2:5" ht="31.95" hidden="1" customHeight="1" x14ac:dyDescent="0.3">
      <c r="B1506" s="6" t="str">
        <f ca="1">IF(AND(NEGOCIAÇÕES!O1506="",NEGOCIAÇÕES!N1506&lt;TODAY()),NEGOCIAÇÕES!C1506,"")</f>
        <v/>
      </c>
      <c r="C1506" s="6">
        <f ca="1">IF(AND(NEGOCIAÇÕES!O1506="",NEGOCIAÇÕES!N1506&lt;TODAY()),NEGOCIAÇÕES!E1506,"")</f>
        <v>0</v>
      </c>
      <c r="D1506" s="6">
        <f ca="1">IF(AND(NEGOCIAÇÕES!O1506="",NEGOCIAÇÕES!N1506&lt;TODAY()),NEGOCIAÇÕES!D1506,"")</f>
        <v>0</v>
      </c>
      <c r="E1506" s="9">
        <f ca="1">IF(AND(NEGOCIAÇÕES!O1506="",NEGOCIAÇÕES!N1506&lt;TODAY()),NEGOCIAÇÕES!N1506,"")</f>
        <v>0</v>
      </c>
    </row>
    <row r="1507" spans="2:5" ht="31.95" hidden="1" customHeight="1" x14ac:dyDescent="0.3">
      <c r="B1507" s="6" t="str">
        <f ca="1">IF(AND(NEGOCIAÇÕES!O1507="",NEGOCIAÇÕES!N1507&lt;TODAY()),NEGOCIAÇÕES!C1507,"")</f>
        <v/>
      </c>
      <c r="C1507" s="6">
        <f ca="1">IF(AND(NEGOCIAÇÕES!O1507="",NEGOCIAÇÕES!N1507&lt;TODAY()),NEGOCIAÇÕES!E1507,"")</f>
        <v>0</v>
      </c>
      <c r="D1507" s="6">
        <f ca="1">IF(AND(NEGOCIAÇÕES!O1507="",NEGOCIAÇÕES!N1507&lt;TODAY()),NEGOCIAÇÕES!D1507,"")</f>
        <v>0</v>
      </c>
      <c r="E1507" s="9">
        <f ca="1">IF(AND(NEGOCIAÇÕES!O1507="",NEGOCIAÇÕES!N1507&lt;TODAY()),NEGOCIAÇÕES!N1507,"")</f>
        <v>0</v>
      </c>
    </row>
    <row r="1508" spans="2:5" ht="31.95" hidden="1" customHeight="1" x14ac:dyDescent="0.3">
      <c r="B1508" s="6" t="str">
        <f ca="1">IF(AND(NEGOCIAÇÕES!O1508="",NEGOCIAÇÕES!N1508&lt;TODAY()),NEGOCIAÇÕES!C1508,"")</f>
        <v/>
      </c>
      <c r="C1508" s="6">
        <f ca="1">IF(AND(NEGOCIAÇÕES!O1508="",NEGOCIAÇÕES!N1508&lt;TODAY()),NEGOCIAÇÕES!E1508,"")</f>
        <v>0</v>
      </c>
      <c r="D1508" s="6">
        <f ca="1">IF(AND(NEGOCIAÇÕES!O1508="",NEGOCIAÇÕES!N1508&lt;TODAY()),NEGOCIAÇÕES!D1508,"")</f>
        <v>0</v>
      </c>
      <c r="E1508" s="9">
        <f ca="1">IF(AND(NEGOCIAÇÕES!O1508="",NEGOCIAÇÕES!N1508&lt;TODAY()),NEGOCIAÇÕES!N1508,"")</f>
        <v>0</v>
      </c>
    </row>
    <row r="1509" spans="2:5" ht="31.95" hidden="1" customHeight="1" x14ac:dyDescent="0.3">
      <c r="B1509" s="6" t="str">
        <f ca="1">IF(AND(NEGOCIAÇÕES!O1509="",NEGOCIAÇÕES!N1509&lt;TODAY()),NEGOCIAÇÕES!C1509,"")</f>
        <v/>
      </c>
      <c r="C1509" s="6">
        <f ca="1">IF(AND(NEGOCIAÇÕES!O1509="",NEGOCIAÇÕES!N1509&lt;TODAY()),NEGOCIAÇÕES!E1509,"")</f>
        <v>0</v>
      </c>
      <c r="D1509" s="6">
        <f ca="1">IF(AND(NEGOCIAÇÕES!O1509="",NEGOCIAÇÕES!N1509&lt;TODAY()),NEGOCIAÇÕES!D1509,"")</f>
        <v>0</v>
      </c>
      <c r="E1509" s="9">
        <f ca="1">IF(AND(NEGOCIAÇÕES!O1509="",NEGOCIAÇÕES!N1509&lt;TODAY()),NEGOCIAÇÕES!N1509,"")</f>
        <v>0</v>
      </c>
    </row>
    <row r="1510" spans="2:5" ht="31.95" hidden="1" customHeight="1" x14ac:dyDescent="0.3">
      <c r="B1510" s="6" t="str">
        <f ca="1">IF(AND(NEGOCIAÇÕES!O1510="",NEGOCIAÇÕES!N1510&lt;TODAY()),NEGOCIAÇÕES!C1510,"")</f>
        <v/>
      </c>
      <c r="C1510" s="6">
        <f ca="1">IF(AND(NEGOCIAÇÕES!O1510="",NEGOCIAÇÕES!N1510&lt;TODAY()),NEGOCIAÇÕES!E1510,"")</f>
        <v>0</v>
      </c>
      <c r="D1510" s="6">
        <f ca="1">IF(AND(NEGOCIAÇÕES!O1510="",NEGOCIAÇÕES!N1510&lt;TODAY()),NEGOCIAÇÕES!D1510,"")</f>
        <v>0</v>
      </c>
      <c r="E1510" s="9">
        <f ca="1">IF(AND(NEGOCIAÇÕES!O1510="",NEGOCIAÇÕES!N1510&lt;TODAY()),NEGOCIAÇÕES!N1510,"")</f>
        <v>0</v>
      </c>
    </row>
    <row r="1511" spans="2:5" ht="31.95" hidden="1" customHeight="1" x14ac:dyDescent="0.3">
      <c r="B1511" s="6" t="str">
        <f ca="1">IF(AND(NEGOCIAÇÕES!O1511="",NEGOCIAÇÕES!N1511&lt;TODAY()),NEGOCIAÇÕES!C1511,"")</f>
        <v/>
      </c>
      <c r="C1511" s="6">
        <f ca="1">IF(AND(NEGOCIAÇÕES!O1511="",NEGOCIAÇÕES!N1511&lt;TODAY()),NEGOCIAÇÕES!E1511,"")</f>
        <v>0</v>
      </c>
      <c r="D1511" s="6">
        <f ca="1">IF(AND(NEGOCIAÇÕES!O1511="",NEGOCIAÇÕES!N1511&lt;TODAY()),NEGOCIAÇÕES!D1511,"")</f>
        <v>0</v>
      </c>
      <c r="E1511" s="9">
        <f ca="1">IF(AND(NEGOCIAÇÕES!O1511="",NEGOCIAÇÕES!N1511&lt;TODAY()),NEGOCIAÇÕES!N1511,"")</f>
        <v>0</v>
      </c>
    </row>
    <row r="1512" spans="2:5" ht="31.95" hidden="1" customHeight="1" x14ac:dyDescent="0.3">
      <c r="B1512" s="6" t="str">
        <f ca="1">IF(AND(NEGOCIAÇÕES!O1512="",NEGOCIAÇÕES!N1512&lt;TODAY()),NEGOCIAÇÕES!C1512,"")</f>
        <v/>
      </c>
      <c r="C1512" s="6">
        <f ca="1">IF(AND(NEGOCIAÇÕES!O1512="",NEGOCIAÇÕES!N1512&lt;TODAY()),NEGOCIAÇÕES!E1512,"")</f>
        <v>0</v>
      </c>
      <c r="D1512" s="6">
        <f ca="1">IF(AND(NEGOCIAÇÕES!O1512="",NEGOCIAÇÕES!N1512&lt;TODAY()),NEGOCIAÇÕES!D1512,"")</f>
        <v>0</v>
      </c>
      <c r="E1512" s="9">
        <f ca="1">IF(AND(NEGOCIAÇÕES!O1512="",NEGOCIAÇÕES!N1512&lt;TODAY()),NEGOCIAÇÕES!N1512,"")</f>
        <v>0</v>
      </c>
    </row>
    <row r="1513" spans="2:5" ht="31.95" hidden="1" customHeight="1" x14ac:dyDescent="0.3">
      <c r="B1513" s="6" t="str">
        <f ca="1">IF(AND(NEGOCIAÇÕES!O1513="",NEGOCIAÇÕES!N1513&lt;TODAY()),NEGOCIAÇÕES!C1513,"")</f>
        <v/>
      </c>
      <c r="C1513" s="6">
        <f ca="1">IF(AND(NEGOCIAÇÕES!O1513="",NEGOCIAÇÕES!N1513&lt;TODAY()),NEGOCIAÇÕES!E1513,"")</f>
        <v>0</v>
      </c>
      <c r="D1513" s="6">
        <f ca="1">IF(AND(NEGOCIAÇÕES!O1513="",NEGOCIAÇÕES!N1513&lt;TODAY()),NEGOCIAÇÕES!D1513,"")</f>
        <v>0</v>
      </c>
      <c r="E1513" s="9">
        <f ca="1">IF(AND(NEGOCIAÇÕES!O1513="",NEGOCIAÇÕES!N1513&lt;TODAY()),NEGOCIAÇÕES!N1513,"")</f>
        <v>0</v>
      </c>
    </row>
    <row r="1514" spans="2:5" ht="31.95" hidden="1" customHeight="1" x14ac:dyDescent="0.3">
      <c r="B1514" s="6" t="str">
        <f ca="1">IF(AND(NEGOCIAÇÕES!O1514="",NEGOCIAÇÕES!N1514&lt;TODAY()),NEGOCIAÇÕES!C1514,"")</f>
        <v/>
      </c>
      <c r="C1514" s="6">
        <f ca="1">IF(AND(NEGOCIAÇÕES!O1514="",NEGOCIAÇÕES!N1514&lt;TODAY()),NEGOCIAÇÕES!E1514,"")</f>
        <v>0</v>
      </c>
      <c r="D1514" s="6">
        <f ca="1">IF(AND(NEGOCIAÇÕES!O1514="",NEGOCIAÇÕES!N1514&lt;TODAY()),NEGOCIAÇÕES!D1514,"")</f>
        <v>0</v>
      </c>
      <c r="E1514" s="9">
        <f ca="1">IF(AND(NEGOCIAÇÕES!O1514="",NEGOCIAÇÕES!N1514&lt;TODAY()),NEGOCIAÇÕES!N1514,"")</f>
        <v>0</v>
      </c>
    </row>
    <row r="1515" spans="2:5" ht="31.95" hidden="1" customHeight="1" x14ac:dyDescent="0.3">
      <c r="B1515" s="6" t="str">
        <f ca="1">IF(AND(NEGOCIAÇÕES!O1515="",NEGOCIAÇÕES!N1515&lt;TODAY()),NEGOCIAÇÕES!C1515,"")</f>
        <v/>
      </c>
      <c r="C1515" s="6">
        <f ca="1">IF(AND(NEGOCIAÇÕES!O1515="",NEGOCIAÇÕES!N1515&lt;TODAY()),NEGOCIAÇÕES!E1515,"")</f>
        <v>0</v>
      </c>
      <c r="D1515" s="6">
        <f ca="1">IF(AND(NEGOCIAÇÕES!O1515="",NEGOCIAÇÕES!N1515&lt;TODAY()),NEGOCIAÇÕES!D1515,"")</f>
        <v>0</v>
      </c>
      <c r="E1515" s="9">
        <f ca="1">IF(AND(NEGOCIAÇÕES!O1515="",NEGOCIAÇÕES!N1515&lt;TODAY()),NEGOCIAÇÕES!N1515,"")</f>
        <v>0</v>
      </c>
    </row>
    <row r="1516" spans="2:5" ht="31.95" hidden="1" customHeight="1" x14ac:dyDescent="0.3">
      <c r="B1516" s="6" t="str">
        <f ca="1">IF(AND(NEGOCIAÇÕES!O1516="",NEGOCIAÇÕES!N1516&lt;TODAY()),NEGOCIAÇÕES!C1516,"")</f>
        <v/>
      </c>
      <c r="C1516" s="6">
        <f ca="1">IF(AND(NEGOCIAÇÕES!O1516="",NEGOCIAÇÕES!N1516&lt;TODAY()),NEGOCIAÇÕES!E1516,"")</f>
        <v>0</v>
      </c>
      <c r="D1516" s="6">
        <f ca="1">IF(AND(NEGOCIAÇÕES!O1516="",NEGOCIAÇÕES!N1516&lt;TODAY()),NEGOCIAÇÕES!D1516,"")</f>
        <v>0</v>
      </c>
      <c r="E1516" s="9">
        <f ca="1">IF(AND(NEGOCIAÇÕES!O1516="",NEGOCIAÇÕES!N1516&lt;TODAY()),NEGOCIAÇÕES!N1516,"")</f>
        <v>0</v>
      </c>
    </row>
    <row r="1517" spans="2:5" ht="31.95" hidden="1" customHeight="1" x14ac:dyDescent="0.3">
      <c r="B1517" s="6" t="str">
        <f ca="1">IF(AND(NEGOCIAÇÕES!O1517="",NEGOCIAÇÕES!N1517&lt;TODAY()),NEGOCIAÇÕES!C1517,"")</f>
        <v/>
      </c>
      <c r="C1517" s="6">
        <f ca="1">IF(AND(NEGOCIAÇÕES!O1517="",NEGOCIAÇÕES!N1517&lt;TODAY()),NEGOCIAÇÕES!E1517,"")</f>
        <v>0</v>
      </c>
      <c r="D1517" s="6">
        <f ca="1">IF(AND(NEGOCIAÇÕES!O1517="",NEGOCIAÇÕES!N1517&lt;TODAY()),NEGOCIAÇÕES!D1517,"")</f>
        <v>0</v>
      </c>
      <c r="E1517" s="9">
        <f ca="1">IF(AND(NEGOCIAÇÕES!O1517="",NEGOCIAÇÕES!N1517&lt;TODAY()),NEGOCIAÇÕES!N1517,"")</f>
        <v>0</v>
      </c>
    </row>
    <row r="1518" spans="2:5" ht="31.95" hidden="1" customHeight="1" x14ac:dyDescent="0.3">
      <c r="B1518" s="6" t="str">
        <f ca="1">IF(AND(NEGOCIAÇÕES!O1518="",NEGOCIAÇÕES!N1518&lt;TODAY()),NEGOCIAÇÕES!C1518,"")</f>
        <v/>
      </c>
      <c r="C1518" s="6">
        <f ca="1">IF(AND(NEGOCIAÇÕES!O1518="",NEGOCIAÇÕES!N1518&lt;TODAY()),NEGOCIAÇÕES!E1518,"")</f>
        <v>0</v>
      </c>
      <c r="D1518" s="6">
        <f ca="1">IF(AND(NEGOCIAÇÕES!O1518="",NEGOCIAÇÕES!N1518&lt;TODAY()),NEGOCIAÇÕES!D1518,"")</f>
        <v>0</v>
      </c>
      <c r="E1518" s="9">
        <f ca="1">IF(AND(NEGOCIAÇÕES!O1518="",NEGOCIAÇÕES!N1518&lt;TODAY()),NEGOCIAÇÕES!N1518,"")</f>
        <v>0</v>
      </c>
    </row>
    <row r="1519" spans="2:5" ht="31.95" hidden="1" customHeight="1" x14ac:dyDescent="0.3">
      <c r="B1519" s="6" t="str">
        <f ca="1">IF(AND(NEGOCIAÇÕES!O1519="",NEGOCIAÇÕES!N1519&lt;TODAY()),NEGOCIAÇÕES!C1519,"")</f>
        <v/>
      </c>
      <c r="C1519" s="6">
        <f ca="1">IF(AND(NEGOCIAÇÕES!O1519="",NEGOCIAÇÕES!N1519&lt;TODAY()),NEGOCIAÇÕES!E1519,"")</f>
        <v>0</v>
      </c>
      <c r="D1519" s="6">
        <f ca="1">IF(AND(NEGOCIAÇÕES!O1519="",NEGOCIAÇÕES!N1519&lt;TODAY()),NEGOCIAÇÕES!D1519,"")</f>
        <v>0</v>
      </c>
      <c r="E1519" s="9">
        <f ca="1">IF(AND(NEGOCIAÇÕES!O1519="",NEGOCIAÇÕES!N1519&lt;TODAY()),NEGOCIAÇÕES!N1519,"")</f>
        <v>0</v>
      </c>
    </row>
    <row r="1520" spans="2:5" ht="31.95" hidden="1" customHeight="1" x14ac:dyDescent="0.3">
      <c r="B1520" s="6" t="str">
        <f ca="1">IF(AND(NEGOCIAÇÕES!O1520="",NEGOCIAÇÕES!N1520&lt;TODAY()),NEGOCIAÇÕES!C1520,"")</f>
        <v/>
      </c>
      <c r="C1520" s="6">
        <f ca="1">IF(AND(NEGOCIAÇÕES!O1520="",NEGOCIAÇÕES!N1520&lt;TODAY()),NEGOCIAÇÕES!E1520,"")</f>
        <v>0</v>
      </c>
      <c r="D1520" s="6">
        <f ca="1">IF(AND(NEGOCIAÇÕES!O1520="",NEGOCIAÇÕES!N1520&lt;TODAY()),NEGOCIAÇÕES!D1520,"")</f>
        <v>0</v>
      </c>
      <c r="E1520" s="9">
        <f ca="1">IF(AND(NEGOCIAÇÕES!O1520="",NEGOCIAÇÕES!N1520&lt;TODAY()),NEGOCIAÇÕES!N1520,"")</f>
        <v>0</v>
      </c>
    </row>
    <row r="1521" spans="2:5" ht="31.95" hidden="1" customHeight="1" x14ac:dyDescent="0.3">
      <c r="B1521" s="6" t="str">
        <f ca="1">IF(AND(NEGOCIAÇÕES!O1521="",NEGOCIAÇÕES!N1521&lt;TODAY()),NEGOCIAÇÕES!C1521,"")</f>
        <v/>
      </c>
      <c r="C1521" s="6">
        <f ca="1">IF(AND(NEGOCIAÇÕES!O1521="",NEGOCIAÇÕES!N1521&lt;TODAY()),NEGOCIAÇÕES!E1521,"")</f>
        <v>0</v>
      </c>
      <c r="D1521" s="6">
        <f ca="1">IF(AND(NEGOCIAÇÕES!O1521="",NEGOCIAÇÕES!N1521&lt;TODAY()),NEGOCIAÇÕES!D1521,"")</f>
        <v>0</v>
      </c>
      <c r="E1521" s="9">
        <f ca="1">IF(AND(NEGOCIAÇÕES!O1521="",NEGOCIAÇÕES!N1521&lt;TODAY()),NEGOCIAÇÕES!N1521,"")</f>
        <v>0</v>
      </c>
    </row>
    <row r="1522" spans="2:5" ht="31.95" hidden="1" customHeight="1" x14ac:dyDescent="0.3">
      <c r="B1522" s="6" t="str">
        <f ca="1">IF(AND(NEGOCIAÇÕES!O1522="",NEGOCIAÇÕES!N1522&lt;TODAY()),NEGOCIAÇÕES!C1522,"")</f>
        <v/>
      </c>
      <c r="C1522" s="6">
        <f ca="1">IF(AND(NEGOCIAÇÕES!O1522="",NEGOCIAÇÕES!N1522&lt;TODAY()),NEGOCIAÇÕES!E1522,"")</f>
        <v>0</v>
      </c>
      <c r="D1522" s="6">
        <f ca="1">IF(AND(NEGOCIAÇÕES!O1522="",NEGOCIAÇÕES!N1522&lt;TODAY()),NEGOCIAÇÕES!D1522,"")</f>
        <v>0</v>
      </c>
      <c r="E1522" s="9">
        <f ca="1">IF(AND(NEGOCIAÇÕES!O1522="",NEGOCIAÇÕES!N1522&lt;TODAY()),NEGOCIAÇÕES!N1522,"")</f>
        <v>0</v>
      </c>
    </row>
    <row r="1523" spans="2:5" ht="31.95" hidden="1" customHeight="1" x14ac:dyDescent="0.3">
      <c r="B1523" s="6" t="str">
        <f ca="1">IF(AND(NEGOCIAÇÕES!O1523="",NEGOCIAÇÕES!N1523&lt;TODAY()),NEGOCIAÇÕES!C1523,"")</f>
        <v/>
      </c>
      <c r="C1523" s="6">
        <f ca="1">IF(AND(NEGOCIAÇÕES!O1523="",NEGOCIAÇÕES!N1523&lt;TODAY()),NEGOCIAÇÕES!E1523,"")</f>
        <v>0</v>
      </c>
      <c r="D1523" s="6">
        <f ca="1">IF(AND(NEGOCIAÇÕES!O1523="",NEGOCIAÇÕES!N1523&lt;TODAY()),NEGOCIAÇÕES!D1523,"")</f>
        <v>0</v>
      </c>
      <c r="E1523" s="9">
        <f ca="1">IF(AND(NEGOCIAÇÕES!O1523="",NEGOCIAÇÕES!N1523&lt;TODAY()),NEGOCIAÇÕES!N1523,"")</f>
        <v>0</v>
      </c>
    </row>
    <row r="1524" spans="2:5" ht="31.95" hidden="1" customHeight="1" x14ac:dyDescent="0.3">
      <c r="B1524" s="6" t="str">
        <f ca="1">IF(AND(NEGOCIAÇÕES!O1524="",NEGOCIAÇÕES!N1524&lt;TODAY()),NEGOCIAÇÕES!C1524,"")</f>
        <v/>
      </c>
      <c r="C1524" s="6">
        <f ca="1">IF(AND(NEGOCIAÇÕES!O1524="",NEGOCIAÇÕES!N1524&lt;TODAY()),NEGOCIAÇÕES!E1524,"")</f>
        <v>0</v>
      </c>
      <c r="D1524" s="6">
        <f ca="1">IF(AND(NEGOCIAÇÕES!O1524="",NEGOCIAÇÕES!N1524&lt;TODAY()),NEGOCIAÇÕES!D1524,"")</f>
        <v>0</v>
      </c>
      <c r="E1524" s="9">
        <f ca="1">IF(AND(NEGOCIAÇÕES!O1524="",NEGOCIAÇÕES!N1524&lt;TODAY()),NEGOCIAÇÕES!N1524,"")</f>
        <v>0</v>
      </c>
    </row>
    <row r="1525" spans="2:5" ht="31.95" hidden="1" customHeight="1" x14ac:dyDescent="0.3">
      <c r="B1525" s="6" t="str">
        <f ca="1">IF(AND(NEGOCIAÇÕES!O1525="",NEGOCIAÇÕES!N1525&lt;TODAY()),NEGOCIAÇÕES!C1525,"")</f>
        <v/>
      </c>
      <c r="C1525" s="6">
        <f ca="1">IF(AND(NEGOCIAÇÕES!O1525="",NEGOCIAÇÕES!N1525&lt;TODAY()),NEGOCIAÇÕES!E1525,"")</f>
        <v>0</v>
      </c>
      <c r="D1525" s="6">
        <f ca="1">IF(AND(NEGOCIAÇÕES!O1525="",NEGOCIAÇÕES!N1525&lt;TODAY()),NEGOCIAÇÕES!D1525,"")</f>
        <v>0</v>
      </c>
      <c r="E1525" s="9">
        <f ca="1">IF(AND(NEGOCIAÇÕES!O1525="",NEGOCIAÇÕES!N1525&lt;TODAY()),NEGOCIAÇÕES!N1525,"")</f>
        <v>0</v>
      </c>
    </row>
    <row r="1526" spans="2:5" ht="31.95" hidden="1" customHeight="1" x14ac:dyDescent="0.3">
      <c r="B1526" s="6" t="str">
        <f ca="1">IF(AND(NEGOCIAÇÕES!O1526="",NEGOCIAÇÕES!N1526&lt;TODAY()),NEGOCIAÇÕES!C1526,"")</f>
        <v/>
      </c>
      <c r="C1526" s="6">
        <f ca="1">IF(AND(NEGOCIAÇÕES!O1526="",NEGOCIAÇÕES!N1526&lt;TODAY()),NEGOCIAÇÕES!E1526,"")</f>
        <v>0</v>
      </c>
      <c r="D1526" s="6">
        <f ca="1">IF(AND(NEGOCIAÇÕES!O1526="",NEGOCIAÇÕES!N1526&lt;TODAY()),NEGOCIAÇÕES!D1526,"")</f>
        <v>0</v>
      </c>
      <c r="E1526" s="9">
        <f ca="1">IF(AND(NEGOCIAÇÕES!O1526="",NEGOCIAÇÕES!N1526&lt;TODAY()),NEGOCIAÇÕES!N1526,"")</f>
        <v>0</v>
      </c>
    </row>
    <row r="1527" spans="2:5" ht="31.95" hidden="1" customHeight="1" x14ac:dyDescent="0.3">
      <c r="B1527" s="6" t="str">
        <f ca="1">IF(AND(NEGOCIAÇÕES!O1527="",NEGOCIAÇÕES!N1527&lt;TODAY()),NEGOCIAÇÕES!C1527,"")</f>
        <v/>
      </c>
      <c r="C1527" s="6">
        <f ca="1">IF(AND(NEGOCIAÇÕES!O1527="",NEGOCIAÇÕES!N1527&lt;TODAY()),NEGOCIAÇÕES!E1527,"")</f>
        <v>0</v>
      </c>
      <c r="D1527" s="6">
        <f ca="1">IF(AND(NEGOCIAÇÕES!O1527="",NEGOCIAÇÕES!N1527&lt;TODAY()),NEGOCIAÇÕES!D1527,"")</f>
        <v>0</v>
      </c>
      <c r="E1527" s="9">
        <f ca="1">IF(AND(NEGOCIAÇÕES!O1527="",NEGOCIAÇÕES!N1527&lt;TODAY()),NEGOCIAÇÕES!N1527,"")</f>
        <v>0</v>
      </c>
    </row>
    <row r="1528" spans="2:5" ht="31.95" hidden="1" customHeight="1" x14ac:dyDescent="0.3">
      <c r="B1528" s="6" t="str">
        <f ca="1">IF(AND(NEGOCIAÇÕES!O1528="",NEGOCIAÇÕES!N1528&lt;TODAY()),NEGOCIAÇÕES!C1528,"")</f>
        <v/>
      </c>
      <c r="C1528" s="6">
        <f ca="1">IF(AND(NEGOCIAÇÕES!O1528="",NEGOCIAÇÕES!N1528&lt;TODAY()),NEGOCIAÇÕES!E1528,"")</f>
        <v>0</v>
      </c>
      <c r="D1528" s="6">
        <f ca="1">IF(AND(NEGOCIAÇÕES!O1528="",NEGOCIAÇÕES!N1528&lt;TODAY()),NEGOCIAÇÕES!D1528,"")</f>
        <v>0</v>
      </c>
      <c r="E1528" s="9">
        <f ca="1">IF(AND(NEGOCIAÇÕES!O1528="",NEGOCIAÇÕES!N1528&lt;TODAY()),NEGOCIAÇÕES!N1528,"")</f>
        <v>0</v>
      </c>
    </row>
    <row r="1529" spans="2:5" ht="31.95" hidden="1" customHeight="1" x14ac:dyDescent="0.3">
      <c r="B1529" s="6" t="str">
        <f ca="1">IF(AND(NEGOCIAÇÕES!O1529="",NEGOCIAÇÕES!N1529&lt;TODAY()),NEGOCIAÇÕES!C1529,"")</f>
        <v/>
      </c>
      <c r="C1529" s="6">
        <f ca="1">IF(AND(NEGOCIAÇÕES!O1529="",NEGOCIAÇÕES!N1529&lt;TODAY()),NEGOCIAÇÕES!E1529,"")</f>
        <v>0</v>
      </c>
      <c r="D1529" s="6">
        <f ca="1">IF(AND(NEGOCIAÇÕES!O1529="",NEGOCIAÇÕES!N1529&lt;TODAY()),NEGOCIAÇÕES!D1529,"")</f>
        <v>0</v>
      </c>
      <c r="E1529" s="9">
        <f ca="1">IF(AND(NEGOCIAÇÕES!O1529="",NEGOCIAÇÕES!N1529&lt;TODAY()),NEGOCIAÇÕES!N1529,"")</f>
        <v>0</v>
      </c>
    </row>
    <row r="1530" spans="2:5" ht="31.95" hidden="1" customHeight="1" x14ac:dyDescent="0.3">
      <c r="B1530" s="6" t="str">
        <f ca="1">IF(AND(NEGOCIAÇÕES!O1530="",NEGOCIAÇÕES!N1530&lt;TODAY()),NEGOCIAÇÕES!C1530,"")</f>
        <v/>
      </c>
      <c r="C1530" s="6">
        <f ca="1">IF(AND(NEGOCIAÇÕES!O1530="",NEGOCIAÇÕES!N1530&lt;TODAY()),NEGOCIAÇÕES!E1530,"")</f>
        <v>0</v>
      </c>
      <c r="D1530" s="6">
        <f ca="1">IF(AND(NEGOCIAÇÕES!O1530="",NEGOCIAÇÕES!N1530&lt;TODAY()),NEGOCIAÇÕES!D1530,"")</f>
        <v>0</v>
      </c>
      <c r="E1530" s="9">
        <f ca="1">IF(AND(NEGOCIAÇÕES!O1530="",NEGOCIAÇÕES!N1530&lt;TODAY()),NEGOCIAÇÕES!N1530,"")</f>
        <v>0</v>
      </c>
    </row>
    <row r="1531" spans="2:5" ht="31.95" hidden="1" customHeight="1" x14ac:dyDescent="0.3">
      <c r="B1531" s="6" t="str">
        <f ca="1">IF(AND(NEGOCIAÇÕES!O1531="",NEGOCIAÇÕES!N1531&lt;TODAY()),NEGOCIAÇÕES!C1531,"")</f>
        <v/>
      </c>
      <c r="C1531" s="6">
        <f ca="1">IF(AND(NEGOCIAÇÕES!O1531="",NEGOCIAÇÕES!N1531&lt;TODAY()),NEGOCIAÇÕES!E1531,"")</f>
        <v>0</v>
      </c>
      <c r="D1531" s="6">
        <f ca="1">IF(AND(NEGOCIAÇÕES!O1531="",NEGOCIAÇÕES!N1531&lt;TODAY()),NEGOCIAÇÕES!D1531,"")</f>
        <v>0</v>
      </c>
      <c r="E1531" s="9">
        <f ca="1">IF(AND(NEGOCIAÇÕES!O1531="",NEGOCIAÇÕES!N1531&lt;TODAY()),NEGOCIAÇÕES!N1531,"")</f>
        <v>0</v>
      </c>
    </row>
    <row r="1532" spans="2:5" ht="31.95" hidden="1" customHeight="1" x14ac:dyDescent="0.3">
      <c r="B1532" s="6" t="str">
        <f ca="1">IF(AND(NEGOCIAÇÕES!O1532="",NEGOCIAÇÕES!N1532&lt;TODAY()),NEGOCIAÇÕES!C1532,"")</f>
        <v/>
      </c>
      <c r="C1532" s="6">
        <f ca="1">IF(AND(NEGOCIAÇÕES!O1532="",NEGOCIAÇÕES!N1532&lt;TODAY()),NEGOCIAÇÕES!E1532,"")</f>
        <v>0</v>
      </c>
      <c r="D1532" s="6">
        <f ca="1">IF(AND(NEGOCIAÇÕES!O1532="",NEGOCIAÇÕES!N1532&lt;TODAY()),NEGOCIAÇÕES!D1532,"")</f>
        <v>0</v>
      </c>
      <c r="E1532" s="9">
        <f ca="1">IF(AND(NEGOCIAÇÕES!O1532="",NEGOCIAÇÕES!N1532&lt;TODAY()),NEGOCIAÇÕES!N1532,"")</f>
        <v>0</v>
      </c>
    </row>
    <row r="1533" spans="2:5" ht="31.95" hidden="1" customHeight="1" x14ac:dyDescent="0.3">
      <c r="B1533" s="6" t="str">
        <f ca="1">IF(AND(NEGOCIAÇÕES!O1533="",NEGOCIAÇÕES!N1533&lt;TODAY()),NEGOCIAÇÕES!C1533,"")</f>
        <v/>
      </c>
      <c r="C1533" s="6">
        <f ca="1">IF(AND(NEGOCIAÇÕES!O1533="",NEGOCIAÇÕES!N1533&lt;TODAY()),NEGOCIAÇÕES!E1533,"")</f>
        <v>0</v>
      </c>
      <c r="D1533" s="6">
        <f ca="1">IF(AND(NEGOCIAÇÕES!O1533="",NEGOCIAÇÕES!N1533&lt;TODAY()),NEGOCIAÇÕES!D1533,"")</f>
        <v>0</v>
      </c>
      <c r="E1533" s="9">
        <f ca="1">IF(AND(NEGOCIAÇÕES!O1533="",NEGOCIAÇÕES!N1533&lt;TODAY()),NEGOCIAÇÕES!N1533,"")</f>
        <v>0</v>
      </c>
    </row>
    <row r="1534" spans="2:5" ht="31.95" hidden="1" customHeight="1" x14ac:dyDescent="0.3">
      <c r="B1534" s="6" t="str">
        <f ca="1">IF(AND(NEGOCIAÇÕES!O1534="",NEGOCIAÇÕES!N1534&lt;TODAY()),NEGOCIAÇÕES!C1534,"")</f>
        <v/>
      </c>
      <c r="C1534" s="6">
        <f ca="1">IF(AND(NEGOCIAÇÕES!O1534="",NEGOCIAÇÕES!N1534&lt;TODAY()),NEGOCIAÇÕES!E1534,"")</f>
        <v>0</v>
      </c>
      <c r="D1534" s="6">
        <f ca="1">IF(AND(NEGOCIAÇÕES!O1534="",NEGOCIAÇÕES!N1534&lt;TODAY()),NEGOCIAÇÕES!D1534,"")</f>
        <v>0</v>
      </c>
      <c r="E1534" s="9">
        <f ca="1">IF(AND(NEGOCIAÇÕES!O1534="",NEGOCIAÇÕES!N1534&lt;TODAY()),NEGOCIAÇÕES!N1534,"")</f>
        <v>0</v>
      </c>
    </row>
    <row r="1535" spans="2:5" ht="31.95" hidden="1" customHeight="1" x14ac:dyDescent="0.3">
      <c r="B1535" s="6" t="str">
        <f ca="1">IF(AND(NEGOCIAÇÕES!O1535="",NEGOCIAÇÕES!N1535&lt;TODAY()),NEGOCIAÇÕES!C1535,"")</f>
        <v/>
      </c>
      <c r="C1535" s="6">
        <f ca="1">IF(AND(NEGOCIAÇÕES!O1535="",NEGOCIAÇÕES!N1535&lt;TODAY()),NEGOCIAÇÕES!E1535,"")</f>
        <v>0</v>
      </c>
      <c r="D1535" s="6">
        <f ca="1">IF(AND(NEGOCIAÇÕES!O1535="",NEGOCIAÇÕES!N1535&lt;TODAY()),NEGOCIAÇÕES!D1535,"")</f>
        <v>0</v>
      </c>
      <c r="E1535" s="9">
        <f ca="1">IF(AND(NEGOCIAÇÕES!O1535="",NEGOCIAÇÕES!N1535&lt;TODAY()),NEGOCIAÇÕES!N1535,"")</f>
        <v>0</v>
      </c>
    </row>
    <row r="1536" spans="2:5" ht="31.95" hidden="1" customHeight="1" x14ac:dyDescent="0.3">
      <c r="B1536" s="6" t="str">
        <f ca="1">IF(AND(NEGOCIAÇÕES!O1536="",NEGOCIAÇÕES!N1536&lt;TODAY()),NEGOCIAÇÕES!C1536,"")</f>
        <v/>
      </c>
      <c r="C1536" s="6">
        <f ca="1">IF(AND(NEGOCIAÇÕES!O1536="",NEGOCIAÇÕES!N1536&lt;TODAY()),NEGOCIAÇÕES!E1536,"")</f>
        <v>0</v>
      </c>
      <c r="D1536" s="6">
        <f ca="1">IF(AND(NEGOCIAÇÕES!O1536="",NEGOCIAÇÕES!N1536&lt;TODAY()),NEGOCIAÇÕES!D1536,"")</f>
        <v>0</v>
      </c>
      <c r="E1536" s="9">
        <f ca="1">IF(AND(NEGOCIAÇÕES!O1536="",NEGOCIAÇÕES!N1536&lt;TODAY()),NEGOCIAÇÕES!N1536,"")</f>
        <v>0</v>
      </c>
    </row>
    <row r="1537" spans="2:5" ht="31.95" hidden="1" customHeight="1" x14ac:dyDescent="0.3">
      <c r="B1537" s="6" t="str">
        <f ca="1">IF(AND(NEGOCIAÇÕES!O1537="",NEGOCIAÇÕES!N1537&lt;TODAY()),NEGOCIAÇÕES!C1537,"")</f>
        <v/>
      </c>
      <c r="C1537" s="6">
        <f ca="1">IF(AND(NEGOCIAÇÕES!O1537="",NEGOCIAÇÕES!N1537&lt;TODAY()),NEGOCIAÇÕES!E1537,"")</f>
        <v>0</v>
      </c>
      <c r="D1537" s="6">
        <f ca="1">IF(AND(NEGOCIAÇÕES!O1537="",NEGOCIAÇÕES!N1537&lt;TODAY()),NEGOCIAÇÕES!D1537,"")</f>
        <v>0</v>
      </c>
      <c r="E1537" s="9">
        <f ca="1">IF(AND(NEGOCIAÇÕES!O1537="",NEGOCIAÇÕES!N1537&lt;TODAY()),NEGOCIAÇÕES!N1537,"")</f>
        <v>0</v>
      </c>
    </row>
    <row r="1538" spans="2:5" ht="31.95" hidden="1" customHeight="1" x14ac:dyDescent="0.3">
      <c r="B1538" s="6" t="str">
        <f ca="1">IF(AND(NEGOCIAÇÕES!O1538="",NEGOCIAÇÕES!N1538&lt;TODAY()),NEGOCIAÇÕES!C1538,"")</f>
        <v/>
      </c>
      <c r="C1538" s="6">
        <f ca="1">IF(AND(NEGOCIAÇÕES!O1538="",NEGOCIAÇÕES!N1538&lt;TODAY()),NEGOCIAÇÕES!E1538,"")</f>
        <v>0</v>
      </c>
      <c r="D1538" s="6">
        <f ca="1">IF(AND(NEGOCIAÇÕES!O1538="",NEGOCIAÇÕES!N1538&lt;TODAY()),NEGOCIAÇÕES!D1538,"")</f>
        <v>0</v>
      </c>
      <c r="E1538" s="9">
        <f ca="1">IF(AND(NEGOCIAÇÕES!O1538="",NEGOCIAÇÕES!N1538&lt;TODAY()),NEGOCIAÇÕES!N1538,"")</f>
        <v>0</v>
      </c>
    </row>
    <row r="1539" spans="2:5" ht="31.95" hidden="1" customHeight="1" x14ac:dyDescent="0.3">
      <c r="B1539" s="6" t="str">
        <f ca="1">IF(AND(NEGOCIAÇÕES!O1539="",NEGOCIAÇÕES!N1539&lt;TODAY()),NEGOCIAÇÕES!C1539,"")</f>
        <v/>
      </c>
      <c r="C1539" s="6">
        <f ca="1">IF(AND(NEGOCIAÇÕES!O1539="",NEGOCIAÇÕES!N1539&lt;TODAY()),NEGOCIAÇÕES!E1539,"")</f>
        <v>0</v>
      </c>
      <c r="D1539" s="6">
        <f ca="1">IF(AND(NEGOCIAÇÕES!O1539="",NEGOCIAÇÕES!N1539&lt;TODAY()),NEGOCIAÇÕES!D1539,"")</f>
        <v>0</v>
      </c>
      <c r="E1539" s="9">
        <f ca="1">IF(AND(NEGOCIAÇÕES!O1539="",NEGOCIAÇÕES!N1539&lt;TODAY()),NEGOCIAÇÕES!N1539,"")</f>
        <v>0</v>
      </c>
    </row>
    <row r="1540" spans="2:5" ht="31.95" hidden="1" customHeight="1" x14ac:dyDescent="0.3">
      <c r="B1540" s="6" t="str">
        <f ca="1">IF(AND(NEGOCIAÇÕES!O1540="",NEGOCIAÇÕES!N1540&lt;TODAY()),NEGOCIAÇÕES!C1540,"")</f>
        <v/>
      </c>
      <c r="C1540" s="6">
        <f ca="1">IF(AND(NEGOCIAÇÕES!O1540="",NEGOCIAÇÕES!N1540&lt;TODAY()),NEGOCIAÇÕES!E1540,"")</f>
        <v>0</v>
      </c>
      <c r="D1540" s="6">
        <f ca="1">IF(AND(NEGOCIAÇÕES!O1540="",NEGOCIAÇÕES!N1540&lt;TODAY()),NEGOCIAÇÕES!D1540,"")</f>
        <v>0</v>
      </c>
      <c r="E1540" s="9">
        <f ca="1">IF(AND(NEGOCIAÇÕES!O1540="",NEGOCIAÇÕES!N1540&lt;TODAY()),NEGOCIAÇÕES!N1540,"")</f>
        <v>0</v>
      </c>
    </row>
    <row r="1541" spans="2:5" ht="31.95" hidden="1" customHeight="1" x14ac:dyDescent="0.3">
      <c r="B1541" s="6" t="str">
        <f ca="1">IF(AND(NEGOCIAÇÕES!O1541="",NEGOCIAÇÕES!N1541&lt;TODAY()),NEGOCIAÇÕES!C1541,"")</f>
        <v/>
      </c>
      <c r="C1541" s="6">
        <f ca="1">IF(AND(NEGOCIAÇÕES!O1541="",NEGOCIAÇÕES!N1541&lt;TODAY()),NEGOCIAÇÕES!E1541,"")</f>
        <v>0</v>
      </c>
      <c r="D1541" s="6">
        <f ca="1">IF(AND(NEGOCIAÇÕES!O1541="",NEGOCIAÇÕES!N1541&lt;TODAY()),NEGOCIAÇÕES!D1541,"")</f>
        <v>0</v>
      </c>
      <c r="E1541" s="9">
        <f ca="1">IF(AND(NEGOCIAÇÕES!O1541="",NEGOCIAÇÕES!N1541&lt;TODAY()),NEGOCIAÇÕES!N1541,"")</f>
        <v>0</v>
      </c>
    </row>
    <row r="1542" spans="2:5" ht="31.95" hidden="1" customHeight="1" x14ac:dyDescent="0.3">
      <c r="B1542" s="6" t="str">
        <f ca="1">IF(AND(NEGOCIAÇÕES!O1542="",NEGOCIAÇÕES!N1542&lt;TODAY()),NEGOCIAÇÕES!C1542,"")</f>
        <v/>
      </c>
      <c r="C1542" s="6">
        <f ca="1">IF(AND(NEGOCIAÇÕES!O1542="",NEGOCIAÇÕES!N1542&lt;TODAY()),NEGOCIAÇÕES!E1542,"")</f>
        <v>0</v>
      </c>
      <c r="D1542" s="6">
        <f ca="1">IF(AND(NEGOCIAÇÕES!O1542="",NEGOCIAÇÕES!N1542&lt;TODAY()),NEGOCIAÇÕES!D1542,"")</f>
        <v>0</v>
      </c>
      <c r="E1542" s="9">
        <f ca="1">IF(AND(NEGOCIAÇÕES!O1542="",NEGOCIAÇÕES!N1542&lt;TODAY()),NEGOCIAÇÕES!N1542,"")</f>
        <v>0</v>
      </c>
    </row>
    <row r="1543" spans="2:5" ht="31.95" hidden="1" customHeight="1" x14ac:dyDescent="0.3">
      <c r="B1543" s="6" t="str">
        <f ca="1">IF(AND(NEGOCIAÇÕES!O1543="",NEGOCIAÇÕES!N1543&lt;TODAY()),NEGOCIAÇÕES!C1543,"")</f>
        <v/>
      </c>
      <c r="C1543" s="6">
        <f ca="1">IF(AND(NEGOCIAÇÕES!O1543="",NEGOCIAÇÕES!N1543&lt;TODAY()),NEGOCIAÇÕES!E1543,"")</f>
        <v>0</v>
      </c>
      <c r="D1543" s="6">
        <f ca="1">IF(AND(NEGOCIAÇÕES!O1543="",NEGOCIAÇÕES!N1543&lt;TODAY()),NEGOCIAÇÕES!D1543,"")</f>
        <v>0</v>
      </c>
      <c r="E1543" s="9">
        <f ca="1">IF(AND(NEGOCIAÇÕES!O1543="",NEGOCIAÇÕES!N1543&lt;TODAY()),NEGOCIAÇÕES!N1543,"")</f>
        <v>0</v>
      </c>
    </row>
    <row r="1544" spans="2:5" ht="31.95" hidden="1" customHeight="1" x14ac:dyDescent="0.3">
      <c r="B1544" s="6" t="str">
        <f ca="1">IF(AND(NEGOCIAÇÕES!O1544="",NEGOCIAÇÕES!N1544&lt;TODAY()),NEGOCIAÇÕES!C1544,"")</f>
        <v/>
      </c>
      <c r="C1544" s="6">
        <f ca="1">IF(AND(NEGOCIAÇÕES!O1544="",NEGOCIAÇÕES!N1544&lt;TODAY()),NEGOCIAÇÕES!E1544,"")</f>
        <v>0</v>
      </c>
      <c r="D1544" s="6">
        <f ca="1">IF(AND(NEGOCIAÇÕES!O1544="",NEGOCIAÇÕES!N1544&lt;TODAY()),NEGOCIAÇÕES!D1544,"")</f>
        <v>0</v>
      </c>
      <c r="E1544" s="9">
        <f ca="1">IF(AND(NEGOCIAÇÕES!O1544="",NEGOCIAÇÕES!N1544&lt;TODAY()),NEGOCIAÇÕES!N1544,"")</f>
        <v>0</v>
      </c>
    </row>
    <row r="1545" spans="2:5" ht="31.95" hidden="1" customHeight="1" x14ac:dyDescent="0.3">
      <c r="B1545" s="6" t="str">
        <f ca="1">IF(AND(NEGOCIAÇÕES!O1545="",NEGOCIAÇÕES!N1545&lt;TODAY()),NEGOCIAÇÕES!C1545,"")</f>
        <v/>
      </c>
      <c r="C1545" s="6">
        <f ca="1">IF(AND(NEGOCIAÇÕES!O1545="",NEGOCIAÇÕES!N1545&lt;TODAY()),NEGOCIAÇÕES!E1545,"")</f>
        <v>0</v>
      </c>
      <c r="D1545" s="6">
        <f ca="1">IF(AND(NEGOCIAÇÕES!O1545="",NEGOCIAÇÕES!N1545&lt;TODAY()),NEGOCIAÇÕES!D1545,"")</f>
        <v>0</v>
      </c>
      <c r="E1545" s="9">
        <f ca="1">IF(AND(NEGOCIAÇÕES!O1545="",NEGOCIAÇÕES!N1545&lt;TODAY()),NEGOCIAÇÕES!N1545,"")</f>
        <v>0</v>
      </c>
    </row>
    <row r="1546" spans="2:5" ht="31.95" hidden="1" customHeight="1" x14ac:dyDescent="0.3">
      <c r="B1546" s="6" t="str">
        <f ca="1">IF(AND(NEGOCIAÇÕES!O1546="",NEGOCIAÇÕES!N1546&lt;TODAY()),NEGOCIAÇÕES!C1546,"")</f>
        <v/>
      </c>
      <c r="C1546" s="6">
        <f ca="1">IF(AND(NEGOCIAÇÕES!O1546="",NEGOCIAÇÕES!N1546&lt;TODAY()),NEGOCIAÇÕES!E1546,"")</f>
        <v>0</v>
      </c>
      <c r="D1546" s="6">
        <f ca="1">IF(AND(NEGOCIAÇÕES!O1546="",NEGOCIAÇÕES!N1546&lt;TODAY()),NEGOCIAÇÕES!D1546,"")</f>
        <v>0</v>
      </c>
      <c r="E1546" s="9">
        <f ca="1">IF(AND(NEGOCIAÇÕES!O1546="",NEGOCIAÇÕES!N1546&lt;TODAY()),NEGOCIAÇÕES!N1546,"")</f>
        <v>0</v>
      </c>
    </row>
    <row r="1547" spans="2:5" ht="31.95" hidden="1" customHeight="1" x14ac:dyDescent="0.3">
      <c r="B1547" s="6" t="str">
        <f ca="1">IF(AND(NEGOCIAÇÕES!O1547="",NEGOCIAÇÕES!N1547&lt;TODAY()),NEGOCIAÇÕES!C1547,"")</f>
        <v/>
      </c>
      <c r="C1547" s="6">
        <f ca="1">IF(AND(NEGOCIAÇÕES!O1547="",NEGOCIAÇÕES!N1547&lt;TODAY()),NEGOCIAÇÕES!E1547,"")</f>
        <v>0</v>
      </c>
      <c r="D1547" s="6">
        <f ca="1">IF(AND(NEGOCIAÇÕES!O1547="",NEGOCIAÇÕES!N1547&lt;TODAY()),NEGOCIAÇÕES!D1547,"")</f>
        <v>0</v>
      </c>
      <c r="E1547" s="9">
        <f ca="1">IF(AND(NEGOCIAÇÕES!O1547="",NEGOCIAÇÕES!N1547&lt;TODAY()),NEGOCIAÇÕES!N1547,"")</f>
        <v>0</v>
      </c>
    </row>
    <row r="1548" spans="2:5" ht="31.95" hidden="1" customHeight="1" x14ac:dyDescent="0.3">
      <c r="B1548" s="6" t="str">
        <f ca="1">IF(AND(NEGOCIAÇÕES!O1548="",NEGOCIAÇÕES!N1548&lt;TODAY()),NEGOCIAÇÕES!C1548,"")</f>
        <v/>
      </c>
      <c r="C1548" s="6">
        <f ca="1">IF(AND(NEGOCIAÇÕES!O1548="",NEGOCIAÇÕES!N1548&lt;TODAY()),NEGOCIAÇÕES!E1548,"")</f>
        <v>0</v>
      </c>
      <c r="D1548" s="6">
        <f ca="1">IF(AND(NEGOCIAÇÕES!O1548="",NEGOCIAÇÕES!N1548&lt;TODAY()),NEGOCIAÇÕES!D1548,"")</f>
        <v>0</v>
      </c>
      <c r="E1548" s="9">
        <f ca="1">IF(AND(NEGOCIAÇÕES!O1548="",NEGOCIAÇÕES!N1548&lt;TODAY()),NEGOCIAÇÕES!N1548,"")</f>
        <v>0</v>
      </c>
    </row>
    <row r="1549" spans="2:5" ht="31.95" hidden="1" customHeight="1" x14ac:dyDescent="0.3">
      <c r="B1549" s="6" t="str">
        <f ca="1">IF(AND(NEGOCIAÇÕES!O1549="",NEGOCIAÇÕES!N1549&lt;TODAY()),NEGOCIAÇÕES!C1549,"")</f>
        <v/>
      </c>
      <c r="C1549" s="6">
        <f ca="1">IF(AND(NEGOCIAÇÕES!O1549="",NEGOCIAÇÕES!N1549&lt;TODAY()),NEGOCIAÇÕES!E1549,"")</f>
        <v>0</v>
      </c>
      <c r="D1549" s="6">
        <f ca="1">IF(AND(NEGOCIAÇÕES!O1549="",NEGOCIAÇÕES!N1549&lt;TODAY()),NEGOCIAÇÕES!D1549,"")</f>
        <v>0</v>
      </c>
      <c r="E1549" s="9">
        <f ca="1">IF(AND(NEGOCIAÇÕES!O1549="",NEGOCIAÇÕES!N1549&lt;TODAY()),NEGOCIAÇÕES!N1549,"")</f>
        <v>0</v>
      </c>
    </row>
    <row r="1550" spans="2:5" ht="31.95" hidden="1" customHeight="1" x14ac:dyDescent="0.3">
      <c r="B1550" s="6" t="str">
        <f ca="1">IF(AND(NEGOCIAÇÕES!O1550="",NEGOCIAÇÕES!N1550&lt;TODAY()),NEGOCIAÇÕES!C1550,"")</f>
        <v/>
      </c>
      <c r="C1550" s="6">
        <f ca="1">IF(AND(NEGOCIAÇÕES!O1550="",NEGOCIAÇÕES!N1550&lt;TODAY()),NEGOCIAÇÕES!E1550,"")</f>
        <v>0</v>
      </c>
      <c r="D1550" s="6">
        <f ca="1">IF(AND(NEGOCIAÇÕES!O1550="",NEGOCIAÇÕES!N1550&lt;TODAY()),NEGOCIAÇÕES!D1550,"")</f>
        <v>0</v>
      </c>
      <c r="E1550" s="9">
        <f ca="1">IF(AND(NEGOCIAÇÕES!O1550="",NEGOCIAÇÕES!N1550&lt;TODAY()),NEGOCIAÇÕES!N1550,"")</f>
        <v>0</v>
      </c>
    </row>
    <row r="1551" spans="2:5" ht="31.95" hidden="1" customHeight="1" x14ac:dyDescent="0.3">
      <c r="B1551" s="6" t="str">
        <f ca="1">IF(AND(NEGOCIAÇÕES!O1551="",NEGOCIAÇÕES!N1551&lt;TODAY()),NEGOCIAÇÕES!C1551,"")</f>
        <v/>
      </c>
      <c r="C1551" s="6">
        <f ca="1">IF(AND(NEGOCIAÇÕES!O1551="",NEGOCIAÇÕES!N1551&lt;TODAY()),NEGOCIAÇÕES!E1551,"")</f>
        <v>0</v>
      </c>
      <c r="D1551" s="6">
        <f ca="1">IF(AND(NEGOCIAÇÕES!O1551="",NEGOCIAÇÕES!N1551&lt;TODAY()),NEGOCIAÇÕES!D1551,"")</f>
        <v>0</v>
      </c>
      <c r="E1551" s="9">
        <f ca="1">IF(AND(NEGOCIAÇÕES!O1551="",NEGOCIAÇÕES!N1551&lt;TODAY()),NEGOCIAÇÕES!N1551,"")</f>
        <v>0</v>
      </c>
    </row>
    <row r="1552" spans="2:5" ht="31.95" hidden="1" customHeight="1" x14ac:dyDescent="0.3">
      <c r="B1552" s="6" t="str">
        <f ca="1">IF(AND(NEGOCIAÇÕES!O1552="",NEGOCIAÇÕES!N1552&lt;TODAY()),NEGOCIAÇÕES!C1552,"")</f>
        <v/>
      </c>
      <c r="C1552" s="6">
        <f ca="1">IF(AND(NEGOCIAÇÕES!O1552="",NEGOCIAÇÕES!N1552&lt;TODAY()),NEGOCIAÇÕES!E1552,"")</f>
        <v>0</v>
      </c>
      <c r="D1552" s="6">
        <f ca="1">IF(AND(NEGOCIAÇÕES!O1552="",NEGOCIAÇÕES!N1552&lt;TODAY()),NEGOCIAÇÕES!D1552,"")</f>
        <v>0</v>
      </c>
      <c r="E1552" s="9">
        <f ca="1">IF(AND(NEGOCIAÇÕES!O1552="",NEGOCIAÇÕES!N1552&lt;TODAY()),NEGOCIAÇÕES!N1552,"")</f>
        <v>0</v>
      </c>
    </row>
    <row r="1553" spans="2:5" ht="31.95" hidden="1" customHeight="1" x14ac:dyDescent="0.3">
      <c r="B1553" s="6" t="str">
        <f ca="1">IF(AND(NEGOCIAÇÕES!O1553="",NEGOCIAÇÕES!N1553&lt;TODAY()),NEGOCIAÇÕES!C1553,"")</f>
        <v/>
      </c>
      <c r="C1553" s="6">
        <f ca="1">IF(AND(NEGOCIAÇÕES!O1553="",NEGOCIAÇÕES!N1553&lt;TODAY()),NEGOCIAÇÕES!E1553,"")</f>
        <v>0</v>
      </c>
      <c r="D1553" s="6">
        <f ca="1">IF(AND(NEGOCIAÇÕES!O1553="",NEGOCIAÇÕES!N1553&lt;TODAY()),NEGOCIAÇÕES!D1553,"")</f>
        <v>0</v>
      </c>
      <c r="E1553" s="9">
        <f ca="1">IF(AND(NEGOCIAÇÕES!O1553="",NEGOCIAÇÕES!N1553&lt;TODAY()),NEGOCIAÇÕES!N1553,"")</f>
        <v>0</v>
      </c>
    </row>
    <row r="1554" spans="2:5" ht="31.95" hidden="1" customHeight="1" x14ac:dyDescent="0.3">
      <c r="B1554" s="6" t="str">
        <f ca="1">IF(AND(NEGOCIAÇÕES!O1554="",NEGOCIAÇÕES!N1554&lt;TODAY()),NEGOCIAÇÕES!C1554,"")</f>
        <v/>
      </c>
      <c r="C1554" s="6">
        <f ca="1">IF(AND(NEGOCIAÇÕES!O1554="",NEGOCIAÇÕES!N1554&lt;TODAY()),NEGOCIAÇÕES!E1554,"")</f>
        <v>0</v>
      </c>
      <c r="D1554" s="6">
        <f ca="1">IF(AND(NEGOCIAÇÕES!O1554="",NEGOCIAÇÕES!N1554&lt;TODAY()),NEGOCIAÇÕES!D1554,"")</f>
        <v>0</v>
      </c>
      <c r="E1554" s="9">
        <f ca="1">IF(AND(NEGOCIAÇÕES!O1554="",NEGOCIAÇÕES!N1554&lt;TODAY()),NEGOCIAÇÕES!N1554,"")</f>
        <v>0</v>
      </c>
    </row>
    <row r="1555" spans="2:5" ht="31.95" hidden="1" customHeight="1" x14ac:dyDescent="0.3">
      <c r="B1555" s="6" t="str">
        <f ca="1">IF(AND(NEGOCIAÇÕES!O1555="",NEGOCIAÇÕES!N1555&lt;TODAY()),NEGOCIAÇÕES!C1555,"")</f>
        <v/>
      </c>
      <c r="C1555" s="6">
        <f ca="1">IF(AND(NEGOCIAÇÕES!O1555="",NEGOCIAÇÕES!N1555&lt;TODAY()),NEGOCIAÇÕES!E1555,"")</f>
        <v>0</v>
      </c>
      <c r="D1555" s="6">
        <f ca="1">IF(AND(NEGOCIAÇÕES!O1555="",NEGOCIAÇÕES!N1555&lt;TODAY()),NEGOCIAÇÕES!D1555,"")</f>
        <v>0</v>
      </c>
      <c r="E1555" s="9">
        <f ca="1">IF(AND(NEGOCIAÇÕES!O1555="",NEGOCIAÇÕES!N1555&lt;TODAY()),NEGOCIAÇÕES!N1555,"")</f>
        <v>0</v>
      </c>
    </row>
    <row r="1556" spans="2:5" ht="31.95" hidden="1" customHeight="1" x14ac:dyDescent="0.3">
      <c r="B1556" s="6" t="str">
        <f ca="1">IF(AND(NEGOCIAÇÕES!O1556="",NEGOCIAÇÕES!N1556&lt;TODAY()),NEGOCIAÇÕES!C1556,"")</f>
        <v/>
      </c>
      <c r="C1556" s="6">
        <f ca="1">IF(AND(NEGOCIAÇÕES!O1556="",NEGOCIAÇÕES!N1556&lt;TODAY()),NEGOCIAÇÕES!E1556,"")</f>
        <v>0</v>
      </c>
      <c r="D1556" s="6">
        <f ca="1">IF(AND(NEGOCIAÇÕES!O1556="",NEGOCIAÇÕES!N1556&lt;TODAY()),NEGOCIAÇÕES!D1556,"")</f>
        <v>0</v>
      </c>
      <c r="E1556" s="9">
        <f ca="1">IF(AND(NEGOCIAÇÕES!O1556="",NEGOCIAÇÕES!N1556&lt;TODAY()),NEGOCIAÇÕES!N1556,"")</f>
        <v>0</v>
      </c>
    </row>
    <row r="1557" spans="2:5" ht="31.95" hidden="1" customHeight="1" x14ac:dyDescent="0.3">
      <c r="B1557" s="6" t="str">
        <f ca="1">IF(AND(NEGOCIAÇÕES!O1557="",NEGOCIAÇÕES!N1557&lt;TODAY()),NEGOCIAÇÕES!C1557,"")</f>
        <v/>
      </c>
      <c r="C1557" s="6">
        <f ca="1">IF(AND(NEGOCIAÇÕES!O1557="",NEGOCIAÇÕES!N1557&lt;TODAY()),NEGOCIAÇÕES!E1557,"")</f>
        <v>0</v>
      </c>
      <c r="D1557" s="6">
        <f ca="1">IF(AND(NEGOCIAÇÕES!O1557="",NEGOCIAÇÕES!N1557&lt;TODAY()),NEGOCIAÇÕES!D1557,"")</f>
        <v>0</v>
      </c>
      <c r="E1557" s="9">
        <f ca="1">IF(AND(NEGOCIAÇÕES!O1557="",NEGOCIAÇÕES!N1557&lt;TODAY()),NEGOCIAÇÕES!N1557,"")</f>
        <v>0</v>
      </c>
    </row>
    <row r="1558" spans="2:5" ht="31.95" hidden="1" customHeight="1" x14ac:dyDescent="0.3">
      <c r="B1558" s="6" t="str">
        <f ca="1">IF(AND(NEGOCIAÇÕES!O1558="",NEGOCIAÇÕES!N1558&lt;TODAY()),NEGOCIAÇÕES!C1558,"")</f>
        <v/>
      </c>
      <c r="C1558" s="6">
        <f ca="1">IF(AND(NEGOCIAÇÕES!O1558="",NEGOCIAÇÕES!N1558&lt;TODAY()),NEGOCIAÇÕES!E1558,"")</f>
        <v>0</v>
      </c>
      <c r="D1558" s="6">
        <f ca="1">IF(AND(NEGOCIAÇÕES!O1558="",NEGOCIAÇÕES!N1558&lt;TODAY()),NEGOCIAÇÕES!D1558,"")</f>
        <v>0</v>
      </c>
      <c r="E1558" s="9">
        <f ca="1">IF(AND(NEGOCIAÇÕES!O1558="",NEGOCIAÇÕES!N1558&lt;TODAY()),NEGOCIAÇÕES!N1558,"")</f>
        <v>0</v>
      </c>
    </row>
    <row r="1559" spans="2:5" ht="31.95" hidden="1" customHeight="1" x14ac:dyDescent="0.3">
      <c r="B1559" s="6" t="str">
        <f ca="1">IF(AND(NEGOCIAÇÕES!O1559="",NEGOCIAÇÕES!N1559&lt;TODAY()),NEGOCIAÇÕES!C1559,"")</f>
        <v/>
      </c>
      <c r="C1559" s="6">
        <f ca="1">IF(AND(NEGOCIAÇÕES!O1559="",NEGOCIAÇÕES!N1559&lt;TODAY()),NEGOCIAÇÕES!E1559,"")</f>
        <v>0</v>
      </c>
      <c r="D1559" s="6">
        <f ca="1">IF(AND(NEGOCIAÇÕES!O1559="",NEGOCIAÇÕES!N1559&lt;TODAY()),NEGOCIAÇÕES!D1559,"")</f>
        <v>0</v>
      </c>
      <c r="E1559" s="9">
        <f ca="1">IF(AND(NEGOCIAÇÕES!O1559="",NEGOCIAÇÕES!N1559&lt;TODAY()),NEGOCIAÇÕES!N1559,"")</f>
        <v>0</v>
      </c>
    </row>
    <row r="1560" spans="2:5" ht="31.95" hidden="1" customHeight="1" x14ac:dyDescent="0.3">
      <c r="B1560" s="6" t="str">
        <f ca="1">IF(AND(NEGOCIAÇÕES!O1560="",NEGOCIAÇÕES!N1560&lt;TODAY()),NEGOCIAÇÕES!C1560,"")</f>
        <v/>
      </c>
      <c r="C1560" s="6">
        <f ca="1">IF(AND(NEGOCIAÇÕES!O1560="",NEGOCIAÇÕES!N1560&lt;TODAY()),NEGOCIAÇÕES!E1560,"")</f>
        <v>0</v>
      </c>
      <c r="D1560" s="6">
        <f ca="1">IF(AND(NEGOCIAÇÕES!O1560="",NEGOCIAÇÕES!N1560&lt;TODAY()),NEGOCIAÇÕES!D1560,"")</f>
        <v>0</v>
      </c>
      <c r="E1560" s="9">
        <f ca="1">IF(AND(NEGOCIAÇÕES!O1560="",NEGOCIAÇÕES!N1560&lt;TODAY()),NEGOCIAÇÕES!N1560,"")</f>
        <v>0</v>
      </c>
    </row>
    <row r="1561" spans="2:5" ht="31.95" hidden="1" customHeight="1" x14ac:dyDescent="0.3">
      <c r="B1561" s="6" t="str">
        <f ca="1">IF(AND(NEGOCIAÇÕES!O1561="",NEGOCIAÇÕES!N1561&lt;TODAY()),NEGOCIAÇÕES!C1561,"")</f>
        <v/>
      </c>
      <c r="C1561" s="6">
        <f ca="1">IF(AND(NEGOCIAÇÕES!O1561="",NEGOCIAÇÕES!N1561&lt;TODAY()),NEGOCIAÇÕES!E1561,"")</f>
        <v>0</v>
      </c>
      <c r="D1561" s="6">
        <f ca="1">IF(AND(NEGOCIAÇÕES!O1561="",NEGOCIAÇÕES!N1561&lt;TODAY()),NEGOCIAÇÕES!D1561,"")</f>
        <v>0</v>
      </c>
      <c r="E1561" s="9">
        <f ca="1">IF(AND(NEGOCIAÇÕES!O1561="",NEGOCIAÇÕES!N1561&lt;TODAY()),NEGOCIAÇÕES!N1561,"")</f>
        <v>0</v>
      </c>
    </row>
    <row r="1562" spans="2:5" ht="31.95" hidden="1" customHeight="1" x14ac:dyDescent="0.3">
      <c r="B1562" s="6" t="str">
        <f ca="1">IF(AND(NEGOCIAÇÕES!O1562="",NEGOCIAÇÕES!N1562&lt;TODAY()),NEGOCIAÇÕES!C1562,"")</f>
        <v/>
      </c>
      <c r="C1562" s="6">
        <f ca="1">IF(AND(NEGOCIAÇÕES!O1562="",NEGOCIAÇÕES!N1562&lt;TODAY()),NEGOCIAÇÕES!E1562,"")</f>
        <v>0</v>
      </c>
      <c r="D1562" s="6">
        <f ca="1">IF(AND(NEGOCIAÇÕES!O1562="",NEGOCIAÇÕES!N1562&lt;TODAY()),NEGOCIAÇÕES!D1562,"")</f>
        <v>0</v>
      </c>
      <c r="E1562" s="9">
        <f ca="1">IF(AND(NEGOCIAÇÕES!O1562="",NEGOCIAÇÕES!N1562&lt;TODAY()),NEGOCIAÇÕES!N1562,"")</f>
        <v>0</v>
      </c>
    </row>
    <row r="1563" spans="2:5" ht="31.95" hidden="1" customHeight="1" x14ac:dyDescent="0.3">
      <c r="B1563" s="6" t="str">
        <f ca="1">IF(AND(NEGOCIAÇÕES!O1563="",NEGOCIAÇÕES!N1563&lt;TODAY()),NEGOCIAÇÕES!C1563,"")</f>
        <v/>
      </c>
      <c r="C1563" s="6">
        <f ca="1">IF(AND(NEGOCIAÇÕES!O1563="",NEGOCIAÇÕES!N1563&lt;TODAY()),NEGOCIAÇÕES!E1563,"")</f>
        <v>0</v>
      </c>
      <c r="D1563" s="6">
        <f ca="1">IF(AND(NEGOCIAÇÕES!O1563="",NEGOCIAÇÕES!N1563&lt;TODAY()),NEGOCIAÇÕES!D1563,"")</f>
        <v>0</v>
      </c>
      <c r="E1563" s="9">
        <f ca="1">IF(AND(NEGOCIAÇÕES!O1563="",NEGOCIAÇÕES!N1563&lt;TODAY()),NEGOCIAÇÕES!N1563,"")</f>
        <v>0</v>
      </c>
    </row>
    <row r="1564" spans="2:5" ht="31.95" hidden="1" customHeight="1" x14ac:dyDescent="0.3">
      <c r="B1564" s="6" t="str">
        <f ca="1">IF(AND(NEGOCIAÇÕES!O1564="",NEGOCIAÇÕES!N1564&lt;TODAY()),NEGOCIAÇÕES!C1564,"")</f>
        <v/>
      </c>
      <c r="C1564" s="6">
        <f ca="1">IF(AND(NEGOCIAÇÕES!O1564="",NEGOCIAÇÕES!N1564&lt;TODAY()),NEGOCIAÇÕES!E1564,"")</f>
        <v>0</v>
      </c>
      <c r="D1564" s="6">
        <f ca="1">IF(AND(NEGOCIAÇÕES!O1564="",NEGOCIAÇÕES!N1564&lt;TODAY()),NEGOCIAÇÕES!D1564,"")</f>
        <v>0</v>
      </c>
      <c r="E1564" s="9">
        <f ca="1">IF(AND(NEGOCIAÇÕES!O1564="",NEGOCIAÇÕES!N1564&lt;TODAY()),NEGOCIAÇÕES!N1564,"")</f>
        <v>0</v>
      </c>
    </row>
    <row r="1565" spans="2:5" ht="31.95" hidden="1" customHeight="1" x14ac:dyDescent="0.3">
      <c r="B1565" s="6" t="str">
        <f ca="1">IF(AND(NEGOCIAÇÕES!O1565="",NEGOCIAÇÕES!N1565&lt;TODAY()),NEGOCIAÇÕES!C1565,"")</f>
        <v/>
      </c>
      <c r="C1565" s="6">
        <f ca="1">IF(AND(NEGOCIAÇÕES!O1565="",NEGOCIAÇÕES!N1565&lt;TODAY()),NEGOCIAÇÕES!E1565,"")</f>
        <v>0</v>
      </c>
      <c r="D1565" s="6">
        <f ca="1">IF(AND(NEGOCIAÇÕES!O1565="",NEGOCIAÇÕES!N1565&lt;TODAY()),NEGOCIAÇÕES!D1565,"")</f>
        <v>0</v>
      </c>
      <c r="E1565" s="9">
        <f ca="1">IF(AND(NEGOCIAÇÕES!O1565="",NEGOCIAÇÕES!N1565&lt;TODAY()),NEGOCIAÇÕES!N1565,"")</f>
        <v>0</v>
      </c>
    </row>
    <row r="1566" spans="2:5" ht="31.95" hidden="1" customHeight="1" x14ac:dyDescent="0.3">
      <c r="B1566" s="6" t="str">
        <f ca="1">IF(AND(NEGOCIAÇÕES!O1566="",NEGOCIAÇÕES!N1566&lt;TODAY()),NEGOCIAÇÕES!C1566,"")</f>
        <v/>
      </c>
      <c r="C1566" s="6">
        <f ca="1">IF(AND(NEGOCIAÇÕES!O1566="",NEGOCIAÇÕES!N1566&lt;TODAY()),NEGOCIAÇÕES!E1566,"")</f>
        <v>0</v>
      </c>
      <c r="D1566" s="6">
        <f ca="1">IF(AND(NEGOCIAÇÕES!O1566="",NEGOCIAÇÕES!N1566&lt;TODAY()),NEGOCIAÇÕES!D1566,"")</f>
        <v>0</v>
      </c>
      <c r="E1566" s="9">
        <f ca="1">IF(AND(NEGOCIAÇÕES!O1566="",NEGOCIAÇÕES!N1566&lt;TODAY()),NEGOCIAÇÕES!N1566,"")</f>
        <v>0</v>
      </c>
    </row>
    <row r="1567" spans="2:5" ht="31.95" hidden="1" customHeight="1" x14ac:dyDescent="0.3">
      <c r="B1567" s="6" t="str">
        <f ca="1">IF(AND(NEGOCIAÇÕES!O1567="",NEGOCIAÇÕES!N1567&lt;TODAY()),NEGOCIAÇÕES!C1567,"")</f>
        <v/>
      </c>
      <c r="C1567" s="6">
        <f ca="1">IF(AND(NEGOCIAÇÕES!O1567="",NEGOCIAÇÕES!N1567&lt;TODAY()),NEGOCIAÇÕES!E1567,"")</f>
        <v>0</v>
      </c>
      <c r="D1567" s="6">
        <f ca="1">IF(AND(NEGOCIAÇÕES!O1567="",NEGOCIAÇÕES!N1567&lt;TODAY()),NEGOCIAÇÕES!D1567,"")</f>
        <v>0</v>
      </c>
      <c r="E1567" s="9">
        <f ca="1">IF(AND(NEGOCIAÇÕES!O1567="",NEGOCIAÇÕES!N1567&lt;TODAY()),NEGOCIAÇÕES!N1567,"")</f>
        <v>0</v>
      </c>
    </row>
    <row r="1568" spans="2:5" ht="31.95" hidden="1" customHeight="1" x14ac:dyDescent="0.3">
      <c r="B1568" s="6" t="str">
        <f ca="1">IF(AND(NEGOCIAÇÕES!O1568="",NEGOCIAÇÕES!N1568&lt;TODAY()),NEGOCIAÇÕES!C1568,"")</f>
        <v/>
      </c>
      <c r="C1568" s="6">
        <f ca="1">IF(AND(NEGOCIAÇÕES!O1568="",NEGOCIAÇÕES!N1568&lt;TODAY()),NEGOCIAÇÕES!E1568,"")</f>
        <v>0</v>
      </c>
      <c r="D1568" s="6">
        <f ca="1">IF(AND(NEGOCIAÇÕES!O1568="",NEGOCIAÇÕES!N1568&lt;TODAY()),NEGOCIAÇÕES!D1568,"")</f>
        <v>0</v>
      </c>
      <c r="E1568" s="9">
        <f ca="1">IF(AND(NEGOCIAÇÕES!O1568="",NEGOCIAÇÕES!N1568&lt;TODAY()),NEGOCIAÇÕES!N1568,"")</f>
        <v>0</v>
      </c>
    </row>
    <row r="1569" spans="2:5" ht="31.95" hidden="1" customHeight="1" x14ac:dyDescent="0.3">
      <c r="B1569" s="6" t="str">
        <f ca="1">IF(AND(NEGOCIAÇÕES!O1569="",NEGOCIAÇÕES!N1569&lt;TODAY()),NEGOCIAÇÕES!C1569,"")</f>
        <v/>
      </c>
      <c r="C1569" s="6">
        <f ca="1">IF(AND(NEGOCIAÇÕES!O1569="",NEGOCIAÇÕES!N1569&lt;TODAY()),NEGOCIAÇÕES!E1569,"")</f>
        <v>0</v>
      </c>
      <c r="D1569" s="6">
        <f ca="1">IF(AND(NEGOCIAÇÕES!O1569="",NEGOCIAÇÕES!N1569&lt;TODAY()),NEGOCIAÇÕES!D1569,"")</f>
        <v>0</v>
      </c>
      <c r="E1569" s="9">
        <f ca="1">IF(AND(NEGOCIAÇÕES!O1569="",NEGOCIAÇÕES!N1569&lt;TODAY()),NEGOCIAÇÕES!N1569,"")</f>
        <v>0</v>
      </c>
    </row>
    <row r="1570" spans="2:5" ht="31.95" hidden="1" customHeight="1" x14ac:dyDescent="0.3">
      <c r="B1570" s="6" t="str">
        <f ca="1">IF(AND(NEGOCIAÇÕES!O1570="",NEGOCIAÇÕES!N1570&lt;TODAY()),NEGOCIAÇÕES!C1570,"")</f>
        <v/>
      </c>
      <c r="C1570" s="6">
        <f ca="1">IF(AND(NEGOCIAÇÕES!O1570="",NEGOCIAÇÕES!N1570&lt;TODAY()),NEGOCIAÇÕES!E1570,"")</f>
        <v>0</v>
      </c>
      <c r="D1570" s="6">
        <f ca="1">IF(AND(NEGOCIAÇÕES!O1570="",NEGOCIAÇÕES!N1570&lt;TODAY()),NEGOCIAÇÕES!D1570,"")</f>
        <v>0</v>
      </c>
      <c r="E1570" s="9">
        <f ca="1">IF(AND(NEGOCIAÇÕES!O1570="",NEGOCIAÇÕES!N1570&lt;TODAY()),NEGOCIAÇÕES!N1570,"")</f>
        <v>0</v>
      </c>
    </row>
    <row r="1571" spans="2:5" ht="31.95" hidden="1" customHeight="1" x14ac:dyDescent="0.3">
      <c r="B1571" s="6" t="str">
        <f ca="1">IF(AND(NEGOCIAÇÕES!O1571="",NEGOCIAÇÕES!N1571&lt;TODAY()),NEGOCIAÇÕES!C1571,"")</f>
        <v/>
      </c>
      <c r="C1571" s="6">
        <f ca="1">IF(AND(NEGOCIAÇÕES!O1571="",NEGOCIAÇÕES!N1571&lt;TODAY()),NEGOCIAÇÕES!E1571,"")</f>
        <v>0</v>
      </c>
      <c r="D1571" s="6">
        <f ca="1">IF(AND(NEGOCIAÇÕES!O1571="",NEGOCIAÇÕES!N1571&lt;TODAY()),NEGOCIAÇÕES!D1571,"")</f>
        <v>0</v>
      </c>
      <c r="E1571" s="9">
        <f ca="1">IF(AND(NEGOCIAÇÕES!O1571="",NEGOCIAÇÕES!N1571&lt;TODAY()),NEGOCIAÇÕES!N1571,"")</f>
        <v>0</v>
      </c>
    </row>
    <row r="1572" spans="2:5" ht="31.95" hidden="1" customHeight="1" x14ac:dyDescent="0.3">
      <c r="B1572" s="6" t="str">
        <f ca="1">IF(AND(NEGOCIAÇÕES!O1572="",NEGOCIAÇÕES!N1572&lt;TODAY()),NEGOCIAÇÕES!C1572,"")</f>
        <v/>
      </c>
      <c r="C1572" s="6">
        <f ca="1">IF(AND(NEGOCIAÇÕES!O1572="",NEGOCIAÇÕES!N1572&lt;TODAY()),NEGOCIAÇÕES!E1572,"")</f>
        <v>0</v>
      </c>
      <c r="D1572" s="6">
        <f ca="1">IF(AND(NEGOCIAÇÕES!O1572="",NEGOCIAÇÕES!N1572&lt;TODAY()),NEGOCIAÇÕES!D1572,"")</f>
        <v>0</v>
      </c>
      <c r="E1572" s="9">
        <f ca="1">IF(AND(NEGOCIAÇÕES!O1572="",NEGOCIAÇÕES!N1572&lt;TODAY()),NEGOCIAÇÕES!N1572,"")</f>
        <v>0</v>
      </c>
    </row>
    <row r="1573" spans="2:5" ht="31.95" hidden="1" customHeight="1" x14ac:dyDescent="0.3">
      <c r="B1573" s="6" t="str">
        <f ca="1">IF(AND(NEGOCIAÇÕES!O1573="",NEGOCIAÇÕES!N1573&lt;TODAY()),NEGOCIAÇÕES!C1573,"")</f>
        <v/>
      </c>
      <c r="C1573" s="6">
        <f ca="1">IF(AND(NEGOCIAÇÕES!O1573="",NEGOCIAÇÕES!N1573&lt;TODAY()),NEGOCIAÇÕES!E1573,"")</f>
        <v>0</v>
      </c>
      <c r="D1573" s="6">
        <f ca="1">IF(AND(NEGOCIAÇÕES!O1573="",NEGOCIAÇÕES!N1573&lt;TODAY()),NEGOCIAÇÕES!D1573,"")</f>
        <v>0</v>
      </c>
      <c r="E1573" s="9">
        <f ca="1">IF(AND(NEGOCIAÇÕES!O1573="",NEGOCIAÇÕES!N1573&lt;TODAY()),NEGOCIAÇÕES!N1573,"")</f>
        <v>0</v>
      </c>
    </row>
    <row r="1574" spans="2:5" ht="31.95" hidden="1" customHeight="1" x14ac:dyDescent="0.3">
      <c r="B1574" s="6" t="str">
        <f ca="1">IF(AND(NEGOCIAÇÕES!O1574="",NEGOCIAÇÕES!N1574&lt;TODAY()),NEGOCIAÇÕES!C1574,"")</f>
        <v/>
      </c>
      <c r="C1574" s="6">
        <f ca="1">IF(AND(NEGOCIAÇÕES!O1574="",NEGOCIAÇÕES!N1574&lt;TODAY()),NEGOCIAÇÕES!E1574,"")</f>
        <v>0</v>
      </c>
      <c r="D1574" s="6">
        <f ca="1">IF(AND(NEGOCIAÇÕES!O1574="",NEGOCIAÇÕES!N1574&lt;TODAY()),NEGOCIAÇÕES!D1574,"")</f>
        <v>0</v>
      </c>
      <c r="E1574" s="9">
        <f ca="1">IF(AND(NEGOCIAÇÕES!O1574="",NEGOCIAÇÕES!N1574&lt;TODAY()),NEGOCIAÇÕES!N1574,"")</f>
        <v>0</v>
      </c>
    </row>
    <row r="1575" spans="2:5" ht="31.95" hidden="1" customHeight="1" x14ac:dyDescent="0.3">
      <c r="B1575" s="6" t="str">
        <f ca="1">IF(AND(NEGOCIAÇÕES!O1575="",NEGOCIAÇÕES!N1575&lt;TODAY()),NEGOCIAÇÕES!C1575,"")</f>
        <v/>
      </c>
      <c r="C1575" s="6">
        <f ca="1">IF(AND(NEGOCIAÇÕES!O1575="",NEGOCIAÇÕES!N1575&lt;TODAY()),NEGOCIAÇÕES!E1575,"")</f>
        <v>0</v>
      </c>
      <c r="D1575" s="6">
        <f ca="1">IF(AND(NEGOCIAÇÕES!O1575="",NEGOCIAÇÕES!N1575&lt;TODAY()),NEGOCIAÇÕES!D1575,"")</f>
        <v>0</v>
      </c>
      <c r="E1575" s="9">
        <f ca="1">IF(AND(NEGOCIAÇÕES!O1575="",NEGOCIAÇÕES!N1575&lt;TODAY()),NEGOCIAÇÕES!N1575,"")</f>
        <v>0</v>
      </c>
    </row>
    <row r="1576" spans="2:5" ht="31.95" hidden="1" customHeight="1" x14ac:dyDescent="0.3">
      <c r="B1576" s="6" t="str">
        <f ca="1">IF(AND(NEGOCIAÇÕES!O1576="",NEGOCIAÇÕES!N1576&lt;TODAY()),NEGOCIAÇÕES!C1576,"")</f>
        <v/>
      </c>
      <c r="C1576" s="6">
        <f ca="1">IF(AND(NEGOCIAÇÕES!O1576="",NEGOCIAÇÕES!N1576&lt;TODAY()),NEGOCIAÇÕES!E1576,"")</f>
        <v>0</v>
      </c>
      <c r="D1576" s="6">
        <f ca="1">IF(AND(NEGOCIAÇÕES!O1576="",NEGOCIAÇÕES!N1576&lt;TODAY()),NEGOCIAÇÕES!D1576,"")</f>
        <v>0</v>
      </c>
      <c r="E1576" s="9">
        <f ca="1">IF(AND(NEGOCIAÇÕES!O1576="",NEGOCIAÇÕES!N1576&lt;TODAY()),NEGOCIAÇÕES!N1576,"")</f>
        <v>0</v>
      </c>
    </row>
    <row r="1577" spans="2:5" ht="31.95" hidden="1" customHeight="1" x14ac:dyDescent="0.3">
      <c r="B1577" s="6" t="str">
        <f ca="1">IF(AND(NEGOCIAÇÕES!O1577="",NEGOCIAÇÕES!N1577&lt;TODAY()),NEGOCIAÇÕES!C1577,"")</f>
        <v/>
      </c>
      <c r="C1577" s="6">
        <f ca="1">IF(AND(NEGOCIAÇÕES!O1577="",NEGOCIAÇÕES!N1577&lt;TODAY()),NEGOCIAÇÕES!E1577,"")</f>
        <v>0</v>
      </c>
      <c r="D1577" s="6">
        <f ca="1">IF(AND(NEGOCIAÇÕES!O1577="",NEGOCIAÇÕES!N1577&lt;TODAY()),NEGOCIAÇÕES!D1577,"")</f>
        <v>0</v>
      </c>
      <c r="E1577" s="9">
        <f ca="1">IF(AND(NEGOCIAÇÕES!O1577="",NEGOCIAÇÕES!N1577&lt;TODAY()),NEGOCIAÇÕES!N1577,"")</f>
        <v>0</v>
      </c>
    </row>
    <row r="1578" spans="2:5" ht="31.95" hidden="1" customHeight="1" x14ac:dyDescent="0.3">
      <c r="B1578" s="6" t="str">
        <f ca="1">IF(AND(NEGOCIAÇÕES!O1578="",NEGOCIAÇÕES!N1578&lt;TODAY()),NEGOCIAÇÕES!C1578,"")</f>
        <v/>
      </c>
      <c r="C1578" s="6">
        <f ca="1">IF(AND(NEGOCIAÇÕES!O1578="",NEGOCIAÇÕES!N1578&lt;TODAY()),NEGOCIAÇÕES!E1578,"")</f>
        <v>0</v>
      </c>
      <c r="D1578" s="6">
        <f ca="1">IF(AND(NEGOCIAÇÕES!O1578="",NEGOCIAÇÕES!N1578&lt;TODAY()),NEGOCIAÇÕES!D1578,"")</f>
        <v>0</v>
      </c>
      <c r="E1578" s="9">
        <f ca="1">IF(AND(NEGOCIAÇÕES!O1578="",NEGOCIAÇÕES!N1578&lt;TODAY()),NEGOCIAÇÕES!N1578,"")</f>
        <v>0</v>
      </c>
    </row>
    <row r="1579" spans="2:5" ht="31.95" hidden="1" customHeight="1" x14ac:dyDescent="0.3">
      <c r="B1579" s="6" t="str">
        <f ca="1">IF(AND(NEGOCIAÇÕES!O1579="",NEGOCIAÇÕES!N1579&lt;TODAY()),NEGOCIAÇÕES!C1579,"")</f>
        <v/>
      </c>
      <c r="C1579" s="6">
        <f ca="1">IF(AND(NEGOCIAÇÕES!O1579="",NEGOCIAÇÕES!N1579&lt;TODAY()),NEGOCIAÇÕES!E1579,"")</f>
        <v>0</v>
      </c>
      <c r="D1579" s="6">
        <f ca="1">IF(AND(NEGOCIAÇÕES!O1579="",NEGOCIAÇÕES!N1579&lt;TODAY()),NEGOCIAÇÕES!D1579,"")</f>
        <v>0</v>
      </c>
      <c r="E1579" s="9">
        <f ca="1">IF(AND(NEGOCIAÇÕES!O1579="",NEGOCIAÇÕES!N1579&lt;TODAY()),NEGOCIAÇÕES!N1579,"")</f>
        <v>0</v>
      </c>
    </row>
    <row r="1580" spans="2:5" ht="31.95" hidden="1" customHeight="1" x14ac:dyDescent="0.3">
      <c r="B1580" s="6" t="str">
        <f ca="1">IF(AND(NEGOCIAÇÕES!O1580="",NEGOCIAÇÕES!N1580&lt;TODAY()),NEGOCIAÇÕES!C1580,"")</f>
        <v/>
      </c>
      <c r="C1580" s="6">
        <f ca="1">IF(AND(NEGOCIAÇÕES!O1580="",NEGOCIAÇÕES!N1580&lt;TODAY()),NEGOCIAÇÕES!E1580,"")</f>
        <v>0</v>
      </c>
      <c r="D1580" s="6">
        <f ca="1">IF(AND(NEGOCIAÇÕES!O1580="",NEGOCIAÇÕES!N1580&lt;TODAY()),NEGOCIAÇÕES!D1580,"")</f>
        <v>0</v>
      </c>
      <c r="E1580" s="9">
        <f ca="1">IF(AND(NEGOCIAÇÕES!O1580="",NEGOCIAÇÕES!N1580&lt;TODAY()),NEGOCIAÇÕES!N1580,"")</f>
        <v>0</v>
      </c>
    </row>
    <row r="1581" spans="2:5" ht="31.95" hidden="1" customHeight="1" x14ac:dyDescent="0.3">
      <c r="B1581" s="6" t="str">
        <f ca="1">IF(AND(NEGOCIAÇÕES!O1581="",NEGOCIAÇÕES!N1581&lt;TODAY()),NEGOCIAÇÕES!C1581,"")</f>
        <v/>
      </c>
      <c r="C1581" s="6">
        <f ca="1">IF(AND(NEGOCIAÇÕES!O1581="",NEGOCIAÇÕES!N1581&lt;TODAY()),NEGOCIAÇÕES!E1581,"")</f>
        <v>0</v>
      </c>
      <c r="D1581" s="6">
        <f ca="1">IF(AND(NEGOCIAÇÕES!O1581="",NEGOCIAÇÕES!N1581&lt;TODAY()),NEGOCIAÇÕES!D1581,"")</f>
        <v>0</v>
      </c>
      <c r="E1581" s="9">
        <f ca="1">IF(AND(NEGOCIAÇÕES!O1581="",NEGOCIAÇÕES!N1581&lt;TODAY()),NEGOCIAÇÕES!N1581,"")</f>
        <v>0</v>
      </c>
    </row>
    <row r="1582" spans="2:5" ht="31.95" hidden="1" customHeight="1" x14ac:dyDescent="0.3">
      <c r="B1582" s="6" t="str">
        <f ca="1">IF(AND(NEGOCIAÇÕES!O1582="",NEGOCIAÇÕES!N1582&lt;TODAY()),NEGOCIAÇÕES!C1582,"")</f>
        <v/>
      </c>
      <c r="C1582" s="6">
        <f ca="1">IF(AND(NEGOCIAÇÕES!O1582="",NEGOCIAÇÕES!N1582&lt;TODAY()),NEGOCIAÇÕES!E1582,"")</f>
        <v>0</v>
      </c>
      <c r="D1582" s="6">
        <f ca="1">IF(AND(NEGOCIAÇÕES!O1582="",NEGOCIAÇÕES!N1582&lt;TODAY()),NEGOCIAÇÕES!D1582,"")</f>
        <v>0</v>
      </c>
      <c r="E1582" s="9">
        <f ca="1">IF(AND(NEGOCIAÇÕES!O1582="",NEGOCIAÇÕES!N1582&lt;TODAY()),NEGOCIAÇÕES!N1582,"")</f>
        <v>0</v>
      </c>
    </row>
    <row r="1583" spans="2:5" ht="31.95" hidden="1" customHeight="1" x14ac:dyDescent="0.3">
      <c r="B1583" s="6" t="str">
        <f ca="1">IF(AND(NEGOCIAÇÕES!O1583="",NEGOCIAÇÕES!N1583&lt;TODAY()),NEGOCIAÇÕES!C1583,"")</f>
        <v/>
      </c>
      <c r="C1583" s="6">
        <f ca="1">IF(AND(NEGOCIAÇÕES!O1583="",NEGOCIAÇÕES!N1583&lt;TODAY()),NEGOCIAÇÕES!E1583,"")</f>
        <v>0</v>
      </c>
      <c r="D1583" s="6">
        <f ca="1">IF(AND(NEGOCIAÇÕES!O1583="",NEGOCIAÇÕES!N1583&lt;TODAY()),NEGOCIAÇÕES!D1583,"")</f>
        <v>0</v>
      </c>
      <c r="E1583" s="9">
        <f ca="1">IF(AND(NEGOCIAÇÕES!O1583="",NEGOCIAÇÕES!N1583&lt;TODAY()),NEGOCIAÇÕES!N1583,"")</f>
        <v>0</v>
      </c>
    </row>
    <row r="1584" spans="2:5" ht="31.95" hidden="1" customHeight="1" x14ac:dyDescent="0.3">
      <c r="B1584" s="6" t="str">
        <f ca="1">IF(AND(NEGOCIAÇÕES!O1584="",NEGOCIAÇÕES!N1584&lt;TODAY()),NEGOCIAÇÕES!C1584,"")</f>
        <v/>
      </c>
      <c r="C1584" s="6">
        <f ca="1">IF(AND(NEGOCIAÇÕES!O1584="",NEGOCIAÇÕES!N1584&lt;TODAY()),NEGOCIAÇÕES!E1584,"")</f>
        <v>0</v>
      </c>
      <c r="D1584" s="6">
        <f ca="1">IF(AND(NEGOCIAÇÕES!O1584="",NEGOCIAÇÕES!N1584&lt;TODAY()),NEGOCIAÇÕES!D1584,"")</f>
        <v>0</v>
      </c>
      <c r="E1584" s="9">
        <f ca="1">IF(AND(NEGOCIAÇÕES!O1584="",NEGOCIAÇÕES!N1584&lt;TODAY()),NEGOCIAÇÕES!N1584,"")</f>
        <v>0</v>
      </c>
    </row>
    <row r="1585" spans="2:5" ht="31.95" hidden="1" customHeight="1" x14ac:dyDescent="0.3">
      <c r="B1585" s="6" t="str">
        <f ca="1">IF(AND(NEGOCIAÇÕES!O1585="",NEGOCIAÇÕES!N1585&lt;TODAY()),NEGOCIAÇÕES!C1585,"")</f>
        <v/>
      </c>
      <c r="C1585" s="6">
        <f ca="1">IF(AND(NEGOCIAÇÕES!O1585="",NEGOCIAÇÕES!N1585&lt;TODAY()),NEGOCIAÇÕES!E1585,"")</f>
        <v>0</v>
      </c>
      <c r="D1585" s="6">
        <f ca="1">IF(AND(NEGOCIAÇÕES!O1585="",NEGOCIAÇÕES!N1585&lt;TODAY()),NEGOCIAÇÕES!D1585,"")</f>
        <v>0</v>
      </c>
      <c r="E1585" s="9">
        <f ca="1">IF(AND(NEGOCIAÇÕES!O1585="",NEGOCIAÇÕES!N1585&lt;TODAY()),NEGOCIAÇÕES!N1585,"")</f>
        <v>0</v>
      </c>
    </row>
    <row r="1586" spans="2:5" ht="31.95" hidden="1" customHeight="1" x14ac:dyDescent="0.3">
      <c r="B1586" s="6" t="str">
        <f ca="1">IF(AND(NEGOCIAÇÕES!O1586="",NEGOCIAÇÕES!N1586&lt;TODAY()),NEGOCIAÇÕES!C1586,"")</f>
        <v/>
      </c>
      <c r="C1586" s="6">
        <f ca="1">IF(AND(NEGOCIAÇÕES!O1586="",NEGOCIAÇÕES!N1586&lt;TODAY()),NEGOCIAÇÕES!E1586,"")</f>
        <v>0</v>
      </c>
      <c r="D1586" s="6">
        <f ca="1">IF(AND(NEGOCIAÇÕES!O1586="",NEGOCIAÇÕES!N1586&lt;TODAY()),NEGOCIAÇÕES!D1586,"")</f>
        <v>0</v>
      </c>
      <c r="E1586" s="9">
        <f ca="1">IF(AND(NEGOCIAÇÕES!O1586="",NEGOCIAÇÕES!N1586&lt;TODAY()),NEGOCIAÇÕES!N1586,"")</f>
        <v>0</v>
      </c>
    </row>
    <row r="1587" spans="2:5" ht="31.95" hidden="1" customHeight="1" x14ac:dyDescent="0.3">
      <c r="B1587" s="6" t="str">
        <f ca="1">IF(AND(NEGOCIAÇÕES!O1587="",NEGOCIAÇÕES!N1587&lt;TODAY()),NEGOCIAÇÕES!C1587,"")</f>
        <v/>
      </c>
      <c r="C1587" s="6">
        <f ca="1">IF(AND(NEGOCIAÇÕES!O1587="",NEGOCIAÇÕES!N1587&lt;TODAY()),NEGOCIAÇÕES!E1587,"")</f>
        <v>0</v>
      </c>
      <c r="D1587" s="6">
        <f ca="1">IF(AND(NEGOCIAÇÕES!O1587="",NEGOCIAÇÕES!N1587&lt;TODAY()),NEGOCIAÇÕES!D1587,"")</f>
        <v>0</v>
      </c>
      <c r="E1587" s="9">
        <f ca="1">IF(AND(NEGOCIAÇÕES!O1587="",NEGOCIAÇÕES!N1587&lt;TODAY()),NEGOCIAÇÕES!N1587,"")</f>
        <v>0</v>
      </c>
    </row>
    <row r="1588" spans="2:5" ht="31.95" hidden="1" customHeight="1" x14ac:dyDescent="0.3">
      <c r="B1588" s="6" t="str">
        <f ca="1">IF(AND(NEGOCIAÇÕES!O1588="",NEGOCIAÇÕES!N1588&lt;TODAY()),NEGOCIAÇÕES!C1588,"")</f>
        <v/>
      </c>
      <c r="C1588" s="6">
        <f ca="1">IF(AND(NEGOCIAÇÕES!O1588="",NEGOCIAÇÕES!N1588&lt;TODAY()),NEGOCIAÇÕES!E1588,"")</f>
        <v>0</v>
      </c>
      <c r="D1588" s="6">
        <f ca="1">IF(AND(NEGOCIAÇÕES!O1588="",NEGOCIAÇÕES!N1588&lt;TODAY()),NEGOCIAÇÕES!D1588,"")</f>
        <v>0</v>
      </c>
      <c r="E1588" s="9">
        <f ca="1">IF(AND(NEGOCIAÇÕES!O1588="",NEGOCIAÇÕES!N1588&lt;TODAY()),NEGOCIAÇÕES!N1588,"")</f>
        <v>0</v>
      </c>
    </row>
    <row r="1589" spans="2:5" ht="31.95" hidden="1" customHeight="1" x14ac:dyDescent="0.3">
      <c r="B1589" s="6" t="str">
        <f ca="1">IF(AND(NEGOCIAÇÕES!O1589="",NEGOCIAÇÕES!N1589&lt;TODAY()),NEGOCIAÇÕES!C1589,"")</f>
        <v/>
      </c>
      <c r="C1589" s="6">
        <f ca="1">IF(AND(NEGOCIAÇÕES!O1589="",NEGOCIAÇÕES!N1589&lt;TODAY()),NEGOCIAÇÕES!E1589,"")</f>
        <v>0</v>
      </c>
      <c r="D1589" s="6">
        <f ca="1">IF(AND(NEGOCIAÇÕES!O1589="",NEGOCIAÇÕES!N1589&lt;TODAY()),NEGOCIAÇÕES!D1589,"")</f>
        <v>0</v>
      </c>
      <c r="E1589" s="9">
        <f ca="1">IF(AND(NEGOCIAÇÕES!O1589="",NEGOCIAÇÕES!N1589&lt;TODAY()),NEGOCIAÇÕES!N1589,"")</f>
        <v>0</v>
      </c>
    </row>
    <row r="1590" spans="2:5" ht="31.95" hidden="1" customHeight="1" x14ac:dyDescent="0.3">
      <c r="B1590" s="6" t="str">
        <f ca="1">IF(AND(NEGOCIAÇÕES!O1590="",NEGOCIAÇÕES!N1590&lt;TODAY()),NEGOCIAÇÕES!C1590,"")</f>
        <v/>
      </c>
      <c r="C1590" s="6">
        <f ca="1">IF(AND(NEGOCIAÇÕES!O1590="",NEGOCIAÇÕES!N1590&lt;TODAY()),NEGOCIAÇÕES!E1590,"")</f>
        <v>0</v>
      </c>
      <c r="D1590" s="6">
        <f ca="1">IF(AND(NEGOCIAÇÕES!O1590="",NEGOCIAÇÕES!N1590&lt;TODAY()),NEGOCIAÇÕES!D1590,"")</f>
        <v>0</v>
      </c>
      <c r="E1590" s="9">
        <f ca="1">IF(AND(NEGOCIAÇÕES!O1590="",NEGOCIAÇÕES!N1590&lt;TODAY()),NEGOCIAÇÕES!N1590,"")</f>
        <v>0</v>
      </c>
    </row>
    <row r="1591" spans="2:5" ht="31.95" hidden="1" customHeight="1" x14ac:dyDescent="0.3">
      <c r="B1591" s="6" t="str">
        <f ca="1">IF(AND(NEGOCIAÇÕES!O1591="",NEGOCIAÇÕES!N1591&lt;TODAY()),NEGOCIAÇÕES!C1591,"")</f>
        <v/>
      </c>
      <c r="C1591" s="6">
        <f ca="1">IF(AND(NEGOCIAÇÕES!O1591="",NEGOCIAÇÕES!N1591&lt;TODAY()),NEGOCIAÇÕES!E1591,"")</f>
        <v>0</v>
      </c>
      <c r="D1591" s="6">
        <f ca="1">IF(AND(NEGOCIAÇÕES!O1591="",NEGOCIAÇÕES!N1591&lt;TODAY()),NEGOCIAÇÕES!D1591,"")</f>
        <v>0</v>
      </c>
      <c r="E1591" s="9">
        <f ca="1">IF(AND(NEGOCIAÇÕES!O1591="",NEGOCIAÇÕES!N1591&lt;TODAY()),NEGOCIAÇÕES!N1591,"")</f>
        <v>0</v>
      </c>
    </row>
    <row r="1592" spans="2:5" ht="31.95" hidden="1" customHeight="1" x14ac:dyDescent="0.3">
      <c r="B1592" s="6" t="str">
        <f ca="1">IF(AND(NEGOCIAÇÕES!O1592="",NEGOCIAÇÕES!N1592&lt;TODAY()),NEGOCIAÇÕES!C1592,"")</f>
        <v/>
      </c>
      <c r="C1592" s="6">
        <f ca="1">IF(AND(NEGOCIAÇÕES!O1592="",NEGOCIAÇÕES!N1592&lt;TODAY()),NEGOCIAÇÕES!E1592,"")</f>
        <v>0</v>
      </c>
      <c r="D1592" s="6">
        <f ca="1">IF(AND(NEGOCIAÇÕES!O1592="",NEGOCIAÇÕES!N1592&lt;TODAY()),NEGOCIAÇÕES!D1592,"")</f>
        <v>0</v>
      </c>
      <c r="E1592" s="9">
        <f ca="1">IF(AND(NEGOCIAÇÕES!O1592="",NEGOCIAÇÕES!N1592&lt;TODAY()),NEGOCIAÇÕES!N1592,"")</f>
        <v>0</v>
      </c>
    </row>
    <row r="1593" spans="2:5" ht="31.95" hidden="1" customHeight="1" x14ac:dyDescent="0.3">
      <c r="B1593" s="6" t="str">
        <f ca="1">IF(AND(NEGOCIAÇÕES!O1593="",NEGOCIAÇÕES!N1593&lt;TODAY()),NEGOCIAÇÕES!C1593,"")</f>
        <v/>
      </c>
      <c r="C1593" s="6">
        <f ca="1">IF(AND(NEGOCIAÇÕES!O1593="",NEGOCIAÇÕES!N1593&lt;TODAY()),NEGOCIAÇÕES!E1593,"")</f>
        <v>0</v>
      </c>
      <c r="D1593" s="6">
        <f ca="1">IF(AND(NEGOCIAÇÕES!O1593="",NEGOCIAÇÕES!N1593&lt;TODAY()),NEGOCIAÇÕES!D1593,"")</f>
        <v>0</v>
      </c>
      <c r="E1593" s="9">
        <f ca="1">IF(AND(NEGOCIAÇÕES!O1593="",NEGOCIAÇÕES!N1593&lt;TODAY()),NEGOCIAÇÕES!N1593,"")</f>
        <v>0</v>
      </c>
    </row>
    <row r="1594" spans="2:5" ht="31.95" hidden="1" customHeight="1" x14ac:dyDescent="0.3">
      <c r="B1594" s="6" t="str">
        <f ca="1">IF(AND(NEGOCIAÇÕES!O1594="",NEGOCIAÇÕES!N1594&lt;TODAY()),NEGOCIAÇÕES!C1594,"")</f>
        <v/>
      </c>
      <c r="C1594" s="6">
        <f ca="1">IF(AND(NEGOCIAÇÕES!O1594="",NEGOCIAÇÕES!N1594&lt;TODAY()),NEGOCIAÇÕES!E1594,"")</f>
        <v>0</v>
      </c>
      <c r="D1594" s="6">
        <f ca="1">IF(AND(NEGOCIAÇÕES!O1594="",NEGOCIAÇÕES!N1594&lt;TODAY()),NEGOCIAÇÕES!D1594,"")</f>
        <v>0</v>
      </c>
      <c r="E1594" s="9">
        <f ca="1">IF(AND(NEGOCIAÇÕES!O1594="",NEGOCIAÇÕES!N1594&lt;TODAY()),NEGOCIAÇÕES!N1594,"")</f>
        <v>0</v>
      </c>
    </row>
    <row r="1595" spans="2:5" ht="31.95" hidden="1" customHeight="1" x14ac:dyDescent="0.3">
      <c r="B1595" s="6" t="str">
        <f ca="1">IF(AND(NEGOCIAÇÕES!O1595="",NEGOCIAÇÕES!N1595&lt;TODAY()),NEGOCIAÇÕES!C1595,"")</f>
        <v/>
      </c>
      <c r="C1595" s="6">
        <f ca="1">IF(AND(NEGOCIAÇÕES!O1595="",NEGOCIAÇÕES!N1595&lt;TODAY()),NEGOCIAÇÕES!E1595,"")</f>
        <v>0</v>
      </c>
      <c r="D1595" s="6">
        <f ca="1">IF(AND(NEGOCIAÇÕES!O1595="",NEGOCIAÇÕES!N1595&lt;TODAY()),NEGOCIAÇÕES!D1595,"")</f>
        <v>0</v>
      </c>
      <c r="E1595" s="9">
        <f ca="1">IF(AND(NEGOCIAÇÕES!O1595="",NEGOCIAÇÕES!N1595&lt;TODAY()),NEGOCIAÇÕES!N1595,"")</f>
        <v>0</v>
      </c>
    </row>
    <row r="1596" spans="2:5" ht="31.95" hidden="1" customHeight="1" x14ac:dyDescent="0.3">
      <c r="B1596" s="6" t="str">
        <f ca="1">IF(AND(NEGOCIAÇÕES!O1596="",NEGOCIAÇÕES!N1596&lt;TODAY()),NEGOCIAÇÕES!C1596,"")</f>
        <v/>
      </c>
      <c r="C1596" s="6">
        <f ca="1">IF(AND(NEGOCIAÇÕES!O1596="",NEGOCIAÇÕES!N1596&lt;TODAY()),NEGOCIAÇÕES!E1596,"")</f>
        <v>0</v>
      </c>
      <c r="D1596" s="6">
        <f ca="1">IF(AND(NEGOCIAÇÕES!O1596="",NEGOCIAÇÕES!N1596&lt;TODAY()),NEGOCIAÇÕES!D1596,"")</f>
        <v>0</v>
      </c>
      <c r="E1596" s="9">
        <f ca="1">IF(AND(NEGOCIAÇÕES!O1596="",NEGOCIAÇÕES!N1596&lt;TODAY()),NEGOCIAÇÕES!N1596,"")</f>
        <v>0</v>
      </c>
    </row>
    <row r="1597" spans="2:5" ht="31.95" hidden="1" customHeight="1" x14ac:dyDescent="0.3">
      <c r="B1597" s="6" t="str">
        <f ca="1">IF(AND(NEGOCIAÇÕES!O1597="",NEGOCIAÇÕES!N1597&lt;TODAY()),NEGOCIAÇÕES!C1597,"")</f>
        <v/>
      </c>
      <c r="C1597" s="6">
        <f ca="1">IF(AND(NEGOCIAÇÕES!O1597="",NEGOCIAÇÕES!N1597&lt;TODAY()),NEGOCIAÇÕES!E1597,"")</f>
        <v>0</v>
      </c>
      <c r="D1597" s="6">
        <f ca="1">IF(AND(NEGOCIAÇÕES!O1597="",NEGOCIAÇÕES!N1597&lt;TODAY()),NEGOCIAÇÕES!D1597,"")</f>
        <v>0</v>
      </c>
      <c r="E1597" s="9">
        <f ca="1">IF(AND(NEGOCIAÇÕES!O1597="",NEGOCIAÇÕES!N1597&lt;TODAY()),NEGOCIAÇÕES!N1597,"")</f>
        <v>0</v>
      </c>
    </row>
    <row r="1598" spans="2:5" ht="31.95" hidden="1" customHeight="1" x14ac:dyDescent="0.3">
      <c r="B1598" s="6" t="str">
        <f ca="1">IF(AND(NEGOCIAÇÕES!O1598="",NEGOCIAÇÕES!N1598&lt;TODAY()),NEGOCIAÇÕES!C1598,"")</f>
        <v/>
      </c>
      <c r="C1598" s="6">
        <f ca="1">IF(AND(NEGOCIAÇÕES!O1598="",NEGOCIAÇÕES!N1598&lt;TODAY()),NEGOCIAÇÕES!E1598,"")</f>
        <v>0</v>
      </c>
      <c r="D1598" s="6">
        <f ca="1">IF(AND(NEGOCIAÇÕES!O1598="",NEGOCIAÇÕES!N1598&lt;TODAY()),NEGOCIAÇÕES!D1598,"")</f>
        <v>0</v>
      </c>
      <c r="E1598" s="9">
        <f ca="1">IF(AND(NEGOCIAÇÕES!O1598="",NEGOCIAÇÕES!N1598&lt;TODAY()),NEGOCIAÇÕES!N1598,"")</f>
        <v>0</v>
      </c>
    </row>
    <row r="1599" spans="2:5" ht="31.95" hidden="1" customHeight="1" x14ac:dyDescent="0.3">
      <c r="B1599" s="6" t="str">
        <f ca="1">IF(AND(NEGOCIAÇÕES!O1599="",NEGOCIAÇÕES!N1599&lt;TODAY()),NEGOCIAÇÕES!C1599,"")</f>
        <v/>
      </c>
      <c r="C1599" s="6">
        <f ca="1">IF(AND(NEGOCIAÇÕES!O1599="",NEGOCIAÇÕES!N1599&lt;TODAY()),NEGOCIAÇÕES!E1599,"")</f>
        <v>0</v>
      </c>
      <c r="D1599" s="6">
        <f ca="1">IF(AND(NEGOCIAÇÕES!O1599="",NEGOCIAÇÕES!N1599&lt;TODAY()),NEGOCIAÇÕES!D1599,"")</f>
        <v>0</v>
      </c>
      <c r="E1599" s="9">
        <f ca="1">IF(AND(NEGOCIAÇÕES!O1599="",NEGOCIAÇÕES!N1599&lt;TODAY()),NEGOCIAÇÕES!N1599,"")</f>
        <v>0</v>
      </c>
    </row>
    <row r="1600" spans="2:5" ht="31.95" hidden="1" customHeight="1" x14ac:dyDescent="0.3">
      <c r="B1600" s="6" t="str">
        <f ca="1">IF(AND(NEGOCIAÇÕES!O1600="",NEGOCIAÇÕES!N1600&lt;TODAY()),NEGOCIAÇÕES!C1600,"")</f>
        <v/>
      </c>
      <c r="C1600" s="6">
        <f ca="1">IF(AND(NEGOCIAÇÕES!O1600="",NEGOCIAÇÕES!N1600&lt;TODAY()),NEGOCIAÇÕES!E1600,"")</f>
        <v>0</v>
      </c>
      <c r="D1600" s="6">
        <f ca="1">IF(AND(NEGOCIAÇÕES!O1600="",NEGOCIAÇÕES!N1600&lt;TODAY()),NEGOCIAÇÕES!D1600,"")</f>
        <v>0</v>
      </c>
      <c r="E1600" s="9">
        <f ca="1">IF(AND(NEGOCIAÇÕES!O1600="",NEGOCIAÇÕES!N1600&lt;TODAY()),NEGOCIAÇÕES!N1600,"")</f>
        <v>0</v>
      </c>
    </row>
    <row r="1601" spans="2:5" ht="31.95" hidden="1" customHeight="1" x14ac:dyDescent="0.3">
      <c r="B1601" s="6" t="str">
        <f ca="1">IF(AND(NEGOCIAÇÕES!O1601="",NEGOCIAÇÕES!N1601&lt;TODAY()),NEGOCIAÇÕES!C1601,"")</f>
        <v/>
      </c>
      <c r="C1601" s="6">
        <f ca="1">IF(AND(NEGOCIAÇÕES!O1601="",NEGOCIAÇÕES!N1601&lt;TODAY()),NEGOCIAÇÕES!E1601,"")</f>
        <v>0</v>
      </c>
      <c r="D1601" s="6">
        <f ca="1">IF(AND(NEGOCIAÇÕES!O1601="",NEGOCIAÇÕES!N1601&lt;TODAY()),NEGOCIAÇÕES!D1601,"")</f>
        <v>0</v>
      </c>
      <c r="E1601" s="9">
        <f ca="1">IF(AND(NEGOCIAÇÕES!O1601="",NEGOCIAÇÕES!N1601&lt;TODAY()),NEGOCIAÇÕES!N1601,"")</f>
        <v>0</v>
      </c>
    </row>
    <row r="1602" spans="2:5" ht="31.95" hidden="1" customHeight="1" x14ac:dyDescent="0.3">
      <c r="B1602" s="6" t="str">
        <f ca="1">IF(AND(NEGOCIAÇÕES!O1602="",NEGOCIAÇÕES!N1602&lt;TODAY()),NEGOCIAÇÕES!C1602,"")</f>
        <v/>
      </c>
      <c r="C1602" s="6">
        <f ca="1">IF(AND(NEGOCIAÇÕES!O1602="",NEGOCIAÇÕES!N1602&lt;TODAY()),NEGOCIAÇÕES!E1602,"")</f>
        <v>0</v>
      </c>
      <c r="D1602" s="6">
        <f ca="1">IF(AND(NEGOCIAÇÕES!O1602="",NEGOCIAÇÕES!N1602&lt;TODAY()),NEGOCIAÇÕES!D1602,"")</f>
        <v>0</v>
      </c>
      <c r="E1602" s="9">
        <f ca="1">IF(AND(NEGOCIAÇÕES!O1602="",NEGOCIAÇÕES!N1602&lt;TODAY()),NEGOCIAÇÕES!N1602,"")</f>
        <v>0</v>
      </c>
    </row>
    <row r="1603" spans="2:5" ht="31.95" hidden="1" customHeight="1" x14ac:dyDescent="0.3">
      <c r="B1603" s="6" t="str">
        <f ca="1">IF(AND(NEGOCIAÇÕES!O1603="",NEGOCIAÇÕES!N1603&lt;TODAY()),NEGOCIAÇÕES!C1603,"")</f>
        <v/>
      </c>
      <c r="C1603" s="6">
        <f ca="1">IF(AND(NEGOCIAÇÕES!O1603="",NEGOCIAÇÕES!N1603&lt;TODAY()),NEGOCIAÇÕES!E1603,"")</f>
        <v>0</v>
      </c>
      <c r="D1603" s="6">
        <f ca="1">IF(AND(NEGOCIAÇÕES!O1603="",NEGOCIAÇÕES!N1603&lt;TODAY()),NEGOCIAÇÕES!D1603,"")</f>
        <v>0</v>
      </c>
      <c r="E1603" s="9">
        <f ca="1">IF(AND(NEGOCIAÇÕES!O1603="",NEGOCIAÇÕES!N1603&lt;TODAY()),NEGOCIAÇÕES!N1603,"")</f>
        <v>0</v>
      </c>
    </row>
    <row r="1604" spans="2:5" ht="31.95" hidden="1" customHeight="1" x14ac:dyDescent="0.3">
      <c r="B1604" s="6" t="str">
        <f ca="1">IF(AND(NEGOCIAÇÕES!O1604="",NEGOCIAÇÕES!N1604&lt;TODAY()),NEGOCIAÇÕES!C1604,"")</f>
        <v/>
      </c>
      <c r="C1604" s="6">
        <f ca="1">IF(AND(NEGOCIAÇÕES!O1604="",NEGOCIAÇÕES!N1604&lt;TODAY()),NEGOCIAÇÕES!E1604,"")</f>
        <v>0</v>
      </c>
      <c r="D1604" s="6">
        <f ca="1">IF(AND(NEGOCIAÇÕES!O1604="",NEGOCIAÇÕES!N1604&lt;TODAY()),NEGOCIAÇÕES!D1604,"")</f>
        <v>0</v>
      </c>
      <c r="E1604" s="9">
        <f ca="1">IF(AND(NEGOCIAÇÕES!O1604="",NEGOCIAÇÕES!N1604&lt;TODAY()),NEGOCIAÇÕES!N1604,"")</f>
        <v>0</v>
      </c>
    </row>
    <row r="1605" spans="2:5" ht="31.95" hidden="1" customHeight="1" x14ac:dyDescent="0.3">
      <c r="B1605" s="6" t="str">
        <f ca="1">IF(AND(NEGOCIAÇÕES!O1605="",NEGOCIAÇÕES!N1605&lt;TODAY()),NEGOCIAÇÕES!C1605,"")</f>
        <v/>
      </c>
      <c r="C1605" s="6">
        <f ca="1">IF(AND(NEGOCIAÇÕES!O1605="",NEGOCIAÇÕES!N1605&lt;TODAY()),NEGOCIAÇÕES!E1605,"")</f>
        <v>0</v>
      </c>
      <c r="D1605" s="6">
        <f ca="1">IF(AND(NEGOCIAÇÕES!O1605="",NEGOCIAÇÕES!N1605&lt;TODAY()),NEGOCIAÇÕES!D1605,"")</f>
        <v>0</v>
      </c>
      <c r="E1605" s="9">
        <f ca="1">IF(AND(NEGOCIAÇÕES!O1605="",NEGOCIAÇÕES!N1605&lt;TODAY()),NEGOCIAÇÕES!N1605,"")</f>
        <v>0</v>
      </c>
    </row>
    <row r="1606" spans="2:5" ht="31.95" hidden="1" customHeight="1" x14ac:dyDescent="0.3">
      <c r="B1606" s="6" t="str">
        <f ca="1">IF(AND(NEGOCIAÇÕES!O1606="",NEGOCIAÇÕES!N1606&lt;TODAY()),NEGOCIAÇÕES!C1606,"")</f>
        <v/>
      </c>
      <c r="C1606" s="6">
        <f ca="1">IF(AND(NEGOCIAÇÕES!O1606="",NEGOCIAÇÕES!N1606&lt;TODAY()),NEGOCIAÇÕES!E1606,"")</f>
        <v>0</v>
      </c>
      <c r="D1606" s="6">
        <f ca="1">IF(AND(NEGOCIAÇÕES!O1606="",NEGOCIAÇÕES!N1606&lt;TODAY()),NEGOCIAÇÕES!D1606,"")</f>
        <v>0</v>
      </c>
      <c r="E1606" s="9">
        <f ca="1">IF(AND(NEGOCIAÇÕES!O1606="",NEGOCIAÇÕES!N1606&lt;TODAY()),NEGOCIAÇÕES!N1606,"")</f>
        <v>0</v>
      </c>
    </row>
    <row r="1607" spans="2:5" ht="31.95" hidden="1" customHeight="1" x14ac:dyDescent="0.3">
      <c r="B1607" s="6" t="str">
        <f ca="1">IF(AND(NEGOCIAÇÕES!O1607="",NEGOCIAÇÕES!N1607&lt;TODAY()),NEGOCIAÇÕES!C1607,"")</f>
        <v/>
      </c>
      <c r="C1607" s="6">
        <f ca="1">IF(AND(NEGOCIAÇÕES!O1607="",NEGOCIAÇÕES!N1607&lt;TODAY()),NEGOCIAÇÕES!E1607,"")</f>
        <v>0</v>
      </c>
      <c r="D1607" s="6">
        <f ca="1">IF(AND(NEGOCIAÇÕES!O1607="",NEGOCIAÇÕES!N1607&lt;TODAY()),NEGOCIAÇÕES!D1607,"")</f>
        <v>0</v>
      </c>
      <c r="E1607" s="9">
        <f ca="1">IF(AND(NEGOCIAÇÕES!O1607="",NEGOCIAÇÕES!N1607&lt;TODAY()),NEGOCIAÇÕES!N1607,"")</f>
        <v>0</v>
      </c>
    </row>
    <row r="1608" spans="2:5" ht="31.95" hidden="1" customHeight="1" x14ac:dyDescent="0.3">
      <c r="B1608" s="6" t="str">
        <f ca="1">IF(AND(NEGOCIAÇÕES!O1608="",NEGOCIAÇÕES!N1608&lt;TODAY()),NEGOCIAÇÕES!C1608,"")</f>
        <v/>
      </c>
      <c r="C1608" s="6">
        <f ca="1">IF(AND(NEGOCIAÇÕES!O1608="",NEGOCIAÇÕES!N1608&lt;TODAY()),NEGOCIAÇÕES!E1608,"")</f>
        <v>0</v>
      </c>
      <c r="D1608" s="6">
        <f ca="1">IF(AND(NEGOCIAÇÕES!O1608="",NEGOCIAÇÕES!N1608&lt;TODAY()),NEGOCIAÇÕES!D1608,"")</f>
        <v>0</v>
      </c>
      <c r="E1608" s="9">
        <f ca="1">IF(AND(NEGOCIAÇÕES!O1608="",NEGOCIAÇÕES!N1608&lt;TODAY()),NEGOCIAÇÕES!N1608,"")</f>
        <v>0</v>
      </c>
    </row>
    <row r="1609" spans="2:5" ht="31.95" hidden="1" customHeight="1" x14ac:dyDescent="0.3">
      <c r="B1609" s="6" t="str">
        <f ca="1">IF(AND(NEGOCIAÇÕES!O1609="",NEGOCIAÇÕES!N1609&lt;TODAY()),NEGOCIAÇÕES!C1609,"")</f>
        <v/>
      </c>
      <c r="C1609" s="6">
        <f ca="1">IF(AND(NEGOCIAÇÕES!O1609="",NEGOCIAÇÕES!N1609&lt;TODAY()),NEGOCIAÇÕES!E1609,"")</f>
        <v>0</v>
      </c>
      <c r="D1609" s="6">
        <f ca="1">IF(AND(NEGOCIAÇÕES!O1609="",NEGOCIAÇÕES!N1609&lt;TODAY()),NEGOCIAÇÕES!D1609,"")</f>
        <v>0</v>
      </c>
      <c r="E1609" s="9">
        <f ca="1">IF(AND(NEGOCIAÇÕES!O1609="",NEGOCIAÇÕES!N1609&lt;TODAY()),NEGOCIAÇÕES!N1609,"")</f>
        <v>0</v>
      </c>
    </row>
    <row r="1610" spans="2:5" ht="31.95" hidden="1" customHeight="1" x14ac:dyDescent="0.3">
      <c r="B1610" s="6" t="str">
        <f ca="1">IF(AND(NEGOCIAÇÕES!O1610="",NEGOCIAÇÕES!N1610&lt;TODAY()),NEGOCIAÇÕES!C1610,"")</f>
        <v/>
      </c>
      <c r="C1610" s="6">
        <f ca="1">IF(AND(NEGOCIAÇÕES!O1610="",NEGOCIAÇÕES!N1610&lt;TODAY()),NEGOCIAÇÕES!E1610,"")</f>
        <v>0</v>
      </c>
      <c r="D1610" s="6">
        <f ca="1">IF(AND(NEGOCIAÇÕES!O1610="",NEGOCIAÇÕES!N1610&lt;TODAY()),NEGOCIAÇÕES!D1610,"")</f>
        <v>0</v>
      </c>
      <c r="E1610" s="9">
        <f ca="1">IF(AND(NEGOCIAÇÕES!O1610="",NEGOCIAÇÕES!N1610&lt;TODAY()),NEGOCIAÇÕES!N1610,"")</f>
        <v>0</v>
      </c>
    </row>
    <row r="1611" spans="2:5" ht="31.95" hidden="1" customHeight="1" x14ac:dyDescent="0.3">
      <c r="B1611" s="6" t="str">
        <f ca="1">IF(AND(NEGOCIAÇÕES!O1611="",NEGOCIAÇÕES!N1611&lt;TODAY()),NEGOCIAÇÕES!C1611,"")</f>
        <v/>
      </c>
      <c r="C1611" s="6">
        <f ca="1">IF(AND(NEGOCIAÇÕES!O1611="",NEGOCIAÇÕES!N1611&lt;TODAY()),NEGOCIAÇÕES!E1611,"")</f>
        <v>0</v>
      </c>
      <c r="D1611" s="6">
        <f ca="1">IF(AND(NEGOCIAÇÕES!O1611="",NEGOCIAÇÕES!N1611&lt;TODAY()),NEGOCIAÇÕES!D1611,"")</f>
        <v>0</v>
      </c>
      <c r="E1611" s="9">
        <f ca="1">IF(AND(NEGOCIAÇÕES!O1611="",NEGOCIAÇÕES!N1611&lt;TODAY()),NEGOCIAÇÕES!N1611,"")</f>
        <v>0</v>
      </c>
    </row>
    <row r="1612" spans="2:5" ht="31.95" hidden="1" customHeight="1" x14ac:dyDescent="0.3">
      <c r="B1612" s="6" t="str">
        <f ca="1">IF(AND(NEGOCIAÇÕES!O1612="",NEGOCIAÇÕES!N1612&lt;TODAY()),NEGOCIAÇÕES!C1612,"")</f>
        <v/>
      </c>
      <c r="C1612" s="6">
        <f ca="1">IF(AND(NEGOCIAÇÕES!O1612="",NEGOCIAÇÕES!N1612&lt;TODAY()),NEGOCIAÇÕES!E1612,"")</f>
        <v>0</v>
      </c>
      <c r="D1612" s="6">
        <f ca="1">IF(AND(NEGOCIAÇÕES!O1612="",NEGOCIAÇÕES!N1612&lt;TODAY()),NEGOCIAÇÕES!D1612,"")</f>
        <v>0</v>
      </c>
      <c r="E1612" s="9">
        <f ca="1">IF(AND(NEGOCIAÇÕES!O1612="",NEGOCIAÇÕES!N1612&lt;TODAY()),NEGOCIAÇÕES!N1612,"")</f>
        <v>0</v>
      </c>
    </row>
    <row r="1613" spans="2:5" ht="31.95" hidden="1" customHeight="1" x14ac:dyDescent="0.3">
      <c r="B1613" s="6" t="str">
        <f ca="1">IF(AND(NEGOCIAÇÕES!O1613="",NEGOCIAÇÕES!N1613&lt;TODAY()),NEGOCIAÇÕES!C1613,"")</f>
        <v/>
      </c>
      <c r="C1613" s="6">
        <f ca="1">IF(AND(NEGOCIAÇÕES!O1613="",NEGOCIAÇÕES!N1613&lt;TODAY()),NEGOCIAÇÕES!E1613,"")</f>
        <v>0</v>
      </c>
      <c r="D1613" s="6">
        <f ca="1">IF(AND(NEGOCIAÇÕES!O1613="",NEGOCIAÇÕES!N1613&lt;TODAY()),NEGOCIAÇÕES!D1613,"")</f>
        <v>0</v>
      </c>
      <c r="E1613" s="9">
        <f ca="1">IF(AND(NEGOCIAÇÕES!O1613="",NEGOCIAÇÕES!N1613&lt;TODAY()),NEGOCIAÇÕES!N1613,"")</f>
        <v>0</v>
      </c>
    </row>
    <row r="1614" spans="2:5" ht="31.95" hidden="1" customHeight="1" x14ac:dyDescent="0.3">
      <c r="B1614" s="6" t="str">
        <f ca="1">IF(AND(NEGOCIAÇÕES!O1614="",NEGOCIAÇÕES!N1614&lt;TODAY()),NEGOCIAÇÕES!C1614,"")</f>
        <v/>
      </c>
      <c r="C1614" s="6">
        <f ca="1">IF(AND(NEGOCIAÇÕES!O1614="",NEGOCIAÇÕES!N1614&lt;TODAY()),NEGOCIAÇÕES!E1614,"")</f>
        <v>0</v>
      </c>
      <c r="D1614" s="6">
        <f ca="1">IF(AND(NEGOCIAÇÕES!O1614="",NEGOCIAÇÕES!N1614&lt;TODAY()),NEGOCIAÇÕES!D1614,"")</f>
        <v>0</v>
      </c>
      <c r="E1614" s="9">
        <f ca="1">IF(AND(NEGOCIAÇÕES!O1614="",NEGOCIAÇÕES!N1614&lt;TODAY()),NEGOCIAÇÕES!N1614,"")</f>
        <v>0</v>
      </c>
    </row>
    <row r="1615" spans="2:5" ht="31.95" hidden="1" customHeight="1" x14ac:dyDescent="0.3">
      <c r="B1615" s="6" t="str">
        <f ca="1">IF(AND(NEGOCIAÇÕES!O1615="",NEGOCIAÇÕES!N1615&lt;TODAY()),NEGOCIAÇÕES!C1615,"")</f>
        <v/>
      </c>
      <c r="C1615" s="6">
        <f ca="1">IF(AND(NEGOCIAÇÕES!O1615="",NEGOCIAÇÕES!N1615&lt;TODAY()),NEGOCIAÇÕES!E1615,"")</f>
        <v>0</v>
      </c>
      <c r="D1615" s="6">
        <f ca="1">IF(AND(NEGOCIAÇÕES!O1615="",NEGOCIAÇÕES!N1615&lt;TODAY()),NEGOCIAÇÕES!D1615,"")</f>
        <v>0</v>
      </c>
      <c r="E1615" s="9">
        <f ca="1">IF(AND(NEGOCIAÇÕES!O1615="",NEGOCIAÇÕES!N1615&lt;TODAY()),NEGOCIAÇÕES!N1615,"")</f>
        <v>0</v>
      </c>
    </row>
    <row r="1616" spans="2:5" ht="31.95" hidden="1" customHeight="1" x14ac:dyDescent="0.3">
      <c r="B1616" s="6" t="str">
        <f ca="1">IF(AND(NEGOCIAÇÕES!O1616="",NEGOCIAÇÕES!N1616&lt;TODAY()),NEGOCIAÇÕES!C1616,"")</f>
        <v/>
      </c>
      <c r="C1616" s="6">
        <f ca="1">IF(AND(NEGOCIAÇÕES!O1616="",NEGOCIAÇÕES!N1616&lt;TODAY()),NEGOCIAÇÕES!E1616,"")</f>
        <v>0</v>
      </c>
      <c r="D1616" s="6">
        <f ca="1">IF(AND(NEGOCIAÇÕES!O1616="",NEGOCIAÇÕES!N1616&lt;TODAY()),NEGOCIAÇÕES!D1616,"")</f>
        <v>0</v>
      </c>
      <c r="E1616" s="9">
        <f ca="1">IF(AND(NEGOCIAÇÕES!O1616="",NEGOCIAÇÕES!N1616&lt;TODAY()),NEGOCIAÇÕES!N1616,"")</f>
        <v>0</v>
      </c>
    </row>
    <row r="1617" spans="2:5" ht="31.95" hidden="1" customHeight="1" x14ac:dyDescent="0.3">
      <c r="B1617" s="6" t="str">
        <f ca="1">IF(AND(NEGOCIAÇÕES!O1617="",NEGOCIAÇÕES!N1617&lt;TODAY()),NEGOCIAÇÕES!C1617,"")</f>
        <v/>
      </c>
      <c r="C1617" s="6">
        <f ca="1">IF(AND(NEGOCIAÇÕES!O1617="",NEGOCIAÇÕES!N1617&lt;TODAY()),NEGOCIAÇÕES!E1617,"")</f>
        <v>0</v>
      </c>
      <c r="D1617" s="6">
        <f ca="1">IF(AND(NEGOCIAÇÕES!O1617="",NEGOCIAÇÕES!N1617&lt;TODAY()),NEGOCIAÇÕES!D1617,"")</f>
        <v>0</v>
      </c>
      <c r="E1617" s="9">
        <f ca="1">IF(AND(NEGOCIAÇÕES!O1617="",NEGOCIAÇÕES!N1617&lt;TODAY()),NEGOCIAÇÕES!N1617,"")</f>
        <v>0</v>
      </c>
    </row>
    <row r="1618" spans="2:5" ht="31.95" hidden="1" customHeight="1" x14ac:dyDescent="0.3">
      <c r="B1618" s="6" t="str">
        <f ca="1">IF(AND(NEGOCIAÇÕES!O1618="",NEGOCIAÇÕES!N1618&lt;TODAY()),NEGOCIAÇÕES!C1618,"")</f>
        <v/>
      </c>
      <c r="C1618" s="6">
        <f ca="1">IF(AND(NEGOCIAÇÕES!O1618="",NEGOCIAÇÕES!N1618&lt;TODAY()),NEGOCIAÇÕES!E1618,"")</f>
        <v>0</v>
      </c>
      <c r="D1618" s="6">
        <f ca="1">IF(AND(NEGOCIAÇÕES!O1618="",NEGOCIAÇÕES!N1618&lt;TODAY()),NEGOCIAÇÕES!D1618,"")</f>
        <v>0</v>
      </c>
      <c r="E1618" s="9">
        <f ca="1">IF(AND(NEGOCIAÇÕES!O1618="",NEGOCIAÇÕES!N1618&lt;TODAY()),NEGOCIAÇÕES!N1618,"")</f>
        <v>0</v>
      </c>
    </row>
    <row r="1619" spans="2:5" ht="31.95" hidden="1" customHeight="1" x14ac:dyDescent="0.3">
      <c r="B1619" s="6" t="str">
        <f ca="1">IF(AND(NEGOCIAÇÕES!O1619="",NEGOCIAÇÕES!N1619&lt;TODAY()),NEGOCIAÇÕES!C1619,"")</f>
        <v/>
      </c>
      <c r="C1619" s="6">
        <f ca="1">IF(AND(NEGOCIAÇÕES!O1619="",NEGOCIAÇÕES!N1619&lt;TODAY()),NEGOCIAÇÕES!E1619,"")</f>
        <v>0</v>
      </c>
      <c r="D1619" s="6">
        <f ca="1">IF(AND(NEGOCIAÇÕES!O1619="",NEGOCIAÇÕES!N1619&lt;TODAY()),NEGOCIAÇÕES!D1619,"")</f>
        <v>0</v>
      </c>
      <c r="E1619" s="9">
        <f ca="1">IF(AND(NEGOCIAÇÕES!O1619="",NEGOCIAÇÕES!N1619&lt;TODAY()),NEGOCIAÇÕES!N1619,"")</f>
        <v>0</v>
      </c>
    </row>
    <row r="1620" spans="2:5" ht="31.95" hidden="1" customHeight="1" x14ac:dyDescent="0.3">
      <c r="B1620" s="6" t="str">
        <f ca="1">IF(AND(NEGOCIAÇÕES!O1620="",NEGOCIAÇÕES!N1620&lt;TODAY()),NEGOCIAÇÕES!C1620,"")</f>
        <v/>
      </c>
      <c r="C1620" s="6">
        <f ca="1">IF(AND(NEGOCIAÇÕES!O1620="",NEGOCIAÇÕES!N1620&lt;TODAY()),NEGOCIAÇÕES!E1620,"")</f>
        <v>0</v>
      </c>
      <c r="D1620" s="6">
        <f ca="1">IF(AND(NEGOCIAÇÕES!O1620="",NEGOCIAÇÕES!N1620&lt;TODAY()),NEGOCIAÇÕES!D1620,"")</f>
        <v>0</v>
      </c>
      <c r="E1620" s="9">
        <f ca="1">IF(AND(NEGOCIAÇÕES!O1620="",NEGOCIAÇÕES!N1620&lt;TODAY()),NEGOCIAÇÕES!N1620,"")</f>
        <v>0</v>
      </c>
    </row>
    <row r="1621" spans="2:5" ht="31.95" hidden="1" customHeight="1" x14ac:dyDescent="0.3">
      <c r="B1621" s="6" t="str">
        <f ca="1">IF(AND(NEGOCIAÇÕES!O1621="",NEGOCIAÇÕES!N1621&lt;TODAY()),NEGOCIAÇÕES!C1621,"")</f>
        <v/>
      </c>
      <c r="C1621" s="6">
        <f ca="1">IF(AND(NEGOCIAÇÕES!O1621="",NEGOCIAÇÕES!N1621&lt;TODAY()),NEGOCIAÇÕES!E1621,"")</f>
        <v>0</v>
      </c>
      <c r="D1621" s="6">
        <f ca="1">IF(AND(NEGOCIAÇÕES!O1621="",NEGOCIAÇÕES!N1621&lt;TODAY()),NEGOCIAÇÕES!D1621,"")</f>
        <v>0</v>
      </c>
      <c r="E1621" s="9">
        <f ca="1">IF(AND(NEGOCIAÇÕES!O1621="",NEGOCIAÇÕES!N1621&lt;TODAY()),NEGOCIAÇÕES!N1621,"")</f>
        <v>0</v>
      </c>
    </row>
    <row r="1622" spans="2:5" ht="31.95" hidden="1" customHeight="1" x14ac:dyDescent="0.3">
      <c r="B1622" s="6" t="str">
        <f ca="1">IF(AND(NEGOCIAÇÕES!O1622="",NEGOCIAÇÕES!N1622&lt;TODAY()),NEGOCIAÇÕES!C1622,"")</f>
        <v/>
      </c>
      <c r="C1622" s="6">
        <f ca="1">IF(AND(NEGOCIAÇÕES!O1622="",NEGOCIAÇÕES!N1622&lt;TODAY()),NEGOCIAÇÕES!E1622,"")</f>
        <v>0</v>
      </c>
      <c r="D1622" s="6">
        <f ca="1">IF(AND(NEGOCIAÇÕES!O1622="",NEGOCIAÇÕES!N1622&lt;TODAY()),NEGOCIAÇÕES!D1622,"")</f>
        <v>0</v>
      </c>
      <c r="E1622" s="9">
        <f ca="1">IF(AND(NEGOCIAÇÕES!O1622="",NEGOCIAÇÕES!N1622&lt;TODAY()),NEGOCIAÇÕES!N1622,"")</f>
        <v>0</v>
      </c>
    </row>
    <row r="1623" spans="2:5" ht="31.95" hidden="1" customHeight="1" x14ac:dyDescent="0.3">
      <c r="B1623" s="6" t="str">
        <f ca="1">IF(AND(NEGOCIAÇÕES!O1623="",NEGOCIAÇÕES!N1623&lt;TODAY()),NEGOCIAÇÕES!C1623,"")</f>
        <v/>
      </c>
      <c r="C1623" s="6">
        <f ca="1">IF(AND(NEGOCIAÇÕES!O1623="",NEGOCIAÇÕES!N1623&lt;TODAY()),NEGOCIAÇÕES!E1623,"")</f>
        <v>0</v>
      </c>
      <c r="D1623" s="6">
        <f ca="1">IF(AND(NEGOCIAÇÕES!O1623="",NEGOCIAÇÕES!N1623&lt;TODAY()),NEGOCIAÇÕES!D1623,"")</f>
        <v>0</v>
      </c>
      <c r="E1623" s="9">
        <f ca="1">IF(AND(NEGOCIAÇÕES!O1623="",NEGOCIAÇÕES!N1623&lt;TODAY()),NEGOCIAÇÕES!N1623,"")</f>
        <v>0</v>
      </c>
    </row>
    <row r="1624" spans="2:5" ht="31.95" hidden="1" customHeight="1" x14ac:dyDescent="0.3">
      <c r="B1624" s="6" t="str">
        <f ca="1">IF(AND(NEGOCIAÇÕES!O1624="",NEGOCIAÇÕES!N1624&lt;TODAY()),NEGOCIAÇÕES!C1624,"")</f>
        <v/>
      </c>
      <c r="C1624" s="6">
        <f ca="1">IF(AND(NEGOCIAÇÕES!O1624="",NEGOCIAÇÕES!N1624&lt;TODAY()),NEGOCIAÇÕES!E1624,"")</f>
        <v>0</v>
      </c>
      <c r="D1624" s="6">
        <f ca="1">IF(AND(NEGOCIAÇÕES!O1624="",NEGOCIAÇÕES!N1624&lt;TODAY()),NEGOCIAÇÕES!D1624,"")</f>
        <v>0</v>
      </c>
      <c r="E1624" s="9">
        <f ca="1">IF(AND(NEGOCIAÇÕES!O1624="",NEGOCIAÇÕES!N1624&lt;TODAY()),NEGOCIAÇÕES!N1624,"")</f>
        <v>0</v>
      </c>
    </row>
    <row r="1625" spans="2:5" ht="31.95" hidden="1" customHeight="1" x14ac:dyDescent="0.3">
      <c r="B1625" s="6" t="str">
        <f ca="1">IF(AND(NEGOCIAÇÕES!O1625="",NEGOCIAÇÕES!N1625&lt;TODAY()),NEGOCIAÇÕES!C1625,"")</f>
        <v/>
      </c>
      <c r="C1625" s="6">
        <f ca="1">IF(AND(NEGOCIAÇÕES!O1625="",NEGOCIAÇÕES!N1625&lt;TODAY()),NEGOCIAÇÕES!E1625,"")</f>
        <v>0</v>
      </c>
      <c r="D1625" s="6">
        <f ca="1">IF(AND(NEGOCIAÇÕES!O1625="",NEGOCIAÇÕES!N1625&lt;TODAY()),NEGOCIAÇÕES!D1625,"")</f>
        <v>0</v>
      </c>
      <c r="E1625" s="9">
        <f ca="1">IF(AND(NEGOCIAÇÕES!O1625="",NEGOCIAÇÕES!N1625&lt;TODAY()),NEGOCIAÇÕES!N1625,"")</f>
        <v>0</v>
      </c>
    </row>
    <row r="1626" spans="2:5" ht="31.95" hidden="1" customHeight="1" x14ac:dyDescent="0.3">
      <c r="B1626" s="6" t="str">
        <f ca="1">IF(AND(NEGOCIAÇÕES!O1626="",NEGOCIAÇÕES!N1626&lt;TODAY()),NEGOCIAÇÕES!C1626,"")</f>
        <v/>
      </c>
      <c r="C1626" s="6">
        <f ca="1">IF(AND(NEGOCIAÇÕES!O1626="",NEGOCIAÇÕES!N1626&lt;TODAY()),NEGOCIAÇÕES!E1626,"")</f>
        <v>0</v>
      </c>
      <c r="D1626" s="6">
        <f ca="1">IF(AND(NEGOCIAÇÕES!O1626="",NEGOCIAÇÕES!N1626&lt;TODAY()),NEGOCIAÇÕES!D1626,"")</f>
        <v>0</v>
      </c>
      <c r="E1626" s="9">
        <f ca="1">IF(AND(NEGOCIAÇÕES!O1626="",NEGOCIAÇÕES!N1626&lt;TODAY()),NEGOCIAÇÕES!N1626,"")</f>
        <v>0</v>
      </c>
    </row>
    <row r="1627" spans="2:5" ht="31.95" hidden="1" customHeight="1" x14ac:dyDescent="0.3">
      <c r="B1627" s="6" t="str">
        <f ca="1">IF(AND(NEGOCIAÇÕES!O1627="",NEGOCIAÇÕES!N1627&lt;TODAY()),NEGOCIAÇÕES!C1627,"")</f>
        <v/>
      </c>
      <c r="C1627" s="6">
        <f ca="1">IF(AND(NEGOCIAÇÕES!O1627="",NEGOCIAÇÕES!N1627&lt;TODAY()),NEGOCIAÇÕES!E1627,"")</f>
        <v>0</v>
      </c>
      <c r="D1627" s="6">
        <f ca="1">IF(AND(NEGOCIAÇÕES!O1627="",NEGOCIAÇÕES!N1627&lt;TODAY()),NEGOCIAÇÕES!D1627,"")</f>
        <v>0</v>
      </c>
      <c r="E1627" s="9">
        <f ca="1">IF(AND(NEGOCIAÇÕES!O1627="",NEGOCIAÇÕES!N1627&lt;TODAY()),NEGOCIAÇÕES!N1627,"")</f>
        <v>0</v>
      </c>
    </row>
    <row r="1628" spans="2:5" ht="31.95" hidden="1" customHeight="1" x14ac:dyDescent="0.3">
      <c r="B1628" s="6" t="str">
        <f ca="1">IF(AND(NEGOCIAÇÕES!O1628="",NEGOCIAÇÕES!N1628&lt;TODAY()),NEGOCIAÇÕES!C1628,"")</f>
        <v/>
      </c>
      <c r="C1628" s="6">
        <f ca="1">IF(AND(NEGOCIAÇÕES!O1628="",NEGOCIAÇÕES!N1628&lt;TODAY()),NEGOCIAÇÕES!E1628,"")</f>
        <v>0</v>
      </c>
      <c r="D1628" s="6">
        <f ca="1">IF(AND(NEGOCIAÇÕES!O1628="",NEGOCIAÇÕES!N1628&lt;TODAY()),NEGOCIAÇÕES!D1628,"")</f>
        <v>0</v>
      </c>
      <c r="E1628" s="9">
        <f ca="1">IF(AND(NEGOCIAÇÕES!O1628="",NEGOCIAÇÕES!N1628&lt;TODAY()),NEGOCIAÇÕES!N1628,"")</f>
        <v>0</v>
      </c>
    </row>
    <row r="1629" spans="2:5" ht="31.95" hidden="1" customHeight="1" x14ac:dyDescent="0.3">
      <c r="B1629" s="6" t="str">
        <f ca="1">IF(AND(NEGOCIAÇÕES!O1629="",NEGOCIAÇÕES!N1629&lt;TODAY()),NEGOCIAÇÕES!C1629,"")</f>
        <v/>
      </c>
      <c r="C1629" s="6">
        <f ca="1">IF(AND(NEGOCIAÇÕES!O1629="",NEGOCIAÇÕES!N1629&lt;TODAY()),NEGOCIAÇÕES!E1629,"")</f>
        <v>0</v>
      </c>
      <c r="D1629" s="6">
        <f ca="1">IF(AND(NEGOCIAÇÕES!O1629="",NEGOCIAÇÕES!N1629&lt;TODAY()),NEGOCIAÇÕES!D1629,"")</f>
        <v>0</v>
      </c>
      <c r="E1629" s="9">
        <f ca="1">IF(AND(NEGOCIAÇÕES!O1629="",NEGOCIAÇÕES!N1629&lt;TODAY()),NEGOCIAÇÕES!N1629,"")</f>
        <v>0</v>
      </c>
    </row>
    <row r="1630" spans="2:5" ht="31.95" hidden="1" customHeight="1" x14ac:dyDescent="0.3">
      <c r="B1630" s="6" t="str">
        <f ca="1">IF(AND(NEGOCIAÇÕES!O1630="",NEGOCIAÇÕES!N1630&lt;TODAY()),NEGOCIAÇÕES!C1630,"")</f>
        <v/>
      </c>
      <c r="C1630" s="6">
        <f ca="1">IF(AND(NEGOCIAÇÕES!O1630="",NEGOCIAÇÕES!N1630&lt;TODAY()),NEGOCIAÇÕES!E1630,"")</f>
        <v>0</v>
      </c>
      <c r="D1630" s="6">
        <f ca="1">IF(AND(NEGOCIAÇÕES!O1630="",NEGOCIAÇÕES!N1630&lt;TODAY()),NEGOCIAÇÕES!D1630,"")</f>
        <v>0</v>
      </c>
      <c r="E1630" s="9">
        <f ca="1">IF(AND(NEGOCIAÇÕES!O1630="",NEGOCIAÇÕES!N1630&lt;TODAY()),NEGOCIAÇÕES!N1630,"")</f>
        <v>0</v>
      </c>
    </row>
    <row r="1631" spans="2:5" ht="31.95" hidden="1" customHeight="1" x14ac:dyDescent="0.3">
      <c r="B1631" s="6" t="str">
        <f ca="1">IF(AND(NEGOCIAÇÕES!O1631="",NEGOCIAÇÕES!N1631&lt;TODAY()),NEGOCIAÇÕES!C1631,"")</f>
        <v/>
      </c>
      <c r="C1631" s="6">
        <f ca="1">IF(AND(NEGOCIAÇÕES!O1631="",NEGOCIAÇÕES!N1631&lt;TODAY()),NEGOCIAÇÕES!E1631,"")</f>
        <v>0</v>
      </c>
      <c r="D1631" s="6">
        <f ca="1">IF(AND(NEGOCIAÇÕES!O1631="",NEGOCIAÇÕES!N1631&lt;TODAY()),NEGOCIAÇÕES!D1631,"")</f>
        <v>0</v>
      </c>
      <c r="E1631" s="9">
        <f ca="1">IF(AND(NEGOCIAÇÕES!O1631="",NEGOCIAÇÕES!N1631&lt;TODAY()),NEGOCIAÇÕES!N1631,"")</f>
        <v>0</v>
      </c>
    </row>
    <row r="1632" spans="2:5" ht="31.95" hidden="1" customHeight="1" x14ac:dyDescent="0.3">
      <c r="B1632" s="6" t="str">
        <f ca="1">IF(AND(NEGOCIAÇÕES!O1632="",NEGOCIAÇÕES!N1632&lt;TODAY()),NEGOCIAÇÕES!C1632,"")</f>
        <v/>
      </c>
      <c r="C1632" s="6">
        <f ca="1">IF(AND(NEGOCIAÇÕES!O1632="",NEGOCIAÇÕES!N1632&lt;TODAY()),NEGOCIAÇÕES!E1632,"")</f>
        <v>0</v>
      </c>
      <c r="D1632" s="6">
        <f ca="1">IF(AND(NEGOCIAÇÕES!O1632="",NEGOCIAÇÕES!N1632&lt;TODAY()),NEGOCIAÇÕES!D1632,"")</f>
        <v>0</v>
      </c>
      <c r="E1632" s="9">
        <f ca="1">IF(AND(NEGOCIAÇÕES!O1632="",NEGOCIAÇÕES!N1632&lt;TODAY()),NEGOCIAÇÕES!N1632,"")</f>
        <v>0</v>
      </c>
    </row>
    <row r="1633" spans="2:5" ht="31.95" hidden="1" customHeight="1" x14ac:dyDescent="0.3">
      <c r="B1633" s="6" t="str">
        <f ca="1">IF(AND(NEGOCIAÇÕES!O1633="",NEGOCIAÇÕES!N1633&lt;TODAY()),NEGOCIAÇÕES!C1633,"")</f>
        <v/>
      </c>
      <c r="C1633" s="6">
        <f ca="1">IF(AND(NEGOCIAÇÕES!O1633="",NEGOCIAÇÕES!N1633&lt;TODAY()),NEGOCIAÇÕES!E1633,"")</f>
        <v>0</v>
      </c>
      <c r="D1633" s="6">
        <f ca="1">IF(AND(NEGOCIAÇÕES!O1633="",NEGOCIAÇÕES!N1633&lt;TODAY()),NEGOCIAÇÕES!D1633,"")</f>
        <v>0</v>
      </c>
      <c r="E1633" s="9">
        <f ca="1">IF(AND(NEGOCIAÇÕES!O1633="",NEGOCIAÇÕES!N1633&lt;TODAY()),NEGOCIAÇÕES!N1633,"")</f>
        <v>0</v>
      </c>
    </row>
    <row r="1634" spans="2:5" ht="31.95" hidden="1" customHeight="1" x14ac:dyDescent="0.3">
      <c r="B1634" s="6" t="str">
        <f ca="1">IF(AND(NEGOCIAÇÕES!O1634="",NEGOCIAÇÕES!N1634&lt;TODAY()),NEGOCIAÇÕES!C1634,"")</f>
        <v/>
      </c>
      <c r="C1634" s="6">
        <f ca="1">IF(AND(NEGOCIAÇÕES!O1634="",NEGOCIAÇÕES!N1634&lt;TODAY()),NEGOCIAÇÕES!E1634,"")</f>
        <v>0</v>
      </c>
      <c r="D1634" s="6">
        <f ca="1">IF(AND(NEGOCIAÇÕES!O1634="",NEGOCIAÇÕES!N1634&lt;TODAY()),NEGOCIAÇÕES!D1634,"")</f>
        <v>0</v>
      </c>
      <c r="E1634" s="9">
        <f ca="1">IF(AND(NEGOCIAÇÕES!O1634="",NEGOCIAÇÕES!N1634&lt;TODAY()),NEGOCIAÇÕES!N1634,"")</f>
        <v>0</v>
      </c>
    </row>
    <row r="1635" spans="2:5" ht="31.95" hidden="1" customHeight="1" x14ac:dyDescent="0.3">
      <c r="B1635" s="6" t="str">
        <f ca="1">IF(AND(NEGOCIAÇÕES!O1635="",NEGOCIAÇÕES!N1635&lt;TODAY()),NEGOCIAÇÕES!C1635,"")</f>
        <v/>
      </c>
      <c r="C1635" s="6">
        <f ca="1">IF(AND(NEGOCIAÇÕES!O1635="",NEGOCIAÇÕES!N1635&lt;TODAY()),NEGOCIAÇÕES!E1635,"")</f>
        <v>0</v>
      </c>
      <c r="D1635" s="6">
        <f ca="1">IF(AND(NEGOCIAÇÕES!O1635="",NEGOCIAÇÕES!N1635&lt;TODAY()),NEGOCIAÇÕES!D1635,"")</f>
        <v>0</v>
      </c>
      <c r="E1635" s="9">
        <f ca="1">IF(AND(NEGOCIAÇÕES!O1635="",NEGOCIAÇÕES!N1635&lt;TODAY()),NEGOCIAÇÕES!N1635,"")</f>
        <v>0</v>
      </c>
    </row>
    <row r="1636" spans="2:5" ht="31.95" hidden="1" customHeight="1" x14ac:dyDescent="0.3">
      <c r="B1636" s="6" t="str">
        <f ca="1">IF(AND(NEGOCIAÇÕES!O1636="",NEGOCIAÇÕES!N1636&lt;TODAY()),NEGOCIAÇÕES!C1636,"")</f>
        <v/>
      </c>
      <c r="C1636" s="6">
        <f ca="1">IF(AND(NEGOCIAÇÕES!O1636="",NEGOCIAÇÕES!N1636&lt;TODAY()),NEGOCIAÇÕES!E1636,"")</f>
        <v>0</v>
      </c>
      <c r="D1636" s="6">
        <f ca="1">IF(AND(NEGOCIAÇÕES!O1636="",NEGOCIAÇÕES!N1636&lt;TODAY()),NEGOCIAÇÕES!D1636,"")</f>
        <v>0</v>
      </c>
      <c r="E1636" s="9">
        <f ca="1">IF(AND(NEGOCIAÇÕES!O1636="",NEGOCIAÇÕES!N1636&lt;TODAY()),NEGOCIAÇÕES!N1636,"")</f>
        <v>0</v>
      </c>
    </row>
    <row r="1637" spans="2:5" ht="31.95" hidden="1" customHeight="1" x14ac:dyDescent="0.3">
      <c r="B1637" s="6" t="str">
        <f ca="1">IF(AND(NEGOCIAÇÕES!O1637="",NEGOCIAÇÕES!N1637&lt;TODAY()),NEGOCIAÇÕES!C1637,"")</f>
        <v/>
      </c>
      <c r="C1637" s="6">
        <f ca="1">IF(AND(NEGOCIAÇÕES!O1637="",NEGOCIAÇÕES!N1637&lt;TODAY()),NEGOCIAÇÕES!E1637,"")</f>
        <v>0</v>
      </c>
      <c r="D1637" s="6">
        <f ca="1">IF(AND(NEGOCIAÇÕES!O1637="",NEGOCIAÇÕES!N1637&lt;TODAY()),NEGOCIAÇÕES!D1637,"")</f>
        <v>0</v>
      </c>
      <c r="E1637" s="9">
        <f ca="1">IF(AND(NEGOCIAÇÕES!O1637="",NEGOCIAÇÕES!N1637&lt;TODAY()),NEGOCIAÇÕES!N1637,"")</f>
        <v>0</v>
      </c>
    </row>
    <row r="1638" spans="2:5" ht="31.95" hidden="1" customHeight="1" x14ac:dyDescent="0.3">
      <c r="B1638" s="6" t="str">
        <f ca="1">IF(AND(NEGOCIAÇÕES!O1638="",NEGOCIAÇÕES!N1638&lt;TODAY()),NEGOCIAÇÕES!C1638,"")</f>
        <v/>
      </c>
      <c r="C1638" s="6">
        <f ca="1">IF(AND(NEGOCIAÇÕES!O1638="",NEGOCIAÇÕES!N1638&lt;TODAY()),NEGOCIAÇÕES!E1638,"")</f>
        <v>0</v>
      </c>
      <c r="D1638" s="6">
        <f ca="1">IF(AND(NEGOCIAÇÕES!O1638="",NEGOCIAÇÕES!N1638&lt;TODAY()),NEGOCIAÇÕES!D1638,"")</f>
        <v>0</v>
      </c>
      <c r="E1638" s="9">
        <f ca="1">IF(AND(NEGOCIAÇÕES!O1638="",NEGOCIAÇÕES!N1638&lt;TODAY()),NEGOCIAÇÕES!N1638,"")</f>
        <v>0</v>
      </c>
    </row>
    <row r="1639" spans="2:5" ht="31.95" hidden="1" customHeight="1" x14ac:dyDescent="0.3">
      <c r="B1639" s="6" t="str">
        <f ca="1">IF(AND(NEGOCIAÇÕES!O1639="",NEGOCIAÇÕES!N1639&lt;TODAY()),NEGOCIAÇÕES!C1639,"")</f>
        <v/>
      </c>
      <c r="C1639" s="6">
        <f ca="1">IF(AND(NEGOCIAÇÕES!O1639="",NEGOCIAÇÕES!N1639&lt;TODAY()),NEGOCIAÇÕES!E1639,"")</f>
        <v>0</v>
      </c>
      <c r="D1639" s="6">
        <f ca="1">IF(AND(NEGOCIAÇÕES!O1639="",NEGOCIAÇÕES!N1639&lt;TODAY()),NEGOCIAÇÕES!D1639,"")</f>
        <v>0</v>
      </c>
      <c r="E1639" s="9">
        <f ca="1">IF(AND(NEGOCIAÇÕES!O1639="",NEGOCIAÇÕES!N1639&lt;TODAY()),NEGOCIAÇÕES!N1639,"")</f>
        <v>0</v>
      </c>
    </row>
    <row r="1640" spans="2:5" ht="31.95" hidden="1" customHeight="1" x14ac:dyDescent="0.3">
      <c r="B1640" s="6" t="str">
        <f ca="1">IF(AND(NEGOCIAÇÕES!O1640="",NEGOCIAÇÕES!N1640&lt;TODAY()),NEGOCIAÇÕES!C1640,"")</f>
        <v/>
      </c>
      <c r="C1640" s="6">
        <f ca="1">IF(AND(NEGOCIAÇÕES!O1640="",NEGOCIAÇÕES!N1640&lt;TODAY()),NEGOCIAÇÕES!E1640,"")</f>
        <v>0</v>
      </c>
      <c r="D1640" s="6">
        <f ca="1">IF(AND(NEGOCIAÇÕES!O1640="",NEGOCIAÇÕES!N1640&lt;TODAY()),NEGOCIAÇÕES!D1640,"")</f>
        <v>0</v>
      </c>
      <c r="E1640" s="9">
        <f ca="1">IF(AND(NEGOCIAÇÕES!O1640="",NEGOCIAÇÕES!N1640&lt;TODAY()),NEGOCIAÇÕES!N1640,"")</f>
        <v>0</v>
      </c>
    </row>
    <row r="1641" spans="2:5" ht="31.95" hidden="1" customHeight="1" x14ac:dyDescent="0.3">
      <c r="B1641" s="6" t="str">
        <f ca="1">IF(AND(NEGOCIAÇÕES!O1641="",NEGOCIAÇÕES!N1641&lt;TODAY()),NEGOCIAÇÕES!C1641,"")</f>
        <v/>
      </c>
      <c r="C1641" s="6">
        <f ca="1">IF(AND(NEGOCIAÇÕES!O1641="",NEGOCIAÇÕES!N1641&lt;TODAY()),NEGOCIAÇÕES!E1641,"")</f>
        <v>0</v>
      </c>
      <c r="D1641" s="6">
        <f ca="1">IF(AND(NEGOCIAÇÕES!O1641="",NEGOCIAÇÕES!N1641&lt;TODAY()),NEGOCIAÇÕES!D1641,"")</f>
        <v>0</v>
      </c>
      <c r="E1641" s="9">
        <f ca="1">IF(AND(NEGOCIAÇÕES!O1641="",NEGOCIAÇÕES!N1641&lt;TODAY()),NEGOCIAÇÕES!N1641,"")</f>
        <v>0</v>
      </c>
    </row>
    <row r="1642" spans="2:5" ht="31.95" hidden="1" customHeight="1" x14ac:dyDescent="0.3">
      <c r="B1642" s="6" t="str">
        <f ca="1">IF(AND(NEGOCIAÇÕES!O1642="",NEGOCIAÇÕES!N1642&lt;TODAY()),NEGOCIAÇÕES!C1642,"")</f>
        <v/>
      </c>
      <c r="C1642" s="6">
        <f ca="1">IF(AND(NEGOCIAÇÕES!O1642="",NEGOCIAÇÕES!N1642&lt;TODAY()),NEGOCIAÇÕES!E1642,"")</f>
        <v>0</v>
      </c>
      <c r="D1642" s="6">
        <f ca="1">IF(AND(NEGOCIAÇÕES!O1642="",NEGOCIAÇÕES!N1642&lt;TODAY()),NEGOCIAÇÕES!D1642,"")</f>
        <v>0</v>
      </c>
      <c r="E1642" s="9">
        <f ca="1">IF(AND(NEGOCIAÇÕES!O1642="",NEGOCIAÇÕES!N1642&lt;TODAY()),NEGOCIAÇÕES!N1642,"")</f>
        <v>0</v>
      </c>
    </row>
    <row r="1643" spans="2:5" ht="31.95" hidden="1" customHeight="1" x14ac:dyDescent="0.3">
      <c r="B1643" s="6" t="str">
        <f ca="1">IF(AND(NEGOCIAÇÕES!O1643="",NEGOCIAÇÕES!N1643&lt;TODAY()),NEGOCIAÇÕES!C1643,"")</f>
        <v/>
      </c>
      <c r="C1643" s="6">
        <f ca="1">IF(AND(NEGOCIAÇÕES!O1643="",NEGOCIAÇÕES!N1643&lt;TODAY()),NEGOCIAÇÕES!E1643,"")</f>
        <v>0</v>
      </c>
      <c r="D1643" s="6">
        <f ca="1">IF(AND(NEGOCIAÇÕES!O1643="",NEGOCIAÇÕES!N1643&lt;TODAY()),NEGOCIAÇÕES!D1643,"")</f>
        <v>0</v>
      </c>
      <c r="E1643" s="9">
        <f ca="1">IF(AND(NEGOCIAÇÕES!O1643="",NEGOCIAÇÕES!N1643&lt;TODAY()),NEGOCIAÇÕES!N1643,"")</f>
        <v>0</v>
      </c>
    </row>
    <row r="1644" spans="2:5" ht="31.95" hidden="1" customHeight="1" x14ac:dyDescent="0.3">
      <c r="B1644" s="6" t="str">
        <f ca="1">IF(AND(NEGOCIAÇÕES!O1644="",NEGOCIAÇÕES!N1644&lt;TODAY()),NEGOCIAÇÕES!C1644,"")</f>
        <v/>
      </c>
      <c r="C1644" s="6">
        <f ca="1">IF(AND(NEGOCIAÇÕES!O1644="",NEGOCIAÇÕES!N1644&lt;TODAY()),NEGOCIAÇÕES!E1644,"")</f>
        <v>0</v>
      </c>
      <c r="D1644" s="6">
        <f ca="1">IF(AND(NEGOCIAÇÕES!O1644="",NEGOCIAÇÕES!N1644&lt;TODAY()),NEGOCIAÇÕES!D1644,"")</f>
        <v>0</v>
      </c>
      <c r="E1644" s="9">
        <f ca="1">IF(AND(NEGOCIAÇÕES!O1644="",NEGOCIAÇÕES!N1644&lt;TODAY()),NEGOCIAÇÕES!N1644,"")</f>
        <v>0</v>
      </c>
    </row>
    <row r="1645" spans="2:5" ht="31.95" hidden="1" customHeight="1" x14ac:dyDescent="0.3">
      <c r="B1645" s="6" t="str">
        <f ca="1">IF(AND(NEGOCIAÇÕES!O1645="",NEGOCIAÇÕES!N1645&lt;TODAY()),NEGOCIAÇÕES!C1645,"")</f>
        <v/>
      </c>
      <c r="C1645" s="6">
        <f ca="1">IF(AND(NEGOCIAÇÕES!O1645="",NEGOCIAÇÕES!N1645&lt;TODAY()),NEGOCIAÇÕES!E1645,"")</f>
        <v>0</v>
      </c>
      <c r="D1645" s="6">
        <f ca="1">IF(AND(NEGOCIAÇÕES!O1645="",NEGOCIAÇÕES!N1645&lt;TODAY()),NEGOCIAÇÕES!D1645,"")</f>
        <v>0</v>
      </c>
      <c r="E1645" s="9">
        <f ca="1">IF(AND(NEGOCIAÇÕES!O1645="",NEGOCIAÇÕES!N1645&lt;TODAY()),NEGOCIAÇÕES!N1645,"")</f>
        <v>0</v>
      </c>
    </row>
    <row r="1646" spans="2:5" ht="31.95" hidden="1" customHeight="1" x14ac:dyDescent="0.3">
      <c r="B1646" s="6" t="str">
        <f ca="1">IF(AND(NEGOCIAÇÕES!O1646="",NEGOCIAÇÕES!N1646&lt;TODAY()),NEGOCIAÇÕES!C1646,"")</f>
        <v/>
      </c>
      <c r="C1646" s="6">
        <f ca="1">IF(AND(NEGOCIAÇÕES!O1646="",NEGOCIAÇÕES!N1646&lt;TODAY()),NEGOCIAÇÕES!E1646,"")</f>
        <v>0</v>
      </c>
      <c r="D1646" s="6">
        <f ca="1">IF(AND(NEGOCIAÇÕES!O1646="",NEGOCIAÇÕES!N1646&lt;TODAY()),NEGOCIAÇÕES!D1646,"")</f>
        <v>0</v>
      </c>
      <c r="E1646" s="9">
        <f ca="1">IF(AND(NEGOCIAÇÕES!O1646="",NEGOCIAÇÕES!N1646&lt;TODAY()),NEGOCIAÇÕES!N1646,"")</f>
        <v>0</v>
      </c>
    </row>
    <row r="1647" spans="2:5" ht="31.95" hidden="1" customHeight="1" x14ac:dyDescent="0.3">
      <c r="B1647" s="6" t="str">
        <f ca="1">IF(AND(NEGOCIAÇÕES!O1647="",NEGOCIAÇÕES!N1647&lt;TODAY()),NEGOCIAÇÕES!C1647,"")</f>
        <v/>
      </c>
      <c r="C1647" s="6">
        <f ca="1">IF(AND(NEGOCIAÇÕES!O1647="",NEGOCIAÇÕES!N1647&lt;TODAY()),NEGOCIAÇÕES!E1647,"")</f>
        <v>0</v>
      </c>
      <c r="D1647" s="6">
        <f ca="1">IF(AND(NEGOCIAÇÕES!O1647="",NEGOCIAÇÕES!N1647&lt;TODAY()),NEGOCIAÇÕES!D1647,"")</f>
        <v>0</v>
      </c>
      <c r="E1647" s="9">
        <f ca="1">IF(AND(NEGOCIAÇÕES!O1647="",NEGOCIAÇÕES!N1647&lt;TODAY()),NEGOCIAÇÕES!N1647,"")</f>
        <v>0</v>
      </c>
    </row>
    <row r="1648" spans="2:5" ht="31.95" hidden="1" customHeight="1" x14ac:dyDescent="0.3">
      <c r="B1648" s="6" t="str">
        <f ca="1">IF(AND(NEGOCIAÇÕES!O1648="",NEGOCIAÇÕES!N1648&lt;TODAY()),NEGOCIAÇÕES!C1648,"")</f>
        <v/>
      </c>
      <c r="C1648" s="6">
        <f ca="1">IF(AND(NEGOCIAÇÕES!O1648="",NEGOCIAÇÕES!N1648&lt;TODAY()),NEGOCIAÇÕES!E1648,"")</f>
        <v>0</v>
      </c>
      <c r="D1648" s="6">
        <f ca="1">IF(AND(NEGOCIAÇÕES!O1648="",NEGOCIAÇÕES!N1648&lt;TODAY()),NEGOCIAÇÕES!D1648,"")</f>
        <v>0</v>
      </c>
      <c r="E1648" s="9">
        <f ca="1">IF(AND(NEGOCIAÇÕES!O1648="",NEGOCIAÇÕES!N1648&lt;TODAY()),NEGOCIAÇÕES!N1648,"")</f>
        <v>0</v>
      </c>
    </row>
    <row r="1649" spans="2:5" ht="31.95" hidden="1" customHeight="1" x14ac:dyDescent="0.3">
      <c r="B1649" s="6" t="str">
        <f ca="1">IF(AND(NEGOCIAÇÕES!O1649="",NEGOCIAÇÕES!N1649&lt;TODAY()),NEGOCIAÇÕES!C1649,"")</f>
        <v/>
      </c>
      <c r="C1649" s="6">
        <f ca="1">IF(AND(NEGOCIAÇÕES!O1649="",NEGOCIAÇÕES!N1649&lt;TODAY()),NEGOCIAÇÕES!E1649,"")</f>
        <v>0</v>
      </c>
      <c r="D1649" s="6">
        <f ca="1">IF(AND(NEGOCIAÇÕES!O1649="",NEGOCIAÇÕES!N1649&lt;TODAY()),NEGOCIAÇÕES!D1649,"")</f>
        <v>0</v>
      </c>
      <c r="E1649" s="9">
        <f ca="1">IF(AND(NEGOCIAÇÕES!O1649="",NEGOCIAÇÕES!N1649&lt;TODAY()),NEGOCIAÇÕES!N1649,"")</f>
        <v>0</v>
      </c>
    </row>
    <row r="1650" spans="2:5" ht="31.95" hidden="1" customHeight="1" x14ac:dyDescent="0.3">
      <c r="B1650" s="6" t="str">
        <f ca="1">IF(AND(NEGOCIAÇÕES!O1650="",NEGOCIAÇÕES!N1650&lt;TODAY()),NEGOCIAÇÕES!C1650,"")</f>
        <v/>
      </c>
      <c r="C1650" s="6">
        <f ca="1">IF(AND(NEGOCIAÇÕES!O1650="",NEGOCIAÇÕES!N1650&lt;TODAY()),NEGOCIAÇÕES!E1650,"")</f>
        <v>0</v>
      </c>
      <c r="D1650" s="6">
        <f ca="1">IF(AND(NEGOCIAÇÕES!O1650="",NEGOCIAÇÕES!N1650&lt;TODAY()),NEGOCIAÇÕES!D1650,"")</f>
        <v>0</v>
      </c>
      <c r="E1650" s="9">
        <f ca="1">IF(AND(NEGOCIAÇÕES!O1650="",NEGOCIAÇÕES!N1650&lt;TODAY()),NEGOCIAÇÕES!N1650,"")</f>
        <v>0</v>
      </c>
    </row>
    <row r="1651" spans="2:5" ht="31.95" hidden="1" customHeight="1" x14ac:dyDescent="0.3">
      <c r="B1651" s="6" t="str">
        <f ca="1">IF(AND(NEGOCIAÇÕES!O1651="",NEGOCIAÇÕES!N1651&lt;TODAY()),NEGOCIAÇÕES!C1651,"")</f>
        <v/>
      </c>
      <c r="C1651" s="6">
        <f ca="1">IF(AND(NEGOCIAÇÕES!O1651="",NEGOCIAÇÕES!N1651&lt;TODAY()),NEGOCIAÇÕES!E1651,"")</f>
        <v>0</v>
      </c>
      <c r="D1651" s="6">
        <f ca="1">IF(AND(NEGOCIAÇÕES!O1651="",NEGOCIAÇÕES!N1651&lt;TODAY()),NEGOCIAÇÕES!D1651,"")</f>
        <v>0</v>
      </c>
      <c r="E1651" s="9">
        <f ca="1">IF(AND(NEGOCIAÇÕES!O1651="",NEGOCIAÇÕES!N1651&lt;TODAY()),NEGOCIAÇÕES!N1651,"")</f>
        <v>0</v>
      </c>
    </row>
    <row r="1652" spans="2:5" ht="31.95" hidden="1" customHeight="1" x14ac:dyDescent="0.3">
      <c r="B1652" s="6" t="str">
        <f ca="1">IF(AND(NEGOCIAÇÕES!O1652="",NEGOCIAÇÕES!N1652&lt;TODAY()),NEGOCIAÇÕES!C1652,"")</f>
        <v/>
      </c>
      <c r="C1652" s="6">
        <f ca="1">IF(AND(NEGOCIAÇÕES!O1652="",NEGOCIAÇÕES!N1652&lt;TODAY()),NEGOCIAÇÕES!E1652,"")</f>
        <v>0</v>
      </c>
      <c r="D1652" s="6">
        <f ca="1">IF(AND(NEGOCIAÇÕES!O1652="",NEGOCIAÇÕES!N1652&lt;TODAY()),NEGOCIAÇÕES!D1652,"")</f>
        <v>0</v>
      </c>
      <c r="E1652" s="9">
        <f ca="1">IF(AND(NEGOCIAÇÕES!O1652="",NEGOCIAÇÕES!N1652&lt;TODAY()),NEGOCIAÇÕES!N1652,"")</f>
        <v>0</v>
      </c>
    </row>
    <row r="1653" spans="2:5" ht="31.95" hidden="1" customHeight="1" x14ac:dyDescent="0.3">
      <c r="B1653" s="6" t="str">
        <f ca="1">IF(AND(NEGOCIAÇÕES!O1653="",NEGOCIAÇÕES!N1653&lt;TODAY()),NEGOCIAÇÕES!C1653,"")</f>
        <v/>
      </c>
      <c r="C1653" s="6">
        <f ca="1">IF(AND(NEGOCIAÇÕES!O1653="",NEGOCIAÇÕES!N1653&lt;TODAY()),NEGOCIAÇÕES!E1653,"")</f>
        <v>0</v>
      </c>
      <c r="D1653" s="6">
        <f ca="1">IF(AND(NEGOCIAÇÕES!O1653="",NEGOCIAÇÕES!N1653&lt;TODAY()),NEGOCIAÇÕES!D1653,"")</f>
        <v>0</v>
      </c>
      <c r="E1653" s="9">
        <f ca="1">IF(AND(NEGOCIAÇÕES!O1653="",NEGOCIAÇÕES!N1653&lt;TODAY()),NEGOCIAÇÕES!N1653,"")</f>
        <v>0</v>
      </c>
    </row>
    <row r="1654" spans="2:5" ht="31.95" hidden="1" customHeight="1" x14ac:dyDescent="0.3">
      <c r="B1654" s="6" t="str">
        <f ca="1">IF(AND(NEGOCIAÇÕES!O1654="",NEGOCIAÇÕES!N1654&lt;TODAY()),NEGOCIAÇÕES!C1654,"")</f>
        <v/>
      </c>
      <c r="C1654" s="6">
        <f ca="1">IF(AND(NEGOCIAÇÕES!O1654="",NEGOCIAÇÕES!N1654&lt;TODAY()),NEGOCIAÇÕES!E1654,"")</f>
        <v>0</v>
      </c>
      <c r="D1654" s="6">
        <f ca="1">IF(AND(NEGOCIAÇÕES!O1654="",NEGOCIAÇÕES!N1654&lt;TODAY()),NEGOCIAÇÕES!D1654,"")</f>
        <v>0</v>
      </c>
      <c r="E1654" s="9">
        <f ca="1">IF(AND(NEGOCIAÇÕES!O1654="",NEGOCIAÇÕES!N1654&lt;TODAY()),NEGOCIAÇÕES!N1654,"")</f>
        <v>0</v>
      </c>
    </row>
    <row r="1655" spans="2:5" ht="31.95" hidden="1" customHeight="1" x14ac:dyDescent="0.3">
      <c r="B1655" s="6" t="str">
        <f ca="1">IF(AND(NEGOCIAÇÕES!O1655="",NEGOCIAÇÕES!N1655&lt;TODAY()),NEGOCIAÇÕES!C1655,"")</f>
        <v/>
      </c>
      <c r="C1655" s="6">
        <f ca="1">IF(AND(NEGOCIAÇÕES!O1655="",NEGOCIAÇÕES!N1655&lt;TODAY()),NEGOCIAÇÕES!E1655,"")</f>
        <v>0</v>
      </c>
      <c r="D1655" s="6">
        <f ca="1">IF(AND(NEGOCIAÇÕES!O1655="",NEGOCIAÇÕES!N1655&lt;TODAY()),NEGOCIAÇÕES!D1655,"")</f>
        <v>0</v>
      </c>
      <c r="E1655" s="9">
        <f ca="1">IF(AND(NEGOCIAÇÕES!O1655="",NEGOCIAÇÕES!N1655&lt;TODAY()),NEGOCIAÇÕES!N1655,"")</f>
        <v>0</v>
      </c>
    </row>
    <row r="1656" spans="2:5" ht="31.95" hidden="1" customHeight="1" x14ac:dyDescent="0.3">
      <c r="B1656" s="6" t="str">
        <f ca="1">IF(AND(NEGOCIAÇÕES!O1656="",NEGOCIAÇÕES!N1656&lt;TODAY()),NEGOCIAÇÕES!C1656,"")</f>
        <v/>
      </c>
      <c r="C1656" s="6">
        <f ca="1">IF(AND(NEGOCIAÇÕES!O1656="",NEGOCIAÇÕES!N1656&lt;TODAY()),NEGOCIAÇÕES!E1656,"")</f>
        <v>0</v>
      </c>
      <c r="D1656" s="6">
        <f ca="1">IF(AND(NEGOCIAÇÕES!O1656="",NEGOCIAÇÕES!N1656&lt;TODAY()),NEGOCIAÇÕES!D1656,"")</f>
        <v>0</v>
      </c>
      <c r="E1656" s="9">
        <f ca="1">IF(AND(NEGOCIAÇÕES!O1656="",NEGOCIAÇÕES!N1656&lt;TODAY()),NEGOCIAÇÕES!N1656,"")</f>
        <v>0</v>
      </c>
    </row>
    <row r="1657" spans="2:5" ht="31.95" hidden="1" customHeight="1" x14ac:dyDescent="0.3">
      <c r="B1657" s="6" t="str">
        <f ca="1">IF(AND(NEGOCIAÇÕES!O1657="",NEGOCIAÇÕES!N1657&lt;TODAY()),NEGOCIAÇÕES!C1657,"")</f>
        <v/>
      </c>
      <c r="C1657" s="6">
        <f ca="1">IF(AND(NEGOCIAÇÕES!O1657="",NEGOCIAÇÕES!N1657&lt;TODAY()),NEGOCIAÇÕES!E1657,"")</f>
        <v>0</v>
      </c>
      <c r="D1657" s="6">
        <f ca="1">IF(AND(NEGOCIAÇÕES!O1657="",NEGOCIAÇÕES!N1657&lt;TODAY()),NEGOCIAÇÕES!D1657,"")</f>
        <v>0</v>
      </c>
      <c r="E1657" s="9">
        <f ca="1">IF(AND(NEGOCIAÇÕES!O1657="",NEGOCIAÇÕES!N1657&lt;TODAY()),NEGOCIAÇÕES!N1657,"")</f>
        <v>0</v>
      </c>
    </row>
    <row r="1658" spans="2:5" ht="31.95" hidden="1" customHeight="1" x14ac:dyDescent="0.3">
      <c r="B1658" s="6" t="str">
        <f ca="1">IF(AND(NEGOCIAÇÕES!O1658="",NEGOCIAÇÕES!N1658&lt;TODAY()),NEGOCIAÇÕES!C1658,"")</f>
        <v/>
      </c>
      <c r="C1658" s="6">
        <f ca="1">IF(AND(NEGOCIAÇÕES!O1658="",NEGOCIAÇÕES!N1658&lt;TODAY()),NEGOCIAÇÕES!E1658,"")</f>
        <v>0</v>
      </c>
      <c r="D1658" s="6">
        <f ca="1">IF(AND(NEGOCIAÇÕES!O1658="",NEGOCIAÇÕES!N1658&lt;TODAY()),NEGOCIAÇÕES!D1658,"")</f>
        <v>0</v>
      </c>
      <c r="E1658" s="9">
        <f ca="1">IF(AND(NEGOCIAÇÕES!O1658="",NEGOCIAÇÕES!N1658&lt;TODAY()),NEGOCIAÇÕES!N1658,"")</f>
        <v>0</v>
      </c>
    </row>
    <row r="1659" spans="2:5" ht="31.95" hidden="1" customHeight="1" x14ac:dyDescent="0.3">
      <c r="B1659" s="6" t="str">
        <f ca="1">IF(AND(NEGOCIAÇÕES!O1659="",NEGOCIAÇÕES!N1659&lt;TODAY()),NEGOCIAÇÕES!C1659,"")</f>
        <v/>
      </c>
      <c r="C1659" s="6">
        <f ca="1">IF(AND(NEGOCIAÇÕES!O1659="",NEGOCIAÇÕES!N1659&lt;TODAY()),NEGOCIAÇÕES!E1659,"")</f>
        <v>0</v>
      </c>
      <c r="D1659" s="6">
        <f ca="1">IF(AND(NEGOCIAÇÕES!O1659="",NEGOCIAÇÕES!N1659&lt;TODAY()),NEGOCIAÇÕES!D1659,"")</f>
        <v>0</v>
      </c>
      <c r="E1659" s="9">
        <f ca="1">IF(AND(NEGOCIAÇÕES!O1659="",NEGOCIAÇÕES!N1659&lt;TODAY()),NEGOCIAÇÕES!N1659,"")</f>
        <v>0</v>
      </c>
    </row>
    <row r="1660" spans="2:5" ht="31.95" hidden="1" customHeight="1" x14ac:dyDescent="0.3">
      <c r="B1660" s="6" t="str">
        <f ca="1">IF(AND(NEGOCIAÇÕES!O1660="",NEGOCIAÇÕES!N1660&lt;TODAY()),NEGOCIAÇÕES!C1660,"")</f>
        <v/>
      </c>
      <c r="C1660" s="6">
        <f ca="1">IF(AND(NEGOCIAÇÕES!O1660="",NEGOCIAÇÕES!N1660&lt;TODAY()),NEGOCIAÇÕES!E1660,"")</f>
        <v>0</v>
      </c>
      <c r="D1660" s="6">
        <f ca="1">IF(AND(NEGOCIAÇÕES!O1660="",NEGOCIAÇÕES!N1660&lt;TODAY()),NEGOCIAÇÕES!D1660,"")</f>
        <v>0</v>
      </c>
      <c r="E1660" s="9">
        <f ca="1">IF(AND(NEGOCIAÇÕES!O1660="",NEGOCIAÇÕES!N1660&lt;TODAY()),NEGOCIAÇÕES!N1660,"")</f>
        <v>0</v>
      </c>
    </row>
    <row r="1661" spans="2:5" ht="31.95" hidden="1" customHeight="1" x14ac:dyDescent="0.3">
      <c r="B1661" s="6" t="str">
        <f ca="1">IF(AND(NEGOCIAÇÕES!O1661="",NEGOCIAÇÕES!N1661&lt;TODAY()),NEGOCIAÇÕES!C1661,"")</f>
        <v/>
      </c>
      <c r="C1661" s="6">
        <f ca="1">IF(AND(NEGOCIAÇÕES!O1661="",NEGOCIAÇÕES!N1661&lt;TODAY()),NEGOCIAÇÕES!E1661,"")</f>
        <v>0</v>
      </c>
      <c r="D1661" s="6">
        <f ca="1">IF(AND(NEGOCIAÇÕES!O1661="",NEGOCIAÇÕES!N1661&lt;TODAY()),NEGOCIAÇÕES!D1661,"")</f>
        <v>0</v>
      </c>
      <c r="E1661" s="9">
        <f ca="1">IF(AND(NEGOCIAÇÕES!O1661="",NEGOCIAÇÕES!N1661&lt;TODAY()),NEGOCIAÇÕES!N1661,"")</f>
        <v>0</v>
      </c>
    </row>
    <row r="1662" spans="2:5" ht="31.95" hidden="1" customHeight="1" x14ac:dyDescent="0.3">
      <c r="B1662" s="6" t="str">
        <f ca="1">IF(AND(NEGOCIAÇÕES!O1662="",NEGOCIAÇÕES!N1662&lt;TODAY()),NEGOCIAÇÕES!C1662,"")</f>
        <v/>
      </c>
      <c r="C1662" s="6">
        <f ca="1">IF(AND(NEGOCIAÇÕES!O1662="",NEGOCIAÇÕES!N1662&lt;TODAY()),NEGOCIAÇÕES!E1662,"")</f>
        <v>0</v>
      </c>
      <c r="D1662" s="6">
        <f ca="1">IF(AND(NEGOCIAÇÕES!O1662="",NEGOCIAÇÕES!N1662&lt;TODAY()),NEGOCIAÇÕES!D1662,"")</f>
        <v>0</v>
      </c>
      <c r="E1662" s="9">
        <f ca="1">IF(AND(NEGOCIAÇÕES!O1662="",NEGOCIAÇÕES!N1662&lt;TODAY()),NEGOCIAÇÕES!N1662,"")</f>
        <v>0</v>
      </c>
    </row>
    <row r="1663" spans="2:5" ht="31.95" hidden="1" customHeight="1" x14ac:dyDescent="0.3">
      <c r="B1663" s="6" t="str">
        <f ca="1">IF(AND(NEGOCIAÇÕES!O1663="",NEGOCIAÇÕES!N1663&lt;TODAY()),NEGOCIAÇÕES!C1663,"")</f>
        <v/>
      </c>
      <c r="C1663" s="6">
        <f ca="1">IF(AND(NEGOCIAÇÕES!O1663="",NEGOCIAÇÕES!N1663&lt;TODAY()),NEGOCIAÇÕES!E1663,"")</f>
        <v>0</v>
      </c>
      <c r="D1663" s="6">
        <f ca="1">IF(AND(NEGOCIAÇÕES!O1663="",NEGOCIAÇÕES!N1663&lt;TODAY()),NEGOCIAÇÕES!D1663,"")</f>
        <v>0</v>
      </c>
      <c r="E1663" s="9">
        <f ca="1">IF(AND(NEGOCIAÇÕES!O1663="",NEGOCIAÇÕES!N1663&lt;TODAY()),NEGOCIAÇÕES!N1663,"")</f>
        <v>0</v>
      </c>
    </row>
    <row r="1664" spans="2:5" ht="31.95" hidden="1" customHeight="1" x14ac:dyDescent="0.3">
      <c r="B1664" s="6" t="str">
        <f ca="1">IF(AND(NEGOCIAÇÕES!O1664="",NEGOCIAÇÕES!N1664&lt;TODAY()),NEGOCIAÇÕES!C1664,"")</f>
        <v/>
      </c>
      <c r="C1664" s="6">
        <f ca="1">IF(AND(NEGOCIAÇÕES!O1664="",NEGOCIAÇÕES!N1664&lt;TODAY()),NEGOCIAÇÕES!E1664,"")</f>
        <v>0</v>
      </c>
      <c r="D1664" s="6">
        <f ca="1">IF(AND(NEGOCIAÇÕES!O1664="",NEGOCIAÇÕES!N1664&lt;TODAY()),NEGOCIAÇÕES!D1664,"")</f>
        <v>0</v>
      </c>
      <c r="E1664" s="9">
        <f ca="1">IF(AND(NEGOCIAÇÕES!O1664="",NEGOCIAÇÕES!N1664&lt;TODAY()),NEGOCIAÇÕES!N1664,"")</f>
        <v>0</v>
      </c>
    </row>
    <row r="1665" spans="2:5" ht="31.95" hidden="1" customHeight="1" x14ac:dyDescent="0.3">
      <c r="B1665" s="6" t="str">
        <f ca="1">IF(AND(NEGOCIAÇÕES!O1665="",NEGOCIAÇÕES!N1665&lt;TODAY()),NEGOCIAÇÕES!C1665,"")</f>
        <v/>
      </c>
      <c r="C1665" s="6">
        <f ca="1">IF(AND(NEGOCIAÇÕES!O1665="",NEGOCIAÇÕES!N1665&lt;TODAY()),NEGOCIAÇÕES!E1665,"")</f>
        <v>0</v>
      </c>
      <c r="D1665" s="6">
        <f ca="1">IF(AND(NEGOCIAÇÕES!O1665="",NEGOCIAÇÕES!N1665&lt;TODAY()),NEGOCIAÇÕES!D1665,"")</f>
        <v>0</v>
      </c>
      <c r="E1665" s="9">
        <f ca="1">IF(AND(NEGOCIAÇÕES!O1665="",NEGOCIAÇÕES!N1665&lt;TODAY()),NEGOCIAÇÕES!N1665,"")</f>
        <v>0</v>
      </c>
    </row>
    <row r="1666" spans="2:5" ht="31.95" hidden="1" customHeight="1" x14ac:dyDescent="0.3">
      <c r="B1666" s="6" t="str">
        <f ca="1">IF(AND(NEGOCIAÇÕES!O1666="",NEGOCIAÇÕES!N1666&lt;TODAY()),NEGOCIAÇÕES!C1666,"")</f>
        <v/>
      </c>
      <c r="C1666" s="6">
        <f ca="1">IF(AND(NEGOCIAÇÕES!O1666="",NEGOCIAÇÕES!N1666&lt;TODAY()),NEGOCIAÇÕES!E1666,"")</f>
        <v>0</v>
      </c>
      <c r="D1666" s="6">
        <f ca="1">IF(AND(NEGOCIAÇÕES!O1666="",NEGOCIAÇÕES!N1666&lt;TODAY()),NEGOCIAÇÕES!D1666,"")</f>
        <v>0</v>
      </c>
      <c r="E1666" s="9">
        <f ca="1">IF(AND(NEGOCIAÇÕES!O1666="",NEGOCIAÇÕES!N1666&lt;TODAY()),NEGOCIAÇÕES!N1666,"")</f>
        <v>0</v>
      </c>
    </row>
    <row r="1667" spans="2:5" ht="31.95" hidden="1" customHeight="1" x14ac:dyDescent="0.3">
      <c r="B1667" s="6" t="str">
        <f ca="1">IF(AND(NEGOCIAÇÕES!O1667="",NEGOCIAÇÕES!N1667&lt;TODAY()),NEGOCIAÇÕES!C1667,"")</f>
        <v/>
      </c>
      <c r="C1667" s="6">
        <f ca="1">IF(AND(NEGOCIAÇÕES!O1667="",NEGOCIAÇÕES!N1667&lt;TODAY()),NEGOCIAÇÕES!E1667,"")</f>
        <v>0</v>
      </c>
      <c r="D1667" s="6">
        <f ca="1">IF(AND(NEGOCIAÇÕES!O1667="",NEGOCIAÇÕES!N1667&lt;TODAY()),NEGOCIAÇÕES!D1667,"")</f>
        <v>0</v>
      </c>
      <c r="E1667" s="9">
        <f ca="1">IF(AND(NEGOCIAÇÕES!O1667="",NEGOCIAÇÕES!N1667&lt;TODAY()),NEGOCIAÇÕES!N1667,"")</f>
        <v>0</v>
      </c>
    </row>
    <row r="1668" spans="2:5" ht="31.95" hidden="1" customHeight="1" x14ac:dyDescent="0.3">
      <c r="B1668" s="6" t="str">
        <f ca="1">IF(AND(NEGOCIAÇÕES!O1668="",NEGOCIAÇÕES!N1668&lt;TODAY()),NEGOCIAÇÕES!C1668,"")</f>
        <v/>
      </c>
      <c r="C1668" s="6">
        <f ca="1">IF(AND(NEGOCIAÇÕES!O1668="",NEGOCIAÇÕES!N1668&lt;TODAY()),NEGOCIAÇÕES!E1668,"")</f>
        <v>0</v>
      </c>
      <c r="D1668" s="6">
        <f ca="1">IF(AND(NEGOCIAÇÕES!O1668="",NEGOCIAÇÕES!N1668&lt;TODAY()),NEGOCIAÇÕES!D1668,"")</f>
        <v>0</v>
      </c>
      <c r="E1668" s="9">
        <f ca="1">IF(AND(NEGOCIAÇÕES!O1668="",NEGOCIAÇÕES!N1668&lt;TODAY()),NEGOCIAÇÕES!N1668,"")</f>
        <v>0</v>
      </c>
    </row>
    <row r="1669" spans="2:5" ht="31.95" hidden="1" customHeight="1" x14ac:dyDescent="0.3">
      <c r="B1669" s="6" t="str">
        <f ca="1">IF(AND(NEGOCIAÇÕES!O1669="",NEGOCIAÇÕES!N1669&lt;TODAY()),NEGOCIAÇÕES!C1669,"")</f>
        <v/>
      </c>
      <c r="C1669" s="6">
        <f ca="1">IF(AND(NEGOCIAÇÕES!O1669="",NEGOCIAÇÕES!N1669&lt;TODAY()),NEGOCIAÇÕES!E1669,"")</f>
        <v>0</v>
      </c>
      <c r="D1669" s="6">
        <f ca="1">IF(AND(NEGOCIAÇÕES!O1669="",NEGOCIAÇÕES!N1669&lt;TODAY()),NEGOCIAÇÕES!D1669,"")</f>
        <v>0</v>
      </c>
      <c r="E1669" s="9">
        <f ca="1">IF(AND(NEGOCIAÇÕES!O1669="",NEGOCIAÇÕES!N1669&lt;TODAY()),NEGOCIAÇÕES!N1669,"")</f>
        <v>0</v>
      </c>
    </row>
    <row r="1670" spans="2:5" ht="31.95" hidden="1" customHeight="1" x14ac:dyDescent="0.3">
      <c r="B1670" s="6" t="str">
        <f ca="1">IF(AND(NEGOCIAÇÕES!O1670="",NEGOCIAÇÕES!N1670&lt;TODAY()),NEGOCIAÇÕES!C1670,"")</f>
        <v/>
      </c>
      <c r="C1670" s="6">
        <f ca="1">IF(AND(NEGOCIAÇÕES!O1670="",NEGOCIAÇÕES!N1670&lt;TODAY()),NEGOCIAÇÕES!E1670,"")</f>
        <v>0</v>
      </c>
      <c r="D1670" s="6">
        <f ca="1">IF(AND(NEGOCIAÇÕES!O1670="",NEGOCIAÇÕES!N1670&lt;TODAY()),NEGOCIAÇÕES!D1670,"")</f>
        <v>0</v>
      </c>
      <c r="E1670" s="9">
        <f ca="1">IF(AND(NEGOCIAÇÕES!O1670="",NEGOCIAÇÕES!N1670&lt;TODAY()),NEGOCIAÇÕES!N1670,"")</f>
        <v>0</v>
      </c>
    </row>
    <row r="1671" spans="2:5" ht="31.95" hidden="1" customHeight="1" x14ac:dyDescent="0.3">
      <c r="B1671" s="6" t="str">
        <f ca="1">IF(AND(NEGOCIAÇÕES!O1671="",NEGOCIAÇÕES!N1671&lt;TODAY()),NEGOCIAÇÕES!C1671,"")</f>
        <v/>
      </c>
      <c r="C1671" s="6">
        <f ca="1">IF(AND(NEGOCIAÇÕES!O1671="",NEGOCIAÇÕES!N1671&lt;TODAY()),NEGOCIAÇÕES!E1671,"")</f>
        <v>0</v>
      </c>
      <c r="D1671" s="6">
        <f ca="1">IF(AND(NEGOCIAÇÕES!O1671="",NEGOCIAÇÕES!N1671&lt;TODAY()),NEGOCIAÇÕES!D1671,"")</f>
        <v>0</v>
      </c>
      <c r="E1671" s="9">
        <f ca="1">IF(AND(NEGOCIAÇÕES!O1671="",NEGOCIAÇÕES!N1671&lt;TODAY()),NEGOCIAÇÕES!N1671,"")</f>
        <v>0</v>
      </c>
    </row>
    <row r="1672" spans="2:5" ht="31.95" hidden="1" customHeight="1" x14ac:dyDescent="0.3">
      <c r="B1672" s="6" t="str">
        <f ca="1">IF(AND(NEGOCIAÇÕES!O1672="",NEGOCIAÇÕES!N1672&lt;TODAY()),NEGOCIAÇÕES!C1672,"")</f>
        <v/>
      </c>
      <c r="C1672" s="6">
        <f ca="1">IF(AND(NEGOCIAÇÕES!O1672="",NEGOCIAÇÕES!N1672&lt;TODAY()),NEGOCIAÇÕES!E1672,"")</f>
        <v>0</v>
      </c>
      <c r="D1672" s="6">
        <f ca="1">IF(AND(NEGOCIAÇÕES!O1672="",NEGOCIAÇÕES!N1672&lt;TODAY()),NEGOCIAÇÕES!D1672,"")</f>
        <v>0</v>
      </c>
      <c r="E1672" s="9">
        <f ca="1">IF(AND(NEGOCIAÇÕES!O1672="",NEGOCIAÇÕES!N1672&lt;TODAY()),NEGOCIAÇÕES!N1672,"")</f>
        <v>0</v>
      </c>
    </row>
    <row r="1673" spans="2:5" ht="31.95" hidden="1" customHeight="1" x14ac:dyDescent="0.3">
      <c r="B1673" s="6" t="str">
        <f ca="1">IF(AND(NEGOCIAÇÕES!O1673="",NEGOCIAÇÕES!N1673&lt;TODAY()),NEGOCIAÇÕES!C1673,"")</f>
        <v/>
      </c>
      <c r="C1673" s="6">
        <f ca="1">IF(AND(NEGOCIAÇÕES!O1673="",NEGOCIAÇÕES!N1673&lt;TODAY()),NEGOCIAÇÕES!E1673,"")</f>
        <v>0</v>
      </c>
      <c r="D1673" s="6">
        <f ca="1">IF(AND(NEGOCIAÇÕES!O1673="",NEGOCIAÇÕES!N1673&lt;TODAY()),NEGOCIAÇÕES!D1673,"")</f>
        <v>0</v>
      </c>
      <c r="E1673" s="9">
        <f ca="1">IF(AND(NEGOCIAÇÕES!O1673="",NEGOCIAÇÕES!N1673&lt;TODAY()),NEGOCIAÇÕES!N1673,"")</f>
        <v>0</v>
      </c>
    </row>
    <row r="1674" spans="2:5" ht="31.95" hidden="1" customHeight="1" x14ac:dyDescent="0.3">
      <c r="B1674" s="6" t="str">
        <f ca="1">IF(AND(NEGOCIAÇÕES!O1674="",NEGOCIAÇÕES!N1674&lt;TODAY()),NEGOCIAÇÕES!C1674,"")</f>
        <v/>
      </c>
      <c r="C1674" s="6">
        <f ca="1">IF(AND(NEGOCIAÇÕES!O1674="",NEGOCIAÇÕES!N1674&lt;TODAY()),NEGOCIAÇÕES!E1674,"")</f>
        <v>0</v>
      </c>
      <c r="D1674" s="6">
        <f ca="1">IF(AND(NEGOCIAÇÕES!O1674="",NEGOCIAÇÕES!N1674&lt;TODAY()),NEGOCIAÇÕES!D1674,"")</f>
        <v>0</v>
      </c>
      <c r="E1674" s="9">
        <f ca="1">IF(AND(NEGOCIAÇÕES!O1674="",NEGOCIAÇÕES!N1674&lt;TODAY()),NEGOCIAÇÕES!N1674,"")</f>
        <v>0</v>
      </c>
    </row>
    <row r="1675" spans="2:5" ht="31.95" hidden="1" customHeight="1" x14ac:dyDescent="0.3">
      <c r="B1675" s="6" t="str">
        <f ca="1">IF(AND(NEGOCIAÇÕES!O1675="",NEGOCIAÇÕES!N1675&lt;TODAY()),NEGOCIAÇÕES!C1675,"")</f>
        <v/>
      </c>
      <c r="C1675" s="6">
        <f ca="1">IF(AND(NEGOCIAÇÕES!O1675="",NEGOCIAÇÕES!N1675&lt;TODAY()),NEGOCIAÇÕES!E1675,"")</f>
        <v>0</v>
      </c>
      <c r="D1675" s="6">
        <f ca="1">IF(AND(NEGOCIAÇÕES!O1675="",NEGOCIAÇÕES!N1675&lt;TODAY()),NEGOCIAÇÕES!D1675,"")</f>
        <v>0</v>
      </c>
      <c r="E1675" s="9">
        <f ca="1">IF(AND(NEGOCIAÇÕES!O1675="",NEGOCIAÇÕES!N1675&lt;TODAY()),NEGOCIAÇÕES!N1675,"")</f>
        <v>0</v>
      </c>
    </row>
    <row r="1676" spans="2:5" ht="31.95" hidden="1" customHeight="1" x14ac:dyDescent="0.3">
      <c r="B1676" s="6" t="str">
        <f ca="1">IF(AND(NEGOCIAÇÕES!O1676="",NEGOCIAÇÕES!N1676&lt;TODAY()),NEGOCIAÇÕES!C1676,"")</f>
        <v/>
      </c>
      <c r="C1676" s="6">
        <f ca="1">IF(AND(NEGOCIAÇÕES!O1676="",NEGOCIAÇÕES!N1676&lt;TODAY()),NEGOCIAÇÕES!E1676,"")</f>
        <v>0</v>
      </c>
      <c r="D1676" s="6">
        <f ca="1">IF(AND(NEGOCIAÇÕES!O1676="",NEGOCIAÇÕES!N1676&lt;TODAY()),NEGOCIAÇÕES!D1676,"")</f>
        <v>0</v>
      </c>
      <c r="E1676" s="9">
        <f ca="1">IF(AND(NEGOCIAÇÕES!O1676="",NEGOCIAÇÕES!N1676&lt;TODAY()),NEGOCIAÇÕES!N1676,"")</f>
        <v>0</v>
      </c>
    </row>
    <row r="1677" spans="2:5" ht="31.95" hidden="1" customHeight="1" x14ac:dyDescent="0.3">
      <c r="B1677" s="6" t="str">
        <f ca="1">IF(AND(NEGOCIAÇÕES!O1677="",NEGOCIAÇÕES!N1677&lt;TODAY()),NEGOCIAÇÕES!C1677,"")</f>
        <v/>
      </c>
      <c r="C1677" s="6">
        <f ca="1">IF(AND(NEGOCIAÇÕES!O1677="",NEGOCIAÇÕES!N1677&lt;TODAY()),NEGOCIAÇÕES!E1677,"")</f>
        <v>0</v>
      </c>
      <c r="D1677" s="6">
        <f ca="1">IF(AND(NEGOCIAÇÕES!O1677="",NEGOCIAÇÕES!N1677&lt;TODAY()),NEGOCIAÇÕES!D1677,"")</f>
        <v>0</v>
      </c>
      <c r="E1677" s="9">
        <f ca="1">IF(AND(NEGOCIAÇÕES!O1677="",NEGOCIAÇÕES!N1677&lt;TODAY()),NEGOCIAÇÕES!N1677,"")</f>
        <v>0</v>
      </c>
    </row>
    <row r="1678" spans="2:5" ht="31.95" hidden="1" customHeight="1" x14ac:dyDescent="0.3">
      <c r="B1678" s="6" t="str">
        <f ca="1">IF(AND(NEGOCIAÇÕES!O1678="",NEGOCIAÇÕES!N1678&lt;TODAY()),NEGOCIAÇÕES!C1678,"")</f>
        <v/>
      </c>
      <c r="C1678" s="6">
        <f ca="1">IF(AND(NEGOCIAÇÕES!O1678="",NEGOCIAÇÕES!N1678&lt;TODAY()),NEGOCIAÇÕES!E1678,"")</f>
        <v>0</v>
      </c>
      <c r="D1678" s="6">
        <f ca="1">IF(AND(NEGOCIAÇÕES!O1678="",NEGOCIAÇÕES!N1678&lt;TODAY()),NEGOCIAÇÕES!D1678,"")</f>
        <v>0</v>
      </c>
      <c r="E1678" s="9">
        <f ca="1">IF(AND(NEGOCIAÇÕES!O1678="",NEGOCIAÇÕES!N1678&lt;TODAY()),NEGOCIAÇÕES!N1678,"")</f>
        <v>0</v>
      </c>
    </row>
    <row r="1679" spans="2:5" ht="31.95" hidden="1" customHeight="1" x14ac:dyDescent="0.3">
      <c r="B1679" s="6" t="str">
        <f ca="1">IF(AND(NEGOCIAÇÕES!O1679="",NEGOCIAÇÕES!N1679&lt;TODAY()),NEGOCIAÇÕES!C1679,"")</f>
        <v/>
      </c>
      <c r="C1679" s="6">
        <f ca="1">IF(AND(NEGOCIAÇÕES!O1679="",NEGOCIAÇÕES!N1679&lt;TODAY()),NEGOCIAÇÕES!E1679,"")</f>
        <v>0</v>
      </c>
      <c r="D1679" s="6">
        <f ca="1">IF(AND(NEGOCIAÇÕES!O1679="",NEGOCIAÇÕES!N1679&lt;TODAY()),NEGOCIAÇÕES!D1679,"")</f>
        <v>0</v>
      </c>
      <c r="E1679" s="9">
        <f ca="1">IF(AND(NEGOCIAÇÕES!O1679="",NEGOCIAÇÕES!N1679&lt;TODAY()),NEGOCIAÇÕES!N1679,"")</f>
        <v>0</v>
      </c>
    </row>
    <row r="1680" spans="2:5" ht="31.95" hidden="1" customHeight="1" x14ac:dyDescent="0.3">
      <c r="B1680" s="6" t="str">
        <f ca="1">IF(AND(NEGOCIAÇÕES!O1680="",NEGOCIAÇÕES!N1680&lt;TODAY()),NEGOCIAÇÕES!C1680,"")</f>
        <v/>
      </c>
      <c r="C1680" s="6">
        <f ca="1">IF(AND(NEGOCIAÇÕES!O1680="",NEGOCIAÇÕES!N1680&lt;TODAY()),NEGOCIAÇÕES!E1680,"")</f>
        <v>0</v>
      </c>
      <c r="D1680" s="6">
        <f ca="1">IF(AND(NEGOCIAÇÕES!O1680="",NEGOCIAÇÕES!N1680&lt;TODAY()),NEGOCIAÇÕES!D1680,"")</f>
        <v>0</v>
      </c>
      <c r="E1680" s="9">
        <f ca="1">IF(AND(NEGOCIAÇÕES!O1680="",NEGOCIAÇÕES!N1680&lt;TODAY()),NEGOCIAÇÕES!N1680,"")</f>
        <v>0</v>
      </c>
    </row>
    <row r="1681" spans="2:5" ht="31.95" hidden="1" customHeight="1" x14ac:dyDescent="0.3">
      <c r="B1681" s="6" t="str">
        <f ca="1">IF(AND(NEGOCIAÇÕES!O1681="",NEGOCIAÇÕES!N1681&lt;TODAY()),NEGOCIAÇÕES!C1681,"")</f>
        <v/>
      </c>
      <c r="C1681" s="6">
        <f ca="1">IF(AND(NEGOCIAÇÕES!O1681="",NEGOCIAÇÕES!N1681&lt;TODAY()),NEGOCIAÇÕES!E1681,"")</f>
        <v>0</v>
      </c>
      <c r="D1681" s="6">
        <f ca="1">IF(AND(NEGOCIAÇÕES!O1681="",NEGOCIAÇÕES!N1681&lt;TODAY()),NEGOCIAÇÕES!D1681,"")</f>
        <v>0</v>
      </c>
      <c r="E1681" s="9">
        <f ca="1">IF(AND(NEGOCIAÇÕES!O1681="",NEGOCIAÇÕES!N1681&lt;TODAY()),NEGOCIAÇÕES!N1681,"")</f>
        <v>0</v>
      </c>
    </row>
    <row r="1682" spans="2:5" ht="31.95" hidden="1" customHeight="1" x14ac:dyDescent="0.3">
      <c r="B1682" s="6" t="str">
        <f ca="1">IF(AND(NEGOCIAÇÕES!O1682="",NEGOCIAÇÕES!N1682&lt;TODAY()),NEGOCIAÇÕES!C1682,"")</f>
        <v/>
      </c>
      <c r="C1682" s="6">
        <f ca="1">IF(AND(NEGOCIAÇÕES!O1682="",NEGOCIAÇÕES!N1682&lt;TODAY()),NEGOCIAÇÕES!E1682,"")</f>
        <v>0</v>
      </c>
      <c r="D1682" s="6">
        <f ca="1">IF(AND(NEGOCIAÇÕES!O1682="",NEGOCIAÇÕES!N1682&lt;TODAY()),NEGOCIAÇÕES!D1682,"")</f>
        <v>0</v>
      </c>
      <c r="E1682" s="9">
        <f ca="1">IF(AND(NEGOCIAÇÕES!O1682="",NEGOCIAÇÕES!N1682&lt;TODAY()),NEGOCIAÇÕES!N1682,"")</f>
        <v>0</v>
      </c>
    </row>
    <row r="1683" spans="2:5" ht="31.95" hidden="1" customHeight="1" x14ac:dyDescent="0.3">
      <c r="B1683" s="6" t="str">
        <f ca="1">IF(AND(NEGOCIAÇÕES!O1683="",NEGOCIAÇÕES!N1683&lt;TODAY()),NEGOCIAÇÕES!C1683,"")</f>
        <v/>
      </c>
      <c r="C1683" s="6">
        <f ca="1">IF(AND(NEGOCIAÇÕES!O1683="",NEGOCIAÇÕES!N1683&lt;TODAY()),NEGOCIAÇÕES!E1683,"")</f>
        <v>0</v>
      </c>
      <c r="D1683" s="6">
        <f ca="1">IF(AND(NEGOCIAÇÕES!O1683="",NEGOCIAÇÕES!N1683&lt;TODAY()),NEGOCIAÇÕES!D1683,"")</f>
        <v>0</v>
      </c>
      <c r="E1683" s="9">
        <f ca="1">IF(AND(NEGOCIAÇÕES!O1683="",NEGOCIAÇÕES!N1683&lt;TODAY()),NEGOCIAÇÕES!N1683,"")</f>
        <v>0</v>
      </c>
    </row>
    <row r="1684" spans="2:5" ht="31.95" hidden="1" customHeight="1" x14ac:dyDescent="0.3">
      <c r="B1684" s="6" t="str">
        <f ca="1">IF(AND(NEGOCIAÇÕES!O1684="",NEGOCIAÇÕES!N1684&lt;TODAY()),NEGOCIAÇÕES!C1684,"")</f>
        <v/>
      </c>
      <c r="C1684" s="6">
        <f ca="1">IF(AND(NEGOCIAÇÕES!O1684="",NEGOCIAÇÕES!N1684&lt;TODAY()),NEGOCIAÇÕES!E1684,"")</f>
        <v>0</v>
      </c>
      <c r="D1684" s="6">
        <f ca="1">IF(AND(NEGOCIAÇÕES!O1684="",NEGOCIAÇÕES!N1684&lt;TODAY()),NEGOCIAÇÕES!D1684,"")</f>
        <v>0</v>
      </c>
      <c r="E1684" s="9">
        <f ca="1">IF(AND(NEGOCIAÇÕES!O1684="",NEGOCIAÇÕES!N1684&lt;TODAY()),NEGOCIAÇÕES!N1684,"")</f>
        <v>0</v>
      </c>
    </row>
    <row r="1685" spans="2:5" ht="31.95" hidden="1" customHeight="1" x14ac:dyDescent="0.3">
      <c r="B1685" s="6" t="str">
        <f ca="1">IF(AND(NEGOCIAÇÕES!O1685="",NEGOCIAÇÕES!N1685&lt;TODAY()),NEGOCIAÇÕES!C1685,"")</f>
        <v/>
      </c>
      <c r="C1685" s="6">
        <f ca="1">IF(AND(NEGOCIAÇÕES!O1685="",NEGOCIAÇÕES!N1685&lt;TODAY()),NEGOCIAÇÕES!E1685,"")</f>
        <v>0</v>
      </c>
      <c r="D1685" s="6">
        <f ca="1">IF(AND(NEGOCIAÇÕES!O1685="",NEGOCIAÇÕES!N1685&lt;TODAY()),NEGOCIAÇÕES!D1685,"")</f>
        <v>0</v>
      </c>
      <c r="E1685" s="9">
        <f ca="1">IF(AND(NEGOCIAÇÕES!O1685="",NEGOCIAÇÕES!N1685&lt;TODAY()),NEGOCIAÇÕES!N1685,"")</f>
        <v>0</v>
      </c>
    </row>
    <row r="1686" spans="2:5" ht="31.95" hidden="1" customHeight="1" x14ac:dyDescent="0.3">
      <c r="B1686" s="6" t="str">
        <f ca="1">IF(AND(NEGOCIAÇÕES!O1686="",NEGOCIAÇÕES!N1686&lt;TODAY()),NEGOCIAÇÕES!C1686,"")</f>
        <v/>
      </c>
      <c r="C1686" s="6">
        <f ca="1">IF(AND(NEGOCIAÇÕES!O1686="",NEGOCIAÇÕES!N1686&lt;TODAY()),NEGOCIAÇÕES!E1686,"")</f>
        <v>0</v>
      </c>
      <c r="D1686" s="6">
        <f ca="1">IF(AND(NEGOCIAÇÕES!O1686="",NEGOCIAÇÕES!N1686&lt;TODAY()),NEGOCIAÇÕES!D1686,"")</f>
        <v>0</v>
      </c>
      <c r="E1686" s="9">
        <f ca="1">IF(AND(NEGOCIAÇÕES!O1686="",NEGOCIAÇÕES!N1686&lt;TODAY()),NEGOCIAÇÕES!N1686,"")</f>
        <v>0</v>
      </c>
    </row>
    <row r="1687" spans="2:5" ht="31.95" hidden="1" customHeight="1" x14ac:dyDescent="0.3">
      <c r="B1687" s="6" t="str">
        <f ca="1">IF(AND(NEGOCIAÇÕES!O1687="",NEGOCIAÇÕES!N1687&lt;TODAY()),NEGOCIAÇÕES!C1687,"")</f>
        <v/>
      </c>
      <c r="C1687" s="6">
        <f ca="1">IF(AND(NEGOCIAÇÕES!O1687="",NEGOCIAÇÕES!N1687&lt;TODAY()),NEGOCIAÇÕES!E1687,"")</f>
        <v>0</v>
      </c>
      <c r="D1687" s="6">
        <f ca="1">IF(AND(NEGOCIAÇÕES!O1687="",NEGOCIAÇÕES!N1687&lt;TODAY()),NEGOCIAÇÕES!D1687,"")</f>
        <v>0</v>
      </c>
      <c r="E1687" s="9">
        <f ca="1">IF(AND(NEGOCIAÇÕES!O1687="",NEGOCIAÇÕES!N1687&lt;TODAY()),NEGOCIAÇÕES!N1687,"")</f>
        <v>0</v>
      </c>
    </row>
    <row r="1688" spans="2:5" ht="31.95" hidden="1" customHeight="1" x14ac:dyDescent="0.3">
      <c r="B1688" s="6" t="str">
        <f ca="1">IF(AND(NEGOCIAÇÕES!O1688="",NEGOCIAÇÕES!N1688&lt;TODAY()),NEGOCIAÇÕES!C1688,"")</f>
        <v/>
      </c>
      <c r="C1688" s="6">
        <f ca="1">IF(AND(NEGOCIAÇÕES!O1688="",NEGOCIAÇÕES!N1688&lt;TODAY()),NEGOCIAÇÕES!E1688,"")</f>
        <v>0</v>
      </c>
      <c r="D1688" s="6">
        <f ca="1">IF(AND(NEGOCIAÇÕES!O1688="",NEGOCIAÇÕES!N1688&lt;TODAY()),NEGOCIAÇÕES!D1688,"")</f>
        <v>0</v>
      </c>
      <c r="E1688" s="9">
        <f ca="1">IF(AND(NEGOCIAÇÕES!O1688="",NEGOCIAÇÕES!N1688&lt;TODAY()),NEGOCIAÇÕES!N1688,"")</f>
        <v>0</v>
      </c>
    </row>
    <row r="1689" spans="2:5" ht="31.95" hidden="1" customHeight="1" x14ac:dyDescent="0.3">
      <c r="B1689" s="6" t="str">
        <f ca="1">IF(AND(NEGOCIAÇÕES!O1689="",NEGOCIAÇÕES!N1689&lt;TODAY()),NEGOCIAÇÕES!C1689,"")</f>
        <v/>
      </c>
      <c r="C1689" s="6">
        <f ca="1">IF(AND(NEGOCIAÇÕES!O1689="",NEGOCIAÇÕES!N1689&lt;TODAY()),NEGOCIAÇÕES!E1689,"")</f>
        <v>0</v>
      </c>
      <c r="D1689" s="6">
        <f ca="1">IF(AND(NEGOCIAÇÕES!O1689="",NEGOCIAÇÕES!N1689&lt;TODAY()),NEGOCIAÇÕES!D1689,"")</f>
        <v>0</v>
      </c>
      <c r="E1689" s="9">
        <f ca="1">IF(AND(NEGOCIAÇÕES!O1689="",NEGOCIAÇÕES!N1689&lt;TODAY()),NEGOCIAÇÕES!N1689,"")</f>
        <v>0</v>
      </c>
    </row>
    <row r="1690" spans="2:5" ht="31.95" hidden="1" customHeight="1" x14ac:dyDescent="0.3">
      <c r="B1690" s="6" t="str">
        <f ca="1">IF(AND(NEGOCIAÇÕES!O1690="",NEGOCIAÇÕES!N1690&lt;TODAY()),NEGOCIAÇÕES!C1690,"")</f>
        <v/>
      </c>
      <c r="C1690" s="6">
        <f ca="1">IF(AND(NEGOCIAÇÕES!O1690="",NEGOCIAÇÕES!N1690&lt;TODAY()),NEGOCIAÇÕES!E1690,"")</f>
        <v>0</v>
      </c>
      <c r="D1690" s="6">
        <f ca="1">IF(AND(NEGOCIAÇÕES!O1690="",NEGOCIAÇÕES!N1690&lt;TODAY()),NEGOCIAÇÕES!D1690,"")</f>
        <v>0</v>
      </c>
      <c r="E1690" s="9">
        <f ca="1">IF(AND(NEGOCIAÇÕES!O1690="",NEGOCIAÇÕES!N1690&lt;TODAY()),NEGOCIAÇÕES!N1690,"")</f>
        <v>0</v>
      </c>
    </row>
    <row r="1691" spans="2:5" ht="31.95" hidden="1" customHeight="1" x14ac:dyDescent="0.3">
      <c r="B1691" s="6" t="str">
        <f ca="1">IF(AND(NEGOCIAÇÕES!O1691="",NEGOCIAÇÕES!N1691&lt;TODAY()),NEGOCIAÇÕES!C1691,"")</f>
        <v/>
      </c>
      <c r="C1691" s="6">
        <f ca="1">IF(AND(NEGOCIAÇÕES!O1691="",NEGOCIAÇÕES!N1691&lt;TODAY()),NEGOCIAÇÕES!E1691,"")</f>
        <v>0</v>
      </c>
      <c r="D1691" s="6">
        <f ca="1">IF(AND(NEGOCIAÇÕES!O1691="",NEGOCIAÇÕES!N1691&lt;TODAY()),NEGOCIAÇÕES!D1691,"")</f>
        <v>0</v>
      </c>
      <c r="E1691" s="9">
        <f ca="1">IF(AND(NEGOCIAÇÕES!O1691="",NEGOCIAÇÕES!N1691&lt;TODAY()),NEGOCIAÇÕES!N1691,"")</f>
        <v>0</v>
      </c>
    </row>
    <row r="1692" spans="2:5" ht="31.95" hidden="1" customHeight="1" x14ac:dyDescent="0.3">
      <c r="B1692" s="6" t="str">
        <f ca="1">IF(AND(NEGOCIAÇÕES!O1692="",NEGOCIAÇÕES!N1692&lt;TODAY()),NEGOCIAÇÕES!C1692,"")</f>
        <v/>
      </c>
      <c r="C1692" s="6">
        <f ca="1">IF(AND(NEGOCIAÇÕES!O1692="",NEGOCIAÇÕES!N1692&lt;TODAY()),NEGOCIAÇÕES!E1692,"")</f>
        <v>0</v>
      </c>
      <c r="D1692" s="6">
        <f ca="1">IF(AND(NEGOCIAÇÕES!O1692="",NEGOCIAÇÕES!N1692&lt;TODAY()),NEGOCIAÇÕES!D1692,"")</f>
        <v>0</v>
      </c>
      <c r="E1692" s="9">
        <f ca="1">IF(AND(NEGOCIAÇÕES!O1692="",NEGOCIAÇÕES!N1692&lt;TODAY()),NEGOCIAÇÕES!N1692,"")</f>
        <v>0</v>
      </c>
    </row>
    <row r="1693" spans="2:5" ht="31.95" hidden="1" customHeight="1" x14ac:dyDescent="0.3">
      <c r="B1693" s="6" t="str">
        <f ca="1">IF(AND(NEGOCIAÇÕES!O1693="",NEGOCIAÇÕES!N1693&lt;TODAY()),NEGOCIAÇÕES!C1693,"")</f>
        <v/>
      </c>
      <c r="C1693" s="6">
        <f ca="1">IF(AND(NEGOCIAÇÕES!O1693="",NEGOCIAÇÕES!N1693&lt;TODAY()),NEGOCIAÇÕES!E1693,"")</f>
        <v>0</v>
      </c>
      <c r="D1693" s="6">
        <f ca="1">IF(AND(NEGOCIAÇÕES!O1693="",NEGOCIAÇÕES!N1693&lt;TODAY()),NEGOCIAÇÕES!D1693,"")</f>
        <v>0</v>
      </c>
      <c r="E1693" s="9">
        <f ca="1">IF(AND(NEGOCIAÇÕES!O1693="",NEGOCIAÇÕES!N1693&lt;TODAY()),NEGOCIAÇÕES!N1693,"")</f>
        <v>0</v>
      </c>
    </row>
    <row r="1694" spans="2:5" ht="31.95" hidden="1" customHeight="1" x14ac:dyDescent="0.3">
      <c r="B1694" s="6" t="str">
        <f ca="1">IF(AND(NEGOCIAÇÕES!O1694="",NEGOCIAÇÕES!N1694&lt;TODAY()),NEGOCIAÇÕES!C1694,"")</f>
        <v/>
      </c>
      <c r="C1694" s="6">
        <f ca="1">IF(AND(NEGOCIAÇÕES!O1694="",NEGOCIAÇÕES!N1694&lt;TODAY()),NEGOCIAÇÕES!E1694,"")</f>
        <v>0</v>
      </c>
      <c r="D1694" s="6">
        <f ca="1">IF(AND(NEGOCIAÇÕES!O1694="",NEGOCIAÇÕES!N1694&lt;TODAY()),NEGOCIAÇÕES!D1694,"")</f>
        <v>0</v>
      </c>
      <c r="E1694" s="9">
        <f ca="1">IF(AND(NEGOCIAÇÕES!O1694="",NEGOCIAÇÕES!N1694&lt;TODAY()),NEGOCIAÇÕES!N1694,"")</f>
        <v>0</v>
      </c>
    </row>
    <row r="1695" spans="2:5" ht="31.95" hidden="1" customHeight="1" x14ac:dyDescent="0.3">
      <c r="B1695" s="6" t="str">
        <f ca="1">IF(AND(NEGOCIAÇÕES!O1695="",NEGOCIAÇÕES!N1695&lt;TODAY()),NEGOCIAÇÕES!C1695,"")</f>
        <v/>
      </c>
      <c r="C1695" s="6">
        <f ca="1">IF(AND(NEGOCIAÇÕES!O1695="",NEGOCIAÇÕES!N1695&lt;TODAY()),NEGOCIAÇÕES!E1695,"")</f>
        <v>0</v>
      </c>
      <c r="D1695" s="6">
        <f ca="1">IF(AND(NEGOCIAÇÕES!O1695="",NEGOCIAÇÕES!N1695&lt;TODAY()),NEGOCIAÇÕES!D1695,"")</f>
        <v>0</v>
      </c>
      <c r="E1695" s="9">
        <f ca="1">IF(AND(NEGOCIAÇÕES!O1695="",NEGOCIAÇÕES!N1695&lt;TODAY()),NEGOCIAÇÕES!N1695,"")</f>
        <v>0</v>
      </c>
    </row>
    <row r="1696" spans="2:5" ht="31.95" hidden="1" customHeight="1" x14ac:dyDescent="0.3">
      <c r="B1696" s="6" t="str">
        <f ca="1">IF(AND(NEGOCIAÇÕES!O1696="",NEGOCIAÇÕES!N1696&lt;TODAY()),NEGOCIAÇÕES!C1696,"")</f>
        <v/>
      </c>
      <c r="C1696" s="6">
        <f ca="1">IF(AND(NEGOCIAÇÕES!O1696="",NEGOCIAÇÕES!N1696&lt;TODAY()),NEGOCIAÇÕES!E1696,"")</f>
        <v>0</v>
      </c>
      <c r="D1696" s="6">
        <f ca="1">IF(AND(NEGOCIAÇÕES!O1696="",NEGOCIAÇÕES!N1696&lt;TODAY()),NEGOCIAÇÕES!D1696,"")</f>
        <v>0</v>
      </c>
      <c r="E1696" s="9">
        <f ca="1">IF(AND(NEGOCIAÇÕES!O1696="",NEGOCIAÇÕES!N1696&lt;TODAY()),NEGOCIAÇÕES!N1696,"")</f>
        <v>0</v>
      </c>
    </row>
    <row r="1697" spans="2:5" ht="31.95" hidden="1" customHeight="1" x14ac:dyDescent="0.3">
      <c r="B1697" s="6" t="str">
        <f ca="1">IF(AND(NEGOCIAÇÕES!O1697="",NEGOCIAÇÕES!N1697&lt;TODAY()),NEGOCIAÇÕES!C1697,"")</f>
        <v/>
      </c>
      <c r="C1697" s="6">
        <f ca="1">IF(AND(NEGOCIAÇÕES!O1697="",NEGOCIAÇÕES!N1697&lt;TODAY()),NEGOCIAÇÕES!E1697,"")</f>
        <v>0</v>
      </c>
      <c r="D1697" s="6">
        <f ca="1">IF(AND(NEGOCIAÇÕES!O1697="",NEGOCIAÇÕES!N1697&lt;TODAY()),NEGOCIAÇÕES!D1697,"")</f>
        <v>0</v>
      </c>
      <c r="E1697" s="9">
        <f ca="1">IF(AND(NEGOCIAÇÕES!O1697="",NEGOCIAÇÕES!N1697&lt;TODAY()),NEGOCIAÇÕES!N1697,"")</f>
        <v>0</v>
      </c>
    </row>
    <row r="1698" spans="2:5" ht="31.95" hidden="1" customHeight="1" x14ac:dyDescent="0.3">
      <c r="B1698" s="6" t="str">
        <f ca="1">IF(AND(NEGOCIAÇÕES!O1698="",NEGOCIAÇÕES!N1698&lt;TODAY()),NEGOCIAÇÕES!C1698,"")</f>
        <v/>
      </c>
      <c r="C1698" s="6">
        <f ca="1">IF(AND(NEGOCIAÇÕES!O1698="",NEGOCIAÇÕES!N1698&lt;TODAY()),NEGOCIAÇÕES!E1698,"")</f>
        <v>0</v>
      </c>
      <c r="D1698" s="6">
        <f ca="1">IF(AND(NEGOCIAÇÕES!O1698="",NEGOCIAÇÕES!N1698&lt;TODAY()),NEGOCIAÇÕES!D1698,"")</f>
        <v>0</v>
      </c>
      <c r="E1698" s="9">
        <f ca="1">IF(AND(NEGOCIAÇÕES!O1698="",NEGOCIAÇÕES!N1698&lt;TODAY()),NEGOCIAÇÕES!N1698,"")</f>
        <v>0</v>
      </c>
    </row>
    <row r="1699" spans="2:5" ht="31.95" hidden="1" customHeight="1" x14ac:dyDescent="0.3">
      <c r="B1699" s="6" t="str">
        <f ca="1">IF(AND(NEGOCIAÇÕES!O1699="",NEGOCIAÇÕES!N1699&lt;TODAY()),NEGOCIAÇÕES!C1699,"")</f>
        <v/>
      </c>
      <c r="C1699" s="6">
        <f ca="1">IF(AND(NEGOCIAÇÕES!O1699="",NEGOCIAÇÕES!N1699&lt;TODAY()),NEGOCIAÇÕES!E1699,"")</f>
        <v>0</v>
      </c>
      <c r="D1699" s="6">
        <f ca="1">IF(AND(NEGOCIAÇÕES!O1699="",NEGOCIAÇÕES!N1699&lt;TODAY()),NEGOCIAÇÕES!D1699,"")</f>
        <v>0</v>
      </c>
      <c r="E1699" s="9">
        <f ca="1">IF(AND(NEGOCIAÇÕES!O1699="",NEGOCIAÇÕES!N1699&lt;TODAY()),NEGOCIAÇÕES!N1699,"")</f>
        <v>0</v>
      </c>
    </row>
    <row r="1700" spans="2:5" ht="31.95" hidden="1" customHeight="1" x14ac:dyDescent="0.3">
      <c r="B1700" s="6" t="str">
        <f ca="1">IF(AND(NEGOCIAÇÕES!O1700="",NEGOCIAÇÕES!N1700&lt;TODAY()),NEGOCIAÇÕES!C1700,"")</f>
        <v/>
      </c>
      <c r="C1700" s="6">
        <f ca="1">IF(AND(NEGOCIAÇÕES!O1700="",NEGOCIAÇÕES!N1700&lt;TODAY()),NEGOCIAÇÕES!E1700,"")</f>
        <v>0</v>
      </c>
      <c r="D1700" s="6">
        <f ca="1">IF(AND(NEGOCIAÇÕES!O1700="",NEGOCIAÇÕES!N1700&lt;TODAY()),NEGOCIAÇÕES!D1700,"")</f>
        <v>0</v>
      </c>
      <c r="E1700" s="9">
        <f ca="1">IF(AND(NEGOCIAÇÕES!O1700="",NEGOCIAÇÕES!N1700&lt;TODAY()),NEGOCIAÇÕES!N1700,"")</f>
        <v>0</v>
      </c>
    </row>
    <row r="1701" spans="2:5" ht="31.95" hidden="1" customHeight="1" x14ac:dyDescent="0.3">
      <c r="B1701" s="6" t="str">
        <f ca="1">IF(AND(NEGOCIAÇÕES!O1701="",NEGOCIAÇÕES!N1701&lt;TODAY()),NEGOCIAÇÕES!C1701,"")</f>
        <v/>
      </c>
      <c r="C1701" s="6">
        <f ca="1">IF(AND(NEGOCIAÇÕES!O1701="",NEGOCIAÇÕES!N1701&lt;TODAY()),NEGOCIAÇÕES!E1701,"")</f>
        <v>0</v>
      </c>
      <c r="D1701" s="6">
        <f ca="1">IF(AND(NEGOCIAÇÕES!O1701="",NEGOCIAÇÕES!N1701&lt;TODAY()),NEGOCIAÇÕES!D1701,"")</f>
        <v>0</v>
      </c>
      <c r="E1701" s="9">
        <f ca="1">IF(AND(NEGOCIAÇÕES!O1701="",NEGOCIAÇÕES!N1701&lt;TODAY()),NEGOCIAÇÕES!N1701,"")</f>
        <v>0</v>
      </c>
    </row>
    <row r="1702" spans="2:5" ht="31.95" hidden="1" customHeight="1" x14ac:dyDescent="0.3">
      <c r="B1702" s="6" t="str">
        <f ca="1">IF(AND(NEGOCIAÇÕES!O1702="",NEGOCIAÇÕES!N1702&lt;TODAY()),NEGOCIAÇÕES!C1702,"")</f>
        <v/>
      </c>
      <c r="C1702" s="6">
        <f ca="1">IF(AND(NEGOCIAÇÕES!O1702="",NEGOCIAÇÕES!N1702&lt;TODAY()),NEGOCIAÇÕES!E1702,"")</f>
        <v>0</v>
      </c>
      <c r="D1702" s="6">
        <f ca="1">IF(AND(NEGOCIAÇÕES!O1702="",NEGOCIAÇÕES!N1702&lt;TODAY()),NEGOCIAÇÕES!D1702,"")</f>
        <v>0</v>
      </c>
      <c r="E1702" s="9">
        <f ca="1">IF(AND(NEGOCIAÇÕES!O1702="",NEGOCIAÇÕES!N1702&lt;TODAY()),NEGOCIAÇÕES!N1702,"")</f>
        <v>0</v>
      </c>
    </row>
    <row r="1703" spans="2:5" ht="31.95" hidden="1" customHeight="1" x14ac:dyDescent="0.3">
      <c r="B1703" s="6" t="str">
        <f ca="1">IF(AND(NEGOCIAÇÕES!O1703="",NEGOCIAÇÕES!N1703&lt;TODAY()),NEGOCIAÇÕES!C1703,"")</f>
        <v/>
      </c>
      <c r="C1703" s="6">
        <f ca="1">IF(AND(NEGOCIAÇÕES!O1703="",NEGOCIAÇÕES!N1703&lt;TODAY()),NEGOCIAÇÕES!E1703,"")</f>
        <v>0</v>
      </c>
      <c r="D1703" s="6">
        <f ca="1">IF(AND(NEGOCIAÇÕES!O1703="",NEGOCIAÇÕES!N1703&lt;TODAY()),NEGOCIAÇÕES!D1703,"")</f>
        <v>0</v>
      </c>
      <c r="E1703" s="9">
        <f ca="1">IF(AND(NEGOCIAÇÕES!O1703="",NEGOCIAÇÕES!N1703&lt;TODAY()),NEGOCIAÇÕES!N1703,"")</f>
        <v>0</v>
      </c>
    </row>
    <row r="1704" spans="2:5" ht="31.95" hidden="1" customHeight="1" x14ac:dyDescent="0.3">
      <c r="B1704" s="6" t="str">
        <f ca="1">IF(AND(NEGOCIAÇÕES!O1704="",NEGOCIAÇÕES!N1704&lt;TODAY()),NEGOCIAÇÕES!C1704,"")</f>
        <v/>
      </c>
      <c r="C1704" s="6">
        <f ca="1">IF(AND(NEGOCIAÇÕES!O1704="",NEGOCIAÇÕES!N1704&lt;TODAY()),NEGOCIAÇÕES!E1704,"")</f>
        <v>0</v>
      </c>
      <c r="D1704" s="6">
        <f ca="1">IF(AND(NEGOCIAÇÕES!O1704="",NEGOCIAÇÕES!N1704&lt;TODAY()),NEGOCIAÇÕES!D1704,"")</f>
        <v>0</v>
      </c>
      <c r="E1704" s="9">
        <f ca="1">IF(AND(NEGOCIAÇÕES!O1704="",NEGOCIAÇÕES!N1704&lt;TODAY()),NEGOCIAÇÕES!N1704,"")</f>
        <v>0</v>
      </c>
    </row>
    <row r="1705" spans="2:5" ht="31.95" hidden="1" customHeight="1" x14ac:dyDescent="0.3">
      <c r="B1705" s="6" t="str">
        <f ca="1">IF(AND(NEGOCIAÇÕES!O1705="",NEGOCIAÇÕES!N1705&lt;TODAY()),NEGOCIAÇÕES!C1705,"")</f>
        <v/>
      </c>
      <c r="C1705" s="6">
        <f ca="1">IF(AND(NEGOCIAÇÕES!O1705="",NEGOCIAÇÕES!N1705&lt;TODAY()),NEGOCIAÇÕES!E1705,"")</f>
        <v>0</v>
      </c>
      <c r="D1705" s="6">
        <f ca="1">IF(AND(NEGOCIAÇÕES!O1705="",NEGOCIAÇÕES!N1705&lt;TODAY()),NEGOCIAÇÕES!D1705,"")</f>
        <v>0</v>
      </c>
      <c r="E1705" s="9">
        <f ca="1">IF(AND(NEGOCIAÇÕES!O1705="",NEGOCIAÇÕES!N1705&lt;TODAY()),NEGOCIAÇÕES!N1705,"")</f>
        <v>0</v>
      </c>
    </row>
    <row r="1706" spans="2:5" ht="31.95" hidden="1" customHeight="1" x14ac:dyDescent="0.3">
      <c r="B1706" s="6" t="str">
        <f ca="1">IF(AND(NEGOCIAÇÕES!O1706="",NEGOCIAÇÕES!N1706&lt;TODAY()),NEGOCIAÇÕES!C1706,"")</f>
        <v/>
      </c>
      <c r="C1706" s="6">
        <f ca="1">IF(AND(NEGOCIAÇÕES!O1706="",NEGOCIAÇÕES!N1706&lt;TODAY()),NEGOCIAÇÕES!E1706,"")</f>
        <v>0</v>
      </c>
      <c r="D1706" s="6">
        <f ca="1">IF(AND(NEGOCIAÇÕES!O1706="",NEGOCIAÇÕES!N1706&lt;TODAY()),NEGOCIAÇÕES!D1706,"")</f>
        <v>0</v>
      </c>
      <c r="E1706" s="9">
        <f ca="1">IF(AND(NEGOCIAÇÕES!O1706="",NEGOCIAÇÕES!N1706&lt;TODAY()),NEGOCIAÇÕES!N1706,"")</f>
        <v>0</v>
      </c>
    </row>
    <row r="1707" spans="2:5" ht="31.95" hidden="1" customHeight="1" x14ac:dyDescent="0.3">
      <c r="B1707" s="6" t="str">
        <f ca="1">IF(AND(NEGOCIAÇÕES!O1707="",NEGOCIAÇÕES!N1707&lt;TODAY()),NEGOCIAÇÕES!C1707,"")</f>
        <v/>
      </c>
      <c r="C1707" s="6">
        <f ca="1">IF(AND(NEGOCIAÇÕES!O1707="",NEGOCIAÇÕES!N1707&lt;TODAY()),NEGOCIAÇÕES!E1707,"")</f>
        <v>0</v>
      </c>
      <c r="D1707" s="6">
        <f ca="1">IF(AND(NEGOCIAÇÕES!O1707="",NEGOCIAÇÕES!N1707&lt;TODAY()),NEGOCIAÇÕES!D1707,"")</f>
        <v>0</v>
      </c>
      <c r="E1707" s="9">
        <f ca="1">IF(AND(NEGOCIAÇÕES!O1707="",NEGOCIAÇÕES!N1707&lt;TODAY()),NEGOCIAÇÕES!N1707,"")</f>
        <v>0</v>
      </c>
    </row>
    <row r="1708" spans="2:5" ht="31.95" hidden="1" customHeight="1" x14ac:dyDescent="0.3">
      <c r="B1708" s="6" t="str">
        <f ca="1">IF(AND(NEGOCIAÇÕES!O1708="",NEGOCIAÇÕES!N1708&lt;TODAY()),NEGOCIAÇÕES!C1708,"")</f>
        <v/>
      </c>
      <c r="C1708" s="6">
        <f ca="1">IF(AND(NEGOCIAÇÕES!O1708="",NEGOCIAÇÕES!N1708&lt;TODAY()),NEGOCIAÇÕES!E1708,"")</f>
        <v>0</v>
      </c>
      <c r="D1708" s="6">
        <f ca="1">IF(AND(NEGOCIAÇÕES!O1708="",NEGOCIAÇÕES!N1708&lt;TODAY()),NEGOCIAÇÕES!D1708,"")</f>
        <v>0</v>
      </c>
      <c r="E1708" s="9">
        <f ca="1">IF(AND(NEGOCIAÇÕES!O1708="",NEGOCIAÇÕES!N1708&lt;TODAY()),NEGOCIAÇÕES!N1708,"")</f>
        <v>0</v>
      </c>
    </row>
    <row r="1709" spans="2:5" ht="31.95" hidden="1" customHeight="1" x14ac:dyDescent="0.3">
      <c r="B1709" s="6" t="str">
        <f ca="1">IF(AND(NEGOCIAÇÕES!O1709="",NEGOCIAÇÕES!N1709&lt;TODAY()),NEGOCIAÇÕES!C1709,"")</f>
        <v/>
      </c>
      <c r="C1709" s="6">
        <f ca="1">IF(AND(NEGOCIAÇÕES!O1709="",NEGOCIAÇÕES!N1709&lt;TODAY()),NEGOCIAÇÕES!E1709,"")</f>
        <v>0</v>
      </c>
      <c r="D1709" s="6">
        <f ca="1">IF(AND(NEGOCIAÇÕES!O1709="",NEGOCIAÇÕES!N1709&lt;TODAY()),NEGOCIAÇÕES!D1709,"")</f>
        <v>0</v>
      </c>
      <c r="E1709" s="9">
        <f ca="1">IF(AND(NEGOCIAÇÕES!O1709="",NEGOCIAÇÕES!N1709&lt;TODAY()),NEGOCIAÇÕES!N1709,"")</f>
        <v>0</v>
      </c>
    </row>
    <row r="1710" spans="2:5" ht="31.95" hidden="1" customHeight="1" x14ac:dyDescent="0.3">
      <c r="B1710" s="6" t="str">
        <f ca="1">IF(AND(NEGOCIAÇÕES!O1710="",NEGOCIAÇÕES!N1710&lt;TODAY()),NEGOCIAÇÕES!C1710,"")</f>
        <v/>
      </c>
      <c r="C1710" s="6">
        <f ca="1">IF(AND(NEGOCIAÇÕES!O1710="",NEGOCIAÇÕES!N1710&lt;TODAY()),NEGOCIAÇÕES!E1710,"")</f>
        <v>0</v>
      </c>
      <c r="D1710" s="6">
        <f ca="1">IF(AND(NEGOCIAÇÕES!O1710="",NEGOCIAÇÕES!N1710&lt;TODAY()),NEGOCIAÇÕES!D1710,"")</f>
        <v>0</v>
      </c>
      <c r="E1710" s="9">
        <f ca="1">IF(AND(NEGOCIAÇÕES!O1710="",NEGOCIAÇÕES!N1710&lt;TODAY()),NEGOCIAÇÕES!N1710,"")</f>
        <v>0</v>
      </c>
    </row>
    <row r="1711" spans="2:5" ht="31.95" hidden="1" customHeight="1" x14ac:dyDescent="0.3">
      <c r="B1711" s="6" t="str">
        <f ca="1">IF(AND(NEGOCIAÇÕES!O1711="",NEGOCIAÇÕES!N1711&lt;TODAY()),NEGOCIAÇÕES!C1711,"")</f>
        <v/>
      </c>
      <c r="C1711" s="6">
        <f ca="1">IF(AND(NEGOCIAÇÕES!O1711="",NEGOCIAÇÕES!N1711&lt;TODAY()),NEGOCIAÇÕES!E1711,"")</f>
        <v>0</v>
      </c>
      <c r="D1711" s="6">
        <f ca="1">IF(AND(NEGOCIAÇÕES!O1711="",NEGOCIAÇÕES!N1711&lt;TODAY()),NEGOCIAÇÕES!D1711,"")</f>
        <v>0</v>
      </c>
      <c r="E1711" s="9">
        <f ca="1">IF(AND(NEGOCIAÇÕES!O1711="",NEGOCIAÇÕES!N1711&lt;TODAY()),NEGOCIAÇÕES!N1711,"")</f>
        <v>0</v>
      </c>
    </row>
    <row r="1712" spans="2:5" ht="31.95" hidden="1" customHeight="1" x14ac:dyDescent="0.3">
      <c r="B1712" s="6" t="str">
        <f ca="1">IF(AND(NEGOCIAÇÕES!O1712="",NEGOCIAÇÕES!N1712&lt;TODAY()),NEGOCIAÇÕES!C1712,"")</f>
        <v/>
      </c>
      <c r="C1712" s="6">
        <f ca="1">IF(AND(NEGOCIAÇÕES!O1712="",NEGOCIAÇÕES!N1712&lt;TODAY()),NEGOCIAÇÕES!E1712,"")</f>
        <v>0</v>
      </c>
      <c r="D1712" s="6">
        <f ca="1">IF(AND(NEGOCIAÇÕES!O1712="",NEGOCIAÇÕES!N1712&lt;TODAY()),NEGOCIAÇÕES!D1712,"")</f>
        <v>0</v>
      </c>
      <c r="E1712" s="9">
        <f ca="1">IF(AND(NEGOCIAÇÕES!O1712="",NEGOCIAÇÕES!N1712&lt;TODAY()),NEGOCIAÇÕES!N1712,"")</f>
        <v>0</v>
      </c>
    </row>
    <row r="1713" spans="2:5" ht="31.95" hidden="1" customHeight="1" x14ac:dyDescent="0.3">
      <c r="B1713" s="6" t="str">
        <f ca="1">IF(AND(NEGOCIAÇÕES!O1713="",NEGOCIAÇÕES!N1713&lt;TODAY()),NEGOCIAÇÕES!C1713,"")</f>
        <v/>
      </c>
      <c r="C1713" s="6">
        <f ca="1">IF(AND(NEGOCIAÇÕES!O1713="",NEGOCIAÇÕES!N1713&lt;TODAY()),NEGOCIAÇÕES!E1713,"")</f>
        <v>0</v>
      </c>
      <c r="D1713" s="6">
        <f ca="1">IF(AND(NEGOCIAÇÕES!O1713="",NEGOCIAÇÕES!N1713&lt;TODAY()),NEGOCIAÇÕES!D1713,"")</f>
        <v>0</v>
      </c>
      <c r="E1713" s="9">
        <f ca="1">IF(AND(NEGOCIAÇÕES!O1713="",NEGOCIAÇÕES!N1713&lt;TODAY()),NEGOCIAÇÕES!N1713,"")</f>
        <v>0</v>
      </c>
    </row>
    <row r="1714" spans="2:5" ht="31.95" hidden="1" customHeight="1" x14ac:dyDescent="0.3">
      <c r="B1714" s="6" t="str">
        <f ca="1">IF(AND(NEGOCIAÇÕES!O1714="",NEGOCIAÇÕES!N1714&lt;TODAY()),NEGOCIAÇÕES!C1714,"")</f>
        <v/>
      </c>
      <c r="C1714" s="6">
        <f ca="1">IF(AND(NEGOCIAÇÕES!O1714="",NEGOCIAÇÕES!N1714&lt;TODAY()),NEGOCIAÇÕES!E1714,"")</f>
        <v>0</v>
      </c>
      <c r="D1714" s="6">
        <f ca="1">IF(AND(NEGOCIAÇÕES!O1714="",NEGOCIAÇÕES!N1714&lt;TODAY()),NEGOCIAÇÕES!D1714,"")</f>
        <v>0</v>
      </c>
      <c r="E1714" s="9">
        <f ca="1">IF(AND(NEGOCIAÇÕES!O1714="",NEGOCIAÇÕES!N1714&lt;TODAY()),NEGOCIAÇÕES!N1714,"")</f>
        <v>0</v>
      </c>
    </row>
    <row r="1715" spans="2:5" ht="31.95" hidden="1" customHeight="1" x14ac:dyDescent="0.3">
      <c r="B1715" s="6" t="str">
        <f ca="1">IF(AND(NEGOCIAÇÕES!O1715="",NEGOCIAÇÕES!N1715&lt;TODAY()),NEGOCIAÇÕES!C1715,"")</f>
        <v/>
      </c>
      <c r="C1715" s="6">
        <f ca="1">IF(AND(NEGOCIAÇÕES!O1715="",NEGOCIAÇÕES!N1715&lt;TODAY()),NEGOCIAÇÕES!E1715,"")</f>
        <v>0</v>
      </c>
      <c r="D1715" s="6">
        <f ca="1">IF(AND(NEGOCIAÇÕES!O1715="",NEGOCIAÇÕES!N1715&lt;TODAY()),NEGOCIAÇÕES!D1715,"")</f>
        <v>0</v>
      </c>
      <c r="E1715" s="9">
        <f ca="1">IF(AND(NEGOCIAÇÕES!O1715="",NEGOCIAÇÕES!N1715&lt;TODAY()),NEGOCIAÇÕES!N1715,"")</f>
        <v>0</v>
      </c>
    </row>
    <row r="1716" spans="2:5" ht="31.95" hidden="1" customHeight="1" x14ac:dyDescent="0.3">
      <c r="B1716" s="6" t="str">
        <f ca="1">IF(AND(NEGOCIAÇÕES!O1716="",NEGOCIAÇÕES!N1716&lt;TODAY()),NEGOCIAÇÕES!C1716,"")</f>
        <v/>
      </c>
      <c r="C1716" s="6">
        <f ca="1">IF(AND(NEGOCIAÇÕES!O1716="",NEGOCIAÇÕES!N1716&lt;TODAY()),NEGOCIAÇÕES!E1716,"")</f>
        <v>0</v>
      </c>
      <c r="D1716" s="6">
        <f ca="1">IF(AND(NEGOCIAÇÕES!O1716="",NEGOCIAÇÕES!N1716&lt;TODAY()),NEGOCIAÇÕES!D1716,"")</f>
        <v>0</v>
      </c>
      <c r="E1716" s="9">
        <f ca="1">IF(AND(NEGOCIAÇÕES!O1716="",NEGOCIAÇÕES!N1716&lt;TODAY()),NEGOCIAÇÕES!N1716,"")</f>
        <v>0</v>
      </c>
    </row>
    <row r="1717" spans="2:5" ht="31.95" hidden="1" customHeight="1" x14ac:dyDescent="0.3">
      <c r="B1717" s="6" t="str">
        <f ca="1">IF(AND(NEGOCIAÇÕES!O1717="",NEGOCIAÇÕES!N1717&lt;TODAY()),NEGOCIAÇÕES!C1717,"")</f>
        <v/>
      </c>
      <c r="C1717" s="6">
        <f ca="1">IF(AND(NEGOCIAÇÕES!O1717="",NEGOCIAÇÕES!N1717&lt;TODAY()),NEGOCIAÇÕES!E1717,"")</f>
        <v>0</v>
      </c>
      <c r="D1717" s="6">
        <f ca="1">IF(AND(NEGOCIAÇÕES!O1717="",NEGOCIAÇÕES!N1717&lt;TODAY()),NEGOCIAÇÕES!D1717,"")</f>
        <v>0</v>
      </c>
      <c r="E1717" s="9">
        <f ca="1">IF(AND(NEGOCIAÇÕES!O1717="",NEGOCIAÇÕES!N1717&lt;TODAY()),NEGOCIAÇÕES!N1717,"")</f>
        <v>0</v>
      </c>
    </row>
    <row r="1718" spans="2:5" ht="31.95" hidden="1" customHeight="1" x14ac:dyDescent="0.3">
      <c r="B1718" s="6" t="str">
        <f ca="1">IF(AND(NEGOCIAÇÕES!O1718="",NEGOCIAÇÕES!N1718&lt;TODAY()),NEGOCIAÇÕES!C1718,"")</f>
        <v/>
      </c>
      <c r="C1718" s="6">
        <f ca="1">IF(AND(NEGOCIAÇÕES!O1718="",NEGOCIAÇÕES!N1718&lt;TODAY()),NEGOCIAÇÕES!E1718,"")</f>
        <v>0</v>
      </c>
      <c r="D1718" s="6">
        <f ca="1">IF(AND(NEGOCIAÇÕES!O1718="",NEGOCIAÇÕES!N1718&lt;TODAY()),NEGOCIAÇÕES!D1718,"")</f>
        <v>0</v>
      </c>
      <c r="E1718" s="9">
        <f ca="1">IF(AND(NEGOCIAÇÕES!O1718="",NEGOCIAÇÕES!N1718&lt;TODAY()),NEGOCIAÇÕES!N1718,"")</f>
        <v>0</v>
      </c>
    </row>
    <row r="1719" spans="2:5" ht="31.95" hidden="1" customHeight="1" x14ac:dyDescent="0.3">
      <c r="B1719" s="6" t="str">
        <f ca="1">IF(AND(NEGOCIAÇÕES!O1719="",NEGOCIAÇÕES!N1719&lt;TODAY()),NEGOCIAÇÕES!C1719,"")</f>
        <v/>
      </c>
      <c r="C1719" s="6">
        <f ca="1">IF(AND(NEGOCIAÇÕES!O1719="",NEGOCIAÇÕES!N1719&lt;TODAY()),NEGOCIAÇÕES!E1719,"")</f>
        <v>0</v>
      </c>
      <c r="D1719" s="6">
        <f ca="1">IF(AND(NEGOCIAÇÕES!O1719="",NEGOCIAÇÕES!N1719&lt;TODAY()),NEGOCIAÇÕES!D1719,"")</f>
        <v>0</v>
      </c>
      <c r="E1719" s="9">
        <f ca="1">IF(AND(NEGOCIAÇÕES!O1719="",NEGOCIAÇÕES!N1719&lt;TODAY()),NEGOCIAÇÕES!N1719,"")</f>
        <v>0</v>
      </c>
    </row>
    <row r="1720" spans="2:5" ht="31.95" hidden="1" customHeight="1" x14ac:dyDescent="0.3">
      <c r="B1720" s="6" t="str">
        <f ca="1">IF(AND(NEGOCIAÇÕES!O1720="",NEGOCIAÇÕES!N1720&lt;TODAY()),NEGOCIAÇÕES!C1720,"")</f>
        <v/>
      </c>
      <c r="C1720" s="6">
        <f ca="1">IF(AND(NEGOCIAÇÕES!O1720="",NEGOCIAÇÕES!N1720&lt;TODAY()),NEGOCIAÇÕES!E1720,"")</f>
        <v>0</v>
      </c>
      <c r="D1720" s="6">
        <f ca="1">IF(AND(NEGOCIAÇÕES!O1720="",NEGOCIAÇÕES!N1720&lt;TODAY()),NEGOCIAÇÕES!D1720,"")</f>
        <v>0</v>
      </c>
      <c r="E1720" s="9">
        <f ca="1">IF(AND(NEGOCIAÇÕES!O1720="",NEGOCIAÇÕES!N1720&lt;TODAY()),NEGOCIAÇÕES!N1720,"")</f>
        <v>0</v>
      </c>
    </row>
    <row r="1721" spans="2:5" ht="31.95" hidden="1" customHeight="1" x14ac:dyDescent="0.3">
      <c r="B1721" s="6" t="str">
        <f ca="1">IF(AND(NEGOCIAÇÕES!O1721="",NEGOCIAÇÕES!N1721&lt;TODAY()),NEGOCIAÇÕES!C1721,"")</f>
        <v/>
      </c>
      <c r="C1721" s="6">
        <f ca="1">IF(AND(NEGOCIAÇÕES!O1721="",NEGOCIAÇÕES!N1721&lt;TODAY()),NEGOCIAÇÕES!E1721,"")</f>
        <v>0</v>
      </c>
      <c r="D1721" s="6">
        <f ca="1">IF(AND(NEGOCIAÇÕES!O1721="",NEGOCIAÇÕES!N1721&lt;TODAY()),NEGOCIAÇÕES!D1721,"")</f>
        <v>0</v>
      </c>
      <c r="E1721" s="9">
        <f ca="1">IF(AND(NEGOCIAÇÕES!O1721="",NEGOCIAÇÕES!N1721&lt;TODAY()),NEGOCIAÇÕES!N1721,"")</f>
        <v>0</v>
      </c>
    </row>
    <row r="1722" spans="2:5" ht="31.95" hidden="1" customHeight="1" x14ac:dyDescent="0.3">
      <c r="B1722" s="6" t="str">
        <f ca="1">IF(AND(NEGOCIAÇÕES!O1722="",NEGOCIAÇÕES!N1722&lt;TODAY()),NEGOCIAÇÕES!C1722,"")</f>
        <v/>
      </c>
      <c r="C1722" s="6">
        <f ca="1">IF(AND(NEGOCIAÇÕES!O1722="",NEGOCIAÇÕES!N1722&lt;TODAY()),NEGOCIAÇÕES!E1722,"")</f>
        <v>0</v>
      </c>
      <c r="D1722" s="6">
        <f ca="1">IF(AND(NEGOCIAÇÕES!O1722="",NEGOCIAÇÕES!N1722&lt;TODAY()),NEGOCIAÇÕES!D1722,"")</f>
        <v>0</v>
      </c>
      <c r="E1722" s="9">
        <f ca="1">IF(AND(NEGOCIAÇÕES!O1722="",NEGOCIAÇÕES!N1722&lt;TODAY()),NEGOCIAÇÕES!N1722,"")</f>
        <v>0</v>
      </c>
    </row>
    <row r="1723" spans="2:5" ht="31.95" hidden="1" customHeight="1" x14ac:dyDescent="0.3">
      <c r="B1723" s="6" t="str">
        <f ca="1">IF(AND(NEGOCIAÇÕES!O1723="",NEGOCIAÇÕES!N1723&lt;TODAY()),NEGOCIAÇÕES!C1723,"")</f>
        <v/>
      </c>
      <c r="C1723" s="6">
        <f ca="1">IF(AND(NEGOCIAÇÕES!O1723="",NEGOCIAÇÕES!N1723&lt;TODAY()),NEGOCIAÇÕES!E1723,"")</f>
        <v>0</v>
      </c>
      <c r="D1723" s="6">
        <f ca="1">IF(AND(NEGOCIAÇÕES!O1723="",NEGOCIAÇÕES!N1723&lt;TODAY()),NEGOCIAÇÕES!D1723,"")</f>
        <v>0</v>
      </c>
      <c r="E1723" s="9">
        <f ca="1">IF(AND(NEGOCIAÇÕES!O1723="",NEGOCIAÇÕES!N1723&lt;TODAY()),NEGOCIAÇÕES!N1723,"")</f>
        <v>0</v>
      </c>
    </row>
    <row r="1724" spans="2:5" ht="31.95" hidden="1" customHeight="1" x14ac:dyDescent="0.3">
      <c r="B1724" s="6" t="str">
        <f ca="1">IF(AND(NEGOCIAÇÕES!O1724="",NEGOCIAÇÕES!N1724&lt;TODAY()),NEGOCIAÇÕES!C1724,"")</f>
        <v/>
      </c>
      <c r="C1724" s="6">
        <f ca="1">IF(AND(NEGOCIAÇÕES!O1724="",NEGOCIAÇÕES!N1724&lt;TODAY()),NEGOCIAÇÕES!E1724,"")</f>
        <v>0</v>
      </c>
      <c r="D1724" s="6">
        <f ca="1">IF(AND(NEGOCIAÇÕES!O1724="",NEGOCIAÇÕES!N1724&lt;TODAY()),NEGOCIAÇÕES!D1724,"")</f>
        <v>0</v>
      </c>
      <c r="E1724" s="9">
        <f ca="1">IF(AND(NEGOCIAÇÕES!O1724="",NEGOCIAÇÕES!N1724&lt;TODAY()),NEGOCIAÇÕES!N1724,"")</f>
        <v>0</v>
      </c>
    </row>
    <row r="1725" spans="2:5" ht="31.95" hidden="1" customHeight="1" x14ac:dyDescent="0.3">
      <c r="B1725" s="6" t="str">
        <f ca="1">IF(AND(NEGOCIAÇÕES!O1725="",NEGOCIAÇÕES!N1725&lt;TODAY()),NEGOCIAÇÕES!C1725,"")</f>
        <v/>
      </c>
      <c r="C1725" s="6">
        <f ca="1">IF(AND(NEGOCIAÇÕES!O1725="",NEGOCIAÇÕES!N1725&lt;TODAY()),NEGOCIAÇÕES!E1725,"")</f>
        <v>0</v>
      </c>
      <c r="D1725" s="6">
        <f ca="1">IF(AND(NEGOCIAÇÕES!O1725="",NEGOCIAÇÕES!N1725&lt;TODAY()),NEGOCIAÇÕES!D1725,"")</f>
        <v>0</v>
      </c>
      <c r="E1725" s="9">
        <f ca="1">IF(AND(NEGOCIAÇÕES!O1725="",NEGOCIAÇÕES!N1725&lt;TODAY()),NEGOCIAÇÕES!N1725,"")</f>
        <v>0</v>
      </c>
    </row>
    <row r="1726" spans="2:5" ht="31.95" hidden="1" customHeight="1" x14ac:dyDescent="0.3">
      <c r="B1726" s="6" t="str">
        <f ca="1">IF(AND(NEGOCIAÇÕES!O1726="",NEGOCIAÇÕES!N1726&lt;TODAY()),NEGOCIAÇÕES!C1726,"")</f>
        <v/>
      </c>
      <c r="C1726" s="6">
        <f ca="1">IF(AND(NEGOCIAÇÕES!O1726="",NEGOCIAÇÕES!N1726&lt;TODAY()),NEGOCIAÇÕES!E1726,"")</f>
        <v>0</v>
      </c>
      <c r="D1726" s="6">
        <f ca="1">IF(AND(NEGOCIAÇÕES!O1726="",NEGOCIAÇÕES!N1726&lt;TODAY()),NEGOCIAÇÕES!D1726,"")</f>
        <v>0</v>
      </c>
      <c r="E1726" s="9">
        <f ca="1">IF(AND(NEGOCIAÇÕES!O1726="",NEGOCIAÇÕES!N1726&lt;TODAY()),NEGOCIAÇÕES!N1726,"")</f>
        <v>0</v>
      </c>
    </row>
    <row r="1727" spans="2:5" ht="31.95" hidden="1" customHeight="1" x14ac:dyDescent="0.3">
      <c r="B1727" s="6" t="str">
        <f ca="1">IF(AND(NEGOCIAÇÕES!O1727="",NEGOCIAÇÕES!N1727&lt;TODAY()),NEGOCIAÇÕES!C1727,"")</f>
        <v/>
      </c>
      <c r="C1727" s="6">
        <f ca="1">IF(AND(NEGOCIAÇÕES!O1727="",NEGOCIAÇÕES!N1727&lt;TODAY()),NEGOCIAÇÕES!E1727,"")</f>
        <v>0</v>
      </c>
      <c r="D1727" s="6">
        <f ca="1">IF(AND(NEGOCIAÇÕES!O1727="",NEGOCIAÇÕES!N1727&lt;TODAY()),NEGOCIAÇÕES!D1727,"")</f>
        <v>0</v>
      </c>
      <c r="E1727" s="9">
        <f ca="1">IF(AND(NEGOCIAÇÕES!O1727="",NEGOCIAÇÕES!N1727&lt;TODAY()),NEGOCIAÇÕES!N1727,"")</f>
        <v>0</v>
      </c>
    </row>
    <row r="1728" spans="2:5" ht="31.95" hidden="1" customHeight="1" x14ac:dyDescent="0.3">
      <c r="B1728" s="6" t="str">
        <f ca="1">IF(AND(NEGOCIAÇÕES!O1728="",NEGOCIAÇÕES!N1728&lt;TODAY()),NEGOCIAÇÕES!C1728,"")</f>
        <v/>
      </c>
      <c r="C1728" s="6">
        <f ca="1">IF(AND(NEGOCIAÇÕES!O1728="",NEGOCIAÇÕES!N1728&lt;TODAY()),NEGOCIAÇÕES!E1728,"")</f>
        <v>0</v>
      </c>
      <c r="D1728" s="6">
        <f ca="1">IF(AND(NEGOCIAÇÕES!O1728="",NEGOCIAÇÕES!N1728&lt;TODAY()),NEGOCIAÇÕES!D1728,"")</f>
        <v>0</v>
      </c>
      <c r="E1728" s="9">
        <f ca="1">IF(AND(NEGOCIAÇÕES!O1728="",NEGOCIAÇÕES!N1728&lt;TODAY()),NEGOCIAÇÕES!N1728,"")</f>
        <v>0</v>
      </c>
    </row>
    <row r="1729" spans="2:5" ht="31.95" hidden="1" customHeight="1" x14ac:dyDescent="0.3">
      <c r="B1729" s="6" t="str">
        <f ca="1">IF(AND(NEGOCIAÇÕES!O1729="",NEGOCIAÇÕES!N1729&lt;TODAY()),NEGOCIAÇÕES!C1729,"")</f>
        <v/>
      </c>
      <c r="C1729" s="6">
        <f ca="1">IF(AND(NEGOCIAÇÕES!O1729="",NEGOCIAÇÕES!N1729&lt;TODAY()),NEGOCIAÇÕES!E1729,"")</f>
        <v>0</v>
      </c>
      <c r="D1729" s="6">
        <f ca="1">IF(AND(NEGOCIAÇÕES!O1729="",NEGOCIAÇÕES!N1729&lt;TODAY()),NEGOCIAÇÕES!D1729,"")</f>
        <v>0</v>
      </c>
      <c r="E1729" s="9">
        <f ca="1">IF(AND(NEGOCIAÇÕES!O1729="",NEGOCIAÇÕES!N1729&lt;TODAY()),NEGOCIAÇÕES!N1729,"")</f>
        <v>0</v>
      </c>
    </row>
    <row r="1730" spans="2:5" ht="31.95" hidden="1" customHeight="1" x14ac:dyDescent="0.3">
      <c r="B1730" s="6" t="str">
        <f ca="1">IF(AND(NEGOCIAÇÕES!O1730="",NEGOCIAÇÕES!N1730&lt;TODAY()),NEGOCIAÇÕES!C1730,"")</f>
        <v/>
      </c>
      <c r="C1730" s="6">
        <f ca="1">IF(AND(NEGOCIAÇÕES!O1730="",NEGOCIAÇÕES!N1730&lt;TODAY()),NEGOCIAÇÕES!E1730,"")</f>
        <v>0</v>
      </c>
      <c r="D1730" s="6">
        <f ca="1">IF(AND(NEGOCIAÇÕES!O1730="",NEGOCIAÇÕES!N1730&lt;TODAY()),NEGOCIAÇÕES!D1730,"")</f>
        <v>0</v>
      </c>
      <c r="E1730" s="9">
        <f ca="1">IF(AND(NEGOCIAÇÕES!O1730="",NEGOCIAÇÕES!N1730&lt;TODAY()),NEGOCIAÇÕES!N1730,"")</f>
        <v>0</v>
      </c>
    </row>
    <row r="1731" spans="2:5" ht="31.95" hidden="1" customHeight="1" x14ac:dyDescent="0.3">
      <c r="B1731" s="6" t="str">
        <f ca="1">IF(AND(NEGOCIAÇÕES!O1731="",NEGOCIAÇÕES!N1731&lt;TODAY()),NEGOCIAÇÕES!C1731,"")</f>
        <v/>
      </c>
      <c r="C1731" s="6">
        <f ca="1">IF(AND(NEGOCIAÇÕES!O1731="",NEGOCIAÇÕES!N1731&lt;TODAY()),NEGOCIAÇÕES!E1731,"")</f>
        <v>0</v>
      </c>
      <c r="D1731" s="6">
        <f ca="1">IF(AND(NEGOCIAÇÕES!O1731="",NEGOCIAÇÕES!N1731&lt;TODAY()),NEGOCIAÇÕES!D1731,"")</f>
        <v>0</v>
      </c>
      <c r="E1731" s="9">
        <f ca="1">IF(AND(NEGOCIAÇÕES!O1731="",NEGOCIAÇÕES!N1731&lt;TODAY()),NEGOCIAÇÕES!N1731,"")</f>
        <v>0</v>
      </c>
    </row>
    <row r="1732" spans="2:5" ht="31.95" hidden="1" customHeight="1" x14ac:dyDescent="0.3">
      <c r="B1732" s="6" t="str">
        <f ca="1">IF(AND(NEGOCIAÇÕES!O1732="",NEGOCIAÇÕES!N1732&lt;TODAY()),NEGOCIAÇÕES!C1732,"")</f>
        <v/>
      </c>
      <c r="C1732" s="6">
        <f ca="1">IF(AND(NEGOCIAÇÕES!O1732="",NEGOCIAÇÕES!N1732&lt;TODAY()),NEGOCIAÇÕES!E1732,"")</f>
        <v>0</v>
      </c>
      <c r="D1732" s="6">
        <f ca="1">IF(AND(NEGOCIAÇÕES!O1732="",NEGOCIAÇÕES!N1732&lt;TODAY()),NEGOCIAÇÕES!D1732,"")</f>
        <v>0</v>
      </c>
      <c r="E1732" s="9">
        <f ca="1">IF(AND(NEGOCIAÇÕES!O1732="",NEGOCIAÇÕES!N1732&lt;TODAY()),NEGOCIAÇÕES!N1732,"")</f>
        <v>0</v>
      </c>
    </row>
    <row r="1733" spans="2:5" ht="31.95" hidden="1" customHeight="1" x14ac:dyDescent="0.3">
      <c r="B1733" s="6" t="str">
        <f ca="1">IF(AND(NEGOCIAÇÕES!O1733="",NEGOCIAÇÕES!N1733&lt;TODAY()),NEGOCIAÇÕES!C1733,"")</f>
        <v/>
      </c>
      <c r="C1733" s="6">
        <f ca="1">IF(AND(NEGOCIAÇÕES!O1733="",NEGOCIAÇÕES!N1733&lt;TODAY()),NEGOCIAÇÕES!E1733,"")</f>
        <v>0</v>
      </c>
      <c r="D1733" s="6">
        <f ca="1">IF(AND(NEGOCIAÇÕES!O1733="",NEGOCIAÇÕES!N1733&lt;TODAY()),NEGOCIAÇÕES!D1733,"")</f>
        <v>0</v>
      </c>
      <c r="E1733" s="9">
        <f ca="1">IF(AND(NEGOCIAÇÕES!O1733="",NEGOCIAÇÕES!N1733&lt;TODAY()),NEGOCIAÇÕES!N1733,"")</f>
        <v>0</v>
      </c>
    </row>
    <row r="1734" spans="2:5" ht="31.95" hidden="1" customHeight="1" x14ac:dyDescent="0.3">
      <c r="B1734" s="6" t="str">
        <f ca="1">IF(AND(NEGOCIAÇÕES!O1734="",NEGOCIAÇÕES!N1734&lt;TODAY()),NEGOCIAÇÕES!C1734,"")</f>
        <v/>
      </c>
      <c r="C1734" s="6">
        <f ca="1">IF(AND(NEGOCIAÇÕES!O1734="",NEGOCIAÇÕES!N1734&lt;TODAY()),NEGOCIAÇÕES!E1734,"")</f>
        <v>0</v>
      </c>
      <c r="D1734" s="6">
        <f ca="1">IF(AND(NEGOCIAÇÕES!O1734="",NEGOCIAÇÕES!N1734&lt;TODAY()),NEGOCIAÇÕES!D1734,"")</f>
        <v>0</v>
      </c>
      <c r="E1734" s="9">
        <f ca="1">IF(AND(NEGOCIAÇÕES!O1734="",NEGOCIAÇÕES!N1734&lt;TODAY()),NEGOCIAÇÕES!N1734,"")</f>
        <v>0</v>
      </c>
    </row>
    <row r="1735" spans="2:5" ht="31.95" hidden="1" customHeight="1" x14ac:dyDescent="0.3">
      <c r="B1735" s="6" t="str">
        <f ca="1">IF(AND(NEGOCIAÇÕES!O1735="",NEGOCIAÇÕES!N1735&lt;TODAY()),NEGOCIAÇÕES!C1735,"")</f>
        <v/>
      </c>
      <c r="C1735" s="6">
        <f ca="1">IF(AND(NEGOCIAÇÕES!O1735="",NEGOCIAÇÕES!N1735&lt;TODAY()),NEGOCIAÇÕES!E1735,"")</f>
        <v>0</v>
      </c>
      <c r="D1735" s="6">
        <f ca="1">IF(AND(NEGOCIAÇÕES!O1735="",NEGOCIAÇÕES!N1735&lt;TODAY()),NEGOCIAÇÕES!D1735,"")</f>
        <v>0</v>
      </c>
      <c r="E1735" s="9">
        <f ca="1">IF(AND(NEGOCIAÇÕES!O1735="",NEGOCIAÇÕES!N1735&lt;TODAY()),NEGOCIAÇÕES!N1735,"")</f>
        <v>0</v>
      </c>
    </row>
    <row r="1736" spans="2:5" ht="31.95" hidden="1" customHeight="1" x14ac:dyDescent="0.3">
      <c r="B1736" s="6" t="str">
        <f ca="1">IF(AND(NEGOCIAÇÕES!O1736="",NEGOCIAÇÕES!N1736&lt;TODAY()),NEGOCIAÇÕES!C1736,"")</f>
        <v/>
      </c>
      <c r="C1736" s="6">
        <f ca="1">IF(AND(NEGOCIAÇÕES!O1736="",NEGOCIAÇÕES!N1736&lt;TODAY()),NEGOCIAÇÕES!E1736,"")</f>
        <v>0</v>
      </c>
      <c r="D1736" s="6">
        <f ca="1">IF(AND(NEGOCIAÇÕES!O1736="",NEGOCIAÇÕES!N1736&lt;TODAY()),NEGOCIAÇÕES!D1736,"")</f>
        <v>0</v>
      </c>
      <c r="E1736" s="9">
        <f ca="1">IF(AND(NEGOCIAÇÕES!O1736="",NEGOCIAÇÕES!N1736&lt;TODAY()),NEGOCIAÇÕES!N1736,"")</f>
        <v>0</v>
      </c>
    </row>
    <row r="1737" spans="2:5" ht="31.95" hidden="1" customHeight="1" x14ac:dyDescent="0.3">
      <c r="B1737" s="6" t="str">
        <f ca="1">IF(AND(NEGOCIAÇÕES!O1737="",NEGOCIAÇÕES!N1737&lt;TODAY()),NEGOCIAÇÕES!C1737,"")</f>
        <v/>
      </c>
      <c r="C1737" s="6">
        <f ca="1">IF(AND(NEGOCIAÇÕES!O1737="",NEGOCIAÇÕES!N1737&lt;TODAY()),NEGOCIAÇÕES!E1737,"")</f>
        <v>0</v>
      </c>
      <c r="D1737" s="6">
        <f ca="1">IF(AND(NEGOCIAÇÕES!O1737="",NEGOCIAÇÕES!N1737&lt;TODAY()),NEGOCIAÇÕES!D1737,"")</f>
        <v>0</v>
      </c>
      <c r="E1737" s="9">
        <f ca="1">IF(AND(NEGOCIAÇÕES!O1737="",NEGOCIAÇÕES!N1737&lt;TODAY()),NEGOCIAÇÕES!N1737,"")</f>
        <v>0</v>
      </c>
    </row>
    <row r="1738" spans="2:5" ht="31.95" hidden="1" customHeight="1" x14ac:dyDescent="0.3">
      <c r="B1738" s="6" t="str">
        <f ca="1">IF(AND(NEGOCIAÇÕES!O1738="",NEGOCIAÇÕES!N1738&lt;TODAY()),NEGOCIAÇÕES!C1738,"")</f>
        <v/>
      </c>
      <c r="C1738" s="6">
        <f ca="1">IF(AND(NEGOCIAÇÕES!O1738="",NEGOCIAÇÕES!N1738&lt;TODAY()),NEGOCIAÇÕES!E1738,"")</f>
        <v>0</v>
      </c>
      <c r="D1738" s="6">
        <f ca="1">IF(AND(NEGOCIAÇÕES!O1738="",NEGOCIAÇÕES!N1738&lt;TODAY()),NEGOCIAÇÕES!D1738,"")</f>
        <v>0</v>
      </c>
      <c r="E1738" s="9">
        <f ca="1">IF(AND(NEGOCIAÇÕES!O1738="",NEGOCIAÇÕES!N1738&lt;TODAY()),NEGOCIAÇÕES!N1738,"")</f>
        <v>0</v>
      </c>
    </row>
    <row r="1739" spans="2:5" ht="31.95" hidden="1" customHeight="1" x14ac:dyDescent="0.3">
      <c r="B1739" s="6" t="str">
        <f ca="1">IF(AND(NEGOCIAÇÕES!O1739="",NEGOCIAÇÕES!N1739&lt;TODAY()),NEGOCIAÇÕES!C1739,"")</f>
        <v/>
      </c>
      <c r="C1739" s="6">
        <f ca="1">IF(AND(NEGOCIAÇÕES!O1739="",NEGOCIAÇÕES!N1739&lt;TODAY()),NEGOCIAÇÕES!E1739,"")</f>
        <v>0</v>
      </c>
      <c r="D1739" s="6">
        <f ca="1">IF(AND(NEGOCIAÇÕES!O1739="",NEGOCIAÇÕES!N1739&lt;TODAY()),NEGOCIAÇÕES!D1739,"")</f>
        <v>0</v>
      </c>
      <c r="E1739" s="9">
        <f ca="1">IF(AND(NEGOCIAÇÕES!O1739="",NEGOCIAÇÕES!N1739&lt;TODAY()),NEGOCIAÇÕES!N1739,"")</f>
        <v>0</v>
      </c>
    </row>
    <row r="1740" spans="2:5" ht="31.95" hidden="1" customHeight="1" x14ac:dyDescent="0.3">
      <c r="B1740" s="6" t="str">
        <f ca="1">IF(AND(NEGOCIAÇÕES!O1740="",NEGOCIAÇÕES!N1740&lt;TODAY()),NEGOCIAÇÕES!C1740,"")</f>
        <v/>
      </c>
      <c r="C1740" s="6">
        <f ca="1">IF(AND(NEGOCIAÇÕES!O1740="",NEGOCIAÇÕES!N1740&lt;TODAY()),NEGOCIAÇÕES!E1740,"")</f>
        <v>0</v>
      </c>
      <c r="D1740" s="6">
        <f ca="1">IF(AND(NEGOCIAÇÕES!O1740="",NEGOCIAÇÕES!N1740&lt;TODAY()),NEGOCIAÇÕES!D1740,"")</f>
        <v>0</v>
      </c>
      <c r="E1740" s="9">
        <f ca="1">IF(AND(NEGOCIAÇÕES!O1740="",NEGOCIAÇÕES!N1740&lt;TODAY()),NEGOCIAÇÕES!N1740,"")</f>
        <v>0</v>
      </c>
    </row>
    <row r="1741" spans="2:5" ht="31.95" hidden="1" customHeight="1" x14ac:dyDescent="0.3">
      <c r="B1741" s="6" t="str">
        <f ca="1">IF(AND(NEGOCIAÇÕES!O1741="",NEGOCIAÇÕES!N1741&lt;TODAY()),NEGOCIAÇÕES!C1741,"")</f>
        <v/>
      </c>
      <c r="C1741" s="6">
        <f ca="1">IF(AND(NEGOCIAÇÕES!O1741="",NEGOCIAÇÕES!N1741&lt;TODAY()),NEGOCIAÇÕES!E1741,"")</f>
        <v>0</v>
      </c>
      <c r="D1741" s="6">
        <f ca="1">IF(AND(NEGOCIAÇÕES!O1741="",NEGOCIAÇÕES!N1741&lt;TODAY()),NEGOCIAÇÕES!D1741,"")</f>
        <v>0</v>
      </c>
      <c r="E1741" s="9">
        <f ca="1">IF(AND(NEGOCIAÇÕES!O1741="",NEGOCIAÇÕES!N1741&lt;TODAY()),NEGOCIAÇÕES!N1741,"")</f>
        <v>0</v>
      </c>
    </row>
    <row r="1742" spans="2:5" ht="31.95" hidden="1" customHeight="1" x14ac:dyDescent="0.3">
      <c r="B1742" s="6" t="str">
        <f ca="1">IF(AND(NEGOCIAÇÕES!O1742="",NEGOCIAÇÕES!N1742&lt;TODAY()),NEGOCIAÇÕES!C1742,"")</f>
        <v/>
      </c>
      <c r="C1742" s="6">
        <f ca="1">IF(AND(NEGOCIAÇÕES!O1742="",NEGOCIAÇÕES!N1742&lt;TODAY()),NEGOCIAÇÕES!E1742,"")</f>
        <v>0</v>
      </c>
      <c r="D1742" s="6">
        <f ca="1">IF(AND(NEGOCIAÇÕES!O1742="",NEGOCIAÇÕES!N1742&lt;TODAY()),NEGOCIAÇÕES!D1742,"")</f>
        <v>0</v>
      </c>
      <c r="E1742" s="9">
        <f ca="1">IF(AND(NEGOCIAÇÕES!O1742="",NEGOCIAÇÕES!N1742&lt;TODAY()),NEGOCIAÇÕES!N1742,"")</f>
        <v>0</v>
      </c>
    </row>
    <row r="1743" spans="2:5" ht="31.95" hidden="1" customHeight="1" x14ac:dyDescent="0.3">
      <c r="B1743" s="6" t="str">
        <f ca="1">IF(AND(NEGOCIAÇÕES!O1743="",NEGOCIAÇÕES!N1743&lt;TODAY()),NEGOCIAÇÕES!C1743,"")</f>
        <v/>
      </c>
      <c r="C1743" s="6">
        <f ca="1">IF(AND(NEGOCIAÇÕES!O1743="",NEGOCIAÇÕES!N1743&lt;TODAY()),NEGOCIAÇÕES!E1743,"")</f>
        <v>0</v>
      </c>
      <c r="D1743" s="6">
        <f ca="1">IF(AND(NEGOCIAÇÕES!O1743="",NEGOCIAÇÕES!N1743&lt;TODAY()),NEGOCIAÇÕES!D1743,"")</f>
        <v>0</v>
      </c>
      <c r="E1743" s="9">
        <f ca="1">IF(AND(NEGOCIAÇÕES!O1743="",NEGOCIAÇÕES!N1743&lt;TODAY()),NEGOCIAÇÕES!N1743,"")</f>
        <v>0</v>
      </c>
    </row>
    <row r="1744" spans="2:5" ht="31.95" hidden="1" customHeight="1" x14ac:dyDescent="0.3">
      <c r="B1744" s="6" t="str">
        <f ca="1">IF(AND(NEGOCIAÇÕES!O1744="",NEGOCIAÇÕES!N1744&lt;TODAY()),NEGOCIAÇÕES!C1744,"")</f>
        <v/>
      </c>
      <c r="C1744" s="6">
        <f ca="1">IF(AND(NEGOCIAÇÕES!O1744="",NEGOCIAÇÕES!N1744&lt;TODAY()),NEGOCIAÇÕES!E1744,"")</f>
        <v>0</v>
      </c>
      <c r="D1744" s="6">
        <f ca="1">IF(AND(NEGOCIAÇÕES!O1744="",NEGOCIAÇÕES!N1744&lt;TODAY()),NEGOCIAÇÕES!D1744,"")</f>
        <v>0</v>
      </c>
      <c r="E1744" s="9">
        <f ca="1">IF(AND(NEGOCIAÇÕES!O1744="",NEGOCIAÇÕES!N1744&lt;TODAY()),NEGOCIAÇÕES!N1744,"")</f>
        <v>0</v>
      </c>
    </row>
    <row r="1745" spans="2:5" ht="31.95" hidden="1" customHeight="1" x14ac:dyDescent="0.3">
      <c r="B1745" s="6" t="str">
        <f ca="1">IF(AND(NEGOCIAÇÕES!O1745="",NEGOCIAÇÕES!N1745&lt;TODAY()),NEGOCIAÇÕES!C1745,"")</f>
        <v/>
      </c>
      <c r="C1745" s="6">
        <f ca="1">IF(AND(NEGOCIAÇÕES!O1745="",NEGOCIAÇÕES!N1745&lt;TODAY()),NEGOCIAÇÕES!E1745,"")</f>
        <v>0</v>
      </c>
      <c r="D1745" s="6">
        <f ca="1">IF(AND(NEGOCIAÇÕES!O1745="",NEGOCIAÇÕES!N1745&lt;TODAY()),NEGOCIAÇÕES!D1745,"")</f>
        <v>0</v>
      </c>
      <c r="E1745" s="9">
        <f ca="1">IF(AND(NEGOCIAÇÕES!O1745="",NEGOCIAÇÕES!N1745&lt;TODAY()),NEGOCIAÇÕES!N1745,"")</f>
        <v>0</v>
      </c>
    </row>
    <row r="1746" spans="2:5" ht="31.95" hidden="1" customHeight="1" x14ac:dyDescent="0.3">
      <c r="B1746" s="6" t="str">
        <f ca="1">IF(AND(NEGOCIAÇÕES!O1746="",NEGOCIAÇÕES!N1746&lt;TODAY()),NEGOCIAÇÕES!C1746,"")</f>
        <v/>
      </c>
      <c r="C1746" s="6">
        <f ca="1">IF(AND(NEGOCIAÇÕES!O1746="",NEGOCIAÇÕES!N1746&lt;TODAY()),NEGOCIAÇÕES!E1746,"")</f>
        <v>0</v>
      </c>
      <c r="D1746" s="6">
        <f ca="1">IF(AND(NEGOCIAÇÕES!O1746="",NEGOCIAÇÕES!N1746&lt;TODAY()),NEGOCIAÇÕES!D1746,"")</f>
        <v>0</v>
      </c>
      <c r="E1746" s="9">
        <f ca="1">IF(AND(NEGOCIAÇÕES!O1746="",NEGOCIAÇÕES!N1746&lt;TODAY()),NEGOCIAÇÕES!N1746,"")</f>
        <v>0</v>
      </c>
    </row>
    <row r="1747" spans="2:5" ht="31.95" hidden="1" customHeight="1" x14ac:dyDescent="0.3">
      <c r="B1747" s="6" t="str">
        <f ca="1">IF(AND(NEGOCIAÇÕES!O1747="",NEGOCIAÇÕES!N1747&lt;TODAY()),NEGOCIAÇÕES!C1747,"")</f>
        <v/>
      </c>
      <c r="C1747" s="6">
        <f ca="1">IF(AND(NEGOCIAÇÕES!O1747="",NEGOCIAÇÕES!N1747&lt;TODAY()),NEGOCIAÇÕES!E1747,"")</f>
        <v>0</v>
      </c>
      <c r="D1747" s="6">
        <f ca="1">IF(AND(NEGOCIAÇÕES!O1747="",NEGOCIAÇÕES!N1747&lt;TODAY()),NEGOCIAÇÕES!D1747,"")</f>
        <v>0</v>
      </c>
      <c r="E1747" s="9">
        <f ca="1">IF(AND(NEGOCIAÇÕES!O1747="",NEGOCIAÇÕES!N1747&lt;TODAY()),NEGOCIAÇÕES!N1747,"")</f>
        <v>0</v>
      </c>
    </row>
    <row r="1748" spans="2:5" ht="31.95" hidden="1" customHeight="1" x14ac:dyDescent="0.3">
      <c r="B1748" s="6" t="str">
        <f ca="1">IF(AND(NEGOCIAÇÕES!O1748="",NEGOCIAÇÕES!N1748&lt;TODAY()),NEGOCIAÇÕES!C1748,"")</f>
        <v/>
      </c>
      <c r="C1748" s="6">
        <f ca="1">IF(AND(NEGOCIAÇÕES!O1748="",NEGOCIAÇÕES!N1748&lt;TODAY()),NEGOCIAÇÕES!E1748,"")</f>
        <v>0</v>
      </c>
      <c r="D1748" s="6">
        <f ca="1">IF(AND(NEGOCIAÇÕES!O1748="",NEGOCIAÇÕES!N1748&lt;TODAY()),NEGOCIAÇÕES!D1748,"")</f>
        <v>0</v>
      </c>
      <c r="E1748" s="9">
        <f ca="1">IF(AND(NEGOCIAÇÕES!O1748="",NEGOCIAÇÕES!N1748&lt;TODAY()),NEGOCIAÇÕES!N1748,"")</f>
        <v>0</v>
      </c>
    </row>
    <row r="1749" spans="2:5" ht="31.95" hidden="1" customHeight="1" x14ac:dyDescent="0.3">
      <c r="B1749" s="6" t="str">
        <f ca="1">IF(AND(NEGOCIAÇÕES!O1749="",NEGOCIAÇÕES!N1749&lt;TODAY()),NEGOCIAÇÕES!C1749,"")</f>
        <v/>
      </c>
      <c r="C1749" s="6">
        <f ca="1">IF(AND(NEGOCIAÇÕES!O1749="",NEGOCIAÇÕES!N1749&lt;TODAY()),NEGOCIAÇÕES!E1749,"")</f>
        <v>0</v>
      </c>
      <c r="D1749" s="6">
        <f ca="1">IF(AND(NEGOCIAÇÕES!O1749="",NEGOCIAÇÕES!N1749&lt;TODAY()),NEGOCIAÇÕES!D1749,"")</f>
        <v>0</v>
      </c>
      <c r="E1749" s="9">
        <f ca="1">IF(AND(NEGOCIAÇÕES!O1749="",NEGOCIAÇÕES!N1749&lt;TODAY()),NEGOCIAÇÕES!N1749,"")</f>
        <v>0</v>
      </c>
    </row>
    <row r="1750" spans="2:5" ht="31.95" hidden="1" customHeight="1" x14ac:dyDescent="0.3">
      <c r="B1750" s="6" t="str">
        <f ca="1">IF(AND(NEGOCIAÇÕES!O1750="",NEGOCIAÇÕES!N1750&lt;TODAY()),NEGOCIAÇÕES!C1750,"")</f>
        <v/>
      </c>
      <c r="C1750" s="6">
        <f ca="1">IF(AND(NEGOCIAÇÕES!O1750="",NEGOCIAÇÕES!N1750&lt;TODAY()),NEGOCIAÇÕES!E1750,"")</f>
        <v>0</v>
      </c>
      <c r="D1750" s="6">
        <f ca="1">IF(AND(NEGOCIAÇÕES!O1750="",NEGOCIAÇÕES!N1750&lt;TODAY()),NEGOCIAÇÕES!D1750,"")</f>
        <v>0</v>
      </c>
      <c r="E1750" s="9">
        <f ca="1">IF(AND(NEGOCIAÇÕES!O1750="",NEGOCIAÇÕES!N1750&lt;TODAY()),NEGOCIAÇÕES!N1750,"")</f>
        <v>0</v>
      </c>
    </row>
    <row r="1751" spans="2:5" ht="31.95" hidden="1" customHeight="1" x14ac:dyDescent="0.3">
      <c r="B1751" s="6" t="str">
        <f ca="1">IF(AND(NEGOCIAÇÕES!O1751="",NEGOCIAÇÕES!N1751&lt;TODAY()),NEGOCIAÇÕES!C1751,"")</f>
        <v/>
      </c>
      <c r="C1751" s="6">
        <f ca="1">IF(AND(NEGOCIAÇÕES!O1751="",NEGOCIAÇÕES!N1751&lt;TODAY()),NEGOCIAÇÕES!E1751,"")</f>
        <v>0</v>
      </c>
      <c r="D1751" s="6">
        <f ca="1">IF(AND(NEGOCIAÇÕES!O1751="",NEGOCIAÇÕES!N1751&lt;TODAY()),NEGOCIAÇÕES!D1751,"")</f>
        <v>0</v>
      </c>
      <c r="E1751" s="9">
        <f ca="1">IF(AND(NEGOCIAÇÕES!O1751="",NEGOCIAÇÕES!N1751&lt;TODAY()),NEGOCIAÇÕES!N1751,"")</f>
        <v>0</v>
      </c>
    </row>
    <row r="1752" spans="2:5" ht="31.95" hidden="1" customHeight="1" x14ac:dyDescent="0.3">
      <c r="B1752" s="6" t="str">
        <f ca="1">IF(AND(NEGOCIAÇÕES!O1752="",NEGOCIAÇÕES!N1752&lt;TODAY()),NEGOCIAÇÕES!C1752,"")</f>
        <v/>
      </c>
      <c r="C1752" s="6">
        <f ca="1">IF(AND(NEGOCIAÇÕES!O1752="",NEGOCIAÇÕES!N1752&lt;TODAY()),NEGOCIAÇÕES!E1752,"")</f>
        <v>0</v>
      </c>
      <c r="D1752" s="6">
        <f ca="1">IF(AND(NEGOCIAÇÕES!O1752="",NEGOCIAÇÕES!N1752&lt;TODAY()),NEGOCIAÇÕES!D1752,"")</f>
        <v>0</v>
      </c>
      <c r="E1752" s="9">
        <f ca="1">IF(AND(NEGOCIAÇÕES!O1752="",NEGOCIAÇÕES!N1752&lt;TODAY()),NEGOCIAÇÕES!N1752,"")</f>
        <v>0</v>
      </c>
    </row>
    <row r="1753" spans="2:5" ht="31.95" hidden="1" customHeight="1" x14ac:dyDescent="0.3">
      <c r="B1753" s="6" t="str">
        <f ca="1">IF(AND(NEGOCIAÇÕES!O1753="",NEGOCIAÇÕES!N1753&lt;TODAY()),NEGOCIAÇÕES!C1753,"")</f>
        <v/>
      </c>
      <c r="C1753" s="6">
        <f ca="1">IF(AND(NEGOCIAÇÕES!O1753="",NEGOCIAÇÕES!N1753&lt;TODAY()),NEGOCIAÇÕES!E1753,"")</f>
        <v>0</v>
      </c>
      <c r="D1753" s="6">
        <f ca="1">IF(AND(NEGOCIAÇÕES!O1753="",NEGOCIAÇÕES!N1753&lt;TODAY()),NEGOCIAÇÕES!D1753,"")</f>
        <v>0</v>
      </c>
      <c r="E1753" s="9">
        <f ca="1">IF(AND(NEGOCIAÇÕES!O1753="",NEGOCIAÇÕES!N1753&lt;TODAY()),NEGOCIAÇÕES!N1753,"")</f>
        <v>0</v>
      </c>
    </row>
    <row r="1754" spans="2:5" ht="31.95" hidden="1" customHeight="1" x14ac:dyDescent="0.3">
      <c r="B1754" s="6" t="str">
        <f ca="1">IF(AND(NEGOCIAÇÕES!O1754="",NEGOCIAÇÕES!N1754&lt;TODAY()),NEGOCIAÇÕES!C1754,"")</f>
        <v/>
      </c>
      <c r="C1754" s="6">
        <f ca="1">IF(AND(NEGOCIAÇÕES!O1754="",NEGOCIAÇÕES!N1754&lt;TODAY()),NEGOCIAÇÕES!E1754,"")</f>
        <v>0</v>
      </c>
      <c r="D1754" s="6">
        <f ca="1">IF(AND(NEGOCIAÇÕES!O1754="",NEGOCIAÇÕES!N1754&lt;TODAY()),NEGOCIAÇÕES!D1754,"")</f>
        <v>0</v>
      </c>
      <c r="E1754" s="9">
        <f ca="1">IF(AND(NEGOCIAÇÕES!O1754="",NEGOCIAÇÕES!N1754&lt;TODAY()),NEGOCIAÇÕES!N1754,"")</f>
        <v>0</v>
      </c>
    </row>
    <row r="1755" spans="2:5" ht="31.95" hidden="1" customHeight="1" x14ac:dyDescent="0.3">
      <c r="B1755" s="6" t="str">
        <f ca="1">IF(AND(NEGOCIAÇÕES!O1755="",NEGOCIAÇÕES!N1755&lt;TODAY()),NEGOCIAÇÕES!C1755,"")</f>
        <v/>
      </c>
      <c r="C1755" s="6">
        <f ca="1">IF(AND(NEGOCIAÇÕES!O1755="",NEGOCIAÇÕES!N1755&lt;TODAY()),NEGOCIAÇÕES!E1755,"")</f>
        <v>0</v>
      </c>
      <c r="D1755" s="6">
        <f ca="1">IF(AND(NEGOCIAÇÕES!O1755="",NEGOCIAÇÕES!N1755&lt;TODAY()),NEGOCIAÇÕES!D1755,"")</f>
        <v>0</v>
      </c>
      <c r="E1755" s="9">
        <f ca="1">IF(AND(NEGOCIAÇÕES!O1755="",NEGOCIAÇÕES!N1755&lt;TODAY()),NEGOCIAÇÕES!N1755,"")</f>
        <v>0</v>
      </c>
    </row>
    <row r="1756" spans="2:5" ht="31.95" hidden="1" customHeight="1" x14ac:dyDescent="0.3">
      <c r="B1756" s="6" t="str">
        <f ca="1">IF(AND(NEGOCIAÇÕES!O1756="",NEGOCIAÇÕES!N1756&lt;TODAY()),NEGOCIAÇÕES!C1756,"")</f>
        <v/>
      </c>
      <c r="C1756" s="6">
        <f ca="1">IF(AND(NEGOCIAÇÕES!O1756="",NEGOCIAÇÕES!N1756&lt;TODAY()),NEGOCIAÇÕES!E1756,"")</f>
        <v>0</v>
      </c>
      <c r="D1756" s="6">
        <f ca="1">IF(AND(NEGOCIAÇÕES!O1756="",NEGOCIAÇÕES!N1756&lt;TODAY()),NEGOCIAÇÕES!D1756,"")</f>
        <v>0</v>
      </c>
      <c r="E1756" s="9">
        <f ca="1">IF(AND(NEGOCIAÇÕES!O1756="",NEGOCIAÇÕES!N1756&lt;TODAY()),NEGOCIAÇÕES!N1756,"")</f>
        <v>0</v>
      </c>
    </row>
    <row r="1757" spans="2:5" ht="31.95" hidden="1" customHeight="1" x14ac:dyDescent="0.3">
      <c r="B1757" s="6" t="str">
        <f ca="1">IF(AND(NEGOCIAÇÕES!O1757="",NEGOCIAÇÕES!N1757&lt;TODAY()),NEGOCIAÇÕES!C1757,"")</f>
        <v/>
      </c>
      <c r="C1757" s="6">
        <f ca="1">IF(AND(NEGOCIAÇÕES!O1757="",NEGOCIAÇÕES!N1757&lt;TODAY()),NEGOCIAÇÕES!E1757,"")</f>
        <v>0</v>
      </c>
      <c r="D1757" s="6">
        <f ca="1">IF(AND(NEGOCIAÇÕES!O1757="",NEGOCIAÇÕES!N1757&lt;TODAY()),NEGOCIAÇÕES!D1757,"")</f>
        <v>0</v>
      </c>
      <c r="E1757" s="9">
        <f ca="1">IF(AND(NEGOCIAÇÕES!O1757="",NEGOCIAÇÕES!N1757&lt;TODAY()),NEGOCIAÇÕES!N1757,"")</f>
        <v>0</v>
      </c>
    </row>
    <row r="1758" spans="2:5" ht="31.95" hidden="1" customHeight="1" x14ac:dyDescent="0.3">
      <c r="B1758" s="6" t="str">
        <f ca="1">IF(AND(NEGOCIAÇÕES!O1758="",NEGOCIAÇÕES!N1758&lt;TODAY()),NEGOCIAÇÕES!C1758,"")</f>
        <v/>
      </c>
      <c r="C1758" s="6">
        <f ca="1">IF(AND(NEGOCIAÇÕES!O1758="",NEGOCIAÇÕES!N1758&lt;TODAY()),NEGOCIAÇÕES!E1758,"")</f>
        <v>0</v>
      </c>
      <c r="D1758" s="6">
        <f ca="1">IF(AND(NEGOCIAÇÕES!O1758="",NEGOCIAÇÕES!N1758&lt;TODAY()),NEGOCIAÇÕES!D1758,"")</f>
        <v>0</v>
      </c>
      <c r="E1758" s="9">
        <f ca="1">IF(AND(NEGOCIAÇÕES!O1758="",NEGOCIAÇÕES!N1758&lt;TODAY()),NEGOCIAÇÕES!N1758,"")</f>
        <v>0</v>
      </c>
    </row>
    <row r="1759" spans="2:5" ht="31.95" hidden="1" customHeight="1" x14ac:dyDescent="0.3">
      <c r="B1759" s="6" t="str">
        <f ca="1">IF(AND(NEGOCIAÇÕES!O1759="",NEGOCIAÇÕES!N1759&lt;TODAY()),NEGOCIAÇÕES!C1759,"")</f>
        <v/>
      </c>
      <c r="C1759" s="6">
        <f ca="1">IF(AND(NEGOCIAÇÕES!O1759="",NEGOCIAÇÕES!N1759&lt;TODAY()),NEGOCIAÇÕES!E1759,"")</f>
        <v>0</v>
      </c>
      <c r="D1759" s="6">
        <f ca="1">IF(AND(NEGOCIAÇÕES!O1759="",NEGOCIAÇÕES!N1759&lt;TODAY()),NEGOCIAÇÕES!D1759,"")</f>
        <v>0</v>
      </c>
      <c r="E1759" s="9">
        <f ca="1">IF(AND(NEGOCIAÇÕES!O1759="",NEGOCIAÇÕES!N1759&lt;TODAY()),NEGOCIAÇÕES!N1759,"")</f>
        <v>0</v>
      </c>
    </row>
    <row r="1760" spans="2:5" ht="31.95" hidden="1" customHeight="1" x14ac:dyDescent="0.3">
      <c r="B1760" s="6" t="str">
        <f ca="1">IF(AND(NEGOCIAÇÕES!O1760="",NEGOCIAÇÕES!N1760&lt;TODAY()),NEGOCIAÇÕES!C1760,"")</f>
        <v/>
      </c>
      <c r="C1760" s="6">
        <f ca="1">IF(AND(NEGOCIAÇÕES!O1760="",NEGOCIAÇÕES!N1760&lt;TODAY()),NEGOCIAÇÕES!E1760,"")</f>
        <v>0</v>
      </c>
      <c r="D1760" s="6">
        <f ca="1">IF(AND(NEGOCIAÇÕES!O1760="",NEGOCIAÇÕES!N1760&lt;TODAY()),NEGOCIAÇÕES!D1760,"")</f>
        <v>0</v>
      </c>
      <c r="E1760" s="9">
        <f ca="1">IF(AND(NEGOCIAÇÕES!O1760="",NEGOCIAÇÕES!N1760&lt;TODAY()),NEGOCIAÇÕES!N1760,"")</f>
        <v>0</v>
      </c>
    </row>
    <row r="1761" spans="2:5" ht="31.95" hidden="1" customHeight="1" x14ac:dyDescent="0.3">
      <c r="B1761" s="6" t="str">
        <f ca="1">IF(AND(NEGOCIAÇÕES!O1761="",NEGOCIAÇÕES!N1761&lt;TODAY()),NEGOCIAÇÕES!C1761,"")</f>
        <v/>
      </c>
      <c r="C1761" s="6">
        <f ca="1">IF(AND(NEGOCIAÇÕES!O1761="",NEGOCIAÇÕES!N1761&lt;TODAY()),NEGOCIAÇÕES!E1761,"")</f>
        <v>0</v>
      </c>
      <c r="D1761" s="6">
        <f ca="1">IF(AND(NEGOCIAÇÕES!O1761="",NEGOCIAÇÕES!N1761&lt;TODAY()),NEGOCIAÇÕES!D1761,"")</f>
        <v>0</v>
      </c>
      <c r="E1761" s="9">
        <f ca="1">IF(AND(NEGOCIAÇÕES!O1761="",NEGOCIAÇÕES!N1761&lt;TODAY()),NEGOCIAÇÕES!N1761,"")</f>
        <v>0</v>
      </c>
    </row>
    <row r="1762" spans="2:5" ht="31.95" hidden="1" customHeight="1" x14ac:dyDescent="0.3">
      <c r="B1762" s="6" t="str">
        <f ca="1">IF(AND(NEGOCIAÇÕES!O1762="",NEGOCIAÇÕES!N1762&lt;TODAY()),NEGOCIAÇÕES!C1762,"")</f>
        <v/>
      </c>
      <c r="C1762" s="6">
        <f ca="1">IF(AND(NEGOCIAÇÕES!O1762="",NEGOCIAÇÕES!N1762&lt;TODAY()),NEGOCIAÇÕES!E1762,"")</f>
        <v>0</v>
      </c>
      <c r="D1762" s="6">
        <f ca="1">IF(AND(NEGOCIAÇÕES!O1762="",NEGOCIAÇÕES!N1762&lt;TODAY()),NEGOCIAÇÕES!D1762,"")</f>
        <v>0</v>
      </c>
      <c r="E1762" s="9">
        <f ca="1">IF(AND(NEGOCIAÇÕES!O1762="",NEGOCIAÇÕES!N1762&lt;TODAY()),NEGOCIAÇÕES!N1762,"")</f>
        <v>0</v>
      </c>
    </row>
    <row r="1763" spans="2:5" ht="31.95" hidden="1" customHeight="1" x14ac:dyDescent="0.3">
      <c r="B1763" s="6" t="str">
        <f ca="1">IF(AND(NEGOCIAÇÕES!O1763="",NEGOCIAÇÕES!N1763&lt;TODAY()),NEGOCIAÇÕES!C1763,"")</f>
        <v/>
      </c>
      <c r="C1763" s="6">
        <f ca="1">IF(AND(NEGOCIAÇÕES!O1763="",NEGOCIAÇÕES!N1763&lt;TODAY()),NEGOCIAÇÕES!E1763,"")</f>
        <v>0</v>
      </c>
      <c r="D1763" s="6">
        <f ca="1">IF(AND(NEGOCIAÇÕES!O1763="",NEGOCIAÇÕES!N1763&lt;TODAY()),NEGOCIAÇÕES!D1763,"")</f>
        <v>0</v>
      </c>
      <c r="E1763" s="9">
        <f ca="1">IF(AND(NEGOCIAÇÕES!O1763="",NEGOCIAÇÕES!N1763&lt;TODAY()),NEGOCIAÇÕES!N1763,"")</f>
        <v>0</v>
      </c>
    </row>
    <row r="1764" spans="2:5" ht="31.95" hidden="1" customHeight="1" x14ac:dyDescent="0.3">
      <c r="B1764" s="6" t="str">
        <f ca="1">IF(AND(NEGOCIAÇÕES!O1764="",NEGOCIAÇÕES!N1764&lt;TODAY()),NEGOCIAÇÕES!C1764,"")</f>
        <v/>
      </c>
      <c r="C1764" s="6">
        <f ca="1">IF(AND(NEGOCIAÇÕES!O1764="",NEGOCIAÇÕES!N1764&lt;TODAY()),NEGOCIAÇÕES!E1764,"")</f>
        <v>0</v>
      </c>
      <c r="D1764" s="6">
        <f ca="1">IF(AND(NEGOCIAÇÕES!O1764="",NEGOCIAÇÕES!N1764&lt;TODAY()),NEGOCIAÇÕES!D1764,"")</f>
        <v>0</v>
      </c>
      <c r="E1764" s="9">
        <f ca="1">IF(AND(NEGOCIAÇÕES!O1764="",NEGOCIAÇÕES!N1764&lt;TODAY()),NEGOCIAÇÕES!N1764,"")</f>
        <v>0</v>
      </c>
    </row>
    <row r="1765" spans="2:5" ht="31.95" hidden="1" customHeight="1" x14ac:dyDescent="0.3">
      <c r="B1765" s="6" t="str">
        <f ca="1">IF(AND(NEGOCIAÇÕES!O1765="",NEGOCIAÇÕES!N1765&lt;TODAY()),NEGOCIAÇÕES!C1765,"")</f>
        <v/>
      </c>
      <c r="C1765" s="6">
        <f ca="1">IF(AND(NEGOCIAÇÕES!O1765="",NEGOCIAÇÕES!N1765&lt;TODAY()),NEGOCIAÇÕES!E1765,"")</f>
        <v>0</v>
      </c>
      <c r="D1765" s="6">
        <f ca="1">IF(AND(NEGOCIAÇÕES!O1765="",NEGOCIAÇÕES!N1765&lt;TODAY()),NEGOCIAÇÕES!D1765,"")</f>
        <v>0</v>
      </c>
      <c r="E1765" s="9">
        <f ca="1">IF(AND(NEGOCIAÇÕES!O1765="",NEGOCIAÇÕES!N1765&lt;TODAY()),NEGOCIAÇÕES!N1765,"")</f>
        <v>0</v>
      </c>
    </row>
    <row r="1766" spans="2:5" ht="31.95" hidden="1" customHeight="1" x14ac:dyDescent="0.3">
      <c r="B1766" s="6" t="str">
        <f ca="1">IF(AND(NEGOCIAÇÕES!O1766="",NEGOCIAÇÕES!N1766&lt;TODAY()),NEGOCIAÇÕES!C1766,"")</f>
        <v/>
      </c>
      <c r="C1766" s="6">
        <f ca="1">IF(AND(NEGOCIAÇÕES!O1766="",NEGOCIAÇÕES!N1766&lt;TODAY()),NEGOCIAÇÕES!E1766,"")</f>
        <v>0</v>
      </c>
      <c r="D1766" s="6">
        <f ca="1">IF(AND(NEGOCIAÇÕES!O1766="",NEGOCIAÇÕES!N1766&lt;TODAY()),NEGOCIAÇÕES!D1766,"")</f>
        <v>0</v>
      </c>
      <c r="E1766" s="9">
        <f ca="1">IF(AND(NEGOCIAÇÕES!O1766="",NEGOCIAÇÕES!N1766&lt;TODAY()),NEGOCIAÇÕES!N1766,"")</f>
        <v>0</v>
      </c>
    </row>
    <row r="1767" spans="2:5" ht="31.95" hidden="1" customHeight="1" x14ac:dyDescent="0.3">
      <c r="B1767" s="6" t="str">
        <f ca="1">IF(AND(NEGOCIAÇÕES!O1767="",NEGOCIAÇÕES!N1767&lt;TODAY()),NEGOCIAÇÕES!C1767,"")</f>
        <v/>
      </c>
      <c r="C1767" s="6">
        <f ca="1">IF(AND(NEGOCIAÇÕES!O1767="",NEGOCIAÇÕES!N1767&lt;TODAY()),NEGOCIAÇÕES!E1767,"")</f>
        <v>0</v>
      </c>
      <c r="D1767" s="6">
        <f ca="1">IF(AND(NEGOCIAÇÕES!O1767="",NEGOCIAÇÕES!N1767&lt;TODAY()),NEGOCIAÇÕES!D1767,"")</f>
        <v>0</v>
      </c>
      <c r="E1767" s="9">
        <f ca="1">IF(AND(NEGOCIAÇÕES!O1767="",NEGOCIAÇÕES!N1767&lt;TODAY()),NEGOCIAÇÕES!N1767,"")</f>
        <v>0</v>
      </c>
    </row>
    <row r="1768" spans="2:5" ht="31.95" hidden="1" customHeight="1" x14ac:dyDescent="0.3">
      <c r="B1768" s="6" t="str">
        <f ca="1">IF(AND(NEGOCIAÇÕES!O1768="",NEGOCIAÇÕES!N1768&lt;TODAY()),NEGOCIAÇÕES!C1768,"")</f>
        <v/>
      </c>
      <c r="C1768" s="6">
        <f ca="1">IF(AND(NEGOCIAÇÕES!O1768="",NEGOCIAÇÕES!N1768&lt;TODAY()),NEGOCIAÇÕES!E1768,"")</f>
        <v>0</v>
      </c>
      <c r="D1768" s="6">
        <f ca="1">IF(AND(NEGOCIAÇÕES!O1768="",NEGOCIAÇÕES!N1768&lt;TODAY()),NEGOCIAÇÕES!D1768,"")</f>
        <v>0</v>
      </c>
      <c r="E1768" s="9">
        <f ca="1">IF(AND(NEGOCIAÇÕES!O1768="",NEGOCIAÇÕES!N1768&lt;TODAY()),NEGOCIAÇÕES!N1768,"")</f>
        <v>0</v>
      </c>
    </row>
    <row r="1769" spans="2:5" ht="31.95" hidden="1" customHeight="1" x14ac:dyDescent="0.3">
      <c r="B1769" s="6" t="str">
        <f ca="1">IF(AND(NEGOCIAÇÕES!O1769="",NEGOCIAÇÕES!N1769&lt;TODAY()),NEGOCIAÇÕES!C1769,"")</f>
        <v/>
      </c>
      <c r="C1769" s="6">
        <f ca="1">IF(AND(NEGOCIAÇÕES!O1769="",NEGOCIAÇÕES!N1769&lt;TODAY()),NEGOCIAÇÕES!E1769,"")</f>
        <v>0</v>
      </c>
      <c r="D1769" s="6">
        <f ca="1">IF(AND(NEGOCIAÇÕES!O1769="",NEGOCIAÇÕES!N1769&lt;TODAY()),NEGOCIAÇÕES!D1769,"")</f>
        <v>0</v>
      </c>
      <c r="E1769" s="9">
        <f ca="1">IF(AND(NEGOCIAÇÕES!O1769="",NEGOCIAÇÕES!N1769&lt;TODAY()),NEGOCIAÇÕES!N1769,"")</f>
        <v>0</v>
      </c>
    </row>
    <row r="1770" spans="2:5" ht="31.95" hidden="1" customHeight="1" x14ac:dyDescent="0.3">
      <c r="B1770" s="6" t="str">
        <f ca="1">IF(AND(NEGOCIAÇÕES!O1770="",NEGOCIAÇÕES!N1770&lt;TODAY()),NEGOCIAÇÕES!C1770,"")</f>
        <v/>
      </c>
      <c r="C1770" s="6">
        <f ca="1">IF(AND(NEGOCIAÇÕES!O1770="",NEGOCIAÇÕES!N1770&lt;TODAY()),NEGOCIAÇÕES!E1770,"")</f>
        <v>0</v>
      </c>
      <c r="D1770" s="6">
        <f ca="1">IF(AND(NEGOCIAÇÕES!O1770="",NEGOCIAÇÕES!N1770&lt;TODAY()),NEGOCIAÇÕES!D1770,"")</f>
        <v>0</v>
      </c>
      <c r="E1770" s="9">
        <f ca="1">IF(AND(NEGOCIAÇÕES!O1770="",NEGOCIAÇÕES!N1770&lt;TODAY()),NEGOCIAÇÕES!N1770,"")</f>
        <v>0</v>
      </c>
    </row>
    <row r="1771" spans="2:5" ht="31.95" hidden="1" customHeight="1" x14ac:dyDescent="0.3">
      <c r="B1771" s="6" t="str">
        <f ca="1">IF(AND(NEGOCIAÇÕES!O1771="",NEGOCIAÇÕES!N1771&lt;TODAY()),NEGOCIAÇÕES!C1771,"")</f>
        <v/>
      </c>
      <c r="C1771" s="6">
        <f ca="1">IF(AND(NEGOCIAÇÕES!O1771="",NEGOCIAÇÕES!N1771&lt;TODAY()),NEGOCIAÇÕES!E1771,"")</f>
        <v>0</v>
      </c>
      <c r="D1771" s="6">
        <f ca="1">IF(AND(NEGOCIAÇÕES!O1771="",NEGOCIAÇÕES!N1771&lt;TODAY()),NEGOCIAÇÕES!D1771,"")</f>
        <v>0</v>
      </c>
      <c r="E1771" s="9">
        <f ca="1">IF(AND(NEGOCIAÇÕES!O1771="",NEGOCIAÇÕES!N1771&lt;TODAY()),NEGOCIAÇÕES!N1771,"")</f>
        <v>0</v>
      </c>
    </row>
    <row r="1772" spans="2:5" ht="31.95" hidden="1" customHeight="1" x14ac:dyDescent="0.3">
      <c r="B1772" s="6" t="str">
        <f ca="1">IF(AND(NEGOCIAÇÕES!O1772="",NEGOCIAÇÕES!N1772&lt;TODAY()),NEGOCIAÇÕES!C1772,"")</f>
        <v/>
      </c>
      <c r="C1772" s="6">
        <f ca="1">IF(AND(NEGOCIAÇÕES!O1772="",NEGOCIAÇÕES!N1772&lt;TODAY()),NEGOCIAÇÕES!E1772,"")</f>
        <v>0</v>
      </c>
      <c r="D1772" s="6">
        <f ca="1">IF(AND(NEGOCIAÇÕES!O1772="",NEGOCIAÇÕES!N1772&lt;TODAY()),NEGOCIAÇÕES!D1772,"")</f>
        <v>0</v>
      </c>
      <c r="E1772" s="9">
        <f ca="1">IF(AND(NEGOCIAÇÕES!O1772="",NEGOCIAÇÕES!N1772&lt;TODAY()),NEGOCIAÇÕES!N1772,"")</f>
        <v>0</v>
      </c>
    </row>
    <row r="1773" spans="2:5" ht="31.95" hidden="1" customHeight="1" x14ac:dyDescent="0.3">
      <c r="B1773" s="6" t="str">
        <f ca="1">IF(AND(NEGOCIAÇÕES!O1773="",NEGOCIAÇÕES!N1773&lt;TODAY()),NEGOCIAÇÕES!C1773,"")</f>
        <v/>
      </c>
      <c r="C1773" s="6">
        <f ca="1">IF(AND(NEGOCIAÇÕES!O1773="",NEGOCIAÇÕES!N1773&lt;TODAY()),NEGOCIAÇÕES!E1773,"")</f>
        <v>0</v>
      </c>
      <c r="D1773" s="6">
        <f ca="1">IF(AND(NEGOCIAÇÕES!O1773="",NEGOCIAÇÕES!N1773&lt;TODAY()),NEGOCIAÇÕES!D1773,"")</f>
        <v>0</v>
      </c>
      <c r="E1773" s="9">
        <f ca="1">IF(AND(NEGOCIAÇÕES!O1773="",NEGOCIAÇÕES!N1773&lt;TODAY()),NEGOCIAÇÕES!N1773,"")</f>
        <v>0</v>
      </c>
    </row>
    <row r="1774" spans="2:5" ht="31.95" hidden="1" customHeight="1" x14ac:dyDescent="0.3">
      <c r="B1774" s="6" t="str">
        <f ca="1">IF(AND(NEGOCIAÇÕES!O1774="",NEGOCIAÇÕES!N1774&lt;TODAY()),NEGOCIAÇÕES!C1774,"")</f>
        <v/>
      </c>
      <c r="C1774" s="6">
        <f ca="1">IF(AND(NEGOCIAÇÕES!O1774="",NEGOCIAÇÕES!N1774&lt;TODAY()),NEGOCIAÇÕES!E1774,"")</f>
        <v>0</v>
      </c>
      <c r="D1774" s="6">
        <f ca="1">IF(AND(NEGOCIAÇÕES!O1774="",NEGOCIAÇÕES!N1774&lt;TODAY()),NEGOCIAÇÕES!D1774,"")</f>
        <v>0</v>
      </c>
      <c r="E1774" s="9">
        <f ca="1">IF(AND(NEGOCIAÇÕES!O1774="",NEGOCIAÇÕES!N1774&lt;TODAY()),NEGOCIAÇÕES!N1774,"")</f>
        <v>0</v>
      </c>
    </row>
    <row r="1775" spans="2:5" ht="31.95" hidden="1" customHeight="1" x14ac:dyDescent="0.3">
      <c r="B1775" s="6" t="str">
        <f ca="1">IF(AND(NEGOCIAÇÕES!O1775="",NEGOCIAÇÕES!N1775&lt;TODAY()),NEGOCIAÇÕES!C1775,"")</f>
        <v/>
      </c>
      <c r="C1775" s="6">
        <f ca="1">IF(AND(NEGOCIAÇÕES!O1775="",NEGOCIAÇÕES!N1775&lt;TODAY()),NEGOCIAÇÕES!E1775,"")</f>
        <v>0</v>
      </c>
      <c r="D1775" s="6">
        <f ca="1">IF(AND(NEGOCIAÇÕES!O1775="",NEGOCIAÇÕES!N1775&lt;TODAY()),NEGOCIAÇÕES!D1775,"")</f>
        <v>0</v>
      </c>
      <c r="E1775" s="9">
        <f ca="1">IF(AND(NEGOCIAÇÕES!O1775="",NEGOCIAÇÕES!N1775&lt;TODAY()),NEGOCIAÇÕES!N1775,"")</f>
        <v>0</v>
      </c>
    </row>
    <row r="1776" spans="2:5" ht="31.95" hidden="1" customHeight="1" x14ac:dyDescent="0.3">
      <c r="B1776" s="6" t="str">
        <f ca="1">IF(AND(NEGOCIAÇÕES!O1776="",NEGOCIAÇÕES!N1776&lt;TODAY()),NEGOCIAÇÕES!C1776,"")</f>
        <v/>
      </c>
      <c r="C1776" s="6">
        <f ca="1">IF(AND(NEGOCIAÇÕES!O1776="",NEGOCIAÇÕES!N1776&lt;TODAY()),NEGOCIAÇÕES!E1776,"")</f>
        <v>0</v>
      </c>
      <c r="D1776" s="6">
        <f ca="1">IF(AND(NEGOCIAÇÕES!O1776="",NEGOCIAÇÕES!N1776&lt;TODAY()),NEGOCIAÇÕES!D1776,"")</f>
        <v>0</v>
      </c>
      <c r="E1776" s="9">
        <f ca="1">IF(AND(NEGOCIAÇÕES!O1776="",NEGOCIAÇÕES!N1776&lt;TODAY()),NEGOCIAÇÕES!N1776,"")</f>
        <v>0</v>
      </c>
    </row>
    <row r="1777" spans="2:5" ht="31.95" hidden="1" customHeight="1" x14ac:dyDescent="0.3">
      <c r="B1777" s="6" t="str">
        <f ca="1">IF(AND(NEGOCIAÇÕES!O1777="",NEGOCIAÇÕES!N1777&lt;TODAY()),NEGOCIAÇÕES!C1777,"")</f>
        <v/>
      </c>
      <c r="C1777" s="6">
        <f ca="1">IF(AND(NEGOCIAÇÕES!O1777="",NEGOCIAÇÕES!N1777&lt;TODAY()),NEGOCIAÇÕES!E1777,"")</f>
        <v>0</v>
      </c>
      <c r="D1777" s="6">
        <f ca="1">IF(AND(NEGOCIAÇÕES!O1777="",NEGOCIAÇÕES!N1777&lt;TODAY()),NEGOCIAÇÕES!D1777,"")</f>
        <v>0</v>
      </c>
      <c r="E1777" s="9">
        <f ca="1">IF(AND(NEGOCIAÇÕES!O1777="",NEGOCIAÇÕES!N1777&lt;TODAY()),NEGOCIAÇÕES!N1777,"")</f>
        <v>0</v>
      </c>
    </row>
    <row r="1778" spans="2:5" ht="31.95" hidden="1" customHeight="1" x14ac:dyDescent="0.3">
      <c r="B1778" s="6" t="str">
        <f ca="1">IF(AND(NEGOCIAÇÕES!O1778="",NEGOCIAÇÕES!N1778&lt;TODAY()),NEGOCIAÇÕES!C1778,"")</f>
        <v/>
      </c>
      <c r="C1778" s="6">
        <f ca="1">IF(AND(NEGOCIAÇÕES!O1778="",NEGOCIAÇÕES!N1778&lt;TODAY()),NEGOCIAÇÕES!E1778,"")</f>
        <v>0</v>
      </c>
      <c r="D1778" s="6">
        <f ca="1">IF(AND(NEGOCIAÇÕES!O1778="",NEGOCIAÇÕES!N1778&lt;TODAY()),NEGOCIAÇÕES!D1778,"")</f>
        <v>0</v>
      </c>
      <c r="E1778" s="9">
        <f ca="1">IF(AND(NEGOCIAÇÕES!O1778="",NEGOCIAÇÕES!N1778&lt;TODAY()),NEGOCIAÇÕES!N1778,"")</f>
        <v>0</v>
      </c>
    </row>
    <row r="1779" spans="2:5" ht="31.95" hidden="1" customHeight="1" x14ac:dyDescent="0.3">
      <c r="B1779" s="6" t="str">
        <f ca="1">IF(AND(NEGOCIAÇÕES!O1779="",NEGOCIAÇÕES!N1779&lt;TODAY()),NEGOCIAÇÕES!C1779,"")</f>
        <v/>
      </c>
      <c r="C1779" s="6">
        <f ca="1">IF(AND(NEGOCIAÇÕES!O1779="",NEGOCIAÇÕES!N1779&lt;TODAY()),NEGOCIAÇÕES!E1779,"")</f>
        <v>0</v>
      </c>
      <c r="D1779" s="6">
        <f ca="1">IF(AND(NEGOCIAÇÕES!O1779="",NEGOCIAÇÕES!N1779&lt;TODAY()),NEGOCIAÇÕES!D1779,"")</f>
        <v>0</v>
      </c>
      <c r="E1779" s="9">
        <f ca="1">IF(AND(NEGOCIAÇÕES!O1779="",NEGOCIAÇÕES!N1779&lt;TODAY()),NEGOCIAÇÕES!N1779,"")</f>
        <v>0</v>
      </c>
    </row>
    <row r="1780" spans="2:5" ht="31.95" hidden="1" customHeight="1" x14ac:dyDescent="0.3">
      <c r="B1780" s="6" t="str">
        <f ca="1">IF(AND(NEGOCIAÇÕES!O1780="",NEGOCIAÇÕES!N1780&lt;TODAY()),NEGOCIAÇÕES!C1780,"")</f>
        <v/>
      </c>
      <c r="C1780" s="6">
        <f ca="1">IF(AND(NEGOCIAÇÕES!O1780="",NEGOCIAÇÕES!N1780&lt;TODAY()),NEGOCIAÇÕES!E1780,"")</f>
        <v>0</v>
      </c>
      <c r="D1780" s="6">
        <f ca="1">IF(AND(NEGOCIAÇÕES!O1780="",NEGOCIAÇÕES!N1780&lt;TODAY()),NEGOCIAÇÕES!D1780,"")</f>
        <v>0</v>
      </c>
      <c r="E1780" s="9">
        <f ca="1">IF(AND(NEGOCIAÇÕES!O1780="",NEGOCIAÇÕES!N1780&lt;TODAY()),NEGOCIAÇÕES!N1780,"")</f>
        <v>0</v>
      </c>
    </row>
    <row r="1781" spans="2:5" ht="31.95" hidden="1" customHeight="1" x14ac:dyDescent="0.3">
      <c r="B1781" s="6" t="str">
        <f ca="1">IF(AND(NEGOCIAÇÕES!O1781="",NEGOCIAÇÕES!N1781&lt;TODAY()),NEGOCIAÇÕES!C1781,"")</f>
        <v/>
      </c>
      <c r="C1781" s="6">
        <f ca="1">IF(AND(NEGOCIAÇÕES!O1781="",NEGOCIAÇÕES!N1781&lt;TODAY()),NEGOCIAÇÕES!E1781,"")</f>
        <v>0</v>
      </c>
      <c r="D1781" s="6">
        <f ca="1">IF(AND(NEGOCIAÇÕES!O1781="",NEGOCIAÇÕES!N1781&lt;TODAY()),NEGOCIAÇÕES!D1781,"")</f>
        <v>0</v>
      </c>
      <c r="E1781" s="9">
        <f ca="1">IF(AND(NEGOCIAÇÕES!O1781="",NEGOCIAÇÕES!N1781&lt;TODAY()),NEGOCIAÇÕES!N1781,"")</f>
        <v>0</v>
      </c>
    </row>
    <row r="1782" spans="2:5" ht="31.95" hidden="1" customHeight="1" x14ac:dyDescent="0.3">
      <c r="B1782" s="6" t="str">
        <f ca="1">IF(AND(NEGOCIAÇÕES!O1782="",NEGOCIAÇÕES!N1782&lt;TODAY()),NEGOCIAÇÕES!C1782,"")</f>
        <v/>
      </c>
      <c r="C1782" s="6">
        <f ca="1">IF(AND(NEGOCIAÇÕES!O1782="",NEGOCIAÇÕES!N1782&lt;TODAY()),NEGOCIAÇÕES!E1782,"")</f>
        <v>0</v>
      </c>
      <c r="D1782" s="6">
        <f ca="1">IF(AND(NEGOCIAÇÕES!O1782="",NEGOCIAÇÕES!N1782&lt;TODAY()),NEGOCIAÇÕES!D1782,"")</f>
        <v>0</v>
      </c>
      <c r="E1782" s="9">
        <f ca="1">IF(AND(NEGOCIAÇÕES!O1782="",NEGOCIAÇÕES!N1782&lt;TODAY()),NEGOCIAÇÕES!N1782,"")</f>
        <v>0</v>
      </c>
    </row>
    <row r="1783" spans="2:5" ht="31.95" hidden="1" customHeight="1" x14ac:dyDescent="0.3">
      <c r="B1783" s="6" t="str">
        <f ca="1">IF(AND(NEGOCIAÇÕES!O1783="",NEGOCIAÇÕES!N1783&lt;TODAY()),NEGOCIAÇÕES!C1783,"")</f>
        <v/>
      </c>
      <c r="C1783" s="6">
        <f ca="1">IF(AND(NEGOCIAÇÕES!O1783="",NEGOCIAÇÕES!N1783&lt;TODAY()),NEGOCIAÇÕES!E1783,"")</f>
        <v>0</v>
      </c>
      <c r="D1783" s="6">
        <f ca="1">IF(AND(NEGOCIAÇÕES!O1783="",NEGOCIAÇÕES!N1783&lt;TODAY()),NEGOCIAÇÕES!D1783,"")</f>
        <v>0</v>
      </c>
      <c r="E1783" s="9">
        <f ca="1">IF(AND(NEGOCIAÇÕES!O1783="",NEGOCIAÇÕES!N1783&lt;TODAY()),NEGOCIAÇÕES!N1783,"")</f>
        <v>0</v>
      </c>
    </row>
    <row r="1784" spans="2:5" ht="31.95" hidden="1" customHeight="1" x14ac:dyDescent="0.3">
      <c r="B1784" s="6" t="str">
        <f ca="1">IF(AND(NEGOCIAÇÕES!O1784="",NEGOCIAÇÕES!N1784&lt;TODAY()),NEGOCIAÇÕES!C1784,"")</f>
        <v/>
      </c>
      <c r="C1784" s="6">
        <f ca="1">IF(AND(NEGOCIAÇÕES!O1784="",NEGOCIAÇÕES!N1784&lt;TODAY()),NEGOCIAÇÕES!E1784,"")</f>
        <v>0</v>
      </c>
      <c r="D1784" s="6">
        <f ca="1">IF(AND(NEGOCIAÇÕES!O1784="",NEGOCIAÇÕES!N1784&lt;TODAY()),NEGOCIAÇÕES!D1784,"")</f>
        <v>0</v>
      </c>
      <c r="E1784" s="9">
        <f ca="1">IF(AND(NEGOCIAÇÕES!O1784="",NEGOCIAÇÕES!N1784&lt;TODAY()),NEGOCIAÇÕES!N1784,"")</f>
        <v>0</v>
      </c>
    </row>
    <row r="1785" spans="2:5" ht="31.95" hidden="1" customHeight="1" x14ac:dyDescent="0.3">
      <c r="B1785" s="6" t="str">
        <f ca="1">IF(AND(NEGOCIAÇÕES!O1785="",NEGOCIAÇÕES!N1785&lt;TODAY()),NEGOCIAÇÕES!C1785,"")</f>
        <v/>
      </c>
      <c r="C1785" s="6">
        <f ca="1">IF(AND(NEGOCIAÇÕES!O1785="",NEGOCIAÇÕES!N1785&lt;TODAY()),NEGOCIAÇÕES!E1785,"")</f>
        <v>0</v>
      </c>
      <c r="D1785" s="6">
        <f ca="1">IF(AND(NEGOCIAÇÕES!O1785="",NEGOCIAÇÕES!N1785&lt;TODAY()),NEGOCIAÇÕES!D1785,"")</f>
        <v>0</v>
      </c>
      <c r="E1785" s="9">
        <f ca="1">IF(AND(NEGOCIAÇÕES!O1785="",NEGOCIAÇÕES!N1785&lt;TODAY()),NEGOCIAÇÕES!N1785,"")</f>
        <v>0</v>
      </c>
    </row>
    <row r="1786" spans="2:5" ht="31.95" hidden="1" customHeight="1" x14ac:dyDescent="0.3">
      <c r="B1786" s="6" t="str">
        <f ca="1">IF(AND(NEGOCIAÇÕES!O1786="",NEGOCIAÇÕES!N1786&lt;TODAY()),NEGOCIAÇÕES!C1786,"")</f>
        <v/>
      </c>
      <c r="C1786" s="6">
        <f ca="1">IF(AND(NEGOCIAÇÕES!O1786="",NEGOCIAÇÕES!N1786&lt;TODAY()),NEGOCIAÇÕES!E1786,"")</f>
        <v>0</v>
      </c>
      <c r="D1786" s="6">
        <f ca="1">IF(AND(NEGOCIAÇÕES!O1786="",NEGOCIAÇÕES!N1786&lt;TODAY()),NEGOCIAÇÕES!D1786,"")</f>
        <v>0</v>
      </c>
      <c r="E1786" s="9">
        <f ca="1">IF(AND(NEGOCIAÇÕES!O1786="",NEGOCIAÇÕES!N1786&lt;TODAY()),NEGOCIAÇÕES!N1786,"")</f>
        <v>0</v>
      </c>
    </row>
    <row r="1787" spans="2:5" ht="31.95" hidden="1" customHeight="1" x14ac:dyDescent="0.3">
      <c r="B1787" s="6" t="str">
        <f ca="1">IF(AND(NEGOCIAÇÕES!O1787="",NEGOCIAÇÕES!N1787&lt;TODAY()),NEGOCIAÇÕES!C1787,"")</f>
        <v/>
      </c>
      <c r="C1787" s="6">
        <f ca="1">IF(AND(NEGOCIAÇÕES!O1787="",NEGOCIAÇÕES!N1787&lt;TODAY()),NEGOCIAÇÕES!E1787,"")</f>
        <v>0</v>
      </c>
      <c r="D1787" s="6">
        <f ca="1">IF(AND(NEGOCIAÇÕES!O1787="",NEGOCIAÇÕES!N1787&lt;TODAY()),NEGOCIAÇÕES!D1787,"")</f>
        <v>0</v>
      </c>
      <c r="E1787" s="9">
        <f ca="1">IF(AND(NEGOCIAÇÕES!O1787="",NEGOCIAÇÕES!N1787&lt;TODAY()),NEGOCIAÇÕES!N1787,"")</f>
        <v>0</v>
      </c>
    </row>
    <row r="1788" spans="2:5" ht="31.95" hidden="1" customHeight="1" x14ac:dyDescent="0.3">
      <c r="B1788" s="6" t="str">
        <f ca="1">IF(AND(NEGOCIAÇÕES!O1788="",NEGOCIAÇÕES!N1788&lt;TODAY()),NEGOCIAÇÕES!C1788,"")</f>
        <v/>
      </c>
      <c r="C1788" s="6">
        <f ca="1">IF(AND(NEGOCIAÇÕES!O1788="",NEGOCIAÇÕES!N1788&lt;TODAY()),NEGOCIAÇÕES!E1788,"")</f>
        <v>0</v>
      </c>
      <c r="D1788" s="6">
        <f ca="1">IF(AND(NEGOCIAÇÕES!O1788="",NEGOCIAÇÕES!N1788&lt;TODAY()),NEGOCIAÇÕES!D1788,"")</f>
        <v>0</v>
      </c>
      <c r="E1788" s="9">
        <f ca="1">IF(AND(NEGOCIAÇÕES!O1788="",NEGOCIAÇÕES!N1788&lt;TODAY()),NEGOCIAÇÕES!N1788,"")</f>
        <v>0</v>
      </c>
    </row>
    <row r="1789" spans="2:5" ht="31.95" hidden="1" customHeight="1" x14ac:dyDescent="0.3">
      <c r="B1789" s="6" t="str">
        <f ca="1">IF(AND(NEGOCIAÇÕES!O1789="",NEGOCIAÇÕES!N1789&lt;TODAY()),NEGOCIAÇÕES!C1789,"")</f>
        <v/>
      </c>
      <c r="C1789" s="6">
        <f ca="1">IF(AND(NEGOCIAÇÕES!O1789="",NEGOCIAÇÕES!N1789&lt;TODAY()),NEGOCIAÇÕES!E1789,"")</f>
        <v>0</v>
      </c>
      <c r="D1789" s="6">
        <f ca="1">IF(AND(NEGOCIAÇÕES!O1789="",NEGOCIAÇÕES!N1789&lt;TODAY()),NEGOCIAÇÕES!D1789,"")</f>
        <v>0</v>
      </c>
      <c r="E1789" s="9">
        <f ca="1">IF(AND(NEGOCIAÇÕES!O1789="",NEGOCIAÇÕES!N1789&lt;TODAY()),NEGOCIAÇÕES!N1789,"")</f>
        <v>0</v>
      </c>
    </row>
    <row r="1790" spans="2:5" ht="31.95" hidden="1" customHeight="1" x14ac:dyDescent="0.3">
      <c r="B1790" s="6" t="str">
        <f ca="1">IF(AND(NEGOCIAÇÕES!O1790="",NEGOCIAÇÕES!N1790&lt;TODAY()),NEGOCIAÇÕES!C1790,"")</f>
        <v/>
      </c>
      <c r="C1790" s="6">
        <f ca="1">IF(AND(NEGOCIAÇÕES!O1790="",NEGOCIAÇÕES!N1790&lt;TODAY()),NEGOCIAÇÕES!E1790,"")</f>
        <v>0</v>
      </c>
      <c r="D1790" s="6">
        <f ca="1">IF(AND(NEGOCIAÇÕES!O1790="",NEGOCIAÇÕES!N1790&lt;TODAY()),NEGOCIAÇÕES!D1790,"")</f>
        <v>0</v>
      </c>
      <c r="E1790" s="9">
        <f ca="1">IF(AND(NEGOCIAÇÕES!O1790="",NEGOCIAÇÕES!N1790&lt;TODAY()),NEGOCIAÇÕES!N1790,"")</f>
        <v>0</v>
      </c>
    </row>
    <row r="1791" spans="2:5" ht="31.95" hidden="1" customHeight="1" x14ac:dyDescent="0.3">
      <c r="B1791" s="6" t="str">
        <f ca="1">IF(AND(NEGOCIAÇÕES!O1791="",NEGOCIAÇÕES!N1791&lt;TODAY()),NEGOCIAÇÕES!C1791,"")</f>
        <v/>
      </c>
      <c r="C1791" s="6">
        <f ca="1">IF(AND(NEGOCIAÇÕES!O1791="",NEGOCIAÇÕES!N1791&lt;TODAY()),NEGOCIAÇÕES!E1791,"")</f>
        <v>0</v>
      </c>
      <c r="D1791" s="6">
        <f ca="1">IF(AND(NEGOCIAÇÕES!O1791="",NEGOCIAÇÕES!N1791&lt;TODAY()),NEGOCIAÇÕES!D1791,"")</f>
        <v>0</v>
      </c>
      <c r="E1791" s="9">
        <f ca="1">IF(AND(NEGOCIAÇÕES!O1791="",NEGOCIAÇÕES!N1791&lt;TODAY()),NEGOCIAÇÕES!N1791,"")</f>
        <v>0</v>
      </c>
    </row>
    <row r="1792" spans="2:5" ht="31.95" hidden="1" customHeight="1" x14ac:dyDescent="0.3">
      <c r="B1792" s="6" t="str">
        <f ca="1">IF(AND(NEGOCIAÇÕES!O1792="",NEGOCIAÇÕES!N1792&lt;TODAY()),NEGOCIAÇÕES!C1792,"")</f>
        <v/>
      </c>
      <c r="C1792" s="6">
        <f ca="1">IF(AND(NEGOCIAÇÕES!O1792="",NEGOCIAÇÕES!N1792&lt;TODAY()),NEGOCIAÇÕES!E1792,"")</f>
        <v>0</v>
      </c>
      <c r="D1792" s="6">
        <f ca="1">IF(AND(NEGOCIAÇÕES!O1792="",NEGOCIAÇÕES!N1792&lt;TODAY()),NEGOCIAÇÕES!D1792,"")</f>
        <v>0</v>
      </c>
      <c r="E1792" s="9">
        <f ca="1">IF(AND(NEGOCIAÇÕES!O1792="",NEGOCIAÇÕES!N1792&lt;TODAY()),NEGOCIAÇÕES!N1792,"")</f>
        <v>0</v>
      </c>
    </row>
    <row r="1793" spans="2:5" ht="31.95" hidden="1" customHeight="1" x14ac:dyDescent="0.3">
      <c r="B1793" s="6" t="str">
        <f ca="1">IF(AND(NEGOCIAÇÕES!O1793="",NEGOCIAÇÕES!N1793&lt;TODAY()),NEGOCIAÇÕES!C1793,"")</f>
        <v/>
      </c>
      <c r="C1793" s="6">
        <f ca="1">IF(AND(NEGOCIAÇÕES!O1793="",NEGOCIAÇÕES!N1793&lt;TODAY()),NEGOCIAÇÕES!E1793,"")</f>
        <v>0</v>
      </c>
      <c r="D1793" s="6">
        <f ca="1">IF(AND(NEGOCIAÇÕES!O1793="",NEGOCIAÇÕES!N1793&lt;TODAY()),NEGOCIAÇÕES!D1793,"")</f>
        <v>0</v>
      </c>
      <c r="E1793" s="9">
        <f ca="1">IF(AND(NEGOCIAÇÕES!O1793="",NEGOCIAÇÕES!N1793&lt;TODAY()),NEGOCIAÇÕES!N1793,"")</f>
        <v>0</v>
      </c>
    </row>
    <row r="1794" spans="2:5" ht="31.95" hidden="1" customHeight="1" x14ac:dyDescent="0.3">
      <c r="B1794" s="6" t="str">
        <f ca="1">IF(AND(NEGOCIAÇÕES!O1794="",NEGOCIAÇÕES!N1794&lt;TODAY()),NEGOCIAÇÕES!C1794,"")</f>
        <v/>
      </c>
      <c r="C1794" s="6">
        <f ca="1">IF(AND(NEGOCIAÇÕES!O1794="",NEGOCIAÇÕES!N1794&lt;TODAY()),NEGOCIAÇÕES!E1794,"")</f>
        <v>0</v>
      </c>
      <c r="D1794" s="6">
        <f ca="1">IF(AND(NEGOCIAÇÕES!O1794="",NEGOCIAÇÕES!N1794&lt;TODAY()),NEGOCIAÇÕES!D1794,"")</f>
        <v>0</v>
      </c>
      <c r="E1794" s="9">
        <f ca="1">IF(AND(NEGOCIAÇÕES!O1794="",NEGOCIAÇÕES!N1794&lt;TODAY()),NEGOCIAÇÕES!N1794,"")</f>
        <v>0</v>
      </c>
    </row>
    <row r="1795" spans="2:5" ht="31.95" hidden="1" customHeight="1" x14ac:dyDescent="0.3">
      <c r="B1795" s="6" t="str">
        <f ca="1">IF(AND(NEGOCIAÇÕES!O1795="",NEGOCIAÇÕES!N1795&lt;TODAY()),NEGOCIAÇÕES!C1795,"")</f>
        <v/>
      </c>
      <c r="C1795" s="6">
        <f ca="1">IF(AND(NEGOCIAÇÕES!O1795="",NEGOCIAÇÕES!N1795&lt;TODAY()),NEGOCIAÇÕES!E1795,"")</f>
        <v>0</v>
      </c>
      <c r="D1795" s="6">
        <f ca="1">IF(AND(NEGOCIAÇÕES!O1795="",NEGOCIAÇÕES!N1795&lt;TODAY()),NEGOCIAÇÕES!D1795,"")</f>
        <v>0</v>
      </c>
      <c r="E1795" s="9">
        <f ca="1">IF(AND(NEGOCIAÇÕES!O1795="",NEGOCIAÇÕES!N1795&lt;TODAY()),NEGOCIAÇÕES!N1795,"")</f>
        <v>0</v>
      </c>
    </row>
    <row r="1796" spans="2:5" ht="31.95" hidden="1" customHeight="1" x14ac:dyDescent="0.3">
      <c r="B1796" s="6" t="str">
        <f ca="1">IF(AND(NEGOCIAÇÕES!O1796="",NEGOCIAÇÕES!N1796&lt;TODAY()),NEGOCIAÇÕES!C1796,"")</f>
        <v/>
      </c>
      <c r="C1796" s="6">
        <f ca="1">IF(AND(NEGOCIAÇÕES!O1796="",NEGOCIAÇÕES!N1796&lt;TODAY()),NEGOCIAÇÕES!E1796,"")</f>
        <v>0</v>
      </c>
      <c r="D1796" s="6">
        <f ca="1">IF(AND(NEGOCIAÇÕES!O1796="",NEGOCIAÇÕES!N1796&lt;TODAY()),NEGOCIAÇÕES!D1796,"")</f>
        <v>0</v>
      </c>
      <c r="E1796" s="9">
        <f ca="1">IF(AND(NEGOCIAÇÕES!O1796="",NEGOCIAÇÕES!N1796&lt;TODAY()),NEGOCIAÇÕES!N1796,"")</f>
        <v>0</v>
      </c>
    </row>
    <row r="1797" spans="2:5" ht="31.95" hidden="1" customHeight="1" x14ac:dyDescent="0.3">
      <c r="B1797" s="6" t="str">
        <f ca="1">IF(AND(NEGOCIAÇÕES!O1797="",NEGOCIAÇÕES!N1797&lt;TODAY()),NEGOCIAÇÕES!C1797,"")</f>
        <v/>
      </c>
      <c r="C1797" s="6">
        <f ca="1">IF(AND(NEGOCIAÇÕES!O1797="",NEGOCIAÇÕES!N1797&lt;TODAY()),NEGOCIAÇÕES!E1797,"")</f>
        <v>0</v>
      </c>
      <c r="D1797" s="6">
        <f ca="1">IF(AND(NEGOCIAÇÕES!O1797="",NEGOCIAÇÕES!N1797&lt;TODAY()),NEGOCIAÇÕES!D1797,"")</f>
        <v>0</v>
      </c>
      <c r="E1797" s="9">
        <f ca="1">IF(AND(NEGOCIAÇÕES!O1797="",NEGOCIAÇÕES!N1797&lt;TODAY()),NEGOCIAÇÕES!N1797,"")</f>
        <v>0</v>
      </c>
    </row>
    <row r="1798" spans="2:5" ht="31.95" hidden="1" customHeight="1" x14ac:dyDescent="0.3">
      <c r="B1798" s="6" t="str">
        <f ca="1">IF(AND(NEGOCIAÇÕES!O1798="",NEGOCIAÇÕES!N1798&lt;TODAY()),NEGOCIAÇÕES!C1798,"")</f>
        <v/>
      </c>
      <c r="C1798" s="6">
        <f ca="1">IF(AND(NEGOCIAÇÕES!O1798="",NEGOCIAÇÕES!N1798&lt;TODAY()),NEGOCIAÇÕES!E1798,"")</f>
        <v>0</v>
      </c>
      <c r="D1798" s="6">
        <f ca="1">IF(AND(NEGOCIAÇÕES!O1798="",NEGOCIAÇÕES!N1798&lt;TODAY()),NEGOCIAÇÕES!D1798,"")</f>
        <v>0</v>
      </c>
      <c r="E1798" s="9">
        <f ca="1">IF(AND(NEGOCIAÇÕES!O1798="",NEGOCIAÇÕES!N1798&lt;TODAY()),NEGOCIAÇÕES!N1798,"")</f>
        <v>0</v>
      </c>
    </row>
    <row r="1799" spans="2:5" ht="31.95" hidden="1" customHeight="1" x14ac:dyDescent="0.3">
      <c r="B1799" s="6" t="str">
        <f ca="1">IF(AND(NEGOCIAÇÕES!O1799="",NEGOCIAÇÕES!N1799&lt;TODAY()),NEGOCIAÇÕES!C1799,"")</f>
        <v/>
      </c>
      <c r="C1799" s="6">
        <f ca="1">IF(AND(NEGOCIAÇÕES!O1799="",NEGOCIAÇÕES!N1799&lt;TODAY()),NEGOCIAÇÕES!E1799,"")</f>
        <v>0</v>
      </c>
      <c r="D1799" s="6">
        <f ca="1">IF(AND(NEGOCIAÇÕES!O1799="",NEGOCIAÇÕES!N1799&lt;TODAY()),NEGOCIAÇÕES!D1799,"")</f>
        <v>0</v>
      </c>
      <c r="E1799" s="9">
        <f ca="1">IF(AND(NEGOCIAÇÕES!O1799="",NEGOCIAÇÕES!N1799&lt;TODAY()),NEGOCIAÇÕES!N1799,"")</f>
        <v>0</v>
      </c>
    </row>
    <row r="1800" spans="2:5" ht="31.95" hidden="1" customHeight="1" x14ac:dyDescent="0.3">
      <c r="B1800" s="6" t="str">
        <f ca="1">IF(AND(NEGOCIAÇÕES!O1800="",NEGOCIAÇÕES!N1800&lt;TODAY()),NEGOCIAÇÕES!C1800,"")</f>
        <v/>
      </c>
      <c r="C1800" s="6">
        <f ca="1">IF(AND(NEGOCIAÇÕES!O1800="",NEGOCIAÇÕES!N1800&lt;TODAY()),NEGOCIAÇÕES!E1800,"")</f>
        <v>0</v>
      </c>
      <c r="D1800" s="6">
        <f ca="1">IF(AND(NEGOCIAÇÕES!O1800="",NEGOCIAÇÕES!N1800&lt;TODAY()),NEGOCIAÇÕES!D1800,"")</f>
        <v>0</v>
      </c>
      <c r="E1800" s="9">
        <f ca="1">IF(AND(NEGOCIAÇÕES!O1800="",NEGOCIAÇÕES!N1800&lt;TODAY()),NEGOCIAÇÕES!N1800,"")</f>
        <v>0</v>
      </c>
    </row>
    <row r="1801" spans="2:5" ht="31.95" hidden="1" customHeight="1" x14ac:dyDescent="0.3">
      <c r="B1801" s="6" t="str">
        <f ca="1">IF(AND(NEGOCIAÇÕES!O1801="",NEGOCIAÇÕES!N1801&lt;TODAY()),NEGOCIAÇÕES!C1801,"")</f>
        <v/>
      </c>
      <c r="C1801" s="6">
        <f ca="1">IF(AND(NEGOCIAÇÕES!O1801="",NEGOCIAÇÕES!N1801&lt;TODAY()),NEGOCIAÇÕES!E1801,"")</f>
        <v>0</v>
      </c>
      <c r="D1801" s="6">
        <f ca="1">IF(AND(NEGOCIAÇÕES!O1801="",NEGOCIAÇÕES!N1801&lt;TODAY()),NEGOCIAÇÕES!D1801,"")</f>
        <v>0</v>
      </c>
      <c r="E1801" s="9">
        <f ca="1">IF(AND(NEGOCIAÇÕES!O1801="",NEGOCIAÇÕES!N1801&lt;TODAY()),NEGOCIAÇÕES!N1801,"")</f>
        <v>0</v>
      </c>
    </row>
    <row r="1802" spans="2:5" ht="31.95" hidden="1" customHeight="1" x14ac:dyDescent="0.3">
      <c r="B1802" s="6" t="str">
        <f ca="1">IF(AND(NEGOCIAÇÕES!O1802="",NEGOCIAÇÕES!N1802&lt;TODAY()),NEGOCIAÇÕES!C1802,"")</f>
        <v/>
      </c>
      <c r="C1802" s="6">
        <f ca="1">IF(AND(NEGOCIAÇÕES!O1802="",NEGOCIAÇÕES!N1802&lt;TODAY()),NEGOCIAÇÕES!E1802,"")</f>
        <v>0</v>
      </c>
      <c r="D1802" s="6">
        <f ca="1">IF(AND(NEGOCIAÇÕES!O1802="",NEGOCIAÇÕES!N1802&lt;TODAY()),NEGOCIAÇÕES!D1802,"")</f>
        <v>0</v>
      </c>
      <c r="E1802" s="9">
        <f ca="1">IF(AND(NEGOCIAÇÕES!O1802="",NEGOCIAÇÕES!N1802&lt;TODAY()),NEGOCIAÇÕES!N1802,"")</f>
        <v>0</v>
      </c>
    </row>
    <row r="1803" spans="2:5" ht="31.95" hidden="1" customHeight="1" x14ac:dyDescent="0.3">
      <c r="B1803" s="6" t="str">
        <f ca="1">IF(AND(NEGOCIAÇÕES!O1803="",NEGOCIAÇÕES!N1803&lt;TODAY()),NEGOCIAÇÕES!C1803,"")</f>
        <v/>
      </c>
      <c r="C1803" s="6">
        <f ca="1">IF(AND(NEGOCIAÇÕES!O1803="",NEGOCIAÇÕES!N1803&lt;TODAY()),NEGOCIAÇÕES!E1803,"")</f>
        <v>0</v>
      </c>
      <c r="D1803" s="6">
        <f ca="1">IF(AND(NEGOCIAÇÕES!O1803="",NEGOCIAÇÕES!N1803&lt;TODAY()),NEGOCIAÇÕES!D1803,"")</f>
        <v>0</v>
      </c>
      <c r="E1803" s="9">
        <f ca="1">IF(AND(NEGOCIAÇÕES!O1803="",NEGOCIAÇÕES!N1803&lt;TODAY()),NEGOCIAÇÕES!N1803,"")</f>
        <v>0</v>
      </c>
    </row>
    <row r="1804" spans="2:5" ht="31.95" hidden="1" customHeight="1" x14ac:dyDescent="0.3">
      <c r="B1804" s="6" t="str">
        <f ca="1">IF(AND(NEGOCIAÇÕES!O1804="",NEGOCIAÇÕES!N1804&lt;TODAY()),NEGOCIAÇÕES!C1804,"")</f>
        <v/>
      </c>
      <c r="C1804" s="6">
        <f ca="1">IF(AND(NEGOCIAÇÕES!O1804="",NEGOCIAÇÕES!N1804&lt;TODAY()),NEGOCIAÇÕES!E1804,"")</f>
        <v>0</v>
      </c>
      <c r="D1804" s="6">
        <f ca="1">IF(AND(NEGOCIAÇÕES!O1804="",NEGOCIAÇÕES!N1804&lt;TODAY()),NEGOCIAÇÕES!D1804,"")</f>
        <v>0</v>
      </c>
      <c r="E1804" s="9">
        <f ca="1">IF(AND(NEGOCIAÇÕES!O1804="",NEGOCIAÇÕES!N1804&lt;TODAY()),NEGOCIAÇÕES!N1804,"")</f>
        <v>0</v>
      </c>
    </row>
    <row r="1805" spans="2:5" ht="31.95" hidden="1" customHeight="1" x14ac:dyDescent="0.3">
      <c r="B1805" s="6" t="str">
        <f ca="1">IF(AND(NEGOCIAÇÕES!O1805="",NEGOCIAÇÕES!N1805&lt;TODAY()),NEGOCIAÇÕES!C1805,"")</f>
        <v/>
      </c>
      <c r="C1805" s="6">
        <f ca="1">IF(AND(NEGOCIAÇÕES!O1805="",NEGOCIAÇÕES!N1805&lt;TODAY()),NEGOCIAÇÕES!E1805,"")</f>
        <v>0</v>
      </c>
      <c r="D1805" s="6">
        <f ca="1">IF(AND(NEGOCIAÇÕES!O1805="",NEGOCIAÇÕES!N1805&lt;TODAY()),NEGOCIAÇÕES!D1805,"")</f>
        <v>0</v>
      </c>
      <c r="E1805" s="9">
        <f ca="1">IF(AND(NEGOCIAÇÕES!O1805="",NEGOCIAÇÕES!N1805&lt;TODAY()),NEGOCIAÇÕES!N1805,"")</f>
        <v>0</v>
      </c>
    </row>
    <row r="1806" spans="2:5" ht="31.95" hidden="1" customHeight="1" x14ac:dyDescent="0.3">
      <c r="B1806" s="6" t="str">
        <f ca="1">IF(AND(NEGOCIAÇÕES!O1806="",NEGOCIAÇÕES!N1806&lt;TODAY()),NEGOCIAÇÕES!C1806,"")</f>
        <v/>
      </c>
      <c r="C1806" s="6">
        <f ca="1">IF(AND(NEGOCIAÇÕES!O1806="",NEGOCIAÇÕES!N1806&lt;TODAY()),NEGOCIAÇÕES!E1806,"")</f>
        <v>0</v>
      </c>
      <c r="D1806" s="6">
        <f ca="1">IF(AND(NEGOCIAÇÕES!O1806="",NEGOCIAÇÕES!N1806&lt;TODAY()),NEGOCIAÇÕES!D1806,"")</f>
        <v>0</v>
      </c>
      <c r="E1806" s="9">
        <f ca="1">IF(AND(NEGOCIAÇÕES!O1806="",NEGOCIAÇÕES!N1806&lt;TODAY()),NEGOCIAÇÕES!N1806,"")</f>
        <v>0</v>
      </c>
    </row>
    <row r="1807" spans="2:5" ht="31.95" hidden="1" customHeight="1" x14ac:dyDescent="0.3">
      <c r="B1807" s="6" t="str">
        <f ca="1">IF(AND(NEGOCIAÇÕES!O1807="",NEGOCIAÇÕES!N1807&lt;TODAY()),NEGOCIAÇÕES!C1807,"")</f>
        <v/>
      </c>
      <c r="C1807" s="6">
        <f ca="1">IF(AND(NEGOCIAÇÕES!O1807="",NEGOCIAÇÕES!N1807&lt;TODAY()),NEGOCIAÇÕES!E1807,"")</f>
        <v>0</v>
      </c>
      <c r="D1807" s="6">
        <f ca="1">IF(AND(NEGOCIAÇÕES!O1807="",NEGOCIAÇÕES!N1807&lt;TODAY()),NEGOCIAÇÕES!D1807,"")</f>
        <v>0</v>
      </c>
      <c r="E1807" s="9">
        <f ca="1">IF(AND(NEGOCIAÇÕES!O1807="",NEGOCIAÇÕES!N1807&lt;TODAY()),NEGOCIAÇÕES!N1807,"")</f>
        <v>0</v>
      </c>
    </row>
    <row r="1808" spans="2:5" ht="31.95" hidden="1" customHeight="1" x14ac:dyDescent="0.3">
      <c r="B1808" s="6" t="str">
        <f ca="1">IF(AND(NEGOCIAÇÕES!O1808="",NEGOCIAÇÕES!N1808&lt;TODAY()),NEGOCIAÇÕES!C1808,"")</f>
        <v/>
      </c>
      <c r="C1808" s="6">
        <f ca="1">IF(AND(NEGOCIAÇÕES!O1808="",NEGOCIAÇÕES!N1808&lt;TODAY()),NEGOCIAÇÕES!E1808,"")</f>
        <v>0</v>
      </c>
      <c r="D1808" s="6">
        <f ca="1">IF(AND(NEGOCIAÇÕES!O1808="",NEGOCIAÇÕES!N1808&lt;TODAY()),NEGOCIAÇÕES!D1808,"")</f>
        <v>0</v>
      </c>
      <c r="E1808" s="9">
        <f ca="1">IF(AND(NEGOCIAÇÕES!O1808="",NEGOCIAÇÕES!N1808&lt;TODAY()),NEGOCIAÇÕES!N1808,"")</f>
        <v>0</v>
      </c>
    </row>
    <row r="1809" spans="2:5" ht="31.95" hidden="1" customHeight="1" x14ac:dyDescent="0.3">
      <c r="B1809" s="6" t="str">
        <f ca="1">IF(AND(NEGOCIAÇÕES!O1809="",NEGOCIAÇÕES!N1809&lt;TODAY()),NEGOCIAÇÕES!C1809,"")</f>
        <v/>
      </c>
      <c r="C1809" s="6">
        <f ca="1">IF(AND(NEGOCIAÇÕES!O1809="",NEGOCIAÇÕES!N1809&lt;TODAY()),NEGOCIAÇÕES!E1809,"")</f>
        <v>0</v>
      </c>
      <c r="D1809" s="6">
        <f ca="1">IF(AND(NEGOCIAÇÕES!O1809="",NEGOCIAÇÕES!N1809&lt;TODAY()),NEGOCIAÇÕES!D1809,"")</f>
        <v>0</v>
      </c>
      <c r="E1809" s="9">
        <f ca="1">IF(AND(NEGOCIAÇÕES!O1809="",NEGOCIAÇÕES!N1809&lt;TODAY()),NEGOCIAÇÕES!N1809,"")</f>
        <v>0</v>
      </c>
    </row>
    <row r="1810" spans="2:5" ht="31.95" hidden="1" customHeight="1" x14ac:dyDescent="0.3">
      <c r="B1810" s="6" t="str">
        <f ca="1">IF(AND(NEGOCIAÇÕES!O1810="",NEGOCIAÇÕES!N1810&lt;TODAY()),NEGOCIAÇÕES!C1810,"")</f>
        <v/>
      </c>
      <c r="C1810" s="6">
        <f ca="1">IF(AND(NEGOCIAÇÕES!O1810="",NEGOCIAÇÕES!N1810&lt;TODAY()),NEGOCIAÇÕES!E1810,"")</f>
        <v>0</v>
      </c>
      <c r="D1810" s="6">
        <f ca="1">IF(AND(NEGOCIAÇÕES!O1810="",NEGOCIAÇÕES!N1810&lt;TODAY()),NEGOCIAÇÕES!D1810,"")</f>
        <v>0</v>
      </c>
      <c r="E1810" s="9">
        <f ca="1">IF(AND(NEGOCIAÇÕES!O1810="",NEGOCIAÇÕES!N1810&lt;TODAY()),NEGOCIAÇÕES!N1810,"")</f>
        <v>0</v>
      </c>
    </row>
    <row r="1811" spans="2:5" ht="31.95" hidden="1" customHeight="1" x14ac:dyDescent="0.3">
      <c r="B1811" s="6" t="str">
        <f ca="1">IF(AND(NEGOCIAÇÕES!O1811="",NEGOCIAÇÕES!N1811&lt;TODAY()),NEGOCIAÇÕES!C1811,"")</f>
        <v/>
      </c>
      <c r="C1811" s="6">
        <f ca="1">IF(AND(NEGOCIAÇÕES!O1811="",NEGOCIAÇÕES!N1811&lt;TODAY()),NEGOCIAÇÕES!E1811,"")</f>
        <v>0</v>
      </c>
      <c r="D1811" s="6">
        <f ca="1">IF(AND(NEGOCIAÇÕES!O1811="",NEGOCIAÇÕES!N1811&lt;TODAY()),NEGOCIAÇÕES!D1811,"")</f>
        <v>0</v>
      </c>
      <c r="E1811" s="9">
        <f ca="1">IF(AND(NEGOCIAÇÕES!O1811="",NEGOCIAÇÕES!N1811&lt;TODAY()),NEGOCIAÇÕES!N1811,"")</f>
        <v>0</v>
      </c>
    </row>
    <row r="1812" spans="2:5" ht="31.95" hidden="1" customHeight="1" x14ac:dyDescent="0.3">
      <c r="B1812" s="6" t="str">
        <f ca="1">IF(AND(NEGOCIAÇÕES!O1812="",NEGOCIAÇÕES!N1812&lt;TODAY()),NEGOCIAÇÕES!C1812,"")</f>
        <v/>
      </c>
      <c r="C1812" s="6">
        <f ca="1">IF(AND(NEGOCIAÇÕES!O1812="",NEGOCIAÇÕES!N1812&lt;TODAY()),NEGOCIAÇÕES!E1812,"")</f>
        <v>0</v>
      </c>
      <c r="D1812" s="6">
        <f ca="1">IF(AND(NEGOCIAÇÕES!O1812="",NEGOCIAÇÕES!N1812&lt;TODAY()),NEGOCIAÇÕES!D1812,"")</f>
        <v>0</v>
      </c>
      <c r="E1812" s="9">
        <f ca="1">IF(AND(NEGOCIAÇÕES!O1812="",NEGOCIAÇÕES!N1812&lt;TODAY()),NEGOCIAÇÕES!N1812,"")</f>
        <v>0</v>
      </c>
    </row>
    <row r="1813" spans="2:5" ht="31.95" hidden="1" customHeight="1" x14ac:dyDescent="0.3">
      <c r="B1813" s="6" t="str">
        <f ca="1">IF(AND(NEGOCIAÇÕES!O1813="",NEGOCIAÇÕES!N1813&lt;TODAY()),NEGOCIAÇÕES!C1813,"")</f>
        <v/>
      </c>
      <c r="C1813" s="6">
        <f ca="1">IF(AND(NEGOCIAÇÕES!O1813="",NEGOCIAÇÕES!N1813&lt;TODAY()),NEGOCIAÇÕES!E1813,"")</f>
        <v>0</v>
      </c>
      <c r="D1813" s="6">
        <f ca="1">IF(AND(NEGOCIAÇÕES!O1813="",NEGOCIAÇÕES!N1813&lt;TODAY()),NEGOCIAÇÕES!D1813,"")</f>
        <v>0</v>
      </c>
      <c r="E1813" s="9">
        <f ca="1">IF(AND(NEGOCIAÇÕES!O1813="",NEGOCIAÇÕES!N1813&lt;TODAY()),NEGOCIAÇÕES!N1813,"")</f>
        <v>0</v>
      </c>
    </row>
    <row r="1814" spans="2:5" ht="31.95" hidden="1" customHeight="1" x14ac:dyDescent="0.3">
      <c r="B1814" s="6" t="str">
        <f ca="1">IF(AND(NEGOCIAÇÕES!O1814="",NEGOCIAÇÕES!N1814&lt;TODAY()),NEGOCIAÇÕES!C1814,"")</f>
        <v/>
      </c>
      <c r="C1814" s="6">
        <f ca="1">IF(AND(NEGOCIAÇÕES!O1814="",NEGOCIAÇÕES!N1814&lt;TODAY()),NEGOCIAÇÕES!E1814,"")</f>
        <v>0</v>
      </c>
      <c r="D1814" s="6">
        <f ca="1">IF(AND(NEGOCIAÇÕES!O1814="",NEGOCIAÇÕES!N1814&lt;TODAY()),NEGOCIAÇÕES!D1814,"")</f>
        <v>0</v>
      </c>
      <c r="E1814" s="9">
        <f ca="1">IF(AND(NEGOCIAÇÕES!O1814="",NEGOCIAÇÕES!N1814&lt;TODAY()),NEGOCIAÇÕES!N1814,"")</f>
        <v>0</v>
      </c>
    </row>
    <row r="1815" spans="2:5" ht="31.95" hidden="1" customHeight="1" x14ac:dyDescent="0.3">
      <c r="B1815" s="6" t="str">
        <f ca="1">IF(AND(NEGOCIAÇÕES!O1815="",NEGOCIAÇÕES!N1815&lt;TODAY()),NEGOCIAÇÕES!C1815,"")</f>
        <v/>
      </c>
      <c r="C1815" s="6">
        <f ca="1">IF(AND(NEGOCIAÇÕES!O1815="",NEGOCIAÇÕES!N1815&lt;TODAY()),NEGOCIAÇÕES!E1815,"")</f>
        <v>0</v>
      </c>
      <c r="D1815" s="6">
        <f ca="1">IF(AND(NEGOCIAÇÕES!O1815="",NEGOCIAÇÕES!N1815&lt;TODAY()),NEGOCIAÇÕES!D1815,"")</f>
        <v>0</v>
      </c>
      <c r="E1815" s="9">
        <f ca="1">IF(AND(NEGOCIAÇÕES!O1815="",NEGOCIAÇÕES!N1815&lt;TODAY()),NEGOCIAÇÕES!N1815,"")</f>
        <v>0</v>
      </c>
    </row>
    <row r="1816" spans="2:5" ht="31.95" hidden="1" customHeight="1" x14ac:dyDescent="0.3">
      <c r="B1816" s="6" t="str">
        <f ca="1">IF(AND(NEGOCIAÇÕES!O1816="",NEGOCIAÇÕES!N1816&lt;TODAY()),NEGOCIAÇÕES!C1816,"")</f>
        <v/>
      </c>
      <c r="C1816" s="6">
        <f ca="1">IF(AND(NEGOCIAÇÕES!O1816="",NEGOCIAÇÕES!N1816&lt;TODAY()),NEGOCIAÇÕES!E1816,"")</f>
        <v>0</v>
      </c>
      <c r="D1816" s="6">
        <f ca="1">IF(AND(NEGOCIAÇÕES!O1816="",NEGOCIAÇÕES!N1816&lt;TODAY()),NEGOCIAÇÕES!D1816,"")</f>
        <v>0</v>
      </c>
      <c r="E1816" s="9">
        <f ca="1">IF(AND(NEGOCIAÇÕES!O1816="",NEGOCIAÇÕES!N1816&lt;TODAY()),NEGOCIAÇÕES!N1816,"")</f>
        <v>0</v>
      </c>
    </row>
    <row r="1817" spans="2:5" ht="31.95" hidden="1" customHeight="1" x14ac:dyDescent="0.3">
      <c r="B1817" s="6" t="str">
        <f ca="1">IF(AND(NEGOCIAÇÕES!O1817="",NEGOCIAÇÕES!N1817&lt;TODAY()),NEGOCIAÇÕES!C1817,"")</f>
        <v/>
      </c>
      <c r="C1817" s="6">
        <f ca="1">IF(AND(NEGOCIAÇÕES!O1817="",NEGOCIAÇÕES!N1817&lt;TODAY()),NEGOCIAÇÕES!E1817,"")</f>
        <v>0</v>
      </c>
      <c r="D1817" s="6">
        <f ca="1">IF(AND(NEGOCIAÇÕES!O1817="",NEGOCIAÇÕES!N1817&lt;TODAY()),NEGOCIAÇÕES!D1817,"")</f>
        <v>0</v>
      </c>
      <c r="E1817" s="9">
        <f ca="1">IF(AND(NEGOCIAÇÕES!O1817="",NEGOCIAÇÕES!N1817&lt;TODAY()),NEGOCIAÇÕES!N1817,"")</f>
        <v>0</v>
      </c>
    </row>
    <row r="1818" spans="2:5" ht="31.95" hidden="1" customHeight="1" x14ac:dyDescent="0.3">
      <c r="B1818" s="6" t="str">
        <f ca="1">IF(AND(NEGOCIAÇÕES!O1818="",NEGOCIAÇÕES!N1818&lt;TODAY()),NEGOCIAÇÕES!C1818,"")</f>
        <v/>
      </c>
      <c r="C1818" s="6">
        <f ca="1">IF(AND(NEGOCIAÇÕES!O1818="",NEGOCIAÇÕES!N1818&lt;TODAY()),NEGOCIAÇÕES!E1818,"")</f>
        <v>0</v>
      </c>
      <c r="D1818" s="6">
        <f ca="1">IF(AND(NEGOCIAÇÕES!O1818="",NEGOCIAÇÕES!N1818&lt;TODAY()),NEGOCIAÇÕES!D1818,"")</f>
        <v>0</v>
      </c>
      <c r="E1818" s="9">
        <f ca="1">IF(AND(NEGOCIAÇÕES!O1818="",NEGOCIAÇÕES!N1818&lt;TODAY()),NEGOCIAÇÕES!N1818,"")</f>
        <v>0</v>
      </c>
    </row>
    <row r="1819" spans="2:5" ht="31.95" hidden="1" customHeight="1" x14ac:dyDescent="0.3">
      <c r="B1819" s="6" t="str">
        <f ca="1">IF(AND(NEGOCIAÇÕES!O1819="",NEGOCIAÇÕES!N1819&lt;TODAY()),NEGOCIAÇÕES!C1819,"")</f>
        <v/>
      </c>
      <c r="C1819" s="6">
        <f ca="1">IF(AND(NEGOCIAÇÕES!O1819="",NEGOCIAÇÕES!N1819&lt;TODAY()),NEGOCIAÇÕES!E1819,"")</f>
        <v>0</v>
      </c>
      <c r="D1819" s="6">
        <f ca="1">IF(AND(NEGOCIAÇÕES!O1819="",NEGOCIAÇÕES!N1819&lt;TODAY()),NEGOCIAÇÕES!D1819,"")</f>
        <v>0</v>
      </c>
      <c r="E1819" s="9">
        <f ca="1">IF(AND(NEGOCIAÇÕES!O1819="",NEGOCIAÇÕES!N1819&lt;TODAY()),NEGOCIAÇÕES!N1819,"")</f>
        <v>0</v>
      </c>
    </row>
    <row r="1820" spans="2:5" ht="31.95" hidden="1" customHeight="1" x14ac:dyDescent="0.3">
      <c r="B1820" s="6" t="str">
        <f ca="1">IF(AND(NEGOCIAÇÕES!O1820="",NEGOCIAÇÕES!N1820&lt;TODAY()),NEGOCIAÇÕES!C1820,"")</f>
        <v/>
      </c>
      <c r="C1820" s="6">
        <f ca="1">IF(AND(NEGOCIAÇÕES!O1820="",NEGOCIAÇÕES!N1820&lt;TODAY()),NEGOCIAÇÕES!E1820,"")</f>
        <v>0</v>
      </c>
      <c r="D1820" s="6">
        <f ca="1">IF(AND(NEGOCIAÇÕES!O1820="",NEGOCIAÇÕES!N1820&lt;TODAY()),NEGOCIAÇÕES!D1820,"")</f>
        <v>0</v>
      </c>
      <c r="E1820" s="9">
        <f ca="1">IF(AND(NEGOCIAÇÕES!O1820="",NEGOCIAÇÕES!N1820&lt;TODAY()),NEGOCIAÇÕES!N1820,"")</f>
        <v>0</v>
      </c>
    </row>
    <row r="1821" spans="2:5" ht="31.95" hidden="1" customHeight="1" x14ac:dyDescent="0.3">
      <c r="B1821" s="6" t="str">
        <f ca="1">IF(AND(NEGOCIAÇÕES!O1821="",NEGOCIAÇÕES!N1821&lt;TODAY()),NEGOCIAÇÕES!C1821,"")</f>
        <v/>
      </c>
      <c r="C1821" s="6">
        <f ca="1">IF(AND(NEGOCIAÇÕES!O1821="",NEGOCIAÇÕES!N1821&lt;TODAY()),NEGOCIAÇÕES!E1821,"")</f>
        <v>0</v>
      </c>
      <c r="D1821" s="6">
        <f ca="1">IF(AND(NEGOCIAÇÕES!O1821="",NEGOCIAÇÕES!N1821&lt;TODAY()),NEGOCIAÇÕES!D1821,"")</f>
        <v>0</v>
      </c>
      <c r="E1821" s="9">
        <f ca="1">IF(AND(NEGOCIAÇÕES!O1821="",NEGOCIAÇÕES!N1821&lt;TODAY()),NEGOCIAÇÕES!N1821,"")</f>
        <v>0</v>
      </c>
    </row>
    <row r="1822" spans="2:5" ht="31.95" hidden="1" customHeight="1" x14ac:dyDescent="0.3">
      <c r="B1822" s="6" t="str">
        <f ca="1">IF(AND(NEGOCIAÇÕES!O1822="",NEGOCIAÇÕES!N1822&lt;TODAY()),NEGOCIAÇÕES!C1822,"")</f>
        <v/>
      </c>
      <c r="C1822" s="6">
        <f ca="1">IF(AND(NEGOCIAÇÕES!O1822="",NEGOCIAÇÕES!N1822&lt;TODAY()),NEGOCIAÇÕES!E1822,"")</f>
        <v>0</v>
      </c>
      <c r="D1822" s="6">
        <f ca="1">IF(AND(NEGOCIAÇÕES!O1822="",NEGOCIAÇÕES!N1822&lt;TODAY()),NEGOCIAÇÕES!D1822,"")</f>
        <v>0</v>
      </c>
      <c r="E1822" s="9">
        <f ca="1">IF(AND(NEGOCIAÇÕES!O1822="",NEGOCIAÇÕES!N1822&lt;TODAY()),NEGOCIAÇÕES!N1822,"")</f>
        <v>0</v>
      </c>
    </row>
    <row r="1823" spans="2:5" ht="31.95" hidden="1" customHeight="1" x14ac:dyDescent="0.3">
      <c r="B1823" s="6" t="str">
        <f ca="1">IF(AND(NEGOCIAÇÕES!O1823="",NEGOCIAÇÕES!N1823&lt;TODAY()),NEGOCIAÇÕES!C1823,"")</f>
        <v/>
      </c>
      <c r="C1823" s="6">
        <f ca="1">IF(AND(NEGOCIAÇÕES!O1823="",NEGOCIAÇÕES!N1823&lt;TODAY()),NEGOCIAÇÕES!E1823,"")</f>
        <v>0</v>
      </c>
      <c r="D1823" s="6">
        <f ca="1">IF(AND(NEGOCIAÇÕES!O1823="",NEGOCIAÇÕES!N1823&lt;TODAY()),NEGOCIAÇÕES!D1823,"")</f>
        <v>0</v>
      </c>
      <c r="E1823" s="9">
        <f ca="1">IF(AND(NEGOCIAÇÕES!O1823="",NEGOCIAÇÕES!N1823&lt;TODAY()),NEGOCIAÇÕES!N1823,"")</f>
        <v>0</v>
      </c>
    </row>
    <row r="1824" spans="2:5" ht="31.95" hidden="1" customHeight="1" x14ac:dyDescent="0.3">
      <c r="B1824" s="6" t="str">
        <f ca="1">IF(AND(NEGOCIAÇÕES!O1824="",NEGOCIAÇÕES!N1824&lt;TODAY()),NEGOCIAÇÕES!C1824,"")</f>
        <v/>
      </c>
      <c r="C1824" s="6">
        <f ca="1">IF(AND(NEGOCIAÇÕES!O1824="",NEGOCIAÇÕES!N1824&lt;TODAY()),NEGOCIAÇÕES!E1824,"")</f>
        <v>0</v>
      </c>
      <c r="D1824" s="6">
        <f ca="1">IF(AND(NEGOCIAÇÕES!O1824="",NEGOCIAÇÕES!N1824&lt;TODAY()),NEGOCIAÇÕES!D1824,"")</f>
        <v>0</v>
      </c>
      <c r="E1824" s="9">
        <f ca="1">IF(AND(NEGOCIAÇÕES!O1824="",NEGOCIAÇÕES!N1824&lt;TODAY()),NEGOCIAÇÕES!N1824,"")</f>
        <v>0</v>
      </c>
    </row>
    <row r="1825" spans="2:5" ht="31.95" hidden="1" customHeight="1" x14ac:dyDescent="0.3">
      <c r="B1825" s="6" t="str">
        <f ca="1">IF(AND(NEGOCIAÇÕES!O1825="",NEGOCIAÇÕES!N1825&lt;TODAY()),NEGOCIAÇÕES!C1825,"")</f>
        <v/>
      </c>
      <c r="C1825" s="6">
        <f ca="1">IF(AND(NEGOCIAÇÕES!O1825="",NEGOCIAÇÕES!N1825&lt;TODAY()),NEGOCIAÇÕES!E1825,"")</f>
        <v>0</v>
      </c>
      <c r="D1825" s="6">
        <f ca="1">IF(AND(NEGOCIAÇÕES!O1825="",NEGOCIAÇÕES!N1825&lt;TODAY()),NEGOCIAÇÕES!D1825,"")</f>
        <v>0</v>
      </c>
      <c r="E1825" s="9">
        <f ca="1">IF(AND(NEGOCIAÇÕES!O1825="",NEGOCIAÇÕES!N1825&lt;TODAY()),NEGOCIAÇÕES!N1825,"")</f>
        <v>0</v>
      </c>
    </row>
    <row r="1826" spans="2:5" ht="31.95" hidden="1" customHeight="1" x14ac:dyDescent="0.3">
      <c r="B1826" s="6" t="str">
        <f ca="1">IF(AND(NEGOCIAÇÕES!O1826="",NEGOCIAÇÕES!N1826&lt;TODAY()),NEGOCIAÇÕES!C1826,"")</f>
        <v/>
      </c>
      <c r="C1826" s="6">
        <f ca="1">IF(AND(NEGOCIAÇÕES!O1826="",NEGOCIAÇÕES!N1826&lt;TODAY()),NEGOCIAÇÕES!E1826,"")</f>
        <v>0</v>
      </c>
      <c r="D1826" s="6">
        <f ca="1">IF(AND(NEGOCIAÇÕES!O1826="",NEGOCIAÇÕES!N1826&lt;TODAY()),NEGOCIAÇÕES!D1826,"")</f>
        <v>0</v>
      </c>
      <c r="E1826" s="9">
        <f ca="1">IF(AND(NEGOCIAÇÕES!O1826="",NEGOCIAÇÕES!N1826&lt;TODAY()),NEGOCIAÇÕES!N1826,"")</f>
        <v>0</v>
      </c>
    </row>
    <row r="1827" spans="2:5" ht="31.95" hidden="1" customHeight="1" x14ac:dyDescent="0.3">
      <c r="B1827" s="6" t="str">
        <f ca="1">IF(AND(NEGOCIAÇÕES!O1827="",NEGOCIAÇÕES!N1827&lt;TODAY()),NEGOCIAÇÕES!C1827,"")</f>
        <v/>
      </c>
      <c r="C1827" s="6">
        <f ca="1">IF(AND(NEGOCIAÇÕES!O1827="",NEGOCIAÇÕES!N1827&lt;TODAY()),NEGOCIAÇÕES!E1827,"")</f>
        <v>0</v>
      </c>
      <c r="D1827" s="6">
        <f ca="1">IF(AND(NEGOCIAÇÕES!O1827="",NEGOCIAÇÕES!N1827&lt;TODAY()),NEGOCIAÇÕES!D1827,"")</f>
        <v>0</v>
      </c>
      <c r="E1827" s="9">
        <f ca="1">IF(AND(NEGOCIAÇÕES!O1827="",NEGOCIAÇÕES!N1827&lt;TODAY()),NEGOCIAÇÕES!N1827,"")</f>
        <v>0</v>
      </c>
    </row>
    <row r="1828" spans="2:5" ht="31.95" hidden="1" customHeight="1" x14ac:dyDescent="0.3">
      <c r="B1828" s="6" t="str">
        <f ca="1">IF(AND(NEGOCIAÇÕES!O1828="",NEGOCIAÇÕES!N1828&lt;TODAY()),NEGOCIAÇÕES!C1828,"")</f>
        <v/>
      </c>
      <c r="C1828" s="6">
        <f ca="1">IF(AND(NEGOCIAÇÕES!O1828="",NEGOCIAÇÕES!N1828&lt;TODAY()),NEGOCIAÇÕES!E1828,"")</f>
        <v>0</v>
      </c>
      <c r="D1828" s="6">
        <f ca="1">IF(AND(NEGOCIAÇÕES!O1828="",NEGOCIAÇÕES!N1828&lt;TODAY()),NEGOCIAÇÕES!D1828,"")</f>
        <v>0</v>
      </c>
      <c r="E1828" s="9">
        <f ca="1">IF(AND(NEGOCIAÇÕES!O1828="",NEGOCIAÇÕES!N1828&lt;TODAY()),NEGOCIAÇÕES!N1828,"")</f>
        <v>0</v>
      </c>
    </row>
    <row r="1829" spans="2:5" ht="31.95" hidden="1" customHeight="1" x14ac:dyDescent="0.3">
      <c r="B1829" s="6" t="str">
        <f ca="1">IF(AND(NEGOCIAÇÕES!O1829="",NEGOCIAÇÕES!N1829&lt;TODAY()),NEGOCIAÇÕES!C1829,"")</f>
        <v/>
      </c>
      <c r="C1829" s="6">
        <f ca="1">IF(AND(NEGOCIAÇÕES!O1829="",NEGOCIAÇÕES!N1829&lt;TODAY()),NEGOCIAÇÕES!E1829,"")</f>
        <v>0</v>
      </c>
      <c r="D1829" s="6">
        <f ca="1">IF(AND(NEGOCIAÇÕES!O1829="",NEGOCIAÇÕES!N1829&lt;TODAY()),NEGOCIAÇÕES!D1829,"")</f>
        <v>0</v>
      </c>
      <c r="E1829" s="9">
        <f ca="1">IF(AND(NEGOCIAÇÕES!O1829="",NEGOCIAÇÕES!N1829&lt;TODAY()),NEGOCIAÇÕES!N1829,"")</f>
        <v>0</v>
      </c>
    </row>
    <row r="1830" spans="2:5" ht="31.95" hidden="1" customHeight="1" x14ac:dyDescent="0.3">
      <c r="B1830" s="6" t="str">
        <f ca="1">IF(AND(NEGOCIAÇÕES!O1830="",NEGOCIAÇÕES!N1830&lt;TODAY()),NEGOCIAÇÕES!C1830,"")</f>
        <v/>
      </c>
      <c r="C1830" s="6">
        <f ca="1">IF(AND(NEGOCIAÇÕES!O1830="",NEGOCIAÇÕES!N1830&lt;TODAY()),NEGOCIAÇÕES!E1830,"")</f>
        <v>0</v>
      </c>
      <c r="D1830" s="6">
        <f ca="1">IF(AND(NEGOCIAÇÕES!O1830="",NEGOCIAÇÕES!N1830&lt;TODAY()),NEGOCIAÇÕES!D1830,"")</f>
        <v>0</v>
      </c>
      <c r="E1830" s="9">
        <f ca="1">IF(AND(NEGOCIAÇÕES!O1830="",NEGOCIAÇÕES!N1830&lt;TODAY()),NEGOCIAÇÕES!N1830,"")</f>
        <v>0</v>
      </c>
    </row>
    <row r="1831" spans="2:5" ht="31.95" hidden="1" customHeight="1" x14ac:dyDescent="0.3">
      <c r="B1831" s="6" t="str">
        <f ca="1">IF(AND(NEGOCIAÇÕES!O1831="",NEGOCIAÇÕES!N1831&lt;TODAY()),NEGOCIAÇÕES!C1831,"")</f>
        <v/>
      </c>
      <c r="C1831" s="6">
        <f ca="1">IF(AND(NEGOCIAÇÕES!O1831="",NEGOCIAÇÕES!N1831&lt;TODAY()),NEGOCIAÇÕES!E1831,"")</f>
        <v>0</v>
      </c>
      <c r="D1831" s="6">
        <f ca="1">IF(AND(NEGOCIAÇÕES!O1831="",NEGOCIAÇÕES!N1831&lt;TODAY()),NEGOCIAÇÕES!D1831,"")</f>
        <v>0</v>
      </c>
      <c r="E1831" s="9">
        <f ca="1">IF(AND(NEGOCIAÇÕES!O1831="",NEGOCIAÇÕES!N1831&lt;TODAY()),NEGOCIAÇÕES!N1831,"")</f>
        <v>0</v>
      </c>
    </row>
    <row r="1832" spans="2:5" ht="31.95" hidden="1" customHeight="1" x14ac:dyDescent="0.3">
      <c r="B1832" s="6" t="str">
        <f ca="1">IF(AND(NEGOCIAÇÕES!O1832="",NEGOCIAÇÕES!N1832&lt;TODAY()),NEGOCIAÇÕES!C1832,"")</f>
        <v/>
      </c>
      <c r="C1832" s="6">
        <f ca="1">IF(AND(NEGOCIAÇÕES!O1832="",NEGOCIAÇÕES!N1832&lt;TODAY()),NEGOCIAÇÕES!E1832,"")</f>
        <v>0</v>
      </c>
      <c r="D1832" s="6">
        <f ca="1">IF(AND(NEGOCIAÇÕES!O1832="",NEGOCIAÇÕES!N1832&lt;TODAY()),NEGOCIAÇÕES!D1832,"")</f>
        <v>0</v>
      </c>
      <c r="E1832" s="9">
        <f ca="1">IF(AND(NEGOCIAÇÕES!O1832="",NEGOCIAÇÕES!N1832&lt;TODAY()),NEGOCIAÇÕES!N1832,"")</f>
        <v>0</v>
      </c>
    </row>
    <row r="1833" spans="2:5" ht="31.95" hidden="1" customHeight="1" x14ac:dyDescent="0.3">
      <c r="B1833" s="6" t="str">
        <f ca="1">IF(AND(NEGOCIAÇÕES!O1833="",NEGOCIAÇÕES!N1833&lt;TODAY()),NEGOCIAÇÕES!C1833,"")</f>
        <v/>
      </c>
      <c r="C1833" s="6">
        <f ca="1">IF(AND(NEGOCIAÇÕES!O1833="",NEGOCIAÇÕES!N1833&lt;TODAY()),NEGOCIAÇÕES!E1833,"")</f>
        <v>0</v>
      </c>
      <c r="D1833" s="6">
        <f ca="1">IF(AND(NEGOCIAÇÕES!O1833="",NEGOCIAÇÕES!N1833&lt;TODAY()),NEGOCIAÇÕES!D1833,"")</f>
        <v>0</v>
      </c>
      <c r="E1833" s="9">
        <f ca="1">IF(AND(NEGOCIAÇÕES!O1833="",NEGOCIAÇÕES!N1833&lt;TODAY()),NEGOCIAÇÕES!N1833,"")</f>
        <v>0</v>
      </c>
    </row>
    <row r="1834" spans="2:5" ht="31.95" hidden="1" customHeight="1" x14ac:dyDescent="0.3">
      <c r="B1834" s="6" t="str">
        <f ca="1">IF(AND(NEGOCIAÇÕES!O1834="",NEGOCIAÇÕES!N1834&lt;TODAY()),NEGOCIAÇÕES!C1834,"")</f>
        <v/>
      </c>
      <c r="C1834" s="6">
        <f ca="1">IF(AND(NEGOCIAÇÕES!O1834="",NEGOCIAÇÕES!N1834&lt;TODAY()),NEGOCIAÇÕES!E1834,"")</f>
        <v>0</v>
      </c>
      <c r="D1834" s="6">
        <f ca="1">IF(AND(NEGOCIAÇÕES!O1834="",NEGOCIAÇÕES!N1834&lt;TODAY()),NEGOCIAÇÕES!D1834,"")</f>
        <v>0</v>
      </c>
      <c r="E1834" s="9">
        <f ca="1">IF(AND(NEGOCIAÇÕES!O1834="",NEGOCIAÇÕES!N1834&lt;TODAY()),NEGOCIAÇÕES!N1834,"")</f>
        <v>0</v>
      </c>
    </row>
    <row r="1835" spans="2:5" ht="31.95" hidden="1" customHeight="1" x14ac:dyDescent="0.3">
      <c r="B1835" s="6" t="str">
        <f ca="1">IF(AND(NEGOCIAÇÕES!O1835="",NEGOCIAÇÕES!N1835&lt;TODAY()),NEGOCIAÇÕES!C1835,"")</f>
        <v/>
      </c>
      <c r="C1835" s="6">
        <f ca="1">IF(AND(NEGOCIAÇÕES!O1835="",NEGOCIAÇÕES!N1835&lt;TODAY()),NEGOCIAÇÕES!E1835,"")</f>
        <v>0</v>
      </c>
      <c r="D1835" s="6">
        <f ca="1">IF(AND(NEGOCIAÇÕES!O1835="",NEGOCIAÇÕES!N1835&lt;TODAY()),NEGOCIAÇÕES!D1835,"")</f>
        <v>0</v>
      </c>
      <c r="E1835" s="9">
        <f ca="1">IF(AND(NEGOCIAÇÕES!O1835="",NEGOCIAÇÕES!N1835&lt;TODAY()),NEGOCIAÇÕES!N1835,"")</f>
        <v>0</v>
      </c>
    </row>
    <row r="1836" spans="2:5" ht="31.95" hidden="1" customHeight="1" x14ac:dyDescent="0.3">
      <c r="B1836" s="6" t="str">
        <f ca="1">IF(AND(NEGOCIAÇÕES!O1836="",NEGOCIAÇÕES!N1836&lt;TODAY()),NEGOCIAÇÕES!C1836,"")</f>
        <v/>
      </c>
      <c r="C1836" s="6">
        <f ca="1">IF(AND(NEGOCIAÇÕES!O1836="",NEGOCIAÇÕES!N1836&lt;TODAY()),NEGOCIAÇÕES!E1836,"")</f>
        <v>0</v>
      </c>
      <c r="D1836" s="6">
        <f ca="1">IF(AND(NEGOCIAÇÕES!O1836="",NEGOCIAÇÕES!N1836&lt;TODAY()),NEGOCIAÇÕES!D1836,"")</f>
        <v>0</v>
      </c>
      <c r="E1836" s="9">
        <f ca="1">IF(AND(NEGOCIAÇÕES!O1836="",NEGOCIAÇÕES!N1836&lt;TODAY()),NEGOCIAÇÕES!N1836,"")</f>
        <v>0</v>
      </c>
    </row>
    <row r="1837" spans="2:5" ht="31.95" hidden="1" customHeight="1" x14ac:dyDescent="0.3">
      <c r="B1837" s="6" t="str">
        <f ca="1">IF(AND(NEGOCIAÇÕES!O1837="",NEGOCIAÇÕES!N1837&lt;TODAY()),NEGOCIAÇÕES!C1837,"")</f>
        <v/>
      </c>
      <c r="C1837" s="6">
        <f ca="1">IF(AND(NEGOCIAÇÕES!O1837="",NEGOCIAÇÕES!N1837&lt;TODAY()),NEGOCIAÇÕES!E1837,"")</f>
        <v>0</v>
      </c>
      <c r="D1837" s="6">
        <f ca="1">IF(AND(NEGOCIAÇÕES!O1837="",NEGOCIAÇÕES!N1837&lt;TODAY()),NEGOCIAÇÕES!D1837,"")</f>
        <v>0</v>
      </c>
      <c r="E1837" s="9">
        <f ca="1">IF(AND(NEGOCIAÇÕES!O1837="",NEGOCIAÇÕES!N1837&lt;TODAY()),NEGOCIAÇÕES!N1837,"")</f>
        <v>0</v>
      </c>
    </row>
    <row r="1838" spans="2:5" ht="31.95" hidden="1" customHeight="1" x14ac:dyDescent="0.3">
      <c r="B1838" s="6" t="str">
        <f ca="1">IF(AND(NEGOCIAÇÕES!O1838="",NEGOCIAÇÕES!N1838&lt;TODAY()),NEGOCIAÇÕES!C1838,"")</f>
        <v/>
      </c>
      <c r="C1838" s="6">
        <f ca="1">IF(AND(NEGOCIAÇÕES!O1838="",NEGOCIAÇÕES!N1838&lt;TODAY()),NEGOCIAÇÕES!E1838,"")</f>
        <v>0</v>
      </c>
      <c r="D1838" s="6">
        <f ca="1">IF(AND(NEGOCIAÇÕES!O1838="",NEGOCIAÇÕES!N1838&lt;TODAY()),NEGOCIAÇÕES!D1838,"")</f>
        <v>0</v>
      </c>
      <c r="E1838" s="9">
        <f ca="1">IF(AND(NEGOCIAÇÕES!O1838="",NEGOCIAÇÕES!N1838&lt;TODAY()),NEGOCIAÇÕES!N1838,"")</f>
        <v>0</v>
      </c>
    </row>
    <row r="1839" spans="2:5" ht="31.95" hidden="1" customHeight="1" x14ac:dyDescent="0.3">
      <c r="B1839" s="6" t="str">
        <f ca="1">IF(AND(NEGOCIAÇÕES!O1839="",NEGOCIAÇÕES!N1839&lt;TODAY()),NEGOCIAÇÕES!C1839,"")</f>
        <v/>
      </c>
      <c r="C1839" s="6">
        <f ca="1">IF(AND(NEGOCIAÇÕES!O1839="",NEGOCIAÇÕES!N1839&lt;TODAY()),NEGOCIAÇÕES!E1839,"")</f>
        <v>0</v>
      </c>
      <c r="D1839" s="6">
        <f ca="1">IF(AND(NEGOCIAÇÕES!O1839="",NEGOCIAÇÕES!N1839&lt;TODAY()),NEGOCIAÇÕES!D1839,"")</f>
        <v>0</v>
      </c>
      <c r="E1839" s="9">
        <f ca="1">IF(AND(NEGOCIAÇÕES!O1839="",NEGOCIAÇÕES!N1839&lt;TODAY()),NEGOCIAÇÕES!N1839,"")</f>
        <v>0</v>
      </c>
    </row>
    <row r="1840" spans="2:5" ht="31.95" hidden="1" customHeight="1" x14ac:dyDescent="0.3">
      <c r="B1840" s="6" t="str">
        <f ca="1">IF(AND(NEGOCIAÇÕES!O1840="",NEGOCIAÇÕES!N1840&lt;TODAY()),NEGOCIAÇÕES!C1840,"")</f>
        <v/>
      </c>
      <c r="C1840" s="6">
        <f ca="1">IF(AND(NEGOCIAÇÕES!O1840="",NEGOCIAÇÕES!N1840&lt;TODAY()),NEGOCIAÇÕES!E1840,"")</f>
        <v>0</v>
      </c>
      <c r="D1840" s="6">
        <f ca="1">IF(AND(NEGOCIAÇÕES!O1840="",NEGOCIAÇÕES!N1840&lt;TODAY()),NEGOCIAÇÕES!D1840,"")</f>
        <v>0</v>
      </c>
      <c r="E1840" s="9">
        <f ca="1">IF(AND(NEGOCIAÇÕES!O1840="",NEGOCIAÇÕES!N1840&lt;TODAY()),NEGOCIAÇÕES!N1840,"")</f>
        <v>0</v>
      </c>
    </row>
    <row r="1841" spans="2:5" ht="31.95" hidden="1" customHeight="1" x14ac:dyDescent="0.3">
      <c r="B1841" s="6" t="str">
        <f ca="1">IF(AND(NEGOCIAÇÕES!O1841="",NEGOCIAÇÕES!N1841&lt;TODAY()),NEGOCIAÇÕES!C1841,"")</f>
        <v/>
      </c>
      <c r="C1841" s="6">
        <f ca="1">IF(AND(NEGOCIAÇÕES!O1841="",NEGOCIAÇÕES!N1841&lt;TODAY()),NEGOCIAÇÕES!E1841,"")</f>
        <v>0</v>
      </c>
      <c r="D1841" s="6">
        <f ca="1">IF(AND(NEGOCIAÇÕES!O1841="",NEGOCIAÇÕES!N1841&lt;TODAY()),NEGOCIAÇÕES!D1841,"")</f>
        <v>0</v>
      </c>
      <c r="E1841" s="9">
        <f ca="1">IF(AND(NEGOCIAÇÕES!O1841="",NEGOCIAÇÕES!N1841&lt;TODAY()),NEGOCIAÇÕES!N1841,"")</f>
        <v>0</v>
      </c>
    </row>
    <row r="1842" spans="2:5" ht="31.95" hidden="1" customHeight="1" x14ac:dyDescent="0.3">
      <c r="B1842" s="6" t="str">
        <f ca="1">IF(AND(NEGOCIAÇÕES!O1842="",NEGOCIAÇÕES!N1842&lt;TODAY()),NEGOCIAÇÕES!C1842,"")</f>
        <v/>
      </c>
      <c r="C1842" s="6">
        <f ca="1">IF(AND(NEGOCIAÇÕES!O1842="",NEGOCIAÇÕES!N1842&lt;TODAY()),NEGOCIAÇÕES!E1842,"")</f>
        <v>0</v>
      </c>
      <c r="D1842" s="6">
        <f ca="1">IF(AND(NEGOCIAÇÕES!O1842="",NEGOCIAÇÕES!N1842&lt;TODAY()),NEGOCIAÇÕES!D1842,"")</f>
        <v>0</v>
      </c>
      <c r="E1842" s="9">
        <f ca="1">IF(AND(NEGOCIAÇÕES!O1842="",NEGOCIAÇÕES!N1842&lt;TODAY()),NEGOCIAÇÕES!N1842,"")</f>
        <v>0</v>
      </c>
    </row>
    <row r="1843" spans="2:5" ht="31.95" hidden="1" customHeight="1" x14ac:dyDescent="0.3">
      <c r="B1843" s="6" t="str">
        <f ca="1">IF(AND(NEGOCIAÇÕES!O1843="",NEGOCIAÇÕES!N1843&lt;TODAY()),NEGOCIAÇÕES!C1843,"")</f>
        <v/>
      </c>
      <c r="C1843" s="6">
        <f ca="1">IF(AND(NEGOCIAÇÕES!O1843="",NEGOCIAÇÕES!N1843&lt;TODAY()),NEGOCIAÇÕES!E1843,"")</f>
        <v>0</v>
      </c>
      <c r="D1843" s="6">
        <f ca="1">IF(AND(NEGOCIAÇÕES!O1843="",NEGOCIAÇÕES!N1843&lt;TODAY()),NEGOCIAÇÕES!D1843,"")</f>
        <v>0</v>
      </c>
      <c r="E1843" s="9">
        <f ca="1">IF(AND(NEGOCIAÇÕES!O1843="",NEGOCIAÇÕES!N1843&lt;TODAY()),NEGOCIAÇÕES!N1843,"")</f>
        <v>0</v>
      </c>
    </row>
    <row r="1844" spans="2:5" ht="31.95" hidden="1" customHeight="1" x14ac:dyDescent="0.3">
      <c r="B1844" s="6" t="str">
        <f ca="1">IF(AND(NEGOCIAÇÕES!O1844="",NEGOCIAÇÕES!N1844&lt;TODAY()),NEGOCIAÇÕES!C1844,"")</f>
        <v/>
      </c>
      <c r="C1844" s="6">
        <f ca="1">IF(AND(NEGOCIAÇÕES!O1844="",NEGOCIAÇÕES!N1844&lt;TODAY()),NEGOCIAÇÕES!E1844,"")</f>
        <v>0</v>
      </c>
      <c r="D1844" s="6">
        <f ca="1">IF(AND(NEGOCIAÇÕES!O1844="",NEGOCIAÇÕES!N1844&lt;TODAY()),NEGOCIAÇÕES!D1844,"")</f>
        <v>0</v>
      </c>
      <c r="E1844" s="9">
        <f ca="1">IF(AND(NEGOCIAÇÕES!O1844="",NEGOCIAÇÕES!N1844&lt;TODAY()),NEGOCIAÇÕES!N1844,"")</f>
        <v>0</v>
      </c>
    </row>
    <row r="1845" spans="2:5" ht="31.95" hidden="1" customHeight="1" x14ac:dyDescent="0.3">
      <c r="B1845" s="6" t="str">
        <f ca="1">IF(AND(NEGOCIAÇÕES!O1845="",NEGOCIAÇÕES!N1845&lt;TODAY()),NEGOCIAÇÕES!C1845,"")</f>
        <v/>
      </c>
      <c r="C1845" s="6">
        <f ca="1">IF(AND(NEGOCIAÇÕES!O1845="",NEGOCIAÇÕES!N1845&lt;TODAY()),NEGOCIAÇÕES!E1845,"")</f>
        <v>0</v>
      </c>
      <c r="D1845" s="6">
        <f ca="1">IF(AND(NEGOCIAÇÕES!O1845="",NEGOCIAÇÕES!N1845&lt;TODAY()),NEGOCIAÇÕES!D1845,"")</f>
        <v>0</v>
      </c>
      <c r="E1845" s="9">
        <f ca="1">IF(AND(NEGOCIAÇÕES!O1845="",NEGOCIAÇÕES!N1845&lt;TODAY()),NEGOCIAÇÕES!N1845,"")</f>
        <v>0</v>
      </c>
    </row>
    <row r="1846" spans="2:5" ht="31.95" hidden="1" customHeight="1" x14ac:dyDescent="0.3">
      <c r="B1846" s="6" t="str">
        <f ca="1">IF(AND(NEGOCIAÇÕES!O1846="",NEGOCIAÇÕES!N1846&lt;TODAY()),NEGOCIAÇÕES!C1846,"")</f>
        <v/>
      </c>
      <c r="C1846" s="6">
        <f ca="1">IF(AND(NEGOCIAÇÕES!O1846="",NEGOCIAÇÕES!N1846&lt;TODAY()),NEGOCIAÇÕES!E1846,"")</f>
        <v>0</v>
      </c>
      <c r="D1846" s="6">
        <f ca="1">IF(AND(NEGOCIAÇÕES!O1846="",NEGOCIAÇÕES!N1846&lt;TODAY()),NEGOCIAÇÕES!D1846,"")</f>
        <v>0</v>
      </c>
      <c r="E1846" s="9">
        <f ca="1">IF(AND(NEGOCIAÇÕES!O1846="",NEGOCIAÇÕES!N1846&lt;TODAY()),NEGOCIAÇÕES!N1846,"")</f>
        <v>0</v>
      </c>
    </row>
    <row r="1847" spans="2:5" ht="31.95" hidden="1" customHeight="1" x14ac:dyDescent="0.3">
      <c r="B1847" s="6" t="str">
        <f ca="1">IF(AND(NEGOCIAÇÕES!O1847="",NEGOCIAÇÕES!N1847&lt;TODAY()),NEGOCIAÇÕES!C1847,"")</f>
        <v/>
      </c>
      <c r="C1847" s="6">
        <f ca="1">IF(AND(NEGOCIAÇÕES!O1847="",NEGOCIAÇÕES!N1847&lt;TODAY()),NEGOCIAÇÕES!E1847,"")</f>
        <v>0</v>
      </c>
      <c r="D1847" s="6">
        <f ca="1">IF(AND(NEGOCIAÇÕES!O1847="",NEGOCIAÇÕES!N1847&lt;TODAY()),NEGOCIAÇÕES!D1847,"")</f>
        <v>0</v>
      </c>
      <c r="E1847" s="9">
        <f ca="1">IF(AND(NEGOCIAÇÕES!O1847="",NEGOCIAÇÕES!N1847&lt;TODAY()),NEGOCIAÇÕES!N1847,"")</f>
        <v>0</v>
      </c>
    </row>
    <row r="1848" spans="2:5" ht="31.95" hidden="1" customHeight="1" x14ac:dyDescent="0.3">
      <c r="B1848" s="6" t="str">
        <f ca="1">IF(AND(NEGOCIAÇÕES!O1848="",NEGOCIAÇÕES!N1848&lt;TODAY()),NEGOCIAÇÕES!C1848,"")</f>
        <v/>
      </c>
      <c r="C1848" s="6">
        <f ca="1">IF(AND(NEGOCIAÇÕES!O1848="",NEGOCIAÇÕES!N1848&lt;TODAY()),NEGOCIAÇÕES!E1848,"")</f>
        <v>0</v>
      </c>
      <c r="D1848" s="6">
        <f ca="1">IF(AND(NEGOCIAÇÕES!O1848="",NEGOCIAÇÕES!N1848&lt;TODAY()),NEGOCIAÇÕES!D1848,"")</f>
        <v>0</v>
      </c>
      <c r="E1848" s="9">
        <f ca="1">IF(AND(NEGOCIAÇÕES!O1848="",NEGOCIAÇÕES!N1848&lt;TODAY()),NEGOCIAÇÕES!N1848,"")</f>
        <v>0</v>
      </c>
    </row>
    <row r="1849" spans="2:5" ht="31.95" hidden="1" customHeight="1" x14ac:dyDescent="0.3">
      <c r="B1849" s="6" t="str">
        <f ca="1">IF(AND(NEGOCIAÇÕES!O1849="",NEGOCIAÇÕES!N1849&lt;TODAY()),NEGOCIAÇÕES!C1849,"")</f>
        <v/>
      </c>
      <c r="C1849" s="6">
        <f ca="1">IF(AND(NEGOCIAÇÕES!O1849="",NEGOCIAÇÕES!N1849&lt;TODAY()),NEGOCIAÇÕES!E1849,"")</f>
        <v>0</v>
      </c>
      <c r="D1849" s="6">
        <f ca="1">IF(AND(NEGOCIAÇÕES!O1849="",NEGOCIAÇÕES!N1849&lt;TODAY()),NEGOCIAÇÕES!D1849,"")</f>
        <v>0</v>
      </c>
      <c r="E1849" s="9">
        <f ca="1">IF(AND(NEGOCIAÇÕES!O1849="",NEGOCIAÇÕES!N1849&lt;TODAY()),NEGOCIAÇÕES!N1849,"")</f>
        <v>0</v>
      </c>
    </row>
    <row r="1850" spans="2:5" ht="31.95" hidden="1" customHeight="1" x14ac:dyDescent="0.3">
      <c r="B1850" s="6" t="str">
        <f ca="1">IF(AND(NEGOCIAÇÕES!O1850="",NEGOCIAÇÕES!N1850&lt;TODAY()),NEGOCIAÇÕES!C1850,"")</f>
        <v/>
      </c>
      <c r="C1850" s="6">
        <f ca="1">IF(AND(NEGOCIAÇÕES!O1850="",NEGOCIAÇÕES!N1850&lt;TODAY()),NEGOCIAÇÕES!E1850,"")</f>
        <v>0</v>
      </c>
      <c r="D1850" s="6">
        <f ca="1">IF(AND(NEGOCIAÇÕES!O1850="",NEGOCIAÇÕES!N1850&lt;TODAY()),NEGOCIAÇÕES!D1850,"")</f>
        <v>0</v>
      </c>
      <c r="E1850" s="9">
        <f ca="1">IF(AND(NEGOCIAÇÕES!O1850="",NEGOCIAÇÕES!N1850&lt;TODAY()),NEGOCIAÇÕES!N1850,"")</f>
        <v>0</v>
      </c>
    </row>
    <row r="1851" spans="2:5" ht="31.95" hidden="1" customHeight="1" x14ac:dyDescent="0.3">
      <c r="B1851" s="6" t="str">
        <f ca="1">IF(AND(NEGOCIAÇÕES!O1851="",NEGOCIAÇÕES!N1851&lt;TODAY()),NEGOCIAÇÕES!C1851,"")</f>
        <v/>
      </c>
      <c r="C1851" s="6">
        <f ca="1">IF(AND(NEGOCIAÇÕES!O1851="",NEGOCIAÇÕES!N1851&lt;TODAY()),NEGOCIAÇÕES!E1851,"")</f>
        <v>0</v>
      </c>
      <c r="D1851" s="6">
        <f ca="1">IF(AND(NEGOCIAÇÕES!O1851="",NEGOCIAÇÕES!N1851&lt;TODAY()),NEGOCIAÇÕES!D1851,"")</f>
        <v>0</v>
      </c>
      <c r="E1851" s="9">
        <f ca="1">IF(AND(NEGOCIAÇÕES!O1851="",NEGOCIAÇÕES!N1851&lt;TODAY()),NEGOCIAÇÕES!N1851,"")</f>
        <v>0</v>
      </c>
    </row>
    <row r="1852" spans="2:5" ht="31.95" hidden="1" customHeight="1" x14ac:dyDescent="0.3">
      <c r="B1852" s="6" t="str">
        <f ca="1">IF(AND(NEGOCIAÇÕES!O1852="",NEGOCIAÇÕES!N1852&lt;TODAY()),NEGOCIAÇÕES!C1852,"")</f>
        <v/>
      </c>
      <c r="C1852" s="6">
        <f ca="1">IF(AND(NEGOCIAÇÕES!O1852="",NEGOCIAÇÕES!N1852&lt;TODAY()),NEGOCIAÇÕES!E1852,"")</f>
        <v>0</v>
      </c>
      <c r="D1852" s="6">
        <f ca="1">IF(AND(NEGOCIAÇÕES!O1852="",NEGOCIAÇÕES!N1852&lt;TODAY()),NEGOCIAÇÕES!D1852,"")</f>
        <v>0</v>
      </c>
      <c r="E1852" s="9">
        <f ca="1">IF(AND(NEGOCIAÇÕES!O1852="",NEGOCIAÇÕES!N1852&lt;TODAY()),NEGOCIAÇÕES!N1852,"")</f>
        <v>0</v>
      </c>
    </row>
    <row r="1853" spans="2:5" ht="31.95" hidden="1" customHeight="1" x14ac:dyDescent="0.3">
      <c r="B1853" s="6" t="str">
        <f ca="1">IF(AND(NEGOCIAÇÕES!O1853="",NEGOCIAÇÕES!N1853&lt;TODAY()),NEGOCIAÇÕES!C1853,"")</f>
        <v/>
      </c>
      <c r="C1853" s="6">
        <f ca="1">IF(AND(NEGOCIAÇÕES!O1853="",NEGOCIAÇÕES!N1853&lt;TODAY()),NEGOCIAÇÕES!E1853,"")</f>
        <v>0</v>
      </c>
      <c r="D1853" s="6">
        <f ca="1">IF(AND(NEGOCIAÇÕES!O1853="",NEGOCIAÇÕES!N1853&lt;TODAY()),NEGOCIAÇÕES!D1853,"")</f>
        <v>0</v>
      </c>
      <c r="E1853" s="9">
        <f ca="1">IF(AND(NEGOCIAÇÕES!O1853="",NEGOCIAÇÕES!N1853&lt;TODAY()),NEGOCIAÇÕES!N1853,"")</f>
        <v>0</v>
      </c>
    </row>
    <row r="1854" spans="2:5" ht="31.95" hidden="1" customHeight="1" x14ac:dyDescent="0.3">
      <c r="B1854" s="6" t="str">
        <f ca="1">IF(AND(NEGOCIAÇÕES!O1854="",NEGOCIAÇÕES!N1854&lt;TODAY()),NEGOCIAÇÕES!C1854,"")</f>
        <v/>
      </c>
      <c r="C1854" s="6">
        <f ca="1">IF(AND(NEGOCIAÇÕES!O1854="",NEGOCIAÇÕES!N1854&lt;TODAY()),NEGOCIAÇÕES!E1854,"")</f>
        <v>0</v>
      </c>
      <c r="D1854" s="6">
        <f ca="1">IF(AND(NEGOCIAÇÕES!O1854="",NEGOCIAÇÕES!N1854&lt;TODAY()),NEGOCIAÇÕES!D1854,"")</f>
        <v>0</v>
      </c>
      <c r="E1854" s="9">
        <f ca="1">IF(AND(NEGOCIAÇÕES!O1854="",NEGOCIAÇÕES!N1854&lt;TODAY()),NEGOCIAÇÕES!N1854,"")</f>
        <v>0</v>
      </c>
    </row>
    <row r="1855" spans="2:5" ht="31.95" hidden="1" customHeight="1" x14ac:dyDescent="0.3">
      <c r="B1855" s="6" t="str">
        <f ca="1">IF(AND(NEGOCIAÇÕES!O1855="",NEGOCIAÇÕES!N1855&lt;TODAY()),NEGOCIAÇÕES!C1855,"")</f>
        <v/>
      </c>
      <c r="C1855" s="6">
        <f ca="1">IF(AND(NEGOCIAÇÕES!O1855="",NEGOCIAÇÕES!N1855&lt;TODAY()),NEGOCIAÇÕES!E1855,"")</f>
        <v>0</v>
      </c>
      <c r="D1855" s="6">
        <f ca="1">IF(AND(NEGOCIAÇÕES!O1855="",NEGOCIAÇÕES!N1855&lt;TODAY()),NEGOCIAÇÕES!D1855,"")</f>
        <v>0</v>
      </c>
      <c r="E1855" s="9">
        <f ca="1">IF(AND(NEGOCIAÇÕES!O1855="",NEGOCIAÇÕES!N1855&lt;TODAY()),NEGOCIAÇÕES!N1855,"")</f>
        <v>0</v>
      </c>
    </row>
    <row r="1856" spans="2:5" ht="31.95" hidden="1" customHeight="1" x14ac:dyDescent="0.3">
      <c r="B1856" s="6" t="str">
        <f ca="1">IF(AND(NEGOCIAÇÕES!O1856="",NEGOCIAÇÕES!N1856&lt;TODAY()),NEGOCIAÇÕES!C1856,"")</f>
        <v/>
      </c>
      <c r="C1856" s="6">
        <f ca="1">IF(AND(NEGOCIAÇÕES!O1856="",NEGOCIAÇÕES!N1856&lt;TODAY()),NEGOCIAÇÕES!E1856,"")</f>
        <v>0</v>
      </c>
      <c r="D1856" s="6">
        <f ca="1">IF(AND(NEGOCIAÇÕES!O1856="",NEGOCIAÇÕES!N1856&lt;TODAY()),NEGOCIAÇÕES!D1856,"")</f>
        <v>0</v>
      </c>
      <c r="E1856" s="9">
        <f ca="1">IF(AND(NEGOCIAÇÕES!O1856="",NEGOCIAÇÕES!N1856&lt;TODAY()),NEGOCIAÇÕES!N1856,"")</f>
        <v>0</v>
      </c>
    </row>
    <row r="1857" spans="2:5" ht="31.95" hidden="1" customHeight="1" x14ac:dyDescent="0.3">
      <c r="B1857" s="6" t="str">
        <f ca="1">IF(AND(NEGOCIAÇÕES!O1857="",NEGOCIAÇÕES!N1857&lt;TODAY()),NEGOCIAÇÕES!C1857,"")</f>
        <v/>
      </c>
      <c r="C1857" s="6">
        <f ca="1">IF(AND(NEGOCIAÇÕES!O1857="",NEGOCIAÇÕES!N1857&lt;TODAY()),NEGOCIAÇÕES!E1857,"")</f>
        <v>0</v>
      </c>
      <c r="D1857" s="6">
        <f ca="1">IF(AND(NEGOCIAÇÕES!O1857="",NEGOCIAÇÕES!N1857&lt;TODAY()),NEGOCIAÇÕES!D1857,"")</f>
        <v>0</v>
      </c>
      <c r="E1857" s="9">
        <f ca="1">IF(AND(NEGOCIAÇÕES!O1857="",NEGOCIAÇÕES!N1857&lt;TODAY()),NEGOCIAÇÕES!N1857,"")</f>
        <v>0</v>
      </c>
    </row>
    <row r="1858" spans="2:5" ht="31.95" hidden="1" customHeight="1" x14ac:dyDescent="0.3">
      <c r="B1858" s="6" t="str">
        <f ca="1">IF(AND(NEGOCIAÇÕES!O1858="",NEGOCIAÇÕES!N1858&lt;TODAY()),NEGOCIAÇÕES!C1858,"")</f>
        <v/>
      </c>
      <c r="C1858" s="6">
        <f ca="1">IF(AND(NEGOCIAÇÕES!O1858="",NEGOCIAÇÕES!N1858&lt;TODAY()),NEGOCIAÇÕES!E1858,"")</f>
        <v>0</v>
      </c>
      <c r="D1858" s="6">
        <f ca="1">IF(AND(NEGOCIAÇÕES!O1858="",NEGOCIAÇÕES!N1858&lt;TODAY()),NEGOCIAÇÕES!D1858,"")</f>
        <v>0</v>
      </c>
      <c r="E1858" s="9">
        <f ca="1">IF(AND(NEGOCIAÇÕES!O1858="",NEGOCIAÇÕES!N1858&lt;TODAY()),NEGOCIAÇÕES!N1858,"")</f>
        <v>0</v>
      </c>
    </row>
    <row r="1859" spans="2:5" ht="31.95" hidden="1" customHeight="1" x14ac:dyDescent="0.3">
      <c r="B1859" s="6" t="str">
        <f ca="1">IF(AND(NEGOCIAÇÕES!O1859="",NEGOCIAÇÕES!N1859&lt;TODAY()),NEGOCIAÇÕES!C1859,"")</f>
        <v/>
      </c>
      <c r="C1859" s="6">
        <f ca="1">IF(AND(NEGOCIAÇÕES!O1859="",NEGOCIAÇÕES!N1859&lt;TODAY()),NEGOCIAÇÕES!E1859,"")</f>
        <v>0</v>
      </c>
      <c r="D1859" s="6">
        <f ca="1">IF(AND(NEGOCIAÇÕES!O1859="",NEGOCIAÇÕES!N1859&lt;TODAY()),NEGOCIAÇÕES!D1859,"")</f>
        <v>0</v>
      </c>
      <c r="E1859" s="9">
        <f ca="1">IF(AND(NEGOCIAÇÕES!O1859="",NEGOCIAÇÕES!N1859&lt;TODAY()),NEGOCIAÇÕES!N1859,"")</f>
        <v>0</v>
      </c>
    </row>
    <row r="1860" spans="2:5" ht="31.95" hidden="1" customHeight="1" x14ac:dyDescent="0.3">
      <c r="B1860" s="6" t="str">
        <f ca="1">IF(AND(NEGOCIAÇÕES!O1860="",NEGOCIAÇÕES!N1860&lt;TODAY()),NEGOCIAÇÕES!C1860,"")</f>
        <v/>
      </c>
      <c r="C1860" s="6">
        <f ca="1">IF(AND(NEGOCIAÇÕES!O1860="",NEGOCIAÇÕES!N1860&lt;TODAY()),NEGOCIAÇÕES!E1860,"")</f>
        <v>0</v>
      </c>
      <c r="D1860" s="6">
        <f ca="1">IF(AND(NEGOCIAÇÕES!O1860="",NEGOCIAÇÕES!N1860&lt;TODAY()),NEGOCIAÇÕES!D1860,"")</f>
        <v>0</v>
      </c>
      <c r="E1860" s="9">
        <f ca="1">IF(AND(NEGOCIAÇÕES!O1860="",NEGOCIAÇÕES!N1860&lt;TODAY()),NEGOCIAÇÕES!N1860,"")</f>
        <v>0</v>
      </c>
    </row>
    <row r="1861" spans="2:5" ht="31.95" hidden="1" customHeight="1" x14ac:dyDescent="0.3">
      <c r="B1861" s="6" t="str">
        <f ca="1">IF(AND(NEGOCIAÇÕES!O1861="",NEGOCIAÇÕES!N1861&lt;TODAY()),NEGOCIAÇÕES!C1861,"")</f>
        <v/>
      </c>
      <c r="C1861" s="6">
        <f ca="1">IF(AND(NEGOCIAÇÕES!O1861="",NEGOCIAÇÕES!N1861&lt;TODAY()),NEGOCIAÇÕES!E1861,"")</f>
        <v>0</v>
      </c>
      <c r="D1861" s="6">
        <f ca="1">IF(AND(NEGOCIAÇÕES!O1861="",NEGOCIAÇÕES!N1861&lt;TODAY()),NEGOCIAÇÕES!D1861,"")</f>
        <v>0</v>
      </c>
      <c r="E1861" s="9">
        <f ca="1">IF(AND(NEGOCIAÇÕES!O1861="",NEGOCIAÇÕES!N1861&lt;TODAY()),NEGOCIAÇÕES!N1861,"")</f>
        <v>0</v>
      </c>
    </row>
    <row r="1862" spans="2:5" ht="31.95" hidden="1" customHeight="1" x14ac:dyDescent="0.3">
      <c r="B1862" s="6" t="str">
        <f ca="1">IF(AND(NEGOCIAÇÕES!O1862="",NEGOCIAÇÕES!N1862&lt;TODAY()),NEGOCIAÇÕES!C1862,"")</f>
        <v/>
      </c>
      <c r="C1862" s="6">
        <f ca="1">IF(AND(NEGOCIAÇÕES!O1862="",NEGOCIAÇÕES!N1862&lt;TODAY()),NEGOCIAÇÕES!E1862,"")</f>
        <v>0</v>
      </c>
      <c r="D1862" s="6">
        <f ca="1">IF(AND(NEGOCIAÇÕES!O1862="",NEGOCIAÇÕES!N1862&lt;TODAY()),NEGOCIAÇÕES!D1862,"")</f>
        <v>0</v>
      </c>
      <c r="E1862" s="9">
        <f ca="1">IF(AND(NEGOCIAÇÕES!O1862="",NEGOCIAÇÕES!N1862&lt;TODAY()),NEGOCIAÇÕES!N1862,"")</f>
        <v>0</v>
      </c>
    </row>
    <row r="1863" spans="2:5" ht="31.95" hidden="1" customHeight="1" x14ac:dyDescent="0.3">
      <c r="B1863" s="6" t="str">
        <f ca="1">IF(AND(NEGOCIAÇÕES!O1863="",NEGOCIAÇÕES!N1863&lt;TODAY()),NEGOCIAÇÕES!C1863,"")</f>
        <v/>
      </c>
      <c r="C1863" s="6">
        <f ca="1">IF(AND(NEGOCIAÇÕES!O1863="",NEGOCIAÇÕES!N1863&lt;TODAY()),NEGOCIAÇÕES!E1863,"")</f>
        <v>0</v>
      </c>
      <c r="D1863" s="6">
        <f ca="1">IF(AND(NEGOCIAÇÕES!O1863="",NEGOCIAÇÕES!N1863&lt;TODAY()),NEGOCIAÇÕES!D1863,"")</f>
        <v>0</v>
      </c>
      <c r="E1863" s="9">
        <f ca="1">IF(AND(NEGOCIAÇÕES!O1863="",NEGOCIAÇÕES!N1863&lt;TODAY()),NEGOCIAÇÕES!N1863,"")</f>
        <v>0</v>
      </c>
    </row>
    <row r="1864" spans="2:5" ht="31.95" hidden="1" customHeight="1" x14ac:dyDescent="0.3">
      <c r="B1864" s="6" t="str">
        <f ca="1">IF(AND(NEGOCIAÇÕES!O1864="",NEGOCIAÇÕES!N1864&lt;TODAY()),NEGOCIAÇÕES!C1864,"")</f>
        <v/>
      </c>
      <c r="C1864" s="6">
        <f ca="1">IF(AND(NEGOCIAÇÕES!O1864="",NEGOCIAÇÕES!N1864&lt;TODAY()),NEGOCIAÇÕES!E1864,"")</f>
        <v>0</v>
      </c>
      <c r="D1864" s="6">
        <f ca="1">IF(AND(NEGOCIAÇÕES!O1864="",NEGOCIAÇÕES!N1864&lt;TODAY()),NEGOCIAÇÕES!D1864,"")</f>
        <v>0</v>
      </c>
      <c r="E1864" s="9">
        <f ca="1">IF(AND(NEGOCIAÇÕES!O1864="",NEGOCIAÇÕES!N1864&lt;TODAY()),NEGOCIAÇÕES!N1864,"")</f>
        <v>0</v>
      </c>
    </row>
    <row r="1865" spans="2:5" ht="31.95" hidden="1" customHeight="1" x14ac:dyDescent="0.3">
      <c r="B1865" s="6" t="str">
        <f ca="1">IF(AND(NEGOCIAÇÕES!O1865="",NEGOCIAÇÕES!N1865&lt;TODAY()),NEGOCIAÇÕES!C1865,"")</f>
        <v/>
      </c>
      <c r="C1865" s="6">
        <f ca="1">IF(AND(NEGOCIAÇÕES!O1865="",NEGOCIAÇÕES!N1865&lt;TODAY()),NEGOCIAÇÕES!E1865,"")</f>
        <v>0</v>
      </c>
      <c r="D1865" s="6">
        <f ca="1">IF(AND(NEGOCIAÇÕES!O1865="",NEGOCIAÇÕES!N1865&lt;TODAY()),NEGOCIAÇÕES!D1865,"")</f>
        <v>0</v>
      </c>
      <c r="E1865" s="9">
        <f ca="1">IF(AND(NEGOCIAÇÕES!O1865="",NEGOCIAÇÕES!N1865&lt;TODAY()),NEGOCIAÇÕES!N1865,"")</f>
        <v>0</v>
      </c>
    </row>
    <row r="1866" spans="2:5" ht="31.95" hidden="1" customHeight="1" x14ac:dyDescent="0.3">
      <c r="B1866" s="6" t="str">
        <f ca="1">IF(AND(NEGOCIAÇÕES!O1866="",NEGOCIAÇÕES!N1866&lt;TODAY()),NEGOCIAÇÕES!C1866,"")</f>
        <v/>
      </c>
      <c r="C1866" s="6">
        <f ca="1">IF(AND(NEGOCIAÇÕES!O1866="",NEGOCIAÇÕES!N1866&lt;TODAY()),NEGOCIAÇÕES!E1866,"")</f>
        <v>0</v>
      </c>
      <c r="D1866" s="6">
        <f ca="1">IF(AND(NEGOCIAÇÕES!O1866="",NEGOCIAÇÕES!N1866&lt;TODAY()),NEGOCIAÇÕES!D1866,"")</f>
        <v>0</v>
      </c>
      <c r="E1866" s="9">
        <f ca="1">IF(AND(NEGOCIAÇÕES!O1866="",NEGOCIAÇÕES!N1866&lt;TODAY()),NEGOCIAÇÕES!N1866,"")</f>
        <v>0</v>
      </c>
    </row>
    <row r="1867" spans="2:5" ht="31.95" hidden="1" customHeight="1" x14ac:dyDescent="0.3">
      <c r="B1867" s="6" t="str">
        <f ca="1">IF(AND(NEGOCIAÇÕES!O1867="",NEGOCIAÇÕES!N1867&lt;TODAY()),NEGOCIAÇÕES!C1867,"")</f>
        <v/>
      </c>
      <c r="C1867" s="6">
        <f ca="1">IF(AND(NEGOCIAÇÕES!O1867="",NEGOCIAÇÕES!N1867&lt;TODAY()),NEGOCIAÇÕES!E1867,"")</f>
        <v>0</v>
      </c>
      <c r="D1867" s="6">
        <f ca="1">IF(AND(NEGOCIAÇÕES!O1867="",NEGOCIAÇÕES!N1867&lt;TODAY()),NEGOCIAÇÕES!D1867,"")</f>
        <v>0</v>
      </c>
      <c r="E1867" s="9">
        <f ca="1">IF(AND(NEGOCIAÇÕES!O1867="",NEGOCIAÇÕES!N1867&lt;TODAY()),NEGOCIAÇÕES!N1867,"")</f>
        <v>0</v>
      </c>
    </row>
    <row r="1868" spans="2:5" ht="31.95" hidden="1" customHeight="1" x14ac:dyDescent="0.3">
      <c r="B1868" s="6" t="str">
        <f ca="1">IF(AND(NEGOCIAÇÕES!O1868="",NEGOCIAÇÕES!N1868&lt;TODAY()),NEGOCIAÇÕES!C1868,"")</f>
        <v/>
      </c>
      <c r="C1868" s="6">
        <f ca="1">IF(AND(NEGOCIAÇÕES!O1868="",NEGOCIAÇÕES!N1868&lt;TODAY()),NEGOCIAÇÕES!E1868,"")</f>
        <v>0</v>
      </c>
      <c r="D1868" s="6">
        <f ca="1">IF(AND(NEGOCIAÇÕES!O1868="",NEGOCIAÇÕES!N1868&lt;TODAY()),NEGOCIAÇÕES!D1868,"")</f>
        <v>0</v>
      </c>
      <c r="E1868" s="9">
        <f ca="1">IF(AND(NEGOCIAÇÕES!O1868="",NEGOCIAÇÕES!N1868&lt;TODAY()),NEGOCIAÇÕES!N1868,"")</f>
        <v>0</v>
      </c>
    </row>
    <row r="1869" spans="2:5" ht="31.95" hidden="1" customHeight="1" x14ac:dyDescent="0.3">
      <c r="B1869" s="6" t="str">
        <f ca="1">IF(AND(NEGOCIAÇÕES!O1869="",NEGOCIAÇÕES!N1869&lt;TODAY()),NEGOCIAÇÕES!C1869,"")</f>
        <v/>
      </c>
      <c r="C1869" s="6">
        <f ca="1">IF(AND(NEGOCIAÇÕES!O1869="",NEGOCIAÇÕES!N1869&lt;TODAY()),NEGOCIAÇÕES!E1869,"")</f>
        <v>0</v>
      </c>
      <c r="D1869" s="6">
        <f ca="1">IF(AND(NEGOCIAÇÕES!O1869="",NEGOCIAÇÕES!N1869&lt;TODAY()),NEGOCIAÇÕES!D1869,"")</f>
        <v>0</v>
      </c>
      <c r="E1869" s="9">
        <f ca="1">IF(AND(NEGOCIAÇÕES!O1869="",NEGOCIAÇÕES!N1869&lt;TODAY()),NEGOCIAÇÕES!N1869,"")</f>
        <v>0</v>
      </c>
    </row>
    <row r="1870" spans="2:5" ht="31.95" hidden="1" customHeight="1" x14ac:dyDescent="0.3">
      <c r="B1870" s="6" t="str">
        <f ca="1">IF(AND(NEGOCIAÇÕES!O1870="",NEGOCIAÇÕES!N1870&lt;TODAY()),NEGOCIAÇÕES!C1870,"")</f>
        <v/>
      </c>
      <c r="C1870" s="6">
        <f ca="1">IF(AND(NEGOCIAÇÕES!O1870="",NEGOCIAÇÕES!N1870&lt;TODAY()),NEGOCIAÇÕES!E1870,"")</f>
        <v>0</v>
      </c>
      <c r="D1870" s="6">
        <f ca="1">IF(AND(NEGOCIAÇÕES!O1870="",NEGOCIAÇÕES!N1870&lt;TODAY()),NEGOCIAÇÕES!D1870,"")</f>
        <v>0</v>
      </c>
      <c r="E1870" s="9">
        <f ca="1">IF(AND(NEGOCIAÇÕES!O1870="",NEGOCIAÇÕES!N1870&lt;TODAY()),NEGOCIAÇÕES!N1870,"")</f>
        <v>0</v>
      </c>
    </row>
    <row r="1871" spans="2:5" ht="31.95" hidden="1" customHeight="1" x14ac:dyDescent="0.3">
      <c r="B1871" s="6" t="str">
        <f ca="1">IF(AND(NEGOCIAÇÕES!O1871="",NEGOCIAÇÕES!N1871&lt;TODAY()),NEGOCIAÇÕES!C1871,"")</f>
        <v/>
      </c>
      <c r="C1871" s="6">
        <f ca="1">IF(AND(NEGOCIAÇÕES!O1871="",NEGOCIAÇÕES!N1871&lt;TODAY()),NEGOCIAÇÕES!E1871,"")</f>
        <v>0</v>
      </c>
      <c r="D1871" s="6">
        <f ca="1">IF(AND(NEGOCIAÇÕES!O1871="",NEGOCIAÇÕES!N1871&lt;TODAY()),NEGOCIAÇÕES!D1871,"")</f>
        <v>0</v>
      </c>
      <c r="E1871" s="9">
        <f ca="1">IF(AND(NEGOCIAÇÕES!O1871="",NEGOCIAÇÕES!N1871&lt;TODAY()),NEGOCIAÇÕES!N1871,"")</f>
        <v>0</v>
      </c>
    </row>
    <row r="1872" spans="2:5" ht="31.95" hidden="1" customHeight="1" x14ac:dyDescent="0.3">
      <c r="B1872" s="6" t="str">
        <f ca="1">IF(AND(NEGOCIAÇÕES!O1872="",NEGOCIAÇÕES!N1872&lt;TODAY()),NEGOCIAÇÕES!C1872,"")</f>
        <v/>
      </c>
      <c r="C1872" s="6">
        <f ca="1">IF(AND(NEGOCIAÇÕES!O1872="",NEGOCIAÇÕES!N1872&lt;TODAY()),NEGOCIAÇÕES!E1872,"")</f>
        <v>0</v>
      </c>
      <c r="D1872" s="6">
        <f ca="1">IF(AND(NEGOCIAÇÕES!O1872="",NEGOCIAÇÕES!N1872&lt;TODAY()),NEGOCIAÇÕES!D1872,"")</f>
        <v>0</v>
      </c>
      <c r="E1872" s="9">
        <f ca="1">IF(AND(NEGOCIAÇÕES!O1872="",NEGOCIAÇÕES!N1872&lt;TODAY()),NEGOCIAÇÕES!N1872,"")</f>
        <v>0</v>
      </c>
    </row>
    <row r="1873" spans="2:5" ht="31.95" hidden="1" customHeight="1" x14ac:dyDescent="0.3">
      <c r="B1873" s="6" t="str">
        <f ca="1">IF(AND(NEGOCIAÇÕES!O1873="",NEGOCIAÇÕES!N1873&lt;TODAY()),NEGOCIAÇÕES!C1873,"")</f>
        <v/>
      </c>
      <c r="C1873" s="6">
        <f ca="1">IF(AND(NEGOCIAÇÕES!O1873="",NEGOCIAÇÕES!N1873&lt;TODAY()),NEGOCIAÇÕES!E1873,"")</f>
        <v>0</v>
      </c>
      <c r="D1873" s="6">
        <f ca="1">IF(AND(NEGOCIAÇÕES!O1873="",NEGOCIAÇÕES!N1873&lt;TODAY()),NEGOCIAÇÕES!D1873,"")</f>
        <v>0</v>
      </c>
      <c r="E1873" s="9">
        <f ca="1">IF(AND(NEGOCIAÇÕES!O1873="",NEGOCIAÇÕES!N1873&lt;TODAY()),NEGOCIAÇÕES!N1873,"")</f>
        <v>0</v>
      </c>
    </row>
    <row r="1874" spans="2:5" ht="31.95" hidden="1" customHeight="1" x14ac:dyDescent="0.3">
      <c r="B1874" s="6" t="str">
        <f ca="1">IF(AND(NEGOCIAÇÕES!O1874="",NEGOCIAÇÕES!N1874&lt;TODAY()),NEGOCIAÇÕES!C1874,"")</f>
        <v/>
      </c>
      <c r="C1874" s="6">
        <f ca="1">IF(AND(NEGOCIAÇÕES!O1874="",NEGOCIAÇÕES!N1874&lt;TODAY()),NEGOCIAÇÕES!E1874,"")</f>
        <v>0</v>
      </c>
      <c r="D1874" s="6">
        <f ca="1">IF(AND(NEGOCIAÇÕES!O1874="",NEGOCIAÇÕES!N1874&lt;TODAY()),NEGOCIAÇÕES!D1874,"")</f>
        <v>0</v>
      </c>
      <c r="E1874" s="9">
        <f ca="1">IF(AND(NEGOCIAÇÕES!O1874="",NEGOCIAÇÕES!N1874&lt;TODAY()),NEGOCIAÇÕES!N1874,"")</f>
        <v>0</v>
      </c>
    </row>
    <row r="1875" spans="2:5" ht="31.95" hidden="1" customHeight="1" x14ac:dyDescent="0.3">
      <c r="B1875" s="6" t="str">
        <f ca="1">IF(AND(NEGOCIAÇÕES!O1875="",NEGOCIAÇÕES!N1875&lt;TODAY()),NEGOCIAÇÕES!C1875,"")</f>
        <v/>
      </c>
      <c r="C1875" s="6">
        <f ca="1">IF(AND(NEGOCIAÇÕES!O1875="",NEGOCIAÇÕES!N1875&lt;TODAY()),NEGOCIAÇÕES!E1875,"")</f>
        <v>0</v>
      </c>
      <c r="D1875" s="6">
        <f ca="1">IF(AND(NEGOCIAÇÕES!O1875="",NEGOCIAÇÕES!N1875&lt;TODAY()),NEGOCIAÇÕES!D1875,"")</f>
        <v>0</v>
      </c>
      <c r="E1875" s="9">
        <f ca="1">IF(AND(NEGOCIAÇÕES!O1875="",NEGOCIAÇÕES!N1875&lt;TODAY()),NEGOCIAÇÕES!N1875,"")</f>
        <v>0</v>
      </c>
    </row>
    <row r="1876" spans="2:5" ht="31.95" hidden="1" customHeight="1" x14ac:dyDescent="0.3">
      <c r="B1876" s="6" t="str">
        <f ca="1">IF(AND(NEGOCIAÇÕES!O1876="",NEGOCIAÇÕES!N1876&lt;TODAY()),NEGOCIAÇÕES!C1876,"")</f>
        <v/>
      </c>
      <c r="C1876" s="6">
        <f ca="1">IF(AND(NEGOCIAÇÕES!O1876="",NEGOCIAÇÕES!N1876&lt;TODAY()),NEGOCIAÇÕES!E1876,"")</f>
        <v>0</v>
      </c>
      <c r="D1876" s="6">
        <f ca="1">IF(AND(NEGOCIAÇÕES!O1876="",NEGOCIAÇÕES!N1876&lt;TODAY()),NEGOCIAÇÕES!D1876,"")</f>
        <v>0</v>
      </c>
      <c r="E1876" s="9">
        <f ca="1">IF(AND(NEGOCIAÇÕES!O1876="",NEGOCIAÇÕES!N1876&lt;TODAY()),NEGOCIAÇÕES!N1876,"")</f>
        <v>0</v>
      </c>
    </row>
    <row r="1877" spans="2:5" ht="31.95" hidden="1" customHeight="1" x14ac:dyDescent="0.3">
      <c r="B1877" s="6" t="str">
        <f ca="1">IF(AND(NEGOCIAÇÕES!O1877="",NEGOCIAÇÕES!N1877&lt;TODAY()),NEGOCIAÇÕES!C1877,"")</f>
        <v/>
      </c>
      <c r="C1877" s="6">
        <f ca="1">IF(AND(NEGOCIAÇÕES!O1877="",NEGOCIAÇÕES!N1877&lt;TODAY()),NEGOCIAÇÕES!E1877,"")</f>
        <v>0</v>
      </c>
      <c r="D1877" s="6">
        <f ca="1">IF(AND(NEGOCIAÇÕES!O1877="",NEGOCIAÇÕES!N1877&lt;TODAY()),NEGOCIAÇÕES!D1877,"")</f>
        <v>0</v>
      </c>
      <c r="E1877" s="9">
        <f ca="1">IF(AND(NEGOCIAÇÕES!O1877="",NEGOCIAÇÕES!N1877&lt;TODAY()),NEGOCIAÇÕES!N1877,"")</f>
        <v>0</v>
      </c>
    </row>
    <row r="1878" spans="2:5" ht="31.95" hidden="1" customHeight="1" x14ac:dyDescent="0.3">
      <c r="B1878" s="6" t="str">
        <f ca="1">IF(AND(NEGOCIAÇÕES!O1878="",NEGOCIAÇÕES!N1878&lt;TODAY()),NEGOCIAÇÕES!C1878,"")</f>
        <v/>
      </c>
      <c r="C1878" s="6">
        <f ca="1">IF(AND(NEGOCIAÇÕES!O1878="",NEGOCIAÇÕES!N1878&lt;TODAY()),NEGOCIAÇÕES!E1878,"")</f>
        <v>0</v>
      </c>
      <c r="D1878" s="6">
        <f ca="1">IF(AND(NEGOCIAÇÕES!O1878="",NEGOCIAÇÕES!N1878&lt;TODAY()),NEGOCIAÇÕES!D1878,"")</f>
        <v>0</v>
      </c>
      <c r="E1878" s="9">
        <f ca="1">IF(AND(NEGOCIAÇÕES!O1878="",NEGOCIAÇÕES!N1878&lt;TODAY()),NEGOCIAÇÕES!N1878,"")</f>
        <v>0</v>
      </c>
    </row>
    <row r="1879" spans="2:5" ht="31.95" hidden="1" customHeight="1" x14ac:dyDescent="0.3">
      <c r="B1879" s="6" t="str">
        <f ca="1">IF(AND(NEGOCIAÇÕES!O1879="",NEGOCIAÇÕES!N1879&lt;TODAY()),NEGOCIAÇÕES!C1879,"")</f>
        <v/>
      </c>
      <c r="C1879" s="6">
        <f ca="1">IF(AND(NEGOCIAÇÕES!O1879="",NEGOCIAÇÕES!N1879&lt;TODAY()),NEGOCIAÇÕES!E1879,"")</f>
        <v>0</v>
      </c>
      <c r="D1879" s="6">
        <f ca="1">IF(AND(NEGOCIAÇÕES!O1879="",NEGOCIAÇÕES!N1879&lt;TODAY()),NEGOCIAÇÕES!D1879,"")</f>
        <v>0</v>
      </c>
      <c r="E1879" s="9">
        <f ca="1">IF(AND(NEGOCIAÇÕES!O1879="",NEGOCIAÇÕES!N1879&lt;TODAY()),NEGOCIAÇÕES!N1879,"")</f>
        <v>0</v>
      </c>
    </row>
    <row r="1880" spans="2:5" ht="31.95" hidden="1" customHeight="1" x14ac:dyDescent="0.3">
      <c r="B1880" s="6" t="str">
        <f ca="1">IF(AND(NEGOCIAÇÕES!O1880="",NEGOCIAÇÕES!N1880&lt;TODAY()),NEGOCIAÇÕES!C1880,"")</f>
        <v/>
      </c>
      <c r="C1880" s="6">
        <f ca="1">IF(AND(NEGOCIAÇÕES!O1880="",NEGOCIAÇÕES!N1880&lt;TODAY()),NEGOCIAÇÕES!E1880,"")</f>
        <v>0</v>
      </c>
      <c r="D1880" s="6">
        <f ca="1">IF(AND(NEGOCIAÇÕES!O1880="",NEGOCIAÇÕES!N1880&lt;TODAY()),NEGOCIAÇÕES!D1880,"")</f>
        <v>0</v>
      </c>
      <c r="E1880" s="9">
        <f ca="1">IF(AND(NEGOCIAÇÕES!O1880="",NEGOCIAÇÕES!N1880&lt;TODAY()),NEGOCIAÇÕES!N1880,"")</f>
        <v>0</v>
      </c>
    </row>
    <row r="1881" spans="2:5" ht="31.95" hidden="1" customHeight="1" x14ac:dyDescent="0.3">
      <c r="B1881" s="6" t="str">
        <f ca="1">IF(AND(NEGOCIAÇÕES!O1881="",NEGOCIAÇÕES!N1881&lt;TODAY()),NEGOCIAÇÕES!C1881,"")</f>
        <v/>
      </c>
      <c r="C1881" s="6">
        <f ca="1">IF(AND(NEGOCIAÇÕES!O1881="",NEGOCIAÇÕES!N1881&lt;TODAY()),NEGOCIAÇÕES!E1881,"")</f>
        <v>0</v>
      </c>
      <c r="D1881" s="6">
        <f ca="1">IF(AND(NEGOCIAÇÕES!O1881="",NEGOCIAÇÕES!N1881&lt;TODAY()),NEGOCIAÇÕES!D1881,"")</f>
        <v>0</v>
      </c>
      <c r="E1881" s="9">
        <f ca="1">IF(AND(NEGOCIAÇÕES!O1881="",NEGOCIAÇÕES!N1881&lt;TODAY()),NEGOCIAÇÕES!N1881,"")</f>
        <v>0</v>
      </c>
    </row>
    <row r="1882" spans="2:5" ht="31.95" hidden="1" customHeight="1" x14ac:dyDescent="0.3">
      <c r="B1882" s="6" t="str">
        <f ca="1">IF(AND(NEGOCIAÇÕES!O1882="",NEGOCIAÇÕES!N1882&lt;TODAY()),NEGOCIAÇÕES!C1882,"")</f>
        <v/>
      </c>
      <c r="C1882" s="6">
        <f ca="1">IF(AND(NEGOCIAÇÕES!O1882="",NEGOCIAÇÕES!N1882&lt;TODAY()),NEGOCIAÇÕES!E1882,"")</f>
        <v>0</v>
      </c>
      <c r="D1882" s="6">
        <f ca="1">IF(AND(NEGOCIAÇÕES!O1882="",NEGOCIAÇÕES!N1882&lt;TODAY()),NEGOCIAÇÕES!D1882,"")</f>
        <v>0</v>
      </c>
      <c r="E1882" s="9">
        <f ca="1">IF(AND(NEGOCIAÇÕES!O1882="",NEGOCIAÇÕES!N1882&lt;TODAY()),NEGOCIAÇÕES!N1882,"")</f>
        <v>0</v>
      </c>
    </row>
    <row r="1883" spans="2:5" ht="31.95" hidden="1" customHeight="1" x14ac:dyDescent="0.3">
      <c r="B1883" s="6" t="str">
        <f ca="1">IF(AND(NEGOCIAÇÕES!O1883="",NEGOCIAÇÕES!N1883&lt;TODAY()),NEGOCIAÇÕES!C1883,"")</f>
        <v/>
      </c>
      <c r="C1883" s="6">
        <f ca="1">IF(AND(NEGOCIAÇÕES!O1883="",NEGOCIAÇÕES!N1883&lt;TODAY()),NEGOCIAÇÕES!E1883,"")</f>
        <v>0</v>
      </c>
      <c r="D1883" s="6">
        <f ca="1">IF(AND(NEGOCIAÇÕES!O1883="",NEGOCIAÇÕES!N1883&lt;TODAY()),NEGOCIAÇÕES!D1883,"")</f>
        <v>0</v>
      </c>
      <c r="E1883" s="9">
        <f ca="1">IF(AND(NEGOCIAÇÕES!O1883="",NEGOCIAÇÕES!N1883&lt;TODAY()),NEGOCIAÇÕES!N1883,"")</f>
        <v>0</v>
      </c>
    </row>
    <row r="1884" spans="2:5" ht="31.95" hidden="1" customHeight="1" x14ac:dyDescent="0.3">
      <c r="B1884" s="6" t="str">
        <f ca="1">IF(AND(NEGOCIAÇÕES!O1884="",NEGOCIAÇÕES!N1884&lt;TODAY()),NEGOCIAÇÕES!C1884,"")</f>
        <v/>
      </c>
      <c r="C1884" s="6">
        <f ca="1">IF(AND(NEGOCIAÇÕES!O1884="",NEGOCIAÇÕES!N1884&lt;TODAY()),NEGOCIAÇÕES!E1884,"")</f>
        <v>0</v>
      </c>
      <c r="D1884" s="6">
        <f ca="1">IF(AND(NEGOCIAÇÕES!O1884="",NEGOCIAÇÕES!N1884&lt;TODAY()),NEGOCIAÇÕES!D1884,"")</f>
        <v>0</v>
      </c>
      <c r="E1884" s="9">
        <f ca="1">IF(AND(NEGOCIAÇÕES!O1884="",NEGOCIAÇÕES!N1884&lt;TODAY()),NEGOCIAÇÕES!N1884,"")</f>
        <v>0</v>
      </c>
    </row>
    <row r="1885" spans="2:5" ht="31.95" hidden="1" customHeight="1" x14ac:dyDescent="0.3">
      <c r="B1885" s="6" t="str">
        <f ca="1">IF(AND(NEGOCIAÇÕES!O1885="",NEGOCIAÇÕES!N1885&lt;TODAY()),NEGOCIAÇÕES!C1885,"")</f>
        <v/>
      </c>
      <c r="C1885" s="6">
        <f ca="1">IF(AND(NEGOCIAÇÕES!O1885="",NEGOCIAÇÕES!N1885&lt;TODAY()),NEGOCIAÇÕES!E1885,"")</f>
        <v>0</v>
      </c>
      <c r="D1885" s="6">
        <f ca="1">IF(AND(NEGOCIAÇÕES!O1885="",NEGOCIAÇÕES!N1885&lt;TODAY()),NEGOCIAÇÕES!D1885,"")</f>
        <v>0</v>
      </c>
      <c r="E1885" s="9">
        <f ca="1">IF(AND(NEGOCIAÇÕES!O1885="",NEGOCIAÇÕES!N1885&lt;TODAY()),NEGOCIAÇÕES!N1885,"")</f>
        <v>0</v>
      </c>
    </row>
    <row r="1886" spans="2:5" ht="31.95" hidden="1" customHeight="1" x14ac:dyDescent="0.3">
      <c r="B1886" s="6" t="str">
        <f ca="1">IF(AND(NEGOCIAÇÕES!O1886="",NEGOCIAÇÕES!N1886&lt;TODAY()),NEGOCIAÇÕES!C1886,"")</f>
        <v/>
      </c>
      <c r="C1886" s="6">
        <f ca="1">IF(AND(NEGOCIAÇÕES!O1886="",NEGOCIAÇÕES!N1886&lt;TODAY()),NEGOCIAÇÕES!E1886,"")</f>
        <v>0</v>
      </c>
      <c r="D1886" s="6">
        <f ca="1">IF(AND(NEGOCIAÇÕES!O1886="",NEGOCIAÇÕES!N1886&lt;TODAY()),NEGOCIAÇÕES!D1886,"")</f>
        <v>0</v>
      </c>
      <c r="E1886" s="9">
        <f ca="1">IF(AND(NEGOCIAÇÕES!O1886="",NEGOCIAÇÕES!N1886&lt;TODAY()),NEGOCIAÇÕES!N1886,"")</f>
        <v>0</v>
      </c>
    </row>
    <row r="1887" spans="2:5" ht="31.95" hidden="1" customHeight="1" x14ac:dyDescent="0.3">
      <c r="B1887" s="6" t="str">
        <f ca="1">IF(AND(NEGOCIAÇÕES!O1887="",NEGOCIAÇÕES!N1887&lt;TODAY()),NEGOCIAÇÕES!C1887,"")</f>
        <v/>
      </c>
      <c r="C1887" s="6">
        <f ca="1">IF(AND(NEGOCIAÇÕES!O1887="",NEGOCIAÇÕES!N1887&lt;TODAY()),NEGOCIAÇÕES!E1887,"")</f>
        <v>0</v>
      </c>
      <c r="D1887" s="6">
        <f ca="1">IF(AND(NEGOCIAÇÕES!O1887="",NEGOCIAÇÕES!N1887&lt;TODAY()),NEGOCIAÇÕES!D1887,"")</f>
        <v>0</v>
      </c>
      <c r="E1887" s="9">
        <f ca="1">IF(AND(NEGOCIAÇÕES!O1887="",NEGOCIAÇÕES!N1887&lt;TODAY()),NEGOCIAÇÕES!N1887,"")</f>
        <v>0</v>
      </c>
    </row>
    <row r="1888" spans="2:5" ht="31.95" hidden="1" customHeight="1" x14ac:dyDescent="0.3">
      <c r="B1888" s="6" t="str">
        <f ca="1">IF(AND(NEGOCIAÇÕES!O1888="",NEGOCIAÇÕES!N1888&lt;TODAY()),NEGOCIAÇÕES!C1888,"")</f>
        <v/>
      </c>
      <c r="C1888" s="6">
        <f ca="1">IF(AND(NEGOCIAÇÕES!O1888="",NEGOCIAÇÕES!N1888&lt;TODAY()),NEGOCIAÇÕES!E1888,"")</f>
        <v>0</v>
      </c>
      <c r="D1888" s="6">
        <f ca="1">IF(AND(NEGOCIAÇÕES!O1888="",NEGOCIAÇÕES!N1888&lt;TODAY()),NEGOCIAÇÕES!D1888,"")</f>
        <v>0</v>
      </c>
      <c r="E1888" s="9">
        <f ca="1">IF(AND(NEGOCIAÇÕES!O1888="",NEGOCIAÇÕES!N1888&lt;TODAY()),NEGOCIAÇÕES!N1888,"")</f>
        <v>0</v>
      </c>
    </row>
    <row r="1889" spans="2:5" ht="31.95" hidden="1" customHeight="1" x14ac:dyDescent="0.3">
      <c r="B1889" s="6" t="str">
        <f ca="1">IF(AND(NEGOCIAÇÕES!O1889="",NEGOCIAÇÕES!N1889&lt;TODAY()),NEGOCIAÇÕES!C1889,"")</f>
        <v/>
      </c>
      <c r="C1889" s="6">
        <f ca="1">IF(AND(NEGOCIAÇÕES!O1889="",NEGOCIAÇÕES!N1889&lt;TODAY()),NEGOCIAÇÕES!E1889,"")</f>
        <v>0</v>
      </c>
      <c r="D1889" s="6">
        <f ca="1">IF(AND(NEGOCIAÇÕES!O1889="",NEGOCIAÇÕES!N1889&lt;TODAY()),NEGOCIAÇÕES!D1889,"")</f>
        <v>0</v>
      </c>
      <c r="E1889" s="9">
        <f ca="1">IF(AND(NEGOCIAÇÕES!O1889="",NEGOCIAÇÕES!N1889&lt;TODAY()),NEGOCIAÇÕES!N1889,"")</f>
        <v>0</v>
      </c>
    </row>
    <row r="1890" spans="2:5" ht="31.95" hidden="1" customHeight="1" x14ac:dyDescent="0.3">
      <c r="B1890" s="6" t="str">
        <f ca="1">IF(AND(NEGOCIAÇÕES!O1890="",NEGOCIAÇÕES!N1890&lt;TODAY()),NEGOCIAÇÕES!C1890,"")</f>
        <v/>
      </c>
      <c r="C1890" s="6">
        <f ca="1">IF(AND(NEGOCIAÇÕES!O1890="",NEGOCIAÇÕES!N1890&lt;TODAY()),NEGOCIAÇÕES!E1890,"")</f>
        <v>0</v>
      </c>
      <c r="D1890" s="6">
        <f ca="1">IF(AND(NEGOCIAÇÕES!O1890="",NEGOCIAÇÕES!N1890&lt;TODAY()),NEGOCIAÇÕES!D1890,"")</f>
        <v>0</v>
      </c>
      <c r="E1890" s="9">
        <f ca="1">IF(AND(NEGOCIAÇÕES!O1890="",NEGOCIAÇÕES!N1890&lt;TODAY()),NEGOCIAÇÕES!N1890,"")</f>
        <v>0</v>
      </c>
    </row>
    <row r="1891" spans="2:5" ht="31.95" hidden="1" customHeight="1" x14ac:dyDescent="0.3">
      <c r="B1891" s="6" t="str">
        <f ca="1">IF(AND(NEGOCIAÇÕES!O1891="",NEGOCIAÇÕES!N1891&lt;TODAY()),NEGOCIAÇÕES!C1891,"")</f>
        <v/>
      </c>
      <c r="C1891" s="6">
        <f ca="1">IF(AND(NEGOCIAÇÕES!O1891="",NEGOCIAÇÕES!N1891&lt;TODAY()),NEGOCIAÇÕES!E1891,"")</f>
        <v>0</v>
      </c>
      <c r="D1891" s="6">
        <f ca="1">IF(AND(NEGOCIAÇÕES!O1891="",NEGOCIAÇÕES!N1891&lt;TODAY()),NEGOCIAÇÕES!D1891,"")</f>
        <v>0</v>
      </c>
      <c r="E1891" s="9">
        <f ca="1">IF(AND(NEGOCIAÇÕES!O1891="",NEGOCIAÇÕES!N1891&lt;TODAY()),NEGOCIAÇÕES!N1891,"")</f>
        <v>0</v>
      </c>
    </row>
    <row r="1892" spans="2:5" ht="31.95" hidden="1" customHeight="1" x14ac:dyDescent="0.3">
      <c r="B1892" s="6" t="str">
        <f ca="1">IF(AND(NEGOCIAÇÕES!O1892="",NEGOCIAÇÕES!N1892&lt;TODAY()),NEGOCIAÇÕES!C1892,"")</f>
        <v/>
      </c>
      <c r="C1892" s="6">
        <f ca="1">IF(AND(NEGOCIAÇÕES!O1892="",NEGOCIAÇÕES!N1892&lt;TODAY()),NEGOCIAÇÕES!E1892,"")</f>
        <v>0</v>
      </c>
      <c r="D1892" s="6">
        <f ca="1">IF(AND(NEGOCIAÇÕES!O1892="",NEGOCIAÇÕES!N1892&lt;TODAY()),NEGOCIAÇÕES!D1892,"")</f>
        <v>0</v>
      </c>
      <c r="E1892" s="9">
        <f ca="1">IF(AND(NEGOCIAÇÕES!O1892="",NEGOCIAÇÕES!N1892&lt;TODAY()),NEGOCIAÇÕES!N1892,"")</f>
        <v>0</v>
      </c>
    </row>
    <row r="1893" spans="2:5" ht="31.95" hidden="1" customHeight="1" x14ac:dyDescent="0.3">
      <c r="B1893" s="6" t="str">
        <f ca="1">IF(AND(NEGOCIAÇÕES!O1893="",NEGOCIAÇÕES!N1893&lt;TODAY()),NEGOCIAÇÕES!C1893,"")</f>
        <v/>
      </c>
      <c r="C1893" s="6">
        <f ca="1">IF(AND(NEGOCIAÇÕES!O1893="",NEGOCIAÇÕES!N1893&lt;TODAY()),NEGOCIAÇÕES!E1893,"")</f>
        <v>0</v>
      </c>
      <c r="D1893" s="6">
        <f ca="1">IF(AND(NEGOCIAÇÕES!O1893="",NEGOCIAÇÕES!N1893&lt;TODAY()),NEGOCIAÇÕES!D1893,"")</f>
        <v>0</v>
      </c>
      <c r="E1893" s="9">
        <f ca="1">IF(AND(NEGOCIAÇÕES!O1893="",NEGOCIAÇÕES!N1893&lt;TODAY()),NEGOCIAÇÕES!N1893,"")</f>
        <v>0</v>
      </c>
    </row>
    <row r="1894" spans="2:5" ht="31.95" hidden="1" customHeight="1" x14ac:dyDescent="0.3">
      <c r="B1894" s="6" t="str">
        <f ca="1">IF(AND(NEGOCIAÇÕES!O1894="",NEGOCIAÇÕES!N1894&lt;TODAY()),NEGOCIAÇÕES!C1894,"")</f>
        <v/>
      </c>
      <c r="C1894" s="6">
        <f ca="1">IF(AND(NEGOCIAÇÕES!O1894="",NEGOCIAÇÕES!N1894&lt;TODAY()),NEGOCIAÇÕES!E1894,"")</f>
        <v>0</v>
      </c>
      <c r="D1894" s="6">
        <f ca="1">IF(AND(NEGOCIAÇÕES!O1894="",NEGOCIAÇÕES!N1894&lt;TODAY()),NEGOCIAÇÕES!D1894,"")</f>
        <v>0</v>
      </c>
      <c r="E1894" s="9">
        <f ca="1">IF(AND(NEGOCIAÇÕES!O1894="",NEGOCIAÇÕES!N1894&lt;TODAY()),NEGOCIAÇÕES!N1894,"")</f>
        <v>0</v>
      </c>
    </row>
    <row r="1895" spans="2:5" ht="31.95" hidden="1" customHeight="1" x14ac:dyDescent="0.3">
      <c r="B1895" s="6" t="str">
        <f ca="1">IF(AND(NEGOCIAÇÕES!O1895="",NEGOCIAÇÕES!N1895&lt;TODAY()),NEGOCIAÇÕES!C1895,"")</f>
        <v/>
      </c>
      <c r="C1895" s="6">
        <f ca="1">IF(AND(NEGOCIAÇÕES!O1895="",NEGOCIAÇÕES!N1895&lt;TODAY()),NEGOCIAÇÕES!E1895,"")</f>
        <v>0</v>
      </c>
      <c r="D1895" s="6">
        <f ca="1">IF(AND(NEGOCIAÇÕES!O1895="",NEGOCIAÇÕES!N1895&lt;TODAY()),NEGOCIAÇÕES!D1895,"")</f>
        <v>0</v>
      </c>
      <c r="E1895" s="9">
        <f ca="1">IF(AND(NEGOCIAÇÕES!O1895="",NEGOCIAÇÕES!N1895&lt;TODAY()),NEGOCIAÇÕES!N1895,"")</f>
        <v>0</v>
      </c>
    </row>
    <row r="1896" spans="2:5" ht="31.95" hidden="1" customHeight="1" x14ac:dyDescent="0.3">
      <c r="B1896" s="6" t="str">
        <f ca="1">IF(AND(NEGOCIAÇÕES!O1896="",NEGOCIAÇÕES!N1896&lt;TODAY()),NEGOCIAÇÕES!C1896,"")</f>
        <v/>
      </c>
      <c r="C1896" s="6">
        <f ca="1">IF(AND(NEGOCIAÇÕES!O1896="",NEGOCIAÇÕES!N1896&lt;TODAY()),NEGOCIAÇÕES!E1896,"")</f>
        <v>0</v>
      </c>
      <c r="D1896" s="6">
        <f ca="1">IF(AND(NEGOCIAÇÕES!O1896="",NEGOCIAÇÕES!N1896&lt;TODAY()),NEGOCIAÇÕES!D1896,"")</f>
        <v>0</v>
      </c>
      <c r="E1896" s="9">
        <f ca="1">IF(AND(NEGOCIAÇÕES!O1896="",NEGOCIAÇÕES!N1896&lt;TODAY()),NEGOCIAÇÕES!N1896,"")</f>
        <v>0</v>
      </c>
    </row>
    <row r="1897" spans="2:5" ht="31.95" hidden="1" customHeight="1" x14ac:dyDescent="0.3">
      <c r="B1897" s="6" t="str">
        <f ca="1">IF(AND(NEGOCIAÇÕES!O1897="",NEGOCIAÇÕES!N1897&lt;TODAY()),NEGOCIAÇÕES!C1897,"")</f>
        <v/>
      </c>
      <c r="C1897" s="6">
        <f ca="1">IF(AND(NEGOCIAÇÕES!O1897="",NEGOCIAÇÕES!N1897&lt;TODAY()),NEGOCIAÇÕES!E1897,"")</f>
        <v>0</v>
      </c>
      <c r="D1897" s="6">
        <f ca="1">IF(AND(NEGOCIAÇÕES!O1897="",NEGOCIAÇÕES!N1897&lt;TODAY()),NEGOCIAÇÕES!D1897,"")</f>
        <v>0</v>
      </c>
      <c r="E1897" s="9">
        <f ca="1">IF(AND(NEGOCIAÇÕES!O1897="",NEGOCIAÇÕES!N1897&lt;TODAY()),NEGOCIAÇÕES!N1897,"")</f>
        <v>0</v>
      </c>
    </row>
    <row r="1898" spans="2:5" ht="31.95" hidden="1" customHeight="1" x14ac:dyDescent="0.3">
      <c r="B1898" s="6" t="str">
        <f ca="1">IF(AND(NEGOCIAÇÕES!O1898="",NEGOCIAÇÕES!N1898&lt;TODAY()),NEGOCIAÇÕES!C1898,"")</f>
        <v/>
      </c>
      <c r="C1898" s="6">
        <f ca="1">IF(AND(NEGOCIAÇÕES!O1898="",NEGOCIAÇÕES!N1898&lt;TODAY()),NEGOCIAÇÕES!E1898,"")</f>
        <v>0</v>
      </c>
      <c r="D1898" s="6">
        <f ca="1">IF(AND(NEGOCIAÇÕES!O1898="",NEGOCIAÇÕES!N1898&lt;TODAY()),NEGOCIAÇÕES!D1898,"")</f>
        <v>0</v>
      </c>
      <c r="E1898" s="9">
        <f ca="1">IF(AND(NEGOCIAÇÕES!O1898="",NEGOCIAÇÕES!N1898&lt;TODAY()),NEGOCIAÇÕES!N1898,"")</f>
        <v>0</v>
      </c>
    </row>
    <row r="1899" spans="2:5" ht="31.95" hidden="1" customHeight="1" x14ac:dyDescent="0.3">
      <c r="B1899" s="6" t="str">
        <f ca="1">IF(AND(NEGOCIAÇÕES!O1899="",NEGOCIAÇÕES!N1899&lt;TODAY()),NEGOCIAÇÕES!C1899,"")</f>
        <v/>
      </c>
      <c r="C1899" s="6">
        <f ca="1">IF(AND(NEGOCIAÇÕES!O1899="",NEGOCIAÇÕES!N1899&lt;TODAY()),NEGOCIAÇÕES!E1899,"")</f>
        <v>0</v>
      </c>
      <c r="D1899" s="6">
        <f ca="1">IF(AND(NEGOCIAÇÕES!O1899="",NEGOCIAÇÕES!N1899&lt;TODAY()),NEGOCIAÇÕES!D1899,"")</f>
        <v>0</v>
      </c>
      <c r="E1899" s="9">
        <f ca="1">IF(AND(NEGOCIAÇÕES!O1899="",NEGOCIAÇÕES!N1899&lt;TODAY()),NEGOCIAÇÕES!N1899,"")</f>
        <v>0</v>
      </c>
    </row>
    <row r="1900" spans="2:5" ht="31.95" hidden="1" customHeight="1" x14ac:dyDescent="0.3">
      <c r="B1900" s="6" t="str">
        <f ca="1">IF(AND(NEGOCIAÇÕES!O1900="",NEGOCIAÇÕES!N1900&lt;TODAY()),NEGOCIAÇÕES!C1900,"")</f>
        <v/>
      </c>
      <c r="C1900" s="6">
        <f ca="1">IF(AND(NEGOCIAÇÕES!O1900="",NEGOCIAÇÕES!N1900&lt;TODAY()),NEGOCIAÇÕES!E1900,"")</f>
        <v>0</v>
      </c>
      <c r="D1900" s="6">
        <f ca="1">IF(AND(NEGOCIAÇÕES!O1900="",NEGOCIAÇÕES!N1900&lt;TODAY()),NEGOCIAÇÕES!D1900,"")</f>
        <v>0</v>
      </c>
      <c r="E1900" s="9">
        <f ca="1">IF(AND(NEGOCIAÇÕES!O1900="",NEGOCIAÇÕES!N1900&lt;TODAY()),NEGOCIAÇÕES!N1900,"")</f>
        <v>0</v>
      </c>
    </row>
    <row r="1901" spans="2:5" ht="31.95" hidden="1" customHeight="1" x14ac:dyDescent="0.3">
      <c r="B1901" s="6" t="str">
        <f ca="1">IF(AND(NEGOCIAÇÕES!O1901="",NEGOCIAÇÕES!N1901&lt;TODAY()),NEGOCIAÇÕES!C1901,"")</f>
        <v/>
      </c>
      <c r="C1901" s="6">
        <f ca="1">IF(AND(NEGOCIAÇÕES!O1901="",NEGOCIAÇÕES!N1901&lt;TODAY()),NEGOCIAÇÕES!E1901,"")</f>
        <v>0</v>
      </c>
      <c r="D1901" s="6">
        <f ca="1">IF(AND(NEGOCIAÇÕES!O1901="",NEGOCIAÇÕES!N1901&lt;TODAY()),NEGOCIAÇÕES!D1901,"")</f>
        <v>0</v>
      </c>
      <c r="E1901" s="9">
        <f ca="1">IF(AND(NEGOCIAÇÕES!O1901="",NEGOCIAÇÕES!N1901&lt;TODAY()),NEGOCIAÇÕES!N1901,"")</f>
        <v>0</v>
      </c>
    </row>
    <row r="1902" spans="2:5" ht="31.95" hidden="1" customHeight="1" x14ac:dyDescent="0.3">
      <c r="B1902" s="6" t="str">
        <f ca="1">IF(AND(NEGOCIAÇÕES!O1902="",NEGOCIAÇÕES!N1902&lt;TODAY()),NEGOCIAÇÕES!C1902,"")</f>
        <v/>
      </c>
      <c r="C1902" s="6">
        <f ca="1">IF(AND(NEGOCIAÇÕES!O1902="",NEGOCIAÇÕES!N1902&lt;TODAY()),NEGOCIAÇÕES!E1902,"")</f>
        <v>0</v>
      </c>
      <c r="D1902" s="6">
        <f ca="1">IF(AND(NEGOCIAÇÕES!O1902="",NEGOCIAÇÕES!N1902&lt;TODAY()),NEGOCIAÇÕES!D1902,"")</f>
        <v>0</v>
      </c>
      <c r="E1902" s="9">
        <f ca="1">IF(AND(NEGOCIAÇÕES!O1902="",NEGOCIAÇÕES!N1902&lt;TODAY()),NEGOCIAÇÕES!N1902,"")</f>
        <v>0</v>
      </c>
    </row>
    <row r="1903" spans="2:5" ht="31.95" hidden="1" customHeight="1" x14ac:dyDescent="0.3">
      <c r="B1903" s="6" t="str">
        <f ca="1">IF(AND(NEGOCIAÇÕES!O1903="",NEGOCIAÇÕES!N1903&lt;TODAY()),NEGOCIAÇÕES!C1903,"")</f>
        <v/>
      </c>
      <c r="C1903" s="6">
        <f ca="1">IF(AND(NEGOCIAÇÕES!O1903="",NEGOCIAÇÕES!N1903&lt;TODAY()),NEGOCIAÇÕES!E1903,"")</f>
        <v>0</v>
      </c>
      <c r="D1903" s="6">
        <f ca="1">IF(AND(NEGOCIAÇÕES!O1903="",NEGOCIAÇÕES!N1903&lt;TODAY()),NEGOCIAÇÕES!D1903,"")</f>
        <v>0</v>
      </c>
      <c r="E1903" s="9">
        <f ca="1">IF(AND(NEGOCIAÇÕES!O1903="",NEGOCIAÇÕES!N1903&lt;TODAY()),NEGOCIAÇÕES!N1903,"")</f>
        <v>0</v>
      </c>
    </row>
    <row r="1904" spans="2:5" ht="31.95" hidden="1" customHeight="1" x14ac:dyDescent="0.3">
      <c r="B1904" s="6" t="str">
        <f ca="1">IF(AND(NEGOCIAÇÕES!O1904="",NEGOCIAÇÕES!N1904&lt;TODAY()),NEGOCIAÇÕES!C1904,"")</f>
        <v/>
      </c>
      <c r="C1904" s="6">
        <f ca="1">IF(AND(NEGOCIAÇÕES!O1904="",NEGOCIAÇÕES!N1904&lt;TODAY()),NEGOCIAÇÕES!E1904,"")</f>
        <v>0</v>
      </c>
      <c r="D1904" s="6">
        <f ca="1">IF(AND(NEGOCIAÇÕES!O1904="",NEGOCIAÇÕES!N1904&lt;TODAY()),NEGOCIAÇÕES!D1904,"")</f>
        <v>0</v>
      </c>
      <c r="E1904" s="9">
        <f ca="1">IF(AND(NEGOCIAÇÕES!O1904="",NEGOCIAÇÕES!N1904&lt;TODAY()),NEGOCIAÇÕES!N1904,"")</f>
        <v>0</v>
      </c>
    </row>
    <row r="1905" spans="2:5" ht="31.95" hidden="1" customHeight="1" x14ac:dyDescent="0.3">
      <c r="B1905" s="6" t="str">
        <f ca="1">IF(AND(NEGOCIAÇÕES!O1905="",NEGOCIAÇÕES!N1905&lt;TODAY()),NEGOCIAÇÕES!C1905,"")</f>
        <v/>
      </c>
      <c r="C1905" s="6">
        <f ca="1">IF(AND(NEGOCIAÇÕES!O1905="",NEGOCIAÇÕES!N1905&lt;TODAY()),NEGOCIAÇÕES!E1905,"")</f>
        <v>0</v>
      </c>
      <c r="D1905" s="6">
        <f ca="1">IF(AND(NEGOCIAÇÕES!O1905="",NEGOCIAÇÕES!N1905&lt;TODAY()),NEGOCIAÇÕES!D1905,"")</f>
        <v>0</v>
      </c>
      <c r="E1905" s="9">
        <f ca="1">IF(AND(NEGOCIAÇÕES!O1905="",NEGOCIAÇÕES!N1905&lt;TODAY()),NEGOCIAÇÕES!N1905,"")</f>
        <v>0</v>
      </c>
    </row>
    <row r="1906" spans="2:5" ht="31.95" hidden="1" customHeight="1" x14ac:dyDescent="0.3">
      <c r="B1906" s="6" t="str">
        <f ca="1">IF(AND(NEGOCIAÇÕES!O1906="",NEGOCIAÇÕES!N1906&lt;TODAY()),NEGOCIAÇÕES!C1906,"")</f>
        <v/>
      </c>
      <c r="C1906" s="6">
        <f ca="1">IF(AND(NEGOCIAÇÕES!O1906="",NEGOCIAÇÕES!N1906&lt;TODAY()),NEGOCIAÇÕES!E1906,"")</f>
        <v>0</v>
      </c>
      <c r="D1906" s="6">
        <f ca="1">IF(AND(NEGOCIAÇÕES!O1906="",NEGOCIAÇÕES!N1906&lt;TODAY()),NEGOCIAÇÕES!D1906,"")</f>
        <v>0</v>
      </c>
      <c r="E1906" s="9">
        <f ca="1">IF(AND(NEGOCIAÇÕES!O1906="",NEGOCIAÇÕES!N1906&lt;TODAY()),NEGOCIAÇÕES!N1906,"")</f>
        <v>0</v>
      </c>
    </row>
    <row r="1907" spans="2:5" ht="31.95" hidden="1" customHeight="1" x14ac:dyDescent="0.3">
      <c r="B1907" s="6" t="str">
        <f ca="1">IF(AND(NEGOCIAÇÕES!O1907="",NEGOCIAÇÕES!N1907&lt;TODAY()),NEGOCIAÇÕES!C1907,"")</f>
        <v/>
      </c>
      <c r="C1907" s="6">
        <f ca="1">IF(AND(NEGOCIAÇÕES!O1907="",NEGOCIAÇÕES!N1907&lt;TODAY()),NEGOCIAÇÕES!E1907,"")</f>
        <v>0</v>
      </c>
      <c r="D1907" s="6">
        <f ca="1">IF(AND(NEGOCIAÇÕES!O1907="",NEGOCIAÇÕES!N1907&lt;TODAY()),NEGOCIAÇÕES!D1907,"")</f>
        <v>0</v>
      </c>
      <c r="E1907" s="9">
        <f ca="1">IF(AND(NEGOCIAÇÕES!O1907="",NEGOCIAÇÕES!N1907&lt;TODAY()),NEGOCIAÇÕES!N1907,"")</f>
        <v>0</v>
      </c>
    </row>
    <row r="1908" spans="2:5" ht="31.95" hidden="1" customHeight="1" x14ac:dyDescent="0.3">
      <c r="B1908" s="6" t="str">
        <f ca="1">IF(AND(NEGOCIAÇÕES!O1908="",NEGOCIAÇÕES!N1908&lt;TODAY()),NEGOCIAÇÕES!C1908,"")</f>
        <v/>
      </c>
      <c r="C1908" s="6">
        <f ca="1">IF(AND(NEGOCIAÇÕES!O1908="",NEGOCIAÇÕES!N1908&lt;TODAY()),NEGOCIAÇÕES!E1908,"")</f>
        <v>0</v>
      </c>
      <c r="D1908" s="6">
        <f ca="1">IF(AND(NEGOCIAÇÕES!O1908="",NEGOCIAÇÕES!N1908&lt;TODAY()),NEGOCIAÇÕES!D1908,"")</f>
        <v>0</v>
      </c>
      <c r="E1908" s="9">
        <f ca="1">IF(AND(NEGOCIAÇÕES!O1908="",NEGOCIAÇÕES!N1908&lt;TODAY()),NEGOCIAÇÕES!N1908,"")</f>
        <v>0</v>
      </c>
    </row>
    <row r="1909" spans="2:5" ht="31.95" hidden="1" customHeight="1" x14ac:dyDescent="0.3">
      <c r="B1909" s="6" t="str">
        <f ca="1">IF(AND(NEGOCIAÇÕES!O1909="",NEGOCIAÇÕES!N1909&lt;TODAY()),NEGOCIAÇÕES!C1909,"")</f>
        <v/>
      </c>
      <c r="C1909" s="6">
        <f ca="1">IF(AND(NEGOCIAÇÕES!O1909="",NEGOCIAÇÕES!N1909&lt;TODAY()),NEGOCIAÇÕES!E1909,"")</f>
        <v>0</v>
      </c>
      <c r="D1909" s="6">
        <f ca="1">IF(AND(NEGOCIAÇÕES!O1909="",NEGOCIAÇÕES!N1909&lt;TODAY()),NEGOCIAÇÕES!D1909,"")</f>
        <v>0</v>
      </c>
      <c r="E1909" s="9">
        <f ca="1">IF(AND(NEGOCIAÇÕES!O1909="",NEGOCIAÇÕES!N1909&lt;TODAY()),NEGOCIAÇÕES!N1909,"")</f>
        <v>0</v>
      </c>
    </row>
    <row r="1910" spans="2:5" ht="31.95" hidden="1" customHeight="1" x14ac:dyDescent="0.3">
      <c r="B1910" s="6" t="str">
        <f ca="1">IF(AND(NEGOCIAÇÕES!O1910="",NEGOCIAÇÕES!N1910&lt;TODAY()),NEGOCIAÇÕES!C1910,"")</f>
        <v/>
      </c>
      <c r="C1910" s="6">
        <f ca="1">IF(AND(NEGOCIAÇÕES!O1910="",NEGOCIAÇÕES!N1910&lt;TODAY()),NEGOCIAÇÕES!E1910,"")</f>
        <v>0</v>
      </c>
      <c r="D1910" s="6">
        <f ca="1">IF(AND(NEGOCIAÇÕES!O1910="",NEGOCIAÇÕES!N1910&lt;TODAY()),NEGOCIAÇÕES!D1910,"")</f>
        <v>0</v>
      </c>
      <c r="E1910" s="9">
        <f ca="1">IF(AND(NEGOCIAÇÕES!O1910="",NEGOCIAÇÕES!N1910&lt;TODAY()),NEGOCIAÇÕES!N1910,"")</f>
        <v>0</v>
      </c>
    </row>
    <row r="1911" spans="2:5" ht="31.95" hidden="1" customHeight="1" x14ac:dyDescent="0.3">
      <c r="B1911" s="6" t="str">
        <f ca="1">IF(AND(NEGOCIAÇÕES!O1911="",NEGOCIAÇÕES!N1911&lt;TODAY()),NEGOCIAÇÕES!C1911,"")</f>
        <v/>
      </c>
      <c r="C1911" s="6">
        <f ca="1">IF(AND(NEGOCIAÇÕES!O1911="",NEGOCIAÇÕES!N1911&lt;TODAY()),NEGOCIAÇÕES!E1911,"")</f>
        <v>0</v>
      </c>
      <c r="D1911" s="6">
        <f ca="1">IF(AND(NEGOCIAÇÕES!O1911="",NEGOCIAÇÕES!N1911&lt;TODAY()),NEGOCIAÇÕES!D1911,"")</f>
        <v>0</v>
      </c>
      <c r="E1911" s="9">
        <f ca="1">IF(AND(NEGOCIAÇÕES!O1911="",NEGOCIAÇÕES!N1911&lt;TODAY()),NEGOCIAÇÕES!N1911,"")</f>
        <v>0</v>
      </c>
    </row>
    <row r="1912" spans="2:5" ht="31.95" hidden="1" customHeight="1" x14ac:dyDescent="0.3">
      <c r="B1912" s="6" t="str">
        <f ca="1">IF(AND(NEGOCIAÇÕES!O1912="",NEGOCIAÇÕES!N1912&lt;TODAY()),NEGOCIAÇÕES!C1912,"")</f>
        <v/>
      </c>
      <c r="C1912" s="6">
        <f ca="1">IF(AND(NEGOCIAÇÕES!O1912="",NEGOCIAÇÕES!N1912&lt;TODAY()),NEGOCIAÇÕES!E1912,"")</f>
        <v>0</v>
      </c>
      <c r="D1912" s="6">
        <f ca="1">IF(AND(NEGOCIAÇÕES!O1912="",NEGOCIAÇÕES!N1912&lt;TODAY()),NEGOCIAÇÕES!D1912,"")</f>
        <v>0</v>
      </c>
      <c r="E1912" s="9">
        <f ca="1">IF(AND(NEGOCIAÇÕES!O1912="",NEGOCIAÇÕES!N1912&lt;TODAY()),NEGOCIAÇÕES!N1912,"")</f>
        <v>0</v>
      </c>
    </row>
    <row r="1913" spans="2:5" ht="31.95" hidden="1" customHeight="1" x14ac:dyDescent="0.3">
      <c r="B1913" s="6" t="str">
        <f ca="1">IF(AND(NEGOCIAÇÕES!O1913="",NEGOCIAÇÕES!N1913&lt;TODAY()),NEGOCIAÇÕES!C1913,"")</f>
        <v/>
      </c>
      <c r="C1913" s="6">
        <f ca="1">IF(AND(NEGOCIAÇÕES!O1913="",NEGOCIAÇÕES!N1913&lt;TODAY()),NEGOCIAÇÕES!E1913,"")</f>
        <v>0</v>
      </c>
      <c r="D1913" s="6">
        <f ca="1">IF(AND(NEGOCIAÇÕES!O1913="",NEGOCIAÇÕES!N1913&lt;TODAY()),NEGOCIAÇÕES!D1913,"")</f>
        <v>0</v>
      </c>
      <c r="E1913" s="9">
        <f ca="1">IF(AND(NEGOCIAÇÕES!O1913="",NEGOCIAÇÕES!N1913&lt;TODAY()),NEGOCIAÇÕES!N1913,"")</f>
        <v>0</v>
      </c>
    </row>
    <row r="1914" spans="2:5" ht="31.95" hidden="1" customHeight="1" x14ac:dyDescent="0.3">
      <c r="B1914" s="6" t="str">
        <f ca="1">IF(AND(NEGOCIAÇÕES!O1914="",NEGOCIAÇÕES!N1914&lt;TODAY()),NEGOCIAÇÕES!C1914,"")</f>
        <v/>
      </c>
      <c r="C1914" s="6">
        <f ca="1">IF(AND(NEGOCIAÇÕES!O1914="",NEGOCIAÇÕES!N1914&lt;TODAY()),NEGOCIAÇÕES!E1914,"")</f>
        <v>0</v>
      </c>
      <c r="D1914" s="6">
        <f ca="1">IF(AND(NEGOCIAÇÕES!O1914="",NEGOCIAÇÕES!N1914&lt;TODAY()),NEGOCIAÇÕES!D1914,"")</f>
        <v>0</v>
      </c>
      <c r="E1914" s="9">
        <f ca="1">IF(AND(NEGOCIAÇÕES!O1914="",NEGOCIAÇÕES!N1914&lt;TODAY()),NEGOCIAÇÕES!N1914,"")</f>
        <v>0</v>
      </c>
    </row>
    <row r="1915" spans="2:5" ht="31.95" hidden="1" customHeight="1" x14ac:dyDescent="0.3">
      <c r="B1915" s="6" t="str">
        <f ca="1">IF(AND(NEGOCIAÇÕES!O1915="",NEGOCIAÇÕES!N1915&lt;TODAY()),NEGOCIAÇÕES!C1915,"")</f>
        <v/>
      </c>
      <c r="C1915" s="6">
        <f ca="1">IF(AND(NEGOCIAÇÕES!O1915="",NEGOCIAÇÕES!N1915&lt;TODAY()),NEGOCIAÇÕES!E1915,"")</f>
        <v>0</v>
      </c>
      <c r="D1915" s="6">
        <f ca="1">IF(AND(NEGOCIAÇÕES!O1915="",NEGOCIAÇÕES!N1915&lt;TODAY()),NEGOCIAÇÕES!D1915,"")</f>
        <v>0</v>
      </c>
      <c r="E1915" s="9">
        <f ca="1">IF(AND(NEGOCIAÇÕES!O1915="",NEGOCIAÇÕES!N1915&lt;TODAY()),NEGOCIAÇÕES!N1915,"")</f>
        <v>0</v>
      </c>
    </row>
    <row r="1916" spans="2:5" ht="31.95" hidden="1" customHeight="1" x14ac:dyDescent="0.3">
      <c r="B1916" s="6" t="str">
        <f ca="1">IF(AND(NEGOCIAÇÕES!O1916="",NEGOCIAÇÕES!N1916&lt;TODAY()),NEGOCIAÇÕES!C1916,"")</f>
        <v/>
      </c>
      <c r="C1916" s="6">
        <f ca="1">IF(AND(NEGOCIAÇÕES!O1916="",NEGOCIAÇÕES!N1916&lt;TODAY()),NEGOCIAÇÕES!E1916,"")</f>
        <v>0</v>
      </c>
      <c r="D1916" s="6">
        <f ca="1">IF(AND(NEGOCIAÇÕES!O1916="",NEGOCIAÇÕES!N1916&lt;TODAY()),NEGOCIAÇÕES!D1916,"")</f>
        <v>0</v>
      </c>
      <c r="E1916" s="9">
        <f ca="1">IF(AND(NEGOCIAÇÕES!O1916="",NEGOCIAÇÕES!N1916&lt;TODAY()),NEGOCIAÇÕES!N1916,"")</f>
        <v>0</v>
      </c>
    </row>
    <row r="1917" spans="2:5" ht="31.95" hidden="1" customHeight="1" x14ac:dyDescent="0.3">
      <c r="B1917" s="6" t="str">
        <f ca="1">IF(AND(NEGOCIAÇÕES!O1917="",NEGOCIAÇÕES!N1917&lt;TODAY()),NEGOCIAÇÕES!C1917,"")</f>
        <v/>
      </c>
      <c r="C1917" s="6">
        <f ca="1">IF(AND(NEGOCIAÇÕES!O1917="",NEGOCIAÇÕES!N1917&lt;TODAY()),NEGOCIAÇÕES!E1917,"")</f>
        <v>0</v>
      </c>
      <c r="D1917" s="6">
        <f ca="1">IF(AND(NEGOCIAÇÕES!O1917="",NEGOCIAÇÕES!N1917&lt;TODAY()),NEGOCIAÇÕES!D1917,"")</f>
        <v>0</v>
      </c>
      <c r="E1917" s="9">
        <f ca="1">IF(AND(NEGOCIAÇÕES!O1917="",NEGOCIAÇÕES!N1917&lt;TODAY()),NEGOCIAÇÕES!N1917,"")</f>
        <v>0</v>
      </c>
    </row>
    <row r="1918" spans="2:5" ht="31.95" hidden="1" customHeight="1" x14ac:dyDescent="0.3">
      <c r="B1918" s="6" t="str">
        <f ca="1">IF(AND(NEGOCIAÇÕES!O1918="",NEGOCIAÇÕES!N1918&lt;TODAY()),NEGOCIAÇÕES!C1918,"")</f>
        <v/>
      </c>
      <c r="C1918" s="6">
        <f ca="1">IF(AND(NEGOCIAÇÕES!O1918="",NEGOCIAÇÕES!N1918&lt;TODAY()),NEGOCIAÇÕES!E1918,"")</f>
        <v>0</v>
      </c>
      <c r="D1918" s="6">
        <f ca="1">IF(AND(NEGOCIAÇÕES!O1918="",NEGOCIAÇÕES!N1918&lt;TODAY()),NEGOCIAÇÕES!D1918,"")</f>
        <v>0</v>
      </c>
      <c r="E1918" s="9">
        <f ca="1">IF(AND(NEGOCIAÇÕES!O1918="",NEGOCIAÇÕES!N1918&lt;TODAY()),NEGOCIAÇÕES!N1918,"")</f>
        <v>0</v>
      </c>
    </row>
    <row r="1919" spans="2:5" ht="31.95" hidden="1" customHeight="1" x14ac:dyDescent="0.3">
      <c r="B1919" s="6" t="str">
        <f ca="1">IF(AND(NEGOCIAÇÕES!O1919="",NEGOCIAÇÕES!N1919&lt;TODAY()),NEGOCIAÇÕES!C1919,"")</f>
        <v/>
      </c>
      <c r="C1919" s="6">
        <f ca="1">IF(AND(NEGOCIAÇÕES!O1919="",NEGOCIAÇÕES!N1919&lt;TODAY()),NEGOCIAÇÕES!E1919,"")</f>
        <v>0</v>
      </c>
      <c r="D1919" s="6">
        <f ca="1">IF(AND(NEGOCIAÇÕES!O1919="",NEGOCIAÇÕES!N1919&lt;TODAY()),NEGOCIAÇÕES!D1919,"")</f>
        <v>0</v>
      </c>
      <c r="E1919" s="9">
        <f ca="1">IF(AND(NEGOCIAÇÕES!O1919="",NEGOCIAÇÕES!N1919&lt;TODAY()),NEGOCIAÇÕES!N1919,"")</f>
        <v>0</v>
      </c>
    </row>
    <row r="1920" spans="2:5" ht="31.95" hidden="1" customHeight="1" x14ac:dyDescent="0.3">
      <c r="B1920" s="6" t="str">
        <f ca="1">IF(AND(NEGOCIAÇÕES!O1920="",NEGOCIAÇÕES!N1920&lt;TODAY()),NEGOCIAÇÕES!C1920,"")</f>
        <v/>
      </c>
      <c r="C1920" s="6">
        <f ca="1">IF(AND(NEGOCIAÇÕES!O1920="",NEGOCIAÇÕES!N1920&lt;TODAY()),NEGOCIAÇÕES!E1920,"")</f>
        <v>0</v>
      </c>
      <c r="D1920" s="6">
        <f ca="1">IF(AND(NEGOCIAÇÕES!O1920="",NEGOCIAÇÕES!N1920&lt;TODAY()),NEGOCIAÇÕES!D1920,"")</f>
        <v>0</v>
      </c>
      <c r="E1920" s="9">
        <f ca="1">IF(AND(NEGOCIAÇÕES!O1920="",NEGOCIAÇÕES!N1920&lt;TODAY()),NEGOCIAÇÕES!N1920,"")</f>
        <v>0</v>
      </c>
    </row>
    <row r="1921" spans="2:5" ht="31.95" hidden="1" customHeight="1" x14ac:dyDescent="0.3">
      <c r="B1921" s="6" t="str">
        <f ca="1">IF(AND(NEGOCIAÇÕES!O1921="",NEGOCIAÇÕES!N1921&lt;TODAY()),NEGOCIAÇÕES!C1921,"")</f>
        <v/>
      </c>
      <c r="C1921" s="6">
        <f ca="1">IF(AND(NEGOCIAÇÕES!O1921="",NEGOCIAÇÕES!N1921&lt;TODAY()),NEGOCIAÇÕES!E1921,"")</f>
        <v>0</v>
      </c>
      <c r="D1921" s="6">
        <f ca="1">IF(AND(NEGOCIAÇÕES!O1921="",NEGOCIAÇÕES!N1921&lt;TODAY()),NEGOCIAÇÕES!D1921,"")</f>
        <v>0</v>
      </c>
      <c r="E1921" s="9">
        <f ca="1">IF(AND(NEGOCIAÇÕES!O1921="",NEGOCIAÇÕES!N1921&lt;TODAY()),NEGOCIAÇÕES!N1921,"")</f>
        <v>0</v>
      </c>
    </row>
    <row r="1922" spans="2:5" ht="31.95" hidden="1" customHeight="1" x14ac:dyDescent="0.3">
      <c r="B1922" s="6" t="str">
        <f ca="1">IF(AND(NEGOCIAÇÕES!O1922="",NEGOCIAÇÕES!N1922&lt;TODAY()),NEGOCIAÇÕES!C1922,"")</f>
        <v/>
      </c>
      <c r="C1922" s="6">
        <f ca="1">IF(AND(NEGOCIAÇÕES!O1922="",NEGOCIAÇÕES!N1922&lt;TODAY()),NEGOCIAÇÕES!E1922,"")</f>
        <v>0</v>
      </c>
      <c r="D1922" s="6">
        <f ca="1">IF(AND(NEGOCIAÇÕES!O1922="",NEGOCIAÇÕES!N1922&lt;TODAY()),NEGOCIAÇÕES!D1922,"")</f>
        <v>0</v>
      </c>
      <c r="E1922" s="9">
        <f ca="1">IF(AND(NEGOCIAÇÕES!O1922="",NEGOCIAÇÕES!N1922&lt;TODAY()),NEGOCIAÇÕES!N1922,"")</f>
        <v>0</v>
      </c>
    </row>
    <row r="1923" spans="2:5" ht="31.95" hidden="1" customHeight="1" x14ac:dyDescent="0.3">
      <c r="B1923" s="6" t="str">
        <f ca="1">IF(AND(NEGOCIAÇÕES!O1923="",NEGOCIAÇÕES!N1923&lt;TODAY()),NEGOCIAÇÕES!C1923,"")</f>
        <v/>
      </c>
      <c r="C1923" s="6">
        <f ca="1">IF(AND(NEGOCIAÇÕES!O1923="",NEGOCIAÇÕES!N1923&lt;TODAY()),NEGOCIAÇÕES!E1923,"")</f>
        <v>0</v>
      </c>
      <c r="D1923" s="6">
        <f ca="1">IF(AND(NEGOCIAÇÕES!O1923="",NEGOCIAÇÕES!N1923&lt;TODAY()),NEGOCIAÇÕES!D1923,"")</f>
        <v>0</v>
      </c>
      <c r="E1923" s="9">
        <f ca="1">IF(AND(NEGOCIAÇÕES!O1923="",NEGOCIAÇÕES!N1923&lt;TODAY()),NEGOCIAÇÕES!N1923,"")</f>
        <v>0</v>
      </c>
    </row>
    <row r="1924" spans="2:5" ht="31.95" hidden="1" customHeight="1" x14ac:dyDescent="0.3">
      <c r="B1924" s="6" t="str">
        <f ca="1">IF(AND(NEGOCIAÇÕES!O1924="",NEGOCIAÇÕES!N1924&lt;TODAY()),NEGOCIAÇÕES!C1924,"")</f>
        <v/>
      </c>
      <c r="C1924" s="6">
        <f ca="1">IF(AND(NEGOCIAÇÕES!O1924="",NEGOCIAÇÕES!N1924&lt;TODAY()),NEGOCIAÇÕES!E1924,"")</f>
        <v>0</v>
      </c>
      <c r="D1924" s="6">
        <f ca="1">IF(AND(NEGOCIAÇÕES!O1924="",NEGOCIAÇÕES!N1924&lt;TODAY()),NEGOCIAÇÕES!D1924,"")</f>
        <v>0</v>
      </c>
      <c r="E1924" s="9">
        <f ca="1">IF(AND(NEGOCIAÇÕES!O1924="",NEGOCIAÇÕES!N1924&lt;TODAY()),NEGOCIAÇÕES!N1924,"")</f>
        <v>0</v>
      </c>
    </row>
    <row r="1925" spans="2:5" ht="31.95" hidden="1" customHeight="1" x14ac:dyDescent="0.3">
      <c r="B1925" s="6" t="str">
        <f ca="1">IF(AND(NEGOCIAÇÕES!O1925="",NEGOCIAÇÕES!N1925&lt;TODAY()),NEGOCIAÇÕES!C1925,"")</f>
        <v/>
      </c>
      <c r="C1925" s="6">
        <f ca="1">IF(AND(NEGOCIAÇÕES!O1925="",NEGOCIAÇÕES!N1925&lt;TODAY()),NEGOCIAÇÕES!E1925,"")</f>
        <v>0</v>
      </c>
      <c r="D1925" s="6">
        <f ca="1">IF(AND(NEGOCIAÇÕES!O1925="",NEGOCIAÇÕES!N1925&lt;TODAY()),NEGOCIAÇÕES!D1925,"")</f>
        <v>0</v>
      </c>
      <c r="E1925" s="9">
        <f ca="1">IF(AND(NEGOCIAÇÕES!O1925="",NEGOCIAÇÕES!N1925&lt;TODAY()),NEGOCIAÇÕES!N1925,"")</f>
        <v>0</v>
      </c>
    </row>
    <row r="1926" spans="2:5" ht="31.95" hidden="1" customHeight="1" x14ac:dyDescent="0.3">
      <c r="B1926" s="6" t="str">
        <f ca="1">IF(AND(NEGOCIAÇÕES!O1926="",NEGOCIAÇÕES!N1926&lt;TODAY()),NEGOCIAÇÕES!C1926,"")</f>
        <v/>
      </c>
      <c r="C1926" s="6">
        <f ca="1">IF(AND(NEGOCIAÇÕES!O1926="",NEGOCIAÇÕES!N1926&lt;TODAY()),NEGOCIAÇÕES!E1926,"")</f>
        <v>0</v>
      </c>
      <c r="D1926" s="6">
        <f ca="1">IF(AND(NEGOCIAÇÕES!O1926="",NEGOCIAÇÕES!N1926&lt;TODAY()),NEGOCIAÇÕES!D1926,"")</f>
        <v>0</v>
      </c>
      <c r="E1926" s="9">
        <f ca="1">IF(AND(NEGOCIAÇÕES!O1926="",NEGOCIAÇÕES!N1926&lt;TODAY()),NEGOCIAÇÕES!N1926,"")</f>
        <v>0</v>
      </c>
    </row>
    <row r="1927" spans="2:5" ht="31.95" hidden="1" customHeight="1" x14ac:dyDescent="0.3">
      <c r="B1927" s="6" t="str">
        <f ca="1">IF(AND(NEGOCIAÇÕES!O1927="",NEGOCIAÇÕES!N1927&lt;TODAY()),NEGOCIAÇÕES!C1927,"")</f>
        <v/>
      </c>
      <c r="C1927" s="6">
        <f ca="1">IF(AND(NEGOCIAÇÕES!O1927="",NEGOCIAÇÕES!N1927&lt;TODAY()),NEGOCIAÇÕES!E1927,"")</f>
        <v>0</v>
      </c>
      <c r="D1927" s="6">
        <f ca="1">IF(AND(NEGOCIAÇÕES!O1927="",NEGOCIAÇÕES!N1927&lt;TODAY()),NEGOCIAÇÕES!D1927,"")</f>
        <v>0</v>
      </c>
      <c r="E1927" s="9">
        <f ca="1">IF(AND(NEGOCIAÇÕES!O1927="",NEGOCIAÇÕES!N1927&lt;TODAY()),NEGOCIAÇÕES!N1927,"")</f>
        <v>0</v>
      </c>
    </row>
    <row r="1928" spans="2:5" ht="31.95" hidden="1" customHeight="1" x14ac:dyDescent="0.3">
      <c r="B1928" s="6" t="str">
        <f ca="1">IF(AND(NEGOCIAÇÕES!O1928="",NEGOCIAÇÕES!N1928&lt;TODAY()),NEGOCIAÇÕES!C1928,"")</f>
        <v/>
      </c>
      <c r="C1928" s="6">
        <f ca="1">IF(AND(NEGOCIAÇÕES!O1928="",NEGOCIAÇÕES!N1928&lt;TODAY()),NEGOCIAÇÕES!E1928,"")</f>
        <v>0</v>
      </c>
      <c r="D1928" s="6">
        <f ca="1">IF(AND(NEGOCIAÇÕES!O1928="",NEGOCIAÇÕES!N1928&lt;TODAY()),NEGOCIAÇÕES!D1928,"")</f>
        <v>0</v>
      </c>
      <c r="E1928" s="9">
        <f ca="1">IF(AND(NEGOCIAÇÕES!O1928="",NEGOCIAÇÕES!N1928&lt;TODAY()),NEGOCIAÇÕES!N1928,"")</f>
        <v>0</v>
      </c>
    </row>
    <row r="1929" spans="2:5" ht="31.95" hidden="1" customHeight="1" x14ac:dyDescent="0.3">
      <c r="B1929" s="6" t="str">
        <f ca="1">IF(AND(NEGOCIAÇÕES!O1929="",NEGOCIAÇÕES!N1929&lt;TODAY()),NEGOCIAÇÕES!C1929,"")</f>
        <v/>
      </c>
      <c r="C1929" s="6">
        <f ca="1">IF(AND(NEGOCIAÇÕES!O1929="",NEGOCIAÇÕES!N1929&lt;TODAY()),NEGOCIAÇÕES!E1929,"")</f>
        <v>0</v>
      </c>
      <c r="D1929" s="6">
        <f ca="1">IF(AND(NEGOCIAÇÕES!O1929="",NEGOCIAÇÕES!N1929&lt;TODAY()),NEGOCIAÇÕES!D1929,"")</f>
        <v>0</v>
      </c>
      <c r="E1929" s="9">
        <f ca="1">IF(AND(NEGOCIAÇÕES!O1929="",NEGOCIAÇÕES!N1929&lt;TODAY()),NEGOCIAÇÕES!N1929,"")</f>
        <v>0</v>
      </c>
    </row>
    <row r="1930" spans="2:5" ht="31.95" hidden="1" customHeight="1" x14ac:dyDescent="0.3">
      <c r="B1930" s="6" t="str">
        <f ca="1">IF(AND(NEGOCIAÇÕES!O1930="",NEGOCIAÇÕES!N1930&lt;TODAY()),NEGOCIAÇÕES!C1930,"")</f>
        <v/>
      </c>
      <c r="C1930" s="6">
        <f ca="1">IF(AND(NEGOCIAÇÕES!O1930="",NEGOCIAÇÕES!N1930&lt;TODAY()),NEGOCIAÇÕES!E1930,"")</f>
        <v>0</v>
      </c>
      <c r="D1930" s="6">
        <f ca="1">IF(AND(NEGOCIAÇÕES!O1930="",NEGOCIAÇÕES!N1930&lt;TODAY()),NEGOCIAÇÕES!D1930,"")</f>
        <v>0</v>
      </c>
      <c r="E1930" s="9">
        <f ca="1">IF(AND(NEGOCIAÇÕES!O1930="",NEGOCIAÇÕES!N1930&lt;TODAY()),NEGOCIAÇÕES!N1930,"")</f>
        <v>0</v>
      </c>
    </row>
    <row r="1931" spans="2:5" ht="31.95" hidden="1" customHeight="1" x14ac:dyDescent="0.3">
      <c r="B1931" s="6" t="str">
        <f ca="1">IF(AND(NEGOCIAÇÕES!O1931="",NEGOCIAÇÕES!N1931&lt;TODAY()),NEGOCIAÇÕES!C1931,"")</f>
        <v/>
      </c>
      <c r="C1931" s="6">
        <f ca="1">IF(AND(NEGOCIAÇÕES!O1931="",NEGOCIAÇÕES!N1931&lt;TODAY()),NEGOCIAÇÕES!E1931,"")</f>
        <v>0</v>
      </c>
      <c r="D1931" s="6">
        <f ca="1">IF(AND(NEGOCIAÇÕES!O1931="",NEGOCIAÇÕES!N1931&lt;TODAY()),NEGOCIAÇÕES!D1931,"")</f>
        <v>0</v>
      </c>
      <c r="E1931" s="9">
        <f ca="1">IF(AND(NEGOCIAÇÕES!O1931="",NEGOCIAÇÕES!N1931&lt;TODAY()),NEGOCIAÇÕES!N1931,"")</f>
        <v>0</v>
      </c>
    </row>
    <row r="1932" spans="2:5" ht="31.95" hidden="1" customHeight="1" x14ac:dyDescent="0.3">
      <c r="B1932" s="6" t="str">
        <f ca="1">IF(AND(NEGOCIAÇÕES!O1932="",NEGOCIAÇÕES!N1932&lt;TODAY()),NEGOCIAÇÕES!C1932,"")</f>
        <v/>
      </c>
      <c r="C1932" s="6">
        <f ca="1">IF(AND(NEGOCIAÇÕES!O1932="",NEGOCIAÇÕES!N1932&lt;TODAY()),NEGOCIAÇÕES!E1932,"")</f>
        <v>0</v>
      </c>
      <c r="D1932" s="6">
        <f ca="1">IF(AND(NEGOCIAÇÕES!O1932="",NEGOCIAÇÕES!N1932&lt;TODAY()),NEGOCIAÇÕES!D1932,"")</f>
        <v>0</v>
      </c>
      <c r="E1932" s="9">
        <f ca="1">IF(AND(NEGOCIAÇÕES!O1932="",NEGOCIAÇÕES!N1932&lt;TODAY()),NEGOCIAÇÕES!N1932,"")</f>
        <v>0</v>
      </c>
    </row>
    <row r="1933" spans="2:5" ht="31.95" hidden="1" customHeight="1" x14ac:dyDescent="0.3">
      <c r="B1933" s="6" t="str">
        <f ca="1">IF(AND(NEGOCIAÇÕES!O1933="",NEGOCIAÇÕES!N1933&lt;TODAY()),NEGOCIAÇÕES!C1933,"")</f>
        <v/>
      </c>
      <c r="C1933" s="6">
        <f ca="1">IF(AND(NEGOCIAÇÕES!O1933="",NEGOCIAÇÕES!N1933&lt;TODAY()),NEGOCIAÇÕES!E1933,"")</f>
        <v>0</v>
      </c>
      <c r="D1933" s="6">
        <f ca="1">IF(AND(NEGOCIAÇÕES!O1933="",NEGOCIAÇÕES!N1933&lt;TODAY()),NEGOCIAÇÕES!D1933,"")</f>
        <v>0</v>
      </c>
      <c r="E1933" s="9">
        <f ca="1">IF(AND(NEGOCIAÇÕES!O1933="",NEGOCIAÇÕES!N1933&lt;TODAY()),NEGOCIAÇÕES!N1933,"")</f>
        <v>0</v>
      </c>
    </row>
    <row r="1934" spans="2:5" ht="31.95" hidden="1" customHeight="1" x14ac:dyDescent="0.3">
      <c r="B1934" s="6" t="str">
        <f ca="1">IF(AND(NEGOCIAÇÕES!O1934="",NEGOCIAÇÕES!N1934&lt;TODAY()),NEGOCIAÇÕES!C1934,"")</f>
        <v/>
      </c>
      <c r="C1934" s="6">
        <f ca="1">IF(AND(NEGOCIAÇÕES!O1934="",NEGOCIAÇÕES!N1934&lt;TODAY()),NEGOCIAÇÕES!E1934,"")</f>
        <v>0</v>
      </c>
      <c r="D1934" s="6">
        <f ca="1">IF(AND(NEGOCIAÇÕES!O1934="",NEGOCIAÇÕES!N1934&lt;TODAY()),NEGOCIAÇÕES!D1934,"")</f>
        <v>0</v>
      </c>
      <c r="E1934" s="9">
        <f ca="1">IF(AND(NEGOCIAÇÕES!O1934="",NEGOCIAÇÕES!N1934&lt;TODAY()),NEGOCIAÇÕES!N1934,"")</f>
        <v>0</v>
      </c>
    </row>
    <row r="1935" spans="2:5" ht="31.95" hidden="1" customHeight="1" x14ac:dyDescent="0.3">
      <c r="B1935" s="6" t="str">
        <f ca="1">IF(AND(NEGOCIAÇÕES!O1935="",NEGOCIAÇÕES!N1935&lt;TODAY()),NEGOCIAÇÕES!C1935,"")</f>
        <v/>
      </c>
      <c r="C1935" s="6">
        <f ca="1">IF(AND(NEGOCIAÇÕES!O1935="",NEGOCIAÇÕES!N1935&lt;TODAY()),NEGOCIAÇÕES!E1935,"")</f>
        <v>0</v>
      </c>
      <c r="D1935" s="6">
        <f ca="1">IF(AND(NEGOCIAÇÕES!O1935="",NEGOCIAÇÕES!N1935&lt;TODAY()),NEGOCIAÇÕES!D1935,"")</f>
        <v>0</v>
      </c>
      <c r="E1935" s="9">
        <f ca="1">IF(AND(NEGOCIAÇÕES!O1935="",NEGOCIAÇÕES!N1935&lt;TODAY()),NEGOCIAÇÕES!N1935,"")</f>
        <v>0</v>
      </c>
    </row>
    <row r="1936" spans="2:5" ht="31.95" hidden="1" customHeight="1" x14ac:dyDescent="0.3">
      <c r="B1936" s="6" t="str">
        <f ca="1">IF(AND(NEGOCIAÇÕES!O1936="",NEGOCIAÇÕES!N1936&lt;TODAY()),NEGOCIAÇÕES!C1936,"")</f>
        <v/>
      </c>
      <c r="C1936" s="6">
        <f ca="1">IF(AND(NEGOCIAÇÕES!O1936="",NEGOCIAÇÕES!N1936&lt;TODAY()),NEGOCIAÇÕES!E1936,"")</f>
        <v>0</v>
      </c>
      <c r="D1936" s="6">
        <f ca="1">IF(AND(NEGOCIAÇÕES!O1936="",NEGOCIAÇÕES!N1936&lt;TODAY()),NEGOCIAÇÕES!D1936,"")</f>
        <v>0</v>
      </c>
      <c r="E1936" s="9">
        <f ca="1">IF(AND(NEGOCIAÇÕES!O1936="",NEGOCIAÇÕES!N1936&lt;TODAY()),NEGOCIAÇÕES!N1936,"")</f>
        <v>0</v>
      </c>
    </row>
    <row r="1937" spans="2:5" ht="31.95" hidden="1" customHeight="1" x14ac:dyDescent="0.3">
      <c r="B1937" s="6" t="str">
        <f ca="1">IF(AND(NEGOCIAÇÕES!O1937="",NEGOCIAÇÕES!N1937&lt;TODAY()),NEGOCIAÇÕES!C1937,"")</f>
        <v/>
      </c>
      <c r="C1937" s="6">
        <f ca="1">IF(AND(NEGOCIAÇÕES!O1937="",NEGOCIAÇÕES!N1937&lt;TODAY()),NEGOCIAÇÕES!E1937,"")</f>
        <v>0</v>
      </c>
      <c r="D1937" s="6">
        <f ca="1">IF(AND(NEGOCIAÇÕES!O1937="",NEGOCIAÇÕES!N1937&lt;TODAY()),NEGOCIAÇÕES!D1937,"")</f>
        <v>0</v>
      </c>
      <c r="E1937" s="9">
        <f ca="1">IF(AND(NEGOCIAÇÕES!O1937="",NEGOCIAÇÕES!N1937&lt;TODAY()),NEGOCIAÇÕES!N1937,"")</f>
        <v>0</v>
      </c>
    </row>
    <row r="1938" spans="2:5" ht="31.95" hidden="1" customHeight="1" x14ac:dyDescent="0.3">
      <c r="B1938" s="6" t="str">
        <f ca="1">IF(AND(NEGOCIAÇÕES!O1938="",NEGOCIAÇÕES!N1938&lt;TODAY()),NEGOCIAÇÕES!C1938,"")</f>
        <v/>
      </c>
      <c r="C1938" s="6">
        <f ca="1">IF(AND(NEGOCIAÇÕES!O1938="",NEGOCIAÇÕES!N1938&lt;TODAY()),NEGOCIAÇÕES!E1938,"")</f>
        <v>0</v>
      </c>
      <c r="D1938" s="6">
        <f ca="1">IF(AND(NEGOCIAÇÕES!O1938="",NEGOCIAÇÕES!N1938&lt;TODAY()),NEGOCIAÇÕES!D1938,"")</f>
        <v>0</v>
      </c>
      <c r="E1938" s="9">
        <f ca="1">IF(AND(NEGOCIAÇÕES!O1938="",NEGOCIAÇÕES!N1938&lt;TODAY()),NEGOCIAÇÕES!N1938,"")</f>
        <v>0</v>
      </c>
    </row>
    <row r="1939" spans="2:5" ht="31.95" hidden="1" customHeight="1" x14ac:dyDescent="0.3">
      <c r="B1939" s="6" t="str">
        <f ca="1">IF(AND(NEGOCIAÇÕES!O1939="",NEGOCIAÇÕES!N1939&lt;TODAY()),NEGOCIAÇÕES!C1939,"")</f>
        <v/>
      </c>
      <c r="C1939" s="6">
        <f ca="1">IF(AND(NEGOCIAÇÕES!O1939="",NEGOCIAÇÕES!N1939&lt;TODAY()),NEGOCIAÇÕES!E1939,"")</f>
        <v>0</v>
      </c>
      <c r="D1939" s="6">
        <f ca="1">IF(AND(NEGOCIAÇÕES!O1939="",NEGOCIAÇÕES!N1939&lt;TODAY()),NEGOCIAÇÕES!D1939,"")</f>
        <v>0</v>
      </c>
      <c r="E1939" s="9">
        <f ca="1">IF(AND(NEGOCIAÇÕES!O1939="",NEGOCIAÇÕES!N1939&lt;TODAY()),NEGOCIAÇÕES!N1939,"")</f>
        <v>0</v>
      </c>
    </row>
    <row r="1940" spans="2:5" ht="31.95" hidden="1" customHeight="1" x14ac:dyDescent="0.3">
      <c r="B1940" s="6" t="str">
        <f ca="1">IF(AND(NEGOCIAÇÕES!O1940="",NEGOCIAÇÕES!N1940&lt;TODAY()),NEGOCIAÇÕES!C1940,"")</f>
        <v/>
      </c>
      <c r="C1940" s="6">
        <f ca="1">IF(AND(NEGOCIAÇÕES!O1940="",NEGOCIAÇÕES!N1940&lt;TODAY()),NEGOCIAÇÕES!E1940,"")</f>
        <v>0</v>
      </c>
      <c r="D1940" s="6">
        <f ca="1">IF(AND(NEGOCIAÇÕES!O1940="",NEGOCIAÇÕES!N1940&lt;TODAY()),NEGOCIAÇÕES!D1940,"")</f>
        <v>0</v>
      </c>
      <c r="E1940" s="9">
        <f ca="1">IF(AND(NEGOCIAÇÕES!O1940="",NEGOCIAÇÕES!N1940&lt;TODAY()),NEGOCIAÇÕES!N1940,"")</f>
        <v>0</v>
      </c>
    </row>
    <row r="1941" spans="2:5" ht="31.95" hidden="1" customHeight="1" x14ac:dyDescent="0.3">
      <c r="B1941" s="6" t="str">
        <f ca="1">IF(AND(NEGOCIAÇÕES!O1941="",NEGOCIAÇÕES!N1941&lt;TODAY()),NEGOCIAÇÕES!C1941,"")</f>
        <v/>
      </c>
      <c r="C1941" s="6">
        <f ca="1">IF(AND(NEGOCIAÇÕES!O1941="",NEGOCIAÇÕES!N1941&lt;TODAY()),NEGOCIAÇÕES!E1941,"")</f>
        <v>0</v>
      </c>
      <c r="D1941" s="6">
        <f ca="1">IF(AND(NEGOCIAÇÕES!O1941="",NEGOCIAÇÕES!N1941&lt;TODAY()),NEGOCIAÇÕES!D1941,"")</f>
        <v>0</v>
      </c>
      <c r="E1941" s="9">
        <f ca="1">IF(AND(NEGOCIAÇÕES!O1941="",NEGOCIAÇÕES!N1941&lt;TODAY()),NEGOCIAÇÕES!N1941,"")</f>
        <v>0</v>
      </c>
    </row>
    <row r="1942" spans="2:5" ht="31.95" hidden="1" customHeight="1" x14ac:dyDescent="0.3">
      <c r="B1942" s="6" t="str">
        <f ca="1">IF(AND(NEGOCIAÇÕES!O1942="",NEGOCIAÇÕES!N1942&lt;TODAY()),NEGOCIAÇÕES!C1942,"")</f>
        <v/>
      </c>
      <c r="C1942" s="6">
        <f ca="1">IF(AND(NEGOCIAÇÕES!O1942="",NEGOCIAÇÕES!N1942&lt;TODAY()),NEGOCIAÇÕES!E1942,"")</f>
        <v>0</v>
      </c>
      <c r="D1942" s="6">
        <f ca="1">IF(AND(NEGOCIAÇÕES!O1942="",NEGOCIAÇÕES!N1942&lt;TODAY()),NEGOCIAÇÕES!D1942,"")</f>
        <v>0</v>
      </c>
      <c r="E1942" s="9">
        <f ca="1">IF(AND(NEGOCIAÇÕES!O1942="",NEGOCIAÇÕES!N1942&lt;TODAY()),NEGOCIAÇÕES!N1942,"")</f>
        <v>0</v>
      </c>
    </row>
    <row r="1943" spans="2:5" ht="31.95" hidden="1" customHeight="1" x14ac:dyDescent="0.3">
      <c r="B1943" s="6" t="str">
        <f ca="1">IF(AND(NEGOCIAÇÕES!O1943="",NEGOCIAÇÕES!N1943&lt;TODAY()),NEGOCIAÇÕES!C1943,"")</f>
        <v/>
      </c>
      <c r="C1943" s="6">
        <f ca="1">IF(AND(NEGOCIAÇÕES!O1943="",NEGOCIAÇÕES!N1943&lt;TODAY()),NEGOCIAÇÕES!E1943,"")</f>
        <v>0</v>
      </c>
      <c r="D1943" s="6">
        <f ca="1">IF(AND(NEGOCIAÇÕES!O1943="",NEGOCIAÇÕES!N1943&lt;TODAY()),NEGOCIAÇÕES!D1943,"")</f>
        <v>0</v>
      </c>
      <c r="E1943" s="9">
        <f ca="1">IF(AND(NEGOCIAÇÕES!O1943="",NEGOCIAÇÕES!N1943&lt;TODAY()),NEGOCIAÇÕES!N1943,"")</f>
        <v>0</v>
      </c>
    </row>
    <row r="1944" spans="2:5" ht="31.95" hidden="1" customHeight="1" x14ac:dyDescent="0.3">
      <c r="B1944" s="6" t="str">
        <f ca="1">IF(AND(NEGOCIAÇÕES!O1944="",NEGOCIAÇÕES!N1944&lt;TODAY()),NEGOCIAÇÕES!C1944,"")</f>
        <v/>
      </c>
      <c r="C1944" s="6">
        <f ca="1">IF(AND(NEGOCIAÇÕES!O1944="",NEGOCIAÇÕES!N1944&lt;TODAY()),NEGOCIAÇÕES!E1944,"")</f>
        <v>0</v>
      </c>
      <c r="D1944" s="6">
        <f ca="1">IF(AND(NEGOCIAÇÕES!O1944="",NEGOCIAÇÕES!N1944&lt;TODAY()),NEGOCIAÇÕES!D1944,"")</f>
        <v>0</v>
      </c>
      <c r="E1944" s="9">
        <f ca="1">IF(AND(NEGOCIAÇÕES!O1944="",NEGOCIAÇÕES!N1944&lt;TODAY()),NEGOCIAÇÕES!N1944,"")</f>
        <v>0</v>
      </c>
    </row>
    <row r="1945" spans="2:5" ht="31.95" hidden="1" customHeight="1" x14ac:dyDescent="0.3">
      <c r="B1945" s="6" t="str">
        <f ca="1">IF(AND(NEGOCIAÇÕES!O1945="",NEGOCIAÇÕES!N1945&lt;TODAY()),NEGOCIAÇÕES!C1945,"")</f>
        <v/>
      </c>
      <c r="C1945" s="6">
        <f ca="1">IF(AND(NEGOCIAÇÕES!O1945="",NEGOCIAÇÕES!N1945&lt;TODAY()),NEGOCIAÇÕES!E1945,"")</f>
        <v>0</v>
      </c>
      <c r="D1945" s="6">
        <f ca="1">IF(AND(NEGOCIAÇÕES!O1945="",NEGOCIAÇÕES!N1945&lt;TODAY()),NEGOCIAÇÕES!D1945,"")</f>
        <v>0</v>
      </c>
      <c r="E1945" s="9">
        <f ca="1">IF(AND(NEGOCIAÇÕES!O1945="",NEGOCIAÇÕES!N1945&lt;TODAY()),NEGOCIAÇÕES!N1945,"")</f>
        <v>0</v>
      </c>
    </row>
    <row r="1946" spans="2:5" ht="31.95" hidden="1" customHeight="1" x14ac:dyDescent="0.3">
      <c r="B1946" s="6" t="str">
        <f ca="1">IF(AND(NEGOCIAÇÕES!O1946="",NEGOCIAÇÕES!N1946&lt;TODAY()),NEGOCIAÇÕES!C1946,"")</f>
        <v/>
      </c>
      <c r="C1946" s="6">
        <f ca="1">IF(AND(NEGOCIAÇÕES!O1946="",NEGOCIAÇÕES!N1946&lt;TODAY()),NEGOCIAÇÕES!E1946,"")</f>
        <v>0</v>
      </c>
      <c r="D1946" s="6">
        <f ca="1">IF(AND(NEGOCIAÇÕES!O1946="",NEGOCIAÇÕES!N1946&lt;TODAY()),NEGOCIAÇÕES!D1946,"")</f>
        <v>0</v>
      </c>
      <c r="E1946" s="9">
        <f ca="1">IF(AND(NEGOCIAÇÕES!O1946="",NEGOCIAÇÕES!N1946&lt;TODAY()),NEGOCIAÇÕES!N1946,"")</f>
        <v>0</v>
      </c>
    </row>
    <row r="1947" spans="2:5" ht="31.95" hidden="1" customHeight="1" x14ac:dyDescent="0.3">
      <c r="B1947" s="6" t="str">
        <f ca="1">IF(AND(NEGOCIAÇÕES!O1947="",NEGOCIAÇÕES!N1947&lt;TODAY()),NEGOCIAÇÕES!C1947,"")</f>
        <v/>
      </c>
      <c r="C1947" s="6">
        <f ca="1">IF(AND(NEGOCIAÇÕES!O1947="",NEGOCIAÇÕES!N1947&lt;TODAY()),NEGOCIAÇÕES!E1947,"")</f>
        <v>0</v>
      </c>
      <c r="D1947" s="6">
        <f ca="1">IF(AND(NEGOCIAÇÕES!O1947="",NEGOCIAÇÕES!N1947&lt;TODAY()),NEGOCIAÇÕES!D1947,"")</f>
        <v>0</v>
      </c>
      <c r="E1947" s="9">
        <f ca="1">IF(AND(NEGOCIAÇÕES!O1947="",NEGOCIAÇÕES!N1947&lt;TODAY()),NEGOCIAÇÕES!N1947,"")</f>
        <v>0</v>
      </c>
    </row>
    <row r="1948" spans="2:5" ht="31.95" hidden="1" customHeight="1" x14ac:dyDescent="0.3">
      <c r="B1948" s="6" t="str">
        <f ca="1">IF(AND(NEGOCIAÇÕES!O1948="",NEGOCIAÇÕES!N1948&lt;TODAY()),NEGOCIAÇÕES!C1948,"")</f>
        <v/>
      </c>
      <c r="C1948" s="6">
        <f ca="1">IF(AND(NEGOCIAÇÕES!O1948="",NEGOCIAÇÕES!N1948&lt;TODAY()),NEGOCIAÇÕES!E1948,"")</f>
        <v>0</v>
      </c>
      <c r="D1948" s="6">
        <f ca="1">IF(AND(NEGOCIAÇÕES!O1948="",NEGOCIAÇÕES!N1948&lt;TODAY()),NEGOCIAÇÕES!D1948,"")</f>
        <v>0</v>
      </c>
      <c r="E1948" s="9">
        <f ca="1">IF(AND(NEGOCIAÇÕES!O1948="",NEGOCIAÇÕES!N1948&lt;TODAY()),NEGOCIAÇÕES!N1948,"")</f>
        <v>0</v>
      </c>
    </row>
    <row r="1949" spans="2:5" ht="31.95" hidden="1" customHeight="1" x14ac:dyDescent="0.3">
      <c r="B1949" s="6" t="str">
        <f ca="1">IF(AND(NEGOCIAÇÕES!O1949="",NEGOCIAÇÕES!N1949&lt;TODAY()),NEGOCIAÇÕES!C1949,"")</f>
        <v/>
      </c>
      <c r="C1949" s="6">
        <f ca="1">IF(AND(NEGOCIAÇÕES!O1949="",NEGOCIAÇÕES!N1949&lt;TODAY()),NEGOCIAÇÕES!E1949,"")</f>
        <v>0</v>
      </c>
      <c r="D1949" s="6">
        <f ca="1">IF(AND(NEGOCIAÇÕES!O1949="",NEGOCIAÇÕES!N1949&lt;TODAY()),NEGOCIAÇÕES!D1949,"")</f>
        <v>0</v>
      </c>
      <c r="E1949" s="9">
        <f ca="1">IF(AND(NEGOCIAÇÕES!O1949="",NEGOCIAÇÕES!N1949&lt;TODAY()),NEGOCIAÇÕES!N1949,"")</f>
        <v>0</v>
      </c>
    </row>
    <row r="1950" spans="2:5" ht="31.95" hidden="1" customHeight="1" x14ac:dyDescent="0.3">
      <c r="B1950" s="6" t="str">
        <f ca="1">IF(AND(NEGOCIAÇÕES!O1950="",NEGOCIAÇÕES!N1950&lt;TODAY()),NEGOCIAÇÕES!C1950,"")</f>
        <v/>
      </c>
      <c r="C1950" s="6">
        <f ca="1">IF(AND(NEGOCIAÇÕES!O1950="",NEGOCIAÇÕES!N1950&lt;TODAY()),NEGOCIAÇÕES!E1950,"")</f>
        <v>0</v>
      </c>
      <c r="D1950" s="6">
        <f ca="1">IF(AND(NEGOCIAÇÕES!O1950="",NEGOCIAÇÕES!N1950&lt;TODAY()),NEGOCIAÇÕES!D1950,"")</f>
        <v>0</v>
      </c>
      <c r="E1950" s="9">
        <f ca="1">IF(AND(NEGOCIAÇÕES!O1950="",NEGOCIAÇÕES!N1950&lt;TODAY()),NEGOCIAÇÕES!N1950,"")</f>
        <v>0</v>
      </c>
    </row>
    <row r="1951" spans="2:5" ht="31.95" hidden="1" customHeight="1" x14ac:dyDescent="0.3">
      <c r="B1951" s="6" t="str">
        <f ca="1">IF(AND(NEGOCIAÇÕES!O1951="",NEGOCIAÇÕES!N1951&lt;TODAY()),NEGOCIAÇÕES!C1951,"")</f>
        <v/>
      </c>
      <c r="C1951" s="6">
        <f ca="1">IF(AND(NEGOCIAÇÕES!O1951="",NEGOCIAÇÕES!N1951&lt;TODAY()),NEGOCIAÇÕES!E1951,"")</f>
        <v>0</v>
      </c>
      <c r="D1951" s="6">
        <f ca="1">IF(AND(NEGOCIAÇÕES!O1951="",NEGOCIAÇÕES!N1951&lt;TODAY()),NEGOCIAÇÕES!D1951,"")</f>
        <v>0</v>
      </c>
      <c r="E1951" s="9">
        <f ca="1">IF(AND(NEGOCIAÇÕES!O1951="",NEGOCIAÇÕES!N1951&lt;TODAY()),NEGOCIAÇÕES!N1951,"")</f>
        <v>0</v>
      </c>
    </row>
    <row r="1952" spans="2:5" ht="31.95" hidden="1" customHeight="1" x14ac:dyDescent="0.3">
      <c r="B1952" s="6" t="str">
        <f ca="1">IF(AND(NEGOCIAÇÕES!O1952="",NEGOCIAÇÕES!N1952&lt;TODAY()),NEGOCIAÇÕES!C1952,"")</f>
        <v/>
      </c>
      <c r="C1952" s="6">
        <f ca="1">IF(AND(NEGOCIAÇÕES!O1952="",NEGOCIAÇÕES!N1952&lt;TODAY()),NEGOCIAÇÕES!E1952,"")</f>
        <v>0</v>
      </c>
      <c r="D1952" s="6">
        <f ca="1">IF(AND(NEGOCIAÇÕES!O1952="",NEGOCIAÇÕES!N1952&lt;TODAY()),NEGOCIAÇÕES!D1952,"")</f>
        <v>0</v>
      </c>
      <c r="E1952" s="9">
        <f ca="1">IF(AND(NEGOCIAÇÕES!O1952="",NEGOCIAÇÕES!N1952&lt;TODAY()),NEGOCIAÇÕES!N1952,"")</f>
        <v>0</v>
      </c>
    </row>
    <row r="1953" spans="2:5" ht="31.95" hidden="1" customHeight="1" x14ac:dyDescent="0.3">
      <c r="B1953" s="6" t="str">
        <f ca="1">IF(AND(NEGOCIAÇÕES!O1953="",NEGOCIAÇÕES!N1953&lt;TODAY()),NEGOCIAÇÕES!C1953,"")</f>
        <v/>
      </c>
      <c r="C1953" s="6">
        <f ca="1">IF(AND(NEGOCIAÇÕES!O1953="",NEGOCIAÇÕES!N1953&lt;TODAY()),NEGOCIAÇÕES!E1953,"")</f>
        <v>0</v>
      </c>
      <c r="D1953" s="6">
        <f ca="1">IF(AND(NEGOCIAÇÕES!O1953="",NEGOCIAÇÕES!N1953&lt;TODAY()),NEGOCIAÇÕES!D1953,"")</f>
        <v>0</v>
      </c>
      <c r="E1953" s="9">
        <f ca="1">IF(AND(NEGOCIAÇÕES!O1953="",NEGOCIAÇÕES!N1953&lt;TODAY()),NEGOCIAÇÕES!N1953,"")</f>
        <v>0</v>
      </c>
    </row>
    <row r="1954" spans="2:5" ht="31.95" hidden="1" customHeight="1" x14ac:dyDescent="0.3">
      <c r="B1954" s="6" t="str">
        <f ca="1">IF(AND(NEGOCIAÇÕES!O1954="",NEGOCIAÇÕES!N1954&lt;TODAY()),NEGOCIAÇÕES!C1954,"")</f>
        <v/>
      </c>
      <c r="C1954" s="6">
        <f ca="1">IF(AND(NEGOCIAÇÕES!O1954="",NEGOCIAÇÕES!N1954&lt;TODAY()),NEGOCIAÇÕES!E1954,"")</f>
        <v>0</v>
      </c>
      <c r="D1954" s="6">
        <f ca="1">IF(AND(NEGOCIAÇÕES!O1954="",NEGOCIAÇÕES!N1954&lt;TODAY()),NEGOCIAÇÕES!D1954,"")</f>
        <v>0</v>
      </c>
      <c r="E1954" s="9">
        <f ca="1">IF(AND(NEGOCIAÇÕES!O1954="",NEGOCIAÇÕES!N1954&lt;TODAY()),NEGOCIAÇÕES!N1954,"")</f>
        <v>0</v>
      </c>
    </row>
    <row r="1955" spans="2:5" ht="31.95" hidden="1" customHeight="1" x14ac:dyDescent="0.3">
      <c r="B1955" s="6" t="str">
        <f ca="1">IF(AND(NEGOCIAÇÕES!O1955="",NEGOCIAÇÕES!N1955&lt;TODAY()),NEGOCIAÇÕES!C1955,"")</f>
        <v/>
      </c>
      <c r="C1955" s="6">
        <f ca="1">IF(AND(NEGOCIAÇÕES!O1955="",NEGOCIAÇÕES!N1955&lt;TODAY()),NEGOCIAÇÕES!E1955,"")</f>
        <v>0</v>
      </c>
      <c r="D1955" s="6">
        <f ca="1">IF(AND(NEGOCIAÇÕES!O1955="",NEGOCIAÇÕES!N1955&lt;TODAY()),NEGOCIAÇÕES!D1955,"")</f>
        <v>0</v>
      </c>
      <c r="E1955" s="9">
        <f ca="1">IF(AND(NEGOCIAÇÕES!O1955="",NEGOCIAÇÕES!N1955&lt;TODAY()),NEGOCIAÇÕES!N1955,"")</f>
        <v>0</v>
      </c>
    </row>
    <row r="1956" spans="2:5" ht="31.95" hidden="1" customHeight="1" x14ac:dyDescent="0.3">
      <c r="B1956" s="6" t="str">
        <f ca="1">IF(AND(NEGOCIAÇÕES!O1956="",NEGOCIAÇÕES!N1956&lt;TODAY()),NEGOCIAÇÕES!C1956,"")</f>
        <v/>
      </c>
      <c r="C1956" s="6">
        <f ca="1">IF(AND(NEGOCIAÇÕES!O1956="",NEGOCIAÇÕES!N1956&lt;TODAY()),NEGOCIAÇÕES!E1956,"")</f>
        <v>0</v>
      </c>
      <c r="D1956" s="6">
        <f ca="1">IF(AND(NEGOCIAÇÕES!O1956="",NEGOCIAÇÕES!N1956&lt;TODAY()),NEGOCIAÇÕES!D1956,"")</f>
        <v>0</v>
      </c>
      <c r="E1956" s="9">
        <f ca="1">IF(AND(NEGOCIAÇÕES!O1956="",NEGOCIAÇÕES!N1956&lt;TODAY()),NEGOCIAÇÕES!N1956,"")</f>
        <v>0</v>
      </c>
    </row>
    <row r="1957" spans="2:5" ht="31.95" hidden="1" customHeight="1" x14ac:dyDescent="0.3">
      <c r="B1957" s="6" t="str">
        <f ca="1">IF(AND(NEGOCIAÇÕES!O1957="",NEGOCIAÇÕES!N1957&lt;TODAY()),NEGOCIAÇÕES!C1957,"")</f>
        <v/>
      </c>
      <c r="C1957" s="6">
        <f ca="1">IF(AND(NEGOCIAÇÕES!O1957="",NEGOCIAÇÕES!N1957&lt;TODAY()),NEGOCIAÇÕES!E1957,"")</f>
        <v>0</v>
      </c>
      <c r="D1957" s="6">
        <f ca="1">IF(AND(NEGOCIAÇÕES!O1957="",NEGOCIAÇÕES!N1957&lt;TODAY()),NEGOCIAÇÕES!D1957,"")</f>
        <v>0</v>
      </c>
      <c r="E1957" s="9">
        <f ca="1">IF(AND(NEGOCIAÇÕES!O1957="",NEGOCIAÇÕES!N1957&lt;TODAY()),NEGOCIAÇÕES!N1957,"")</f>
        <v>0</v>
      </c>
    </row>
    <row r="1958" spans="2:5" ht="31.95" hidden="1" customHeight="1" x14ac:dyDescent="0.3">
      <c r="B1958" s="6" t="str">
        <f ca="1">IF(AND(NEGOCIAÇÕES!O1958="",NEGOCIAÇÕES!N1958&lt;TODAY()),NEGOCIAÇÕES!C1958,"")</f>
        <v/>
      </c>
      <c r="C1958" s="6">
        <f ca="1">IF(AND(NEGOCIAÇÕES!O1958="",NEGOCIAÇÕES!N1958&lt;TODAY()),NEGOCIAÇÕES!E1958,"")</f>
        <v>0</v>
      </c>
      <c r="D1958" s="6">
        <f ca="1">IF(AND(NEGOCIAÇÕES!O1958="",NEGOCIAÇÕES!N1958&lt;TODAY()),NEGOCIAÇÕES!D1958,"")</f>
        <v>0</v>
      </c>
      <c r="E1958" s="9">
        <f ca="1">IF(AND(NEGOCIAÇÕES!O1958="",NEGOCIAÇÕES!N1958&lt;TODAY()),NEGOCIAÇÕES!N1958,"")</f>
        <v>0</v>
      </c>
    </row>
    <row r="1959" spans="2:5" ht="31.95" hidden="1" customHeight="1" x14ac:dyDescent="0.3">
      <c r="B1959" s="6" t="str">
        <f ca="1">IF(AND(NEGOCIAÇÕES!O1959="",NEGOCIAÇÕES!N1959&lt;TODAY()),NEGOCIAÇÕES!C1959,"")</f>
        <v/>
      </c>
      <c r="C1959" s="6">
        <f ca="1">IF(AND(NEGOCIAÇÕES!O1959="",NEGOCIAÇÕES!N1959&lt;TODAY()),NEGOCIAÇÕES!E1959,"")</f>
        <v>0</v>
      </c>
      <c r="D1959" s="6">
        <f ca="1">IF(AND(NEGOCIAÇÕES!O1959="",NEGOCIAÇÕES!N1959&lt;TODAY()),NEGOCIAÇÕES!D1959,"")</f>
        <v>0</v>
      </c>
      <c r="E1959" s="9">
        <f ca="1">IF(AND(NEGOCIAÇÕES!O1959="",NEGOCIAÇÕES!N1959&lt;TODAY()),NEGOCIAÇÕES!N1959,"")</f>
        <v>0</v>
      </c>
    </row>
    <row r="1960" spans="2:5" ht="31.95" hidden="1" customHeight="1" x14ac:dyDescent="0.3">
      <c r="B1960" s="6" t="str">
        <f ca="1">IF(AND(NEGOCIAÇÕES!O1960="",NEGOCIAÇÕES!N1960&lt;TODAY()),NEGOCIAÇÕES!C1960,"")</f>
        <v/>
      </c>
      <c r="C1960" s="6">
        <f ca="1">IF(AND(NEGOCIAÇÕES!O1960="",NEGOCIAÇÕES!N1960&lt;TODAY()),NEGOCIAÇÕES!E1960,"")</f>
        <v>0</v>
      </c>
      <c r="D1960" s="6">
        <f ca="1">IF(AND(NEGOCIAÇÕES!O1960="",NEGOCIAÇÕES!N1960&lt;TODAY()),NEGOCIAÇÕES!D1960,"")</f>
        <v>0</v>
      </c>
      <c r="E1960" s="9">
        <f ca="1">IF(AND(NEGOCIAÇÕES!O1960="",NEGOCIAÇÕES!N1960&lt;TODAY()),NEGOCIAÇÕES!N1960,"")</f>
        <v>0</v>
      </c>
    </row>
    <row r="1961" spans="2:5" ht="31.95" hidden="1" customHeight="1" x14ac:dyDescent="0.3">
      <c r="B1961" s="6" t="str">
        <f ca="1">IF(AND(NEGOCIAÇÕES!O1961="",NEGOCIAÇÕES!N1961&lt;TODAY()),NEGOCIAÇÕES!C1961,"")</f>
        <v/>
      </c>
      <c r="C1961" s="6">
        <f ca="1">IF(AND(NEGOCIAÇÕES!O1961="",NEGOCIAÇÕES!N1961&lt;TODAY()),NEGOCIAÇÕES!E1961,"")</f>
        <v>0</v>
      </c>
      <c r="D1961" s="6">
        <f ca="1">IF(AND(NEGOCIAÇÕES!O1961="",NEGOCIAÇÕES!N1961&lt;TODAY()),NEGOCIAÇÕES!D1961,"")</f>
        <v>0</v>
      </c>
      <c r="E1961" s="9">
        <f ca="1">IF(AND(NEGOCIAÇÕES!O1961="",NEGOCIAÇÕES!N1961&lt;TODAY()),NEGOCIAÇÕES!N1961,"")</f>
        <v>0</v>
      </c>
    </row>
    <row r="1962" spans="2:5" ht="31.95" hidden="1" customHeight="1" x14ac:dyDescent="0.3">
      <c r="B1962" s="6" t="str">
        <f ca="1">IF(AND(NEGOCIAÇÕES!O1962="",NEGOCIAÇÕES!N1962&lt;TODAY()),NEGOCIAÇÕES!C1962,"")</f>
        <v/>
      </c>
      <c r="C1962" s="6">
        <f ca="1">IF(AND(NEGOCIAÇÕES!O1962="",NEGOCIAÇÕES!N1962&lt;TODAY()),NEGOCIAÇÕES!E1962,"")</f>
        <v>0</v>
      </c>
      <c r="D1962" s="6">
        <f ca="1">IF(AND(NEGOCIAÇÕES!O1962="",NEGOCIAÇÕES!N1962&lt;TODAY()),NEGOCIAÇÕES!D1962,"")</f>
        <v>0</v>
      </c>
      <c r="E1962" s="9">
        <f ca="1">IF(AND(NEGOCIAÇÕES!O1962="",NEGOCIAÇÕES!N1962&lt;TODAY()),NEGOCIAÇÕES!N1962,"")</f>
        <v>0</v>
      </c>
    </row>
    <row r="1963" spans="2:5" ht="31.95" hidden="1" customHeight="1" x14ac:dyDescent="0.3">
      <c r="B1963" s="6" t="str">
        <f ca="1">IF(AND(NEGOCIAÇÕES!O1963="",NEGOCIAÇÕES!N1963&lt;TODAY()),NEGOCIAÇÕES!C1963,"")</f>
        <v/>
      </c>
      <c r="C1963" s="6">
        <f ca="1">IF(AND(NEGOCIAÇÕES!O1963="",NEGOCIAÇÕES!N1963&lt;TODAY()),NEGOCIAÇÕES!E1963,"")</f>
        <v>0</v>
      </c>
      <c r="D1963" s="6">
        <f ca="1">IF(AND(NEGOCIAÇÕES!O1963="",NEGOCIAÇÕES!N1963&lt;TODAY()),NEGOCIAÇÕES!D1963,"")</f>
        <v>0</v>
      </c>
      <c r="E1963" s="9">
        <f ca="1">IF(AND(NEGOCIAÇÕES!O1963="",NEGOCIAÇÕES!N1963&lt;TODAY()),NEGOCIAÇÕES!N1963,"")</f>
        <v>0</v>
      </c>
    </row>
    <row r="1964" spans="2:5" ht="31.95" hidden="1" customHeight="1" x14ac:dyDescent="0.3">
      <c r="B1964" s="6" t="str">
        <f ca="1">IF(AND(NEGOCIAÇÕES!O1964="",NEGOCIAÇÕES!N1964&lt;TODAY()),NEGOCIAÇÕES!C1964,"")</f>
        <v/>
      </c>
      <c r="C1964" s="6">
        <f ca="1">IF(AND(NEGOCIAÇÕES!O1964="",NEGOCIAÇÕES!N1964&lt;TODAY()),NEGOCIAÇÕES!E1964,"")</f>
        <v>0</v>
      </c>
      <c r="D1964" s="6">
        <f ca="1">IF(AND(NEGOCIAÇÕES!O1964="",NEGOCIAÇÕES!N1964&lt;TODAY()),NEGOCIAÇÕES!D1964,"")</f>
        <v>0</v>
      </c>
      <c r="E1964" s="9">
        <f ca="1">IF(AND(NEGOCIAÇÕES!O1964="",NEGOCIAÇÕES!N1964&lt;TODAY()),NEGOCIAÇÕES!N1964,"")</f>
        <v>0</v>
      </c>
    </row>
    <row r="1965" spans="2:5" ht="31.95" hidden="1" customHeight="1" x14ac:dyDescent="0.3">
      <c r="B1965" s="6" t="str">
        <f ca="1">IF(AND(NEGOCIAÇÕES!O1965="",NEGOCIAÇÕES!N1965&lt;TODAY()),NEGOCIAÇÕES!C1965,"")</f>
        <v/>
      </c>
      <c r="C1965" s="6">
        <f ca="1">IF(AND(NEGOCIAÇÕES!O1965="",NEGOCIAÇÕES!N1965&lt;TODAY()),NEGOCIAÇÕES!E1965,"")</f>
        <v>0</v>
      </c>
      <c r="D1965" s="6">
        <f ca="1">IF(AND(NEGOCIAÇÕES!O1965="",NEGOCIAÇÕES!N1965&lt;TODAY()),NEGOCIAÇÕES!D1965,"")</f>
        <v>0</v>
      </c>
      <c r="E1965" s="9">
        <f ca="1">IF(AND(NEGOCIAÇÕES!O1965="",NEGOCIAÇÕES!N1965&lt;TODAY()),NEGOCIAÇÕES!N1965,"")</f>
        <v>0</v>
      </c>
    </row>
    <row r="1966" spans="2:5" ht="31.95" hidden="1" customHeight="1" x14ac:dyDescent="0.3">
      <c r="B1966" s="6" t="str">
        <f ca="1">IF(AND(NEGOCIAÇÕES!O1966="",NEGOCIAÇÕES!N1966&lt;TODAY()),NEGOCIAÇÕES!C1966,"")</f>
        <v/>
      </c>
      <c r="C1966" s="6">
        <f ca="1">IF(AND(NEGOCIAÇÕES!O1966="",NEGOCIAÇÕES!N1966&lt;TODAY()),NEGOCIAÇÕES!E1966,"")</f>
        <v>0</v>
      </c>
      <c r="D1966" s="6">
        <f ca="1">IF(AND(NEGOCIAÇÕES!O1966="",NEGOCIAÇÕES!N1966&lt;TODAY()),NEGOCIAÇÕES!D1966,"")</f>
        <v>0</v>
      </c>
      <c r="E1966" s="9">
        <f ca="1">IF(AND(NEGOCIAÇÕES!O1966="",NEGOCIAÇÕES!N1966&lt;TODAY()),NEGOCIAÇÕES!N1966,"")</f>
        <v>0</v>
      </c>
    </row>
    <row r="1967" spans="2:5" ht="31.95" hidden="1" customHeight="1" x14ac:dyDescent="0.3">
      <c r="B1967" s="6" t="str">
        <f ca="1">IF(AND(NEGOCIAÇÕES!O1967="",NEGOCIAÇÕES!N1967&lt;TODAY()),NEGOCIAÇÕES!C1967,"")</f>
        <v/>
      </c>
      <c r="C1967" s="6">
        <f ca="1">IF(AND(NEGOCIAÇÕES!O1967="",NEGOCIAÇÕES!N1967&lt;TODAY()),NEGOCIAÇÕES!E1967,"")</f>
        <v>0</v>
      </c>
      <c r="D1967" s="6">
        <f ca="1">IF(AND(NEGOCIAÇÕES!O1967="",NEGOCIAÇÕES!N1967&lt;TODAY()),NEGOCIAÇÕES!D1967,"")</f>
        <v>0</v>
      </c>
      <c r="E1967" s="9">
        <f ca="1">IF(AND(NEGOCIAÇÕES!O1967="",NEGOCIAÇÕES!N1967&lt;TODAY()),NEGOCIAÇÕES!N1967,"")</f>
        <v>0</v>
      </c>
    </row>
    <row r="1968" spans="2:5" ht="31.95" hidden="1" customHeight="1" x14ac:dyDescent="0.3">
      <c r="B1968" s="6" t="str">
        <f ca="1">IF(AND(NEGOCIAÇÕES!O1968="",NEGOCIAÇÕES!N1968&lt;TODAY()),NEGOCIAÇÕES!C1968,"")</f>
        <v/>
      </c>
      <c r="C1968" s="6">
        <f ca="1">IF(AND(NEGOCIAÇÕES!O1968="",NEGOCIAÇÕES!N1968&lt;TODAY()),NEGOCIAÇÕES!E1968,"")</f>
        <v>0</v>
      </c>
      <c r="D1968" s="6">
        <f ca="1">IF(AND(NEGOCIAÇÕES!O1968="",NEGOCIAÇÕES!N1968&lt;TODAY()),NEGOCIAÇÕES!D1968,"")</f>
        <v>0</v>
      </c>
      <c r="E1968" s="9">
        <f ca="1">IF(AND(NEGOCIAÇÕES!O1968="",NEGOCIAÇÕES!N1968&lt;TODAY()),NEGOCIAÇÕES!N1968,"")</f>
        <v>0</v>
      </c>
    </row>
    <row r="1969" spans="2:5" ht="31.95" hidden="1" customHeight="1" x14ac:dyDescent="0.3">
      <c r="B1969" s="6" t="str">
        <f ca="1">IF(AND(NEGOCIAÇÕES!O1969="",NEGOCIAÇÕES!N1969&lt;TODAY()),NEGOCIAÇÕES!C1969,"")</f>
        <v/>
      </c>
      <c r="C1969" s="6">
        <f ca="1">IF(AND(NEGOCIAÇÕES!O1969="",NEGOCIAÇÕES!N1969&lt;TODAY()),NEGOCIAÇÕES!E1969,"")</f>
        <v>0</v>
      </c>
      <c r="D1969" s="6">
        <f ca="1">IF(AND(NEGOCIAÇÕES!O1969="",NEGOCIAÇÕES!N1969&lt;TODAY()),NEGOCIAÇÕES!D1969,"")</f>
        <v>0</v>
      </c>
      <c r="E1969" s="9">
        <f ca="1">IF(AND(NEGOCIAÇÕES!O1969="",NEGOCIAÇÕES!N1969&lt;TODAY()),NEGOCIAÇÕES!N1969,"")</f>
        <v>0</v>
      </c>
    </row>
    <row r="1970" spans="2:5" ht="31.95" hidden="1" customHeight="1" x14ac:dyDescent="0.3">
      <c r="B1970" s="6" t="str">
        <f ca="1">IF(AND(NEGOCIAÇÕES!O1970="",NEGOCIAÇÕES!N1970&lt;TODAY()),NEGOCIAÇÕES!C1970,"")</f>
        <v/>
      </c>
      <c r="C1970" s="6">
        <f ca="1">IF(AND(NEGOCIAÇÕES!O1970="",NEGOCIAÇÕES!N1970&lt;TODAY()),NEGOCIAÇÕES!E1970,"")</f>
        <v>0</v>
      </c>
      <c r="D1970" s="6">
        <f ca="1">IF(AND(NEGOCIAÇÕES!O1970="",NEGOCIAÇÕES!N1970&lt;TODAY()),NEGOCIAÇÕES!D1970,"")</f>
        <v>0</v>
      </c>
      <c r="E1970" s="9">
        <f ca="1">IF(AND(NEGOCIAÇÕES!O1970="",NEGOCIAÇÕES!N1970&lt;TODAY()),NEGOCIAÇÕES!N1970,"")</f>
        <v>0</v>
      </c>
    </row>
    <row r="1971" spans="2:5" ht="31.95" hidden="1" customHeight="1" x14ac:dyDescent="0.3">
      <c r="B1971" s="6" t="str">
        <f ca="1">IF(AND(NEGOCIAÇÕES!O1971="",NEGOCIAÇÕES!N1971&lt;TODAY()),NEGOCIAÇÕES!C1971,"")</f>
        <v/>
      </c>
      <c r="C1971" s="6">
        <f ca="1">IF(AND(NEGOCIAÇÕES!O1971="",NEGOCIAÇÕES!N1971&lt;TODAY()),NEGOCIAÇÕES!E1971,"")</f>
        <v>0</v>
      </c>
      <c r="D1971" s="6">
        <f ca="1">IF(AND(NEGOCIAÇÕES!O1971="",NEGOCIAÇÕES!N1971&lt;TODAY()),NEGOCIAÇÕES!D1971,"")</f>
        <v>0</v>
      </c>
      <c r="E1971" s="9">
        <f ca="1">IF(AND(NEGOCIAÇÕES!O1971="",NEGOCIAÇÕES!N1971&lt;TODAY()),NEGOCIAÇÕES!N1971,"")</f>
        <v>0</v>
      </c>
    </row>
    <row r="1972" spans="2:5" ht="31.95" hidden="1" customHeight="1" x14ac:dyDescent="0.3">
      <c r="B1972" s="6" t="str">
        <f ca="1">IF(AND(NEGOCIAÇÕES!O1972="",NEGOCIAÇÕES!N1972&lt;TODAY()),NEGOCIAÇÕES!C1972,"")</f>
        <v/>
      </c>
      <c r="C1972" s="6">
        <f ca="1">IF(AND(NEGOCIAÇÕES!O1972="",NEGOCIAÇÕES!N1972&lt;TODAY()),NEGOCIAÇÕES!E1972,"")</f>
        <v>0</v>
      </c>
      <c r="D1972" s="6">
        <f ca="1">IF(AND(NEGOCIAÇÕES!O1972="",NEGOCIAÇÕES!N1972&lt;TODAY()),NEGOCIAÇÕES!D1972,"")</f>
        <v>0</v>
      </c>
      <c r="E1972" s="9">
        <f ca="1">IF(AND(NEGOCIAÇÕES!O1972="",NEGOCIAÇÕES!N1972&lt;TODAY()),NEGOCIAÇÕES!N1972,"")</f>
        <v>0</v>
      </c>
    </row>
    <row r="1973" spans="2:5" ht="31.95" hidden="1" customHeight="1" x14ac:dyDescent="0.3">
      <c r="B1973" s="6" t="str">
        <f ca="1">IF(AND(NEGOCIAÇÕES!O1973="",NEGOCIAÇÕES!N1973&lt;TODAY()),NEGOCIAÇÕES!C1973,"")</f>
        <v/>
      </c>
      <c r="C1973" s="6">
        <f ca="1">IF(AND(NEGOCIAÇÕES!O1973="",NEGOCIAÇÕES!N1973&lt;TODAY()),NEGOCIAÇÕES!E1973,"")</f>
        <v>0</v>
      </c>
      <c r="D1973" s="6">
        <f ca="1">IF(AND(NEGOCIAÇÕES!O1973="",NEGOCIAÇÕES!N1973&lt;TODAY()),NEGOCIAÇÕES!D1973,"")</f>
        <v>0</v>
      </c>
      <c r="E1973" s="9">
        <f ca="1">IF(AND(NEGOCIAÇÕES!O1973="",NEGOCIAÇÕES!N1973&lt;TODAY()),NEGOCIAÇÕES!N1973,"")</f>
        <v>0</v>
      </c>
    </row>
    <row r="1974" spans="2:5" ht="31.95" hidden="1" customHeight="1" x14ac:dyDescent="0.3">
      <c r="B1974" s="6" t="str">
        <f ca="1">IF(AND(NEGOCIAÇÕES!O1974="",NEGOCIAÇÕES!N1974&lt;TODAY()),NEGOCIAÇÕES!C1974,"")</f>
        <v/>
      </c>
      <c r="C1974" s="6">
        <f ca="1">IF(AND(NEGOCIAÇÕES!O1974="",NEGOCIAÇÕES!N1974&lt;TODAY()),NEGOCIAÇÕES!E1974,"")</f>
        <v>0</v>
      </c>
      <c r="D1974" s="6">
        <f ca="1">IF(AND(NEGOCIAÇÕES!O1974="",NEGOCIAÇÕES!N1974&lt;TODAY()),NEGOCIAÇÕES!D1974,"")</f>
        <v>0</v>
      </c>
      <c r="E1974" s="9">
        <f ca="1">IF(AND(NEGOCIAÇÕES!O1974="",NEGOCIAÇÕES!N1974&lt;TODAY()),NEGOCIAÇÕES!N1974,"")</f>
        <v>0</v>
      </c>
    </row>
    <row r="1975" spans="2:5" ht="31.95" hidden="1" customHeight="1" x14ac:dyDescent="0.3">
      <c r="B1975" s="6" t="str">
        <f ca="1">IF(AND(NEGOCIAÇÕES!O1975="",NEGOCIAÇÕES!N1975&lt;TODAY()),NEGOCIAÇÕES!C1975,"")</f>
        <v/>
      </c>
      <c r="C1975" s="6">
        <f ca="1">IF(AND(NEGOCIAÇÕES!O1975="",NEGOCIAÇÕES!N1975&lt;TODAY()),NEGOCIAÇÕES!E1975,"")</f>
        <v>0</v>
      </c>
      <c r="D1975" s="6">
        <f ca="1">IF(AND(NEGOCIAÇÕES!O1975="",NEGOCIAÇÕES!N1975&lt;TODAY()),NEGOCIAÇÕES!D1975,"")</f>
        <v>0</v>
      </c>
      <c r="E1975" s="9">
        <f ca="1">IF(AND(NEGOCIAÇÕES!O1975="",NEGOCIAÇÕES!N1975&lt;TODAY()),NEGOCIAÇÕES!N1975,"")</f>
        <v>0</v>
      </c>
    </row>
    <row r="1976" spans="2:5" ht="31.95" hidden="1" customHeight="1" x14ac:dyDescent="0.3">
      <c r="B1976" s="6" t="str">
        <f ca="1">IF(AND(NEGOCIAÇÕES!O1976="",NEGOCIAÇÕES!N1976&lt;TODAY()),NEGOCIAÇÕES!C1976,"")</f>
        <v/>
      </c>
      <c r="C1976" s="6">
        <f ca="1">IF(AND(NEGOCIAÇÕES!O1976="",NEGOCIAÇÕES!N1976&lt;TODAY()),NEGOCIAÇÕES!E1976,"")</f>
        <v>0</v>
      </c>
      <c r="D1976" s="6">
        <f ca="1">IF(AND(NEGOCIAÇÕES!O1976="",NEGOCIAÇÕES!N1976&lt;TODAY()),NEGOCIAÇÕES!D1976,"")</f>
        <v>0</v>
      </c>
      <c r="E1976" s="9">
        <f ca="1">IF(AND(NEGOCIAÇÕES!O1976="",NEGOCIAÇÕES!N1976&lt;TODAY()),NEGOCIAÇÕES!N1976,"")</f>
        <v>0</v>
      </c>
    </row>
    <row r="1977" spans="2:5" ht="31.95" hidden="1" customHeight="1" x14ac:dyDescent="0.3">
      <c r="B1977" s="6" t="str">
        <f ca="1">IF(AND(NEGOCIAÇÕES!O1977="",NEGOCIAÇÕES!N1977&lt;TODAY()),NEGOCIAÇÕES!C1977,"")</f>
        <v/>
      </c>
      <c r="C1977" s="6">
        <f ca="1">IF(AND(NEGOCIAÇÕES!O1977="",NEGOCIAÇÕES!N1977&lt;TODAY()),NEGOCIAÇÕES!E1977,"")</f>
        <v>0</v>
      </c>
      <c r="D1977" s="6">
        <f ca="1">IF(AND(NEGOCIAÇÕES!O1977="",NEGOCIAÇÕES!N1977&lt;TODAY()),NEGOCIAÇÕES!D1977,"")</f>
        <v>0</v>
      </c>
      <c r="E1977" s="9">
        <f ca="1">IF(AND(NEGOCIAÇÕES!O1977="",NEGOCIAÇÕES!N1977&lt;TODAY()),NEGOCIAÇÕES!N1977,"")</f>
        <v>0</v>
      </c>
    </row>
    <row r="1978" spans="2:5" ht="31.95" hidden="1" customHeight="1" x14ac:dyDescent="0.3">
      <c r="B1978" s="6" t="str">
        <f ca="1">IF(AND(NEGOCIAÇÕES!O1978="",NEGOCIAÇÕES!N1978&lt;TODAY()),NEGOCIAÇÕES!C1978,"")</f>
        <v/>
      </c>
      <c r="C1978" s="6">
        <f ca="1">IF(AND(NEGOCIAÇÕES!O1978="",NEGOCIAÇÕES!N1978&lt;TODAY()),NEGOCIAÇÕES!E1978,"")</f>
        <v>0</v>
      </c>
      <c r="D1978" s="6">
        <f ca="1">IF(AND(NEGOCIAÇÕES!O1978="",NEGOCIAÇÕES!N1978&lt;TODAY()),NEGOCIAÇÕES!D1978,"")</f>
        <v>0</v>
      </c>
      <c r="E1978" s="9">
        <f ca="1">IF(AND(NEGOCIAÇÕES!O1978="",NEGOCIAÇÕES!N1978&lt;TODAY()),NEGOCIAÇÕES!N1978,"")</f>
        <v>0</v>
      </c>
    </row>
    <row r="1979" spans="2:5" ht="31.95" hidden="1" customHeight="1" x14ac:dyDescent="0.3">
      <c r="B1979" s="6" t="str">
        <f ca="1">IF(AND(NEGOCIAÇÕES!O1979="",NEGOCIAÇÕES!N1979&lt;TODAY()),NEGOCIAÇÕES!C1979,"")</f>
        <v/>
      </c>
      <c r="C1979" s="6">
        <f ca="1">IF(AND(NEGOCIAÇÕES!O1979="",NEGOCIAÇÕES!N1979&lt;TODAY()),NEGOCIAÇÕES!E1979,"")</f>
        <v>0</v>
      </c>
      <c r="D1979" s="6">
        <f ca="1">IF(AND(NEGOCIAÇÕES!O1979="",NEGOCIAÇÕES!N1979&lt;TODAY()),NEGOCIAÇÕES!D1979,"")</f>
        <v>0</v>
      </c>
      <c r="E1979" s="9">
        <f ca="1">IF(AND(NEGOCIAÇÕES!O1979="",NEGOCIAÇÕES!N1979&lt;TODAY()),NEGOCIAÇÕES!N1979,"")</f>
        <v>0</v>
      </c>
    </row>
    <row r="1980" spans="2:5" ht="31.95" hidden="1" customHeight="1" x14ac:dyDescent="0.3">
      <c r="B1980" s="6" t="str">
        <f ca="1">IF(AND(NEGOCIAÇÕES!O1980="",NEGOCIAÇÕES!N1980&lt;TODAY()),NEGOCIAÇÕES!C1980,"")</f>
        <v/>
      </c>
      <c r="C1980" s="6">
        <f ca="1">IF(AND(NEGOCIAÇÕES!O1980="",NEGOCIAÇÕES!N1980&lt;TODAY()),NEGOCIAÇÕES!E1980,"")</f>
        <v>0</v>
      </c>
      <c r="D1980" s="6">
        <f ca="1">IF(AND(NEGOCIAÇÕES!O1980="",NEGOCIAÇÕES!N1980&lt;TODAY()),NEGOCIAÇÕES!D1980,"")</f>
        <v>0</v>
      </c>
      <c r="E1980" s="9">
        <f ca="1">IF(AND(NEGOCIAÇÕES!O1980="",NEGOCIAÇÕES!N1980&lt;TODAY()),NEGOCIAÇÕES!N1980,"")</f>
        <v>0</v>
      </c>
    </row>
    <row r="1981" spans="2:5" ht="31.95" hidden="1" customHeight="1" x14ac:dyDescent="0.3">
      <c r="B1981" s="6" t="str">
        <f ca="1">IF(AND(NEGOCIAÇÕES!O1981="",NEGOCIAÇÕES!N1981&lt;TODAY()),NEGOCIAÇÕES!C1981,"")</f>
        <v/>
      </c>
      <c r="C1981" s="6">
        <f ca="1">IF(AND(NEGOCIAÇÕES!O1981="",NEGOCIAÇÕES!N1981&lt;TODAY()),NEGOCIAÇÕES!E1981,"")</f>
        <v>0</v>
      </c>
      <c r="D1981" s="6">
        <f ca="1">IF(AND(NEGOCIAÇÕES!O1981="",NEGOCIAÇÕES!N1981&lt;TODAY()),NEGOCIAÇÕES!D1981,"")</f>
        <v>0</v>
      </c>
      <c r="E1981" s="9">
        <f ca="1">IF(AND(NEGOCIAÇÕES!O1981="",NEGOCIAÇÕES!N1981&lt;TODAY()),NEGOCIAÇÕES!N1981,"")</f>
        <v>0</v>
      </c>
    </row>
    <row r="1982" spans="2:5" ht="31.95" hidden="1" customHeight="1" x14ac:dyDescent="0.3">
      <c r="B1982" s="6" t="str">
        <f ca="1">IF(AND(NEGOCIAÇÕES!O1982="",NEGOCIAÇÕES!N1982&lt;TODAY()),NEGOCIAÇÕES!C1982,"")</f>
        <v/>
      </c>
      <c r="C1982" s="6">
        <f ca="1">IF(AND(NEGOCIAÇÕES!O1982="",NEGOCIAÇÕES!N1982&lt;TODAY()),NEGOCIAÇÕES!E1982,"")</f>
        <v>0</v>
      </c>
      <c r="D1982" s="6">
        <f ca="1">IF(AND(NEGOCIAÇÕES!O1982="",NEGOCIAÇÕES!N1982&lt;TODAY()),NEGOCIAÇÕES!D1982,"")</f>
        <v>0</v>
      </c>
      <c r="E1982" s="9">
        <f ca="1">IF(AND(NEGOCIAÇÕES!O1982="",NEGOCIAÇÕES!N1982&lt;TODAY()),NEGOCIAÇÕES!N1982,"")</f>
        <v>0</v>
      </c>
    </row>
    <row r="1983" spans="2:5" ht="31.95" hidden="1" customHeight="1" x14ac:dyDescent="0.3">
      <c r="B1983" s="6" t="str">
        <f ca="1">IF(AND(NEGOCIAÇÕES!O1983="",NEGOCIAÇÕES!N1983&lt;TODAY()),NEGOCIAÇÕES!C1983,"")</f>
        <v/>
      </c>
      <c r="C1983" s="6">
        <f ca="1">IF(AND(NEGOCIAÇÕES!O1983="",NEGOCIAÇÕES!N1983&lt;TODAY()),NEGOCIAÇÕES!E1983,"")</f>
        <v>0</v>
      </c>
      <c r="D1983" s="6">
        <f ca="1">IF(AND(NEGOCIAÇÕES!O1983="",NEGOCIAÇÕES!N1983&lt;TODAY()),NEGOCIAÇÕES!D1983,"")</f>
        <v>0</v>
      </c>
      <c r="E1983" s="9">
        <f ca="1">IF(AND(NEGOCIAÇÕES!O1983="",NEGOCIAÇÕES!N1983&lt;TODAY()),NEGOCIAÇÕES!N1983,"")</f>
        <v>0</v>
      </c>
    </row>
    <row r="1984" spans="2:5" ht="31.95" hidden="1" customHeight="1" x14ac:dyDescent="0.3">
      <c r="B1984" s="6" t="str">
        <f ca="1">IF(AND(NEGOCIAÇÕES!O1984="",NEGOCIAÇÕES!N1984&lt;TODAY()),NEGOCIAÇÕES!C1984,"")</f>
        <v/>
      </c>
      <c r="C1984" s="6">
        <f ca="1">IF(AND(NEGOCIAÇÕES!O1984="",NEGOCIAÇÕES!N1984&lt;TODAY()),NEGOCIAÇÕES!E1984,"")</f>
        <v>0</v>
      </c>
      <c r="D1984" s="6">
        <f ca="1">IF(AND(NEGOCIAÇÕES!O1984="",NEGOCIAÇÕES!N1984&lt;TODAY()),NEGOCIAÇÕES!D1984,"")</f>
        <v>0</v>
      </c>
      <c r="E1984" s="9">
        <f ca="1">IF(AND(NEGOCIAÇÕES!O1984="",NEGOCIAÇÕES!N1984&lt;TODAY()),NEGOCIAÇÕES!N1984,"")</f>
        <v>0</v>
      </c>
    </row>
    <row r="1985" spans="2:5" ht="31.95" hidden="1" customHeight="1" x14ac:dyDescent="0.3">
      <c r="B1985" s="6" t="str">
        <f ca="1">IF(AND(NEGOCIAÇÕES!O1985="",NEGOCIAÇÕES!N1985&lt;TODAY()),NEGOCIAÇÕES!C1985,"")</f>
        <v/>
      </c>
      <c r="C1985" s="6">
        <f ca="1">IF(AND(NEGOCIAÇÕES!O1985="",NEGOCIAÇÕES!N1985&lt;TODAY()),NEGOCIAÇÕES!E1985,"")</f>
        <v>0</v>
      </c>
      <c r="D1985" s="6">
        <f ca="1">IF(AND(NEGOCIAÇÕES!O1985="",NEGOCIAÇÕES!N1985&lt;TODAY()),NEGOCIAÇÕES!D1985,"")</f>
        <v>0</v>
      </c>
      <c r="E1985" s="9">
        <f ca="1">IF(AND(NEGOCIAÇÕES!O1985="",NEGOCIAÇÕES!N1985&lt;TODAY()),NEGOCIAÇÕES!N1985,"")</f>
        <v>0</v>
      </c>
    </row>
    <row r="1986" spans="2:5" ht="31.95" hidden="1" customHeight="1" x14ac:dyDescent="0.3">
      <c r="B1986" s="6" t="str">
        <f ca="1">IF(AND(NEGOCIAÇÕES!O1986="",NEGOCIAÇÕES!N1986&lt;TODAY()),NEGOCIAÇÕES!C1986,"")</f>
        <v/>
      </c>
      <c r="C1986" s="6">
        <f ca="1">IF(AND(NEGOCIAÇÕES!O1986="",NEGOCIAÇÕES!N1986&lt;TODAY()),NEGOCIAÇÕES!E1986,"")</f>
        <v>0</v>
      </c>
      <c r="D1986" s="6">
        <f ca="1">IF(AND(NEGOCIAÇÕES!O1986="",NEGOCIAÇÕES!N1986&lt;TODAY()),NEGOCIAÇÕES!D1986,"")</f>
        <v>0</v>
      </c>
      <c r="E1986" s="9">
        <f ca="1">IF(AND(NEGOCIAÇÕES!O1986="",NEGOCIAÇÕES!N1986&lt;TODAY()),NEGOCIAÇÕES!N1986,"")</f>
        <v>0</v>
      </c>
    </row>
    <row r="1987" spans="2:5" ht="31.95" hidden="1" customHeight="1" x14ac:dyDescent="0.3">
      <c r="B1987" s="6" t="str">
        <f ca="1">IF(AND(NEGOCIAÇÕES!O1987="",NEGOCIAÇÕES!N1987&lt;TODAY()),NEGOCIAÇÕES!C1987,"")</f>
        <v/>
      </c>
      <c r="C1987" s="6">
        <f ca="1">IF(AND(NEGOCIAÇÕES!O1987="",NEGOCIAÇÕES!N1987&lt;TODAY()),NEGOCIAÇÕES!E1987,"")</f>
        <v>0</v>
      </c>
      <c r="D1987" s="6">
        <f ca="1">IF(AND(NEGOCIAÇÕES!O1987="",NEGOCIAÇÕES!N1987&lt;TODAY()),NEGOCIAÇÕES!D1987,"")</f>
        <v>0</v>
      </c>
      <c r="E1987" s="9">
        <f ca="1">IF(AND(NEGOCIAÇÕES!O1987="",NEGOCIAÇÕES!N1987&lt;TODAY()),NEGOCIAÇÕES!N1987,"")</f>
        <v>0</v>
      </c>
    </row>
    <row r="1988" spans="2:5" ht="31.95" hidden="1" customHeight="1" x14ac:dyDescent="0.3">
      <c r="B1988" s="6" t="str">
        <f ca="1">IF(AND(NEGOCIAÇÕES!O1988="",NEGOCIAÇÕES!N1988&lt;TODAY()),NEGOCIAÇÕES!C1988,"")</f>
        <v/>
      </c>
      <c r="C1988" s="6">
        <f ca="1">IF(AND(NEGOCIAÇÕES!O1988="",NEGOCIAÇÕES!N1988&lt;TODAY()),NEGOCIAÇÕES!E1988,"")</f>
        <v>0</v>
      </c>
      <c r="D1988" s="6">
        <f ca="1">IF(AND(NEGOCIAÇÕES!O1988="",NEGOCIAÇÕES!N1988&lt;TODAY()),NEGOCIAÇÕES!D1988,"")</f>
        <v>0</v>
      </c>
      <c r="E1988" s="9">
        <f ca="1">IF(AND(NEGOCIAÇÕES!O1988="",NEGOCIAÇÕES!N1988&lt;TODAY()),NEGOCIAÇÕES!N1988,"")</f>
        <v>0</v>
      </c>
    </row>
    <row r="1989" spans="2:5" ht="31.95" hidden="1" customHeight="1" x14ac:dyDescent="0.3">
      <c r="B1989" s="6" t="str">
        <f ca="1">IF(AND(NEGOCIAÇÕES!O1989="",NEGOCIAÇÕES!N1989&lt;TODAY()),NEGOCIAÇÕES!C1989,"")</f>
        <v/>
      </c>
      <c r="C1989" s="6">
        <f ca="1">IF(AND(NEGOCIAÇÕES!O1989="",NEGOCIAÇÕES!N1989&lt;TODAY()),NEGOCIAÇÕES!E1989,"")</f>
        <v>0</v>
      </c>
      <c r="D1989" s="6">
        <f ca="1">IF(AND(NEGOCIAÇÕES!O1989="",NEGOCIAÇÕES!N1989&lt;TODAY()),NEGOCIAÇÕES!D1989,"")</f>
        <v>0</v>
      </c>
      <c r="E1989" s="9">
        <f ca="1">IF(AND(NEGOCIAÇÕES!O1989="",NEGOCIAÇÕES!N1989&lt;TODAY()),NEGOCIAÇÕES!N1989,"")</f>
        <v>0</v>
      </c>
    </row>
    <row r="1990" spans="2:5" ht="31.95" hidden="1" customHeight="1" x14ac:dyDescent="0.3">
      <c r="B1990" s="6" t="str">
        <f ca="1">IF(AND(NEGOCIAÇÕES!O1990="",NEGOCIAÇÕES!N1990&lt;TODAY()),NEGOCIAÇÕES!C1990,"")</f>
        <v/>
      </c>
      <c r="C1990" s="6">
        <f ca="1">IF(AND(NEGOCIAÇÕES!O1990="",NEGOCIAÇÕES!N1990&lt;TODAY()),NEGOCIAÇÕES!E1990,"")</f>
        <v>0</v>
      </c>
      <c r="D1990" s="6">
        <f ca="1">IF(AND(NEGOCIAÇÕES!O1990="",NEGOCIAÇÕES!N1990&lt;TODAY()),NEGOCIAÇÕES!D1990,"")</f>
        <v>0</v>
      </c>
      <c r="E1990" s="9">
        <f ca="1">IF(AND(NEGOCIAÇÕES!O1990="",NEGOCIAÇÕES!N1990&lt;TODAY()),NEGOCIAÇÕES!N1990,"")</f>
        <v>0</v>
      </c>
    </row>
    <row r="1991" spans="2:5" ht="31.95" hidden="1" customHeight="1" x14ac:dyDescent="0.3">
      <c r="B1991" s="6" t="str">
        <f ca="1">IF(AND(NEGOCIAÇÕES!O1991="",NEGOCIAÇÕES!N1991&lt;TODAY()),NEGOCIAÇÕES!C1991,"")</f>
        <v/>
      </c>
      <c r="C1991" s="6">
        <f ca="1">IF(AND(NEGOCIAÇÕES!O1991="",NEGOCIAÇÕES!N1991&lt;TODAY()),NEGOCIAÇÕES!E1991,"")</f>
        <v>0</v>
      </c>
      <c r="D1991" s="6">
        <f ca="1">IF(AND(NEGOCIAÇÕES!O1991="",NEGOCIAÇÕES!N1991&lt;TODAY()),NEGOCIAÇÕES!D1991,"")</f>
        <v>0</v>
      </c>
      <c r="E1991" s="9">
        <f ca="1">IF(AND(NEGOCIAÇÕES!O1991="",NEGOCIAÇÕES!N1991&lt;TODAY()),NEGOCIAÇÕES!N1991,"")</f>
        <v>0</v>
      </c>
    </row>
    <row r="1992" spans="2:5" ht="31.95" hidden="1" customHeight="1" x14ac:dyDescent="0.3">
      <c r="B1992" s="6" t="str">
        <f ca="1">IF(AND(NEGOCIAÇÕES!O1992="",NEGOCIAÇÕES!N1992&lt;TODAY()),NEGOCIAÇÕES!C1992,"")</f>
        <v/>
      </c>
      <c r="C1992" s="6">
        <f ca="1">IF(AND(NEGOCIAÇÕES!O1992="",NEGOCIAÇÕES!N1992&lt;TODAY()),NEGOCIAÇÕES!E1992,"")</f>
        <v>0</v>
      </c>
      <c r="D1992" s="6">
        <f ca="1">IF(AND(NEGOCIAÇÕES!O1992="",NEGOCIAÇÕES!N1992&lt;TODAY()),NEGOCIAÇÕES!D1992,"")</f>
        <v>0</v>
      </c>
      <c r="E1992" s="9">
        <f ca="1">IF(AND(NEGOCIAÇÕES!O1992="",NEGOCIAÇÕES!N1992&lt;TODAY()),NEGOCIAÇÕES!N1992,"")</f>
        <v>0</v>
      </c>
    </row>
    <row r="1993" spans="2:5" ht="31.95" hidden="1" customHeight="1" x14ac:dyDescent="0.3">
      <c r="B1993" s="6" t="str">
        <f ca="1">IF(AND(NEGOCIAÇÕES!O1993="",NEGOCIAÇÕES!N1993&lt;TODAY()),NEGOCIAÇÕES!C1993,"")</f>
        <v/>
      </c>
      <c r="C1993" s="6">
        <f ca="1">IF(AND(NEGOCIAÇÕES!O1993="",NEGOCIAÇÕES!N1993&lt;TODAY()),NEGOCIAÇÕES!E1993,"")</f>
        <v>0</v>
      </c>
      <c r="D1993" s="6">
        <f ca="1">IF(AND(NEGOCIAÇÕES!O1993="",NEGOCIAÇÕES!N1993&lt;TODAY()),NEGOCIAÇÕES!D1993,"")</f>
        <v>0</v>
      </c>
      <c r="E1993" s="9">
        <f ca="1">IF(AND(NEGOCIAÇÕES!O1993="",NEGOCIAÇÕES!N1993&lt;TODAY()),NEGOCIAÇÕES!N1993,"")</f>
        <v>0</v>
      </c>
    </row>
    <row r="1994" spans="2:5" ht="31.95" hidden="1" customHeight="1" x14ac:dyDescent="0.3">
      <c r="B1994" s="6" t="str">
        <f ca="1">IF(AND(NEGOCIAÇÕES!O1994="",NEGOCIAÇÕES!N1994&lt;TODAY()),NEGOCIAÇÕES!C1994,"")</f>
        <v/>
      </c>
      <c r="C1994" s="6">
        <f ca="1">IF(AND(NEGOCIAÇÕES!O1994="",NEGOCIAÇÕES!N1994&lt;TODAY()),NEGOCIAÇÕES!E1994,"")</f>
        <v>0</v>
      </c>
      <c r="D1994" s="6">
        <f ca="1">IF(AND(NEGOCIAÇÕES!O1994="",NEGOCIAÇÕES!N1994&lt;TODAY()),NEGOCIAÇÕES!D1994,"")</f>
        <v>0</v>
      </c>
      <c r="E1994" s="9">
        <f ca="1">IF(AND(NEGOCIAÇÕES!O1994="",NEGOCIAÇÕES!N1994&lt;TODAY()),NEGOCIAÇÕES!N1994,"")</f>
        <v>0</v>
      </c>
    </row>
    <row r="1995" spans="2:5" ht="31.95" hidden="1" customHeight="1" x14ac:dyDescent="0.3">
      <c r="B1995" s="6" t="str">
        <f ca="1">IF(AND(NEGOCIAÇÕES!O1995="",NEGOCIAÇÕES!N1995&lt;TODAY()),NEGOCIAÇÕES!C1995,"")</f>
        <v/>
      </c>
      <c r="C1995" s="6">
        <f ca="1">IF(AND(NEGOCIAÇÕES!O1995="",NEGOCIAÇÕES!N1995&lt;TODAY()),NEGOCIAÇÕES!E1995,"")</f>
        <v>0</v>
      </c>
      <c r="D1995" s="6">
        <f ca="1">IF(AND(NEGOCIAÇÕES!O1995="",NEGOCIAÇÕES!N1995&lt;TODAY()),NEGOCIAÇÕES!D1995,"")</f>
        <v>0</v>
      </c>
      <c r="E1995" s="9">
        <f ca="1">IF(AND(NEGOCIAÇÕES!O1995="",NEGOCIAÇÕES!N1995&lt;TODAY()),NEGOCIAÇÕES!N1995,"")</f>
        <v>0</v>
      </c>
    </row>
    <row r="1996" spans="2:5" ht="31.95" hidden="1" customHeight="1" x14ac:dyDescent="0.3">
      <c r="B1996" s="6" t="str">
        <f ca="1">IF(AND(NEGOCIAÇÕES!O1996="",NEGOCIAÇÕES!N1996&lt;TODAY()),NEGOCIAÇÕES!C1996,"")</f>
        <v/>
      </c>
      <c r="C1996" s="6">
        <f ca="1">IF(AND(NEGOCIAÇÕES!O1996="",NEGOCIAÇÕES!N1996&lt;TODAY()),NEGOCIAÇÕES!E1996,"")</f>
        <v>0</v>
      </c>
      <c r="D1996" s="6">
        <f ca="1">IF(AND(NEGOCIAÇÕES!O1996="",NEGOCIAÇÕES!N1996&lt;TODAY()),NEGOCIAÇÕES!D1996,"")</f>
        <v>0</v>
      </c>
      <c r="E1996" s="9">
        <f ca="1">IF(AND(NEGOCIAÇÕES!O1996="",NEGOCIAÇÕES!N1996&lt;TODAY()),NEGOCIAÇÕES!N1996,"")</f>
        <v>0</v>
      </c>
    </row>
    <row r="1997" spans="2:5" ht="31.95" hidden="1" customHeight="1" x14ac:dyDescent="0.3">
      <c r="B1997" s="6" t="str">
        <f ca="1">IF(AND(NEGOCIAÇÕES!O1997="",NEGOCIAÇÕES!N1997&lt;TODAY()),NEGOCIAÇÕES!C1997,"")</f>
        <v/>
      </c>
      <c r="C1997" s="6">
        <f ca="1">IF(AND(NEGOCIAÇÕES!O1997="",NEGOCIAÇÕES!N1997&lt;TODAY()),NEGOCIAÇÕES!E1997,"")</f>
        <v>0</v>
      </c>
      <c r="D1997" s="6">
        <f ca="1">IF(AND(NEGOCIAÇÕES!O1997="",NEGOCIAÇÕES!N1997&lt;TODAY()),NEGOCIAÇÕES!D1997,"")</f>
        <v>0</v>
      </c>
      <c r="E1997" s="9">
        <f ca="1">IF(AND(NEGOCIAÇÕES!O1997="",NEGOCIAÇÕES!N1997&lt;TODAY()),NEGOCIAÇÕES!N1997,"")</f>
        <v>0</v>
      </c>
    </row>
    <row r="1998" spans="2:5" ht="31.95" hidden="1" customHeight="1" x14ac:dyDescent="0.3">
      <c r="B1998" s="6" t="str">
        <f ca="1">IF(AND(NEGOCIAÇÕES!O1998="",NEGOCIAÇÕES!N1998&lt;TODAY()),NEGOCIAÇÕES!C1998,"")</f>
        <v/>
      </c>
      <c r="C1998" s="6">
        <f ca="1">IF(AND(NEGOCIAÇÕES!O1998="",NEGOCIAÇÕES!N1998&lt;TODAY()),NEGOCIAÇÕES!E1998,"")</f>
        <v>0</v>
      </c>
      <c r="D1998" s="6">
        <f ca="1">IF(AND(NEGOCIAÇÕES!O1998="",NEGOCIAÇÕES!N1998&lt;TODAY()),NEGOCIAÇÕES!D1998,"")</f>
        <v>0</v>
      </c>
      <c r="E1998" s="9">
        <f ca="1">IF(AND(NEGOCIAÇÕES!O1998="",NEGOCIAÇÕES!N1998&lt;TODAY()),NEGOCIAÇÕES!N1998,"")</f>
        <v>0</v>
      </c>
    </row>
    <row r="1999" spans="2:5" ht="31.95" hidden="1" customHeight="1" x14ac:dyDescent="0.3">
      <c r="B1999" s="6" t="str">
        <f ca="1">IF(AND(NEGOCIAÇÕES!O1999="",NEGOCIAÇÕES!N1999&lt;TODAY()),NEGOCIAÇÕES!C1999,"")</f>
        <v/>
      </c>
      <c r="C1999" s="6">
        <f ca="1">IF(AND(NEGOCIAÇÕES!O1999="",NEGOCIAÇÕES!N1999&lt;TODAY()),NEGOCIAÇÕES!E1999,"")</f>
        <v>0</v>
      </c>
      <c r="D1999" s="6">
        <f ca="1">IF(AND(NEGOCIAÇÕES!O1999="",NEGOCIAÇÕES!N1999&lt;TODAY()),NEGOCIAÇÕES!D1999,"")</f>
        <v>0</v>
      </c>
      <c r="E1999" s="9">
        <f ca="1">IF(AND(NEGOCIAÇÕES!O1999="",NEGOCIAÇÕES!N1999&lt;TODAY()),NEGOCIAÇÕES!N1999,"")</f>
        <v>0</v>
      </c>
    </row>
    <row r="2000" spans="2:5" ht="31.95" hidden="1" customHeight="1" x14ac:dyDescent="0.3">
      <c r="B2000" s="6" t="str">
        <f ca="1">IF(AND(NEGOCIAÇÕES!O2000="",NEGOCIAÇÕES!N2000&lt;TODAY()),NEGOCIAÇÕES!C2000,"")</f>
        <v/>
      </c>
      <c r="C2000" s="6">
        <f ca="1">IF(AND(NEGOCIAÇÕES!O2000="",NEGOCIAÇÕES!N2000&lt;TODAY()),NEGOCIAÇÕES!E2000,"")</f>
        <v>0</v>
      </c>
      <c r="D2000" s="6">
        <f ca="1">IF(AND(NEGOCIAÇÕES!O2000="",NEGOCIAÇÕES!N2000&lt;TODAY()),NEGOCIAÇÕES!D2000,"")</f>
        <v>0</v>
      </c>
      <c r="E2000" s="9">
        <f ca="1">IF(AND(NEGOCIAÇÕES!O2000="",NEGOCIAÇÕES!N2000&lt;TODAY()),NEGOCIAÇÕES!N2000,"")</f>
        <v>0</v>
      </c>
    </row>
  </sheetData>
  <sheetProtection formatCells="0" formatColumns="0" formatRows="0" insertColumns="0" insertRows="0" insertHyperlinks="0" deleteColumns="0" deleteRows="0" sort="0" autoFilter="0" pivotTables="0"/>
  <autoFilter ref="B4:E2000" xr:uid="{EAD0206F-4555-47F4-8882-D0DE7BEB3BF0}">
    <filterColumn colId="0">
      <customFilters>
        <customFilter operator="notEqual" val=" "/>
      </customFilters>
    </filterColumn>
  </autoFilter>
  <hyperlinks>
    <hyperlink ref="A1" location="'Ordem de compra'!A1" display="'Ordem de compra'!A1" xr:uid="{A1140B92-5D3C-4490-9207-6D59A1B66147}"/>
  </hyperlinks>
  <pageMargins left="0.511811024" right="0.511811024" top="0.78740157499999996" bottom="0.78740157499999996" header="0.31496062000000002" footer="0.31496062000000002"/>
  <pageSetup paperSize="9" scale="47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CF277-FACF-4A63-8FC1-CD41F5C612DD}">
  <sheetPr codeName="Planilha7" filterMode="1"/>
  <dimension ref="A1:Z2000"/>
  <sheetViews>
    <sheetView showGridLine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10.6640625" style="2" customWidth="1"/>
    <col min="2" max="3" width="15.6640625" style="2" customWidth="1"/>
    <col min="4" max="4" width="42.6640625" style="2" customWidth="1"/>
    <col min="5" max="15" width="15.6640625" style="2" customWidth="1"/>
    <col min="16" max="16384" width="8.88671875" style="2"/>
  </cols>
  <sheetData>
    <row r="1" spans="1:26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4" spans="1:26" ht="31.95" customHeight="1" x14ac:dyDescent="0.3">
      <c r="B4" s="29" t="s">
        <v>1276</v>
      </c>
      <c r="C4" s="29" t="s">
        <v>4</v>
      </c>
      <c r="D4" s="29" t="s">
        <v>1275</v>
      </c>
      <c r="E4" s="29" t="s">
        <v>5</v>
      </c>
      <c r="F4" s="12"/>
      <c r="G4" s="12"/>
      <c r="H4" s="10"/>
      <c r="I4" s="10"/>
      <c r="J4" s="10"/>
      <c r="K4" s="10"/>
      <c r="L4" s="10"/>
      <c r="M4" s="10"/>
      <c r="N4" s="10"/>
      <c r="O4" s="11"/>
    </row>
    <row r="5" spans="1:26" ht="31.95" hidden="1" customHeight="1" x14ac:dyDescent="0.3">
      <c r="B5" s="6" t="str">
        <f ca="1">IF(AND(NEGOCIAÇÕES!P5="",NEGOCIAÇÕES!N5&lt;TODAY()),NEGOCIAÇÕES!C5,"")</f>
        <v/>
      </c>
      <c r="C5" s="6" t="str">
        <f ca="1">IF(AND(NEGOCIAÇÕES!P5="",NEGOCIAÇÕES!N5&lt;TODAY()),NEGOCIAÇÕES!E5,"")</f>
        <v/>
      </c>
      <c r="D5" s="6" t="str">
        <f ca="1">IF(AND(NEGOCIAÇÕES!P5="",NEGOCIAÇÕES!N5&lt;TODAY()),NEGOCIAÇÕES!D5,"")</f>
        <v/>
      </c>
      <c r="E5" s="9" t="str">
        <f ca="1">IF(AND(NEGOCIAÇÕES!P5="",NEGOCIAÇÕES!N5&lt;TODAY()),NEGOCIAÇÕES!N5,"")</f>
        <v/>
      </c>
      <c r="F5" s="6"/>
      <c r="G5" s="9"/>
      <c r="H5" s="6"/>
      <c r="I5" s="6"/>
      <c r="J5" s="6"/>
      <c r="K5" s="6"/>
      <c r="L5" s="9"/>
      <c r="M5" s="9"/>
      <c r="N5" s="6"/>
      <c r="O5" s="8"/>
    </row>
    <row r="6" spans="1:26" ht="31.95" hidden="1" customHeight="1" x14ac:dyDescent="0.3">
      <c r="B6" s="6" t="str">
        <f ca="1">IF(AND(NEGOCIAÇÕES!P6="",NEGOCIAÇÕES!N6&lt;TODAY()),NEGOCIAÇÕES!C6,"")</f>
        <v/>
      </c>
      <c r="C6" s="6" t="str">
        <f ca="1">IF(AND(NEGOCIAÇÕES!P6="",NEGOCIAÇÕES!N6&lt;TODAY()),NEGOCIAÇÕES!E6,"")</f>
        <v/>
      </c>
      <c r="D6" s="6" t="str">
        <f ca="1">IF(AND(NEGOCIAÇÕES!P6="",NEGOCIAÇÕES!N6&lt;TODAY()),NEGOCIAÇÕES!D6,"")</f>
        <v/>
      </c>
      <c r="E6" s="9" t="str">
        <f ca="1">IF(AND(NEGOCIAÇÕES!P6="",NEGOCIAÇÕES!N6&lt;TODAY()),NEGOCIAÇÕES!N6,"")</f>
        <v/>
      </c>
      <c r="F6" s="6"/>
      <c r="G6" s="9"/>
    </row>
    <row r="7" spans="1:26" ht="31.95" hidden="1" customHeight="1" x14ac:dyDescent="0.3">
      <c r="B7" s="6" t="str">
        <f ca="1">IF(AND(NEGOCIAÇÕES!P7="",NEGOCIAÇÕES!N7&lt;TODAY()),NEGOCIAÇÕES!C7,"")</f>
        <v/>
      </c>
      <c r="C7" s="6" t="str">
        <f ca="1">IF(AND(NEGOCIAÇÕES!P7="",NEGOCIAÇÕES!N7&lt;TODAY()),NEGOCIAÇÕES!E7,"")</f>
        <v/>
      </c>
      <c r="D7" s="6" t="str">
        <f ca="1">IF(AND(NEGOCIAÇÕES!P7="",NEGOCIAÇÕES!N7&lt;TODAY()),NEGOCIAÇÕES!D7,"")</f>
        <v/>
      </c>
      <c r="E7" s="9" t="str">
        <f ca="1">IF(AND(NEGOCIAÇÕES!P7="",NEGOCIAÇÕES!N7&lt;TODAY()),NEGOCIAÇÕES!N7,"")</f>
        <v/>
      </c>
      <c r="F7" s="6"/>
    </row>
    <row r="8" spans="1:26" ht="31.95" hidden="1" customHeight="1" x14ac:dyDescent="0.3">
      <c r="B8" s="6" t="str">
        <f ca="1">IF(AND(NEGOCIAÇÕES!P8="",NEGOCIAÇÕES!N8&lt;TODAY()),NEGOCIAÇÕES!C8,"")</f>
        <v/>
      </c>
      <c r="C8" s="6" t="str">
        <f ca="1">IF(AND(NEGOCIAÇÕES!P8="",NEGOCIAÇÕES!N8&lt;TODAY()),NEGOCIAÇÕES!E8,"")</f>
        <v/>
      </c>
      <c r="D8" s="6" t="str">
        <f ca="1">IF(AND(NEGOCIAÇÕES!P8="",NEGOCIAÇÕES!N8&lt;TODAY()),NEGOCIAÇÕES!D8,"")</f>
        <v/>
      </c>
      <c r="E8" s="9" t="str">
        <f ca="1">IF(AND(NEGOCIAÇÕES!P8="",NEGOCIAÇÕES!N8&lt;TODAY()),NEGOCIAÇÕES!N8,"")</f>
        <v/>
      </c>
      <c r="F8" s="6"/>
    </row>
    <row r="9" spans="1:26" ht="31.95" hidden="1" customHeight="1" x14ac:dyDescent="0.3">
      <c r="B9" s="6" t="str">
        <f ca="1">IF(AND(NEGOCIAÇÕES!P9="",NEGOCIAÇÕES!N9&lt;TODAY()),NEGOCIAÇÕES!C9,"")</f>
        <v/>
      </c>
      <c r="C9" s="6" t="str">
        <f ca="1">IF(AND(NEGOCIAÇÕES!P9="",NEGOCIAÇÕES!N9&lt;TODAY()),NEGOCIAÇÕES!E9,"")</f>
        <v/>
      </c>
      <c r="D9" s="6" t="str">
        <f ca="1">IF(AND(NEGOCIAÇÕES!P9="",NEGOCIAÇÕES!N9&lt;TODAY()),NEGOCIAÇÕES!D9,"")</f>
        <v/>
      </c>
      <c r="E9" s="9" t="str">
        <f ca="1">IF(AND(NEGOCIAÇÕES!P9="",NEGOCIAÇÕES!N9&lt;TODAY()),NEGOCIAÇÕES!N9,"")</f>
        <v/>
      </c>
      <c r="F9" s="6"/>
    </row>
    <row r="10" spans="1:26" ht="31.95" hidden="1" customHeight="1" x14ac:dyDescent="0.3">
      <c r="B10" s="6" t="str">
        <f ca="1">IF(AND(NEGOCIAÇÕES!P10="",NEGOCIAÇÕES!N10&lt;TODAY()),NEGOCIAÇÕES!C10,"")</f>
        <v/>
      </c>
      <c r="C10" s="6" t="str">
        <f ca="1">IF(AND(NEGOCIAÇÕES!P10="",NEGOCIAÇÕES!N10&lt;TODAY()),NEGOCIAÇÕES!E10,"")</f>
        <v/>
      </c>
      <c r="D10" s="6" t="str">
        <f ca="1">IF(AND(NEGOCIAÇÕES!P10="",NEGOCIAÇÕES!N10&lt;TODAY()),NEGOCIAÇÕES!D10,"")</f>
        <v/>
      </c>
      <c r="E10" s="9" t="str">
        <f ca="1">IF(AND(NEGOCIAÇÕES!P10="",NEGOCIAÇÕES!N10&lt;TODAY()),NEGOCIAÇÕES!N10,"")</f>
        <v/>
      </c>
      <c r="F10" s="6"/>
    </row>
    <row r="11" spans="1:26" ht="31.95" hidden="1" customHeight="1" x14ac:dyDescent="0.3">
      <c r="B11" s="6" t="str">
        <f ca="1">IF(AND(NEGOCIAÇÕES!P11="",NEGOCIAÇÕES!N11&lt;TODAY()),NEGOCIAÇÕES!C11,"")</f>
        <v/>
      </c>
      <c r="C11" s="6" t="str">
        <f ca="1">IF(AND(NEGOCIAÇÕES!P11="",NEGOCIAÇÕES!N11&lt;TODAY()),NEGOCIAÇÕES!E11,"")</f>
        <v/>
      </c>
      <c r="D11" s="6" t="str">
        <f ca="1">IF(AND(NEGOCIAÇÕES!P11="",NEGOCIAÇÕES!N11&lt;TODAY()),NEGOCIAÇÕES!D11,"")</f>
        <v/>
      </c>
      <c r="E11" s="9" t="str">
        <f ca="1">IF(AND(NEGOCIAÇÕES!P11="",NEGOCIAÇÕES!N11&lt;TODAY()),NEGOCIAÇÕES!N11,"")</f>
        <v/>
      </c>
      <c r="F11" s="6"/>
    </row>
    <row r="12" spans="1:26" ht="31.95" hidden="1" customHeight="1" x14ac:dyDescent="0.3">
      <c r="B12" s="6" t="str">
        <f ca="1">IF(AND(NEGOCIAÇÕES!P12="",NEGOCIAÇÕES!N12&lt;TODAY()),NEGOCIAÇÕES!C12,"")</f>
        <v/>
      </c>
      <c r="C12" s="6" t="str">
        <f ca="1">IF(AND(NEGOCIAÇÕES!P12="",NEGOCIAÇÕES!N12&lt;TODAY()),NEGOCIAÇÕES!E12,"")</f>
        <v/>
      </c>
      <c r="D12" s="6" t="str">
        <f ca="1">IF(AND(NEGOCIAÇÕES!P12="",NEGOCIAÇÕES!N12&lt;TODAY()),NEGOCIAÇÕES!D12,"")</f>
        <v/>
      </c>
      <c r="E12" s="9" t="str">
        <f ca="1">IF(AND(NEGOCIAÇÕES!P12="",NEGOCIAÇÕES!N12&lt;TODAY()),NEGOCIAÇÕES!N12,"")</f>
        <v/>
      </c>
      <c r="F12" s="6"/>
    </row>
    <row r="13" spans="1:26" ht="31.95" hidden="1" customHeight="1" x14ac:dyDescent="0.3">
      <c r="B13" s="6" t="str">
        <f ca="1">IF(AND(NEGOCIAÇÕES!P13="",NEGOCIAÇÕES!N13&lt;TODAY()),NEGOCIAÇÕES!C13,"")</f>
        <v/>
      </c>
      <c r="C13" s="6" t="str">
        <f ca="1">IF(AND(NEGOCIAÇÕES!P13="",NEGOCIAÇÕES!N13&lt;TODAY()),NEGOCIAÇÕES!E13,"")</f>
        <v/>
      </c>
      <c r="D13" s="6" t="str">
        <f ca="1">IF(AND(NEGOCIAÇÕES!P13="",NEGOCIAÇÕES!N13&lt;TODAY()),NEGOCIAÇÕES!D13,"")</f>
        <v/>
      </c>
      <c r="E13" s="9" t="str">
        <f ca="1">IF(AND(NEGOCIAÇÕES!P13="",NEGOCIAÇÕES!N13&lt;TODAY()),NEGOCIAÇÕES!N13,"")</f>
        <v/>
      </c>
      <c r="F13" s="6"/>
    </row>
    <row r="14" spans="1:26" ht="31.95" hidden="1" customHeight="1" x14ac:dyDescent="0.3">
      <c r="B14" s="6" t="str">
        <f ca="1">IF(AND(NEGOCIAÇÕES!P14="",NEGOCIAÇÕES!N14&lt;TODAY()),NEGOCIAÇÕES!C14,"")</f>
        <v/>
      </c>
      <c r="C14" s="6" t="str">
        <f ca="1">IF(AND(NEGOCIAÇÕES!P14="",NEGOCIAÇÕES!N14&lt;TODAY()),NEGOCIAÇÕES!E14,"")</f>
        <v/>
      </c>
      <c r="D14" s="6" t="str">
        <f ca="1">IF(AND(NEGOCIAÇÕES!P14="",NEGOCIAÇÕES!N14&lt;TODAY()),NEGOCIAÇÕES!D14,"")</f>
        <v/>
      </c>
      <c r="E14" s="9" t="str">
        <f ca="1">IF(AND(NEGOCIAÇÕES!P14="",NEGOCIAÇÕES!N14&lt;TODAY()),NEGOCIAÇÕES!N14,"")</f>
        <v/>
      </c>
      <c r="F14" s="6"/>
    </row>
    <row r="15" spans="1:26" ht="31.95" hidden="1" customHeight="1" x14ac:dyDescent="0.3">
      <c r="B15" s="6" t="str">
        <f ca="1">IF(AND(NEGOCIAÇÕES!P15="",NEGOCIAÇÕES!N15&lt;TODAY()),NEGOCIAÇÕES!C15,"")</f>
        <v/>
      </c>
      <c r="C15" s="6" t="str">
        <f ca="1">IF(AND(NEGOCIAÇÕES!P15="",NEGOCIAÇÕES!N15&lt;TODAY()),NEGOCIAÇÕES!E15,"")</f>
        <v/>
      </c>
      <c r="D15" s="6" t="str">
        <f ca="1">IF(AND(NEGOCIAÇÕES!P15="",NEGOCIAÇÕES!N15&lt;TODAY()),NEGOCIAÇÕES!D15,"")</f>
        <v/>
      </c>
      <c r="E15" s="9" t="str">
        <f ca="1">IF(AND(NEGOCIAÇÕES!P15="",NEGOCIAÇÕES!N15&lt;TODAY()),NEGOCIAÇÕES!N15,"")</f>
        <v/>
      </c>
      <c r="F15" s="6"/>
    </row>
    <row r="16" spans="1:26" ht="31.95" hidden="1" customHeight="1" x14ac:dyDescent="0.3">
      <c r="B16" s="6" t="str">
        <f ca="1">IF(AND(NEGOCIAÇÕES!P16="",NEGOCIAÇÕES!N16&lt;TODAY()),NEGOCIAÇÕES!C16,"")</f>
        <v/>
      </c>
      <c r="C16" s="6" t="str">
        <f ca="1">IF(AND(NEGOCIAÇÕES!P16="",NEGOCIAÇÕES!N16&lt;TODAY()),NEGOCIAÇÕES!E16,"")</f>
        <v/>
      </c>
      <c r="D16" s="6" t="str">
        <f ca="1">IF(AND(NEGOCIAÇÕES!P16="",NEGOCIAÇÕES!N16&lt;TODAY()),NEGOCIAÇÕES!D16,"")</f>
        <v/>
      </c>
      <c r="E16" s="9" t="str">
        <f ca="1">IF(AND(NEGOCIAÇÕES!P16="",NEGOCIAÇÕES!N16&lt;TODAY()),NEGOCIAÇÕES!N16,"")</f>
        <v/>
      </c>
      <c r="F16" s="6"/>
    </row>
    <row r="17" spans="2:6" ht="31.95" hidden="1" customHeight="1" x14ac:dyDescent="0.3">
      <c r="B17" s="6" t="str">
        <f ca="1">IF(AND(NEGOCIAÇÕES!P17="",NEGOCIAÇÕES!N17&lt;TODAY()),NEGOCIAÇÕES!C17,"")</f>
        <v/>
      </c>
      <c r="C17" s="6" t="str">
        <f ca="1">IF(AND(NEGOCIAÇÕES!P17="",NEGOCIAÇÕES!N17&lt;TODAY()),NEGOCIAÇÕES!E17,"")</f>
        <v/>
      </c>
      <c r="D17" s="6" t="str">
        <f ca="1">IF(AND(NEGOCIAÇÕES!P17="",NEGOCIAÇÕES!N17&lt;TODAY()),NEGOCIAÇÕES!D17,"")</f>
        <v/>
      </c>
      <c r="E17" s="9" t="str">
        <f ca="1">IF(AND(NEGOCIAÇÕES!P17="",NEGOCIAÇÕES!N17&lt;TODAY()),NEGOCIAÇÕES!N17,"")</f>
        <v/>
      </c>
      <c r="F17" s="6"/>
    </row>
    <row r="18" spans="2:6" ht="31.95" hidden="1" customHeight="1" x14ac:dyDescent="0.3">
      <c r="B18" s="6" t="str">
        <f ca="1">IF(AND(NEGOCIAÇÕES!P18="",NEGOCIAÇÕES!N18&lt;TODAY()),NEGOCIAÇÕES!C18,"")</f>
        <v/>
      </c>
      <c r="C18" s="6" t="str">
        <f ca="1">IF(AND(NEGOCIAÇÕES!P18="",NEGOCIAÇÕES!N18&lt;TODAY()),NEGOCIAÇÕES!E18,"")</f>
        <v/>
      </c>
      <c r="D18" s="6" t="str">
        <f ca="1">IF(AND(NEGOCIAÇÕES!P18="",NEGOCIAÇÕES!N18&lt;TODAY()),NEGOCIAÇÕES!D18,"")</f>
        <v/>
      </c>
      <c r="E18" s="9" t="str">
        <f ca="1">IF(AND(NEGOCIAÇÕES!P18="",NEGOCIAÇÕES!N18&lt;TODAY()),NEGOCIAÇÕES!N18,"")</f>
        <v/>
      </c>
      <c r="F18" s="6"/>
    </row>
    <row r="19" spans="2:6" ht="31.95" hidden="1" customHeight="1" x14ac:dyDescent="0.3">
      <c r="B19" s="6" t="str">
        <f ca="1">IF(AND(NEGOCIAÇÕES!P19="",NEGOCIAÇÕES!N19&lt;TODAY()),NEGOCIAÇÕES!C19,"")</f>
        <v/>
      </c>
      <c r="C19" s="6" t="str">
        <f ca="1">IF(AND(NEGOCIAÇÕES!P19="",NEGOCIAÇÕES!N19&lt;TODAY()),NEGOCIAÇÕES!E19,"")</f>
        <v/>
      </c>
      <c r="D19" s="6" t="str">
        <f ca="1">IF(AND(NEGOCIAÇÕES!P19="",NEGOCIAÇÕES!N19&lt;TODAY()),NEGOCIAÇÕES!D19,"")</f>
        <v/>
      </c>
      <c r="E19" s="9" t="str">
        <f ca="1">IF(AND(NEGOCIAÇÕES!P19="",NEGOCIAÇÕES!N19&lt;TODAY()),NEGOCIAÇÕES!N19,"")</f>
        <v/>
      </c>
      <c r="F19" s="6"/>
    </row>
    <row r="20" spans="2:6" ht="31.95" hidden="1" customHeight="1" x14ac:dyDescent="0.3">
      <c r="B20" s="6" t="str">
        <f ca="1">IF(AND(NEGOCIAÇÕES!P20="",NEGOCIAÇÕES!N20&lt;TODAY()),NEGOCIAÇÕES!C20,"")</f>
        <v/>
      </c>
      <c r="C20" s="6" t="str">
        <f ca="1">IF(AND(NEGOCIAÇÕES!P20="",NEGOCIAÇÕES!N20&lt;TODAY()),NEGOCIAÇÕES!E20,"")</f>
        <v/>
      </c>
      <c r="D20" s="6" t="str">
        <f ca="1">IF(AND(NEGOCIAÇÕES!P20="",NEGOCIAÇÕES!N20&lt;TODAY()),NEGOCIAÇÕES!D20,"")</f>
        <v/>
      </c>
      <c r="E20" s="9" t="str">
        <f ca="1">IF(AND(NEGOCIAÇÕES!P20="",NEGOCIAÇÕES!N20&lt;TODAY()),NEGOCIAÇÕES!N20,"")</f>
        <v/>
      </c>
      <c r="F20" s="6"/>
    </row>
    <row r="21" spans="2:6" ht="31.95" hidden="1" customHeight="1" x14ac:dyDescent="0.3">
      <c r="B21" s="6" t="str">
        <f ca="1">IF(AND(NEGOCIAÇÕES!P21="",NEGOCIAÇÕES!N21&lt;TODAY()),NEGOCIAÇÕES!C21,"")</f>
        <v/>
      </c>
      <c r="C21" s="6" t="str">
        <f ca="1">IF(AND(NEGOCIAÇÕES!P21="",NEGOCIAÇÕES!N21&lt;TODAY()),NEGOCIAÇÕES!E21,"")</f>
        <v/>
      </c>
      <c r="D21" s="6" t="str">
        <f ca="1">IF(AND(NEGOCIAÇÕES!P21="",NEGOCIAÇÕES!N21&lt;TODAY()),NEGOCIAÇÕES!D21,"")</f>
        <v/>
      </c>
      <c r="E21" s="9" t="str">
        <f ca="1">IF(AND(NEGOCIAÇÕES!P21="",NEGOCIAÇÕES!N21&lt;TODAY()),NEGOCIAÇÕES!N21,"")</f>
        <v/>
      </c>
      <c r="F21" s="6"/>
    </row>
    <row r="22" spans="2:6" ht="31.95" hidden="1" customHeight="1" x14ac:dyDescent="0.3">
      <c r="B22" s="6" t="str">
        <f ca="1">IF(AND(NEGOCIAÇÕES!P22="",NEGOCIAÇÕES!N22&lt;TODAY()),NEGOCIAÇÕES!C22,"")</f>
        <v/>
      </c>
      <c r="C22" s="6" t="str">
        <f ca="1">IF(AND(NEGOCIAÇÕES!P22="",NEGOCIAÇÕES!N22&lt;TODAY()),NEGOCIAÇÕES!E22,"")</f>
        <v/>
      </c>
      <c r="D22" s="6" t="str">
        <f ca="1">IF(AND(NEGOCIAÇÕES!P22="",NEGOCIAÇÕES!N22&lt;TODAY()),NEGOCIAÇÕES!D22,"")</f>
        <v/>
      </c>
      <c r="E22" s="9" t="str">
        <f ca="1">IF(AND(NEGOCIAÇÕES!P22="",NEGOCIAÇÕES!N22&lt;TODAY()),NEGOCIAÇÕES!N22,"")</f>
        <v/>
      </c>
      <c r="F22" s="6"/>
    </row>
    <row r="23" spans="2:6" ht="31.95" hidden="1" customHeight="1" x14ac:dyDescent="0.3">
      <c r="B23" s="6" t="str">
        <f ca="1">IF(AND(NEGOCIAÇÕES!P23="",NEGOCIAÇÕES!N23&lt;TODAY()),NEGOCIAÇÕES!C23,"")</f>
        <v/>
      </c>
      <c r="C23" s="6" t="str">
        <f ca="1">IF(AND(NEGOCIAÇÕES!P23="",NEGOCIAÇÕES!N23&lt;TODAY()),NEGOCIAÇÕES!E23,"")</f>
        <v/>
      </c>
      <c r="D23" s="6" t="str">
        <f ca="1">IF(AND(NEGOCIAÇÕES!P23="",NEGOCIAÇÕES!N23&lt;TODAY()),NEGOCIAÇÕES!D23,"")</f>
        <v/>
      </c>
      <c r="E23" s="9" t="str">
        <f ca="1">IF(AND(NEGOCIAÇÕES!P23="",NEGOCIAÇÕES!N23&lt;TODAY()),NEGOCIAÇÕES!N23,"")</f>
        <v/>
      </c>
      <c r="F23" s="6"/>
    </row>
    <row r="24" spans="2:6" ht="31.95" hidden="1" customHeight="1" x14ac:dyDescent="0.3">
      <c r="B24" s="6" t="str">
        <f ca="1">IF(AND(NEGOCIAÇÕES!P24="",NEGOCIAÇÕES!N24&lt;TODAY()),NEGOCIAÇÕES!C24,"")</f>
        <v/>
      </c>
      <c r="C24" s="6" t="str">
        <f ca="1">IF(AND(NEGOCIAÇÕES!P24="",NEGOCIAÇÕES!N24&lt;TODAY()),NEGOCIAÇÕES!E24,"")</f>
        <v/>
      </c>
      <c r="D24" s="6" t="str">
        <f ca="1">IF(AND(NEGOCIAÇÕES!P24="",NEGOCIAÇÕES!N24&lt;TODAY()),NEGOCIAÇÕES!D24,"")</f>
        <v/>
      </c>
      <c r="E24" s="9" t="str">
        <f ca="1">IF(AND(NEGOCIAÇÕES!P24="",NEGOCIAÇÕES!N24&lt;TODAY()),NEGOCIAÇÕES!N24,"")</f>
        <v/>
      </c>
      <c r="F24" s="6"/>
    </row>
    <row r="25" spans="2:6" ht="31.95" hidden="1" customHeight="1" x14ac:dyDescent="0.3">
      <c r="B25" s="6" t="str">
        <f ca="1">IF(AND(NEGOCIAÇÕES!P25="",NEGOCIAÇÕES!N25&lt;TODAY()),NEGOCIAÇÕES!C25,"")</f>
        <v/>
      </c>
      <c r="C25" s="6" t="str">
        <f ca="1">IF(AND(NEGOCIAÇÕES!P25="",NEGOCIAÇÕES!N25&lt;TODAY()),NEGOCIAÇÕES!E25,"")</f>
        <v/>
      </c>
      <c r="D25" s="6" t="str">
        <f ca="1">IF(AND(NEGOCIAÇÕES!P25="",NEGOCIAÇÕES!N25&lt;TODAY()),NEGOCIAÇÕES!D25,"")</f>
        <v/>
      </c>
      <c r="E25" s="9" t="str">
        <f ca="1">IF(AND(NEGOCIAÇÕES!P25="",NEGOCIAÇÕES!N25&lt;TODAY()),NEGOCIAÇÕES!N25,"")</f>
        <v/>
      </c>
      <c r="F25" s="6"/>
    </row>
    <row r="26" spans="2:6" ht="31.95" hidden="1" customHeight="1" x14ac:dyDescent="0.3">
      <c r="B26" s="6" t="str">
        <f ca="1">IF(AND(NEGOCIAÇÕES!P26="",NEGOCIAÇÕES!N26&lt;TODAY()),NEGOCIAÇÕES!C26,"")</f>
        <v/>
      </c>
      <c r="C26" s="6" t="str">
        <f ca="1">IF(AND(NEGOCIAÇÕES!P26="",NEGOCIAÇÕES!N26&lt;TODAY()),NEGOCIAÇÕES!E26,"")</f>
        <v/>
      </c>
      <c r="D26" s="6" t="str">
        <f ca="1">IF(AND(NEGOCIAÇÕES!P26="",NEGOCIAÇÕES!N26&lt;TODAY()),NEGOCIAÇÕES!D26,"")</f>
        <v/>
      </c>
      <c r="E26" s="9" t="str">
        <f ca="1">IF(AND(NEGOCIAÇÕES!P26="",NEGOCIAÇÕES!N26&lt;TODAY()),NEGOCIAÇÕES!N26,"")</f>
        <v/>
      </c>
      <c r="F26" s="6"/>
    </row>
    <row r="27" spans="2:6" ht="31.95" hidden="1" customHeight="1" x14ac:dyDescent="0.3">
      <c r="B27" s="6" t="str">
        <f ca="1">IF(AND(NEGOCIAÇÕES!P27="",NEGOCIAÇÕES!N27&lt;TODAY()),NEGOCIAÇÕES!C27,"")</f>
        <v/>
      </c>
      <c r="C27" s="6" t="str">
        <f ca="1">IF(AND(NEGOCIAÇÕES!P27="",NEGOCIAÇÕES!N27&lt;TODAY()),NEGOCIAÇÕES!E27,"")</f>
        <v/>
      </c>
      <c r="D27" s="6" t="str">
        <f ca="1">IF(AND(NEGOCIAÇÕES!P27="",NEGOCIAÇÕES!N27&lt;TODAY()),NEGOCIAÇÕES!D27,"")</f>
        <v/>
      </c>
      <c r="E27" s="9" t="str">
        <f ca="1">IF(AND(NEGOCIAÇÕES!P27="",NEGOCIAÇÕES!N27&lt;TODAY()),NEGOCIAÇÕES!N27,"")</f>
        <v/>
      </c>
      <c r="F27" s="6"/>
    </row>
    <row r="28" spans="2:6" ht="31.95" hidden="1" customHeight="1" x14ac:dyDescent="0.3">
      <c r="B28" s="6" t="str">
        <f ca="1">IF(AND(NEGOCIAÇÕES!P28="",NEGOCIAÇÕES!N28&lt;TODAY()),NEGOCIAÇÕES!C28,"")</f>
        <v/>
      </c>
      <c r="C28" s="6" t="str">
        <f ca="1">IF(AND(NEGOCIAÇÕES!P28="",NEGOCIAÇÕES!N28&lt;TODAY()),NEGOCIAÇÕES!E28,"")</f>
        <v/>
      </c>
      <c r="D28" s="6" t="str">
        <f ca="1">IF(AND(NEGOCIAÇÕES!P28="",NEGOCIAÇÕES!N28&lt;TODAY()),NEGOCIAÇÕES!D28,"")</f>
        <v/>
      </c>
      <c r="E28" s="9" t="str">
        <f ca="1">IF(AND(NEGOCIAÇÕES!P28="",NEGOCIAÇÕES!N28&lt;TODAY()),NEGOCIAÇÕES!N28,"")</f>
        <v/>
      </c>
      <c r="F28" s="6"/>
    </row>
    <row r="29" spans="2:6" ht="31.95" hidden="1" customHeight="1" x14ac:dyDescent="0.3">
      <c r="B29" s="6" t="str">
        <f ca="1">IF(AND(NEGOCIAÇÕES!P29="",NEGOCIAÇÕES!N29&lt;TODAY()),NEGOCIAÇÕES!C29,"")</f>
        <v/>
      </c>
      <c r="C29" s="6" t="str">
        <f ca="1">IF(AND(NEGOCIAÇÕES!P29="",NEGOCIAÇÕES!N29&lt;TODAY()),NEGOCIAÇÕES!E29,"")</f>
        <v/>
      </c>
      <c r="D29" s="6" t="str">
        <f ca="1">IF(AND(NEGOCIAÇÕES!P29="",NEGOCIAÇÕES!N29&lt;TODAY()),NEGOCIAÇÕES!D29,"")</f>
        <v/>
      </c>
      <c r="E29" s="9" t="str">
        <f ca="1">IF(AND(NEGOCIAÇÕES!P29="",NEGOCIAÇÕES!N29&lt;TODAY()),NEGOCIAÇÕES!N29,"")</f>
        <v/>
      </c>
      <c r="F29" s="6"/>
    </row>
    <row r="30" spans="2:6" ht="31.95" hidden="1" customHeight="1" x14ac:dyDescent="0.3">
      <c r="B30" s="6" t="str">
        <f ca="1">IF(AND(NEGOCIAÇÕES!P30="",NEGOCIAÇÕES!N30&lt;TODAY()),NEGOCIAÇÕES!C30,"")</f>
        <v/>
      </c>
      <c r="C30" s="6" t="str">
        <f ca="1">IF(AND(NEGOCIAÇÕES!P30="",NEGOCIAÇÕES!N30&lt;TODAY()),NEGOCIAÇÕES!E30,"")</f>
        <v/>
      </c>
      <c r="D30" s="6" t="str">
        <f ca="1">IF(AND(NEGOCIAÇÕES!P30="",NEGOCIAÇÕES!N30&lt;TODAY()),NEGOCIAÇÕES!D30,"")</f>
        <v/>
      </c>
      <c r="E30" s="9" t="str">
        <f ca="1">IF(AND(NEGOCIAÇÕES!P30="",NEGOCIAÇÕES!N30&lt;TODAY()),NEGOCIAÇÕES!N30,"")</f>
        <v/>
      </c>
      <c r="F30" s="6"/>
    </row>
    <row r="31" spans="2:6" ht="31.95" hidden="1" customHeight="1" x14ac:dyDescent="0.3">
      <c r="B31" s="6" t="str">
        <f ca="1">IF(AND(NEGOCIAÇÕES!P31="",NEGOCIAÇÕES!N31&lt;TODAY()),NEGOCIAÇÕES!C31,"")</f>
        <v/>
      </c>
      <c r="C31" s="6" t="str">
        <f ca="1">IF(AND(NEGOCIAÇÕES!P31="",NEGOCIAÇÕES!N31&lt;TODAY()),NEGOCIAÇÕES!E31,"")</f>
        <v/>
      </c>
      <c r="D31" s="6" t="str">
        <f ca="1">IF(AND(NEGOCIAÇÕES!P31="",NEGOCIAÇÕES!N31&lt;TODAY()),NEGOCIAÇÕES!D31,"")</f>
        <v/>
      </c>
      <c r="E31" s="9" t="str">
        <f ca="1">IF(AND(NEGOCIAÇÕES!P31="",NEGOCIAÇÕES!N31&lt;TODAY()),NEGOCIAÇÕES!N31,"")</f>
        <v/>
      </c>
      <c r="F31" s="6"/>
    </row>
    <row r="32" spans="2:6" ht="31.95" hidden="1" customHeight="1" x14ac:dyDescent="0.3">
      <c r="B32" s="6" t="str">
        <f ca="1">IF(AND(NEGOCIAÇÕES!P32="",NEGOCIAÇÕES!N32&lt;TODAY()),NEGOCIAÇÕES!C32,"")</f>
        <v/>
      </c>
      <c r="C32" s="6" t="str">
        <f ca="1">IF(AND(NEGOCIAÇÕES!P32="",NEGOCIAÇÕES!N32&lt;TODAY()),NEGOCIAÇÕES!E32,"")</f>
        <v/>
      </c>
      <c r="D32" s="6" t="str">
        <f ca="1">IF(AND(NEGOCIAÇÕES!P32="",NEGOCIAÇÕES!N32&lt;TODAY()),NEGOCIAÇÕES!D32,"")</f>
        <v/>
      </c>
      <c r="E32" s="9" t="str">
        <f ca="1">IF(AND(NEGOCIAÇÕES!P32="",NEGOCIAÇÕES!N32&lt;TODAY()),NEGOCIAÇÕES!N32,"")</f>
        <v/>
      </c>
      <c r="F32" s="6"/>
    </row>
    <row r="33" spans="2:6" ht="31.95" hidden="1" customHeight="1" x14ac:dyDescent="0.3">
      <c r="B33" s="6" t="str">
        <f ca="1">IF(AND(NEGOCIAÇÕES!P33="",NEGOCIAÇÕES!N33&lt;TODAY()),NEGOCIAÇÕES!C33,"")</f>
        <v/>
      </c>
      <c r="C33" s="6" t="str">
        <f ca="1">IF(AND(NEGOCIAÇÕES!P33="",NEGOCIAÇÕES!N33&lt;TODAY()),NEGOCIAÇÕES!E33,"")</f>
        <v/>
      </c>
      <c r="D33" s="6" t="str">
        <f ca="1">IF(AND(NEGOCIAÇÕES!P33="",NEGOCIAÇÕES!N33&lt;TODAY()),NEGOCIAÇÕES!D33,"")</f>
        <v/>
      </c>
      <c r="E33" s="9" t="str">
        <f ca="1">IF(AND(NEGOCIAÇÕES!P33="",NEGOCIAÇÕES!N33&lt;TODAY()),NEGOCIAÇÕES!N33,"")</f>
        <v/>
      </c>
      <c r="F33" s="6"/>
    </row>
    <row r="34" spans="2:6" ht="31.95" hidden="1" customHeight="1" x14ac:dyDescent="0.3">
      <c r="B34" s="6" t="str">
        <f ca="1">IF(AND(NEGOCIAÇÕES!P34="",NEGOCIAÇÕES!N34&lt;TODAY()),NEGOCIAÇÕES!C34,"")</f>
        <v/>
      </c>
      <c r="C34" s="6" t="str">
        <f ca="1">IF(AND(NEGOCIAÇÕES!P34="",NEGOCIAÇÕES!N34&lt;TODAY()),NEGOCIAÇÕES!E34,"")</f>
        <v/>
      </c>
      <c r="D34" s="6" t="str">
        <f ca="1">IF(AND(NEGOCIAÇÕES!P34="",NEGOCIAÇÕES!N34&lt;TODAY()),NEGOCIAÇÕES!D34,"")</f>
        <v/>
      </c>
      <c r="E34" s="9" t="str">
        <f ca="1">IF(AND(NEGOCIAÇÕES!P34="",NEGOCIAÇÕES!N34&lt;TODAY()),NEGOCIAÇÕES!N34,"")</f>
        <v/>
      </c>
      <c r="F34" s="6"/>
    </row>
    <row r="35" spans="2:6" ht="31.95" hidden="1" customHeight="1" x14ac:dyDescent="0.3">
      <c r="B35" s="6" t="str">
        <f ca="1">IF(AND(NEGOCIAÇÕES!P35="",NEGOCIAÇÕES!N35&lt;TODAY()),NEGOCIAÇÕES!C35,"")</f>
        <v/>
      </c>
      <c r="C35" s="6" t="str">
        <f ca="1">IF(AND(NEGOCIAÇÕES!P35="",NEGOCIAÇÕES!N35&lt;TODAY()),NEGOCIAÇÕES!E35,"")</f>
        <v/>
      </c>
      <c r="D35" s="6" t="str">
        <f ca="1">IF(AND(NEGOCIAÇÕES!P35="",NEGOCIAÇÕES!N35&lt;TODAY()),NEGOCIAÇÕES!D35,"")</f>
        <v/>
      </c>
      <c r="E35" s="9" t="str">
        <f ca="1">IF(AND(NEGOCIAÇÕES!P35="",NEGOCIAÇÕES!N35&lt;TODAY()),NEGOCIAÇÕES!N35,"")</f>
        <v/>
      </c>
      <c r="F35" s="6"/>
    </row>
    <row r="36" spans="2:6" ht="31.95" hidden="1" customHeight="1" x14ac:dyDescent="0.3">
      <c r="B36" s="6" t="str">
        <f ca="1">IF(AND(NEGOCIAÇÕES!P36="",NEGOCIAÇÕES!N36&lt;TODAY()),NEGOCIAÇÕES!C36,"")</f>
        <v/>
      </c>
      <c r="C36" s="6" t="str">
        <f ca="1">IF(AND(NEGOCIAÇÕES!P36="",NEGOCIAÇÕES!N36&lt;TODAY()),NEGOCIAÇÕES!E36,"")</f>
        <v/>
      </c>
      <c r="D36" s="6" t="str">
        <f ca="1">IF(AND(NEGOCIAÇÕES!P36="",NEGOCIAÇÕES!N36&lt;TODAY()),NEGOCIAÇÕES!D36,"")</f>
        <v/>
      </c>
      <c r="E36" s="9" t="str">
        <f ca="1">IF(AND(NEGOCIAÇÕES!P36="",NEGOCIAÇÕES!N36&lt;TODAY()),NEGOCIAÇÕES!N36,"")</f>
        <v/>
      </c>
      <c r="F36" s="6"/>
    </row>
    <row r="37" spans="2:6" ht="31.95" hidden="1" customHeight="1" x14ac:dyDescent="0.3">
      <c r="B37" s="6" t="str">
        <f ca="1">IF(AND(NEGOCIAÇÕES!P37="",NEGOCIAÇÕES!N37&lt;TODAY()),NEGOCIAÇÕES!C37,"")</f>
        <v/>
      </c>
      <c r="C37" s="6" t="str">
        <f ca="1">IF(AND(NEGOCIAÇÕES!P37="",NEGOCIAÇÕES!N37&lt;TODAY()),NEGOCIAÇÕES!E37,"")</f>
        <v/>
      </c>
      <c r="D37" s="6" t="str">
        <f ca="1">IF(AND(NEGOCIAÇÕES!P37="",NEGOCIAÇÕES!N37&lt;TODAY()),NEGOCIAÇÕES!D37,"")</f>
        <v/>
      </c>
      <c r="E37" s="9" t="str">
        <f ca="1">IF(AND(NEGOCIAÇÕES!P37="",NEGOCIAÇÕES!N37&lt;TODAY()),NEGOCIAÇÕES!N37,"")</f>
        <v/>
      </c>
      <c r="F37" s="6"/>
    </row>
    <row r="38" spans="2:6" ht="31.95" hidden="1" customHeight="1" x14ac:dyDescent="0.3">
      <c r="B38" s="6" t="str">
        <f ca="1">IF(AND(NEGOCIAÇÕES!P38="",NEGOCIAÇÕES!N38&lt;TODAY()),NEGOCIAÇÕES!C38,"")</f>
        <v/>
      </c>
      <c r="C38" s="6" t="str">
        <f ca="1">IF(AND(NEGOCIAÇÕES!P38="",NEGOCIAÇÕES!N38&lt;TODAY()),NEGOCIAÇÕES!E38,"")</f>
        <v/>
      </c>
      <c r="D38" s="6" t="str">
        <f ca="1">IF(AND(NEGOCIAÇÕES!P38="",NEGOCIAÇÕES!N38&lt;TODAY()),NEGOCIAÇÕES!D38,"")</f>
        <v/>
      </c>
      <c r="E38" s="9" t="str">
        <f ca="1">IF(AND(NEGOCIAÇÕES!P38="",NEGOCIAÇÕES!N38&lt;TODAY()),NEGOCIAÇÕES!N38,"")</f>
        <v/>
      </c>
      <c r="F38" s="6"/>
    </row>
    <row r="39" spans="2:6" ht="31.95" hidden="1" customHeight="1" x14ac:dyDescent="0.3">
      <c r="B39" s="6" t="str">
        <f ca="1">IF(AND(NEGOCIAÇÕES!P39="",NEGOCIAÇÕES!N39&lt;TODAY()),NEGOCIAÇÕES!C39,"")</f>
        <v/>
      </c>
      <c r="C39" s="6" t="str">
        <f ca="1">IF(AND(NEGOCIAÇÕES!P39="",NEGOCIAÇÕES!N39&lt;TODAY()),NEGOCIAÇÕES!E39,"")</f>
        <v/>
      </c>
      <c r="D39" s="6" t="str">
        <f ca="1">IF(AND(NEGOCIAÇÕES!P39="",NEGOCIAÇÕES!N39&lt;TODAY()),NEGOCIAÇÕES!D39,"")</f>
        <v/>
      </c>
      <c r="E39" s="9" t="str">
        <f ca="1">IF(AND(NEGOCIAÇÕES!P39="",NEGOCIAÇÕES!N39&lt;TODAY()),NEGOCIAÇÕES!N39,"")</f>
        <v/>
      </c>
      <c r="F39" s="6"/>
    </row>
    <row r="40" spans="2:6" ht="31.95" hidden="1" customHeight="1" x14ac:dyDescent="0.3">
      <c r="B40" s="6" t="str">
        <f ca="1">IF(AND(NEGOCIAÇÕES!P40="",NEGOCIAÇÕES!N40&lt;TODAY()),NEGOCIAÇÕES!C40,"")</f>
        <v/>
      </c>
      <c r="C40" s="6" t="str">
        <f ca="1">IF(AND(NEGOCIAÇÕES!P40="",NEGOCIAÇÕES!N40&lt;TODAY()),NEGOCIAÇÕES!E40,"")</f>
        <v/>
      </c>
      <c r="D40" s="6" t="str">
        <f ca="1">IF(AND(NEGOCIAÇÕES!P40="",NEGOCIAÇÕES!N40&lt;TODAY()),NEGOCIAÇÕES!D40,"")</f>
        <v/>
      </c>
      <c r="E40" s="9" t="str">
        <f ca="1">IF(AND(NEGOCIAÇÕES!P40="",NEGOCIAÇÕES!N40&lt;TODAY()),NEGOCIAÇÕES!N40,"")</f>
        <v/>
      </c>
      <c r="F40" s="6"/>
    </row>
    <row r="41" spans="2:6" ht="31.95" hidden="1" customHeight="1" x14ac:dyDescent="0.3">
      <c r="B41" s="6" t="str">
        <f ca="1">IF(AND(NEGOCIAÇÕES!P41="",NEGOCIAÇÕES!N41&lt;TODAY()),NEGOCIAÇÕES!C41,"")</f>
        <v/>
      </c>
      <c r="C41" s="6" t="str">
        <f ca="1">IF(AND(NEGOCIAÇÕES!P41="",NEGOCIAÇÕES!N41&lt;TODAY()),NEGOCIAÇÕES!E41,"")</f>
        <v/>
      </c>
      <c r="D41" s="6" t="str">
        <f ca="1">IF(AND(NEGOCIAÇÕES!P41="",NEGOCIAÇÕES!N41&lt;TODAY()),NEGOCIAÇÕES!D41,"")</f>
        <v/>
      </c>
      <c r="E41" s="9" t="str">
        <f ca="1">IF(AND(NEGOCIAÇÕES!P41="",NEGOCIAÇÕES!N41&lt;TODAY()),NEGOCIAÇÕES!N41,"")</f>
        <v/>
      </c>
      <c r="F41" s="6"/>
    </row>
    <row r="42" spans="2:6" ht="31.95" hidden="1" customHeight="1" x14ac:dyDescent="0.3">
      <c r="B42" s="6" t="str">
        <f ca="1">IF(AND(NEGOCIAÇÕES!P42="",NEGOCIAÇÕES!N42&lt;TODAY()),NEGOCIAÇÕES!C42,"")</f>
        <v/>
      </c>
      <c r="C42" s="6" t="str">
        <f ca="1">IF(AND(NEGOCIAÇÕES!P42="",NEGOCIAÇÕES!N42&lt;TODAY()),NEGOCIAÇÕES!E42,"")</f>
        <v/>
      </c>
      <c r="D42" s="6" t="str">
        <f ca="1">IF(AND(NEGOCIAÇÕES!P42="",NEGOCIAÇÕES!N42&lt;TODAY()),NEGOCIAÇÕES!D42,"")</f>
        <v/>
      </c>
      <c r="E42" s="9" t="str">
        <f ca="1">IF(AND(NEGOCIAÇÕES!P42="",NEGOCIAÇÕES!N42&lt;TODAY()),NEGOCIAÇÕES!N42,"")</f>
        <v/>
      </c>
      <c r="F42" s="6"/>
    </row>
    <row r="43" spans="2:6" ht="31.95" hidden="1" customHeight="1" x14ac:dyDescent="0.3">
      <c r="B43" s="6" t="str">
        <f ca="1">IF(AND(NEGOCIAÇÕES!P43="",NEGOCIAÇÕES!N43&lt;TODAY()),NEGOCIAÇÕES!C43,"")</f>
        <v/>
      </c>
      <c r="C43" s="6" t="str">
        <f ca="1">IF(AND(NEGOCIAÇÕES!P43="",NEGOCIAÇÕES!N43&lt;TODAY()),NEGOCIAÇÕES!E43,"")</f>
        <v/>
      </c>
      <c r="D43" s="6" t="str">
        <f ca="1">IF(AND(NEGOCIAÇÕES!P43="",NEGOCIAÇÕES!N43&lt;TODAY()),NEGOCIAÇÕES!D43,"")</f>
        <v/>
      </c>
      <c r="E43" s="9" t="str">
        <f ca="1">IF(AND(NEGOCIAÇÕES!P43="",NEGOCIAÇÕES!N43&lt;TODAY()),NEGOCIAÇÕES!N43,"")</f>
        <v/>
      </c>
      <c r="F43" s="6"/>
    </row>
    <row r="44" spans="2:6" ht="31.95" hidden="1" customHeight="1" x14ac:dyDescent="0.3">
      <c r="B44" s="6" t="str">
        <f ca="1">IF(AND(NEGOCIAÇÕES!P44="",NEGOCIAÇÕES!N44&lt;TODAY()),NEGOCIAÇÕES!C44,"")</f>
        <v/>
      </c>
      <c r="C44" s="6" t="str">
        <f ca="1">IF(AND(NEGOCIAÇÕES!P44="",NEGOCIAÇÕES!N44&lt;TODAY()),NEGOCIAÇÕES!E44,"")</f>
        <v/>
      </c>
      <c r="D44" s="6" t="str">
        <f ca="1">IF(AND(NEGOCIAÇÕES!P44="",NEGOCIAÇÕES!N44&lt;TODAY()),NEGOCIAÇÕES!D44,"")</f>
        <v/>
      </c>
      <c r="E44" s="9" t="str">
        <f ca="1">IF(AND(NEGOCIAÇÕES!P44="",NEGOCIAÇÕES!N44&lt;TODAY()),NEGOCIAÇÕES!N44,"")</f>
        <v/>
      </c>
      <c r="F44" s="6"/>
    </row>
    <row r="45" spans="2:6" ht="31.95" hidden="1" customHeight="1" x14ac:dyDescent="0.3">
      <c r="B45" s="6" t="str">
        <f ca="1">IF(AND(NEGOCIAÇÕES!P45="",NEGOCIAÇÕES!N45&lt;TODAY()),NEGOCIAÇÕES!C45,"")</f>
        <v/>
      </c>
      <c r="C45" s="6" t="str">
        <f ca="1">IF(AND(NEGOCIAÇÕES!P45="",NEGOCIAÇÕES!N45&lt;TODAY()),NEGOCIAÇÕES!E45,"")</f>
        <v/>
      </c>
      <c r="D45" s="6" t="str">
        <f ca="1">IF(AND(NEGOCIAÇÕES!P45="",NEGOCIAÇÕES!N45&lt;TODAY()),NEGOCIAÇÕES!D45,"")</f>
        <v/>
      </c>
      <c r="E45" s="9" t="str">
        <f ca="1">IF(AND(NEGOCIAÇÕES!P45="",NEGOCIAÇÕES!N45&lt;TODAY()),NEGOCIAÇÕES!N45,"")</f>
        <v/>
      </c>
      <c r="F45" s="6"/>
    </row>
    <row r="46" spans="2:6" ht="31.95" hidden="1" customHeight="1" x14ac:dyDescent="0.3">
      <c r="B46" s="6" t="str">
        <f ca="1">IF(AND(NEGOCIAÇÕES!P46="",NEGOCIAÇÕES!N46&lt;TODAY()),NEGOCIAÇÕES!C46,"")</f>
        <v/>
      </c>
      <c r="C46" s="6" t="str">
        <f ca="1">IF(AND(NEGOCIAÇÕES!P46="",NEGOCIAÇÕES!N46&lt;TODAY()),NEGOCIAÇÕES!E46,"")</f>
        <v/>
      </c>
      <c r="D46" s="6" t="str">
        <f ca="1">IF(AND(NEGOCIAÇÕES!P46="",NEGOCIAÇÕES!N46&lt;TODAY()),NEGOCIAÇÕES!D46,"")</f>
        <v/>
      </c>
      <c r="E46" s="9" t="str">
        <f ca="1">IF(AND(NEGOCIAÇÕES!P46="",NEGOCIAÇÕES!N46&lt;TODAY()),NEGOCIAÇÕES!N46,"")</f>
        <v/>
      </c>
      <c r="F46" s="6"/>
    </row>
    <row r="47" spans="2:6" ht="31.95" hidden="1" customHeight="1" x14ac:dyDescent="0.3">
      <c r="B47" s="6" t="str">
        <f ca="1">IF(AND(NEGOCIAÇÕES!P47="",NEGOCIAÇÕES!N47&lt;TODAY()),NEGOCIAÇÕES!C47,"")</f>
        <v/>
      </c>
      <c r="C47" s="6" t="str">
        <f ca="1">IF(AND(NEGOCIAÇÕES!P47="",NEGOCIAÇÕES!N47&lt;TODAY()),NEGOCIAÇÕES!E47,"")</f>
        <v/>
      </c>
      <c r="D47" s="6" t="str">
        <f ca="1">IF(AND(NEGOCIAÇÕES!P47="",NEGOCIAÇÕES!N47&lt;TODAY()),NEGOCIAÇÕES!D47,"")</f>
        <v/>
      </c>
      <c r="E47" s="9" t="str">
        <f ca="1">IF(AND(NEGOCIAÇÕES!P47="",NEGOCIAÇÕES!N47&lt;TODAY()),NEGOCIAÇÕES!N47,"")</f>
        <v/>
      </c>
      <c r="F47" s="6"/>
    </row>
    <row r="48" spans="2:6" ht="31.95" hidden="1" customHeight="1" x14ac:dyDescent="0.3">
      <c r="B48" s="6" t="str">
        <f ca="1">IF(AND(NEGOCIAÇÕES!P48="",NEGOCIAÇÕES!N48&lt;TODAY()),NEGOCIAÇÕES!C48,"")</f>
        <v/>
      </c>
      <c r="C48" s="6" t="str">
        <f ca="1">IF(AND(NEGOCIAÇÕES!P48="",NEGOCIAÇÕES!N48&lt;TODAY()),NEGOCIAÇÕES!E48,"")</f>
        <v/>
      </c>
      <c r="D48" s="6" t="str">
        <f ca="1">IF(AND(NEGOCIAÇÕES!P48="",NEGOCIAÇÕES!N48&lt;TODAY()),NEGOCIAÇÕES!D48,"")</f>
        <v/>
      </c>
      <c r="E48" s="9" t="str">
        <f ca="1">IF(AND(NEGOCIAÇÕES!P48="",NEGOCIAÇÕES!N48&lt;TODAY()),NEGOCIAÇÕES!N48,"")</f>
        <v/>
      </c>
      <c r="F48" s="6"/>
    </row>
    <row r="49" spans="2:6" ht="31.95" hidden="1" customHeight="1" x14ac:dyDescent="0.3">
      <c r="B49" s="6" t="str">
        <f ca="1">IF(AND(NEGOCIAÇÕES!P49="",NEGOCIAÇÕES!N49&lt;TODAY()),NEGOCIAÇÕES!C49,"")</f>
        <v/>
      </c>
      <c r="C49" s="6" t="str">
        <f ca="1">IF(AND(NEGOCIAÇÕES!P49="",NEGOCIAÇÕES!N49&lt;TODAY()),NEGOCIAÇÕES!E49,"")</f>
        <v/>
      </c>
      <c r="D49" s="6" t="str">
        <f ca="1">IF(AND(NEGOCIAÇÕES!P49="",NEGOCIAÇÕES!N49&lt;TODAY()),NEGOCIAÇÕES!D49,"")</f>
        <v/>
      </c>
      <c r="E49" s="9" t="str">
        <f ca="1">IF(AND(NEGOCIAÇÕES!P49="",NEGOCIAÇÕES!N49&lt;TODAY()),NEGOCIAÇÕES!N49,"")</f>
        <v/>
      </c>
      <c r="F49" s="6"/>
    </row>
    <row r="50" spans="2:6" ht="31.95" hidden="1" customHeight="1" x14ac:dyDescent="0.3">
      <c r="B50" s="6" t="str">
        <f ca="1">IF(AND(NEGOCIAÇÕES!P50="",NEGOCIAÇÕES!N50&lt;TODAY()),NEGOCIAÇÕES!C50,"")</f>
        <v/>
      </c>
      <c r="C50" s="6" t="str">
        <f ca="1">IF(AND(NEGOCIAÇÕES!P50="",NEGOCIAÇÕES!N50&lt;TODAY()),NEGOCIAÇÕES!E50,"")</f>
        <v/>
      </c>
      <c r="D50" s="6" t="str">
        <f ca="1">IF(AND(NEGOCIAÇÕES!P50="",NEGOCIAÇÕES!N50&lt;TODAY()),NEGOCIAÇÕES!D50,"")</f>
        <v/>
      </c>
      <c r="E50" s="9" t="str">
        <f ca="1">IF(AND(NEGOCIAÇÕES!P50="",NEGOCIAÇÕES!N50&lt;TODAY()),NEGOCIAÇÕES!N50,"")</f>
        <v/>
      </c>
      <c r="F50" s="6"/>
    </row>
    <row r="51" spans="2:6" ht="31.95" hidden="1" customHeight="1" x14ac:dyDescent="0.3">
      <c r="B51" s="6" t="str">
        <f ca="1">IF(AND(NEGOCIAÇÕES!P51="",NEGOCIAÇÕES!N51&lt;TODAY()),NEGOCIAÇÕES!C51,"")</f>
        <v/>
      </c>
      <c r="C51" s="6" t="str">
        <f ca="1">IF(AND(NEGOCIAÇÕES!P51="",NEGOCIAÇÕES!N51&lt;TODAY()),NEGOCIAÇÕES!E51,"")</f>
        <v/>
      </c>
      <c r="D51" s="6" t="str">
        <f ca="1">IF(AND(NEGOCIAÇÕES!P51="",NEGOCIAÇÕES!N51&lt;TODAY()),NEGOCIAÇÕES!D51,"")</f>
        <v/>
      </c>
      <c r="E51" s="9" t="str">
        <f ca="1">IF(AND(NEGOCIAÇÕES!P51="",NEGOCIAÇÕES!N51&lt;TODAY()),NEGOCIAÇÕES!N51,"")</f>
        <v/>
      </c>
      <c r="F51" s="6"/>
    </row>
    <row r="52" spans="2:6" ht="31.95" hidden="1" customHeight="1" x14ac:dyDescent="0.3">
      <c r="B52" s="6" t="str">
        <f ca="1">IF(AND(NEGOCIAÇÕES!P52="",NEGOCIAÇÕES!N52&lt;TODAY()),NEGOCIAÇÕES!C52,"")</f>
        <v/>
      </c>
      <c r="C52" s="6" t="str">
        <f ca="1">IF(AND(NEGOCIAÇÕES!P52="",NEGOCIAÇÕES!N52&lt;TODAY()),NEGOCIAÇÕES!E52,"")</f>
        <v/>
      </c>
      <c r="D52" s="6" t="str">
        <f ca="1">IF(AND(NEGOCIAÇÕES!P52="",NEGOCIAÇÕES!N52&lt;TODAY()),NEGOCIAÇÕES!D52,"")</f>
        <v/>
      </c>
      <c r="E52" s="9" t="str">
        <f ca="1">IF(AND(NEGOCIAÇÕES!P52="",NEGOCIAÇÕES!N52&lt;TODAY()),NEGOCIAÇÕES!N52,"")</f>
        <v/>
      </c>
      <c r="F52" s="6"/>
    </row>
    <row r="53" spans="2:6" ht="31.95" hidden="1" customHeight="1" x14ac:dyDescent="0.3">
      <c r="B53" s="6" t="str">
        <f ca="1">IF(AND(NEGOCIAÇÕES!P53="",NEGOCIAÇÕES!N53&lt;TODAY()),NEGOCIAÇÕES!C53,"")</f>
        <v/>
      </c>
      <c r="C53" s="6" t="str">
        <f ca="1">IF(AND(NEGOCIAÇÕES!P53="",NEGOCIAÇÕES!N53&lt;TODAY()),NEGOCIAÇÕES!E53,"")</f>
        <v/>
      </c>
      <c r="D53" s="6" t="str">
        <f ca="1">IF(AND(NEGOCIAÇÕES!P53="",NEGOCIAÇÕES!N53&lt;TODAY()),NEGOCIAÇÕES!D53,"")</f>
        <v/>
      </c>
      <c r="E53" s="9" t="str">
        <f ca="1">IF(AND(NEGOCIAÇÕES!P53="",NEGOCIAÇÕES!N53&lt;TODAY()),NEGOCIAÇÕES!N53,"")</f>
        <v/>
      </c>
      <c r="F53" s="6"/>
    </row>
    <row r="54" spans="2:6" ht="31.95" hidden="1" customHeight="1" x14ac:dyDescent="0.3">
      <c r="B54" s="6" t="str">
        <f ca="1">IF(AND(NEGOCIAÇÕES!P54="",NEGOCIAÇÕES!N54&lt;TODAY()),NEGOCIAÇÕES!C54,"")</f>
        <v/>
      </c>
      <c r="C54" s="6" t="str">
        <f ca="1">IF(AND(NEGOCIAÇÕES!P54="",NEGOCIAÇÕES!N54&lt;TODAY()),NEGOCIAÇÕES!E54,"")</f>
        <v/>
      </c>
      <c r="D54" s="6" t="str">
        <f ca="1">IF(AND(NEGOCIAÇÕES!P54="",NEGOCIAÇÕES!N54&lt;TODAY()),NEGOCIAÇÕES!D54,"")</f>
        <v/>
      </c>
      <c r="E54" s="9" t="str">
        <f ca="1">IF(AND(NEGOCIAÇÕES!P54="",NEGOCIAÇÕES!N54&lt;TODAY()),NEGOCIAÇÕES!N54,"")</f>
        <v/>
      </c>
      <c r="F54" s="6"/>
    </row>
    <row r="55" spans="2:6" ht="31.95" hidden="1" customHeight="1" x14ac:dyDescent="0.3">
      <c r="B55" s="6" t="str">
        <f ca="1">IF(AND(NEGOCIAÇÕES!P55="",NEGOCIAÇÕES!N55&lt;TODAY()),NEGOCIAÇÕES!C55,"")</f>
        <v/>
      </c>
      <c r="C55" s="6" t="str">
        <f ca="1">IF(AND(NEGOCIAÇÕES!P55="",NEGOCIAÇÕES!N55&lt;TODAY()),NEGOCIAÇÕES!E55,"")</f>
        <v/>
      </c>
      <c r="D55" s="6" t="str">
        <f ca="1">IF(AND(NEGOCIAÇÕES!P55="",NEGOCIAÇÕES!N55&lt;TODAY()),NEGOCIAÇÕES!D55,"")</f>
        <v/>
      </c>
      <c r="E55" s="9" t="str">
        <f ca="1">IF(AND(NEGOCIAÇÕES!P55="",NEGOCIAÇÕES!N55&lt;TODAY()),NEGOCIAÇÕES!N55,"")</f>
        <v/>
      </c>
      <c r="F55" s="6"/>
    </row>
    <row r="56" spans="2:6" ht="31.95" hidden="1" customHeight="1" x14ac:dyDescent="0.3">
      <c r="B56" s="6" t="str">
        <f ca="1">IF(AND(NEGOCIAÇÕES!P56="",NEGOCIAÇÕES!N56&lt;TODAY()),NEGOCIAÇÕES!C56,"")</f>
        <v/>
      </c>
      <c r="C56" s="6" t="str">
        <f ca="1">IF(AND(NEGOCIAÇÕES!P56="",NEGOCIAÇÕES!N56&lt;TODAY()),NEGOCIAÇÕES!E56,"")</f>
        <v/>
      </c>
      <c r="D56" s="6" t="str">
        <f ca="1">IF(AND(NEGOCIAÇÕES!P56="",NEGOCIAÇÕES!N56&lt;TODAY()),NEGOCIAÇÕES!D56,"")</f>
        <v/>
      </c>
      <c r="E56" s="9" t="str">
        <f ca="1">IF(AND(NEGOCIAÇÕES!P56="",NEGOCIAÇÕES!N56&lt;TODAY()),NEGOCIAÇÕES!N56,"")</f>
        <v/>
      </c>
      <c r="F56" s="6"/>
    </row>
    <row r="57" spans="2:6" ht="31.95" hidden="1" customHeight="1" x14ac:dyDescent="0.3">
      <c r="B57" s="6" t="str">
        <f ca="1">IF(AND(NEGOCIAÇÕES!P57="",NEGOCIAÇÕES!N57&lt;TODAY()),NEGOCIAÇÕES!C57,"")</f>
        <v/>
      </c>
      <c r="C57" s="6" t="str">
        <f ca="1">IF(AND(NEGOCIAÇÕES!P57="",NEGOCIAÇÕES!N57&lt;TODAY()),NEGOCIAÇÕES!E57,"")</f>
        <v/>
      </c>
      <c r="D57" s="6" t="str">
        <f ca="1">IF(AND(NEGOCIAÇÕES!P57="",NEGOCIAÇÕES!N57&lt;TODAY()),NEGOCIAÇÕES!D57,"")</f>
        <v/>
      </c>
      <c r="E57" s="9" t="str">
        <f ca="1">IF(AND(NEGOCIAÇÕES!P57="",NEGOCIAÇÕES!N57&lt;TODAY()),NEGOCIAÇÕES!N57,"")</f>
        <v/>
      </c>
      <c r="F57" s="6"/>
    </row>
    <row r="58" spans="2:6" ht="31.95" hidden="1" customHeight="1" x14ac:dyDescent="0.3">
      <c r="B58" s="6" t="str">
        <f ca="1">IF(AND(NEGOCIAÇÕES!P58="",NEGOCIAÇÕES!N58&lt;TODAY()),NEGOCIAÇÕES!C58,"")</f>
        <v/>
      </c>
      <c r="C58" s="6" t="str">
        <f ca="1">IF(AND(NEGOCIAÇÕES!P58="",NEGOCIAÇÕES!N58&lt;TODAY()),NEGOCIAÇÕES!E58,"")</f>
        <v/>
      </c>
      <c r="D58" s="6" t="str">
        <f ca="1">IF(AND(NEGOCIAÇÕES!P58="",NEGOCIAÇÕES!N58&lt;TODAY()),NEGOCIAÇÕES!D58,"")</f>
        <v/>
      </c>
      <c r="E58" s="9" t="str">
        <f ca="1">IF(AND(NEGOCIAÇÕES!P58="",NEGOCIAÇÕES!N58&lt;TODAY()),NEGOCIAÇÕES!N58,"")</f>
        <v/>
      </c>
      <c r="F58" s="6"/>
    </row>
    <row r="59" spans="2:6" ht="31.95" hidden="1" customHeight="1" x14ac:dyDescent="0.3">
      <c r="B59" s="6" t="str">
        <f ca="1">IF(AND(NEGOCIAÇÕES!P59="",NEGOCIAÇÕES!N59&lt;TODAY()),NEGOCIAÇÕES!C59,"")</f>
        <v/>
      </c>
      <c r="C59" s="6" t="str">
        <f ca="1">IF(AND(NEGOCIAÇÕES!P59="",NEGOCIAÇÕES!N59&lt;TODAY()),NEGOCIAÇÕES!E59,"")</f>
        <v/>
      </c>
      <c r="D59" s="6" t="str">
        <f ca="1">IF(AND(NEGOCIAÇÕES!P59="",NEGOCIAÇÕES!N59&lt;TODAY()),NEGOCIAÇÕES!D59,"")</f>
        <v/>
      </c>
      <c r="E59" s="9" t="str">
        <f ca="1">IF(AND(NEGOCIAÇÕES!P59="",NEGOCIAÇÕES!N59&lt;TODAY()),NEGOCIAÇÕES!N59,"")</f>
        <v/>
      </c>
      <c r="F59" s="6"/>
    </row>
    <row r="60" spans="2:6" ht="31.95" hidden="1" customHeight="1" x14ac:dyDescent="0.3">
      <c r="B60" s="6" t="str">
        <f ca="1">IF(AND(NEGOCIAÇÕES!P60="",NEGOCIAÇÕES!N60&lt;TODAY()),NEGOCIAÇÕES!C60,"")</f>
        <v/>
      </c>
      <c r="C60" s="6" t="str">
        <f ca="1">IF(AND(NEGOCIAÇÕES!P60="",NEGOCIAÇÕES!N60&lt;TODAY()),NEGOCIAÇÕES!E60,"")</f>
        <v/>
      </c>
      <c r="D60" s="6" t="str">
        <f ca="1">IF(AND(NEGOCIAÇÕES!P60="",NEGOCIAÇÕES!N60&lt;TODAY()),NEGOCIAÇÕES!D60,"")</f>
        <v/>
      </c>
      <c r="E60" s="9" t="str">
        <f ca="1">IF(AND(NEGOCIAÇÕES!P60="",NEGOCIAÇÕES!N60&lt;TODAY()),NEGOCIAÇÕES!N60,"")</f>
        <v/>
      </c>
      <c r="F60" s="6"/>
    </row>
    <row r="61" spans="2:6" ht="31.95" hidden="1" customHeight="1" x14ac:dyDescent="0.3">
      <c r="B61" s="6" t="str">
        <f ca="1">IF(AND(NEGOCIAÇÕES!P61="",NEGOCIAÇÕES!N61&lt;TODAY()),NEGOCIAÇÕES!C61,"")</f>
        <v/>
      </c>
      <c r="C61" s="6" t="str">
        <f ca="1">IF(AND(NEGOCIAÇÕES!P61="",NEGOCIAÇÕES!N61&lt;TODAY()),NEGOCIAÇÕES!E61,"")</f>
        <v/>
      </c>
      <c r="D61" s="6" t="str">
        <f ca="1">IF(AND(NEGOCIAÇÕES!P61="",NEGOCIAÇÕES!N61&lt;TODAY()),NEGOCIAÇÕES!D61,"")</f>
        <v/>
      </c>
      <c r="E61" s="9" t="str">
        <f ca="1">IF(AND(NEGOCIAÇÕES!P61="",NEGOCIAÇÕES!N61&lt;TODAY()),NEGOCIAÇÕES!N61,"")</f>
        <v/>
      </c>
      <c r="F61" s="6"/>
    </row>
    <row r="62" spans="2:6" ht="31.95" hidden="1" customHeight="1" x14ac:dyDescent="0.3">
      <c r="B62" s="6" t="str">
        <f ca="1">IF(AND(NEGOCIAÇÕES!P62="",NEGOCIAÇÕES!N62&lt;TODAY()),NEGOCIAÇÕES!C62,"")</f>
        <v/>
      </c>
      <c r="C62" s="6" t="str">
        <f ca="1">IF(AND(NEGOCIAÇÕES!P62="",NEGOCIAÇÕES!N62&lt;TODAY()),NEGOCIAÇÕES!E62,"")</f>
        <v/>
      </c>
      <c r="D62" s="6" t="str">
        <f ca="1">IF(AND(NEGOCIAÇÕES!P62="",NEGOCIAÇÕES!N62&lt;TODAY()),NEGOCIAÇÕES!D62,"")</f>
        <v/>
      </c>
      <c r="E62" s="9" t="str">
        <f ca="1">IF(AND(NEGOCIAÇÕES!P62="",NEGOCIAÇÕES!N62&lt;TODAY()),NEGOCIAÇÕES!N62,"")</f>
        <v/>
      </c>
      <c r="F62" s="6"/>
    </row>
    <row r="63" spans="2:6" ht="31.95" hidden="1" customHeight="1" x14ac:dyDescent="0.3">
      <c r="B63" s="6" t="str">
        <f ca="1">IF(AND(NEGOCIAÇÕES!P63="",NEGOCIAÇÕES!N63&lt;TODAY()),NEGOCIAÇÕES!C63,"")</f>
        <v/>
      </c>
      <c r="C63" s="6" t="str">
        <f ca="1">IF(AND(NEGOCIAÇÕES!P63="",NEGOCIAÇÕES!N63&lt;TODAY()),NEGOCIAÇÕES!E63,"")</f>
        <v/>
      </c>
      <c r="D63" s="6" t="str">
        <f ca="1">IF(AND(NEGOCIAÇÕES!P63="",NEGOCIAÇÕES!N63&lt;TODAY()),NEGOCIAÇÕES!D63,"")</f>
        <v/>
      </c>
      <c r="E63" s="9" t="str">
        <f ca="1">IF(AND(NEGOCIAÇÕES!P63="",NEGOCIAÇÕES!N63&lt;TODAY()),NEGOCIAÇÕES!N63,"")</f>
        <v/>
      </c>
      <c r="F63" s="6"/>
    </row>
    <row r="64" spans="2:6" ht="31.95" hidden="1" customHeight="1" x14ac:dyDescent="0.3">
      <c r="B64" s="6" t="str">
        <f ca="1">IF(AND(NEGOCIAÇÕES!P64="",NEGOCIAÇÕES!N64&lt;TODAY()),NEGOCIAÇÕES!C64,"")</f>
        <v/>
      </c>
      <c r="C64" s="6" t="str">
        <f ca="1">IF(AND(NEGOCIAÇÕES!P64="",NEGOCIAÇÕES!N64&lt;TODAY()),NEGOCIAÇÕES!E64,"")</f>
        <v/>
      </c>
      <c r="D64" s="6" t="str">
        <f ca="1">IF(AND(NEGOCIAÇÕES!P64="",NEGOCIAÇÕES!N64&lt;TODAY()),NEGOCIAÇÕES!D64,"")</f>
        <v/>
      </c>
      <c r="E64" s="9" t="str">
        <f ca="1">IF(AND(NEGOCIAÇÕES!P64="",NEGOCIAÇÕES!N64&lt;TODAY()),NEGOCIAÇÕES!N64,"")</f>
        <v/>
      </c>
      <c r="F64" s="6"/>
    </row>
    <row r="65" spans="2:6" ht="31.95" hidden="1" customHeight="1" x14ac:dyDescent="0.3">
      <c r="B65" s="6" t="str">
        <f ca="1">IF(AND(NEGOCIAÇÕES!P65="",NEGOCIAÇÕES!N65&lt;TODAY()),NEGOCIAÇÕES!C65,"")</f>
        <v/>
      </c>
      <c r="C65" s="6" t="str">
        <f ca="1">IF(AND(NEGOCIAÇÕES!P65="",NEGOCIAÇÕES!N65&lt;TODAY()),NEGOCIAÇÕES!E65,"")</f>
        <v/>
      </c>
      <c r="D65" s="6" t="str">
        <f ca="1">IF(AND(NEGOCIAÇÕES!P65="",NEGOCIAÇÕES!N65&lt;TODAY()),NEGOCIAÇÕES!D65,"")</f>
        <v/>
      </c>
      <c r="E65" s="9" t="str">
        <f ca="1">IF(AND(NEGOCIAÇÕES!P65="",NEGOCIAÇÕES!N65&lt;TODAY()),NEGOCIAÇÕES!N65,"")</f>
        <v/>
      </c>
      <c r="F65" s="6"/>
    </row>
    <row r="66" spans="2:6" ht="31.95" hidden="1" customHeight="1" x14ac:dyDescent="0.3">
      <c r="B66" s="6" t="str">
        <f ca="1">IF(AND(NEGOCIAÇÕES!P66="",NEGOCIAÇÕES!N66&lt;TODAY()),NEGOCIAÇÕES!C66,"")</f>
        <v/>
      </c>
      <c r="C66" s="6" t="str">
        <f ca="1">IF(AND(NEGOCIAÇÕES!P66="",NEGOCIAÇÕES!N66&lt;TODAY()),NEGOCIAÇÕES!E66,"")</f>
        <v/>
      </c>
      <c r="D66" s="6" t="str">
        <f ca="1">IF(AND(NEGOCIAÇÕES!P66="",NEGOCIAÇÕES!N66&lt;TODAY()),NEGOCIAÇÕES!D66,"")</f>
        <v/>
      </c>
      <c r="E66" s="9" t="str">
        <f ca="1">IF(AND(NEGOCIAÇÕES!P66="",NEGOCIAÇÕES!N66&lt;TODAY()),NEGOCIAÇÕES!N66,"")</f>
        <v/>
      </c>
      <c r="F66" s="6"/>
    </row>
    <row r="67" spans="2:6" ht="31.95" hidden="1" customHeight="1" x14ac:dyDescent="0.3">
      <c r="B67" s="6" t="str">
        <f ca="1">IF(AND(NEGOCIAÇÕES!P67="",NEGOCIAÇÕES!N67&lt;TODAY()),NEGOCIAÇÕES!C67,"")</f>
        <v/>
      </c>
      <c r="C67" s="6" t="str">
        <f ca="1">IF(AND(NEGOCIAÇÕES!P67="",NEGOCIAÇÕES!N67&lt;TODAY()),NEGOCIAÇÕES!E67,"")</f>
        <v/>
      </c>
      <c r="D67" s="6" t="str">
        <f ca="1">IF(AND(NEGOCIAÇÕES!P67="",NEGOCIAÇÕES!N67&lt;TODAY()),NEGOCIAÇÕES!D67,"")</f>
        <v/>
      </c>
      <c r="E67" s="9" t="str">
        <f ca="1">IF(AND(NEGOCIAÇÕES!P67="",NEGOCIAÇÕES!N67&lt;TODAY()),NEGOCIAÇÕES!N67,"")</f>
        <v/>
      </c>
      <c r="F67" s="6"/>
    </row>
    <row r="68" spans="2:6" ht="31.95" hidden="1" customHeight="1" x14ac:dyDescent="0.3">
      <c r="B68" s="6" t="str">
        <f ca="1">IF(AND(NEGOCIAÇÕES!P68="",NEGOCIAÇÕES!N68&lt;TODAY()),NEGOCIAÇÕES!C68,"")</f>
        <v/>
      </c>
      <c r="C68" s="6" t="str">
        <f ca="1">IF(AND(NEGOCIAÇÕES!P68="",NEGOCIAÇÕES!N68&lt;TODAY()),NEGOCIAÇÕES!E68,"")</f>
        <v/>
      </c>
      <c r="D68" s="6" t="str">
        <f ca="1">IF(AND(NEGOCIAÇÕES!P68="",NEGOCIAÇÕES!N68&lt;TODAY()),NEGOCIAÇÕES!D68,"")</f>
        <v/>
      </c>
      <c r="E68" s="9" t="str">
        <f ca="1">IF(AND(NEGOCIAÇÕES!P68="",NEGOCIAÇÕES!N68&lt;TODAY()),NEGOCIAÇÕES!N68,"")</f>
        <v/>
      </c>
      <c r="F68" s="6"/>
    </row>
    <row r="69" spans="2:6" ht="31.95" hidden="1" customHeight="1" x14ac:dyDescent="0.3">
      <c r="B69" s="6" t="str">
        <f ca="1">IF(AND(NEGOCIAÇÕES!P69="",NEGOCIAÇÕES!N69&lt;TODAY()),NEGOCIAÇÕES!C69,"")</f>
        <v/>
      </c>
      <c r="C69" s="6" t="str">
        <f ca="1">IF(AND(NEGOCIAÇÕES!P69="",NEGOCIAÇÕES!N69&lt;TODAY()),NEGOCIAÇÕES!E69,"")</f>
        <v/>
      </c>
      <c r="D69" s="6" t="str">
        <f ca="1">IF(AND(NEGOCIAÇÕES!P69="",NEGOCIAÇÕES!N69&lt;TODAY()),NEGOCIAÇÕES!D69,"")</f>
        <v/>
      </c>
      <c r="E69" s="9" t="str">
        <f ca="1">IF(AND(NEGOCIAÇÕES!P69="",NEGOCIAÇÕES!N69&lt;TODAY()),NEGOCIAÇÕES!N69,"")</f>
        <v/>
      </c>
      <c r="F69" s="6"/>
    </row>
    <row r="70" spans="2:6" ht="31.95" hidden="1" customHeight="1" x14ac:dyDescent="0.3">
      <c r="B70" s="6" t="str">
        <f ca="1">IF(AND(NEGOCIAÇÕES!P70="",NEGOCIAÇÕES!N70&lt;TODAY()),NEGOCIAÇÕES!C70,"")</f>
        <v/>
      </c>
      <c r="C70" s="6" t="str">
        <f ca="1">IF(AND(NEGOCIAÇÕES!P70="",NEGOCIAÇÕES!N70&lt;TODAY()),NEGOCIAÇÕES!E70,"")</f>
        <v/>
      </c>
      <c r="D70" s="6" t="str">
        <f ca="1">IF(AND(NEGOCIAÇÕES!P70="",NEGOCIAÇÕES!N70&lt;TODAY()),NEGOCIAÇÕES!D70,"")</f>
        <v/>
      </c>
      <c r="E70" s="9" t="str">
        <f ca="1">IF(AND(NEGOCIAÇÕES!P70="",NEGOCIAÇÕES!N70&lt;TODAY()),NEGOCIAÇÕES!N70,"")</f>
        <v/>
      </c>
      <c r="F70" s="6"/>
    </row>
    <row r="71" spans="2:6" ht="31.95" hidden="1" customHeight="1" x14ac:dyDescent="0.3">
      <c r="B71" s="6" t="str">
        <f ca="1">IF(AND(NEGOCIAÇÕES!P71="",NEGOCIAÇÕES!N71&lt;TODAY()),NEGOCIAÇÕES!C71,"")</f>
        <v/>
      </c>
      <c r="C71" s="6" t="str">
        <f ca="1">IF(AND(NEGOCIAÇÕES!P71="",NEGOCIAÇÕES!N71&lt;TODAY()),NEGOCIAÇÕES!E71,"")</f>
        <v/>
      </c>
      <c r="D71" s="6" t="str">
        <f ca="1">IF(AND(NEGOCIAÇÕES!P71="",NEGOCIAÇÕES!N71&lt;TODAY()),NEGOCIAÇÕES!D71,"")</f>
        <v/>
      </c>
      <c r="E71" s="9" t="str">
        <f ca="1">IF(AND(NEGOCIAÇÕES!P71="",NEGOCIAÇÕES!N71&lt;TODAY()),NEGOCIAÇÕES!N71,"")</f>
        <v/>
      </c>
      <c r="F71" s="6"/>
    </row>
    <row r="72" spans="2:6" ht="31.95" hidden="1" customHeight="1" x14ac:dyDescent="0.3">
      <c r="B72" s="6" t="str">
        <f ca="1">IF(AND(NEGOCIAÇÕES!P72="",NEGOCIAÇÕES!N72&lt;TODAY()),NEGOCIAÇÕES!C72,"")</f>
        <v/>
      </c>
      <c r="C72" s="6" t="str">
        <f ca="1">IF(AND(NEGOCIAÇÕES!P72="",NEGOCIAÇÕES!N72&lt;TODAY()),NEGOCIAÇÕES!E72,"")</f>
        <v/>
      </c>
      <c r="D72" s="6" t="str">
        <f ca="1">IF(AND(NEGOCIAÇÕES!P72="",NEGOCIAÇÕES!N72&lt;TODAY()),NEGOCIAÇÕES!D72,"")</f>
        <v/>
      </c>
      <c r="E72" s="9" t="str">
        <f ca="1">IF(AND(NEGOCIAÇÕES!P72="",NEGOCIAÇÕES!N72&lt;TODAY()),NEGOCIAÇÕES!N72,"")</f>
        <v/>
      </c>
      <c r="F72" s="6"/>
    </row>
    <row r="73" spans="2:6" ht="31.95" hidden="1" customHeight="1" x14ac:dyDescent="0.3">
      <c r="B73" s="6" t="str">
        <f ca="1">IF(AND(NEGOCIAÇÕES!P73="",NEGOCIAÇÕES!N73&lt;TODAY()),NEGOCIAÇÕES!C73,"")</f>
        <v/>
      </c>
      <c r="C73" s="6" t="str">
        <f ca="1">IF(AND(NEGOCIAÇÕES!P73="",NEGOCIAÇÕES!N73&lt;TODAY()),NEGOCIAÇÕES!E73,"")</f>
        <v/>
      </c>
      <c r="D73" s="6" t="str">
        <f ca="1">IF(AND(NEGOCIAÇÕES!P73="",NEGOCIAÇÕES!N73&lt;TODAY()),NEGOCIAÇÕES!D73,"")</f>
        <v/>
      </c>
      <c r="E73" s="9" t="str">
        <f ca="1">IF(AND(NEGOCIAÇÕES!P73="",NEGOCIAÇÕES!N73&lt;TODAY()),NEGOCIAÇÕES!N73,"")</f>
        <v/>
      </c>
      <c r="F73" s="6"/>
    </row>
    <row r="74" spans="2:6" ht="31.95" hidden="1" customHeight="1" x14ac:dyDescent="0.3">
      <c r="B74" s="6" t="str">
        <f ca="1">IF(AND(NEGOCIAÇÕES!P74="",NEGOCIAÇÕES!N74&lt;TODAY()),NEGOCIAÇÕES!C74,"")</f>
        <v/>
      </c>
      <c r="C74" s="6" t="str">
        <f ca="1">IF(AND(NEGOCIAÇÕES!P74="",NEGOCIAÇÕES!N74&lt;TODAY()),NEGOCIAÇÕES!E74,"")</f>
        <v/>
      </c>
      <c r="D74" s="6" t="str">
        <f ca="1">IF(AND(NEGOCIAÇÕES!P74="",NEGOCIAÇÕES!N74&lt;TODAY()),NEGOCIAÇÕES!D74,"")</f>
        <v/>
      </c>
      <c r="E74" s="9" t="str">
        <f ca="1">IF(AND(NEGOCIAÇÕES!P74="",NEGOCIAÇÕES!N74&lt;TODAY()),NEGOCIAÇÕES!N74,"")</f>
        <v/>
      </c>
      <c r="F74" s="6"/>
    </row>
    <row r="75" spans="2:6" ht="31.95" hidden="1" customHeight="1" x14ac:dyDescent="0.3">
      <c r="B75" s="6" t="str">
        <f ca="1">IF(AND(NEGOCIAÇÕES!P75="",NEGOCIAÇÕES!N75&lt;TODAY()),NEGOCIAÇÕES!C75,"")</f>
        <v/>
      </c>
      <c r="C75" s="6" t="str">
        <f ca="1">IF(AND(NEGOCIAÇÕES!P75="",NEGOCIAÇÕES!N75&lt;TODAY()),NEGOCIAÇÕES!E75,"")</f>
        <v/>
      </c>
      <c r="D75" s="6" t="str">
        <f ca="1">IF(AND(NEGOCIAÇÕES!P75="",NEGOCIAÇÕES!N75&lt;TODAY()),NEGOCIAÇÕES!D75,"")</f>
        <v/>
      </c>
      <c r="E75" s="9" t="str">
        <f ca="1">IF(AND(NEGOCIAÇÕES!P75="",NEGOCIAÇÕES!N75&lt;TODAY()),NEGOCIAÇÕES!N75,"")</f>
        <v/>
      </c>
      <c r="F75" s="6"/>
    </row>
    <row r="76" spans="2:6" ht="31.95" hidden="1" customHeight="1" x14ac:dyDescent="0.3">
      <c r="B76" s="6" t="str">
        <f ca="1">IF(AND(NEGOCIAÇÕES!P76="",NEGOCIAÇÕES!N76&lt;TODAY()),NEGOCIAÇÕES!C76,"")</f>
        <v/>
      </c>
      <c r="C76" s="6" t="str">
        <f ca="1">IF(AND(NEGOCIAÇÕES!P76="",NEGOCIAÇÕES!N76&lt;TODAY()),NEGOCIAÇÕES!E76,"")</f>
        <v/>
      </c>
      <c r="D76" s="6" t="str">
        <f ca="1">IF(AND(NEGOCIAÇÕES!P76="",NEGOCIAÇÕES!N76&lt;TODAY()),NEGOCIAÇÕES!D76,"")</f>
        <v/>
      </c>
      <c r="E76" s="9" t="str">
        <f ca="1">IF(AND(NEGOCIAÇÕES!P76="",NEGOCIAÇÕES!N76&lt;TODAY()),NEGOCIAÇÕES!N76,"")</f>
        <v/>
      </c>
      <c r="F76" s="6"/>
    </row>
    <row r="77" spans="2:6" ht="31.95" hidden="1" customHeight="1" x14ac:dyDescent="0.3">
      <c r="B77" s="6" t="str">
        <f ca="1">IF(AND(NEGOCIAÇÕES!P77="",NEGOCIAÇÕES!N77&lt;TODAY()),NEGOCIAÇÕES!C77,"")</f>
        <v/>
      </c>
      <c r="C77" s="6" t="str">
        <f ca="1">IF(AND(NEGOCIAÇÕES!P77="",NEGOCIAÇÕES!N77&lt;TODAY()),NEGOCIAÇÕES!E77,"")</f>
        <v/>
      </c>
      <c r="D77" s="6" t="str">
        <f ca="1">IF(AND(NEGOCIAÇÕES!P77="",NEGOCIAÇÕES!N77&lt;TODAY()),NEGOCIAÇÕES!D77,"")</f>
        <v/>
      </c>
      <c r="E77" s="9" t="str">
        <f ca="1">IF(AND(NEGOCIAÇÕES!P77="",NEGOCIAÇÕES!N77&lt;TODAY()),NEGOCIAÇÕES!N77,"")</f>
        <v/>
      </c>
      <c r="F77" s="6"/>
    </row>
    <row r="78" spans="2:6" ht="31.95" hidden="1" customHeight="1" x14ac:dyDescent="0.3">
      <c r="B78" s="6" t="str">
        <f ca="1">IF(AND(NEGOCIAÇÕES!P78="",NEGOCIAÇÕES!N78&lt;TODAY()),NEGOCIAÇÕES!C78,"")</f>
        <v/>
      </c>
      <c r="C78" s="6" t="str">
        <f ca="1">IF(AND(NEGOCIAÇÕES!P78="",NEGOCIAÇÕES!N78&lt;TODAY()),NEGOCIAÇÕES!E78,"")</f>
        <v/>
      </c>
      <c r="D78" s="6" t="str">
        <f ca="1">IF(AND(NEGOCIAÇÕES!P78="",NEGOCIAÇÕES!N78&lt;TODAY()),NEGOCIAÇÕES!D78,"")</f>
        <v/>
      </c>
      <c r="E78" s="9" t="str">
        <f ca="1">IF(AND(NEGOCIAÇÕES!P78="",NEGOCIAÇÕES!N78&lt;TODAY()),NEGOCIAÇÕES!N78,"")</f>
        <v/>
      </c>
      <c r="F78" s="6"/>
    </row>
    <row r="79" spans="2:6" ht="31.95" hidden="1" customHeight="1" x14ac:dyDescent="0.3">
      <c r="B79" s="6" t="str">
        <f ca="1">IF(AND(NEGOCIAÇÕES!P79="",NEGOCIAÇÕES!N79&lt;TODAY()),NEGOCIAÇÕES!C79,"")</f>
        <v/>
      </c>
      <c r="C79" s="6" t="str">
        <f ca="1">IF(AND(NEGOCIAÇÕES!P79="",NEGOCIAÇÕES!N79&lt;TODAY()),NEGOCIAÇÕES!E79,"")</f>
        <v/>
      </c>
      <c r="D79" s="6" t="str">
        <f ca="1">IF(AND(NEGOCIAÇÕES!P79="",NEGOCIAÇÕES!N79&lt;TODAY()),NEGOCIAÇÕES!D79,"")</f>
        <v/>
      </c>
      <c r="E79" s="9" t="str">
        <f ca="1">IF(AND(NEGOCIAÇÕES!P79="",NEGOCIAÇÕES!N79&lt;TODAY()),NEGOCIAÇÕES!N79,"")</f>
        <v/>
      </c>
      <c r="F79" s="6"/>
    </row>
    <row r="80" spans="2:6" ht="31.95" hidden="1" customHeight="1" x14ac:dyDescent="0.3">
      <c r="B80" s="6" t="str">
        <f ca="1">IF(AND(NEGOCIAÇÕES!P80="",NEGOCIAÇÕES!N80&lt;TODAY()),NEGOCIAÇÕES!C80,"")</f>
        <v/>
      </c>
      <c r="C80" s="6" t="str">
        <f ca="1">IF(AND(NEGOCIAÇÕES!P80="",NEGOCIAÇÕES!N80&lt;TODAY()),NEGOCIAÇÕES!E80,"")</f>
        <v/>
      </c>
      <c r="D80" s="6" t="str">
        <f ca="1">IF(AND(NEGOCIAÇÕES!P80="",NEGOCIAÇÕES!N80&lt;TODAY()),NEGOCIAÇÕES!D80,"")</f>
        <v/>
      </c>
      <c r="E80" s="9" t="str">
        <f ca="1">IF(AND(NEGOCIAÇÕES!P80="",NEGOCIAÇÕES!N80&lt;TODAY()),NEGOCIAÇÕES!N80,"")</f>
        <v/>
      </c>
      <c r="F80" s="6"/>
    </row>
    <row r="81" spans="2:6" ht="31.95" hidden="1" customHeight="1" x14ac:dyDescent="0.3">
      <c r="B81" s="6" t="str">
        <f ca="1">IF(AND(NEGOCIAÇÕES!P81="",NEGOCIAÇÕES!N81&lt;TODAY()),NEGOCIAÇÕES!C81,"")</f>
        <v/>
      </c>
      <c r="C81" s="6" t="str">
        <f ca="1">IF(AND(NEGOCIAÇÕES!P81="",NEGOCIAÇÕES!N81&lt;TODAY()),NEGOCIAÇÕES!E81,"")</f>
        <v/>
      </c>
      <c r="D81" s="6" t="str">
        <f ca="1">IF(AND(NEGOCIAÇÕES!P81="",NEGOCIAÇÕES!N81&lt;TODAY()),NEGOCIAÇÕES!D81,"")</f>
        <v/>
      </c>
      <c r="E81" s="9" t="str">
        <f ca="1">IF(AND(NEGOCIAÇÕES!P81="",NEGOCIAÇÕES!N81&lt;TODAY()),NEGOCIAÇÕES!N81,"")</f>
        <v/>
      </c>
      <c r="F81" s="6"/>
    </row>
    <row r="82" spans="2:6" ht="31.95" hidden="1" customHeight="1" x14ac:dyDescent="0.3">
      <c r="B82" s="6" t="str">
        <f ca="1">IF(AND(NEGOCIAÇÕES!P82="",NEGOCIAÇÕES!N82&lt;TODAY()),NEGOCIAÇÕES!C82,"")</f>
        <v/>
      </c>
      <c r="C82" s="6" t="str">
        <f ca="1">IF(AND(NEGOCIAÇÕES!P82="",NEGOCIAÇÕES!N82&lt;TODAY()),NEGOCIAÇÕES!E82,"")</f>
        <v/>
      </c>
      <c r="D82" s="6" t="str">
        <f ca="1">IF(AND(NEGOCIAÇÕES!P82="",NEGOCIAÇÕES!N82&lt;TODAY()),NEGOCIAÇÕES!D82,"")</f>
        <v/>
      </c>
      <c r="E82" s="9" t="str">
        <f ca="1">IF(AND(NEGOCIAÇÕES!P82="",NEGOCIAÇÕES!N82&lt;TODAY()),NEGOCIAÇÕES!N82,"")</f>
        <v/>
      </c>
      <c r="F82" s="6"/>
    </row>
    <row r="83" spans="2:6" ht="31.95" hidden="1" customHeight="1" x14ac:dyDescent="0.3">
      <c r="B83" s="6" t="str">
        <f ca="1">IF(AND(NEGOCIAÇÕES!P83="",NEGOCIAÇÕES!N83&lt;TODAY()),NEGOCIAÇÕES!C83,"")</f>
        <v/>
      </c>
      <c r="C83" s="6" t="str">
        <f ca="1">IF(AND(NEGOCIAÇÕES!P83="",NEGOCIAÇÕES!N83&lt;TODAY()),NEGOCIAÇÕES!E83,"")</f>
        <v/>
      </c>
      <c r="D83" s="6" t="str">
        <f ca="1">IF(AND(NEGOCIAÇÕES!P83="",NEGOCIAÇÕES!N83&lt;TODAY()),NEGOCIAÇÕES!D83,"")</f>
        <v/>
      </c>
      <c r="E83" s="9" t="str">
        <f ca="1">IF(AND(NEGOCIAÇÕES!P83="",NEGOCIAÇÕES!N83&lt;TODAY()),NEGOCIAÇÕES!N83,"")</f>
        <v/>
      </c>
      <c r="F83" s="6"/>
    </row>
    <row r="84" spans="2:6" ht="31.95" hidden="1" customHeight="1" x14ac:dyDescent="0.3">
      <c r="B84" s="6" t="str">
        <f ca="1">IF(AND(NEGOCIAÇÕES!P84="",NEGOCIAÇÕES!N84&lt;TODAY()),NEGOCIAÇÕES!C84,"")</f>
        <v/>
      </c>
      <c r="C84" s="6" t="str">
        <f ca="1">IF(AND(NEGOCIAÇÕES!P84="",NEGOCIAÇÕES!N84&lt;TODAY()),NEGOCIAÇÕES!E84,"")</f>
        <v/>
      </c>
      <c r="D84" s="6" t="str">
        <f ca="1">IF(AND(NEGOCIAÇÕES!P84="",NEGOCIAÇÕES!N84&lt;TODAY()),NEGOCIAÇÕES!D84,"")</f>
        <v/>
      </c>
      <c r="E84" s="9" t="str">
        <f ca="1">IF(AND(NEGOCIAÇÕES!P84="",NEGOCIAÇÕES!N84&lt;TODAY()),NEGOCIAÇÕES!N84,"")</f>
        <v/>
      </c>
      <c r="F84" s="6"/>
    </row>
    <row r="85" spans="2:6" ht="31.95" hidden="1" customHeight="1" x14ac:dyDescent="0.3">
      <c r="B85" s="6" t="str">
        <f ca="1">IF(AND(NEGOCIAÇÕES!P85="",NEGOCIAÇÕES!N85&lt;TODAY()),NEGOCIAÇÕES!C85,"")</f>
        <v/>
      </c>
      <c r="C85" s="6" t="str">
        <f ca="1">IF(AND(NEGOCIAÇÕES!P85="",NEGOCIAÇÕES!N85&lt;TODAY()),NEGOCIAÇÕES!E85,"")</f>
        <v/>
      </c>
      <c r="D85" s="6" t="str">
        <f ca="1">IF(AND(NEGOCIAÇÕES!P85="",NEGOCIAÇÕES!N85&lt;TODAY()),NEGOCIAÇÕES!D85,"")</f>
        <v/>
      </c>
      <c r="E85" s="9" t="str">
        <f ca="1">IF(AND(NEGOCIAÇÕES!P85="",NEGOCIAÇÕES!N85&lt;TODAY()),NEGOCIAÇÕES!N85,"")</f>
        <v/>
      </c>
      <c r="F85" s="6"/>
    </row>
    <row r="86" spans="2:6" ht="31.95" hidden="1" customHeight="1" x14ac:dyDescent="0.3">
      <c r="B86" s="6" t="str">
        <f ca="1">IF(AND(NEGOCIAÇÕES!P86="",NEGOCIAÇÕES!N86&lt;TODAY()),NEGOCIAÇÕES!C86,"")</f>
        <v/>
      </c>
      <c r="C86" s="6" t="str">
        <f ca="1">IF(AND(NEGOCIAÇÕES!P86="",NEGOCIAÇÕES!N86&lt;TODAY()),NEGOCIAÇÕES!E86,"")</f>
        <v/>
      </c>
      <c r="D86" s="6" t="str">
        <f ca="1">IF(AND(NEGOCIAÇÕES!P86="",NEGOCIAÇÕES!N86&lt;TODAY()),NEGOCIAÇÕES!D86,"")</f>
        <v/>
      </c>
      <c r="E86" s="9" t="str">
        <f ca="1">IF(AND(NEGOCIAÇÕES!P86="",NEGOCIAÇÕES!N86&lt;TODAY()),NEGOCIAÇÕES!N86,"")</f>
        <v/>
      </c>
      <c r="F86" s="6"/>
    </row>
    <row r="87" spans="2:6" ht="31.95" hidden="1" customHeight="1" x14ac:dyDescent="0.3">
      <c r="B87" s="6" t="str">
        <f ca="1">IF(AND(NEGOCIAÇÕES!P87="",NEGOCIAÇÕES!N87&lt;TODAY()),NEGOCIAÇÕES!C87,"")</f>
        <v/>
      </c>
      <c r="C87" s="6" t="str">
        <f ca="1">IF(AND(NEGOCIAÇÕES!P87="",NEGOCIAÇÕES!N87&lt;TODAY()),NEGOCIAÇÕES!E87,"")</f>
        <v/>
      </c>
      <c r="D87" s="6" t="str">
        <f ca="1">IF(AND(NEGOCIAÇÕES!P87="",NEGOCIAÇÕES!N87&lt;TODAY()),NEGOCIAÇÕES!D87,"")</f>
        <v/>
      </c>
      <c r="E87" s="9" t="str">
        <f ca="1">IF(AND(NEGOCIAÇÕES!P87="",NEGOCIAÇÕES!N87&lt;TODAY()),NEGOCIAÇÕES!N87,"")</f>
        <v/>
      </c>
      <c r="F87" s="6"/>
    </row>
    <row r="88" spans="2:6" ht="31.95" hidden="1" customHeight="1" x14ac:dyDescent="0.3">
      <c r="B88" s="6" t="str">
        <f ca="1">IF(AND(NEGOCIAÇÕES!P88="",NEGOCIAÇÕES!N88&lt;TODAY()),NEGOCIAÇÕES!C88,"")</f>
        <v/>
      </c>
      <c r="C88" s="6" t="str">
        <f ca="1">IF(AND(NEGOCIAÇÕES!P88="",NEGOCIAÇÕES!N88&lt;TODAY()),NEGOCIAÇÕES!E88,"")</f>
        <v/>
      </c>
      <c r="D88" s="6" t="str">
        <f ca="1">IF(AND(NEGOCIAÇÕES!P88="",NEGOCIAÇÕES!N88&lt;TODAY()),NEGOCIAÇÕES!D88,"")</f>
        <v/>
      </c>
      <c r="E88" s="9" t="str">
        <f ca="1">IF(AND(NEGOCIAÇÕES!P88="",NEGOCIAÇÕES!N88&lt;TODAY()),NEGOCIAÇÕES!N88,"")</f>
        <v/>
      </c>
      <c r="F88" s="6"/>
    </row>
    <row r="89" spans="2:6" ht="31.95" hidden="1" customHeight="1" x14ac:dyDescent="0.3">
      <c r="B89" s="6" t="str">
        <f ca="1">IF(AND(NEGOCIAÇÕES!P89="",NEGOCIAÇÕES!N89&lt;TODAY()),NEGOCIAÇÕES!C89,"")</f>
        <v/>
      </c>
      <c r="C89" s="6" t="str">
        <f ca="1">IF(AND(NEGOCIAÇÕES!P89="",NEGOCIAÇÕES!N89&lt;TODAY()),NEGOCIAÇÕES!E89,"")</f>
        <v/>
      </c>
      <c r="D89" s="6" t="str">
        <f ca="1">IF(AND(NEGOCIAÇÕES!P89="",NEGOCIAÇÕES!N89&lt;TODAY()),NEGOCIAÇÕES!D89,"")</f>
        <v/>
      </c>
      <c r="E89" s="9" t="str">
        <f ca="1">IF(AND(NEGOCIAÇÕES!P89="",NEGOCIAÇÕES!N89&lt;TODAY()),NEGOCIAÇÕES!N89,"")</f>
        <v/>
      </c>
      <c r="F89" s="6"/>
    </row>
    <row r="90" spans="2:6" ht="31.95" hidden="1" customHeight="1" x14ac:dyDescent="0.3">
      <c r="B90" s="6" t="str">
        <f ca="1">IF(AND(NEGOCIAÇÕES!P90="",NEGOCIAÇÕES!N90&lt;TODAY()),NEGOCIAÇÕES!C90,"")</f>
        <v/>
      </c>
      <c r="C90" s="6" t="str">
        <f ca="1">IF(AND(NEGOCIAÇÕES!P90="",NEGOCIAÇÕES!N90&lt;TODAY()),NEGOCIAÇÕES!E90,"")</f>
        <v/>
      </c>
      <c r="D90" s="6" t="str">
        <f ca="1">IF(AND(NEGOCIAÇÕES!P90="",NEGOCIAÇÕES!N90&lt;TODAY()),NEGOCIAÇÕES!D90,"")</f>
        <v/>
      </c>
      <c r="E90" s="9" t="str">
        <f ca="1">IF(AND(NEGOCIAÇÕES!P90="",NEGOCIAÇÕES!N90&lt;TODAY()),NEGOCIAÇÕES!N90,"")</f>
        <v/>
      </c>
      <c r="F90" s="6"/>
    </row>
    <row r="91" spans="2:6" ht="31.95" hidden="1" customHeight="1" x14ac:dyDescent="0.3">
      <c r="B91" s="6" t="str">
        <f ca="1">IF(AND(NEGOCIAÇÕES!P91="",NEGOCIAÇÕES!N91&lt;TODAY()),NEGOCIAÇÕES!C91,"")</f>
        <v/>
      </c>
      <c r="C91" s="6" t="str">
        <f ca="1">IF(AND(NEGOCIAÇÕES!P91="",NEGOCIAÇÕES!N91&lt;TODAY()),NEGOCIAÇÕES!E91,"")</f>
        <v/>
      </c>
      <c r="D91" s="6" t="str">
        <f ca="1">IF(AND(NEGOCIAÇÕES!P91="",NEGOCIAÇÕES!N91&lt;TODAY()),NEGOCIAÇÕES!D91,"")</f>
        <v/>
      </c>
      <c r="E91" s="9" t="str">
        <f ca="1">IF(AND(NEGOCIAÇÕES!P91="",NEGOCIAÇÕES!N91&lt;TODAY()),NEGOCIAÇÕES!N91,"")</f>
        <v/>
      </c>
      <c r="F91" s="6"/>
    </row>
    <row r="92" spans="2:6" ht="31.95" hidden="1" customHeight="1" x14ac:dyDescent="0.3">
      <c r="B92" s="6" t="str">
        <f ca="1">IF(AND(NEGOCIAÇÕES!P92="",NEGOCIAÇÕES!N92&lt;TODAY()),NEGOCIAÇÕES!C92,"")</f>
        <v/>
      </c>
      <c r="C92" s="6" t="str">
        <f ca="1">IF(AND(NEGOCIAÇÕES!P92="",NEGOCIAÇÕES!N92&lt;TODAY()),NEGOCIAÇÕES!E92,"")</f>
        <v/>
      </c>
      <c r="D92" s="6" t="str">
        <f ca="1">IF(AND(NEGOCIAÇÕES!P92="",NEGOCIAÇÕES!N92&lt;TODAY()),NEGOCIAÇÕES!D92,"")</f>
        <v/>
      </c>
      <c r="E92" s="9" t="str">
        <f ca="1">IF(AND(NEGOCIAÇÕES!P92="",NEGOCIAÇÕES!N92&lt;TODAY()),NEGOCIAÇÕES!N92,"")</f>
        <v/>
      </c>
      <c r="F92" s="6"/>
    </row>
    <row r="93" spans="2:6" ht="31.95" hidden="1" customHeight="1" x14ac:dyDescent="0.3">
      <c r="B93" s="6" t="str">
        <f ca="1">IF(AND(NEGOCIAÇÕES!P93="",NEGOCIAÇÕES!N93&lt;TODAY()),NEGOCIAÇÕES!C93,"")</f>
        <v/>
      </c>
      <c r="C93" s="6" t="str">
        <f ca="1">IF(AND(NEGOCIAÇÕES!P93="",NEGOCIAÇÕES!N93&lt;TODAY()),NEGOCIAÇÕES!E93,"")</f>
        <v/>
      </c>
      <c r="D93" s="6" t="str">
        <f ca="1">IF(AND(NEGOCIAÇÕES!P93="",NEGOCIAÇÕES!N93&lt;TODAY()),NEGOCIAÇÕES!D93,"")</f>
        <v/>
      </c>
      <c r="E93" s="9" t="str">
        <f ca="1">IF(AND(NEGOCIAÇÕES!P93="",NEGOCIAÇÕES!N93&lt;TODAY()),NEGOCIAÇÕES!N93,"")</f>
        <v/>
      </c>
      <c r="F93" s="6"/>
    </row>
    <row r="94" spans="2:6" ht="31.95" hidden="1" customHeight="1" x14ac:dyDescent="0.3">
      <c r="B94" s="6" t="str">
        <f ca="1">IF(AND(NEGOCIAÇÕES!P94="",NEGOCIAÇÕES!N94&lt;TODAY()),NEGOCIAÇÕES!C94,"")</f>
        <v/>
      </c>
      <c r="C94" s="6" t="str">
        <f ca="1">IF(AND(NEGOCIAÇÕES!P94="",NEGOCIAÇÕES!N94&lt;TODAY()),NEGOCIAÇÕES!E94,"")</f>
        <v/>
      </c>
      <c r="D94" s="6" t="str">
        <f ca="1">IF(AND(NEGOCIAÇÕES!P94="",NEGOCIAÇÕES!N94&lt;TODAY()),NEGOCIAÇÕES!D94,"")</f>
        <v/>
      </c>
      <c r="E94" s="9" t="str">
        <f ca="1">IF(AND(NEGOCIAÇÕES!P94="",NEGOCIAÇÕES!N94&lt;TODAY()),NEGOCIAÇÕES!N94,"")</f>
        <v/>
      </c>
      <c r="F94" s="6"/>
    </row>
    <row r="95" spans="2:6" ht="31.95" hidden="1" customHeight="1" x14ac:dyDescent="0.3">
      <c r="B95" s="6" t="str">
        <f ca="1">IF(AND(NEGOCIAÇÕES!P95="",NEGOCIAÇÕES!N95&lt;TODAY()),NEGOCIAÇÕES!C95,"")</f>
        <v/>
      </c>
      <c r="C95" s="6" t="str">
        <f ca="1">IF(AND(NEGOCIAÇÕES!P95="",NEGOCIAÇÕES!N95&lt;TODAY()),NEGOCIAÇÕES!E95,"")</f>
        <v/>
      </c>
      <c r="D95" s="6" t="str">
        <f ca="1">IF(AND(NEGOCIAÇÕES!P95="",NEGOCIAÇÕES!N95&lt;TODAY()),NEGOCIAÇÕES!D95,"")</f>
        <v/>
      </c>
      <c r="E95" s="9" t="str">
        <f ca="1">IF(AND(NEGOCIAÇÕES!P95="",NEGOCIAÇÕES!N95&lt;TODAY()),NEGOCIAÇÕES!N95,"")</f>
        <v/>
      </c>
      <c r="F95" s="6"/>
    </row>
    <row r="96" spans="2:6" ht="31.95" hidden="1" customHeight="1" x14ac:dyDescent="0.3">
      <c r="B96" s="6" t="str">
        <f ca="1">IF(AND(NEGOCIAÇÕES!P96="",NEGOCIAÇÕES!N96&lt;TODAY()),NEGOCIAÇÕES!C96,"")</f>
        <v/>
      </c>
      <c r="C96" s="6" t="str">
        <f ca="1">IF(AND(NEGOCIAÇÕES!P96="",NEGOCIAÇÕES!N96&lt;TODAY()),NEGOCIAÇÕES!E96,"")</f>
        <v/>
      </c>
      <c r="D96" s="6" t="str">
        <f ca="1">IF(AND(NEGOCIAÇÕES!P96="",NEGOCIAÇÕES!N96&lt;TODAY()),NEGOCIAÇÕES!D96,"")</f>
        <v/>
      </c>
      <c r="E96" s="9" t="str">
        <f ca="1">IF(AND(NEGOCIAÇÕES!P96="",NEGOCIAÇÕES!N96&lt;TODAY()),NEGOCIAÇÕES!N96,"")</f>
        <v/>
      </c>
      <c r="F96" s="6"/>
    </row>
    <row r="97" spans="2:6" ht="31.95" hidden="1" customHeight="1" x14ac:dyDescent="0.3">
      <c r="B97" s="6" t="str">
        <f ca="1">IF(AND(NEGOCIAÇÕES!P97="",NEGOCIAÇÕES!N97&lt;TODAY()),NEGOCIAÇÕES!C97,"")</f>
        <v/>
      </c>
      <c r="C97" s="6" t="str">
        <f ca="1">IF(AND(NEGOCIAÇÕES!P97="",NEGOCIAÇÕES!N97&lt;TODAY()),NEGOCIAÇÕES!E97,"")</f>
        <v/>
      </c>
      <c r="D97" s="6" t="str">
        <f ca="1">IF(AND(NEGOCIAÇÕES!P97="",NEGOCIAÇÕES!N97&lt;TODAY()),NEGOCIAÇÕES!D97,"")</f>
        <v/>
      </c>
      <c r="E97" s="9" t="str">
        <f ca="1">IF(AND(NEGOCIAÇÕES!P97="",NEGOCIAÇÕES!N97&lt;TODAY()),NEGOCIAÇÕES!N97,"")</f>
        <v/>
      </c>
      <c r="F97" s="6"/>
    </row>
    <row r="98" spans="2:6" ht="31.95" hidden="1" customHeight="1" x14ac:dyDescent="0.3">
      <c r="B98" s="6" t="str">
        <f ca="1">IF(AND(NEGOCIAÇÕES!P98="",NEGOCIAÇÕES!N98&lt;TODAY()),NEGOCIAÇÕES!C98,"")</f>
        <v/>
      </c>
      <c r="C98" s="6" t="str">
        <f ca="1">IF(AND(NEGOCIAÇÕES!P98="",NEGOCIAÇÕES!N98&lt;TODAY()),NEGOCIAÇÕES!E98,"")</f>
        <v/>
      </c>
      <c r="D98" s="6" t="str">
        <f ca="1">IF(AND(NEGOCIAÇÕES!P98="",NEGOCIAÇÕES!N98&lt;TODAY()),NEGOCIAÇÕES!D98,"")</f>
        <v/>
      </c>
      <c r="E98" s="9" t="str">
        <f ca="1">IF(AND(NEGOCIAÇÕES!P98="",NEGOCIAÇÕES!N98&lt;TODAY()),NEGOCIAÇÕES!N98,"")</f>
        <v/>
      </c>
      <c r="F98" s="6"/>
    </row>
    <row r="99" spans="2:6" ht="31.95" hidden="1" customHeight="1" x14ac:dyDescent="0.3">
      <c r="B99" s="6" t="str">
        <f ca="1">IF(AND(NEGOCIAÇÕES!P99="",NEGOCIAÇÕES!N99&lt;TODAY()),NEGOCIAÇÕES!C99,"")</f>
        <v/>
      </c>
      <c r="C99" s="6" t="str">
        <f ca="1">IF(AND(NEGOCIAÇÕES!P99="",NEGOCIAÇÕES!N99&lt;TODAY()),NEGOCIAÇÕES!E99,"")</f>
        <v/>
      </c>
      <c r="D99" s="6" t="str">
        <f ca="1">IF(AND(NEGOCIAÇÕES!P99="",NEGOCIAÇÕES!N99&lt;TODAY()),NEGOCIAÇÕES!D99,"")</f>
        <v/>
      </c>
      <c r="E99" s="9" t="str">
        <f ca="1">IF(AND(NEGOCIAÇÕES!P99="",NEGOCIAÇÕES!N99&lt;TODAY()),NEGOCIAÇÕES!N99,"")</f>
        <v/>
      </c>
      <c r="F99" s="6"/>
    </row>
    <row r="100" spans="2:6" ht="31.95" hidden="1" customHeight="1" x14ac:dyDescent="0.3">
      <c r="B100" s="6" t="str">
        <f ca="1">IF(AND(NEGOCIAÇÕES!P100="",NEGOCIAÇÕES!N100&lt;TODAY()),NEGOCIAÇÕES!C100,"")</f>
        <v/>
      </c>
      <c r="C100" s="6" t="str">
        <f ca="1">IF(AND(NEGOCIAÇÕES!P100="",NEGOCIAÇÕES!N100&lt;TODAY()),NEGOCIAÇÕES!E100,"")</f>
        <v/>
      </c>
      <c r="D100" s="6" t="str">
        <f ca="1">IF(AND(NEGOCIAÇÕES!P100="",NEGOCIAÇÕES!N100&lt;TODAY()),NEGOCIAÇÕES!D100,"")</f>
        <v/>
      </c>
      <c r="E100" s="9" t="str">
        <f ca="1">IF(AND(NEGOCIAÇÕES!P100="",NEGOCIAÇÕES!N100&lt;TODAY()),NEGOCIAÇÕES!N100,"")</f>
        <v/>
      </c>
      <c r="F100" s="6"/>
    </row>
    <row r="101" spans="2:6" ht="31.95" hidden="1" customHeight="1" x14ac:dyDescent="0.3">
      <c r="B101" s="6" t="str">
        <f ca="1">IF(AND(NEGOCIAÇÕES!P101="",NEGOCIAÇÕES!N101&lt;TODAY()),NEGOCIAÇÕES!C101,"")</f>
        <v/>
      </c>
      <c r="C101" s="6" t="str">
        <f ca="1">IF(AND(NEGOCIAÇÕES!P101="",NEGOCIAÇÕES!N101&lt;TODAY()),NEGOCIAÇÕES!E101,"")</f>
        <v/>
      </c>
      <c r="D101" s="6" t="str">
        <f ca="1">IF(AND(NEGOCIAÇÕES!P101="",NEGOCIAÇÕES!N101&lt;TODAY()),NEGOCIAÇÕES!D101,"")</f>
        <v/>
      </c>
      <c r="E101" s="9" t="str">
        <f ca="1">IF(AND(NEGOCIAÇÕES!P101="",NEGOCIAÇÕES!N101&lt;TODAY()),NEGOCIAÇÕES!N101,"")</f>
        <v/>
      </c>
      <c r="F101" s="6"/>
    </row>
    <row r="102" spans="2:6" ht="31.95" hidden="1" customHeight="1" x14ac:dyDescent="0.3">
      <c r="B102" s="6" t="str">
        <f ca="1">IF(AND(NEGOCIAÇÕES!P102="",NEGOCIAÇÕES!N102&lt;TODAY()),NEGOCIAÇÕES!C102,"")</f>
        <v/>
      </c>
      <c r="C102" s="6" t="str">
        <f ca="1">IF(AND(NEGOCIAÇÕES!P102="",NEGOCIAÇÕES!N102&lt;TODAY()),NEGOCIAÇÕES!E102,"")</f>
        <v/>
      </c>
      <c r="D102" s="6" t="str">
        <f ca="1">IF(AND(NEGOCIAÇÕES!P102="",NEGOCIAÇÕES!N102&lt;TODAY()),NEGOCIAÇÕES!D102,"")</f>
        <v/>
      </c>
      <c r="E102" s="9" t="str">
        <f ca="1">IF(AND(NEGOCIAÇÕES!P102="",NEGOCIAÇÕES!N102&lt;TODAY()),NEGOCIAÇÕES!N102,"")</f>
        <v/>
      </c>
      <c r="F102" s="6"/>
    </row>
    <row r="103" spans="2:6" ht="31.95" hidden="1" customHeight="1" x14ac:dyDescent="0.3">
      <c r="B103" s="6" t="str">
        <f ca="1">IF(AND(NEGOCIAÇÕES!P103="",NEGOCIAÇÕES!N103&lt;TODAY()),NEGOCIAÇÕES!C103,"")</f>
        <v/>
      </c>
      <c r="C103" s="6" t="str">
        <f ca="1">IF(AND(NEGOCIAÇÕES!P103="",NEGOCIAÇÕES!N103&lt;TODAY()),NEGOCIAÇÕES!E103,"")</f>
        <v/>
      </c>
      <c r="D103" s="6" t="str">
        <f ca="1">IF(AND(NEGOCIAÇÕES!P103="",NEGOCIAÇÕES!N103&lt;TODAY()),NEGOCIAÇÕES!D103,"")</f>
        <v/>
      </c>
      <c r="E103" s="9" t="str">
        <f ca="1">IF(AND(NEGOCIAÇÕES!P103="",NEGOCIAÇÕES!N103&lt;TODAY()),NEGOCIAÇÕES!N103,"")</f>
        <v/>
      </c>
      <c r="F103" s="6"/>
    </row>
    <row r="104" spans="2:6" ht="31.95" hidden="1" customHeight="1" x14ac:dyDescent="0.3">
      <c r="B104" s="6" t="str">
        <f ca="1">IF(AND(NEGOCIAÇÕES!P104="",NEGOCIAÇÕES!N104&lt;TODAY()),NEGOCIAÇÕES!C104,"")</f>
        <v/>
      </c>
      <c r="C104" s="6" t="str">
        <f ca="1">IF(AND(NEGOCIAÇÕES!P104="",NEGOCIAÇÕES!N104&lt;TODAY()),NEGOCIAÇÕES!E104,"")</f>
        <v/>
      </c>
      <c r="D104" s="6" t="str">
        <f ca="1">IF(AND(NEGOCIAÇÕES!P104="",NEGOCIAÇÕES!N104&lt;TODAY()),NEGOCIAÇÕES!D104,"")</f>
        <v/>
      </c>
      <c r="E104" s="9" t="str">
        <f ca="1">IF(AND(NEGOCIAÇÕES!P104="",NEGOCIAÇÕES!N104&lt;TODAY()),NEGOCIAÇÕES!N104,"")</f>
        <v/>
      </c>
      <c r="F104" s="6"/>
    </row>
    <row r="105" spans="2:6" ht="31.95" hidden="1" customHeight="1" x14ac:dyDescent="0.3">
      <c r="B105" s="6" t="str">
        <f ca="1">IF(AND(NEGOCIAÇÕES!P105="",NEGOCIAÇÕES!N105&lt;TODAY()),NEGOCIAÇÕES!C105,"")</f>
        <v/>
      </c>
      <c r="C105" s="6" t="str">
        <f ca="1">IF(AND(NEGOCIAÇÕES!P105="",NEGOCIAÇÕES!N105&lt;TODAY()),NEGOCIAÇÕES!E105,"")</f>
        <v/>
      </c>
      <c r="D105" s="6" t="str">
        <f ca="1">IF(AND(NEGOCIAÇÕES!P105="",NEGOCIAÇÕES!N105&lt;TODAY()),NEGOCIAÇÕES!D105,"")</f>
        <v/>
      </c>
      <c r="E105" s="9" t="str">
        <f ca="1">IF(AND(NEGOCIAÇÕES!P105="",NEGOCIAÇÕES!N105&lt;TODAY()),NEGOCIAÇÕES!N105,"")</f>
        <v/>
      </c>
      <c r="F105" s="6"/>
    </row>
    <row r="106" spans="2:6" ht="31.95" hidden="1" customHeight="1" x14ac:dyDescent="0.3">
      <c r="B106" s="6" t="str">
        <f ca="1">IF(AND(NEGOCIAÇÕES!P106="",NEGOCIAÇÕES!N106&lt;TODAY()),NEGOCIAÇÕES!C106,"")</f>
        <v/>
      </c>
      <c r="C106" s="6" t="str">
        <f ca="1">IF(AND(NEGOCIAÇÕES!P106="",NEGOCIAÇÕES!N106&lt;TODAY()),NEGOCIAÇÕES!E106,"")</f>
        <v/>
      </c>
      <c r="D106" s="6" t="str">
        <f ca="1">IF(AND(NEGOCIAÇÕES!P106="",NEGOCIAÇÕES!N106&lt;TODAY()),NEGOCIAÇÕES!D106,"")</f>
        <v/>
      </c>
      <c r="E106" s="9" t="str">
        <f ca="1">IF(AND(NEGOCIAÇÕES!P106="",NEGOCIAÇÕES!N106&lt;TODAY()),NEGOCIAÇÕES!N106,"")</f>
        <v/>
      </c>
      <c r="F106" s="6"/>
    </row>
    <row r="107" spans="2:6" ht="31.95" hidden="1" customHeight="1" x14ac:dyDescent="0.3">
      <c r="B107" s="6" t="str">
        <f ca="1">IF(AND(NEGOCIAÇÕES!P107="",NEGOCIAÇÕES!N107&lt;TODAY()),NEGOCIAÇÕES!C107,"")</f>
        <v/>
      </c>
      <c r="C107" s="6" t="str">
        <f ca="1">IF(AND(NEGOCIAÇÕES!P107="",NEGOCIAÇÕES!N107&lt;TODAY()),NEGOCIAÇÕES!E107,"")</f>
        <v/>
      </c>
      <c r="D107" s="6" t="str">
        <f ca="1">IF(AND(NEGOCIAÇÕES!P107="",NEGOCIAÇÕES!N107&lt;TODAY()),NEGOCIAÇÕES!D107,"")</f>
        <v/>
      </c>
      <c r="E107" s="9" t="str">
        <f ca="1">IF(AND(NEGOCIAÇÕES!P107="",NEGOCIAÇÕES!N107&lt;TODAY()),NEGOCIAÇÕES!N107,"")</f>
        <v/>
      </c>
      <c r="F107" s="6"/>
    </row>
    <row r="108" spans="2:6" ht="31.95" hidden="1" customHeight="1" x14ac:dyDescent="0.3">
      <c r="B108" s="6" t="str">
        <f ca="1">IF(AND(NEGOCIAÇÕES!P108="",NEGOCIAÇÕES!N108&lt;TODAY()),NEGOCIAÇÕES!C108,"")</f>
        <v/>
      </c>
      <c r="C108" s="6" t="str">
        <f ca="1">IF(AND(NEGOCIAÇÕES!P108="",NEGOCIAÇÕES!N108&lt;TODAY()),NEGOCIAÇÕES!E108,"")</f>
        <v/>
      </c>
      <c r="D108" s="6" t="str">
        <f ca="1">IF(AND(NEGOCIAÇÕES!P108="",NEGOCIAÇÕES!N108&lt;TODAY()),NEGOCIAÇÕES!D108,"")</f>
        <v/>
      </c>
      <c r="E108" s="9" t="str">
        <f ca="1">IF(AND(NEGOCIAÇÕES!P108="",NEGOCIAÇÕES!N108&lt;TODAY()),NEGOCIAÇÕES!N108,"")</f>
        <v/>
      </c>
      <c r="F108" s="6"/>
    </row>
    <row r="109" spans="2:6" ht="31.95" hidden="1" customHeight="1" x14ac:dyDescent="0.3">
      <c r="B109" s="6" t="str">
        <f ca="1">IF(AND(NEGOCIAÇÕES!P109="",NEGOCIAÇÕES!N109&lt;TODAY()),NEGOCIAÇÕES!C109,"")</f>
        <v/>
      </c>
      <c r="C109" s="6" t="str">
        <f ca="1">IF(AND(NEGOCIAÇÕES!P109="",NEGOCIAÇÕES!N109&lt;TODAY()),NEGOCIAÇÕES!E109,"")</f>
        <v/>
      </c>
      <c r="D109" s="6" t="str">
        <f ca="1">IF(AND(NEGOCIAÇÕES!P109="",NEGOCIAÇÕES!N109&lt;TODAY()),NEGOCIAÇÕES!D109,"")</f>
        <v/>
      </c>
      <c r="E109" s="9" t="str">
        <f ca="1">IF(AND(NEGOCIAÇÕES!P109="",NEGOCIAÇÕES!N109&lt;TODAY()),NEGOCIAÇÕES!N109,"")</f>
        <v/>
      </c>
      <c r="F109" s="6"/>
    </row>
    <row r="110" spans="2:6" ht="31.95" hidden="1" customHeight="1" x14ac:dyDescent="0.3">
      <c r="B110" s="6" t="str">
        <f ca="1">IF(AND(NEGOCIAÇÕES!P110="",NEGOCIAÇÕES!N110&lt;TODAY()),NEGOCIAÇÕES!C110,"")</f>
        <v/>
      </c>
      <c r="C110" s="6" t="str">
        <f ca="1">IF(AND(NEGOCIAÇÕES!P110="",NEGOCIAÇÕES!N110&lt;TODAY()),NEGOCIAÇÕES!E110,"")</f>
        <v/>
      </c>
      <c r="D110" s="6" t="str">
        <f ca="1">IF(AND(NEGOCIAÇÕES!P110="",NEGOCIAÇÕES!N110&lt;TODAY()),NEGOCIAÇÕES!D110,"")</f>
        <v/>
      </c>
      <c r="E110" s="9" t="str">
        <f ca="1">IF(AND(NEGOCIAÇÕES!P110="",NEGOCIAÇÕES!N110&lt;TODAY()),NEGOCIAÇÕES!N110,"")</f>
        <v/>
      </c>
      <c r="F110" s="6"/>
    </row>
    <row r="111" spans="2:6" ht="31.95" hidden="1" customHeight="1" x14ac:dyDescent="0.3">
      <c r="B111" s="6" t="str">
        <f ca="1">IF(AND(NEGOCIAÇÕES!P111="",NEGOCIAÇÕES!N111&lt;TODAY()),NEGOCIAÇÕES!C111,"")</f>
        <v/>
      </c>
      <c r="C111" s="6" t="str">
        <f ca="1">IF(AND(NEGOCIAÇÕES!P111="",NEGOCIAÇÕES!N111&lt;TODAY()),NEGOCIAÇÕES!E111,"")</f>
        <v/>
      </c>
      <c r="D111" s="6" t="str">
        <f ca="1">IF(AND(NEGOCIAÇÕES!P111="",NEGOCIAÇÕES!N111&lt;TODAY()),NEGOCIAÇÕES!D111,"")</f>
        <v/>
      </c>
      <c r="E111" s="9" t="str">
        <f ca="1">IF(AND(NEGOCIAÇÕES!P111="",NEGOCIAÇÕES!N111&lt;TODAY()),NEGOCIAÇÕES!N111,"")</f>
        <v/>
      </c>
      <c r="F111" s="6"/>
    </row>
    <row r="112" spans="2:6" ht="31.95" hidden="1" customHeight="1" x14ac:dyDescent="0.3">
      <c r="B112" s="6" t="str">
        <f ca="1">IF(AND(NEGOCIAÇÕES!P112="",NEGOCIAÇÕES!N112&lt;TODAY()),NEGOCIAÇÕES!C112,"")</f>
        <v/>
      </c>
      <c r="C112" s="6" t="str">
        <f ca="1">IF(AND(NEGOCIAÇÕES!P112="",NEGOCIAÇÕES!N112&lt;TODAY()),NEGOCIAÇÕES!E112,"")</f>
        <v/>
      </c>
      <c r="D112" s="6" t="str">
        <f ca="1">IF(AND(NEGOCIAÇÕES!P112="",NEGOCIAÇÕES!N112&lt;TODAY()),NEGOCIAÇÕES!D112,"")</f>
        <v/>
      </c>
      <c r="E112" s="9" t="str">
        <f ca="1">IF(AND(NEGOCIAÇÕES!P112="",NEGOCIAÇÕES!N112&lt;TODAY()),NEGOCIAÇÕES!N112,"")</f>
        <v/>
      </c>
      <c r="F112" s="6"/>
    </row>
    <row r="113" spans="2:6" ht="31.95" hidden="1" customHeight="1" x14ac:dyDescent="0.3">
      <c r="B113" s="6" t="str">
        <f ca="1">IF(AND(NEGOCIAÇÕES!P113="",NEGOCIAÇÕES!N113&lt;TODAY()),NEGOCIAÇÕES!C113,"")</f>
        <v/>
      </c>
      <c r="C113" s="6" t="str">
        <f ca="1">IF(AND(NEGOCIAÇÕES!P113="",NEGOCIAÇÕES!N113&lt;TODAY()),NEGOCIAÇÕES!E113,"")</f>
        <v/>
      </c>
      <c r="D113" s="6" t="str">
        <f ca="1">IF(AND(NEGOCIAÇÕES!P113="",NEGOCIAÇÕES!N113&lt;TODAY()),NEGOCIAÇÕES!D113,"")</f>
        <v/>
      </c>
      <c r="E113" s="9" t="str">
        <f ca="1">IF(AND(NEGOCIAÇÕES!P113="",NEGOCIAÇÕES!N113&lt;TODAY()),NEGOCIAÇÕES!N113,"")</f>
        <v/>
      </c>
      <c r="F113" s="6"/>
    </row>
    <row r="114" spans="2:6" ht="31.95" hidden="1" customHeight="1" x14ac:dyDescent="0.3">
      <c r="B114" s="6" t="str">
        <f ca="1">IF(AND(NEGOCIAÇÕES!P114="",NEGOCIAÇÕES!N114&lt;TODAY()),NEGOCIAÇÕES!C114,"")</f>
        <v/>
      </c>
      <c r="C114" s="6" t="str">
        <f ca="1">IF(AND(NEGOCIAÇÕES!P114="",NEGOCIAÇÕES!N114&lt;TODAY()),NEGOCIAÇÕES!E114,"")</f>
        <v/>
      </c>
      <c r="D114" s="6" t="str">
        <f ca="1">IF(AND(NEGOCIAÇÕES!P114="",NEGOCIAÇÕES!N114&lt;TODAY()),NEGOCIAÇÕES!D114,"")</f>
        <v/>
      </c>
      <c r="E114" s="9" t="str">
        <f ca="1">IF(AND(NEGOCIAÇÕES!P114="",NEGOCIAÇÕES!N114&lt;TODAY()),NEGOCIAÇÕES!N114,"")</f>
        <v/>
      </c>
      <c r="F114" s="6"/>
    </row>
    <row r="115" spans="2:6" ht="31.95" hidden="1" customHeight="1" x14ac:dyDescent="0.3">
      <c r="B115" s="6" t="str">
        <f ca="1">IF(AND(NEGOCIAÇÕES!P115="",NEGOCIAÇÕES!N115&lt;TODAY()),NEGOCIAÇÕES!C115,"")</f>
        <v/>
      </c>
      <c r="C115" s="6" t="str">
        <f ca="1">IF(AND(NEGOCIAÇÕES!P115="",NEGOCIAÇÕES!N115&lt;TODAY()),NEGOCIAÇÕES!E115,"")</f>
        <v/>
      </c>
      <c r="D115" s="6" t="str">
        <f ca="1">IF(AND(NEGOCIAÇÕES!P115="",NEGOCIAÇÕES!N115&lt;TODAY()),NEGOCIAÇÕES!D115,"")</f>
        <v/>
      </c>
      <c r="E115" s="9" t="str">
        <f ca="1">IF(AND(NEGOCIAÇÕES!P115="",NEGOCIAÇÕES!N115&lt;TODAY()),NEGOCIAÇÕES!N115,"")</f>
        <v/>
      </c>
      <c r="F115" s="6"/>
    </row>
    <row r="116" spans="2:6" ht="31.95" hidden="1" customHeight="1" x14ac:dyDescent="0.3">
      <c r="B116" s="6" t="str">
        <f ca="1">IF(AND(NEGOCIAÇÕES!P116="",NEGOCIAÇÕES!N116&lt;TODAY()),NEGOCIAÇÕES!C116,"")</f>
        <v/>
      </c>
      <c r="C116" s="6" t="str">
        <f ca="1">IF(AND(NEGOCIAÇÕES!P116="",NEGOCIAÇÕES!N116&lt;TODAY()),NEGOCIAÇÕES!E116,"")</f>
        <v/>
      </c>
      <c r="D116" s="6" t="str">
        <f ca="1">IF(AND(NEGOCIAÇÕES!P116="",NEGOCIAÇÕES!N116&lt;TODAY()),NEGOCIAÇÕES!D116,"")</f>
        <v/>
      </c>
      <c r="E116" s="9" t="str">
        <f ca="1">IF(AND(NEGOCIAÇÕES!P116="",NEGOCIAÇÕES!N116&lt;TODAY()),NEGOCIAÇÕES!N116,"")</f>
        <v/>
      </c>
      <c r="F116" s="6"/>
    </row>
    <row r="117" spans="2:6" ht="31.95" hidden="1" customHeight="1" x14ac:dyDescent="0.3">
      <c r="B117" s="6" t="str">
        <f ca="1">IF(AND(NEGOCIAÇÕES!P117="",NEGOCIAÇÕES!N117&lt;TODAY()),NEGOCIAÇÕES!C117,"")</f>
        <v/>
      </c>
      <c r="C117" s="6" t="str">
        <f ca="1">IF(AND(NEGOCIAÇÕES!P117="",NEGOCIAÇÕES!N117&lt;TODAY()),NEGOCIAÇÕES!E117,"")</f>
        <v/>
      </c>
      <c r="D117" s="6" t="str">
        <f ca="1">IF(AND(NEGOCIAÇÕES!P117="",NEGOCIAÇÕES!N117&lt;TODAY()),NEGOCIAÇÕES!D117,"")</f>
        <v/>
      </c>
      <c r="E117" s="9" t="str">
        <f ca="1">IF(AND(NEGOCIAÇÕES!P117="",NEGOCIAÇÕES!N117&lt;TODAY()),NEGOCIAÇÕES!N117,"")</f>
        <v/>
      </c>
      <c r="F117" s="6"/>
    </row>
    <row r="118" spans="2:6" ht="31.95" hidden="1" customHeight="1" x14ac:dyDescent="0.3">
      <c r="B118" s="6" t="str">
        <f ca="1">IF(AND(NEGOCIAÇÕES!P118="",NEGOCIAÇÕES!N118&lt;TODAY()),NEGOCIAÇÕES!C118,"")</f>
        <v/>
      </c>
      <c r="C118" s="6" t="str">
        <f ca="1">IF(AND(NEGOCIAÇÕES!P118="",NEGOCIAÇÕES!N118&lt;TODAY()),NEGOCIAÇÕES!E118,"")</f>
        <v/>
      </c>
      <c r="D118" s="6" t="str">
        <f ca="1">IF(AND(NEGOCIAÇÕES!P118="",NEGOCIAÇÕES!N118&lt;TODAY()),NEGOCIAÇÕES!D118,"")</f>
        <v/>
      </c>
      <c r="E118" s="9" t="str">
        <f ca="1">IF(AND(NEGOCIAÇÕES!P118="",NEGOCIAÇÕES!N118&lt;TODAY()),NEGOCIAÇÕES!N118,"")</f>
        <v/>
      </c>
      <c r="F118" s="6"/>
    </row>
    <row r="119" spans="2:6" ht="31.95" hidden="1" customHeight="1" x14ac:dyDescent="0.3">
      <c r="B119" s="6" t="str">
        <f ca="1">IF(AND(NEGOCIAÇÕES!P119="",NEGOCIAÇÕES!N119&lt;TODAY()),NEGOCIAÇÕES!C119,"")</f>
        <v/>
      </c>
      <c r="C119" s="6" t="str">
        <f ca="1">IF(AND(NEGOCIAÇÕES!P119="",NEGOCIAÇÕES!N119&lt;TODAY()),NEGOCIAÇÕES!E119,"")</f>
        <v/>
      </c>
      <c r="D119" s="6" t="str">
        <f ca="1">IF(AND(NEGOCIAÇÕES!P119="",NEGOCIAÇÕES!N119&lt;TODAY()),NEGOCIAÇÕES!D119,"")</f>
        <v/>
      </c>
      <c r="E119" s="9" t="str">
        <f ca="1">IF(AND(NEGOCIAÇÕES!P119="",NEGOCIAÇÕES!N119&lt;TODAY()),NEGOCIAÇÕES!N119,"")</f>
        <v/>
      </c>
      <c r="F119" s="6"/>
    </row>
    <row r="120" spans="2:6" ht="31.95" hidden="1" customHeight="1" x14ac:dyDescent="0.3">
      <c r="B120" s="6" t="str">
        <f ca="1">IF(AND(NEGOCIAÇÕES!P120="",NEGOCIAÇÕES!N120&lt;TODAY()),NEGOCIAÇÕES!C120,"")</f>
        <v/>
      </c>
      <c r="C120" s="6" t="str">
        <f ca="1">IF(AND(NEGOCIAÇÕES!P120="",NEGOCIAÇÕES!N120&lt;TODAY()),NEGOCIAÇÕES!E120,"")</f>
        <v/>
      </c>
      <c r="D120" s="6" t="str">
        <f ca="1">IF(AND(NEGOCIAÇÕES!P120="",NEGOCIAÇÕES!N120&lt;TODAY()),NEGOCIAÇÕES!D120,"")</f>
        <v/>
      </c>
      <c r="E120" s="9" t="str">
        <f ca="1">IF(AND(NEGOCIAÇÕES!P120="",NEGOCIAÇÕES!N120&lt;TODAY()),NEGOCIAÇÕES!N120,"")</f>
        <v/>
      </c>
      <c r="F120" s="6"/>
    </row>
    <row r="121" spans="2:6" ht="31.95" hidden="1" customHeight="1" x14ac:dyDescent="0.3">
      <c r="B121" s="6" t="str">
        <f ca="1">IF(AND(NEGOCIAÇÕES!P121="",NEGOCIAÇÕES!N121&lt;TODAY()),NEGOCIAÇÕES!C121,"")</f>
        <v/>
      </c>
      <c r="C121" s="6" t="str">
        <f ca="1">IF(AND(NEGOCIAÇÕES!P121="",NEGOCIAÇÕES!N121&lt;TODAY()),NEGOCIAÇÕES!E121,"")</f>
        <v/>
      </c>
      <c r="D121" s="6" t="str">
        <f ca="1">IF(AND(NEGOCIAÇÕES!P121="",NEGOCIAÇÕES!N121&lt;TODAY()),NEGOCIAÇÕES!D121,"")</f>
        <v/>
      </c>
      <c r="E121" s="9" t="str">
        <f ca="1">IF(AND(NEGOCIAÇÕES!P121="",NEGOCIAÇÕES!N121&lt;TODAY()),NEGOCIAÇÕES!N121,"")</f>
        <v/>
      </c>
      <c r="F121" s="6"/>
    </row>
    <row r="122" spans="2:6" ht="31.95" hidden="1" customHeight="1" x14ac:dyDescent="0.3">
      <c r="B122" s="6" t="str">
        <f ca="1">IF(AND(NEGOCIAÇÕES!P122="",NEGOCIAÇÕES!N122&lt;TODAY()),NEGOCIAÇÕES!C122,"")</f>
        <v/>
      </c>
      <c r="C122" s="6" t="str">
        <f ca="1">IF(AND(NEGOCIAÇÕES!P122="",NEGOCIAÇÕES!N122&lt;TODAY()),NEGOCIAÇÕES!E122,"")</f>
        <v/>
      </c>
      <c r="D122" s="6" t="str">
        <f ca="1">IF(AND(NEGOCIAÇÕES!P122="",NEGOCIAÇÕES!N122&lt;TODAY()),NEGOCIAÇÕES!D122,"")</f>
        <v/>
      </c>
      <c r="E122" s="9" t="str">
        <f ca="1">IF(AND(NEGOCIAÇÕES!P122="",NEGOCIAÇÕES!N122&lt;TODAY()),NEGOCIAÇÕES!N122,"")</f>
        <v/>
      </c>
      <c r="F122" s="6"/>
    </row>
    <row r="123" spans="2:6" ht="31.95" hidden="1" customHeight="1" x14ac:dyDescent="0.3">
      <c r="B123" s="6" t="str">
        <f ca="1">IF(AND(NEGOCIAÇÕES!P123="",NEGOCIAÇÕES!N123&lt;TODAY()),NEGOCIAÇÕES!C123,"")</f>
        <v/>
      </c>
      <c r="C123" s="6" t="str">
        <f ca="1">IF(AND(NEGOCIAÇÕES!P123="",NEGOCIAÇÕES!N123&lt;TODAY()),NEGOCIAÇÕES!E123,"")</f>
        <v/>
      </c>
      <c r="D123" s="6" t="str">
        <f ca="1">IF(AND(NEGOCIAÇÕES!P123="",NEGOCIAÇÕES!N123&lt;TODAY()),NEGOCIAÇÕES!D123,"")</f>
        <v/>
      </c>
      <c r="E123" s="9" t="str">
        <f ca="1">IF(AND(NEGOCIAÇÕES!P123="",NEGOCIAÇÕES!N123&lt;TODAY()),NEGOCIAÇÕES!N123,"")</f>
        <v/>
      </c>
      <c r="F123" s="6"/>
    </row>
    <row r="124" spans="2:6" ht="31.95" hidden="1" customHeight="1" x14ac:dyDescent="0.3">
      <c r="B124" s="6" t="str">
        <f ca="1">IF(AND(NEGOCIAÇÕES!P124="",NEGOCIAÇÕES!N124&lt;TODAY()),NEGOCIAÇÕES!C124,"")</f>
        <v/>
      </c>
      <c r="C124" s="6" t="str">
        <f ca="1">IF(AND(NEGOCIAÇÕES!P124="",NEGOCIAÇÕES!N124&lt;TODAY()),NEGOCIAÇÕES!E124,"")</f>
        <v/>
      </c>
      <c r="D124" s="6" t="str">
        <f ca="1">IF(AND(NEGOCIAÇÕES!P124="",NEGOCIAÇÕES!N124&lt;TODAY()),NEGOCIAÇÕES!D124,"")</f>
        <v/>
      </c>
      <c r="E124" s="9" t="str">
        <f ca="1">IF(AND(NEGOCIAÇÕES!P124="",NEGOCIAÇÕES!N124&lt;TODAY()),NEGOCIAÇÕES!N124,"")</f>
        <v/>
      </c>
      <c r="F124" s="6"/>
    </row>
    <row r="125" spans="2:6" ht="31.95" hidden="1" customHeight="1" x14ac:dyDescent="0.3">
      <c r="B125" s="6" t="str">
        <f ca="1">IF(AND(NEGOCIAÇÕES!P125="",NEGOCIAÇÕES!N125&lt;TODAY()),NEGOCIAÇÕES!C125,"")</f>
        <v/>
      </c>
      <c r="C125" s="6" t="str">
        <f ca="1">IF(AND(NEGOCIAÇÕES!P125="",NEGOCIAÇÕES!N125&lt;TODAY()),NEGOCIAÇÕES!E125,"")</f>
        <v/>
      </c>
      <c r="D125" s="6" t="str">
        <f ca="1">IF(AND(NEGOCIAÇÕES!P125="",NEGOCIAÇÕES!N125&lt;TODAY()),NEGOCIAÇÕES!D125,"")</f>
        <v/>
      </c>
      <c r="E125" s="9" t="str">
        <f ca="1">IF(AND(NEGOCIAÇÕES!P125="",NEGOCIAÇÕES!N125&lt;TODAY()),NEGOCIAÇÕES!N125,"")</f>
        <v/>
      </c>
      <c r="F125" s="6"/>
    </row>
    <row r="126" spans="2:6" ht="31.95" hidden="1" customHeight="1" x14ac:dyDescent="0.3">
      <c r="B126" s="6" t="str">
        <f ca="1">IF(AND(NEGOCIAÇÕES!P126="",NEGOCIAÇÕES!N126&lt;TODAY()),NEGOCIAÇÕES!C126,"")</f>
        <v/>
      </c>
      <c r="C126" s="6" t="str">
        <f ca="1">IF(AND(NEGOCIAÇÕES!P126="",NEGOCIAÇÕES!N126&lt;TODAY()),NEGOCIAÇÕES!E126,"")</f>
        <v/>
      </c>
      <c r="D126" s="6" t="str">
        <f ca="1">IF(AND(NEGOCIAÇÕES!P126="",NEGOCIAÇÕES!N126&lt;TODAY()),NEGOCIAÇÕES!D126,"")</f>
        <v/>
      </c>
      <c r="E126" s="9" t="str">
        <f ca="1">IF(AND(NEGOCIAÇÕES!P126="",NEGOCIAÇÕES!N126&lt;TODAY()),NEGOCIAÇÕES!N126,"")</f>
        <v/>
      </c>
      <c r="F126" s="6"/>
    </row>
    <row r="127" spans="2:6" ht="31.95" hidden="1" customHeight="1" x14ac:dyDescent="0.3">
      <c r="B127" s="6" t="str">
        <f ca="1">IF(AND(NEGOCIAÇÕES!P127="",NEGOCIAÇÕES!N127&lt;TODAY()),NEGOCIAÇÕES!C127,"")</f>
        <v/>
      </c>
      <c r="C127" s="6" t="str">
        <f ca="1">IF(AND(NEGOCIAÇÕES!P127="",NEGOCIAÇÕES!N127&lt;TODAY()),NEGOCIAÇÕES!E127,"")</f>
        <v/>
      </c>
      <c r="D127" s="6" t="str">
        <f ca="1">IF(AND(NEGOCIAÇÕES!P127="",NEGOCIAÇÕES!N127&lt;TODAY()),NEGOCIAÇÕES!D127,"")</f>
        <v/>
      </c>
      <c r="E127" s="9" t="str">
        <f ca="1">IF(AND(NEGOCIAÇÕES!P127="",NEGOCIAÇÕES!N127&lt;TODAY()),NEGOCIAÇÕES!N127,"")</f>
        <v/>
      </c>
      <c r="F127" s="6"/>
    </row>
    <row r="128" spans="2:6" ht="31.95" hidden="1" customHeight="1" x14ac:dyDescent="0.3">
      <c r="B128" s="6" t="str">
        <f ca="1">IF(AND(NEGOCIAÇÕES!P128="",NEGOCIAÇÕES!N128&lt;TODAY()),NEGOCIAÇÕES!C128,"")</f>
        <v/>
      </c>
      <c r="C128" s="6" t="str">
        <f ca="1">IF(AND(NEGOCIAÇÕES!P128="",NEGOCIAÇÕES!N128&lt;TODAY()),NEGOCIAÇÕES!E128,"")</f>
        <v/>
      </c>
      <c r="D128" s="6" t="str">
        <f ca="1">IF(AND(NEGOCIAÇÕES!P128="",NEGOCIAÇÕES!N128&lt;TODAY()),NEGOCIAÇÕES!D128,"")</f>
        <v/>
      </c>
      <c r="E128" s="9" t="str">
        <f ca="1">IF(AND(NEGOCIAÇÕES!P128="",NEGOCIAÇÕES!N128&lt;TODAY()),NEGOCIAÇÕES!N128,"")</f>
        <v/>
      </c>
      <c r="F128" s="6"/>
    </row>
    <row r="129" spans="2:6" ht="31.95" hidden="1" customHeight="1" x14ac:dyDescent="0.3">
      <c r="B129" s="6" t="str">
        <f ca="1">IF(AND(NEGOCIAÇÕES!P129="",NEGOCIAÇÕES!N129&lt;TODAY()),NEGOCIAÇÕES!C129,"")</f>
        <v/>
      </c>
      <c r="C129" s="6" t="str">
        <f ca="1">IF(AND(NEGOCIAÇÕES!P129="",NEGOCIAÇÕES!N129&lt;TODAY()),NEGOCIAÇÕES!E129,"")</f>
        <v/>
      </c>
      <c r="D129" s="6" t="str">
        <f ca="1">IF(AND(NEGOCIAÇÕES!P129="",NEGOCIAÇÕES!N129&lt;TODAY()),NEGOCIAÇÕES!D129,"")</f>
        <v/>
      </c>
      <c r="E129" s="9" t="str">
        <f ca="1">IF(AND(NEGOCIAÇÕES!P129="",NEGOCIAÇÕES!N129&lt;TODAY()),NEGOCIAÇÕES!N129,"")</f>
        <v/>
      </c>
      <c r="F129" s="6"/>
    </row>
    <row r="130" spans="2:6" ht="31.95" hidden="1" customHeight="1" x14ac:dyDescent="0.3">
      <c r="B130" s="6" t="str">
        <f ca="1">IF(AND(NEGOCIAÇÕES!P130="",NEGOCIAÇÕES!N130&lt;TODAY()),NEGOCIAÇÕES!C130,"")</f>
        <v/>
      </c>
      <c r="C130" s="6" t="str">
        <f ca="1">IF(AND(NEGOCIAÇÕES!P130="",NEGOCIAÇÕES!N130&lt;TODAY()),NEGOCIAÇÕES!E130,"")</f>
        <v/>
      </c>
      <c r="D130" s="6" t="str">
        <f ca="1">IF(AND(NEGOCIAÇÕES!P130="",NEGOCIAÇÕES!N130&lt;TODAY()),NEGOCIAÇÕES!D130,"")</f>
        <v/>
      </c>
      <c r="E130" s="9" t="str">
        <f ca="1">IF(AND(NEGOCIAÇÕES!P130="",NEGOCIAÇÕES!N130&lt;TODAY()),NEGOCIAÇÕES!N130,"")</f>
        <v/>
      </c>
      <c r="F130" s="6"/>
    </row>
    <row r="131" spans="2:6" ht="31.95" hidden="1" customHeight="1" x14ac:dyDescent="0.3">
      <c r="B131" s="6" t="str">
        <f ca="1">IF(AND(NEGOCIAÇÕES!P131="",NEGOCIAÇÕES!N131&lt;TODAY()),NEGOCIAÇÕES!C131,"")</f>
        <v/>
      </c>
      <c r="C131" s="6" t="str">
        <f ca="1">IF(AND(NEGOCIAÇÕES!P131="",NEGOCIAÇÕES!N131&lt;TODAY()),NEGOCIAÇÕES!E131,"")</f>
        <v/>
      </c>
      <c r="D131" s="6" t="str">
        <f ca="1">IF(AND(NEGOCIAÇÕES!P131="",NEGOCIAÇÕES!N131&lt;TODAY()),NEGOCIAÇÕES!D131,"")</f>
        <v/>
      </c>
      <c r="E131" s="9" t="str">
        <f ca="1">IF(AND(NEGOCIAÇÕES!P131="",NEGOCIAÇÕES!N131&lt;TODAY()),NEGOCIAÇÕES!N131,"")</f>
        <v/>
      </c>
      <c r="F131" s="6"/>
    </row>
    <row r="132" spans="2:6" ht="31.95" hidden="1" customHeight="1" x14ac:dyDescent="0.3">
      <c r="B132" s="6" t="str">
        <f ca="1">IF(AND(NEGOCIAÇÕES!P132="",NEGOCIAÇÕES!N132&lt;TODAY()),NEGOCIAÇÕES!C132,"")</f>
        <v/>
      </c>
      <c r="C132" s="6" t="str">
        <f ca="1">IF(AND(NEGOCIAÇÕES!P132="",NEGOCIAÇÕES!N132&lt;TODAY()),NEGOCIAÇÕES!E132,"")</f>
        <v/>
      </c>
      <c r="D132" s="6" t="str">
        <f ca="1">IF(AND(NEGOCIAÇÕES!P132="",NEGOCIAÇÕES!N132&lt;TODAY()),NEGOCIAÇÕES!D132,"")</f>
        <v/>
      </c>
      <c r="E132" s="9" t="str">
        <f ca="1">IF(AND(NEGOCIAÇÕES!P132="",NEGOCIAÇÕES!N132&lt;TODAY()),NEGOCIAÇÕES!N132,"")</f>
        <v/>
      </c>
      <c r="F132" s="6"/>
    </row>
    <row r="133" spans="2:6" ht="31.95" hidden="1" customHeight="1" x14ac:dyDescent="0.3">
      <c r="B133" s="6" t="str">
        <f ca="1">IF(AND(NEGOCIAÇÕES!P133="",NEGOCIAÇÕES!N133&lt;TODAY()),NEGOCIAÇÕES!C133,"")</f>
        <v/>
      </c>
      <c r="C133" s="6" t="str">
        <f ca="1">IF(AND(NEGOCIAÇÕES!P133="",NEGOCIAÇÕES!N133&lt;TODAY()),NEGOCIAÇÕES!E133,"")</f>
        <v/>
      </c>
      <c r="D133" s="6" t="str">
        <f ca="1">IF(AND(NEGOCIAÇÕES!P133="",NEGOCIAÇÕES!N133&lt;TODAY()),NEGOCIAÇÕES!D133,"")</f>
        <v/>
      </c>
      <c r="E133" s="9" t="str">
        <f ca="1">IF(AND(NEGOCIAÇÕES!P133="",NEGOCIAÇÕES!N133&lt;TODAY()),NEGOCIAÇÕES!N133,"")</f>
        <v/>
      </c>
      <c r="F133" s="6"/>
    </row>
    <row r="134" spans="2:6" ht="31.95" hidden="1" customHeight="1" x14ac:dyDescent="0.3">
      <c r="B134" s="6" t="str">
        <f ca="1">IF(AND(NEGOCIAÇÕES!P134="",NEGOCIAÇÕES!N134&lt;TODAY()),NEGOCIAÇÕES!C134,"")</f>
        <v/>
      </c>
      <c r="C134" s="6" t="str">
        <f ca="1">IF(AND(NEGOCIAÇÕES!P134="",NEGOCIAÇÕES!N134&lt;TODAY()),NEGOCIAÇÕES!E134,"")</f>
        <v/>
      </c>
      <c r="D134" s="6" t="str">
        <f ca="1">IF(AND(NEGOCIAÇÕES!P134="",NEGOCIAÇÕES!N134&lt;TODAY()),NEGOCIAÇÕES!D134,"")</f>
        <v/>
      </c>
      <c r="E134" s="9" t="str">
        <f ca="1">IF(AND(NEGOCIAÇÕES!P134="",NEGOCIAÇÕES!N134&lt;TODAY()),NEGOCIAÇÕES!N134,"")</f>
        <v/>
      </c>
      <c r="F134" s="6"/>
    </row>
    <row r="135" spans="2:6" ht="31.95" hidden="1" customHeight="1" x14ac:dyDescent="0.3">
      <c r="B135" s="6" t="str">
        <f ca="1">IF(AND(NEGOCIAÇÕES!P135="",NEGOCIAÇÕES!N135&lt;TODAY()),NEGOCIAÇÕES!C135,"")</f>
        <v/>
      </c>
      <c r="C135" s="6" t="str">
        <f ca="1">IF(AND(NEGOCIAÇÕES!P135="",NEGOCIAÇÕES!N135&lt;TODAY()),NEGOCIAÇÕES!E135,"")</f>
        <v/>
      </c>
      <c r="D135" s="6" t="str">
        <f ca="1">IF(AND(NEGOCIAÇÕES!P135="",NEGOCIAÇÕES!N135&lt;TODAY()),NEGOCIAÇÕES!D135,"")</f>
        <v/>
      </c>
      <c r="E135" s="9" t="str">
        <f ca="1">IF(AND(NEGOCIAÇÕES!P135="",NEGOCIAÇÕES!N135&lt;TODAY()),NEGOCIAÇÕES!N135,"")</f>
        <v/>
      </c>
      <c r="F135" s="6"/>
    </row>
    <row r="136" spans="2:6" ht="31.95" hidden="1" customHeight="1" x14ac:dyDescent="0.3">
      <c r="B136" s="6" t="str">
        <f ca="1">IF(AND(NEGOCIAÇÕES!P136="",NEGOCIAÇÕES!N136&lt;TODAY()),NEGOCIAÇÕES!C136,"")</f>
        <v/>
      </c>
      <c r="C136" s="6" t="str">
        <f ca="1">IF(AND(NEGOCIAÇÕES!P136="",NEGOCIAÇÕES!N136&lt;TODAY()),NEGOCIAÇÕES!E136,"")</f>
        <v/>
      </c>
      <c r="D136" s="6" t="str">
        <f ca="1">IF(AND(NEGOCIAÇÕES!P136="",NEGOCIAÇÕES!N136&lt;TODAY()),NEGOCIAÇÕES!D136,"")</f>
        <v/>
      </c>
      <c r="E136" s="9" t="str">
        <f ca="1">IF(AND(NEGOCIAÇÕES!P136="",NEGOCIAÇÕES!N136&lt;TODAY()),NEGOCIAÇÕES!N136,"")</f>
        <v/>
      </c>
      <c r="F136" s="6"/>
    </row>
    <row r="137" spans="2:6" ht="31.95" hidden="1" customHeight="1" x14ac:dyDescent="0.3">
      <c r="B137" s="6" t="str">
        <f ca="1">IF(AND(NEGOCIAÇÕES!P137="",NEGOCIAÇÕES!N137&lt;TODAY()),NEGOCIAÇÕES!C137,"")</f>
        <v/>
      </c>
      <c r="C137" s="6" t="str">
        <f ca="1">IF(AND(NEGOCIAÇÕES!P137="",NEGOCIAÇÕES!N137&lt;TODAY()),NEGOCIAÇÕES!E137,"")</f>
        <v/>
      </c>
      <c r="D137" s="6" t="str">
        <f ca="1">IF(AND(NEGOCIAÇÕES!P137="",NEGOCIAÇÕES!N137&lt;TODAY()),NEGOCIAÇÕES!D137,"")</f>
        <v/>
      </c>
      <c r="E137" s="9" t="str">
        <f ca="1">IF(AND(NEGOCIAÇÕES!P137="",NEGOCIAÇÕES!N137&lt;TODAY()),NEGOCIAÇÕES!N137,"")</f>
        <v/>
      </c>
      <c r="F137" s="6"/>
    </row>
    <row r="138" spans="2:6" ht="31.95" hidden="1" customHeight="1" x14ac:dyDescent="0.3">
      <c r="B138" s="6" t="str">
        <f ca="1">IF(AND(NEGOCIAÇÕES!P138="",NEGOCIAÇÕES!N138&lt;TODAY()),NEGOCIAÇÕES!C138,"")</f>
        <v/>
      </c>
      <c r="C138" s="6" t="str">
        <f ca="1">IF(AND(NEGOCIAÇÕES!P138="",NEGOCIAÇÕES!N138&lt;TODAY()),NEGOCIAÇÕES!E138,"")</f>
        <v/>
      </c>
      <c r="D138" s="6" t="str">
        <f ca="1">IF(AND(NEGOCIAÇÕES!P138="",NEGOCIAÇÕES!N138&lt;TODAY()),NEGOCIAÇÕES!D138,"")</f>
        <v/>
      </c>
      <c r="E138" s="9" t="str">
        <f ca="1">IF(AND(NEGOCIAÇÕES!P138="",NEGOCIAÇÕES!N138&lt;TODAY()),NEGOCIAÇÕES!N138,"")</f>
        <v/>
      </c>
      <c r="F138" s="6"/>
    </row>
    <row r="139" spans="2:6" ht="31.95" hidden="1" customHeight="1" x14ac:dyDescent="0.3">
      <c r="B139" s="6" t="str">
        <f ca="1">IF(AND(NEGOCIAÇÕES!P139="",NEGOCIAÇÕES!N139&lt;TODAY()),NEGOCIAÇÕES!C139,"")</f>
        <v/>
      </c>
      <c r="C139" s="6" t="str">
        <f ca="1">IF(AND(NEGOCIAÇÕES!P139="",NEGOCIAÇÕES!N139&lt;TODAY()),NEGOCIAÇÕES!E139,"")</f>
        <v/>
      </c>
      <c r="D139" s="6" t="str">
        <f ca="1">IF(AND(NEGOCIAÇÕES!P139="",NEGOCIAÇÕES!N139&lt;TODAY()),NEGOCIAÇÕES!D139,"")</f>
        <v/>
      </c>
      <c r="E139" s="9" t="str">
        <f ca="1">IF(AND(NEGOCIAÇÕES!P139="",NEGOCIAÇÕES!N139&lt;TODAY()),NEGOCIAÇÕES!N139,"")</f>
        <v/>
      </c>
      <c r="F139" s="6"/>
    </row>
    <row r="140" spans="2:6" ht="31.95" hidden="1" customHeight="1" x14ac:dyDescent="0.3">
      <c r="B140" s="6" t="str">
        <f ca="1">IF(AND(NEGOCIAÇÕES!P140="",NEGOCIAÇÕES!N140&lt;TODAY()),NEGOCIAÇÕES!C140,"")</f>
        <v/>
      </c>
      <c r="C140" s="6" t="str">
        <f ca="1">IF(AND(NEGOCIAÇÕES!P140="",NEGOCIAÇÕES!N140&lt;TODAY()),NEGOCIAÇÕES!E140,"")</f>
        <v/>
      </c>
      <c r="D140" s="6" t="str">
        <f ca="1">IF(AND(NEGOCIAÇÕES!P140="",NEGOCIAÇÕES!N140&lt;TODAY()),NEGOCIAÇÕES!D140,"")</f>
        <v/>
      </c>
      <c r="E140" s="9" t="str">
        <f ca="1">IF(AND(NEGOCIAÇÕES!P140="",NEGOCIAÇÕES!N140&lt;TODAY()),NEGOCIAÇÕES!N140,"")</f>
        <v/>
      </c>
      <c r="F140" s="6"/>
    </row>
    <row r="141" spans="2:6" ht="31.95" hidden="1" customHeight="1" x14ac:dyDescent="0.3">
      <c r="B141" s="6" t="str">
        <f ca="1">IF(AND(NEGOCIAÇÕES!P141="",NEGOCIAÇÕES!N141&lt;TODAY()),NEGOCIAÇÕES!C141,"")</f>
        <v/>
      </c>
      <c r="C141" s="6" t="str">
        <f ca="1">IF(AND(NEGOCIAÇÕES!P141="",NEGOCIAÇÕES!N141&lt;TODAY()),NEGOCIAÇÕES!E141,"")</f>
        <v/>
      </c>
      <c r="D141" s="6" t="str">
        <f ca="1">IF(AND(NEGOCIAÇÕES!P141="",NEGOCIAÇÕES!N141&lt;TODAY()),NEGOCIAÇÕES!D141,"")</f>
        <v/>
      </c>
      <c r="E141" s="9" t="str">
        <f ca="1">IF(AND(NEGOCIAÇÕES!P141="",NEGOCIAÇÕES!N141&lt;TODAY()),NEGOCIAÇÕES!N141,"")</f>
        <v/>
      </c>
      <c r="F141" s="6"/>
    </row>
    <row r="142" spans="2:6" ht="31.95" hidden="1" customHeight="1" x14ac:dyDescent="0.3">
      <c r="B142" s="6" t="str">
        <f ca="1">IF(AND(NEGOCIAÇÕES!P142="",NEGOCIAÇÕES!N142&lt;TODAY()),NEGOCIAÇÕES!C142,"")</f>
        <v/>
      </c>
      <c r="C142" s="6" t="str">
        <f ca="1">IF(AND(NEGOCIAÇÕES!P142="",NEGOCIAÇÕES!N142&lt;TODAY()),NEGOCIAÇÕES!E142,"")</f>
        <v/>
      </c>
      <c r="D142" s="6" t="str">
        <f ca="1">IF(AND(NEGOCIAÇÕES!P142="",NEGOCIAÇÕES!N142&lt;TODAY()),NEGOCIAÇÕES!D142,"")</f>
        <v/>
      </c>
      <c r="E142" s="9" t="str">
        <f ca="1">IF(AND(NEGOCIAÇÕES!P142="",NEGOCIAÇÕES!N142&lt;TODAY()),NEGOCIAÇÕES!N142,"")</f>
        <v/>
      </c>
      <c r="F142" s="6"/>
    </row>
    <row r="143" spans="2:6" ht="31.95" hidden="1" customHeight="1" x14ac:dyDescent="0.3">
      <c r="B143" s="6" t="str">
        <f ca="1">IF(AND(NEGOCIAÇÕES!P143="",NEGOCIAÇÕES!N143&lt;TODAY()),NEGOCIAÇÕES!C143,"")</f>
        <v/>
      </c>
      <c r="C143" s="6" t="str">
        <f ca="1">IF(AND(NEGOCIAÇÕES!P143="",NEGOCIAÇÕES!N143&lt;TODAY()),NEGOCIAÇÕES!E143,"")</f>
        <v/>
      </c>
      <c r="D143" s="6" t="str">
        <f ca="1">IF(AND(NEGOCIAÇÕES!P143="",NEGOCIAÇÕES!N143&lt;TODAY()),NEGOCIAÇÕES!D143,"")</f>
        <v/>
      </c>
      <c r="E143" s="9" t="str">
        <f ca="1">IF(AND(NEGOCIAÇÕES!P143="",NEGOCIAÇÕES!N143&lt;TODAY()),NEGOCIAÇÕES!N143,"")</f>
        <v/>
      </c>
      <c r="F143" s="6"/>
    </row>
    <row r="144" spans="2:6" ht="31.95" hidden="1" customHeight="1" x14ac:dyDescent="0.3">
      <c r="B144" s="6" t="str">
        <f ca="1">IF(AND(NEGOCIAÇÕES!P144="",NEGOCIAÇÕES!N144&lt;TODAY()),NEGOCIAÇÕES!C144,"")</f>
        <v/>
      </c>
      <c r="C144" s="6" t="str">
        <f ca="1">IF(AND(NEGOCIAÇÕES!P144="",NEGOCIAÇÕES!N144&lt;TODAY()),NEGOCIAÇÕES!E144,"")</f>
        <v/>
      </c>
      <c r="D144" s="6" t="str">
        <f ca="1">IF(AND(NEGOCIAÇÕES!P144="",NEGOCIAÇÕES!N144&lt;TODAY()),NEGOCIAÇÕES!D144,"")</f>
        <v/>
      </c>
      <c r="E144" s="9" t="str">
        <f ca="1">IF(AND(NEGOCIAÇÕES!P144="",NEGOCIAÇÕES!N144&lt;TODAY()),NEGOCIAÇÕES!N144,"")</f>
        <v/>
      </c>
      <c r="F144" s="6"/>
    </row>
    <row r="145" spans="2:6" ht="31.95" hidden="1" customHeight="1" x14ac:dyDescent="0.3">
      <c r="B145" s="6" t="str">
        <f ca="1">IF(AND(NEGOCIAÇÕES!P145="",NEGOCIAÇÕES!N145&lt;TODAY()),NEGOCIAÇÕES!C145,"")</f>
        <v/>
      </c>
      <c r="C145" s="6" t="str">
        <f ca="1">IF(AND(NEGOCIAÇÕES!P145="",NEGOCIAÇÕES!N145&lt;TODAY()),NEGOCIAÇÕES!E145,"")</f>
        <v/>
      </c>
      <c r="D145" s="6" t="str">
        <f ca="1">IF(AND(NEGOCIAÇÕES!P145="",NEGOCIAÇÕES!N145&lt;TODAY()),NEGOCIAÇÕES!D145,"")</f>
        <v/>
      </c>
      <c r="E145" s="9" t="str">
        <f ca="1">IF(AND(NEGOCIAÇÕES!P145="",NEGOCIAÇÕES!N145&lt;TODAY()),NEGOCIAÇÕES!N145,"")</f>
        <v/>
      </c>
      <c r="F145" s="6"/>
    </row>
    <row r="146" spans="2:6" ht="31.95" hidden="1" customHeight="1" x14ac:dyDescent="0.3">
      <c r="B146" s="6" t="str">
        <f ca="1">IF(AND(NEGOCIAÇÕES!P146="",NEGOCIAÇÕES!N146&lt;TODAY()),NEGOCIAÇÕES!C146,"")</f>
        <v/>
      </c>
      <c r="C146" s="6" t="str">
        <f ca="1">IF(AND(NEGOCIAÇÕES!P146="",NEGOCIAÇÕES!N146&lt;TODAY()),NEGOCIAÇÕES!E146,"")</f>
        <v/>
      </c>
      <c r="D146" s="6" t="str">
        <f ca="1">IF(AND(NEGOCIAÇÕES!P146="",NEGOCIAÇÕES!N146&lt;TODAY()),NEGOCIAÇÕES!D146,"")</f>
        <v/>
      </c>
      <c r="E146" s="9" t="str">
        <f ca="1">IF(AND(NEGOCIAÇÕES!P146="",NEGOCIAÇÕES!N146&lt;TODAY()),NEGOCIAÇÕES!N146,"")</f>
        <v/>
      </c>
      <c r="F146" s="6"/>
    </row>
    <row r="147" spans="2:6" ht="31.95" hidden="1" customHeight="1" x14ac:dyDescent="0.3">
      <c r="B147" s="6" t="str">
        <f ca="1">IF(AND(NEGOCIAÇÕES!P147="",NEGOCIAÇÕES!N147&lt;TODAY()),NEGOCIAÇÕES!C147,"")</f>
        <v/>
      </c>
      <c r="C147" s="6" t="str">
        <f ca="1">IF(AND(NEGOCIAÇÕES!P147="",NEGOCIAÇÕES!N147&lt;TODAY()),NEGOCIAÇÕES!E147,"")</f>
        <v/>
      </c>
      <c r="D147" s="6" t="str">
        <f ca="1">IF(AND(NEGOCIAÇÕES!P147="",NEGOCIAÇÕES!N147&lt;TODAY()),NEGOCIAÇÕES!D147,"")</f>
        <v/>
      </c>
      <c r="E147" s="9" t="str">
        <f ca="1">IF(AND(NEGOCIAÇÕES!P147="",NEGOCIAÇÕES!N147&lt;TODAY()),NEGOCIAÇÕES!N147,"")</f>
        <v/>
      </c>
      <c r="F147" s="6"/>
    </row>
    <row r="148" spans="2:6" ht="31.95" hidden="1" customHeight="1" x14ac:dyDescent="0.3">
      <c r="B148" s="6" t="str">
        <f ca="1">IF(AND(NEGOCIAÇÕES!P148="",NEGOCIAÇÕES!N148&lt;TODAY()),NEGOCIAÇÕES!C148,"")</f>
        <v/>
      </c>
      <c r="C148" s="6" t="str">
        <f ca="1">IF(AND(NEGOCIAÇÕES!P148="",NEGOCIAÇÕES!N148&lt;TODAY()),NEGOCIAÇÕES!E148,"")</f>
        <v/>
      </c>
      <c r="D148" s="6" t="str">
        <f ca="1">IF(AND(NEGOCIAÇÕES!P148="",NEGOCIAÇÕES!N148&lt;TODAY()),NEGOCIAÇÕES!D148,"")</f>
        <v/>
      </c>
      <c r="E148" s="9" t="str">
        <f ca="1">IF(AND(NEGOCIAÇÕES!P148="",NEGOCIAÇÕES!N148&lt;TODAY()),NEGOCIAÇÕES!N148,"")</f>
        <v/>
      </c>
      <c r="F148" s="6"/>
    </row>
    <row r="149" spans="2:6" ht="31.95" hidden="1" customHeight="1" x14ac:dyDescent="0.3">
      <c r="B149" s="6" t="str">
        <f ca="1">IF(AND(NEGOCIAÇÕES!P149="",NEGOCIAÇÕES!N149&lt;TODAY()),NEGOCIAÇÕES!C149,"")</f>
        <v/>
      </c>
      <c r="C149" s="6" t="str">
        <f ca="1">IF(AND(NEGOCIAÇÕES!P149="",NEGOCIAÇÕES!N149&lt;TODAY()),NEGOCIAÇÕES!E149,"")</f>
        <v/>
      </c>
      <c r="D149" s="6" t="str">
        <f ca="1">IF(AND(NEGOCIAÇÕES!P149="",NEGOCIAÇÕES!N149&lt;TODAY()),NEGOCIAÇÕES!D149,"")</f>
        <v/>
      </c>
      <c r="E149" s="9" t="str">
        <f ca="1">IF(AND(NEGOCIAÇÕES!P149="",NEGOCIAÇÕES!N149&lt;TODAY()),NEGOCIAÇÕES!N149,"")</f>
        <v/>
      </c>
      <c r="F149" s="6"/>
    </row>
    <row r="150" spans="2:6" ht="31.95" hidden="1" customHeight="1" x14ac:dyDescent="0.3">
      <c r="B150" s="6" t="str">
        <f ca="1">IF(AND(NEGOCIAÇÕES!P150="",NEGOCIAÇÕES!N150&lt;TODAY()),NEGOCIAÇÕES!C150,"")</f>
        <v/>
      </c>
      <c r="C150" s="6" t="str">
        <f ca="1">IF(AND(NEGOCIAÇÕES!P150="",NEGOCIAÇÕES!N150&lt;TODAY()),NEGOCIAÇÕES!E150,"")</f>
        <v/>
      </c>
      <c r="D150" s="6" t="str">
        <f ca="1">IF(AND(NEGOCIAÇÕES!P150="",NEGOCIAÇÕES!N150&lt;TODAY()),NEGOCIAÇÕES!D150,"")</f>
        <v/>
      </c>
      <c r="E150" s="9" t="str">
        <f ca="1">IF(AND(NEGOCIAÇÕES!P150="",NEGOCIAÇÕES!N150&lt;TODAY()),NEGOCIAÇÕES!N150,"")</f>
        <v/>
      </c>
      <c r="F150" s="6"/>
    </row>
    <row r="151" spans="2:6" ht="31.95" hidden="1" customHeight="1" x14ac:dyDescent="0.3">
      <c r="B151" s="6" t="str">
        <f ca="1">IF(AND(NEGOCIAÇÕES!P151="",NEGOCIAÇÕES!N151&lt;TODAY()),NEGOCIAÇÕES!C151,"")</f>
        <v/>
      </c>
      <c r="C151" s="6" t="str">
        <f ca="1">IF(AND(NEGOCIAÇÕES!P151="",NEGOCIAÇÕES!N151&lt;TODAY()),NEGOCIAÇÕES!E151,"")</f>
        <v/>
      </c>
      <c r="D151" s="6" t="str">
        <f ca="1">IF(AND(NEGOCIAÇÕES!P151="",NEGOCIAÇÕES!N151&lt;TODAY()),NEGOCIAÇÕES!D151,"")</f>
        <v/>
      </c>
      <c r="E151" s="9" t="str">
        <f ca="1">IF(AND(NEGOCIAÇÕES!P151="",NEGOCIAÇÕES!N151&lt;TODAY()),NEGOCIAÇÕES!N151,"")</f>
        <v/>
      </c>
      <c r="F151" s="6"/>
    </row>
    <row r="152" spans="2:6" ht="31.95" hidden="1" customHeight="1" x14ac:dyDescent="0.3">
      <c r="B152" s="6" t="str">
        <f ca="1">IF(AND(NEGOCIAÇÕES!P152="",NEGOCIAÇÕES!N152&lt;TODAY()),NEGOCIAÇÕES!C152,"")</f>
        <v/>
      </c>
      <c r="C152" s="6" t="str">
        <f ca="1">IF(AND(NEGOCIAÇÕES!P152="",NEGOCIAÇÕES!N152&lt;TODAY()),NEGOCIAÇÕES!E152,"")</f>
        <v/>
      </c>
      <c r="D152" s="6" t="str">
        <f ca="1">IF(AND(NEGOCIAÇÕES!P152="",NEGOCIAÇÕES!N152&lt;TODAY()),NEGOCIAÇÕES!D152,"")</f>
        <v/>
      </c>
      <c r="E152" s="9" t="str">
        <f ca="1">IF(AND(NEGOCIAÇÕES!P152="",NEGOCIAÇÕES!N152&lt;TODAY()),NEGOCIAÇÕES!N152,"")</f>
        <v/>
      </c>
      <c r="F152" s="6"/>
    </row>
    <row r="153" spans="2:6" ht="31.95" hidden="1" customHeight="1" x14ac:dyDescent="0.3">
      <c r="B153" s="6" t="str">
        <f ca="1">IF(AND(NEGOCIAÇÕES!P153="",NEGOCIAÇÕES!N153&lt;TODAY()),NEGOCIAÇÕES!C153,"")</f>
        <v/>
      </c>
      <c r="C153" s="6" t="str">
        <f ca="1">IF(AND(NEGOCIAÇÕES!P153="",NEGOCIAÇÕES!N153&lt;TODAY()),NEGOCIAÇÕES!E153,"")</f>
        <v/>
      </c>
      <c r="D153" s="6" t="str">
        <f ca="1">IF(AND(NEGOCIAÇÕES!P153="",NEGOCIAÇÕES!N153&lt;TODAY()),NEGOCIAÇÕES!D153,"")</f>
        <v/>
      </c>
      <c r="E153" s="9" t="str">
        <f ca="1">IF(AND(NEGOCIAÇÕES!P153="",NEGOCIAÇÕES!N153&lt;TODAY()),NEGOCIAÇÕES!N153,"")</f>
        <v/>
      </c>
      <c r="F153" s="6"/>
    </row>
    <row r="154" spans="2:6" ht="31.95" hidden="1" customHeight="1" x14ac:dyDescent="0.3">
      <c r="B154" s="6" t="str">
        <f ca="1">IF(AND(NEGOCIAÇÕES!P154="",NEGOCIAÇÕES!N154&lt;TODAY()),NEGOCIAÇÕES!C154,"")</f>
        <v/>
      </c>
      <c r="C154" s="6" t="str">
        <f ca="1">IF(AND(NEGOCIAÇÕES!P154="",NEGOCIAÇÕES!N154&lt;TODAY()),NEGOCIAÇÕES!E154,"")</f>
        <v/>
      </c>
      <c r="D154" s="6" t="str">
        <f ca="1">IF(AND(NEGOCIAÇÕES!P154="",NEGOCIAÇÕES!N154&lt;TODAY()),NEGOCIAÇÕES!D154,"")</f>
        <v/>
      </c>
      <c r="E154" s="9" t="str">
        <f ca="1">IF(AND(NEGOCIAÇÕES!P154="",NEGOCIAÇÕES!N154&lt;TODAY()),NEGOCIAÇÕES!N154,"")</f>
        <v/>
      </c>
      <c r="F154" s="6"/>
    </row>
    <row r="155" spans="2:6" ht="31.95" hidden="1" customHeight="1" x14ac:dyDescent="0.3">
      <c r="B155" s="6" t="str">
        <f ca="1">IF(AND(NEGOCIAÇÕES!P155="",NEGOCIAÇÕES!N155&lt;TODAY()),NEGOCIAÇÕES!C155,"")</f>
        <v/>
      </c>
      <c r="C155" s="6" t="str">
        <f ca="1">IF(AND(NEGOCIAÇÕES!P155="",NEGOCIAÇÕES!N155&lt;TODAY()),NEGOCIAÇÕES!E155,"")</f>
        <v/>
      </c>
      <c r="D155" s="6" t="str">
        <f ca="1">IF(AND(NEGOCIAÇÕES!P155="",NEGOCIAÇÕES!N155&lt;TODAY()),NEGOCIAÇÕES!D155,"")</f>
        <v/>
      </c>
      <c r="E155" s="9" t="str">
        <f ca="1">IF(AND(NEGOCIAÇÕES!P155="",NEGOCIAÇÕES!N155&lt;TODAY()),NEGOCIAÇÕES!N155,"")</f>
        <v/>
      </c>
      <c r="F155" s="6"/>
    </row>
    <row r="156" spans="2:6" ht="31.95" hidden="1" customHeight="1" x14ac:dyDescent="0.3">
      <c r="B156" s="6" t="str">
        <f ca="1">IF(AND(NEGOCIAÇÕES!P156="",NEGOCIAÇÕES!N156&lt;TODAY()),NEGOCIAÇÕES!C156,"")</f>
        <v/>
      </c>
      <c r="C156" s="6" t="str">
        <f ca="1">IF(AND(NEGOCIAÇÕES!P156="",NEGOCIAÇÕES!N156&lt;TODAY()),NEGOCIAÇÕES!E156,"")</f>
        <v/>
      </c>
      <c r="D156" s="6" t="str">
        <f ca="1">IF(AND(NEGOCIAÇÕES!P156="",NEGOCIAÇÕES!N156&lt;TODAY()),NEGOCIAÇÕES!D156,"")</f>
        <v/>
      </c>
      <c r="E156" s="9" t="str">
        <f ca="1">IF(AND(NEGOCIAÇÕES!P156="",NEGOCIAÇÕES!N156&lt;TODAY()),NEGOCIAÇÕES!N156,"")</f>
        <v/>
      </c>
      <c r="F156" s="6"/>
    </row>
    <row r="157" spans="2:6" ht="31.95" hidden="1" customHeight="1" x14ac:dyDescent="0.3">
      <c r="B157" s="6" t="str">
        <f ca="1">IF(AND(NEGOCIAÇÕES!P157="",NEGOCIAÇÕES!N157&lt;TODAY()),NEGOCIAÇÕES!C157,"")</f>
        <v/>
      </c>
      <c r="C157" s="6" t="str">
        <f ca="1">IF(AND(NEGOCIAÇÕES!P157="",NEGOCIAÇÕES!N157&lt;TODAY()),NEGOCIAÇÕES!E157,"")</f>
        <v/>
      </c>
      <c r="D157" s="6" t="str">
        <f ca="1">IF(AND(NEGOCIAÇÕES!P157="",NEGOCIAÇÕES!N157&lt;TODAY()),NEGOCIAÇÕES!D157,"")</f>
        <v/>
      </c>
      <c r="E157" s="9" t="str">
        <f ca="1">IF(AND(NEGOCIAÇÕES!P157="",NEGOCIAÇÕES!N157&lt;TODAY()),NEGOCIAÇÕES!N157,"")</f>
        <v/>
      </c>
      <c r="F157" s="6"/>
    </row>
    <row r="158" spans="2:6" ht="31.95" hidden="1" customHeight="1" x14ac:dyDescent="0.3">
      <c r="B158" s="6" t="str">
        <f ca="1">IF(AND(NEGOCIAÇÕES!P158="",NEGOCIAÇÕES!N158&lt;TODAY()),NEGOCIAÇÕES!C158,"")</f>
        <v/>
      </c>
      <c r="C158" s="6" t="str">
        <f ca="1">IF(AND(NEGOCIAÇÕES!P158="",NEGOCIAÇÕES!N158&lt;TODAY()),NEGOCIAÇÕES!E158,"")</f>
        <v/>
      </c>
      <c r="D158" s="6" t="str">
        <f ca="1">IF(AND(NEGOCIAÇÕES!P158="",NEGOCIAÇÕES!N158&lt;TODAY()),NEGOCIAÇÕES!D158,"")</f>
        <v/>
      </c>
      <c r="E158" s="9" t="str">
        <f ca="1">IF(AND(NEGOCIAÇÕES!P158="",NEGOCIAÇÕES!N158&lt;TODAY()),NEGOCIAÇÕES!N158,"")</f>
        <v/>
      </c>
      <c r="F158" s="6"/>
    </row>
    <row r="159" spans="2:6" ht="31.95" hidden="1" customHeight="1" x14ac:dyDescent="0.3">
      <c r="B159" s="6" t="str">
        <f ca="1">IF(AND(NEGOCIAÇÕES!P159="",NEGOCIAÇÕES!N159&lt;TODAY()),NEGOCIAÇÕES!C159,"")</f>
        <v/>
      </c>
      <c r="C159" s="6" t="str">
        <f ca="1">IF(AND(NEGOCIAÇÕES!P159="",NEGOCIAÇÕES!N159&lt;TODAY()),NEGOCIAÇÕES!E159,"")</f>
        <v/>
      </c>
      <c r="D159" s="6" t="str">
        <f ca="1">IF(AND(NEGOCIAÇÕES!P159="",NEGOCIAÇÕES!N159&lt;TODAY()),NEGOCIAÇÕES!D159,"")</f>
        <v/>
      </c>
      <c r="E159" s="9" t="str">
        <f ca="1">IF(AND(NEGOCIAÇÕES!P159="",NEGOCIAÇÕES!N159&lt;TODAY()),NEGOCIAÇÕES!N159,"")</f>
        <v/>
      </c>
      <c r="F159" s="6"/>
    </row>
    <row r="160" spans="2:6" ht="31.95" hidden="1" customHeight="1" x14ac:dyDescent="0.3">
      <c r="B160" s="6" t="str">
        <f ca="1">IF(AND(NEGOCIAÇÕES!P160="",NEGOCIAÇÕES!N160&lt;TODAY()),NEGOCIAÇÕES!C160,"")</f>
        <v/>
      </c>
      <c r="C160" s="6" t="str">
        <f ca="1">IF(AND(NEGOCIAÇÕES!P160="",NEGOCIAÇÕES!N160&lt;TODAY()),NEGOCIAÇÕES!E160,"")</f>
        <v/>
      </c>
      <c r="D160" s="6" t="str">
        <f ca="1">IF(AND(NEGOCIAÇÕES!P160="",NEGOCIAÇÕES!N160&lt;TODAY()),NEGOCIAÇÕES!D160,"")</f>
        <v/>
      </c>
      <c r="E160" s="9" t="str">
        <f ca="1">IF(AND(NEGOCIAÇÕES!P160="",NEGOCIAÇÕES!N160&lt;TODAY()),NEGOCIAÇÕES!N160,"")</f>
        <v/>
      </c>
      <c r="F160" s="6"/>
    </row>
    <row r="161" spans="2:6" ht="31.95" hidden="1" customHeight="1" x14ac:dyDescent="0.3">
      <c r="B161" s="6" t="str">
        <f ca="1">IF(AND(NEGOCIAÇÕES!P161="",NEGOCIAÇÕES!N161&lt;TODAY()),NEGOCIAÇÕES!C161,"")</f>
        <v/>
      </c>
      <c r="C161" s="6" t="str">
        <f ca="1">IF(AND(NEGOCIAÇÕES!P161="",NEGOCIAÇÕES!N161&lt;TODAY()),NEGOCIAÇÕES!E161,"")</f>
        <v/>
      </c>
      <c r="D161" s="6" t="str">
        <f ca="1">IF(AND(NEGOCIAÇÕES!P161="",NEGOCIAÇÕES!N161&lt;TODAY()),NEGOCIAÇÕES!D161,"")</f>
        <v/>
      </c>
      <c r="E161" s="9" t="str">
        <f ca="1">IF(AND(NEGOCIAÇÕES!P161="",NEGOCIAÇÕES!N161&lt;TODAY()),NEGOCIAÇÕES!N161,"")</f>
        <v/>
      </c>
      <c r="F161" s="6"/>
    </row>
    <row r="162" spans="2:6" ht="31.95" hidden="1" customHeight="1" x14ac:dyDescent="0.3">
      <c r="B162" s="6" t="str">
        <f ca="1">IF(AND(NEGOCIAÇÕES!P162="",NEGOCIAÇÕES!N162&lt;TODAY()),NEGOCIAÇÕES!C162,"")</f>
        <v/>
      </c>
      <c r="C162" s="6" t="str">
        <f ca="1">IF(AND(NEGOCIAÇÕES!P162="",NEGOCIAÇÕES!N162&lt;TODAY()),NEGOCIAÇÕES!E162,"")</f>
        <v/>
      </c>
      <c r="D162" s="6" t="str">
        <f ca="1">IF(AND(NEGOCIAÇÕES!P162="",NEGOCIAÇÕES!N162&lt;TODAY()),NEGOCIAÇÕES!D162,"")</f>
        <v/>
      </c>
      <c r="E162" s="9" t="str">
        <f ca="1">IF(AND(NEGOCIAÇÕES!P162="",NEGOCIAÇÕES!N162&lt;TODAY()),NEGOCIAÇÕES!N162,"")</f>
        <v/>
      </c>
      <c r="F162" s="6"/>
    </row>
    <row r="163" spans="2:6" ht="31.95" hidden="1" customHeight="1" x14ac:dyDescent="0.3">
      <c r="B163" s="6" t="str">
        <f ca="1">IF(AND(NEGOCIAÇÕES!P163="",NEGOCIAÇÕES!N163&lt;TODAY()),NEGOCIAÇÕES!C163,"")</f>
        <v/>
      </c>
      <c r="C163" s="6" t="str">
        <f ca="1">IF(AND(NEGOCIAÇÕES!P163="",NEGOCIAÇÕES!N163&lt;TODAY()),NEGOCIAÇÕES!E163,"")</f>
        <v/>
      </c>
      <c r="D163" s="6" t="str">
        <f ca="1">IF(AND(NEGOCIAÇÕES!P163="",NEGOCIAÇÕES!N163&lt;TODAY()),NEGOCIAÇÕES!D163,"")</f>
        <v/>
      </c>
      <c r="E163" s="9" t="str">
        <f ca="1">IF(AND(NEGOCIAÇÕES!P163="",NEGOCIAÇÕES!N163&lt;TODAY()),NEGOCIAÇÕES!N163,"")</f>
        <v/>
      </c>
      <c r="F163" s="6"/>
    </row>
    <row r="164" spans="2:6" ht="31.95" hidden="1" customHeight="1" x14ac:dyDescent="0.3">
      <c r="B164" s="6" t="str">
        <f ca="1">IF(AND(NEGOCIAÇÕES!P164="",NEGOCIAÇÕES!N164&lt;TODAY()),NEGOCIAÇÕES!C164,"")</f>
        <v/>
      </c>
      <c r="C164" s="6" t="str">
        <f ca="1">IF(AND(NEGOCIAÇÕES!P164="",NEGOCIAÇÕES!N164&lt;TODAY()),NEGOCIAÇÕES!E164,"")</f>
        <v/>
      </c>
      <c r="D164" s="6" t="str">
        <f ca="1">IF(AND(NEGOCIAÇÕES!P164="",NEGOCIAÇÕES!N164&lt;TODAY()),NEGOCIAÇÕES!D164,"")</f>
        <v/>
      </c>
      <c r="E164" s="9" t="str">
        <f ca="1">IF(AND(NEGOCIAÇÕES!P164="",NEGOCIAÇÕES!N164&lt;TODAY()),NEGOCIAÇÕES!N164,"")</f>
        <v/>
      </c>
      <c r="F164" s="6"/>
    </row>
    <row r="165" spans="2:6" ht="31.95" hidden="1" customHeight="1" x14ac:dyDescent="0.3">
      <c r="B165" s="6" t="str">
        <f ca="1">IF(AND(NEGOCIAÇÕES!P165="",NEGOCIAÇÕES!N165&lt;TODAY()),NEGOCIAÇÕES!C165,"")</f>
        <v/>
      </c>
      <c r="C165" s="6" t="str">
        <f ca="1">IF(AND(NEGOCIAÇÕES!P165="",NEGOCIAÇÕES!N165&lt;TODAY()),NEGOCIAÇÕES!E165,"")</f>
        <v/>
      </c>
      <c r="D165" s="6" t="str">
        <f ca="1">IF(AND(NEGOCIAÇÕES!P165="",NEGOCIAÇÕES!N165&lt;TODAY()),NEGOCIAÇÕES!D165,"")</f>
        <v/>
      </c>
      <c r="E165" s="9" t="str">
        <f ca="1">IF(AND(NEGOCIAÇÕES!P165="",NEGOCIAÇÕES!N165&lt;TODAY()),NEGOCIAÇÕES!N165,"")</f>
        <v/>
      </c>
      <c r="F165" s="6"/>
    </row>
    <row r="166" spans="2:6" ht="31.95" hidden="1" customHeight="1" x14ac:dyDescent="0.3">
      <c r="B166" s="6" t="str">
        <f ca="1">IF(AND(NEGOCIAÇÕES!P166="",NEGOCIAÇÕES!N166&lt;TODAY()),NEGOCIAÇÕES!C166,"")</f>
        <v/>
      </c>
      <c r="C166" s="6" t="str">
        <f ca="1">IF(AND(NEGOCIAÇÕES!P166="",NEGOCIAÇÕES!N166&lt;TODAY()),NEGOCIAÇÕES!E166,"")</f>
        <v/>
      </c>
      <c r="D166" s="6" t="str">
        <f ca="1">IF(AND(NEGOCIAÇÕES!P166="",NEGOCIAÇÕES!N166&lt;TODAY()),NEGOCIAÇÕES!D166,"")</f>
        <v/>
      </c>
      <c r="E166" s="9" t="str">
        <f ca="1">IF(AND(NEGOCIAÇÕES!P166="",NEGOCIAÇÕES!N166&lt;TODAY()),NEGOCIAÇÕES!N166,"")</f>
        <v/>
      </c>
      <c r="F166" s="6"/>
    </row>
    <row r="167" spans="2:6" ht="31.95" hidden="1" customHeight="1" x14ac:dyDescent="0.3">
      <c r="B167" s="6" t="str">
        <f ca="1">IF(AND(NEGOCIAÇÕES!P167="",NEGOCIAÇÕES!N167&lt;TODAY()),NEGOCIAÇÕES!C167,"")</f>
        <v/>
      </c>
      <c r="C167" s="6" t="str">
        <f ca="1">IF(AND(NEGOCIAÇÕES!P167="",NEGOCIAÇÕES!N167&lt;TODAY()),NEGOCIAÇÕES!E167,"")</f>
        <v/>
      </c>
      <c r="D167" s="6" t="str">
        <f ca="1">IF(AND(NEGOCIAÇÕES!P167="",NEGOCIAÇÕES!N167&lt;TODAY()),NEGOCIAÇÕES!D167,"")</f>
        <v/>
      </c>
      <c r="E167" s="9" t="str">
        <f ca="1">IF(AND(NEGOCIAÇÕES!P167="",NEGOCIAÇÕES!N167&lt;TODAY()),NEGOCIAÇÕES!N167,"")</f>
        <v/>
      </c>
      <c r="F167" s="6"/>
    </row>
    <row r="168" spans="2:6" ht="31.95" hidden="1" customHeight="1" x14ac:dyDescent="0.3">
      <c r="B168" s="6" t="str">
        <f ca="1">IF(AND(NEGOCIAÇÕES!P168="",NEGOCIAÇÕES!N168&lt;TODAY()),NEGOCIAÇÕES!C168,"")</f>
        <v/>
      </c>
      <c r="C168" s="6" t="str">
        <f ca="1">IF(AND(NEGOCIAÇÕES!P168="",NEGOCIAÇÕES!N168&lt;TODAY()),NEGOCIAÇÕES!E168,"")</f>
        <v/>
      </c>
      <c r="D168" s="6" t="str">
        <f ca="1">IF(AND(NEGOCIAÇÕES!P168="",NEGOCIAÇÕES!N168&lt;TODAY()),NEGOCIAÇÕES!D168,"")</f>
        <v/>
      </c>
      <c r="E168" s="9" t="str">
        <f ca="1">IF(AND(NEGOCIAÇÕES!P168="",NEGOCIAÇÕES!N168&lt;TODAY()),NEGOCIAÇÕES!N168,"")</f>
        <v/>
      </c>
      <c r="F168" s="6"/>
    </row>
    <row r="169" spans="2:6" ht="31.95" hidden="1" customHeight="1" x14ac:dyDescent="0.3">
      <c r="B169" s="6" t="str">
        <f ca="1">IF(AND(NEGOCIAÇÕES!P169="",NEGOCIAÇÕES!N169&lt;TODAY()),NEGOCIAÇÕES!C169,"")</f>
        <v/>
      </c>
      <c r="C169" s="6" t="str">
        <f ca="1">IF(AND(NEGOCIAÇÕES!P169="",NEGOCIAÇÕES!N169&lt;TODAY()),NEGOCIAÇÕES!E169,"")</f>
        <v/>
      </c>
      <c r="D169" s="6" t="str">
        <f ca="1">IF(AND(NEGOCIAÇÕES!P169="",NEGOCIAÇÕES!N169&lt;TODAY()),NEGOCIAÇÕES!D169,"")</f>
        <v/>
      </c>
      <c r="E169" s="9" t="str">
        <f ca="1">IF(AND(NEGOCIAÇÕES!P169="",NEGOCIAÇÕES!N169&lt;TODAY()),NEGOCIAÇÕES!N169,"")</f>
        <v/>
      </c>
      <c r="F169" s="6"/>
    </row>
    <row r="170" spans="2:6" ht="31.95" hidden="1" customHeight="1" x14ac:dyDescent="0.3">
      <c r="B170" s="6" t="str">
        <f ca="1">IF(AND(NEGOCIAÇÕES!P170="",NEGOCIAÇÕES!N170&lt;TODAY()),NEGOCIAÇÕES!C170,"")</f>
        <v/>
      </c>
      <c r="C170" s="6" t="str">
        <f ca="1">IF(AND(NEGOCIAÇÕES!P170="",NEGOCIAÇÕES!N170&lt;TODAY()),NEGOCIAÇÕES!E170,"")</f>
        <v/>
      </c>
      <c r="D170" s="6" t="str">
        <f ca="1">IF(AND(NEGOCIAÇÕES!P170="",NEGOCIAÇÕES!N170&lt;TODAY()),NEGOCIAÇÕES!D170,"")</f>
        <v/>
      </c>
      <c r="E170" s="9" t="str">
        <f ca="1">IF(AND(NEGOCIAÇÕES!P170="",NEGOCIAÇÕES!N170&lt;TODAY()),NEGOCIAÇÕES!N170,"")</f>
        <v/>
      </c>
      <c r="F170" s="6"/>
    </row>
    <row r="171" spans="2:6" ht="31.95" hidden="1" customHeight="1" x14ac:dyDescent="0.3">
      <c r="B171" s="6" t="str">
        <f ca="1">IF(AND(NEGOCIAÇÕES!P171="",NEGOCIAÇÕES!N171&lt;TODAY()),NEGOCIAÇÕES!C171,"")</f>
        <v/>
      </c>
      <c r="C171" s="6" t="str">
        <f ca="1">IF(AND(NEGOCIAÇÕES!P171="",NEGOCIAÇÕES!N171&lt;TODAY()),NEGOCIAÇÕES!E171,"")</f>
        <v/>
      </c>
      <c r="D171" s="6" t="str">
        <f ca="1">IF(AND(NEGOCIAÇÕES!P171="",NEGOCIAÇÕES!N171&lt;TODAY()),NEGOCIAÇÕES!D171,"")</f>
        <v/>
      </c>
      <c r="E171" s="9" t="str">
        <f ca="1">IF(AND(NEGOCIAÇÕES!P171="",NEGOCIAÇÕES!N171&lt;TODAY()),NEGOCIAÇÕES!N171,"")</f>
        <v/>
      </c>
      <c r="F171" s="6"/>
    </row>
    <row r="172" spans="2:6" ht="31.95" hidden="1" customHeight="1" x14ac:dyDescent="0.3">
      <c r="B172" s="6" t="str">
        <f ca="1">IF(AND(NEGOCIAÇÕES!P172="",NEGOCIAÇÕES!N172&lt;TODAY()),NEGOCIAÇÕES!C172,"")</f>
        <v/>
      </c>
      <c r="C172" s="6" t="str">
        <f ca="1">IF(AND(NEGOCIAÇÕES!P172="",NEGOCIAÇÕES!N172&lt;TODAY()),NEGOCIAÇÕES!E172,"")</f>
        <v/>
      </c>
      <c r="D172" s="6" t="str">
        <f ca="1">IF(AND(NEGOCIAÇÕES!P172="",NEGOCIAÇÕES!N172&lt;TODAY()),NEGOCIAÇÕES!D172,"")</f>
        <v/>
      </c>
      <c r="E172" s="9" t="str">
        <f ca="1">IF(AND(NEGOCIAÇÕES!P172="",NEGOCIAÇÕES!N172&lt;TODAY()),NEGOCIAÇÕES!N172,"")</f>
        <v/>
      </c>
      <c r="F172" s="6"/>
    </row>
    <row r="173" spans="2:6" ht="31.95" hidden="1" customHeight="1" x14ac:dyDescent="0.3">
      <c r="B173" s="6" t="str">
        <f ca="1">IF(AND(NEGOCIAÇÕES!P173="",NEGOCIAÇÕES!N173&lt;TODAY()),NEGOCIAÇÕES!C173,"")</f>
        <v/>
      </c>
      <c r="C173" s="6" t="str">
        <f ca="1">IF(AND(NEGOCIAÇÕES!P173="",NEGOCIAÇÕES!N173&lt;TODAY()),NEGOCIAÇÕES!E173,"")</f>
        <v/>
      </c>
      <c r="D173" s="6" t="str">
        <f ca="1">IF(AND(NEGOCIAÇÕES!P173="",NEGOCIAÇÕES!N173&lt;TODAY()),NEGOCIAÇÕES!D173,"")</f>
        <v/>
      </c>
      <c r="E173" s="9" t="str">
        <f ca="1">IF(AND(NEGOCIAÇÕES!P173="",NEGOCIAÇÕES!N173&lt;TODAY()),NEGOCIAÇÕES!N173,"")</f>
        <v/>
      </c>
      <c r="F173" s="6"/>
    </row>
    <row r="174" spans="2:6" ht="31.95" hidden="1" customHeight="1" x14ac:dyDescent="0.3">
      <c r="B174" s="6" t="str">
        <f ca="1">IF(AND(NEGOCIAÇÕES!P174="",NEGOCIAÇÕES!N174&lt;TODAY()),NEGOCIAÇÕES!C174,"")</f>
        <v/>
      </c>
      <c r="C174" s="6" t="str">
        <f ca="1">IF(AND(NEGOCIAÇÕES!P174="",NEGOCIAÇÕES!N174&lt;TODAY()),NEGOCIAÇÕES!E174,"")</f>
        <v/>
      </c>
      <c r="D174" s="6" t="str">
        <f ca="1">IF(AND(NEGOCIAÇÕES!P174="",NEGOCIAÇÕES!N174&lt;TODAY()),NEGOCIAÇÕES!D174,"")</f>
        <v/>
      </c>
      <c r="E174" s="9" t="str">
        <f ca="1">IF(AND(NEGOCIAÇÕES!P174="",NEGOCIAÇÕES!N174&lt;TODAY()),NEGOCIAÇÕES!N174,"")</f>
        <v/>
      </c>
      <c r="F174" s="6"/>
    </row>
    <row r="175" spans="2:6" ht="31.95" hidden="1" customHeight="1" x14ac:dyDescent="0.3">
      <c r="B175" s="6" t="str">
        <f ca="1">IF(AND(NEGOCIAÇÕES!P175="",NEGOCIAÇÕES!N175&lt;TODAY()),NEGOCIAÇÕES!C175,"")</f>
        <v/>
      </c>
      <c r="C175" s="6" t="str">
        <f ca="1">IF(AND(NEGOCIAÇÕES!P175="",NEGOCIAÇÕES!N175&lt;TODAY()),NEGOCIAÇÕES!E175,"")</f>
        <v/>
      </c>
      <c r="D175" s="6" t="str">
        <f ca="1">IF(AND(NEGOCIAÇÕES!P175="",NEGOCIAÇÕES!N175&lt;TODAY()),NEGOCIAÇÕES!D175,"")</f>
        <v/>
      </c>
      <c r="E175" s="9" t="str">
        <f ca="1">IF(AND(NEGOCIAÇÕES!P175="",NEGOCIAÇÕES!N175&lt;TODAY()),NEGOCIAÇÕES!N175,"")</f>
        <v/>
      </c>
      <c r="F175" s="6"/>
    </row>
    <row r="176" spans="2:6" ht="31.95" hidden="1" customHeight="1" x14ac:dyDescent="0.3">
      <c r="B176" s="6" t="str">
        <f ca="1">IF(AND(NEGOCIAÇÕES!P176="",NEGOCIAÇÕES!N176&lt;TODAY()),NEGOCIAÇÕES!C176,"")</f>
        <v/>
      </c>
      <c r="C176" s="6" t="str">
        <f ca="1">IF(AND(NEGOCIAÇÕES!P176="",NEGOCIAÇÕES!N176&lt;TODAY()),NEGOCIAÇÕES!E176,"")</f>
        <v/>
      </c>
      <c r="D176" s="6" t="str">
        <f ca="1">IF(AND(NEGOCIAÇÕES!P176="",NEGOCIAÇÕES!N176&lt;TODAY()),NEGOCIAÇÕES!D176,"")</f>
        <v/>
      </c>
      <c r="E176" s="9" t="str">
        <f ca="1">IF(AND(NEGOCIAÇÕES!P176="",NEGOCIAÇÕES!N176&lt;TODAY()),NEGOCIAÇÕES!N176,"")</f>
        <v/>
      </c>
      <c r="F176" s="6"/>
    </row>
    <row r="177" spans="2:6" ht="31.95" hidden="1" customHeight="1" x14ac:dyDescent="0.3">
      <c r="B177" s="6" t="str">
        <f ca="1">IF(AND(NEGOCIAÇÕES!P177="",NEGOCIAÇÕES!N177&lt;TODAY()),NEGOCIAÇÕES!C177,"")</f>
        <v/>
      </c>
      <c r="C177" s="6" t="str">
        <f ca="1">IF(AND(NEGOCIAÇÕES!P177="",NEGOCIAÇÕES!N177&lt;TODAY()),NEGOCIAÇÕES!E177,"")</f>
        <v/>
      </c>
      <c r="D177" s="6" t="str">
        <f ca="1">IF(AND(NEGOCIAÇÕES!P177="",NEGOCIAÇÕES!N177&lt;TODAY()),NEGOCIAÇÕES!D177,"")</f>
        <v/>
      </c>
      <c r="E177" s="9" t="str">
        <f ca="1">IF(AND(NEGOCIAÇÕES!P177="",NEGOCIAÇÕES!N177&lt;TODAY()),NEGOCIAÇÕES!N177,"")</f>
        <v/>
      </c>
      <c r="F177" s="6"/>
    </row>
    <row r="178" spans="2:6" ht="31.95" hidden="1" customHeight="1" x14ac:dyDescent="0.3">
      <c r="B178" s="6" t="str">
        <f ca="1">IF(AND(NEGOCIAÇÕES!P178="",NEGOCIAÇÕES!N178&lt;TODAY()),NEGOCIAÇÕES!C178,"")</f>
        <v/>
      </c>
      <c r="C178" s="6" t="str">
        <f ca="1">IF(AND(NEGOCIAÇÕES!P178="",NEGOCIAÇÕES!N178&lt;TODAY()),NEGOCIAÇÕES!E178,"")</f>
        <v/>
      </c>
      <c r="D178" s="6" t="str">
        <f ca="1">IF(AND(NEGOCIAÇÕES!P178="",NEGOCIAÇÕES!N178&lt;TODAY()),NEGOCIAÇÕES!D178,"")</f>
        <v/>
      </c>
      <c r="E178" s="9" t="str">
        <f ca="1">IF(AND(NEGOCIAÇÕES!P178="",NEGOCIAÇÕES!N178&lt;TODAY()),NEGOCIAÇÕES!N178,"")</f>
        <v/>
      </c>
      <c r="F178" s="6"/>
    </row>
    <row r="179" spans="2:6" ht="31.95" hidden="1" customHeight="1" x14ac:dyDescent="0.3">
      <c r="B179" s="6" t="str">
        <f ca="1">IF(AND(NEGOCIAÇÕES!P179="",NEGOCIAÇÕES!N179&lt;TODAY()),NEGOCIAÇÕES!C179,"")</f>
        <v/>
      </c>
      <c r="C179" s="6" t="str">
        <f ca="1">IF(AND(NEGOCIAÇÕES!P179="",NEGOCIAÇÕES!N179&lt;TODAY()),NEGOCIAÇÕES!E179,"")</f>
        <v/>
      </c>
      <c r="D179" s="6" t="str">
        <f ca="1">IF(AND(NEGOCIAÇÕES!P179="",NEGOCIAÇÕES!N179&lt;TODAY()),NEGOCIAÇÕES!D179,"")</f>
        <v/>
      </c>
      <c r="E179" s="9" t="str">
        <f ca="1">IF(AND(NEGOCIAÇÕES!P179="",NEGOCIAÇÕES!N179&lt;TODAY()),NEGOCIAÇÕES!N179,"")</f>
        <v/>
      </c>
      <c r="F179" s="6"/>
    </row>
    <row r="180" spans="2:6" ht="31.95" hidden="1" customHeight="1" x14ac:dyDescent="0.3">
      <c r="B180" s="6" t="str">
        <f ca="1">IF(AND(NEGOCIAÇÕES!P180="",NEGOCIAÇÕES!N180&lt;TODAY()),NEGOCIAÇÕES!C180,"")</f>
        <v/>
      </c>
      <c r="C180" s="6" t="str">
        <f ca="1">IF(AND(NEGOCIAÇÕES!P180="",NEGOCIAÇÕES!N180&lt;TODAY()),NEGOCIAÇÕES!E180,"")</f>
        <v/>
      </c>
      <c r="D180" s="6" t="str">
        <f ca="1">IF(AND(NEGOCIAÇÕES!P180="",NEGOCIAÇÕES!N180&lt;TODAY()),NEGOCIAÇÕES!D180,"")</f>
        <v/>
      </c>
      <c r="E180" s="9" t="str">
        <f ca="1">IF(AND(NEGOCIAÇÕES!P180="",NEGOCIAÇÕES!N180&lt;TODAY()),NEGOCIAÇÕES!N180,"")</f>
        <v/>
      </c>
      <c r="F180" s="6"/>
    </row>
    <row r="181" spans="2:6" ht="31.95" hidden="1" customHeight="1" x14ac:dyDescent="0.3">
      <c r="B181" s="6" t="str">
        <f ca="1">IF(AND(NEGOCIAÇÕES!P181="",NEGOCIAÇÕES!N181&lt;TODAY()),NEGOCIAÇÕES!C181,"")</f>
        <v/>
      </c>
      <c r="C181" s="6" t="str">
        <f ca="1">IF(AND(NEGOCIAÇÕES!P181="",NEGOCIAÇÕES!N181&lt;TODAY()),NEGOCIAÇÕES!E181,"")</f>
        <v/>
      </c>
      <c r="D181" s="6" t="str">
        <f ca="1">IF(AND(NEGOCIAÇÕES!P181="",NEGOCIAÇÕES!N181&lt;TODAY()),NEGOCIAÇÕES!D181,"")</f>
        <v/>
      </c>
      <c r="E181" s="9" t="str">
        <f ca="1">IF(AND(NEGOCIAÇÕES!P181="",NEGOCIAÇÕES!N181&lt;TODAY()),NEGOCIAÇÕES!N181,"")</f>
        <v/>
      </c>
      <c r="F181" s="6"/>
    </row>
    <row r="182" spans="2:6" ht="31.95" hidden="1" customHeight="1" x14ac:dyDescent="0.3">
      <c r="B182" s="6" t="str">
        <f ca="1">IF(AND(NEGOCIAÇÕES!P182="",NEGOCIAÇÕES!N182&lt;TODAY()),NEGOCIAÇÕES!C182,"")</f>
        <v/>
      </c>
      <c r="C182" s="6" t="str">
        <f ca="1">IF(AND(NEGOCIAÇÕES!P182="",NEGOCIAÇÕES!N182&lt;TODAY()),NEGOCIAÇÕES!E182,"")</f>
        <v/>
      </c>
      <c r="D182" s="6" t="str">
        <f ca="1">IF(AND(NEGOCIAÇÕES!P182="",NEGOCIAÇÕES!N182&lt;TODAY()),NEGOCIAÇÕES!D182,"")</f>
        <v/>
      </c>
      <c r="E182" s="9" t="str">
        <f ca="1">IF(AND(NEGOCIAÇÕES!P182="",NEGOCIAÇÕES!N182&lt;TODAY()),NEGOCIAÇÕES!N182,"")</f>
        <v/>
      </c>
      <c r="F182" s="6"/>
    </row>
    <row r="183" spans="2:6" ht="31.95" hidden="1" customHeight="1" x14ac:dyDescent="0.3">
      <c r="B183" s="6" t="str">
        <f ca="1">IF(AND(NEGOCIAÇÕES!P183="",NEGOCIAÇÕES!N183&lt;TODAY()),NEGOCIAÇÕES!C183,"")</f>
        <v/>
      </c>
      <c r="C183" s="6" t="str">
        <f ca="1">IF(AND(NEGOCIAÇÕES!P183="",NEGOCIAÇÕES!N183&lt;TODAY()),NEGOCIAÇÕES!E183,"")</f>
        <v/>
      </c>
      <c r="D183" s="6" t="str">
        <f ca="1">IF(AND(NEGOCIAÇÕES!P183="",NEGOCIAÇÕES!N183&lt;TODAY()),NEGOCIAÇÕES!D183,"")</f>
        <v/>
      </c>
      <c r="E183" s="9" t="str">
        <f ca="1">IF(AND(NEGOCIAÇÕES!P183="",NEGOCIAÇÕES!N183&lt;TODAY()),NEGOCIAÇÕES!N183,"")</f>
        <v/>
      </c>
      <c r="F183" s="6"/>
    </row>
    <row r="184" spans="2:6" ht="31.95" hidden="1" customHeight="1" x14ac:dyDescent="0.3">
      <c r="B184" s="6" t="str">
        <f ca="1">IF(AND(NEGOCIAÇÕES!P184="",NEGOCIAÇÕES!N184&lt;TODAY()),NEGOCIAÇÕES!C184,"")</f>
        <v/>
      </c>
      <c r="C184" s="6" t="str">
        <f ca="1">IF(AND(NEGOCIAÇÕES!P184="",NEGOCIAÇÕES!N184&lt;TODAY()),NEGOCIAÇÕES!E184,"")</f>
        <v/>
      </c>
      <c r="D184" s="6" t="str">
        <f ca="1">IF(AND(NEGOCIAÇÕES!P184="",NEGOCIAÇÕES!N184&lt;TODAY()),NEGOCIAÇÕES!D184,"")</f>
        <v/>
      </c>
      <c r="E184" s="9" t="str">
        <f ca="1">IF(AND(NEGOCIAÇÕES!P184="",NEGOCIAÇÕES!N184&lt;TODAY()),NEGOCIAÇÕES!N184,"")</f>
        <v/>
      </c>
      <c r="F184" s="6"/>
    </row>
    <row r="185" spans="2:6" ht="31.95" hidden="1" customHeight="1" x14ac:dyDescent="0.3">
      <c r="B185" s="6" t="str">
        <f ca="1">IF(AND(NEGOCIAÇÕES!P185="",NEGOCIAÇÕES!N185&lt;TODAY()),NEGOCIAÇÕES!C185,"")</f>
        <v/>
      </c>
      <c r="C185" s="6" t="str">
        <f ca="1">IF(AND(NEGOCIAÇÕES!P185="",NEGOCIAÇÕES!N185&lt;TODAY()),NEGOCIAÇÕES!E185,"")</f>
        <v/>
      </c>
      <c r="D185" s="6" t="str">
        <f ca="1">IF(AND(NEGOCIAÇÕES!P185="",NEGOCIAÇÕES!N185&lt;TODAY()),NEGOCIAÇÕES!D185,"")</f>
        <v/>
      </c>
      <c r="E185" s="9" t="str">
        <f ca="1">IF(AND(NEGOCIAÇÕES!P185="",NEGOCIAÇÕES!N185&lt;TODAY()),NEGOCIAÇÕES!N185,"")</f>
        <v/>
      </c>
      <c r="F185" s="6"/>
    </row>
    <row r="186" spans="2:6" ht="31.95" hidden="1" customHeight="1" x14ac:dyDescent="0.3">
      <c r="B186" s="6" t="str">
        <f ca="1">IF(AND(NEGOCIAÇÕES!P186="",NEGOCIAÇÕES!N186&lt;TODAY()),NEGOCIAÇÕES!C186,"")</f>
        <v/>
      </c>
      <c r="C186" s="6" t="str">
        <f ca="1">IF(AND(NEGOCIAÇÕES!P186="",NEGOCIAÇÕES!N186&lt;TODAY()),NEGOCIAÇÕES!E186,"")</f>
        <v/>
      </c>
      <c r="D186" s="6" t="str">
        <f ca="1">IF(AND(NEGOCIAÇÕES!P186="",NEGOCIAÇÕES!N186&lt;TODAY()),NEGOCIAÇÕES!D186,"")</f>
        <v/>
      </c>
      <c r="E186" s="9" t="str">
        <f ca="1">IF(AND(NEGOCIAÇÕES!P186="",NEGOCIAÇÕES!N186&lt;TODAY()),NEGOCIAÇÕES!N186,"")</f>
        <v/>
      </c>
      <c r="F186" s="6"/>
    </row>
    <row r="187" spans="2:6" ht="31.95" hidden="1" customHeight="1" x14ac:dyDescent="0.3">
      <c r="B187" s="6" t="str">
        <f ca="1">IF(AND(NEGOCIAÇÕES!P187="",NEGOCIAÇÕES!N187&lt;TODAY()),NEGOCIAÇÕES!C187,"")</f>
        <v/>
      </c>
      <c r="C187" s="6" t="str">
        <f ca="1">IF(AND(NEGOCIAÇÕES!P187="",NEGOCIAÇÕES!N187&lt;TODAY()),NEGOCIAÇÕES!E187,"")</f>
        <v/>
      </c>
      <c r="D187" s="6" t="str">
        <f ca="1">IF(AND(NEGOCIAÇÕES!P187="",NEGOCIAÇÕES!N187&lt;TODAY()),NEGOCIAÇÕES!D187,"")</f>
        <v/>
      </c>
      <c r="E187" s="9" t="str">
        <f ca="1">IF(AND(NEGOCIAÇÕES!P187="",NEGOCIAÇÕES!N187&lt;TODAY()),NEGOCIAÇÕES!N187,"")</f>
        <v/>
      </c>
      <c r="F187" s="6"/>
    </row>
    <row r="188" spans="2:6" ht="31.95" hidden="1" customHeight="1" x14ac:dyDescent="0.3">
      <c r="B188" s="6" t="str">
        <f ca="1">IF(AND(NEGOCIAÇÕES!P188="",NEGOCIAÇÕES!N188&lt;TODAY()),NEGOCIAÇÕES!C188,"")</f>
        <v/>
      </c>
      <c r="C188" s="6" t="str">
        <f ca="1">IF(AND(NEGOCIAÇÕES!P188="",NEGOCIAÇÕES!N188&lt;TODAY()),NEGOCIAÇÕES!E188,"")</f>
        <v/>
      </c>
      <c r="D188" s="6" t="str">
        <f ca="1">IF(AND(NEGOCIAÇÕES!P188="",NEGOCIAÇÕES!N188&lt;TODAY()),NEGOCIAÇÕES!D188,"")</f>
        <v/>
      </c>
      <c r="E188" s="9" t="str">
        <f ca="1">IF(AND(NEGOCIAÇÕES!P188="",NEGOCIAÇÕES!N188&lt;TODAY()),NEGOCIAÇÕES!N188,"")</f>
        <v/>
      </c>
      <c r="F188" s="6"/>
    </row>
    <row r="189" spans="2:6" ht="31.95" hidden="1" customHeight="1" x14ac:dyDescent="0.3">
      <c r="B189" s="6" t="str">
        <f ca="1">IF(AND(NEGOCIAÇÕES!P189="",NEGOCIAÇÕES!N189&lt;TODAY()),NEGOCIAÇÕES!C189,"")</f>
        <v/>
      </c>
      <c r="C189" s="6" t="str">
        <f ca="1">IF(AND(NEGOCIAÇÕES!P189="",NEGOCIAÇÕES!N189&lt;TODAY()),NEGOCIAÇÕES!E189,"")</f>
        <v/>
      </c>
      <c r="D189" s="6" t="str">
        <f ca="1">IF(AND(NEGOCIAÇÕES!P189="",NEGOCIAÇÕES!N189&lt;TODAY()),NEGOCIAÇÕES!D189,"")</f>
        <v/>
      </c>
      <c r="E189" s="9" t="str">
        <f ca="1">IF(AND(NEGOCIAÇÕES!P189="",NEGOCIAÇÕES!N189&lt;TODAY()),NEGOCIAÇÕES!N189,"")</f>
        <v/>
      </c>
      <c r="F189" s="6"/>
    </row>
    <row r="190" spans="2:6" ht="31.95" hidden="1" customHeight="1" x14ac:dyDescent="0.3">
      <c r="B190" s="6" t="str">
        <f ca="1">IF(AND(NEGOCIAÇÕES!P190="",NEGOCIAÇÕES!N190&lt;TODAY()),NEGOCIAÇÕES!C190,"")</f>
        <v/>
      </c>
      <c r="C190" s="6" t="str">
        <f ca="1">IF(AND(NEGOCIAÇÕES!P190="",NEGOCIAÇÕES!N190&lt;TODAY()),NEGOCIAÇÕES!E190,"")</f>
        <v/>
      </c>
      <c r="D190" s="6" t="str">
        <f ca="1">IF(AND(NEGOCIAÇÕES!P190="",NEGOCIAÇÕES!N190&lt;TODAY()),NEGOCIAÇÕES!D190,"")</f>
        <v/>
      </c>
      <c r="E190" s="9" t="str">
        <f ca="1">IF(AND(NEGOCIAÇÕES!P190="",NEGOCIAÇÕES!N190&lt;TODAY()),NEGOCIAÇÕES!N190,"")</f>
        <v/>
      </c>
      <c r="F190" s="6"/>
    </row>
    <row r="191" spans="2:6" ht="31.95" hidden="1" customHeight="1" x14ac:dyDescent="0.3">
      <c r="B191" s="6" t="str">
        <f ca="1">IF(AND(NEGOCIAÇÕES!P191="",NEGOCIAÇÕES!N191&lt;TODAY()),NEGOCIAÇÕES!C191,"")</f>
        <v/>
      </c>
      <c r="C191" s="6" t="str">
        <f ca="1">IF(AND(NEGOCIAÇÕES!P191="",NEGOCIAÇÕES!N191&lt;TODAY()),NEGOCIAÇÕES!E191,"")</f>
        <v/>
      </c>
      <c r="D191" s="6" t="str">
        <f ca="1">IF(AND(NEGOCIAÇÕES!P191="",NEGOCIAÇÕES!N191&lt;TODAY()),NEGOCIAÇÕES!D191,"")</f>
        <v/>
      </c>
      <c r="E191" s="9" t="str">
        <f ca="1">IF(AND(NEGOCIAÇÕES!P191="",NEGOCIAÇÕES!N191&lt;TODAY()),NEGOCIAÇÕES!N191,"")</f>
        <v/>
      </c>
      <c r="F191" s="6"/>
    </row>
    <row r="192" spans="2:6" ht="31.95" hidden="1" customHeight="1" x14ac:dyDescent="0.3">
      <c r="B192" s="6" t="str">
        <f ca="1">IF(AND(NEGOCIAÇÕES!P192="",NEGOCIAÇÕES!N192&lt;TODAY()),NEGOCIAÇÕES!C192,"")</f>
        <v/>
      </c>
      <c r="C192" s="6" t="str">
        <f ca="1">IF(AND(NEGOCIAÇÕES!P192="",NEGOCIAÇÕES!N192&lt;TODAY()),NEGOCIAÇÕES!E192,"")</f>
        <v/>
      </c>
      <c r="D192" s="6" t="str">
        <f ca="1">IF(AND(NEGOCIAÇÕES!P192="",NEGOCIAÇÕES!N192&lt;TODAY()),NEGOCIAÇÕES!D192,"")</f>
        <v/>
      </c>
      <c r="E192" s="9" t="str">
        <f ca="1">IF(AND(NEGOCIAÇÕES!P192="",NEGOCIAÇÕES!N192&lt;TODAY()),NEGOCIAÇÕES!N192,"")</f>
        <v/>
      </c>
      <c r="F192" s="6"/>
    </row>
    <row r="193" spans="2:6" ht="31.95" hidden="1" customHeight="1" x14ac:dyDescent="0.3">
      <c r="B193" s="6" t="str">
        <f ca="1">IF(AND(NEGOCIAÇÕES!P193="",NEGOCIAÇÕES!N193&lt;TODAY()),NEGOCIAÇÕES!C193,"")</f>
        <v/>
      </c>
      <c r="C193" s="6" t="str">
        <f ca="1">IF(AND(NEGOCIAÇÕES!P193="",NEGOCIAÇÕES!N193&lt;TODAY()),NEGOCIAÇÕES!E193,"")</f>
        <v/>
      </c>
      <c r="D193" s="6" t="str">
        <f ca="1">IF(AND(NEGOCIAÇÕES!P193="",NEGOCIAÇÕES!N193&lt;TODAY()),NEGOCIAÇÕES!D193,"")</f>
        <v/>
      </c>
      <c r="E193" s="9" t="str">
        <f ca="1">IF(AND(NEGOCIAÇÕES!P193="",NEGOCIAÇÕES!N193&lt;TODAY()),NEGOCIAÇÕES!N193,"")</f>
        <v/>
      </c>
      <c r="F193" s="6"/>
    </row>
    <row r="194" spans="2:6" ht="31.95" hidden="1" customHeight="1" x14ac:dyDescent="0.3">
      <c r="B194" s="6" t="str">
        <f ca="1">IF(AND(NEGOCIAÇÕES!P194="",NEGOCIAÇÕES!N194&lt;TODAY()),NEGOCIAÇÕES!C194,"")</f>
        <v/>
      </c>
      <c r="C194" s="6" t="str">
        <f ca="1">IF(AND(NEGOCIAÇÕES!P194="",NEGOCIAÇÕES!N194&lt;TODAY()),NEGOCIAÇÕES!E194,"")</f>
        <v/>
      </c>
      <c r="D194" s="6" t="str">
        <f ca="1">IF(AND(NEGOCIAÇÕES!P194="",NEGOCIAÇÕES!N194&lt;TODAY()),NEGOCIAÇÕES!D194,"")</f>
        <v/>
      </c>
      <c r="E194" s="9" t="str">
        <f ca="1">IF(AND(NEGOCIAÇÕES!P194="",NEGOCIAÇÕES!N194&lt;TODAY()),NEGOCIAÇÕES!N194,"")</f>
        <v/>
      </c>
      <c r="F194" s="6"/>
    </row>
    <row r="195" spans="2:6" ht="31.95" hidden="1" customHeight="1" x14ac:dyDescent="0.3">
      <c r="B195" s="6" t="str">
        <f ca="1">IF(AND(NEGOCIAÇÕES!P195="",NEGOCIAÇÕES!N195&lt;TODAY()),NEGOCIAÇÕES!C195,"")</f>
        <v/>
      </c>
      <c r="C195" s="6" t="str">
        <f ca="1">IF(AND(NEGOCIAÇÕES!P195="",NEGOCIAÇÕES!N195&lt;TODAY()),NEGOCIAÇÕES!E195,"")</f>
        <v/>
      </c>
      <c r="D195" s="6" t="str">
        <f ca="1">IF(AND(NEGOCIAÇÕES!P195="",NEGOCIAÇÕES!N195&lt;TODAY()),NEGOCIAÇÕES!D195,"")</f>
        <v/>
      </c>
      <c r="E195" s="9" t="str">
        <f ca="1">IF(AND(NEGOCIAÇÕES!P195="",NEGOCIAÇÕES!N195&lt;TODAY()),NEGOCIAÇÕES!N195,"")</f>
        <v/>
      </c>
      <c r="F195" s="6"/>
    </row>
    <row r="196" spans="2:6" ht="31.95" hidden="1" customHeight="1" x14ac:dyDescent="0.3">
      <c r="B196" s="6" t="str">
        <f ca="1">IF(AND(NEGOCIAÇÕES!P196="",NEGOCIAÇÕES!N196&lt;TODAY()),NEGOCIAÇÕES!C196,"")</f>
        <v/>
      </c>
      <c r="C196" s="6" t="str">
        <f ca="1">IF(AND(NEGOCIAÇÕES!P196="",NEGOCIAÇÕES!N196&lt;TODAY()),NEGOCIAÇÕES!E196,"")</f>
        <v/>
      </c>
      <c r="D196" s="6" t="str">
        <f ca="1">IF(AND(NEGOCIAÇÕES!P196="",NEGOCIAÇÕES!N196&lt;TODAY()),NEGOCIAÇÕES!D196,"")</f>
        <v/>
      </c>
      <c r="E196" s="9" t="str">
        <f ca="1">IF(AND(NEGOCIAÇÕES!P196="",NEGOCIAÇÕES!N196&lt;TODAY()),NEGOCIAÇÕES!N196,"")</f>
        <v/>
      </c>
      <c r="F196" s="6"/>
    </row>
    <row r="197" spans="2:6" ht="31.95" hidden="1" customHeight="1" x14ac:dyDescent="0.3">
      <c r="B197" s="6" t="str">
        <f ca="1">IF(AND(NEGOCIAÇÕES!P197="",NEGOCIAÇÕES!N197&lt;TODAY()),NEGOCIAÇÕES!C197,"")</f>
        <v/>
      </c>
      <c r="C197" s="6" t="str">
        <f ca="1">IF(AND(NEGOCIAÇÕES!P197="",NEGOCIAÇÕES!N197&lt;TODAY()),NEGOCIAÇÕES!E197,"")</f>
        <v/>
      </c>
      <c r="D197" s="6" t="str">
        <f ca="1">IF(AND(NEGOCIAÇÕES!P197="",NEGOCIAÇÕES!N197&lt;TODAY()),NEGOCIAÇÕES!D197,"")</f>
        <v/>
      </c>
      <c r="E197" s="9" t="str">
        <f ca="1">IF(AND(NEGOCIAÇÕES!P197="",NEGOCIAÇÕES!N197&lt;TODAY()),NEGOCIAÇÕES!N197,"")</f>
        <v/>
      </c>
      <c r="F197" s="6"/>
    </row>
    <row r="198" spans="2:6" ht="31.95" hidden="1" customHeight="1" x14ac:dyDescent="0.3">
      <c r="B198" s="6" t="str">
        <f ca="1">IF(AND(NEGOCIAÇÕES!P198="",NEGOCIAÇÕES!N198&lt;TODAY()),NEGOCIAÇÕES!C198,"")</f>
        <v/>
      </c>
      <c r="C198" s="6" t="str">
        <f ca="1">IF(AND(NEGOCIAÇÕES!P198="",NEGOCIAÇÕES!N198&lt;TODAY()),NEGOCIAÇÕES!E198,"")</f>
        <v/>
      </c>
      <c r="D198" s="6" t="str">
        <f ca="1">IF(AND(NEGOCIAÇÕES!P198="",NEGOCIAÇÕES!N198&lt;TODAY()),NEGOCIAÇÕES!D198,"")</f>
        <v/>
      </c>
      <c r="E198" s="9" t="str">
        <f ca="1">IF(AND(NEGOCIAÇÕES!P198="",NEGOCIAÇÕES!N198&lt;TODAY()),NEGOCIAÇÕES!N198,"")</f>
        <v/>
      </c>
      <c r="F198" s="6"/>
    </row>
    <row r="199" spans="2:6" ht="31.95" hidden="1" customHeight="1" x14ac:dyDescent="0.3">
      <c r="B199" s="6" t="str">
        <f ca="1">IF(AND(NEGOCIAÇÕES!P199="",NEGOCIAÇÕES!N199&lt;TODAY()),NEGOCIAÇÕES!C199,"")</f>
        <v/>
      </c>
      <c r="C199" s="6" t="str">
        <f ca="1">IF(AND(NEGOCIAÇÕES!P199="",NEGOCIAÇÕES!N199&lt;TODAY()),NEGOCIAÇÕES!E199,"")</f>
        <v/>
      </c>
      <c r="D199" s="6" t="str">
        <f ca="1">IF(AND(NEGOCIAÇÕES!P199="",NEGOCIAÇÕES!N199&lt;TODAY()),NEGOCIAÇÕES!D199,"")</f>
        <v/>
      </c>
      <c r="E199" s="9" t="str">
        <f ca="1">IF(AND(NEGOCIAÇÕES!P199="",NEGOCIAÇÕES!N199&lt;TODAY()),NEGOCIAÇÕES!N199,"")</f>
        <v/>
      </c>
      <c r="F199" s="6"/>
    </row>
    <row r="200" spans="2:6" ht="31.95" hidden="1" customHeight="1" x14ac:dyDescent="0.3">
      <c r="B200" s="6" t="str">
        <f ca="1">IF(AND(NEGOCIAÇÕES!P200="",NEGOCIAÇÕES!N200&lt;TODAY()),NEGOCIAÇÕES!C200,"")</f>
        <v/>
      </c>
      <c r="C200" s="6" t="str">
        <f ca="1">IF(AND(NEGOCIAÇÕES!P200="",NEGOCIAÇÕES!N200&lt;TODAY()),NEGOCIAÇÕES!E200,"")</f>
        <v/>
      </c>
      <c r="D200" s="6" t="str">
        <f ca="1">IF(AND(NEGOCIAÇÕES!P200="",NEGOCIAÇÕES!N200&lt;TODAY()),NEGOCIAÇÕES!D200,"")</f>
        <v/>
      </c>
      <c r="E200" s="9" t="str">
        <f ca="1">IF(AND(NEGOCIAÇÕES!P200="",NEGOCIAÇÕES!N200&lt;TODAY()),NEGOCIAÇÕES!N200,"")</f>
        <v/>
      </c>
      <c r="F200" s="6"/>
    </row>
    <row r="201" spans="2:6" ht="31.95" hidden="1" customHeight="1" x14ac:dyDescent="0.3">
      <c r="B201" s="6" t="str">
        <f ca="1">IF(AND(NEGOCIAÇÕES!P201="",NEGOCIAÇÕES!N201&lt;TODAY()),NEGOCIAÇÕES!C201,"")</f>
        <v/>
      </c>
      <c r="C201" s="6" t="str">
        <f ca="1">IF(AND(NEGOCIAÇÕES!P201="",NEGOCIAÇÕES!N201&lt;TODAY()),NEGOCIAÇÕES!E201,"")</f>
        <v/>
      </c>
      <c r="D201" s="6" t="str">
        <f ca="1">IF(AND(NEGOCIAÇÕES!P201="",NEGOCIAÇÕES!N201&lt;TODAY()),NEGOCIAÇÕES!D201,"")</f>
        <v/>
      </c>
      <c r="E201" s="9" t="str">
        <f ca="1">IF(AND(NEGOCIAÇÕES!P201="",NEGOCIAÇÕES!N201&lt;TODAY()),NEGOCIAÇÕES!N201,"")</f>
        <v/>
      </c>
      <c r="F201" s="6"/>
    </row>
    <row r="202" spans="2:6" ht="31.95" hidden="1" customHeight="1" x14ac:dyDescent="0.3">
      <c r="B202" s="6" t="str">
        <f ca="1">IF(AND(NEGOCIAÇÕES!P202="",NEGOCIAÇÕES!N202&lt;TODAY()),NEGOCIAÇÕES!C202,"")</f>
        <v/>
      </c>
      <c r="C202" s="6" t="str">
        <f ca="1">IF(AND(NEGOCIAÇÕES!P202="",NEGOCIAÇÕES!N202&lt;TODAY()),NEGOCIAÇÕES!E202,"")</f>
        <v/>
      </c>
      <c r="D202" s="6" t="str">
        <f ca="1">IF(AND(NEGOCIAÇÕES!P202="",NEGOCIAÇÕES!N202&lt;TODAY()),NEGOCIAÇÕES!D202,"")</f>
        <v/>
      </c>
      <c r="E202" s="9" t="str">
        <f ca="1">IF(AND(NEGOCIAÇÕES!P202="",NEGOCIAÇÕES!N202&lt;TODAY()),NEGOCIAÇÕES!N202,"")</f>
        <v/>
      </c>
      <c r="F202" s="6"/>
    </row>
    <row r="203" spans="2:6" ht="31.95" hidden="1" customHeight="1" x14ac:dyDescent="0.3">
      <c r="B203" s="6" t="str">
        <f ca="1">IF(AND(NEGOCIAÇÕES!P203="",NEGOCIAÇÕES!N203&lt;TODAY()),NEGOCIAÇÕES!C203,"")</f>
        <v/>
      </c>
      <c r="C203" s="6" t="str">
        <f ca="1">IF(AND(NEGOCIAÇÕES!P203="",NEGOCIAÇÕES!N203&lt;TODAY()),NEGOCIAÇÕES!E203,"")</f>
        <v/>
      </c>
      <c r="D203" s="6" t="str">
        <f ca="1">IF(AND(NEGOCIAÇÕES!P203="",NEGOCIAÇÕES!N203&lt;TODAY()),NEGOCIAÇÕES!D203,"")</f>
        <v/>
      </c>
      <c r="E203" s="9" t="str">
        <f ca="1">IF(AND(NEGOCIAÇÕES!P203="",NEGOCIAÇÕES!N203&lt;TODAY()),NEGOCIAÇÕES!N203,"")</f>
        <v/>
      </c>
      <c r="F203" s="6"/>
    </row>
    <row r="204" spans="2:6" ht="31.95" hidden="1" customHeight="1" x14ac:dyDescent="0.3">
      <c r="B204" s="6" t="str">
        <f ca="1">IF(AND(NEGOCIAÇÕES!P204="",NEGOCIAÇÕES!N204&lt;TODAY()),NEGOCIAÇÕES!C204,"")</f>
        <v/>
      </c>
      <c r="C204" s="6" t="str">
        <f ca="1">IF(AND(NEGOCIAÇÕES!P204="",NEGOCIAÇÕES!N204&lt;TODAY()),NEGOCIAÇÕES!E204,"")</f>
        <v/>
      </c>
      <c r="D204" s="6" t="str">
        <f ca="1">IF(AND(NEGOCIAÇÕES!P204="",NEGOCIAÇÕES!N204&lt;TODAY()),NEGOCIAÇÕES!D204,"")</f>
        <v/>
      </c>
      <c r="E204" s="9" t="str">
        <f ca="1">IF(AND(NEGOCIAÇÕES!P204="",NEGOCIAÇÕES!N204&lt;TODAY()),NEGOCIAÇÕES!N204,"")</f>
        <v/>
      </c>
      <c r="F204" s="6"/>
    </row>
    <row r="205" spans="2:6" ht="31.95" hidden="1" customHeight="1" x14ac:dyDescent="0.3">
      <c r="B205" s="6" t="str">
        <f ca="1">IF(AND(NEGOCIAÇÕES!P205="",NEGOCIAÇÕES!N205&lt;TODAY()),NEGOCIAÇÕES!C205,"")</f>
        <v/>
      </c>
      <c r="C205" s="6" t="str">
        <f ca="1">IF(AND(NEGOCIAÇÕES!P205="",NEGOCIAÇÕES!N205&lt;TODAY()),NEGOCIAÇÕES!E205,"")</f>
        <v/>
      </c>
      <c r="D205" s="6" t="str">
        <f ca="1">IF(AND(NEGOCIAÇÕES!P205="",NEGOCIAÇÕES!N205&lt;TODAY()),NEGOCIAÇÕES!D205,"")</f>
        <v/>
      </c>
      <c r="E205" s="9" t="str">
        <f ca="1">IF(AND(NEGOCIAÇÕES!P205="",NEGOCIAÇÕES!N205&lt;TODAY()),NEGOCIAÇÕES!N205,"")</f>
        <v/>
      </c>
      <c r="F205" s="6"/>
    </row>
    <row r="206" spans="2:6" ht="31.95" hidden="1" customHeight="1" x14ac:dyDescent="0.3">
      <c r="B206" s="6" t="str">
        <f ca="1">IF(AND(NEGOCIAÇÕES!P206="",NEGOCIAÇÕES!N206&lt;TODAY()),NEGOCIAÇÕES!C206,"")</f>
        <v/>
      </c>
      <c r="C206" s="6" t="str">
        <f ca="1">IF(AND(NEGOCIAÇÕES!P206="",NEGOCIAÇÕES!N206&lt;TODAY()),NEGOCIAÇÕES!E206,"")</f>
        <v/>
      </c>
      <c r="D206" s="6" t="str">
        <f ca="1">IF(AND(NEGOCIAÇÕES!P206="",NEGOCIAÇÕES!N206&lt;TODAY()),NEGOCIAÇÕES!D206,"")</f>
        <v/>
      </c>
      <c r="E206" s="9" t="str">
        <f ca="1">IF(AND(NEGOCIAÇÕES!P206="",NEGOCIAÇÕES!N206&lt;TODAY()),NEGOCIAÇÕES!N206,"")</f>
        <v/>
      </c>
      <c r="F206" s="6"/>
    </row>
    <row r="207" spans="2:6" ht="31.95" hidden="1" customHeight="1" x14ac:dyDescent="0.3">
      <c r="B207" s="6" t="str">
        <f ca="1">IF(AND(NEGOCIAÇÕES!P207="",NEGOCIAÇÕES!N207&lt;TODAY()),NEGOCIAÇÕES!C207,"")</f>
        <v/>
      </c>
      <c r="C207" s="6" t="str">
        <f ca="1">IF(AND(NEGOCIAÇÕES!P207="",NEGOCIAÇÕES!N207&lt;TODAY()),NEGOCIAÇÕES!E207,"")</f>
        <v/>
      </c>
      <c r="D207" s="6" t="str">
        <f ca="1">IF(AND(NEGOCIAÇÕES!P207="",NEGOCIAÇÕES!N207&lt;TODAY()),NEGOCIAÇÕES!D207,"")</f>
        <v/>
      </c>
      <c r="E207" s="9" t="str">
        <f ca="1">IF(AND(NEGOCIAÇÕES!P207="",NEGOCIAÇÕES!N207&lt;TODAY()),NEGOCIAÇÕES!N207,"")</f>
        <v/>
      </c>
      <c r="F207" s="6"/>
    </row>
    <row r="208" spans="2:6" ht="31.95" hidden="1" customHeight="1" x14ac:dyDescent="0.3">
      <c r="B208" s="6" t="str">
        <f ca="1">IF(AND(NEGOCIAÇÕES!P208="",NEGOCIAÇÕES!N208&lt;TODAY()),NEGOCIAÇÕES!C208,"")</f>
        <v/>
      </c>
      <c r="C208" s="6" t="str">
        <f ca="1">IF(AND(NEGOCIAÇÕES!P208="",NEGOCIAÇÕES!N208&lt;TODAY()),NEGOCIAÇÕES!E208,"")</f>
        <v/>
      </c>
      <c r="D208" s="6" t="str">
        <f ca="1">IF(AND(NEGOCIAÇÕES!P208="",NEGOCIAÇÕES!N208&lt;TODAY()),NEGOCIAÇÕES!D208,"")</f>
        <v/>
      </c>
      <c r="E208" s="9" t="str">
        <f ca="1">IF(AND(NEGOCIAÇÕES!P208="",NEGOCIAÇÕES!N208&lt;TODAY()),NEGOCIAÇÕES!N208,"")</f>
        <v/>
      </c>
      <c r="F208" s="6"/>
    </row>
    <row r="209" spans="2:6" ht="31.95" hidden="1" customHeight="1" x14ac:dyDescent="0.3">
      <c r="B209" s="6" t="str">
        <f ca="1">IF(AND(NEGOCIAÇÕES!P209="",NEGOCIAÇÕES!N209&lt;TODAY()),NEGOCIAÇÕES!C209,"")</f>
        <v/>
      </c>
      <c r="C209" s="6" t="str">
        <f ca="1">IF(AND(NEGOCIAÇÕES!P209="",NEGOCIAÇÕES!N209&lt;TODAY()),NEGOCIAÇÕES!E209,"")</f>
        <v/>
      </c>
      <c r="D209" s="6" t="str">
        <f ca="1">IF(AND(NEGOCIAÇÕES!P209="",NEGOCIAÇÕES!N209&lt;TODAY()),NEGOCIAÇÕES!D209,"")</f>
        <v/>
      </c>
      <c r="E209" s="9" t="str">
        <f ca="1">IF(AND(NEGOCIAÇÕES!P209="",NEGOCIAÇÕES!N209&lt;TODAY()),NEGOCIAÇÕES!N209,"")</f>
        <v/>
      </c>
      <c r="F209" s="6"/>
    </row>
    <row r="210" spans="2:6" ht="31.95" hidden="1" customHeight="1" x14ac:dyDescent="0.3">
      <c r="B210" s="6" t="str">
        <f ca="1">IF(AND(NEGOCIAÇÕES!P210="",NEGOCIAÇÕES!N210&lt;TODAY()),NEGOCIAÇÕES!C210,"")</f>
        <v/>
      </c>
      <c r="C210" s="6" t="str">
        <f ca="1">IF(AND(NEGOCIAÇÕES!P210="",NEGOCIAÇÕES!N210&lt;TODAY()),NEGOCIAÇÕES!E210,"")</f>
        <v/>
      </c>
      <c r="D210" s="6" t="str">
        <f ca="1">IF(AND(NEGOCIAÇÕES!P210="",NEGOCIAÇÕES!N210&lt;TODAY()),NEGOCIAÇÕES!D210,"")</f>
        <v/>
      </c>
      <c r="E210" s="9" t="str">
        <f ca="1">IF(AND(NEGOCIAÇÕES!P210="",NEGOCIAÇÕES!N210&lt;TODAY()),NEGOCIAÇÕES!N210,"")</f>
        <v/>
      </c>
      <c r="F210" s="6"/>
    </row>
    <row r="211" spans="2:6" ht="31.95" hidden="1" customHeight="1" x14ac:dyDescent="0.3">
      <c r="B211" s="6" t="str">
        <f ca="1">IF(AND(NEGOCIAÇÕES!P211="",NEGOCIAÇÕES!N211&lt;TODAY()),NEGOCIAÇÕES!C211,"")</f>
        <v/>
      </c>
      <c r="C211" s="6" t="str">
        <f ca="1">IF(AND(NEGOCIAÇÕES!P211="",NEGOCIAÇÕES!N211&lt;TODAY()),NEGOCIAÇÕES!E211,"")</f>
        <v/>
      </c>
      <c r="D211" s="6" t="str">
        <f ca="1">IF(AND(NEGOCIAÇÕES!P211="",NEGOCIAÇÕES!N211&lt;TODAY()),NEGOCIAÇÕES!D211,"")</f>
        <v/>
      </c>
      <c r="E211" s="9" t="str">
        <f ca="1">IF(AND(NEGOCIAÇÕES!P211="",NEGOCIAÇÕES!N211&lt;TODAY()),NEGOCIAÇÕES!N211,"")</f>
        <v/>
      </c>
      <c r="F211" s="6"/>
    </row>
    <row r="212" spans="2:6" ht="31.95" hidden="1" customHeight="1" x14ac:dyDescent="0.3">
      <c r="B212" s="6" t="str">
        <f ca="1">IF(AND(NEGOCIAÇÕES!P212="",NEGOCIAÇÕES!N212&lt;TODAY()),NEGOCIAÇÕES!C212,"")</f>
        <v/>
      </c>
      <c r="C212" s="6" t="str">
        <f ca="1">IF(AND(NEGOCIAÇÕES!P212="",NEGOCIAÇÕES!N212&lt;TODAY()),NEGOCIAÇÕES!E212,"")</f>
        <v/>
      </c>
      <c r="D212" s="6" t="str">
        <f ca="1">IF(AND(NEGOCIAÇÕES!P212="",NEGOCIAÇÕES!N212&lt;TODAY()),NEGOCIAÇÕES!D212,"")</f>
        <v/>
      </c>
      <c r="E212" s="9" t="str">
        <f ca="1">IF(AND(NEGOCIAÇÕES!P212="",NEGOCIAÇÕES!N212&lt;TODAY()),NEGOCIAÇÕES!N212,"")</f>
        <v/>
      </c>
      <c r="F212" s="6"/>
    </row>
    <row r="213" spans="2:6" ht="31.95" hidden="1" customHeight="1" x14ac:dyDescent="0.3">
      <c r="B213" s="6" t="str">
        <f ca="1">IF(AND(NEGOCIAÇÕES!P213="",NEGOCIAÇÕES!N213&lt;TODAY()),NEGOCIAÇÕES!C213,"")</f>
        <v/>
      </c>
      <c r="C213" s="6" t="str">
        <f ca="1">IF(AND(NEGOCIAÇÕES!P213="",NEGOCIAÇÕES!N213&lt;TODAY()),NEGOCIAÇÕES!E213,"")</f>
        <v/>
      </c>
      <c r="D213" s="6" t="str">
        <f ca="1">IF(AND(NEGOCIAÇÕES!P213="",NEGOCIAÇÕES!N213&lt;TODAY()),NEGOCIAÇÕES!D213,"")</f>
        <v/>
      </c>
      <c r="E213" s="9" t="str">
        <f ca="1">IF(AND(NEGOCIAÇÕES!P213="",NEGOCIAÇÕES!N213&lt;TODAY()),NEGOCIAÇÕES!N213,"")</f>
        <v/>
      </c>
      <c r="F213" s="6"/>
    </row>
    <row r="214" spans="2:6" ht="31.95" hidden="1" customHeight="1" x14ac:dyDescent="0.3">
      <c r="B214" s="6" t="str">
        <f ca="1">IF(AND(NEGOCIAÇÕES!P214="",NEGOCIAÇÕES!N214&lt;TODAY()),NEGOCIAÇÕES!C214,"")</f>
        <v/>
      </c>
      <c r="C214" s="6" t="str">
        <f ca="1">IF(AND(NEGOCIAÇÕES!P214="",NEGOCIAÇÕES!N214&lt;TODAY()),NEGOCIAÇÕES!E214,"")</f>
        <v/>
      </c>
      <c r="D214" s="6" t="str">
        <f ca="1">IF(AND(NEGOCIAÇÕES!P214="",NEGOCIAÇÕES!N214&lt;TODAY()),NEGOCIAÇÕES!D214,"")</f>
        <v/>
      </c>
      <c r="E214" s="9" t="str">
        <f ca="1">IF(AND(NEGOCIAÇÕES!P214="",NEGOCIAÇÕES!N214&lt;TODAY()),NEGOCIAÇÕES!N214,"")</f>
        <v/>
      </c>
      <c r="F214" s="6"/>
    </row>
    <row r="215" spans="2:6" ht="31.95" hidden="1" customHeight="1" x14ac:dyDescent="0.3">
      <c r="B215" s="6" t="str">
        <f ca="1">IF(AND(NEGOCIAÇÕES!P215="",NEGOCIAÇÕES!N215&lt;TODAY()),NEGOCIAÇÕES!C215,"")</f>
        <v/>
      </c>
      <c r="C215" s="6" t="str">
        <f ca="1">IF(AND(NEGOCIAÇÕES!P215="",NEGOCIAÇÕES!N215&lt;TODAY()),NEGOCIAÇÕES!E215,"")</f>
        <v/>
      </c>
      <c r="D215" s="6" t="str">
        <f ca="1">IF(AND(NEGOCIAÇÕES!P215="",NEGOCIAÇÕES!N215&lt;TODAY()),NEGOCIAÇÕES!D215,"")</f>
        <v/>
      </c>
      <c r="E215" s="9" t="str">
        <f ca="1">IF(AND(NEGOCIAÇÕES!P215="",NEGOCIAÇÕES!N215&lt;TODAY()),NEGOCIAÇÕES!N215,"")</f>
        <v/>
      </c>
      <c r="F215" s="6"/>
    </row>
    <row r="216" spans="2:6" ht="31.95" hidden="1" customHeight="1" x14ac:dyDescent="0.3">
      <c r="B216" s="6" t="str">
        <f ca="1">IF(AND(NEGOCIAÇÕES!P216="",NEGOCIAÇÕES!N216&lt;TODAY()),NEGOCIAÇÕES!C216,"")</f>
        <v/>
      </c>
      <c r="C216" s="6" t="str">
        <f ca="1">IF(AND(NEGOCIAÇÕES!P216="",NEGOCIAÇÕES!N216&lt;TODAY()),NEGOCIAÇÕES!E216,"")</f>
        <v/>
      </c>
      <c r="D216" s="6" t="str">
        <f ca="1">IF(AND(NEGOCIAÇÕES!P216="",NEGOCIAÇÕES!N216&lt;TODAY()),NEGOCIAÇÕES!D216,"")</f>
        <v/>
      </c>
      <c r="E216" s="9" t="str">
        <f ca="1">IF(AND(NEGOCIAÇÕES!P216="",NEGOCIAÇÕES!N216&lt;TODAY()),NEGOCIAÇÕES!N216,"")</f>
        <v/>
      </c>
      <c r="F216" s="6"/>
    </row>
    <row r="217" spans="2:6" ht="31.95" hidden="1" customHeight="1" x14ac:dyDescent="0.3">
      <c r="B217" s="6" t="str">
        <f ca="1">IF(AND(NEGOCIAÇÕES!P217="",NEGOCIAÇÕES!N217&lt;TODAY()),NEGOCIAÇÕES!C217,"")</f>
        <v/>
      </c>
      <c r="C217" s="6" t="str">
        <f ca="1">IF(AND(NEGOCIAÇÕES!P217="",NEGOCIAÇÕES!N217&lt;TODAY()),NEGOCIAÇÕES!E217,"")</f>
        <v/>
      </c>
      <c r="D217" s="6" t="str">
        <f ca="1">IF(AND(NEGOCIAÇÕES!P217="",NEGOCIAÇÕES!N217&lt;TODAY()),NEGOCIAÇÕES!D217,"")</f>
        <v/>
      </c>
      <c r="E217" s="9" t="str">
        <f ca="1">IF(AND(NEGOCIAÇÕES!P217="",NEGOCIAÇÕES!N217&lt;TODAY()),NEGOCIAÇÕES!N217,"")</f>
        <v/>
      </c>
      <c r="F217" s="6"/>
    </row>
    <row r="218" spans="2:6" ht="31.95" hidden="1" customHeight="1" x14ac:dyDescent="0.3">
      <c r="B218" s="6" t="str">
        <f ca="1">IF(AND(NEGOCIAÇÕES!P218="",NEGOCIAÇÕES!N218&lt;TODAY()),NEGOCIAÇÕES!C218,"")</f>
        <v/>
      </c>
      <c r="C218" s="6" t="str">
        <f ca="1">IF(AND(NEGOCIAÇÕES!P218="",NEGOCIAÇÕES!N218&lt;TODAY()),NEGOCIAÇÕES!E218,"")</f>
        <v/>
      </c>
      <c r="D218" s="6" t="str">
        <f ca="1">IF(AND(NEGOCIAÇÕES!P218="",NEGOCIAÇÕES!N218&lt;TODAY()),NEGOCIAÇÕES!D218,"")</f>
        <v/>
      </c>
      <c r="E218" s="9" t="str">
        <f ca="1">IF(AND(NEGOCIAÇÕES!P218="",NEGOCIAÇÕES!N218&lt;TODAY()),NEGOCIAÇÕES!N218,"")</f>
        <v/>
      </c>
      <c r="F218" s="6"/>
    </row>
    <row r="219" spans="2:6" ht="31.95" hidden="1" customHeight="1" x14ac:dyDescent="0.3">
      <c r="B219" s="6" t="str">
        <f ca="1">IF(AND(NEGOCIAÇÕES!P219="",NEGOCIAÇÕES!N219&lt;TODAY()),NEGOCIAÇÕES!C219,"")</f>
        <v/>
      </c>
      <c r="C219" s="6" t="str">
        <f ca="1">IF(AND(NEGOCIAÇÕES!P219="",NEGOCIAÇÕES!N219&lt;TODAY()),NEGOCIAÇÕES!E219,"")</f>
        <v/>
      </c>
      <c r="D219" s="6" t="str">
        <f ca="1">IF(AND(NEGOCIAÇÕES!P219="",NEGOCIAÇÕES!N219&lt;TODAY()),NEGOCIAÇÕES!D219,"")</f>
        <v/>
      </c>
      <c r="E219" s="9" t="str">
        <f ca="1">IF(AND(NEGOCIAÇÕES!P219="",NEGOCIAÇÕES!N219&lt;TODAY()),NEGOCIAÇÕES!N219,"")</f>
        <v/>
      </c>
      <c r="F219" s="6"/>
    </row>
    <row r="220" spans="2:6" ht="31.95" hidden="1" customHeight="1" x14ac:dyDescent="0.3">
      <c r="B220" s="6" t="str">
        <f ca="1">IF(AND(NEGOCIAÇÕES!P220="",NEGOCIAÇÕES!N220&lt;TODAY()),NEGOCIAÇÕES!C220,"")</f>
        <v/>
      </c>
      <c r="C220" s="6" t="str">
        <f ca="1">IF(AND(NEGOCIAÇÕES!P220="",NEGOCIAÇÕES!N220&lt;TODAY()),NEGOCIAÇÕES!E220,"")</f>
        <v/>
      </c>
      <c r="D220" s="6" t="str">
        <f ca="1">IF(AND(NEGOCIAÇÕES!P220="",NEGOCIAÇÕES!N220&lt;TODAY()),NEGOCIAÇÕES!D220,"")</f>
        <v/>
      </c>
      <c r="E220" s="9" t="str">
        <f ca="1">IF(AND(NEGOCIAÇÕES!P220="",NEGOCIAÇÕES!N220&lt;TODAY()),NEGOCIAÇÕES!N220,"")</f>
        <v/>
      </c>
      <c r="F220" s="6"/>
    </row>
    <row r="221" spans="2:6" ht="31.95" hidden="1" customHeight="1" x14ac:dyDescent="0.3">
      <c r="B221" s="6" t="str">
        <f ca="1">IF(AND(NEGOCIAÇÕES!P221="",NEGOCIAÇÕES!N221&lt;TODAY()),NEGOCIAÇÕES!C221,"")</f>
        <v/>
      </c>
      <c r="C221" s="6" t="str">
        <f ca="1">IF(AND(NEGOCIAÇÕES!P221="",NEGOCIAÇÕES!N221&lt;TODAY()),NEGOCIAÇÕES!E221,"")</f>
        <v/>
      </c>
      <c r="D221" s="6" t="str">
        <f ca="1">IF(AND(NEGOCIAÇÕES!P221="",NEGOCIAÇÕES!N221&lt;TODAY()),NEGOCIAÇÕES!D221,"")</f>
        <v/>
      </c>
      <c r="E221" s="9" t="str">
        <f ca="1">IF(AND(NEGOCIAÇÕES!P221="",NEGOCIAÇÕES!N221&lt;TODAY()),NEGOCIAÇÕES!N221,"")</f>
        <v/>
      </c>
      <c r="F221" s="6"/>
    </row>
    <row r="222" spans="2:6" ht="31.95" hidden="1" customHeight="1" x14ac:dyDescent="0.3">
      <c r="B222" s="6" t="str">
        <f ca="1">IF(AND(NEGOCIAÇÕES!P222="",NEGOCIAÇÕES!N222&lt;TODAY()),NEGOCIAÇÕES!C222,"")</f>
        <v/>
      </c>
      <c r="C222" s="6" t="str">
        <f ca="1">IF(AND(NEGOCIAÇÕES!P222="",NEGOCIAÇÕES!N222&lt;TODAY()),NEGOCIAÇÕES!E222,"")</f>
        <v/>
      </c>
      <c r="D222" s="6" t="str">
        <f ca="1">IF(AND(NEGOCIAÇÕES!P222="",NEGOCIAÇÕES!N222&lt;TODAY()),NEGOCIAÇÕES!D222,"")</f>
        <v/>
      </c>
      <c r="E222" s="9" t="str">
        <f ca="1">IF(AND(NEGOCIAÇÕES!P222="",NEGOCIAÇÕES!N222&lt;TODAY()),NEGOCIAÇÕES!N222,"")</f>
        <v/>
      </c>
      <c r="F222" s="6"/>
    </row>
    <row r="223" spans="2:6" ht="31.95" hidden="1" customHeight="1" x14ac:dyDescent="0.3">
      <c r="B223" s="6" t="str">
        <f ca="1">IF(AND(NEGOCIAÇÕES!P223="",NEGOCIAÇÕES!N223&lt;TODAY()),NEGOCIAÇÕES!C223,"")</f>
        <v/>
      </c>
      <c r="C223" s="6" t="str">
        <f ca="1">IF(AND(NEGOCIAÇÕES!P223="",NEGOCIAÇÕES!N223&lt;TODAY()),NEGOCIAÇÕES!E223,"")</f>
        <v/>
      </c>
      <c r="D223" s="6" t="str">
        <f ca="1">IF(AND(NEGOCIAÇÕES!P223="",NEGOCIAÇÕES!N223&lt;TODAY()),NEGOCIAÇÕES!D223,"")</f>
        <v/>
      </c>
      <c r="E223" s="9" t="str">
        <f ca="1">IF(AND(NEGOCIAÇÕES!P223="",NEGOCIAÇÕES!N223&lt;TODAY()),NEGOCIAÇÕES!N223,"")</f>
        <v/>
      </c>
      <c r="F223" s="6"/>
    </row>
    <row r="224" spans="2:6" ht="31.95" hidden="1" customHeight="1" x14ac:dyDescent="0.3">
      <c r="B224" s="6" t="str">
        <f ca="1">IF(AND(NEGOCIAÇÕES!P224="",NEGOCIAÇÕES!N224&lt;TODAY()),NEGOCIAÇÕES!C224,"")</f>
        <v/>
      </c>
      <c r="C224" s="6" t="str">
        <f ca="1">IF(AND(NEGOCIAÇÕES!P224="",NEGOCIAÇÕES!N224&lt;TODAY()),NEGOCIAÇÕES!E224,"")</f>
        <v/>
      </c>
      <c r="D224" s="6" t="str">
        <f ca="1">IF(AND(NEGOCIAÇÕES!P224="",NEGOCIAÇÕES!N224&lt;TODAY()),NEGOCIAÇÕES!D224,"")</f>
        <v/>
      </c>
      <c r="E224" s="9" t="str">
        <f ca="1">IF(AND(NEGOCIAÇÕES!P224="",NEGOCIAÇÕES!N224&lt;TODAY()),NEGOCIAÇÕES!N224,"")</f>
        <v/>
      </c>
      <c r="F224" s="6"/>
    </row>
    <row r="225" spans="2:6" ht="31.95" hidden="1" customHeight="1" x14ac:dyDescent="0.3">
      <c r="B225" s="6" t="str">
        <f ca="1">IF(AND(NEGOCIAÇÕES!P225="",NEGOCIAÇÕES!N225&lt;TODAY()),NEGOCIAÇÕES!C225,"")</f>
        <v/>
      </c>
      <c r="C225" s="6" t="str">
        <f ca="1">IF(AND(NEGOCIAÇÕES!P225="",NEGOCIAÇÕES!N225&lt;TODAY()),NEGOCIAÇÕES!E225,"")</f>
        <v/>
      </c>
      <c r="D225" s="6" t="str">
        <f ca="1">IF(AND(NEGOCIAÇÕES!P225="",NEGOCIAÇÕES!N225&lt;TODAY()),NEGOCIAÇÕES!D225,"")</f>
        <v/>
      </c>
      <c r="E225" s="9" t="str">
        <f ca="1">IF(AND(NEGOCIAÇÕES!P225="",NEGOCIAÇÕES!N225&lt;TODAY()),NEGOCIAÇÕES!N225,"")</f>
        <v/>
      </c>
      <c r="F225" s="6"/>
    </row>
    <row r="226" spans="2:6" ht="31.95" hidden="1" customHeight="1" x14ac:dyDescent="0.3">
      <c r="B226" s="6" t="str">
        <f ca="1">IF(AND(NEGOCIAÇÕES!P226="",NEGOCIAÇÕES!N226&lt;TODAY()),NEGOCIAÇÕES!C226,"")</f>
        <v/>
      </c>
      <c r="C226" s="6" t="str">
        <f ca="1">IF(AND(NEGOCIAÇÕES!P226="",NEGOCIAÇÕES!N226&lt;TODAY()),NEGOCIAÇÕES!E226,"")</f>
        <v/>
      </c>
      <c r="D226" s="6" t="str">
        <f ca="1">IF(AND(NEGOCIAÇÕES!P226="",NEGOCIAÇÕES!N226&lt;TODAY()),NEGOCIAÇÕES!D226,"")</f>
        <v/>
      </c>
      <c r="E226" s="9" t="str">
        <f ca="1">IF(AND(NEGOCIAÇÕES!P226="",NEGOCIAÇÕES!N226&lt;TODAY()),NEGOCIAÇÕES!N226,"")</f>
        <v/>
      </c>
      <c r="F226" s="6"/>
    </row>
    <row r="227" spans="2:6" ht="31.95" hidden="1" customHeight="1" x14ac:dyDescent="0.3">
      <c r="B227" s="6" t="str">
        <f ca="1">IF(AND(NEGOCIAÇÕES!P227="",NEGOCIAÇÕES!N227&lt;TODAY()),NEGOCIAÇÕES!C227,"")</f>
        <v/>
      </c>
      <c r="C227" s="6" t="str">
        <f ca="1">IF(AND(NEGOCIAÇÕES!P227="",NEGOCIAÇÕES!N227&lt;TODAY()),NEGOCIAÇÕES!E227,"")</f>
        <v/>
      </c>
      <c r="D227" s="6" t="str">
        <f ca="1">IF(AND(NEGOCIAÇÕES!P227="",NEGOCIAÇÕES!N227&lt;TODAY()),NEGOCIAÇÕES!D227,"")</f>
        <v/>
      </c>
      <c r="E227" s="9" t="str">
        <f ca="1">IF(AND(NEGOCIAÇÕES!P227="",NEGOCIAÇÕES!N227&lt;TODAY()),NEGOCIAÇÕES!N227,"")</f>
        <v/>
      </c>
      <c r="F227" s="6"/>
    </row>
    <row r="228" spans="2:6" ht="31.95" hidden="1" customHeight="1" x14ac:dyDescent="0.3">
      <c r="B228" s="6" t="str">
        <f ca="1">IF(AND(NEGOCIAÇÕES!P228="",NEGOCIAÇÕES!N228&lt;TODAY()),NEGOCIAÇÕES!C228,"")</f>
        <v/>
      </c>
      <c r="C228" s="6" t="str">
        <f ca="1">IF(AND(NEGOCIAÇÕES!P228="",NEGOCIAÇÕES!N228&lt;TODAY()),NEGOCIAÇÕES!E228,"")</f>
        <v/>
      </c>
      <c r="D228" s="6" t="str">
        <f ca="1">IF(AND(NEGOCIAÇÕES!P228="",NEGOCIAÇÕES!N228&lt;TODAY()),NEGOCIAÇÕES!D228,"")</f>
        <v/>
      </c>
      <c r="E228" s="9" t="str">
        <f ca="1">IF(AND(NEGOCIAÇÕES!P228="",NEGOCIAÇÕES!N228&lt;TODAY()),NEGOCIAÇÕES!N228,"")</f>
        <v/>
      </c>
      <c r="F228" s="6"/>
    </row>
    <row r="229" spans="2:6" ht="31.95" hidden="1" customHeight="1" x14ac:dyDescent="0.3">
      <c r="B229" s="6" t="str">
        <f ca="1">IF(AND(NEGOCIAÇÕES!P229="",NEGOCIAÇÕES!N229&lt;TODAY()),NEGOCIAÇÕES!C229,"")</f>
        <v/>
      </c>
      <c r="C229" s="6" t="str">
        <f ca="1">IF(AND(NEGOCIAÇÕES!P229="",NEGOCIAÇÕES!N229&lt;TODAY()),NEGOCIAÇÕES!E229,"")</f>
        <v/>
      </c>
      <c r="D229" s="6" t="str">
        <f ca="1">IF(AND(NEGOCIAÇÕES!P229="",NEGOCIAÇÕES!N229&lt;TODAY()),NEGOCIAÇÕES!D229,"")</f>
        <v/>
      </c>
      <c r="E229" s="9" t="str">
        <f ca="1">IF(AND(NEGOCIAÇÕES!P229="",NEGOCIAÇÕES!N229&lt;TODAY()),NEGOCIAÇÕES!N229,"")</f>
        <v/>
      </c>
      <c r="F229" s="6"/>
    </row>
    <row r="230" spans="2:6" ht="31.95" hidden="1" customHeight="1" x14ac:dyDescent="0.3">
      <c r="B230" s="6" t="str">
        <f ca="1">IF(AND(NEGOCIAÇÕES!P230="",NEGOCIAÇÕES!N230&lt;TODAY()),NEGOCIAÇÕES!C230,"")</f>
        <v/>
      </c>
      <c r="C230" s="6" t="str">
        <f ca="1">IF(AND(NEGOCIAÇÕES!P230="",NEGOCIAÇÕES!N230&lt;TODAY()),NEGOCIAÇÕES!E230,"")</f>
        <v/>
      </c>
      <c r="D230" s="6" t="str">
        <f ca="1">IF(AND(NEGOCIAÇÕES!P230="",NEGOCIAÇÕES!N230&lt;TODAY()),NEGOCIAÇÕES!D230,"")</f>
        <v/>
      </c>
      <c r="E230" s="9" t="str">
        <f ca="1">IF(AND(NEGOCIAÇÕES!P230="",NEGOCIAÇÕES!N230&lt;TODAY()),NEGOCIAÇÕES!N230,"")</f>
        <v/>
      </c>
      <c r="F230" s="6"/>
    </row>
    <row r="231" spans="2:6" ht="31.95" hidden="1" customHeight="1" x14ac:dyDescent="0.3">
      <c r="B231" s="6" t="str">
        <f ca="1">IF(AND(NEGOCIAÇÕES!P231="",NEGOCIAÇÕES!N231&lt;TODAY()),NEGOCIAÇÕES!C231,"")</f>
        <v/>
      </c>
      <c r="C231" s="6" t="str">
        <f ca="1">IF(AND(NEGOCIAÇÕES!P231="",NEGOCIAÇÕES!N231&lt;TODAY()),NEGOCIAÇÕES!E231,"")</f>
        <v/>
      </c>
      <c r="D231" s="6" t="str">
        <f ca="1">IF(AND(NEGOCIAÇÕES!P231="",NEGOCIAÇÕES!N231&lt;TODAY()),NEGOCIAÇÕES!D231,"")</f>
        <v/>
      </c>
      <c r="E231" s="9" t="str">
        <f ca="1">IF(AND(NEGOCIAÇÕES!P231="",NEGOCIAÇÕES!N231&lt;TODAY()),NEGOCIAÇÕES!N231,"")</f>
        <v/>
      </c>
      <c r="F231" s="6"/>
    </row>
    <row r="232" spans="2:6" ht="31.95" hidden="1" customHeight="1" x14ac:dyDescent="0.3">
      <c r="B232" s="6" t="str">
        <f ca="1">IF(AND(NEGOCIAÇÕES!P232="",NEGOCIAÇÕES!N232&lt;TODAY()),NEGOCIAÇÕES!C232,"")</f>
        <v/>
      </c>
      <c r="C232" s="6" t="str">
        <f ca="1">IF(AND(NEGOCIAÇÕES!P232="",NEGOCIAÇÕES!N232&lt;TODAY()),NEGOCIAÇÕES!E232,"")</f>
        <v/>
      </c>
      <c r="D232" s="6" t="str">
        <f ca="1">IF(AND(NEGOCIAÇÕES!P232="",NEGOCIAÇÕES!N232&lt;TODAY()),NEGOCIAÇÕES!D232,"")</f>
        <v/>
      </c>
      <c r="E232" s="9" t="str">
        <f ca="1">IF(AND(NEGOCIAÇÕES!P232="",NEGOCIAÇÕES!N232&lt;TODAY()),NEGOCIAÇÕES!N232,"")</f>
        <v/>
      </c>
      <c r="F232" s="6"/>
    </row>
    <row r="233" spans="2:6" ht="31.95" hidden="1" customHeight="1" x14ac:dyDescent="0.3">
      <c r="B233" s="6" t="str">
        <f ca="1">IF(AND(NEGOCIAÇÕES!P233="",NEGOCIAÇÕES!N233&lt;TODAY()),NEGOCIAÇÕES!C233,"")</f>
        <v/>
      </c>
      <c r="C233" s="6" t="str">
        <f ca="1">IF(AND(NEGOCIAÇÕES!P233="",NEGOCIAÇÕES!N233&lt;TODAY()),NEGOCIAÇÕES!E233,"")</f>
        <v/>
      </c>
      <c r="D233" s="6" t="str">
        <f ca="1">IF(AND(NEGOCIAÇÕES!P233="",NEGOCIAÇÕES!N233&lt;TODAY()),NEGOCIAÇÕES!D233,"")</f>
        <v/>
      </c>
      <c r="E233" s="9" t="str">
        <f ca="1">IF(AND(NEGOCIAÇÕES!P233="",NEGOCIAÇÕES!N233&lt;TODAY()),NEGOCIAÇÕES!N233,"")</f>
        <v/>
      </c>
      <c r="F233" s="6"/>
    </row>
    <row r="234" spans="2:6" ht="31.95" hidden="1" customHeight="1" x14ac:dyDescent="0.3">
      <c r="B234" s="6" t="str">
        <f ca="1">IF(AND(NEGOCIAÇÕES!P234="",NEGOCIAÇÕES!N234&lt;TODAY()),NEGOCIAÇÕES!C234,"")</f>
        <v/>
      </c>
      <c r="C234" s="6" t="str">
        <f ca="1">IF(AND(NEGOCIAÇÕES!P234="",NEGOCIAÇÕES!N234&lt;TODAY()),NEGOCIAÇÕES!E234,"")</f>
        <v/>
      </c>
      <c r="D234" s="6" t="str">
        <f ca="1">IF(AND(NEGOCIAÇÕES!P234="",NEGOCIAÇÕES!N234&lt;TODAY()),NEGOCIAÇÕES!D234,"")</f>
        <v/>
      </c>
      <c r="E234" s="9" t="str">
        <f ca="1">IF(AND(NEGOCIAÇÕES!P234="",NEGOCIAÇÕES!N234&lt;TODAY()),NEGOCIAÇÕES!N234,"")</f>
        <v/>
      </c>
      <c r="F234" s="6"/>
    </row>
    <row r="235" spans="2:6" ht="31.95" hidden="1" customHeight="1" x14ac:dyDescent="0.3">
      <c r="B235" s="6" t="str">
        <f ca="1">IF(AND(NEGOCIAÇÕES!P235="",NEGOCIAÇÕES!N235&lt;TODAY()),NEGOCIAÇÕES!C235,"")</f>
        <v/>
      </c>
      <c r="C235" s="6" t="str">
        <f ca="1">IF(AND(NEGOCIAÇÕES!P235="",NEGOCIAÇÕES!N235&lt;TODAY()),NEGOCIAÇÕES!E235,"")</f>
        <v/>
      </c>
      <c r="D235" s="6" t="str">
        <f ca="1">IF(AND(NEGOCIAÇÕES!P235="",NEGOCIAÇÕES!N235&lt;TODAY()),NEGOCIAÇÕES!D235,"")</f>
        <v/>
      </c>
      <c r="E235" s="9" t="str">
        <f ca="1">IF(AND(NEGOCIAÇÕES!P235="",NEGOCIAÇÕES!N235&lt;TODAY()),NEGOCIAÇÕES!N235,"")</f>
        <v/>
      </c>
      <c r="F235" s="6"/>
    </row>
    <row r="236" spans="2:6" ht="31.95" hidden="1" customHeight="1" x14ac:dyDescent="0.3">
      <c r="B236" s="6" t="str">
        <f ca="1">IF(AND(NEGOCIAÇÕES!P236="",NEGOCIAÇÕES!N236&lt;TODAY()),NEGOCIAÇÕES!C236,"")</f>
        <v/>
      </c>
      <c r="C236" s="6" t="str">
        <f ca="1">IF(AND(NEGOCIAÇÕES!P236="",NEGOCIAÇÕES!N236&lt;TODAY()),NEGOCIAÇÕES!E236,"")</f>
        <v/>
      </c>
      <c r="D236" s="6" t="str">
        <f ca="1">IF(AND(NEGOCIAÇÕES!P236="",NEGOCIAÇÕES!N236&lt;TODAY()),NEGOCIAÇÕES!D236,"")</f>
        <v/>
      </c>
      <c r="E236" s="9" t="str">
        <f ca="1">IF(AND(NEGOCIAÇÕES!P236="",NEGOCIAÇÕES!N236&lt;TODAY()),NEGOCIAÇÕES!N236,"")</f>
        <v/>
      </c>
      <c r="F236" s="6"/>
    </row>
    <row r="237" spans="2:6" ht="31.95" hidden="1" customHeight="1" x14ac:dyDescent="0.3">
      <c r="B237" s="6" t="str">
        <f ca="1">IF(AND(NEGOCIAÇÕES!P237="",NEGOCIAÇÕES!N237&lt;TODAY()),NEGOCIAÇÕES!C237,"")</f>
        <v/>
      </c>
      <c r="C237" s="6" t="str">
        <f ca="1">IF(AND(NEGOCIAÇÕES!P237="",NEGOCIAÇÕES!N237&lt;TODAY()),NEGOCIAÇÕES!E237,"")</f>
        <v/>
      </c>
      <c r="D237" s="6" t="str">
        <f ca="1">IF(AND(NEGOCIAÇÕES!P237="",NEGOCIAÇÕES!N237&lt;TODAY()),NEGOCIAÇÕES!D237,"")</f>
        <v/>
      </c>
      <c r="E237" s="9" t="str">
        <f ca="1">IF(AND(NEGOCIAÇÕES!P237="",NEGOCIAÇÕES!N237&lt;TODAY()),NEGOCIAÇÕES!N237,"")</f>
        <v/>
      </c>
      <c r="F237" s="6"/>
    </row>
    <row r="238" spans="2:6" ht="31.95" hidden="1" customHeight="1" x14ac:dyDescent="0.3">
      <c r="B238" s="6" t="str">
        <f ca="1">IF(AND(NEGOCIAÇÕES!P238="",NEGOCIAÇÕES!N238&lt;TODAY()),NEGOCIAÇÕES!C238,"")</f>
        <v/>
      </c>
      <c r="C238" s="6" t="str">
        <f ca="1">IF(AND(NEGOCIAÇÕES!P238="",NEGOCIAÇÕES!N238&lt;TODAY()),NEGOCIAÇÕES!E238,"")</f>
        <v/>
      </c>
      <c r="D238" s="6" t="str">
        <f ca="1">IF(AND(NEGOCIAÇÕES!P238="",NEGOCIAÇÕES!N238&lt;TODAY()),NEGOCIAÇÕES!D238,"")</f>
        <v/>
      </c>
      <c r="E238" s="9" t="str">
        <f ca="1">IF(AND(NEGOCIAÇÕES!P238="",NEGOCIAÇÕES!N238&lt;TODAY()),NEGOCIAÇÕES!N238,"")</f>
        <v/>
      </c>
      <c r="F238" s="6"/>
    </row>
    <row r="239" spans="2:6" ht="31.95" hidden="1" customHeight="1" x14ac:dyDescent="0.3">
      <c r="B239" s="6" t="str">
        <f ca="1">IF(AND(NEGOCIAÇÕES!P239="",NEGOCIAÇÕES!N239&lt;TODAY()),NEGOCIAÇÕES!C239,"")</f>
        <v/>
      </c>
      <c r="C239" s="6" t="str">
        <f ca="1">IF(AND(NEGOCIAÇÕES!P239="",NEGOCIAÇÕES!N239&lt;TODAY()),NEGOCIAÇÕES!E239,"")</f>
        <v/>
      </c>
      <c r="D239" s="6" t="str">
        <f ca="1">IF(AND(NEGOCIAÇÕES!P239="",NEGOCIAÇÕES!N239&lt;TODAY()),NEGOCIAÇÕES!D239,"")</f>
        <v/>
      </c>
      <c r="E239" s="9" t="str">
        <f ca="1">IF(AND(NEGOCIAÇÕES!P239="",NEGOCIAÇÕES!N239&lt;TODAY()),NEGOCIAÇÕES!N239,"")</f>
        <v/>
      </c>
      <c r="F239" s="6"/>
    </row>
    <row r="240" spans="2:6" ht="31.95" hidden="1" customHeight="1" x14ac:dyDescent="0.3">
      <c r="B240" s="6" t="str">
        <f ca="1">IF(AND(NEGOCIAÇÕES!P240="",NEGOCIAÇÕES!N240&lt;TODAY()),NEGOCIAÇÕES!C240,"")</f>
        <v/>
      </c>
      <c r="C240" s="6" t="str">
        <f ca="1">IF(AND(NEGOCIAÇÕES!P240="",NEGOCIAÇÕES!N240&lt;TODAY()),NEGOCIAÇÕES!E240,"")</f>
        <v/>
      </c>
      <c r="D240" s="6" t="str">
        <f ca="1">IF(AND(NEGOCIAÇÕES!P240="",NEGOCIAÇÕES!N240&lt;TODAY()),NEGOCIAÇÕES!D240,"")</f>
        <v/>
      </c>
      <c r="E240" s="9" t="str">
        <f ca="1">IF(AND(NEGOCIAÇÕES!P240="",NEGOCIAÇÕES!N240&lt;TODAY()),NEGOCIAÇÕES!N240,"")</f>
        <v/>
      </c>
      <c r="F240" s="6"/>
    </row>
    <row r="241" spans="2:6" ht="31.95" hidden="1" customHeight="1" x14ac:dyDescent="0.3">
      <c r="B241" s="6" t="str">
        <f ca="1">IF(AND(NEGOCIAÇÕES!P241="",NEGOCIAÇÕES!N241&lt;TODAY()),NEGOCIAÇÕES!C241,"")</f>
        <v/>
      </c>
      <c r="C241" s="6" t="str">
        <f ca="1">IF(AND(NEGOCIAÇÕES!P241="",NEGOCIAÇÕES!N241&lt;TODAY()),NEGOCIAÇÕES!E241,"")</f>
        <v/>
      </c>
      <c r="D241" s="6" t="str">
        <f ca="1">IF(AND(NEGOCIAÇÕES!P241="",NEGOCIAÇÕES!N241&lt;TODAY()),NEGOCIAÇÕES!D241,"")</f>
        <v/>
      </c>
      <c r="E241" s="9" t="str">
        <f ca="1">IF(AND(NEGOCIAÇÕES!P241="",NEGOCIAÇÕES!N241&lt;TODAY()),NEGOCIAÇÕES!N241,"")</f>
        <v/>
      </c>
      <c r="F241" s="6"/>
    </row>
    <row r="242" spans="2:6" ht="31.95" hidden="1" customHeight="1" x14ac:dyDescent="0.3">
      <c r="B242" s="6" t="str">
        <f ca="1">IF(AND(NEGOCIAÇÕES!P242="",NEGOCIAÇÕES!N242&lt;TODAY()),NEGOCIAÇÕES!C242,"")</f>
        <v/>
      </c>
      <c r="C242" s="6" t="str">
        <f ca="1">IF(AND(NEGOCIAÇÕES!P242="",NEGOCIAÇÕES!N242&lt;TODAY()),NEGOCIAÇÕES!E242,"")</f>
        <v/>
      </c>
      <c r="D242" s="6" t="str">
        <f ca="1">IF(AND(NEGOCIAÇÕES!P242="",NEGOCIAÇÕES!N242&lt;TODAY()),NEGOCIAÇÕES!D242,"")</f>
        <v/>
      </c>
      <c r="E242" s="9" t="str">
        <f ca="1">IF(AND(NEGOCIAÇÕES!P242="",NEGOCIAÇÕES!N242&lt;TODAY()),NEGOCIAÇÕES!N242,"")</f>
        <v/>
      </c>
      <c r="F242" s="6"/>
    </row>
    <row r="243" spans="2:6" ht="31.95" hidden="1" customHeight="1" x14ac:dyDescent="0.3">
      <c r="B243" s="6" t="str">
        <f ca="1">IF(AND(NEGOCIAÇÕES!P243="",NEGOCIAÇÕES!N243&lt;TODAY()),NEGOCIAÇÕES!C243,"")</f>
        <v/>
      </c>
      <c r="C243" s="6" t="str">
        <f ca="1">IF(AND(NEGOCIAÇÕES!P243="",NEGOCIAÇÕES!N243&lt;TODAY()),NEGOCIAÇÕES!E243,"")</f>
        <v/>
      </c>
      <c r="D243" s="6" t="str">
        <f ca="1">IF(AND(NEGOCIAÇÕES!P243="",NEGOCIAÇÕES!N243&lt;TODAY()),NEGOCIAÇÕES!D243,"")</f>
        <v/>
      </c>
      <c r="E243" s="9" t="str">
        <f ca="1">IF(AND(NEGOCIAÇÕES!P243="",NEGOCIAÇÕES!N243&lt;TODAY()),NEGOCIAÇÕES!N243,"")</f>
        <v/>
      </c>
      <c r="F243" s="6"/>
    </row>
    <row r="244" spans="2:6" ht="31.95" hidden="1" customHeight="1" x14ac:dyDescent="0.3">
      <c r="B244" s="6" t="str">
        <f ca="1">IF(AND(NEGOCIAÇÕES!P244="",NEGOCIAÇÕES!N244&lt;TODAY()),NEGOCIAÇÕES!C244,"")</f>
        <v/>
      </c>
      <c r="C244" s="6" t="str">
        <f ca="1">IF(AND(NEGOCIAÇÕES!P244="",NEGOCIAÇÕES!N244&lt;TODAY()),NEGOCIAÇÕES!E244,"")</f>
        <v/>
      </c>
      <c r="D244" s="6" t="str">
        <f ca="1">IF(AND(NEGOCIAÇÕES!P244="",NEGOCIAÇÕES!N244&lt;TODAY()),NEGOCIAÇÕES!D244,"")</f>
        <v/>
      </c>
      <c r="E244" s="9" t="str">
        <f ca="1">IF(AND(NEGOCIAÇÕES!P244="",NEGOCIAÇÕES!N244&lt;TODAY()),NEGOCIAÇÕES!N244,"")</f>
        <v/>
      </c>
      <c r="F244" s="6"/>
    </row>
    <row r="245" spans="2:6" ht="31.95" hidden="1" customHeight="1" x14ac:dyDescent="0.3">
      <c r="B245" s="6" t="str">
        <f ca="1">IF(AND(NEGOCIAÇÕES!P245="",NEGOCIAÇÕES!N245&lt;TODAY()),NEGOCIAÇÕES!C245,"")</f>
        <v/>
      </c>
      <c r="C245" s="6" t="str">
        <f ca="1">IF(AND(NEGOCIAÇÕES!P245="",NEGOCIAÇÕES!N245&lt;TODAY()),NEGOCIAÇÕES!E245,"")</f>
        <v/>
      </c>
      <c r="D245" s="6" t="str">
        <f ca="1">IF(AND(NEGOCIAÇÕES!P245="",NEGOCIAÇÕES!N245&lt;TODAY()),NEGOCIAÇÕES!D245,"")</f>
        <v/>
      </c>
      <c r="E245" s="9" t="str">
        <f ca="1">IF(AND(NEGOCIAÇÕES!P245="",NEGOCIAÇÕES!N245&lt;TODAY()),NEGOCIAÇÕES!N245,"")</f>
        <v/>
      </c>
      <c r="F245" s="6"/>
    </row>
    <row r="246" spans="2:6" ht="31.95" hidden="1" customHeight="1" x14ac:dyDescent="0.3">
      <c r="B246" s="6" t="str">
        <f ca="1">IF(AND(NEGOCIAÇÕES!P246="",NEGOCIAÇÕES!N246&lt;TODAY()),NEGOCIAÇÕES!C246,"")</f>
        <v/>
      </c>
      <c r="C246" s="6" t="str">
        <f ca="1">IF(AND(NEGOCIAÇÕES!P246="",NEGOCIAÇÕES!N246&lt;TODAY()),NEGOCIAÇÕES!E246,"")</f>
        <v/>
      </c>
      <c r="D246" s="6" t="str">
        <f ca="1">IF(AND(NEGOCIAÇÕES!P246="",NEGOCIAÇÕES!N246&lt;TODAY()),NEGOCIAÇÕES!D246,"")</f>
        <v/>
      </c>
      <c r="E246" s="9" t="str">
        <f ca="1">IF(AND(NEGOCIAÇÕES!P246="",NEGOCIAÇÕES!N246&lt;TODAY()),NEGOCIAÇÕES!N246,"")</f>
        <v/>
      </c>
      <c r="F246" s="6"/>
    </row>
    <row r="247" spans="2:6" ht="31.95" hidden="1" customHeight="1" x14ac:dyDescent="0.3">
      <c r="B247" s="6" t="str">
        <f ca="1">IF(AND(NEGOCIAÇÕES!P247="",NEGOCIAÇÕES!N247&lt;TODAY()),NEGOCIAÇÕES!C247,"")</f>
        <v/>
      </c>
      <c r="C247" s="6" t="str">
        <f ca="1">IF(AND(NEGOCIAÇÕES!P247="",NEGOCIAÇÕES!N247&lt;TODAY()),NEGOCIAÇÕES!E247,"")</f>
        <v/>
      </c>
      <c r="D247" s="6" t="str">
        <f ca="1">IF(AND(NEGOCIAÇÕES!P247="",NEGOCIAÇÕES!N247&lt;TODAY()),NEGOCIAÇÕES!D247,"")</f>
        <v/>
      </c>
      <c r="E247" s="9" t="str">
        <f ca="1">IF(AND(NEGOCIAÇÕES!P247="",NEGOCIAÇÕES!N247&lt;TODAY()),NEGOCIAÇÕES!N247,"")</f>
        <v/>
      </c>
      <c r="F247" s="6"/>
    </row>
    <row r="248" spans="2:6" ht="31.95" hidden="1" customHeight="1" x14ac:dyDescent="0.3">
      <c r="B248" s="6" t="str">
        <f ca="1">IF(AND(NEGOCIAÇÕES!P248="",NEGOCIAÇÕES!N248&lt;TODAY()),NEGOCIAÇÕES!C248,"")</f>
        <v/>
      </c>
      <c r="C248" s="6" t="str">
        <f ca="1">IF(AND(NEGOCIAÇÕES!P248="",NEGOCIAÇÕES!N248&lt;TODAY()),NEGOCIAÇÕES!E248,"")</f>
        <v/>
      </c>
      <c r="D248" s="6" t="str">
        <f ca="1">IF(AND(NEGOCIAÇÕES!P248="",NEGOCIAÇÕES!N248&lt;TODAY()),NEGOCIAÇÕES!D248,"")</f>
        <v/>
      </c>
      <c r="E248" s="9" t="str">
        <f ca="1">IF(AND(NEGOCIAÇÕES!P248="",NEGOCIAÇÕES!N248&lt;TODAY()),NEGOCIAÇÕES!N248,"")</f>
        <v/>
      </c>
      <c r="F248" s="6"/>
    </row>
    <row r="249" spans="2:6" ht="31.95" hidden="1" customHeight="1" x14ac:dyDescent="0.3">
      <c r="B249" s="6" t="str">
        <f ca="1">IF(AND(NEGOCIAÇÕES!P249="",NEGOCIAÇÕES!N249&lt;TODAY()),NEGOCIAÇÕES!C249,"")</f>
        <v/>
      </c>
      <c r="C249" s="6" t="str">
        <f ca="1">IF(AND(NEGOCIAÇÕES!P249="",NEGOCIAÇÕES!N249&lt;TODAY()),NEGOCIAÇÕES!E249,"")</f>
        <v/>
      </c>
      <c r="D249" s="6" t="str">
        <f ca="1">IF(AND(NEGOCIAÇÕES!P249="",NEGOCIAÇÕES!N249&lt;TODAY()),NEGOCIAÇÕES!D249,"")</f>
        <v/>
      </c>
      <c r="E249" s="9" t="str">
        <f ca="1">IF(AND(NEGOCIAÇÕES!P249="",NEGOCIAÇÕES!N249&lt;TODAY()),NEGOCIAÇÕES!N249,"")</f>
        <v/>
      </c>
      <c r="F249" s="6"/>
    </row>
    <row r="250" spans="2:6" ht="31.95" hidden="1" customHeight="1" x14ac:dyDescent="0.3">
      <c r="B250" s="6" t="str">
        <f ca="1">IF(AND(NEGOCIAÇÕES!P250="",NEGOCIAÇÕES!N250&lt;TODAY()),NEGOCIAÇÕES!C250,"")</f>
        <v/>
      </c>
      <c r="C250" s="6" t="str">
        <f ca="1">IF(AND(NEGOCIAÇÕES!P250="",NEGOCIAÇÕES!N250&lt;TODAY()),NEGOCIAÇÕES!E250,"")</f>
        <v/>
      </c>
      <c r="D250" s="6" t="str">
        <f ca="1">IF(AND(NEGOCIAÇÕES!P250="",NEGOCIAÇÕES!N250&lt;TODAY()),NEGOCIAÇÕES!D250,"")</f>
        <v/>
      </c>
      <c r="E250" s="9" t="str">
        <f ca="1">IF(AND(NEGOCIAÇÕES!P250="",NEGOCIAÇÕES!N250&lt;TODAY()),NEGOCIAÇÕES!N250,"")</f>
        <v/>
      </c>
      <c r="F250" s="6"/>
    </row>
    <row r="251" spans="2:6" ht="31.95" hidden="1" customHeight="1" x14ac:dyDescent="0.3">
      <c r="B251" s="6" t="str">
        <f ca="1">IF(AND(NEGOCIAÇÕES!P251="",NEGOCIAÇÕES!N251&lt;TODAY()),NEGOCIAÇÕES!C251,"")</f>
        <v/>
      </c>
      <c r="C251" s="6" t="str">
        <f ca="1">IF(AND(NEGOCIAÇÕES!P251="",NEGOCIAÇÕES!N251&lt;TODAY()),NEGOCIAÇÕES!E251,"")</f>
        <v/>
      </c>
      <c r="D251" s="6" t="str">
        <f ca="1">IF(AND(NEGOCIAÇÕES!P251="",NEGOCIAÇÕES!N251&lt;TODAY()),NEGOCIAÇÕES!D251,"")</f>
        <v/>
      </c>
      <c r="E251" s="9" t="str">
        <f ca="1">IF(AND(NEGOCIAÇÕES!P251="",NEGOCIAÇÕES!N251&lt;TODAY()),NEGOCIAÇÕES!N251,"")</f>
        <v/>
      </c>
      <c r="F251" s="6"/>
    </row>
    <row r="252" spans="2:6" ht="31.95" hidden="1" customHeight="1" x14ac:dyDescent="0.3">
      <c r="B252" s="6" t="str">
        <f ca="1">IF(AND(NEGOCIAÇÕES!P252="",NEGOCIAÇÕES!N252&lt;TODAY()),NEGOCIAÇÕES!C252,"")</f>
        <v/>
      </c>
      <c r="C252" s="6" t="str">
        <f ca="1">IF(AND(NEGOCIAÇÕES!P252="",NEGOCIAÇÕES!N252&lt;TODAY()),NEGOCIAÇÕES!E252,"")</f>
        <v/>
      </c>
      <c r="D252" s="6" t="str">
        <f ca="1">IF(AND(NEGOCIAÇÕES!P252="",NEGOCIAÇÕES!N252&lt;TODAY()),NEGOCIAÇÕES!D252,"")</f>
        <v/>
      </c>
      <c r="E252" s="9" t="str">
        <f ca="1">IF(AND(NEGOCIAÇÕES!P252="",NEGOCIAÇÕES!N252&lt;TODAY()),NEGOCIAÇÕES!N252,"")</f>
        <v/>
      </c>
      <c r="F252" s="6"/>
    </row>
    <row r="253" spans="2:6" ht="31.95" hidden="1" customHeight="1" x14ac:dyDescent="0.3">
      <c r="B253" s="6" t="str">
        <f ca="1">IF(AND(NEGOCIAÇÕES!P253="",NEGOCIAÇÕES!N253&lt;TODAY()),NEGOCIAÇÕES!C253,"")</f>
        <v/>
      </c>
      <c r="C253" s="6" t="str">
        <f ca="1">IF(AND(NEGOCIAÇÕES!P253="",NEGOCIAÇÕES!N253&lt;TODAY()),NEGOCIAÇÕES!E253,"")</f>
        <v/>
      </c>
      <c r="D253" s="6" t="str">
        <f ca="1">IF(AND(NEGOCIAÇÕES!P253="",NEGOCIAÇÕES!N253&lt;TODAY()),NEGOCIAÇÕES!D253,"")</f>
        <v/>
      </c>
      <c r="E253" s="9" t="str">
        <f ca="1">IF(AND(NEGOCIAÇÕES!P253="",NEGOCIAÇÕES!N253&lt;TODAY()),NEGOCIAÇÕES!N253,"")</f>
        <v/>
      </c>
      <c r="F253" s="6"/>
    </row>
    <row r="254" spans="2:6" ht="31.95" hidden="1" customHeight="1" x14ac:dyDescent="0.3">
      <c r="B254" s="6" t="str">
        <f ca="1">IF(AND(NEGOCIAÇÕES!P254="",NEGOCIAÇÕES!N254&lt;TODAY()),NEGOCIAÇÕES!C254,"")</f>
        <v/>
      </c>
      <c r="C254" s="6" t="str">
        <f ca="1">IF(AND(NEGOCIAÇÕES!P254="",NEGOCIAÇÕES!N254&lt;TODAY()),NEGOCIAÇÕES!E254,"")</f>
        <v/>
      </c>
      <c r="D254" s="6" t="str">
        <f ca="1">IF(AND(NEGOCIAÇÕES!P254="",NEGOCIAÇÕES!N254&lt;TODAY()),NEGOCIAÇÕES!D254,"")</f>
        <v/>
      </c>
      <c r="E254" s="9" t="str">
        <f ca="1">IF(AND(NEGOCIAÇÕES!P254="",NEGOCIAÇÕES!N254&lt;TODAY()),NEGOCIAÇÕES!N254,"")</f>
        <v/>
      </c>
      <c r="F254" s="6"/>
    </row>
    <row r="255" spans="2:6" ht="31.95" hidden="1" customHeight="1" x14ac:dyDescent="0.3">
      <c r="B255" s="6" t="str">
        <f ca="1">IF(AND(NEGOCIAÇÕES!P255="",NEGOCIAÇÕES!N255&lt;TODAY()),NEGOCIAÇÕES!C255,"")</f>
        <v/>
      </c>
      <c r="C255" s="6" t="str">
        <f ca="1">IF(AND(NEGOCIAÇÕES!P255="",NEGOCIAÇÕES!N255&lt;TODAY()),NEGOCIAÇÕES!E255,"")</f>
        <v/>
      </c>
      <c r="D255" s="6" t="str">
        <f ca="1">IF(AND(NEGOCIAÇÕES!P255="",NEGOCIAÇÕES!N255&lt;TODAY()),NEGOCIAÇÕES!D255,"")</f>
        <v/>
      </c>
      <c r="E255" s="9" t="str">
        <f ca="1">IF(AND(NEGOCIAÇÕES!P255="",NEGOCIAÇÕES!N255&lt;TODAY()),NEGOCIAÇÕES!N255,"")</f>
        <v/>
      </c>
      <c r="F255" s="6"/>
    </row>
    <row r="256" spans="2:6" ht="31.95" hidden="1" customHeight="1" x14ac:dyDescent="0.3">
      <c r="B256" s="6" t="str">
        <f ca="1">IF(AND(NEGOCIAÇÕES!P256="",NEGOCIAÇÕES!N256&lt;TODAY()),NEGOCIAÇÕES!C256,"")</f>
        <v/>
      </c>
      <c r="C256" s="6" t="str">
        <f ca="1">IF(AND(NEGOCIAÇÕES!P256="",NEGOCIAÇÕES!N256&lt;TODAY()),NEGOCIAÇÕES!E256,"")</f>
        <v/>
      </c>
      <c r="D256" s="6" t="str">
        <f ca="1">IF(AND(NEGOCIAÇÕES!P256="",NEGOCIAÇÕES!N256&lt;TODAY()),NEGOCIAÇÕES!D256,"")</f>
        <v/>
      </c>
      <c r="E256" s="9" t="str">
        <f ca="1">IF(AND(NEGOCIAÇÕES!P256="",NEGOCIAÇÕES!N256&lt;TODAY()),NEGOCIAÇÕES!N256,"")</f>
        <v/>
      </c>
      <c r="F256" s="6"/>
    </row>
    <row r="257" spans="2:6" ht="31.95" hidden="1" customHeight="1" x14ac:dyDescent="0.3">
      <c r="B257" s="6" t="str">
        <f ca="1">IF(AND(NEGOCIAÇÕES!P257="",NEGOCIAÇÕES!N257&lt;TODAY()),NEGOCIAÇÕES!C257,"")</f>
        <v/>
      </c>
      <c r="C257" s="6" t="str">
        <f ca="1">IF(AND(NEGOCIAÇÕES!P257="",NEGOCIAÇÕES!N257&lt;TODAY()),NEGOCIAÇÕES!E257,"")</f>
        <v/>
      </c>
      <c r="D257" s="6" t="str">
        <f ca="1">IF(AND(NEGOCIAÇÕES!P257="",NEGOCIAÇÕES!N257&lt;TODAY()),NEGOCIAÇÕES!D257,"")</f>
        <v/>
      </c>
      <c r="E257" s="9" t="str">
        <f ca="1">IF(AND(NEGOCIAÇÕES!P257="",NEGOCIAÇÕES!N257&lt;TODAY()),NEGOCIAÇÕES!N257,"")</f>
        <v/>
      </c>
      <c r="F257" s="6"/>
    </row>
    <row r="258" spans="2:6" ht="31.95" hidden="1" customHeight="1" x14ac:dyDescent="0.3">
      <c r="B258" s="6" t="str">
        <f ca="1">IF(AND(NEGOCIAÇÕES!P258="",NEGOCIAÇÕES!N258&lt;TODAY()),NEGOCIAÇÕES!C258,"")</f>
        <v/>
      </c>
      <c r="C258" s="6" t="str">
        <f ca="1">IF(AND(NEGOCIAÇÕES!P258="",NEGOCIAÇÕES!N258&lt;TODAY()),NEGOCIAÇÕES!E258,"")</f>
        <v/>
      </c>
      <c r="D258" s="6" t="str">
        <f ca="1">IF(AND(NEGOCIAÇÕES!P258="",NEGOCIAÇÕES!N258&lt;TODAY()),NEGOCIAÇÕES!D258,"")</f>
        <v/>
      </c>
      <c r="E258" s="9" t="str">
        <f ca="1">IF(AND(NEGOCIAÇÕES!P258="",NEGOCIAÇÕES!N258&lt;TODAY()),NEGOCIAÇÕES!N258,"")</f>
        <v/>
      </c>
      <c r="F258" s="6"/>
    </row>
    <row r="259" spans="2:6" ht="31.95" hidden="1" customHeight="1" x14ac:dyDescent="0.3">
      <c r="B259" s="6" t="str">
        <f ca="1">IF(AND(NEGOCIAÇÕES!P259="",NEGOCIAÇÕES!N259&lt;TODAY()),NEGOCIAÇÕES!C259,"")</f>
        <v/>
      </c>
      <c r="C259" s="6" t="str">
        <f ca="1">IF(AND(NEGOCIAÇÕES!P259="",NEGOCIAÇÕES!N259&lt;TODAY()),NEGOCIAÇÕES!E259,"")</f>
        <v/>
      </c>
      <c r="D259" s="6" t="str">
        <f ca="1">IF(AND(NEGOCIAÇÕES!P259="",NEGOCIAÇÕES!N259&lt;TODAY()),NEGOCIAÇÕES!D259,"")</f>
        <v/>
      </c>
      <c r="E259" s="9" t="str">
        <f ca="1">IF(AND(NEGOCIAÇÕES!P259="",NEGOCIAÇÕES!N259&lt;TODAY()),NEGOCIAÇÕES!N259,"")</f>
        <v/>
      </c>
      <c r="F259" s="6"/>
    </row>
    <row r="260" spans="2:6" ht="31.95" hidden="1" customHeight="1" x14ac:dyDescent="0.3">
      <c r="B260" s="6" t="str">
        <f ca="1">IF(AND(NEGOCIAÇÕES!P260="",NEGOCIAÇÕES!N260&lt;TODAY()),NEGOCIAÇÕES!C260,"")</f>
        <v/>
      </c>
      <c r="C260" s="6" t="str">
        <f ca="1">IF(AND(NEGOCIAÇÕES!P260="",NEGOCIAÇÕES!N260&lt;TODAY()),NEGOCIAÇÕES!E260,"")</f>
        <v/>
      </c>
      <c r="D260" s="6" t="str">
        <f ca="1">IF(AND(NEGOCIAÇÕES!P260="",NEGOCIAÇÕES!N260&lt;TODAY()),NEGOCIAÇÕES!D260,"")</f>
        <v/>
      </c>
      <c r="E260" s="9" t="str">
        <f ca="1">IF(AND(NEGOCIAÇÕES!P260="",NEGOCIAÇÕES!N260&lt;TODAY()),NEGOCIAÇÕES!N260,"")</f>
        <v/>
      </c>
      <c r="F260" s="6"/>
    </row>
    <row r="261" spans="2:6" ht="31.95" hidden="1" customHeight="1" x14ac:dyDescent="0.3">
      <c r="B261" s="6" t="str">
        <f ca="1">IF(AND(NEGOCIAÇÕES!P261="",NEGOCIAÇÕES!N261&lt;TODAY()),NEGOCIAÇÕES!C261,"")</f>
        <v/>
      </c>
      <c r="C261" s="6" t="str">
        <f ca="1">IF(AND(NEGOCIAÇÕES!P261="",NEGOCIAÇÕES!N261&lt;TODAY()),NEGOCIAÇÕES!E261,"")</f>
        <v/>
      </c>
      <c r="D261" s="6" t="str">
        <f ca="1">IF(AND(NEGOCIAÇÕES!P261="",NEGOCIAÇÕES!N261&lt;TODAY()),NEGOCIAÇÕES!D261,"")</f>
        <v/>
      </c>
      <c r="E261" s="9" t="str">
        <f ca="1">IF(AND(NEGOCIAÇÕES!P261="",NEGOCIAÇÕES!N261&lt;TODAY()),NEGOCIAÇÕES!N261,"")</f>
        <v/>
      </c>
      <c r="F261" s="6"/>
    </row>
    <row r="262" spans="2:6" ht="31.95" hidden="1" customHeight="1" x14ac:dyDescent="0.3">
      <c r="B262" s="6" t="str">
        <f ca="1">IF(AND(NEGOCIAÇÕES!P262="",NEGOCIAÇÕES!N262&lt;TODAY()),NEGOCIAÇÕES!C262,"")</f>
        <v/>
      </c>
      <c r="C262" s="6" t="str">
        <f ca="1">IF(AND(NEGOCIAÇÕES!P262="",NEGOCIAÇÕES!N262&lt;TODAY()),NEGOCIAÇÕES!E262,"")</f>
        <v/>
      </c>
      <c r="D262" s="6" t="str">
        <f ca="1">IF(AND(NEGOCIAÇÕES!P262="",NEGOCIAÇÕES!N262&lt;TODAY()),NEGOCIAÇÕES!D262,"")</f>
        <v/>
      </c>
      <c r="E262" s="9" t="str">
        <f ca="1">IF(AND(NEGOCIAÇÕES!P262="",NEGOCIAÇÕES!N262&lt;TODAY()),NEGOCIAÇÕES!N262,"")</f>
        <v/>
      </c>
      <c r="F262" s="6"/>
    </row>
    <row r="263" spans="2:6" ht="31.95" hidden="1" customHeight="1" x14ac:dyDescent="0.3">
      <c r="B263" s="6" t="str">
        <f ca="1">IF(AND(NEGOCIAÇÕES!P263="",NEGOCIAÇÕES!N263&lt;TODAY()),NEGOCIAÇÕES!C263,"")</f>
        <v/>
      </c>
      <c r="C263" s="6" t="str">
        <f ca="1">IF(AND(NEGOCIAÇÕES!P263="",NEGOCIAÇÕES!N263&lt;TODAY()),NEGOCIAÇÕES!E263,"")</f>
        <v/>
      </c>
      <c r="D263" s="6" t="str">
        <f ca="1">IF(AND(NEGOCIAÇÕES!P263="",NEGOCIAÇÕES!N263&lt;TODAY()),NEGOCIAÇÕES!D263,"")</f>
        <v/>
      </c>
      <c r="E263" s="9" t="str">
        <f ca="1">IF(AND(NEGOCIAÇÕES!P263="",NEGOCIAÇÕES!N263&lt;TODAY()),NEGOCIAÇÕES!N263,"")</f>
        <v/>
      </c>
      <c r="F263" s="6"/>
    </row>
    <row r="264" spans="2:6" ht="31.95" hidden="1" customHeight="1" x14ac:dyDescent="0.3">
      <c r="B264" s="6" t="str">
        <f ca="1">IF(AND(NEGOCIAÇÕES!P264="",NEGOCIAÇÕES!N264&lt;TODAY()),NEGOCIAÇÕES!C264,"")</f>
        <v/>
      </c>
      <c r="C264" s="6" t="str">
        <f ca="1">IF(AND(NEGOCIAÇÕES!P264="",NEGOCIAÇÕES!N264&lt;TODAY()),NEGOCIAÇÕES!E264,"")</f>
        <v/>
      </c>
      <c r="D264" s="6" t="str">
        <f ca="1">IF(AND(NEGOCIAÇÕES!P264="",NEGOCIAÇÕES!N264&lt;TODAY()),NEGOCIAÇÕES!D264,"")</f>
        <v/>
      </c>
      <c r="E264" s="9" t="str">
        <f ca="1">IF(AND(NEGOCIAÇÕES!P264="",NEGOCIAÇÕES!N264&lt;TODAY()),NEGOCIAÇÕES!N264,"")</f>
        <v/>
      </c>
      <c r="F264" s="6"/>
    </row>
    <row r="265" spans="2:6" ht="31.95" hidden="1" customHeight="1" x14ac:dyDescent="0.3">
      <c r="B265" s="6" t="str">
        <f ca="1">IF(AND(NEGOCIAÇÕES!P265="",NEGOCIAÇÕES!N265&lt;TODAY()),NEGOCIAÇÕES!C265,"")</f>
        <v/>
      </c>
      <c r="C265" s="6" t="str">
        <f ca="1">IF(AND(NEGOCIAÇÕES!P265="",NEGOCIAÇÕES!N265&lt;TODAY()),NEGOCIAÇÕES!E265,"")</f>
        <v/>
      </c>
      <c r="D265" s="6" t="str">
        <f ca="1">IF(AND(NEGOCIAÇÕES!P265="",NEGOCIAÇÕES!N265&lt;TODAY()),NEGOCIAÇÕES!D265,"")</f>
        <v/>
      </c>
      <c r="E265" s="9" t="str">
        <f ca="1">IF(AND(NEGOCIAÇÕES!P265="",NEGOCIAÇÕES!N265&lt;TODAY()),NEGOCIAÇÕES!N265,"")</f>
        <v/>
      </c>
      <c r="F265" s="6"/>
    </row>
    <row r="266" spans="2:6" ht="31.95" hidden="1" customHeight="1" x14ac:dyDescent="0.3">
      <c r="B266" s="6" t="str">
        <f ca="1">IF(AND(NEGOCIAÇÕES!P266="",NEGOCIAÇÕES!N266&lt;TODAY()),NEGOCIAÇÕES!C266,"")</f>
        <v/>
      </c>
      <c r="C266" s="6" t="str">
        <f ca="1">IF(AND(NEGOCIAÇÕES!P266="",NEGOCIAÇÕES!N266&lt;TODAY()),NEGOCIAÇÕES!E266,"")</f>
        <v/>
      </c>
      <c r="D266" s="6" t="str">
        <f ca="1">IF(AND(NEGOCIAÇÕES!P266="",NEGOCIAÇÕES!N266&lt;TODAY()),NEGOCIAÇÕES!D266,"")</f>
        <v/>
      </c>
      <c r="E266" s="9" t="str">
        <f ca="1">IF(AND(NEGOCIAÇÕES!P266="",NEGOCIAÇÕES!N266&lt;TODAY()),NEGOCIAÇÕES!N266,"")</f>
        <v/>
      </c>
      <c r="F266" s="6"/>
    </row>
    <row r="267" spans="2:6" ht="31.95" hidden="1" customHeight="1" x14ac:dyDescent="0.3">
      <c r="B267" s="6" t="str">
        <f ca="1">IF(AND(NEGOCIAÇÕES!P267="",NEGOCIAÇÕES!N267&lt;TODAY()),NEGOCIAÇÕES!C267,"")</f>
        <v/>
      </c>
      <c r="C267" s="6" t="str">
        <f ca="1">IF(AND(NEGOCIAÇÕES!P267="",NEGOCIAÇÕES!N267&lt;TODAY()),NEGOCIAÇÕES!E267,"")</f>
        <v/>
      </c>
      <c r="D267" s="6" t="str">
        <f ca="1">IF(AND(NEGOCIAÇÕES!P267="",NEGOCIAÇÕES!N267&lt;TODAY()),NEGOCIAÇÕES!D267,"")</f>
        <v/>
      </c>
      <c r="E267" s="9" t="str">
        <f ca="1">IF(AND(NEGOCIAÇÕES!P267="",NEGOCIAÇÕES!N267&lt;TODAY()),NEGOCIAÇÕES!N267,"")</f>
        <v/>
      </c>
      <c r="F267" s="6"/>
    </row>
    <row r="268" spans="2:6" ht="31.95" hidden="1" customHeight="1" x14ac:dyDescent="0.3">
      <c r="B268" s="6" t="str">
        <f ca="1">IF(AND(NEGOCIAÇÕES!P268="",NEGOCIAÇÕES!N268&lt;TODAY()),NEGOCIAÇÕES!C268,"")</f>
        <v/>
      </c>
      <c r="C268" s="6" t="str">
        <f ca="1">IF(AND(NEGOCIAÇÕES!P268="",NEGOCIAÇÕES!N268&lt;TODAY()),NEGOCIAÇÕES!E268,"")</f>
        <v/>
      </c>
      <c r="D268" s="6" t="str">
        <f ca="1">IF(AND(NEGOCIAÇÕES!P268="",NEGOCIAÇÕES!N268&lt;TODAY()),NEGOCIAÇÕES!D268,"")</f>
        <v/>
      </c>
      <c r="E268" s="9" t="str">
        <f ca="1">IF(AND(NEGOCIAÇÕES!P268="",NEGOCIAÇÕES!N268&lt;TODAY()),NEGOCIAÇÕES!N268,"")</f>
        <v/>
      </c>
      <c r="F268" s="6"/>
    </row>
    <row r="269" spans="2:6" ht="31.95" hidden="1" customHeight="1" x14ac:dyDescent="0.3">
      <c r="B269" s="6" t="str">
        <f ca="1">IF(AND(NEGOCIAÇÕES!P269="",NEGOCIAÇÕES!N269&lt;TODAY()),NEGOCIAÇÕES!C269,"")</f>
        <v/>
      </c>
      <c r="C269" s="6" t="str">
        <f ca="1">IF(AND(NEGOCIAÇÕES!P269="",NEGOCIAÇÕES!N269&lt;TODAY()),NEGOCIAÇÕES!E269,"")</f>
        <v/>
      </c>
      <c r="D269" s="6" t="str">
        <f ca="1">IF(AND(NEGOCIAÇÕES!P269="",NEGOCIAÇÕES!N269&lt;TODAY()),NEGOCIAÇÕES!D269,"")</f>
        <v/>
      </c>
      <c r="E269" s="9" t="str">
        <f ca="1">IF(AND(NEGOCIAÇÕES!P269="",NEGOCIAÇÕES!N269&lt;TODAY()),NEGOCIAÇÕES!N269,"")</f>
        <v/>
      </c>
      <c r="F269" s="6"/>
    </row>
    <row r="270" spans="2:6" ht="31.95" hidden="1" customHeight="1" x14ac:dyDescent="0.3">
      <c r="B270" s="6" t="str">
        <f ca="1">IF(AND(NEGOCIAÇÕES!P270="",NEGOCIAÇÕES!N270&lt;TODAY()),NEGOCIAÇÕES!C270,"")</f>
        <v/>
      </c>
      <c r="C270" s="6" t="str">
        <f ca="1">IF(AND(NEGOCIAÇÕES!P270="",NEGOCIAÇÕES!N270&lt;TODAY()),NEGOCIAÇÕES!E270,"")</f>
        <v/>
      </c>
      <c r="D270" s="6" t="str">
        <f ca="1">IF(AND(NEGOCIAÇÕES!P270="",NEGOCIAÇÕES!N270&lt;TODAY()),NEGOCIAÇÕES!D270,"")</f>
        <v/>
      </c>
      <c r="E270" s="9" t="str">
        <f ca="1">IF(AND(NEGOCIAÇÕES!P270="",NEGOCIAÇÕES!N270&lt;TODAY()),NEGOCIAÇÕES!N270,"")</f>
        <v/>
      </c>
      <c r="F270" s="6"/>
    </row>
    <row r="271" spans="2:6" ht="31.95" hidden="1" customHeight="1" x14ac:dyDescent="0.3">
      <c r="B271" s="6" t="str">
        <f ca="1">IF(AND(NEGOCIAÇÕES!P271="",NEGOCIAÇÕES!N271&lt;TODAY()),NEGOCIAÇÕES!C271,"")</f>
        <v/>
      </c>
      <c r="C271" s="6" t="str">
        <f ca="1">IF(AND(NEGOCIAÇÕES!P271="",NEGOCIAÇÕES!N271&lt;TODAY()),NEGOCIAÇÕES!E271,"")</f>
        <v/>
      </c>
      <c r="D271" s="6" t="str">
        <f ca="1">IF(AND(NEGOCIAÇÕES!P271="",NEGOCIAÇÕES!N271&lt;TODAY()),NEGOCIAÇÕES!D271,"")</f>
        <v/>
      </c>
      <c r="E271" s="9" t="str">
        <f ca="1">IF(AND(NEGOCIAÇÕES!P271="",NEGOCIAÇÕES!N271&lt;TODAY()),NEGOCIAÇÕES!N271,"")</f>
        <v/>
      </c>
      <c r="F271" s="6"/>
    </row>
    <row r="272" spans="2:6" ht="31.95" hidden="1" customHeight="1" x14ac:dyDescent="0.3">
      <c r="B272" s="6" t="str">
        <f ca="1">IF(AND(NEGOCIAÇÕES!P272="",NEGOCIAÇÕES!N272&lt;TODAY()),NEGOCIAÇÕES!C272,"")</f>
        <v/>
      </c>
      <c r="C272" s="6" t="str">
        <f ca="1">IF(AND(NEGOCIAÇÕES!P272="",NEGOCIAÇÕES!N272&lt;TODAY()),NEGOCIAÇÕES!E272,"")</f>
        <v/>
      </c>
      <c r="D272" s="6" t="str">
        <f ca="1">IF(AND(NEGOCIAÇÕES!P272="",NEGOCIAÇÕES!N272&lt;TODAY()),NEGOCIAÇÕES!D272,"")</f>
        <v/>
      </c>
      <c r="E272" s="9" t="str">
        <f ca="1">IF(AND(NEGOCIAÇÕES!P272="",NEGOCIAÇÕES!N272&lt;TODAY()),NEGOCIAÇÕES!N272,"")</f>
        <v/>
      </c>
      <c r="F272" s="6"/>
    </row>
    <row r="273" spans="2:6" ht="31.95" hidden="1" customHeight="1" x14ac:dyDescent="0.3">
      <c r="B273" s="6" t="str">
        <f ca="1">IF(AND(NEGOCIAÇÕES!P273="",NEGOCIAÇÕES!N273&lt;TODAY()),NEGOCIAÇÕES!C273,"")</f>
        <v/>
      </c>
      <c r="C273" s="6" t="str">
        <f ca="1">IF(AND(NEGOCIAÇÕES!P273="",NEGOCIAÇÕES!N273&lt;TODAY()),NEGOCIAÇÕES!E273,"")</f>
        <v/>
      </c>
      <c r="D273" s="6" t="str">
        <f ca="1">IF(AND(NEGOCIAÇÕES!P273="",NEGOCIAÇÕES!N273&lt;TODAY()),NEGOCIAÇÕES!D273,"")</f>
        <v/>
      </c>
      <c r="E273" s="9" t="str">
        <f ca="1">IF(AND(NEGOCIAÇÕES!P273="",NEGOCIAÇÕES!N273&lt;TODAY()),NEGOCIAÇÕES!N273,"")</f>
        <v/>
      </c>
      <c r="F273" s="6"/>
    </row>
    <row r="274" spans="2:6" ht="31.95" hidden="1" customHeight="1" x14ac:dyDescent="0.3">
      <c r="B274" s="6" t="str">
        <f ca="1">IF(AND(NEGOCIAÇÕES!P274="",NEGOCIAÇÕES!N274&lt;TODAY()),NEGOCIAÇÕES!C274,"")</f>
        <v/>
      </c>
      <c r="C274" s="6" t="str">
        <f ca="1">IF(AND(NEGOCIAÇÕES!P274="",NEGOCIAÇÕES!N274&lt;TODAY()),NEGOCIAÇÕES!E274,"")</f>
        <v/>
      </c>
      <c r="D274" s="6" t="str">
        <f ca="1">IF(AND(NEGOCIAÇÕES!P274="",NEGOCIAÇÕES!N274&lt;TODAY()),NEGOCIAÇÕES!D274,"")</f>
        <v/>
      </c>
      <c r="E274" s="9" t="str">
        <f ca="1">IF(AND(NEGOCIAÇÕES!P274="",NEGOCIAÇÕES!N274&lt;TODAY()),NEGOCIAÇÕES!N274,"")</f>
        <v/>
      </c>
      <c r="F274" s="6"/>
    </row>
    <row r="275" spans="2:6" ht="31.95" hidden="1" customHeight="1" x14ac:dyDescent="0.3">
      <c r="B275" s="6" t="str">
        <f ca="1">IF(AND(NEGOCIAÇÕES!P275="",NEGOCIAÇÕES!N275&lt;TODAY()),NEGOCIAÇÕES!C275,"")</f>
        <v/>
      </c>
      <c r="C275" s="6" t="str">
        <f ca="1">IF(AND(NEGOCIAÇÕES!P275="",NEGOCIAÇÕES!N275&lt;TODAY()),NEGOCIAÇÕES!E275,"")</f>
        <v/>
      </c>
      <c r="D275" s="6" t="str">
        <f ca="1">IF(AND(NEGOCIAÇÕES!P275="",NEGOCIAÇÕES!N275&lt;TODAY()),NEGOCIAÇÕES!D275,"")</f>
        <v/>
      </c>
      <c r="E275" s="9" t="str">
        <f ca="1">IF(AND(NEGOCIAÇÕES!P275="",NEGOCIAÇÕES!N275&lt;TODAY()),NEGOCIAÇÕES!N275,"")</f>
        <v/>
      </c>
      <c r="F275" s="6"/>
    </row>
    <row r="276" spans="2:6" ht="31.95" hidden="1" customHeight="1" x14ac:dyDescent="0.3">
      <c r="B276" s="6" t="str">
        <f ca="1">IF(AND(NEGOCIAÇÕES!P276="",NEGOCIAÇÕES!N276&lt;TODAY()),NEGOCIAÇÕES!C276,"")</f>
        <v/>
      </c>
      <c r="C276" s="6" t="str">
        <f ca="1">IF(AND(NEGOCIAÇÕES!P276="",NEGOCIAÇÕES!N276&lt;TODAY()),NEGOCIAÇÕES!E276,"")</f>
        <v/>
      </c>
      <c r="D276" s="6" t="str">
        <f ca="1">IF(AND(NEGOCIAÇÕES!P276="",NEGOCIAÇÕES!N276&lt;TODAY()),NEGOCIAÇÕES!D276,"")</f>
        <v/>
      </c>
      <c r="E276" s="9" t="str">
        <f ca="1">IF(AND(NEGOCIAÇÕES!P276="",NEGOCIAÇÕES!N276&lt;TODAY()),NEGOCIAÇÕES!N276,"")</f>
        <v/>
      </c>
      <c r="F276" s="6"/>
    </row>
    <row r="277" spans="2:6" ht="31.95" hidden="1" customHeight="1" x14ac:dyDescent="0.3">
      <c r="B277" s="6" t="str">
        <f ca="1">IF(AND(NEGOCIAÇÕES!P277="",NEGOCIAÇÕES!N277&lt;TODAY()),NEGOCIAÇÕES!C277,"")</f>
        <v/>
      </c>
      <c r="C277" s="6" t="str">
        <f ca="1">IF(AND(NEGOCIAÇÕES!P277="",NEGOCIAÇÕES!N277&lt;TODAY()),NEGOCIAÇÕES!E277,"")</f>
        <v/>
      </c>
      <c r="D277" s="6" t="str">
        <f ca="1">IF(AND(NEGOCIAÇÕES!P277="",NEGOCIAÇÕES!N277&lt;TODAY()),NEGOCIAÇÕES!D277,"")</f>
        <v/>
      </c>
      <c r="E277" s="9" t="str">
        <f ca="1">IF(AND(NEGOCIAÇÕES!P277="",NEGOCIAÇÕES!N277&lt;TODAY()),NEGOCIAÇÕES!N277,"")</f>
        <v/>
      </c>
      <c r="F277" s="6"/>
    </row>
    <row r="278" spans="2:6" ht="31.95" hidden="1" customHeight="1" x14ac:dyDescent="0.3">
      <c r="B278" s="6" t="str">
        <f ca="1">IF(AND(NEGOCIAÇÕES!P278="",NEGOCIAÇÕES!N278&lt;TODAY()),NEGOCIAÇÕES!C278,"")</f>
        <v/>
      </c>
      <c r="C278" s="6" t="str">
        <f ca="1">IF(AND(NEGOCIAÇÕES!P278="",NEGOCIAÇÕES!N278&lt;TODAY()),NEGOCIAÇÕES!E278,"")</f>
        <v/>
      </c>
      <c r="D278" s="6" t="str">
        <f ca="1">IF(AND(NEGOCIAÇÕES!P278="",NEGOCIAÇÕES!N278&lt;TODAY()),NEGOCIAÇÕES!D278,"")</f>
        <v/>
      </c>
      <c r="E278" s="9" t="str">
        <f ca="1">IF(AND(NEGOCIAÇÕES!P278="",NEGOCIAÇÕES!N278&lt;TODAY()),NEGOCIAÇÕES!N278,"")</f>
        <v/>
      </c>
      <c r="F278" s="6"/>
    </row>
    <row r="279" spans="2:6" ht="31.95" hidden="1" customHeight="1" x14ac:dyDescent="0.3">
      <c r="B279" s="6" t="str">
        <f ca="1">IF(AND(NEGOCIAÇÕES!P279="",NEGOCIAÇÕES!N279&lt;TODAY()),NEGOCIAÇÕES!C279,"")</f>
        <v/>
      </c>
      <c r="C279" s="6" t="str">
        <f ca="1">IF(AND(NEGOCIAÇÕES!P279="",NEGOCIAÇÕES!N279&lt;TODAY()),NEGOCIAÇÕES!E279,"")</f>
        <v/>
      </c>
      <c r="D279" s="6" t="str">
        <f ca="1">IF(AND(NEGOCIAÇÕES!P279="",NEGOCIAÇÕES!N279&lt;TODAY()),NEGOCIAÇÕES!D279,"")</f>
        <v/>
      </c>
      <c r="E279" s="9" t="str">
        <f ca="1">IF(AND(NEGOCIAÇÕES!P279="",NEGOCIAÇÕES!N279&lt;TODAY()),NEGOCIAÇÕES!N279,"")</f>
        <v/>
      </c>
      <c r="F279" s="6"/>
    </row>
    <row r="280" spans="2:6" ht="31.95" hidden="1" customHeight="1" x14ac:dyDescent="0.3">
      <c r="B280" s="6" t="str">
        <f ca="1">IF(AND(NEGOCIAÇÕES!P280="",NEGOCIAÇÕES!N280&lt;TODAY()),NEGOCIAÇÕES!C280,"")</f>
        <v/>
      </c>
      <c r="C280" s="6" t="str">
        <f ca="1">IF(AND(NEGOCIAÇÕES!P280="",NEGOCIAÇÕES!N280&lt;TODAY()),NEGOCIAÇÕES!E280,"")</f>
        <v/>
      </c>
      <c r="D280" s="6" t="str">
        <f ca="1">IF(AND(NEGOCIAÇÕES!P280="",NEGOCIAÇÕES!N280&lt;TODAY()),NEGOCIAÇÕES!D280,"")</f>
        <v/>
      </c>
      <c r="E280" s="9" t="str">
        <f ca="1">IF(AND(NEGOCIAÇÕES!P280="",NEGOCIAÇÕES!N280&lt;TODAY()),NEGOCIAÇÕES!N280,"")</f>
        <v/>
      </c>
      <c r="F280" s="6"/>
    </row>
    <row r="281" spans="2:6" ht="31.95" hidden="1" customHeight="1" x14ac:dyDescent="0.3">
      <c r="B281" s="6" t="str">
        <f ca="1">IF(AND(NEGOCIAÇÕES!P281="",NEGOCIAÇÕES!N281&lt;TODAY()),NEGOCIAÇÕES!C281,"")</f>
        <v/>
      </c>
      <c r="C281" s="6" t="str">
        <f ca="1">IF(AND(NEGOCIAÇÕES!P281="",NEGOCIAÇÕES!N281&lt;TODAY()),NEGOCIAÇÕES!E281,"")</f>
        <v/>
      </c>
      <c r="D281" s="6" t="str">
        <f ca="1">IF(AND(NEGOCIAÇÕES!P281="",NEGOCIAÇÕES!N281&lt;TODAY()),NEGOCIAÇÕES!D281,"")</f>
        <v/>
      </c>
      <c r="E281" s="9" t="str">
        <f ca="1">IF(AND(NEGOCIAÇÕES!P281="",NEGOCIAÇÕES!N281&lt;TODAY()),NEGOCIAÇÕES!N281,"")</f>
        <v/>
      </c>
      <c r="F281" s="6"/>
    </row>
    <row r="282" spans="2:6" ht="31.95" hidden="1" customHeight="1" x14ac:dyDescent="0.3">
      <c r="B282" s="6" t="str">
        <f ca="1">IF(AND(NEGOCIAÇÕES!P282="",NEGOCIAÇÕES!N282&lt;TODAY()),NEGOCIAÇÕES!C282,"")</f>
        <v/>
      </c>
      <c r="C282" s="6" t="str">
        <f ca="1">IF(AND(NEGOCIAÇÕES!P282="",NEGOCIAÇÕES!N282&lt;TODAY()),NEGOCIAÇÕES!E282,"")</f>
        <v/>
      </c>
      <c r="D282" s="6" t="str">
        <f ca="1">IF(AND(NEGOCIAÇÕES!P282="",NEGOCIAÇÕES!N282&lt;TODAY()),NEGOCIAÇÕES!D282,"")</f>
        <v/>
      </c>
      <c r="E282" s="9" t="str">
        <f ca="1">IF(AND(NEGOCIAÇÕES!P282="",NEGOCIAÇÕES!N282&lt;TODAY()),NEGOCIAÇÕES!N282,"")</f>
        <v/>
      </c>
      <c r="F282" s="6"/>
    </row>
    <row r="283" spans="2:6" ht="31.95" hidden="1" customHeight="1" x14ac:dyDescent="0.3">
      <c r="B283" s="6" t="str">
        <f ca="1">IF(AND(NEGOCIAÇÕES!P283="",NEGOCIAÇÕES!N283&lt;TODAY()),NEGOCIAÇÕES!C283,"")</f>
        <v/>
      </c>
      <c r="C283" s="6" t="str">
        <f ca="1">IF(AND(NEGOCIAÇÕES!P283="",NEGOCIAÇÕES!N283&lt;TODAY()),NEGOCIAÇÕES!E283,"")</f>
        <v/>
      </c>
      <c r="D283" s="6" t="str">
        <f ca="1">IF(AND(NEGOCIAÇÕES!P283="",NEGOCIAÇÕES!N283&lt;TODAY()),NEGOCIAÇÕES!D283,"")</f>
        <v/>
      </c>
      <c r="E283" s="9" t="str">
        <f ca="1">IF(AND(NEGOCIAÇÕES!P283="",NEGOCIAÇÕES!N283&lt;TODAY()),NEGOCIAÇÕES!N283,"")</f>
        <v/>
      </c>
      <c r="F283" s="6"/>
    </row>
    <row r="284" spans="2:6" ht="31.95" hidden="1" customHeight="1" x14ac:dyDescent="0.3">
      <c r="B284" s="6" t="str">
        <f ca="1">IF(AND(NEGOCIAÇÕES!P284="",NEGOCIAÇÕES!N284&lt;TODAY()),NEGOCIAÇÕES!C284,"")</f>
        <v/>
      </c>
      <c r="C284" s="6" t="str">
        <f ca="1">IF(AND(NEGOCIAÇÕES!P284="",NEGOCIAÇÕES!N284&lt;TODAY()),NEGOCIAÇÕES!E284,"")</f>
        <v/>
      </c>
      <c r="D284" s="6" t="str">
        <f ca="1">IF(AND(NEGOCIAÇÕES!P284="",NEGOCIAÇÕES!N284&lt;TODAY()),NEGOCIAÇÕES!D284,"")</f>
        <v/>
      </c>
      <c r="E284" s="9" t="str">
        <f ca="1">IF(AND(NEGOCIAÇÕES!P284="",NEGOCIAÇÕES!N284&lt;TODAY()),NEGOCIAÇÕES!N284,"")</f>
        <v/>
      </c>
      <c r="F284" s="6"/>
    </row>
    <row r="285" spans="2:6" ht="31.95" hidden="1" customHeight="1" x14ac:dyDescent="0.3">
      <c r="B285" s="6" t="str">
        <f ca="1">IF(AND(NEGOCIAÇÕES!P285="",NEGOCIAÇÕES!N285&lt;TODAY()),NEGOCIAÇÕES!C285,"")</f>
        <v/>
      </c>
      <c r="C285" s="6" t="str">
        <f ca="1">IF(AND(NEGOCIAÇÕES!P285="",NEGOCIAÇÕES!N285&lt;TODAY()),NEGOCIAÇÕES!E285,"")</f>
        <v/>
      </c>
      <c r="D285" s="6" t="str">
        <f ca="1">IF(AND(NEGOCIAÇÕES!P285="",NEGOCIAÇÕES!N285&lt;TODAY()),NEGOCIAÇÕES!D285,"")</f>
        <v/>
      </c>
      <c r="E285" s="9" t="str">
        <f ca="1">IF(AND(NEGOCIAÇÕES!P285="",NEGOCIAÇÕES!N285&lt;TODAY()),NEGOCIAÇÕES!N285,"")</f>
        <v/>
      </c>
      <c r="F285" s="6"/>
    </row>
    <row r="286" spans="2:6" ht="31.95" hidden="1" customHeight="1" x14ac:dyDescent="0.3">
      <c r="B286" s="6" t="str">
        <f ca="1">IF(AND(NEGOCIAÇÕES!P286="",NEGOCIAÇÕES!N286&lt;TODAY()),NEGOCIAÇÕES!C286,"")</f>
        <v/>
      </c>
      <c r="C286" s="6" t="str">
        <f ca="1">IF(AND(NEGOCIAÇÕES!P286="",NEGOCIAÇÕES!N286&lt;TODAY()),NEGOCIAÇÕES!E286,"")</f>
        <v/>
      </c>
      <c r="D286" s="6" t="str">
        <f ca="1">IF(AND(NEGOCIAÇÕES!P286="",NEGOCIAÇÕES!N286&lt;TODAY()),NEGOCIAÇÕES!D286,"")</f>
        <v/>
      </c>
      <c r="E286" s="9" t="str">
        <f ca="1">IF(AND(NEGOCIAÇÕES!P286="",NEGOCIAÇÕES!N286&lt;TODAY()),NEGOCIAÇÕES!N286,"")</f>
        <v/>
      </c>
      <c r="F286" s="6"/>
    </row>
    <row r="287" spans="2:6" ht="31.95" hidden="1" customHeight="1" x14ac:dyDescent="0.3">
      <c r="B287" s="6" t="str">
        <f ca="1">IF(AND(NEGOCIAÇÕES!P287="",NEGOCIAÇÕES!N287&lt;TODAY()),NEGOCIAÇÕES!C287,"")</f>
        <v/>
      </c>
      <c r="C287" s="6" t="str">
        <f ca="1">IF(AND(NEGOCIAÇÕES!P287="",NEGOCIAÇÕES!N287&lt;TODAY()),NEGOCIAÇÕES!E287,"")</f>
        <v/>
      </c>
      <c r="D287" s="6" t="str">
        <f ca="1">IF(AND(NEGOCIAÇÕES!P287="",NEGOCIAÇÕES!N287&lt;TODAY()),NEGOCIAÇÕES!D287,"")</f>
        <v/>
      </c>
      <c r="E287" s="9" t="str">
        <f ca="1">IF(AND(NEGOCIAÇÕES!P287="",NEGOCIAÇÕES!N287&lt;TODAY()),NEGOCIAÇÕES!N287,"")</f>
        <v/>
      </c>
      <c r="F287" s="6"/>
    </row>
    <row r="288" spans="2:6" ht="31.95" hidden="1" customHeight="1" x14ac:dyDescent="0.3">
      <c r="B288" s="6" t="str">
        <f ca="1">IF(AND(NEGOCIAÇÕES!P288="",NEGOCIAÇÕES!N288&lt;TODAY()),NEGOCIAÇÕES!C288,"")</f>
        <v/>
      </c>
      <c r="C288" s="6" t="str">
        <f ca="1">IF(AND(NEGOCIAÇÕES!P288="",NEGOCIAÇÕES!N288&lt;TODAY()),NEGOCIAÇÕES!E288,"")</f>
        <v/>
      </c>
      <c r="D288" s="6" t="str">
        <f ca="1">IF(AND(NEGOCIAÇÕES!P288="",NEGOCIAÇÕES!N288&lt;TODAY()),NEGOCIAÇÕES!D288,"")</f>
        <v/>
      </c>
      <c r="E288" s="9" t="str">
        <f ca="1">IF(AND(NEGOCIAÇÕES!P288="",NEGOCIAÇÕES!N288&lt;TODAY()),NEGOCIAÇÕES!N288,"")</f>
        <v/>
      </c>
      <c r="F288" s="6"/>
    </row>
    <row r="289" spans="2:6" ht="31.95" hidden="1" customHeight="1" x14ac:dyDescent="0.3">
      <c r="B289" s="6" t="str">
        <f ca="1">IF(AND(NEGOCIAÇÕES!P289="",NEGOCIAÇÕES!N289&lt;TODAY()),NEGOCIAÇÕES!C289,"")</f>
        <v/>
      </c>
      <c r="C289" s="6" t="str">
        <f ca="1">IF(AND(NEGOCIAÇÕES!P289="",NEGOCIAÇÕES!N289&lt;TODAY()),NEGOCIAÇÕES!E289,"")</f>
        <v/>
      </c>
      <c r="D289" s="6" t="str">
        <f ca="1">IF(AND(NEGOCIAÇÕES!P289="",NEGOCIAÇÕES!N289&lt;TODAY()),NEGOCIAÇÕES!D289,"")</f>
        <v/>
      </c>
      <c r="E289" s="9" t="str">
        <f ca="1">IF(AND(NEGOCIAÇÕES!P289="",NEGOCIAÇÕES!N289&lt;TODAY()),NEGOCIAÇÕES!N289,"")</f>
        <v/>
      </c>
      <c r="F289" s="6"/>
    </row>
    <row r="290" spans="2:6" ht="31.95" hidden="1" customHeight="1" x14ac:dyDescent="0.3">
      <c r="B290" s="6" t="str">
        <f ca="1">IF(AND(NEGOCIAÇÕES!P290="",NEGOCIAÇÕES!N290&lt;TODAY()),NEGOCIAÇÕES!C290,"")</f>
        <v/>
      </c>
      <c r="C290" s="6" t="str">
        <f ca="1">IF(AND(NEGOCIAÇÕES!P290="",NEGOCIAÇÕES!N290&lt;TODAY()),NEGOCIAÇÕES!E290,"")</f>
        <v/>
      </c>
      <c r="D290" s="6" t="str">
        <f ca="1">IF(AND(NEGOCIAÇÕES!P290="",NEGOCIAÇÕES!N290&lt;TODAY()),NEGOCIAÇÕES!D290,"")</f>
        <v/>
      </c>
      <c r="E290" s="9" t="str">
        <f ca="1">IF(AND(NEGOCIAÇÕES!P290="",NEGOCIAÇÕES!N290&lt;TODAY()),NEGOCIAÇÕES!N290,"")</f>
        <v/>
      </c>
      <c r="F290" s="6"/>
    </row>
    <row r="291" spans="2:6" ht="31.95" hidden="1" customHeight="1" x14ac:dyDescent="0.3">
      <c r="B291" s="6" t="str">
        <f ca="1">IF(AND(NEGOCIAÇÕES!P291="",NEGOCIAÇÕES!N291&lt;TODAY()),NEGOCIAÇÕES!C291,"")</f>
        <v/>
      </c>
      <c r="C291" s="6" t="str">
        <f ca="1">IF(AND(NEGOCIAÇÕES!P291="",NEGOCIAÇÕES!N291&lt;TODAY()),NEGOCIAÇÕES!E291,"")</f>
        <v/>
      </c>
      <c r="D291" s="6" t="str">
        <f ca="1">IF(AND(NEGOCIAÇÕES!P291="",NEGOCIAÇÕES!N291&lt;TODAY()),NEGOCIAÇÕES!D291,"")</f>
        <v/>
      </c>
      <c r="E291" s="9" t="str">
        <f ca="1">IF(AND(NEGOCIAÇÕES!P291="",NEGOCIAÇÕES!N291&lt;TODAY()),NEGOCIAÇÕES!N291,"")</f>
        <v/>
      </c>
      <c r="F291" s="6"/>
    </row>
    <row r="292" spans="2:6" ht="31.95" hidden="1" customHeight="1" x14ac:dyDescent="0.3">
      <c r="B292" s="6" t="str">
        <f ca="1">IF(AND(NEGOCIAÇÕES!P292="",NEGOCIAÇÕES!N292&lt;TODAY()),NEGOCIAÇÕES!C292,"")</f>
        <v/>
      </c>
      <c r="C292" s="6" t="str">
        <f ca="1">IF(AND(NEGOCIAÇÕES!P292="",NEGOCIAÇÕES!N292&lt;TODAY()),NEGOCIAÇÕES!E292,"")</f>
        <v/>
      </c>
      <c r="D292" s="6" t="str">
        <f ca="1">IF(AND(NEGOCIAÇÕES!P292="",NEGOCIAÇÕES!N292&lt;TODAY()),NEGOCIAÇÕES!D292,"")</f>
        <v/>
      </c>
      <c r="E292" s="9" t="str">
        <f ca="1">IF(AND(NEGOCIAÇÕES!P292="",NEGOCIAÇÕES!N292&lt;TODAY()),NEGOCIAÇÕES!N292,"")</f>
        <v/>
      </c>
      <c r="F292" s="6"/>
    </row>
    <row r="293" spans="2:6" ht="31.95" hidden="1" customHeight="1" x14ac:dyDescent="0.3">
      <c r="B293" s="6" t="str">
        <f ca="1">IF(AND(NEGOCIAÇÕES!P293="",NEGOCIAÇÕES!N293&lt;TODAY()),NEGOCIAÇÕES!C293,"")</f>
        <v/>
      </c>
      <c r="C293" s="6" t="str">
        <f ca="1">IF(AND(NEGOCIAÇÕES!P293="",NEGOCIAÇÕES!N293&lt;TODAY()),NEGOCIAÇÕES!E293,"")</f>
        <v/>
      </c>
      <c r="D293" s="6" t="str">
        <f ca="1">IF(AND(NEGOCIAÇÕES!P293="",NEGOCIAÇÕES!N293&lt;TODAY()),NEGOCIAÇÕES!D293,"")</f>
        <v/>
      </c>
      <c r="E293" s="9" t="str">
        <f ca="1">IF(AND(NEGOCIAÇÕES!P293="",NEGOCIAÇÕES!N293&lt;TODAY()),NEGOCIAÇÕES!N293,"")</f>
        <v/>
      </c>
      <c r="F293" s="6"/>
    </row>
    <row r="294" spans="2:6" ht="31.95" hidden="1" customHeight="1" x14ac:dyDescent="0.3">
      <c r="B294" s="6" t="str">
        <f ca="1">IF(AND(NEGOCIAÇÕES!P294="",NEGOCIAÇÕES!N294&lt;TODAY()),NEGOCIAÇÕES!C294,"")</f>
        <v/>
      </c>
      <c r="C294" s="6" t="str">
        <f ca="1">IF(AND(NEGOCIAÇÕES!P294="",NEGOCIAÇÕES!N294&lt;TODAY()),NEGOCIAÇÕES!E294,"")</f>
        <v/>
      </c>
      <c r="D294" s="6" t="str">
        <f ca="1">IF(AND(NEGOCIAÇÕES!P294="",NEGOCIAÇÕES!N294&lt;TODAY()),NEGOCIAÇÕES!D294,"")</f>
        <v/>
      </c>
      <c r="E294" s="9" t="str">
        <f ca="1">IF(AND(NEGOCIAÇÕES!P294="",NEGOCIAÇÕES!N294&lt;TODAY()),NEGOCIAÇÕES!N294,"")</f>
        <v/>
      </c>
      <c r="F294" s="6"/>
    </row>
    <row r="295" spans="2:6" ht="31.95" hidden="1" customHeight="1" x14ac:dyDescent="0.3">
      <c r="B295" s="6" t="str">
        <f ca="1">IF(AND(NEGOCIAÇÕES!P295="",NEGOCIAÇÕES!N295&lt;TODAY()),NEGOCIAÇÕES!C295,"")</f>
        <v/>
      </c>
      <c r="C295" s="6" t="str">
        <f ca="1">IF(AND(NEGOCIAÇÕES!P295="",NEGOCIAÇÕES!N295&lt;TODAY()),NEGOCIAÇÕES!E295,"")</f>
        <v/>
      </c>
      <c r="D295" s="6" t="str">
        <f ca="1">IF(AND(NEGOCIAÇÕES!P295="",NEGOCIAÇÕES!N295&lt;TODAY()),NEGOCIAÇÕES!D295,"")</f>
        <v/>
      </c>
      <c r="E295" s="9" t="str">
        <f ca="1">IF(AND(NEGOCIAÇÕES!P295="",NEGOCIAÇÕES!N295&lt;TODAY()),NEGOCIAÇÕES!N295,"")</f>
        <v/>
      </c>
      <c r="F295" s="6"/>
    </row>
    <row r="296" spans="2:6" ht="31.95" hidden="1" customHeight="1" x14ac:dyDescent="0.3">
      <c r="B296" s="6" t="str">
        <f ca="1">IF(AND(NEGOCIAÇÕES!P296="",NEGOCIAÇÕES!N296&lt;TODAY()),NEGOCIAÇÕES!C296,"")</f>
        <v/>
      </c>
      <c r="C296" s="6" t="str">
        <f ca="1">IF(AND(NEGOCIAÇÕES!P296="",NEGOCIAÇÕES!N296&lt;TODAY()),NEGOCIAÇÕES!E296,"")</f>
        <v/>
      </c>
      <c r="D296" s="6" t="str">
        <f ca="1">IF(AND(NEGOCIAÇÕES!P296="",NEGOCIAÇÕES!N296&lt;TODAY()),NEGOCIAÇÕES!D296,"")</f>
        <v/>
      </c>
      <c r="E296" s="9" t="str">
        <f ca="1">IF(AND(NEGOCIAÇÕES!P296="",NEGOCIAÇÕES!N296&lt;TODAY()),NEGOCIAÇÕES!N296,"")</f>
        <v/>
      </c>
      <c r="F296" s="6"/>
    </row>
    <row r="297" spans="2:6" ht="31.95" hidden="1" customHeight="1" x14ac:dyDescent="0.3">
      <c r="B297" s="6" t="str">
        <f ca="1">IF(AND(NEGOCIAÇÕES!P297="",NEGOCIAÇÕES!N297&lt;TODAY()),NEGOCIAÇÕES!C297,"")</f>
        <v/>
      </c>
      <c r="C297" s="6" t="str">
        <f ca="1">IF(AND(NEGOCIAÇÕES!P297="",NEGOCIAÇÕES!N297&lt;TODAY()),NEGOCIAÇÕES!E297,"")</f>
        <v/>
      </c>
      <c r="D297" s="6" t="str">
        <f ca="1">IF(AND(NEGOCIAÇÕES!P297="",NEGOCIAÇÕES!N297&lt;TODAY()),NEGOCIAÇÕES!D297,"")</f>
        <v/>
      </c>
      <c r="E297" s="9" t="str">
        <f ca="1">IF(AND(NEGOCIAÇÕES!P297="",NEGOCIAÇÕES!N297&lt;TODAY()),NEGOCIAÇÕES!N297,"")</f>
        <v/>
      </c>
      <c r="F297" s="6"/>
    </row>
    <row r="298" spans="2:6" ht="31.95" hidden="1" customHeight="1" x14ac:dyDescent="0.3">
      <c r="B298" s="6" t="str">
        <f ca="1">IF(AND(NEGOCIAÇÕES!P298="",NEGOCIAÇÕES!N298&lt;TODAY()),NEGOCIAÇÕES!C298,"")</f>
        <v/>
      </c>
      <c r="C298" s="6" t="str">
        <f ca="1">IF(AND(NEGOCIAÇÕES!P298="",NEGOCIAÇÕES!N298&lt;TODAY()),NEGOCIAÇÕES!E298,"")</f>
        <v/>
      </c>
      <c r="D298" s="6" t="str">
        <f ca="1">IF(AND(NEGOCIAÇÕES!P298="",NEGOCIAÇÕES!N298&lt;TODAY()),NEGOCIAÇÕES!D298,"")</f>
        <v/>
      </c>
      <c r="E298" s="9" t="str">
        <f ca="1">IF(AND(NEGOCIAÇÕES!P298="",NEGOCIAÇÕES!N298&lt;TODAY()),NEGOCIAÇÕES!N298,"")</f>
        <v/>
      </c>
      <c r="F298" s="6"/>
    </row>
    <row r="299" spans="2:6" ht="31.95" hidden="1" customHeight="1" x14ac:dyDescent="0.3">
      <c r="B299" s="6" t="str">
        <f ca="1">IF(AND(NEGOCIAÇÕES!P299="",NEGOCIAÇÕES!N299&lt;TODAY()),NEGOCIAÇÕES!C299,"")</f>
        <v/>
      </c>
      <c r="C299" s="6" t="str">
        <f ca="1">IF(AND(NEGOCIAÇÕES!P299="",NEGOCIAÇÕES!N299&lt;TODAY()),NEGOCIAÇÕES!E299,"")</f>
        <v/>
      </c>
      <c r="D299" s="6" t="str">
        <f ca="1">IF(AND(NEGOCIAÇÕES!P299="",NEGOCIAÇÕES!N299&lt;TODAY()),NEGOCIAÇÕES!D299,"")</f>
        <v/>
      </c>
      <c r="E299" s="9" t="str">
        <f ca="1">IF(AND(NEGOCIAÇÕES!P299="",NEGOCIAÇÕES!N299&lt;TODAY()),NEGOCIAÇÕES!N299,"")</f>
        <v/>
      </c>
      <c r="F299" s="6"/>
    </row>
    <row r="300" spans="2:6" ht="31.95" hidden="1" customHeight="1" x14ac:dyDescent="0.3">
      <c r="B300" s="6" t="str">
        <f ca="1">IF(AND(NEGOCIAÇÕES!P300="",NEGOCIAÇÕES!N300&lt;TODAY()),NEGOCIAÇÕES!C300,"")</f>
        <v/>
      </c>
      <c r="C300" s="6" t="str">
        <f ca="1">IF(AND(NEGOCIAÇÕES!P300="",NEGOCIAÇÕES!N300&lt;TODAY()),NEGOCIAÇÕES!E300,"")</f>
        <v/>
      </c>
      <c r="D300" s="6" t="str">
        <f ca="1">IF(AND(NEGOCIAÇÕES!P300="",NEGOCIAÇÕES!N300&lt;TODAY()),NEGOCIAÇÕES!D300,"")</f>
        <v/>
      </c>
      <c r="E300" s="9" t="str">
        <f ca="1">IF(AND(NEGOCIAÇÕES!P300="",NEGOCIAÇÕES!N300&lt;TODAY()),NEGOCIAÇÕES!N300,"")</f>
        <v/>
      </c>
      <c r="F300" s="6"/>
    </row>
    <row r="301" spans="2:6" ht="31.95" hidden="1" customHeight="1" x14ac:dyDescent="0.3">
      <c r="B301" s="6" t="str">
        <f ca="1">IF(AND(NEGOCIAÇÕES!P301="",NEGOCIAÇÕES!N301&lt;TODAY()),NEGOCIAÇÕES!C301,"")</f>
        <v/>
      </c>
      <c r="C301" s="6" t="str">
        <f ca="1">IF(AND(NEGOCIAÇÕES!P301="",NEGOCIAÇÕES!N301&lt;TODAY()),NEGOCIAÇÕES!E301,"")</f>
        <v/>
      </c>
      <c r="D301" s="6" t="str">
        <f ca="1">IF(AND(NEGOCIAÇÕES!P301="",NEGOCIAÇÕES!N301&lt;TODAY()),NEGOCIAÇÕES!D301,"")</f>
        <v/>
      </c>
      <c r="E301" s="9" t="str">
        <f ca="1">IF(AND(NEGOCIAÇÕES!P301="",NEGOCIAÇÕES!N301&lt;TODAY()),NEGOCIAÇÕES!N301,"")</f>
        <v/>
      </c>
      <c r="F301" s="6"/>
    </row>
    <row r="302" spans="2:6" ht="31.95" hidden="1" customHeight="1" x14ac:dyDescent="0.3">
      <c r="B302" s="6" t="str">
        <f ca="1">IF(AND(NEGOCIAÇÕES!P302="",NEGOCIAÇÕES!N302&lt;TODAY()),NEGOCIAÇÕES!C302,"")</f>
        <v/>
      </c>
      <c r="C302" s="6" t="str">
        <f ca="1">IF(AND(NEGOCIAÇÕES!P302="",NEGOCIAÇÕES!N302&lt;TODAY()),NEGOCIAÇÕES!E302,"")</f>
        <v/>
      </c>
      <c r="D302" s="6" t="str">
        <f ca="1">IF(AND(NEGOCIAÇÕES!P302="",NEGOCIAÇÕES!N302&lt;TODAY()),NEGOCIAÇÕES!D302,"")</f>
        <v/>
      </c>
      <c r="E302" s="9" t="str">
        <f ca="1">IF(AND(NEGOCIAÇÕES!P302="",NEGOCIAÇÕES!N302&lt;TODAY()),NEGOCIAÇÕES!N302,"")</f>
        <v/>
      </c>
      <c r="F302" s="6"/>
    </row>
    <row r="303" spans="2:6" ht="31.95" hidden="1" customHeight="1" x14ac:dyDescent="0.3">
      <c r="B303" s="6" t="str">
        <f ca="1">IF(AND(NEGOCIAÇÕES!P303="",NEGOCIAÇÕES!N303&lt;TODAY()),NEGOCIAÇÕES!C303,"")</f>
        <v/>
      </c>
      <c r="C303" s="6" t="str">
        <f ca="1">IF(AND(NEGOCIAÇÕES!P303="",NEGOCIAÇÕES!N303&lt;TODAY()),NEGOCIAÇÕES!E303,"")</f>
        <v/>
      </c>
      <c r="D303" s="6" t="str">
        <f ca="1">IF(AND(NEGOCIAÇÕES!P303="",NEGOCIAÇÕES!N303&lt;TODAY()),NEGOCIAÇÕES!D303,"")</f>
        <v/>
      </c>
      <c r="E303" s="9" t="str">
        <f ca="1">IF(AND(NEGOCIAÇÕES!P303="",NEGOCIAÇÕES!N303&lt;TODAY()),NEGOCIAÇÕES!N303,"")</f>
        <v/>
      </c>
      <c r="F303" s="6"/>
    </row>
    <row r="304" spans="2:6" ht="31.95" hidden="1" customHeight="1" x14ac:dyDescent="0.3">
      <c r="B304" s="6" t="str">
        <f ca="1">IF(AND(NEGOCIAÇÕES!P304="",NEGOCIAÇÕES!N304&lt;TODAY()),NEGOCIAÇÕES!C304,"")</f>
        <v/>
      </c>
      <c r="C304" s="6" t="str">
        <f ca="1">IF(AND(NEGOCIAÇÕES!P304="",NEGOCIAÇÕES!N304&lt;TODAY()),NEGOCIAÇÕES!E304,"")</f>
        <v/>
      </c>
      <c r="D304" s="6" t="str">
        <f ca="1">IF(AND(NEGOCIAÇÕES!P304="",NEGOCIAÇÕES!N304&lt;TODAY()),NEGOCIAÇÕES!D304,"")</f>
        <v/>
      </c>
      <c r="E304" s="9" t="str">
        <f ca="1">IF(AND(NEGOCIAÇÕES!P304="",NEGOCIAÇÕES!N304&lt;TODAY()),NEGOCIAÇÕES!N304,"")</f>
        <v/>
      </c>
      <c r="F304" s="6"/>
    </row>
    <row r="305" spans="2:6" ht="31.95" hidden="1" customHeight="1" x14ac:dyDescent="0.3">
      <c r="B305" s="6" t="str">
        <f ca="1">IF(AND(NEGOCIAÇÕES!P305="",NEGOCIAÇÕES!N305&lt;TODAY()),NEGOCIAÇÕES!C305,"")</f>
        <v/>
      </c>
      <c r="C305" s="6" t="str">
        <f ca="1">IF(AND(NEGOCIAÇÕES!P305="",NEGOCIAÇÕES!N305&lt;TODAY()),NEGOCIAÇÕES!E305,"")</f>
        <v/>
      </c>
      <c r="D305" s="6" t="str">
        <f ca="1">IF(AND(NEGOCIAÇÕES!P305="",NEGOCIAÇÕES!N305&lt;TODAY()),NEGOCIAÇÕES!D305,"")</f>
        <v/>
      </c>
      <c r="E305" s="9" t="str">
        <f ca="1">IF(AND(NEGOCIAÇÕES!P305="",NEGOCIAÇÕES!N305&lt;TODAY()),NEGOCIAÇÕES!N305,"")</f>
        <v/>
      </c>
      <c r="F305" s="6"/>
    </row>
    <row r="306" spans="2:6" ht="31.95" hidden="1" customHeight="1" x14ac:dyDescent="0.3">
      <c r="B306" s="6" t="str">
        <f ca="1">IF(AND(NEGOCIAÇÕES!P306="",NEGOCIAÇÕES!N306&lt;TODAY()),NEGOCIAÇÕES!C306,"")</f>
        <v/>
      </c>
      <c r="C306" s="6" t="str">
        <f ca="1">IF(AND(NEGOCIAÇÕES!P306="",NEGOCIAÇÕES!N306&lt;TODAY()),NEGOCIAÇÕES!E306,"")</f>
        <v/>
      </c>
      <c r="D306" s="6" t="str">
        <f ca="1">IF(AND(NEGOCIAÇÕES!P306="",NEGOCIAÇÕES!N306&lt;TODAY()),NEGOCIAÇÕES!D306,"")</f>
        <v/>
      </c>
      <c r="E306" s="9" t="str">
        <f ca="1">IF(AND(NEGOCIAÇÕES!P306="",NEGOCIAÇÕES!N306&lt;TODAY()),NEGOCIAÇÕES!N306,"")</f>
        <v/>
      </c>
      <c r="F306" s="6"/>
    </row>
    <row r="307" spans="2:6" ht="31.95" hidden="1" customHeight="1" x14ac:dyDescent="0.3">
      <c r="B307" s="6" t="str">
        <f ca="1">IF(AND(NEGOCIAÇÕES!P307="",NEGOCIAÇÕES!N307&lt;TODAY()),NEGOCIAÇÕES!C307,"")</f>
        <v/>
      </c>
      <c r="C307" s="6" t="str">
        <f ca="1">IF(AND(NEGOCIAÇÕES!P307="",NEGOCIAÇÕES!N307&lt;TODAY()),NEGOCIAÇÕES!E307,"")</f>
        <v/>
      </c>
      <c r="D307" s="6" t="str">
        <f ca="1">IF(AND(NEGOCIAÇÕES!P307="",NEGOCIAÇÕES!N307&lt;TODAY()),NEGOCIAÇÕES!D307,"")</f>
        <v/>
      </c>
      <c r="E307" s="9" t="str">
        <f ca="1">IF(AND(NEGOCIAÇÕES!P307="",NEGOCIAÇÕES!N307&lt;TODAY()),NEGOCIAÇÕES!N307,"")</f>
        <v/>
      </c>
      <c r="F307" s="6"/>
    </row>
    <row r="308" spans="2:6" ht="31.95" hidden="1" customHeight="1" x14ac:dyDescent="0.3">
      <c r="B308" s="6" t="str">
        <f ca="1">IF(AND(NEGOCIAÇÕES!P308="",NEGOCIAÇÕES!N308&lt;TODAY()),NEGOCIAÇÕES!C308,"")</f>
        <v/>
      </c>
      <c r="C308" s="6" t="str">
        <f ca="1">IF(AND(NEGOCIAÇÕES!P308="",NEGOCIAÇÕES!N308&lt;TODAY()),NEGOCIAÇÕES!E308,"")</f>
        <v/>
      </c>
      <c r="D308" s="6" t="str">
        <f ca="1">IF(AND(NEGOCIAÇÕES!P308="",NEGOCIAÇÕES!N308&lt;TODAY()),NEGOCIAÇÕES!D308,"")</f>
        <v/>
      </c>
      <c r="E308" s="9" t="str">
        <f ca="1">IF(AND(NEGOCIAÇÕES!P308="",NEGOCIAÇÕES!N308&lt;TODAY()),NEGOCIAÇÕES!N308,"")</f>
        <v/>
      </c>
      <c r="F308" s="6"/>
    </row>
    <row r="309" spans="2:6" ht="31.95" hidden="1" customHeight="1" x14ac:dyDescent="0.3">
      <c r="B309" s="6" t="str">
        <f ca="1">IF(AND(NEGOCIAÇÕES!P309="",NEGOCIAÇÕES!N309&lt;TODAY()),NEGOCIAÇÕES!C309,"")</f>
        <v/>
      </c>
      <c r="C309" s="6" t="str">
        <f ca="1">IF(AND(NEGOCIAÇÕES!P309="",NEGOCIAÇÕES!N309&lt;TODAY()),NEGOCIAÇÕES!E309,"")</f>
        <v/>
      </c>
      <c r="D309" s="6" t="str">
        <f ca="1">IF(AND(NEGOCIAÇÕES!P309="",NEGOCIAÇÕES!N309&lt;TODAY()),NEGOCIAÇÕES!D309,"")</f>
        <v/>
      </c>
      <c r="E309" s="9" t="str">
        <f ca="1">IF(AND(NEGOCIAÇÕES!P309="",NEGOCIAÇÕES!N309&lt;TODAY()),NEGOCIAÇÕES!N309,"")</f>
        <v/>
      </c>
      <c r="F309" s="6"/>
    </row>
    <row r="310" spans="2:6" ht="31.95" hidden="1" customHeight="1" x14ac:dyDescent="0.3">
      <c r="B310" s="6" t="str">
        <f ca="1">IF(AND(NEGOCIAÇÕES!P310="",NEGOCIAÇÕES!N310&lt;TODAY()),NEGOCIAÇÕES!C310,"")</f>
        <v/>
      </c>
      <c r="C310" s="6" t="str">
        <f ca="1">IF(AND(NEGOCIAÇÕES!P310="",NEGOCIAÇÕES!N310&lt;TODAY()),NEGOCIAÇÕES!E310,"")</f>
        <v/>
      </c>
      <c r="D310" s="6" t="str">
        <f ca="1">IF(AND(NEGOCIAÇÕES!P310="",NEGOCIAÇÕES!N310&lt;TODAY()),NEGOCIAÇÕES!D310,"")</f>
        <v/>
      </c>
      <c r="E310" s="9" t="str">
        <f ca="1">IF(AND(NEGOCIAÇÕES!P310="",NEGOCIAÇÕES!N310&lt;TODAY()),NEGOCIAÇÕES!N310,"")</f>
        <v/>
      </c>
      <c r="F310" s="6"/>
    </row>
    <row r="311" spans="2:6" ht="31.95" hidden="1" customHeight="1" x14ac:dyDescent="0.3">
      <c r="B311" s="6" t="str">
        <f ca="1">IF(AND(NEGOCIAÇÕES!P311="",NEGOCIAÇÕES!N311&lt;TODAY()),NEGOCIAÇÕES!C311,"")</f>
        <v/>
      </c>
      <c r="C311" s="6" t="str">
        <f ca="1">IF(AND(NEGOCIAÇÕES!P311="",NEGOCIAÇÕES!N311&lt;TODAY()),NEGOCIAÇÕES!E311,"")</f>
        <v/>
      </c>
      <c r="D311" s="6" t="str">
        <f ca="1">IF(AND(NEGOCIAÇÕES!P311="",NEGOCIAÇÕES!N311&lt;TODAY()),NEGOCIAÇÕES!D311,"")</f>
        <v/>
      </c>
      <c r="E311" s="9" t="str">
        <f ca="1">IF(AND(NEGOCIAÇÕES!P311="",NEGOCIAÇÕES!N311&lt;TODAY()),NEGOCIAÇÕES!N311,"")</f>
        <v/>
      </c>
      <c r="F311" s="6"/>
    </row>
    <row r="312" spans="2:6" ht="31.95" hidden="1" customHeight="1" x14ac:dyDescent="0.3">
      <c r="B312" s="6" t="str">
        <f ca="1">IF(AND(NEGOCIAÇÕES!P312="",NEGOCIAÇÕES!N312&lt;TODAY()),NEGOCIAÇÕES!C312,"")</f>
        <v/>
      </c>
      <c r="C312" s="6" t="str">
        <f ca="1">IF(AND(NEGOCIAÇÕES!P312="",NEGOCIAÇÕES!N312&lt;TODAY()),NEGOCIAÇÕES!E312,"")</f>
        <v/>
      </c>
      <c r="D312" s="6" t="str">
        <f ca="1">IF(AND(NEGOCIAÇÕES!P312="",NEGOCIAÇÕES!N312&lt;TODAY()),NEGOCIAÇÕES!D312,"")</f>
        <v/>
      </c>
      <c r="E312" s="9" t="str">
        <f ca="1">IF(AND(NEGOCIAÇÕES!P312="",NEGOCIAÇÕES!N312&lt;TODAY()),NEGOCIAÇÕES!N312,"")</f>
        <v/>
      </c>
      <c r="F312" s="6"/>
    </row>
    <row r="313" spans="2:6" ht="31.95" hidden="1" customHeight="1" x14ac:dyDescent="0.3">
      <c r="B313" s="6" t="str">
        <f ca="1">IF(AND(NEGOCIAÇÕES!P313="",NEGOCIAÇÕES!N313&lt;TODAY()),NEGOCIAÇÕES!C313,"")</f>
        <v/>
      </c>
      <c r="C313" s="6" t="str">
        <f ca="1">IF(AND(NEGOCIAÇÕES!P313="",NEGOCIAÇÕES!N313&lt;TODAY()),NEGOCIAÇÕES!E313,"")</f>
        <v/>
      </c>
      <c r="D313" s="6" t="str">
        <f ca="1">IF(AND(NEGOCIAÇÕES!P313="",NEGOCIAÇÕES!N313&lt;TODAY()),NEGOCIAÇÕES!D313,"")</f>
        <v/>
      </c>
      <c r="E313" s="9" t="str">
        <f ca="1">IF(AND(NEGOCIAÇÕES!P313="",NEGOCIAÇÕES!N313&lt;TODAY()),NEGOCIAÇÕES!N313,"")</f>
        <v/>
      </c>
      <c r="F313" s="6"/>
    </row>
    <row r="314" spans="2:6" ht="31.95" hidden="1" customHeight="1" x14ac:dyDescent="0.3">
      <c r="B314" s="6" t="str">
        <f ca="1">IF(AND(NEGOCIAÇÕES!P314="",NEGOCIAÇÕES!N314&lt;TODAY()),NEGOCIAÇÕES!C314,"")</f>
        <v/>
      </c>
      <c r="C314" s="6" t="str">
        <f ca="1">IF(AND(NEGOCIAÇÕES!P314="",NEGOCIAÇÕES!N314&lt;TODAY()),NEGOCIAÇÕES!E314,"")</f>
        <v/>
      </c>
      <c r="D314" s="6" t="str">
        <f ca="1">IF(AND(NEGOCIAÇÕES!P314="",NEGOCIAÇÕES!N314&lt;TODAY()),NEGOCIAÇÕES!D314,"")</f>
        <v/>
      </c>
      <c r="E314" s="9" t="str">
        <f ca="1">IF(AND(NEGOCIAÇÕES!P314="",NEGOCIAÇÕES!N314&lt;TODAY()),NEGOCIAÇÕES!N314,"")</f>
        <v/>
      </c>
      <c r="F314" s="6"/>
    </row>
    <row r="315" spans="2:6" ht="31.95" hidden="1" customHeight="1" x14ac:dyDescent="0.3">
      <c r="B315" s="6" t="str">
        <f ca="1">IF(AND(NEGOCIAÇÕES!P315="",NEGOCIAÇÕES!N315&lt;TODAY()),NEGOCIAÇÕES!C315,"")</f>
        <v/>
      </c>
      <c r="C315" s="6" t="str">
        <f ca="1">IF(AND(NEGOCIAÇÕES!P315="",NEGOCIAÇÕES!N315&lt;TODAY()),NEGOCIAÇÕES!E315,"")</f>
        <v/>
      </c>
      <c r="D315" s="6" t="str">
        <f ca="1">IF(AND(NEGOCIAÇÕES!P315="",NEGOCIAÇÕES!N315&lt;TODAY()),NEGOCIAÇÕES!D315,"")</f>
        <v/>
      </c>
      <c r="E315" s="9" t="str">
        <f ca="1">IF(AND(NEGOCIAÇÕES!P315="",NEGOCIAÇÕES!N315&lt;TODAY()),NEGOCIAÇÕES!N315,"")</f>
        <v/>
      </c>
      <c r="F315" s="6"/>
    </row>
    <row r="316" spans="2:6" ht="31.95" hidden="1" customHeight="1" x14ac:dyDescent="0.3">
      <c r="B316" s="6" t="str">
        <f ca="1">IF(AND(NEGOCIAÇÕES!P316="",NEGOCIAÇÕES!N316&lt;TODAY()),NEGOCIAÇÕES!C316,"")</f>
        <v/>
      </c>
      <c r="C316" s="6" t="str">
        <f ca="1">IF(AND(NEGOCIAÇÕES!P316="",NEGOCIAÇÕES!N316&lt;TODAY()),NEGOCIAÇÕES!E316,"")</f>
        <v/>
      </c>
      <c r="D316" s="6" t="str">
        <f ca="1">IF(AND(NEGOCIAÇÕES!P316="",NEGOCIAÇÕES!N316&lt;TODAY()),NEGOCIAÇÕES!D316,"")</f>
        <v/>
      </c>
      <c r="E316" s="9" t="str">
        <f ca="1">IF(AND(NEGOCIAÇÕES!P316="",NEGOCIAÇÕES!N316&lt;TODAY()),NEGOCIAÇÕES!N316,"")</f>
        <v/>
      </c>
      <c r="F316" s="6"/>
    </row>
    <row r="317" spans="2:6" ht="31.95" hidden="1" customHeight="1" x14ac:dyDescent="0.3">
      <c r="B317" s="6" t="str">
        <f ca="1">IF(AND(NEGOCIAÇÕES!P317="",NEGOCIAÇÕES!N317&lt;TODAY()),NEGOCIAÇÕES!C317,"")</f>
        <v/>
      </c>
      <c r="C317" s="6" t="str">
        <f ca="1">IF(AND(NEGOCIAÇÕES!P317="",NEGOCIAÇÕES!N317&lt;TODAY()),NEGOCIAÇÕES!E317,"")</f>
        <v/>
      </c>
      <c r="D317" s="6" t="str">
        <f ca="1">IF(AND(NEGOCIAÇÕES!P317="",NEGOCIAÇÕES!N317&lt;TODAY()),NEGOCIAÇÕES!D317,"")</f>
        <v/>
      </c>
      <c r="E317" s="9" t="str">
        <f ca="1">IF(AND(NEGOCIAÇÕES!P317="",NEGOCIAÇÕES!N317&lt;TODAY()),NEGOCIAÇÕES!N317,"")</f>
        <v/>
      </c>
      <c r="F317" s="6"/>
    </row>
    <row r="318" spans="2:6" ht="31.95" hidden="1" customHeight="1" x14ac:dyDescent="0.3">
      <c r="B318" s="6" t="str">
        <f ca="1">IF(AND(NEGOCIAÇÕES!P318="",NEGOCIAÇÕES!N318&lt;TODAY()),NEGOCIAÇÕES!C318,"")</f>
        <v/>
      </c>
      <c r="C318" s="6" t="str">
        <f ca="1">IF(AND(NEGOCIAÇÕES!P318="",NEGOCIAÇÕES!N318&lt;TODAY()),NEGOCIAÇÕES!E318,"")</f>
        <v/>
      </c>
      <c r="D318" s="6" t="str">
        <f ca="1">IF(AND(NEGOCIAÇÕES!P318="",NEGOCIAÇÕES!N318&lt;TODAY()),NEGOCIAÇÕES!D318,"")</f>
        <v/>
      </c>
      <c r="E318" s="9" t="str">
        <f ca="1">IF(AND(NEGOCIAÇÕES!P318="",NEGOCIAÇÕES!N318&lt;TODAY()),NEGOCIAÇÕES!N318,"")</f>
        <v/>
      </c>
      <c r="F318" s="6"/>
    </row>
    <row r="319" spans="2:6" ht="31.95" hidden="1" customHeight="1" x14ac:dyDescent="0.3">
      <c r="B319" s="6" t="str">
        <f ca="1">IF(AND(NEGOCIAÇÕES!P319="",NEGOCIAÇÕES!N319&lt;TODAY()),NEGOCIAÇÕES!C319,"")</f>
        <v/>
      </c>
      <c r="C319" s="6" t="str">
        <f ca="1">IF(AND(NEGOCIAÇÕES!P319="",NEGOCIAÇÕES!N319&lt;TODAY()),NEGOCIAÇÕES!E319,"")</f>
        <v/>
      </c>
      <c r="D319" s="6" t="str">
        <f ca="1">IF(AND(NEGOCIAÇÕES!P319="",NEGOCIAÇÕES!N319&lt;TODAY()),NEGOCIAÇÕES!D319,"")</f>
        <v/>
      </c>
      <c r="E319" s="9" t="str">
        <f ca="1">IF(AND(NEGOCIAÇÕES!P319="",NEGOCIAÇÕES!N319&lt;TODAY()),NEGOCIAÇÕES!N319,"")</f>
        <v/>
      </c>
      <c r="F319" s="6"/>
    </row>
    <row r="320" spans="2:6" ht="31.95" hidden="1" customHeight="1" x14ac:dyDescent="0.3">
      <c r="B320" s="6" t="str">
        <f ca="1">IF(AND(NEGOCIAÇÕES!P320="",NEGOCIAÇÕES!N320&lt;TODAY()),NEGOCIAÇÕES!C320,"")</f>
        <v/>
      </c>
      <c r="C320" s="6" t="str">
        <f ca="1">IF(AND(NEGOCIAÇÕES!P320="",NEGOCIAÇÕES!N320&lt;TODAY()),NEGOCIAÇÕES!E320,"")</f>
        <v/>
      </c>
      <c r="D320" s="6" t="str">
        <f ca="1">IF(AND(NEGOCIAÇÕES!P320="",NEGOCIAÇÕES!N320&lt;TODAY()),NEGOCIAÇÕES!D320,"")</f>
        <v/>
      </c>
      <c r="E320" s="9" t="str">
        <f ca="1">IF(AND(NEGOCIAÇÕES!P320="",NEGOCIAÇÕES!N320&lt;TODAY()),NEGOCIAÇÕES!N320,"")</f>
        <v/>
      </c>
      <c r="F320" s="6"/>
    </row>
    <row r="321" spans="2:6" ht="31.95" hidden="1" customHeight="1" x14ac:dyDescent="0.3">
      <c r="B321" s="6" t="str">
        <f ca="1">IF(AND(NEGOCIAÇÕES!P321="",NEGOCIAÇÕES!N321&lt;TODAY()),NEGOCIAÇÕES!C321,"")</f>
        <v/>
      </c>
      <c r="C321" s="6" t="str">
        <f ca="1">IF(AND(NEGOCIAÇÕES!P321="",NEGOCIAÇÕES!N321&lt;TODAY()),NEGOCIAÇÕES!E321,"")</f>
        <v/>
      </c>
      <c r="D321" s="6" t="str">
        <f ca="1">IF(AND(NEGOCIAÇÕES!P321="",NEGOCIAÇÕES!N321&lt;TODAY()),NEGOCIAÇÕES!D321,"")</f>
        <v/>
      </c>
      <c r="E321" s="9" t="str">
        <f ca="1">IF(AND(NEGOCIAÇÕES!P321="",NEGOCIAÇÕES!N321&lt;TODAY()),NEGOCIAÇÕES!N321,"")</f>
        <v/>
      </c>
      <c r="F321" s="6"/>
    </row>
    <row r="322" spans="2:6" ht="31.95" hidden="1" customHeight="1" x14ac:dyDescent="0.3">
      <c r="B322" s="6" t="str">
        <f ca="1">IF(AND(NEGOCIAÇÕES!P322="",NEGOCIAÇÕES!N322&lt;TODAY()),NEGOCIAÇÕES!C322,"")</f>
        <v/>
      </c>
      <c r="C322" s="6" t="str">
        <f ca="1">IF(AND(NEGOCIAÇÕES!P322="",NEGOCIAÇÕES!N322&lt;TODAY()),NEGOCIAÇÕES!E322,"")</f>
        <v/>
      </c>
      <c r="D322" s="6" t="str">
        <f ca="1">IF(AND(NEGOCIAÇÕES!P322="",NEGOCIAÇÕES!N322&lt;TODAY()),NEGOCIAÇÕES!D322,"")</f>
        <v/>
      </c>
      <c r="E322" s="9" t="str">
        <f ca="1">IF(AND(NEGOCIAÇÕES!P322="",NEGOCIAÇÕES!N322&lt;TODAY()),NEGOCIAÇÕES!N322,"")</f>
        <v/>
      </c>
      <c r="F322" s="6"/>
    </row>
    <row r="323" spans="2:6" ht="31.95" hidden="1" customHeight="1" x14ac:dyDescent="0.3">
      <c r="B323" s="6" t="str">
        <f ca="1">IF(AND(NEGOCIAÇÕES!P323="",NEGOCIAÇÕES!N323&lt;TODAY()),NEGOCIAÇÕES!C323,"")</f>
        <v/>
      </c>
      <c r="C323" s="6" t="str">
        <f ca="1">IF(AND(NEGOCIAÇÕES!P323="",NEGOCIAÇÕES!N323&lt;TODAY()),NEGOCIAÇÕES!E323,"")</f>
        <v/>
      </c>
      <c r="D323" s="6" t="str">
        <f ca="1">IF(AND(NEGOCIAÇÕES!P323="",NEGOCIAÇÕES!N323&lt;TODAY()),NEGOCIAÇÕES!D323,"")</f>
        <v/>
      </c>
      <c r="E323" s="9" t="str">
        <f ca="1">IF(AND(NEGOCIAÇÕES!P323="",NEGOCIAÇÕES!N323&lt;TODAY()),NEGOCIAÇÕES!N323,"")</f>
        <v/>
      </c>
      <c r="F323" s="6"/>
    </row>
    <row r="324" spans="2:6" ht="31.95" hidden="1" customHeight="1" x14ac:dyDescent="0.3">
      <c r="B324" s="6" t="str">
        <f ca="1">IF(AND(NEGOCIAÇÕES!P324="",NEGOCIAÇÕES!N324&lt;TODAY()),NEGOCIAÇÕES!C324,"")</f>
        <v/>
      </c>
      <c r="C324" s="6" t="str">
        <f ca="1">IF(AND(NEGOCIAÇÕES!P324="",NEGOCIAÇÕES!N324&lt;TODAY()),NEGOCIAÇÕES!E324,"")</f>
        <v/>
      </c>
      <c r="D324" s="6" t="str">
        <f ca="1">IF(AND(NEGOCIAÇÕES!P324="",NEGOCIAÇÕES!N324&lt;TODAY()),NEGOCIAÇÕES!D324,"")</f>
        <v/>
      </c>
      <c r="E324" s="9" t="str">
        <f ca="1">IF(AND(NEGOCIAÇÕES!P324="",NEGOCIAÇÕES!N324&lt;TODAY()),NEGOCIAÇÕES!N324,"")</f>
        <v/>
      </c>
      <c r="F324" s="6"/>
    </row>
    <row r="325" spans="2:6" ht="31.95" hidden="1" customHeight="1" x14ac:dyDescent="0.3">
      <c r="B325" s="6" t="str">
        <f ca="1">IF(AND(NEGOCIAÇÕES!P325="",NEGOCIAÇÕES!N325&lt;TODAY()),NEGOCIAÇÕES!C325,"")</f>
        <v/>
      </c>
      <c r="C325" s="6" t="str">
        <f ca="1">IF(AND(NEGOCIAÇÕES!P325="",NEGOCIAÇÕES!N325&lt;TODAY()),NEGOCIAÇÕES!E325,"")</f>
        <v/>
      </c>
      <c r="D325" s="6" t="str">
        <f ca="1">IF(AND(NEGOCIAÇÕES!P325="",NEGOCIAÇÕES!N325&lt;TODAY()),NEGOCIAÇÕES!D325,"")</f>
        <v/>
      </c>
      <c r="E325" s="9" t="str">
        <f ca="1">IF(AND(NEGOCIAÇÕES!P325="",NEGOCIAÇÕES!N325&lt;TODAY()),NEGOCIAÇÕES!N325,"")</f>
        <v/>
      </c>
      <c r="F325" s="6"/>
    </row>
    <row r="326" spans="2:6" ht="31.95" hidden="1" customHeight="1" x14ac:dyDescent="0.3">
      <c r="B326" s="6" t="str">
        <f ca="1">IF(AND(NEGOCIAÇÕES!P326="",NEGOCIAÇÕES!N326&lt;TODAY()),NEGOCIAÇÕES!C326,"")</f>
        <v/>
      </c>
      <c r="C326" s="6" t="str">
        <f ca="1">IF(AND(NEGOCIAÇÕES!P326="",NEGOCIAÇÕES!N326&lt;TODAY()),NEGOCIAÇÕES!E326,"")</f>
        <v/>
      </c>
      <c r="D326" s="6" t="str">
        <f ca="1">IF(AND(NEGOCIAÇÕES!P326="",NEGOCIAÇÕES!N326&lt;TODAY()),NEGOCIAÇÕES!D326,"")</f>
        <v/>
      </c>
      <c r="E326" s="9" t="str">
        <f ca="1">IF(AND(NEGOCIAÇÕES!P326="",NEGOCIAÇÕES!N326&lt;TODAY()),NEGOCIAÇÕES!N326,"")</f>
        <v/>
      </c>
      <c r="F326" s="6"/>
    </row>
    <row r="327" spans="2:6" ht="31.95" hidden="1" customHeight="1" x14ac:dyDescent="0.3">
      <c r="B327" s="6" t="str">
        <f ca="1">IF(AND(NEGOCIAÇÕES!P327="",NEGOCIAÇÕES!N327&lt;TODAY()),NEGOCIAÇÕES!C327,"")</f>
        <v/>
      </c>
      <c r="C327" s="6" t="str">
        <f ca="1">IF(AND(NEGOCIAÇÕES!P327="",NEGOCIAÇÕES!N327&lt;TODAY()),NEGOCIAÇÕES!E327,"")</f>
        <v/>
      </c>
      <c r="D327" s="6" t="str">
        <f ca="1">IF(AND(NEGOCIAÇÕES!P327="",NEGOCIAÇÕES!N327&lt;TODAY()),NEGOCIAÇÕES!D327,"")</f>
        <v/>
      </c>
      <c r="E327" s="9" t="str">
        <f ca="1">IF(AND(NEGOCIAÇÕES!P327="",NEGOCIAÇÕES!N327&lt;TODAY()),NEGOCIAÇÕES!N327,"")</f>
        <v/>
      </c>
      <c r="F327" s="6"/>
    </row>
    <row r="328" spans="2:6" ht="31.95" hidden="1" customHeight="1" x14ac:dyDescent="0.3">
      <c r="B328" s="6" t="str">
        <f ca="1">IF(AND(NEGOCIAÇÕES!P328="",NEGOCIAÇÕES!N328&lt;TODAY()),NEGOCIAÇÕES!C328,"")</f>
        <v/>
      </c>
      <c r="C328" s="6" t="str">
        <f ca="1">IF(AND(NEGOCIAÇÕES!P328="",NEGOCIAÇÕES!N328&lt;TODAY()),NEGOCIAÇÕES!E328,"")</f>
        <v/>
      </c>
      <c r="D328" s="6" t="str">
        <f ca="1">IF(AND(NEGOCIAÇÕES!P328="",NEGOCIAÇÕES!N328&lt;TODAY()),NEGOCIAÇÕES!D328,"")</f>
        <v/>
      </c>
      <c r="E328" s="9" t="str">
        <f ca="1">IF(AND(NEGOCIAÇÕES!P328="",NEGOCIAÇÕES!N328&lt;TODAY()),NEGOCIAÇÕES!N328,"")</f>
        <v/>
      </c>
      <c r="F328" s="6"/>
    </row>
    <row r="329" spans="2:6" ht="31.95" hidden="1" customHeight="1" x14ac:dyDescent="0.3">
      <c r="B329" s="6" t="str">
        <f ca="1">IF(AND(NEGOCIAÇÕES!P329="",NEGOCIAÇÕES!N329&lt;TODAY()),NEGOCIAÇÕES!C329,"")</f>
        <v/>
      </c>
      <c r="C329" s="6" t="str">
        <f ca="1">IF(AND(NEGOCIAÇÕES!P329="",NEGOCIAÇÕES!N329&lt;TODAY()),NEGOCIAÇÕES!E329,"")</f>
        <v/>
      </c>
      <c r="D329" s="6" t="str">
        <f ca="1">IF(AND(NEGOCIAÇÕES!P329="",NEGOCIAÇÕES!N329&lt;TODAY()),NEGOCIAÇÕES!D329,"")</f>
        <v/>
      </c>
      <c r="E329" s="9" t="str">
        <f ca="1">IF(AND(NEGOCIAÇÕES!P329="",NEGOCIAÇÕES!N329&lt;TODAY()),NEGOCIAÇÕES!N329,"")</f>
        <v/>
      </c>
      <c r="F329" s="6"/>
    </row>
    <row r="330" spans="2:6" ht="31.95" hidden="1" customHeight="1" x14ac:dyDescent="0.3">
      <c r="B330" s="6" t="str">
        <f ca="1">IF(AND(NEGOCIAÇÕES!P330="",NEGOCIAÇÕES!N330&lt;TODAY()),NEGOCIAÇÕES!C330,"")</f>
        <v/>
      </c>
      <c r="C330" s="6" t="str">
        <f ca="1">IF(AND(NEGOCIAÇÕES!P330="",NEGOCIAÇÕES!N330&lt;TODAY()),NEGOCIAÇÕES!E330,"")</f>
        <v/>
      </c>
      <c r="D330" s="6" t="str">
        <f ca="1">IF(AND(NEGOCIAÇÕES!P330="",NEGOCIAÇÕES!N330&lt;TODAY()),NEGOCIAÇÕES!D330,"")</f>
        <v/>
      </c>
      <c r="E330" s="9" t="str">
        <f ca="1">IF(AND(NEGOCIAÇÕES!P330="",NEGOCIAÇÕES!N330&lt;TODAY()),NEGOCIAÇÕES!N330,"")</f>
        <v/>
      </c>
      <c r="F330" s="6"/>
    </row>
    <row r="331" spans="2:6" ht="31.95" hidden="1" customHeight="1" x14ac:dyDescent="0.3">
      <c r="B331" s="6" t="str">
        <f ca="1">IF(AND(NEGOCIAÇÕES!P331="",NEGOCIAÇÕES!N331&lt;TODAY()),NEGOCIAÇÕES!C331,"")</f>
        <v/>
      </c>
      <c r="C331" s="6" t="str">
        <f ca="1">IF(AND(NEGOCIAÇÕES!P331="",NEGOCIAÇÕES!N331&lt;TODAY()),NEGOCIAÇÕES!E331,"")</f>
        <v/>
      </c>
      <c r="D331" s="6" t="str">
        <f ca="1">IF(AND(NEGOCIAÇÕES!P331="",NEGOCIAÇÕES!N331&lt;TODAY()),NEGOCIAÇÕES!D331,"")</f>
        <v/>
      </c>
      <c r="E331" s="9" t="str">
        <f ca="1">IF(AND(NEGOCIAÇÕES!P331="",NEGOCIAÇÕES!N331&lt;TODAY()),NEGOCIAÇÕES!N331,"")</f>
        <v/>
      </c>
      <c r="F331" s="6"/>
    </row>
    <row r="332" spans="2:6" ht="31.95" hidden="1" customHeight="1" x14ac:dyDescent="0.3">
      <c r="B332" s="6" t="str">
        <f ca="1">IF(AND(NEGOCIAÇÕES!P332="",NEGOCIAÇÕES!N332&lt;TODAY()),NEGOCIAÇÕES!C332,"")</f>
        <v/>
      </c>
      <c r="C332" s="6" t="str">
        <f ca="1">IF(AND(NEGOCIAÇÕES!P332="",NEGOCIAÇÕES!N332&lt;TODAY()),NEGOCIAÇÕES!E332,"")</f>
        <v/>
      </c>
      <c r="D332" s="6" t="str">
        <f ca="1">IF(AND(NEGOCIAÇÕES!P332="",NEGOCIAÇÕES!N332&lt;TODAY()),NEGOCIAÇÕES!D332,"")</f>
        <v/>
      </c>
      <c r="E332" s="9" t="str">
        <f ca="1">IF(AND(NEGOCIAÇÕES!P332="",NEGOCIAÇÕES!N332&lt;TODAY()),NEGOCIAÇÕES!N332,"")</f>
        <v/>
      </c>
      <c r="F332" s="6"/>
    </row>
    <row r="333" spans="2:6" ht="31.95" hidden="1" customHeight="1" x14ac:dyDescent="0.3">
      <c r="B333" s="6" t="str">
        <f ca="1">IF(AND(NEGOCIAÇÕES!P333="",NEGOCIAÇÕES!N333&lt;TODAY()),NEGOCIAÇÕES!C333,"")</f>
        <v/>
      </c>
      <c r="C333" s="6" t="str">
        <f ca="1">IF(AND(NEGOCIAÇÕES!P333="",NEGOCIAÇÕES!N333&lt;TODAY()),NEGOCIAÇÕES!E333,"")</f>
        <v/>
      </c>
      <c r="D333" s="6" t="str">
        <f ca="1">IF(AND(NEGOCIAÇÕES!P333="",NEGOCIAÇÕES!N333&lt;TODAY()),NEGOCIAÇÕES!D333,"")</f>
        <v/>
      </c>
      <c r="E333" s="9" t="str">
        <f ca="1">IF(AND(NEGOCIAÇÕES!P333="",NEGOCIAÇÕES!N333&lt;TODAY()),NEGOCIAÇÕES!N333,"")</f>
        <v/>
      </c>
      <c r="F333" s="6"/>
    </row>
    <row r="334" spans="2:6" ht="31.95" hidden="1" customHeight="1" x14ac:dyDescent="0.3">
      <c r="B334" s="6" t="str">
        <f ca="1">IF(AND(NEGOCIAÇÕES!P334="",NEGOCIAÇÕES!N334&lt;TODAY()),NEGOCIAÇÕES!C334,"")</f>
        <v/>
      </c>
      <c r="C334" s="6" t="str">
        <f ca="1">IF(AND(NEGOCIAÇÕES!P334="",NEGOCIAÇÕES!N334&lt;TODAY()),NEGOCIAÇÕES!E334,"")</f>
        <v/>
      </c>
      <c r="D334" s="6" t="str">
        <f ca="1">IF(AND(NEGOCIAÇÕES!P334="",NEGOCIAÇÕES!N334&lt;TODAY()),NEGOCIAÇÕES!D334,"")</f>
        <v/>
      </c>
      <c r="E334" s="9" t="str">
        <f ca="1">IF(AND(NEGOCIAÇÕES!P334="",NEGOCIAÇÕES!N334&lt;TODAY()),NEGOCIAÇÕES!N334,"")</f>
        <v/>
      </c>
      <c r="F334" s="6"/>
    </row>
    <row r="335" spans="2:6" ht="31.95" hidden="1" customHeight="1" x14ac:dyDescent="0.3">
      <c r="B335" s="6" t="str">
        <f ca="1">IF(AND(NEGOCIAÇÕES!P335="",NEGOCIAÇÕES!N335&lt;TODAY()),NEGOCIAÇÕES!C335,"")</f>
        <v/>
      </c>
      <c r="C335" s="6" t="str">
        <f ca="1">IF(AND(NEGOCIAÇÕES!P335="",NEGOCIAÇÕES!N335&lt;TODAY()),NEGOCIAÇÕES!E335,"")</f>
        <v/>
      </c>
      <c r="D335" s="6" t="str">
        <f ca="1">IF(AND(NEGOCIAÇÕES!P335="",NEGOCIAÇÕES!N335&lt;TODAY()),NEGOCIAÇÕES!D335,"")</f>
        <v/>
      </c>
      <c r="E335" s="9" t="str">
        <f ca="1">IF(AND(NEGOCIAÇÕES!P335="",NEGOCIAÇÕES!N335&lt;TODAY()),NEGOCIAÇÕES!N335,"")</f>
        <v/>
      </c>
      <c r="F335" s="6"/>
    </row>
    <row r="336" spans="2:6" ht="31.95" hidden="1" customHeight="1" x14ac:dyDescent="0.3">
      <c r="B336" s="6" t="str">
        <f ca="1">IF(AND(NEGOCIAÇÕES!P336="",NEGOCIAÇÕES!N336&lt;TODAY()),NEGOCIAÇÕES!C336,"")</f>
        <v/>
      </c>
      <c r="C336" s="6" t="str">
        <f ca="1">IF(AND(NEGOCIAÇÕES!P336="",NEGOCIAÇÕES!N336&lt;TODAY()),NEGOCIAÇÕES!E336,"")</f>
        <v/>
      </c>
      <c r="D336" s="6" t="str">
        <f ca="1">IF(AND(NEGOCIAÇÕES!P336="",NEGOCIAÇÕES!N336&lt;TODAY()),NEGOCIAÇÕES!D336,"")</f>
        <v/>
      </c>
      <c r="E336" s="9" t="str">
        <f ca="1">IF(AND(NEGOCIAÇÕES!P336="",NEGOCIAÇÕES!N336&lt;TODAY()),NEGOCIAÇÕES!N336,"")</f>
        <v/>
      </c>
      <c r="F336" s="6"/>
    </row>
    <row r="337" spans="2:6" ht="31.95" hidden="1" customHeight="1" x14ac:dyDescent="0.3">
      <c r="B337" s="6" t="str">
        <f ca="1">IF(AND(NEGOCIAÇÕES!P337="",NEGOCIAÇÕES!N337&lt;TODAY()),NEGOCIAÇÕES!C337,"")</f>
        <v/>
      </c>
      <c r="C337" s="6" t="str">
        <f ca="1">IF(AND(NEGOCIAÇÕES!P337="",NEGOCIAÇÕES!N337&lt;TODAY()),NEGOCIAÇÕES!E337,"")</f>
        <v/>
      </c>
      <c r="D337" s="6" t="str">
        <f ca="1">IF(AND(NEGOCIAÇÕES!P337="",NEGOCIAÇÕES!N337&lt;TODAY()),NEGOCIAÇÕES!D337,"")</f>
        <v/>
      </c>
      <c r="E337" s="9" t="str">
        <f ca="1">IF(AND(NEGOCIAÇÕES!P337="",NEGOCIAÇÕES!N337&lt;TODAY()),NEGOCIAÇÕES!N337,"")</f>
        <v/>
      </c>
      <c r="F337" s="6"/>
    </row>
    <row r="338" spans="2:6" ht="31.95" hidden="1" customHeight="1" x14ac:dyDescent="0.3">
      <c r="B338" s="6" t="str">
        <f ca="1">IF(AND(NEGOCIAÇÕES!P338="",NEGOCIAÇÕES!N338&lt;TODAY()),NEGOCIAÇÕES!C338,"")</f>
        <v/>
      </c>
      <c r="C338" s="6" t="str">
        <f ca="1">IF(AND(NEGOCIAÇÕES!P338="",NEGOCIAÇÕES!N338&lt;TODAY()),NEGOCIAÇÕES!E338,"")</f>
        <v/>
      </c>
      <c r="D338" s="6" t="str">
        <f ca="1">IF(AND(NEGOCIAÇÕES!P338="",NEGOCIAÇÕES!N338&lt;TODAY()),NEGOCIAÇÕES!D338,"")</f>
        <v/>
      </c>
      <c r="E338" s="9" t="str">
        <f ca="1">IF(AND(NEGOCIAÇÕES!P338="",NEGOCIAÇÕES!N338&lt;TODAY()),NEGOCIAÇÕES!N338,"")</f>
        <v/>
      </c>
      <c r="F338" s="6"/>
    </row>
    <row r="339" spans="2:6" ht="31.95" hidden="1" customHeight="1" x14ac:dyDescent="0.3">
      <c r="B339" s="6" t="str">
        <f ca="1">IF(AND(NEGOCIAÇÕES!P339="",NEGOCIAÇÕES!N339&lt;TODAY()),NEGOCIAÇÕES!C339,"")</f>
        <v/>
      </c>
      <c r="C339" s="6" t="str">
        <f ca="1">IF(AND(NEGOCIAÇÕES!P339="",NEGOCIAÇÕES!N339&lt;TODAY()),NEGOCIAÇÕES!E339,"")</f>
        <v/>
      </c>
      <c r="D339" s="6" t="str">
        <f ca="1">IF(AND(NEGOCIAÇÕES!P339="",NEGOCIAÇÕES!N339&lt;TODAY()),NEGOCIAÇÕES!D339,"")</f>
        <v/>
      </c>
      <c r="E339" s="9" t="str">
        <f ca="1">IF(AND(NEGOCIAÇÕES!P339="",NEGOCIAÇÕES!N339&lt;TODAY()),NEGOCIAÇÕES!N339,"")</f>
        <v/>
      </c>
      <c r="F339" s="6"/>
    </row>
    <row r="340" spans="2:6" ht="31.95" hidden="1" customHeight="1" x14ac:dyDescent="0.3">
      <c r="B340" s="6" t="str">
        <f ca="1">IF(AND(NEGOCIAÇÕES!P340="",NEGOCIAÇÕES!N340&lt;TODAY()),NEGOCIAÇÕES!C340,"")</f>
        <v/>
      </c>
      <c r="C340" s="6" t="str">
        <f ca="1">IF(AND(NEGOCIAÇÕES!P340="",NEGOCIAÇÕES!N340&lt;TODAY()),NEGOCIAÇÕES!E340,"")</f>
        <v/>
      </c>
      <c r="D340" s="6" t="str">
        <f ca="1">IF(AND(NEGOCIAÇÕES!P340="",NEGOCIAÇÕES!N340&lt;TODAY()),NEGOCIAÇÕES!D340,"")</f>
        <v/>
      </c>
      <c r="E340" s="9" t="str">
        <f ca="1">IF(AND(NEGOCIAÇÕES!P340="",NEGOCIAÇÕES!N340&lt;TODAY()),NEGOCIAÇÕES!N340,"")</f>
        <v/>
      </c>
      <c r="F340" s="6"/>
    </row>
    <row r="341" spans="2:6" ht="31.95" hidden="1" customHeight="1" x14ac:dyDescent="0.3">
      <c r="B341" s="6" t="str">
        <f ca="1">IF(AND(NEGOCIAÇÕES!P341="",NEGOCIAÇÕES!N341&lt;TODAY()),NEGOCIAÇÕES!C341,"")</f>
        <v/>
      </c>
      <c r="C341" s="6" t="str">
        <f ca="1">IF(AND(NEGOCIAÇÕES!P341="",NEGOCIAÇÕES!N341&lt;TODAY()),NEGOCIAÇÕES!E341,"")</f>
        <v/>
      </c>
      <c r="D341" s="6" t="str">
        <f ca="1">IF(AND(NEGOCIAÇÕES!P341="",NEGOCIAÇÕES!N341&lt;TODAY()),NEGOCIAÇÕES!D341,"")</f>
        <v/>
      </c>
      <c r="E341" s="9" t="str">
        <f ca="1">IF(AND(NEGOCIAÇÕES!P341="",NEGOCIAÇÕES!N341&lt;TODAY()),NEGOCIAÇÕES!N341,"")</f>
        <v/>
      </c>
      <c r="F341" s="6"/>
    </row>
    <row r="342" spans="2:6" ht="31.95" hidden="1" customHeight="1" x14ac:dyDescent="0.3">
      <c r="B342" s="6" t="str">
        <f ca="1">IF(AND(NEGOCIAÇÕES!P342="",NEGOCIAÇÕES!N342&lt;TODAY()),NEGOCIAÇÕES!C342,"")</f>
        <v/>
      </c>
      <c r="C342" s="6" t="str">
        <f ca="1">IF(AND(NEGOCIAÇÕES!P342="",NEGOCIAÇÕES!N342&lt;TODAY()),NEGOCIAÇÕES!E342,"")</f>
        <v/>
      </c>
      <c r="D342" s="6" t="str">
        <f ca="1">IF(AND(NEGOCIAÇÕES!P342="",NEGOCIAÇÕES!N342&lt;TODAY()),NEGOCIAÇÕES!D342,"")</f>
        <v/>
      </c>
      <c r="E342" s="9" t="str">
        <f ca="1">IF(AND(NEGOCIAÇÕES!P342="",NEGOCIAÇÕES!N342&lt;TODAY()),NEGOCIAÇÕES!N342,"")</f>
        <v/>
      </c>
      <c r="F342" s="6"/>
    </row>
    <row r="343" spans="2:6" ht="31.95" hidden="1" customHeight="1" x14ac:dyDescent="0.3">
      <c r="B343" s="6" t="str">
        <f ca="1">IF(AND(NEGOCIAÇÕES!P343="",NEGOCIAÇÕES!N343&lt;TODAY()),NEGOCIAÇÕES!C343,"")</f>
        <v/>
      </c>
      <c r="C343" s="6" t="str">
        <f ca="1">IF(AND(NEGOCIAÇÕES!P343="",NEGOCIAÇÕES!N343&lt;TODAY()),NEGOCIAÇÕES!E343,"")</f>
        <v/>
      </c>
      <c r="D343" s="6" t="str">
        <f ca="1">IF(AND(NEGOCIAÇÕES!P343="",NEGOCIAÇÕES!N343&lt;TODAY()),NEGOCIAÇÕES!D343,"")</f>
        <v/>
      </c>
      <c r="E343" s="9" t="str">
        <f ca="1">IF(AND(NEGOCIAÇÕES!P343="",NEGOCIAÇÕES!N343&lt;TODAY()),NEGOCIAÇÕES!N343,"")</f>
        <v/>
      </c>
      <c r="F343" s="6"/>
    </row>
    <row r="344" spans="2:6" ht="31.95" hidden="1" customHeight="1" x14ac:dyDescent="0.3">
      <c r="B344" s="6" t="str">
        <f ca="1">IF(AND(NEGOCIAÇÕES!P344="",NEGOCIAÇÕES!N344&lt;TODAY()),NEGOCIAÇÕES!C344,"")</f>
        <v/>
      </c>
      <c r="C344" s="6" t="str">
        <f ca="1">IF(AND(NEGOCIAÇÕES!P344="",NEGOCIAÇÕES!N344&lt;TODAY()),NEGOCIAÇÕES!E344,"")</f>
        <v/>
      </c>
      <c r="D344" s="6" t="str">
        <f ca="1">IF(AND(NEGOCIAÇÕES!P344="",NEGOCIAÇÕES!N344&lt;TODAY()),NEGOCIAÇÕES!D344,"")</f>
        <v/>
      </c>
      <c r="E344" s="9" t="str">
        <f ca="1">IF(AND(NEGOCIAÇÕES!P344="",NEGOCIAÇÕES!N344&lt;TODAY()),NEGOCIAÇÕES!N344,"")</f>
        <v/>
      </c>
      <c r="F344" s="6"/>
    </row>
    <row r="345" spans="2:6" ht="31.95" hidden="1" customHeight="1" x14ac:dyDescent="0.3">
      <c r="B345" s="6" t="str">
        <f ca="1">IF(AND(NEGOCIAÇÕES!P345="",NEGOCIAÇÕES!N345&lt;TODAY()),NEGOCIAÇÕES!C345,"")</f>
        <v/>
      </c>
      <c r="C345" s="6" t="str">
        <f ca="1">IF(AND(NEGOCIAÇÕES!P345="",NEGOCIAÇÕES!N345&lt;TODAY()),NEGOCIAÇÕES!E345,"")</f>
        <v/>
      </c>
      <c r="D345" s="6" t="str">
        <f ca="1">IF(AND(NEGOCIAÇÕES!P345="",NEGOCIAÇÕES!N345&lt;TODAY()),NEGOCIAÇÕES!D345,"")</f>
        <v/>
      </c>
      <c r="E345" s="9" t="str">
        <f ca="1">IF(AND(NEGOCIAÇÕES!P345="",NEGOCIAÇÕES!N345&lt;TODAY()),NEGOCIAÇÕES!N345,"")</f>
        <v/>
      </c>
      <c r="F345" s="6"/>
    </row>
    <row r="346" spans="2:6" ht="31.95" hidden="1" customHeight="1" x14ac:dyDescent="0.3">
      <c r="B346" s="6" t="str">
        <f ca="1">IF(AND(NEGOCIAÇÕES!P346="",NEGOCIAÇÕES!N346&lt;TODAY()),NEGOCIAÇÕES!C346,"")</f>
        <v/>
      </c>
      <c r="C346" s="6" t="str">
        <f ca="1">IF(AND(NEGOCIAÇÕES!P346="",NEGOCIAÇÕES!N346&lt;TODAY()),NEGOCIAÇÕES!E346,"")</f>
        <v/>
      </c>
      <c r="D346" s="6" t="str">
        <f ca="1">IF(AND(NEGOCIAÇÕES!P346="",NEGOCIAÇÕES!N346&lt;TODAY()),NEGOCIAÇÕES!D346,"")</f>
        <v/>
      </c>
      <c r="E346" s="9" t="str">
        <f ca="1">IF(AND(NEGOCIAÇÕES!P346="",NEGOCIAÇÕES!N346&lt;TODAY()),NEGOCIAÇÕES!N346,"")</f>
        <v/>
      </c>
      <c r="F346" s="6"/>
    </row>
    <row r="347" spans="2:6" ht="31.95" hidden="1" customHeight="1" x14ac:dyDescent="0.3">
      <c r="B347" s="6" t="str">
        <f ca="1">IF(AND(NEGOCIAÇÕES!P347="",NEGOCIAÇÕES!N347&lt;TODAY()),NEGOCIAÇÕES!C347,"")</f>
        <v/>
      </c>
      <c r="C347" s="6" t="str">
        <f ca="1">IF(AND(NEGOCIAÇÕES!P347="",NEGOCIAÇÕES!N347&lt;TODAY()),NEGOCIAÇÕES!E347,"")</f>
        <v/>
      </c>
      <c r="D347" s="6" t="str">
        <f ca="1">IF(AND(NEGOCIAÇÕES!P347="",NEGOCIAÇÕES!N347&lt;TODAY()),NEGOCIAÇÕES!D347,"")</f>
        <v/>
      </c>
      <c r="E347" s="9" t="str">
        <f ca="1">IF(AND(NEGOCIAÇÕES!P347="",NEGOCIAÇÕES!N347&lt;TODAY()),NEGOCIAÇÕES!N347,"")</f>
        <v/>
      </c>
      <c r="F347" s="6"/>
    </row>
    <row r="348" spans="2:6" ht="31.95" hidden="1" customHeight="1" x14ac:dyDescent="0.3">
      <c r="B348" s="6" t="str">
        <f ca="1">IF(AND(NEGOCIAÇÕES!P348="",NEGOCIAÇÕES!N348&lt;TODAY()),NEGOCIAÇÕES!C348,"")</f>
        <v/>
      </c>
      <c r="C348" s="6" t="str">
        <f ca="1">IF(AND(NEGOCIAÇÕES!P348="",NEGOCIAÇÕES!N348&lt;TODAY()),NEGOCIAÇÕES!E348,"")</f>
        <v/>
      </c>
      <c r="D348" s="6" t="str">
        <f ca="1">IF(AND(NEGOCIAÇÕES!P348="",NEGOCIAÇÕES!N348&lt;TODAY()),NEGOCIAÇÕES!D348,"")</f>
        <v/>
      </c>
      <c r="E348" s="9" t="str">
        <f ca="1">IF(AND(NEGOCIAÇÕES!P348="",NEGOCIAÇÕES!N348&lt;TODAY()),NEGOCIAÇÕES!N348,"")</f>
        <v/>
      </c>
      <c r="F348" s="6"/>
    </row>
    <row r="349" spans="2:6" ht="31.95" hidden="1" customHeight="1" x14ac:dyDescent="0.3">
      <c r="B349" s="6" t="str">
        <f ca="1">IF(AND(NEGOCIAÇÕES!P349="",NEGOCIAÇÕES!N349&lt;TODAY()),NEGOCIAÇÕES!C349,"")</f>
        <v/>
      </c>
      <c r="C349" s="6" t="str">
        <f ca="1">IF(AND(NEGOCIAÇÕES!P349="",NEGOCIAÇÕES!N349&lt;TODAY()),NEGOCIAÇÕES!E349,"")</f>
        <v/>
      </c>
      <c r="D349" s="6" t="str">
        <f ca="1">IF(AND(NEGOCIAÇÕES!P349="",NEGOCIAÇÕES!N349&lt;TODAY()),NEGOCIAÇÕES!D349,"")</f>
        <v/>
      </c>
      <c r="E349" s="9" t="str">
        <f ca="1">IF(AND(NEGOCIAÇÕES!P349="",NEGOCIAÇÕES!N349&lt;TODAY()),NEGOCIAÇÕES!N349,"")</f>
        <v/>
      </c>
      <c r="F349" s="6"/>
    </row>
    <row r="350" spans="2:6" ht="31.95" hidden="1" customHeight="1" x14ac:dyDescent="0.3">
      <c r="B350" s="6" t="str">
        <f ca="1">IF(AND(NEGOCIAÇÕES!P350="",NEGOCIAÇÕES!N350&lt;TODAY()),NEGOCIAÇÕES!C350,"")</f>
        <v/>
      </c>
      <c r="C350" s="6" t="str">
        <f ca="1">IF(AND(NEGOCIAÇÕES!P350="",NEGOCIAÇÕES!N350&lt;TODAY()),NEGOCIAÇÕES!E350,"")</f>
        <v/>
      </c>
      <c r="D350" s="6" t="str">
        <f ca="1">IF(AND(NEGOCIAÇÕES!P350="",NEGOCIAÇÕES!N350&lt;TODAY()),NEGOCIAÇÕES!D350,"")</f>
        <v/>
      </c>
      <c r="E350" s="9" t="str">
        <f ca="1">IF(AND(NEGOCIAÇÕES!P350="",NEGOCIAÇÕES!N350&lt;TODAY()),NEGOCIAÇÕES!N350,"")</f>
        <v/>
      </c>
      <c r="F350" s="6"/>
    </row>
    <row r="351" spans="2:6" ht="31.95" hidden="1" customHeight="1" x14ac:dyDescent="0.3">
      <c r="B351" s="6" t="str">
        <f ca="1">IF(AND(NEGOCIAÇÕES!P351="",NEGOCIAÇÕES!N351&lt;TODAY()),NEGOCIAÇÕES!C351,"")</f>
        <v/>
      </c>
      <c r="C351" s="6" t="str">
        <f ca="1">IF(AND(NEGOCIAÇÕES!P351="",NEGOCIAÇÕES!N351&lt;TODAY()),NEGOCIAÇÕES!E351,"")</f>
        <v/>
      </c>
      <c r="D351" s="6" t="str">
        <f ca="1">IF(AND(NEGOCIAÇÕES!P351="",NEGOCIAÇÕES!N351&lt;TODAY()),NEGOCIAÇÕES!D351,"")</f>
        <v/>
      </c>
      <c r="E351" s="9" t="str">
        <f ca="1">IF(AND(NEGOCIAÇÕES!P351="",NEGOCIAÇÕES!N351&lt;TODAY()),NEGOCIAÇÕES!N351,"")</f>
        <v/>
      </c>
      <c r="F351" s="6"/>
    </row>
    <row r="352" spans="2:6" ht="31.95" hidden="1" customHeight="1" x14ac:dyDescent="0.3">
      <c r="B352" s="6" t="str">
        <f ca="1">IF(AND(NEGOCIAÇÕES!P352="",NEGOCIAÇÕES!N352&lt;TODAY()),NEGOCIAÇÕES!C352,"")</f>
        <v/>
      </c>
      <c r="C352" s="6" t="str">
        <f ca="1">IF(AND(NEGOCIAÇÕES!P352="",NEGOCIAÇÕES!N352&lt;TODAY()),NEGOCIAÇÕES!E352,"")</f>
        <v/>
      </c>
      <c r="D352" s="6" t="str">
        <f ca="1">IF(AND(NEGOCIAÇÕES!P352="",NEGOCIAÇÕES!N352&lt;TODAY()),NEGOCIAÇÕES!D352,"")</f>
        <v/>
      </c>
      <c r="E352" s="9" t="str">
        <f ca="1">IF(AND(NEGOCIAÇÕES!P352="",NEGOCIAÇÕES!N352&lt;TODAY()),NEGOCIAÇÕES!N352,"")</f>
        <v/>
      </c>
      <c r="F352" s="6"/>
    </row>
    <row r="353" spans="2:6" ht="31.95" hidden="1" customHeight="1" x14ac:dyDescent="0.3">
      <c r="B353" s="6" t="str">
        <f ca="1">IF(AND(NEGOCIAÇÕES!P353="",NEGOCIAÇÕES!N353&lt;TODAY()),NEGOCIAÇÕES!C353,"")</f>
        <v/>
      </c>
      <c r="C353" s="6" t="str">
        <f ca="1">IF(AND(NEGOCIAÇÕES!P353="",NEGOCIAÇÕES!N353&lt;TODAY()),NEGOCIAÇÕES!E353,"")</f>
        <v/>
      </c>
      <c r="D353" s="6" t="str">
        <f ca="1">IF(AND(NEGOCIAÇÕES!P353="",NEGOCIAÇÕES!N353&lt;TODAY()),NEGOCIAÇÕES!D353,"")</f>
        <v/>
      </c>
      <c r="E353" s="9" t="str">
        <f ca="1">IF(AND(NEGOCIAÇÕES!P353="",NEGOCIAÇÕES!N353&lt;TODAY()),NEGOCIAÇÕES!N353,"")</f>
        <v/>
      </c>
      <c r="F353" s="6"/>
    </row>
    <row r="354" spans="2:6" ht="31.95" hidden="1" customHeight="1" x14ac:dyDescent="0.3">
      <c r="B354" s="6" t="str">
        <f ca="1">IF(AND(NEGOCIAÇÕES!P354="",NEGOCIAÇÕES!N354&lt;TODAY()),NEGOCIAÇÕES!C354,"")</f>
        <v/>
      </c>
      <c r="C354" s="6" t="str">
        <f ca="1">IF(AND(NEGOCIAÇÕES!P354="",NEGOCIAÇÕES!N354&lt;TODAY()),NEGOCIAÇÕES!E354,"")</f>
        <v/>
      </c>
      <c r="D354" s="6" t="str">
        <f ca="1">IF(AND(NEGOCIAÇÕES!P354="",NEGOCIAÇÕES!N354&lt;TODAY()),NEGOCIAÇÕES!D354,"")</f>
        <v/>
      </c>
      <c r="E354" s="9" t="str">
        <f ca="1">IF(AND(NEGOCIAÇÕES!P354="",NEGOCIAÇÕES!N354&lt;TODAY()),NEGOCIAÇÕES!N354,"")</f>
        <v/>
      </c>
      <c r="F354" s="6"/>
    </row>
    <row r="355" spans="2:6" ht="31.95" hidden="1" customHeight="1" x14ac:dyDescent="0.3">
      <c r="B355" s="6" t="str">
        <f ca="1">IF(AND(NEGOCIAÇÕES!P355="",NEGOCIAÇÕES!N355&lt;TODAY()),NEGOCIAÇÕES!C355,"")</f>
        <v/>
      </c>
      <c r="C355" s="6" t="str">
        <f ca="1">IF(AND(NEGOCIAÇÕES!P355="",NEGOCIAÇÕES!N355&lt;TODAY()),NEGOCIAÇÕES!E355,"")</f>
        <v/>
      </c>
      <c r="D355" s="6" t="str">
        <f ca="1">IF(AND(NEGOCIAÇÕES!P355="",NEGOCIAÇÕES!N355&lt;TODAY()),NEGOCIAÇÕES!D355,"")</f>
        <v/>
      </c>
      <c r="E355" s="9" t="str">
        <f ca="1">IF(AND(NEGOCIAÇÕES!P355="",NEGOCIAÇÕES!N355&lt;TODAY()),NEGOCIAÇÕES!N355,"")</f>
        <v/>
      </c>
      <c r="F355" s="6"/>
    </row>
    <row r="356" spans="2:6" ht="31.95" hidden="1" customHeight="1" x14ac:dyDescent="0.3">
      <c r="B356" s="6" t="str">
        <f ca="1">IF(AND(NEGOCIAÇÕES!P356="",NEGOCIAÇÕES!N356&lt;TODAY()),NEGOCIAÇÕES!C356,"")</f>
        <v/>
      </c>
      <c r="C356" s="6" t="str">
        <f ca="1">IF(AND(NEGOCIAÇÕES!P356="",NEGOCIAÇÕES!N356&lt;TODAY()),NEGOCIAÇÕES!E356,"")</f>
        <v/>
      </c>
      <c r="D356" s="6" t="str">
        <f ca="1">IF(AND(NEGOCIAÇÕES!P356="",NEGOCIAÇÕES!N356&lt;TODAY()),NEGOCIAÇÕES!D356,"")</f>
        <v/>
      </c>
      <c r="E356" s="9" t="str">
        <f ca="1">IF(AND(NEGOCIAÇÕES!P356="",NEGOCIAÇÕES!N356&lt;TODAY()),NEGOCIAÇÕES!N356,"")</f>
        <v/>
      </c>
      <c r="F356" s="6"/>
    </row>
    <row r="357" spans="2:6" ht="31.95" hidden="1" customHeight="1" x14ac:dyDescent="0.3">
      <c r="B357" s="6" t="str">
        <f ca="1">IF(AND(NEGOCIAÇÕES!P357="",NEGOCIAÇÕES!N357&lt;TODAY()),NEGOCIAÇÕES!C357,"")</f>
        <v/>
      </c>
      <c r="C357" s="6" t="str">
        <f ca="1">IF(AND(NEGOCIAÇÕES!P357="",NEGOCIAÇÕES!N357&lt;TODAY()),NEGOCIAÇÕES!E357,"")</f>
        <v/>
      </c>
      <c r="D357" s="6" t="str">
        <f ca="1">IF(AND(NEGOCIAÇÕES!P357="",NEGOCIAÇÕES!N357&lt;TODAY()),NEGOCIAÇÕES!D357,"")</f>
        <v/>
      </c>
      <c r="E357" s="9" t="str">
        <f ca="1">IF(AND(NEGOCIAÇÕES!P357="",NEGOCIAÇÕES!N357&lt;TODAY()),NEGOCIAÇÕES!N357,"")</f>
        <v/>
      </c>
      <c r="F357" s="6"/>
    </row>
    <row r="358" spans="2:6" ht="31.95" hidden="1" customHeight="1" x14ac:dyDescent="0.3">
      <c r="B358" s="6" t="str">
        <f ca="1">IF(AND(NEGOCIAÇÕES!P358="",NEGOCIAÇÕES!N358&lt;TODAY()),NEGOCIAÇÕES!C358,"")</f>
        <v/>
      </c>
      <c r="C358" s="6" t="str">
        <f ca="1">IF(AND(NEGOCIAÇÕES!P358="",NEGOCIAÇÕES!N358&lt;TODAY()),NEGOCIAÇÕES!E358,"")</f>
        <v/>
      </c>
      <c r="D358" s="6" t="str">
        <f ca="1">IF(AND(NEGOCIAÇÕES!P358="",NEGOCIAÇÕES!N358&lt;TODAY()),NEGOCIAÇÕES!D358,"")</f>
        <v/>
      </c>
      <c r="E358" s="9" t="str">
        <f ca="1">IF(AND(NEGOCIAÇÕES!P358="",NEGOCIAÇÕES!N358&lt;TODAY()),NEGOCIAÇÕES!N358,"")</f>
        <v/>
      </c>
      <c r="F358" s="6"/>
    </row>
    <row r="359" spans="2:6" ht="31.95" hidden="1" customHeight="1" x14ac:dyDescent="0.3">
      <c r="B359" s="6" t="str">
        <f ca="1">IF(AND(NEGOCIAÇÕES!P359="",NEGOCIAÇÕES!N359&lt;TODAY()),NEGOCIAÇÕES!C359,"")</f>
        <v/>
      </c>
      <c r="C359" s="6" t="str">
        <f ca="1">IF(AND(NEGOCIAÇÕES!P359="",NEGOCIAÇÕES!N359&lt;TODAY()),NEGOCIAÇÕES!E359,"")</f>
        <v/>
      </c>
      <c r="D359" s="6" t="str">
        <f ca="1">IF(AND(NEGOCIAÇÕES!P359="",NEGOCIAÇÕES!N359&lt;TODAY()),NEGOCIAÇÕES!D359,"")</f>
        <v/>
      </c>
      <c r="E359" s="9" t="str">
        <f ca="1">IF(AND(NEGOCIAÇÕES!P359="",NEGOCIAÇÕES!N359&lt;TODAY()),NEGOCIAÇÕES!N359,"")</f>
        <v/>
      </c>
      <c r="F359" s="6"/>
    </row>
    <row r="360" spans="2:6" ht="31.95" hidden="1" customHeight="1" x14ac:dyDescent="0.3">
      <c r="B360" s="6" t="str">
        <f ca="1">IF(AND(NEGOCIAÇÕES!P360="",NEGOCIAÇÕES!N360&lt;TODAY()),NEGOCIAÇÕES!C360,"")</f>
        <v/>
      </c>
      <c r="C360" s="6" t="str">
        <f ca="1">IF(AND(NEGOCIAÇÕES!P360="",NEGOCIAÇÕES!N360&lt;TODAY()),NEGOCIAÇÕES!E360,"")</f>
        <v/>
      </c>
      <c r="D360" s="6" t="str">
        <f ca="1">IF(AND(NEGOCIAÇÕES!P360="",NEGOCIAÇÕES!N360&lt;TODAY()),NEGOCIAÇÕES!D360,"")</f>
        <v/>
      </c>
      <c r="E360" s="9" t="str">
        <f ca="1">IF(AND(NEGOCIAÇÕES!P360="",NEGOCIAÇÕES!N360&lt;TODAY()),NEGOCIAÇÕES!N360,"")</f>
        <v/>
      </c>
      <c r="F360" s="6"/>
    </row>
    <row r="361" spans="2:6" ht="31.95" hidden="1" customHeight="1" x14ac:dyDescent="0.3">
      <c r="B361" s="6" t="str">
        <f ca="1">IF(AND(NEGOCIAÇÕES!P361="",NEGOCIAÇÕES!N361&lt;TODAY()),NEGOCIAÇÕES!C361,"")</f>
        <v/>
      </c>
      <c r="C361" s="6" t="str">
        <f ca="1">IF(AND(NEGOCIAÇÕES!P361="",NEGOCIAÇÕES!N361&lt;TODAY()),NEGOCIAÇÕES!E361,"")</f>
        <v/>
      </c>
      <c r="D361" s="6" t="str">
        <f ca="1">IF(AND(NEGOCIAÇÕES!P361="",NEGOCIAÇÕES!N361&lt;TODAY()),NEGOCIAÇÕES!D361,"")</f>
        <v/>
      </c>
      <c r="E361" s="9" t="str">
        <f ca="1">IF(AND(NEGOCIAÇÕES!P361="",NEGOCIAÇÕES!N361&lt;TODAY()),NEGOCIAÇÕES!N361,"")</f>
        <v/>
      </c>
      <c r="F361" s="6"/>
    </row>
    <row r="362" spans="2:6" ht="31.95" hidden="1" customHeight="1" x14ac:dyDescent="0.3">
      <c r="B362" s="6" t="str">
        <f ca="1">IF(AND(NEGOCIAÇÕES!P362="",NEGOCIAÇÕES!N362&lt;TODAY()),NEGOCIAÇÕES!C362,"")</f>
        <v/>
      </c>
      <c r="C362" s="6" t="str">
        <f ca="1">IF(AND(NEGOCIAÇÕES!P362="",NEGOCIAÇÕES!N362&lt;TODAY()),NEGOCIAÇÕES!E362,"")</f>
        <v/>
      </c>
      <c r="D362" s="6" t="str">
        <f ca="1">IF(AND(NEGOCIAÇÕES!P362="",NEGOCIAÇÕES!N362&lt;TODAY()),NEGOCIAÇÕES!D362,"")</f>
        <v/>
      </c>
      <c r="E362" s="9" t="str">
        <f ca="1">IF(AND(NEGOCIAÇÕES!P362="",NEGOCIAÇÕES!N362&lt;TODAY()),NEGOCIAÇÕES!N362,"")</f>
        <v/>
      </c>
      <c r="F362" s="6"/>
    </row>
    <row r="363" spans="2:6" ht="31.95" hidden="1" customHeight="1" x14ac:dyDescent="0.3">
      <c r="B363" s="6" t="str">
        <f ca="1">IF(AND(NEGOCIAÇÕES!P363="",NEGOCIAÇÕES!N363&lt;TODAY()),NEGOCIAÇÕES!C363,"")</f>
        <v/>
      </c>
      <c r="C363" s="6" t="str">
        <f ca="1">IF(AND(NEGOCIAÇÕES!P363="",NEGOCIAÇÕES!N363&lt;TODAY()),NEGOCIAÇÕES!E363,"")</f>
        <v/>
      </c>
      <c r="D363" s="6" t="str">
        <f ca="1">IF(AND(NEGOCIAÇÕES!P363="",NEGOCIAÇÕES!N363&lt;TODAY()),NEGOCIAÇÕES!D363,"")</f>
        <v/>
      </c>
      <c r="E363" s="9" t="str">
        <f ca="1">IF(AND(NEGOCIAÇÕES!P363="",NEGOCIAÇÕES!N363&lt;TODAY()),NEGOCIAÇÕES!N363,"")</f>
        <v/>
      </c>
      <c r="F363" s="6"/>
    </row>
    <row r="364" spans="2:6" ht="31.95" hidden="1" customHeight="1" x14ac:dyDescent="0.3">
      <c r="B364" s="6" t="str">
        <f ca="1">IF(AND(NEGOCIAÇÕES!P364="",NEGOCIAÇÕES!N364&lt;TODAY()),NEGOCIAÇÕES!C364,"")</f>
        <v/>
      </c>
      <c r="C364" s="6" t="str">
        <f ca="1">IF(AND(NEGOCIAÇÕES!P364="",NEGOCIAÇÕES!N364&lt;TODAY()),NEGOCIAÇÕES!E364,"")</f>
        <v/>
      </c>
      <c r="D364" s="6" t="str">
        <f ca="1">IF(AND(NEGOCIAÇÕES!P364="",NEGOCIAÇÕES!N364&lt;TODAY()),NEGOCIAÇÕES!D364,"")</f>
        <v/>
      </c>
      <c r="E364" s="9" t="str">
        <f ca="1">IF(AND(NEGOCIAÇÕES!P364="",NEGOCIAÇÕES!N364&lt;TODAY()),NEGOCIAÇÕES!N364,"")</f>
        <v/>
      </c>
      <c r="F364" s="6"/>
    </row>
    <row r="365" spans="2:6" ht="31.95" hidden="1" customHeight="1" x14ac:dyDescent="0.3">
      <c r="B365" s="6" t="str">
        <f ca="1">IF(AND(NEGOCIAÇÕES!P365="",NEGOCIAÇÕES!N365&lt;TODAY()),NEGOCIAÇÕES!C365,"")</f>
        <v/>
      </c>
      <c r="C365" s="6" t="str">
        <f ca="1">IF(AND(NEGOCIAÇÕES!P365="",NEGOCIAÇÕES!N365&lt;TODAY()),NEGOCIAÇÕES!E365,"")</f>
        <v/>
      </c>
      <c r="D365" s="6" t="str">
        <f ca="1">IF(AND(NEGOCIAÇÕES!P365="",NEGOCIAÇÕES!N365&lt;TODAY()),NEGOCIAÇÕES!D365,"")</f>
        <v/>
      </c>
      <c r="E365" s="9" t="str">
        <f ca="1">IF(AND(NEGOCIAÇÕES!P365="",NEGOCIAÇÕES!N365&lt;TODAY()),NEGOCIAÇÕES!N365,"")</f>
        <v/>
      </c>
      <c r="F365" s="6"/>
    </row>
    <row r="366" spans="2:6" ht="31.95" hidden="1" customHeight="1" x14ac:dyDescent="0.3">
      <c r="B366" s="6" t="str">
        <f ca="1">IF(AND(NEGOCIAÇÕES!P366="",NEGOCIAÇÕES!N366&lt;TODAY()),NEGOCIAÇÕES!C366,"")</f>
        <v/>
      </c>
      <c r="C366" s="6" t="str">
        <f ca="1">IF(AND(NEGOCIAÇÕES!P366="",NEGOCIAÇÕES!N366&lt;TODAY()),NEGOCIAÇÕES!E366,"")</f>
        <v/>
      </c>
      <c r="D366" s="6" t="str">
        <f ca="1">IF(AND(NEGOCIAÇÕES!P366="",NEGOCIAÇÕES!N366&lt;TODAY()),NEGOCIAÇÕES!D366,"")</f>
        <v/>
      </c>
      <c r="E366" s="9" t="str">
        <f ca="1">IF(AND(NEGOCIAÇÕES!P366="",NEGOCIAÇÕES!N366&lt;TODAY()),NEGOCIAÇÕES!N366,"")</f>
        <v/>
      </c>
      <c r="F366" s="6"/>
    </row>
    <row r="367" spans="2:6" ht="31.95" hidden="1" customHeight="1" x14ac:dyDescent="0.3">
      <c r="B367" s="6" t="str">
        <f ca="1">IF(AND(NEGOCIAÇÕES!P367="",NEGOCIAÇÕES!N367&lt;TODAY()),NEGOCIAÇÕES!C367,"")</f>
        <v/>
      </c>
      <c r="C367" s="6" t="str">
        <f ca="1">IF(AND(NEGOCIAÇÕES!P367="",NEGOCIAÇÕES!N367&lt;TODAY()),NEGOCIAÇÕES!E367,"")</f>
        <v/>
      </c>
      <c r="D367" s="6" t="str">
        <f ca="1">IF(AND(NEGOCIAÇÕES!P367="",NEGOCIAÇÕES!N367&lt;TODAY()),NEGOCIAÇÕES!D367,"")</f>
        <v/>
      </c>
      <c r="E367" s="9" t="str">
        <f ca="1">IF(AND(NEGOCIAÇÕES!P367="",NEGOCIAÇÕES!N367&lt;TODAY()),NEGOCIAÇÕES!N367,"")</f>
        <v/>
      </c>
      <c r="F367" s="6"/>
    </row>
    <row r="368" spans="2:6" ht="31.95" hidden="1" customHeight="1" x14ac:dyDescent="0.3">
      <c r="B368" s="6" t="str">
        <f ca="1">IF(AND(NEGOCIAÇÕES!P368="",NEGOCIAÇÕES!N368&lt;TODAY()),NEGOCIAÇÕES!C368,"")</f>
        <v/>
      </c>
      <c r="C368" s="6" t="str">
        <f ca="1">IF(AND(NEGOCIAÇÕES!P368="",NEGOCIAÇÕES!N368&lt;TODAY()),NEGOCIAÇÕES!E368,"")</f>
        <v/>
      </c>
      <c r="D368" s="6" t="str">
        <f ca="1">IF(AND(NEGOCIAÇÕES!P368="",NEGOCIAÇÕES!N368&lt;TODAY()),NEGOCIAÇÕES!D368,"")</f>
        <v/>
      </c>
      <c r="E368" s="9" t="str">
        <f ca="1">IF(AND(NEGOCIAÇÕES!P368="",NEGOCIAÇÕES!N368&lt;TODAY()),NEGOCIAÇÕES!N368,"")</f>
        <v/>
      </c>
      <c r="F368" s="6"/>
    </row>
    <row r="369" spans="2:6" ht="31.95" hidden="1" customHeight="1" x14ac:dyDescent="0.3">
      <c r="B369" s="6" t="str">
        <f ca="1">IF(AND(NEGOCIAÇÕES!P369="",NEGOCIAÇÕES!N369&lt;TODAY()),NEGOCIAÇÕES!C369,"")</f>
        <v/>
      </c>
      <c r="C369" s="6" t="str">
        <f ca="1">IF(AND(NEGOCIAÇÕES!P369="",NEGOCIAÇÕES!N369&lt;TODAY()),NEGOCIAÇÕES!E369,"")</f>
        <v/>
      </c>
      <c r="D369" s="6" t="str">
        <f ca="1">IF(AND(NEGOCIAÇÕES!P369="",NEGOCIAÇÕES!N369&lt;TODAY()),NEGOCIAÇÕES!D369,"")</f>
        <v/>
      </c>
      <c r="E369" s="9" t="str">
        <f ca="1">IF(AND(NEGOCIAÇÕES!P369="",NEGOCIAÇÕES!N369&lt;TODAY()),NEGOCIAÇÕES!N369,"")</f>
        <v/>
      </c>
      <c r="F369" s="6"/>
    </row>
    <row r="370" spans="2:6" ht="31.95" hidden="1" customHeight="1" x14ac:dyDescent="0.3">
      <c r="B370" s="6" t="str">
        <f ca="1">IF(AND(NEGOCIAÇÕES!P370="",NEGOCIAÇÕES!N370&lt;TODAY()),NEGOCIAÇÕES!C370,"")</f>
        <v/>
      </c>
      <c r="C370" s="6" t="str">
        <f ca="1">IF(AND(NEGOCIAÇÕES!P370="",NEGOCIAÇÕES!N370&lt;TODAY()),NEGOCIAÇÕES!E370,"")</f>
        <v/>
      </c>
      <c r="D370" s="6" t="str">
        <f ca="1">IF(AND(NEGOCIAÇÕES!P370="",NEGOCIAÇÕES!N370&lt;TODAY()),NEGOCIAÇÕES!D370,"")</f>
        <v/>
      </c>
      <c r="E370" s="9" t="str">
        <f ca="1">IF(AND(NEGOCIAÇÕES!P370="",NEGOCIAÇÕES!N370&lt;TODAY()),NEGOCIAÇÕES!N370,"")</f>
        <v/>
      </c>
      <c r="F370" s="6"/>
    </row>
    <row r="371" spans="2:6" ht="31.95" hidden="1" customHeight="1" x14ac:dyDescent="0.3">
      <c r="B371" s="6" t="str">
        <f ca="1">IF(AND(NEGOCIAÇÕES!P371="",NEGOCIAÇÕES!N371&lt;TODAY()),NEGOCIAÇÕES!C371,"")</f>
        <v/>
      </c>
      <c r="C371" s="6" t="str">
        <f ca="1">IF(AND(NEGOCIAÇÕES!P371="",NEGOCIAÇÕES!N371&lt;TODAY()),NEGOCIAÇÕES!E371,"")</f>
        <v/>
      </c>
      <c r="D371" s="6" t="str">
        <f ca="1">IF(AND(NEGOCIAÇÕES!P371="",NEGOCIAÇÕES!N371&lt;TODAY()),NEGOCIAÇÕES!D371,"")</f>
        <v/>
      </c>
      <c r="E371" s="9" t="str">
        <f ca="1">IF(AND(NEGOCIAÇÕES!P371="",NEGOCIAÇÕES!N371&lt;TODAY()),NEGOCIAÇÕES!N371,"")</f>
        <v/>
      </c>
      <c r="F371" s="6"/>
    </row>
    <row r="372" spans="2:6" ht="31.95" hidden="1" customHeight="1" x14ac:dyDescent="0.3">
      <c r="B372" s="6" t="str">
        <f ca="1">IF(AND(NEGOCIAÇÕES!P372="",NEGOCIAÇÕES!N372&lt;TODAY()),NEGOCIAÇÕES!C372,"")</f>
        <v/>
      </c>
      <c r="C372" s="6" t="str">
        <f ca="1">IF(AND(NEGOCIAÇÕES!P372="",NEGOCIAÇÕES!N372&lt;TODAY()),NEGOCIAÇÕES!E372,"")</f>
        <v/>
      </c>
      <c r="D372" s="6" t="str">
        <f ca="1">IF(AND(NEGOCIAÇÕES!P372="",NEGOCIAÇÕES!N372&lt;TODAY()),NEGOCIAÇÕES!D372,"")</f>
        <v/>
      </c>
      <c r="E372" s="9" t="str">
        <f ca="1">IF(AND(NEGOCIAÇÕES!P372="",NEGOCIAÇÕES!N372&lt;TODAY()),NEGOCIAÇÕES!N372,"")</f>
        <v/>
      </c>
      <c r="F372" s="6"/>
    </row>
    <row r="373" spans="2:6" ht="31.95" hidden="1" customHeight="1" x14ac:dyDescent="0.3">
      <c r="B373" s="6" t="str">
        <f ca="1">IF(AND(NEGOCIAÇÕES!P373="",NEGOCIAÇÕES!N373&lt;TODAY()),NEGOCIAÇÕES!C373,"")</f>
        <v/>
      </c>
      <c r="C373" s="6" t="str">
        <f ca="1">IF(AND(NEGOCIAÇÕES!P373="",NEGOCIAÇÕES!N373&lt;TODAY()),NEGOCIAÇÕES!E373,"")</f>
        <v/>
      </c>
      <c r="D373" s="6" t="str">
        <f ca="1">IF(AND(NEGOCIAÇÕES!P373="",NEGOCIAÇÕES!N373&lt;TODAY()),NEGOCIAÇÕES!D373,"")</f>
        <v/>
      </c>
      <c r="E373" s="9" t="str">
        <f ca="1">IF(AND(NEGOCIAÇÕES!P373="",NEGOCIAÇÕES!N373&lt;TODAY()),NEGOCIAÇÕES!N373,"")</f>
        <v/>
      </c>
      <c r="F373" s="6"/>
    </row>
    <row r="374" spans="2:6" ht="31.95" hidden="1" customHeight="1" x14ac:dyDescent="0.3">
      <c r="B374" s="6" t="str">
        <f ca="1">IF(AND(NEGOCIAÇÕES!P374="",NEGOCIAÇÕES!N374&lt;TODAY()),NEGOCIAÇÕES!C374,"")</f>
        <v/>
      </c>
      <c r="C374" s="6" t="str">
        <f ca="1">IF(AND(NEGOCIAÇÕES!P374="",NEGOCIAÇÕES!N374&lt;TODAY()),NEGOCIAÇÕES!E374,"")</f>
        <v/>
      </c>
      <c r="D374" s="6" t="str">
        <f ca="1">IF(AND(NEGOCIAÇÕES!P374="",NEGOCIAÇÕES!N374&lt;TODAY()),NEGOCIAÇÕES!D374,"")</f>
        <v/>
      </c>
      <c r="E374" s="9" t="str">
        <f ca="1">IF(AND(NEGOCIAÇÕES!P374="",NEGOCIAÇÕES!N374&lt;TODAY()),NEGOCIAÇÕES!N374,"")</f>
        <v/>
      </c>
      <c r="F374" s="6"/>
    </row>
    <row r="375" spans="2:6" ht="31.95" hidden="1" customHeight="1" x14ac:dyDescent="0.3">
      <c r="B375" s="6" t="str">
        <f ca="1">IF(AND(NEGOCIAÇÕES!P375="",NEGOCIAÇÕES!N375&lt;TODAY()),NEGOCIAÇÕES!C375,"")</f>
        <v/>
      </c>
      <c r="C375" s="6" t="str">
        <f ca="1">IF(AND(NEGOCIAÇÕES!P375="",NEGOCIAÇÕES!N375&lt;TODAY()),NEGOCIAÇÕES!E375,"")</f>
        <v/>
      </c>
      <c r="D375" s="6" t="str">
        <f ca="1">IF(AND(NEGOCIAÇÕES!P375="",NEGOCIAÇÕES!N375&lt;TODAY()),NEGOCIAÇÕES!D375,"")</f>
        <v/>
      </c>
      <c r="E375" s="9" t="str">
        <f ca="1">IF(AND(NEGOCIAÇÕES!P375="",NEGOCIAÇÕES!N375&lt;TODAY()),NEGOCIAÇÕES!N375,"")</f>
        <v/>
      </c>
      <c r="F375" s="6"/>
    </row>
    <row r="376" spans="2:6" ht="31.95" hidden="1" customHeight="1" x14ac:dyDescent="0.3">
      <c r="B376" s="6" t="str">
        <f ca="1">IF(AND(NEGOCIAÇÕES!P376="",NEGOCIAÇÕES!N376&lt;TODAY()),NEGOCIAÇÕES!C376,"")</f>
        <v/>
      </c>
      <c r="C376" s="6" t="str">
        <f ca="1">IF(AND(NEGOCIAÇÕES!P376="",NEGOCIAÇÕES!N376&lt;TODAY()),NEGOCIAÇÕES!E376,"")</f>
        <v/>
      </c>
      <c r="D376" s="6" t="str">
        <f ca="1">IF(AND(NEGOCIAÇÕES!P376="",NEGOCIAÇÕES!N376&lt;TODAY()),NEGOCIAÇÕES!D376,"")</f>
        <v/>
      </c>
      <c r="E376" s="9" t="str">
        <f ca="1">IF(AND(NEGOCIAÇÕES!P376="",NEGOCIAÇÕES!N376&lt;TODAY()),NEGOCIAÇÕES!N376,"")</f>
        <v/>
      </c>
      <c r="F376" s="6"/>
    </row>
    <row r="377" spans="2:6" ht="31.95" hidden="1" customHeight="1" x14ac:dyDescent="0.3">
      <c r="B377" s="6" t="str">
        <f ca="1">IF(AND(NEGOCIAÇÕES!P377="",NEGOCIAÇÕES!N377&lt;TODAY()),NEGOCIAÇÕES!C377,"")</f>
        <v/>
      </c>
      <c r="C377" s="6" t="str">
        <f ca="1">IF(AND(NEGOCIAÇÕES!P377="",NEGOCIAÇÕES!N377&lt;TODAY()),NEGOCIAÇÕES!E377,"")</f>
        <v/>
      </c>
      <c r="D377" s="6" t="str">
        <f ca="1">IF(AND(NEGOCIAÇÕES!P377="",NEGOCIAÇÕES!N377&lt;TODAY()),NEGOCIAÇÕES!D377,"")</f>
        <v/>
      </c>
      <c r="E377" s="9" t="str">
        <f ca="1">IF(AND(NEGOCIAÇÕES!P377="",NEGOCIAÇÕES!N377&lt;TODAY()),NEGOCIAÇÕES!N377,"")</f>
        <v/>
      </c>
      <c r="F377" s="6"/>
    </row>
    <row r="378" spans="2:6" ht="31.95" hidden="1" customHeight="1" x14ac:dyDescent="0.3">
      <c r="B378" s="6" t="str">
        <f ca="1">IF(AND(NEGOCIAÇÕES!P378="",NEGOCIAÇÕES!N378&lt;TODAY()),NEGOCIAÇÕES!C378,"")</f>
        <v/>
      </c>
      <c r="C378" s="6" t="str">
        <f ca="1">IF(AND(NEGOCIAÇÕES!P378="",NEGOCIAÇÕES!N378&lt;TODAY()),NEGOCIAÇÕES!E378,"")</f>
        <v/>
      </c>
      <c r="D378" s="6" t="str">
        <f ca="1">IF(AND(NEGOCIAÇÕES!P378="",NEGOCIAÇÕES!N378&lt;TODAY()),NEGOCIAÇÕES!D378,"")</f>
        <v/>
      </c>
      <c r="E378" s="9" t="str">
        <f ca="1">IF(AND(NEGOCIAÇÕES!P378="",NEGOCIAÇÕES!N378&lt;TODAY()),NEGOCIAÇÕES!N378,"")</f>
        <v/>
      </c>
      <c r="F378" s="6"/>
    </row>
    <row r="379" spans="2:6" ht="31.95" hidden="1" customHeight="1" x14ac:dyDescent="0.3">
      <c r="B379" s="6" t="str">
        <f ca="1">IF(AND(NEGOCIAÇÕES!P379="",NEGOCIAÇÕES!N379&lt;TODAY()),NEGOCIAÇÕES!C379,"")</f>
        <v/>
      </c>
      <c r="C379" s="6" t="str">
        <f ca="1">IF(AND(NEGOCIAÇÕES!P379="",NEGOCIAÇÕES!N379&lt;TODAY()),NEGOCIAÇÕES!E379,"")</f>
        <v/>
      </c>
      <c r="D379" s="6" t="str">
        <f ca="1">IF(AND(NEGOCIAÇÕES!P379="",NEGOCIAÇÕES!N379&lt;TODAY()),NEGOCIAÇÕES!D379,"")</f>
        <v/>
      </c>
      <c r="E379" s="9" t="str">
        <f ca="1">IF(AND(NEGOCIAÇÕES!P379="",NEGOCIAÇÕES!N379&lt;TODAY()),NEGOCIAÇÕES!N379,"")</f>
        <v/>
      </c>
      <c r="F379" s="6"/>
    </row>
    <row r="380" spans="2:6" ht="31.95" hidden="1" customHeight="1" x14ac:dyDescent="0.3">
      <c r="B380" s="6" t="str">
        <f ca="1">IF(AND(NEGOCIAÇÕES!P380="",NEGOCIAÇÕES!N380&lt;TODAY()),NEGOCIAÇÕES!C380,"")</f>
        <v/>
      </c>
      <c r="C380" s="6" t="str">
        <f ca="1">IF(AND(NEGOCIAÇÕES!P380="",NEGOCIAÇÕES!N380&lt;TODAY()),NEGOCIAÇÕES!E380,"")</f>
        <v/>
      </c>
      <c r="D380" s="6" t="str">
        <f ca="1">IF(AND(NEGOCIAÇÕES!P380="",NEGOCIAÇÕES!N380&lt;TODAY()),NEGOCIAÇÕES!D380,"")</f>
        <v/>
      </c>
      <c r="E380" s="9" t="str">
        <f ca="1">IF(AND(NEGOCIAÇÕES!P380="",NEGOCIAÇÕES!N380&lt;TODAY()),NEGOCIAÇÕES!N380,"")</f>
        <v/>
      </c>
      <c r="F380" s="6"/>
    </row>
    <row r="381" spans="2:6" ht="31.95" hidden="1" customHeight="1" x14ac:dyDescent="0.3">
      <c r="B381" s="6" t="str">
        <f ca="1">IF(AND(NEGOCIAÇÕES!P381="",NEGOCIAÇÕES!N381&lt;TODAY()),NEGOCIAÇÕES!C381,"")</f>
        <v/>
      </c>
      <c r="C381" s="6" t="str">
        <f ca="1">IF(AND(NEGOCIAÇÕES!P381="",NEGOCIAÇÕES!N381&lt;TODAY()),NEGOCIAÇÕES!E381,"")</f>
        <v/>
      </c>
      <c r="D381" s="6" t="str">
        <f ca="1">IF(AND(NEGOCIAÇÕES!P381="",NEGOCIAÇÕES!N381&lt;TODAY()),NEGOCIAÇÕES!D381,"")</f>
        <v/>
      </c>
      <c r="E381" s="9" t="str">
        <f ca="1">IF(AND(NEGOCIAÇÕES!P381="",NEGOCIAÇÕES!N381&lt;TODAY()),NEGOCIAÇÕES!N381,"")</f>
        <v/>
      </c>
      <c r="F381" s="6"/>
    </row>
    <row r="382" spans="2:6" ht="31.95" hidden="1" customHeight="1" x14ac:dyDescent="0.3">
      <c r="B382" s="6" t="str">
        <f ca="1">IF(AND(NEGOCIAÇÕES!P382="",NEGOCIAÇÕES!N382&lt;TODAY()),NEGOCIAÇÕES!C382,"")</f>
        <v/>
      </c>
      <c r="C382" s="6" t="str">
        <f ca="1">IF(AND(NEGOCIAÇÕES!P382="",NEGOCIAÇÕES!N382&lt;TODAY()),NEGOCIAÇÕES!E382,"")</f>
        <v/>
      </c>
      <c r="D382" s="6" t="str">
        <f ca="1">IF(AND(NEGOCIAÇÕES!P382="",NEGOCIAÇÕES!N382&lt;TODAY()),NEGOCIAÇÕES!D382,"")</f>
        <v/>
      </c>
      <c r="E382" s="9" t="str">
        <f ca="1">IF(AND(NEGOCIAÇÕES!P382="",NEGOCIAÇÕES!N382&lt;TODAY()),NEGOCIAÇÕES!N382,"")</f>
        <v/>
      </c>
      <c r="F382" s="6"/>
    </row>
    <row r="383" spans="2:6" ht="31.95" hidden="1" customHeight="1" x14ac:dyDescent="0.3">
      <c r="B383" s="6" t="str">
        <f ca="1">IF(AND(NEGOCIAÇÕES!P383="",NEGOCIAÇÕES!N383&lt;TODAY()),NEGOCIAÇÕES!C383,"")</f>
        <v/>
      </c>
      <c r="C383" s="6" t="str">
        <f ca="1">IF(AND(NEGOCIAÇÕES!P383="",NEGOCIAÇÕES!N383&lt;TODAY()),NEGOCIAÇÕES!E383,"")</f>
        <v/>
      </c>
      <c r="D383" s="6" t="str">
        <f ca="1">IF(AND(NEGOCIAÇÕES!P383="",NEGOCIAÇÕES!N383&lt;TODAY()),NEGOCIAÇÕES!D383,"")</f>
        <v/>
      </c>
      <c r="E383" s="9" t="str">
        <f ca="1">IF(AND(NEGOCIAÇÕES!P383="",NEGOCIAÇÕES!N383&lt;TODAY()),NEGOCIAÇÕES!N383,"")</f>
        <v/>
      </c>
      <c r="F383" s="6"/>
    </row>
    <row r="384" spans="2:6" ht="31.95" hidden="1" customHeight="1" x14ac:dyDescent="0.3">
      <c r="B384" s="6" t="str">
        <f ca="1">IF(AND(NEGOCIAÇÕES!P384="",NEGOCIAÇÕES!N384&lt;TODAY()),NEGOCIAÇÕES!C384,"")</f>
        <v/>
      </c>
      <c r="C384" s="6" t="str">
        <f ca="1">IF(AND(NEGOCIAÇÕES!P384="",NEGOCIAÇÕES!N384&lt;TODAY()),NEGOCIAÇÕES!E384,"")</f>
        <v/>
      </c>
      <c r="D384" s="6" t="str">
        <f ca="1">IF(AND(NEGOCIAÇÕES!P384="",NEGOCIAÇÕES!N384&lt;TODAY()),NEGOCIAÇÕES!D384,"")</f>
        <v/>
      </c>
      <c r="E384" s="9" t="str">
        <f ca="1">IF(AND(NEGOCIAÇÕES!P384="",NEGOCIAÇÕES!N384&lt;TODAY()),NEGOCIAÇÕES!N384,"")</f>
        <v/>
      </c>
      <c r="F384" s="6"/>
    </row>
    <row r="385" spans="2:6" ht="31.95" hidden="1" customHeight="1" x14ac:dyDescent="0.3">
      <c r="B385" s="6" t="str">
        <f ca="1">IF(AND(NEGOCIAÇÕES!P385="",NEGOCIAÇÕES!N385&lt;TODAY()),NEGOCIAÇÕES!C385,"")</f>
        <v/>
      </c>
      <c r="C385" s="6" t="str">
        <f ca="1">IF(AND(NEGOCIAÇÕES!P385="",NEGOCIAÇÕES!N385&lt;TODAY()),NEGOCIAÇÕES!E385,"")</f>
        <v/>
      </c>
      <c r="D385" s="6" t="str">
        <f ca="1">IF(AND(NEGOCIAÇÕES!P385="",NEGOCIAÇÕES!N385&lt;TODAY()),NEGOCIAÇÕES!D385,"")</f>
        <v/>
      </c>
      <c r="E385" s="9" t="str">
        <f ca="1">IF(AND(NEGOCIAÇÕES!P385="",NEGOCIAÇÕES!N385&lt;TODAY()),NEGOCIAÇÕES!N385,"")</f>
        <v/>
      </c>
      <c r="F385" s="6"/>
    </row>
    <row r="386" spans="2:6" ht="31.95" hidden="1" customHeight="1" x14ac:dyDescent="0.3">
      <c r="B386" s="6" t="str">
        <f ca="1">IF(AND(NEGOCIAÇÕES!P386="",NEGOCIAÇÕES!N386&lt;TODAY()),NEGOCIAÇÕES!C386,"")</f>
        <v/>
      </c>
      <c r="C386" s="6" t="str">
        <f ca="1">IF(AND(NEGOCIAÇÕES!P386="",NEGOCIAÇÕES!N386&lt;TODAY()),NEGOCIAÇÕES!E386,"")</f>
        <v/>
      </c>
      <c r="D386" s="6" t="str">
        <f ca="1">IF(AND(NEGOCIAÇÕES!P386="",NEGOCIAÇÕES!N386&lt;TODAY()),NEGOCIAÇÕES!D386,"")</f>
        <v/>
      </c>
      <c r="E386" s="9" t="str">
        <f ca="1">IF(AND(NEGOCIAÇÕES!P386="",NEGOCIAÇÕES!N386&lt;TODAY()),NEGOCIAÇÕES!N386,"")</f>
        <v/>
      </c>
      <c r="F386" s="6"/>
    </row>
    <row r="387" spans="2:6" ht="31.95" hidden="1" customHeight="1" x14ac:dyDescent="0.3">
      <c r="B387" s="6" t="str">
        <f ca="1">IF(AND(NEGOCIAÇÕES!P387="",NEGOCIAÇÕES!N387&lt;TODAY()),NEGOCIAÇÕES!C387,"")</f>
        <v/>
      </c>
      <c r="C387" s="6" t="str">
        <f ca="1">IF(AND(NEGOCIAÇÕES!P387="",NEGOCIAÇÕES!N387&lt;TODAY()),NEGOCIAÇÕES!E387,"")</f>
        <v/>
      </c>
      <c r="D387" s="6" t="str">
        <f ca="1">IF(AND(NEGOCIAÇÕES!P387="",NEGOCIAÇÕES!N387&lt;TODAY()),NEGOCIAÇÕES!D387,"")</f>
        <v/>
      </c>
      <c r="E387" s="9" t="str">
        <f ca="1">IF(AND(NEGOCIAÇÕES!P387="",NEGOCIAÇÕES!N387&lt;TODAY()),NEGOCIAÇÕES!N387,"")</f>
        <v/>
      </c>
      <c r="F387" s="6"/>
    </row>
    <row r="388" spans="2:6" ht="31.95" hidden="1" customHeight="1" x14ac:dyDescent="0.3">
      <c r="B388" s="6" t="str">
        <f ca="1">IF(AND(NEGOCIAÇÕES!P388="",NEGOCIAÇÕES!N388&lt;TODAY()),NEGOCIAÇÕES!C388,"")</f>
        <v/>
      </c>
      <c r="C388" s="6" t="str">
        <f ca="1">IF(AND(NEGOCIAÇÕES!P388="",NEGOCIAÇÕES!N388&lt;TODAY()),NEGOCIAÇÕES!E388,"")</f>
        <v/>
      </c>
      <c r="D388" s="6" t="str">
        <f ca="1">IF(AND(NEGOCIAÇÕES!P388="",NEGOCIAÇÕES!N388&lt;TODAY()),NEGOCIAÇÕES!D388,"")</f>
        <v/>
      </c>
      <c r="E388" s="9" t="str">
        <f ca="1">IF(AND(NEGOCIAÇÕES!P388="",NEGOCIAÇÕES!N388&lt;TODAY()),NEGOCIAÇÕES!N388,"")</f>
        <v/>
      </c>
      <c r="F388" s="6"/>
    </row>
    <row r="389" spans="2:6" ht="31.95" hidden="1" customHeight="1" x14ac:dyDescent="0.3">
      <c r="B389" s="6" t="str">
        <f ca="1">IF(AND(NEGOCIAÇÕES!P389="",NEGOCIAÇÕES!N389&lt;TODAY()),NEGOCIAÇÕES!C389,"")</f>
        <v/>
      </c>
      <c r="C389" s="6" t="str">
        <f ca="1">IF(AND(NEGOCIAÇÕES!P389="",NEGOCIAÇÕES!N389&lt;TODAY()),NEGOCIAÇÕES!E389,"")</f>
        <v/>
      </c>
      <c r="D389" s="6" t="str">
        <f ca="1">IF(AND(NEGOCIAÇÕES!P389="",NEGOCIAÇÕES!N389&lt;TODAY()),NEGOCIAÇÕES!D389,"")</f>
        <v/>
      </c>
      <c r="E389" s="9" t="str">
        <f ca="1">IF(AND(NEGOCIAÇÕES!P389="",NEGOCIAÇÕES!N389&lt;TODAY()),NEGOCIAÇÕES!N389,"")</f>
        <v/>
      </c>
      <c r="F389" s="6"/>
    </row>
    <row r="390" spans="2:6" ht="31.95" hidden="1" customHeight="1" x14ac:dyDescent="0.3">
      <c r="B390" s="6" t="str">
        <f ca="1">IF(AND(NEGOCIAÇÕES!P390="",NEGOCIAÇÕES!N390&lt;TODAY()),NEGOCIAÇÕES!C390,"")</f>
        <v/>
      </c>
      <c r="C390" s="6" t="str">
        <f ca="1">IF(AND(NEGOCIAÇÕES!P390="",NEGOCIAÇÕES!N390&lt;TODAY()),NEGOCIAÇÕES!E390,"")</f>
        <v/>
      </c>
      <c r="D390" s="6" t="str">
        <f ca="1">IF(AND(NEGOCIAÇÕES!P390="",NEGOCIAÇÕES!N390&lt;TODAY()),NEGOCIAÇÕES!D390,"")</f>
        <v/>
      </c>
      <c r="E390" s="9" t="str">
        <f ca="1">IF(AND(NEGOCIAÇÕES!P390="",NEGOCIAÇÕES!N390&lt;TODAY()),NEGOCIAÇÕES!N390,"")</f>
        <v/>
      </c>
      <c r="F390" s="6"/>
    </row>
    <row r="391" spans="2:6" ht="31.95" hidden="1" customHeight="1" x14ac:dyDescent="0.3">
      <c r="B391" s="6" t="str">
        <f ca="1">IF(AND(NEGOCIAÇÕES!P391="",NEGOCIAÇÕES!N391&lt;TODAY()),NEGOCIAÇÕES!C391,"")</f>
        <v/>
      </c>
      <c r="C391" s="6" t="str">
        <f ca="1">IF(AND(NEGOCIAÇÕES!P391="",NEGOCIAÇÕES!N391&lt;TODAY()),NEGOCIAÇÕES!E391,"")</f>
        <v/>
      </c>
      <c r="D391" s="6" t="str">
        <f ca="1">IF(AND(NEGOCIAÇÕES!P391="",NEGOCIAÇÕES!N391&lt;TODAY()),NEGOCIAÇÕES!D391,"")</f>
        <v/>
      </c>
      <c r="E391" s="9" t="str">
        <f ca="1">IF(AND(NEGOCIAÇÕES!P391="",NEGOCIAÇÕES!N391&lt;TODAY()),NEGOCIAÇÕES!N391,"")</f>
        <v/>
      </c>
      <c r="F391" s="6"/>
    </row>
    <row r="392" spans="2:6" ht="31.95" hidden="1" customHeight="1" x14ac:dyDescent="0.3">
      <c r="B392" s="6" t="str">
        <f ca="1">IF(AND(NEGOCIAÇÕES!P392="",NEGOCIAÇÕES!N392&lt;TODAY()),NEGOCIAÇÕES!C392,"")</f>
        <v/>
      </c>
      <c r="C392" s="6" t="str">
        <f ca="1">IF(AND(NEGOCIAÇÕES!P392="",NEGOCIAÇÕES!N392&lt;TODAY()),NEGOCIAÇÕES!E392,"")</f>
        <v/>
      </c>
      <c r="D392" s="6" t="str">
        <f ca="1">IF(AND(NEGOCIAÇÕES!P392="",NEGOCIAÇÕES!N392&lt;TODAY()),NEGOCIAÇÕES!D392,"")</f>
        <v/>
      </c>
      <c r="E392" s="9" t="str">
        <f ca="1">IF(AND(NEGOCIAÇÕES!P392="",NEGOCIAÇÕES!N392&lt;TODAY()),NEGOCIAÇÕES!N392,"")</f>
        <v/>
      </c>
      <c r="F392" s="6"/>
    </row>
    <row r="393" spans="2:6" ht="31.95" hidden="1" customHeight="1" x14ac:dyDescent="0.3">
      <c r="B393" s="6" t="str">
        <f ca="1">IF(AND(NEGOCIAÇÕES!P393="",NEGOCIAÇÕES!N393&lt;TODAY()),NEGOCIAÇÕES!C393,"")</f>
        <v/>
      </c>
      <c r="C393" s="6" t="str">
        <f ca="1">IF(AND(NEGOCIAÇÕES!P393="",NEGOCIAÇÕES!N393&lt;TODAY()),NEGOCIAÇÕES!E393,"")</f>
        <v/>
      </c>
      <c r="D393" s="6" t="str">
        <f ca="1">IF(AND(NEGOCIAÇÕES!P393="",NEGOCIAÇÕES!N393&lt;TODAY()),NEGOCIAÇÕES!D393,"")</f>
        <v/>
      </c>
      <c r="E393" s="9" t="str">
        <f ca="1">IF(AND(NEGOCIAÇÕES!P393="",NEGOCIAÇÕES!N393&lt;TODAY()),NEGOCIAÇÕES!N393,"")</f>
        <v/>
      </c>
      <c r="F393" s="6"/>
    </row>
    <row r="394" spans="2:6" ht="31.95" hidden="1" customHeight="1" x14ac:dyDescent="0.3">
      <c r="B394" s="6" t="str">
        <f ca="1">IF(AND(NEGOCIAÇÕES!P394="",NEGOCIAÇÕES!N394&lt;TODAY()),NEGOCIAÇÕES!C394,"")</f>
        <v/>
      </c>
      <c r="C394" s="6" t="str">
        <f ca="1">IF(AND(NEGOCIAÇÕES!P394="",NEGOCIAÇÕES!N394&lt;TODAY()),NEGOCIAÇÕES!E394,"")</f>
        <v/>
      </c>
      <c r="D394" s="6" t="str">
        <f ca="1">IF(AND(NEGOCIAÇÕES!P394="",NEGOCIAÇÕES!N394&lt;TODAY()),NEGOCIAÇÕES!D394,"")</f>
        <v/>
      </c>
      <c r="E394" s="9" t="str">
        <f ca="1">IF(AND(NEGOCIAÇÕES!P394="",NEGOCIAÇÕES!N394&lt;TODAY()),NEGOCIAÇÕES!N394,"")</f>
        <v/>
      </c>
      <c r="F394" s="6"/>
    </row>
    <row r="395" spans="2:6" ht="31.95" hidden="1" customHeight="1" x14ac:dyDescent="0.3">
      <c r="B395" s="6" t="str">
        <f ca="1">IF(AND(NEGOCIAÇÕES!P395="",NEGOCIAÇÕES!N395&lt;TODAY()),NEGOCIAÇÕES!C395,"")</f>
        <v/>
      </c>
      <c r="C395" s="6" t="str">
        <f ca="1">IF(AND(NEGOCIAÇÕES!P395="",NEGOCIAÇÕES!N395&lt;TODAY()),NEGOCIAÇÕES!E395,"")</f>
        <v/>
      </c>
      <c r="D395" s="6" t="str">
        <f ca="1">IF(AND(NEGOCIAÇÕES!P395="",NEGOCIAÇÕES!N395&lt;TODAY()),NEGOCIAÇÕES!D395,"")</f>
        <v/>
      </c>
      <c r="E395" s="9" t="str">
        <f ca="1">IF(AND(NEGOCIAÇÕES!P395="",NEGOCIAÇÕES!N395&lt;TODAY()),NEGOCIAÇÕES!N395,"")</f>
        <v/>
      </c>
      <c r="F395" s="6"/>
    </row>
    <row r="396" spans="2:6" ht="31.95" hidden="1" customHeight="1" x14ac:dyDescent="0.3">
      <c r="B396" s="6" t="str">
        <f ca="1">IF(AND(NEGOCIAÇÕES!P396="",NEGOCIAÇÕES!N396&lt;TODAY()),NEGOCIAÇÕES!C396,"")</f>
        <v/>
      </c>
      <c r="C396" s="6" t="str">
        <f ca="1">IF(AND(NEGOCIAÇÕES!P396="",NEGOCIAÇÕES!N396&lt;TODAY()),NEGOCIAÇÕES!E396,"")</f>
        <v/>
      </c>
      <c r="D396" s="6" t="str">
        <f ca="1">IF(AND(NEGOCIAÇÕES!P396="",NEGOCIAÇÕES!N396&lt;TODAY()),NEGOCIAÇÕES!D396,"")</f>
        <v/>
      </c>
      <c r="E396" s="9" t="str">
        <f ca="1">IF(AND(NEGOCIAÇÕES!P396="",NEGOCIAÇÕES!N396&lt;TODAY()),NEGOCIAÇÕES!N396,"")</f>
        <v/>
      </c>
      <c r="F396" s="6"/>
    </row>
    <row r="397" spans="2:6" ht="31.95" hidden="1" customHeight="1" x14ac:dyDescent="0.3">
      <c r="B397" s="6" t="str">
        <f ca="1">IF(AND(NEGOCIAÇÕES!P397="",NEGOCIAÇÕES!N397&lt;TODAY()),NEGOCIAÇÕES!C397,"")</f>
        <v/>
      </c>
      <c r="C397" s="6" t="str">
        <f ca="1">IF(AND(NEGOCIAÇÕES!P397="",NEGOCIAÇÕES!N397&lt;TODAY()),NEGOCIAÇÕES!E397,"")</f>
        <v/>
      </c>
      <c r="D397" s="6" t="str">
        <f ca="1">IF(AND(NEGOCIAÇÕES!P397="",NEGOCIAÇÕES!N397&lt;TODAY()),NEGOCIAÇÕES!D397,"")</f>
        <v/>
      </c>
      <c r="E397" s="9" t="str">
        <f ca="1">IF(AND(NEGOCIAÇÕES!P397="",NEGOCIAÇÕES!N397&lt;TODAY()),NEGOCIAÇÕES!N397,"")</f>
        <v/>
      </c>
      <c r="F397" s="6"/>
    </row>
    <row r="398" spans="2:6" ht="31.95" hidden="1" customHeight="1" x14ac:dyDescent="0.3">
      <c r="B398" s="6" t="str">
        <f ca="1">IF(AND(NEGOCIAÇÕES!P398="",NEGOCIAÇÕES!N398&lt;TODAY()),NEGOCIAÇÕES!C398,"")</f>
        <v/>
      </c>
      <c r="C398" s="6" t="str">
        <f ca="1">IF(AND(NEGOCIAÇÕES!P398="",NEGOCIAÇÕES!N398&lt;TODAY()),NEGOCIAÇÕES!E398,"")</f>
        <v/>
      </c>
      <c r="D398" s="6" t="str">
        <f ca="1">IF(AND(NEGOCIAÇÕES!P398="",NEGOCIAÇÕES!N398&lt;TODAY()),NEGOCIAÇÕES!D398,"")</f>
        <v/>
      </c>
      <c r="E398" s="9" t="str">
        <f ca="1">IF(AND(NEGOCIAÇÕES!P398="",NEGOCIAÇÕES!N398&lt;TODAY()),NEGOCIAÇÕES!N398,"")</f>
        <v/>
      </c>
      <c r="F398" s="6"/>
    </row>
    <row r="399" spans="2:6" ht="31.95" hidden="1" customHeight="1" x14ac:dyDescent="0.3">
      <c r="B399" s="6" t="str">
        <f ca="1">IF(AND(NEGOCIAÇÕES!P399="",NEGOCIAÇÕES!N399&lt;TODAY()),NEGOCIAÇÕES!C399,"")</f>
        <v/>
      </c>
      <c r="C399" s="6" t="str">
        <f ca="1">IF(AND(NEGOCIAÇÕES!P399="",NEGOCIAÇÕES!N399&lt;TODAY()),NEGOCIAÇÕES!E399,"")</f>
        <v/>
      </c>
      <c r="D399" s="6" t="str">
        <f ca="1">IF(AND(NEGOCIAÇÕES!P399="",NEGOCIAÇÕES!N399&lt;TODAY()),NEGOCIAÇÕES!D399,"")</f>
        <v/>
      </c>
      <c r="E399" s="9" t="str">
        <f ca="1">IF(AND(NEGOCIAÇÕES!P399="",NEGOCIAÇÕES!N399&lt;TODAY()),NEGOCIAÇÕES!N399,"")</f>
        <v/>
      </c>
      <c r="F399" s="6"/>
    </row>
    <row r="400" spans="2:6" ht="31.95" hidden="1" customHeight="1" x14ac:dyDescent="0.3">
      <c r="B400" s="6" t="str">
        <f ca="1">IF(AND(NEGOCIAÇÕES!P400="",NEGOCIAÇÕES!N400&lt;TODAY()),NEGOCIAÇÕES!C400,"")</f>
        <v/>
      </c>
      <c r="C400" s="6" t="str">
        <f ca="1">IF(AND(NEGOCIAÇÕES!P400="",NEGOCIAÇÕES!N400&lt;TODAY()),NEGOCIAÇÕES!E400,"")</f>
        <v/>
      </c>
      <c r="D400" s="6" t="str">
        <f ca="1">IF(AND(NEGOCIAÇÕES!P400="",NEGOCIAÇÕES!N400&lt;TODAY()),NEGOCIAÇÕES!D400,"")</f>
        <v/>
      </c>
      <c r="E400" s="9" t="str">
        <f ca="1">IF(AND(NEGOCIAÇÕES!P400="",NEGOCIAÇÕES!N400&lt;TODAY()),NEGOCIAÇÕES!N400,"")</f>
        <v/>
      </c>
      <c r="F400" s="6"/>
    </row>
    <row r="401" spans="2:6" ht="31.95" hidden="1" customHeight="1" x14ac:dyDescent="0.3">
      <c r="B401" s="6" t="str">
        <f ca="1">IF(AND(NEGOCIAÇÕES!P401="",NEGOCIAÇÕES!N401&lt;TODAY()),NEGOCIAÇÕES!C401,"")</f>
        <v/>
      </c>
      <c r="C401" s="6" t="str">
        <f ca="1">IF(AND(NEGOCIAÇÕES!P401="",NEGOCIAÇÕES!N401&lt;TODAY()),NEGOCIAÇÕES!E401,"")</f>
        <v/>
      </c>
      <c r="D401" s="6" t="str">
        <f ca="1">IF(AND(NEGOCIAÇÕES!P401="",NEGOCIAÇÕES!N401&lt;TODAY()),NEGOCIAÇÕES!D401,"")</f>
        <v/>
      </c>
      <c r="E401" s="9" t="str">
        <f ca="1">IF(AND(NEGOCIAÇÕES!P401="",NEGOCIAÇÕES!N401&lt;TODAY()),NEGOCIAÇÕES!N401,"")</f>
        <v/>
      </c>
      <c r="F401" s="6"/>
    </row>
    <row r="402" spans="2:6" ht="31.95" hidden="1" customHeight="1" x14ac:dyDescent="0.3">
      <c r="B402" s="6" t="str">
        <f ca="1">IF(AND(NEGOCIAÇÕES!P402="",NEGOCIAÇÕES!N402&lt;TODAY()),NEGOCIAÇÕES!C402,"")</f>
        <v/>
      </c>
      <c r="C402" s="6" t="str">
        <f ca="1">IF(AND(NEGOCIAÇÕES!P402="",NEGOCIAÇÕES!N402&lt;TODAY()),NEGOCIAÇÕES!E402,"")</f>
        <v/>
      </c>
      <c r="D402" s="6" t="str">
        <f ca="1">IF(AND(NEGOCIAÇÕES!P402="",NEGOCIAÇÕES!N402&lt;TODAY()),NEGOCIAÇÕES!D402,"")</f>
        <v/>
      </c>
      <c r="E402" s="9" t="str">
        <f ca="1">IF(AND(NEGOCIAÇÕES!P402="",NEGOCIAÇÕES!N402&lt;TODAY()),NEGOCIAÇÕES!N402,"")</f>
        <v/>
      </c>
      <c r="F402" s="6"/>
    </row>
    <row r="403" spans="2:6" ht="31.95" hidden="1" customHeight="1" x14ac:dyDescent="0.3">
      <c r="B403" s="6" t="str">
        <f ca="1">IF(AND(NEGOCIAÇÕES!P403="",NEGOCIAÇÕES!N403&lt;TODAY()),NEGOCIAÇÕES!C403,"")</f>
        <v/>
      </c>
      <c r="C403" s="6" t="str">
        <f ca="1">IF(AND(NEGOCIAÇÕES!P403="",NEGOCIAÇÕES!N403&lt;TODAY()),NEGOCIAÇÕES!E403,"")</f>
        <v/>
      </c>
      <c r="D403" s="6" t="str">
        <f ca="1">IF(AND(NEGOCIAÇÕES!P403="",NEGOCIAÇÕES!N403&lt;TODAY()),NEGOCIAÇÕES!D403,"")</f>
        <v/>
      </c>
      <c r="E403" s="9" t="str">
        <f ca="1">IF(AND(NEGOCIAÇÕES!P403="",NEGOCIAÇÕES!N403&lt;TODAY()),NEGOCIAÇÕES!N403,"")</f>
        <v/>
      </c>
      <c r="F403" s="6"/>
    </row>
    <row r="404" spans="2:6" ht="31.95" hidden="1" customHeight="1" x14ac:dyDescent="0.3">
      <c r="B404" s="6" t="str">
        <f ca="1">IF(AND(NEGOCIAÇÕES!P404="",NEGOCIAÇÕES!N404&lt;TODAY()),NEGOCIAÇÕES!C404,"")</f>
        <v/>
      </c>
      <c r="C404" s="6" t="str">
        <f ca="1">IF(AND(NEGOCIAÇÕES!P404="",NEGOCIAÇÕES!N404&lt;TODAY()),NEGOCIAÇÕES!E404,"")</f>
        <v/>
      </c>
      <c r="D404" s="6" t="str">
        <f ca="1">IF(AND(NEGOCIAÇÕES!P404="",NEGOCIAÇÕES!N404&lt;TODAY()),NEGOCIAÇÕES!D404,"")</f>
        <v/>
      </c>
      <c r="E404" s="9" t="str">
        <f ca="1">IF(AND(NEGOCIAÇÕES!P404="",NEGOCIAÇÕES!N404&lt;TODAY()),NEGOCIAÇÕES!N404,"")</f>
        <v/>
      </c>
      <c r="F404" s="6"/>
    </row>
    <row r="405" spans="2:6" ht="31.95" hidden="1" customHeight="1" x14ac:dyDescent="0.3">
      <c r="B405" s="6" t="str">
        <f ca="1">IF(AND(NEGOCIAÇÕES!P405="",NEGOCIAÇÕES!N405&lt;TODAY()),NEGOCIAÇÕES!C405,"")</f>
        <v/>
      </c>
      <c r="C405" s="6" t="str">
        <f ca="1">IF(AND(NEGOCIAÇÕES!P405="",NEGOCIAÇÕES!N405&lt;TODAY()),NEGOCIAÇÕES!E405,"")</f>
        <v/>
      </c>
      <c r="D405" s="6" t="str">
        <f ca="1">IF(AND(NEGOCIAÇÕES!P405="",NEGOCIAÇÕES!N405&lt;TODAY()),NEGOCIAÇÕES!D405,"")</f>
        <v/>
      </c>
      <c r="E405" s="9" t="str">
        <f ca="1">IF(AND(NEGOCIAÇÕES!P405="",NEGOCIAÇÕES!N405&lt;TODAY()),NEGOCIAÇÕES!N405,"")</f>
        <v/>
      </c>
      <c r="F405" s="6"/>
    </row>
    <row r="406" spans="2:6" ht="31.95" hidden="1" customHeight="1" x14ac:dyDescent="0.3">
      <c r="B406" s="6" t="str">
        <f ca="1">IF(AND(NEGOCIAÇÕES!P406="",NEGOCIAÇÕES!N406&lt;TODAY()),NEGOCIAÇÕES!C406,"")</f>
        <v/>
      </c>
      <c r="C406" s="6" t="str">
        <f ca="1">IF(AND(NEGOCIAÇÕES!P406="",NEGOCIAÇÕES!N406&lt;TODAY()),NEGOCIAÇÕES!E406,"")</f>
        <v/>
      </c>
      <c r="D406" s="6" t="str">
        <f ca="1">IF(AND(NEGOCIAÇÕES!P406="",NEGOCIAÇÕES!N406&lt;TODAY()),NEGOCIAÇÕES!D406,"")</f>
        <v/>
      </c>
      <c r="E406" s="9" t="str">
        <f ca="1">IF(AND(NEGOCIAÇÕES!P406="",NEGOCIAÇÕES!N406&lt;TODAY()),NEGOCIAÇÕES!N406,"")</f>
        <v/>
      </c>
      <c r="F406" s="6"/>
    </row>
    <row r="407" spans="2:6" ht="31.95" hidden="1" customHeight="1" x14ac:dyDescent="0.3">
      <c r="B407" s="6" t="str">
        <f ca="1">IF(AND(NEGOCIAÇÕES!P407="",NEGOCIAÇÕES!N407&lt;TODAY()),NEGOCIAÇÕES!C407,"")</f>
        <v/>
      </c>
      <c r="C407" s="6" t="str">
        <f ca="1">IF(AND(NEGOCIAÇÕES!P407="",NEGOCIAÇÕES!N407&lt;TODAY()),NEGOCIAÇÕES!E407,"")</f>
        <v/>
      </c>
      <c r="D407" s="6" t="str">
        <f ca="1">IF(AND(NEGOCIAÇÕES!P407="",NEGOCIAÇÕES!N407&lt;TODAY()),NEGOCIAÇÕES!D407,"")</f>
        <v/>
      </c>
      <c r="E407" s="9" t="str">
        <f ca="1">IF(AND(NEGOCIAÇÕES!P407="",NEGOCIAÇÕES!N407&lt;TODAY()),NEGOCIAÇÕES!N407,"")</f>
        <v/>
      </c>
      <c r="F407" s="6"/>
    </row>
    <row r="408" spans="2:6" ht="31.95" hidden="1" customHeight="1" x14ac:dyDescent="0.3">
      <c r="B408" s="6" t="str">
        <f ca="1">IF(AND(NEGOCIAÇÕES!P408="",NEGOCIAÇÕES!N408&lt;TODAY()),NEGOCIAÇÕES!C408,"")</f>
        <v/>
      </c>
      <c r="C408" s="6" t="str">
        <f ca="1">IF(AND(NEGOCIAÇÕES!P408="",NEGOCIAÇÕES!N408&lt;TODAY()),NEGOCIAÇÕES!E408,"")</f>
        <v/>
      </c>
      <c r="D408" s="6" t="str">
        <f ca="1">IF(AND(NEGOCIAÇÕES!P408="",NEGOCIAÇÕES!N408&lt;TODAY()),NEGOCIAÇÕES!D408,"")</f>
        <v/>
      </c>
      <c r="E408" s="9" t="str">
        <f ca="1">IF(AND(NEGOCIAÇÕES!P408="",NEGOCIAÇÕES!N408&lt;TODAY()),NEGOCIAÇÕES!N408,"")</f>
        <v/>
      </c>
      <c r="F408" s="6"/>
    </row>
    <row r="409" spans="2:6" ht="31.95" hidden="1" customHeight="1" x14ac:dyDescent="0.3">
      <c r="B409" s="6" t="str">
        <f ca="1">IF(AND(NEGOCIAÇÕES!P409="",NEGOCIAÇÕES!N409&lt;TODAY()),NEGOCIAÇÕES!C409,"")</f>
        <v/>
      </c>
      <c r="C409" s="6" t="str">
        <f ca="1">IF(AND(NEGOCIAÇÕES!P409="",NEGOCIAÇÕES!N409&lt;TODAY()),NEGOCIAÇÕES!E409,"")</f>
        <v/>
      </c>
      <c r="D409" s="6" t="str">
        <f ca="1">IF(AND(NEGOCIAÇÕES!P409="",NEGOCIAÇÕES!N409&lt;TODAY()),NEGOCIAÇÕES!D409,"")</f>
        <v/>
      </c>
      <c r="E409" s="9" t="str">
        <f ca="1">IF(AND(NEGOCIAÇÕES!P409="",NEGOCIAÇÕES!N409&lt;TODAY()),NEGOCIAÇÕES!N409,"")</f>
        <v/>
      </c>
      <c r="F409" s="6"/>
    </row>
    <row r="410" spans="2:6" ht="31.95" hidden="1" customHeight="1" x14ac:dyDescent="0.3">
      <c r="B410" s="6" t="str">
        <f ca="1">IF(AND(NEGOCIAÇÕES!P410="",NEGOCIAÇÕES!N410&lt;TODAY()),NEGOCIAÇÕES!C410,"")</f>
        <v/>
      </c>
      <c r="C410" s="6" t="str">
        <f ca="1">IF(AND(NEGOCIAÇÕES!P410="",NEGOCIAÇÕES!N410&lt;TODAY()),NEGOCIAÇÕES!E410,"")</f>
        <v/>
      </c>
      <c r="D410" s="6" t="str">
        <f ca="1">IF(AND(NEGOCIAÇÕES!P410="",NEGOCIAÇÕES!N410&lt;TODAY()),NEGOCIAÇÕES!D410,"")</f>
        <v/>
      </c>
      <c r="E410" s="9" t="str">
        <f ca="1">IF(AND(NEGOCIAÇÕES!P410="",NEGOCIAÇÕES!N410&lt;TODAY()),NEGOCIAÇÕES!N410,"")</f>
        <v/>
      </c>
      <c r="F410" s="6"/>
    </row>
    <row r="411" spans="2:6" ht="31.95" hidden="1" customHeight="1" x14ac:dyDescent="0.3">
      <c r="B411" s="6" t="str">
        <f ca="1">IF(AND(NEGOCIAÇÕES!P411="",NEGOCIAÇÕES!N411&lt;TODAY()),NEGOCIAÇÕES!C411,"")</f>
        <v/>
      </c>
      <c r="C411" s="6" t="str">
        <f ca="1">IF(AND(NEGOCIAÇÕES!P411="",NEGOCIAÇÕES!N411&lt;TODAY()),NEGOCIAÇÕES!E411,"")</f>
        <v/>
      </c>
      <c r="D411" s="6" t="str">
        <f ca="1">IF(AND(NEGOCIAÇÕES!P411="",NEGOCIAÇÕES!N411&lt;TODAY()),NEGOCIAÇÕES!D411,"")</f>
        <v/>
      </c>
      <c r="E411" s="9" t="str">
        <f ca="1">IF(AND(NEGOCIAÇÕES!P411="",NEGOCIAÇÕES!N411&lt;TODAY()),NEGOCIAÇÕES!N411,"")</f>
        <v/>
      </c>
      <c r="F411" s="6"/>
    </row>
    <row r="412" spans="2:6" ht="31.95" hidden="1" customHeight="1" x14ac:dyDescent="0.3">
      <c r="B412" s="6" t="str">
        <f ca="1">IF(AND(NEGOCIAÇÕES!P412="",NEGOCIAÇÕES!N412&lt;TODAY()),NEGOCIAÇÕES!C412,"")</f>
        <v/>
      </c>
      <c r="C412" s="6" t="str">
        <f ca="1">IF(AND(NEGOCIAÇÕES!P412="",NEGOCIAÇÕES!N412&lt;TODAY()),NEGOCIAÇÕES!E412,"")</f>
        <v/>
      </c>
      <c r="D412" s="6" t="str">
        <f ca="1">IF(AND(NEGOCIAÇÕES!P412="",NEGOCIAÇÕES!N412&lt;TODAY()),NEGOCIAÇÕES!D412,"")</f>
        <v/>
      </c>
      <c r="E412" s="9" t="str">
        <f ca="1">IF(AND(NEGOCIAÇÕES!P412="",NEGOCIAÇÕES!N412&lt;TODAY()),NEGOCIAÇÕES!N412,"")</f>
        <v/>
      </c>
      <c r="F412" s="6"/>
    </row>
    <row r="413" spans="2:6" ht="31.95" hidden="1" customHeight="1" x14ac:dyDescent="0.3">
      <c r="B413" s="6" t="str">
        <f ca="1">IF(AND(NEGOCIAÇÕES!P413="",NEGOCIAÇÕES!N413&lt;TODAY()),NEGOCIAÇÕES!C413,"")</f>
        <v/>
      </c>
      <c r="C413" s="6" t="str">
        <f ca="1">IF(AND(NEGOCIAÇÕES!P413="",NEGOCIAÇÕES!N413&lt;TODAY()),NEGOCIAÇÕES!E413,"")</f>
        <v/>
      </c>
      <c r="D413" s="6" t="str">
        <f ca="1">IF(AND(NEGOCIAÇÕES!P413="",NEGOCIAÇÕES!N413&lt;TODAY()),NEGOCIAÇÕES!D413,"")</f>
        <v/>
      </c>
      <c r="E413" s="9" t="str">
        <f ca="1">IF(AND(NEGOCIAÇÕES!P413="",NEGOCIAÇÕES!N413&lt;TODAY()),NEGOCIAÇÕES!N413,"")</f>
        <v/>
      </c>
      <c r="F413" s="6"/>
    </row>
    <row r="414" spans="2:6" ht="31.95" hidden="1" customHeight="1" x14ac:dyDescent="0.3">
      <c r="B414" s="6" t="str">
        <f ca="1">IF(AND(NEGOCIAÇÕES!P414="",NEGOCIAÇÕES!N414&lt;TODAY()),NEGOCIAÇÕES!C414,"")</f>
        <v/>
      </c>
      <c r="C414" s="6" t="str">
        <f ca="1">IF(AND(NEGOCIAÇÕES!P414="",NEGOCIAÇÕES!N414&lt;TODAY()),NEGOCIAÇÕES!E414,"")</f>
        <v/>
      </c>
      <c r="D414" s="6" t="str">
        <f ca="1">IF(AND(NEGOCIAÇÕES!P414="",NEGOCIAÇÕES!N414&lt;TODAY()),NEGOCIAÇÕES!D414,"")</f>
        <v/>
      </c>
      <c r="E414" s="9" t="str">
        <f ca="1">IF(AND(NEGOCIAÇÕES!P414="",NEGOCIAÇÕES!N414&lt;TODAY()),NEGOCIAÇÕES!N414,"")</f>
        <v/>
      </c>
      <c r="F414" s="6"/>
    </row>
    <row r="415" spans="2:6" ht="31.95" hidden="1" customHeight="1" x14ac:dyDescent="0.3">
      <c r="B415" s="6" t="str">
        <f ca="1">IF(AND(NEGOCIAÇÕES!P415="",NEGOCIAÇÕES!N415&lt;TODAY()),NEGOCIAÇÕES!C415,"")</f>
        <v/>
      </c>
      <c r="C415" s="6" t="str">
        <f ca="1">IF(AND(NEGOCIAÇÕES!P415="",NEGOCIAÇÕES!N415&lt;TODAY()),NEGOCIAÇÕES!E415,"")</f>
        <v/>
      </c>
      <c r="D415" s="6" t="str">
        <f ca="1">IF(AND(NEGOCIAÇÕES!P415="",NEGOCIAÇÕES!N415&lt;TODAY()),NEGOCIAÇÕES!D415,"")</f>
        <v/>
      </c>
      <c r="E415" s="9" t="str">
        <f ca="1">IF(AND(NEGOCIAÇÕES!P415="",NEGOCIAÇÕES!N415&lt;TODAY()),NEGOCIAÇÕES!N415,"")</f>
        <v/>
      </c>
      <c r="F415" s="6"/>
    </row>
    <row r="416" spans="2:6" ht="31.95" hidden="1" customHeight="1" x14ac:dyDescent="0.3">
      <c r="B416" s="6" t="str">
        <f ca="1">IF(AND(NEGOCIAÇÕES!P416="",NEGOCIAÇÕES!N416&lt;TODAY()),NEGOCIAÇÕES!C416,"")</f>
        <v/>
      </c>
      <c r="C416" s="6" t="str">
        <f ca="1">IF(AND(NEGOCIAÇÕES!P416="",NEGOCIAÇÕES!N416&lt;TODAY()),NEGOCIAÇÕES!E416,"")</f>
        <v/>
      </c>
      <c r="D416" s="6" t="str">
        <f ca="1">IF(AND(NEGOCIAÇÕES!P416="",NEGOCIAÇÕES!N416&lt;TODAY()),NEGOCIAÇÕES!D416,"")</f>
        <v/>
      </c>
      <c r="E416" s="9" t="str">
        <f ca="1">IF(AND(NEGOCIAÇÕES!P416="",NEGOCIAÇÕES!N416&lt;TODAY()),NEGOCIAÇÕES!N416,"")</f>
        <v/>
      </c>
      <c r="F416" s="6"/>
    </row>
    <row r="417" spans="2:6" ht="31.95" hidden="1" customHeight="1" x14ac:dyDescent="0.3">
      <c r="B417" s="6" t="str">
        <f ca="1">IF(AND(NEGOCIAÇÕES!P417="",NEGOCIAÇÕES!N417&lt;TODAY()),NEGOCIAÇÕES!C417,"")</f>
        <v/>
      </c>
      <c r="C417" s="6" t="str">
        <f ca="1">IF(AND(NEGOCIAÇÕES!P417="",NEGOCIAÇÕES!N417&lt;TODAY()),NEGOCIAÇÕES!E417,"")</f>
        <v/>
      </c>
      <c r="D417" s="6" t="str">
        <f ca="1">IF(AND(NEGOCIAÇÕES!P417="",NEGOCIAÇÕES!N417&lt;TODAY()),NEGOCIAÇÕES!D417,"")</f>
        <v/>
      </c>
      <c r="E417" s="9" t="str">
        <f ca="1">IF(AND(NEGOCIAÇÕES!P417="",NEGOCIAÇÕES!N417&lt;TODAY()),NEGOCIAÇÕES!N417,"")</f>
        <v/>
      </c>
      <c r="F417" s="6"/>
    </row>
    <row r="418" spans="2:6" ht="31.95" hidden="1" customHeight="1" x14ac:dyDescent="0.3">
      <c r="B418" s="6" t="str">
        <f ca="1">IF(AND(NEGOCIAÇÕES!P418="",NEGOCIAÇÕES!N418&lt;TODAY()),NEGOCIAÇÕES!C418,"")</f>
        <v/>
      </c>
      <c r="C418" s="6" t="str">
        <f ca="1">IF(AND(NEGOCIAÇÕES!P418="",NEGOCIAÇÕES!N418&lt;TODAY()),NEGOCIAÇÕES!E418,"")</f>
        <v/>
      </c>
      <c r="D418" s="6" t="str">
        <f ca="1">IF(AND(NEGOCIAÇÕES!P418="",NEGOCIAÇÕES!N418&lt;TODAY()),NEGOCIAÇÕES!D418,"")</f>
        <v/>
      </c>
      <c r="E418" s="9" t="str">
        <f ca="1">IF(AND(NEGOCIAÇÕES!P418="",NEGOCIAÇÕES!N418&lt;TODAY()),NEGOCIAÇÕES!N418,"")</f>
        <v/>
      </c>
      <c r="F418" s="6"/>
    </row>
    <row r="419" spans="2:6" ht="31.95" hidden="1" customHeight="1" x14ac:dyDescent="0.3">
      <c r="B419" s="6" t="str">
        <f ca="1">IF(AND(NEGOCIAÇÕES!P419="",NEGOCIAÇÕES!N419&lt;TODAY()),NEGOCIAÇÕES!C419,"")</f>
        <v/>
      </c>
      <c r="C419" s="6" t="str">
        <f ca="1">IF(AND(NEGOCIAÇÕES!P419="",NEGOCIAÇÕES!N419&lt;TODAY()),NEGOCIAÇÕES!E419,"")</f>
        <v/>
      </c>
      <c r="D419" s="6" t="str">
        <f ca="1">IF(AND(NEGOCIAÇÕES!P419="",NEGOCIAÇÕES!N419&lt;TODAY()),NEGOCIAÇÕES!D419,"")</f>
        <v/>
      </c>
      <c r="E419" s="9" t="str">
        <f ca="1">IF(AND(NEGOCIAÇÕES!P419="",NEGOCIAÇÕES!N419&lt;TODAY()),NEGOCIAÇÕES!N419,"")</f>
        <v/>
      </c>
      <c r="F419" s="6"/>
    </row>
    <row r="420" spans="2:6" ht="31.95" hidden="1" customHeight="1" x14ac:dyDescent="0.3">
      <c r="B420" s="6" t="str">
        <f ca="1">IF(AND(NEGOCIAÇÕES!P420="",NEGOCIAÇÕES!N420&lt;TODAY()),NEGOCIAÇÕES!C420,"")</f>
        <v/>
      </c>
      <c r="C420" s="6" t="str">
        <f ca="1">IF(AND(NEGOCIAÇÕES!P420="",NEGOCIAÇÕES!N420&lt;TODAY()),NEGOCIAÇÕES!E420,"")</f>
        <v/>
      </c>
      <c r="D420" s="6" t="str">
        <f ca="1">IF(AND(NEGOCIAÇÕES!P420="",NEGOCIAÇÕES!N420&lt;TODAY()),NEGOCIAÇÕES!D420,"")</f>
        <v/>
      </c>
      <c r="E420" s="9" t="str">
        <f ca="1">IF(AND(NEGOCIAÇÕES!P420="",NEGOCIAÇÕES!N420&lt;TODAY()),NEGOCIAÇÕES!N420,"")</f>
        <v/>
      </c>
      <c r="F420" s="6"/>
    </row>
    <row r="421" spans="2:6" ht="31.95" hidden="1" customHeight="1" x14ac:dyDescent="0.3">
      <c r="B421" s="6" t="str">
        <f ca="1">IF(AND(NEGOCIAÇÕES!P421="",NEGOCIAÇÕES!N421&lt;TODAY()),NEGOCIAÇÕES!C421,"")</f>
        <v/>
      </c>
      <c r="C421" s="6" t="str">
        <f ca="1">IF(AND(NEGOCIAÇÕES!P421="",NEGOCIAÇÕES!N421&lt;TODAY()),NEGOCIAÇÕES!E421,"")</f>
        <v/>
      </c>
      <c r="D421" s="6" t="str">
        <f ca="1">IF(AND(NEGOCIAÇÕES!P421="",NEGOCIAÇÕES!N421&lt;TODAY()),NEGOCIAÇÕES!D421,"")</f>
        <v/>
      </c>
      <c r="E421" s="9" t="str">
        <f ca="1">IF(AND(NEGOCIAÇÕES!P421="",NEGOCIAÇÕES!N421&lt;TODAY()),NEGOCIAÇÕES!N421,"")</f>
        <v/>
      </c>
      <c r="F421" s="6"/>
    </row>
    <row r="422" spans="2:6" ht="31.95" hidden="1" customHeight="1" x14ac:dyDescent="0.3">
      <c r="B422" s="6" t="str">
        <f ca="1">IF(AND(NEGOCIAÇÕES!P422="",NEGOCIAÇÕES!N422&lt;TODAY()),NEGOCIAÇÕES!C422,"")</f>
        <v/>
      </c>
      <c r="C422" s="6" t="str">
        <f ca="1">IF(AND(NEGOCIAÇÕES!P422="",NEGOCIAÇÕES!N422&lt;TODAY()),NEGOCIAÇÕES!E422,"")</f>
        <v/>
      </c>
      <c r="D422" s="6" t="str">
        <f ca="1">IF(AND(NEGOCIAÇÕES!P422="",NEGOCIAÇÕES!N422&lt;TODAY()),NEGOCIAÇÕES!D422,"")</f>
        <v/>
      </c>
      <c r="E422" s="9" t="str">
        <f ca="1">IF(AND(NEGOCIAÇÕES!P422="",NEGOCIAÇÕES!N422&lt;TODAY()),NEGOCIAÇÕES!N422,"")</f>
        <v/>
      </c>
      <c r="F422" s="6"/>
    </row>
    <row r="423" spans="2:6" ht="31.95" hidden="1" customHeight="1" x14ac:dyDescent="0.3">
      <c r="B423" s="6" t="str">
        <f ca="1">IF(AND(NEGOCIAÇÕES!P423="",NEGOCIAÇÕES!N423&lt;TODAY()),NEGOCIAÇÕES!C423,"")</f>
        <v/>
      </c>
      <c r="C423" s="6" t="str">
        <f ca="1">IF(AND(NEGOCIAÇÕES!P423="",NEGOCIAÇÕES!N423&lt;TODAY()),NEGOCIAÇÕES!E423,"")</f>
        <v/>
      </c>
      <c r="D423" s="6" t="str">
        <f ca="1">IF(AND(NEGOCIAÇÕES!P423="",NEGOCIAÇÕES!N423&lt;TODAY()),NEGOCIAÇÕES!D423,"")</f>
        <v/>
      </c>
      <c r="E423" s="9" t="str">
        <f ca="1">IF(AND(NEGOCIAÇÕES!P423="",NEGOCIAÇÕES!N423&lt;TODAY()),NEGOCIAÇÕES!N423,"")</f>
        <v/>
      </c>
      <c r="F423" s="6"/>
    </row>
    <row r="424" spans="2:6" ht="31.95" hidden="1" customHeight="1" x14ac:dyDescent="0.3">
      <c r="B424" s="6" t="str">
        <f ca="1">IF(AND(NEGOCIAÇÕES!P424="",NEGOCIAÇÕES!N424&lt;TODAY()),NEGOCIAÇÕES!C424,"")</f>
        <v/>
      </c>
      <c r="C424" s="6" t="str">
        <f ca="1">IF(AND(NEGOCIAÇÕES!P424="",NEGOCIAÇÕES!N424&lt;TODAY()),NEGOCIAÇÕES!E424,"")</f>
        <v/>
      </c>
      <c r="D424" s="6" t="str">
        <f ca="1">IF(AND(NEGOCIAÇÕES!P424="",NEGOCIAÇÕES!N424&lt;TODAY()),NEGOCIAÇÕES!D424,"")</f>
        <v/>
      </c>
      <c r="E424" s="9" t="str">
        <f ca="1">IF(AND(NEGOCIAÇÕES!P424="",NEGOCIAÇÕES!N424&lt;TODAY()),NEGOCIAÇÕES!N424,"")</f>
        <v/>
      </c>
      <c r="F424" s="6"/>
    </row>
    <row r="425" spans="2:6" ht="31.95" hidden="1" customHeight="1" x14ac:dyDescent="0.3">
      <c r="B425" s="6" t="str">
        <f ca="1">IF(AND(NEGOCIAÇÕES!P425="",NEGOCIAÇÕES!N425&lt;TODAY()),NEGOCIAÇÕES!C425,"")</f>
        <v/>
      </c>
      <c r="C425" s="6" t="str">
        <f ca="1">IF(AND(NEGOCIAÇÕES!P425="",NEGOCIAÇÕES!N425&lt;TODAY()),NEGOCIAÇÕES!E425,"")</f>
        <v/>
      </c>
      <c r="D425" s="6" t="str">
        <f ca="1">IF(AND(NEGOCIAÇÕES!P425="",NEGOCIAÇÕES!N425&lt;TODAY()),NEGOCIAÇÕES!D425,"")</f>
        <v/>
      </c>
      <c r="E425" s="9" t="str">
        <f ca="1">IF(AND(NEGOCIAÇÕES!P425="",NEGOCIAÇÕES!N425&lt;TODAY()),NEGOCIAÇÕES!N425,"")</f>
        <v/>
      </c>
      <c r="F425" s="6"/>
    </row>
    <row r="426" spans="2:6" ht="31.95" hidden="1" customHeight="1" x14ac:dyDescent="0.3">
      <c r="B426" s="6" t="str">
        <f ca="1">IF(AND(NEGOCIAÇÕES!P426="",NEGOCIAÇÕES!N426&lt;TODAY()),NEGOCIAÇÕES!C426,"")</f>
        <v/>
      </c>
      <c r="C426" s="6" t="str">
        <f ca="1">IF(AND(NEGOCIAÇÕES!P426="",NEGOCIAÇÕES!N426&lt;TODAY()),NEGOCIAÇÕES!E426,"")</f>
        <v/>
      </c>
      <c r="D426" s="6" t="str">
        <f ca="1">IF(AND(NEGOCIAÇÕES!P426="",NEGOCIAÇÕES!N426&lt;TODAY()),NEGOCIAÇÕES!D426,"")</f>
        <v/>
      </c>
      <c r="E426" s="9" t="str">
        <f ca="1">IF(AND(NEGOCIAÇÕES!P426="",NEGOCIAÇÕES!N426&lt;TODAY()),NEGOCIAÇÕES!N426,"")</f>
        <v/>
      </c>
      <c r="F426" s="6"/>
    </row>
    <row r="427" spans="2:6" ht="31.95" hidden="1" customHeight="1" x14ac:dyDescent="0.3">
      <c r="B427" s="6" t="str">
        <f ca="1">IF(AND(NEGOCIAÇÕES!P427="",NEGOCIAÇÕES!N427&lt;TODAY()),NEGOCIAÇÕES!C427,"")</f>
        <v/>
      </c>
      <c r="C427" s="6" t="str">
        <f ca="1">IF(AND(NEGOCIAÇÕES!P427="",NEGOCIAÇÕES!N427&lt;TODAY()),NEGOCIAÇÕES!E427,"")</f>
        <v/>
      </c>
      <c r="D427" s="6" t="str">
        <f ca="1">IF(AND(NEGOCIAÇÕES!P427="",NEGOCIAÇÕES!N427&lt;TODAY()),NEGOCIAÇÕES!D427,"")</f>
        <v/>
      </c>
      <c r="E427" s="9" t="str">
        <f ca="1">IF(AND(NEGOCIAÇÕES!P427="",NEGOCIAÇÕES!N427&lt;TODAY()),NEGOCIAÇÕES!N427,"")</f>
        <v/>
      </c>
      <c r="F427" s="6"/>
    </row>
    <row r="428" spans="2:6" ht="31.95" hidden="1" customHeight="1" x14ac:dyDescent="0.3">
      <c r="B428" s="6" t="str">
        <f ca="1">IF(AND(NEGOCIAÇÕES!P428="",NEGOCIAÇÕES!N428&lt;TODAY()),NEGOCIAÇÕES!C428,"")</f>
        <v/>
      </c>
      <c r="C428" s="6" t="str">
        <f ca="1">IF(AND(NEGOCIAÇÕES!P428="",NEGOCIAÇÕES!N428&lt;TODAY()),NEGOCIAÇÕES!E428,"")</f>
        <v/>
      </c>
      <c r="D428" s="6" t="str">
        <f ca="1">IF(AND(NEGOCIAÇÕES!P428="",NEGOCIAÇÕES!N428&lt;TODAY()),NEGOCIAÇÕES!D428,"")</f>
        <v/>
      </c>
      <c r="E428" s="9" t="str">
        <f ca="1">IF(AND(NEGOCIAÇÕES!P428="",NEGOCIAÇÕES!N428&lt;TODAY()),NEGOCIAÇÕES!N428,"")</f>
        <v/>
      </c>
      <c r="F428" s="6"/>
    </row>
    <row r="429" spans="2:6" ht="31.95" hidden="1" customHeight="1" x14ac:dyDescent="0.3">
      <c r="B429" s="6" t="str">
        <f ca="1">IF(AND(NEGOCIAÇÕES!P429="",NEGOCIAÇÕES!N429&lt;TODAY()),NEGOCIAÇÕES!C429,"")</f>
        <v/>
      </c>
      <c r="C429" s="6" t="str">
        <f ca="1">IF(AND(NEGOCIAÇÕES!P429="",NEGOCIAÇÕES!N429&lt;TODAY()),NEGOCIAÇÕES!E429,"")</f>
        <v/>
      </c>
      <c r="D429" s="6" t="str">
        <f ca="1">IF(AND(NEGOCIAÇÕES!P429="",NEGOCIAÇÕES!N429&lt;TODAY()),NEGOCIAÇÕES!D429,"")</f>
        <v/>
      </c>
      <c r="E429" s="9" t="str">
        <f ca="1">IF(AND(NEGOCIAÇÕES!P429="",NEGOCIAÇÕES!N429&lt;TODAY()),NEGOCIAÇÕES!N429,"")</f>
        <v/>
      </c>
      <c r="F429" s="6"/>
    </row>
    <row r="430" spans="2:6" ht="31.95" hidden="1" customHeight="1" x14ac:dyDescent="0.3">
      <c r="B430" s="6" t="str">
        <f ca="1">IF(AND(NEGOCIAÇÕES!P430="",NEGOCIAÇÕES!N430&lt;TODAY()),NEGOCIAÇÕES!C430,"")</f>
        <v/>
      </c>
      <c r="C430" s="6" t="str">
        <f ca="1">IF(AND(NEGOCIAÇÕES!P430="",NEGOCIAÇÕES!N430&lt;TODAY()),NEGOCIAÇÕES!E430,"")</f>
        <v/>
      </c>
      <c r="D430" s="6" t="str">
        <f ca="1">IF(AND(NEGOCIAÇÕES!P430="",NEGOCIAÇÕES!N430&lt;TODAY()),NEGOCIAÇÕES!D430,"")</f>
        <v/>
      </c>
      <c r="E430" s="9" t="str">
        <f ca="1">IF(AND(NEGOCIAÇÕES!P430="",NEGOCIAÇÕES!N430&lt;TODAY()),NEGOCIAÇÕES!N430,"")</f>
        <v/>
      </c>
      <c r="F430" s="6"/>
    </row>
    <row r="431" spans="2:6" ht="31.95" hidden="1" customHeight="1" x14ac:dyDescent="0.3">
      <c r="B431" s="6" t="str">
        <f ca="1">IF(AND(NEGOCIAÇÕES!P431="",NEGOCIAÇÕES!N431&lt;TODAY()),NEGOCIAÇÕES!C431,"")</f>
        <v/>
      </c>
      <c r="C431" s="6" t="str">
        <f ca="1">IF(AND(NEGOCIAÇÕES!P431="",NEGOCIAÇÕES!N431&lt;TODAY()),NEGOCIAÇÕES!E431,"")</f>
        <v/>
      </c>
      <c r="D431" s="6" t="str">
        <f ca="1">IF(AND(NEGOCIAÇÕES!P431="",NEGOCIAÇÕES!N431&lt;TODAY()),NEGOCIAÇÕES!D431,"")</f>
        <v/>
      </c>
      <c r="E431" s="9" t="str">
        <f ca="1">IF(AND(NEGOCIAÇÕES!P431="",NEGOCIAÇÕES!N431&lt;TODAY()),NEGOCIAÇÕES!N431,"")</f>
        <v/>
      </c>
      <c r="F431" s="6"/>
    </row>
    <row r="432" spans="2:6" ht="31.95" hidden="1" customHeight="1" x14ac:dyDescent="0.3">
      <c r="B432" s="6" t="str">
        <f ca="1">IF(AND(NEGOCIAÇÕES!P432="",NEGOCIAÇÕES!N432&lt;TODAY()),NEGOCIAÇÕES!C432,"")</f>
        <v/>
      </c>
      <c r="C432" s="6" t="str">
        <f ca="1">IF(AND(NEGOCIAÇÕES!P432="",NEGOCIAÇÕES!N432&lt;TODAY()),NEGOCIAÇÕES!E432,"")</f>
        <v/>
      </c>
      <c r="D432" s="6" t="str">
        <f ca="1">IF(AND(NEGOCIAÇÕES!P432="",NEGOCIAÇÕES!N432&lt;TODAY()),NEGOCIAÇÕES!D432,"")</f>
        <v/>
      </c>
      <c r="E432" s="9" t="str">
        <f ca="1">IF(AND(NEGOCIAÇÕES!P432="",NEGOCIAÇÕES!N432&lt;TODAY()),NEGOCIAÇÕES!N432,"")</f>
        <v/>
      </c>
      <c r="F432" s="6"/>
    </row>
    <row r="433" spans="2:6" ht="31.95" hidden="1" customHeight="1" x14ac:dyDescent="0.3">
      <c r="B433" s="6" t="str">
        <f ca="1">IF(AND(NEGOCIAÇÕES!P433="",NEGOCIAÇÕES!N433&lt;TODAY()),NEGOCIAÇÕES!C433,"")</f>
        <v/>
      </c>
      <c r="C433" s="6" t="str">
        <f ca="1">IF(AND(NEGOCIAÇÕES!P433="",NEGOCIAÇÕES!N433&lt;TODAY()),NEGOCIAÇÕES!E433,"")</f>
        <v/>
      </c>
      <c r="D433" s="6" t="str">
        <f ca="1">IF(AND(NEGOCIAÇÕES!P433="",NEGOCIAÇÕES!N433&lt;TODAY()),NEGOCIAÇÕES!D433,"")</f>
        <v/>
      </c>
      <c r="E433" s="9" t="str">
        <f ca="1">IF(AND(NEGOCIAÇÕES!P433="",NEGOCIAÇÕES!N433&lt;TODAY()),NEGOCIAÇÕES!N433,"")</f>
        <v/>
      </c>
      <c r="F433" s="6"/>
    </row>
    <row r="434" spans="2:6" ht="31.95" hidden="1" customHeight="1" x14ac:dyDescent="0.3">
      <c r="B434" s="6" t="str">
        <f ca="1">IF(AND(NEGOCIAÇÕES!P434="",NEGOCIAÇÕES!N434&lt;TODAY()),NEGOCIAÇÕES!C434,"")</f>
        <v/>
      </c>
      <c r="C434" s="6" t="str">
        <f ca="1">IF(AND(NEGOCIAÇÕES!P434="",NEGOCIAÇÕES!N434&lt;TODAY()),NEGOCIAÇÕES!E434,"")</f>
        <v/>
      </c>
      <c r="D434" s="6" t="str">
        <f ca="1">IF(AND(NEGOCIAÇÕES!P434="",NEGOCIAÇÕES!N434&lt;TODAY()),NEGOCIAÇÕES!D434,"")</f>
        <v/>
      </c>
      <c r="E434" s="9" t="str">
        <f ca="1">IF(AND(NEGOCIAÇÕES!P434="",NEGOCIAÇÕES!N434&lt;TODAY()),NEGOCIAÇÕES!N434,"")</f>
        <v/>
      </c>
      <c r="F434" s="6"/>
    </row>
    <row r="435" spans="2:6" ht="31.95" hidden="1" customHeight="1" x14ac:dyDescent="0.3">
      <c r="B435" s="6" t="str">
        <f ca="1">IF(AND(NEGOCIAÇÕES!P435="",NEGOCIAÇÕES!N435&lt;TODAY()),NEGOCIAÇÕES!C435,"")</f>
        <v/>
      </c>
      <c r="C435" s="6" t="str">
        <f ca="1">IF(AND(NEGOCIAÇÕES!P435="",NEGOCIAÇÕES!N435&lt;TODAY()),NEGOCIAÇÕES!E435,"")</f>
        <v/>
      </c>
      <c r="D435" s="6" t="str">
        <f ca="1">IF(AND(NEGOCIAÇÕES!P435="",NEGOCIAÇÕES!N435&lt;TODAY()),NEGOCIAÇÕES!D435,"")</f>
        <v/>
      </c>
      <c r="E435" s="9" t="str">
        <f ca="1">IF(AND(NEGOCIAÇÕES!P435="",NEGOCIAÇÕES!N435&lt;TODAY()),NEGOCIAÇÕES!N435,"")</f>
        <v/>
      </c>
      <c r="F435" s="6"/>
    </row>
    <row r="436" spans="2:6" ht="31.95" hidden="1" customHeight="1" x14ac:dyDescent="0.3">
      <c r="B436" s="6" t="str">
        <f ca="1">IF(AND(NEGOCIAÇÕES!P436="",NEGOCIAÇÕES!N436&lt;TODAY()),NEGOCIAÇÕES!C436,"")</f>
        <v/>
      </c>
      <c r="C436" s="6" t="str">
        <f ca="1">IF(AND(NEGOCIAÇÕES!P436="",NEGOCIAÇÕES!N436&lt;TODAY()),NEGOCIAÇÕES!E436,"")</f>
        <v/>
      </c>
      <c r="D436" s="6" t="str">
        <f ca="1">IF(AND(NEGOCIAÇÕES!P436="",NEGOCIAÇÕES!N436&lt;TODAY()),NEGOCIAÇÕES!D436,"")</f>
        <v/>
      </c>
      <c r="E436" s="9" t="str">
        <f ca="1">IF(AND(NEGOCIAÇÕES!P436="",NEGOCIAÇÕES!N436&lt;TODAY()),NEGOCIAÇÕES!N436,"")</f>
        <v/>
      </c>
      <c r="F436" s="6"/>
    </row>
    <row r="437" spans="2:6" ht="31.95" hidden="1" customHeight="1" x14ac:dyDescent="0.3">
      <c r="B437" s="6" t="str">
        <f ca="1">IF(AND(NEGOCIAÇÕES!P437="",NEGOCIAÇÕES!N437&lt;TODAY()),NEGOCIAÇÕES!C437,"")</f>
        <v/>
      </c>
      <c r="C437" s="6" t="str">
        <f ca="1">IF(AND(NEGOCIAÇÕES!P437="",NEGOCIAÇÕES!N437&lt;TODAY()),NEGOCIAÇÕES!E437,"")</f>
        <v/>
      </c>
      <c r="D437" s="6" t="str">
        <f ca="1">IF(AND(NEGOCIAÇÕES!P437="",NEGOCIAÇÕES!N437&lt;TODAY()),NEGOCIAÇÕES!D437,"")</f>
        <v/>
      </c>
      <c r="E437" s="9" t="str">
        <f ca="1">IF(AND(NEGOCIAÇÕES!P437="",NEGOCIAÇÕES!N437&lt;TODAY()),NEGOCIAÇÕES!N437,"")</f>
        <v/>
      </c>
      <c r="F437" s="6"/>
    </row>
    <row r="438" spans="2:6" ht="31.95" hidden="1" customHeight="1" x14ac:dyDescent="0.3">
      <c r="B438" s="6" t="str">
        <f ca="1">IF(AND(NEGOCIAÇÕES!P438="",NEGOCIAÇÕES!N438&lt;TODAY()),NEGOCIAÇÕES!C438,"")</f>
        <v/>
      </c>
      <c r="C438" s="6" t="str">
        <f ca="1">IF(AND(NEGOCIAÇÕES!P438="",NEGOCIAÇÕES!N438&lt;TODAY()),NEGOCIAÇÕES!E438,"")</f>
        <v/>
      </c>
      <c r="D438" s="6" t="str">
        <f ca="1">IF(AND(NEGOCIAÇÕES!P438="",NEGOCIAÇÕES!N438&lt;TODAY()),NEGOCIAÇÕES!D438,"")</f>
        <v/>
      </c>
      <c r="E438" s="9" t="str">
        <f ca="1">IF(AND(NEGOCIAÇÕES!P438="",NEGOCIAÇÕES!N438&lt;TODAY()),NEGOCIAÇÕES!N438,"")</f>
        <v/>
      </c>
      <c r="F438" s="6"/>
    </row>
    <row r="439" spans="2:6" ht="31.95" hidden="1" customHeight="1" x14ac:dyDescent="0.3">
      <c r="B439" s="6" t="str">
        <f ca="1">IF(AND(NEGOCIAÇÕES!P439="",NEGOCIAÇÕES!N439&lt;TODAY()),NEGOCIAÇÕES!C439,"")</f>
        <v/>
      </c>
      <c r="C439" s="6" t="str">
        <f ca="1">IF(AND(NEGOCIAÇÕES!P439="",NEGOCIAÇÕES!N439&lt;TODAY()),NEGOCIAÇÕES!E439,"")</f>
        <v/>
      </c>
      <c r="D439" s="6" t="str">
        <f ca="1">IF(AND(NEGOCIAÇÕES!P439="",NEGOCIAÇÕES!N439&lt;TODAY()),NEGOCIAÇÕES!D439,"")</f>
        <v/>
      </c>
      <c r="E439" s="9" t="str">
        <f ca="1">IF(AND(NEGOCIAÇÕES!P439="",NEGOCIAÇÕES!N439&lt;TODAY()),NEGOCIAÇÕES!N439,"")</f>
        <v/>
      </c>
      <c r="F439" s="6"/>
    </row>
    <row r="440" spans="2:6" ht="31.95" hidden="1" customHeight="1" x14ac:dyDescent="0.3">
      <c r="B440" s="6" t="str">
        <f ca="1">IF(AND(NEGOCIAÇÕES!P440="",NEGOCIAÇÕES!N440&lt;TODAY()),NEGOCIAÇÕES!C440,"")</f>
        <v/>
      </c>
      <c r="C440" s="6" t="str">
        <f ca="1">IF(AND(NEGOCIAÇÕES!P440="",NEGOCIAÇÕES!N440&lt;TODAY()),NEGOCIAÇÕES!E440,"")</f>
        <v/>
      </c>
      <c r="D440" s="6" t="str">
        <f ca="1">IF(AND(NEGOCIAÇÕES!P440="",NEGOCIAÇÕES!N440&lt;TODAY()),NEGOCIAÇÕES!D440,"")</f>
        <v/>
      </c>
      <c r="E440" s="9" t="str">
        <f ca="1">IF(AND(NEGOCIAÇÕES!P440="",NEGOCIAÇÕES!N440&lt;TODAY()),NEGOCIAÇÕES!N440,"")</f>
        <v/>
      </c>
      <c r="F440" s="6"/>
    </row>
    <row r="441" spans="2:6" ht="31.95" hidden="1" customHeight="1" x14ac:dyDescent="0.3">
      <c r="B441" s="6" t="str">
        <f ca="1">IF(AND(NEGOCIAÇÕES!P441="",NEGOCIAÇÕES!N441&lt;TODAY()),NEGOCIAÇÕES!C441,"")</f>
        <v/>
      </c>
      <c r="C441" s="6" t="str">
        <f ca="1">IF(AND(NEGOCIAÇÕES!P441="",NEGOCIAÇÕES!N441&lt;TODAY()),NEGOCIAÇÕES!E441,"")</f>
        <v/>
      </c>
      <c r="D441" s="6" t="str">
        <f ca="1">IF(AND(NEGOCIAÇÕES!P441="",NEGOCIAÇÕES!N441&lt;TODAY()),NEGOCIAÇÕES!D441,"")</f>
        <v/>
      </c>
      <c r="E441" s="9" t="str">
        <f ca="1">IF(AND(NEGOCIAÇÕES!P441="",NEGOCIAÇÕES!N441&lt;TODAY()),NEGOCIAÇÕES!N441,"")</f>
        <v/>
      </c>
      <c r="F441" s="6"/>
    </row>
    <row r="442" spans="2:6" ht="31.95" hidden="1" customHeight="1" x14ac:dyDescent="0.3">
      <c r="B442" s="6" t="str">
        <f ca="1">IF(AND(NEGOCIAÇÕES!P442="",NEGOCIAÇÕES!N442&lt;TODAY()),NEGOCIAÇÕES!C442,"")</f>
        <v/>
      </c>
      <c r="C442" s="6" t="str">
        <f ca="1">IF(AND(NEGOCIAÇÕES!P442="",NEGOCIAÇÕES!N442&lt;TODAY()),NEGOCIAÇÕES!E442,"")</f>
        <v/>
      </c>
      <c r="D442" s="6" t="str">
        <f ca="1">IF(AND(NEGOCIAÇÕES!P442="",NEGOCIAÇÕES!N442&lt;TODAY()),NEGOCIAÇÕES!D442,"")</f>
        <v/>
      </c>
      <c r="E442" s="9" t="str">
        <f ca="1">IF(AND(NEGOCIAÇÕES!P442="",NEGOCIAÇÕES!N442&lt;TODAY()),NEGOCIAÇÕES!N442,"")</f>
        <v/>
      </c>
      <c r="F442" s="6"/>
    </row>
    <row r="443" spans="2:6" ht="31.95" hidden="1" customHeight="1" x14ac:dyDescent="0.3">
      <c r="B443" s="6" t="str">
        <f ca="1">IF(AND(NEGOCIAÇÕES!P443="",NEGOCIAÇÕES!N443&lt;TODAY()),NEGOCIAÇÕES!C443,"")</f>
        <v/>
      </c>
      <c r="C443" s="6" t="str">
        <f ca="1">IF(AND(NEGOCIAÇÕES!P443="",NEGOCIAÇÕES!N443&lt;TODAY()),NEGOCIAÇÕES!E443,"")</f>
        <v/>
      </c>
      <c r="D443" s="6" t="str">
        <f ca="1">IF(AND(NEGOCIAÇÕES!P443="",NEGOCIAÇÕES!N443&lt;TODAY()),NEGOCIAÇÕES!D443,"")</f>
        <v/>
      </c>
      <c r="E443" s="9" t="str">
        <f ca="1">IF(AND(NEGOCIAÇÕES!P443="",NEGOCIAÇÕES!N443&lt;TODAY()),NEGOCIAÇÕES!N443,"")</f>
        <v/>
      </c>
      <c r="F443" s="6"/>
    </row>
    <row r="444" spans="2:6" ht="31.95" hidden="1" customHeight="1" x14ac:dyDescent="0.3">
      <c r="B444" s="6" t="str">
        <f ca="1">IF(AND(NEGOCIAÇÕES!P444="",NEGOCIAÇÕES!N444&lt;TODAY()),NEGOCIAÇÕES!C444,"")</f>
        <v/>
      </c>
      <c r="C444" s="6" t="str">
        <f ca="1">IF(AND(NEGOCIAÇÕES!P444="",NEGOCIAÇÕES!N444&lt;TODAY()),NEGOCIAÇÕES!E444,"")</f>
        <v/>
      </c>
      <c r="D444" s="6" t="str">
        <f ca="1">IF(AND(NEGOCIAÇÕES!P444="",NEGOCIAÇÕES!N444&lt;TODAY()),NEGOCIAÇÕES!D444,"")</f>
        <v/>
      </c>
      <c r="E444" s="9" t="str">
        <f ca="1">IF(AND(NEGOCIAÇÕES!P444="",NEGOCIAÇÕES!N444&lt;TODAY()),NEGOCIAÇÕES!N444,"")</f>
        <v/>
      </c>
      <c r="F444" s="6"/>
    </row>
    <row r="445" spans="2:6" ht="31.95" hidden="1" customHeight="1" x14ac:dyDescent="0.3">
      <c r="B445" s="6" t="str">
        <f ca="1">IF(AND(NEGOCIAÇÕES!P445="",NEGOCIAÇÕES!N445&lt;TODAY()),NEGOCIAÇÕES!C445,"")</f>
        <v/>
      </c>
      <c r="C445" s="6" t="str">
        <f ca="1">IF(AND(NEGOCIAÇÕES!P445="",NEGOCIAÇÕES!N445&lt;TODAY()),NEGOCIAÇÕES!E445,"")</f>
        <v/>
      </c>
      <c r="D445" s="6" t="str">
        <f ca="1">IF(AND(NEGOCIAÇÕES!P445="",NEGOCIAÇÕES!N445&lt;TODAY()),NEGOCIAÇÕES!D445,"")</f>
        <v/>
      </c>
      <c r="E445" s="9" t="str">
        <f ca="1">IF(AND(NEGOCIAÇÕES!P445="",NEGOCIAÇÕES!N445&lt;TODAY()),NEGOCIAÇÕES!N445,"")</f>
        <v/>
      </c>
      <c r="F445" s="6"/>
    </row>
    <row r="446" spans="2:6" ht="31.95" hidden="1" customHeight="1" x14ac:dyDescent="0.3">
      <c r="B446" s="6" t="str">
        <f ca="1">IF(AND(NEGOCIAÇÕES!P446="",NEGOCIAÇÕES!N446&lt;TODAY()),NEGOCIAÇÕES!C446,"")</f>
        <v/>
      </c>
      <c r="C446" s="6" t="str">
        <f ca="1">IF(AND(NEGOCIAÇÕES!P446="",NEGOCIAÇÕES!N446&lt;TODAY()),NEGOCIAÇÕES!E446,"")</f>
        <v/>
      </c>
      <c r="D446" s="6" t="str">
        <f ca="1">IF(AND(NEGOCIAÇÕES!P446="",NEGOCIAÇÕES!N446&lt;TODAY()),NEGOCIAÇÕES!D446,"")</f>
        <v/>
      </c>
      <c r="E446" s="9" t="str">
        <f ca="1">IF(AND(NEGOCIAÇÕES!P446="",NEGOCIAÇÕES!N446&lt;TODAY()),NEGOCIAÇÕES!N446,"")</f>
        <v/>
      </c>
      <c r="F446" s="6"/>
    </row>
    <row r="447" spans="2:6" ht="31.95" hidden="1" customHeight="1" x14ac:dyDescent="0.3">
      <c r="B447" s="6" t="str">
        <f ca="1">IF(AND(NEGOCIAÇÕES!P447="",NEGOCIAÇÕES!N447&lt;TODAY()),NEGOCIAÇÕES!C447,"")</f>
        <v/>
      </c>
      <c r="C447" s="6" t="str">
        <f ca="1">IF(AND(NEGOCIAÇÕES!P447="",NEGOCIAÇÕES!N447&lt;TODAY()),NEGOCIAÇÕES!E447,"")</f>
        <v/>
      </c>
      <c r="D447" s="6" t="str">
        <f ca="1">IF(AND(NEGOCIAÇÕES!P447="",NEGOCIAÇÕES!N447&lt;TODAY()),NEGOCIAÇÕES!D447,"")</f>
        <v/>
      </c>
      <c r="E447" s="9" t="str">
        <f ca="1">IF(AND(NEGOCIAÇÕES!P447="",NEGOCIAÇÕES!N447&lt;TODAY()),NEGOCIAÇÕES!N447,"")</f>
        <v/>
      </c>
      <c r="F447" s="6"/>
    </row>
    <row r="448" spans="2:6" ht="31.95" hidden="1" customHeight="1" x14ac:dyDescent="0.3">
      <c r="B448" s="6" t="str">
        <f ca="1">IF(AND(NEGOCIAÇÕES!P448="",NEGOCIAÇÕES!N448&lt;TODAY()),NEGOCIAÇÕES!C448,"")</f>
        <v/>
      </c>
      <c r="C448" s="6" t="str">
        <f ca="1">IF(AND(NEGOCIAÇÕES!P448="",NEGOCIAÇÕES!N448&lt;TODAY()),NEGOCIAÇÕES!E448,"")</f>
        <v/>
      </c>
      <c r="D448" s="6" t="str">
        <f ca="1">IF(AND(NEGOCIAÇÕES!P448="",NEGOCIAÇÕES!N448&lt;TODAY()),NEGOCIAÇÕES!D448,"")</f>
        <v/>
      </c>
      <c r="E448" s="9" t="str">
        <f ca="1">IF(AND(NEGOCIAÇÕES!P448="",NEGOCIAÇÕES!N448&lt;TODAY()),NEGOCIAÇÕES!N448,"")</f>
        <v/>
      </c>
      <c r="F448" s="6"/>
    </row>
    <row r="449" spans="2:6" ht="31.95" hidden="1" customHeight="1" x14ac:dyDescent="0.3">
      <c r="B449" s="6" t="str">
        <f ca="1">IF(AND(NEGOCIAÇÕES!P449="",NEGOCIAÇÕES!N449&lt;TODAY()),NEGOCIAÇÕES!C449,"")</f>
        <v/>
      </c>
      <c r="C449" s="6" t="str">
        <f ca="1">IF(AND(NEGOCIAÇÕES!P449="",NEGOCIAÇÕES!N449&lt;TODAY()),NEGOCIAÇÕES!E449,"")</f>
        <v/>
      </c>
      <c r="D449" s="6" t="str">
        <f ca="1">IF(AND(NEGOCIAÇÕES!P449="",NEGOCIAÇÕES!N449&lt;TODAY()),NEGOCIAÇÕES!D449,"")</f>
        <v/>
      </c>
      <c r="E449" s="9" t="str">
        <f ca="1">IF(AND(NEGOCIAÇÕES!P449="",NEGOCIAÇÕES!N449&lt;TODAY()),NEGOCIAÇÕES!N449,"")</f>
        <v/>
      </c>
      <c r="F449" s="6"/>
    </row>
    <row r="450" spans="2:6" ht="31.95" hidden="1" customHeight="1" x14ac:dyDescent="0.3">
      <c r="B450" s="6" t="str">
        <f ca="1">IF(AND(NEGOCIAÇÕES!P450="",NEGOCIAÇÕES!N450&lt;TODAY()),NEGOCIAÇÕES!C450,"")</f>
        <v/>
      </c>
      <c r="C450" s="6" t="str">
        <f ca="1">IF(AND(NEGOCIAÇÕES!P450="",NEGOCIAÇÕES!N450&lt;TODAY()),NEGOCIAÇÕES!E450,"")</f>
        <v/>
      </c>
      <c r="D450" s="6" t="str">
        <f ca="1">IF(AND(NEGOCIAÇÕES!P450="",NEGOCIAÇÕES!N450&lt;TODAY()),NEGOCIAÇÕES!D450,"")</f>
        <v/>
      </c>
      <c r="E450" s="9" t="str">
        <f ca="1">IF(AND(NEGOCIAÇÕES!P450="",NEGOCIAÇÕES!N450&lt;TODAY()),NEGOCIAÇÕES!N450,"")</f>
        <v/>
      </c>
      <c r="F450" s="6"/>
    </row>
    <row r="451" spans="2:6" ht="31.95" hidden="1" customHeight="1" x14ac:dyDescent="0.3">
      <c r="B451" s="6" t="str">
        <f ca="1">IF(AND(NEGOCIAÇÕES!P451="",NEGOCIAÇÕES!N451&lt;TODAY()),NEGOCIAÇÕES!C451,"")</f>
        <v/>
      </c>
      <c r="C451" s="6" t="str">
        <f ca="1">IF(AND(NEGOCIAÇÕES!P451="",NEGOCIAÇÕES!N451&lt;TODAY()),NEGOCIAÇÕES!E451,"")</f>
        <v/>
      </c>
      <c r="D451" s="6" t="str">
        <f ca="1">IF(AND(NEGOCIAÇÕES!P451="",NEGOCIAÇÕES!N451&lt;TODAY()),NEGOCIAÇÕES!D451,"")</f>
        <v/>
      </c>
      <c r="E451" s="9" t="str">
        <f ca="1">IF(AND(NEGOCIAÇÕES!P451="",NEGOCIAÇÕES!N451&lt;TODAY()),NEGOCIAÇÕES!N451,"")</f>
        <v/>
      </c>
      <c r="F451" s="6"/>
    </row>
    <row r="452" spans="2:6" ht="31.95" hidden="1" customHeight="1" x14ac:dyDescent="0.3">
      <c r="B452" s="6" t="str">
        <f ca="1">IF(AND(NEGOCIAÇÕES!P452="",NEGOCIAÇÕES!N452&lt;TODAY()),NEGOCIAÇÕES!C452,"")</f>
        <v/>
      </c>
      <c r="C452" s="6" t="str">
        <f ca="1">IF(AND(NEGOCIAÇÕES!P452="",NEGOCIAÇÕES!N452&lt;TODAY()),NEGOCIAÇÕES!E452,"")</f>
        <v/>
      </c>
      <c r="D452" s="6" t="str">
        <f ca="1">IF(AND(NEGOCIAÇÕES!P452="",NEGOCIAÇÕES!N452&lt;TODAY()),NEGOCIAÇÕES!D452,"")</f>
        <v/>
      </c>
      <c r="E452" s="9" t="str">
        <f ca="1">IF(AND(NEGOCIAÇÕES!P452="",NEGOCIAÇÕES!N452&lt;TODAY()),NEGOCIAÇÕES!N452,"")</f>
        <v/>
      </c>
      <c r="F452" s="6"/>
    </row>
    <row r="453" spans="2:6" ht="31.95" hidden="1" customHeight="1" x14ac:dyDescent="0.3">
      <c r="B453" s="6" t="str">
        <f ca="1">IF(AND(NEGOCIAÇÕES!P453="",NEGOCIAÇÕES!N453&lt;TODAY()),NEGOCIAÇÕES!C453,"")</f>
        <v/>
      </c>
      <c r="C453" s="6" t="str">
        <f ca="1">IF(AND(NEGOCIAÇÕES!P453="",NEGOCIAÇÕES!N453&lt;TODAY()),NEGOCIAÇÕES!E453,"")</f>
        <v/>
      </c>
      <c r="D453" s="6" t="str">
        <f ca="1">IF(AND(NEGOCIAÇÕES!P453="",NEGOCIAÇÕES!N453&lt;TODAY()),NEGOCIAÇÕES!D453,"")</f>
        <v/>
      </c>
      <c r="E453" s="9" t="str">
        <f ca="1">IF(AND(NEGOCIAÇÕES!P453="",NEGOCIAÇÕES!N453&lt;TODAY()),NEGOCIAÇÕES!N453,"")</f>
        <v/>
      </c>
      <c r="F453" s="6"/>
    </row>
    <row r="454" spans="2:6" ht="31.95" hidden="1" customHeight="1" x14ac:dyDescent="0.3">
      <c r="B454" s="6" t="str">
        <f ca="1">IF(AND(NEGOCIAÇÕES!P454="",NEGOCIAÇÕES!N454&lt;TODAY()),NEGOCIAÇÕES!C454,"")</f>
        <v/>
      </c>
      <c r="C454" s="6" t="str">
        <f ca="1">IF(AND(NEGOCIAÇÕES!P454="",NEGOCIAÇÕES!N454&lt;TODAY()),NEGOCIAÇÕES!E454,"")</f>
        <v/>
      </c>
      <c r="D454" s="6" t="str">
        <f ca="1">IF(AND(NEGOCIAÇÕES!P454="",NEGOCIAÇÕES!N454&lt;TODAY()),NEGOCIAÇÕES!D454,"")</f>
        <v/>
      </c>
      <c r="E454" s="9" t="str">
        <f ca="1">IF(AND(NEGOCIAÇÕES!P454="",NEGOCIAÇÕES!N454&lt;TODAY()),NEGOCIAÇÕES!N454,"")</f>
        <v/>
      </c>
      <c r="F454" s="6"/>
    </row>
    <row r="455" spans="2:6" ht="31.95" hidden="1" customHeight="1" x14ac:dyDescent="0.3">
      <c r="B455" s="6" t="str">
        <f ca="1">IF(AND(NEGOCIAÇÕES!P455="",NEGOCIAÇÕES!N455&lt;TODAY()),NEGOCIAÇÕES!C455,"")</f>
        <v/>
      </c>
      <c r="C455" s="6" t="str">
        <f ca="1">IF(AND(NEGOCIAÇÕES!P455="",NEGOCIAÇÕES!N455&lt;TODAY()),NEGOCIAÇÕES!E455,"")</f>
        <v/>
      </c>
      <c r="D455" s="6" t="str">
        <f ca="1">IF(AND(NEGOCIAÇÕES!P455="",NEGOCIAÇÕES!N455&lt;TODAY()),NEGOCIAÇÕES!D455,"")</f>
        <v/>
      </c>
      <c r="E455" s="9" t="str">
        <f ca="1">IF(AND(NEGOCIAÇÕES!P455="",NEGOCIAÇÕES!N455&lt;TODAY()),NEGOCIAÇÕES!N455,"")</f>
        <v/>
      </c>
      <c r="F455" s="6"/>
    </row>
    <row r="456" spans="2:6" ht="31.95" hidden="1" customHeight="1" x14ac:dyDescent="0.3">
      <c r="B456" s="6" t="str">
        <f ca="1">IF(AND(NEGOCIAÇÕES!P456="",NEGOCIAÇÕES!N456&lt;TODAY()),NEGOCIAÇÕES!C456,"")</f>
        <v/>
      </c>
      <c r="C456" s="6" t="str">
        <f ca="1">IF(AND(NEGOCIAÇÕES!P456="",NEGOCIAÇÕES!N456&lt;TODAY()),NEGOCIAÇÕES!E456,"")</f>
        <v/>
      </c>
      <c r="D456" s="6" t="str">
        <f ca="1">IF(AND(NEGOCIAÇÕES!P456="",NEGOCIAÇÕES!N456&lt;TODAY()),NEGOCIAÇÕES!D456,"")</f>
        <v/>
      </c>
      <c r="E456" s="9" t="str">
        <f ca="1">IF(AND(NEGOCIAÇÕES!P456="",NEGOCIAÇÕES!N456&lt;TODAY()),NEGOCIAÇÕES!N456,"")</f>
        <v/>
      </c>
      <c r="F456" s="6"/>
    </row>
    <row r="457" spans="2:6" ht="31.95" hidden="1" customHeight="1" x14ac:dyDescent="0.3">
      <c r="B457" s="6" t="str">
        <f ca="1">IF(AND(NEGOCIAÇÕES!P457="",NEGOCIAÇÕES!N457&lt;TODAY()),NEGOCIAÇÕES!C457,"")</f>
        <v/>
      </c>
      <c r="C457" s="6" t="str">
        <f ca="1">IF(AND(NEGOCIAÇÕES!P457="",NEGOCIAÇÕES!N457&lt;TODAY()),NEGOCIAÇÕES!E457,"")</f>
        <v/>
      </c>
      <c r="D457" s="6" t="str">
        <f ca="1">IF(AND(NEGOCIAÇÕES!P457="",NEGOCIAÇÕES!N457&lt;TODAY()),NEGOCIAÇÕES!D457,"")</f>
        <v/>
      </c>
      <c r="E457" s="9" t="str">
        <f ca="1">IF(AND(NEGOCIAÇÕES!P457="",NEGOCIAÇÕES!N457&lt;TODAY()),NEGOCIAÇÕES!N457,"")</f>
        <v/>
      </c>
      <c r="F457" s="6"/>
    </row>
    <row r="458" spans="2:6" ht="31.95" hidden="1" customHeight="1" x14ac:dyDescent="0.3">
      <c r="B458" s="6" t="str">
        <f ca="1">IF(AND(NEGOCIAÇÕES!P458="",NEGOCIAÇÕES!N458&lt;TODAY()),NEGOCIAÇÕES!C458,"")</f>
        <v/>
      </c>
      <c r="C458" s="6" t="str">
        <f ca="1">IF(AND(NEGOCIAÇÕES!P458="",NEGOCIAÇÕES!N458&lt;TODAY()),NEGOCIAÇÕES!E458,"")</f>
        <v/>
      </c>
      <c r="D458" s="6" t="str">
        <f ca="1">IF(AND(NEGOCIAÇÕES!P458="",NEGOCIAÇÕES!N458&lt;TODAY()),NEGOCIAÇÕES!D458,"")</f>
        <v/>
      </c>
      <c r="E458" s="9" t="str">
        <f ca="1">IF(AND(NEGOCIAÇÕES!P458="",NEGOCIAÇÕES!N458&lt;TODAY()),NEGOCIAÇÕES!N458,"")</f>
        <v/>
      </c>
      <c r="F458" s="6"/>
    </row>
    <row r="459" spans="2:6" ht="31.95" hidden="1" customHeight="1" x14ac:dyDescent="0.3">
      <c r="B459" s="6" t="str">
        <f ca="1">IF(AND(NEGOCIAÇÕES!P459="",NEGOCIAÇÕES!N459&lt;TODAY()),NEGOCIAÇÕES!C459,"")</f>
        <v/>
      </c>
      <c r="C459" s="6" t="str">
        <f ca="1">IF(AND(NEGOCIAÇÕES!P459="",NEGOCIAÇÕES!N459&lt;TODAY()),NEGOCIAÇÕES!E459,"")</f>
        <v/>
      </c>
      <c r="D459" s="6" t="str">
        <f ca="1">IF(AND(NEGOCIAÇÕES!P459="",NEGOCIAÇÕES!N459&lt;TODAY()),NEGOCIAÇÕES!D459,"")</f>
        <v/>
      </c>
      <c r="E459" s="9" t="str">
        <f ca="1">IF(AND(NEGOCIAÇÕES!P459="",NEGOCIAÇÕES!N459&lt;TODAY()),NEGOCIAÇÕES!N459,"")</f>
        <v/>
      </c>
      <c r="F459" s="6"/>
    </row>
    <row r="460" spans="2:6" ht="31.95" hidden="1" customHeight="1" x14ac:dyDescent="0.3">
      <c r="B460" s="6" t="str">
        <f ca="1">IF(AND(NEGOCIAÇÕES!P460="",NEGOCIAÇÕES!N460&lt;TODAY()),NEGOCIAÇÕES!C460,"")</f>
        <v/>
      </c>
      <c r="C460" s="6" t="str">
        <f ca="1">IF(AND(NEGOCIAÇÕES!P460="",NEGOCIAÇÕES!N460&lt;TODAY()),NEGOCIAÇÕES!E460,"")</f>
        <v/>
      </c>
      <c r="D460" s="6" t="str">
        <f ca="1">IF(AND(NEGOCIAÇÕES!P460="",NEGOCIAÇÕES!N460&lt;TODAY()),NEGOCIAÇÕES!D460,"")</f>
        <v/>
      </c>
      <c r="E460" s="9" t="str">
        <f ca="1">IF(AND(NEGOCIAÇÕES!P460="",NEGOCIAÇÕES!N460&lt;TODAY()),NEGOCIAÇÕES!N460,"")</f>
        <v/>
      </c>
      <c r="F460" s="6"/>
    </row>
    <row r="461" spans="2:6" ht="31.95" hidden="1" customHeight="1" x14ac:dyDescent="0.3">
      <c r="B461" s="6" t="str">
        <f ca="1">IF(AND(NEGOCIAÇÕES!P461="",NEGOCIAÇÕES!N461&lt;TODAY()),NEGOCIAÇÕES!C461,"")</f>
        <v/>
      </c>
      <c r="C461" s="6" t="str">
        <f ca="1">IF(AND(NEGOCIAÇÕES!P461="",NEGOCIAÇÕES!N461&lt;TODAY()),NEGOCIAÇÕES!E461,"")</f>
        <v/>
      </c>
      <c r="D461" s="6" t="str">
        <f ca="1">IF(AND(NEGOCIAÇÕES!P461="",NEGOCIAÇÕES!N461&lt;TODAY()),NEGOCIAÇÕES!D461,"")</f>
        <v/>
      </c>
      <c r="E461" s="9" t="str">
        <f ca="1">IF(AND(NEGOCIAÇÕES!P461="",NEGOCIAÇÕES!N461&lt;TODAY()),NEGOCIAÇÕES!N461,"")</f>
        <v/>
      </c>
      <c r="F461" s="6"/>
    </row>
    <row r="462" spans="2:6" ht="31.95" hidden="1" customHeight="1" x14ac:dyDescent="0.3">
      <c r="B462" s="6" t="str">
        <f ca="1">IF(AND(NEGOCIAÇÕES!P462="",NEGOCIAÇÕES!N462&lt;TODAY()),NEGOCIAÇÕES!C462,"")</f>
        <v/>
      </c>
      <c r="C462" s="6" t="str">
        <f ca="1">IF(AND(NEGOCIAÇÕES!P462="",NEGOCIAÇÕES!N462&lt;TODAY()),NEGOCIAÇÕES!E462,"")</f>
        <v/>
      </c>
      <c r="D462" s="6" t="str">
        <f ca="1">IF(AND(NEGOCIAÇÕES!P462="",NEGOCIAÇÕES!N462&lt;TODAY()),NEGOCIAÇÕES!D462,"")</f>
        <v/>
      </c>
      <c r="E462" s="9" t="str">
        <f ca="1">IF(AND(NEGOCIAÇÕES!P462="",NEGOCIAÇÕES!N462&lt;TODAY()),NEGOCIAÇÕES!N462,"")</f>
        <v/>
      </c>
      <c r="F462" s="6"/>
    </row>
    <row r="463" spans="2:6" ht="31.95" hidden="1" customHeight="1" x14ac:dyDescent="0.3">
      <c r="B463" s="6" t="str">
        <f ca="1">IF(AND(NEGOCIAÇÕES!P463="",NEGOCIAÇÕES!N463&lt;TODAY()),NEGOCIAÇÕES!C463,"")</f>
        <v/>
      </c>
      <c r="C463" s="6" t="str">
        <f ca="1">IF(AND(NEGOCIAÇÕES!P463="",NEGOCIAÇÕES!N463&lt;TODAY()),NEGOCIAÇÕES!E463,"")</f>
        <v/>
      </c>
      <c r="D463" s="6" t="str">
        <f ca="1">IF(AND(NEGOCIAÇÕES!P463="",NEGOCIAÇÕES!N463&lt;TODAY()),NEGOCIAÇÕES!D463,"")</f>
        <v/>
      </c>
      <c r="E463" s="9" t="str">
        <f ca="1">IF(AND(NEGOCIAÇÕES!P463="",NEGOCIAÇÕES!N463&lt;TODAY()),NEGOCIAÇÕES!N463,"")</f>
        <v/>
      </c>
      <c r="F463" s="6"/>
    </row>
    <row r="464" spans="2:6" ht="31.95" hidden="1" customHeight="1" x14ac:dyDescent="0.3">
      <c r="B464" s="6" t="str">
        <f ca="1">IF(AND(NEGOCIAÇÕES!P464="",NEGOCIAÇÕES!N464&lt;TODAY()),NEGOCIAÇÕES!C464,"")</f>
        <v/>
      </c>
      <c r="C464" s="6" t="str">
        <f ca="1">IF(AND(NEGOCIAÇÕES!P464="",NEGOCIAÇÕES!N464&lt;TODAY()),NEGOCIAÇÕES!E464,"")</f>
        <v/>
      </c>
      <c r="D464" s="6" t="str">
        <f ca="1">IF(AND(NEGOCIAÇÕES!P464="",NEGOCIAÇÕES!N464&lt;TODAY()),NEGOCIAÇÕES!D464,"")</f>
        <v/>
      </c>
      <c r="E464" s="9" t="str">
        <f ca="1">IF(AND(NEGOCIAÇÕES!P464="",NEGOCIAÇÕES!N464&lt;TODAY()),NEGOCIAÇÕES!N464,"")</f>
        <v/>
      </c>
      <c r="F464" s="6"/>
    </row>
    <row r="465" spans="2:6" ht="31.95" hidden="1" customHeight="1" x14ac:dyDescent="0.3">
      <c r="B465" s="6" t="str">
        <f ca="1">IF(AND(NEGOCIAÇÕES!P465="",NEGOCIAÇÕES!N465&lt;TODAY()),NEGOCIAÇÕES!C465,"")</f>
        <v/>
      </c>
      <c r="C465" s="6" t="str">
        <f ca="1">IF(AND(NEGOCIAÇÕES!P465="",NEGOCIAÇÕES!N465&lt;TODAY()),NEGOCIAÇÕES!E465,"")</f>
        <v/>
      </c>
      <c r="D465" s="6" t="str">
        <f ca="1">IF(AND(NEGOCIAÇÕES!P465="",NEGOCIAÇÕES!N465&lt;TODAY()),NEGOCIAÇÕES!D465,"")</f>
        <v/>
      </c>
      <c r="E465" s="9" t="str">
        <f ca="1">IF(AND(NEGOCIAÇÕES!P465="",NEGOCIAÇÕES!N465&lt;TODAY()),NEGOCIAÇÕES!N465,"")</f>
        <v/>
      </c>
      <c r="F465" s="6"/>
    </row>
    <row r="466" spans="2:6" ht="31.95" hidden="1" customHeight="1" x14ac:dyDescent="0.3">
      <c r="B466" s="6" t="str">
        <f ca="1">IF(AND(NEGOCIAÇÕES!P466="",NEGOCIAÇÕES!N466&lt;TODAY()),NEGOCIAÇÕES!C466,"")</f>
        <v/>
      </c>
      <c r="C466" s="6" t="str">
        <f ca="1">IF(AND(NEGOCIAÇÕES!P466="",NEGOCIAÇÕES!N466&lt;TODAY()),NEGOCIAÇÕES!E466,"")</f>
        <v/>
      </c>
      <c r="D466" s="6" t="str">
        <f ca="1">IF(AND(NEGOCIAÇÕES!P466="",NEGOCIAÇÕES!N466&lt;TODAY()),NEGOCIAÇÕES!D466,"")</f>
        <v/>
      </c>
      <c r="E466" s="9" t="str">
        <f ca="1">IF(AND(NEGOCIAÇÕES!P466="",NEGOCIAÇÕES!N466&lt;TODAY()),NEGOCIAÇÕES!N466,"")</f>
        <v/>
      </c>
      <c r="F466" s="6"/>
    </row>
    <row r="467" spans="2:6" ht="31.95" hidden="1" customHeight="1" x14ac:dyDescent="0.3">
      <c r="B467" s="6" t="str">
        <f ca="1">IF(AND(NEGOCIAÇÕES!P467="",NEGOCIAÇÕES!N467&lt;TODAY()),NEGOCIAÇÕES!C467,"")</f>
        <v/>
      </c>
      <c r="C467" s="6" t="str">
        <f ca="1">IF(AND(NEGOCIAÇÕES!P467="",NEGOCIAÇÕES!N467&lt;TODAY()),NEGOCIAÇÕES!E467,"")</f>
        <v/>
      </c>
      <c r="D467" s="6" t="str">
        <f ca="1">IF(AND(NEGOCIAÇÕES!P467="",NEGOCIAÇÕES!N467&lt;TODAY()),NEGOCIAÇÕES!D467,"")</f>
        <v/>
      </c>
      <c r="E467" s="9" t="str">
        <f ca="1">IF(AND(NEGOCIAÇÕES!P467="",NEGOCIAÇÕES!N467&lt;TODAY()),NEGOCIAÇÕES!N467,"")</f>
        <v/>
      </c>
      <c r="F467" s="6"/>
    </row>
    <row r="468" spans="2:6" ht="31.95" hidden="1" customHeight="1" x14ac:dyDescent="0.3">
      <c r="B468" s="6" t="str">
        <f ca="1">IF(AND(NEGOCIAÇÕES!P468="",NEGOCIAÇÕES!N468&lt;TODAY()),NEGOCIAÇÕES!C468,"")</f>
        <v/>
      </c>
      <c r="C468" s="6" t="str">
        <f ca="1">IF(AND(NEGOCIAÇÕES!P468="",NEGOCIAÇÕES!N468&lt;TODAY()),NEGOCIAÇÕES!E468,"")</f>
        <v/>
      </c>
      <c r="D468" s="6" t="str">
        <f ca="1">IF(AND(NEGOCIAÇÕES!P468="",NEGOCIAÇÕES!N468&lt;TODAY()),NEGOCIAÇÕES!D468,"")</f>
        <v/>
      </c>
      <c r="E468" s="9" t="str">
        <f ca="1">IF(AND(NEGOCIAÇÕES!P468="",NEGOCIAÇÕES!N468&lt;TODAY()),NEGOCIAÇÕES!N468,"")</f>
        <v/>
      </c>
      <c r="F468" s="6"/>
    </row>
    <row r="469" spans="2:6" ht="31.95" hidden="1" customHeight="1" x14ac:dyDescent="0.3">
      <c r="B469" s="6" t="str">
        <f ca="1">IF(AND(NEGOCIAÇÕES!P469="",NEGOCIAÇÕES!N469&lt;TODAY()),NEGOCIAÇÕES!C469,"")</f>
        <v/>
      </c>
      <c r="C469" s="6" t="str">
        <f ca="1">IF(AND(NEGOCIAÇÕES!P469="",NEGOCIAÇÕES!N469&lt;TODAY()),NEGOCIAÇÕES!E469,"")</f>
        <v/>
      </c>
      <c r="D469" s="6" t="str">
        <f ca="1">IF(AND(NEGOCIAÇÕES!P469="",NEGOCIAÇÕES!N469&lt;TODAY()),NEGOCIAÇÕES!D469,"")</f>
        <v/>
      </c>
      <c r="E469" s="9" t="str">
        <f ca="1">IF(AND(NEGOCIAÇÕES!P469="",NEGOCIAÇÕES!N469&lt;TODAY()),NEGOCIAÇÕES!N469,"")</f>
        <v/>
      </c>
      <c r="F469" s="6"/>
    </row>
    <row r="470" spans="2:6" ht="31.95" hidden="1" customHeight="1" x14ac:dyDescent="0.3">
      <c r="B470" s="6" t="str">
        <f ca="1">IF(AND(NEGOCIAÇÕES!P470="",NEGOCIAÇÕES!N470&lt;TODAY()),NEGOCIAÇÕES!C470,"")</f>
        <v/>
      </c>
      <c r="C470" s="6" t="str">
        <f ca="1">IF(AND(NEGOCIAÇÕES!P470="",NEGOCIAÇÕES!N470&lt;TODAY()),NEGOCIAÇÕES!E470,"")</f>
        <v/>
      </c>
      <c r="D470" s="6" t="str">
        <f ca="1">IF(AND(NEGOCIAÇÕES!P470="",NEGOCIAÇÕES!N470&lt;TODAY()),NEGOCIAÇÕES!D470,"")</f>
        <v/>
      </c>
      <c r="E470" s="9" t="str">
        <f ca="1">IF(AND(NEGOCIAÇÕES!P470="",NEGOCIAÇÕES!N470&lt;TODAY()),NEGOCIAÇÕES!N470,"")</f>
        <v/>
      </c>
      <c r="F470" s="6"/>
    </row>
    <row r="471" spans="2:6" ht="31.95" hidden="1" customHeight="1" x14ac:dyDescent="0.3">
      <c r="B471" s="6" t="str">
        <f ca="1">IF(AND(NEGOCIAÇÕES!P471="",NEGOCIAÇÕES!N471&lt;TODAY()),NEGOCIAÇÕES!C471,"")</f>
        <v/>
      </c>
      <c r="C471" s="6" t="str">
        <f ca="1">IF(AND(NEGOCIAÇÕES!P471="",NEGOCIAÇÕES!N471&lt;TODAY()),NEGOCIAÇÕES!E471,"")</f>
        <v/>
      </c>
      <c r="D471" s="6" t="str">
        <f ca="1">IF(AND(NEGOCIAÇÕES!P471="",NEGOCIAÇÕES!N471&lt;TODAY()),NEGOCIAÇÕES!D471,"")</f>
        <v/>
      </c>
      <c r="E471" s="9" t="str">
        <f ca="1">IF(AND(NEGOCIAÇÕES!P471="",NEGOCIAÇÕES!N471&lt;TODAY()),NEGOCIAÇÕES!N471,"")</f>
        <v/>
      </c>
      <c r="F471" s="6"/>
    </row>
    <row r="472" spans="2:6" ht="31.95" hidden="1" customHeight="1" x14ac:dyDescent="0.3">
      <c r="B472" s="6" t="str">
        <f ca="1">IF(AND(NEGOCIAÇÕES!P472="",NEGOCIAÇÕES!N472&lt;TODAY()),NEGOCIAÇÕES!C472,"")</f>
        <v/>
      </c>
      <c r="C472" s="6" t="str">
        <f ca="1">IF(AND(NEGOCIAÇÕES!P472="",NEGOCIAÇÕES!N472&lt;TODAY()),NEGOCIAÇÕES!E472,"")</f>
        <v/>
      </c>
      <c r="D472" s="6" t="str">
        <f ca="1">IF(AND(NEGOCIAÇÕES!P472="",NEGOCIAÇÕES!N472&lt;TODAY()),NEGOCIAÇÕES!D472,"")</f>
        <v/>
      </c>
      <c r="E472" s="9" t="str">
        <f ca="1">IF(AND(NEGOCIAÇÕES!P472="",NEGOCIAÇÕES!N472&lt;TODAY()),NEGOCIAÇÕES!N472,"")</f>
        <v/>
      </c>
      <c r="F472" s="6"/>
    </row>
    <row r="473" spans="2:6" ht="31.95" hidden="1" customHeight="1" x14ac:dyDescent="0.3">
      <c r="B473" s="6" t="str">
        <f ca="1">IF(AND(NEGOCIAÇÕES!P473="",NEGOCIAÇÕES!N473&lt;TODAY()),NEGOCIAÇÕES!C473,"")</f>
        <v/>
      </c>
      <c r="C473" s="6" t="str">
        <f ca="1">IF(AND(NEGOCIAÇÕES!P473="",NEGOCIAÇÕES!N473&lt;TODAY()),NEGOCIAÇÕES!E473,"")</f>
        <v/>
      </c>
      <c r="D473" s="6" t="str">
        <f ca="1">IF(AND(NEGOCIAÇÕES!P473="",NEGOCIAÇÕES!N473&lt;TODAY()),NEGOCIAÇÕES!D473,"")</f>
        <v/>
      </c>
      <c r="E473" s="9" t="str">
        <f ca="1">IF(AND(NEGOCIAÇÕES!P473="",NEGOCIAÇÕES!N473&lt;TODAY()),NEGOCIAÇÕES!N473,"")</f>
        <v/>
      </c>
      <c r="F473" s="6"/>
    </row>
    <row r="474" spans="2:6" ht="31.95" hidden="1" customHeight="1" x14ac:dyDescent="0.3">
      <c r="B474" s="6" t="str">
        <f ca="1">IF(AND(NEGOCIAÇÕES!P474="",NEGOCIAÇÕES!N474&lt;TODAY()),NEGOCIAÇÕES!C474,"")</f>
        <v/>
      </c>
      <c r="C474" s="6" t="str">
        <f ca="1">IF(AND(NEGOCIAÇÕES!P474="",NEGOCIAÇÕES!N474&lt;TODAY()),NEGOCIAÇÕES!E474,"")</f>
        <v/>
      </c>
      <c r="D474" s="6" t="str">
        <f ca="1">IF(AND(NEGOCIAÇÕES!P474="",NEGOCIAÇÕES!N474&lt;TODAY()),NEGOCIAÇÕES!D474,"")</f>
        <v/>
      </c>
      <c r="E474" s="9" t="str">
        <f ca="1">IF(AND(NEGOCIAÇÕES!P474="",NEGOCIAÇÕES!N474&lt;TODAY()),NEGOCIAÇÕES!N474,"")</f>
        <v/>
      </c>
      <c r="F474" s="6"/>
    </row>
    <row r="475" spans="2:6" ht="31.95" hidden="1" customHeight="1" x14ac:dyDescent="0.3">
      <c r="B475" s="6" t="str">
        <f ca="1">IF(AND(NEGOCIAÇÕES!P475="",NEGOCIAÇÕES!N475&lt;TODAY()),NEGOCIAÇÕES!C475,"")</f>
        <v/>
      </c>
      <c r="C475" s="6" t="str">
        <f ca="1">IF(AND(NEGOCIAÇÕES!P475="",NEGOCIAÇÕES!N475&lt;TODAY()),NEGOCIAÇÕES!E475,"")</f>
        <v/>
      </c>
      <c r="D475" s="6" t="str">
        <f ca="1">IF(AND(NEGOCIAÇÕES!P475="",NEGOCIAÇÕES!N475&lt;TODAY()),NEGOCIAÇÕES!D475,"")</f>
        <v/>
      </c>
      <c r="E475" s="9" t="str">
        <f ca="1">IF(AND(NEGOCIAÇÕES!P475="",NEGOCIAÇÕES!N475&lt;TODAY()),NEGOCIAÇÕES!N475,"")</f>
        <v/>
      </c>
      <c r="F475" s="6"/>
    </row>
    <row r="476" spans="2:6" ht="31.95" hidden="1" customHeight="1" x14ac:dyDescent="0.3">
      <c r="B476" s="6" t="str">
        <f ca="1">IF(AND(NEGOCIAÇÕES!P476="",NEGOCIAÇÕES!N476&lt;TODAY()),NEGOCIAÇÕES!C476,"")</f>
        <v/>
      </c>
      <c r="C476" s="6" t="str">
        <f ca="1">IF(AND(NEGOCIAÇÕES!P476="",NEGOCIAÇÕES!N476&lt;TODAY()),NEGOCIAÇÕES!E476,"")</f>
        <v/>
      </c>
      <c r="D476" s="6" t="str">
        <f ca="1">IF(AND(NEGOCIAÇÕES!P476="",NEGOCIAÇÕES!N476&lt;TODAY()),NEGOCIAÇÕES!D476,"")</f>
        <v/>
      </c>
      <c r="E476" s="9" t="str">
        <f ca="1">IF(AND(NEGOCIAÇÕES!P476="",NEGOCIAÇÕES!N476&lt;TODAY()),NEGOCIAÇÕES!N476,"")</f>
        <v/>
      </c>
      <c r="F476" s="6"/>
    </row>
    <row r="477" spans="2:6" ht="31.95" hidden="1" customHeight="1" x14ac:dyDescent="0.3">
      <c r="B477" s="6" t="str">
        <f ca="1">IF(AND(NEGOCIAÇÕES!P477="",NEGOCIAÇÕES!N477&lt;TODAY()),NEGOCIAÇÕES!C477,"")</f>
        <v/>
      </c>
      <c r="C477" s="6" t="str">
        <f ca="1">IF(AND(NEGOCIAÇÕES!P477="",NEGOCIAÇÕES!N477&lt;TODAY()),NEGOCIAÇÕES!E477,"")</f>
        <v/>
      </c>
      <c r="D477" s="6" t="str">
        <f ca="1">IF(AND(NEGOCIAÇÕES!P477="",NEGOCIAÇÕES!N477&lt;TODAY()),NEGOCIAÇÕES!D477,"")</f>
        <v/>
      </c>
      <c r="E477" s="9" t="str">
        <f ca="1">IF(AND(NEGOCIAÇÕES!P477="",NEGOCIAÇÕES!N477&lt;TODAY()),NEGOCIAÇÕES!N477,"")</f>
        <v/>
      </c>
      <c r="F477" s="6"/>
    </row>
    <row r="478" spans="2:6" ht="31.95" hidden="1" customHeight="1" x14ac:dyDescent="0.3">
      <c r="B478" s="6" t="str">
        <f ca="1">IF(AND(NEGOCIAÇÕES!P478="",NEGOCIAÇÕES!N478&lt;TODAY()),NEGOCIAÇÕES!C478,"")</f>
        <v/>
      </c>
      <c r="C478" s="6" t="str">
        <f ca="1">IF(AND(NEGOCIAÇÕES!P478="",NEGOCIAÇÕES!N478&lt;TODAY()),NEGOCIAÇÕES!E478,"")</f>
        <v/>
      </c>
      <c r="D478" s="6" t="str">
        <f ca="1">IF(AND(NEGOCIAÇÕES!P478="",NEGOCIAÇÕES!N478&lt;TODAY()),NEGOCIAÇÕES!D478,"")</f>
        <v/>
      </c>
      <c r="E478" s="9" t="str">
        <f ca="1">IF(AND(NEGOCIAÇÕES!P478="",NEGOCIAÇÕES!N478&lt;TODAY()),NEGOCIAÇÕES!N478,"")</f>
        <v/>
      </c>
      <c r="F478" s="6"/>
    </row>
    <row r="479" spans="2:6" ht="31.95" hidden="1" customHeight="1" x14ac:dyDescent="0.3">
      <c r="B479" s="6" t="str">
        <f ca="1">IF(AND(NEGOCIAÇÕES!P479="",NEGOCIAÇÕES!N479&lt;TODAY()),NEGOCIAÇÕES!C479,"")</f>
        <v/>
      </c>
      <c r="C479" s="6" t="str">
        <f ca="1">IF(AND(NEGOCIAÇÕES!P479="",NEGOCIAÇÕES!N479&lt;TODAY()),NEGOCIAÇÕES!E479,"")</f>
        <v/>
      </c>
      <c r="D479" s="6" t="str">
        <f ca="1">IF(AND(NEGOCIAÇÕES!P479="",NEGOCIAÇÕES!N479&lt;TODAY()),NEGOCIAÇÕES!D479,"")</f>
        <v/>
      </c>
      <c r="E479" s="9" t="str">
        <f ca="1">IF(AND(NEGOCIAÇÕES!P479="",NEGOCIAÇÕES!N479&lt;TODAY()),NEGOCIAÇÕES!N479,"")</f>
        <v/>
      </c>
      <c r="F479" s="6"/>
    </row>
    <row r="480" spans="2:6" ht="31.95" hidden="1" customHeight="1" x14ac:dyDescent="0.3">
      <c r="B480" s="6" t="str">
        <f ca="1">IF(AND(NEGOCIAÇÕES!P480="",NEGOCIAÇÕES!N480&lt;TODAY()),NEGOCIAÇÕES!C480,"")</f>
        <v/>
      </c>
      <c r="C480" s="6" t="str">
        <f ca="1">IF(AND(NEGOCIAÇÕES!P480="",NEGOCIAÇÕES!N480&lt;TODAY()),NEGOCIAÇÕES!E480,"")</f>
        <v/>
      </c>
      <c r="D480" s="6" t="str">
        <f ca="1">IF(AND(NEGOCIAÇÕES!P480="",NEGOCIAÇÕES!N480&lt;TODAY()),NEGOCIAÇÕES!D480,"")</f>
        <v/>
      </c>
      <c r="E480" s="9" t="str">
        <f ca="1">IF(AND(NEGOCIAÇÕES!P480="",NEGOCIAÇÕES!N480&lt;TODAY()),NEGOCIAÇÕES!N480,"")</f>
        <v/>
      </c>
      <c r="F480" s="6"/>
    </row>
    <row r="481" spans="2:6" ht="31.95" hidden="1" customHeight="1" x14ac:dyDescent="0.3">
      <c r="B481" s="6" t="str">
        <f ca="1">IF(AND(NEGOCIAÇÕES!P481="",NEGOCIAÇÕES!N481&lt;TODAY()),NEGOCIAÇÕES!C481,"")</f>
        <v/>
      </c>
      <c r="C481" s="6" t="str">
        <f ca="1">IF(AND(NEGOCIAÇÕES!P481="",NEGOCIAÇÕES!N481&lt;TODAY()),NEGOCIAÇÕES!E481,"")</f>
        <v/>
      </c>
      <c r="D481" s="6" t="str">
        <f ca="1">IF(AND(NEGOCIAÇÕES!P481="",NEGOCIAÇÕES!N481&lt;TODAY()),NEGOCIAÇÕES!D481,"")</f>
        <v/>
      </c>
      <c r="E481" s="9" t="str">
        <f ca="1">IF(AND(NEGOCIAÇÕES!P481="",NEGOCIAÇÕES!N481&lt;TODAY()),NEGOCIAÇÕES!N481,"")</f>
        <v/>
      </c>
      <c r="F481" s="6"/>
    </row>
    <row r="482" spans="2:6" ht="31.95" hidden="1" customHeight="1" x14ac:dyDescent="0.3">
      <c r="B482" s="6" t="str">
        <f ca="1">IF(AND(NEGOCIAÇÕES!P482="",NEGOCIAÇÕES!N482&lt;TODAY()),NEGOCIAÇÕES!C482,"")</f>
        <v/>
      </c>
      <c r="C482" s="6" t="str">
        <f ca="1">IF(AND(NEGOCIAÇÕES!P482="",NEGOCIAÇÕES!N482&lt;TODAY()),NEGOCIAÇÕES!E482,"")</f>
        <v/>
      </c>
      <c r="D482" s="6" t="str">
        <f ca="1">IF(AND(NEGOCIAÇÕES!P482="",NEGOCIAÇÕES!N482&lt;TODAY()),NEGOCIAÇÕES!D482,"")</f>
        <v/>
      </c>
      <c r="E482" s="9" t="str">
        <f ca="1">IF(AND(NEGOCIAÇÕES!P482="",NEGOCIAÇÕES!N482&lt;TODAY()),NEGOCIAÇÕES!N482,"")</f>
        <v/>
      </c>
      <c r="F482" s="6"/>
    </row>
    <row r="483" spans="2:6" ht="31.95" hidden="1" customHeight="1" x14ac:dyDescent="0.3">
      <c r="B483" s="6" t="str">
        <f ca="1">IF(AND(NEGOCIAÇÕES!P483="",NEGOCIAÇÕES!N483&lt;TODAY()),NEGOCIAÇÕES!C483,"")</f>
        <v/>
      </c>
      <c r="C483" s="6" t="str">
        <f ca="1">IF(AND(NEGOCIAÇÕES!P483="",NEGOCIAÇÕES!N483&lt;TODAY()),NEGOCIAÇÕES!E483,"")</f>
        <v/>
      </c>
      <c r="D483" s="6" t="str">
        <f ca="1">IF(AND(NEGOCIAÇÕES!P483="",NEGOCIAÇÕES!N483&lt;TODAY()),NEGOCIAÇÕES!D483,"")</f>
        <v/>
      </c>
      <c r="E483" s="9" t="str">
        <f ca="1">IF(AND(NEGOCIAÇÕES!P483="",NEGOCIAÇÕES!N483&lt;TODAY()),NEGOCIAÇÕES!N483,"")</f>
        <v/>
      </c>
      <c r="F483" s="6"/>
    </row>
    <row r="484" spans="2:6" ht="31.95" hidden="1" customHeight="1" x14ac:dyDescent="0.3">
      <c r="B484" s="6" t="str">
        <f ca="1">IF(AND(NEGOCIAÇÕES!P484="",NEGOCIAÇÕES!N484&lt;TODAY()),NEGOCIAÇÕES!C484,"")</f>
        <v/>
      </c>
      <c r="C484" s="6" t="str">
        <f ca="1">IF(AND(NEGOCIAÇÕES!P484="",NEGOCIAÇÕES!N484&lt;TODAY()),NEGOCIAÇÕES!E484,"")</f>
        <v/>
      </c>
      <c r="D484" s="6" t="str">
        <f ca="1">IF(AND(NEGOCIAÇÕES!P484="",NEGOCIAÇÕES!N484&lt;TODAY()),NEGOCIAÇÕES!D484,"")</f>
        <v/>
      </c>
      <c r="E484" s="9" t="str">
        <f ca="1">IF(AND(NEGOCIAÇÕES!P484="",NEGOCIAÇÕES!N484&lt;TODAY()),NEGOCIAÇÕES!N484,"")</f>
        <v/>
      </c>
      <c r="F484" s="6"/>
    </row>
    <row r="485" spans="2:6" ht="31.95" hidden="1" customHeight="1" x14ac:dyDescent="0.3">
      <c r="B485" s="6" t="str">
        <f ca="1">IF(AND(NEGOCIAÇÕES!P485="",NEGOCIAÇÕES!N485&lt;TODAY()),NEGOCIAÇÕES!C485,"")</f>
        <v/>
      </c>
      <c r="C485" s="6" t="str">
        <f ca="1">IF(AND(NEGOCIAÇÕES!P485="",NEGOCIAÇÕES!N485&lt;TODAY()),NEGOCIAÇÕES!E485,"")</f>
        <v/>
      </c>
      <c r="D485" s="6" t="str">
        <f ca="1">IF(AND(NEGOCIAÇÕES!P485="",NEGOCIAÇÕES!N485&lt;TODAY()),NEGOCIAÇÕES!D485,"")</f>
        <v/>
      </c>
      <c r="E485" s="9" t="str">
        <f ca="1">IF(AND(NEGOCIAÇÕES!P485="",NEGOCIAÇÕES!N485&lt;TODAY()),NEGOCIAÇÕES!N485,"")</f>
        <v/>
      </c>
      <c r="F485" s="6"/>
    </row>
    <row r="486" spans="2:6" ht="31.95" hidden="1" customHeight="1" x14ac:dyDescent="0.3">
      <c r="B486" s="6" t="str">
        <f ca="1">IF(AND(NEGOCIAÇÕES!P486="",NEGOCIAÇÕES!N486&lt;TODAY()),NEGOCIAÇÕES!C486,"")</f>
        <v/>
      </c>
      <c r="C486" s="6" t="str">
        <f ca="1">IF(AND(NEGOCIAÇÕES!P486="",NEGOCIAÇÕES!N486&lt;TODAY()),NEGOCIAÇÕES!E486,"")</f>
        <v/>
      </c>
      <c r="D486" s="6" t="str">
        <f ca="1">IF(AND(NEGOCIAÇÕES!P486="",NEGOCIAÇÕES!N486&lt;TODAY()),NEGOCIAÇÕES!D486,"")</f>
        <v/>
      </c>
      <c r="E486" s="9" t="str">
        <f ca="1">IF(AND(NEGOCIAÇÕES!P486="",NEGOCIAÇÕES!N486&lt;TODAY()),NEGOCIAÇÕES!N486,"")</f>
        <v/>
      </c>
      <c r="F486" s="6"/>
    </row>
    <row r="487" spans="2:6" ht="31.95" hidden="1" customHeight="1" x14ac:dyDescent="0.3">
      <c r="B487" s="6" t="str">
        <f ca="1">IF(AND(NEGOCIAÇÕES!P487="",NEGOCIAÇÕES!N487&lt;TODAY()),NEGOCIAÇÕES!C487,"")</f>
        <v/>
      </c>
      <c r="C487" s="6" t="str">
        <f ca="1">IF(AND(NEGOCIAÇÕES!P487="",NEGOCIAÇÕES!N487&lt;TODAY()),NEGOCIAÇÕES!E487,"")</f>
        <v/>
      </c>
      <c r="D487" s="6" t="str">
        <f ca="1">IF(AND(NEGOCIAÇÕES!P487="",NEGOCIAÇÕES!N487&lt;TODAY()),NEGOCIAÇÕES!D487,"")</f>
        <v/>
      </c>
      <c r="E487" s="9" t="str">
        <f ca="1">IF(AND(NEGOCIAÇÕES!P487="",NEGOCIAÇÕES!N487&lt;TODAY()),NEGOCIAÇÕES!N487,"")</f>
        <v/>
      </c>
      <c r="F487" s="6"/>
    </row>
    <row r="488" spans="2:6" ht="31.95" hidden="1" customHeight="1" x14ac:dyDescent="0.3">
      <c r="B488" s="6" t="str">
        <f ca="1">IF(AND(NEGOCIAÇÕES!P488="",NEGOCIAÇÕES!N488&lt;TODAY()),NEGOCIAÇÕES!C488,"")</f>
        <v/>
      </c>
      <c r="C488" s="6" t="str">
        <f ca="1">IF(AND(NEGOCIAÇÕES!P488="",NEGOCIAÇÕES!N488&lt;TODAY()),NEGOCIAÇÕES!E488,"")</f>
        <v/>
      </c>
      <c r="D488" s="6" t="str">
        <f ca="1">IF(AND(NEGOCIAÇÕES!P488="",NEGOCIAÇÕES!N488&lt;TODAY()),NEGOCIAÇÕES!D488,"")</f>
        <v/>
      </c>
      <c r="E488" s="9" t="str">
        <f ca="1">IF(AND(NEGOCIAÇÕES!P488="",NEGOCIAÇÕES!N488&lt;TODAY()),NEGOCIAÇÕES!N488,"")</f>
        <v/>
      </c>
      <c r="F488" s="6"/>
    </row>
    <row r="489" spans="2:6" ht="31.95" hidden="1" customHeight="1" x14ac:dyDescent="0.3">
      <c r="B489" s="6" t="str">
        <f ca="1">IF(AND(NEGOCIAÇÕES!P489="",NEGOCIAÇÕES!N489&lt;TODAY()),NEGOCIAÇÕES!C489,"")</f>
        <v/>
      </c>
      <c r="C489" s="6" t="str">
        <f ca="1">IF(AND(NEGOCIAÇÕES!P489="",NEGOCIAÇÕES!N489&lt;TODAY()),NEGOCIAÇÕES!E489,"")</f>
        <v/>
      </c>
      <c r="D489" s="6" t="str">
        <f ca="1">IF(AND(NEGOCIAÇÕES!P489="",NEGOCIAÇÕES!N489&lt;TODAY()),NEGOCIAÇÕES!D489,"")</f>
        <v/>
      </c>
      <c r="E489" s="9" t="str">
        <f ca="1">IF(AND(NEGOCIAÇÕES!P489="",NEGOCIAÇÕES!N489&lt;TODAY()),NEGOCIAÇÕES!N489,"")</f>
        <v/>
      </c>
      <c r="F489" s="6"/>
    </row>
    <row r="490" spans="2:6" ht="31.95" hidden="1" customHeight="1" x14ac:dyDescent="0.3">
      <c r="B490" s="6" t="str">
        <f ca="1">IF(AND(NEGOCIAÇÕES!P490="",NEGOCIAÇÕES!N490&lt;TODAY()),NEGOCIAÇÕES!C490,"")</f>
        <v/>
      </c>
      <c r="C490" s="6" t="str">
        <f ca="1">IF(AND(NEGOCIAÇÕES!P490="",NEGOCIAÇÕES!N490&lt;TODAY()),NEGOCIAÇÕES!E490,"")</f>
        <v/>
      </c>
      <c r="D490" s="6" t="str">
        <f ca="1">IF(AND(NEGOCIAÇÕES!P490="",NEGOCIAÇÕES!N490&lt;TODAY()),NEGOCIAÇÕES!D490,"")</f>
        <v/>
      </c>
      <c r="E490" s="9" t="str">
        <f ca="1">IF(AND(NEGOCIAÇÕES!P490="",NEGOCIAÇÕES!N490&lt;TODAY()),NEGOCIAÇÕES!N490,"")</f>
        <v/>
      </c>
      <c r="F490" s="6"/>
    </row>
    <row r="491" spans="2:6" ht="31.95" hidden="1" customHeight="1" x14ac:dyDescent="0.3">
      <c r="B491" s="6" t="str">
        <f ca="1">IF(AND(NEGOCIAÇÕES!P491="",NEGOCIAÇÕES!N491&lt;TODAY()),NEGOCIAÇÕES!C491,"")</f>
        <v/>
      </c>
      <c r="C491" s="6" t="str">
        <f ca="1">IF(AND(NEGOCIAÇÕES!P491="",NEGOCIAÇÕES!N491&lt;TODAY()),NEGOCIAÇÕES!E491,"")</f>
        <v/>
      </c>
      <c r="D491" s="6" t="str">
        <f ca="1">IF(AND(NEGOCIAÇÕES!P491="",NEGOCIAÇÕES!N491&lt;TODAY()),NEGOCIAÇÕES!D491,"")</f>
        <v/>
      </c>
      <c r="E491" s="9" t="str">
        <f ca="1">IF(AND(NEGOCIAÇÕES!P491="",NEGOCIAÇÕES!N491&lt;TODAY()),NEGOCIAÇÕES!N491,"")</f>
        <v/>
      </c>
      <c r="F491" s="6"/>
    </row>
    <row r="492" spans="2:6" ht="31.95" hidden="1" customHeight="1" x14ac:dyDescent="0.3">
      <c r="B492" s="6" t="str">
        <f ca="1">IF(AND(NEGOCIAÇÕES!P492="",NEGOCIAÇÕES!N492&lt;TODAY()),NEGOCIAÇÕES!C492,"")</f>
        <v/>
      </c>
      <c r="C492" s="6" t="str">
        <f ca="1">IF(AND(NEGOCIAÇÕES!P492="",NEGOCIAÇÕES!N492&lt;TODAY()),NEGOCIAÇÕES!E492,"")</f>
        <v/>
      </c>
      <c r="D492" s="6" t="str">
        <f ca="1">IF(AND(NEGOCIAÇÕES!P492="",NEGOCIAÇÕES!N492&lt;TODAY()),NEGOCIAÇÕES!D492,"")</f>
        <v/>
      </c>
      <c r="E492" s="9" t="str">
        <f ca="1">IF(AND(NEGOCIAÇÕES!P492="",NEGOCIAÇÕES!N492&lt;TODAY()),NEGOCIAÇÕES!N492,"")</f>
        <v/>
      </c>
      <c r="F492" s="6"/>
    </row>
    <row r="493" spans="2:6" ht="31.95" hidden="1" customHeight="1" x14ac:dyDescent="0.3">
      <c r="B493" s="6" t="str">
        <f ca="1">IF(AND(NEGOCIAÇÕES!P493="",NEGOCIAÇÕES!N493&lt;TODAY()),NEGOCIAÇÕES!C493,"")</f>
        <v/>
      </c>
      <c r="C493" s="6" t="str">
        <f ca="1">IF(AND(NEGOCIAÇÕES!P493="",NEGOCIAÇÕES!N493&lt;TODAY()),NEGOCIAÇÕES!E493,"")</f>
        <v/>
      </c>
      <c r="D493" s="6" t="str">
        <f ca="1">IF(AND(NEGOCIAÇÕES!P493="",NEGOCIAÇÕES!N493&lt;TODAY()),NEGOCIAÇÕES!D493,"")</f>
        <v/>
      </c>
      <c r="E493" s="9" t="str">
        <f ca="1">IF(AND(NEGOCIAÇÕES!P493="",NEGOCIAÇÕES!N493&lt;TODAY()),NEGOCIAÇÕES!N493,"")</f>
        <v/>
      </c>
      <c r="F493" s="6"/>
    </row>
    <row r="494" spans="2:6" ht="31.95" hidden="1" customHeight="1" x14ac:dyDescent="0.3">
      <c r="B494" s="6" t="str">
        <f ca="1">IF(AND(NEGOCIAÇÕES!P494="",NEGOCIAÇÕES!N494&lt;TODAY()),NEGOCIAÇÕES!C494,"")</f>
        <v/>
      </c>
      <c r="C494" s="6" t="str">
        <f ca="1">IF(AND(NEGOCIAÇÕES!P494="",NEGOCIAÇÕES!N494&lt;TODAY()),NEGOCIAÇÕES!E494,"")</f>
        <v/>
      </c>
      <c r="D494" s="6" t="str">
        <f ca="1">IF(AND(NEGOCIAÇÕES!P494="",NEGOCIAÇÕES!N494&lt;TODAY()),NEGOCIAÇÕES!D494,"")</f>
        <v/>
      </c>
      <c r="E494" s="9" t="str">
        <f ca="1">IF(AND(NEGOCIAÇÕES!P494="",NEGOCIAÇÕES!N494&lt;TODAY()),NEGOCIAÇÕES!N494,"")</f>
        <v/>
      </c>
      <c r="F494" s="6"/>
    </row>
    <row r="495" spans="2:6" ht="31.95" hidden="1" customHeight="1" x14ac:dyDescent="0.3">
      <c r="B495" s="6" t="str">
        <f ca="1">IF(AND(NEGOCIAÇÕES!P495="",NEGOCIAÇÕES!N495&lt;TODAY()),NEGOCIAÇÕES!C495,"")</f>
        <v/>
      </c>
      <c r="C495" s="6" t="str">
        <f ca="1">IF(AND(NEGOCIAÇÕES!P495="",NEGOCIAÇÕES!N495&lt;TODAY()),NEGOCIAÇÕES!E495,"")</f>
        <v/>
      </c>
      <c r="D495" s="6" t="str">
        <f ca="1">IF(AND(NEGOCIAÇÕES!P495="",NEGOCIAÇÕES!N495&lt;TODAY()),NEGOCIAÇÕES!D495,"")</f>
        <v/>
      </c>
      <c r="E495" s="9" t="str">
        <f ca="1">IF(AND(NEGOCIAÇÕES!P495="",NEGOCIAÇÕES!N495&lt;TODAY()),NEGOCIAÇÕES!N495,"")</f>
        <v/>
      </c>
      <c r="F495" s="6"/>
    </row>
    <row r="496" spans="2:6" ht="31.95" hidden="1" customHeight="1" x14ac:dyDescent="0.3">
      <c r="B496" s="6" t="str">
        <f ca="1">IF(AND(NEGOCIAÇÕES!P496="",NEGOCIAÇÕES!N496&lt;TODAY()),NEGOCIAÇÕES!C496,"")</f>
        <v/>
      </c>
      <c r="C496" s="6" t="str">
        <f ca="1">IF(AND(NEGOCIAÇÕES!P496="",NEGOCIAÇÕES!N496&lt;TODAY()),NEGOCIAÇÕES!E496,"")</f>
        <v/>
      </c>
      <c r="D496" s="6" t="str">
        <f ca="1">IF(AND(NEGOCIAÇÕES!P496="",NEGOCIAÇÕES!N496&lt;TODAY()),NEGOCIAÇÕES!D496,"")</f>
        <v/>
      </c>
      <c r="E496" s="9" t="str">
        <f ca="1">IF(AND(NEGOCIAÇÕES!P496="",NEGOCIAÇÕES!N496&lt;TODAY()),NEGOCIAÇÕES!N496,"")</f>
        <v/>
      </c>
      <c r="F496" s="6"/>
    </row>
    <row r="497" spans="2:6" ht="31.95" hidden="1" customHeight="1" x14ac:dyDescent="0.3">
      <c r="B497" s="6" t="str">
        <f ca="1">IF(AND(NEGOCIAÇÕES!P497="",NEGOCIAÇÕES!N497&lt;TODAY()),NEGOCIAÇÕES!C497,"")</f>
        <v/>
      </c>
      <c r="C497" s="6" t="str">
        <f ca="1">IF(AND(NEGOCIAÇÕES!P497="",NEGOCIAÇÕES!N497&lt;TODAY()),NEGOCIAÇÕES!E497,"")</f>
        <v/>
      </c>
      <c r="D497" s="6" t="str">
        <f ca="1">IF(AND(NEGOCIAÇÕES!P497="",NEGOCIAÇÕES!N497&lt;TODAY()),NEGOCIAÇÕES!D497,"")</f>
        <v/>
      </c>
      <c r="E497" s="9" t="str">
        <f ca="1">IF(AND(NEGOCIAÇÕES!P497="",NEGOCIAÇÕES!N497&lt;TODAY()),NEGOCIAÇÕES!N497,"")</f>
        <v/>
      </c>
      <c r="F497" s="6"/>
    </row>
    <row r="498" spans="2:6" ht="31.95" hidden="1" customHeight="1" x14ac:dyDescent="0.3">
      <c r="B498" s="6" t="str">
        <f ca="1">IF(AND(NEGOCIAÇÕES!P498="",NEGOCIAÇÕES!N498&lt;TODAY()),NEGOCIAÇÕES!C498,"")</f>
        <v/>
      </c>
      <c r="C498" s="6" t="str">
        <f ca="1">IF(AND(NEGOCIAÇÕES!P498="",NEGOCIAÇÕES!N498&lt;TODAY()),NEGOCIAÇÕES!E498,"")</f>
        <v/>
      </c>
      <c r="D498" s="6" t="str">
        <f ca="1">IF(AND(NEGOCIAÇÕES!P498="",NEGOCIAÇÕES!N498&lt;TODAY()),NEGOCIAÇÕES!D498,"")</f>
        <v/>
      </c>
      <c r="E498" s="9" t="str">
        <f ca="1">IF(AND(NEGOCIAÇÕES!P498="",NEGOCIAÇÕES!N498&lt;TODAY()),NEGOCIAÇÕES!N498,"")</f>
        <v/>
      </c>
      <c r="F498" s="6"/>
    </row>
    <row r="499" spans="2:6" ht="31.95" hidden="1" customHeight="1" x14ac:dyDescent="0.3">
      <c r="B499" s="6" t="str">
        <f ca="1">IF(AND(NEGOCIAÇÕES!P499="",NEGOCIAÇÕES!N499&lt;TODAY()),NEGOCIAÇÕES!C499,"")</f>
        <v/>
      </c>
      <c r="C499" s="6" t="str">
        <f ca="1">IF(AND(NEGOCIAÇÕES!P499="",NEGOCIAÇÕES!N499&lt;TODAY()),NEGOCIAÇÕES!E499,"")</f>
        <v/>
      </c>
      <c r="D499" s="6" t="str">
        <f ca="1">IF(AND(NEGOCIAÇÕES!P499="",NEGOCIAÇÕES!N499&lt;TODAY()),NEGOCIAÇÕES!D499,"")</f>
        <v/>
      </c>
      <c r="E499" s="9" t="str">
        <f ca="1">IF(AND(NEGOCIAÇÕES!P499="",NEGOCIAÇÕES!N499&lt;TODAY()),NEGOCIAÇÕES!N499,"")</f>
        <v/>
      </c>
      <c r="F499" s="6"/>
    </row>
    <row r="500" spans="2:6" ht="31.95" hidden="1" customHeight="1" x14ac:dyDescent="0.3">
      <c r="B500" s="6" t="str">
        <f ca="1">IF(AND(NEGOCIAÇÕES!P500="",NEGOCIAÇÕES!N500&lt;TODAY()),NEGOCIAÇÕES!C500,"")</f>
        <v/>
      </c>
      <c r="C500" s="6" t="str">
        <f ca="1">IF(AND(NEGOCIAÇÕES!P500="",NEGOCIAÇÕES!N500&lt;TODAY()),NEGOCIAÇÕES!E500,"")</f>
        <v/>
      </c>
      <c r="D500" s="6" t="str">
        <f ca="1">IF(AND(NEGOCIAÇÕES!P500="",NEGOCIAÇÕES!N500&lt;TODAY()),NEGOCIAÇÕES!D500,"")</f>
        <v/>
      </c>
      <c r="E500" s="9" t="str">
        <f ca="1">IF(AND(NEGOCIAÇÕES!P500="",NEGOCIAÇÕES!N500&lt;TODAY()),NEGOCIAÇÕES!N500,"")</f>
        <v/>
      </c>
      <c r="F500" s="6"/>
    </row>
    <row r="501" spans="2:6" ht="31.95" hidden="1" customHeight="1" x14ac:dyDescent="0.3">
      <c r="B501" s="6" t="str">
        <f ca="1">IF(AND(NEGOCIAÇÕES!P501="",NEGOCIAÇÕES!N501&lt;TODAY()),NEGOCIAÇÕES!C501,"")</f>
        <v/>
      </c>
      <c r="C501" s="6" t="str">
        <f ca="1">IF(AND(NEGOCIAÇÕES!P501="",NEGOCIAÇÕES!N501&lt;TODAY()),NEGOCIAÇÕES!E501,"")</f>
        <v/>
      </c>
      <c r="D501" s="6" t="str">
        <f ca="1">IF(AND(NEGOCIAÇÕES!P501="",NEGOCIAÇÕES!N501&lt;TODAY()),NEGOCIAÇÕES!D501,"")</f>
        <v/>
      </c>
      <c r="E501" s="9" t="str">
        <f ca="1">IF(AND(NEGOCIAÇÕES!P501="",NEGOCIAÇÕES!N501&lt;TODAY()),NEGOCIAÇÕES!N501,"")</f>
        <v/>
      </c>
      <c r="F501" s="6"/>
    </row>
    <row r="502" spans="2:6" ht="31.95" hidden="1" customHeight="1" x14ac:dyDescent="0.3">
      <c r="B502" s="6" t="str">
        <f ca="1">IF(AND(NEGOCIAÇÕES!P502="",NEGOCIAÇÕES!N502&lt;TODAY()),NEGOCIAÇÕES!C502,"")</f>
        <v/>
      </c>
      <c r="C502" s="6" t="str">
        <f ca="1">IF(AND(NEGOCIAÇÕES!P502="",NEGOCIAÇÕES!N502&lt;TODAY()),NEGOCIAÇÕES!E502,"")</f>
        <v/>
      </c>
      <c r="D502" s="6" t="str">
        <f ca="1">IF(AND(NEGOCIAÇÕES!P502="",NEGOCIAÇÕES!N502&lt;TODAY()),NEGOCIAÇÕES!D502,"")</f>
        <v/>
      </c>
      <c r="E502" s="9" t="str">
        <f ca="1">IF(AND(NEGOCIAÇÕES!P502="",NEGOCIAÇÕES!N502&lt;TODAY()),NEGOCIAÇÕES!N502,"")</f>
        <v/>
      </c>
      <c r="F502" s="6"/>
    </row>
    <row r="503" spans="2:6" ht="31.95" hidden="1" customHeight="1" x14ac:dyDescent="0.3">
      <c r="B503" s="6" t="str">
        <f ca="1">IF(AND(NEGOCIAÇÕES!P503="",NEGOCIAÇÕES!N503&lt;TODAY()),NEGOCIAÇÕES!C503,"")</f>
        <v/>
      </c>
      <c r="C503" s="6" t="str">
        <f ca="1">IF(AND(NEGOCIAÇÕES!P503="",NEGOCIAÇÕES!N503&lt;TODAY()),NEGOCIAÇÕES!E503,"")</f>
        <v/>
      </c>
      <c r="D503" s="6" t="str">
        <f ca="1">IF(AND(NEGOCIAÇÕES!P503="",NEGOCIAÇÕES!N503&lt;TODAY()),NEGOCIAÇÕES!D503,"")</f>
        <v/>
      </c>
      <c r="E503" s="9" t="str">
        <f ca="1">IF(AND(NEGOCIAÇÕES!P503="",NEGOCIAÇÕES!N503&lt;TODAY()),NEGOCIAÇÕES!N503,"")</f>
        <v/>
      </c>
      <c r="F503" s="6"/>
    </row>
    <row r="504" spans="2:6" ht="31.95" hidden="1" customHeight="1" x14ac:dyDescent="0.3">
      <c r="B504" s="6" t="str">
        <f ca="1">IF(AND(NEGOCIAÇÕES!P504="",NEGOCIAÇÕES!N504&lt;TODAY()),NEGOCIAÇÕES!C504,"")</f>
        <v/>
      </c>
      <c r="C504" s="6" t="str">
        <f ca="1">IF(AND(NEGOCIAÇÕES!P504="",NEGOCIAÇÕES!N504&lt;TODAY()),NEGOCIAÇÕES!E504,"")</f>
        <v/>
      </c>
      <c r="D504" s="6" t="str">
        <f ca="1">IF(AND(NEGOCIAÇÕES!P504="",NEGOCIAÇÕES!N504&lt;TODAY()),NEGOCIAÇÕES!D504,"")</f>
        <v/>
      </c>
      <c r="E504" s="9" t="str">
        <f ca="1">IF(AND(NEGOCIAÇÕES!P504="",NEGOCIAÇÕES!N504&lt;TODAY()),NEGOCIAÇÕES!N504,"")</f>
        <v/>
      </c>
      <c r="F504" s="6"/>
    </row>
    <row r="505" spans="2:6" ht="31.95" hidden="1" customHeight="1" x14ac:dyDescent="0.3">
      <c r="B505" s="6" t="str">
        <f ca="1">IF(AND(NEGOCIAÇÕES!P505="",NEGOCIAÇÕES!N505&lt;TODAY()),NEGOCIAÇÕES!C505,"")</f>
        <v/>
      </c>
      <c r="C505" s="6" t="str">
        <f ca="1">IF(AND(NEGOCIAÇÕES!P505="",NEGOCIAÇÕES!N505&lt;TODAY()),NEGOCIAÇÕES!E505,"")</f>
        <v/>
      </c>
      <c r="D505" s="6" t="str">
        <f ca="1">IF(AND(NEGOCIAÇÕES!P505="",NEGOCIAÇÕES!N505&lt;TODAY()),NEGOCIAÇÕES!D505,"")</f>
        <v/>
      </c>
      <c r="E505" s="9" t="str">
        <f ca="1">IF(AND(NEGOCIAÇÕES!P505="",NEGOCIAÇÕES!N505&lt;TODAY()),NEGOCIAÇÕES!N505,"")</f>
        <v/>
      </c>
      <c r="F505" s="6"/>
    </row>
    <row r="506" spans="2:6" ht="31.95" hidden="1" customHeight="1" x14ac:dyDescent="0.3">
      <c r="B506" s="6" t="str">
        <f ca="1">IF(AND(NEGOCIAÇÕES!P506="",NEGOCIAÇÕES!N506&lt;TODAY()),NEGOCIAÇÕES!C506,"")</f>
        <v/>
      </c>
      <c r="C506" s="6" t="str">
        <f ca="1">IF(AND(NEGOCIAÇÕES!P506="",NEGOCIAÇÕES!N506&lt;TODAY()),NEGOCIAÇÕES!E506,"")</f>
        <v/>
      </c>
      <c r="D506" s="6" t="str">
        <f ca="1">IF(AND(NEGOCIAÇÕES!P506="",NEGOCIAÇÕES!N506&lt;TODAY()),NEGOCIAÇÕES!D506,"")</f>
        <v/>
      </c>
      <c r="E506" s="9" t="str">
        <f ca="1">IF(AND(NEGOCIAÇÕES!P506="",NEGOCIAÇÕES!N506&lt;TODAY()),NEGOCIAÇÕES!N506,"")</f>
        <v/>
      </c>
      <c r="F506" s="6"/>
    </row>
    <row r="507" spans="2:6" ht="31.95" hidden="1" customHeight="1" x14ac:dyDescent="0.3">
      <c r="B507" s="6" t="str">
        <f ca="1">IF(AND(NEGOCIAÇÕES!P507="",NEGOCIAÇÕES!N507&lt;TODAY()),NEGOCIAÇÕES!C507,"")</f>
        <v/>
      </c>
      <c r="C507" s="6" t="str">
        <f ca="1">IF(AND(NEGOCIAÇÕES!P507="",NEGOCIAÇÕES!N507&lt;TODAY()),NEGOCIAÇÕES!E507,"")</f>
        <v/>
      </c>
      <c r="D507" s="6" t="str">
        <f ca="1">IF(AND(NEGOCIAÇÕES!P507="",NEGOCIAÇÕES!N507&lt;TODAY()),NEGOCIAÇÕES!D507,"")</f>
        <v/>
      </c>
      <c r="E507" s="9" t="str">
        <f ca="1">IF(AND(NEGOCIAÇÕES!P507="",NEGOCIAÇÕES!N507&lt;TODAY()),NEGOCIAÇÕES!N507,"")</f>
        <v/>
      </c>
      <c r="F507" s="6"/>
    </row>
    <row r="508" spans="2:6" ht="31.95" hidden="1" customHeight="1" x14ac:dyDescent="0.3">
      <c r="B508" s="6" t="str">
        <f ca="1">IF(AND(NEGOCIAÇÕES!P508="",NEGOCIAÇÕES!N508&lt;TODAY()),NEGOCIAÇÕES!C508,"")</f>
        <v/>
      </c>
      <c r="C508" s="6" t="str">
        <f ca="1">IF(AND(NEGOCIAÇÕES!P508="",NEGOCIAÇÕES!N508&lt;TODAY()),NEGOCIAÇÕES!E508,"")</f>
        <v/>
      </c>
      <c r="D508" s="6" t="str">
        <f ca="1">IF(AND(NEGOCIAÇÕES!P508="",NEGOCIAÇÕES!N508&lt;TODAY()),NEGOCIAÇÕES!D508,"")</f>
        <v/>
      </c>
      <c r="E508" s="9" t="str">
        <f ca="1">IF(AND(NEGOCIAÇÕES!P508="",NEGOCIAÇÕES!N508&lt;TODAY()),NEGOCIAÇÕES!N508,"")</f>
        <v/>
      </c>
      <c r="F508" s="6"/>
    </row>
    <row r="509" spans="2:6" ht="31.95" hidden="1" customHeight="1" x14ac:dyDescent="0.3">
      <c r="B509" s="6" t="str">
        <f ca="1">IF(AND(NEGOCIAÇÕES!P509="",NEGOCIAÇÕES!N509&lt;TODAY()),NEGOCIAÇÕES!C509,"")</f>
        <v/>
      </c>
      <c r="C509" s="6" t="str">
        <f ca="1">IF(AND(NEGOCIAÇÕES!P509="",NEGOCIAÇÕES!N509&lt;TODAY()),NEGOCIAÇÕES!E509,"")</f>
        <v/>
      </c>
      <c r="D509" s="6" t="str">
        <f ca="1">IF(AND(NEGOCIAÇÕES!P509="",NEGOCIAÇÕES!N509&lt;TODAY()),NEGOCIAÇÕES!D509,"")</f>
        <v/>
      </c>
      <c r="E509" s="9" t="str">
        <f ca="1">IF(AND(NEGOCIAÇÕES!P509="",NEGOCIAÇÕES!N509&lt;TODAY()),NEGOCIAÇÕES!N509,"")</f>
        <v/>
      </c>
      <c r="F509" s="6"/>
    </row>
    <row r="510" spans="2:6" ht="31.95" hidden="1" customHeight="1" x14ac:dyDescent="0.3">
      <c r="B510" s="6" t="str">
        <f ca="1">IF(AND(NEGOCIAÇÕES!P510="",NEGOCIAÇÕES!N510&lt;TODAY()),NEGOCIAÇÕES!C510,"")</f>
        <v/>
      </c>
      <c r="C510" s="6" t="str">
        <f ca="1">IF(AND(NEGOCIAÇÕES!P510="",NEGOCIAÇÕES!N510&lt;TODAY()),NEGOCIAÇÕES!E510,"")</f>
        <v/>
      </c>
      <c r="D510" s="6" t="str">
        <f ca="1">IF(AND(NEGOCIAÇÕES!P510="",NEGOCIAÇÕES!N510&lt;TODAY()),NEGOCIAÇÕES!D510,"")</f>
        <v/>
      </c>
      <c r="E510" s="9" t="str">
        <f ca="1">IF(AND(NEGOCIAÇÕES!P510="",NEGOCIAÇÕES!N510&lt;TODAY()),NEGOCIAÇÕES!N510,"")</f>
        <v/>
      </c>
      <c r="F510" s="6"/>
    </row>
    <row r="511" spans="2:6" ht="31.95" hidden="1" customHeight="1" x14ac:dyDescent="0.3">
      <c r="B511" s="6" t="str">
        <f ca="1">IF(AND(NEGOCIAÇÕES!P511="",NEGOCIAÇÕES!N511&lt;TODAY()),NEGOCIAÇÕES!C511,"")</f>
        <v/>
      </c>
      <c r="C511" s="6" t="str">
        <f ca="1">IF(AND(NEGOCIAÇÕES!P511="",NEGOCIAÇÕES!N511&lt;TODAY()),NEGOCIAÇÕES!E511,"")</f>
        <v/>
      </c>
      <c r="D511" s="6" t="str">
        <f ca="1">IF(AND(NEGOCIAÇÕES!P511="",NEGOCIAÇÕES!N511&lt;TODAY()),NEGOCIAÇÕES!D511,"")</f>
        <v/>
      </c>
      <c r="E511" s="9" t="str">
        <f ca="1">IF(AND(NEGOCIAÇÕES!P511="",NEGOCIAÇÕES!N511&lt;TODAY()),NEGOCIAÇÕES!N511,"")</f>
        <v/>
      </c>
      <c r="F511" s="6"/>
    </row>
    <row r="512" spans="2:6" ht="31.95" hidden="1" customHeight="1" x14ac:dyDescent="0.3">
      <c r="B512" s="6" t="str">
        <f ca="1">IF(AND(NEGOCIAÇÕES!P512="",NEGOCIAÇÕES!N512&lt;TODAY()),NEGOCIAÇÕES!C512,"")</f>
        <v/>
      </c>
      <c r="C512" s="6" t="str">
        <f ca="1">IF(AND(NEGOCIAÇÕES!P512="",NEGOCIAÇÕES!N512&lt;TODAY()),NEGOCIAÇÕES!E512,"")</f>
        <v/>
      </c>
      <c r="D512" s="6" t="str">
        <f ca="1">IF(AND(NEGOCIAÇÕES!P512="",NEGOCIAÇÕES!N512&lt;TODAY()),NEGOCIAÇÕES!D512,"")</f>
        <v/>
      </c>
      <c r="E512" s="9" t="str">
        <f ca="1">IF(AND(NEGOCIAÇÕES!P512="",NEGOCIAÇÕES!N512&lt;TODAY()),NEGOCIAÇÕES!N512,"")</f>
        <v/>
      </c>
      <c r="F512" s="6"/>
    </row>
    <row r="513" spans="2:6" ht="31.95" hidden="1" customHeight="1" x14ac:dyDescent="0.3">
      <c r="B513" s="6" t="str">
        <f ca="1">IF(AND(NEGOCIAÇÕES!P513="",NEGOCIAÇÕES!N513&lt;TODAY()),NEGOCIAÇÕES!C513,"")</f>
        <v/>
      </c>
      <c r="C513" s="6" t="str">
        <f ca="1">IF(AND(NEGOCIAÇÕES!P513="",NEGOCIAÇÕES!N513&lt;TODAY()),NEGOCIAÇÕES!E513,"")</f>
        <v/>
      </c>
      <c r="D513" s="6" t="str">
        <f ca="1">IF(AND(NEGOCIAÇÕES!P513="",NEGOCIAÇÕES!N513&lt;TODAY()),NEGOCIAÇÕES!D513,"")</f>
        <v/>
      </c>
      <c r="E513" s="9" t="str">
        <f ca="1">IF(AND(NEGOCIAÇÕES!P513="",NEGOCIAÇÕES!N513&lt;TODAY()),NEGOCIAÇÕES!N513,"")</f>
        <v/>
      </c>
      <c r="F513" s="6"/>
    </row>
    <row r="514" spans="2:6" ht="31.95" hidden="1" customHeight="1" x14ac:dyDescent="0.3">
      <c r="B514" s="6" t="str">
        <f ca="1">IF(AND(NEGOCIAÇÕES!P514="",NEGOCIAÇÕES!N514&lt;TODAY()),NEGOCIAÇÕES!C514,"")</f>
        <v/>
      </c>
      <c r="C514" s="6" t="str">
        <f ca="1">IF(AND(NEGOCIAÇÕES!P514="",NEGOCIAÇÕES!N514&lt;TODAY()),NEGOCIAÇÕES!E514,"")</f>
        <v/>
      </c>
      <c r="D514" s="6" t="str">
        <f ca="1">IF(AND(NEGOCIAÇÕES!P514="",NEGOCIAÇÕES!N514&lt;TODAY()),NEGOCIAÇÕES!D514,"")</f>
        <v/>
      </c>
      <c r="E514" s="9" t="str">
        <f ca="1">IF(AND(NEGOCIAÇÕES!P514="",NEGOCIAÇÕES!N514&lt;TODAY()),NEGOCIAÇÕES!N514,"")</f>
        <v/>
      </c>
      <c r="F514" s="6"/>
    </row>
    <row r="515" spans="2:6" ht="31.95" hidden="1" customHeight="1" x14ac:dyDescent="0.3">
      <c r="B515" s="6" t="str">
        <f ca="1">IF(AND(NEGOCIAÇÕES!P515="",NEGOCIAÇÕES!N515&lt;TODAY()),NEGOCIAÇÕES!C515,"")</f>
        <v/>
      </c>
      <c r="C515" s="6" t="str">
        <f ca="1">IF(AND(NEGOCIAÇÕES!P515="",NEGOCIAÇÕES!N515&lt;TODAY()),NEGOCIAÇÕES!E515,"")</f>
        <v/>
      </c>
      <c r="D515" s="6" t="str">
        <f ca="1">IF(AND(NEGOCIAÇÕES!P515="",NEGOCIAÇÕES!N515&lt;TODAY()),NEGOCIAÇÕES!D515,"")</f>
        <v/>
      </c>
      <c r="E515" s="9" t="str">
        <f ca="1">IF(AND(NEGOCIAÇÕES!P515="",NEGOCIAÇÕES!N515&lt;TODAY()),NEGOCIAÇÕES!N515,"")</f>
        <v/>
      </c>
      <c r="F515" s="6"/>
    </row>
    <row r="516" spans="2:6" ht="31.95" hidden="1" customHeight="1" x14ac:dyDescent="0.3">
      <c r="B516" s="6" t="str">
        <f ca="1">IF(AND(NEGOCIAÇÕES!P516="",NEGOCIAÇÕES!N516&lt;TODAY()),NEGOCIAÇÕES!C516,"")</f>
        <v/>
      </c>
      <c r="C516" s="6" t="str">
        <f ca="1">IF(AND(NEGOCIAÇÕES!P516="",NEGOCIAÇÕES!N516&lt;TODAY()),NEGOCIAÇÕES!E516,"")</f>
        <v/>
      </c>
      <c r="D516" s="6" t="str">
        <f ca="1">IF(AND(NEGOCIAÇÕES!P516="",NEGOCIAÇÕES!N516&lt;TODAY()),NEGOCIAÇÕES!D516,"")</f>
        <v/>
      </c>
      <c r="E516" s="9" t="str">
        <f ca="1">IF(AND(NEGOCIAÇÕES!P516="",NEGOCIAÇÕES!N516&lt;TODAY()),NEGOCIAÇÕES!N516,"")</f>
        <v/>
      </c>
      <c r="F516" s="6"/>
    </row>
    <row r="517" spans="2:6" ht="31.95" hidden="1" customHeight="1" x14ac:dyDescent="0.3">
      <c r="B517" s="6" t="str">
        <f ca="1">IF(AND(NEGOCIAÇÕES!P517="",NEGOCIAÇÕES!N517&lt;TODAY()),NEGOCIAÇÕES!C517,"")</f>
        <v/>
      </c>
      <c r="C517" s="6" t="str">
        <f ca="1">IF(AND(NEGOCIAÇÕES!P517="",NEGOCIAÇÕES!N517&lt;TODAY()),NEGOCIAÇÕES!E517,"")</f>
        <v/>
      </c>
      <c r="D517" s="6" t="str">
        <f ca="1">IF(AND(NEGOCIAÇÕES!P517="",NEGOCIAÇÕES!N517&lt;TODAY()),NEGOCIAÇÕES!D517,"")</f>
        <v/>
      </c>
      <c r="E517" s="9" t="str">
        <f ca="1">IF(AND(NEGOCIAÇÕES!P517="",NEGOCIAÇÕES!N517&lt;TODAY()),NEGOCIAÇÕES!N517,"")</f>
        <v/>
      </c>
      <c r="F517" s="6"/>
    </row>
    <row r="518" spans="2:6" ht="31.95" hidden="1" customHeight="1" x14ac:dyDescent="0.3">
      <c r="B518" s="6" t="str">
        <f ca="1">IF(AND(NEGOCIAÇÕES!P518="",NEGOCIAÇÕES!N518&lt;TODAY()),NEGOCIAÇÕES!C518,"")</f>
        <v/>
      </c>
      <c r="C518" s="6" t="str">
        <f ca="1">IF(AND(NEGOCIAÇÕES!P518="",NEGOCIAÇÕES!N518&lt;TODAY()),NEGOCIAÇÕES!E518,"")</f>
        <v/>
      </c>
      <c r="D518" s="6" t="str">
        <f ca="1">IF(AND(NEGOCIAÇÕES!P518="",NEGOCIAÇÕES!N518&lt;TODAY()),NEGOCIAÇÕES!D518,"")</f>
        <v/>
      </c>
      <c r="E518" s="9" t="str">
        <f ca="1">IF(AND(NEGOCIAÇÕES!P518="",NEGOCIAÇÕES!N518&lt;TODAY()),NEGOCIAÇÕES!N518,"")</f>
        <v/>
      </c>
      <c r="F518" s="6"/>
    </row>
    <row r="519" spans="2:6" ht="31.95" hidden="1" customHeight="1" x14ac:dyDescent="0.3">
      <c r="B519" s="6" t="str">
        <f ca="1">IF(AND(NEGOCIAÇÕES!P519="",NEGOCIAÇÕES!N519&lt;TODAY()),NEGOCIAÇÕES!C519,"")</f>
        <v/>
      </c>
      <c r="C519" s="6" t="str">
        <f ca="1">IF(AND(NEGOCIAÇÕES!P519="",NEGOCIAÇÕES!N519&lt;TODAY()),NEGOCIAÇÕES!E519,"")</f>
        <v/>
      </c>
      <c r="D519" s="6" t="str">
        <f ca="1">IF(AND(NEGOCIAÇÕES!P519="",NEGOCIAÇÕES!N519&lt;TODAY()),NEGOCIAÇÕES!D519,"")</f>
        <v/>
      </c>
      <c r="E519" s="9" t="str">
        <f ca="1">IF(AND(NEGOCIAÇÕES!P519="",NEGOCIAÇÕES!N519&lt;TODAY()),NEGOCIAÇÕES!N519,"")</f>
        <v/>
      </c>
      <c r="F519" s="6"/>
    </row>
    <row r="520" spans="2:6" ht="31.95" hidden="1" customHeight="1" x14ac:dyDescent="0.3">
      <c r="B520" s="6" t="str">
        <f ca="1">IF(AND(NEGOCIAÇÕES!P520="",NEGOCIAÇÕES!N520&lt;TODAY()),NEGOCIAÇÕES!C520,"")</f>
        <v/>
      </c>
      <c r="C520" s="6" t="str">
        <f ca="1">IF(AND(NEGOCIAÇÕES!P520="",NEGOCIAÇÕES!N520&lt;TODAY()),NEGOCIAÇÕES!E520,"")</f>
        <v/>
      </c>
      <c r="D520" s="6" t="str">
        <f ca="1">IF(AND(NEGOCIAÇÕES!P520="",NEGOCIAÇÕES!N520&lt;TODAY()),NEGOCIAÇÕES!D520,"")</f>
        <v/>
      </c>
      <c r="E520" s="9" t="str">
        <f ca="1">IF(AND(NEGOCIAÇÕES!P520="",NEGOCIAÇÕES!N520&lt;TODAY()),NEGOCIAÇÕES!N520,"")</f>
        <v/>
      </c>
      <c r="F520" s="6"/>
    </row>
    <row r="521" spans="2:6" ht="31.95" hidden="1" customHeight="1" x14ac:dyDescent="0.3">
      <c r="B521" s="6" t="str">
        <f ca="1">IF(AND(NEGOCIAÇÕES!P521="",NEGOCIAÇÕES!N521&lt;TODAY()),NEGOCIAÇÕES!C521,"")</f>
        <v/>
      </c>
      <c r="C521" s="6" t="str">
        <f ca="1">IF(AND(NEGOCIAÇÕES!P521="",NEGOCIAÇÕES!N521&lt;TODAY()),NEGOCIAÇÕES!E521,"")</f>
        <v/>
      </c>
      <c r="D521" s="6" t="str">
        <f ca="1">IF(AND(NEGOCIAÇÕES!P521="",NEGOCIAÇÕES!N521&lt;TODAY()),NEGOCIAÇÕES!D521,"")</f>
        <v/>
      </c>
      <c r="E521" s="9" t="str">
        <f ca="1">IF(AND(NEGOCIAÇÕES!P521="",NEGOCIAÇÕES!N521&lt;TODAY()),NEGOCIAÇÕES!N521,"")</f>
        <v/>
      </c>
      <c r="F521" s="6"/>
    </row>
    <row r="522" spans="2:6" ht="31.95" hidden="1" customHeight="1" x14ac:dyDescent="0.3">
      <c r="B522" s="6" t="str">
        <f ca="1">IF(AND(NEGOCIAÇÕES!P522="",NEGOCIAÇÕES!N522&lt;TODAY()),NEGOCIAÇÕES!C522,"")</f>
        <v/>
      </c>
      <c r="C522" s="6" t="str">
        <f ca="1">IF(AND(NEGOCIAÇÕES!P522="",NEGOCIAÇÕES!N522&lt;TODAY()),NEGOCIAÇÕES!E522,"")</f>
        <v/>
      </c>
      <c r="D522" s="6" t="str">
        <f ca="1">IF(AND(NEGOCIAÇÕES!P522="",NEGOCIAÇÕES!N522&lt;TODAY()),NEGOCIAÇÕES!D522,"")</f>
        <v/>
      </c>
      <c r="E522" s="9" t="str">
        <f ca="1">IF(AND(NEGOCIAÇÕES!P522="",NEGOCIAÇÕES!N522&lt;TODAY()),NEGOCIAÇÕES!N522,"")</f>
        <v/>
      </c>
      <c r="F522" s="6"/>
    </row>
    <row r="523" spans="2:6" ht="31.95" hidden="1" customHeight="1" x14ac:dyDescent="0.3">
      <c r="B523" s="6" t="str">
        <f ca="1">IF(AND(NEGOCIAÇÕES!P523="",NEGOCIAÇÕES!N523&lt;TODAY()),NEGOCIAÇÕES!C523,"")</f>
        <v/>
      </c>
      <c r="C523" s="6" t="str">
        <f ca="1">IF(AND(NEGOCIAÇÕES!P523="",NEGOCIAÇÕES!N523&lt;TODAY()),NEGOCIAÇÕES!E523,"")</f>
        <v/>
      </c>
      <c r="D523" s="6" t="str">
        <f ca="1">IF(AND(NEGOCIAÇÕES!P523="",NEGOCIAÇÕES!N523&lt;TODAY()),NEGOCIAÇÕES!D523,"")</f>
        <v/>
      </c>
      <c r="E523" s="9" t="str">
        <f ca="1">IF(AND(NEGOCIAÇÕES!P523="",NEGOCIAÇÕES!N523&lt;TODAY()),NEGOCIAÇÕES!N523,"")</f>
        <v/>
      </c>
      <c r="F523" s="6"/>
    </row>
    <row r="524" spans="2:6" ht="31.95" hidden="1" customHeight="1" x14ac:dyDescent="0.3">
      <c r="B524" s="6" t="str">
        <f ca="1">IF(AND(NEGOCIAÇÕES!P524="",NEGOCIAÇÕES!N524&lt;TODAY()),NEGOCIAÇÕES!C524,"")</f>
        <v/>
      </c>
      <c r="C524" s="6" t="str">
        <f ca="1">IF(AND(NEGOCIAÇÕES!P524="",NEGOCIAÇÕES!N524&lt;TODAY()),NEGOCIAÇÕES!E524,"")</f>
        <v/>
      </c>
      <c r="D524" s="6" t="str">
        <f ca="1">IF(AND(NEGOCIAÇÕES!P524="",NEGOCIAÇÕES!N524&lt;TODAY()),NEGOCIAÇÕES!D524,"")</f>
        <v/>
      </c>
      <c r="E524" s="9" t="str">
        <f ca="1">IF(AND(NEGOCIAÇÕES!P524="",NEGOCIAÇÕES!N524&lt;TODAY()),NEGOCIAÇÕES!N524,"")</f>
        <v/>
      </c>
      <c r="F524" s="6"/>
    </row>
    <row r="525" spans="2:6" ht="31.95" hidden="1" customHeight="1" x14ac:dyDescent="0.3">
      <c r="B525" s="6" t="str">
        <f ca="1">IF(AND(NEGOCIAÇÕES!P525="",NEGOCIAÇÕES!N525&lt;TODAY()),NEGOCIAÇÕES!C525,"")</f>
        <v/>
      </c>
      <c r="C525" s="6" t="str">
        <f ca="1">IF(AND(NEGOCIAÇÕES!P525="",NEGOCIAÇÕES!N525&lt;TODAY()),NEGOCIAÇÕES!E525,"")</f>
        <v/>
      </c>
      <c r="D525" s="6" t="str">
        <f ca="1">IF(AND(NEGOCIAÇÕES!P525="",NEGOCIAÇÕES!N525&lt;TODAY()),NEGOCIAÇÕES!D525,"")</f>
        <v/>
      </c>
      <c r="E525" s="9" t="str">
        <f ca="1">IF(AND(NEGOCIAÇÕES!P525="",NEGOCIAÇÕES!N525&lt;TODAY()),NEGOCIAÇÕES!N525,"")</f>
        <v/>
      </c>
      <c r="F525" s="6"/>
    </row>
    <row r="526" spans="2:6" ht="31.95" hidden="1" customHeight="1" x14ac:dyDescent="0.3">
      <c r="B526" s="6" t="str">
        <f ca="1">IF(AND(NEGOCIAÇÕES!P526="",NEGOCIAÇÕES!N526&lt;TODAY()),NEGOCIAÇÕES!C526,"")</f>
        <v/>
      </c>
      <c r="C526" s="6" t="str">
        <f ca="1">IF(AND(NEGOCIAÇÕES!P526="",NEGOCIAÇÕES!N526&lt;TODAY()),NEGOCIAÇÕES!E526,"")</f>
        <v/>
      </c>
      <c r="D526" s="6" t="str">
        <f ca="1">IF(AND(NEGOCIAÇÕES!P526="",NEGOCIAÇÕES!N526&lt;TODAY()),NEGOCIAÇÕES!D526,"")</f>
        <v/>
      </c>
      <c r="E526" s="9" t="str">
        <f ca="1">IF(AND(NEGOCIAÇÕES!P526="",NEGOCIAÇÕES!N526&lt;TODAY()),NEGOCIAÇÕES!N526,"")</f>
        <v/>
      </c>
      <c r="F526" s="6"/>
    </row>
    <row r="527" spans="2:6" ht="31.95" hidden="1" customHeight="1" x14ac:dyDescent="0.3">
      <c r="B527" s="6" t="str">
        <f ca="1">IF(AND(NEGOCIAÇÕES!P527="",NEGOCIAÇÕES!N527&lt;TODAY()),NEGOCIAÇÕES!C527,"")</f>
        <v/>
      </c>
      <c r="C527" s="6" t="str">
        <f ca="1">IF(AND(NEGOCIAÇÕES!P527="",NEGOCIAÇÕES!N527&lt;TODAY()),NEGOCIAÇÕES!E527,"")</f>
        <v/>
      </c>
      <c r="D527" s="6" t="str">
        <f ca="1">IF(AND(NEGOCIAÇÕES!P527="",NEGOCIAÇÕES!N527&lt;TODAY()),NEGOCIAÇÕES!D527,"")</f>
        <v/>
      </c>
      <c r="E527" s="9" t="str">
        <f ca="1">IF(AND(NEGOCIAÇÕES!P527="",NEGOCIAÇÕES!N527&lt;TODAY()),NEGOCIAÇÕES!N527,"")</f>
        <v/>
      </c>
      <c r="F527" s="6"/>
    </row>
    <row r="528" spans="2:6" ht="31.95" hidden="1" customHeight="1" x14ac:dyDescent="0.3">
      <c r="B528" s="6" t="str">
        <f ca="1">IF(AND(NEGOCIAÇÕES!P528="",NEGOCIAÇÕES!N528&lt;TODAY()),NEGOCIAÇÕES!C528,"")</f>
        <v/>
      </c>
      <c r="C528" s="6" t="str">
        <f ca="1">IF(AND(NEGOCIAÇÕES!P528="",NEGOCIAÇÕES!N528&lt;TODAY()),NEGOCIAÇÕES!E528,"")</f>
        <v/>
      </c>
      <c r="D528" s="6" t="str">
        <f ca="1">IF(AND(NEGOCIAÇÕES!P528="",NEGOCIAÇÕES!N528&lt;TODAY()),NEGOCIAÇÕES!D528,"")</f>
        <v/>
      </c>
      <c r="E528" s="9" t="str">
        <f ca="1">IF(AND(NEGOCIAÇÕES!P528="",NEGOCIAÇÕES!N528&lt;TODAY()),NEGOCIAÇÕES!N528,"")</f>
        <v/>
      </c>
      <c r="F528" s="6"/>
    </row>
    <row r="529" spans="2:6" ht="31.95" hidden="1" customHeight="1" x14ac:dyDescent="0.3">
      <c r="B529" s="6" t="str">
        <f ca="1">IF(AND(NEGOCIAÇÕES!P529="",NEGOCIAÇÕES!N529&lt;TODAY()),NEGOCIAÇÕES!C529,"")</f>
        <v/>
      </c>
      <c r="C529" s="6" t="str">
        <f ca="1">IF(AND(NEGOCIAÇÕES!P529="",NEGOCIAÇÕES!N529&lt;TODAY()),NEGOCIAÇÕES!E529,"")</f>
        <v/>
      </c>
      <c r="D529" s="6" t="str">
        <f ca="1">IF(AND(NEGOCIAÇÕES!P529="",NEGOCIAÇÕES!N529&lt;TODAY()),NEGOCIAÇÕES!D529,"")</f>
        <v/>
      </c>
      <c r="E529" s="9" t="str">
        <f ca="1">IF(AND(NEGOCIAÇÕES!P529="",NEGOCIAÇÕES!N529&lt;TODAY()),NEGOCIAÇÕES!N529,"")</f>
        <v/>
      </c>
      <c r="F529" s="6"/>
    </row>
    <row r="530" spans="2:6" ht="31.95" hidden="1" customHeight="1" x14ac:dyDescent="0.3">
      <c r="B530" s="6" t="str">
        <f ca="1">IF(AND(NEGOCIAÇÕES!P530="",NEGOCIAÇÕES!N530&lt;TODAY()),NEGOCIAÇÕES!C530,"")</f>
        <v/>
      </c>
      <c r="C530" s="6" t="str">
        <f ca="1">IF(AND(NEGOCIAÇÕES!P530="",NEGOCIAÇÕES!N530&lt;TODAY()),NEGOCIAÇÕES!E530,"")</f>
        <v/>
      </c>
      <c r="D530" s="6" t="str">
        <f ca="1">IF(AND(NEGOCIAÇÕES!P530="",NEGOCIAÇÕES!N530&lt;TODAY()),NEGOCIAÇÕES!D530,"")</f>
        <v/>
      </c>
      <c r="E530" s="9" t="str">
        <f ca="1">IF(AND(NEGOCIAÇÕES!P530="",NEGOCIAÇÕES!N530&lt;TODAY()),NEGOCIAÇÕES!N530,"")</f>
        <v/>
      </c>
      <c r="F530" s="6"/>
    </row>
    <row r="531" spans="2:6" ht="31.95" hidden="1" customHeight="1" x14ac:dyDescent="0.3">
      <c r="B531" s="6" t="str">
        <f ca="1">IF(AND(NEGOCIAÇÕES!P531="",NEGOCIAÇÕES!N531&lt;TODAY()),NEGOCIAÇÕES!C531,"")</f>
        <v/>
      </c>
      <c r="C531" s="6" t="str">
        <f ca="1">IF(AND(NEGOCIAÇÕES!P531="",NEGOCIAÇÕES!N531&lt;TODAY()),NEGOCIAÇÕES!E531,"")</f>
        <v/>
      </c>
      <c r="D531" s="6" t="str">
        <f ca="1">IF(AND(NEGOCIAÇÕES!P531="",NEGOCIAÇÕES!N531&lt;TODAY()),NEGOCIAÇÕES!D531,"")</f>
        <v/>
      </c>
      <c r="E531" s="9" t="str">
        <f ca="1">IF(AND(NEGOCIAÇÕES!P531="",NEGOCIAÇÕES!N531&lt;TODAY()),NEGOCIAÇÕES!N531,"")</f>
        <v/>
      </c>
      <c r="F531" s="6"/>
    </row>
    <row r="532" spans="2:6" ht="31.95" hidden="1" customHeight="1" x14ac:dyDescent="0.3">
      <c r="B532" s="6" t="str">
        <f ca="1">IF(AND(NEGOCIAÇÕES!P532="",NEGOCIAÇÕES!N532&lt;TODAY()),NEGOCIAÇÕES!C532,"")</f>
        <v/>
      </c>
      <c r="C532" s="6" t="str">
        <f ca="1">IF(AND(NEGOCIAÇÕES!P532="",NEGOCIAÇÕES!N532&lt;TODAY()),NEGOCIAÇÕES!E532,"")</f>
        <v/>
      </c>
      <c r="D532" s="6" t="str">
        <f ca="1">IF(AND(NEGOCIAÇÕES!P532="",NEGOCIAÇÕES!N532&lt;TODAY()),NEGOCIAÇÕES!D532,"")</f>
        <v/>
      </c>
      <c r="E532" s="9" t="str">
        <f ca="1">IF(AND(NEGOCIAÇÕES!P532="",NEGOCIAÇÕES!N532&lt;TODAY()),NEGOCIAÇÕES!N532,"")</f>
        <v/>
      </c>
      <c r="F532" s="6"/>
    </row>
    <row r="533" spans="2:6" ht="31.95" hidden="1" customHeight="1" x14ac:dyDescent="0.3">
      <c r="B533" s="6" t="str">
        <f ca="1">IF(AND(NEGOCIAÇÕES!P533="",NEGOCIAÇÕES!N533&lt;TODAY()),NEGOCIAÇÕES!C533,"")</f>
        <v/>
      </c>
      <c r="C533" s="6" t="str">
        <f ca="1">IF(AND(NEGOCIAÇÕES!P533="",NEGOCIAÇÕES!N533&lt;TODAY()),NEGOCIAÇÕES!E533,"")</f>
        <v/>
      </c>
      <c r="D533" s="6" t="str">
        <f ca="1">IF(AND(NEGOCIAÇÕES!P533="",NEGOCIAÇÕES!N533&lt;TODAY()),NEGOCIAÇÕES!D533,"")</f>
        <v/>
      </c>
      <c r="E533" s="9" t="str">
        <f ca="1">IF(AND(NEGOCIAÇÕES!P533="",NEGOCIAÇÕES!N533&lt;TODAY()),NEGOCIAÇÕES!N533,"")</f>
        <v/>
      </c>
      <c r="F533" s="6"/>
    </row>
    <row r="534" spans="2:6" ht="31.95" hidden="1" customHeight="1" x14ac:dyDescent="0.3">
      <c r="B534" s="6" t="str">
        <f ca="1">IF(AND(NEGOCIAÇÕES!P534="",NEGOCIAÇÕES!N534&lt;TODAY()),NEGOCIAÇÕES!C534,"")</f>
        <v/>
      </c>
      <c r="C534" s="6" t="str">
        <f ca="1">IF(AND(NEGOCIAÇÕES!P534="",NEGOCIAÇÕES!N534&lt;TODAY()),NEGOCIAÇÕES!E534,"")</f>
        <v/>
      </c>
      <c r="D534" s="6" t="str">
        <f ca="1">IF(AND(NEGOCIAÇÕES!P534="",NEGOCIAÇÕES!N534&lt;TODAY()),NEGOCIAÇÕES!D534,"")</f>
        <v/>
      </c>
      <c r="E534" s="9" t="str">
        <f ca="1">IF(AND(NEGOCIAÇÕES!P534="",NEGOCIAÇÕES!N534&lt;TODAY()),NEGOCIAÇÕES!N534,"")</f>
        <v/>
      </c>
      <c r="F534" s="6"/>
    </row>
    <row r="535" spans="2:6" ht="31.95" hidden="1" customHeight="1" x14ac:dyDescent="0.3">
      <c r="B535" s="6" t="str">
        <f ca="1">IF(AND(NEGOCIAÇÕES!P535="",NEGOCIAÇÕES!N535&lt;TODAY()),NEGOCIAÇÕES!C535,"")</f>
        <v/>
      </c>
      <c r="C535" s="6" t="str">
        <f ca="1">IF(AND(NEGOCIAÇÕES!P535="",NEGOCIAÇÕES!N535&lt;TODAY()),NEGOCIAÇÕES!E535,"")</f>
        <v/>
      </c>
      <c r="D535" s="6" t="str">
        <f ca="1">IF(AND(NEGOCIAÇÕES!P535="",NEGOCIAÇÕES!N535&lt;TODAY()),NEGOCIAÇÕES!D535,"")</f>
        <v/>
      </c>
      <c r="E535" s="9" t="str">
        <f ca="1">IF(AND(NEGOCIAÇÕES!P535="",NEGOCIAÇÕES!N535&lt;TODAY()),NEGOCIAÇÕES!N535,"")</f>
        <v/>
      </c>
      <c r="F535" s="6"/>
    </row>
    <row r="536" spans="2:6" ht="31.95" hidden="1" customHeight="1" x14ac:dyDescent="0.3">
      <c r="B536" s="6" t="str">
        <f ca="1">IF(AND(NEGOCIAÇÕES!P536="",NEGOCIAÇÕES!N536&lt;TODAY()),NEGOCIAÇÕES!C536,"")</f>
        <v/>
      </c>
      <c r="C536" s="6" t="str">
        <f ca="1">IF(AND(NEGOCIAÇÕES!P536="",NEGOCIAÇÕES!N536&lt;TODAY()),NEGOCIAÇÕES!E536,"")</f>
        <v/>
      </c>
      <c r="D536" s="6" t="str">
        <f ca="1">IF(AND(NEGOCIAÇÕES!P536="",NEGOCIAÇÕES!N536&lt;TODAY()),NEGOCIAÇÕES!D536,"")</f>
        <v/>
      </c>
      <c r="E536" s="9" t="str">
        <f ca="1">IF(AND(NEGOCIAÇÕES!P536="",NEGOCIAÇÕES!N536&lt;TODAY()),NEGOCIAÇÕES!N536,"")</f>
        <v/>
      </c>
      <c r="F536" s="6"/>
    </row>
    <row r="537" spans="2:6" ht="31.95" hidden="1" customHeight="1" x14ac:dyDescent="0.3">
      <c r="B537" s="6" t="str">
        <f ca="1">IF(AND(NEGOCIAÇÕES!P537="",NEGOCIAÇÕES!N537&lt;TODAY()),NEGOCIAÇÕES!C537,"")</f>
        <v/>
      </c>
      <c r="C537" s="6" t="str">
        <f ca="1">IF(AND(NEGOCIAÇÕES!P537="",NEGOCIAÇÕES!N537&lt;TODAY()),NEGOCIAÇÕES!E537,"")</f>
        <v/>
      </c>
      <c r="D537" s="6" t="str">
        <f ca="1">IF(AND(NEGOCIAÇÕES!P537="",NEGOCIAÇÕES!N537&lt;TODAY()),NEGOCIAÇÕES!D537,"")</f>
        <v/>
      </c>
      <c r="E537" s="9" t="str">
        <f ca="1">IF(AND(NEGOCIAÇÕES!P537="",NEGOCIAÇÕES!N537&lt;TODAY()),NEGOCIAÇÕES!N537,"")</f>
        <v/>
      </c>
      <c r="F537" s="6"/>
    </row>
    <row r="538" spans="2:6" ht="31.95" hidden="1" customHeight="1" x14ac:dyDescent="0.3">
      <c r="B538" s="6" t="str">
        <f ca="1">IF(AND(NEGOCIAÇÕES!P538="",NEGOCIAÇÕES!N538&lt;TODAY()),NEGOCIAÇÕES!C538,"")</f>
        <v/>
      </c>
      <c r="C538" s="6" t="str">
        <f ca="1">IF(AND(NEGOCIAÇÕES!P538="",NEGOCIAÇÕES!N538&lt;TODAY()),NEGOCIAÇÕES!E538,"")</f>
        <v/>
      </c>
      <c r="D538" s="6" t="str">
        <f ca="1">IF(AND(NEGOCIAÇÕES!P538="",NEGOCIAÇÕES!N538&lt;TODAY()),NEGOCIAÇÕES!D538,"")</f>
        <v/>
      </c>
      <c r="E538" s="9" t="str">
        <f ca="1">IF(AND(NEGOCIAÇÕES!P538="",NEGOCIAÇÕES!N538&lt;TODAY()),NEGOCIAÇÕES!N538,"")</f>
        <v/>
      </c>
      <c r="F538" s="6"/>
    </row>
    <row r="539" spans="2:6" ht="31.95" hidden="1" customHeight="1" x14ac:dyDescent="0.3">
      <c r="B539" s="6" t="str">
        <f ca="1">IF(AND(NEGOCIAÇÕES!P539="",NEGOCIAÇÕES!N539&lt;TODAY()),NEGOCIAÇÕES!C539,"")</f>
        <v/>
      </c>
      <c r="C539" s="6" t="str">
        <f ca="1">IF(AND(NEGOCIAÇÕES!P539="",NEGOCIAÇÕES!N539&lt;TODAY()),NEGOCIAÇÕES!E539,"")</f>
        <v/>
      </c>
      <c r="D539" s="6" t="str">
        <f ca="1">IF(AND(NEGOCIAÇÕES!P539="",NEGOCIAÇÕES!N539&lt;TODAY()),NEGOCIAÇÕES!D539,"")</f>
        <v/>
      </c>
      <c r="E539" s="9" t="str">
        <f ca="1">IF(AND(NEGOCIAÇÕES!P539="",NEGOCIAÇÕES!N539&lt;TODAY()),NEGOCIAÇÕES!N539,"")</f>
        <v/>
      </c>
      <c r="F539" s="6"/>
    </row>
    <row r="540" spans="2:6" ht="31.95" hidden="1" customHeight="1" x14ac:dyDescent="0.3">
      <c r="B540" s="6" t="str">
        <f ca="1">IF(AND(NEGOCIAÇÕES!P540="",NEGOCIAÇÕES!N540&lt;TODAY()),NEGOCIAÇÕES!C540,"")</f>
        <v/>
      </c>
      <c r="C540" s="6" t="str">
        <f ca="1">IF(AND(NEGOCIAÇÕES!P540="",NEGOCIAÇÕES!N540&lt;TODAY()),NEGOCIAÇÕES!E540,"")</f>
        <v/>
      </c>
      <c r="D540" s="6" t="str">
        <f ca="1">IF(AND(NEGOCIAÇÕES!P540="",NEGOCIAÇÕES!N540&lt;TODAY()),NEGOCIAÇÕES!D540,"")</f>
        <v/>
      </c>
      <c r="E540" s="9" t="str">
        <f ca="1">IF(AND(NEGOCIAÇÕES!P540="",NEGOCIAÇÕES!N540&lt;TODAY()),NEGOCIAÇÕES!N540,"")</f>
        <v/>
      </c>
      <c r="F540" s="6"/>
    </row>
    <row r="541" spans="2:6" ht="31.95" hidden="1" customHeight="1" x14ac:dyDescent="0.3">
      <c r="B541" s="6" t="str">
        <f ca="1">IF(AND(NEGOCIAÇÕES!P541="",NEGOCIAÇÕES!N541&lt;TODAY()),NEGOCIAÇÕES!C541,"")</f>
        <v/>
      </c>
      <c r="C541" s="6" t="str">
        <f ca="1">IF(AND(NEGOCIAÇÕES!P541="",NEGOCIAÇÕES!N541&lt;TODAY()),NEGOCIAÇÕES!E541,"")</f>
        <v/>
      </c>
      <c r="D541" s="6" t="str">
        <f ca="1">IF(AND(NEGOCIAÇÕES!P541="",NEGOCIAÇÕES!N541&lt;TODAY()),NEGOCIAÇÕES!D541,"")</f>
        <v/>
      </c>
      <c r="E541" s="9" t="str">
        <f ca="1">IF(AND(NEGOCIAÇÕES!P541="",NEGOCIAÇÕES!N541&lt;TODAY()),NEGOCIAÇÕES!N541,"")</f>
        <v/>
      </c>
      <c r="F541" s="6"/>
    </row>
    <row r="542" spans="2:6" ht="31.95" hidden="1" customHeight="1" x14ac:dyDescent="0.3">
      <c r="B542" s="6" t="str">
        <f ca="1">IF(AND(NEGOCIAÇÕES!P542="",NEGOCIAÇÕES!N542&lt;TODAY()),NEGOCIAÇÕES!C542,"")</f>
        <v/>
      </c>
      <c r="C542" s="6" t="str">
        <f ca="1">IF(AND(NEGOCIAÇÕES!P542="",NEGOCIAÇÕES!N542&lt;TODAY()),NEGOCIAÇÕES!E542,"")</f>
        <v/>
      </c>
      <c r="D542" s="6" t="str">
        <f ca="1">IF(AND(NEGOCIAÇÕES!P542="",NEGOCIAÇÕES!N542&lt;TODAY()),NEGOCIAÇÕES!D542,"")</f>
        <v/>
      </c>
      <c r="E542" s="9" t="str">
        <f ca="1">IF(AND(NEGOCIAÇÕES!P542="",NEGOCIAÇÕES!N542&lt;TODAY()),NEGOCIAÇÕES!N542,"")</f>
        <v/>
      </c>
      <c r="F542" s="6"/>
    </row>
    <row r="543" spans="2:6" ht="31.95" hidden="1" customHeight="1" x14ac:dyDescent="0.3">
      <c r="B543" s="6" t="str">
        <f ca="1">IF(AND(NEGOCIAÇÕES!P543="",NEGOCIAÇÕES!N543&lt;TODAY()),NEGOCIAÇÕES!C543,"")</f>
        <v/>
      </c>
      <c r="C543" s="6" t="str">
        <f ca="1">IF(AND(NEGOCIAÇÕES!P543="",NEGOCIAÇÕES!N543&lt;TODAY()),NEGOCIAÇÕES!E543,"")</f>
        <v/>
      </c>
      <c r="D543" s="6" t="str">
        <f ca="1">IF(AND(NEGOCIAÇÕES!P543="",NEGOCIAÇÕES!N543&lt;TODAY()),NEGOCIAÇÕES!D543,"")</f>
        <v/>
      </c>
      <c r="E543" s="9" t="str">
        <f ca="1">IF(AND(NEGOCIAÇÕES!P543="",NEGOCIAÇÕES!N543&lt;TODAY()),NEGOCIAÇÕES!N543,"")</f>
        <v/>
      </c>
      <c r="F543" s="6"/>
    </row>
    <row r="544" spans="2:6" ht="31.95" hidden="1" customHeight="1" x14ac:dyDescent="0.3">
      <c r="B544" s="6" t="str">
        <f ca="1">IF(AND(NEGOCIAÇÕES!P544="",NEGOCIAÇÕES!N544&lt;TODAY()),NEGOCIAÇÕES!C544,"")</f>
        <v/>
      </c>
      <c r="C544" s="6" t="str">
        <f ca="1">IF(AND(NEGOCIAÇÕES!P544="",NEGOCIAÇÕES!N544&lt;TODAY()),NEGOCIAÇÕES!E544,"")</f>
        <v/>
      </c>
      <c r="D544" s="6" t="str">
        <f ca="1">IF(AND(NEGOCIAÇÕES!P544="",NEGOCIAÇÕES!N544&lt;TODAY()),NEGOCIAÇÕES!D544,"")</f>
        <v/>
      </c>
      <c r="E544" s="9" t="str">
        <f ca="1">IF(AND(NEGOCIAÇÕES!P544="",NEGOCIAÇÕES!N544&lt;TODAY()),NEGOCIAÇÕES!N544,"")</f>
        <v/>
      </c>
      <c r="F544" s="6"/>
    </row>
    <row r="545" spans="2:6" ht="31.95" hidden="1" customHeight="1" x14ac:dyDescent="0.3">
      <c r="B545" s="6" t="str">
        <f ca="1">IF(AND(NEGOCIAÇÕES!P545="",NEGOCIAÇÕES!N545&lt;TODAY()),NEGOCIAÇÕES!C545,"")</f>
        <v/>
      </c>
      <c r="C545" s="6" t="str">
        <f ca="1">IF(AND(NEGOCIAÇÕES!P545="",NEGOCIAÇÕES!N545&lt;TODAY()),NEGOCIAÇÕES!E545,"")</f>
        <v/>
      </c>
      <c r="D545" s="6" t="str">
        <f ca="1">IF(AND(NEGOCIAÇÕES!P545="",NEGOCIAÇÕES!N545&lt;TODAY()),NEGOCIAÇÕES!D545,"")</f>
        <v/>
      </c>
      <c r="E545" s="9" t="str">
        <f ca="1">IF(AND(NEGOCIAÇÕES!P545="",NEGOCIAÇÕES!N545&lt;TODAY()),NEGOCIAÇÕES!N545,"")</f>
        <v/>
      </c>
      <c r="F545" s="6"/>
    </row>
    <row r="546" spans="2:6" ht="31.95" hidden="1" customHeight="1" x14ac:dyDescent="0.3">
      <c r="B546" s="6" t="str">
        <f ca="1">IF(AND(NEGOCIAÇÕES!P546="",NEGOCIAÇÕES!N546&lt;TODAY()),NEGOCIAÇÕES!C546,"")</f>
        <v/>
      </c>
      <c r="C546" s="6" t="str">
        <f ca="1">IF(AND(NEGOCIAÇÕES!P546="",NEGOCIAÇÕES!N546&lt;TODAY()),NEGOCIAÇÕES!E546,"")</f>
        <v/>
      </c>
      <c r="D546" s="6" t="str">
        <f ca="1">IF(AND(NEGOCIAÇÕES!P546="",NEGOCIAÇÕES!N546&lt;TODAY()),NEGOCIAÇÕES!D546,"")</f>
        <v/>
      </c>
      <c r="E546" s="9" t="str">
        <f ca="1">IF(AND(NEGOCIAÇÕES!P546="",NEGOCIAÇÕES!N546&lt;TODAY()),NEGOCIAÇÕES!N546,"")</f>
        <v/>
      </c>
      <c r="F546" s="6"/>
    </row>
    <row r="547" spans="2:6" ht="31.95" hidden="1" customHeight="1" x14ac:dyDescent="0.3">
      <c r="B547" s="6" t="str">
        <f ca="1">IF(AND(NEGOCIAÇÕES!P547="",NEGOCIAÇÕES!N547&lt;TODAY()),NEGOCIAÇÕES!C547,"")</f>
        <v/>
      </c>
      <c r="C547" s="6" t="str">
        <f ca="1">IF(AND(NEGOCIAÇÕES!P547="",NEGOCIAÇÕES!N547&lt;TODAY()),NEGOCIAÇÕES!E547,"")</f>
        <v/>
      </c>
      <c r="D547" s="6" t="str">
        <f ca="1">IF(AND(NEGOCIAÇÕES!P547="",NEGOCIAÇÕES!N547&lt;TODAY()),NEGOCIAÇÕES!D547,"")</f>
        <v/>
      </c>
      <c r="E547" s="9" t="str">
        <f ca="1">IF(AND(NEGOCIAÇÕES!P547="",NEGOCIAÇÕES!N547&lt;TODAY()),NEGOCIAÇÕES!N547,"")</f>
        <v/>
      </c>
      <c r="F547" s="6"/>
    </row>
    <row r="548" spans="2:6" ht="31.95" hidden="1" customHeight="1" x14ac:dyDescent="0.3">
      <c r="B548" s="6" t="str">
        <f ca="1">IF(AND(NEGOCIAÇÕES!P548="",NEGOCIAÇÕES!N548&lt;TODAY()),NEGOCIAÇÕES!C548,"")</f>
        <v/>
      </c>
      <c r="C548" s="6" t="str">
        <f ca="1">IF(AND(NEGOCIAÇÕES!P548="",NEGOCIAÇÕES!N548&lt;TODAY()),NEGOCIAÇÕES!E548,"")</f>
        <v/>
      </c>
      <c r="D548" s="6" t="str">
        <f ca="1">IF(AND(NEGOCIAÇÕES!P548="",NEGOCIAÇÕES!N548&lt;TODAY()),NEGOCIAÇÕES!D548,"")</f>
        <v/>
      </c>
      <c r="E548" s="9" t="str">
        <f ca="1">IF(AND(NEGOCIAÇÕES!P548="",NEGOCIAÇÕES!N548&lt;TODAY()),NEGOCIAÇÕES!N548,"")</f>
        <v/>
      </c>
      <c r="F548" s="6"/>
    </row>
    <row r="549" spans="2:6" ht="31.95" hidden="1" customHeight="1" x14ac:dyDescent="0.3">
      <c r="B549" s="6" t="str">
        <f ca="1">IF(AND(NEGOCIAÇÕES!P549="",NEGOCIAÇÕES!N549&lt;TODAY()),NEGOCIAÇÕES!C549,"")</f>
        <v/>
      </c>
      <c r="C549" s="6" t="str">
        <f ca="1">IF(AND(NEGOCIAÇÕES!P549="",NEGOCIAÇÕES!N549&lt;TODAY()),NEGOCIAÇÕES!E549,"")</f>
        <v/>
      </c>
      <c r="D549" s="6" t="str">
        <f ca="1">IF(AND(NEGOCIAÇÕES!P549="",NEGOCIAÇÕES!N549&lt;TODAY()),NEGOCIAÇÕES!D549,"")</f>
        <v/>
      </c>
      <c r="E549" s="9" t="str">
        <f ca="1">IF(AND(NEGOCIAÇÕES!P549="",NEGOCIAÇÕES!N549&lt;TODAY()),NEGOCIAÇÕES!N549,"")</f>
        <v/>
      </c>
      <c r="F549" s="6"/>
    </row>
    <row r="550" spans="2:6" ht="31.95" hidden="1" customHeight="1" x14ac:dyDescent="0.3">
      <c r="B550" s="6" t="str">
        <f ca="1">IF(AND(NEGOCIAÇÕES!P550="",NEGOCIAÇÕES!N550&lt;TODAY()),NEGOCIAÇÕES!C550,"")</f>
        <v/>
      </c>
      <c r="C550" s="6" t="str">
        <f ca="1">IF(AND(NEGOCIAÇÕES!P550="",NEGOCIAÇÕES!N550&lt;TODAY()),NEGOCIAÇÕES!E550,"")</f>
        <v/>
      </c>
      <c r="D550" s="6" t="str">
        <f ca="1">IF(AND(NEGOCIAÇÕES!P550="",NEGOCIAÇÕES!N550&lt;TODAY()),NEGOCIAÇÕES!D550,"")</f>
        <v/>
      </c>
      <c r="E550" s="9" t="str">
        <f ca="1">IF(AND(NEGOCIAÇÕES!P550="",NEGOCIAÇÕES!N550&lt;TODAY()),NEGOCIAÇÕES!N550,"")</f>
        <v/>
      </c>
      <c r="F550" s="6"/>
    </row>
    <row r="551" spans="2:6" ht="31.95" hidden="1" customHeight="1" x14ac:dyDescent="0.3">
      <c r="B551" s="6" t="str">
        <f ca="1">IF(AND(NEGOCIAÇÕES!P551="",NEGOCIAÇÕES!N551&lt;TODAY()),NEGOCIAÇÕES!C551,"")</f>
        <v/>
      </c>
      <c r="C551" s="6" t="str">
        <f ca="1">IF(AND(NEGOCIAÇÕES!P551="",NEGOCIAÇÕES!N551&lt;TODAY()),NEGOCIAÇÕES!E551,"")</f>
        <v/>
      </c>
      <c r="D551" s="6" t="str">
        <f ca="1">IF(AND(NEGOCIAÇÕES!P551="",NEGOCIAÇÕES!N551&lt;TODAY()),NEGOCIAÇÕES!D551,"")</f>
        <v/>
      </c>
      <c r="E551" s="9" t="str">
        <f ca="1">IF(AND(NEGOCIAÇÕES!P551="",NEGOCIAÇÕES!N551&lt;TODAY()),NEGOCIAÇÕES!N551,"")</f>
        <v/>
      </c>
      <c r="F551" s="6"/>
    </row>
    <row r="552" spans="2:6" ht="31.95" hidden="1" customHeight="1" x14ac:dyDescent="0.3">
      <c r="B552" s="6" t="str">
        <f ca="1">IF(AND(NEGOCIAÇÕES!P552="",NEGOCIAÇÕES!N552&lt;TODAY()),NEGOCIAÇÕES!C552,"")</f>
        <v/>
      </c>
      <c r="C552" s="6" t="str">
        <f ca="1">IF(AND(NEGOCIAÇÕES!P552="",NEGOCIAÇÕES!N552&lt;TODAY()),NEGOCIAÇÕES!E552,"")</f>
        <v/>
      </c>
      <c r="D552" s="6" t="str">
        <f ca="1">IF(AND(NEGOCIAÇÕES!P552="",NEGOCIAÇÕES!N552&lt;TODAY()),NEGOCIAÇÕES!D552,"")</f>
        <v/>
      </c>
      <c r="E552" s="9" t="str">
        <f ca="1">IF(AND(NEGOCIAÇÕES!P552="",NEGOCIAÇÕES!N552&lt;TODAY()),NEGOCIAÇÕES!N552,"")</f>
        <v/>
      </c>
      <c r="F552" s="6"/>
    </row>
    <row r="553" spans="2:6" ht="31.95" hidden="1" customHeight="1" x14ac:dyDescent="0.3">
      <c r="B553" s="6" t="str">
        <f ca="1">IF(AND(NEGOCIAÇÕES!P553="",NEGOCIAÇÕES!N553&lt;TODAY()),NEGOCIAÇÕES!C553,"")</f>
        <v/>
      </c>
      <c r="C553" s="6" t="str">
        <f ca="1">IF(AND(NEGOCIAÇÕES!P553="",NEGOCIAÇÕES!N553&lt;TODAY()),NEGOCIAÇÕES!E553,"")</f>
        <v/>
      </c>
      <c r="D553" s="6" t="str">
        <f ca="1">IF(AND(NEGOCIAÇÕES!P553="",NEGOCIAÇÕES!N553&lt;TODAY()),NEGOCIAÇÕES!D553,"")</f>
        <v/>
      </c>
      <c r="E553" s="9" t="str">
        <f ca="1">IF(AND(NEGOCIAÇÕES!P553="",NEGOCIAÇÕES!N553&lt;TODAY()),NEGOCIAÇÕES!N553,"")</f>
        <v/>
      </c>
      <c r="F553" s="6"/>
    </row>
    <row r="554" spans="2:6" ht="31.95" hidden="1" customHeight="1" x14ac:dyDescent="0.3">
      <c r="B554" s="6" t="str">
        <f ca="1">IF(AND(NEGOCIAÇÕES!P554="",NEGOCIAÇÕES!N554&lt;TODAY()),NEGOCIAÇÕES!C554,"")</f>
        <v/>
      </c>
      <c r="C554" s="6" t="str">
        <f ca="1">IF(AND(NEGOCIAÇÕES!P554="",NEGOCIAÇÕES!N554&lt;TODAY()),NEGOCIAÇÕES!E554,"")</f>
        <v/>
      </c>
      <c r="D554" s="6" t="str">
        <f ca="1">IF(AND(NEGOCIAÇÕES!P554="",NEGOCIAÇÕES!N554&lt;TODAY()),NEGOCIAÇÕES!D554,"")</f>
        <v/>
      </c>
      <c r="E554" s="9" t="str">
        <f ca="1">IF(AND(NEGOCIAÇÕES!P554="",NEGOCIAÇÕES!N554&lt;TODAY()),NEGOCIAÇÕES!N554,"")</f>
        <v/>
      </c>
      <c r="F554" s="6"/>
    </row>
    <row r="555" spans="2:6" ht="31.95" hidden="1" customHeight="1" x14ac:dyDescent="0.3">
      <c r="B555" s="6" t="str">
        <f ca="1">IF(AND(NEGOCIAÇÕES!P555="",NEGOCIAÇÕES!N555&lt;TODAY()),NEGOCIAÇÕES!C555,"")</f>
        <v/>
      </c>
      <c r="C555" s="6" t="str">
        <f ca="1">IF(AND(NEGOCIAÇÕES!P555="",NEGOCIAÇÕES!N555&lt;TODAY()),NEGOCIAÇÕES!E555,"")</f>
        <v/>
      </c>
      <c r="D555" s="6" t="str">
        <f ca="1">IF(AND(NEGOCIAÇÕES!P555="",NEGOCIAÇÕES!N555&lt;TODAY()),NEGOCIAÇÕES!D555,"")</f>
        <v/>
      </c>
      <c r="E555" s="9" t="str">
        <f ca="1">IF(AND(NEGOCIAÇÕES!P555="",NEGOCIAÇÕES!N555&lt;TODAY()),NEGOCIAÇÕES!N555,"")</f>
        <v/>
      </c>
      <c r="F555" s="6"/>
    </row>
    <row r="556" spans="2:6" ht="31.95" hidden="1" customHeight="1" x14ac:dyDescent="0.3">
      <c r="B556" s="6" t="str">
        <f ca="1">IF(AND(NEGOCIAÇÕES!P556="",NEGOCIAÇÕES!N556&lt;TODAY()),NEGOCIAÇÕES!C556,"")</f>
        <v/>
      </c>
      <c r="C556" s="6" t="str">
        <f ca="1">IF(AND(NEGOCIAÇÕES!P556="",NEGOCIAÇÕES!N556&lt;TODAY()),NEGOCIAÇÕES!E556,"")</f>
        <v/>
      </c>
      <c r="D556" s="6" t="str">
        <f ca="1">IF(AND(NEGOCIAÇÕES!P556="",NEGOCIAÇÕES!N556&lt;TODAY()),NEGOCIAÇÕES!D556,"")</f>
        <v/>
      </c>
      <c r="E556" s="9" t="str">
        <f ca="1">IF(AND(NEGOCIAÇÕES!P556="",NEGOCIAÇÕES!N556&lt;TODAY()),NEGOCIAÇÕES!N556,"")</f>
        <v/>
      </c>
      <c r="F556" s="6"/>
    </row>
    <row r="557" spans="2:6" ht="31.95" hidden="1" customHeight="1" x14ac:dyDescent="0.3">
      <c r="B557" s="6" t="str">
        <f ca="1">IF(AND(NEGOCIAÇÕES!P557="",NEGOCIAÇÕES!N557&lt;TODAY()),NEGOCIAÇÕES!C557,"")</f>
        <v/>
      </c>
      <c r="C557" s="6" t="str">
        <f ca="1">IF(AND(NEGOCIAÇÕES!P557="",NEGOCIAÇÕES!N557&lt;TODAY()),NEGOCIAÇÕES!E557,"")</f>
        <v/>
      </c>
      <c r="D557" s="6" t="str">
        <f ca="1">IF(AND(NEGOCIAÇÕES!P557="",NEGOCIAÇÕES!N557&lt;TODAY()),NEGOCIAÇÕES!D557,"")</f>
        <v/>
      </c>
      <c r="E557" s="9" t="str">
        <f ca="1">IF(AND(NEGOCIAÇÕES!P557="",NEGOCIAÇÕES!N557&lt;TODAY()),NEGOCIAÇÕES!N557,"")</f>
        <v/>
      </c>
      <c r="F557" s="6"/>
    </row>
    <row r="558" spans="2:6" ht="31.95" hidden="1" customHeight="1" x14ac:dyDescent="0.3">
      <c r="B558" s="6" t="str">
        <f ca="1">IF(AND(NEGOCIAÇÕES!P558="",NEGOCIAÇÕES!N558&lt;TODAY()),NEGOCIAÇÕES!C558,"")</f>
        <v/>
      </c>
      <c r="C558" s="6" t="str">
        <f ca="1">IF(AND(NEGOCIAÇÕES!P558="",NEGOCIAÇÕES!N558&lt;TODAY()),NEGOCIAÇÕES!E558,"")</f>
        <v/>
      </c>
      <c r="D558" s="6" t="str">
        <f ca="1">IF(AND(NEGOCIAÇÕES!P558="",NEGOCIAÇÕES!N558&lt;TODAY()),NEGOCIAÇÕES!D558,"")</f>
        <v/>
      </c>
      <c r="E558" s="9" t="str">
        <f ca="1">IF(AND(NEGOCIAÇÕES!P558="",NEGOCIAÇÕES!N558&lt;TODAY()),NEGOCIAÇÕES!N558,"")</f>
        <v/>
      </c>
      <c r="F558" s="6"/>
    </row>
    <row r="559" spans="2:6" ht="31.95" hidden="1" customHeight="1" x14ac:dyDescent="0.3">
      <c r="B559" s="6" t="str">
        <f ca="1">IF(AND(NEGOCIAÇÕES!P559="",NEGOCIAÇÕES!N559&lt;TODAY()),NEGOCIAÇÕES!C559,"")</f>
        <v/>
      </c>
      <c r="C559" s="6" t="str">
        <f ca="1">IF(AND(NEGOCIAÇÕES!P559="",NEGOCIAÇÕES!N559&lt;TODAY()),NEGOCIAÇÕES!E559,"")</f>
        <v/>
      </c>
      <c r="D559" s="6" t="str">
        <f ca="1">IF(AND(NEGOCIAÇÕES!P559="",NEGOCIAÇÕES!N559&lt;TODAY()),NEGOCIAÇÕES!D559,"")</f>
        <v/>
      </c>
      <c r="E559" s="9" t="str">
        <f ca="1">IF(AND(NEGOCIAÇÕES!P559="",NEGOCIAÇÕES!N559&lt;TODAY()),NEGOCIAÇÕES!N559,"")</f>
        <v/>
      </c>
      <c r="F559" s="6"/>
    </row>
    <row r="560" spans="2:6" ht="31.95" hidden="1" customHeight="1" x14ac:dyDescent="0.3">
      <c r="B560" s="6" t="str">
        <f ca="1">IF(AND(NEGOCIAÇÕES!P560="",NEGOCIAÇÕES!N560&lt;TODAY()),NEGOCIAÇÕES!C560,"")</f>
        <v/>
      </c>
      <c r="C560" s="6" t="str">
        <f ca="1">IF(AND(NEGOCIAÇÕES!P560="",NEGOCIAÇÕES!N560&lt;TODAY()),NEGOCIAÇÕES!E560,"")</f>
        <v/>
      </c>
      <c r="D560" s="6" t="str">
        <f ca="1">IF(AND(NEGOCIAÇÕES!P560="",NEGOCIAÇÕES!N560&lt;TODAY()),NEGOCIAÇÕES!D560,"")</f>
        <v/>
      </c>
      <c r="E560" s="9" t="str">
        <f ca="1">IF(AND(NEGOCIAÇÕES!P560="",NEGOCIAÇÕES!N560&lt;TODAY()),NEGOCIAÇÕES!N560,"")</f>
        <v/>
      </c>
      <c r="F560" s="6"/>
    </row>
    <row r="561" spans="2:6" ht="31.95" hidden="1" customHeight="1" x14ac:dyDescent="0.3">
      <c r="B561" s="6" t="str">
        <f ca="1">IF(AND(NEGOCIAÇÕES!P561="",NEGOCIAÇÕES!N561&lt;TODAY()),NEGOCIAÇÕES!C561,"")</f>
        <v/>
      </c>
      <c r="C561" s="6" t="str">
        <f ca="1">IF(AND(NEGOCIAÇÕES!P561="",NEGOCIAÇÕES!N561&lt;TODAY()),NEGOCIAÇÕES!E561,"")</f>
        <v/>
      </c>
      <c r="D561" s="6" t="str">
        <f ca="1">IF(AND(NEGOCIAÇÕES!P561="",NEGOCIAÇÕES!N561&lt;TODAY()),NEGOCIAÇÕES!D561,"")</f>
        <v/>
      </c>
      <c r="E561" s="9" t="str">
        <f ca="1">IF(AND(NEGOCIAÇÕES!P561="",NEGOCIAÇÕES!N561&lt;TODAY()),NEGOCIAÇÕES!N561,"")</f>
        <v/>
      </c>
      <c r="F561" s="6"/>
    </row>
    <row r="562" spans="2:6" ht="31.95" hidden="1" customHeight="1" x14ac:dyDescent="0.3">
      <c r="B562" s="6" t="str">
        <f ca="1">IF(AND(NEGOCIAÇÕES!P562="",NEGOCIAÇÕES!N562&lt;TODAY()),NEGOCIAÇÕES!C562,"")</f>
        <v/>
      </c>
      <c r="C562" s="6" t="str">
        <f ca="1">IF(AND(NEGOCIAÇÕES!P562="",NEGOCIAÇÕES!N562&lt;TODAY()),NEGOCIAÇÕES!E562,"")</f>
        <v/>
      </c>
      <c r="D562" s="6" t="str">
        <f ca="1">IF(AND(NEGOCIAÇÕES!P562="",NEGOCIAÇÕES!N562&lt;TODAY()),NEGOCIAÇÕES!D562,"")</f>
        <v/>
      </c>
      <c r="E562" s="9" t="str">
        <f ca="1">IF(AND(NEGOCIAÇÕES!P562="",NEGOCIAÇÕES!N562&lt;TODAY()),NEGOCIAÇÕES!N562,"")</f>
        <v/>
      </c>
      <c r="F562" s="6"/>
    </row>
    <row r="563" spans="2:6" ht="31.95" hidden="1" customHeight="1" x14ac:dyDescent="0.3">
      <c r="B563" s="6" t="str">
        <f ca="1">IF(AND(NEGOCIAÇÕES!P563="",NEGOCIAÇÕES!N563&lt;TODAY()),NEGOCIAÇÕES!C563,"")</f>
        <v/>
      </c>
      <c r="C563" s="6" t="str">
        <f ca="1">IF(AND(NEGOCIAÇÕES!P563="",NEGOCIAÇÕES!N563&lt;TODAY()),NEGOCIAÇÕES!E563,"")</f>
        <v/>
      </c>
      <c r="D563" s="6" t="str">
        <f ca="1">IF(AND(NEGOCIAÇÕES!P563="",NEGOCIAÇÕES!N563&lt;TODAY()),NEGOCIAÇÕES!D563,"")</f>
        <v/>
      </c>
      <c r="E563" s="9" t="str">
        <f ca="1">IF(AND(NEGOCIAÇÕES!P563="",NEGOCIAÇÕES!N563&lt;TODAY()),NEGOCIAÇÕES!N563,"")</f>
        <v/>
      </c>
      <c r="F563" s="6"/>
    </row>
    <row r="564" spans="2:6" ht="31.95" hidden="1" customHeight="1" x14ac:dyDescent="0.3">
      <c r="B564" s="6" t="str">
        <f ca="1">IF(AND(NEGOCIAÇÕES!P564="",NEGOCIAÇÕES!N564&lt;TODAY()),NEGOCIAÇÕES!C564,"")</f>
        <v/>
      </c>
      <c r="C564" s="6" t="str">
        <f ca="1">IF(AND(NEGOCIAÇÕES!P564="",NEGOCIAÇÕES!N564&lt;TODAY()),NEGOCIAÇÕES!E564,"")</f>
        <v/>
      </c>
      <c r="D564" s="6" t="str">
        <f ca="1">IF(AND(NEGOCIAÇÕES!P564="",NEGOCIAÇÕES!N564&lt;TODAY()),NEGOCIAÇÕES!D564,"")</f>
        <v/>
      </c>
      <c r="E564" s="9" t="str">
        <f ca="1">IF(AND(NEGOCIAÇÕES!P564="",NEGOCIAÇÕES!N564&lt;TODAY()),NEGOCIAÇÕES!N564,"")</f>
        <v/>
      </c>
      <c r="F564" s="6"/>
    </row>
    <row r="565" spans="2:6" ht="31.95" hidden="1" customHeight="1" x14ac:dyDescent="0.3">
      <c r="B565" s="6" t="str">
        <f ca="1">IF(AND(NEGOCIAÇÕES!P565="",NEGOCIAÇÕES!N565&lt;TODAY()),NEGOCIAÇÕES!C565,"")</f>
        <v/>
      </c>
      <c r="C565" s="6" t="str">
        <f ca="1">IF(AND(NEGOCIAÇÕES!P565="",NEGOCIAÇÕES!N565&lt;TODAY()),NEGOCIAÇÕES!E565,"")</f>
        <v/>
      </c>
      <c r="D565" s="6" t="str">
        <f ca="1">IF(AND(NEGOCIAÇÕES!P565="",NEGOCIAÇÕES!N565&lt;TODAY()),NEGOCIAÇÕES!D565,"")</f>
        <v/>
      </c>
      <c r="E565" s="9" t="str">
        <f ca="1">IF(AND(NEGOCIAÇÕES!P565="",NEGOCIAÇÕES!N565&lt;TODAY()),NEGOCIAÇÕES!N565,"")</f>
        <v/>
      </c>
      <c r="F565" s="6"/>
    </row>
    <row r="566" spans="2:6" ht="31.95" hidden="1" customHeight="1" x14ac:dyDescent="0.3">
      <c r="B566" s="6" t="str">
        <f ca="1">IF(AND(NEGOCIAÇÕES!P566="",NEGOCIAÇÕES!N566&lt;TODAY()),NEGOCIAÇÕES!C566,"")</f>
        <v/>
      </c>
      <c r="C566" s="6" t="str">
        <f ca="1">IF(AND(NEGOCIAÇÕES!P566="",NEGOCIAÇÕES!N566&lt;TODAY()),NEGOCIAÇÕES!E566,"")</f>
        <v/>
      </c>
      <c r="D566" s="6" t="str">
        <f ca="1">IF(AND(NEGOCIAÇÕES!P566="",NEGOCIAÇÕES!N566&lt;TODAY()),NEGOCIAÇÕES!D566,"")</f>
        <v/>
      </c>
      <c r="E566" s="9" t="str">
        <f ca="1">IF(AND(NEGOCIAÇÕES!P566="",NEGOCIAÇÕES!N566&lt;TODAY()),NEGOCIAÇÕES!N566,"")</f>
        <v/>
      </c>
      <c r="F566" s="6"/>
    </row>
    <row r="567" spans="2:6" ht="31.95" hidden="1" customHeight="1" x14ac:dyDescent="0.3">
      <c r="B567" s="6" t="str">
        <f ca="1">IF(AND(NEGOCIAÇÕES!P567="",NEGOCIAÇÕES!N567&lt;TODAY()),NEGOCIAÇÕES!C567,"")</f>
        <v/>
      </c>
      <c r="C567" s="6" t="str">
        <f ca="1">IF(AND(NEGOCIAÇÕES!P567="",NEGOCIAÇÕES!N567&lt;TODAY()),NEGOCIAÇÕES!E567,"")</f>
        <v/>
      </c>
      <c r="D567" s="6" t="str">
        <f ca="1">IF(AND(NEGOCIAÇÕES!P567="",NEGOCIAÇÕES!N567&lt;TODAY()),NEGOCIAÇÕES!D567,"")</f>
        <v/>
      </c>
      <c r="E567" s="9" t="str">
        <f ca="1">IF(AND(NEGOCIAÇÕES!P567="",NEGOCIAÇÕES!N567&lt;TODAY()),NEGOCIAÇÕES!N567,"")</f>
        <v/>
      </c>
      <c r="F567" s="6"/>
    </row>
    <row r="568" spans="2:6" ht="31.95" hidden="1" customHeight="1" x14ac:dyDescent="0.3">
      <c r="B568" s="6" t="str">
        <f ca="1">IF(AND(NEGOCIAÇÕES!P568="",NEGOCIAÇÕES!N568&lt;TODAY()),NEGOCIAÇÕES!C568,"")</f>
        <v/>
      </c>
      <c r="C568" s="6" t="str">
        <f ca="1">IF(AND(NEGOCIAÇÕES!P568="",NEGOCIAÇÕES!N568&lt;TODAY()),NEGOCIAÇÕES!E568,"")</f>
        <v/>
      </c>
      <c r="D568" s="6" t="str">
        <f ca="1">IF(AND(NEGOCIAÇÕES!P568="",NEGOCIAÇÕES!N568&lt;TODAY()),NEGOCIAÇÕES!D568,"")</f>
        <v/>
      </c>
      <c r="E568" s="9" t="str">
        <f ca="1">IF(AND(NEGOCIAÇÕES!P568="",NEGOCIAÇÕES!N568&lt;TODAY()),NEGOCIAÇÕES!N568,"")</f>
        <v/>
      </c>
      <c r="F568" s="6"/>
    </row>
    <row r="569" spans="2:6" ht="31.95" hidden="1" customHeight="1" x14ac:dyDescent="0.3">
      <c r="B569" s="6" t="str">
        <f ca="1">IF(AND(NEGOCIAÇÕES!P569="",NEGOCIAÇÕES!N569&lt;TODAY()),NEGOCIAÇÕES!C569,"")</f>
        <v/>
      </c>
      <c r="C569" s="6" t="str">
        <f ca="1">IF(AND(NEGOCIAÇÕES!P569="",NEGOCIAÇÕES!N569&lt;TODAY()),NEGOCIAÇÕES!E569,"")</f>
        <v/>
      </c>
      <c r="D569" s="6" t="str">
        <f ca="1">IF(AND(NEGOCIAÇÕES!P569="",NEGOCIAÇÕES!N569&lt;TODAY()),NEGOCIAÇÕES!D569,"")</f>
        <v/>
      </c>
      <c r="E569" s="9" t="str">
        <f ca="1">IF(AND(NEGOCIAÇÕES!P569="",NEGOCIAÇÕES!N569&lt;TODAY()),NEGOCIAÇÕES!N569,"")</f>
        <v/>
      </c>
      <c r="F569" s="6"/>
    </row>
    <row r="570" spans="2:6" ht="31.95" hidden="1" customHeight="1" x14ac:dyDescent="0.3">
      <c r="B570" s="6" t="str">
        <f ca="1">IF(AND(NEGOCIAÇÕES!P570="",NEGOCIAÇÕES!N570&lt;TODAY()),NEGOCIAÇÕES!C570,"")</f>
        <v/>
      </c>
      <c r="C570" s="6" t="str">
        <f ca="1">IF(AND(NEGOCIAÇÕES!P570="",NEGOCIAÇÕES!N570&lt;TODAY()),NEGOCIAÇÕES!E570,"")</f>
        <v/>
      </c>
      <c r="D570" s="6" t="str">
        <f ca="1">IF(AND(NEGOCIAÇÕES!P570="",NEGOCIAÇÕES!N570&lt;TODAY()),NEGOCIAÇÕES!D570,"")</f>
        <v/>
      </c>
      <c r="E570" s="9" t="str">
        <f ca="1">IF(AND(NEGOCIAÇÕES!P570="",NEGOCIAÇÕES!N570&lt;TODAY()),NEGOCIAÇÕES!N570,"")</f>
        <v/>
      </c>
      <c r="F570" s="6"/>
    </row>
    <row r="571" spans="2:6" ht="31.95" hidden="1" customHeight="1" x14ac:dyDescent="0.3">
      <c r="B571" s="6" t="str">
        <f ca="1">IF(AND(NEGOCIAÇÕES!P571="",NEGOCIAÇÕES!N571&lt;TODAY()),NEGOCIAÇÕES!C571,"")</f>
        <v/>
      </c>
      <c r="C571" s="6" t="str">
        <f ca="1">IF(AND(NEGOCIAÇÕES!P571="",NEGOCIAÇÕES!N571&lt;TODAY()),NEGOCIAÇÕES!E571,"")</f>
        <v/>
      </c>
      <c r="D571" s="6" t="str">
        <f ca="1">IF(AND(NEGOCIAÇÕES!P571="",NEGOCIAÇÕES!N571&lt;TODAY()),NEGOCIAÇÕES!D571,"")</f>
        <v/>
      </c>
      <c r="E571" s="9" t="str">
        <f ca="1">IF(AND(NEGOCIAÇÕES!P571="",NEGOCIAÇÕES!N571&lt;TODAY()),NEGOCIAÇÕES!N571,"")</f>
        <v/>
      </c>
      <c r="F571" s="6"/>
    </row>
    <row r="572" spans="2:6" ht="31.95" hidden="1" customHeight="1" x14ac:dyDescent="0.3">
      <c r="B572" s="6" t="str">
        <f ca="1">IF(AND(NEGOCIAÇÕES!P572="",NEGOCIAÇÕES!N572&lt;TODAY()),NEGOCIAÇÕES!C572,"")</f>
        <v/>
      </c>
      <c r="C572" s="6" t="str">
        <f ca="1">IF(AND(NEGOCIAÇÕES!P572="",NEGOCIAÇÕES!N572&lt;TODAY()),NEGOCIAÇÕES!E572,"")</f>
        <v/>
      </c>
      <c r="D572" s="6" t="str">
        <f ca="1">IF(AND(NEGOCIAÇÕES!P572="",NEGOCIAÇÕES!N572&lt;TODAY()),NEGOCIAÇÕES!D572,"")</f>
        <v/>
      </c>
      <c r="E572" s="9" t="str">
        <f ca="1">IF(AND(NEGOCIAÇÕES!P572="",NEGOCIAÇÕES!N572&lt;TODAY()),NEGOCIAÇÕES!N572,"")</f>
        <v/>
      </c>
      <c r="F572" s="6"/>
    </row>
    <row r="573" spans="2:6" ht="31.95" hidden="1" customHeight="1" x14ac:dyDescent="0.3">
      <c r="B573" s="6" t="str">
        <f ca="1">IF(AND(NEGOCIAÇÕES!P573="",NEGOCIAÇÕES!N573&lt;TODAY()),NEGOCIAÇÕES!C573,"")</f>
        <v/>
      </c>
      <c r="C573" s="6" t="str">
        <f ca="1">IF(AND(NEGOCIAÇÕES!P573="",NEGOCIAÇÕES!N573&lt;TODAY()),NEGOCIAÇÕES!E573,"")</f>
        <v/>
      </c>
      <c r="D573" s="6" t="str">
        <f ca="1">IF(AND(NEGOCIAÇÕES!P573="",NEGOCIAÇÕES!N573&lt;TODAY()),NEGOCIAÇÕES!D573,"")</f>
        <v/>
      </c>
      <c r="E573" s="9" t="str">
        <f ca="1">IF(AND(NEGOCIAÇÕES!P573="",NEGOCIAÇÕES!N573&lt;TODAY()),NEGOCIAÇÕES!N573,"")</f>
        <v/>
      </c>
      <c r="F573" s="6"/>
    </row>
    <row r="574" spans="2:6" ht="31.95" hidden="1" customHeight="1" x14ac:dyDescent="0.3">
      <c r="B574" s="6" t="str">
        <f ca="1">IF(AND(NEGOCIAÇÕES!P574="",NEGOCIAÇÕES!N574&lt;TODAY()),NEGOCIAÇÕES!C574,"")</f>
        <v/>
      </c>
      <c r="C574" s="6" t="str">
        <f ca="1">IF(AND(NEGOCIAÇÕES!P574="",NEGOCIAÇÕES!N574&lt;TODAY()),NEGOCIAÇÕES!E574,"")</f>
        <v/>
      </c>
      <c r="D574" s="6" t="str">
        <f ca="1">IF(AND(NEGOCIAÇÕES!P574="",NEGOCIAÇÕES!N574&lt;TODAY()),NEGOCIAÇÕES!D574,"")</f>
        <v/>
      </c>
      <c r="E574" s="9" t="str">
        <f ca="1">IF(AND(NEGOCIAÇÕES!P574="",NEGOCIAÇÕES!N574&lt;TODAY()),NEGOCIAÇÕES!N574,"")</f>
        <v/>
      </c>
      <c r="F574" s="6"/>
    </row>
    <row r="575" spans="2:6" ht="31.95" hidden="1" customHeight="1" x14ac:dyDescent="0.3">
      <c r="B575" s="6" t="str">
        <f ca="1">IF(AND(NEGOCIAÇÕES!P575="",NEGOCIAÇÕES!N575&lt;TODAY()),NEGOCIAÇÕES!C575,"")</f>
        <v/>
      </c>
      <c r="C575" s="6" t="str">
        <f ca="1">IF(AND(NEGOCIAÇÕES!P575="",NEGOCIAÇÕES!N575&lt;TODAY()),NEGOCIAÇÕES!E575,"")</f>
        <v/>
      </c>
      <c r="D575" s="6" t="str">
        <f ca="1">IF(AND(NEGOCIAÇÕES!P575="",NEGOCIAÇÕES!N575&lt;TODAY()),NEGOCIAÇÕES!D575,"")</f>
        <v/>
      </c>
      <c r="E575" s="9" t="str">
        <f ca="1">IF(AND(NEGOCIAÇÕES!P575="",NEGOCIAÇÕES!N575&lt;TODAY()),NEGOCIAÇÕES!N575,"")</f>
        <v/>
      </c>
      <c r="F575" s="6"/>
    </row>
    <row r="576" spans="2:6" ht="31.95" hidden="1" customHeight="1" x14ac:dyDescent="0.3">
      <c r="B576" s="6" t="str">
        <f ca="1">IF(AND(NEGOCIAÇÕES!P576="",NEGOCIAÇÕES!N576&lt;TODAY()),NEGOCIAÇÕES!C576,"")</f>
        <v/>
      </c>
      <c r="C576" s="6" t="str">
        <f ca="1">IF(AND(NEGOCIAÇÕES!P576="",NEGOCIAÇÕES!N576&lt;TODAY()),NEGOCIAÇÕES!E576,"")</f>
        <v/>
      </c>
      <c r="D576" s="6" t="str">
        <f ca="1">IF(AND(NEGOCIAÇÕES!P576="",NEGOCIAÇÕES!N576&lt;TODAY()),NEGOCIAÇÕES!D576,"")</f>
        <v/>
      </c>
      <c r="E576" s="9" t="str">
        <f ca="1">IF(AND(NEGOCIAÇÕES!P576="",NEGOCIAÇÕES!N576&lt;TODAY()),NEGOCIAÇÕES!N576,"")</f>
        <v/>
      </c>
      <c r="F576" s="6"/>
    </row>
    <row r="577" spans="2:6" ht="31.95" hidden="1" customHeight="1" x14ac:dyDescent="0.3">
      <c r="B577" s="6" t="str">
        <f ca="1">IF(AND(NEGOCIAÇÕES!P577="",NEGOCIAÇÕES!N577&lt;TODAY()),NEGOCIAÇÕES!C577,"")</f>
        <v/>
      </c>
      <c r="C577" s="6" t="str">
        <f ca="1">IF(AND(NEGOCIAÇÕES!P577="",NEGOCIAÇÕES!N577&lt;TODAY()),NEGOCIAÇÕES!E577,"")</f>
        <v/>
      </c>
      <c r="D577" s="6" t="str">
        <f ca="1">IF(AND(NEGOCIAÇÕES!P577="",NEGOCIAÇÕES!N577&lt;TODAY()),NEGOCIAÇÕES!D577,"")</f>
        <v/>
      </c>
      <c r="E577" s="9" t="str">
        <f ca="1">IF(AND(NEGOCIAÇÕES!P577="",NEGOCIAÇÕES!N577&lt;TODAY()),NEGOCIAÇÕES!N577,"")</f>
        <v/>
      </c>
      <c r="F577" s="6"/>
    </row>
    <row r="578" spans="2:6" ht="31.95" hidden="1" customHeight="1" x14ac:dyDescent="0.3">
      <c r="B578" s="6" t="str">
        <f ca="1">IF(AND(NEGOCIAÇÕES!P578="",NEGOCIAÇÕES!N578&lt;TODAY()),NEGOCIAÇÕES!C578,"")</f>
        <v/>
      </c>
      <c r="C578" s="6" t="str">
        <f ca="1">IF(AND(NEGOCIAÇÕES!P578="",NEGOCIAÇÕES!N578&lt;TODAY()),NEGOCIAÇÕES!E578,"")</f>
        <v/>
      </c>
      <c r="D578" s="6" t="str">
        <f ca="1">IF(AND(NEGOCIAÇÕES!P578="",NEGOCIAÇÕES!N578&lt;TODAY()),NEGOCIAÇÕES!D578,"")</f>
        <v/>
      </c>
      <c r="E578" s="9" t="str">
        <f ca="1">IF(AND(NEGOCIAÇÕES!P578="",NEGOCIAÇÕES!N578&lt;TODAY()),NEGOCIAÇÕES!N578,"")</f>
        <v/>
      </c>
      <c r="F578" s="6"/>
    </row>
    <row r="579" spans="2:6" ht="31.95" hidden="1" customHeight="1" x14ac:dyDescent="0.3">
      <c r="B579" s="6" t="str">
        <f ca="1">IF(AND(NEGOCIAÇÕES!P579="",NEGOCIAÇÕES!N579&lt;TODAY()),NEGOCIAÇÕES!C579,"")</f>
        <v/>
      </c>
      <c r="C579" s="6" t="str">
        <f ca="1">IF(AND(NEGOCIAÇÕES!P579="",NEGOCIAÇÕES!N579&lt;TODAY()),NEGOCIAÇÕES!E579,"")</f>
        <v/>
      </c>
      <c r="D579" s="6" t="str">
        <f ca="1">IF(AND(NEGOCIAÇÕES!P579="",NEGOCIAÇÕES!N579&lt;TODAY()),NEGOCIAÇÕES!D579,"")</f>
        <v/>
      </c>
      <c r="E579" s="9" t="str">
        <f ca="1">IF(AND(NEGOCIAÇÕES!P579="",NEGOCIAÇÕES!N579&lt;TODAY()),NEGOCIAÇÕES!N579,"")</f>
        <v/>
      </c>
      <c r="F579" s="6"/>
    </row>
    <row r="580" spans="2:6" ht="31.95" hidden="1" customHeight="1" x14ac:dyDescent="0.3">
      <c r="B580" s="6" t="str">
        <f ca="1">IF(AND(NEGOCIAÇÕES!P580="",NEGOCIAÇÕES!N580&lt;TODAY()),NEGOCIAÇÕES!C580,"")</f>
        <v/>
      </c>
      <c r="C580" s="6" t="str">
        <f ca="1">IF(AND(NEGOCIAÇÕES!P580="",NEGOCIAÇÕES!N580&lt;TODAY()),NEGOCIAÇÕES!E580,"")</f>
        <v/>
      </c>
      <c r="D580" s="6" t="str">
        <f ca="1">IF(AND(NEGOCIAÇÕES!P580="",NEGOCIAÇÕES!N580&lt;TODAY()),NEGOCIAÇÕES!D580,"")</f>
        <v/>
      </c>
      <c r="E580" s="9" t="str">
        <f ca="1">IF(AND(NEGOCIAÇÕES!P580="",NEGOCIAÇÕES!N580&lt;TODAY()),NEGOCIAÇÕES!N580,"")</f>
        <v/>
      </c>
      <c r="F580" s="6"/>
    </row>
    <row r="581" spans="2:6" ht="31.95" hidden="1" customHeight="1" x14ac:dyDescent="0.3">
      <c r="B581" s="6" t="str">
        <f ca="1">IF(AND(NEGOCIAÇÕES!P581="",NEGOCIAÇÕES!N581&lt;TODAY()),NEGOCIAÇÕES!C581,"")</f>
        <v/>
      </c>
      <c r="C581" s="6" t="str">
        <f ca="1">IF(AND(NEGOCIAÇÕES!P581="",NEGOCIAÇÕES!N581&lt;TODAY()),NEGOCIAÇÕES!E581,"")</f>
        <v/>
      </c>
      <c r="D581" s="6" t="str">
        <f ca="1">IF(AND(NEGOCIAÇÕES!P581="",NEGOCIAÇÕES!N581&lt;TODAY()),NEGOCIAÇÕES!D581,"")</f>
        <v/>
      </c>
      <c r="E581" s="9" t="str">
        <f ca="1">IF(AND(NEGOCIAÇÕES!P581="",NEGOCIAÇÕES!N581&lt;TODAY()),NEGOCIAÇÕES!N581,"")</f>
        <v/>
      </c>
      <c r="F581" s="6"/>
    </row>
    <row r="582" spans="2:6" ht="31.95" hidden="1" customHeight="1" x14ac:dyDescent="0.3">
      <c r="B582" s="6" t="str">
        <f ca="1">IF(AND(NEGOCIAÇÕES!P582="",NEGOCIAÇÕES!N582&lt;TODAY()),NEGOCIAÇÕES!C582,"")</f>
        <v/>
      </c>
      <c r="C582" s="6" t="str">
        <f ca="1">IF(AND(NEGOCIAÇÕES!P582="",NEGOCIAÇÕES!N582&lt;TODAY()),NEGOCIAÇÕES!E582,"")</f>
        <v/>
      </c>
      <c r="D582" s="6" t="str">
        <f ca="1">IF(AND(NEGOCIAÇÕES!P582="",NEGOCIAÇÕES!N582&lt;TODAY()),NEGOCIAÇÕES!D582,"")</f>
        <v/>
      </c>
      <c r="E582" s="9" t="str">
        <f ca="1">IF(AND(NEGOCIAÇÕES!P582="",NEGOCIAÇÕES!N582&lt;TODAY()),NEGOCIAÇÕES!N582,"")</f>
        <v/>
      </c>
      <c r="F582" s="6"/>
    </row>
    <row r="583" spans="2:6" ht="31.95" hidden="1" customHeight="1" x14ac:dyDescent="0.3">
      <c r="B583" s="6" t="str">
        <f ca="1">IF(AND(NEGOCIAÇÕES!P583="",NEGOCIAÇÕES!N583&lt;TODAY()),NEGOCIAÇÕES!C583,"")</f>
        <v/>
      </c>
      <c r="C583" s="6" t="str">
        <f ca="1">IF(AND(NEGOCIAÇÕES!P583="",NEGOCIAÇÕES!N583&lt;TODAY()),NEGOCIAÇÕES!E583,"")</f>
        <v/>
      </c>
      <c r="D583" s="6" t="str">
        <f ca="1">IF(AND(NEGOCIAÇÕES!P583="",NEGOCIAÇÕES!N583&lt;TODAY()),NEGOCIAÇÕES!D583,"")</f>
        <v/>
      </c>
      <c r="E583" s="9" t="str">
        <f ca="1">IF(AND(NEGOCIAÇÕES!P583="",NEGOCIAÇÕES!N583&lt;TODAY()),NEGOCIAÇÕES!N583,"")</f>
        <v/>
      </c>
      <c r="F583" s="6"/>
    </row>
    <row r="584" spans="2:6" ht="31.95" hidden="1" customHeight="1" x14ac:dyDescent="0.3">
      <c r="B584" s="6" t="str">
        <f ca="1">IF(AND(NEGOCIAÇÕES!P584="",NEGOCIAÇÕES!N584&lt;TODAY()),NEGOCIAÇÕES!C584,"")</f>
        <v/>
      </c>
      <c r="C584" s="6" t="str">
        <f ca="1">IF(AND(NEGOCIAÇÕES!P584="",NEGOCIAÇÕES!N584&lt;TODAY()),NEGOCIAÇÕES!E584,"")</f>
        <v/>
      </c>
      <c r="D584" s="6" t="str">
        <f ca="1">IF(AND(NEGOCIAÇÕES!P584="",NEGOCIAÇÕES!N584&lt;TODAY()),NEGOCIAÇÕES!D584,"")</f>
        <v/>
      </c>
      <c r="E584" s="9" t="str">
        <f ca="1">IF(AND(NEGOCIAÇÕES!P584="",NEGOCIAÇÕES!N584&lt;TODAY()),NEGOCIAÇÕES!N584,"")</f>
        <v/>
      </c>
      <c r="F584" s="6"/>
    </row>
    <row r="585" spans="2:6" ht="31.95" hidden="1" customHeight="1" x14ac:dyDescent="0.3">
      <c r="B585" s="6" t="str">
        <f ca="1">IF(AND(NEGOCIAÇÕES!P585="",NEGOCIAÇÕES!N585&lt;TODAY()),NEGOCIAÇÕES!C585,"")</f>
        <v/>
      </c>
      <c r="C585" s="6" t="str">
        <f ca="1">IF(AND(NEGOCIAÇÕES!P585="",NEGOCIAÇÕES!N585&lt;TODAY()),NEGOCIAÇÕES!E585,"")</f>
        <v/>
      </c>
      <c r="D585" s="6" t="str">
        <f ca="1">IF(AND(NEGOCIAÇÕES!P585="",NEGOCIAÇÕES!N585&lt;TODAY()),NEGOCIAÇÕES!D585,"")</f>
        <v/>
      </c>
      <c r="E585" s="9" t="str">
        <f ca="1">IF(AND(NEGOCIAÇÕES!P585="",NEGOCIAÇÕES!N585&lt;TODAY()),NEGOCIAÇÕES!N585,"")</f>
        <v/>
      </c>
      <c r="F585" s="6"/>
    </row>
    <row r="586" spans="2:6" ht="31.95" hidden="1" customHeight="1" x14ac:dyDescent="0.3">
      <c r="B586" s="6" t="str">
        <f ca="1">IF(AND(NEGOCIAÇÕES!P586="",NEGOCIAÇÕES!N586&lt;TODAY()),NEGOCIAÇÕES!C586,"")</f>
        <v/>
      </c>
      <c r="C586" s="6" t="str">
        <f ca="1">IF(AND(NEGOCIAÇÕES!P586="",NEGOCIAÇÕES!N586&lt;TODAY()),NEGOCIAÇÕES!E586,"")</f>
        <v/>
      </c>
      <c r="D586" s="6" t="str">
        <f ca="1">IF(AND(NEGOCIAÇÕES!P586="",NEGOCIAÇÕES!N586&lt;TODAY()),NEGOCIAÇÕES!D586,"")</f>
        <v/>
      </c>
      <c r="E586" s="9" t="str">
        <f ca="1">IF(AND(NEGOCIAÇÕES!P586="",NEGOCIAÇÕES!N586&lt;TODAY()),NEGOCIAÇÕES!N586,"")</f>
        <v/>
      </c>
      <c r="F586" s="6"/>
    </row>
    <row r="587" spans="2:6" ht="31.95" hidden="1" customHeight="1" x14ac:dyDescent="0.3">
      <c r="B587" s="6" t="str">
        <f ca="1">IF(AND(NEGOCIAÇÕES!P587="",NEGOCIAÇÕES!N587&lt;TODAY()),NEGOCIAÇÕES!C587,"")</f>
        <v/>
      </c>
      <c r="C587" s="6" t="str">
        <f ca="1">IF(AND(NEGOCIAÇÕES!P587="",NEGOCIAÇÕES!N587&lt;TODAY()),NEGOCIAÇÕES!E587,"")</f>
        <v/>
      </c>
      <c r="D587" s="6" t="str">
        <f ca="1">IF(AND(NEGOCIAÇÕES!P587="",NEGOCIAÇÕES!N587&lt;TODAY()),NEGOCIAÇÕES!D587,"")</f>
        <v/>
      </c>
      <c r="E587" s="9" t="str">
        <f ca="1">IF(AND(NEGOCIAÇÕES!P587="",NEGOCIAÇÕES!N587&lt;TODAY()),NEGOCIAÇÕES!N587,"")</f>
        <v/>
      </c>
      <c r="F587" s="6"/>
    </row>
    <row r="588" spans="2:6" ht="31.95" hidden="1" customHeight="1" x14ac:dyDescent="0.3">
      <c r="B588" s="6" t="str">
        <f ca="1">IF(AND(NEGOCIAÇÕES!P588="",NEGOCIAÇÕES!N588&lt;TODAY()),NEGOCIAÇÕES!C588,"")</f>
        <v/>
      </c>
      <c r="C588" s="6" t="str">
        <f ca="1">IF(AND(NEGOCIAÇÕES!P588="",NEGOCIAÇÕES!N588&lt;TODAY()),NEGOCIAÇÕES!E588,"")</f>
        <v/>
      </c>
      <c r="D588" s="6" t="str">
        <f ca="1">IF(AND(NEGOCIAÇÕES!P588="",NEGOCIAÇÕES!N588&lt;TODAY()),NEGOCIAÇÕES!D588,"")</f>
        <v/>
      </c>
      <c r="E588" s="9" t="str">
        <f ca="1">IF(AND(NEGOCIAÇÕES!P588="",NEGOCIAÇÕES!N588&lt;TODAY()),NEGOCIAÇÕES!N588,"")</f>
        <v/>
      </c>
      <c r="F588" s="6"/>
    </row>
    <row r="589" spans="2:6" ht="31.95" hidden="1" customHeight="1" x14ac:dyDescent="0.3">
      <c r="B589" s="6" t="str">
        <f ca="1">IF(AND(NEGOCIAÇÕES!P589="",NEGOCIAÇÕES!N589&lt;TODAY()),NEGOCIAÇÕES!C589,"")</f>
        <v/>
      </c>
      <c r="C589" s="6" t="str">
        <f ca="1">IF(AND(NEGOCIAÇÕES!P589="",NEGOCIAÇÕES!N589&lt;TODAY()),NEGOCIAÇÕES!E589,"")</f>
        <v/>
      </c>
      <c r="D589" s="6" t="str">
        <f ca="1">IF(AND(NEGOCIAÇÕES!P589="",NEGOCIAÇÕES!N589&lt;TODAY()),NEGOCIAÇÕES!D589,"")</f>
        <v/>
      </c>
      <c r="E589" s="9" t="str">
        <f ca="1">IF(AND(NEGOCIAÇÕES!P589="",NEGOCIAÇÕES!N589&lt;TODAY()),NEGOCIAÇÕES!N589,"")</f>
        <v/>
      </c>
      <c r="F589" s="6"/>
    </row>
    <row r="590" spans="2:6" ht="31.95" hidden="1" customHeight="1" x14ac:dyDescent="0.3">
      <c r="B590" s="6" t="str">
        <f ca="1">IF(AND(NEGOCIAÇÕES!P590="",NEGOCIAÇÕES!N590&lt;TODAY()),NEGOCIAÇÕES!C590,"")</f>
        <v/>
      </c>
      <c r="C590" s="6" t="str">
        <f ca="1">IF(AND(NEGOCIAÇÕES!P590="",NEGOCIAÇÕES!N590&lt;TODAY()),NEGOCIAÇÕES!E590,"")</f>
        <v/>
      </c>
      <c r="D590" s="6" t="str">
        <f ca="1">IF(AND(NEGOCIAÇÕES!P590="",NEGOCIAÇÕES!N590&lt;TODAY()),NEGOCIAÇÕES!D590,"")</f>
        <v/>
      </c>
      <c r="E590" s="9" t="str">
        <f ca="1">IF(AND(NEGOCIAÇÕES!P590="",NEGOCIAÇÕES!N590&lt;TODAY()),NEGOCIAÇÕES!N590,"")</f>
        <v/>
      </c>
      <c r="F590" s="6"/>
    </row>
    <row r="591" spans="2:6" ht="31.95" hidden="1" customHeight="1" x14ac:dyDescent="0.3">
      <c r="B591" s="6" t="str">
        <f ca="1">IF(AND(NEGOCIAÇÕES!P591="",NEGOCIAÇÕES!N591&lt;TODAY()),NEGOCIAÇÕES!C591,"")</f>
        <v/>
      </c>
      <c r="C591" s="6" t="str">
        <f ca="1">IF(AND(NEGOCIAÇÕES!P591="",NEGOCIAÇÕES!N591&lt;TODAY()),NEGOCIAÇÕES!E591,"")</f>
        <v/>
      </c>
      <c r="D591" s="6" t="str">
        <f ca="1">IF(AND(NEGOCIAÇÕES!P591="",NEGOCIAÇÕES!N591&lt;TODAY()),NEGOCIAÇÕES!D591,"")</f>
        <v/>
      </c>
      <c r="E591" s="9" t="str">
        <f ca="1">IF(AND(NEGOCIAÇÕES!P591="",NEGOCIAÇÕES!N591&lt;TODAY()),NEGOCIAÇÕES!N591,"")</f>
        <v/>
      </c>
      <c r="F591" s="6"/>
    </row>
    <row r="592" spans="2:6" ht="31.95" hidden="1" customHeight="1" x14ac:dyDescent="0.3">
      <c r="B592" s="6" t="str">
        <f ca="1">IF(AND(NEGOCIAÇÕES!P592="",NEGOCIAÇÕES!N592&lt;TODAY()),NEGOCIAÇÕES!C592,"")</f>
        <v/>
      </c>
      <c r="C592" s="6" t="str">
        <f ca="1">IF(AND(NEGOCIAÇÕES!P592="",NEGOCIAÇÕES!N592&lt;TODAY()),NEGOCIAÇÕES!E592,"")</f>
        <v/>
      </c>
      <c r="D592" s="6" t="str">
        <f ca="1">IF(AND(NEGOCIAÇÕES!P592="",NEGOCIAÇÕES!N592&lt;TODAY()),NEGOCIAÇÕES!D592,"")</f>
        <v/>
      </c>
      <c r="E592" s="9" t="str">
        <f ca="1">IF(AND(NEGOCIAÇÕES!P592="",NEGOCIAÇÕES!N592&lt;TODAY()),NEGOCIAÇÕES!N592,"")</f>
        <v/>
      </c>
      <c r="F592" s="6"/>
    </row>
    <row r="593" spans="2:6" ht="31.95" hidden="1" customHeight="1" x14ac:dyDescent="0.3">
      <c r="B593" s="6" t="str">
        <f ca="1">IF(AND(NEGOCIAÇÕES!P593="",NEGOCIAÇÕES!N593&lt;TODAY()),NEGOCIAÇÕES!C593,"")</f>
        <v/>
      </c>
      <c r="C593" s="6" t="str">
        <f ca="1">IF(AND(NEGOCIAÇÕES!P593="",NEGOCIAÇÕES!N593&lt;TODAY()),NEGOCIAÇÕES!E593,"")</f>
        <v/>
      </c>
      <c r="D593" s="6" t="str">
        <f ca="1">IF(AND(NEGOCIAÇÕES!P593="",NEGOCIAÇÕES!N593&lt;TODAY()),NEGOCIAÇÕES!D593,"")</f>
        <v/>
      </c>
      <c r="E593" s="9" t="str">
        <f ca="1">IF(AND(NEGOCIAÇÕES!P593="",NEGOCIAÇÕES!N593&lt;TODAY()),NEGOCIAÇÕES!N593,"")</f>
        <v/>
      </c>
      <c r="F593" s="6"/>
    </row>
    <row r="594" spans="2:6" ht="31.95" hidden="1" customHeight="1" x14ac:dyDescent="0.3">
      <c r="B594" s="6" t="str">
        <f ca="1">IF(AND(NEGOCIAÇÕES!P594="",NEGOCIAÇÕES!N594&lt;TODAY()),NEGOCIAÇÕES!C594,"")</f>
        <v/>
      </c>
      <c r="C594" s="6" t="str">
        <f ca="1">IF(AND(NEGOCIAÇÕES!P594="",NEGOCIAÇÕES!N594&lt;TODAY()),NEGOCIAÇÕES!E594,"")</f>
        <v/>
      </c>
      <c r="D594" s="6" t="str">
        <f ca="1">IF(AND(NEGOCIAÇÕES!P594="",NEGOCIAÇÕES!N594&lt;TODAY()),NEGOCIAÇÕES!D594,"")</f>
        <v/>
      </c>
      <c r="E594" s="9" t="str">
        <f ca="1">IF(AND(NEGOCIAÇÕES!P594="",NEGOCIAÇÕES!N594&lt;TODAY()),NEGOCIAÇÕES!N594,"")</f>
        <v/>
      </c>
      <c r="F594" s="6"/>
    </row>
    <row r="595" spans="2:6" ht="31.95" hidden="1" customHeight="1" x14ac:dyDescent="0.3">
      <c r="B595" s="6" t="str">
        <f ca="1">IF(AND(NEGOCIAÇÕES!P595="",NEGOCIAÇÕES!N595&lt;TODAY()),NEGOCIAÇÕES!C595,"")</f>
        <v/>
      </c>
      <c r="C595" s="6" t="str">
        <f ca="1">IF(AND(NEGOCIAÇÕES!P595="",NEGOCIAÇÕES!N595&lt;TODAY()),NEGOCIAÇÕES!E595,"")</f>
        <v/>
      </c>
      <c r="D595" s="6" t="str">
        <f ca="1">IF(AND(NEGOCIAÇÕES!P595="",NEGOCIAÇÕES!N595&lt;TODAY()),NEGOCIAÇÕES!D595,"")</f>
        <v/>
      </c>
      <c r="E595" s="9" t="str">
        <f ca="1">IF(AND(NEGOCIAÇÕES!P595="",NEGOCIAÇÕES!N595&lt;TODAY()),NEGOCIAÇÕES!N595,"")</f>
        <v/>
      </c>
      <c r="F595" s="6"/>
    </row>
    <row r="596" spans="2:6" ht="31.95" hidden="1" customHeight="1" x14ac:dyDescent="0.3">
      <c r="B596" s="6" t="str">
        <f ca="1">IF(AND(NEGOCIAÇÕES!P596="",NEGOCIAÇÕES!N596&lt;TODAY()),NEGOCIAÇÕES!C596,"")</f>
        <v/>
      </c>
      <c r="C596" s="6" t="str">
        <f ca="1">IF(AND(NEGOCIAÇÕES!P596="",NEGOCIAÇÕES!N596&lt;TODAY()),NEGOCIAÇÕES!E596,"")</f>
        <v/>
      </c>
      <c r="D596" s="6" t="str">
        <f ca="1">IF(AND(NEGOCIAÇÕES!P596="",NEGOCIAÇÕES!N596&lt;TODAY()),NEGOCIAÇÕES!D596,"")</f>
        <v/>
      </c>
      <c r="E596" s="9" t="str">
        <f ca="1">IF(AND(NEGOCIAÇÕES!P596="",NEGOCIAÇÕES!N596&lt;TODAY()),NEGOCIAÇÕES!N596,"")</f>
        <v/>
      </c>
      <c r="F596" s="6"/>
    </row>
    <row r="597" spans="2:6" ht="31.95" hidden="1" customHeight="1" x14ac:dyDescent="0.3">
      <c r="B597" s="6" t="str">
        <f ca="1">IF(AND(NEGOCIAÇÕES!P597="",NEGOCIAÇÕES!N597&lt;TODAY()),NEGOCIAÇÕES!C597,"")</f>
        <v/>
      </c>
      <c r="C597" s="6" t="str">
        <f ca="1">IF(AND(NEGOCIAÇÕES!P597="",NEGOCIAÇÕES!N597&lt;TODAY()),NEGOCIAÇÕES!E597,"")</f>
        <v/>
      </c>
      <c r="D597" s="6" t="str">
        <f ca="1">IF(AND(NEGOCIAÇÕES!P597="",NEGOCIAÇÕES!N597&lt;TODAY()),NEGOCIAÇÕES!D597,"")</f>
        <v/>
      </c>
      <c r="E597" s="9" t="str">
        <f ca="1">IF(AND(NEGOCIAÇÕES!P597="",NEGOCIAÇÕES!N597&lt;TODAY()),NEGOCIAÇÕES!N597,"")</f>
        <v/>
      </c>
      <c r="F597" s="6"/>
    </row>
    <row r="598" spans="2:6" ht="31.95" hidden="1" customHeight="1" x14ac:dyDescent="0.3">
      <c r="B598" s="6" t="str">
        <f ca="1">IF(AND(NEGOCIAÇÕES!P598="",NEGOCIAÇÕES!N598&lt;TODAY()),NEGOCIAÇÕES!C598,"")</f>
        <v/>
      </c>
      <c r="C598" s="6" t="str">
        <f ca="1">IF(AND(NEGOCIAÇÕES!P598="",NEGOCIAÇÕES!N598&lt;TODAY()),NEGOCIAÇÕES!E598,"")</f>
        <v/>
      </c>
      <c r="D598" s="6" t="str">
        <f ca="1">IF(AND(NEGOCIAÇÕES!P598="",NEGOCIAÇÕES!N598&lt;TODAY()),NEGOCIAÇÕES!D598,"")</f>
        <v/>
      </c>
      <c r="E598" s="9" t="str">
        <f ca="1">IF(AND(NEGOCIAÇÕES!P598="",NEGOCIAÇÕES!N598&lt;TODAY()),NEGOCIAÇÕES!N598,"")</f>
        <v/>
      </c>
      <c r="F598" s="6"/>
    </row>
    <row r="599" spans="2:6" ht="31.95" hidden="1" customHeight="1" x14ac:dyDescent="0.3">
      <c r="B599" s="6" t="str">
        <f ca="1">IF(AND(NEGOCIAÇÕES!P599="",NEGOCIAÇÕES!N599&lt;TODAY()),NEGOCIAÇÕES!C599,"")</f>
        <v/>
      </c>
      <c r="C599" s="6" t="str">
        <f ca="1">IF(AND(NEGOCIAÇÕES!P599="",NEGOCIAÇÕES!N599&lt;TODAY()),NEGOCIAÇÕES!E599,"")</f>
        <v/>
      </c>
      <c r="D599" s="6" t="str">
        <f ca="1">IF(AND(NEGOCIAÇÕES!P599="",NEGOCIAÇÕES!N599&lt;TODAY()),NEGOCIAÇÕES!D599,"")</f>
        <v/>
      </c>
      <c r="E599" s="9" t="str">
        <f ca="1">IF(AND(NEGOCIAÇÕES!P599="",NEGOCIAÇÕES!N599&lt;TODAY()),NEGOCIAÇÕES!N599,"")</f>
        <v/>
      </c>
      <c r="F599" s="6"/>
    </row>
    <row r="600" spans="2:6" ht="31.95" hidden="1" customHeight="1" x14ac:dyDescent="0.3">
      <c r="B600" s="6" t="str">
        <f ca="1">IF(AND(NEGOCIAÇÕES!P600="",NEGOCIAÇÕES!N600&lt;TODAY()),NEGOCIAÇÕES!C600,"")</f>
        <v/>
      </c>
      <c r="C600" s="6" t="str">
        <f ca="1">IF(AND(NEGOCIAÇÕES!P600="",NEGOCIAÇÕES!N600&lt;TODAY()),NEGOCIAÇÕES!E600,"")</f>
        <v/>
      </c>
      <c r="D600" s="6" t="str">
        <f ca="1">IF(AND(NEGOCIAÇÕES!P600="",NEGOCIAÇÕES!N600&lt;TODAY()),NEGOCIAÇÕES!D600,"")</f>
        <v/>
      </c>
      <c r="E600" s="9" t="str">
        <f ca="1">IF(AND(NEGOCIAÇÕES!P600="",NEGOCIAÇÕES!N600&lt;TODAY()),NEGOCIAÇÕES!N600,"")</f>
        <v/>
      </c>
      <c r="F600" s="6"/>
    </row>
    <row r="601" spans="2:6" ht="31.95" hidden="1" customHeight="1" x14ac:dyDescent="0.3">
      <c r="B601" s="6" t="str">
        <f ca="1">IF(AND(NEGOCIAÇÕES!P601="",NEGOCIAÇÕES!N601&lt;TODAY()),NEGOCIAÇÕES!C601,"")</f>
        <v/>
      </c>
      <c r="C601" s="6" t="str">
        <f ca="1">IF(AND(NEGOCIAÇÕES!P601="",NEGOCIAÇÕES!N601&lt;TODAY()),NEGOCIAÇÕES!E601,"")</f>
        <v/>
      </c>
      <c r="D601" s="6" t="str">
        <f ca="1">IF(AND(NEGOCIAÇÕES!P601="",NEGOCIAÇÕES!N601&lt;TODAY()),NEGOCIAÇÕES!D601,"")</f>
        <v/>
      </c>
      <c r="E601" s="9" t="str">
        <f ca="1">IF(AND(NEGOCIAÇÕES!P601="",NEGOCIAÇÕES!N601&lt;TODAY()),NEGOCIAÇÕES!N601,"")</f>
        <v/>
      </c>
      <c r="F601" s="6"/>
    </row>
    <row r="602" spans="2:6" ht="31.95" hidden="1" customHeight="1" x14ac:dyDescent="0.3">
      <c r="B602" s="6" t="str">
        <f ca="1">IF(AND(NEGOCIAÇÕES!P602="",NEGOCIAÇÕES!N602&lt;TODAY()),NEGOCIAÇÕES!C602,"")</f>
        <v/>
      </c>
      <c r="C602" s="6" t="str">
        <f ca="1">IF(AND(NEGOCIAÇÕES!P602="",NEGOCIAÇÕES!N602&lt;TODAY()),NEGOCIAÇÕES!E602,"")</f>
        <v/>
      </c>
      <c r="D602" s="6" t="str">
        <f ca="1">IF(AND(NEGOCIAÇÕES!P602="",NEGOCIAÇÕES!N602&lt;TODAY()),NEGOCIAÇÕES!D602,"")</f>
        <v/>
      </c>
      <c r="E602" s="9" t="str">
        <f ca="1">IF(AND(NEGOCIAÇÕES!P602="",NEGOCIAÇÕES!N602&lt;TODAY()),NEGOCIAÇÕES!N602,"")</f>
        <v/>
      </c>
      <c r="F602" s="6"/>
    </row>
    <row r="603" spans="2:6" ht="31.95" hidden="1" customHeight="1" x14ac:dyDescent="0.3">
      <c r="B603" s="6" t="str">
        <f ca="1">IF(AND(NEGOCIAÇÕES!P603="",NEGOCIAÇÕES!N603&lt;TODAY()),NEGOCIAÇÕES!C603,"")</f>
        <v/>
      </c>
      <c r="C603" s="6" t="str">
        <f ca="1">IF(AND(NEGOCIAÇÕES!P603="",NEGOCIAÇÕES!N603&lt;TODAY()),NEGOCIAÇÕES!E603,"")</f>
        <v/>
      </c>
      <c r="D603" s="6" t="str">
        <f ca="1">IF(AND(NEGOCIAÇÕES!P603="",NEGOCIAÇÕES!N603&lt;TODAY()),NEGOCIAÇÕES!D603,"")</f>
        <v/>
      </c>
      <c r="E603" s="9" t="str">
        <f ca="1">IF(AND(NEGOCIAÇÕES!P603="",NEGOCIAÇÕES!N603&lt;TODAY()),NEGOCIAÇÕES!N603,"")</f>
        <v/>
      </c>
      <c r="F603" s="6"/>
    </row>
    <row r="604" spans="2:6" ht="31.95" hidden="1" customHeight="1" x14ac:dyDescent="0.3">
      <c r="B604" s="6" t="str">
        <f ca="1">IF(AND(NEGOCIAÇÕES!P604="",NEGOCIAÇÕES!N604&lt;TODAY()),NEGOCIAÇÕES!C604,"")</f>
        <v/>
      </c>
      <c r="C604" s="6" t="str">
        <f ca="1">IF(AND(NEGOCIAÇÕES!P604="",NEGOCIAÇÕES!N604&lt;TODAY()),NEGOCIAÇÕES!E604,"")</f>
        <v/>
      </c>
      <c r="D604" s="6" t="str">
        <f ca="1">IF(AND(NEGOCIAÇÕES!P604="",NEGOCIAÇÕES!N604&lt;TODAY()),NEGOCIAÇÕES!D604,"")</f>
        <v/>
      </c>
      <c r="E604" s="9" t="str">
        <f ca="1">IF(AND(NEGOCIAÇÕES!P604="",NEGOCIAÇÕES!N604&lt;TODAY()),NEGOCIAÇÕES!N604,"")</f>
        <v/>
      </c>
      <c r="F604" s="6"/>
    </row>
    <row r="605" spans="2:6" ht="31.95" hidden="1" customHeight="1" x14ac:dyDescent="0.3">
      <c r="B605" s="6" t="str">
        <f ca="1">IF(AND(NEGOCIAÇÕES!P605="",NEGOCIAÇÕES!N605&lt;TODAY()),NEGOCIAÇÕES!C605,"")</f>
        <v/>
      </c>
      <c r="C605" s="6" t="str">
        <f ca="1">IF(AND(NEGOCIAÇÕES!P605="",NEGOCIAÇÕES!N605&lt;TODAY()),NEGOCIAÇÕES!E605,"")</f>
        <v/>
      </c>
      <c r="D605" s="6" t="str">
        <f ca="1">IF(AND(NEGOCIAÇÕES!P605="",NEGOCIAÇÕES!N605&lt;TODAY()),NEGOCIAÇÕES!D605,"")</f>
        <v/>
      </c>
      <c r="E605" s="9" t="str">
        <f ca="1">IF(AND(NEGOCIAÇÕES!P605="",NEGOCIAÇÕES!N605&lt;TODAY()),NEGOCIAÇÕES!N605,"")</f>
        <v/>
      </c>
      <c r="F605" s="6"/>
    </row>
    <row r="606" spans="2:6" ht="31.95" hidden="1" customHeight="1" x14ac:dyDescent="0.3">
      <c r="B606" s="6" t="str">
        <f ca="1">IF(AND(NEGOCIAÇÕES!P606="",NEGOCIAÇÕES!N606&lt;TODAY()),NEGOCIAÇÕES!C606,"")</f>
        <v/>
      </c>
      <c r="C606" s="6" t="str">
        <f ca="1">IF(AND(NEGOCIAÇÕES!P606="",NEGOCIAÇÕES!N606&lt;TODAY()),NEGOCIAÇÕES!E606,"")</f>
        <v/>
      </c>
      <c r="D606" s="6" t="str">
        <f ca="1">IF(AND(NEGOCIAÇÕES!P606="",NEGOCIAÇÕES!N606&lt;TODAY()),NEGOCIAÇÕES!D606,"")</f>
        <v/>
      </c>
      <c r="E606" s="9" t="str">
        <f ca="1">IF(AND(NEGOCIAÇÕES!P606="",NEGOCIAÇÕES!N606&lt;TODAY()),NEGOCIAÇÕES!N606,"")</f>
        <v/>
      </c>
      <c r="F606" s="6"/>
    </row>
    <row r="607" spans="2:6" ht="31.95" hidden="1" customHeight="1" x14ac:dyDescent="0.3">
      <c r="B607" s="6" t="str">
        <f ca="1">IF(AND(NEGOCIAÇÕES!P607="",NEGOCIAÇÕES!N607&lt;TODAY()),NEGOCIAÇÕES!C607,"")</f>
        <v/>
      </c>
      <c r="C607" s="6" t="str">
        <f ca="1">IF(AND(NEGOCIAÇÕES!P607="",NEGOCIAÇÕES!N607&lt;TODAY()),NEGOCIAÇÕES!E607,"")</f>
        <v/>
      </c>
      <c r="D607" s="6" t="str">
        <f ca="1">IF(AND(NEGOCIAÇÕES!P607="",NEGOCIAÇÕES!N607&lt;TODAY()),NEGOCIAÇÕES!D607,"")</f>
        <v/>
      </c>
      <c r="E607" s="9" t="str">
        <f ca="1">IF(AND(NEGOCIAÇÕES!P607="",NEGOCIAÇÕES!N607&lt;TODAY()),NEGOCIAÇÕES!N607,"")</f>
        <v/>
      </c>
      <c r="F607" s="6"/>
    </row>
    <row r="608" spans="2:6" ht="31.95" hidden="1" customHeight="1" x14ac:dyDescent="0.3">
      <c r="B608" s="6" t="str">
        <f ca="1">IF(AND(NEGOCIAÇÕES!P608="",NEGOCIAÇÕES!N608&lt;TODAY()),NEGOCIAÇÕES!C608,"")</f>
        <v/>
      </c>
      <c r="C608" s="6" t="str">
        <f ca="1">IF(AND(NEGOCIAÇÕES!P608="",NEGOCIAÇÕES!N608&lt;TODAY()),NEGOCIAÇÕES!E608,"")</f>
        <v/>
      </c>
      <c r="D608" s="6" t="str">
        <f ca="1">IF(AND(NEGOCIAÇÕES!P608="",NEGOCIAÇÕES!N608&lt;TODAY()),NEGOCIAÇÕES!D608,"")</f>
        <v/>
      </c>
      <c r="E608" s="9" t="str">
        <f ca="1">IF(AND(NEGOCIAÇÕES!P608="",NEGOCIAÇÕES!N608&lt;TODAY()),NEGOCIAÇÕES!N608,"")</f>
        <v/>
      </c>
      <c r="F608" s="6"/>
    </row>
    <row r="609" spans="2:6" ht="31.95" hidden="1" customHeight="1" x14ac:dyDescent="0.3">
      <c r="B609" s="6" t="str">
        <f ca="1">IF(AND(NEGOCIAÇÕES!P609="",NEGOCIAÇÕES!N609&lt;TODAY()),NEGOCIAÇÕES!C609,"")</f>
        <v/>
      </c>
      <c r="C609" s="6" t="str">
        <f ca="1">IF(AND(NEGOCIAÇÕES!P609="",NEGOCIAÇÕES!N609&lt;TODAY()),NEGOCIAÇÕES!E609,"")</f>
        <v/>
      </c>
      <c r="D609" s="6" t="str">
        <f ca="1">IF(AND(NEGOCIAÇÕES!P609="",NEGOCIAÇÕES!N609&lt;TODAY()),NEGOCIAÇÕES!D609,"")</f>
        <v/>
      </c>
      <c r="E609" s="9" t="str">
        <f ca="1">IF(AND(NEGOCIAÇÕES!P609="",NEGOCIAÇÕES!N609&lt;TODAY()),NEGOCIAÇÕES!N609,"")</f>
        <v/>
      </c>
      <c r="F609" s="6"/>
    </row>
    <row r="610" spans="2:6" ht="31.95" hidden="1" customHeight="1" x14ac:dyDescent="0.3">
      <c r="B610" s="6" t="str">
        <f ca="1">IF(AND(NEGOCIAÇÕES!P610="",NEGOCIAÇÕES!N610&lt;TODAY()),NEGOCIAÇÕES!C610,"")</f>
        <v/>
      </c>
      <c r="C610" s="6" t="str">
        <f ca="1">IF(AND(NEGOCIAÇÕES!P610="",NEGOCIAÇÕES!N610&lt;TODAY()),NEGOCIAÇÕES!E610,"")</f>
        <v/>
      </c>
      <c r="D610" s="6" t="str">
        <f ca="1">IF(AND(NEGOCIAÇÕES!P610="",NEGOCIAÇÕES!N610&lt;TODAY()),NEGOCIAÇÕES!D610,"")</f>
        <v/>
      </c>
      <c r="E610" s="9" t="str">
        <f ca="1">IF(AND(NEGOCIAÇÕES!P610="",NEGOCIAÇÕES!N610&lt;TODAY()),NEGOCIAÇÕES!N610,"")</f>
        <v/>
      </c>
      <c r="F610" s="6"/>
    </row>
    <row r="611" spans="2:6" ht="31.95" hidden="1" customHeight="1" x14ac:dyDescent="0.3">
      <c r="B611" s="6" t="str">
        <f ca="1">IF(AND(NEGOCIAÇÕES!P611="",NEGOCIAÇÕES!N611&lt;TODAY()),NEGOCIAÇÕES!C611,"")</f>
        <v/>
      </c>
      <c r="C611" s="6" t="str">
        <f ca="1">IF(AND(NEGOCIAÇÕES!P611="",NEGOCIAÇÕES!N611&lt;TODAY()),NEGOCIAÇÕES!E611,"")</f>
        <v/>
      </c>
      <c r="D611" s="6" t="str">
        <f ca="1">IF(AND(NEGOCIAÇÕES!P611="",NEGOCIAÇÕES!N611&lt;TODAY()),NEGOCIAÇÕES!D611,"")</f>
        <v/>
      </c>
      <c r="E611" s="9" t="str">
        <f ca="1">IF(AND(NEGOCIAÇÕES!P611="",NEGOCIAÇÕES!N611&lt;TODAY()),NEGOCIAÇÕES!N611,"")</f>
        <v/>
      </c>
      <c r="F611" s="6"/>
    </row>
    <row r="612" spans="2:6" ht="31.95" hidden="1" customHeight="1" x14ac:dyDescent="0.3">
      <c r="B612" s="6" t="str">
        <f ca="1">IF(AND(NEGOCIAÇÕES!P612="",NEGOCIAÇÕES!N612&lt;TODAY()),NEGOCIAÇÕES!C612,"")</f>
        <v/>
      </c>
      <c r="C612" s="6" t="str">
        <f ca="1">IF(AND(NEGOCIAÇÕES!P612="",NEGOCIAÇÕES!N612&lt;TODAY()),NEGOCIAÇÕES!E612,"")</f>
        <v/>
      </c>
      <c r="D612" s="6" t="str">
        <f ca="1">IF(AND(NEGOCIAÇÕES!P612="",NEGOCIAÇÕES!N612&lt;TODAY()),NEGOCIAÇÕES!D612,"")</f>
        <v/>
      </c>
      <c r="E612" s="9" t="str">
        <f ca="1">IF(AND(NEGOCIAÇÕES!P612="",NEGOCIAÇÕES!N612&lt;TODAY()),NEGOCIAÇÕES!N612,"")</f>
        <v/>
      </c>
      <c r="F612" s="6"/>
    </row>
    <row r="613" spans="2:6" ht="31.95" hidden="1" customHeight="1" x14ac:dyDescent="0.3">
      <c r="B613" s="6" t="str">
        <f ca="1">IF(AND(NEGOCIAÇÕES!P613="",NEGOCIAÇÕES!N613&lt;TODAY()),NEGOCIAÇÕES!C613,"")</f>
        <v/>
      </c>
      <c r="C613" s="6" t="str">
        <f ca="1">IF(AND(NEGOCIAÇÕES!P613="",NEGOCIAÇÕES!N613&lt;TODAY()),NEGOCIAÇÕES!E613,"")</f>
        <v/>
      </c>
      <c r="D613" s="6" t="str">
        <f ca="1">IF(AND(NEGOCIAÇÕES!P613="",NEGOCIAÇÕES!N613&lt;TODAY()),NEGOCIAÇÕES!D613,"")</f>
        <v/>
      </c>
      <c r="E613" s="9" t="str">
        <f ca="1">IF(AND(NEGOCIAÇÕES!P613="",NEGOCIAÇÕES!N613&lt;TODAY()),NEGOCIAÇÕES!N613,"")</f>
        <v/>
      </c>
      <c r="F613" s="6"/>
    </row>
    <row r="614" spans="2:6" ht="31.95" hidden="1" customHeight="1" x14ac:dyDescent="0.3">
      <c r="B614" s="6" t="str">
        <f ca="1">IF(AND(NEGOCIAÇÕES!P614="",NEGOCIAÇÕES!N614&lt;TODAY()),NEGOCIAÇÕES!C614,"")</f>
        <v/>
      </c>
      <c r="C614" s="6" t="str">
        <f ca="1">IF(AND(NEGOCIAÇÕES!P614="",NEGOCIAÇÕES!N614&lt;TODAY()),NEGOCIAÇÕES!E614,"")</f>
        <v/>
      </c>
      <c r="D614" s="6" t="str">
        <f ca="1">IF(AND(NEGOCIAÇÕES!P614="",NEGOCIAÇÕES!N614&lt;TODAY()),NEGOCIAÇÕES!D614,"")</f>
        <v/>
      </c>
      <c r="E614" s="9" t="str">
        <f ca="1">IF(AND(NEGOCIAÇÕES!P614="",NEGOCIAÇÕES!N614&lt;TODAY()),NEGOCIAÇÕES!N614,"")</f>
        <v/>
      </c>
      <c r="F614" s="6"/>
    </row>
    <row r="615" spans="2:6" ht="31.95" hidden="1" customHeight="1" x14ac:dyDescent="0.3">
      <c r="B615" s="6" t="str">
        <f ca="1">IF(AND(NEGOCIAÇÕES!P615="",NEGOCIAÇÕES!N615&lt;TODAY()),NEGOCIAÇÕES!C615,"")</f>
        <v/>
      </c>
      <c r="C615" s="6" t="str">
        <f ca="1">IF(AND(NEGOCIAÇÕES!P615="",NEGOCIAÇÕES!N615&lt;TODAY()),NEGOCIAÇÕES!E615,"")</f>
        <v/>
      </c>
      <c r="D615" s="6" t="str">
        <f ca="1">IF(AND(NEGOCIAÇÕES!P615="",NEGOCIAÇÕES!N615&lt;TODAY()),NEGOCIAÇÕES!D615,"")</f>
        <v/>
      </c>
      <c r="E615" s="9" t="str">
        <f ca="1">IF(AND(NEGOCIAÇÕES!P615="",NEGOCIAÇÕES!N615&lt;TODAY()),NEGOCIAÇÕES!N615,"")</f>
        <v/>
      </c>
      <c r="F615" s="6"/>
    </row>
    <row r="616" spans="2:6" ht="31.95" hidden="1" customHeight="1" x14ac:dyDescent="0.3">
      <c r="B616" s="6" t="str">
        <f ca="1">IF(AND(NEGOCIAÇÕES!P616="",NEGOCIAÇÕES!N616&lt;TODAY()),NEGOCIAÇÕES!C616,"")</f>
        <v/>
      </c>
      <c r="C616" s="6" t="str">
        <f ca="1">IF(AND(NEGOCIAÇÕES!P616="",NEGOCIAÇÕES!N616&lt;TODAY()),NEGOCIAÇÕES!E616,"")</f>
        <v/>
      </c>
      <c r="D616" s="6" t="str">
        <f ca="1">IF(AND(NEGOCIAÇÕES!P616="",NEGOCIAÇÕES!N616&lt;TODAY()),NEGOCIAÇÕES!D616,"")</f>
        <v/>
      </c>
      <c r="E616" s="9" t="str">
        <f ca="1">IF(AND(NEGOCIAÇÕES!P616="",NEGOCIAÇÕES!N616&lt;TODAY()),NEGOCIAÇÕES!N616,"")</f>
        <v/>
      </c>
      <c r="F616" s="6"/>
    </row>
    <row r="617" spans="2:6" ht="31.95" hidden="1" customHeight="1" x14ac:dyDescent="0.3">
      <c r="B617" s="6" t="str">
        <f ca="1">IF(AND(NEGOCIAÇÕES!P617="",NEGOCIAÇÕES!N617&lt;TODAY()),NEGOCIAÇÕES!C617,"")</f>
        <v/>
      </c>
      <c r="C617" s="6" t="str">
        <f ca="1">IF(AND(NEGOCIAÇÕES!P617="",NEGOCIAÇÕES!N617&lt;TODAY()),NEGOCIAÇÕES!E617,"")</f>
        <v/>
      </c>
      <c r="D617" s="6" t="str">
        <f ca="1">IF(AND(NEGOCIAÇÕES!P617="",NEGOCIAÇÕES!N617&lt;TODAY()),NEGOCIAÇÕES!D617,"")</f>
        <v/>
      </c>
      <c r="E617" s="9" t="str">
        <f ca="1">IF(AND(NEGOCIAÇÕES!P617="",NEGOCIAÇÕES!N617&lt;TODAY()),NEGOCIAÇÕES!N617,"")</f>
        <v/>
      </c>
      <c r="F617" s="6"/>
    </row>
    <row r="618" spans="2:6" ht="31.95" hidden="1" customHeight="1" x14ac:dyDescent="0.3">
      <c r="B618" s="6" t="str">
        <f ca="1">IF(AND(NEGOCIAÇÕES!P618="",NEGOCIAÇÕES!N618&lt;TODAY()),NEGOCIAÇÕES!C618,"")</f>
        <v/>
      </c>
      <c r="C618" s="6" t="str">
        <f ca="1">IF(AND(NEGOCIAÇÕES!P618="",NEGOCIAÇÕES!N618&lt;TODAY()),NEGOCIAÇÕES!E618,"")</f>
        <v/>
      </c>
      <c r="D618" s="6" t="str">
        <f ca="1">IF(AND(NEGOCIAÇÕES!P618="",NEGOCIAÇÕES!N618&lt;TODAY()),NEGOCIAÇÕES!D618,"")</f>
        <v/>
      </c>
      <c r="E618" s="9" t="str">
        <f ca="1">IF(AND(NEGOCIAÇÕES!P618="",NEGOCIAÇÕES!N618&lt;TODAY()),NEGOCIAÇÕES!N618,"")</f>
        <v/>
      </c>
      <c r="F618" s="6"/>
    </row>
    <row r="619" spans="2:6" ht="31.95" hidden="1" customHeight="1" x14ac:dyDescent="0.3">
      <c r="B619" s="6" t="str">
        <f ca="1">IF(AND(NEGOCIAÇÕES!P619="",NEGOCIAÇÕES!N619&lt;TODAY()),NEGOCIAÇÕES!C619,"")</f>
        <v/>
      </c>
      <c r="C619" s="6" t="str">
        <f ca="1">IF(AND(NEGOCIAÇÕES!P619="",NEGOCIAÇÕES!N619&lt;TODAY()),NEGOCIAÇÕES!E619,"")</f>
        <v/>
      </c>
      <c r="D619" s="6" t="str">
        <f ca="1">IF(AND(NEGOCIAÇÕES!P619="",NEGOCIAÇÕES!N619&lt;TODAY()),NEGOCIAÇÕES!D619,"")</f>
        <v/>
      </c>
      <c r="E619" s="9" t="str">
        <f ca="1">IF(AND(NEGOCIAÇÕES!P619="",NEGOCIAÇÕES!N619&lt;TODAY()),NEGOCIAÇÕES!N619,"")</f>
        <v/>
      </c>
      <c r="F619" s="6"/>
    </row>
    <row r="620" spans="2:6" ht="31.95" hidden="1" customHeight="1" x14ac:dyDescent="0.3">
      <c r="B620" s="6" t="str">
        <f ca="1">IF(AND(NEGOCIAÇÕES!P620="",NEGOCIAÇÕES!N620&lt;TODAY()),NEGOCIAÇÕES!C620,"")</f>
        <v/>
      </c>
      <c r="C620" s="6" t="str">
        <f ca="1">IF(AND(NEGOCIAÇÕES!P620="",NEGOCIAÇÕES!N620&lt;TODAY()),NEGOCIAÇÕES!E620,"")</f>
        <v/>
      </c>
      <c r="D620" s="6" t="str">
        <f ca="1">IF(AND(NEGOCIAÇÕES!P620="",NEGOCIAÇÕES!N620&lt;TODAY()),NEGOCIAÇÕES!D620,"")</f>
        <v/>
      </c>
      <c r="E620" s="9" t="str">
        <f ca="1">IF(AND(NEGOCIAÇÕES!P620="",NEGOCIAÇÕES!N620&lt;TODAY()),NEGOCIAÇÕES!N620,"")</f>
        <v/>
      </c>
      <c r="F620" s="6"/>
    </row>
    <row r="621" spans="2:6" ht="31.95" hidden="1" customHeight="1" x14ac:dyDescent="0.3">
      <c r="B621" s="6" t="str">
        <f ca="1">IF(AND(NEGOCIAÇÕES!P621="",NEGOCIAÇÕES!N621&lt;TODAY()),NEGOCIAÇÕES!C621,"")</f>
        <v/>
      </c>
      <c r="C621" s="6" t="str">
        <f ca="1">IF(AND(NEGOCIAÇÕES!P621="",NEGOCIAÇÕES!N621&lt;TODAY()),NEGOCIAÇÕES!E621,"")</f>
        <v/>
      </c>
      <c r="D621" s="6" t="str">
        <f ca="1">IF(AND(NEGOCIAÇÕES!P621="",NEGOCIAÇÕES!N621&lt;TODAY()),NEGOCIAÇÕES!D621,"")</f>
        <v/>
      </c>
      <c r="E621" s="9" t="str">
        <f ca="1">IF(AND(NEGOCIAÇÕES!P621="",NEGOCIAÇÕES!N621&lt;TODAY()),NEGOCIAÇÕES!N621,"")</f>
        <v/>
      </c>
      <c r="F621" s="6"/>
    </row>
    <row r="622" spans="2:6" ht="31.95" hidden="1" customHeight="1" x14ac:dyDescent="0.3">
      <c r="B622" s="6" t="str">
        <f ca="1">IF(AND(NEGOCIAÇÕES!P622="",NEGOCIAÇÕES!N622&lt;TODAY()),NEGOCIAÇÕES!C622,"")</f>
        <v/>
      </c>
      <c r="C622" s="6" t="str">
        <f ca="1">IF(AND(NEGOCIAÇÕES!P622="",NEGOCIAÇÕES!N622&lt;TODAY()),NEGOCIAÇÕES!E622,"")</f>
        <v/>
      </c>
      <c r="D622" s="6" t="str">
        <f ca="1">IF(AND(NEGOCIAÇÕES!P622="",NEGOCIAÇÕES!N622&lt;TODAY()),NEGOCIAÇÕES!D622,"")</f>
        <v/>
      </c>
      <c r="E622" s="9" t="str">
        <f ca="1">IF(AND(NEGOCIAÇÕES!P622="",NEGOCIAÇÕES!N622&lt;TODAY()),NEGOCIAÇÕES!N622,"")</f>
        <v/>
      </c>
      <c r="F622" s="6"/>
    </row>
    <row r="623" spans="2:6" ht="31.95" hidden="1" customHeight="1" x14ac:dyDescent="0.3">
      <c r="B623" s="6" t="str">
        <f ca="1">IF(AND(NEGOCIAÇÕES!P623="",NEGOCIAÇÕES!N623&lt;TODAY()),NEGOCIAÇÕES!C623,"")</f>
        <v/>
      </c>
      <c r="C623" s="6" t="str">
        <f ca="1">IF(AND(NEGOCIAÇÕES!P623="",NEGOCIAÇÕES!N623&lt;TODAY()),NEGOCIAÇÕES!E623,"")</f>
        <v/>
      </c>
      <c r="D623" s="6" t="str">
        <f ca="1">IF(AND(NEGOCIAÇÕES!P623="",NEGOCIAÇÕES!N623&lt;TODAY()),NEGOCIAÇÕES!D623,"")</f>
        <v/>
      </c>
      <c r="E623" s="9" t="str">
        <f ca="1">IF(AND(NEGOCIAÇÕES!P623="",NEGOCIAÇÕES!N623&lt;TODAY()),NEGOCIAÇÕES!N623,"")</f>
        <v/>
      </c>
      <c r="F623" s="6"/>
    </row>
    <row r="624" spans="2:6" ht="31.95" hidden="1" customHeight="1" x14ac:dyDescent="0.3">
      <c r="B624" s="6" t="str">
        <f ca="1">IF(AND(NEGOCIAÇÕES!P624="",NEGOCIAÇÕES!N624&lt;TODAY()),NEGOCIAÇÕES!C624,"")</f>
        <v/>
      </c>
      <c r="C624" s="6" t="str">
        <f ca="1">IF(AND(NEGOCIAÇÕES!P624="",NEGOCIAÇÕES!N624&lt;TODAY()),NEGOCIAÇÕES!E624,"")</f>
        <v/>
      </c>
      <c r="D624" s="6" t="str">
        <f ca="1">IF(AND(NEGOCIAÇÕES!P624="",NEGOCIAÇÕES!N624&lt;TODAY()),NEGOCIAÇÕES!D624,"")</f>
        <v/>
      </c>
      <c r="E624" s="9" t="str">
        <f ca="1">IF(AND(NEGOCIAÇÕES!P624="",NEGOCIAÇÕES!N624&lt;TODAY()),NEGOCIAÇÕES!N624,"")</f>
        <v/>
      </c>
      <c r="F624" s="6"/>
    </row>
    <row r="625" spans="2:6" ht="31.95" hidden="1" customHeight="1" x14ac:dyDescent="0.3">
      <c r="B625" s="6" t="str">
        <f ca="1">IF(AND(NEGOCIAÇÕES!P625="",NEGOCIAÇÕES!N625&lt;TODAY()),NEGOCIAÇÕES!C625,"")</f>
        <v/>
      </c>
      <c r="C625" s="6" t="str">
        <f ca="1">IF(AND(NEGOCIAÇÕES!P625="",NEGOCIAÇÕES!N625&lt;TODAY()),NEGOCIAÇÕES!E625,"")</f>
        <v/>
      </c>
      <c r="D625" s="6" t="str">
        <f ca="1">IF(AND(NEGOCIAÇÕES!P625="",NEGOCIAÇÕES!N625&lt;TODAY()),NEGOCIAÇÕES!D625,"")</f>
        <v/>
      </c>
      <c r="E625" s="9" t="str">
        <f ca="1">IF(AND(NEGOCIAÇÕES!P625="",NEGOCIAÇÕES!N625&lt;TODAY()),NEGOCIAÇÕES!N625,"")</f>
        <v/>
      </c>
      <c r="F625" s="6"/>
    </row>
    <row r="626" spans="2:6" ht="31.95" hidden="1" customHeight="1" x14ac:dyDescent="0.3">
      <c r="B626" s="6" t="str">
        <f ca="1">IF(AND(NEGOCIAÇÕES!P626="",NEGOCIAÇÕES!N626&lt;TODAY()),NEGOCIAÇÕES!C626,"")</f>
        <v/>
      </c>
      <c r="C626" s="6" t="str">
        <f ca="1">IF(AND(NEGOCIAÇÕES!P626="",NEGOCIAÇÕES!N626&lt;TODAY()),NEGOCIAÇÕES!E626,"")</f>
        <v/>
      </c>
      <c r="D626" s="6" t="str">
        <f ca="1">IF(AND(NEGOCIAÇÕES!P626="",NEGOCIAÇÕES!N626&lt;TODAY()),NEGOCIAÇÕES!D626,"")</f>
        <v/>
      </c>
      <c r="E626" s="9" t="str">
        <f ca="1">IF(AND(NEGOCIAÇÕES!P626="",NEGOCIAÇÕES!N626&lt;TODAY()),NEGOCIAÇÕES!N626,"")</f>
        <v/>
      </c>
      <c r="F626" s="6"/>
    </row>
    <row r="627" spans="2:6" ht="31.95" hidden="1" customHeight="1" x14ac:dyDescent="0.3">
      <c r="B627" s="6" t="str">
        <f ca="1">IF(AND(NEGOCIAÇÕES!P627="",NEGOCIAÇÕES!N627&lt;TODAY()),NEGOCIAÇÕES!C627,"")</f>
        <v/>
      </c>
      <c r="C627" s="6" t="str">
        <f ca="1">IF(AND(NEGOCIAÇÕES!P627="",NEGOCIAÇÕES!N627&lt;TODAY()),NEGOCIAÇÕES!E627,"")</f>
        <v/>
      </c>
      <c r="D627" s="6" t="str">
        <f ca="1">IF(AND(NEGOCIAÇÕES!P627="",NEGOCIAÇÕES!N627&lt;TODAY()),NEGOCIAÇÕES!D627,"")</f>
        <v/>
      </c>
      <c r="E627" s="9" t="str">
        <f ca="1">IF(AND(NEGOCIAÇÕES!P627="",NEGOCIAÇÕES!N627&lt;TODAY()),NEGOCIAÇÕES!N627,"")</f>
        <v/>
      </c>
      <c r="F627" s="6"/>
    </row>
    <row r="628" spans="2:6" ht="31.95" hidden="1" customHeight="1" x14ac:dyDescent="0.3">
      <c r="B628" s="6" t="str">
        <f ca="1">IF(AND(NEGOCIAÇÕES!P628="",NEGOCIAÇÕES!N628&lt;TODAY()),NEGOCIAÇÕES!C628,"")</f>
        <v/>
      </c>
      <c r="C628" s="6" t="str">
        <f ca="1">IF(AND(NEGOCIAÇÕES!P628="",NEGOCIAÇÕES!N628&lt;TODAY()),NEGOCIAÇÕES!E628,"")</f>
        <v/>
      </c>
      <c r="D628" s="6" t="str">
        <f ca="1">IF(AND(NEGOCIAÇÕES!P628="",NEGOCIAÇÕES!N628&lt;TODAY()),NEGOCIAÇÕES!D628,"")</f>
        <v/>
      </c>
      <c r="E628" s="9" t="str">
        <f ca="1">IF(AND(NEGOCIAÇÕES!P628="",NEGOCIAÇÕES!N628&lt;TODAY()),NEGOCIAÇÕES!N628,"")</f>
        <v/>
      </c>
      <c r="F628" s="6"/>
    </row>
    <row r="629" spans="2:6" ht="31.95" hidden="1" customHeight="1" x14ac:dyDescent="0.3">
      <c r="B629" s="6" t="str">
        <f ca="1">IF(AND(NEGOCIAÇÕES!P629="",NEGOCIAÇÕES!N629&lt;TODAY()),NEGOCIAÇÕES!C629,"")</f>
        <v/>
      </c>
      <c r="C629" s="6" t="str">
        <f ca="1">IF(AND(NEGOCIAÇÕES!P629="",NEGOCIAÇÕES!N629&lt;TODAY()),NEGOCIAÇÕES!E629,"")</f>
        <v/>
      </c>
      <c r="D629" s="6" t="str">
        <f ca="1">IF(AND(NEGOCIAÇÕES!P629="",NEGOCIAÇÕES!N629&lt;TODAY()),NEGOCIAÇÕES!D629,"")</f>
        <v/>
      </c>
      <c r="E629" s="9" t="str">
        <f ca="1">IF(AND(NEGOCIAÇÕES!P629="",NEGOCIAÇÕES!N629&lt;TODAY()),NEGOCIAÇÕES!N629,"")</f>
        <v/>
      </c>
      <c r="F629" s="6"/>
    </row>
    <row r="630" spans="2:6" ht="31.95" hidden="1" customHeight="1" x14ac:dyDescent="0.3">
      <c r="B630" s="6" t="str">
        <f ca="1">IF(AND(NEGOCIAÇÕES!P630="",NEGOCIAÇÕES!N630&lt;TODAY()),NEGOCIAÇÕES!C630,"")</f>
        <v/>
      </c>
      <c r="C630" s="6" t="str">
        <f ca="1">IF(AND(NEGOCIAÇÕES!P630="",NEGOCIAÇÕES!N630&lt;TODAY()),NEGOCIAÇÕES!E630,"")</f>
        <v/>
      </c>
      <c r="D630" s="6" t="str">
        <f ca="1">IF(AND(NEGOCIAÇÕES!P630="",NEGOCIAÇÕES!N630&lt;TODAY()),NEGOCIAÇÕES!D630,"")</f>
        <v/>
      </c>
      <c r="E630" s="9" t="str">
        <f ca="1">IF(AND(NEGOCIAÇÕES!P630="",NEGOCIAÇÕES!N630&lt;TODAY()),NEGOCIAÇÕES!N630,"")</f>
        <v/>
      </c>
      <c r="F630" s="6"/>
    </row>
    <row r="631" spans="2:6" ht="31.95" hidden="1" customHeight="1" x14ac:dyDescent="0.3">
      <c r="B631" s="6" t="str">
        <f ca="1">IF(AND(NEGOCIAÇÕES!P631="",NEGOCIAÇÕES!N631&lt;TODAY()),NEGOCIAÇÕES!C631,"")</f>
        <v/>
      </c>
      <c r="C631" s="6" t="str">
        <f ca="1">IF(AND(NEGOCIAÇÕES!P631="",NEGOCIAÇÕES!N631&lt;TODAY()),NEGOCIAÇÕES!E631,"")</f>
        <v/>
      </c>
      <c r="D631" s="6" t="str">
        <f ca="1">IF(AND(NEGOCIAÇÕES!P631="",NEGOCIAÇÕES!N631&lt;TODAY()),NEGOCIAÇÕES!D631,"")</f>
        <v/>
      </c>
      <c r="E631" s="9" t="str">
        <f ca="1">IF(AND(NEGOCIAÇÕES!P631="",NEGOCIAÇÕES!N631&lt;TODAY()),NEGOCIAÇÕES!N631,"")</f>
        <v/>
      </c>
      <c r="F631" s="6"/>
    </row>
    <row r="632" spans="2:6" ht="31.95" hidden="1" customHeight="1" x14ac:dyDescent="0.3">
      <c r="B632" s="6" t="str">
        <f ca="1">IF(AND(NEGOCIAÇÕES!P632="",NEGOCIAÇÕES!N632&lt;TODAY()),NEGOCIAÇÕES!C632,"")</f>
        <v/>
      </c>
      <c r="C632" s="6" t="str">
        <f ca="1">IF(AND(NEGOCIAÇÕES!P632="",NEGOCIAÇÕES!N632&lt;TODAY()),NEGOCIAÇÕES!E632,"")</f>
        <v/>
      </c>
      <c r="D632" s="6" t="str">
        <f ca="1">IF(AND(NEGOCIAÇÕES!P632="",NEGOCIAÇÕES!N632&lt;TODAY()),NEGOCIAÇÕES!D632,"")</f>
        <v/>
      </c>
      <c r="E632" s="9" t="str">
        <f ca="1">IF(AND(NEGOCIAÇÕES!P632="",NEGOCIAÇÕES!N632&lt;TODAY()),NEGOCIAÇÕES!N632,"")</f>
        <v/>
      </c>
      <c r="F632" s="6"/>
    </row>
    <row r="633" spans="2:6" ht="31.95" hidden="1" customHeight="1" x14ac:dyDescent="0.3">
      <c r="B633" s="6" t="str">
        <f ca="1">IF(AND(NEGOCIAÇÕES!P633="",NEGOCIAÇÕES!N633&lt;TODAY()),NEGOCIAÇÕES!C633,"")</f>
        <v/>
      </c>
      <c r="C633" s="6" t="str">
        <f ca="1">IF(AND(NEGOCIAÇÕES!P633="",NEGOCIAÇÕES!N633&lt;TODAY()),NEGOCIAÇÕES!E633,"")</f>
        <v/>
      </c>
      <c r="D633" s="6" t="str">
        <f ca="1">IF(AND(NEGOCIAÇÕES!P633="",NEGOCIAÇÕES!N633&lt;TODAY()),NEGOCIAÇÕES!D633,"")</f>
        <v/>
      </c>
      <c r="E633" s="9" t="str">
        <f ca="1">IF(AND(NEGOCIAÇÕES!P633="",NEGOCIAÇÕES!N633&lt;TODAY()),NEGOCIAÇÕES!N633,"")</f>
        <v/>
      </c>
      <c r="F633" s="6"/>
    </row>
    <row r="634" spans="2:6" ht="31.95" hidden="1" customHeight="1" x14ac:dyDescent="0.3">
      <c r="B634" s="6" t="str">
        <f ca="1">IF(AND(NEGOCIAÇÕES!P634="",NEGOCIAÇÕES!N634&lt;TODAY()),NEGOCIAÇÕES!C634,"")</f>
        <v/>
      </c>
      <c r="C634" s="6" t="str">
        <f ca="1">IF(AND(NEGOCIAÇÕES!P634="",NEGOCIAÇÕES!N634&lt;TODAY()),NEGOCIAÇÕES!E634,"")</f>
        <v/>
      </c>
      <c r="D634" s="6" t="str">
        <f ca="1">IF(AND(NEGOCIAÇÕES!P634="",NEGOCIAÇÕES!N634&lt;TODAY()),NEGOCIAÇÕES!D634,"")</f>
        <v/>
      </c>
      <c r="E634" s="9" t="str">
        <f ca="1">IF(AND(NEGOCIAÇÕES!P634="",NEGOCIAÇÕES!N634&lt;TODAY()),NEGOCIAÇÕES!N634,"")</f>
        <v/>
      </c>
      <c r="F634" s="6"/>
    </row>
    <row r="635" spans="2:6" ht="31.95" hidden="1" customHeight="1" x14ac:dyDescent="0.3">
      <c r="B635" s="6" t="str">
        <f ca="1">IF(AND(NEGOCIAÇÕES!P635="",NEGOCIAÇÕES!N635&lt;TODAY()),NEGOCIAÇÕES!C635,"")</f>
        <v/>
      </c>
      <c r="C635" s="6" t="str">
        <f ca="1">IF(AND(NEGOCIAÇÕES!P635="",NEGOCIAÇÕES!N635&lt;TODAY()),NEGOCIAÇÕES!E635,"")</f>
        <v/>
      </c>
      <c r="D635" s="6" t="str">
        <f ca="1">IF(AND(NEGOCIAÇÕES!P635="",NEGOCIAÇÕES!N635&lt;TODAY()),NEGOCIAÇÕES!D635,"")</f>
        <v/>
      </c>
      <c r="E635" s="9" t="str">
        <f ca="1">IF(AND(NEGOCIAÇÕES!P635="",NEGOCIAÇÕES!N635&lt;TODAY()),NEGOCIAÇÕES!N635,"")</f>
        <v/>
      </c>
      <c r="F635" s="6"/>
    </row>
    <row r="636" spans="2:6" ht="31.95" hidden="1" customHeight="1" x14ac:dyDescent="0.3">
      <c r="B636" s="6" t="str">
        <f ca="1">IF(AND(NEGOCIAÇÕES!P636="",NEGOCIAÇÕES!N636&lt;TODAY()),NEGOCIAÇÕES!C636,"")</f>
        <v/>
      </c>
      <c r="C636" s="6" t="str">
        <f ca="1">IF(AND(NEGOCIAÇÕES!P636="",NEGOCIAÇÕES!N636&lt;TODAY()),NEGOCIAÇÕES!E636,"")</f>
        <v/>
      </c>
      <c r="D636" s="6" t="str">
        <f ca="1">IF(AND(NEGOCIAÇÕES!P636="",NEGOCIAÇÕES!N636&lt;TODAY()),NEGOCIAÇÕES!D636,"")</f>
        <v/>
      </c>
      <c r="E636" s="9" t="str">
        <f ca="1">IF(AND(NEGOCIAÇÕES!P636="",NEGOCIAÇÕES!N636&lt;TODAY()),NEGOCIAÇÕES!N636,"")</f>
        <v/>
      </c>
      <c r="F636" s="6"/>
    </row>
    <row r="637" spans="2:6" ht="31.95" hidden="1" customHeight="1" x14ac:dyDescent="0.3">
      <c r="B637" s="6" t="str">
        <f ca="1">IF(AND(NEGOCIAÇÕES!P637="",NEGOCIAÇÕES!N637&lt;TODAY()),NEGOCIAÇÕES!C637,"")</f>
        <v/>
      </c>
      <c r="C637" s="6" t="str">
        <f ca="1">IF(AND(NEGOCIAÇÕES!P637="",NEGOCIAÇÕES!N637&lt;TODAY()),NEGOCIAÇÕES!E637,"")</f>
        <v/>
      </c>
      <c r="D637" s="6" t="str">
        <f ca="1">IF(AND(NEGOCIAÇÕES!P637="",NEGOCIAÇÕES!N637&lt;TODAY()),NEGOCIAÇÕES!D637,"")</f>
        <v/>
      </c>
      <c r="E637" s="9" t="str">
        <f ca="1">IF(AND(NEGOCIAÇÕES!P637="",NEGOCIAÇÕES!N637&lt;TODAY()),NEGOCIAÇÕES!N637,"")</f>
        <v/>
      </c>
      <c r="F637" s="6"/>
    </row>
    <row r="638" spans="2:6" ht="31.95" hidden="1" customHeight="1" x14ac:dyDescent="0.3">
      <c r="B638" s="6" t="str">
        <f ca="1">IF(AND(NEGOCIAÇÕES!P638="",NEGOCIAÇÕES!N638&lt;TODAY()),NEGOCIAÇÕES!C638,"")</f>
        <v/>
      </c>
      <c r="C638" s="6" t="str">
        <f ca="1">IF(AND(NEGOCIAÇÕES!P638="",NEGOCIAÇÕES!N638&lt;TODAY()),NEGOCIAÇÕES!E638,"")</f>
        <v/>
      </c>
      <c r="D638" s="6" t="str">
        <f ca="1">IF(AND(NEGOCIAÇÕES!P638="",NEGOCIAÇÕES!N638&lt;TODAY()),NEGOCIAÇÕES!D638,"")</f>
        <v/>
      </c>
      <c r="E638" s="9" t="str">
        <f ca="1">IF(AND(NEGOCIAÇÕES!P638="",NEGOCIAÇÕES!N638&lt;TODAY()),NEGOCIAÇÕES!N638,"")</f>
        <v/>
      </c>
      <c r="F638" s="6"/>
    </row>
    <row r="639" spans="2:6" ht="31.95" hidden="1" customHeight="1" x14ac:dyDescent="0.3">
      <c r="B639" s="6" t="str">
        <f ca="1">IF(AND(NEGOCIAÇÕES!P639="",NEGOCIAÇÕES!N639&lt;TODAY()),NEGOCIAÇÕES!C639,"")</f>
        <v/>
      </c>
      <c r="C639" s="6" t="str">
        <f ca="1">IF(AND(NEGOCIAÇÕES!P639="",NEGOCIAÇÕES!N639&lt;TODAY()),NEGOCIAÇÕES!E639,"")</f>
        <v/>
      </c>
      <c r="D639" s="6" t="str">
        <f ca="1">IF(AND(NEGOCIAÇÕES!P639="",NEGOCIAÇÕES!N639&lt;TODAY()),NEGOCIAÇÕES!D639,"")</f>
        <v/>
      </c>
      <c r="E639" s="9" t="str">
        <f ca="1">IF(AND(NEGOCIAÇÕES!P639="",NEGOCIAÇÕES!N639&lt;TODAY()),NEGOCIAÇÕES!N639,"")</f>
        <v/>
      </c>
      <c r="F639" s="6"/>
    </row>
    <row r="640" spans="2:6" ht="31.95" hidden="1" customHeight="1" x14ac:dyDescent="0.3">
      <c r="B640" s="6" t="str">
        <f ca="1">IF(AND(NEGOCIAÇÕES!P640="",NEGOCIAÇÕES!N640&lt;TODAY()),NEGOCIAÇÕES!C640,"")</f>
        <v/>
      </c>
      <c r="C640" s="6" t="str">
        <f ca="1">IF(AND(NEGOCIAÇÕES!P640="",NEGOCIAÇÕES!N640&lt;TODAY()),NEGOCIAÇÕES!E640,"")</f>
        <v/>
      </c>
      <c r="D640" s="6" t="str">
        <f ca="1">IF(AND(NEGOCIAÇÕES!P640="",NEGOCIAÇÕES!N640&lt;TODAY()),NEGOCIAÇÕES!D640,"")</f>
        <v/>
      </c>
      <c r="E640" s="9" t="str">
        <f ca="1">IF(AND(NEGOCIAÇÕES!P640="",NEGOCIAÇÕES!N640&lt;TODAY()),NEGOCIAÇÕES!N640,"")</f>
        <v/>
      </c>
      <c r="F640" s="6"/>
    </row>
    <row r="641" spans="2:6" ht="31.95" hidden="1" customHeight="1" x14ac:dyDescent="0.3">
      <c r="B641" s="6" t="str">
        <f ca="1">IF(AND(NEGOCIAÇÕES!P641="",NEGOCIAÇÕES!N641&lt;TODAY()),NEGOCIAÇÕES!C641,"")</f>
        <v/>
      </c>
      <c r="C641" s="6" t="str">
        <f ca="1">IF(AND(NEGOCIAÇÕES!P641="",NEGOCIAÇÕES!N641&lt;TODAY()),NEGOCIAÇÕES!E641,"")</f>
        <v/>
      </c>
      <c r="D641" s="6" t="str">
        <f ca="1">IF(AND(NEGOCIAÇÕES!P641="",NEGOCIAÇÕES!N641&lt;TODAY()),NEGOCIAÇÕES!D641,"")</f>
        <v/>
      </c>
      <c r="E641" s="9" t="str">
        <f ca="1">IF(AND(NEGOCIAÇÕES!P641="",NEGOCIAÇÕES!N641&lt;TODAY()),NEGOCIAÇÕES!N641,"")</f>
        <v/>
      </c>
      <c r="F641" s="6"/>
    </row>
    <row r="642" spans="2:6" ht="31.95" hidden="1" customHeight="1" x14ac:dyDescent="0.3">
      <c r="B642" s="6" t="str">
        <f ca="1">IF(AND(NEGOCIAÇÕES!P642="",NEGOCIAÇÕES!N642&lt;TODAY()),NEGOCIAÇÕES!C642,"")</f>
        <v/>
      </c>
      <c r="C642" s="6" t="str">
        <f ca="1">IF(AND(NEGOCIAÇÕES!P642="",NEGOCIAÇÕES!N642&lt;TODAY()),NEGOCIAÇÕES!E642,"")</f>
        <v/>
      </c>
      <c r="D642" s="6" t="str">
        <f ca="1">IF(AND(NEGOCIAÇÕES!P642="",NEGOCIAÇÕES!N642&lt;TODAY()),NEGOCIAÇÕES!D642,"")</f>
        <v/>
      </c>
      <c r="E642" s="9" t="str">
        <f ca="1">IF(AND(NEGOCIAÇÕES!P642="",NEGOCIAÇÕES!N642&lt;TODAY()),NEGOCIAÇÕES!N642,"")</f>
        <v/>
      </c>
      <c r="F642" s="6"/>
    </row>
    <row r="643" spans="2:6" ht="31.95" hidden="1" customHeight="1" x14ac:dyDescent="0.3">
      <c r="B643" s="6" t="str">
        <f ca="1">IF(AND(NEGOCIAÇÕES!P643="",NEGOCIAÇÕES!N643&lt;TODAY()),NEGOCIAÇÕES!C643,"")</f>
        <v/>
      </c>
      <c r="C643" s="6" t="str">
        <f ca="1">IF(AND(NEGOCIAÇÕES!P643="",NEGOCIAÇÕES!N643&lt;TODAY()),NEGOCIAÇÕES!E643,"")</f>
        <v/>
      </c>
      <c r="D643" s="6" t="str">
        <f ca="1">IF(AND(NEGOCIAÇÕES!P643="",NEGOCIAÇÕES!N643&lt;TODAY()),NEGOCIAÇÕES!D643,"")</f>
        <v/>
      </c>
      <c r="E643" s="9" t="str">
        <f ca="1">IF(AND(NEGOCIAÇÕES!P643="",NEGOCIAÇÕES!N643&lt;TODAY()),NEGOCIAÇÕES!N643,"")</f>
        <v/>
      </c>
      <c r="F643" s="6"/>
    </row>
    <row r="644" spans="2:6" ht="31.95" hidden="1" customHeight="1" x14ac:dyDescent="0.3">
      <c r="B644" s="6" t="str">
        <f ca="1">IF(AND(NEGOCIAÇÕES!P644="",NEGOCIAÇÕES!N644&lt;TODAY()),NEGOCIAÇÕES!C644,"")</f>
        <v/>
      </c>
      <c r="C644" s="6" t="str">
        <f ca="1">IF(AND(NEGOCIAÇÕES!P644="",NEGOCIAÇÕES!N644&lt;TODAY()),NEGOCIAÇÕES!E644,"")</f>
        <v/>
      </c>
      <c r="D644" s="6" t="str">
        <f ca="1">IF(AND(NEGOCIAÇÕES!P644="",NEGOCIAÇÕES!N644&lt;TODAY()),NEGOCIAÇÕES!D644,"")</f>
        <v/>
      </c>
      <c r="E644" s="9" t="str">
        <f ca="1">IF(AND(NEGOCIAÇÕES!P644="",NEGOCIAÇÕES!N644&lt;TODAY()),NEGOCIAÇÕES!N644,"")</f>
        <v/>
      </c>
      <c r="F644" s="6"/>
    </row>
    <row r="645" spans="2:6" ht="31.95" hidden="1" customHeight="1" x14ac:dyDescent="0.3">
      <c r="B645" s="6" t="str">
        <f ca="1">IF(AND(NEGOCIAÇÕES!P645="",NEGOCIAÇÕES!N645&lt;TODAY()),NEGOCIAÇÕES!C645,"")</f>
        <v/>
      </c>
      <c r="C645" s="6" t="str">
        <f ca="1">IF(AND(NEGOCIAÇÕES!P645="",NEGOCIAÇÕES!N645&lt;TODAY()),NEGOCIAÇÕES!E645,"")</f>
        <v/>
      </c>
      <c r="D645" s="6" t="str">
        <f ca="1">IF(AND(NEGOCIAÇÕES!P645="",NEGOCIAÇÕES!N645&lt;TODAY()),NEGOCIAÇÕES!D645,"")</f>
        <v/>
      </c>
      <c r="E645" s="9" t="str">
        <f ca="1">IF(AND(NEGOCIAÇÕES!P645="",NEGOCIAÇÕES!N645&lt;TODAY()),NEGOCIAÇÕES!N645,"")</f>
        <v/>
      </c>
      <c r="F645" s="6"/>
    </row>
    <row r="646" spans="2:6" ht="31.95" hidden="1" customHeight="1" x14ac:dyDescent="0.3">
      <c r="B646" s="6" t="str">
        <f ca="1">IF(AND(NEGOCIAÇÕES!P646="",NEGOCIAÇÕES!N646&lt;TODAY()),NEGOCIAÇÕES!C646,"")</f>
        <v/>
      </c>
      <c r="C646" s="6" t="str">
        <f ca="1">IF(AND(NEGOCIAÇÕES!P646="",NEGOCIAÇÕES!N646&lt;TODAY()),NEGOCIAÇÕES!E646,"")</f>
        <v/>
      </c>
      <c r="D646" s="6" t="str">
        <f ca="1">IF(AND(NEGOCIAÇÕES!P646="",NEGOCIAÇÕES!N646&lt;TODAY()),NEGOCIAÇÕES!D646,"")</f>
        <v/>
      </c>
      <c r="E646" s="9" t="str">
        <f ca="1">IF(AND(NEGOCIAÇÕES!P646="",NEGOCIAÇÕES!N646&lt;TODAY()),NEGOCIAÇÕES!N646,"")</f>
        <v/>
      </c>
      <c r="F646" s="6"/>
    </row>
    <row r="647" spans="2:6" ht="31.95" hidden="1" customHeight="1" x14ac:dyDescent="0.3">
      <c r="B647" s="6" t="str">
        <f ca="1">IF(AND(NEGOCIAÇÕES!P647="",NEGOCIAÇÕES!N647&lt;TODAY()),NEGOCIAÇÕES!C647,"")</f>
        <v/>
      </c>
      <c r="C647" s="6" t="str">
        <f ca="1">IF(AND(NEGOCIAÇÕES!P647="",NEGOCIAÇÕES!N647&lt;TODAY()),NEGOCIAÇÕES!E647,"")</f>
        <v/>
      </c>
      <c r="D647" s="6" t="str">
        <f ca="1">IF(AND(NEGOCIAÇÕES!P647="",NEGOCIAÇÕES!N647&lt;TODAY()),NEGOCIAÇÕES!D647,"")</f>
        <v/>
      </c>
      <c r="E647" s="9" t="str">
        <f ca="1">IF(AND(NEGOCIAÇÕES!P647="",NEGOCIAÇÕES!N647&lt;TODAY()),NEGOCIAÇÕES!N647,"")</f>
        <v/>
      </c>
      <c r="F647" s="6"/>
    </row>
    <row r="648" spans="2:6" ht="31.95" hidden="1" customHeight="1" x14ac:dyDescent="0.3">
      <c r="B648" s="6" t="str">
        <f ca="1">IF(AND(NEGOCIAÇÕES!P648="",NEGOCIAÇÕES!N648&lt;TODAY()),NEGOCIAÇÕES!C648,"")</f>
        <v/>
      </c>
      <c r="C648" s="6" t="str">
        <f ca="1">IF(AND(NEGOCIAÇÕES!P648="",NEGOCIAÇÕES!N648&lt;TODAY()),NEGOCIAÇÕES!E648,"")</f>
        <v/>
      </c>
      <c r="D648" s="6" t="str">
        <f ca="1">IF(AND(NEGOCIAÇÕES!P648="",NEGOCIAÇÕES!N648&lt;TODAY()),NEGOCIAÇÕES!D648,"")</f>
        <v/>
      </c>
      <c r="E648" s="9" t="str">
        <f ca="1">IF(AND(NEGOCIAÇÕES!P648="",NEGOCIAÇÕES!N648&lt;TODAY()),NEGOCIAÇÕES!N648,"")</f>
        <v/>
      </c>
      <c r="F648" s="6"/>
    </row>
    <row r="649" spans="2:6" ht="31.95" hidden="1" customHeight="1" x14ac:dyDescent="0.3">
      <c r="B649" s="6" t="str">
        <f ca="1">IF(AND(NEGOCIAÇÕES!P649="",NEGOCIAÇÕES!N649&lt;TODAY()),NEGOCIAÇÕES!C649,"")</f>
        <v/>
      </c>
      <c r="C649" s="6" t="str">
        <f ca="1">IF(AND(NEGOCIAÇÕES!P649="",NEGOCIAÇÕES!N649&lt;TODAY()),NEGOCIAÇÕES!E649,"")</f>
        <v/>
      </c>
      <c r="D649" s="6" t="str">
        <f ca="1">IF(AND(NEGOCIAÇÕES!P649="",NEGOCIAÇÕES!N649&lt;TODAY()),NEGOCIAÇÕES!D649,"")</f>
        <v/>
      </c>
      <c r="E649" s="9" t="str">
        <f ca="1">IF(AND(NEGOCIAÇÕES!P649="",NEGOCIAÇÕES!N649&lt;TODAY()),NEGOCIAÇÕES!N649,"")</f>
        <v/>
      </c>
      <c r="F649" s="6"/>
    </row>
    <row r="650" spans="2:6" ht="31.95" hidden="1" customHeight="1" x14ac:dyDescent="0.3">
      <c r="B650" s="6" t="str">
        <f ca="1">IF(AND(NEGOCIAÇÕES!P650="",NEGOCIAÇÕES!N650&lt;TODAY()),NEGOCIAÇÕES!C650,"")</f>
        <v/>
      </c>
      <c r="C650" s="6" t="str">
        <f ca="1">IF(AND(NEGOCIAÇÕES!P650="",NEGOCIAÇÕES!N650&lt;TODAY()),NEGOCIAÇÕES!E650,"")</f>
        <v/>
      </c>
      <c r="D650" s="6" t="str">
        <f ca="1">IF(AND(NEGOCIAÇÕES!P650="",NEGOCIAÇÕES!N650&lt;TODAY()),NEGOCIAÇÕES!D650,"")</f>
        <v/>
      </c>
      <c r="E650" s="9" t="str">
        <f ca="1">IF(AND(NEGOCIAÇÕES!P650="",NEGOCIAÇÕES!N650&lt;TODAY()),NEGOCIAÇÕES!N650,"")</f>
        <v/>
      </c>
      <c r="F650" s="6"/>
    </row>
    <row r="651" spans="2:6" ht="31.95" hidden="1" customHeight="1" x14ac:dyDescent="0.3">
      <c r="B651" s="6" t="str">
        <f ca="1">IF(AND(NEGOCIAÇÕES!P651="",NEGOCIAÇÕES!N651&lt;TODAY()),NEGOCIAÇÕES!C651,"")</f>
        <v/>
      </c>
      <c r="C651" s="6" t="str">
        <f ca="1">IF(AND(NEGOCIAÇÕES!P651="",NEGOCIAÇÕES!N651&lt;TODAY()),NEGOCIAÇÕES!E651,"")</f>
        <v/>
      </c>
      <c r="D651" s="6" t="str">
        <f ca="1">IF(AND(NEGOCIAÇÕES!P651="",NEGOCIAÇÕES!N651&lt;TODAY()),NEGOCIAÇÕES!D651,"")</f>
        <v/>
      </c>
      <c r="E651" s="9" t="str">
        <f ca="1">IF(AND(NEGOCIAÇÕES!P651="",NEGOCIAÇÕES!N651&lt;TODAY()),NEGOCIAÇÕES!N651,"")</f>
        <v/>
      </c>
      <c r="F651" s="6"/>
    </row>
    <row r="652" spans="2:6" ht="31.95" hidden="1" customHeight="1" x14ac:dyDescent="0.3">
      <c r="B652" s="6" t="str">
        <f ca="1">IF(AND(NEGOCIAÇÕES!P652="",NEGOCIAÇÕES!N652&lt;TODAY()),NEGOCIAÇÕES!C652,"")</f>
        <v/>
      </c>
      <c r="C652" s="6" t="str">
        <f ca="1">IF(AND(NEGOCIAÇÕES!P652="",NEGOCIAÇÕES!N652&lt;TODAY()),NEGOCIAÇÕES!E652,"")</f>
        <v/>
      </c>
      <c r="D652" s="6" t="str">
        <f ca="1">IF(AND(NEGOCIAÇÕES!P652="",NEGOCIAÇÕES!N652&lt;TODAY()),NEGOCIAÇÕES!D652,"")</f>
        <v/>
      </c>
      <c r="E652" s="9" t="str">
        <f ca="1">IF(AND(NEGOCIAÇÕES!P652="",NEGOCIAÇÕES!N652&lt;TODAY()),NEGOCIAÇÕES!N652,"")</f>
        <v/>
      </c>
      <c r="F652" s="6"/>
    </row>
    <row r="653" spans="2:6" ht="31.95" hidden="1" customHeight="1" x14ac:dyDescent="0.3">
      <c r="B653" s="6" t="str">
        <f ca="1">IF(AND(NEGOCIAÇÕES!P653="",NEGOCIAÇÕES!N653&lt;TODAY()),NEGOCIAÇÕES!C653,"")</f>
        <v/>
      </c>
      <c r="C653" s="6" t="str">
        <f ca="1">IF(AND(NEGOCIAÇÕES!P653="",NEGOCIAÇÕES!N653&lt;TODAY()),NEGOCIAÇÕES!E653,"")</f>
        <v/>
      </c>
      <c r="D653" s="6" t="str">
        <f ca="1">IF(AND(NEGOCIAÇÕES!P653="",NEGOCIAÇÕES!N653&lt;TODAY()),NEGOCIAÇÕES!D653,"")</f>
        <v/>
      </c>
      <c r="E653" s="9" t="str">
        <f ca="1">IF(AND(NEGOCIAÇÕES!P653="",NEGOCIAÇÕES!N653&lt;TODAY()),NEGOCIAÇÕES!N653,"")</f>
        <v/>
      </c>
      <c r="F653" s="6"/>
    </row>
    <row r="654" spans="2:6" ht="31.95" hidden="1" customHeight="1" x14ac:dyDescent="0.3">
      <c r="B654" s="6" t="str">
        <f ca="1">IF(AND(NEGOCIAÇÕES!P654="",NEGOCIAÇÕES!N654&lt;TODAY()),NEGOCIAÇÕES!C654,"")</f>
        <v/>
      </c>
      <c r="C654" s="6" t="str">
        <f ca="1">IF(AND(NEGOCIAÇÕES!P654="",NEGOCIAÇÕES!N654&lt;TODAY()),NEGOCIAÇÕES!E654,"")</f>
        <v/>
      </c>
      <c r="D654" s="6" t="str">
        <f ca="1">IF(AND(NEGOCIAÇÕES!P654="",NEGOCIAÇÕES!N654&lt;TODAY()),NEGOCIAÇÕES!D654,"")</f>
        <v/>
      </c>
      <c r="E654" s="9" t="str">
        <f ca="1">IF(AND(NEGOCIAÇÕES!P654="",NEGOCIAÇÕES!N654&lt;TODAY()),NEGOCIAÇÕES!N654,"")</f>
        <v/>
      </c>
      <c r="F654" s="6"/>
    </row>
    <row r="655" spans="2:6" ht="31.95" hidden="1" customHeight="1" x14ac:dyDescent="0.3">
      <c r="B655" s="6" t="str">
        <f ca="1">IF(AND(NEGOCIAÇÕES!P655="",NEGOCIAÇÕES!N655&lt;TODAY()),NEGOCIAÇÕES!C655,"")</f>
        <v/>
      </c>
      <c r="C655" s="6" t="str">
        <f ca="1">IF(AND(NEGOCIAÇÕES!P655="",NEGOCIAÇÕES!N655&lt;TODAY()),NEGOCIAÇÕES!E655,"")</f>
        <v/>
      </c>
      <c r="D655" s="6" t="str">
        <f ca="1">IF(AND(NEGOCIAÇÕES!P655="",NEGOCIAÇÕES!N655&lt;TODAY()),NEGOCIAÇÕES!D655,"")</f>
        <v/>
      </c>
      <c r="E655" s="9" t="str">
        <f ca="1">IF(AND(NEGOCIAÇÕES!P655="",NEGOCIAÇÕES!N655&lt;TODAY()),NEGOCIAÇÕES!N655,"")</f>
        <v/>
      </c>
      <c r="F655" s="6"/>
    </row>
    <row r="656" spans="2:6" ht="31.95" hidden="1" customHeight="1" x14ac:dyDescent="0.3">
      <c r="B656" s="6" t="str">
        <f ca="1">IF(AND(NEGOCIAÇÕES!P656="",NEGOCIAÇÕES!N656&lt;TODAY()),NEGOCIAÇÕES!C656,"")</f>
        <v/>
      </c>
      <c r="C656" s="6" t="str">
        <f ca="1">IF(AND(NEGOCIAÇÕES!P656="",NEGOCIAÇÕES!N656&lt;TODAY()),NEGOCIAÇÕES!E656,"")</f>
        <v/>
      </c>
      <c r="D656" s="6" t="str">
        <f ca="1">IF(AND(NEGOCIAÇÕES!P656="",NEGOCIAÇÕES!N656&lt;TODAY()),NEGOCIAÇÕES!D656,"")</f>
        <v/>
      </c>
      <c r="E656" s="9" t="str">
        <f ca="1">IF(AND(NEGOCIAÇÕES!P656="",NEGOCIAÇÕES!N656&lt;TODAY()),NEGOCIAÇÕES!N656,"")</f>
        <v/>
      </c>
      <c r="F656" s="6"/>
    </row>
    <row r="657" spans="2:6" ht="31.95" hidden="1" customHeight="1" x14ac:dyDescent="0.3">
      <c r="B657" s="6" t="str">
        <f ca="1">IF(AND(NEGOCIAÇÕES!P657="",NEGOCIAÇÕES!N657&lt;TODAY()),NEGOCIAÇÕES!C657,"")</f>
        <v/>
      </c>
      <c r="C657" s="6" t="str">
        <f ca="1">IF(AND(NEGOCIAÇÕES!P657="",NEGOCIAÇÕES!N657&lt;TODAY()),NEGOCIAÇÕES!E657,"")</f>
        <v/>
      </c>
      <c r="D657" s="6" t="str">
        <f ca="1">IF(AND(NEGOCIAÇÕES!P657="",NEGOCIAÇÕES!N657&lt;TODAY()),NEGOCIAÇÕES!D657,"")</f>
        <v/>
      </c>
      <c r="E657" s="9" t="str">
        <f ca="1">IF(AND(NEGOCIAÇÕES!P657="",NEGOCIAÇÕES!N657&lt;TODAY()),NEGOCIAÇÕES!N657,"")</f>
        <v/>
      </c>
      <c r="F657" s="6"/>
    </row>
    <row r="658" spans="2:6" ht="31.95" hidden="1" customHeight="1" x14ac:dyDescent="0.3">
      <c r="B658" s="6" t="str">
        <f ca="1">IF(AND(NEGOCIAÇÕES!P658="",NEGOCIAÇÕES!N658&lt;TODAY()),NEGOCIAÇÕES!C658,"")</f>
        <v/>
      </c>
      <c r="C658" s="6" t="str">
        <f ca="1">IF(AND(NEGOCIAÇÕES!P658="",NEGOCIAÇÕES!N658&lt;TODAY()),NEGOCIAÇÕES!E658,"")</f>
        <v/>
      </c>
      <c r="D658" s="6" t="str">
        <f ca="1">IF(AND(NEGOCIAÇÕES!P658="",NEGOCIAÇÕES!N658&lt;TODAY()),NEGOCIAÇÕES!D658,"")</f>
        <v/>
      </c>
      <c r="E658" s="9" t="str">
        <f ca="1">IF(AND(NEGOCIAÇÕES!P658="",NEGOCIAÇÕES!N658&lt;TODAY()),NEGOCIAÇÕES!N658,"")</f>
        <v/>
      </c>
      <c r="F658" s="6"/>
    </row>
    <row r="659" spans="2:6" ht="31.95" hidden="1" customHeight="1" x14ac:dyDescent="0.3">
      <c r="B659" s="6" t="str">
        <f ca="1">IF(AND(NEGOCIAÇÕES!P659="",NEGOCIAÇÕES!N659&lt;TODAY()),NEGOCIAÇÕES!C659,"")</f>
        <v/>
      </c>
      <c r="C659" s="6" t="str">
        <f ca="1">IF(AND(NEGOCIAÇÕES!P659="",NEGOCIAÇÕES!N659&lt;TODAY()),NEGOCIAÇÕES!E659,"")</f>
        <v/>
      </c>
      <c r="D659" s="6" t="str">
        <f ca="1">IF(AND(NEGOCIAÇÕES!P659="",NEGOCIAÇÕES!N659&lt;TODAY()),NEGOCIAÇÕES!D659,"")</f>
        <v/>
      </c>
      <c r="E659" s="9" t="str">
        <f ca="1">IF(AND(NEGOCIAÇÕES!P659="",NEGOCIAÇÕES!N659&lt;TODAY()),NEGOCIAÇÕES!N659,"")</f>
        <v/>
      </c>
      <c r="F659" s="6"/>
    </row>
    <row r="660" spans="2:6" ht="31.95" hidden="1" customHeight="1" x14ac:dyDescent="0.3">
      <c r="B660" s="6" t="str">
        <f ca="1">IF(AND(NEGOCIAÇÕES!P660="",NEGOCIAÇÕES!N660&lt;TODAY()),NEGOCIAÇÕES!C660,"")</f>
        <v/>
      </c>
      <c r="C660" s="6" t="str">
        <f ca="1">IF(AND(NEGOCIAÇÕES!P660="",NEGOCIAÇÕES!N660&lt;TODAY()),NEGOCIAÇÕES!E660,"")</f>
        <v/>
      </c>
      <c r="D660" s="6" t="str">
        <f ca="1">IF(AND(NEGOCIAÇÕES!P660="",NEGOCIAÇÕES!N660&lt;TODAY()),NEGOCIAÇÕES!D660,"")</f>
        <v/>
      </c>
      <c r="E660" s="9" t="str">
        <f ca="1">IF(AND(NEGOCIAÇÕES!P660="",NEGOCIAÇÕES!N660&lt;TODAY()),NEGOCIAÇÕES!N660,"")</f>
        <v/>
      </c>
      <c r="F660" s="6"/>
    </row>
    <row r="661" spans="2:6" ht="31.95" hidden="1" customHeight="1" x14ac:dyDescent="0.3">
      <c r="B661" s="6" t="str">
        <f ca="1">IF(AND(NEGOCIAÇÕES!P661="",NEGOCIAÇÕES!N661&lt;TODAY()),NEGOCIAÇÕES!C661,"")</f>
        <v/>
      </c>
      <c r="C661" s="6" t="str">
        <f ca="1">IF(AND(NEGOCIAÇÕES!P661="",NEGOCIAÇÕES!N661&lt;TODAY()),NEGOCIAÇÕES!E661,"")</f>
        <v/>
      </c>
      <c r="D661" s="6" t="str">
        <f ca="1">IF(AND(NEGOCIAÇÕES!P661="",NEGOCIAÇÕES!N661&lt;TODAY()),NEGOCIAÇÕES!D661,"")</f>
        <v/>
      </c>
      <c r="E661" s="9" t="str">
        <f ca="1">IF(AND(NEGOCIAÇÕES!P661="",NEGOCIAÇÕES!N661&lt;TODAY()),NEGOCIAÇÕES!N661,"")</f>
        <v/>
      </c>
      <c r="F661" s="6"/>
    </row>
    <row r="662" spans="2:6" ht="31.95" hidden="1" customHeight="1" x14ac:dyDescent="0.3">
      <c r="B662" s="6" t="str">
        <f ca="1">IF(AND(NEGOCIAÇÕES!P662="",NEGOCIAÇÕES!N662&lt;TODAY()),NEGOCIAÇÕES!C662,"")</f>
        <v/>
      </c>
      <c r="C662" s="6" t="str">
        <f ca="1">IF(AND(NEGOCIAÇÕES!P662="",NEGOCIAÇÕES!N662&lt;TODAY()),NEGOCIAÇÕES!E662,"")</f>
        <v/>
      </c>
      <c r="D662" s="6" t="str">
        <f ca="1">IF(AND(NEGOCIAÇÕES!P662="",NEGOCIAÇÕES!N662&lt;TODAY()),NEGOCIAÇÕES!D662,"")</f>
        <v/>
      </c>
      <c r="E662" s="9" t="str">
        <f ca="1">IF(AND(NEGOCIAÇÕES!P662="",NEGOCIAÇÕES!N662&lt;TODAY()),NEGOCIAÇÕES!N662,"")</f>
        <v/>
      </c>
      <c r="F662" s="6"/>
    </row>
    <row r="663" spans="2:6" ht="31.95" hidden="1" customHeight="1" x14ac:dyDescent="0.3">
      <c r="B663" s="6" t="str">
        <f ca="1">IF(AND(NEGOCIAÇÕES!P663="",NEGOCIAÇÕES!N663&lt;TODAY()),NEGOCIAÇÕES!C663,"")</f>
        <v/>
      </c>
      <c r="C663" s="6" t="str">
        <f ca="1">IF(AND(NEGOCIAÇÕES!P663="",NEGOCIAÇÕES!N663&lt;TODAY()),NEGOCIAÇÕES!E663,"")</f>
        <v/>
      </c>
      <c r="D663" s="6" t="str">
        <f ca="1">IF(AND(NEGOCIAÇÕES!P663="",NEGOCIAÇÕES!N663&lt;TODAY()),NEGOCIAÇÕES!D663,"")</f>
        <v/>
      </c>
      <c r="E663" s="9" t="str">
        <f ca="1">IF(AND(NEGOCIAÇÕES!P663="",NEGOCIAÇÕES!N663&lt;TODAY()),NEGOCIAÇÕES!N663,"")</f>
        <v/>
      </c>
      <c r="F663" s="6"/>
    </row>
    <row r="664" spans="2:6" ht="31.95" hidden="1" customHeight="1" x14ac:dyDescent="0.3">
      <c r="B664" s="6" t="str">
        <f ca="1">IF(AND(NEGOCIAÇÕES!P664="",NEGOCIAÇÕES!N664&lt;TODAY()),NEGOCIAÇÕES!C664,"")</f>
        <v/>
      </c>
      <c r="C664" s="6" t="str">
        <f ca="1">IF(AND(NEGOCIAÇÕES!P664="",NEGOCIAÇÕES!N664&lt;TODAY()),NEGOCIAÇÕES!E664,"")</f>
        <v/>
      </c>
      <c r="D664" s="6" t="str">
        <f ca="1">IF(AND(NEGOCIAÇÕES!P664="",NEGOCIAÇÕES!N664&lt;TODAY()),NEGOCIAÇÕES!D664,"")</f>
        <v/>
      </c>
      <c r="E664" s="9" t="str">
        <f ca="1">IF(AND(NEGOCIAÇÕES!P664="",NEGOCIAÇÕES!N664&lt;TODAY()),NEGOCIAÇÕES!N664,"")</f>
        <v/>
      </c>
      <c r="F664" s="6"/>
    </row>
    <row r="665" spans="2:6" ht="31.95" hidden="1" customHeight="1" x14ac:dyDescent="0.3">
      <c r="B665" s="6" t="str">
        <f ca="1">IF(AND(NEGOCIAÇÕES!P665="",NEGOCIAÇÕES!N665&lt;TODAY()),NEGOCIAÇÕES!C665,"")</f>
        <v/>
      </c>
      <c r="C665" s="6" t="str">
        <f ca="1">IF(AND(NEGOCIAÇÕES!P665="",NEGOCIAÇÕES!N665&lt;TODAY()),NEGOCIAÇÕES!E665,"")</f>
        <v/>
      </c>
      <c r="D665" s="6" t="str">
        <f ca="1">IF(AND(NEGOCIAÇÕES!P665="",NEGOCIAÇÕES!N665&lt;TODAY()),NEGOCIAÇÕES!D665,"")</f>
        <v/>
      </c>
      <c r="E665" s="9" t="str">
        <f ca="1">IF(AND(NEGOCIAÇÕES!P665="",NEGOCIAÇÕES!N665&lt;TODAY()),NEGOCIAÇÕES!N665,"")</f>
        <v/>
      </c>
      <c r="F665" s="6"/>
    </row>
    <row r="666" spans="2:6" ht="31.95" hidden="1" customHeight="1" x14ac:dyDescent="0.3">
      <c r="B666" s="6" t="str">
        <f ca="1">IF(AND(NEGOCIAÇÕES!P666="",NEGOCIAÇÕES!N666&lt;TODAY()),NEGOCIAÇÕES!C666,"")</f>
        <v/>
      </c>
      <c r="C666" s="6" t="str">
        <f ca="1">IF(AND(NEGOCIAÇÕES!P666="",NEGOCIAÇÕES!N666&lt;TODAY()),NEGOCIAÇÕES!E666,"")</f>
        <v/>
      </c>
      <c r="D666" s="6" t="str">
        <f ca="1">IF(AND(NEGOCIAÇÕES!P666="",NEGOCIAÇÕES!N666&lt;TODAY()),NEGOCIAÇÕES!D666,"")</f>
        <v/>
      </c>
      <c r="E666" s="9" t="str">
        <f ca="1">IF(AND(NEGOCIAÇÕES!P666="",NEGOCIAÇÕES!N666&lt;TODAY()),NEGOCIAÇÕES!N666,"")</f>
        <v/>
      </c>
      <c r="F666" s="6"/>
    </row>
    <row r="667" spans="2:6" ht="31.95" hidden="1" customHeight="1" x14ac:dyDescent="0.3">
      <c r="B667" s="6" t="str">
        <f ca="1">IF(AND(NEGOCIAÇÕES!P667="",NEGOCIAÇÕES!N667&lt;TODAY()),NEGOCIAÇÕES!C667,"")</f>
        <v/>
      </c>
      <c r="C667" s="6" t="str">
        <f ca="1">IF(AND(NEGOCIAÇÕES!P667="",NEGOCIAÇÕES!N667&lt;TODAY()),NEGOCIAÇÕES!E667,"")</f>
        <v/>
      </c>
      <c r="D667" s="6" t="str">
        <f ca="1">IF(AND(NEGOCIAÇÕES!P667="",NEGOCIAÇÕES!N667&lt;TODAY()),NEGOCIAÇÕES!D667,"")</f>
        <v/>
      </c>
      <c r="E667" s="9" t="str">
        <f ca="1">IF(AND(NEGOCIAÇÕES!P667="",NEGOCIAÇÕES!N667&lt;TODAY()),NEGOCIAÇÕES!N667,"")</f>
        <v/>
      </c>
      <c r="F667" s="6"/>
    </row>
    <row r="668" spans="2:6" ht="31.95" hidden="1" customHeight="1" x14ac:dyDescent="0.3">
      <c r="B668" s="6" t="str">
        <f ca="1">IF(AND(NEGOCIAÇÕES!P668="",NEGOCIAÇÕES!N668&lt;TODAY()),NEGOCIAÇÕES!C668,"")</f>
        <v/>
      </c>
      <c r="C668" s="6" t="str">
        <f ca="1">IF(AND(NEGOCIAÇÕES!P668="",NEGOCIAÇÕES!N668&lt;TODAY()),NEGOCIAÇÕES!E668,"")</f>
        <v/>
      </c>
      <c r="D668" s="6" t="str">
        <f ca="1">IF(AND(NEGOCIAÇÕES!P668="",NEGOCIAÇÕES!N668&lt;TODAY()),NEGOCIAÇÕES!D668,"")</f>
        <v/>
      </c>
      <c r="E668" s="9" t="str">
        <f ca="1">IF(AND(NEGOCIAÇÕES!P668="",NEGOCIAÇÕES!N668&lt;TODAY()),NEGOCIAÇÕES!N668,"")</f>
        <v/>
      </c>
      <c r="F668" s="6"/>
    </row>
    <row r="669" spans="2:6" ht="31.95" hidden="1" customHeight="1" x14ac:dyDescent="0.3">
      <c r="B669" s="6" t="str">
        <f ca="1">IF(AND(NEGOCIAÇÕES!P669="",NEGOCIAÇÕES!N669&lt;TODAY()),NEGOCIAÇÕES!C669,"")</f>
        <v/>
      </c>
      <c r="C669" s="6" t="str">
        <f ca="1">IF(AND(NEGOCIAÇÕES!P669="",NEGOCIAÇÕES!N669&lt;TODAY()),NEGOCIAÇÕES!E669,"")</f>
        <v/>
      </c>
      <c r="D669" s="6" t="str">
        <f ca="1">IF(AND(NEGOCIAÇÕES!P669="",NEGOCIAÇÕES!N669&lt;TODAY()),NEGOCIAÇÕES!D669,"")</f>
        <v/>
      </c>
      <c r="E669" s="9" t="str">
        <f ca="1">IF(AND(NEGOCIAÇÕES!P669="",NEGOCIAÇÕES!N669&lt;TODAY()),NEGOCIAÇÕES!N669,"")</f>
        <v/>
      </c>
      <c r="F669" s="6"/>
    </row>
    <row r="670" spans="2:6" ht="31.95" hidden="1" customHeight="1" x14ac:dyDescent="0.3">
      <c r="B670" s="6" t="str">
        <f ca="1">IF(AND(NEGOCIAÇÕES!P670="",NEGOCIAÇÕES!N670&lt;TODAY()),NEGOCIAÇÕES!C670,"")</f>
        <v/>
      </c>
      <c r="C670" s="6" t="str">
        <f ca="1">IF(AND(NEGOCIAÇÕES!P670="",NEGOCIAÇÕES!N670&lt;TODAY()),NEGOCIAÇÕES!E670,"")</f>
        <v/>
      </c>
      <c r="D670" s="6" t="str">
        <f ca="1">IF(AND(NEGOCIAÇÕES!P670="",NEGOCIAÇÕES!N670&lt;TODAY()),NEGOCIAÇÕES!D670,"")</f>
        <v/>
      </c>
      <c r="E670" s="9" t="str">
        <f ca="1">IF(AND(NEGOCIAÇÕES!P670="",NEGOCIAÇÕES!N670&lt;TODAY()),NEGOCIAÇÕES!N670,"")</f>
        <v/>
      </c>
      <c r="F670" s="6"/>
    </row>
    <row r="671" spans="2:6" ht="31.95" hidden="1" customHeight="1" x14ac:dyDescent="0.3">
      <c r="B671" s="6" t="str">
        <f ca="1">IF(AND(NEGOCIAÇÕES!P671="",NEGOCIAÇÕES!N671&lt;TODAY()),NEGOCIAÇÕES!C671,"")</f>
        <v/>
      </c>
      <c r="C671" s="6" t="str">
        <f ca="1">IF(AND(NEGOCIAÇÕES!P671="",NEGOCIAÇÕES!N671&lt;TODAY()),NEGOCIAÇÕES!E671,"")</f>
        <v/>
      </c>
      <c r="D671" s="6" t="str">
        <f ca="1">IF(AND(NEGOCIAÇÕES!P671="",NEGOCIAÇÕES!N671&lt;TODAY()),NEGOCIAÇÕES!D671,"")</f>
        <v/>
      </c>
      <c r="E671" s="9" t="str">
        <f ca="1">IF(AND(NEGOCIAÇÕES!P671="",NEGOCIAÇÕES!N671&lt;TODAY()),NEGOCIAÇÕES!N671,"")</f>
        <v/>
      </c>
      <c r="F671" s="6"/>
    </row>
    <row r="672" spans="2:6" ht="31.95" hidden="1" customHeight="1" x14ac:dyDescent="0.3">
      <c r="B672" s="6" t="str">
        <f ca="1">IF(AND(NEGOCIAÇÕES!P672="",NEGOCIAÇÕES!N672&lt;TODAY()),NEGOCIAÇÕES!C672,"")</f>
        <v/>
      </c>
      <c r="C672" s="6" t="str">
        <f ca="1">IF(AND(NEGOCIAÇÕES!P672="",NEGOCIAÇÕES!N672&lt;TODAY()),NEGOCIAÇÕES!E672,"")</f>
        <v/>
      </c>
      <c r="D672" s="6" t="str">
        <f ca="1">IF(AND(NEGOCIAÇÕES!P672="",NEGOCIAÇÕES!N672&lt;TODAY()),NEGOCIAÇÕES!D672,"")</f>
        <v/>
      </c>
      <c r="E672" s="9" t="str">
        <f ca="1">IF(AND(NEGOCIAÇÕES!P672="",NEGOCIAÇÕES!N672&lt;TODAY()),NEGOCIAÇÕES!N672,"")</f>
        <v/>
      </c>
      <c r="F672" s="6"/>
    </row>
    <row r="673" spans="2:6" ht="31.95" hidden="1" customHeight="1" x14ac:dyDescent="0.3">
      <c r="B673" s="6" t="str">
        <f ca="1">IF(AND(NEGOCIAÇÕES!P673="",NEGOCIAÇÕES!N673&lt;TODAY()),NEGOCIAÇÕES!C673,"")</f>
        <v/>
      </c>
      <c r="C673" s="6" t="str">
        <f ca="1">IF(AND(NEGOCIAÇÕES!P673="",NEGOCIAÇÕES!N673&lt;TODAY()),NEGOCIAÇÕES!E673,"")</f>
        <v/>
      </c>
      <c r="D673" s="6" t="str">
        <f ca="1">IF(AND(NEGOCIAÇÕES!P673="",NEGOCIAÇÕES!N673&lt;TODAY()),NEGOCIAÇÕES!D673,"")</f>
        <v/>
      </c>
      <c r="E673" s="9" t="str">
        <f ca="1">IF(AND(NEGOCIAÇÕES!P673="",NEGOCIAÇÕES!N673&lt;TODAY()),NEGOCIAÇÕES!N673,"")</f>
        <v/>
      </c>
      <c r="F673" s="6"/>
    </row>
    <row r="674" spans="2:6" ht="31.95" hidden="1" customHeight="1" x14ac:dyDescent="0.3">
      <c r="B674" s="6" t="str">
        <f ca="1">IF(AND(NEGOCIAÇÕES!P674="",NEGOCIAÇÕES!N674&lt;TODAY()),NEGOCIAÇÕES!C674,"")</f>
        <v/>
      </c>
      <c r="C674" s="6" t="str">
        <f ca="1">IF(AND(NEGOCIAÇÕES!P674="",NEGOCIAÇÕES!N674&lt;TODAY()),NEGOCIAÇÕES!E674,"")</f>
        <v/>
      </c>
      <c r="D674" s="6" t="str">
        <f ca="1">IF(AND(NEGOCIAÇÕES!P674="",NEGOCIAÇÕES!N674&lt;TODAY()),NEGOCIAÇÕES!D674,"")</f>
        <v/>
      </c>
      <c r="E674" s="9" t="str">
        <f ca="1">IF(AND(NEGOCIAÇÕES!P674="",NEGOCIAÇÕES!N674&lt;TODAY()),NEGOCIAÇÕES!N674,"")</f>
        <v/>
      </c>
      <c r="F674" s="6"/>
    </row>
    <row r="675" spans="2:6" ht="31.95" hidden="1" customHeight="1" x14ac:dyDescent="0.3">
      <c r="B675" s="6" t="str">
        <f ca="1">IF(AND(NEGOCIAÇÕES!P675="",NEGOCIAÇÕES!N675&lt;TODAY()),NEGOCIAÇÕES!C675,"")</f>
        <v/>
      </c>
      <c r="C675" s="6" t="str">
        <f ca="1">IF(AND(NEGOCIAÇÕES!P675="",NEGOCIAÇÕES!N675&lt;TODAY()),NEGOCIAÇÕES!E675,"")</f>
        <v/>
      </c>
      <c r="D675" s="6" t="str">
        <f ca="1">IF(AND(NEGOCIAÇÕES!P675="",NEGOCIAÇÕES!N675&lt;TODAY()),NEGOCIAÇÕES!D675,"")</f>
        <v/>
      </c>
      <c r="E675" s="9" t="str">
        <f ca="1">IF(AND(NEGOCIAÇÕES!P675="",NEGOCIAÇÕES!N675&lt;TODAY()),NEGOCIAÇÕES!N675,"")</f>
        <v/>
      </c>
      <c r="F675" s="6"/>
    </row>
    <row r="676" spans="2:6" ht="31.95" hidden="1" customHeight="1" x14ac:dyDescent="0.3">
      <c r="B676" s="6" t="str">
        <f ca="1">IF(AND(NEGOCIAÇÕES!P676="",NEGOCIAÇÕES!N676&lt;TODAY()),NEGOCIAÇÕES!C676,"")</f>
        <v/>
      </c>
      <c r="C676" s="6" t="str">
        <f ca="1">IF(AND(NEGOCIAÇÕES!P676="",NEGOCIAÇÕES!N676&lt;TODAY()),NEGOCIAÇÕES!E676,"")</f>
        <v/>
      </c>
      <c r="D676" s="6" t="str">
        <f ca="1">IF(AND(NEGOCIAÇÕES!P676="",NEGOCIAÇÕES!N676&lt;TODAY()),NEGOCIAÇÕES!D676,"")</f>
        <v/>
      </c>
      <c r="E676" s="9" t="str">
        <f ca="1">IF(AND(NEGOCIAÇÕES!P676="",NEGOCIAÇÕES!N676&lt;TODAY()),NEGOCIAÇÕES!N676,"")</f>
        <v/>
      </c>
      <c r="F676" s="6"/>
    </row>
    <row r="677" spans="2:6" ht="31.95" hidden="1" customHeight="1" x14ac:dyDescent="0.3">
      <c r="B677" s="6" t="str">
        <f ca="1">IF(AND(NEGOCIAÇÕES!P677="",NEGOCIAÇÕES!N677&lt;TODAY()),NEGOCIAÇÕES!C677,"")</f>
        <v/>
      </c>
      <c r="C677" s="6" t="str">
        <f ca="1">IF(AND(NEGOCIAÇÕES!P677="",NEGOCIAÇÕES!N677&lt;TODAY()),NEGOCIAÇÕES!E677,"")</f>
        <v/>
      </c>
      <c r="D677" s="6" t="str">
        <f ca="1">IF(AND(NEGOCIAÇÕES!P677="",NEGOCIAÇÕES!N677&lt;TODAY()),NEGOCIAÇÕES!D677,"")</f>
        <v/>
      </c>
      <c r="E677" s="9" t="str">
        <f ca="1">IF(AND(NEGOCIAÇÕES!P677="",NEGOCIAÇÕES!N677&lt;TODAY()),NEGOCIAÇÕES!N677,"")</f>
        <v/>
      </c>
      <c r="F677" s="6"/>
    </row>
    <row r="678" spans="2:6" ht="31.95" hidden="1" customHeight="1" x14ac:dyDescent="0.3">
      <c r="B678" s="6" t="str">
        <f ca="1">IF(AND(NEGOCIAÇÕES!P678="",NEGOCIAÇÕES!N678&lt;TODAY()),NEGOCIAÇÕES!C678,"")</f>
        <v/>
      </c>
      <c r="C678" s="6" t="str">
        <f ca="1">IF(AND(NEGOCIAÇÕES!P678="",NEGOCIAÇÕES!N678&lt;TODAY()),NEGOCIAÇÕES!E678,"")</f>
        <v/>
      </c>
      <c r="D678" s="6" t="str">
        <f ca="1">IF(AND(NEGOCIAÇÕES!P678="",NEGOCIAÇÕES!N678&lt;TODAY()),NEGOCIAÇÕES!D678,"")</f>
        <v/>
      </c>
      <c r="E678" s="9" t="str">
        <f ca="1">IF(AND(NEGOCIAÇÕES!P678="",NEGOCIAÇÕES!N678&lt;TODAY()),NEGOCIAÇÕES!N678,"")</f>
        <v/>
      </c>
      <c r="F678" s="6"/>
    </row>
    <row r="679" spans="2:6" ht="31.95" hidden="1" customHeight="1" x14ac:dyDescent="0.3">
      <c r="B679" s="6" t="str">
        <f ca="1">IF(AND(NEGOCIAÇÕES!P679="",NEGOCIAÇÕES!N679&lt;TODAY()),NEGOCIAÇÕES!C679,"")</f>
        <v/>
      </c>
      <c r="C679" s="6" t="str">
        <f ca="1">IF(AND(NEGOCIAÇÕES!P679="",NEGOCIAÇÕES!N679&lt;TODAY()),NEGOCIAÇÕES!E679,"")</f>
        <v/>
      </c>
      <c r="D679" s="6" t="str">
        <f ca="1">IF(AND(NEGOCIAÇÕES!P679="",NEGOCIAÇÕES!N679&lt;TODAY()),NEGOCIAÇÕES!D679,"")</f>
        <v/>
      </c>
      <c r="E679" s="9" t="str">
        <f ca="1">IF(AND(NEGOCIAÇÕES!P679="",NEGOCIAÇÕES!N679&lt;TODAY()),NEGOCIAÇÕES!N679,"")</f>
        <v/>
      </c>
      <c r="F679" s="6"/>
    </row>
    <row r="680" spans="2:6" ht="31.95" hidden="1" customHeight="1" x14ac:dyDescent="0.3">
      <c r="B680" s="6" t="str">
        <f ca="1">IF(AND(NEGOCIAÇÕES!P680="",NEGOCIAÇÕES!N680&lt;TODAY()),NEGOCIAÇÕES!C680,"")</f>
        <v/>
      </c>
      <c r="C680" s="6" t="str">
        <f ca="1">IF(AND(NEGOCIAÇÕES!P680="",NEGOCIAÇÕES!N680&lt;TODAY()),NEGOCIAÇÕES!E680,"")</f>
        <v/>
      </c>
      <c r="D680" s="6" t="str">
        <f ca="1">IF(AND(NEGOCIAÇÕES!P680="",NEGOCIAÇÕES!N680&lt;TODAY()),NEGOCIAÇÕES!D680,"")</f>
        <v/>
      </c>
      <c r="E680" s="9" t="str">
        <f ca="1">IF(AND(NEGOCIAÇÕES!P680="",NEGOCIAÇÕES!N680&lt;TODAY()),NEGOCIAÇÕES!N680,"")</f>
        <v/>
      </c>
      <c r="F680" s="6"/>
    </row>
    <row r="681" spans="2:6" ht="31.95" hidden="1" customHeight="1" x14ac:dyDescent="0.3">
      <c r="B681" s="6" t="str">
        <f ca="1">IF(AND(NEGOCIAÇÕES!P681="",NEGOCIAÇÕES!N681&lt;TODAY()),NEGOCIAÇÕES!C681,"")</f>
        <v/>
      </c>
      <c r="C681" s="6" t="str">
        <f ca="1">IF(AND(NEGOCIAÇÕES!P681="",NEGOCIAÇÕES!N681&lt;TODAY()),NEGOCIAÇÕES!E681,"")</f>
        <v/>
      </c>
      <c r="D681" s="6" t="str">
        <f ca="1">IF(AND(NEGOCIAÇÕES!P681="",NEGOCIAÇÕES!N681&lt;TODAY()),NEGOCIAÇÕES!D681,"")</f>
        <v/>
      </c>
      <c r="E681" s="9" t="str">
        <f ca="1">IF(AND(NEGOCIAÇÕES!P681="",NEGOCIAÇÕES!N681&lt;TODAY()),NEGOCIAÇÕES!N681,"")</f>
        <v/>
      </c>
      <c r="F681" s="6"/>
    </row>
    <row r="682" spans="2:6" ht="31.95" hidden="1" customHeight="1" x14ac:dyDescent="0.3">
      <c r="B682" s="6" t="str">
        <f ca="1">IF(AND(NEGOCIAÇÕES!P682="",NEGOCIAÇÕES!N682&lt;TODAY()),NEGOCIAÇÕES!C682,"")</f>
        <v/>
      </c>
      <c r="C682" s="6" t="str">
        <f ca="1">IF(AND(NEGOCIAÇÕES!P682="",NEGOCIAÇÕES!N682&lt;TODAY()),NEGOCIAÇÕES!E682,"")</f>
        <v/>
      </c>
      <c r="D682" s="6" t="str">
        <f ca="1">IF(AND(NEGOCIAÇÕES!P682="",NEGOCIAÇÕES!N682&lt;TODAY()),NEGOCIAÇÕES!D682,"")</f>
        <v/>
      </c>
      <c r="E682" s="9" t="str">
        <f ca="1">IF(AND(NEGOCIAÇÕES!P682="",NEGOCIAÇÕES!N682&lt;TODAY()),NEGOCIAÇÕES!N682,"")</f>
        <v/>
      </c>
      <c r="F682" s="6"/>
    </row>
    <row r="683" spans="2:6" ht="31.95" hidden="1" customHeight="1" x14ac:dyDescent="0.3">
      <c r="B683" s="6" t="str">
        <f ca="1">IF(AND(NEGOCIAÇÕES!P683="",NEGOCIAÇÕES!N683&lt;TODAY()),NEGOCIAÇÕES!C683,"")</f>
        <v/>
      </c>
      <c r="C683" s="6" t="str">
        <f ca="1">IF(AND(NEGOCIAÇÕES!P683="",NEGOCIAÇÕES!N683&lt;TODAY()),NEGOCIAÇÕES!E683,"")</f>
        <v/>
      </c>
      <c r="D683" s="6" t="str">
        <f ca="1">IF(AND(NEGOCIAÇÕES!P683="",NEGOCIAÇÕES!N683&lt;TODAY()),NEGOCIAÇÕES!D683,"")</f>
        <v/>
      </c>
      <c r="E683" s="9" t="str">
        <f ca="1">IF(AND(NEGOCIAÇÕES!P683="",NEGOCIAÇÕES!N683&lt;TODAY()),NEGOCIAÇÕES!N683,"")</f>
        <v/>
      </c>
      <c r="F683" s="6"/>
    </row>
    <row r="684" spans="2:6" ht="31.95" hidden="1" customHeight="1" x14ac:dyDescent="0.3">
      <c r="B684" s="6" t="str">
        <f ca="1">IF(AND(NEGOCIAÇÕES!P684="",NEGOCIAÇÕES!N684&lt;TODAY()),NEGOCIAÇÕES!C684,"")</f>
        <v/>
      </c>
      <c r="C684" s="6" t="str">
        <f ca="1">IF(AND(NEGOCIAÇÕES!P684="",NEGOCIAÇÕES!N684&lt;TODAY()),NEGOCIAÇÕES!E684,"")</f>
        <v/>
      </c>
      <c r="D684" s="6" t="str">
        <f ca="1">IF(AND(NEGOCIAÇÕES!P684="",NEGOCIAÇÕES!N684&lt;TODAY()),NEGOCIAÇÕES!D684,"")</f>
        <v/>
      </c>
      <c r="E684" s="9" t="str">
        <f ca="1">IF(AND(NEGOCIAÇÕES!P684="",NEGOCIAÇÕES!N684&lt;TODAY()),NEGOCIAÇÕES!N684,"")</f>
        <v/>
      </c>
      <c r="F684" s="6"/>
    </row>
    <row r="685" spans="2:6" ht="31.95" hidden="1" customHeight="1" x14ac:dyDescent="0.3">
      <c r="B685" s="6" t="str">
        <f ca="1">IF(AND(NEGOCIAÇÕES!P685="",NEGOCIAÇÕES!N685&lt;TODAY()),NEGOCIAÇÕES!C685,"")</f>
        <v/>
      </c>
      <c r="C685" s="6" t="str">
        <f ca="1">IF(AND(NEGOCIAÇÕES!P685="",NEGOCIAÇÕES!N685&lt;TODAY()),NEGOCIAÇÕES!E685,"")</f>
        <v/>
      </c>
      <c r="D685" s="6" t="str">
        <f ca="1">IF(AND(NEGOCIAÇÕES!P685="",NEGOCIAÇÕES!N685&lt;TODAY()),NEGOCIAÇÕES!D685,"")</f>
        <v/>
      </c>
      <c r="E685" s="9" t="str">
        <f ca="1">IF(AND(NEGOCIAÇÕES!P685="",NEGOCIAÇÕES!N685&lt;TODAY()),NEGOCIAÇÕES!N685,"")</f>
        <v/>
      </c>
      <c r="F685" s="6"/>
    </row>
    <row r="686" spans="2:6" ht="31.95" hidden="1" customHeight="1" x14ac:dyDescent="0.3">
      <c r="B686" s="6" t="str">
        <f ca="1">IF(AND(NEGOCIAÇÕES!P686="",NEGOCIAÇÕES!N686&lt;TODAY()),NEGOCIAÇÕES!C686,"")</f>
        <v/>
      </c>
      <c r="C686" s="6" t="str">
        <f ca="1">IF(AND(NEGOCIAÇÕES!P686="",NEGOCIAÇÕES!N686&lt;TODAY()),NEGOCIAÇÕES!E686,"")</f>
        <v/>
      </c>
      <c r="D686" s="6" t="str">
        <f ca="1">IF(AND(NEGOCIAÇÕES!P686="",NEGOCIAÇÕES!N686&lt;TODAY()),NEGOCIAÇÕES!D686,"")</f>
        <v/>
      </c>
      <c r="E686" s="9" t="str">
        <f ca="1">IF(AND(NEGOCIAÇÕES!P686="",NEGOCIAÇÕES!N686&lt;TODAY()),NEGOCIAÇÕES!N686,"")</f>
        <v/>
      </c>
      <c r="F686" s="6"/>
    </row>
    <row r="687" spans="2:6" ht="31.95" hidden="1" customHeight="1" x14ac:dyDescent="0.3">
      <c r="B687" s="6" t="str">
        <f ca="1">IF(AND(NEGOCIAÇÕES!P687="",NEGOCIAÇÕES!N687&lt;TODAY()),NEGOCIAÇÕES!C687,"")</f>
        <v/>
      </c>
      <c r="C687" s="6" t="str">
        <f ca="1">IF(AND(NEGOCIAÇÕES!P687="",NEGOCIAÇÕES!N687&lt;TODAY()),NEGOCIAÇÕES!E687,"")</f>
        <v/>
      </c>
      <c r="D687" s="6" t="str">
        <f ca="1">IF(AND(NEGOCIAÇÕES!P687="",NEGOCIAÇÕES!N687&lt;TODAY()),NEGOCIAÇÕES!D687,"")</f>
        <v/>
      </c>
      <c r="E687" s="9" t="str">
        <f ca="1">IF(AND(NEGOCIAÇÕES!P687="",NEGOCIAÇÕES!N687&lt;TODAY()),NEGOCIAÇÕES!N687,"")</f>
        <v/>
      </c>
      <c r="F687" s="6"/>
    </row>
    <row r="688" spans="2:6" ht="31.95" hidden="1" customHeight="1" x14ac:dyDescent="0.3">
      <c r="B688" s="6" t="str">
        <f ca="1">IF(AND(NEGOCIAÇÕES!P688="",NEGOCIAÇÕES!N688&lt;TODAY()),NEGOCIAÇÕES!C688,"")</f>
        <v/>
      </c>
      <c r="C688" s="6" t="str">
        <f ca="1">IF(AND(NEGOCIAÇÕES!P688="",NEGOCIAÇÕES!N688&lt;TODAY()),NEGOCIAÇÕES!E688,"")</f>
        <v/>
      </c>
      <c r="D688" s="6" t="str">
        <f ca="1">IF(AND(NEGOCIAÇÕES!P688="",NEGOCIAÇÕES!N688&lt;TODAY()),NEGOCIAÇÕES!D688,"")</f>
        <v/>
      </c>
      <c r="E688" s="9" t="str">
        <f ca="1">IF(AND(NEGOCIAÇÕES!P688="",NEGOCIAÇÕES!N688&lt;TODAY()),NEGOCIAÇÕES!N688,"")</f>
        <v/>
      </c>
      <c r="F688" s="6"/>
    </row>
    <row r="689" spans="2:6" ht="31.95" hidden="1" customHeight="1" x14ac:dyDescent="0.3">
      <c r="B689" s="6" t="str">
        <f ca="1">IF(AND(NEGOCIAÇÕES!P689="",NEGOCIAÇÕES!N689&lt;TODAY()),NEGOCIAÇÕES!C689,"")</f>
        <v/>
      </c>
      <c r="C689" s="6" t="str">
        <f ca="1">IF(AND(NEGOCIAÇÕES!P689="",NEGOCIAÇÕES!N689&lt;TODAY()),NEGOCIAÇÕES!E689,"")</f>
        <v/>
      </c>
      <c r="D689" s="6" t="str">
        <f ca="1">IF(AND(NEGOCIAÇÕES!P689="",NEGOCIAÇÕES!N689&lt;TODAY()),NEGOCIAÇÕES!D689,"")</f>
        <v/>
      </c>
      <c r="E689" s="9" t="str">
        <f ca="1">IF(AND(NEGOCIAÇÕES!P689="",NEGOCIAÇÕES!N689&lt;TODAY()),NEGOCIAÇÕES!N689,"")</f>
        <v/>
      </c>
      <c r="F689" s="6"/>
    </row>
    <row r="690" spans="2:6" ht="31.95" hidden="1" customHeight="1" x14ac:dyDescent="0.3">
      <c r="B690" s="6" t="str">
        <f ca="1">IF(AND(NEGOCIAÇÕES!P690="",NEGOCIAÇÕES!N690&lt;TODAY()),NEGOCIAÇÕES!C690,"")</f>
        <v/>
      </c>
      <c r="C690" s="6" t="str">
        <f ca="1">IF(AND(NEGOCIAÇÕES!P690="",NEGOCIAÇÕES!N690&lt;TODAY()),NEGOCIAÇÕES!E690,"")</f>
        <v/>
      </c>
      <c r="D690" s="6" t="str">
        <f ca="1">IF(AND(NEGOCIAÇÕES!P690="",NEGOCIAÇÕES!N690&lt;TODAY()),NEGOCIAÇÕES!D690,"")</f>
        <v/>
      </c>
      <c r="E690" s="9" t="str">
        <f ca="1">IF(AND(NEGOCIAÇÕES!P690="",NEGOCIAÇÕES!N690&lt;TODAY()),NEGOCIAÇÕES!N690,"")</f>
        <v/>
      </c>
      <c r="F690" s="6"/>
    </row>
    <row r="691" spans="2:6" ht="31.95" hidden="1" customHeight="1" x14ac:dyDescent="0.3">
      <c r="B691" s="6" t="str">
        <f ca="1">IF(AND(NEGOCIAÇÕES!P691="",NEGOCIAÇÕES!N691&lt;TODAY()),NEGOCIAÇÕES!C691,"")</f>
        <v/>
      </c>
      <c r="C691" s="6" t="str">
        <f ca="1">IF(AND(NEGOCIAÇÕES!P691="",NEGOCIAÇÕES!N691&lt;TODAY()),NEGOCIAÇÕES!E691,"")</f>
        <v/>
      </c>
      <c r="D691" s="6" t="str">
        <f ca="1">IF(AND(NEGOCIAÇÕES!P691="",NEGOCIAÇÕES!N691&lt;TODAY()),NEGOCIAÇÕES!D691,"")</f>
        <v/>
      </c>
      <c r="E691" s="9" t="str">
        <f ca="1">IF(AND(NEGOCIAÇÕES!P691="",NEGOCIAÇÕES!N691&lt;TODAY()),NEGOCIAÇÕES!N691,"")</f>
        <v/>
      </c>
      <c r="F691" s="6"/>
    </row>
    <row r="692" spans="2:6" ht="31.95" hidden="1" customHeight="1" x14ac:dyDescent="0.3">
      <c r="B692" s="6" t="str">
        <f ca="1">IF(AND(NEGOCIAÇÕES!P692="",NEGOCIAÇÕES!N692&lt;TODAY()),NEGOCIAÇÕES!C692,"")</f>
        <v/>
      </c>
      <c r="C692" s="6" t="str">
        <f ca="1">IF(AND(NEGOCIAÇÕES!P692="",NEGOCIAÇÕES!N692&lt;TODAY()),NEGOCIAÇÕES!E692,"")</f>
        <v/>
      </c>
      <c r="D692" s="6" t="str">
        <f ca="1">IF(AND(NEGOCIAÇÕES!P692="",NEGOCIAÇÕES!N692&lt;TODAY()),NEGOCIAÇÕES!D692,"")</f>
        <v/>
      </c>
      <c r="E692" s="9" t="str">
        <f ca="1">IF(AND(NEGOCIAÇÕES!P692="",NEGOCIAÇÕES!N692&lt;TODAY()),NEGOCIAÇÕES!N692,"")</f>
        <v/>
      </c>
      <c r="F692" s="6"/>
    </row>
    <row r="693" spans="2:6" ht="31.95" hidden="1" customHeight="1" x14ac:dyDescent="0.3">
      <c r="B693" s="6" t="str">
        <f ca="1">IF(AND(NEGOCIAÇÕES!P693="",NEGOCIAÇÕES!N693&lt;TODAY()),NEGOCIAÇÕES!C693,"")</f>
        <v/>
      </c>
      <c r="C693" s="6" t="str">
        <f ca="1">IF(AND(NEGOCIAÇÕES!P693="",NEGOCIAÇÕES!N693&lt;TODAY()),NEGOCIAÇÕES!E693,"")</f>
        <v/>
      </c>
      <c r="D693" s="6" t="str">
        <f ca="1">IF(AND(NEGOCIAÇÕES!P693="",NEGOCIAÇÕES!N693&lt;TODAY()),NEGOCIAÇÕES!D693,"")</f>
        <v/>
      </c>
      <c r="E693" s="9" t="str">
        <f ca="1">IF(AND(NEGOCIAÇÕES!P693="",NEGOCIAÇÕES!N693&lt;TODAY()),NEGOCIAÇÕES!N693,"")</f>
        <v/>
      </c>
      <c r="F693" s="6"/>
    </row>
    <row r="694" spans="2:6" ht="31.95" hidden="1" customHeight="1" x14ac:dyDescent="0.3">
      <c r="B694" s="6" t="str">
        <f ca="1">IF(AND(NEGOCIAÇÕES!P694="",NEGOCIAÇÕES!N694&lt;TODAY()),NEGOCIAÇÕES!C694,"")</f>
        <v/>
      </c>
      <c r="C694" s="6" t="str">
        <f ca="1">IF(AND(NEGOCIAÇÕES!P694="",NEGOCIAÇÕES!N694&lt;TODAY()),NEGOCIAÇÕES!E694,"")</f>
        <v/>
      </c>
      <c r="D694" s="6" t="str">
        <f ca="1">IF(AND(NEGOCIAÇÕES!P694="",NEGOCIAÇÕES!N694&lt;TODAY()),NEGOCIAÇÕES!D694,"")</f>
        <v/>
      </c>
      <c r="E694" s="9" t="str">
        <f ca="1">IF(AND(NEGOCIAÇÕES!P694="",NEGOCIAÇÕES!N694&lt;TODAY()),NEGOCIAÇÕES!N694,"")</f>
        <v/>
      </c>
      <c r="F694" s="6"/>
    </row>
    <row r="695" spans="2:6" ht="31.95" hidden="1" customHeight="1" x14ac:dyDescent="0.3">
      <c r="B695" s="6" t="str">
        <f ca="1">IF(AND(NEGOCIAÇÕES!P695="",NEGOCIAÇÕES!N695&lt;TODAY()),NEGOCIAÇÕES!C695,"")</f>
        <v/>
      </c>
      <c r="C695" s="6" t="str">
        <f ca="1">IF(AND(NEGOCIAÇÕES!P695="",NEGOCIAÇÕES!N695&lt;TODAY()),NEGOCIAÇÕES!E695,"")</f>
        <v/>
      </c>
      <c r="D695" s="6" t="str">
        <f ca="1">IF(AND(NEGOCIAÇÕES!P695="",NEGOCIAÇÕES!N695&lt;TODAY()),NEGOCIAÇÕES!D695,"")</f>
        <v/>
      </c>
      <c r="E695" s="9" t="str">
        <f ca="1">IF(AND(NEGOCIAÇÕES!P695="",NEGOCIAÇÕES!N695&lt;TODAY()),NEGOCIAÇÕES!N695,"")</f>
        <v/>
      </c>
      <c r="F695" s="6"/>
    </row>
    <row r="696" spans="2:6" ht="31.95" hidden="1" customHeight="1" x14ac:dyDescent="0.3">
      <c r="B696" s="6" t="str">
        <f ca="1">IF(AND(NEGOCIAÇÕES!P696="",NEGOCIAÇÕES!N696&lt;TODAY()),NEGOCIAÇÕES!C696,"")</f>
        <v/>
      </c>
      <c r="C696" s="6" t="str">
        <f ca="1">IF(AND(NEGOCIAÇÕES!P696="",NEGOCIAÇÕES!N696&lt;TODAY()),NEGOCIAÇÕES!E696,"")</f>
        <v/>
      </c>
      <c r="D696" s="6" t="str">
        <f ca="1">IF(AND(NEGOCIAÇÕES!P696="",NEGOCIAÇÕES!N696&lt;TODAY()),NEGOCIAÇÕES!D696,"")</f>
        <v/>
      </c>
      <c r="E696" s="9" t="str">
        <f ca="1">IF(AND(NEGOCIAÇÕES!P696="",NEGOCIAÇÕES!N696&lt;TODAY()),NEGOCIAÇÕES!N696,"")</f>
        <v/>
      </c>
      <c r="F696" s="6"/>
    </row>
    <row r="697" spans="2:6" ht="31.95" hidden="1" customHeight="1" x14ac:dyDescent="0.3">
      <c r="B697" s="6" t="str">
        <f ca="1">IF(AND(NEGOCIAÇÕES!P697="",NEGOCIAÇÕES!N697&lt;TODAY()),NEGOCIAÇÕES!C697,"")</f>
        <v/>
      </c>
      <c r="C697" s="6" t="str">
        <f ca="1">IF(AND(NEGOCIAÇÕES!P697="",NEGOCIAÇÕES!N697&lt;TODAY()),NEGOCIAÇÕES!E697,"")</f>
        <v/>
      </c>
      <c r="D697" s="6" t="str">
        <f ca="1">IF(AND(NEGOCIAÇÕES!P697="",NEGOCIAÇÕES!N697&lt;TODAY()),NEGOCIAÇÕES!D697,"")</f>
        <v/>
      </c>
      <c r="E697" s="9" t="str">
        <f ca="1">IF(AND(NEGOCIAÇÕES!P697="",NEGOCIAÇÕES!N697&lt;TODAY()),NEGOCIAÇÕES!N697,"")</f>
        <v/>
      </c>
      <c r="F697" s="6"/>
    </row>
    <row r="698" spans="2:6" ht="31.95" hidden="1" customHeight="1" x14ac:dyDescent="0.3">
      <c r="B698" s="6" t="str">
        <f ca="1">IF(AND(NEGOCIAÇÕES!P698="",NEGOCIAÇÕES!N698&lt;TODAY()),NEGOCIAÇÕES!C698,"")</f>
        <v/>
      </c>
      <c r="C698" s="6" t="str">
        <f ca="1">IF(AND(NEGOCIAÇÕES!P698="",NEGOCIAÇÕES!N698&lt;TODAY()),NEGOCIAÇÕES!E698,"")</f>
        <v/>
      </c>
      <c r="D698" s="6" t="str">
        <f ca="1">IF(AND(NEGOCIAÇÕES!P698="",NEGOCIAÇÕES!N698&lt;TODAY()),NEGOCIAÇÕES!D698,"")</f>
        <v/>
      </c>
      <c r="E698" s="9" t="str">
        <f ca="1">IF(AND(NEGOCIAÇÕES!P698="",NEGOCIAÇÕES!N698&lt;TODAY()),NEGOCIAÇÕES!N698,"")</f>
        <v/>
      </c>
      <c r="F698" s="6"/>
    </row>
    <row r="699" spans="2:6" ht="31.95" hidden="1" customHeight="1" x14ac:dyDescent="0.3">
      <c r="B699" s="6" t="str">
        <f ca="1">IF(AND(NEGOCIAÇÕES!P699="",NEGOCIAÇÕES!N699&lt;TODAY()),NEGOCIAÇÕES!C699,"")</f>
        <v/>
      </c>
      <c r="C699" s="6" t="str">
        <f ca="1">IF(AND(NEGOCIAÇÕES!P699="",NEGOCIAÇÕES!N699&lt;TODAY()),NEGOCIAÇÕES!E699,"")</f>
        <v/>
      </c>
      <c r="D699" s="6" t="str">
        <f ca="1">IF(AND(NEGOCIAÇÕES!P699="",NEGOCIAÇÕES!N699&lt;TODAY()),NEGOCIAÇÕES!D699,"")</f>
        <v/>
      </c>
      <c r="E699" s="9" t="str">
        <f ca="1">IF(AND(NEGOCIAÇÕES!P699="",NEGOCIAÇÕES!N699&lt;TODAY()),NEGOCIAÇÕES!N699,"")</f>
        <v/>
      </c>
      <c r="F699" s="6"/>
    </row>
    <row r="700" spans="2:6" ht="31.95" hidden="1" customHeight="1" x14ac:dyDescent="0.3">
      <c r="B700" s="6" t="str">
        <f ca="1">IF(AND(NEGOCIAÇÕES!P700="",NEGOCIAÇÕES!N700&lt;TODAY()),NEGOCIAÇÕES!C700,"")</f>
        <v/>
      </c>
      <c r="C700" s="6" t="str">
        <f ca="1">IF(AND(NEGOCIAÇÕES!P700="",NEGOCIAÇÕES!N700&lt;TODAY()),NEGOCIAÇÕES!E700,"")</f>
        <v/>
      </c>
      <c r="D700" s="6" t="str">
        <f ca="1">IF(AND(NEGOCIAÇÕES!P700="",NEGOCIAÇÕES!N700&lt;TODAY()),NEGOCIAÇÕES!D700,"")</f>
        <v/>
      </c>
      <c r="E700" s="9" t="str">
        <f ca="1">IF(AND(NEGOCIAÇÕES!P700="",NEGOCIAÇÕES!N700&lt;TODAY()),NEGOCIAÇÕES!N700,"")</f>
        <v/>
      </c>
      <c r="F700" s="6"/>
    </row>
    <row r="701" spans="2:6" ht="31.95" hidden="1" customHeight="1" x14ac:dyDescent="0.3">
      <c r="B701" s="6" t="str">
        <f ca="1">IF(AND(NEGOCIAÇÕES!P701="",NEGOCIAÇÕES!N701&lt;TODAY()),NEGOCIAÇÕES!C701,"")</f>
        <v/>
      </c>
      <c r="C701" s="6" t="str">
        <f ca="1">IF(AND(NEGOCIAÇÕES!P701="",NEGOCIAÇÕES!N701&lt;TODAY()),NEGOCIAÇÕES!E701,"")</f>
        <v/>
      </c>
      <c r="D701" s="6" t="str">
        <f ca="1">IF(AND(NEGOCIAÇÕES!P701="",NEGOCIAÇÕES!N701&lt;TODAY()),NEGOCIAÇÕES!D701,"")</f>
        <v/>
      </c>
      <c r="E701" s="9" t="str">
        <f ca="1">IF(AND(NEGOCIAÇÕES!P701="",NEGOCIAÇÕES!N701&lt;TODAY()),NEGOCIAÇÕES!N701,"")</f>
        <v/>
      </c>
      <c r="F701" s="6"/>
    </row>
    <row r="702" spans="2:6" ht="31.95" hidden="1" customHeight="1" x14ac:dyDescent="0.3">
      <c r="B702" s="6" t="str">
        <f ca="1">IF(AND(NEGOCIAÇÕES!P702="",NEGOCIAÇÕES!N702&lt;TODAY()),NEGOCIAÇÕES!C702,"")</f>
        <v/>
      </c>
      <c r="C702" s="6" t="str">
        <f ca="1">IF(AND(NEGOCIAÇÕES!P702="",NEGOCIAÇÕES!N702&lt;TODAY()),NEGOCIAÇÕES!E702,"")</f>
        <v/>
      </c>
      <c r="D702" s="6" t="str">
        <f ca="1">IF(AND(NEGOCIAÇÕES!P702="",NEGOCIAÇÕES!N702&lt;TODAY()),NEGOCIAÇÕES!D702,"")</f>
        <v/>
      </c>
      <c r="E702" s="9" t="str">
        <f ca="1">IF(AND(NEGOCIAÇÕES!P702="",NEGOCIAÇÕES!N702&lt;TODAY()),NEGOCIAÇÕES!N702,"")</f>
        <v/>
      </c>
      <c r="F702" s="6"/>
    </row>
    <row r="703" spans="2:6" ht="31.95" hidden="1" customHeight="1" x14ac:dyDescent="0.3">
      <c r="B703" s="6" t="str">
        <f ca="1">IF(AND(NEGOCIAÇÕES!P703="",NEGOCIAÇÕES!N703&lt;TODAY()),NEGOCIAÇÕES!C703,"")</f>
        <v/>
      </c>
      <c r="C703" s="6" t="str">
        <f ca="1">IF(AND(NEGOCIAÇÕES!P703="",NEGOCIAÇÕES!N703&lt;TODAY()),NEGOCIAÇÕES!E703,"")</f>
        <v/>
      </c>
      <c r="D703" s="6" t="str">
        <f ca="1">IF(AND(NEGOCIAÇÕES!P703="",NEGOCIAÇÕES!N703&lt;TODAY()),NEGOCIAÇÕES!D703,"")</f>
        <v/>
      </c>
      <c r="E703" s="9" t="str">
        <f ca="1">IF(AND(NEGOCIAÇÕES!P703="",NEGOCIAÇÕES!N703&lt;TODAY()),NEGOCIAÇÕES!N703,"")</f>
        <v/>
      </c>
      <c r="F703" s="6"/>
    </row>
    <row r="704" spans="2:6" ht="31.95" hidden="1" customHeight="1" x14ac:dyDescent="0.3">
      <c r="B704" s="6" t="str">
        <f ca="1">IF(AND(NEGOCIAÇÕES!P704="",NEGOCIAÇÕES!N704&lt;TODAY()),NEGOCIAÇÕES!C704,"")</f>
        <v/>
      </c>
      <c r="C704" s="6" t="str">
        <f ca="1">IF(AND(NEGOCIAÇÕES!P704="",NEGOCIAÇÕES!N704&lt;TODAY()),NEGOCIAÇÕES!E704,"")</f>
        <v/>
      </c>
      <c r="D704" s="6" t="str">
        <f ca="1">IF(AND(NEGOCIAÇÕES!P704="",NEGOCIAÇÕES!N704&lt;TODAY()),NEGOCIAÇÕES!D704,"")</f>
        <v/>
      </c>
      <c r="E704" s="9" t="str">
        <f ca="1">IF(AND(NEGOCIAÇÕES!P704="",NEGOCIAÇÕES!N704&lt;TODAY()),NEGOCIAÇÕES!N704,"")</f>
        <v/>
      </c>
      <c r="F704" s="6"/>
    </row>
    <row r="705" spans="2:6" ht="31.95" hidden="1" customHeight="1" x14ac:dyDescent="0.3">
      <c r="B705" s="6" t="str">
        <f ca="1">IF(AND(NEGOCIAÇÕES!P705="",NEGOCIAÇÕES!N705&lt;TODAY()),NEGOCIAÇÕES!C705,"")</f>
        <v/>
      </c>
      <c r="C705" s="6" t="str">
        <f ca="1">IF(AND(NEGOCIAÇÕES!P705="",NEGOCIAÇÕES!N705&lt;TODAY()),NEGOCIAÇÕES!E705,"")</f>
        <v/>
      </c>
      <c r="D705" s="6" t="str">
        <f ca="1">IF(AND(NEGOCIAÇÕES!P705="",NEGOCIAÇÕES!N705&lt;TODAY()),NEGOCIAÇÕES!D705,"")</f>
        <v/>
      </c>
      <c r="E705" s="9" t="str">
        <f ca="1">IF(AND(NEGOCIAÇÕES!P705="",NEGOCIAÇÕES!N705&lt;TODAY()),NEGOCIAÇÕES!N705,"")</f>
        <v/>
      </c>
      <c r="F705" s="6"/>
    </row>
    <row r="706" spans="2:6" ht="31.95" hidden="1" customHeight="1" x14ac:dyDescent="0.3">
      <c r="B706" s="6" t="str">
        <f ca="1">IF(AND(NEGOCIAÇÕES!P706="",NEGOCIAÇÕES!N706&lt;TODAY()),NEGOCIAÇÕES!C706,"")</f>
        <v/>
      </c>
      <c r="C706" s="6" t="str">
        <f ca="1">IF(AND(NEGOCIAÇÕES!P706="",NEGOCIAÇÕES!N706&lt;TODAY()),NEGOCIAÇÕES!E706,"")</f>
        <v/>
      </c>
      <c r="D706" s="6" t="str">
        <f ca="1">IF(AND(NEGOCIAÇÕES!P706="",NEGOCIAÇÕES!N706&lt;TODAY()),NEGOCIAÇÕES!D706,"")</f>
        <v/>
      </c>
      <c r="E706" s="9" t="str">
        <f ca="1">IF(AND(NEGOCIAÇÕES!P706="",NEGOCIAÇÕES!N706&lt;TODAY()),NEGOCIAÇÕES!N706,"")</f>
        <v/>
      </c>
      <c r="F706" s="6"/>
    </row>
    <row r="707" spans="2:6" ht="31.95" hidden="1" customHeight="1" x14ac:dyDescent="0.3">
      <c r="B707" s="6" t="str">
        <f ca="1">IF(AND(NEGOCIAÇÕES!P707="",NEGOCIAÇÕES!N707&lt;TODAY()),NEGOCIAÇÕES!C707,"")</f>
        <v/>
      </c>
      <c r="C707" s="6" t="str">
        <f ca="1">IF(AND(NEGOCIAÇÕES!P707="",NEGOCIAÇÕES!N707&lt;TODAY()),NEGOCIAÇÕES!E707,"")</f>
        <v/>
      </c>
      <c r="D707" s="6" t="str">
        <f ca="1">IF(AND(NEGOCIAÇÕES!P707="",NEGOCIAÇÕES!N707&lt;TODAY()),NEGOCIAÇÕES!D707,"")</f>
        <v/>
      </c>
      <c r="E707" s="9" t="str">
        <f ca="1">IF(AND(NEGOCIAÇÕES!P707="",NEGOCIAÇÕES!N707&lt;TODAY()),NEGOCIAÇÕES!N707,"")</f>
        <v/>
      </c>
      <c r="F707" s="6"/>
    </row>
    <row r="708" spans="2:6" ht="31.95" hidden="1" customHeight="1" x14ac:dyDescent="0.3">
      <c r="B708" s="6" t="str">
        <f ca="1">IF(AND(NEGOCIAÇÕES!P708="",NEGOCIAÇÕES!N708&lt;TODAY()),NEGOCIAÇÕES!C708,"")</f>
        <v/>
      </c>
      <c r="C708" s="6" t="str">
        <f ca="1">IF(AND(NEGOCIAÇÕES!P708="",NEGOCIAÇÕES!N708&lt;TODAY()),NEGOCIAÇÕES!E708,"")</f>
        <v/>
      </c>
      <c r="D708" s="6" t="str">
        <f ca="1">IF(AND(NEGOCIAÇÕES!P708="",NEGOCIAÇÕES!N708&lt;TODAY()),NEGOCIAÇÕES!D708,"")</f>
        <v/>
      </c>
      <c r="E708" s="9" t="str">
        <f ca="1">IF(AND(NEGOCIAÇÕES!P708="",NEGOCIAÇÕES!N708&lt;TODAY()),NEGOCIAÇÕES!N708,"")</f>
        <v/>
      </c>
      <c r="F708" s="6"/>
    </row>
    <row r="709" spans="2:6" ht="31.95" hidden="1" customHeight="1" x14ac:dyDescent="0.3">
      <c r="B709" s="6" t="str">
        <f ca="1">IF(AND(NEGOCIAÇÕES!P709="",NEGOCIAÇÕES!N709&lt;TODAY()),NEGOCIAÇÕES!C709,"")</f>
        <v/>
      </c>
      <c r="C709" s="6" t="str">
        <f ca="1">IF(AND(NEGOCIAÇÕES!P709="",NEGOCIAÇÕES!N709&lt;TODAY()),NEGOCIAÇÕES!E709,"")</f>
        <v/>
      </c>
      <c r="D709" s="6" t="str">
        <f ca="1">IF(AND(NEGOCIAÇÕES!P709="",NEGOCIAÇÕES!N709&lt;TODAY()),NEGOCIAÇÕES!D709,"")</f>
        <v/>
      </c>
      <c r="E709" s="9" t="str">
        <f ca="1">IF(AND(NEGOCIAÇÕES!P709="",NEGOCIAÇÕES!N709&lt;TODAY()),NEGOCIAÇÕES!N709,"")</f>
        <v/>
      </c>
      <c r="F709" s="6"/>
    </row>
    <row r="710" spans="2:6" ht="31.95" hidden="1" customHeight="1" x14ac:dyDescent="0.3">
      <c r="B710" s="6" t="str">
        <f ca="1">IF(AND(NEGOCIAÇÕES!P710="",NEGOCIAÇÕES!N710&lt;TODAY()),NEGOCIAÇÕES!C710,"")</f>
        <v/>
      </c>
      <c r="C710" s="6" t="str">
        <f ca="1">IF(AND(NEGOCIAÇÕES!P710="",NEGOCIAÇÕES!N710&lt;TODAY()),NEGOCIAÇÕES!E710,"")</f>
        <v/>
      </c>
      <c r="D710" s="6" t="str">
        <f ca="1">IF(AND(NEGOCIAÇÕES!P710="",NEGOCIAÇÕES!N710&lt;TODAY()),NEGOCIAÇÕES!D710,"")</f>
        <v/>
      </c>
      <c r="E710" s="9" t="str">
        <f ca="1">IF(AND(NEGOCIAÇÕES!P710="",NEGOCIAÇÕES!N710&lt;TODAY()),NEGOCIAÇÕES!N710,"")</f>
        <v/>
      </c>
      <c r="F710" s="6"/>
    </row>
    <row r="711" spans="2:6" ht="31.95" hidden="1" customHeight="1" x14ac:dyDescent="0.3">
      <c r="B711" s="6" t="str">
        <f ca="1">IF(AND(NEGOCIAÇÕES!P711="",NEGOCIAÇÕES!N711&lt;TODAY()),NEGOCIAÇÕES!C711,"")</f>
        <v/>
      </c>
      <c r="C711" s="6" t="str">
        <f ca="1">IF(AND(NEGOCIAÇÕES!P711="",NEGOCIAÇÕES!N711&lt;TODAY()),NEGOCIAÇÕES!E711,"")</f>
        <v/>
      </c>
      <c r="D711" s="6" t="str">
        <f ca="1">IF(AND(NEGOCIAÇÕES!P711="",NEGOCIAÇÕES!N711&lt;TODAY()),NEGOCIAÇÕES!D711,"")</f>
        <v/>
      </c>
      <c r="E711" s="9" t="str">
        <f ca="1">IF(AND(NEGOCIAÇÕES!P711="",NEGOCIAÇÕES!N711&lt;TODAY()),NEGOCIAÇÕES!N711,"")</f>
        <v/>
      </c>
      <c r="F711" s="6"/>
    </row>
    <row r="712" spans="2:6" ht="31.95" hidden="1" customHeight="1" x14ac:dyDescent="0.3">
      <c r="B712" s="6" t="str">
        <f ca="1">IF(AND(NEGOCIAÇÕES!P712="",NEGOCIAÇÕES!N712&lt;TODAY()),NEGOCIAÇÕES!C712,"")</f>
        <v/>
      </c>
      <c r="C712" s="6" t="str">
        <f ca="1">IF(AND(NEGOCIAÇÕES!P712="",NEGOCIAÇÕES!N712&lt;TODAY()),NEGOCIAÇÕES!E712,"")</f>
        <v/>
      </c>
      <c r="D712" s="6" t="str">
        <f ca="1">IF(AND(NEGOCIAÇÕES!P712="",NEGOCIAÇÕES!N712&lt;TODAY()),NEGOCIAÇÕES!D712,"")</f>
        <v/>
      </c>
      <c r="E712" s="9" t="str">
        <f ca="1">IF(AND(NEGOCIAÇÕES!P712="",NEGOCIAÇÕES!N712&lt;TODAY()),NEGOCIAÇÕES!N712,"")</f>
        <v/>
      </c>
      <c r="F712" s="6"/>
    </row>
    <row r="713" spans="2:6" ht="31.95" hidden="1" customHeight="1" x14ac:dyDescent="0.3">
      <c r="B713" s="6" t="str">
        <f ca="1">IF(AND(NEGOCIAÇÕES!P713="",NEGOCIAÇÕES!N713&lt;TODAY()),NEGOCIAÇÕES!C713,"")</f>
        <v/>
      </c>
      <c r="C713" s="6" t="str">
        <f ca="1">IF(AND(NEGOCIAÇÕES!P713="",NEGOCIAÇÕES!N713&lt;TODAY()),NEGOCIAÇÕES!E713,"")</f>
        <v/>
      </c>
      <c r="D713" s="6" t="str">
        <f ca="1">IF(AND(NEGOCIAÇÕES!P713="",NEGOCIAÇÕES!N713&lt;TODAY()),NEGOCIAÇÕES!D713,"")</f>
        <v/>
      </c>
      <c r="E713" s="9" t="str">
        <f ca="1">IF(AND(NEGOCIAÇÕES!P713="",NEGOCIAÇÕES!N713&lt;TODAY()),NEGOCIAÇÕES!N713,"")</f>
        <v/>
      </c>
      <c r="F713" s="6"/>
    </row>
    <row r="714" spans="2:6" ht="31.95" hidden="1" customHeight="1" x14ac:dyDescent="0.3">
      <c r="B714" s="6" t="str">
        <f ca="1">IF(AND(NEGOCIAÇÕES!P714="",NEGOCIAÇÕES!N714&lt;TODAY()),NEGOCIAÇÕES!C714,"")</f>
        <v/>
      </c>
      <c r="C714" s="6" t="str">
        <f ca="1">IF(AND(NEGOCIAÇÕES!P714="",NEGOCIAÇÕES!N714&lt;TODAY()),NEGOCIAÇÕES!E714,"")</f>
        <v/>
      </c>
      <c r="D714" s="6" t="str">
        <f ca="1">IF(AND(NEGOCIAÇÕES!P714="",NEGOCIAÇÕES!N714&lt;TODAY()),NEGOCIAÇÕES!D714,"")</f>
        <v/>
      </c>
      <c r="E714" s="9" t="str">
        <f ca="1">IF(AND(NEGOCIAÇÕES!P714="",NEGOCIAÇÕES!N714&lt;TODAY()),NEGOCIAÇÕES!N714,"")</f>
        <v/>
      </c>
      <c r="F714" s="6"/>
    </row>
    <row r="715" spans="2:6" ht="31.95" hidden="1" customHeight="1" x14ac:dyDescent="0.3">
      <c r="B715" s="6" t="str">
        <f ca="1">IF(AND(NEGOCIAÇÕES!P715="",NEGOCIAÇÕES!N715&lt;TODAY()),NEGOCIAÇÕES!C715,"")</f>
        <v/>
      </c>
      <c r="C715" s="6" t="str">
        <f ca="1">IF(AND(NEGOCIAÇÕES!P715="",NEGOCIAÇÕES!N715&lt;TODAY()),NEGOCIAÇÕES!E715,"")</f>
        <v/>
      </c>
      <c r="D715" s="6" t="str">
        <f ca="1">IF(AND(NEGOCIAÇÕES!P715="",NEGOCIAÇÕES!N715&lt;TODAY()),NEGOCIAÇÕES!D715,"")</f>
        <v/>
      </c>
      <c r="E715" s="9" t="str">
        <f ca="1">IF(AND(NEGOCIAÇÕES!P715="",NEGOCIAÇÕES!N715&lt;TODAY()),NEGOCIAÇÕES!N715,"")</f>
        <v/>
      </c>
      <c r="F715" s="6"/>
    </row>
    <row r="716" spans="2:6" ht="31.95" hidden="1" customHeight="1" x14ac:dyDescent="0.3">
      <c r="B716" s="6" t="str">
        <f ca="1">IF(AND(NEGOCIAÇÕES!P716="",NEGOCIAÇÕES!N716&lt;TODAY()),NEGOCIAÇÕES!C716,"")</f>
        <v/>
      </c>
      <c r="C716" s="6" t="str">
        <f ca="1">IF(AND(NEGOCIAÇÕES!P716="",NEGOCIAÇÕES!N716&lt;TODAY()),NEGOCIAÇÕES!E716,"")</f>
        <v/>
      </c>
      <c r="D716" s="6" t="str">
        <f ca="1">IF(AND(NEGOCIAÇÕES!P716="",NEGOCIAÇÕES!N716&lt;TODAY()),NEGOCIAÇÕES!D716,"")</f>
        <v/>
      </c>
      <c r="E716" s="9" t="str">
        <f ca="1">IF(AND(NEGOCIAÇÕES!P716="",NEGOCIAÇÕES!N716&lt;TODAY()),NEGOCIAÇÕES!N716,"")</f>
        <v/>
      </c>
      <c r="F716" s="6"/>
    </row>
    <row r="717" spans="2:6" ht="31.95" hidden="1" customHeight="1" x14ac:dyDescent="0.3">
      <c r="B717" s="6" t="str">
        <f ca="1">IF(AND(NEGOCIAÇÕES!P717="",NEGOCIAÇÕES!N717&lt;TODAY()),NEGOCIAÇÕES!C717,"")</f>
        <v/>
      </c>
      <c r="C717" s="6" t="str">
        <f ca="1">IF(AND(NEGOCIAÇÕES!P717="",NEGOCIAÇÕES!N717&lt;TODAY()),NEGOCIAÇÕES!E717,"")</f>
        <v/>
      </c>
      <c r="D717" s="6" t="str">
        <f ca="1">IF(AND(NEGOCIAÇÕES!P717="",NEGOCIAÇÕES!N717&lt;TODAY()),NEGOCIAÇÕES!D717,"")</f>
        <v/>
      </c>
      <c r="E717" s="9" t="str">
        <f ca="1">IF(AND(NEGOCIAÇÕES!P717="",NEGOCIAÇÕES!N717&lt;TODAY()),NEGOCIAÇÕES!N717,"")</f>
        <v/>
      </c>
      <c r="F717" s="6"/>
    </row>
    <row r="718" spans="2:6" ht="31.95" hidden="1" customHeight="1" x14ac:dyDescent="0.3">
      <c r="B718" s="6" t="str">
        <f ca="1">IF(AND(NEGOCIAÇÕES!P718="",NEGOCIAÇÕES!N718&lt;TODAY()),NEGOCIAÇÕES!C718,"")</f>
        <v/>
      </c>
      <c r="C718" s="6" t="str">
        <f ca="1">IF(AND(NEGOCIAÇÕES!P718="",NEGOCIAÇÕES!N718&lt;TODAY()),NEGOCIAÇÕES!E718,"")</f>
        <v/>
      </c>
      <c r="D718" s="6" t="str">
        <f ca="1">IF(AND(NEGOCIAÇÕES!P718="",NEGOCIAÇÕES!N718&lt;TODAY()),NEGOCIAÇÕES!D718,"")</f>
        <v/>
      </c>
      <c r="E718" s="9" t="str">
        <f ca="1">IF(AND(NEGOCIAÇÕES!P718="",NEGOCIAÇÕES!N718&lt;TODAY()),NEGOCIAÇÕES!N718,"")</f>
        <v/>
      </c>
      <c r="F718" s="6"/>
    </row>
    <row r="719" spans="2:6" ht="31.95" hidden="1" customHeight="1" x14ac:dyDescent="0.3">
      <c r="B719" s="6" t="str">
        <f ca="1">IF(AND(NEGOCIAÇÕES!P719="",NEGOCIAÇÕES!N719&lt;TODAY()),NEGOCIAÇÕES!C719,"")</f>
        <v/>
      </c>
      <c r="C719" s="6" t="str">
        <f ca="1">IF(AND(NEGOCIAÇÕES!P719="",NEGOCIAÇÕES!N719&lt;TODAY()),NEGOCIAÇÕES!E719,"")</f>
        <v/>
      </c>
      <c r="D719" s="6" t="str">
        <f ca="1">IF(AND(NEGOCIAÇÕES!P719="",NEGOCIAÇÕES!N719&lt;TODAY()),NEGOCIAÇÕES!D719,"")</f>
        <v/>
      </c>
      <c r="E719" s="9" t="str">
        <f ca="1">IF(AND(NEGOCIAÇÕES!P719="",NEGOCIAÇÕES!N719&lt;TODAY()),NEGOCIAÇÕES!N719,"")</f>
        <v/>
      </c>
      <c r="F719" s="6"/>
    </row>
    <row r="720" spans="2:6" ht="31.95" hidden="1" customHeight="1" x14ac:dyDescent="0.3">
      <c r="B720" s="6" t="str">
        <f ca="1">IF(AND(NEGOCIAÇÕES!P720="",NEGOCIAÇÕES!N720&lt;TODAY()),NEGOCIAÇÕES!C720,"")</f>
        <v/>
      </c>
      <c r="C720" s="6" t="str">
        <f ca="1">IF(AND(NEGOCIAÇÕES!P720="",NEGOCIAÇÕES!N720&lt;TODAY()),NEGOCIAÇÕES!E720,"")</f>
        <v/>
      </c>
      <c r="D720" s="6" t="str">
        <f ca="1">IF(AND(NEGOCIAÇÕES!P720="",NEGOCIAÇÕES!N720&lt;TODAY()),NEGOCIAÇÕES!D720,"")</f>
        <v/>
      </c>
      <c r="E720" s="9" t="str">
        <f ca="1">IF(AND(NEGOCIAÇÕES!P720="",NEGOCIAÇÕES!N720&lt;TODAY()),NEGOCIAÇÕES!N720,"")</f>
        <v/>
      </c>
      <c r="F720" s="6"/>
    </row>
    <row r="721" spans="2:6" ht="31.95" hidden="1" customHeight="1" x14ac:dyDescent="0.3">
      <c r="B721" s="6" t="str">
        <f ca="1">IF(AND(NEGOCIAÇÕES!P721="",NEGOCIAÇÕES!N721&lt;TODAY()),NEGOCIAÇÕES!C721,"")</f>
        <v/>
      </c>
      <c r="C721" s="6" t="str">
        <f ca="1">IF(AND(NEGOCIAÇÕES!P721="",NEGOCIAÇÕES!N721&lt;TODAY()),NEGOCIAÇÕES!E721,"")</f>
        <v/>
      </c>
      <c r="D721" s="6" t="str">
        <f ca="1">IF(AND(NEGOCIAÇÕES!P721="",NEGOCIAÇÕES!N721&lt;TODAY()),NEGOCIAÇÕES!D721,"")</f>
        <v/>
      </c>
      <c r="E721" s="9" t="str">
        <f ca="1">IF(AND(NEGOCIAÇÕES!P721="",NEGOCIAÇÕES!N721&lt;TODAY()),NEGOCIAÇÕES!N721,"")</f>
        <v/>
      </c>
      <c r="F721" s="6"/>
    </row>
    <row r="722" spans="2:6" ht="31.95" hidden="1" customHeight="1" x14ac:dyDescent="0.3">
      <c r="B722" s="6" t="str">
        <f ca="1">IF(AND(NEGOCIAÇÕES!P722="",NEGOCIAÇÕES!N722&lt;TODAY()),NEGOCIAÇÕES!C722,"")</f>
        <v/>
      </c>
      <c r="C722" s="6" t="str">
        <f ca="1">IF(AND(NEGOCIAÇÕES!P722="",NEGOCIAÇÕES!N722&lt;TODAY()),NEGOCIAÇÕES!E722,"")</f>
        <v/>
      </c>
      <c r="D722" s="6" t="str">
        <f ca="1">IF(AND(NEGOCIAÇÕES!P722="",NEGOCIAÇÕES!N722&lt;TODAY()),NEGOCIAÇÕES!D722,"")</f>
        <v/>
      </c>
      <c r="E722" s="9" t="str">
        <f ca="1">IF(AND(NEGOCIAÇÕES!P722="",NEGOCIAÇÕES!N722&lt;TODAY()),NEGOCIAÇÕES!N722,"")</f>
        <v/>
      </c>
      <c r="F722" s="6"/>
    </row>
    <row r="723" spans="2:6" ht="31.95" hidden="1" customHeight="1" x14ac:dyDescent="0.3">
      <c r="B723" s="6" t="str">
        <f ca="1">IF(AND(NEGOCIAÇÕES!P723="",NEGOCIAÇÕES!N723&lt;TODAY()),NEGOCIAÇÕES!C723,"")</f>
        <v/>
      </c>
      <c r="C723" s="6" t="str">
        <f ca="1">IF(AND(NEGOCIAÇÕES!P723="",NEGOCIAÇÕES!N723&lt;TODAY()),NEGOCIAÇÕES!E723,"")</f>
        <v/>
      </c>
      <c r="D723" s="6" t="str">
        <f ca="1">IF(AND(NEGOCIAÇÕES!P723="",NEGOCIAÇÕES!N723&lt;TODAY()),NEGOCIAÇÕES!D723,"")</f>
        <v/>
      </c>
      <c r="E723" s="9" t="str">
        <f ca="1">IF(AND(NEGOCIAÇÕES!P723="",NEGOCIAÇÕES!N723&lt;TODAY()),NEGOCIAÇÕES!N723,"")</f>
        <v/>
      </c>
      <c r="F723" s="6"/>
    </row>
    <row r="724" spans="2:6" ht="31.95" hidden="1" customHeight="1" x14ac:dyDescent="0.3">
      <c r="B724" s="6" t="str">
        <f ca="1">IF(AND(NEGOCIAÇÕES!P724="",NEGOCIAÇÕES!N724&lt;TODAY()),NEGOCIAÇÕES!C724,"")</f>
        <v/>
      </c>
      <c r="C724" s="6" t="str">
        <f ca="1">IF(AND(NEGOCIAÇÕES!P724="",NEGOCIAÇÕES!N724&lt;TODAY()),NEGOCIAÇÕES!E724,"")</f>
        <v/>
      </c>
      <c r="D724" s="6" t="str">
        <f ca="1">IF(AND(NEGOCIAÇÕES!P724="",NEGOCIAÇÕES!N724&lt;TODAY()),NEGOCIAÇÕES!D724,"")</f>
        <v/>
      </c>
      <c r="E724" s="9" t="str">
        <f ca="1">IF(AND(NEGOCIAÇÕES!P724="",NEGOCIAÇÕES!N724&lt;TODAY()),NEGOCIAÇÕES!N724,"")</f>
        <v/>
      </c>
      <c r="F724" s="6"/>
    </row>
    <row r="725" spans="2:6" ht="31.95" hidden="1" customHeight="1" x14ac:dyDescent="0.3">
      <c r="B725" s="6" t="str">
        <f ca="1">IF(AND(NEGOCIAÇÕES!P725="",NEGOCIAÇÕES!N725&lt;TODAY()),NEGOCIAÇÕES!C725,"")</f>
        <v/>
      </c>
      <c r="C725" s="6" t="str">
        <f ca="1">IF(AND(NEGOCIAÇÕES!P725="",NEGOCIAÇÕES!N725&lt;TODAY()),NEGOCIAÇÕES!E725,"")</f>
        <v/>
      </c>
      <c r="D725" s="6" t="str">
        <f ca="1">IF(AND(NEGOCIAÇÕES!P725="",NEGOCIAÇÕES!N725&lt;TODAY()),NEGOCIAÇÕES!D725,"")</f>
        <v/>
      </c>
      <c r="E725" s="9" t="str">
        <f ca="1">IF(AND(NEGOCIAÇÕES!P725="",NEGOCIAÇÕES!N725&lt;TODAY()),NEGOCIAÇÕES!N725,"")</f>
        <v/>
      </c>
      <c r="F725" s="6"/>
    </row>
    <row r="726" spans="2:6" ht="31.95" hidden="1" customHeight="1" x14ac:dyDescent="0.3">
      <c r="B726" s="6" t="str">
        <f ca="1">IF(AND(NEGOCIAÇÕES!P726="",NEGOCIAÇÕES!N726&lt;TODAY()),NEGOCIAÇÕES!C726,"")</f>
        <v/>
      </c>
      <c r="C726" s="6" t="str">
        <f ca="1">IF(AND(NEGOCIAÇÕES!P726="",NEGOCIAÇÕES!N726&lt;TODAY()),NEGOCIAÇÕES!E726,"")</f>
        <v/>
      </c>
      <c r="D726" s="6" t="str">
        <f ca="1">IF(AND(NEGOCIAÇÕES!P726="",NEGOCIAÇÕES!N726&lt;TODAY()),NEGOCIAÇÕES!D726,"")</f>
        <v/>
      </c>
      <c r="E726" s="9" t="str">
        <f ca="1">IF(AND(NEGOCIAÇÕES!P726="",NEGOCIAÇÕES!N726&lt;TODAY()),NEGOCIAÇÕES!N726,"")</f>
        <v/>
      </c>
      <c r="F726" s="6"/>
    </row>
    <row r="727" spans="2:6" ht="31.95" hidden="1" customHeight="1" x14ac:dyDescent="0.3">
      <c r="B727" s="6" t="str">
        <f ca="1">IF(AND(NEGOCIAÇÕES!P727="",NEGOCIAÇÕES!N727&lt;TODAY()),NEGOCIAÇÕES!C727,"")</f>
        <v/>
      </c>
      <c r="C727" s="6" t="str">
        <f ca="1">IF(AND(NEGOCIAÇÕES!P727="",NEGOCIAÇÕES!N727&lt;TODAY()),NEGOCIAÇÕES!E727,"")</f>
        <v/>
      </c>
      <c r="D727" s="6" t="str">
        <f ca="1">IF(AND(NEGOCIAÇÕES!P727="",NEGOCIAÇÕES!N727&lt;TODAY()),NEGOCIAÇÕES!D727,"")</f>
        <v/>
      </c>
      <c r="E727" s="9" t="str">
        <f ca="1">IF(AND(NEGOCIAÇÕES!P727="",NEGOCIAÇÕES!N727&lt;TODAY()),NEGOCIAÇÕES!N727,"")</f>
        <v/>
      </c>
      <c r="F727" s="6"/>
    </row>
    <row r="728" spans="2:6" ht="31.95" hidden="1" customHeight="1" x14ac:dyDescent="0.3">
      <c r="B728" s="6" t="str">
        <f ca="1">IF(AND(NEGOCIAÇÕES!P728="",NEGOCIAÇÕES!N728&lt;TODAY()),NEGOCIAÇÕES!C728,"")</f>
        <v/>
      </c>
      <c r="C728" s="6" t="str">
        <f ca="1">IF(AND(NEGOCIAÇÕES!P728="",NEGOCIAÇÕES!N728&lt;TODAY()),NEGOCIAÇÕES!E728,"")</f>
        <v/>
      </c>
      <c r="D728" s="6" t="str">
        <f ca="1">IF(AND(NEGOCIAÇÕES!P728="",NEGOCIAÇÕES!N728&lt;TODAY()),NEGOCIAÇÕES!D728,"")</f>
        <v/>
      </c>
      <c r="E728" s="9" t="str">
        <f ca="1">IF(AND(NEGOCIAÇÕES!P728="",NEGOCIAÇÕES!N728&lt;TODAY()),NEGOCIAÇÕES!N728,"")</f>
        <v/>
      </c>
      <c r="F728" s="6"/>
    </row>
    <row r="729" spans="2:6" ht="31.95" hidden="1" customHeight="1" x14ac:dyDescent="0.3">
      <c r="B729" s="6" t="str">
        <f ca="1">IF(AND(NEGOCIAÇÕES!P729="",NEGOCIAÇÕES!N729&lt;TODAY()),NEGOCIAÇÕES!C729,"")</f>
        <v/>
      </c>
      <c r="C729" s="6" t="str">
        <f ca="1">IF(AND(NEGOCIAÇÕES!P729="",NEGOCIAÇÕES!N729&lt;TODAY()),NEGOCIAÇÕES!E729,"")</f>
        <v/>
      </c>
      <c r="D729" s="6" t="str">
        <f ca="1">IF(AND(NEGOCIAÇÕES!P729="",NEGOCIAÇÕES!N729&lt;TODAY()),NEGOCIAÇÕES!D729,"")</f>
        <v/>
      </c>
      <c r="E729" s="9" t="str">
        <f ca="1">IF(AND(NEGOCIAÇÕES!P729="",NEGOCIAÇÕES!N729&lt;TODAY()),NEGOCIAÇÕES!N729,"")</f>
        <v/>
      </c>
      <c r="F729" s="6"/>
    </row>
    <row r="730" spans="2:6" ht="31.95" hidden="1" customHeight="1" x14ac:dyDescent="0.3">
      <c r="B730" s="6" t="str">
        <f ca="1">IF(AND(NEGOCIAÇÕES!P730="",NEGOCIAÇÕES!N730&lt;TODAY()),NEGOCIAÇÕES!C730,"")</f>
        <v/>
      </c>
      <c r="C730" s="6" t="str">
        <f ca="1">IF(AND(NEGOCIAÇÕES!P730="",NEGOCIAÇÕES!N730&lt;TODAY()),NEGOCIAÇÕES!E730,"")</f>
        <v/>
      </c>
      <c r="D730" s="6" t="str">
        <f ca="1">IF(AND(NEGOCIAÇÕES!P730="",NEGOCIAÇÕES!N730&lt;TODAY()),NEGOCIAÇÕES!D730,"")</f>
        <v/>
      </c>
      <c r="E730" s="9" t="str">
        <f ca="1">IF(AND(NEGOCIAÇÕES!P730="",NEGOCIAÇÕES!N730&lt;TODAY()),NEGOCIAÇÕES!N730,"")</f>
        <v/>
      </c>
      <c r="F730" s="6"/>
    </row>
    <row r="731" spans="2:6" ht="31.95" hidden="1" customHeight="1" x14ac:dyDescent="0.3">
      <c r="B731" s="6" t="str">
        <f ca="1">IF(AND(NEGOCIAÇÕES!P731="",NEGOCIAÇÕES!N731&lt;TODAY()),NEGOCIAÇÕES!C731,"")</f>
        <v/>
      </c>
      <c r="C731" s="6" t="str">
        <f ca="1">IF(AND(NEGOCIAÇÕES!P731="",NEGOCIAÇÕES!N731&lt;TODAY()),NEGOCIAÇÕES!E731,"")</f>
        <v/>
      </c>
      <c r="D731" s="6" t="str">
        <f ca="1">IF(AND(NEGOCIAÇÕES!P731="",NEGOCIAÇÕES!N731&lt;TODAY()),NEGOCIAÇÕES!D731,"")</f>
        <v/>
      </c>
      <c r="E731" s="9" t="str">
        <f ca="1">IF(AND(NEGOCIAÇÕES!P731="",NEGOCIAÇÕES!N731&lt;TODAY()),NEGOCIAÇÕES!N731,"")</f>
        <v/>
      </c>
      <c r="F731" s="6"/>
    </row>
    <row r="732" spans="2:6" ht="31.95" hidden="1" customHeight="1" x14ac:dyDescent="0.3">
      <c r="B732" s="6" t="str">
        <f ca="1">IF(AND(NEGOCIAÇÕES!P732="",NEGOCIAÇÕES!N732&lt;TODAY()),NEGOCIAÇÕES!C732,"")</f>
        <v/>
      </c>
      <c r="C732" s="6" t="str">
        <f ca="1">IF(AND(NEGOCIAÇÕES!P732="",NEGOCIAÇÕES!N732&lt;TODAY()),NEGOCIAÇÕES!E732,"")</f>
        <v/>
      </c>
      <c r="D732" s="6" t="str">
        <f ca="1">IF(AND(NEGOCIAÇÕES!P732="",NEGOCIAÇÕES!N732&lt;TODAY()),NEGOCIAÇÕES!D732,"")</f>
        <v/>
      </c>
      <c r="E732" s="9" t="str">
        <f ca="1">IF(AND(NEGOCIAÇÕES!P732="",NEGOCIAÇÕES!N732&lt;TODAY()),NEGOCIAÇÕES!N732,"")</f>
        <v/>
      </c>
      <c r="F732" s="6"/>
    </row>
    <row r="733" spans="2:6" ht="31.95" hidden="1" customHeight="1" x14ac:dyDescent="0.3">
      <c r="B733" s="6" t="str">
        <f ca="1">IF(AND(NEGOCIAÇÕES!P733="",NEGOCIAÇÕES!N733&lt;TODAY()),NEGOCIAÇÕES!C733,"")</f>
        <v/>
      </c>
      <c r="C733" s="6" t="str">
        <f ca="1">IF(AND(NEGOCIAÇÕES!P733="",NEGOCIAÇÕES!N733&lt;TODAY()),NEGOCIAÇÕES!E733,"")</f>
        <v/>
      </c>
      <c r="D733" s="6" t="str">
        <f ca="1">IF(AND(NEGOCIAÇÕES!P733="",NEGOCIAÇÕES!N733&lt;TODAY()),NEGOCIAÇÕES!D733,"")</f>
        <v/>
      </c>
      <c r="E733" s="9" t="str">
        <f ca="1">IF(AND(NEGOCIAÇÕES!P733="",NEGOCIAÇÕES!N733&lt;TODAY()),NEGOCIAÇÕES!N733,"")</f>
        <v/>
      </c>
      <c r="F733" s="6"/>
    </row>
    <row r="734" spans="2:6" ht="31.95" hidden="1" customHeight="1" x14ac:dyDescent="0.3">
      <c r="B734" s="6" t="str">
        <f ca="1">IF(AND(NEGOCIAÇÕES!P734="",NEGOCIAÇÕES!N734&lt;TODAY()),NEGOCIAÇÕES!C734,"")</f>
        <v/>
      </c>
      <c r="C734" s="6" t="str">
        <f ca="1">IF(AND(NEGOCIAÇÕES!P734="",NEGOCIAÇÕES!N734&lt;TODAY()),NEGOCIAÇÕES!E734,"")</f>
        <v/>
      </c>
      <c r="D734" s="6" t="str">
        <f ca="1">IF(AND(NEGOCIAÇÕES!P734="",NEGOCIAÇÕES!N734&lt;TODAY()),NEGOCIAÇÕES!D734,"")</f>
        <v/>
      </c>
      <c r="E734" s="9" t="str">
        <f ca="1">IF(AND(NEGOCIAÇÕES!P734="",NEGOCIAÇÕES!N734&lt;TODAY()),NEGOCIAÇÕES!N734,"")</f>
        <v/>
      </c>
      <c r="F734" s="6"/>
    </row>
    <row r="735" spans="2:6" ht="31.95" hidden="1" customHeight="1" x14ac:dyDescent="0.3">
      <c r="B735" s="6" t="str">
        <f ca="1">IF(AND(NEGOCIAÇÕES!P735="",NEGOCIAÇÕES!N735&lt;TODAY()),NEGOCIAÇÕES!C735,"")</f>
        <v/>
      </c>
      <c r="C735" s="6" t="str">
        <f ca="1">IF(AND(NEGOCIAÇÕES!P735="",NEGOCIAÇÕES!N735&lt;TODAY()),NEGOCIAÇÕES!E735,"")</f>
        <v/>
      </c>
      <c r="D735" s="6" t="str">
        <f ca="1">IF(AND(NEGOCIAÇÕES!P735="",NEGOCIAÇÕES!N735&lt;TODAY()),NEGOCIAÇÕES!D735,"")</f>
        <v/>
      </c>
      <c r="E735" s="9" t="str">
        <f ca="1">IF(AND(NEGOCIAÇÕES!P735="",NEGOCIAÇÕES!N735&lt;TODAY()),NEGOCIAÇÕES!N735,"")</f>
        <v/>
      </c>
      <c r="F735" s="6"/>
    </row>
    <row r="736" spans="2:6" ht="31.95" hidden="1" customHeight="1" x14ac:dyDescent="0.3">
      <c r="B736" s="6" t="str">
        <f ca="1">IF(AND(NEGOCIAÇÕES!P736="",NEGOCIAÇÕES!N736&lt;TODAY()),NEGOCIAÇÕES!C736,"")</f>
        <v/>
      </c>
      <c r="C736" s="6" t="str">
        <f ca="1">IF(AND(NEGOCIAÇÕES!P736="",NEGOCIAÇÕES!N736&lt;TODAY()),NEGOCIAÇÕES!E736,"")</f>
        <v/>
      </c>
      <c r="D736" s="6" t="str">
        <f ca="1">IF(AND(NEGOCIAÇÕES!P736="",NEGOCIAÇÕES!N736&lt;TODAY()),NEGOCIAÇÕES!D736,"")</f>
        <v/>
      </c>
      <c r="E736" s="9" t="str">
        <f ca="1">IF(AND(NEGOCIAÇÕES!P736="",NEGOCIAÇÕES!N736&lt;TODAY()),NEGOCIAÇÕES!N736,"")</f>
        <v/>
      </c>
      <c r="F736" s="6"/>
    </row>
    <row r="737" spans="2:6" ht="31.95" hidden="1" customHeight="1" x14ac:dyDescent="0.3">
      <c r="B737" s="6" t="str">
        <f ca="1">IF(AND(NEGOCIAÇÕES!P737="",NEGOCIAÇÕES!N737&lt;TODAY()),NEGOCIAÇÕES!C737,"")</f>
        <v/>
      </c>
      <c r="C737" s="6" t="str">
        <f ca="1">IF(AND(NEGOCIAÇÕES!P737="",NEGOCIAÇÕES!N737&lt;TODAY()),NEGOCIAÇÕES!E737,"")</f>
        <v/>
      </c>
      <c r="D737" s="6" t="str">
        <f ca="1">IF(AND(NEGOCIAÇÕES!P737="",NEGOCIAÇÕES!N737&lt;TODAY()),NEGOCIAÇÕES!D737,"")</f>
        <v/>
      </c>
      <c r="E737" s="9" t="str">
        <f ca="1">IF(AND(NEGOCIAÇÕES!P737="",NEGOCIAÇÕES!N737&lt;TODAY()),NEGOCIAÇÕES!N737,"")</f>
        <v/>
      </c>
      <c r="F737" s="6"/>
    </row>
    <row r="738" spans="2:6" ht="31.95" hidden="1" customHeight="1" x14ac:dyDescent="0.3">
      <c r="B738" s="6" t="str">
        <f ca="1">IF(AND(NEGOCIAÇÕES!P738="",NEGOCIAÇÕES!N738&lt;TODAY()),NEGOCIAÇÕES!C738,"")</f>
        <v/>
      </c>
      <c r="C738" s="6" t="str">
        <f ca="1">IF(AND(NEGOCIAÇÕES!P738="",NEGOCIAÇÕES!N738&lt;TODAY()),NEGOCIAÇÕES!E738,"")</f>
        <v/>
      </c>
      <c r="D738" s="6" t="str">
        <f ca="1">IF(AND(NEGOCIAÇÕES!P738="",NEGOCIAÇÕES!N738&lt;TODAY()),NEGOCIAÇÕES!D738,"")</f>
        <v/>
      </c>
      <c r="E738" s="9" t="str">
        <f ca="1">IF(AND(NEGOCIAÇÕES!P738="",NEGOCIAÇÕES!N738&lt;TODAY()),NEGOCIAÇÕES!N738,"")</f>
        <v/>
      </c>
      <c r="F738" s="6"/>
    </row>
    <row r="739" spans="2:6" ht="31.95" hidden="1" customHeight="1" x14ac:dyDescent="0.3">
      <c r="B739" s="6" t="str">
        <f ca="1">IF(AND(NEGOCIAÇÕES!P739="",NEGOCIAÇÕES!N739&lt;TODAY()),NEGOCIAÇÕES!C739,"")</f>
        <v/>
      </c>
      <c r="C739" s="6" t="str">
        <f ca="1">IF(AND(NEGOCIAÇÕES!P739="",NEGOCIAÇÕES!N739&lt;TODAY()),NEGOCIAÇÕES!E739,"")</f>
        <v/>
      </c>
      <c r="D739" s="6" t="str">
        <f ca="1">IF(AND(NEGOCIAÇÕES!P739="",NEGOCIAÇÕES!N739&lt;TODAY()),NEGOCIAÇÕES!D739,"")</f>
        <v/>
      </c>
      <c r="E739" s="9" t="str">
        <f ca="1">IF(AND(NEGOCIAÇÕES!P739="",NEGOCIAÇÕES!N739&lt;TODAY()),NEGOCIAÇÕES!N739,"")</f>
        <v/>
      </c>
      <c r="F739" s="6"/>
    </row>
    <row r="740" spans="2:6" ht="31.95" hidden="1" customHeight="1" x14ac:dyDescent="0.3">
      <c r="B740" s="6" t="str">
        <f ca="1">IF(AND(NEGOCIAÇÕES!P740="",NEGOCIAÇÕES!N740&lt;TODAY()),NEGOCIAÇÕES!C740,"")</f>
        <v/>
      </c>
      <c r="C740" s="6" t="str">
        <f ca="1">IF(AND(NEGOCIAÇÕES!P740="",NEGOCIAÇÕES!N740&lt;TODAY()),NEGOCIAÇÕES!E740,"")</f>
        <v/>
      </c>
      <c r="D740" s="6" t="str">
        <f ca="1">IF(AND(NEGOCIAÇÕES!P740="",NEGOCIAÇÕES!N740&lt;TODAY()),NEGOCIAÇÕES!D740,"")</f>
        <v/>
      </c>
      <c r="E740" s="9" t="str">
        <f ca="1">IF(AND(NEGOCIAÇÕES!P740="",NEGOCIAÇÕES!N740&lt;TODAY()),NEGOCIAÇÕES!N740,"")</f>
        <v/>
      </c>
      <c r="F740" s="6"/>
    </row>
    <row r="741" spans="2:6" ht="31.95" hidden="1" customHeight="1" x14ac:dyDescent="0.3">
      <c r="B741" s="6" t="str">
        <f ca="1">IF(AND(NEGOCIAÇÕES!P741="",NEGOCIAÇÕES!N741&lt;TODAY()),NEGOCIAÇÕES!C741,"")</f>
        <v/>
      </c>
      <c r="C741" s="6" t="str">
        <f ca="1">IF(AND(NEGOCIAÇÕES!P741="",NEGOCIAÇÕES!N741&lt;TODAY()),NEGOCIAÇÕES!E741,"")</f>
        <v/>
      </c>
      <c r="D741" s="6" t="str">
        <f ca="1">IF(AND(NEGOCIAÇÕES!P741="",NEGOCIAÇÕES!N741&lt;TODAY()),NEGOCIAÇÕES!D741,"")</f>
        <v/>
      </c>
      <c r="E741" s="9" t="str">
        <f ca="1">IF(AND(NEGOCIAÇÕES!P741="",NEGOCIAÇÕES!N741&lt;TODAY()),NEGOCIAÇÕES!N741,"")</f>
        <v/>
      </c>
      <c r="F741" s="6"/>
    </row>
    <row r="742" spans="2:6" ht="31.95" hidden="1" customHeight="1" x14ac:dyDescent="0.3">
      <c r="B742" s="6" t="str">
        <f ca="1">IF(AND(NEGOCIAÇÕES!P742="",NEGOCIAÇÕES!N742&lt;TODAY()),NEGOCIAÇÕES!C742,"")</f>
        <v/>
      </c>
      <c r="C742" s="6" t="str">
        <f ca="1">IF(AND(NEGOCIAÇÕES!P742="",NEGOCIAÇÕES!N742&lt;TODAY()),NEGOCIAÇÕES!E742,"")</f>
        <v/>
      </c>
      <c r="D742" s="6" t="str">
        <f ca="1">IF(AND(NEGOCIAÇÕES!P742="",NEGOCIAÇÕES!N742&lt;TODAY()),NEGOCIAÇÕES!D742,"")</f>
        <v/>
      </c>
      <c r="E742" s="9" t="str">
        <f ca="1">IF(AND(NEGOCIAÇÕES!P742="",NEGOCIAÇÕES!N742&lt;TODAY()),NEGOCIAÇÕES!N742,"")</f>
        <v/>
      </c>
      <c r="F742" s="6"/>
    </row>
    <row r="743" spans="2:6" ht="31.95" hidden="1" customHeight="1" x14ac:dyDescent="0.3">
      <c r="B743" s="6" t="str">
        <f ca="1">IF(AND(NEGOCIAÇÕES!P743="",NEGOCIAÇÕES!N743&lt;TODAY()),NEGOCIAÇÕES!C743,"")</f>
        <v/>
      </c>
      <c r="C743" s="6" t="str">
        <f ca="1">IF(AND(NEGOCIAÇÕES!P743="",NEGOCIAÇÕES!N743&lt;TODAY()),NEGOCIAÇÕES!E743,"")</f>
        <v/>
      </c>
      <c r="D743" s="6" t="str">
        <f ca="1">IF(AND(NEGOCIAÇÕES!P743="",NEGOCIAÇÕES!N743&lt;TODAY()),NEGOCIAÇÕES!D743,"")</f>
        <v/>
      </c>
      <c r="E743" s="9" t="str">
        <f ca="1">IF(AND(NEGOCIAÇÕES!P743="",NEGOCIAÇÕES!N743&lt;TODAY()),NEGOCIAÇÕES!N743,"")</f>
        <v/>
      </c>
      <c r="F743" s="6"/>
    </row>
    <row r="744" spans="2:6" ht="31.95" hidden="1" customHeight="1" x14ac:dyDescent="0.3">
      <c r="B744" s="6" t="str">
        <f ca="1">IF(AND(NEGOCIAÇÕES!P744="",NEGOCIAÇÕES!N744&lt;TODAY()),NEGOCIAÇÕES!C744,"")</f>
        <v/>
      </c>
      <c r="C744" s="6" t="str">
        <f ca="1">IF(AND(NEGOCIAÇÕES!P744="",NEGOCIAÇÕES!N744&lt;TODAY()),NEGOCIAÇÕES!E744,"")</f>
        <v/>
      </c>
      <c r="D744" s="6" t="str">
        <f ca="1">IF(AND(NEGOCIAÇÕES!P744="",NEGOCIAÇÕES!N744&lt;TODAY()),NEGOCIAÇÕES!D744,"")</f>
        <v/>
      </c>
      <c r="E744" s="9" t="str">
        <f ca="1">IF(AND(NEGOCIAÇÕES!P744="",NEGOCIAÇÕES!N744&lt;TODAY()),NEGOCIAÇÕES!N744,"")</f>
        <v/>
      </c>
      <c r="F744" s="6"/>
    </row>
    <row r="745" spans="2:6" ht="31.95" hidden="1" customHeight="1" x14ac:dyDescent="0.3">
      <c r="B745" s="6" t="str">
        <f ca="1">IF(AND(NEGOCIAÇÕES!P745="",NEGOCIAÇÕES!N745&lt;TODAY()),NEGOCIAÇÕES!C745,"")</f>
        <v/>
      </c>
      <c r="C745" s="6" t="str">
        <f ca="1">IF(AND(NEGOCIAÇÕES!P745="",NEGOCIAÇÕES!N745&lt;TODAY()),NEGOCIAÇÕES!E745,"")</f>
        <v/>
      </c>
      <c r="D745" s="6" t="str">
        <f ca="1">IF(AND(NEGOCIAÇÕES!P745="",NEGOCIAÇÕES!N745&lt;TODAY()),NEGOCIAÇÕES!D745,"")</f>
        <v/>
      </c>
      <c r="E745" s="9" t="str">
        <f ca="1">IF(AND(NEGOCIAÇÕES!P745="",NEGOCIAÇÕES!N745&lt;TODAY()),NEGOCIAÇÕES!N745,"")</f>
        <v/>
      </c>
      <c r="F745" s="6"/>
    </row>
    <row r="746" spans="2:6" ht="31.95" hidden="1" customHeight="1" x14ac:dyDescent="0.3">
      <c r="B746" s="6" t="str">
        <f ca="1">IF(AND(NEGOCIAÇÕES!P746="",NEGOCIAÇÕES!N746&lt;TODAY()),NEGOCIAÇÕES!C746,"")</f>
        <v/>
      </c>
      <c r="C746" s="6" t="str">
        <f ca="1">IF(AND(NEGOCIAÇÕES!P746="",NEGOCIAÇÕES!N746&lt;TODAY()),NEGOCIAÇÕES!E746,"")</f>
        <v/>
      </c>
      <c r="D746" s="6" t="str">
        <f ca="1">IF(AND(NEGOCIAÇÕES!P746="",NEGOCIAÇÕES!N746&lt;TODAY()),NEGOCIAÇÕES!D746,"")</f>
        <v/>
      </c>
      <c r="E746" s="9" t="str">
        <f ca="1">IF(AND(NEGOCIAÇÕES!P746="",NEGOCIAÇÕES!N746&lt;TODAY()),NEGOCIAÇÕES!N746,"")</f>
        <v/>
      </c>
      <c r="F746" s="6"/>
    </row>
    <row r="747" spans="2:6" ht="31.95" hidden="1" customHeight="1" x14ac:dyDescent="0.3">
      <c r="B747" s="6" t="str">
        <f ca="1">IF(AND(NEGOCIAÇÕES!P747="",NEGOCIAÇÕES!N747&lt;TODAY()),NEGOCIAÇÕES!C747,"")</f>
        <v/>
      </c>
      <c r="C747" s="6" t="str">
        <f ca="1">IF(AND(NEGOCIAÇÕES!P747="",NEGOCIAÇÕES!N747&lt;TODAY()),NEGOCIAÇÕES!E747,"")</f>
        <v/>
      </c>
      <c r="D747" s="6" t="str">
        <f ca="1">IF(AND(NEGOCIAÇÕES!P747="",NEGOCIAÇÕES!N747&lt;TODAY()),NEGOCIAÇÕES!D747,"")</f>
        <v/>
      </c>
      <c r="E747" s="9" t="str">
        <f ca="1">IF(AND(NEGOCIAÇÕES!P747="",NEGOCIAÇÕES!N747&lt;TODAY()),NEGOCIAÇÕES!N747,"")</f>
        <v/>
      </c>
      <c r="F747" s="6"/>
    </row>
    <row r="748" spans="2:6" ht="31.95" hidden="1" customHeight="1" x14ac:dyDescent="0.3">
      <c r="B748" s="6" t="str">
        <f ca="1">IF(AND(NEGOCIAÇÕES!P748="",NEGOCIAÇÕES!N748&lt;TODAY()),NEGOCIAÇÕES!C748,"")</f>
        <v/>
      </c>
      <c r="C748" s="6" t="str">
        <f ca="1">IF(AND(NEGOCIAÇÕES!P748="",NEGOCIAÇÕES!N748&lt;TODAY()),NEGOCIAÇÕES!E748,"")</f>
        <v/>
      </c>
      <c r="D748" s="6" t="str">
        <f ca="1">IF(AND(NEGOCIAÇÕES!P748="",NEGOCIAÇÕES!N748&lt;TODAY()),NEGOCIAÇÕES!D748,"")</f>
        <v/>
      </c>
      <c r="E748" s="9" t="str">
        <f ca="1">IF(AND(NEGOCIAÇÕES!P748="",NEGOCIAÇÕES!N748&lt;TODAY()),NEGOCIAÇÕES!N748,"")</f>
        <v/>
      </c>
      <c r="F748" s="6"/>
    </row>
    <row r="749" spans="2:6" ht="31.95" hidden="1" customHeight="1" x14ac:dyDescent="0.3">
      <c r="B749" s="6" t="str">
        <f ca="1">IF(AND(NEGOCIAÇÕES!P749="",NEGOCIAÇÕES!N749&lt;TODAY()),NEGOCIAÇÕES!C749,"")</f>
        <v/>
      </c>
      <c r="C749" s="6" t="str">
        <f ca="1">IF(AND(NEGOCIAÇÕES!P749="",NEGOCIAÇÕES!N749&lt;TODAY()),NEGOCIAÇÕES!E749,"")</f>
        <v/>
      </c>
      <c r="D749" s="6" t="str">
        <f ca="1">IF(AND(NEGOCIAÇÕES!P749="",NEGOCIAÇÕES!N749&lt;TODAY()),NEGOCIAÇÕES!D749,"")</f>
        <v/>
      </c>
      <c r="E749" s="9" t="str">
        <f ca="1">IF(AND(NEGOCIAÇÕES!P749="",NEGOCIAÇÕES!N749&lt;TODAY()),NEGOCIAÇÕES!N749,"")</f>
        <v/>
      </c>
      <c r="F749" s="6"/>
    </row>
    <row r="750" spans="2:6" ht="31.95" hidden="1" customHeight="1" x14ac:dyDescent="0.3">
      <c r="B750" s="6" t="str">
        <f ca="1">IF(AND(NEGOCIAÇÕES!P750="",NEGOCIAÇÕES!N750&lt;TODAY()),NEGOCIAÇÕES!C750,"")</f>
        <v/>
      </c>
      <c r="C750" s="6" t="str">
        <f ca="1">IF(AND(NEGOCIAÇÕES!P750="",NEGOCIAÇÕES!N750&lt;TODAY()),NEGOCIAÇÕES!E750,"")</f>
        <v/>
      </c>
      <c r="D750" s="6" t="str">
        <f ca="1">IF(AND(NEGOCIAÇÕES!P750="",NEGOCIAÇÕES!N750&lt;TODAY()),NEGOCIAÇÕES!D750,"")</f>
        <v/>
      </c>
      <c r="E750" s="9" t="str">
        <f ca="1">IF(AND(NEGOCIAÇÕES!P750="",NEGOCIAÇÕES!N750&lt;TODAY()),NEGOCIAÇÕES!N750,"")</f>
        <v/>
      </c>
      <c r="F750" s="6"/>
    </row>
    <row r="751" spans="2:6" ht="31.95" hidden="1" customHeight="1" x14ac:dyDescent="0.3">
      <c r="B751" s="6" t="str">
        <f ca="1">IF(AND(NEGOCIAÇÕES!P751="",NEGOCIAÇÕES!N751&lt;TODAY()),NEGOCIAÇÕES!C751,"")</f>
        <v/>
      </c>
      <c r="C751" s="6" t="str">
        <f ca="1">IF(AND(NEGOCIAÇÕES!P751="",NEGOCIAÇÕES!N751&lt;TODAY()),NEGOCIAÇÕES!E751,"")</f>
        <v/>
      </c>
      <c r="D751" s="6" t="str">
        <f ca="1">IF(AND(NEGOCIAÇÕES!P751="",NEGOCIAÇÕES!N751&lt;TODAY()),NEGOCIAÇÕES!D751,"")</f>
        <v/>
      </c>
      <c r="E751" s="9" t="str">
        <f ca="1">IF(AND(NEGOCIAÇÕES!P751="",NEGOCIAÇÕES!N751&lt;TODAY()),NEGOCIAÇÕES!N751,"")</f>
        <v/>
      </c>
      <c r="F751" s="6"/>
    </row>
    <row r="752" spans="2:6" ht="31.95" hidden="1" customHeight="1" x14ac:dyDescent="0.3">
      <c r="B752" s="6" t="str">
        <f ca="1">IF(AND(NEGOCIAÇÕES!P752="",NEGOCIAÇÕES!N752&lt;TODAY()),NEGOCIAÇÕES!C752,"")</f>
        <v/>
      </c>
      <c r="C752" s="6" t="str">
        <f ca="1">IF(AND(NEGOCIAÇÕES!P752="",NEGOCIAÇÕES!N752&lt;TODAY()),NEGOCIAÇÕES!E752,"")</f>
        <v/>
      </c>
      <c r="D752" s="6" t="str">
        <f ca="1">IF(AND(NEGOCIAÇÕES!P752="",NEGOCIAÇÕES!N752&lt;TODAY()),NEGOCIAÇÕES!D752,"")</f>
        <v/>
      </c>
      <c r="E752" s="9" t="str">
        <f ca="1">IF(AND(NEGOCIAÇÕES!P752="",NEGOCIAÇÕES!N752&lt;TODAY()),NEGOCIAÇÕES!N752,"")</f>
        <v/>
      </c>
      <c r="F752" s="6"/>
    </row>
    <row r="753" spans="2:6" ht="31.95" hidden="1" customHeight="1" x14ac:dyDescent="0.3">
      <c r="B753" s="6" t="str">
        <f ca="1">IF(AND(NEGOCIAÇÕES!P753="",NEGOCIAÇÕES!N753&lt;TODAY()),NEGOCIAÇÕES!C753,"")</f>
        <v/>
      </c>
      <c r="C753" s="6" t="str">
        <f ca="1">IF(AND(NEGOCIAÇÕES!P753="",NEGOCIAÇÕES!N753&lt;TODAY()),NEGOCIAÇÕES!E753,"")</f>
        <v/>
      </c>
      <c r="D753" s="6" t="str">
        <f ca="1">IF(AND(NEGOCIAÇÕES!P753="",NEGOCIAÇÕES!N753&lt;TODAY()),NEGOCIAÇÕES!D753,"")</f>
        <v/>
      </c>
      <c r="E753" s="9" t="str">
        <f ca="1">IF(AND(NEGOCIAÇÕES!P753="",NEGOCIAÇÕES!N753&lt;TODAY()),NEGOCIAÇÕES!N753,"")</f>
        <v/>
      </c>
      <c r="F753" s="6"/>
    </row>
    <row r="754" spans="2:6" ht="31.95" hidden="1" customHeight="1" x14ac:dyDescent="0.3">
      <c r="B754" s="6" t="str">
        <f ca="1">IF(AND(NEGOCIAÇÕES!P754="",NEGOCIAÇÕES!N754&lt;TODAY()),NEGOCIAÇÕES!C754,"")</f>
        <v/>
      </c>
      <c r="C754" s="6" t="str">
        <f ca="1">IF(AND(NEGOCIAÇÕES!P754="",NEGOCIAÇÕES!N754&lt;TODAY()),NEGOCIAÇÕES!E754,"")</f>
        <v/>
      </c>
      <c r="D754" s="6" t="str">
        <f ca="1">IF(AND(NEGOCIAÇÕES!P754="",NEGOCIAÇÕES!N754&lt;TODAY()),NEGOCIAÇÕES!D754,"")</f>
        <v/>
      </c>
      <c r="E754" s="9" t="str">
        <f ca="1">IF(AND(NEGOCIAÇÕES!P754="",NEGOCIAÇÕES!N754&lt;TODAY()),NEGOCIAÇÕES!N754,"")</f>
        <v/>
      </c>
      <c r="F754" s="6"/>
    </row>
    <row r="755" spans="2:6" ht="31.95" hidden="1" customHeight="1" x14ac:dyDescent="0.3">
      <c r="B755" s="6" t="str">
        <f ca="1">IF(AND(NEGOCIAÇÕES!P755="",NEGOCIAÇÕES!N755&lt;TODAY()),NEGOCIAÇÕES!C755,"")</f>
        <v/>
      </c>
      <c r="C755" s="6" t="str">
        <f ca="1">IF(AND(NEGOCIAÇÕES!P755="",NEGOCIAÇÕES!N755&lt;TODAY()),NEGOCIAÇÕES!E755,"")</f>
        <v/>
      </c>
      <c r="D755" s="6" t="str">
        <f ca="1">IF(AND(NEGOCIAÇÕES!P755="",NEGOCIAÇÕES!N755&lt;TODAY()),NEGOCIAÇÕES!D755,"")</f>
        <v/>
      </c>
      <c r="E755" s="9" t="str">
        <f ca="1">IF(AND(NEGOCIAÇÕES!P755="",NEGOCIAÇÕES!N755&lt;TODAY()),NEGOCIAÇÕES!N755,"")</f>
        <v/>
      </c>
      <c r="F755" s="6"/>
    </row>
    <row r="756" spans="2:6" ht="31.95" hidden="1" customHeight="1" x14ac:dyDescent="0.3">
      <c r="B756" s="6" t="str">
        <f ca="1">IF(AND(NEGOCIAÇÕES!P756="",NEGOCIAÇÕES!N756&lt;TODAY()),NEGOCIAÇÕES!C756,"")</f>
        <v/>
      </c>
      <c r="C756" s="6" t="str">
        <f ca="1">IF(AND(NEGOCIAÇÕES!P756="",NEGOCIAÇÕES!N756&lt;TODAY()),NEGOCIAÇÕES!E756,"")</f>
        <v/>
      </c>
      <c r="D756" s="6" t="str">
        <f ca="1">IF(AND(NEGOCIAÇÕES!P756="",NEGOCIAÇÕES!N756&lt;TODAY()),NEGOCIAÇÕES!D756,"")</f>
        <v/>
      </c>
      <c r="E756" s="9" t="str">
        <f ca="1">IF(AND(NEGOCIAÇÕES!P756="",NEGOCIAÇÕES!N756&lt;TODAY()),NEGOCIAÇÕES!N756,"")</f>
        <v/>
      </c>
      <c r="F756" s="6"/>
    </row>
    <row r="757" spans="2:6" ht="31.95" hidden="1" customHeight="1" x14ac:dyDescent="0.3">
      <c r="B757" s="6" t="str">
        <f ca="1">IF(AND(NEGOCIAÇÕES!P757="",NEGOCIAÇÕES!N757&lt;TODAY()),NEGOCIAÇÕES!C757,"")</f>
        <v/>
      </c>
      <c r="C757" s="6" t="str">
        <f ca="1">IF(AND(NEGOCIAÇÕES!P757="",NEGOCIAÇÕES!N757&lt;TODAY()),NEGOCIAÇÕES!E757,"")</f>
        <v/>
      </c>
      <c r="D757" s="6" t="str">
        <f ca="1">IF(AND(NEGOCIAÇÕES!P757="",NEGOCIAÇÕES!N757&lt;TODAY()),NEGOCIAÇÕES!D757,"")</f>
        <v/>
      </c>
      <c r="E757" s="9" t="str">
        <f ca="1">IF(AND(NEGOCIAÇÕES!P757="",NEGOCIAÇÕES!N757&lt;TODAY()),NEGOCIAÇÕES!N757,"")</f>
        <v/>
      </c>
      <c r="F757" s="6"/>
    </row>
    <row r="758" spans="2:6" ht="31.95" hidden="1" customHeight="1" x14ac:dyDescent="0.3">
      <c r="B758" s="6" t="str">
        <f ca="1">IF(AND(NEGOCIAÇÕES!P758="",NEGOCIAÇÕES!N758&lt;TODAY()),NEGOCIAÇÕES!C758,"")</f>
        <v/>
      </c>
      <c r="C758" s="6" t="str">
        <f ca="1">IF(AND(NEGOCIAÇÕES!P758="",NEGOCIAÇÕES!N758&lt;TODAY()),NEGOCIAÇÕES!E758,"")</f>
        <v/>
      </c>
      <c r="D758" s="6" t="str">
        <f ca="1">IF(AND(NEGOCIAÇÕES!P758="",NEGOCIAÇÕES!N758&lt;TODAY()),NEGOCIAÇÕES!D758,"")</f>
        <v/>
      </c>
      <c r="E758" s="9" t="str">
        <f ca="1">IF(AND(NEGOCIAÇÕES!P758="",NEGOCIAÇÕES!N758&lt;TODAY()),NEGOCIAÇÕES!N758,"")</f>
        <v/>
      </c>
      <c r="F758" s="6"/>
    </row>
    <row r="759" spans="2:6" ht="31.95" hidden="1" customHeight="1" x14ac:dyDescent="0.3">
      <c r="B759" s="6" t="str">
        <f ca="1">IF(AND(NEGOCIAÇÕES!P759="",NEGOCIAÇÕES!N759&lt;TODAY()),NEGOCIAÇÕES!C759,"")</f>
        <v/>
      </c>
      <c r="C759" s="6" t="str">
        <f ca="1">IF(AND(NEGOCIAÇÕES!P759="",NEGOCIAÇÕES!N759&lt;TODAY()),NEGOCIAÇÕES!E759,"")</f>
        <v/>
      </c>
      <c r="D759" s="6" t="str">
        <f ca="1">IF(AND(NEGOCIAÇÕES!P759="",NEGOCIAÇÕES!N759&lt;TODAY()),NEGOCIAÇÕES!D759,"")</f>
        <v/>
      </c>
      <c r="E759" s="9" t="str">
        <f ca="1">IF(AND(NEGOCIAÇÕES!P759="",NEGOCIAÇÕES!N759&lt;TODAY()),NEGOCIAÇÕES!N759,"")</f>
        <v/>
      </c>
      <c r="F759" s="6"/>
    </row>
    <row r="760" spans="2:6" ht="31.95" hidden="1" customHeight="1" x14ac:dyDescent="0.3">
      <c r="B760" s="6" t="str">
        <f ca="1">IF(AND(NEGOCIAÇÕES!P760="",NEGOCIAÇÕES!N760&lt;TODAY()),NEGOCIAÇÕES!C760,"")</f>
        <v/>
      </c>
      <c r="C760" s="6" t="str">
        <f ca="1">IF(AND(NEGOCIAÇÕES!P760="",NEGOCIAÇÕES!N760&lt;TODAY()),NEGOCIAÇÕES!E760,"")</f>
        <v/>
      </c>
      <c r="D760" s="6" t="str">
        <f ca="1">IF(AND(NEGOCIAÇÕES!P760="",NEGOCIAÇÕES!N760&lt;TODAY()),NEGOCIAÇÕES!D760,"")</f>
        <v/>
      </c>
      <c r="E760" s="9" t="str">
        <f ca="1">IF(AND(NEGOCIAÇÕES!P760="",NEGOCIAÇÕES!N760&lt;TODAY()),NEGOCIAÇÕES!N760,"")</f>
        <v/>
      </c>
      <c r="F760" s="6"/>
    </row>
    <row r="761" spans="2:6" ht="31.95" hidden="1" customHeight="1" x14ac:dyDescent="0.3">
      <c r="B761" s="6" t="str">
        <f ca="1">IF(AND(NEGOCIAÇÕES!P761="",NEGOCIAÇÕES!N761&lt;TODAY()),NEGOCIAÇÕES!C761,"")</f>
        <v/>
      </c>
      <c r="C761" s="6" t="str">
        <f ca="1">IF(AND(NEGOCIAÇÕES!P761="",NEGOCIAÇÕES!N761&lt;TODAY()),NEGOCIAÇÕES!E761,"")</f>
        <v/>
      </c>
      <c r="D761" s="6" t="str">
        <f ca="1">IF(AND(NEGOCIAÇÕES!P761="",NEGOCIAÇÕES!N761&lt;TODAY()),NEGOCIAÇÕES!D761,"")</f>
        <v/>
      </c>
      <c r="E761" s="9" t="str">
        <f ca="1">IF(AND(NEGOCIAÇÕES!P761="",NEGOCIAÇÕES!N761&lt;TODAY()),NEGOCIAÇÕES!N761,"")</f>
        <v/>
      </c>
      <c r="F761" s="6"/>
    </row>
    <row r="762" spans="2:6" ht="31.95" hidden="1" customHeight="1" x14ac:dyDescent="0.3">
      <c r="B762" s="6" t="str">
        <f ca="1">IF(AND(NEGOCIAÇÕES!P762="",NEGOCIAÇÕES!N762&lt;TODAY()),NEGOCIAÇÕES!C762,"")</f>
        <v/>
      </c>
      <c r="C762" s="6" t="str">
        <f ca="1">IF(AND(NEGOCIAÇÕES!P762="",NEGOCIAÇÕES!N762&lt;TODAY()),NEGOCIAÇÕES!E762,"")</f>
        <v/>
      </c>
      <c r="D762" s="6" t="str">
        <f ca="1">IF(AND(NEGOCIAÇÕES!P762="",NEGOCIAÇÕES!N762&lt;TODAY()),NEGOCIAÇÕES!D762,"")</f>
        <v/>
      </c>
      <c r="E762" s="9" t="str">
        <f ca="1">IF(AND(NEGOCIAÇÕES!P762="",NEGOCIAÇÕES!N762&lt;TODAY()),NEGOCIAÇÕES!N762,"")</f>
        <v/>
      </c>
      <c r="F762" s="6"/>
    </row>
    <row r="763" spans="2:6" ht="31.95" hidden="1" customHeight="1" x14ac:dyDescent="0.3">
      <c r="B763" s="6" t="str">
        <f ca="1">IF(AND(NEGOCIAÇÕES!P763="",NEGOCIAÇÕES!N763&lt;TODAY()),NEGOCIAÇÕES!C763,"")</f>
        <v/>
      </c>
      <c r="C763" s="6" t="str">
        <f ca="1">IF(AND(NEGOCIAÇÕES!P763="",NEGOCIAÇÕES!N763&lt;TODAY()),NEGOCIAÇÕES!E763,"")</f>
        <v/>
      </c>
      <c r="D763" s="6" t="str">
        <f ca="1">IF(AND(NEGOCIAÇÕES!P763="",NEGOCIAÇÕES!N763&lt;TODAY()),NEGOCIAÇÕES!D763,"")</f>
        <v/>
      </c>
      <c r="E763" s="9" t="str">
        <f ca="1">IF(AND(NEGOCIAÇÕES!P763="",NEGOCIAÇÕES!N763&lt;TODAY()),NEGOCIAÇÕES!N763,"")</f>
        <v/>
      </c>
      <c r="F763" s="6"/>
    </row>
    <row r="764" spans="2:6" ht="31.95" hidden="1" customHeight="1" x14ac:dyDescent="0.3">
      <c r="B764" s="6" t="str">
        <f ca="1">IF(AND(NEGOCIAÇÕES!P764="",NEGOCIAÇÕES!N764&lt;TODAY()),NEGOCIAÇÕES!C764,"")</f>
        <v/>
      </c>
      <c r="C764" s="6" t="str">
        <f ca="1">IF(AND(NEGOCIAÇÕES!P764="",NEGOCIAÇÕES!N764&lt;TODAY()),NEGOCIAÇÕES!E764,"")</f>
        <v/>
      </c>
      <c r="D764" s="6" t="str">
        <f ca="1">IF(AND(NEGOCIAÇÕES!P764="",NEGOCIAÇÕES!N764&lt;TODAY()),NEGOCIAÇÕES!D764,"")</f>
        <v/>
      </c>
      <c r="E764" s="9" t="str">
        <f ca="1">IF(AND(NEGOCIAÇÕES!P764="",NEGOCIAÇÕES!N764&lt;TODAY()),NEGOCIAÇÕES!N764,"")</f>
        <v/>
      </c>
      <c r="F764" s="6"/>
    </row>
    <row r="765" spans="2:6" ht="31.95" hidden="1" customHeight="1" x14ac:dyDescent="0.3">
      <c r="B765" s="6" t="str">
        <f ca="1">IF(AND(NEGOCIAÇÕES!P765="",NEGOCIAÇÕES!N765&lt;TODAY()),NEGOCIAÇÕES!C765,"")</f>
        <v/>
      </c>
      <c r="C765" s="6" t="str">
        <f ca="1">IF(AND(NEGOCIAÇÕES!P765="",NEGOCIAÇÕES!N765&lt;TODAY()),NEGOCIAÇÕES!E765,"")</f>
        <v/>
      </c>
      <c r="D765" s="6" t="str">
        <f ca="1">IF(AND(NEGOCIAÇÕES!P765="",NEGOCIAÇÕES!N765&lt;TODAY()),NEGOCIAÇÕES!D765,"")</f>
        <v/>
      </c>
      <c r="E765" s="9" t="str">
        <f ca="1">IF(AND(NEGOCIAÇÕES!P765="",NEGOCIAÇÕES!N765&lt;TODAY()),NEGOCIAÇÕES!N765,"")</f>
        <v/>
      </c>
      <c r="F765" s="6"/>
    </row>
    <row r="766" spans="2:6" ht="31.95" hidden="1" customHeight="1" x14ac:dyDescent="0.3">
      <c r="B766" s="6" t="str">
        <f ca="1">IF(AND(NEGOCIAÇÕES!P766="",NEGOCIAÇÕES!N766&lt;TODAY()),NEGOCIAÇÕES!C766,"")</f>
        <v/>
      </c>
      <c r="C766" s="6" t="str">
        <f ca="1">IF(AND(NEGOCIAÇÕES!P766="",NEGOCIAÇÕES!N766&lt;TODAY()),NEGOCIAÇÕES!E766,"")</f>
        <v/>
      </c>
      <c r="D766" s="6" t="str">
        <f ca="1">IF(AND(NEGOCIAÇÕES!P766="",NEGOCIAÇÕES!N766&lt;TODAY()),NEGOCIAÇÕES!D766,"")</f>
        <v/>
      </c>
      <c r="E766" s="9" t="str">
        <f ca="1">IF(AND(NEGOCIAÇÕES!P766="",NEGOCIAÇÕES!N766&lt;TODAY()),NEGOCIAÇÕES!N766,"")</f>
        <v/>
      </c>
      <c r="F766" s="6"/>
    </row>
    <row r="767" spans="2:6" ht="31.95" hidden="1" customHeight="1" x14ac:dyDescent="0.3">
      <c r="B767" s="6" t="str">
        <f ca="1">IF(AND(NEGOCIAÇÕES!P767="",NEGOCIAÇÕES!N767&lt;TODAY()),NEGOCIAÇÕES!C767,"")</f>
        <v/>
      </c>
      <c r="C767" s="6" t="str">
        <f ca="1">IF(AND(NEGOCIAÇÕES!P767="",NEGOCIAÇÕES!N767&lt;TODAY()),NEGOCIAÇÕES!E767,"")</f>
        <v/>
      </c>
      <c r="D767" s="6" t="str">
        <f ca="1">IF(AND(NEGOCIAÇÕES!P767="",NEGOCIAÇÕES!N767&lt;TODAY()),NEGOCIAÇÕES!D767,"")</f>
        <v/>
      </c>
      <c r="E767" s="9" t="str">
        <f ca="1">IF(AND(NEGOCIAÇÕES!P767="",NEGOCIAÇÕES!N767&lt;TODAY()),NEGOCIAÇÕES!N767,"")</f>
        <v/>
      </c>
      <c r="F767" s="6"/>
    </row>
    <row r="768" spans="2:6" ht="31.95" hidden="1" customHeight="1" x14ac:dyDescent="0.3">
      <c r="B768" s="6" t="str">
        <f ca="1">IF(AND(NEGOCIAÇÕES!P768="",NEGOCIAÇÕES!N768&lt;TODAY()),NEGOCIAÇÕES!C768,"")</f>
        <v/>
      </c>
      <c r="C768" s="6" t="str">
        <f ca="1">IF(AND(NEGOCIAÇÕES!P768="",NEGOCIAÇÕES!N768&lt;TODAY()),NEGOCIAÇÕES!E768,"")</f>
        <v/>
      </c>
      <c r="D768" s="6" t="str">
        <f ca="1">IF(AND(NEGOCIAÇÕES!P768="",NEGOCIAÇÕES!N768&lt;TODAY()),NEGOCIAÇÕES!D768,"")</f>
        <v/>
      </c>
      <c r="E768" s="9" t="str">
        <f ca="1">IF(AND(NEGOCIAÇÕES!P768="",NEGOCIAÇÕES!N768&lt;TODAY()),NEGOCIAÇÕES!N768,"")</f>
        <v/>
      </c>
      <c r="F768" s="6"/>
    </row>
    <row r="769" spans="2:6" ht="31.95" hidden="1" customHeight="1" x14ac:dyDescent="0.3">
      <c r="B769" s="6" t="str">
        <f ca="1">IF(AND(NEGOCIAÇÕES!P769="",NEGOCIAÇÕES!N769&lt;TODAY()),NEGOCIAÇÕES!C769,"")</f>
        <v/>
      </c>
      <c r="C769" s="6" t="str">
        <f ca="1">IF(AND(NEGOCIAÇÕES!P769="",NEGOCIAÇÕES!N769&lt;TODAY()),NEGOCIAÇÕES!E769,"")</f>
        <v/>
      </c>
      <c r="D769" s="6" t="str">
        <f ca="1">IF(AND(NEGOCIAÇÕES!P769="",NEGOCIAÇÕES!N769&lt;TODAY()),NEGOCIAÇÕES!D769,"")</f>
        <v/>
      </c>
      <c r="E769" s="9" t="str">
        <f ca="1">IF(AND(NEGOCIAÇÕES!P769="",NEGOCIAÇÕES!N769&lt;TODAY()),NEGOCIAÇÕES!N769,"")</f>
        <v/>
      </c>
      <c r="F769" s="6"/>
    </row>
    <row r="770" spans="2:6" ht="31.95" hidden="1" customHeight="1" x14ac:dyDescent="0.3">
      <c r="B770" s="6" t="str">
        <f ca="1">IF(AND(NEGOCIAÇÕES!P770="",NEGOCIAÇÕES!N770&lt;TODAY()),NEGOCIAÇÕES!C770,"")</f>
        <v/>
      </c>
      <c r="C770" s="6" t="str">
        <f ca="1">IF(AND(NEGOCIAÇÕES!P770="",NEGOCIAÇÕES!N770&lt;TODAY()),NEGOCIAÇÕES!E770,"")</f>
        <v/>
      </c>
      <c r="D770" s="6" t="str">
        <f ca="1">IF(AND(NEGOCIAÇÕES!P770="",NEGOCIAÇÕES!N770&lt;TODAY()),NEGOCIAÇÕES!D770,"")</f>
        <v/>
      </c>
      <c r="E770" s="9" t="str">
        <f ca="1">IF(AND(NEGOCIAÇÕES!P770="",NEGOCIAÇÕES!N770&lt;TODAY()),NEGOCIAÇÕES!N770,"")</f>
        <v/>
      </c>
      <c r="F770" s="6"/>
    </row>
    <row r="771" spans="2:6" ht="31.95" hidden="1" customHeight="1" x14ac:dyDescent="0.3">
      <c r="B771" s="6" t="str">
        <f ca="1">IF(AND(NEGOCIAÇÕES!P771="",NEGOCIAÇÕES!N771&lt;TODAY()),NEGOCIAÇÕES!C771,"")</f>
        <v/>
      </c>
      <c r="C771" s="6" t="str">
        <f ca="1">IF(AND(NEGOCIAÇÕES!P771="",NEGOCIAÇÕES!N771&lt;TODAY()),NEGOCIAÇÕES!E771,"")</f>
        <v/>
      </c>
      <c r="D771" s="6" t="str">
        <f ca="1">IF(AND(NEGOCIAÇÕES!P771="",NEGOCIAÇÕES!N771&lt;TODAY()),NEGOCIAÇÕES!D771,"")</f>
        <v/>
      </c>
      <c r="E771" s="9" t="str">
        <f ca="1">IF(AND(NEGOCIAÇÕES!P771="",NEGOCIAÇÕES!N771&lt;TODAY()),NEGOCIAÇÕES!N771,"")</f>
        <v/>
      </c>
      <c r="F771" s="6"/>
    </row>
    <row r="772" spans="2:6" ht="31.95" hidden="1" customHeight="1" x14ac:dyDescent="0.3">
      <c r="B772" s="6" t="str">
        <f ca="1">IF(AND(NEGOCIAÇÕES!P772="",NEGOCIAÇÕES!N772&lt;TODAY()),NEGOCIAÇÕES!C772,"")</f>
        <v/>
      </c>
      <c r="C772" s="6" t="str">
        <f ca="1">IF(AND(NEGOCIAÇÕES!P772="",NEGOCIAÇÕES!N772&lt;TODAY()),NEGOCIAÇÕES!E772,"")</f>
        <v/>
      </c>
      <c r="D772" s="6" t="str">
        <f ca="1">IF(AND(NEGOCIAÇÕES!P772="",NEGOCIAÇÕES!N772&lt;TODAY()),NEGOCIAÇÕES!D772,"")</f>
        <v/>
      </c>
      <c r="E772" s="9" t="str">
        <f ca="1">IF(AND(NEGOCIAÇÕES!P772="",NEGOCIAÇÕES!N772&lt;TODAY()),NEGOCIAÇÕES!N772,"")</f>
        <v/>
      </c>
      <c r="F772" s="6"/>
    </row>
    <row r="773" spans="2:6" ht="31.95" hidden="1" customHeight="1" x14ac:dyDescent="0.3">
      <c r="B773" s="6" t="str">
        <f ca="1">IF(AND(NEGOCIAÇÕES!P773="",NEGOCIAÇÕES!N773&lt;TODAY()),NEGOCIAÇÕES!C773,"")</f>
        <v/>
      </c>
      <c r="C773" s="6" t="str">
        <f ca="1">IF(AND(NEGOCIAÇÕES!P773="",NEGOCIAÇÕES!N773&lt;TODAY()),NEGOCIAÇÕES!E773,"")</f>
        <v/>
      </c>
      <c r="D773" s="6" t="str">
        <f ca="1">IF(AND(NEGOCIAÇÕES!P773="",NEGOCIAÇÕES!N773&lt;TODAY()),NEGOCIAÇÕES!D773,"")</f>
        <v/>
      </c>
      <c r="E773" s="9" t="str">
        <f ca="1">IF(AND(NEGOCIAÇÕES!P773="",NEGOCIAÇÕES!N773&lt;TODAY()),NEGOCIAÇÕES!N773,"")</f>
        <v/>
      </c>
      <c r="F773" s="6"/>
    </row>
    <row r="774" spans="2:6" ht="31.95" hidden="1" customHeight="1" x14ac:dyDescent="0.3">
      <c r="B774" s="6" t="str">
        <f ca="1">IF(AND(NEGOCIAÇÕES!P774="",NEGOCIAÇÕES!N774&lt;TODAY()),NEGOCIAÇÕES!C774,"")</f>
        <v/>
      </c>
      <c r="C774" s="6" t="str">
        <f ca="1">IF(AND(NEGOCIAÇÕES!P774="",NEGOCIAÇÕES!N774&lt;TODAY()),NEGOCIAÇÕES!E774,"")</f>
        <v/>
      </c>
      <c r="D774" s="6" t="str">
        <f ca="1">IF(AND(NEGOCIAÇÕES!P774="",NEGOCIAÇÕES!N774&lt;TODAY()),NEGOCIAÇÕES!D774,"")</f>
        <v/>
      </c>
      <c r="E774" s="9" t="str">
        <f ca="1">IF(AND(NEGOCIAÇÕES!P774="",NEGOCIAÇÕES!N774&lt;TODAY()),NEGOCIAÇÕES!N774,"")</f>
        <v/>
      </c>
      <c r="F774" s="6"/>
    </row>
    <row r="775" spans="2:6" ht="31.95" hidden="1" customHeight="1" x14ac:dyDescent="0.3">
      <c r="B775" s="6" t="str">
        <f ca="1">IF(AND(NEGOCIAÇÕES!P775="",NEGOCIAÇÕES!N775&lt;TODAY()),NEGOCIAÇÕES!C775,"")</f>
        <v/>
      </c>
      <c r="C775" s="6" t="str">
        <f ca="1">IF(AND(NEGOCIAÇÕES!P775="",NEGOCIAÇÕES!N775&lt;TODAY()),NEGOCIAÇÕES!E775,"")</f>
        <v/>
      </c>
      <c r="D775" s="6" t="str">
        <f ca="1">IF(AND(NEGOCIAÇÕES!P775="",NEGOCIAÇÕES!N775&lt;TODAY()),NEGOCIAÇÕES!D775,"")</f>
        <v/>
      </c>
      <c r="E775" s="9" t="str">
        <f ca="1">IF(AND(NEGOCIAÇÕES!P775="",NEGOCIAÇÕES!N775&lt;TODAY()),NEGOCIAÇÕES!N775,"")</f>
        <v/>
      </c>
      <c r="F775" s="6"/>
    </row>
    <row r="776" spans="2:6" ht="31.95" hidden="1" customHeight="1" x14ac:dyDescent="0.3">
      <c r="B776" s="6" t="str">
        <f ca="1">IF(AND(NEGOCIAÇÕES!P776="",NEGOCIAÇÕES!N776&lt;TODAY()),NEGOCIAÇÕES!C776,"")</f>
        <v/>
      </c>
      <c r="C776" s="6" t="str">
        <f ca="1">IF(AND(NEGOCIAÇÕES!P776="",NEGOCIAÇÕES!N776&lt;TODAY()),NEGOCIAÇÕES!E776,"")</f>
        <v/>
      </c>
      <c r="D776" s="6" t="str">
        <f ca="1">IF(AND(NEGOCIAÇÕES!P776="",NEGOCIAÇÕES!N776&lt;TODAY()),NEGOCIAÇÕES!D776,"")</f>
        <v/>
      </c>
      <c r="E776" s="9" t="str">
        <f ca="1">IF(AND(NEGOCIAÇÕES!P776="",NEGOCIAÇÕES!N776&lt;TODAY()),NEGOCIAÇÕES!N776,"")</f>
        <v/>
      </c>
      <c r="F776" s="6"/>
    </row>
    <row r="777" spans="2:6" ht="31.95" hidden="1" customHeight="1" x14ac:dyDescent="0.3">
      <c r="B777" s="6" t="str">
        <f ca="1">IF(AND(NEGOCIAÇÕES!P777="",NEGOCIAÇÕES!N777&lt;TODAY()),NEGOCIAÇÕES!C777,"")</f>
        <v/>
      </c>
      <c r="C777" s="6" t="str">
        <f ca="1">IF(AND(NEGOCIAÇÕES!P777="",NEGOCIAÇÕES!N777&lt;TODAY()),NEGOCIAÇÕES!E777,"")</f>
        <v/>
      </c>
      <c r="D777" s="6" t="str">
        <f ca="1">IF(AND(NEGOCIAÇÕES!P777="",NEGOCIAÇÕES!N777&lt;TODAY()),NEGOCIAÇÕES!D777,"")</f>
        <v/>
      </c>
      <c r="E777" s="9" t="str">
        <f ca="1">IF(AND(NEGOCIAÇÕES!P777="",NEGOCIAÇÕES!N777&lt;TODAY()),NEGOCIAÇÕES!N777,"")</f>
        <v/>
      </c>
      <c r="F777" s="6"/>
    </row>
    <row r="778" spans="2:6" ht="31.95" hidden="1" customHeight="1" x14ac:dyDescent="0.3">
      <c r="B778" s="6" t="str">
        <f ca="1">IF(AND(NEGOCIAÇÕES!P778="",NEGOCIAÇÕES!N778&lt;TODAY()),NEGOCIAÇÕES!C778,"")</f>
        <v/>
      </c>
      <c r="C778" s="6" t="str">
        <f ca="1">IF(AND(NEGOCIAÇÕES!P778="",NEGOCIAÇÕES!N778&lt;TODAY()),NEGOCIAÇÕES!E778,"")</f>
        <v/>
      </c>
      <c r="D778" s="6" t="str">
        <f ca="1">IF(AND(NEGOCIAÇÕES!P778="",NEGOCIAÇÕES!N778&lt;TODAY()),NEGOCIAÇÕES!D778,"")</f>
        <v/>
      </c>
      <c r="E778" s="9" t="str">
        <f ca="1">IF(AND(NEGOCIAÇÕES!P778="",NEGOCIAÇÕES!N778&lt;TODAY()),NEGOCIAÇÕES!N778,"")</f>
        <v/>
      </c>
      <c r="F778" s="6"/>
    </row>
    <row r="779" spans="2:6" ht="31.95" hidden="1" customHeight="1" x14ac:dyDescent="0.3">
      <c r="B779" s="6" t="str">
        <f ca="1">IF(AND(NEGOCIAÇÕES!P779="",NEGOCIAÇÕES!N779&lt;TODAY()),NEGOCIAÇÕES!C779,"")</f>
        <v/>
      </c>
      <c r="C779" s="6" t="str">
        <f ca="1">IF(AND(NEGOCIAÇÕES!P779="",NEGOCIAÇÕES!N779&lt;TODAY()),NEGOCIAÇÕES!E779,"")</f>
        <v/>
      </c>
      <c r="D779" s="6" t="str">
        <f ca="1">IF(AND(NEGOCIAÇÕES!P779="",NEGOCIAÇÕES!N779&lt;TODAY()),NEGOCIAÇÕES!D779,"")</f>
        <v/>
      </c>
      <c r="E779" s="9" t="str">
        <f ca="1">IF(AND(NEGOCIAÇÕES!P779="",NEGOCIAÇÕES!N779&lt;TODAY()),NEGOCIAÇÕES!N779,"")</f>
        <v/>
      </c>
      <c r="F779" s="6"/>
    </row>
    <row r="780" spans="2:6" ht="31.95" hidden="1" customHeight="1" x14ac:dyDescent="0.3">
      <c r="B780" s="6" t="str">
        <f ca="1">IF(AND(NEGOCIAÇÕES!P780="",NEGOCIAÇÕES!N780&lt;TODAY()),NEGOCIAÇÕES!C780,"")</f>
        <v/>
      </c>
      <c r="C780" s="6" t="str">
        <f ca="1">IF(AND(NEGOCIAÇÕES!P780="",NEGOCIAÇÕES!N780&lt;TODAY()),NEGOCIAÇÕES!E780,"")</f>
        <v/>
      </c>
      <c r="D780" s="6" t="str">
        <f ca="1">IF(AND(NEGOCIAÇÕES!P780="",NEGOCIAÇÕES!N780&lt;TODAY()),NEGOCIAÇÕES!D780,"")</f>
        <v/>
      </c>
      <c r="E780" s="9" t="str">
        <f ca="1">IF(AND(NEGOCIAÇÕES!P780="",NEGOCIAÇÕES!N780&lt;TODAY()),NEGOCIAÇÕES!N780,"")</f>
        <v/>
      </c>
      <c r="F780" s="6"/>
    </row>
    <row r="781" spans="2:6" ht="31.95" hidden="1" customHeight="1" x14ac:dyDescent="0.3">
      <c r="B781" s="6" t="str">
        <f ca="1">IF(AND(NEGOCIAÇÕES!P781="",NEGOCIAÇÕES!N781&lt;TODAY()),NEGOCIAÇÕES!C781,"")</f>
        <v/>
      </c>
      <c r="C781" s="6" t="str">
        <f ca="1">IF(AND(NEGOCIAÇÕES!P781="",NEGOCIAÇÕES!N781&lt;TODAY()),NEGOCIAÇÕES!E781,"")</f>
        <v/>
      </c>
      <c r="D781" s="6" t="str">
        <f ca="1">IF(AND(NEGOCIAÇÕES!P781="",NEGOCIAÇÕES!N781&lt;TODAY()),NEGOCIAÇÕES!D781,"")</f>
        <v/>
      </c>
      <c r="E781" s="9" t="str">
        <f ca="1">IF(AND(NEGOCIAÇÕES!P781="",NEGOCIAÇÕES!N781&lt;TODAY()),NEGOCIAÇÕES!N781,"")</f>
        <v/>
      </c>
      <c r="F781" s="6"/>
    </row>
    <row r="782" spans="2:6" ht="31.95" hidden="1" customHeight="1" x14ac:dyDescent="0.3">
      <c r="B782" s="6" t="str">
        <f ca="1">IF(AND(NEGOCIAÇÕES!P782="",NEGOCIAÇÕES!N782&lt;TODAY()),NEGOCIAÇÕES!C782,"")</f>
        <v/>
      </c>
      <c r="C782" s="6" t="str">
        <f ca="1">IF(AND(NEGOCIAÇÕES!P782="",NEGOCIAÇÕES!N782&lt;TODAY()),NEGOCIAÇÕES!E782,"")</f>
        <v/>
      </c>
      <c r="D782" s="6" t="str">
        <f ca="1">IF(AND(NEGOCIAÇÕES!P782="",NEGOCIAÇÕES!N782&lt;TODAY()),NEGOCIAÇÕES!D782,"")</f>
        <v/>
      </c>
      <c r="E782" s="9" t="str">
        <f ca="1">IF(AND(NEGOCIAÇÕES!P782="",NEGOCIAÇÕES!N782&lt;TODAY()),NEGOCIAÇÕES!N782,"")</f>
        <v/>
      </c>
      <c r="F782" s="6"/>
    </row>
    <row r="783" spans="2:6" ht="31.95" hidden="1" customHeight="1" x14ac:dyDescent="0.3">
      <c r="B783" s="6" t="str">
        <f ca="1">IF(AND(NEGOCIAÇÕES!P783="",NEGOCIAÇÕES!N783&lt;TODAY()),NEGOCIAÇÕES!C783,"")</f>
        <v/>
      </c>
      <c r="C783" s="6" t="str">
        <f ca="1">IF(AND(NEGOCIAÇÕES!P783="",NEGOCIAÇÕES!N783&lt;TODAY()),NEGOCIAÇÕES!E783,"")</f>
        <v/>
      </c>
      <c r="D783" s="6" t="str">
        <f ca="1">IF(AND(NEGOCIAÇÕES!P783="",NEGOCIAÇÕES!N783&lt;TODAY()),NEGOCIAÇÕES!D783,"")</f>
        <v/>
      </c>
      <c r="E783" s="9" t="str">
        <f ca="1">IF(AND(NEGOCIAÇÕES!P783="",NEGOCIAÇÕES!N783&lt;TODAY()),NEGOCIAÇÕES!N783,"")</f>
        <v/>
      </c>
      <c r="F783" s="6"/>
    </row>
    <row r="784" spans="2:6" ht="31.95" hidden="1" customHeight="1" x14ac:dyDescent="0.3">
      <c r="B784" s="6" t="str">
        <f ca="1">IF(AND(NEGOCIAÇÕES!P784="",NEGOCIAÇÕES!N784&lt;TODAY()),NEGOCIAÇÕES!C784,"")</f>
        <v/>
      </c>
      <c r="C784" s="6" t="str">
        <f ca="1">IF(AND(NEGOCIAÇÕES!P784="",NEGOCIAÇÕES!N784&lt;TODAY()),NEGOCIAÇÕES!E784,"")</f>
        <v/>
      </c>
      <c r="D784" s="6" t="str">
        <f ca="1">IF(AND(NEGOCIAÇÕES!P784="",NEGOCIAÇÕES!N784&lt;TODAY()),NEGOCIAÇÕES!D784,"")</f>
        <v/>
      </c>
      <c r="E784" s="9" t="str">
        <f ca="1">IF(AND(NEGOCIAÇÕES!P784="",NEGOCIAÇÕES!N784&lt;TODAY()),NEGOCIAÇÕES!N784,"")</f>
        <v/>
      </c>
      <c r="F784" s="6"/>
    </row>
    <row r="785" spans="2:6" ht="31.95" hidden="1" customHeight="1" x14ac:dyDescent="0.3">
      <c r="B785" s="6" t="str">
        <f ca="1">IF(AND(NEGOCIAÇÕES!P785="",NEGOCIAÇÕES!N785&lt;TODAY()),NEGOCIAÇÕES!C785,"")</f>
        <v/>
      </c>
      <c r="C785" s="6" t="str">
        <f ca="1">IF(AND(NEGOCIAÇÕES!P785="",NEGOCIAÇÕES!N785&lt;TODAY()),NEGOCIAÇÕES!E785,"")</f>
        <v/>
      </c>
      <c r="D785" s="6" t="str">
        <f ca="1">IF(AND(NEGOCIAÇÕES!P785="",NEGOCIAÇÕES!N785&lt;TODAY()),NEGOCIAÇÕES!D785,"")</f>
        <v/>
      </c>
      <c r="E785" s="9" t="str">
        <f ca="1">IF(AND(NEGOCIAÇÕES!P785="",NEGOCIAÇÕES!N785&lt;TODAY()),NEGOCIAÇÕES!N785,"")</f>
        <v/>
      </c>
      <c r="F785" s="6"/>
    </row>
    <row r="786" spans="2:6" ht="31.95" hidden="1" customHeight="1" x14ac:dyDescent="0.3">
      <c r="B786" s="6" t="str">
        <f ca="1">IF(AND(NEGOCIAÇÕES!P786="",NEGOCIAÇÕES!N786&lt;TODAY()),NEGOCIAÇÕES!C786,"")</f>
        <v/>
      </c>
      <c r="C786" s="6" t="str">
        <f ca="1">IF(AND(NEGOCIAÇÕES!P786="",NEGOCIAÇÕES!N786&lt;TODAY()),NEGOCIAÇÕES!E786,"")</f>
        <v/>
      </c>
      <c r="D786" s="6" t="str">
        <f ca="1">IF(AND(NEGOCIAÇÕES!P786="",NEGOCIAÇÕES!N786&lt;TODAY()),NEGOCIAÇÕES!D786,"")</f>
        <v/>
      </c>
      <c r="E786" s="9" t="str">
        <f ca="1">IF(AND(NEGOCIAÇÕES!P786="",NEGOCIAÇÕES!N786&lt;TODAY()),NEGOCIAÇÕES!N786,"")</f>
        <v/>
      </c>
      <c r="F786" s="6"/>
    </row>
    <row r="787" spans="2:6" ht="31.95" hidden="1" customHeight="1" x14ac:dyDescent="0.3">
      <c r="B787" s="6" t="str">
        <f ca="1">IF(AND(NEGOCIAÇÕES!P787="",NEGOCIAÇÕES!N787&lt;TODAY()),NEGOCIAÇÕES!C787,"")</f>
        <v/>
      </c>
      <c r="C787" s="6" t="str">
        <f ca="1">IF(AND(NEGOCIAÇÕES!P787="",NEGOCIAÇÕES!N787&lt;TODAY()),NEGOCIAÇÕES!E787,"")</f>
        <v/>
      </c>
      <c r="D787" s="6" t="str">
        <f ca="1">IF(AND(NEGOCIAÇÕES!P787="",NEGOCIAÇÕES!N787&lt;TODAY()),NEGOCIAÇÕES!D787,"")</f>
        <v/>
      </c>
      <c r="E787" s="9" t="str">
        <f ca="1">IF(AND(NEGOCIAÇÕES!P787="",NEGOCIAÇÕES!N787&lt;TODAY()),NEGOCIAÇÕES!N787,"")</f>
        <v/>
      </c>
      <c r="F787" s="6"/>
    </row>
    <row r="788" spans="2:6" ht="31.95" hidden="1" customHeight="1" x14ac:dyDescent="0.3">
      <c r="B788" s="6" t="str">
        <f ca="1">IF(AND(NEGOCIAÇÕES!P788="",NEGOCIAÇÕES!N788&lt;TODAY()),NEGOCIAÇÕES!C788,"")</f>
        <v/>
      </c>
      <c r="C788" s="6" t="str">
        <f ca="1">IF(AND(NEGOCIAÇÕES!P788="",NEGOCIAÇÕES!N788&lt;TODAY()),NEGOCIAÇÕES!E788,"")</f>
        <v/>
      </c>
      <c r="D788" s="6" t="str">
        <f ca="1">IF(AND(NEGOCIAÇÕES!P788="",NEGOCIAÇÕES!N788&lt;TODAY()),NEGOCIAÇÕES!D788,"")</f>
        <v/>
      </c>
      <c r="E788" s="9" t="str">
        <f ca="1">IF(AND(NEGOCIAÇÕES!P788="",NEGOCIAÇÕES!N788&lt;TODAY()),NEGOCIAÇÕES!N788,"")</f>
        <v/>
      </c>
      <c r="F788" s="6"/>
    </row>
    <row r="789" spans="2:6" ht="31.95" hidden="1" customHeight="1" x14ac:dyDescent="0.3">
      <c r="B789" s="6" t="str">
        <f ca="1">IF(AND(NEGOCIAÇÕES!P789="",NEGOCIAÇÕES!N789&lt;TODAY()),NEGOCIAÇÕES!C789,"")</f>
        <v/>
      </c>
      <c r="C789" s="6" t="str">
        <f ca="1">IF(AND(NEGOCIAÇÕES!P789="",NEGOCIAÇÕES!N789&lt;TODAY()),NEGOCIAÇÕES!E789,"")</f>
        <v/>
      </c>
      <c r="D789" s="6" t="str">
        <f ca="1">IF(AND(NEGOCIAÇÕES!P789="",NEGOCIAÇÕES!N789&lt;TODAY()),NEGOCIAÇÕES!D789,"")</f>
        <v/>
      </c>
      <c r="E789" s="9" t="str">
        <f ca="1">IF(AND(NEGOCIAÇÕES!P789="",NEGOCIAÇÕES!N789&lt;TODAY()),NEGOCIAÇÕES!N789,"")</f>
        <v/>
      </c>
      <c r="F789" s="6"/>
    </row>
    <row r="790" spans="2:6" ht="31.95" hidden="1" customHeight="1" x14ac:dyDescent="0.3">
      <c r="B790" s="6" t="str">
        <f ca="1">IF(AND(NEGOCIAÇÕES!P790="",NEGOCIAÇÕES!N790&lt;TODAY()),NEGOCIAÇÕES!C790,"")</f>
        <v/>
      </c>
      <c r="C790" s="6" t="str">
        <f ca="1">IF(AND(NEGOCIAÇÕES!P790="",NEGOCIAÇÕES!N790&lt;TODAY()),NEGOCIAÇÕES!E790,"")</f>
        <v/>
      </c>
      <c r="D790" s="6" t="str">
        <f ca="1">IF(AND(NEGOCIAÇÕES!P790="",NEGOCIAÇÕES!N790&lt;TODAY()),NEGOCIAÇÕES!D790,"")</f>
        <v/>
      </c>
      <c r="E790" s="9" t="str">
        <f ca="1">IF(AND(NEGOCIAÇÕES!P790="",NEGOCIAÇÕES!N790&lt;TODAY()),NEGOCIAÇÕES!N790,"")</f>
        <v/>
      </c>
      <c r="F790" s="6"/>
    </row>
    <row r="791" spans="2:6" ht="31.95" hidden="1" customHeight="1" x14ac:dyDescent="0.3">
      <c r="B791" s="6" t="str">
        <f ca="1">IF(AND(NEGOCIAÇÕES!P791="",NEGOCIAÇÕES!N791&lt;TODAY()),NEGOCIAÇÕES!C791,"")</f>
        <v/>
      </c>
      <c r="C791" s="6" t="str">
        <f ca="1">IF(AND(NEGOCIAÇÕES!P791="",NEGOCIAÇÕES!N791&lt;TODAY()),NEGOCIAÇÕES!E791,"")</f>
        <v/>
      </c>
      <c r="D791" s="6" t="str">
        <f ca="1">IF(AND(NEGOCIAÇÕES!P791="",NEGOCIAÇÕES!N791&lt;TODAY()),NEGOCIAÇÕES!D791,"")</f>
        <v/>
      </c>
      <c r="E791" s="9" t="str">
        <f ca="1">IF(AND(NEGOCIAÇÕES!P791="",NEGOCIAÇÕES!N791&lt;TODAY()),NEGOCIAÇÕES!N791,"")</f>
        <v/>
      </c>
      <c r="F791" s="6"/>
    </row>
    <row r="792" spans="2:6" ht="31.95" hidden="1" customHeight="1" x14ac:dyDescent="0.3">
      <c r="B792" s="6" t="str">
        <f ca="1">IF(AND(NEGOCIAÇÕES!P792="",NEGOCIAÇÕES!N792&lt;TODAY()),NEGOCIAÇÕES!C792,"")</f>
        <v/>
      </c>
      <c r="C792" s="6" t="str">
        <f ca="1">IF(AND(NEGOCIAÇÕES!P792="",NEGOCIAÇÕES!N792&lt;TODAY()),NEGOCIAÇÕES!E792,"")</f>
        <v/>
      </c>
      <c r="D792" s="6" t="str">
        <f ca="1">IF(AND(NEGOCIAÇÕES!P792="",NEGOCIAÇÕES!N792&lt;TODAY()),NEGOCIAÇÕES!D792,"")</f>
        <v/>
      </c>
      <c r="E792" s="9" t="str">
        <f ca="1">IF(AND(NEGOCIAÇÕES!P792="",NEGOCIAÇÕES!N792&lt;TODAY()),NEGOCIAÇÕES!N792,"")</f>
        <v/>
      </c>
      <c r="F792" s="6"/>
    </row>
    <row r="793" spans="2:6" ht="31.95" hidden="1" customHeight="1" x14ac:dyDescent="0.3">
      <c r="B793" s="6" t="str">
        <f ca="1">IF(AND(NEGOCIAÇÕES!P793="",NEGOCIAÇÕES!N793&lt;TODAY()),NEGOCIAÇÕES!C793,"")</f>
        <v/>
      </c>
      <c r="C793" s="6" t="str">
        <f ca="1">IF(AND(NEGOCIAÇÕES!P793="",NEGOCIAÇÕES!N793&lt;TODAY()),NEGOCIAÇÕES!E793,"")</f>
        <v/>
      </c>
      <c r="D793" s="6" t="str">
        <f ca="1">IF(AND(NEGOCIAÇÕES!P793="",NEGOCIAÇÕES!N793&lt;TODAY()),NEGOCIAÇÕES!D793,"")</f>
        <v/>
      </c>
      <c r="E793" s="9" t="str">
        <f ca="1">IF(AND(NEGOCIAÇÕES!P793="",NEGOCIAÇÕES!N793&lt;TODAY()),NEGOCIAÇÕES!N793,"")</f>
        <v/>
      </c>
      <c r="F793" s="6"/>
    </row>
    <row r="794" spans="2:6" ht="31.95" hidden="1" customHeight="1" x14ac:dyDescent="0.3">
      <c r="B794" s="6" t="str">
        <f ca="1">IF(AND(NEGOCIAÇÕES!P794="",NEGOCIAÇÕES!N794&lt;TODAY()),NEGOCIAÇÕES!C794,"")</f>
        <v/>
      </c>
      <c r="C794" s="6" t="str">
        <f ca="1">IF(AND(NEGOCIAÇÕES!P794="",NEGOCIAÇÕES!N794&lt;TODAY()),NEGOCIAÇÕES!E794,"")</f>
        <v/>
      </c>
      <c r="D794" s="6" t="str">
        <f ca="1">IF(AND(NEGOCIAÇÕES!P794="",NEGOCIAÇÕES!N794&lt;TODAY()),NEGOCIAÇÕES!D794,"")</f>
        <v/>
      </c>
      <c r="E794" s="9" t="str">
        <f ca="1">IF(AND(NEGOCIAÇÕES!P794="",NEGOCIAÇÕES!N794&lt;TODAY()),NEGOCIAÇÕES!N794,"")</f>
        <v/>
      </c>
      <c r="F794" s="6"/>
    </row>
    <row r="795" spans="2:6" ht="31.95" hidden="1" customHeight="1" x14ac:dyDescent="0.3">
      <c r="B795" s="6" t="str">
        <f ca="1">IF(AND(NEGOCIAÇÕES!P795="",NEGOCIAÇÕES!N795&lt;TODAY()),NEGOCIAÇÕES!C795,"")</f>
        <v/>
      </c>
      <c r="C795" s="6" t="str">
        <f ca="1">IF(AND(NEGOCIAÇÕES!P795="",NEGOCIAÇÕES!N795&lt;TODAY()),NEGOCIAÇÕES!E795,"")</f>
        <v/>
      </c>
      <c r="D795" s="6" t="str">
        <f ca="1">IF(AND(NEGOCIAÇÕES!P795="",NEGOCIAÇÕES!N795&lt;TODAY()),NEGOCIAÇÕES!D795,"")</f>
        <v/>
      </c>
      <c r="E795" s="9" t="str">
        <f ca="1">IF(AND(NEGOCIAÇÕES!P795="",NEGOCIAÇÕES!N795&lt;TODAY()),NEGOCIAÇÕES!N795,"")</f>
        <v/>
      </c>
      <c r="F795" s="6"/>
    </row>
    <row r="796" spans="2:6" ht="31.95" hidden="1" customHeight="1" x14ac:dyDescent="0.3">
      <c r="B796" s="6" t="str">
        <f ca="1">IF(AND(NEGOCIAÇÕES!P796="",NEGOCIAÇÕES!N796&lt;TODAY()),NEGOCIAÇÕES!C796,"")</f>
        <v/>
      </c>
      <c r="C796" s="6" t="str">
        <f ca="1">IF(AND(NEGOCIAÇÕES!P796="",NEGOCIAÇÕES!N796&lt;TODAY()),NEGOCIAÇÕES!E796,"")</f>
        <v/>
      </c>
      <c r="D796" s="6" t="str">
        <f ca="1">IF(AND(NEGOCIAÇÕES!P796="",NEGOCIAÇÕES!N796&lt;TODAY()),NEGOCIAÇÕES!D796,"")</f>
        <v/>
      </c>
      <c r="E796" s="9" t="str">
        <f ca="1">IF(AND(NEGOCIAÇÕES!P796="",NEGOCIAÇÕES!N796&lt;TODAY()),NEGOCIAÇÕES!N796,"")</f>
        <v/>
      </c>
      <c r="F796" s="6"/>
    </row>
    <row r="797" spans="2:6" ht="31.95" hidden="1" customHeight="1" x14ac:dyDescent="0.3">
      <c r="B797" s="6" t="str">
        <f ca="1">IF(AND(NEGOCIAÇÕES!P797="",NEGOCIAÇÕES!N797&lt;TODAY()),NEGOCIAÇÕES!C797,"")</f>
        <v/>
      </c>
      <c r="C797" s="6" t="str">
        <f ca="1">IF(AND(NEGOCIAÇÕES!P797="",NEGOCIAÇÕES!N797&lt;TODAY()),NEGOCIAÇÕES!E797,"")</f>
        <v/>
      </c>
      <c r="D797" s="6" t="str">
        <f ca="1">IF(AND(NEGOCIAÇÕES!P797="",NEGOCIAÇÕES!N797&lt;TODAY()),NEGOCIAÇÕES!D797,"")</f>
        <v/>
      </c>
      <c r="E797" s="9" t="str">
        <f ca="1">IF(AND(NEGOCIAÇÕES!P797="",NEGOCIAÇÕES!N797&lt;TODAY()),NEGOCIAÇÕES!N797,"")</f>
        <v/>
      </c>
      <c r="F797" s="6"/>
    </row>
    <row r="798" spans="2:6" ht="31.95" hidden="1" customHeight="1" x14ac:dyDescent="0.3">
      <c r="B798" s="6" t="str">
        <f ca="1">IF(AND(NEGOCIAÇÕES!P798="",NEGOCIAÇÕES!N798&lt;TODAY()),NEGOCIAÇÕES!C798,"")</f>
        <v/>
      </c>
      <c r="C798" s="6" t="str">
        <f ca="1">IF(AND(NEGOCIAÇÕES!P798="",NEGOCIAÇÕES!N798&lt;TODAY()),NEGOCIAÇÕES!E798,"")</f>
        <v/>
      </c>
      <c r="D798" s="6" t="str">
        <f ca="1">IF(AND(NEGOCIAÇÕES!P798="",NEGOCIAÇÕES!N798&lt;TODAY()),NEGOCIAÇÕES!D798,"")</f>
        <v/>
      </c>
      <c r="E798" s="9" t="str">
        <f ca="1">IF(AND(NEGOCIAÇÕES!P798="",NEGOCIAÇÕES!N798&lt;TODAY()),NEGOCIAÇÕES!N798,"")</f>
        <v/>
      </c>
      <c r="F798" s="6"/>
    </row>
    <row r="799" spans="2:6" ht="31.95" hidden="1" customHeight="1" x14ac:dyDescent="0.3">
      <c r="B799" s="6" t="str">
        <f ca="1">IF(AND(NEGOCIAÇÕES!P799="",NEGOCIAÇÕES!N799&lt;TODAY()),NEGOCIAÇÕES!C799,"")</f>
        <v/>
      </c>
      <c r="C799" s="6" t="str">
        <f ca="1">IF(AND(NEGOCIAÇÕES!P799="",NEGOCIAÇÕES!N799&lt;TODAY()),NEGOCIAÇÕES!E799,"")</f>
        <v/>
      </c>
      <c r="D799" s="6" t="str">
        <f ca="1">IF(AND(NEGOCIAÇÕES!P799="",NEGOCIAÇÕES!N799&lt;TODAY()),NEGOCIAÇÕES!D799,"")</f>
        <v/>
      </c>
      <c r="E799" s="9" t="str">
        <f ca="1">IF(AND(NEGOCIAÇÕES!P799="",NEGOCIAÇÕES!N799&lt;TODAY()),NEGOCIAÇÕES!N799,"")</f>
        <v/>
      </c>
      <c r="F799" s="6"/>
    </row>
    <row r="800" spans="2:6" ht="31.95" hidden="1" customHeight="1" x14ac:dyDescent="0.3">
      <c r="B800" s="6" t="str">
        <f ca="1">IF(AND(NEGOCIAÇÕES!P800="",NEGOCIAÇÕES!N800&lt;TODAY()),NEGOCIAÇÕES!C800,"")</f>
        <v/>
      </c>
      <c r="C800" s="6" t="str">
        <f ca="1">IF(AND(NEGOCIAÇÕES!P800="",NEGOCIAÇÕES!N800&lt;TODAY()),NEGOCIAÇÕES!E800,"")</f>
        <v/>
      </c>
      <c r="D800" s="6" t="str">
        <f ca="1">IF(AND(NEGOCIAÇÕES!P800="",NEGOCIAÇÕES!N800&lt;TODAY()),NEGOCIAÇÕES!D800,"")</f>
        <v/>
      </c>
      <c r="E800" s="9" t="str">
        <f ca="1">IF(AND(NEGOCIAÇÕES!P800="",NEGOCIAÇÕES!N800&lt;TODAY()),NEGOCIAÇÕES!N800,"")</f>
        <v/>
      </c>
      <c r="F800" s="6"/>
    </row>
    <row r="801" spans="2:6" ht="31.95" hidden="1" customHeight="1" x14ac:dyDescent="0.3">
      <c r="B801" s="6" t="str">
        <f ca="1">IF(AND(NEGOCIAÇÕES!P801="",NEGOCIAÇÕES!N801&lt;TODAY()),NEGOCIAÇÕES!C801,"")</f>
        <v/>
      </c>
      <c r="C801" s="6" t="str">
        <f ca="1">IF(AND(NEGOCIAÇÕES!P801="",NEGOCIAÇÕES!N801&lt;TODAY()),NEGOCIAÇÕES!E801,"")</f>
        <v/>
      </c>
      <c r="D801" s="6" t="str">
        <f ca="1">IF(AND(NEGOCIAÇÕES!P801="",NEGOCIAÇÕES!N801&lt;TODAY()),NEGOCIAÇÕES!D801,"")</f>
        <v/>
      </c>
      <c r="E801" s="9" t="str">
        <f ca="1">IF(AND(NEGOCIAÇÕES!P801="",NEGOCIAÇÕES!N801&lt;TODAY()),NEGOCIAÇÕES!N801,"")</f>
        <v/>
      </c>
      <c r="F801" s="6"/>
    </row>
    <row r="802" spans="2:6" ht="31.95" hidden="1" customHeight="1" x14ac:dyDescent="0.3">
      <c r="B802" s="6" t="str">
        <f ca="1">IF(AND(NEGOCIAÇÕES!P802="",NEGOCIAÇÕES!N802&lt;TODAY()),NEGOCIAÇÕES!C802,"")</f>
        <v/>
      </c>
      <c r="C802" s="6" t="str">
        <f ca="1">IF(AND(NEGOCIAÇÕES!P802="",NEGOCIAÇÕES!N802&lt;TODAY()),NEGOCIAÇÕES!E802,"")</f>
        <v/>
      </c>
      <c r="D802" s="6" t="str">
        <f ca="1">IF(AND(NEGOCIAÇÕES!P802="",NEGOCIAÇÕES!N802&lt;TODAY()),NEGOCIAÇÕES!D802,"")</f>
        <v/>
      </c>
      <c r="E802" s="9" t="str">
        <f ca="1">IF(AND(NEGOCIAÇÕES!P802="",NEGOCIAÇÕES!N802&lt;TODAY()),NEGOCIAÇÕES!N802,"")</f>
        <v/>
      </c>
      <c r="F802" s="6"/>
    </row>
    <row r="803" spans="2:6" ht="31.95" hidden="1" customHeight="1" x14ac:dyDescent="0.3">
      <c r="B803" s="6" t="str">
        <f ca="1">IF(AND(NEGOCIAÇÕES!P803="",NEGOCIAÇÕES!N803&lt;TODAY()),NEGOCIAÇÕES!C803,"")</f>
        <v/>
      </c>
      <c r="C803" s="6" t="str">
        <f ca="1">IF(AND(NEGOCIAÇÕES!P803="",NEGOCIAÇÕES!N803&lt;TODAY()),NEGOCIAÇÕES!E803,"")</f>
        <v/>
      </c>
      <c r="D803" s="6" t="str">
        <f ca="1">IF(AND(NEGOCIAÇÕES!P803="",NEGOCIAÇÕES!N803&lt;TODAY()),NEGOCIAÇÕES!D803,"")</f>
        <v/>
      </c>
      <c r="E803" s="9" t="str">
        <f ca="1">IF(AND(NEGOCIAÇÕES!P803="",NEGOCIAÇÕES!N803&lt;TODAY()),NEGOCIAÇÕES!N803,"")</f>
        <v/>
      </c>
      <c r="F803" s="6"/>
    </row>
    <row r="804" spans="2:6" ht="31.95" hidden="1" customHeight="1" x14ac:dyDescent="0.3">
      <c r="B804" s="6" t="str">
        <f ca="1">IF(AND(NEGOCIAÇÕES!P804="",NEGOCIAÇÕES!N804&lt;TODAY()),NEGOCIAÇÕES!C804,"")</f>
        <v/>
      </c>
      <c r="C804" s="6" t="str">
        <f ca="1">IF(AND(NEGOCIAÇÕES!P804="",NEGOCIAÇÕES!N804&lt;TODAY()),NEGOCIAÇÕES!E804,"")</f>
        <v/>
      </c>
      <c r="D804" s="6" t="str">
        <f ca="1">IF(AND(NEGOCIAÇÕES!P804="",NEGOCIAÇÕES!N804&lt;TODAY()),NEGOCIAÇÕES!D804,"")</f>
        <v/>
      </c>
      <c r="E804" s="9" t="str">
        <f ca="1">IF(AND(NEGOCIAÇÕES!P804="",NEGOCIAÇÕES!N804&lt;TODAY()),NEGOCIAÇÕES!N804,"")</f>
        <v/>
      </c>
      <c r="F804" s="6"/>
    </row>
    <row r="805" spans="2:6" ht="31.95" hidden="1" customHeight="1" x14ac:dyDescent="0.3">
      <c r="B805" s="6" t="str">
        <f ca="1">IF(AND(NEGOCIAÇÕES!P805="",NEGOCIAÇÕES!N805&lt;TODAY()),NEGOCIAÇÕES!C805,"")</f>
        <v/>
      </c>
      <c r="C805" s="6" t="str">
        <f ca="1">IF(AND(NEGOCIAÇÕES!P805="",NEGOCIAÇÕES!N805&lt;TODAY()),NEGOCIAÇÕES!E805,"")</f>
        <v/>
      </c>
      <c r="D805" s="6" t="str">
        <f ca="1">IF(AND(NEGOCIAÇÕES!P805="",NEGOCIAÇÕES!N805&lt;TODAY()),NEGOCIAÇÕES!D805,"")</f>
        <v/>
      </c>
      <c r="E805" s="9" t="str">
        <f ca="1">IF(AND(NEGOCIAÇÕES!P805="",NEGOCIAÇÕES!N805&lt;TODAY()),NEGOCIAÇÕES!N805,"")</f>
        <v/>
      </c>
      <c r="F805" s="6"/>
    </row>
    <row r="806" spans="2:6" ht="31.95" hidden="1" customHeight="1" x14ac:dyDescent="0.3">
      <c r="B806" s="6" t="str">
        <f ca="1">IF(AND(NEGOCIAÇÕES!P806="",NEGOCIAÇÕES!N806&lt;TODAY()),NEGOCIAÇÕES!C806,"")</f>
        <v/>
      </c>
      <c r="C806" s="6" t="str">
        <f ca="1">IF(AND(NEGOCIAÇÕES!P806="",NEGOCIAÇÕES!N806&lt;TODAY()),NEGOCIAÇÕES!E806,"")</f>
        <v/>
      </c>
      <c r="D806" s="6" t="str">
        <f ca="1">IF(AND(NEGOCIAÇÕES!P806="",NEGOCIAÇÕES!N806&lt;TODAY()),NEGOCIAÇÕES!D806,"")</f>
        <v/>
      </c>
      <c r="E806" s="9" t="str">
        <f ca="1">IF(AND(NEGOCIAÇÕES!P806="",NEGOCIAÇÕES!N806&lt;TODAY()),NEGOCIAÇÕES!N806,"")</f>
        <v/>
      </c>
      <c r="F806" s="6"/>
    </row>
    <row r="807" spans="2:6" ht="31.95" hidden="1" customHeight="1" x14ac:dyDescent="0.3">
      <c r="B807" s="6" t="str">
        <f ca="1">IF(AND(NEGOCIAÇÕES!P807="",NEGOCIAÇÕES!N807&lt;TODAY()),NEGOCIAÇÕES!C807,"")</f>
        <v/>
      </c>
      <c r="C807" s="6" t="str">
        <f ca="1">IF(AND(NEGOCIAÇÕES!P807="",NEGOCIAÇÕES!N807&lt;TODAY()),NEGOCIAÇÕES!E807,"")</f>
        <v/>
      </c>
      <c r="D807" s="6" t="str">
        <f ca="1">IF(AND(NEGOCIAÇÕES!P807="",NEGOCIAÇÕES!N807&lt;TODAY()),NEGOCIAÇÕES!D807,"")</f>
        <v/>
      </c>
      <c r="E807" s="9" t="str">
        <f ca="1">IF(AND(NEGOCIAÇÕES!P807="",NEGOCIAÇÕES!N807&lt;TODAY()),NEGOCIAÇÕES!N807,"")</f>
        <v/>
      </c>
      <c r="F807" s="6"/>
    </row>
    <row r="808" spans="2:6" ht="31.95" hidden="1" customHeight="1" x14ac:dyDescent="0.3">
      <c r="B808" s="6" t="str">
        <f ca="1">IF(AND(NEGOCIAÇÕES!P808="",NEGOCIAÇÕES!N808&lt;TODAY()),NEGOCIAÇÕES!C808,"")</f>
        <v/>
      </c>
      <c r="C808" s="6" t="str">
        <f ca="1">IF(AND(NEGOCIAÇÕES!P808="",NEGOCIAÇÕES!N808&lt;TODAY()),NEGOCIAÇÕES!E808,"")</f>
        <v/>
      </c>
      <c r="D808" s="6" t="str">
        <f ca="1">IF(AND(NEGOCIAÇÕES!P808="",NEGOCIAÇÕES!N808&lt;TODAY()),NEGOCIAÇÕES!D808,"")</f>
        <v/>
      </c>
      <c r="E808" s="9" t="str">
        <f ca="1">IF(AND(NEGOCIAÇÕES!P808="",NEGOCIAÇÕES!N808&lt;TODAY()),NEGOCIAÇÕES!N808,"")</f>
        <v/>
      </c>
      <c r="F808" s="6"/>
    </row>
    <row r="809" spans="2:6" ht="31.95" hidden="1" customHeight="1" x14ac:dyDescent="0.3">
      <c r="B809" s="6" t="str">
        <f ca="1">IF(AND(NEGOCIAÇÕES!P809="",NEGOCIAÇÕES!N809&lt;TODAY()),NEGOCIAÇÕES!C809,"")</f>
        <v/>
      </c>
      <c r="C809" s="6" t="str">
        <f ca="1">IF(AND(NEGOCIAÇÕES!P809="",NEGOCIAÇÕES!N809&lt;TODAY()),NEGOCIAÇÕES!E809,"")</f>
        <v/>
      </c>
      <c r="D809" s="6" t="str">
        <f ca="1">IF(AND(NEGOCIAÇÕES!P809="",NEGOCIAÇÕES!N809&lt;TODAY()),NEGOCIAÇÕES!D809,"")</f>
        <v/>
      </c>
      <c r="E809" s="9" t="str">
        <f ca="1">IF(AND(NEGOCIAÇÕES!P809="",NEGOCIAÇÕES!N809&lt;TODAY()),NEGOCIAÇÕES!N809,"")</f>
        <v/>
      </c>
      <c r="F809" s="6"/>
    </row>
    <row r="810" spans="2:6" ht="31.95" hidden="1" customHeight="1" x14ac:dyDescent="0.3">
      <c r="B810" s="6" t="str">
        <f ca="1">IF(AND(NEGOCIAÇÕES!P810="",NEGOCIAÇÕES!N810&lt;TODAY()),NEGOCIAÇÕES!C810,"")</f>
        <v/>
      </c>
      <c r="C810" s="6" t="str">
        <f ca="1">IF(AND(NEGOCIAÇÕES!P810="",NEGOCIAÇÕES!N810&lt;TODAY()),NEGOCIAÇÕES!E810,"")</f>
        <v/>
      </c>
      <c r="D810" s="6" t="str">
        <f ca="1">IF(AND(NEGOCIAÇÕES!P810="",NEGOCIAÇÕES!N810&lt;TODAY()),NEGOCIAÇÕES!D810,"")</f>
        <v/>
      </c>
      <c r="E810" s="9" t="str">
        <f ca="1">IF(AND(NEGOCIAÇÕES!P810="",NEGOCIAÇÕES!N810&lt;TODAY()),NEGOCIAÇÕES!N810,"")</f>
        <v/>
      </c>
      <c r="F810" s="6"/>
    </row>
    <row r="811" spans="2:6" ht="31.95" hidden="1" customHeight="1" x14ac:dyDescent="0.3">
      <c r="B811" s="6" t="str">
        <f ca="1">IF(AND(NEGOCIAÇÕES!P811="",NEGOCIAÇÕES!N811&lt;TODAY()),NEGOCIAÇÕES!C811,"")</f>
        <v/>
      </c>
      <c r="C811" s="6" t="str">
        <f ca="1">IF(AND(NEGOCIAÇÕES!P811="",NEGOCIAÇÕES!N811&lt;TODAY()),NEGOCIAÇÕES!E811,"")</f>
        <v/>
      </c>
      <c r="D811" s="6" t="str">
        <f ca="1">IF(AND(NEGOCIAÇÕES!P811="",NEGOCIAÇÕES!N811&lt;TODAY()),NEGOCIAÇÕES!D811,"")</f>
        <v/>
      </c>
      <c r="E811" s="9" t="str">
        <f ca="1">IF(AND(NEGOCIAÇÕES!P811="",NEGOCIAÇÕES!N811&lt;TODAY()),NEGOCIAÇÕES!N811,"")</f>
        <v/>
      </c>
      <c r="F811" s="6"/>
    </row>
    <row r="812" spans="2:6" ht="31.95" hidden="1" customHeight="1" x14ac:dyDescent="0.3">
      <c r="B812" s="6" t="str">
        <f ca="1">IF(AND(NEGOCIAÇÕES!P812="",NEGOCIAÇÕES!N812&lt;TODAY()),NEGOCIAÇÕES!C812,"")</f>
        <v/>
      </c>
      <c r="C812" s="6" t="str">
        <f ca="1">IF(AND(NEGOCIAÇÕES!P812="",NEGOCIAÇÕES!N812&lt;TODAY()),NEGOCIAÇÕES!E812,"")</f>
        <v/>
      </c>
      <c r="D812" s="6" t="str">
        <f ca="1">IF(AND(NEGOCIAÇÕES!P812="",NEGOCIAÇÕES!N812&lt;TODAY()),NEGOCIAÇÕES!D812,"")</f>
        <v/>
      </c>
      <c r="E812" s="9" t="str">
        <f ca="1">IF(AND(NEGOCIAÇÕES!P812="",NEGOCIAÇÕES!N812&lt;TODAY()),NEGOCIAÇÕES!N812,"")</f>
        <v/>
      </c>
      <c r="F812" s="6"/>
    </row>
    <row r="813" spans="2:6" ht="31.95" hidden="1" customHeight="1" x14ac:dyDescent="0.3">
      <c r="B813" s="6" t="str">
        <f ca="1">IF(AND(NEGOCIAÇÕES!P813="",NEGOCIAÇÕES!N813&lt;TODAY()),NEGOCIAÇÕES!C813,"")</f>
        <v/>
      </c>
      <c r="C813" s="6" t="str">
        <f ca="1">IF(AND(NEGOCIAÇÕES!P813="",NEGOCIAÇÕES!N813&lt;TODAY()),NEGOCIAÇÕES!E813,"")</f>
        <v/>
      </c>
      <c r="D813" s="6" t="str">
        <f ca="1">IF(AND(NEGOCIAÇÕES!P813="",NEGOCIAÇÕES!N813&lt;TODAY()),NEGOCIAÇÕES!D813,"")</f>
        <v/>
      </c>
      <c r="E813" s="9" t="str">
        <f ca="1">IF(AND(NEGOCIAÇÕES!P813="",NEGOCIAÇÕES!N813&lt;TODAY()),NEGOCIAÇÕES!N813,"")</f>
        <v/>
      </c>
      <c r="F813" s="6"/>
    </row>
    <row r="814" spans="2:6" ht="31.95" hidden="1" customHeight="1" x14ac:dyDescent="0.3">
      <c r="B814" s="6" t="str">
        <f ca="1">IF(AND(NEGOCIAÇÕES!P814="",NEGOCIAÇÕES!N814&lt;TODAY()),NEGOCIAÇÕES!C814,"")</f>
        <v/>
      </c>
      <c r="C814" s="6" t="str">
        <f ca="1">IF(AND(NEGOCIAÇÕES!P814="",NEGOCIAÇÕES!N814&lt;TODAY()),NEGOCIAÇÕES!E814,"")</f>
        <v/>
      </c>
      <c r="D814" s="6" t="str">
        <f ca="1">IF(AND(NEGOCIAÇÕES!P814="",NEGOCIAÇÕES!N814&lt;TODAY()),NEGOCIAÇÕES!D814,"")</f>
        <v/>
      </c>
      <c r="E814" s="9" t="str">
        <f ca="1">IF(AND(NEGOCIAÇÕES!P814="",NEGOCIAÇÕES!N814&lt;TODAY()),NEGOCIAÇÕES!N814,"")</f>
        <v/>
      </c>
      <c r="F814" s="6"/>
    </row>
    <row r="815" spans="2:6" ht="31.95" hidden="1" customHeight="1" x14ac:dyDescent="0.3">
      <c r="B815" s="6" t="str">
        <f ca="1">IF(AND(NEGOCIAÇÕES!P815="",NEGOCIAÇÕES!N815&lt;TODAY()),NEGOCIAÇÕES!C815,"")</f>
        <v/>
      </c>
      <c r="C815" s="6" t="str">
        <f ca="1">IF(AND(NEGOCIAÇÕES!P815="",NEGOCIAÇÕES!N815&lt;TODAY()),NEGOCIAÇÕES!E815,"")</f>
        <v/>
      </c>
      <c r="D815" s="6" t="str">
        <f ca="1">IF(AND(NEGOCIAÇÕES!P815="",NEGOCIAÇÕES!N815&lt;TODAY()),NEGOCIAÇÕES!D815,"")</f>
        <v/>
      </c>
      <c r="E815" s="9" t="str">
        <f ca="1">IF(AND(NEGOCIAÇÕES!P815="",NEGOCIAÇÕES!N815&lt;TODAY()),NEGOCIAÇÕES!N815,"")</f>
        <v/>
      </c>
      <c r="F815" s="6"/>
    </row>
    <row r="816" spans="2:6" ht="31.95" hidden="1" customHeight="1" x14ac:dyDescent="0.3">
      <c r="B816" s="6" t="str">
        <f ca="1">IF(AND(NEGOCIAÇÕES!P816="",NEGOCIAÇÕES!N816&lt;TODAY()),NEGOCIAÇÕES!C816,"")</f>
        <v/>
      </c>
      <c r="C816" s="6" t="str">
        <f ca="1">IF(AND(NEGOCIAÇÕES!P816="",NEGOCIAÇÕES!N816&lt;TODAY()),NEGOCIAÇÕES!E816,"")</f>
        <v/>
      </c>
      <c r="D816" s="6" t="str">
        <f ca="1">IF(AND(NEGOCIAÇÕES!P816="",NEGOCIAÇÕES!N816&lt;TODAY()),NEGOCIAÇÕES!D816,"")</f>
        <v/>
      </c>
      <c r="E816" s="9" t="str">
        <f ca="1">IF(AND(NEGOCIAÇÕES!P816="",NEGOCIAÇÕES!N816&lt;TODAY()),NEGOCIAÇÕES!N816,"")</f>
        <v/>
      </c>
      <c r="F816" s="6"/>
    </row>
    <row r="817" spans="2:6" ht="31.95" hidden="1" customHeight="1" x14ac:dyDescent="0.3">
      <c r="B817" s="6" t="str">
        <f ca="1">IF(AND(NEGOCIAÇÕES!P817="",NEGOCIAÇÕES!N817&lt;TODAY()),NEGOCIAÇÕES!C817,"")</f>
        <v/>
      </c>
      <c r="C817" s="6" t="str">
        <f ca="1">IF(AND(NEGOCIAÇÕES!P817="",NEGOCIAÇÕES!N817&lt;TODAY()),NEGOCIAÇÕES!E817,"")</f>
        <v/>
      </c>
      <c r="D817" s="6" t="str">
        <f ca="1">IF(AND(NEGOCIAÇÕES!P817="",NEGOCIAÇÕES!N817&lt;TODAY()),NEGOCIAÇÕES!D817,"")</f>
        <v/>
      </c>
      <c r="E817" s="9" t="str">
        <f ca="1">IF(AND(NEGOCIAÇÕES!P817="",NEGOCIAÇÕES!N817&lt;TODAY()),NEGOCIAÇÕES!N817,"")</f>
        <v/>
      </c>
      <c r="F817" s="6"/>
    </row>
    <row r="818" spans="2:6" ht="31.95" hidden="1" customHeight="1" x14ac:dyDescent="0.3">
      <c r="B818" s="6" t="str">
        <f ca="1">IF(AND(NEGOCIAÇÕES!P818="",NEGOCIAÇÕES!N818&lt;TODAY()),NEGOCIAÇÕES!C818,"")</f>
        <v/>
      </c>
      <c r="C818" s="6" t="str">
        <f ca="1">IF(AND(NEGOCIAÇÕES!P818="",NEGOCIAÇÕES!N818&lt;TODAY()),NEGOCIAÇÕES!E818,"")</f>
        <v/>
      </c>
      <c r="D818" s="6" t="str">
        <f ca="1">IF(AND(NEGOCIAÇÕES!P818="",NEGOCIAÇÕES!N818&lt;TODAY()),NEGOCIAÇÕES!D818,"")</f>
        <v/>
      </c>
      <c r="E818" s="9" t="str">
        <f ca="1">IF(AND(NEGOCIAÇÕES!P818="",NEGOCIAÇÕES!N818&lt;TODAY()),NEGOCIAÇÕES!N818,"")</f>
        <v/>
      </c>
      <c r="F818" s="6"/>
    </row>
    <row r="819" spans="2:6" ht="31.95" hidden="1" customHeight="1" x14ac:dyDescent="0.3">
      <c r="B819" s="6" t="str">
        <f ca="1">IF(AND(NEGOCIAÇÕES!P819="",NEGOCIAÇÕES!N819&lt;TODAY()),NEGOCIAÇÕES!C819,"")</f>
        <v/>
      </c>
      <c r="C819" s="6" t="str">
        <f ca="1">IF(AND(NEGOCIAÇÕES!P819="",NEGOCIAÇÕES!N819&lt;TODAY()),NEGOCIAÇÕES!E819,"")</f>
        <v/>
      </c>
      <c r="D819" s="6" t="str">
        <f ca="1">IF(AND(NEGOCIAÇÕES!P819="",NEGOCIAÇÕES!N819&lt;TODAY()),NEGOCIAÇÕES!D819,"")</f>
        <v/>
      </c>
      <c r="E819" s="9" t="str">
        <f ca="1">IF(AND(NEGOCIAÇÕES!P819="",NEGOCIAÇÕES!N819&lt;TODAY()),NEGOCIAÇÕES!N819,"")</f>
        <v/>
      </c>
      <c r="F819" s="6"/>
    </row>
    <row r="820" spans="2:6" ht="31.95" hidden="1" customHeight="1" x14ac:dyDescent="0.3">
      <c r="B820" s="6" t="str">
        <f ca="1">IF(AND(NEGOCIAÇÕES!P820="",NEGOCIAÇÕES!N820&lt;TODAY()),NEGOCIAÇÕES!C820,"")</f>
        <v/>
      </c>
      <c r="C820" s="6" t="str">
        <f ca="1">IF(AND(NEGOCIAÇÕES!P820="",NEGOCIAÇÕES!N820&lt;TODAY()),NEGOCIAÇÕES!E820,"")</f>
        <v/>
      </c>
      <c r="D820" s="6" t="str">
        <f ca="1">IF(AND(NEGOCIAÇÕES!P820="",NEGOCIAÇÕES!N820&lt;TODAY()),NEGOCIAÇÕES!D820,"")</f>
        <v/>
      </c>
      <c r="E820" s="9" t="str">
        <f ca="1">IF(AND(NEGOCIAÇÕES!P820="",NEGOCIAÇÕES!N820&lt;TODAY()),NEGOCIAÇÕES!N820,"")</f>
        <v/>
      </c>
      <c r="F820" s="6"/>
    </row>
    <row r="821" spans="2:6" ht="31.95" hidden="1" customHeight="1" x14ac:dyDescent="0.3">
      <c r="B821" s="6" t="str">
        <f ca="1">IF(AND(NEGOCIAÇÕES!P821="",NEGOCIAÇÕES!N821&lt;TODAY()),NEGOCIAÇÕES!C821,"")</f>
        <v/>
      </c>
      <c r="C821" s="6" t="str">
        <f ca="1">IF(AND(NEGOCIAÇÕES!P821="",NEGOCIAÇÕES!N821&lt;TODAY()),NEGOCIAÇÕES!E821,"")</f>
        <v/>
      </c>
      <c r="D821" s="6" t="str">
        <f ca="1">IF(AND(NEGOCIAÇÕES!P821="",NEGOCIAÇÕES!N821&lt;TODAY()),NEGOCIAÇÕES!D821,"")</f>
        <v/>
      </c>
      <c r="E821" s="9" t="str">
        <f ca="1">IF(AND(NEGOCIAÇÕES!P821="",NEGOCIAÇÕES!N821&lt;TODAY()),NEGOCIAÇÕES!N821,"")</f>
        <v/>
      </c>
      <c r="F821" s="6"/>
    </row>
    <row r="822" spans="2:6" ht="31.95" hidden="1" customHeight="1" x14ac:dyDescent="0.3">
      <c r="B822" s="6" t="str">
        <f ca="1">IF(AND(NEGOCIAÇÕES!P822="",NEGOCIAÇÕES!N822&lt;TODAY()),NEGOCIAÇÕES!C822,"")</f>
        <v/>
      </c>
      <c r="C822" s="6" t="str">
        <f ca="1">IF(AND(NEGOCIAÇÕES!P822="",NEGOCIAÇÕES!N822&lt;TODAY()),NEGOCIAÇÕES!E822,"")</f>
        <v/>
      </c>
      <c r="D822" s="6" t="str">
        <f ca="1">IF(AND(NEGOCIAÇÕES!P822="",NEGOCIAÇÕES!N822&lt;TODAY()),NEGOCIAÇÕES!D822,"")</f>
        <v/>
      </c>
      <c r="E822" s="9" t="str">
        <f ca="1">IF(AND(NEGOCIAÇÕES!P822="",NEGOCIAÇÕES!N822&lt;TODAY()),NEGOCIAÇÕES!N822,"")</f>
        <v/>
      </c>
      <c r="F822" s="6"/>
    </row>
    <row r="823" spans="2:6" ht="31.95" hidden="1" customHeight="1" x14ac:dyDescent="0.3">
      <c r="B823" s="6" t="str">
        <f ca="1">IF(AND(NEGOCIAÇÕES!P823="",NEGOCIAÇÕES!N823&lt;TODAY()),NEGOCIAÇÕES!C823,"")</f>
        <v/>
      </c>
      <c r="C823" s="6" t="str">
        <f ca="1">IF(AND(NEGOCIAÇÕES!P823="",NEGOCIAÇÕES!N823&lt;TODAY()),NEGOCIAÇÕES!E823,"")</f>
        <v/>
      </c>
      <c r="D823" s="6" t="str">
        <f ca="1">IF(AND(NEGOCIAÇÕES!P823="",NEGOCIAÇÕES!N823&lt;TODAY()),NEGOCIAÇÕES!D823,"")</f>
        <v/>
      </c>
      <c r="E823" s="9" t="str">
        <f ca="1">IF(AND(NEGOCIAÇÕES!P823="",NEGOCIAÇÕES!N823&lt;TODAY()),NEGOCIAÇÕES!N823,"")</f>
        <v/>
      </c>
      <c r="F823" s="6"/>
    </row>
    <row r="824" spans="2:6" ht="31.95" hidden="1" customHeight="1" x14ac:dyDescent="0.3">
      <c r="B824" s="6" t="str">
        <f ca="1">IF(AND(NEGOCIAÇÕES!P824="",NEGOCIAÇÕES!N824&lt;TODAY()),NEGOCIAÇÕES!C824,"")</f>
        <v/>
      </c>
      <c r="C824" s="6" t="str">
        <f ca="1">IF(AND(NEGOCIAÇÕES!P824="",NEGOCIAÇÕES!N824&lt;TODAY()),NEGOCIAÇÕES!E824,"")</f>
        <v/>
      </c>
      <c r="D824" s="6" t="str">
        <f ca="1">IF(AND(NEGOCIAÇÕES!P824="",NEGOCIAÇÕES!N824&lt;TODAY()),NEGOCIAÇÕES!D824,"")</f>
        <v/>
      </c>
      <c r="E824" s="9" t="str">
        <f ca="1">IF(AND(NEGOCIAÇÕES!P824="",NEGOCIAÇÕES!N824&lt;TODAY()),NEGOCIAÇÕES!N824,"")</f>
        <v/>
      </c>
      <c r="F824" s="6"/>
    </row>
    <row r="825" spans="2:6" ht="31.95" hidden="1" customHeight="1" x14ac:dyDescent="0.3">
      <c r="B825" s="6" t="str">
        <f ca="1">IF(AND(NEGOCIAÇÕES!P825="",NEGOCIAÇÕES!N825&lt;TODAY()),NEGOCIAÇÕES!C825,"")</f>
        <v/>
      </c>
      <c r="C825" s="6" t="str">
        <f ca="1">IF(AND(NEGOCIAÇÕES!P825="",NEGOCIAÇÕES!N825&lt;TODAY()),NEGOCIAÇÕES!E825,"")</f>
        <v/>
      </c>
      <c r="D825" s="6" t="str">
        <f ca="1">IF(AND(NEGOCIAÇÕES!P825="",NEGOCIAÇÕES!N825&lt;TODAY()),NEGOCIAÇÕES!D825,"")</f>
        <v/>
      </c>
      <c r="E825" s="9" t="str">
        <f ca="1">IF(AND(NEGOCIAÇÕES!P825="",NEGOCIAÇÕES!N825&lt;TODAY()),NEGOCIAÇÕES!N825,"")</f>
        <v/>
      </c>
      <c r="F825" s="6"/>
    </row>
    <row r="826" spans="2:6" ht="31.95" hidden="1" customHeight="1" x14ac:dyDescent="0.3">
      <c r="B826" s="6" t="str">
        <f ca="1">IF(AND(NEGOCIAÇÕES!P826="",NEGOCIAÇÕES!N826&lt;TODAY()),NEGOCIAÇÕES!C826,"")</f>
        <v/>
      </c>
      <c r="C826" s="6" t="str">
        <f ca="1">IF(AND(NEGOCIAÇÕES!P826="",NEGOCIAÇÕES!N826&lt;TODAY()),NEGOCIAÇÕES!E826,"")</f>
        <v/>
      </c>
      <c r="D826" s="6" t="str">
        <f ca="1">IF(AND(NEGOCIAÇÕES!P826="",NEGOCIAÇÕES!N826&lt;TODAY()),NEGOCIAÇÕES!D826,"")</f>
        <v/>
      </c>
      <c r="E826" s="9" t="str">
        <f ca="1">IF(AND(NEGOCIAÇÕES!P826="",NEGOCIAÇÕES!N826&lt;TODAY()),NEGOCIAÇÕES!N826,"")</f>
        <v/>
      </c>
      <c r="F826" s="6"/>
    </row>
    <row r="827" spans="2:6" ht="31.95" hidden="1" customHeight="1" x14ac:dyDescent="0.3">
      <c r="B827" s="6" t="str">
        <f ca="1">IF(AND(NEGOCIAÇÕES!P827="",NEGOCIAÇÕES!N827&lt;TODAY()),NEGOCIAÇÕES!C827,"")</f>
        <v/>
      </c>
      <c r="C827" s="6" t="str">
        <f ca="1">IF(AND(NEGOCIAÇÕES!P827="",NEGOCIAÇÕES!N827&lt;TODAY()),NEGOCIAÇÕES!E827,"")</f>
        <v/>
      </c>
      <c r="D827" s="6" t="str">
        <f ca="1">IF(AND(NEGOCIAÇÕES!P827="",NEGOCIAÇÕES!N827&lt;TODAY()),NEGOCIAÇÕES!D827,"")</f>
        <v/>
      </c>
      <c r="E827" s="9" t="str">
        <f ca="1">IF(AND(NEGOCIAÇÕES!P827="",NEGOCIAÇÕES!N827&lt;TODAY()),NEGOCIAÇÕES!N827,"")</f>
        <v/>
      </c>
      <c r="F827" s="6"/>
    </row>
    <row r="828" spans="2:6" ht="31.95" hidden="1" customHeight="1" x14ac:dyDescent="0.3">
      <c r="B828" s="6" t="str">
        <f ca="1">IF(AND(NEGOCIAÇÕES!P828="",NEGOCIAÇÕES!N828&lt;TODAY()),NEGOCIAÇÕES!C828,"")</f>
        <v/>
      </c>
      <c r="C828" s="6" t="str">
        <f ca="1">IF(AND(NEGOCIAÇÕES!P828="",NEGOCIAÇÕES!N828&lt;TODAY()),NEGOCIAÇÕES!E828,"")</f>
        <v/>
      </c>
      <c r="D828" s="6" t="str">
        <f ca="1">IF(AND(NEGOCIAÇÕES!P828="",NEGOCIAÇÕES!N828&lt;TODAY()),NEGOCIAÇÕES!D828,"")</f>
        <v/>
      </c>
      <c r="E828" s="9" t="str">
        <f ca="1">IF(AND(NEGOCIAÇÕES!P828="",NEGOCIAÇÕES!N828&lt;TODAY()),NEGOCIAÇÕES!N828,"")</f>
        <v/>
      </c>
      <c r="F828" s="6"/>
    </row>
    <row r="829" spans="2:6" ht="31.95" hidden="1" customHeight="1" x14ac:dyDescent="0.3">
      <c r="B829" s="6" t="str">
        <f ca="1">IF(AND(NEGOCIAÇÕES!P829="",NEGOCIAÇÕES!N829&lt;TODAY()),NEGOCIAÇÕES!C829,"")</f>
        <v/>
      </c>
      <c r="C829" s="6" t="str">
        <f ca="1">IF(AND(NEGOCIAÇÕES!P829="",NEGOCIAÇÕES!N829&lt;TODAY()),NEGOCIAÇÕES!E829,"")</f>
        <v/>
      </c>
      <c r="D829" s="6" t="str">
        <f ca="1">IF(AND(NEGOCIAÇÕES!P829="",NEGOCIAÇÕES!N829&lt;TODAY()),NEGOCIAÇÕES!D829,"")</f>
        <v/>
      </c>
      <c r="E829" s="9" t="str">
        <f ca="1">IF(AND(NEGOCIAÇÕES!P829="",NEGOCIAÇÕES!N829&lt;TODAY()),NEGOCIAÇÕES!N829,"")</f>
        <v/>
      </c>
      <c r="F829" s="6"/>
    </row>
    <row r="830" spans="2:6" ht="31.95" hidden="1" customHeight="1" x14ac:dyDescent="0.3">
      <c r="B830" s="6" t="str">
        <f ca="1">IF(AND(NEGOCIAÇÕES!P830="",NEGOCIAÇÕES!N830&lt;TODAY()),NEGOCIAÇÕES!C830,"")</f>
        <v/>
      </c>
      <c r="C830" s="6" t="str">
        <f ca="1">IF(AND(NEGOCIAÇÕES!P830="",NEGOCIAÇÕES!N830&lt;TODAY()),NEGOCIAÇÕES!E830,"")</f>
        <v/>
      </c>
      <c r="D830" s="6" t="str">
        <f ca="1">IF(AND(NEGOCIAÇÕES!P830="",NEGOCIAÇÕES!N830&lt;TODAY()),NEGOCIAÇÕES!D830,"")</f>
        <v/>
      </c>
      <c r="E830" s="9" t="str">
        <f ca="1">IF(AND(NEGOCIAÇÕES!P830="",NEGOCIAÇÕES!N830&lt;TODAY()),NEGOCIAÇÕES!N830,"")</f>
        <v/>
      </c>
      <c r="F830" s="6"/>
    </row>
    <row r="831" spans="2:6" ht="31.95" hidden="1" customHeight="1" x14ac:dyDescent="0.3">
      <c r="B831" s="6" t="str">
        <f ca="1">IF(AND(NEGOCIAÇÕES!P831="",NEGOCIAÇÕES!N831&lt;TODAY()),NEGOCIAÇÕES!C831,"")</f>
        <v/>
      </c>
      <c r="C831" s="6" t="str">
        <f ca="1">IF(AND(NEGOCIAÇÕES!P831="",NEGOCIAÇÕES!N831&lt;TODAY()),NEGOCIAÇÕES!E831,"")</f>
        <v/>
      </c>
      <c r="D831" s="6" t="str">
        <f ca="1">IF(AND(NEGOCIAÇÕES!P831="",NEGOCIAÇÕES!N831&lt;TODAY()),NEGOCIAÇÕES!D831,"")</f>
        <v/>
      </c>
      <c r="E831" s="9" t="str">
        <f ca="1">IF(AND(NEGOCIAÇÕES!P831="",NEGOCIAÇÕES!N831&lt;TODAY()),NEGOCIAÇÕES!N831,"")</f>
        <v/>
      </c>
      <c r="F831" s="6"/>
    </row>
    <row r="832" spans="2:6" ht="31.95" hidden="1" customHeight="1" x14ac:dyDescent="0.3">
      <c r="B832" s="6" t="str">
        <f ca="1">IF(AND(NEGOCIAÇÕES!P832="",NEGOCIAÇÕES!N832&lt;TODAY()),NEGOCIAÇÕES!C832,"")</f>
        <v/>
      </c>
      <c r="C832" s="6" t="str">
        <f ca="1">IF(AND(NEGOCIAÇÕES!P832="",NEGOCIAÇÕES!N832&lt;TODAY()),NEGOCIAÇÕES!E832,"")</f>
        <v/>
      </c>
      <c r="D832" s="6" t="str">
        <f ca="1">IF(AND(NEGOCIAÇÕES!P832="",NEGOCIAÇÕES!N832&lt;TODAY()),NEGOCIAÇÕES!D832,"")</f>
        <v/>
      </c>
      <c r="E832" s="9" t="str">
        <f ca="1">IF(AND(NEGOCIAÇÕES!P832="",NEGOCIAÇÕES!N832&lt;TODAY()),NEGOCIAÇÕES!N832,"")</f>
        <v/>
      </c>
      <c r="F832" s="6"/>
    </row>
    <row r="833" spans="2:6" ht="31.95" hidden="1" customHeight="1" x14ac:dyDescent="0.3">
      <c r="B833" s="6" t="str">
        <f ca="1">IF(AND(NEGOCIAÇÕES!P833="",NEGOCIAÇÕES!N833&lt;TODAY()),NEGOCIAÇÕES!C833,"")</f>
        <v/>
      </c>
      <c r="C833" s="6" t="str">
        <f ca="1">IF(AND(NEGOCIAÇÕES!P833="",NEGOCIAÇÕES!N833&lt;TODAY()),NEGOCIAÇÕES!E833,"")</f>
        <v/>
      </c>
      <c r="D833" s="6" t="str">
        <f ca="1">IF(AND(NEGOCIAÇÕES!P833="",NEGOCIAÇÕES!N833&lt;TODAY()),NEGOCIAÇÕES!D833,"")</f>
        <v/>
      </c>
      <c r="E833" s="9" t="str">
        <f ca="1">IF(AND(NEGOCIAÇÕES!P833="",NEGOCIAÇÕES!N833&lt;TODAY()),NEGOCIAÇÕES!N833,"")</f>
        <v/>
      </c>
      <c r="F833" s="6"/>
    </row>
    <row r="834" spans="2:6" ht="31.95" hidden="1" customHeight="1" x14ac:dyDescent="0.3">
      <c r="B834" s="6" t="str">
        <f ca="1">IF(AND(NEGOCIAÇÕES!P834="",NEGOCIAÇÕES!N834&lt;TODAY()),NEGOCIAÇÕES!C834,"")</f>
        <v/>
      </c>
      <c r="C834" s="6" t="str">
        <f ca="1">IF(AND(NEGOCIAÇÕES!P834="",NEGOCIAÇÕES!N834&lt;TODAY()),NEGOCIAÇÕES!E834,"")</f>
        <v/>
      </c>
      <c r="D834" s="6" t="str">
        <f ca="1">IF(AND(NEGOCIAÇÕES!P834="",NEGOCIAÇÕES!N834&lt;TODAY()),NEGOCIAÇÕES!D834,"")</f>
        <v/>
      </c>
      <c r="E834" s="9" t="str">
        <f ca="1">IF(AND(NEGOCIAÇÕES!P834="",NEGOCIAÇÕES!N834&lt;TODAY()),NEGOCIAÇÕES!N834,"")</f>
        <v/>
      </c>
      <c r="F834" s="6"/>
    </row>
    <row r="835" spans="2:6" ht="31.95" hidden="1" customHeight="1" x14ac:dyDescent="0.3">
      <c r="B835" s="6" t="str">
        <f ca="1">IF(AND(NEGOCIAÇÕES!P835="",NEGOCIAÇÕES!N835&lt;TODAY()),NEGOCIAÇÕES!C835,"")</f>
        <v/>
      </c>
      <c r="C835" s="6" t="str">
        <f ca="1">IF(AND(NEGOCIAÇÕES!P835="",NEGOCIAÇÕES!N835&lt;TODAY()),NEGOCIAÇÕES!E835,"")</f>
        <v/>
      </c>
      <c r="D835" s="6" t="str">
        <f ca="1">IF(AND(NEGOCIAÇÕES!P835="",NEGOCIAÇÕES!N835&lt;TODAY()),NEGOCIAÇÕES!D835,"")</f>
        <v/>
      </c>
      <c r="E835" s="9" t="str">
        <f ca="1">IF(AND(NEGOCIAÇÕES!P835="",NEGOCIAÇÕES!N835&lt;TODAY()),NEGOCIAÇÕES!N835,"")</f>
        <v/>
      </c>
      <c r="F835" s="6"/>
    </row>
    <row r="836" spans="2:6" ht="31.95" hidden="1" customHeight="1" x14ac:dyDescent="0.3">
      <c r="B836" s="6" t="str">
        <f ca="1">IF(AND(NEGOCIAÇÕES!P836="",NEGOCIAÇÕES!N836&lt;TODAY()),NEGOCIAÇÕES!C836,"")</f>
        <v/>
      </c>
      <c r="C836" s="6" t="str">
        <f ca="1">IF(AND(NEGOCIAÇÕES!P836="",NEGOCIAÇÕES!N836&lt;TODAY()),NEGOCIAÇÕES!E836,"")</f>
        <v/>
      </c>
      <c r="D836" s="6" t="str">
        <f ca="1">IF(AND(NEGOCIAÇÕES!P836="",NEGOCIAÇÕES!N836&lt;TODAY()),NEGOCIAÇÕES!D836,"")</f>
        <v/>
      </c>
      <c r="E836" s="9" t="str">
        <f ca="1">IF(AND(NEGOCIAÇÕES!P836="",NEGOCIAÇÕES!N836&lt;TODAY()),NEGOCIAÇÕES!N836,"")</f>
        <v/>
      </c>
      <c r="F836" s="6"/>
    </row>
    <row r="837" spans="2:6" ht="31.95" hidden="1" customHeight="1" x14ac:dyDescent="0.3">
      <c r="B837" s="6" t="str">
        <f ca="1">IF(AND(NEGOCIAÇÕES!P837="",NEGOCIAÇÕES!N837&lt;TODAY()),NEGOCIAÇÕES!C837,"")</f>
        <v/>
      </c>
      <c r="C837" s="6" t="str">
        <f ca="1">IF(AND(NEGOCIAÇÕES!P837="",NEGOCIAÇÕES!N837&lt;TODAY()),NEGOCIAÇÕES!E837,"")</f>
        <v/>
      </c>
      <c r="D837" s="6" t="str">
        <f ca="1">IF(AND(NEGOCIAÇÕES!P837="",NEGOCIAÇÕES!N837&lt;TODAY()),NEGOCIAÇÕES!D837,"")</f>
        <v/>
      </c>
      <c r="E837" s="9" t="str">
        <f ca="1">IF(AND(NEGOCIAÇÕES!P837="",NEGOCIAÇÕES!N837&lt;TODAY()),NEGOCIAÇÕES!N837,"")</f>
        <v/>
      </c>
      <c r="F837" s="6"/>
    </row>
    <row r="838" spans="2:6" ht="31.95" hidden="1" customHeight="1" x14ac:dyDescent="0.3">
      <c r="B838" s="6" t="str">
        <f ca="1">IF(AND(NEGOCIAÇÕES!P838="",NEGOCIAÇÕES!N838&lt;TODAY()),NEGOCIAÇÕES!C838,"")</f>
        <v/>
      </c>
      <c r="C838" s="6" t="str">
        <f ca="1">IF(AND(NEGOCIAÇÕES!P838="",NEGOCIAÇÕES!N838&lt;TODAY()),NEGOCIAÇÕES!E838,"")</f>
        <v/>
      </c>
      <c r="D838" s="6" t="str">
        <f ca="1">IF(AND(NEGOCIAÇÕES!P838="",NEGOCIAÇÕES!N838&lt;TODAY()),NEGOCIAÇÕES!D838,"")</f>
        <v/>
      </c>
      <c r="E838" s="9" t="str">
        <f ca="1">IF(AND(NEGOCIAÇÕES!P838="",NEGOCIAÇÕES!N838&lt;TODAY()),NEGOCIAÇÕES!N838,"")</f>
        <v/>
      </c>
      <c r="F838" s="6"/>
    </row>
    <row r="839" spans="2:6" ht="31.95" hidden="1" customHeight="1" x14ac:dyDescent="0.3">
      <c r="B839" s="6" t="str">
        <f ca="1">IF(AND(NEGOCIAÇÕES!P839="",NEGOCIAÇÕES!N839&lt;TODAY()),NEGOCIAÇÕES!C839,"")</f>
        <v/>
      </c>
      <c r="C839" s="6" t="str">
        <f ca="1">IF(AND(NEGOCIAÇÕES!P839="",NEGOCIAÇÕES!N839&lt;TODAY()),NEGOCIAÇÕES!E839,"")</f>
        <v/>
      </c>
      <c r="D839" s="6" t="str">
        <f ca="1">IF(AND(NEGOCIAÇÕES!P839="",NEGOCIAÇÕES!N839&lt;TODAY()),NEGOCIAÇÕES!D839,"")</f>
        <v/>
      </c>
      <c r="E839" s="9" t="str">
        <f ca="1">IF(AND(NEGOCIAÇÕES!P839="",NEGOCIAÇÕES!N839&lt;TODAY()),NEGOCIAÇÕES!N839,"")</f>
        <v/>
      </c>
      <c r="F839" s="6"/>
    </row>
    <row r="840" spans="2:6" ht="31.95" hidden="1" customHeight="1" x14ac:dyDescent="0.3">
      <c r="B840" s="6" t="str">
        <f ca="1">IF(AND(NEGOCIAÇÕES!P840="",NEGOCIAÇÕES!N840&lt;TODAY()),NEGOCIAÇÕES!C840,"")</f>
        <v/>
      </c>
      <c r="C840" s="6" t="str">
        <f ca="1">IF(AND(NEGOCIAÇÕES!P840="",NEGOCIAÇÕES!N840&lt;TODAY()),NEGOCIAÇÕES!E840,"")</f>
        <v/>
      </c>
      <c r="D840" s="6" t="str">
        <f ca="1">IF(AND(NEGOCIAÇÕES!P840="",NEGOCIAÇÕES!N840&lt;TODAY()),NEGOCIAÇÕES!D840,"")</f>
        <v/>
      </c>
      <c r="E840" s="9" t="str">
        <f ca="1">IF(AND(NEGOCIAÇÕES!P840="",NEGOCIAÇÕES!N840&lt;TODAY()),NEGOCIAÇÕES!N840,"")</f>
        <v/>
      </c>
      <c r="F840" s="6"/>
    </row>
    <row r="841" spans="2:6" ht="31.95" hidden="1" customHeight="1" x14ac:dyDescent="0.3">
      <c r="B841" s="6" t="str">
        <f ca="1">IF(AND(NEGOCIAÇÕES!P841="",NEGOCIAÇÕES!N841&lt;TODAY()),NEGOCIAÇÕES!C841,"")</f>
        <v/>
      </c>
      <c r="C841" s="6" t="str">
        <f ca="1">IF(AND(NEGOCIAÇÕES!P841="",NEGOCIAÇÕES!N841&lt;TODAY()),NEGOCIAÇÕES!E841,"")</f>
        <v/>
      </c>
      <c r="D841" s="6" t="str">
        <f ca="1">IF(AND(NEGOCIAÇÕES!P841="",NEGOCIAÇÕES!N841&lt;TODAY()),NEGOCIAÇÕES!D841,"")</f>
        <v/>
      </c>
      <c r="E841" s="9" t="str">
        <f ca="1">IF(AND(NEGOCIAÇÕES!P841="",NEGOCIAÇÕES!N841&lt;TODAY()),NEGOCIAÇÕES!N841,"")</f>
        <v/>
      </c>
      <c r="F841" s="6"/>
    </row>
    <row r="842" spans="2:6" ht="31.95" hidden="1" customHeight="1" x14ac:dyDescent="0.3">
      <c r="B842" s="6" t="str">
        <f ca="1">IF(AND(NEGOCIAÇÕES!P842="",NEGOCIAÇÕES!N842&lt;TODAY()),NEGOCIAÇÕES!C842,"")</f>
        <v/>
      </c>
      <c r="C842" s="6" t="str">
        <f ca="1">IF(AND(NEGOCIAÇÕES!P842="",NEGOCIAÇÕES!N842&lt;TODAY()),NEGOCIAÇÕES!E842,"")</f>
        <v/>
      </c>
      <c r="D842" s="6" t="str">
        <f ca="1">IF(AND(NEGOCIAÇÕES!P842="",NEGOCIAÇÕES!N842&lt;TODAY()),NEGOCIAÇÕES!D842,"")</f>
        <v/>
      </c>
      <c r="E842" s="9" t="str">
        <f ca="1">IF(AND(NEGOCIAÇÕES!P842="",NEGOCIAÇÕES!N842&lt;TODAY()),NEGOCIAÇÕES!N842,"")</f>
        <v/>
      </c>
      <c r="F842" s="6"/>
    </row>
    <row r="843" spans="2:6" ht="31.95" hidden="1" customHeight="1" x14ac:dyDescent="0.3">
      <c r="B843" s="6" t="str">
        <f ca="1">IF(AND(NEGOCIAÇÕES!P843="",NEGOCIAÇÕES!N843&lt;TODAY()),NEGOCIAÇÕES!C843,"")</f>
        <v/>
      </c>
      <c r="C843" s="6" t="str">
        <f ca="1">IF(AND(NEGOCIAÇÕES!P843="",NEGOCIAÇÕES!N843&lt;TODAY()),NEGOCIAÇÕES!E843,"")</f>
        <v/>
      </c>
      <c r="D843" s="6" t="str">
        <f ca="1">IF(AND(NEGOCIAÇÕES!P843="",NEGOCIAÇÕES!N843&lt;TODAY()),NEGOCIAÇÕES!D843,"")</f>
        <v/>
      </c>
      <c r="E843" s="9" t="str">
        <f ca="1">IF(AND(NEGOCIAÇÕES!P843="",NEGOCIAÇÕES!N843&lt;TODAY()),NEGOCIAÇÕES!N843,"")</f>
        <v/>
      </c>
      <c r="F843" s="6"/>
    </row>
    <row r="844" spans="2:6" ht="31.95" hidden="1" customHeight="1" x14ac:dyDescent="0.3">
      <c r="B844" s="6" t="str">
        <f ca="1">IF(AND(NEGOCIAÇÕES!P844="",NEGOCIAÇÕES!N844&lt;TODAY()),NEGOCIAÇÕES!C844,"")</f>
        <v/>
      </c>
      <c r="C844" s="6" t="str">
        <f ca="1">IF(AND(NEGOCIAÇÕES!P844="",NEGOCIAÇÕES!N844&lt;TODAY()),NEGOCIAÇÕES!E844,"")</f>
        <v/>
      </c>
      <c r="D844" s="6" t="str">
        <f ca="1">IF(AND(NEGOCIAÇÕES!P844="",NEGOCIAÇÕES!N844&lt;TODAY()),NEGOCIAÇÕES!D844,"")</f>
        <v/>
      </c>
      <c r="E844" s="9" t="str">
        <f ca="1">IF(AND(NEGOCIAÇÕES!P844="",NEGOCIAÇÕES!N844&lt;TODAY()),NEGOCIAÇÕES!N844,"")</f>
        <v/>
      </c>
      <c r="F844" s="6"/>
    </row>
    <row r="845" spans="2:6" ht="31.95" hidden="1" customHeight="1" x14ac:dyDescent="0.3">
      <c r="B845" s="6" t="str">
        <f ca="1">IF(AND(NEGOCIAÇÕES!P845="",NEGOCIAÇÕES!N845&lt;TODAY()),NEGOCIAÇÕES!C845,"")</f>
        <v/>
      </c>
      <c r="C845" s="6" t="str">
        <f ca="1">IF(AND(NEGOCIAÇÕES!P845="",NEGOCIAÇÕES!N845&lt;TODAY()),NEGOCIAÇÕES!E845,"")</f>
        <v/>
      </c>
      <c r="D845" s="6" t="str">
        <f ca="1">IF(AND(NEGOCIAÇÕES!P845="",NEGOCIAÇÕES!N845&lt;TODAY()),NEGOCIAÇÕES!D845,"")</f>
        <v/>
      </c>
      <c r="E845" s="9" t="str">
        <f ca="1">IF(AND(NEGOCIAÇÕES!P845="",NEGOCIAÇÕES!N845&lt;TODAY()),NEGOCIAÇÕES!N845,"")</f>
        <v/>
      </c>
      <c r="F845" s="6"/>
    </row>
    <row r="846" spans="2:6" ht="31.95" hidden="1" customHeight="1" x14ac:dyDescent="0.3">
      <c r="B846" s="6" t="str">
        <f ca="1">IF(AND(NEGOCIAÇÕES!P846="",NEGOCIAÇÕES!N846&lt;TODAY()),NEGOCIAÇÕES!C846,"")</f>
        <v/>
      </c>
      <c r="C846" s="6" t="str">
        <f ca="1">IF(AND(NEGOCIAÇÕES!P846="",NEGOCIAÇÕES!N846&lt;TODAY()),NEGOCIAÇÕES!E846,"")</f>
        <v/>
      </c>
      <c r="D846" s="6" t="str">
        <f ca="1">IF(AND(NEGOCIAÇÕES!P846="",NEGOCIAÇÕES!N846&lt;TODAY()),NEGOCIAÇÕES!D846,"")</f>
        <v/>
      </c>
      <c r="E846" s="9" t="str">
        <f ca="1">IF(AND(NEGOCIAÇÕES!P846="",NEGOCIAÇÕES!N846&lt;TODAY()),NEGOCIAÇÕES!N846,"")</f>
        <v/>
      </c>
      <c r="F846" s="6"/>
    </row>
    <row r="847" spans="2:6" ht="31.95" hidden="1" customHeight="1" x14ac:dyDescent="0.3">
      <c r="B847" s="6" t="str">
        <f ca="1">IF(AND(NEGOCIAÇÕES!P847="",NEGOCIAÇÕES!N847&lt;TODAY()),NEGOCIAÇÕES!C847,"")</f>
        <v/>
      </c>
      <c r="C847" s="6" t="str">
        <f ca="1">IF(AND(NEGOCIAÇÕES!P847="",NEGOCIAÇÕES!N847&lt;TODAY()),NEGOCIAÇÕES!E847,"")</f>
        <v/>
      </c>
      <c r="D847" s="6" t="str">
        <f ca="1">IF(AND(NEGOCIAÇÕES!P847="",NEGOCIAÇÕES!N847&lt;TODAY()),NEGOCIAÇÕES!D847,"")</f>
        <v/>
      </c>
      <c r="E847" s="9" t="str">
        <f ca="1">IF(AND(NEGOCIAÇÕES!P847="",NEGOCIAÇÕES!N847&lt;TODAY()),NEGOCIAÇÕES!N847,"")</f>
        <v/>
      </c>
      <c r="F847" s="6"/>
    </row>
    <row r="848" spans="2:6" ht="31.95" hidden="1" customHeight="1" x14ac:dyDescent="0.3">
      <c r="B848" s="6" t="str">
        <f ca="1">IF(AND(NEGOCIAÇÕES!P848="",NEGOCIAÇÕES!N848&lt;TODAY()),NEGOCIAÇÕES!C848,"")</f>
        <v/>
      </c>
      <c r="C848" s="6" t="str">
        <f ca="1">IF(AND(NEGOCIAÇÕES!P848="",NEGOCIAÇÕES!N848&lt;TODAY()),NEGOCIAÇÕES!E848,"")</f>
        <v/>
      </c>
      <c r="D848" s="6" t="str">
        <f ca="1">IF(AND(NEGOCIAÇÕES!P848="",NEGOCIAÇÕES!N848&lt;TODAY()),NEGOCIAÇÕES!D848,"")</f>
        <v/>
      </c>
      <c r="E848" s="9" t="str">
        <f ca="1">IF(AND(NEGOCIAÇÕES!P848="",NEGOCIAÇÕES!N848&lt;TODAY()),NEGOCIAÇÕES!N848,"")</f>
        <v/>
      </c>
      <c r="F848" s="6"/>
    </row>
    <row r="849" spans="2:6" ht="31.95" hidden="1" customHeight="1" x14ac:dyDescent="0.3">
      <c r="B849" s="6" t="str">
        <f ca="1">IF(AND(NEGOCIAÇÕES!P849="",NEGOCIAÇÕES!N849&lt;TODAY()),NEGOCIAÇÕES!C849,"")</f>
        <v/>
      </c>
      <c r="C849" s="6" t="str">
        <f ca="1">IF(AND(NEGOCIAÇÕES!P849="",NEGOCIAÇÕES!N849&lt;TODAY()),NEGOCIAÇÕES!E849,"")</f>
        <v/>
      </c>
      <c r="D849" s="6" t="str">
        <f ca="1">IF(AND(NEGOCIAÇÕES!P849="",NEGOCIAÇÕES!N849&lt;TODAY()),NEGOCIAÇÕES!D849,"")</f>
        <v/>
      </c>
      <c r="E849" s="9" t="str">
        <f ca="1">IF(AND(NEGOCIAÇÕES!P849="",NEGOCIAÇÕES!N849&lt;TODAY()),NEGOCIAÇÕES!N849,"")</f>
        <v/>
      </c>
      <c r="F849" s="6"/>
    </row>
    <row r="850" spans="2:6" ht="31.95" hidden="1" customHeight="1" x14ac:dyDescent="0.3">
      <c r="B850" s="6" t="str">
        <f ca="1">IF(AND(NEGOCIAÇÕES!P850="",NEGOCIAÇÕES!N850&lt;TODAY()),NEGOCIAÇÕES!C850,"")</f>
        <v/>
      </c>
      <c r="C850" s="6" t="str">
        <f ca="1">IF(AND(NEGOCIAÇÕES!P850="",NEGOCIAÇÕES!N850&lt;TODAY()),NEGOCIAÇÕES!E850,"")</f>
        <v/>
      </c>
      <c r="D850" s="6" t="str">
        <f ca="1">IF(AND(NEGOCIAÇÕES!P850="",NEGOCIAÇÕES!N850&lt;TODAY()),NEGOCIAÇÕES!D850,"")</f>
        <v/>
      </c>
      <c r="E850" s="9" t="str">
        <f ca="1">IF(AND(NEGOCIAÇÕES!P850="",NEGOCIAÇÕES!N850&lt;TODAY()),NEGOCIAÇÕES!N850,"")</f>
        <v/>
      </c>
      <c r="F850" s="6"/>
    </row>
    <row r="851" spans="2:6" ht="31.95" hidden="1" customHeight="1" x14ac:dyDescent="0.3">
      <c r="B851" s="6" t="str">
        <f ca="1">IF(AND(NEGOCIAÇÕES!P851="",NEGOCIAÇÕES!N851&lt;TODAY()),NEGOCIAÇÕES!C851,"")</f>
        <v/>
      </c>
      <c r="C851" s="6" t="str">
        <f ca="1">IF(AND(NEGOCIAÇÕES!P851="",NEGOCIAÇÕES!N851&lt;TODAY()),NEGOCIAÇÕES!E851,"")</f>
        <v/>
      </c>
      <c r="D851" s="6" t="str">
        <f ca="1">IF(AND(NEGOCIAÇÕES!P851="",NEGOCIAÇÕES!N851&lt;TODAY()),NEGOCIAÇÕES!D851,"")</f>
        <v/>
      </c>
      <c r="E851" s="9" t="str">
        <f ca="1">IF(AND(NEGOCIAÇÕES!P851="",NEGOCIAÇÕES!N851&lt;TODAY()),NEGOCIAÇÕES!N851,"")</f>
        <v/>
      </c>
      <c r="F851" s="6"/>
    </row>
    <row r="852" spans="2:6" ht="31.95" hidden="1" customHeight="1" x14ac:dyDescent="0.3">
      <c r="B852" s="6" t="str">
        <f ca="1">IF(AND(NEGOCIAÇÕES!P852="",NEGOCIAÇÕES!N852&lt;TODAY()),NEGOCIAÇÕES!C852,"")</f>
        <v/>
      </c>
      <c r="C852" s="6" t="str">
        <f ca="1">IF(AND(NEGOCIAÇÕES!P852="",NEGOCIAÇÕES!N852&lt;TODAY()),NEGOCIAÇÕES!E852,"")</f>
        <v/>
      </c>
      <c r="D852" s="6" t="str">
        <f ca="1">IF(AND(NEGOCIAÇÕES!P852="",NEGOCIAÇÕES!N852&lt;TODAY()),NEGOCIAÇÕES!D852,"")</f>
        <v/>
      </c>
      <c r="E852" s="9" t="str">
        <f ca="1">IF(AND(NEGOCIAÇÕES!P852="",NEGOCIAÇÕES!N852&lt;TODAY()),NEGOCIAÇÕES!N852,"")</f>
        <v/>
      </c>
      <c r="F852" s="6"/>
    </row>
    <row r="853" spans="2:6" ht="31.95" hidden="1" customHeight="1" x14ac:dyDescent="0.3">
      <c r="B853" s="6" t="str">
        <f ca="1">IF(AND(NEGOCIAÇÕES!P853="",NEGOCIAÇÕES!N853&lt;TODAY()),NEGOCIAÇÕES!C853,"")</f>
        <v/>
      </c>
      <c r="C853" s="6" t="str">
        <f ca="1">IF(AND(NEGOCIAÇÕES!P853="",NEGOCIAÇÕES!N853&lt;TODAY()),NEGOCIAÇÕES!E853,"")</f>
        <v/>
      </c>
      <c r="D853" s="6" t="str">
        <f ca="1">IF(AND(NEGOCIAÇÕES!P853="",NEGOCIAÇÕES!N853&lt;TODAY()),NEGOCIAÇÕES!D853,"")</f>
        <v/>
      </c>
      <c r="E853" s="9" t="str">
        <f ca="1">IF(AND(NEGOCIAÇÕES!P853="",NEGOCIAÇÕES!N853&lt;TODAY()),NEGOCIAÇÕES!N853,"")</f>
        <v/>
      </c>
      <c r="F853" s="6"/>
    </row>
    <row r="854" spans="2:6" ht="31.95" hidden="1" customHeight="1" x14ac:dyDescent="0.3">
      <c r="B854" s="6" t="str">
        <f ca="1">IF(AND(NEGOCIAÇÕES!P854="",NEGOCIAÇÕES!N854&lt;TODAY()),NEGOCIAÇÕES!C854,"")</f>
        <v/>
      </c>
      <c r="C854" s="6" t="str">
        <f ca="1">IF(AND(NEGOCIAÇÕES!P854="",NEGOCIAÇÕES!N854&lt;TODAY()),NEGOCIAÇÕES!E854,"")</f>
        <v/>
      </c>
      <c r="D854" s="6" t="str">
        <f ca="1">IF(AND(NEGOCIAÇÕES!P854="",NEGOCIAÇÕES!N854&lt;TODAY()),NEGOCIAÇÕES!D854,"")</f>
        <v/>
      </c>
      <c r="E854" s="9" t="str">
        <f ca="1">IF(AND(NEGOCIAÇÕES!P854="",NEGOCIAÇÕES!N854&lt;TODAY()),NEGOCIAÇÕES!N854,"")</f>
        <v/>
      </c>
      <c r="F854" s="6"/>
    </row>
    <row r="855" spans="2:6" ht="31.95" hidden="1" customHeight="1" x14ac:dyDescent="0.3">
      <c r="B855" s="6" t="str">
        <f ca="1">IF(AND(NEGOCIAÇÕES!P855="",NEGOCIAÇÕES!N855&lt;TODAY()),NEGOCIAÇÕES!C855,"")</f>
        <v/>
      </c>
      <c r="C855" s="6" t="str">
        <f ca="1">IF(AND(NEGOCIAÇÕES!P855="",NEGOCIAÇÕES!N855&lt;TODAY()),NEGOCIAÇÕES!E855,"")</f>
        <v/>
      </c>
      <c r="D855" s="6" t="str">
        <f ca="1">IF(AND(NEGOCIAÇÕES!P855="",NEGOCIAÇÕES!N855&lt;TODAY()),NEGOCIAÇÕES!D855,"")</f>
        <v/>
      </c>
      <c r="E855" s="9" t="str">
        <f ca="1">IF(AND(NEGOCIAÇÕES!P855="",NEGOCIAÇÕES!N855&lt;TODAY()),NEGOCIAÇÕES!N855,"")</f>
        <v/>
      </c>
      <c r="F855" s="6"/>
    </row>
    <row r="856" spans="2:6" ht="31.95" hidden="1" customHeight="1" x14ac:dyDescent="0.3">
      <c r="B856" s="6" t="str">
        <f ca="1">IF(AND(NEGOCIAÇÕES!P856="",NEGOCIAÇÕES!N856&lt;TODAY()),NEGOCIAÇÕES!C856,"")</f>
        <v/>
      </c>
      <c r="C856" s="6" t="str">
        <f ca="1">IF(AND(NEGOCIAÇÕES!P856="",NEGOCIAÇÕES!N856&lt;TODAY()),NEGOCIAÇÕES!E856,"")</f>
        <v/>
      </c>
      <c r="D856" s="6" t="str">
        <f ca="1">IF(AND(NEGOCIAÇÕES!P856="",NEGOCIAÇÕES!N856&lt;TODAY()),NEGOCIAÇÕES!D856,"")</f>
        <v/>
      </c>
      <c r="E856" s="9" t="str">
        <f ca="1">IF(AND(NEGOCIAÇÕES!P856="",NEGOCIAÇÕES!N856&lt;TODAY()),NEGOCIAÇÕES!N856,"")</f>
        <v/>
      </c>
      <c r="F856" s="6"/>
    </row>
    <row r="857" spans="2:6" ht="31.95" hidden="1" customHeight="1" x14ac:dyDescent="0.3">
      <c r="B857" s="6" t="str">
        <f ca="1">IF(AND(NEGOCIAÇÕES!P857="",NEGOCIAÇÕES!N857&lt;TODAY()),NEGOCIAÇÕES!C857,"")</f>
        <v/>
      </c>
      <c r="C857" s="6" t="str">
        <f ca="1">IF(AND(NEGOCIAÇÕES!P857="",NEGOCIAÇÕES!N857&lt;TODAY()),NEGOCIAÇÕES!E857,"")</f>
        <v/>
      </c>
      <c r="D857" s="6" t="str">
        <f ca="1">IF(AND(NEGOCIAÇÕES!P857="",NEGOCIAÇÕES!N857&lt;TODAY()),NEGOCIAÇÕES!D857,"")</f>
        <v/>
      </c>
      <c r="E857" s="9" t="str">
        <f ca="1">IF(AND(NEGOCIAÇÕES!P857="",NEGOCIAÇÕES!N857&lt;TODAY()),NEGOCIAÇÕES!N857,"")</f>
        <v/>
      </c>
      <c r="F857" s="6"/>
    </row>
    <row r="858" spans="2:6" ht="31.95" hidden="1" customHeight="1" x14ac:dyDescent="0.3">
      <c r="B858" s="6" t="str">
        <f ca="1">IF(AND(NEGOCIAÇÕES!P858="",NEGOCIAÇÕES!N858&lt;TODAY()),NEGOCIAÇÕES!C858,"")</f>
        <v/>
      </c>
      <c r="C858" s="6" t="str">
        <f ca="1">IF(AND(NEGOCIAÇÕES!P858="",NEGOCIAÇÕES!N858&lt;TODAY()),NEGOCIAÇÕES!E858,"")</f>
        <v/>
      </c>
      <c r="D858" s="6" t="str">
        <f ca="1">IF(AND(NEGOCIAÇÕES!P858="",NEGOCIAÇÕES!N858&lt;TODAY()),NEGOCIAÇÕES!D858,"")</f>
        <v/>
      </c>
      <c r="E858" s="9" t="str">
        <f ca="1">IF(AND(NEGOCIAÇÕES!P858="",NEGOCIAÇÕES!N858&lt;TODAY()),NEGOCIAÇÕES!N858,"")</f>
        <v/>
      </c>
      <c r="F858" s="6"/>
    </row>
    <row r="859" spans="2:6" ht="31.95" hidden="1" customHeight="1" x14ac:dyDescent="0.3">
      <c r="B859" s="6" t="str">
        <f ca="1">IF(AND(NEGOCIAÇÕES!P859="",NEGOCIAÇÕES!N859&lt;TODAY()),NEGOCIAÇÕES!C859,"")</f>
        <v/>
      </c>
      <c r="C859" s="6" t="str">
        <f ca="1">IF(AND(NEGOCIAÇÕES!P859="",NEGOCIAÇÕES!N859&lt;TODAY()),NEGOCIAÇÕES!E859,"")</f>
        <v/>
      </c>
      <c r="D859" s="6" t="str">
        <f ca="1">IF(AND(NEGOCIAÇÕES!P859="",NEGOCIAÇÕES!N859&lt;TODAY()),NEGOCIAÇÕES!D859,"")</f>
        <v/>
      </c>
      <c r="E859" s="9" t="str">
        <f ca="1">IF(AND(NEGOCIAÇÕES!P859="",NEGOCIAÇÕES!N859&lt;TODAY()),NEGOCIAÇÕES!N859,"")</f>
        <v/>
      </c>
      <c r="F859" s="6"/>
    </row>
    <row r="860" spans="2:6" ht="31.95" hidden="1" customHeight="1" x14ac:dyDescent="0.3">
      <c r="B860" s="6" t="str">
        <f ca="1">IF(AND(NEGOCIAÇÕES!P860="",NEGOCIAÇÕES!N860&lt;TODAY()),NEGOCIAÇÕES!C860,"")</f>
        <v/>
      </c>
      <c r="C860" s="6" t="str">
        <f ca="1">IF(AND(NEGOCIAÇÕES!P860="",NEGOCIAÇÕES!N860&lt;TODAY()),NEGOCIAÇÕES!E860,"")</f>
        <v/>
      </c>
      <c r="D860" s="6" t="str">
        <f ca="1">IF(AND(NEGOCIAÇÕES!P860="",NEGOCIAÇÕES!N860&lt;TODAY()),NEGOCIAÇÕES!D860,"")</f>
        <v/>
      </c>
      <c r="E860" s="9" t="str">
        <f ca="1">IF(AND(NEGOCIAÇÕES!P860="",NEGOCIAÇÕES!N860&lt;TODAY()),NEGOCIAÇÕES!N860,"")</f>
        <v/>
      </c>
      <c r="F860" s="6"/>
    </row>
    <row r="861" spans="2:6" ht="31.95" hidden="1" customHeight="1" x14ac:dyDescent="0.3">
      <c r="B861" s="6" t="str">
        <f ca="1">IF(AND(NEGOCIAÇÕES!P861="",NEGOCIAÇÕES!N861&lt;TODAY()),NEGOCIAÇÕES!C861,"")</f>
        <v/>
      </c>
      <c r="C861" s="6" t="str">
        <f ca="1">IF(AND(NEGOCIAÇÕES!P861="",NEGOCIAÇÕES!N861&lt;TODAY()),NEGOCIAÇÕES!E861,"")</f>
        <v/>
      </c>
      <c r="D861" s="6" t="str">
        <f ca="1">IF(AND(NEGOCIAÇÕES!P861="",NEGOCIAÇÕES!N861&lt;TODAY()),NEGOCIAÇÕES!D861,"")</f>
        <v/>
      </c>
      <c r="E861" s="9" t="str">
        <f ca="1">IF(AND(NEGOCIAÇÕES!P861="",NEGOCIAÇÕES!N861&lt;TODAY()),NEGOCIAÇÕES!N861,"")</f>
        <v/>
      </c>
      <c r="F861" s="6"/>
    </row>
    <row r="862" spans="2:6" ht="31.95" hidden="1" customHeight="1" x14ac:dyDescent="0.3">
      <c r="B862" s="6" t="str">
        <f ca="1">IF(AND(NEGOCIAÇÕES!P862="",NEGOCIAÇÕES!N862&lt;TODAY()),NEGOCIAÇÕES!C862,"")</f>
        <v/>
      </c>
      <c r="C862" s="6" t="str">
        <f ca="1">IF(AND(NEGOCIAÇÕES!P862="",NEGOCIAÇÕES!N862&lt;TODAY()),NEGOCIAÇÕES!E862,"")</f>
        <v/>
      </c>
      <c r="D862" s="6" t="str">
        <f ca="1">IF(AND(NEGOCIAÇÕES!P862="",NEGOCIAÇÕES!N862&lt;TODAY()),NEGOCIAÇÕES!D862,"")</f>
        <v/>
      </c>
      <c r="E862" s="9" t="str">
        <f ca="1">IF(AND(NEGOCIAÇÕES!P862="",NEGOCIAÇÕES!N862&lt;TODAY()),NEGOCIAÇÕES!N862,"")</f>
        <v/>
      </c>
      <c r="F862" s="6"/>
    </row>
    <row r="863" spans="2:6" ht="31.95" hidden="1" customHeight="1" x14ac:dyDescent="0.3">
      <c r="B863" s="6" t="str">
        <f ca="1">IF(AND(NEGOCIAÇÕES!P863="",NEGOCIAÇÕES!N863&lt;TODAY()),NEGOCIAÇÕES!C863,"")</f>
        <v/>
      </c>
      <c r="C863" s="6" t="str">
        <f ca="1">IF(AND(NEGOCIAÇÕES!P863="",NEGOCIAÇÕES!N863&lt;TODAY()),NEGOCIAÇÕES!E863,"")</f>
        <v/>
      </c>
      <c r="D863" s="6" t="str">
        <f ca="1">IF(AND(NEGOCIAÇÕES!P863="",NEGOCIAÇÕES!N863&lt;TODAY()),NEGOCIAÇÕES!D863,"")</f>
        <v/>
      </c>
      <c r="E863" s="9" t="str">
        <f ca="1">IF(AND(NEGOCIAÇÕES!P863="",NEGOCIAÇÕES!N863&lt;TODAY()),NEGOCIAÇÕES!N863,"")</f>
        <v/>
      </c>
      <c r="F863" s="6"/>
    </row>
    <row r="864" spans="2:6" ht="31.95" hidden="1" customHeight="1" x14ac:dyDescent="0.3">
      <c r="B864" s="6" t="str">
        <f ca="1">IF(AND(NEGOCIAÇÕES!P864="",NEGOCIAÇÕES!N864&lt;TODAY()),NEGOCIAÇÕES!C864,"")</f>
        <v/>
      </c>
      <c r="C864" s="6" t="str">
        <f ca="1">IF(AND(NEGOCIAÇÕES!P864="",NEGOCIAÇÕES!N864&lt;TODAY()),NEGOCIAÇÕES!E864,"")</f>
        <v/>
      </c>
      <c r="D864" s="6" t="str">
        <f ca="1">IF(AND(NEGOCIAÇÕES!P864="",NEGOCIAÇÕES!N864&lt;TODAY()),NEGOCIAÇÕES!D864,"")</f>
        <v/>
      </c>
      <c r="E864" s="9" t="str">
        <f ca="1">IF(AND(NEGOCIAÇÕES!P864="",NEGOCIAÇÕES!N864&lt;TODAY()),NEGOCIAÇÕES!N864,"")</f>
        <v/>
      </c>
      <c r="F864" s="6"/>
    </row>
    <row r="865" spans="2:6" ht="31.95" hidden="1" customHeight="1" x14ac:dyDescent="0.3">
      <c r="B865" s="6" t="str">
        <f ca="1">IF(AND(NEGOCIAÇÕES!P865="",NEGOCIAÇÕES!N865&lt;TODAY()),NEGOCIAÇÕES!C865,"")</f>
        <v/>
      </c>
      <c r="C865" s="6" t="str">
        <f ca="1">IF(AND(NEGOCIAÇÕES!P865="",NEGOCIAÇÕES!N865&lt;TODAY()),NEGOCIAÇÕES!E865,"")</f>
        <v/>
      </c>
      <c r="D865" s="6" t="str">
        <f ca="1">IF(AND(NEGOCIAÇÕES!P865="",NEGOCIAÇÕES!N865&lt;TODAY()),NEGOCIAÇÕES!D865,"")</f>
        <v/>
      </c>
      <c r="E865" s="9" t="str">
        <f ca="1">IF(AND(NEGOCIAÇÕES!P865="",NEGOCIAÇÕES!N865&lt;TODAY()),NEGOCIAÇÕES!N865,"")</f>
        <v/>
      </c>
      <c r="F865" s="6"/>
    </row>
    <row r="866" spans="2:6" ht="31.95" hidden="1" customHeight="1" x14ac:dyDescent="0.3">
      <c r="B866" s="6" t="str">
        <f ca="1">IF(AND(NEGOCIAÇÕES!P866="",NEGOCIAÇÕES!N866&lt;TODAY()),NEGOCIAÇÕES!C866,"")</f>
        <v/>
      </c>
      <c r="C866" s="6" t="str">
        <f ca="1">IF(AND(NEGOCIAÇÕES!P866="",NEGOCIAÇÕES!N866&lt;TODAY()),NEGOCIAÇÕES!E866,"")</f>
        <v/>
      </c>
      <c r="D866" s="6" t="str">
        <f ca="1">IF(AND(NEGOCIAÇÕES!P866="",NEGOCIAÇÕES!N866&lt;TODAY()),NEGOCIAÇÕES!D866,"")</f>
        <v/>
      </c>
      <c r="E866" s="9" t="str">
        <f ca="1">IF(AND(NEGOCIAÇÕES!P866="",NEGOCIAÇÕES!N866&lt;TODAY()),NEGOCIAÇÕES!N866,"")</f>
        <v/>
      </c>
      <c r="F866" s="6"/>
    </row>
    <row r="867" spans="2:6" ht="31.95" hidden="1" customHeight="1" x14ac:dyDescent="0.3">
      <c r="B867" s="6" t="str">
        <f ca="1">IF(AND(NEGOCIAÇÕES!P867="",NEGOCIAÇÕES!N867&lt;TODAY()),NEGOCIAÇÕES!C867,"")</f>
        <v/>
      </c>
      <c r="C867" s="6" t="str">
        <f ca="1">IF(AND(NEGOCIAÇÕES!P867="",NEGOCIAÇÕES!N867&lt;TODAY()),NEGOCIAÇÕES!E867,"")</f>
        <v/>
      </c>
      <c r="D867" s="6" t="str">
        <f ca="1">IF(AND(NEGOCIAÇÕES!P867="",NEGOCIAÇÕES!N867&lt;TODAY()),NEGOCIAÇÕES!D867,"")</f>
        <v/>
      </c>
      <c r="E867" s="9" t="str">
        <f ca="1">IF(AND(NEGOCIAÇÕES!P867="",NEGOCIAÇÕES!N867&lt;TODAY()),NEGOCIAÇÕES!N867,"")</f>
        <v/>
      </c>
      <c r="F867" s="6"/>
    </row>
    <row r="868" spans="2:6" ht="31.95" hidden="1" customHeight="1" x14ac:dyDescent="0.3">
      <c r="B868" s="6" t="str">
        <f ca="1">IF(AND(NEGOCIAÇÕES!P868="",NEGOCIAÇÕES!N868&lt;TODAY()),NEGOCIAÇÕES!C868,"")</f>
        <v/>
      </c>
      <c r="C868" s="6" t="str">
        <f ca="1">IF(AND(NEGOCIAÇÕES!P868="",NEGOCIAÇÕES!N868&lt;TODAY()),NEGOCIAÇÕES!E868,"")</f>
        <v/>
      </c>
      <c r="D868" s="6" t="str">
        <f ca="1">IF(AND(NEGOCIAÇÕES!P868="",NEGOCIAÇÕES!N868&lt;TODAY()),NEGOCIAÇÕES!D868,"")</f>
        <v/>
      </c>
      <c r="E868" s="9" t="str">
        <f ca="1">IF(AND(NEGOCIAÇÕES!P868="",NEGOCIAÇÕES!N868&lt;TODAY()),NEGOCIAÇÕES!N868,"")</f>
        <v/>
      </c>
      <c r="F868" s="6"/>
    </row>
    <row r="869" spans="2:6" ht="31.95" hidden="1" customHeight="1" x14ac:dyDescent="0.3">
      <c r="B869" s="6" t="str">
        <f ca="1">IF(AND(NEGOCIAÇÕES!P869="",NEGOCIAÇÕES!N869&lt;TODAY()),NEGOCIAÇÕES!C869,"")</f>
        <v/>
      </c>
      <c r="C869" s="6" t="str">
        <f ca="1">IF(AND(NEGOCIAÇÕES!P869="",NEGOCIAÇÕES!N869&lt;TODAY()),NEGOCIAÇÕES!E869,"")</f>
        <v/>
      </c>
      <c r="D869" s="6" t="str">
        <f ca="1">IF(AND(NEGOCIAÇÕES!P869="",NEGOCIAÇÕES!N869&lt;TODAY()),NEGOCIAÇÕES!D869,"")</f>
        <v/>
      </c>
      <c r="E869" s="9" t="str">
        <f ca="1">IF(AND(NEGOCIAÇÕES!P869="",NEGOCIAÇÕES!N869&lt;TODAY()),NEGOCIAÇÕES!N869,"")</f>
        <v/>
      </c>
      <c r="F869" s="6"/>
    </row>
    <row r="870" spans="2:6" ht="31.95" hidden="1" customHeight="1" x14ac:dyDescent="0.3">
      <c r="B870" s="6" t="str">
        <f ca="1">IF(AND(NEGOCIAÇÕES!P870="",NEGOCIAÇÕES!N870&lt;TODAY()),NEGOCIAÇÕES!C870,"")</f>
        <v/>
      </c>
      <c r="C870" s="6" t="str">
        <f ca="1">IF(AND(NEGOCIAÇÕES!P870="",NEGOCIAÇÕES!N870&lt;TODAY()),NEGOCIAÇÕES!E870,"")</f>
        <v/>
      </c>
      <c r="D870" s="6" t="str">
        <f ca="1">IF(AND(NEGOCIAÇÕES!P870="",NEGOCIAÇÕES!N870&lt;TODAY()),NEGOCIAÇÕES!D870,"")</f>
        <v/>
      </c>
      <c r="E870" s="9" t="str">
        <f ca="1">IF(AND(NEGOCIAÇÕES!P870="",NEGOCIAÇÕES!N870&lt;TODAY()),NEGOCIAÇÕES!N870,"")</f>
        <v/>
      </c>
      <c r="F870" s="6"/>
    </row>
    <row r="871" spans="2:6" ht="31.95" hidden="1" customHeight="1" x14ac:dyDescent="0.3">
      <c r="B871" s="6" t="str">
        <f ca="1">IF(AND(NEGOCIAÇÕES!P871="",NEGOCIAÇÕES!N871&lt;TODAY()),NEGOCIAÇÕES!C871,"")</f>
        <v/>
      </c>
      <c r="C871" s="6" t="str">
        <f ca="1">IF(AND(NEGOCIAÇÕES!P871="",NEGOCIAÇÕES!N871&lt;TODAY()),NEGOCIAÇÕES!E871,"")</f>
        <v/>
      </c>
      <c r="D871" s="6" t="str">
        <f ca="1">IF(AND(NEGOCIAÇÕES!P871="",NEGOCIAÇÕES!N871&lt;TODAY()),NEGOCIAÇÕES!D871,"")</f>
        <v/>
      </c>
      <c r="E871" s="9" t="str">
        <f ca="1">IF(AND(NEGOCIAÇÕES!P871="",NEGOCIAÇÕES!N871&lt;TODAY()),NEGOCIAÇÕES!N871,"")</f>
        <v/>
      </c>
      <c r="F871" s="6"/>
    </row>
    <row r="872" spans="2:6" ht="31.95" hidden="1" customHeight="1" x14ac:dyDescent="0.3">
      <c r="B872" s="6" t="str">
        <f ca="1">IF(AND(NEGOCIAÇÕES!P872="",NEGOCIAÇÕES!N872&lt;TODAY()),NEGOCIAÇÕES!C872,"")</f>
        <v/>
      </c>
      <c r="C872" s="6" t="str">
        <f ca="1">IF(AND(NEGOCIAÇÕES!P872="",NEGOCIAÇÕES!N872&lt;TODAY()),NEGOCIAÇÕES!E872,"")</f>
        <v/>
      </c>
      <c r="D872" s="6" t="str">
        <f ca="1">IF(AND(NEGOCIAÇÕES!P872="",NEGOCIAÇÕES!N872&lt;TODAY()),NEGOCIAÇÕES!D872,"")</f>
        <v/>
      </c>
      <c r="E872" s="9" t="str">
        <f ca="1">IF(AND(NEGOCIAÇÕES!P872="",NEGOCIAÇÕES!N872&lt;TODAY()),NEGOCIAÇÕES!N872,"")</f>
        <v/>
      </c>
      <c r="F872" s="6"/>
    </row>
    <row r="873" spans="2:6" ht="31.95" hidden="1" customHeight="1" x14ac:dyDescent="0.3">
      <c r="B873" s="6" t="str">
        <f ca="1">IF(AND(NEGOCIAÇÕES!P873="",NEGOCIAÇÕES!N873&lt;TODAY()),NEGOCIAÇÕES!C873,"")</f>
        <v/>
      </c>
      <c r="C873" s="6" t="str">
        <f ca="1">IF(AND(NEGOCIAÇÕES!P873="",NEGOCIAÇÕES!N873&lt;TODAY()),NEGOCIAÇÕES!E873,"")</f>
        <v/>
      </c>
      <c r="D873" s="6" t="str">
        <f ca="1">IF(AND(NEGOCIAÇÕES!P873="",NEGOCIAÇÕES!N873&lt;TODAY()),NEGOCIAÇÕES!D873,"")</f>
        <v/>
      </c>
      <c r="E873" s="9" t="str">
        <f ca="1">IF(AND(NEGOCIAÇÕES!P873="",NEGOCIAÇÕES!N873&lt;TODAY()),NEGOCIAÇÕES!N873,"")</f>
        <v/>
      </c>
      <c r="F873" s="6"/>
    </row>
    <row r="874" spans="2:6" ht="31.95" hidden="1" customHeight="1" x14ac:dyDescent="0.3">
      <c r="B874" s="6" t="str">
        <f ca="1">IF(AND(NEGOCIAÇÕES!P874="",NEGOCIAÇÕES!N874&lt;TODAY()),NEGOCIAÇÕES!C874,"")</f>
        <v/>
      </c>
      <c r="C874" s="6" t="str">
        <f ca="1">IF(AND(NEGOCIAÇÕES!P874="",NEGOCIAÇÕES!N874&lt;TODAY()),NEGOCIAÇÕES!E874,"")</f>
        <v/>
      </c>
      <c r="D874" s="6" t="str">
        <f ca="1">IF(AND(NEGOCIAÇÕES!P874="",NEGOCIAÇÕES!N874&lt;TODAY()),NEGOCIAÇÕES!D874,"")</f>
        <v/>
      </c>
      <c r="E874" s="9" t="str">
        <f ca="1">IF(AND(NEGOCIAÇÕES!P874="",NEGOCIAÇÕES!N874&lt;TODAY()),NEGOCIAÇÕES!N874,"")</f>
        <v/>
      </c>
      <c r="F874" s="6"/>
    </row>
    <row r="875" spans="2:6" ht="31.95" hidden="1" customHeight="1" x14ac:dyDescent="0.3">
      <c r="B875" s="6" t="str">
        <f ca="1">IF(AND(NEGOCIAÇÕES!P875="",NEGOCIAÇÕES!N875&lt;TODAY()),NEGOCIAÇÕES!C875,"")</f>
        <v/>
      </c>
      <c r="C875" s="6" t="str">
        <f ca="1">IF(AND(NEGOCIAÇÕES!P875="",NEGOCIAÇÕES!N875&lt;TODAY()),NEGOCIAÇÕES!E875,"")</f>
        <v/>
      </c>
      <c r="D875" s="6" t="str">
        <f ca="1">IF(AND(NEGOCIAÇÕES!P875="",NEGOCIAÇÕES!N875&lt;TODAY()),NEGOCIAÇÕES!D875,"")</f>
        <v/>
      </c>
      <c r="E875" s="9" t="str">
        <f ca="1">IF(AND(NEGOCIAÇÕES!P875="",NEGOCIAÇÕES!N875&lt;TODAY()),NEGOCIAÇÕES!N875,"")</f>
        <v/>
      </c>
      <c r="F875" s="6"/>
    </row>
    <row r="876" spans="2:6" ht="31.95" hidden="1" customHeight="1" x14ac:dyDescent="0.3">
      <c r="B876" s="6" t="str">
        <f ca="1">IF(AND(NEGOCIAÇÕES!P876="",NEGOCIAÇÕES!N876&lt;TODAY()),NEGOCIAÇÕES!C876,"")</f>
        <v/>
      </c>
      <c r="C876" s="6" t="str">
        <f ca="1">IF(AND(NEGOCIAÇÕES!P876="",NEGOCIAÇÕES!N876&lt;TODAY()),NEGOCIAÇÕES!E876,"")</f>
        <v/>
      </c>
      <c r="D876" s="6" t="str">
        <f ca="1">IF(AND(NEGOCIAÇÕES!P876="",NEGOCIAÇÕES!N876&lt;TODAY()),NEGOCIAÇÕES!D876,"")</f>
        <v/>
      </c>
      <c r="E876" s="9" t="str">
        <f ca="1">IF(AND(NEGOCIAÇÕES!P876="",NEGOCIAÇÕES!N876&lt;TODAY()),NEGOCIAÇÕES!N876,"")</f>
        <v/>
      </c>
      <c r="F876" s="6"/>
    </row>
    <row r="877" spans="2:6" ht="31.95" hidden="1" customHeight="1" x14ac:dyDescent="0.3">
      <c r="B877" s="6" t="str">
        <f ca="1">IF(AND(NEGOCIAÇÕES!P877="",NEGOCIAÇÕES!N877&lt;TODAY()),NEGOCIAÇÕES!C877,"")</f>
        <v/>
      </c>
      <c r="C877" s="6" t="str">
        <f ca="1">IF(AND(NEGOCIAÇÕES!P877="",NEGOCIAÇÕES!N877&lt;TODAY()),NEGOCIAÇÕES!E877,"")</f>
        <v/>
      </c>
      <c r="D877" s="6" t="str">
        <f ca="1">IF(AND(NEGOCIAÇÕES!P877="",NEGOCIAÇÕES!N877&lt;TODAY()),NEGOCIAÇÕES!D877,"")</f>
        <v/>
      </c>
      <c r="E877" s="9" t="str">
        <f ca="1">IF(AND(NEGOCIAÇÕES!P877="",NEGOCIAÇÕES!N877&lt;TODAY()),NEGOCIAÇÕES!N877,"")</f>
        <v/>
      </c>
      <c r="F877" s="6"/>
    </row>
    <row r="878" spans="2:6" ht="31.95" hidden="1" customHeight="1" x14ac:dyDescent="0.3">
      <c r="B878" s="6" t="str">
        <f ca="1">IF(AND(NEGOCIAÇÕES!P878="",NEGOCIAÇÕES!N878&lt;TODAY()),NEGOCIAÇÕES!C878,"")</f>
        <v/>
      </c>
      <c r="C878" s="6" t="str">
        <f ca="1">IF(AND(NEGOCIAÇÕES!P878="",NEGOCIAÇÕES!N878&lt;TODAY()),NEGOCIAÇÕES!E878,"")</f>
        <v/>
      </c>
      <c r="D878" s="6" t="str">
        <f ca="1">IF(AND(NEGOCIAÇÕES!P878="",NEGOCIAÇÕES!N878&lt;TODAY()),NEGOCIAÇÕES!D878,"")</f>
        <v/>
      </c>
      <c r="E878" s="9" t="str">
        <f ca="1">IF(AND(NEGOCIAÇÕES!P878="",NEGOCIAÇÕES!N878&lt;TODAY()),NEGOCIAÇÕES!N878,"")</f>
        <v/>
      </c>
      <c r="F878" s="6"/>
    </row>
    <row r="879" spans="2:6" ht="31.95" hidden="1" customHeight="1" x14ac:dyDescent="0.3">
      <c r="B879" s="6" t="str">
        <f ca="1">IF(AND(NEGOCIAÇÕES!P879="",NEGOCIAÇÕES!N879&lt;TODAY()),NEGOCIAÇÕES!C879,"")</f>
        <v/>
      </c>
      <c r="C879" s="6" t="str">
        <f ca="1">IF(AND(NEGOCIAÇÕES!P879="",NEGOCIAÇÕES!N879&lt;TODAY()),NEGOCIAÇÕES!E879,"")</f>
        <v/>
      </c>
      <c r="D879" s="6" t="str">
        <f ca="1">IF(AND(NEGOCIAÇÕES!P879="",NEGOCIAÇÕES!N879&lt;TODAY()),NEGOCIAÇÕES!D879,"")</f>
        <v/>
      </c>
      <c r="E879" s="9" t="str">
        <f ca="1">IF(AND(NEGOCIAÇÕES!P879="",NEGOCIAÇÕES!N879&lt;TODAY()),NEGOCIAÇÕES!N879,"")</f>
        <v/>
      </c>
      <c r="F879" s="6"/>
    </row>
    <row r="880" spans="2:6" ht="31.95" hidden="1" customHeight="1" x14ac:dyDescent="0.3">
      <c r="B880" s="6" t="str">
        <f ca="1">IF(AND(NEGOCIAÇÕES!P880="",NEGOCIAÇÕES!N880&lt;TODAY()),NEGOCIAÇÕES!C880,"")</f>
        <v/>
      </c>
      <c r="C880" s="6" t="str">
        <f ca="1">IF(AND(NEGOCIAÇÕES!P880="",NEGOCIAÇÕES!N880&lt;TODAY()),NEGOCIAÇÕES!E880,"")</f>
        <v/>
      </c>
      <c r="D880" s="6" t="str">
        <f ca="1">IF(AND(NEGOCIAÇÕES!P880="",NEGOCIAÇÕES!N880&lt;TODAY()),NEGOCIAÇÕES!D880,"")</f>
        <v/>
      </c>
      <c r="E880" s="9" t="str">
        <f ca="1">IF(AND(NEGOCIAÇÕES!P880="",NEGOCIAÇÕES!N880&lt;TODAY()),NEGOCIAÇÕES!N880,"")</f>
        <v/>
      </c>
      <c r="F880" s="6"/>
    </row>
    <row r="881" spans="2:6" ht="31.95" hidden="1" customHeight="1" x14ac:dyDescent="0.3">
      <c r="B881" s="6" t="str">
        <f ca="1">IF(AND(NEGOCIAÇÕES!P881="",NEGOCIAÇÕES!N881&lt;TODAY()),NEGOCIAÇÕES!C881,"")</f>
        <v/>
      </c>
      <c r="C881" s="6" t="str">
        <f ca="1">IF(AND(NEGOCIAÇÕES!P881="",NEGOCIAÇÕES!N881&lt;TODAY()),NEGOCIAÇÕES!E881,"")</f>
        <v/>
      </c>
      <c r="D881" s="6" t="str">
        <f ca="1">IF(AND(NEGOCIAÇÕES!P881="",NEGOCIAÇÕES!N881&lt;TODAY()),NEGOCIAÇÕES!D881,"")</f>
        <v/>
      </c>
      <c r="E881" s="9" t="str">
        <f ca="1">IF(AND(NEGOCIAÇÕES!P881="",NEGOCIAÇÕES!N881&lt;TODAY()),NEGOCIAÇÕES!N881,"")</f>
        <v/>
      </c>
      <c r="F881" s="6"/>
    </row>
    <row r="882" spans="2:6" ht="31.95" hidden="1" customHeight="1" x14ac:dyDescent="0.3">
      <c r="B882" s="6" t="str">
        <f ca="1">IF(AND(NEGOCIAÇÕES!P882="",NEGOCIAÇÕES!N882&lt;TODAY()),NEGOCIAÇÕES!C882,"")</f>
        <v/>
      </c>
      <c r="C882" s="6" t="str">
        <f ca="1">IF(AND(NEGOCIAÇÕES!P882="",NEGOCIAÇÕES!N882&lt;TODAY()),NEGOCIAÇÕES!E882,"")</f>
        <v/>
      </c>
      <c r="D882" s="6" t="str">
        <f ca="1">IF(AND(NEGOCIAÇÕES!P882="",NEGOCIAÇÕES!N882&lt;TODAY()),NEGOCIAÇÕES!D882,"")</f>
        <v/>
      </c>
      <c r="E882" s="9" t="str">
        <f ca="1">IF(AND(NEGOCIAÇÕES!P882="",NEGOCIAÇÕES!N882&lt;TODAY()),NEGOCIAÇÕES!N882,"")</f>
        <v/>
      </c>
      <c r="F882" s="6"/>
    </row>
    <row r="883" spans="2:6" ht="31.95" hidden="1" customHeight="1" x14ac:dyDescent="0.3">
      <c r="B883" s="6" t="str">
        <f ca="1">IF(AND(NEGOCIAÇÕES!P883="",NEGOCIAÇÕES!N883&lt;TODAY()),NEGOCIAÇÕES!C883,"")</f>
        <v/>
      </c>
      <c r="C883" s="6" t="str">
        <f ca="1">IF(AND(NEGOCIAÇÕES!P883="",NEGOCIAÇÕES!N883&lt;TODAY()),NEGOCIAÇÕES!E883,"")</f>
        <v/>
      </c>
      <c r="D883" s="6" t="str">
        <f ca="1">IF(AND(NEGOCIAÇÕES!P883="",NEGOCIAÇÕES!N883&lt;TODAY()),NEGOCIAÇÕES!D883,"")</f>
        <v/>
      </c>
      <c r="E883" s="9" t="str">
        <f ca="1">IF(AND(NEGOCIAÇÕES!P883="",NEGOCIAÇÕES!N883&lt;TODAY()),NEGOCIAÇÕES!N883,"")</f>
        <v/>
      </c>
      <c r="F883" s="6"/>
    </row>
    <row r="884" spans="2:6" ht="31.95" hidden="1" customHeight="1" x14ac:dyDescent="0.3">
      <c r="B884" s="6" t="str">
        <f ca="1">IF(AND(NEGOCIAÇÕES!P884="",NEGOCIAÇÕES!N884&lt;TODAY()),NEGOCIAÇÕES!C884,"")</f>
        <v/>
      </c>
      <c r="C884" s="6" t="str">
        <f ca="1">IF(AND(NEGOCIAÇÕES!P884="",NEGOCIAÇÕES!N884&lt;TODAY()),NEGOCIAÇÕES!E884,"")</f>
        <v/>
      </c>
      <c r="D884" s="6" t="str">
        <f ca="1">IF(AND(NEGOCIAÇÕES!P884="",NEGOCIAÇÕES!N884&lt;TODAY()),NEGOCIAÇÕES!D884,"")</f>
        <v/>
      </c>
      <c r="E884" s="9" t="str">
        <f ca="1">IF(AND(NEGOCIAÇÕES!P884="",NEGOCIAÇÕES!N884&lt;TODAY()),NEGOCIAÇÕES!N884,"")</f>
        <v/>
      </c>
      <c r="F884" s="6"/>
    </row>
    <row r="885" spans="2:6" ht="31.95" hidden="1" customHeight="1" x14ac:dyDescent="0.3">
      <c r="B885" s="6" t="str">
        <f ca="1">IF(AND(NEGOCIAÇÕES!P885="",NEGOCIAÇÕES!N885&lt;TODAY()),NEGOCIAÇÕES!C885,"")</f>
        <v/>
      </c>
      <c r="C885" s="6" t="str">
        <f ca="1">IF(AND(NEGOCIAÇÕES!P885="",NEGOCIAÇÕES!N885&lt;TODAY()),NEGOCIAÇÕES!E885,"")</f>
        <v/>
      </c>
      <c r="D885" s="6" t="str">
        <f ca="1">IF(AND(NEGOCIAÇÕES!P885="",NEGOCIAÇÕES!N885&lt;TODAY()),NEGOCIAÇÕES!D885,"")</f>
        <v/>
      </c>
      <c r="E885" s="9" t="str">
        <f ca="1">IF(AND(NEGOCIAÇÕES!P885="",NEGOCIAÇÕES!N885&lt;TODAY()),NEGOCIAÇÕES!N885,"")</f>
        <v/>
      </c>
      <c r="F885" s="6"/>
    </row>
    <row r="886" spans="2:6" ht="31.95" hidden="1" customHeight="1" x14ac:dyDescent="0.3">
      <c r="B886" s="6" t="str">
        <f ca="1">IF(AND(NEGOCIAÇÕES!P886="",NEGOCIAÇÕES!N886&lt;TODAY()),NEGOCIAÇÕES!C886,"")</f>
        <v/>
      </c>
      <c r="C886" s="6" t="str">
        <f ca="1">IF(AND(NEGOCIAÇÕES!P886="",NEGOCIAÇÕES!N886&lt;TODAY()),NEGOCIAÇÕES!E886,"")</f>
        <v/>
      </c>
      <c r="D886" s="6" t="str">
        <f ca="1">IF(AND(NEGOCIAÇÕES!P886="",NEGOCIAÇÕES!N886&lt;TODAY()),NEGOCIAÇÕES!D886,"")</f>
        <v/>
      </c>
      <c r="E886" s="9" t="str">
        <f ca="1">IF(AND(NEGOCIAÇÕES!P886="",NEGOCIAÇÕES!N886&lt;TODAY()),NEGOCIAÇÕES!N886,"")</f>
        <v/>
      </c>
      <c r="F886" s="6"/>
    </row>
    <row r="887" spans="2:6" ht="31.95" hidden="1" customHeight="1" x14ac:dyDescent="0.3">
      <c r="B887" s="6" t="str">
        <f ca="1">IF(AND(NEGOCIAÇÕES!P887="",NEGOCIAÇÕES!N887&lt;TODAY()),NEGOCIAÇÕES!C887,"")</f>
        <v/>
      </c>
      <c r="C887" s="6" t="str">
        <f ca="1">IF(AND(NEGOCIAÇÕES!P887="",NEGOCIAÇÕES!N887&lt;TODAY()),NEGOCIAÇÕES!E887,"")</f>
        <v/>
      </c>
      <c r="D887" s="6" t="str">
        <f ca="1">IF(AND(NEGOCIAÇÕES!P887="",NEGOCIAÇÕES!N887&lt;TODAY()),NEGOCIAÇÕES!D887,"")</f>
        <v/>
      </c>
      <c r="E887" s="9" t="str">
        <f ca="1">IF(AND(NEGOCIAÇÕES!P887="",NEGOCIAÇÕES!N887&lt;TODAY()),NEGOCIAÇÕES!N887,"")</f>
        <v/>
      </c>
      <c r="F887" s="6"/>
    </row>
    <row r="888" spans="2:6" ht="31.95" hidden="1" customHeight="1" x14ac:dyDescent="0.3">
      <c r="B888" s="6" t="str">
        <f ca="1">IF(AND(NEGOCIAÇÕES!P888="",NEGOCIAÇÕES!N888&lt;TODAY()),NEGOCIAÇÕES!C888,"")</f>
        <v/>
      </c>
      <c r="C888" s="6" t="str">
        <f ca="1">IF(AND(NEGOCIAÇÕES!P888="",NEGOCIAÇÕES!N888&lt;TODAY()),NEGOCIAÇÕES!E888,"")</f>
        <v/>
      </c>
      <c r="D888" s="6" t="str">
        <f ca="1">IF(AND(NEGOCIAÇÕES!P888="",NEGOCIAÇÕES!N888&lt;TODAY()),NEGOCIAÇÕES!D888,"")</f>
        <v/>
      </c>
      <c r="E888" s="9" t="str">
        <f ca="1">IF(AND(NEGOCIAÇÕES!P888="",NEGOCIAÇÕES!N888&lt;TODAY()),NEGOCIAÇÕES!N888,"")</f>
        <v/>
      </c>
      <c r="F888" s="6"/>
    </row>
    <row r="889" spans="2:6" ht="31.95" hidden="1" customHeight="1" x14ac:dyDescent="0.3">
      <c r="B889" s="6" t="str">
        <f ca="1">IF(AND(NEGOCIAÇÕES!P889="",NEGOCIAÇÕES!N889&lt;TODAY()),NEGOCIAÇÕES!C889,"")</f>
        <v/>
      </c>
      <c r="C889" s="6" t="str">
        <f ca="1">IF(AND(NEGOCIAÇÕES!P889="",NEGOCIAÇÕES!N889&lt;TODAY()),NEGOCIAÇÕES!E889,"")</f>
        <v/>
      </c>
      <c r="D889" s="6" t="str">
        <f ca="1">IF(AND(NEGOCIAÇÕES!P889="",NEGOCIAÇÕES!N889&lt;TODAY()),NEGOCIAÇÕES!D889,"")</f>
        <v/>
      </c>
      <c r="E889" s="9" t="str">
        <f ca="1">IF(AND(NEGOCIAÇÕES!P889="",NEGOCIAÇÕES!N889&lt;TODAY()),NEGOCIAÇÕES!N889,"")</f>
        <v/>
      </c>
      <c r="F889" s="6"/>
    </row>
    <row r="890" spans="2:6" ht="31.95" hidden="1" customHeight="1" x14ac:dyDescent="0.3">
      <c r="B890" s="6" t="str">
        <f ca="1">IF(AND(NEGOCIAÇÕES!P890="",NEGOCIAÇÕES!N890&lt;TODAY()),NEGOCIAÇÕES!C890,"")</f>
        <v/>
      </c>
      <c r="C890" s="6" t="str">
        <f ca="1">IF(AND(NEGOCIAÇÕES!P890="",NEGOCIAÇÕES!N890&lt;TODAY()),NEGOCIAÇÕES!E890,"")</f>
        <v/>
      </c>
      <c r="D890" s="6" t="str">
        <f ca="1">IF(AND(NEGOCIAÇÕES!P890="",NEGOCIAÇÕES!N890&lt;TODAY()),NEGOCIAÇÕES!D890,"")</f>
        <v/>
      </c>
      <c r="E890" s="9" t="str">
        <f ca="1">IF(AND(NEGOCIAÇÕES!P890="",NEGOCIAÇÕES!N890&lt;TODAY()),NEGOCIAÇÕES!N890,"")</f>
        <v/>
      </c>
      <c r="F890" s="6"/>
    </row>
    <row r="891" spans="2:6" ht="31.95" hidden="1" customHeight="1" x14ac:dyDescent="0.3">
      <c r="B891" s="6" t="str">
        <f ca="1">IF(AND(NEGOCIAÇÕES!P891="",NEGOCIAÇÕES!N891&lt;TODAY()),NEGOCIAÇÕES!C891,"")</f>
        <v/>
      </c>
      <c r="C891" s="6" t="str">
        <f ca="1">IF(AND(NEGOCIAÇÕES!P891="",NEGOCIAÇÕES!N891&lt;TODAY()),NEGOCIAÇÕES!E891,"")</f>
        <v/>
      </c>
      <c r="D891" s="6" t="str">
        <f ca="1">IF(AND(NEGOCIAÇÕES!P891="",NEGOCIAÇÕES!N891&lt;TODAY()),NEGOCIAÇÕES!D891,"")</f>
        <v/>
      </c>
      <c r="E891" s="9" t="str">
        <f ca="1">IF(AND(NEGOCIAÇÕES!P891="",NEGOCIAÇÕES!N891&lt;TODAY()),NEGOCIAÇÕES!N891,"")</f>
        <v/>
      </c>
      <c r="F891" s="6"/>
    </row>
    <row r="892" spans="2:6" ht="31.95" hidden="1" customHeight="1" x14ac:dyDescent="0.3">
      <c r="B892" s="6" t="str">
        <f ca="1">IF(AND(NEGOCIAÇÕES!P892="",NEGOCIAÇÕES!N892&lt;TODAY()),NEGOCIAÇÕES!C892,"")</f>
        <v/>
      </c>
      <c r="C892" s="6" t="str">
        <f ca="1">IF(AND(NEGOCIAÇÕES!P892="",NEGOCIAÇÕES!N892&lt;TODAY()),NEGOCIAÇÕES!E892,"")</f>
        <v/>
      </c>
      <c r="D892" s="6" t="str">
        <f ca="1">IF(AND(NEGOCIAÇÕES!P892="",NEGOCIAÇÕES!N892&lt;TODAY()),NEGOCIAÇÕES!D892,"")</f>
        <v/>
      </c>
      <c r="E892" s="9" t="str">
        <f ca="1">IF(AND(NEGOCIAÇÕES!P892="",NEGOCIAÇÕES!N892&lt;TODAY()),NEGOCIAÇÕES!N892,"")</f>
        <v/>
      </c>
      <c r="F892" s="6"/>
    </row>
    <row r="893" spans="2:6" ht="31.95" hidden="1" customHeight="1" x14ac:dyDescent="0.3">
      <c r="B893" s="6" t="str">
        <f ca="1">IF(AND(NEGOCIAÇÕES!P893="",NEGOCIAÇÕES!N893&lt;TODAY()),NEGOCIAÇÕES!C893,"")</f>
        <v/>
      </c>
      <c r="C893" s="6" t="str">
        <f ca="1">IF(AND(NEGOCIAÇÕES!P893="",NEGOCIAÇÕES!N893&lt;TODAY()),NEGOCIAÇÕES!E893,"")</f>
        <v/>
      </c>
      <c r="D893" s="6" t="str">
        <f ca="1">IF(AND(NEGOCIAÇÕES!P893="",NEGOCIAÇÕES!N893&lt;TODAY()),NEGOCIAÇÕES!D893,"")</f>
        <v/>
      </c>
      <c r="E893" s="9" t="str">
        <f ca="1">IF(AND(NEGOCIAÇÕES!P893="",NEGOCIAÇÕES!N893&lt;TODAY()),NEGOCIAÇÕES!N893,"")</f>
        <v/>
      </c>
      <c r="F893" s="6"/>
    </row>
    <row r="894" spans="2:6" ht="31.95" hidden="1" customHeight="1" x14ac:dyDescent="0.3">
      <c r="B894" s="6" t="str">
        <f ca="1">IF(AND(NEGOCIAÇÕES!P894="",NEGOCIAÇÕES!N894&lt;TODAY()),NEGOCIAÇÕES!C894,"")</f>
        <v/>
      </c>
      <c r="C894" s="6" t="str">
        <f ca="1">IF(AND(NEGOCIAÇÕES!P894="",NEGOCIAÇÕES!N894&lt;TODAY()),NEGOCIAÇÕES!E894,"")</f>
        <v/>
      </c>
      <c r="D894" s="6" t="str">
        <f ca="1">IF(AND(NEGOCIAÇÕES!P894="",NEGOCIAÇÕES!N894&lt;TODAY()),NEGOCIAÇÕES!D894,"")</f>
        <v/>
      </c>
      <c r="E894" s="9" t="str">
        <f ca="1">IF(AND(NEGOCIAÇÕES!P894="",NEGOCIAÇÕES!N894&lt;TODAY()),NEGOCIAÇÕES!N894,"")</f>
        <v/>
      </c>
      <c r="F894" s="6"/>
    </row>
    <row r="895" spans="2:6" ht="31.95" hidden="1" customHeight="1" x14ac:dyDescent="0.3">
      <c r="B895" s="6" t="str">
        <f ca="1">IF(AND(NEGOCIAÇÕES!P895="",NEGOCIAÇÕES!N895&lt;TODAY()),NEGOCIAÇÕES!C895,"")</f>
        <v/>
      </c>
      <c r="C895" s="6" t="str">
        <f ca="1">IF(AND(NEGOCIAÇÕES!P895="",NEGOCIAÇÕES!N895&lt;TODAY()),NEGOCIAÇÕES!E895,"")</f>
        <v/>
      </c>
      <c r="D895" s="6" t="str">
        <f ca="1">IF(AND(NEGOCIAÇÕES!P895="",NEGOCIAÇÕES!N895&lt;TODAY()),NEGOCIAÇÕES!D895,"")</f>
        <v/>
      </c>
      <c r="E895" s="9" t="str">
        <f ca="1">IF(AND(NEGOCIAÇÕES!P895="",NEGOCIAÇÕES!N895&lt;TODAY()),NEGOCIAÇÕES!N895,"")</f>
        <v/>
      </c>
      <c r="F895" s="6"/>
    </row>
    <row r="896" spans="2:6" ht="31.95" hidden="1" customHeight="1" x14ac:dyDescent="0.3">
      <c r="B896" s="6" t="str">
        <f ca="1">IF(AND(NEGOCIAÇÕES!P896="",NEGOCIAÇÕES!N896&lt;TODAY()),NEGOCIAÇÕES!C896,"")</f>
        <v/>
      </c>
      <c r="C896" s="6" t="str">
        <f ca="1">IF(AND(NEGOCIAÇÕES!P896="",NEGOCIAÇÕES!N896&lt;TODAY()),NEGOCIAÇÕES!E896,"")</f>
        <v/>
      </c>
      <c r="D896" s="6" t="str">
        <f ca="1">IF(AND(NEGOCIAÇÕES!P896="",NEGOCIAÇÕES!N896&lt;TODAY()),NEGOCIAÇÕES!D896,"")</f>
        <v/>
      </c>
      <c r="E896" s="9" t="str">
        <f ca="1">IF(AND(NEGOCIAÇÕES!P896="",NEGOCIAÇÕES!N896&lt;TODAY()),NEGOCIAÇÕES!N896,"")</f>
        <v/>
      </c>
      <c r="F896" s="6"/>
    </row>
    <row r="897" spans="2:6" ht="31.95" hidden="1" customHeight="1" x14ac:dyDescent="0.3">
      <c r="B897" s="6" t="str">
        <f ca="1">IF(AND(NEGOCIAÇÕES!P897="",NEGOCIAÇÕES!N897&lt;TODAY()),NEGOCIAÇÕES!C897,"")</f>
        <v/>
      </c>
      <c r="C897" s="6" t="str">
        <f ca="1">IF(AND(NEGOCIAÇÕES!P897="",NEGOCIAÇÕES!N897&lt;TODAY()),NEGOCIAÇÕES!E897,"")</f>
        <v/>
      </c>
      <c r="D897" s="6" t="str">
        <f ca="1">IF(AND(NEGOCIAÇÕES!P897="",NEGOCIAÇÕES!N897&lt;TODAY()),NEGOCIAÇÕES!D897,"")</f>
        <v/>
      </c>
      <c r="E897" s="9" t="str">
        <f ca="1">IF(AND(NEGOCIAÇÕES!P897="",NEGOCIAÇÕES!N897&lt;TODAY()),NEGOCIAÇÕES!N897,"")</f>
        <v/>
      </c>
      <c r="F897" s="6"/>
    </row>
    <row r="898" spans="2:6" ht="31.95" hidden="1" customHeight="1" x14ac:dyDescent="0.3">
      <c r="B898" s="6" t="str">
        <f ca="1">IF(AND(NEGOCIAÇÕES!P898="",NEGOCIAÇÕES!N898&lt;TODAY()),NEGOCIAÇÕES!C898,"")</f>
        <v/>
      </c>
      <c r="C898" s="6" t="str">
        <f ca="1">IF(AND(NEGOCIAÇÕES!P898="",NEGOCIAÇÕES!N898&lt;TODAY()),NEGOCIAÇÕES!E898,"")</f>
        <v/>
      </c>
      <c r="D898" s="6" t="str">
        <f ca="1">IF(AND(NEGOCIAÇÕES!P898="",NEGOCIAÇÕES!N898&lt;TODAY()),NEGOCIAÇÕES!D898,"")</f>
        <v/>
      </c>
      <c r="E898" s="9" t="str">
        <f ca="1">IF(AND(NEGOCIAÇÕES!P898="",NEGOCIAÇÕES!N898&lt;TODAY()),NEGOCIAÇÕES!N898,"")</f>
        <v/>
      </c>
      <c r="F898" s="6"/>
    </row>
    <row r="899" spans="2:6" ht="31.95" hidden="1" customHeight="1" x14ac:dyDescent="0.3">
      <c r="B899" s="6" t="str">
        <f ca="1">IF(AND(NEGOCIAÇÕES!P899="",NEGOCIAÇÕES!N899&lt;TODAY()),NEGOCIAÇÕES!C899,"")</f>
        <v/>
      </c>
      <c r="C899" s="6" t="str">
        <f ca="1">IF(AND(NEGOCIAÇÕES!P899="",NEGOCIAÇÕES!N899&lt;TODAY()),NEGOCIAÇÕES!E899,"")</f>
        <v/>
      </c>
      <c r="D899" s="6" t="str">
        <f ca="1">IF(AND(NEGOCIAÇÕES!P899="",NEGOCIAÇÕES!N899&lt;TODAY()),NEGOCIAÇÕES!D899,"")</f>
        <v/>
      </c>
      <c r="E899" s="9" t="str">
        <f ca="1">IF(AND(NEGOCIAÇÕES!P899="",NEGOCIAÇÕES!N899&lt;TODAY()),NEGOCIAÇÕES!N899,"")</f>
        <v/>
      </c>
      <c r="F899" s="6"/>
    </row>
    <row r="900" spans="2:6" ht="31.95" hidden="1" customHeight="1" x14ac:dyDescent="0.3">
      <c r="B900" s="6" t="str">
        <f ca="1">IF(AND(NEGOCIAÇÕES!P900="",NEGOCIAÇÕES!N900&lt;TODAY()),NEGOCIAÇÕES!C900,"")</f>
        <v/>
      </c>
      <c r="C900" s="6" t="str">
        <f ca="1">IF(AND(NEGOCIAÇÕES!P900="",NEGOCIAÇÕES!N900&lt;TODAY()),NEGOCIAÇÕES!E900,"")</f>
        <v/>
      </c>
      <c r="D900" s="6" t="str">
        <f ca="1">IF(AND(NEGOCIAÇÕES!P900="",NEGOCIAÇÕES!N900&lt;TODAY()),NEGOCIAÇÕES!D900,"")</f>
        <v/>
      </c>
      <c r="E900" s="9" t="str">
        <f ca="1">IF(AND(NEGOCIAÇÕES!P900="",NEGOCIAÇÕES!N900&lt;TODAY()),NEGOCIAÇÕES!N900,"")</f>
        <v/>
      </c>
      <c r="F900" s="6"/>
    </row>
    <row r="901" spans="2:6" ht="31.95" hidden="1" customHeight="1" x14ac:dyDescent="0.3">
      <c r="B901" s="6" t="str">
        <f ca="1">IF(AND(NEGOCIAÇÕES!P901="",NEGOCIAÇÕES!N901&lt;TODAY()),NEGOCIAÇÕES!C901,"")</f>
        <v/>
      </c>
      <c r="C901" s="6" t="str">
        <f ca="1">IF(AND(NEGOCIAÇÕES!P901="",NEGOCIAÇÕES!N901&lt;TODAY()),NEGOCIAÇÕES!E901,"")</f>
        <v/>
      </c>
      <c r="D901" s="6" t="str">
        <f ca="1">IF(AND(NEGOCIAÇÕES!P901="",NEGOCIAÇÕES!N901&lt;TODAY()),NEGOCIAÇÕES!D901,"")</f>
        <v/>
      </c>
      <c r="E901" s="9" t="str">
        <f ca="1">IF(AND(NEGOCIAÇÕES!P901="",NEGOCIAÇÕES!N901&lt;TODAY()),NEGOCIAÇÕES!N901,"")</f>
        <v/>
      </c>
      <c r="F901" s="6"/>
    </row>
    <row r="902" spans="2:6" ht="31.95" hidden="1" customHeight="1" x14ac:dyDescent="0.3">
      <c r="B902" s="6" t="str">
        <f ca="1">IF(AND(NEGOCIAÇÕES!P902="",NEGOCIAÇÕES!N902&lt;TODAY()),NEGOCIAÇÕES!C902,"")</f>
        <v/>
      </c>
      <c r="C902" s="6" t="str">
        <f ca="1">IF(AND(NEGOCIAÇÕES!P902="",NEGOCIAÇÕES!N902&lt;TODAY()),NEGOCIAÇÕES!E902,"")</f>
        <v/>
      </c>
      <c r="D902" s="6" t="str">
        <f ca="1">IF(AND(NEGOCIAÇÕES!P902="",NEGOCIAÇÕES!N902&lt;TODAY()),NEGOCIAÇÕES!D902,"")</f>
        <v/>
      </c>
      <c r="E902" s="9" t="str">
        <f ca="1">IF(AND(NEGOCIAÇÕES!P902="",NEGOCIAÇÕES!N902&lt;TODAY()),NEGOCIAÇÕES!N902,"")</f>
        <v/>
      </c>
      <c r="F902" s="6"/>
    </row>
    <row r="903" spans="2:6" ht="31.95" hidden="1" customHeight="1" x14ac:dyDescent="0.3">
      <c r="B903" s="6" t="str">
        <f ca="1">IF(AND(NEGOCIAÇÕES!P903="",NEGOCIAÇÕES!N903&lt;TODAY()),NEGOCIAÇÕES!C903,"")</f>
        <v/>
      </c>
      <c r="C903" s="6" t="str">
        <f ca="1">IF(AND(NEGOCIAÇÕES!P903="",NEGOCIAÇÕES!N903&lt;TODAY()),NEGOCIAÇÕES!E903,"")</f>
        <v/>
      </c>
      <c r="D903" s="6" t="str">
        <f ca="1">IF(AND(NEGOCIAÇÕES!P903="",NEGOCIAÇÕES!N903&lt;TODAY()),NEGOCIAÇÕES!D903,"")</f>
        <v/>
      </c>
      <c r="E903" s="9" t="str">
        <f ca="1">IF(AND(NEGOCIAÇÕES!P903="",NEGOCIAÇÕES!N903&lt;TODAY()),NEGOCIAÇÕES!N903,"")</f>
        <v/>
      </c>
      <c r="F903" s="6"/>
    </row>
    <row r="904" spans="2:6" ht="31.95" hidden="1" customHeight="1" x14ac:dyDescent="0.3">
      <c r="B904" s="6" t="str">
        <f ca="1">IF(AND(NEGOCIAÇÕES!P904="",NEGOCIAÇÕES!N904&lt;TODAY()),NEGOCIAÇÕES!C904,"")</f>
        <v/>
      </c>
      <c r="C904" s="6" t="str">
        <f ca="1">IF(AND(NEGOCIAÇÕES!P904="",NEGOCIAÇÕES!N904&lt;TODAY()),NEGOCIAÇÕES!E904,"")</f>
        <v/>
      </c>
      <c r="D904" s="6" t="str">
        <f ca="1">IF(AND(NEGOCIAÇÕES!P904="",NEGOCIAÇÕES!N904&lt;TODAY()),NEGOCIAÇÕES!D904,"")</f>
        <v/>
      </c>
      <c r="E904" s="9" t="str">
        <f ca="1">IF(AND(NEGOCIAÇÕES!P904="",NEGOCIAÇÕES!N904&lt;TODAY()),NEGOCIAÇÕES!N904,"")</f>
        <v/>
      </c>
      <c r="F904" s="6"/>
    </row>
    <row r="905" spans="2:6" ht="31.95" hidden="1" customHeight="1" x14ac:dyDescent="0.3">
      <c r="B905" s="6" t="str">
        <f ca="1">IF(AND(NEGOCIAÇÕES!P905="",NEGOCIAÇÕES!N905&lt;TODAY()),NEGOCIAÇÕES!C905,"")</f>
        <v/>
      </c>
      <c r="C905" s="6" t="str">
        <f ca="1">IF(AND(NEGOCIAÇÕES!P905="",NEGOCIAÇÕES!N905&lt;TODAY()),NEGOCIAÇÕES!E905,"")</f>
        <v/>
      </c>
      <c r="D905" s="6" t="str">
        <f ca="1">IF(AND(NEGOCIAÇÕES!P905="",NEGOCIAÇÕES!N905&lt;TODAY()),NEGOCIAÇÕES!D905,"")</f>
        <v/>
      </c>
      <c r="E905" s="9" t="str">
        <f ca="1">IF(AND(NEGOCIAÇÕES!P905="",NEGOCIAÇÕES!N905&lt;TODAY()),NEGOCIAÇÕES!N905,"")</f>
        <v/>
      </c>
      <c r="F905" s="6"/>
    </row>
    <row r="906" spans="2:6" ht="31.95" hidden="1" customHeight="1" x14ac:dyDescent="0.3">
      <c r="B906" s="6" t="str">
        <f ca="1">IF(AND(NEGOCIAÇÕES!P906="",NEGOCIAÇÕES!N906&lt;TODAY()),NEGOCIAÇÕES!C906,"")</f>
        <v/>
      </c>
      <c r="C906" s="6" t="str">
        <f ca="1">IF(AND(NEGOCIAÇÕES!P906="",NEGOCIAÇÕES!N906&lt;TODAY()),NEGOCIAÇÕES!E906,"")</f>
        <v/>
      </c>
      <c r="D906" s="6" t="str">
        <f ca="1">IF(AND(NEGOCIAÇÕES!P906="",NEGOCIAÇÕES!N906&lt;TODAY()),NEGOCIAÇÕES!D906,"")</f>
        <v/>
      </c>
      <c r="E906" s="9" t="str">
        <f ca="1">IF(AND(NEGOCIAÇÕES!P906="",NEGOCIAÇÕES!N906&lt;TODAY()),NEGOCIAÇÕES!N906,"")</f>
        <v/>
      </c>
      <c r="F906" s="6"/>
    </row>
    <row r="907" spans="2:6" ht="31.95" hidden="1" customHeight="1" x14ac:dyDescent="0.3">
      <c r="B907" s="6" t="str">
        <f ca="1">IF(AND(NEGOCIAÇÕES!P907="",NEGOCIAÇÕES!N907&lt;TODAY()),NEGOCIAÇÕES!C907,"")</f>
        <v/>
      </c>
      <c r="C907" s="6" t="str">
        <f ca="1">IF(AND(NEGOCIAÇÕES!P907="",NEGOCIAÇÕES!N907&lt;TODAY()),NEGOCIAÇÕES!E907,"")</f>
        <v/>
      </c>
      <c r="D907" s="6" t="str">
        <f ca="1">IF(AND(NEGOCIAÇÕES!P907="",NEGOCIAÇÕES!N907&lt;TODAY()),NEGOCIAÇÕES!D907,"")</f>
        <v/>
      </c>
      <c r="E907" s="9" t="str">
        <f ca="1">IF(AND(NEGOCIAÇÕES!P907="",NEGOCIAÇÕES!N907&lt;TODAY()),NEGOCIAÇÕES!N907,"")</f>
        <v/>
      </c>
      <c r="F907" s="6"/>
    </row>
    <row r="908" spans="2:6" ht="31.95" hidden="1" customHeight="1" x14ac:dyDescent="0.3">
      <c r="B908" s="6" t="str">
        <f ca="1">IF(AND(NEGOCIAÇÕES!P908="",NEGOCIAÇÕES!N908&lt;TODAY()),NEGOCIAÇÕES!C908,"")</f>
        <v/>
      </c>
      <c r="C908" s="6" t="str">
        <f ca="1">IF(AND(NEGOCIAÇÕES!P908="",NEGOCIAÇÕES!N908&lt;TODAY()),NEGOCIAÇÕES!E908,"")</f>
        <v/>
      </c>
      <c r="D908" s="6" t="str">
        <f ca="1">IF(AND(NEGOCIAÇÕES!P908="",NEGOCIAÇÕES!N908&lt;TODAY()),NEGOCIAÇÕES!D908,"")</f>
        <v/>
      </c>
      <c r="E908" s="9" t="str">
        <f ca="1">IF(AND(NEGOCIAÇÕES!P908="",NEGOCIAÇÕES!N908&lt;TODAY()),NEGOCIAÇÕES!N908,"")</f>
        <v/>
      </c>
      <c r="F908" s="6"/>
    </row>
    <row r="909" spans="2:6" ht="31.95" hidden="1" customHeight="1" x14ac:dyDescent="0.3">
      <c r="B909" s="6" t="str">
        <f ca="1">IF(AND(NEGOCIAÇÕES!P909="",NEGOCIAÇÕES!N909&lt;TODAY()),NEGOCIAÇÕES!C909,"")</f>
        <v/>
      </c>
      <c r="C909" s="6" t="str">
        <f ca="1">IF(AND(NEGOCIAÇÕES!P909="",NEGOCIAÇÕES!N909&lt;TODAY()),NEGOCIAÇÕES!E909,"")</f>
        <v/>
      </c>
      <c r="D909" s="6" t="str">
        <f ca="1">IF(AND(NEGOCIAÇÕES!P909="",NEGOCIAÇÕES!N909&lt;TODAY()),NEGOCIAÇÕES!D909,"")</f>
        <v/>
      </c>
      <c r="E909" s="9" t="str">
        <f ca="1">IF(AND(NEGOCIAÇÕES!P909="",NEGOCIAÇÕES!N909&lt;TODAY()),NEGOCIAÇÕES!N909,"")</f>
        <v/>
      </c>
      <c r="F909" s="6"/>
    </row>
    <row r="910" spans="2:6" ht="31.95" hidden="1" customHeight="1" x14ac:dyDescent="0.3">
      <c r="B910" s="6" t="str">
        <f ca="1">IF(AND(NEGOCIAÇÕES!P910="",NEGOCIAÇÕES!N910&lt;TODAY()),NEGOCIAÇÕES!C910,"")</f>
        <v/>
      </c>
      <c r="C910" s="6" t="str">
        <f ca="1">IF(AND(NEGOCIAÇÕES!P910="",NEGOCIAÇÕES!N910&lt;TODAY()),NEGOCIAÇÕES!E910,"")</f>
        <v/>
      </c>
      <c r="D910" s="6" t="str">
        <f ca="1">IF(AND(NEGOCIAÇÕES!P910="",NEGOCIAÇÕES!N910&lt;TODAY()),NEGOCIAÇÕES!D910,"")</f>
        <v/>
      </c>
      <c r="E910" s="9" t="str">
        <f ca="1">IF(AND(NEGOCIAÇÕES!P910="",NEGOCIAÇÕES!N910&lt;TODAY()),NEGOCIAÇÕES!N910,"")</f>
        <v/>
      </c>
      <c r="F910" s="6"/>
    </row>
    <row r="911" spans="2:6" ht="31.95" hidden="1" customHeight="1" x14ac:dyDescent="0.3">
      <c r="B911" s="6" t="str">
        <f ca="1">IF(AND(NEGOCIAÇÕES!P911="",NEGOCIAÇÕES!N911&lt;TODAY()),NEGOCIAÇÕES!C911,"")</f>
        <v/>
      </c>
      <c r="C911" s="6" t="str">
        <f ca="1">IF(AND(NEGOCIAÇÕES!P911="",NEGOCIAÇÕES!N911&lt;TODAY()),NEGOCIAÇÕES!E911,"")</f>
        <v/>
      </c>
      <c r="D911" s="6" t="str">
        <f ca="1">IF(AND(NEGOCIAÇÕES!P911="",NEGOCIAÇÕES!N911&lt;TODAY()),NEGOCIAÇÕES!D911,"")</f>
        <v/>
      </c>
      <c r="E911" s="9" t="str">
        <f ca="1">IF(AND(NEGOCIAÇÕES!P911="",NEGOCIAÇÕES!N911&lt;TODAY()),NEGOCIAÇÕES!N911,"")</f>
        <v/>
      </c>
      <c r="F911" s="6"/>
    </row>
    <row r="912" spans="2:6" ht="31.95" hidden="1" customHeight="1" x14ac:dyDescent="0.3">
      <c r="B912" s="6" t="str">
        <f ca="1">IF(AND(NEGOCIAÇÕES!P912="",NEGOCIAÇÕES!N912&lt;TODAY()),NEGOCIAÇÕES!C912,"")</f>
        <v/>
      </c>
      <c r="C912" s="6" t="str">
        <f ca="1">IF(AND(NEGOCIAÇÕES!P912="",NEGOCIAÇÕES!N912&lt;TODAY()),NEGOCIAÇÕES!E912,"")</f>
        <v/>
      </c>
      <c r="D912" s="6" t="str">
        <f ca="1">IF(AND(NEGOCIAÇÕES!P912="",NEGOCIAÇÕES!N912&lt;TODAY()),NEGOCIAÇÕES!D912,"")</f>
        <v/>
      </c>
      <c r="E912" s="9" t="str">
        <f ca="1">IF(AND(NEGOCIAÇÕES!P912="",NEGOCIAÇÕES!N912&lt;TODAY()),NEGOCIAÇÕES!N912,"")</f>
        <v/>
      </c>
      <c r="F912" s="6"/>
    </row>
    <row r="913" spans="2:6" ht="31.95" hidden="1" customHeight="1" x14ac:dyDescent="0.3">
      <c r="B913" s="6" t="str">
        <f ca="1">IF(AND(NEGOCIAÇÕES!P913="",NEGOCIAÇÕES!N913&lt;TODAY()),NEGOCIAÇÕES!C913,"")</f>
        <v/>
      </c>
      <c r="C913" s="6" t="str">
        <f ca="1">IF(AND(NEGOCIAÇÕES!P913="",NEGOCIAÇÕES!N913&lt;TODAY()),NEGOCIAÇÕES!E913,"")</f>
        <v/>
      </c>
      <c r="D913" s="6" t="str">
        <f ca="1">IF(AND(NEGOCIAÇÕES!P913="",NEGOCIAÇÕES!N913&lt;TODAY()),NEGOCIAÇÕES!D913,"")</f>
        <v/>
      </c>
      <c r="E913" s="9" t="str">
        <f ca="1">IF(AND(NEGOCIAÇÕES!P913="",NEGOCIAÇÕES!N913&lt;TODAY()),NEGOCIAÇÕES!N913,"")</f>
        <v/>
      </c>
      <c r="F913" s="6"/>
    </row>
    <row r="914" spans="2:6" ht="31.95" hidden="1" customHeight="1" x14ac:dyDescent="0.3">
      <c r="B914" s="6" t="str">
        <f ca="1">IF(AND(NEGOCIAÇÕES!P914="",NEGOCIAÇÕES!N914&lt;TODAY()),NEGOCIAÇÕES!C914,"")</f>
        <v/>
      </c>
      <c r="C914" s="6" t="str">
        <f ca="1">IF(AND(NEGOCIAÇÕES!P914="",NEGOCIAÇÕES!N914&lt;TODAY()),NEGOCIAÇÕES!E914,"")</f>
        <v/>
      </c>
      <c r="D914" s="6" t="str">
        <f ca="1">IF(AND(NEGOCIAÇÕES!P914="",NEGOCIAÇÕES!N914&lt;TODAY()),NEGOCIAÇÕES!D914,"")</f>
        <v/>
      </c>
      <c r="E914" s="9" t="str">
        <f ca="1">IF(AND(NEGOCIAÇÕES!P914="",NEGOCIAÇÕES!N914&lt;TODAY()),NEGOCIAÇÕES!N914,"")</f>
        <v/>
      </c>
      <c r="F914" s="6"/>
    </row>
    <row r="915" spans="2:6" ht="31.95" hidden="1" customHeight="1" x14ac:dyDescent="0.3">
      <c r="B915" s="6" t="str">
        <f ca="1">IF(AND(NEGOCIAÇÕES!P915="",NEGOCIAÇÕES!N915&lt;TODAY()),NEGOCIAÇÕES!C915,"")</f>
        <v/>
      </c>
      <c r="C915" s="6" t="str">
        <f ca="1">IF(AND(NEGOCIAÇÕES!P915="",NEGOCIAÇÕES!N915&lt;TODAY()),NEGOCIAÇÕES!E915,"")</f>
        <v/>
      </c>
      <c r="D915" s="6" t="str">
        <f ca="1">IF(AND(NEGOCIAÇÕES!P915="",NEGOCIAÇÕES!N915&lt;TODAY()),NEGOCIAÇÕES!D915,"")</f>
        <v/>
      </c>
      <c r="E915" s="9" t="str">
        <f ca="1">IF(AND(NEGOCIAÇÕES!P915="",NEGOCIAÇÕES!N915&lt;TODAY()),NEGOCIAÇÕES!N915,"")</f>
        <v/>
      </c>
      <c r="F915" s="6"/>
    </row>
    <row r="916" spans="2:6" ht="31.95" hidden="1" customHeight="1" x14ac:dyDescent="0.3">
      <c r="B916" s="6" t="str">
        <f ca="1">IF(AND(NEGOCIAÇÕES!P916="",NEGOCIAÇÕES!N916&lt;TODAY()),NEGOCIAÇÕES!C916,"")</f>
        <v/>
      </c>
      <c r="C916" s="6" t="str">
        <f ca="1">IF(AND(NEGOCIAÇÕES!P916="",NEGOCIAÇÕES!N916&lt;TODAY()),NEGOCIAÇÕES!E916,"")</f>
        <v/>
      </c>
      <c r="D916" s="6" t="str">
        <f ca="1">IF(AND(NEGOCIAÇÕES!P916="",NEGOCIAÇÕES!N916&lt;TODAY()),NEGOCIAÇÕES!D916,"")</f>
        <v/>
      </c>
      <c r="E916" s="9" t="str">
        <f ca="1">IF(AND(NEGOCIAÇÕES!P916="",NEGOCIAÇÕES!N916&lt;TODAY()),NEGOCIAÇÕES!N916,"")</f>
        <v/>
      </c>
      <c r="F916" s="6"/>
    </row>
    <row r="917" spans="2:6" ht="31.95" hidden="1" customHeight="1" x14ac:dyDescent="0.3">
      <c r="B917" s="6" t="str">
        <f ca="1">IF(AND(NEGOCIAÇÕES!P917="",NEGOCIAÇÕES!N917&lt;TODAY()),NEGOCIAÇÕES!C917,"")</f>
        <v/>
      </c>
      <c r="C917" s="6" t="str">
        <f ca="1">IF(AND(NEGOCIAÇÕES!P917="",NEGOCIAÇÕES!N917&lt;TODAY()),NEGOCIAÇÕES!E917,"")</f>
        <v/>
      </c>
      <c r="D917" s="6" t="str">
        <f ca="1">IF(AND(NEGOCIAÇÕES!P917="",NEGOCIAÇÕES!N917&lt;TODAY()),NEGOCIAÇÕES!D917,"")</f>
        <v/>
      </c>
      <c r="E917" s="9" t="str">
        <f ca="1">IF(AND(NEGOCIAÇÕES!P917="",NEGOCIAÇÕES!N917&lt;TODAY()),NEGOCIAÇÕES!N917,"")</f>
        <v/>
      </c>
      <c r="F917" s="6"/>
    </row>
    <row r="918" spans="2:6" ht="31.95" hidden="1" customHeight="1" x14ac:dyDescent="0.3">
      <c r="B918" s="6" t="str">
        <f ca="1">IF(AND(NEGOCIAÇÕES!P918="",NEGOCIAÇÕES!N918&lt;TODAY()),NEGOCIAÇÕES!C918,"")</f>
        <v/>
      </c>
      <c r="C918" s="6" t="str">
        <f ca="1">IF(AND(NEGOCIAÇÕES!P918="",NEGOCIAÇÕES!N918&lt;TODAY()),NEGOCIAÇÕES!E918,"")</f>
        <v/>
      </c>
      <c r="D918" s="6" t="str">
        <f ca="1">IF(AND(NEGOCIAÇÕES!P918="",NEGOCIAÇÕES!N918&lt;TODAY()),NEGOCIAÇÕES!D918,"")</f>
        <v/>
      </c>
      <c r="E918" s="9" t="str">
        <f ca="1">IF(AND(NEGOCIAÇÕES!P918="",NEGOCIAÇÕES!N918&lt;TODAY()),NEGOCIAÇÕES!N918,"")</f>
        <v/>
      </c>
      <c r="F918" s="6"/>
    </row>
    <row r="919" spans="2:6" ht="31.95" hidden="1" customHeight="1" x14ac:dyDescent="0.3">
      <c r="B919" s="6" t="str">
        <f ca="1">IF(AND(NEGOCIAÇÕES!P919="",NEGOCIAÇÕES!N919&lt;TODAY()),NEGOCIAÇÕES!C919,"")</f>
        <v/>
      </c>
      <c r="C919" s="6" t="str">
        <f ca="1">IF(AND(NEGOCIAÇÕES!P919="",NEGOCIAÇÕES!N919&lt;TODAY()),NEGOCIAÇÕES!E919,"")</f>
        <v/>
      </c>
      <c r="D919" s="6" t="str">
        <f ca="1">IF(AND(NEGOCIAÇÕES!P919="",NEGOCIAÇÕES!N919&lt;TODAY()),NEGOCIAÇÕES!D919,"")</f>
        <v/>
      </c>
      <c r="E919" s="9" t="str">
        <f ca="1">IF(AND(NEGOCIAÇÕES!P919="",NEGOCIAÇÕES!N919&lt;TODAY()),NEGOCIAÇÕES!N919,"")</f>
        <v/>
      </c>
      <c r="F919" s="6"/>
    </row>
    <row r="920" spans="2:6" ht="31.95" hidden="1" customHeight="1" x14ac:dyDescent="0.3">
      <c r="B920" s="6" t="str">
        <f ca="1">IF(AND(NEGOCIAÇÕES!P920="",NEGOCIAÇÕES!N920&lt;TODAY()),NEGOCIAÇÕES!C920,"")</f>
        <v/>
      </c>
      <c r="C920" s="6" t="str">
        <f ca="1">IF(AND(NEGOCIAÇÕES!P920="",NEGOCIAÇÕES!N920&lt;TODAY()),NEGOCIAÇÕES!E920,"")</f>
        <v/>
      </c>
      <c r="D920" s="6" t="str">
        <f ca="1">IF(AND(NEGOCIAÇÕES!P920="",NEGOCIAÇÕES!N920&lt;TODAY()),NEGOCIAÇÕES!D920,"")</f>
        <v/>
      </c>
      <c r="E920" s="9" t="str">
        <f ca="1">IF(AND(NEGOCIAÇÕES!P920="",NEGOCIAÇÕES!N920&lt;TODAY()),NEGOCIAÇÕES!N920,"")</f>
        <v/>
      </c>
      <c r="F920" s="6"/>
    </row>
    <row r="921" spans="2:6" ht="31.95" hidden="1" customHeight="1" x14ac:dyDescent="0.3">
      <c r="B921" s="6" t="str">
        <f ca="1">IF(AND(NEGOCIAÇÕES!P921="",NEGOCIAÇÕES!N921&lt;TODAY()),NEGOCIAÇÕES!C921,"")</f>
        <v/>
      </c>
      <c r="C921" s="6" t="str">
        <f ca="1">IF(AND(NEGOCIAÇÕES!P921="",NEGOCIAÇÕES!N921&lt;TODAY()),NEGOCIAÇÕES!E921,"")</f>
        <v/>
      </c>
      <c r="D921" s="6" t="str">
        <f ca="1">IF(AND(NEGOCIAÇÕES!P921="",NEGOCIAÇÕES!N921&lt;TODAY()),NEGOCIAÇÕES!D921,"")</f>
        <v/>
      </c>
      <c r="E921" s="9" t="str">
        <f ca="1">IF(AND(NEGOCIAÇÕES!P921="",NEGOCIAÇÕES!N921&lt;TODAY()),NEGOCIAÇÕES!N921,"")</f>
        <v/>
      </c>
      <c r="F921" s="6"/>
    </row>
    <row r="922" spans="2:6" ht="31.95" hidden="1" customHeight="1" x14ac:dyDescent="0.3">
      <c r="B922" s="6" t="str">
        <f ca="1">IF(AND(NEGOCIAÇÕES!P922="",NEGOCIAÇÕES!N922&lt;TODAY()),NEGOCIAÇÕES!C922,"")</f>
        <v/>
      </c>
      <c r="C922" s="6" t="str">
        <f ca="1">IF(AND(NEGOCIAÇÕES!P922="",NEGOCIAÇÕES!N922&lt;TODAY()),NEGOCIAÇÕES!E922,"")</f>
        <v/>
      </c>
      <c r="D922" s="6" t="str">
        <f ca="1">IF(AND(NEGOCIAÇÕES!P922="",NEGOCIAÇÕES!N922&lt;TODAY()),NEGOCIAÇÕES!D922,"")</f>
        <v/>
      </c>
      <c r="E922" s="9" t="str">
        <f ca="1">IF(AND(NEGOCIAÇÕES!P922="",NEGOCIAÇÕES!N922&lt;TODAY()),NEGOCIAÇÕES!N922,"")</f>
        <v/>
      </c>
      <c r="F922" s="6"/>
    </row>
    <row r="923" spans="2:6" ht="31.95" hidden="1" customHeight="1" x14ac:dyDescent="0.3">
      <c r="B923" s="6" t="str">
        <f ca="1">IF(AND(NEGOCIAÇÕES!P923="",NEGOCIAÇÕES!N923&lt;TODAY()),NEGOCIAÇÕES!C923,"")</f>
        <v/>
      </c>
      <c r="C923" s="6" t="str">
        <f ca="1">IF(AND(NEGOCIAÇÕES!P923="",NEGOCIAÇÕES!N923&lt;TODAY()),NEGOCIAÇÕES!E923,"")</f>
        <v/>
      </c>
      <c r="D923" s="6" t="str">
        <f ca="1">IF(AND(NEGOCIAÇÕES!P923="",NEGOCIAÇÕES!N923&lt;TODAY()),NEGOCIAÇÕES!D923,"")</f>
        <v/>
      </c>
      <c r="E923" s="9" t="str">
        <f ca="1">IF(AND(NEGOCIAÇÕES!P923="",NEGOCIAÇÕES!N923&lt;TODAY()),NEGOCIAÇÕES!N923,"")</f>
        <v/>
      </c>
      <c r="F923" s="6"/>
    </row>
    <row r="924" spans="2:6" ht="31.95" hidden="1" customHeight="1" x14ac:dyDescent="0.3">
      <c r="B924" s="6" t="str">
        <f ca="1">IF(AND(NEGOCIAÇÕES!P924="",NEGOCIAÇÕES!N924&lt;TODAY()),NEGOCIAÇÕES!C924,"")</f>
        <v/>
      </c>
      <c r="C924" s="6" t="str">
        <f ca="1">IF(AND(NEGOCIAÇÕES!P924="",NEGOCIAÇÕES!N924&lt;TODAY()),NEGOCIAÇÕES!E924,"")</f>
        <v/>
      </c>
      <c r="D924" s="6" t="str">
        <f ca="1">IF(AND(NEGOCIAÇÕES!P924="",NEGOCIAÇÕES!N924&lt;TODAY()),NEGOCIAÇÕES!D924,"")</f>
        <v/>
      </c>
      <c r="E924" s="9" t="str">
        <f ca="1">IF(AND(NEGOCIAÇÕES!P924="",NEGOCIAÇÕES!N924&lt;TODAY()),NEGOCIAÇÕES!N924,"")</f>
        <v/>
      </c>
      <c r="F924" s="6"/>
    </row>
    <row r="925" spans="2:6" ht="31.95" hidden="1" customHeight="1" x14ac:dyDescent="0.3">
      <c r="B925" s="6" t="str">
        <f ca="1">IF(AND(NEGOCIAÇÕES!P925="",NEGOCIAÇÕES!N925&lt;TODAY()),NEGOCIAÇÕES!C925,"")</f>
        <v/>
      </c>
      <c r="C925" s="6" t="str">
        <f ca="1">IF(AND(NEGOCIAÇÕES!P925="",NEGOCIAÇÕES!N925&lt;TODAY()),NEGOCIAÇÕES!E925,"")</f>
        <v/>
      </c>
      <c r="D925" s="6" t="str">
        <f ca="1">IF(AND(NEGOCIAÇÕES!P925="",NEGOCIAÇÕES!N925&lt;TODAY()),NEGOCIAÇÕES!D925,"")</f>
        <v/>
      </c>
      <c r="E925" s="9" t="str">
        <f ca="1">IF(AND(NEGOCIAÇÕES!P925="",NEGOCIAÇÕES!N925&lt;TODAY()),NEGOCIAÇÕES!N925,"")</f>
        <v/>
      </c>
      <c r="F925" s="6"/>
    </row>
    <row r="926" spans="2:6" ht="31.95" hidden="1" customHeight="1" x14ac:dyDescent="0.3">
      <c r="B926" s="6" t="str">
        <f ca="1">IF(AND(NEGOCIAÇÕES!P926="",NEGOCIAÇÕES!N926&lt;TODAY()),NEGOCIAÇÕES!C926,"")</f>
        <v/>
      </c>
      <c r="C926" s="6" t="str">
        <f ca="1">IF(AND(NEGOCIAÇÕES!P926="",NEGOCIAÇÕES!N926&lt;TODAY()),NEGOCIAÇÕES!E926,"")</f>
        <v/>
      </c>
      <c r="D926" s="6" t="str">
        <f ca="1">IF(AND(NEGOCIAÇÕES!P926="",NEGOCIAÇÕES!N926&lt;TODAY()),NEGOCIAÇÕES!D926,"")</f>
        <v/>
      </c>
      <c r="E926" s="9" t="str">
        <f ca="1">IF(AND(NEGOCIAÇÕES!P926="",NEGOCIAÇÕES!N926&lt;TODAY()),NEGOCIAÇÕES!N926,"")</f>
        <v/>
      </c>
      <c r="F926" s="6"/>
    </row>
    <row r="927" spans="2:6" ht="31.95" hidden="1" customHeight="1" x14ac:dyDescent="0.3">
      <c r="B927" s="6" t="str">
        <f ca="1">IF(AND(NEGOCIAÇÕES!P927="",NEGOCIAÇÕES!N927&lt;TODAY()),NEGOCIAÇÕES!C927,"")</f>
        <v/>
      </c>
      <c r="C927" s="6" t="str">
        <f ca="1">IF(AND(NEGOCIAÇÕES!P927="",NEGOCIAÇÕES!N927&lt;TODAY()),NEGOCIAÇÕES!E927,"")</f>
        <v/>
      </c>
      <c r="D927" s="6" t="str">
        <f ca="1">IF(AND(NEGOCIAÇÕES!P927="",NEGOCIAÇÕES!N927&lt;TODAY()),NEGOCIAÇÕES!D927,"")</f>
        <v/>
      </c>
      <c r="E927" s="9" t="str">
        <f ca="1">IF(AND(NEGOCIAÇÕES!P927="",NEGOCIAÇÕES!N927&lt;TODAY()),NEGOCIAÇÕES!N927,"")</f>
        <v/>
      </c>
      <c r="F927" s="6"/>
    </row>
    <row r="928" spans="2:6" ht="31.95" hidden="1" customHeight="1" x14ac:dyDescent="0.3">
      <c r="B928" s="6" t="str">
        <f ca="1">IF(AND(NEGOCIAÇÕES!P928="",NEGOCIAÇÕES!N928&lt;TODAY()),NEGOCIAÇÕES!C928,"")</f>
        <v/>
      </c>
      <c r="C928" s="6" t="str">
        <f ca="1">IF(AND(NEGOCIAÇÕES!P928="",NEGOCIAÇÕES!N928&lt;TODAY()),NEGOCIAÇÕES!E928,"")</f>
        <v/>
      </c>
      <c r="D928" s="6" t="str">
        <f ca="1">IF(AND(NEGOCIAÇÕES!P928="",NEGOCIAÇÕES!N928&lt;TODAY()),NEGOCIAÇÕES!D928,"")</f>
        <v/>
      </c>
      <c r="E928" s="9" t="str">
        <f ca="1">IF(AND(NEGOCIAÇÕES!P928="",NEGOCIAÇÕES!N928&lt;TODAY()),NEGOCIAÇÕES!N928,"")</f>
        <v/>
      </c>
      <c r="F928" s="6"/>
    </row>
    <row r="929" spans="2:6" ht="31.95" hidden="1" customHeight="1" x14ac:dyDescent="0.3">
      <c r="B929" s="6" t="str">
        <f ca="1">IF(AND(NEGOCIAÇÕES!P929="",NEGOCIAÇÕES!N929&lt;TODAY()),NEGOCIAÇÕES!C929,"")</f>
        <v/>
      </c>
      <c r="C929" s="6" t="str">
        <f ca="1">IF(AND(NEGOCIAÇÕES!P929="",NEGOCIAÇÕES!N929&lt;TODAY()),NEGOCIAÇÕES!E929,"")</f>
        <v/>
      </c>
      <c r="D929" s="6" t="str">
        <f ca="1">IF(AND(NEGOCIAÇÕES!P929="",NEGOCIAÇÕES!N929&lt;TODAY()),NEGOCIAÇÕES!D929,"")</f>
        <v/>
      </c>
      <c r="E929" s="9" t="str">
        <f ca="1">IF(AND(NEGOCIAÇÕES!P929="",NEGOCIAÇÕES!N929&lt;TODAY()),NEGOCIAÇÕES!N929,"")</f>
        <v/>
      </c>
      <c r="F929" s="6"/>
    </row>
    <row r="930" spans="2:6" ht="31.95" hidden="1" customHeight="1" x14ac:dyDescent="0.3">
      <c r="B930" s="6" t="str">
        <f ca="1">IF(AND(NEGOCIAÇÕES!P930="",NEGOCIAÇÕES!N930&lt;TODAY()),NEGOCIAÇÕES!C930,"")</f>
        <v/>
      </c>
      <c r="C930" s="6" t="str">
        <f ca="1">IF(AND(NEGOCIAÇÕES!P930="",NEGOCIAÇÕES!N930&lt;TODAY()),NEGOCIAÇÕES!E930,"")</f>
        <v/>
      </c>
      <c r="D930" s="6" t="str">
        <f ca="1">IF(AND(NEGOCIAÇÕES!P930="",NEGOCIAÇÕES!N930&lt;TODAY()),NEGOCIAÇÕES!D930,"")</f>
        <v/>
      </c>
      <c r="E930" s="9" t="str">
        <f ca="1">IF(AND(NEGOCIAÇÕES!P930="",NEGOCIAÇÕES!N930&lt;TODAY()),NEGOCIAÇÕES!N930,"")</f>
        <v/>
      </c>
      <c r="F930" s="6"/>
    </row>
    <row r="931" spans="2:6" ht="31.95" hidden="1" customHeight="1" x14ac:dyDescent="0.3">
      <c r="B931" s="6" t="str">
        <f ca="1">IF(AND(NEGOCIAÇÕES!P931="",NEGOCIAÇÕES!N931&lt;TODAY()),NEGOCIAÇÕES!C931,"")</f>
        <v/>
      </c>
      <c r="C931" s="6" t="str">
        <f ca="1">IF(AND(NEGOCIAÇÕES!P931="",NEGOCIAÇÕES!N931&lt;TODAY()),NEGOCIAÇÕES!E931,"")</f>
        <v/>
      </c>
      <c r="D931" s="6" t="str">
        <f ca="1">IF(AND(NEGOCIAÇÕES!P931="",NEGOCIAÇÕES!N931&lt;TODAY()),NEGOCIAÇÕES!D931,"")</f>
        <v/>
      </c>
      <c r="E931" s="9" t="str">
        <f ca="1">IF(AND(NEGOCIAÇÕES!P931="",NEGOCIAÇÕES!N931&lt;TODAY()),NEGOCIAÇÕES!N931,"")</f>
        <v/>
      </c>
      <c r="F931" s="6"/>
    </row>
    <row r="932" spans="2:6" ht="31.95" hidden="1" customHeight="1" x14ac:dyDescent="0.3">
      <c r="B932" s="6" t="str">
        <f ca="1">IF(AND(NEGOCIAÇÕES!P932="",NEGOCIAÇÕES!N932&lt;TODAY()),NEGOCIAÇÕES!C932,"")</f>
        <v/>
      </c>
      <c r="C932" s="6" t="str">
        <f ca="1">IF(AND(NEGOCIAÇÕES!P932="",NEGOCIAÇÕES!N932&lt;TODAY()),NEGOCIAÇÕES!E932,"")</f>
        <v/>
      </c>
      <c r="D932" s="6" t="str">
        <f ca="1">IF(AND(NEGOCIAÇÕES!P932="",NEGOCIAÇÕES!N932&lt;TODAY()),NEGOCIAÇÕES!D932,"")</f>
        <v/>
      </c>
      <c r="E932" s="9" t="str">
        <f ca="1">IF(AND(NEGOCIAÇÕES!P932="",NEGOCIAÇÕES!N932&lt;TODAY()),NEGOCIAÇÕES!N932,"")</f>
        <v/>
      </c>
      <c r="F932" s="6"/>
    </row>
    <row r="933" spans="2:6" ht="31.95" hidden="1" customHeight="1" x14ac:dyDescent="0.3">
      <c r="B933" s="6" t="str">
        <f ca="1">IF(AND(NEGOCIAÇÕES!P933="",NEGOCIAÇÕES!N933&lt;TODAY()),NEGOCIAÇÕES!C933,"")</f>
        <v/>
      </c>
      <c r="C933" s="6" t="str">
        <f ca="1">IF(AND(NEGOCIAÇÕES!P933="",NEGOCIAÇÕES!N933&lt;TODAY()),NEGOCIAÇÕES!E933,"")</f>
        <v/>
      </c>
      <c r="D933" s="6" t="str">
        <f ca="1">IF(AND(NEGOCIAÇÕES!P933="",NEGOCIAÇÕES!N933&lt;TODAY()),NEGOCIAÇÕES!D933,"")</f>
        <v/>
      </c>
      <c r="E933" s="9" t="str">
        <f ca="1">IF(AND(NEGOCIAÇÕES!P933="",NEGOCIAÇÕES!N933&lt;TODAY()),NEGOCIAÇÕES!N933,"")</f>
        <v/>
      </c>
      <c r="F933" s="6"/>
    </row>
    <row r="934" spans="2:6" ht="31.95" hidden="1" customHeight="1" x14ac:dyDescent="0.3">
      <c r="B934" s="6" t="str">
        <f ca="1">IF(AND(NEGOCIAÇÕES!P934="",NEGOCIAÇÕES!N934&lt;TODAY()),NEGOCIAÇÕES!C934,"")</f>
        <v/>
      </c>
      <c r="C934" s="6" t="str">
        <f ca="1">IF(AND(NEGOCIAÇÕES!P934="",NEGOCIAÇÕES!N934&lt;TODAY()),NEGOCIAÇÕES!E934,"")</f>
        <v/>
      </c>
      <c r="D934" s="6" t="str">
        <f ca="1">IF(AND(NEGOCIAÇÕES!P934="",NEGOCIAÇÕES!N934&lt;TODAY()),NEGOCIAÇÕES!D934,"")</f>
        <v/>
      </c>
      <c r="E934" s="9" t="str">
        <f ca="1">IF(AND(NEGOCIAÇÕES!P934="",NEGOCIAÇÕES!N934&lt;TODAY()),NEGOCIAÇÕES!N934,"")</f>
        <v/>
      </c>
      <c r="F934" s="6"/>
    </row>
    <row r="935" spans="2:6" ht="31.95" hidden="1" customHeight="1" x14ac:dyDescent="0.3">
      <c r="B935" s="6" t="str">
        <f ca="1">IF(AND(NEGOCIAÇÕES!P935="",NEGOCIAÇÕES!N935&lt;TODAY()),NEGOCIAÇÕES!C935,"")</f>
        <v/>
      </c>
      <c r="C935" s="6" t="str">
        <f ca="1">IF(AND(NEGOCIAÇÕES!P935="",NEGOCIAÇÕES!N935&lt;TODAY()),NEGOCIAÇÕES!E935,"")</f>
        <v/>
      </c>
      <c r="D935" s="6" t="str">
        <f ca="1">IF(AND(NEGOCIAÇÕES!P935="",NEGOCIAÇÕES!N935&lt;TODAY()),NEGOCIAÇÕES!D935,"")</f>
        <v/>
      </c>
      <c r="E935" s="9" t="str">
        <f ca="1">IF(AND(NEGOCIAÇÕES!P935="",NEGOCIAÇÕES!N935&lt;TODAY()),NEGOCIAÇÕES!N935,"")</f>
        <v/>
      </c>
      <c r="F935" s="6"/>
    </row>
    <row r="936" spans="2:6" ht="31.95" hidden="1" customHeight="1" x14ac:dyDescent="0.3">
      <c r="B936" s="6" t="str">
        <f ca="1">IF(AND(NEGOCIAÇÕES!P936="",NEGOCIAÇÕES!N936&lt;TODAY()),NEGOCIAÇÕES!C936,"")</f>
        <v/>
      </c>
      <c r="C936" s="6" t="str">
        <f ca="1">IF(AND(NEGOCIAÇÕES!P936="",NEGOCIAÇÕES!N936&lt;TODAY()),NEGOCIAÇÕES!E936,"")</f>
        <v/>
      </c>
      <c r="D936" s="6" t="str">
        <f ca="1">IF(AND(NEGOCIAÇÕES!P936="",NEGOCIAÇÕES!N936&lt;TODAY()),NEGOCIAÇÕES!D936,"")</f>
        <v/>
      </c>
      <c r="E936" s="9" t="str">
        <f ca="1">IF(AND(NEGOCIAÇÕES!P936="",NEGOCIAÇÕES!N936&lt;TODAY()),NEGOCIAÇÕES!N936,"")</f>
        <v/>
      </c>
      <c r="F936" s="6"/>
    </row>
    <row r="937" spans="2:6" ht="31.95" hidden="1" customHeight="1" x14ac:dyDescent="0.3">
      <c r="B937" s="6" t="str">
        <f ca="1">IF(AND(NEGOCIAÇÕES!P937="",NEGOCIAÇÕES!N937&lt;TODAY()),NEGOCIAÇÕES!C937,"")</f>
        <v/>
      </c>
      <c r="C937" s="6" t="str">
        <f ca="1">IF(AND(NEGOCIAÇÕES!P937="",NEGOCIAÇÕES!N937&lt;TODAY()),NEGOCIAÇÕES!E937,"")</f>
        <v/>
      </c>
      <c r="D937" s="6" t="str">
        <f ca="1">IF(AND(NEGOCIAÇÕES!P937="",NEGOCIAÇÕES!N937&lt;TODAY()),NEGOCIAÇÕES!D937,"")</f>
        <v/>
      </c>
      <c r="E937" s="9" t="str">
        <f ca="1">IF(AND(NEGOCIAÇÕES!P937="",NEGOCIAÇÕES!N937&lt;TODAY()),NEGOCIAÇÕES!N937,"")</f>
        <v/>
      </c>
      <c r="F937" s="6"/>
    </row>
    <row r="938" spans="2:6" ht="31.95" hidden="1" customHeight="1" x14ac:dyDescent="0.3">
      <c r="B938" s="6" t="str">
        <f ca="1">IF(AND(NEGOCIAÇÕES!P938="",NEGOCIAÇÕES!N938&lt;TODAY()),NEGOCIAÇÕES!C938,"")</f>
        <v/>
      </c>
      <c r="C938" s="6" t="str">
        <f ca="1">IF(AND(NEGOCIAÇÕES!P938="",NEGOCIAÇÕES!N938&lt;TODAY()),NEGOCIAÇÕES!E938,"")</f>
        <v/>
      </c>
      <c r="D938" s="6" t="str">
        <f ca="1">IF(AND(NEGOCIAÇÕES!P938="",NEGOCIAÇÕES!N938&lt;TODAY()),NEGOCIAÇÕES!D938,"")</f>
        <v/>
      </c>
      <c r="E938" s="9" t="str">
        <f ca="1">IF(AND(NEGOCIAÇÕES!P938="",NEGOCIAÇÕES!N938&lt;TODAY()),NEGOCIAÇÕES!N938,"")</f>
        <v/>
      </c>
      <c r="F938" s="6"/>
    </row>
    <row r="939" spans="2:6" ht="31.95" hidden="1" customHeight="1" x14ac:dyDescent="0.3">
      <c r="B939" s="6" t="str">
        <f ca="1">IF(AND(NEGOCIAÇÕES!P939="",NEGOCIAÇÕES!N939&lt;TODAY()),NEGOCIAÇÕES!C939,"")</f>
        <v/>
      </c>
      <c r="C939" s="6" t="str">
        <f ca="1">IF(AND(NEGOCIAÇÕES!P939="",NEGOCIAÇÕES!N939&lt;TODAY()),NEGOCIAÇÕES!E939,"")</f>
        <v/>
      </c>
      <c r="D939" s="6" t="str">
        <f ca="1">IF(AND(NEGOCIAÇÕES!P939="",NEGOCIAÇÕES!N939&lt;TODAY()),NEGOCIAÇÕES!D939,"")</f>
        <v/>
      </c>
      <c r="E939" s="9" t="str">
        <f ca="1">IF(AND(NEGOCIAÇÕES!P939="",NEGOCIAÇÕES!N939&lt;TODAY()),NEGOCIAÇÕES!N939,"")</f>
        <v/>
      </c>
      <c r="F939" s="6"/>
    </row>
    <row r="940" spans="2:6" ht="31.95" hidden="1" customHeight="1" x14ac:dyDescent="0.3">
      <c r="B940" s="6" t="str">
        <f ca="1">IF(AND(NEGOCIAÇÕES!P940="",NEGOCIAÇÕES!N940&lt;TODAY()),NEGOCIAÇÕES!C940,"")</f>
        <v/>
      </c>
      <c r="C940" s="6" t="str">
        <f ca="1">IF(AND(NEGOCIAÇÕES!P940="",NEGOCIAÇÕES!N940&lt;TODAY()),NEGOCIAÇÕES!E940,"")</f>
        <v/>
      </c>
      <c r="D940" s="6" t="str">
        <f ca="1">IF(AND(NEGOCIAÇÕES!P940="",NEGOCIAÇÕES!N940&lt;TODAY()),NEGOCIAÇÕES!D940,"")</f>
        <v/>
      </c>
      <c r="E940" s="9" t="str">
        <f ca="1">IF(AND(NEGOCIAÇÕES!P940="",NEGOCIAÇÕES!N940&lt;TODAY()),NEGOCIAÇÕES!N940,"")</f>
        <v/>
      </c>
      <c r="F940" s="6"/>
    </row>
    <row r="941" spans="2:6" ht="31.95" hidden="1" customHeight="1" x14ac:dyDescent="0.3">
      <c r="B941" s="6" t="str">
        <f ca="1">IF(AND(NEGOCIAÇÕES!P941="",NEGOCIAÇÕES!N941&lt;TODAY()),NEGOCIAÇÕES!C941,"")</f>
        <v/>
      </c>
      <c r="C941" s="6" t="str">
        <f ca="1">IF(AND(NEGOCIAÇÕES!P941="",NEGOCIAÇÕES!N941&lt;TODAY()),NEGOCIAÇÕES!E941,"")</f>
        <v/>
      </c>
      <c r="D941" s="6" t="str">
        <f ca="1">IF(AND(NEGOCIAÇÕES!P941="",NEGOCIAÇÕES!N941&lt;TODAY()),NEGOCIAÇÕES!D941,"")</f>
        <v/>
      </c>
      <c r="E941" s="9" t="str">
        <f ca="1">IF(AND(NEGOCIAÇÕES!P941="",NEGOCIAÇÕES!N941&lt;TODAY()),NEGOCIAÇÕES!N941,"")</f>
        <v/>
      </c>
      <c r="F941" s="6"/>
    </row>
    <row r="942" spans="2:6" ht="31.95" hidden="1" customHeight="1" x14ac:dyDescent="0.3">
      <c r="B942" s="6" t="str">
        <f ca="1">IF(AND(NEGOCIAÇÕES!P942="",NEGOCIAÇÕES!N942&lt;TODAY()),NEGOCIAÇÕES!C942,"")</f>
        <v/>
      </c>
      <c r="C942" s="6" t="str">
        <f ca="1">IF(AND(NEGOCIAÇÕES!P942="",NEGOCIAÇÕES!N942&lt;TODAY()),NEGOCIAÇÕES!E942,"")</f>
        <v/>
      </c>
      <c r="D942" s="6" t="str">
        <f ca="1">IF(AND(NEGOCIAÇÕES!P942="",NEGOCIAÇÕES!N942&lt;TODAY()),NEGOCIAÇÕES!D942,"")</f>
        <v/>
      </c>
      <c r="E942" s="9" t="str">
        <f ca="1">IF(AND(NEGOCIAÇÕES!P942="",NEGOCIAÇÕES!N942&lt;TODAY()),NEGOCIAÇÕES!N942,"")</f>
        <v/>
      </c>
      <c r="F942" s="6"/>
    </row>
    <row r="943" spans="2:6" ht="31.95" hidden="1" customHeight="1" x14ac:dyDescent="0.3">
      <c r="B943" s="6" t="str">
        <f ca="1">IF(AND(NEGOCIAÇÕES!P943="",NEGOCIAÇÕES!N943&lt;TODAY()),NEGOCIAÇÕES!C943,"")</f>
        <v/>
      </c>
      <c r="C943" s="6" t="str">
        <f ca="1">IF(AND(NEGOCIAÇÕES!P943="",NEGOCIAÇÕES!N943&lt;TODAY()),NEGOCIAÇÕES!E943,"")</f>
        <v/>
      </c>
      <c r="D943" s="6" t="str">
        <f ca="1">IF(AND(NEGOCIAÇÕES!P943="",NEGOCIAÇÕES!N943&lt;TODAY()),NEGOCIAÇÕES!D943,"")</f>
        <v/>
      </c>
      <c r="E943" s="9" t="str">
        <f ca="1">IF(AND(NEGOCIAÇÕES!P943="",NEGOCIAÇÕES!N943&lt;TODAY()),NEGOCIAÇÕES!N943,"")</f>
        <v/>
      </c>
      <c r="F943" s="6"/>
    </row>
    <row r="944" spans="2:6" ht="31.95" hidden="1" customHeight="1" x14ac:dyDescent="0.3">
      <c r="B944" s="6" t="str">
        <f ca="1">IF(AND(NEGOCIAÇÕES!P944="",NEGOCIAÇÕES!N944&lt;TODAY()),NEGOCIAÇÕES!C944,"")</f>
        <v/>
      </c>
      <c r="C944" s="6" t="str">
        <f ca="1">IF(AND(NEGOCIAÇÕES!P944="",NEGOCIAÇÕES!N944&lt;TODAY()),NEGOCIAÇÕES!E944,"")</f>
        <v/>
      </c>
      <c r="D944" s="6" t="str">
        <f ca="1">IF(AND(NEGOCIAÇÕES!P944="",NEGOCIAÇÕES!N944&lt;TODAY()),NEGOCIAÇÕES!D944,"")</f>
        <v/>
      </c>
      <c r="E944" s="9" t="str">
        <f ca="1">IF(AND(NEGOCIAÇÕES!P944="",NEGOCIAÇÕES!N944&lt;TODAY()),NEGOCIAÇÕES!N944,"")</f>
        <v/>
      </c>
      <c r="F944" s="6"/>
    </row>
    <row r="945" spans="2:6" ht="31.95" hidden="1" customHeight="1" x14ac:dyDescent="0.3">
      <c r="B945" s="6" t="str">
        <f ca="1">IF(AND(NEGOCIAÇÕES!P945="",NEGOCIAÇÕES!N945&lt;TODAY()),NEGOCIAÇÕES!C945,"")</f>
        <v/>
      </c>
      <c r="C945" s="6" t="str">
        <f ca="1">IF(AND(NEGOCIAÇÕES!P945="",NEGOCIAÇÕES!N945&lt;TODAY()),NEGOCIAÇÕES!E945,"")</f>
        <v/>
      </c>
      <c r="D945" s="6" t="str">
        <f ca="1">IF(AND(NEGOCIAÇÕES!P945="",NEGOCIAÇÕES!N945&lt;TODAY()),NEGOCIAÇÕES!D945,"")</f>
        <v/>
      </c>
      <c r="E945" s="9" t="str">
        <f ca="1">IF(AND(NEGOCIAÇÕES!P945="",NEGOCIAÇÕES!N945&lt;TODAY()),NEGOCIAÇÕES!N945,"")</f>
        <v/>
      </c>
      <c r="F945" s="6"/>
    </row>
    <row r="946" spans="2:6" ht="31.95" hidden="1" customHeight="1" x14ac:dyDescent="0.3">
      <c r="B946" s="6" t="str">
        <f ca="1">IF(AND(NEGOCIAÇÕES!P946="",NEGOCIAÇÕES!N946&lt;TODAY()),NEGOCIAÇÕES!C946,"")</f>
        <v/>
      </c>
      <c r="C946" s="6" t="str">
        <f ca="1">IF(AND(NEGOCIAÇÕES!P946="",NEGOCIAÇÕES!N946&lt;TODAY()),NEGOCIAÇÕES!E946,"")</f>
        <v/>
      </c>
      <c r="D946" s="6" t="str">
        <f ca="1">IF(AND(NEGOCIAÇÕES!P946="",NEGOCIAÇÕES!N946&lt;TODAY()),NEGOCIAÇÕES!D946,"")</f>
        <v/>
      </c>
      <c r="E946" s="9" t="str">
        <f ca="1">IF(AND(NEGOCIAÇÕES!P946="",NEGOCIAÇÕES!N946&lt;TODAY()),NEGOCIAÇÕES!N946,"")</f>
        <v/>
      </c>
      <c r="F946" s="6"/>
    </row>
    <row r="947" spans="2:6" ht="31.95" hidden="1" customHeight="1" x14ac:dyDescent="0.3">
      <c r="B947" s="6" t="str">
        <f ca="1">IF(AND(NEGOCIAÇÕES!P947="",NEGOCIAÇÕES!N947&lt;TODAY()),NEGOCIAÇÕES!C947,"")</f>
        <v/>
      </c>
      <c r="C947" s="6" t="str">
        <f ca="1">IF(AND(NEGOCIAÇÕES!P947="",NEGOCIAÇÕES!N947&lt;TODAY()),NEGOCIAÇÕES!E947,"")</f>
        <v/>
      </c>
      <c r="D947" s="6" t="str">
        <f ca="1">IF(AND(NEGOCIAÇÕES!P947="",NEGOCIAÇÕES!N947&lt;TODAY()),NEGOCIAÇÕES!D947,"")</f>
        <v/>
      </c>
      <c r="E947" s="9" t="str">
        <f ca="1">IF(AND(NEGOCIAÇÕES!P947="",NEGOCIAÇÕES!N947&lt;TODAY()),NEGOCIAÇÕES!N947,"")</f>
        <v/>
      </c>
      <c r="F947" s="6"/>
    </row>
    <row r="948" spans="2:6" ht="31.95" hidden="1" customHeight="1" x14ac:dyDescent="0.3">
      <c r="B948" s="6" t="str">
        <f ca="1">IF(AND(NEGOCIAÇÕES!P948="",NEGOCIAÇÕES!N948&lt;TODAY()),NEGOCIAÇÕES!C948,"")</f>
        <v/>
      </c>
      <c r="C948" s="6" t="str">
        <f ca="1">IF(AND(NEGOCIAÇÕES!P948="",NEGOCIAÇÕES!N948&lt;TODAY()),NEGOCIAÇÕES!E948,"")</f>
        <v/>
      </c>
      <c r="D948" s="6" t="str">
        <f ca="1">IF(AND(NEGOCIAÇÕES!P948="",NEGOCIAÇÕES!N948&lt;TODAY()),NEGOCIAÇÕES!D948,"")</f>
        <v/>
      </c>
      <c r="E948" s="9" t="str">
        <f ca="1">IF(AND(NEGOCIAÇÕES!P948="",NEGOCIAÇÕES!N948&lt;TODAY()),NEGOCIAÇÕES!N948,"")</f>
        <v/>
      </c>
      <c r="F948" s="6"/>
    </row>
    <row r="949" spans="2:6" ht="31.95" hidden="1" customHeight="1" x14ac:dyDescent="0.3">
      <c r="B949" s="6" t="str">
        <f ca="1">IF(AND(NEGOCIAÇÕES!P949="",NEGOCIAÇÕES!N949&lt;TODAY()),NEGOCIAÇÕES!C949,"")</f>
        <v/>
      </c>
      <c r="C949" s="6" t="str">
        <f ca="1">IF(AND(NEGOCIAÇÕES!P949="",NEGOCIAÇÕES!N949&lt;TODAY()),NEGOCIAÇÕES!E949,"")</f>
        <v/>
      </c>
      <c r="D949" s="6" t="str">
        <f ca="1">IF(AND(NEGOCIAÇÕES!P949="",NEGOCIAÇÕES!N949&lt;TODAY()),NEGOCIAÇÕES!D949,"")</f>
        <v/>
      </c>
      <c r="E949" s="9" t="str">
        <f ca="1">IF(AND(NEGOCIAÇÕES!P949="",NEGOCIAÇÕES!N949&lt;TODAY()),NEGOCIAÇÕES!N949,"")</f>
        <v/>
      </c>
      <c r="F949" s="6"/>
    </row>
    <row r="950" spans="2:6" ht="31.95" hidden="1" customHeight="1" x14ac:dyDescent="0.3">
      <c r="B950" s="6" t="str">
        <f ca="1">IF(AND(NEGOCIAÇÕES!P950="",NEGOCIAÇÕES!N950&lt;TODAY()),NEGOCIAÇÕES!C950,"")</f>
        <v/>
      </c>
      <c r="C950" s="6" t="str">
        <f ca="1">IF(AND(NEGOCIAÇÕES!P950="",NEGOCIAÇÕES!N950&lt;TODAY()),NEGOCIAÇÕES!E950,"")</f>
        <v/>
      </c>
      <c r="D950" s="6" t="str">
        <f ca="1">IF(AND(NEGOCIAÇÕES!P950="",NEGOCIAÇÕES!N950&lt;TODAY()),NEGOCIAÇÕES!D950,"")</f>
        <v/>
      </c>
      <c r="E950" s="9" t="str">
        <f ca="1">IF(AND(NEGOCIAÇÕES!P950="",NEGOCIAÇÕES!N950&lt;TODAY()),NEGOCIAÇÕES!N950,"")</f>
        <v/>
      </c>
      <c r="F950" s="6"/>
    </row>
    <row r="951" spans="2:6" ht="31.95" hidden="1" customHeight="1" x14ac:dyDescent="0.3">
      <c r="B951" s="6" t="str">
        <f ca="1">IF(AND(NEGOCIAÇÕES!P951="",NEGOCIAÇÕES!N951&lt;TODAY()),NEGOCIAÇÕES!C951,"")</f>
        <v/>
      </c>
      <c r="C951" s="6" t="str">
        <f ca="1">IF(AND(NEGOCIAÇÕES!P951="",NEGOCIAÇÕES!N951&lt;TODAY()),NEGOCIAÇÕES!E951,"")</f>
        <v/>
      </c>
      <c r="D951" s="6" t="str">
        <f ca="1">IF(AND(NEGOCIAÇÕES!P951="",NEGOCIAÇÕES!N951&lt;TODAY()),NEGOCIAÇÕES!D951,"")</f>
        <v/>
      </c>
      <c r="E951" s="9" t="str">
        <f ca="1">IF(AND(NEGOCIAÇÕES!P951="",NEGOCIAÇÕES!N951&lt;TODAY()),NEGOCIAÇÕES!N951,"")</f>
        <v/>
      </c>
      <c r="F951" s="6"/>
    </row>
    <row r="952" spans="2:6" ht="31.95" hidden="1" customHeight="1" x14ac:dyDescent="0.3">
      <c r="B952" s="6" t="str">
        <f ca="1">IF(AND(NEGOCIAÇÕES!P952="",NEGOCIAÇÕES!N952&lt;TODAY()),NEGOCIAÇÕES!C952,"")</f>
        <v/>
      </c>
      <c r="C952" s="6" t="str">
        <f ca="1">IF(AND(NEGOCIAÇÕES!P952="",NEGOCIAÇÕES!N952&lt;TODAY()),NEGOCIAÇÕES!E952,"")</f>
        <v/>
      </c>
      <c r="D952" s="6" t="str">
        <f ca="1">IF(AND(NEGOCIAÇÕES!P952="",NEGOCIAÇÕES!N952&lt;TODAY()),NEGOCIAÇÕES!D952,"")</f>
        <v/>
      </c>
      <c r="E952" s="9" t="str">
        <f ca="1">IF(AND(NEGOCIAÇÕES!P952="",NEGOCIAÇÕES!N952&lt;TODAY()),NEGOCIAÇÕES!N952,"")</f>
        <v/>
      </c>
      <c r="F952" s="6"/>
    </row>
    <row r="953" spans="2:6" ht="31.95" hidden="1" customHeight="1" x14ac:dyDescent="0.3">
      <c r="B953" s="6" t="str">
        <f ca="1">IF(AND(NEGOCIAÇÕES!P953="",NEGOCIAÇÕES!N953&lt;TODAY()),NEGOCIAÇÕES!C953,"")</f>
        <v/>
      </c>
      <c r="C953" s="6" t="str">
        <f ca="1">IF(AND(NEGOCIAÇÕES!P953="",NEGOCIAÇÕES!N953&lt;TODAY()),NEGOCIAÇÕES!E953,"")</f>
        <v/>
      </c>
      <c r="D953" s="6" t="str">
        <f ca="1">IF(AND(NEGOCIAÇÕES!P953="",NEGOCIAÇÕES!N953&lt;TODAY()),NEGOCIAÇÕES!D953,"")</f>
        <v/>
      </c>
      <c r="E953" s="9" t="str">
        <f ca="1">IF(AND(NEGOCIAÇÕES!P953="",NEGOCIAÇÕES!N953&lt;TODAY()),NEGOCIAÇÕES!N953,"")</f>
        <v/>
      </c>
      <c r="F953" s="6"/>
    </row>
    <row r="954" spans="2:6" ht="31.95" hidden="1" customHeight="1" x14ac:dyDescent="0.3">
      <c r="B954" s="6" t="str">
        <f ca="1">IF(AND(NEGOCIAÇÕES!P954="",NEGOCIAÇÕES!N954&lt;TODAY()),NEGOCIAÇÕES!C954,"")</f>
        <v/>
      </c>
      <c r="C954" s="6" t="str">
        <f ca="1">IF(AND(NEGOCIAÇÕES!P954="",NEGOCIAÇÕES!N954&lt;TODAY()),NEGOCIAÇÕES!E954,"")</f>
        <v/>
      </c>
      <c r="D954" s="6" t="str">
        <f ca="1">IF(AND(NEGOCIAÇÕES!P954="",NEGOCIAÇÕES!N954&lt;TODAY()),NEGOCIAÇÕES!D954,"")</f>
        <v/>
      </c>
      <c r="E954" s="9" t="str">
        <f ca="1">IF(AND(NEGOCIAÇÕES!P954="",NEGOCIAÇÕES!N954&lt;TODAY()),NEGOCIAÇÕES!N954,"")</f>
        <v/>
      </c>
      <c r="F954" s="6"/>
    </row>
    <row r="955" spans="2:6" ht="31.95" hidden="1" customHeight="1" x14ac:dyDescent="0.3">
      <c r="B955" s="6" t="str">
        <f ca="1">IF(AND(NEGOCIAÇÕES!P955="",NEGOCIAÇÕES!N955&lt;TODAY()),NEGOCIAÇÕES!C955,"")</f>
        <v/>
      </c>
      <c r="C955" s="6" t="str">
        <f ca="1">IF(AND(NEGOCIAÇÕES!P955="",NEGOCIAÇÕES!N955&lt;TODAY()),NEGOCIAÇÕES!E955,"")</f>
        <v/>
      </c>
      <c r="D955" s="6" t="str">
        <f ca="1">IF(AND(NEGOCIAÇÕES!P955="",NEGOCIAÇÕES!N955&lt;TODAY()),NEGOCIAÇÕES!D955,"")</f>
        <v/>
      </c>
      <c r="E955" s="9" t="str">
        <f ca="1">IF(AND(NEGOCIAÇÕES!P955="",NEGOCIAÇÕES!N955&lt;TODAY()),NEGOCIAÇÕES!N955,"")</f>
        <v/>
      </c>
      <c r="F955" s="6"/>
    </row>
    <row r="956" spans="2:6" ht="31.95" hidden="1" customHeight="1" x14ac:dyDescent="0.3">
      <c r="B956" s="6" t="str">
        <f ca="1">IF(AND(NEGOCIAÇÕES!P956="",NEGOCIAÇÕES!N956&lt;TODAY()),NEGOCIAÇÕES!C956,"")</f>
        <v/>
      </c>
      <c r="C956" s="6" t="str">
        <f ca="1">IF(AND(NEGOCIAÇÕES!P956="",NEGOCIAÇÕES!N956&lt;TODAY()),NEGOCIAÇÕES!E956,"")</f>
        <v/>
      </c>
      <c r="D956" s="6" t="str">
        <f ca="1">IF(AND(NEGOCIAÇÕES!P956="",NEGOCIAÇÕES!N956&lt;TODAY()),NEGOCIAÇÕES!D956,"")</f>
        <v/>
      </c>
      <c r="E956" s="9" t="str">
        <f ca="1">IF(AND(NEGOCIAÇÕES!P956="",NEGOCIAÇÕES!N956&lt;TODAY()),NEGOCIAÇÕES!N956,"")</f>
        <v/>
      </c>
      <c r="F956" s="6"/>
    </row>
    <row r="957" spans="2:6" ht="31.95" hidden="1" customHeight="1" x14ac:dyDescent="0.3">
      <c r="B957" s="6" t="str">
        <f ca="1">IF(AND(NEGOCIAÇÕES!P957="",NEGOCIAÇÕES!N957&lt;TODAY()),NEGOCIAÇÕES!C957,"")</f>
        <v/>
      </c>
      <c r="C957" s="6" t="str">
        <f ca="1">IF(AND(NEGOCIAÇÕES!P957="",NEGOCIAÇÕES!N957&lt;TODAY()),NEGOCIAÇÕES!E957,"")</f>
        <v/>
      </c>
      <c r="D957" s="6" t="str">
        <f ca="1">IF(AND(NEGOCIAÇÕES!P957="",NEGOCIAÇÕES!N957&lt;TODAY()),NEGOCIAÇÕES!D957,"")</f>
        <v/>
      </c>
      <c r="E957" s="9" t="str">
        <f ca="1">IF(AND(NEGOCIAÇÕES!P957="",NEGOCIAÇÕES!N957&lt;TODAY()),NEGOCIAÇÕES!N957,"")</f>
        <v/>
      </c>
      <c r="F957" s="6"/>
    </row>
    <row r="958" spans="2:6" ht="31.95" hidden="1" customHeight="1" x14ac:dyDescent="0.3">
      <c r="B958" s="6" t="str">
        <f ca="1">IF(AND(NEGOCIAÇÕES!P958="",NEGOCIAÇÕES!N958&lt;TODAY()),NEGOCIAÇÕES!C958,"")</f>
        <v/>
      </c>
      <c r="C958" s="6" t="str">
        <f ca="1">IF(AND(NEGOCIAÇÕES!P958="",NEGOCIAÇÕES!N958&lt;TODAY()),NEGOCIAÇÕES!E958,"")</f>
        <v/>
      </c>
      <c r="D958" s="6" t="str">
        <f ca="1">IF(AND(NEGOCIAÇÕES!P958="",NEGOCIAÇÕES!N958&lt;TODAY()),NEGOCIAÇÕES!D958,"")</f>
        <v/>
      </c>
      <c r="E958" s="9" t="str">
        <f ca="1">IF(AND(NEGOCIAÇÕES!P958="",NEGOCIAÇÕES!N958&lt;TODAY()),NEGOCIAÇÕES!N958,"")</f>
        <v/>
      </c>
      <c r="F958" s="6"/>
    </row>
    <row r="959" spans="2:6" ht="31.95" hidden="1" customHeight="1" x14ac:dyDescent="0.3">
      <c r="B959" s="6" t="str">
        <f ca="1">IF(AND(NEGOCIAÇÕES!P959="",NEGOCIAÇÕES!N959&lt;TODAY()),NEGOCIAÇÕES!C959,"")</f>
        <v/>
      </c>
      <c r="C959" s="6" t="str">
        <f ca="1">IF(AND(NEGOCIAÇÕES!P959="",NEGOCIAÇÕES!N959&lt;TODAY()),NEGOCIAÇÕES!E959,"")</f>
        <v/>
      </c>
      <c r="D959" s="6" t="str">
        <f ca="1">IF(AND(NEGOCIAÇÕES!P959="",NEGOCIAÇÕES!N959&lt;TODAY()),NEGOCIAÇÕES!D959,"")</f>
        <v/>
      </c>
      <c r="E959" s="9" t="str">
        <f ca="1">IF(AND(NEGOCIAÇÕES!P959="",NEGOCIAÇÕES!N959&lt;TODAY()),NEGOCIAÇÕES!N959,"")</f>
        <v/>
      </c>
      <c r="F959" s="6"/>
    </row>
    <row r="960" spans="2:6" ht="31.95" hidden="1" customHeight="1" x14ac:dyDescent="0.3">
      <c r="B960" s="6" t="str">
        <f ca="1">IF(AND(NEGOCIAÇÕES!P960="",NEGOCIAÇÕES!N960&lt;TODAY()),NEGOCIAÇÕES!C960,"")</f>
        <v/>
      </c>
      <c r="C960" s="6" t="str">
        <f ca="1">IF(AND(NEGOCIAÇÕES!P960="",NEGOCIAÇÕES!N960&lt;TODAY()),NEGOCIAÇÕES!E960,"")</f>
        <v/>
      </c>
      <c r="D960" s="6" t="str">
        <f ca="1">IF(AND(NEGOCIAÇÕES!P960="",NEGOCIAÇÕES!N960&lt;TODAY()),NEGOCIAÇÕES!D960,"")</f>
        <v/>
      </c>
      <c r="E960" s="9" t="str">
        <f ca="1">IF(AND(NEGOCIAÇÕES!P960="",NEGOCIAÇÕES!N960&lt;TODAY()),NEGOCIAÇÕES!N960,"")</f>
        <v/>
      </c>
      <c r="F960" s="6"/>
    </row>
    <row r="961" spans="2:6" ht="31.95" hidden="1" customHeight="1" x14ac:dyDescent="0.3">
      <c r="B961" s="6" t="str">
        <f ca="1">IF(AND(NEGOCIAÇÕES!P961="",NEGOCIAÇÕES!N961&lt;TODAY()),NEGOCIAÇÕES!C961,"")</f>
        <v/>
      </c>
      <c r="C961" s="6" t="str">
        <f ca="1">IF(AND(NEGOCIAÇÕES!P961="",NEGOCIAÇÕES!N961&lt;TODAY()),NEGOCIAÇÕES!E961,"")</f>
        <v/>
      </c>
      <c r="D961" s="6" t="str">
        <f ca="1">IF(AND(NEGOCIAÇÕES!P961="",NEGOCIAÇÕES!N961&lt;TODAY()),NEGOCIAÇÕES!D961,"")</f>
        <v/>
      </c>
      <c r="E961" s="9" t="str">
        <f ca="1">IF(AND(NEGOCIAÇÕES!P961="",NEGOCIAÇÕES!N961&lt;TODAY()),NEGOCIAÇÕES!N961,"")</f>
        <v/>
      </c>
      <c r="F961" s="6"/>
    </row>
    <row r="962" spans="2:6" ht="31.95" hidden="1" customHeight="1" x14ac:dyDescent="0.3">
      <c r="B962" s="6" t="str">
        <f ca="1">IF(AND(NEGOCIAÇÕES!P962="",NEGOCIAÇÕES!N962&lt;TODAY()),NEGOCIAÇÕES!C962,"")</f>
        <v/>
      </c>
      <c r="C962" s="6" t="str">
        <f ca="1">IF(AND(NEGOCIAÇÕES!P962="",NEGOCIAÇÕES!N962&lt;TODAY()),NEGOCIAÇÕES!E962,"")</f>
        <v/>
      </c>
      <c r="D962" s="6" t="str">
        <f ca="1">IF(AND(NEGOCIAÇÕES!P962="",NEGOCIAÇÕES!N962&lt;TODAY()),NEGOCIAÇÕES!D962,"")</f>
        <v/>
      </c>
      <c r="E962" s="9" t="str">
        <f ca="1">IF(AND(NEGOCIAÇÕES!P962="",NEGOCIAÇÕES!N962&lt;TODAY()),NEGOCIAÇÕES!N962,"")</f>
        <v/>
      </c>
      <c r="F962" s="6"/>
    </row>
    <row r="963" spans="2:6" ht="31.95" hidden="1" customHeight="1" x14ac:dyDescent="0.3">
      <c r="B963" s="6" t="str">
        <f ca="1">IF(AND(NEGOCIAÇÕES!P963="",NEGOCIAÇÕES!N963&lt;TODAY()),NEGOCIAÇÕES!C963,"")</f>
        <v/>
      </c>
      <c r="C963" s="6" t="str">
        <f ca="1">IF(AND(NEGOCIAÇÕES!P963="",NEGOCIAÇÕES!N963&lt;TODAY()),NEGOCIAÇÕES!E963,"")</f>
        <v/>
      </c>
      <c r="D963" s="6" t="str">
        <f ca="1">IF(AND(NEGOCIAÇÕES!P963="",NEGOCIAÇÕES!N963&lt;TODAY()),NEGOCIAÇÕES!D963,"")</f>
        <v/>
      </c>
      <c r="E963" s="9" t="str">
        <f ca="1">IF(AND(NEGOCIAÇÕES!P963="",NEGOCIAÇÕES!N963&lt;TODAY()),NEGOCIAÇÕES!N963,"")</f>
        <v/>
      </c>
      <c r="F963" s="6"/>
    </row>
    <row r="964" spans="2:6" ht="31.95" hidden="1" customHeight="1" x14ac:dyDescent="0.3">
      <c r="B964" s="6" t="str">
        <f ca="1">IF(AND(NEGOCIAÇÕES!P964="",NEGOCIAÇÕES!N964&lt;TODAY()),NEGOCIAÇÕES!C964,"")</f>
        <v/>
      </c>
      <c r="C964" s="6" t="str">
        <f ca="1">IF(AND(NEGOCIAÇÕES!P964="",NEGOCIAÇÕES!N964&lt;TODAY()),NEGOCIAÇÕES!E964,"")</f>
        <v/>
      </c>
      <c r="D964" s="6" t="str">
        <f ca="1">IF(AND(NEGOCIAÇÕES!P964="",NEGOCIAÇÕES!N964&lt;TODAY()),NEGOCIAÇÕES!D964,"")</f>
        <v/>
      </c>
      <c r="E964" s="9" t="str">
        <f ca="1">IF(AND(NEGOCIAÇÕES!P964="",NEGOCIAÇÕES!N964&lt;TODAY()),NEGOCIAÇÕES!N964,"")</f>
        <v/>
      </c>
      <c r="F964" s="6"/>
    </row>
    <row r="965" spans="2:6" ht="31.95" hidden="1" customHeight="1" x14ac:dyDescent="0.3">
      <c r="B965" s="6" t="str">
        <f ca="1">IF(AND(NEGOCIAÇÕES!P965="",NEGOCIAÇÕES!N965&lt;TODAY()),NEGOCIAÇÕES!C965,"")</f>
        <v/>
      </c>
      <c r="C965" s="6" t="str">
        <f ca="1">IF(AND(NEGOCIAÇÕES!P965="",NEGOCIAÇÕES!N965&lt;TODAY()),NEGOCIAÇÕES!E965,"")</f>
        <v/>
      </c>
      <c r="D965" s="6" t="str">
        <f ca="1">IF(AND(NEGOCIAÇÕES!P965="",NEGOCIAÇÕES!N965&lt;TODAY()),NEGOCIAÇÕES!D965,"")</f>
        <v/>
      </c>
      <c r="E965" s="9" t="str">
        <f ca="1">IF(AND(NEGOCIAÇÕES!P965="",NEGOCIAÇÕES!N965&lt;TODAY()),NEGOCIAÇÕES!N965,"")</f>
        <v/>
      </c>
      <c r="F965" s="6"/>
    </row>
    <row r="966" spans="2:6" ht="31.95" hidden="1" customHeight="1" x14ac:dyDescent="0.3">
      <c r="B966" s="6" t="str">
        <f ca="1">IF(AND(NEGOCIAÇÕES!P966="",NEGOCIAÇÕES!N966&lt;TODAY()),NEGOCIAÇÕES!C966,"")</f>
        <v/>
      </c>
      <c r="C966" s="6" t="str">
        <f ca="1">IF(AND(NEGOCIAÇÕES!P966="",NEGOCIAÇÕES!N966&lt;TODAY()),NEGOCIAÇÕES!E966,"")</f>
        <v/>
      </c>
      <c r="D966" s="6" t="str">
        <f ca="1">IF(AND(NEGOCIAÇÕES!P966="",NEGOCIAÇÕES!N966&lt;TODAY()),NEGOCIAÇÕES!D966,"")</f>
        <v/>
      </c>
      <c r="E966" s="9" t="str">
        <f ca="1">IF(AND(NEGOCIAÇÕES!P966="",NEGOCIAÇÕES!N966&lt;TODAY()),NEGOCIAÇÕES!N966,"")</f>
        <v/>
      </c>
      <c r="F966" s="6"/>
    </row>
    <row r="967" spans="2:6" ht="31.95" hidden="1" customHeight="1" x14ac:dyDescent="0.3">
      <c r="B967" s="6" t="str">
        <f ca="1">IF(AND(NEGOCIAÇÕES!P967="",NEGOCIAÇÕES!N967&lt;TODAY()),NEGOCIAÇÕES!C967,"")</f>
        <v/>
      </c>
      <c r="C967" s="6" t="str">
        <f ca="1">IF(AND(NEGOCIAÇÕES!P967="",NEGOCIAÇÕES!N967&lt;TODAY()),NEGOCIAÇÕES!E967,"")</f>
        <v/>
      </c>
      <c r="D967" s="6" t="str">
        <f ca="1">IF(AND(NEGOCIAÇÕES!P967="",NEGOCIAÇÕES!N967&lt;TODAY()),NEGOCIAÇÕES!D967,"")</f>
        <v/>
      </c>
      <c r="E967" s="9" t="str">
        <f ca="1">IF(AND(NEGOCIAÇÕES!P967="",NEGOCIAÇÕES!N967&lt;TODAY()),NEGOCIAÇÕES!N967,"")</f>
        <v/>
      </c>
      <c r="F967" s="6"/>
    </row>
    <row r="968" spans="2:6" ht="31.95" hidden="1" customHeight="1" x14ac:dyDescent="0.3">
      <c r="B968" s="6" t="str">
        <f ca="1">IF(AND(NEGOCIAÇÕES!P968="",NEGOCIAÇÕES!N968&lt;TODAY()),NEGOCIAÇÕES!C968,"")</f>
        <v/>
      </c>
      <c r="C968" s="6" t="str">
        <f ca="1">IF(AND(NEGOCIAÇÕES!P968="",NEGOCIAÇÕES!N968&lt;TODAY()),NEGOCIAÇÕES!E968,"")</f>
        <v/>
      </c>
      <c r="D968" s="6" t="str">
        <f ca="1">IF(AND(NEGOCIAÇÕES!P968="",NEGOCIAÇÕES!N968&lt;TODAY()),NEGOCIAÇÕES!D968,"")</f>
        <v/>
      </c>
      <c r="E968" s="9" t="str">
        <f ca="1">IF(AND(NEGOCIAÇÕES!P968="",NEGOCIAÇÕES!N968&lt;TODAY()),NEGOCIAÇÕES!N968,"")</f>
        <v/>
      </c>
      <c r="F968" s="6"/>
    </row>
    <row r="969" spans="2:6" ht="31.95" hidden="1" customHeight="1" x14ac:dyDescent="0.3">
      <c r="B969" s="6" t="str">
        <f ca="1">IF(AND(NEGOCIAÇÕES!P969="",NEGOCIAÇÕES!N969&lt;TODAY()),NEGOCIAÇÕES!C969,"")</f>
        <v/>
      </c>
      <c r="C969" s="6" t="str">
        <f ca="1">IF(AND(NEGOCIAÇÕES!P969="",NEGOCIAÇÕES!N969&lt;TODAY()),NEGOCIAÇÕES!E969,"")</f>
        <v/>
      </c>
      <c r="D969" s="6" t="str">
        <f ca="1">IF(AND(NEGOCIAÇÕES!P969="",NEGOCIAÇÕES!N969&lt;TODAY()),NEGOCIAÇÕES!D969,"")</f>
        <v/>
      </c>
      <c r="E969" s="9" t="str">
        <f ca="1">IF(AND(NEGOCIAÇÕES!P969="",NEGOCIAÇÕES!N969&lt;TODAY()),NEGOCIAÇÕES!N969,"")</f>
        <v/>
      </c>
      <c r="F969" s="6"/>
    </row>
    <row r="970" spans="2:6" ht="31.95" hidden="1" customHeight="1" x14ac:dyDescent="0.3">
      <c r="B970" s="6" t="str">
        <f ca="1">IF(AND(NEGOCIAÇÕES!P970="",NEGOCIAÇÕES!N970&lt;TODAY()),NEGOCIAÇÕES!C970,"")</f>
        <v/>
      </c>
      <c r="C970" s="6" t="str">
        <f ca="1">IF(AND(NEGOCIAÇÕES!P970="",NEGOCIAÇÕES!N970&lt;TODAY()),NEGOCIAÇÕES!E970,"")</f>
        <v/>
      </c>
      <c r="D970" s="6" t="str">
        <f ca="1">IF(AND(NEGOCIAÇÕES!P970="",NEGOCIAÇÕES!N970&lt;TODAY()),NEGOCIAÇÕES!D970,"")</f>
        <v/>
      </c>
      <c r="E970" s="9" t="str">
        <f ca="1">IF(AND(NEGOCIAÇÕES!P970="",NEGOCIAÇÕES!N970&lt;TODAY()),NEGOCIAÇÕES!N970,"")</f>
        <v/>
      </c>
      <c r="F970" s="6"/>
    </row>
    <row r="971" spans="2:6" ht="31.95" hidden="1" customHeight="1" x14ac:dyDescent="0.3">
      <c r="B971" s="6" t="str">
        <f ca="1">IF(AND(NEGOCIAÇÕES!P971="",NEGOCIAÇÕES!N971&lt;TODAY()),NEGOCIAÇÕES!C971,"")</f>
        <v/>
      </c>
      <c r="C971" s="6" t="str">
        <f ca="1">IF(AND(NEGOCIAÇÕES!P971="",NEGOCIAÇÕES!N971&lt;TODAY()),NEGOCIAÇÕES!E971,"")</f>
        <v/>
      </c>
      <c r="D971" s="6" t="str">
        <f ca="1">IF(AND(NEGOCIAÇÕES!P971="",NEGOCIAÇÕES!N971&lt;TODAY()),NEGOCIAÇÕES!D971,"")</f>
        <v/>
      </c>
      <c r="E971" s="9" t="str">
        <f ca="1">IF(AND(NEGOCIAÇÕES!P971="",NEGOCIAÇÕES!N971&lt;TODAY()),NEGOCIAÇÕES!N971,"")</f>
        <v/>
      </c>
      <c r="F971" s="6"/>
    </row>
    <row r="972" spans="2:6" ht="31.95" hidden="1" customHeight="1" x14ac:dyDescent="0.3">
      <c r="B972" s="6" t="str">
        <f ca="1">IF(AND(NEGOCIAÇÕES!P972="",NEGOCIAÇÕES!N972&lt;TODAY()),NEGOCIAÇÕES!C972,"")</f>
        <v/>
      </c>
      <c r="C972" s="6" t="str">
        <f ca="1">IF(AND(NEGOCIAÇÕES!P972="",NEGOCIAÇÕES!N972&lt;TODAY()),NEGOCIAÇÕES!E972,"")</f>
        <v/>
      </c>
      <c r="D972" s="6" t="str">
        <f ca="1">IF(AND(NEGOCIAÇÕES!P972="",NEGOCIAÇÕES!N972&lt;TODAY()),NEGOCIAÇÕES!D972,"")</f>
        <v/>
      </c>
      <c r="E972" s="9" t="str">
        <f ca="1">IF(AND(NEGOCIAÇÕES!P972="",NEGOCIAÇÕES!N972&lt;TODAY()),NEGOCIAÇÕES!N972,"")</f>
        <v/>
      </c>
      <c r="F972" s="6"/>
    </row>
    <row r="973" spans="2:6" ht="31.95" hidden="1" customHeight="1" x14ac:dyDescent="0.3">
      <c r="B973" s="6" t="str">
        <f ca="1">IF(AND(NEGOCIAÇÕES!P973="",NEGOCIAÇÕES!N973&lt;TODAY()),NEGOCIAÇÕES!C973,"")</f>
        <v/>
      </c>
      <c r="C973" s="6" t="str">
        <f ca="1">IF(AND(NEGOCIAÇÕES!P973="",NEGOCIAÇÕES!N973&lt;TODAY()),NEGOCIAÇÕES!E973,"")</f>
        <v/>
      </c>
      <c r="D973" s="6" t="str">
        <f ca="1">IF(AND(NEGOCIAÇÕES!P973="",NEGOCIAÇÕES!N973&lt;TODAY()),NEGOCIAÇÕES!D973,"")</f>
        <v/>
      </c>
      <c r="E973" s="9" t="str">
        <f ca="1">IF(AND(NEGOCIAÇÕES!P973="",NEGOCIAÇÕES!N973&lt;TODAY()),NEGOCIAÇÕES!N973,"")</f>
        <v/>
      </c>
      <c r="F973" s="6"/>
    </row>
    <row r="974" spans="2:6" ht="31.95" hidden="1" customHeight="1" x14ac:dyDescent="0.3">
      <c r="B974" s="6" t="str">
        <f ca="1">IF(AND(NEGOCIAÇÕES!P974="",NEGOCIAÇÕES!N974&lt;TODAY()),NEGOCIAÇÕES!C974,"")</f>
        <v/>
      </c>
      <c r="C974" s="6" t="str">
        <f ca="1">IF(AND(NEGOCIAÇÕES!P974="",NEGOCIAÇÕES!N974&lt;TODAY()),NEGOCIAÇÕES!E974,"")</f>
        <v/>
      </c>
      <c r="D974" s="6" t="str">
        <f ca="1">IF(AND(NEGOCIAÇÕES!P974="",NEGOCIAÇÕES!N974&lt;TODAY()),NEGOCIAÇÕES!D974,"")</f>
        <v/>
      </c>
      <c r="E974" s="9" t="str">
        <f ca="1">IF(AND(NEGOCIAÇÕES!P974="",NEGOCIAÇÕES!N974&lt;TODAY()),NEGOCIAÇÕES!N974,"")</f>
        <v/>
      </c>
      <c r="F974" s="6"/>
    </row>
    <row r="975" spans="2:6" ht="31.95" hidden="1" customHeight="1" x14ac:dyDescent="0.3">
      <c r="B975" s="6" t="str">
        <f ca="1">IF(AND(NEGOCIAÇÕES!P975="",NEGOCIAÇÕES!N975&lt;TODAY()),NEGOCIAÇÕES!C975,"")</f>
        <v/>
      </c>
      <c r="C975" s="6" t="str">
        <f ca="1">IF(AND(NEGOCIAÇÕES!P975="",NEGOCIAÇÕES!N975&lt;TODAY()),NEGOCIAÇÕES!E975,"")</f>
        <v/>
      </c>
      <c r="D975" s="6" t="str">
        <f ca="1">IF(AND(NEGOCIAÇÕES!P975="",NEGOCIAÇÕES!N975&lt;TODAY()),NEGOCIAÇÕES!D975,"")</f>
        <v/>
      </c>
      <c r="E975" s="9" t="str">
        <f ca="1">IF(AND(NEGOCIAÇÕES!P975="",NEGOCIAÇÕES!N975&lt;TODAY()),NEGOCIAÇÕES!N975,"")</f>
        <v/>
      </c>
      <c r="F975" s="6"/>
    </row>
    <row r="976" spans="2:6" ht="31.95" hidden="1" customHeight="1" x14ac:dyDescent="0.3">
      <c r="B976" s="6" t="str">
        <f ca="1">IF(AND(NEGOCIAÇÕES!P976="",NEGOCIAÇÕES!N976&lt;TODAY()),NEGOCIAÇÕES!C976,"")</f>
        <v/>
      </c>
      <c r="C976" s="6" t="str">
        <f ca="1">IF(AND(NEGOCIAÇÕES!P976="",NEGOCIAÇÕES!N976&lt;TODAY()),NEGOCIAÇÕES!E976,"")</f>
        <v/>
      </c>
      <c r="D976" s="6" t="str">
        <f ca="1">IF(AND(NEGOCIAÇÕES!P976="",NEGOCIAÇÕES!N976&lt;TODAY()),NEGOCIAÇÕES!D976,"")</f>
        <v/>
      </c>
      <c r="E976" s="9" t="str">
        <f ca="1">IF(AND(NEGOCIAÇÕES!P976="",NEGOCIAÇÕES!N976&lt;TODAY()),NEGOCIAÇÕES!N976,"")</f>
        <v/>
      </c>
      <c r="F976" s="6"/>
    </row>
    <row r="977" spans="2:6" ht="31.95" hidden="1" customHeight="1" x14ac:dyDescent="0.3">
      <c r="B977" s="6" t="str">
        <f ca="1">IF(AND(NEGOCIAÇÕES!P977="",NEGOCIAÇÕES!N977&lt;TODAY()),NEGOCIAÇÕES!C977,"")</f>
        <v/>
      </c>
      <c r="C977" s="6" t="str">
        <f ca="1">IF(AND(NEGOCIAÇÕES!P977="",NEGOCIAÇÕES!N977&lt;TODAY()),NEGOCIAÇÕES!E977,"")</f>
        <v/>
      </c>
      <c r="D977" s="6" t="str">
        <f ca="1">IF(AND(NEGOCIAÇÕES!P977="",NEGOCIAÇÕES!N977&lt;TODAY()),NEGOCIAÇÕES!D977,"")</f>
        <v/>
      </c>
      <c r="E977" s="9" t="str">
        <f ca="1">IF(AND(NEGOCIAÇÕES!P977="",NEGOCIAÇÕES!N977&lt;TODAY()),NEGOCIAÇÕES!N977,"")</f>
        <v/>
      </c>
      <c r="F977" s="6"/>
    </row>
    <row r="978" spans="2:6" ht="31.95" hidden="1" customHeight="1" x14ac:dyDescent="0.3">
      <c r="B978" s="6" t="str">
        <f ca="1">IF(AND(NEGOCIAÇÕES!P978="",NEGOCIAÇÕES!N978&lt;TODAY()),NEGOCIAÇÕES!C978,"")</f>
        <v/>
      </c>
      <c r="C978" s="6" t="str">
        <f ca="1">IF(AND(NEGOCIAÇÕES!P978="",NEGOCIAÇÕES!N978&lt;TODAY()),NEGOCIAÇÕES!E978,"")</f>
        <v/>
      </c>
      <c r="D978" s="6" t="str">
        <f ca="1">IF(AND(NEGOCIAÇÕES!P978="",NEGOCIAÇÕES!N978&lt;TODAY()),NEGOCIAÇÕES!D978,"")</f>
        <v/>
      </c>
      <c r="E978" s="9" t="str">
        <f ca="1">IF(AND(NEGOCIAÇÕES!P978="",NEGOCIAÇÕES!N978&lt;TODAY()),NEGOCIAÇÕES!N978,"")</f>
        <v/>
      </c>
      <c r="F978" s="6"/>
    </row>
    <row r="979" spans="2:6" ht="31.95" hidden="1" customHeight="1" x14ac:dyDescent="0.3">
      <c r="B979" s="6" t="str">
        <f ca="1">IF(AND(NEGOCIAÇÕES!P979="",NEGOCIAÇÕES!N979&lt;TODAY()),NEGOCIAÇÕES!C979,"")</f>
        <v/>
      </c>
      <c r="C979" s="6" t="str">
        <f ca="1">IF(AND(NEGOCIAÇÕES!P979="",NEGOCIAÇÕES!N979&lt;TODAY()),NEGOCIAÇÕES!E979,"")</f>
        <v/>
      </c>
      <c r="D979" s="6" t="str">
        <f ca="1">IF(AND(NEGOCIAÇÕES!P979="",NEGOCIAÇÕES!N979&lt;TODAY()),NEGOCIAÇÕES!D979,"")</f>
        <v/>
      </c>
      <c r="E979" s="9" t="str">
        <f ca="1">IF(AND(NEGOCIAÇÕES!P979="",NEGOCIAÇÕES!N979&lt;TODAY()),NEGOCIAÇÕES!N979,"")</f>
        <v/>
      </c>
      <c r="F979" s="6"/>
    </row>
    <row r="980" spans="2:6" ht="31.95" hidden="1" customHeight="1" x14ac:dyDescent="0.3">
      <c r="B980" s="6" t="str">
        <f ca="1">IF(AND(NEGOCIAÇÕES!P980="",NEGOCIAÇÕES!N980&lt;TODAY()),NEGOCIAÇÕES!C980,"")</f>
        <v/>
      </c>
      <c r="C980" s="6" t="str">
        <f ca="1">IF(AND(NEGOCIAÇÕES!P980="",NEGOCIAÇÕES!N980&lt;TODAY()),NEGOCIAÇÕES!E980,"")</f>
        <v/>
      </c>
      <c r="D980" s="6" t="str">
        <f ca="1">IF(AND(NEGOCIAÇÕES!P980="",NEGOCIAÇÕES!N980&lt;TODAY()),NEGOCIAÇÕES!D980,"")</f>
        <v/>
      </c>
      <c r="E980" s="9" t="str">
        <f ca="1">IF(AND(NEGOCIAÇÕES!P980="",NEGOCIAÇÕES!N980&lt;TODAY()),NEGOCIAÇÕES!N980,"")</f>
        <v/>
      </c>
      <c r="F980" s="6"/>
    </row>
    <row r="981" spans="2:6" ht="31.95" hidden="1" customHeight="1" x14ac:dyDescent="0.3">
      <c r="B981" s="6" t="str">
        <f ca="1">IF(AND(NEGOCIAÇÕES!P981="",NEGOCIAÇÕES!N981&lt;TODAY()),NEGOCIAÇÕES!C981,"")</f>
        <v/>
      </c>
      <c r="C981" s="6" t="str">
        <f ca="1">IF(AND(NEGOCIAÇÕES!P981="",NEGOCIAÇÕES!N981&lt;TODAY()),NEGOCIAÇÕES!E981,"")</f>
        <v/>
      </c>
      <c r="D981" s="6" t="str">
        <f ca="1">IF(AND(NEGOCIAÇÕES!P981="",NEGOCIAÇÕES!N981&lt;TODAY()),NEGOCIAÇÕES!D981,"")</f>
        <v/>
      </c>
      <c r="E981" s="9" t="str">
        <f ca="1">IF(AND(NEGOCIAÇÕES!P981="",NEGOCIAÇÕES!N981&lt;TODAY()),NEGOCIAÇÕES!N981,"")</f>
        <v/>
      </c>
      <c r="F981" s="6"/>
    </row>
    <row r="982" spans="2:6" ht="31.95" hidden="1" customHeight="1" x14ac:dyDescent="0.3">
      <c r="B982" s="6" t="str">
        <f ca="1">IF(AND(NEGOCIAÇÕES!P982="",NEGOCIAÇÕES!N982&lt;TODAY()),NEGOCIAÇÕES!C982,"")</f>
        <v/>
      </c>
      <c r="C982" s="6" t="str">
        <f ca="1">IF(AND(NEGOCIAÇÕES!P982="",NEGOCIAÇÕES!N982&lt;TODAY()),NEGOCIAÇÕES!E982,"")</f>
        <v/>
      </c>
      <c r="D982" s="6" t="str">
        <f ca="1">IF(AND(NEGOCIAÇÕES!P982="",NEGOCIAÇÕES!N982&lt;TODAY()),NEGOCIAÇÕES!D982,"")</f>
        <v/>
      </c>
      <c r="E982" s="9" t="str">
        <f ca="1">IF(AND(NEGOCIAÇÕES!P982="",NEGOCIAÇÕES!N982&lt;TODAY()),NEGOCIAÇÕES!N982,"")</f>
        <v/>
      </c>
      <c r="F982" s="6"/>
    </row>
    <row r="983" spans="2:6" ht="31.95" hidden="1" customHeight="1" x14ac:dyDescent="0.3">
      <c r="B983" s="6" t="str">
        <f ca="1">IF(AND(NEGOCIAÇÕES!P983="",NEGOCIAÇÕES!N983&lt;TODAY()),NEGOCIAÇÕES!C983,"")</f>
        <v/>
      </c>
      <c r="C983" s="6" t="str">
        <f ca="1">IF(AND(NEGOCIAÇÕES!P983="",NEGOCIAÇÕES!N983&lt;TODAY()),NEGOCIAÇÕES!E983,"")</f>
        <v/>
      </c>
      <c r="D983" s="6" t="str">
        <f ca="1">IF(AND(NEGOCIAÇÕES!P983="",NEGOCIAÇÕES!N983&lt;TODAY()),NEGOCIAÇÕES!D983,"")</f>
        <v/>
      </c>
      <c r="E983" s="9" t="str">
        <f ca="1">IF(AND(NEGOCIAÇÕES!P983="",NEGOCIAÇÕES!N983&lt;TODAY()),NEGOCIAÇÕES!N983,"")</f>
        <v/>
      </c>
      <c r="F983" s="6"/>
    </row>
    <row r="984" spans="2:6" ht="31.95" hidden="1" customHeight="1" x14ac:dyDescent="0.3">
      <c r="B984" s="6" t="str">
        <f ca="1">IF(AND(NEGOCIAÇÕES!P984="",NEGOCIAÇÕES!N984&lt;TODAY()),NEGOCIAÇÕES!C984,"")</f>
        <v/>
      </c>
      <c r="C984" s="6" t="str">
        <f ca="1">IF(AND(NEGOCIAÇÕES!P984="",NEGOCIAÇÕES!N984&lt;TODAY()),NEGOCIAÇÕES!E984,"")</f>
        <v/>
      </c>
      <c r="D984" s="6" t="str">
        <f ca="1">IF(AND(NEGOCIAÇÕES!P984="",NEGOCIAÇÕES!N984&lt;TODAY()),NEGOCIAÇÕES!D984,"")</f>
        <v/>
      </c>
      <c r="E984" s="9" t="str">
        <f ca="1">IF(AND(NEGOCIAÇÕES!P984="",NEGOCIAÇÕES!N984&lt;TODAY()),NEGOCIAÇÕES!N984,"")</f>
        <v/>
      </c>
      <c r="F984" s="6"/>
    </row>
    <row r="985" spans="2:6" ht="31.95" hidden="1" customHeight="1" x14ac:dyDescent="0.3">
      <c r="B985" s="6" t="str">
        <f ca="1">IF(AND(NEGOCIAÇÕES!P985="",NEGOCIAÇÕES!N985&lt;TODAY()),NEGOCIAÇÕES!C985,"")</f>
        <v/>
      </c>
      <c r="C985" s="6" t="str">
        <f ca="1">IF(AND(NEGOCIAÇÕES!P985="",NEGOCIAÇÕES!N985&lt;TODAY()),NEGOCIAÇÕES!E985,"")</f>
        <v/>
      </c>
      <c r="D985" s="6" t="str">
        <f ca="1">IF(AND(NEGOCIAÇÕES!P985="",NEGOCIAÇÕES!N985&lt;TODAY()),NEGOCIAÇÕES!D985,"")</f>
        <v/>
      </c>
      <c r="E985" s="9" t="str">
        <f ca="1">IF(AND(NEGOCIAÇÕES!P985="",NEGOCIAÇÕES!N985&lt;TODAY()),NEGOCIAÇÕES!N985,"")</f>
        <v/>
      </c>
      <c r="F985" s="6"/>
    </row>
    <row r="986" spans="2:6" ht="31.95" hidden="1" customHeight="1" x14ac:dyDescent="0.3">
      <c r="B986" s="6" t="str">
        <f ca="1">IF(AND(NEGOCIAÇÕES!P986="",NEGOCIAÇÕES!N986&lt;TODAY()),NEGOCIAÇÕES!C986,"")</f>
        <v/>
      </c>
      <c r="C986" s="6" t="str">
        <f ca="1">IF(AND(NEGOCIAÇÕES!P986="",NEGOCIAÇÕES!N986&lt;TODAY()),NEGOCIAÇÕES!E986,"")</f>
        <v/>
      </c>
      <c r="D986" s="6" t="str">
        <f ca="1">IF(AND(NEGOCIAÇÕES!P986="",NEGOCIAÇÕES!N986&lt;TODAY()),NEGOCIAÇÕES!D986,"")</f>
        <v/>
      </c>
      <c r="E986" s="9" t="str">
        <f ca="1">IF(AND(NEGOCIAÇÕES!P986="",NEGOCIAÇÕES!N986&lt;TODAY()),NEGOCIAÇÕES!N986,"")</f>
        <v/>
      </c>
      <c r="F986" s="6"/>
    </row>
    <row r="987" spans="2:6" ht="31.95" hidden="1" customHeight="1" x14ac:dyDescent="0.3">
      <c r="B987" s="6" t="str">
        <f ca="1">IF(AND(NEGOCIAÇÕES!P987="",NEGOCIAÇÕES!N987&lt;TODAY()),NEGOCIAÇÕES!C987,"")</f>
        <v/>
      </c>
      <c r="C987" s="6" t="str">
        <f ca="1">IF(AND(NEGOCIAÇÕES!P987="",NEGOCIAÇÕES!N987&lt;TODAY()),NEGOCIAÇÕES!E987,"")</f>
        <v/>
      </c>
      <c r="D987" s="6" t="str">
        <f ca="1">IF(AND(NEGOCIAÇÕES!P987="",NEGOCIAÇÕES!N987&lt;TODAY()),NEGOCIAÇÕES!D987,"")</f>
        <v/>
      </c>
      <c r="E987" s="9" t="str">
        <f ca="1">IF(AND(NEGOCIAÇÕES!P987="",NEGOCIAÇÕES!N987&lt;TODAY()),NEGOCIAÇÕES!N987,"")</f>
        <v/>
      </c>
      <c r="F987" s="6"/>
    </row>
    <row r="988" spans="2:6" ht="31.95" hidden="1" customHeight="1" x14ac:dyDescent="0.3">
      <c r="B988" s="6" t="str">
        <f ca="1">IF(AND(NEGOCIAÇÕES!P988="",NEGOCIAÇÕES!N988&lt;TODAY()),NEGOCIAÇÕES!C988,"")</f>
        <v/>
      </c>
      <c r="C988" s="6" t="str">
        <f ca="1">IF(AND(NEGOCIAÇÕES!P988="",NEGOCIAÇÕES!N988&lt;TODAY()),NEGOCIAÇÕES!E988,"")</f>
        <v/>
      </c>
      <c r="D988" s="6" t="str">
        <f ca="1">IF(AND(NEGOCIAÇÕES!P988="",NEGOCIAÇÕES!N988&lt;TODAY()),NEGOCIAÇÕES!D988,"")</f>
        <v/>
      </c>
      <c r="E988" s="9" t="str">
        <f ca="1">IF(AND(NEGOCIAÇÕES!P988="",NEGOCIAÇÕES!N988&lt;TODAY()),NEGOCIAÇÕES!N988,"")</f>
        <v/>
      </c>
      <c r="F988" s="6"/>
    </row>
    <row r="989" spans="2:6" ht="31.95" hidden="1" customHeight="1" x14ac:dyDescent="0.3">
      <c r="B989" s="6" t="str">
        <f ca="1">IF(AND(NEGOCIAÇÕES!P989="",NEGOCIAÇÕES!N989&lt;TODAY()),NEGOCIAÇÕES!C989,"")</f>
        <v/>
      </c>
      <c r="C989" s="6" t="str">
        <f ca="1">IF(AND(NEGOCIAÇÕES!P989="",NEGOCIAÇÕES!N989&lt;TODAY()),NEGOCIAÇÕES!E989,"")</f>
        <v/>
      </c>
      <c r="D989" s="6" t="str">
        <f ca="1">IF(AND(NEGOCIAÇÕES!P989="",NEGOCIAÇÕES!N989&lt;TODAY()),NEGOCIAÇÕES!D989,"")</f>
        <v/>
      </c>
      <c r="E989" s="9" t="str">
        <f ca="1">IF(AND(NEGOCIAÇÕES!P989="",NEGOCIAÇÕES!N989&lt;TODAY()),NEGOCIAÇÕES!N989,"")</f>
        <v/>
      </c>
      <c r="F989" s="6"/>
    </row>
    <row r="990" spans="2:6" ht="31.95" hidden="1" customHeight="1" x14ac:dyDescent="0.3">
      <c r="B990" s="6" t="str">
        <f ca="1">IF(AND(NEGOCIAÇÕES!P990="",NEGOCIAÇÕES!N990&lt;TODAY()),NEGOCIAÇÕES!C990,"")</f>
        <v/>
      </c>
      <c r="C990" s="6" t="str">
        <f ca="1">IF(AND(NEGOCIAÇÕES!P990="",NEGOCIAÇÕES!N990&lt;TODAY()),NEGOCIAÇÕES!E990,"")</f>
        <v/>
      </c>
      <c r="D990" s="6" t="str">
        <f ca="1">IF(AND(NEGOCIAÇÕES!P990="",NEGOCIAÇÕES!N990&lt;TODAY()),NEGOCIAÇÕES!D990,"")</f>
        <v/>
      </c>
      <c r="E990" s="9" t="str">
        <f ca="1">IF(AND(NEGOCIAÇÕES!P990="",NEGOCIAÇÕES!N990&lt;TODAY()),NEGOCIAÇÕES!N990,"")</f>
        <v/>
      </c>
      <c r="F990" s="6"/>
    </row>
    <row r="991" spans="2:6" ht="31.95" hidden="1" customHeight="1" x14ac:dyDescent="0.3">
      <c r="B991" s="6" t="str">
        <f ca="1">IF(AND(NEGOCIAÇÕES!P991="",NEGOCIAÇÕES!N991&lt;TODAY()),NEGOCIAÇÕES!C991,"")</f>
        <v/>
      </c>
      <c r="C991" s="6" t="str">
        <f ca="1">IF(AND(NEGOCIAÇÕES!P991="",NEGOCIAÇÕES!N991&lt;TODAY()),NEGOCIAÇÕES!E991,"")</f>
        <v/>
      </c>
      <c r="D991" s="6" t="str">
        <f ca="1">IF(AND(NEGOCIAÇÕES!P991="",NEGOCIAÇÕES!N991&lt;TODAY()),NEGOCIAÇÕES!D991,"")</f>
        <v/>
      </c>
      <c r="E991" s="9" t="str">
        <f ca="1">IF(AND(NEGOCIAÇÕES!P991="",NEGOCIAÇÕES!N991&lt;TODAY()),NEGOCIAÇÕES!N991,"")</f>
        <v/>
      </c>
      <c r="F991" s="6"/>
    </row>
    <row r="992" spans="2:6" ht="31.95" hidden="1" customHeight="1" x14ac:dyDescent="0.3">
      <c r="B992" s="6" t="str">
        <f ca="1">IF(AND(NEGOCIAÇÕES!P992="",NEGOCIAÇÕES!N992&lt;TODAY()),NEGOCIAÇÕES!C992,"")</f>
        <v/>
      </c>
      <c r="C992" s="6" t="str">
        <f ca="1">IF(AND(NEGOCIAÇÕES!P992="",NEGOCIAÇÕES!N992&lt;TODAY()),NEGOCIAÇÕES!E992,"")</f>
        <v/>
      </c>
      <c r="D992" s="6" t="str">
        <f ca="1">IF(AND(NEGOCIAÇÕES!P992="",NEGOCIAÇÕES!N992&lt;TODAY()),NEGOCIAÇÕES!D992,"")</f>
        <v/>
      </c>
      <c r="E992" s="9" t="str">
        <f ca="1">IF(AND(NEGOCIAÇÕES!P992="",NEGOCIAÇÕES!N992&lt;TODAY()),NEGOCIAÇÕES!N992,"")</f>
        <v/>
      </c>
      <c r="F992" s="6"/>
    </row>
    <row r="993" spans="2:6" ht="31.95" hidden="1" customHeight="1" x14ac:dyDescent="0.3">
      <c r="B993" s="6" t="str">
        <f ca="1">IF(AND(NEGOCIAÇÕES!P993="",NEGOCIAÇÕES!N993&lt;TODAY()),NEGOCIAÇÕES!C993,"")</f>
        <v/>
      </c>
      <c r="C993" s="6" t="str">
        <f ca="1">IF(AND(NEGOCIAÇÕES!P993="",NEGOCIAÇÕES!N993&lt;TODAY()),NEGOCIAÇÕES!E993,"")</f>
        <v/>
      </c>
      <c r="D993" s="6" t="str">
        <f ca="1">IF(AND(NEGOCIAÇÕES!P993="",NEGOCIAÇÕES!N993&lt;TODAY()),NEGOCIAÇÕES!D993,"")</f>
        <v/>
      </c>
      <c r="E993" s="9" t="str">
        <f ca="1">IF(AND(NEGOCIAÇÕES!P993="",NEGOCIAÇÕES!N993&lt;TODAY()),NEGOCIAÇÕES!N993,"")</f>
        <v/>
      </c>
      <c r="F993" s="6"/>
    </row>
    <row r="994" spans="2:6" ht="31.95" hidden="1" customHeight="1" x14ac:dyDescent="0.3">
      <c r="B994" s="6" t="str">
        <f ca="1">IF(AND(NEGOCIAÇÕES!P994="",NEGOCIAÇÕES!N994&lt;TODAY()),NEGOCIAÇÕES!C994,"")</f>
        <v/>
      </c>
      <c r="C994" s="6" t="str">
        <f ca="1">IF(AND(NEGOCIAÇÕES!P994="",NEGOCIAÇÕES!N994&lt;TODAY()),NEGOCIAÇÕES!E994,"")</f>
        <v/>
      </c>
      <c r="D994" s="6" t="str">
        <f ca="1">IF(AND(NEGOCIAÇÕES!P994="",NEGOCIAÇÕES!N994&lt;TODAY()),NEGOCIAÇÕES!D994,"")</f>
        <v/>
      </c>
      <c r="E994" s="9" t="str">
        <f ca="1">IF(AND(NEGOCIAÇÕES!P994="",NEGOCIAÇÕES!N994&lt;TODAY()),NEGOCIAÇÕES!N994,"")</f>
        <v/>
      </c>
      <c r="F994" s="6"/>
    </row>
    <row r="995" spans="2:6" ht="31.95" hidden="1" customHeight="1" x14ac:dyDescent="0.3">
      <c r="B995" s="6" t="str">
        <f ca="1">IF(AND(NEGOCIAÇÕES!P995="",NEGOCIAÇÕES!N995&lt;TODAY()),NEGOCIAÇÕES!C995,"")</f>
        <v/>
      </c>
      <c r="C995" s="6" t="str">
        <f ca="1">IF(AND(NEGOCIAÇÕES!P995="",NEGOCIAÇÕES!N995&lt;TODAY()),NEGOCIAÇÕES!E995,"")</f>
        <v/>
      </c>
      <c r="D995" s="6" t="str">
        <f ca="1">IF(AND(NEGOCIAÇÕES!P995="",NEGOCIAÇÕES!N995&lt;TODAY()),NEGOCIAÇÕES!D995,"")</f>
        <v/>
      </c>
      <c r="E995" s="9" t="str">
        <f ca="1">IF(AND(NEGOCIAÇÕES!P995="",NEGOCIAÇÕES!N995&lt;TODAY()),NEGOCIAÇÕES!N995,"")</f>
        <v/>
      </c>
      <c r="F995" s="6"/>
    </row>
    <row r="996" spans="2:6" ht="31.95" hidden="1" customHeight="1" x14ac:dyDescent="0.3">
      <c r="B996" s="6" t="str">
        <f ca="1">IF(AND(NEGOCIAÇÕES!P996="",NEGOCIAÇÕES!N996&lt;TODAY()),NEGOCIAÇÕES!C996,"")</f>
        <v/>
      </c>
      <c r="C996" s="6" t="str">
        <f ca="1">IF(AND(NEGOCIAÇÕES!P996="",NEGOCIAÇÕES!N996&lt;TODAY()),NEGOCIAÇÕES!E996,"")</f>
        <v/>
      </c>
      <c r="D996" s="6" t="str">
        <f ca="1">IF(AND(NEGOCIAÇÕES!P996="",NEGOCIAÇÕES!N996&lt;TODAY()),NEGOCIAÇÕES!D996,"")</f>
        <v/>
      </c>
      <c r="E996" s="9" t="str">
        <f ca="1">IF(AND(NEGOCIAÇÕES!P996="",NEGOCIAÇÕES!N996&lt;TODAY()),NEGOCIAÇÕES!N996,"")</f>
        <v/>
      </c>
      <c r="F996" s="6"/>
    </row>
    <row r="997" spans="2:6" ht="31.95" hidden="1" customHeight="1" x14ac:dyDescent="0.3">
      <c r="B997" s="6" t="str">
        <f ca="1">IF(AND(NEGOCIAÇÕES!P997="",NEGOCIAÇÕES!N997&lt;TODAY()),NEGOCIAÇÕES!C997,"")</f>
        <v/>
      </c>
      <c r="C997" s="6" t="str">
        <f ca="1">IF(AND(NEGOCIAÇÕES!P997="",NEGOCIAÇÕES!N997&lt;TODAY()),NEGOCIAÇÕES!E997,"")</f>
        <v/>
      </c>
      <c r="D997" s="6" t="str">
        <f ca="1">IF(AND(NEGOCIAÇÕES!P997="",NEGOCIAÇÕES!N997&lt;TODAY()),NEGOCIAÇÕES!D997,"")</f>
        <v/>
      </c>
      <c r="E997" s="9" t="str">
        <f ca="1">IF(AND(NEGOCIAÇÕES!P997="",NEGOCIAÇÕES!N997&lt;TODAY()),NEGOCIAÇÕES!N997,"")</f>
        <v/>
      </c>
      <c r="F997" s="6"/>
    </row>
    <row r="998" spans="2:6" ht="31.95" hidden="1" customHeight="1" x14ac:dyDescent="0.3">
      <c r="B998" s="6" t="str">
        <f ca="1">IF(AND(NEGOCIAÇÕES!P998="",NEGOCIAÇÕES!N998&lt;TODAY()),NEGOCIAÇÕES!C998,"")</f>
        <v/>
      </c>
      <c r="C998" s="6" t="str">
        <f ca="1">IF(AND(NEGOCIAÇÕES!P998="",NEGOCIAÇÕES!N998&lt;TODAY()),NEGOCIAÇÕES!E998,"")</f>
        <v/>
      </c>
      <c r="D998" s="6" t="str">
        <f ca="1">IF(AND(NEGOCIAÇÕES!P998="",NEGOCIAÇÕES!N998&lt;TODAY()),NEGOCIAÇÕES!D998,"")</f>
        <v/>
      </c>
      <c r="E998" s="9" t="str">
        <f ca="1">IF(AND(NEGOCIAÇÕES!P998="",NEGOCIAÇÕES!N998&lt;TODAY()),NEGOCIAÇÕES!N998,"")</f>
        <v/>
      </c>
      <c r="F998" s="6"/>
    </row>
    <row r="999" spans="2:6" ht="31.95" hidden="1" customHeight="1" x14ac:dyDescent="0.3">
      <c r="B999" s="6" t="str">
        <f ca="1">IF(AND(NEGOCIAÇÕES!P999="",NEGOCIAÇÕES!N999&lt;TODAY()),NEGOCIAÇÕES!C999,"")</f>
        <v/>
      </c>
      <c r="C999" s="6" t="str">
        <f ca="1">IF(AND(NEGOCIAÇÕES!P999="",NEGOCIAÇÕES!N999&lt;TODAY()),NEGOCIAÇÕES!E999,"")</f>
        <v/>
      </c>
      <c r="D999" s="6" t="str">
        <f ca="1">IF(AND(NEGOCIAÇÕES!P999="",NEGOCIAÇÕES!N999&lt;TODAY()),NEGOCIAÇÕES!D999,"")</f>
        <v/>
      </c>
      <c r="E999" s="9" t="str">
        <f ca="1">IF(AND(NEGOCIAÇÕES!P999="",NEGOCIAÇÕES!N999&lt;TODAY()),NEGOCIAÇÕES!N999,"")</f>
        <v/>
      </c>
      <c r="F999" s="6"/>
    </row>
    <row r="1000" spans="2:6" ht="31.95" hidden="1" customHeight="1" x14ac:dyDescent="0.3">
      <c r="B1000" s="6" t="str">
        <f ca="1">IF(AND(NEGOCIAÇÕES!P1000="",NEGOCIAÇÕES!N1000&lt;TODAY()),NEGOCIAÇÕES!C1000,"")</f>
        <v/>
      </c>
      <c r="C1000" s="6" t="str">
        <f ca="1">IF(AND(NEGOCIAÇÕES!P1000="",NEGOCIAÇÕES!N1000&lt;TODAY()),NEGOCIAÇÕES!E1000,"")</f>
        <v/>
      </c>
      <c r="D1000" s="6" t="str">
        <f ca="1">IF(AND(NEGOCIAÇÕES!P1000="",NEGOCIAÇÕES!N1000&lt;TODAY()),NEGOCIAÇÕES!D1000,"")</f>
        <v/>
      </c>
      <c r="E1000" s="9" t="str">
        <f ca="1">IF(AND(NEGOCIAÇÕES!P1000="",NEGOCIAÇÕES!N1000&lt;TODAY()),NEGOCIAÇÕES!N1000,"")</f>
        <v/>
      </c>
      <c r="F1000" s="6"/>
    </row>
    <row r="1001" spans="2:6" ht="31.95" hidden="1" customHeight="1" x14ac:dyDescent="0.3">
      <c r="B1001" s="6" t="str">
        <f ca="1">IF(AND(NEGOCIAÇÕES!P1001="",NEGOCIAÇÕES!N1001&lt;TODAY()),NEGOCIAÇÕES!C1001,"")</f>
        <v/>
      </c>
      <c r="C1001" s="6" t="str">
        <f ca="1">IF(AND(NEGOCIAÇÕES!P1001="",NEGOCIAÇÕES!N1001&lt;TODAY()),NEGOCIAÇÕES!E1001,"")</f>
        <v/>
      </c>
      <c r="D1001" s="6" t="str">
        <f ca="1">IF(AND(NEGOCIAÇÕES!P1001="",NEGOCIAÇÕES!N1001&lt;TODAY()),NEGOCIAÇÕES!D1001,"")</f>
        <v/>
      </c>
      <c r="E1001" s="9" t="str">
        <f ca="1">IF(AND(NEGOCIAÇÕES!P1001="",NEGOCIAÇÕES!N1001&lt;TODAY()),NEGOCIAÇÕES!N1001,"")</f>
        <v/>
      </c>
      <c r="F1001" s="6"/>
    </row>
    <row r="1002" spans="2:6" ht="31.95" hidden="1" customHeight="1" x14ac:dyDescent="0.3">
      <c r="B1002" s="6" t="str">
        <f ca="1">IF(AND(NEGOCIAÇÕES!P1002="",NEGOCIAÇÕES!N1002&lt;TODAY()),NEGOCIAÇÕES!C1002,"")</f>
        <v/>
      </c>
      <c r="C1002" s="6" t="str">
        <f ca="1">IF(AND(NEGOCIAÇÕES!P1002="",NEGOCIAÇÕES!N1002&lt;TODAY()),NEGOCIAÇÕES!E1002,"")</f>
        <v/>
      </c>
      <c r="D1002" s="6" t="str">
        <f ca="1">IF(AND(NEGOCIAÇÕES!P1002="",NEGOCIAÇÕES!N1002&lt;TODAY()),NEGOCIAÇÕES!D1002,"")</f>
        <v/>
      </c>
      <c r="E1002" s="9" t="str">
        <f ca="1">IF(AND(NEGOCIAÇÕES!P1002="",NEGOCIAÇÕES!N1002&lt;TODAY()),NEGOCIAÇÕES!N1002,"")</f>
        <v/>
      </c>
      <c r="F1002" s="6"/>
    </row>
    <row r="1003" spans="2:6" ht="31.95" hidden="1" customHeight="1" x14ac:dyDescent="0.3">
      <c r="B1003" s="6" t="str">
        <f ca="1">IF(AND(NEGOCIAÇÕES!P1003="",NEGOCIAÇÕES!N1003&lt;TODAY()),NEGOCIAÇÕES!C1003,"")</f>
        <v/>
      </c>
      <c r="C1003" s="6" t="str">
        <f ca="1">IF(AND(NEGOCIAÇÕES!P1003="",NEGOCIAÇÕES!N1003&lt;TODAY()),NEGOCIAÇÕES!E1003,"")</f>
        <v/>
      </c>
      <c r="D1003" s="6" t="str">
        <f ca="1">IF(AND(NEGOCIAÇÕES!P1003="",NEGOCIAÇÕES!N1003&lt;TODAY()),NEGOCIAÇÕES!D1003,"")</f>
        <v/>
      </c>
      <c r="E1003" s="9" t="str">
        <f ca="1">IF(AND(NEGOCIAÇÕES!P1003="",NEGOCIAÇÕES!N1003&lt;TODAY()),NEGOCIAÇÕES!N1003,"")</f>
        <v/>
      </c>
      <c r="F1003" s="6"/>
    </row>
    <row r="1004" spans="2:6" ht="31.95" hidden="1" customHeight="1" x14ac:dyDescent="0.3">
      <c r="B1004" s="6" t="str">
        <f ca="1">IF(AND(NEGOCIAÇÕES!P1004="",NEGOCIAÇÕES!N1004&lt;TODAY()),NEGOCIAÇÕES!C1004,"")</f>
        <v/>
      </c>
      <c r="C1004" s="6" t="str">
        <f ca="1">IF(AND(NEGOCIAÇÕES!P1004="",NEGOCIAÇÕES!N1004&lt;TODAY()),NEGOCIAÇÕES!E1004,"")</f>
        <v/>
      </c>
      <c r="D1004" s="6" t="str">
        <f ca="1">IF(AND(NEGOCIAÇÕES!P1004="",NEGOCIAÇÕES!N1004&lt;TODAY()),NEGOCIAÇÕES!D1004,"")</f>
        <v/>
      </c>
      <c r="E1004" s="9" t="str">
        <f ca="1">IF(AND(NEGOCIAÇÕES!P1004="",NEGOCIAÇÕES!N1004&lt;TODAY()),NEGOCIAÇÕES!N1004,"")</f>
        <v/>
      </c>
      <c r="F1004" s="6"/>
    </row>
    <row r="1005" spans="2:6" ht="31.95" hidden="1" customHeight="1" x14ac:dyDescent="0.3">
      <c r="B1005" s="6" t="str">
        <f ca="1">IF(AND(NEGOCIAÇÕES!P1005="",NEGOCIAÇÕES!N1005&lt;TODAY()),NEGOCIAÇÕES!C1005,"")</f>
        <v/>
      </c>
      <c r="C1005" s="6" t="str">
        <f ca="1">IF(AND(NEGOCIAÇÕES!P1005="",NEGOCIAÇÕES!N1005&lt;TODAY()),NEGOCIAÇÕES!E1005,"")</f>
        <v/>
      </c>
      <c r="D1005" s="6" t="str">
        <f ca="1">IF(AND(NEGOCIAÇÕES!P1005="",NEGOCIAÇÕES!N1005&lt;TODAY()),NEGOCIAÇÕES!D1005,"")</f>
        <v/>
      </c>
      <c r="E1005" s="9" t="str">
        <f ca="1">IF(AND(NEGOCIAÇÕES!P1005="",NEGOCIAÇÕES!N1005&lt;TODAY()),NEGOCIAÇÕES!N1005,"")</f>
        <v/>
      </c>
    </row>
    <row r="1006" spans="2:6" ht="31.95" hidden="1" customHeight="1" x14ac:dyDescent="0.3">
      <c r="B1006" s="6" t="str">
        <f ca="1">IF(AND(NEGOCIAÇÕES!P1006="",NEGOCIAÇÕES!N1006&lt;TODAY()),NEGOCIAÇÕES!C1006,"")</f>
        <v/>
      </c>
      <c r="C1006" s="6" t="str">
        <f ca="1">IF(AND(NEGOCIAÇÕES!P1006="",NEGOCIAÇÕES!N1006&lt;TODAY()),NEGOCIAÇÕES!E1006,"")</f>
        <v/>
      </c>
      <c r="D1006" s="6" t="str">
        <f ca="1">IF(AND(NEGOCIAÇÕES!P1006="",NEGOCIAÇÕES!N1006&lt;TODAY()),NEGOCIAÇÕES!D1006,"")</f>
        <v/>
      </c>
      <c r="E1006" s="9" t="str">
        <f ca="1">IF(AND(NEGOCIAÇÕES!P1006="",NEGOCIAÇÕES!N1006&lt;TODAY()),NEGOCIAÇÕES!N1006,"")</f>
        <v/>
      </c>
    </row>
    <row r="1007" spans="2:6" ht="31.95" hidden="1" customHeight="1" x14ac:dyDescent="0.3">
      <c r="B1007" s="6" t="str">
        <f ca="1">IF(AND(NEGOCIAÇÕES!P1007="",NEGOCIAÇÕES!N1007&lt;TODAY()),NEGOCIAÇÕES!C1007,"")</f>
        <v/>
      </c>
      <c r="C1007" s="6" t="str">
        <f ca="1">IF(AND(NEGOCIAÇÕES!P1007="",NEGOCIAÇÕES!N1007&lt;TODAY()),NEGOCIAÇÕES!E1007,"")</f>
        <v/>
      </c>
      <c r="D1007" s="6" t="str">
        <f ca="1">IF(AND(NEGOCIAÇÕES!P1007="",NEGOCIAÇÕES!N1007&lt;TODAY()),NEGOCIAÇÕES!D1007,"")</f>
        <v/>
      </c>
      <c r="E1007" s="9" t="str">
        <f ca="1">IF(AND(NEGOCIAÇÕES!P1007="",NEGOCIAÇÕES!N1007&lt;TODAY()),NEGOCIAÇÕES!N1007,"")</f>
        <v/>
      </c>
    </row>
    <row r="1008" spans="2:6" ht="31.95" hidden="1" customHeight="1" x14ac:dyDescent="0.3">
      <c r="B1008" s="6" t="str">
        <f ca="1">IF(AND(NEGOCIAÇÕES!P1008="",NEGOCIAÇÕES!N1008&lt;TODAY()),NEGOCIAÇÕES!C1008,"")</f>
        <v/>
      </c>
      <c r="C1008" s="6" t="str">
        <f ca="1">IF(AND(NEGOCIAÇÕES!P1008="",NEGOCIAÇÕES!N1008&lt;TODAY()),NEGOCIAÇÕES!E1008,"")</f>
        <v/>
      </c>
      <c r="D1008" s="6" t="str">
        <f ca="1">IF(AND(NEGOCIAÇÕES!P1008="",NEGOCIAÇÕES!N1008&lt;TODAY()),NEGOCIAÇÕES!D1008,"")</f>
        <v/>
      </c>
      <c r="E1008" s="9" t="str">
        <f ca="1">IF(AND(NEGOCIAÇÕES!P1008="",NEGOCIAÇÕES!N1008&lt;TODAY()),NEGOCIAÇÕES!N1008,"")</f>
        <v/>
      </c>
    </row>
    <row r="1009" spans="2:5" ht="31.95" hidden="1" customHeight="1" x14ac:dyDescent="0.3">
      <c r="B1009" s="6" t="str">
        <f ca="1">IF(AND(NEGOCIAÇÕES!P1009="",NEGOCIAÇÕES!N1009&lt;TODAY()),NEGOCIAÇÕES!C1009,"")</f>
        <v/>
      </c>
      <c r="C1009" s="6" t="str">
        <f ca="1">IF(AND(NEGOCIAÇÕES!P1009="",NEGOCIAÇÕES!N1009&lt;TODAY()),NEGOCIAÇÕES!E1009,"")</f>
        <v/>
      </c>
      <c r="D1009" s="6" t="str">
        <f ca="1">IF(AND(NEGOCIAÇÕES!P1009="",NEGOCIAÇÕES!N1009&lt;TODAY()),NEGOCIAÇÕES!D1009,"")</f>
        <v/>
      </c>
      <c r="E1009" s="9" t="str">
        <f ca="1">IF(AND(NEGOCIAÇÕES!P1009="",NEGOCIAÇÕES!N1009&lt;TODAY()),NEGOCIAÇÕES!N1009,"")</f>
        <v/>
      </c>
    </row>
    <row r="1010" spans="2:5" ht="31.95" hidden="1" customHeight="1" x14ac:dyDescent="0.3">
      <c r="B1010" s="6" t="str">
        <f ca="1">IF(AND(NEGOCIAÇÕES!P1010="",NEGOCIAÇÕES!N1010&lt;TODAY()),NEGOCIAÇÕES!C1010,"")</f>
        <v/>
      </c>
      <c r="C1010" s="6" t="str">
        <f ca="1">IF(AND(NEGOCIAÇÕES!P1010="",NEGOCIAÇÕES!N1010&lt;TODAY()),NEGOCIAÇÕES!E1010,"")</f>
        <v/>
      </c>
      <c r="D1010" s="6" t="str">
        <f ca="1">IF(AND(NEGOCIAÇÕES!P1010="",NEGOCIAÇÕES!N1010&lt;TODAY()),NEGOCIAÇÕES!D1010,"")</f>
        <v/>
      </c>
      <c r="E1010" s="9" t="str">
        <f ca="1">IF(AND(NEGOCIAÇÕES!P1010="",NEGOCIAÇÕES!N1010&lt;TODAY()),NEGOCIAÇÕES!N1010,"")</f>
        <v/>
      </c>
    </row>
    <row r="1011" spans="2:5" ht="31.95" hidden="1" customHeight="1" x14ac:dyDescent="0.3">
      <c r="B1011" s="6" t="str">
        <f ca="1">IF(AND(NEGOCIAÇÕES!P1011="",NEGOCIAÇÕES!N1011&lt;TODAY()),NEGOCIAÇÕES!C1011,"")</f>
        <v/>
      </c>
      <c r="C1011" s="6" t="str">
        <f ca="1">IF(AND(NEGOCIAÇÕES!P1011="",NEGOCIAÇÕES!N1011&lt;TODAY()),NEGOCIAÇÕES!E1011,"")</f>
        <v/>
      </c>
      <c r="D1011" s="6" t="str">
        <f ca="1">IF(AND(NEGOCIAÇÕES!P1011="",NEGOCIAÇÕES!N1011&lt;TODAY()),NEGOCIAÇÕES!D1011,"")</f>
        <v/>
      </c>
      <c r="E1011" s="9" t="str">
        <f ca="1">IF(AND(NEGOCIAÇÕES!P1011="",NEGOCIAÇÕES!N1011&lt;TODAY()),NEGOCIAÇÕES!N1011,"")</f>
        <v/>
      </c>
    </row>
    <row r="1012" spans="2:5" ht="31.95" hidden="1" customHeight="1" x14ac:dyDescent="0.3">
      <c r="B1012" s="6" t="str">
        <f ca="1">IF(AND(NEGOCIAÇÕES!P1012="",NEGOCIAÇÕES!N1012&lt;TODAY()),NEGOCIAÇÕES!C1012,"")</f>
        <v/>
      </c>
      <c r="C1012" s="6" t="str">
        <f ca="1">IF(AND(NEGOCIAÇÕES!P1012="",NEGOCIAÇÕES!N1012&lt;TODAY()),NEGOCIAÇÕES!E1012,"")</f>
        <v/>
      </c>
      <c r="D1012" s="6" t="str">
        <f ca="1">IF(AND(NEGOCIAÇÕES!P1012="",NEGOCIAÇÕES!N1012&lt;TODAY()),NEGOCIAÇÕES!D1012,"")</f>
        <v/>
      </c>
      <c r="E1012" s="9" t="str">
        <f ca="1">IF(AND(NEGOCIAÇÕES!P1012="",NEGOCIAÇÕES!N1012&lt;TODAY()),NEGOCIAÇÕES!N1012,"")</f>
        <v/>
      </c>
    </row>
    <row r="1013" spans="2:5" ht="31.95" hidden="1" customHeight="1" x14ac:dyDescent="0.3">
      <c r="B1013" s="6" t="str">
        <f ca="1">IF(AND(NEGOCIAÇÕES!P1013="",NEGOCIAÇÕES!N1013&lt;TODAY()),NEGOCIAÇÕES!C1013,"")</f>
        <v/>
      </c>
      <c r="C1013" s="6" t="str">
        <f ca="1">IF(AND(NEGOCIAÇÕES!P1013="",NEGOCIAÇÕES!N1013&lt;TODAY()),NEGOCIAÇÕES!E1013,"")</f>
        <v/>
      </c>
      <c r="D1013" s="6" t="str">
        <f ca="1">IF(AND(NEGOCIAÇÕES!P1013="",NEGOCIAÇÕES!N1013&lt;TODAY()),NEGOCIAÇÕES!D1013,"")</f>
        <v/>
      </c>
      <c r="E1013" s="9" t="str">
        <f ca="1">IF(AND(NEGOCIAÇÕES!P1013="",NEGOCIAÇÕES!N1013&lt;TODAY()),NEGOCIAÇÕES!N1013,"")</f>
        <v/>
      </c>
    </row>
    <row r="1014" spans="2:5" ht="31.95" hidden="1" customHeight="1" x14ac:dyDescent="0.3">
      <c r="B1014" s="6" t="str">
        <f ca="1">IF(AND(NEGOCIAÇÕES!P1014="",NEGOCIAÇÕES!N1014&lt;TODAY()),NEGOCIAÇÕES!C1014,"")</f>
        <v/>
      </c>
      <c r="C1014" s="6" t="str">
        <f ca="1">IF(AND(NEGOCIAÇÕES!P1014="",NEGOCIAÇÕES!N1014&lt;TODAY()),NEGOCIAÇÕES!E1014,"")</f>
        <v/>
      </c>
      <c r="D1014" s="6" t="str">
        <f ca="1">IF(AND(NEGOCIAÇÕES!P1014="",NEGOCIAÇÕES!N1014&lt;TODAY()),NEGOCIAÇÕES!D1014,"")</f>
        <v/>
      </c>
      <c r="E1014" s="9" t="str">
        <f ca="1">IF(AND(NEGOCIAÇÕES!P1014="",NEGOCIAÇÕES!N1014&lt;TODAY()),NEGOCIAÇÕES!N1014,"")</f>
        <v/>
      </c>
    </row>
    <row r="1015" spans="2:5" ht="31.95" hidden="1" customHeight="1" x14ac:dyDescent="0.3">
      <c r="B1015" s="6" t="str">
        <f ca="1">IF(AND(NEGOCIAÇÕES!P1015="",NEGOCIAÇÕES!N1015&lt;TODAY()),NEGOCIAÇÕES!C1015,"")</f>
        <v/>
      </c>
      <c r="C1015" s="6" t="str">
        <f ca="1">IF(AND(NEGOCIAÇÕES!P1015="",NEGOCIAÇÕES!N1015&lt;TODAY()),NEGOCIAÇÕES!E1015,"")</f>
        <v/>
      </c>
      <c r="D1015" s="6" t="str">
        <f ca="1">IF(AND(NEGOCIAÇÕES!P1015="",NEGOCIAÇÕES!N1015&lt;TODAY()),NEGOCIAÇÕES!D1015,"")</f>
        <v/>
      </c>
      <c r="E1015" s="9" t="str">
        <f ca="1">IF(AND(NEGOCIAÇÕES!P1015="",NEGOCIAÇÕES!N1015&lt;TODAY()),NEGOCIAÇÕES!N1015,"")</f>
        <v/>
      </c>
    </row>
    <row r="1016" spans="2:5" ht="31.95" hidden="1" customHeight="1" x14ac:dyDescent="0.3">
      <c r="B1016" s="6" t="str">
        <f ca="1">IF(AND(NEGOCIAÇÕES!P1016="",NEGOCIAÇÕES!N1016&lt;TODAY()),NEGOCIAÇÕES!C1016,"")</f>
        <v/>
      </c>
      <c r="C1016" s="6" t="str">
        <f ca="1">IF(AND(NEGOCIAÇÕES!P1016="",NEGOCIAÇÕES!N1016&lt;TODAY()),NEGOCIAÇÕES!E1016,"")</f>
        <v/>
      </c>
      <c r="D1016" s="6" t="str">
        <f ca="1">IF(AND(NEGOCIAÇÕES!P1016="",NEGOCIAÇÕES!N1016&lt;TODAY()),NEGOCIAÇÕES!D1016,"")</f>
        <v/>
      </c>
      <c r="E1016" s="9" t="str">
        <f ca="1">IF(AND(NEGOCIAÇÕES!P1016="",NEGOCIAÇÕES!N1016&lt;TODAY()),NEGOCIAÇÕES!N1016,"")</f>
        <v/>
      </c>
    </row>
    <row r="1017" spans="2:5" ht="31.95" hidden="1" customHeight="1" x14ac:dyDescent="0.3">
      <c r="B1017" s="6" t="str">
        <f ca="1">IF(AND(NEGOCIAÇÕES!P1017="",NEGOCIAÇÕES!N1017&lt;TODAY()),NEGOCIAÇÕES!C1017,"")</f>
        <v/>
      </c>
      <c r="C1017" s="6" t="str">
        <f ca="1">IF(AND(NEGOCIAÇÕES!P1017="",NEGOCIAÇÕES!N1017&lt;TODAY()),NEGOCIAÇÕES!E1017,"")</f>
        <v/>
      </c>
      <c r="D1017" s="6" t="str">
        <f ca="1">IF(AND(NEGOCIAÇÕES!P1017="",NEGOCIAÇÕES!N1017&lt;TODAY()),NEGOCIAÇÕES!D1017,"")</f>
        <v/>
      </c>
      <c r="E1017" s="9" t="str">
        <f ca="1">IF(AND(NEGOCIAÇÕES!P1017="",NEGOCIAÇÕES!N1017&lt;TODAY()),NEGOCIAÇÕES!N1017,"")</f>
        <v/>
      </c>
    </row>
    <row r="1018" spans="2:5" ht="31.95" hidden="1" customHeight="1" x14ac:dyDescent="0.3">
      <c r="B1018" s="6" t="str">
        <f ca="1">IF(AND(NEGOCIAÇÕES!P1018="",NEGOCIAÇÕES!N1018&lt;TODAY()),NEGOCIAÇÕES!C1018,"")</f>
        <v/>
      </c>
      <c r="C1018" s="6" t="str">
        <f ca="1">IF(AND(NEGOCIAÇÕES!P1018="",NEGOCIAÇÕES!N1018&lt;TODAY()),NEGOCIAÇÕES!E1018,"")</f>
        <v/>
      </c>
      <c r="D1018" s="6" t="str">
        <f ca="1">IF(AND(NEGOCIAÇÕES!P1018="",NEGOCIAÇÕES!N1018&lt;TODAY()),NEGOCIAÇÕES!D1018,"")</f>
        <v/>
      </c>
      <c r="E1018" s="9" t="str">
        <f ca="1">IF(AND(NEGOCIAÇÕES!P1018="",NEGOCIAÇÕES!N1018&lt;TODAY()),NEGOCIAÇÕES!N1018,"")</f>
        <v/>
      </c>
    </row>
    <row r="1019" spans="2:5" ht="31.95" hidden="1" customHeight="1" x14ac:dyDescent="0.3">
      <c r="B1019" s="6" t="str">
        <f ca="1">IF(AND(NEGOCIAÇÕES!P1019="",NEGOCIAÇÕES!N1019&lt;TODAY()),NEGOCIAÇÕES!C1019,"")</f>
        <v/>
      </c>
      <c r="C1019" s="6" t="str">
        <f ca="1">IF(AND(NEGOCIAÇÕES!P1019="",NEGOCIAÇÕES!N1019&lt;TODAY()),NEGOCIAÇÕES!E1019,"")</f>
        <v/>
      </c>
      <c r="D1019" s="6" t="str">
        <f ca="1">IF(AND(NEGOCIAÇÕES!P1019="",NEGOCIAÇÕES!N1019&lt;TODAY()),NEGOCIAÇÕES!D1019,"")</f>
        <v/>
      </c>
      <c r="E1019" s="9" t="str">
        <f ca="1">IF(AND(NEGOCIAÇÕES!P1019="",NEGOCIAÇÕES!N1019&lt;TODAY()),NEGOCIAÇÕES!N1019,"")</f>
        <v/>
      </c>
    </row>
    <row r="1020" spans="2:5" ht="31.95" hidden="1" customHeight="1" x14ac:dyDescent="0.3">
      <c r="B1020" s="6" t="str">
        <f ca="1">IF(AND(NEGOCIAÇÕES!P1020="",NEGOCIAÇÕES!N1020&lt;TODAY()),NEGOCIAÇÕES!C1020,"")</f>
        <v/>
      </c>
      <c r="C1020" s="6" t="str">
        <f ca="1">IF(AND(NEGOCIAÇÕES!P1020="",NEGOCIAÇÕES!N1020&lt;TODAY()),NEGOCIAÇÕES!E1020,"")</f>
        <v/>
      </c>
      <c r="D1020" s="6" t="str">
        <f ca="1">IF(AND(NEGOCIAÇÕES!P1020="",NEGOCIAÇÕES!N1020&lt;TODAY()),NEGOCIAÇÕES!D1020,"")</f>
        <v/>
      </c>
      <c r="E1020" s="9" t="str">
        <f ca="1">IF(AND(NEGOCIAÇÕES!P1020="",NEGOCIAÇÕES!N1020&lt;TODAY()),NEGOCIAÇÕES!N1020,"")</f>
        <v/>
      </c>
    </row>
    <row r="1021" spans="2:5" ht="31.95" hidden="1" customHeight="1" x14ac:dyDescent="0.3">
      <c r="B1021" s="6" t="str">
        <f ca="1">IF(AND(NEGOCIAÇÕES!P1021="",NEGOCIAÇÕES!N1021&lt;TODAY()),NEGOCIAÇÕES!C1021,"")</f>
        <v/>
      </c>
      <c r="C1021" s="6" t="str">
        <f ca="1">IF(AND(NEGOCIAÇÕES!P1021="",NEGOCIAÇÕES!N1021&lt;TODAY()),NEGOCIAÇÕES!E1021,"")</f>
        <v/>
      </c>
      <c r="D1021" s="6" t="str">
        <f ca="1">IF(AND(NEGOCIAÇÕES!P1021="",NEGOCIAÇÕES!N1021&lt;TODAY()),NEGOCIAÇÕES!D1021,"")</f>
        <v/>
      </c>
      <c r="E1021" s="9" t="str">
        <f ca="1">IF(AND(NEGOCIAÇÕES!P1021="",NEGOCIAÇÕES!N1021&lt;TODAY()),NEGOCIAÇÕES!N1021,"")</f>
        <v/>
      </c>
    </row>
    <row r="1022" spans="2:5" ht="31.95" hidden="1" customHeight="1" x14ac:dyDescent="0.3">
      <c r="B1022" s="6" t="str">
        <f ca="1">IF(AND(NEGOCIAÇÕES!P1022="",NEGOCIAÇÕES!N1022&lt;TODAY()),NEGOCIAÇÕES!C1022,"")</f>
        <v/>
      </c>
      <c r="C1022" s="6" t="str">
        <f ca="1">IF(AND(NEGOCIAÇÕES!P1022="",NEGOCIAÇÕES!N1022&lt;TODAY()),NEGOCIAÇÕES!E1022,"")</f>
        <v/>
      </c>
      <c r="D1022" s="6" t="str">
        <f ca="1">IF(AND(NEGOCIAÇÕES!P1022="",NEGOCIAÇÕES!N1022&lt;TODAY()),NEGOCIAÇÕES!D1022,"")</f>
        <v/>
      </c>
      <c r="E1022" s="9" t="str">
        <f ca="1">IF(AND(NEGOCIAÇÕES!P1022="",NEGOCIAÇÕES!N1022&lt;TODAY()),NEGOCIAÇÕES!N1022,"")</f>
        <v/>
      </c>
    </row>
    <row r="1023" spans="2:5" ht="31.95" hidden="1" customHeight="1" x14ac:dyDescent="0.3">
      <c r="B1023" s="6" t="str">
        <f ca="1">IF(AND(NEGOCIAÇÕES!P1023="",NEGOCIAÇÕES!N1023&lt;TODAY()),NEGOCIAÇÕES!C1023,"")</f>
        <v/>
      </c>
      <c r="C1023" s="6" t="str">
        <f ca="1">IF(AND(NEGOCIAÇÕES!P1023="",NEGOCIAÇÕES!N1023&lt;TODAY()),NEGOCIAÇÕES!E1023,"")</f>
        <v/>
      </c>
      <c r="D1023" s="6" t="str">
        <f ca="1">IF(AND(NEGOCIAÇÕES!P1023="",NEGOCIAÇÕES!N1023&lt;TODAY()),NEGOCIAÇÕES!D1023,"")</f>
        <v/>
      </c>
      <c r="E1023" s="9" t="str">
        <f ca="1">IF(AND(NEGOCIAÇÕES!P1023="",NEGOCIAÇÕES!N1023&lt;TODAY()),NEGOCIAÇÕES!N1023,"")</f>
        <v/>
      </c>
    </row>
    <row r="1024" spans="2:5" ht="31.95" hidden="1" customHeight="1" x14ac:dyDescent="0.3">
      <c r="B1024" s="6" t="str">
        <f ca="1">IF(AND(NEGOCIAÇÕES!P1024="",NEGOCIAÇÕES!N1024&lt;TODAY()),NEGOCIAÇÕES!C1024,"")</f>
        <v/>
      </c>
      <c r="C1024" s="6" t="str">
        <f ca="1">IF(AND(NEGOCIAÇÕES!P1024="",NEGOCIAÇÕES!N1024&lt;TODAY()),NEGOCIAÇÕES!E1024,"")</f>
        <v/>
      </c>
      <c r="D1024" s="6" t="str">
        <f ca="1">IF(AND(NEGOCIAÇÕES!P1024="",NEGOCIAÇÕES!N1024&lt;TODAY()),NEGOCIAÇÕES!D1024,"")</f>
        <v/>
      </c>
      <c r="E1024" s="9" t="str">
        <f ca="1">IF(AND(NEGOCIAÇÕES!P1024="",NEGOCIAÇÕES!N1024&lt;TODAY()),NEGOCIAÇÕES!N1024,"")</f>
        <v/>
      </c>
    </row>
    <row r="1025" spans="2:5" ht="31.95" hidden="1" customHeight="1" x14ac:dyDescent="0.3">
      <c r="B1025" s="6" t="str">
        <f ca="1">IF(AND(NEGOCIAÇÕES!P1025="",NEGOCIAÇÕES!N1025&lt;TODAY()),NEGOCIAÇÕES!C1025,"")</f>
        <v/>
      </c>
      <c r="C1025" s="6" t="str">
        <f ca="1">IF(AND(NEGOCIAÇÕES!P1025="",NEGOCIAÇÕES!N1025&lt;TODAY()),NEGOCIAÇÕES!E1025,"")</f>
        <v/>
      </c>
      <c r="D1025" s="6" t="str">
        <f ca="1">IF(AND(NEGOCIAÇÕES!P1025="",NEGOCIAÇÕES!N1025&lt;TODAY()),NEGOCIAÇÕES!D1025,"")</f>
        <v/>
      </c>
      <c r="E1025" s="9" t="str">
        <f ca="1">IF(AND(NEGOCIAÇÕES!P1025="",NEGOCIAÇÕES!N1025&lt;TODAY()),NEGOCIAÇÕES!N1025,"")</f>
        <v/>
      </c>
    </row>
    <row r="1026" spans="2:5" ht="31.95" hidden="1" customHeight="1" x14ac:dyDescent="0.3">
      <c r="B1026" s="6" t="str">
        <f ca="1">IF(AND(NEGOCIAÇÕES!P1026="",NEGOCIAÇÕES!N1026&lt;TODAY()),NEGOCIAÇÕES!C1026,"")</f>
        <v/>
      </c>
      <c r="C1026" s="6" t="str">
        <f ca="1">IF(AND(NEGOCIAÇÕES!P1026="",NEGOCIAÇÕES!N1026&lt;TODAY()),NEGOCIAÇÕES!E1026,"")</f>
        <v/>
      </c>
      <c r="D1026" s="6" t="str">
        <f ca="1">IF(AND(NEGOCIAÇÕES!P1026="",NEGOCIAÇÕES!N1026&lt;TODAY()),NEGOCIAÇÕES!D1026,"")</f>
        <v/>
      </c>
      <c r="E1026" s="9" t="str">
        <f ca="1">IF(AND(NEGOCIAÇÕES!P1026="",NEGOCIAÇÕES!N1026&lt;TODAY()),NEGOCIAÇÕES!N1026,"")</f>
        <v/>
      </c>
    </row>
    <row r="1027" spans="2:5" ht="31.95" hidden="1" customHeight="1" x14ac:dyDescent="0.3">
      <c r="B1027" s="6" t="str">
        <f ca="1">IF(AND(NEGOCIAÇÕES!P1027="",NEGOCIAÇÕES!N1027&lt;TODAY()),NEGOCIAÇÕES!C1027,"")</f>
        <v/>
      </c>
      <c r="C1027" s="6" t="str">
        <f ca="1">IF(AND(NEGOCIAÇÕES!P1027="",NEGOCIAÇÕES!N1027&lt;TODAY()),NEGOCIAÇÕES!E1027,"")</f>
        <v/>
      </c>
      <c r="D1027" s="6" t="str">
        <f ca="1">IF(AND(NEGOCIAÇÕES!P1027="",NEGOCIAÇÕES!N1027&lt;TODAY()),NEGOCIAÇÕES!D1027,"")</f>
        <v/>
      </c>
      <c r="E1027" s="9" t="str">
        <f ca="1">IF(AND(NEGOCIAÇÕES!P1027="",NEGOCIAÇÕES!N1027&lt;TODAY()),NEGOCIAÇÕES!N1027,"")</f>
        <v/>
      </c>
    </row>
    <row r="1028" spans="2:5" ht="31.95" hidden="1" customHeight="1" x14ac:dyDescent="0.3">
      <c r="B1028" s="6" t="str">
        <f ca="1">IF(AND(NEGOCIAÇÕES!P1028="",NEGOCIAÇÕES!N1028&lt;TODAY()),NEGOCIAÇÕES!C1028,"")</f>
        <v/>
      </c>
      <c r="C1028" s="6" t="str">
        <f ca="1">IF(AND(NEGOCIAÇÕES!P1028="",NEGOCIAÇÕES!N1028&lt;TODAY()),NEGOCIAÇÕES!E1028,"")</f>
        <v/>
      </c>
      <c r="D1028" s="6" t="str">
        <f ca="1">IF(AND(NEGOCIAÇÕES!P1028="",NEGOCIAÇÕES!N1028&lt;TODAY()),NEGOCIAÇÕES!D1028,"")</f>
        <v/>
      </c>
      <c r="E1028" s="9" t="str">
        <f ca="1">IF(AND(NEGOCIAÇÕES!P1028="",NEGOCIAÇÕES!N1028&lt;TODAY()),NEGOCIAÇÕES!N1028,"")</f>
        <v/>
      </c>
    </row>
    <row r="1029" spans="2:5" ht="31.95" hidden="1" customHeight="1" x14ac:dyDescent="0.3">
      <c r="B1029" s="6" t="str">
        <f ca="1">IF(AND(NEGOCIAÇÕES!P1029="",NEGOCIAÇÕES!N1029&lt;TODAY()),NEGOCIAÇÕES!C1029,"")</f>
        <v/>
      </c>
      <c r="C1029" s="6" t="str">
        <f ca="1">IF(AND(NEGOCIAÇÕES!P1029="",NEGOCIAÇÕES!N1029&lt;TODAY()),NEGOCIAÇÕES!E1029,"")</f>
        <v/>
      </c>
      <c r="D1029" s="6" t="str">
        <f ca="1">IF(AND(NEGOCIAÇÕES!P1029="",NEGOCIAÇÕES!N1029&lt;TODAY()),NEGOCIAÇÕES!D1029,"")</f>
        <v/>
      </c>
      <c r="E1029" s="9" t="str">
        <f ca="1">IF(AND(NEGOCIAÇÕES!P1029="",NEGOCIAÇÕES!N1029&lt;TODAY()),NEGOCIAÇÕES!N1029,"")</f>
        <v/>
      </c>
    </row>
    <row r="1030" spans="2:5" ht="31.95" hidden="1" customHeight="1" x14ac:dyDescent="0.3">
      <c r="B1030" s="6" t="str">
        <f ca="1">IF(AND(NEGOCIAÇÕES!P1030="",NEGOCIAÇÕES!N1030&lt;TODAY()),NEGOCIAÇÕES!C1030,"")</f>
        <v/>
      </c>
      <c r="C1030" s="6" t="str">
        <f ca="1">IF(AND(NEGOCIAÇÕES!P1030="",NEGOCIAÇÕES!N1030&lt;TODAY()),NEGOCIAÇÕES!E1030,"")</f>
        <v/>
      </c>
      <c r="D1030" s="6" t="str">
        <f ca="1">IF(AND(NEGOCIAÇÕES!P1030="",NEGOCIAÇÕES!N1030&lt;TODAY()),NEGOCIAÇÕES!D1030,"")</f>
        <v/>
      </c>
      <c r="E1030" s="9" t="str">
        <f ca="1">IF(AND(NEGOCIAÇÕES!P1030="",NEGOCIAÇÕES!N1030&lt;TODAY()),NEGOCIAÇÕES!N1030,"")</f>
        <v/>
      </c>
    </row>
    <row r="1031" spans="2:5" ht="31.95" hidden="1" customHeight="1" x14ac:dyDescent="0.3">
      <c r="B1031" s="6" t="str">
        <f ca="1">IF(AND(NEGOCIAÇÕES!P1031="",NEGOCIAÇÕES!N1031&lt;TODAY()),NEGOCIAÇÕES!C1031,"")</f>
        <v/>
      </c>
      <c r="C1031" s="6" t="str">
        <f ca="1">IF(AND(NEGOCIAÇÕES!P1031="",NEGOCIAÇÕES!N1031&lt;TODAY()),NEGOCIAÇÕES!E1031,"")</f>
        <v/>
      </c>
      <c r="D1031" s="6" t="str">
        <f ca="1">IF(AND(NEGOCIAÇÕES!P1031="",NEGOCIAÇÕES!N1031&lt;TODAY()),NEGOCIAÇÕES!D1031,"")</f>
        <v/>
      </c>
      <c r="E1031" s="9" t="str">
        <f ca="1">IF(AND(NEGOCIAÇÕES!P1031="",NEGOCIAÇÕES!N1031&lt;TODAY()),NEGOCIAÇÕES!N1031,"")</f>
        <v/>
      </c>
    </row>
    <row r="1032" spans="2:5" ht="31.95" hidden="1" customHeight="1" x14ac:dyDescent="0.3">
      <c r="B1032" s="6" t="str">
        <f ca="1">IF(AND(NEGOCIAÇÕES!P1032="",NEGOCIAÇÕES!N1032&lt;TODAY()),NEGOCIAÇÕES!C1032,"")</f>
        <v/>
      </c>
      <c r="C1032" s="6" t="str">
        <f ca="1">IF(AND(NEGOCIAÇÕES!P1032="",NEGOCIAÇÕES!N1032&lt;TODAY()),NEGOCIAÇÕES!E1032,"")</f>
        <v/>
      </c>
      <c r="D1032" s="6" t="str">
        <f ca="1">IF(AND(NEGOCIAÇÕES!P1032="",NEGOCIAÇÕES!N1032&lt;TODAY()),NEGOCIAÇÕES!D1032,"")</f>
        <v/>
      </c>
      <c r="E1032" s="9" t="str">
        <f ca="1">IF(AND(NEGOCIAÇÕES!P1032="",NEGOCIAÇÕES!N1032&lt;TODAY()),NEGOCIAÇÕES!N1032,"")</f>
        <v/>
      </c>
    </row>
    <row r="1033" spans="2:5" ht="31.95" hidden="1" customHeight="1" x14ac:dyDescent="0.3">
      <c r="B1033" s="6" t="str">
        <f ca="1">IF(AND(NEGOCIAÇÕES!P1033="",NEGOCIAÇÕES!N1033&lt;TODAY()),NEGOCIAÇÕES!C1033,"")</f>
        <v/>
      </c>
      <c r="C1033" s="6" t="str">
        <f ca="1">IF(AND(NEGOCIAÇÕES!P1033="",NEGOCIAÇÕES!N1033&lt;TODAY()),NEGOCIAÇÕES!E1033,"")</f>
        <v/>
      </c>
      <c r="D1033" s="6" t="str">
        <f ca="1">IF(AND(NEGOCIAÇÕES!P1033="",NEGOCIAÇÕES!N1033&lt;TODAY()),NEGOCIAÇÕES!D1033,"")</f>
        <v/>
      </c>
      <c r="E1033" s="9" t="str">
        <f ca="1">IF(AND(NEGOCIAÇÕES!P1033="",NEGOCIAÇÕES!N1033&lt;TODAY()),NEGOCIAÇÕES!N1033,"")</f>
        <v/>
      </c>
    </row>
    <row r="1034" spans="2:5" ht="31.95" hidden="1" customHeight="1" x14ac:dyDescent="0.3">
      <c r="B1034" s="6" t="str">
        <f ca="1">IF(AND(NEGOCIAÇÕES!P1034="",NEGOCIAÇÕES!N1034&lt;TODAY()),NEGOCIAÇÕES!C1034,"")</f>
        <v/>
      </c>
      <c r="C1034" s="6" t="str">
        <f ca="1">IF(AND(NEGOCIAÇÕES!P1034="",NEGOCIAÇÕES!N1034&lt;TODAY()),NEGOCIAÇÕES!E1034,"")</f>
        <v/>
      </c>
      <c r="D1034" s="6" t="str">
        <f ca="1">IF(AND(NEGOCIAÇÕES!P1034="",NEGOCIAÇÕES!N1034&lt;TODAY()),NEGOCIAÇÕES!D1034,"")</f>
        <v/>
      </c>
      <c r="E1034" s="9" t="str">
        <f ca="1">IF(AND(NEGOCIAÇÕES!P1034="",NEGOCIAÇÕES!N1034&lt;TODAY()),NEGOCIAÇÕES!N1034,"")</f>
        <v/>
      </c>
    </row>
    <row r="1035" spans="2:5" ht="31.95" hidden="1" customHeight="1" x14ac:dyDescent="0.3">
      <c r="B1035" s="6" t="str">
        <f ca="1">IF(AND(NEGOCIAÇÕES!P1035="",NEGOCIAÇÕES!N1035&lt;TODAY()),NEGOCIAÇÕES!C1035,"")</f>
        <v/>
      </c>
      <c r="C1035" s="6" t="str">
        <f ca="1">IF(AND(NEGOCIAÇÕES!P1035="",NEGOCIAÇÕES!N1035&lt;TODAY()),NEGOCIAÇÕES!E1035,"")</f>
        <v/>
      </c>
      <c r="D1035" s="6" t="str">
        <f ca="1">IF(AND(NEGOCIAÇÕES!P1035="",NEGOCIAÇÕES!N1035&lt;TODAY()),NEGOCIAÇÕES!D1035,"")</f>
        <v/>
      </c>
      <c r="E1035" s="9" t="str">
        <f ca="1">IF(AND(NEGOCIAÇÕES!P1035="",NEGOCIAÇÕES!N1035&lt;TODAY()),NEGOCIAÇÕES!N1035,"")</f>
        <v/>
      </c>
    </row>
    <row r="1036" spans="2:5" ht="31.95" hidden="1" customHeight="1" x14ac:dyDescent="0.3">
      <c r="B1036" s="6" t="str">
        <f ca="1">IF(AND(NEGOCIAÇÕES!P1036="",NEGOCIAÇÕES!N1036&lt;TODAY()),NEGOCIAÇÕES!C1036,"")</f>
        <v/>
      </c>
      <c r="C1036" s="6" t="str">
        <f ca="1">IF(AND(NEGOCIAÇÕES!P1036="",NEGOCIAÇÕES!N1036&lt;TODAY()),NEGOCIAÇÕES!E1036,"")</f>
        <v/>
      </c>
      <c r="D1036" s="6" t="str">
        <f ca="1">IF(AND(NEGOCIAÇÕES!P1036="",NEGOCIAÇÕES!N1036&lt;TODAY()),NEGOCIAÇÕES!D1036,"")</f>
        <v/>
      </c>
      <c r="E1036" s="9" t="str">
        <f ca="1">IF(AND(NEGOCIAÇÕES!P1036="",NEGOCIAÇÕES!N1036&lt;TODAY()),NEGOCIAÇÕES!N1036,"")</f>
        <v/>
      </c>
    </row>
    <row r="1037" spans="2:5" ht="31.95" hidden="1" customHeight="1" x14ac:dyDescent="0.3">
      <c r="B1037" s="6" t="str">
        <f ca="1">IF(AND(NEGOCIAÇÕES!P1037="",NEGOCIAÇÕES!N1037&lt;TODAY()),NEGOCIAÇÕES!C1037,"")</f>
        <v/>
      </c>
      <c r="C1037" s="6" t="str">
        <f ca="1">IF(AND(NEGOCIAÇÕES!P1037="",NEGOCIAÇÕES!N1037&lt;TODAY()),NEGOCIAÇÕES!E1037,"")</f>
        <v/>
      </c>
      <c r="D1037" s="6" t="str">
        <f ca="1">IF(AND(NEGOCIAÇÕES!P1037="",NEGOCIAÇÕES!N1037&lt;TODAY()),NEGOCIAÇÕES!D1037,"")</f>
        <v/>
      </c>
      <c r="E1037" s="9" t="str">
        <f ca="1">IF(AND(NEGOCIAÇÕES!P1037="",NEGOCIAÇÕES!N1037&lt;TODAY()),NEGOCIAÇÕES!N1037,"")</f>
        <v/>
      </c>
    </row>
    <row r="1038" spans="2:5" ht="31.95" hidden="1" customHeight="1" x14ac:dyDescent="0.3">
      <c r="B1038" s="6" t="str">
        <f ca="1">IF(AND(NEGOCIAÇÕES!P1038="",NEGOCIAÇÕES!N1038&lt;TODAY()),NEGOCIAÇÕES!C1038,"")</f>
        <v/>
      </c>
      <c r="C1038" s="6" t="str">
        <f ca="1">IF(AND(NEGOCIAÇÕES!P1038="",NEGOCIAÇÕES!N1038&lt;TODAY()),NEGOCIAÇÕES!E1038,"")</f>
        <v/>
      </c>
      <c r="D1038" s="6" t="str">
        <f ca="1">IF(AND(NEGOCIAÇÕES!P1038="",NEGOCIAÇÕES!N1038&lt;TODAY()),NEGOCIAÇÕES!D1038,"")</f>
        <v/>
      </c>
      <c r="E1038" s="9" t="str">
        <f ca="1">IF(AND(NEGOCIAÇÕES!P1038="",NEGOCIAÇÕES!N1038&lt;TODAY()),NEGOCIAÇÕES!N1038,"")</f>
        <v/>
      </c>
    </row>
    <row r="1039" spans="2:5" ht="31.95" hidden="1" customHeight="1" x14ac:dyDescent="0.3">
      <c r="B1039" s="6" t="str">
        <f ca="1">IF(AND(NEGOCIAÇÕES!P1039="",NEGOCIAÇÕES!N1039&lt;TODAY()),NEGOCIAÇÕES!C1039,"")</f>
        <v/>
      </c>
      <c r="C1039" s="6" t="str">
        <f ca="1">IF(AND(NEGOCIAÇÕES!P1039="",NEGOCIAÇÕES!N1039&lt;TODAY()),NEGOCIAÇÕES!E1039,"")</f>
        <v/>
      </c>
      <c r="D1039" s="6" t="str">
        <f ca="1">IF(AND(NEGOCIAÇÕES!P1039="",NEGOCIAÇÕES!N1039&lt;TODAY()),NEGOCIAÇÕES!D1039,"")</f>
        <v/>
      </c>
      <c r="E1039" s="9" t="str">
        <f ca="1">IF(AND(NEGOCIAÇÕES!P1039="",NEGOCIAÇÕES!N1039&lt;TODAY()),NEGOCIAÇÕES!N1039,"")</f>
        <v/>
      </c>
    </row>
    <row r="1040" spans="2:5" ht="31.95" hidden="1" customHeight="1" x14ac:dyDescent="0.3">
      <c r="B1040" s="6" t="str">
        <f ca="1">IF(AND(NEGOCIAÇÕES!P1040="",NEGOCIAÇÕES!N1040&lt;TODAY()),NEGOCIAÇÕES!C1040,"")</f>
        <v/>
      </c>
      <c r="C1040" s="6" t="str">
        <f ca="1">IF(AND(NEGOCIAÇÕES!P1040="",NEGOCIAÇÕES!N1040&lt;TODAY()),NEGOCIAÇÕES!E1040,"")</f>
        <v/>
      </c>
      <c r="D1040" s="6" t="str">
        <f ca="1">IF(AND(NEGOCIAÇÕES!P1040="",NEGOCIAÇÕES!N1040&lt;TODAY()),NEGOCIAÇÕES!D1040,"")</f>
        <v/>
      </c>
      <c r="E1040" s="9" t="str">
        <f ca="1">IF(AND(NEGOCIAÇÕES!P1040="",NEGOCIAÇÕES!N1040&lt;TODAY()),NEGOCIAÇÕES!N1040,"")</f>
        <v/>
      </c>
    </row>
    <row r="1041" spans="2:5" ht="31.95" hidden="1" customHeight="1" x14ac:dyDescent="0.3">
      <c r="B1041" s="6" t="str">
        <f ca="1">IF(AND(NEGOCIAÇÕES!P1041="",NEGOCIAÇÕES!N1041&lt;TODAY()),NEGOCIAÇÕES!C1041,"")</f>
        <v/>
      </c>
      <c r="C1041" s="6" t="str">
        <f ca="1">IF(AND(NEGOCIAÇÕES!P1041="",NEGOCIAÇÕES!N1041&lt;TODAY()),NEGOCIAÇÕES!E1041,"")</f>
        <v/>
      </c>
      <c r="D1041" s="6" t="str">
        <f ca="1">IF(AND(NEGOCIAÇÕES!P1041="",NEGOCIAÇÕES!N1041&lt;TODAY()),NEGOCIAÇÕES!D1041,"")</f>
        <v/>
      </c>
      <c r="E1041" s="9" t="str">
        <f ca="1">IF(AND(NEGOCIAÇÕES!P1041="",NEGOCIAÇÕES!N1041&lt;TODAY()),NEGOCIAÇÕES!N1041,"")</f>
        <v/>
      </c>
    </row>
    <row r="1042" spans="2:5" ht="31.95" hidden="1" customHeight="1" x14ac:dyDescent="0.3">
      <c r="B1042" s="6" t="str">
        <f ca="1">IF(AND(NEGOCIAÇÕES!P1042="",NEGOCIAÇÕES!N1042&lt;TODAY()),NEGOCIAÇÕES!C1042,"")</f>
        <v/>
      </c>
      <c r="C1042" s="6" t="str">
        <f ca="1">IF(AND(NEGOCIAÇÕES!P1042="",NEGOCIAÇÕES!N1042&lt;TODAY()),NEGOCIAÇÕES!E1042,"")</f>
        <v/>
      </c>
      <c r="D1042" s="6" t="str">
        <f ca="1">IF(AND(NEGOCIAÇÕES!P1042="",NEGOCIAÇÕES!N1042&lt;TODAY()),NEGOCIAÇÕES!D1042,"")</f>
        <v/>
      </c>
      <c r="E1042" s="9" t="str">
        <f ca="1">IF(AND(NEGOCIAÇÕES!P1042="",NEGOCIAÇÕES!N1042&lt;TODAY()),NEGOCIAÇÕES!N1042,"")</f>
        <v/>
      </c>
    </row>
    <row r="1043" spans="2:5" ht="31.95" hidden="1" customHeight="1" x14ac:dyDescent="0.3">
      <c r="B1043" s="6" t="str">
        <f ca="1">IF(AND(NEGOCIAÇÕES!P1043="",NEGOCIAÇÕES!N1043&lt;TODAY()),NEGOCIAÇÕES!C1043,"")</f>
        <v/>
      </c>
      <c r="C1043" s="6" t="str">
        <f ca="1">IF(AND(NEGOCIAÇÕES!P1043="",NEGOCIAÇÕES!N1043&lt;TODAY()),NEGOCIAÇÕES!E1043,"")</f>
        <v/>
      </c>
      <c r="D1043" s="6" t="str">
        <f ca="1">IF(AND(NEGOCIAÇÕES!P1043="",NEGOCIAÇÕES!N1043&lt;TODAY()),NEGOCIAÇÕES!D1043,"")</f>
        <v/>
      </c>
      <c r="E1043" s="9" t="str">
        <f ca="1">IF(AND(NEGOCIAÇÕES!P1043="",NEGOCIAÇÕES!N1043&lt;TODAY()),NEGOCIAÇÕES!N1043,"")</f>
        <v/>
      </c>
    </row>
    <row r="1044" spans="2:5" ht="31.95" hidden="1" customHeight="1" x14ac:dyDescent="0.3">
      <c r="B1044" s="6" t="str">
        <f ca="1">IF(AND(NEGOCIAÇÕES!P1044="",NEGOCIAÇÕES!N1044&lt;TODAY()),NEGOCIAÇÕES!C1044,"")</f>
        <v/>
      </c>
      <c r="C1044" s="6" t="str">
        <f ca="1">IF(AND(NEGOCIAÇÕES!P1044="",NEGOCIAÇÕES!N1044&lt;TODAY()),NEGOCIAÇÕES!E1044,"")</f>
        <v/>
      </c>
      <c r="D1044" s="6" t="str">
        <f ca="1">IF(AND(NEGOCIAÇÕES!P1044="",NEGOCIAÇÕES!N1044&lt;TODAY()),NEGOCIAÇÕES!D1044,"")</f>
        <v/>
      </c>
      <c r="E1044" s="9" t="str">
        <f ca="1">IF(AND(NEGOCIAÇÕES!P1044="",NEGOCIAÇÕES!N1044&lt;TODAY()),NEGOCIAÇÕES!N1044,"")</f>
        <v/>
      </c>
    </row>
    <row r="1045" spans="2:5" ht="31.95" hidden="1" customHeight="1" x14ac:dyDescent="0.3">
      <c r="B1045" s="6" t="str">
        <f ca="1">IF(AND(NEGOCIAÇÕES!P1045="",NEGOCIAÇÕES!N1045&lt;TODAY()),NEGOCIAÇÕES!C1045,"")</f>
        <v/>
      </c>
      <c r="C1045" s="6" t="str">
        <f ca="1">IF(AND(NEGOCIAÇÕES!P1045="",NEGOCIAÇÕES!N1045&lt;TODAY()),NEGOCIAÇÕES!E1045,"")</f>
        <v/>
      </c>
      <c r="D1045" s="6" t="str">
        <f ca="1">IF(AND(NEGOCIAÇÕES!P1045="",NEGOCIAÇÕES!N1045&lt;TODAY()),NEGOCIAÇÕES!D1045,"")</f>
        <v/>
      </c>
      <c r="E1045" s="9" t="str">
        <f ca="1">IF(AND(NEGOCIAÇÕES!P1045="",NEGOCIAÇÕES!N1045&lt;TODAY()),NEGOCIAÇÕES!N1045,"")</f>
        <v/>
      </c>
    </row>
    <row r="1046" spans="2:5" ht="31.95" hidden="1" customHeight="1" x14ac:dyDescent="0.3">
      <c r="B1046" s="6" t="str">
        <f ca="1">IF(AND(NEGOCIAÇÕES!P1046="",NEGOCIAÇÕES!N1046&lt;TODAY()),NEGOCIAÇÕES!C1046,"")</f>
        <v/>
      </c>
      <c r="C1046" s="6" t="str">
        <f ca="1">IF(AND(NEGOCIAÇÕES!P1046="",NEGOCIAÇÕES!N1046&lt;TODAY()),NEGOCIAÇÕES!E1046,"")</f>
        <v/>
      </c>
      <c r="D1046" s="6" t="str">
        <f ca="1">IF(AND(NEGOCIAÇÕES!P1046="",NEGOCIAÇÕES!N1046&lt;TODAY()),NEGOCIAÇÕES!D1046,"")</f>
        <v/>
      </c>
      <c r="E1046" s="9" t="str">
        <f ca="1">IF(AND(NEGOCIAÇÕES!P1046="",NEGOCIAÇÕES!N1046&lt;TODAY()),NEGOCIAÇÕES!N1046,"")</f>
        <v/>
      </c>
    </row>
    <row r="1047" spans="2:5" ht="31.95" hidden="1" customHeight="1" x14ac:dyDescent="0.3">
      <c r="B1047" s="6" t="str">
        <f ca="1">IF(AND(NEGOCIAÇÕES!P1047="",NEGOCIAÇÕES!N1047&lt;TODAY()),NEGOCIAÇÕES!C1047,"")</f>
        <v/>
      </c>
      <c r="C1047" s="6" t="str">
        <f ca="1">IF(AND(NEGOCIAÇÕES!P1047="",NEGOCIAÇÕES!N1047&lt;TODAY()),NEGOCIAÇÕES!E1047,"")</f>
        <v/>
      </c>
      <c r="D1047" s="6" t="str">
        <f ca="1">IF(AND(NEGOCIAÇÕES!P1047="",NEGOCIAÇÕES!N1047&lt;TODAY()),NEGOCIAÇÕES!D1047,"")</f>
        <v/>
      </c>
      <c r="E1047" s="9" t="str">
        <f ca="1">IF(AND(NEGOCIAÇÕES!P1047="",NEGOCIAÇÕES!N1047&lt;TODAY()),NEGOCIAÇÕES!N1047,"")</f>
        <v/>
      </c>
    </row>
    <row r="1048" spans="2:5" ht="31.95" hidden="1" customHeight="1" x14ac:dyDescent="0.3">
      <c r="B1048" s="6" t="str">
        <f ca="1">IF(AND(NEGOCIAÇÕES!P1048="",NEGOCIAÇÕES!N1048&lt;TODAY()),NEGOCIAÇÕES!C1048,"")</f>
        <v/>
      </c>
      <c r="C1048" s="6" t="str">
        <f ca="1">IF(AND(NEGOCIAÇÕES!P1048="",NEGOCIAÇÕES!N1048&lt;TODAY()),NEGOCIAÇÕES!E1048,"")</f>
        <v/>
      </c>
      <c r="D1048" s="6" t="str">
        <f ca="1">IF(AND(NEGOCIAÇÕES!P1048="",NEGOCIAÇÕES!N1048&lt;TODAY()),NEGOCIAÇÕES!D1048,"")</f>
        <v/>
      </c>
      <c r="E1048" s="9" t="str">
        <f ca="1">IF(AND(NEGOCIAÇÕES!P1048="",NEGOCIAÇÕES!N1048&lt;TODAY()),NEGOCIAÇÕES!N1048,"")</f>
        <v/>
      </c>
    </row>
    <row r="1049" spans="2:5" ht="31.95" hidden="1" customHeight="1" x14ac:dyDescent="0.3">
      <c r="B1049" s="6" t="str">
        <f ca="1">IF(AND(NEGOCIAÇÕES!P1049="",NEGOCIAÇÕES!N1049&lt;TODAY()),NEGOCIAÇÕES!C1049,"")</f>
        <v/>
      </c>
      <c r="C1049" s="6" t="str">
        <f ca="1">IF(AND(NEGOCIAÇÕES!P1049="",NEGOCIAÇÕES!N1049&lt;TODAY()),NEGOCIAÇÕES!E1049,"")</f>
        <v/>
      </c>
      <c r="D1049" s="6" t="str">
        <f ca="1">IF(AND(NEGOCIAÇÕES!P1049="",NEGOCIAÇÕES!N1049&lt;TODAY()),NEGOCIAÇÕES!D1049,"")</f>
        <v/>
      </c>
      <c r="E1049" s="9" t="str">
        <f ca="1">IF(AND(NEGOCIAÇÕES!P1049="",NEGOCIAÇÕES!N1049&lt;TODAY()),NEGOCIAÇÕES!N1049,"")</f>
        <v/>
      </c>
    </row>
    <row r="1050" spans="2:5" ht="31.95" hidden="1" customHeight="1" x14ac:dyDescent="0.3">
      <c r="B1050" s="6" t="str">
        <f ca="1">IF(AND(NEGOCIAÇÕES!P1050="",NEGOCIAÇÕES!N1050&lt;TODAY()),NEGOCIAÇÕES!C1050,"")</f>
        <v/>
      </c>
      <c r="C1050" s="6" t="str">
        <f ca="1">IF(AND(NEGOCIAÇÕES!P1050="",NEGOCIAÇÕES!N1050&lt;TODAY()),NEGOCIAÇÕES!E1050,"")</f>
        <v/>
      </c>
      <c r="D1050" s="6" t="str">
        <f ca="1">IF(AND(NEGOCIAÇÕES!P1050="",NEGOCIAÇÕES!N1050&lt;TODAY()),NEGOCIAÇÕES!D1050,"")</f>
        <v/>
      </c>
      <c r="E1050" s="9" t="str">
        <f ca="1">IF(AND(NEGOCIAÇÕES!P1050="",NEGOCIAÇÕES!N1050&lt;TODAY()),NEGOCIAÇÕES!N1050,"")</f>
        <v/>
      </c>
    </row>
    <row r="1051" spans="2:5" ht="31.95" hidden="1" customHeight="1" x14ac:dyDescent="0.3">
      <c r="B1051" s="6" t="str">
        <f ca="1">IF(AND(NEGOCIAÇÕES!P1051="",NEGOCIAÇÕES!N1051&lt;TODAY()),NEGOCIAÇÕES!C1051,"")</f>
        <v/>
      </c>
      <c r="C1051" s="6" t="str">
        <f ca="1">IF(AND(NEGOCIAÇÕES!P1051="",NEGOCIAÇÕES!N1051&lt;TODAY()),NEGOCIAÇÕES!E1051,"")</f>
        <v/>
      </c>
      <c r="D1051" s="6" t="str">
        <f ca="1">IF(AND(NEGOCIAÇÕES!P1051="",NEGOCIAÇÕES!N1051&lt;TODAY()),NEGOCIAÇÕES!D1051,"")</f>
        <v/>
      </c>
      <c r="E1051" s="9" t="str">
        <f ca="1">IF(AND(NEGOCIAÇÕES!P1051="",NEGOCIAÇÕES!N1051&lt;TODAY()),NEGOCIAÇÕES!N1051,"")</f>
        <v/>
      </c>
    </row>
    <row r="1052" spans="2:5" ht="31.95" hidden="1" customHeight="1" x14ac:dyDescent="0.3">
      <c r="B1052" s="6" t="str">
        <f ca="1">IF(AND(NEGOCIAÇÕES!P1052="",NEGOCIAÇÕES!N1052&lt;TODAY()),NEGOCIAÇÕES!C1052,"")</f>
        <v/>
      </c>
      <c r="C1052" s="6" t="str">
        <f ca="1">IF(AND(NEGOCIAÇÕES!P1052="",NEGOCIAÇÕES!N1052&lt;TODAY()),NEGOCIAÇÕES!E1052,"")</f>
        <v/>
      </c>
      <c r="D1052" s="6" t="str">
        <f ca="1">IF(AND(NEGOCIAÇÕES!P1052="",NEGOCIAÇÕES!N1052&lt;TODAY()),NEGOCIAÇÕES!D1052,"")</f>
        <v/>
      </c>
      <c r="E1052" s="9" t="str">
        <f ca="1">IF(AND(NEGOCIAÇÕES!P1052="",NEGOCIAÇÕES!N1052&lt;TODAY()),NEGOCIAÇÕES!N1052,"")</f>
        <v/>
      </c>
    </row>
    <row r="1053" spans="2:5" ht="31.95" hidden="1" customHeight="1" x14ac:dyDescent="0.3">
      <c r="B1053" s="6" t="str">
        <f ca="1">IF(AND(NEGOCIAÇÕES!P1053="",NEGOCIAÇÕES!N1053&lt;TODAY()),NEGOCIAÇÕES!C1053,"")</f>
        <v/>
      </c>
      <c r="C1053" s="6" t="str">
        <f ca="1">IF(AND(NEGOCIAÇÕES!P1053="",NEGOCIAÇÕES!N1053&lt;TODAY()),NEGOCIAÇÕES!E1053,"")</f>
        <v/>
      </c>
      <c r="D1053" s="6" t="str">
        <f ca="1">IF(AND(NEGOCIAÇÕES!P1053="",NEGOCIAÇÕES!N1053&lt;TODAY()),NEGOCIAÇÕES!D1053,"")</f>
        <v/>
      </c>
      <c r="E1053" s="9" t="str">
        <f ca="1">IF(AND(NEGOCIAÇÕES!P1053="",NEGOCIAÇÕES!N1053&lt;TODAY()),NEGOCIAÇÕES!N1053,"")</f>
        <v/>
      </c>
    </row>
    <row r="1054" spans="2:5" ht="31.95" hidden="1" customHeight="1" x14ac:dyDescent="0.3">
      <c r="B1054" s="6" t="str">
        <f ca="1">IF(AND(NEGOCIAÇÕES!P1054="",NEGOCIAÇÕES!N1054&lt;TODAY()),NEGOCIAÇÕES!C1054,"")</f>
        <v/>
      </c>
      <c r="C1054" s="6" t="str">
        <f ca="1">IF(AND(NEGOCIAÇÕES!P1054="",NEGOCIAÇÕES!N1054&lt;TODAY()),NEGOCIAÇÕES!E1054,"")</f>
        <v/>
      </c>
      <c r="D1054" s="6" t="str">
        <f ca="1">IF(AND(NEGOCIAÇÕES!P1054="",NEGOCIAÇÕES!N1054&lt;TODAY()),NEGOCIAÇÕES!D1054,"")</f>
        <v/>
      </c>
      <c r="E1054" s="9" t="str">
        <f ca="1">IF(AND(NEGOCIAÇÕES!P1054="",NEGOCIAÇÕES!N1054&lt;TODAY()),NEGOCIAÇÕES!N1054,"")</f>
        <v/>
      </c>
    </row>
    <row r="1055" spans="2:5" ht="31.95" hidden="1" customHeight="1" x14ac:dyDescent="0.3">
      <c r="B1055" s="6" t="str">
        <f ca="1">IF(AND(NEGOCIAÇÕES!P1055="",NEGOCIAÇÕES!N1055&lt;TODAY()),NEGOCIAÇÕES!C1055,"")</f>
        <v/>
      </c>
      <c r="C1055" s="6" t="str">
        <f ca="1">IF(AND(NEGOCIAÇÕES!P1055="",NEGOCIAÇÕES!N1055&lt;TODAY()),NEGOCIAÇÕES!E1055,"")</f>
        <v/>
      </c>
      <c r="D1055" s="6" t="str">
        <f ca="1">IF(AND(NEGOCIAÇÕES!P1055="",NEGOCIAÇÕES!N1055&lt;TODAY()),NEGOCIAÇÕES!D1055,"")</f>
        <v/>
      </c>
      <c r="E1055" s="9" t="str">
        <f ca="1">IF(AND(NEGOCIAÇÕES!P1055="",NEGOCIAÇÕES!N1055&lt;TODAY()),NEGOCIAÇÕES!N1055,"")</f>
        <v/>
      </c>
    </row>
    <row r="1056" spans="2:5" ht="31.95" hidden="1" customHeight="1" x14ac:dyDescent="0.3">
      <c r="B1056" s="6" t="str">
        <f ca="1">IF(AND(NEGOCIAÇÕES!P1056="",NEGOCIAÇÕES!N1056&lt;TODAY()),NEGOCIAÇÕES!C1056,"")</f>
        <v/>
      </c>
      <c r="C1056" s="6" t="str">
        <f ca="1">IF(AND(NEGOCIAÇÕES!P1056="",NEGOCIAÇÕES!N1056&lt;TODAY()),NEGOCIAÇÕES!E1056,"")</f>
        <v/>
      </c>
      <c r="D1056" s="6" t="str">
        <f ca="1">IF(AND(NEGOCIAÇÕES!P1056="",NEGOCIAÇÕES!N1056&lt;TODAY()),NEGOCIAÇÕES!D1056,"")</f>
        <v/>
      </c>
      <c r="E1056" s="9" t="str">
        <f ca="1">IF(AND(NEGOCIAÇÕES!P1056="",NEGOCIAÇÕES!N1056&lt;TODAY()),NEGOCIAÇÕES!N1056,"")</f>
        <v/>
      </c>
    </row>
    <row r="1057" spans="2:5" ht="31.95" hidden="1" customHeight="1" x14ac:dyDescent="0.3">
      <c r="B1057" s="6" t="str">
        <f ca="1">IF(AND(NEGOCIAÇÕES!P1057="",NEGOCIAÇÕES!N1057&lt;TODAY()),NEGOCIAÇÕES!C1057,"")</f>
        <v/>
      </c>
      <c r="C1057" s="6" t="str">
        <f ca="1">IF(AND(NEGOCIAÇÕES!P1057="",NEGOCIAÇÕES!N1057&lt;TODAY()),NEGOCIAÇÕES!E1057,"")</f>
        <v/>
      </c>
      <c r="D1057" s="6" t="str">
        <f ca="1">IF(AND(NEGOCIAÇÕES!P1057="",NEGOCIAÇÕES!N1057&lt;TODAY()),NEGOCIAÇÕES!D1057,"")</f>
        <v/>
      </c>
      <c r="E1057" s="9" t="str">
        <f ca="1">IF(AND(NEGOCIAÇÕES!P1057="",NEGOCIAÇÕES!N1057&lt;TODAY()),NEGOCIAÇÕES!N1057,"")</f>
        <v/>
      </c>
    </row>
    <row r="1058" spans="2:5" ht="31.95" hidden="1" customHeight="1" x14ac:dyDescent="0.3">
      <c r="B1058" s="6" t="str">
        <f ca="1">IF(AND(NEGOCIAÇÕES!P1058="",NEGOCIAÇÕES!N1058&lt;TODAY()),NEGOCIAÇÕES!C1058,"")</f>
        <v/>
      </c>
      <c r="C1058" s="6" t="str">
        <f ca="1">IF(AND(NEGOCIAÇÕES!P1058="",NEGOCIAÇÕES!N1058&lt;TODAY()),NEGOCIAÇÕES!E1058,"")</f>
        <v/>
      </c>
      <c r="D1058" s="6" t="str">
        <f ca="1">IF(AND(NEGOCIAÇÕES!P1058="",NEGOCIAÇÕES!N1058&lt;TODAY()),NEGOCIAÇÕES!D1058,"")</f>
        <v/>
      </c>
      <c r="E1058" s="9" t="str">
        <f ca="1">IF(AND(NEGOCIAÇÕES!P1058="",NEGOCIAÇÕES!N1058&lt;TODAY()),NEGOCIAÇÕES!N1058,"")</f>
        <v/>
      </c>
    </row>
    <row r="1059" spans="2:5" ht="31.95" hidden="1" customHeight="1" x14ac:dyDescent="0.3">
      <c r="B1059" s="6" t="str">
        <f ca="1">IF(AND(NEGOCIAÇÕES!P1059="",NEGOCIAÇÕES!N1059&lt;TODAY()),NEGOCIAÇÕES!C1059,"")</f>
        <v/>
      </c>
      <c r="C1059" s="6" t="str">
        <f ca="1">IF(AND(NEGOCIAÇÕES!P1059="",NEGOCIAÇÕES!N1059&lt;TODAY()),NEGOCIAÇÕES!E1059,"")</f>
        <v/>
      </c>
      <c r="D1059" s="6" t="str">
        <f ca="1">IF(AND(NEGOCIAÇÕES!P1059="",NEGOCIAÇÕES!N1059&lt;TODAY()),NEGOCIAÇÕES!D1059,"")</f>
        <v/>
      </c>
      <c r="E1059" s="9" t="str">
        <f ca="1">IF(AND(NEGOCIAÇÕES!P1059="",NEGOCIAÇÕES!N1059&lt;TODAY()),NEGOCIAÇÕES!N1059,"")</f>
        <v/>
      </c>
    </row>
    <row r="1060" spans="2:5" ht="31.95" hidden="1" customHeight="1" x14ac:dyDescent="0.3">
      <c r="B1060" s="6" t="str">
        <f ca="1">IF(AND(NEGOCIAÇÕES!P1060="",NEGOCIAÇÕES!N1060&lt;TODAY()),NEGOCIAÇÕES!C1060,"")</f>
        <v/>
      </c>
      <c r="C1060" s="6" t="str">
        <f ca="1">IF(AND(NEGOCIAÇÕES!P1060="",NEGOCIAÇÕES!N1060&lt;TODAY()),NEGOCIAÇÕES!E1060,"")</f>
        <v/>
      </c>
      <c r="D1060" s="6" t="str">
        <f ca="1">IF(AND(NEGOCIAÇÕES!P1060="",NEGOCIAÇÕES!N1060&lt;TODAY()),NEGOCIAÇÕES!D1060,"")</f>
        <v/>
      </c>
      <c r="E1060" s="9" t="str">
        <f ca="1">IF(AND(NEGOCIAÇÕES!P1060="",NEGOCIAÇÕES!N1060&lt;TODAY()),NEGOCIAÇÕES!N1060,"")</f>
        <v/>
      </c>
    </row>
    <row r="1061" spans="2:5" ht="31.95" hidden="1" customHeight="1" x14ac:dyDescent="0.3">
      <c r="B1061" s="6" t="str">
        <f ca="1">IF(AND(NEGOCIAÇÕES!P1061="",NEGOCIAÇÕES!N1061&lt;TODAY()),NEGOCIAÇÕES!C1061,"")</f>
        <v/>
      </c>
      <c r="C1061" s="6" t="str">
        <f ca="1">IF(AND(NEGOCIAÇÕES!P1061="",NEGOCIAÇÕES!N1061&lt;TODAY()),NEGOCIAÇÕES!E1061,"")</f>
        <v/>
      </c>
      <c r="D1061" s="6" t="str">
        <f ca="1">IF(AND(NEGOCIAÇÕES!P1061="",NEGOCIAÇÕES!N1061&lt;TODAY()),NEGOCIAÇÕES!D1061,"")</f>
        <v/>
      </c>
      <c r="E1061" s="9" t="str">
        <f ca="1">IF(AND(NEGOCIAÇÕES!P1061="",NEGOCIAÇÕES!N1061&lt;TODAY()),NEGOCIAÇÕES!N1061,"")</f>
        <v/>
      </c>
    </row>
    <row r="1062" spans="2:5" ht="31.95" hidden="1" customHeight="1" x14ac:dyDescent="0.3">
      <c r="B1062" s="6" t="str">
        <f ca="1">IF(AND(NEGOCIAÇÕES!P1062="",NEGOCIAÇÕES!N1062&lt;TODAY()),NEGOCIAÇÕES!C1062,"")</f>
        <v/>
      </c>
      <c r="C1062" s="6" t="str">
        <f ca="1">IF(AND(NEGOCIAÇÕES!P1062="",NEGOCIAÇÕES!N1062&lt;TODAY()),NEGOCIAÇÕES!E1062,"")</f>
        <v/>
      </c>
      <c r="D1062" s="6" t="str">
        <f ca="1">IF(AND(NEGOCIAÇÕES!P1062="",NEGOCIAÇÕES!N1062&lt;TODAY()),NEGOCIAÇÕES!D1062,"")</f>
        <v/>
      </c>
      <c r="E1062" s="9" t="str">
        <f ca="1">IF(AND(NEGOCIAÇÕES!P1062="",NEGOCIAÇÕES!N1062&lt;TODAY()),NEGOCIAÇÕES!N1062,"")</f>
        <v/>
      </c>
    </row>
    <row r="1063" spans="2:5" ht="31.95" hidden="1" customHeight="1" x14ac:dyDescent="0.3">
      <c r="B1063" s="6" t="str">
        <f ca="1">IF(AND(NEGOCIAÇÕES!P1063="",NEGOCIAÇÕES!N1063&lt;TODAY()),NEGOCIAÇÕES!C1063,"")</f>
        <v/>
      </c>
      <c r="C1063" s="6" t="str">
        <f ca="1">IF(AND(NEGOCIAÇÕES!P1063="",NEGOCIAÇÕES!N1063&lt;TODAY()),NEGOCIAÇÕES!E1063,"")</f>
        <v/>
      </c>
      <c r="D1063" s="6" t="str">
        <f ca="1">IF(AND(NEGOCIAÇÕES!P1063="",NEGOCIAÇÕES!N1063&lt;TODAY()),NEGOCIAÇÕES!D1063,"")</f>
        <v/>
      </c>
      <c r="E1063" s="9" t="str">
        <f ca="1">IF(AND(NEGOCIAÇÕES!P1063="",NEGOCIAÇÕES!N1063&lt;TODAY()),NEGOCIAÇÕES!N1063,"")</f>
        <v/>
      </c>
    </row>
    <row r="1064" spans="2:5" ht="31.95" hidden="1" customHeight="1" x14ac:dyDescent="0.3">
      <c r="B1064" s="6" t="str">
        <f ca="1">IF(AND(NEGOCIAÇÕES!P1064="",NEGOCIAÇÕES!N1064&lt;TODAY()),NEGOCIAÇÕES!C1064,"")</f>
        <v/>
      </c>
      <c r="C1064" s="6" t="str">
        <f ca="1">IF(AND(NEGOCIAÇÕES!P1064="",NEGOCIAÇÕES!N1064&lt;TODAY()),NEGOCIAÇÕES!E1064,"")</f>
        <v/>
      </c>
      <c r="D1064" s="6" t="str">
        <f ca="1">IF(AND(NEGOCIAÇÕES!P1064="",NEGOCIAÇÕES!N1064&lt;TODAY()),NEGOCIAÇÕES!D1064,"")</f>
        <v/>
      </c>
      <c r="E1064" s="9" t="str">
        <f ca="1">IF(AND(NEGOCIAÇÕES!P1064="",NEGOCIAÇÕES!N1064&lt;TODAY()),NEGOCIAÇÕES!N1064,"")</f>
        <v/>
      </c>
    </row>
    <row r="1065" spans="2:5" ht="31.95" hidden="1" customHeight="1" x14ac:dyDescent="0.3">
      <c r="B1065" s="6" t="str">
        <f ca="1">IF(AND(NEGOCIAÇÕES!P1065="",NEGOCIAÇÕES!N1065&lt;TODAY()),NEGOCIAÇÕES!C1065,"")</f>
        <v/>
      </c>
      <c r="C1065" s="6" t="str">
        <f ca="1">IF(AND(NEGOCIAÇÕES!P1065="",NEGOCIAÇÕES!N1065&lt;TODAY()),NEGOCIAÇÕES!E1065,"")</f>
        <v/>
      </c>
      <c r="D1065" s="6" t="str">
        <f ca="1">IF(AND(NEGOCIAÇÕES!P1065="",NEGOCIAÇÕES!N1065&lt;TODAY()),NEGOCIAÇÕES!D1065,"")</f>
        <v/>
      </c>
      <c r="E1065" s="9" t="str">
        <f ca="1">IF(AND(NEGOCIAÇÕES!P1065="",NEGOCIAÇÕES!N1065&lt;TODAY()),NEGOCIAÇÕES!N1065,"")</f>
        <v/>
      </c>
    </row>
    <row r="1066" spans="2:5" ht="31.95" hidden="1" customHeight="1" x14ac:dyDescent="0.3">
      <c r="B1066" s="6" t="str">
        <f ca="1">IF(AND(NEGOCIAÇÕES!P1066="",NEGOCIAÇÕES!N1066&lt;TODAY()),NEGOCIAÇÕES!C1066,"")</f>
        <v/>
      </c>
      <c r="C1066" s="6" t="str">
        <f ca="1">IF(AND(NEGOCIAÇÕES!P1066="",NEGOCIAÇÕES!N1066&lt;TODAY()),NEGOCIAÇÕES!E1066,"")</f>
        <v/>
      </c>
      <c r="D1066" s="6" t="str">
        <f ca="1">IF(AND(NEGOCIAÇÕES!P1066="",NEGOCIAÇÕES!N1066&lt;TODAY()),NEGOCIAÇÕES!D1066,"")</f>
        <v/>
      </c>
      <c r="E1066" s="9" t="str">
        <f ca="1">IF(AND(NEGOCIAÇÕES!P1066="",NEGOCIAÇÕES!N1066&lt;TODAY()),NEGOCIAÇÕES!N1066,"")</f>
        <v/>
      </c>
    </row>
    <row r="1067" spans="2:5" ht="31.95" hidden="1" customHeight="1" x14ac:dyDescent="0.3">
      <c r="B1067" s="6" t="str">
        <f ca="1">IF(AND(NEGOCIAÇÕES!P1067="",NEGOCIAÇÕES!N1067&lt;TODAY()),NEGOCIAÇÕES!C1067,"")</f>
        <v/>
      </c>
      <c r="C1067" s="6" t="str">
        <f ca="1">IF(AND(NEGOCIAÇÕES!P1067="",NEGOCIAÇÕES!N1067&lt;TODAY()),NEGOCIAÇÕES!E1067,"")</f>
        <v/>
      </c>
      <c r="D1067" s="6" t="str">
        <f ca="1">IF(AND(NEGOCIAÇÕES!P1067="",NEGOCIAÇÕES!N1067&lt;TODAY()),NEGOCIAÇÕES!D1067,"")</f>
        <v/>
      </c>
      <c r="E1067" s="9" t="str">
        <f ca="1">IF(AND(NEGOCIAÇÕES!P1067="",NEGOCIAÇÕES!N1067&lt;TODAY()),NEGOCIAÇÕES!N1067,"")</f>
        <v/>
      </c>
    </row>
    <row r="1068" spans="2:5" ht="31.95" hidden="1" customHeight="1" x14ac:dyDescent="0.3">
      <c r="B1068" s="6" t="str">
        <f ca="1">IF(AND(NEGOCIAÇÕES!P1068="",NEGOCIAÇÕES!N1068&lt;TODAY()),NEGOCIAÇÕES!C1068,"")</f>
        <v/>
      </c>
      <c r="C1068" s="6" t="str">
        <f ca="1">IF(AND(NEGOCIAÇÕES!P1068="",NEGOCIAÇÕES!N1068&lt;TODAY()),NEGOCIAÇÕES!E1068,"")</f>
        <v/>
      </c>
      <c r="D1068" s="6" t="str">
        <f ca="1">IF(AND(NEGOCIAÇÕES!P1068="",NEGOCIAÇÕES!N1068&lt;TODAY()),NEGOCIAÇÕES!D1068,"")</f>
        <v/>
      </c>
      <c r="E1068" s="9" t="str">
        <f ca="1">IF(AND(NEGOCIAÇÕES!P1068="",NEGOCIAÇÕES!N1068&lt;TODAY()),NEGOCIAÇÕES!N1068,"")</f>
        <v/>
      </c>
    </row>
    <row r="1069" spans="2:5" ht="31.95" hidden="1" customHeight="1" x14ac:dyDescent="0.3">
      <c r="B1069" s="6" t="str">
        <f ca="1">IF(AND(NEGOCIAÇÕES!P1069="",NEGOCIAÇÕES!N1069&lt;TODAY()),NEGOCIAÇÕES!C1069,"")</f>
        <v/>
      </c>
      <c r="C1069" s="6" t="str">
        <f ca="1">IF(AND(NEGOCIAÇÕES!P1069="",NEGOCIAÇÕES!N1069&lt;TODAY()),NEGOCIAÇÕES!E1069,"")</f>
        <v/>
      </c>
      <c r="D1069" s="6" t="str">
        <f ca="1">IF(AND(NEGOCIAÇÕES!P1069="",NEGOCIAÇÕES!N1069&lt;TODAY()),NEGOCIAÇÕES!D1069,"")</f>
        <v/>
      </c>
      <c r="E1069" s="9" t="str">
        <f ca="1">IF(AND(NEGOCIAÇÕES!P1069="",NEGOCIAÇÕES!N1069&lt;TODAY()),NEGOCIAÇÕES!N1069,"")</f>
        <v/>
      </c>
    </row>
    <row r="1070" spans="2:5" ht="31.95" hidden="1" customHeight="1" x14ac:dyDescent="0.3">
      <c r="B1070" s="6" t="str">
        <f ca="1">IF(AND(NEGOCIAÇÕES!P1070="",NEGOCIAÇÕES!N1070&lt;TODAY()),NEGOCIAÇÕES!C1070,"")</f>
        <v/>
      </c>
      <c r="C1070" s="6" t="str">
        <f ca="1">IF(AND(NEGOCIAÇÕES!P1070="",NEGOCIAÇÕES!N1070&lt;TODAY()),NEGOCIAÇÕES!E1070,"")</f>
        <v/>
      </c>
      <c r="D1070" s="6" t="str">
        <f ca="1">IF(AND(NEGOCIAÇÕES!P1070="",NEGOCIAÇÕES!N1070&lt;TODAY()),NEGOCIAÇÕES!D1070,"")</f>
        <v/>
      </c>
      <c r="E1070" s="9" t="str">
        <f ca="1">IF(AND(NEGOCIAÇÕES!P1070="",NEGOCIAÇÕES!N1070&lt;TODAY()),NEGOCIAÇÕES!N1070,"")</f>
        <v/>
      </c>
    </row>
    <row r="1071" spans="2:5" ht="31.95" hidden="1" customHeight="1" x14ac:dyDescent="0.3">
      <c r="B1071" s="6" t="str">
        <f ca="1">IF(AND(NEGOCIAÇÕES!P1071="",NEGOCIAÇÕES!N1071&lt;TODAY()),NEGOCIAÇÕES!C1071,"")</f>
        <v/>
      </c>
      <c r="C1071" s="6" t="str">
        <f ca="1">IF(AND(NEGOCIAÇÕES!P1071="",NEGOCIAÇÕES!N1071&lt;TODAY()),NEGOCIAÇÕES!E1071,"")</f>
        <v/>
      </c>
      <c r="D1071" s="6" t="str">
        <f ca="1">IF(AND(NEGOCIAÇÕES!P1071="",NEGOCIAÇÕES!N1071&lt;TODAY()),NEGOCIAÇÕES!D1071,"")</f>
        <v/>
      </c>
      <c r="E1071" s="9" t="str">
        <f ca="1">IF(AND(NEGOCIAÇÕES!P1071="",NEGOCIAÇÕES!N1071&lt;TODAY()),NEGOCIAÇÕES!N1071,"")</f>
        <v/>
      </c>
    </row>
    <row r="1072" spans="2:5" ht="31.95" hidden="1" customHeight="1" x14ac:dyDescent="0.3">
      <c r="B1072" s="6" t="str">
        <f ca="1">IF(AND(NEGOCIAÇÕES!P1072="",NEGOCIAÇÕES!N1072&lt;TODAY()),NEGOCIAÇÕES!C1072,"")</f>
        <v/>
      </c>
      <c r="C1072" s="6" t="str">
        <f ca="1">IF(AND(NEGOCIAÇÕES!P1072="",NEGOCIAÇÕES!N1072&lt;TODAY()),NEGOCIAÇÕES!E1072,"")</f>
        <v/>
      </c>
      <c r="D1072" s="6" t="str">
        <f ca="1">IF(AND(NEGOCIAÇÕES!P1072="",NEGOCIAÇÕES!N1072&lt;TODAY()),NEGOCIAÇÕES!D1072,"")</f>
        <v/>
      </c>
      <c r="E1072" s="9" t="str">
        <f ca="1">IF(AND(NEGOCIAÇÕES!P1072="",NEGOCIAÇÕES!N1072&lt;TODAY()),NEGOCIAÇÕES!N1072,"")</f>
        <v/>
      </c>
    </row>
    <row r="1073" spans="2:5" ht="31.95" hidden="1" customHeight="1" x14ac:dyDescent="0.3">
      <c r="B1073" s="6" t="str">
        <f ca="1">IF(AND(NEGOCIAÇÕES!P1073="",NEGOCIAÇÕES!N1073&lt;TODAY()),NEGOCIAÇÕES!C1073,"")</f>
        <v/>
      </c>
      <c r="C1073" s="6" t="str">
        <f ca="1">IF(AND(NEGOCIAÇÕES!P1073="",NEGOCIAÇÕES!N1073&lt;TODAY()),NEGOCIAÇÕES!E1073,"")</f>
        <v/>
      </c>
      <c r="D1073" s="6" t="str">
        <f ca="1">IF(AND(NEGOCIAÇÕES!P1073="",NEGOCIAÇÕES!N1073&lt;TODAY()),NEGOCIAÇÕES!D1073,"")</f>
        <v/>
      </c>
      <c r="E1073" s="9" t="str">
        <f ca="1">IF(AND(NEGOCIAÇÕES!P1073="",NEGOCIAÇÕES!N1073&lt;TODAY()),NEGOCIAÇÕES!N1073,"")</f>
        <v/>
      </c>
    </row>
    <row r="1074" spans="2:5" ht="31.95" hidden="1" customHeight="1" x14ac:dyDescent="0.3">
      <c r="B1074" s="6" t="str">
        <f ca="1">IF(AND(NEGOCIAÇÕES!P1074="",NEGOCIAÇÕES!N1074&lt;TODAY()),NEGOCIAÇÕES!C1074,"")</f>
        <v/>
      </c>
      <c r="C1074" s="6" t="str">
        <f ca="1">IF(AND(NEGOCIAÇÕES!P1074="",NEGOCIAÇÕES!N1074&lt;TODAY()),NEGOCIAÇÕES!E1074,"")</f>
        <v/>
      </c>
      <c r="D1074" s="6" t="str">
        <f ca="1">IF(AND(NEGOCIAÇÕES!P1074="",NEGOCIAÇÕES!N1074&lt;TODAY()),NEGOCIAÇÕES!D1074,"")</f>
        <v/>
      </c>
      <c r="E1074" s="9" t="str">
        <f ca="1">IF(AND(NEGOCIAÇÕES!P1074="",NEGOCIAÇÕES!N1074&lt;TODAY()),NEGOCIAÇÕES!N1074,"")</f>
        <v/>
      </c>
    </row>
    <row r="1075" spans="2:5" ht="31.95" hidden="1" customHeight="1" x14ac:dyDescent="0.3">
      <c r="B1075" s="6" t="str">
        <f ca="1">IF(AND(NEGOCIAÇÕES!P1075="",NEGOCIAÇÕES!N1075&lt;TODAY()),NEGOCIAÇÕES!C1075,"")</f>
        <v/>
      </c>
      <c r="C1075" s="6" t="str">
        <f ca="1">IF(AND(NEGOCIAÇÕES!P1075="",NEGOCIAÇÕES!N1075&lt;TODAY()),NEGOCIAÇÕES!E1075,"")</f>
        <v/>
      </c>
      <c r="D1075" s="6" t="str">
        <f ca="1">IF(AND(NEGOCIAÇÕES!P1075="",NEGOCIAÇÕES!N1075&lt;TODAY()),NEGOCIAÇÕES!D1075,"")</f>
        <v/>
      </c>
      <c r="E1075" s="9" t="str">
        <f ca="1">IF(AND(NEGOCIAÇÕES!P1075="",NEGOCIAÇÕES!N1075&lt;TODAY()),NEGOCIAÇÕES!N1075,"")</f>
        <v/>
      </c>
    </row>
    <row r="1076" spans="2:5" ht="31.95" hidden="1" customHeight="1" x14ac:dyDescent="0.3">
      <c r="B1076" s="6" t="str">
        <f ca="1">IF(AND(NEGOCIAÇÕES!P1076="",NEGOCIAÇÕES!N1076&lt;TODAY()),NEGOCIAÇÕES!C1076,"")</f>
        <v/>
      </c>
      <c r="C1076" s="6" t="str">
        <f ca="1">IF(AND(NEGOCIAÇÕES!P1076="",NEGOCIAÇÕES!N1076&lt;TODAY()),NEGOCIAÇÕES!E1076,"")</f>
        <v/>
      </c>
      <c r="D1076" s="6" t="str">
        <f ca="1">IF(AND(NEGOCIAÇÕES!P1076="",NEGOCIAÇÕES!N1076&lt;TODAY()),NEGOCIAÇÕES!D1076,"")</f>
        <v/>
      </c>
      <c r="E1076" s="9" t="str">
        <f ca="1">IF(AND(NEGOCIAÇÕES!P1076="",NEGOCIAÇÕES!N1076&lt;TODAY()),NEGOCIAÇÕES!N1076,"")</f>
        <v/>
      </c>
    </row>
    <row r="1077" spans="2:5" ht="31.95" hidden="1" customHeight="1" x14ac:dyDescent="0.3">
      <c r="B1077" s="6" t="str">
        <f ca="1">IF(AND(NEGOCIAÇÕES!P1077="",NEGOCIAÇÕES!N1077&lt;TODAY()),NEGOCIAÇÕES!C1077,"")</f>
        <v/>
      </c>
      <c r="C1077" s="6" t="str">
        <f ca="1">IF(AND(NEGOCIAÇÕES!P1077="",NEGOCIAÇÕES!N1077&lt;TODAY()),NEGOCIAÇÕES!E1077,"")</f>
        <v/>
      </c>
      <c r="D1077" s="6" t="str">
        <f ca="1">IF(AND(NEGOCIAÇÕES!P1077="",NEGOCIAÇÕES!N1077&lt;TODAY()),NEGOCIAÇÕES!D1077,"")</f>
        <v/>
      </c>
      <c r="E1077" s="9" t="str">
        <f ca="1">IF(AND(NEGOCIAÇÕES!P1077="",NEGOCIAÇÕES!N1077&lt;TODAY()),NEGOCIAÇÕES!N1077,"")</f>
        <v/>
      </c>
    </row>
    <row r="1078" spans="2:5" ht="31.95" hidden="1" customHeight="1" x14ac:dyDescent="0.3">
      <c r="B1078" s="6" t="str">
        <f ca="1">IF(AND(NEGOCIAÇÕES!P1078="",NEGOCIAÇÕES!N1078&lt;TODAY()),NEGOCIAÇÕES!C1078,"")</f>
        <v/>
      </c>
      <c r="C1078" s="6" t="str">
        <f ca="1">IF(AND(NEGOCIAÇÕES!P1078="",NEGOCIAÇÕES!N1078&lt;TODAY()),NEGOCIAÇÕES!E1078,"")</f>
        <v/>
      </c>
      <c r="D1078" s="6" t="str">
        <f ca="1">IF(AND(NEGOCIAÇÕES!P1078="",NEGOCIAÇÕES!N1078&lt;TODAY()),NEGOCIAÇÕES!D1078,"")</f>
        <v/>
      </c>
      <c r="E1078" s="9" t="str">
        <f ca="1">IF(AND(NEGOCIAÇÕES!P1078="",NEGOCIAÇÕES!N1078&lt;TODAY()),NEGOCIAÇÕES!N1078,"")</f>
        <v/>
      </c>
    </row>
    <row r="1079" spans="2:5" ht="31.95" hidden="1" customHeight="1" x14ac:dyDescent="0.3">
      <c r="B1079" s="6" t="str">
        <f ca="1">IF(AND(NEGOCIAÇÕES!P1079="",NEGOCIAÇÕES!N1079&lt;TODAY()),NEGOCIAÇÕES!C1079,"")</f>
        <v/>
      </c>
      <c r="C1079" s="6" t="str">
        <f ca="1">IF(AND(NEGOCIAÇÕES!P1079="",NEGOCIAÇÕES!N1079&lt;TODAY()),NEGOCIAÇÕES!E1079,"")</f>
        <v/>
      </c>
      <c r="D1079" s="6" t="str">
        <f ca="1">IF(AND(NEGOCIAÇÕES!P1079="",NEGOCIAÇÕES!N1079&lt;TODAY()),NEGOCIAÇÕES!D1079,"")</f>
        <v/>
      </c>
      <c r="E1079" s="9" t="str">
        <f ca="1">IF(AND(NEGOCIAÇÕES!P1079="",NEGOCIAÇÕES!N1079&lt;TODAY()),NEGOCIAÇÕES!N1079,"")</f>
        <v/>
      </c>
    </row>
    <row r="1080" spans="2:5" ht="31.95" hidden="1" customHeight="1" x14ac:dyDescent="0.3">
      <c r="B1080" s="6" t="str">
        <f ca="1">IF(AND(NEGOCIAÇÕES!P1080="",NEGOCIAÇÕES!N1080&lt;TODAY()),NEGOCIAÇÕES!C1080,"")</f>
        <v/>
      </c>
      <c r="C1080" s="6" t="str">
        <f ca="1">IF(AND(NEGOCIAÇÕES!P1080="",NEGOCIAÇÕES!N1080&lt;TODAY()),NEGOCIAÇÕES!E1080,"")</f>
        <v/>
      </c>
      <c r="D1080" s="6" t="str">
        <f ca="1">IF(AND(NEGOCIAÇÕES!P1080="",NEGOCIAÇÕES!N1080&lt;TODAY()),NEGOCIAÇÕES!D1080,"")</f>
        <v/>
      </c>
      <c r="E1080" s="9" t="str">
        <f ca="1">IF(AND(NEGOCIAÇÕES!P1080="",NEGOCIAÇÕES!N1080&lt;TODAY()),NEGOCIAÇÕES!N1080,"")</f>
        <v/>
      </c>
    </row>
    <row r="1081" spans="2:5" ht="31.95" hidden="1" customHeight="1" x14ac:dyDescent="0.3">
      <c r="B1081" s="6" t="str">
        <f ca="1">IF(AND(NEGOCIAÇÕES!P1081="",NEGOCIAÇÕES!N1081&lt;TODAY()),NEGOCIAÇÕES!C1081,"")</f>
        <v/>
      </c>
      <c r="C1081" s="6" t="str">
        <f ca="1">IF(AND(NEGOCIAÇÕES!P1081="",NEGOCIAÇÕES!N1081&lt;TODAY()),NEGOCIAÇÕES!E1081,"")</f>
        <v/>
      </c>
      <c r="D1081" s="6" t="str">
        <f ca="1">IF(AND(NEGOCIAÇÕES!P1081="",NEGOCIAÇÕES!N1081&lt;TODAY()),NEGOCIAÇÕES!D1081,"")</f>
        <v/>
      </c>
      <c r="E1081" s="9" t="str">
        <f ca="1">IF(AND(NEGOCIAÇÕES!P1081="",NEGOCIAÇÕES!N1081&lt;TODAY()),NEGOCIAÇÕES!N1081,"")</f>
        <v/>
      </c>
    </row>
    <row r="1082" spans="2:5" ht="31.95" hidden="1" customHeight="1" x14ac:dyDescent="0.3">
      <c r="B1082" s="6" t="str">
        <f ca="1">IF(AND(NEGOCIAÇÕES!P1082="",NEGOCIAÇÕES!N1082&lt;TODAY()),NEGOCIAÇÕES!C1082,"")</f>
        <v/>
      </c>
      <c r="C1082" s="6" t="str">
        <f ca="1">IF(AND(NEGOCIAÇÕES!P1082="",NEGOCIAÇÕES!N1082&lt;TODAY()),NEGOCIAÇÕES!E1082,"")</f>
        <v/>
      </c>
      <c r="D1082" s="6" t="str">
        <f ca="1">IF(AND(NEGOCIAÇÕES!P1082="",NEGOCIAÇÕES!N1082&lt;TODAY()),NEGOCIAÇÕES!D1082,"")</f>
        <v/>
      </c>
      <c r="E1082" s="9" t="str">
        <f ca="1">IF(AND(NEGOCIAÇÕES!P1082="",NEGOCIAÇÕES!N1082&lt;TODAY()),NEGOCIAÇÕES!N1082,"")</f>
        <v/>
      </c>
    </row>
    <row r="1083" spans="2:5" ht="31.95" hidden="1" customHeight="1" x14ac:dyDescent="0.3">
      <c r="B1083" s="6" t="str">
        <f ca="1">IF(AND(NEGOCIAÇÕES!P1083="",NEGOCIAÇÕES!N1083&lt;TODAY()),NEGOCIAÇÕES!C1083,"")</f>
        <v/>
      </c>
      <c r="C1083" s="6" t="str">
        <f ca="1">IF(AND(NEGOCIAÇÕES!P1083="",NEGOCIAÇÕES!N1083&lt;TODAY()),NEGOCIAÇÕES!E1083,"")</f>
        <v/>
      </c>
      <c r="D1083" s="6" t="str">
        <f ca="1">IF(AND(NEGOCIAÇÕES!P1083="",NEGOCIAÇÕES!N1083&lt;TODAY()),NEGOCIAÇÕES!D1083,"")</f>
        <v/>
      </c>
      <c r="E1083" s="9" t="str">
        <f ca="1">IF(AND(NEGOCIAÇÕES!P1083="",NEGOCIAÇÕES!N1083&lt;TODAY()),NEGOCIAÇÕES!N1083,"")</f>
        <v/>
      </c>
    </row>
    <row r="1084" spans="2:5" ht="31.95" hidden="1" customHeight="1" x14ac:dyDescent="0.3">
      <c r="B1084" s="6" t="str">
        <f ca="1">IF(AND(NEGOCIAÇÕES!P1084="",NEGOCIAÇÕES!N1084&lt;TODAY()),NEGOCIAÇÕES!C1084,"")</f>
        <v/>
      </c>
      <c r="C1084" s="6" t="str">
        <f ca="1">IF(AND(NEGOCIAÇÕES!P1084="",NEGOCIAÇÕES!N1084&lt;TODAY()),NEGOCIAÇÕES!E1084,"")</f>
        <v/>
      </c>
      <c r="D1084" s="6" t="str">
        <f ca="1">IF(AND(NEGOCIAÇÕES!P1084="",NEGOCIAÇÕES!N1084&lt;TODAY()),NEGOCIAÇÕES!D1084,"")</f>
        <v/>
      </c>
      <c r="E1084" s="9" t="str">
        <f ca="1">IF(AND(NEGOCIAÇÕES!P1084="",NEGOCIAÇÕES!N1084&lt;TODAY()),NEGOCIAÇÕES!N1084,"")</f>
        <v/>
      </c>
    </row>
    <row r="1085" spans="2:5" ht="31.95" hidden="1" customHeight="1" x14ac:dyDescent="0.3">
      <c r="B1085" s="6" t="str">
        <f ca="1">IF(AND(NEGOCIAÇÕES!P1085="",NEGOCIAÇÕES!N1085&lt;TODAY()),NEGOCIAÇÕES!C1085,"")</f>
        <v/>
      </c>
      <c r="C1085" s="6" t="str">
        <f ca="1">IF(AND(NEGOCIAÇÕES!P1085="",NEGOCIAÇÕES!N1085&lt;TODAY()),NEGOCIAÇÕES!E1085,"")</f>
        <v/>
      </c>
      <c r="D1085" s="6" t="str">
        <f ca="1">IF(AND(NEGOCIAÇÕES!P1085="",NEGOCIAÇÕES!N1085&lt;TODAY()),NEGOCIAÇÕES!D1085,"")</f>
        <v/>
      </c>
      <c r="E1085" s="9" t="str">
        <f ca="1">IF(AND(NEGOCIAÇÕES!P1085="",NEGOCIAÇÕES!N1085&lt;TODAY()),NEGOCIAÇÕES!N1085,"")</f>
        <v/>
      </c>
    </row>
    <row r="1086" spans="2:5" ht="31.95" hidden="1" customHeight="1" x14ac:dyDescent="0.3">
      <c r="B1086" s="6" t="str">
        <f ca="1">IF(AND(NEGOCIAÇÕES!P1086="",NEGOCIAÇÕES!N1086&lt;TODAY()),NEGOCIAÇÕES!C1086,"")</f>
        <v/>
      </c>
      <c r="C1086" s="6" t="str">
        <f ca="1">IF(AND(NEGOCIAÇÕES!P1086="",NEGOCIAÇÕES!N1086&lt;TODAY()),NEGOCIAÇÕES!E1086,"")</f>
        <v/>
      </c>
      <c r="D1086" s="6" t="str">
        <f ca="1">IF(AND(NEGOCIAÇÕES!P1086="",NEGOCIAÇÕES!N1086&lt;TODAY()),NEGOCIAÇÕES!D1086,"")</f>
        <v/>
      </c>
      <c r="E1086" s="9" t="str">
        <f ca="1">IF(AND(NEGOCIAÇÕES!P1086="",NEGOCIAÇÕES!N1086&lt;TODAY()),NEGOCIAÇÕES!N1086,"")</f>
        <v/>
      </c>
    </row>
    <row r="1087" spans="2:5" ht="31.95" hidden="1" customHeight="1" x14ac:dyDescent="0.3">
      <c r="B1087" s="6" t="str">
        <f ca="1">IF(AND(NEGOCIAÇÕES!P1087="",NEGOCIAÇÕES!N1087&lt;TODAY()),NEGOCIAÇÕES!C1087,"")</f>
        <v/>
      </c>
      <c r="C1087" s="6" t="str">
        <f ca="1">IF(AND(NEGOCIAÇÕES!P1087="",NEGOCIAÇÕES!N1087&lt;TODAY()),NEGOCIAÇÕES!E1087,"")</f>
        <v/>
      </c>
      <c r="D1087" s="6" t="str">
        <f ca="1">IF(AND(NEGOCIAÇÕES!P1087="",NEGOCIAÇÕES!N1087&lt;TODAY()),NEGOCIAÇÕES!D1087,"")</f>
        <v/>
      </c>
      <c r="E1087" s="9" t="str">
        <f ca="1">IF(AND(NEGOCIAÇÕES!P1087="",NEGOCIAÇÕES!N1087&lt;TODAY()),NEGOCIAÇÕES!N1087,"")</f>
        <v/>
      </c>
    </row>
    <row r="1088" spans="2:5" ht="31.95" hidden="1" customHeight="1" x14ac:dyDescent="0.3">
      <c r="B1088" s="6" t="str">
        <f ca="1">IF(AND(NEGOCIAÇÕES!P1088="",NEGOCIAÇÕES!N1088&lt;TODAY()),NEGOCIAÇÕES!C1088,"")</f>
        <v/>
      </c>
      <c r="C1088" s="6" t="str">
        <f ca="1">IF(AND(NEGOCIAÇÕES!P1088="",NEGOCIAÇÕES!N1088&lt;TODAY()),NEGOCIAÇÕES!E1088,"")</f>
        <v/>
      </c>
      <c r="D1088" s="6" t="str">
        <f ca="1">IF(AND(NEGOCIAÇÕES!P1088="",NEGOCIAÇÕES!N1088&lt;TODAY()),NEGOCIAÇÕES!D1088,"")</f>
        <v/>
      </c>
      <c r="E1088" s="9" t="str">
        <f ca="1">IF(AND(NEGOCIAÇÕES!P1088="",NEGOCIAÇÕES!N1088&lt;TODAY()),NEGOCIAÇÕES!N1088,"")</f>
        <v/>
      </c>
    </row>
    <row r="1089" spans="2:5" ht="31.95" hidden="1" customHeight="1" x14ac:dyDescent="0.3">
      <c r="B1089" s="6" t="str">
        <f ca="1">IF(AND(NEGOCIAÇÕES!P1089="",NEGOCIAÇÕES!N1089&lt;TODAY()),NEGOCIAÇÕES!C1089,"")</f>
        <v/>
      </c>
      <c r="C1089" s="6" t="str">
        <f ca="1">IF(AND(NEGOCIAÇÕES!P1089="",NEGOCIAÇÕES!N1089&lt;TODAY()),NEGOCIAÇÕES!E1089,"")</f>
        <v/>
      </c>
      <c r="D1089" s="6" t="str">
        <f ca="1">IF(AND(NEGOCIAÇÕES!P1089="",NEGOCIAÇÕES!N1089&lt;TODAY()),NEGOCIAÇÕES!D1089,"")</f>
        <v/>
      </c>
      <c r="E1089" s="9" t="str">
        <f ca="1">IF(AND(NEGOCIAÇÕES!P1089="",NEGOCIAÇÕES!N1089&lt;TODAY()),NEGOCIAÇÕES!N1089,"")</f>
        <v/>
      </c>
    </row>
    <row r="1090" spans="2:5" ht="31.95" hidden="1" customHeight="1" x14ac:dyDescent="0.3">
      <c r="B1090" s="6" t="str">
        <f ca="1">IF(AND(NEGOCIAÇÕES!P1090="",NEGOCIAÇÕES!N1090&lt;TODAY()),NEGOCIAÇÕES!C1090,"")</f>
        <v/>
      </c>
      <c r="C1090" s="6" t="str">
        <f ca="1">IF(AND(NEGOCIAÇÕES!P1090="",NEGOCIAÇÕES!N1090&lt;TODAY()),NEGOCIAÇÕES!E1090,"")</f>
        <v/>
      </c>
      <c r="D1090" s="6" t="str">
        <f ca="1">IF(AND(NEGOCIAÇÕES!P1090="",NEGOCIAÇÕES!N1090&lt;TODAY()),NEGOCIAÇÕES!D1090,"")</f>
        <v/>
      </c>
      <c r="E1090" s="9" t="str">
        <f ca="1">IF(AND(NEGOCIAÇÕES!P1090="",NEGOCIAÇÕES!N1090&lt;TODAY()),NEGOCIAÇÕES!N1090,"")</f>
        <v/>
      </c>
    </row>
    <row r="1091" spans="2:5" ht="31.95" hidden="1" customHeight="1" x14ac:dyDescent="0.3">
      <c r="B1091" s="6" t="str">
        <f ca="1">IF(AND(NEGOCIAÇÕES!P1091="",NEGOCIAÇÕES!N1091&lt;TODAY()),NEGOCIAÇÕES!C1091,"")</f>
        <v/>
      </c>
      <c r="C1091" s="6" t="str">
        <f ca="1">IF(AND(NEGOCIAÇÕES!P1091="",NEGOCIAÇÕES!N1091&lt;TODAY()),NEGOCIAÇÕES!E1091,"")</f>
        <v/>
      </c>
      <c r="D1091" s="6" t="str">
        <f ca="1">IF(AND(NEGOCIAÇÕES!P1091="",NEGOCIAÇÕES!N1091&lt;TODAY()),NEGOCIAÇÕES!D1091,"")</f>
        <v/>
      </c>
      <c r="E1091" s="9" t="str">
        <f ca="1">IF(AND(NEGOCIAÇÕES!P1091="",NEGOCIAÇÕES!N1091&lt;TODAY()),NEGOCIAÇÕES!N1091,"")</f>
        <v/>
      </c>
    </row>
    <row r="1092" spans="2:5" ht="31.95" hidden="1" customHeight="1" x14ac:dyDescent="0.3">
      <c r="B1092" s="6" t="str">
        <f ca="1">IF(AND(NEGOCIAÇÕES!P1092="",NEGOCIAÇÕES!N1092&lt;TODAY()),NEGOCIAÇÕES!C1092,"")</f>
        <v/>
      </c>
      <c r="C1092" s="6" t="str">
        <f ca="1">IF(AND(NEGOCIAÇÕES!P1092="",NEGOCIAÇÕES!N1092&lt;TODAY()),NEGOCIAÇÕES!E1092,"")</f>
        <v/>
      </c>
      <c r="D1092" s="6" t="str">
        <f ca="1">IF(AND(NEGOCIAÇÕES!P1092="",NEGOCIAÇÕES!N1092&lt;TODAY()),NEGOCIAÇÕES!D1092,"")</f>
        <v/>
      </c>
      <c r="E1092" s="9" t="str">
        <f ca="1">IF(AND(NEGOCIAÇÕES!P1092="",NEGOCIAÇÕES!N1092&lt;TODAY()),NEGOCIAÇÕES!N1092,"")</f>
        <v/>
      </c>
    </row>
    <row r="1093" spans="2:5" ht="31.95" hidden="1" customHeight="1" x14ac:dyDescent="0.3">
      <c r="B1093" s="6" t="str">
        <f ca="1">IF(AND(NEGOCIAÇÕES!P1093="",NEGOCIAÇÕES!N1093&lt;TODAY()),NEGOCIAÇÕES!C1093,"")</f>
        <v/>
      </c>
      <c r="C1093" s="6" t="str">
        <f ca="1">IF(AND(NEGOCIAÇÕES!P1093="",NEGOCIAÇÕES!N1093&lt;TODAY()),NEGOCIAÇÕES!E1093,"")</f>
        <v/>
      </c>
      <c r="D1093" s="6" t="str">
        <f ca="1">IF(AND(NEGOCIAÇÕES!P1093="",NEGOCIAÇÕES!N1093&lt;TODAY()),NEGOCIAÇÕES!D1093,"")</f>
        <v/>
      </c>
      <c r="E1093" s="9" t="str">
        <f ca="1">IF(AND(NEGOCIAÇÕES!P1093="",NEGOCIAÇÕES!N1093&lt;TODAY()),NEGOCIAÇÕES!N1093,"")</f>
        <v/>
      </c>
    </row>
    <row r="1094" spans="2:5" ht="31.95" hidden="1" customHeight="1" x14ac:dyDescent="0.3">
      <c r="B1094" s="6" t="str">
        <f ca="1">IF(AND(NEGOCIAÇÕES!P1094="",NEGOCIAÇÕES!N1094&lt;TODAY()),NEGOCIAÇÕES!C1094,"")</f>
        <v/>
      </c>
      <c r="C1094" s="6" t="str">
        <f ca="1">IF(AND(NEGOCIAÇÕES!P1094="",NEGOCIAÇÕES!N1094&lt;TODAY()),NEGOCIAÇÕES!E1094,"")</f>
        <v/>
      </c>
      <c r="D1094" s="6" t="str">
        <f ca="1">IF(AND(NEGOCIAÇÕES!P1094="",NEGOCIAÇÕES!N1094&lt;TODAY()),NEGOCIAÇÕES!D1094,"")</f>
        <v/>
      </c>
      <c r="E1094" s="9" t="str">
        <f ca="1">IF(AND(NEGOCIAÇÕES!P1094="",NEGOCIAÇÕES!N1094&lt;TODAY()),NEGOCIAÇÕES!N1094,"")</f>
        <v/>
      </c>
    </row>
    <row r="1095" spans="2:5" ht="31.95" hidden="1" customHeight="1" x14ac:dyDescent="0.3">
      <c r="B1095" s="6" t="str">
        <f ca="1">IF(AND(NEGOCIAÇÕES!P1095="",NEGOCIAÇÕES!N1095&lt;TODAY()),NEGOCIAÇÕES!C1095,"")</f>
        <v/>
      </c>
      <c r="C1095" s="6" t="str">
        <f ca="1">IF(AND(NEGOCIAÇÕES!P1095="",NEGOCIAÇÕES!N1095&lt;TODAY()),NEGOCIAÇÕES!E1095,"")</f>
        <v/>
      </c>
      <c r="D1095" s="6" t="str">
        <f ca="1">IF(AND(NEGOCIAÇÕES!P1095="",NEGOCIAÇÕES!N1095&lt;TODAY()),NEGOCIAÇÕES!D1095,"")</f>
        <v/>
      </c>
      <c r="E1095" s="9" t="str">
        <f ca="1">IF(AND(NEGOCIAÇÕES!P1095="",NEGOCIAÇÕES!N1095&lt;TODAY()),NEGOCIAÇÕES!N1095,"")</f>
        <v/>
      </c>
    </row>
    <row r="1096" spans="2:5" ht="31.95" hidden="1" customHeight="1" x14ac:dyDescent="0.3">
      <c r="B1096" s="6" t="str">
        <f ca="1">IF(AND(NEGOCIAÇÕES!P1096="",NEGOCIAÇÕES!N1096&lt;TODAY()),NEGOCIAÇÕES!C1096,"")</f>
        <v/>
      </c>
      <c r="C1096" s="6" t="str">
        <f ca="1">IF(AND(NEGOCIAÇÕES!P1096="",NEGOCIAÇÕES!N1096&lt;TODAY()),NEGOCIAÇÕES!E1096,"")</f>
        <v/>
      </c>
      <c r="D1096" s="6" t="str">
        <f ca="1">IF(AND(NEGOCIAÇÕES!P1096="",NEGOCIAÇÕES!N1096&lt;TODAY()),NEGOCIAÇÕES!D1096,"")</f>
        <v/>
      </c>
      <c r="E1096" s="9" t="str">
        <f ca="1">IF(AND(NEGOCIAÇÕES!P1096="",NEGOCIAÇÕES!N1096&lt;TODAY()),NEGOCIAÇÕES!N1096,"")</f>
        <v/>
      </c>
    </row>
    <row r="1097" spans="2:5" ht="31.95" hidden="1" customHeight="1" x14ac:dyDescent="0.3">
      <c r="B1097" s="6" t="str">
        <f ca="1">IF(AND(NEGOCIAÇÕES!P1097="",NEGOCIAÇÕES!N1097&lt;TODAY()),NEGOCIAÇÕES!C1097,"")</f>
        <v/>
      </c>
      <c r="C1097" s="6" t="str">
        <f ca="1">IF(AND(NEGOCIAÇÕES!P1097="",NEGOCIAÇÕES!N1097&lt;TODAY()),NEGOCIAÇÕES!E1097,"")</f>
        <v/>
      </c>
      <c r="D1097" s="6" t="str">
        <f ca="1">IF(AND(NEGOCIAÇÕES!P1097="",NEGOCIAÇÕES!N1097&lt;TODAY()),NEGOCIAÇÕES!D1097,"")</f>
        <v/>
      </c>
      <c r="E1097" s="9" t="str">
        <f ca="1">IF(AND(NEGOCIAÇÕES!P1097="",NEGOCIAÇÕES!N1097&lt;TODAY()),NEGOCIAÇÕES!N1097,"")</f>
        <v/>
      </c>
    </row>
    <row r="1098" spans="2:5" ht="31.95" hidden="1" customHeight="1" x14ac:dyDescent="0.3">
      <c r="B1098" s="6" t="str">
        <f ca="1">IF(AND(NEGOCIAÇÕES!P1098="",NEGOCIAÇÕES!N1098&lt;TODAY()),NEGOCIAÇÕES!C1098,"")</f>
        <v/>
      </c>
      <c r="C1098" s="6" t="str">
        <f ca="1">IF(AND(NEGOCIAÇÕES!P1098="",NEGOCIAÇÕES!N1098&lt;TODAY()),NEGOCIAÇÕES!E1098,"")</f>
        <v/>
      </c>
      <c r="D1098" s="6" t="str">
        <f ca="1">IF(AND(NEGOCIAÇÕES!P1098="",NEGOCIAÇÕES!N1098&lt;TODAY()),NEGOCIAÇÕES!D1098,"")</f>
        <v/>
      </c>
      <c r="E1098" s="9" t="str">
        <f ca="1">IF(AND(NEGOCIAÇÕES!P1098="",NEGOCIAÇÕES!N1098&lt;TODAY()),NEGOCIAÇÕES!N1098,"")</f>
        <v/>
      </c>
    </row>
    <row r="1099" spans="2:5" ht="31.95" hidden="1" customHeight="1" x14ac:dyDescent="0.3">
      <c r="B1099" s="6" t="str">
        <f ca="1">IF(AND(NEGOCIAÇÕES!P1099="",NEGOCIAÇÕES!N1099&lt;TODAY()),NEGOCIAÇÕES!C1099,"")</f>
        <v/>
      </c>
      <c r="C1099" s="6" t="str">
        <f ca="1">IF(AND(NEGOCIAÇÕES!P1099="",NEGOCIAÇÕES!N1099&lt;TODAY()),NEGOCIAÇÕES!E1099,"")</f>
        <v/>
      </c>
      <c r="D1099" s="6" t="str">
        <f ca="1">IF(AND(NEGOCIAÇÕES!P1099="",NEGOCIAÇÕES!N1099&lt;TODAY()),NEGOCIAÇÕES!D1099,"")</f>
        <v/>
      </c>
      <c r="E1099" s="9" t="str">
        <f ca="1">IF(AND(NEGOCIAÇÕES!P1099="",NEGOCIAÇÕES!N1099&lt;TODAY()),NEGOCIAÇÕES!N1099,"")</f>
        <v/>
      </c>
    </row>
    <row r="1100" spans="2:5" ht="31.95" hidden="1" customHeight="1" x14ac:dyDescent="0.3">
      <c r="B1100" s="6" t="str">
        <f ca="1">IF(AND(NEGOCIAÇÕES!P1100="",NEGOCIAÇÕES!N1100&lt;TODAY()),NEGOCIAÇÕES!C1100,"")</f>
        <v/>
      </c>
      <c r="C1100" s="6" t="str">
        <f ca="1">IF(AND(NEGOCIAÇÕES!P1100="",NEGOCIAÇÕES!N1100&lt;TODAY()),NEGOCIAÇÕES!E1100,"")</f>
        <v/>
      </c>
      <c r="D1100" s="6" t="str">
        <f ca="1">IF(AND(NEGOCIAÇÕES!P1100="",NEGOCIAÇÕES!N1100&lt;TODAY()),NEGOCIAÇÕES!D1100,"")</f>
        <v/>
      </c>
      <c r="E1100" s="9" t="str">
        <f ca="1">IF(AND(NEGOCIAÇÕES!P1100="",NEGOCIAÇÕES!N1100&lt;TODAY()),NEGOCIAÇÕES!N1100,"")</f>
        <v/>
      </c>
    </row>
    <row r="1101" spans="2:5" ht="31.95" hidden="1" customHeight="1" x14ac:dyDescent="0.3">
      <c r="B1101" s="6" t="str">
        <f ca="1">IF(AND(NEGOCIAÇÕES!P1101="",NEGOCIAÇÕES!N1101&lt;TODAY()),NEGOCIAÇÕES!C1101,"")</f>
        <v/>
      </c>
      <c r="C1101" s="6" t="str">
        <f ca="1">IF(AND(NEGOCIAÇÕES!P1101="",NEGOCIAÇÕES!N1101&lt;TODAY()),NEGOCIAÇÕES!E1101,"")</f>
        <v/>
      </c>
      <c r="D1101" s="6" t="str">
        <f ca="1">IF(AND(NEGOCIAÇÕES!P1101="",NEGOCIAÇÕES!N1101&lt;TODAY()),NEGOCIAÇÕES!D1101,"")</f>
        <v/>
      </c>
      <c r="E1101" s="9" t="str">
        <f ca="1">IF(AND(NEGOCIAÇÕES!P1101="",NEGOCIAÇÕES!N1101&lt;TODAY()),NEGOCIAÇÕES!N1101,"")</f>
        <v/>
      </c>
    </row>
    <row r="1102" spans="2:5" ht="31.95" hidden="1" customHeight="1" x14ac:dyDescent="0.3">
      <c r="B1102" s="6" t="str">
        <f ca="1">IF(AND(NEGOCIAÇÕES!P1102="",NEGOCIAÇÕES!N1102&lt;TODAY()),NEGOCIAÇÕES!C1102,"")</f>
        <v/>
      </c>
      <c r="C1102" s="6" t="str">
        <f ca="1">IF(AND(NEGOCIAÇÕES!P1102="",NEGOCIAÇÕES!N1102&lt;TODAY()),NEGOCIAÇÕES!E1102,"")</f>
        <v/>
      </c>
      <c r="D1102" s="6" t="str">
        <f ca="1">IF(AND(NEGOCIAÇÕES!P1102="",NEGOCIAÇÕES!N1102&lt;TODAY()),NEGOCIAÇÕES!D1102,"")</f>
        <v/>
      </c>
      <c r="E1102" s="9" t="str">
        <f ca="1">IF(AND(NEGOCIAÇÕES!P1102="",NEGOCIAÇÕES!N1102&lt;TODAY()),NEGOCIAÇÕES!N1102,"")</f>
        <v/>
      </c>
    </row>
    <row r="1103" spans="2:5" ht="31.95" hidden="1" customHeight="1" x14ac:dyDescent="0.3">
      <c r="B1103" s="6" t="str">
        <f ca="1">IF(AND(NEGOCIAÇÕES!P1103="",NEGOCIAÇÕES!N1103&lt;TODAY()),NEGOCIAÇÕES!C1103,"")</f>
        <v/>
      </c>
      <c r="C1103" s="6" t="str">
        <f ca="1">IF(AND(NEGOCIAÇÕES!P1103="",NEGOCIAÇÕES!N1103&lt;TODAY()),NEGOCIAÇÕES!E1103,"")</f>
        <v/>
      </c>
      <c r="D1103" s="6" t="str">
        <f ca="1">IF(AND(NEGOCIAÇÕES!P1103="",NEGOCIAÇÕES!N1103&lt;TODAY()),NEGOCIAÇÕES!D1103,"")</f>
        <v/>
      </c>
      <c r="E1103" s="9" t="str">
        <f ca="1">IF(AND(NEGOCIAÇÕES!P1103="",NEGOCIAÇÕES!N1103&lt;TODAY()),NEGOCIAÇÕES!N1103,"")</f>
        <v/>
      </c>
    </row>
    <row r="1104" spans="2:5" ht="31.95" hidden="1" customHeight="1" x14ac:dyDescent="0.3">
      <c r="B1104" s="6" t="str">
        <f ca="1">IF(AND(NEGOCIAÇÕES!P1104="",NEGOCIAÇÕES!N1104&lt;TODAY()),NEGOCIAÇÕES!C1104,"")</f>
        <v/>
      </c>
      <c r="C1104" s="6" t="str">
        <f ca="1">IF(AND(NEGOCIAÇÕES!P1104="",NEGOCIAÇÕES!N1104&lt;TODAY()),NEGOCIAÇÕES!E1104,"")</f>
        <v/>
      </c>
      <c r="D1104" s="6" t="str">
        <f ca="1">IF(AND(NEGOCIAÇÕES!P1104="",NEGOCIAÇÕES!N1104&lt;TODAY()),NEGOCIAÇÕES!D1104,"")</f>
        <v/>
      </c>
      <c r="E1104" s="9" t="str">
        <f ca="1">IF(AND(NEGOCIAÇÕES!P1104="",NEGOCIAÇÕES!N1104&lt;TODAY()),NEGOCIAÇÕES!N1104,"")</f>
        <v/>
      </c>
    </row>
    <row r="1105" spans="2:5" ht="31.95" hidden="1" customHeight="1" x14ac:dyDescent="0.3">
      <c r="B1105" s="6" t="str">
        <f ca="1">IF(AND(NEGOCIAÇÕES!P1105="",NEGOCIAÇÕES!N1105&lt;TODAY()),NEGOCIAÇÕES!C1105,"")</f>
        <v/>
      </c>
      <c r="C1105" s="6" t="str">
        <f ca="1">IF(AND(NEGOCIAÇÕES!P1105="",NEGOCIAÇÕES!N1105&lt;TODAY()),NEGOCIAÇÕES!E1105,"")</f>
        <v/>
      </c>
      <c r="D1105" s="6" t="str">
        <f ca="1">IF(AND(NEGOCIAÇÕES!P1105="",NEGOCIAÇÕES!N1105&lt;TODAY()),NEGOCIAÇÕES!D1105,"")</f>
        <v/>
      </c>
      <c r="E1105" s="9" t="str">
        <f ca="1">IF(AND(NEGOCIAÇÕES!P1105="",NEGOCIAÇÕES!N1105&lt;TODAY()),NEGOCIAÇÕES!N1105,"")</f>
        <v/>
      </c>
    </row>
    <row r="1106" spans="2:5" ht="31.95" hidden="1" customHeight="1" x14ac:dyDescent="0.3">
      <c r="B1106" s="6" t="str">
        <f ca="1">IF(AND(NEGOCIAÇÕES!P1106="",NEGOCIAÇÕES!N1106&lt;TODAY()),NEGOCIAÇÕES!C1106,"")</f>
        <v/>
      </c>
      <c r="C1106" s="6" t="str">
        <f ca="1">IF(AND(NEGOCIAÇÕES!P1106="",NEGOCIAÇÕES!N1106&lt;TODAY()),NEGOCIAÇÕES!E1106,"")</f>
        <v/>
      </c>
      <c r="D1106" s="6" t="str">
        <f ca="1">IF(AND(NEGOCIAÇÕES!P1106="",NEGOCIAÇÕES!N1106&lt;TODAY()),NEGOCIAÇÕES!D1106,"")</f>
        <v/>
      </c>
      <c r="E1106" s="9" t="str">
        <f ca="1">IF(AND(NEGOCIAÇÕES!P1106="",NEGOCIAÇÕES!N1106&lt;TODAY()),NEGOCIAÇÕES!N1106,"")</f>
        <v/>
      </c>
    </row>
    <row r="1107" spans="2:5" ht="31.95" hidden="1" customHeight="1" x14ac:dyDescent="0.3">
      <c r="B1107" s="6" t="str">
        <f ca="1">IF(AND(NEGOCIAÇÕES!P1107="",NEGOCIAÇÕES!N1107&lt;TODAY()),NEGOCIAÇÕES!C1107,"")</f>
        <v/>
      </c>
      <c r="C1107" s="6" t="str">
        <f ca="1">IF(AND(NEGOCIAÇÕES!P1107="",NEGOCIAÇÕES!N1107&lt;TODAY()),NEGOCIAÇÕES!E1107,"")</f>
        <v/>
      </c>
      <c r="D1107" s="6" t="str">
        <f ca="1">IF(AND(NEGOCIAÇÕES!P1107="",NEGOCIAÇÕES!N1107&lt;TODAY()),NEGOCIAÇÕES!D1107,"")</f>
        <v/>
      </c>
      <c r="E1107" s="9" t="str">
        <f ca="1">IF(AND(NEGOCIAÇÕES!P1107="",NEGOCIAÇÕES!N1107&lt;TODAY()),NEGOCIAÇÕES!N1107,"")</f>
        <v/>
      </c>
    </row>
    <row r="1108" spans="2:5" ht="31.95" hidden="1" customHeight="1" x14ac:dyDescent="0.3">
      <c r="B1108" s="6" t="str">
        <f ca="1">IF(AND(NEGOCIAÇÕES!P1108="",NEGOCIAÇÕES!N1108&lt;TODAY()),NEGOCIAÇÕES!C1108,"")</f>
        <v/>
      </c>
      <c r="C1108" s="6" t="str">
        <f ca="1">IF(AND(NEGOCIAÇÕES!P1108="",NEGOCIAÇÕES!N1108&lt;TODAY()),NEGOCIAÇÕES!E1108,"")</f>
        <v/>
      </c>
      <c r="D1108" s="6" t="str">
        <f ca="1">IF(AND(NEGOCIAÇÕES!P1108="",NEGOCIAÇÕES!N1108&lt;TODAY()),NEGOCIAÇÕES!D1108,"")</f>
        <v/>
      </c>
      <c r="E1108" s="9" t="str">
        <f ca="1">IF(AND(NEGOCIAÇÕES!P1108="",NEGOCIAÇÕES!N1108&lt;TODAY()),NEGOCIAÇÕES!N1108,"")</f>
        <v/>
      </c>
    </row>
    <row r="1109" spans="2:5" ht="31.95" hidden="1" customHeight="1" x14ac:dyDescent="0.3">
      <c r="B1109" s="6" t="str">
        <f ca="1">IF(AND(NEGOCIAÇÕES!P1109="",NEGOCIAÇÕES!N1109&lt;TODAY()),NEGOCIAÇÕES!C1109,"")</f>
        <v/>
      </c>
      <c r="C1109" s="6" t="str">
        <f ca="1">IF(AND(NEGOCIAÇÕES!P1109="",NEGOCIAÇÕES!N1109&lt;TODAY()),NEGOCIAÇÕES!E1109,"")</f>
        <v/>
      </c>
      <c r="D1109" s="6" t="str">
        <f ca="1">IF(AND(NEGOCIAÇÕES!P1109="",NEGOCIAÇÕES!N1109&lt;TODAY()),NEGOCIAÇÕES!D1109,"")</f>
        <v/>
      </c>
      <c r="E1109" s="9" t="str">
        <f ca="1">IF(AND(NEGOCIAÇÕES!P1109="",NEGOCIAÇÕES!N1109&lt;TODAY()),NEGOCIAÇÕES!N1109,"")</f>
        <v/>
      </c>
    </row>
    <row r="1110" spans="2:5" ht="31.95" hidden="1" customHeight="1" x14ac:dyDescent="0.3">
      <c r="B1110" s="6" t="str">
        <f ca="1">IF(AND(NEGOCIAÇÕES!P1110="",NEGOCIAÇÕES!N1110&lt;TODAY()),NEGOCIAÇÕES!C1110,"")</f>
        <v/>
      </c>
      <c r="C1110" s="6" t="str">
        <f ca="1">IF(AND(NEGOCIAÇÕES!P1110="",NEGOCIAÇÕES!N1110&lt;TODAY()),NEGOCIAÇÕES!E1110,"")</f>
        <v/>
      </c>
      <c r="D1110" s="6" t="str">
        <f ca="1">IF(AND(NEGOCIAÇÕES!P1110="",NEGOCIAÇÕES!N1110&lt;TODAY()),NEGOCIAÇÕES!D1110,"")</f>
        <v/>
      </c>
      <c r="E1110" s="9" t="str">
        <f ca="1">IF(AND(NEGOCIAÇÕES!P1110="",NEGOCIAÇÕES!N1110&lt;TODAY()),NEGOCIAÇÕES!N1110,"")</f>
        <v/>
      </c>
    </row>
    <row r="1111" spans="2:5" ht="31.95" hidden="1" customHeight="1" x14ac:dyDescent="0.3">
      <c r="B1111" s="6" t="str">
        <f ca="1">IF(AND(NEGOCIAÇÕES!P1111="",NEGOCIAÇÕES!N1111&lt;TODAY()),NEGOCIAÇÕES!C1111,"")</f>
        <v/>
      </c>
      <c r="C1111" s="6" t="str">
        <f ca="1">IF(AND(NEGOCIAÇÕES!P1111="",NEGOCIAÇÕES!N1111&lt;TODAY()),NEGOCIAÇÕES!E1111,"")</f>
        <v/>
      </c>
      <c r="D1111" s="6" t="str">
        <f ca="1">IF(AND(NEGOCIAÇÕES!P1111="",NEGOCIAÇÕES!N1111&lt;TODAY()),NEGOCIAÇÕES!D1111,"")</f>
        <v/>
      </c>
      <c r="E1111" s="9" t="str">
        <f ca="1">IF(AND(NEGOCIAÇÕES!P1111="",NEGOCIAÇÕES!N1111&lt;TODAY()),NEGOCIAÇÕES!N1111,"")</f>
        <v/>
      </c>
    </row>
    <row r="1112" spans="2:5" ht="31.95" hidden="1" customHeight="1" x14ac:dyDescent="0.3">
      <c r="B1112" s="6" t="str">
        <f ca="1">IF(AND(NEGOCIAÇÕES!P1112="",NEGOCIAÇÕES!N1112&lt;TODAY()),NEGOCIAÇÕES!C1112,"")</f>
        <v/>
      </c>
      <c r="C1112" s="6" t="str">
        <f ca="1">IF(AND(NEGOCIAÇÕES!P1112="",NEGOCIAÇÕES!N1112&lt;TODAY()),NEGOCIAÇÕES!E1112,"")</f>
        <v/>
      </c>
      <c r="D1112" s="6" t="str">
        <f ca="1">IF(AND(NEGOCIAÇÕES!P1112="",NEGOCIAÇÕES!N1112&lt;TODAY()),NEGOCIAÇÕES!D1112,"")</f>
        <v/>
      </c>
      <c r="E1112" s="9" t="str">
        <f ca="1">IF(AND(NEGOCIAÇÕES!P1112="",NEGOCIAÇÕES!N1112&lt;TODAY()),NEGOCIAÇÕES!N1112,"")</f>
        <v/>
      </c>
    </row>
    <row r="1113" spans="2:5" ht="31.95" hidden="1" customHeight="1" x14ac:dyDescent="0.3">
      <c r="B1113" s="6" t="str">
        <f ca="1">IF(AND(NEGOCIAÇÕES!P1113="",NEGOCIAÇÕES!N1113&lt;TODAY()),NEGOCIAÇÕES!C1113,"")</f>
        <v/>
      </c>
      <c r="C1113" s="6" t="str">
        <f ca="1">IF(AND(NEGOCIAÇÕES!P1113="",NEGOCIAÇÕES!N1113&lt;TODAY()),NEGOCIAÇÕES!E1113,"")</f>
        <v/>
      </c>
      <c r="D1113" s="6" t="str">
        <f ca="1">IF(AND(NEGOCIAÇÕES!P1113="",NEGOCIAÇÕES!N1113&lt;TODAY()),NEGOCIAÇÕES!D1113,"")</f>
        <v/>
      </c>
      <c r="E1113" s="9" t="str">
        <f ca="1">IF(AND(NEGOCIAÇÕES!P1113="",NEGOCIAÇÕES!N1113&lt;TODAY()),NEGOCIAÇÕES!N1113,"")</f>
        <v/>
      </c>
    </row>
    <row r="1114" spans="2:5" ht="31.95" hidden="1" customHeight="1" x14ac:dyDescent="0.3">
      <c r="B1114" s="6" t="str">
        <f ca="1">IF(AND(NEGOCIAÇÕES!P1114="",NEGOCIAÇÕES!N1114&lt;TODAY()),NEGOCIAÇÕES!C1114,"")</f>
        <v/>
      </c>
      <c r="C1114" s="6" t="str">
        <f ca="1">IF(AND(NEGOCIAÇÕES!P1114="",NEGOCIAÇÕES!N1114&lt;TODAY()),NEGOCIAÇÕES!E1114,"")</f>
        <v/>
      </c>
      <c r="D1114" s="6" t="str">
        <f ca="1">IF(AND(NEGOCIAÇÕES!P1114="",NEGOCIAÇÕES!N1114&lt;TODAY()),NEGOCIAÇÕES!D1114,"")</f>
        <v/>
      </c>
      <c r="E1114" s="9" t="str">
        <f ca="1">IF(AND(NEGOCIAÇÕES!P1114="",NEGOCIAÇÕES!N1114&lt;TODAY()),NEGOCIAÇÕES!N1114,"")</f>
        <v/>
      </c>
    </row>
    <row r="1115" spans="2:5" ht="31.95" hidden="1" customHeight="1" x14ac:dyDescent="0.3">
      <c r="B1115" s="6" t="str">
        <f ca="1">IF(AND(NEGOCIAÇÕES!P1115="",NEGOCIAÇÕES!N1115&lt;TODAY()),NEGOCIAÇÕES!C1115,"")</f>
        <v/>
      </c>
      <c r="C1115" s="6" t="str">
        <f ca="1">IF(AND(NEGOCIAÇÕES!P1115="",NEGOCIAÇÕES!N1115&lt;TODAY()),NEGOCIAÇÕES!E1115,"")</f>
        <v/>
      </c>
      <c r="D1115" s="6" t="str">
        <f ca="1">IF(AND(NEGOCIAÇÕES!P1115="",NEGOCIAÇÕES!N1115&lt;TODAY()),NEGOCIAÇÕES!D1115,"")</f>
        <v/>
      </c>
      <c r="E1115" s="9" t="str">
        <f ca="1">IF(AND(NEGOCIAÇÕES!P1115="",NEGOCIAÇÕES!N1115&lt;TODAY()),NEGOCIAÇÕES!N1115,"")</f>
        <v/>
      </c>
    </row>
    <row r="1116" spans="2:5" ht="31.95" hidden="1" customHeight="1" x14ac:dyDescent="0.3">
      <c r="B1116" s="6" t="str">
        <f ca="1">IF(AND(NEGOCIAÇÕES!P1116="",NEGOCIAÇÕES!N1116&lt;TODAY()),NEGOCIAÇÕES!C1116,"")</f>
        <v/>
      </c>
      <c r="C1116" s="6" t="str">
        <f ca="1">IF(AND(NEGOCIAÇÕES!P1116="",NEGOCIAÇÕES!N1116&lt;TODAY()),NEGOCIAÇÕES!E1116,"")</f>
        <v/>
      </c>
      <c r="D1116" s="6" t="str">
        <f ca="1">IF(AND(NEGOCIAÇÕES!P1116="",NEGOCIAÇÕES!N1116&lt;TODAY()),NEGOCIAÇÕES!D1116,"")</f>
        <v/>
      </c>
      <c r="E1116" s="9" t="str">
        <f ca="1">IF(AND(NEGOCIAÇÕES!P1116="",NEGOCIAÇÕES!N1116&lt;TODAY()),NEGOCIAÇÕES!N1116,"")</f>
        <v/>
      </c>
    </row>
    <row r="1117" spans="2:5" ht="31.95" hidden="1" customHeight="1" x14ac:dyDescent="0.3">
      <c r="B1117" s="6" t="str">
        <f ca="1">IF(AND(NEGOCIAÇÕES!P1117="",NEGOCIAÇÕES!N1117&lt;TODAY()),NEGOCIAÇÕES!C1117,"")</f>
        <v/>
      </c>
      <c r="C1117" s="6" t="str">
        <f ca="1">IF(AND(NEGOCIAÇÕES!P1117="",NEGOCIAÇÕES!N1117&lt;TODAY()),NEGOCIAÇÕES!E1117,"")</f>
        <v/>
      </c>
      <c r="D1117" s="6" t="str">
        <f ca="1">IF(AND(NEGOCIAÇÕES!P1117="",NEGOCIAÇÕES!N1117&lt;TODAY()),NEGOCIAÇÕES!D1117,"")</f>
        <v/>
      </c>
      <c r="E1117" s="9" t="str">
        <f ca="1">IF(AND(NEGOCIAÇÕES!P1117="",NEGOCIAÇÕES!N1117&lt;TODAY()),NEGOCIAÇÕES!N1117,"")</f>
        <v/>
      </c>
    </row>
    <row r="1118" spans="2:5" ht="31.95" hidden="1" customHeight="1" x14ac:dyDescent="0.3">
      <c r="B1118" s="6" t="str">
        <f ca="1">IF(AND(NEGOCIAÇÕES!P1118="",NEGOCIAÇÕES!N1118&lt;TODAY()),NEGOCIAÇÕES!C1118,"")</f>
        <v/>
      </c>
      <c r="C1118" s="6" t="str">
        <f ca="1">IF(AND(NEGOCIAÇÕES!P1118="",NEGOCIAÇÕES!N1118&lt;TODAY()),NEGOCIAÇÕES!E1118,"")</f>
        <v/>
      </c>
      <c r="D1118" s="6" t="str">
        <f ca="1">IF(AND(NEGOCIAÇÕES!P1118="",NEGOCIAÇÕES!N1118&lt;TODAY()),NEGOCIAÇÕES!D1118,"")</f>
        <v/>
      </c>
      <c r="E1118" s="9" t="str">
        <f ca="1">IF(AND(NEGOCIAÇÕES!P1118="",NEGOCIAÇÕES!N1118&lt;TODAY()),NEGOCIAÇÕES!N1118,"")</f>
        <v/>
      </c>
    </row>
    <row r="1119" spans="2:5" ht="31.95" hidden="1" customHeight="1" x14ac:dyDescent="0.3">
      <c r="B1119" s="6" t="str">
        <f ca="1">IF(AND(NEGOCIAÇÕES!P1119="",NEGOCIAÇÕES!N1119&lt;TODAY()),NEGOCIAÇÕES!C1119,"")</f>
        <v/>
      </c>
      <c r="C1119" s="6" t="str">
        <f ca="1">IF(AND(NEGOCIAÇÕES!P1119="",NEGOCIAÇÕES!N1119&lt;TODAY()),NEGOCIAÇÕES!E1119,"")</f>
        <v/>
      </c>
      <c r="D1119" s="6" t="str">
        <f ca="1">IF(AND(NEGOCIAÇÕES!P1119="",NEGOCIAÇÕES!N1119&lt;TODAY()),NEGOCIAÇÕES!D1119,"")</f>
        <v/>
      </c>
      <c r="E1119" s="9" t="str">
        <f ca="1">IF(AND(NEGOCIAÇÕES!P1119="",NEGOCIAÇÕES!N1119&lt;TODAY()),NEGOCIAÇÕES!N1119,"")</f>
        <v/>
      </c>
    </row>
    <row r="1120" spans="2:5" ht="31.95" hidden="1" customHeight="1" x14ac:dyDescent="0.3">
      <c r="B1120" s="6" t="str">
        <f ca="1">IF(AND(NEGOCIAÇÕES!P1120="",NEGOCIAÇÕES!N1120&lt;TODAY()),NEGOCIAÇÕES!C1120,"")</f>
        <v/>
      </c>
      <c r="C1120" s="6" t="str">
        <f ca="1">IF(AND(NEGOCIAÇÕES!P1120="",NEGOCIAÇÕES!N1120&lt;TODAY()),NEGOCIAÇÕES!E1120,"")</f>
        <v/>
      </c>
      <c r="D1120" s="6" t="str">
        <f ca="1">IF(AND(NEGOCIAÇÕES!P1120="",NEGOCIAÇÕES!N1120&lt;TODAY()),NEGOCIAÇÕES!D1120,"")</f>
        <v/>
      </c>
      <c r="E1120" s="9" t="str">
        <f ca="1">IF(AND(NEGOCIAÇÕES!P1120="",NEGOCIAÇÕES!N1120&lt;TODAY()),NEGOCIAÇÕES!N1120,"")</f>
        <v/>
      </c>
    </row>
    <row r="1121" spans="2:5" ht="31.95" hidden="1" customHeight="1" x14ac:dyDescent="0.3">
      <c r="B1121" s="6" t="str">
        <f ca="1">IF(AND(NEGOCIAÇÕES!P1121="",NEGOCIAÇÕES!N1121&lt;TODAY()),NEGOCIAÇÕES!C1121,"")</f>
        <v/>
      </c>
      <c r="C1121" s="6" t="str">
        <f ca="1">IF(AND(NEGOCIAÇÕES!P1121="",NEGOCIAÇÕES!N1121&lt;TODAY()),NEGOCIAÇÕES!E1121,"")</f>
        <v/>
      </c>
      <c r="D1121" s="6" t="str">
        <f ca="1">IF(AND(NEGOCIAÇÕES!P1121="",NEGOCIAÇÕES!N1121&lt;TODAY()),NEGOCIAÇÕES!D1121,"")</f>
        <v/>
      </c>
      <c r="E1121" s="9" t="str">
        <f ca="1">IF(AND(NEGOCIAÇÕES!P1121="",NEGOCIAÇÕES!N1121&lt;TODAY()),NEGOCIAÇÕES!N1121,"")</f>
        <v/>
      </c>
    </row>
    <row r="1122" spans="2:5" ht="31.95" hidden="1" customHeight="1" x14ac:dyDescent="0.3">
      <c r="B1122" s="6" t="str">
        <f ca="1">IF(AND(NEGOCIAÇÕES!P1122="",NEGOCIAÇÕES!N1122&lt;TODAY()),NEGOCIAÇÕES!C1122,"")</f>
        <v/>
      </c>
      <c r="C1122" s="6" t="str">
        <f ca="1">IF(AND(NEGOCIAÇÕES!P1122="",NEGOCIAÇÕES!N1122&lt;TODAY()),NEGOCIAÇÕES!E1122,"")</f>
        <v/>
      </c>
      <c r="D1122" s="6" t="str">
        <f ca="1">IF(AND(NEGOCIAÇÕES!P1122="",NEGOCIAÇÕES!N1122&lt;TODAY()),NEGOCIAÇÕES!D1122,"")</f>
        <v/>
      </c>
      <c r="E1122" s="9" t="str">
        <f ca="1">IF(AND(NEGOCIAÇÕES!P1122="",NEGOCIAÇÕES!N1122&lt;TODAY()),NEGOCIAÇÕES!N1122,"")</f>
        <v/>
      </c>
    </row>
    <row r="1123" spans="2:5" ht="31.95" hidden="1" customHeight="1" x14ac:dyDescent="0.3">
      <c r="B1123" s="6" t="str">
        <f ca="1">IF(AND(NEGOCIAÇÕES!P1123="",NEGOCIAÇÕES!N1123&lt;TODAY()),NEGOCIAÇÕES!C1123,"")</f>
        <v/>
      </c>
      <c r="C1123" s="6" t="str">
        <f ca="1">IF(AND(NEGOCIAÇÕES!P1123="",NEGOCIAÇÕES!N1123&lt;TODAY()),NEGOCIAÇÕES!E1123,"")</f>
        <v/>
      </c>
      <c r="D1123" s="6" t="str">
        <f ca="1">IF(AND(NEGOCIAÇÕES!P1123="",NEGOCIAÇÕES!N1123&lt;TODAY()),NEGOCIAÇÕES!D1123,"")</f>
        <v/>
      </c>
      <c r="E1123" s="9" t="str">
        <f ca="1">IF(AND(NEGOCIAÇÕES!P1123="",NEGOCIAÇÕES!N1123&lt;TODAY()),NEGOCIAÇÕES!N1123,"")</f>
        <v/>
      </c>
    </row>
    <row r="1124" spans="2:5" ht="31.95" hidden="1" customHeight="1" x14ac:dyDescent="0.3">
      <c r="B1124" s="6" t="str">
        <f ca="1">IF(AND(NEGOCIAÇÕES!P1124="",NEGOCIAÇÕES!N1124&lt;TODAY()),NEGOCIAÇÕES!C1124,"")</f>
        <v/>
      </c>
      <c r="C1124" s="6" t="str">
        <f ca="1">IF(AND(NEGOCIAÇÕES!P1124="",NEGOCIAÇÕES!N1124&lt;TODAY()),NEGOCIAÇÕES!E1124,"")</f>
        <v/>
      </c>
      <c r="D1124" s="6" t="str">
        <f ca="1">IF(AND(NEGOCIAÇÕES!P1124="",NEGOCIAÇÕES!N1124&lt;TODAY()),NEGOCIAÇÕES!D1124,"")</f>
        <v/>
      </c>
      <c r="E1124" s="9" t="str">
        <f ca="1">IF(AND(NEGOCIAÇÕES!P1124="",NEGOCIAÇÕES!N1124&lt;TODAY()),NEGOCIAÇÕES!N1124,"")</f>
        <v/>
      </c>
    </row>
    <row r="1125" spans="2:5" ht="31.95" hidden="1" customHeight="1" x14ac:dyDescent="0.3">
      <c r="B1125" s="6" t="str">
        <f ca="1">IF(AND(NEGOCIAÇÕES!P1125="",NEGOCIAÇÕES!N1125&lt;TODAY()),NEGOCIAÇÕES!C1125,"")</f>
        <v/>
      </c>
      <c r="C1125" s="6" t="str">
        <f ca="1">IF(AND(NEGOCIAÇÕES!P1125="",NEGOCIAÇÕES!N1125&lt;TODAY()),NEGOCIAÇÕES!E1125,"")</f>
        <v/>
      </c>
      <c r="D1125" s="6" t="str">
        <f ca="1">IF(AND(NEGOCIAÇÕES!P1125="",NEGOCIAÇÕES!N1125&lt;TODAY()),NEGOCIAÇÕES!D1125,"")</f>
        <v/>
      </c>
      <c r="E1125" s="9" t="str">
        <f ca="1">IF(AND(NEGOCIAÇÕES!P1125="",NEGOCIAÇÕES!N1125&lt;TODAY()),NEGOCIAÇÕES!N1125,"")</f>
        <v/>
      </c>
    </row>
    <row r="1126" spans="2:5" ht="31.95" hidden="1" customHeight="1" x14ac:dyDescent="0.3">
      <c r="B1126" s="6" t="str">
        <f ca="1">IF(AND(NEGOCIAÇÕES!P1126="",NEGOCIAÇÕES!N1126&lt;TODAY()),NEGOCIAÇÕES!C1126,"")</f>
        <v/>
      </c>
      <c r="C1126" s="6" t="str">
        <f ca="1">IF(AND(NEGOCIAÇÕES!P1126="",NEGOCIAÇÕES!N1126&lt;TODAY()),NEGOCIAÇÕES!E1126,"")</f>
        <v/>
      </c>
      <c r="D1126" s="6" t="str">
        <f ca="1">IF(AND(NEGOCIAÇÕES!P1126="",NEGOCIAÇÕES!N1126&lt;TODAY()),NEGOCIAÇÕES!D1126,"")</f>
        <v/>
      </c>
      <c r="E1126" s="9" t="str">
        <f ca="1">IF(AND(NEGOCIAÇÕES!P1126="",NEGOCIAÇÕES!N1126&lt;TODAY()),NEGOCIAÇÕES!N1126,"")</f>
        <v/>
      </c>
    </row>
    <row r="1127" spans="2:5" ht="31.95" hidden="1" customHeight="1" x14ac:dyDescent="0.3">
      <c r="B1127" s="6" t="str">
        <f ca="1">IF(AND(NEGOCIAÇÕES!P1127="",NEGOCIAÇÕES!N1127&lt;TODAY()),NEGOCIAÇÕES!C1127,"")</f>
        <v/>
      </c>
      <c r="C1127" s="6" t="str">
        <f ca="1">IF(AND(NEGOCIAÇÕES!P1127="",NEGOCIAÇÕES!N1127&lt;TODAY()),NEGOCIAÇÕES!E1127,"")</f>
        <v/>
      </c>
      <c r="D1127" s="6" t="str">
        <f ca="1">IF(AND(NEGOCIAÇÕES!P1127="",NEGOCIAÇÕES!N1127&lt;TODAY()),NEGOCIAÇÕES!D1127,"")</f>
        <v/>
      </c>
      <c r="E1127" s="9" t="str">
        <f ca="1">IF(AND(NEGOCIAÇÕES!P1127="",NEGOCIAÇÕES!N1127&lt;TODAY()),NEGOCIAÇÕES!N1127,"")</f>
        <v/>
      </c>
    </row>
    <row r="1128" spans="2:5" ht="31.95" hidden="1" customHeight="1" x14ac:dyDescent="0.3">
      <c r="B1128" s="6" t="str">
        <f ca="1">IF(AND(NEGOCIAÇÕES!P1128="",NEGOCIAÇÕES!N1128&lt;TODAY()),NEGOCIAÇÕES!C1128,"")</f>
        <v/>
      </c>
      <c r="C1128" s="6" t="str">
        <f ca="1">IF(AND(NEGOCIAÇÕES!P1128="",NEGOCIAÇÕES!N1128&lt;TODAY()),NEGOCIAÇÕES!E1128,"")</f>
        <v/>
      </c>
      <c r="D1128" s="6" t="str">
        <f ca="1">IF(AND(NEGOCIAÇÕES!P1128="",NEGOCIAÇÕES!N1128&lt;TODAY()),NEGOCIAÇÕES!D1128,"")</f>
        <v/>
      </c>
      <c r="E1128" s="9" t="str">
        <f ca="1">IF(AND(NEGOCIAÇÕES!P1128="",NEGOCIAÇÕES!N1128&lt;TODAY()),NEGOCIAÇÕES!N1128,"")</f>
        <v/>
      </c>
    </row>
    <row r="1129" spans="2:5" ht="31.95" hidden="1" customHeight="1" x14ac:dyDescent="0.3">
      <c r="B1129" s="6" t="str">
        <f ca="1">IF(AND(NEGOCIAÇÕES!P1129="",NEGOCIAÇÕES!N1129&lt;TODAY()),NEGOCIAÇÕES!C1129,"")</f>
        <v/>
      </c>
      <c r="C1129" s="6" t="str">
        <f ca="1">IF(AND(NEGOCIAÇÕES!P1129="",NEGOCIAÇÕES!N1129&lt;TODAY()),NEGOCIAÇÕES!E1129,"")</f>
        <v/>
      </c>
      <c r="D1129" s="6" t="str">
        <f ca="1">IF(AND(NEGOCIAÇÕES!P1129="",NEGOCIAÇÕES!N1129&lt;TODAY()),NEGOCIAÇÕES!D1129,"")</f>
        <v/>
      </c>
      <c r="E1129" s="9" t="str">
        <f ca="1">IF(AND(NEGOCIAÇÕES!P1129="",NEGOCIAÇÕES!N1129&lt;TODAY()),NEGOCIAÇÕES!N1129,"")</f>
        <v/>
      </c>
    </row>
    <row r="1130" spans="2:5" ht="31.95" hidden="1" customHeight="1" x14ac:dyDescent="0.3">
      <c r="B1130" s="6" t="str">
        <f ca="1">IF(AND(NEGOCIAÇÕES!P1130="",NEGOCIAÇÕES!N1130&lt;TODAY()),NEGOCIAÇÕES!C1130,"")</f>
        <v/>
      </c>
      <c r="C1130" s="6" t="str">
        <f ca="1">IF(AND(NEGOCIAÇÕES!P1130="",NEGOCIAÇÕES!N1130&lt;TODAY()),NEGOCIAÇÕES!E1130,"")</f>
        <v/>
      </c>
      <c r="D1130" s="6" t="str">
        <f ca="1">IF(AND(NEGOCIAÇÕES!P1130="",NEGOCIAÇÕES!N1130&lt;TODAY()),NEGOCIAÇÕES!D1130,"")</f>
        <v/>
      </c>
      <c r="E1130" s="9" t="str">
        <f ca="1">IF(AND(NEGOCIAÇÕES!P1130="",NEGOCIAÇÕES!N1130&lt;TODAY()),NEGOCIAÇÕES!N1130,"")</f>
        <v/>
      </c>
    </row>
    <row r="1131" spans="2:5" ht="31.95" hidden="1" customHeight="1" x14ac:dyDescent="0.3">
      <c r="B1131" s="6" t="str">
        <f ca="1">IF(AND(NEGOCIAÇÕES!P1131="",NEGOCIAÇÕES!N1131&lt;TODAY()),NEGOCIAÇÕES!C1131,"")</f>
        <v/>
      </c>
      <c r="C1131" s="6" t="str">
        <f ca="1">IF(AND(NEGOCIAÇÕES!P1131="",NEGOCIAÇÕES!N1131&lt;TODAY()),NEGOCIAÇÕES!E1131,"")</f>
        <v/>
      </c>
      <c r="D1131" s="6" t="str">
        <f ca="1">IF(AND(NEGOCIAÇÕES!P1131="",NEGOCIAÇÕES!N1131&lt;TODAY()),NEGOCIAÇÕES!D1131,"")</f>
        <v/>
      </c>
      <c r="E1131" s="9" t="str">
        <f ca="1">IF(AND(NEGOCIAÇÕES!P1131="",NEGOCIAÇÕES!N1131&lt;TODAY()),NEGOCIAÇÕES!N1131,"")</f>
        <v/>
      </c>
    </row>
    <row r="1132" spans="2:5" ht="31.95" hidden="1" customHeight="1" x14ac:dyDescent="0.3">
      <c r="B1132" s="6" t="str">
        <f ca="1">IF(AND(NEGOCIAÇÕES!P1132="",NEGOCIAÇÕES!N1132&lt;TODAY()),NEGOCIAÇÕES!C1132,"")</f>
        <v/>
      </c>
      <c r="C1132" s="6" t="str">
        <f ca="1">IF(AND(NEGOCIAÇÕES!P1132="",NEGOCIAÇÕES!N1132&lt;TODAY()),NEGOCIAÇÕES!E1132,"")</f>
        <v/>
      </c>
      <c r="D1132" s="6" t="str">
        <f ca="1">IF(AND(NEGOCIAÇÕES!P1132="",NEGOCIAÇÕES!N1132&lt;TODAY()),NEGOCIAÇÕES!D1132,"")</f>
        <v/>
      </c>
      <c r="E1132" s="9" t="str">
        <f ca="1">IF(AND(NEGOCIAÇÕES!P1132="",NEGOCIAÇÕES!N1132&lt;TODAY()),NEGOCIAÇÕES!N1132,"")</f>
        <v/>
      </c>
    </row>
    <row r="1133" spans="2:5" ht="31.95" hidden="1" customHeight="1" x14ac:dyDescent="0.3">
      <c r="B1133" s="6" t="str">
        <f ca="1">IF(AND(NEGOCIAÇÕES!P1133="",NEGOCIAÇÕES!N1133&lt;TODAY()),NEGOCIAÇÕES!C1133,"")</f>
        <v/>
      </c>
      <c r="C1133" s="6" t="str">
        <f ca="1">IF(AND(NEGOCIAÇÕES!P1133="",NEGOCIAÇÕES!N1133&lt;TODAY()),NEGOCIAÇÕES!E1133,"")</f>
        <v/>
      </c>
      <c r="D1133" s="6" t="str">
        <f ca="1">IF(AND(NEGOCIAÇÕES!P1133="",NEGOCIAÇÕES!N1133&lt;TODAY()),NEGOCIAÇÕES!D1133,"")</f>
        <v/>
      </c>
      <c r="E1133" s="9" t="str">
        <f ca="1">IF(AND(NEGOCIAÇÕES!P1133="",NEGOCIAÇÕES!N1133&lt;TODAY()),NEGOCIAÇÕES!N1133,"")</f>
        <v/>
      </c>
    </row>
    <row r="1134" spans="2:5" ht="31.95" hidden="1" customHeight="1" x14ac:dyDescent="0.3">
      <c r="B1134" s="6" t="str">
        <f ca="1">IF(AND(NEGOCIAÇÕES!P1134="",NEGOCIAÇÕES!N1134&lt;TODAY()),NEGOCIAÇÕES!C1134,"")</f>
        <v/>
      </c>
      <c r="C1134" s="6" t="str">
        <f ca="1">IF(AND(NEGOCIAÇÕES!P1134="",NEGOCIAÇÕES!N1134&lt;TODAY()),NEGOCIAÇÕES!E1134,"")</f>
        <v/>
      </c>
      <c r="D1134" s="6" t="str">
        <f ca="1">IF(AND(NEGOCIAÇÕES!P1134="",NEGOCIAÇÕES!N1134&lt;TODAY()),NEGOCIAÇÕES!D1134,"")</f>
        <v/>
      </c>
      <c r="E1134" s="9" t="str">
        <f ca="1">IF(AND(NEGOCIAÇÕES!P1134="",NEGOCIAÇÕES!N1134&lt;TODAY()),NEGOCIAÇÕES!N1134,"")</f>
        <v/>
      </c>
    </row>
    <row r="1135" spans="2:5" ht="31.95" hidden="1" customHeight="1" x14ac:dyDescent="0.3">
      <c r="B1135" s="6" t="str">
        <f ca="1">IF(AND(NEGOCIAÇÕES!P1135="",NEGOCIAÇÕES!N1135&lt;TODAY()),NEGOCIAÇÕES!C1135,"")</f>
        <v/>
      </c>
      <c r="C1135" s="6" t="str">
        <f ca="1">IF(AND(NEGOCIAÇÕES!P1135="",NEGOCIAÇÕES!N1135&lt;TODAY()),NEGOCIAÇÕES!E1135,"")</f>
        <v/>
      </c>
      <c r="D1135" s="6" t="str">
        <f ca="1">IF(AND(NEGOCIAÇÕES!P1135="",NEGOCIAÇÕES!N1135&lt;TODAY()),NEGOCIAÇÕES!D1135,"")</f>
        <v/>
      </c>
      <c r="E1135" s="9" t="str">
        <f ca="1">IF(AND(NEGOCIAÇÕES!P1135="",NEGOCIAÇÕES!N1135&lt;TODAY()),NEGOCIAÇÕES!N1135,"")</f>
        <v/>
      </c>
    </row>
    <row r="1136" spans="2:5" ht="31.95" hidden="1" customHeight="1" x14ac:dyDescent="0.3">
      <c r="B1136" s="6" t="str">
        <f ca="1">IF(AND(NEGOCIAÇÕES!P1136="",NEGOCIAÇÕES!N1136&lt;TODAY()),NEGOCIAÇÕES!C1136,"")</f>
        <v/>
      </c>
      <c r="C1136" s="6" t="str">
        <f ca="1">IF(AND(NEGOCIAÇÕES!P1136="",NEGOCIAÇÕES!N1136&lt;TODAY()),NEGOCIAÇÕES!E1136,"")</f>
        <v/>
      </c>
      <c r="D1136" s="6" t="str">
        <f ca="1">IF(AND(NEGOCIAÇÕES!P1136="",NEGOCIAÇÕES!N1136&lt;TODAY()),NEGOCIAÇÕES!D1136,"")</f>
        <v/>
      </c>
      <c r="E1136" s="9" t="str">
        <f ca="1">IF(AND(NEGOCIAÇÕES!P1136="",NEGOCIAÇÕES!N1136&lt;TODAY()),NEGOCIAÇÕES!N1136,"")</f>
        <v/>
      </c>
    </row>
    <row r="1137" spans="2:5" ht="31.95" hidden="1" customHeight="1" x14ac:dyDescent="0.3">
      <c r="B1137" s="6" t="str">
        <f ca="1">IF(AND(NEGOCIAÇÕES!P1137="",NEGOCIAÇÕES!N1137&lt;TODAY()),NEGOCIAÇÕES!C1137,"")</f>
        <v/>
      </c>
      <c r="C1137" s="6" t="str">
        <f ca="1">IF(AND(NEGOCIAÇÕES!P1137="",NEGOCIAÇÕES!N1137&lt;TODAY()),NEGOCIAÇÕES!E1137,"")</f>
        <v/>
      </c>
      <c r="D1137" s="6" t="str">
        <f ca="1">IF(AND(NEGOCIAÇÕES!P1137="",NEGOCIAÇÕES!N1137&lt;TODAY()),NEGOCIAÇÕES!D1137,"")</f>
        <v/>
      </c>
      <c r="E1137" s="9" t="str">
        <f ca="1">IF(AND(NEGOCIAÇÕES!P1137="",NEGOCIAÇÕES!N1137&lt;TODAY()),NEGOCIAÇÕES!N1137,"")</f>
        <v/>
      </c>
    </row>
    <row r="1138" spans="2:5" ht="31.95" hidden="1" customHeight="1" x14ac:dyDescent="0.3">
      <c r="B1138" s="6" t="str">
        <f ca="1">IF(AND(NEGOCIAÇÕES!P1138="",NEGOCIAÇÕES!N1138&lt;TODAY()),NEGOCIAÇÕES!C1138,"")</f>
        <v/>
      </c>
      <c r="C1138" s="6" t="str">
        <f ca="1">IF(AND(NEGOCIAÇÕES!P1138="",NEGOCIAÇÕES!N1138&lt;TODAY()),NEGOCIAÇÕES!E1138,"")</f>
        <v/>
      </c>
      <c r="D1138" s="6" t="str">
        <f ca="1">IF(AND(NEGOCIAÇÕES!P1138="",NEGOCIAÇÕES!N1138&lt;TODAY()),NEGOCIAÇÕES!D1138,"")</f>
        <v/>
      </c>
      <c r="E1138" s="9" t="str">
        <f ca="1">IF(AND(NEGOCIAÇÕES!P1138="",NEGOCIAÇÕES!N1138&lt;TODAY()),NEGOCIAÇÕES!N1138,"")</f>
        <v/>
      </c>
    </row>
    <row r="1139" spans="2:5" ht="31.95" hidden="1" customHeight="1" x14ac:dyDescent="0.3">
      <c r="B1139" s="6" t="str">
        <f ca="1">IF(AND(NEGOCIAÇÕES!P1139="",NEGOCIAÇÕES!N1139&lt;TODAY()),NEGOCIAÇÕES!C1139,"")</f>
        <v/>
      </c>
      <c r="C1139" s="6" t="str">
        <f ca="1">IF(AND(NEGOCIAÇÕES!P1139="",NEGOCIAÇÕES!N1139&lt;TODAY()),NEGOCIAÇÕES!E1139,"")</f>
        <v/>
      </c>
      <c r="D1139" s="6" t="str">
        <f ca="1">IF(AND(NEGOCIAÇÕES!P1139="",NEGOCIAÇÕES!N1139&lt;TODAY()),NEGOCIAÇÕES!D1139,"")</f>
        <v/>
      </c>
      <c r="E1139" s="9" t="str">
        <f ca="1">IF(AND(NEGOCIAÇÕES!P1139="",NEGOCIAÇÕES!N1139&lt;TODAY()),NEGOCIAÇÕES!N1139,"")</f>
        <v/>
      </c>
    </row>
    <row r="1140" spans="2:5" ht="31.95" hidden="1" customHeight="1" x14ac:dyDescent="0.3">
      <c r="B1140" s="6" t="str">
        <f ca="1">IF(AND(NEGOCIAÇÕES!P1140="",NEGOCIAÇÕES!N1140&lt;TODAY()),NEGOCIAÇÕES!C1140,"")</f>
        <v/>
      </c>
      <c r="C1140" s="6" t="str">
        <f ca="1">IF(AND(NEGOCIAÇÕES!P1140="",NEGOCIAÇÕES!N1140&lt;TODAY()),NEGOCIAÇÕES!E1140,"")</f>
        <v/>
      </c>
      <c r="D1140" s="6" t="str">
        <f ca="1">IF(AND(NEGOCIAÇÕES!P1140="",NEGOCIAÇÕES!N1140&lt;TODAY()),NEGOCIAÇÕES!D1140,"")</f>
        <v/>
      </c>
      <c r="E1140" s="9" t="str">
        <f ca="1">IF(AND(NEGOCIAÇÕES!P1140="",NEGOCIAÇÕES!N1140&lt;TODAY()),NEGOCIAÇÕES!N1140,"")</f>
        <v/>
      </c>
    </row>
    <row r="1141" spans="2:5" ht="31.95" hidden="1" customHeight="1" x14ac:dyDescent="0.3">
      <c r="B1141" s="6" t="str">
        <f ca="1">IF(AND(NEGOCIAÇÕES!P1141="",NEGOCIAÇÕES!N1141&lt;TODAY()),NEGOCIAÇÕES!C1141,"")</f>
        <v/>
      </c>
      <c r="C1141" s="6" t="str">
        <f ca="1">IF(AND(NEGOCIAÇÕES!P1141="",NEGOCIAÇÕES!N1141&lt;TODAY()),NEGOCIAÇÕES!E1141,"")</f>
        <v/>
      </c>
      <c r="D1141" s="6" t="str">
        <f ca="1">IF(AND(NEGOCIAÇÕES!P1141="",NEGOCIAÇÕES!N1141&lt;TODAY()),NEGOCIAÇÕES!D1141,"")</f>
        <v/>
      </c>
      <c r="E1141" s="9" t="str">
        <f ca="1">IF(AND(NEGOCIAÇÕES!P1141="",NEGOCIAÇÕES!N1141&lt;TODAY()),NEGOCIAÇÕES!N1141,"")</f>
        <v/>
      </c>
    </row>
    <row r="1142" spans="2:5" ht="31.95" hidden="1" customHeight="1" x14ac:dyDescent="0.3">
      <c r="B1142" s="6" t="str">
        <f ca="1">IF(AND(NEGOCIAÇÕES!P1142="",NEGOCIAÇÕES!N1142&lt;TODAY()),NEGOCIAÇÕES!C1142,"")</f>
        <v/>
      </c>
      <c r="C1142" s="6" t="str">
        <f ca="1">IF(AND(NEGOCIAÇÕES!P1142="",NEGOCIAÇÕES!N1142&lt;TODAY()),NEGOCIAÇÕES!E1142,"")</f>
        <v/>
      </c>
      <c r="D1142" s="6" t="str">
        <f ca="1">IF(AND(NEGOCIAÇÕES!P1142="",NEGOCIAÇÕES!N1142&lt;TODAY()),NEGOCIAÇÕES!D1142,"")</f>
        <v/>
      </c>
      <c r="E1142" s="9" t="str">
        <f ca="1">IF(AND(NEGOCIAÇÕES!P1142="",NEGOCIAÇÕES!N1142&lt;TODAY()),NEGOCIAÇÕES!N1142,"")</f>
        <v/>
      </c>
    </row>
    <row r="1143" spans="2:5" ht="31.95" hidden="1" customHeight="1" x14ac:dyDescent="0.3">
      <c r="B1143" s="6" t="str">
        <f ca="1">IF(AND(NEGOCIAÇÕES!P1143="",NEGOCIAÇÕES!N1143&lt;TODAY()),NEGOCIAÇÕES!C1143,"")</f>
        <v/>
      </c>
      <c r="C1143" s="6" t="str">
        <f ca="1">IF(AND(NEGOCIAÇÕES!P1143="",NEGOCIAÇÕES!N1143&lt;TODAY()),NEGOCIAÇÕES!E1143,"")</f>
        <v/>
      </c>
      <c r="D1143" s="6" t="str">
        <f ca="1">IF(AND(NEGOCIAÇÕES!P1143="",NEGOCIAÇÕES!N1143&lt;TODAY()),NEGOCIAÇÕES!D1143,"")</f>
        <v/>
      </c>
      <c r="E1143" s="9" t="str">
        <f ca="1">IF(AND(NEGOCIAÇÕES!P1143="",NEGOCIAÇÕES!N1143&lt;TODAY()),NEGOCIAÇÕES!N1143,"")</f>
        <v/>
      </c>
    </row>
    <row r="1144" spans="2:5" ht="31.95" hidden="1" customHeight="1" x14ac:dyDescent="0.3">
      <c r="B1144" s="6" t="str">
        <f ca="1">IF(AND(NEGOCIAÇÕES!P1144="",NEGOCIAÇÕES!N1144&lt;TODAY()),NEGOCIAÇÕES!C1144,"")</f>
        <v/>
      </c>
      <c r="C1144" s="6" t="str">
        <f ca="1">IF(AND(NEGOCIAÇÕES!P1144="",NEGOCIAÇÕES!N1144&lt;TODAY()),NEGOCIAÇÕES!E1144,"")</f>
        <v/>
      </c>
      <c r="D1144" s="6" t="str">
        <f ca="1">IF(AND(NEGOCIAÇÕES!P1144="",NEGOCIAÇÕES!N1144&lt;TODAY()),NEGOCIAÇÕES!D1144,"")</f>
        <v/>
      </c>
      <c r="E1144" s="9" t="str">
        <f ca="1">IF(AND(NEGOCIAÇÕES!P1144="",NEGOCIAÇÕES!N1144&lt;TODAY()),NEGOCIAÇÕES!N1144,"")</f>
        <v/>
      </c>
    </row>
    <row r="1145" spans="2:5" ht="31.95" hidden="1" customHeight="1" x14ac:dyDescent="0.3">
      <c r="B1145" s="6" t="str">
        <f ca="1">IF(AND(NEGOCIAÇÕES!P1145="",NEGOCIAÇÕES!N1145&lt;TODAY()),NEGOCIAÇÕES!C1145,"")</f>
        <v/>
      </c>
      <c r="C1145" s="6" t="str">
        <f ca="1">IF(AND(NEGOCIAÇÕES!P1145="",NEGOCIAÇÕES!N1145&lt;TODAY()),NEGOCIAÇÕES!E1145,"")</f>
        <v/>
      </c>
      <c r="D1145" s="6" t="str">
        <f ca="1">IF(AND(NEGOCIAÇÕES!P1145="",NEGOCIAÇÕES!N1145&lt;TODAY()),NEGOCIAÇÕES!D1145,"")</f>
        <v/>
      </c>
      <c r="E1145" s="9" t="str">
        <f ca="1">IF(AND(NEGOCIAÇÕES!P1145="",NEGOCIAÇÕES!N1145&lt;TODAY()),NEGOCIAÇÕES!N1145,"")</f>
        <v/>
      </c>
    </row>
    <row r="1146" spans="2:5" ht="31.95" hidden="1" customHeight="1" x14ac:dyDescent="0.3">
      <c r="B1146" s="6" t="str">
        <f ca="1">IF(AND(NEGOCIAÇÕES!P1146="",NEGOCIAÇÕES!N1146&lt;TODAY()),NEGOCIAÇÕES!C1146,"")</f>
        <v/>
      </c>
      <c r="C1146" s="6" t="str">
        <f ca="1">IF(AND(NEGOCIAÇÕES!P1146="",NEGOCIAÇÕES!N1146&lt;TODAY()),NEGOCIAÇÕES!E1146,"")</f>
        <v/>
      </c>
      <c r="D1146" s="6" t="str">
        <f ca="1">IF(AND(NEGOCIAÇÕES!P1146="",NEGOCIAÇÕES!N1146&lt;TODAY()),NEGOCIAÇÕES!D1146,"")</f>
        <v/>
      </c>
      <c r="E1146" s="9" t="str">
        <f ca="1">IF(AND(NEGOCIAÇÕES!P1146="",NEGOCIAÇÕES!N1146&lt;TODAY()),NEGOCIAÇÕES!N1146,"")</f>
        <v/>
      </c>
    </row>
    <row r="1147" spans="2:5" ht="31.95" hidden="1" customHeight="1" x14ac:dyDescent="0.3">
      <c r="B1147" s="6" t="str">
        <f ca="1">IF(AND(NEGOCIAÇÕES!P1147="",NEGOCIAÇÕES!N1147&lt;TODAY()),NEGOCIAÇÕES!C1147,"")</f>
        <v/>
      </c>
      <c r="C1147" s="6" t="str">
        <f ca="1">IF(AND(NEGOCIAÇÕES!P1147="",NEGOCIAÇÕES!N1147&lt;TODAY()),NEGOCIAÇÕES!E1147,"")</f>
        <v/>
      </c>
      <c r="D1147" s="6" t="str">
        <f ca="1">IF(AND(NEGOCIAÇÕES!P1147="",NEGOCIAÇÕES!N1147&lt;TODAY()),NEGOCIAÇÕES!D1147,"")</f>
        <v/>
      </c>
      <c r="E1147" s="9" t="str">
        <f ca="1">IF(AND(NEGOCIAÇÕES!P1147="",NEGOCIAÇÕES!N1147&lt;TODAY()),NEGOCIAÇÕES!N1147,"")</f>
        <v/>
      </c>
    </row>
    <row r="1148" spans="2:5" ht="31.95" hidden="1" customHeight="1" x14ac:dyDescent="0.3">
      <c r="B1148" s="6" t="str">
        <f ca="1">IF(AND(NEGOCIAÇÕES!P1148="",NEGOCIAÇÕES!N1148&lt;TODAY()),NEGOCIAÇÕES!C1148,"")</f>
        <v/>
      </c>
      <c r="C1148" s="6" t="str">
        <f ca="1">IF(AND(NEGOCIAÇÕES!P1148="",NEGOCIAÇÕES!N1148&lt;TODAY()),NEGOCIAÇÕES!E1148,"")</f>
        <v/>
      </c>
      <c r="D1148" s="6" t="str">
        <f ca="1">IF(AND(NEGOCIAÇÕES!P1148="",NEGOCIAÇÕES!N1148&lt;TODAY()),NEGOCIAÇÕES!D1148,"")</f>
        <v/>
      </c>
      <c r="E1148" s="9" t="str">
        <f ca="1">IF(AND(NEGOCIAÇÕES!P1148="",NEGOCIAÇÕES!N1148&lt;TODAY()),NEGOCIAÇÕES!N1148,"")</f>
        <v/>
      </c>
    </row>
    <row r="1149" spans="2:5" ht="31.95" hidden="1" customHeight="1" x14ac:dyDescent="0.3">
      <c r="B1149" s="6" t="str">
        <f ca="1">IF(AND(NEGOCIAÇÕES!P1149="",NEGOCIAÇÕES!N1149&lt;TODAY()),NEGOCIAÇÕES!C1149,"")</f>
        <v/>
      </c>
      <c r="C1149" s="6" t="str">
        <f ca="1">IF(AND(NEGOCIAÇÕES!P1149="",NEGOCIAÇÕES!N1149&lt;TODAY()),NEGOCIAÇÕES!E1149,"")</f>
        <v/>
      </c>
      <c r="D1149" s="6" t="str">
        <f ca="1">IF(AND(NEGOCIAÇÕES!P1149="",NEGOCIAÇÕES!N1149&lt;TODAY()),NEGOCIAÇÕES!D1149,"")</f>
        <v/>
      </c>
      <c r="E1149" s="9" t="str">
        <f ca="1">IF(AND(NEGOCIAÇÕES!P1149="",NEGOCIAÇÕES!N1149&lt;TODAY()),NEGOCIAÇÕES!N1149,"")</f>
        <v/>
      </c>
    </row>
    <row r="1150" spans="2:5" ht="31.95" hidden="1" customHeight="1" x14ac:dyDescent="0.3">
      <c r="B1150" s="6" t="str">
        <f ca="1">IF(AND(NEGOCIAÇÕES!P1150="",NEGOCIAÇÕES!N1150&lt;TODAY()),NEGOCIAÇÕES!C1150,"")</f>
        <v/>
      </c>
      <c r="C1150" s="6" t="str">
        <f ca="1">IF(AND(NEGOCIAÇÕES!P1150="",NEGOCIAÇÕES!N1150&lt;TODAY()),NEGOCIAÇÕES!E1150,"")</f>
        <v/>
      </c>
      <c r="D1150" s="6" t="str">
        <f ca="1">IF(AND(NEGOCIAÇÕES!P1150="",NEGOCIAÇÕES!N1150&lt;TODAY()),NEGOCIAÇÕES!D1150,"")</f>
        <v/>
      </c>
      <c r="E1150" s="9" t="str">
        <f ca="1">IF(AND(NEGOCIAÇÕES!P1150="",NEGOCIAÇÕES!N1150&lt;TODAY()),NEGOCIAÇÕES!N1150,"")</f>
        <v/>
      </c>
    </row>
    <row r="1151" spans="2:5" ht="31.95" hidden="1" customHeight="1" x14ac:dyDescent="0.3">
      <c r="B1151" s="6" t="str">
        <f ca="1">IF(AND(NEGOCIAÇÕES!P1151="",NEGOCIAÇÕES!N1151&lt;TODAY()),NEGOCIAÇÕES!C1151,"")</f>
        <v/>
      </c>
      <c r="C1151" s="6" t="str">
        <f ca="1">IF(AND(NEGOCIAÇÕES!P1151="",NEGOCIAÇÕES!N1151&lt;TODAY()),NEGOCIAÇÕES!E1151,"")</f>
        <v/>
      </c>
      <c r="D1151" s="6" t="str">
        <f ca="1">IF(AND(NEGOCIAÇÕES!P1151="",NEGOCIAÇÕES!N1151&lt;TODAY()),NEGOCIAÇÕES!D1151,"")</f>
        <v/>
      </c>
      <c r="E1151" s="9" t="str">
        <f ca="1">IF(AND(NEGOCIAÇÕES!P1151="",NEGOCIAÇÕES!N1151&lt;TODAY()),NEGOCIAÇÕES!N1151,"")</f>
        <v/>
      </c>
    </row>
    <row r="1152" spans="2:5" ht="31.95" hidden="1" customHeight="1" x14ac:dyDescent="0.3">
      <c r="B1152" s="6" t="str">
        <f ca="1">IF(AND(NEGOCIAÇÕES!P1152="",NEGOCIAÇÕES!N1152&lt;TODAY()),NEGOCIAÇÕES!C1152,"")</f>
        <v/>
      </c>
      <c r="C1152" s="6" t="str">
        <f ca="1">IF(AND(NEGOCIAÇÕES!P1152="",NEGOCIAÇÕES!N1152&lt;TODAY()),NEGOCIAÇÕES!E1152,"")</f>
        <v/>
      </c>
      <c r="D1152" s="6" t="str">
        <f ca="1">IF(AND(NEGOCIAÇÕES!P1152="",NEGOCIAÇÕES!N1152&lt;TODAY()),NEGOCIAÇÕES!D1152,"")</f>
        <v/>
      </c>
      <c r="E1152" s="9" t="str">
        <f ca="1">IF(AND(NEGOCIAÇÕES!P1152="",NEGOCIAÇÕES!N1152&lt;TODAY()),NEGOCIAÇÕES!N1152,"")</f>
        <v/>
      </c>
    </row>
    <row r="1153" spans="2:5" ht="31.95" hidden="1" customHeight="1" x14ac:dyDescent="0.3">
      <c r="B1153" s="6" t="str">
        <f ca="1">IF(AND(NEGOCIAÇÕES!P1153="",NEGOCIAÇÕES!N1153&lt;TODAY()),NEGOCIAÇÕES!C1153,"")</f>
        <v/>
      </c>
      <c r="C1153" s="6" t="str">
        <f ca="1">IF(AND(NEGOCIAÇÕES!P1153="",NEGOCIAÇÕES!N1153&lt;TODAY()),NEGOCIAÇÕES!E1153,"")</f>
        <v/>
      </c>
      <c r="D1153" s="6" t="str">
        <f ca="1">IF(AND(NEGOCIAÇÕES!P1153="",NEGOCIAÇÕES!N1153&lt;TODAY()),NEGOCIAÇÕES!D1153,"")</f>
        <v/>
      </c>
      <c r="E1153" s="9" t="str">
        <f ca="1">IF(AND(NEGOCIAÇÕES!P1153="",NEGOCIAÇÕES!N1153&lt;TODAY()),NEGOCIAÇÕES!N1153,"")</f>
        <v/>
      </c>
    </row>
    <row r="1154" spans="2:5" ht="31.95" hidden="1" customHeight="1" x14ac:dyDescent="0.3">
      <c r="B1154" s="6" t="str">
        <f ca="1">IF(AND(NEGOCIAÇÕES!P1154="",NEGOCIAÇÕES!N1154&lt;TODAY()),NEGOCIAÇÕES!C1154,"")</f>
        <v/>
      </c>
      <c r="C1154" s="6" t="str">
        <f ca="1">IF(AND(NEGOCIAÇÕES!P1154="",NEGOCIAÇÕES!N1154&lt;TODAY()),NEGOCIAÇÕES!E1154,"")</f>
        <v/>
      </c>
      <c r="D1154" s="6" t="str">
        <f ca="1">IF(AND(NEGOCIAÇÕES!P1154="",NEGOCIAÇÕES!N1154&lt;TODAY()),NEGOCIAÇÕES!D1154,"")</f>
        <v/>
      </c>
      <c r="E1154" s="9" t="str">
        <f ca="1">IF(AND(NEGOCIAÇÕES!P1154="",NEGOCIAÇÕES!N1154&lt;TODAY()),NEGOCIAÇÕES!N1154,"")</f>
        <v/>
      </c>
    </row>
    <row r="1155" spans="2:5" ht="31.95" hidden="1" customHeight="1" x14ac:dyDescent="0.3">
      <c r="B1155" s="6" t="str">
        <f ca="1">IF(AND(NEGOCIAÇÕES!P1155="",NEGOCIAÇÕES!N1155&lt;TODAY()),NEGOCIAÇÕES!C1155,"")</f>
        <v/>
      </c>
      <c r="C1155" s="6" t="str">
        <f ca="1">IF(AND(NEGOCIAÇÕES!P1155="",NEGOCIAÇÕES!N1155&lt;TODAY()),NEGOCIAÇÕES!E1155,"")</f>
        <v/>
      </c>
      <c r="D1155" s="6" t="str">
        <f ca="1">IF(AND(NEGOCIAÇÕES!P1155="",NEGOCIAÇÕES!N1155&lt;TODAY()),NEGOCIAÇÕES!D1155,"")</f>
        <v/>
      </c>
      <c r="E1155" s="9" t="str">
        <f ca="1">IF(AND(NEGOCIAÇÕES!P1155="",NEGOCIAÇÕES!N1155&lt;TODAY()),NEGOCIAÇÕES!N1155,"")</f>
        <v/>
      </c>
    </row>
    <row r="1156" spans="2:5" ht="31.95" hidden="1" customHeight="1" x14ac:dyDescent="0.3">
      <c r="B1156" s="6" t="str">
        <f ca="1">IF(AND(NEGOCIAÇÕES!P1156="",NEGOCIAÇÕES!N1156&lt;TODAY()),NEGOCIAÇÕES!C1156,"")</f>
        <v/>
      </c>
      <c r="C1156" s="6" t="str">
        <f ca="1">IF(AND(NEGOCIAÇÕES!P1156="",NEGOCIAÇÕES!N1156&lt;TODAY()),NEGOCIAÇÕES!E1156,"")</f>
        <v/>
      </c>
      <c r="D1156" s="6" t="str">
        <f ca="1">IF(AND(NEGOCIAÇÕES!P1156="",NEGOCIAÇÕES!N1156&lt;TODAY()),NEGOCIAÇÕES!D1156,"")</f>
        <v/>
      </c>
      <c r="E1156" s="9" t="str">
        <f ca="1">IF(AND(NEGOCIAÇÕES!P1156="",NEGOCIAÇÕES!N1156&lt;TODAY()),NEGOCIAÇÕES!N1156,"")</f>
        <v/>
      </c>
    </row>
    <row r="1157" spans="2:5" ht="31.95" hidden="1" customHeight="1" x14ac:dyDescent="0.3">
      <c r="B1157" s="6" t="str">
        <f ca="1">IF(AND(NEGOCIAÇÕES!P1157="",NEGOCIAÇÕES!N1157&lt;TODAY()),NEGOCIAÇÕES!C1157,"")</f>
        <v/>
      </c>
      <c r="C1157" s="6" t="str">
        <f ca="1">IF(AND(NEGOCIAÇÕES!P1157="",NEGOCIAÇÕES!N1157&lt;TODAY()),NEGOCIAÇÕES!E1157,"")</f>
        <v/>
      </c>
      <c r="D1157" s="6" t="str">
        <f ca="1">IF(AND(NEGOCIAÇÕES!P1157="",NEGOCIAÇÕES!N1157&lt;TODAY()),NEGOCIAÇÕES!D1157,"")</f>
        <v/>
      </c>
      <c r="E1157" s="9" t="str">
        <f ca="1">IF(AND(NEGOCIAÇÕES!P1157="",NEGOCIAÇÕES!N1157&lt;TODAY()),NEGOCIAÇÕES!N1157,"")</f>
        <v/>
      </c>
    </row>
    <row r="1158" spans="2:5" ht="31.95" hidden="1" customHeight="1" x14ac:dyDescent="0.3">
      <c r="B1158" s="6" t="str">
        <f ca="1">IF(AND(NEGOCIAÇÕES!P1158="",NEGOCIAÇÕES!N1158&lt;TODAY()),NEGOCIAÇÕES!C1158,"")</f>
        <v/>
      </c>
      <c r="C1158" s="6" t="str">
        <f ca="1">IF(AND(NEGOCIAÇÕES!P1158="",NEGOCIAÇÕES!N1158&lt;TODAY()),NEGOCIAÇÕES!E1158,"")</f>
        <v/>
      </c>
      <c r="D1158" s="6" t="str">
        <f ca="1">IF(AND(NEGOCIAÇÕES!P1158="",NEGOCIAÇÕES!N1158&lt;TODAY()),NEGOCIAÇÕES!D1158,"")</f>
        <v/>
      </c>
      <c r="E1158" s="9" t="str">
        <f ca="1">IF(AND(NEGOCIAÇÕES!P1158="",NEGOCIAÇÕES!N1158&lt;TODAY()),NEGOCIAÇÕES!N1158,"")</f>
        <v/>
      </c>
    </row>
    <row r="1159" spans="2:5" ht="31.95" hidden="1" customHeight="1" x14ac:dyDescent="0.3">
      <c r="B1159" s="6" t="str">
        <f ca="1">IF(AND(NEGOCIAÇÕES!P1159="",NEGOCIAÇÕES!N1159&lt;TODAY()),NEGOCIAÇÕES!C1159,"")</f>
        <v/>
      </c>
      <c r="C1159" s="6" t="str">
        <f ca="1">IF(AND(NEGOCIAÇÕES!P1159="",NEGOCIAÇÕES!N1159&lt;TODAY()),NEGOCIAÇÕES!E1159,"")</f>
        <v/>
      </c>
      <c r="D1159" s="6" t="str">
        <f ca="1">IF(AND(NEGOCIAÇÕES!P1159="",NEGOCIAÇÕES!N1159&lt;TODAY()),NEGOCIAÇÕES!D1159,"")</f>
        <v/>
      </c>
      <c r="E1159" s="9" t="str">
        <f ca="1">IF(AND(NEGOCIAÇÕES!P1159="",NEGOCIAÇÕES!N1159&lt;TODAY()),NEGOCIAÇÕES!N1159,"")</f>
        <v/>
      </c>
    </row>
    <row r="1160" spans="2:5" ht="31.95" hidden="1" customHeight="1" x14ac:dyDescent="0.3">
      <c r="B1160" s="6" t="str">
        <f ca="1">IF(AND(NEGOCIAÇÕES!P1160="",NEGOCIAÇÕES!N1160&lt;TODAY()),NEGOCIAÇÕES!C1160,"")</f>
        <v/>
      </c>
      <c r="C1160" s="6" t="str">
        <f ca="1">IF(AND(NEGOCIAÇÕES!P1160="",NEGOCIAÇÕES!N1160&lt;TODAY()),NEGOCIAÇÕES!E1160,"")</f>
        <v/>
      </c>
      <c r="D1160" s="6" t="str">
        <f ca="1">IF(AND(NEGOCIAÇÕES!P1160="",NEGOCIAÇÕES!N1160&lt;TODAY()),NEGOCIAÇÕES!D1160,"")</f>
        <v/>
      </c>
      <c r="E1160" s="9" t="str">
        <f ca="1">IF(AND(NEGOCIAÇÕES!P1160="",NEGOCIAÇÕES!N1160&lt;TODAY()),NEGOCIAÇÕES!N1160,"")</f>
        <v/>
      </c>
    </row>
    <row r="1161" spans="2:5" ht="31.95" hidden="1" customHeight="1" x14ac:dyDescent="0.3">
      <c r="B1161" s="6" t="str">
        <f ca="1">IF(AND(NEGOCIAÇÕES!P1161="",NEGOCIAÇÕES!N1161&lt;TODAY()),NEGOCIAÇÕES!C1161,"")</f>
        <v/>
      </c>
      <c r="C1161" s="6" t="str">
        <f ca="1">IF(AND(NEGOCIAÇÕES!P1161="",NEGOCIAÇÕES!N1161&lt;TODAY()),NEGOCIAÇÕES!E1161,"")</f>
        <v/>
      </c>
      <c r="D1161" s="6" t="str">
        <f ca="1">IF(AND(NEGOCIAÇÕES!P1161="",NEGOCIAÇÕES!N1161&lt;TODAY()),NEGOCIAÇÕES!D1161,"")</f>
        <v/>
      </c>
      <c r="E1161" s="9" t="str">
        <f ca="1">IF(AND(NEGOCIAÇÕES!P1161="",NEGOCIAÇÕES!N1161&lt;TODAY()),NEGOCIAÇÕES!N1161,"")</f>
        <v/>
      </c>
    </row>
    <row r="1162" spans="2:5" ht="31.95" hidden="1" customHeight="1" x14ac:dyDescent="0.3">
      <c r="B1162" s="6" t="str">
        <f ca="1">IF(AND(NEGOCIAÇÕES!P1162="",NEGOCIAÇÕES!N1162&lt;TODAY()),NEGOCIAÇÕES!C1162,"")</f>
        <v/>
      </c>
      <c r="C1162" s="6" t="str">
        <f ca="1">IF(AND(NEGOCIAÇÕES!P1162="",NEGOCIAÇÕES!N1162&lt;TODAY()),NEGOCIAÇÕES!E1162,"")</f>
        <v/>
      </c>
      <c r="D1162" s="6" t="str">
        <f ca="1">IF(AND(NEGOCIAÇÕES!P1162="",NEGOCIAÇÕES!N1162&lt;TODAY()),NEGOCIAÇÕES!D1162,"")</f>
        <v/>
      </c>
      <c r="E1162" s="9" t="str">
        <f ca="1">IF(AND(NEGOCIAÇÕES!P1162="",NEGOCIAÇÕES!N1162&lt;TODAY()),NEGOCIAÇÕES!N1162,"")</f>
        <v/>
      </c>
    </row>
    <row r="1163" spans="2:5" ht="31.95" hidden="1" customHeight="1" x14ac:dyDescent="0.3">
      <c r="B1163" s="6" t="str">
        <f ca="1">IF(AND(NEGOCIAÇÕES!P1163="",NEGOCIAÇÕES!N1163&lt;TODAY()),NEGOCIAÇÕES!C1163,"")</f>
        <v/>
      </c>
      <c r="C1163" s="6" t="str">
        <f ca="1">IF(AND(NEGOCIAÇÕES!P1163="",NEGOCIAÇÕES!N1163&lt;TODAY()),NEGOCIAÇÕES!E1163,"")</f>
        <v/>
      </c>
      <c r="D1163" s="6" t="str">
        <f ca="1">IF(AND(NEGOCIAÇÕES!P1163="",NEGOCIAÇÕES!N1163&lt;TODAY()),NEGOCIAÇÕES!D1163,"")</f>
        <v/>
      </c>
      <c r="E1163" s="9" t="str">
        <f ca="1">IF(AND(NEGOCIAÇÕES!P1163="",NEGOCIAÇÕES!N1163&lt;TODAY()),NEGOCIAÇÕES!N1163,"")</f>
        <v/>
      </c>
    </row>
    <row r="1164" spans="2:5" ht="31.95" hidden="1" customHeight="1" x14ac:dyDescent="0.3">
      <c r="B1164" s="6" t="str">
        <f ca="1">IF(AND(NEGOCIAÇÕES!P1164="",NEGOCIAÇÕES!N1164&lt;TODAY()),NEGOCIAÇÕES!C1164,"")</f>
        <v/>
      </c>
      <c r="C1164" s="6" t="str">
        <f ca="1">IF(AND(NEGOCIAÇÕES!P1164="",NEGOCIAÇÕES!N1164&lt;TODAY()),NEGOCIAÇÕES!E1164,"")</f>
        <v/>
      </c>
      <c r="D1164" s="6" t="str">
        <f ca="1">IF(AND(NEGOCIAÇÕES!P1164="",NEGOCIAÇÕES!N1164&lt;TODAY()),NEGOCIAÇÕES!D1164,"")</f>
        <v/>
      </c>
      <c r="E1164" s="9" t="str">
        <f ca="1">IF(AND(NEGOCIAÇÕES!P1164="",NEGOCIAÇÕES!N1164&lt;TODAY()),NEGOCIAÇÕES!N1164,"")</f>
        <v/>
      </c>
    </row>
    <row r="1165" spans="2:5" ht="31.95" hidden="1" customHeight="1" x14ac:dyDescent="0.3">
      <c r="B1165" s="6" t="str">
        <f ca="1">IF(AND(NEGOCIAÇÕES!P1165="",NEGOCIAÇÕES!N1165&lt;TODAY()),NEGOCIAÇÕES!C1165,"")</f>
        <v/>
      </c>
      <c r="C1165" s="6" t="str">
        <f ca="1">IF(AND(NEGOCIAÇÕES!P1165="",NEGOCIAÇÕES!N1165&lt;TODAY()),NEGOCIAÇÕES!E1165,"")</f>
        <v/>
      </c>
      <c r="D1165" s="6" t="str">
        <f ca="1">IF(AND(NEGOCIAÇÕES!P1165="",NEGOCIAÇÕES!N1165&lt;TODAY()),NEGOCIAÇÕES!D1165,"")</f>
        <v/>
      </c>
      <c r="E1165" s="9" t="str">
        <f ca="1">IF(AND(NEGOCIAÇÕES!P1165="",NEGOCIAÇÕES!N1165&lt;TODAY()),NEGOCIAÇÕES!N1165,"")</f>
        <v/>
      </c>
    </row>
    <row r="1166" spans="2:5" ht="31.95" hidden="1" customHeight="1" x14ac:dyDescent="0.3">
      <c r="B1166" s="6" t="str">
        <f ca="1">IF(AND(NEGOCIAÇÕES!P1166="",NEGOCIAÇÕES!N1166&lt;TODAY()),NEGOCIAÇÕES!C1166,"")</f>
        <v/>
      </c>
      <c r="C1166" s="6" t="str">
        <f ca="1">IF(AND(NEGOCIAÇÕES!P1166="",NEGOCIAÇÕES!N1166&lt;TODAY()),NEGOCIAÇÕES!E1166,"")</f>
        <v/>
      </c>
      <c r="D1166" s="6" t="str">
        <f ca="1">IF(AND(NEGOCIAÇÕES!P1166="",NEGOCIAÇÕES!N1166&lt;TODAY()),NEGOCIAÇÕES!D1166,"")</f>
        <v/>
      </c>
      <c r="E1166" s="9" t="str">
        <f ca="1">IF(AND(NEGOCIAÇÕES!P1166="",NEGOCIAÇÕES!N1166&lt;TODAY()),NEGOCIAÇÕES!N1166,"")</f>
        <v/>
      </c>
    </row>
    <row r="1167" spans="2:5" ht="31.95" hidden="1" customHeight="1" x14ac:dyDescent="0.3">
      <c r="B1167" s="6" t="str">
        <f ca="1">IF(AND(NEGOCIAÇÕES!P1167="",NEGOCIAÇÕES!N1167&lt;TODAY()),NEGOCIAÇÕES!C1167,"")</f>
        <v/>
      </c>
      <c r="C1167" s="6" t="str">
        <f ca="1">IF(AND(NEGOCIAÇÕES!P1167="",NEGOCIAÇÕES!N1167&lt;TODAY()),NEGOCIAÇÕES!E1167,"")</f>
        <v/>
      </c>
      <c r="D1167" s="6" t="str">
        <f ca="1">IF(AND(NEGOCIAÇÕES!P1167="",NEGOCIAÇÕES!N1167&lt;TODAY()),NEGOCIAÇÕES!D1167,"")</f>
        <v/>
      </c>
      <c r="E1167" s="9" t="str">
        <f ca="1">IF(AND(NEGOCIAÇÕES!P1167="",NEGOCIAÇÕES!N1167&lt;TODAY()),NEGOCIAÇÕES!N1167,"")</f>
        <v/>
      </c>
    </row>
    <row r="1168" spans="2:5" ht="31.95" hidden="1" customHeight="1" x14ac:dyDescent="0.3">
      <c r="B1168" s="6" t="str">
        <f ca="1">IF(AND(NEGOCIAÇÕES!P1168="",NEGOCIAÇÕES!N1168&lt;TODAY()),NEGOCIAÇÕES!C1168,"")</f>
        <v/>
      </c>
      <c r="C1168" s="6" t="str">
        <f ca="1">IF(AND(NEGOCIAÇÕES!P1168="",NEGOCIAÇÕES!N1168&lt;TODAY()),NEGOCIAÇÕES!E1168,"")</f>
        <v/>
      </c>
      <c r="D1168" s="6" t="str">
        <f ca="1">IF(AND(NEGOCIAÇÕES!P1168="",NEGOCIAÇÕES!N1168&lt;TODAY()),NEGOCIAÇÕES!D1168,"")</f>
        <v/>
      </c>
      <c r="E1168" s="9" t="str">
        <f ca="1">IF(AND(NEGOCIAÇÕES!P1168="",NEGOCIAÇÕES!N1168&lt;TODAY()),NEGOCIAÇÕES!N1168,"")</f>
        <v/>
      </c>
    </row>
    <row r="1169" spans="2:5" ht="31.95" hidden="1" customHeight="1" x14ac:dyDescent="0.3">
      <c r="B1169" s="6" t="str">
        <f ca="1">IF(AND(NEGOCIAÇÕES!P1169="",NEGOCIAÇÕES!N1169&lt;TODAY()),NEGOCIAÇÕES!C1169,"")</f>
        <v/>
      </c>
      <c r="C1169" s="6" t="str">
        <f ca="1">IF(AND(NEGOCIAÇÕES!P1169="",NEGOCIAÇÕES!N1169&lt;TODAY()),NEGOCIAÇÕES!E1169,"")</f>
        <v/>
      </c>
      <c r="D1169" s="6" t="str">
        <f ca="1">IF(AND(NEGOCIAÇÕES!P1169="",NEGOCIAÇÕES!N1169&lt;TODAY()),NEGOCIAÇÕES!D1169,"")</f>
        <v/>
      </c>
      <c r="E1169" s="9" t="str">
        <f ca="1">IF(AND(NEGOCIAÇÕES!P1169="",NEGOCIAÇÕES!N1169&lt;TODAY()),NEGOCIAÇÕES!N1169,"")</f>
        <v/>
      </c>
    </row>
    <row r="1170" spans="2:5" ht="31.95" hidden="1" customHeight="1" x14ac:dyDescent="0.3">
      <c r="B1170" s="6" t="str">
        <f ca="1">IF(AND(NEGOCIAÇÕES!P1170="",NEGOCIAÇÕES!N1170&lt;TODAY()),NEGOCIAÇÕES!C1170,"")</f>
        <v/>
      </c>
      <c r="C1170" s="6" t="str">
        <f ca="1">IF(AND(NEGOCIAÇÕES!P1170="",NEGOCIAÇÕES!N1170&lt;TODAY()),NEGOCIAÇÕES!E1170,"")</f>
        <v/>
      </c>
      <c r="D1170" s="6" t="str">
        <f ca="1">IF(AND(NEGOCIAÇÕES!P1170="",NEGOCIAÇÕES!N1170&lt;TODAY()),NEGOCIAÇÕES!D1170,"")</f>
        <v/>
      </c>
      <c r="E1170" s="9" t="str">
        <f ca="1">IF(AND(NEGOCIAÇÕES!P1170="",NEGOCIAÇÕES!N1170&lt;TODAY()),NEGOCIAÇÕES!N1170,"")</f>
        <v/>
      </c>
    </row>
    <row r="1171" spans="2:5" ht="31.95" hidden="1" customHeight="1" x14ac:dyDescent="0.3">
      <c r="B1171" s="6" t="str">
        <f ca="1">IF(AND(NEGOCIAÇÕES!P1171="",NEGOCIAÇÕES!N1171&lt;TODAY()),NEGOCIAÇÕES!C1171,"")</f>
        <v/>
      </c>
      <c r="C1171" s="6" t="str">
        <f ca="1">IF(AND(NEGOCIAÇÕES!P1171="",NEGOCIAÇÕES!N1171&lt;TODAY()),NEGOCIAÇÕES!E1171,"")</f>
        <v/>
      </c>
      <c r="D1171" s="6" t="str">
        <f ca="1">IF(AND(NEGOCIAÇÕES!P1171="",NEGOCIAÇÕES!N1171&lt;TODAY()),NEGOCIAÇÕES!D1171,"")</f>
        <v/>
      </c>
      <c r="E1171" s="9" t="str">
        <f ca="1">IF(AND(NEGOCIAÇÕES!P1171="",NEGOCIAÇÕES!N1171&lt;TODAY()),NEGOCIAÇÕES!N1171,"")</f>
        <v/>
      </c>
    </row>
    <row r="1172" spans="2:5" ht="31.95" hidden="1" customHeight="1" x14ac:dyDescent="0.3">
      <c r="B1172" s="6" t="str">
        <f ca="1">IF(AND(NEGOCIAÇÕES!P1172="",NEGOCIAÇÕES!N1172&lt;TODAY()),NEGOCIAÇÕES!C1172,"")</f>
        <v/>
      </c>
      <c r="C1172" s="6" t="str">
        <f ca="1">IF(AND(NEGOCIAÇÕES!P1172="",NEGOCIAÇÕES!N1172&lt;TODAY()),NEGOCIAÇÕES!E1172,"")</f>
        <v/>
      </c>
      <c r="D1172" s="6" t="str">
        <f ca="1">IF(AND(NEGOCIAÇÕES!P1172="",NEGOCIAÇÕES!N1172&lt;TODAY()),NEGOCIAÇÕES!D1172,"")</f>
        <v/>
      </c>
      <c r="E1172" s="9" t="str">
        <f ca="1">IF(AND(NEGOCIAÇÕES!P1172="",NEGOCIAÇÕES!N1172&lt;TODAY()),NEGOCIAÇÕES!N1172,"")</f>
        <v/>
      </c>
    </row>
    <row r="1173" spans="2:5" ht="31.95" hidden="1" customHeight="1" x14ac:dyDescent="0.3">
      <c r="B1173" s="6" t="str">
        <f ca="1">IF(AND(NEGOCIAÇÕES!P1173="",NEGOCIAÇÕES!N1173&lt;TODAY()),NEGOCIAÇÕES!C1173,"")</f>
        <v/>
      </c>
      <c r="C1173" s="6" t="str">
        <f ca="1">IF(AND(NEGOCIAÇÕES!P1173="",NEGOCIAÇÕES!N1173&lt;TODAY()),NEGOCIAÇÕES!E1173,"")</f>
        <v/>
      </c>
      <c r="D1173" s="6" t="str">
        <f ca="1">IF(AND(NEGOCIAÇÕES!P1173="",NEGOCIAÇÕES!N1173&lt;TODAY()),NEGOCIAÇÕES!D1173,"")</f>
        <v/>
      </c>
      <c r="E1173" s="9" t="str">
        <f ca="1">IF(AND(NEGOCIAÇÕES!P1173="",NEGOCIAÇÕES!N1173&lt;TODAY()),NEGOCIAÇÕES!N1173,"")</f>
        <v/>
      </c>
    </row>
    <row r="1174" spans="2:5" ht="31.95" hidden="1" customHeight="1" x14ac:dyDescent="0.3">
      <c r="B1174" s="6" t="str">
        <f ca="1">IF(AND(NEGOCIAÇÕES!P1174="",NEGOCIAÇÕES!N1174&lt;TODAY()),NEGOCIAÇÕES!C1174,"")</f>
        <v/>
      </c>
      <c r="C1174" s="6" t="str">
        <f ca="1">IF(AND(NEGOCIAÇÕES!P1174="",NEGOCIAÇÕES!N1174&lt;TODAY()),NEGOCIAÇÕES!E1174,"")</f>
        <v/>
      </c>
      <c r="D1174" s="6" t="str">
        <f ca="1">IF(AND(NEGOCIAÇÕES!P1174="",NEGOCIAÇÕES!N1174&lt;TODAY()),NEGOCIAÇÕES!D1174,"")</f>
        <v/>
      </c>
      <c r="E1174" s="9" t="str">
        <f ca="1">IF(AND(NEGOCIAÇÕES!P1174="",NEGOCIAÇÕES!N1174&lt;TODAY()),NEGOCIAÇÕES!N1174,"")</f>
        <v/>
      </c>
    </row>
    <row r="1175" spans="2:5" ht="31.95" hidden="1" customHeight="1" x14ac:dyDescent="0.3">
      <c r="B1175" s="6" t="str">
        <f ca="1">IF(AND(NEGOCIAÇÕES!P1175="",NEGOCIAÇÕES!N1175&lt;TODAY()),NEGOCIAÇÕES!C1175,"")</f>
        <v/>
      </c>
      <c r="C1175" s="6" t="str">
        <f ca="1">IF(AND(NEGOCIAÇÕES!P1175="",NEGOCIAÇÕES!N1175&lt;TODAY()),NEGOCIAÇÕES!E1175,"")</f>
        <v/>
      </c>
      <c r="D1175" s="6" t="str">
        <f ca="1">IF(AND(NEGOCIAÇÕES!P1175="",NEGOCIAÇÕES!N1175&lt;TODAY()),NEGOCIAÇÕES!D1175,"")</f>
        <v/>
      </c>
      <c r="E1175" s="9" t="str">
        <f ca="1">IF(AND(NEGOCIAÇÕES!P1175="",NEGOCIAÇÕES!N1175&lt;TODAY()),NEGOCIAÇÕES!N1175,"")</f>
        <v/>
      </c>
    </row>
    <row r="1176" spans="2:5" ht="31.95" hidden="1" customHeight="1" x14ac:dyDescent="0.3">
      <c r="B1176" s="6" t="str">
        <f ca="1">IF(AND(NEGOCIAÇÕES!P1176="",NEGOCIAÇÕES!N1176&lt;TODAY()),NEGOCIAÇÕES!C1176,"")</f>
        <v/>
      </c>
      <c r="C1176" s="6" t="str">
        <f ca="1">IF(AND(NEGOCIAÇÕES!P1176="",NEGOCIAÇÕES!N1176&lt;TODAY()),NEGOCIAÇÕES!E1176,"")</f>
        <v/>
      </c>
      <c r="D1176" s="6" t="str">
        <f ca="1">IF(AND(NEGOCIAÇÕES!P1176="",NEGOCIAÇÕES!N1176&lt;TODAY()),NEGOCIAÇÕES!D1176,"")</f>
        <v/>
      </c>
      <c r="E1176" s="9" t="str">
        <f ca="1">IF(AND(NEGOCIAÇÕES!P1176="",NEGOCIAÇÕES!N1176&lt;TODAY()),NEGOCIAÇÕES!N1176,"")</f>
        <v/>
      </c>
    </row>
    <row r="1177" spans="2:5" ht="31.95" hidden="1" customHeight="1" x14ac:dyDescent="0.3">
      <c r="B1177" s="6" t="str">
        <f ca="1">IF(AND(NEGOCIAÇÕES!P1177="",NEGOCIAÇÕES!N1177&lt;TODAY()),NEGOCIAÇÕES!C1177,"")</f>
        <v/>
      </c>
      <c r="C1177" s="6" t="str">
        <f ca="1">IF(AND(NEGOCIAÇÕES!P1177="",NEGOCIAÇÕES!N1177&lt;TODAY()),NEGOCIAÇÕES!E1177,"")</f>
        <v/>
      </c>
      <c r="D1177" s="6" t="str">
        <f ca="1">IF(AND(NEGOCIAÇÕES!P1177="",NEGOCIAÇÕES!N1177&lt;TODAY()),NEGOCIAÇÕES!D1177,"")</f>
        <v/>
      </c>
      <c r="E1177" s="9" t="str">
        <f ca="1">IF(AND(NEGOCIAÇÕES!P1177="",NEGOCIAÇÕES!N1177&lt;TODAY()),NEGOCIAÇÕES!N1177,"")</f>
        <v/>
      </c>
    </row>
    <row r="1178" spans="2:5" ht="31.95" hidden="1" customHeight="1" x14ac:dyDescent="0.3">
      <c r="B1178" s="6" t="str">
        <f ca="1">IF(AND(NEGOCIAÇÕES!P1178="",NEGOCIAÇÕES!N1178&lt;TODAY()),NEGOCIAÇÕES!C1178,"")</f>
        <v/>
      </c>
      <c r="C1178" s="6" t="str">
        <f ca="1">IF(AND(NEGOCIAÇÕES!P1178="",NEGOCIAÇÕES!N1178&lt;TODAY()),NEGOCIAÇÕES!E1178,"")</f>
        <v/>
      </c>
      <c r="D1178" s="6" t="str">
        <f ca="1">IF(AND(NEGOCIAÇÕES!P1178="",NEGOCIAÇÕES!N1178&lt;TODAY()),NEGOCIAÇÕES!D1178,"")</f>
        <v/>
      </c>
      <c r="E1178" s="9" t="str">
        <f ca="1">IF(AND(NEGOCIAÇÕES!P1178="",NEGOCIAÇÕES!N1178&lt;TODAY()),NEGOCIAÇÕES!N1178,"")</f>
        <v/>
      </c>
    </row>
    <row r="1179" spans="2:5" ht="31.95" hidden="1" customHeight="1" x14ac:dyDescent="0.3">
      <c r="B1179" s="6" t="str">
        <f ca="1">IF(AND(NEGOCIAÇÕES!P1179="",NEGOCIAÇÕES!N1179&lt;TODAY()),NEGOCIAÇÕES!C1179,"")</f>
        <v/>
      </c>
      <c r="C1179" s="6" t="str">
        <f ca="1">IF(AND(NEGOCIAÇÕES!P1179="",NEGOCIAÇÕES!N1179&lt;TODAY()),NEGOCIAÇÕES!E1179,"")</f>
        <v/>
      </c>
      <c r="D1179" s="6" t="str">
        <f ca="1">IF(AND(NEGOCIAÇÕES!P1179="",NEGOCIAÇÕES!N1179&lt;TODAY()),NEGOCIAÇÕES!D1179,"")</f>
        <v/>
      </c>
      <c r="E1179" s="9" t="str">
        <f ca="1">IF(AND(NEGOCIAÇÕES!P1179="",NEGOCIAÇÕES!N1179&lt;TODAY()),NEGOCIAÇÕES!N1179,"")</f>
        <v/>
      </c>
    </row>
    <row r="1180" spans="2:5" ht="31.95" hidden="1" customHeight="1" x14ac:dyDescent="0.3">
      <c r="B1180" s="6" t="str">
        <f ca="1">IF(AND(NEGOCIAÇÕES!P1180="",NEGOCIAÇÕES!N1180&lt;TODAY()),NEGOCIAÇÕES!C1180,"")</f>
        <v/>
      </c>
      <c r="C1180" s="6" t="str">
        <f ca="1">IF(AND(NEGOCIAÇÕES!P1180="",NEGOCIAÇÕES!N1180&lt;TODAY()),NEGOCIAÇÕES!E1180,"")</f>
        <v/>
      </c>
      <c r="D1180" s="6" t="str">
        <f ca="1">IF(AND(NEGOCIAÇÕES!P1180="",NEGOCIAÇÕES!N1180&lt;TODAY()),NEGOCIAÇÕES!D1180,"")</f>
        <v/>
      </c>
      <c r="E1180" s="9" t="str">
        <f ca="1">IF(AND(NEGOCIAÇÕES!P1180="",NEGOCIAÇÕES!N1180&lt;TODAY()),NEGOCIAÇÕES!N1180,"")</f>
        <v/>
      </c>
    </row>
    <row r="1181" spans="2:5" ht="31.95" hidden="1" customHeight="1" x14ac:dyDescent="0.3">
      <c r="B1181" s="6" t="str">
        <f ca="1">IF(AND(NEGOCIAÇÕES!P1181="",NEGOCIAÇÕES!N1181&lt;TODAY()),NEGOCIAÇÕES!C1181,"")</f>
        <v/>
      </c>
      <c r="C1181" s="6" t="str">
        <f ca="1">IF(AND(NEGOCIAÇÕES!P1181="",NEGOCIAÇÕES!N1181&lt;TODAY()),NEGOCIAÇÕES!E1181,"")</f>
        <v/>
      </c>
      <c r="D1181" s="6" t="str">
        <f ca="1">IF(AND(NEGOCIAÇÕES!P1181="",NEGOCIAÇÕES!N1181&lt;TODAY()),NEGOCIAÇÕES!D1181,"")</f>
        <v/>
      </c>
      <c r="E1181" s="9" t="str">
        <f ca="1">IF(AND(NEGOCIAÇÕES!P1181="",NEGOCIAÇÕES!N1181&lt;TODAY()),NEGOCIAÇÕES!N1181,"")</f>
        <v/>
      </c>
    </row>
    <row r="1182" spans="2:5" ht="31.95" hidden="1" customHeight="1" x14ac:dyDescent="0.3">
      <c r="B1182" s="6" t="str">
        <f ca="1">IF(AND(NEGOCIAÇÕES!P1182="",NEGOCIAÇÕES!N1182&lt;TODAY()),NEGOCIAÇÕES!C1182,"")</f>
        <v/>
      </c>
      <c r="C1182" s="6" t="str">
        <f ca="1">IF(AND(NEGOCIAÇÕES!P1182="",NEGOCIAÇÕES!N1182&lt;TODAY()),NEGOCIAÇÕES!E1182,"")</f>
        <v/>
      </c>
      <c r="D1182" s="6" t="str">
        <f ca="1">IF(AND(NEGOCIAÇÕES!P1182="",NEGOCIAÇÕES!N1182&lt;TODAY()),NEGOCIAÇÕES!D1182,"")</f>
        <v/>
      </c>
      <c r="E1182" s="9" t="str">
        <f ca="1">IF(AND(NEGOCIAÇÕES!P1182="",NEGOCIAÇÕES!N1182&lt;TODAY()),NEGOCIAÇÕES!N1182,"")</f>
        <v/>
      </c>
    </row>
    <row r="1183" spans="2:5" ht="31.95" hidden="1" customHeight="1" x14ac:dyDescent="0.3">
      <c r="B1183" s="6" t="str">
        <f ca="1">IF(AND(NEGOCIAÇÕES!P1183="",NEGOCIAÇÕES!N1183&lt;TODAY()),NEGOCIAÇÕES!C1183,"")</f>
        <v/>
      </c>
      <c r="C1183" s="6" t="str">
        <f ca="1">IF(AND(NEGOCIAÇÕES!P1183="",NEGOCIAÇÕES!N1183&lt;TODAY()),NEGOCIAÇÕES!E1183,"")</f>
        <v/>
      </c>
      <c r="D1183" s="6" t="str">
        <f ca="1">IF(AND(NEGOCIAÇÕES!P1183="",NEGOCIAÇÕES!N1183&lt;TODAY()),NEGOCIAÇÕES!D1183,"")</f>
        <v/>
      </c>
      <c r="E1183" s="9" t="str">
        <f ca="1">IF(AND(NEGOCIAÇÕES!P1183="",NEGOCIAÇÕES!N1183&lt;TODAY()),NEGOCIAÇÕES!N1183,"")</f>
        <v/>
      </c>
    </row>
    <row r="1184" spans="2:5" ht="31.95" hidden="1" customHeight="1" x14ac:dyDescent="0.3">
      <c r="B1184" s="6" t="str">
        <f ca="1">IF(AND(NEGOCIAÇÕES!P1184="",NEGOCIAÇÕES!N1184&lt;TODAY()),NEGOCIAÇÕES!C1184,"")</f>
        <v/>
      </c>
      <c r="C1184" s="6" t="str">
        <f ca="1">IF(AND(NEGOCIAÇÕES!P1184="",NEGOCIAÇÕES!N1184&lt;TODAY()),NEGOCIAÇÕES!E1184,"")</f>
        <v/>
      </c>
      <c r="D1184" s="6" t="str">
        <f ca="1">IF(AND(NEGOCIAÇÕES!P1184="",NEGOCIAÇÕES!N1184&lt;TODAY()),NEGOCIAÇÕES!D1184,"")</f>
        <v/>
      </c>
      <c r="E1184" s="9" t="str">
        <f ca="1">IF(AND(NEGOCIAÇÕES!P1184="",NEGOCIAÇÕES!N1184&lt;TODAY()),NEGOCIAÇÕES!N1184,"")</f>
        <v/>
      </c>
    </row>
    <row r="1185" spans="2:5" ht="31.95" hidden="1" customHeight="1" x14ac:dyDescent="0.3">
      <c r="B1185" s="6" t="str">
        <f ca="1">IF(AND(NEGOCIAÇÕES!P1185="",NEGOCIAÇÕES!N1185&lt;TODAY()),NEGOCIAÇÕES!C1185,"")</f>
        <v/>
      </c>
      <c r="C1185" s="6" t="str">
        <f ca="1">IF(AND(NEGOCIAÇÕES!P1185="",NEGOCIAÇÕES!N1185&lt;TODAY()),NEGOCIAÇÕES!E1185,"")</f>
        <v/>
      </c>
      <c r="D1185" s="6" t="str">
        <f ca="1">IF(AND(NEGOCIAÇÕES!P1185="",NEGOCIAÇÕES!N1185&lt;TODAY()),NEGOCIAÇÕES!D1185,"")</f>
        <v/>
      </c>
      <c r="E1185" s="9" t="str">
        <f ca="1">IF(AND(NEGOCIAÇÕES!P1185="",NEGOCIAÇÕES!N1185&lt;TODAY()),NEGOCIAÇÕES!N1185,"")</f>
        <v/>
      </c>
    </row>
    <row r="1186" spans="2:5" ht="31.95" hidden="1" customHeight="1" x14ac:dyDescent="0.3">
      <c r="B1186" s="6" t="str">
        <f ca="1">IF(AND(NEGOCIAÇÕES!P1186="",NEGOCIAÇÕES!N1186&lt;TODAY()),NEGOCIAÇÕES!C1186,"")</f>
        <v/>
      </c>
      <c r="C1186" s="6" t="str">
        <f ca="1">IF(AND(NEGOCIAÇÕES!P1186="",NEGOCIAÇÕES!N1186&lt;TODAY()),NEGOCIAÇÕES!E1186,"")</f>
        <v/>
      </c>
      <c r="D1186" s="6" t="str">
        <f ca="1">IF(AND(NEGOCIAÇÕES!P1186="",NEGOCIAÇÕES!N1186&lt;TODAY()),NEGOCIAÇÕES!D1186,"")</f>
        <v/>
      </c>
      <c r="E1186" s="9" t="str">
        <f ca="1">IF(AND(NEGOCIAÇÕES!P1186="",NEGOCIAÇÕES!N1186&lt;TODAY()),NEGOCIAÇÕES!N1186,"")</f>
        <v/>
      </c>
    </row>
    <row r="1187" spans="2:5" ht="31.95" hidden="1" customHeight="1" x14ac:dyDescent="0.3">
      <c r="B1187" s="6" t="str">
        <f ca="1">IF(AND(NEGOCIAÇÕES!P1187="",NEGOCIAÇÕES!N1187&lt;TODAY()),NEGOCIAÇÕES!C1187,"")</f>
        <v/>
      </c>
      <c r="C1187" s="6" t="str">
        <f ca="1">IF(AND(NEGOCIAÇÕES!P1187="",NEGOCIAÇÕES!N1187&lt;TODAY()),NEGOCIAÇÕES!E1187,"")</f>
        <v/>
      </c>
      <c r="D1187" s="6" t="str">
        <f ca="1">IF(AND(NEGOCIAÇÕES!P1187="",NEGOCIAÇÕES!N1187&lt;TODAY()),NEGOCIAÇÕES!D1187,"")</f>
        <v/>
      </c>
      <c r="E1187" s="9" t="str">
        <f ca="1">IF(AND(NEGOCIAÇÕES!P1187="",NEGOCIAÇÕES!N1187&lt;TODAY()),NEGOCIAÇÕES!N1187,"")</f>
        <v/>
      </c>
    </row>
    <row r="1188" spans="2:5" ht="31.95" hidden="1" customHeight="1" x14ac:dyDescent="0.3">
      <c r="B1188" s="6" t="str">
        <f ca="1">IF(AND(NEGOCIAÇÕES!P1188="",NEGOCIAÇÕES!N1188&lt;TODAY()),NEGOCIAÇÕES!C1188,"")</f>
        <v/>
      </c>
      <c r="C1188" s="6" t="str">
        <f ca="1">IF(AND(NEGOCIAÇÕES!P1188="",NEGOCIAÇÕES!N1188&lt;TODAY()),NEGOCIAÇÕES!E1188,"")</f>
        <v/>
      </c>
      <c r="D1188" s="6" t="str">
        <f ca="1">IF(AND(NEGOCIAÇÕES!P1188="",NEGOCIAÇÕES!N1188&lt;TODAY()),NEGOCIAÇÕES!D1188,"")</f>
        <v/>
      </c>
      <c r="E1188" s="9" t="str">
        <f ca="1">IF(AND(NEGOCIAÇÕES!P1188="",NEGOCIAÇÕES!N1188&lt;TODAY()),NEGOCIAÇÕES!N1188,"")</f>
        <v/>
      </c>
    </row>
    <row r="1189" spans="2:5" ht="31.95" hidden="1" customHeight="1" x14ac:dyDescent="0.3">
      <c r="B1189" s="6" t="str">
        <f ca="1">IF(AND(NEGOCIAÇÕES!P1189="",NEGOCIAÇÕES!N1189&lt;TODAY()),NEGOCIAÇÕES!C1189,"")</f>
        <v/>
      </c>
      <c r="C1189" s="6" t="str">
        <f ca="1">IF(AND(NEGOCIAÇÕES!P1189="",NEGOCIAÇÕES!N1189&lt;TODAY()),NEGOCIAÇÕES!E1189,"")</f>
        <v/>
      </c>
      <c r="D1189" s="6" t="str">
        <f ca="1">IF(AND(NEGOCIAÇÕES!P1189="",NEGOCIAÇÕES!N1189&lt;TODAY()),NEGOCIAÇÕES!D1189,"")</f>
        <v/>
      </c>
      <c r="E1189" s="9" t="str">
        <f ca="1">IF(AND(NEGOCIAÇÕES!P1189="",NEGOCIAÇÕES!N1189&lt;TODAY()),NEGOCIAÇÕES!N1189,"")</f>
        <v/>
      </c>
    </row>
    <row r="1190" spans="2:5" ht="31.95" hidden="1" customHeight="1" x14ac:dyDescent="0.3">
      <c r="B1190" s="6" t="str">
        <f ca="1">IF(AND(NEGOCIAÇÕES!P1190="",NEGOCIAÇÕES!N1190&lt;TODAY()),NEGOCIAÇÕES!C1190,"")</f>
        <v/>
      </c>
      <c r="C1190" s="6" t="str">
        <f ca="1">IF(AND(NEGOCIAÇÕES!P1190="",NEGOCIAÇÕES!N1190&lt;TODAY()),NEGOCIAÇÕES!E1190,"")</f>
        <v/>
      </c>
      <c r="D1190" s="6" t="str">
        <f ca="1">IF(AND(NEGOCIAÇÕES!P1190="",NEGOCIAÇÕES!N1190&lt;TODAY()),NEGOCIAÇÕES!D1190,"")</f>
        <v/>
      </c>
      <c r="E1190" s="9" t="str">
        <f ca="1">IF(AND(NEGOCIAÇÕES!P1190="",NEGOCIAÇÕES!N1190&lt;TODAY()),NEGOCIAÇÕES!N1190,"")</f>
        <v/>
      </c>
    </row>
    <row r="1191" spans="2:5" ht="31.95" hidden="1" customHeight="1" x14ac:dyDescent="0.3">
      <c r="B1191" s="6" t="str">
        <f ca="1">IF(AND(NEGOCIAÇÕES!P1191="",NEGOCIAÇÕES!N1191&lt;TODAY()),NEGOCIAÇÕES!C1191,"")</f>
        <v/>
      </c>
      <c r="C1191" s="6" t="str">
        <f ca="1">IF(AND(NEGOCIAÇÕES!P1191="",NEGOCIAÇÕES!N1191&lt;TODAY()),NEGOCIAÇÕES!E1191,"")</f>
        <v/>
      </c>
      <c r="D1191" s="6" t="str">
        <f ca="1">IF(AND(NEGOCIAÇÕES!P1191="",NEGOCIAÇÕES!N1191&lt;TODAY()),NEGOCIAÇÕES!D1191,"")</f>
        <v/>
      </c>
      <c r="E1191" s="9" t="str">
        <f ca="1">IF(AND(NEGOCIAÇÕES!P1191="",NEGOCIAÇÕES!N1191&lt;TODAY()),NEGOCIAÇÕES!N1191,"")</f>
        <v/>
      </c>
    </row>
    <row r="1192" spans="2:5" ht="31.95" hidden="1" customHeight="1" x14ac:dyDescent="0.3">
      <c r="B1192" s="6" t="str">
        <f ca="1">IF(AND(NEGOCIAÇÕES!P1192="",NEGOCIAÇÕES!N1192&lt;TODAY()),NEGOCIAÇÕES!C1192,"")</f>
        <v/>
      </c>
      <c r="C1192" s="6" t="str">
        <f ca="1">IF(AND(NEGOCIAÇÕES!P1192="",NEGOCIAÇÕES!N1192&lt;TODAY()),NEGOCIAÇÕES!E1192,"")</f>
        <v/>
      </c>
      <c r="D1192" s="6" t="str">
        <f ca="1">IF(AND(NEGOCIAÇÕES!P1192="",NEGOCIAÇÕES!N1192&lt;TODAY()),NEGOCIAÇÕES!D1192,"")</f>
        <v/>
      </c>
      <c r="E1192" s="9" t="str">
        <f ca="1">IF(AND(NEGOCIAÇÕES!P1192="",NEGOCIAÇÕES!N1192&lt;TODAY()),NEGOCIAÇÕES!N1192,"")</f>
        <v/>
      </c>
    </row>
    <row r="1193" spans="2:5" ht="31.95" hidden="1" customHeight="1" x14ac:dyDescent="0.3">
      <c r="B1193" s="6" t="str">
        <f ca="1">IF(AND(NEGOCIAÇÕES!P1193="",NEGOCIAÇÕES!N1193&lt;TODAY()),NEGOCIAÇÕES!C1193,"")</f>
        <v/>
      </c>
      <c r="C1193" s="6" t="str">
        <f ca="1">IF(AND(NEGOCIAÇÕES!P1193="",NEGOCIAÇÕES!N1193&lt;TODAY()),NEGOCIAÇÕES!E1193,"")</f>
        <v/>
      </c>
      <c r="D1193" s="6" t="str">
        <f ca="1">IF(AND(NEGOCIAÇÕES!P1193="",NEGOCIAÇÕES!N1193&lt;TODAY()),NEGOCIAÇÕES!D1193,"")</f>
        <v/>
      </c>
      <c r="E1193" s="9" t="str">
        <f ca="1">IF(AND(NEGOCIAÇÕES!P1193="",NEGOCIAÇÕES!N1193&lt;TODAY()),NEGOCIAÇÕES!N1193,"")</f>
        <v/>
      </c>
    </row>
    <row r="1194" spans="2:5" ht="31.95" hidden="1" customHeight="1" x14ac:dyDescent="0.3">
      <c r="B1194" s="6" t="str">
        <f ca="1">IF(AND(NEGOCIAÇÕES!P1194="",NEGOCIAÇÕES!N1194&lt;TODAY()),NEGOCIAÇÕES!C1194,"")</f>
        <v/>
      </c>
      <c r="C1194" s="6" t="str">
        <f ca="1">IF(AND(NEGOCIAÇÕES!P1194="",NEGOCIAÇÕES!N1194&lt;TODAY()),NEGOCIAÇÕES!E1194,"")</f>
        <v/>
      </c>
      <c r="D1194" s="6" t="str">
        <f ca="1">IF(AND(NEGOCIAÇÕES!P1194="",NEGOCIAÇÕES!N1194&lt;TODAY()),NEGOCIAÇÕES!D1194,"")</f>
        <v/>
      </c>
      <c r="E1194" s="9" t="str">
        <f ca="1">IF(AND(NEGOCIAÇÕES!P1194="",NEGOCIAÇÕES!N1194&lt;TODAY()),NEGOCIAÇÕES!N1194,"")</f>
        <v/>
      </c>
    </row>
    <row r="1195" spans="2:5" ht="31.95" hidden="1" customHeight="1" x14ac:dyDescent="0.3">
      <c r="B1195" s="6" t="str">
        <f ca="1">IF(AND(NEGOCIAÇÕES!P1195="",NEGOCIAÇÕES!N1195&lt;TODAY()),NEGOCIAÇÕES!C1195,"")</f>
        <v/>
      </c>
      <c r="C1195" s="6" t="str">
        <f ca="1">IF(AND(NEGOCIAÇÕES!P1195="",NEGOCIAÇÕES!N1195&lt;TODAY()),NEGOCIAÇÕES!E1195,"")</f>
        <v/>
      </c>
      <c r="D1195" s="6" t="str">
        <f ca="1">IF(AND(NEGOCIAÇÕES!P1195="",NEGOCIAÇÕES!N1195&lt;TODAY()),NEGOCIAÇÕES!D1195,"")</f>
        <v/>
      </c>
      <c r="E1195" s="9" t="str">
        <f ca="1">IF(AND(NEGOCIAÇÕES!P1195="",NEGOCIAÇÕES!N1195&lt;TODAY()),NEGOCIAÇÕES!N1195,"")</f>
        <v/>
      </c>
    </row>
    <row r="1196" spans="2:5" ht="31.95" hidden="1" customHeight="1" x14ac:dyDescent="0.3">
      <c r="B1196" s="6" t="str">
        <f ca="1">IF(AND(NEGOCIAÇÕES!P1196="",NEGOCIAÇÕES!N1196&lt;TODAY()),NEGOCIAÇÕES!C1196,"")</f>
        <v/>
      </c>
      <c r="C1196" s="6" t="str">
        <f ca="1">IF(AND(NEGOCIAÇÕES!P1196="",NEGOCIAÇÕES!N1196&lt;TODAY()),NEGOCIAÇÕES!E1196,"")</f>
        <v/>
      </c>
      <c r="D1196" s="6" t="str">
        <f ca="1">IF(AND(NEGOCIAÇÕES!P1196="",NEGOCIAÇÕES!N1196&lt;TODAY()),NEGOCIAÇÕES!D1196,"")</f>
        <v/>
      </c>
      <c r="E1196" s="9" t="str">
        <f ca="1">IF(AND(NEGOCIAÇÕES!P1196="",NEGOCIAÇÕES!N1196&lt;TODAY()),NEGOCIAÇÕES!N1196,"")</f>
        <v/>
      </c>
    </row>
    <row r="1197" spans="2:5" ht="31.95" hidden="1" customHeight="1" x14ac:dyDescent="0.3">
      <c r="B1197" s="6" t="str">
        <f ca="1">IF(AND(NEGOCIAÇÕES!P1197="",NEGOCIAÇÕES!N1197&lt;TODAY()),NEGOCIAÇÕES!C1197,"")</f>
        <v/>
      </c>
      <c r="C1197" s="6" t="str">
        <f ca="1">IF(AND(NEGOCIAÇÕES!P1197="",NEGOCIAÇÕES!N1197&lt;TODAY()),NEGOCIAÇÕES!E1197,"")</f>
        <v/>
      </c>
      <c r="D1197" s="6" t="str">
        <f ca="1">IF(AND(NEGOCIAÇÕES!P1197="",NEGOCIAÇÕES!N1197&lt;TODAY()),NEGOCIAÇÕES!D1197,"")</f>
        <v/>
      </c>
      <c r="E1197" s="9" t="str">
        <f ca="1">IF(AND(NEGOCIAÇÕES!P1197="",NEGOCIAÇÕES!N1197&lt;TODAY()),NEGOCIAÇÕES!N1197,"")</f>
        <v/>
      </c>
    </row>
    <row r="1198" spans="2:5" ht="31.95" hidden="1" customHeight="1" x14ac:dyDescent="0.3">
      <c r="B1198" s="6" t="str">
        <f ca="1">IF(AND(NEGOCIAÇÕES!P1198="",NEGOCIAÇÕES!N1198&lt;TODAY()),NEGOCIAÇÕES!C1198,"")</f>
        <v/>
      </c>
      <c r="C1198" s="6" t="str">
        <f ca="1">IF(AND(NEGOCIAÇÕES!P1198="",NEGOCIAÇÕES!N1198&lt;TODAY()),NEGOCIAÇÕES!E1198,"")</f>
        <v/>
      </c>
      <c r="D1198" s="6" t="str">
        <f ca="1">IF(AND(NEGOCIAÇÕES!P1198="",NEGOCIAÇÕES!N1198&lt;TODAY()),NEGOCIAÇÕES!D1198,"")</f>
        <v/>
      </c>
      <c r="E1198" s="9" t="str">
        <f ca="1">IF(AND(NEGOCIAÇÕES!P1198="",NEGOCIAÇÕES!N1198&lt;TODAY()),NEGOCIAÇÕES!N1198,"")</f>
        <v/>
      </c>
    </row>
    <row r="1199" spans="2:5" ht="31.95" hidden="1" customHeight="1" x14ac:dyDescent="0.3">
      <c r="B1199" s="6" t="str">
        <f ca="1">IF(AND(NEGOCIAÇÕES!P1199="",NEGOCIAÇÕES!N1199&lt;TODAY()),NEGOCIAÇÕES!C1199,"")</f>
        <v/>
      </c>
      <c r="C1199" s="6" t="str">
        <f ca="1">IF(AND(NEGOCIAÇÕES!P1199="",NEGOCIAÇÕES!N1199&lt;TODAY()),NEGOCIAÇÕES!E1199,"")</f>
        <v/>
      </c>
      <c r="D1199" s="6" t="str">
        <f ca="1">IF(AND(NEGOCIAÇÕES!P1199="",NEGOCIAÇÕES!N1199&lt;TODAY()),NEGOCIAÇÕES!D1199,"")</f>
        <v/>
      </c>
      <c r="E1199" s="9" t="str">
        <f ca="1">IF(AND(NEGOCIAÇÕES!P1199="",NEGOCIAÇÕES!N1199&lt;TODAY()),NEGOCIAÇÕES!N1199,"")</f>
        <v/>
      </c>
    </row>
    <row r="1200" spans="2:5" ht="31.95" hidden="1" customHeight="1" x14ac:dyDescent="0.3">
      <c r="B1200" s="6" t="str">
        <f ca="1">IF(AND(NEGOCIAÇÕES!P1200="",NEGOCIAÇÕES!N1200&lt;TODAY()),NEGOCIAÇÕES!C1200,"")</f>
        <v/>
      </c>
      <c r="C1200" s="6" t="str">
        <f ca="1">IF(AND(NEGOCIAÇÕES!P1200="",NEGOCIAÇÕES!N1200&lt;TODAY()),NEGOCIAÇÕES!E1200,"")</f>
        <v/>
      </c>
      <c r="D1200" s="6" t="str">
        <f ca="1">IF(AND(NEGOCIAÇÕES!P1200="",NEGOCIAÇÕES!N1200&lt;TODAY()),NEGOCIAÇÕES!D1200,"")</f>
        <v/>
      </c>
      <c r="E1200" s="9" t="str">
        <f ca="1">IF(AND(NEGOCIAÇÕES!P1200="",NEGOCIAÇÕES!N1200&lt;TODAY()),NEGOCIAÇÕES!N1200,"")</f>
        <v/>
      </c>
    </row>
    <row r="1201" spans="2:5" ht="31.95" hidden="1" customHeight="1" x14ac:dyDescent="0.3">
      <c r="B1201" s="6" t="str">
        <f ca="1">IF(AND(NEGOCIAÇÕES!P1201="",NEGOCIAÇÕES!N1201&lt;TODAY()),NEGOCIAÇÕES!C1201,"")</f>
        <v/>
      </c>
      <c r="C1201" s="6" t="str">
        <f ca="1">IF(AND(NEGOCIAÇÕES!P1201="",NEGOCIAÇÕES!N1201&lt;TODAY()),NEGOCIAÇÕES!E1201,"")</f>
        <v/>
      </c>
      <c r="D1201" s="6" t="str">
        <f ca="1">IF(AND(NEGOCIAÇÕES!P1201="",NEGOCIAÇÕES!N1201&lt;TODAY()),NEGOCIAÇÕES!D1201,"")</f>
        <v/>
      </c>
      <c r="E1201" s="9" t="str">
        <f ca="1">IF(AND(NEGOCIAÇÕES!P1201="",NEGOCIAÇÕES!N1201&lt;TODAY()),NEGOCIAÇÕES!N1201,"")</f>
        <v/>
      </c>
    </row>
    <row r="1202" spans="2:5" ht="31.95" hidden="1" customHeight="1" x14ac:dyDescent="0.3">
      <c r="B1202" s="6" t="str">
        <f ca="1">IF(AND(NEGOCIAÇÕES!P1202="",NEGOCIAÇÕES!N1202&lt;TODAY()),NEGOCIAÇÕES!C1202,"")</f>
        <v/>
      </c>
      <c r="C1202" s="6" t="str">
        <f ca="1">IF(AND(NEGOCIAÇÕES!P1202="",NEGOCIAÇÕES!N1202&lt;TODAY()),NEGOCIAÇÕES!E1202,"")</f>
        <v/>
      </c>
      <c r="D1202" s="6" t="str">
        <f ca="1">IF(AND(NEGOCIAÇÕES!P1202="",NEGOCIAÇÕES!N1202&lt;TODAY()),NEGOCIAÇÕES!D1202,"")</f>
        <v/>
      </c>
      <c r="E1202" s="9" t="str">
        <f ca="1">IF(AND(NEGOCIAÇÕES!P1202="",NEGOCIAÇÕES!N1202&lt;TODAY()),NEGOCIAÇÕES!N1202,"")</f>
        <v/>
      </c>
    </row>
    <row r="1203" spans="2:5" ht="31.95" hidden="1" customHeight="1" x14ac:dyDescent="0.3">
      <c r="B1203" s="6" t="str">
        <f ca="1">IF(AND(NEGOCIAÇÕES!P1203="",NEGOCIAÇÕES!N1203&lt;TODAY()),NEGOCIAÇÕES!C1203,"")</f>
        <v/>
      </c>
      <c r="C1203" s="6" t="str">
        <f ca="1">IF(AND(NEGOCIAÇÕES!P1203="",NEGOCIAÇÕES!N1203&lt;TODAY()),NEGOCIAÇÕES!E1203,"")</f>
        <v/>
      </c>
      <c r="D1203" s="6" t="str">
        <f ca="1">IF(AND(NEGOCIAÇÕES!P1203="",NEGOCIAÇÕES!N1203&lt;TODAY()),NEGOCIAÇÕES!D1203,"")</f>
        <v/>
      </c>
      <c r="E1203" s="9" t="str">
        <f ca="1">IF(AND(NEGOCIAÇÕES!P1203="",NEGOCIAÇÕES!N1203&lt;TODAY()),NEGOCIAÇÕES!N1203,"")</f>
        <v/>
      </c>
    </row>
    <row r="1204" spans="2:5" ht="31.95" hidden="1" customHeight="1" x14ac:dyDescent="0.3">
      <c r="B1204" s="6" t="str">
        <f ca="1">IF(AND(NEGOCIAÇÕES!P1204="",NEGOCIAÇÕES!N1204&lt;TODAY()),NEGOCIAÇÕES!C1204,"")</f>
        <v/>
      </c>
      <c r="C1204" s="6" t="str">
        <f ca="1">IF(AND(NEGOCIAÇÕES!P1204="",NEGOCIAÇÕES!N1204&lt;TODAY()),NEGOCIAÇÕES!E1204,"")</f>
        <v/>
      </c>
      <c r="D1204" s="6" t="str">
        <f ca="1">IF(AND(NEGOCIAÇÕES!P1204="",NEGOCIAÇÕES!N1204&lt;TODAY()),NEGOCIAÇÕES!D1204,"")</f>
        <v/>
      </c>
      <c r="E1204" s="9" t="str">
        <f ca="1">IF(AND(NEGOCIAÇÕES!P1204="",NEGOCIAÇÕES!N1204&lt;TODAY()),NEGOCIAÇÕES!N1204,"")</f>
        <v/>
      </c>
    </row>
    <row r="1205" spans="2:5" ht="31.95" hidden="1" customHeight="1" x14ac:dyDescent="0.3">
      <c r="B1205" s="6" t="str">
        <f ca="1">IF(AND(NEGOCIAÇÕES!P1205="",NEGOCIAÇÕES!N1205&lt;TODAY()),NEGOCIAÇÕES!C1205,"")</f>
        <v/>
      </c>
      <c r="C1205" s="6" t="str">
        <f ca="1">IF(AND(NEGOCIAÇÕES!P1205="",NEGOCIAÇÕES!N1205&lt;TODAY()),NEGOCIAÇÕES!E1205,"")</f>
        <v/>
      </c>
      <c r="D1205" s="6" t="str">
        <f ca="1">IF(AND(NEGOCIAÇÕES!P1205="",NEGOCIAÇÕES!N1205&lt;TODAY()),NEGOCIAÇÕES!D1205,"")</f>
        <v/>
      </c>
      <c r="E1205" s="9" t="str">
        <f ca="1">IF(AND(NEGOCIAÇÕES!P1205="",NEGOCIAÇÕES!N1205&lt;TODAY()),NEGOCIAÇÕES!N1205,"")</f>
        <v/>
      </c>
    </row>
    <row r="1206" spans="2:5" ht="31.95" hidden="1" customHeight="1" x14ac:dyDescent="0.3">
      <c r="B1206" s="6" t="str">
        <f ca="1">IF(AND(NEGOCIAÇÕES!P1206="",NEGOCIAÇÕES!N1206&lt;TODAY()),NEGOCIAÇÕES!C1206,"")</f>
        <v/>
      </c>
      <c r="C1206" s="6" t="str">
        <f ca="1">IF(AND(NEGOCIAÇÕES!P1206="",NEGOCIAÇÕES!N1206&lt;TODAY()),NEGOCIAÇÕES!E1206,"")</f>
        <v/>
      </c>
      <c r="D1206" s="6" t="str">
        <f ca="1">IF(AND(NEGOCIAÇÕES!P1206="",NEGOCIAÇÕES!N1206&lt;TODAY()),NEGOCIAÇÕES!D1206,"")</f>
        <v/>
      </c>
      <c r="E1206" s="9" t="str">
        <f ca="1">IF(AND(NEGOCIAÇÕES!P1206="",NEGOCIAÇÕES!N1206&lt;TODAY()),NEGOCIAÇÕES!N1206,"")</f>
        <v/>
      </c>
    </row>
    <row r="1207" spans="2:5" ht="31.95" hidden="1" customHeight="1" x14ac:dyDescent="0.3">
      <c r="B1207" s="6" t="str">
        <f ca="1">IF(AND(NEGOCIAÇÕES!P1207="",NEGOCIAÇÕES!N1207&lt;TODAY()),NEGOCIAÇÕES!C1207,"")</f>
        <v/>
      </c>
      <c r="C1207" s="6" t="str">
        <f ca="1">IF(AND(NEGOCIAÇÕES!P1207="",NEGOCIAÇÕES!N1207&lt;TODAY()),NEGOCIAÇÕES!E1207,"")</f>
        <v/>
      </c>
      <c r="D1207" s="6" t="str">
        <f ca="1">IF(AND(NEGOCIAÇÕES!P1207="",NEGOCIAÇÕES!N1207&lt;TODAY()),NEGOCIAÇÕES!D1207,"")</f>
        <v/>
      </c>
      <c r="E1207" s="9" t="str">
        <f ca="1">IF(AND(NEGOCIAÇÕES!P1207="",NEGOCIAÇÕES!N1207&lt;TODAY()),NEGOCIAÇÕES!N1207,"")</f>
        <v/>
      </c>
    </row>
    <row r="1208" spans="2:5" ht="31.95" hidden="1" customHeight="1" x14ac:dyDescent="0.3">
      <c r="B1208" s="6" t="str">
        <f ca="1">IF(AND(NEGOCIAÇÕES!P1208="",NEGOCIAÇÕES!N1208&lt;TODAY()),NEGOCIAÇÕES!C1208,"")</f>
        <v/>
      </c>
      <c r="C1208" s="6" t="str">
        <f ca="1">IF(AND(NEGOCIAÇÕES!P1208="",NEGOCIAÇÕES!N1208&lt;TODAY()),NEGOCIAÇÕES!E1208,"")</f>
        <v/>
      </c>
      <c r="D1208" s="6" t="str">
        <f ca="1">IF(AND(NEGOCIAÇÕES!P1208="",NEGOCIAÇÕES!N1208&lt;TODAY()),NEGOCIAÇÕES!D1208,"")</f>
        <v/>
      </c>
      <c r="E1208" s="9" t="str">
        <f ca="1">IF(AND(NEGOCIAÇÕES!P1208="",NEGOCIAÇÕES!N1208&lt;TODAY()),NEGOCIAÇÕES!N1208,"")</f>
        <v/>
      </c>
    </row>
    <row r="1209" spans="2:5" ht="31.95" hidden="1" customHeight="1" x14ac:dyDescent="0.3">
      <c r="B1209" s="6" t="str">
        <f ca="1">IF(AND(NEGOCIAÇÕES!P1209="",NEGOCIAÇÕES!N1209&lt;TODAY()),NEGOCIAÇÕES!C1209,"")</f>
        <v/>
      </c>
      <c r="C1209" s="6" t="str">
        <f ca="1">IF(AND(NEGOCIAÇÕES!P1209="",NEGOCIAÇÕES!N1209&lt;TODAY()),NEGOCIAÇÕES!E1209,"")</f>
        <v/>
      </c>
      <c r="D1209" s="6" t="str">
        <f ca="1">IF(AND(NEGOCIAÇÕES!P1209="",NEGOCIAÇÕES!N1209&lt;TODAY()),NEGOCIAÇÕES!D1209,"")</f>
        <v/>
      </c>
      <c r="E1209" s="9" t="str">
        <f ca="1">IF(AND(NEGOCIAÇÕES!P1209="",NEGOCIAÇÕES!N1209&lt;TODAY()),NEGOCIAÇÕES!N1209,"")</f>
        <v/>
      </c>
    </row>
    <row r="1210" spans="2:5" ht="31.95" hidden="1" customHeight="1" x14ac:dyDescent="0.3">
      <c r="B1210" s="6" t="str">
        <f ca="1">IF(AND(NEGOCIAÇÕES!P1210="",NEGOCIAÇÕES!N1210&lt;TODAY()),NEGOCIAÇÕES!C1210,"")</f>
        <v/>
      </c>
      <c r="C1210" s="6" t="str">
        <f ca="1">IF(AND(NEGOCIAÇÕES!P1210="",NEGOCIAÇÕES!N1210&lt;TODAY()),NEGOCIAÇÕES!E1210,"")</f>
        <v/>
      </c>
      <c r="D1210" s="6" t="str">
        <f ca="1">IF(AND(NEGOCIAÇÕES!P1210="",NEGOCIAÇÕES!N1210&lt;TODAY()),NEGOCIAÇÕES!D1210,"")</f>
        <v/>
      </c>
      <c r="E1210" s="9" t="str">
        <f ca="1">IF(AND(NEGOCIAÇÕES!P1210="",NEGOCIAÇÕES!N1210&lt;TODAY()),NEGOCIAÇÕES!N1210,"")</f>
        <v/>
      </c>
    </row>
    <row r="1211" spans="2:5" ht="31.95" hidden="1" customHeight="1" x14ac:dyDescent="0.3">
      <c r="B1211" s="6" t="str">
        <f ca="1">IF(AND(NEGOCIAÇÕES!P1211="",NEGOCIAÇÕES!N1211&lt;TODAY()),NEGOCIAÇÕES!C1211,"")</f>
        <v/>
      </c>
      <c r="C1211" s="6" t="str">
        <f ca="1">IF(AND(NEGOCIAÇÕES!P1211="",NEGOCIAÇÕES!N1211&lt;TODAY()),NEGOCIAÇÕES!E1211,"")</f>
        <v/>
      </c>
      <c r="D1211" s="6" t="str">
        <f ca="1">IF(AND(NEGOCIAÇÕES!P1211="",NEGOCIAÇÕES!N1211&lt;TODAY()),NEGOCIAÇÕES!D1211,"")</f>
        <v/>
      </c>
      <c r="E1211" s="9" t="str">
        <f ca="1">IF(AND(NEGOCIAÇÕES!P1211="",NEGOCIAÇÕES!N1211&lt;TODAY()),NEGOCIAÇÕES!N1211,"")</f>
        <v/>
      </c>
    </row>
    <row r="1212" spans="2:5" ht="31.95" hidden="1" customHeight="1" x14ac:dyDescent="0.3">
      <c r="B1212" s="6" t="str">
        <f ca="1">IF(AND(NEGOCIAÇÕES!P1212="",NEGOCIAÇÕES!N1212&lt;TODAY()),NEGOCIAÇÕES!C1212,"")</f>
        <v/>
      </c>
      <c r="C1212" s="6" t="str">
        <f ca="1">IF(AND(NEGOCIAÇÕES!P1212="",NEGOCIAÇÕES!N1212&lt;TODAY()),NEGOCIAÇÕES!E1212,"")</f>
        <v/>
      </c>
      <c r="D1212" s="6" t="str">
        <f ca="1">IF(AND(NEGOCIAÇÕES!P1212="",NEGOCIAÇÕES!N1212&lt;TODAY()),NEGOCIAÇÕES!D1212,"")</f>
        <v/>
      </c>
      <c r="E1212" s="9" t="str">
        <f ca="1">IF(AND(NEGOCIAÇÕES!P1212="",NEGOCIAÇÕES!N1212&lt;TODAY()),NEGOCIAÇÕES!N1212,"")</f>
        <v/>
      </c>
    </row>
    <row r="1213" spans="2:5" ht="31.95" hidden="1" customHeight="1" x14ac:dyDescent="0.3">
      <c r="B1213" s="6" t="str">
        <f ca="1">IF(AND(NEGOCIAÇÕES!P1213="",NEGOCIAÇÕES!N1213&lt;TODAY()),NEGOCIAÇÕES!C1213,"")</f>
        <v/>
      </c>
      <c r="C1213" s="6" t="str">
        <f ca="1">IF(AND(NEGOCIAÇÕES!P1213="",NEGOCIAÇÕES!N1213&lt;TODAY()),NEGOCIAÇÕES!E1213,"")</f>
        <v/>
      </c>
      <c r="D1213" s="6" t="str">
        <f ca="1">IF(AND(NEGOCIAÇÕES!P1213="",NEGOCIAÇÕES!N1213&lt;TODAY()),NEGOCIAÇÕES!D1213,"")</f>
        <v/>
      </c>
      <c r="E1213" s="9" t="str">
        <f ca="1">IF(AND(NEGOCIAÇÕES!P1213="",NEGOCIAÇÕES!N1213&lt;TODAY()),NEGOCIAÇÕES!N1213,"")</f>
        <v/>
      </c>
    </row>
    <row r="1214" spans="2:5" ht="31.95" hidden="1" customHeight="1" x14ac:dyDescent="0.3">
      <c r="B1214" s="6" t="str">
        <f ca="1">IF(AND(NEGOCIAÇÕES!P1214="",NEGOCIAÇÕES!N1214&lt;TODAY()),NEGOCIAÇÕES!C1214,"")</f>
        <v/>
      </c>
      <c r="C1214" s="6" t="str">
        <f ca="1">IF(AND(NEGOCIAÇÕES!P1214="",NEGOCIAÇÕES!N1214&lt;TODAY()),NEGOCIAÇÕES!E1214,"")</f>
        <v/>
      </c>
      <c r="D1214" s="6" t="str">
        <f ca="1">IF(AND(NEGOCIAÇÕES!P1214="",NEGOCIAÇÕES!N1214&lt;TODAY()),NEGOCIAÇÕES!D1214,"")</f>
        <v/>
      </c>
      <c r="E1214" s="9" t="str">
        <f ca="1">IF(AND(NEGOCIAÇÕES!P1214="",NEGOCIAÇÕES!N1214&lt;TODAY()),NEGOCIAÇÕES!N1214,"")</f>
        <v/>
      </c>
    </row>
    <row r="1215" spans="2:5" ht="31.95" hidden="1" customHeight="1" x14ac:dyDescent="0.3">
      <c r="B1215" s="6" t="str">
        <f ca="1">IF(AND(NEGOCIAÇÕES!P1215="",NEGOCIAÇÕES!N1215&lt;TODAY()),NEGOCIAÇÕES!C1215,"")</f>
        <v/>
      </c>
      <c r="C1215" s="6" t="str">
        <f ca="1">IF(AND(NEGOCIAÇÕES!P1215="",NEGOCIAÇÕES!N1215&lt;TODAY()),NEGOCIAÇÕES!E1215,"")</f>
        <v/>
      </c>
      <c r="D1215" s="6" t="str">
        <f ca="1">IF(AND(NEGOCIAÇÕES!P1215="",NEGOCIAÇÕES!N1215&lt;TODAY()),NEGOCIAÇÕES!D1215,"")</f>
        <v/>
      </c>
      <c r="E1215" s="9" t="str">
        <f ca="1">IF(AND(NEGOCIAÇÕES!P1215="",NEGOCIAÇÕES!N1215&lt;TODAY()),NEGOCIAÇÕES!N1215,"")</f>
        <v/>
      </c>
    </row>
    <row r="1216" spans="2:5" ht="31.95" hidden="1" customHeight="1" x14ac:dyDescent="0.3">
      <c r="B1216" s="6" t="str">
        <f ca="1">IF(AND(NEGOCIAÇÕES!P1216="",NEGOCIAÇÕES!N1216&lt;TODAY()),NEGOCIAÇÕES!C1216,"")</f>
        <v/>
      </c>
      <c r="C1216" s="6" t="str">
        <f ca="1">IF(AND(NEGOCIAÇÕES!P1216="",NEGOCIAÇÕES!N1216&lt;TODAY()),NEGOCIAÇÕES!E1216,"")</f>
        <v/>
      </c>
      <c r="D1216" s="6" t="str">
        <f ca="1">IF(AND(NEGOCIAÇÕES!P1216="",NEGOCIAÇÕES!N1216&lt;TODAY()),NEGOCIAÇÕES!D1216,"")</f>
        <v/>
      </c>
      <c r="E1216" s="9" t="str">
        <f ca="1">IF(AND(NEGOCIAÇÕES!P1216="",NEGOCIAÇÕES!N1216&lt;TODAY()),NEGOCIAÇÕES!N1216,"")</f>
        <v/>
      </c>
    </row>
    <row r="1217" spans="2:5" ht="31.95" hidden="1" customHeight="1" x14ac:dyDescent="0.3">
      <c r="B1217" s="6" t="str">
        <f ca="1">IF(AND(NEGOCIAÇÕES!P1217="",NEGOCIAÇÕES!N1217&lt;TODAY()),NEGOCIAÇÕES!C1217,"")</f>
        <v/>
      </c>
      <c r="C1217" s="6" t="str">
        <f ca="1">IF(AND(NEGOCIAÇÕES!P1217="",NEGOCIAÇÕES!N1217&lt;TODAY()),NEGOCIAÇÕES!E1217,"")</f>
        <v/>
      </c>
      <c r="D1217" s="6" t="str">
        <f ca="1">IF(AND(NEGOCIAÇÕES!P1217="",NEGOCIAÇÕES!N1217&lt;TODAY()),NEGOCIAÇÕES!D1217,"")</f>
        <v/>
      </c>
      <c r="E1217" s="9" t="str">
        <f ca="1">IF(AND(NEGOCIAÇÕES!P1217="",NEGOCIAÇÕES!N1217&lt;TODAY()),NEGOCIAÇÕES!N1217,"")</f>
        <v/>
      </c>
    </row>
    <row r="1218" spans="2:5" ht="31.95" hidden="1" customHeight="1" x14ac:dyDescent="0.3">
      <c r="B1218" s="6" t="str">
        <f ca="1">IF(AND(NEGOCIAÇÕES!P1218="",NEGOCIAÇÕES!N1218&lt;TODAY()),NEGOCIAÇÕES!C1218,"")</f>
        <v/>
      </c>
      <c r="C1218" s="6" t="str">
        <f ca="1">IF(AND(NEGOCIAÇÕES!P1218="",NEGOCIAÇÕES!N1218&lt;TODAY()),NEGOCIAÇÕES!E1218,"")</f>
        <v/>
      </c>
      <c r="D1218" s="6" t="str">
        <f ca="1">IF(AND(NEGOCIAÇÕES!P1218="",NEGOCIAÇÕES!N1218&lt;TODAY()),NEGOCIAÇÕES!D1218,"")</f>
        <v/>
      </c>
      <c r="E1218" s="9" t="str">
        <f ca="1">IF(AND(NEGOCIAÇÕES!P1218="",NEGOCIAÇÕES!N1218&lt;TODAY()),NEGOCIAÇÕES!N1218,"")</f>
        <v/>
      </c>
    </row>
    <row r="1219" spans="2:5" ht="31.95" hidden="1" customHeight="1" x14ac:dyDescent="0.3">
      <c r="B1219" s="6" t="str">
        <f ca="1">IF(AND(NEGOCIAÇÕES!P1219="",NEGOCIAÇÕES!N1219&lt;TODAY()),NEGOCIAÇÕES!C1219,"")</f>
        <v/>
      </c>
      <c r="C1219" s="6" t="str">
        <f ca="1">IF(AND(NEGOCIAÇÕES!P1219="",NEGOCIAÇÕES!N1219&lt;TODAY()),NEGOCIAÇÕES!E1219,"")</f>
        <v/>
      </c>
      <c r="D1219" s="6" t="str">
        <f ca="1">IF(AND(NEGOCIAÇÕES!P1219="",NEGOCIAÇÕES!N1219&lt;TODAY()),NEGOCIAÇÕES!D1219,"")</f>
        <v/>
      </c>
      <c r="E1219" s="9" t="str">
        <f ca="1">IF(AND(NEGOCIAÇÕES!P1219="",NEGOCIAÇÕES!N1219&lt;TODAY()),NEGOCIAÇÕES!N1219,"")</f>
        <v/>
      </c>
    </row>
    <row r="1220" spans="2:5" ht="31.95" hidden="1" customHeight="1" x14ac:dyDescent="0.3">
      <c r="B1220" s="6" t="str">
        <f ca="1">IF(AND(NEGOCIAÇÕES!P1220="",NEGOCIAÇÕES!N1220&lt;TODAY()),NEGOCIAÇÕES!C1220,"")</f>
        <v/>
      </c>
      <c r="C1220" s="6" t="str">
        <f ca="1">IF(AND(NEGOCIAÇÕES!P1220="",NEGOCIAÇÕES!N1220&lt;TODAY()),NEGOCIAÇÕES!E1220,"")</f>
        <v/>
      </c>
      <c r="D1220" s="6" t="str">
        <f ca="1">IF(AND(NEGOCIAÇÕES!P1220="",NEGOCIAÇÕES!N1220&lt;TODAY()),NEGOCIAÇÕES!D1220,"")</f>
        <v/>
      </c>
      <c r="E1220" s="9" t="str">
        <f ca="1">IF(AND(NEGOCIAÇÕES!P1220="",NEGOCIAÇÕES!N1220&lt;TODAY()),NEGOCIAÇÕES!N1220,"")</f>
        <v/>
      </c>
    </row>
    <row r="1221" spans="2:5" ht="31.95" hidden="1" customHeight="1" x14ac:dyDescent="0.3">
      <c r="B1221" s="6" t="str">
        <f ca="1">IF(AND(NEGOCIAÇÕES!P1221="",NEGOCIAÇÕES!N1221&lt;TODAY()),NEGOCIAÇÕES!C1221,"")</f>
        <v/>
      </c>
      <c r="C1221" s="6" t="str">
        <f ca="1">IF(AND(NEGOCIAÇÕES!P1221="",NEGOCIAÇÕES!N1221&lt;TODAY()),NEGOCIAÇÕES!E1221,"")</f>
        <v/>
      </c>
      <c r="D1221" s="6" t="str">
        <f ca="1">IF(AND(NEGOCIAÇÕES!P1221="",NEGOCIAÇÕES!N1221&lt;TODAY()),NEGOCIAÇÕES!D1221,"")</f>
        <v/>
      </c>
      <c r="E1221" s="9" t="str">
        <f ca="1">IF(AND(NEGOCIAÇÕES!P1221="",NEGOCIAÇÕES!N1221&lt;TODAY()),NEGOCIAÇÕES!N1221,"")</f>
        <v/>
      </c>
    </row>
    <row r="1222" spans="2:5" ht="31.95" hidden="1" customHeight="1" x14ac:dyDescent="0.3">
      <c r="B1222" s="6" t="str">
        <f ca="1">IF(AND(NEGOCIAÇÕES!P1222="",NEGOCIAÇÕES!N1222&lt;TODAY()),NEGOCIAÇÕES!C1222,"")</f>
        <v/>
      </c>
      <c r="C1222" s="6" t="str">
        <f ca="1">IF(AND(NEGOCIAÇÕES!P1222="",NEGOCIAÇÕES!N1222&lt;TODAY()),NEGOCIAÇÕES!E1222,"")</f>
        <v/>
      </c>
      <c r="D1222" s="6" t="str">
        <f ca="1">IF(AND(NEGOCIAÇÕES!P1222="",NEGOCIAÇÕES!N1222&lt;TODAY()),NEGOCIAÇÕES!D1222,"")</f>
        <v/>
      </c>
      <c r="E1222" s="9" t="str">
        <f ca="1">IF(AND(NEGOCIAÇÕES!P1222="",NEGOCIAÇÕES!N1222&lt;TODAY()),NEGOCIAÇÕES!N1222,"")</f>
        <v/>
      </c>
    </row>
    <row r="1223" spans="2:5" ht="31.95" hidden="1" customHeight="1" x14ac:dyDescent="0.3">
      <c r="B1223" s="6" t="str">
        <f ca="1">IF(AND(NEGOCIAÇÕES!P1223="",NEGOCIAÇÕES!N1223&lt;TODAY()),NEGOCIAÇÕES!C1223,"")</f>
        <v/>
      </c>
      <c r="C1223" s="6" t="str">
        <f ca="1">IF(AND(NEGOCIAÇÕES!P1223="",NEGOCIAÇÕES!N1223&lt;TODAY()),NEGOCIAÇÕES!E1223,"")</f>
        <v/>
      </c>
      <c r="D1223" s="6" t="str">
        <f ca="1">IF(AND(NEGOCIAÇÕES!P1223="",NEGOCIAÇÕES!N1223&lt;TODAY()),NEGOCIAÇÕES!D1223,"")</f>
        <v/>
      </c>
      <c r="E1223" s="9" t="str">
        <f ca="1">IF(AND(NEGOCIAÇÕES!P1223="",NEGOCIAÇÕES!N1223&lt;TODAY()),NEGOCIAÇÕES!N1223,"")</f>
        <v/>
      </c>
    </row>
    <row r="1224" spans="2:5" ht="31.95" hidden="1" customHeight="1" x14ac:dyDescent="0.3">
      <c r="B1224" s="6" t="str">
        <f ca="1">IF(AND(NEGOCIAÇÕES!P1224="",NEGOCIAÇÕES!N1224&lt;TODAY()),NEGOCIAÇÕES!C1224,"")</f>
        <v/>
      </c>
      <c r="C1224" s="6" t="str">
        <f ca="1">IF(AND(NEGOCIAÇÕES!P1224="",NEGOCIAÇÕES!N1224&lt;TODAY()),NEGOCIAÇÕES!E1224,"")</f>
        <v/>
      </c>
      <c r="D1224" s="6" t="str">
        <f ca="1">IF(AND(NEGOCIAÇÕES!P1224="",NEGOCIAÇÕES!N1224&lt;TODAY()),NEGOCIAÇÕES!D1224,"")</f>
        <v/>
      </c>
      <c r="E1224" s="9" t="str">
        <f ca="1">IF(AND(NEGOCIAÇÕES!P1224="",NEGOCIAÇÕES!N1224&lt;TODAY()),NEGOCIAÇÕES!N1224,"")</f>
        <v/>
      </c>
    </row>
    <row r="1225" spans="2:5" ht="31.95" hidden="1" customHeight="1" x14ac:dyDescent="0.3">
      <c r="B1225" s="6" t="str">
        <f ca="1">IF(AND(NEGOCIAÇÕES!P1225="",NEGOCIAÇÕES!N1225&lt;TODAY()),NEGOCIAÇÕES!C1225,"")</f>
        <v/>
      </c>
      <c r="C1225" s="6" t="str">
        <f ca="1">IF(AND(NEGOCIAÇÕES!P1225="",NEGOCIAÇÕES!N1225&lt;TODAY()),NEGOCIAÇÕES!E1225,"")</f>
        <v/>
      </c>
      <c r="D1225" s="6" t="str">
        <f ca="1">IF(AND(NEGOCIAÇÕES!P1225="",NEGOCIAÇÕES!N1225&lt;TODAY()),NEGOCIAÇÕES!D1225,"")</f>
        <v/>
      </c>
      <c r="E1225" s="9" t="str">
        <f ca="1">IF(AND(NEGOCIAÇÕES!P1225="",NEGOCIAÇÕES!N1225&lt;TODAY()),NEGOCIAÇÕES!N1225,"")</f>
        <v/>
      </c>
    </row>
    <row r="1226" spans="2:5" ht="31.95" hidden="1" customHeight="1" x14ac:dyDescent="0.3">
      <c r="B1226" s="6" t="str">
        <f ca="1">IF(AND(NEGOCIAÇÕES!P1226="",NEGOCIAÇÕES!N1226&lt;TODAY()),NEGOCIAÇÕES!C1226,"")</f>
        <v/>
      </c>
      <c r="C1226" s="6" t="str">
        <f ca="1">IF(AND(NEGOCIAÇÕES!P1226="",NEGOCIAÇÕES!N1226&lt;TODAY()),NEGOCIAÇÕES!E1226,"")</f>
        <v/>
      </c>
      <c r="D1226" s="6" t="str">
        <f ca="1">IF(AND(NEGOCIAÇÕES!P1226="",NEGOCIAÇÕES!N1226&lt;TODAY()),NEGOCIAÇÕES!D1226,"")</f>
        <v/>
      </c>
      <c r="E1226" s="9" t="str">
        <f ca="1">IF(AND(NEGOCIAÇÕES!P1226="",NEGOCIAÇÕES!N1226&lt;TODAY()),NEGOCIAÇÕES!N1226,"")</f>
        <v/>
      </c>
    </row>
    <row r="1227" spans="2:5" ht="31.95" hidden="1" customHeight="1" x14ac:dyDescent="0.3">
      <c r="B1227" s="6" t="str">
        <f ca="1">IF(AND(NEGOCIAÇÕES!P1227="",NEGOCIAÇÕES!N1227&lt;TODAY()),NEGOCIAÇÕES!C1227,"")</f>
        <v/>
      </c>
      <c r="C1227" s="6" t="str">
        <f ca="1">IF(AND(NEGOCIAÇÕES!P1227="",NEGOCIAÇÕES!N1227&lt;TODAY()),NEGOCIAÇÕES!E1227,"")</f>
        <v/>
      </c>
      <c r="D1227" s="6" t="str">
        <f ca="1">IF(AND(NEGOCIAÇÕES!P1227="",NEGOCIAÇÕES!N1227&lt;TODAY()),NEGOCIAÇÕES!D1227,"")</f>
        <v/>
      </c>
      <c r="E1227" s="9" t="str">
        <f ca="1">IF(AND(NEGOCIAÇÕES!P1227="",NEGOCIAÇÕES!N1227&lt;TODAY()),NEGOCIAÇÕES!N1227,"")</f>
        <v/>
      </c>
    </row>
    <row r="1228" spans="2:5" ht="31.95" hidden="1" customHeight="1" x14ac:dyDescent="0.3">
      <c r="B1228" s="6" t="str">
        <f ca="1">IF(AND(NEGOCIAÇÕES!P1228="",NEGOCIAÇÕES!N1228&lt;TODAY()),NEGOCIAÇÕES!C1228,"")</f>
        <v/>
      </c>
      <c r="C1228" s="6" t="str">
        <f ca="1">IF(AND(NEGOCIAÇÕES!P1228="",NEGOCIAÇÕES!N1228&lt;TODAY()),NEGOCIAÇÕES!E1228,"")</f>
        <v/>
      </c>
      <c r="D1228" s="6" t="str">
        <f ca="1">IF(AND(NEGOCIAÇÕES!P1228="",NEGOCIAÇÕES!N1228&lt;TODAY()),NEGOCIAÇÕES!D1228,"")</f>
        <v/>
      </c>
      <c r="E1228" s="9" t="str">
        <f ca="1">IF(AND(NEGOCIAÇÕES!P1228="",NEGOCIAÇÕES!N1228&lt;TODAY()),NEGOCIAÇÕES!N1228,"")</f>
        <v/>
      </c>
    </row>
    <row r="1229" spans="2:5" ht="31.95" hidden="1" customHeight="1" x14ac:dyDescent="0.3">
      <c r="B1229" s="6" t="str">
        <f ca="1">IF(AND(NEGOCIAÇÕES!P1229="",NEGOCIAÇÕES!N1229&lt;TODAY()),NEGOCIAÇÕES!C1229,"")</f>
        <v/>
      </c>
      <c r="C1229" s="6" t="str">
        <f ca="1">IF(AND(NEGOCIAÇÕES!P1229="",NEGOCIAÇÕES!N1229&lt;TODAY()),NEGOCIAÇÕES!E1229,"")</f>
        <v/>
      </c>
      <c r="D1229" s="6" t="str">
        <f ca="1">IF(AND(NEGOCIAÇÕES!P1229="",NEGOCIAÇÕES!N1229&lt;TODAY()),NEGOCIAÇÕES!D1229,"")</f>
        <v/>
      </c>
      <c r="E1229" s="9" t="str">
        <f ca="1">IF(AND(NEGOCIAÇÕES!P1229="",NEGOCIAÇÕES!N1229&lt;TODAY()),NEGOCIAÇÕES!N1229,"")</f>
        <v/>
      </c>
    </row>
    <row r="1230" spans="2:5" ht="31.95" hidden="1" customHeight="1" x14ac:dyDescent="0.3">
      <c r="B1230" s="6" t="str">
        <f ca="1">IF(AND(NEGOCIAÇÕES!P1230="",NEGOCIAÇÕES!N1230&lt;TODAY()),NEGOCIAÇÕES!C1230,"")</f>
        <v/>
      </c>
      <c r="C1230" s="6" t="str">
        <f ca="1">IF(AND(NEGOCIAÇÕES!P1230="",NEGOCIAÇÕES!N1230&lt;TODAY()),NEGOCIAÇÕES!E1230,"")</f>
        <v/>
      </c>
      <c r="D1230" s="6" t="str">
        <f ca="1">IF(AND(NEGOCIAÇÕES!P1230="",NEGOCIAÇÕES!N1230&lt;TODAY()),NEGOCIAÇÕES!D1230,"")</f>
        <v/>
      </c>
      <c r="E1230" s="9" t="str">
        <f ca="1">IF(AND(NEGOCIAÇÕES!P1230="",NEGOCIAÇÕES!N1230&lt;TODAY()),NEGOCIAÇÕES!N1230,"")</f>
        <v/>
      </c>
    </row>
    <row r="1231" spans="2:5" ht="31.95" hidden="1" customHeight="1" x14ac:dyDescent="0.3">
      <c r="B1231" s="6" t="str">
        <f ca="1">IF(AND(NEGOCIAÇÕES!P1231="",NEGOCIAÇÕES!N1231&lt;TODAY()),NEGOCIAÇÕES!C1231,"")</f>
        <v/>
      </c>
      <c r="C1231" s="6" t="str">
        <f ca="1">IF(AND(NEGOCIAÇÕES!P1231="",NEGOCIAÇÕES!N1231&lt;TODAY()),NEGOCIAÇÕES!E1231,"")</f>
        <v/>
      </c>
      <c r="D1231" s="6" t="str">
        <f ca="1">IF(AND(NEGOCIAÇÕES!P1231="",NEGOCIAÇÕES!N1231&lt;TODAY()),NEGOCIAÇÕES!D1231,"")</f>
        <v/>
      </c>
      <c r="E1231" s="9" t="str">
        <f ca="1">IF(AND(NEGOCIAÇÕES!P1231="",NEGOCIAÇÕES!N1231&lt;TODAY()),NEGOCIAÇÕES!N1231,"")</f>
        <v/>
      </c>
    </row>
    <row r="1232" spans="2:5" ht="31.95" hidden="1" customHeight="1" x14ac:dyDescent="0.3">
      <c r="B1232" s="6" t="str">
        <f ca="1">IF(AND(NEGOCIAÇÕES!P1232="",NEGOCIAÇÕES!N1232&lt;TODAY()),NEGOCIAÇÕES!C1232,"")</f>
        <v/>
      </c>
      <c r="C1232" s="6" t="str">
        <f ca="1">IF(AND(NEGOCIAÇÕES!P1232="",NEGOCIAÇÕES!N1232&lt;TODAY()),NEGOCIAÇÕES!E1232,"")</f>
        <v/>
      </c>
      <c r="D1232" s="6" t="str">
        <f ca="1">IF(AND(NEGOCIAÇÕES!P1232="",NEGOCIAÇÕES!N1232&lt;TODAY()),NEGOCIAÇÕES!D1232,"")</f>
        <v/>
      </c>
      <c r="E1232" s="9" t="str">
        <f ca="1">IF(AND(NEGOCIAÇÕES!P1232="",NEGOCIAÇÕES!N1232&lt;TODAY()),NEGOCIAÇÕES!N1232,"")</f>
        <v/>
      </c>
    </row>
    <row r="1233" spans="2:5" ht="31.95" hidden="1" customHeight="1" x14ac:dyDescent="0.3">
      <c r="B1233" s="6" t="str">
        <f ca="1">IF(AND(NEGOCIAÇÕES!P1233="",NEGOCIAÇÕES!N1233&lt;TODAY()),NEGOCIAÇÕES!C1233,"")</f>
        <v/>
      </c>
      <c r="C1233" s="6" t="str">
        <f ca="1">IF(AND(NEGOCIAÇÕES!P1233="",NEGOCIAÇÕES!N1233&lt;TODAY()),NEGOCIAÇÕES!E1233,"")</f>
        <v/>
      </c>
      <c r="D1233" s="6" t="str">
        <f ca="1">IF(AND(NEGOCIAÇÕES!P1233="",NEGOCIAÇÕES!N1233&lt;TODAY()),NEGOCIAÇÕES!D1233,"")</f>
        <v/>
      </c>
      <c r="E1233" s="9" t="str">
        <f ca="1">IF(AND(NEGOCIAÇÕES!P1233="",NEGOCIAÇÕES!N1233&lt;TODAY()),NEGOCIAÇÕES!N1233,"")</f>
        <v/>
      </c>
    </row>
    <row r="1234" spans="2:5" ht="31.95" hidden="1" customHeight="1" x14ac:dyDescent="0.3">
      <c r="B1234" s="6" t="str">
        <f ca="1">IF(AND(NEGOCIAÇÕES!P1234="",NEGOCIAÇÕES!N1234&lt;TODAY()),NEGOCIAÇÕES!C1234,"")</f>
        <v/>
      </c>
      <c r="C1234" s="6" t="str">
        <f ca="1">IF(AND(NEGOCIAÇÕES!P1234="",NEGOCIAÇÕES!N1234&lt;TODAY()),NEGOCIAÇÕES!E1234,"")</f>
        <v/>
      </c>
      <c r="D1234" s="6" t="str">
        <f ca="1">IF(AND(NEGOCIAÇÕES!P1234="",NEGOCIAÇÕES!N1234&lt;TODAY()),NEGOCIAÇÕES!D1234,"")</f>
        <v/>
      </c>
      <c r="E1234" s="9" t="str">
        <f ca="1">IF(AND(NEGOCIAÇÕES!P1234="",NEGOCIAÇÕES!N1234&lt;TODAY()),NEGOCIAÇÕES!N1234,"")</f>
        <v/>
      </c>
    </row>
    <row r="1235" spans="2:5" ht="31.95" hidden="1" customHeight="1" x14ac:dyDescent="0.3">
      <c r="B1235" s="6" t="str">
        <f ca="1">IF(AND(NEGOCIAÇÕES!P1235="",NEGOCIAÇÕES!N1235&lt;TODAY()),NEGOCIAÇÕES!C1235,"")</f>
        <v/>
      </c>
      <c r="C1235" s="6" t="str">
        <f ca="1">IF(AND(NEGOCIAÇÕES!P1235="",NEGOCIAÇÕES!N1235&lt;TODAY()),NEGOCIAÇÕES!E1235,"")</f>
        <v/>
      </c>
      <c r="D1235" s="6" t="str">
        <f ca="1">IF(AND(NEGOCIAÇÕES!P1235="",NEGOCIAÇÕES!N1235&lt;TODAY()),NEGOCIAÇÕES!D1235,"")</f>
        <v/>
      </c>
      <c r="E1235" s="9" t="str">
        <f ca="1">IF(AND(NEGOCIAÇÕES!P1235="",NEGOCIAÇÕES!N1235&lt;TODAY()),NEGOCIAÇÕES!N1235,"")</f>
        <v/>
      </c>
    </row>
    <row r="1236" spans="2:5" ht="31.95" hidden="1" customHeight="1" x14ac:dyDescent="0.3">
      <c r="B1236" s="6" t="str">
        <f ca="1">IF(AND(NEGOCIAÇÕES!P1236="",NEGOCIAÇÕES!N1236&lt;TODAY()),NEGOCIAÇÕES!C1236,"")</f>
        <v/>
      </c>
      <c r="C1236" s="6" t="str">
        <f ca="1">IF(AND(NEGOCIAÇÕES!P1236="",NEGOCIAÇÕES!N1236&lt;TODAY()),NEGOCIAÇÕES!E1236,"")</f>
        <v/>
      </c>
      <c r="D1236" s="6" t="str">
        <f ca="1">IF(AND(NEGOCIAÇÕES!P1236="",NEGOCIAÇÕES!N1236&lt;TODAY()),NEGOCIAÇÕES!D1236,"")</f>
        <v/>
      </c>
      <c r="E1236" s="9" t="str">
        <f ca="1">IF(AND(NEGOCIAÇÕES!P1236="",NEGOCIAÇÕES!N1236&lt;TODAY()),NEGOCIAÇÕES!N1236,"")</f>
        <v/>
      </c>
    </row>
    <row r="1237" spans="2:5" ht="31.95" hidden="1" customHeight="1" x14ac:dyDescent="0.3">
      <c r="B1237" s="6" t="str">
        <f ca="1">IF(AND(NEGOCIAÇÕES!P1237="",NEGOCIAÇÕES!N1237&lt;TODAY()),NEGOCIAÇÕES!C1237,"")</f>
        <v/>
      </c>
      <c r="C1237" s="6" t="str">
        <f ca="1">IF(AND(NEGOCIAÇÕES!P1237="",NEGOCIAÇÕES!N1237&lt;TODAY()),NEGOCIAÇÕES!E1237,"")</f>
        <v/>
      </c>
      <c r="D1237" s="6" t="str">
        <f ca="1">IF(AND(NEGOCIAÇÕES!P1237="",NEGOCIAÇÕES!N1237&lt;TODAY()),NEGOCIAÇÕES!D1237,"")</f>
        <v/>
      </c>
      <c r="E1237" s="9" t="str">
        <f ca="1">IF(AND(NEGOCIAÇÕES!P1237="",NEGOCIAÇÕES!N1237&lt;TODAY()),NEGOCIAÇÕES!N1237,"")</f>
        <v/>
      </c>
    </row>
    <row r="1238" spans="2:5" ht="31.95" hidden="1" customHeight="1" x14ac:dyDescent="0.3">
      <c r="B1238" s="6" t="str">
        <f ca="1">IF(AND(NEGOCIAÇÕES!P1238="",NEGOCIAÇÕES!N1238&lt;TODAY()),NEGOCIAÇÕES!C1238,"")</f>
        <v/>
      </c>
      <c r="C1238" s="6" t="str">
        <f ca="1">IF(AND(NEGOCIAÇÕES!P1238="",NEGOCIAÇÕES!N1238&lt;TODAY()),NEGOCIAÇÕES!E1238,"")</f>
        <v/>
      </c>
      <c r="D1238" s="6" t="str">
        <f ca="1">IF(AND(NEGOCIAÇÕES!P1238="",NEGOCIAÇÕES!N1238&lt;TODAY()),NEGOCIAÇÕES!D1238,"")</f>
        <v/>
      </c>
      <c r="E1238" s="9" t="str">
        <f ca="1">IF(AND(NEGOCIAÇÕES!P1238="",NEGOCIAÇÕES!N1238&lt;TODAY()),NEGOCIAÇÕES!N1238,"")</f>
        <v/>
      </c>
    </row>
    <row r="1239" spans="2:5" ht="31.95" hidden="1" customHeight="1" x14ac:dyDescent="0.3">
      <c r="B1239" s="6" t="str">
        <f ca="1">IF(AND(NEGOCIAÇÕES!P1239="",NEGOCIAÇÕES!N1239&lt;TODAY()),NEGOCIAÇÕES!C1239,"")</f>
        <v/>
      </c>
      <c r="C1239" s="6" t="str">
        <f ca="1">IF(AND(NEGOCIAÇÕES!P1239="",NEGOCIAÇÕES!N1239&lt;TODAY()),NEGOCIAÇÕES!E1239,"")</f>
        <v/>
      </c>
      <c r="D1239" s="6" t="str">
        <f ca="1">IF(AND(NEGOCIAÇÕES!P1239="",NEGOCIAÇÕES!N1239&lt;TODAY()),NEGOCIAÇÕES!D1239,"")</f>
        <v/>
      </c>
      <c r="E1239" s="9" t="str">
        <f ca="1">IF(AND(NEGOCIAÇÕES!P1239="",NEGOCIAÇÕES!N1239&lt;TODAY()),NEGOCIAÇÕES!N1239,"")</f>
        <v/>
      </c>
    </row>
    <row r="1240" spans="2:5" ht="31.95" hidden="1" customHeight="1" x14ac:dyDescent="0.3">
      <c r="B1240" s="6" t="str">
        <f ca="1">IF(AND(NEGOCIAÇÕES!P1240="",NEGOCIAÇÕES!N1240&lt;TODAY()),NEGOCIAÇÕES!C1240,"")</f>
        <v/>
      </c>
      <c r="C1240" s="6" t="str">
        <f ca="1">IF(AND(NEGOCIAÇÕES!P1240="",NEGOCIAÇÕES!N1240&lt;TODAY()),NEGOCIAÇÕES!E1240,"")</f>
        <v/>
      </c>
      <c r="D1240" s="6" t="str">
        <f ca="1">IF(AND(NEGOCIAÇÕES!P1240="",NEGOCIAÇÕES!N1240&lt;TODAY()),NEGOCIAÇÕES!D1240,"")</f>
        <v/>
      </c>
      <c r="E1240" s="9" t="str">
        <f ca="1">IF(AND(NEGOCIAÇÕES!P1240="",NEGOCIAÇÕES!N1240&lt;TODAY()),NEGOCIAÇÕES!N1240,"")</f>
        <v/>
      </c>
    </row>
    <row r="1241" spans="2:5" ht="31.95" hidden="1" customHeight="1" x14ac:dyDescent="0.3">
      <c r="B1241" s="6" t="str">
        <f ca="1">IF(AND(NEGOCIAÇÕES!P1241="",NEGOCIAÇÕES!N1241&lt;TODAY()),NEGOCIAÇÕES!C1241,"")</f>
        <v/>
      </c>
      <c r="C1241" s="6" t="str">
        <f ca="1">IF(AND(NEGOCIAÇÕES!P1241="",NEGOCIAÇÕES!N1241&lt;TODAY()),NEGOCIAÇÕES!E1241,"")</f>
        <v/>
      </c>
      <c r="D1241" s="6" t="str">
        <f ca="1">IF(AND(NEGOCIAÇÕES!P1241="",NEGOCIAÇÕES!N1241&lt;TODAY()),NEGOCIAÇÕES!D1241,"")</f>
        <v/>
      </c>
      <c r="E1241" s="9" t="str">
        <f ca="1">IF(AND(NEGOCIAÇÕES!P1241="",NEGOCIAÇÕES!N1241&lt;TODAY()),NEGOCIAÇÕES!N1241,"")</f>
        <v/>
      </c>
    </row>
    <row r="1242" spans="2:5" ht="31.95" hidden="1" customHeight="1" x14ac:dyDescent="0.3">
      <c r="B1242" s="6" t="str">
        <f ca="1">IF(AND(NEGOCIAÇÕES!P1242="",NEGOCIAÇÕES!N1242&lt;TODAY()),NEGOCIAÇÕES!C1242,"")</f>
        <v/>
      </c>
      <c r="C1242" s="6" t="str">
        <f ca="1">IF(AND(NEGOCIAÇÕES!P1242="",NEGOCIAÇÕES!N1242&lt;TODAY()),NEGOCIAÇÕES!E1242,"")</f>
        <v/>
      </c>
      <c r="D1242" s="6" t="str">
        <f ca="1">IF(AND(NEGOCIAÇÕES!P1242="",NEGOCIAÇÕES!N1242&lt;TODAY()),NEGOCIAÇÕES!D1242,"")</f>
        <v/>
      </c>
      <c r="E1242" s="9" t="str">
        <f ca="1">IF(AND(NEGOCIAÇÕES!P1242="",NEGOCIAÇÕES!N1242&lt;TODAY()),NEGOCIAÇÕES!N1242,"")</f>
        <v/>
      </c>
    </row>
    <row r="1243" spans="2:5" ht="31.95" hidden="1" customHeight="1" x14ac:dyDescent="0.3">
      <c r="B1243" s="6" t="str">
        <f ca="1">IF(AND(NEGOCIAÇÕES!P1243="",NEGOCIAÇÕES!N1243&lt;TODAY()),NEGOCIAÇÕES!C1243,"")</f>
        <v/>
      </c>
      <c r="C1243" s="6" t="str">
        <f ca="1">IF(AND(NEGOCIAÇÕES!P1243="",NEGOCIAÇÕES!N1243&lt;TODAY()),NEGOCIAÇÕES!E1243,"")</f>
        <v/>
      </c>
      <c r="D1243" s="6" t="str">
        <f ca="1">IF(AND(NEGOCIAÇÕES!P1243="",NEGOCIAÇÕES!N1243&lt;TODAY()),NEGOCIAÇÕES!D1243,"")</f>
        <v/>
      </c>
      <c r="E1243" s="9" t="str">
        <f ca="1">IF(AND(NEGOCIAÇÕES!P1243="",NEGOCIAÇÕES!N1243&lt;TODAY()),NEGOCIAÇÕES!N1243,"")</f>
        <v/>
      </c>
    </row>
    <row r="1244" spans="2:5" ht="31.95" hidden="1" customHeight="1" x14ac:dyDescent="0.3">
      <c r="B1244" s="6" t="str">
        <f ca="1">IF(AND(NEGOCIAÇÕES!P1244="",NEGOCIAÇÕES!N1244&lt;TODAY()),NEGOCIAÇÕES!C1244,"")</f>
        <v/>
      </c>
      <c r="C1244" s="6" t="str">
        <f ca="1">IF(AND(NEGOCIAÇÕES!P1244="",NEGOCIAÇÕES!N1244&lt;TODAY()),NEGOCIAÇÕES!E1244,"")</f>
        <v/>
      </c>
      <c r="D1244" s="6" t="str">
        <f ca="1">IF(AND(NEGOCIAÇÕES!P1244="",NEGOCIAÇÕES!N1244&lt;TODAY()),NEGOCIAÇÕES!D1244,"")</f>
        <v/>
      </c>
      <c r="E1244" s="9" t="str">
        <f ca="1">IF(AND(NEGOCIAÇÕES!P1244="",NEGOCIAÇÕES!N1244&lt;TODAY()),NEGOCIAÇÕES!N1244,"")</f>
        <v/>
      </c>
    </row>
    <row r="1245" spans="2:5" ht="31.95" hidden="1" customHeight="1" x14ac:dyDescent="0.3">
      <c r="B1245" s="6" t="str">
        <f ca="1">IF(AND(NEGOCIAÇÕES!P1245="",NEGOCIAÇÕES!N1245&lt;TODAY()),NEGOCIAÇÕES!C1245,"")</f>
        <v/>
      </c>
      <c r="C1245" s="6" t="str">
        <f ca="1">IF(AND(NEGOCIAÇÕES!P1245="",NEGOCIAÇÕES!N1245&lt;TODAY()),NEGOCIAÇÕES!E1245,"")</f>
        <v/>
      </c>
      <c r="D1245" s="6" t="str">
        <f ca="1">IF(AND(NEGOCIAÇÕES!P1245="",NEGOCIAÇÕES!N1245&lt;TODAY()),NEGOCIAÇÕES!D1245,"")</f>
        <v/>
      </c>
      <c r="E1245" s="9" t="str">
        <f ca="1">IF(AND(NEGOCIAÇÕES!P1245="",NEGOCIAÇÕES!N1245&lt;TODAY()),NEGOCIAÇÕES!N1245,"")</f>
        <v/>
      </c>
    </row>
    <row r="1246" spans="2:5" ht="31.95" hidden="1" customHeight="1" x14ac:dyDescent="0.3">
      <c r="B1246" s="6" t="str">
        <f ca="1">IF(AND(NEGOCIAÇÕES!P1246="",NEGOCIAÇÕES!N1246&lt;TODAY()),NEGOCIAÇÕES!C1246,"")</f>
        <v/>
      </c>
      <c r="C1246" s="6" t="str">
        <f ca="1">IF(AND(NEGOCIAÇÕES!P1246="",NEGOCIAÇÕES!N1246&lt;TODAY()),NEGOCIAÇÕES!E1246,"")</f>
        <v/>
      </c>
      <c r="D1246" s="6" t="str">
        <f ca="1">IF(AND(NEGOCIAÇÕES!P1246="",NEGOCIAÇÕES!N1246&lt;TODAY()),NEGOCIAÇÕES!D1246,"")</f>
        <v/>
      </c>
      <c r="E1246" s="9" t="str">
        <f ca="1">IF(AND(NEGOCIAÇÕES!P1246="",NEGOCIAÇÕES!N1246&lt;TODAY()),NEGOCIAÇÕES!N1246,"")</f>
        <v/>
      </c>
    </row>
    <row r="1247" spans="2:5" ht="31.95" hidden="1" customHeight="1" x14ac:dyDescent="0.3">
      <c r="B1247" s="6" t="str">
        <f ca="1">IF(AND(NEGOCIAÇÕES!P1247="",NEGOCIAÇÕES!N1247&lt;TODAY()),NEGOCIAÇÕES!C1247,"")</f>
        <v/>
      </c>
      <c r="C1247" s="6" t="str">
        <f ca="1">IF(AND(NEGOCIAÇÕES!P1247="",NEGOCIAÇÕES!N1247&lt;TODAY()),NEGOCIAÇÕES!E1247,"")</f>
        <v/>
      </c>
      <c r="D1247" s="6" t="str">
        <f ca="1">IF(AND(NEGOCIAÇÕES!P1247="",NEGOCIAÇÕES!N1247&lt;TODAY()),NEGOCIAÇÕES!D1247,"")</f>
        <v/>
      </c>
      <c r="E1247" s="9" t="str">
        <f ca="1">IF(AND(NEGOCIAÇÕES!P1247="",NEGOCIAÇÕES!N1247&lt;TODAY()),NEGOCIAÇÕES!N1247,"")</f>
        <v/>
      </c>
    </row>
    <row r="1248" spans="2:5" ht="31.95" hidden="1" customHeight="1" x14ac:dyDescent="0.3">
      <c r="B1248" s="6" t="str">
        <f ca="1">IF(AND(NEGOCIAÇÕES!P1248="",NEGOCIAÇÕES!N1248&lt;TODAY()),NEGOCIAÇÕES!C1248,"")</f>
        <v/>
      </c>
      <c r="C1248" s="6" t="str">
        <f ca="1">IF(AND(NEGOCIAÇÕES!P1248="",NEGOCIAÇÕES!N1248&lt;TODAY()),NEGOCIAÇÕES!E1248,"")</f>
        <v/>
      </c>
      <c r="D1248" s="6" t="str">
        <f ca="1">IF(AND(NEGOCIAÇÕES!P1248="",NEGOCIAÇÕES!N1248&lt;TODAY()),NEGOCIAÇÕES!D1248,"")</f>
        <v/>
      </c>
      <c r="E1248" s="9" t="str">
        <f ca="1">IF(AND(NEGOCIAÇÕES!P1248="",NEGOCIAÇÕES!N1248&lt;TODAY()),NEGOCIAÇÕES!N1248,"")</f>
        <v/>
      </c>
    </row>
    <row r="1249" spans="2:5" ht="31.95" hidden="1" customHeight="1" x14ac:dyDescent="0.3">
      <c r="B1249" s="6" t="str">
        <f ca="1">IF(AND(NEGOCIAÇÕES!P1249="",NEGOCIAÇÕES!N1249&lt;TODAY()),NEGOCIAÇÕES!C1249,"")</f>
        <v/>
      </c>
      <c r="C1249" s="6" t="str">
        <f ca="1">IF(AND(NEGOCIAÇÕES!P1249="",NEGOCIAÇÕES!N1249&lt;TODAY()),NEGOCIAÇÕES!E1249,"")</f>
        <v/>
      </c>
      <c r="D1249" s="6" t="str">
        <f ca="1">IF(AND(NEGOCIAÇÕES!P1249="",NEGOCIAÇÕES!N1249&lt;TODAY()),NEGOCIAÇÕES!D1249,"")</f>
        <v/>
      </c>
      <c r="E1249" s="9" t="str">
        <f ca="1">IF(AND(NEGOCIAÇÕES!P1249="",NEGOCIAÇÕES!N1249&lt;TODAY()),NEGOCIAÇÕES!N1249,"")</f>
        <v/>
      </c>
    </row>
    <row r="1250" spans="2:5" ht="31.95" hidden="1" customHeight="1" x14ac:dyDescent="0.3">
      <c r="B1250" s="6" t="str">
        <f ca="1">IF(AND(NEGOCIAÇÕES!P1250="",NEGOCIAÇÕES!N1250&lt;TODAY()),NEGOCIAÇÕES!C1250,"")</f>
        <v/>
      </c>
      <c r="C1250" s="6" t="str">
        <f ca="1">IF(AND(NEGOCIAÇÕES!P1250="",NEGOCIAÇÕES!N1250&lt;TODAY()),NEGOCIAÇÕES!E1250,"")</f>
        <v/>
      </c>
      <c r="D1250" s="6" t="str">
        <f ca="1">IF(AND(NEGOCIAÇÕES!P1250="",NEGOCIAÇÕES!N1250&lt;TODAY()),NEGOCIAÇÕES!D1250,"")</f>
        <v/>
      </c>
      <c r="E1250" s="9" t="str">
        <f ca="1">IF(AND(NEGOCIAÇÕES!P1250="",NEGOCIAÇÕES!N1250&lt;TODAY()),NEGOCIAÇÕES!N1250,"")</f>
        <v/>
      </c>
    </row>
    <row r="1251" spans="2:5" ht="31.95" hidden="1" customHeight="1" x14ac:dyDescent="0.3">
      <c r="B1251" s="6" t="str">
        <f ca="1">IF(AND(NEGOCIAÇÕES!P1251="",NEGOCIAÇÕES!N1251&lt;TODAY()),NEGOCIAÇÕES!C1251,"")</f>
        <v/>
      </c>
      <c r="C1251" s="6" t="str">
        <f ca="1">IF(AND(NEGOCIAÇÕES!P1251="",NEGOCIAÇÕES!N1251&lt;TODAY()),NEGOCIAÇÕES!E1251,"")</f>
        <v/>
      </c>
      <c r="D1251" s="6" t="str">
        <f ca="1">IF(AND(NEGOCIAÇÕES!P1251="",NEGOCIAÇÕES!N1251&lt;TODAY()),NEGOCIAÇÕES!D1251,"")</f>
        <v/>
      </c>
      <c r="E1251" s="9" t="str">
        <f ca="1">IF(AND(NEGOCIAÇÕES!P1251="",NEGOCIAÇÕES!N1251&lt;TODAY()),NEGOCIAÇÕES!N1251,"")</f>
        <v/>
      </c>
    </row>
    <row r="1252" spans="2:5" ht="31.95" hidden="1" customHeight="1" x14ac:dyDescent="0.3">
      <c r="B1252" s="6" t="str">
        <f ca="1">IF(AND(NEGOCIAÇÕES!P1252="",NEGOCIAÇÕES!N1252&lt;TODAY()),NEGOCIAÇÕES!C1252,"")</f>
        <v/>
      </c>
      <c r="C1252" s="6" t="str">
        <f ca="1">IF(AND(NEGOCIAÇÕES!P1252="",NEGOCIAÇÕES!N1252&lt;TODAY()),NEGOCIAÇÕES!E1252,"")</f>
        <v/>
      </c>
      <c r="D1252" s="6" t="str">
        <f ca="1">IF(AND(NEGOCIAÇÕES!P1252="",NEGOCIAÇÕES!N1252&lt;TODAY()),NEGOCIAÇÕES!D1252,"")</f>
        <v/>
      </c>
      <c r="E1252" s="9" t="str">
        <f ca="1">IF(AND(NEGOCIAÇÕES!P1252="",NEGOCIAÇÕES!N1252&lt;TODAY()),NEGOCIAÇÕES!N1252,"")</f>
        <v/>
      </c>
    </row>
    <row r="1253" spans="2:5" ht="31.95" hidden="1" customHeight="1" x14ac:dyDescent="0.3">
      <c r="B1253" s="6" t="str">
        <f ca="1">IF(AND(NEGOCIAÇÕES!P1253="",NEGOCIAÇÕES!N1253&lt;TODAY()),NEGOCIAÇÕES!C1253,"")</f>
        <v/>
      </c>
      <c r="C1253" s="6" t="str">
        <f ca="1">IF(AND(NEGOCIAÇÕES!P1253="",NEGOCIAÇÕES!N1253&lt;TODAY()),NEGOCIAÇÕES!E1253,"")</f>
        <v/>
      </c>
      <c r="D1253" s="6" t="str">
        <f ca="1">IF(AND(NEGOCIAÇÕES!P1253="",NEGOCIAÇÕES!N1253&lt;TODAY()),NEGOCIAÇÕES!D1253,"")</f>
        <v/>
      </c>
      <c r="E1253" s="9" t="str">
        <f ca="1">IF(AND(NEGOCIAÇÕES!P1253="",NEGOCIAÇÕES!N1253&lt;TODAY()),NEGOCIAÇÕES!N1253,"")</f>
        <v/>
      </c>
    </row>
    <row r="1254" spans="2:5" ht="31.95" hidden="1" customHeight="1" x14ac:dyDescent="0.3">
      <c r="B1254" s="6" t="str">
        <f ca="1">IF(AND(NEGOCIAÇÕES!P1254="",NEGOCIAÇÕES!N1254&lt;TODAY()),NEGOCIAÇÕES!C1254,"")</f>
        <v/>
      </c>
      <c r="C1254" s="6" t="str">
        <f ca="1">IF(AND(NEGOCIAÇÕES!P1254="",NEGOCIAÇÕES!N1254&lt;TODAY()),NEGOCIAÇÕES!E1254,"")</f>
        <v/>
      </c>
      <c r="D1254" s="6" t="str">
        <f ca="1">IF(AND(NEGOCIAÇÕES!P1254="",NEGOCIAÇÕES!N1254&lt;TODAY()),NEGOCIAÇÕES!D1254,"")</f>
        <v/>
      </c>
      <c r="E1254" s="9" t="str">
        <f ca="1">IF(AND(NEGOCIAÇÕES!P1254="",NEGOCIAÇÕES!N1254&lt;TODAY()),NEGOCIAÇÕES!N1254,"")</f>
        <v/>
      </c>
    </row>
    <row r="1255" spans="2:5" ht="31.95" hidden="1" customHeight="1" x14ac:dyDescent="0.3">
      <c r="B1255" s="6" t="str">
        <f ca="1">IF(AND(NEGOCIAÇÕES!P1255="",NEGOCIAÇÕES!N1255&lt;TODAY()),NEGOCIAÇÕES!C1255,"")</f>
        <v/>
      </c>
      <c r="C1255" s="6" t="str">
        <f ca="1">IF(AND(NEGOCIAÇÕES!P1255="",NEGOCIAÇÕES!N1255&lt;TODAY()),NEGOCIAÇÕES!E1255,"")</f>
        <v/>
      </c>
      <c r="D1255" s="6" t="str">
        <f ca="1">IF(AND(NEGOCIAÇÕES!P1255="",NEGOCIAÇÕES!N1255&lt;TODAY()),NEGOCIAÇÕES!D1255,"")</f>
        <v/>
      </c>
      <c r="E1255" s="9" t="str">
        <f ca="1">IF(AND(NEGOCIAÇÕES!P1255="",NEGOCIAÇÕES!N1255&lt;TODAY()),NEGOCIAÇÕES!N1255,"")</f>
        <v/>
      </c>
    </row>
    <row r="1256" spans="2:5" ht="31.95" hidden="1" customHeight="1" x14ac:dyDescent="0.3">
      <c r="B1256" s="6" t="str">
        <f ca="1">IF(AND(NEGOCIAÇÕES!P1256="",NEGOCIAÇÕES!N1256&lt;TODAY()),NEGOCIAÇÕES!C1256,"")</f>
        <v/>
      </c>
      <c r="C1256" s="6" t="str">
        <f ca="1">IF(AND(NEGOCIAÇÕES!P1256="",NEGOCIAÇÕES!N1256&lt;TODAY()),NEGOCIAÇÕES!E1256,"")</f>
        <v/>
      </c>
      <c r="D1256" s="6" t="str">
        <f ca="1">IF(AND(NEGOCIAÇÕES!P1256="",NEGOCIAÇÕES!N1256&lt;TODAY()),NEGOCIAÇÕES!D1256,"")</f>
        <v/>
      </c>
      <c r="E1256" s="9" t="str">
        <f ca="1">IF(AND(NEGOCIAÇÕES!P1256="",NEGOCIAÇÕES!N1256&lt;TODAY()),NEGOCIAÇÕES!N1256,"")</f>
        <v/>
      </c>
    </row>
    <row r="1257" spans="2:5" ht="31.95" hidden="1" customHeight="1" x14ac:dyDescent="0.3">
      <c r="B1257" s="6" t="str">
        <f ca="1">IF(AND(NEGOCIAÇÕES!P1257="",NEGOCIAÇÕES!N1257&lt;TODAY()),NEGOCIAÇÕES!C1257,"")</f>
        <v/>
      </c>
      <c r="C1257" s="6" t="str">
        <f ca="1">IF(AND(NEGOCIAÇÕES!P1257="",NEGOCIAÇÕES!N1257&lt;TODAY()),NEGOCIAÇÕES!E1257,"")</f>
        <v/>
      </c>
      <c r="D1257" s="6" t="str">
        <f ca="1">IF(AND(NEGOCIAÇÕES!P1257="",NEGOCIAÇÕES!N1257&lt;TODAY()),NEGOCIAÇÕES!D1257,"")</f>
        <v/>
      </c>
      <c r="E1257" s="9" t="str">
        <f ca="1">IF(AND(NEGOCIAÇÕES!P1257="",NEGOCIAÇÕES!N1257&lt;TODAY()),NEGOCIAÇÕES!N1257,"")</f>
        <v/>
      </c>
    </row>
    <row r="1258" spans="2:5" ht="31.95" hidden="1" customHeight="1" x14ac:dyDescent="0.3">
      <c r="B1258" s="6" t="str">
        <f ca="1">IF(AND(NEGOCIAÇÕES!P1258="",NEGOCIAÇÕES!N1258&lt;TODAY()),NEGOCIAÇÕES!C1258,"")</f>
        <v/>
      </c>
      <c r="C1258" s="6" t="str">
        <f ca="1">IF(AND(NEGOCIAÇÕES!P1258="",NEGOCIAÇÕES!N1258&lt;TODAY()),NEGOCIAÇÕES!E1258,"")</f>
        <v/>
      </c>
      <c r="D1258" s="6" t="str">
        <f ca="1">IF(AND(NEGOCIAÇÕES!P1258="",NEGOCIAÇÕES!N1258&lt;TODAY()),NEGOCIAÇÕES!D1258,"")</f>
        <v/>
      </c>
      <c r="E1258" s="9" t="str">
        <f ca="1">IF(AND(NEGOCIAÇÕES!P1258="",NEGOCIAÇÕES!N1258&lt;TODAY()),NEGOCIAÇÕES!N1258,"")</f>
        <v/>
      </c>
    </row>
    <row r="1259" spans="2:5" ht="31.95" hidden="1" customHeight="1" x14ac:dyDescent="0.3">
      <c r="B1259" s="6" t="str">
        <f ca="1">IF(AND(NEGOCIAÇÕES!P1259="",NEGOCIAÇÕES!N1259&lt;TODAY()),NEGOCIAÇÕES!C1259,"")</f>
        <v/>
      </c>
      <c r="C1259" s="6" t="str">
        <f ca="1">IF(AND(NEGOCIAÇÕES!P1259="",NEGOCIAÇÕES!N1259&lt;TODAY()),NEGOCIAÇÕES!E1259,"")</f>
        <v/>
      </c>
      <c r="D1259" s="6" t="str">
        <f ca="1">IF(AND(NEGOCIAÇÕES!P1259="",NEGOCIAÇÕES!N1259&lt;TODAY()),NEGOCIAÇÕES!D1259,"")</f>
        <v/>
      </c>
      <c r="E1259" s="9" t="str">
        <f ca="1">IF(AND(NEGOCIAÇÕES!P1259="",NEGOCIAÇÕES!N1259&lt;TODAY()),NEGOCIAÇÕES!N1259,"")</f>
        <v/>
      </c>
    </row>
    <row r="1260" spans="2:5" ht="31.95" hidden="1" customHeight="1" x14ac:dyDescent="0.3">
      <c r="B1260" s="6" t="str">
        <f ca="1">IF(AND(NEGOCIAÇÕES!P1260="",NEGOCIAÇÕES!N1260&lt;TODAY()),NEGOCIAÇÕES!C1260,"")</f>
        <v/>
      </c>
      <c r="C1260" s="6" t="str">
        <f ca="1">IF(AND(NEGOCIAÇÕES!P1260="",NEGOCIAÇÕES!N1260&lt;TODAY()),NEGOCIAÇÕES!E1260,"")</f>
        <v/>
      </c>
      <c r="D1260" s="6" t="str">
        <f ca="1">IF(AND(NEGOCIAÇÕES!P1260="",NEGOCIAÇÕES!N1260&lt;TODAY()),NEGOCIAÇÕES!D1260,"")</f>
        <v/>
      </c>
      <c r="E1260" s="9" t="str">
        <f ca="1">IF(AND(NEGOCIAÇÕES!P1260="",NEGOCIAÇÕES!N1260&lt;TODAY()),NEGOCIAÇÕES!N1260,"")</f>
        <v/>
      </c>
    </row>
    <row r="1261" spans="2:5" ht="31.95" hidden="1" customHeight="1" x14ac:dyDescent="0.3">
      <c r="B1261" s="6" t="str">
        <f ca="1">IF(AND(NEGOCIAÇÕES!P1261="",NEGOCIAÇÕES!N1261&lt;TODAY()),NEGOCIAÇÕES!C1261,"")</f>
        <v/>
      </c>
      <c r="C1261" s="6" t="str">
        <f ca="1">IF(AND(NEGOCIAÇÕES!P1261="",NEGOCIAÇÕES!N1261&lt;TODAY()),NEGOCIAÇÕES!E1261,"")</f>
        <v/>
      </c>
      <c r="D1261" s="6" t="str">
        <f ca="1">IF(AND(NEGOCIAÇÕES!P1261="",NEGOCIAÇÕES!N1261&lt;TODAY()),NEGOCIAÇÕES!D1261,"")</f>
        <v/>
      </c>
      <c r="E1261" s="9" t="str">
        <f ca="1">IF(AND(NEGOCIAÇÕES!P1261="",NEGOCIAÇÕES!N1261&lt;TODAY()),NEGOCIAÇÕES!N1261,"")</f>
        <v/>
      </c>
    </row>
    <row r="1262" spans="2:5" ht="31.95" hidden="1" customHeight="1" x14ac:dyDescent="0.3">
      <c r="B1262" s="6" t="str">
        <f ca="1">IF(AND(NEGOCIAÇÕES!P1262="",NEGOCIAÇÕES!N1262&lt;TODAY()),NEGOCIAÇÕES!C1262,"")</f>
        <v/>
      </c>
      <c r="C1262" s="6" t="str">
        <f ca="1">IF(AND(NEGOCIAÇÕES!P1262="",NEGOCIAÇÕES!N1262&lt;TODAY()),NEGOCIAÇÕES!E1262,"")</f>
        <v/>
      </c>
      <c r="D1262" s="6" t="str">
        <f ca="1">IF(AND(NEGOCIAÇÕES!P1262="",NEGOCIAÇÕES!N1262&lt;TODAY()),NEGOCIAÇÕES!D1262,"")</f>
        <v/>
      </c>
      <c r="E1262" s="9" t="str">
        <f ca="1">IF(AND(NEGOCIAÇÕES!P1262="",NEGOCIAÇÕES!N1262&lt;TODAY()),NEGOCIAÇÕES!N1262,"")</f>
        <v/>
      </c>
    </row>
    <row r="1263" spans="2:5" ht="31.95" hidden="1" customHeight="1" x14ac:dyDescent="0.3">
      <c r="B1263" s="6" t="str">
        <f ca="1">IF(AND(NEGOCIAÇÕES!P1263="",NEGOCIAÇÕES!N1263&lt;TODAY()),NEGOCIAÇÕES!C1263,"")</f>
        <v/>
      </c>
      <c r="C1263" s="6" t="str">
        <f ca="1">IF(AND(NEGOCIAÇÕES!P1263="",NEGOCIAÇÕES!N1263&lt;TODAY()),NEGOCIAÇÕES!E1263,"")</f>
        <v/>
      </c>
      <c r="D1263" s="6" t="str">
        <f ca="1">IF(AND(NEGOCIAÇÕES!P1263="",NEGOCIAÇÕES!N1263&lt;TODAY()),NEGOCIAÇÕES!D1263,"")</f>
        <v/>
      </c>
      <c r="E1263" s="9" t="str">
        <f ca="1">IF(AND(NEGOCIAÇÕES!P1263="",NEGOCIAÇÕES!N1263&lt;TODAY()),NEGOCIAÇÕES!N1263,"")</f>
        <v/>
      </c>
    </row>
    <row r="1264" spans="2:5" ht="31.95" hidden="1" customHeight="1" x14ac:dyDescent="0.3">
      <c r="B1264" s="6" t="str">
        <f ca="1">IF(AND(NEGOCIAÇÕES!P1264="",NEGOCIAÇÕES!N1264&lt;TODAY()),NEGOCIAÇÕES!C1264,"")</f>
        <v/>
      </c>
      <c r="C1264" s="6" t="str">
        <f ca="1">IF(AND(NEGOCIAÇÕES!P1264="",NEGOCIAÇÕES!N1264&lt;TODAY()),NEGOCIAÇÕES!E1264,"")</f>
        <v/>
      </c>
      <c r="D1264" s="6" t="str">
        <f ca="1">IF(AND(NEGOCIAÇÕES!P1264="",NEGOCIAÇÕES!N1264&lt;TODAY()),NEGOCIAÇÕES!D1264,"")</f>
        <v/>
      </c>
      <c r="E1264" s="9" t="str">
        <f ca="1">IF(AND(NEGOCIAÇÕES!P1264="",NEGOCIAÇÕES!N1264&lt;TODAY()),NEGOCIAÇÕES!N1264,"")</f>
        <v/>
      </c>
    </row>
    <row r="1265" spans="2:5" ht="31.95" hidden="1" customHeight="1" x14ac:dyDescent="0.3">
      <c r="B1265" s="6" t="str">
        <f ca="1">IF(AND(NEGOCIAÇÕES!P1265="",NEGOCIAÇÕES!N1265&lt;TODAY()),NEGOCIAÇÕES!C1265,"")</f>
        <v/>
      </c>
      <c r="C1265" s="6" t="str">
        <f ca="1">IF(AND(NEGOCIAÇÕES!P1265="",NEGOCIAÇÕES!N1265&lt;TODAY()),NEGOCIAÇÕES!E1265,"")</f>
        <v/>
      </c>
      <c r="D1265" s="6" t="str">
        <f ca="1">IF(AND(NEGOCIAÇÕES!P1265="",NEGOCIAÇÕES!N1265&lt;TODAY()),NEGOCIAÇÕES!D1265,"")</f>
        <v/>
      </c>
      <c r="E1265" s="9" t="str">
        <f ca="1">IF(AND(NEGOCIAÇÕES!P1265="",NEGOCIAÇÕES!N1265&lt;TODAY()),NEGOCIAÇÕES!N1265,"")</f>
        <v/>
      </c>
    </row>
    <row r="1266" spans="2:5" ht="31.95" hidden="1" customHeight="1" x14ac:dyDescent="0.3">
      <c r="B1266" s="6" t="str">
        <f ca="1">IF(AND(NEGOCIAÇÕES!P1266="",NEGOCIAÇÕES!N1266&lt;TODAY()),NEGOCIAÇÕES!C1266,"")</f>
        <v/>
      </c>
      <c r="C1266" s="6" t="str">
        <f ca="1">IF(AND(NEGOCIAÇÕES!P1266="",NEGOCIAÇÕES!N1266&lt;TODAY()),NEGOCIAÇÕES!E1266,"")</f>
        <v/>
      </c>
      <c r="D1266" s="6" t="str">
        <f ca="1">IF(AND(NEGOCIAÇÕES!P1266="",NEGOCIAÇÕES!N1266&lt;TODAY()),NEGOCIAÇÕES!D1266,"")</f>
        <v/>
      </c>
      <c r="E1266" s="9" t="str">
        <f ca="1">IF(AND(NEGOCIAÇÕES!P1266="",NEGOCIAÇÕES!N1266&lt;TODAY()),NEGOCIAÇÕES!N1266,"")</f>
        <v/>
      </c>
    </row>
    <row r="1267" spans="2:5" ht="31.95" hidden="1" customHeight="1" x14ac:dyDescent="0.3">
      <c r="B1267" s="6" t="str">
        <f ca="1">IF(AND(NEGOCIAÇÕES!P1267="",NEGOCIAÇÕES!N1267&lt;TODAY()),NEGOCIAÇÕES!C1267,"")</f>
        <v/>
      </c>
      <c r="C1267" s="6" t="str">
        <f ca="1">IF(AND(NEGOCIAÇÕES!P1267="",NEGOCIAÇÕES!N1267&lt;TODAY()),NEGOCIAÇÕES!E1267,"")</f>
        <v/>
      </c>
      <c r="D1267" s="6" t="str">
        <f ca="1">IF(AND(NEGOCIAÇÕES!P1267="",NEGOCIAÇÕES!N1267&lt;TODAY()),NEGOCIAÇÕES!D1267,"")</f>
        <v/>
      </c>
      <c r="E1267" s="9" t="str">
        <f ca="1">IF(AND(NEGOCIAÇÕES!P1267="",NEGOCIAÇÕES!N1267&lt;TODAY()),NEGOCIAÇÕES!N1267,"")</f>
        <v/>
      </c>
    </row>
    <row r="1268" spans="2:5" ht="31.95" hidden="1" customHeight="1" x14ac:dyDescent="0.3">
      <c r="B1268" s="6" t="str">
        <f ca="1">IF(AND(NEGOCIAÇÕES!P1268="",NEGOCIAÇÕES!N1268&lt;TODAY()),NEGOCIAÇÕES!C1268,"")</f>
        <v/>
      </c>
      <c r="C1268" s="6" t="str">
        <f ca="1">IF(AND(NEGOCIAÇÕES!P1268="",NEGOCIAÇÕES!N1268&lt;TODAY()),NEGOCIAÇÕES!E1268,"")</f>
        <v/>
      </c>
      <c r="D1268" s="6" t="str">
        <f ca="1">IF(AND(NEGOCIAÇÕES!P1268="",NEGOCIAÇÕES!N1268&lt;TODAY()),NEGOCIAÇÕES!D1268,"")</f>
        <v/>
      </c>
      <c r="E1268" s="9" t="str">
        <f ca="1">IF(AND(NEGOCIAÇÕES!P1268="",NEGOCIAÇÕES!N1268&lt;TODAY()),NEGOCIAÇÕES!N1268,"")</f>
        <v/>
      </c>
    </row>
    <row r="1269" spans="2:5" ht="31.95" hidden="1" customHeight="1" x14ac:dyDescent="0.3">
      <c r="B1269" s="6" t="str">
        <f ca="1">IF(AND(NEGOCIAÇÕES!P1269="",NEGOCIAÇÕES!N1269&lt;TODAY()),NEGOCIAÇÕES!C1269,"")</f>
        <v/>
      </c>
      <c r="C1269" s="6" t="str">
        <f ca="1">IF(AND(NEGOCIAÇÕES!P1269="",NEGOCIAÇÕES!N1269&lt;TODAY()),NEGOCIAÇÕES!E1269,"")</f>
        <v/>
      </c>
      <c r="D1269" s="6" t="str">
        <f ca="1">IF(AND(NEGOCIAÇÕES!P1269="",NEGOCIAÇÕES!N1269&lt;TODAY()),NEGOCIAÇÕES!D1269,"")</f>
        <v/>
      </c>
      <c r="E1269" s="9" t="str">
        <f ca="1">IF(AND(NEGOCIAÇÕES!P1269="",NEGOCIAÇÕES!N1269&lt;TODAY()),NEGOCIAÇÕES!N1269,"")</f>
        <v/>
      </c>
    </row>
    <row r="1270" spans="2:5" ht="31.95" hidden="1" customHeight="1" x14ac:dyDescent="0.3">
      <c r="B1270" s="6" t="str">
        <f ca="1">IF(AND(NEGOCIAÇÕES!P1270="",NEGOCIAÇÕES!N1270&lt;TODAY()),NEGOCIAÇÕES!C1270,"")</f>
        <v/>
      </c>
      <c r="C1270" s="6" t="str">
        <f ca="1">IF(AND(NEGOCIAÇÕES!P1270="",NEGOCIAÇÕES!N1270&lt;TODAY()),NEGOCIAÇÕES!E1270,"")</f>
        <v/>
      </c>
      <c r="D1270" s="6" t="str">
        <f ca="1">IF(AND(NEGOCIAÇÕES!P1270="",NEGOCIAÇÕES!N1270&lt;TODAY()),NEGOCIAÇÕES!D1270,"")</f>
        <v/>
      </c>
      <c r="E1270" s="9" t="str">
        <f ca="1">IF(AND(NEGOCIAÇÕES!P1270="",NEGOCIAÇÕES!N1270&lt;TODAY()),NEGOCIAÇÕES!N1270,"")</f>
        <v/>
      </c>
    </row>
    <row r="1271" spans="2:5" ht="31.95" hidden="1" customHeight="1" x14ac:dyDescent="0.3">
      <c r="B1271" s="6" t="str">
        <f ca="1">IF(AND(NEGOCIAÇÕES!P1271="",NEGOCIAÇÕES!N1271&lt;TODAY()),NEGOCIAÇÕES!C1271,"")</f>
        <v/>
      </c>
      <c r="C1271" s="6" t="str">
        <f ca="1">IF(AND(NEGOCIAÇÕES!P1271="",NEGOCIAÇÕES!N1271&lt;TODAY()),NEGOCIAÇÕES!E1271,"")</f>
        <v/>
      </c>
      <c r="D1271" s="6" t="str">
        <f ca="1">IF(AND(NEGOCIAÇÕES!P1271="",NEGOCIAÇÕES!N1271&lt;TODAY()),NEGOCIAÇÕES!D1271,"")</f>
        <v/>
      </c>
      <c r="E1271" s="9" t="str">
        <f ca="1">IF(AND(NEGOCIAÇÕES!P1271="",NEGOCIAÇÕES!N1271&lt;TODAY()),NEGOCIAÇÕES!N1271,"")</f>
        <v/>
      </c>
    </row>
    <row r="1272" spans="2:5" ht="31.95" hidden="1" customHeight="1" x14ac:dyDescent="0.3">
      <c r="B1272" s="6" t="str">
        <f ca="1">IF(AND(NEGOCIAÇÕES!P1272="",NEGOCIAÇÕES!N1272&lt;TODAY()),NEGOCIAÇÕES!C1272,"")</f>
        <v/>
      </c>
      <c r="C1272" s="6" t="str">
        <f ca="1">IF(AND(NEGOCIAÇÕES!P1272="",NEGOCIAÇÕES!N1272&lt;TODAY()),NEGOCIAÇÕES!E1272,"")</f>
        <v/>
      </c>
      <c r="D1272" s="6" t="str">
        <f ca="1">IF(AND(NEGOCIAÇÕES!P1272="",NEGOCIAÇÕES!N1272&lt;TODAY()),NEGOCIAÇÕES!D1272,"")</f>
        <v/>
      </c>
      <c r="E1272" s="9" t="str">
        <f ca="1">IF(AND(NEGOCIAÇÕES!P1272="",NEGOCIAÇÕES!N1272&lt;TODAY()),NEGOCIAÇÕES!N1272,"")</f>
        <v/>
      </c>
    </row>
    <row r="1273" spans="2:5" ht="31.95" hidden="1" customHeight="1" x14ac:dyDescent="0.3">
      <c r="B1273" s="6" t="str">
        <f ca="1">IF(AND(NEGOCIAÇÕES!P1273="",NEGOCIAÇÕES!N1273&lt;TODAY()),NEGOCIAÇÕES!C1273,"")</f>
        <v/>
      </c>
      <c r="C1273" s="6" t="str">
        <f ca="1">IF(AND(NEGOCIAÇÕES!P1273="",NEGOCIAÇÕES!N1273&lt;TODAY()),NEGOCIAÇÕES!E1273,"")</f>
        <v/>
      </c>
      <c r="D1273" s="6" t="str">
        <f ca="1">IF(AND(NEGOCIAÇÕES!P1273="",NEGOCIAÇÕES!N1273&lt;TODAY()),NEGOCIAÇÕES!D1273,"")</f>
        <v/>
      </c>
      <c r="E1273" s="9" t="str">
        <f ca="1">IF(AND(NEGOCIAÇÕES!P1273="",NEGOCIAÇÕES!N1273&lt;TODAY()),NEGOCIAÇÕES!N1273,"")</f>
        <v/>
      </c>
    </row>
    <row r="1274" spans="2:5" ht="31.95" hidden="1" customHeight="1" x14ac:dyDescent="0.3">
      <c r="B1274" s="6" t="str">
        <f ca="1">IF(AND(NEGOCIAÇÕES!P1274="",NEGOCIAÇÕES!N1274&lt;TODAY()),NEGOCIAÇÕES!C1274,"")</f>
        <v/>
      </c>
      <c r="C1274" s="6" t="str">
        <f ca="1">IF(AND(NEGOCIAÇÕES!P1274="",NEGOCIAÇÕES!N1274&lt;TODAY()),NEGOCIAÇÕES!E1274,"")</f>
        <v/>
      </c>
      <c r="D1274" s="6" t="str">
        <f ca="1">IF(AND(NEGOCIAÇÕES!P1274="",NEGOCIAÇÕES!N1274&lt;TODAY()),NEGOCIAÇÕES!D1274,"")</f>
        <v/>
      </c>
      <c r="E1274" s="9" t="str">
        <f ca="1">IF(AND(NEGOCIAÇÕES!P1274="",NEGOCIAÇÕES!N1274&lt;TODAY()),NEGOCIAÇÕES!N1274,"")</f>
        <v/>
      </c>
    </row>
    <row r="1275" spans="2:5" ht="31.95" hidden="1" customHeight="1" x14ac:dyDescent="0.3">
      <c r="B1275" s="6" t="str">
        <f ca="1">IF(AND(NEGOCIAÇÕES!P1275="",NEGOCIAÇÕES!N1275&lt;TODAY()),NEGOCIAÇÕES!C1275,"")</f>
        <v/>
      </c>
      <c r="C1275" s="6" t="str">
        <f ca="1">IF(AND(NEGOCIAÇÕES!P1275="",NEGOCIAÇÕES!N1275&lt;TODAY()),NEGOCIAÇÕES!E1275,"")</f>
        <v/>
      </c>
      <c r="D1275" s="6" t="str">
        <f ca="1">IF(AND(NEGOCIAÇÕES!P1275="",NEGOCIAÇÕES!N1275&lt;TODAY()),NEGOCIAÇÕES!D1275,"")</f>
        <v/>
      </c>
      <c r="E1275" s="9" t="str">
        <f ca="1">IF(AND(NEGOCIAÇÕES!P1275="",NEGOCIAÇÕES!N1275&lt;TODAY()),NEGOCIAÇÕES!N1275,"")</f>
        <v/>
      </c>
    </row>
    <row r="1276" spans="2:5" ht="31.95" hidden="1" customHeight="1" x14ac:dyDescent="0.3">
      <c r="B1276" s="6" t="str">
        <f ca="1">IF(AND(NEGOCIAÇÕES!P1276="",NEGOCIAÇÕES!N1276&lt;TODAY()),NEGOCIAÇÕES!C1276,"")</f>
        <v/>
      </c>
      <c r="C1276" s="6" t="str">
        <f ca="1">IF(AND(NEGOCIAÇÕES!P1276="",NEGOCIAÇÕES!N1276&lt;TODAY()),NEGOCIAÇÕES!E1276,"")</f>
        <v/>
      </c>
      <c r="D1276" s="6" t="str">
        <f ca="1">IF(AND(NEGOCIAÇÕES!P1276="",NEGOCIAÇÕES!N1276&lt;TODAY()),NEGOCIAÇÕES!D1276,"")</f>
        <v/>
      </c>
      <c r="E1276" s="9" t="str">
        <f ca="1">IF(AND(NEGOCIAÇÕES!P1276="",NEGOCIAÇÕES!N1276&lt;TODAY()),NEGOCIAÇÕES!N1276,"")</f>
        <v/>
      </c>
    </row>
    <row r="1277" spans="2:5" ht="31.95" hidden="1" customHeight="1" x14ac:dyDescent="0.3">
      <c r="B1277" s="6" t="str">
        <f ca="1">IF(AND(NEGOCIAÇÕES!P1277="",NEGOCIAÇÕES!N1277&lt;TODAY()),NEGOCIAÇÕES!C1277,"")</f>
        <v/>
      </c>
      <c r="C1277" s="6" t="str">
        <f ca="1">IF(AND(NEGOCIAÇÕES!P1277="",NEGOCIAÇÕES!N1277&lt;TODAY()),NEGOCIAÇÕES!E1277,"")</f>
        <v/>
      </c>
      <c r="D1277" s="6" t="str">
        <f ca="1">IF(AND(NEGOCIAÇÕES!P1277="",NEGOCIAÇÕES!N1277&lt;TODAY()),NEGOCIAÇÕES!D1277,"")</f>
        <v/>
      </c>
      <c r="E1277" s="9" t="str">
        <f ca="1">IF(AND(NEGOCIAÇÕES!P1277="",NEGOCIAÇÕES!N1277&lt;TODAY()),NEGOCIAÇÕES!N1277,"")</f>
        <v/>
      </c>
    </row>
    <row r="1278" spans="2:5" ht="31.95" hidden="1" customHeight="1" x14ac:dyDescent="0.3">
      <c r="B1278" s="6" t="str">
        <f ca="1">IF(AND(NEGOCIAÇÕES!P1278="",NEGOCIAÇÕES!N1278&lt;TODAY()),NEGOCIAÇÕES!C1278,"")</f>
        <v/>
      </c>
      <c r="C1278" s="6" t="str">
        <f ca="1">IF(AND(NEGOCIAÇÕES!P1278="",NEGOCIAÇÕES!N1278&lt;TODAY()),NEGOCIAÇÕES!E1278,"")</f>
        <v/>
      </c>
      <c r="D1278" s="6" t="str">
        <f ca="1">IF(AND(NEGOCIAÇÕES!P1278="",NEGOCIAÇÕES!N1278&lt;TODAY()),NEGOCIAÇÕES!D1278,"")</f>
        <v/>
      </c>
      <c r="E1278" s="9" t="str">
        <f ca="1">IF(AND(NEGOCIAÇÕES!P1278="",NEGOCIAÇÕES!N1278&lt;TODAY()),NEGOCIAÇÕES!N1278,"")</f>
        <v/>
      </c>
    </row>
    <row r="1279" spans="2:5" ht="31.95" hidden="1" customHeight="1" x14ac:dyDescent="0.3">
      <c r="B1279" s="6" t="str">
        <f ca="1">IF(AND(NEGOCIAÇÕES!P1279="",NEGOCIAÇÕES!N1279&lt;TODAY()),NEGOCIAÇÕES!C1279,"")</f>
        <v/>
      </c>
      <c r="C1279" s="6" t="str">
        <f ca="1">IF(AND(NEGOCIAÇÕES!P1279="",NEGOCIAÇÕES!N1279&lt;TODAY()),NEGOCIAÇÕES!E1279,"")</f>
        <v/>
      </c>
      <c r="D1279" s="6" t="str">
        <f ca="1">IF(AND(NEGOCIAÇÕES!P1279="",NEGOCIAÇÕES!N1279&lt;TODAY()),NEGOCIAÇÕES!D1279,"")</f>
        <v/>
      </c>
      <c r="E1279" s="9" t="str">
        <f ca="1">IF(AND(NEGOCIAÇÕES!P1279="",NEGOCIAÇÕES!N1279&lt;TODAY()),NEGOCIAÇÕES!N1279,"")</f>
        <v/>
      </c>
    </row>
    <row r="1280" spans="2:5" ht="31.95" hidden="1" customHeight="1" x14ac:dyDescent="0.3">
      <c r="B1280" s="6" t="str">
        <f ca="1">IF(AND(NEGOCIAÇÕES!P1280="",NEGOCIAÇÕES!N1280&lt;TODAY()),NEGOCIAÇÕES!C1280,"")</f>
        <v/>
      </c>
      <c r="C1280" s="6" t="str">
        <f ca="1">IF(AND(NEGOCIAÇÕES!P1280="",NEGOCIAÇÕES!N1280&lt;TODAY()),NEGOCIAÇÕES!E1280,"")</f>
        <v/>
      </c>
      <c r="D1280" s="6" t="str">
        <f ca="1">IF(AND(NEGOCIAÇÕES!P1280="",NEGOCIAÇÕES!N1280&lt;TODAY()),NEGOCIAÇÕES!D1280,"")</f>
        <v/>
      </c>
      <c r="E1280" s="9" t="str">
        <f ca="1">IF(AND(NEGOCIAÇÕES!P1280="",NEGOCIAÇÕES!N1280&lt;TODAY()),NEGOCIAÇÕES!N1280,"")</f>
        <v/>
      </c>
    </row>
    <row r="1281" spans="2:5" ht="31.95" hidden="1" customHeight="1" x14ac:dyDescent="0.3">
      <c r="B1281" s="6" t="str">
        <f ca="1">IF(AND(NEGOCIAÇÕES!P1281="",NEGOCIAÇÕES!N1281&lt;TODAY()),NEGOCIAÇÕES!C1281,"")</f>
        <v/>
      </c>
      <c r="C1281" s="6" t="str">
        <f ca="1">IF(AND(NEGOCIAÇÕES!P1281="",NEGOCIAÇÕES!N1281&lt;TODAY()),NEGOCIAÇÕES!E1281,"")</f>
        <v/>
      </c>
      <c r="D1281" s="6" t="str">
        <f ca="1">IF(AND(NEGOCIAÇÕES!P1281="",NEGOCIAÇÕES!N1281&lt;TODAY()),NEGOCIAÇÕES!D1281,"")</f>
        <v/>
      </c>
      <c r="E1281" s="9" t="str">
        <f ca="1">IF(AND(NEGOCIAÇÕES!P1281="",NEGOCIAÇÕES!N1281&lt;TODAY()),NEGOCIAÇÕES!N1281,"")</f>
        <v/>
      </c>
    </row>
    <row r="1282" spans="2:5" ht="31.95" hidden="1" customHeight="1" x14ac:dyDescent="0.3">
      <c r="B1282" s="6" t="str">
        <f ca="1">IF(AND(NEGOCIAÇÕES!P1282="",NEGOCIAÇÕES!N1282&lt;TODAY()),NEGOCIAÇÕES!C1282,"")</f>
        <v/>
      </c>
      <c r="C1282" s="6" t="str">
        <f ca="1">IF(AND(NEGOCIAÇÕES!P1282="",NEGOCIAÇÕES!N1282&lt;TODAY()),NEGOCIAÇÕES!E1282,"")</f>
        <v/>
      </c>
      <c r="D1282" s="6" t="str">
        <f ca="1">IF(AND(NEGOCIAÇÕES!P1282="",NEGOCIAÇÕES!N1282&lt;TODAY()),NEGOCIAÇÕES!D1282,"")</f>
        <v/>
      </c>
      <c r="E1282" s="9" t="str">
        <f ca="1">IF(AND(NEGOCIAÇÕES!P1282="",NEGOCIAÇÕES!N1282&lt;TODAY()),NEGOCIAÇÕES!N1282,"")</f>
        <v/>
      </c>
    </row>
    <row r="1283" spans="2:5" ht="31.95" hidden="1" customHeight="1" x14ac:dyDescent="0.3">
      <c r="B1283" s="6" t="str">
        <f ca="1">IF(AND(NEGOCIAÇÕES!P1283="",NEGOCIAÇÕES!N1283&lt;TODAY()),NEGOCIAÇÕES!C1283,"")</f>
        <v/>
      </c>
      <c r="C1283" s="6" t="str">
        <f ca="1">IF(AND(NEGOCIAÇÕES!P1283="",NEGOCIAÇÕES!N1283&lt;TODAY()),NEGOCIAÇÕES!E1283,"")</f>
        <v/>
      </c>
      <c r="D1283" s="6" t="str">
        <f ca="1">IF(AND(NEGOCIAÇÕES!P1283="",NEGOCIAÇÕES!N1283&lt;TODAY()),NEGOCIAÇÕES!D1283,"")</f>
        <v/>
      </c>
      <c r="E1283" s="9" t="str">
        <f ca="1">IF(AND(NEGOCIAÇÕES!P1283="",NEGOCIAÇÕES!N1283&lt;TODAY()),NEGOCIAÇÕES!N1283,"")</f>
        <v/>
      </c>
    </row>
    <row r="1284" spans="2:5" ht="31.95" hidden="1" customHeight="1" x14ac:dyDescent="0.3">
      <c r="B1284" s="6" t="str">
        <f ca="1">IF(AND(NEGOCIAÇÕES!P1284="",NEGOCIAÇÕES!N1284&lt;TODAY()),NEGOCIAÇÕES!C1284,"")</f>
        <v/>
      </c>
      <c r="C1284" s="6" t="str">
        <f ca="1">IF(AND(NEGOCIAÇÕES!P1284="",NEGOCIAÇÕES!N1284&lt;TODAY()),NEGOCIAÇÕES!E1284,"")</f>
        <v/>
      </c>
      <c r="D1284" s="6" t="str">
        <f ca="1">IF(AND(NEGOCIAÇÕES!P1284="",NEGOCIAÇÕES!N1284&lt;TODAY()),NEGOCIAÇÕES!D1284,"")</f>
        <v/>
      </c>
      <c r="E1284" s="9" t="str">
        <f ca="1">IF(AND(NEGOCIAÇÕES!P1284="",NEGOCIAÇÕES!N1284&lt;TODAY()),NEGOCIAÇÕES!N1284,"")</f>
        <v/>
      </c>
    </row>
    <row r="1285" spans="2:5" ht="31.95" hidden="1" customHeight="1" x14ac:dyDescent="0.3">
      <c r="B1285" s="6" t="str">
        <f ca="1">IF(AND(NEGOCIAÇÕES!P1285="",NEGOCIAÇÕES!N1285&lt;TODAY()),NEGOCIAÇÕES!C1285,"")</f>
        <v/>
      </c>
      <c r="C1285" s="6" t="str">
        <f ca="1">IF(AND(NEGOCIAÇÕES!P1285="",NEGOCIAÇÕES!N1285&lt;TODAY()),NEGOCIAÇÕES!E1285,"")</f>
        <v/>
      </c>
      <c r="D1285" s="6" t="str">
        <f ca="1">IF(AND(NEGOCIAÇÕES!P1285="",NEGOCIAÇÕES!N1285&lt;TODAY()),NEGOCIAÇÕES!D1285,"")</f>
        <v/>
      </c>
      <c r="E1285" s="9" t="str">
        <f ca="1">IF(AND(NEGOCIAÇÕES!P1285="",NEGOCIAÇÕES!N1285&lt;TODAY()),NEGOCIAÇÕES!N1285,"")</f>
        <v/>
      </c>
    </row>
    <row r="1286" spans="2:5" ht="31.95" hidden="1" customHeight="1" x14ac:dyDescent="0.3">
      <c r="B1286" s="6" t="str">
        <f ca="1">IF(AND(NEGOCIAÇÕES!P1286="",NEGOCIAÇÕES!N1286&lt;TODAY()),NEGOCIAÇÕES!C1286,"")</f>
        <v/>
      </c>
      <c r="C1286" s="6" t="str">
        <f ca="1">IF(AND(NEGOCIAÇÕES!P1286="",NEGOCIAÇÕES!N1286&lt;TODAY()),NEGOCIAÇÕES!E1286,"")</f>
        <v/>
      </c>
      <c r="D1286" s="6" t="str">
        <f ca="1">IF(AND(NEGOCIAÇÕES!P1286="",NEGOCIAÇÕES!N1286&lt;TODAY()),NEGOCIAÇÕES!D1286,"")</f>
        <v/>
      </c>
      <c r="E1286" s="9" t="str">
        <f ca="1">IF(AND(NEGOCIAÇÕES!P1286="",NEGOCIAÇÕES!N1286&lt;TODAY()),NEGOCIAÇÕES!N1286,"")</f>
        <v/>
      </c>
    </row>
    <row r="1287" spans="2:5" ht="31.95" hidden="1" customHeight="1" x14ac:dyDescent="0.3">
      <c r="B1287" s="6" t="str">
        <f ca="1">IF(AND(NEGOCIAÇÕES!P1287="",NEGOCIAÇÕES!N1287&lt;TODAY()),NEGOCIAÇÕES!C1287,"")</f>
        <v/>
      </c>
      <c r="C1287" s="6" t="str">
        <f ca="1">IF(AND(NEGOCIAÇÕES!P1287="",NEGOCIAÇÕES!N1287&lt;TODAY()),NEGOCIAÇÕES!E1287,"")</f>
        <v/>
      </c>
      <c r="D1287" s="6" t="str">
        <f ca="1">IF(AND(NEGOCIAÇÕES!P1287="",NEGOCIAÇÕES!N1287&lt;TODAY()),NEGOCIAÇÕES!D1287,"")</f>
        <v/>
      </c>
      <c r="E1287" s="9" t="str">
        <f ca="1">IF(AND(NEGOCIAÇÕES!P1287="",NEGOCIAÇÕES!N1287&lt;TODAY()),NEGOCIAÇÕES!N1287,"")</f>
        <v/>
      </c>
    </row>
    <row r="1288" spans="2:5" ht="31.95" hidden="1" customHeight="1" x14ac:dyDescent="0.3">
      <c r="B1288" s="6" t="str">
        <f ca="1">IF(AND(NEGOCIAÇÕES!P1288="",NEGOCIAÇÕES!N1288&lt;TODAY()),NEGOCIAÇÕES!C1288,"")</f>
        <v/>
      </c>
      <c r="C1288" s="6" t="str">
        <f ca="1">IF(AND(NEGOCIAÇÕES!P1288="",NEGOCIAÇÕES!N1288&lt;TODAY()),NEGOCIAÇÕES!E1288,"")</f>
        <v/>
      </c>
      <c r="D1288" s="6" t="str">
        <f ca="1">IF(AND(NEGOCIAÇÕES!P1288="",NEGOCIAÇÕES!N1288&lt;TODAY()),NEGOCIAÇÕES!D1288,"")</f>
        <v/>
      </c>
      <c r="E1288" s="9" t="str">
        <f ca="1">IF(AND(NEGOCIAÇÕES!P1288="",NEGOCIAÇÕES!N1288&lt;TODAY()),NEGOCIAÇÕES!N1288,"")</f>
        <v/>
      </c>
    </row>
    <row r="1289" spans="2:5" ht="31.95" hidden="1" customHeight="1" x14ac:dyDescent="0.3">
      <c r="B1289" s="6" t="str">
        <f ca="1">IF(AND(NEGOCIAÇÕES!P1289="",NEGOCIAÇÕES!N1289&lt;TODAY()),NEGOCIAÇÕES!C1289,"")</f>
        <v/>
      </c>
      <c r="C1289" s="6" t="str">
        <f ca="1">IF(AND(NEGOCIAÇÕES!P1289="",NEGOCIAÇÕES!N1289&lt;TODAY()),NEGOCIAÇÕES!E1289,"")</f>
        <v/>
      </c>
      <c r="D1289" s="6" t="str">
        <f ca="1">IF(AND(NEGOCIAÇÕES!P1289="",NEGOCIAÇÕES!N1289&lt;TODAY()),NEGOCIAÇÕES!D1289,"")</f>
        <v/>
      </c>
      <c r="E1289" s="9" t="str">
        <f ca="1">IF(AND(NEGOCIAÇÕES!P1289="",NEGOCIAÇÕES!N1289&lt;TODAY()),NEGOCIAÇÕES!N1289,"")</f>
        <v/>
      </c>
    </row>
    <row r="1290" spans="2:5" ht="31.95" hidden="1" customHeight="1" x14ac:dyDescent="0.3">
      <c r="B1290" s="6" t="str">
        <f ca="1">IF(AND(NEGOCIAÇÕES!P1290="",NEGOCIAÇÕES!N1290&lt;TODAY()),NEGOCIAÇÕES!C1290,"")</f>
        <v/>
      </c>
      <c r="C1290" s="6" t="str">
        <f ca="1">IF(AND(NEGOCIAÇÕES!P1290="",NEGOCIAÇÕES!N1290&lt;TODAY()),NEGOCIAÇÕES!E1290,"")</f>
        <v/>
      </c>
      <c r="D1290" s="6" t="str">
        <f ca="1">IF(AND(NEGOCIAÇÕES!P1290="",NEGOCIAÇÕES!N1290&lt;TODAY()),NEGOCIAÇÕES!D1290,"")</f>
        <v/>
      </c>
      <c r="E1290" s="9" t="str">
        <f ca="1">IF(AND(NEGOCIAÇÕES!P1290="",NEGOCIAÇÕES!N1290&lt;TODAY()),NEGOCIAÇÕES!N1290,"")</f>
        <v/>
      </c>
    </row>
    <row r="1291" spans="2:5" ht="31.95" hidden="1" customHeight="1" x14ac:dyDescent="0.3">
      <c r="B1291" s="6" t="str">
        <f ca="1">IF(AND(NEGOCIAÇÕES!P1291="",NEGOCIAÇÕES!N1291&lt;TODAY()),NEGOCIAÇÕES!C1291,"")</f>
        <v/>
      </c>
      <c r="C1291" s="6" t="str">
        <f ca="1">IF(AND(NEGOCIAÇÕES!P1291="",NEGOCIAÇÕES!N1291&lt;TODAY()),NEGOCIAÇÕES!E1291,"")</f>
        <v/>
      </c>
      <c r="D1291" s="6" t="str">
        <f ca="1">IF(AND(NEGOCIAÇÕES!P1291="",NEGOCIAÇÕES!N1291&lt;TODAY()),NEGOCIAÇÕES!D1291,"")</f>
        <v/>
      </c>
      <c r="E1291" s="9" t="str">
        <f ca="1">IF(AND(NEGOCIAÇÕES!P1291="",NEGOCIAÇÕES!N1291&lt;TODAY()),NEGOCIAÇÕES!N1291,"")</f>
        <v/>
      </c>
    </row>
    <row r="1292" spans="2:5" ht="31.95" hidden="1" customHeight="1" x14ac:dyDescent="0.3">
      <c r="B1292" s="6" t="str">
        <f ca="1">IF(AND(NEGOCIAÇÕES!P1292="",NEGOCIAÇÕES!N1292&lt;TODAY()),NEGOCIAÇÕES!C1292,"")</f>
        <v/>
      </c>
      <c r="C1292" s="6" t="str">
        <f ca="1">IF(AND(NEGOCIAÇÕES!P1292="",NEGOCIAÇÕES!N1292&lt;TODAY()),NEGOCIAÇÕES!E1292,"")</f>
        <v/>
      </c>
      <c r="D1292" s="6" t="str">
        <f ca="1">IF(AND(NEGOCIAÇÕES!P1292="",NEGOCIAÇÕES!N1292&lt;TODAY()),NEGOCIAÇÕES!D1292,"")</f>
        <v/>
      </c>
      <c r="E1292" s="9" t="str">
        <f ca="1">IF(AND(NEGOCIAÇÕES!P1292="",NEGOCIAÇÕES!N1292&lt;TODAY()),NEGOCIAÇÕES!N1292,"")</f>
        <v/>
      </c>
    </row>
    <row r="1293" spans="2:5" ht="31.95" hidden="1" customHeight="1" x14ac:dyDescent="0.3">
      <c r="B1293" s="6" t="str">
        <f ca="1">IF(AND(NEGOCIAÇÕES!P1293="",NEGOCIAÇÕES!N1293&lt;TODAY()),NEGOCIAÇÕES!C1293,"")</f>
        <v/>
      </c>
      <c r="C1293" s="6" t="str">
        <f ca="1">IF(AND(NEGOCIAÇÕES!P1293="",NEGOCIAÇÕES!N1293&lt;TODAY()),NEGOCIAÇÕES!E1293,"")</f>
        <v/>
      </c>
      <c r="D1293" s="6" t="str">
        <f ca="1">IF(AND(NEGOCIAÇÕES!P1293="",NEGOCIAÇÕES!N1293&lt;TODAY()),NEGOCIAÇÕES!D1293,"")</f>
        <v/>
      </c>
      <c r="E1293" s="9" t="str">
        <f ca="1">IF(AND(NEGOCIAÇÕES!P1293="",NEGOCIAÇÕES!N1293&lt;TODAY()),NEGOCIAÇÕES!N1293,"")</f>
        <v/>
      </c>
    </row>
    <row r="1294" spans="2:5" ht="31.95" hidden="1" customHeight="1" x14ac:dyDescent="0.3">
      <c r="B1294" s="6" t="str">
        <f ca="1">IF(AND(NEGOCIAÇÕES!P1294="",NEGOCIAÇÕES!N1294&lt;TODAY()),NEGOCIAÇÕES!C1294,"")</f>
        <v/>
      </c>
      <c r="C1294" s="6" t="str">
        <f ca="1">IF(AND(NEGOCIAÇÕES!P1294="",NEGOCIAÇÕES!N1294&lt;TODAY()),NEGOCIAÇÕES!E1294,"")</f>
        <v/>
      </c>
      <c r="D1294" s="6" t="str">
        <f ca="1">IF(AND(NEGOCIAÇÕES!P1294="",NEGOCIAÇÕES!N1294&lt;TODAY()),NEGOCIAÇÕES!D1294,"")</f>
        <v/>
      </c>
      <c r="E1294" s="9" t="str">
        <f ca="1">IF(AND(NEGOCIAÇÕES!P1294="",NEGOCIAÇÕES!N1294&lt;TODAY()),NEGOCIAÇÕES!N1294,"")</f>
        <v/>
      </c>
    </row>
    <row r="1295" spans="2:5" ht="31.95" hidden="1" customHeight="1" x14ac:dyDescent="0.3">
      <c r="B1295" s="6" t="str">
        <f ca="1">IF(AND(NEGOCIAÇÕES!P1295="",NEGOCIAÇÕES!N1295&lt;TODAY()),NEGOCIAÇÕES!C1295,"")</f>
        <v/>
      </c>
      <c r="C1295" s="6" t="str">
        <f ca="1">IF(AND(NEGOCIAÇÕES!P1295="",NEGOCIAÇÕES!N1295&lt;TODAY()),NEGOCIAÇÕES!E1295,"")</f>
        <v/>
      </c>
      <c r="D1295" s="6" t="str">
        <f ca="1">IF(AND(NEGOCIAÇÕES!P1295="",NEGOCIAÇÕES!N1295&lt;TODAY()),NEGOCIAÇÕES!D1295,"")</f>
        <v/>
      </c>
      <c r="E1295" s="9" t="str">
        <f ca="1">IF(AND(NEGOCIAÇÕES!P1295="",NEGOCIAÇÕES!N1295&lt;TODAY()),NEGOCIAÇÕES!N1295,"")</f>
        <v/>
      </c>
    </row>
    <row r="1296" spans="2:5" ht="31.95" hidden="1" customHeight="1" x14ac:dyDescent="0.3">
      <c r="B1296" s="6" t="str">
        <f ca="1">IF(AND(NEGOCIAÇÕES!P1296="",NEGOCIAÇÕES!N1296&lt;TODAY()),NEGOCIAÇÕES!C1296,"")</f>
        <v/>
      </c>
      <c r="C1296" s="6" t="str">
        <f ca="1">IF(AND(NEGOCIAÇÕES!P1296="",NEGOCIAÇÕES!N1296&lt;TODAY()),NEGOCIAÇÕES!E1296,"")</f>
        <v/>
      </c>
      <c r="D1296" s="6" t="str">
        <f ca="1">IF(AND(NEGOCIAÇÕES!P1296="",NEGOCIAÇÕES!N1296&lt;TODAY()),NEGOCIAÇÕES!D1296,"")</f>
        <v/>
      </c>
      <c r="E1296" s="9" t="str">
        <f ca="1">IF(AND(NEGOCIAÇÕES!P1296="",NEGOCIAÇÕES!N1296&lt;TODAY()),NEGOCIAÇÕES!N1296,"")</f>
        <v/>
      </c>
    </row>
    <row r="1297" spans="2:5" ht="31.95" hidden="1" customHeight="1" x14ac:dyDescent="0.3">
      <c r="B1297" s="6" t="str">
        <f ca="1">IF(AND(NEGOCIAÇÕES!P1297="",NEGOCIAÇÕES!N1297&lt;TODAY()),NEGOCIAÇÕES!C1297,"")</f>
        <v/>
      </c>
      <c r="C1297" s="6" t="str">
        <f ca="1">IF(AND(NEGOCIAÇÕES!P1297="",NEGOCIAÇÕES!N1297&lt;TODAY()),NEGOCIAÇÕES!E1297,"")</f>
        <v/>
      </c>
      <c r="D1297" s="6" t="str">
        <f ca="1">IF(AND(NEGOCIAÇÕES!P1297="",NEGOCIAÇÕES!N1297&lt;TODAY()),NEGOCIAÇÕES!D1297,"")</f>
        <v/>
      </c>
      <c r="E1297" s="9" t="str">
        <f ca="1">IF(AND(NEGOCIAÇÕES!P1297="",NEGOCIAÇÕES!N1297&lt;TODAY()),NEGOCIAÇÕES!N1297,"")</f>
        <v/>
      </c>
    </row>
    <row r="1298" spans="2:5" ht="31.95" hidden="1" customHeight="1" x14ac:dyDescent="0.3">
      <c r="B1298" s="6" t="str">
        <f ca="1">IF(AND(NEGOCIAÇÕES!P1298="",NEGOCIAÇÕES!N1298&lt;TODAY()),NEGOCIAÇÕES!C1298,"")</f>
        <v/>
      </c>
      <c r="C1298" s="6" t="str">
        <f ca="1">IF(AND(NEGOCIAÇÕES!P1298="",NEGOCIAÇÕES!N1298&lt;TODAY()),NEGOCIAÇÕES!E1298,"")</f>
        <v/>
      </c>
      <c r="D1298" s="6" t="str">
        <f ca="1">IF(AND(NEGOCIAÇÕES!P1298="",NEGOCIAÇÕES!N1298&lt;TODAY()),NEGOCIAÇÕES!D1298,"")</f>
        <v/>
      </c>
      <c r="E1298" s="9" t="str">
        <f ca="1">IF(AND(NEGOCIAÇÕES!P1298="",NEGOCIAÇÕES!N1298&lt;TODAY()),NEGOCIAÇÕES!N1298,"")</f>
        <v/>
      </c>
    </row>
    <row r="1299" spans="2:5" ht="31.95" hidden="1" customHeight="1" x14ac:dyDescent="0.3">
      <c r="B1299" s="6" t="str">
        <f ca="1">IF(AND(NEGOCIAÇÕES!P1299="",NEGOCIAÇÕES!N1299&lt;TODAY()),NEGOCIAÇÕES!C1299,"")</f>
        <v/>
      </c>
      <c r="C1299" s="6" t="str">
        <f ca="1">IF(AND(NEGOCIAÇÕES!P1299="",NEGOCIAÇÕES!N1299&lt;TODAY()),NEGOCIAÇÕES!E1299,"")</f>
        <v/>
      </c>
      <c r="D1299" s="6" t="str">
        <f ca="1">IF(AND(NEGOCIAÇÕES!P1299="",NEGOCIAÇÕES!N1299&lt;TODAY()),NEGOCIAÇÕES!D1299,"")</f>
        <v/>
      </c>
      <c r="E1299" s="9" t="str">
        <f ca="1">IF(AND(NEGOCIAÇÕES!P1299="",NEGOCIAÇÕES!N1299&lt;TODAY()),NEGOCIAÇÕES!N1299,"")</f>
        <v/>
      </c>
    </row>
    <row r="1300" spans="2:5" ht="31.95" hidden="1" customHeight="1" x14ac:dyDescent="0.3">
      <c r="B1300" s="6" t="str">
        <f ca="1">IF(AND(NEGOCIAÇÕES!P1300="",NEGOCIAÇÕES!N1300&lt;TODAY()),NEGOCIAÇÕES!C1300,"")</f>
        <v/>
      </c>
      <c r="C1300" s="6" t="str">
        <f ca="1">IF(AND(NEGOCIAÇÕES!P1300="",NEGOCIAÇÕES!N1300&lt;TODAY()),NEGOCIAÇÕES!E1300,"")</f>
        <v/>
      </c>
      <c r="D1300" s="6" t="str">
        <f ca="1">IF(AND(NEGOCIAÇÕES!P1300="",NEGOCIAÇÕES!N1300&lt;TODAY()),NEGOCIAÇÕES!D1300,"")</f>
        <v/>
      </c>
      <c r="E1300" s="9" t="str">
        <f ca="1">IF(AND(NEGOCIAÇÕES!P1300="",NEGOCIAÇÕES!N1300&lt;TODAY()),NEGOCIAÇÕES!N1300,"")</f>
        <v/>
      </c>
    </row>
    <row r="1301" spans="2:5" ht="31.95" hidden="1" customHeight="1" x14ac:dyDescent="0.3">
      <c r="B1301" s="6" t="str">
        <f ca="1">IF(AND(NEGOCIAÇÕES!P1301="",NEGOCIAÇÕES!N1301&lt;TODAY()),NEGOCIAÇÕES!C1301,"")</f>
        <v/>
      </c>
      <c r="C1301" s="6" t="str">
        <f ca="1">IF(AND(NEGOCIAÇÕES!P1301="",NEGOCIAÇÕES!N1301&lt;TODAY()),NEGOCIAÇÕES!E1301,"")</f>
        <v/>
      </c>
      <c r="D1301" s="6" t="str">
        <f ca="1">IF(AND(NEGOCIAÇÕES!P1301="",NEGOCIAÇÕES!N1301&lt;TODAY()),NEGOCIAÇÕES!D1301,"")</f>
        <v/>
      </c>
      <c r="E1301" s="9" t="str">
        <f ca="1">IF(AND(NEGOCIAÇÕES!P1301="",NEGOCIAÇÕES!N1301&lt;TODAY()),NEGOCIAÇÕES!N1301,"")</f>
        <v/>
      </c>
    </row>
    <row r="1302" spans="2:5" ht="31.95" hidden="1" customHeight="1" x14ac:dyDescent="0.3">
      <c r="B1302" s="6" t="str">
        <f ca="1">IF(AND(NEGOCIAÇÕES!P1302="",NEGOCIAÇÕES!N1302&lt;TODAY()),NEGOCIAÇÕES!C1302,"")</f>
        <v/>
      </c>
      <c r="C1302" s="6" t="str">
        <f ca="1">IF(AND(NEGOCIAÇÕES!P1302="",NEGOCIAÇÕES!N1302&lt;TODAY()),NEGOCIAÇÕES!E1302,"")</f>
        <v/>
      </c>
      <c r="D1302" s="6" t="str">
        <f ca="1">IF(AND(NEGOCIAÇÕES!P1302="",NEGOCIAÇÕES!N1302&lt;TODAY()),NEGOCIAÇÕES!D1302,"")</f>
        <v/>
      </c>
      <c r="E1302" s="9" t="str">
        <f ca="1">IF(AND(NEGOCIAÇÕES!P1302="",NEGOCIAÇÕES!N1302&lt;TODAY()),NEGOCIAÇÕES!N1302,"")</f>
        <v/>
      </c>
    </row>
    <row r="1303" spans="2:5" ht="31.95" hidden="1" customHeight="1" x14ac:dyDescent="0.3">
      <c r="B1303" s="6" t="str">
        <f ca="1">IF(AND(NEGOCIAÇÕES!P1303="",NEGOCIAÇÕES!N1303&lt;TODAY()),NEGOCIAÇÕES!C1303,"")</f>
        <v/>
      </c>
      <c r="C1303" s="6" t="str">
        <f ca="1">IF(AND(NEGOCIAÇÕES!P1303="",NEGOCIAÇÕES!N1303&lt;TODAY()),NEGOCIAÇÕES!E1303,"")</f>
        <v/>
      </c>
      <c r="D1303" s="6" t="str">
        <f ca="1">IF(AND(NEGOCIAÇÕES!P1303="",NEGOCIAÇÕES!N1303&lt;TODAY()),NEGOCIAÇÕES!D1303,"")</f>
        <v/>
      </c>
      <c r="E1303" s="9" t="str">
        <f ca="1">IF(AND(NEGOCIAÇÕES!P1303="",NEGOCIAÇÕES!N1303&lt;TODAY()),NEGOCIAÇÕES!N1303,"")</f>
        <v/>
      </c>
    </row>
    <row r="1304" spans="2:5" ht="31.95" hidden="1" customHeight="1" x14ac:dyDescent="0.3">
      <c r="B1304" s="6" t="str">
        <f ca="1">IF(AND(NEGOCIAÇÕES!P1304="",NEGOCIAÇÕES!N1304&lt;TODAY()),NEGOCIAÇÕES!C1304,"")</f>
        <v/>
      </c>
      <c r="C1304" s="6" t="str">
        <f ca="1">IF(AND(NEGOCIAÇÕES!P1304="",NEGOCIAÇÕES!N1304&lt;TODAY()),NEGOCIAÇÕES!E1304,"")</f>
        <v/>
      </c>
      <c r="D1304" s="6" t="str">
        <f ca="1">IF(AND(NEGOCIAÇÕES!P1304="",NEGOCIAÇÕES!N1304&lt;TODAY()),NEGOCIAÇÕES!D1304,"")</f>
        <v/>
      </c>
      <c r="E1304" s="9" t="str">
        <f ca="1">IF(AND(NEGOCIAÇÕES!P1304="",NEGOCIAÇÕES!N1304&lt;TODAY()),NEGOCIAÇÕES!N1304,"")</f>
        <v/>
      </c>
    </row>
    <row r="1305" spans="2:5" ht="31.95" hidden="1" customHeight="1" x14ac:dyDescent="0.3">
      <c r="B1305" s="6" t="str">
        <f ca="1">IF(AND(NEGOCIAÇÕES!P1305="",NEGOCIAÇÕES!N1305&lt;TODAY()),NEGOCIAÇÕES!C1305,"")</f>
        <v/>
      </c>
      <c r="C1305" s="6" t="str">
        <f ca="1">IF(AND(NEGOCIAÇÕES!P1305="",NEGOCIAÇÕES!N1305&lt;TODAY()),NEGOCIAÇÕES!E1305,"")</f>
        <v/>
      </c>
      <c r="D1305" s="6" t="str">
        <f ca="1">IF(AND(NEGOCIAÇÕES!P1305="",NEGOCIAÇÕES!N1305&lt;TODAY()),NEGOCIAÇÕES!D1305,"")</f>
        <v/>
      </c>
      <c r="E1305" s="9" t="str">
        <f ca="1">IF(AND(NEGOCIAÇÕES!P1305="",NEGOCIAÇÕES!N1305&lt;TODAY()),NEGOCIAÇÕES!N1305,"")</f>
        <v/>
      </c>
    </row>
    <row r="1306" spans="2:5" ht="31.95" hidden="1" customHeight="1" x14ac:dyDescent="0.3">
      <c r="B1306" s="6" t="str">
        <f ca="1">IF(AND(NEGOCIAÇÕES!P1306="",NEGOCIAÇÕES!N1306&lt;TODAY()),NEGOCIAÇÕES!C1306,"")</f>
        <v/>
      </c>
      <c r="C1306" s="6" t="str">
        <f ca="1">IF(AND(NEGOCIAÇÕES!P1306="",NEGOCIAÇÕES!N1306&lt;TODAY()),NEGOCIAÇÕES!E1306,"")</f>
        <v/>
      </c>
      <c r="D1306" s="6" t="str">
        <f ca="1">IF(AND(NEGOCIAÇÕES!P1306="",NEGOCIAÇÕES!N1306&lt;TODAY()),NEGOCIAÇÕES!D1306,"")</f>
        <v/>
      </c>
      <c r="E1306" s="9" t="str">
        <f ca="1">IF(AND(NEGOCIAÇÕES!P1306="",NEGOCIAÇÕES!N1306&lt;TODAY()),NEGOCIAÇÕES!N1306,"")</f>
        <v/>
      </c>
    </row>
    <row r="1307" spans="2:5" ht="31.95" hidden="1" customHeight="1" x14ac:dyDescent="0.3">
      <c r="B1307" s="6" t="str">
        <f ca="1">IF(AND(NEGOCIAÇÕES!P1307="",NEGOCIAÇÕES!N1307&lt;TODAY()),NEGOCIAÇÕES!C1307,"")</f>
        <v/>
      </c>
      <c r="C1307" s="6" t="str">
        <f ca="1">IF(AND(NEGOCIAÇÕES!P1307="",NEGOCIAÇÕES!N1307&lt;TODAY()),NEGOCIAÇÕES!E1307,"")</f>
        <v/>
      </c>
      <c r="D1307" s="6" t="str">
        <f ca="1">IF(AND(NEGOCIAÇÕES!P1307="",NEGOCIAÇÕES!N1307&lt;TODAY()),NEGOCIAÇÕES!D1307,"")</f>
        <v/>
      </c>
      <c r="E1307" s="9" t="str">
        <f ca="1">IF(AND(NEGOCIAÇÕES!P1307="",NEGOCIAÇÕES!N1307&lt;TODAY()),NEGOCIAÇÕES!N1307,"")</f>
        <v/>
      </c>
    </row>
    <row r="1308" spans="2:5" ht="31.95" hidden="1" customHeight="1" x14ac:dyDescent="0.3">
      <c r="B1308" s="6" t="str">
        <f ca="1">IF(AND(NEGOCIAÇÕES!P1308="",NEGOCIAÇÕES!N1308&lt;TODAY()),NEGOCIAÇÕES!C1308,"")</f>
        <v/>
      </c>
      <c r="C1308" s="6" t="str">
        <f ca="1">IF(AND(NEGOCIAÇÕES!P1308="",NEGOCIAÇÕES!N1308&lt;TODAY()),NEGOCIAÇÕES!E1308,"")</f>
        <v/>
      </c>
      <c r="D1308" s="6" t="str">
        <f ca="1">IF(AND(NEGOCIAÇÕES!P1308="",NEGOCIAÇÕES!N1308&lt;TODAY()),NEGOCIAÇÕES!D1308,"")</f>
        <v/>
      </c>
      <c r="E1308" s="9" t="str">
        <f ca="1">IF(AND(NEGOCIAÇÕES!P1308="",NEGOCIAÇÕES!N1308&lt;TODAY()),NEGOCIAÇÕES!N1308,"")</f>
        <v/>
      </c>
    </row>
    <row r="1309" spans="2:5" ht="31.95" hidden="1" customHeight="1" x14ac:dyDescent="0.3">
      <c r="B1309" s="6" t="str">
        <f ca="1">IF(AND(NEGOCIAÇÕES!P1309="",NEGOCIAÇÕES!N1309&lt;TODAY()),NEGOCIAÇÕES!C1309,"")</f>
        <v/>
      </c>
      <c r="C1309" s="6" t="str">
        <f ca="1">IF(AND(NEGOCIAÇÕES!P1309="",NEGOCIAÇÕES!N1309&lt;TODAY()),NEGOCIAÇÕES!E1309,"")</f>
        <v/>
      </c>
      <c r="D1309" s="6" t="str">
        <f ca="1">IF(AND(NEGOCIAÇÕES!P1309="",NEGOCIAÇÕES!N1309&lt;TODAY()),NEGOCIAÇÕES!D1309,"")</f>
        <v/>
      </c>
      <c r="E1309" s="9" t="str">
        <f ca="1">IF(AND(NEGOCIAÇÕES!P1309="",NEGOCIAÇÕES!N1309&lt;TODAY()),NEGOCIAÇÕES!N1309,"")</f>
        <v/>
      </c>
    </row>
    <row r="1310" spans="2:5" ht="31.95" hidden="1" customHeight="1" x14ac:dyDescent="0.3">
      <c r="B1310" s="6" t="str">
        <f ca="1">IF(AND(NEGOCIAÇÕES!P1310="",NEGOCIAÇÕES!N1310&lt;TODAY()),NEGOCIAÇÕES!C1310,"")</f>
        <v/>
      </c>
      <c r="C1310" s="6" t="str">
        <f ca="1">IF(AND(NEGOCIAÇÕES!P1310="",NEGOCIAÇÕES!N1310&lt;TODAY()),NEGOCIAÇÕES!E1310,"")</f>
        <v/>
      </c>
      <c r="D1310" s="6" t="str">
        <f ca="1">IF(AND(NEGOCIAÇÕES!P1310="",NEGOCIAÇÕES!N1310&lt;TODAY()),NEGOCIAÇÕES!D1310,"")</f>
        <v/>
      </c>
      <c r="E1310" s="9" t="str">
        <f ca="1">IF(AND(NEGOCIAÇÕES!P1310="",NEGOCIAÇÕES!N1310&lt;TODAY()),NEGOCIAÇÕES!N1310,"")</f>
        <v/>
      </c>
    </row>
    <row r="1311" spans="2:5" ht="31.95" hidden="1" customHeight="1" x14ac:dyDescent="0.3">
      <c r="B1311" s="6" t="str">
        <f ca="1">IF(AND(NEGOCIAÇÕES!P1311="",NEGOCIAÇÕES!N1311&lt;TODAY()),NEGOCIAÇÕES!C1311,"")</f>
        <v/>
      </c>
      <c r="C1311" s="6" t="str">
        <f ca="1">IF(AND(NEGOCIAÇÕES!P1311="",NEGOCIAÇÕES!N1311&lt;TODAY()),NEGOCIAÇÕES!E1311,"")</f>
        <v/>
      </c>
      <c r="D1311" s="6" t="str">
        <f ca="1">IF(AND(NEGOCIAÇÕES!P1311="",NEGOCIAÇÕES!N1311&lt;TODAY()),NEGOCIAÇÕES!D1311,"")</f>
        <v/>
      </c>
      <c r="E1311" s="9" t="str">
        <f ca="1">IF(AND(NEGOCIAÇÕES!P1311="",NEGOCIAÇÕES!N1311&lt;TODAY()),NEGOCIAÇÕES!N1311,"")</f>
        <v/>
      </c>
    </row>
    <row r="1312" spans="2:5" ht="31.95" hidden="1" customHeight="1" x14ac:dyDescent="0.3">
      <c r="B1312" s="6" t="str">
        <f ca="1">IF(AND(NEGOCIAÇÕES!P1312="",NEGOCIAÇÕES!N1312&lt;TODAY()),NEGOCIAÇÕES!C1312,"")</f>
        <v/>
      </c>
      <c r="C1312" s="6" t="str">
        <f ca="1">IF(AND(NEGOCIAÇÕES!P1312="",NEGOCIAÇÕES!N1312&lt;TODAY()),NEGOCIAÇÕES!E1312,"")</f>
        <v/>
      </c>
      <c r="D1312" s="6" t="str">
        <f ca="1">IF(AND(NEGOCIAÇÕES!P1312="",NEGOCIAÇÕES!N1312&lt;TODAY()),NEGOCIAÇÕES!D1312,"")</f>
        <v/>
      </c>
      <c r="E1312" s="9" t="str">
        <f ca="1">IF(AND(NEGOCIAÇÕES!P1312="",NEGOCIAÇÕES!N1312&lt;TODAY()),NEGOCIAÇÕES!N1312,"")</f>
        <v/>
      </c>
    </row>
    <row r="1313" spans="2:5" ht="31.95" hidden="1" customHeight="1" x14ac:dyDescent="0.3">
      <c r="B1313" s="6" t="str">
        <f ca="1">IF(AND(NEGOCIAÇÕES!P1313="",NEGOCIAÇÕES!N1313&lt;TODAY()),NEGOCIAÇÕES!C1313,"")</f>
        <v/>
      </c>
      <c r="C1313" s="6" t="str">
        <f ca="1">IF(AND(NEGOCIAÇÕES!P1313="",NEGOCIAÇÕES!N1313&lt;TODAY()),NEGOCIAÇÕES!E1313,"")</f>
        <v/>
      </c>
      <c r="D1313" s="6" t="str">
        <f ca="1">IF(AND(NEGOCIAÇÕES!P1313="",NEGOCIAÇÕES!N1313&lt;TODAY()),NEGOCIAÇÕES!D1313,"")</f>
        <v/>
      </c>
      <c r="E1313" s="9" t="str">
        <f ca="1">IF(AND(NEGOCIAÇÕES!P1313="",NEGOCIAÇÕES!N1313&lt;TODAY()),NEGOCIAÇÕES!N1313,"")</f>
        <v/>
      </c>
    </row>
    <row r="1314" spans="2:5" ht="31.95" hidden="1" customHeight="1" x14ac:dyDescent="0.3">
      <c r="B1314" s="6" t="str">
        <f ca="1">IF(AND(NEGOCIAÇÕES!P1314="",NEGOCIAÇÕES!N1314&lt;TODAY()),NEGOCIAÇÕES!C1314,"")</f>
        <v/>
      </c>
      <c r="C1314" s="6" t="str">
        <f ca="1">IF(AND(NEGOCIAÇÕES!P1314="",NEGOCIAÇÕES!N1314&lt;TODAY()),NEGOCIAÇÕES!E1314,"")</f>
        <v/>
      </c>
      <c r="D1314" s="6" t="str">
        <f ca="1">IF(AND(NEGOCIAÇÕES!P1314="",NEGOCIAÇÕES!N1314&lt;TODAY()),NEGOCIAÇÕES!D1314,"")</f>
        <v/>
      </c>
      <c r="E1314" s="9" t="str">
        <f ca="1">IF(AND(NEGOCIAÇÕES!P1314="",NEGOCIAÇÕES!N1314&lt;TODAY()),NEGOCIAÇÕES!N1314,"")</f>
        <v/>
      </c>
    </row>
    <row r="1315" spans="2:5" ht="31.95" hidden="1" customHeight="1" x14ac:dyDescent="0.3">
      <c r="B1315" s="6" t="str">
        <f ca="1">IF(AND(NEGOCIAÇÕES!P1315="",NEGOCIAÇÕES!N1315&lt;TODAY()),NEGOCIAÇÕES!C1315,"")</f>
        <v/>
      </c>
      <c r="C1315" s="6" t="str">
        <f ca="1">IF(AND(NEGOCIAÇÕES!P1315="",NEGOCIAÇÕES!N1315&lt;TODAY()),NEGOCIAÇÕES!E1315,"")</f>
        <v/>
      </c>
      <c r="D1315" s="6" t="str">
        <f ca="1">IF(AND(NEGOCIAÇÕES!P1315="",NEGOCIAÇÕES!N1315&lt;TODAY()),NEGOCIAÇÕES!D1315,"")</f>
        <v/>
      </c>
      <c r="E1315" s="9" t="str">
        <f ca="1">IF(AND(NEGOCIAÇÕES!P1315="",NEGOCIAÇÕES!N1315&lt;TODAY()),NEGOCIAÇÕES!N1315,"")</f>
        <v/>
      </c>
    </row>
    <row r="1316" spans="2:5" ht="31.95" hidden="1" customHeight="1" x14ac:dyDescent="0.3">
      <c r="B1316" s="6" t="str">
        <f ca="1">IF(AND(NEGOCIAÇÕES!P1316="",NEGOCIAÇÕES!N1316&lt;TODAY()),NEGOCIAÇÕES!C1316,"")</f>
        <v/>
      </c>
      <c r="C1316" s="6" t="str">
        <f ca="1">IF(AND(NEGOCIAÇÕES!P1316="",NEGOCIAÇÕES!N1316&lt;TODAY()),NEGOCIAÇÕES!E1316,"")</f>
        <v/>
      </c>
      <c r="D1316" s="6" t="str">
        <f ca="1">IF(AND(NEGOCIAÇÕES!P1316="",NEGOCIAÇÕES!N1316&lt;TODAY()),NEGOCIAÇÕES!D1316,"")</f>
        <v/>
      </c>
      <c r="E1316" s="9" t="str">
        <f ca="1">IF(AND(NEGOCIAÇÕES!P1316="",NEGOCIAÇÕES!N1316&lt;TODAY()),NEGOCIAÇÕES!N1316,"")</f>
        <v/>
      </c>
    </row>
    <row r="1317" spans="2:5" ht="31.95" hidden="1" customHeight="1" x14ac:dyDescent="0.3">
      <c r="B1317" s="6" t="str">
        <f ca="1">IF(AND(NEGOCIAÇÕES!P1317="",NEGOCIAÇÕES!N1317&lt;TODAY()),NEGOCIAÇÕES!C1317,"")</f>
        <v/>
      </c>
      <c r="C1317" s="6" t="str">
        <f ca="1">IF(AND(NEGOCIAÇÕES!P1317="",NEGOCIAÇÕES!N1317&lt;TODAY()),NEGOCIAÇÕES!E1317,"")</f>
        <v/>
      </c>
      <c r="D1317" s="6" t="str">
        <f ca="1">IF(AND(NEGOCIAÇÕES!P1317="",NEGOCIAÇÕES!N1317&lt;TODAY()),NEGOCIAÇÕES!D1317,"")</f>
        <v/>
      </c>
      <c r="E1317" s="9" t="str">
        <f ca="1">IF(AND(NEGOCIAÇÕES!P1317="",NEGOCIAÇÕES!N1317&lt;TODAY()),NEGOCIAÇÕES!N1317,"")</f>
        <v/>
      </c>
    </row>
    <row r="1318" spans="2:5" ht="31.95" hidden="1" customHeight="1" x14ac:dyDescent="0.3">
      <c r="B1318" s="6" t="str">
        <f ca="1">IF(AND(NEGOCIAÇÕES!P1318="",NEGOCIAÇÕES!N1318&lt;TODAY()),NEGOCIAÇÕES!C1318,"")</f>
        <v/>
      </c>
      <c r="C1318" s="6" t="str">
        <f ca="1">IF(AND(NEGOCIAÇÕES!P1318="",NEGOCIAÇÕES!N1318&lt;TODAY()),NEGOCIAÇÕES!E1318,"")</f>
        <v/>
      </c>
      <c r="D1318" s="6" t="str">
        <f ca="1">IF(AND(NEGOCIAÇÕES!P1318="",NEGOCIAÇÕES!N1318&lt;TODAY()),NEGOCIAÇÕES!D1318,"")</f>
        <v/>
      </c>
      <c r="E1318" s="9" t="str">
        <f ca="1">IF(AND(NEGOCIAÇÕES!P1318="",NEGOCIAÇÕES!N1318&lt;TODAY()),NEGOCIAÇÕES!N1318,"")</f>
        <v/>
      </c>
    </row>
    <row r="1319" spans="2:5" ht="31.95" hidden="1" customHeight="1" x14ac:dyDescent="0.3">
      <c r="B1319" s="6" t="str">
        <f ca="1">IF(AND(NEGOCIAÇÕES!P1319="",NEGOCIAÇÕES!N1319&lt;TODAY()),NEGOCIAÇÕES!C1319,"")</f>
        <v/>
      </c>
      <c r="C1319" s="6" t="str">
        <f ca="1">IF(AND(NEGOCIAÇÕES!P1319="",NEGOCIAÇÕES!N1319&lt;TODAY()),NEGOCIAÇÕES!E1319,"")</f>
        <v/>
      </c>
      <c r="D1319" s="6" t="str">
        <f ca="1">IF(AND(NEGOCIAÇÕES!P1319="",NEGOCIAÇÕES!N1319&lt;TODAY()),NEGOCIAÇÕES!D1319,"")</f>
        <v/>
      </c>
      <c r="E1319" s="9" t="str">
        <f ca="1">IF(AND(NEGOCIAÇÕES!P1319="",NEGOCIAÇÕES!N1319&lt;TODAY()),NEGOCIAÇÕES!N1319,"")</f>
        <v/>
      </c>
    </row>
    <row r="1320" spans="2:5" ht="31.95" hidden="1" customHeight="1" x14ac:dyDescent="0.3">
      <c r="B1320" s="6" t="str">
        <f ca="1">IF(AND(NEGOCIAÇÕES!P1320="",NEGOCIAÇÕES!N1320&lt;TODAY()),NEGOCIAÇÕES!C1320,"")</f>
        <v/>
      </c>
      <c r="C1320" s="6" t="str">
        <f ca="1">IF(AND(NEGOCIAÇÕES!P1320="",NEGOCIAÇÕES!N1320&lt;TODAY()),NEGOCIAÇÕES!E1320,"")</f>
        <v/>
      </c>
      <c r="D1320" s="6" t="str">
        <f ca="1">IF(AND(NEGOCIAÇÕES!P1320="",NEGOCIAÇÕES!N1320&lt;TODAY()),NEGOCIAÇÕES!D1320,"")</f>
        <v/>
      </c>
      <c r="E1320" s="9" t="str">
        <f ca="1">IF(AND(NEGOCIAÇÕES!P1320="",NEGOCIAÇÕES!N1320&lt;TODAY()),NEGOCIAÇÕES!N1320,"")</f>
        <v/>
      </c>
    </row>
    <row r="1321" spans="2:5" ht="31.95" hidden="1" customHeight="1" x14ac:dyDescent="0.3">
      <c r="B1321" s="6" t="str">
        <f ca="1">IF(AND(NEGOCIAÇÕES!P1321="",NEGOCIAÇÕES!N1321&lt;TODAY()),NEGOCIAÇÕES!C1321,"")</f>
        <v/>
      </c>
      <c r="C1321" s="6" t="str">
        <f ca="1">IF(AND(NEGOCIAÇÕES!P1321="",NEGOCIAÇÕES!N1321&lt;TODAY()),NEGOCIAÇÕES!E1321,"")</f>
        <v/>
      </c>
      <c r="D1321" s="6" t="str">
        <f ca="1">IF(AND(NEGOCIAÇÕES!P1321="",NEGOCIAÇÕES!N1321&lt;TODAY()),NEGOCIAÇÕES!D1321,"")</f>
        <v/>
      </c>
      <c r="E1321" s="9" t="str">
        <f ca="1">IF(AND(NEGOCIAÇÕES!P1321="",NEGOCIAÇÕES!N1321&lt;TODAY()),NEGOCIAÇÕES!N1321,"")</f>
        <v/>
      </c>
    </row>
    <row r="1322" spans="2:5" ht="31.95" hidden="1" customHeight="1" x14ac:dyDescent="0.3">
      <c r="B1322" s="6" t="str">
        <f ca="1">IF(AND(NEGOCIAÇÕES!P1322="",NEGOCIAÇÕES!N1322&lt;TODAY()),NEGOCIAÇÕES!C1322,"")</f>
        <v/>
      </c>
      <c r="C1322" s="6" t="str">
        <f ca="1">IF(AND(NEGOCIAÇÕES!P1322="",NEGOCIAÇÕES!N1322&lt;TODAY()),NEGOCIAÇÕES!E1322,"")</f>
        <v/>
      </c>
      <c r="D1322" s="6" t="str">
        <f ca="1">IF(AND(NEGOCIAÇÕES!P1322="",NEGOCIAÇÕES!N1322&lt;TODAY()),NEGOCIAÇÕES!D1322,"")</f>
        <v/>
      </c>
      <c r="E1322" s="9" t="str">
        <f ca="1">IF(AND(NEGOCIAÇÕES!P1322="",NEGOCIAÇÕES!N1322&lt;TODAY()),NEGOCIAÇÕES!N1322,"")</f>
        <v/>
      </c>
    </row>
    <row r="1323" spans="2:5" ht="31.95" hidden="1" customHeight="1" x14ac:dyDescent="0.3">
      <c r="B1323" s="6" t="str">
        <f ca="1">IF(AND(NEGOCIAÇÕES!P1323="",NEGOCIAÇÕES!N1323&lt;TODAY()),NEGOCIAÇÕES!C1323,"")</f>
        <v/>
      </c>
      <c r="C1323" s="6" t="str">
        <f ca="1">IF(AND(NEGOCIAÇÕES!P1323="",NEGOCIAÇÕES!N1323&lt;TODAY()),NEGOCIAÇÕES!E1323,"")</f>
        <v/>
      </c>
      <c r="D1323" s="6" t="str">
        <f ca="1">IF(AND(NEGOCIAÇÕES!P1323="",NEGOCIAÇÕES!N1323&lt;TODAY()),NEGOCIAÇÕES!D1323,"")</f>
        <v/>
      </c>
      <c r="E1323" s="9" t="str">
        <f ca="1">IF(AND(NEGOCIAÇÕES!P1323="",NEGOCIAÇÕES!N1323&lt;TODAY()),NEGOCIAÇÕES!N1323,"")</f>
        <v/>
      </c>
    </row>
    <row r="1324" spans="2:5" ht="31.95" hidden="1" customHeight="1" x14ac:dyDescent="0.3">
      <c r="B1324" s="6" t="str">
        <f ca="1">IF(AND(NEGOCIAÇÕES!P1324="",NEGOCIAÇÕES!N1324&lt;TODAY()),NEGOCIAÇÕES!C1324,"")</f>
        <v/>
      </c>
      <c r="C1324" s="6" t="str">
        <f ca="1">IF(AND(NEGOCIAÇÕES!P1324="",NEGOCIAÇÕES!N1324&lt;TODAY()),NEGOCIAÇÕES!E1324,"")</f>
        <v/>
      </c>
      <c r="D1324" s="6" t="str">
        <f ca="1">IF(AND(NEGOCIAÇÕES!P1324="",NEGOCIAÇÕES!N1324&lt;TODAY()),NEGOCIAÇÕES!D1324,"")</f>
        <v/>
      </c>
      <c r="E1324" s="9" t="str">
        <f ca="1">IF(AND(NEGOCIAÇÕES!P1324="",NEGOCIAÇÕES!N1324&lt;TODAY()),NEGOCIAÇÕES!N1324,"")</f>
        <v/>
      </c>
    </row>
    <row r="1325" spans="2:5" ht="31.95" hidden="1" customHeight="1" x14ac:dyDescent="0.3">
      <c r="B1325" s="6" t="str">
        <f ca="1">IF(AND(NEGOCIAÇÕES!P1325="",NEGOCIAÇÕES!N1325&lt;TODAY()),NEGOCIAÇÕES!C1325,"")</f>
        <v/>
      </c>
      <c r="C1325" s="6" t="str">
        <f ca="1">IF(AND(NEGOCIAÇÕES!P1325="",NEGOCIAÇÕES!N1325&lt;TODAY()),NEGOCIAÇÕES!E1325,"")</f>
        <v/>
      </c>
      <c r="D1325" s="6" t="str">
        <f ca="1">IF(AND(NEGOCIAÇÕES!P1325="",NEGOCIAÇÕES!N1325&lt;TODAY()),NEGOCIAÇÕES!D1325,"")</f>
        <v/>
      </c>
      <c r="E1325" s="9" t="str">
        <f ca="1">IF(AND(NEGOCIAÇÕES!P1325="",NEGOCIAÇÕES!N1325&lt;TODAY()),NEGOCIAÇÕES!N1325,"")</f>
        <v/>
      </c>
    </row>
    <row r="1326" spans="2:5" ht="31.95" hidden="1" customHeight="1" x14ac:dyDescent="0.3">
      <c r="B1326" s="6" t="str">
        <f ca="1">IF(AND(NEGOCIAÇÕES!P1326="",NEGOCIAÇÕES!N1326&lt;TODAY()),NEGOCIAÇÕES!C1326,"")</f>
        <v/>
      </c>
      <c r="C1326" s="6" t="str">
        <f ca="1">IF(AND(NEGOCIAÇÕES!P1326="",NEGOCIAÇÕES!N1326&lt;TODAY()),NEGOCIAÇÕES!E1326,"")</f>
        <v/>
      </c>
      <c r="D1326" s="6" t="str">
        <f ca="1">IF(AND(NEGOCIAÇÕES!P1326="",NEGOCIAÇÕES!N1326&lt;TODAY()),NEGOCIAÇÕES!D1326,"")</f>
        <v/>
      </c>
      <c r="E1326" s="9" t="str">
        <f ca="1">IF(AND(NEGOCIAÇÕES!P1326="",NEGOCIAÇÕES!N1326&lt;TODAY()),NEGOCIAÇÕES!N1326,"")</f>
        <v/>
      </c>
    </row>
    <row r="1327" spans="2:5" ht="31.95" hidden="1" customHeight="1" x14ac:dyDescent="0.3">
      <c r="B1327" s="6" t="str">
        <f ca="1">IF(AND(NEGOCIAÇÕES!P1327="",NEGOCIAÇÕES!N1327&lt;TODAY()),NEGOCIAÇÕES!C1327,"")</f>
        <v/>
      </c>
      <c r="C1327" s="6" t="str">
        <f ca="1">IF(AND(NEGOCIAÇÕES!P1327="",NEGOCIAÇÕES!N1327&lt;TODAY()),NEGOCIAÇÕES!E1327,"")</f>
        <v/>
      </c>
      <c r="D1327" s="6" t="str">
        <f ca="1">IF(AND(NEGOCIAÇÕES!P1327="",NEGOCIAÇÕES!N1327&lt;TODAY()),NEGOCIAÇÕES!D1327,"")</f>
        <v/>
      </c>
      <c r="E1327" s="9" t="str">
        <f ca="1">IF(AND(NEGOCIAÇÕES!P1327="",NEGOCIAÇÕES!N1327&lt;TODAY()),NEGOCIAÇÕES!N1327,"")</f>
        <v/>
      </c>
    </row>
    <row r="1328" spans="2:5" ht="31.95" hidden="1" customHeight="1" x14ac:dyDescent="0.3">
      <c r="B1328" s="6" t="str">
        <f ca="1">IF(AND(NEGOCIAÇÕES!P1328="",NEGOCIAÇÕES!N1328&lt;TODAY()),NEGOCIAÇÕES!C1328,"")</f>
        <v/>
      </c>
      <c r="C1328" s="6" t="str">
        <f ca="1">IF(AND(NEGOCIAÇÕES!P1328="",NEGOCIAÇÕES!N1328&lt;TODAY()),NEGOCIAÇÕES!E1328,"")</f>
        <v/>
      </c>
      <c r="D1328" s="6" t="str">
        <f ca="1">IF(AND(NEGOCIAÇÕES!P1328="",NEGOCIAÇÕES!N1328&lt;TODAY()),NEGOCIAÇÕES!D1328,"")</f>
        <v/>
      </c>
      <c r="E1328" s="9" t="str">
        <f ca="1">IF(AND(NEGOCIAÇÕES!P1328="",NEGOCIAÇÕES!N1328&lt;TODAY()),NEGOCIAÇÕES!N1328,"")</f>
        <v/>
      </c>
    </row>
    <row r="1329" spans="2:5" ht="31.95" hidden="1" customHeight="1" x14ac:dyDescent="0.3">
      <c r="B1329" s="6" t="str">
        <f ca="1">IF(AND(NEGOCIAÇÕES!P1329="",NEGOCIAÇÕES!N1329&lt;TODAY()),NEGOCIAÇÕES!C1329,"")</f>
        <v/>
      </c>
      <c r="C1329" s="6" t="str">
        <f ca="1">IF(AND(NEGOCIAÇÕES!P1329="",NEGOCIAÇÕES!N1329&lt;TODAY()),NEGOCIAÇÕES!E1329,"")</f>
        <v/>
      </c>
      <c r="D1329" s="6" t="str">
        <f ca="1">IF(AND(NEGOCIAÇÕES!P1329="",NEGOCIAÇÕES!N1329&lt;TODAY()),NEGOCIAÇÕES!D1329,"")</f>
        <v/>
      </c>
      <c r="E1329" s="9" t="str">
        <f ca="1">IF(AND(NEGOCIAÇÕES!P1329="",NEGOCIAÇÕES!N1329&lt;TODAY()),NEGOCIAÇÕES!N1329,"")</f>
        <v/>
      </c>
    </row>
    <row r="1330" spans="2:5" ht="31.95" hidden="1" customHeight="1" x14ac:dyDescent="0.3">
      <c r="B1330" s="6" t="str">
        <f ca="1">IF(AND(NEGOCIAÇÕES!P1330="",NEGOCIAÇÕES!N1330&lt;TODAY()),NEGOCIAÇÕES!C1330,"")</f>
        <v/>
      </c>
      <c r="C1330" s="6" t="str">
        <f ca="1">IF(AND(NEGOCIAÇÕES!P1330="",NEGOCIAÇÕES!N1330&lt;TODAY()),NEGOCIAÇÕES!E1330,"")</f>
        <v/>
      </c>
      <c r="D1330" s="6" t="str">
        <f ca="1">IF(AND(NEGOCIAÇÕES!P1330="",NEGOCIAÇÕES!N1330&lt;TODAY()),NEGOCIAÇÕES!D1330,"")</f>
        <v/>
      </c>
      <c r="E1330" s="9" t="str">
        <f ca="1">IF(AND(NEGOCIAÇÕES!P1330="",NEGOCIAÇÕES!N1330&lt;TODAY()),NEGOCIAÇÕES!N1330,"")</f>
        <v/>
      </c>
    </row>
    <row r="1331" spans="2:5" ht="31.95" hidden="1" customHeight="1" x14ac:dyDescent="0.3">
      <c r="B1331" s="6" t="str">
        <f ca="1">IF(AND(NEGOCIAÇÕES!P1331="",NEGOCIAÇÕES!N1331&lt;TODAY()),NEGOCIAÇÕES!C1331,"")</f>
        <v/>
      </c>
      <c r="C1331" s="6" t="str">
        <f ca="1">IF(AND(NEGOCIAÇÕES!P1331="",NEGOCIAÇÕES!N1331&lt;TODAY()),NEGOCIAÇÕES!E1331,"")</f>
        <v/>
      </c>
      <c r="D1331" s="6" t="str">
        <f ca="1">IF(AND(NEGOCIAÇÕES!P1331="",NEGOCIAÇÕES!N1331&lt;TODAY()),NEGOCIAÇÕES!D1331,"")</f>
        <v/>
      </c>
      <c r="E1331" s="9" t="str">
        <f ca="1">IF(AND(NEGOCIAÇÕES!P1331="",NEGOCIAÇÕES!N1331&lt;TODAY()),NEGOCIAÇÕES!N1331,"")</f>
        <v/>
      </c>
    </row>
    <row r="1332" spans="2:5" ht="31.95" hidden="1" customHeight="1" x14ac:dyDescent="0.3">
      <c r="B1332" s="6" t="str">
        <f ca="1">IF(AND(NEGOCIAÇÕES!P1332="",NEGOCIAÇÕES!N1332&lt;TODAY()),NEGOCIAÇÕES!C1332,"")</f>
        <v/>
      </c>
      <c r="C1332" s="6" t="str">
        <f ca="1">IF(AND(NEGOCIAÇÕES!P1332="",NEGOCIAÇÕES!N1332&lt;TODAY()),NEGOCIAÇÕES!E1332,"")</f>
        <v/>
      </c>
      <c r="D1332" s="6" t="str">
        <f ca="1">IF(AND(NEGOCIAÇÕES!P1332="",NEGOCIAÇÕES!N1332&lt;TODAY()),NEGOCIAÇÕES!D1332,"")</f>
        <v/>
      </c>
      <c r="E1332" s="9" t="str">
        <f ca="1">IF(AND(NEGOCIAÇÕES!P1332="",NEGOCIAÇÕES!N1332&lt;TODAY()),NEGOCIAÇÕES!N1332,"")</f>
        <v/>
      </c>
    </row>
    <row r="1333" spans="2:5" ht="31.95" hidden="1" customHeight="1" x14ac:dyDescent="0.3">
      <c r="B1333" s="6" t="str">
        <f ca="1">IF(AND(NEGOCIAÇÕES!P1333="",NEGOCIAÇÕES!N1333&lt;TODAY()),NEGOCIAÇÕES!C1333,"")</f>
        <v/>
      </c>
      <c r="C1333" s="6" t="str">
        <f ca="1">IF(AND(NEGOCIAÇÕES!P1333="",NEGOCIAÇÕES!N1333&lt;TODAY()),NEGOCIAÇÕES!E1333,"")</f>
        <v/>
      </c>
      <c r="D1333" s="6" t="str">
        <f ca="1">IF(AND(NEGOCIAÇÕES!P1333="",NEGOCIAÇÕES!N1333&lt;TODAY()),NEGOCIAÇÕES!D1333,"")</f>
        <v/>
      </c>
      <c r="E1333" s="9" t="str">
        <f ca="1">IF(AND(NEGOCIAÇÕES!P1333="",NEGOCIAÇÕES!N1333&lt;TODAY()),NEGOCIAÇÕES!N1333,"")</f>
        <v/>
      </c>
    </row>
    <row r="1334" spans="2:5" ht="31.95" hidden="1" customHeight="1" x14ac:dyDescent="0.3">
      <c r="B1334" s="6" t="str">
        <f ca="1">IF(AND(NEGOCIAÇÕES!P1334="",NEGOCIAÇÕES!N1334&lt;TODAY()),NEGOCIAÇÕES!C1334,"")</f>
        <v/>
      </c>
      <c r="C1334" s="6" t="str">
        <f ca="1">IF(AND(NEGOCIAÇÕES!P1334="",NEGOCIAÇÕES!N1334&lt;TODAY()),NEGOCIAÇÕES!E1334,"")</f>
        <v/>
      </c>
      <c r="D1334" s="6" t="str">
        <f ca="1">IF(AND(NEGOCIAÇÕES!P1334="",NEGOCIAÇÕES!N1334&lt;TODAY()),NEGOCIAÇÕES!D1334,"")</f>
        <v/>
      </c>
      <c r="E1334" s="9" t="str">
        <f ca="1">IF(AND(NEGOCIAÇÕES!P1334="",NEGOCIAÇÕES!N1334&lt;TODAY()),NEGOCIAÇÕES!N1334,"")</f>
        <v/>
      </c>
    </row>
    <row r="1335" spans="2:5" ht="31.95" hidden="1" customHeight="1" x14ac:dyDescent="0.3">
      <c r="B1335" s="6" t="str">
        <f ca="1">IF(AND(NEGOCIAÇÕES!P1335="",NEGOCIAÇÕES!N1335&lt;TODAY()),NEGOCIAÇÕES!C1335,"")</f>
        <v/>
      </c>
      <c r="C1335" s="6" t="str">
        <f ca="1">IF(AND(NEGOCIAÇÕES!P1335="",NEGOCIAÇÕES!N1335&lt;TODAY()),NEGOCIAÇÕES!E1335,"")</f>
        <v/>
      </c>
      <c r="D1335" s="6" t="str">
        <f ca="1">IF(AND(NEGOCIAÇÕES!P1335="",NEGOCIAÇÕES!N1335&lt;TODAY()),NEGOCIAÇÕES!D1335,"")</f>
        <v/>
      </c>
      <c r="E1335" s="9" t="str">
        <f ca="1">IF(AND(NEGOCIAÇÕES!P1335="",NEGOCIAÇÕES!N1335&lt;TODAY()),NEGOCIAÇÕES!N1335,"")</f>
        <v/>
      </c>
    </row>
    <row r="1336" spans="2:5" ht="31.95" hidden="1" customHeight="1" x14ac:dyDescent="0.3">
      <c r="B1336" s="6" t="str">
        <f ca="1">IF(AND(NEGOCIAÇÕES!P1336="",NEGOCIAÇÕES!N1336&lt;TODAY()),NEGOCIAÇÕES!C1336,"")</f>
        <v/>
      </c>
      <c r="C1336" s="6" t="str">
        <f ca="1">IF(AND(NEGOCIAÇÕES!P1336="",NEGOCIAÇÕES!N1336&lt;TODAY()),NEGOCIAÇÕES!E1336,"")</f>
        <v/>
      </c>
      <c r="D1336" s="6" t="str">
        <f ca="1">IF(AND(NEGOCIAÇÕES!P1336="",NEGOCIAÇÕES!N1336&lt;TODAY()),NEGOCIAÇÕES!D1336,"")</f>
        <v/>
      </c>
      <c r="E1336" s="9" t="str">
        <f ca="1">IF(AND(NEGOCIAÇÕES!P1336="",NEGOCIAÇÕES!N1336&lt;TODAY()),NEGOCIAÇÕES!N1336,"")</f>
        <v/>
      </c>
    </row>
    <row r="1337" spans="2:5" ht="31.95" hidden="1" customHeight="1" x14ac:dyDescent="0.3">
      <c r="B1337" s="6" t="str">
        <f ca="1">IF(AND(NEGOCIAÇÕES!P1337="",NEGOCIAÇÕES!N1337&lt;TODAY()),NEGOCIAÇÕES!C1337,"")</f>
        <v/>
      </c>
      <c r="C1337" s="6" t="str">
        <f ca="1">IF(AND(NEGOCIAÇÕES!P1337="",NEGOCIAÇÕES!N1337&lt;TODAY()),NEGOCIAÇÕES!E1337,"")</f>
        <v/>
      </c>
      <c r="D1337" s="6" t="str">
        <f ca="1">IF(AND(NEGOCIAÇÕES!P1337="",NEGOCIAÇÕES!N1337&lt;TODAY()),NEGOCIAÇÕES!D1337,"")</f>
        <v/>
      </c>
      <c r="E1337" s="9" t="str">
        <f ca="1">IF(AND(NEGOCIAÇÕES!P1337="",NEGOCIAÇÕES!N1337&lt;TODAY()),NEGOCIAÇÕES!N1337,"")</f>
        <v/>
      </c>
    </row>
    <row r="1338" spans="2:5" ht="31.95" hidden="1" customHeight="1" x14ac:dyDescent="0.3">
      <c r="B1338" s="6" t="str">
        <f ca="1">IF(AND(NEGOCIAÇÕES!P1338="",NEGOCIAÇÕES!N1338&lt;TODAY()),NEGOCIAÇÕES!C1338,"")</f>
        <v/>
      </c>
      <c r="C1338" s="6" t="str">
        <f ca="1">IF(AND(NEGOCIAÇÕES!P1338="",NEGOCIAÇÕES!N1338&lt;TODAY()),NEGOCIAÇÕES!E1338,"")</f>
        <v/>
      </c>
      <c r="D1338" s="6" t="str">
        <f ca="1">IF(AND(NEGOCIAÇÕES!P1338="",NEGOCIAÇÕES!N1338&lt;TODAY()),NEGOCIAÇÕES!D1338,"")</f>
        <v/>
      </c>
      <c r="E1338" s="9" t="str">
        <f ca="1">IF(AND(NEGOCIAÇÕES!P1338="",NEGOCIAÇÕES!N1338&lt;TODAY()),NEGOCIAÇÕES!N1338,"")</f>
        <v/>
      </c>
    </row>
    <row r="1339" spans="2:5" ht="31.95" hidden="1" customHeight="1" x14ac:dyDescent="0.3">
      <c r="B1339" s="6" t="str">
        <f ca="1">IF(AND(NEGOCIAÇÕES!P1339="",NEGOCIAÇÕES!N1339&lt;TODAY()),NEGOCIAÇÕES!C1339,"")</f>
        <v/>
      </c>
      <c r="C1339" s="6" t="str">
        <f ca="1">IF(AND(NEGOCIAÇÕES!P1339="",NEGOCIAÇÕES!N1339&lt;TODAY()),NEGOCIAÇÕES!E1339,"")</f>
        <v/>
      </c>
      <c r="D1339" s="6" t="str">
        <f ca="1">IF(AND(NEGOCIAÇÕES!P1339="",NEGOCIAÇÕES!N1339&lt;TODAY()),NEGOCIAÇÕES!D1339,"")</f>
        <v/>
      </c>
      <c r="E1339" s="9" t="str">
        <f ca="1">IF(AND(NEGOCIAÇÕES!P1339="",NEGOCIAÇÕES!N1339&lt;TODAY()),NEGOCIAÇÕES!N1339,"")</f>
        <v/>
      </c>
    </row>
    <row r="1340" spans="2:5" ht="31.95" hidden="1" customHeight="1" x14ac:dyDescent="0.3">
      <c r="B1340" s="6" t="str">
        <f ca="1">IF(AND(NEGOCIAÇÕES!P1340="",NEGOCIAÇÕES!N1340&lt;TODAY()),NEGOCIAÇÕES!C1340,"")</f>
        <v/>
      </c>
      <c r="C1340" s="6" t="str">
        <f ca="1">IF(AND(NEGOCIAÇÕES!P1340="",NEGOCIAÇÕES!N1340&lt;TODAY()),NEGOCIAÇÕES!E1340,"")</f>
        <v/>
      </c>
      <c r="D1340" s="6" t="str">
        <f ca="1">IF(AND(NEGOCIAÇÕES!P1340="",NEGOCIAÇÕES!N1340&lt;TODAY()),NEGOCIAÇÕES!D1340,"")</f>
        <v/>
      </c>
      <c r="E1340" s="9" t="str">
        <f ca="1">IF(AND(NEGOCIAÇÕES!P1340="",NEGOCIAÇÕES!N1340&lt;TODAY()),NEGOCIAÇÕES!N1340,"")</f>
        <v/>
      </c>
    </row>
    <row r="1341" spans="2:5" ht="31.95" hidden="1" customHeight="1" x14ac:dyDescent="0.3">
      <c r="B1341" s="6" t="str">
        <f ca="1">IF(AND(NEGOCIAÇÕES!P1341="",NEGOCIAÇÕES!N1341&lt;TODAY()),NEGOCIAÇÕES!C1341,"")</f>
        <v/>
      </c>
      <c r="C1341" s="6" t="str">
        <f ca="1">IF(AND(NEGOCIAÇÕES!P1341="",NEGOCIAÇÕES!N1341&lt;TODAY()),NEGOCIAÇÕES!E1341,"")</f>
        <v/>
      </c>
      <c r="D1341" s="6" t="str">
        <f ca="1">IF(AND(NEGOCIAÇÕES!P1341="",NEGOCIAÇÕES!N1341&lt;TODAY()),NEGOCIAÇÕES!D1341,"")</f>
        <v/>
      </c>
      <c r="E1341" s="9" t="str">
        <f ca="1">IF(AND(NEGOCIAÇÕES!P1341="",NEGOCIAÇÕES!N1341&lt;TODAY()),NEGOCIAÇÕES!N1341,"")</f>
        <v/>
      </c>
    </row>
    <row r="1342" spans="2:5" ht="31.95" hidden="1" customHeight="1" x14ac:dyDescent="0.3">
      <c r="B1342" s="6" t="str">
        <f ca="1">IF(AND(NEGOCIAÇÕES!P1342="",NEGOCIAÇÕES!N1342&lt;TODAY()),NEGOCIAÇÕES!C1342,"")</f>
        <v/>
      </c>
      <c r="C1342" s="6" t="str">
        <f ca="1">IF(AND(NEGOCIAÇÕES!P1342="",NEGOCIAÇÕES!N1342&lt;TODAY()),NEGOCIAÇÕES!E1342,"")</f>
        <v/>
      </c>
      <c r="D1342" s="6" t="str">
        <f ca="1">IF(AND(NEGOCIAÇÕES!P1342="",NEGOCIAÇÕES!N1342&lt;TODAY()),NEGOCIAÇÕES!D1342,"")</f>
        <v/>
      </c>
      <c r="E1342" s="9" t="str">
        <f ca="1">IF(AND(NEGOCIAÇÕES!P1342="",NEGOCIAÇÕES!N1342&lt;TODAY()),NEGOCIAÇÕES!N1342,"")</f>
        <v/>
      </c>
    </row>
    <row r="1343" spans="2:5" ht="31.95" hidden="1" customHeight="1" x14ac:dyDescent="0.3">
      <c r="B1343" s="6" t="str">
        <f ca="1">IF(AND(NEGOCIAÇÕES!P1343="",NEGOCIAÇÕES!N1343&lt;TODAY()),NEGOCIAÇÕES!C1343,"")</f>
        <v/>
      </c>
      <c r="C1343" s="6" t="str">
        <f ca="1">IF(AND(NEGOCIAÇÕES!P1343="",NEGOCIAÇÕES!N1343&lt;TODAY()),NEGOCIAÇÕES!E1343,"")</f>
        <v/>
      </c>
      <c r="D1343" s="6" t="str">
        <f ca="1">IF(AND(NEGOCIAÇÕES!P1343="",NEGOCIAÇÕES!N1343&lt;TODAY()),NEGOCIAÇÕES!D1343,"")</f>
        <v/>
      </c>
      <c r="E1343" s="9" t="str">
        <f ca="1">IF(AND(NEGOCIAÇÕES!P1343="",NEGOCIAÇÕES!N1343&lt;TODAY()),NEGOCIAÇÕES!N1343,"")</f>
        <v/>
      </c>
    </row>
    <row r="1344" spans="2:5" ht="31.95" hidden="1" customHeight="1" x14ac:dyDescent="0.3">
      <c r="B1344" s="6" t="str">
        <f ca="1">IF(AND(NEGOCIAÇÕES!P1344="",NEGOCIAÇÕES!N1344&lt;TODAY()),NEGOCIAÇÕES!C1344,"")</f>
        <v/>
      </c>
      <c r="C1344" s="6" t="str">
        <f ca="1">IF(AND(NEGOCIAÇÕES!P1344="",NEGOCIAÇÕES!N1344&lt;TODAY()),NEGOCIAÇÕES!E1344,"")</f>
        <v/>
      </c>
      <c r="D1344" s="6" t="str">
        <f ca="1">IF(AND(NEGOCIAÇÕES!P1344="",NEGOCIAÇÕES!N1344&lt;TODAY()),NEGOCIAÇÕES!D1344,"")</f>
        <v/>
      </c>
      <c r="E1344" s="9" t="str">
        <f ca="1">IF(AND(NEGOCIAÇÕES!P1344="",NEGOCIAÇÕES!N1344&lt;TODAY()),NEGOCIAÇÕES!N1344,"")</f>
        <v/>
      </c>
    </row>
    <row r="1345" spans="2:5" ht="31.95" hidden="1" customHeight="1" x14ac:dyDescent="0.3">
      <c r="B1345" s="6" t="str">
        <f ca="1">IF(AND(NEGOCIAÇÕES!P1345="",NEGOCIAÇÕES!N1345&lt;TODAY()),NEGOCIAÇÕES!C1345,"")</f>
        <v/>
      </c>
      <c r="C1345" s="6" t="str">
        <f ca="1">IF(AND(NEGOCIAÇÕES!P1345="",NEGOCIAÇÕES!N1345&lt;TODAY()),NEGOCIAÇÕES!E1345,"")</f>
        <v/>
      </c>
      <c r="D1345" s="6" t="str">
        <f ca="1">IF(AND(NEGOCIAÇÕES!P1345="",NEGOCIAÇÕES!N1345&lt;TODAY()),NEGOCIAÇÕES!D1345,"")</f>
        <v/>
      </c>
      <c r="E1345" s="9" t="str">
        <f ca="1">IF(AND(NEGOCIAÇÕES!P1345="",NEGOCIAÇÕES!N1345&lt;TODAY()),NEGOCIAÇÕES!N1345,"")</f>
        <v/>
      </c>
    </row>
    <row r="1346" spans="2:5" ht="31.95" hidden="1" customHeight="1" x14ac:dyDescent="0.3">
      <c r="B1346" s="6" t="str">
        <f ca="1">IF(AND(NEGOCIAÇÕES!P1346="",NEGOCIAÇÕES!N1346&lt;TODAY()),NEGOCIAÇÕES!C1346,"")</f>
        <v/>
      </c>
      <c r="C1346" s="6" t="str">
        <f ca="1">IF(AND(NEGOCIAÇÕES!P1346="",NEGOCIAÇÕES!N1346&lt;TODAY()),NEGOCIAÇÕES!E1346,"")</f>
        <v/>
      </c>
      <c r="D1346" s="6" t="str">
        <f ca="1">IF(AND(NEGOCIAÇÕES!P1346="",NEGOCIAÇÕES!N1346&lt;TODAY()),NEGOCIAÇÕES!D1346,"")</f>
        <v/>
      </c>
      <c r="E1346" s="9" t="str">
        <f ca="1">IF(AND(NEGOCIAÇÕES!P1346="",NEGOCIAÇÕES!N1346&lt;TODAY()),NEGOCIAÇÕES!N1346,"")</f>
        <v/>
      </c>
    </row>
    <row r="1347" spans="2:5" ht="31.95" hidden="1" customHeight="1" x14ac:dyDescent="0.3">
      <c r="B1347" s="6" t="str">
        <f ca="1">IF(AND(NEGOCIAÇÕES!P1347="",NEGOCIAÇÕES!N1347&lt;TODAY()),NEGOCIAÇÕES!C1347,"")</f>
        <v/>
      </c>
      <c r="C1347" s="6" t="str">
        <f ca="1">IF(AND(NEGOCIAÇÕES!P1347="",NEGOCIAÇÕES!N1347&lt;TODAY()),NEGOCIAÇÕES!E1347,"")</f>
        <v/>
      </c>
      <c r="D1347" s="6" t="str">
        <f ca="1">IF(AND(NEGOCIAÇÕES!P1347="",NEGOCIAÇÕES!N1347&lt;TODAY()),NEGOCIAÇÕES!D1347,"")</f>
        <v/>
      </c>
      <c r="E1347" s="9" t="str">
        <f ca="1">IF(AND(NEGOCIAÇÕES!P1347="",NEGOCIAÇÕES!N1347&lt;TODAY()),NEGOCIAÇÕES!N1347,"")</f>
        <v/>
      </c>
    </row>
    <row r="1348" spans="2:5" ht="31.95" hidden="1" customHeight="1" x14ac:dyDescent="0.3">
      <c r="B1348" s="6" t="str">
        <f ca="1">IF(AND(NEGOCIAÇÕES!P1348="",NEGOCIAÇÕES!N1348&lt;TODAY()),NEGOCIAÇÕES!C1348,"")</f>
        <v/>
      </c>
      <c r="C1348" s="6" t="str">
        <f ca="1">IF(AND(NEGOCIAÇÕES!P1348="",NEGOCIAÇÕES!N1348&lt;TODAY()),NEGOCIAÇÕES!E1348,"")</f>
        <v/>
      </c>
      <c r="D1348" s="6" t="str">
        <f ca="1">IF(AND(NEGOCIAÇÕES!P1348="",NEGOCIAÇÕES!N1348&lt;TODAY()),NEGOCIAÇÕES!D1348,"")</f>
        <v/>
      </c>
      <c r="E1348" s="9" t="str">
        <f ca="1">IF(AND(NEGOCIAÇÕES!P1348="",NEGOCIAÇÕES!N1348&lt;TODAY()),NEGOCIAÇÕES!N1348,"")</f>
        <v/>
      </c>
    </row>
    <row r="1349" spans="2:5" ht="31.95" hidden="1" customHeight="1" x14ac:dyDescent="0.3">
      <c r="B1349" s="6" t="str">
        <f ca="1">IF(AND(NEGOCIAÇÕES!P1349="",NEGOCIAÇÕES!N1349&lt;TODAY()),NEGOCIAÇÕES!C1349,"")</f>
        <v/>
      </c>
      <c r="C1349" s="6" t="str">
        <f ca="1">IF(AND(NEGOCIAÇÕES!P1349="",NEGOCIAÇÕES!N1349&lt;TODAY()),NEGOCIAÇÕES!E1349,"")</f>
        <v/>
      </c>
      <c r="D1349" s="6" t="str">
        <f ca="1">IF(AND(NEGOCIAÇÕES!P1349="",NEGOCIAÇÕES!N1349&lt;TODAY()),NEGOCIAÇÕES!D1349,"")</f>
        <v/>
      </c>
      <c r="E1349" s="9" t="str">
        <f ca="1">IF(AND(NEGOCIAÇÕES!P1349="",NEGOCIAÇÕES!N1349&lt;TODAY()),NEGOCIAÇÕES!N1349,"")</f>
        <v/>
      </c>
    </row>
    <row r="1350" spans="2:5" ht="31.95" hidden="1" customHeight="1" x14ac:dyDescent="0.3">
      <c r="B1350" s="6" t="str">
        <f ca="1">IF(AND(NEGOCIAÇÕES!P1350="",NEGOCIAÇÕES!N1350&lt;TODAY()),NEGOCIAÇÕES!C1350,"")</f>
        <v/>
      </c>
      <c r="C1350" s="6" t="str">
        <f ca="1">IF(AND(NEGOCIAÇÕES!P1350="",NEGOCIAÇÕES!N1350&lt;TODAY()),NEGOCIAÇÕES!E1350,"")</f>
        <v/>
      </c>
      <c r="D1350" s="6" t="str">
        <f ca="1">IF(AND(NEGOCIAÇÕES!P1350="",NEGOCIAÇÕES!N1350&lt;TODAY()),NEGOCIAÇÕES!D1350,"")</f>
        <v/>
      </c>
      <c r="E1350" s="9" t="str">
        <f ca="1">IF(AND(NEGOCIAÇÕES!P1350="",NEGOCIAÇÕES!N1350&lt;TODAY()),NEGOCIAÇÕES!N1350,"")</f>
        <v/>
      </c>
    </row>
    <row r="1351" spans="2:5" ht="31.95" hidden="1" customHeight="1" x14ac:dyDescent="0.3">
      <c r="B1351" s="6" t="str">
        <f ca="1">IF(AND(NEGOCIAÇÕES!P1351="",NEGOCIAÇÕES!N1351&lt;TODAY()),NEGOCIAÇÕES!C1351,"")</f>
        <v/>
      </c>
      <c r="C1351" s="6" t="str">
        <f ca="1">IF(AND(NEGOCIAÇÕES!P1351="",NEGOCIAÇÕES!N1351&lt;TODAY()),NEGOCIAÇÕES!E1351,"")</f>
        <v/>
      </c>
      <c r="D1351" s="6" t="str">
        <f ca="1">IF(AND(NEGOCIAÇÕES!P1351="",NEGOCIAÇÕES!N1351&lt;TODAY()),NEGOCIAÇÕES!D1351,"")</f>
        <v/>
      </c>
      <c r="E1351" s="9" t="str">
        <f ca="1">IF(AND(NEGOCIAÇÕES!P1351="",NEGOCIAÇÕES!N1351&lt;TODAY()),NEGOCIAÇÕES!N1351,"")</f>
        <v/>
      </c>
    </row>
    <row r="1352" spans="2:5" ht="31.95" hidden="1" customHeight="1" x14ac:dyDescent="0.3">
      <c r="B1352" s="6" t="str">
        <f ca="1">IF(AND(NEGOCIAÇÕES!P1352="",NEGOCIAÇÕES!N1352&lt;TODAY()),NEGOCIAÇÕES!C1352,"")</f>
        <v/>
      </c>
      <c r="C1352" s="6" t="str">
        <f ca="1">IF(AND(NEGOCIAÇÕES!P1352="",NEGOCIAÇÕES!N1352&lt;TODAY()),NEGOCIAÇÕES!E1352,"")</f>
        <v/>
      </c>
      <c r="D1352" s="6" t="str">
        <f ca="1">IF(AND(NEGOCIAÇÕES!P1352="",NEGOCIAÇÕES!N1352&lt;TODAY()),NEGOCIAÇÕES!D1352,"")</f>
        <v/>
      </c>
      <c r="E1352" s="9" t="str">
        <f ca="1">IF(AND(NEGOCIAÇÕES!P1352="",NEGOCIAÇÕES!N1352&lt;TODAY()),NEGOCIAÇÕES!N1352,"")</f>
        <v/>
      </c>
    </row>
    <row r="1353" spans="2:5" ht="31.95" hidden="1" customHeight="1" x14ac:dyDescent="0.3">
      <c r="B1353" s="6" t="str">
        <f ca="1">IF(AND(NEGOCIAÇÕES!P1353="",NEGOCIAÇÕES!N1353&lt;TODAY()),NEGOCIAÇÕES!C1353,"")</f>
        <v/>
      </c>
      <c r="C1353" s="6" t="str">
        <f ca="1">IF(AND(NEGOCIAÇÕES!P1353="",NEGOCIAÇÕES!N1353&lt;TODAY()),NEGOCIAÇÕES!E1353,"")</f>
        <v/>
      </c>
      <c r="D1353" s="6" t="str">
        <f ca="1">IF(AND(NEGOCIAÇÕES!P1353="",NEGOCIAÇÕES!N1353&lt;TODAY()),NEGOCIAÇÕES!D1353,"")</f>
        <v/>
      </c>
      <c r="E1353" s="9" t="str">
        <f ca="1">IF(AND(NEGOCIAÇÕES!P1353="",NEGOCIAÇÕES!N1353&lt;TODAY()),NEGOCIAÇÕES!N1353,"")</f>
        <v/>
      </c>
    </row>
    <row r="1354" spans="2:5" ht="31.95" hidden="1" customHeight="1" x14ac:dyDescent="0.3">
      <c r="B1354" s="6" t="str">
        <f ca="1">IF(AND(NEGOCIAÇÕES!P1354="",NEGOCIAÇÕES!N1354&lt;TODAY()),NEGOCIAÇÕES!C1354,"")</f>
        <v/>
      </c>
      <c r="C1354" s="6" t="str">
        <f ca="1">IF(AND(NEGOCIAÇÕES!P1354="",NEGOCIAÇÕES!N1354&lt;TODAY()),NEGOCIAÇÕES!E1354,"")</f>
        <v/>
      </c>
      <c r="D1354" s="6" t="str">
        <f ca="1">IF(AND(NEGOCIAÇÕES!P1354="",NEGOCIAÇÕES!N1354&lt;TODAY()),NEGOCIAÇÕES!D1354,"")</f>
        <v/>
      </c>
      <c r="E1354" s="9" t="str">
        <f ca="1">IF(AND(NEGOCIAÇÕES!P1354="",NEGOCIAÇÕES!N1354&lt;TODAY()),NEGOCIAÇÕES!N1354,"")</f>
        <v/>
      </c>
    </row>
    <row r="1355" spans="2:5" ht="31.95" hidden="1" customHeight="1" x14ac:dyDescent="0.3">
      <c r="B1355" s="6" t="str">
        <f ca="1">IF(AND(NEGOCIAÇÕES!P1355="",NEGOCIAÇÕES!N1355&lt;TODAY()),NEGOCIAÇÕES!C1355,"")</f>
        <v/>
      </c>
      <c r="C1355" s="6" t="str">
        <f ca="1">IF(AND(NEGOCIAÇÕES!P1355="",NEGOCIAÇÕES!N1355&lt;TODAY()),NEGOCIAÇÕES!E1355,"")</f>
        <v/>
      </c>
      <c r="D1355" s="6" t="str">
        <f ca="1">IF(AND(NEGOCIAÇÕES!P1355="",NEGOCIAÇÕES!N1355&lt;TODAY()),NEGOCIAÇÕES!D1355,"")</f>
        <v/>
      </c>
      <c r="E1355" s="9" t="str">
        <f ca="1">IF(AND(NEGOCIAÇÕES!P1355="",NEGOCIAÇÕES!N1355&lt;TODAY()),NEGOCIAÇÕES!N1355,"")</f>
        <v/>
      </c>
    </row>
    <row r="1356" spans="2:5" ht="31.95" hidden="1" customHeight="1" x14ac:dyDescent="0.3">
      <c r="B1356" s="6" t="str">
        <f ca="1">IF(AND(NEGOCIAÇÕES!P1356="",NEGOCIAÇÕES!N1356&lt;TODAY()),NEGOCIAÇÕES!C1356,"")</f>
        <v/>
      </c>
      <c r="C1356" s="6" t="str">
        <f ca="1">IF(AND(NEGOCIAÇÕES!P1356="",NEGOCIAÇÕES!N1356&lt;TODAY()),NEGOCIAÇÕES!E1356,"")</f>
        <v/>
      </c>
      <c r="D1356" s="6" t="str">
        <f ca="1">IF(AND(NEGOCIAÇÕES!P1356="",NEGOCIAÇÕES!N1356&lt;TODAY()),NEGOCIAÇÕES!D1356,"")</f>
        <v/>
      </c>
      <c r="E1356" s="9" t="str">
        <f ca="1">IF(AND(NEGOCIAÇÕES!P1356="",NEGOCIAÇÕES!N1356&lt;TODAY()),NEGOCIAÇÕES!N1356,"")</f>
        <v/>
      </c>
    </row>
    <row r="1357" spans="2:5" ht="31.95" hidden="1" customHeight="1" x14ac:dyDescent="0.3">
      <c r="B1357" s="6" t="str">
        <f ca="1">IF(AND(NEGOCIAÇÕES!P1357="",NEGOCIAÇÕES!N1357&lt;TODAY()),NEGOCIAÇÕES!C1357,"")</f>
        <v/>
      </c>
      <c r="C1357" s="6" t="str">
        <f ca="1">IF(AND(NEGOCIAÇÕES!P1357="",NEGOCIAÇÕES!N1357&lt;TODAY()),NEGOCIAÇÕES!E1357,"")</f>
        <v/>
      </c>
      <c r="D1357" s="6" t="str">
        <f ca="1">IF(AND(NEGOCIAÇÕES!P1357="",NEGOCIAÇÕES!N1357&lt;TODAY()),NEGOCIAÇÕES!D1357,"")</f>
        <v/>
      </c>
      <c r="E1357" s="9" t="str">
        <f ca="1">IF(AND(NEGOCIAÇÕES!P1357="",NEGOCIAÇÕES!N1357&lt;TODAY()),NEGOCIAÇÕES!N1357,"")</f>
        <v/>
      </c>
    </row>
    <row r="1358" spans="2:5" ht="31.95" hidden="1" customHeight="1" x14ac:dyDescent="0.3">
      <c r="B1358" s="6" t="str">
        <f ca="1">IF(AND(NEGOCIAÇÕES!P1358="",NEGOCIAÇÕES!N1358&lt;TODAY()),NEGOCIAÇÕES!C1358,"")</f>
        <v/>
      </c>
      <c r="C1358" s="6" t="str">
        <f ca="1">IF(AND(NEGOCIAÇÕES!P1358="",NEGOCIAÇÕES!N1358&lt;TODAY()),NEGOCIAÇÕES!E1358,"")</f>
        <v/>
      </c>
      <c r="D1358" s="6" t="str">
        <f ca="1">IF(AND(NEGOCIAÇÕES!P1358="",NEGOCIAÇÕES!N1358&lt;TODAY()),NEGOCIAÇÕES!D1358,"")</f>
        <v/>
      </c>
      <c r="E1358" s="9" t="str">
        <f ca="1">IF(AND(NEGOCIAÇÕES!P1358="",NEGOCIAÇÕES!N1358&lt;TODAY()),NEGOCIAÇÕES!N1358,"")</f>
        <v/>
      </c>
    </row>
    <row r="1359" spans="2:5" ht="31.95" hidden="1" customHeight="1" x14ac:dyDescent="0.3">
      <c r="B1359" s="6" t="str">
        <f ca="1">IF(AND(NEGOCIAÇÕES!P1359="",NEGOCIAÇÕES!N1359&lt;TODAY()),NEGOCIAÇÕES!C1359,"")</f>
        <v/>
      </c>
      <c r="C1359" s="6" t="str">
        <f ca="1">IF(AND(NEGOCIAÇÕES!P1359="",NEGOCIAÇÕES!N1359&lt;TODAY()),NEGOCIAÇÕES!E1359,"")</f>
        <v/>
      </c>
      <c r="D1359" s="6" t="str">
        <f ca="1">IF(AND(NEGOCIAÇÕES!P1359="",NEGOCIAÇÕES!N1359&lt;TODAY()),NEGOCIAÇÕES!D1359,"")</f>
        <v/>
      </c>
      <c r="E1359" s="9" t="str">
        <f ca="1">IF(AND(NEGOCIAÇÕES!P1359="",NEGOCIAÇÕES!N1359&lt;TODAY()),NEGOCIAÇÕES!N1359,"")</f>
        <v/>
      </c>
    </row>
    <row r="1360" spans="2:5" ht="31.95" hidden="1" customHeight="1" x14ac:dyDescent="0.3">
      <c r="B1360" s="6" t="str">
        <f ca="1">IF(AND(NEGOCIAÇÕES!P1360="",NEGOCIAÇÕES!N1360&lt;TODAY()),NEGOCIAÇÕES!C1360,"")</f>
        <v/>
      </c>
      <c r="C1360" s="6" t="str">
        <f ca="1">IF(AND(NEGOCIAÇÕES!P1360="",NEGOCIAÇÕES!N1360&lt;TODAY()),NEGOCIAÇÕES!E1360,"")</f>
        <v/>
      </c>
      <c r="D1360" s="6" t="str">
        <f ca="1">IF(AND(NEGOCIAÇÕES!P1360="",NEGOCIAÇÕES!N1360&lt;TODAY()),NEGOCIAÇÕES!D1360,"")</f>
        <v/>
      </c>
      <c r="E1360" s="9" t="str">
        <f ca="1">IF(AND(NEGOCIAÇÕES!P1360="",NEGOCIAÇÕES!N1360&lt;TODAY()),NEGOCIAÇÕES!N1360,"")</f>
        <v/>
      </c>
    </row>
    <row r="1361" spans="2:5" ht="31.95" hidden="1" customHeight="1" x14ac:dyDescent="0.3">
      <c r="B1361" s="6" t="str">
        <f ca="1">IF(AND(NEGOCIAÇÕES!P1361="",NEGOCIAÇÕES!N1361&lt;TODAY()),NEGOCIAÇÕES!C1361,"")</f>
        <v/>
      </c>
      <c r="C1361" s="6" t="str">
        <f ca="1">IF(AND(NEGOCIAÇÕES!P1361="",NEGOCIAÇÕES!N1361&lt;TODAY()),NEGOCIAÇÕES!E1361,"")</f>
        <v/>
      </c>
      <c r="D1361" s="6" t="str">
        <f ca="1">IF(AND(NEGOCIAÇÕES!P1361="",NEGOCIAÇÕES!N1361&lt;TODAY()),NEGOCIAÇÕES!D1361,"")</f>
        <v/>
      </c>
      <c r="E1361" s="9" t="str">
        <f ca="1">IF(AND(NEGOCIAÇÕES!P1361="",NEGOCIAÇÕES!N1361&lt;TODAY()),NEGOCIAÇÕES!N1361,"")</f>
        <v/>
      </c>
    </row>
    <row r="1362" spans="2:5" ht="31.95" hidden="1" customHeight="1" x14ac:dyDescent="0.3">
      <c r="B1362" s="6" t="str">
        <f ca="1">IF(AND(NEGOCIAÇÕES!P1362="",NEGOCIAÇÕES!N1362&lt;TODAY()),NEGOCIAÇÕES!C1362,"")</f>
        <v/>
      </c>
      <c r="C1362" s="6" t="str">
        <f ca="1">IF(AND(NEGOCIAÇÕES!P1362="",NEGOCIAÇÕES!N1362&lt;TODAY()),NEGOCIAÇÕES!E1362,"")</f>
        <v/>
      </c>
      <c r="D1362" s="6" t="str">
        <f ca="1">IF(AND(NEGOCIAÇÕES!P1362="",NEGOCIAÇÕES!N1362&lt;TODAY()),NEGOCIAÇÕES!D1362,"")</f>
        <v/>
      </c>
      <c r="E1362" s="9" t="str">
        <f ca="1">IF(AND(NEGOCIAÇÕES!P1362="",NEGOCIAÇÕES!N1362&lt;TODAY()),NEGOCIAÇÕES!N1362,"")</f>
        <v/>
      </c>
    </row>
    <row r="1363" spans="2:5" ht="31.95" hidden="1" customHeight="1" x14ac:dyDescent="0.3">
      <c r="B1363" s="6" t="str">
        <f ca="1">IF(AND(NEGOCIAÇÕES!P1363="",NEGOCIAÇÕES!N1363&lt;TODAY()),NEGOCIAÇÕES!C1363,"")</f>
        <v/>
      </c>
      <c r="C1363" s="6" t="str">
        <f ca="1">IF(AND(NEGOCIAÇÕES!P1363="",NEGOCIAÇÕES!N1363&lt;TODAY()),NEGOCIAÇÕES!E1363,"")</f>
        <v/>
      </c>
      <c r="D1363" s="6" t="str">
        <f ca="1">IF(AND(NEGOCIAÇÕES!P1363="",NEGOCIAÇÕES!N1363&lt;TODAY()),NEGOCIAÇÕES!D1363,"")</f>
        <v/>
      </c>
      <c r="E1363" s="9" t="str">
        <f ca="1">IF(AND(NEGOCIAÇÕES!P1363="",NEGOCIAÇÕES!N1363&lt;TODAY()),NEGOCIAÇÕES!N1363,"")</f>
        <v/>
      </c>
    </row>
    <row r="1364" spans="2:5" ht="31.95" hidden="1" customHeight="1" x14ac:dyDescent="0.3">
      <c r="B1364" s="6" t="str">
        <f ca="1">IF(AND(NEGOCIAÇÕES!P1364="",NEGOCIAÇÕES!N1364&lt;TODAY()),NEGOCIAÇÕES!C1364,"")</f>
        <v/>
      </c>
      <c r="C1364" s="6" t="str">
        <f ca="1">IF(AND(NEGOCIAÇÕES!P1364="",NEGOCIAÇÕES!N1364&lt;TODAY()),NEGOCIAÇÕES!E1364,"")</f>
        <v/>
      </c>
      <c r="D1364" s="6" t="str">
        <f ca="1">IF(AND(NEGOCIAÇÕES!P1364="",NEGOCIAÇÕES!N1364&lt;TODAY()),NEGOCIAÇÕES!D1364,"")</f>
        <v/>
      </c>
      <c r="E1364" s="9" t="str">
        <f ca="1">IF(AND(NEGOCIAÇÕES!P1364="",NEGOCIAÇÕES!N1364&lt;TODAY()),NEGOCIAÇÕES!N1364,"")</f>
        <v/>
      </c>
    </row>
    <row r="1365" spans="2:5" ht="31.95" customHeight="1" x14ac:dyDescent="0.3">
      <c r="B1365" s="6">
        <f ca="1">IF(AND(NEGOCIAÇÕES!P1365="",NEGOCIAÇÕES!N1365&lt;TODAY()),NEGOCIAÇÕES!C1365,"")</f>
        <v>1361</v>
      </c>
      <c r="C1365" s="6" t="str">
        <f ca="1">IF(AND(NEGOCIAÇÕES!P1365="",NEGOCIAÇÕES!N1365&lt;TODAY()),NEGOCIAÇÕES!E1365,"")</f>
        <v>OS 392.25</v>
      </c>
      <c r="D1365" s="6" t="str">
        <f ca="1">IF(AND(NEGOCIAÇÕES!P1365="",NEGOCIAÇÕES!N1365&lt;TODAY()),NEGOCIAÇÕES!D1365,"")</f>
        <v>RV - COMPOSITOS</v>
      </c>
      <c r="E1365" s="9">
        <f ca="1">IF(AND(NEGOCIAÇÕES!P1365="",NEGOCIAÇÕES!N1365&lt;TODAY()),NEGOCIAÇÕES!N1365,"")</f>
        <v>46037</v>
      </c>
    </row>
    <row r="1366" spans="2:5" ht="31.95" customHeight="1" x14ac:dyDescent="0.3">
      <c r="B1366" s="6">
        <f ca="1">IF(AND(NEGOCIAÇÕES!P1366="",NEGOCIAÇÕES!N1366&lt;TODAY()),NEGOCIAÇÕES!C1366,"")</f>
        <v>1362</v>
      </c>
      <c r="C1366" s="6" t="str">
        <f ca="1">IF(AND(NEGOCIAÇÕES!P1366="",NEGOCIAÇÕES!N1366&lt;TODAY()),NEGOCIAÇÕES!E1366,"")</f>
        <v>OS 392.25</v>
      </c>
      <c r="D1366" s="6" t="str">
        <f ca="1">IF(AND(NEGOCIAÇÕES!P1366="",NEGOCIAÇÕES!N1366&lt;TODAY()),NEGOCIAÇÕES!D1366,"")</f>
        <v>PAFER COMÉRCIO E REPRESENTAÇÕES LTDA</v>
      </c>
      <c r="E1366" s="9">
        <f ca="1">IF(AND(NEGOCIAÇÕES!P1366="",NEGOCIAÇÕES!N1366&lt;TODAY()),NEGOCIAÇÕES!N1366,"")</f>
        <v>46037</v>
      </c>
    </row>
    <row r="1367" spans="2:5" ht="31.95" hidden="1" customHeight="1" x14ac:dyDescent="0.3">
      <c r="B1367" s="6" t="str">
        <f ca="1">IF(AND(NEGOCIAÇÕES!P1367="",NEGOCIAÇÕES!N1367&lt;TODAY()),NEGOCIAÇÕES!C1367,"")</f>
        <v/>
      </c>
      <c r="C1367" s="6" t="str">
        <f ca="1">IF(AND(NEGOCIAÇÕES!P1367="",NEGOCIAÇÕES!N1367&lt;TODAY()),NEGOCIAÇÕES!E1367,"")</f>
        <v/>
      </c>
      <c r="D1367" s="6" t="str">
        <f ca="1">IF(AND(NEGOCIAÇÕES!P1367="",NEGOCIAÇÕES!N1367&lt;TODAY()),NEGOCIAÇÕES!D1367,"")</f>
        <v/>
      </c>
      <c r="E1367" s="9" t="str">
        <f ca="1">IF(AND(NEGOCIAÇÕES!P1367="",NEGOCIAÇÕES!N1367&lt;TODAY()),NEGOCIAÇÕES!N1367,"")</f>
        <v/>
      </c>
    </row>
    <row r="1368" spans="2:5" ht="31.95" hidden="1" customHeight="1" x14ac:dyDescent="0.3">
      <c r="B1368" s="6" t="str">
        <f ca="1">IF(AND(NEGOCIAÇÕES!P1368="",NEGOCIAÇÕES!N1368&lt;TODAY()),NEGOCIAÇÕES!C1368,"")</f>
        <v/>
      </c>
      <c r="C1368" s="6" t="str">
        <f ca="1">IF(AND(NEGOCIAÇÕES!P1368="",NEGOCIAÇÕES!N1368&lt;TODAY()),NEGOCIAÇÕES!E1368,"")</f>
        <v/>
      </c>
      <c r="D1368" s="6" t="str">
        <f ca="1">IF(AND(NEGOCIAÇÕES!P1368="",NEGOCIAÇÕES!N1368&lt;TODAY()),NEGOCIAÇÕES!D1368,"")</f>
        <v/>
      </c>
      <c r="E1368" s="9" t="str">
        <f ca="1">IF(AND(NEGOCIAÇÕES!P1368="",NEGOCIAÇÕES!N1368&lt;TODAY()),NEGOCIAÇÕES!N1368,"")</f>
        <v/>
      </c>
    </row>
    <row r="1369" spans="2:5" ht="31.95" hidden="1" customHeight="1" x14ac:dyDescent="0.3">
      <c r="B1369" s="6" t="str">
        <f ca="1">IF(AND(NEGOCIAÇÕES!P1369="",NEGOCIAÇÕES!N1369&lt;TODAY()),NEGOCIAÇÕES!C1369,"")</f>
        <v/>
      </c>
      <c r="C1369" s="6" t="str">
        <f ca="1">IF(AND(NEGOCIAÇÕES!P1369="",NEGOCIAÇÕES!N1369&lt;TODAY()),NEGOCIAÇÕES!E1369,"")</f>
        <v/>
      </c>
      <c r="D1369" s="6" t="str">
        <f ca="1">IF(AND(NEGOCIAÇÕES!P1369="",NEGOCIAÇÕES!N1369&lt;TODAY()),NEGOCIAÇÕES!D1369,"")</f>
        <v/>
      </c>
      <c r="E1369" s="9" t="str">
        <f ca="1">IF(AND(NEGOCIAÇÕES!P1369="",NEGOCIAÇÕES!N1369&lt;TODAY()),NEGOCIAÇÕES!N1369,"")</f>
        <v/>
      </c>
    </row>
    <row r="1370" spans="2:5" ht="31.95" hidden="1" customHeight="1" x14ac:dyDescent="0.3">
      <c r="B1370" s="6" t="str">
        <f ca="1">IF(AND(NEGOCIAÇÕES!P1370="",NEGOCIAÇÕES!N1370&lt;TODAY()),NEGOCIAÇÕES!C1370,"")</f>
        <v/>
      </c>
      <c r="C1370" s="6" t="str">
        <f ca="1">IF(AND(NEGOCIAÇÕES!P1370="",NEGOCIAÇÕES!N1370&lt;TODAY()),NEGOCIAÇÕES!E1370,"")</f>
        <v/>
      </c>
      <c r="D1370" s="6" t="str">
        <f ca="1">IF(AND(NEGOCIAÇÕES!P1370="",NEGOCIAÇÕES!N1370&lt;TODAY()),NEGOCIAÇÕES!D1370,"")</f>
        <v/>
      </c>
      <c r="E1370" s="9" t="str">
        <f ca="1">IF(AND(NEGOCIAÇÕES!P1370="",NEGOCIAÇÕES!N1370&lt;TODAY()),NEGOCIAÇÕES!N1370,"")</f>
        <v/>
      </c>
    </row>
    <row r="1371" spans="2:5" ht="31.95" hidden="1" customHeight="1" x14ac:dyDescent="0.3">
      <c r="B1371" s="6" t="str">
        <f ca="1">IF(AND(NEGOCIAÇÕES!P1371="",NEGOCIAÇÕES!N1371&lt;TODAY()),NEGOCIAÇÕES!C1371,"")</f>
        <v/>
      </c>
      <c r="C1371" s="6" t="str">
        <f ca="1">IF(AND(NEGOCIAÇÕES!P1371="",NEGOCIAÇÕES!N1371&lt;TODAY()),NEGOCIAÇÕES!E1371,"")</f>
        <v/>
      </c>
      <c r="D1371" s="6" t="str">
        <f ca="1">IF(AND(NEGOCIAÇÕES!P1371="",NEGOCIAÇÕES!N1371&lt;TODAY()),NEGOCIAÇÕES!D1371,"")</f>
        <v/>
      </c>
      <c r="E1371" s="9" t="str">
        <f ca="1">IF(AND(NEGOCIAÇÕES!P1371="",NEGOCIAÇÕES!N1371&lt;TODAY()),NEGOCIAÇÕES!N1371,"")</f>
        <v/>
      </c>
    </row>
    <row r="1372" spans="2:5" ht="31.95" hidden="1" customHeight="1" x14ac:dyDescent="0.3">
      <c r="B1372" s="6" t="str">
        <f ca="1">IF(AND(NEGOCIAÇÕES!P1372="",NEGOCIAÇÕES!N1372&lt;TODAY()),NEGOCIAÇÕES!C1372,"")</f>
        <v/>
      </c>
      <c r="C1372" s="6" t="str">
        <f ca="1">IF(AND(NEGOCIAÇÕES!P1372="",NEGOCIAÇÕES!N1372&lt;TODAY()),NEGOCIAÇÕES!E1372,"")</f>
        <v/>
      </c>
      <c r="D1372" s="6" t="str">
        <f ca="1">IF(AND(NEGOCIAÇÕES!P1372="",NEGOCIAÇÕES!N1372&lt;TODAY()),NEGOCIAÇÕES!D1372,"")</f>
        <v/>
      </c>
      <c r="E1372" s="9" t="str">
        <f ca="1">IF(AND(NEGOCIAÇÕES!P1372="",NEGOCIAÇÕES!N1372&lt;TODAY()),NEGOCIAÇÕES!N1372,"")</f>
        <v/>
      </c>
    </row>
    <row r="1373" spans="2:5" ht="31.95" customHeight="1" x14ac:dyDescent="0.3">
      <c r="B1373" s="6">
        <f ca="1">IF(AND(NEGOCIAÇÕES!P1373="",NEGOCIAÇÕES!N1373&lt;TODAY()),NEGOCIAÇÕES!C1373,"")</f>
        <v>1369</v>
      </c>
      <c r="C1373" s="6" t="str">
        <f ca="1">IF(AND(NEGOCIAÇÕES!P1373="",NEGOCIAÇÕES!N1373&lt;TODAY()),NEGOCIAÇÕES!E1373,"")</f>
        <v>OS 392.25</v>
      </c>
      <c r="D1373" s="6" t="str">
        <f ca="1">IF(AND(NEGOCIAÇÕES!P1373="",NEGOCIAÇÕES!N1373&lt;TODAY()),NEGOCIAÇÕES!D1373,"")</f>
        <v>Maziero Máquinas e equipamentos</v>
      </c>
      <c r="E1373" s="9">
        <f ca="1">IF(AND(NEGOCIAÇÕES!P1373="",NEGOCIAÇÕES!N1373&lt;TODAY()),NEGOCIAÇÕES!N1373,"")</f>
        <v>46032</v>
      </c>
    </row>
    <row r="1374" spans="2:5" ht="31.95" customHeight="1" x14ac:dyDescent="0.3">
      <c r="B1374" s="6">
        <f ca="1">IF(AND(NEGOCIAÇÕES!P1374="",NEGOCIAÇÕES!N1374&lt;TODAY()),NEGOCIAÇÕES!C1374,"")</f>
        <v>1370</v>
      </c>
      <c r="C1374" s="6" t="str">
        <f ca="1">IF(AND(NEGOCIAÇÕES!P1374="",NEGOCIAÇÕES!N1374&lt;TODAY()),NEGOCIAÇÕES!E1374,"")</f>
        <v>OS 392.25</v>
      </c>
      <c r="D1374" s="6" t="str">
        <f ca="1">IF(AND(NEGOCIAÇÕES!P1374="",NEGOCIAÇÕES!N1374&lt;TODAY()),NEGOCIAÇÕES!D1374,"")</f>
        <v>TENAX ACO E FERRO MATRIZ</v>
      </c>
      <c r="E1374" s="9">
        <f ca="1">IF(AND(NEGOCIAÇÕES!P1374="",NEGOCIAÇÕES!N1374&lt;TODAY()),NEGOCIAÇÕES!N1374,"")</f>
        <v>46007</v>
      </c>
    </row>
    <row r="1375" spans="2:5" ht="31.95" hidden="1" customHeight="1" x14ac:dyDescent="0.3">
      <c r="B1375" s="6" t="str">
        <f ca="1">IF(AND(NEGOCIAÇÕES!P1375="",NEGOCIAÇÕES!N1375&lt;TODAY()),NEGOCIAÇÕES!C1375,"")</f>
        <v/>
      </c>
      <c r="C1375" s="6" t="str">
        <f ca="1">IF(AND(NEGOCIAÇÕES!P1375="",NEGOCIAÇÕES!N1375&lt;TODAY()),NEGOCIAÇÕES!E1375,"")</f>
        <v/>
      </c>
      <c r="D1375" s="6" t="str">
        <f ca="1">IF(AND(NEGOCIAÇÕES!P1375="",NEGOCIAÇÕES!N1375&lt;TODAY()),NEGOCIAÇÕES!D1375,"")</f>
        <v/>
      </c>
      <c r="E1375" s="9" t="str">
        <f ca="1">IF(AND(NEGOCIAÇÕES!P1375="",NEGOCIAÇÕES!N1375&lt;TODAY()),NEGOCIAÇÕES!N1375,"")</f>
        <v/>
      </c>
    </row>
    <row r="1376" spans="2:5" ht="31.95" customHeight="1" x14ac:dyDescent="0.3">
      <c r="B1376" s="6">
        <f ca="1">IF(AND(NEGOCIAÇÕES!P1376="",NEGOCIAÇÕES!N1376&lt;TODAY()),NEGOCIAÇÕES!C1376,"")</f>
        <v>1372</v>
      </c>
      <c r="C1376" s="6" t="str">
        <f ca="1">IF(AND(NEGOCIAÇÕES!P1376="",NEGOCIAÇÕES!N1376&lt;TODAY()),NEGOCIAÇÕES!E1376,"")</f>
        <v>OS 392.25</v>
      </c>
      <c r="D1376" s="6" t="str">
        <f ca="1">IF(AND(NEGOCIAÇÕES!P1376="",NEGOCIAÇÕES!N1376&lt;TODAY()),NEGOCIAÇÕES!D1376,"")</f>
        <v>SPECIAL TUBOS E AÇOS LTDA.</v>
      </c>
      <c r="E1376" s="9">
        <f ca="1">IF(AND(NEGOCIAÇÕES!P1376="",NEGOCIAÇÕES!N1376&lt;TODAY()),NEGOCIAÇÕES!N1376,"")</f>
        <v>46030</v>
      </c>
    </row>
    <row r="1377" spans="2:5" ht="31.95" hidden="1" customHeight="1" x14ac:dyDescent="0.3">
      <c r="B1377" s="6" t="str">
        <f ca="1">IF(AND(NEGOCIAÇÕES!P1377="",NEGOCIAÇÕES!N1377&lt;TODAY()),NEGOCIAÇÕES!C1377,"")</f>
        <v/>
      </c>
      <c r="C1377" s="6" t="str">
        <f ca="1">IF(AND(NEGOCIAÇÕES!P1377="",NEGOCIAÇÕES!N1377&lt;TODAY()),NEGOCIAÇÕES!E1377,"")</f>
        <v/>
      </c>
      <c r="D1377" s="6" t="str">
        <f ca="1">IF(AND(NEGOCIAÇÕES!P1377="",NEGOCIAÇÕES!N1377&lt;TODAY()),NEGOCIAÇÕES!D1377,"")</f>
        <v/>
      </c>
      <c r="E1377" s="9" t="str">
        <f ca="1">IF(AND(NEGOCIAÇÕES!P1377="",NEGOCIAÇÕES!N1377&lt;TODAY()),NEGOCIAÇÕES!N1377,"")</f>
        <v/>
      </c>
    </row>
    <row r="1378" spans="2:5" ht="31.95" hidden="1" customHeight="1" x14ac:dyDescent="0.3">
      <c r="B1378" s="6" t="str">
        <f ca="1">IF(AND(NEGOCIAÇÕES!P1378="",NEGOCIAÇÕES!N1378&lt;TODAY()),NEGOCIAÇÕES!C1378,"")</f>
        <v/>
      </c>
      <c r="C1378" s="6" t="str">
        <f ca="1">IF(AND(NEGOCIAÇÕES!P1378="",NEGOCIAÇÕES!N1378&lt;TODAY()),NEGOCIAÇÕES!E1378,"")</f>
        <v/>
      </c>
      <c r="D1378" s="6" t="str">
        <f ca="1">IF(AND(NEGOCIAÇÕES!P1378="",NEGOCIAÇÕES!N1378&lt;TODAY()),NEGOCIAÇÕES!D1378,"")</f>
        <v/>
      </c>
      <c r="E1378" s="9" t="str">
        <f ca="1">IF(AND(NEGOCIAÇÕES!P1378="",NEGOCIAÇÕES!N1378&lt;TODAY()),NEGOCIAÇÕES!N1378,"")</f>
        <v/>
      </c>
    </row>
    <row r="1379" spans="2:5" ht="31.95" hidden="1" customHeight="1" x14ac:dyDescent="0.3">
      <c r="B1379" s="6" t="str">
        <f ca="1">IF(AND(NEGOCIAÇÕES!P1379="",NEGOCIAÇÕES!N1379&lt;TODAY()),NEGOCIAÇÕES!C1379,"")</f>
        <v/>
      </c>
      <c r="C1379" s="6" t="str">
        <f ca="1">IF(AND(NEGOCIAÇÕES!P1379="",NEGOCIAÇÕES!N1379&lt;TODAY()),NEGOCIAÇÕES!E1379,"")</f>
        <v/>
      </c>
      <c r="D1379" s="6" t="str">
        <f ca="1">IF(AND(NEGOCIAÇÕES!P1379="",NEGOCIAÇÕES!N1379&lt;TODAY()),NEGOCIAÇÕES!D1379,"")</f>
        <v/>
      </c>
      <c r="E1379" s="9" t="str">
        <f ca="1">IF(AND(NEGOCIAÇÕES!P1379="",NEGOCIAÇÕES!N1379&lt;TODAY()),NEGOCIAÇÕES!N1379,"")</f>
        <v/>
      </c>
    </row>
    <row r="1380" spans="2:5" ht="31.95" hidden="1" customHeight="1" x14ac:dyDescent="0.3">
      <c r="B1380" s="6" t="str">
        <f ca="1">IF(AND(NEGOCIAÇÕES!P1380="",NEGOCIAÇÕES!N1380&lt;TODAY()),NEGOCIAÇÕES!C1380,"")</f>
        <v/>
      </c>
      <c r="C1380" s="6" t="str">
        <f ca="1">IF(AND(NEGOCIAÇÕES!P1380="",NEGOCIAÇÕES!N1380&lt;TODAY()),NEGOCIAÇÕES!E1380,"")</f>
        <v/>
      </c>
      <c r="D1380" s="6" t="str">
        <f ca="1">IF(AND(NEGOCIAÇÕES!P1380="",NEGOCIAÇÕES!N1380&lt;TODAY()),NEGOCIAÇÕES!D1380,"")</f>
        <v/>
      </c>
      <c r="E1380" s="9" t="str">
        <f ca="1">IF(AND(NEGOCIAÇÕES!P1380="",NEGOCIAÇÕES!N1380&lt;TODAY()),NEGOCIAÇÕES!N1380,"")</f>
        <v/>
      </c>
    </row>
    <row r="1381" spans="2:5" ht="31.95" hidden="1" customHeight="1" x14ac:dyDescent="0.3">
      <c r="B1381" s="6" t="str">
        <f ca="1">IF(AND(NEGOCIAÇÕES!P1381="",NEGOCIAÇÕES!N1381&lt;TODAY()),NEGOCIAÇÕES!C1381,"")</f>
        <v/>
      </c>
      <c r="C1381" s="6" t="str">
        <f ca="1">IF(AND(NEGOCIAÇÕES!P1381="",NEGOCIAÇÕES!N1381&lt;TODAY()),NEGOCIAÇÕES!E1381,"")</f>
        <v/>
      </c>
      <c r="D1381" s="6" t="str">
        <f ca="1">IF(AND(NEGOCIAÇÕES!P1381="",NEGOCIAÇÕES!N1381&lt;TODAY()),NEGOCIAÇÕES!D1381,"")</f>
        <v/>
      </c>
      <c r="E1381" s="9" t="str">
        <f ca="1">IF(AND(NEGOCIAÇÕES!P1381="",NEGOCIAÇÕES!N1381&lt;TODAY()),NEGOCIAÇÕES!N1381,"")</f>
        <v/>
      </c>
    </row>
    <row r="1382" spans="2:5" ht="31.95" hidden="1" customHeight="1" x14ac:dyDescent="0.3">
      <c r="B1382" s="6" t="str">
        <f ca="1">IF(AND(NEGOCIAÇÕES!P1382="",NEGOCIAÇÕES!N1382&lt;TODAY()),NEGOCIAÇÕES!C1382,"")</f>
        <v/>
      </c>
      <c r="C1382" s="6" t="str">
        <f ca="1">IF(AND(NEGOCIAÇÕES!P1382="",NEGOCIAÇÕES!N1382&lt;TODAY()),NEGOCIAÇÕES!E1382,"")</f>
        <v/>
      </c>
      <c r="D1382" s="6" t="str">
        <f ca="1">IF(AND(NEGOCIAÇÕES!P1382="",NEGOCIAÇÕES!N1382&lt;TODAY()),NEGOCIAÇÕES!D1382,"")</f>
        <v/>
      </c>
      <c r="E1382" s="9" t="str">
        <f ca="1">IF(AND(NEGOCIAÇÕES!P1382="",NEGOCIAÇÕES!N1382&lt;TODAY()),NEGOCIAÇÕES!N1382,"")</f>
        <v/>
      </c>
    </row>
    <row r="1383" spans="2:5" ht="31.95" hidden="1" customHeight="1" x14ac:dyDescent="0.3">
      <c r="B1383" s="6" t="str">
        <f ca="1">IF(AND(NEGOCIAÇÕES!P1383="",NEGOCIAÇÕES!N1383&lt;TODAY()),NEGOCIAÇÕES!C1383,"")</f>
        <v/>
      </c>
      <c r="C1383" s="6" t="str">
        <f ca="1">IF(AND(NEGOCIAÇÕES!P1383="",NEGOCIAÇÕES!N1383&lt;TODAY()),NEGOCIAÇÕES!E1383,"")</f>
        <v/>
      </c>
      <c r="D1383" s="6" t="str">
        <f ca="1">IF(AND(NEGOCIAÇÕES!P1383="",NEGOCIAÇÕES!N1383&lt;TODAY()),NEGOCIAÇÕES!D1383,"")</f>
        <v/>
      </c>
      <c r="E1383" s="9" t="str">
        <f ca="1">IF(AND(NEGOCIAÇÕES!P1383="",NEGOCIAÇÕES!N1383&lt;TODAY()),NEGOCIAÇÕES!N1383,"")</f>
        <v/>
      </c>
    </row>
    <row r="1384" spans="2:5" ht="31.95" customHeight="1" x14ac:dyDescent="0.3">
      <c r="B1384" s="6">
        <f ca="1">IF(AND(NEGOCIAÇÕES!P1384="",NEGOCIAÇÕES!N1384&lt;TODAY()),NEGOCIAÇÕES!C1384,"")</f>
        <v>1380</v>
      </c>
      <c r="C1384" s="6" t="str">
        <f ca="1">IF(AND(NEGOCIAÇÕES!P1384="",NEGOCIAÇÕES!N1384&lt;TODAY()),NEGOCIAÇÕES!E1384,"")</f>
        <v>OS 392.25</v>
      </c>
      <c r="D1384" s="6" t="str">
        <f ca="1">IF(AND(NEGOCIAÇÕES!P1384="",NEGOCIAÇÕES!N1384&lt;TODAY()),NEGOCIAÇÕES!D1384,"")</f>
        <v>Maziero Máquinas e equipamentos</v>
      </c>
      <c r="E1384" s="9">
        <f ca="1">IF(AND(NEGOCIAÇÕES!P1384="",NEGOCIAÇÕES!N1384&lt;TODAY()),NEGOCIAÇÕES!N1384,"")</f>
        <v>46031</v>
      </c>
    </row>
    <row r="1385" spans="2:5" ht="31.95" customHeight="1" x14ac:dyDescent="0.3">
      <c r="B1385" s="6">
        <f ca="1">IF(AND(NEGOCIAÇÕES!P1385="",NEGOCIAÇÕES!N1385&lt;TODAY()),NEGOCIAÇÕES!C1385,"")</f>
        <v>1381</v>
      </c>
      <c r="C1385" s="6" t="str">
        <f ca="1">IF(AND(NEGOCIAÇÕES!P1385="",NEGOCIAÇÕES!N1385&lt;TODAY()),NEGOCIAÇÕES!E1385,"")</f>
        <v>OS 376.25</v>
      </c>
      <c r="D1385" s="6" t="str">
        <f ca="1">IF(AND(NEGOCIAÇÕES!P1385="",NEGOCIAÇÕES!N1385&lt;TODAY()),NEGOCIAÇÕES!D1385,"")</f>
        <v>DS RIO VEDAÇÕES  - EIRELI</v>
      </c>
      <c r="E1385" s="9">
        <f ca="1">IF(AND(NEGOCIAÇÕES!P1385="",NEGOCIAÇÕES!N1385&lt;TODAY()),NEGOCIAÇÕES!N1385,"")</f>
        <v>46034</v>
      </c>
    </row>
    <row r="1386" spans="2:5" ht="31.95" customHeight="1" x14ac:dyDescent="0.3">
      <c r="B1386" s="6">
        <f ca="1">IF(AND(NEGOCIAÇÕES!P1386="",NEGOCIAÇÕES!N1386&lt;TODAY()),NEGOCIAÇÕES!C1386,"")</f>
        <v>1382</v>
      </c>
      <c r="C1386" s="6" t="str">
        <f ca="1">IF(AND(NEGOCIAÇÕES!P1386="",NEGOCIAÇÕES!N1386&lt;TODAY()),NEGOCIAÇÕES!E1386,"")</f>
        <v>OS 397.25</v>
      </c>
      <c r="D1386" s="6" t="str">
        <f ca="1">IF(AND(NEGOCIAÇÕES!P1386="",NEGOCIAÇÕES!N1386&lt;TODAY()),NEGOCIAÇÕES!D1386,"")</f>
        <v xml:space="preserve">RJM COMERCIO E CONEXÕES EIRELI </v>
      </c>
      <c r="E1386" s="9">
        <f ca="1">IF(AND(NEGOCIAÇÕES!P1386="",NEGOCIAÇÕES!N1386&lt;TODAY()),NEGOCIAÇÕES!N1386,"")</f>
        <v>46028</v>
      </c>
    </row>
    <row r="1387" spans="2:5" ht="31.95" customHeight="1" x14ac:dyDescent="0.3">
      <c r="B1387" s="6">
        <f ca="1">IF(AND(NEGOCIAÇÕES!P1387="",NEGOCIAÇÕES!N1387&lt;TODAY()),NEGOCIAÇÕES!C1387,"")</f>
        <v>1383</v>
      </c>
      <c r="C1387" s="6" t="str">
        <f ca="1">IF(AND(NEGOCIAÇÕES!P1387="",NEGOCIAÇÕES!N1387&lt;TODAY()),NEGOCIAÇÕES!E1387,"")</f>
        <v>OS 396.25</v>
      </c>
      <c r="D1387" s="6" t="str">
        <f ca="1">IF(AND(NEGOCIAÇÕES!P1387="",NEGOCIAÇÕES!N1387&lt;TODAY()),NEGOCIAÇÕES!D1387,"")</f>
        <v>PAFER COMÉRCIO E REPRESENTAÇÕES LTDA</v>
      </c>
      <c r="E1387" s="9">
        <f ca="1">IF(AND(NEGOCIAÇÕES!P1387="",NEGOCIAÇÕES!N1387&lt;TODAY()),NEGOCIAÇÕES!N1387,"")</f>
        <v>46036</v>
      </c>
    </row>
    <row r="1388" spans="2:5" ht="31.95" customHeight="1" x14ac:dyDescent="0.3">
      <c r="B1388" s="6">
        <f ca="1">IF(AND(NEGOCIAÇÕES!P1388="",NEGOCIAÇÕES!N1388&lt;TODAY()),NEGOCIAÇÕES!C1388,"")</f>
        <v>1384</v>
      </c>
      <c r="C1388" s="6" t="str">
        <f ca="1">IF(AND(NEGOCIAÇÕES!P1388="",NEGOCIAÇÕES!N1388&lt;TODAY()),NEGOCIAÇÕES!E1388,"")</f>
        <v>-</v>
      </c>
      <c r="D1388" s="6" t="str">
        <f ca="1">IF(AND(NEGOCIAÇÕES!P1388="",NEGOCIAÇÕES!N1388&lt;TODAY()),NEGOCIAÇÕES!D1388,"")</f>
        <v>AENEJOTA FERRAGENS LTDA</v>
      </c>
      <c r="E1388" s="9">
        <f ca="1">IF(AND(NEGOCIAÇÕES!P1388="",NEGOCIAÇÕES!N1388&lt;TODAY()),NEGOCIAÇÕES!N1388,"")</f>
        <v>46028</v>
      </c>
    </row>
    <row r="1389" spans="2:5" ht="31.95" customHeight="1" x14ac:dyDescent="0.3">
      <c r="B1389" s="6">
        <f ca="1">IF(AND(NEGOCIAÇÕES!P1389="",NEGOCIAÇÕES!N1389&lt;TODAY()),NEGOCIAÇÕES!C1389,"")</f>
        <v>1385</v>
      </c>
      <c r="C1389" s="6" t="str">
        <f ca="1">IF(AND(NEGOCIAÇÕES!P1389="",NEGOCIAÇÕES!N1389&lt;TODAY()),NEGOCIAÇÕES!E1389,"")</f>
        <v>OS 401.25</v>
      </c>
      <c r="D1389" s="6" t="str">
        <f ca="1">IF(AND(NEGOCIAÇÕES!P1389="",NEGOCIAÇÕES!N1389&lt;TODAY()),NEGOCIAÇÕES!D1389,"")</f>
        <v>PAFER COMÉRCIO E REPRESENTAÇÕES LTDA</v>
      </c>
      <c r="E1389" s="9">
        <f ca="1">IF(AND(NEGOCIAÇÕES!P1389="",NEGOCIAÇÕES!N1389&lt;TODAY()),NEGOCIAÇÕES!N1389,"")</f>
        <v>46034</v>
      </c>
    </row>
    <row r="1390" spans="2:5" ht="31.95" customHeight="1" x14ac:dyDescent="0.3">
      <c r="B1390" s="6">
        <f ca="1">IF(AND(NEGOCIAÇÕES!P1390="",NEGOCIAÇÕES!N1390&lt;TODAY()),NEGOCIAÇÕES!C1390,"")</f>
        <v>1386</v>
      </c>
      <c r="C1390" s="6" t="str">
        <f ca="1">IF(AND(NEGOCIAÇÕES!P1390="",NEGOCIAÇÕES!N1390&lt;TODAY()),NEGOCIAÇÕES!E1390,"")</f>
        <v>OS 398.25</v>
      </c>
      <c r="D1390" s="6" t="str">
        <f ca="1">IF(AND(NEGOCIAÇÕES!P1390="",NEGOCIAÇÕES!N1390&lt;TODAY()),NEGOCIAÇÕES!D1390,"")</f>
        <v>ANJ TINTAS NAVAIS E INDUSTRIAL LTDA</v>
      </c>
      <c r="E1390" s="9">
        <f ca="1">IF(AND(NEGOCIAÇÕES!P1390="",NEGOCIAÇÕES!N1390&lt;TODAY()),NEGOCIAÇÕES!N1390,"")</f>
        <v>46028</v>
      </c>
    </row>
    <row r="1391" spans="2:5" ht="31.95" customHeight="1" x14ac:dyDescent="0.3">
      <c r="B1391" s="6">
        <f ca="1">IF(AND(NEGOCIAÇÕES!P1391="",NEGOCIAÇÕES!N1391&lt;TODAY()),NEGOCIAÇÕES!C1391,"")</f>
        <v>1387</v>
      </c>
      <c r="C1391" s="6" t="str">
        <f ca="1">IF(AND(NEGOCIAÇÕES!P1391="",NEGOCIAÇÕES!N1391&lt;TODAY()),NEGOCIAÇÕES!E1391,"")</f>
        <v>OS 398.25</v>
      </c>
      <c r="D1391" s="6" t="str">
        <f ca="1">IF(AND(NEGOCIAÇÕES!P1391="",NEGOCIAÇÕES!N1391&lt;TODAY()),NEGOCIAÇÕES!D1391,"")</f>
        <v>PAFER COMÉRCIO E REPRESENTAÇÕES LTDA</v>
      </c>
      <c r="E1391" s="9">
        <f ca="1">IF(AND(NEGOCIAÇÕES!P1391="",NEGOCIAÇÕES!N1391&lt;TODAY()),NEGOCIAÇÕES!N1391,"")</f>
        <v>46028</v>
      </c>
    </row>
    <row r="1392" spans="2:5" ht="31.95" customHeight="1" x14ac:dyDescent="0.3">
      <c r="B1392" s="6">
        <f ca="1">IF(AND(NEGOCIAÇÕES!P1392="",NEGOCIAÇÕES!N1392&lt;TODAY()),NEGOCIAÇÕES!C1392,"")</f>
        <v>1388</v>
      </c>
      <c r="C1392" s="6" t="str">
        <f ca="1">IF(AND(NEGOCIAÇÕES!P1392="",NEGOCIAÇÕES!N1392&lt;TODAY()),NEGOCIAÇÕES!E1392,"")</f>
        <v>OS 397.25</v>
      </c>
      <c r="D1392" s="6" t="str">
        <f ca="1">IF(AND(NEGOCIAÇÕES!P1392="",NEGOCIAÇÕES!N1392&lt;TODAY()),NEGOCIAÇÕES!D1392,"")</f>
        <v>DS RIO VEDAÇÕES  - EIRELI</v>
      </c>
      <c r="E1392" s="9">
        <f ca="1">IF(AND(NEGOCIAÇÕES!P1392="",NEGOCIAÇÕES!N1392&lt;TODAY()),NEGOCIAÇÕES!N1392,"")</f>
        <v>46036</v>
      </c>
    </row>
    <row r="1393" spans="2:5" ht="31.95" customHeight="1" x14ac:dyDescent="0.3">
      <c r="B1393" s="6">
        <f ca="1">IF(AND(NEGOCIAÇÕES!P1393="",NEGOCIAÇÕES!N1393&lt;TODAY()),NEGOCIAÇÕES!C1393,"")</f>
        <v>1389</v>
      </c>
      <c r="C1393" s="6" t="str">
        <f ca="1">IF(AND(NEGOCIAÇÕES!P1393="",NEGOCIAÇÕES!N1393&lt;TODAY()),NEGOCIAÇÕES!E1393,"")</f>
        <v>OS 396.25</v>
      </c>
      <c r="D1393" s="6" t="str">
        <f ca="1">IF(AND(NEGOCIAÇÕES!P1393="",NEGOCIAÇÕES!N1393&lt;TODAY()),NEGOCIAÇÕES!D1393,"")</f>
        <v>AENEJOTA FERRAGENS LTDA</v>
      </c>
      <c r="E1393" s="9">
        <f ca="1">IF(AND(NEGOCIAÇÕES!P1393="",NEGOCIAÇÕES!N1393&lt;TODAY()),NEGOCIAÇÕES!N1393,"")</f>
        <v>46028</v>
      </c>
    </row>
    <row r="1394" spans="2:5" ht="31.95" customHeight="1" x14ac:dyDescent="0.3">
      <c r="B1394" s="6">
        <f ca="1">IF(AND(NEGOCIAÇÕES!P1394="",NEGOCIAÇÕES!N1394&lt;TODAY()),NEGOCIAÇÕES!C1394,"")</f>
        <v>1390</v>
      </c>
      <c r="C1394" s="6" t="str">
        <f ca="1">IF(AND(NEGOCIAÇÕES!P1394="",NEGOCIAÇÕES!N1394&lt;TODAY()),NEGOCIAÇÕES!E1394,"")</f>
        <v>OS 396.25</v>
      </c>
      <c r="D1394" s="6" t="str">
        <f ca="1">IF(AND(NEGOCIAÇÕES!P1394="",NEGOCIAÇÕES!N1394&lt;TODAY()),NEGOCIAÇÕES!D1394,"")</f>
        <v>ISOPRO COMERCIO DE JUNTAS E SOLDAS LTDA</v>
      </c>
      <c r="E1394" s="9">
        <f ca="1">IF(AND(NEGOCIAÇÕES!P1394="",NEGOCIAÇÕES!N1394&lt;TODAY()),NEGOCIAÇÕES!N1394,"")</f>
        <v>46028</v>
      </c>
    </row>
    <row r="1395" spans="2:5" ht="31.95" customHeight="1" x14ac:dyDescent="0.3">
      <c r="B1395" s="6">
        <f ca="1">IF(AND(NEGOCIAÇÕES!P1395="",NEGOCIAÇÕES!N1395&lt;TODAY()),NEGOCIAÇÕES!C1395,"")</f>
        <v>1391</v>
      </c>
      <c r="C1395" s="6" t="str">
        <f ca="1">IF(AND(NEGOCIAÇÕES!P1395="",NEGOCIAÇÕES!N1395&lt;TODAY()),NEGOCIAÇÕES!E1395,"")</f>
        <v>-</v>
      </c>
      <c r="D1395" s="6" t="str">
        <f ca="1">IF(AND(NEGOCIAÇÕES!P1395="",NEGOCIAÇÕES!N1395&lt;TODAY()),NEGOCIAÇÕES!D1395,"")</f>
        <v>AENEJOTA FERRAGENS LTDA</v>
      </c>
      <c r="E1395" s="9">
        <f ca="1">IF(AND(NEGOCIAÇÕES!P1395="",NEGOCIAÇÕES!N1395&lt;TODAY()),NEGOCIAÇÕES!N1395,"")</f>
        <v>46028</v>
      </c>
    </row>
    <row r="1396" spans="2:5" ht="31.95" customHeight="1" x14ac:dyDescent="0.3">
      <c r="B1396" s="6">
        <f ca="1">IF(AND(NEGOCIAÇÕES!P1396="",NEGOCIAÇÕES!N1396&lt;TODAY()),NEGOCIAÇÕES!C1396,"")</f>
        <v>1392</v>
      </c>
      <c r="C1396" s="6" t="str">
        <f ca="1">IF(AND(NEGOCIAÇÕES!P1396="",NEGOCIAÇÕES!N1396&lt;TODAY()),NEGOCIAÇÕES!E1396,"")</f>
        <v>OS 376.25</v>
      </c>
      <c r="D1396" s="6" t="str">
        <f ca="1">IF(AND(NEGOCIAÇÕES!P1396="",NEGOCIAÇÕES!N1396&lt;TODAY()),NEGOCIAÇÕES!D1396,"")</f>
        <v>PAFER COMÉRCIO E REPRESENTAÇÕES LTDA</v>
      </c>
      <c r="E1396" s="9">
        <f ca="1">IF(AND(NEGOCIAÇÕES!P1396="",NEGOCIAÇÕES!N1396&lt;TODAY()),NEGOCIAÇÕES!N1396,"")</f>
        <v>46048</v>
      </c>
    </row>
    <row r="1397" spans="2:5" ht="31.95" hidden="1" customHeight="1" x14ac:dyDescent="0.3">
      <c r="B1397" s="6" t="str">
        <f ca="1">IF(AND(NEGOCIAÇÕES!P1397="",NEGOCIAÇÕES!N1397&lt;TODAY()),NEGOCIAÇÕES!C1397,"")</f>
        <v/>
      </c>
      <c r="C1397" s="6" t="str">
        <f ca="1">IF(AND(NEGOCIAÇÕES!P1397="",NEGOCIAÇÕES!N1397&lt;TODAY()),NEGOCIAÇÕES!E1397,"")</f>
        <v/>
      </c>
      <c r="D1397" s="6" t="str">
        <f ca="1">IF(AND(NEGOCIAÇÕES!P1397="",NEGOCIAÇÕES!N1397&lt;TODAY()),NEGOCIAÇÕES!D1397,"")</f>
        <v/>
      </c>
      <c r="E1397" s="9" t="str">
        <f ca="1">IF(AND(NEGOCIAÇÕES!P1397="",NEGOCIAÇÕES!N1397&lt;TODAY()),NEGOCIAÇÕES!N1397,"")</f>
        <v/>
      </c>
    </row>
    <row r="1398" spans="2:5" ht="31.95" customHeight="1" x14ac:dyDescent="0.3">
      <c r="B1398" s="6">
        <f ca="1">IF(AND(NEGOCIAÇÕES!P1398="",NEGOCIAÇÕES!N1398&lt;TODAY()),NEGOCIAÇÕES!C1398,"")</f>
        <v>1394</v>
      </c>
      <c r="C1398" s="6" t="str">
        <f ca="1">IF(AND(NEGOCIAÇÕES!P1398="",NEGOCIAÇÕES!N1398&lt;TODAY()),NEGOCIAÇÕES!E1398,"")</f>
        <v>OS 397.25</v>
      </c>
      <c r="D1398" s="6" t="str">
        <f ca="1">IF(AND(NEGOCIAÇÕES!P1398="",NEGOCIAÇÕES!N1398&lt;TODAY()),NEGOCIAÇÕES!D1398,"")</f>
        <v>PAFER COMÉRCIO E REPRESENTAÇÕES LTDA</v>
      </c>
      <c r="E1398" s="9">
        <f ca="1">IF(AND(NEGOCIAÇÕES!P1398="",NEGOCIAÇÕES!N1398&lt;TODAY()),NEGOCIAÇÕES!N1398,"")</f>
        <v>46035</v>
      </c>
    </row>
    <row r="1399" spans="2:5" ht="31.95" customHeight="1" x14ac:dyDescent="0.3">
      <c r="B1399" s="6">
        <f ca="1">IF(AND(NEGOCIAÇÕES!P1399="",NEGOCIAÇÕES!N1399&lt;TODAY()),NEGOCIAÇÕES!C1399,"")</f>
        <v>1395</v>
      </c>
      <c r="C1399" s="6" t="str">
        <f ca="1">IF(AND(NEGOCIAÇÕES!P1399="",NEGOCIAÇÕES!N1399&lt;TODAY()),NEGOCIAÇÕES!E1399,"")</f>
        <v>OS 397.25</v>
      </c>
      <c r="D1399" s="6" t="str">
        <f ca="1">IF(AND(NEGOCIAÇÕES!P1399="",NEGOCIAÇÕES!N1399&lt;TODAY()),NEGOCIAÇÕES!D1399,"")</f>
        <v>TENAX ACO E FERRO MATRIZ</v>
      </c>
      <c r="E1399" s="9">
        <f ca="1">IF(AND(NEGOCIAÇÕES!P1399="",NEGOCIAÇÕES!N1399&lt;TODAY()),NEGOCIAÇÕES!N1399,"")</f>
        <v>46028</v>
      </c>
    </row>
    <row r="1400" spans="2:5" ht="31.95" hidden="1" customHeight="1" x14ac:dyDescent="0.3">
      <c r="B1400" s="6" t="str">
        <f ca="1">IF(AND(NEGOCIAÇÕES!P1400="",NEGOCIAÇÕES!N1400&lt;TODAY()),NEGOCIAÇÕES!C1400,"")</f>
        <v/>
      </c>
      <c r="C1400" s="6" t="str">
        <f ca="1">IF(AND(NEGOCIAÇÕES!P1400="",NEGOCIAÇÕES!N1400&lt;TODAY()),NEGOCIAÇÕES!E1400,"")</f>
        <v/>
      </c>
      <c r="D1400" s="6" t="str">
        <f ca="1">IF(AND(NEGOCIAÇÕES!P1400="",NEGOCIAÇÕES!N1400&lt;TODAY()),NEGOCIAÇÕES!D1400,"")</f>
        <v/>
      </c>
      <c r="E1400" s="9" t="str">
        <f ca="1">IF(AND(NEGOCIAÇÕES!P1400="",NEGOCIAÇÕES!N1400&lt;TODAY()),NEGOCIAÇÕES!N1400,"")</f>
        <v/>
      </c>
    </row>
    <row r="1401" spans="2:5" ht="31.95" customHeight="1" x14ac:dyDescent="0.3">
      <c r="B1401" s="6">
        <f ca="1">IF(AND(NEGOCIAÇÕES!P1401="",NEGOCIAÇÕES!N1401&lt;TODAY()),NEGOCIAÇÕES!C1401,"")</f>
        <v>1397</v>
      </c>
      <c r="C1401" s="6" t="str">
        <f ca="1">IF(AND(NEGOCIAÇÕES!P1401="",NEGOCIAÇÕES!N1401&lt;TODAY()),NEGOCIAÇÕES!E1401,"")</f>
        <v>OS 376.25</v>
      </c>
      <c r="D1401" s="6" t="str">
        <f ca="1">IF(AND(NEGOCIAÇÕES!P1401="",NEGOCIAÇÕES!N1401&lt;TODAY()),NEGOCIAÇÕES!D1401,"")</f>
        <v>METALRIO VÁLVULAS, TUBOS E CONEXÕES INDUSTRIAIS LTDA</v>
      </c>
      <c r="E1401" s="9">
        <f ca="1">IF(AND(NEGOCIAÇÕES!P1401="",NEGOCIAÇÕES!N1401&lt;TODAY()),NEGOCIAÇÕES!N1401,"")</f>
        <v>46030</v>
      </c>
    </row>
    <row r="1402" spans="2:5" ht="31.95" customHeight="1" x14ac:dyDescent="0.3">
      <c r="B1402" s="6">
        <f ca="1">IF(AND(NEGOCIAÇÕES!P1402="",NEGOCIAÇÕES!N1402&lt;TODAY()),NEGOCIAÇÕES!C1402,"")</f>
        <v>1398</v>
      </c>
      <c r="C1402" s="6" t="str">
        <f ca="1">IF(AND(NEGOCIAÇÕES!P1402="",NEGOCIAÇÕES!N1402&lt;TODAY()),NEGOCIAÇÕES!E1402,"")</f>
        <v>OS 401.25</v>
      </c>
      <c r="D1402" s="6" t="str">
        <f ca="1">IF(AND(NEGOCIAÇÕES!P1402="",NEGOCIAÇÕES!N1402&lt;TODAY()),NEGOCIAÇÕES!D1402,"")</f>
        <v>METALRIO VÁLVULAS, TUBOS E CONEXÕES INDUSTRIAIS LTDA</v>
      </c>
      <c r="E1402" s="9">
        <f ca="1">IF(AND(NEGOCIAÇÕES!P1402="",NEGOCIAÇÕES!N1402&lt;TODAY()),NEGOCIAÇÕES!N1402,"")</f>
        <v>46030</v>
      </c>
    </row>
    <row r="1403" spans="2:5" ht="31.95" customHeight="1" x14ac:dyDescent="0.3">
      <c r="B1403" s="6">
        <f ca="1">IF(AND(NEGOCIAÇÕES!P1403="",NEGOCIAÇÕES!N1403&lt;TODAY()),NEGOCIAÇÕES!C1403,"")</f>
        <v>1399</v>
      </c>
      <c r="C1403" s="6" t="str">
        <f ca="1">IF(AND(NEGOCIAÇÕES!P1403="",NEGOCIAÇÕES!N1403&lt;TODAY()),NEGOCIAÇÕES!E1403,"")</f>
        <v>OS 397.25</v>
      </c>
      <c r="D1403" s="6" t="str">
        <f ca="1">IF(AND(NEGOCIAÇÕES!P1403="",NEGOCIAÇÕES!N1403&lt;TODAY()),NEGOCIAÇÕES!D1403,"")</f>
        <v>MERCANTE TUBOS E AÇOS LTDA.</v>
      </c>
      <c r="E1403" s="9">
        <f ca="1">IF(AND(NEGOCIAÇÕES!P1403="",NEGOCIAÇÕES!N1403&lt;TODAY()),NEGOCIAÇÕES!N1403,"")</f>
        <v>46030</v>
      </c>
    </row>
    <row r="1404" spans="2:5" ht="31.95" customHeight="1" x14ac:dyDescent="0.3">
      <c r="B1404" s="6">
        <f ca="1">IF(AND(NEGOCIAÇÕES!P1404="",NEGOCIAÇÕES!N1404&lt;TODAY()),NEGOCIAÇÕES!C1404,"")</f>
        <v>1400</v>
      </c>
      <c r="C1404" s="6" t="str">
        <f ca="1">IF(AND(NEGOCIAÇÕES!P1404="",NEGOCIAÇÕES!N1404&lt;TODAY()),NEGOCIAÇÕES!E1404,"")</f>
        <v>OS 396.25</v>
      </c>
      <c r="D1404" s="6" t="str">
        <f ca="1">IF(AND(NEGOCIAÇÕES!P1404="",NEGOCIAÇÕES!N1404&lt;TODAY()),NEGOCIAÇÕES!D1404,"")</f>
        <v>METALRIO VÁLVULAS, TUBOS E CONEXÕES INDUSTRIAIS LTDA</v>
      </c>
      <c r="E1404" s="9">
        <f ca="1">IF(AND(NEGOCIAÇÕES!P1404="",NEGOCIAÇÕES!N1404&lt;TODAY()),NEGOCIAÇÕES!N1404,"")</f>
        <v>46034</v>
      </c>
    </row>
    <row r="1405" spans="2:5" ht="31.95" customHeight="1" x14ac:dyDescent="0.3">
      <c r="B1405" s="6">
        <f ca="1">IF(AND(NEGOCIAÇÕES!P1405="",NEGOCIAÇÕES!N1405&lt;TODAY()),NEGOCIAÇÕES!C1405,"")</f>
        <v>1401</v>
      </c>
      <c r="C1405" s="6" t="str">
        <f ca="1">IF(AND(NEGOCIAÇÕES!P1405="",NEGOCIAÇÕES!N1405&lt;TODAY()),NEGOCIAÇÕES!E1405,"")</f>
        <v>OS 396.25</v>
      </c>
      <c r="D1405" s="6" t="str">
        <f ca="1">IF(AND(NEGOCIAÇÕES!P1405="",NEGOCIAÇÕES!N1405&lt;TODAY()),NEGOCIAÇÕES!D1405,"")</f>
        <v>METALRIO VÁLVULAS, TUBOS E CONEXÕES INDUSTRIAIS LTDA</v>
      </c>
      <c r="E1405" s="9">
        <f ca="1">IF(AND(NEGOCIAÇÕES!P1405="",NEGOCIAÇÕES!N1405&lt;TODAY()),NEGOCIAÇÕES!N1405,"")</f>
        <v>46031</v>
      </c>
    </row>
    <row r="1406" spans="2:5" ht="31.95" customHeight="1" x14ac:dyDescent="0.3">
      <c r="B1406" s="6">
        <f ca="1">IF(AND(NEGOCIAÇÕES!P1406="",NEGOCIAÇÕES!N1406&lt;TODAY()),NEGOCIAÇÕES!C1406,"")</f>
        <v>1402</v>
      </c>
      <c r="C1406" s="6" t="str">
        <f ca="1">IF(AND(NEGOCIAÇÕES!P1406="",NEGOCIAÇÕES!N1406&lt;TODAY()),NEGOCIAÇÕES!E1406,"")</f>
        <v>OS 396.25</v>
      </c>
      <c r="D1406" s="6" t="str">
        <f ca="1">IF(AND(NEGOCIAÇÕES!P1406="",NEGOCIAÇÕES!N1406&lt;TODAY()),NEGOCIAÇÕES!D1406,"")</f>
        <v>METALRIO VÁLVULAS, TUBOS E CONEXÕES INDUSTRIAIS LTDA</v>
      </c>
      <c r="E1406" s="9">
        <f ca="1">IF(AND(NEGOCIAÇÕES!P1406="",NEGOCIAÇÕES!N1406&lt;TODAY()),NEGOCIAÇÕES!N1406,"")</f>
        <v>46034</v>
      </c>
    </row>
    <row r="1407" spans="2:5" ht="31.95" customHeight="1" x14ac:dyDescent="0.3">
      <c r="B1407" s="6">
        <f ca="1">IF(AND(NEGOCIAÇÕES!P1407="",NEGOCIAÇÕES!N1407&lt;TODAY()),NEGOCIAÇÕES!C1407,"")</f>
        <v>1403</v>
      </c>
      <c r="C1407" s="6" t="str">
        <f ca="1">IF(AND(NEGOCIAÇÕES!P1407="",NEGOCIAÇÕES!N1407&lt;TODAY()),NEGOCIAÇÕES!E1407,"")</f>
        <v>OS 396.25</v>
      </c>
      <c r="D1407" s="6" t="str">
        <f ca="1">IF(AND(NEGOCIAÇÕES!P1407="",NEGOCIAÇÕES!N1407&lt;TODAY()),NEGOCIAÇÕES!D1407,"")</f>
        <v>GB JUNTAS EQUIPAMENTOS INDUSTRIAIS LITDA</v>
      </c>
      <c r="E1407" s="9">
        <f ca="1">IF(AND(NEGOCIAÇÕES!P1407="",NEGOCIAÇÕES!N1407&lt;TODAY()),NEGOCIAÇÕES!N1407,"")</f>
        <v>46038</v>
      </c>
    </row>
    <row r="1408" spans="2:5" ht="31.95" customHeight="1" x14ac:dyDescent="0.3">
      <c r="B1408" s="6">
        <f ca="1">IF(AND(NEGOCIAÇÕES!P1408="",NEGOCIAÇÕES!N1408&lt;TODAY()),NEGOCIAÇÕES!C1408,"")</f>
        <v>1404</v>
      </c>
      <c r="C1408" s="6" t="str">
        <f ca="1">IF(AND(NEGOCIAÇÕES!P1408="",NEGOCIAÇÕES!N1408&lt;TODAY()),NEGOCIAÇÕES!E1408,"")</f>
        <v>OS 398.25</v>
      </c>
      <c r="D1408" s="6" t="str">
        <f ca="1">IF(AND(NEGOCIAÇÕES!P1408="",NEGOCIAÇÕES!N1408&lt;TODAY()),NEGOCIAÇÕES!D1408,"")</f>
        <v>RV - COMPOSITOS</v>
      </c>
      <c r="E1408" s="9">
        <f ca="1">IF(AND(NEGOCIAÇÕES!P1408="",NEGOCIAÇÕES!N1408&lt;TODAY()),NEGOCIAÇÕES!N1408,"")</f>
        <v>46036</v>
      </c>
    </row>
    <row r="1409" spans="2:5" ht="31.95" customHeight="1" x14ac:dyDescent="0.3">
      <c r="B1409" s="6">
        <f ca="1">IF(AND(NEGOCIAÇÕES!P1409="",NEGOCIAÇÕES!N1409&lt;TODAY()),NEGOCIAÇÕES!C1409,"")</f>
        <v>1405</v>
      </c>
      <c r="C1409" s="6" t="str">
        <f ca="1">IF(AND(NEGOCIAÇÕES!P1409="",NEGOCIAÇÕES!N1409&lt;TODAY()),NEGOCIAÇÕES!E1409,"")</f>
        <v>OS 401.25</v>
      </c>
      <c r="D1409" s="6" t="str">
        <f ca="1">IF(AND(NEGOCIAÇÕES!P1409="",NEGOCIAÇÕES!N1409&lt;TODAY()),NEGOCIAÇÕES!D1409,"")</f>
        <v>MERCADO LIVRE</v>
      </c>
      <c r="E1409" s="9">
        <f ca="1">IF(AND(NEGOCIAÇÕES!P1409="",NEGOCIAÇÕES!N1409&lt;TODAY()),NEGOCIAÇÕES!N1409,"")</f>
        <v>46034</v>
      </c>
    </row>
    <row r="1410" spans="2:5" ht="31.95" customHeight="1" x14ac:dyDescent="0.3">
      <c r="B1410" s="6">
        <f ca="1">IF(AND(NEGOCIAÇÕES!P1410="",NEGOCIAÇÕES!N1410&lt;TODAY()),NEGOCIAÇÕES!C1410,"")</f>
        <v>1406</v>
      </c>
      <c r="C1410" s="6" t="str">
        <f ca="1">IF(AND(NEGOCIAÇÕES!P1410="",NEGOCIAÇÕES!N1410&lt;TODAY()),NEGOCIAÇÕES!E1410,"")</f>
        <v>OS 376.25</v>
      </c>
      <c r="D1410" s="6" t="str">
        <f ca="1">IF(AND(NEGOCIAÇÕES!P1410="",NEGOCIAÇÕES!N1410&lt;TODAY()),NEGOCIAÇÕES!D1410,"")</f>
        <v>TENAX ACO E FERRO MATRIZ</v>
      </c>
      <c r="E1410" s="9">
        <f ca="1">IF(AND(NEGOCIAÇÕES!P1410="",NEGOCIAÇÕES!N1410&lt;TODAY()),NEGOCIAÇÕES!N1410,"")</f>
        <v>46030</v>
      </c>
    </row>
    <row r="1411" spans="2:5" ht="31.95" customHeight="1" x14ac:dyDescent="0.3">
      <c r="B1411" s="6">
        <f ca="1">IF(AND(NEGOCIAÇÕES!P1411="",NEGOCIAÇÕES!N1411&lt;TODAY()),NEGOCIAÇÕES!C1411,"")</f>
        <v>1407</v>
      </c>
      <c r="C1411" s="6" t="str">
        <f ca="1">IF(AND(NEGOCIAÇÕES!P1411="",NEGOCIAÇÕES!N1411&lt;TODAY()),NEGOCIAÇÕES!E1411,"")</f>
        <v>OS 397.25</v>
      </c>
      <c r="D1411" s="6" t="str">
        <f ca="1">IF(AND(NEGOCIAÇÕES!P1411="",NEGOCIAÇÕES!N1411&lt;TODAY()),NEGOCIAÇÕES!D1411,"")</f>
        <v>METALRIO VÁLVULAS, TUBOS E CONEXÕES INDUSTRIAIS LTDA</v>
      </c>
      <c r="E1411" s="9">
        <f ca="1">IF(AND(NEGOCIAÇÕES!P1411="",NEGOCIAÇÕES!N1411&lt;TODAY()),NEGOCIAÇÕES!N1411,"")</f>
        <v>46035</v>
      </c>
    </row>
    <row r="1412" spans="2:5" ht="31.95" customHeight="1" x14ac:dyDescent="0.3">
      <c r="B1412" s="6">
        <f ca="1">IF(AND(NEGOCIAÇÕES!P1412="",NEGOCIAÇÕES!N1412&lt;TODAY()),NEGOCIAÇÕES!C1412,"")</f>
        <v>1408</v>
      </c>
      <c r="C1412" s="6" t="str">
        <f ca="1">IF(AND(NEGOCIAÇÕES!P1412="",NEGOCIAÇÕES!N1412&lt;TODAY()),NEGOCIAÇÕES!E1412,"")</f>
        <v>-</v>
      </c>
      <c r="D1412" s="6" t="str">
        <f ca="1">IF(AND(NEGOCIAÇÕES!P1412="",NEGOCIAÇÕES!N1412&lt;TODAY()),NEGOCIAÇÕES!D1412,"")</f>
        <v>MERCADO LIVRE</v>
      </c>
      <c r="E1412" s="9">
        <f ca="1">IF(AND(NEGOCIAÇÕES!P1412="",NEGOCIAÇÕES!N1412&lt;TODAY()),NEGOCIAÇÕES!N1412,"")</f>
        <v>46034</v>
      </c>
    </row>
    <row r="1413" spans="2:5" ht="31.95" customHeight="1" x14ac:dyDescent="0.3">
      <c r="B1413" s="6">
        <f ca="1">IF(AND(NEGOCIAÇÕES!P1413="",NEGOCIAÇÕES!N1413&lt;TODAY()),NEGOCIAÇÕES!C1413,"")</f>
        <v>1409</v>
      </c>
      <c r="C1413" s="6" t="str">
        <f ca="1">IF(AND(NEGOCIAÇÕES!P1413="",NEGOCIAÇÕES!N1413&lt;TODAY()),NEGOCIAÇÕES!E1413,"")</f>
        <v>-</v>
      </c>
      <c r="D1413" s="6" t="str">
        <f ca="1">IF(AND(NEGOCIAÇÕES!P1413="",NEGOCIAÇÕES!N1413&lt;TODAY()),NEGOCIAÇÕES!D1413,"")</f>
        <v>JOTUN BRASIL IMP.EXP.E INDUSTRIA DE TINTAS LTDA.</v>
      </c>
      <c r="E1413" s="9">
        <f ca="1">IF(AND(NEGOCIAÇÕES!P1413="",NEGOCIAÇÕES!N1413&lt;TODAY()),NEGOCIAÇÕES!N1413,"")</f>
        <v>46037</v>
      </c>
    </row>
    <row r="1414" spans="2:5" ht="31.95" customHeight="1" x14ac:dyDescent="0.3">
      <c r="B1414" s="6">
        <f ca="1">IF(AND(NEGOCIAÇÕES!P1414="",NEGOCIAÇÕES!N1414&lt;TODAY()),NEGOCIAÇÕES!C1414,"")</f>
        <v>1410</v>
      </c>
      <c r="C1414" s="6" t="str">
        <f ca="1">IF(AND(NEGOCIAÇÕES!P1414="",NEGOCIAÇÕES!N1414&lt;TODAY()),NEGOCIAÇÕES!E1414,"")</f>
        <v>OS 376.25</v>
      </c>
      <c r="D1414" s="6" t="str">
        <f ca="1">IF(AND(NEGOCIAÇÕES!P1414="",NEGOCIAÇÕES!N1414&lt;TODAY()),NEGOCIAÇÕES!D1414,"")</f>
        <v xml:space="preserve">CENTRO MANUFATUREIRO DO AÇO LTDA. </v>
      </c>
      <c r="E1414" s="9">
        <f ca="1">IF(AND(NEGOCIAÇÕES!P1414="",NEGOCIAÇÕES!N1414&lt;TODAY()),NEGOCIAÇÕES!N1414,"")</f>
        <v>46038</v>
      </c>
    </row>
    <row r="1415" spans="2:5" ht="31.95" customHeight="1" x14ac:dyDescent="0.3">
      <c r="B1415" s="6">
        <f ca="1">IF(AND(NEGOCIAÇÕES!P1415="",NEGOCIAÇÕES!N1415&lt;TODAY()),NEGOCIAÇÕES!C1415,"")</f>
        <v>1411</v>
      </c>
      <c r="C1415" s="6" t="str">
        <f ca="1">IF(AND(NEGOCIAÇÕES!P1415="",NEGOCIAÇÕES!N1415&lt;TODAY()),NEGOCIAÇÕES!E1415,"")</f>
        <v>Estoque</v>
      </c>
      <c r="D1415" s="6" t="str">
        <f ca="1">IF(AND(NEGOCIAÇÕES!P1415="",NEGOCIAÇÕES!N1415&lt;TODAY()),NEGOCIAÇÕES!D1415,"")</f>
        <v>ABRASEG COMERCIAL SOLDAS LTDA</v>
      </c>
      <c r="E1415" s="9">
        <f ca="1">IF(AND(NEGOCIAÇÕES!P1415="",NEGOCIAÇÕES!N1415&lt;TODAY()),NEGOCIAÇÕES!N1415,"")</f>
        <v>46030</v>
      </c>
    </row>
    <row r="1416" spans="2:5" ht="31.95" customHeight="1" x14ac:dyDescent="0.3">
      <c r="B1416" s="6">
        <f ca="1">IF(AND(NEGOCIAÇÕES!P1416="",NEGOCIAÇÕES!N1416&lt;TODAY()),NEGOCIAÇÕES!C1416,"")</f>
        <v>1412</v>
      </c>
      <c r="C1416" s="6" t="str">
        <f ca="1">IF(AND(NEGOCIAÇÕES!P1416="",NEGOCIAÇÕES!N1416&lt;TODAY()),NEGOCIAÇÕES!E1416,"")</f>
        <v>OS 405.26</v>
      </c>
      <c r="D1416" s="6" t="str">
        <f ca="1">IF(AND(NEGOCIAÇÕES!P1416="",NEGOCIAÇÕES!N1416&lt;TODAY()),NEGOCIAÇÕES!D1416,"")</f>
        <v>METALRIO VÁLVULAS, TUBOS E CONEXÕES INDUSTRIAIS LTDA</v>
      </c>
      <c r="E1416" s="9">
        <f ca="1">IF(AND(NEGOCIAÇÕES!P1416="",NEGOCIAÇÕES!N1416&lt;TODAY()),NEGOCIAÇÕES!N1416,"")</f>
        <v>46031</v>
      </c>
    </row>
    <row r="1417" spans="2:5" ht="31.95" customHeight="1" x14ac:dyDescent="0.3">
      <c r="B1417" s="6">
        <f ca="1">IF(AND(NEGOCIAÇÕES!P1417="",NEGOCIAÇÕES!N1417&lt;TODAY()),NEGOCIAÇÕES!C1417,"")</f>
        <v>1413</v>
      </c>
      <c r="C1417" s="6" t="str">
        <f ca="1">IF(AND(NEGOCIAÇÕES!P1417="",NEGOCIAÇÕES!N1417&lt;TODAY()),NEGOCIAÇÕES!E1417,"")</f>
        <v>397.25</v>
      </c>
      <c r="D1417" s="6" t="str">
        <f ca="1">IF(AND(NEGOCIAÇÕES!P1417="",NEGOCIAÇÕES!N1417&lt;TODAY()),NEGOCIAÇÕES!D1417,"")</f>
        <v>CONEC RIO Conexões e Peças Ltda</v>
      </c>
      <c r="E1417" s="9">
        <f ca="1">IF(AND(NEGOCIAÇÕES!P1417="",NEGOCIAÇÕES!N1417&lt;TODAY()),NEGOCIAÇÕES!N1417,"")</f>
        <v>46034</v>
      </c>
    </row>
    <row r="1418" spans="2:5" ht="31.95" customHeight="1" x14ac:dyDescent="0.3">
      <c r="B1418" s="6">
        <f ca="1">IF(AND(NEGOCIAÇÕES!P1418="",NEGOCIAÇÕES!N1418&lt;TODAY()),NEGOCIAÇÕES!C1418,"")</f>
        <v>1414</v>
      </c>
      <c r="C1418" s="6" t="str">
        <f ca="1">IF(AND(NEGOCIAÇÕES!P1418="",NEGOCIAÇÕES!N1418&lt;TODAY()),NEGOCIAÇÕES!E1418,"")</f>
        <v>Estoque</v>
      </c>
      <c r="D1418" s="6" t="str">
        <f ca="1">IF(AND(NEGOCIAÇÕES!P1418="",NEGOCIAÇÕES!N1418&lt;TODAY()),NEGOCIAÇÕES!D1418,"")</f>
        <v>AENEJOTA FERRAGENS LTDA</v>
      </c>
      <c r="E1418" s="9">
        <f ca="1">IF(AND(NEGOCIAÇÕES!P1418="",NEGOCIAÇÕES!N1418&lt;TODAY()),NEGOCIAÇÕES!N1418,"")</f>
        <v>46034</v>
      </c>
    </row>
    <row r="1419" spans="2:5" ht="31.95" customHeight="1" x14ac:dyDescent="0.3">
      <c r="B1419" s="6">
        <f ca="1">IF(AND(NEGOCIAÇÕES!P1419="",NEGOCIAÇÕES!N1419&lt;TODAY()),NEGOCIAÇÕES!C1419,"")</f>
        <v>1415</v>
      </c>
      <c r="C1419" s="6" t="str">
        <f ca="1">IF(AND(NEGOCIAÇÕES!P1419="",NEGOCIAÇÕES!N1419&lt;TODAY()),NEGOCIAÇÕES!E1419,"")</f>
        <v>Estoque</v>
      </c>
      <c r="D1419" s="6" t="str">
        <f ca="1">IF(AND(NEGOCIAÇÕES!P1419="",NEGOCIAÇÕES!N1419&lt;TODAY()),NEGOCIAÇÕES!D1419,"")</f>
        <v>ISOPRO COMERCIO DE JUNTAS E SOLDAS LTDA</v>
      </c>
      <c r="E1419" s="9">
        <f ca="1">IF(AND(NEGOCIAÇÕES!P1419="",NEGOCIAÇÕES!N1419&lt;TODAY()),NEGOCIAÇÕES!N1419,"")</f>
        <v>46034</v>
      </c>
    </row>
    <row r="1420" spans="2:5" ht="31.95" customHeight="1" x14ac:dyDescent="0.3">
      <c r="B1420" s="6">
        <f ca="1">IF(AND(NEGOCIAÇÕES!P1420="",NEGOCIAÇÕES!N1420&lt;TODAY()),NEGOCIAÇÕES!C1420,"")</f>
        <v>1416</v>
      </c>
      <c r="C1420" s="6" t="str">
        <f ca="1">IF(AND(NEGOCIAÇÕES!P1420="",NEGOCIAÇÕES!N1420&lt;TODAY()),NEGOCIAÇÕES!E1420,"")</f>
        <v>OS 408.26</v>
      </c>
      <c r="D1420" s="6" t="str">
        <f ca="1">IF(AND(NEGOCIAÇÕES!P1420="",NEGOCIAÇÕES!N1420&lt;TODAY()),NEGOCIAÇÕES!D1420,"")</f>
        <v>METALRIO VÁLVULAS, TUBOS E CONEXÕES INDUSTRIAIS LTDA</v>
      </c>
      <c r="E1420" s="9">
        <f ca="1">IF(AND(NEGOCIAÇÕES!P1420="",NEGOCIAÇÕES!N1420&lt;TODAY()),NEGOCIAÇÕES!N1420,"")</f>
        <v>46034</v>
      </c>
    </row>
    <row r="1421" spans="2:5" ht="31.95" customHeight="1" x14ac:dyDescent="0.3">
      <c r="B1421" s="6">
        <f ca="1">IF(AND(NEGOCIAÇÕES!P1421="",NEGOCIAÇÕES!N1421&lt;TODAY()),NEGOCIAÇÕES!C1421,"")</f>
        <v>1417</v>
      </c>
      <c r="C1421" s="6" t="str">
        <f ca="1">IF(AND(NEGOCIAÇÕES!P1421="",NEGOCIAÇÕES!N1421&lt;TODAY()),NEGOCIAÇÕES!E1421,"")</f>
        <v>OS 408.26</v>
      </c>
      <c r="D1421" s="6" t="str">
        <f ca="1">IF(AND(NEGOCIAÇÕES!P1421="",NEGOCIAÇÕES!N1421&lt;TODAY()),NEGOCIAÇÕES!D1421,"")</f>
        <v>TENAX ACO E FERRO MATRIZ</v>
      </c>
      <c r="E1421" s="9">
        <f ca="1">IF(AND(NEGOCIAÇÕES!P1421="",NEGOCIAÇÕES!N1421&lt;TODAY()),NEGOCIAÇÕES!N1421,"")</f>
        <v>46036</v>
      </c>
    </row>
    <row r="1422" spans="2:5" ht="31.95" customHeight="1" x14ac:dyDescent="0.3">
      <c r="B1422" s="6">
        <f ca="1">IF(AND(NEGOCIAÇÕES!P1422="",NEGOCIAÇÕES!N1422&lt;TODAY()),NEGOCIAÇÕES!C1422,"")</f>
        <v>1418</v>
      </c>
      <c r="C1422" s="6" t="str">
        <f ca="1">IF(AND(NEGOCIAÇÕES!P1422="",NEGOCIAÇÕES!N1422&lt;TODAY()),NEGOCIAÇÕES!E1422,"")</f>
        <v>OS 248.26</v>
      </c>
      <c r="D1422" s="6" t="str">
        <f ca="1">IF(AND(NEGOCIAÇÕES!P1422="",NEGOCIAÇÕES!N1422&lt;TODAY()),NEGOCIAÇÕES!D1422,"")</f>
        <v>PAFER COMÉRCIO E REPRESENTAÇÕES LTDA</v>
      </c>
      <c r="E1422" s="9">
        <f ca="1">IF(AND(NEGOCIAÇÕES!P1422="",NEGOCIAÇÕES!N1422&lt;TODAY()),NEGOCIAÇÕES!N1422,"")</f>
        <v>46036</v>
      </c>
    </row>
    <row r="1423" spans="2:5" ht="31.95" customHeight="1" x14ac:dyDescent="0.3">
      <c r="B1423" s="6">
        <f ca="1">IF(AND(NEGOCIAÇÕES!P1423="",NEGOCIAÇÕES!N1423&lt;TODAY()),NEGOCIAÇÕES!C1423,"")</f>
        <v>1419</v>
      </c>
      <c r="C1423" s="6" t="str">
        <f ca="1">IF(AND(NEGOCIAÇÕES!P1423="",NEGOCIAÇÕES!N1423&lt;TODAY()),NEGOCIAÇÕES!E1423,"")</f>
        <v>OS 409.26</v>
      </c>
      <c r="D1423" s="6" t="str">
        <f ca="1">IF(AND(NEGOCIAÇÕES!P1423="",NEGOCIAÇÕES!N1423&lt;TODAY()),NEGOCIAÇÕES!D1423,"")</f>
        <v>TENAX ACO E FERRO MATRIZ</v>
      </c>
      <c r="E1423" s="9">
        <f ca="1">IF(AND(NEGOCIAÇÕES!P1423="",NEGOCIAÇÕES!N1423&lt;TODAY()),NEGOCIAÇÕES!N1423,"")</f>
        <v>46036</v>
      </c>
    </row>
    <row r="1424" spans="2:5" ht="31.95" customHeight="1" x14ac:dyDescent="0.3">
      <c r="B1424" s="6">
        <f ca="1">IF(AND(NEGOCIAÇÕES!P1424="",NEGOCIAÇÕES!N1424&lt;TODAY()),NEGOCIAÇÕES!C1424,"")</f>
        <v>1420</v>
      </c>
      <c r="C1424" s="6" t="str">
        <f ca="1">IF(AND(NEGOCIAÇÕES!P1424="",NEGOCIAÇÕES!N1424&lt;TODAY()),NEGOCIAÇÕES!E1424,"")</f>
        <v>OS 396.25</v>
      </c>
      <c r="D1424" s="6" t="str">
        <f ca="1">IF(AND(NEGOCIAÇÕES!P1424="",NEGOCIAÇÕES!N1424&lt;TODAY()),NEGOCIAÇÕES!D1424,"")</f>
        <v xml:space="preserve">RJM COMERCIO E CONEXÕES EIRELI </v>
      </c>
      <c r="E1424" s="9">
        <f ca="1">IF(AND(NEGOCIAÇÕES!P1424="",NEGOCIAÇÕES!N1424&lt;TODAY()),NEGOCIAÇÕES!N1424,"")</f>
        <v>46038</v>
      </c>
    </row>
    <row r="1425" spans="2:5" ht="31.95" customHeight="1" x14ac:dyDescent="0.3">
      <c r="B1425" s="6">
        <f ca="1">IF(AND(NEGOCIAÇÕES!P1425="",NEGOCIAÇÕES!N1425&lt;TODAY()),NEGOCIAÇÕES!C1425,"")</f>
        <v>1421</v>
      </c>
      <c r="C1425" s="6" t="str">
        <f ca="1">IF(AND(NEGOCIAÇÕES!P1425="",NEGOCIAÇÕES!N1425&lt;TODAY()),NEGOCIAÇÕES!E1425,"")</f>
        <v>OS 396.25</v>
      </c>
      <c r="D1425" s="6" t="str">
        <f ca="1">IF(AND(NEGOCIAÇÕES!P1425="",NEGOCIAÇÕES!N1425&lt;TODAY()),NEGOCIAÇÕES!D1425,"")</f>
        <v>TECNOLUVA INDUSTRIA E COMERCIO LTDA</v>
      </c>
      <c r="E1425" s="9">
        <f ca="1">IF(AND(NEGOCIAÇÕES!P1425="",NEGOCIAÇÕES!N1425&lt;TODAY()),NEGOCIAÇÕES!N1425,"")</f>
        <v>46041</v>
      </c>
    </row>
    <row r="1426" spans="2:5" ht="31.95" customHeight="1" x14ac:dyDescent="0.3">
      <c r="B1426" s="6">
        <f ca="1">IF(AND(NEGOCIAÇÕES!P1426="",NEGOCIAÇÕES!N1426&lt;TODAY()),NEGOCIAÇÕES!C1426,"")</f>
        <v>1422</v>
      </c>
      <c r="C1426" s="6" t="str">
        <f ca="1">IF(AND(NEGOCIAÇÕES!P1426="",NEGOCIAÇÕES!N1426&lt;TODAY()),NEGOCIAÇÕES!E1426,"")</f>
        <v>OS 396.25</v>
      </c>
      <c r="D1426" s="6" t="str">
        <f ca="1">IF(AND(NEGOCIAÇÕES!P1426="",NEGOCIAÇÕES!N1426&lt;TODAY()),NEGOCIAÇÕES!D1426,"")</f>
        <v>ISOPRO COMERCIO DE JUNTAS E SOLDAS LTDA</v>
      </c>
      <c r="E1426" s="9">
        <f ca="1">IF(AND(NEGOCIAÇÕES!P1426="",NEGOCIAÇÕES!N1426&lt;TODAY()),NEGOCIAÇÕES!N1426,"")</f>
        <v>46035</v>
      </c>
    </row>
    <row r="1427" spans="2:5" ht="31.95" customHeight="1" x14ac:dyDescent="0.3">
      <c r="B1427" s="6">
        <f ca="1">IF(AND(NEGOCIAÇÕES!P1427="",NEGOCIAÇÕES!N1427&lt;TODAY()),NEGOCIAÇÕES!C1427,"")</f>
        <v>1423</v>
      </c>
      <c r="C1427" s="6" t="str">
        <f ca="1">IF(AND(NEGOCIAÇÕES!P1427="",NEGOCIAÇÕES!N1427&lt;TODAY()),NEGOCIAÇÕES!E1427,"")</f>
        <v>OS 396.25</v>
      </c>
      <c r="D1427" s="6" t="str">
        <f ca="1">IF(AND(NEGOCIAÇÕES!P1427="",NEGOCIAÇÕES!N1427&lt;TODAY()),NEGOCIAÇÕES!D1427,"")</f>
        <v>IVM - ITALY VÁLVULAS E METAIS LTDA</v>
      </c>
      <c r="E1427" s="9">
        <f ca="1">IF(AND(NEGOCIAÇÕES!P1427="",NEGOCIAÇÕES!N1427&lt;TODAY()),NEGOCIAÇÕES!N1427,"")</f>
        <v>46043</v>
      </c>
    </row>
    <row r="1428" spans="2:5" ht="31.95" customHeight="1" x14ac:dyDescent="0.3">
      <c r="B1428" s="6">
        <f ca="1">IF(AND(NEGOCIAÇÕES!P1428="",NEGOCIAÇÕES!N1428&lt;TODAY()),NEGOCIAÇÕES!C1428,"")</f>
        <v>1424</v>
      </c>
      <c r="C1428" s="6" t="str">
        <f ca="1">IF(AND(NEGOCIAÇÕES!P1428="",NEGOCIAÇÕES!N1428&lt;TODAY()),NEGOCIAÇÕES!E1428,"")</f>
        <v>OS 397.25</v>
      </c>
      <c r="D1428" s="6" t="str">
        <f ca="1">IF(AND(NEGOCIAÇÕES!P1428="",NEGOCIAÇÕES!N1428&lt;TODAY()),NEGOCIAÇÕES!D1428,"")</f>
        <v>INCOMPLAST POLÍMEROS E METAIS</v>
      </c>
      <c r="E1428" s="9">
        <f ca="1">IF(AND(NEGOCIAÇÕES!P1428="",NEGOCIAÇÕES!N1428&lt;TODAY()),NEGOCIAÇÕES!N1428,"")</f>
        <v>46037</v>
      </c>
    </row>
    <row r="1429" spans="2:5" ht="31.95" customHeight="1" x14ac:dyDescent="0.3">
      <c r="B1429" s="6">
        <f ca="1">IF(AND(NEGOCIAÇÕES!P1429="",NEGOCIAÇÕES!N1429&lt;TODAY()),NEGOCIAÇÕES!C1429,"")</f>
        <v>1425</v>
      </c>
      <c r="C1429" s="6" t="str">
        <f ca="1">IF(AND(NEGOCIAÇÕES!P1429="",NEGOCIAÇÕES!N1429&lt;TODAY()),NEGOCIAÇÕES!E1429,"")</f>
        <v>OS 397.25</v>
      </c>
      <c r="D1429" s="6" t="str">
        <f ca="1">IF(AND(NEGOCIAÇÕES!P1429="",NEGOCIAÇÕES!N1429&lt;TODAY()),NEGOCIAÇÕES!D1429,"")</f>
        <v>L E M CALIBRAÇÃO E METROLOGIA PADRÃO LTDA</v>
      </c>
      <c r="E1429" s="9">
        <f ca="1">IF(AND(NEGOCIAÇÕES!P1429="",NEGOCIAÇÕES!N1429&lt;TODAY()),NEGOCIAÇÕES!N1429,"")</f>
        <v>46044</v>
      </c>
    </row>
    <row r="1430" spans="2:5" ht="31.95" customHeight="1" x14ac:dyDescent="0.3">
      <c r="B1430" s="6">
        <f ca="1">IF(AND(NEGOCIAÇÕES!P1430="",NEGOCIAÇÕES!N1430&lt;TODAY()),NEGOCIAÇÕES!C1430,"")</f>
        <v>1426</v>
      </c>
      <c r="C1430" s="6" t="str">
        <f ca="1">IF(AND(NEGOCIAÇÕES!P1430="",NEGOCIAÇÕES!N1430&lt;TODAY()),NEGOCIAÇÕES!E1430,"")</f>
        <v>OS 413.26</v>
      </c>
      <c r="D1430" s="6" t="str">
        <f ca="1">IF(AND(NEGOCIAÇÕES!P1430="",NEGOCIAÇÕES!N1430&lt;TODAY()),NEGOCIAÇÕES!D1430,"")</f>
        <v>TENAX ACO E FERRO MATRIZ</v>
      </c>
      <c r="E1430" s="9">
        <f ca="1">IF(AND(NEGOCIAÇÕES!P1430="",NEGOCIAÇÕES!N1430&lt;TODAY()),NEGOCIAÇÕES!N1430,"")</f>
        <v>46041</v>
      </c>
    </row>
    <row r="1431" spans="2:5" ht="31.95" customHeight="1" x14ac:dyDescent="0.3">
      <c r="B1431" s="6">
        <f ca="1">IF(AND(NEGOCIAÇÕES!P1431="",NEGOCIAÇÕES!N1431&lt;TODAY()),NEGOCIAÇÕES!C1431,"")</f>
        <v>1427</v>
      </c>
      <c r="C1431" s="6" t="str">
        <f ca="1">IF(AND(NEGOCIAÇÕES!P1431="",NEGOCIAÇÕES!N1431&lt;TODAY()),NEGOCIAÇÕES!E1431,"")</f>
        <v>OS 392.25</v>
      </c>
      <c r="D1431" s="6" t="str">
        <f ca="1">IF(AND(NEGOCIAÇÕES!P1431="",NEGOCIAÇÕES!N1431&lt;TODAY()),NEGOCIAÇÕES!D1431,"")</f>
        <v>ANJ TINTAS NAVAIS E INDUSTRIAL LTDA</v>
      </c>
      <c r="E1431" s="9">
        <f ca="1">IF(AND(NEGOCIAÇÕES!P1431="",NEGOCIAÇÕES!N1431&lt;TODAY()),NEGOCIAÇÕES!N1431,"")</f>
        <v>46041</v>
      </c>
    </row>
    <row r="1432" spans="2:5" ht="31.95" customHeight="1" x14ac:dyDescent="0.3">
      <c r="B1432" s="6">
        <f ca="1">IF(AND(NEGOCIAÇÕES!P1432="",NEGOCIAÇÕES!N1432&lt;TODAY()),NEGOCIAÇÕES!C1432,"")</f>
        <v>1429</v>
      </c>
      <c r="C1432" s="6" t="str">
        <f ca="1">IF(AND(NEGOCIAÇÕES!P1432="",NEGOCIAÇÕES!N1432&lt;TODAY()),NEGOCIAÇÕES!E1432,"")</f>
        <v>OS 392.25</v>
      </c>
      <c r="D1432" s="6" t="str">
        <f ca="1">IF(AND(NEGOCIAÇÕES!P1432="",NEGOCIAÇÕES!N1432&lt;TODAY()),NEGOCIAÇÕES!D1432,"")</f>
        <v>ANJ TINTAS NAVAIS E INDUSTRIAL LTDA</v>
      </c>
      <c r="E1432" s="9">
        <f ca="1">IF(AND(NEGOCIAÇÕES!P1432="",NEGOCIAÇÕES!N1432&lt;TODAY()),NEGOCIAÇÕES!N1432,"")</f>
        <v>46041</v>
      </c>
    </row>
    <row r="1433" spans="2:5" ht="31.95" customHeight="1" x14ac:dyDescent="0.3">
      <c r="B1433" s="6">
        <f ca="1">IF(AND(NEGOCIAÇÕES!P1433="",NEGOCIAÇÕES!N1433&lt;TODAY()),NEGOCIAÇÕES!C1433,"")</f>
        <v>1430</v>
      </c>
      <c r="C1433" s="6" t="str">
        <f ca="1">IF(AND(NEGOCIAÇÕES!P1433="",NEGOCIAÇÕES!N1433&lt;TODAY()),NEGOCIAÇÕES!E1433,"")</f>
        <v>Estoque</v>
      </c>
      <c r="D1433" s="6" t="str">
        <f ca="1">IF(AND(NEGOCIAÇÕES!P1433="",NEGOCIAÇÕES!N1433&lt;TODAY()),NEGOCIAÇÕES!D1433,"")</f>
        <v>ANJ COMERCIAL LTDA</v>
      </c>
      <c r="E1433" s="9">
        <f ca="1">IF(AND(NEGOCIAÇÕES!P1433="",NEGOCIAÇÕES!N1433&lt;TODAY()),NEGOCIAÇÕES!N1433,"")</f>
        <v>46041</v>
      </c>
    </row>
    <row r="1434" spans="2:5" ht="31.95" customHeight="1" x14ac:dyDescent="0.3">
      <c r="B1434" s="6">
        <f ca="1">IF(AND(NEGOCIAÇÕES!P1434="",NEGOCIAÇÕES!N1434&lt;TODAY()),NEGOCIAÇÕES!C1434,"")</f>
        <v>1431</v>
      </c>
      <c r="C1434" s="6" t="str">
        <f ca="1">IF(AND(NEGOCIAÇÕES!P1434="",NEGOCIAÇÕES!N1434&lt;TODAY()),NEGOCIAÇÕES!E1434,"")</f>
        <v>OS 393.25</v>
      </c>
      <c r="D1434" s="6" t="str">
        <f ca="1">IF(AND(NEGOCIAÇÕES!P1434="",NEGOCIAÇÕES!N1434&lt;TODAY()),NEGOCIAÇÕES!D1434,"")</f>
        <v>ISOPRO COMERCIO DE JUNTAS E SOLDAS LTDA</v>
      </c>
      <c r="E1434" s="9">
        <f ca="1">IF(AND(NEGOCIAÇÕES!P1434="",NEGOCIAÇÕES!N1434&lt;TODAY()),NEGOCIAÇÕES!N1434,"")</f>
        <v>46041</v>
      </c>
    </row>
    <row r="1435" spans="2:5" ht="31.95" customHeight="1" x14ac:dyDescent="0.3">
      <c r="B1435" s="6">
        <f ca="1">IF(AND(NEGOCIAÇÕES!P1435="",NEGOCIAÇÕES!N1435&lt;TODAY()),NEGOCIAÇÕES!C1435,"")</f>
        <v>1432</v>
      </c>
      <c r="C1435" s="6" t="str">
        <f ca="1">IF(AND(NEGOCIAÇÕES!P1435="",NEGOCIAÇÕES!N1435&lt;TODAY()),NEGOCIAÇÕES!E1435,"")</f>
        <v>OS 393.25</v>
      </c>
      <c r="D1435" s="6" t="str">
        <f ca="1">IF(AND(NEGOCIAÇÕES!P1435="",NEGOCIAÇÕES!N1435&lt;TODAY()),NEGOCIAÇÕES!D1435,"")</f>
        <v>AENEJOTA FERRAGENS LTDA</v>
      </c>
      <c r="E1435" s="9">
        <f ca="1">IF(AND(NEGOCIAÇÕES!P1435="",NEGOCIAÇÕES!N1435&lt;TODAY()),NEGOCIAÇÕES!N1435,"")</f>
        <v>46041</v>
      </c>
    </row>
    <row r="1436" spans="2:5" ht="31.95" customHeight="1" x14ac:dyDescent="0.3">
      <c r="B1436" s="6">
        <f ca="1">IF(AND(NEGOCIAÇÕES!P1436="",NEGOCIAÇÕES!N1436&lt;TODAY()),NEGOCIAÇÕES!C1436,"")</f>
        <v>1433</v>
      </c>
      <c r="C1436" s="6" t="str">
        <f ca="1">IF(AND(NEGOCIAÇÕES!P1436="",NEGOCIAÇÕES!N1436&lt;TODAY()),NEGOCIAÇÕES!E1436,"")</f>
        <v>-</v>
      </c>
      <c r="D1436" s="6" t="str">
        <f ca="1">IF(AND(NEGOCIAÇÕES!P1436="",NEGOCIAÇÕES!N1436&lt;TODAY()),NEGOCIAÇÕES!D1436,"")</f>
        <v>AENEJOTA FERRAGENS LTDA</v>
      </c>
      <c r="E1436" s="9">
        <f ca="1">IF(AND(NEGOCIAÇÕES!P1436="",NEGOCIAÇÕES!N1436&lt;TODAY()),NEGOCIAÇÕES!N1436,"")</f>
        <v>46045</v>
      </c>
    </row>
    <row r="1437" spans="2:5" ht="31.95" customHeight="1" x14ac:dyDescent="0.3">
      <c r="B1437" s="6">
        <f ca="1">IF(AND(NEGOCIAÇÕES!P1437="",NEGOCIAÇÕES!N1437&lt;TODAY()),NEGOCIAÇÕES!C1437,"")</f>
        <v>1434</v>
      </c>
      <c r="C1437" s="6" t="str">
        <f ca="1">IF(AND(NEGOCIAÇÕES!P1437="",NEGOCIAÇÕES!N1437&lt;TODAY()),NEGOCIAÇÕES!E1437,"")</f>
        <v>-</v>
      </c>
      <c r="D1437" s="6" t="str">
        <f ca="1">IF(AND(NEGOCIAÇÕES!P1437="",NEGOCIAÇÕES!N1437&lt;TODAY()),NEGOCIAÇÕES!D1437,"")</f>
        <v>ISOPRO COMERCIO DE JUNTAS E SOLDAS LTDA</v>
      </c>
      <c r="E1437" s="9">
        <f ca="1">IF(AND(NEGOCIAÇÕES!P1437="",NEGOCIAÇÕES!N1437&lt;TODAY()),NEGOCIAÇÕES!N1437,"")</f>
        <v>46045</v>
      </c>
    </row>
    <row r="1438" spans="2:5" ht="31.95" customHeight="1" x14ac:dyDescent="0.3">
      <c r="B1438" s="6">
        <f ca="1">IF(AND(NEGOCIAÇÕES!P1438="",NEGOCIAÇÕES!N1438&lt;TODAY()),NEGOCIAÇÕES!C1438,"")</f>
        <v>1435</v>
      </c>
      <c r="C1438" s="6" t="str">
        <f ca="1">IF(AND(NEGOCIAÇÕES!P1438="",NEGOCIAÇÕES!N1438&lt;TODAY()),NEGOCIAÇÕES!E1438,"")</f>
        <v>-</v>
      </c>
      <c r="D1438" s="6" t="str">
        <f ca="1">IF(AND(NEGOCIAÇÕES!P1438="",NEGOCIAÇÕES!N1438&lt;TODAY()),NEGOCIAÇÕES!D1438,"")</f>
        <v>ABRASEG COMERCIAL SOLDAS LTDA</v>
      </c>
      <c r="E1438" s="9">
        <f ca="1">IF(AND(NEGOCIAÇÕES!P1438="",NEGOCIAÇÕES!N1438&lt;TODAY()),NEGOCIAÇÕES!N1438,"")</f>
        <v>46048</v>
      </c>
    </row>
    <row r="1439" spans="2:5" ht="31.95" customHeight="1" x14ac:dyDescent="0.3">
      <c r="B1439" s="6">
        <f ca="1">IF(AND(NEGOCIAÇÕES!P1439="",NEGOCIAÇÕES!N1439&lt;TODAY()),NEGOCIAÇÕES!C1439,"")</f>
        <v>1436</v>
      </c>
      <c r="C1439" s="6" t="str">
        <f ca="1">IF(AND(NEGOCIAÇÕES!P1439="",NEGOCIAÇÕES!N1439&lt;TODAY()),NEGOCIAÇÕES!E1439,"")</f>
        <v>OS 415.26</v>
      </c>
      <c r="D1439" s="6" t="str">
        <f ca="1">IF(AND(NEGOCIAÇÕES!P1439="",NEGOCIAÇÕES!N1439&lt;TODAY()),NEGOCIAÇÕES!D1439,"")</f>
        <v xml:space="preserve">RJM COMERCIO E CONEXÕES EIRELI </v>
      </c>
      <c r="E1439" s="9">
        <f ca="1">IF(AND(NEGOCIAÇÕES!P1439="",NEGOCIAÇÕES!N1439&lt;TODAY()),NEGOCIAÇÕES!N1439,"")</f>
        <v>46048</v>
      </c>
    </row>
    <row r="1440" spans="2:5" ht="31.95" customHeight="1" x14ac:dyDescent="0.3">
      <c r="B1440" s="6">
        <f ca="1">IF(AND(NEGOCIAÇÕES!P1440="",NEGOCIAÇÕES!N1440&lt;TODAY()),NEGOCIAÇÕES!C1440,"")</f>
        <v>1437</v>
      </c>
      <c r="C1440" s="6" t="str">
        <f ca="1">IF(AND(NEGOCIAÇÕES!P1440="",NEGOCIAÇÕES!N1440&lt;TODAY()),NEGOCIAÇÕES!E1440,"")</f>
        <v>OS 416.26</v>
      </c>
      <c r="D1440" s="6" t="str">
        <f ca="1">IF(AND(NEGOCIAÇÕES!P1440="",NEGOCIAÇÕES!N1440&lt;TODAY()),NEGOCIAÇÕES!D1440,"")</f>
        <v xml:space="preserve">RJM COMERCIO E CONEXÕES EIRELI </v>
      </c>
      <c r="E1440" s="9">
        <f ca="1">IF(AND(NEGOCIAÇÕES!P1440="",NEGOCIAÇÕES!N1440&lt;TODAY()),NEGOCIAÇÕES!N1440,"")</f>
        <v>46048</v>
      </c>
    </row>
    <row r="1441" spans="2:5" ht="31.95" customHeight="1" x14ac:dyDescent="0.3">
      <c r="B1441" s="6">
        <f ca="1">IF(AND(NEGOCIAÇÕES!P1441="",NEGOCIAÇÕES!N1441&lt;TODAY()),NEGOCIAÇÕES!C1441,"")</f>
        <v>1438</v>
      </c>
      <c r="C1441" s="6" t="str">
        <f ca="1">IF(AND(NEGOCIAÇÕES!P1441="",NEGOCIAÇÕES!N1441&lt;TODAY()),NEGOCIAÇÕES!E1441,"")</f>
        <v>OS 417.26</v>
      </c>
      <c r="D1441" s="6" t="str">
        <f ca="1">IF(AND(NEGOCIAÇÕES!P1441="",NEGOCIAÇÕES!N1441&lt;TODAY()),NEGOCIAÇÕES!D1441,"")</f>
        <v xml:space="preserve">RJM COMERCIO E CONEXÕES EIRELI </v>
      </c>
      <c r="E1441" s="9">
        <f ca="1">IF(AND(NEGOCIAÇÕES!P1441="",NEGOCIAÇÕES!N1441&lt;TODAY()),NEGOCIAÇÕES!N1441,"")</f>
        <v>46048</v>
      </c>
    </row>
    <row r="1442" spans="2:5" ht="31.95" customHeight="1" x14ac:dyDescent="0.3">
      <c r="B1442" s="6">
        <f ca="1">IF(AND(NEGOCIAÇÕES!P1442="",NEGOCIAÇÕES!N1442&lt;TODAY()),NEGOCIAÇÕES!C1442,"")</f>
        <v>1439</v>
      </c>
      <c r="C1442" s="6" t="str">
        <f ca="1">IF(AND(NEGOCIAÇÕES!P1442="",NEGOCIAÇÕES!N1442&lt;TODAY()),NEGOCIAÇÕES!E1442,"")</f>
        <v>-</v>
      </c>
      <c r="D1442" s="6" t="str">
        <f ca="1">IF(AND(NEGOCIAÇÕES!P1442="",NEGOCIAÇÕES!N1442&lt;TODAY()),NEGOCIAÇÕES!D1442,"")</f>
        <v>ISOPRO COMERCIO DE JUNTAS E SOLDAS LTDA</v>
      </c>
      <c r="E1442" s="9">
        <f ca="1">IF(AND(NEGOCIAÇÕES!P1442="",NEGOCIAÇÕES!N1442&lt;TODAY()),NEGOCIAÇÕES!N1442,"")</f>
        <v>46045</v>
      </c>
    </row>
    <row r="1443" spans="2:5" ht="31.95" customHeight="1" x14ac:dyDescent="0.3">
      <c r="B1443" s="6">
        <f ca="1">IF(AND(NEGOCIAÇÕES!P1443="",NEGOCIAÇÕES!N1443&lt;TODAY()),NEGOCIAÇÕES!C1443,"")</f>
        <v>1440</v>
      </c>
      <c r="C1443" s="6" t="str">
        <f ca="1">IF(AND(NEGOCIAÇÕES!P1443="",NEGOCIAÇÕES!N1443&lt;TODAY()),NEGOCIAÇÕES!E1443,"")</f>
        <v>-</v>
      </c>
      <c r="D1443" s="6" t="str">
        <f ca="1">IF(AND(NEGOCIAÇÕES!P1443="",NEGOCIAÇÕES!N1443&lt;TODAY()),NEGOCIAÇÕES!D1443,"")</f>
        <v>ISOPRO COMERCIO DE JUNTAS E SOLDAS LTDA</v>
      </c>
      <c r="E1443" s="9">
        <f ca="1">IF(AND(NEGOCIAÇÕES!P1443="",NEGOCIAÇÕES!N1443&lt;TODAY()),NEGOCIAÇÕES!N1443,"")</f>
        <v>46045</v>
      </c>
    </row>
    <row r="1444" spans="2:5" ht="31.95" hidden="1" customHeight="1" x14ac:dyDescent="0.3">
      <c r="B1444" s="6" t="str">
        <f ca="1">IF(AND(NEGOCIAÇÕES!P1444="",NEGOCIAÇÕES!N1444&lt;TODAY()),NEGOCIAÇÕES!C1444,"")</f>
        <v/>
      </c>
      <c r="C1444" s="6" t="str">
        <f ca="1">IF(AND(NEGOCIAÇÕES!P1444="",NEGOCIAÇÕES!N1444&lt;TODAY()),NEGOCIAÇÕES!E1444,"")</f>
        <v/>
      </c>
      <c r="D1444" s="6" t="str">
        <f ca="1">IF(AND(NEGOCIAÇÕES!P1444="",NEGOCIAÇÕES!N1444&lt;TODAY()),NEGOCIAÇÕES!D1444,"")</f>
        <v/>
      </c>
      <c r="E1444" s="9" t="str">
        <f ca="1">IF(AND(NEGOCIAÇÕES!P1444="",NEGOCIAÇÕES!N1444&lt;TODAY()),NEGOCIAÇÕES!N1444,"")</f>
        <v/>
      </c>
    </row>
    <row r="1445" spans="2:5" ht="31.95" customHeight="1" x14ac:dyDescent="0.3">
      <c r="B1445" s="6">
        <f ca="1">IF(AND(NEGOCIAÇÕES!P1445="",NEGOCIAÇÕES!N1445&lt;TODAY()),NEGOCIAÇÕES!C1445,"")</f>
        <v>1442</v>
      </c>
      <c r="C1445" s="6" t="str">
        <f ca="1">IF(AND(NEGOCIAÇÕES!P1445="",NEGOCIAÇÕES!N1445&lt;TODAY()),NEGOCIAÇÕES!E1445,"")</f>
        <v>OS 417.26</v>
      </c>
      <c r="D1445" s="6" t="str">
        <f ca="1">IF(AND(NEGOCIAÇÕES!P1445="",NEGOCIAÇÕES!N1445&lt;TODAY()),NEGOCIAÇÕES!D1445,"")</f>
        <v>NOVO MUNDO VEDAÇÕES LTDA</v>
      </c>
      <c r="E1445" s="9">
        <f ca="1">IF(AND(NEGOCIAÇÕES!P1445="",NEGOCIAÇÕES!N1445&lt;TODAY()),NEGOCIAÇÕES!N1445,"")</f>
        <v>46049</v>
      </c>
    </row>
    <row r="1446" spans="2:5" ht="31.95" customHeight="1" x14ac:dyDescent="0.3">
      <c r="B1446" s="6">
        <f ca="1">IF(AND(NEGOCIAÇÕES!P1446="",NEGOCIAÇÕES!N1446&lt;TODAY()),NEGOCIAÇÕES!C1446,"")</f>
        <v>1443</v>
      </c>
      <c r="C1446" s="6" t="str">
        <f ca="1">IF(AND(NEGOCIAÇÕES!P1446="",NEGOCIAÇÕES!N1446&lt;TODAY()),NEGOCIAÇÕES!E1446,"")</f>
        <v>OS 416.26</v>
      </c>
      <c r="D1446" s="6" t="str">
        <f ca="1">IF(AND(NEGOCIAÇÕES!P1446="",NEGOCIAÇÕES!N1446&lt;TODAY()),NEGOCIAÇÕES!D1446,"")</f>
        <v>NOVO MUNDO VEDAÇÕES LTDA</v>
      </c>
      <c r="E1446" s="9">
        <f ca="1">IF(AND(NEGOCIAÇÕES!P1446="",NEGOCIAÇÕES!N1446&lt;TODAY()),NEGOCIAÇÕES!N1446,"")</f>
        <v>46049</v>
      </c>
    </row>
    <row r="1447" spans="2:5" ht="31.95" customHeight="1" x14ac:dyDescent="0.3">
      <c r="B1447" s="6">
        <f ca="1">IF(AND(NEGOCIAÇÕES!P1447="",NEGOCIAÇÕES!N1447&lt;TODAY()),NEGOCIAÇÕES!C1447,"")</f>
        <v>1444</v>
      </c>
      <c r="C1447" s="6" t="str">
        <f ca="1">IF(AND(NEGOCIAÇÕES!P1447="",NEGOCIAÇÕES!N1447&lt;TODAY()),NEGOCIAÇÕES!E1447,"")</f>
        <v>OS 415.26</v>
      </c>
      <c r="D1447" s="6" t="str">
        <f ca="1">IF(AND(NEGOCIAÇÕES!P1447="",NEGOCIAÇÕES!N1447&lt;TODAY()),NEGOCIAÇÕES!D1447,"")</f>
        <v>NOVO MUNDO VEDAÇÕES LTDA</v>
      </c>
      <c r="E1447" s="9">
        <f ca="1">IF(AND(NEGOCIAÇÕES!P1447="",NEGOCIAÇÕES!N1447&lt;TODAY()),NEGOCIAÇÕES!N1447,"")</f>
        <v>46049</v>
      </c>
    </row>
    <row r="1448" spans="2:5" ht="31.95" customHeight="1" x14ac:dyDescent="0.3">
      <c r="B1448" s="6">
        <f ca="1">IF(AND(NEGOCIAÇÕES!P1448="",NEGOCIAÇÕES!N1448&lt;TODAY()),NEGOCIAÇÕES!C1448,"")</f>
        <v>1445</v>
      </c>
      <c r="C1448" s="6" t="str">
        <f ca="1">IF(AND(NEGOCIAÇÕES!P1448="",NEGOCIAÇÕES!N1448&lt;TODAY()),NEGOCIAÇÕES!E1448,"")</f>
        <v>OS 415.26</v>
      </c>
      <c r="D1448" s="6" t="str">
        <f ca="1">IF(AND(NEGOCIAÇÕES!P1448="",NEGOCIAÇÕES!N1448&lt;TODAY()),NEGOCIAÇÕES!D1448,"")</f>
        <v>METALRIO VÁLVULAS, TUBOS E CONEXÕES INDUSTRIAIS LTDA</v>
      </c>
      <c r="E1448" s="9">
        <f ca="1">IF(AND(NEGOCIAÇÕES!P1448="",NEGOCIAÇÕES!N1448&lt;TODAY()),NEGOCIAÇÕES!N1448,"")</f>
        <v>46049</v>
      </c>
    </row>
    <row r="1449" spans="2:5" ht="31.95" customHeight="1" x14ac:dyDescent="0.3">
      <c r="B1449" s="6">
        <f ca="1">IF(AND(NEGOCIAÇÕES!P1449="",NEGOCIAÇÕES!N1449&lt;TODAY()),NEGOCIAÇÕES!C1449,"")</f>
        <v>1446</v>
      </c>
      <c r="C1449" s="6" t="str">
        <f ca="1">IF(AND(NEGOCIAÇÕES!P1449="",NEGOCIAÇÕES!N1449&lt;TODAY()),NEGOCIAÇÕES!E1449,"")</f>
        <v>OS 418.26</v>
      </c>
      <c r="D1449" s="6" t="str">
        <f ca="1">IF(AND(NEGOCIAÇÕES!P1449="",NEGOCIAÇÕES!N1449&lt;TODAY()),NEGOCIAÇÕES!D1449,"")</f>
        <v xml:space="preserve">Lapefer Comércio e Indústria de Laminados Ltda </v>
      </c>
      <c r="E1449" s="9">
        <f ca="1">IF(AND(NEGOCIAÇÕES!P1449="",NEGOCIAÇÕES!N1449&lt;TODAY()),NEGOCIAÇÕES!N1449,"")</f>
        <v>46050</v>
      </c>
    </row>
    <row r="1450" spans="2:5" ht="31.95" hidden="1" customHeight="1" x14ac:dyDescent="0.3">
      <c r="B1450" s="6" t="str">
        <f ca="1">IF(AND(NEGOCIAÇÕES!P1450="",NEGOCIAÇÕES!N1450&lt;TODAY()),NEGOCIAÇÕES!C1450,"")</f>
        <v/>
      </c>
      <c r="C1450" s="6" t="str">
        <f ca="1">IF(AND(NEGOCIAÇÕES!P1450="",NEGOCIAÇÕES!N1450&lt;TODAY()),NEGOCIAÇÕES!E1450,"")</f>
        <v/>
      </c>
      <c r="D1450" s="6" t="str">
        <f ca="1">IF(AND(NEGOCIAÇÕES!P1450="",NEGOCIAÇÕES!N1450&lt;TODAY()),NEGOCIAÇÕES!D1450,"")</f>
        <v/>
      </c>
      <c r="E1450" s="9" t="str">
        <f ca="1">IF(AND(NEGOCIAÇÕES!P1450="",NEGOCIAÇÕES!N1450&lt;TODAY()),NEGOCIAÇÕES!N1450,"")</f>
        <v/>
      </c>
    </row>
    <row r="1451" spans="2:5" ht="31.95" hidden="1" customHeight="1" x14ac:dyDescent="0.3">
      <c r="B1451" s="6" t="str">
        <f ca="1">IF(AND(NEGOCIAÇÕES!P1451="",NEGOCIAÇÕES!N1451&lt;TODAY()),NEGOCIAÇÕES!C1451,"")</f>
        <v/>
      </c>
      <c r="C1451" s="6" t="str">
        <f ca="1">IF(AND(NEGOCIAÇÕES!P1451="",NEGOCIAÇÕES!N1451&lt;TODAY()),NEGOCIAÇÕES!E1451,"")</f>
        <v/>
      </c>
      <c r="D1451" s="6" t="str">
        <f ca="1">IF(AND(NEGOCIAÇÕES!P1451="",NEGOCIAÇÕES!N1451&lt;TODAY()),NEGOCIAÇÕES!D1451,"")</f>
        <v/>
      </c>
      <c r="E1451" s="9" t="str">
        <f ca="1">IF(AND(NEGOCIAÇÕES!P1451="",NEGOCIAÇÕES!N1451&lt;TODAY()),NEGOCIAÇÕES!N1451,"")</f>
        <v/>
      </c>
    </row>
    <row r="1452" spans="2:5" ht="31.95" hidden="1" customHeight="1" x14ac:dyDescent="0.3">
      <c r="B1452" s="6" t="str">
        <f ca="1">IF(AND(NEGOCIAÇÕES!P1452="",NEGOCIAÇÕES!N1452&lt;TODAY()),NEGOCIAÇÕES!C1452,"")</f>
        <v/>
      </c>
      <c r="C1452" s="6" t="str">
        <f ca="1">IF(AND(NEGOCIAÇÕES!P1452="",NEGOCIAÇÕES!N1452&lt;TODAY()),NEGOCIAÇÕES!E1452,"")</f>
        <v/>
      </c>
      <c r="D1452" s="6" t="str">
        <f ca="1">IF(AND(NEGOCIAÇÕES!P1452="",NEGOCIAÇÕES!N1452&lt;TODAY()),NEGOCIAÇÕES!D1452,"")</f>
        <v/>
      </c>
      <c r="E1452" s="9" t="str">
        <f ca="1">IF(AND(NEGOCIAÇÕES!P1452="",NEGOCIAÇÕES!N1452&lt;TODAY()),NEGOCIAÇÕES!N1452,"")</f>
        <v/>
      </c>
    </row>
    <row r="1453" spans="2:5" ht="31.95" customHeight="1" x14ac:dyDescent="0.3">
      <c r="B1453" s="6">
        <f ca="1">IF(AND(NEGOCIAÇÕES!P1453="",NEGOCIAÇÕES!N1453&lt;TODAY()),NEGOCIAÇÕES!C1453,"")</f>
        <v>1450</v>
      </c>
      <c r="C1453" s="6" t="str">
        <f ca="1">IF(AND(NEGOCIAÇÕES!P1453="",NEGOCIAÇÕES!N1453&lt;TODAY()),NEGOCIAÇÕES!E1453,"")</f>
        <v>-</v>
      </c>
      <c r="D1453" s="6" t="str">
        <f ca="1">IF(AND(NEGOCIAÇÕES!P1453="",NEGOCIAÇÕES!N1453&lt;TODAY()),NEGOCIAÇÕES!D1453,"")</f>
        <v>ANJ COMERCIAL LTDA</v>
      </c>
      <c r="E1453" s="9">
        <f ca="1">IF(AND(NEGOCIAÇÕES!P1453="",NEGOCIAÇÕES!N1453&lt;TODAY()),NEGOCIAÇÕES!N1453,"")</f>
        <v>46049</v>
      </c>
    </row>
    <row r="1454" spans="2:5" ht="31.95" customHeight="1" x14ac:dyDescent="0.3">
      <c r="B1454" s="6">
        <f ca="1">IF(AND(NEGOCIAÇÕES!P1454="",NEGOCIAÇÕES!N1454&lt;TODAY()),NEGOCIAÇÕES!C1454,"")</f>
        <v>1451</v>
      </c>
      <c r="C1454" s="6" t="str">
        <f ca="1">IF(AND(NEGOCIAÇÕES!P1454="",NEGOCIAÇÕES!N1454&lt;TODAY()),NEGOCIAÇÕES!E1454,"")</f>
        <v>-</v>
      </c>
      <c r="D1454" s="6" t="str">
        <f ca="1">IF(AND(NEGOCIAÇÕES!P1454="",NEGOCIAÇÕES!N1454&lt;TODAY()),NEGOCIAÇÕES!D1454,"")</f>
        <v>ISOPRO COMERCIO DE JUNTAS E SOLDAS LTDA</v>
      </c>
      <c r="E1454" s="9">
        <f ca="1">IF(AND(NEGOCIAÇÕES!P1454="",NEGOCIAÇÕES!N1454&lt;TODAY()),NEGOCIAÇÕES!N1454,"")</f>
        <v>46049</v>
      </c>
    </row>
    <row r="1455" spans="2:5" ht="31.95" customHeight="1" x14ac:dyDescent="0.3">
      <c r="B1455" s="6">
        <f ca="1">IF(AND(NEGOCIAÇÕES!P1455="",NEGOCIAÇÕES!N1455&lt;TODAY()),NEGOCIAÇÕES!C1455,"")</f>
        <v>1452</v>
      </c>
      <c r="C1455" s="6" t="str">
        <f ca="1">IF(AND(NEGOCIAÇÕES!P1455="",NEGOCIAÇÕES!N1455&lt;TODAY()),NEGOCIAÇÕES!E1455,"")</f>
        <v>OS 408.26</v>
      </c>
      <c r="D1455" s="6" t="str">
        <f ca="1">IF(AND(NEGOCIAÇÕES!P1455="",NEGOCIAÇÕES!N1455&lt;TODAY()),NEGOCIAÇÕES!D1455,"")</f>
        <v>ANJ TINTAS NAVAIS E INDUSTRIAL LTDA</v>
      </c>
      <c r="E1455" s="9">
        <f ca="1">IF(AND(NEGOCIAÇÕES!P1455="",NEGOCIAÇÕES!N1455&lt;TODAY()),NEGOCIAÇÕES!N1455,"")</f>
        <v>46049</v>
      </c>
    </row>
    <row r="1456" spans="2:5" ht="31.95" customHeight="1" x14ac:dyDescent="0.3">
      <c r="B1456" s="6">
        <f ca="1">IF(AND(NEGOCIAÇÕES!P1456="",NEGOCIAÇÕES!N1456&lt;TODAY()),NEGOCIAÇÕES!C1456,"")</f>
        <v>1453</v>
      </c>
      <c r="C1456" s="6" t="str">
        <f ca="1">IF(AND(NEGOCIAÇÕES!P1456="",NEGOCIAÇÕES!N1456&lt;TODAY()),NEGOCIAÇÕES!E1456,"")</f>
        <v>OS 392.25</v>
      </c>
      <c r="D1456" s="6" t="str">
        <f ca="1">IF(AND(NEGOCIAÇÕES!P1456="",NEGOCIAÇÕES!N1456&lt;TODAY()),NEGOCIAÇÕES!D1456,"")</f>
        <v>NHJ DO BRASIL</v>
      </c>
      <c r="E1456" s="9">
        <f ca="1">IF(AND(NEGOCIAÇÕES!P1456="",NEGOCIAÇÕES!N1456&lt;TODAY()),NEGOCIAÇÕES!N1456,"")</f>
        <v>46051</v>
      </c>
    </row>
    <row r="1457" spans="2:5" ht="31.95" customHeight="1" x14ac:dyDescent="0.3">
      <c r="B1457" s="6">
        <f ca="1">IF(AND(NEGOCIAÇÕES!P1457="",NEGOCIAÇÕES!N1457&lt;TODAY()),NEGOCIAÇÕES!C1457,"")</f>
        <v>1454</v>
      </c>
      <c r="C1457" s="6" t="str">
        <f ca="1">IF(AND(NEGOCIAÇÕES!P1457="",NEGOCIAÇÕES!N1457&lt;TODAY()),NEGOCIAÇÕES!E1457,"")</f>
        <v>OS 409.26</v>
      </c>
      <c r="D1457" s="6" t="str">
        <f ca="1">IF(AND(NEGOCIAÇÕES!P1457="",NEGOCIAÇÕES!N1457&lt;TODAY()),NEGOCIAÇÕES!D1457,"")</f>
        <v>RENAVI ENGENHARIA</v>
      </c>
      <c r="E1457" s="9">
        <f ca="1">IF(AND(NEGOCIAÇÕES!P1457="",NEGOCIAÇÕES!N1457&lt;TODAY()),NEGOCIAÇÕES!N1457,"")</f>
        <v>46051</v>
      </c>
    </row>
    <row r="1458" spans="2:5" ht="31.95" customHeight="1" x14ac:dyDescent="0.3">
      <c r="B1458" s="6">
        <f ca="1">IF(AND(NEGOCIAÇÕES!P1458="",NEGOCIAÇÕES!N1458&lt;TODAY()),NEGOCIAÇÕES!C1458,"")</f>
        <v>1455</v>
      </c>
      <c r="C1458" s="6" t="str">
        <f ca="1">IF(AND(NEGOCIAÇÕES!P1458="",NEGOCIAÇÕES!N1458&lt;TODAY()),NEGOCIAÇÕES!E1458,"")</f>
        <v>-</v>
      </c>
      <c r="D1458" s="6" t="str">
        <f ca="1">IF(AND(NEGOCIAÇÕES!P1458="",NEGOCIAÇÕES!N1458&lt;TODAY()),NEGOCIAÇÕES!D1458,"")</f>
        <v>AENEJOTA FERRAGENS LTDA</v>
      </c>
      <c r="E1458" s="9">
        <f ca="1">IF(AND(NEGOCIAÇÕES!P1458="",NEGOCIAÇÕES!N1458&lt;TODAY()),NEGOCIAÇÕES!N1458,"")</f>
        <v>46049</v>
      </c>
    </row>
    <row r="1459" spans="2:5" ht="31.95" hidden="1" customHeight="1" x14ac:dyDescent="0.3">
      <c r="B1459" s="6" t="str">
        <f ca="1">IF(AND(NEGOCIAÇÕES!P1459="",NEGOCIAÇÕES!N1459&lt;TODAY()),NEGOCIAÇÕES!C1459,"")</f>
        <v/>
      </c>
      <c r="C1459" s="6" t="str">
        <f ca="1">IF(AND(NEGOCIAÇÕES!P1459="",NEGOCIAÇÕES!N1459&lt;TODAY()),NEGOCIAÇÕES!E1459,"")</f>
        <v/>
      </c>
      <c r="D1459" s="6" t="str">
        <f ca="1">IF(AND(NEGOCIAÇÕES!P1459="",NEGOCIAÇÕES!N1459&lt;TODAY()),NEGOCIAÇÕES!D1459,"")</f>
        <v/>
      </c>
      <c r="E1459" s="9" t="str">
        <f ca="1">IF(AND(NEGOCIAÇÕES!P1459="",NEGOCIAÇÕES!N1459&lt;TODAY()),NEGOCIAÇÕES!N1459,"")</f>
        <v/>
      </c>
    </row>
    <row r="1460" spans="2:5" ht="31.95" customHeight="1" x14ac:dyDescent="0.3">
      <c r="B1460" s="6">
        <f ca="1">IF(AND(NEGOCIAÇÕES!P1460="",NEGOCIAÇÕES!N1460&lt;TODAY()),NEGOCIAÇÕES!C1460,"")</f>
        <v>1457</v>
      </c>
      <c r="C1460" s="6" t="str">
        <f ca="1">IF(AND(NEGOCIAÇÕES!P1460="",NEGOCIAÇÕES!N1460&lt;TODAY()),NEGOCIAÇÕES!E1460,"")</f>
        <v>OS 406.26</v>
      </c>
      <c r="D1460" s="6" t="str">
        <f ca="1">IF(AND(NEGOCIAÇÕES!P1460="",NEGOCIAÇÕES!N1460&lt;TODAY()),NEGOCIAÇÕES!D1460,"")</f>
        <v>RENAVI ENGENHARIA</v>
      </c>
      <c r="E1460" s="9">
        <f ca="1">IF(AND(NEGOCIAÇÕES!P1460="",NEGOCIAÇÕES!N1460&lt;TODAY()),NEGOCIAÇÕES!N1460,"")</f>
        <v>46052</v>
      </c>
    </row>
    <row r="1461" spans="2:5" ht="31.95" customHeight="1" x14ac:dyDescent="0.3">
      <c r="B1461" s="6">
        <f ca="1">IF(AND(NEGOCIAÇÕES!P1461="",NEGOCIAÇÕES!N1461&lt;TODAY()),NEGOCIAÇÕES!C1461,"")</f>
        <v>1458</v>
      </c>
      <c r="C1461" s="6" t="str">
        <f ca="1">IF(AND(NEGOCIAÇÕES!P1461="",NEGOCIAÇÕES!N1461&lt;TODAY()),NEGOCIAÇÕES!E1461,"")</f>
        <v>-</v>
      </c>
      <c r="D1461" s="6" t="str">
        <f ca="1">IF(AND(NEGOCIAÇÕES!P1461="",NEGOCIAÇÕES!N1461&lt;TODAY()),NEGOCIAÇÕES!D1461,"")</f>
        <v>ISOPRO COMERCIO DE JUNTAS E SOLDAS LTDA</v>
      </c>
      <c r="E1461" s="9">
        <f ca="1">IF(AND(NEGOCIAÇÕES!P1461="",NEGOCIAÇÕES!N1461&lt;TODAY()),NEGOCIAÇÕES!N1461,"")</f>
        <v>46050</v>
      </c>
    </row>
    <row r="1462" spans="2:5" ht="31.95" customHeight="1" x14ac:dyDescent="0.3">
      <c r="B1462" s="6">
        <f ca="1">IF(AND(NEGOCIAÇÕES!P1462="",NEGOCIAÇÕES!N1462&lt;TODAY()),NEGOCIAÇÕES!C1462,"")</f>
        <v>1459</v>
      </c>
      <c r="C1462" s="6" t="str">
        <f ca="1">IF(AND(NEGOCIAÇÕES!P1462="",NEGOCIAÇÕES!N1462&lt;TODAY()),NEGOCIAÇÕES!E1462,"")</f>
        <v>-</v>
      </c>
      <c r="D1462" s="6" t="str">
        <f ca="1">IF(AND(NEGOCIAÇÕES!P1462="",NEGOCIAÇÕES!N1462&lt;TODAY()),NEGOCIAÇÕES!D1462,"")</f>
        <v>ISOPRO COMERCIO DE JUNTAS E SOLDAS LTDA</v>
      </c>
      <c r="E1462" s="9">
        <f ca="1">IF(AND(NEGOCIAÇÕES!P1462="",NEGOCIAÇÕES!N1462&lt;TODAY()),NEGOCIAÇÕES!N1462,"")</f>
        <v>46050</v>
      </c>
    </row>
    <row r="1463" spans="2:5" ht="31.95" hidden="1" customHeight="1" x14ac:dyDescent="0.3">
      <c r="B1463" s="6">
        <f ca="1">IF(AND(NEGOCIAÇÕES!P1463="",NEGOCIAÇÕES!N1463&lt;TODAY()),NEGOCIAÇÕES!C1463,"")</f>
        <v>1460</v>
      </c>
      <c r="C1463" s="6" t="str">
        <f ca="1">IF(AND(NEGOCIAÇÕES!P1463="",NEGOCIAÇÕES!N1463&lt;TODAY()),NEGOCIAÇÕES!E1463,"")</f>
        <v>OS 415.26</v>
      </c>
      <c r="D1463" s="6" t="str">
        <f ca="1">IF(AND(NEGOCIAÇÕES!P1463="",NEGOCIAÇÕES!N1463&lt;TODAY()),NEGOCIAÇÕES!D1463,"")</f>
        <v>JOTUN BRASIL IMP.EXP.E INDUSTRIA DE TINTAS LTDA.</v>
      </c>
      <c r="E1463" s="9">
        <f ca="1">IF(AND(NEGOCIAÇÕES!P1463="",NEGOCIAÇÕES!N1463&lt;TODAY()),NEGOCIAÇÕES!N1463,"")</f>
        <v>46058</v>
      </c>
    </row>
    <row r="1464" spans="2:5" ht="31.95" customHeight="1" x14ac:dyDescent="0.3">
      <c r="B1464" s="6">
        <f ca="1">IF(AND(NEGOCIAÇÕES!P1464="",NEGOCIAÇÕES!N1464&lt;TODAY()),NEGOCIAÇÕES!C1464,"")</f>
        <v>1461</v>
      </c>
      <c r="C1464" s="6" t="str">
        <f ca="1">IF(AND(NEGOCIAÇÕES!P1464="",NEGOCIAÇÕES!N1464&lt;TODAY()),NEGOCIAÇÕES!E1464,"")</f>
        <v>OS 418.26</v>
      </c>
      <c r="D1464" s="6" t="str">
        <f ca="1">IF(AND(NEGOCIAÇÕES!P1464="",NEGOCIAÇÕES!N1464&lt;TODAY()),NEGOCIAÇÕES!D1464,"")</f>
        <v>TENAX ACO E FERRO MATRIZ</v>
      </c>
      <c r="E1464" s="9">
        <f ca="1">IF(AND(NEGOCIAÇÕES!P1464="",NEGOCIAÇÕES!N1464&lt;TODAY()),NEGOCIAÇÕES!N1464,"")</f>
        <v>46055</v>
      </c>
    </row>
    <row r="1465" spans="2:5" ht="31.95" hidden="1" customHeight="1" x14ac:dyDescent="0.3">
      <c r="B1465" s="6" t="str">
        <f ca="1">IF(AND(NEGOCIAÇÕES!P1465="",NEGOCIAÇÕES!N1465&lt;TODAY()),NEGOCIAÇÕES!C1465,"")</f>
        <v/>
      </c>
      <c r="C1465" s="6" t="str">
        <f ca="1">IF(AND(NEGOCIAÇÕES!P1465="",NEGOCIAÇÕES!N1465&lt;TODAY()),NEGOCIAÇÕES!E1465,"")</f>
        <v/>
      </c>
      <c r="D1465" s="6" t="str">
        <f ca="1">IF(AND(NEGOCIAÇÕES!P1465="",NEGOCIAÇÕES!N1465&lt;TODAY()),NEGOCIAÇÕES!D1465,"")</f>
        <v/>
      </c>
      <c r="E1465" s="9" t="str">
        <f ca="1">IF(AND(NEGOCIAÇÕES!P1465="",NEGOCIAÇÕES!N1465&lt;TODAY()),NEGOCIAÇÕES!N1465,"")</f>
        <v/>
      </c>
    </row>
    <row r="1466" spans="2:5" ht="31.95" customHeight="1" x14ac:dyDescent="0.3">
      <c r="B1466" s="6">
        <f ca="1">IF(AND(NEGOCIAÇÕES!P1466="",NEGOCIAÇÕES!N1466&lt;TODAY()),NEGOCIAÇÕES!C1466,"")</f>
        <v>1463</v>
      </c>
      <c r="C1466" s="6" t="str">
        <f ca="1">IF(AND(NEGOCIAÇÕES!P1466="",NEGOCIAÇÕES!N1466&lt;TODAY()),NEGOCIAÇÕES!E1466,"")</f>
        <v>-</v>
      </c>
      <c r="D1466" s="6" t="str">
        <f ca="1">IF(AND(NEGOCIAÇÕES!P1466="",NEGOCIAÇÕES!N1466&lt;TODAY()),NEGOCIAÇÕES!D1466,"")</f>
        <v>AENEJOTA FERRAGENS LTDA</v>
      </c>
      <c r="E1466" s="9">
        <f ca="1">IF(AND(NEGOCIAÇÕES!P1466="",NEGOCIAÇÕES!N1466&lt;TODAY()),NEGOCIAÇÕES!N1466,"")</f>
        <v>46056</v>
      </c>
    </row>
    <row r="1467" spans="2:5" ht="31.95" customHeight="1" x14ac:dyDescent="0.3">
      <c r="B1467" s="6">
        <f ca="1">IF(AND(NEGOCIAÇÕES!P1467="",NEGOCIAÇÕES!N1467&lt;TODAY()),NEGOCIAÇÕES!C1467,"")</f>
        <v>1464</v>
      </c>
      <c r="C1467" s="6" t="str">
        <f ca="1">IF(AND(NEGOCIAÇÕES!P1467="",NEGOCIAÇÕES!N1467&lt;TODAY()),NEGOCIAÇÕES!E1467,"")</f>
        <v>-</v>
      </c>
      <c r="D1467" s="6" t="str">
        <f ca="1">IF(AND(NEGOCIAÇÕES!P1467="",NEGOCIAÇÕES!N1467&lt;TODAY()),NEGOCIAÇÕES!D1467,"")</f>
        <v>ISOPRO COMERCIO DE JUNTAS E SOLDAS LTDA</v>
      </c>
      <c r="E1467" s="9">
        <f ca="1">IF(AND(NEGOCIAÇÕES!P1467="",NEGOCIAÇÕES!N1467&lt;TODAY()),NEGOCIAÇÕES!N1467,"")</f>
        <v>46056</v>
      </c>
    </row>
    <row r="1468" spans="2:5" ht="31.95" hidden="1" customHeight="1" x14ac:dyDescent="0.3">
      <c r="B1468" s="6">
        <f ca="1">IF(AND(NEGOCIAÇÕES!P1468="",NEGOCIAÇÕES!N1468&lt;TODAY()),NEGOCIAÇÕES!C1468,"")</f>
        <v>1465</v>
      </c>
      <c r="C1468" s="6" t="str">
        <f ca="1">IF(AND(NEGOCIAÇÕES!P1468="",NEGOCIAÇÕES!N1468&lt;TODAY()),NEGOCIAÇÕES!E1468,"")</f>
        <v>OS 405.26</v>
      </c>
      <c r="D1468" s="6" t="str">
        <f ca="1">IF(AND(NEGOCIAÇÕES!P1468="",NEGOCIAÇÕES!N1468&lt;TODAY()),NEGOCIAÇÕES!D1468,"")</f>
        <v>TENAX ACO E FERRO MATRIZ</v>
      </c>
      <c r="E1468" s="9">
        <f ca="1">IF(AND(NEGOCIAÇÕES!P1468="",NEGOCIAÇÕES!N1468&lt;TODAY()),NEGOCIAÇÕES!N1468,"")</f>
        <v>46059</v>
      </c>
    </row>
    <row r="1469" spans="2:5" ht="31.95" hidden="1" customHeight="1" x14ac:dyDescent="0.3">
      <c r="B1469" s="6">
        <f ca="1">IF(AND(NEGOCIAÇÕES!P1469="",NEGOCIAÇÕES!N1469&lt;TODAY()),NEGOCIAÇÕES!C1469,"")</f>
        <v>1466</v>
      </c>
      <c r="C1469" s="6" t="str">
        <f ca="1">IF(AND(NEGOCIAÇÕES!P1469="",NEGOCIAÇÕES!N1469&lt;TODAY()),NEGOCIAÇÕES!E1469,"")</f>
        <v>OS 376.25</v>
      </c>
      <c r="D1469" s="6" t="str">
        <f ca="1">IF(AND(NEGOCIAÇÕES!P1469="",NEGOCIAÇÕES!N1469&lt;TODAY()),NEGOCIAÇÕES!D1469,"")</f>
        <v>TENAX ACO E FERRO MATRIZ</v>
      </c>
      <c r="E1469" s="9">
        <f ca="1">IF(AND(NEGOCIAÇÕES!P1469="",NEGOCIAÇÕES!N1469&lt;TODAY()),NEGOCIAÇÕES!N1469,"")</f>
        <v>46058</v>
      </c>
    </row>
    <row r="1470" spans="2:5" ht="31.95" hidden="1" customHeight="1" x14ac:dyDescent="0.3">
      <c r="B1470" s="6">
        <f ca="1">IF(AND(NEGOCIAÇÕES!P1470="",NEGOCIAÇÕES!N1470&lt;TODAY()),NEGOCIAÇÕES!C1470,"")</f>
        <v>1467</v>
      </c>
      <c r="C1470" s="6" t="str">
        <f ca="1">IF(AND(NEGOCIAÇÕES!P1470="",NEGOCIAÇÕES!N1470&lt;TODAY()),NEGOCIAÇÕES!E1470,"")</f>
        <v>OS 376.25</v>
      </c>
      <c r="D1470" s="6" t="str">
        <f ca="1">IF(AND(NEGOCIAÇÕES!P1470="",NEGOCIAÇÕES!N1470&lt;TODAY()),NEGOCIAÇÕES!D1470,"")</f>
        <v>CONEC RIO Conexões e Peças Ltda</v>
      </c>
      <c r="E1470" s="9">
        <f ca="1">IF(AND(NEGOCIAÇÕES!P1470="",NEGOCIAÇÕES!N1470&lt;TODAY()),NEGOCIAÇÕES!N1470,"")</f>
        <v>46057</v>
      </c>
    </row>
    <row r="1471" spans="2:5" ht="31.95" hidden="1" customHeight="1" x14ac:dyDescent="0.3">
      <c r="B1471" s="6">
        <f ca="1">IF(AND(NEGOCIAÇÕES!P1471="",NEGOCIAÇÕES!N1471&lt;TODAY()),NEGOCIAÇÕES!C1471,"")</f>
        <v>1468</v>
      </c>
      <c r="C1471" s="6" t="str">
        <f ca="1">IF(AND(NEGOCIAÇÕES!P1471="",NEGOCIAÇÕES!N1471&lt;TODAY()),NEGOCIAÇÕES!E1471,"")</f>
        <v>OS 376.25</v>
      </c>
      <c r="D1471" s="6" t="str">
        <f ca="1">IF(AND(NEGOCIAÇÕES!P1471="",NEGOCIAÇÕES!N1471&lt;TODAY()),NEGOCIAÇÕES!D1471,"")</f>
        <v>L E M CALIBRAÇÃO E METROLOGIA PADRÃO LTDA</v>
      </c>
      <c r="E1471" s="9">
        <f ca="1">IF(AND(NEGOCIAÇÕES!P1471="",NEGOCIAÇÕES!N1471&lt;TODAY()),NEGOCIAÇÕES!N1471,"")</f>
        <v>46058</v>
      </c>
    </row>
    <row r="1472" spans="2:5" ht="31.95" hidden="1" customHeight="1" x14ac:dyDescent="0.3">
      <c r="B1472" s="6">
        <f ca="1">IF(AND(NEGOCIAÇÕES!P1472="",NEGOCIAÇÕES!N1472&lt;TODAY()),NEGOCIAÇÕES!C1472,"")</f>
        <v>1469</v>
      </c>
      <c r="C1472" s="6" t="str">
        <f ca="1">IF(AND(NEGOCIAÇÕES!P1472="",NEGOCIAÇÕES!N1472&lt;TODAY()),NEGOCIAÇÕES!E1472,"")</f>
        <v>-</v>
      </c>
      <c r="D1472" s="6" t="str">
        <f ca="1">IF(AND(NEGOCIAÇÕES!P1472="",NEGOCIAÇÕES!N1472&lt;TODAY()),NEGOCIAÇÕES!D1472,"")</f>
        <v>ISOPRO COMERCIO DE JUNTAS E SOLDAS LTDA</v>
      </c>
      <c r="E1472" s="9">
        <f ca="1">IF(AND(NEGOCIAÇÕES!P1472="",NEGOCIAÇÕES!N1472&lt;TODAY()),NEGOCIAÇÕES!N1472,"")</f>
        <v>46057</v>
      </c>
    </row>
    <row r="1473" spans="2:5" ht="31.95" hidden="1" customHeight="1" x14ac:dyDescent="0.3">
      <c r="B1473" s="6">
        <f ca="1">IF(AND(NEGOCIAÇÕES!P1473="",NEGOCIAÇÕES!N1473&lt;TODAY()),NEGOCIAÇÕES!C1473,"")</f>
        <v>1470</v>
      </c>
      <c r="C1473" s="6" t="str">
        <f ca="1">IF(AND(NEGOCIAÇÕES!P1473="",NEGOCIAÇÕES!N1473&lt;TODAY()),NEGOCIAÇÕES!E1473,"")</f>
        <v>OS 397.25</v>
      </c>
      <c r="D1473" s="6" t="str">
        <f ca="1">IF(AND(NEGOCIAÇÕES!P1473="",NEGOCIAÇÕES!N1473&lt;TODAY()),NEGOCIAÇÕES!D1473,"")</f>
        <v>C B INSP. - CONTROLE DE QUALIDADE ENDS LTDA</v>
      </c>
      <c r="E1473" s="9">
        <f ca="1">IF(AND(NEGOCIAÇÕES!P1473="",NEGOCIAÇÕES!N1473&lt;TODAY()),NEGOCIAÇÕES!N1473,"")</f>
        <v>46057</v>
      </c>
    </row>
    <row r="1474" spans="2:5" ht="31.95" hidden="1" customHeight="1" x14ac:dyDescent="0.3">
      <c r="B1474" s="6">
        <f ca="1">IF(AND(NEGOCIAÇÕES!P1474="",NEGOCIAÇÕES!N1474&lt;TODAY()),NEGOCIAÇÕES!C1474,"")</f>
        <v>1471</v>
      </c>
      <c r="C1474" s="6" t="str">
        <f ca="1">IF(AND(NEGOCIAÇÕES!P1474="",NEGOCIAÇÕES!N1474&lt;TODAY()),NEGOCIAÇÕES!E1474,"")</f>
        <v>OS 397.25</v>
      </c>
      <c r="D1474" s="6" t="str">
        <f ca="1">IF(AND(NEGOCIAÇÕES!P1474="",NEGOCIAÇÕES!N1474&lt;TODAY()),NEGOCIAÇÕES!D1474,"")</f>
        <v>ESTRELAÇO TUBOS E CONEXÕES COMERCIO E SERVIÇO LTDA</v>
      </c>
      <c r="E1474" s="9">
        <f ca="1">IF(AND(NEGOCIAÇÕES!P1474="",NEGOCIAÇÕES!N1474&lt;TODAY()),NEGOCIAÇÕES!N1474,"")</f>
        <v>46059</v>
      </c>
    </row>
    <row r="1475" spans="2:5" ht="31.95" hidden="1" customHeight="1" x14ac:dyDescent="0.3">
      <c r="B1475" s="6">
        <f ca="1">IF(AND(NEGOCIAÇÕES!P1475="",NEGOCIAÇÕES!N1475&lt;TODAY()),NEGOCIAÇÕES!C1475,"")</f>
        <v>1472</v>
      </c>
      <c r="C1475" s="6" t="str">
        <f ca="1">IF(AND(NEGOCIAÇÕES!P1475="",NEGOCIAÇÕES!N1475&lt;TODAY()),NEGOCIAÇÕES!E1475,"")</f>
        <v>OS 423.26</v>
      </c>
      <c r="D1475" s="6" t="str">
        <f ca="1">IF(AND(NEGOCIAÇÕES!P1475="",NEGOCIAÇÕES!N1475&lt;TODAY()),NEGOCIAÇÕES!D1475,"")</f>
        <v>TENAX ACO E FERRO MATRIZ</v>
      </c>
      <c r="E1475" s="9">
        <f ca="1">IF(AND(NEGOCIAÇÕES!P1475="",NEGOCIAÇÕES!N1475&lt;TODAY()),NEGOCIAÇÕES!N1475,"")</f>
        <v>46059</v>
      </c>
    </row>
    <row r="1476" spans="2:5" ht="31.95" hidden="1" customHeight="1" x14ac:dyDescent="0.3">
      <c r="B1476" s="6" t="str">
        <f ca="1">IF(AND(NEGOCIAÇÕES!P1476="",NEGOCIAÇÕES!N1476&lt;TODAY()),NEGOCIAÇÕES!C1476,"")</f>
        <v/>
      </c>
      <c r="C1476" s="6" t="str">
        <f ca="1">IF(AND(NEGOCIAÇÕES!P1476="",NEGOCIAÇÕES!N1476&lt;TODAY()),NEGOCIAÇÕES!E1476,"")</f>
        <v/>
      </c>
      <c r="D1476" s="6" t="str">
        <f ca="1">IF(AND(NEGOCIAÇÕES!P1476="",NEGOCIAÇÕES!N1476&lt;TODAY()),NEGOCIAÇÕES!D1476,"")</f>
        <v/>
      </c>
      <c r="E1476" s="9" t="str">
        <f ca="1">IF(AND(NEGOCIAÇÕES!P1476="",NEGOCIAÇÕES!N1476&lt;TODAY()),NEGOCIAÇÕES!N1476,"")</f>
        <v/>
      </c>
    </row>
    <row r="1477" spans="2:5" ht="31.95" hidden="1" customHeight="1" x14ac:dyDescent="0.3">
      <c r="B1477" s="6">
        <f ca="1">IF(AND(NEGOCIAÇÕES!P1477="",NEGOCIAÇÕES!N1477&lt;TODAY()),NEGOCIAÇÕES!C1477,"")</f>
        <v>1474</v>
      </c>
      <c r="C1477" s="6" t="str">
        <f ca="1">IF(AND(NEGOCIAÇÕES!P1477="",NEGOCIAÇÕES!N1477&lt;TODAY()),NEGOCIAÇÕES!E1477,"")</f>
        <v>OS 405.26</v>
      </c>
      <c r="D1477" s="6" t="str">
        <f ca="1">IF(AND(NEGOCIAÇÕES!P1477="",NEGOCIAÇÕES!N1477&lt;TODAY()),NEGOCIAÇÕES!D1477,"")</f>
        <v>PAFER COMÉRCIO E REPRESENTAÇÕES LTDA</v>
      </c>
      <c r="E1477" s="9">
        <f ca="1">IF(AND(NEGOCIAÇÕES!P1477="",NEGOCIAÇÕES!N1477&lt;TODAY()),NEGOCIAÇÕES!N1477,"")</f>
        <v>46059</v>
      </c>
    </row>
    <row r="1478" spans="2:5" ht="31.95" hidden="1" customHeight="1" x14ac:dyDescent="0.3">
      <c r="B1478" s="6">
        <f ca="1">IF(AND(NEGOCIAÇÕES!P1478="",NEGOCIAÇÕES!N1478&lt;TODAY()),NEGOCIAÇÕES!C1478,"")</f>
        <v>1475</v>
      </c>
      <c r="C1478" s="6" t="str">
        <f ca="1">IF(AND(NEGOCIAÇÕES!P1478="",NEGOCIAÇÕES!N1478&lt;TODAY()),NEGOCIAÇÕES!E1478,"")</f>
        <v>OS 418.25</v>
      </c>
      <c r="D1478" s="6" t="str">
        <f ca="1">IF(AND(NEGOCIAÇÕES!P1478="",NEGOCIAÇÕES!N1478&lt;TODAY()),NEGOCIAÇÕES!D1478,"")</f>
        <v>ANJ TINTAS NAVAIS E INDUSTRIAL LTDA</v>
      </c>
      <c r="E1478" s="9">
        <f ca="1">IF(AND(NEGOCIAÇÕES!P1478="",NEGOCIAÇÕES!N1478&lt;TODAY()),NEGOCIAÇÕES!N1478,"")</f>
        <v>46059</v>
      </c>
    </row>
    <row r="1479" spans="2:5" ht="31.95" hidden="1" customHeight="1" x14ac:dyDescent="0.3">
      <c r="B1479" s="6" t="str">
        <f ca="1">IF(AND(NEGOCIAÇÕES!P1479="",NEGOCIAÇÕES!N1479&lt;TODAY()),NEGOCIAÇÕES!C1479,"")</f>
        <v/>
      </c>
      <c r="C1479" s="6">
        <f ca="1">IF(AND(NEGOCIAÇÕES!P1479="",NEGOCIAÇÕES!N1479&lt;TODAY()),NEGOCIAÇÕES!E1479,"")</f>
        <v>0</v>
      </c>
      <c r="D1479" s="6">
        <f ca="1">IF(AND(NEGOCIAÇÕES!P1479="",NEGOCIAÇÕES!N1479&lt;TODAY()),NEGOCIAÇÕES!D1479,"")</f>
        <v>0</v>
      </c>
      <c r="E1479" s="9">
        <f ca="1">IF(AND(NEGOCIAÇÕES!P1479="",NEGOCIAÇÕES!N1479&lt;TODAY()),NEGOCIAÇÕES!N1479,"")</f>
        <v>0</v>
      </c>
    </row>
    <row r="1480" spans="2:5" ht="31.95" hidden="1" customHeight="1" x14ac:dyDescent="0.3">
      <c r="B1480" s="6" t="str">
        <f ca="1">IF(AND(NEGOCIAÇÕES!P1480="",NEGOCIAÇÕES!N1480&lt;TODAY()),NEGOCIAÇÕES!C1480,"")</f>
        <v/>
      </c>
      <c r="C1480" s="6">
        <f ca="1">IF(AND(NEGOCIAÇÕES!P1480="",NEGOCIAÇÕES!N1480&lt;TODAY()),NEGOCIAÇÕES!E1480,"")</f>
        <v>0</v>
      </c>
      <c r="D1480" s="6">
        <f ca="1">IF(AND(NEGOCIAÇÕES!P1480="",NEGOCIAÇÕES!N1480&lt;TODAY()),NEGOCIAÇÕES!D1480,"")</f>
        <v>0</v>
      </c>
      <c r="E1480" s="9">
        <f ca="1">IF(AND(NEGOCIAÇÕES!P1480="",NEGOCIAÇÕES!N1480&lt;TODAY()),NEGOCIAÇÕES!N1480,"")</f>
        <v>0</v>
      </c>
    </row>
    <row r="1481" spans="2:5" ht="31.95" hidden="1" customHeight="1" x14ac:dyDescent="0.3">
      <c r="B1481" s="6" t="str">
        <f ca="1">IF(AND(NEGOCIAÇÕES!P1481="",NEGOCIAÇÕES!N1481&lt;TODAY()),NEGOCIAÇÕES!C1481,"")</f>
        <v/>
      </c>
      <c r="C1481" s="6">
        <f ca="1">IF(AND(NEGOCIAÇÕES!P1481="",NEGOCIAÇÕES!N1481&lt;TODAY()),NEGOCIAÇÕES!E1481,"")</f>
        <v>0</v>
      </c>
      <c r="D1481" s="6">
        <f ca="1">IF(AND(NEGOCIAÇÕES!P1481="",NEGOCIAÇÕES!N1481&lt;TODAY()),NEGOCIAÇÕES!D1481,"")</f>
        <v>0</v>
      </c>
      <c r="E1481" s="9">
        <f ca="1">IF(AND(NEGOCIAÇÕES!P1481="",NEGOCIAÇÕES!N1481&lt;TODAY()),NEGOCIAÇÕES!N1481,"")</f>
        <v>0</v>
      </c>
    </row>
    <row r="1482" spans="2:5" ht="31.95" hidden="1" customHeight="1" x14ac:dyDescent="0.3">
      <c r="B1482" s="6" t="str">
        <f ca="1">IF(AND(NEGOCIAÇÕES!P1482="",NEGOCIAÇÕES!N1482&lt;TODAY()),NEGOCIAÇÕES!C1482,"")</f>
        <v/>
      </c>
      <c r="C1482" s="6">
        <f ca="1">IF(AND(NEGOCIAÇÕES!P1482="",NEGOCIAÇÕES!N1482&lt;TODAY()),NEGOCIAÇÕES!E1482,"")</f>
        <v>0</v>
      </c>
      <c r="D1482" s="6">
        <f ca="1">IF(AND(NEGOCIAÇÕES!P1482="",NEGOCIAÇÕES!N1482&lt;TODAY()),NEGOCIAÇÕES!D1482,"")</f>
        <v>0</v>
      </c>
      <c r="E1482" s="9">
        <f ca="1">IF(AND(NEGOCIAÇÕES!P1482="",NEGOCIAÇÕES!N1482&lt;TODAY()),NEGOCIAÇÕES!N1482,"")</f>
        <v>0</v>
      </c>
    </row>
    <row r="1483" spans="2:5" ht="31.95" hidden="1" customHeight="1" x14ac:dyDescent="0.3">
      <c r="B1483" s="6" t="str">
        <f ca="1">IF(AND(NEGOCIAÇÕES!P1483="",NEGOCIAÇÕES!N1483&lt;TODAY()),NEGOCIAÇÕES!C1483,"")</f>
        <v/>
      </c>
      <c r="C1483" s="6">
        <f ca="1">IF(AND(NEGOCIAÇÕES!P1483="",NEGOCIAÇÕES!N1483&lt;TODAY()),NEGOCIAÇÕES!E1483,"")</f>
        <v>0</v>
      </c>
      <c r="D1483" s="6">
        <f ca="1">IF(AND(NEGOCIAÇÕES!P1483="",NEGOCIAÇÕES!N1483&lt;TODAY()),NEGOCIAÇÕES!D1483,"")</f>
        <v>0</v>
      </c>
      <c r="E1483" s="9">
        <f ca="1">IF(AND(NEGOCIAÇÕES!P1483="",NEGOCIAÇÕES!N1483&lt;TODAY()),NEGOCIAÇÕES!N1483,"")</f>
        <v>0</v>
      </c>
    </row>
    <row r="1484" spans="2:5" ht="31.95" hidden="1" customHeight="1" x14ac:dyDescent="0.3">
      <c r="B1484" s="6" t="str">
        <f ca="1">IF(AND(NEGOCIAÇÕES!P1484="",NEGOCIAÇÕES!N1484&lt;TODAY()),NEGOCIAÇÕES!C1484,"")</f>
        <v/>
      </c>
      <c r="C1484" s="6">
        <f ca="1">IF(AND(NEGOCIAÇÕES!P1484="",NEGOCIAÇÕES!N1484&lt;TODAY()),NEGOCIAÇÕES!E1484,"")</f>
        <v>0</v>
      </c>
      <c r="D1484" s="6">
        <f ca="1">IF(AND(NEGOCIAÇÕES!P1484="",NEGOCIAÇÕES!N1484&lt;TODAY()),NEGOCIAÇÕES!D1484,"")</f>
        <v>0</v>
      </c>
      <c r="E1484" s="9">
        <f ca="1">IF(AND(NEGOCIAÇÕES!P1484="",NEGOCIAÇÕES!N1484&lt;TODAY()),NEGOCIAÇÕES!N1484,"")</f>
        <v>0</v>
      </c>
    </row>
    <row r="1485" spans="2:5" ht="31.95" hidden="1" customHeight="1" x14ac:dyDescent="0.3">
      <c r="B1485" s="6" t="str">
        <f ca="1">IF(AND(NEGOCIAÇÕES!P1485="",NEGOCIAÇÕES!N1485&lt;TODAY()),NEGOCIAÇÕES!C1485,"")</f>
        <v/>
      </c>
      <c r="C1485" s="6">
        <f ca="1">IF(AND(NEGOCIAÇÕES!P1485="",NEGOCIAÇÕES!N1485&lt;TODAY()),NEGOCIAÇÕES!E1485,"")</f>
        <v>0</v>
      </c>
      <c r="D1485" s="6">
        <f ca="1">IF(AND(NEGOCIAÇÕES!P1485="",NEGOCIAÇÕES!N1485&lt;TODAY()),NEGOCIAÇÕES!D1485,"")</f>
        <v>0</v>
      </c>
      <c r="E1485" s="9">
        <f ca="1">IF(AND(NEGOCIAÇÕES!P1485="",NEGOCIAÇÕES!N1485&lt;TODAY()),NEGOCIAÇÕES!N1485,"")</f>
        <v>0</v>
      </c>
    </row>
    <row r="1486" spans="2:5" ht="31.95" hidden="1" customHeight="1" x14ac:dyDescent="0.3">
      <c r="B1486" s="6" t="str">
        <f ca="1">IF(AND(NEGOCIAÇÕES!P1486="",NEGOCIAÇÕES!N1486&lt;TODAY()),NEGOCIAÇÕES!C1486,"")</f>
        <v/>
      </c>
      <c r="C1486" s="6">
        <f ca="1">IF(AND(NEGOCIAÇÕES!P1486="",NEGOCIAÇÕES!N1486&lt;TODAY()),NEGOCIAÇÕES!E1486,"")</f>
        <v>0</v>
      </c>
      <c r="D1486" s="6">
        <f ca="1">IF(AND(NEGOCIAÇÕES!P1486="",NEGOCIAÇÕES!N1486&lt;TODAY()),NEGOCIAÇÕES!D1486,"")</f>
        <v>0</v>
      </c>
      <c r="E1486" s="9">
        <f ca="1">IF(AND(NEGOCIAÇÕES!P1486="",NEGOCIAÇÕES!N1486&lt;TODAY()),NEGOCIAÇÕES!N1486,"")</f>
        <v>0</v>
      </c>
    </row>
    <row r="1487" spans="2:5" ht="31.95" hidden="1" customHeight="1" x14ac:dyDescent="0.3">
      <c r="B1487" s="6" t="str">
        <f ca="1">IF(AND(NEGOCIAÇÕES!P1487="",NEGOCIAÇÕES!N1487&lt;TODAY()),NEGOCIAÇÕES!C1487,"")</f>
        <v/>
      </c>
      <c r="C1487" s="6">
        <f ca="1">IF(AND(NEGOCIAÇÕES!P1487="",NEGOCIAÇÕES!N1487&lt;TODAY()),NEGOCIAÇÕES!E1487,"")</f>
        <v>0</v>
      </c>
      <c r="D1487" s="6">
        <f ca="1">IF(AND(NEGOCIAÇÕES!P1487="",NEGOCIAÇÕES!N1487&lt;TODAY()),NEGOCIAÇÕES!D1487,"")</f>
        <v>0</v>
      </c>
      <c r="E1487" s="9">
        <f ca="1">IF(AND(NEGOCIAÇÕES!P1487="",NEGOCIAÇÕES!N1487&lt;TODAY()),NEGOCIAÇÕES!N1487,"")</f>
        <v>0</v>
      </c>
    </row>
    <row r="1488" spans="2:5" ht="31.95" hidden="1" customHeight="1" x14ac:dyDescent="0.3">
      <c r="B1488" s="6" t="str">
        <f ca="1">IF(AND(NEGOCIAÇÕES!P1488="",NEGOCIAÇÕES!N1488&lt;TODAY()),NEGOCIAÇÕES!C1488,"")</f>
        <v/>
      </c>
      <c r="C1488" s="6">
        <f ca="1">IF(AND(NEGOCIAÇÕES!P1488="",NEGOCIAÇÕES!N1488&lt;TODAY()),NEGOCIAÇÕES!E1488,"")</f>
        <v>0</v>
      </c>
      <c r="D1488" s="6">
        <f ca="1">IF(AND(NEGOCIAÇÕES!P1488="",NEGOCIAÇÕES!N1488&lt;TODAY()),NEGOCIAÇÕES!D1488,"")</f>
        <v>0</v>
      </c>
      <c r="E1488" s="9">
        <f ca="1">IF(AND(NEGOCIAÇÕES!P1488="",NEGOCIAÇÕES!N1488&lt;TODAY()),NEGOCIAÇÕES!N1488,"")</f>
        <v>0</v>
      </c>
    </row>
    <row r="1489" spans="2:5" ht="31.95" hidden="1" customHeight="1" x14ac:dyDescent="0.3">
      <c r="B1489" s="6" t="str">
        <f ca="1">IF(AND(NEGOCIAÇÕES!P1489="",NEGOCIAÇÕES!N1489&lt;TODAY()),NEGOCIAÇÕES!C1489,"")</f>
        <v/>
      </c>
      <c r="C1489" s="6">
        <f ca="1">IF(AND(NEGOCIAÇÕES!P1489="",NEGOCIAÇÕES!N1489&lt;TODAY()),NEGOCIAÇÕES!E1489,"")</f>
        <v>0</v>
      </c>
      <c r="D1489" s="6">
        <f ca="1">IF(AND(NEGOCIAÇÕES!P1489="",NEGOCIAÇÕES!N1489&lt;TODAY()),NEGOCIAÇÕES!D1489,"")</f>
        <v>0</v>
      </c>
      <c r="E1489" s="9">
        <f ca="1">IF(AND(NEGOCIAÇÕES!P1489="",NEGOCIAÇÕES!N1489&lt;TODAY()),NEGOCIAÇÕES!N1489,"")</f>
        <v>0</v>
      </c>
    </row>
    <row r="1490" spans="2:5" ht="31.95" hidden="1" customHeight="1" x14ac:dyDescent="0.3">
      <c r="B1490" s="6" t="str">
        <f ca="1">IF(AND(NEGOCIAÇÕES!P1490="",NEGOCIAÇÕES!N1490&lt;TODAY()),NEGOCIAÇÕES!C1490,"")</f>
        <v/>
      </c>
      <c r="C1490" s="6">
        <f ca="1">IF(AND(NEGOCIAÇÕES!P1490="",NEGOCIAÇÕES!N1490&lt;TODAY()),NEGOCIAÇÕES!E1490,"")</f>
        <v>0</v>
      </c>
      <c r="D1490" s="6">
        <f ca="1">IF(AND(NEGOCIAÇÕES!P1490="",NEGOCIAÇÕES!N1490&lt;TODAY()),NEGOCIAÇÕES!D1490,"")</f>
        <v>0</v>
      </c>
      <c r="E1490" s="9">
        <f ca="1">IF(AND(NEGOCIAÇÕES!P1490="",NEGOCIAÇÕES!N1490&lt;TODAY()),NEGOCIAÇÕES!N1490,"")</f>
        <v>0</v>
      </c>
    </row>
    <row r="1491" spans="2:5" ht="31.95" hidden="1" customHeight="1" x14ac:dyDescent="0.3">
      <c r="B1491" s="6" t="str">
        <f ca="1">IF(AND(NEGOCIAÇÕES!P1491="",NEGOCIAÇÕES!N1491&lt;TODAY()),NEGOCIAÇÕES!C1491,"")</f>
        <v/>
      </c>
      <c r="C1491" s="6">
        <f ca="1">IF(AND(NEGOCIAÇÕES!P1491="",NEGOCIAÇÕES!N1491&lt;TODAY()),NEGOCIAÇÕES!E1491,"")</f>
        <v>0</v>
      </c>
      <c r="D1491" s="6">
        <f ca="1">IF(AND(NEGOCIAÇÕES!P1491="",NEGOCIAÇÕES!N1491&lt;TODAY()),NEGOCIAÇÕES!D1491,"")</f>
        <v>0</v>
      </c>
      <c r="E1491" s="9">
        <f ca="1">IF(AND(NEGOCIAÇÕES!P1491="",NEGOCIAÇÕES!N1491&lt;TODAY()),NEGOCIAÇÕES!N1491,"")</f>
        <v>0</v>
      </c>
    </row>
    <row r="1492" spans="2:5" ht="31.95" hidden="1" customHeight="1" x14ac:dyDescent="0.3">
      <c r="B1492" s="6" t="str">
        <f ca="1">IF(AND(NEGOCIAÇÕES!P1492="",NEGOCIAÇÕES!N1492&lt;TODAY()),NEGOCIAÇÕES!C1492,"")</f>
        <v/>
      </c>
      <c r="C1492" s="6">
        <f ca="1">IF(AND(NEGOCIAÇÕES!P1492="",NEGOCIAÇÕES!N1492&lt;TODAY()),NEGOCIAÇÕES!E1492,"")</f>
        <v>0</v>
      </c>
      <c r="D1492" s="6">
        <f ca="1">IF(AND(NEGOCIAÇÕES!P1492="",NEGOCIAÇÕES!N1492&lt;TODAY()),NEGOCIAÇÕES!D1492,"")</f>
        <v>0</v>
      </c>
      <c r="E1492" s="9">
        <f ca="1">IF(AND(NEGOCIAÇÕES!P1492="",NEGOCIAÇÕES!N1492&lt;TODAY()),NEGOCIAÇÕES!N1492,"")</f>
        <v>0</v>
      </c>
    </row>
    <row r="1493" spans="2:5" ht="31.95" hidden="1" customHeight="1" x14ac:dyDescent="0.3">
      <c r="B1493" s="6" t="str">
        <f ca="1">IF(AND(NEGOCIAÇÕES!P1493="",NEGOCIAÇÕES!N1493&lt;TODAY()),NEGOCIAÇÕES!C1493,"")</f>
        <v/>
      </c>
      <c r="C1493" s="6">
        <f ca="1">IF(AND(NEGOCIAÇÕES!P1493="",NEGOCIAÇÕES!N1493&lt;TODAY()),NEGOCIAÇÕES!E1493,"")</f>
        <v>0</v>
      </c>
      <c r="D1493" s="6">
        <f ca="1">IF(AND(NEGOCIAÇÕES!P1493="",NEGOCIAÇÕES!N1493&lt;TODAY()),NEGOCIAÇÕES!D1493,"")</f>
        <v>0</v>
      </c>
      <c r="E1493" s="9">
        <f ca="1">IF(AND(NEGOCIAÇÕES!P1493="",NEGOCIAÇÕES!N1493&lt;TODAY()),NEGOCIAÇÕES!N1493,"")</f>
        <v>0</v>
      </c>
    </row>
    <row r="1494" spans="2:5" ht="31.95" hidden="1" customHeight="1" x14ac:dyDescent="0.3">
      <c r="B1494" s="6" t="str">
        <f ca="1">IF(AND(NEGOCIAÇÕES!P1494="",NEGOCIAÇÕES!N1494&lt;TODAY()),NEGOCIAÇÕES!C1494,"")</f>
        <v/>
      </c>
      <c r="C1494" s="6">
        <f ca="1">IF(AND(NEGOCIAÇÕES!P1494="",NEGOCIAÇÕES!N1494&lt;TODAY()),NEGOCIAÇÕES!E1494,"")</f>
        <v>0</v>
      </c>
      <c r="D1494" s="6">
        <f ca="1">IF(AND(NEGOCIAÇÕES!P1494="",NEGOCIAÇÕES!N1494&lt;TODAY()),NEGOCIAÇÕES!D1494,"")</f>
        <v>0</v>
      </c>
      <c r="E1494" s="9">
        <f ca="1">IF(AND(NEGOCIAÇÕES!P1494="",NEGOCIAÇÕES!N1494&lt;TODAY()),NEGOCIAÇÕES!N1494,"")</f>
        <v>0</v>
      </c>
    </row>
    <row r="1495" spans="2:5" ht="31.95" hidden="1" customHeight="1" x14ac:dyDescent="0.3">
      <c r="B1495" s="6" t="str">
        <f ca="1">IF(AND(NEGOCIAÇÕES!P1495="",NEGOCIAÇÕES!N1495&lt;TODAY()),NEGOCIAÇÕES!C1495,"")</f>
        <v/>
      </c>
      <c r="C1495" s="6">
        <f ca="1">IF(AND(NEGOCIAÇÕES!P1495="",NEGOCIAÇÕES!N1495&lt;TODAY()),NEGOCIAÇÕES!E1495,"")</f>
        <v>0</v>
      </c>
      <c r="D1495" s="6">
        <f ca="1">IF(AND(NEGOCIAÇÕES!P1495="",NEGOCIAÇÕES!N1495&lt;TODAY()),NEGOCIAÇÕES!D1495,"")</f>
        <v>0</v>
      </c>
      <c r="E1495" s="9">
        <f ca="1">IF(AND(NEGOCIAÇÕES!P1495="",NEGOCIAÇÕES!N1495&lt;TODAY()),NEGOCIAÇÕES!N1495,"")</f>
        <v>0</v>
      </c>
    </row>
    <row r="1496" spans="2:5" ht="31.95" hidden="1" customHeight="1" x14ac:dyDescent="0.3">
      <c r="B1496" s="6" t="str">
        <f ca="1">IF(AND(NEGOCIAÇÕES!P1496="",NEGOCIAÇÕES!N1496&lt;TODAY()),NEGOCIAÇÕES!C1496,"")</f>
        <v/>
      </c>
      <c r="C1496" s="6">
        <f ca="1">IF(AND(NEGOCIAÇÕES!P1496="",NEGOCIAÇÕES!N1496&lt;TODAY()),NEGOCIAÇÕES!E1496,"")</f>
        <v>0</v>
      </c>
      <c r="D1496" s="6">
        <f ca="1">IF(AND(NEGOCIAÇÕES!P1496="",NEGOCIAÇÕES!N1496&lt;TODAY()),NEGOCIAÇÕES!D1496,"")</f>
        <v>0</v>
      </c>
      <c r="E1496" s="9">
        <f ca="1">IF(AND(NEGOCIAÇÕES!P1496="",NEGOCIAÇÕES!N1496&lt;TODAY()),NEGOCIAÇÕES!N1496,"")</f>
        <v>0</v>
      </c>
    </row>
    <row r="1497" spans="2:5" ht="31.95" hidden="1" customHeight="1" x14ac:dyDescent="0.3">
      <c r="B1497" s="6" t="str">
        <f ca="1">IF(AND(NEGOCIAÇÕES!P1497="",NEGOCIAÇÕES!N1497&lt;TODAY()),NEGOCIAÇÕES!C1497,"")</f>
        <v/>
      </c>
      <c r="C1497" s="6">
        <f ca="1">IF(AND(NEGOCIAÇÕES!P1497="",NEGOCIAÇÕES!N1497&lt;TODAY()),NEGOCIAÇÕES!E1497,"")</f>
        <v>0</v>
      </c>
      <c r="D1497" s="6">
        <f ca="1">IF(AND(NEGOCIAÇÕES!P1497="",NEGOCIAÇÕES!N1497&lt;TODAY()),NEGOCIAÇÕES!D1497,"")</f>
        <v>0</v>
      </c>
      <c r="E1497" s="9">
        <f ca="1">IF(AND(NEGOCIAÇÕES!P1497="",NEGOCIAÇÕES!N1497&lt;TODAY()),NEGOCIAÇÕES!N1497,"")</f>
        <v>0</v>
      </c>
    </row>
    <row r="1498" spans="2:5" ht="31.95" hidden="1" customHeight="1" x14ac:dyDescent="0.3">
      <c r="B1498" s="6" t="str">
        <f ca="1">IF(AND(NEGOCIAÇÕES!P1498="",NEGOCIAÇÕES!N1498&lt;TODAY()),NEGOCIAÇÕES!C1498,"")</f>
        <v/>
      </c>
      <c r="C1498" s="6">
        <f ca="1">IF(AND(NEGOCIAÇÕES!P1498="",NEGOCIAÇÕES!N1498&lt;TODAY()),NEGOCIAÇÕES!E1498,"")</f>
        <v>0</v>
      </c>
      <c r="D1498" s="6">
        <f ca="1">IF(AND(NEGOCIAÇÕES!P1498="",NEGOCIAÇÕES!N1498&lt;TODAY()),NEGOCIAÇÕES!D1498,"")</f>
        <v>0</v>
      </c>
      <c r="E1498" s="9">
        <f ca="1">IF(AND(NEGOCIAÇÕES!P1498="",NEGOCIAÇÕES!N1498&lt;TODAY()),NEGOCIAÇÕES!N1498,"")</f>
        <v>0</v>
      </c>
    </row>
    <row r="1499" spans="2:5" ht="31.95" hidden="1" customHeight="1" x14ac:dyDescent="0.3">
      <c r="B1499" s="6" t="str">
        <f ca="1">IF(AND(NEGOCIAÇÕES!P1499="",NEGOCIAÇÕES!N1499&lt;TODAY()),NEGOCIAÇÕES!C1499,"")</f>
        <v/>
      </c>
      <c r="C1499" s="6">
        <f ca="1">IF(AND(NEGOCIAÇÕES!P1499="",NEGOCIAÇÕES!N1499&lt;TODAY()),NEGOCIAÇÕES!E1499,"")</f>
        <v>0</v>
      </c>
      <c r="D1499" s="6">
        <f ca="1">IF(AND(NEGOCIAÇÕES!P1499="",NEGOCIAÇÕES!N1499&lt;TODAY()),NEGOCIAÇÕES!D1499,"")</f>
        <v>0</v>
      </c>
      <c r="E1499" s="9">
        <f ca="1">IF(AND(NEGOCIAÇÕES!P1499="",NEGOCIAÇÕES!N1499&lt;TODAY()),NEGOCIAÇÕES!N1499,"")</f>
        <v>0</v>
      </c>
    </row>
    <row r="1500" spans="2:5" ht="31.95" hidden="1" customHeight="1" x14ac:dyDescent="0.3">
      <c r="B1500" s="6" t="str">
        <f ca="1">IF(AND(NEGOCIAÇÕES!P1500="",NEGOCIAÇÕES!N1500&lt;TODAY()),NEGOCIAÇÕES!C1500,"")</f>
        <v/>
      </c>
      <c r="C1500" s="6">
        <f ca="1">IF(AND(NEGOCIAÇÕES!P1500="",NEGOCIAÇÕES!N1500&lt;TODAY()),NEGOCIAÇÕES!E1500,"")</f>
        <v>0</v>
      </c>
      <c r="D1500" s="6">
        <f ca="1">IF(AND(NEGOCIAÇÕES!P1500="",NEGOCIAÇÕES!N1500&lt;TODAY()),NEGOCIAÇÕES!D1500,"")</f>
        <v>0</v>
      </c>
      <c r="E1500" s="9">
        <f ca="1">IF(AND(NEGOCIAÇÕES!P1500="",NEGOCIAÇÕES!N1500&lt;TODAY()),NEGOCIAÇÕES!N1500,"")</f>
        <v>0</v>
      </c>
    </row>
    <row r="1501" spans="2:5" ht="31.95" hidden="1" customHeight="1" x14ac:dyDescent="0.3">
      <c r="B1501" s="6" t="str">
        <f ca="1">IF(AND(NEGOCIAÇÕES!P1501="",NEGOCIAÇÕES!N1501&lt;TODAY()),NEGOCIAÇÕES!C1501,"")</f>
        <v/>
      </c>
      <c r="C1501" s="6">
        <f ca="1">IF(AND(NEGOCIAÇÕES!P1501="",NEGOCIAÇÕES!N1501&lt;TODAY()),NEGOCIAÇÕES!E1501,"")</f>
        <v>0</v>
      </c>
      <c r="D1501" s="6">
        <f ca="1">IF(AND(NEGOCIAÇÕES!P1501="",NEGOCIAÇÕES!N1501&lt;TODAY()),NEGOCIAÇÕES!D1501,"")</f>
        <v>0</v>
      </c>
      <c r="E1501" s="9">
        <f ca="1">IF(AND(NEGOCIAÇÕES!P1501="",NEGOCIAÇÕES!N1501&lt;TODAY()),NEGOCIAÇÕES!N1501,"")</f>
        <v>0</v>
      </c>
    </row>
    <row r="1502" spans="2:5" ht="31.95" hidden="1" customHeight="1" x14ac:dyDescent="0.3">
      <c r="B1502" s="6" t="str">
        <f ca="1">IF(AND(NEGOCIAÇÕES!P1502="",NEGOCIAÇÕES!N1502&lt;TODAY()),NEGOCIAÇÕES!C1502,"")</f>
        <v/>
      </c>
      <c r="C1502" s="6">
        <f ca="1">IF(AND(NEGOCIAÇÕES!P1502="",NEGOCIAÇÕES!N1502&lt;TODAY()),NEGOCIAÇÕES!E1502,"")</f>
        <v>0</v>
      </c>
      <c r="D1502" s="6">
        <f ca="1">IF(AND(NEGOCIAÇÕES!P1502="",NEGOCIAÇÕES!N1502&lt;TODAY()),NEGOCIAÇÕES!D1502,"")</f>
        <v>0</v>
      </c>
      <c r="E1502" s="9">
        <f ca="1">IF(AND(NEGOCIAÇÕES!P1502="",NEGOCIAÇÕES!N1502&lt;TODAY()),NEGOCIAÇÕES!N1502,"")</f>
        <v>0</v>
      </c>
    </row>
    <row r="1503" spans="2:5" ht="31.95" hidden="1" customHeight="1" x14ac:dyDescent="0.3">
      <c r="B1503" s="6" t="str">
        <f ca="1">IF(AND(NEGOCIAÇÕES!P1503="",NEGOCIAÇÕES!N1503&lt;TODAY()),NEGOCIAÇÕES!C1503,"")</f>
        <v/>
      </c>
      <c r="C1503" s="6">
        <f ca="1">IF(AND(NEGOCIAÇÕES!P1503="",NEGOCIAÇÕES!N1503&lt;TODAY()),NEGOCIAÇÕES!E1503,"")</f>
        <v>0</v>
      </c>
      <c r="D1503" s="6">
        <f ca="1">IF(AND(NEGOCIAÇÕES!P1503="",NEGOCIAÇÕES!N1503&lt;TODAY()),NEGOCIAÇÕES!D1503,"")</f>
        <v>0</v>
      </c>
      <c r="E1503" s="9">
        <f ca="1">IF(AND(NEGOCIAÇÕES!P1503="",NEGOCIAÇÕES!N1503&lt;TODAY()),NEGOCIAÇÕES!N1503,"")</f>
        <v>0</v>
      </c>
    </row>
    <row r="1504" spans="2:5" ht="31.95" hidden="1" customHeight="1" x14ac:dyDescent="0.3">
      <c r="B1504" s="6" t="str">
        <f ca="1">IF(AND(NEGOCIAÇÕES!P1504="",NEGOCIAÇÕES!N1504&lt;TODAY()),NEGOCIAÇÕES!C1504,"")</f>
        <v/>
      </c>
      <c r="C1504" s="6">
        <f ca="1">IF(AND(NEGOCIAÇÕES!P1504="",NEGOCIAÇÕES!N1504&lt;TODAY()),NEGOCIAÇÕES!E1504,"")</f>
        <v>0</v>
      </c>
      <c r="D1504" s="6">
        <f ca="1">IF(AND(NEGOCIAÇÕES!P1504="",NEGOCIAÇÕES!N1504&lt;TODAY()),NEGOCIAÇÕES!D1504,"")</f>
        <v>0</v>
      </c>
      <c r="E1504" s="9">
        <f ca="1">IF(AND(NEGOCIAÇÕES!P1504="",NEGOCIAÇÕES!N1504&lt;TODAY()),NEGOCIAÇÕES!N1504,"")</f>
        <v>0</v>
      </c>
    </row>
    <row r="1505" spans="2:5" ht="31.95" hidden="1" customHeight="1" x14ac:dyDescent="0.3">
      <c r="B1505" s="6" t="str">
        <f ca="1">IF(AND(NEGOCIAÇÕES!P1505="",NEGOCIAÇÕES!N1505&lt;TODAY()),NEGOCIAÇÕES!C1505,"")</f>
        <v/>
      </c>
      <c r="C1505" s="6">
        <f ca="1">IF(AND(NEGOCIAÇÕES!P1505="",NEGOCIAÇÕES!N1505&lt;TODAY()),NEGOCIAÇÕES!E1505,"")</f>
        <v>0</v>
      </c>
      <c r="D1505" s="6">
        <f ca="1">IF(AND(NEGOCIAÇÕES!P1505="",NEGOCIAÇÕES!N1505&lt;TODAY()),NEGOCIAÇÕES!D1505,"")</f>
        <v>0</v>
      </c>
      <c r="E1505" s="9">
        <f ca="1">IF(AND(NEGOCIAÇÕES!P1505="",NEGOCIAÇÕES!N1505&lt;TODAY()),NEGOCIAÇÕES!N1505,"")</f>
        <v>0</v>
      </c>
    </row>
    <row r="1506" spans="2:5" ht="31.95" hidden="1" customHeight="1" x14ac:dyDescent="0.3">
      <c r="B1506" s="6" t="str">
        <f ca="1">IF(AND(NEGOCIAÇÕES!P1506="",NEGOCIAÇÕES!N1506&lt;TODAY()),NEGOCIAÇÕES!C1506,"")</f>
        <v/>
      </c>
      <c r="C1506" s="6">
        <f ca="1">IF(AND(NEGOCIAÇÕES!P1506="",NEGOCIAÇÕES!N1506&lt;TODAY()),NEGOCIAÇÕES!E1506,"")</f>
        <v>0</v>
      </c>
      <c r="D1506" s="6">
        <f ca="1">IF(AND(NEGOCIAÇÕES!P1506="",NEGOCIAÇÕES!N1506&lt;TODAY()),NEGOCIAÇÕES!D1506,"")</f>
        <v>0</v>
      </c>
      <c r="E1506" s="9">
        <f ca="1">IF(AND(NEGOCIAÇÕES!P1506="",NEGOCIAÇÕES!N1506&lt;TODAY()),NEGOCIAÇÕES!N1506,"")</f>
        <v>0</v>
      </c>
    </row>
    <row r="1507" spans="2:5" ht="31.95" hidden="1" customHeight="1" x14ac:dyDescent="0.3">
      <c r="B1507" s="6" t="str">
        <f ca="1">IF(AND(NEGOCIAÇÕES!P1507="",NEGOCIAÇÕES!N1507&lt;TODAY()),NEGOCIAÇÕES!C1507,"")</f>
        <v/>
      </c>
      <c r="C1507" s="6">
        <f ca="1">IF(AND(NEGOCIAÇÕES!P1507="",NEGOCIAÇÕES!N1507&lt;TODAY()),NEGOCIAÇÕES!E1507,"")</f>
        <v>0</v>
      </c>
      <c r="D1507" s="6">
        <f ca="1">IF(AND(NEGOCIAÇÕES!P1507="",NEGOCIAÇÕES!N1507&lt;TODAY()),NEGOCIAÇÕES!D1507,"")</f>
        <v>0</v>
      </c>
      <c r="E1507" s="9">
        <f ca="1">IF(AND(NEGOCIAÇÕES!P1507="",NEGOCIAÇÕES!N1507&lt;TODAY()),NEGOCIAÇÕES!N1507,"")</f>
        <v>0</v>
      </c>
    </row>
    <row r="1508" spans="2:5" ht="31.95" hidden="1" customHeight="1" x14ac:dyDescent="0.3">
      <c r="B1508" s="6" t="str">
        <f ca="1">IF(AND(NEGOCIAÇÕES!P1508="",NEGOCIAÇÕES!N1508&lt;TODAY()),NEGOCIAÇÕES!C1508,"")</f>
        <v/>
      </c>
      <c r="C1508" s="6">
        <f ca="1">IF(AND(NEGOCIAÇÕES!P1508="",NEGOCIAÇÕES!N1508&lt;TODAY()),NEGOCIAÇÕES!E1508,"")</f>
        <v>0</v>
      </c>
      <c r="D1508" s="6">
        <f ca="1">IF(AND(NEGOCIAÇÕES!P1508="",NEGOCIAÇÕES!N1508&lt;TODAY()),NEGOCIAÇÕES!D1508,"")</f>
        <v>0</v>
      </c>
      <c r="E1508" s="9">
        <f ca="1">IF(AND(NEGOCIAÇÕES!P1508="",NEGOCIAÇÕES!N1508&lt;TODAY()),NEGOCIAÇÕES!N1508,"")</f>
        <v>0</v>
      </c>
    </row>
    <row r="1509" spans="2:5" ht="31.95" hidden="1" customHeight="1" x14ac:dyDescent="0.3">
      <c r="B1509" s="6" t="str">
        <f ca="1">IF(AND(NEGOCIAÇÕES!P1509="",NEGOCIAÇÕES!N1509&lt;TODAY()),NEGOCIAÇÕES!C1509,"")</f>
        <v/>
      </c>
      <c r="C1509" s="6">
        <f ca="1">IF(AND(NEGOCIAÇÕES!P1509="",NEGOCIAÇÕES!N1509&lt;TODAY()),NEGOCIAÇÕES!E1509,"")</f>
        <v>0</v>
      </c>
      <c r="D1509" s="6">
        <f ca="1">IF(AND(NEGOCIAÇÕES!P1509="",NEGOCIAÇÕES!N1509&lt;TODAY()),NEGOCIAÇÕES!D1509,"")</f>
        <v>0</v>
      </c>
      <c r="E1509" s="9">
        <f ca="1">IF(AND(NEGOCIAÇÕES!P1509="",NEGOCIAÇÕES!N1509&lt;TODAY()),NEGOCIAÇÕES!N1509,"")</f>
        <v>0</v>
      </c>
    </row>
    <row r="1510" spans="2:5" ht="31.95" hidden="1" customHeight="1" x14ac:dyDescent="0.3">
      <c r="B1510" s="6" t="str">
        <f ca="1">IF(AND(NEGOCIAÇÕES!P1510="",NEGOCIAÇÕES!N1510&lt;TODAY()),NEGOCIAÇÕES!C1510,"")</f>
        <v/>
      </c>
      <c r="C1510" s="6">
        <f ca="1">IF(AND(NEGOCIAÇÕES!P1510="",NEGOCIAÇÕES!N1510&lt;TODAY()),NEGOCIAÇÕES!E1510,"")</f>
        <v>0</v>
      </c>
      <c r="D1510" s="6">
        <f ca="1">IF(AND(NEGOCIAÇÕES!P1510="",NEGOCIAÇÕES!N1510&lt;TODAY()),NEGOCIAÇÕES!D1510,"")</f>
        <v>0</v>
      </c>
      <c r="E1510" s="9">
        <f ca="1">IF(AND(NEGOCIAÇÕES!P1510="",NEGOCIAÇÕES!N1510&lt;TODAY()),NEGOCIAÇÕES!N1510,"")</f>
        <v>0</v>
      </c>
    </row>
    <row r="1511" spans="2:5" ht="31.95" hidden="1" customHeight="1" x14ac:dyDescent="0.3">
      <c r="B1511" s="6" t="str">
        <f ca="1">IF(AND(NEGOCIAÇÕES!P1511="",NEGOCIAÇÕES!N1511&lt;TODAY()),NEGOCIAÇÕES!C1511,"")</f>
        <v/>
      </c>
      <c r="C1511" s="6">
        <f ca="1">IF(AND(NEGOCIAÇÕES!P1511="",NEGOCIAÇÕES!N1511&lt;TODAY()),NEGOCIAÇÕES!E1511,"")</f>
        <v>0</v>
      </c>
      <c r="D1511" s="6">
        <f ca="1">IF(AND(NEGOCIAÇÕES!P1511="",NEGOCIAÇÕES!N1511&lt;TODAY()),NEGOCIAÇÕES!D1511,"")</f>
        <v>0</v>
      </c>
      <c r="E1511" s="9">
        <f ca="1">IF(AND(NEGOCIAÇÕES!P1511="",NEGOCIAÇÕES!N1511&lt;TODAY()),NEGOCIAÇÕES!N1511,"")</f>
        <v>0</v>
      </c>
    </row>
    <row r="1512" spans="2:5" ht="31.95" hidden="1" customHeight="1" x14ac:dyDescent="0.3">
      <c r="B1512" s="6" t="str">
        <f ca="1">IF(AND(NEGOCIAÇÕES!P1512="",NEGOCIAÇÕES!N1512&lt;TODAY()),NEGOCIAÇÕES!C1512,"")</f>
        <v/>
      </c>
      <c r="C1512" s="6">
        <f ca="1">IF(AND(NEGOCIAÇÕES!P1512="",NEGOCIAÇÕES!N1512&lt;TODAY()),NEGOCIAÇÕES!E1512,"")</f>
        <v>0</v>
      </c>
      <c r="D1512" s="6">
        <f ca="1">IF(AND(NEGOCIAÇÕES!P1512="",NEGOCIAÇÕES!N1512&lt;TODAY()),NEGOCIAÇÕES!D1512,"")</f>
        <v>0</v>
      </c>
      <c r="E1512" s="9">
        <f ca="1">IF(AND(NEGOCIAÇÕES!P1512="",NEGOCIAÇÕES!N1512&lt;TODAY()),NEGOCIAÇÕES!N1512,"")</f>
        <v>0</v>
      </c>
    </row>
    <row r="1513" spans="2:5" ht="31.95" hidden="1" customHeight="1" x14ac:dyDescent="0.3">
      <c r="B1513" s="6" t="str">
        <f ca="1">IF(AND(NEGOCIAÇÕES!P1513="",NEGOCIAÇÕES!N1513&lt;TODAY()),NEGOCIAÇÕES!C1513,"")</f>
        <v/>
      </c>
      <c r="C1513" s="6">
        <f ca="1">IF(AND(NEGOCIAÇÕES!P1513="",NEGOCIAÇÕES!N1513&lt;TODAY()),NEGOCIAÇÕES!E1513,"")</f>
        <v>0</v>
      </c>
      <c r="D1513" s="6">
        <f ca="1">IF(AND(NEGOCIAÇÕES!P1513="",NEGOCIAÇÕES!N1513&lt;TODAY()),NEGOCIAÇÕES!D1513,"")</f>
        <v>0</v>
      </c>
      <c r="E1513" s="9">
        <f ca="1">IF(AND(NEGOCIAÇÕES!P1513="",NEGOCIAÇÕES!N1513&lt;TODAY()),NEGOCIAÇÕES!N1513,"")</f>
        <v>0</v>
      </c>
    </row>
    <row r="1514" spans="2:5" ht="31.95" hidden="1" customHeight="1" x14ac:dyDescent="0.3">
      <c r="B1514" s="6" t="str">
        <f ca="1">IF(AND(NEGOCIAÇÕES!P1514="",NEGOCIAÇÕES!N1514&lt;TODAY()),NEGOCIAÇÕES!C1514,"")</f>
        <v/>
      </c>
      <c r="C1514" s="6">
        <f ca="1">IF(AND(NEGOCIAÇÕES!P1514="",NEGOCIAÇÕES!N1514&lt;TODAY()),NEGOCIAÇÕES!E1514,"")</f>
        <v>0</v>
      </c>
      <c r="D1514" s="6">
        <f ca="1">IF(AND(NEGOCIAÇÕES!P1514="",NEGOCIAÇÕES!N1514&lt;TODAY()),NEGOCIAÇÕES!D1514,"")</f>
        <v>0</v>
      </c>
      <c r="E1514" s="9">
        <f ca="1">IF(AND(NEGOCIAÇÕES!P1514="",NEGOCIAÇÕES!N1514&lt;TODAY()),NEGOCIAÇÕES!N1514,"")</f>
        <v>0</v>
      </c>
    </row>
    <row r="1515" spans="2:5" ht="31.95" hidden="1" customHeight="1" x14ac:dyDescent="0.3">
      <c r="B1515" s="6" t="str">
        <f ca="1">IF(AND(NEGOCIAÇÕES!P1515="",NEGOCIAÇÕES!N1515&lt;TODAY()),NEGOCIAÇÕES!C1515,"")</f>
        <v/>
      </c>
      <c r="C1515" s="6">
        <f ca="1">IF(AND(NEGOCIAÇÕES!P1515="",NEGOCIAÇÕES!N1515&lt;TODAY()),NEGOCIAÇÕES!E1515,"")</f>
        <v>0</v>
      </c>
      <c r="D1515" s="6">
        <f ca="1">IF(AND(NEGOCIAÇÕES!P1515="",NEGOCIAÇÕES!N1515&lt;TODAY()),NEGOCIAÇÕES!D1515,"")</f>
        <v>0</v>
      </c>
      <c r="E1515" s="9">
        <f ca="1">IF(AND(NEGOCIAÇÕES!P1515="",NEGOCIAÇÕES!N1515&lt;TODAY()),NEGOCIAÇÕES!N1515,"")</f>
        <v>0</v>
      </c>
    </row>
    <row r="1516" spans="2:5" ht="31.95" hidden="1" customHeight="1" x14ac:dyDescent="0.3">
      <c r="B1516" s="6" t="str">
        <f ca="1">IF(AND(NEGOCIAÇÕES!P1516="",NEGOCIAÇÕES!N1516&lt;TODAY()),NEGOCIAÇÕES!C1516,"")</f>
        <v/>
      </c>
      <c r="C1516" s="6">
        <f ca="1">IF(AND(NEGOCIAÇÕES!P1516="",NEGOCIAÇÕES!N1516&lt;TODAY()),NEGOCIAÇÕES!E1516,"")</f>
        <v>0</v>
      </c>
      <c r="D1516" s="6">
        <f ca="1">IF(AND(NEGOCIAÇÕES!P1516="",NEGOCIAÇÕES!N1516&lt;TODAY()),NEGOCIAÇÕES!D1516,"")</f>
        <v>0</v>
      </c>
      <c r="E1516" s="9">
        <f ca="1">IF(AND(NEGOCIAÇÕES!P1516="",NEGOCIAÇÕES!N1516&lt;TODAY()),NEGOCIAÇÕES!N1516,"")</f>
        <v>0</v>
      </c>
    </row>
    <row r="1517" spans="2:5" ht="31.95" hidden="1" customHeight="1" x14ac:dyDescent="0.3">
      <c r="B1517" s="6" t="str">
        <f ca="1">IF(AND(NEGOCIAÇÕES!P1517="",NEGOCIAÇÕES!N1517&lt;TODAY()),NEGOCIAÇÕES!C1517,"")</f>
        <v/>
      </c>
      <c r="C1517" s="6">
        <f ca="1">IF(AND(NEGOCIAÇÕES!P1517="",NEGOCIAÇÕES!N1517&lt;TODAY()),NEGOCIAÇÕES!E1517,"")</f>
        <v>0</v>
      </c>
      <c r="D1517" s="6">
        <f ca="1">IF(AND(NEGOCIAÇÕES!P1517="",NEGOCIAÇÕES!N1517&lt;TODAY()),NEGOCIAÇÕES!D1517,"")</f>
        <v>0</v>
      </c>
      <c r="E1517" s="9">
        <f ca="1">IF(AND(NEGOCIAÇÕES!P1517="",NEGOCIAÇÕES!N1517&lt;TODAY()),NEGOCIAÇÕES!N1517,"")</f>
        <v>0</v>
      </c>
    </row>
    <row r="1518" spans="2:5" ht="31.95" hidden="1" customHeight="1" x14ac:dyDescent="0.3">
      <c r="B1518" s="6" t="str">
        <f ca="1">IF(AND(NEGOCIAÇÕES!P1518="",NEGOCIAÇÕES!N1518&lt;TODAY()),NEGOCIAÇÕES!C1518,"")</f>
        <v/>
      </c>
      <c r="C1518" s="6">
        <f ca="1">IF(AND(NEGOCIAÇÕES!P1518="",NEGOCIAÇÕES!N1518&lt;TODAY()),NEGOCIAÇÕES!E1518,"")</f>
        <v>0</v>
      </c>
      <c r="D1518" s="6">
        <f ca="1">IF(AND(NEGOCIAÇÕES!P1518="",NEGOCIAÇÕES!N1518&lt;TODAY()),NEGOCIAÇÕES!D1518,"")</f>
        <v>0</v>
      </c>
      <c r="E1518" s="9">
        <f ca="1">IF(AND(NEGOCIAÇÕES!P1518="",NEGOCIAÇÕES!N1518&lt;TODAY()),NEGOCIAÇÕES!N1518,"")</f>
        <v>0</v>
      </c>
    </row>
    <row r="1519" spans="2:5" ht="31.95" hidden="1" customHeight="1" x14ac:dyDescent="0.3">
      <c r="B1519" s="6" t="str">
        <f ca="1">IF(AND(NEGOCIAÇÕES!P1519="",NEGOCIAÇÕES!N1519&lt;TODAY()),NEGOCIAÇÕES!C1519,"")</f>
        <v/>
      </c>
      <c r="C1519" s="6">
        <f ca="1">IF(AND(NEGOCIAÇÕES!P1519="",NEGOCIAÇÕES!N1519&lt;TODAY()),NEGOCIAÇÕES!E1519,"")</f>
        <v>0</v>
      </c>
      <c r="D1519" s="6">
        <f ca="1">IF(AND(NEGOCIAÇÕES!P1519="",NEGOCIAÇÕES!N1519&lt;TODAY()),NEGOCIAÇÕES!D1519,"")</f>
        <v>0</v>
      </c>
      <c r="E1519" s="9">
        <f ca="1">IF(AND(NEGOCIAÇÕES!P1519="",NEGOCIAÇÕES!N1519&lt;TODAY()),NEGOCIAÇÕES!N1519,"")</f>
        <v>0</v>
      </c>
    </row>
    <row r="1520" spans="2:5" ht="31.95" hidden="1" customHeight="1" x14ac:dyDescent="0.3">
      <c r="B1520" s="6" t="str">
        <f ca="1">IF(AND(NEGOCIAÇÕES!P1520="",NEGOCIAÇÕES!N1520&lt;TODAY()),NEGOCIAÇÕES!C1520,"")</f>
        <v/>
      </c>
      <c r="C1520" s="6">
        <f ca="1">IF(AND(NEGOCIAÇÕES!P1520="",NEGOCIAÇÕES!N1520&lt;TODAY()),NEGOCIAÇÕES!E1520,"")</f>
        <v>0</v>
      </c>
      <c r="D1520" s="6">
        <f ca="1">IF(AND(NEGOCIAÇÕES!P1520="",NEGOCIAÇÕES!N1520&lt;TODAY()),NEGOCIAÇÕES!D1520,"")</f>
        <v>0</v>
      </c>
      <c r="E1520" s="9">
        <f ca="1">IF(AND(NEGOCIAÇÕES!P1520="",NEGOCIAÇÕES!N1520&lt;TODAY()),NEGOCIAÇÕES!N1520,"")</f>
        <v>0</v>
      </c>
    </row>
    <row r="1521" spans="2:5" ht="31.95" hidden="1" customHeight="1" x14ac:dyDescent="0.3">
      <c r="B1521" s="6" t="str">
        <f ca="1">IF(AND(NEGOCIAÇÕES!P1521="",NEGOCIAÇÕES!N1521&lt;TODAY()),NEGOCIAÇÕES!C1521,"")</f>
        <v/>
      </c>
      <c r="C1521" s="6">
        <f ca="1">IF(AND(NEGOCIAÇÕES!P1521="",NEGOCIAÇÕES!N1521&lt;TODAY()),NEGOCIAÇÕES!E1521,"")</f>
        <v>0</v>
      </c>
      <c r="D1521" s="6">
        <f ca="1">IF(AND(NEGOCIAÇÕES!P1521="",NEGOCIAÇÕES!N1521&lt;TODAY()),NEGOCIAÇÕES!D1521,"")</f>
        <v>0</v>
      </c>
      <c r="E1521" s="9">
        <f ca="1">IF(AND(NEGOCIAÇÕES!P1521="",NEGOCIAÇÕES!N1521&lt;TODAY()),NEGOCIAÇÕES!N1521,"")</f>
        <v>0</v>
      </c>
    </row>
    <row r="1522" spans="2:5" ht="31.95" hidden="1" customHeight="1" x14ac:dyDescent="0.3">
      <c r="B1522" s="6" t="str">
        <f ca="1">IF(AND(NEGOCIAÇÕES!P1522="",NEGOCIAÇÕES!N1522&lt;TODAY()),NEGOCIAÇÕES!C1522,"")</f>
        <v/>
      </c>
      <c r="C1522" s="6">
        <f ca="1">IF(AND(NEGOCIAÇÕES!P1522="",NEGOCIAÇÕES!N1522&lt;TODAY()),NEGOCIAÇÕES!E1522,"")</f>
        <v>0</v>
      </c>
      <c r="D1522" s="6">
        <f ca="1">IF(AND(NEGOCIAÇÕES!P1522="",NEGOCIAÇÕES!N1522&lt;TODAY()),NEGOCIAÇÕES!D1522,"")</f>
        <v>0</v>
      </c>
      <c r="E1522" s="9">
        <f ca="1">IF(AND(NEGOCIAÇÕES!P1522="",NEGOCIAÇÕES!N1522&lt;TODAY()),NEGOCIAÇÕES!N1522,"")</f>
        <v>0</v>
      </c>
    </row>
    <row r="1523" spans="2:5" ht="31.95" hidden="1" customHeight="1" x14ac:dyDescent="0.3">
      <c r="B1523" s="6" t="str">
        <f ca="1">IF(AND(NEGOCIAÇÕES!P1523="",NEGOCIAÇÕES!N1523&lt;TODAY()),NEGOCIAÇÕES!C1523,"")</f>
        <v/>
      </c>
      <c r="C1523" s="6">
        <f ca="1">IF(AND(NEGOCIAÇÕES!P1523="",NEGOCIAÇÕES!N1523&lt;TODAY()),NEGOCIAÇÕES!E1523,"")</f>
        <v>0</v>
      </c>
      <c r="D1523" s="6">
        <f ca="1">IF(AND(NEGOCIAÇÕES!P1523="",NEGOCIAÇÕES!N1523&lt;TODAY()),NEGOCIAÇÕES!D1523,"")</f>
        <v>0</v>
      </c>
      <c r="E1523" s="9">
        <f ca="1">IF(AND(NEGOCIAÇÕES!P1523="",NEGOCIAÇÕES!N1523&lt;TODAY()),NEGOCIAÇÕES!N1523,"")</f>
        <v>0</v>
      </c>
    </row>
    <row r="1524" spans="2:5" ht="31.95" hidden="1" customHeight="1" x14ac:dyDescent="0.3">
      <c r="B1524" s="6" t="str">
        <f ca="1">IF(AND(NEGOCIAÇÕES!P1524="",NEGOCIAÇÕES!N1524&lt;TODAY()),NEGOCIAÇÕES!C1524,"")</f>
        <v/>
      </c>
      <c r="C1524" s="6">
        <f ca="1">IF(AND(NEGOCIAÇÕES!P1524="",NEGOCIAÇÕES!N1524&lt;TODAY()),NEGOCIAÇÕES!E1524,"")</f>
        <v>0</v>
      </c>
      <c r="D1524" s="6">
        <f ca="1">IF(AND(NEGOCIAÇÕES!P1524="",NEGOCIAÇÕES!N1524&lt;TODAY()),NEGOCIAÇÕES!D1524,"")</f>
        <v>0</v>
      </c>
      <c r="E1524" s="9">
        <f ca="1">IF(AND(NEGOCIAÇÕES!P1524="",NEGOCIAÇÕES!N1524&lt;TODAY()),NEGOCIAÇÕES!N1524,"")</f>
        <v>0</v>
      </c>
    </row>
    <row r="1525" spans="2:5" ht="31.95" hidden="1" customHeight="1" x14ac:dyDescent="0.3">
      <c r="B1525" s="6" t="str">
        <f ca="1">IF(AND(NEGOCIAÇÕES!P1525="",NEGOCIAÇÕES!N1525&lt;TODAY()),NEGOCIAÇÕES!C1525,"")</f>
        <v/>
      </c>
      <c r="C1525" s="6">
        <f ca="1">IF(AND(NEGOCIAÇÕES!P1525="",NEGOCIAÇÕES!N1525&lt;TODAY()),NEGOCIAÇÕES!E1525,"")</f>
        <v>0</v>
      </c>
      <c r="D1525" s="6">
        <f ca="1">IF(AND(NEGOCIAÇÕES!P1525="",NEGOCIAÇÕES!N1525&lt;TODAY()),NEGOCIAÇÕES!D1525,"")</f>
        <v>0</v>
      </c>
      <c r="E1525" s="9">
        <f ca="1">IF(AND(NEGOCIAÇÕES!P1525="",NEGOCIAÇÕES!N1525&lt;TODAY()),NEGOCIAÇÕES!N1525,"")</f>
        <v>0</v>
      </c>
    </row>
    <row r="1526" spans="2:5" ht="31.95" hidden="1" customHeight="1" x14ac:dyDescent="0.3">
      <c r="B1526" s="6" t="str">
        <f ca="1">IF(AND(NEGOCIAÇÕES!P1526="",NEGOCIAÇÕES!N1526&lt;TODAY()),NEGOCIAÇÕES!C1526,"")</f>
        <v/>
      </c>
      <c r="C1526" s="6">
        <f ca="1">IF(AND(NEGOCIAÇÕES!P1526="",NEGOCIAÇÕES!N1526&lt;TODAY()),NEGOCIAÇÕES!E1526,"")</f>
        <v>0</v>
      </c>
      <c r="D1526" s="6">
        <f ca="1">IF(AND(NEGOCIAÇÕES!P1526="",NEGOCIAÇÕES!N1526&lt;TODAY()),NEGOCIAÇÕES!D1526,"")</f>
        <v>0</v>
      </c>
      <c r="E1526" s="9">
        <f ca="1">IF(AND(NEGOCIAÇÕES!P1526="",NEGOCIAÇÕES!N1526&lt;TODAY()),NEGOCIAÇÕES!N1526,"")</f>
        <v>0</v>
      </c>
    </row>
    <row r="1527" spans="2:5" ht="31.95" hidden="1" customHeight="1" x14ac:dyDescent="0.3">
      <c r="B1527" s="6" t="str">
        <f ca="1">IF(AND(NEGOCIAÇÕES!P1527="",NEGOCIAÇÕES!N1527&lt;TODAY()),NEGOCIAÇÕES!C1527,"")</f>
        <v/>
      </c>
      <c r="C1527" s="6">
        <f ca="1">IF(AND(NEGOCIAÇÕES!P1527="",NEGOCIAÇÕES!N1527&lt;TODAY()),NEGOCIAÇÕES!E1527,"")</f>
        <v>0</v>
      </c>
      <c r="D1527" s="6">
        <f ca="1">IF(AND(NEGOCIAÇÕES!P1527="",NEGOCIAÇÕES!N1527&lt;TODAY()),NEGOCIAÇÕES!D1527,"")</f>
        <v>0</v>
      </c>
      <c r="E1527" s="9">
        <f ca="1">IF(AND(NEGOCIAÇÕES!P1527="",NEGOCIAÇÕES!N1527&lt;TODAY()),NEGOCIAÇÕES!N1527,"")</f>
        <v>0</v>
      </c>
    </row>
    <row r="1528" spans="2:5" ht="31.95" hidden="1" customHeight="1" x14ac:dyDescent="0.3">
      <c r="B1528" s="6" t="str">
        <f ca="1">IF(AND(NEGOCIAÇÕES!P1528="",NEGOCIAÇÕES!N1528&lt;TODAY()),NEGOCIAÇÕES!C1528,"")</f>
        <v/>
      </c>
      <c r="C1528" s="6">
        <f ca="1">IF(AND(NEGOCIAÇÕES!P1528="",NEGOCIAÇÕES!N1528&lt;TODAY()),NEGOCIAÇÕES!E1528,"")</f>
        <v>0</v>
      </c>
      <c r="D1528" s="6">
        <f ca="1">IF(AND(NEGOCIAÇÕES!P1528="",NEGOCIAÇÕES!N1528&lt;TODAY()),NEGOCIAÇÕES!D1528,"")</f>
        <v>0</v>
      </c>
      <c r="E1528" s="9">
        <f ca="1">IF(AND(NEGOCIAÇÕES!P1528="",NEGOCIAÇÕES!N1528&lt;TODAY()),NEGOCIAÇÕES!N1528,"")</f>
        <v>0</v>
      </c>
    </row>
    <row r="1529" spans="2:5" ht="31.95" hidden="1" customHeight="1" x14ac:dyDescent="0.3">
      <c r="B1529" s="6" t="str">
        <f ca="1">IF(AND(NEGOCIAÇÕES!P1529="",NEGOCIAÇÕES!N1529&lt;TODAY()),NEGOCIAÇÕES!C1529,"")</f>
        <v/>
      </c>
      <c r="C1529" s="6">
        <f ca="1">IF(AND(NEGOCIAÇÕES!P1529="",NEGOCIAÇÕES!N1529&lt;TODAY()),NEGOCIAÇÕES!E1529,"")</f>
        <v>0</v>
      </c>
      <c r="D1529" s="6">
        <f ca="1">IF(AND(NEGOCIAÇÕES!P1529="",NEGOCIAÇÕES!N1529&lt;TODAY()),NEGOCIAÇÕES!D1529,"")</f>
        <v>0</v>
      </c>
      <c r="E1529" s="9">
        <f ca="1">IF(AND(NEGOCIAÇÕES!P1529="",NEGOCIAÇÕES!N1529&lt;TODAY()),NEGOCIAÇÕES!N1529,"")</f>
        <v>0</v>
      </c>
    </row>
    <row r="1530" spans="2:5" ht="31.95" hidden="1" customHeight="1" x14ac:dyDescent="0.3">
      <c r="B1530" s="6" t="str">
        <f ca="1">IF(AND(NEGOCIAÇÕES!P1530="",NEGOCIAÇÕES!N1530&lt;TODAY()),NEGOCIAÇÕES!C1530,"")</f>
        <v/>
      </c>
      <c r="C1530" s="6">
        <f ca="1">IF(AND(NEGOCIAÇÕES!P1530="",NEGOCIAÇÕES!N1530&lt;TODAY()),NEGOCIAÇÕES!E1530,"")</f>
        <v>0</v>
      </c>
      <c r="D1530" s="6">
        <f ca="1">IF(AND(NEGOCIAÇÕES!P1530="",NEGOCIAÇÕES!N1530&lt;TODAY()),NEGOCIAÇÕES!D1530,"")</f>
        <v>0</v>
      </c>
      <c r="E1530" s="9">
        <f ca="1">IF(AND(NEGOCIAÇÕES!P1530="",NEGOCIAÇÕES!N1530&lt;TODAY()),NEGOCIAÇÕES!N1530,"")</f>
        <v>0</v>
      </c>
    </row>
    <row r="1531" spans="2:5" ht="31.95" hidden="1" customHeight="1" x14ac:dyDescent="0.3">
      <c r="B1531" s="6" t="str">
        <f ca="1">IF(AND(NEGOCIAÇÕES!P1531="",NEGOCIAÇÕES!N1531&lt;TODAY()),NEGOCIAÇÕES!C1531,"")</f>
        <v/>
      </c>
      <c r="C1531" s="6">
        <f ca="1">IF(AND(NEGOCIAÇÕES!P1531="",NEGOCIAÇÕES!N1531&lt;TODAY()),NEGOCIAÇÕES!E1531,"")</f>
        <v>0</v>
      </c>
      <c r="D1531" s="6">
        <f ca="1">IF(AND(NEGOCIAÇÕES!P1531="",NEGOCIAÇÕES!N1531&lt;TODAY()),NEGOCIAÇÕES!D1531,"")</f>
        <v>0</v>
      </c>
      <c r="E1531" s="9">
        <f ca="1">IF(AND(NEGOCIAÇÕES!P1531="",NEGOCIAÇÕES!N1531&lt;TODAY()),NEGOCIAÇÕES!N1531,"")</f>
        <v>0</v>
      </c>
    </row>
    <row r="1532" spans="2:5" ht="31.95" hidden="1" customHeight="1" x14ac:dyDescent="0.3">
      <c r="B1532" s="6" t="str">
        <f ca="1">IF(AND(NEGOCIAÇÕES!P1532="",NEGOCIAÇÕES!N1532&lt;TODAY()),NEGOCIAÇÕES!C1532,"")</f>
        <v/>
      </c>
      <c r="C1532" s="6">
        <f ca="1">IF(AND(NEGOCIAÇÕES!P1532="",NEGOCIAÇÕES!N1532&lt;TODAY()),NEGOCIAÇÕES!E1532,"")</f>
        <v>0</v>
      </c>
      <c r="D1532" s="6">
        <f ca="1">IF(AND(NEGOCIAÇÕES!P1532="",NEGOCIAÇÕES!N1532&lt;TODAY()),NEGOCIAÇÕES!D1532,"")</f>
        <v>0</v>
      </c>
      <c r="E1532" s="9">
        <f ca="1">IF(AND(NEGOCIAÇÕES!P1532="",NEGOCIAÇÕES!N1532&lt;TODAY()),NEGOCIAÇÕES!N1532,"")</f>
        <v>0</v>
      </c>
    </row>
    <row r="1533" spans="2:5" ht="31.95" hidden="1" customHeight="1" x14ac:dyDescent="0.3">
      <c r="B1533" s="6" t="str">
        <f ca="1">IF(AND(NEGOCIAÇÕES!P1533="",NEGOCIAÇÕES!N1533&lt;TODAY()),NEGOCIAÇÕES!C1533,"")</f>
        <v/>
      </c>
      <c r="C1533" s="6">
        <f ca="1">IF(AND(NEGOCIAÇÕES!P1533="",NEGOCIAÇÕES!N1533&lt;TODAY()),NEGOCIAÇÕES!E1533,"")</f>
        <v>0</v>
      </c>
      <c r="D1533" s="6">
        <f ca="1">IF(AND(NEGOCIAÇÕES!P1533="",NEGOCIAÇÕES!N1533&lt;TODAY()),NEGOCIAÇÕES!D1533,"")</f>
        <v>0</v>
      </c>
      <c r="E1533" s="9">
        <f ca="1">IF(AND(NEGOCIAÇÕES!P1533="",NEGOCIAÇÕES!N1533&lt;TODAY()),NEGOCIAÇÕES!N1533,"")</f>
        <v>0</v>
      </c>
    </row>
    <row r="1534" spans="2:5" ht="31.95" hidden="1" customHeight="1" x14ac:dyDescent="0.3">
      <c r="B1534" s="6" t="str">
        <f ca="1">IF(AND(NEGOCIAÇÕES!P1534="",NEGOCIAÇÕES!N1534&lt;TODAY()),NEGOCIAÇÕES!C1534,"")</f>
        <v/>
      </c>
      <c r="C1534" s="6">
        <f ca="1">IF(AND(NEGOCIAÇÕES!P1534="",NEGOCIAÇÕES!N1534&lt;TODAY()),NEGOCIAÇÕES!E1534,"")</f>
        <v>0</v>
      </c>
      <c r="D1534" s="6">
        <f ca="1">IF(AND(NEGOCIAÇÕES!P1534="",NEGOCIAÇÕES!N1534&lt;TODAY()),NEGOCIAÇÕES!D1534,"")</f>
        <v>0</v>
      </c>
      <c r="E1534" s="9">
        <f ca="1">IF(AND(NEGOCIAÇÕES!P1534="",NEGOCIAÇÕES!N1534&lt;TODAY()),NEGOCIAÇÕES!N1534,"")</f>
        <v>0</v>
      </c>
    </row>
    <row r="1535" spans="2:5" ht="31.95" hidden="1" customHeight="1" x14ac:dyDescent="0.3">
      <c r="B1535" s="6" t="str">
        <f ca="1">IF(AND(NEGOCIAÇÕES!P1535="",NEGOCIAÇÕES!N1535&lt;TODAY()),NEGOCIAÇÕES!C1535,"")</f>
        <v/>
      </c>
      <c r="C1535" s="6">
        <f ca="1">IF(AND(NEGOCIAÇÕES!P1535="",NEGOCIAÇÕES!N1535&lt;TODAY()),NEGOCIAÇÕES!E1535,"")</f>
        <v>0</v>
      </c>
      <c r="D1535" s="6">
        <f ca="1">IF(AND(NEGOCIAÇÕES!P1535="",NEGOCIAÇÕES!N1535&lt;TODAY()),NEGOCIAÇÕES!D1535,"")</f>
        <v>0</v>
      </c>
      <c r="E1535" s="9">
        <f ca="1">IF(AND(NEGOCIAÇÕES!P1535="",NEGOCIAÇÕES!N1535&lt;TODAY()),NEGOCIAÇÕES!N1535,"")</f>
        <v>0</v>
      </c>
    </row>
    <row r="1536" spans="2:5" ht="31.95" hidden="1" customHeight="1" x14ac:dyDescent="0.3">
      <c r="B1536" s="6" t="str">
        <f ca="1">IF(AND(NEGOCIAÇÕES!P1536="",NEGOCIAÇÕES!N1536&lt;TODAY()),NEGOCIAÇÕES!C1536,"")</f>
        <v/>
      </c>
      <c r="C1536" s="6">
        <f ca="1">IF(AND(NEGOCIAÇÕES!P1536="",NEGOCIAÇÕES!N1536&lt;TODAY()),NEGOCIAÇÕES!E1536,"")</f>
        <v>0</v>
      </c>
      <c r="D1536" s="6">
        <f ca="1">IF(AND(NEGOCIAÇÕES!P1536="",NEGOCIAÇÕES!N1536&lt;TODAY()),NEGOCIAÇÕES!D1536,"")</f>
        <v>0</v>
      </c>
      <c r="E1536" s="9">
        <f ca="1">IF(AND(NEGOCIAÇÕES!P1536="",NEGOCIAÇÕES!N1536&lt;TODAY()),NEGOCIAÇÕES!N1536,"")</f>
        <v>0</v>
      </c>
    </row>
    <row r="1537" spans="2:5" ht="31.95" hidden="1" customHeight="1" x14ac:dyDescent="0.3">
      <c r="B1537" s="6" t="str">
        <f ca="1">IF(AND(NEGOCIAÇÕES!P1537="",NEGOCIAÇÕES!N1537&lt;TODAY()),NEGOCIAÇÕES!C1537,"")</f>
        <v/>
      </c>
      <c r="C1537" s="6">
        <f ca="1">IF(AND(NEGOCIAÇÕES!P1537="",NEGOCIAÇÕES!N1537&lt;TODAY()),NEGOCIAÇÕES!E1537,"")</f>
        <v>0</v>
      </c>
      <c r="D1537" s="6">
        <f ca="1">IF(AND(NEGOCIAÇÕES!P1537="",NEGOCIAÇÕES!N1537&lt;TODAY()),NEGOCIAÇÕES!D1537,"")</f>
        <v>0</v>
      </c>
      <c r="E1537" s="9">
        <f ca="1">IF(AND(NEGOCIAÇÕES!P1537="",NEGOCIAÇÕES!N1537&lt;TODAY()),NEGOCIAÇÕES!N1537,"")</f>
        <v>0</v>
      </c>
    </row>
    <row r="1538" spans="2:5" ht="31.95" hidden="1" customHeight="1" x14ac:dyDescent="0.3">
      <c r="B1538" s="6" t="str">
        <f ca="1">IF(AND(NEGOCIAÇÕES!P1538="",NEGOCIAÇÕES!N1538&lt;TODAY()),NEGOCIAÇÕES!C1538,"")</f>
        <v/>
      </c>
      <c r="C1538" s="6">
        <f ca="1">IF(AND(NEGOCIAÇÕES!P1538="",NEGOCIAÇÕES!N1538&lt;TODAY()),NEGOCIAÇÕES!E1538,"")</f>
        <v>0</v>
      </c>
      <c r="D1538" s="6">
        <f ca="1">IF(AND(NEGOCIAÇÕES!P1538="",NEGOCIAÇÕES!N1538&lt;TODAY()),NEGOCIAÇÕES!D1538,"")</f>
        <v>0</v>
      </c>
      <c r="E1538" s="9">
        <f ca="1">IF(AND(NEGOCIAÇÕES!P1538="",NEGOCIAÇÕES!N1538&lt;TODAY()),NEGOCIAÇÕES!N1538,"")</f>
        <v>0</v>
      </c>
    </row>
    <row r="1539" spans="2:5" ht="31.95" hidden="1" customHeight="1" x14ac:dyDescent="0.3">
      <c r="B1539" s="6" t="str">
        <f ca="1">IF(AND(NEGOCIAÇÕES!P1539="",NEGOCIAÇÕES!N1539&lt;TODAY()),NEGOCIAÇÕES!C1539,"")</f>
        <v/>
      </c>
      <c r="C1539" s="6">
        <f ca="1">IF(AND(NEGOCIAÇÕES!P1539="",NEGOCIAÇÕES!N1539&lt;TODAY()),NEGOCIAÇÕES!E1539,"")</f>
        <v>0</v>
      </c>
      <c r="D1539" s="6">
        <f ca="1">IF(AND(NEGOCIAÇÕES!P1539="",NEGOCIAÇÕES!N1539&lt;TODAY()),NEGOCIAÇÕES!D1539,"")</f>
        <v>0</v>
      </c>
      <c r="E1539" s="9">
        <f ca="1">IF(AND(NEGOCIAÇÕES!P1539="",NEGOCIAÇÕES!N1539&lt;TODAY()),NEGOCIAÇÕES!N1539,"")</f>
        <v>0</v>
      </c>
    </row>
    <row r="1540" spans="2:5" ht="31.95" hidden="1" customHeight="1" x14ac:dyDescent="0.3">
      <c r="B1540" s="6" t="str">
        <f ca="1">IF(AND(NEGOCIAÇÕES!P1540="",NEGOCIAÇÕES!N1540&lt;TODAY()),NEGOCIAÇÕES!C1540,"")</f>
        <v/>
      </c>
      <c r="C1540" s="6">
        <f ca="1">IF(AND(NEGOCIAÇÕES!P1540="",NEGOCIAÇÕES!N1540&lt;TODAY()),NEGOCIAÇÕES!E1540,"")</f>
        <v>0</v>
      </c>
      <c r="D1540" s="6">
        <f ca="1">IF(AND(NEGOCIAÇÕES!P1540="",NEGOCIAÇÕES!N1540&lt;TODAY()),NEGOCIAÇÕES!D1540,"")</f>
        <v>0</v>
      </c>
      <c r="E1540" s="9">
        <f ca="1">IF(AND(NEGOCIAÇÕES!P1540="",NEGOCIAÇÕES!N1540&lt;TODAY()),NEGOCIAÇÕES!N1540,"")</f>
        <v>0</v>
      </c>
    </row>
    <row r="1541" spans="2:5" ht="31.95" hidden="1" customHeight="1" x14ac:dyDescent="0.3">
      <c r="B1541" s="6" t="str">
        <f ca="1">IF(AND(NEGOCIAÇÕES!P1541="",NEGOCIAÇÕES!N1541&lt;TODAY()),NEGOCIAÇÕES!C1541,"")</f>
        <v/>
      </c>
      <c r="C1541" s="6">
        <f ca="1">IF(AND(NEGOCIAÇÕES!P1541="",NEGOCIAÇÕES!N1541&lt;TODAY()),NEGOCIAÇÕES!E1541,"")</f>
        <v>0</v>
      </c>
      <c r="D1541" s="6">
        <f ca="1">IF(AND(NEGOCIAÇÕES!P1541="",NEGOCIAÇÕES!N1541&lt;TODAY()),NEGOCIAÇÕES!D1541,"")</f>
        <v>0</v>
      </c>
      <c r="E1541" s="9">
        <f ca="1">IF(AND(NEGOCIAÇÕES!P1541="",NEGOCIAÇÕES!N1541&lt;TODAY()),NEGOCIAÇÕES!N1541,"")</f>
        <v>0</v>
      </c>
    </row>
    <row r="1542" spans="2:5" ht="31.95" hidden="1" customHeight="1" x14ac:dyDescent="0.3">
      <c r="B1542" s="6" t="str">
        <f ca="1">IF(AND(NEGOCIAÇÕES!P1542="",NEGOCIAÇÕES!N1542&lt;TODAY()),NEGOCIAÇÕES!C1542,"")</f>
        <v/>
      </c>
      <c r="C1542" s="6">
        <f ca="1">IF(AND(NEGOCIAÇÕES!P1542="",NEGOCIAÇÕES!N1542&lt;TODAY()),NEGOCIAÇÕES!E1542,"")</f>
        <v>0</v>
      </c>
      <c r="D1542" s="6">
        <f ca="1">IF(AND(NEGOCIAÇÕES!P1542="",NEGOCIAÇÕES!N1542&lt;TODAY()),NEGOCIAÇÕES!D1542,"")</f>
        <v>0</v>
      </c>
      <c r="E1542" s="9">
        <f ca="1">IF(AND(NEGOCIAÇÕES!P1542="",NEGOCIAÇÕES!N1542&lt;TODAY()),NEGOCIAÇÕES!N1542,"")</f>
        <v>0</v>
      </c>
    </row>
    <row r="1543" spans="2:5" ht="31.95" hidden="1" customHeight="1" x14ac:dyDescent="0.3">
      <c r="B1543" s="6" t="str">
        <f ca="1">IF(AND(NEGOCIAÇÕES!P1543="",NEGOCIAÇÕES!N1543&lt;TODAY()),NEGOCIAÇÕES!C1543,"")</f>
        <v/>
      </c>
      <c r="C1543" s="6">
        <f ca="1">IF(AND(NEGOCIAÇÕES!P1543="",NEGOCIAÇÕES!N1543&lt;TODAY()),NEGOCIAÇÕES!E1543,"")</f>
        <v>0</v>
      </c>
      <c r="D1543" s="6">
        <f ca="1">IF(AND(NEGOCIAÇÕES!P1543="",NEGOCIAÇÕES!N1543&lt;TODAY()),NEGOCIAÇÕES!D1543,"")</f>
        <v>0</v>
      </c>
      <c r="E1543" s="9">
        <f ca="1">IF(AND(NEGOCIAÇÕES!P1543="",NEGOCIAÇÕES!N1543&lt;TODAY()),NEGOCIAÇÕES!N1543,"")</f>
        <v>0</v>
      </c>
    </row>
    <row r="1544" spans="2:5" ht="31.95" hidden="1" customHeight="1" x14ac:dyDescent="0.3">
      <c r="B1544" s="6" t="str">
        <f ca="1">IF(AND(NEGOCIAÇÕES!P1544="",NEGOCIAÇÕES!N1544&lt;TODAY()),NEGOCIAÇÕES!C1544,"")</f>
        <v/>
      </c>
      <c r="C1544" s="6">
        <f ca="1">IF(AND(NEGOCIAÇÕES!P1544="",NEGOCIAÇÕES!N1544&lt;TODAY()),NEGOCIAÇÕES!E1544,"")</f>
        <v>0</v>
      </c>
      <c r="D1544" s="6">
        <f ca="1">IF(AND(NEGOCIAÇÕES!P1544="",NEGOCIAÇÕES!N1544&lt;TODAY()),NEGOCIAÇÕES!D1544,"")</f>
        <v>0</v>
      </c>
      <c r="E1544" s="9">
        <f ca="1">IF(AND(NEGOCIAÇÕES!P1544="",NEGOCIAÇÕES!N1544&lt;TODAY()),NEGOCIAÇÕES!N1544,"")</f>
        <v>0</v>
      </c>
    </row>
    <row r="1545" spans="2:5" ht="31.95" hidden="1" customHeight="1" x14ac:dyDescent="0.3">
      <c r="B1545" s="6" t="str">
        <f ca="1">IF(AND(NEGOCIAÇÕES!P1545="",NEGOCIAÇÕES!N1545&lt;TODAY()),NEGOCIAÇÕES!C1545,"")</f>
        <v/>
      </c>
      <c r="C1545" s="6">
        <f ca="1">IF(AND(NEGOCIAÇÕES!P1545="",NEGOCIAÇÕES!N1545&lt;TODAY()),NEGOCIAÇÕES!E1545,"")</f>
        <v>0</v>
      </c>
      <c r="D1545" s="6">
        <f ca="1">IF(AND(NEGOCIAÇÕES!P1545="",NEGOCIAÇÕES!N1545&lt;TODAY()),NEGOCIAÇÕES!D1545,"")</f>
        <v>0</v>
      </c>
      <c r="E1545" s="9">
        <f ca="1">IF(AND(NEGOCIAÇÕES!P1545="",NEGOCIAÇÕES!N1545&lt;TODAY()),NEGOCIAÇÕES!N1545,"")</f>
        <v>0</v>
      </c>
    </row>
    <row r="1546" spans="2:5" ht="31.95" hidden="1" customHeight="1" x14ac:dyDescent="0.3">
      <c r="B1546" s="6" t="str">
        <f ca="1">IF(AND(NEGOCIAÇÕES!P1546="",NEGOCIAÇÕES!N1546&lt;TODAY()),NEGOCIAÇÕES!C1546,"")</f>
        <v/>
      </c>
      <c r="C1546" s="6">
        <f ca="1">IF(AND(NEGOCIAÇÕES!P1546="",NEGOCIAÇÕES!N1546&lt;TODAY()),NEGOCIAÇÕES!E1546,"")</f>
        <v>0</v>
      </c>
      <c r="D1546" s="6">
        <f ca="1">IF(AND(NEGOCIAÇÕES!P1546="",NEGOCIAÇÕES!N1546&lt;TODAY()),NEGOCIAÇÕES!D1546,"")</f>
        <v>0</v>
      </c>
      <c r="E1546" s="9">
        <f ca="1">IF(AND(NEGOCIAÇÕES!P1546="",NEGOCIAÇÕES!N1546&lt;TODAY()),NEGOCIAÇÕES!N1546,"")</f>
        <v>0</v>
      </c>
    </row>
    <row r="1547" spans="2:5" ht="31.95" hidden="1" customHeight="1" x14ac:dyDescent="0.3">
      <c r="B1547" s="6" t="str">
        <f ca="1">IF(AND(NEGOCIAÇÕES!P1547="",NEGOCIAÇÕES!N1547&lt;TODAY()),NEGOCIAÇÕES!C1547,"")</f>
        <v/>
      </c>
      <c r="C1547" s="6">
        <f ca="1">IF(AND(NEGOCIAÇÕES!P1547="",NEGOCIAÇÕES!N1547&lt;TODAY()),NEGOCIAÇÕES!E1547,"")</f>
        <v>0</v>
      </c>
      <c r="D1547" s="6">
        <f ca="1">IF(AND(NEGOCIAÇÕES!P1547="",NEGOCIAÇÕES!N1547&lt;TODAY()),NEGOCIAÇÕES!D1547,"")</f>
        <v>0</v>
      </c>
      <c r="E1547" s="9">
        <f ca="1">IF(AND(NEGOCIAÇÕES!P1547="",NEGOCIAÇÕES!N1547&lt;TODAY()),NEGOCIAÇÕES!N1547,"")</f>
        <v>0</v>
      </c>
    </row>
    <row r="1548" spans="2:5" ht="31.95" hidden="1" customHeight="1" x14ac:dyDescent="0.3">
      <c r="B1548" s="6" t="str">
        <f ca="1">IF(AND(NEGOCIAÇÕES!P1548="",NEGOCIAÇÕES!N1548&lt;TODAY()),NEGOCIAÇÕES!C1548,"")</f>
        <v/>
      </c>
      <c r="C1548" s="6">
        <f ca="1">IF(AND(NEGOCIAÇÕES!P1548="",NEGOCIAÇÕES!N1548&lt;TODAY()),NEGOCIAÇÕES!E1548,"")</f>
        <v>0</v>
      </c>
      <c r="D1548" s="6">
        <f ca="1">IF(AND(NEGOCIAÇÕES!P1548="",NEGOCIAÇÕES!N1548&lt;TODAY()),NEGOCIAÇÕES!D1548,"")</f>
        <v>0</v>
      </c>
      <c r="E1548" s="9">
        <f ca="1">IF(AND(NEGOCIAÇÕES!P1548="",NEGOCIAÇÕES!N1548&lt;TODAY()),NEGOCIAÇÕES!N1548,"")</f>
        <v>0</v>
      </c>
    </row>
    <row r="1549" spans="2:5" ht="31.95" hidden="1" customHeight="1" x14ac:dyDescent="0.3">
      <c r="B1549" s="6" t="str">
        <f ca="1">IF(AND(NEGOCIAÇÕES!P1549="",NEGOCIAÇÕES!N1549&lt;TODAY()),NEGOCIAÇÕES!C1549,"")</f>
        <v/>
      </c>
      <c r="C1549" s="6">
        <f ca="1">IF(AND(NEGOCIAÇÕES!P1549="",NEGOCIAÇÕES!N1549&lt;TODAY()),NEGOCIAÇÕES!E1549,"")</f>
        <v>0</v>
      </c>
      <c r="D1549" s="6">
        <f ca="1">IF(AND(NEGOCIAÇÕES!P1549="",NEGOCIAÇÕES!N1549&lt;TODAY()),NEGOCIAÇÕES!D1549,"")</f>
        <v>0</v>
      </c>
      <c r="E1549" s="9">
        <f ca="1">IF(AND(NEGOCIAÇÕES!P1549="",NEGOCIAÇÕES!N1549&lt;TODAY()),NEGOCIAÇÕES!N1549,"")</f>
        <v>0</v>
      </c>
    </row>
    <row r="1550" spans="2:5" ht="31.95" hidden="1" customHeight="1" x14ac:dyDescent="0.3">
      <c r="B1550" s="6" t="str">
        <f ca="1">IF(AND(NEGOCIAÇÕES!P1550="",NEGOCIAÇÕES!N1550&lt;TODAY()),NEGOCIAÇÕES!C1550,"")</f>
        <v/>
      </c>
      <c r="C1550" s="6">
        <f ca="1">IF(AND(NEGOCIAÇÕES!P1550="",NEGOCIAÇÕES!N1550&lt;TODAY()),NEGOCIAÇÕES!E1550,"")</f>
        <v>0</v>
      </c>
      <c r="D1550" s="6">
        <f ca="1">IF(AND(NEGOCIAÇÕES!P1550="",NEGOCIAÇÕES!N1550&lt;TODAY()),NEGOCIAÇÕES!D1550,"")</f>
        <v>0</v>
      </c>
      <c r="E1550" s="9">
        <f ca="1">IF(AND(NEGOCIAÇÕES!P1550="",NEGOCIAÇÕES!N1550&lt;TODAY()),NEGOCIAÇÕES!N1550,"")</f>
        <v>0</v>
      </c>
    </row>
    <row r="1551" spans="2:5" ht="31.95" hidden="1" customHeight="1" x14ac:dyDescent="0.3">
      <c r="B1551" s="6" t="str">
        <f ca="1">IF(AND(NEGOCIAÇÕES!P1551="",NEGOCIAÇÕES!N1551&lt;TODAY()),NEGOCIAÇÕES!C1551,"")</f>
        <v/>
      </c>
      <c r="C1551" s="6">
        <f ca="1">IF(AND(NEGOCIAÇÕES!P1551="",NEGOCIAÇÕES!N1551&lt;TODAY()),NEGOCIAÇÕES!E1551,"")</f>
        <v>0</v>
      </c>
      <c r="D1551" s="6">
        <f ca="1">IF(AND(NEGOCIAÇÕES!P1551="",NEGOCIAÇÕES!N1551&lt;TODAY()),NEGOCIAÇÕES!D1551,"")</f>
        <v>0</v>
      </c>
      <c r="E1551" s="9">
        <f ca="1">IF(AND(NEGOCIAÇÕES!P1551="",NEGOCIAÇÕES!N1551&lt;TODAY()),NEGOCIAÇÕES!N1551,"")</f>
        <v>0</v>
      </c>
    </row>
    <row r="1552" spans="2:5" ht="31.95" hidden="1" customHeight="1" x14ac:dyDescent="0.3">
      <c r="B1552" s="6" t="str">
        <f ca="1">IF(AND(NEGOCIAÇÕES!P1552="",NEGOCIAÇÕES!N1552&lt;TODAY()),NEGOCIAÇÕES!C1552,"")</f>
        <v/>
      </c>
      <c r="C1552" s="6">
        <f ca="1">IF(AND(NEGOCIAÇÕES!P1552="",NEGOCIAÇÕES!N1552&lt;TODAY()),NEGOCIAÇÕES!E1552,"")</f>
        <v>0</v>
      </c>
      <c r="D1552" s="6">
        <f ca="1">IF(AND(NEGOCIAÇÕES!P1552="",NEGOCIAÇÕES!N1552&lt;TODAY()),NEGOCIAÇÕES!D1552,"")</f>
        <v>0</v>
      </c>
      <c r="E1552" s="9">
        <f ca="1">IF(AND(NEGOCIAÇÕES!P1552="",NEGOCIAÇÕES!N1552&lt;TODAY()),NEGOCIAÇÕES!N1552,"")</f>
        <v>0</v>
      </c>
    </row>
    <row r="1553" spans="2:5" ht="31.95" hidden="1" customHeight="1" x14ac:dyDescent="0.3">
      <c r="B1553" s="6" t="str">
        <f ca="1">IF(AND(NEGOCIAÇÕES!P1553="",NEGOCIAÇÕES!N1553&lt;TODAY()),NEGOCIAÇÕES!C1553,"")</f>
        <v/>
      </c>
      <c r="C1553" s="6">
        <f ca="1">IF(AND(NEGOCIAÇÕES!P1553="",NEGOCIAÇÕES!N1553&lt;TODAY()),NEGOCIAÇÕES!E1553,"")</f>
        <v>0</v>
      </c>
      <c r="D1553" s="6">
        <f ca="1">IF(AND(NEGOCIAÇÕES!P1553="",NEGOCIAÇÕES!N1553&lt;TODAY()),NEGOCIAÇÕES!D1553,"")</f>
        <v>0</v>
      </c>
      <c r="E1553" s="9">
        <f ca="1">IF(AND(NEGOCIAÇÕES!P1553="",NEGOCIAÇÕES!N1553&lt;TODAY()),NEGOCIAÇÕES!N1553,"")</f>
        <v>0</v>
      </c>
    </row>
    <row r="1554" spans="2:5" ht="31.95" hidden="1" customHeight="1" x14ac:dyDescent="0.3">
      <c r="B1554" s="6" t="str">
        <f ca="1">IF(AND(NEGOCIAÇÕES!P1554="",NEGOCIAÇÕES!N1554&lt;TODAY()),NEGOCIAÇÕES!C1554,"")</f>
        <v/>
      </c>
      <c r="C1554" s="6">
        <f ca="1">IF(AND(NEGOCIAÇÕES!P1554="",NEGOCIAÇÕES!N1554&lt;TODAY()),NEGOCIAÇÕES!E1554,"")</f>
        <v>0</v>
      </c>
      <c r="D1554" s="6">
        <f ca="1">IF(AND(NEGOCIAÇÕES!P1554="",NEGOCIAÇÕES!N1554&lt;TODAY()),NEGOCIAÇÕES!D1554,"")</f>
        <v>0</v>
      </c>
      <c r="E1554" s="9">
        <f ca="1">IF(AND(NEGOCIAÇÕES!P1554="",NEGOCIAÇÕES!N1554&lt;TODAY()),NEGOCIAÇÕES!N1554,"")</f>
        <v>0</v>
      </c>
    </row>
    <row r="1555" spans="2:5" ht="31.95" hidden="1" customHeight="1" x14ac:dyDescent="0.3">
      <c r="B1555" s="6" t="str">
        <f ca="1">IF(AND(NEGOCIAÇÕES!P1555="",NEGOCIAÇÕES!N1555&lt;TODAY()),NEGOCIAÇÕES!C1555,"")</f>
        <v/>
      </c>
      <c r="C1555" s="6">
        <f ca="1">IF(AND(NEGOCIAÇÕES!P1555="",NEGOCIAÇÕES!N1555&lt;TODAY()),NEGOCIAÇÕES!E1555,"")</f>
        <v>0</v>
      </c>
      <c r="D1555" s="6">
        <f ca="1">IF(AND(NEGOCIAÇÕES!P1555="",NEGOCIAÇÕES!N1555&lt;TODAY()),NEGOCIAÇÕES!D1555,"")</f>
        <v>0</v>
      </c>
      <c r="E1555" s="9">
        <f ca="1">IF(AND(NEGOCIAÇÕES!P1555="",NEGOCIAÇÕES!N1555&lt;TODAY()),NEGOCIAÇÕES!N1555,"")</f>
        <v>0</v>
      </c>
    </row>
    <row r="1556" spans="2:5" ht="31.95" hidden="1" customHeight="1" x14ac:dyDescent="0.3">
      <c r="B1556" s="6" t="str">
        <f ca="1">IF(AND(NEGOCIAÇÕES!P1556="",NEGOCIAÇÕES!N1556&lt;TODAY()),NEGOCIAÇÕES!C1556,"")</f>
        <v/>
      </c>
      <c r="C1556" s="6">
        <f ca="1">IF(AND(NEGOCIAÇÕES!P1556="",NEGOCIAÇÕES!N1556&lt;TODAY()),NEGOCIAÇÕES!E1556,"")</f>
        <v>0</v>
      </c>
      <c r="D1556" s="6">
        <f ca="1">IF(AND(NEGOCIAÇÕES!P1556="",NEGOCIAÇÕES!N1556&lt;TODAY()),NEGOCIAÇÕES!D1556,"")</f>
        <v>0</v>
      </c>
      <c r="E1556" s="9">
        <f ca="1">IF(AND(NEGOCIAÇÕES!P1556="",NEGOCIAÇÕES!N1556&lt;TODAY()),NEGOCIAÇÕES!N1556,"")</f>
        <v>0</v>
      </c>
    </row>
    <row r="1557" spans="2:5" ht="31.95" hidden="1" customHeight="1" x14ac:dyDescent="0.3">
      <c r="B1557" s="6" t="str">
        <f ca="1">IF(AND(NEGOCIAÇÕES!P1557="",NEGOCIAÇÕES!N1557&lt;TODAY()),NEGOCIAÇÕES!C1557,"")</f>
        <v/>
      </c>
      <c r="C1557" s="6">
        <f ca="1">IF(AND(NEGOCIAÇÕES!P1557="",NEGOCIAÇÕES!N1557&lt;TODAY()),NEGOCIAÇÕES!E1557,"")</f>
        <v>0</v>
      </c>
      <c r="D1557" s="6">
        <f ca="1">IF(AND(NEGOCIAÇÕES!P1557="",NEGOCIAÇÕES!N1557&lt;TODAY()),NEGOCIAÇÕES!D1557,"")</f>
        <v>0</v>
      </c>
      <c r="E1557" s="9">
        <f ca="1">IF(AND(NEGOCIAÇÕES!P1557="",NEGOCIAÇÕES!N1557&lt;TODAY()),NEGOCIAÇÕES!N1557,"")</f>
        <v>0</v>
      </c>
    </row>
    <row r="1558" spans="2:5" ht="31.95" hidden="1" customHeight="1" x14ac:dyDescent="0.3">
      <c r="B1558" s="6" t="str">
        <f ca="1">IF(AND(NEGOCIAÇÕES!P1558="",NEGOCIAÇÕES!N1558&lt;TODAY()),NEGOCIAÇÕES!C1558,"")</f>
        <v/>
      </c>
      <c r="C1558" s="6">
        <f ca="1">IF(AND(NEGOCIAÇÕES!P1558="",NEGOCIAÇÕES!N1558&lt;TODAY()),NEGOCIAÇÕES!E1558,"")</f>
        <v>0</v>
      </c>
      <c r="D1558" s="6">
        <f ca="1">IF(AND(NEGOCIAÇÕES!P1558="",NEGOCIAÇÕES!N1558&lt;TODAY()),NEGOCIAÇÕES!D1558,"")</f>
        <v>0</v>
      </c>
      <c r="E1558" s="9">
        <f ca="1">IF(AND(NEGOCIAÇÕES!P1558="",NEGOCIAÇÕES!N1558&lt;TODAY()),NEGOCIAÇÕES!N1558,"")</f>
        <v>0</v>
      </c>
    </row>
    <row r="1559" spans="2:5" ht="31.95" hidden="1" customHeight="1" x14ac:dyDescent="0.3">
      <c r="B1559" s="6" t="str">
        <f ca="1">IF(AND(NEGOCIAÇÕES!P1559="",NEGOCIAÇÕES!N1559&lt;TODAY()),NEGOCIAÇÕES!C1559,"")</f>
        <v/>
      </c>
      <c r="C1559" s="6">
        <f ca="1">IF(AND(NEGOCIAÇÕES!P1559="",NEGOCIAÇÕES!N1559&lt;TODAY()),NEGOCIAÇÕES!E1559,"")</f>
        <v>0</v>
      </c>
      <c r="D1559" s="6">
        <f ca="1">IF(AND(NEGOCIAÇÕES!P1559="",NEGOCIAÇÕES!N1559&lt;TODAY()),NEGOCIAÇÕES!D1559,"")</f>
        <v>0</v>
      </c>
      <c r="E1559" s="9">
        <f ca="1">IF(AND(NEGOCIAÇÕES!P1559="",NEGOCIAÇÕES!N1559&lt;TODAY()),NEGOCIAÇÕES!N1559,"")</f>
        <v>0</v>
      </c>
    </row>
    <row r="1560" spans="2:5" ht="31.95" hidden="1" customHeight="1" x14ac:dyDescent="0.3">
      <c r="B1560" s="6" t="str">
        <f ca="1">IF(AND(NEGOCIAÇÕES!P1560="",NEGOCIAÇÕES!N1560&lt;TODAY()),NEGOCIAÇÕES!C1560,"")</f>
        <v/>
      </c>
      <c r="C1560" s="6">
        <f ca="1">IF(AND(NEGOCIAÇÕES!P1560="",NEGOCIAÇÕES!N1560&lt;TODAY()),NEGOCIAÇÕES!E1560,"")</f>
        <v>0</v>
      </c>
      <c r="D1560" s="6">
        <f ca="1">IF(AND(NEGOCIAÇÕES!P1560="",NEGOCIAÇÕES!N1560&lt;TODAY()),NEGOCIAÇÕES!D1560,"")</f>
        <v>0</v>
      </c>
      <c r="E1560" s="9">
        <f ca="1">IF(AND(NEGOCIAÇÕES!P1560="",NEGOCIAÇÕES!N1560&lt;TODAY()),NEGOCIAÇÕES!N1560,"")</f>
        <v>0</v>
      </c>
    </row>
    <row r="1561" spans="2:5" ht="31.95" hidden="1" customHeight="1" x14ac:dyDescent="0.3">
      <c r="B1561" s="6" t="str">
        <f ca="1">IF(AND(NEGOCIAÇÕES!P1561="",NEGOCIAÇÕES!N1561&lt;TODAY()),NEGOCIAÇÕES!C1561,"")</f>
        <v/>
      </c>
      <c r="C1561" s="6">
        <f ca="1">IF(AND(NEGOCIAÇÕES!P1561="",NEGOCIAÇÕES!N1561&lt;TODAY()),NEGOCIAÇÕES!E1561,"")</f>
        <v>0</v>
      </c>
      <c r="D1561" s="6">
        <f ca="1">IF(AND(NEGOCIAÇÕES!P1561="",NEGOCIAÇÕES!N1561&lt;TODAY()),NEGOCIAÇÕES!D1561,"")</f>
        <v>0</v>
      </c>
      <c r="E1561" s="9">
        <f ca="1">IF(AND(NEGOCIAÇÕES!P1561="",NEGOCIAÇÕES!N1561&lt;TODAY()),NEGOCIAÇÕES!N1561,"")</f>
        <v>0</v>
      </c>
    </row>
    <row r="1562" spans="2:5" ht="31.95" hidden="1" customHeight="1" x14ac:dyDescent="0.3">
      <c r="B1562" s="6" t="str">
        <f ca="1">IF(AND(NEGOCIAÇÕES!P1562="",NEGOCIAÇÕES!N1562&lt;TODAY()),NEGOCIAÇÕES!C1562,"")</f>
        <v/>
      </c>
      <c r="C1562" s="6">
        <f ca="1">IF(AND(NEGOCIAÇÕES!P1562="",NEGOCIAÇÕES!N1562&lt;TODAY()),NEGOCIAÇÕES!E1562,"")</f>
        <v>0</v>
      </c>
      <c r="D1562" s="6">
        <f ca="1">IF(AND(NEGOCIAÇÕES!P1562="",NEGOCIAÇÕES!N1562&lt;TODAY()),NEGOCIAÇÕES!D1562,"")</f>
        <v>0</v>
      </c>
      <c r="E1562" s="9">
        <f ca="1">IF(AND(NEGOCIAÇÕES!P1562="",NEGOCIAÇÕES!N1562&lt;TODAY()),NEGOCIAÇÕES!N1562,"")</f>
        <v>0</v>
      </c>
    </row>
    <row r="1563" spans="2:5" ht="31.95" hidden="1" customHeight="1" x14ac:dyDescent="0.3">
      <c r="B1563" s="6" t="str">
        <f ca="1">IF(AND(NEGOCIAÇÕES!P1563="",NEGOCIAÇÕES!N1563&lt;TODAY()),NEGOCIAÇÕES!C1563,"")</f>
        <v/>
      </c>
      <c r="C1563" s="6">
        <f ca="1">IF(AND(NEGOCIAÇÕES!P1563="",NEGOCIAÇÕES!N1563&lt;TODAY()),NEGOCIAÇÕES!E1563,"")</f>
        <v>0</v>
      </c>
      <c r="D1563" s="6">
        <f ca="1">IF(AND(NEGOCIAÇÕES!P1563="",NEGOCIAÇÕES!N1563&lt;TODAY()),NEGOCIAÇÕES!D1563,"")</f>
        <v>0</v>
      </c>
      <c r="E1563" s="9">
        <f ca="1">IF(AND(NEGOCIAÇÕES!P1563="",NEGOCIAÇÕES!N1563&lt;TODAY()),NEGOCIAÇÕES!N1563,"")</f>
        <v>0</v>
      </c>
    </row>
    <row r="1564" spans="2:5" ht="31.95" hidden="1" customHeight="1" x14ac:dyDescent="0.3">
      <c r="B1564" s="6" t="str">
        <f ca="1">IF(AND(NEGOCIAÇÕES!P1564="",NEGOCIAÇÕES!N1564&lt;TODAY()),NEGOCIAÇÕES!C1564,"")</f>
        <v/>
      </c>
      <c r="C1564" s="6">
        <f ca="1">IF(AND(NEGOCIAÇÕES!P1564="",NEGOCIAÇÕES!N1564&lt;TODAY()),NEGOCIAÇÕES!E1564,"")</f>
        <v>0</v>
      </c>
      <c r="D1564" s="6">
        <f ca="1">IF(AND(NEGOCIAÇÕES!P1564="",NEGOCIAÇÕES!N1564&lt;TODAY()),NEGOCIAÇÕES!D1564,"")</f>
        <v>0</v>
      </c>
      <c r="E1564" s="9">
        <f ca="1">IF(AND(NEGOCIAÇÕES!P1564="",NEGOCIAÇÕES!N1564&lt;TODAY()),NEGOCIAÇÕES!N1564,"")</f>
        <v>0</v>
      </c>
    </row>
    <row r="1565" spans="2:5" ht="31.95" hidden="1" customHeight="1" x14ac:dyDescent="0.3">
      <c r="B1565" s="6" t="str">
        <f ca="1">IF(AND(NEGOCIAÇÕES!P1565="",NEGOCIAÇÕES!N1565&lt;TODAY()),NEGOCIAÇÕES!C1565,"")</f>
        <v/>
      </c>
      <c r="C1565" s="6">
        <f ca="1">IF(AND(NEGOCIAÇÕES!P1565="",NEGOCIAÇÕES!N1565&lt;TODAY()),NEGOCIAÇÕES!E1565,"")</f>
        <v>0</v>
      </c>
      <c r="D1565" s="6">
        <f ca="1">IF(AND(NEGOCIAÇÕES!P1565="",NEGOCIAÇÕES!N1565&lt;TODAY()),NEGOCIAÇÕES!D1565,"")</f>
        <v>0</v>
      </c>
      <c r="E1565" s="9">
        <f ca="1">IF(AND(NEGOCIAÇÕES!P1565="",NEGOCIAÇÕES!N1565&lt;TODAY()),NEGOCIAÇÕES!N1565,"")</f>
        <v>0</v>
      </c>
    </row>
    <row r="1566" spans="2:5" ht="31.95" hidden="1" customHeight="1" x14ac:dyDescent="0.3">
      <c r="B1566" s="6" t="str">
        <f ca="1">IF(AND(NEGOCIAÇÕES!P1566="",NEGOCIAÇÕES!N1566&lt;TODAY()),NEGOCIAÇÕES!C1566,"")</f>
        <v/>
      </c>
      <c r="C1566" s="6">
        <f ca="1">IF(AND(NEGOCIAÇÕES!P1566="",NEGOCIAÇÕES!N1566&lt;TODAY()),NEGOCIAÇÕES!E1566,"")</f>
        <v>0</v>
      </c>
      <c r="D1566" s="6">
        <f ca="1">IF(AND(NEGOCIAÇÕES!P1566="",NEGOCIAÇÕES!N1566&lt;TODAY()),NEGOCIAÇÕES!D1566,"")</f>
        <v>0</v>
      </c>
      <c r="E1566" s="9">
        <f ca="1">IF(AND(NEGOCIAÇÕES!P1566="",NEGOCIAÇÕES!N1566&lt;TODAY()),NEGOCIAÇÕES!N1566,"")</f>
        <v>0</v>
      </c>
    </row>
    <row r="1567" spans="2:5" ht="31.95" hidden="1" customHeight="1" x14ac:dyDescent="0.3">
      <c r="B1567" s="6" t="str">
        <f ca="1">IF(AND(NEGOCIAÇÕES!P1567="",NEGOCIAÇÕES!N1567&lt;TODAY()),NEGOCIAÇÕES!C1567,"")</f>
        <v/>
      </c>
      <c r="C1567" s="6">
        <f ca="1">IF(AND(NEGOCIAÇÕES!P1567="",NEGOCIAÇÕES!N1567&lt;TODAY()),NEGOCIAÇÕES!E1567,"")</f>
        <v>0</v>
      </c>
      <c r="D1567" s="6">
        <f ca="1">IF(AND(NEGOCIAÇÕES!P1567="",NEGOCIAÇÕES!N1567&lt;TODAY()),NEGOCIAÇÕES!D1567,"")</f>
        <v>0</v>
      </c>
      <c r="E1567" s="9">
        <f ca="1">IF(AND(NEGOCIAÇÕES!P1567="",NEGOCIAÇÕES!N1567&lt;TODAY()),NEGOCIAÇÕES!N1567,"")</f>
        <v>0</v>
      </c>
    </row>
    <row r="1568" spans="2:5" ht="31.95" hidden="1" customHeight="1" x14ac:dyDescent="0.3">
      <c r="B1568" s="6" t="str">
        <f ca="1">IF(AND(NEGOCIAÇÕES!P1568="",NEGOCIAÇÕES!N1568&lt;TODAY()),NEGOCIAÇÕES!C1568,"")</f>
        <v/>
      </c>
      <c r="C1568" s="6">
        <f ca="1">IF(AND(NEGOCIAÇÕES!P1568="",NEGOCIAÇÕES!N1568&lt;TODAY()),NEGOCIAÇÕES!E1568,"")</f>
        <v>0</v>
      </c>
      <c r="D1568" s="6">
        <f ca="1">IF(AND(NEGOCIAÇÕES!P1568="",NEGOCIAÇÕES!N1568&lt;TODAY()),NEGOCIAÇÕES!D1568,"")</f>
        <v>0</v>
      </c>
      <c r="E1568" s="9">
        <f ca="1">IF(AND(NEGOCIAÇÕES!P1568="",NEGOCIAÇÕES!N1568&lt;TODAY()),NEGOCIAÇÕES!N1568,"")</f>
        <v>0</v>
      </c>
    </row>
    <row r="1569" spans="2:5" ht="31.95" hidden="1" customHeight="1" x14ac:dyDescent="0.3">
      <c r="B1569" s="6" t="str">
        <f ca="1">IF(AND(NEGOCIAÇÕES!P1569="",NEGOCIAÇÕES!N1569&lt;TODAY()),NEGOCIAÇÕES!C1569,"")</f>
        <v/>
      </c>
      <c r="C1569" s="6">
        <f ca="1">IF(AND(NEGOCIAÇÕES!P1569="",NEGOCIAÇÕES!N1569&lt;TODAY()),NEGOCIAÇÕES!E1569,"")</f>
        <v>0</v>
      </c>
      <c r="D1569" s="6">
        <f ca="1">IF(AND(NEGOCIAÇÕES!P1569="",NEGOCIAÇÕES!N1569&lt;TODAY()),NEGOCIAÇÕES!D1569,"")</f>
        <v>0</v>
      </c>
      <c r="E1569" s="9">
        <f ca="1">IF(AND(NEGOCIAÇÕES!P1569="",NEGOCIAÇÕES!N1569&lt;TODAY()),NEGOCIAÇÕES!N1569,"")</f>
        <v>0</v>
      </c>
    </row>
    <row r="1570" spans="2:5" ht="31.95" hidden="1" customHeight="1" x14ac:dyDescent="0.3">
      <c r="B1570" s="6" t="str">
        <f ca="1">IF(AND(NEGOCIAÇÕES!P1570="",NEGOCIAÇÕES!N1570&lt;TODAY()),NEGOCIAÇÕES!C1570,"")</f>
        <v/>
      </c>
      <c r="C1570" s="6">
        <f ca="1">IF(AND(NEGOCIAÇÕES!P1570="",NEGOCIAÇÕES!N1570&lt;TODAY()),NEGOCIAÇÕES!E1570,"")</f>
        <v>0</v>
      </c>
      <c r="D1570" s="6">
        <f ca="1">IF(AND(NEGOCIAÇÕES!P1570="",NEGOCIAÇÕES!N1570&lt;TODAY()),NEGOCIAÇÕES!D1570,"")</f>
        <v>0</v>
      </c>
      <c r="E1570" s="9">
        <f ca="1">IF(AND(NEGOCIAÇÕES!P1570="",NEGOCIAÇÕES!N1570&lt;TODAY()),NEGOCIAÇÕES!N1570,"")</f>
        <v>0</v>
      </c>
    </row>
    <row r="1571" spans="2:5" ht="31.95" hidden="1" customHeight="1" x14ac:dyDescent="0.3">
      <c r="B1571" s="6" t="str">
        <f ca="1">IF(AND(NEGOCIAÇÕES!P1571="",NEGOCIAÇÕES!N1571&lt;TODAY()),NEGOCIAÇÕES!C1571,"")</f>
        <v/>
      </c>
      <c r="C1571" s="6">
        <f ca="1">IF(AND(NEGOCIAÇÕES!P1571="",NEGOCIAÇÕES!N1571&lt;TODAY()),NEGOCIAÇÕES!E1571,"")</f>
        <v>0</v>
      </c>
      <c r="D1571" s="6">
        <f ca="1">IF(AND(NEGOCIAÇÕES!P1571="",NEGOCIAÇÕES!N1571&lt;TODAY()),NEGOCIAÇÕES!D1571,"")</f>
        <v>0</v>
      </c>
      <c r="E1571" s="9">
        <f ca="1">IF(AND(NEGOCIAÇÕES!P1571="",NEGOCIAÇÕES!N1571&lt;TODAY()),NEGOCIAÇÕES!N1571,"")</f>
        <v>0</v>
      </c>
    </row>
    <row r="1572" spans="2:5" ht="31.95" hidden="1" customHeight="1" x14ac:dyDescent="0.3">
      <c r="B1572" s="6" t="str">
        <f ca="1">IF(AND(NEGOCIAÇÕES!P1572="",NEGOCIAÇÕES!N1572&lt;TODAY()),NEGOCIAÇÕES!C1572,"")</f>
        <v/>
      </c>
      <c r="C1572" s="6">
        <f ca="1">IF(AND(NEGOCIAÇÕES!P1572="",NEGOCIAÇÕES!N1572&lt;TODAY()),NEGOCIAÇÕES!E1572,"")</f>
        <v>0</v>
      </c>
      <c r="D1572" s="6">
        <f ca="1">IF(AND(NEGOCIAÇÕES!P1572="",NEGOCIAÇÕES!N1572&lt;TODAY()),NEGOCIAÇÕES!D1572,"")</f>
        <v>0</v>
      </c>
      <c r="E1572" s="9">
        <f ca="1">IF(AND(NEGOCIAÇÕES!P1572="",NEGOCIAÇÕES!N1572&lt;TODAY()),NEGOCIAÇÕES!N1572,"")</f>
        <v>0</v>
      </c>
    </row>
    <row r="1573" spans="2:5" ht="31.95" hidden="1" customHeight="1" x14ac:dyDescent="0.3">
      <c r="B1573" s="6" t="str">
        <f ca="1">IF(AND(NEGOCIAÇÕES!P1573="",NEGOCIAÇÕES!N1573&lt;TODAY()),NEGOCIAÇÕES!C1573,"")</f>
        <v/>
      </c>
      <c r="C1573" s="6">
        <f ca="1">IF(AND(NEGOCIAÇÕES!P1573="",NEGOCIAÇÕES!N1573&lt;TODAY()),NEGOCIAÇÕES!E1573,"")</f>
        <v>0</v>
      </c>
      <c r="D1573" s="6">
        <f ca="1">IF(AND(NEGOCIAÇÕES!P1573="",NEGOCIAÇÕES!N1573&lt;TODAY()),NEGOCIAÇÕES!D1573,"")</f>
        <v>0</v>
      </c>
      <c r="E1573" s="9">
        <f ca="1">IF(AND(NEGOCIAÇÕES!P1573="",NEGOCIAÇÕES!N1573&lt;TODAY()),NEGOCIAÇÕES!N1573,"")</f>
        <v>0</v>
      </c>
    </row>
    <row r="1574" spans="2:5" ht="31.95" hidden="1" customHeight="1" x14ac:dyDescent="0.3">
      <c r="B1574" s="6" t="str">
        <f ca="1">IF(AND(NEGOCIAÇÕES!P1574="",NEGOCIAÇÕES!N1574&lt;TODAY()),NEGOCIAÇÕES!C1574,"")</f>
        <v/>
      </c>
      <c r="C1574" s="6">
        <f ca="1">IF(AND(NEGOCIAÇÕES!P1574="",NEGOCIAÇÕES!N1574&lt;TODAY()),NEGOCIAÇÕES!E1574,"")</f>
        <v>0</v>
      </c>
      <c r="D1574" s="6">
        <f ca="1">IF(AND(NEGOCIAÇÕES!P1574="",NEGOCIAÇÕES!N1574&lt;TODAY()),NEGOCIAÇÕES!D1574,"")</f>
        <v>0</v>
      </c>
      <c r="E1574" s="9">
        <f ca="1">IF(AND(NEGOCIAÇÕES!P1574="",NEGOCIAÇÕES!N1574&lt;TODAY()),NEGOCIAÇÕES!N1574,"")</f>
        <v>0</v>
      </c>
    </row>
    <row r="1575" spans="2:5" ht="31.95" hidden="1" customHeight="1" x14ac:dyDescent="0.3">
      <c r="B1575" s="6" t="str">
        <f ca="1">IF(AND(NEGOCIAÇÕES!P1575="",NEGOCIAÇÕES!N1575&lt;TODAY()),NEGOCIAÇÕES!C1575,"")</f>
        <v/>
      </c>
      <c r="C1575" s="6">
        <f ca="1">IF(AND(NEGOCIAÇÕES!P1575="",NEGOCIAÇÕES!N1575&lt;TODAY()),NEGOCIAÇÕES!E1575,"")</f>
        <v>0</v>
      </c>
      <c r="D1575" s="6">
        <f ca="1">IF(AND(NEGOCIAÇÕES!P1575="",NEGOCIAÇÕES!N1575&lt;TODAY()),NEGOCIAÇÕES!D1575,"")</f>
        <v>0</v>
      </c>
      <c r="E1575" s="9">
        <f ca="1">IF(AND(NEGOCIAÇÕES!P1575="",NEGOCIAÇÕES!N1575&lt;TODAY()),NEGOCIAÇÕES!N1575,"")</f>
        <v>0</v>
      </c>
    </row>
    <row r="1576" spans="2:5" ht="31.95" hidden="1" customHeight="1" x14ac:dyDescent="0.3">
      <c r="B1576" s="6" t="str">
        <f ca="1">IF(AND(NEGOCIAÇÕES!P1576="",NEGOCIAÇÕES!N1576&lt;TODAY()),NEGOCIAÇÕES!C1576,"")</f>
        <v/>
      </c>
      <c r="C1576" s="6">
        <f ca="1">IF(AND(NEGOCIAÇÕES!P1576="",NEGOCIAÇÕES!N1576&lt;TODAY()),NEGOCIAÇÕES!E1576,"")</f>
        <v>0</v>
      </c>
      <c r="D1576" s="6">
        <f ca="1">IF(AND(NEGOCIAÇÕES!P1576="",NEGOCIAÇÕES!N1576&lt;TODAY()),NEGOCIAÇÕES!D1576,"")</f>
        <v>0</v>
      </c>
      <c r="E1576" s="9">
        <f ca="1">IF(AND(NEGOCIAÇÕES!P1576="",NEGOCIAÇÕES!N1576&lt;TODAY()),NEGOCIAÇÕES!N1576,"")</f>
        <v>0</v>
      </c>
    </row>
    <row r="1577" spans="2:5" ht="31.95" hidden="1" customHeight="1" x14ac:dyDescent="0.3">
      <c r="B1577" s="6" t="str">
        <f ca="1">IF(AND(NEGOCIAÇÕES!P1577="",NEGOCIAÇÕES!N1577&lt;TODAY()),NEGOCIAÇÕES!C1577,"")</f>
        <v/>
      </c>
      <c r="C1577" s="6">
        <f ca="1">IF(AND(NEGOCIAÇÕES!P1577="",NEGOCIAÇÕES!N1577&lt;TODAY()),NEGOCIAÇÕES!E1577,"")</f>
        <v>0</v>
      </c>
      <c r="D1577" s="6">
        <f ca="1">IF(AND(NEGOCIAÇÕES!P1577="",NEGOCIAÇÕES!N1577&lt;TODAY()),NEGOCIAÇÕES!D1577,"")</f>
        <v>0</v>
      </c>
      <c r="E1577" s="9">
        <f ca="1">IF(AND(NEGOCIAÇÕES!P1577="",NEGOCIAÇÕES!N1577&lt;TODAY()),NEGOCIAÇÕES!N1577,"")</f>
        <v>0</v>
      </c>
    </row>
    <row r="1578" spans="2:5" ht="31.95" hidden="1" customHeight="1" x14ac:dyDescent="0.3">
      <c r="B1578" s="6" t="str">
        <f ca="1">IF(AND(NEGOCIAÇÕES!P1578="",NEGOCIAÇÕES!N1578&lt;TODAY()),NEGOCIAÇÕES!C1578,"")</f>
        <v/>
      </c>
      <c r="C1578" s="6">
        <f ca="1">IF(AND(NEGOCIAÇÕES!P1578="",NEGOCIAÇÕES!N1578&lt;TODAY()),NEGOCIAÇÕES!E1578,"")</f>
        <v>0</v>
      </c>
      <c r="D1578" s="6">
        <f ca="1">IF(AND(NEGOCIAÇÕES!P1578="",NEGOCIAÇÕES!N1578&lt;TODAY()),NEGOCIAÇÕES!D1578,"")</f>
        <v>0</v>
      </c>
      <c r="E1578" s="9">
        <f ca="1">IF(AND(NEGOCIAÇÕES!P1578="",NEGOCIAÇÕES!N1578&lt;TODAY()),NEGOCIAÇÕES!N1578,"")</f>
        <v>0</v>
      </c>
    </row>
    <row r="1579" spans="2:5" ht="31.95" hidden="1" customHeight="1" x14ac:dyDescent="0.3">
      <c r="B1579" s="6" t="str">
        <f ca="1">IF(AND(NEGOCIAÇÕES!P1579="",NEGOCIAÇÕES!N1579&lt;TODAY()),NEGOCIAÇÕES!C1579,"")</f>
        <v/>
      </c>
      <c r="C1579" s="6">
        <f ca="1">IF(AND(NEGOCIAÇÕES!P1579="",NEGOCIAÇÕES!N1579&lt;TODAY()),NEGOCIAÇÕES!E1579,"")</f>
        <v>0</v>
      </c>
      <c r="D1579" s="6">
        <f ca="1">IF(AND(NEGOCIAÇÕES!P1579="",NEGOCIAÇÕES!N1579&lt;TODAY()),NEGOCIAÇÕES!D1579,"")</f>
        <v>0</v>
      </c>
      <c r="E1579" s="9">
        <f ca="1">IF(AND(NEGOCIAÇÕES!P1579="",NEGOCIAÇÕES!N1579&lt;TODAY()),NEGOCIAÇÕES!N1579,"")</f>
        <v>0</v>
      </c>
    </row>
    <row r="1580" spans="2:5" ht="31.95" hidden="1" customHeight="1" x14ac:dyDescent="0.3">
      <c r="B1580" s="6" t="str">
        <f ca="1">IF(AND(NEGOCIAÇÕES!P1580="",NEGOCIAÇÕES!N1580&lt;TODAY()),NEGOCIAÇÕES!C1580,"")</f>
        <v/>
      </c>
      <c r="C1580" s="6">
        <f ca="1">IF(AND(NEGOCIAÇÕES!P1580="",NEGOCIAÇÕES!N1580&lt;TODAY()),NEGOCIAÇÕES!E1580,"")</f>
        <v>0</v>
      </c>
      <c r="D1580" s="6">
        <f ca="1">IF(AND(NEGOCIAÇÕES!P1580="",NEGOCIAÇÕES!N1580&lt;TODAY()),NEGOCIAÇÕES!D1580,"")</f>
        <v>0</v>
      </c>
      <c r="E1580" s="9">
        <f ca="1">IF(AND(NEGOCIAÇÕES!P1580="",NEGOCIAÇÕES!N1580&lt;TODAY()),NEGOCIAÇÕES!N1580,"")</f>
        <v>0</v>
      </c>
    </row>
    <row r="1581" spans="2:5" ht="31.95" hidden="1" customHeight="1" x14ac:dyDescent="0.3">
      <c r="B1581" s="6" t="str">
        <f ca="1">IF(AND(NEGOCIAÇÕES!P1581="",NEGOCIAÇÕES!N1581&lt;TODAY()),NEGOCIAÇÕES!C1581,"")</f>
        <v/>
      </c>
      <c r="C1581" s="6">
        <f ca="1">IF(AND(NEGOCIAÇÕES!P1581="",NEGOCIAÇÕES!N1581&lt;TODAY()),NEGOCIAÇÕES!E1581,"")</f>
        <v>0</v>
      </c>
      <c r="D1581" s="6">
        <f ca="1">IF(AND(NEGOCIAÇÕES!P1581="",NEGOCIAÇÕES!N1581&lt;TODAY()),NEGOCIAÇÕES!D1581,"")</f>
        <v>0</v>
      </c>
      <c r="E1581" s="9">
        <f ca="1">IF(AND(NEGOCIAÇÕES!P1581="",NEGOCIAÇÕES!N1581&lt;TODAY()),NEGOCIAÇÕES!N1581,"")</f>
        <v>0</v>
      </c>
    </row>
    <row r="1582" spans="2:5" ht="31.95" hidden="1" customHeight="1" x14ac:dyDescent="0.3">
      <c r="B1582" s="6" t="str">
        <f ca="1">IF(AND(NEGOCIAÇÕES!P1582="",NEGOCIAÇÕES!N1582&lt;TODAY()),NEGOCIAÇÕES!C1582,"")</f>
        <v/>
      </c>
      <c r="C1582" s="6">
        <f ca="1">IF(AND(NEGOCIAÇÕES!P1582="",NEGOCIAÇÕES!N1582&lt;TODAY()),NEGOCIAÇÕES!E1582,"")</f>
        <v>0</v>
      </c>
      <c r="D1582" s="6">
        <f ca="1">IF(AND(NEGOCIAÇÕES!P1582="",NEGOCIAÇÕES!N1582&lt;TODAY()),NEGOCIAÇÕES!D1582,"")</f>
        <v>0</v>
      </c>
      <c r="E1582" s="9">
        <f ca="1">IF(AND(NEGOCIAÇÕES!P1582="",NEGOCIAÇÕES!N1582&lt;TODAY()),NEGOCIAÇÕES!N1582,"")</f>
        <v>0</v>
      </c>
    </row>
    <row r="1583" spans="2:5" ht="31.95" hidden="1" customHeight="1" x14ac:dyDescent="0.3">
      <c r="B1583" s="6" t="str">
        <f ca="1">IF(AND(NEGOCIAÇÕES!P1583="",NEGOCIAÇÕES!N1583&lt;TODAY()),NEGOCIAÇÕES!C1583,"")</f>
        <v/>
      </c>
      <c r="C1583" s="6">
        <f ca="1">IF(AND(NEGOCIAÇÕES!P1583="",NEGOCIAÇÕES!N1583&lt;TODAY()),NEGOCIAÇÕES!E1583,"")</f>
        <v>0</v>
      </c>
      <c r="D1583" s="6">
        <f ca="1">IF(AND(NEGOCIAÇÕES!P1583="",NEGOCIAÇÕES!N1583&lt;TODAY()),NEGOCIAÇÕES!D1583,"")</f>
        <v>0</v>
      </c>
      <c r="E1583" s="9">
        <f ca="1">IF(AND(NEGOCIAÇÕES!P1583="",NEGOCIAÇÕES!N1583&lt;TODAY()),NEGOCIAÇÕES!N1583,"")</f>
        <v>0</v>
      </c>
    </row>
    <row r="1584" spans="2:5" ht="31.95" hidden="1" customHeight="1" x14ac:dyDescent="0.3">
      <c r="B1584" s="6" t="str">
        <f ca="1">IF(AND(NEGOCIAÇÕES!P1584="",NEGOCIAÇÕES!N1584&lt;TODAY()),NEGOCIAÇÕES!C1584,"")</f>
        <v/>
      </c>
      <c r="C1584" s="6">
        <f ca="1">IF(AND(NEGOCIAÇÕES!P1584="",NEGOCIAÇÕES!N1584&lt;TODAY()),NEGOCIAÇÕES!E1584,"")</f>
        <v>0</v>
      </c>
      <c r="D1584" s="6">
        <f ca="1">IF(AND(NEGOCIAÇÕES!P1584="",NEGOCIAÇÕES!N1584&lt;TODAY()),NEGOCIAÇÕES!D1584,"")</f>
        <v>0</v>
      </c>
      <c r="E1584" s="9">
        <f ca="1">IF(AND(NEGOCIAÇÕES!P1584="",NEGOCIAÇÕES!N1584&lt;TODAY()),NEGOCIAÇÕES!N1584,"")</f>
        <v>0</v>
      </c>
    </row>
    <row r="1585" spans="2:5" ht="31.95" hidden="1" customHeight="1" x14ac:dyDescent="0.3">
      <c r="B1585" s="6" t="str">
        <f ca="1">IF(AND(NEGOCIAÇÕES!P1585="",NEGOCIAÇÕES!N1585&lt;TODAY()),NEGOCIAÇÕES!C1585,"")</f>
        <v/>
      </c>
      <c r="C1585" s="6">
        <f ca="1">IF(AND(NEGOCIAÇÕES!P1585="",NEGOCIAÇÕES!N1585&lt;TODAY()),NEGOCIAÇÕES!E1585,"")</f>
        <v>0</v>
      </c>
      <c r="D1585" s="6">
        <f ca="1">IF(AND(NEGOCIAÇÕES!P1585="",NEGOCIAÇÕES!N1585&lt;TODAY()),NEGOCIAÇÕES!D1585,"")</f>
        <v>0</v>
      </c>
      <c r="E1585" s="9">
        <f ca="1">IF(AND(NEGOCIAÇÕES!P1585="",NEGOCIAÇÕES!N1585&lt;TODAY()),NEGOCIAÇÕES!N1585,"")</f>
        <v>0</v>
      </c>
    </row>
    <row r="1586" spans="2:5" ht="31.95" hidden="1" customHeight="1" x14ac:dyDescent="0.3">
      <c r="B1586" s="6" t="str">
        <f ca="1">IF(AND(NEGOCIAÇÕES!P1586="",NEGOCIAÇÕES!N1586&lt;TODAY()),NEGOCIAÇÕES!C1586,"")</f>
        <v/>
      </c>
      <c r="C1586" s="6">
        <f ca="1">IF(AND(NEGOCIAÇÕES!P1586="",NEGOCIAÇÕES!N1586&lt;TODAY()),NEGOCIAÇÕES!E1586,"")</f>
        <v>0</v>
      </c>
      <c r="D1586" s="6">
        <f ca="1">IF(AND(NEGOCIAÇÕES!P1586="",NEGOCIAÇÕES!N1586&lt;TODAY()),NEGOCIAÇÕES!D1586,"")</f>
        <v>0</v>
      </c>
      <c r="E1586" s="9">
        <f ca="1">IF(AND(NEGOCIAÇÕES!P1586="",NEGOCIAÇÕES!N1586&lt;TODAY()),NEGOCIAÇÕES!N1586,"")</f>
        <v>0</v>
      </c>
    </row>
    <row r="1587" spans="2:5" ht="31.95" hidden="1" customHeight="1" x14ac:dyDescent="0.3">
      <c r="B1587" s="6" t="str">
        <f ca="1">IF(AND(NEGOCIAÇÕES!P1587="",NEGOCIAÇÕES!N1587&lt;TODAY()),NEGOCIAÇÕES!C1587,"")</f>
        <v/>
      </c>
      <c r="C1587" s="6">
        <f ca="1">IF(AND(NEGOCIAÇÕES!P1587="",NEGOCIAÇÕES!N1587&lt;TODAY()),NEGOCIAÇÕES!E1587,"")</f>
        <v>0</v>
      </c>
      <c r="D1587" s="6">
        <f ca="1">IF(AND(NEGOCIAÇÕES!P1587="",NEGOCIAÇÕES!N1587&lt;TODAY()),NEGOCIAÇÕES!D1587,"")</f>
        <v>0</v>
      </c>
      <c r="E1587" s="9">
        <f ca="1">IF(AND(NEGOCIAÇÕES!P1587="",NEGOCIAÇÕES!N1587&lt;TODAY()),NEGOCIAÇÕES!N1587,"")</f>
        <v>0</v>
      </c>
    </row>
    <row r="1588" spans="2:5" ht="31.95" hidden="1" customHeight="1" x14ac:dyDescent="0.3">
      <c r="B1588" s="6" t="str">
        <f ca="1">IF(AND(NEGOCIAÇÕES!P1588="",NEGOCIAÇÕES!N1588&lt;TODAY()),NEGOCIAÇÕES!C1588,"")</f>
        <v/>
      </c>
      <c r="C1588" s="6">
        <f ca="1">IF(AND(NEGOCIAÇÕES!P1588="",NEGOCIAÇÕES!N1588&lt;TODAY()),NEGOCIAÇÕES!E1588,"")</f>
        <v>0</v>
      </c>
      <c r="D1588" s="6">
        <f ca="1">IF(AND(NEGOCIAÇÕES!P1588="",NEGOCIAÇÕES!N1588&lt;TODAY()),NEGOCIAÇÕES!D1588,"")</f>
        <v>0</v>
      </c>
      <c r="E1588" s="9">
        <f ca="1">IF(AND(NEGOCIAÇÕES!P1588="",NEGOCIAÇÕES!N1588&lt;TODAY()),NEGOCIAÇÕES!N1588,"")</f>
        <v>0</v>
      </c>
    </row>
    <row r="1589" spans="2:5" ht="31.95" hidden="1" customHeight="1" x14ac:dyDescent="0.3">
      <c r="B1589" s="6" t="str">
        <f ca="1">IF(AND(NEGOCIAÇÕES!P1589="",NEGOCIAÇÕES!N1589&lt;TODAY()),NEGOCIAÇÕES!C1589,"")</f>
        <v/>
      </c>
      <c r="C1589" s="6">
        <f ca="1">IF(AND(NEGOCIAÇÕES!P1589="",NEGOCIAÇÕES!N1589&lt;TODAY()),NEGOCIAÇÕES!E1589,"")</f>
        <v>0</v>
      </c>
      <c r="D1589" s="6">
        <f ca="1">IF(AND(NEGOCIAÇÕES!P1589="",NEGOCIAÇÕES!N1589&lt;TODAY()),NEGOCIAÇÕES!D1589,"")</f>
        <v>0</v>
      </c>
      <c r="E1589" s="9">
        <f ca="1">IF(AND(NEGOCIAÇÕES!P1589="",NEGOCIAÇÕES!N1589&lt;TODAY()),NEGOCIAÇÕES!N1589,"")</f>
        <v>0</v>
      </c>
    </row>
    <row r="1590" spans="2:5" ht="31.95" hidden="1" customHeight="1" x14ac:dyDescent="0.3">
      <c r="B1590" s="6" t="str">
        <f ca="1">IF(AND(NEGOCIAÇÕES!P1590="",NEGOCIAÇÕES!N1590&lt;TODAY()),NEGOCIAÇÕES!C1590,"")</f>
        <v/>
      </c>
      <c r="C1590" s="6">
        <f ca="1">IF(AND(NEGOCIAÇÕES!P1590="",NEGOCIAÇÕES!N1590&lt;TODAY()),NEGOCIAÇÕES!E1590,"")</f>
        <v>0</v>
      </c>
      <c r="D1590" s="6">
        <f ca="1">IF(AND(NEGOCIAÇÕES!P1590="",NEGOCIAÇÕES!N1590&lt;TODAY()),NEGOCIAÇÕES!D1590,"")</f>
        <v>0</v>
      </c>
      <c r="E1590" s="9">
        <f ca="1">IF(AND(NEGOCIAÇÕES!P1590="",NEGOCIAÇÕES!N1590&lt;TODAY()),NEGOCIAÇÕES!N1590,"")</f>
        <v>0</v>
      </c>
    </row>
    <row r="1591" spans="2:5" ht="31.95" hidden="1" customHeight="1" x14ac:dyDescent="0.3">
      <c r="B1591" s="6" t="str">
        <f ca="1">IF(AND(NEGOCIAÇÕES!P1591="",NEGOCIAÇÕES!N1591&lt;TODAY()),NEGOCIAÇÕES!C1591,"")</f>
        <v/>
      </c>
      <c r="C1591" s="6">
        <f ca="1">IF(AND(NEGOCIAÇÕES!P1591="",NEGOCIAÇÕES!N1591&lt;TODAY()),NEGOCIAÇÕES!E1591,"")</f>
        <v>0</v>
      </c>
      <c r="D1591" s="6">
        <f ca="1">IF(AND(NEGOCIAÇÕES!P1591="",NEGOCIAÇÕES!N1591&lt;TODAY()),NEGOCIAÇÕES!D1591,"")</f>
        <v>0</v>
      </c>
      <c r="E1591" s="9">
        <f ca="1">IF(AND(NEGOCIAÇÕES!P1591="",NEGOCIAÇÕES!N1591&lt;TODAY()),NEGOCIAÇÕES!N1591,"")</f>
        <v>0</v>
      </c>
    </row>
    <row r="1592" spans="2:5" ht="31.95" hidden="1" customHeight="1" x14ac:dyDescent="0.3">
      <c r="B1592" s="6" t="str">
        <f ca="1">IF(AND(NEGOCIAÇÕES!P1592="",NEGOCIAÇÕES!N1592&lt;TODAY()),NEGOCIAÇÕES!C1592,"")</f>
        <v/>
      </c>
      <c r="C1592" s="6">
        <f ca="1">IF(AND(NEGOCIAÇÕES!P1592="",NEGOCIAÇÕES!N1592&lt;TODAY()),NEGOCIAÇÕES!E1592,"")</f>
        <v>0</v>
      </c>
      <c r="D1592" s="6">
        <f ca="1">IF(AND(NEGOCIAÇÕES!P1592="",NEGOCIAÇÕES!N1592&lt;TODAY()),NEGOCIAÇÕES!D1592,"")</f>
        <v>0</v>
      </c>
      <c r="E1592" s="9">
        <f ca="1">IF(AND(NEGOCIAÇÕES!P1592="",NEGOCIAÇÕES!N1592&lt;TODAY()),NEGOCIAÇÕES!N1592,"")</f>
        <v>0</v>
      </c>
    </row>
    <row r="1593" spans="2:5" ht="31.95" hidden="1" customHeight="1" x14ac:dyDescent="0.3">
      <c r="B1593" s="6" t="str">
        <f ca="1">IF(AND(NEGOCIAÇÕES!P1593="",NEGOCIAÇÕES!N1593&lt;TODAY()),NEGOCIAÇÕES!C1593,"")</f>
        <v/>
      </c>
      <c r="C1593" s="6">
        <f ca="1">IF(AND(NEGOCIAÇÕES!P1593="",NEGOCIAÇÕES!N1593&lt;TODAY()),NEGOCIAÇÕES!E1593,"")</f>
        <v>0</v>
      </c>
      <c r="D1593" s="6">
        <f ca="1">IF(AND(NEGOCIAÇÕES!P1593="",NEGOCIAÇÕES!N1593&lt;TODAY()),NEGOCIAÇÕES!D1593,"")</f>
        <v>0</v>
      </c>
      <c r="E1593" s="9">
        <f ca="1">IF(AND(NEGOCIAÇÕES!P1593="",NEGOCIAÇÕES!N1593&lt;TODAY()),NEGOCIAÇÕES!N1593,"")</f>
        <v>0</v>
      </c>
    </row>
    <row r="1594" spans="2:5" ht="31.95" hidden="1" customHeight="1" x14ac:dyDescent="0.3">
      <c r="B1594" s="6" t="str">
        <f ca="1">IF(AND(NEGOCIAÇÕES!P1594="",NEGOCIAÇÕES!N1594&lt;TODAY()),NEGOCIAÇÕES!C1594,"")</f>
        <v/>
      </c>
      <c r="C1594" s="6">
        <f ca="1">IF(AND(NEGOCIAÇÕES!P1594="",NEGOCIAÇÕES!N1594&lt;TODAY()),NEGOCIAÇÕES!E1594,"")</f>
        <v>0</v>
      </c>
      <c r="D1594" s="6">
        <f ca="1">IF(AND(NEGOCIAÇÕES!P1594="",NEGOCIAÇÕES!N1594&lt;TODAY()),NEGOCIAÇÕES!D1594,"")</f>
        <v>0</v>
      </c>
      <c r="E1594" s="9">
        <f ca="1">IF(AND(NEGOCIAÇÕES!P1594="",NEGOCIAÇÕES!N1594&lt;TODAY()),NEGOCIAÇÕES!N1594,"")</f>
        <v>0</v>
      </c>
    </row>
    <row r="1595" spans="2:5" ht="31.95" hidden="1" customHeight="1" x14ac:dyDescent="0.3">
      <c r="B1595" s="6" t="str">
        <f ca="1">IF(AND(NEGOCIAÇÕES!P1595="",NEGOCIAÇÕES!N1595&lt;TODAY()),NEGOCIAÇÕES!C1595,"")</f>
        <v/>
      </c>
      <c r="C1595" s="6">
        <f ca="1">IF(AND(NEGOCIAÇÕES!P1595="",NEGOCIAÇÕES!N1595&lt;TODAY()),NEGOCIAÇÕES!E1595,"")</f>
        <v>0</v>
      </c>
      <c r="D1595" s="6">
        <f ca="1">IF(AND(NEGOCIAÇÕES!P1595="",NEGOCIAÇÕES!N1595&lt;TODAY()),NEGOCIAÇÕES!D1595,"")</f>
        <v>0</v>
      </c>
      <c r="E1595" s="9">
        <f ca="1">IF(AND(NEGOCIAÇÕES!P1595="",NEGOCIAÇÕES!N1595&lt;TODAY()),NEGOCIAÇÕES!N1595,"")</f>
        <v>0</v>
      </c>
    </row>
    <row r="1596" spans="2:5" ht="31.95" hidden="1" customHeight="1" x14ac:dyDescent="0.3">
      <c r="B1596" s="6" t="str">
        <f ca="1">IF(AND(NEGOCIAÇÕES!P1596="",NEGOCIAÇÕES!N1596&lt;TODAY()),NEGOCIAÇÕES!C1596,"")</f>
        <v/>
      </c>
      <c r="C1596" s="6">
        <f ca="1">IF(AND(NEGOCIAÇÕES!P1596="",NEGOCIAÇÕES!N1596&lt;TODAY()),NEGOCIAÇÕES!E1596,"")</f>
        <v>0</v>
      </c>
      <c r="D1596" s="6">
        <f ca="1">IF(AND(NEGOCIAÇÕES!P1596="",NEGOCIAÇÕES!N1596&lt;TODAY()),NEGOCIAÇÕES!D1596,"")</f>
        <v>0</v>
      </c>
      <c r="E1596" s="9">
        <f ca="1">IF(AND(NEGOCIAÇÕES!P1596="",NEGOCIAÇÕES!N1596&lt;TODAY()),NEGOCIAÇÕES!N1596,"")</f>
        <v>0</v>
      </c>
    </row>
    <row r="1597" spans="2:5" ht="31.95" hidden="1" customHeight="1" x14ac:dyDescent="0.3">
      <c r="B1597" s="6" t="str">
        <f ca="1">IF(AND(NEGOCIAÇÕES!P1597="",NEGOCIAÇÕES!N1597&lt;TODAY()),NEGOCIAÇÕES!C1597,"")</f>
        <v/>
      </c>
      <c r="C1597" s="6">
        <f ca="1">IF(AND(NEGOCIAÇÕES!P1597="",NEGOCIAÇÕES!N1597&lt;TODAY()),NEGOCIAÇÕES!E1597,"")</f>
        <v>0</v>
      </c>
      <c r="D1597" s="6">
        <f ca="1">IF(AND(NEGOCIAÇÕES!P1597="",NEGOCIAÇÕES!N1597&lt;TODAY()),NEGOCIAÇÕES!D1597,"")</f>
        <v>0</v>
      </c>
      <c r="E1597" s="9">
        <f ca="1">IF(AND(NEGOCIAÇÕES!P1597="",NEGOCIAÇÕES!N1597&lt;TODAY()),NEGOCIAÇÕES!N1597,"")</f>
        <v>0</v>
      </c>
    </row>
    <row r="1598" spans="2:5" ht="31.95" hidden="1" customHeight="1" x14ac:dyDescent="0.3">
      <c r="B1598" s="6" t="str">
        <f ca="1">IF(AND(NEGOCIAÇÕES!P1598="",NEGOCIAÇÕES!N1598&lt;TODAY()),NEGOCIAÇÕES!C1598,"")</f>
        <v/>
      </c>
      <c r="C1598" s="6">
        <f ca="1">IF(AND(NEGOCIAÇÕES!P1598="",NEGOCIAÇÕES!N1598&lt;TODAY()),NEGOCIAÇÕES!E1598,"")</f>
        <v>0</v>
      </c>
      <c r="D1598" s="6">
        <f ca="1">IF(AND(NEGOCIAÇÕES!P1598="",NEGOCIAÇÕES!N1598&lt;TODAY()),NEGOCIAÇÕES!D1598,"")</f>
        <v>0</v>
      </c>
      <c r="E1598" s="9">
        <f ca="1">IF(AND(NEGOCIAÇÕES!P1598="",NEGOCIAÇÕES!N1598&lt;TODAY()),NEGOCIAÇÕES!N1598,"")</f>
        <v>0</v>
      </c>
    </row>
    <row r="1599" spans="2:5" ht="31.95" hidden="1" customHeight="1" x14ac:dyDescent="0.3">
      <c r="B1599" s="6" t="str">
        <f ca="1">IF(AND(NEGOCIAÇÕES!P1599="",NEGOCIAÇÕES!N1599&lt;TODAY()),NEGOCIAÇÕES!C1599,"")</f>
        <v/>
      </c>
      <c r="C1599" s="6">
        <f ca="1">IF(AND(NEGOCIAÇÕES!P1599="",NEGOCIAÇÕES!N1599&lt;TODAY()),NEGOCIAÇÕES!E1599,"")</f>
        <v>0</v>
      </c>
      <c r="D1599" s="6">
        <f ca="1">IF(AND(NEGOCIAÇÕES!P1599="",NEGOCIAÇÕES!N1599&lt;TODAY()),NEGOCIAÇÕES!D1599,"")</f>
        <v>0</v>
      </c>
      <c r="E1599" s="9">
        <f ca="1">IF(AND(NEGOCIAÇÕES!P1599="",NEGOCIAÇÕES!N1599&lt;TODAY()),NEGOCIAÇÕES!N1599,"")</f>
        <v>0</v>
      </c>
    </row>
    <row r="1600" spans="2:5" ht="31.95" hidden="1" customHeight="1" x14ac:dyDescent="0.3">
      <c r="B1600" s="6" t="str">
        <f ca="1">IF(AND(NEGOCIAÇÕES!P1600="",NEGOCIAÇÕES!N1600&lt;TODAY()),NEGOCIAÇÕES!C1600,"")</f>
        <v/>
      </c>
      <c r="C1600" s="6">
        <f ca="1">IF(AND(NEGOCIAÇÕES!P1600="",NEGOCIAÇÕES!N1600&lt;TODAY()),NEGOCIAÇÕES!E1600,"")</f>
        <v>0</v>
      </c>
      <c r="D1600" s="6">
        <f ca="1">IF(AND(NEGOCIAÇÕES!P1600="",NEGOCIAÇÕES!N1600&lt;TODAY()),NEGOCIAÇÕES!D1600,"")</f>
        <v>0</v>
      </c>
      <c r="E1600" s="9">
        <f ca="1">IF(AND(NEGOCIAÇÕES!P1600="",NEGOCIAÇÕES!N1600&lt;TODAY()),NEGOCIAÇÕES!N1600,"")</f>
        <v>0</v>
      </c>
    </row>
    <row r="1601" spans="2:5" ht="31.95" hidden="1" customHeight="1" x14ac:dyDescent="0.3">
      <c r="B1601" s="6" t="str">
        <f ca="1">IF(AND(NEGOCIAÇÕES!P1601="",NEGOCIAÇÕES!N1601&lt;TODAY()),NEGOCIAÇÕES!C1601,"")</f>
        <v/>
      </c>
      <c r="C1601" s="6">
        <f ca="1">IF(AND(NEGOCIAÇÕES!P1601="",NEGOCIAÇÕES!N1601&lt;TODAY()),NEGOCIAÇÕES!E1601,"")</f>
        <v>0</v>
      </c>
      <c r="D1601" s="6">
        <f ca="1">IF(AND(NEGOCIAÇÕES!P1601="",NEGOCIAÇÕES!N1601&lt;TODAY()),NEGOCIAÇÕES!D1601,"")</f>
        <v>0</v>
      </c>
      <c r="E1601" s="9">
        <f ca="1">IF(AND(NEGOCIAÇÕES!P1601="",NEGOCIAÇÕES!N1601&lt;TODAY()),NEGOCIAÇÕES!N1601,"")</f>
        <v>0</v>
      </c>
    </row>
    <row r="1602" spans="2:5" ht="31.95" hidden="1" customHeight="1" x14ac:dyDescent="0.3">
      <c r="B1602" s="6" t="str">
        <f ca="1">IF(AND(NEGOCIAÇÕES!P1602="",NEGOCIAÇÕES!N1602&lt;TODAY()),NEGOCIAÇÕES!C1602,"")</f>
        <v/>
      </c>
      <c r="C1602" s="6">
        <f ca="1">IF(AND(NEGOCIAÇÕES!P1602="",NEGOCIAÇÕES!N1602&lt;TODAY()),NEGOCIAÇÕES!E1602,"")</f>
        <v>0</v>
      </c>
      <c r="D1602" s="6">
        <f ca="1">IF(AND(NEGOCIAÇÕES!P1602="",NEGOCIAÇÕES!N1602&lt;TODAY()),NEGOCIAÇÕES!D1602,"")</f>
        <v>0</v>
      </c>
      <c r="E1602" s="9">
        <f ca="1">IF(AND(NEGOCIAÇÕES!P1602="",NEGOCIAÇÕES!N1602&lt;TODAY()),NEGOCIAÇÕES!N1602,"")</f>
        <v>0</v>
      </c>
    </row>
    <row r="1603" spans="2:5" ht="31.95" hidden="1" customHeight="1" x14ac:dyDescent="0.3">
      <c r="B1603" s="6" t="str">
        <f ca="1">IF(AND(NEGOCIAÇÕES!P1603="",NEGOCIAÇÕES!N1603&lt;TODAY()),NEGOCIAÇÕES!C1603,"")</f>
        <v/>
      </c>
      <c r="C1603" s="6">
        <f ca="1">IF(AND(NEGOCIAÇÕES!P1603="",NEGOCIAÇÕES!N1603&lt;TODAY()),NEGOCIAÇÕES!E1603,"")</f>
        <v>0</v>
      </c>
      <c r="D1603" s="6">
        <f ca="1">IF(AND(NEGOCIAÇÕES!P1603="",NEGOCIAÇÕES!N1603&lt;TODAY()),NEGOCIAÇÕES!D1603,"")</f>
        <v>0</v>
      </c>
      <c r="E1603" s="9">
        <f ca="1">IF(AND(NEGOCIAÇÕES!P1603="",NEGOCIAÇÕES!N1603&lt;TODAY()),NEGOCIAÇÕES!N1603,"")</f>
        <v>0</v>
      </c>
    </row>
    <row r="1604" spans="2:5" ht="31.95" hidden="1" customHeight="1" x14ac:dyDescent="0.3">
      <c r="B1604" s="6" t="str">
        <f ca="1">IF(AND(NEGOCIAÇÕES!P1604="",NEGOCIAÇÕES!N1604&lt;TODAY()),NEGOCIAÇÕES!C1604,"")</f>
        <v/>
      </c>
      <c r="C1604" s="6">
        <f ca="1">IF(AND(NEGOCIAÇÕES!P1604="",NEGOCIAÇÕES!N1604&lt;TODAY()),NEGOCIAÇÕES!E1604,"")</f>
        <v>0</v>
      </c>
      <c r="D1604" s="6">
        <f ca="1">IF(AND(NEGOCIAÇÕES!P1604="",NEGOCIAÇÕES!N1604&lt;TODAY()),NEGOCIAÇÕES!D1604,"")</f>
        <v>0</v>
      </c>
      <c r="E1604" s="9">
        <f ca="1">IF(AND(NEGOCIAÇÕES!P1604="",NEGOCIAÇÕES!N1604&lt;TODAY()),NEGOCIAÇÕES!N1604,"")</f>
        <v>0</v>
      </c>
    </row>
    <row r="1605" spans="2:5" ht="31.95" hidden="1" customHeight="1" x14ac:dyDescent="0.3">
      <c r="B1605" s="6" t="str">
        <f ca="1">IF(AND(NEGOCIAÇÕES!P1605="",NEGOCIAÇÕES!N1605&lt;TODAY()),NEGOCIAÇÕES!C1605,"")</f>
        <v/>
      </c>
      <c r="C1605" s="6">
        <f ca="1">IF(AND(NEGOCIAÇÕES!P1605="",NEGOCIAÇÕES!N1605&lt;TODAY()),NEGOCIAÇÕES!E1605,"")</f>
        <v>0</v>
      </c>
      <c r="D1605" s="6">
        <f ca="1">IF(AND(NEGOCIAÇÕES!P1605="",NEGOCIAÇÕES!N1605&lt;TODAY()),NEGOCIAÇÕES!D1605,"")</f>
        <v>0</v>
      </c>
      <c r="E1605" s="9">
        <f ca="1">IF(AND(NEGOCIAÇÕES!P1605="",NEGOCIAÇÕES!N1605&lt;TODAY()),NEGOCIAÇÕES!N1605,"")</f>
        <v>0</v>
      </c>
    </row>
    <row r="1606" spans="2:5" ht="31.95" hidden="1" customHeight="1" x14ac:dyDescent="0.3">
      <c r="B1606" s="6" t="str">
        <f ca="1">IF(AND(NEGOCIAÇÕES!P1606="",NEGOCIAÇÕES!N1606&lt;TODAY()),NEGOCIAÇÕES!C1606,"")</f>
        <v/>
      </c>
      <c r="C1606" s="6">
        <f ca="1">IF(AND(NEGOCIAÇÕES!P1606="",NEGOCIAÇÕES!N1606&lt;TODAY()),NEGOCIAÇÕES!E1606,"")</f>
        <v>0</v>
      </c>
      <c r="D1606" s="6">
        <f ca="1">IF(AND(NEGOCIAÇÕES!P1606="",NEGOCIAÇÕES!N1606&lt;TODAY()),NEGOCIAÇÕES!D1606,"")</f>
        <v>0</v>
      </c>
      <c r="E1606" s="9">
        <f ca="1">IF(AND(NEGOCIAÇÕES!P1606="",NEGOCIAÇÕES!N1606&lt;TODAY()),NEGOCIAÇÕES!N1606,"")</f>
        <v>0</v>
      </c>
    </row>
    <row r="1607" spans="2:5" ht="31.95" hidden="1" customHeight="1" x14ac:dyDescent="0.3">
      <c r="B1607" s="6" t="str">
        <f ca="1">IF(AND(NEGOCIAÇÕES!P1607="",NEGOCIAÇÕES!N1607&lt;TODAY()),NEGOCIAÇÕES!C1607,"")</f>
        <v/>
      </c>
      <c r="C1607" s="6">
        <f ca="1">IF(AND(NEGOCIAÇÕES!P1607="",NEGOCIAÇÕES!N1607&lt;TODAY()),NEGOCIAÇÕES!E1607,"")</f>
        <v>0</v>
      </c>
      <c r="D1607" s="6">
        <f ca="1">IF(AND(NEGOCIAÇÕES!P1607="",NEGOCIAÇÕES!N1607&lt;TODAY()),NEGOCIAÇÕES!D1607,"")</f>
        <v>0</v>
      </c>
      <c r="E1607" s="9">
        <f ca="1">IF(AND(NEGOCIAÇÕES!P1607="",NEGOCIAÇÕES!N1607&lt;TODAY()),NEGOCIAÇÕES!N1607,"")</f>
        <v>0</v>
      </c>
    </row>
    <row r="1608" spans="2:5" ht="31.95" hidden="1" customHeight="1" x14ac:dyDescent="0.3">
      <c r="B1608" s="6" t="str">
        <f ca="1">IF(AND(NEGOCIAÇÕES!P1608="",NEGOCIAÇÕES!N1608&lt;TODAY()),NEGOCIAÇÕES!C1608,"")</f>
        <v/>
      </c>
      <c r="C1608" s="6">
        <f ca="1">IF(AND(NEGOCIAÇÕES!P1608="",NEGOCIAÇÕES!N1608&lt;TODAY()),NEGOCIAÇÕES!E1608,"")</f>
        <v>0</v>
      </c>
      <c r="D1608" s="6">
        <f ca="1">IF(AND(NEGOCIAÇÕES!P1608="",NEGOCIAÇÕES!N1608&lt;TODAY()),NEGOCIAÇÕES!D1608,"")</f>
        <v>0</v>
      </c>
      <c r="E1608" s="9">
        <f ca="1">IF(AND(NEGOCIAÇÕES!P1608="",NEGOCIAÇÕES!N1608&lt;TODAY()),NEGOCIAÇÕES!N1608,"")</f>
        <v>0</v>
      </c>
    </row>
    <row r="1609" spans="2:5" ht="31.95" hidden="1" customHeight="1" x14ac:dyDescent="0.3">
      <c r="B1609" s="6" t="str">
        <f ca="1">IF(AND(NEGOCIAÇÕES!P1609="",NEGOCIAÇÕES!N1609&lt;TODAY()),NEGOCIAÇÕES!C1609,"")</f>
        <v/>
      </c>
      <c r="C1609" s="6">
        <f ca="1">IF(AND(NEGOCIAÇÕES!P1609="",NEGOCIAÇÕES!N1609&lt;TODAY()),NEGOCIAÇÕES!E1609,"")</f>
        <v>0</v>
      </c>
      <c r="D1609" s="6">
        <f ca="1">IF(AND(NEGOCIAÇÕES!P1609="",NEGOCIAÇÕES!N1609&lt;TODAY()),NEGOCIAÇÕES!D1609,"")</f>
        <v>0</v>
      </c>
      <c r="E1609" s="9">
        <f ca="1">IF(AND(NEGOCIAÇÕES!P1609="",NEGOCIAÇÕES!N1609&lt;TODAY()),NEGOCIAÇÕES!N1609,"")</f>
        <v>0</v>
      </c>
    </row>
    <row r="1610" spans="2:5" ht="31.95" hidden="1" customHeight="1" x14ac:dyDescent="0.3">
      <c r="B1610" s="6" t="str">
        <f ca="1">IF(AND(NEGOCIAÇÕES!P1610="",NEGOCIAÇÕES!N1610&lt;TODAY()),NEGOCIAÇÕES!C1610,"")</f>
        <v/>
      </c>
      <c r="C1610" s="6">
        <f ca="1">IF(AND(NEGOCIAÇÕES!P1610="",NEGOCIAÇÕES!N1610&lt;TODAY()),NEGOCIAÇÕES!E1610,"")</f>
        <v>0</v>
      </c>
      <c r="D1610" s="6">
        <f ca="1">IF(AND(NEGOCIAÇÕES!P1610="",NEGOCIAÇÕES!N1610&lt;TODAY()),NEGOCIAÇÕES!D1610,"")</f>
        <v>0</v>
      </c>
      <c r="E1610" s="9">
        <f ca="1">IF(AND(NEGOCIAÇÕES!P1610="",NEGOCIAÇÕES!N1610&lt;TODAY()),NEGOCIAÇÕES!N1610,"")</f>
        <v>0</v>
      </c>
    </row>
    <row r="1611" spans="2:5" ht="31.95" hidden="1" customHeight="1" x14ac:dyDescent="0.3">
      <c r="B1611" s="6" t="str">
        <f ca="1">IF(AND(NEGOCIAÇÕES!P1611="",NEGOCIAÇÕES!N1611&lt;TODAY()),NEGOCIAÇÕES!C1611,"")</f>
        <v/>
      </c>
      <c r="C1611" s="6">
        <f ca="1">IF(AND(NEGOCIAÇÕES!P1611="",NEGOCIAÇÕES!N1611&lt;TODAY()),NEGOCIAÇÕES!E1611,"")</f>
        <v>0</v>
      </c>
      <c r="D1611" s="6">
        <f ca="1">IF(AND(NEGOCIAÇÕES!P1611="",NEGOCIAÇÕES!N1611&lt;TODAY()),NEGOCIAÇÕES!D1611,"")</f>
        <v>0</v>
      </c>
      <c r="E1611" s="9">
        <f ca="1">IF(AND(NEGOCIAÇÕES!P1611="",NEGOCIAÇÕES!N1611&lt;TODAY()),NEGOCIAÇÕES!N1611,"")</f>
        <v>0</v>
      </c>
    </row>
    <row r="1612" spans="2:5" ht="31.95" hidden="1" customHeight="1" x14ac:dyDescent="0.3">
      <c r="B1612" s="6" t="str">
        <f ca="1">IF(AND(NEGOCIAÇÕES!P1612="",NEGOCIAÇÕES!N1612&lt;TODAY()),NEGOCIAÇÕES!C1612,"")</f>
        <v/>
      </c>
      <c r="C1612" s="6">
        <f ca="1">IF(AND(NEGOCIAÇÕES!P1612="",NEGOCIAÇÕES!N1612&lt;TODAY()),NEGOCIAÇÕES!E1612,"")</f>
        <v>0</v>
      </c>
      <c r="D1612" s="6">
        <f ca="1">IF(AND(NEGOCIAÇÕES!P1612="",NEGOCIAÇÕES!N1612&lt;TODAY()),NEGOCIAÇÕES!D1612,"")</f>
        <v>0</v>
      </c>
      <c r="E1612" s="9">
        <f ca="1">IF(AND(NEGOCIAÇÕES!P1612="",NEGOCIAÇÕES!N1612&lt;TODAY()),NEGOCIAÇÕES!N1612,"")</f>
        <v>0</v>
      </c>
    </row>
    <row r="1613" spans="2:5" ht="31.95" hidden="1" customHeight="1" x14ac:dyDescent="0.3">
      <c r="B1613" s="6" t="str">
        <f ca="1">IF(AND(NEGOCIAÇÕES!P1613="",NEGOCIAÇÕES!N1613&lt;TODAY()),NEGOCIAÇÕES!C1613,"")</f>
        <v/>
      </c>
      <c r="C1613" s="6">
        <f ca="1">IF(AND(NEGOCIAÇÕES!P1613="",NEGOCIAÇÕES!N1613&lt;TODAY()),NEGOCIAÇÕES!E1613,"")</f>
        <v>0</v>
      </c>
      <c r="D1613" s="6">
        <f ca="1">IF(AND(NEGOCIAÇÕES!P1613="",NEGOCIAÇÕES!N1613&lt;TODAY()),NEGOCIAÇÕES!D1613,"")</f>
        <v>0</v>
      </c>
      <c r="E1613" s="9">
        <f ca="1">IF(AND(NEGOCIAÇÕES!P1613="",NEGOCIAÇÕES!N1613&lt;TODAY()),NEGOCIAÇÕES!N1613,"")</f>
        <v>0</v>
      </c>
    </row>
    <row r="1614" spans="2:5" ht="31.95" hidden="1" customHeight="1" x14ac:dyDescent="0.3">
      <c r="B1614" s="6" t="str">
        <f ca="1">IF(AND(NEGOCIAÇÕES!P1614="",NEGOCIAÇÕES!N1614&lt;TODAY()),NEGOCIAÇÕES!C1614,"")</f>
        <v/>
      </c>
      <c r="C1614" s="6">
        <f ca="1">IF(AND(NEGOCIAÇÕES!P1614="",NEGOCIAÇÕES!N1614&lt;TODAY()),NEGOCIAÇÕES!E1614,"")</f>
        <v>0</v>
      </c>
      <c r="D1614" s="6">
        <f ca="1">IF(AND(NEGOCIAÇÕES!P1614="",NEGOCIAÇÕES!N1614&lt;TODAY()),NEGOCIAÇÕES!D1614,"")</f>
        <v>0</v>
      </c>
      <c r="E1614" s="9">
        <f ca="1">IF(AND(NEGOCIAÇÕES!P1614="",NEGOCIAÇÕES!N1614&lt;TODAY()),NEGOCIAÇÕES!N1614,"")</f>
        <v>0</v>
      </c>
    </row>
    <row r="1615" spans="2:5" ht="31.95" hidden="1" customHeight="1" x14ac:dyDescent="0.3">
      <c r="B1615" s="6" t="str">
        <f ca="1">IF(AND(NEGOCIAÇÕES!P1615="",NEGOCIAÇÕES!N1615&lt;TODAY()),NEGOCIAÇÕES!C1615,"")</f>
        <v/>
      </c>
      <c r="C1615" s="6">
        <f ca="1">IF(AND(NEGOCIAÇÕES!P1615="",NEGOCIAÇÕES!N1615&lt;TODAY()),NEGOCIAÇÕES!E1615,"")</f>
        <v>0</v>
      </c>
      <c r="D1615" s="6">
        <f ca="1">IF(AND(NEGOCIAÇÕES!P1615="",NEGOCIAÇÕES!N1615&lt;TODAY()),NEGOCIAÇÕES!D1615,"")</f>
        <v>0</v>
      </c>
      <c r="E1615" s="9">
        <f ca="1">IF(AND(NEGOCIAÇÕES!P1615="",NEGOCIAÇÕES!N1615&lt;TODAY()),NEGOCIAÇÕES!N1615,"")</f>
        <v>0</v>
      </c>
    </row>
    <row r="1616" spans="2:5" ht="31.95" hidden="1" customHeight="1" x14ac:dyDescent="0.3">
      <c r="B1616" s="6" t="str">
        <f ca="1">IF(AND(NEGOCIAÇÕES!P1616="",NEGOCIAÇÕES!N1616&lt;TODAY()),NEGOCIAÇÕES!C1616,"")</f>
        <v/>
      </c>
      <c r="C1616" s="6">
        <f ca="1">IF(AND(NEGOCIAÇÕES!P1616="",NEGOCIAÇÕES!N1616&lt;TODAY()),NEGOCIAÇÕES!E1616,"")</f>
        <v>0</v>
      </c>
      <c r="D1616" s="6">
        <f ca="1">IF(AND(NEGOCIAÇÕES!P1616="",NEGOCIAÇÕES!N1616&lt;TODAY()),NEGOCIAÇÕES!D1616,"")</f>
        <v>0</v>
      </c>
      <c r="E1616" s="9">
        <f ca="1">IF(AND(NEGOCIAÇÕES!P1616="",NEGOCIAÇÕES!N1616&lt;TODAY()),NEGOCIAÇÕES!N1616,"")</f>
        <v>0</v>
      </c>
    </row>
    <row r="1617" spans="2:5" ht="31.95" hidden="1" customHeight="1" x14ac:dyDescent="0.3">
      <c r="B1617" s="6" t="str">
        <f ca="1">IF(AND(NEGOCIAÇÕES!P1617="",NEGOCIAÇÕES!N1617&lt;TODAY()),NEGOCIAÇÕES!C1617,"")</f>
        <v/>
      </c>
      <c r="C1617" s="6">
        <f ca="1">IF(AND(NEGOCIAÇÕES!P1617="",NEGOCIAÇÕES!N1617&lt;TODAY()),NEGOCIAÇÕES!E1617,"")</f>
        <v>0</v>
      </c>
      <c r="D1617" s="6">
        <f ca="1">IF(AND(NEGOCIAÇÕES!P1617="",NEGOCIAÇÕES!N1617&lt;TODAY()),NEGOCIAÇÕES!D1617,"")</f>
        <v>0</v>
      </c>
      <c r="E1617" s="9">
        <f ca="1">IF(AND(NEGOCIAÇÕES!P1617="",NEGOCIAÇÕES!N1617&lt;TODAY()),NEGOCIAÇÕES!N1617,"")</f>
        <v>0</v>
      </c>
    </row>
    <row r="1618" spans="2:5" ht="31.95" hidden="1" customHeight="1" x14ac:dyDescent="0.3">
      <c r="B1618" s="6" t="str">
        <f ca="1">IF(AND(NEGOCIAÇÕES!P1618="",NEGOCIAÇÕES!N1618&lt;TODAY()),NEGOCIAÇÕES!C1618,"")</f>
        <v/>
      </c>
      <c r="C1618" s="6">
        <f ca="1">IF(AND(NEGOCIAÇÕES!P1618="",NEGOCIAÇÕES!N1618&lt;TODAY()),NEGOCIAÇÕES!E1618,"")</f>
        <v>0</v>
      </c>
      <c r="D1618" s="6">
        <f ca="1">IF(AND(NEGOCIAÇÕES!P1618="",NEGOCIAÇÕES!N1618&lt;TODAY()),NEGOCIAÇÕES!D1618,"")</f>
        <v>0</v>
      </c>
      <c r="E1618" s="9">
        <f ca="1">IF(AND(NEGOCIAÇÕES!P1618="",NEGOCIAÇÕES!N1618&lt;TODAY()),NEGOCIAÇÕES!N1618,"")</f>
        <v>0</v>
      </c>
    </row>
    <row r="1619" spans="2:5" ht="31.95" hidden="1" customHeight="1" x14ac:dyDescent="0.3">
      <c r="B1619" s="6" t="str">
        <f ca="1">IF(AND(NEGOCIAÇÕES!P1619="",NEGOCIAÇÕES!N1619&lt;TODAY()),NEGOCIAÇÕES!C1619,"")</f>
        <v/>
      </c>
      <c r="C1619" s="6">
        <f ca="1">IF(AND(NEGOCIAÇÕES!P1619="",NEGOCIAÇÕES!N1619&lt;TODAY()),NEGOCIAÇÕES!E1619,"")</f>
        <v>0</v>
      </c>
      <c r="D1619" s="6">
        <f ca="1">IF(AND(NEGOCIAÇÕES!P1619="",NEGOCIAÇÕES!N1619&lt;TODAY()),NEGOCIAÇÕES!D1619,"")</f>
        <v>0</v>
      </c>
      <c r="E1619" s="9">
        <f ca="1">IF(AND(NEGOCIAÇÕES!P1619="",NEGOCIAÇÕES!N1619&lt;TODAY()),NEGOCIAÇÕES!N1619,"")</f>
        <v>0</v>
      </c>
    </row>
    <row r="1620" spans="2:5" ht="31.95" hidden="1" customHeight="1" x14ac:dyDescent="0.3">
      <c r="B1620" s="6" t="str">
        <f ca="1">IF(AND(NEGOCIAÇÕES!P1620="",NEGOCIAÇÕES!N1620&lt;TODAY()),NEGOCIAÇÕES!C1620,"")</f>
        <v/>
      </c>
      <c r="C1620" s="6">
        <f ca="1">IF(AND(NEGOCIAÇÕES!P1620="",NEGOCIAÇÕES!N1620&lt;TODAY()),NEGOCIAÇÕES!E1620,"")</f>
        <v>0</v>
      </c>
      <c r="D1620" s="6">
        <f ca="1">IF(AND(NEGOCIAÇÕES!P1620="",NEGOCIAÇÕES!N1620&lt;TODAY()),NEGOCIAÇÕES!D1620,"")</f>
        <v>0</v>
      </c>
      <c r="E1620" s="9">
        <f ca="1">IF(AND(NEGOCIAÇÕES!P1620="",NEGOCIAÇÕES!N1620&lt;TODAY()),NEGOCIAÇÕES!N1620,"")</f>
        <v>0</v>
      </c>
    </row>
    <row r="1621" spans="2:5" ht="31.95" hidden="1" customHeight="1" x14ac:dyDescent="0.3">
      <c r="B1621" s="6" t="str">
        <f ca="1">IF(AND(NEGOCIAÇÕES!P1621="",NEGOCIAÇÕES!N1621&lt;TODAY()),NEGOCIAÇÕES!C1621,"")</f>
        <v/>
      </c>
      <c r="C1621" s="6">
        <f ca="1">IF(AND(NEGOCIAÇÕES!P1621="",NEGOCIAÇÕES!N1621&lt;TODAY()),NEGOCIAÇÕES!E1621,"")</f>
        <v>0</v>
      </c>
      <c r="D1621" s="6">
        <f ca="1">IF(AND(NEGOCIAÇÕES!P1621="",NEGOCIAÇÕES!N1621&lt;TODAY()),NEGOCIAÇÕES!D1621,"")</f>
        <v>0</v>
      </c>
      <c r="E1621" s="9">
        <f ca="1">IF(AND(NEGOCIAÇÕES!P1621="",NEGOCIAÇÕES!N1621&lt;TODAY()),NEGOCIAÇÕES!N1621,"")</f>
        <v>0</v>
      </c>
    </row>
    <row r="1622" spans="2:5" ht="31.95" hidden="1" customHeight="1" x14ac:dyDescent="0.3">
      <c r="B1622" s="6" t="str">
        <f ca="1">IF(AND(NEGOCIAÇÕES!P1622="",NEGOCIAÇÕES!N1622&lt;TODAY()),NEGOCIAÇÕES!C1622,"")</f>
        <v/>
      </c>
      <c r="C1622" s="6">
        <f ca="1">IF(AND(NEGOCIAÇÕES!P1622="",NEGOCIAÇÕES!N1622&lt;TODAY()),NEGOCIAÇÕES!E1622,"")</f>
        <v>0</v>
      </c>
      <c r="D1622" s="6">
        <f ca="1">IF(AND(NEGOCIAÇÕES!P1622="",NEGOCIAÇÕES!N1622&lt;TODAY()),NEGOCIAÇÕES!D1622,"")</f>
        <v>0</v>
      </c>
      <c r="E1622" s="9">
        <f ca="1">IF(AND(NEGOCIAÇÕES!P1622="",NEGOCIAÇÕES!N1622&lt;TODAY()),NEGOCIAÇÕES!N1622,"")</f>
        <v>0</v>
      </c>
    </row>
    <row r="1623" spans="2:5" ht="31.95" hidden="1" customHeight="1" x14ac:dyDescent="0.3">
      <c r="B1623" s="6" t="str">
        <f ca="1">IF(AND(NEGOCIAÇÕES!P1623="",NEGOCIAÇÕES!N1623&lt;TODAY()),NEGOCIAÇÕES!C1623,"")</f>
        <v/>
      </c>
      <c r="C1623" s="6">
        <f ca="1">IF(AND(NEGOCIAÇÕES!P1623="",NEGOCIAÇÕES!N1623&lt;TODAY()),NEGOCIAÇÕES!E1623,"")</f>
        <v>0</v>
      </c>
      <c r="D1623" s="6">
        <f ca="1">IF(AND(NEGOCIAÇÕES!P1623="",NEGOCIAÇÕES!N1623&lt;TODAY()),NEGOCIAÇÕES!D1623,"")</f>
        <v>0</v>
      </c>
      <c r="E1623" s="9">
        <f ca="1">IF(AND(NEGOCIAÇÕES!P1623="",NEGOCIAÇÕES!N1623&lt;TODAY()),NEGOCIAÇÕES!N1623,"")</f>
        <v>0</v>
      </c>
    </row>
    <row r="1624" spans="2:5" ht="31.95" hidden="1" customHeight="1" x14ac:dyDescent="0.3">
      <c r="B1624" s="6" t="str">
        <f ca="1">IF(AND(NEGOCIAÇÕES!P1624="",NEGOCIAÇÕES!N1624&lt;TODAY()),NEGOCIAÇÕES!C1624,"")</f>
        <v/>
      </c>
      <c r="C1624" s="6">
        <f ca="1">IF(AND(NEGOCIAÇÕES!P1624="",NEGOCIAÇÕES!N1624&lt;TODAY()),NEGOCIAÇÕES!E1624,"")</f>
        <v>0</v>
      </c>
      <c r="D1624" s="6">
        <f ca="1">IF(AND(NEGOCIAÇÕES!P1624="",NEGOCIAÇÕES!N1624&lt;TODAY()),NEGOCIAÇÕES!D1624,"")</f>
        <v>0</v>
      </c>
      <c r="E1624" s="9">
        <f ca="1">IF(AND(NEGOCIAÇÕES!P1624="",NEGOCIAÇÕES!N1624&lt;TODAY()),NEGOCIAÇÕES!N1624,"")</f>
        <v>0</v>
      </c>
    </row>
    <row r="1625" spans="2:5" ht="31.95" hidden="1" customHeight="1" x14ac:dyDescent="0.3">
      <c r="B1625" s="6" t="str">
        <f ca="1">IF(AND(NEGOCIAÇÕES!P1625="",NEGOCIAÇÕES!N1625&lt;TODAY()),NEGOCIAÇÕES!C1625,"")</f>
        <v/>
      </c>
      <c r="C1625" s="6">
        <f ca="1">IF(AND(NEGOCIAÇÕES!P1625="",NEGOCIAÇÕES!N1625&lt;TODAY()),NEGOCIAÇÕES!E1625,"")</f>
        <v>0</v>
      </c>
      <c r="D1625" s="6">
        <f ca="1">IF(AND(NEGOCIAÇÕES!P1625="",NEGOCIAÇÕES!N1625&lt;TODAY()),NEGOCIAÇÕES!D1625,"")</f>
        <v>0</v>
      </c>
      <c r="E1625" s="9">
        <f ca="1">IF(AND(NEGOCIAÇÕES!P1625="",NEGOCIAÇÕES!N1625&lt;TODAY()),NEGOCIAÇÕES!N1625,"")</f>
        <v>0</v>
      </c>
    </row>
    <row r="1626" spans="2:5" ht="31.95" hidden="1" customHeight="1" x14ac:dyDescent="0.3">
      <c r="B1626" s="6" t="str">
        <f ca="1">IF(AND(NEGOCIAÇÕES!P1626="",NEGOCIAÇÕES!N1626&lt;TODAY()),NEGOCIAÇÕES!C1626,"")</f>
        <v/>
      </c>
      <c r="C1626" s="6">
        <f ca="1">IF(AND(NEGOCIAÇÕES!P1626="",NEGOCIAÇÕES!N1626&lt;TODAY()),NEGOCIAÇÕES!E1626,"")</f>
        <v>0</v>
      </c>
      <c r="D1626" s="6">
        <f ca="1">IF(AND(NEGOCIAÇÕES!P1626="",NEGOCIAÇÕES!N1626&lt;TODAY()),NEGOCIAÇÕES!D1626,"")</f>
        <v>0</v>
      </c>
      <c r="E1626" s="9">
        <f ca="1">IF(AND(NEGOCIAÇÕES!P1626="",NEGOCIAÇÕES!N1626&lt;TODAY()),NEGOCIAÇÕES!N1626,"")</f>
        <v>0</v>
      </c>
    </row>
    <row r="1627" spans="2:5" ht="31.95" hidden="1" customHeight="1" x14ac:dyDescent="0.3">
      <c r="B1627" s="6" t="str">
        <f ca="1">IF(AND(NEGOCIAÇÕES!P1627="",NEGOCIAÇÕES!N1627&lt;TODAY()),NEGOCIAÇÕES!C1627,"")</f>
        <v/>
      </c>
      <c r="C1627" s="6">
        <f ca="1">IF(AND(NEGOCIAÇÕES!P1627="",NEGOCIAÇÕES!N1627&lt;TODAY()),NEGOCIAÇÕES!E1627,"")</f>
        <v>0</v>
      </c>
      <c r="D1627" s="6">
        <f ca="1">IF(AND(NEGOCIAÇÕES!P1627="",NEGOCIAÇÕES!N1627&lt;TODAY()),NEGOCIAÇÕES!D1627,"")</f>
        <v>0</v>
      </c>
      <c r="E1627" s="9">
        <f ca="1">IF(AND(NEGOCIAÇÕES!P1627="",NEGOCIAÇÕES!N1627&lt;TODAY()),NEGOCIAÇÕES!N1627,"")</f>
        <v>0</v>
      </c>
    </row>
    <row r="1628" spans="2:5" ht="31.95" hidden="1" customHeight="1" x14ac:dyDescent="0.3">
      <c r="B1628" s="6" t="str">
        <f ca="1">IF(AND(NEGOCIAÇÕES!P1628="",NEGOCIAÇÕES!N1628&lt;TODAY()),NEGOCIAÇÕES!C1628,"")</f>
        <v/>
      </c>
      <c r="C1628" s="6">
        <f ca="1">IF(AND(NEGOCIAÇÕES!P1628="",NEGOCIAÇÕES!N1628&lt;TODAY()),NEGOCIAÇÕES!E1628,"")</f>
        <v>0</v>
      </c>
      <c r="D1628" s="6">
        <f ca="1">IF(AND(NEGOCIAÇÕES!P1628="",NEGOCIAÇÕES!N1628&lt;TODAY()),NEGOCIAÇÕES!D1628,"")</f>
        <v>0</v>
      </c>
      <c r="E1628" s="9">
        <f ca="1">IF(AND(NEGOCIAÇÕES!P1628="",NEGOCIAÇÕES!N1628&lt;TODAY()),NEGOCIAÇÕES!N1628,"")</f>
        <v>0</v>
      </c>
    </row>
    <row r="1629" spans="2:5" ht="31.95" hidden="1" customHeight="1" x14ac:dyDescent="0.3">
      <c r="B1629" s="6" t="str">
        <f ca="1">IF(AND(NEGOCIAÇÕES!P1629="",NEGOCIAÇÕES!N1629&lt;TODAY()),NEGOCIAÇÕES!C1629,"")</f>
        <v/>
      </c>
      <c r="C1629" s="6">
        <f ca="1">IF(AND(NEGOCIAÇÕES!P1629="",NEGOCIAÇÕES!N1629&lt;TODAY()),NEGOCIAÇÕES!E1629,"")</f>
        <v>0</v>
      </c>
      <c r="D1629" s="6">
        <f ca="1">IF(AND(NEGOCIAÇÕES!P1629="",NEGOCIAÇÕES!N1629&lt;TODAY()),NEGOCIAÇÕES!D1629,"")</f>
        <v>0</v>
      </c>
      <c r="E1629" s="9">
        <f ca="1">IF(AND(NEGOCIAÇÕES!P1629="",NEGOCIAÇÕES!N1629&lt;TODAY()),NEGOCIAÇÕES!N1629,"")</f>
        <v>0</v>
      </c>
    </row>
    <row r="1630" spans="2:5" ht="31.95" hidden="1" customHeight="1" x14ac:dyDescent="0.3">
      <c r="B1630" s="6" t="str">
        <f ca="1">IF(AND(NEGOCIAÇÕES!P1630="",NEGOCIAÇÕES!N1630&lt;TODAY()),NEGOCIAÇÕES!C1630,"")</f>
        <v/>
      </c>
      <c r="C1630" s="6">
        <f ca="1">IF(AND(NEGOCIAÇÕES!P1630="",NEGOCIAÇÕES!N1630&lt;TODAY()),NEGOCIAÇÕES!E1630,"")</f>
        <v>0</v>
      </c>
      <c r="D1630" s="6">
        <f ca="1">IF(AND(NEGOCIAÇÕES!P1630="",NEGOCIAÇÕES!N1630&lt;TODAY()),NEGOCIAÇÕES!D1630,"")</f>
        <v>0</v>
      </c>
      <c r="E1630" s="9">
        <f ca="1">IF(AND(NEGOCIAÇÕES!P1630="",NEGOCIAÇÕES!N1630&lt;TODAY()),NEGOCIAÇÕES!N1630,"")</f>
        <v>0</v>
      </c>
    </row>
    <row r="1631" spans="2:5" ht="31.95" hidden="1" customHeight="1" x14ac:dyDescent="0.3">
      <c r="B1631" s="6" t="str">
        <f ca="1">IF(AND(NEGOCIAÇÕES!P1631="",NEGOCIAÇÕES!N1631&lt;TODAY()),NEGOCIAÇÕES!C1631,"")</f>
        <v/>
      </c>
      <c r="C1631" s="6">
        <f ca="1">IF(AND(NEGOCIAÇÕES!P1631="",NEGOCIAÇÕES!N1631&lt;TODAY()),NEGOCIAÇÕES!E1631,"")</f>
        <v>0</v>
      </c>
      <c r="D1631" s="6">
        <f ca="1">IF(AND(NEGOCIAÇÕES!P1631="",NEGOCIAÇÕES!N1631&lt;TODAY()),NEGOCIAÇÕES!D1631,"")</f>
        <v>0</v>
      </c>
      <c r="E1631" s="9">
        <f ca="1">IF(AND(NEGOCIAÇÕES!P1631="",NEGOCIAÇÕES!N1631&lt;TODAY()),NEGOCIAÇÕES!N1631,"")</f>
        <v>0</v>
      </c>
    </row>
    <row r="1632" spans="2:5" ht="31.95" hidden="1" customHeight="1" x14ac:dyDescent="0.3">
      <c r="B1632" s="6" t="str">
        <f ca="1">IF(AND(NEGOCIAÇÕES!P1632="",NEGOCIAÇÕES!N1632&lt;TODAY()),NEGOCIAÇÕES!C1632,"")</f>
        <v/>
      </c>
      <c r="C1632" s="6">
        <f ca="1">IF(AND(NEGOCIAÇÕES!P1632="",NEGOCIAÇÕES!N1632&lt;TODAY()),NEGOCIAÇÕES!E1632,"")</f>
        <v>0</v>
      </c>
      <c r="D1632" s="6">
        <f ca="1">IF(AND(NEGOCIAÇÕES!P1632="",NEGOCIAÇÕES!N1632&lt;TODAY()),NEGOCIAÇÕES!D1632,"")</f>
        <v>0</v>
      </c>
      <c r="E1632" s="9">
        <f ca="1">IF(AND(NEGOCIAÇÕES!P1632="",NEGOCIAÇÕES!N1632&lt;TODAY()),NEGOCIAÇÕES!N1632,"")</f>
        <v>0</v>
      </c>
    </row>
    <row r="1633" spans="2:5" ht="31.95" hidden="1" customHeight="1" x14ac:dyDescent="0.3">
      <c r="B1633" s="6" t="str">
        <f ca="1">IF(AND(NEGOCIAÇÕES!P1633="",NEGOCIAÇÕES!N1633&lt;TODAY()),NEGOCIAÇÕES!C1633,"")</f>
        <v/>
      </c>
      <c r="C1633" s="6">
        <f ca="1">IF(AND(NEGOCIAÇÕES!P1633="",NEGOCIAÇÕES!N1633&lt;TODAY()),NEGOCIAÇÕES!E1633,"")</f>
        <v>0</v>
      </c>
      <c r="D1633" s="6">
        <f ca="1">IF(AND(NEGOCIAÇÕES!P1633="",NEGOCIAÇÕES!N1633&lt;TODAY()),NEGOCIAÇÕES!D1633,"")</f>
        <v>0</v>
      </c>
      <c r="E1633" s="9">
        <f ca="1">IF(AND(NEGOCIAÇÕES!P1633="",NEGOCIAÇÕES!N1633&lt;TODAY()),NEGOCIAÇÕES!N1633,"")</f>
        <v>0</v>
      </c>
    </row>
    <row r="1634" spans="2:5" ht="31.95" hidden="1" customHeight="1" x14ac:dyDescent="0.3">
      <c r="B1634" s="6" t="str">
        <f ca="1">IF(AND(NEGOCIAÇÕES!P1634="",NEGOCIAÇÕES!N1634&lt;TODAY()),NEGOCIAÇÕES!C1634,"")</f>
        <v/>
      </c>
      <c r="C1634" s="6">
        <f ca="1">IF(AND(NEGOCIAÇÕES!P1634="",NEGOCIAÇÕES!N1634&lt;TODAY()),NEGOCIAÇÕES!E1634,"")</f>
        <v>0</v>
      </c>
      <c r="D1634" s="6">
        <f ca="1">IF(AND(NEGOCIAÇÕES!P1634="",NEGOCIAÇÕES!N1634&lt;TODAY()),NEGOCIAÇÕES!D1634,"")</f>
        <v>0</v>
      </c>
      <c r="E1634" s="9">
        <f ca="1">IF(AND(NEGOCIAÇÕES!P1634="",NEGOCIAÇÕES!N1634&lt;TODAY()),NEGOCIAÇÕES!N1634,"")</f>
        <v>0</v>
      </c>
    </row>
    <row r="1635" spans="2:5" ht="31.95" hidden="1" customHeight="1" x14ac:dyDescent="0.3">
      <c r="B1635" s="6" t="str">
        <f ca="1">IF(AND(NEGOCIAÇÕES!P1635="",NEGOCIAÇÕES!N1635&lt;TODAY()),NEGOCIAÇÕES!C1635,"")</f>
        <v/>
      </c>
      <c r="C1635" s="6">
        <f ca="1">IF(AND(NEGOCIAÇÕES!P1635="",NEGOCIAÇÕES!N1635&lt;TODAY()),NEGOCIAÇÕES!E1635,"")</f>
        <v>0</v>
      </c>
      <c r="D1635" s="6">
        <f ca="1">IF(AND(NEGOCIAÇÕES!P1635="",NEGOCIAÇÕES!N1635&lt;TODAY()),NEGOCIAÇÕES!D1635,"")</f>
        <v>0</v>
      </c>
      <c r="E1635" s="9">
        <f ca="1">IF(AND(NEGOCIAÇÕES!P1635="",NEGOCIAÇÕES!N1635&lt;TODAY()),NEGOCIAÇÕES!N1635,"")</f>
        <v>0</v>
      </c>
    </row>
    <row r="1636" spans="2:5" ht="31.95" hidden="1" customHeight="1" x14ac:dyDescent="0.3">
      <c r="B1636" s="6" t="str">
        <f ca="1">IF(AND(NEGOCIAÇÕES!P1636="",NEGOCIAÇÕES!N1636&lt;TODAY()),NEGOCIAÇÕES!C1636,"")</f>
        <v/>
      </c>
      <c r="C1636" s="6">
        <f ca="1">IF(AND(NEGOCIAÇÕES!P1636="",NEGOCIAÇÕES!N1636&lt;TODAY()),NEGOCIAÇÕES!E1636,"")</f>
        <v>0</v>
      </c>
      <c r="D1636" s="6">
        <f ca="1">IF(AND(NEGOCIAÇÕES!P1636="",NEGOCIAÇÕES!N1636&lt;TODAY()),NEGOCIAÇÕES!D1636,"")</f>
        <v>0</v>
      </c>
      <c r="E1636" s="9">
        <f ca="1">IF(AND(NEGOCIAÇÕES!P1636="",NEGOCIAÇÕES!N1636&lt;TODAY()),NEGOCIAÇÕES!N1636,"")</f>
        <v>0</v>
      </c>
    </row>
    <row r="1637" spans="2:5" ht="31.95" hidden="1" customHeight="1" x14ac:dyDescent="0.3">
      <c r="B1637" s="6" t="str">
        <f ca="1">IF(AND(NEGOCIAÇÕES!P1637="",NEGOCIAÇÕES!N1637&lt;TODAY()),NEGOCIAÇÕES!C1637,"")</f>
        <v/>
      </c>
      <c r="C1637" s="6">
        <f ca="1">IF(AND(NEGOCIAÇÕES!P1637="",NEGOCIAÇÕES!N1637&lt;TODAY()),NEGOCIAÇÕES!E1637,"")</f>
        <v>0</v>
      </c>
      <c r="D1637" s="6">
        <f ca="1">IF(AND(NEGOCIAÇÕES!P1637="",NEGOCIAÇÕES!N1637&lt;TODAY()),NEGOCIAÇÕES!D1637,"")</f>
        <v>0</v>
      </c>
      <c r="E1637" s="9">
        <f ca="1">IF(AND(NEGOCIAÇÕES!P1637="",NEGOCIAÇÕES!N1637&lt;TODAY()),NEGOCIAÇÕES!N1637,"")</f>
        <v>0</v>
      </c>
    </row>
    <row r="1638" spans="2:5" ht="31.95" hidden="1" customHeight="1" x14ac:dyDescent="0.3">
      <c r="B1638" s="6" t="str">
        <f ca="1">IF(AND(NEGOCIAÇÕES!P1638="",NEGOCIAÇÕES!N1638&lt;TODAY()),NEGOCIAÇÕES!C1638,"")</f>
        <v/>
      </c>
      <c r="C1638" s="6">
        <f ca="1">IF(AND(NEGOCIAÇÕES!P1638="",NEGOCIAÇÕES!N1638&lt;TODAY()),NEGOCIAÇÕES!E1638,"")</f>
        <v>0</v>
      </c>
      <c r="D1638" s="6">
        <f ca="1">IF(AND(NEGOCIAÇÕES!P1638="",NEGOCIAÇÕES!N1638&lt;TODAY()),NEGOCIAÇÕES!D1638,"")</f>
        <v>0</v>
      </c>
      <c r="E1638" s="9">
        <f ca="1">IF(AND(NEGOCIAÇÕES!P1638="",NEGOCIAÇÕES!N1638&lt;TODAY()),NEGOCIAÇÕES!N1638,"")</f>
        <v>0</v>
      </c>
    </row>
    <row r="1639" spans="2:5" ht="31.95" hidden="1" customHeight="1" x14ac:dyDescent="0.3">
      <c r="B1639" s="6" t="str">
        <f ca="1">IF(AND(NEGOCIAÇÕES!P1639="",NEGOCIAÇÕES!N1639&lt;TODAY()),NEGOCIAÇÕES!C1639,"")</f>
        <v/>
      </c>
      <c r="C1639" s="6">
        <f ca="1">IF(AND(NEGOCIAÇÕES!P1639="",NEGOCIAÇÕES!N1639&lt;TODAY()),NEGOCIAÇÕES!E1639,"")</f>
        <v>0</v>
      </c>
      <c r="D1639" s="6">
        <f ca="1">IF(AND(NEGOCIAÇÕES!P1639="",NEGOCIAÇÕES!N1639&lt;TODAY()),NEGOCIAÇÕES!D1639,"")</f>
        <v>0</v>
      </c>
      <c r="E1639" s="9">
        <f ca="1">IF(AND(NEGOCIAÇÕES!P1639="",NEGOCIAÇÕES!N1639&lt;TODAY()),NEGOCIAÇÕES!N1639,"")</f>
        <v>0</v>
      </c>
    </row>
    <row r="1640" spans="2:5" ht="31.95" hidden="1" customHeight="1" x14ac:dyDescent="0.3">
      <c r="B1640" s="6" t="str">
        <f ca="1">IF(AND(NEGOCIAÇÕES!P1640="",NEGOCIAÇÕES!N1640&lt;TODAY()),NEGOCIAÇÕES!C1640,"")</f>
        <v/>
      </c>
      <c r="C1640" s="6">
        <f ca="1">IF(AND(NEGOCIAÇÕES!P1640="",NEGOCIAÇÕES!N1640&lt;TODAY()),NEGOCIAÇÕES!E1640,"")</f>
        <v>0</v>
      </c>
      <c r="D1640" s="6">
        <f ca="1">IF(AND(NEGOCIAÇÕES!P1640="",NEGOCIAÇÕES!N1640&lt;TODAY()),NEGOCIAÇÕES!D1640,"")</f>
        <v>0</v>
      </c>
      <c r="E1640" s="9">
        <f ca="1">IF(AND(NEGOCIAÇÕES!P1640="",NEGOCIAÇÕES!N1640&lt;TODAY()),NEGOCIAÇÕES!N1640,"")</f>
        <v>0</v>
      </c>
    </row>
    <row r="1641" spans="2:5" ht="31.95" hidden="1" customHeight="1" x14ac:dyDescent="0.3">
      <c r="B1641" s="6" t="str">
        <f ca="1">IF(AND(NEGOCIAÇÕES!P1641="",NEGOCIAÇÕES!N1641&lt;TODAY()),NEGOCIAÇÕES!C1641,"")</f>
        <v/>
      </c>
      <c r="C1641" s="6">
        <f ca="1">IF(AND(NEGOCIAÇÕES!P1641="",NEGOCIAÇÕES!N1641&lt;TODAY()),NEGOCIAÇÕES!E1641,"")</f>
        <v>0</v>
      </c>
      <c r="D1641" s="6">
        <f ca="1">IF(AND(NEGOCIAÇÕES!P1641="",NEGOCIAÇÕES!N1641&lt;TODAY()),NEGOCIAÇÕES!D1641,"")</f>
        <v>0</v>
      </c>
      <c r="E1641" s="9">
        <f ca="1">IF(AND(NEGOCIAÇÕES!P1641="",NEGOCIAÇÕES!N1641&lt;TODAY()),NEGOCIAÇÕES!N1641,"")</f>
        <v>0</v>
      </c>
    </row>
    <row r="1642" spans="2:5" ht="31.95" hidden="1" customHeight="1" x14ac:dyDescent="0.3">
      <c r="B1642" s="6" t="str">
        <f ca="1">IF(AND(NEGOCIAÇÕES!P1642="",NEGOCIAÇÕES!N1642&lt;TODAY()),NEGOCIAÇÕES!C1642,"")</f>
        <v/>
      </c>
      <c r="C1642" s="6">
        <f ca="1">IF(AND(NEGOCIAÇÕES!P1642="",NEGOCIAÇÕES!N1642&lt;TODAY()),NEGOCIAÇÕES!E1642,"")</f>
        <v>0</v>
      </c>
      <c r="D1642" s="6">
        <f ca="1">IF(AND(NEGOCIAÇÕES!P1642="",NEGOCIAÇÕES!N1642&lt;TODAY()),NEGOCIAÇÕES!D1642,"")</f>
        <v>0</v>
      </c>
      <c r="E1642" s="9">
        <f ca="1">IF(AND(NEGOCIAÇÕES!P1642="",NEGOCIAÇÕES!N1642&lt;TODAY()),NEGOCIAÇÕES!N1642,"")</f>
        <v>0</v>
      </c>
    </row>
    <row r="1643" spans="2:5" ht="31.95" hidden="1" customHeight="1" x14ac:dyDescent="0.3">
      <c r="B1643" s="6" t="str">
        <f ca="1">IF(AND(NEGOCIAÇÕES!P1643="",NEGOCIAÇÕES!N1643&lt;TODAY()),NEGOCIAÇÕES!C1643,"")</f>
        <v/>
      </c>
      <c r="C1643" s="6">
        <f ca="1">IF(AND(NEGOCIAÇÕES!P1643="",NEGOCIAÇÕES!N1643&lt;TODAY()),NEGOCIAÇÕES!E1643,"")</f>
        <v>0</v>
      </c>
      <c r="D1643" s="6">
        <f ca="1">IF(AND(NEGOCIAÇÕES!P1643="",NEGOCIAÇÕES!N1643&lt;TODAY()),NEGOCIAÇÕES!D1643,"")</f>
        <v>0</v>
      </c>
      <c r="E1643" s="9">
        <f ca="1">IF(AND(NEGOCIAÇÕES!P1643="",NEGOCIAÇÕES!N1643&lt;TODAY()),NEGOCIAÇÕES!N1643,"")</f>
        <v>0</v>
      </c>
    </row>
    <row r="1644" spans="2:5" ht="31.95" hidden="1" customHeight="1" x14ac:dyDescent="0.3">
      <c r="B1644" s="6" t="str">
        <f ca="1">IF(AND(NEGOCIAÇÕES!P1644="",NEGOCIAÇÕES!N1644&lt;TODAY()),NEGOCIAÇÕES!C1644,"")</f>
        <v/>
      </c>
      <c r="C1644" s="6">
        <f ca="1">IF(AND(NEGOCIAÇÕES!P1644="",NEGOCIAÇÕES!N1644&lt;TODAY()),NEGOCIAÇÕES!E1644,"")</f>
        <v>0</v>
      </c>
      <c r="D1644" s="6">
        <f ca="1">IF(AND(NEGOCIAÇÕES!P1644="",NEGOCIAÇÕES!N1644&lt;TODAY()),NEGOCIAÇÕES!D1644,"")</f>
        <v>0</v>
      </c>
      <c r="E1644" s="9">
        <f ca="1">IF(AND(NEGOCIAÇÕES!P1644="",NEGOCIAÇÕES!N1644&lt;TODAY()),NEGOCIAÇÕES!N1644,"")</f>
        <v>0</v>
      </c>
    </row>
    <row r="1645" spans="2:5" ht="31.95" hidden="1" customHeight="1" x14ac:dyDescent="0.3">
      <c r="B1645" s="6" t="str">
        <f ca="1">IF(AND(NEGOCIAÇÕES!P1645="",NEGOCIAÇÕES!N1645&lt;TODAY()),NEGOCIAÇÕES!C1645,"")</f>
        <v/>
      </c>
      <c r="C1645" s="6">
        <f ca="1">IF(AND(NEGOCIAÇÕES!P1645="",NEGOCIAÇÕES!N1645&lt;TODAY()),NEGOCIAÇÕES!E1645,"")</f>
        <v>0</v>
      </c>
      <c r="D1645" s="6">
        <f ca="1">IF(AND(NEGOCIAÇÕES!P1645="",NEGOCIAÇÕES!N1645&lt;TODAY()),NEGOCIAÇÕES!D1645,"")</f>
        <v>0</v>
      </c>
      <c r="E1645" s="9">
        <f ca="1">IF(AND(NEGOCIAÇÕES!P1645="",NEGOCIAÇÕES!N1645&lt;TODAY()),NEGOCIAÇÕES!N1645,"")</f>
        <v>0</v>
      </c>
    </row>
    <row r="1646" spans="2:5" ht="31.95" hidden="1" customHeight="1" x14ac:dyDescent="0.3">
      <c r="B1646" s="6" t="str">
        <f ca="1">IF(AND(NEGOCIAÇÕES!P1646="",NEGOCIAÇÕES!N1646&lt;TODAY()),NEGOCIAÇÕES!C1646,"")</f>
        <v/>
      </c>
      <c r="C1646" s="6">
        <f ca="1">IF(AND(NEGOCIAÇÕES!P1646="",NEGOCIAÇÕES!N1646&lt;TODAY()),NEGOCIAÇÕES!E1646,"")</f>
        <v>0</v>
      </c>
      <c r="D1646" s="6">
        <f ca="1">IF(AND(NEGOCIAÇÕES!P1646="",NEGOCIAÇÕES!N1646&lt;TODAY()),NEGOCIAÇÕES!D1646,"")</f>
        <v>0</v>
      </c>
      <c r="E1646" s="9">
        <f ca="1">IF(AND(NEGOCIAÇÕES!P1646="",NEGOCIAÇÕES!N1646&lt;TODAY()),NEGOCIAÇÕES!N1646,"")</f>
        <v>0</v>
      </c>
    </row>
    <row r="1647" spans="2:5" ht="31.95" hidden="1" customHeight="1" x14ac:dyDescent="0.3">
      <c r="B1647" s="6" t="str">
        <f ca="1">IF(AND(NEGOCIAÇÕES!P1647="",NEGOCIAÇÕES!N1647&lt;TODAY()),NEGOCIAÇÕES!C1647,"")</f>
        <v/>
      </c>
      <c r="C1647" s="6">
        <f ca="1">IF(AND(NEGOCIAÇÕES!P1647="",NEGOCIAÇÕES!N1647&lt;TODAY()),NEGOCIAÇÕES!E1647,"")</f>
        <v>0</v>
      </c>
      <c r="D1647" s="6">
        <f ca="1">IF(AND(NEGOCIAÇÕES!P1647="",NEGOCIAÇÕES!N1647&lt;TODAY()),NEGOCIAÇÕES!D1647,"")</f>
        <v>0</v>
      </c>
      <c r="E1647" s="9">
        <f ca="1">IF(AND(NEGOCIAÇÕES!P1647="",NEGOCIAÇÕES!N1647&lt;TODAY()),NEGOCIAÇÕES!N1647,"")</f>
        <v>0</v>
      </c>
    </row>
    <row r="1648" spans="2:5" ht="31.95" hidden="1" customHeight="1" x14ac:dyDescent="0.3">
      <c r="B1648" s="6" t="str">
        <f ca="1">IF(AND(NEGOCIAÇÕES!P1648="",NEGOCIAÇÕES!N1648&lt;TODAY()),NEGOCIAÇÕES!C1648,"")</f>
        <v/>
      </c>
      <c r="C1648" s="6">
        <f ca="1">IF(AND(NEGOCIAÇÕES!P1648="",NEGOCIAÇÕES!N1648&lt;TODAY()),NEGOCIAÇÕES!E1648,"")</f>
        <v>0</v>
      </c>
      <c r="D1648" s="6">
        <f ca="1">IF(AND(NEGOCIAÇÕES!P1648="",NEGOCIAÇÕES!N1648&lt;TODAY()),NEGOCIAÇÕES!D1648,"")</f>
        <v>0</v>
      </c>
      <c r="E1648" s="9">
        <f ca="1">IF(AND(NEGOCIAÇÕES!P1648="",NEGOCIAÇÕES!N1648&lt;TODAY()),NEGOCIAÇÕES!N1648,"")</f>
        <v>0</v>
      </c>
    </row>
    <row r="1649" spans="2:5" ht="31.95" hidden="1" customHeight="1" x14ac:dyDescent="0.3">
      <c r="B1649" s="6" t="str">
        <f ca="1">IF(AND(NEGOCIAÇÕES!P1649="",NEGOCIAÇÕES!N1649&lt;TODAY()),NEGOCIAÇÕES!C1649,"")</f>
        <v/>
      </c>
      <c r="C1649" s="6">
        <f ca="1">IF(AND(NEGOCIAÇÕES!P1649="",NEGOCIAÇÕES!N1649&lt;TODAY()),NEGOCIAÇÕES!E1649,"")</f>
        <v>0</v>
      </c>
      <c r="D1649" s="6">
        <f ca="1">IF(AND(NEGOCIAÇÕES!P1649="",NEGOCIAÇÕES!N1649&lt;TODAY()),NEGOCIAÇÕES!D1649,"")</f>
        <v>0</v>
      </c>
      <c r="E1649" s="9">
        <f ca="1">IF(AND(NEGOCIAÇÕES!P1649="",NEGOCIAÇÕES!N1649&lt;TODAY()),NEGOCIAÇÕES!N1649,"")</f>
        <v>0</v>
      </c>
    </row>
    <row r="1650" spans="2:5" ht="31.95" hidden="1" customHeight="1" x14ac:dyDescent="0.3">
      <c r="B1650" s="6" t="str">
        <f ca="1">IF(AND(NEGOCIAÇÕES!P1650="",NEGOCIAÇÕES!N1650&lt;TODAY()),NEGOCIAÇÕES!C1650,"")</f>
        <v/>
      </c>
      <c r="C1650" s="6">
        <f ca="1">IF(AND(NEGOCIAÇÕES!P1650="",NEGOCIAÇÕES!N1650&lt;TODAY()),NEGOCIAÇÕES!E1650,"")</f>
        <v>0</v>
      </c>
      <c r="D1650" s="6">
        <f ca="1">IF(AND(NEGOCIAÇÕES!P1650="",NEGOCIAÇÕES!N1650&lt;TODAY()),NEGOCIAÇÕES!D1650,"")</f>
        <v>0</v>
      </c>
      <c r="E1650" s="9">
        <f ca="1">IF(AND(NEGOCIAÇÕES!P1650="",NEGOCIAÇÕES!N1650&lt;TODAY()),NEGOCIAÇÕES!N1650,"")</f>
        <v>0</v>
      </c>
    </row>
    <row r="1651" spans="2:5" ht="31.95" hidden="1" customHeight="1" x14ac:dyDescent="0.3">
      <c r="B1651" s="6" t="str">
        <f ca="1">IF(AND(NEGOCIAÇÕES!P1651="",NEGOCIAÇÕES!N1651&lt;TODAY()),NEGOCIAÇÕES!C1651,"")</f>
        <v/>
      </c>
      <c r="C1651" s="6">
        <f ca="1">IF(AND(NEGOCIAÇÕES!P1651="",NEGOCIAÇÕES!N1651&lt;TODAY()),NEGOCIAÇÕES!E1651,"")</f>
        <v>0</v>
      </c>
      <c r="D1651" s="6">
        <f ca="1">IF(AND(NEGOCIAÇÕES!P1651="",NEGOCIAÇÕES!N1651&lt;TODAY()),NEGOCIAÇÕES!D1651,"")</f>
        <v>0</v>
      </c>
      <c r="E1651" s="9">
        <f ca="1">IF(AND(NEGOCIAÇÕES!P1651="",NEGOCIAÇÕES!N1651&lt;TODAY()),NEGOCIAÇÕES!N1651,"")</f>
        <v>0</v>
      </c>
    </row>
    <row r="1652" spans="2:5" ht="31.95" hidden="1" customHeight="1" x14ac:dyDescent="0.3">
      <c r="B1652" s="6" t="str">
        <f ca="1">IF(AND(NEGOCIAÇÕES!P1652="",NEGOCIAÇÕES!N1652&lt;TODAY()),NEGOCIAÇÕES!C1652,"")</f>
        <v/>
      </c>
      <c r="C1652" s="6">
        <f ca="1">IF(AND(NEGOCIAÇÕES!P1652="",NEGOCIAÇÕES!N1652&lt;TODAY()),NEGOCIAÇÕES!E1652,"")</f>
        <v>0</v>
      </c>
      <c r="D1652" s="6">
        <f ca="1">IF(AND(NEGOCIAÇÕES!P1652="",NEGOCIAÇÕES!N1652&lt;TODAY()),NEGOCIAÇÕES!D1652,"")</f>
        <v>0</v>
      </c>
      <c r="E1652" s="9">
        <f ca="1">IF(AND(NEGOCIAÇÕES!P1652="",NEGOCIAÇÕES!N1652&lt;TODAY()),NEGOCIAÇÕES!N1652,"")</f>
        <v>0</v>
      </c>
    </row>
    <row r="1653" spans="2:5" ht="31.95" hidden="1" customHeight="1" x14ac:dyDescent="0.3">
      <c r="B1653" s="6" t="str">
        <f ca="1">IF(AND(NEGOCIAÇÕES!P1653="",NEGOCIAÇÕES!N1653&lt;TODAY()),NEGOCIAÇÕES!C1653,"")</f>
        <v/>
      </c>
      <c r="C1653" s="6">
        <f ca="1">IF(AND(NEGOCIAÇÕES!P1653="",NEGOCIAÇÕES!N1653&lt;TODAY()),NEGOCIAÇÕES!E1653,"")</f>
        <v>0</v>
      </c>
      <c r="D1653" s="6">
        <f ca="1">IF(AND(NEGOCIAÇÕES!P1653="",NEGOCIAÇÕES!N1653&lt;TODAY()),NEGOCIAÇÕES!D1653,"")</f>
        <v>0</v>
      </c>
      <c r="E1653" s="9">
        <f ca="1">IF(AND(NEGOCIAÇÕES!P1653="",NEGOCIAÇÕES!N1653&lt;TODAY()),NEGOCIAÇÕES!N1653,"")</f>
        <v>0</v>
      </c>
    </row>
    <row r="1654" spans="2:5" ht="31.95" hidden="1" customHeight="1" x14ac:dyDescent="0.3">
      <c r="B1654" s="6" t="str">
        <f ca="1">IF(AND(NEGOCIAÇÕES!P1654="",NEGOCIAÇÕES!N1654&lt;TODAY()),NEGOCIAÇÕES!C1654,"")</f>
        <v/>
      </c>
      <c r="C1654" s="6">
        <f ca="1">IF(AND(NEGOCIAÇÕES!P1654="",NEGOCIAÇÕES!N1654&lt;TODAY()),NEGOCIAÇÕES!E1654,"")</f>
        <v>0</v>
      </c>
      <c r="D1654" s="6">
        <f ca="1">IF(AND(NEGOCIAÇÕES!P1654="",NEGOCIAÇÕES!N1654&lt;TODAY()),NEGOCIAÇÕES!D1654,"")</f>
        <v>0</v>
      </c>
      <c r="E1654" s="9">
        <f ca="1">IF(AND(NEGOCIAÇÕES!P1654="",NEGOCIAÇÕES!N1654&lt;TODAY()),NEGOCIAÇÕES!N1654,"")</f>
        <v>0</v>
      </c>
    </row>
    <row r="1655" spans="2:5" ht="31.95" hidden="1" customHeight="1" x14ac:dyDescent="0.3">
      <c r="B1655" s="6" t="str">
        <f ca="1">IF(AND(NEGOCIAÇÕES!P1655="",NEGOCIAÇÕES!N1655&lt;TODAY()),NEGOCIAÇÕES!C1655,"")</f>
        <v/>
      </c>
      <c r="C1655" s="6">
        <f ca="1">IF(AND(NEGOCIAÇÕES!P1655="",NEGOCIAÇÕES!N1655&lt;TODAY()),NEGOCIAÇÕES!E1655,"")</f>
        <v>0</v>
      </c>
      <c r="D1655" s="6">
        <f ca="1">IF(AND(NEGOCIAÇÕES!P1655="",NEGOCIAÇÕES!N1655&lt;TODAY()),NEGOCIAÇÕES!D1655,"")</f>
        <v>0</v>
      </c>
      <c r="E1655" s="9">
        <f ca="1">IF(AND(NEGOCIAÇÕES!P1655="",NEGOCIAÇÕES!N1655&lt;TODAY()),NEGOCIAÇÕES!N1655,"")</f>
        <v>0</v>
      </c>
    </row>
    <row r="1656" spans="2:5" ht="31.95" hidden="1" customHeight="1" x14ac:dyDescent="0.3">
      <c r="B1656" s="6" t="str">
        <f ca="1">IF(AND(NEGOCIAÇÕES!P1656="",NEGOCIAÇÕES!N1656&lt;TODAY()),NEGOCIAÇÕES!C1656,"")</f>
        <v/>
      </c>
      <c r="C1656" s="6">
        <f ca="1">IF(AND(NEGOCIAÇÕES!P1656="",NEGOCIAÇÕES!N1656&lt;TODAY()),NEGOCIAÇÕES!E1656,"")</f>
        <v>0</v>
      </c>
      <c r="D1656" s="6">
        <f ca="1">IF(AND(NEGOCIAÇÕES!P1656="",NEGOCIAÇÕES!N1656&lt;TODAY()),NEGOCIAÇÕES!D1656,"")</f>
        <v>0</v>
      </c>
      <c r="E1656" s="9">
        <f ca="1">IF(AND(NEGOCIAÇÕES!P1656="",NEGOCIAÇÕES!N1656&lt;TODAY()),NEGOCIAÇÕES!N1656,"")</f>
        <v>0</v>
      </c>
    </row>
    <row r="1657" spans="2:5" ht="31.95" hidden="1" customHeight="1" x14ac:dyDescent="0.3">
      <c r="B1657" s="6" t="str">
        <f ca="1">IF(AND(NEGOCIAÇÕES!P1657="",NEGOCIAÇÕES!N1657&lt;TODAY()),NEGOCIAÇÕES!C1657,"")</f>
        <v/>
      </c>
      <c r="C1657" s="6">
        <f ca="1">IF(AND(NEGOCIAÇÕES!P1657="",NEGOCIAÇÕES!N1657&lt;TODAY()),NEGOCIAÇÕES!E1657,"")</f>
        <v>0</v>
      </c>
      <c r="D1657" s="6">
        <f ca="1">IF(AND(NEGOCIAÇÕES!P1657="",NEGOCIAÇÕES!N1657&lt;TODAY()),NEGOCIAÇÕES!D1657,"")</f>
        <v>0</v>
      </c>
      <c r="E1657" s="9">
        <f ca="1">IF(AND(NEGOCIAÇÕES!P1657="",NEGOCIAÇÕES!N1657&lt;TODAY()),NEGOCIAÇÕES!N1657,"")</f>
        <v>0</v>
      </c>
    </row>
    <row r="1658" spans="2:5" ht="31.95" hidden="1" customHeight="1" x14ac:dyDescent="0.3">
      <c r="B1658" s="6" t="str">
        <f ca="1">IF(AND(NEGOCIAÇÕES!P1658="",NEGOCIAÇÕES!N1658&lt;TODAY()),NEGOCIAÇÕES!C1658,"")</f>
        <v/>
      </c>
      <c r="C1658" s="6">
        <f ca="1">IF(AND(NEGOCIAÇÕES!P1658="",NEGOCIAÇÕES!N1658&lt;TODAY()),NEGOCIAÇÕES!E1658,"")</f>
        <v>0</v>
      </c>
      <c r="D1658" s="6">
        <f ca="1">IF(AND(NEGOCIAÇÕES!P1658="",NEGOCIAÇÕES!N1658&lt;TODAY()),NEGOCIAÇÕES!D1658,"")</f>
        <v>0</v>
      </c>
      <c r="E1658" s="9">
        <f ca="1">IF(AND(NEGOCIAÇÕES!P1658="",NEGOCIAÇÕES!N1658&lt;TODAY()),NEGOCIAÇÕES!N1658,"")</f>
        <v>0</v>
      </c>
    </row>
    <row r="1659" spans="2:5" ht="31.95" hidden="1" customHeight="1" x14ac:dyDescent="0.3">
      <c r="B1659" s="6" t="str">
        <f ca="1">IF(AND(NEGOCIAÇÕES!P1659="",NEGOCIAÇÕES!N1659&lt;TODAY()),NEGOCIAÇÕES!C1659,"")</f>
        <v/>
      </c>
      <c r="C1659" s="6">
        <f ca="1">IF(AND(NEGOCIAÇÕES!P1659="",NEGOCIAÇÕES!N1659&lt;TODAY()),NEGOCIAÇÕES!E1659,"")</f>
        <v>0</v>
      </c>
      <c r="D1659" s="6">
        <f ca="1">IF(AND(NEGOCIAÇÕES!P1659="",NEGOCIAÇÕES!N1659&lt;TODAY()),NEGOCIAÇÕES!D1659,"")</f>
        <v>0</v>
      </c>
      <c r="E1659" s="9">
        <f ca="1">IF(AND(NEGOCIAÇÕES!P1659="",NEGOCIAÇÕES!N1659&lt;TODAY()),NEGOCIAÇÕES!N1659,"")</f>
        <v>0</v>
      </c>
    </row>
    <row r="1660" spans="2:5" ht="31.95" hidden="1" customHeight="1" x14ac:dyDescent="0.3">
      <c r="B1660" s="6" t="str">
        <f ca="1">IF(AND(NEGOCIAÇÕES!P1660="",NEGOCIAÇÕES!N1660&lt;TODAY()),NEGOCIAÇÕES!C1660,"")</f>
        <v/>
      </c>
      <c r="C1660" s="6">
        <f ca="1">IF(AND(NEGOCIAÇÕES!P1660="",NEGOCIAÇÕES!N1660&lt;TODAY()),NEGOCIAÇÕES!E1660,"")</f>
        <v>0</v>
      </c>
      <c r="D1660" s="6">
        <f ca="1">IF(AND(NEGOCIAÇÕES!P1660="",NEGOCIAÇÕES!N1660&lt;TODAY()),NEGOCIAÇÕES!D1660,"")</f>
        <v>0</v>
      </c>
      <c r="E1660" s="9">
        <f ca="1">IF(AND(NEGOCIAÇÕES!P1660="",NEGOCIAÇÕES!N1660&lt;TODAY()),NEGOCIAÇÕES!N1660,"")</f>
        <v>0</v>
      </c>
    </row>
    <row r="1661" spans="2:5" ht="31.95" hidden="1" customHeight="1" x14ac:dyDescent="0.3">
      <c r="B1661" s="6" t="str">
        <f ca="1">IF(AND(NEGOCIAÇÕES!P1661="",NEGOCIAÇÕES!N1661&lt;TODAY()),NEGOCIAÇÕES!C1661,"")</f>
        <v/>
      </c>
      <c r="C1661" s="6">
        <f ca="1">IF(AND(NEGOCIAÇÕES!P1661="",NEGOCIAÇÕES!N1661&lt;TODAY()),NEGOCIAÇÕES!E1661,"")</f>
        <v>0</v>
      </c>
      <c r="D1661" s="6">
        <f ca="1">IF(AND(NEGOCIAÇÕES!P1661="",NEGOCIAÇÕES!N1661&lt;TODAY()),NEGOCIAÇÕES!D1661,"")</f>
        <v>0</v>
      </c>
      <c r="E1661" s="9">
        <f ca="1">IF(AND(NEGOCIAÇÕES!P1661="",NEGOCIAÇÕES!N1661&lt;TODAY()),NEGOCIAÇÕES!N1661,"")</f>
        <v>0</v>
      </c>
    </row>
    <row r="1662" spans="2:5" ht="31.95" hidden="1" customHeight="1" x14ac:dyDescent="0.3">
      <c r="B1662" s="6" t="str">
        <f ca="1">IF(AND(NEGOCIAÇÕES!P1662="",NEGOCIAÇÕES!N1662&lt;TODAY()),NEGOCIAÇÕES!C1662,"")</f>
        <v/>
      </c>
      <c r="C1662" s="6">
        <f ca="1">IF(AND(NEGOCIAÇÕES!P1662="",NEGOCIAÇÕES!N1662&lt;TODAY()),NEGOCIAÇÕES!E1662,"")</f>
        <v>0</v>
      </c>
      <c r="D1662" s="6">
        <f ca="1">IF(AND(NEGOCIAÇÕES!P1662="",NEGOCIAÇÕES!N1662&lt;TODAY()),NEGOCIAÇÕES!D1662,"")</f>
        <v>0</v>
      </c>
      <c r="E1662" s="9">
        <f ca="1">IF(AND(NEGOCIAÇÕES!P1662="",NEGOCIAÇÕES!N1662&lt;TODAY()),NEGOCIAÇÕES!N1662,"")</f>
        <v>0</v>
      </c>
    </row>
    <row r="1663" spans="2:5" ht="31.95" hidden="1" customHeight="1" x14ac:dyDescent="0.3">
      <c r="B1663" s="6" t="str">
        <f ca="1">IF(AND(NEGOCIAÇÕES!P1663="",NEGOCIAÇÕES!N1663&lt;TODAY()),NEGOCIAÇÕES!C1663,"")</f>
        <v/>
      </c>
      <c r="C1663" s="6">
        <f ca="1">IF(AND(NEGOCIAÇÕES!P1663="",NEGOCIAÇÕES!N1663&lt;TODAY()),NEGOCIAÇÕES!E1663,"")</f>
        <v>0</v>
      </c>
      <c r="D1663" s="6">
        <f ca="1">IF(AND(NEGOCIAÇÕES!P1663="",NEGOCIAÇÕES!N1663&lt;TODAY()),NEGOCIAÇÕES!D1663,"")</f>
        <v>0</v>
      </c>
      <c r="E1663" s="9">
        <f ca="1">IF(AND(NEGOCIAÇÕES!P1663="",NEGOCIAÇÕES!N1663&lt;TODAY()),NEGOCIAÇÕES!N1663,"")</f>
        <v>0</v>
      </c>
    </row>
    <row r="1664" spans="2:5" ht="31.95" hidden="1" customHeight="1" x14ac:dyDescent="0.3">
      <c r="B1664" s="6" t="str">
        <f ca="1">IF(AND(NEGOCIAÇÕES!P1664="",NEGOCIAÇÕES!N1664&lt;TODAY()),NEGOCIAÇÕES!C1664,"")</f>
        <v/>
      </c>
      <c r="C1664" s="6">
        <f ca="1">IF(AND(NEGOCIAÇÕES!P1664="",NEGOCIAÇÕES!N1664&lt;TODAY()),NEGOCIAÇÕES!E1664,"")</f>
        <v>0</v>
      </c>
      <c r="D1664" s="6">
        <f ca="1">IF(AND(NEGOCIAÇÕES!P1664="",NEGOCIAÇÕES!N1664&lt;TODAY()),NEGOCIAÇÕES!D1664,"")</f>
        <v>0</v>
      </c>
      <c r="E1664" s="9">
        <f ca="1">IF(AND(NEGOCIAÇÕES!P1664="",NEGOCIAÇÕES!N1664&lt;TODAY()),NEGOCIAÇÕES!N1664,"")</f>
        <v>0</v>
      </c>
    </row>
    <row r="1665" spans="2:5" ht="31.95" hidden="1" customHeight="1" x14ac:dyDescent="0.3">
      <c r="B1665" s="6" t="str">
        <f ca="1">IF(AND(NEGOCIAÇÕES!P1665="",NEGOCIAÇÕES!N1665&lt;TODAY()),NEGOCIAÇÕES!C1665,"")</f>
        <v/>
      </c>
      <c r="C1665" s="6">
        <f ca="1">IF(AND(NEGOCIAÇÕES!P1665="",NEGOCIAÇÕES!N1665&lt;TODAY()),NEGOCIAÇÕES!E1665,"")</f>
        <v>0</v>
      </c>
      <c r="D1665" s="6">
        <f ca="1">IF(AND(NEGOCIAÇÕES!P1665="",NEGOCIAÇÕES!N1665&lt;TODAY()),NEGOCIAÇÕES!D1665,"")</f>
        <v>0</v>
      </c>
      <c r="E1665" s="9">
        <f ca="1">IF(AND(NEGOCIAÇÕES!P1665="",NEGOCIAÇÕES!N1665&lt;TODAY()),NEGOCIAÇÕES!N1665,"")</f>
        <v>0</v>
      </c>
    </row>
    <row r="1666" spans="2:5" ht="31.95" hidden="1" customHeight="1" x14ac:dyDescent="0.3">
      <c r="B1666" s="6" t="str">
        <f ca="1">IF(AND(NEGOCIAÇÕES!P1666="",NEGOCIAÇÕES!N1666&lt;TODAY()),NEGOCIAÇÕES!C1666,"")</f>
        <v/>
      </c>
      <c r="C1666" s="6">
        <f ca="1">IF(AND(NEGOCIAÇÕES!P1666="",NEGOCIAÇÕES!N1666&lt;TODAY()),NEGOCIAÇÕES!E1666,"")</f>
        <v>0</v>
      </c>
      <c r="D1666" s="6">
        <f ca="1">IF(AND(NEGOCIAÇÕES!P1666="",NEGOCIAÇÕES!N1666&lt;TODAY()),NEGOCIAÇÕES!D1666,"")</f>
        <v>0</v>
      </c>
      <c r="E1666" s="9">
        <f ca="1">IF(AND(NEGOCIAÇÕES!P1666="",NEGOCIAÇÕES!N1666&lt;TODAY()),NEGOCIAÇÕES!N1666,"")</f>
        <v>0</v>
      </c>
    </row>
    <row r="1667" spans="2:5" ht="31.95" hidden="1" customHeight="1" x14ac:dyDescent="0.3">
      <c r="B1667" s="6" t="str">
        <f ca="1">IF(AND(NEGOCIAÇÕES!P1667="",NEGOCIAÇÕES!N1667&lt;TODAY()),NEGOCIAÇÕES!C1667,"")</f>
        <v/>
      </c>
      <c r="C1667" s="6">
        <f ca="1">IF(AND(NEGOCIAÇÕES!P1667="",NEGOCIAÇÕES!N1667&lt;TODAY()),NEGOCIAÇÕES!E1667,"")</f>
        <v>0</v>
      </c>
      <c r="D1667" s="6">
        <f ca="1">IF(AND(NEGOCIAÇÕES!P1667="",NEGOCIAÇÕES!N1667&lt;TODAY()),NEGOCIAÇÕES!D1667,"")</f>
        <v>0</v>
      </c>
      <c r="E1667" s="9">
        <f ca="1">IF(AND(NEGOCIAÇÕES!P1667="",NEGOCIAÇÕES!N1667&lt;TODAY()),NEGOCIAÇÕES!N1667,"")</f>
        <v>0</v>
      </c>
    </row>
    <row r="1668" spans="2:5" ht="31.95" hidden="1" customHeight="1" x14ac:dyDescent="0.3">
      <c r="B1668" s="6" t="str">
        <f ca="1">IF(AND(NEGOCIAÇÕES!P1668="",NEGOCIAÇÕES!N1668&lt;TODAY()),NEGOCIAÇÕES!C1668,"")</f>
        <v/>
      </c>
      <c r="C1668" s="6">
        <f ca="1">IF(AND(NEGOCIAÇÕES!P1668="",NEGOCIAÇÕES!N1668&lt;TODAY()),NEGOCIAÇÕES!E1668,"")</f>
        <v>0</v>
      </c>
      <c r="D1668" s="6">
        <f ca="1">IF(AND(NEGOCIAÇÕES!P1668="",NEGOCIAÇÕES!N1668&lt;TODAY()),NEGOCIAÇÕES!D1668,"")</f>
        <v>0</v>
      </c>
      <c r="E1668" s="9">
        <f ca="1">IF(AND(NEGOCIAÇÕES!P1668="",NEGOCIAÇÕES!N1668&lt;TODAY()),NEGOCIAÇÕES!N1668,"")</f>
        <v>0</v>
      </c>
    </row>
    <row r="1669" spans="2:5" ht="31.95" hidden="1" customHeight="1" x14ac:dyDescent="0.3">
      <c r="B1669" s="6" t="str">
        <f ca="1">IF(AND(NEGOCIAÇÕES!P1669="",NEGOCIAÇÕES!N1669&lt;TODAY()),NEGOCIAÇÕES!C1669,"")</f>
        <v/>
      </c>
      <c r="C1669" s="6">
        <f ca="1">IF(AND(NEGOCIAÇÕES!P1669="",NEGOCIAÇÕES!N1669&lt;TODAY()),NEGOCIAÇÕES!E1669,"")</f>
        <v>0</v>
      </c>
      <c r="D1669" s="6">
        <f ca="1">IF(AND(NEGOCIAÇÕES!P1669="",NEGOCIAÇÕES!N1669&lt;TODAY()),NEGOCIAÇÕES!D1669,"")</f>
        <v>0</v>
      </c>
      <c r="E1669" s="9">
        <f ca="1">IF(AND(NEGOCIAÇÕES!P1669="",NEGOCIAÇÕES!N1669&lt;TODAY()),NEGOCIAÇÕES!N1669,"")</f>
        <v>0</v>
      </c>
    </row>
    <row r="1670" spans="2:5" ht="31.95" hidden="1" customHeight="1" x14ac:dyDescent="0.3">
      <c r="B1670" s="6" t="str">
        <f ca="1">IF(AND(NEGOCIAÇÕES!P1670="",NEGOCIAÇÕES!N1670&lt;TODAY()),NEGOCIAÇÕES!C1670,"")</f>
        <v/>
      </c>
      <c r="C1670" s="6">
        <f ca="1">IF(AND(NEGOCIAÇÕES!P1670="",NEGOCIAÇÕES!N1670&lt;TODAY()),NEGOCIAÇÕES!E1670,"")</f>
        <v>0</v>
      </c>
      <c r="D1670" s="6">
        <f ca="1">IF(AND(NEGOCIAÇÕES!P1670="",NEGOCIAÇÕES!N1670&lt;TODAY()),NEGOCIAÇÕES!D1670,"")</f>
        <v>0</v>
      </c>
      <c r="E1670" s="9">
        <f ca="1">IF(AND(NEGOCIAÇÕES!P1670="",NEGOCIAÇÕES!N1670&lt;TODAY()),NEGOCIAÇÕES!N1670,"")</f>
        <v>0</v>
      </c>
    </row>
    <row r="1671" spans="2:5" ht="31.95" hidden="1" customHeight="1" x14ac:dyDescent="0.3">
      <c r="B1671" s="6" t="str">
        <f ca="1">IF(AND(NEGOCIAÇÕES!P1671="",NEGOCIAÇÕES!N1671&lt;TODAY()),NEGOCIAÇÕES!C1671,"")</f>
        <v/>
      </c>
      <c r="C1671" s="6">
        <f ca="1">IF(AND(NEGOCIAÇÕES!P1671="",NEGOCIAÇÕES!N1671&lt;TODAY()),NEGOCIAÇÕES!E1671,"")</f>
        <v>0</v>
      </c>
      <c r="D1671" s="6">
        <f ca="1">IF(AND(NEGOCIAÇÕES!P1671="",NEGOCIAÇÕES!N1671&lt;TODAY()),NEGOCIAÇÕES!D1671,"")</f>
        <v>0</v>
      </c>
      <c r="E1671" s="9">
        <f ca="1">IF(AND(NEGOCIAÇÕES!P1671="",NEGOCIAÇÕES!N1671&lt;TODAY()),NEGOCIAÇÕES!N1671,"")</f>
        <v>0</v>
      </c>
    </row>
    <row r="1672" spans="2:5" ht="31.95" hidden="1" customHeight="1" x14ac:dyDescent="0.3">
      <c r="B1672" s="6" t="str">
        <f ca="1">IF(AND(NEGOCIAÇÕES!P1672="",NEGOCIAÇÕES!N1672&lt;TODAY()),NEGOCIAÇÕES!C1672,"")</f>
        <v/>
      </c>
      <c r="C1672" s="6">
        <f ca="1">IF(AND(NEGOCIAÇÕES!P1672="",NEGOCIAÇÕES!N1672&lt;TODAY()),NEGOCIAÇÕES!E1672,"")</f>
        <v>0</v>
      </c>
      <c r="D1672" s="6">
        <f ca="1">IF(AND(NEGOCIAÇÕES!P1672="",NEGOCIAÇÕES!N1672&lt;TODAY()),NEGOCIAÇÕES!D1672,"")</f>
        <v>0</v>
      </c>
      <c r="E1672" s="9">
        <f ca="1">IF(AND(NEGOCIAÇÕES!P1672="",NEGOCIAÇÕES!N1672&lt;TODAY()),NEGOCIAÇÕES!N1672,"")</f>
        <v>0</v>
      </c>
    </row>
    <row r="1673" spans="2:5" ht="31.95" hidden="1" customHeight="1" x14ac:dyDescent="0.3">
      <c r="B1673" s="6" t="str">
        <f ca="1">IF(AND(NEGOCIAÇÕES!P1673="",NEGOCIAÇÕES!N1673&lt;TODAY()),NEGOCIAÇÕES!C1673,"")</f>
        <v/>
      </c>
      <c r="C1673" s="6">
        <f ca="1">IF(AND(NEGOCIAÇÕES!P1673="",NEGOCIAÇÕES!N1673&lt;TODAY()),NEGOCIAÇÕES!E1673,"")</f>
        <v>0</v>
      </c>
      <c r="D1673" s="6">
        <f ca="1">IF(AND(NEGOCIAÇÕES!P1673="",NEGOCIAÇÕES!N1673&lt;TODAY()),NEGOCIAÇÕES!D1673,"")</f>
        <v>0</v>
      </c>
      <c r="E1673" s="9">
        <f ca="1">IF(AND(NEGOCIAÇÕES!P1673="",NEGOCIAÇÕES!N1673&lt;TODAY()),NEGOCIAÇÕES!N1673,"")</f>
        <v>0</v>
      </c>
    </row>
    <row r="1674" spans="2:5" ht="31.95" hidden="1" customHeight="1" x14ac:dyDescent="0.3">
      <c r="B1674" s="6" t="str">
        <f ca="1">IF(AND(NEGOCIAÇÕES!P1674="",NEGOCIAÇÕES!N1674&lt;TODAY()),NEGOCIAÇÕES!C1674,"")</f>
        <v/>
      </c>
      <c r="C1674" s="6">
        <f ca="1">IF(AND(NEGOCIAÇÕES!P1674="",NEGOCIAÇÕES!N1674&lt;TODAY()),NEGOCIAÇÕES!E1674,"")</f>
        <v>0</v>
      </c>
      <c r="D1674" s="6">
        <f ca="1">IF(AND(NEGOCIAÇÕES!P1674="",NEGOCIAÇÕES!N1674&lt;TODAY()),NEGOCIAÇÕES!D1674,"")</f>
        <v>0</v>
      </c>
      <c r="E1674" s="9">
        <f ca="1">IF(AND(NEGOCIAÇÕES!P1674="",NEGOCIAÇÕES!N1674&lt;TODAY()),NEGOCIAÇÕES!N1674,"")</f>
        <v>0</v>
      </c>
    </row>
    <row r="1675" spans="2:5" ht="31.95" hidden="1" customHeight="1" x14ac:dyDescent="0.3">
      <c r="B1675" s="6" t="str">
        <f ca="1">IF(AND(NEGOCIAÇÕES!P1675="",NEGOCIAÇÕES!N1675&lt;TODAY()),NEGOCIAÇÕES!C1675,"")</f>
        <v/>
      </c>
      <c r="C1675" s="6">
        <f ca="1">IF(AND(NEGOCIAÇÕES!P1675="",NEGOCIAÇÕES!N1675&lt;TODAY()),NEGOCIAÇÕES!E1675,"")</f>
        <v>0</v>
      </c>
      <c r="D1675" s="6">
        <f ca="1">IF(AND(NEGOCIAÇÕES!P1675="",NEGOCIAÇÕES!N1675&lt;TODAY()),NEGOCIAÇÕES!D1675,"")</f>
        <v>0</v>
      </c>
      <c r="E1675" s="9">
        <f ca="1">IF(AND(NEGOCIAÇÕES!P1675="",NEGOCIAÇÕES!N1675&lt;TODAY()),NEGOCIAÇÕES!N1675,"")</f>
        <v>0</v>
      </c>
    </row>
    <row r="1676" spans="2:5" ht="31.95" hidden="1" customHeight="1" x14ac:dyDescent="0.3">
      <c r="B1676" s="6" t="str">
        <f ca="1">IF(AND(NEGOCIAÇÕES!P1676="",NEGOCIAÇÕES!N1676&lt;TODAY()),NEGOCIAÇÕES!C1676,"")</f>
        <v/>
      </c>
      <c r="C1676" s="6">
        <f ca="1">IF(AND(NEGOCIAÇÕES!P1676="",NEGOCIAÇÕES!N1676&lt;TODAY()),NEGOCIAÇÕES!E1676,"")</f>
        <v>0</v>
      </c>
      <c r="D1676" s="6">
        <f ca="1">IF(AND(NEGOCIAÇÕES!P1676="",NEGOCIAÇÕES!N1676&lt;TODAY()),NEGOCIAÇÕES!D1676,"")</f>
        <v>0</v>
      </c>
      <c r="E1676" s="9">
        <f ca="1">IF(AND(NEGOCIAÇÕES!P1676="",NEGOCIAÇÕES!N1676&lt;TODAY()),NEGOCIAÇÕES!N1676,"")</f>
        <v>0</v>
      </c>
    </row>
    <row r="1677" spans="2:5" ht="31.95" hidden="1" customHeight="1" x14ac:dyDescent="0.3">
      <c r="B1677" s="6" t="str">
        <f ca="1">IF(AND(NEGOCIAÇÕES!P1677="",NEGOCIAÇÕES!N1677&lt;TODAY()),NEGOCIAÇÕES!C1677,"")</f>
        <v/>
      </c>
      <c r="C1677" s="6">
        <f ca="1">IF(AND(NEGOCIAÇÕES!P1677="",NEGOCIAÇÕES!N1677&lt;TODAY()),NEGOCIAÇÕES!E1677,"")</f>
        <v>0</v>
      </c>
      <c r="D1677" s="6">
        <f ca="1">IF(AND(NEGOCIAÇÕES!P1677="",NEGOCIAÇÕES!N1677&lt;TODAY()),NEGOCIAÇÕES!D1677,"")</f>
        <v>0</v>
      </c>
      <c r="E1677" s="9">
        <f ca="1">IF(AND(NEGOCIAÇÕES!P1677="",NEGOCIAÇÕES!N1677&lt;TODAY()),NEGOCIAÇÕES!N1677,"")</f>
        <v>0</v>
      </c>
    </row>
    <row r="1678" spans="2:5" ht="31.95" hidden="1" customHeight="1" x14ac:dyDescent="0.3">
      <c r="B1678" s="6" t="str">
        <f ca="1">IF(AND(NEGOCIAÇÕES!P1678="",NEGOCIAÇÕES!N1678&lt;TODAY()),NEGOCIAÇÕES!C1678,"")</f>
        <v/>
      </c>
      <c r="C1678" s="6">
        <f ca="1">IF(AND(NEGOCIAÇÕES!P1678="",NEGOCIAÇÕES!N1678&lt;TODAY()),NEGOCIAÇÕES!E1678,"")</f>
        <v>0</v>
      </c>
      <c r="D1678" s="6">
        <f ca="1">IF(AND(NEGOCIAÇÕES!P1678="",NEGOCIAÇÕES!N1678&lt;TODAY()),NEGOCIAÇÕES!D1678,"")</f>
        <v>0</v>
      </c>
      <c r="E1678" s="9">
        <f ca="1">IF(AND(NEGOCIAÇÕES!P1678="",NEGOCIAÇÕES!N1678&lt;TODAY()),NEGOCIAÇÕES!N1678,"")</f>
        <v>0</v>
      </c>
    </row>
    <row r="1679" spans="2:5" ht="31.95" hidden="1" customHeight="1" x14ac:dyDescent="0.3">
      <c r="B1679" s="6" t="str">
        <f ca="1">IF(AND(NEGOCIAÇÕES!P1679="",NEGOCIAÇÕES!N1679&lt;TODAY()),NEGOCIAÇÕES!C1679,"")</f>
        <v/>
      </c>
      <c r="C1679" s="6">
        <f ca="1">IF(AND(NEGOCIAÇÕES!P1679="",NEGOCIAÇÕES!N1679&lt;TODAY()),NEGOCIAÇÕES!E1679,"")</f>
        <v>0</v>
      </c>
      <c r="D1679" s="6">
        <f ca="1">IF(AND(NEGOCIAÇÕES!P1679="",NEGOCIAÇÕES!N1679&lt;TODAY()),NEGOCIAÇÕES!D1679,"")</f>
        <v>0</v>
      </c>
      <c r="E1679" s="9">
        <f ca="1">IF(AND(NEGOCIAÇÕES!P1679="",NEGOCIAÇÕES!N1679&lt;TODAY()),NEGOCIAÇÕES!N1679,"")</f>
        <v>0</v>
      </c>
    </row>
    <row r="1680" spans="2:5" ht="31.95" hidden="1" customHeight="1" x14ac:dyDescent="0.3">
      <c r="B1680" s="6" t="str">
        <f ca="1">IF(AND(NEGOCIAÇÕES!P1680="",NEGOCIAÇÕES!N1680&lt;TODAY()),NEGOCIAÇÕES!C1680,"")</f>
        <v/>
      </c>
      <c r="C1680" s="6">
        <f ca="1">IF(AND(NEGOCIAÇÕES!P1680="",NEGOCIAÇÕES!N1680&lt;TODAY()),NEGOCIAÇÕES!E1680,"")</f>
        <v>0</v>
      </c>
      <c r="D1680" s="6">
        <f ca="1">IF(AND(NEGOCIAÇÕES!P1680="",NEGOCIAÇÕES!N1680&lt;TODAY()),NEGOCIAÇÕES!D1680,"")</f>
        <v>0</v>
      </c>
      <c r="E1680" s="9">
        <f ca="1">IF(AND(NEGOCIAÇÕES!P1680="",NEGOCIAÇÕES!N1680&lt;TODAY()),NEGOCIAÇÕES!N1680,"")</f>
        <v>0</v>
      </c>
    </row>
    <row r="1681" spans="2:5" ht="31.95" hidden="1" customHeight="1" x14ac:dyDescent="0.3">
      <c r="B1681" s="6" t="str">
        <f ca="1">IF(AND(NEGOCIAÇÕES!P1681="",NEGOCIAÇÕES!N1681&lt;TODAY()),NEGOCIAÇÕES!C1681,"")</f>
        <v/>
      </c>
      <c r="C1681" s="6">
        <f ca="1">IF(AND(NEGOCIAÇÕES!P1681="",NEGOCIAÇÕES!N1681&lt;TODAY()),NEGOCIAÇÕES!E1681,"")</f>
        <v>0</v>
      </c>
      <c r="D1681" s="6">
        <f ca="1">IF(AND(NEGOCIAÇÕES!P1681="",NEGOCIAÇÕES!N1681&lt;TODAY()),NEGOCIAÇÕES!D1681,"")</f>
        <v>0</v>
      </c>
      <c r="E1681" s="9">
        <f ca="1">IF(AND(NEGOCIAÇÕES!P1681="",NEGOCIAÇÕES!N1681&lt;TODAY()),NEGOCIAÇÕES!N1681,"")</f>
        <v>0</v>
      </c>
    </row>
    <row r="1682" spans="2:5" ht="31.95" hidden="1" customHeight="1" x14ac:dyDescent="0.3">
      <c r="B1682" s="6" t="str">
        <f ca="1">IF(AND(NEGOCIAÇÕES!P1682="",NEGOCIAÇÕES!N1682&lt;TODAY()),NEGOCIAÇÕES!C1682,"")</f>
        <v/>
      </c>
      <c r="C1682" s="6">
        <f ca="1">IF(AND(NEGOCIAÇÕES!P1682="",NEGOCIAÇÕES!N1682&lt;TODAY()),NEGOCIAÇÕES!E1682,"")</f>
        <v>0</v>
      </c>
      <c r="D1682" s="6">
        <f ca="1">IF(AND(NEGOCIAÇÕES!P1682="",NEGOCIAÇÕES!N1682&lt;TODAY()),NEGOCIAÇÕES!D1682,"")</f>
        <v>0</v>
      </c>
      <c r="E1682" s="9">
        <f ca="1">IF(AND(NEGOCIAÇÕES!P1682="",NEGOCIAÇÕES!N1682&lt;TODAY()),NEGOCIAÇÕES!N1682,"")</f>
        <v>0</v>
      </c>
    </row>
    <row r="1683" spans="2:5" ht="31.95" hidden="1" customHeight="1" x14ac:dyDescent="0.3">
      <c r="B1683" s="6" t="str">
        <f ca="1">IF(AND(NEGOCIAÇÕES!P1683="",NEGOCIAÇÕES!N1683&lt;TODAY()),NEGOCIAÇÕES!C1683,"")</f>
        <v/>
      </c>
      <c r="C1683" s="6">
        <f ca="1">IF(AND(NEGOCIAÇÕES!P1683="",NEGOCIAÇÕES!N1683&lt;TODAY()),NEGOCIAÇÕES!E1683,"")</f>
        <v>0</v>
      </c>
      <c r="D1683" s="6">
        <f ca="1">IF(AND(NEGOCIAÇÕES!P1683="",NEGOCIAÇÕES!N1683&lt;TODAY()),NEGOCIAÇÕES!D1683,"")</f>
        <v>0</v>
      </c>
      <c r="E1683" s="9">
        <f ca="1">IF(AND(NEGOCIAÇÕES!P1683="",NEGOCIAÇÕES!N1683&lt;TODAY()),NEGOCIAÇÕES!N1683,"")</f>
        <v>0</v>
      </c>
    </row>
    <row r="1684" spans="2:5" ht="31.95" hidden="1" customHeight="1" x14ac:dyDescent="0.3">
      <c r="B1684" s="6" t="str">
        <f ca="1">IF(AND(NEGOCIAÇÕES!P1684="",NEGOCIAÇÕES!N1684&lt;TODAY()),NEGOCIAÇÕES!C1684,"")</f>
        <v/>
      </c>
      <c r="C1684" s="6">
        <f ca="1">IF(AND(NEGOCIAÇÕES!P1684="",NEGOCIAÇÕES!N1684&lt;TODAY()),NEGOCIAÇÕES!E1684,"")</f>
        <v>0</v>
      </c>
      <c r="D1684" s="6">
        <f ca="1">IF(AND(NEGOCIAÇÕES!P1684="",NEGOCIAÇÕES!N1684&lt;TODAY()),NEGOCIAÇÕES!D1684,"")</f>
        <v>0</v>
      </c>
      <c r="E1684" s="9">
        <f ca="1">IF(AND(NEGOCIAÇÕES!P1684="",NEGOCIAÇÕES!N1684&lt;TODAY()),NEGOCIAÇÕES!N1684,"")</f>
        <v>0</v>
      </c>
    </row>
    <row r="1685" spans="2:5" ht="31.95" hidden="1" customHeight="1" x14ac:dyDescent="0.3">
      <c r="B1685" s="6" t="str">
        <f ca="1">IF(AND(NEGOCIAÇÕES!P1685="",NEGOCIAÇÕES!N1685&lt;TODAY()),NEGOCIAÇÕES!C1685,"")</f>
        <v/>
      </c>
      <c r="C1685" s="6">
        <f ca="1">IF(AND(NEGOCIAÇÕES!P1685="",NEGOCIAÇÕES!N1685&lt;TODAY()),NEGOCIAÇÕES!E1685,"")</f>
        <v>0</v>
      </c>
      <c r="D1685" s="6">
        <f ca="1">IF(AND(NEGOCIAÇÕES!P1685="",NEGOCIAÇÕES!N1685&lt;TODAY()),NEGOCIAÇÕES!D1685,"")</f>
        <v>0</v>
      </c>
      <c r="E1685" s="9">
        <f ca="1">IF(AND(NEGOCIAÇÕES!P1685="",NEGOCIAÇÕES!N1685&lt;TODAY()),NEGOCIAÇÕES!N1685,"")</f>
        <v>0</v>
      </c>
    </row>
    <row r="1686" spans="2:5" ht="31.95" hidden="1" customHeight="1" x14ac:dyDescent="0.3">
      <c r="B1686" s="6" t="str">
        <f ca="1">IF(AND(NEGOCIAÇÕES!P1686="",NEGOCIAÇÕES!N1686&lt;TODAY()),NEGOCIAÇÕES!C1686,"")</f>
        <v/>
      </c>
      <c r="C1686" s="6">
        <f ca="1">IF(AND(NEGOCIAÇÕES!P1686="",NEGOCIAÇÕES!N1686&lt;TODAY()),NEGOCIAÇÕES!E1686,"")</f>
        <v>0</v>
      </c>
      <c r="D1686" s="6">
        <f ca="1">IF(AND(NEGOCIAÇÕES!P1686="",NEGOCIAÇÕES!N1686&lt;TODAY()),NEGOCIAÇÕES!D1686,"")</f>
        <v>0</v>
      </c>
      <c r="E1686" s="9">
        <f ca="1">IF(AND(NEGOCIAÇÕES!P1686="",NEGOCIAÇÕES!N1686&lt;TODAY()),NEGOCIAÇÕES!N1686,"")</f>
        <v>0</v>
      </c>
    </row>
    <row r="1687" spans="2:5" ht="31.95" hidden="1" customHeight="1" x14ac:dyDescent="0.3">
      <c r="B1687" s="6" t="str">
        <f ca="1">IF(AND(NEGOCIAÇÕES!P1687="",NEGOCIAÇÕES!N1687&lt;TODAY()),NEGOCIAÇÕES!C1687,"")</f>
        <v/>
      </c>
      <c r="C1687" s="6">
        <f ca="1">IF(AND(NEGOCIAÇÕES!P1687="",NEGOCIAÇÕES!N1687&lt;TODAY()),NEGOCIAÇÕES!E1687,"")</f>
        <v>0</v>
      </c>
      <c r="D1687" s="6">
        <f ca="1">IF(AND(NEGOCIAÇÕES!P1687="",NEGOCIAÇÕES!N1687&lt;TODAY()),NEGOCIAÇÕES!D1687,"")</f>
        <v>0</v>
      </c>
      <c r="E1687" s="9">
        <f ca="1">IF(AND(NEGOCIAÇÕES!P1687="",NEGOCIAÇÕES!N1687&lt;TODAY()),NEGOCIAÇÕES!N1687,"")</f>
        <v>0</v>
      </c>
    </row>
    <row r="1688" spans="2:5" ht="31.95" hidden="1" customHeight="1" x14ac:dyDescent="0.3">
      <c r="B1688" s="6" t="str">
        <f ca="1">IF(AND(NEGOCIAÇÕES!P1688="",NEGOCIAÇÕES!N1688&lt;TODAY()),NEGOCIAÇÕES!C1688,"")</f>
        <v/>
      </c>
      <c r="C1688" s="6">
        <f ca="1">IF(AND(NEGOCIAÇÕES!P1688="",NEGOCIAÇÕES!N1688&lt;TODAY()),NEGOCIAÇÕES!E1688,"")</f>
        <v>0</v>
      </c>
      <c r="D1688" s="6">
        <f ca="1">IF(AND(NEGOCIAÇÕES!P1688="",NEGOCIAÇÕES!N1688&lt;TODAY()),NEGOCIAÇÕES!D1688,"")</f>
        <v>0</v>
      </c>
      <c r="E1688" s="9">
        <f ca="1">IF(AND(NEGOCIAÇÕES!P1688="",NEGOCIAÇÕES!N1688&lt;TODAY()),NEGOCIAÇÕES!N1688,"")</f>
        <v>0</v>
      </c>
    </row>
    <row r="1689" spans="2:5" ht="31.95" hidden="1" customHeight="1" x14ac:dyDescent="0.3">
      <c r="B1689" s="6" t="str">
        <f ca="1">IF(AND(NEGOCIAÇÕES!P1689="",NEGOCIAÇÕES!N1689&lt;TODAY()),NEGOCIAÇÕES!C1689,"")</f>
        <v/>
      </c>
      <c r="C1689" s="6">
        <f ca="1">IF(AND(NEGOCIAÇÕES!P1689="",NEGOCIAÇÕES!N1689&lt;TODAY()),NEGOCIAÇÕES!E1689,"")</f>
        <v>0</v>
      </c>
      <c r="D1689" s="6">
        <f ca="1">IF(AND(NEGOCIAÇÕES!P1689="",NEGOCIAÇÕES!N1689&lt;TODAY()),NEGOCIAÇÕES!D1689,"")</f>
        <v>0</v>
      </c>
      <c r="E1689" s="9">
        <f ca="1">IF(AND(NEGOCIAÇÕES!P1689="",NEGOCIAÇÕES!N1689&lt;TODAY()),NEGOCIAÇÕES!N1689,"")</f>
        <v>0</v>
      </c>
    </row>
    <row r="1690" spans="2:5" ht="31.95" hidden="1" customHeight="1" x14ac:dyDescent="0.3">
      <c r="B1690" s="6" t="str">
        <f ca="1">IF(AND(NEGOCIAÇÕES!P1690="",NEGOCIAÇÕES!N1690&lt;TODAY()),NEGOCIAÇÕES!C1690,"")</f>
        <v/>
      </c>
      <c r="C1690" s="6">
        <f ca="1">IF(AND(NEGOCIAÇÕES!P1690="",NEGOCIAÇÕES!N1690&lt;TODAY()),NEGOCIAÇÕES!E1690,"")</f>
        <v>0</v>
      </c>
      <c r="D1690" s="6">
        <f ca="1">IF(AND(NEGOCIAÇÕES!P1690="",NEGOCIAÇÕES!N1690&lt;TODAY()),NEGOCIAÇÕES!D1690,"")</f>
        <v>0</v>
      </c>
      <c r="E1690" s="9">
        <f ca="1">IF(AND(NEGOCIAÇÕES!P1690="",NEGOCIAÇÕES!N1690&lt;TODAY()),NEGOCIAÇÕES!N1690,"")</f>
        <v>0</v>
      </c>
    </row>
    <row r="1691" spans="2:5" ht="31.95" hidden="1" customHeight="1" x14ac:dyDescent="0.3">
      <c r="B1691" s="6" t="str">
        <f ca="1">IF(AND(NEGOCIAÇÕES!P1691="",NEGOCIAÇÕES!N1691&lt;TODAY()),NEGOCIAÇÕES!C1691,"")</f>
        <v/>
      </c>
      <c r="C1691" s="6">
        <f ca="1">IF(AND(NEGOCIAÇÕES!P1691="",NEGOCIAÇÕES!N1691&lt;TODAY()),NEGOCIAÇÕES!E1691,"")</f>
        <v>0</v>
      </c>
      <c r="D1691" s="6">
        <f ca="1">IF(AND(NEGOCIAÇÕES!P1691="",NEGOCIAÇÕES!N1691&lt;TODAY()),NEGOCIAÇÕES!D1691,"")</f>
        <v>0</v>
      </c>
      <c r="E1691" s="9">
        <f ca="1">IF(AND(NEGOCIAÇÕES!P1691="",NEGOCIAÇÕES!N1691&lt;TODAY()),NEGOCIAÇÕES!N1691,"")</f>
        <v>0</v>
      </c>
    </row>
    <row r="1692" spans="2:5" ht="31.95" hidden="1" customHeight="1" x14ac:dyDescent="0.3">
      <c r="B1692" s="6" t="str">
        <f ca="1">IF(AND(NEGOCIAÇÕES!P1692="",NEGOCIAÇÕES!N1692&lt;TODAY()),NEGOCIAÇÕES!C1692,"")</f>
        <v/>
      </c>
      <c r="C1692" s="6">
        <f ca="1">IF(AND(NEGOCIAÇÕES!P1692="",NEGOCIAÇÕES!N1692&lt;TODAY()),NEGOCIAÇÕES!E1692,"")</f>
        <v>0</v>
      </c>
      <c r="D1692" s="6">
        <f ca="1">IF(AND(NEGOCIAÇÕES!P1692="",NEGOCIAÇÕES!N1692&lt;TODAY()),NEGOCIAÇÕES!D1692,"")</f>
        <v>0</v>
      </c>
      <c r="E1692" s="9">
        <f ca="1">IF(AND(NEGOCIAÇÕES!P1692="",NEGOCIAÇÕES!N1692&lt;TODAY()),NEGOCIAÇÕES!N1692,"")</f>
        <v>0</v>
      </c>
    </row>
    <row r="1693" spans="2:5" ht="31.95" hidden="1" customHeight="1" x14ac:dyDescent="0.3">
      <c r="B1693" s="6" t="str">
        <f ca="1">IF(AND(NEGOCIAÇÕES!P1693="",NEGOCIAÇÕES!N1693&lt;TODAY()),NEGOCIAÇÕES!C1693,"")</f>
        <v/>
      </c>
      <c r="C1693" s="6">
        <f ca="1">IF(AND(NEGOCIAÇÕES!P1693="",NEGOCIAÇÕES!N1693&lt;TODAY()),NEGOCIAÇÕES!E1693,"")</f>
        <v>0</v>
      </c>
      <c r="D1693" s="6">
        <f ca="1">IF(AND(NEGOCIAÇÕES!P1693="",NEGOCIAÇÕES!N1693&lt;TODAY()),NEGOCIAÇÕES!D1693,"")</f>
        <v>0</v>
      </c>
      <c r="E1693" s="9">
        <f ca="1">IF(AND(NEGOCIAÇÕES!P1693="",NEGOCIAÇÕES!N1693&lt;TODAY()),NEGOCIAÇÕES!N1693,"")</f>
        <v>0</v>
      </c>
    </row>
    <row r="1694" spans="2:5" ht="31.95" hidden="1" customHeight="1" x14ac:dyDescent="0.3">
      <c r="B1694" s="6" t="str">
        <f ca="1">IF(AND(NEGOCIAÇÕES!P1694="",NEGOCIAÇÕES!N1694&lt;TODAY()),NEGOCIAÇÕES!C1694,"")</f>
        <v/>
      </c>
      <c r="C1694" s="6">
        <f ca="1">IF(AND(NEGOCIAÇÕES!P1694="",NEGOCIAÇÕES!N1694&lt;TODAY()),NEGOCIAÇÕES!E1694,"")</f>
        <v>0</v>
      </c>
      <c r="D1694" s="6">
        <f ca="1">IF(AND(NEGOCIAÇÕES!P1694="",NEGOCIAÇÕES!N1694&lt;TODAY()),NEGOCIAÇÕES!D1694,"")</f>
        <v>0</v>
      </c>
      <c r="E1694" s="9">
        <f ca="1">IF(AND(NEGOCIAÇÕES!P1694="",NEGOCIAÇÕES!N1694&lt;TODAY()),NEGOCIAÇÕES!N1694,"")</f>
        <v>0</v>
      </c>
    </row>
    <row r="1695" spans="2:5" ht="31.95" hidden="1" customHeight="1" x14ac:dyDescent="0.3">
      <c r="B1695" s="6" t="str">
        <f ca="1">IF(AND(NEGOCIAÇÕES!P1695="",NEGOCIAÇÕES!N1695&lt;TODAY()),NEGOCIAÇÕES!C1695,"")</f>
        <v/>
      </c>
      <c r="C1695" s="6">
        <f ca="1">IF(AND(NEGOCIAÇÕES!P1695="",NEGOCIAÇÕES!N1695&lt;TODAY()),NEGOCIAÇÕES!E1695,"")</f>
        <v>0</v>
      </c>
      <c r="D1695" s="6">
        <f ca="1">IF(AND(NEGOCIAÇÕES!P1695="",NEGOCIAÇÕES!N1695&lt;TODAY()),NEGOCIAÇÕES!D1695,"")</f>
        <v>0</v>
      </c>
      <c r="E1695" s="9">
        <f ca="1">IF(AND(NEGOCIAÇÕES!P1695="",NEGOCIAÇÕES!N1695&lt;TODAY()),NEGOCIAÇÕES!N1695,"")</f>
        <v>0</v>
      </c>
    </row>
    <row r="1696" spans="2:5" ht="31.95" hidden="1" customHeight="1" x14ac:dyDescent="0.3">
      <c r="B1696" s="6" t="str">
        <f ca="1">IF(AND(NEGOCIAÇÕES!P1696="",NEGOCIAÇÕES!N1696&lt;TODAY()),NEGOCIAÇÕES!C1696,"")</f>
        <v/>
      </c>
      <c r="C1696" s="6">
        <f ca="1">IF(AND(NEGOCIAÇÕES!P1696="",NEGOCIAÇÕES!N1696&lt;TODAY()),NEGOCIAÇÕES!E1696,"")</f>
        <v>0</v>
      </c>
      <c r="D1696" s="6">
        <f ca="1">IF(AND(NEGOCIAÇÕES!P1696="",NEGOCIAÇÕES!N1696&lt;TODAY()),NEGOCIAÇÕES!D1696,"")</f>
        <v>0</v>
      </c>
      <c r="E1696" s="9">
        <f ca="1">IF(AND(NEGOCIAÇÕES!P1696="",NEGOCIAÇÕES!N1696&lt;TODAY()),NEGOCIAÇÕES!N1696,"")</f>
        <v>0</v>
      </c>
    </row>
    <row r="1697" spans="2:5" ht="31.95" hidden="1" customHeight="1" x14ac:dyDescent="0.3">
      <c r="B1697" s="6" t="str">
        <f ca="1">IF(AND(NEGOCIAÇÕES!P1697="",NEGOCIAÇÕES!N1697&lt;TODAY()),NEGOCIAÇÕES!C1697,"")</f>
        <v/>
      </c>
      <c r="C1697" s="6">
        <f ca="1">IF(AND(NEGOCIAÇÕES!P1697="",NEGOCIAÇÕES!N1697&lt;TODAY()),NEGOCIAÇÕES!E1697,"")</f>
        <v>0</v>
      </c>
      <c r="D1697" s="6">
        <f ca="1">IF(AND(NEGOCIAÇÕES!P1697="",NEGOCIAÇÕES!N1697&lt;TODAY()),NEGOCIAÇÕES!D1697,"")</f>
        <v>0</v>
      </c>
      <c r="E1697" s="9">
        <f ca="1">IF(AND(NEGOCIAÇÕES!P1697="",NEGOCIAÇÕES!N1697&lt;TODAY()),NEGOCIAÇÕES!N1697,"")</f>
        <v>0</v>
      </c>
    </row>
    <row r="1698" spans="2:5" ht="31.95" hidden="1" customHeight="1" x14ac:dyDescent="0.3">
      <c r="B1698" s="6" t="str">
        <f ca="1">IF(AND(NEGOCIAÇÕES!P1698="",NEGOCIAÇÕES!N1698&lt;TODAY()),NEGOCIAÇÕES!C1698,"")</f>
        <v/>
      </c>
      <c r="C1698" s="6">
        <f ca="1">IF(AND(NEGOCIAÇÕES!P1698="",NEGOCIAÇÕES!N1698&lt;TODAY()),NEGOCIAÇÕES!E1698,"")</f>
        <v>0</v>
      </c>
      <c r="D1698" s="6">
        <f ca="1">IF(AND(NEGOCIAÇÕES!P1698="",NEGOCIAÇÕES!N1698&lt;TODAY()),NEGOCIAÇÕES!D1698,"")</f>
        <v>0</v>
      </c>
      <c r="E1698" s="9">
        <f ca="1">IF(AND(NEGOCIAÇÕES!P1698="",NEGOCIAÇÕES!N1698&lt;TODAY()),NEGOCIAÇÕES!N1698,"")</f>
        <v>0</v>
      </c>
    </row>
    <row r="1699" spans="2:5" ht="31.95" hidden="1" customHeight="1" x14ac:dyDescent="0.3">
      <c r="B1699" s="6" t="str">
        <f ca="1">IF(AND(NEGOCIAÇÕES!P1699="",NEGOCIAÇÕES!N1699&lt;TODAY()),NEGOCIAÇÕES!C1699,"")</f>
        <v/>
      </c>
      <c r="C1699" s="6">
        <f ca="1">IF(AND(NEGOCIAÇÕES!P1699="",NEGOCIAÇÕES!N1699&lt;TODAY()),NEGOCIAÇÕES!E1699,"")</f>
        <v>0</v>
      </c>
      <c r="D1699" s="6">
        <f ca="1">IF(AND(NEGOCIAÇÕES!P1699="",NEGOCIAÇÕES!N1699&lt;TODAY()),NEGOCIAÇÕES!D1699,"")</f>
        <v>0</v>
      </c>
      <c r="E1699" s="9">
        <f ca="1">IF(AND(NEGOCIAÇÕES!P1699="",NEGOCIAÇÕES!N1699&lt;TODAY()),NEGOCIAÇÕES!N1699,"")</f>
        <v>0</v>
      </c>
    </row>
    <row r="1700" spans="2:5" ht="31.95" hidden="1" customHeight="1" x14ac:dyDescent="0.3">
      <c r="B1700" s="6" t="str">
        <f ca="1">IF(AND(NEGOCIAÇÕES!P1700="",NEGOCIAÇÕES!N1700&lt;TODAY()),NEGOCIAÇÕES!C1700,"")</f>
        <v/>
      </c>
      <c r="C1700" s="6">
        <f ca="1">IF(AND(NEGOCIAÇÕES!P1700="",NEGOCIAÇÕES!N1700&lt;TODAY()),NEGOCIAÇÕES!E1700,"")</f>
        <v>0</v>
      </c>
      <c r="D1700" s="6">
        <f ca="1">IF(AND(NEGOCIAÇÕES!P1700="",NEGOCIAÇÕES!N1700&lt;TODAY()),NEGOCIAÇÕES!D1700,"")</f>
        <v>0</v>
      </c>
      <c r="E1700" s="9">
        <f ca="1">IF(AND(NEGOCIAÇÕES!P1700="",NEGOCIAÇÕES!N1700&lt;TODAY()),NEGOCIAÇÕES!N1700,"")</f>
        <v>0</v>
      </c>
    </row>
    <row r="1701" spans="2:5" ht="31.95" hidden="1" customHeight="1" x14ac:dyDescent="0.3">
      <c r="B1701" s="6" t="str">
        <f ca="1">IF(AND(NEGOCIAÇÕES!P1701="",NEGOCIAÇÕES!N1701&lt;TODAY()),NEGOCIAÇÕES!C1701,"")</f>
        <v/>
      </c>
      <c r="C1701" s="6">
        <f ca="1">IF(AND(NEGOCIAÇÕES!P1701="",NEGOCIAÇÕES!N1701&lt;TODAY()),NEGOCIAÇÕES!E1701,"")</f>
        <v>0</v>
      </c>
      <c r="D1701" s="6">
        <f ca="1">IF(AND(NEGOCIAÇÕES!P1701="",NEGOCIAÇÕES!N1701&lt;TODAY()),NEGOCIAÇÕES!D1701,"")</f>
        <v>0</v>
      </c>
      <c r="E1701" s="9">
        <f ca="1">IF(AND(NEGOCIAÇÕES!P1701="",NEGOCIAÇÕES!N1701&lt;TODAY()),NEGOCIAÇÕES!N1701,"")</f>
        <v>0</v>
      </c>
    </row>
    <row r="1702" spans="2:5" ht="31.95" hidden="1" customHeight="1" x14ac:dyDescent="0.3">
      <c r="B1702" s="6" t="str">
        <f ca="1">IF(AND(NEGOCIAÇÕES!P1702="",NEGOCIAÇÕES!N1702&lt;TODAY()),NEGOCIAÇÕES!C1702,"")</f>
        <v/>
      </c>
      <c r="C1702" s="6">
        <f ca="1">IF(AND(NEGOCIAÇÕES!P1702="",NEGOCIAÇÕES!N1702&lt;TODAY()),NEGOCIAÇÕES!E1702,"")</f>
        <v>0</v>
      </c>
      <c r="D1702" s="6">
        <f ca="1">IF(AND(NEGOCIAÇÕES!P1702="",NEGOCIAÇÕES!N1702&lt;TODAY()),NEGOCIAÇÕES!D1702,"")</f>
        <v>0</v>
      </c>
      <c r="E1702" s="9">
        <f ca="1">IF(AND(NEGOCIAÇÕES!P1702="",NEGOCIAÇÕES!N1702&lt;TODAY()),NEGOCIAÇÕES!N1702,"")</f>
        <v>0</v>
      </c>
    </row>
    <row r="1703" spans="2:5" ht="31.95" hidden="1" customHeight="1" x14ac:dyDescent="0.3">
      <c r="B1703" s="6" t="str">
        <f ca="1">IF(AND(NEGOCIAÇÕES!P1703="",NEGOCIAÇÕES!N1703&lt;TODAY()),NEGOCIAÇÕES!C1703,"")</f>
        <v/>
      </c>
      <c r="C1703" s="6">
        <f ca="1">IF(AND(NEGOCIAÇÕES!P1703="",NEGOCIAÇÕES!N1703&lt;TODAY()),NEGOCIAÇÕES!E1703,"")</f>
        <v>0</v>
      </c>
      <c r="D1703" s="6">
        <f ca="1">IF(AND(NEGOCIAÇÕES!P1703="",NEGOCIAÇÕES!N1703&lt;TODAY()),NEGOCIAÇÕES!D1703,"")</f>
        <v>0</v>
      </c>
      <c r="E1703" s="9">
        <f ca="1">IF(AND(NEGOCIAÇÕES!P1703="",NEGOCIAÇÕES!N1703&lt;TODAY()),NEGOCIAÇÕES!N1703,"")</f>
        <v>0</v>
      </c>
    </row>
    <row r="1704" spans="2:5" ht="31.95" hidden="1" customHeight="1" x14ac:dyDescent="0.3">
      <c r="B1704" s="6" t="str">
        <f ca="1">IF(AND(NEGOCIAÇÕES!P1704="",NEGOCIAÇÕES!N1704&lt;TODAY()),NEGOCIAÇÕES!C1704,"")</f>
        <v/>
      </c>
      <c r="C1704" s="6">
        <f ca="1">IF(AND(NEGOCIAÇÕES!P1704="",NEGOCIAÇÕES!N1704&lt;TODAY()),NEGOCIAÇÕES!E1704,"")</f>
        <v>0</v>
      </c>
      <c r="D1704" s="6">
        <f ca="1">IF(AND(NEGOCIAÇÕES!P1704="",NEGOCIAÇÕES!N1704&lt;TODAY()),NEGOCIAÇÕES!D1704,"")</f>
        <v>0</v>
      </c>
      <c r="E1704" s="9">
        <f ca="1">IF(AND(NEGOCIAÇÕES!P1704="",NEGOCIAÇÕES!N1704&lt;TODAY()),NEGOCIAÇÕES!N1704,"")</f>
        <v>0</v>
      </c>
    </row>
    <row r="1705" spans="2:5" ht="31.95" hidden="1" customHeight="1" x14ac:dyDescent="0.3">
      <c r="B1705" s="6" t="str">
        <f ca="1">IF(AND(NEGOCIAÇÕES!P1705="",NEGOCIAÇÕES!N1705&lt;TODAY()),NEGOCIAÇÕES!C1705,"")</f>
        <v/>
      </c>
      <c r="C1705" s="6">
        <f ca="1">IF(AND(NEGOCIAÇÕES!P1705="",NEGOCIAÇÕES!N1705&lt;TODAY()),NEGOCIAÇÕES!E1705,"")</f>
        <v>0</v>
      </c>
      <c r="D1705" s="6">
        <f ca="1">IF(AND(NEGOCIAÇÕES!P1705="",NEGOCIAÇÕES!N1705&lt;TODAY()),NEGOCIAÇÕES!D1705,"")</f>
        <v>0</v>
      </c>
      <c r="E1705" s="9">
        <f ca="1">IF(AND(NEGOCIAÇÕES!P1705="",NEGOCIAÇÕES!N1705&lt;TODAY()),NEGOCIAÇÕES!N1705,"")</f>
        <v>0</v>
      </c>
    </row>
    <row r="1706" spans="2:5" ht="31.95" hidden="1" customHeight="1" x14ac:dyDescent="0.3">
      <c r="B1706" s="6" t="str">
        <f ca="1">IF(AND(NEGOCIAÇÕES!P1706="",NEGOCIAÇÕES!N1706&lt;TODAY()),NEGOCIAÇÕES!C1706,"")</f>
        <v/>
      </c>
      <c r="C1706" s="6">
        <f ca="1">IF(AND(NEGOCIAÇÕES!P1706="",NEGOCIAÇÕES!N1706&lt;TODAY()),NEGOCIAÇÕES!E1706,"")</f>
        <v>0</v>
      </c>
      <c r="D1706" s="6">
        <f ca="1">IF(AND(NEGOCIAÇÕES!P1706="",NEGOCIAÇÕES!N1706&lt;TODAY()),NEGOCIAÇÕES!D1706,"")</f>
        <v>0</v>
      </c>
      <c r="E1706" s="9">
        <f ca="1">IF(AND(NEGOCIAÇÕES!P1706="",NEGOCIAÇÕES!N1706&lt;TODAY()),NEGOCIAÇÕES!N1706,"")</f>
        <v>0</v>
      </c>
    </row>
    <row r="1707" spans="2:5" ht="31.95" hidden="1" customHeight="1" x14ac:dyDescent="0.3">
      <c r="B1707" s="6" t="str">
        <f ca="1">IF(AND(NEGOCIAÇÕES!P1707="",NEGOCIAÇÕES!N1707&lt;TODAY()),NEGOCIAÇÕES!C1707,"")</f>
        <v/>
      </c>
      <c r="C1707" s="6">
        <f ca="1">IF(AND(NEGOCIAÇÕES!P1707="",NEGOCIAÇÕES!N1707&lt;TODAY()),NEGOCIAÇÕES!E1707,"")</f>
        <v>0</v>
      </c>
      <c r="D1707" s="6">
        <f ca="1">IF(AND(NEGOCIAÇÕES!P1707="",NEGOCIAÇÕES!N1707&lt;TODAY()),NEGOCIAÇÕES!D1707,"")</f>
        <v>0</v>
      </c>
      <c r="E1707" s="9">
        <f ca="1">IF(AND(NEGOCIAÇÕES!P1707="",NEGOCIAÇÕES!N1707&lt;TODAY()),NEGOCIAÇÕES!N1707,"")</f>
        <v>0</v>
      </c>
    </row>
    <row r="1708" spans="2:5" ht="31.95" hidden="1" customHeight="1" x14ac:dyDescent="0.3">
      <c r="B1708" s="6" t="str">
        <f ca="1">IF(AND(NEGOCIAÇÕES!P1708="",NEGOCIAÇÕES!N1708&lt;TODAY()),NEGOCIAÇÕES!C1708,"")</f>
        <v/>
      </c>
      <c r="C1708" s="6">
        <f ca="1">IF(AND(NEGOCIAÇÕES!P1708="",NEGOCIAÇÕES!N1708&lt;TODAY()),NEGOCIAÇÕES!E1708,"")</f>
        <v>0</v>
      </c>
      <c r="D1708" s="6">
        <f ca="1">IF(AND(NEGOCIAÇÕES!P1708="",NEGOCIAÇÕES!N1708&lt;TODAY()),NEGOCIAÇÕES!D1708,"")</f>
        <v>0</v>
      </c>
      <c r="E1708" s="9">
        <f ca="1">IF(AND(NEGOCIAÇÕES!P1708="",NEGOCIAÇÕES!N1708&lt;TODAY()),NEGOCIAÇÕES!N1708,"")</f>
        <v>0</v>
      </c>
    </row>
    <row r="1709" spans="2:5" ht="31.95" hidden="1" customHeight="1" x14ac:dyDescent="0.3">
      <c r="B1709" s="6" t="str">
        <f ca="1">IF(AND(NEGOCIAÇÕES!P1709="",NEGOCIAÇÕES!N1709&lt;TODAY()),NEGOCIAÇÕES!C1709,"")</f>
        <v/>
      </c>
      <c r="C1709" s="6">
        <f ca="1">IF(AND(NEGOCIAÇÕES!P1709="",NEGOCIAÇÕES!N1709&lt;TODAY()),NEGOCIAÇÕES!E1709,"")</f>
        <v>0</v>
      </c>
      <c r="D1709" s="6">
        <f ca="1">IF(AND(NEGOCIAÇÕES!P1709="",NEGOCIAÇÕES!N1709&lt;TODAY()),NEGOCIAÇÕES!D1709,"")</f>
        <v>0</v>
      </c>
      <c r="E1709" s="9">
        <f ca="1">IF(AND(NEGOCIAÇÕES!P1709="",NEGOCIAÇÕES!N1709&lt;TODAY()),NEGOCIAÇÕES!N1709,"")</f>
        <v>0</v>
      </c>
    </row>
    <row r="1710" spans="2:5" ht="31.95" hidden="1" customHeight="1" x14ac:dyDescent="0.3">
      <c r="B1710" s="6" t="str">
        <f ca="1">IF(AND(NEGOCIAÇÕES!P1710="",NEGOCIAÇÕES!N1710&lt;TODAY()),NEGOCIAÇÕES!C1710,"")</f>
        <v/>
      </c>
      <c r="C1710" s="6">
        <f ca="1">IF(AND(NEGOCIAÇÕES!P1710="",NEGOCIAÇÕES!N1710&lt;TODAY()),NEGOCIAÇÕES!E1710,"")</f>
        <v>0</v>
      </c>
      <c r="D1710" s="6">
        <f ca="1">IF(AND(NEGOCIAÇÕES!P1710="",NEGOCIAÇÕES!N1710&lt;TODAY()),NEGOCIAÇÕES!D1710,"")</f>
        <v>0</v>
      </c>
      <c r="E1710" s="9">
        <f ca="1">IF(AND(NEGOCIAÇÕES!P1710="",NEGOCIAÇÕES!N1710&lt;TODAY()),NEGOCIAÇÕES!N1710,"")</f>
        <v>0</v>
      </c>
    </row>
    <row r="1711" spans="2:5" ht="31.95" hidden="1" customHeight="1" x14ac:dyDescent="0.3">
      <c r="B1711" s="6" t="str">
        <f ca="1">IF(AND(NEGOCIAÇÕES!P1711="",NEGOCIAÇÕES!N1711&lt;TODAY()),NEGOCIAÇÕES!C1711,"")</f>
        <v/>
      </c>
      <c r="C1711" s="6">
        <f ca="1">IF(AND(NEGOCIAÇÕES!P1711="",NEGOCIAÇÕES!N1711&lt;TODAY()),NEGOCIAÇÕES!E1711,"")</f>
        <v>0</v>
      </c>
      <c r="D1711" s="6">
        <f ca="1">IF(AND(NEGOCIAÇÕES!P1711="",NEGOCIAÇÕES!N1711&lt;TODAY()),NEGOCIAÇÕES!D1711,"")</f>
        <v>0</v>
      </c>
      <c r="E1711" s="9">
        <f ca="1">IF(AND(NEGOCIAÇÕES!P1711="",NEGOCIAÇÕES!N1711&lt;TODAY()),NEGOCIAÇÕES!N1711,"")</f>
        <v>0</v>
      </c>
    </row>
    <row r="1712" spans="2:5" ht="31.95" hidden="1" customHeight="1" x14ac:dyDescent="0.3">
      <c r="B1712" s="6" t="str">
        <f ca="1">IF(AND(NEGOCIAÇÕES!P1712="",NEGOCIAÇÕES!N1712&lt;TODAY()),NEGOCIAÇÕES!C1712,"")</f>
        <v/>
      </c>
      <c r="C1712" s="6">
        <f ca="1">IF(AND(NEGOCIAÇÕES!P1712="",NEGOCIAÇÕES!N1712&lt;TODAY()),NEGOCIAÇÕES!E1712,"")</f>
        <v>0</v>
      </c>
      <c r="D1712" s="6">
        <f ca="1">IF(AND(NEGOCIAÇÕES!P1712="",NEGOCIAÇÕES!N1712&lt;TODAY()),NEGOCIAÇÕES!D1712,"")</f>
        <v>0</v>
      </c>
      <c r="E1712" s="9">
        <f ca="1">IF(AND(NEGOCIAÇÕES!P1712="",NEGOCIAÇÕES!N1712&lt;TODAY()),NEGOCIAÇÕES!N1712,"")</f>
        <v>0</v>
      </c>
    </row>
    <row r="1713" spans="2:5" ht="31.95" hidden="1" customHeight="1" x14ac:dyDescent="0.3">
      <c r="B1713" s="6" t="str">
        <f ca="1">IF(AND(NEGOCIAÇÕES!P1713="",NEGOCIAÇÕES!N1713&lt;TODAY()),NEGOCIAÇÕES!C1713,"")</f>
        <v/>
      </c>
      <c r="C1713" s="6">
        <f ca="1">IF(AND(NEGOCIAÇÕES!P1713="",NEGOCIAÇÕES!N1713&lt;TODAY()),NEGOCIAÇÕES!E1713,"")</f>
        <v>0</v>
      </c>
      <c r="D1713" s="6">
        <f ca="1">IF(AND(NEGOCIAÇÕES!P1713="",NEGOCIAÇÕES!N1713&lt;TODAY()),NEGOCIAÇÕES!D1713,"")</f>
        <v>0</v>
      </c>
      <c r="E1713" s="9">
        <f ca="1">IF(AND(NEGOCIAÇÕES!P1713="",NEGOCIAÇÕES!N1713&lt;TODAY()),NEGOCIAÇÕES!N1713,"")</f>
        <v>0</v>
      </c>
    </row>
    <row r="1714" spans="2:5" ht="31.95" hidden="1" customHeight="1" x14ac:dyDescent="0.3">
      <c r="B1714" s="6" t="str">
        <f ca="1">IF(AND(NEGOCIAÇÕES!P1714="",NEGOCIAÇÕES!N1714&lt;TODAY()),NEGOCIAÇÕES!C1714,"")</f>
        <v/>
      </c>
      <c r="C1714" s="6">
        <f ca="1">IF(AND(NEGOCIAÇÕES!P1714="",NEGOCIAÇÕES!N1714&lt;TODAY()),NEGOCIAÇÕES!E1714,"")</f>
        <v>0</v>
      </c>
      <c r="D1714" s="6">
        <f ca="1">IF(AND(NEGOCIAÇÕES!P1714="",NEGOCIAÇÕES!N1714&lt;TODAY()),NEGOCIAÇÕES!D1714,"")</f>
        <v>0</v>
      </c>
      <c r="E1714" s="9">
        <f ca="1">IF(AND(NEGOCIAÇÕES!P1714="",NEGOCIAÇÕES!N1714&lt;TODAY()),NEGOCIAÇÕES!N1714,"")</f>
        <v>0</v>
      </c>
    </row>
    <row r="1715" spans="2:5" ht="31.95" hidden="1" customHeight="1" x14ac:dyDescent="0.3">
      <c r="B1715" s="6" t="str">
        <f ca="1">IF(AND(NEGOCIAÇÕES!P1715="",NEGOCIAÇÕES!N1715&lt;TODAY()),NEGOCIAÇÕES!C1715,"")</f>
        <v/>
      </c>
      <c r="C1715" s="6">
        <f ca="1">IF(AND(NEGOCIAÇÕES!P1715="",NEGOCIAÇÕES!N1715&lt;TODAY()),NEGOCIAÇÕES!E1715,"")</f>
        <v>0</v>
      </c>
      <c r="D1715" s="6">
        <f ca="1">IF(AND(NEGOCIAÇÕES!P1715="",NEGOCIAÇÕES!N1715&lt;TODAY()),NEGOCIAÇÕES!D1715,"")</f>
        <v>0</v>
      </c>
      <c r="E1715" s="9">
        <f ca="1">IF(AND(NEGOCIAÇÕES!P1715="",NEGOCIAÇÕES!N1715&lt;TODAY()),NEGOCIAÇÕES!N1715,"")</f>
        <v>0</v>
      </c>
    </row>
    <row r="1716" spans="2:5" ht="31.95" hidden="1" customHeight="1" x14ac:dyDescent="0.3">
      <c r="B1716" s="6" t="str">
        <f ca="1">IF(AND(NEGOCIAÇÕES!P1716="",NEGOCIAÇÕES!N1716&lt;TODAY()),NEGOCIAÇÕES!C1716,"")</f>
        <v/>
      </c>
      <c r="C1716" s="6">
        <f ca="1">IF(AND(NEGOCIAÇÕES!P1716="",NEGOCIAÇÕES!N1716&lt;TODAY()),NEGOCIAÇÕES!E1716,"")</f>
        <v>0</v>
      </c>
      <c r="D1716" s="6">
        <f ca="1">IF(AND(NEGOCIAÇÕES!P1716="",NEGOCIAÇÕES!N1716&lt;TODAY()),NEGOCIAÇÕES!D1716,"")</f>
        <v>0</v>
      </c>
      <c r="E1716" s="9">
        <f ca="1">IF(AND(NEGOCIAÇÕES!P1716="",NEGOCIAÇÕES!N1716&lt;TODAY()),NEGOCIAÇÕES!N1716,"")</f>
        <v>0</v>
      </c>
    </row>
    <row r="1717" spans="2:5" ht="31.95" hidden="1" customHeight="1" x14ac:dyDescent="0.3">
      <c r="B1717" s="6" t="str">
        <f ca="1">IF(AND(NEGOCIAÇÕES!P1717="",NEGOCIAÇÕES!N1717&lt;TODAY()),NEGOCIAÇÕES!C1717,"")</f>
        <v/>
      </c>
      <c r="C1717" s="6">
        <f ca="1">IF(AND(NEGOCIAÇÕES!P1717="",NEGOCIAÇÕES!N1717&lt;TODAY()),NEGOCIAÇÕES!E1717,"")</f>
        <v>0</v>
      </c>
      <c r="D1717" s="6">
        <f ca="1">IF(AND(NEGOCIAÇÕES!P1717="",NEGOCIAÇÕES!N1717&lt;TODAY()),NEGOCIAÇÕES!D1717,"")</f>
        <v>0</v>
      </c>
      <c r="E1717" s="9">
        <f ca="1">IF(AND(NEGOCIAÇÕES!P1717="",NEGOCIAÇÕES!N1717&lt;TODAY()),NEGOCIAÇÕES!N1717,"")</f>
        <v>0</v>
      </c>
    </row>
    <row r="1718" spans="2:5" ht="31.95" hidden="1" customHeight="1" x14ac:dyDescent="0.3">
      <c r="B1718" s="6" t="str">
        <f ca="1">IF(AND(NEGOCIAÇÕES!P1718="",NEGOCIAÇÕES!N1718&lt;TODAY()),NEGOCIAÇÕES!C1718,"")</f>
        <v/>
      </c>
      <c r="C1718" s="6">
        <f ca="1">IF(AND(NEGOCIAÇÕES!P1718="",NEGOCIAÇÕES!N1718&lt;TODAY()),NEGOCIAÇÕES!E1718,"")</f>
        <v>0</v>
      </c>
      <c r="D1718" s="6">
        <f ca="1">IF(AND(NEGOCIAÇÕES!P1718="",NEGOCIAÇÕES!N1718&lt;TODAY()),NEGOCIAÇÕES!D1718,"")</f>
        <v>0</v>
      </c>
      <c r="E1718" s="9">
        <f ca="1">IF(AND(NEGOCIAÇÕES!P1718="",NEGOCIAÇÕES!N1718&lt;TODAY()),NEGOCIAÇÕES!N1718,"")</f>
        <v>0</v>
      </c>
    </row>
    <row r="1719" spans="2:5" ht="31.95" hidden="1" customHeight="1" x14ac:dyDescent="0.3">
      <c r="B1719" s="6" t="str">
        <f ca="1">IF(AND(NEGOCIAÇÕES!P1719="",NEGOCIAÇÕES!N1719&lt;TODAY()),NEGOCIAÇÕES!C1719,"")</f>
        <v/>
      </c>
      <c r="C1719" s="6">
        <f ca="1">IF(AND(NEGOCIAÇÕES!P1719="",NEGOCIAÇÕES!N1719&lt;TODAY()),NEGOCIAÇÕES!E1719,"")</f>
        <v>0</v>
      </c>
      <c r="D1719" s="6">
        <f ca="1">IF(AND(NEGOCIAÇÕES!P1719="",NEGOCIAÇÕES!N1719&lt;TODAY()),NEGOCIAÇÕES!D1719,"")</f>
        <v>0</v>
      </c>
      <c r="E1719" s="9">
        <f ca="1">IF(AND(NEGOCIAÇÕES!P1719="",NEGOCIAÇÕES!N1719&lt;TODAY()),NEGOCIAÇÕES!N1719,"")</f>
        <v>0</v>
      </c>
    </row>
    <row r="1720" spans="2:5" ht="31.95" hidden="1" customHeight="1" x14ac:dyDescent="0.3">
      <c r="B1720" s="6" t="str">
        <f ca="1">IF(AND(NEGOCIAÇÕES!P1720="",NEGOCIAÇÕES!N1720&lt;TODAY()),NEGOCIAÇÕES!C1720,"")</f>
        <v/>
      </c>
      <c r="C1720" s="6">
        <f ca="1">IF(AND(NEGOCIAÇÕES!P1720="",NEGOCIAÇÕES!N1720&lt;TODAY()),NEGOCIAÇÕES!E1720,"")</f>
        <v>0</v>
      </c>
      <c r="D1720" s="6">
        <f ca="1">IF(AND(NEGOCIAÇÕES!P1720="",NEGOCIAÇÕES!N1720&lt;TODAY()),NEGOCIAÇÕES!D1720,"")</f>
        <v>0</v>
      </c>
      <c r="E1720" s="9">
        <f ca="1">IF(AND(NEGOCIAÇÕES!P1720="",NEGOCIAÇÕES!N1720&lt;TODAY()),NEGOCIAÇÕES!N1720,"")</f>
        <v>0</v>
      </c>
    </row>
    <row r="1721" spans="2:5" ht="31.95" hidden="1" customHeight="1" x14ac:dyDescent="0.3">
      <c r="B1721" s="6" t="str">
        <f ca="1">IF(AND(NEGOCIAÇÕES!P1721="",NEGOCIAÇÕES!N1721&lt;TODAY()),NEGOCIAÇÕES!C1721,"")</f>
        <v/>
      </c>
      <c r="C1721" s="6">
        <f ca="1">IF(AND(NEGOCIAÇÕES!P1721="",NEGOCIAÇÕES!N1721&lt;TODAY()),NEGOCIAÇÕES!E1721,"")</f>
        <v>0</v>
      </c>
      <c r="D1721" s="6">
        <f ca="1">IF(AND(NEGOCIAÇÕES!P1721="",NEGOCIAÇÕES!N1721&lt;TODAY()),NEGOCIAÇÕES!D1721,"")</f>
        <v>0</v>
      </c>
      <c r="E1721" s="9">
        <f ca="1">IF(AND(NEGOCIAÇÕES!P1721="",NEGOCIAÇÕES!N1721&lt;TODAY()),NEGOCIAÇÕES!N1721,"")</f>
        <v>0</v>
      </c>
    </row>
    <row r="1722" spans="2:5" ht="31.95" hidden="1" customHeight="1" x14ac:dyDescent="0.3">
      <c r="B1722" s="6" t="str">
        <f ca="1">IF(AND(NEGOCIAÇÕES!P1722="",NEGOCIAÇÕES!N1722&lt;TODAY()),NEGOCIAÇÕES!C1722,"")</f>
        <v/>
      </c>
      <c r="C1722" s="6">
        <f ca="1">IF(AND(NEGOCIAÇÕES!P1722="",NEGOCIAÇÕES!N1722&lt;TODAY()),NEGOCIAÇÕES!E1722,"")</f>
        <v>0</v>
      </c>
      <c r="D1722" s="6">
        <f ca="1">IF(AND(NEGOCIAÇÕES!P1722="",NEGOCIAÇÕES!N1722&lt;TODAY()),NEGOCIAÇÕES!D1722,"")</f>
        <v>0</v>
      </c>
      <c r="E1722" s="9">
        <f ca="1">IF(AND(NEGOCIAÇÕES!P1722="",NEGOCIAÇÕES!N1722&lt;TODAY()),NEGOCIAÇÕES!N1722,"")</f>
        <v>0</v>
      </c>
    </row>
    <row r="1723" spans="2:5" ht="31.95" hidden="1" customHeight="1" x14ac:dyDescent="0.3">
      <c r="B1723" s="6" t="str">
        <f ca="1">IF(AND(NEGOCIAÇÕES!P1723="",NEGOCIAÇÕES!N1723&lt;TODAY()),NEGOCIAÇÕES!C1723,"")</f>
        <v/>
      </c>
      <c r="C1723" s="6">
        <f ca="1">IF(AND(NEGOCIAÇÕES!P1723="",NEGOCIAÇÕES!N1723&lt;TODAY()),NEGOCIAÇÕES!E1723,"")</f>
        <v>0</v>
      </c>
      <c r="D1723" s="6">
        <f ca="1">IF(AND(NEGOCIAÇÕES!P1723="",NEGOCIAÇÕES!N1723&lt;TODAY()),NEGOCIAÇÕES!D1723,"")</f>
        <v>0</v>
      </c>
      <c r="E1723" s="9">
        <f ca="1">IF(AND(NEGOCIAÇÕES!P1723="",NEGOCIAÇÕES!N1723&lt;TODAY()),NEGOCIAÇÕES!N1723,"")</f>
        <v>0</v>
      </c>
    </row>
    <row r="1724" spans="2:5" ht="31.95" hidden="1" customHeight="1" x14ac:dyDescent="0.3">
      <c r="B1724" s="6" t="str">
        <f ca="1">IF(AND(NEGOCIAÇÕES!P1724="",NEGOCIAÇÕES!N1724&lt;TODAY()),NEGOCIAÇÕES!C1724,"")</f>
        <v/>
      </c>
      <c r="C1724" s="6">
        <f ca="1">IF(AND(NEGOCIAÇÕES!P1724="",NEGOCIAÇÕES!N1724&lt;TODAY()),NEGOCIAÇÕES!E1724,"")</f>
        <v>0</v>
      </c>
      <c r="D1724" s="6">
        <f ca="1">IF(AND(NEGOCIAÇÕES!P1724="",NEGOCIAÇÕES!N1724&lt;TODAY()),NEGOCIAÇÕES!D1724,"")</f>
        <v>0</v>
      </c>
      <c r="E1724" s="9">
        <f ca="1">IF(AND(NEGOCIAÇÕES!P1724="",NEGOCIAÇÕES!N1724&lt;TODAY()),NEGOCIAÇÕES!N1724,"")</f>
        <v>0</v>
      </c>
    </row>
    <row r="1725" spans="2:5" ht="31.95" hidden="1" customHeight="1" x14ac:dyDescent="0.3">
      <c r="B1725" s="6" t="str">
        <f ca="1">IF(AND(NEGOCIAÇÕES!P1725="",NEGOCIAÇÕES!N1725&lt;TODAY()),NEGOCIAÇÕES!C1725,"")</f>
        <v/>
      </c>
      <c r="C1725" s="6">
        <f ca="1">IF(AND(NEGOCIAÇÕES!P1725="",NEGOCIAÇÕES!N1725&lt;TODAY()),NEGOCIAÇÕES!E1725,"")</f>
        <v>0</v>
      </c>
      <c r="D1725" s="6">
        <f ca="1">IF(AND(NEGOCIAÇÕES!P1725="",NEGOCIAÇÕES!N1725&lt;TODAY()),NEGOCIAÇÕES!D1725,"")</f>
        <v>0</v>
      </c>
      <c r="E1725" s="9">
        <f ca="1">IF(AND(NEGOCIAÇÕES!P1725="",NEGOCIAÇÕES!N1725&lt;TODAY()),NEGOCIAÇÕES!N1725,"")</f>
        <v>0</v>
      </c>
    </row>
    <row r="1726" spans="2:5" ht="31.95" hidden="1" customHeight="1" x14ac:dyDescent="0.3">
      <c r="B1726" s="6" t="str">
        <f ca="1">IF(AND(NEGOCIAÇÕES!P1726="",NEGOCIAÇÕES!N1726&lt;TODAY()),NEGOCIAÇÕES!C1726,"")</f>
        <v/>
      </c>
      <c r="C1726" s="6">
        <f ca="1">IF(AND(NEGOCIAÇÕES!P1726="",NEGOCIAÇÕES!N1726&lt;TODAY()),NEGOCIAÇÕES!E1726,"")</f>
        <v>0</v>
      </c>
      <c r="D1726" s="6">
        <f ca="1">IF(AND(NEGOCIAÇÕES!P1726="",NEGOCIAÇÕES!N1726&lt;TODAY()),NEGOCIAÇÕES!D1726,"")</f>
        <v>0</v>
      </c>
      <c r="E1726" s="9">
        <f ca="1">IF(AND(NEGOCIAÇÕES!P1726="",NEGOCIAÇÕES!N1726&lt;TODAY()),NEGOCIAÇÕES!N1726,"")</f>
        <v>0</v>
      </c>
    </row>
    <row r="1727" spans="2:5" ht="31.95" hidden="1" customHeight="1" x14ac:dyDescent="0.3">
      <c r="B1727" s="6" t="str">
        <f ca="1">IF(AND(NEGOCIAÇÕES!P1727="",NEGOCIAÇÕES!N1727&lt;TODAY()),NEGOCIAÇÕES!C1727,"")</f>
        <v/>
      </c>
      <c r="C1727" s="6">
        <f ca="1">IF(AND(NEGOCIAÇÕES!P1727="",NEGOCIAÇÕES!N1727&lt;TODAY()),NEGOCIAÇÕES!E1727,"")</f>
        <v>0</v>
      </c>
      <c r="D1727" s="6">
        <f ca="1">IF(AND(NEGOCIAÇÕES!P1727="",NEGOCIAÇÕES!N1727&lt;TODAY()),NEGOCIAÇÕES!D1727,"")</f>
        <v>0</v>
      </c>
      <c r="E1727" s="9">
        <f ca="1">IF(AND(NEGOCIAÇÕES!P1727="",NEGOCIAÇÕES!N1727&lt;TODAY()),NEGOCIAÇÕES!N1727,"")</f>
        <v>0</v>
      </c>
    </row>
    <row r="1728" spans="2:5" ht="31.95" hidden="1" customHeight="1" x14ac:dyDescent="0.3">
      <c r="B1728" s="6" t="str">
        <f ca="1">IF(AND(NEGOCIAÇÕES!P1728="",NEGOCIAÇÕES!N1728&lt;TODAY()),NEGOCIAÇÕES!C1728,"")</f>
        <v/>
      </c>
      <c r="C1728" s="6">
        <f ca="1">IF(AND(NEGOCIAÇÕES!P1728="",NEGOCIAÇÕES!N1728&lt;TODAY()),NEGOCIAÇÕES!E1728,"")</f>
        <v>0</v>
      </c>
      <c r="D1728" s="6">
        <f ca="1">IF(AND(NEGOCIAÇÕES!P1728="",NEGOCIAÇÕES!N1728&lt;TODAY()),NEGOCIAÇÕES!D1728,"")</f>
        <v>0</v>
      </c>
      <c r="E1728" s="9">
        <f ca="1">IF(AND(NEGOCIAÇÕES!P1728="",NEGOCIAÇÕES!N1728&lt;TODAY()),NEGOCIAÇÕES!N1728,"")</f>
        <v>0</v>
      </c>
    </row>
    <row r="1729" spans="2:5" ht="31.95" hidden="1" customHeight="1" x14ac:dyDescent="0.3">
      <c r="B1729" s="6" t="str">
        <f ca="1">IF(AND(NEGOCIAÇÕES!P1729="",NEGOCIAÇÕES!N1729&lt;TODAY()),NEGOCIAÇÕES!C1729,"")</f>
        <v/>
      </c>
      <c r="C1729" s="6">
        <f ca="1">IF(AND(NEGOCIAÇÕES!P1729="",NEGOCIAÇÕES!N1729&lt;TODAY()),NEGOCIAÇÕES!E1729,"")</f>
        <v>0</v>
      </c>
      <c r="D1729" s="6">
        <f ca="1">IF(AND(NEGOCIAÇÕES!P1729="",NEGOCIAÇÕES!N1729&lt;TODAY()),NEGOCIAÇÕES!D1729,"")</f>
        <v>0</v>
      </c>
      <c r="E1729" s="9">
        <f ca="1">IF(AND(NEGOCIAÇÕES!P1729="",NEGOCIAÇÕES!N1729&lt;TODAY()),NEGOCIAÇÕES!N1729,"")</f>
        <v>0</v>
      </c>
    </row>
    <row r="1730" spans="2:5" ht="31.95" hidden="1" customHeight="1" x14ac:dyDescent="0.3">
      <c r="B1730" s="6" t="str">
        <f ca="1">IF(AND(NEGOCIAÇÕES!P1730="",NEGOCIAÇÕES!N1730&lt;TODAY()),NEGOCIAÇÕES!C1730,"")</f>
        <v/>
      </c>
      <c r="C1730" s="6">
        <f ca="1">IF(AND(NEGOCIAÇÕES!P1730="",NEGOCIAÇÕES!N1730&lt;TODAY()),NEGOCIAÇÕES!E1730,"")</f>
        <v>0</v>
      </c>
      <c r="D1730" s="6">
        <f ca="1">IF(AND(NEGOCIAÇÕES!P1730="",NEGOCIAÇÕES!N1730&lt;TODAY()),NEGOCIAÇÕES!D1730,"")</f>
        <v>0</v>
      </c>
      <c r="E1730" s="9">
        <f ca="1">IF(AND(NEGOCIAÇÕES!P1730="",NEGOCIAÇÕES!N1730&lt;TODAY()),NEGOCIAÇÕES!N1730,"")</f>
        <v>0</v>
      </c>
    </row>
    <row r="1731" spans="2:5" ht="31.95" hidden="1" customHeight="1" x14ac:dyDescent="0.3">
      <c r="B1731" s="6" t="str">
        <f ca="1">IF(AND(NEGOCIAÇÕES!P1731="",NEGOCIAÇÕES!N1731&lt;TODAY()),NEGOCIAÇÕES!C1731,"")</f>
        <v/>
      </c>
      <c r="C1731" s="6">
        <f ca="1">IF(AND(NEGOCIAÇÕES!P1731="",NEGOCIAÇÕES!N1731&lt;TODAY()),NEGOCIAÇÕES!E1731,"")</f>
        <v>0</v>
      </c>
      <c r="D1731" s="6">
        <f ca="1">IF(AND(NEGOCIAÇÕES!P1731="",NEGOCIAÇÕES!N1731&lt;TODAY()),NEGOCIAÇÕES!D1731,"")</f>
        <v>0</v>
      </c>
      <c r="E1731" s="9">
        <f ca="1">IF(AND(NEGOCIAÇÕES!P1731="",NEGOCIAÇÕES!N1731&lt;TODAY()),NEGOCIAÇÕES!N1731,"")</f>
        <v>0</v>
      </c>
    </row>
    <row r="1732" spans="2:5" ht="31.95" hidden="1" customHeight="1" x14ac:dyDescent="0.3">
      <c r="B1732" s="6" t="str">
        <f ca="1">IF(AND(NEGOCIAÇÕES!P1732="",NEGOCIAÇÕES!N1732&lt;TODAY()),NEGOCIAÇÕES!C1732,"")</f>
        <v/>
      </c>
      <c r="C1732" s="6">
        <f ca="1">IF(AND(NEGOCIAÇÕES!P1732="",NEGOCIAÇÕES!N1732&lt;TODAY()),NEGOCIAÇÕES!E1732,"")</f>
        <v>0</v>
      </c>
      <c r="D1732" s="6">
        <f ca="1">IF(AND(NEGOCIAÇÕES!P1732="",NEGOCIAÇÕES!N1732&lt;TODAY()),NEGOCIAÇÕES!D1732,"")</f>
        <v>0</v>
      </c>
      <c r="E1732" s="9">
        <f ca="1">IF(AND(NEGOCIAÇÕES!P1732="",NEGOCIAÇÕES!N1732&lt;TODAY()),NEGOCIAÇÕES!N1732,"")</f>
        <v>0</v>
      </c>
    </row>
    <row r="1733" spans="2:5" ht="31.95" hidden="1" customHeight="1" x14ac:dyDescent="0.3">
      <c r="B1733" s="6" t="str">
        <f ca="1">IF(AND(NEGOCIAÇÕES!P1733="",NEGOCIAÇÕES!N1733&lt;TODAY()),NEGOCIAÇÕES!C1733,"")</f>
        <v/>
      </c>
      <c r="C1733" s="6">
        <f ca="1">IF(AND(NEGOCIAÇÕES!P1733="",NEGOCIAÇÕES!N1733&lt;TODAY()),NEGOCIAÇÕES!E1733,"")</f>
        <v>0</v>
      </c>
      <c r="D1733" s="6">
        <f ca="1">IF(AND(NEGOCIAÇÕES!P1733="",NEGOCIAÇÕES!N1733&lt;TODAY()),NEGOCIAÇÕES!D1733,"")</f>
        <v>0</v>
      </c>
      <c r="E1733" s="9">
        <f ca="1">IF(AND(NEGOCIAÇÕES!P1733="",NEGOCIAÇÕES!N1733&lt;TODAY()),NEGOCIAÇÕES!N1733,"")</f>
        <v>0</v>
      </c>
    </row>
    <row r="1734" spans="2:5" ht="31.95" hidden="1" customHeight="1" x14ac:dyDescent="0.3">
      <c r="B1734" s="6" t="str">
        <f ca="1">IF(AND(NEGOCIAÇÕES!P1734="",NEGOCIAÇÕES!N1734&lt;TODAY()),NEGOCIAÇÕES!C1734,"")</f>
        <v/>
      </c>
      <c r="C1734" s="6">
        <f ca="1">IF(AND(NEGOCIAÇÕES!P1734="",NEGOCIAÇÕES!N1734&lt;TODAY()),NEGOCIAÇÕES!E1734,"")</f>
        <v>0</v>
      </c>
      <c r="D1734" s="6">
        <f ca="1">IF(AND(NEGOCIAÇÕES!P1734="",NEGOCIAÇÕES!N1734&lt;TODAY()),NEGOCIAÇÕES!D1734,"")</f>
        <v>0</v>
      </c>
      <c r="E1734" s="9">
        <f ca="1">IF(AND(NEGOCIAÇÕES!P1734="",NEGOCIAÇÕES!N1734&lt;TODAY()),NEGOCIAÇÕES!N1734,"")</f>
        <v>0</v>
      </c>
    </row>
    <row r="1735" spans="2:5" ht="31.95" hidden="1" customHeight="1" x14ac:dyDescent="0.3">
      <c r="B1735" s="6" t="str">
        <f ca="1">IF(AND(NEGOCIAÇÕES!P1735="",NEGOCIAÇÕES!N1735&lt;TODAY()),NEGOCIAÇÕES!C1735,"")</f>
        <v/>
      </c>
      <c r="C1735" s="6">
        <f ca="1">IF(AND(NEGOCIAÇÕES!P1735="",NEGOCIAÇÕES!N1735&lt;TODAY()),NEGOCIAÇÕES!E1735,"")</f>
        <v>0</v>
      </c>
      <c r="D1735" s="6">
        <f ca="1">IF(AND(NEGOCIAÇÕES!P1735="",NEGOCIAÇÕES!N1735&lt;TODAY()),NEGOCIAÇÕES!D1735,"")</f>
        <v>0</v>
      </c>
      <c r="E1735" s="9">
        <f ca="1">IF(AND(NEGOCIAÇÕES!P1735="",NEGOCIAÇÕES!N1735&lt;TODAY()),NEGOCIAÇÕES!N1735,"")</f>
        <v>0</v>
      </c>
    </row>
    <row r="1736" spans="2:5" ht="31.95" hidden="1" customHeight="1" x14ac:dyDescent="0.3">
      <c r="B1736" s="6" t="str">
        <f ca="1">IF(AND(NEGOCIAÇÕES!P1736="",NEGOCIAÇÕES!N1736&lt;TODAY()),NEGOCIAÇÕES!C1736,"")</f>
        <v/>
      </c>
      <c r="C1736" s="6">
        <f ca="1">IF(AND(NEGOCIAÇÕES!P1736="",NEGOCIAÇÕES!N1736&lt;TODAY()),NEGOCIAÇÕES!E1736,"")</f>
        <v>0</v>
      </c>
      <c r="D1736" s="6">
        <f ca="1">IF(AND(NEGOCIAÇÕES!P1736="",NEGOCIAÇÕES!N1736&lt;TODAY()),NEGOCIAÇÕES!D1736,"")</f>
        <v>0</v>
      </c>
      <c r="E1736" s="9">
        <f ca="1">IF(AND(NEGOCIAÇÕES!P1736="",NEGOCIAÇÕES!N1736&lt;TODAY()),NEGOCIAÇÕES!N1736,"")</f>
        <v>0</v>
      </c>
    </row>
    <row r="1737" spans="2:5" ht="31.95" hidden="1" customHeight="1" x14ac:dyDescent="0.3">
      <c r="B1737" s="6" t="str">
        <f ca="1">IF(AND(NEGOCIAÇÕES!P1737="",NEGOCIAÇÕES!N1737&lt;TODAY()),NEGOCIAÇÕES!C1737,"")</f>
        <v/>
      </c>
      <c r="C1737" s="6">
        <f ca="1">IF(AND(NEGOCIAÇÕES!P1737="",NEGOCIAÇÕES!N1737&lt;TODAY()),NEGOCIAÇÕES!E1737,"")</f>
        <v>0</v>
      </c>
      <c r="D1737" s="6">
        <f ca="1">IF(AND(NEGOCIAÇÕES!P1737="",NEGOCIAÇÕES!N1737&lt;TODAY()),NEGOCIAÇÕES!D1737,"")</f>
        <v>0</v>
      </c>
      <c r="E1737" s="9">
        <f ca="1">IF(AND(NEGOCIAÇÕES!P1737="",NEGOCIAÇÕES!N1737&lt;TODAY()),NEGOCIAÇÕES!N1737,"")</f>
        <v>0</v>
      </c>
    </row>
    <row r="1738" spans="2:5" ht="31.95" hidden="1" customHeight="1" x14ac:dyDescent="0.3">
      <c r="B1738" s="6" t="str">
        <f ca="1">IF(AND(NEGOCIAÇÕES!P1738="",NEGOCIAÇÕES!N1738&lt;TODAY()),NEGOCIAÇÕES!C1738,"")</f>
        <v/>
      </c>
      <c r="C1738" s="6">
        <f ca="1">IF(AND(NEGOCIAÇÕES!P1738="",NEGOCIAÇÕES!N1738&lt;TODAY()),NEGOCIAÇÕES!E1738,"")</f>
        <v>0</v>
      </c>
      <c r="D1738" s="6">
        <f ca="1">IF(AND(NEGOCIAÇÕES!P1738="",NEGOCIAÇÕES!N1738&lt;TODAY()),NEGOCIAÇÕES!D1738,"")</f>
        <v>0</v>
      </c>
      <c r="E1738" s="9">
        <f ca="1">IF(AND(NEGOCIAÇÕES!P1738="",NEGOCIAÇÕES!N1738&lt;TODAY()),NEGOCIAÇÕES!N1738,"")</f>
        <v>0</v>
      </c>
    </row>
    <row r="1739" spans="2:5" ht="31.95" hidden="1" customHeight="1" x14ac:dyDescent="0.3">
      <c r="B1739" s="6" t="str">
        <f ca="1">IF(AND(NEGOCIAÇÕES!P1739="",NEGOCIAÇÕES!N1739&lt;TODAY()),NEGOCIAÇÕES!C1739,"")</f>
        <v/>
      </c>
      <c r="C1739" s="6">
        <f ca="1">IF(AND(NEGOCIAÇÕES!P1739="",NEGOCIAÇÕES!N1739&lt;TODAY()),NEGOCIAÇÕES!E1739,"")</f>
        <v>0</v>
      </c>
      <c r="D1739" s="6">
        <f ca="1">IF(AND(NEGOCIAÇÕES!P1739="",NEGOCIAÇÕES!N1739&lt;TODAY()),NEGOCIAÇÕES!D1739,"")</f>
        <v>0</v>
      </c>
      <c r="E1739" s="9">
        <f ca="1">IF(AND(NEGOCIAÇÕES!P1739="",NEGOCIAÇÕES!N1739&lt;TODAY()),NEGOCIAÇÕES!N1739,"")</f>
        <v>0</v>
      </c>
    </row>
    <row r="1740" spans="2:5" ht="31.95" hidden="1" customHeight="1" x14ac:dyDescent="0.3">
      <c r="B1740" s="6" t="str">
        <f ca="1">IF(AND(NEGOCIAÇÕES!P1740="",NEGOCIAÇÕES!N1740&lt;TODAY()),NEGOCIAÇÕES!C1740,"")</f>
        <v/>
      </c>
      <c r="C1740" s="6">
        <f ca="1">IF(AND(NEGOCIAÇÕES!P1740="",NEGOCIAÇÕES!N1740&lt;TODAY()),NEGOCIAÇÕES!E1740,"")</f>
        <v>0</v>
      </c>
      <c r="D1740" s="6">
        <f ca="1">IF(AND(NEGOCIAÇÕES!P1740="",NEGOCIAÇÕES!N1740&lt;TODAY()),NEGOCIAÇÕES!D1740,"")</f>
        <v>0</v>
      </c>
      <c r="E1740" s="9">
        <f ca="1">IF(AND(NEGOCIAÇÕES!P1740="",NEGOCIAÇÕES!N1740&lt;TODAY()),NEGOCIAÇÕES!N1740,"")</f>
        <v>0</v>
      </c>
    </row>
    <row r="1741" spans="2:5" ht="31.95" hidden="1" customHeight="1" x14ac:dyDescent="0.3">
      <c r="B1741" s="6" t="str">
        <f ca="1">IF(AND(NEGOCIAÇÕES!P1741="",NEGOCIAÇÕES!N1741&lt;TODAY()),NEGOCIAÇÕES!C1741,"")</f>
        <v/>
      </c>
      <c r="C1741" s="6">
        <f ca="1">IF(AND(NEGOCIAÇÕES!P1741="",NEGOCIAÇÕES!N1741&lt;TODAY()),NEGOCIAÇÕES!E1741,"")</f>
        <v>0</v>
      </c>
      <c r="D1741" s="6">
        <f ca="1">IF(AND(NEGOCIAÇÕES!P1741="",NEGOCIAÇÕES!N1741&lt;TODAY()),NEGOCIAÇÕES!D1741,"")</f>
        <v>0</v>
      </c>
      <c r="E1741" s="9">
        <f ca="1">IF(AND(NEGOCIAÇÕES!P1741="",NEGOCIAÇÕES!N1741&lt;TODAY()),NEGOCIAÇÕES!N1741,"")</f>
        <v>0</v>
      </c>
    </row>
    <row r="1742" spans="2:5" ht="31.95" hidden="1" customHeight="1" x14ac:dyDescent="0.3">
      <c r="B1742" s="6" t="str">
        <f ca="1">IF(AND(NEGOCIAÇÕES!P1742="",NEGOCIAÇÕES!N1742&lt;TODAY()),NEGOCIAÇÕES!C1742,"")</f>
        <v/>
      </c>
      <c r="C1742" s="6">
        <f ca="1">IF(AND(NEGOCIAÇÕES!P1742="",NEGOCIAÇÕES!N1742&lt;TODAY()),NEGOCIAÇÕES!E1742,"")</f>
        <v>0</v>
      </c>
      <c r="D1742" s="6">
        <f ca="1">IF(AND(NEGOCIAÇÕES!P1742="",NEGOCIAÇÕES!N1742&lt;TODAY()),NEGOCIAÇÕES!D1742,"")</f>
        <v>0</v>
      </c>
      <c r="E1742" s="9">
        <f ca="1">IF(AND(NEGOCIAÇÕES!P1742="",NEGOCIAÇÕES!N1742&lt;TODAY()),NEGOCIAÇÕES!N1742,"")</f>
        <v>0</v>
      </c>
    </row>
    <row r="1743" spans="2:5" ht="31.95" hidden="1" customHeight="1" x14ac:dyDescent="0.3">
      <c r="B1743" s="6" t="str">
        <f ca="1">IF(AND(NEGOCIAÇÕES!P1743="",NEGOCIAÇÕES!N1743&lt;TODAY()),NEGOCIAÇÕES!C1743,"")</f>
        <v/>
      </c>
      <c r="C1743" s="6">
        <f ca="1">IF(AND(NEGOCIAÇÕES!P1743="",NEGOCIAÇÕES!N1743&lt;TODAY()),NEGOCIAÇÕES!E1743,"")</f>
        <v>0</v>
      </c>
      <c r="D1743" s="6">
        <f ca="1">IF(AND(NEGOCIAÇÕES!P1743="",NEGOCIAÇÕES!N1743&lt;TODAY()),NEGOCIAÇÕES!D1743,"")</f>
        <v>0</v>
      </c>
      <c r="E1743" s="9">
        <f ca="1">IF(AND(NEGOCIAÇÕES!P1743="",NEGOCIAÇÕES!N1743&lt;TODAY()),NEGOCIAÇÕES!N1743,"")</f>
        <v>0</v>
      </c>
    </row>
    <row r="1744" spans="2:5" ht="31.95" hidden="1" customHeight="1" x14ac:dyDescent="0.3">
      <c r="B1744" s="6" t="str">
        <f ca="1">IF(AND(NEGOCIAÇÕES!P1744="",NEGOCIAÇÕES!N1744&lt;TODAY()),NEGOCIAÇÕES!C1744,"")</f>
        <v/>
      </c>
      <c r="C1744" s="6">
        <f ca="1">IF(AND(NEGOCIAÇÕES!P1744="",NEGOCIAÇÕES!N1744&lt;TODAY()),NEGOCIAÇÕES!E1744,"")</f>
        <v>0</v>
      </c>
      <c r="D1744" s="6">
        <f ca="1">IF(AND(NEGOCIAÇÕES!P1744="",NEGOCIAÇÕES!N1744&lt;TODAY()),NEGOCIAÇÕES!D1744,"")</f>
        <v>0</v>
      </c>
      <c r="E1744" s="9">
        <f ca="1">IF(AND(NEGOCIAÇÕES!P1744="",NEGOCIAÇÕES!N1744&lt;TODAY()),NEGOCIAÇÕES!N1744,"")</f>
        <v>0</v>
      </c>
    </row>
    <row r="1745" spans="2:5" ht="31.95" hidden="1" customHeight="1" x14ac:dyDescent="0.3">
      <c r="B1745" s="6" t="str">
        <f ca="1">IF(AND(NEGOCIAÇÕES!P1745="",NEGOCIAÇÕES!N1745&lt;TODAY()),NEGOCIAÇÕES!C1745,"")</f>
        <v/>
      </c>
      <c r="C1745" s="6">
        <f ca="1">IF(AND(NEGOCIAÇÕES!P1745="",NEGOCIAÇÕES!N1745&lt;TODAY()),NEGOCIAÇÕES!E1745,"")</f>
        <v>0</v>
      </c>
      <c r="D1745" s="6">
        <f ca="1">IF(AND(NEGOCIAÇÕES!P1745="",NEGOCIAÇÕES!N1745&lt;TODAY()),NEGOCIAÇÕES!D1745,"")</f>
        <v>0</v>
      </c>
      <c r="E1745" s="9">
        <f ca="1">IF(AND(NEGOCIAÇÕES!P1745="",NEGOCIAÇÕES!N1745&lt;TODAY()),NEGOCIAÇÕES!N1745,"")</f>
        <v>0</v>
      </c>
    </row>
    <row r="1746" spans="2:5" ht="31.95" hidden="1" customHeight="1" x14ac:dyDescent="0.3">
      <c r="B1746" s="6" t="str">
        <f ca="1">IF(AND(NEGOCIAÇÕES!P1746="",NEGOCIAÇÕES!N1746&lt;TODAY()),NEGOCIAÇÕES!C1746,"")</f>
        <v/>
      </c>
      <c r="C1746" s="6">
        <f ca="1">IF(AND(NEGOCIAÇÕES!P1746="",NEGOCIAÇÕES!N1746&lt;TODAY()),NEGOCIAÇÕES!E1746,"")</f>
        <v>0</v>
      </c>
      <c r="D1746" s="6">
        <f ca="1">IF(AND(NEGOCIAÇÕES!P1746="",NEGOCIAÇÕES!N1746&lt;TODAY()),NEGOCIAÇÕES!D1746,"")</f>
        <v>0</v>
      </c>
      <c r="E1746" s="9">
        <f ca="1">IF(AND(NEGOCIAÇÕES!P1746="",NEGOCIAÇÕES!N1746&lt;TODAY()),NEGOCIAÇÕES!N1746,"")</f>
        <v>0</v>
      </c>
    </row>
    <row r="1747" spans="2:5" ht="31.95" hidden="1" customHeight="1" x14ac:dyDescent="0.3">
      <c r="B1747" s="6" t="str">
        <f ca="1">IF(AND(NEGOCIAÇÕES!P1747="",NEGOCIAÇÕES!N1747&lt;TODAY()),NEGOCIAÇÕES!C1747,"")</f>
        <v/>
      </c>
      <c r="C1747" s="6">
        <f ca="1">IF(AND(NEGOCIAÇÕES!P1747="",NEGOCIAÇÕES!N1747&lt;TODAY()),NEGOCIAÇÕES!E1747,"")</f>
        <v>0</v>
      </c>
      <c r="D1747" s="6">
        <f ca="1">IF(AND(NEGOCIAÇÕES!P1747="",NEGOCIAÇÕES!N1747&lt;TODAY()),NEGOCIAÇÕES!D1747,"")</f>
        <v>0</v>
      </c>
      <c r="E1747" s="9">
        <f ca="1">IF(AND(NEGOCIAÇÕES!P1747="",NEGOCIAÇÕES!N1747&lt;TODAY()),NEGOCIAÇÕES!N1747,"")</f>
        <v>0</v>
      </c>
    </row>
    <row r="1748" spans="2:5" ht="31.95" hidden="1" customHeight="1" x14ac:dyDescent="0.3">
      <c r="B1748" s="6" t="str">
        <f ca="1">IF(AND(NEGOCIAÇÕES!P1748="",NEGOCIAÇÕES!N1748&lt;TODAY()),NEGOCIAÇÕES!C1748,"")</f>
        <v/>
      </c>
      <c r="C1748" s="6">
        <f ca="1">IF(AND(NEGOCIAÇÕES!P1748="",NEGOCIAÇÕES!N1748&lt;TODAY()),NEGOCIAÇÕES!E1748,"")</f>
        <v>0</v>
      </c>
      <c r="D1748" s="6">
        <f ca="1">IF(AND(NEGOCIAÇÕES!P1748="",NEGOCIAÇÕES!N1748&lt;TODAY()),NEGOCIAÇÕES!D1748,"")</f>
        <v>0</v>
      </c>
      <c r="E1748" s="9">
        <f ca="1">IF(AND(NEGOCIAÇÕES!P1748="",NEGOCIAÇÕES!N1748&lt;TODAY()),NEGOCIAÇÕES!N1748,"")</f>
        <v>0</v>
      </c>
    </row>
    <row r="1749" spans="2:5" ht="31.95" hidden="1" customHeight="1" x14ac:dyDescent="0.3">
      <c r="B1749" s="6" t="str">
        <f ca="1">IF(AND(NEGOCIAÇÕES!P1749="",NEGOCIAÇÕES!N1749&lt;TODAY()),NEGOCIAÇÕES!C1749,"")</f>
        <v/>
      </c>
      <c r="C1749" s="6">
        <f ca="1">IF(AND(NEGOCIAÇÕES!P1749="",NEGOCIAÇÕES!N1749&lt;TODAY()),NEGOCIAÇÕES!E1749,"")</f>
        <v>0</v>
      </c>
      <c r="D1749" s="6">
        <f ca="1">IF(AND(NEGOCIAÇÕES!P1749="",NEGOCIAÇÕES!N1749&lt;TODAY()),NEGOCIAÇÕES!D1749,"")</f>
        <v>0</v>
      </c>
      <c r="E1749" s="9">
        <f ca="1">IF(AND(NEGOCIAÇÕES!P1749="",NEGOCIAÇÕES!N1749&lt;TODAY()),NEGOCIAÇÕES!N1749,"")</f>
        <v>0</v>
      </c>
    </row>
    <row r="1750" spans="2:5" ht="31.95" hidden="1" customHeight="1" x14ac:dyDescent="0.3">
      <c r="B1750" s="6" t="str">
        <f ca="1">IF(AND(NEGOCIAÇÕES!P1750="",NEGOCIAÇÕES!N1750&lt;TODAY()),NEGOCIAÇÕES!C1750,"")</f>
        <v/>
      </c>
      <c r="C1750" s="6">
        <f ca="1">IF(AND(NEGOCIAÇÕES!P1750="",NEGOCIAÇÕES!N1750&lt;TODAY()),NEGOCIAÇÕES!E1750,"")</f>
        <v>0</v>
      </c>
      <c r="D1750" s="6">
        <f ca="1">IF(AND(NEGOCIAÇÕES!P1750="",NEGOCIAÇÕES!N1750&lt;TODAY()),NEGOCIAÇÕES!D1750,"")</f>
        <v>0</v>
      </c>
      <c r="E1750" s="9">
        <f ca="1">IF(AND(NEGOCIAÇÕES!P1750="",NEGOCIAÇÕES!N1750&lt;TODAY()),NEGOCIAÇÕES!N1750,"")</f>
        <v>0</v>
      </c>
    </row>
    <row r="1751" spans="2:5" ht="31.95" hidden="1" customHeight="1" x14ac:dyDescent="0.3">
      <c r="B1751" s="6" t="str">
        <f ca="1">IF(AND(NEGOCIAÇÕES!P1751="",NEGOCIAÇÕES!N1751&lt;TODAY()),NEGOCIAÇÕES!C1751,"")</f>
        <v/>
      </c>
      <c r="C1751" s="6">
        <f ca="1">IF(AND(NEGOCIAÇÕES!P1751="",NEGOCIAÇÕES!N1751&lt;TODAY()),NEGOCIAÇÕES!E1751,"")</f>
        <v>0</v>
      </c>
      <c r="D1751" s="6">
        <f ca="1">IF(AND(NEGOCIAÇÕES!P1751="",NEGOCIAÇÕES!N1751&lt;TODAY()),NEGOCIAÇÕES!D1751,"")</f>
        <v>0</v>
      </c>
      <c r="E1751" s="9">
        <f ca="1">IF(AND(NEGOCIAÇÕES!P1751="",NEGOCIAÇÕES!N1751&lt;TODAY()),NEGOCIAÇÕES!N1751,"")</f>
        <v>0</v>
      </c>
    </row>
    <row r="1752" spans="2:5" ht="31.95" hidden="1" customHeight="1" x14ac:dyDescent="0.3">
      <c r="B1752" s="6" t="str">
        <f ca="1">IF(AND(NEGOCIAÇÕES!P1752="",NEGOCIAÇÕES!N1752&lt;TODAY()),NEGOCIAÇÕES!C1752,"")</f>
        <v/>
      </c>
      <c r="C1752" s="6">
        <f ca="1">IF(AND(NEGOCIAÇÕES!P1752="",NEGOCIAÇÕES!N1752&lt;TODAY()),NEGOCIAÇÕES!E1752,"")</f>
        <v>0</v>
      </c>
      <c r="D1752" s="6">
        <f ca="1">IF(AND(NEGOCIAÇÕES!P1752="",NEGOCIAÇÕES!N1752&lt;TODAY()),NEGOCIAÇÕES!D1752,"")</f>
        <v>0</v>
      </c>
      <c r="E1752" s="9">
        <f ca="1">IF(AND(NEGOCIAÇÕES!P1752="",NEGOCIAÇÕES!N1752&lt;TODAY()),NEGOCIAÇÕES!N1752,"")</f>
        <v>0</v>
      </c>
    </row>
    <row r="1753" spans="2:5" ht="31.95" hidden="1" customHeight="1" x14ac:dyDescent="0.3">
      <c r="B1753" s="6" t="str">
        <f ca="1">IF(AND(NEGOCIAÇÕES!P1753="",NEGOCIAÇÕES!N1753&lt;TODAY()),NEGOCIAÇÕES!C1753,"")</f>
        <v/>
      </c>
      <c r="C1753" s="6">
        <f ca="1">IF(AND(NEGOCIAÇÕES!P1753="",NEGOCIAÇÕES!N1753&lt;TODAY()),NEGOCIAÇÕES!E1753,"")</f>
        <v>0</v>
      </c>
      <c r="D1753" s="6">
        <f ca="1">IF(AND(NEGOCIAÇÕES!P1753="",NEGOCIAÇÕES!N1753&lt;TODAY()),NEGOCIAÇÕES!D1753,"")</f>
        <v>0</v>
      </c>
      <c r="E1753" s="9">
        <f ca="1">IF(AND(NEGOCIAÇÕES!P1753="",NEGOCIAÇÕES!N1753&lt;TODAY()),NEGOCIAÇÕES!N1753,"")</f>
        <v>0</v>
      </c>
    </row>
    <row r="1754" spans="2:5" ht="31.95" hidden="1" customHeight="1" x14ac:dyDescent="0.3">
      <c r="B1754" s="6" t="str">
        <f ca="1">IF(AND(NEGOCIAÇÕES!P1754="",NEGOCIAÇÕES!N1754&lt;TODAY()),NEGOCIAÇÕES!C1754,"")</f>
        <v/>
      </c>
      <c r="C1754" s="6">
        <f ca="1">IF(AND(NEGOCIAÇÕES!P1754="",NEGOCIAÇÕES!N1754&lt;TODAY()),NEGOCIAÇÕES!E1754,"")</f>
        <v>0</v>
      </c>
      <c r="D1754" s="6">
        <f ca="1">IF(AND(NEGOCIAÇÕES!P1754="",NEGOCIAÇÕES!N1754&lt;TODAY()),NEGOCIAÇÕES!D1754,"")</f>
        <v>0</v>
      </c>
      <c r="E1754" s="9">
        <f ca="1">IF(AND(NEGOCIAÇÕES!P1754="",NEGOCIAÇÕES!N1754&lt;TODAY()),NEGOCIAÇÕES!N1754,"")</f>
        <v>0</v>
      </c>
    </row>
    <row r="1755" spans="2:5" ht="31.95" hidden="1" customHeight="1" x14ac:dyDescent="0.3">
      <c r="B1755" s="6" t="str">
        <f ca="1">IF(AND(NEGOCIAÇÕES!P1755="",NEGOCIAÇÕES!N1755&lt;TODAY()),NEGOCIAÇÕES!C1755,"")</f>
        <v/>
      </c>
      <c r="C1755" s="6">
        <f ca="1">IF(AND(NEGOCIAÇÕES!P1755="",NEGOCIAÇÕES!N1755&lt;TODAY()),NEGOCIAÇÕES!E1755,"")</f>
        <v>0</v>
      </c>
      <c r="D1755" s="6">
        <f ca="1">IF(AND(NEGOCIAÇÕES!P1755="",NEGOCIAÇÕES!N1755&lt;TODAY()),NEGOCIAÇÕES!D1755,"")</f>
        <v>0</v>
      </c>
      <c r="E1755" s="9">
        <f ca="1">IF(AND(NEGOCIAÇÕES!P1755="",NEGOCIAÇÕES!N1755&lt;TODAY()),NEGOCIAÇÕES!N1755,"")</f>
        <v>0</v>
      </c>
    </row>
    <row r="1756" spans="2:5" ht="31.95" hidden="1" customHeight="1" x14ac:dyDescent="0.3">
      <c r="B1756" s="6" t="str">
        <f ca="1">IF(AND(NEGOCIAÇÕES!P1756="",NEGOCIAÇÕES!N1756&lt;TODAY()),NEGOCIAÇÕES!C1756,"")</f>
        <v/>
      </c>
      <c r="C1756" s="6">
        <f ca="1">IF(AND(NEGOCIAÇÕES!P1756="",NEGOCIAÇÕES!N1756&lt;TODAY()),NEGOCIAÇÕES!E1756,"")</f>
        <v>0</v>
      </c>
      <c r="D1756" s="6">
        <f ca="1">IF(AND(NEGOCIAÇÕES!P1756="",NEGOCIAÇÕES!N1756&lt;TODAY()),NEGOCIAÇÕES!D1756,"")</f>
        <v>0</v>
      </c>
      <c r="E1756" s="9">
        <f ca="1">IF(AND(NEGOCIAÇÕES!P1756="",NEGOCIAÇÕES!N1756&lt;TODAY()),NEGOCIAÇÕES!N1756,"")</f>
        <v>0</v>
      </c>
    </row>
    <row r="1757" spans="2:5" ht="31.95" hidden="1" customHeight="1" x14ac:dyDescent="0.3">
      <c r="B1757" s="6" t="str">
        <f ca="1">IF(AND(NEGOCIAÇÕES!P1757="",NEGOCIAÇÕES!N1757&lt;TODAY()),NEGOCIAÇÕES!C1757,"")</f>
        <v/>
      </c>
      <c r="C1757" s="6">
        <f ca="1">IF(AND(NEGOCIAÇÕES!P1757="",NEGOCIAÇÕES!N1757&lt;TODAY()),NEGOCIAÇÕES!E1757,"")</f>
        <v>0</v>
      </c>
      <c r="D1757" s="6">
        <f ca="1">IF(AND(NEGOCIAÇÕES!P1757="",NEGOCIAÇÕES!N1757&lt;TODAY()),NEGOCIAÇÕES!D1757,"")</f>
        <v>0</v>
      </c>
      <c r="E1757" s="9">
        <f ca="1">IF(AND(NEGOCIAÇÕES!P1757="",NEGOCIAÇÕES!N1757&lt;TODAY()),NEGOCIAÇÕES!N1757,"")</f>
        <v>0</v>
      </c>
    </row>
    <row r="1758" spans="2:5" ht="31.95" hidden="1" customHeight="1" x14ac:dyDescent="0.3">
      <c r="B1758" s="6" t="str">
        <f ca="1">IF(AND(NEGOCIAÇÕES!P1758="",NEGOCIAÇÕES!N1758&lt;TODAY()),NEGOCIAÇÕES!C1758,"")</f>
        <v/>
      </c>
      <c r="C1758" s="6">
        <f ca="1">IF(AND(NEGOCIAÇÕES!P1758="",NEGOCIAÇÕES!N1758&lt;TODAY()),NEGOCIAÇÕES!E1758,"")</f>
        <v>0</v>
      </c>
      <c r="D1758" s="6">
        <f ca="1">IF(AND(NEGOCIAÇÕES!P1758="",NEGOCIAÇÕES!N1758&lt;TODAY()),NEGOCIAÇÕES!D1758,"")</f>
        <v>0</v>
      </c>
      <c r="E1758" s="9">
        <f ca="1">IF(AND(NEGOCIAÇÕES!P1758="",NEGOCIAÇÕES!N1758&lt;TODAY()),NEGOCIAÇÕES!N1758,"")</f>
        <v>0</v>
      </c>
    </row>
    <row r="1759" spans="2:5" ht="31.95" hidden="1" customHeight="1" x14ac:dyDescent="0.3">
      <c r="B1759" s="6" t="str">
        <f ca="1">IF(AND(NEGOCIAÇÕES!P1759="",NEGOCIAÇÕES!N1759&lt;TODAY()),NEGOCIAÇÕES!C1759,"")</f>
        <v/>
      </c>
      <c r="C1759" s="6">
        <f ca="1">IF(AND(NEGOCIAÇÕES!P1759="",NEGOCIAÇÕES!N1759&lt;TODAY()),NEGOCIAÇÕES!E1759,"")</f>
        <v>0</v>
      </c>
      <c r="D1759" s="6">
        <f ca="1">IF(AND(NEGOCIAÇÕES!P1759="",NEGOCIAÇÕES!N1759&lt;TODAY()),NEGOCIAÇÕES!D1759,"")</f>
        <v>0</v>
      </c>
      <c r="E1759" s="9">
        <f ca="1">IF(AND(NEGOCIAÇÕES!P1759="",NEGOCIAÇÕES!N1759&lt;TODAY()),NEGOCIAÇÕES!N1759,"")</f>
        <v>0</v>
      </c>
    </row>
    <row r="1760" spans="2:5" ht="31.95" hidden="1" customHeight="1" x14ac:dyDescent="0.3">
      <c r="B1760" s="6" t="str">
        <f ca="1">IF(AND(NEGOCIAÇÕES!P1760="",NEGOCIAÇÕES!N1760&lt;TODAY()),NEGOCIAÇÕES!C1760,"")</f>
        <v/>
      </c>
      <c r="C1760" s="6">
        <f ca="1">IF(AND(NEGOCIAÇÕES!P1760="",NEGOCIAÇÕES!N1760&lt;TODAY()),NEGOCIAÇÕES!E1760,"")</f>
        <v>0</v>
      </c>
      <c r="D1760" s="6">
        <f ca="1">IF(AND(NEGOCIAÇÕES!P1760="",NEGOCIAÇÕES!N1760&lt;TODAY()),NEGOCIAÇÕES!D1760,"")</f>
        <v>0</v>
      </c>
      <c r="E1760" s="9">
        <f ca="1">IF(AND(NEGOCIAÇÕES!P1760="",NEGOCIAÇÕES!N1760&lt;TODAY()),NEGOCIAÇÕES!N1760,"")</f>
        <v>0</v>
      </c>
    </row>
    <row r="1761" spans="2:5" ht="31.95" hidden="1" customHeight="1" x14ac:dyDescent="0.3">
      <c r="B1761" s="6" t="str">
        <f ca="1">IF(AND(NEGOCIAÇÕES!P1761="",NEGOCIAÇÕES!N1761&lt;TODAY()),NEGOCIAÇÕES!C1761,"")</f>
        <v/>
      </c>
      <c r="C1761" s="6">
        <f ca="1">IF(AND(NEGOCIAÇÕES!P1761="",NEGOCIAÇÕES!N1761&lt;TODAY()),NEGOCIAÇÕES!E1761,"")</f>
        <v>0</v>
      </c>
      <c r="D1761" s="6">
        <f ca="1">IF(AND(NEGOCIAÇÕES!P1761="",NEGOCIAÇÕES!N1761&lt;TODAY()),NEGOCIAÇÕES!D1761,"")</f>
        <v>0</v>
      </c>
      <c r="E1761" s="9">
        <f ca="1">IF(AND(NEGOCIAÇÕES!P1761="",NEGOCIAÇÕES!N1761&lt;TODAY()),NEGOCIAÇÕES!N1761,"")</f>
        <v>0</v>
      </c>
    </row>
    <row r="1762" spans="2:5" ht="31.95" hidden="1" customHeight="1" x14ac:dyDescent="0.3">
      <c r="B1762" s="6" t="str">
        <f ca="1">IF(AND(NEGOCIAÇÕES!P1762="",NEGOCIAÇÕES!N1762&lt;TODAY()),NEGOCIAÇÕES!C1762,"")</f>
        <v/>
      </c>
      <c r="C1762" s="6">
        <f ca="1">IF(AND(NEGOCIAÇÕES!P1762="",NEGOCIAÇÕES!N1762&lt;TODAY()),NEGOCIAÇÕES!E1762,"")</f>
        <v>0</v>
      </c>
      <c r="D1762" s="6">
        <f ca="1">IF(AND(NEGOCIAÇÕES!P1762="",NEGOCIAÇÕES!N1762&lt;TODAY()),NEGOCIAÇÕES!D1762,"")</f>
        <v>0</v>
      </c>
      <c r="E1762" s="9">
        <f ca="1">IF(AND(NEGOCIAÇÕES!P1762="",NEGOCIAÇÕES!N1762&lt;TODAY()),NEGOCIAÇÕES!N1762,"")</f>
        <v>0</v>
      </c>
    </row>
    <row r="1763" spans="2:5" ht="31.95" hidden="1" customHeight="1" x14ac:dyDescent="0.3">
      <c r="B1763" s="6" t="str">
        <f ca="1">IF(AND(NEGOCIAÇÕES!P1763="",NEGOCIAÇÕES!N1763&lt;TODAY()),NEGOCIAÇÕES!C1763,"")</f>
        <v/>
      </c>
      <c r="C1763" s="6">
        <f ca="1">IF(AND(NEGOCIAÇÕES!P1763="",NEGOCIAÇÕES!N1763&lt;TODAY()),NEGOCIAÇÕES!E1763,"")</f>
        <v>0</v>
      </c>
      <c r="D1763" s="6">
        <f ca="1">IF(AND(NEGOCIAÇÕES!P1763="",NEGOCIAÇÕES!N1763&lt;TODAY()),NEGOCIAÇÕES!D1763,"")</f>
        <v>0</v>
      </c>
      <c r="E1763" s="9">
        <f ca="1">IF(AND(NEGOCIAÇÕES!P1763="",NEGOCIAÇÕES!N1763&lt;TODAY()),NEGOCIAÇÕES!N1763,"")</f>
        <v>0</v>
      </c>
    </row>
    <row r="1764" spans="2:5" ht="31.95" hidden="1" customHeight="1" x14ac:dyDescent="0.3">
      <c r="B1764" s="6" t="str">
        <f ca="1">IF(AND(NEGOCIAÇÕES!P1764="",NEGOCIAÇÕES!N1764&lt;TODAY()),NEGOCIAÇÕES!C1764,"")</f>
        <v/>
      </c>
      <c r="C1764" s="6">
        <f ca="1">IF(AND(NEGOCIAÇÕES!P1764="",NEGOCIAÇÕES!N1764&lt;TODAY()),NEGOCIAÇÕES!E1764,"")</f>
        <v>0</v>
      </c>
      <c r="D1764" s="6">
        <f ca="1">IF(AND(NEGOCIAÇÕES!P1764="",NEGOCIAÇÕES!N1764&lt;TODAY()),NEGOCIAÇÕES!D1764,"")</f>
        <v>0</v>
      </c>
      <c r="E1764" s="9">
        <f ca="1">IF(AND(NEGOCIAÇÕES!P1764="",NEGOCIAÇÕES!N1764&lt;TODAY()),NEGOCIAÇÕES!N1764,"")</f>
        <v>0</v>
      </c>
    </row>
    <row r="1765" spans="2:5" ht="31.95" hidden="1" customHeight="1" x14ac:dyDescent="0.3">
      <c r="B1765" s="6" t="str">
        <f ca="1">IF(AND(NEGOCIAÇÕES!P1765="",NEGOCIAÇÕES!N1765&lt;TODAY()),NEGOCIAÇÕES!C1765,"")</f>
        <v/>
      </c>
      <c r="C1765" s="6">
        <f ca="1">IF(AND(NEGOCIAÇÕES!P1765="",NEGOCIAÇÕES!N1765&lt;TODAY()),NEGOCIAÇÕES!E1765,"")</f>
        <v>0</v>
      </c>
      <c r="D1765" s="6">
        <f ca="1">IF(AND(NEGOCIAÇÕES!P1765="",NEGOCIAÇÕES!N1765&lt;TODAY()),NEGOCIAÇÕES!D1765,"")</f>
        <v>0</v>
      </c>
      <c r="E1765" s="9">
        <f ca="1">IF(AND(NEGOCIAÇÕES!P1765="",NEGOCIAÇÕES!N1765&lt;TODAY()),NEGOCIAÇÕES!N1765,"")</f>
        <v>0</v>
      </c>
    </row>
    <row r="1766" spans="2:5" ht="31.95" hidden="1" customHeight="1" x14ac:dyDescent="0.3">
      <c r="B1766" s="6" t="str">
        <f ca="1">IF(AND(NEGOCIAÇÕES!P1766="",NEGOCIAÇÕES!N1766&lt;TODAY()),NEGOCIAÇÕES!C1766,"")</f>
        <v/>
      </c>
      <c r="C1766" s="6">
        <f ca="1">IF(AND(NEGOCIAÇÕES!P1766="",NEGOCIAÇÕES!N1766&lt;TODAY()),NEGOCIAÇÕES!E1766,"")</f>
        <v>0</v>
      </c>
      <c r="D1766" s="6">
        <f ca="1">IF(AND(NEGOCIAÇÕES!P1766="",NEGOCIAÇÕES!N1766&lt;TODAY()),NEGOCIAÇÕES!D1766,"")</f>
        <v>0</v>
      </c>
      <c r="E1766" s="9">
        <f ca="1">IF(AND(NEGOCIAÇÕES!P1766="",NEGOCIAÇÕES!N1766&lt;TODAY()),NEGOCIAÇÕES!N1766,"")</f>
        <v>0</v>
      </c>
    </row>
    <row r="1767" spans="2:5" ht="31.95" hidden="1" customHeight="1" x14ac:dyDescent="0.3">
      <c r="B1767" s="6" t="str">
        <f ca="1">IF(AND(NEGOCIAÇÕES!P1767="",NEGOCIAÇÕES!N1767&lt;TODAY()),NEGOCIAÇÕES!C1767,"")</f>
        <v/>
      </c>
      <c r="C1767" s="6">
        <f ca="1">IF(AND(NEGOCIAÇÕES!P1767="",NEGOCIAÇÕES!N1767&lt;TODAY()),NEGOCIAÇÕES!E1767,"")</f>
        <v>0</v>
      </c>
      <c r="D1767" s="6">
        <f ca="1">IF(AND(NEGOCIAÇÕES!P1767="",NEGOCIAÇÕES!N1767&lt;TODAY()),NEGOCIAÇÕES!D1767,"")</f>
        <v>0</v>
      </c>
      <c r="E1767" s="9">
        <f ca="1">IF(AND(NEGOCIAÇÕES!P1767="",NEGOCIAÇÕES!N1767&lt;TODAY()),NEGOCIAÇÕES!N1767,"")</f>
        <v>0</v>
      </c>
    </row>
    <row r="1768" spans="2:5" ht="31.95" hidden="1" customHeight="1" x14ac:dyDescent="0.3">
      <c r="B1768" s="6" t="str">
        <f ca="1">IF(AND(NEGOCIAÇÕES!P1768="",NEGOCIAÇÕES!N1768&lt;TODAY()),NEGOCIAÇÕES!C1768,"")</f>
        <v/>
      </c>
      <c r="C1768" s="6">
        <f ca="1">IF(AND(NEGOCIAÇÕES!P1768="",NEGOCIAÇÕES!N1768&lt;TODAY()),NEGOCIAÇÕES!E1768,"")</f>
        <v>0</v>
      </c>
      <c r="D1768" s="6">
        <f ca="1">IF(AND(NEGOCIAÇÕES!P1768="",NEGOCIAÇÕES!N1768&lt;TODAY()),NEGOCIAÇÕES!D1768,"")</f>
        <v>0</v>
      </c>
      <c r="E1768" s="9">
        <f ca="1">IF(AND(NEGOCIAÇÕES!P1768="",NEGOCIAÇÕES!N1768&lt;TODAY()),NEGOCIAÇÕES!N1768,"")</f>
        <v>0</v>
      </c>
    </row>
    <row r="1769" spans="2:5" ht="31.95" hidden="1" customHeight="1" x14ac:dyDescent="0.3">
      <c r="B1769" s="6" t="str">
        <f ca="1">IF(AND(NEGOCIAÇÕES!P1769="",NEGOCIAÇÕES!N1769&lt;TODAY()),NEGOCIAÇÕES!C1769,"")</f>
        <v/>
      </c>
      <c r="C1769" s="6">
        <f ca="1">IF(AND(NEGOCIAÇÕES!P1769="",NEGOCIAÇÕES!N1769&lt;TODAY()),NEGOCIAÇÕES!E1769,"")</f>
        <v>0</v>
      </c>
      <c r="D1769" s="6">
        <f ca="1">IF(AND(NEGOCIAÇÕES!P1769="",NEGOCIAÇÕES!N1769&lt;TODAY()),NEGOCIAÇÕES!D1769,"")</f>
        <v>0</v>
      </c>
      <c r="E1769" s="9">
        <f ca="1">IF(AND(NEGOCIAÇÕES!P1769="",NEGOCIAÇÕES!N1769&lt;TODAY()),NEGOCIAÇÕES!N1769,"")</f>
        <v>0</v>
      </c>
    </row>
    <row r="1770" spans="2:5" ht="31.95" hidden="1" customHeight="1" x14ac:dyDescent="0.3">
      <c r="B1770" s="6" t="str">
        <f ca="1">IF(AND(NEGOCIAÇÕES!P1770="",NEGOCIAÇÕES!N1770&lt;TODAY()),NEGOCIAÇÕES!C1770,"")</f>
        <v/>
      </c>
      <c r="C1770" s="6">
        <f ca="1">IF(AND(NEGOCIAÇÕES!P1770="",NEGOCIAÇÕES!N1770&lt;TODAY()),NEGOCIAÇÕES!E1770,"")</f>
        <v>0</v>
      </c>
      <c r="D1770" s="6">
        <f ca="1">IF(AND(NEGOCIAÇÕES!P1770="",NEGOCIAÇÕES!N1770&lt;TODAY()),NEGOCIAÇÕES!D1770,"")</f>
        <v>0</v>
      </c>
      <c r="E1770" s="9">
        <f ca="1">IF(AND(NEGOCIAÇÕES!P1770="",NEGOCIAÇÕES!N1770&lt;TODAY()),NEGOCIAÇÕES!N1770,"")</f>
        <v>0</v>
      </c>
    </row>
    <row r="1771" spans="2:5" ht="31.95" hidden="1" customHeight="1" x14ac:dyDescent="0.3">
      <c r="B1771" s="6" t="str">
        <f ca="1">IF(AND(NEGOCIAÇÕES!P1771="",NEGOCIAÇÕES!N1771&lt;TODAY()),NEGOCIAÇÕES!C1771,"")</f>
        <v/>
      </c>
      <c r="C1771" s="6">
        <f ca="1">IF(AND(NEGOCIAÇÕES!P1771="",NEGOCIAÇÕES!N1771&lt;TODAY()),NEGOCIAÇÕES!E1771,"")</f>
        <v>0</v>
      </c>
      <c r="D1771" s="6">
        <f ca="1">IF(AND(NEGOCIAÇÕES!P1771="",NEGOCIAÇÕES!N1771&lt;TODAY()),NEGOCIAÇÕES!D1771,"")</f>
        <v>0</v>
      </c>
      <c r="E1771" s="9">
        <f ca="1">IF(AND(NEGOCIAÇÕES!P1771="",NEGOCIAÇÕES!N1771&lt;TODAY()),NEGOCIAÇÕES!N1771,"")</f>
        <v>0</v>
      </c>
    </row>
    <row r="1772" spans="2:5" ht="31.95" hidden="1" customHeight="1" x14ac:dyDescent="0.3">
      <c r="B1772" s="6" t="str">
        <f ca="1">IF(AND(NEGOCIAÇÕES!P1772="",NEGOCIAÇÕES!N1772&lt;TODAY()),NEGOCIAÇÕES!C1772,"")</f>
        <v/>
      </c>
      <c r="C1772" s="6">
        <f ca="1">IF(AND(NEGOCIAÇÕES!P1772="",NEGOCIAÇÕES!N1772&lt;TODAY()),NEGOCIAÇÕES!E1772,"")</f>
        <v>0</v>
      </c>
      <c r="D1772" s="6">
        <f ca="1">IF(AND(NEGOCIAÇÕES!P1772="",NEGOCIAÇÕES!N1772&lt;TODAY()),NEGOCIAÇÕES!D1772,"")</f>
        <v>0</v>
      </c>
      <c r="E1772" s="9">
        <f ca="1">IF(AND(NEGOCIAÇÕES!P1772="",NEGOCIAÇÕES!N1772&lt;TODAY()),NEGOCIAÇÕES!N1772,"")</f>
        <v>0</v>
      </c>
    </row>
    <row r="1773" spans="2:5" ht="31.95" hidden="1" customHeight="1" x14ac:dyDescent="0.3">
      <c r="B1773" s="6" t="str">
        <f ca="1">IF(AND(NEGOCIAÇÕES!P1773="",NEGOCIAÇÕES!N1773&lt;TODAY()),NEGOCIAÇÕES!C1773,"")</f>
        <v/>
      </c>
      <c r="C1773" s="6">
        <f ca="1">IF(AND(NEGOCIAÇÕES!P1773="",NEGOCIAÇÕES!N1773&lt;TODAY()),NEGOCIAÇÕES!E1773,"")</f>
        <v>0</v>
      </c>
      <c r="D1773" s="6">
        <f ca="1">IF(AND(NEGOCIAÇÕES!P1773="",NEGOCIAÇÕES!N1773&lt;TODAY()),NEGOCIAÇÕES!D1773,"")</f>
        <v>0</v>
      </c>
      <c r="E1773" s="9">
        <f ca="1">IF(AND(NEGOCIAÇÕES!P1773="",NEGOCIAÇÕES!N1773&lt;TODAY()),NEGOCIAÇÕES!N1773,"")</f>
        <v>0</v>
      </c>
    </row>
    <row r="1774" spans="2:5" ht="31.95" hidden="1" customHeight="1" x14ac:dyDescent="0.3">
      <c r="B1774" s="6" t="str">
        <f ca="1">IF(AND(NEGOCIAÇÕES!P1774="",NEGOCIAÇÕES!N1774&lt;TODAY()),NEGOCIAÇÕES!C1774,"")</f>
        <v/>
      </c>
      <c r="C1774" s="6">
        <f ca="1">IF(AND(NEGOCIAÇÕES!P1774="",NEGOCIAÇÕES!N1774&lt;TODAY()),NEGOCIAÇÕES!E1774,"")</f>
        <v>0</v>
      </c>
      <c r="D1774" s="6">
        <f ca="1">IF(AND(NEGOCIAÇÕES!P1774="",NEGOCIAÇÕES!N1774&lt;TODAY()),NEGOCIAÇÕES!D1774,"")</f>
        <v>0</v>
      </c>
      <c r="E1774" s="9">
        <f ca="1">IF(AND(NEGOCIAÇÕES!P1774="",NEGOCIAÇÕES!N1774&lt;TODAY()),NEGOCIAÇÕES!N1774,"")</f>
        <v>0</v>
      </c>
    </row>
    <row r="1775" spans="2:5" ht="31.95" hidden="1" customHeight="1" x14ac:dyDescent="0.3">
      <c r="B1775" s="6" t="str">
        <f ca="1">IF(AND(NEGOCIAÇÕES!P1775="",NEGOCIAÇÕES!N1775&lt;TODAY()),NEGOCIAÇÕES!C1775,"")</f>
        <v/>
      </c>
      <c r="C1775" s="6">
        <f ca="1">IF(AND(NEGOCIAÇÕES!P1775="",NEGOCIAÇÕES!N1775&lt;TODAY()),NEGOCIAÇÕES!E1775,"")</f>
        <v>0</v>
      </c>
      <c r="D1775" s="6">
        <f ca="1">IF(AND(NEGOCIAÇÕES!P1775="",NEGOCIAÇÕES!N1775&lt;TODAY()),NEGOCIAÇÕES!D1775,"")</f>
        <v>0</v>
      </c>
      <c r="E1775" s="9">
        <f ca="1">IF(AND(NEGOCIAÇÕES!P1775="",NEGOCIAÇÕES!N1775&lt;TODAY()),NEGOCIAÇÕES!N1775,"")</f>
        <v>0</v>
      </c>
    </row>
    <row r="1776" spans="2:5" ht="31.95" hidden="1" customHeight="1" x14ac:dyDescent="0.3">
      <c r="B1776" s="6" t="str">
        <f ca="1">IF(AND(NEGOCIAÇÕES!P1776="",NEGOCIAÇÕES!N1776&lt;TODAY()),NEGOCIAÇÕES!C1776,"")</f>
        <v/>
      </c>
      <c r="C1776" s="6">
        <f ca="1">IF(AND(NEGOCIAÇÕES!P1776="",NEGOCIAÇÕES!N1776&lt;TODAY()),NEGOCIAÇÕES!E1776,"")</f>
        <v>0</v>
      </c>
      <c r="D1776" s="6">
        <f ca="1">IF(AND(NEGOCIAÇÕES!P1776="",NEGOCIAÇÕES!N1776&lt;TODAY()),NEGOCIAÇÕES!D1776,"")</f>
        <v>0</v>
      </c>
      <c r="E1776" s="9">
        <f ca="1">IF(AND(NEGOCIAÇÕES!P1776="",NEGOCIAÇÕES!N1776&lt;TODAY()),NEGOCIAÇÕES!N1776,"")</f>
        <v>0</v>
      </c>
    </row>
    <row r="1777" spans="2:5" ht="31.95" hidden="1" customHeight="1" x14ac:dyDescent="0.3">
      <c r="B1777" s="6" t="str">
        <f ca="1">IF(AND(NEGOCIAÇÕES!P1777="",NEGOCIAÇÕES!N1777&lt;TODAY()),NEGOCIAÇÕES!C1777,"")</f>
        <v/>
      </c>
      <c r="C1777" s="6">
        <f ca="1">IF(AND(NEGOCIAÇÕES!P1777="",NEGOCIAÇÕES!N1777&lt;TODAY()),NEGOCIAÇÕES!E1777,"")</f>
        <v>0</v>
      </c>
      <c r="D1777" s="6">
        <f ca="1">IF(AND(NEGOCIAÇÕES!P1777="",NEGOCIAÇÕES!N1777&lt;TODAY()),NEGOCIAÇÕES!D1777,"")</f>
        <v>0</v>
      </c>
      <c r="E1777" s="9">
        <f ca="1">IF(AND(NEGOCIAÇÕES!P1777="",NEGOCIAÇÕES!N1777&lt;TODAY()),NEGOCIAÇÕES!N1777,"")</f>
        <v>0</v>
      </c>
    </row>
    <row r="1778" spans="2:5" ht="31.95" hidden="1" customHeight="1" x14ac:dyDescent="0.3">
      <c r="B1778" s="6" t="str">
        <f ca="1">IF(AND(NEGOCIAÇÕES!P1778="",NEGOCIAÇÕES!N1778&lt;TODAY()),NEGOCIAÇÕES!C1778,"")</f>
        <v/>
      </c>
      <c r="C1778" s="6">
        <f ca="1">IF(AND(NEGOCIAÇÕES!P1778="",NEGOCIAÇÕES!N1778&lt;TODAY()),NEGOCIAÇÕES!E1778,"")</f>
        <v>0</v>
      </c>
      <c r="D1778" s="6">
        <f ca="1">IF(AND(NEGOCIAÇÕES!P1778="",NEGOCIAÇÕES!N1778&lt;TODAY()),NEGOCIAÇÕES!D1778,"")</f>
        <v>0</v>
      </c>
      <c r="E1778" s="9">
        <f ca="1">IF(AND(NEGOCIAÇÕES!P1778="",NEGOCIAÇÕES!N1778&lt;TODAY()),NEGOCIAÇÕES!N1778,"")</f>
        <v>0</v>
      </c>
    </row>
    <row r="1779" spans="2:5" ht="31.95" hidden="1" customHeight="1" x14ac:dyDescent="0.3">
      <c r="B1779" s="6" t="str">
        <f ca="1">IF(AND(NEGOCIAÇÕES!P1779="",NEGOCIAÇÕES!N1779&lt;TODAY()),NEGOCIAÇÕES!C1779,"")</f>
        <v/>
      </c>
      <c r="C1779" s="6">
        <f ca="1">IF(AND(NEGOCIAÇÕES!P1779="",NEGOCIAÇÕES!N1779&lt;TODAY()),NEGOCIAÇÕES!E1779,"")</f>
        <v>0</v>
      </c>
      <c r="D1779" s="6">
        <f ca="1">IF(AND(NEGOCIAÇÕES!P1779="",NEGOCIAÇÕES!N1779&lt;TODAY()),NEGOCIAÇÕES!D1779,"")</f>
        <v>0</v>
      </c>
      <c r="E1779" s="9">
        <f ca="1">IF(AND(NEGOCIAÇÕES!P1779="",NEGOCIAÇÕES!N1779&lt;TODAY()),NEGOCIAÇÕES!N1779,"")</f>
        <v>0</v>
      </c>
    </row>
    <row r="1780" spans="2:5" ht="31.95" hidden="1" customHeight="1" x14ac:dyDescent="0.3">
      <c r="B1780" s="6" t="str">
        <f ca="1">IF(AND(NEGOCIAÇÕES!P1780="",NEGOCIAÇÕES!N1780&lt;TODAY()),NEGOCIAÇÕES!C1780,"")</f>
        <v/>
      </c>
      <c r="C1780" s="6">
        <f ca="1">IF(AND(NEGOCIAÇÕES!P1780="",NEGOCIAÇÕES!N1780&lt;TODAY()),NEGOCIAÇÕES!E1780,"")</f>
        <v>0</v>
      </c>
      <c r="D1780" s="6">
        <f ca="1">IF(AND(NEGOCIAÇÕES!P1780="",NEGOCIAÇÕES!N1780&lt;TODAY()),NEGOCIAÇÕES!D1780,"")</f>
        <v>0</v>
      </c>
      <c r="E1780" s="9">
        <f ca="1">IF(AND(NEGOCIAÇÕES!P1780="",NEGOCIAÇÕES!N1780&lt;TODAY()),NEGOCIAÇÕES!N1780,"")</f>
        <v>0</v>
      </c>
    </row>
    <row r="1781" spans="2:5" ht="31.95" hidden="1" customHeight="1" x14ac:dyDescent="0.3">
      <c r="B1781" s="6" t="str">
        <f ca="1">IF(AND(NEGOCIAÇÕES!P1781="",NEGOCIAÇÕES!N1781&lt;TODAY()),NEGOCIAÇÕES!C1781,"")</f>
        <v/>
      </c>
      <c r="C1781" s="6">
        <f ca="1">IF(AND(NEGOCIAÇÕES!P1781="",NEGOCIAÇÕES!N1781&lt;TODAY()),NEGOCIAÇÕES!E1781,"")</f>
        <v>0</v>
      </c>
      <c r="D1781" s="6">
        <f ca="1">IF(AND(NEGOCIAÇÕES!P1781="",NEGOCIAÇÕES!N1781&lt;TODAY()),NEGOCIAÇÕES!D1781,"")</f>
        <v>0</v>
      </c>
      <c r="E1781" s="9">
        <f ca="1">IF(AND(NEGOCIAÇÕES!P1781="",NEGOCIAÇÕES!N1781&lt;TODAY()),NEGOCIAÇÕES!N1781,"")</f>
        <v>0</v>
      </c>
    </row>
    <row r="1782" spans="2:5" ht="31.95" hidden="1" customHeight="1" x14ac:dyDescent="0.3">
      <c r="B1782" s="6" t="str">
        <f ca="1">IF(AND(NEGOCIAÇÕES!P1782="",NEGOCIAÇÕES!N1782&lt;TODAY()),NEGOCIAÇÕES!C1782,"")</f>
        <v/>
      </c>
      <c r="C1782" s="6">
        <f ca="1">IF(AND(NEGOCIAÇÕES!P1782="",NEGOCIAÇÕES!N1782&lt;TODAY()),NEGOCIAÇÕES!E1782,"")</f>
        <v>0</v>
      </c>
      <c r="D1782" s="6">
        <f ca="1">IF(AND(NEGOCIAÇÕES!P1782="",NEGOCIAÇÕES!N1782&lt;TODAY()),NEGOCIAÇÕES!D1782,"")</f>
        <v>0</v>
      </c>
      <c r="E1782" s="9">
        <f ca="1">IF(AND(NEGOCIAÇÕES!P1782="",NEGOCIAÇÕES!N1782&lt;TODAY()),NEGOCIAÇÕES!N1782,"")</f>
        <v>0</v>
      </c>
    </row>
    <row r="1783" spans="2:5" ht="31.95" hidden="1" customHeight="1" x14ac:dyDescent="0.3">
      <c r="B1783" s="6" t="str">
        <f ca="1">IF(AND(NEGOCIAÇÕES!P1783="",NEGOCIAÇÕES!N1783&lt;TODAY()),NEGOCIAÇÕES!C1783,"")</f>
        <v/>
      </c>
      <c r="C1783" s="6">
        <f ca="1">IF(AND(NEGOCIAÇÕES!P1783="",NEGOCIAÇÕES!N1783&lt;TODAY()),NEGOCIAÇÕES!E1783,"")</f>
        <v>0</v>
      </c>
      <c r="D1783" s="6">
        <f ca="1">IF(AND(NEGOCIAÇÕES!P1783="",NEGOCIAÇÕES!N1783&lt;TODAY()),NEGOCIAÇÕES!D1783,"")</f>
        <v>0</v>
      </c>
      <c r="E1783" s="9">
        <f ca="1">IF(AND(NEGOCIAÇÕES!P1783="",NEGOCIAÇÕES!N1783&lt;TODAY()),NEGOCIAÇÕES!N1783,"")</f>
        <v>0</v>
      </c>
    </row>
    <row r="1784" spans="2:5" ht="31.95" hidden="1" customHeight="1" x14ac:dyDescent="0.3">
      <c r="B1784" s="6" t="str">
        <f ca="1">IF(AND(NEGOCIAÇÕES!P1784="",NEGOCIAÇÕES!N1784&lt;TODAY()),NEGOCIAÇÕES!C1784,"")</f>
        <v/>
      </c>
      <c r="C1784" s="6">
        <f ca="1">IF(AND(NEGOCIAÇÕES!P1784="",NEGOCIAÇÕES!N1784&lt;TODAY()),NEGOCIAÇÕES!E1784,"")</f>
        <v>0</v>
      </c>
      <c r="D1784" s="6">
        <f ca="1">IF(AND(NEGOCIAÇÕES!P1784="",NEGOCIAÇÕES!N1784&lt;TODAY()),NEGOCIAÇÕES!D1784,"")</f>
        <v>0</v>
      </c>
      <c r="E1784" s="9">
        <f ca="1">IF(AND(NEGOCIAÇÕES!P1784="",NEGOCIAÇÕES!N1784&lt;TODAY()),NEGOCIAÇÕES!N1784,"")</f>
        <v>0</v>
      </c>
    </row>
    <row r="1785" spans="2:5" ht="31.95" hidden="1" customHeight="1" x14ac:dyDescent="0.3">
      <c r="B1785" s="6" t="str">
        <f ca="1">IF(AND(NEGOCIAÇÕES!P1785="",NEGOCIAÇÕES!N1785&lt;TODAY()),NEGOCIAÇÕES!C1785,"")</f>
        <v/>
      </c>
      <c r="C1785" s="6">
        <f ca="1">IF(AND(NEGOCIAÇÕES!P1785="",NEGOCIAÇÕES!N1785&lt;TODAY()),NEGOCIAÇÕES!E1785,"")</f>
        <v>0</v>
      </c>
      <c r="D1785" s="6">
        <f ca="1">IF(AND(NEGOCIAÇÕES!P1785="",NEGOCIAÇÕES!N1785&lt;TODAY()),NEGOCIAÇÕES!D1785,"")</f>
        <v>0</v>
      </c>
      <c r="E1785" s="9">
        <f ca="1">IF(AND(NEGOCIAÇÕES!P1785="",NEGOCIAÇÕES!N1785&lt;TODAY()),NEGOCIAÇÕES!N1785,"")</f>
        <v>0</v>
      </c>
    </row>
    <row r="1786" spans="2:5" ht="31.95" hidden="1" customHeight="1" x14ac:dyDescent="0.3">
      <c r="B1786" s="6" t="str">
        <f ca="1">IF(AND(NEGOCIAÇÕES!P1786="",NEGOCIAÇÕES!N1786&lt;TODAY()),NEGOCIAÇÕES!C1786,"")</f>
        <v/>
      </c>
      <c r="C1786" s="6">
        <f ca="1">IF(AND(NEGOCIAÇÕES!P1786="",NEGOCIAÇÕES!N1786&lt;TODAY()),NEGOCIAÇÕES!E1786,"")</f>
        <v>0</v>
      </c>
      <c r="D1786" s="6">
        <f ca="1">IF(AND(NEGOCIAÇÕES!P1786="",NEGOCIAÇÕES!N1786&lt;TODAY()),NEGOCIAÇÕES!D1786,"")</f>
        <v>0</v>
      </c>
      <c r="E1786" s="9">
        <f ca="1">IF(AND(NEGOCIAÇÕES!P1786="",NEGOCIAÇÕES!N1786&lt;TODAY()),NEGOCIAÇÕES!N1786,"")</f>
        <v>0</v>
      </c>
    </row>
    <row r="1787" spans="2:5" ht="31.95" hidden="1" customHeight="1" x14ac:dyDescent="0.3">
      <c r="B1787" s="6" t="str">
        <f ca="1">IF(AND(NEGOCIAÇÕES!P1787="",NEGOCIAÇÕES!N1787&lt;TODAY()),NEGOCIAÇÕES!C1787,"")</f>
        <v/>
      </c>
      <c r="C1787" s="6">
        <f ca="1">IF(AND(NEGOCIAÇÕES!P1787="",NEGOCIAÇÕES!N1787&lt;TODAY()),NEGOCIAÇÕES!E1787,"")</f>
        <v>0</v>
      </c>
      <c r="D1787" s="6">
        <f ca="1">IF(AND(NEGOCIAÇÕES!P1787="",NEGOCIAÇÕES!N1787&lt;TODAY()),NEGOCIAÇÕES!D1787,"")</f>
        <v>0</v>
      </c>
      <c r="E1787" s="9">
        <f ca="1">IF(AND(NEGOCIAÇÕES!P1787="",NEGOCIAÇÕES!N1787&lt;TODAY()),NEGOCIAÇÕES!N1787,"")</f>
        <v>0</v>
      </c>
    </row>
    <row r="1788" spans="2:5" ht="31.95" hidden="1" customHeight="1" x14ac:dyDescent="0.3">
      <c r="B1788" s="6" t="str">
        <f ca="1">IF(AND(NEGOCIAÇÕES!P1788="",NEGOCIAÇÕES!N1788&lt;TODAY()),NEGOCIAÇÕES!C1788,"")</f>
        <v/>
      </c>
      <c r="C1788" s="6">
        <f ca="1">IF(AND(NEGOCIAÇÕES!P1788="",NEGOCIAÇÕES!N1788&lt;TODAY()),NEGOCIAÇÕES!E1788,"")</f>
        <v>0</v>
      </c>
      <c r="D1788" s="6">
        <f ca="1">IF(AND(NEGOCIAÇÕES!P1788="",NEGOCIAÇÕES!N1788&lt;TODAY()),NEGOCIAÇÕES!D1788,"")</f>
        <v>0</v>
      </c>
      <c r="E1788" s="9">
        <f ca="1">IF(AND(NEGOCIAÇÕES!P1788="",NEGOCIAÇÕES!N1788&lt;TODAY()),NEGOCIAÇÕES!N1788,"")</f>
        <v>0</v>
      </c>
    </row>
    <row r="1789" spans="2:5" ht="31.95" hidden="1" customHeight="1" x14ac:dyDescent="0.3">
      <c r="B1789" s="6" t="str">
        <f ca="1">IF(AND(NEGOCIAÇÕES!P1789="",NEGOCIAÇÕES!N1789&lt;TODAY()),NEGOCIAÇÕES!C1789,"")</f>
        <v/>
      </c>
      <c r="C1789" s="6">
        <f ca="1">IF(AND(NEGOCIAÇÕES!P1789="",NEGOCIAÇÕES!N1789&lt;TODAY()),NEGOCIAÇÕES!E1789,"")</f>
        <v>0</v>
      </c>
      <c r="D1789" s="6">
        <f ca="1">IF(AND(NEGOCIAÇÕES!P1789="",NEGOCIAÇÕES!N1789&lt;TODAY()),NEGOCIAÇÕES!D1789,"")</f>
        <v>0</v>
      </c>
      <c r="E1789" s="9">
        <f ca="1">IF(AND(NEGOCIAÇÕES!P1789="",NEGOCIAÇÕES!N1789&lt;TODAY()),NEGOCIAÇÕES!N1789,"")</f>
        <v>0</v>
      </c>
    </row>
    <row r="1790" spans="2:5" ht="31.95" hidden="1" customHeight="1" x14ac:dyDescent="0.3">
      <c r="B1790" s="6" t="str">
        <f ca="1">IF(AND(NEGOCIAÇÕES!P1790="",NEGOCIAÇÕES!N1790&lt;TODAY()),NEGOCIAÇÕES!C1790,"")</f>
        <v/>
      </c>
      <c r="C1790" s="6">
        <f ca="1">IF(AND(NEGOCIAÇÕES!P1790="",NEGOCIAÇÕES!N1790&lt;TODAY()),NEGOCIAÇÕES!E1790,"")</f>
        <v>0</v>
      </c>
      <c r="D1790" s="6">
        <f ca="1">IF(AND(NEGOCIAÇÕES!P1790="",NEGOCIAÇÕES!N1790&lt;TODAY()),NEGOCIAÇÕES!D1790,"")</f>
        <v>0</v>
      </c>
      <c r="E1790" s="9">
        <f ca="1">IF(AND(NEGOCIAÇÕES!P1790="",NEGOCIAÇÕES!N1790&lt;TODAY()),NEGOCIAÇÕES!N1790,"")</f>
        <v>0</v>
      </c>
    </row>
    <row r="1791" spans="2:5" ht="31.95" hidden="1" customHeight="1" x14ac:dyDescent="0.3">
      <c r="B1791" s="6" t="str">
        <f ca="1">IF(AND(NEGOCIAÇÕES!P1791="",NEGOCIAÇÕES!N1791&lt;TODAY()),NEGOCIAÇÕES!C1791,"")</f>
        <v/>
      </c>
      <c r="C1791" s="6">
        <f ca="1">IF(AND(NEGOCIAÇÕES!P1791="",NEGOCIAÇÕES!N1791&lt;TODAY()),NEGOCIAÇÕES!E1791,"")</f>
        <v>0</v>
      </c>
      <c r="D1791" s="6">
        <f ca="1">IF(AND(NEGOCIAÇÕES!P1791="",NEGOCIAÇÕES!N1791&lt;TODAY()),NEGOCIAÇÕES!D1791,"")</f>
        <v>0</v>
      </c>
      <c r="E1791" s="9">
        <f ca="1">IF(AND(NEGOCIAÇÕES!P1791="",NEGOCIAÇÕES!N1791&lt;TODAY()),NEGOCIAÇÕES!N1791,"")</f>
        <v>0</v>
      </c>
    </row>
    <row r="1792" spans="2:5" ht="31.95" hidden="1" customHeight="1" x14ac:dyDescent="0.3">
      <c r="B1792" s="6" t="str">
        <f ca="1">IF(AND(NEGOCIAÇÕES!P1792="",NEGOCIAÇÕES!N1792&lt;TODAY()),NEGOCIAÇÕES!C1792,"")</f>
        <v/>
      </c>
      <c r="C1792" s="6">
        <f ca="1">IF(AND(NEGOCIAÇÕES!P1792="",NEGOCIAÇÕES!N1792&lt;TODAY()),NEGOCIAÇÕES!E1792,"")</f>
        <v>0</v>
      </c>
      <c r="D1792" s="6">
        <f ca="1">IF(AND(NEGOCIAÇÕES!P1792="",NEGOCIAÇÕES!N1792&lt;TODAY()),NEGOCIAÇÕES!D1792,"")</f>
        <v>0</v>
      </c>
      <c r="E1792" s="9">
        <f ca="1">IF(AND(NEGOCIAÇÕES!P1792="",NEGOCIAÇÕES!N1792&lt;TODAY()),NEGOCIAÇÕES!N1792,"")</f>
        <v>0</v>
      </c>
    </row>
    <row r="1793" spans="2:5" ht="31.95" hidden="1" customHeight="1" x14ac:dyDescent="0.3">
      <c r="B1793" s="6" t="str">
        <f ca="1">IF(AND(NEGOCIAÇÕES!P1793="",NEGOCIAÇÕES!N1793&lt;TODAY()),NEGOCIAÇÕES!C1793,"")</f>
        <v/>
      </c>
      <c r="C1793" s="6">
        <f ca="1">IF(AND(NEGOCIAÇÕES!P1793="",NEGOCIAÇÕES!N1793&lt;TODAY()),NEGOCIAÇÕES!E1793,"")</f>
        <v>0</v>
      </c>
      <c r="D1793" s="6">
        <f ca="1">IF(AND(NEGOCIAÇÕES!P1793="",NEGOCIAÇÕES!N1793&lt;TODAY()),NEGOCIAÇÕES!D1793,"")</f>
        <v>0</v>
      </c>
      <c r="E1793" s="9">
        <f ca="1">IF(AND(NEGOCIAÇÕES!P1793="",NEGOCIAÇÕES!N1793&lt;TODAY()),NEGOCIAÇÕES!N1793,"")</f>
        <v>0</v>
      </c>
    </row>
    <row r="1794" spans="2:5" ht="31.95" hidden="1" customHeight="1" x14ac:dyDescent="0.3">
      <c r="B1794" s="6" t="str">
        <f ca="1">IF(AND(NEGOCIAÇÕES!P1794="",NEGOCIAÇÕES!N1794&lt;TODAY()),NEGOCIAÇÕES!C1794,"")</f>
        <v/>
      </c>
      <c r="C1794" s="6">
        <f ca="1">IF(AND(NEGOCIAÇÕES!P1794="",NEGOCIAÇÕES!N1794&lt;TODAY()),NEGOCIAÇÕES!E1794,"")</f>
        <v>0</v>
      </c>
      <c r="D1794" s="6">
        <f ca="1">IF(AND(NEGOCIAÇÕES!P1794="",NEGOCIAÇÕES!N1794&lt;TODAY()),NEGOCIAÇÕES!D1794,"")</f>
        <v>0</v>
      </c>
      <c r="E1794" s="9">
        <f ca="1">IF(AND(NEGOCIAÇÕES!P1794="",NEGOCIAÇÕES!N1794&lt;TODAY()),NEGOCIAÇÕES!N1794,"")</f>
        <v>0</v>
      </c>
    </row>
    <row r="1795" spans="2:5" ht="31.95" hidden="1" customHeight="1" x14ac:dyDescent="0.3">
      <c r="B1795" s="6" t="str">
        <f ca="1">IF(AND(NEGOCIAÇÕES!P1795="",NEGOCIAÇÕES!N1795&lt;TODAY()),NEGOCIAÇÕES!C1795,"")</f>
        <v/>
      </c>
      <c r="C1795" s="6">
        <f ca="1">IF(AND(NEGOCIAÇÕES!P1795="",NEGOCIAÇÕES!N1795&lt;TODAY()),NEGOCIAÇÕES!E1795,"")</f>
        <v>0</v>
      </c>
      <c r="D1795" s="6">
        <f ca="1">IF(AND(NEGOCIAÇÕES!P1795="",NEGOCIAÇÕES!N1795&lt;TODAY()),NEGOCIAÇÕES!D1795,"")</f>
        <v>0</v>
      </c>
      <c r="E1795" s="9">
        <f ca="1">IF(AND(NEGOCIAÇÕES!P1795="",NEGOCIAÇÕES!N1795&lt;TODAY()),NEGOCIAÇÕES!N1795,"")</f>
        <v>0</v>
      </c>
    </row>
    <row r="1796" spans="2:5" ht="31.95" hidden="1" customHeight="1" x14ac:dyDescent="0.3">
      <c r="B1796" s="6" t="str">
        <f ca="1">IF(AND(NEGOCIAÇÕES!P1796="",NEGOCIAÇÕES!N1796&lt;TODAY()),NEGOCIAÇÕES!C1796,"")</f>
        <v/>
      </c>
      <c r="C1796" s="6">
        <f ca="1">IF(AND(NEGOCIAÇÕES!P1796="",NEGOCIAÇÕES!N1796&lt;TODAY()),NEGOCIAÇÕES!E1796,"")</f>
        <v>0</v>
      </c>
      <c r="D1796" s="6">
        <f ca="1">IF(AND(NEGOCIAÇÕES!P1796="",NEGOCIAÇÕES!N1796&lt;TODAY()),NEGOCIAÇÕES!D1796,"")</f>
        <v>0</v>
      </c>
      <c r="E1796" s="9">
        <f ca="1">IF(AND(NEGOCIAÇÕES!P1796="",NEGOCIAÇÕES!N1796&lt;TODAY()),NEGOCIAÇÕES!N1796,"")</f>
        <v>0</v>
      </c>
    </row>
    <row r="1797" spans="2:5" ht="31.95" hidden="1" customHeight="1" x14ac:dyDescent="0.3">
      <c r="B1797" s="6" t="str">
        <f ca="1">IF(AND(NEGOCIAÇÕES!P1797="",NEGOCIAÇÕES!N1797&lt;TODAY()),NEGOCIAÇÕES!C1797,"")</f>
        <v/>
      </c>
      <c r="C1797" s="6">
        <f ca="1">IF(AND(NEGOCIAÇÕES!P1797="",NEGOCIAÇÕES!N1797&lt;TODAY()),NEGOCIAÇÕES!E1797,"")</f>
        <v>0</v>
      </c>
      <c r="D1797" s="6">
        <f ca="1">IF(AND(NEGOCIAÇÕES!P1797="",NEGOCIAÇÕES!N1797&lt;TODAY()),NEGOCIAÇÕES!D1797,"")</f>
        <v>0</v>
      </c>
      <c r="E1797" s="9">
        <f ca="1">IF(AND(NEGOCIAÇÕES!P1797="",NEGOCIAÇÕES!N1797&lt;TODAY()),NEGOCIAÇÕES!N1797,"")</f>
        <v>0</v>
      </c>
    </row>
    <row r="1798" spans="2:5" ht="31.95" hidden="1" customHeight="1" x14ac:dyDescent="0.3">
      <c r="B1798" s="6" t="str">
        <f ca="1">IF(AND(NEGOCIAÇÕES!P1798="",NEGOCIAÇÕES!N1798&lt;TODAY()),NEGOCIAÇÕES!C1798,"")</f>
        <v/>
      </c>
      <c r="C1798" s="6">
        <f ca="1">IF(AND(NEGOCIAÇÕES!P1798="",NEGOCIAÇÕES!N1798&lt;TODAY()),NEGOCIAÇÕES!E1798,"")</f>
        <v>0</v>
      </c>
      <c r="D1798" s="6">
        <f ca="1">IF(AND(NEGOCIAÇÕES!P1798="",NEGOCIAÇÕES!N1798&lt;TODAY()),NEGOCIAÇÕES!D1798,"")</f>
        <v>0</v>
      </c>
      <c r="E1798" s="9">
        <f ca="1">IF(AND(NEGOCIAÇÕES!P1798="",NEGOCIAÇÕES!N1798&lt;TODAY()),NEGOCIAÇÕES!N1798,"")</f>
        <v>0</v>
      </c>
    </row>
    <row r="1799" spans="2:5" ht="31.95" hidden="1" customHeight="1" x14ac:dyDescent="0.3">
      <c r="B1799" s="6" t="str">
        <f ca="1">IF(AND(NEGOCIAÇÕES!P1799="",NEGOCIAÇÕES!N1799&lt;TODAY()),NEGOCIAÇÕES!C1799,"")</f>
        <v/>
      </c>
      <c r="C1799" s="6">
        <f ca="1">IF(AND(NEGOCIAÇÕES!P1799="",NEGOCIAÇÕES!N1799&lt;TODAY()),NEGOCIAÇÕES!E1799,"")</f>
        <v>0</v>
      </c>
      <c r="D1799" s="6">
        <f ca="1">IF(AND(NEGOCIAÇÕES!P1799="",NEGOCIAÇÕES!N1799&lt;TODAY()),NEGOCIAÇÕES!D1799,"")</f>
        <v>0</v>
      </c>
      <c r="E1799" s="9">
        <f ca="1">IF(AND(NEGOCIAÇÕES!P1799="",NEGOCIAÇÕES!N1799&lt;TODAY()),NEGOCIAÇÕES!N1799,"")</f>
        <v>0</v>
      </c>
    </row>
    <row r="1800" spans="2:5" ht="31.95" hidden="1" customHeight="1" x14ac:dyDescent="0.3">
      <c r="B1800" s="6" t="str">
        <f ca="1">IF(AND(NEGOCIAÇÕES!P1800="",NEGOCIAÇÕES!N1800&lt;TODAY()),NEGOCIAÇÕES!C1800,"")</f>
        <v/>
      </c>
      <c r="C1800" s="6">
        <f ca="1">IF(AND(NEGOCIAÇÕES!P1800="",NEGOCIAÇÕES!N1800&lt;TODAY()),NEGOCIAÇÕES!E1800,"")</f>
        <v>0</v>
      </c>
      <c r="D1800" s="6">
        <f ca="1">IF(AND(NEGOCIAÇÕES!P1800="",NEGOCIAÇÕES!N1800&lt;TODAY()),NEGOCIAÇÕES!D1800,"")</f>
        <v>0</v>
      </c>
      <c r="E1800" s="9">
        <f ca="1">IF(AND(NEGOCIAÇÕES!P1800="",NEGOCIAÇÕES!N1800&lt;TODAY()),NEGOCIAÇÕES!N1800,"")</f>
        <v>0</v>
      </c>
    </row>
    <row r="1801" spans="2:5" ht="31.95" hidden="1" customHeight="1" x14ac:dyDescent="0.3">
      <c r="B1801" s="6" t="str">
        <f ca="1">IF(AND(NEGOCIAÇÕES!P1801="",NEGOCIAÇÕES!N1801&lt;TODAY()),NEGOCIAÇÕES!C1801,"")</f>
        <v/>
      </c>
      <c r="C1801" s="6">
        <f ca="1">IF(AND(NEGOCIAÇÕES!P1801="",NEGOCIAÇÕES!N1801&lt;TODAY()),NEGOCIAÇÕES!E1801,"")</f>
        <v>0</v>
      </c>
      <c r="D1801" s="6">
        <f ca="1">IF(AND(NEGOCIAÇÕES!P1801="",NEGOCIAÇÕES!N1801&lt;TODAY()),NEGOCIAÇÕES!D1801,"")</f>
        <v>0</v>
      </c>
      <c r="E1801" s="9">
        <f ca="1">IF(AND(NEGOCIAÇÕES!P1801="",NEGOCIAÇÕES!N1801&lt;TODAY()),NEGOCIAÇÕES!N1801,"")</f>
        <v>0</v>
      </c>
    </row>
    <row r="1802" spans="2:5" ht="31.95" hidden="1" customHeight="1" x14ac:dyDescent="0.3">
      <c r="B1802" s="6" t="str">
        <f ca="1">IF(AND(NEGOCIAÇÕES!P1802="",NEGOCIAÇÕES!N1802&lt;TODAY()),NEGOCIAÇÕES!C1802,"")</f>
        <v/>
      </c>
      <c r="C1802" s="6">
        <f ca="1">IF(AND(NEGOCIAÇÕES!P1802="",NEGOCIAÇÕES!N1802&lt;TODAY()),NEGOCIAÇÕES!E1802,"")</f>
        <v>0</v>
      </c>
      <c r="D1802" s="6">
        <f ca="1">IF(AND(NEGOCIAÇÕES!P1802="",NEGOCIAÇÕES!N1802&lt;TODAY()),NEGOCIAÇÕES!D1802,"")</f>
        <v>0</v>
      </c>
      <c r="E1802" s="9">
        <f ca="1">IF(AND(NEGOCIAÇÕES!P1802="",NEGOCIAÇÕES!N1802&lt;TODAY()),NEGOCIAÇÕES!N1802,"")</f>
        <v>0</v>
      </c>
    </row>
    <row r="1803" spans="2:5" ht="31.95" hidden="1" customHeight="1" x14ac:dyDescent="0.3">
      <c r="B1803" s="6" t="str">
        <f ca="1">IF(AND(NEGOCIAÇÕES!P1803="",NEGOCIAÇÕES!N1803&lt;TODAY()),NEGOCIAÇÕES!C1803,"")</f>
        <v/>
      </c>
      <c r="C1803" s="6">
        <f ca="1">IF(AND(NEGOCIAÇÕES!P1803="",NEGOCIAÇÕES!N1803&lt;TODAY()),NEGOCIAÇÕES!E1803,"")</f>
        <v>0</v>
      </c>
      <c r="D1803" s="6">
        <f ca="1">IF(AND(NEGOCIAÇÕES!P1803="",NEGOCIAÇÕES!N1803&lt;TODAY()),NEGOCIAÇÕES!D1803,"")</f>
        <v>0</v>
      </c>
      <c r="E1803" s="9">
        <f ca="1">IF(AND(NEGOCIAÇÕES!P1803="",NEGOCIAÇÕES!N1803&lt;TODAY()),NEGOCIAÇÕES!N1803,"")</f>
        <v>0</v>
      </c>
    </row>
    <row r="1804" spans="2:5" ht="31.95" hidden="1" customHeight="1" x14ac:dyDescent="0.3">
      <c r="B1804" s="6" t="str">
        <f ca="1">IF(AND(NEGOCIAÇÕES!P1804="",NEGOCIAÇÕES!N1804&lt;TODAY()),NEGOCIAÇÕES!C1804,"")</f>
        <v/>
      </c>
      <c r="C1804" s="6">
        <f ca="1">IF(AND(NEGOCIAÇÕES!P1804="",NEGOCIAÇÕES!N1804&lt;TODAY()),NEGOCIAÇÕES!E1804,"")</f>
        <v>0</v>
      </c>
      <c r="D1804" s="6">
        <f ca="1">IF(AND(NEGOCIAÇÕES!P1804="",NEGOCIAÇÕES!N1804&lt;TODAY()),NEGOCIAÇÕES!D1804,"")</f>
        <v>0</v>
      </c>
      <c r="E1804" s="9">
        <f ca="1">IF(AND(NEGOCIAÇÕES!P1804="",NEGOCIAÇÕES!N1804&lt;TODAY()),NEGOCIAÇÕES!N1804,"")</f>
        <v>0</v>
      </c>
    </row>
    <row r="1805" spans="2:5" ht="31.95" hidden="1" customHeight="1" x14ac:dyDescent="0.3">
      <c r="B1805" s="6" t="str">
        <f ca="1">IF(AND(NEGOCIAÇÕES!P1805="",NEGOCIAÇÕES!N1805&lt;TODAY()),NEGOCIAÇÕES!C1805,"")</f>
        <v/>
      </c>
      <c r="C1805" s="6">
        <f ca="1">IF(AND(NEGOCIAÇÕES!P1805="",NEGOCIAÇÕES!N1805&lt;TODAY()),NEGOCIAÇÕES!E1805,"")</f>
        <v>0</v>
      </c>
      <c r="D1805" s="6">
        <f ca="1">IF(AND(NEGOCIAÇÕES!P1805="",NEGOCIAÇÕES!N1805&lt;TODAY()),NEGOCIAÇÕES!D1805,"")</f>
        <v>0</v>
      </c>
      <c r="E1805" s="9">
        <f ca="1">IF(AND(NEGOCIAÇÕES!P1805="",NEGOCIAÇÕES!N1805&lt;TODAY()),NEGOCIAÇÕES!N1805,"")</f>
        <v>0</v>
      </c>
    </row>
    <row r="1806" spans="2:5" ht="31.95" hidden="1" customHeight="1" x14ac:dyDescent="0.3">
      <c r="B1806" s="6" t="str">
        <f ca="1">IF(AND(NEGOCIAÇÕES!P1806="",NEGOCIAÇÕES!N1806&lt;TODAY()),NEGOCIAÇÕES!C1806,"")</f>
        <v/>
      </c>
      <c r="C1806" s="6">
        <f ca="1">IF(AND(NEGOCIAÇÕES!P1806="",NEGOCIAÇÕES!N1806&lt;TODAY()),NEGOCIAÇÕES!E1806,"")</f>
        <v>0</v>
      </c>
      <c r="D1806" s="6">
        <f ca="1">IF(AND(NEGOCIAÇÕES!P1806="",NEGOCIAÇÕES!N1806&lt;TODAY()),NEGOCIAÇÕES!D1806,"")</f>
        <v>0</v>
      </c>
      <c r="E1806" s="9">
        <f ca="1">IF(AND(NEGOCIAÇÕES!P1806="",NEGOCIAÇÕES!N1806&lt;TODAY()),NEGOCIAÇÕES!N1806,"")</f>
        <v>0</v>
      </c>
    </row>
    <row r="1807" spans="2:5" ht="31.95" hidden="1" customHeight="1" x14ac:dyDescent="0.3">
      <c r="B1807" s="6" t="str">
        <f ca="1">IF(AND(NEGOCIAÇÕES!P1807="",NEGOCIAÇÕES!N1807&lt;TODAY()),NEGOCIAÇÕES!C1807,"")</f>
        <v/>
      </c>
      <c r="C1807" s="6">
        <f ca="1">IF(AND(NEGOCIAÇÕES!P1807="",NEGOCIAÇÕES!N1807&lt;TODAY()),NEGOCIAÇÕES!E1807,"")</f>
        <v>0</v>
      </c>
      <c r="D1807" s="6">
        <f ca="1">IF(AND(NEGOCIAÇÕES!P1807="",NEGOCIAÇÕES!N1807&lt;TODAY()),NEGOCIAÇÕES!D1807,"")</f>
        <v>0</v>
      </c>
      <c r="E1807" s="9">
        <f ca="1">IF(AND(NEGOCIAÇÕES!P1807="",NEGOCIAÇÕES!N1807&lt;TODAY()),NEGOCIAÇÕES!N1807,"")</f>
        <v>0</v>
      </c>
    </row>
    <row r="1808" spans="2:5" ht="31.95" hidden="1" customHeight="1" x14ac:dyDescent="0.3">
      <c r="B1808" s="6" t="str">
        <f ca="1">IF(AND(NEGOCIAÇÕES!P1808="",NEGOCIAÇÕES!N1808&lt;TODAY()),NEGOCIAÇÕES!C1808,"")</f>
        <v/>
      </c>
      <c r="C1808" s="6">
        <f ca="1">IF(AND(NEGOCIAÇÕES!P1808="",NEGOCIAÇÕES!N1808&lt;TODAY()),NEGOCIAÇÕES!E1808,"")</f>
        <v>0</v>
      </c>
      <c r="D1808" s="6">
        <f ca="1">IF(AND(NEGOCIAÇÕES!P1808="",NEGOCIAÇÕES!N1808&lt;TODAY()),NEGOCIAÇÕES!D1808,"")</f>
        <v>0</v>
      </c>
      <c r="E1808" s="9">
        <f ca="1">IF(AND(NEGOCIAÇÕES!P1808="",NEGOCIAÇÕES!N1808&lt;TODAY()),NEGOCIAÇÕES!N1808,"")</f>
        <v>0</v>
      </c>
    </row>
    <row r="1809" spans="2:5" ht="31.95" hidden="1" customHeight="1" x14ac:dyDescent="0.3">
      <c r="B1809" s="6" t="str">
        <f ca="1">IF(AND(NEGOCIAÇÕES!P1809="",NEGOCIAÇÕES!N1809&lt;TODAY()),NEGOCIAÇÕES!C1809,"")</f>
        <v/>
      </c>
      <c r="C1809" s="6">
        <f ca="1">IF(AND(NEGOCIAÇÕES!P1809="",NEGOCIAÇÕES!N1809&lt;TODAY()),NEGOCIAÇÕES!E1809,"")</f>
        <v>0</v>
      </c>
      <c r="D1809" s="6">
        <f ca="1">IF(AND(NEGOCIAÇÕES!P1809="",NEGOCIAÇÕES!N1809&lt;TODAY()),NEGOCIAÇÕES!D1809,"")</f>
        <v>0</v>
      </c>
      <c r="E1809" s="9">
        <f ca="1">IF(AND(NEGOCIAÇÕES!P1809="",NEGOCIAÇÕES!N1809&lt;TODAY()),NEGOCIAÇÕES!N1809,"")</f>
        <v>0</v>
      </c>
    </row>
    <row r="1810" spans="2:5" ht="31.95" hidden="1" customHeight="1" x14ac:dyDescent="0.3">
      <c r="B1810" s="6" t="str">
        <f ca="1">IF(AND(NEGOCIAÇÕES!P1810="",NEGOCIAÇÕES!N1810&lt;TODAY()),NEGOCIAÇÕES!C1810,"")</f>
        <v/>
      </c>
      <c r="C1810" s="6">
        <f ca="1">IF(AND(NEGOCIAÇÕES!P1810="",NEGOCIAÇÕES!N1810&lt;TODAY()),NEGOCIAÇÕES!E1810,"")</f>
        <v>0</v>
      </c>
      <c r="D1810" s="6">
        <f ca="1">IF(AND(NEGOCIAÇÕES!P1810="",NEGOCIAÇÕES!N1810&lt;TODAY()),NEGOCIAÇÕES!D1810,"")</f>
        <v>0</v>
      </c>
      <c r="E1810" s="9">
        <f ca="1">IF(AND(NEGOCIAÇÕES!P1810="",NEGOCIAÇÕES!N1810&lt;TODAY()),NEGOCIAÇÕES!N1810,"")</f>
        <v>0</v>
      </c>
    </row>
    <row r="1811" spans="2:5" ht="31.95" hidden="1" customHeight="1" x14ac:dyDescent="0.3">
      <c r="B1811" s="6" t="str">
        <f ca="1">IF(AND(NEGOCIAÇÕES!P1811="",NEGOCIAÇÕES!N1811&lt;TODAY()),NEGOCIAÇÕES!C1811,"")</f>
        <v/>
      </c>
      <c r="C1811" s="6">
        <f ca="1">IF(AND(NEGOCIAÇÕES!P1811="",NEGOCIAÇÕES!N1811&lt;TODAY()),NEGOCIAÇÕES!E1811,"")</f>
        <v>0</v>
      </c>
      <c r="D1811" s="6">
        <f ca="1">IF(AND(NEGOCIAÇÕES!P1811="",NEGOCIAÇÕES!N1811&lt;TODAY()),NEGOCIAÇÕES!D1811,"")</f>
        <v>0</v>
      </c>
      <c r="E1811" s="9">
        <f ca="1">IF(AND(NEGOCIAÇÕES!P1811="",NEGOCIAÇÕES!N1811&lt;TODAY()),NEGOCIAÇÕES!N1811,"")</f>
        <v>0</v>
      </c>
    </row>
    <row r="1812" spans="2:5" ht="31.95" hidden="1" customHeight="1" x14ac:dyDescent="0.3">
      <c r="B1812" s="6" t="str">
        <f ca="1">IF(AND(NEGOCIAÇÕES!P1812="",NEGOCIAÇÕES!N1812&lt;TODAY()),NEGOCIAÇÕES!C1812,"")</f>
        <v/>
      </c>
      <c r="C1812" s="6">
        <f ca="1">IF(AND(NEGOCIAÇÕES!P1812="",NEGOCIAÇÕES!N1812&lt;TODAY()),NEGOCIAÇÕES!E1812,"")</f>
        <v>0</v>
      </c>
      <c r="D1812" s="6">
        <f ca="1">IF(AND(NEGOCIAÇÕES!P1812="",NEGOCIAÇÕES!N1812&lt;TODAY()),NEGOCIAÇÕES!D1812,"")</f>
        <v>0</v>
      </c>
      <c r="E1812" s="9">
        <f ca="1">IF(AND(NEGOCIAÇÕES!P1812="",NEGOCIAÇÕES!N1812&lt;TODAY()),NEGOCIAÇÕES!N1812,"")</f>
        <v>0</v>
      </c>
    </row>
    <row r="1813" spans="2:5" ht="31.95" hidden="1" customHeight="1" x14ac:dyDescent="0.3">
      <c r="B1813" s="6" t="str">
        <f ca="1">IF(AND(NEGOCIAÇÕES!P1813="",NEGOCIAÇÕES!N1813&lt;TODAY()),NEGOCIAÇÕES!C1813,"")</f>
        <v/>
      </c>
      <c r="C1813" s="6">
        <f ca="1">IF(AND(NEGOCIAÇÕES!P1813="",NEGOCIAÇÕES!N1813&lt;TODAY()),NEGOCIAÇÕES!E1813,"")</f>
        <v>0</v>
      </c>
      <c r="D1813" s="6">
        <f ca="1">IF(AND(NEGOCIAÇÕES!P1813="",NEGOCIAÇÕES!N1813&lt;TODAY()),NEGOCIAÇÕES!D1813,"")</f>
        <v>0</v>
      </c>
      <c r="E1813" s="9">
        <f ca="1">IF(AND(NEGOCIAÇÕES!P1813="",NEGOCIAÇÕES!N1813&lt;TODAY()),NEGOCIAÇÕES!N1813,"")</f>
        <v>0</v>
      </c>
    </row>
    <row r="1814" spans="2:5" ht="31.95" hidden="1" customHeight="1" x14ac:dyDescent="0.3">
      <c r="B1814" s="6" t="str">
        <f ca="1">IF(AND(NEGOCIAÇÕES!P1814="",NEGOCIAÇÕES!N1814&lt;TODAY()),NEGOCIAÇÕES!C1814,"")</f>
        <v/>
      </c>
      <c r="C1814" s="6">
        <f ca="1">IF(AND(NEGOCIAÇÕES!P1814="",NEGOCIAÇÕES!N1814&lt;TODAY()),NEGOCIAÇÕES!E1814,"")</f>
        <v>0</v>
      </c>
      <c r="D1814" s="6">
        <f ca="1">IF(AND(NEGOCIAÇÕES!P1814="",NEGOCIAÇÕES!N1814&lt;TODAY()),NEGOCIAÇÕES!D1814,"")</f>
        <v>0</v>
      </c>
      <c r="E1814" s="9">
        <f ca="1">IF(AND(NEGOCIAÇÕES!P1814="",NEGOCIAÇÕES!N1814&lt;TODAY()),NEGOCIAÇÕES!N1814,"")</f>
        <v>0</v>
      </c>
    </row>
    <row r="1815" spans="2:5" ht="31.95" hidden="1" customHeight="1" x14ac:dyDescent="0.3">
      <c r="B1815" s="6" t="str">
        <f ca="1">IF(AND(NEGOCIAÇÕES!P1815="",NEGOCIAÇÕES!N1815&lt;TODAY()),NEGOCIAÇÕES!C1815,"")</f>
        <v/>
      </c>
      <c r="C1815" s="6">
        <f ca="1">IF(AND(NEGOCIAÇÕES!P1815="",NEGOCIAÇÕES!N1815&lt;TODAY()),NEGOCIAÇÕES!E1815,"")</f>
        <v>0</v>
      </c>
      <c r="D1815" s="6">
        <f ca="1">IF(AND(NEGOCIAÇÕES!P1815="",NEGOCIAÇÕES!N1815&lt;TODAY()),NEGOCIAÇÕES!D1815,"")</f>
        <v>0</v>
      </c>
      <c r="E1815" s="9">
        <f ca="1">IF(AND(NEGOCIAÇÕES!P1815="",NEGOCIAÇÕES!N1815&lt;TODAY()),NEGOCIAÇÕES!N1815,"")</f>
        <v>0</v>
      </c>
    </row>
    <row r="1816" spans="2:5" ht="31.95" hidden="1" customHeight="1" x14ac:dyDescent="0.3">
      <c r="B1816" s="6" t="str">
        <f ca="1">IF(AND(NEGOCIAÇÕES!P1816="",NEGOCIAÇÕES!N1816&lt;TODAY()),NEGOCIAÇÕES!C1816,"")</f>
        <v/>
      </c>
      <c r="C1816" s="6">
        <f ca="1">IF(AND(NEGOCIAÇÕES!P1816="",NEGOCIAÇÕES!N1816&lt;TODAY()),NEGOCIAÇÕES!E1816,"")</f>
        <v>0</v>
      </c>
      <c r="D1816" s="6">
        <f ca="1">IF(AND(NEGOCIAÇÕES!P1816="",NEGOCIAÇÕES!N1816&lt;TODAY()),NEGOCIAÇÕES!D1816,"")</f>
        <v>0</v>
      </c>
      <c r="E1816" s="9">
        <f ca="1">IF(AND(NEGOCIAÇÕES!P1816="",NEGOCIAÇÕES!N1816&lt;TODAY()),NEGOCIAÇÕES!N1816,"")</f>
        <v>0</v>
      </c>
    </row>
    <row r="1817" spans="2:5" ht="31.95" hidden="1" customHeight="1" x14ac:dyDescent="0.3">
      <c r="B1817" s="6" t="str">
        <f ca="1">IF(AND(NEGOCIAÇÕES!P1817="",NEGOCIAÇÕES!N1817&lt;TODAY()),NEGOCIAÇÕES!C1817,"")</f>
        <v/>
      </c>
      <c r="C1817" s="6">
        <f ca="1">IF(AND(NEGOCIAÇÕES!P1817="",NEGOCIAÇÕES!N1817&lt;TODAY()),NEGOCIAÇÕES!E1817,"")</f>
        <v>0</v>
      </c>
      <c r="D1817" s="6">
        <f ca="1">IF(AND(NEGOCIAÇÕES!P1817="",NEGOCIAÇÕES!N1817&lt;TODAY()),NEGOCIAÇÕES!D1817,"")</f>
        <v>0</v>
      </c>
      <c r="E1817" s="9">
        <f ca="1">IF(AND(NEGOCIAÇÕES!P1817="",NEGOCIAÇÕES!N1817&lt;TODAY()),NEGOCIAÇÕES!N1817,"")</f>
        <v>0</v>
      </c>
    </row>
    <row r="1818" spans="2:5" ht="31.95" hidden="1" customHeight="1" x14ac:dyDescent="0.3">
      <c r="B1818" s="6" t="str">
        <f ca="1">IF(AND(NEGOCIAÇÕES!P1818="",NEGOCIAÇÕES!N1818&lt;TODAY()),NEGOCIAÇÕES!C1818,"")</f>
        <v/>
      </c>
      <c r="C1818" s="6">
        <f ca="1">IF(AND(NEGOCIAÇÕES!P1818="",NEGOCIAÇÕES!N1818&lt;TODAY()),NEGOCIAÇÕES!E1818,"")</f>
        <v>0</v>
      </c>
      <c r="D1818" s="6">
        <f ca="1">IF(AND(NEGOCIAÇÕES!P1818="",NEGOCIAÇÕES!N1818&lt;TODAY()),NEGOCIAÇÕES!D1818,"")</f>
        <v>0</v>
      </c>
      <c r="E1818" s="9">
        <f ca="1">IF(AND(NEGOCIAÇÕES!P1818="",NEGOCIAÇÕES!N1818&lt;TODAY()),NEGOCIAÇÕES!N1818,"")</f>
        <v>0</v>
      </c>
    </row>
    <row r="1819" spans="2:5" ht="31.95" hidden="1" customHeight="1" x14ac:dyDescent="0.3">
      <c r="B1819" s="6" t="str">
        <f ca="1">IF(AND(NEGOCIAÇÕES!P1819="",NEGOCIAÇÕES!N1819&lt;TODAY()),NEGOCIAÇÕES!C1819,"")</f>
        <v/>
      </c>
      <c r="C1819" s="6">
        <f ca="1">IF(AND(NEGOCIAÇÕES!P1819="",NEGOCIAÇÕES!N1819&lt;TODAY()),NEGOCIAÇÕES!E1819,"")</f>
        <v>0</v>
      </c>
      <c r="D1819" s="6">
        <f ca="1">IF(AND(NEGOCIAÇÕES!P1819="",NEGOCIAÇÕES!N1819&lt;TODAY()),NEGOCIAÇÕES!D1819,"")</f>
        <v>0</v>
      </c>
      <c r="E1819" s="9">
        <f ca="1">IF(AND(NEGOCIAÇÕES!P1819="",NEGOCIAÇÕES!N1819&lt;TODAY()),NEGOCIAÇÕES!N1819,"")</f>
        <v>0</v>
      </c>
    </row>
    <row r="1820" spans="2:5" ht="31.95" hidden="1" customHeight="1" x14ac:dyDescent="0.3">
      <c r="B1820" s="6" t="str">
        <f ca="1">IF(AND(NEGOCIAÇÕES!P1820="",NEGOCIAÇÕES!N1820&lt;TODAY()),NEGOCIAÇÕES!C1820,"")</f>
        <v/>
      </c>
      <c r="C1820" s="6">
        <f ca="1">IF(AND(NEGOCIAÇÕES!P1820="",NEGOCIAÇÕES!N1820&lt;TODAY()),NEGOCIAÇÕES!E1820,"")</f>
        <v>0</v>
      </c>
      <c r="D1820" s="6">
        <f ca="1">IF(AND(NEGOCIAÇÕES!P1820="",NEGOCIAÇÕES!N1820&lt;TODAY()),NEGOCIAÇÕES!D1820,"")</f>
        <v>0</v>
      </c>
      <c r="E1820" s="9">
        <f ca="1">IF(AND(NEGOCIAÇÕES!P1820="",NEGOCIAÇÕES!N1820&lt;TODAY()),NEGOCIAÇÕES!N1820,"")</f>
        <v>0</v>
      </c>
    </row>
    <row r="1821" spans="2:5" ht="31.95" hidden="1" customHeight="1" x14ac:dyDescent="0.3">
      <c r="B1821" s="6" t="str">
        <f ca="1">IF(AND(NEGOCIAÇÕES!P1821="",NEGOCIAÇÕES!N1821&lt;TODAY()),NEGOCIAÇÕES!C1821,"")</f>
        <v/>
      </c>
      <c r="C1821" s="6">
        <f ca="1">IF(AND(NEGOCIAÇÕES!P1821="",NEGOCIAÇÕES!N1821&lt;TODAY()),NEGOCIAÇÕES!E1821,"")</f>
        <v>0</v>
      </c>
      <c r="D1821" s="6">
        <f ca="1">IF(AND(NEGOCIAÇÕES!P1821="",NEGOCIAÇÕES!N1821&lt;TODAY()),NEGOCIAÇÕES!D1821,"")</f>
        <v>0</v>
      </c>
      <c r="E1821" s="9">
        <f ca="1">IF(AND(NEGOCIAÇÕES!P1821="",NEGOCIAÇÕES!N1821&lt;TODAY()),NEGOCIAÇÕES!N1821,"")</f>
        <v>0</v>
      </c>
    </row>
    <row r="1822" spans="2:5" ht="31.95" hidden="1" customHeight="1" x14ac:dyDescent="0.3">
      <c r="B1822" s="6" t="str">
        <f ca="1">IF(AND(NEGOCIAÇÕES!P1822="",NEGOCIAÇÕES!N1822&lt;TODAY()),NEGOCIAÇÕES!C1822,"")</f>
        <v/>
      </c>
      <c r="C1822" s="6">
        <f ca="1">IF(AND(NEGOCIAÇÕES!P1822="",NEGOCIAÇÕES!N1822&lt;TODAY()),NEGOCIAÇÕES!E1822,"")</f>
        <v>0</v>
      </c>
      <c r="D1822" s="6">
        <f ca="1">IF(AND(NEGOCIAÇÕES!P1822="",NEGOCIAÇÕES!N1822&lt;TODAY()),NEGOCIAÇÕES!D1822,"")</f>
        <v>0</v>
      </c>
      <c r="E1822" s="9">
        <f ca="1">IF(AND(NEGOCIAÇÕES!P1822="",NEGOCIAÇÕES!N1822&lt;TODAY()),NEGOCIAÇÕES!N1822,"")</f>
        <v>0</v>
      </c>
    </row>
    <row r="1823" spans="2:5" ht="31.95" hidden="1" customHeight="1" x14ac:dyDescent="0.3">
      <c r="B1823" s="6" t="str">
        <f ca="1">IF(AND(NEGOCIAÇÕES!P1823="",NEGOCIAÇÕES!N1823&lt;TODAY()),NEGOCIAÇÕES!C1823,"")</f>
        <v/>
      </c>
      <c r="C1823" s="6">
        <f ca="1">IF(AND(NEGOCIAÇÕES!P1823="",NEGOCIAÇÕES!N1823&lt;TODAY()),NEGOCIAÇÕES!E1823,"")</f>
        <v>0</v>
      </c>
      <c r="D1823" s="6">
        <f ca="1">IF(AND(NEGOCIAÇÕES!P1823="",NEGOCIAÇÕES!N1823&lt;TODAY()),NEGOCIAÇÕES!D1823,"")</f>
        <v>0</v>
      </c>
      <c r="E1823" s="9">
        <f ca="1">IF(AND(NEGOCIAÇÕES!P1823="",NEGOCIAÇÕES!N1823&lt;TODAY()),NEGOCIAÇÕES!N1823,"")</f>
        <v>0</v>
      </c>
    </row>
    <row r="1824" spans="2:5" ht="31.95" hidden="1" customHeight="1" x14ac:dyDescent="0.3">
      <c r="B1824" s="6" t="str">
        <f ca="1">IF(AND(NEGOCIAÇÕES!P1824="",NEGOCIAÇÕES!N1824&lt;TODAY()),NEGOCIAÇÕES!C1824,"")</f>
        <v/>
      </c>
      <c r="C1824" s="6">
        <f ca="1">IF(AND(NEGOCIAÇÕES!P1824="",NEGOCIAÇÕES!N1824&lt;TODAY()),NEGOCIAÇÕES!E1824,"")</f>
        <v>0</v>
      </c>
      <c r="D1824" s="6">
        <f ca="1">IF(AND(NEGOCIAÇÕES!P1824="",NEGOCIAÇÕES!N1824&lt;TODAY()),NEGOCIAÇÕES!D1824,"")</f>
        <v>0</v>
      </c>
      <c r="E1824" s="9">
        <f ca="1">IF(AND(NEGOCIAÇÕES!P1824="",NEGOCIAÇÕES!N1824&lt;TODAY()),NEGOCIAÇÕES!N1824,"")</f>
        <v>0</v>
      </c>
    </row>
    <row r="1825" spans="2:5" ht="31.95" hidden="1" customHeight="1" x14ac:dyDescent="0.3">
      <c r="B1825" s="6" t="str">
        <f ca="1">IF(AND(NEGOCIAÇÕES!P1825="",NEGOCIAÇÕES!N1825&lt;TODAY()),NEGOCIAÇÕES!C1825,"")</f>
        <v/>
      </c>
      <c r="C1825" s="6">
        <f ca="1">IF(AND(NEGOCIAÇÕES!P1825="",NEGOCIAÇÕES!N1825&lt;TODAY()),NEGOCIAÇÕES!E1825,"")</f>
        <v>0</v>
      </c>
      <c r="D1825" s="6">
        <f ca="1">IF(AND(NEGOCIAÇÕES!P1825="",NEGOCIAÇÕES!N1825&lt;TODAY()),NEGOCIAÇÕES!D1825,"")</f>
        <v>0</v>
      </c>
      <c r="E1825" s="9">
        <f ca="1">IF(AND(NEGOCIAÇÕES!P1825="",NEGOCIAÇÕES!N1825&lt;TODAY()),NEGOCIAÇÕES!N1825,"")</f>
        <v>0</v>
      </c>
    </row>
    <row r="1826" spans="2:5" ht="31.95" hidden="1" customHeight="1" x14ac:dyDescent="0.3">
      <c r="B1826" s="6" t="str">
        <f ca="1">IF(AND(NEGOCIAÇÕES!P1826="",NEGOCIAÇÕES!N1826&lt;TODAY()),NEGOCIAÇÕES!C1826,"")</f>
        <v/>
      </c>
      <c r="C1826" s="6">
        <f ca="1">IF(AND(NEGOCIAÇÕES!P1826="",NEGOCIAÇÕES!N1826&lt;TODAY()),NEGOCIAÇÕES!E1826,"")</f>
        <v>0</v>
      </c>
      <c r="D1826" s="6">
        <f ca="1">IF(AND(NEGOCIAÇÕES!P1826="",NEGOCIAÇÕES!N1826&lt;TODAY()),NEGOCIAÇÕES!D1826,"")</f>
        <v>0</v>
      </c>
      <c r="E1826" s="9">
        <f ca="1">IF(AND(NEGOCIAÇÕES!P1826="",NEGOCIAÇÕES!N1826&lt;TODAY()),NEGOCIAÇÕES!N1826,"")</f>
        <v>0</v>
      </c>
    </row>
    <row r="1827" spans="2:5" ht="31.95" hidden="1" customHeight="1" x14ac:dyDescent="0.3">
      <c r="B1827" s="6" t="str">
        <f ca="1">IF(AND(NEGOCIAÇÕES!P1827="",NEGOCIAÇÕES!N1827&lt;TODAY()),NEGOCIAÇÕES!C1827,"")</f>
        <v/>
      </c>
      <c r="C1827" s="6">
        <f ca="1">IF(AND(NEGOCIAÇÕES!P1827="",NEGOCIAÇÕES!N1827&lt;TODAY()),NEGOCIAÇÕES!E1827,"")</f>
        <v>0</v>
      </c>
      <c r="D1827" s="6">
        <f ca="1">IF(AND(NEGOCIAÇÕES!P1827="",NEGOCIAÇÕES!N1827&lt;TODAY()),NEGOCIAÇÕES!D1827,"")</f>
        <v>0</v>
      </c>
      <c r="E1827" s="9">
        <f ca="1">IF(AND(NEGOCIAÇÕES!P1827="",NEGOCIAÇÕES!N1827&lt;TODAY()),NEGOCIAÇÕES!N1827,"")</f>
        <v>0</v>
      </c>
    </row>
    <row r="1828" spans="2:5" ht="31.95" hidden="1" customHeight="1" x14ac:dyDescent="0.3">
      <c r="B1828" s="6" t="str">
        <f ca="1">IF(AND(NEGOCIAÇÕES!P1828="",NEGOCIAÇÕES!N1828&lt;TODAY()),NEGOCIAÇÕES!C1828,"")</f>
        <v/>
      </c>
      <c r="C1828" s="6">
        <f ca="1">IF(AND(NEGOCIAÇÕES!P1828="",NEGOCIAÇÕES!N1828&lt;TODAY()),NEGOCIAÇÕES!E1828,"")</f>
        <v>0</v>
      </c>
      <c r="D1828" s="6">
        <f ca="1">IF(AND(NEGOCIAÇÕES!P1828="",NEGOCIAÇÕES!N1828&lt;TODAY()),NEGOCIAÇÕES!D1828,"")</f>
        <v>0</v>
      </c>
      <c r="E1828" s="9">
        <f ca="1">IF(AND(NEGOCIAÇÕES!P1828="",NEGOCIAÇÕES!N1828&lt;TODAY()),NEGOCIAÇÕES!N1828,"")</f>
        <v>0</v>
      </c>
    </row>
    <row r="1829" spans="2:5" ht="31.95" hidden="1" customHeight="1" x14ac:dyDescent="0.3">
      <c r="B1829" s="6" t="str">
        <f ca="1">IF(AND(NEGOCIAÇÕES!P1829="",NEGOCIAÇÕES!N1829&lt;TODAY()),NEGOCIAÇÕES!C1829,"")</f>
        <v/>
      </c>
      <c r="C1829" s="6">
        <f ca="1">IF(AND(NEGOCIAÇÕES!P1829="",NEGOCIAÇÕES!N1829&lt;TODAY()),NEGOCIAÇÕES!E1829,"")</f>
        <v>0</v>
      </c>
      <c r="D1829" s="6">
        <f ca="1">IF(AND(NEGOCIAÇÕES!P1829="",NEGOCIAÇÕES!N1829&lt;TODAY()),NEGOCIAÇÕES!D1829,"")</f>
        <v>0</v>
      </c>
      <c r="E1829" s="9">
        <f ca="1">IF(AND(NEGOCIAÇÕES!P1829="",NEGOCIAÇÕES!N1829&lt;TODAY()),NEGOCIAÇÕES!N1829,"")</f>
        <v>0</v>
      </c>
    </row>
    <row r="1830" spans="2:5" ht="31.95" hidden="1" customHeight="1" x14ac:dyDescent="0.3">
      <c r="B1830" s="6" t="str">
        <f ca="1">IF(AND(NEGOCIAÇÕES!P1830="",NEGOCIAÇÕES!N1830&lt;TODAY()),NEGOCIAÇÕES!C1830,"")</f>
        <v/>
      </c>
      <c r="C1830" s="6">
        <f ca="1">IF(AND(NEGOCIAÇÕES!P1830="",NEGOCIAÇÕES!N1830&lt;TODAY()),NEGOCIAÇÕES!E1830,"")</f>
        <v>0</v>
      </c>
      <c r="D1830" s="6">
        <f ca="1">IF(AND(NEGOCIAÇÕES!P1830="",NEGOCIAÇÕES!N1830&lt;TODAY()),NEGOCIAÇÕES!D1830,"")</f>
        <v>0</v>
      </c>
      <c r="E1830" s="9">
        <f ca="1">IF(AND(NEGOCIAÇÕES!P1830="",NEGOCIAÇÕES!N1830&lt;TODAY()),NEGOCIAÇÕES!N1830,"")</f>
        <v>0</v>
      </c>
    </row>
    <row r="1831" spans="2:5" ht="31.95" hidden="1" customHeight="1" x14ac:dyDescent="0.3">
      <c r="B1831" s="6" t="str">
        <f ca="1">IF(AND(NEGOCIAÇÕES!P1831="",NEGOCIAÇÕES!N1831&lt;TODAY()),NEGOCIAÇÕES!C1831,"")</f>
        <v/>
      </c>
      <c r="C1831" s="6">
        <f ca="1">IF(AND(NEGOCIAÇÕES!P1831="",NEGOCIAÇÕES!N1831&lt;TODAY()),NEGOCIAÇÕES!E1831,"")</f>
        <v>0</v>
      </c>
      <c r="D1831" s="6">
        <f ca="1">IF(AND(NEGOCIAÇÕES!P1831="",NEGOCIAÇÕES!N1831&lt;TODAY()),NEGOCIAÇÕES!D1831,"")</f>
        <v>0</v>
      </c>
      <c r="E1831" s="9">
        <f ca="1">IF(AND(NEGOCIAÇÕES!P1831="",NEGOCIAÇÕES!N1831&lt;TODAY()),NEGOCIAÇÕES!N1831,"")</f>
        <v>0</v>
      </c>
    </row>
    <row r="1832" spans="2:5" ht="31.95" hidden="1" customHeight="1" x14ac:dyDescent="0.3">
      <c r="B1832" s="6" t="str">
        <f ca="1">IF(AND(NEGOCIAÇÕES!P1832="",NEGOCIAÇÕES!N1832&lt;TODAY()),NEGOCIAÇÕES!C1832,"")</f>
        <v/>
      </c>
      <c r="C1832" s="6">
        <f ca="1">IF(AND(NEGOCIAÇÕES!P1832="",NEGOCIAÇÕES!N1832&lt;TODAY()),NEGOCIAÇÕES!E1832,"")</f>
        <v>0</v>
      </c>
      <c r="D1832" s="6">
        <f ca="1">IF(AND(NEGOCIAÇÕES!P1832="",NEGOCIAÇÕES!N1832&lt;TODAY()),NEGOCIAÇÕES!D1832,"")</f>
        <v>0</v>
      </c>
      <c r="E1832" s="9">
        <f ca="1">IF(AND(NEGOCIAÇÕES!P1832="",NEGOCIAÇÕES!N1832&lt;TODAY()),NEGOCIAÇÕES!N1832,"")</f>
        <v>0</v>
      </c>
    </row>
    <row r="1833" spans="2:5" ht="31.95" hidden="1" customHeight="1" x14ac:dyDescent="0.3">
      <c r="B1833" s="6" t="str">
        <f ca="1">IF(AND(NEGOCIAÇÕES!P1833="",NEGOCIAÇÕES!N1833&lt;TODAY()),NEGOCIAÇÕES!C1833,"")</f>
        <v/>
      </c>
      <c r="C1833" s="6">
        <f ca="1">IF(AND(NEGOCIAÇÕES!P1833="",NEGOCIAÇÕES!N1833&lt;TODAY()),NEGOCIAÇÕES!E1833,"")</f>
        <v>0</v>
      </c>
      <c r="D1833" s="6">
        <f ca="1">IF(AND(NEGOCIAÇÕES!P1833="",NEGOCIAÇÕES!N1833&lt;TODAY()),NEGOCIAÇÕES!D1833,"")</f>
        <v>0</v>
      </c>
      <c r="E1833" s="9">
        <f ca="1">IF(AND(NEGOCIAÇÕES!P1833="",NEGOCIAÇÕES!N1833&lt;TODAY()),NEGOCIAÇÕES!N1833,"")</f>
        <v>0</v>
      </c>
    </row>
    <row r="1834" spans="2:5" ht="31.95" hidden="1" customHeight="1" x14ac:dyDescent="0.3">
      <c r="B1834" s="6" t="str">
        <f ca="1">IF(AND(NEGOCIAÇÕES!P1834="",NEGOCIAÇÕES!N1834&lt;TODAY()),NEGOCIAÇÕES!C1834,"")</f>
        <v/>
      </c>
      <c r="C1834" s="6">
        <f ca="1">IF(AND(NEGOCIAÇÕES!P1834="",NEGOCIAÇÕES!N1834&lt;TODAY()),NEGOCIAÇÕES!E1834,"")</f>
        <v>0</v>
      </c>
      <c r="D1834" s="6">
        <f ca="1">IF(AND(NEGOCIAÇÕES!P1834="",NEGOCIAÇÕES!N1834&lt;TODAY()),NEGOCIAÇÕES!D1834,"")</f>
        <v>0</v>
      </c>
      <c r="E1834" s="9">
        <f ca="1">IF(AND(NEGOCIAÇÕES!P1834="",NEGOCIAÇÕES!N1834&lt;TODAY()),NEGOCIAÇÕES!N1834,"")</f>
        <v>0</v>
      </c>
    </row>
    <row r="1835" spans="2:5" ht="31.95" hidden="1" customHeight="1" x14ac:dyDescent="0.3">
      <c r="B1835" s="6" t="str">
        <f ca="1">IF(AND(NEGOCIAÇÕES!P1835="",NEGOCIAÇÕES!N1835&lt;TODAY()),NEGOCIAÇÕES!C1835,"")</f>
        <v/>
      </c>
      <c r="C1835" s="6">
        <f ca="1">IF(AND(NEGOCIAÇÕES!P1835="",NEGOCIAÇÕES!N1835&lt;TODAY()),NEGOCIAÇÕES!E1835,"")</f>
        <v>0</v>
      </c>
      <c r="D1835" s="6">
        <f ca="1">IF(AND(NEGOCIAÇÕES!P1835="",NEGOCIAÇÕES!N1835&lt;TODAY()),NEGOCIAÇÕES!D1835,"")</f>
        <v>0</v>
      </c>
      <c r="E1835" s="9">
        <f ca="1">IF(AND(NEGOCIAÇÕES!P1835="",NEGOCIAÇÕES!N1835&lt;TODAY()),NEGOCIAÇÕES!N1835,"")</f>
        <v>0</v>
      </c>
    </row>
    <row r="1836" spans="2:5" ht="31.95" hidden="1" customHeight="1" x14ac:dyDescent="0.3">
      <c r="B1836" s="6" t="str">
        <f ca="1">IF(AND(NEGOCIAÇÕES!P1836="",NEGOCIAÇÕES!N1836&lt;TODAY()),NEGOCIAÇÕES!C1836,"")</f>
        <v/>
      </c>
      <c r="C1836" s="6">
        <f ca="1">IF(AND(NEGOCIAÇÕES!P1836="",NEGOCIAÇÕES!N1836&lt;TODAY()),NEGOCIAÇÕES!E1836,"")</f>
        <v>0</v>
      </c>
      <c r="D1836" s="6">
        <f ca="1">IF(AND(NEGOCIAÇÕES!P1836="",NEGOCIAÇÕES!N1836&lt;TODAY()),NEGOCIAÇÕES!D1836,"")</f>
        <v>0</v>
      </c>
      <c r="E1836" s="9">
        <f ca="1">IF(AND(NEGOCIAÇÕES!P1836="",NEGOCIAÇÕES!N1836&lt;TODAY()),NEGOCIAÇÕES!N1836,"")</f>
        <v>0</v>
      </c>
    </row>
    <row r="1837" spans="2:5" ht="31.95" hidden="1" customHeight="1" x14ac:dyDescent="0.3">
      <c r="B1837" s="6" t="str">
        <f ca="1">IF(AND(NEGOCIAÇÕES!P1837="",NEGOCIAÇÕES!N1837&lt;TODAY()),NEGOCIAÇÕES!C1837,"")</f>
        <v/>
      </c>
      <c r="C1837" s="6">
        <f ca="1">IF(AND(NEGOCIAÇÕES!P1837="",NEGOCIAÇÕES!N1837&lt;TODAY()),NEGOCIAÇÕES!E1837,"")</f>
        <v>0</v>
      </c>
      <c r="D1837" s="6">
        <f ca="1">IF(AND(NEGOCIAÇÕES!P1837="",NEGOCIAÇÕES!N1837&lt;TODAY()),NEGOCIAÇÕES!D1837,"")</f>
        <v>0</v>
      </c>
      <c r="E1837" s="9">
        <f ca="1">IF(AND(NEGOCIAÇÕES!P1837="",NEGOCIAÇÕES!N1837&lt;TODAY()),NEGOCIAÇÕES!N1837,"")</f>
        <v>0</v>
      </c>
    </row>
    <row r="1838" spans="2:5" ht="31.95" hidden="1" customHeight="1" x14ac:dyDescent="0.3">
      <c r="B1838" s="6" t="str">
        <f ca="1">IF(AND(NEGOCIAÇÕES!P1838="",NEGOCIAÇÕES!N1838&lt;TODAY()),NEGOCIAÇÕES!C1838,"")</f>
        <v/>
      </c>
      <c r="C1838" s="6">
        <f ca="1">IF(AND(NEGOCIAÇÕES!P1838="",NEGOCIAÇÕES!N1838&lt;TODAY()),NEGOCIAÇÕES!E1838,"")</f>
        <v>0</v>
      </c>
      <c r="D1838" s="6">
        <f ca="1">IF(AND(NEGOCIAÇÕES!P1838="",NEGOCIAÇÕES!N1838&lt;TODAY()),NEGOCIAÇÕES!D1838,"")</f>
        <v>0</v>
      </c>
      <c r="E1838" s="9">
        <f ca="1">IF(AND(NEGOCIAÇÕES!P1838="",NEGOCIAÇÕES!N1838&lt;TODAY()),NEGOCIAÇÕES!N1838,"")</f>
        <v>0</v>
      </c>
    </row>
    <row r="1839" spans="2:5" ht="31.95" hidden="1" customHeight="1" x14ac:dyDescent="0.3">
      <c r="B1839" s="6" t="str">
        <f ca="1">IF(AND(NEGOCIAÇÕES!P1839="",NEGOCIAÇÕES!N1839&lt;TODAY()),NEGOCIAÇÕES!C1839,"")</f>
        <v/>
      </c>
      <c r="C1839" s="6">
        <f ca="1">IF(AND(NEGOCIAÇÕES!P1839="",NEGOCIAÇÕES!N1839&lt;TODAY()),NEGOCIAÇÕES!E1839,"")</f>
        <v>0</v>
      </c>
      <c r="D1839" s="6">
        <f ca="1">IF(AND(NEGOCIAÇÕES!P1839="",NEGOCIAÇÕES!N1839&lt;TODAY()),NEGOCIAÇÕES!D1839,"")</f>
        <v>0</v>
      </c>
      <c r="E1839" s="9">
        <f ca="1">IF(AND(NEGOCIAÇÕES!P1839="",NEGOCIAÇÕES!N1839&lt;TODAY()),NEGOCIAÇÕES!N1839,"")</f>
        <v>0</v>
      </c>
    </row>
    <row r="1840" spans="2:5" ht="31.95" hidden="1" customHeight="1" x14ac:dyDescent="0.3">
      <c r="B1840" s="6" t="str">
        <f ca="1">IF(AND(NEGOCIAÇÕES!P1840="",NEGOCIAÇÕES!N1840&lt;TODAY()),NEGOCIAÇÕES!C1840,"")</f>
        <v/>
      </c>
      <c r="C1840" s="6">
        <f ca="1">IF(AND(NEGOCIAÇÕES!P1840="",NEGOCIAÇÕES!N1840&lt;TODAY()),NEGOCIAÇÕES!E1840,"")</f>
        <v>0</v>
      </c>
      <c r="D1840" s="6">
        <f ca="1">IF(AND(NEGOCIAÇÕES!P1840="",NEGOCIAÇÕES!N1840&lt;TODAY()),NEGOCIAÇÕES!D1840,"")</f>
        <v>0</v>
      </c>
      <c r="E1840" s="9">
        <f ca="1">IF(AND(NEGOCIAÇÕES!P1840="",NEGOCIAÇÕES!N1840&lt;TODAY()),NEGOCIAÇÕES!N1840,"")</f>
        <v>0</v>
      </c>
    </row>
    <row r="1841" spans="2:5" ht="31.95" hidden="1" customHeight="1" x14ac:dyDescent="0.3">
      <c r="B1841" s="6" t="str">
        <f ca="1">IF(AND(NEGOCIAÇÕES!P1841="",NEGOCIAÇÕES!N1841&lt;TODAY()),NEGOCIAÇÕES!C1841,"")</f>
        <v/>
      </c>
      <c r="C1841" s="6">
        <f ca="1">IF(AND(NEGOCIAÇÕES!P1841="",NEGOCIAÇÕES!N1841&lt;TODAY()),NEGOCIAÇÕES!E1841,"")</f>
        <v>0</v>
      </c>
      <c r="D1841" s="6">
        <f ca="1">IF(AND(NEGOCIAÇÕES!P1841="",NEGOCIAÇÕES!N1841&lt;TODAY()),NEGOCIAÇÕES!D1841,"")</f>
        <v>0</v>
      </c>
      <c r="E1841" s="9">
        <f ca="1">IF(AND(NEGOCIAÇÕES!P1841="",NEGOCIAÇÕES!N1841&lt;TODAY()),NEGOCIAÇÕES!N1841,"")</f>
        <v>0</v>
      </c>
    </row>
    <row r="1842" spans="2:5" ht="31.95" hidden="1" customHeight="1" x14ac:dyDescent="0.3">
      <c r="B1842" s="6" t="str">
        <f ca="1">IF(AND(NEGOCIAÇÕES!P1842="",NEGOCIAÇÕES!N1842&lt;TODAY()),NEGOCIAÇÕES!C1842,"")</f>
        <v/>
      </c>
      <c r="C1842" s="6">
        <f ca="1">IF(AND(NEGOCIAÇÕES!P1842="",NEGOCIAÇÕES!N1842&lt;TODAY()),NEGOCIAÇÕES!E1842,"")</f>
        <v>0</v>
      </c>
      <c r="D1842" s="6">
        <f ca="1">IF(AND(NEGOCIAÇÕES!P1842="",NEGOCIAÇÕES!N1842&lt;TODAY()),NEGOCIAÇÕES!D1842,"")</f>
        <v>0</v>
      </c>
      <c r="E1842" s="9">
        <f ca="1">IF(AND(NEGOCIAÇÕES!P1842="",NEGOCIAÇÕES!N1842&lt;TODAY()),NEGOCIAÇÕES!N1842,"")</f>
        <v>0</v>
      </c>
    </row>
    <row r="1843" spans="2:5" ht="31.95" hidden="1" customHeight="1" x14ac:dyDescent="0.3">
      <c r="B1843" s="6" t="str">
        <f ca="1">IF(AND(NEGOCIAÇÕES!P1843="",NEGOCIAÇÕES!N1843&lt;TODAY()),NEGOCIAÇÕES!C1843,"")</f>
        <v/>
      </c>
      <c r="C1843" s="6">
        <f ca="1">IF(AND(NEGOCIAÇÕES!P1843="",NEGOCIAÇÕES!N1843&lt;TODAY()),NEGOCIAÇÕES!E1843,"")</f>
        <v>0</v>
      </c>
      <c r="D1843" s="6">
        <f ca="1">IF(AND(NEGOCIAÇÕES!P1843="",NEGOCIAÇÕES!N1843&lt;TODAY()),NEGOCIAÇÕES!D1843,"")</f>
        <v>0</v>
      </c>
      <c r="E1843" s="9">
        <f ca="1">IF(AND(NEGOCIAÇÕES!P1843="",NEGOCIAÇÕES!N1843&lt;TODAY()),NEGOCIAÇÕES!N1843,"")</f>
        <v>0</v>
      </c>
    </row>
    <row r="1844" spans="2:5" ht="31.95" hidden="1" customHeight="1" x14ac:dyDescent="0.3">
      <c r="B1844" s="6" t="str">
        <f ca="1">IF(AND(NEGOCIAÇÕES!P1844="",NEGOCIAÇÕES!N1844&lt;TODAY()),NEGOCIAÇÕES!C1844,"")</f>
        <v/>
      </c>
      <c r="C1844" s="6">
        <f ca="1">IF(AND(NEGOCIAÇÕES!P1844="",NEGOCIAÇÕES!N1844&lt;TODAY()),NEGOCIAÇÕES!E1844,"")</f>
        <v>0</v>
      </c>
      <c r="D1844" s="6">
        <f ca="1">IF(AND(NEGOCIAÇÕES!P1844="",NEGOCIAÇÕES!N1844&lt;TODAY()),NEGOCIAÇÕES!D1844,"")</f>
        <v>0</v>
      </c>
      <c r="E1844" s="9">
        <f ca="1">IF(AND(NEGOCIAÇÕES!P1844="",NEGOCIAÇÕES!N1844&lt;TODAY()),NEGOCIAÇÕES!N1844,"")</f>
        <v>0</v>
      </c>
    </row>
    <row r="1845" spans="2:5" ht="31.95" hidden="1" customHeight="1" x14ac:dyDescent="0.3">
      <c r="B1845" s="6" t="str">
        <f ca="1">IF(AND(NEGOCIAÇÕES!P1845="",NEGOCIAÇÕES!N1845&lt;TODAY()),NEGOCIAÇÕES!C1845,"")</f>
        <v/>
      </c>
      <c r="C1845" s="6">
        <f ca="1">IF(AND(NEGOCIAÇÕES!P1845="",NEGOCIAÇÕES!N1845&lt;TODAY()),NEGOCIAÇÕES!E1845,"")</f>
        <v>0</v>
      </c>
      <c r="D1845" s="6">
        <f ca="1">IF(AND(NEGOCIAÇÕES!P1845="",NEGOCIAÇÕES!N1845&lt;TODAY()),NEGOCIAÇÕES!D1845,"")</f>
        <v>0</v>
      </c>
      <c r="E1845" s="9">
        <f ca="1">IF(AND(NEGOCIAÇÕES!P1845="",NEGOCIAÇÕES!N1845&lt;TODAY()),NEGOCIAÇÕES!N1845,"")</f>
        <v>0</v>
      </c>
    </row>
    <row r="1846" spans="2:5" ht="31.95" hidden="1" customHeight="1" x14ac:dyDescent="0.3">
      <c r="B1846" s="6" t="str">
        <f ca="1">IF(AND(NEGOCIAÇÕES!P1846="",NEGOCIAÇÕES!N1846&lt;TODAY()),NEGOCIAÇÕES!C1846,"")</f>
        <v/>
      </c>
      <c r="C1846" s="6">
        <f ca="1">IF(AND(NEGOCIAÇÕES!P1846="",NEGOCIAÇÕES!N1846&lt;TODAY()),NEGOCIAÇÕES!E1846,"")</f>
        <v>0</v>
      </c>
      <c r="D1846" s="6">
        <f ca="1">IF(AND(NEGOCIAÇÕES!P1846="",NEGOCIAÇÕES!N1846&lt;TODAY()),NEGOCIAÇÕES!D1846,"")</f>
        <v>0</v>
      </c>
      <c r="E1846" s="9">
        <f ca="1">IF(AND(NEGOCIAÇÕES!P1846="",NEGOCIAÇÕES!N1846&lt;TODAY()),NEGOCIAÇÕES!N1846,"")</f>
        <v>0</v>
      </c>
    </row>
    <row r="1847" spans="2:5" ht="31.95" hidden="1" customHeight="1" x14ac:dyDescent="0.3">
      <c r="B1847" s="6" t="str">
        <f ca="1">IF(AND(NEGOCIAÇÕES!P1847="",NEGOCIAÇÕES!N1847&lt;TODAY()),NEGOCIAÇÕES!C1847,"")</f>
        <v/>
      </c>
      <c r="C1847" s="6">
        <f ca="1">IF(AND(NEGOCIAÇÕES!P1847="",NEGOCIAÇÕES!N1847&lt;TODAY()),NEGOCIAÇÕES!E1847,"")</f>
        <v>0</v>
      </c>
      <c r="D1847" s="6">
        <f ca="1">IF(AND(NEGOCIAÇÕES!P1847="",NEGOCIAÇÕES!N1847&lt;TODAY()),NEGOCIAÇÕES!D1847,"")</f>
        <v>0</v>
      </c>
      <c r="E1847" s="9">
        <f ca="1">IF(AND(NEGOCIAÇÕES!P1847="",NEGOCIAÇÕES!N1847&lt;TODAY()),NEGOCIAÇÕES!N1847,"")</f>
        <v>0</v>
      </c>
    </row>
    <row r="1848" spans="2:5" ht="31.95" hidden="1" customHeight="1" x14ac:dyDescent="0.3">
      <c r="B1848" s="6" t="str">
        <f ca="1">IF(AND(NEGOCIAÇÕES!P1848="",NEGOCIAÇÕES!N1848&lt;TODAY()),NEGOCIAÇÕES!C1848,"")</f>
        <v/>
      </c>
      <c r="C1848" s="6">
        <f ca="1">IF(AND(NEGOCIAÇÕES!P1848="",NEGOCIAÇÕES!N1848&lt;TODAY()),NEGOCIAÇÕES!E1848,"")</f>
        <v>0</v>
      </c>
      <c r="D1848" s="6">
        <f ca="1">IF(AND(NEGOCIAÇÕES!P1848="",NEGOCIAÇÕES!N1848&lt;TODAY()),NEGOCIAÇÕES!D1848,"")</f>
        <v>0</v>
      </c>
      <c r="E1848" s="9">
        <f ca="1">IF(AND(NEGOCIAÇÕES!P1848="",NEGOCIAÇÕES!N1848&lt;TODAY()),NEGOCIAÇÕES!N1848,"")</f>
        <v>0</v>
      </c>
    </row>
    <row r="1849" spans="2:5" ht="31.95" hidden="1" customHeight="1" x14ac:dyDescent="0.3">
      <c r="B1849" s="6" t="str">
        <f ca="1">IF(AND(NEGOCIAÇÕES!P1849="",NEGOCIAÇÕES!N1849&lt;TODAY()),NEGOCIAÇÕES!C1849,"")</f>
        <v/>
      </c>
      <c r="C1849" s="6">
        <f ca="1">IF(AND(NEGOCIAÇÕES!P1849="",NEGOCIAÇÕES!N1849&lt;TODAY()),NEGOCIAÇÕES!E1849,"")</f>
        <v>0</v>
      </c>
      <c r="D1849" s="6">
        <f ca="1">IF(AND(NEGOCIAÇÕES!P1849="",NEGOCIAÇÕES!N1849&lt;TODAY()),NEGOCIAÇÕES!D1849,"")</f>
        <v>0</v>
      </c>
      <c r="E1849" s="9">
        <f ca="1">IF(AND(NEGOCIAÇÕES!P1849="",NEGOCIAÇÕES!N1849&lt;TODAY()),NEGOCIAÇÕES!N1849,"")</f>
        <v>0</v>
      </c>
    </row>
    <row r="1850" spans="2:5" ht="31.95" hidden="1" customHeight="1" x14ac:dyDescent="0.3">
      <c r="B1850" s="6" t="str">
        <f ca="1">IF(AND(NEGOCIAÇÕES!P1850="",NEGOCIAÇÕES!N1850&lt;TODAY()),NEGOCIAÇÕES!C1850,"")</f>
        <v/>
      </c>
      <c r="C1850" s="6">
        <f ca="1">IF(AND(NEGOCIAÇÕES!P1850="",NEGOCIAÇÕES!N1850&lt;TODAY()),NEGOCIAÇÕES!E1850,"")</f>
        <v>0</v>
      </c>
      <c r="D1850" s="6">
        <f ca="1">IF(AND(NEGOCIAÇÕES!P1850="",NEGOCIAÇÕES!N1850&lt;TODAY()),NEGOCIAÇÕES!D1850,"")</f>
        <v>0</v>
      </c>
      <c r="E1850" s="9">
        <f ca="1">IF(AND(NEGOCIAÇÕES!P1850="",NEGOCIAÇÕES!N1850&lt;TODAY()),NEGOCIAÇÕES!N1850,"")</f>
        <v>0</v>
      </c>
    </row>
    <row r="1851" spans="2:5" ht="31.95" hidden="1" customHeight="1" x14ac:dyDescent="0.3">
      <c r="B1851" s="6" t="str">
        <f ca="1">IF(AND(NEGOCIAÇÕES!P1851="",NEGOCIAÇÕES!N1851&lt;TODAY()),NEGOCIAÇÕES!C1851,"")</f>
        <v/>
      </c>
      <c r="C1851" s="6">
        <f ca="1">IF(AND(NEGOCIAÇÕES!P1851="",NEGOCIAÇÕES!N1851&lt;TODAY()),NEGOCIAÇÕES!E1851,"")</f>
        <v>0</v>
      </c>
      <c r="D1851" s="6">
        <f ca="1">IF(AND(NEGOCIAÇÕES!P1851="",NEGOCIAÇÕES!N1851&lt;TODAY()),NEGOCIAÇÕES!D1851,"")</f>
        <v>0</v>
      </c>
      <c r="E1851" s="9">
        <f ca="1">IF(AND(NEGOCIAÇÕES!P1851="",NEGOCIAÇÕES!N1851&lt;TODAY()),NEGOCIAÇÕES!N1851,"")</f>
        <v>0</v>
      </c>
    </row>
    <row r="1852" spans="2:5" ht="31.95" hidden="1" customHeight="1" x14ac:dyDescent="0.3">
      <c r="B1852" s="6" t="str">
        <f ca="1">IF(AND(NEGOCIAÇÕES!P1852="",NEGOCIAÇÕES!N1852&lt;TODAY()),NEGOCIAÇÕES!C1852,"")</f>
        <v/>
      </c>
      <c r="C1852" s="6">
        <f ca="1">IF(AND(NEGOCIAÇÕES!P1852="",NEGOCIAÇÕES!N1852&lt;TODAY()),NEGOCIAÇÕES!E1852,"")</f>
        <v>0</v>
      </c>
      <c r="D1852" s="6">
        <f ca="1">IF(AND(NEGOCIAÇÕES!P1852="",NEGOCIAÇÕES!N1852&lt;TODAY()),NEGOCIAÇÕES!D1852,"")</f>
        <v>0</v>
      </c>
      <c r="E1852" s="9">
        <f ca="1">IF(AND(NEGOCIAÇÕES!P1852="",NEGOCIAÇÕES!N1852&lt;TODAY()),NEGOCIAÇÕES!N1852,"")</f>
        <v>0</v>
      </c>
    </row>
    <row r="1853" spans="2:5" ht="31.95" hidden="1" customHeight="1" x14ac:dyDescent="0.3">
      <c r="B1853" s="6" t="str">
        <f ca="1">IF(AND(NEGOCIAÇÕES!P1853="",NEGOCIAÇÕES!N1853&lt;TODAY()),NEGOCIAÇÕES!C1853,"")</f>
        <v/>
      </c>
      <c r="C1853" s="6">
        <f ca="1">IF(AND(NEGOCIAÇÕES!P1853="",NEGOCIAÇÕES!N1853&lt;TODAY()),NEGOCIAÇÕES!E1853,"")</f>
        <v>0</v>
      </c>
      <c r="D1853" s="6">
        <f ca="1">IF(AND(NEGOCIAÇÕES!P1853="",NEGOCIAÇÕES!N1853&lt;TODAY()),NEGOCIAÇÕES!D1853,"")</f>
        <v>0</v>
      </c>
      <c r="E1853" s="9">
        <f ca="1">IF(AND(NEGOCIAÇÕES!P1853="",NEGOCIAÇÕES!N1853&lt;TODAY()),NEGOCIAÇÕES!N1853,"")</f>
        <v>0</v>
      </c>
    </row>
    <row r="1854" spans="2:5" ht="31.95" hidden="1" customHeight="1" x14ac:dyDescent="0.3">
      <c r="B1854" s="6" t="str">
        <f ca="1">IF(AND(NEGOCIAÇÕES!P1854="",NEGOCIAÇÕES!N1854&lt;TODAY()),NEGOCIAÇÕES!C1854,"")</f>
        <v/>
      </c>
      <c r="C1854" s="6">
        <f ca="1">IF(AND(NEGOCIAÇÕES!P1854="",NEGOCIAÇÕES!N1854&lt;TODAY()),NEGOCIAÇÕES!E1854,"")</f>
        <v>0</v>
      </c>
      <c r="D1854" s="6">
        <f ca="1">IF(AND(NEGOCIAÇÕES!P1854="",NEGOCIAÇÕES!N1854&lt;TODAY()),NEGOCIAÇÕES!D1854,"")</f>
        <v>0</v>
      </c>
      <c r="E1854" s="9">
        <f ca="1">IF(AND(NEGOCIAÇÕES!P1854="",NEGOCIAÇÕES!N1854&lt;TODAY()),NEGOCIAÇÕES!N1854,"")</f>
        <v>0</v>
      </c>
    </row>
    <row r="1855" spans="2:5" ht="31.95" hidden="1" customHeight="1" x14ac:dyDescent="0.3">
      <c r="B1855" s="6" t="str">
        <f ca="1">IF(AND(NEGOCIAÇÕES!P1855="",NEGOCIAÇÕES!N1855&lt;TODAY()),NEGOCIAÇÕES!C1855,"")</f>
        <v/>
      </c>
      <c r="C1855" s="6">
        <f ca="1">IF(AND(NEGOCIAÇÕES!P1855="",NEGOCIAÇÕES!N1855&lt;TODAY()),NEGOCIAÇÕES!E1855,"")</f>
        <v>0</v>
      </c>
      <c r="D1855" s="6">
        <f ca="1">IF(AND(NEGOCIAÇÕES!P1855="",NEGOCIAÇÕES!N1855&lt;TODAY()),NEGOCIAÇÕES!D1855,"")</f>
        <v>0</v>
      </c>
      <c r="E1855" s="9">
        <f ca="1">IF(AND(NEGOCIAÇÕES!P1855="",NEGOCIAÇÕES!N1855&lt;TODAY()),NEGOCIAÇÕES!N1855,"")</f>
        <v>0</v>
      </c>
    </row>
    <row r="1856" spans="2:5" ht="31.95" hidden="1" customHeight="1" x14ac:dyDescent="0.3">
      <c r="B1856" s="6" t="str">
        <f ca="1">IF(AND(NEGOCIAÇÕES!P1856="",NEGOCIAÇÕES!N1856&lt;TODAY()),NEGOCIAÇÕES!C1856,"")</f>
        <v/>
      </c>
      <c r="C1856" s="6">
        <f ca="1">IF(AND(NEGOCIAÇÕES!P1856="",NEGOCIAÇÕES!N1856&lt;TODAY()),NEGOCIAÇÕES!E1856,"")</f>
        <v>0</v>
      </c>
      <c r="D1856" s="6">
        <f ca="1">IF(AND(NEGOCIAÇÕES!P1856="",NEGOCIAÇÕES!N1856&lt;TODAY()),NEGOCIAÇÕES!D1856,"")</f>
        <v>0</v>
      </c>
      <c r="E1856" s="9">
        <f ca="1">IF(AND(NEGOCIAÇÕES!P1856="",NEGOCIAÇÕES!N1856&lt;TODAY()),NEGOCIAÇÕES!N1856,"")</f>
        <v>0</v>
      </c>
    </row>
    <row r="1857" spans="2:5" ht="31.95" hidden="1" customHeight="1" x14ac:dyDescent="0.3">
      <c r="B1857" s="6" t="str">
        <f ca="1">IF(AND(NEGOCIAÇÕES!P1857="",NEGOCIAÇÕES!N1857&lt;TODAY()),NEGOCIAÇÕES!C1857,"")</f>
        <v/>
      </c>
      <c r="C1857" s="6">
        <f ca="1">IF(AND(NEGOCIAÇÕES!P1857="",NEGOCIAÇÕES!N1857&lt;TODAY()),NEGOCIAÇÕES!E1857,"")</f>
        <v>0</v>
      </c>
      <c r="D1857" s="6">
        <f ca="1">IF(AND(NEGOCIAÇÕES!P1857="",NEGOCIAÇÕES!N1857&lt;TODAY()),NEGOCIAÇÕES!D1857,"")</f>
        <v>0</v>
      </c>
      <c r="E1857" s="9">
        <f ca="1">IF(AND(NEGOCIAÇÕES!P1857="",NEGOCIAÇÕES!N1857&lt;TODAY()),NEGOCIAÇÕES!N1857,"")</f>
        <v>0</v>
      </c>
    </row>
    <row r="1858" spans="2:5" ht="31.95" hidden="1" customHeight="1" x14ac:dyDescent="0.3">
      <c r="B1858" s="6" t="str">
        <f ca="1">IF(AND(NEGOCIAÇÕES!P1858="",NEGOCIAÇÕES!N1858&lt;TODAY()),NEGOCIAÇÕES!C1858,"")</f>
        <v/>
      </c>
      <c r="C1858" s="6">
        <f ca="1">IF(AND(NEGOCIAÇÕES!P1858="",NEGOCIAÇÕES!N1858&lt;TODAY()),NEGOCIAÇÕES!E1858,"")</f>
        <v>0</v>
      </c>
      <c r="D1858" s="6">
        <f ca="1">IF(AND(NEGOCIAÇÕES!P1858="",NEGOCIAÇÕES!N1858&lt;TODAY()),NEGOCIAÇÕES!D1858,"")</f>
        <v>0</v>
      </c>
      <c r="E1858" s="9">
        <f ca="1">IF(AND(NEGOCIAÇÕES!P1858="",NEGOCIAÇÕES!N1858&lt;TODAY()),NEGOCIAÇÕES!N1858,"")</f>
        <v>0</v>
      </c>
    </row>
    <row r="1859" spans="2:5" ht="31.95" hidden="1" customHeight="1" x14ac:dyDescent="0.3">
      <c r="B1859" s="6" t="str">
        <f ca="1">IF(AND(NEGOCIAÇÕES!P1859="",NEGOCIAÇÕES!N1859&lt;TODAY()),NEGOCIAÇÕES!C1859,"")</f>
        <v/>
      </c>
      <c r="C1859" s="6">
        <f ca="1">IF(AND(NEGOCIAÇÕES!P1859="",NEGOCIAÇÕES!N1859&lt;TODAY()),NEGOCIAÇÕES!E1859,"")</f>
        <v>0</v>
      </c>
      <c r="D1859" s="6">
        <f ca="1">IF(AND(NEGOCIAÇÕES!P1859="",NEGOCIAÇÕES!N1859&lt;TODAY()),NEGOCIAÇÕES!D1859,"")</f>
        <v>0</v>
      </c>
      <c r="E1859" s="9">
        <f ca="1">IF(AND(NEGOCIAÇÕES!P1859="",NEGOCIAÇÕES!N1859&lt;TODAY()),NEGOCIAÇÕES!N1859,"")</f>
        <v>0</v>
      </c>
    </row>
    <row r="1860" spans="2:5" ht="31.95" hidden="1" customHeight="1" x14ac:dyDescent="0.3">
      <c r="B1860" s="6" t="str">
        <f ca="1">IF(AND(NEGOCIAÇÕES!P1860="",NEGOCIAÇÕES!N1860&lt;TODAY()),NEGOCIAÇÕES!C1860,"")</f>
        <v/>
      </c>
      <c r="C1860" s="6">
        <f ca="1">IF(AND(NEGOCIAÇÕES!P1860="",NEGOCIAÇÕES!N1860&lt;TODAY()),NEGOCIAÇÕES!E1860,"")</f>
        <v>0</v>
      </c>
      <c r="D1860" s="6">
        <f ca="1">IF(AND(NEGOCIAÇÕES!P1860="",NEGOCIAÇÕES!N1860&lt;TODAY()),NEGOCIAÇÕES!D1860,"")</f>
        <v>0</v>
      </c>
      <c r="E1860" s="9">
        <f ca="1">IF(AND(NEGOCIAÇÕES!P1860="",NEGOCIAÇÕES!N1860&lt;TODAY()),NEGOCIAÇÕES!N1860,"")</f>
        <v>0</v>
      </c>
    </row>
    <row r="1861" spans="2:5" ht="31.95" hidden="1" customHeight="1" x14ac:dyDescent="0.3">
      <c r="B1861" s="6" t="str">
        <f ca="1">IF(AND(NEGOCIAÇÕES!P1861="",NEGOCIAÇÕES!N1861&lt;TODAY()),NEGOCIAÇÕES!C1861,"")</f>
        <v/>
      </c>
      <c r="C1861" s="6">
        <f ca="1">IF(AND(NEGOCIAÇÕES!P1861="",NEGOCIAÇÕES!N1861&lt;TODAY()),NEGOCIAÇÕES!E1861,"")</f>
        <v>0</v>
      </c>
      <c r="D1861" s="6">
        <f ca="1">IF(AND(NEGOCIAÇÕES!P1861="",NEGOCIAÇÕES!N1861&lt;TODAY()),NEGOCIAÇÕES!D1861,"")</f>
        <v>0</v>
      </c>
      <c r="E1861" s="9">
        <f ca="1">IF(AND(NEGOCIAÇÕES!P1861="",NEGOCIAÇÕES!N1861&lt;TODAY()),NEGOCIAÇÕES!N1861,"")</f>
        <v>0</v>
      </c>
    </row>
    <row r="1862" spans="2:5" ht="31.95" hidden="1" customHeight="1" x14ac:dyDescent="0.3">
      <c r="B1862" s="6" t="str">
        <f ca="1">IF(AND(NEGOCIAÇÕES!P1862="",NEGOCIAÇÕES!N1862&lt;TODAY()),NEGOCIAÇÕES!C1862,"")</f>
        <v/>
      </c>
      <c r="C1862" s="6">
        <f ca="1">IF(AND(NEGOCIAÇÕES!P1862="",NEGOCIAÇÕES!N1862&lt;TODAY()),NEGOCIAÇÕES!E1862,"")</f>
        <v>0</v>
      </c>
      <c r="D1862" s="6">
        <f ca="1">IF(AND(NEGOCIAÇÕES!P1862="",NEGOCIAÇÕES!N1862&lt;TODAY()),NEGOCIAÇÕES!D1862,"")</f>
        <v>0</v>
      </c>
      <c r="E1862" s="9">
        <f ca="1">IF(AND(NEGOCIAÇÕES!P1862="",NEGOCIAÇÕES!N1862&lt;TODAY()),NEGOCIAÇÕES!N1862,"")</f>
        <v>0</v>
      </c>
    </row>
    <row r="1863" spans="2:5" ht="31.95" hidden="1" customHeight="1" x14ac:dyDescent="0.3">
      <c r="B1863" s="6" t="str">
        <f ca="1">IF(AND(NEGOCIAÇÕES!P1863="",NEGOCIAÇÕES!N1863&lt;TODAY()),NEGOCIAÇÕES!C1863,"")</f>
        <v/>
      </c>
      <c r="C1863" s="6">
        <f ca="1">IF(AND(NEGOCIAÇÕES!P1863="",NEGOCIAÇÕES!N1863&lt;TODAY()),NEGOCIAÇÕES!E1863,"")</f>
        <v>0</v>
      </c>
      <c r="D1863" s="6">
        <f ca="1">IF(AND(NEGOCIAÇÕES!P1863="",NEGOCIAÇÕES!N1863&lt;TODAY()),NEGOCIAÇÕES!D1863,"")</f>
        <v>0</v>
      </c>
      <c r="E1863" s="9">
        <f ca="1">IF(AND(NEGOCIAÇÕES!P1863="",NEGOCIAÇÕES!N1863&lt;TODAY()),NEGOCIAÇÕES!N1863,"")</f>
        <v>0</v>
      </c>
    </row>
    <row r="1864" spans="2:5" ht="31.95" hidden="1" customHeight="1" x14ac:dyDescent="0.3">
      <c r="B1864" s="6" t="str">
        <f ca="1">IF(AND(NEGOCIAÇÕES!P1864="",NEGOCIAÇÕES!N1864&lt;TODAY()),NEGOCIAÇÕES!C1864,"")</f>
        <v/>
      </c>
      <c r="C1864" s="6">
        <f ca="1">IF(AND(NEGOCIAÇÕES!P1864="",NEGOCIAÇÕES!N1864&lt;TODAY()),NEGOCIAÇÕES!E1864,"")</f>
        <v>0</v>
      </c>
      <c r="D1864" s="6">
        <f ca="1">IF(AND(NEGOCIAÇÕES!P1864="",NEGOCIAÇÕES!N1864&lt;TODAY()),NEGOCIAÇÕES!D1864,"")</f>
        <v>0</v>
      </c>
      <c r="E1864" s="9">
        <f ca="1">IF(AND(NEGOCIAÇÕES!P1864="",NEGOCIAÇÕES!N1864&lt;TODAY()),NEGOCIAÇÕES!N1864,"")</f>
        <v>0</v>
      </c>
    </row>
    <row r="1865" spans="2:5" ht="31.95" hidden="1" customHeight="1" x14ac:dyDescent="0.3">
      <c r="B1865" s="6" t="str">
        <f ca="1">IF(AND(NEGOCIAÇÕES!P1865="",NEGOCIAÇÕES!N1865&lt;TODAY()),NEGOCIAÇÕES!C1865,"")</f>
        <v/>
      </c>
      <c r="C1865" s="6">
        <f ca="1">IF(AND(NEGOCIAÇÕES!P1865="",NEGOCIAÇÕES!N1865&lt;TODAY()),NEGOCIAÇÕES!E1865,"")</f>
        <v>0</v>
      </c>
      <c r="D1865" s="6">
        <f ca="1">IF(AND(NEGOCIAÇÕES!P1865="",NEGOCIAÇÕES!N1865&lt;TODAY()),NEGOCIAÇÕES!D1865,"")</f>
        <v>0</v>
      </c>
      <c r="E1865" s="9">
        <f ca="1">IF(AND(NEGOCIAÇÕES!P1865="",NEGOCIAÇÕES!N1865&lt;TODAY()),NEGOCIAÇÕES!N1865,"")</f>
        <v>0</v>
      </c>
    </row>
    <row r="1866" spans="2:5" ht="31.95" hidden="1" customHeight="1" x14ac:dyDescent="0.3">
      <c r="B1866" s="6" t="str">
        <f ca="1">IF(AND(NEGOCIAÇÕES!P1866="",NEGOCIAÇÕES!N1866&lt;TODAY()),NEGOCIAÇÕES!C1866,"")</f>
        <v/>
      </c>
      <c r="C1866" s="6">
        <f ca="1">IF(AND(NEGOCIAÇÕES!P1866="",NEGOCIAÇÕES!N1866&lt;TODAY()),NEGOCIAÇÕES!E1866,"")</f>
        <v>0</v>
      </c>
      <c r="D1866" s="6">
        <f ca="1">IF(AND(NEGOCIAÇÕES!P1866="",NEGOCIAÇÕES!N1866&lt;TODAY()),NEGOCIAÇÕES!D1866,"")</f>
        <v>0</v>
      </c>
      <c r="E1866" s="9">
        <f ca="1">IF(AND(NEGOCIAÇÕES!P1866="",NEGOCIAÇÕES!N1866&lt;TODAY()),NEGOCIAÇÕES!N1866,"")</f>
        <v>0</v>
      </c>
    </row>
    <row r="1867" spans="2:5" ht="31.95" hidden="1" customHeight="1" x14ac:dyDescent="0.3">
      <c r="B1867" s="6" t="str">
        <f ca="1">IF(AND(NEGOCIAÇÕES!P1867="",NEGOCIAÇÕES!N1867&lt;TODAY()),NEGOCIAÇÕES!C1867,"")</f>
        <v/>
      </c>
      <c r="C1867" s="6">
        <f ca="1">IF(AND(NEGOCIAÇÕES!P1867="",NEGOCIAÇÕES!N1867&lt;TODAY()),NEGOCIAÇÕES!E1867,"")</f>
        <v>0</v>
      </c>
      <c r="D1867" s="6">
        <f ca="1">IF(AND(NEGOCIAÇÕES!P1867="",NEGOCIAÇÕES!N1867&lt;TODAY()),NEGOCIAÇÕES!D1867,"")</f>
        <v>0</v>
      </c>
      <c r="E1867" s="9">
        <f ca="1">IF(AND(NEGOCIAÇÕES!P1867="",NEGOCIAÇÕES!N1867&lt;TODAY()),NEGOCIAÇÕES!N1867,"")</f>
        <v>0</v>
      </c>
    </row>
    <row r="1868" spans="2:5" ht="31.95" hidden="1" customHeight="1" x14ac:dyDescent="0.3">
      <c r="B1868" s="6" t="str">
        <f ca="1">IF(AND(NEGOCIAÇÕES!P1868="",NEGOCIAÇÕES!N1868&lt;TODAY()),NEGOCIAÇÕES!C1868,"")</f>
        <v/>
      </c>
      <c r="C1868" s="6">
        <f ca="1">IF(AND(NEGOCIAÇÕES!P1868="",NEGOCIAÇÕES!N1868&lt;TODAY()),NEGOCIAÇÕES!E1868,"")</f>
        <v>0</v>
      </c>
      <c r="D1868" s="6">
        <f ca="1">IF(AND(NEGOCIAÇÕES!P1868="",NEGOCIAÇÕES!N1868&lt;TODAY()),NEGOCIAÇÕES!D1868,"")</f>
        <v>0</v>
      </c>
      <c r="E1868" s="9">
        <f ca="1">IF(AND(NEGOCIAÇÕES!P1868="",NEGOCIAÇÕES!N1868&lt;TODAY()),NEGOCIAÇÕES!N1868,"")</f>
        <v>0</v>
      </c>
    </row>
    <row r="1869" spans="2:5" ht="31.95" hidden="1" customHeight="1" x14ac:dyDescent="0.3">
      <c r="B1869" s="6" t="str">
        <f ca="1">IF(AND(NEGOCIAÇÕES!P1869="",NEGOCIAÇÕES!N1869&lt;TODAY()),NEGOCIAÇÕES!C1869,"")</f>
        <v/>
      </c>
      <c r="C1869" s="6">
        <f ca="1">IF(AND(NEGOCIAÇÕES!P1869="",NEGOCIAÇÕES!N1869&lt;TODAY()),NEGOCIAÇÕES!E1869,"")</f>
        <v>0</v>
      </c>
      <c r="D1869" s="6">
        <f ca="1">IF(AND(NEGOCIAÇÕES!P1869="",NEGOCIAÇÕES!N1869&lt;TODAY()),NEGOCIAÇÕES!D1869,"")</f>
        <v>0</v>
      </c>
      <c r="E1869" s="9">
        <f ca="1">IF(AND(NEGOCIAÇÕES!P1869="",NEGOCIAÇÕES!N1869&lt;TODAY()),NEGOCIAÇÕES!N1869,"")</f>
        <v>0</v>
      </c>
    </row>
    <row r="1870" spans="2:5" ht="31.95" hidden="1" customHeight="1" x14ac:dyDescent="0.3">
      <c r="B1870" s="6" t="str">
        <f ca="1">IF(AND(NEGOCIAÇÕES!P1870="",NEGOCIAÇÕES!N1870&lt;TODAY()),NEGOCIAÇÕES!C1870,"")</f>
        <v/>
      </c>
      <c r="C1870" s="6">
        <f ca="1">IF(AND(NEGOCIAÇÕES!P1870="",NEGOCIAÇÕES!N1870&lt;TODAY()),NEGOCIAÇÕES!E1870,"")</f>
        <v>0</v>
      </c>
      <c r="D1870" s="6">
        <f ca="1">IF(AND(NEGOCIAÇÕES!P1870="",NEGOCIAÇÕES!N1870&lt;TODAY()),NEGOCIAÇÕES!D1870,"")</f>
        <v>0</v>
      </c>
      <c r="E1870" s="9">
        <f ca="1">IF(AND(NEGOCIAÇÕES!P1870="",NEGOCIAÇÕES!N1870&lt;TODAY()),NEGOCIAÇÕES!N1870,"")</f>
        <v>0</v>
      </c>
    </row>
    <row r="1871" spans="2:5" ht="31.95" hidden="1" customHeight="1" x14ac:dyDescent="0.3">
      <c r="B1871" s="6" t="str">
        <f ca="1">IF(AND(NEGOCIAÇÕES!P1871="",NEGOCIAÇÕES!N1871&lt;TODAY()),NEGOCIAÇÕES!C1871,"")</f>
        <v/>
      </c>
      <c r="C1871" s="6">
        <f ca="1">IF(AND(NEGOCIAÇÕES!P1871="",NEGOCIAÇÕES!N1871&lt;TODAY()),NEGOCIAÇÕES!E1871,"")</f>
        <v>0</v>
      </c>
      <c r="D1871" s="6">
        <f ca="1">IF(AND(NEGOCIAÇÕES!P1871="",NEGOCIAÇÕES!N1871&lt;TODAY()),NEGOCIAÇÕES!D1871,"")</f>
        <v>0</v>
      </c>
      <c r="E1871" s="9">
        <f ca="1">IF(AND(NEGOCIAÇÕES!P1871="",NEGOCIAÇÕES!N1871&lt;TODAY()),NEGOCIAÇÕES!N1871,"")</f>
        <v>0</v>
      </c>
    </row>
    <row r="1872" spans="2:5" ht="31.95" hidden="1" customHeight="1" x14ac:dyDescent="0.3">
      <c r="B1872" s="6" t="str">
        <f ca="1">IF(AND(NEGOCIAÇÕES!P1872="",NEGOCIAÇÕES!N1872&lt;TODAY()),NEGOCIAÇÕES!C1872,"")</f>
        <v/>
      </c>
      <c r="C1872" s="6">
        <f ca="1">IF(AND(NEGOCIAÇÕES!P1872="",NEGOCIAÇÕES!N1872&lt;TODAY()),NEGOCIAÇÕES!E1872,"")</f>
        <v>0</v>
      </c>
      <c r="D1872" s="6">
        <f ca="1">IF(AND(NEGOCIAÇÕES!P1872="",NEGOCIAÇÕES!N1872&lt;TODAY()),NEGOCIAÇÕES!D1872,"")</f>
        <v>0</v>
      </c>
      <c r="E1872" s="9">
        <f ca="1">IF(AND(NEGOCIAÇÕES!P1872="",NEGOCIAÇÕES!N1872&lt;TODAY()),NEGOCIAÇÕES!N1872,"")</f>
        <v>0</v>
      </c>
    </row>
    <row r="1873" spans="2:5" ht="31.95" hidden="1" customHeight="1" x14ac:dyDescent="0.3">
      <c r="B1873" s="6" t="str">
        <f ca="1">IF(AND(NEGOCIAÇÕES!P1873="",NEGOCIAÇÕES!N1873&lt;TODAY()),NEGOCIAÇÕES!C1873,"")</f>
        <v/>
      </c>
      <c r="C1873" s="6">
        <f ca="1">IF(AND(NEGOCIAÇÕES!P1873="",NEGOCIAÇÕES!N1873&lt;TODAY()),NEGOCIAÇÕES!E1873,"")</f>
        <v>0</v>
      </c>
      <c r="D1873" s="6">
        <f ca="1">IF(AND(NEGOCIAÇÕES!P1873="",NEGOCIAÇÕES!N1873&lt;TODAY()),NEGOCIAÇÕES!D1873,"")</f>
        <v>0</v>
      </c>
      <c r="E1873" s="9">
        <f ca="1">IF(AND(NEGOCIAÇÕES!P1873="",NEGOCIAÇÕES!N1873&lt;TODAY()),NEGOCIAÇÕES!N1873,"")</f>
        <v>0</v>
      </c>
    </row>
    <row r="1874" spans="2:5" ht="31.95" hidden="1" customHeight="1" x14ac:dyDescent="0.3">
      <c r="B1874" s="6" t="str">
        <f ca="1">IF(AND(NEGOCIAÇÕES!P1874="",NEGOCIAÇÕES!N1874&lt;TODAY()),NEGOCIAÇÕES!C1874,"")</f>
        <v/>
      </c>
      <c r="C1874" s="6">
        <f ca="1">IF(AND(NEGOCIAÇÕES!P1874="",NEGOCIAÇÕES!N1874&lt;TODAY()),NEGOCIAÇÕES!E1874,"")</f>
        <v>0</v>
      </c>
      <c r="D1874" s="6">
        <f ca="1">IF(AND(NEGOCIAÇÕES!P1874="",NEGOCIAÇÕES!N1874&lt;TODAY()),NEGOCIAÇÕES!D1874,"")</f>
        <v>0</v>
      </c>
      <c r="E1874" s="9">
        <f ca="1">IF(AND(NEGOCIAÇÕES!P1874="",NEGOCIAÇÕES!N1874&lt;TODAY()),NEGOCIAÇÕES!N1874,"")</f>
        <v>0</v>
      </c>
    </row>
    <row r="1875" spans="2:5" ht="31.95" hidden="1" customHeight="1" x14ac:dyDescent="0.3">
      <c r="B1875" s="6" t="str">
        <f ca="1">IF(AND(NEGOCIAÇÕES!P1875="",NEGOCIAÇÕES!N1875&lt;TODAY()),NEGOCIAÇÕES!C1875,"")</f>
        <v/>
      </c>
      <c r="C1875" s="6">
        <f ca="1">IF(AND(NEGOCIAÇÕES!P1875="",NEGOCIAÇÕES!N1875&lt;TODAY()),NEGOCIAÇÕES!E1875,"")</f>
        <v>0</v>
      </c>
      <c r="D1875" s="6">
        <f ca="1">IF(AND(NEGOCIAÇÕES!P1875="",NEGOCIAÇÕES!N1875&lt;TODAY()),NEGOCIAÇÕES!D1875,"")</f>
        <v>0</v>
      </c>
      <c r="E1875" s="9">
        <f ca="1">IF(AND(NEGOCIAÇÕES!P1875="",NEGOCIAÇÕES!N1875&lt;TODAY()),NEGOCIAÇÕES!N1875,"")</f>
        <v>0</v>
      </c>
    </row>
    <row r="1876" spans="2:5" ht="31.95" hidden="1" customHeight="1" x14ac:dyDescent="0.3">
      <c r="B1876" s="6" t="str">
        <f ca="1">IF(AND(NEGOCIAÇÕES!P1876="",NEGOCIAÇÕES!N1876&lt;TODAY()),NEGOCIAÇÕES!C1876,"")</f>
        <v/>
      </c>
      <c r="C1876" s="6">
        <f ca="1">IF(AND(NEGOCIAÇÕES!P1876="",NEGOCIAÇÕES!N1876&lt;TODAY()),NEGOCIAÇÕES!E1876,"")</f>
        <v>0</v>
      </c>
      <c r="D1876" s="6">
        <f ca="1">IF(AND(NEGOCIAÇÕES!P1876="",NEGOCIAÇÕES!N1876&lt;TODAY()),NEGOCIAÇÕES!D1876,"")</f>
        <v>0</v>
      </c>
      <c r="E1876" s="9">
        <f ca="1">IF(AND(NEGOCIAÇÕES!P1876="",NEGOCIAÇÕES!N1876&lt;TODAY()),NEGOCIAÇÕES!N1876,"")</f>
        <v>0</v>
      </c>
    </row>
    <row r="1877" spans="2:5" ht="31.95" hidden="1" customHeight="1" x14ac:dyDescent="0.3">
      <c r="B1877" s="6" t="str">
        <f ca="1">IF(AND(NEGOCIAÇÕES!P1877="",NEGOCIAÇÕES!N1877&lt;TODAY()),NEGOCIAÇÕES!C1877,"")</f>
        <v/>
      </c>
      <c r="C1877" s="6">
        <f ca="1">IF(AND(NEGOCIAÇÕES!P1877="",NEGOCIAÇÕES!N1877&lt;TODAY()),NEGOCIAÇÕES!E1877,"")</f>
        <v>0</v>
      </c>
      <c r="D1877" s="6">
        <f ca="1">IF(AND(NEGOCIAÇÕES!P1877="",NEGOCIAÇÕES!N1877&lt;TODAY()),NEGOCIAÇÕES!D1877,"")</f>
        <v>0</v>
      </c>
      <c r="E1877" s="9">
        <f ca="1">IF(AND(NEGOCIAÇÕES!P1877="",NEGOCIAÇÕES!N1877&lt;TODAY()),NEGOCIAÇÕES!N1877,"")</f>
        <v>0</v>
      </c>
    </row>
    <row r="1878" spans="2:5" ht="31.95" hidden="1" customHeight="1" x14ac:dyDescent="0.3">
      <c r="B1878" s="6" t="str">
        <f ca="1">IF(AND(NEGOCIAÇÕES!P1878="",NEGOCIAÇÕES!N1878&lt;TODAY()),NEGOCIAÇÕES!C1878,"")</f>
        <v/>
      </c>
      <c r="C1878" s="6">
        <f ca="1">IF(AND(NEGOCIAÇÕES!P1878="",NEGOCIAÇÕES!N1878&lt;TODAY()),NEGOCIAÇÕES!E1878,"")</f>
        <v>0</v>
      </c>
      <c r="D1878" s="6">
        <f ca="1">IF(AND(NEGOCIAÇÕES!P1878="",NEGOCIAÇÕES!N1878&lt;TODAY()),NEGOCIAÇÕES!D1878,"")</f>
        <v>0</v>
      </c>
      <c r="E1878" s="9">
        <f ca="1">IF(AND(NEGOCIAÇÕES!P1878="",NEGOCIAÇÕES!N1878&lt;TODAY()),NEGOCIAÇÕES!N1878,"")</f>
        <v>0</v>
      </c>
    </row>
    <row r="1879" spans="2:5" ht="31.95" hidden="1" customHeight="1" x14ac:dyDescent="0.3">
      <c r="B1879" s="6" t="str">
        <f ca="1">IF(AND(NEGOCIAÇÕES!P1879="",NEGOCIAÇÕES!N1879&lt;TODAY()),NEGOCIAÇÕES!C1879,"")</f>
        <v/>
      </c>
      <c r="C1879" s="6">
        <f ca="1">IF(AND(NEGOCIAÇÕES!P1879="",NEGOCIAÇÕES!N1879&lt;TODAY()),NEGOCIAÇÕES!E1879,"")</f>
        <v>0</v>
      </c>
      <c r="D1879" s="6">
        <f ca="1">IF(AND(NEGOCIAÇÕES!P1879="",NEGOCIAÇÕES!N1879&lt;TODAY()),NEGOCIAÇÕES!D1879,"")</f>
        <v>0</v>
      </c>
      <c r="E1879" s="9">
        <f ca="1">IF(AND(NEGOCIAÇÕES!P1879="",NEGOCIAÇÕES!N1879&lt;TODAY()),NEGOCIAÇÕES!N1879,"")</f>
        <v>0</v>
      </c>
    </row>
    <row r="1880" spans="2:5" ht="31.95" hidden="1" customHeight="1" x14ac:dyDescent="0.3">
      <c r="B1880" s="6" t="str">
        <f ca="1">IF(AND(NEGOCIAÇÕES!P1880="",NEGOCIAÇÕES!N1880&lt;TODAY()),NEGOCIAÇÕES!C1880,"")</f>
        <v/>
      </c>
      <c r="C1880" s="6">
        <f ca="1">IF(AND(NEGOCIAÇÕES!P1880="",NEGOCIAÇÕES!N1880&lt;TODAY()),NEGOCIAÇÕES!E1880,"")</f>
        <v>0</v>
      </c>
      <c r="D1880" s="6">
        <f ca="1">IF(AND(NEGOCIAÇÕES!P1880="",NEGOCIAÇÕES!N1880&lt;TODAY()),NEGOCIAÇÕES!D1880,"")</f>
        <v>0</v>
      </c>
      <c r="E1880" s="9">
        <f ca="1">IF(AND(NEGOCIAÇÕES!P1880="",NEGOCIAÇÕES!N1880&lt;TODAY()),NEGOCIAÇÕES!N1880,"")</f>
        <v>0</v>
      </c>
    </row>
    <row r="1881" spans="2:5" ht="31.95" hidden="1" customHeight="1" x14ac:dyDescent="0.3">
      <c r="B1881" s="6" t="str">
        <f ca="1">IF(AND(NEGOCIAÇÕES!P1881="",NEGOCIAÇÕES!N1881&lt;TODAY()),NEGOCIAÇÕES!C1881,"")</f>
        <v/>
      </c>
      <c r="C1881" s="6">
        <f ca="1">IF(AND(NEGOCIAÇÕES!P1881="",NEGOCIAÇÕES!N1881&lt;TODAY()),NEGOCIAÇÕES!E1881,"")</f>
        <v>0</v>
      </c>
      <c r="D1881" s="6">
        <f ca="1">IF(AND(NEGOCIAÇÕES!P1881="",NEGOCIAÇÕES!N1881&lt;TODAY()),NEGOCIAÇÕES!D1881,"")</f>
        <v>0</v>
      </c>
      <c r="E1881" s="9">
        <f ca="1">IF(AND(NEGOCIAÇÕES!P1881="",NEGOCIAÇÕES!N1881&lt;TODAY()),NEGOCIAÇÕES!N1881,"")</f>
        <v>0</v>
      </c>
    </row>
    <row r="1882" spans="2:5" ht="31.95" hidden="1" customHeight="1" x14ac:dyDescent="0.3">
      <c r="B1882" s="6" t="str">
        <f ca="1">IF(AND(NEGOCIAÇÕES!P1882="",NEGOCIAÇÕES!N1882&lt;TODAY()),NEGOCIAÇÕES!C1882,"")</f>
        <v/>
      </c>
      <c r="C1882" s="6">
        <f ca="1">IF(AND(NEGOCIAÇÕES!P1882="",NEGOCIAÇÕES!N1882&lt;TODAY()),NEGOCIAÇÕES!E1882,"")</f>
        <v>0</v>
      </c>
      <c r="D1882" s="6">
        <f ca="1">IF(AND(NEGOCIAÇÕES!P1882="",NEGOCIAÇÕES!N1882&lt;TODAY()),NEGOCIAÇÕES!D1882,"")</f>
        <v>0</v>
      </c>
      <c r="E1882" s="9">
        <f ca="1">IF(AND(NEGOCIAÇÕES!P1882="",NEGOCIAÇÕES!N1882&lt;TODAY()),NEGOCIAÇÕES!N1882,"")</f>
        <v>0</v>
      </c>
    </row>
    <row r="1883" spans="2:5" ht="31.95" hidden="1" customHeight="1" x14ac:dyDescent="0.3">
      <c r="B1883" s="6" t="str">
        <f ca="1">IF(AND(NEGOCIAÇÕES!P1883="",NEGOCIAÇÕES!N1883&lt;TODAY()),NEGOCIAÇÕES!C1883,"")</f>
        <v/>
      </c>
      <c r="C1883" s="6">
        <f ca="1">IF(AND(NEGOCIAÇÕES!P1883="",NEGOCIAÇÕES!N1883&lt;TODAY()),NEGOCIAÇÕES!E1883,"")</f>
        <v>0</v>
      </c>
      <c r="D1883" s="6">
        <f ca="1">IF(AND(NEGOCIAÇÕES!P1883="",NEGOCIAÇÕES!N1883&lt;TODAY()),NEGOCIAÇÕES!D1883,"")</f>
        <v>0</v>
      </c>
      <c r="E1883" s="9">
        <f ca="1">IF(AND(NEGOCIAÇÕES!P1883="",NEGOCIAÇÕES!N1883&lt;TODAY()),NEGOCIAÇÕES!N1883,"")</f>
        <v>0</v>
      </c>
    </row>
    <row r="1884" spans="2:5" ht="31.95" hidden="1" customHeight="1" x14ac:dyDescent="0.3">
      <c r="B1884" s="6" t="str">
        <f ca="1">IF(AND(NEGOCIAÇÕES!P1884="",NEGOCIAÇÕES!N1884&lt;TODAY()),NEGOCIAÇÕES!C1884,"")</f>
        <v/>
      </c>
      <c r="C1884" s="6">
        <f ca="1">IF(AND(NEGOCIAÇÕES!P1884="",NEGOCIAÇÕES!N1884&lt;TODAY()),NEGOCIAÇÕES!E1884,"")</f>
        <v>0</v>
      </c>
      <c r="D1884" s="6">
        <f ca="1">IF(AND(NEGOCIAÇÕES!P1884="",NEGOCIAÇÕES!N1884&lt;TODAY()),NEGOCIAÇÕES!D1884,"")</f>
        <v>0</v>
      </c>
      <c r="E1884" s="9">
        <f ca="1">IF(AND(NEGOCIAÇÕES!P1884="",NEGOCIAÇÕES!N1884&lt;TODAY()),NEGOCIAÇÕES!N1884,"")</f>
        <v>0</v>
      </c>
    </row>
    <row r="1885" spans="2:5" ht="31.95" hidden="1" customHeight="1" x14ac:dyDescent="0.3">
      <c r="B1885" s="6" t="str">
        <f ca="1">IF(AND(NEGOCIAÇÕES!P1885="",NEGOCIAÇÕES!N1885&lt;TODAY()),NEGOCIAÇÕES!C1885,"")</f>
        <v/>
      </c>
      <c r="C1885" s="6">
        <f ca="1">IF(AND(NEGOCIAÇÕES!P1885="",NEGOCIAÇÕES!N1885&lt;TODAY()),NEGOCIAÇÕES!E1885,"")</f>
        <v>0</v>
      </c>
      <c r="D1885" s="6">
        <f ca="1">IF(AND(NEGOCIAÇÕES!P1885="",NEGOCIAÇÕES!N1885&lt;TODAY()),NEGOCIAÇÕES!D1885,"")</f>
        <v>0</v>
      </c>
      <c r="E1885" s="9">
        <f ca="1">IF(AND(NEGOCIAÇÕES!P1885="",NEGOCIAÇÕES!N1885&lt;TODAY()),NEGOCIAÇÕES!N1885,"")</f>
        <v>0</v>
      </c>
    </row>
    <row r="1886" spans="2:5" ht="31.95" hidden="1" customHeight="1" x14ac:dyDescent="0.3">
      <c r="B1886" s="6" t="str">
        <f ca="1">IF(AND(NEGOCIAÇÕES!P1886="",NEGOCIAÇÕES!N1886&lt;TODAY()),NEGOCIAÇÕES!C1886,"")</f>
        <v/>
      </c>
      <c r="C1886" s="6">
        <f ca="1">IF(AND(NEGOCIAÇÕES!P1886="",NEGOCIAÇÕES!N1886&lt;TODAY()),NEGOCIAÇÕES!E1886,"")</f>
        <v>0</v>
      </c>
      <c r="D1886" s="6">
        <f ca="1">IF(AND(NEGOCIAÇÕES!P1886="",NEGOCIAÇÕES!N1886&lt;TODAY()),NEGOCIAÇÕES!D1886,"")</f>
        <v>0</v>
      </c>
      <c r="E1886" s="9">
        <f ca="1">IF(AND(NEGOCIAÇÕES!P1886="",NEGOCIAÇÕES!N1886&lt;TODAY()),NEGOCIAÇÕES!N1886,"")</f>
        <v>0</v>
      </c>
    </row>
    <row r="1887" spans="2:5" ht="31.95" hidden="1" customHeight="1" x14ac:dyDescent="0.3">
      <c r="B1887" s="6" t="str">
        <f ca="1">IF(AND(NEGOCIAÇÕES!P1887="",NEGOCIAÇÕES!N1887&lt;TODAY()),NEGOCIAÇÕES!C1887,"")</f>
        <v/>
      </c>
      <c r="C1887" s="6">
        <f ca="1">IF(AND(NEGOCIAÇÕES!P1887="",NEGOCIAÇÕES!N1887&lt;TODAY()),NEGOCIAÇÕES!E1887,"")</f>
        <v>0</v>
      </c>
      <c r="D1887" s="6">
        <f ca="1">IF(AND(NEGOCIAÇÕES!P1887="",NEGOCIAÇÕES!N1887&lt;TODAY()),NEGOCIAÇÕES!D1887,"")</f>
        <v>0</v>
      </c>
      <c r="E1887" s="9">
        <f ca="1">IF(AND(NEGOCIAÇÕES!P1887="",NEGOCIAÇÕES!N1887&lt;TODAY()),NEGOCIAÇÕES!N1887,"")</f>
        <v>0</v>
      </c>
    </row>
    <row r="1888" spans="2:5" ht="31.95" hidden="1" customHeight="1" x14ac:dyDescent="0.3">
      <c r="B1888" s="6" t="str">
        <f ca="1">IF(AND(NEGOCIAÇÕES!P1888="",NEGOCIAÇÕES!N1888&lt;TODAY()),NEGOCIAÇÕES!C1888,"")</f>
        <v/>
      </c>
      <c r="C1888" s="6">
        <f ca="1">IF(AND(NEGOCIAÇÕES!P1888="",NEGOCIAÇÕES!N1888&lt;TODAY()),NEGOCIAÇÕES!E1888,"")</f>
        <v>0</v>
      </c>
      <c r="D1888" s="6">
        <f ca="1">IF(AND(NEGOCIAÇÕES!P1888="",NEGOCIAÇÕES!N1888&lt;TODAY()),NEGOCIAÇÕES!D1888,"")</f>
        <v>0</v>
      </c>
      <c r="E1888" s="9">
        <f ca="1">IF(AND(NEGOCIAÇÕES!P1888="",NEGOCIAÇÕES!N1888&lt;TODAY()),NEGOCIAÇÕES!N1888,"")</f>
        <v>0</v>
      </c>
    </row>
    <row r="1889" spans="2:5" ht="31.95" hidden="1" customHeight="1" x14ac:dyDescent="0.3">
      <c r="B1889" s="6" t="str">
        <f ca="1">IF(AND(NEGOCIAÇÕES!P1889="",NEGOCIAÇÕES!N1889&lt;TODAY()),NEGOCIAÇÕES!C1889,"")</f>
        <v/>
      </c>
      <c r="C1889" s="6">
        <f ca="1">IF(AND(NEGOCIAÇÕES!P1889="",NEGOCIAÇÕES!N1889&lt;TODAY()),NEGOCIAÇÕES!E1889,"")</f>
        <v>0</v>
      </c>
      <c r="D1889" s="6">
        <f ca="1">IF(AND(NEGOCIAÇÕES!P1889="",NEGOCIAÇÕES!N1889&lt;TODAY()),NEGOCIAÇÕES!D1889,"")</f>
        <v>0</v>
      </c>
      <c r="E1889" s="9">
        <f ca="1">IF(AND(NEGOCIAÇÕES!P1889="",NEGOCIAÇÕES!N1889&lt;TODAY()),NEGOCIAÇÕES!N1889,"")</f>
        <v>0</v>
      </c>
    </row>
    <row r="1890" spans="2:5" ht="31.95" hidden="1" customHeight="1" x14ac:dyDescent="0.3">
      <c r="B1890" s="6" t="str">
        <f ca="1">IF(AND(NEGOCIAÇÕES!P1890="",NEGOCIAÇÕES!N1890&lt;TODAY()),NEGOCIAÇÕES!C1890,"")</f>
        <v/>
      </c>
      <c r="C1890" s="6">
        <f ca="1">IF(AND(NEGOCIAÇÕES!P1890="",NEGOCIAÇÕES!N1890&lt;TODAY()),NEGOCIAÇÕES!E1890,"")</f>
        <v>0</v>
      </c>
      <c r="D1890" s="6">
        <f ca="1">IF(AND(NEGOCIAÇÕES!P1890="",NEGOCIAÇÕES!N1890&lt;TODAY()),NEGOCIAÇÕES!D1890,"")</f>
        <v>0</v>
      </c>
      <c r="E1890" s="9">
        <f ca="1">IF(AND(NEGOCIAÇÕES!P1890="",NEGOCIAÇÕES!N1890&lt;TODAY()),NEGOCIAÇÕES!N1890,"")</f>
        <v>0</v>
      </c>
    </row>
    <row r="1891" spans="2:5" ht="31.95" hidden="1" customHeight="1" x14ac:dyDescent="0.3">
      <c r="B1891" s="6" t="str">
        <f ca="1">IF(AND(NEGOCIAÇÕES!P1891="",NEGOCIAÇÕES!N1891&lt;TODAY()),NEGOCIAÇÕES!C1891,"")</f>
        <v/>
      </c>
      <c r="C1891" s="6">
        <f ca="1">IF(AND(NEGOCIAÇÕES!P1891="",NEGOCIAÇÕES!N1891&lt;TODAY()),NEGOCIAÇÕES!E1891,"")</f>
        <v>0</v>
      </c>
      <c r="D1891" s="6">
        <f ca="1">IF(AND(NEGOCIAÇÕES!P1891="",NEGOCIAÇÕES!N1891&lt;TODAY()),NEGOCIAÇÕES!D1891,"")</f>
        <v>0</v>
      </c>
      <c r="E1891" s="9">
        <f ca="1">IF(AND(NEGOCIAÇÕES!P1891="",NEGOCIAÇÕES!N1891&lt;TODAY()),NEGOCIAÇÕES!N1891,"")</f>
        <v>0</v>
      </c>
    </row>
    <row r="1892" spans="2:5" ht="31.95" hidden="1" customHeight="1" x14ac:dyDescent="0.3">
      <c r="B1892" s="6" t="str">
        <f ca="1">IF(AND(NEGOCIAÇÕES!P1892="",NEGOCIAÇÕES!N1892&lt;TODAY()),NEGOCIAÇÕES!C1892,"")</f>
        <v/>
      </c>
      <c r="C1892" s="6">
        <f ca="1">IF(AND(NEGOCIAÇÕES!P1892="",NEGOCIAÇÕES!N1892&lt;TODAY()),NEGOCIAÇÕES!E1892,"")</f>
        <v>0</v>
      </c>
      <c r="D1892" s="6">
        <f ca="1">IF(AND(NEGOCIAÇÕES!P1892="",NEGOCIAÇÕES!N1892&lt;TODAY()),NEGOCIAÇÕES!D1892,"")</f>
        <v>0</v>
      </c>
      <c r="E1892" s="9">
        <f ca="1">IF(AND(NEGOCIAÇÕES!P1892="",NEGOCIAÇÕES!N1892&lt;TODAY()),NEGOCIAÇÕES!N1892,"")</f>
        <v>0</v>
      </c>
    </row>
    <row r="1893" spans="2:5" ht="31.95" hidden="1" customHeight="1" x14ac:dyDescent="0.3">
      <c r="B1893" s="6" t="str">
        <f ca="1">IF(AND(NEGOCIAÇÕES!P1893="",NEGOCIAÇÕES!N1893&lt;TODAY()),NEGOCIAÇÕES!C1893,"")</f>
        <v/>
      </c>
      <c r="C1893" s="6">
        <f ca="1">IF(AND(NEGOCIAÇÕES!P1893="",NEGOCIAÇÕES!N1893&lt;TODAY()),NEGOCIAÇÕES!E1893,"")</f>
        <v>0</v>
      </c>
      <c r="D1893" s="6">
        <f ca="1">IF(AND(NEGOCIAÇÕES!P1893="",NEGOCIAÇÕES!N1893&lt;TODAY()),NEGOCIAÇÕES!D1893,"")</f>
        <v>0</v>
      </c>
      <c r="E1893" s="9">
        <f ca="1">IF(AND(NEGOCIAÇÕES!P1893="",NEGOCIAÇÕES!N1893&lt;TODAY()),NEGOCIAÇÕES!N1893,"")</f>
        <v>0</v>
      </c>
    </row>
    <row r="1894" spans="2:5" ht="31.95" hidden="1" customHeight="1" x14ac:dyDescent="0.3">
      <c r="B1894" s="6" t="str">
        <f ca="1">IF(AND(NEGOCIAÇÕES!P1894="",NEGOCIAÇÕES!N1894&lt;TODAY()),NEGOCIAÇÕES!C1894,"")</f>
        <v/>
      </c>
      <c r="C1894" s="6">
        <f ca="1">IF(AND(NEGOCIAÇÕES!P1894="",NEGOCIAÇÕES!N1894&lt;TODAY()),NEGOCIAÇÕES!E1894,"")</f>
        <v>0</v>
      </c>
      <c r="D1894" s="6">
        <f ca="1">IF(AND(NEGOCIAÇÕES!P1894="",NEGOCIAÇÕES!N1894&lt;TODAY()),NEGOCIAÇÕES!D1894,"")</f>
        <v>0</v>
      </c>
      <c r="E1894" s="9">
        <f ca="1">IF(AND(NEGOCIAÇÕES!P1894="",NEGOCIAÇÕES!N1894&lt;TODAY()),NEGOCIAÇÕES!N1894,"")</f>
        <v>0</v>
      </c>
    </row>
    <row r="1895" spans="2:5" ht="31.95" hidden="1" customHeight="1" x14ac:dyDescent="0.3">
      <c r="B1895" s="6" t="str">
        <f ca="1">IF(AND(NEGOCIAÇÕES!P1895="",NEGOCIAÇÕES!N1895&lt;TODAY()),NEGOCIAÇÕES!C1895,"")</f>
        <v/>
      </c>
      <c r="C1895" s="6">
        <f ca="1">IF(AND(NEGOCIAÇÕES!P1895="",NEGOCIAÇÕES!N1895&lt;TODAY()),NEGOCIAÇÕES!E1895,"")</f>
        <v>0</v>
      </c>
      <c r="D1895" s="6">
        <f ca="1">IF(AND(NEGOCIAÇÕES!P1895="",NEGOCIAÇÕES!N1895&lt;TODAY()),NEGOCIAÇÕES!D1895,"")</f>
        <v>0</v>
      </c>
      <c r="E1895" s="9">
        <f ca="1">IF(AND(NEGOCIAÇÕES!P1895="",NEGOCIAÇÕES!N1895&lt;TODAY()),NEGOCIAÇÕES!N1895,"")</f>
        <v>0</v>
      </c>
    </row>
    <row r="1896" spans="2:5" ht="31.95" hidden="1" customHeight="1" x14ac:dyDescent="0.3">
      <c r="B1896" s="6" t="str">
        <f ca="1">IF(AND(NEGOCIAÇÕES!P1896="",NEGOCIAÇÕES!N1896&lt;TODAY()),NEGOCIAÇÕES!C1896,"")</f>
        <v/>
      </c>
      <c r="C1896" s="6">
        <f ca="1">IF(AND(NEGOCIAÇÕES!P1896="",NEGOCIAÇÕES!N1896&lt;TODAY()),NEGOCIAÇÕES!E1896,"")</f>
        <v>0</v>
      </c>
      <c r="D1896" s="6">
        <f ca="1">IF(AND(NEGOCIAÇÕES!P1896="",NEGOCIAÇÕES!N1896&lt;TODAY()),NEGOCIAÇÕES!D1896,"")</f>
        <v>0</v>
      </c>
      <c r="E1896" s="9">
        <f ca="1">IF(AND(NEGOCIAÇÕES!P1896="",NEGOCIAÇÕES!N1896&lt;TODAY()),NEGOCIAÇÕES!N1896,"")</f>
        <v>0</v>
      </c>
    </row>
    <row r="1897" spans="2:5" ht="31.95" hidden="1" customHeight="1" x14ac:dyDescent="0.3">
      <c r="B1897" s="6" t="str">
        <f ca="1">IF(AND(NEGOCIAÇÕES!P1897="",NEGOCIAÇÕES!N1897&lt;TODAY()),NEGOCIAÇÕES!C1897,"")</f>
        <v/>
      </c>
      <c r="C1897" s="6">
        <f ca="1">IF(AND(NEGOCIAÇÕES!P1897="",NEGOCIAÇÕES!N1897&lt;TODAY()),NEGOCIAÇÕES!E1897,"")</f>
        <v>0</v>
      </c>
      <c r="D1897" s="6">
        <f ca="1">IF(AND(NEGOCIAÇÕES!P1897="",NEGOCIAÇÕES!N1897&lt;TODAY()),NEGOCIAÇÕES!D1897,"")</f>
        <v>0</v>
      </c>
      <c r="E1897" s="9">
        <f ca="1">IF(AND(NEGOCIAÇÕES!P1897="",NEGOCIAÇÕES!N1897&lt;TODAY()),NEGOCIAÇÕES!N1897,"")</f>
        <v>0</v>
      </c>
    </row>
    <row r="1898" spans="2:5" ht="31.95" hidden="1" customHeight="1" x14ac:dyDescent="0.3">
      <c r="B1898" s="6" t="str">
        <f ca="1">IF(AND(NEGOCIAÇÕES!P1898="",NEGOCIAÇÕES!N1898&lt;TODAY()),NEGOCIAÇÕES!C1898,"")</f>
        <v/>
      </c>
      <c r="C1898" s="6">
        <f ca="1">IF(AND(NEGOCIAÇÕES!P1898="",NEGOCIAÇÕES!N1898&lt;TODAY()),NEGOCIAÇÕES!E1898,"")</f>
        <v>0</v>
      </c>
      <c r="D1898" s="6">
        <f ca="1">IF(AND(NEGOCIAÇÕES!P1898="",NEGOCIAÇÕES!N1898&lt;TODAY()),NEGOCIAÇÕES!D1898,"")</f>
        <v>0</v>
      </c>
      <c r="E1898" s="9">
        <f ca="1">IF(AND(NEGOCIAÇÕES!P1898="",NEGOCIAÇÕES!N1898&lt;TODAY()),NEGOCIAÇÕES!N1898,"")</f>
        <v>0</v>
      </c>
    </row>
    <row r="1899" spans="2:5" ht="31.95" hidden="1" customHeight="1" x14ac:dyDescent="0.3">
      <c r="B1899" s="6" t="str">
        <f ca="1">IF(AND(NEGOCIAÇÕES!P1899="",NEGOCIAÇÕES!N1899&lt;TODAY()),NEGOCIAÇÕES!C1899,"")</f>
        <v/>
      </c>
      <c r="C1899" s="6">
        <f ca="1">IF(AND(NEGOCIAÇÕES!P1899="",NEGOCIAÇÕES!N1899&lt;TODAY()),NEGOCIAÇÕES!E1899,"")</f>
        <v>0</v>
      </c>
      <c r="D1899" s="6">
        <f ca="1">IF(AND(NEGOCIAÇÕES!P1899="",NEGOCIAÇÕES!N1899&lt;TODAY()),NEGOCIAÇÕES!D1899,"")</f>
        <v>0</v>
      </c>
      <c r="E1899" s="9">
        <f ca="1">IF(AND(NEGOCIAÇÕES!P1899="",NEGOCIAÇÕES!N1899&lt;TODAY()),NEGOCIAÇÕES!N1899,"")</f>
        <v>0</v>
      </c>
    </row>
    <row r="1900" spans="2:5" ht="31.95" hidden="1" customHeight="1" x14ac:dyDescent="0.3">
      <c r="B1900" s="6" t="str">
        <f ca="1">IF(AND(NEGOCIAÇÕES!P1900="",NEGOCIAÇÕES!N1900&lt;TODAY()),NEGOCIAÇÕES!C1900,"")</f>
        <v/>
      </c>
      <c r="C1900" s="6">
        <f ca="1">IF(AND(NEGOCIAÇÕES!P1900="",NEGOCIAÇÕES!N1900&lt;TODAY()),NEGOCIAÇÕES!E1900,"")</f>
        <v>0</v>
      </c>
      <c r="D1900" s="6">
        <f ca="1">IF(AND(NEGOCIAÇÕES!P1900="",NEGOCIAÇÕES!N1900&lt;TODAY()),NEGOCIAÇÕES!D1900,"")</f>
        <v>0</v>
      </c>
      <c r="E1900" s="9">
        <f ca="1">IF(AND(NEGOCIAÇÕES!P1900="",NEGOCIAÇÕES!N1900&lt;TODAY()),NEGOCIAÇÕES!N1900,"")</f>
        <v>0</v>
      </c>
    </row>
    <row r="1901" spans="2:5" ht="31.95" hidden="1" customHeight="1" x14ac:dyDescent="0.3">
      <c r="B1901" s="6" t="str">
        <f ca="1">IF(AND(NEGOCIAÇÕES!P1901="",NEGOCIAÇÕES!N1901&lt;TODAY()),NEGOCIAÇÕES!C1901,"")</f>
        <v/>
      </c>
      <c r="C1901" s="6">
        <f ca="1">IF(AND(NEGOCIAÇÕES!P1901="",NEGOCIAÇÕES!N1901&lt;TODAY()),NEGOCIAÇÕES!E1901,"")</f>
        <v>0</v>
      </c>
      <c r="D1901" s="6">
        <f ca="1">IF(AND(NEGOCIAÇÕES!P1901="",NEGOCIAÇÕES!N1901&lt;TODAY()),NEGOCIAÇÕES!D1901,"")</f>
        <v>0</v>
      </c>
      <c r="E1901" s="9">
        <f ca="1">IF(AND(NEGOCIAÇÕES!P1901="",NEGOCIAÇÕES!N1901&lt;TODAY()),NEGOCIAÇÕES!N1901,"")</f>
        <v>0</v>
      </c>
    </row>
    <row r="1902" spans="2:5" ht="31.95" hidden="1" customHeight="1" x14ac:dyDescent="0.3">
      <c r="B1902" s="6" t="str">
        <f ca="1">IF(AND(NEGOCIAÇÕES!P1902="",NEGOCIAÇÕES!N1902&lt;TODAY()),NEGOCIAÇÕES!C1902,"")</f>
        <v/>
      </c>
      <c r="C1902" s="6">
        <f ca="1">IF(AND(NEGOCIAÇÕES!P1902="",NEGOCIAÇÕES!N1902&lt;TODAY()),NEGOCIAÇÕES!E1902,"")</f>
        <v>0</v>
      </c>
      <c r="D1902" s="6">
        <f ca="1">IF(AND(NEGOCIAÇÕES!P1902="",NEGOCIAÇÕES!N1902&lt;TODAY()),NEGOCIAÇÕES!D1902,"")</f>
        <v>0</v>
      </c>
      <c r="E1902" s="9">
        <f ca="1">IF(AND(NEGOCIAÇÕES!P1902="",NEGOCIAÇÕES!N1902&lt;TODAY()),NEGOCIAÇÕES!N1902,"")</f>
        <v>0</v>
      </c>
    </row>
    <row r="1903" spans="2:5" ht="31.95" hidden="1" customHeight="1" x14ac:dyDescent="0.3">
      <c r="B1903" s="6" t="str">
        <f ca="1">IF(AND(NEGOCIAÇÕES!P1903="",NEGOCIAÇÕES!N1903&lt;TODAY()),NEGOCIAÇÕES!C1903,"")</f>
        <v/>
      </c>
      <c r="C1903" s="6">
        <f ca="1">IF(AND(NEGOCIAÇÕES!P1903="",NEGOCIAÇÕES!N1903&lt;TODAY()),NEGOCIAÇÕES!E1903,"")</f>
        <v>0</v>
      </c>
      <c r="D1903" s="6">
        <f ca="1">IF(AND(NEGOCIAÇÕES!P1903="",NEGOCIAÇÕES!N1903&lt;TODAY()),NEGOCIAÇÕES!D1903,"")</f>
        <v>0</v>
      </c>
      <c r="E1903" s="9">
        <f ca="1">IF(AND(NEGOCIAÇÕES!P1903="",NEGOCIAÇÕES!N1903&lt;TODAY()),NEGOCIAÇÕES!N1903,"")</f>
        <v>0</v>
      </c>
    </row>
    <row r="1904" spans="2:5" ht="31.95" hidden="1" customHeight="1" x14ac:dyDescent="0.3">
      <c r="B1904" s="6" t="str">
        <f ca="1">IF(AND(NEGOCIAÇÕES!P1904="",NEGOCIAÇÕES!N1904&lt;TODAY()),NEGOCIAÇÕES!C1904,"")</f>
        <v/>
      </c>
      <c r="C1904" s="6">
        <f ca="1">IF(AND(NEGOCIAÇÕES!P1904="",NEGOCIAÇÕES!N1904&lt;TODAY()),NEGOCIAÇÕES!E1904,"")</f>
        <v>0</v>
      </c>
      <c r="D1904" s="6">
        <f ca="1">IF(AND(NEGOCIAÇÕES!P1904="",NEGOCIAÇÕES!N1904&lt;TODAY()),NEGOCIAÇÕES!D1904,"")</f>
        <v>0</v>
      </c>
      <c r="E1904" s="9">
        <f ca="1">IF(AND(NEGOCIAÇÕES!P1904="",NEGOCIAÇÕES!N1904&lt;TODAY()),NEGOCIAÇÕES!N1904,"")</f>
        <v>0</v>
      </c>
    </row>
    <row r="1905" spans="2:5" ht="31.95" hidden="1" customHeight="1" x14ac:dyDescent="0.3">
      <c r="B1905" s="6" t="str">
        <f ca="1">IF(AND(NEGOCIAÇÕES!P1905="",NEGOCIAÇÕES!N1905&lt;TODAY()),NEGOCIAÇÕES!C1905,"")</f>
        <v/>
      </c>
      <c r="C1905" s="6">
        <f ca="1">IF(AND(NEGOCIAÇÕES!P1905="",NEGOCIAÇÕES!N1905&lt;TODAY()),NEGOCIAÇÕES!E1905,"")</f>
        <v>0</v>
      </c>
      <c r="D1905" s="6">
        <f ca="1">IF(AND(NEGOCIAÇÕES!P1905="",NEGOCIAÇÕES!N1905&lt;TODAY()),NEGOCIAÇÕES!D1905,"")</f>
        <v>0</v>
      </c>
      <c r="E1905" s="9">
        <f ca="1">IF(AND(NEGOCIAÇÕES!P1905="",NEGOCIAÇÕES!N1905&lt;TODAY()),NEGOCIAÇÕES!N1905,"")</f>
        <v>0</v>
      </c>
    </row>
    <row r="1906" spans="2:5" ht="31.95" hidden="1" customHeight="1" x14ac:dyDescent="0.3">
      <c r="B1906" s="6" t="str">
        <f ca="1">IF(AND(NEGOCIAÇÕES!P1906="",NEGOCIAÇÕES!N1906&lt;TODAY()),NEGOCIAÇÕES!C1906,"")</f>
        <v/>
      </c>
      <c r="C1906" s="6">
        <f ca="1">IF(AND(NEGOCIAÇÕES!P1906="",NEGOCIAÇÕES!N1906&lt;TODAY()),NEGOCIAÇÕES!E1906,"")</f>
        <v>0</v>
      </c>
      <c r="D1906" s="6">
        <f ca="1">IF(AND(NEGOCIAÇÕES!P1906="",NEGOCIAÇÕES!N1906&lt;TODAY()),NEGOCIAÇÕES!D1906,"")</f>
        <v>0</v>
      </c>
      <c r="E1906" s="9">
        <f ca="1">IF(AND(NEGOCIAÇÕES!P1906="",NEGOCIAÇÕES!N1906&lt;TODAY()),NEGOCIAÇÕES!N1906,"")</f>
        <v>0</v>
      </c>
    </row>
    <row r="1907" spans="2:5" ht="31.95" hidden="1" customHeight="1" x14ac:dyDescent="0.3">
      <c r="B1907" s="6" t="str">
        <f ca="1">IF(AND(NEGOCIAÇÕES!P1907="",NEGOCIAÇÕES!N1907&lt;TODAY()),NEGOCIAÇÕES!C1907,"")</f>
        <v/>
      </c>
      <c r="C1907" s="6">
        <f ca="1">IF(AND(NEGOCIAÇÕES!P1907="",NEGOCIAÇÕES!N1907&lt;TODAY()),NEGOCIAÇÕES!E1907,"")</f>
        <v>0</v>
      </c>
      <c r="D1907" s="6">
        <f ca="1">IF(AND(NEGOCIAÇÕES!P1907="",NEGOCIAÇÕES!N1907&lt;TODAY()),NEGOCIAÇÕES!D1907,"")</f>
        <v>0</v>
      </c>
      <c r="E1907" s="9">
        <f ca="1">IF(AND(NEGOCIAÇÕES!P1907="",NEGOCIAÇÕES!N1907&lt;TODAY()),NEGOCIAÇÕES!N1907,"")</f>
        <v>0</v>
      </c>
    </row>
    <row r="1908" spans="2:5" ht="31.95" hidden="1" customHeight="1" x14ac:dyDescent="0.3">
      <c r="B1908" s="6" t="str">
        <f ca="1">IF(AND(NEGOCIAÇÕES!P1908="",NEGOCIAÇÕES!N1908&lt;TODAY()),NEGOCIAÇÕES!C1908,"")</f>
        <v/>
      </c>
      <c r="C1908" s="6">
        <f ca="1">IF(AND(NEGOCIAÇÕES!P1908="",NEGOCIAÇÕES!N1908&lt;TODAY()),NEGOCIAÇÕES!E1908,"")</f>
        <v>0</v>
      </c>
      <c r="D1908" s="6">
        <f ca="1">IF(AND(NEGOCIAÇÕES!P1908="",NEGOCIAÇÕES!N1908&lt;TODAY()),NEGOCIAÇÕES!D1908,"")</f>
        <v>0</v>
      </c>
      <c r="E1908" s="9">
        <f ca="1">IF(AND(NEGOCIAÇÕES!P1908="",NEGOCIAÇÕES!N1908&lt;TODAY()),NEGOCIAÇÕES!N1908,"")</f>
        <v>0</v>
      </c>
    </row>
    <row r="1909" spans="2:5" ht="31.95" hidden="1" customHeight="1" x14ac:dyDescent="0.3">
      <c r="B1909" s="6" t="str">
        <f ca="1">IF(AND(NEGOCIAÇÕES!P1909="",NEGOCIAÇÕES!N1909&lt;TODAY()),NEGOCIAÇÕES!C1909,"")</f>
        <v/>
      </c>
      <c r="C1909" s="6">
        <f ca="1">IF(AND(NEGOCIAÇÕES!P1909="",NEGOCIAÇÕES!N1909&lt;TODAY()),NEGOCIAÇÕES!E1909,"")</f>
        <v>0</v>
      </c>
      <c r="D1909" s="6">
        <f ca="1">IF(AND(NEGOCIAÇÕES!P1909="",NEGOCIAÇÕES!N1909&lt;TODAY()),NEGOCIAÇÕES!D1909,"")</f>
        <v>0</v>
      </c>
      <c r="E1909" s="9">
        <f ca="1">IF(AND(NEGOCIAÇÕES!P1909="",NEGOCIAÇÕES!N1909&lt;TODAY()),NEGOCIAÇÕES!N1909,"")</f>
        <v>0</v>
      </c>
    </row>
    <row r="1910" spans="2:5" ht="31.95" hidden="1" customHeight="1" x14ac:dyDescent="0.3">
      <c r="B1910" s="6" t="str">
        <f ca="1">IF(AND(NEGOCIAÇÕES!P1910="",NEGOCIAÇÕES!N1910&lt;TODAY()),NEGOCIAÇÕES!C1910,"")</f>
        <v/>
      </c>
      <c r="C1910" s="6">
        <f ca="1">IF(AND(NEGOCIAÇÕES!P1910="",NEGOCIAÇÕES!N1910&lt;TODAY()),NEGOCIAÇÕES!E1910,"")</f>
        <v>0</v>
      </c>
      <c r="D1910" s="6">
        <f ca="1">IF(AND(NEGOCIAÇÕES!P1910="",NEGOCIAÇÕES!N1910&lt;TODAY()),NEGOCIAÇÕES!D1910,"")</f>
        <v>0</v>
      </c>
      <c r="E1910" s="9">
        <f ca="1">IF(AND(NEGOCIAÇÕES!P1910="",NEGOCIAÇÕES!N1910&lt;TODAY()),NEGOCIAÇÕES!N1910,"")</f>
        <v>0</v>
      </c>
    </row>
    <row r="1911" spans="2:5" ht="31.95" hidden="1" customHeight="1" x14ac:dyDescent="0.3">
      <c r="B1911" s="6" t="str">
        <f ca="1">IF(AND(NEGOCIAÇÕES!P1911="",NEGOCIAÇÕES!N1911&lt;TODAY()),NEGOCIAÇÕES!C1911,"")</f>
        <v/>
      </c>
      <c r="C1911" s="6">
        <f ca="1">IF(AND(NEGOCIAÇÕES!P1911="",NEGOCIAÇÕES!N1911&lt;TODAY()),NEGOCIAÇÕES!E1911,"")</f>
        <v>0</v>
      </c>
      <c r="D1911" s="6">
        <f ca="1">IF(AND(NEGOCIAÇÕES!P1911="",NEGOCIAÇÕES!N1911&lt;TODAY()),NEGOCIAÇÕES!D1911,"")</f>
        <v>0</v>
      </c>
      <c r="E1911" s="9">
        <f ca="1">IF(AND(NEGOCIAÇÕES!P1911="",NEGOCIAÇÕES!N1911&lt;TODAY()),NEGOCIAÇÕES!N1911,"")</f>
        <v>0</v>
      </c>
    </row>
    <row r="1912" spans="2:5" ht="31.95" hidden="1" customHeight="1" x14ac:dyDescent="0.3">
      <c r="B1912" s="6" t="str">
        <f ca="1">IF(AND(NEGOCIAÇÕES!P1912="",NEGOCIAÇÕES!N1912&lt;TODAY()),NEGOCIAÇÕES!C1912,"")</f>
        <v/>
      </c>
      <c r="C1912" s="6">
        <f ca="1">IF(AND(NEGOCIAÇÕES!P1912="",NEGOCIAÇÕES!N1912&lt;TODAY()),NEGOCIAÇÕES!E1912,"")</f>
        <v>0</v>
      </c>
      <c r="D1912" s="6">
        <f ca="1">IF(AND(NEGOCIAÇÕES!P1912="",NEGOCIAÇÕES!N1912&lt;TODAY()),NEGOCIAÇÕES!D1912,"")</f>
        <v>0</v>
      </c>
      <c r="E1912" s="9">
        <f ca="1">IF(AND(NEGOCIAÇÕES!P1912="",NEGOCIAÇÕES!N1912&lt;TODAY()),NEGOCIAÇÕES!N1912,"")</f>
        <v>0</v>
      </c>
    </row>
    <row r="1913" spans="2:5" ht="31.95" hidden="1" customHeight="1" x14ac:dyDescent="0.3">
      <c r="B1913" s="6" t="str">
        <f ca="1">IF(AND(NEGOCIAÇÕES!P1913="",NEGOCIAÇÕES!N1913&lt;TODAY()),NEGOCIAÇÕES!C1913,"")</f>
        <v/>
      </c>
      <c r="C1913" s="6">
        <f ca="1">IF(AND(NEGOCIAÇÕES!P1913="",NEGOCIAÇÕES!N1913&lt;TODAY()),NEGOCIAÇÕES!E1913,"")</f>
        <v>0</v>
      </c>
      <c r="D1913" s="6">
        <f ca="1">IF(AND(NEGOCIAÇÕES!P1913="",NEGOCIAÇÕES!N1913&lt;TODAY()),NEGOCIAÇÕES!D1913,"")</f>
        <v>0</v>
      </c>
      <c r="E1913" s="9">
        <f ca="1">IF(AND(NEGOCIAÇÕES!P1913="",NEGOCIAÇÕES!N1913&lt;TODAY()),NEGOCIAÇÕES!N1913,"")</f>
        <v>0</v>
      </c>
    </row>
    <row r="1914" spans="2:5" ht="31.95" hidden="1" customHeight="1" x14ac:dyDescent="0.3">
      <c r="B1914" s="6" t="str">
        <f ca="1">IF(AND(NEGOCIAÇÕES!P1914="",NEGOCIAÇÕES!N1914&lt;TODAY()),NEGOCIAÇÕES!C1914,"")</f>
        <v/>
      </c>
      <c r="C1914" s="6">
        <f ca="1">IF(AND(NEGOCIAÇÕES!P1914="",NEGOCIAÇÕES!N1914&lt;TODAY()),NEGOCIAÇÕES!E1914,"")</f>
        <v>0</v>
      </c>
      <c r="D1914" s="6">
        <f ca="1">IF(AND(NEGOCIAÇÕES!P1914="",NEGOCIAÇÕES!N1914&lt;TODAY()),NEGOCIAÇÕES!D1914,"")</f>
        <v>0</v>
      </c>
      <c r="E1914" s="9">
        <f ca="1">IF(AND(NEGOCIAÇÕES!P1914="",NEGOCIAÇÕES!N1914&lt;TODAY()),NEGOCIAÇÕES!N1914,"")</f>
        <v>0</v>
      </c>
    </row>
    <row r="1915" spans="2:5" ht="31.95" hidden="1" customHeight="1" x14ac:dyDescent="0.3">
      <c r="B1915" s="6" t="str">
        <f ca="1">IF(AND(NEGOCIAÇÕES!P1915="",NEGOCIAÇÕES!N1915&lt;TODAY()),NEGOCIAÇÕES!C1915,"")</f>
        <v/>
      </c>
      <c r="C1915" s="6">
        <f ca="1">IF(AND(NEGOCIAÇÕES!P1915="",NEGOCIAÇÕES!N1915&lt;TODAY()),NEGOCIAÇÕES!E1915,"")</f>
        <v>0</v>
      </c>
      <c r="D1915" s="6">
        <f ca="1">IF(AND(NEGOCIAÇÕES!P1915="",NEGOCIAÇÕES!N1915&lt;TODAY()),NEGOCIAÇÕES!D1915,"")</f>
        <v>0</v>
      </c>
      <c r="E1915" s="9">
        <f ca="1">IF(AND(NEGOCIAÇÕES!P1915="",NEGOCIAÇÕES!N1915&lt;TODAY()),NEGOCIAÇÕES!N1915,"")</f>
        <v>0</v>
      </c>
    </row>
    <row r="1916" spans="2:5" ht="31.95" hidden="1" customHeight="1" x14ac:dyDescent="0.3">
      <c r="B1916" s="6" t="str">
        <f ca="1">IF(AND(NEGOCIAÇÕES!P1916="",NEGOCIAÇÕES!N1916&lt;TODAY()),NEGOCIAÇÕES!C1916,"")</f>
        <v/>
      </c>
      <c r="C1916" s="6">
        <f ca="1">IF(AND(NEGOCIAÇÕES!P1916="",NEGOCIAÇÕES!N1916&lt;TODAY()),NEGOCIAÇÕES!E1916,"")</f>
        <v>0</v>
      </c>
      <c r="D1916" s="6">
        <f ca="1">IF(AND(NEGOCIAÇÕES!P1916="",NEGOCIAÇÕES!N1916&lt;TODAY()),NEGOCIAÇÕES!D1916,"")</f>
        <v>0</v>
      </c>
      <c r="E1916" s="9">
        <f ca="1">IF(AND(NEGOCIAÇÕES!P1916="",NEGOCIAÇÕES!N1916&lt;TODAY()),NEGOCIAÇÕES!N1916,"")</f>
        <v>0</v>
      </c>
    </row>
    <row r="1917" spans="2:5" ht="31.95" hidden="1" customHeight="1" x14ac:dyDescent="0.3">
      <c r="B1917" s="6" t="str">
        <f ca="1">IF(AND(NEGOCIAÇÕES!P1917="",NEGOCIAÇÕES!N1917&lt;TODAY()),NEGOCIAÇÕES!C1917,"")</f>
        <v/>
      </c>
      <c r="C1917" s="6">
        <f ca="1">IF(AND(NEGOCIAÇÕES!P1917="",NEGOCIAÇÕES!N1917&lt;TODAY()),NEGOCIAÇÕES!E1917,"")</f>
        <v>0</v>
      </c>
      <c r="D1917" s="6">
        <f ca="1">IF(AND(NEGOCIAÇÕES!P1917="",NEGOCIAÇÕES!N1917&lt;TODAY()),NEGOCIAÇÕES!D1917,"")</f>
        <v>0</v>
      </c>
      <c r="E1917" s="9">
        <f ca="1">IF(AND(NEGOCIAÇÕES!P1917="",NEGOCIAÇÕES!N1917&lt;TODAY()),NEGOCIAÇÕES!N1917,"")</f>
        <v>0</v>
      </c>
    </row>
    <row r="1918" spans="2:5" ht="31.95" hidden="1" customHeight="1" x14ac:dyDescent="0.3">
      <c r="B1918" s="6" t="str">
        <f ca="1">IF(AND(NEGOCIAÇÕES!P1918="",NEGOCIAÇÕES!N1918&lt;TODAY()),NEGOCIAÇÕES!C1918,"")</f>
        <v/>
      </c>
      <c r="C1918" s="6">
        <f ca="1">IF(AND(NEGOCIAÇÕES!P1918="",NEGOCIAÇÕES!N1918&lt;TODAY()),NEGOCIAÇÕES!E1918,"")</f>
        <v>0</v>
      </c>
      <c r="D1918" s="6">
        <f ca="1">IF(AND(NEGOCIAÇÕES!P1918="",NEGOCIAÇÕES!N1918&lt;TODAY()),NEGOCIAÇÕES!D1918,"")</f>
        <v>0</v>
      </c>
      <c r="E1918" s="9">
        <f ca="1">IF(AND(NEGOCIAÇÕES!P1918="",NEGOCIAÇÕES!N1918&lt;TODAY()),NEGOCIAÇÕES!N1918,"")</f>
        <v>0</v>
      </c>
    </row>
    <row r="1919" spans="2:5" ht="31.95" hidden="1" customHeight="1" x14ac:dyDescent="0.3">
      <c r="B1919" s="6" t="str">
        <f ca="1">IF(AND(NEGOCIAÇÕES!P1919="",NEGOCIAÇÕES!N1919&lt;TODAY()),NEGOCIAÇÕES!C1919,"")</f>
        <v/>
      </c>
      <c r="C1919" s="6">
        <f ca="1">IF(AND(NEGOCIAÇÕES!P1919="",NEGOCIAÇÕES!N1919&lt;TODAY()),NEGOCIAÇÕES!E1919,"")</f>
        <v>0</v>
      </c>
      <c r="D1919" s="6">
        <f ca="1">IF(AND(NEGOCIAÇÕES!P1919="",NEGOCIAÇÕES!N1919&lt;TODAY()),NEGOCIAÇÕES!D1919,"")</f>
        <v>0</v>
      </c>
      <c r="E1919" s="9">
        <f ca="1">IF(AND(NEGOCIAÇÕES!P1919="",NEGOCIAÇÕES!N1919&lt;TODAY()),NEGOCIAÇÕES!N1919,"")</f>
        <v>0</v>
      </c>
    </row>
    <row r="1920" spans="2:5" ht="31.95" hidden="1" customHeight="1" x14ac:dyDescent="0.3">
      <c r="B1920" s="6" t="str">
        <f ca="1">IF(AND(NEGOCIAÇÕES!P1920="",NEGOCIAÇÕES!N1920&lt;TODAY()),NEGOCIAÇÕES!C1920,"")</f>
        <v/>
      </c>
      <c r="C1920" s="6">
        <f ca="1">IF(AND(NEGOCIAÇÕES!P1920="",NEGOCIAÇÕES!N1920&lt;TODAY()),NEGOCIAÇÕES!E1920,"")</f>
        <v>0</v>
      </c>
      <c r="D1920" s="6">
        <f ca="1">IF(AND(NEGOCIAÇÕES!P1920="",NEGOCIAÇÕES!N1920&lt;TODAY()),NEGOCIAÇÕES!D1920,"")</f>
        <v>0</v>
      </c>
      <c r="E1920" s="9">
        <f ca="1">IF(AND(NEGOCIAÇÕES!P1920="",NEGOCIAÇÕES!N1920&lt;TODAY()),NEGOCIAÇÕES!N1920,"")</f>
        <v>0</v>
      </c>
    </row>
    <row r="1921" spans="2:5" ht="31.95" hidden="1" customHeight="1" x14ac:dyDescent="0.3">
      <c r="B1921" s="6" t="str">
        <f ca="1">IF(AND(NEGOCIAÇÕES!P1921="",NEGOCIAÇÕES!N1921&lt;TODAY()),NEGOCIAÇÕES!C1921,"")</f>
        <v/>
      </c>
      <c r="C1921" s="6">
        <f ca="1">IF(AND(NEGOCIAÇÕES!P1921="",NEGOCIAÇÕES!N1921&lt;TODAY()),NEGOCIAÇÕES!E1921,"")</f>
        <v>0</v>
      </c>
      <c r="D1921" s="6">
        <f ca="1">IF(AND(NEGOCIAÇÕES!P1921="",NEGOCIAÇÕES!N1921&lt;TODAY()),NEGOCIAÇÕES!D1921,"")</f>
        <v>0</v>
      </c>
      <c r="E1921" s="9">
        <f ca="1">IF(AND(NEGOCIAÇÕES!P1921="",NEGOCIAÇÕES!N1921&lt;TODAY()),NEGOCIAÇÕES!N1921,"")</f>
        <v>0</v>
      </c>
    </row>
    <row r="1922" spans="2:5" ht="31.95" hidden="1" customHeight="1" x14ac:dyDescent="0.3">
      <c r="B1922" s="6" t="str">
        <f ca="1">IF(AND(NEGOCIAÇÕES!P1922="",NEGOCIAÇÕES!N1922&lt;TODAY()),NEGOCIAÇÕES!C1922,"")</f>
        <v/>
      </c>
      <c r="C1922" s="6">
        <f ca="1">IF(AND(NEGOCIAÇÕES!P1922="",NEGOCIAÇÕES!N1922&lt;TODAY()),NEGOCIAÇÕES!E1922,"")</f>
        <v>0</v>
      </c>
      <c r="D1922" s="6">
        <f ca="1">IF(AND(NEGOCIAÇÕES!P1922="",NEGOCIAÇÕES!N1922&lt;TODAY()),NEGOCIAÇÕES!D1922,"")</f>
        <v>0</v>
      </c>
      <c r="E1922" s="9">
        <f ca="1">IF(AND(NEGOCIAÇÕES!P1922="",NEGOCIAÇÕES!N1922&lt;TODAY()),NEGOCIAÇÕES!N1922,"")</f>
        <v>0</v>
      </c>
    </row>
    <row r="1923" spans="2:5" ht="31.95" hidden="1" customHeight="1" x14ac:dyDescent="0.3">
      <c r="B1923" s="6" t="str">
        <f ca="1">IF(AND(NEGOCIAÇÕES!P1923="",NEGOCIAÇÕES!N1923&lt;TODAY()),NEGOCIAÇÕES!C1923,"")</f>
        <v/>
      </c>
      <c r="C1923" s="6">
        <f ca="1">IF(AND(NEGOCIAÇÕES!P1923="",NEGOCIAÇÕES!N1923&lt;TODAY()),NEGOCIAÇÕES!E1923,"")</f>
        <v>0</v>
      </c>
      <c r="D1923" s="6">
        <f ca="1">IF(AND(NEGOCIAÇÕES!P1923="",NEGOCIAÇÕES!N1923&lt;TODAY()),NEGOCIAÇÕES!D1923,"")</f>
        <v>0</v>
      </c>
      <c r="E1923" s="9">
        <f ca="1">IF(AND(NEGOCIAÇÕES!P1923="",NEGOCIAÇÕES!N1923&lt;TODAY()),NEGOCIAÇÕES!N1923,"")</f>
        <v>0</v>
      </c>
    </row>
    <row r="1924" spans="2:5" ht="31.95" hidden="1" customHeight="1" x14ac:dyDescent="0.3">
      <c r="B1924" s="6" t="str">
        <f ca="1">IF(AND(NEGOCIAÇÕES!P1924="",NEGOCIAÇÕES!N1924&lt;TODAY()),NEGOCIAÇÕES!C1924,"")</f>
        <v/>
      </c>
      <c r="C1924" s="6">
        <f ca="1">IF(AND(NEGOCIAÇÕES!P1924="",NEGOCIAÇÕES!N1924&lt;TODAY()),NEGOCIAÇÕES!E1924,"")</f>
        <v>0</v>
      </c>
      <c r="D1924" s="6">
        <f ca="1">IF(AND(NEGOCIAÇÕES!P1924="",NEGOCIAÇÕES!N1924&lt;TODAY()),NEGOCIAÇÕES!D1924,"")</f>
        <v>0</v>
      </c>
      <c r="E1924" s="9">
        <f ca="1">IF(AND(NEGOCIAÇÕES!P1924="",NEGOCIAÇÕES!N1924&lt;TODAY()),NEGOCIAÇÕES!N1924,"")</f>
        <v>0</v>
      </c>
    </row>
    <row r="1925" spans="2:5" ht="31.95" hidden="1" customHeight="1" x14ac:dyDescent="0.3">
      <c r="B1925" s="6" t="str">
        <f ca="1">IF(AND(NEGOCIAÇÕES!P1925="",NEGOCIAÇÕES!N1925&lt;TODAY()),NEGOCIAÇÕES!C1925,"")</f>
        <v/>
      </c>
      <c r="C1925" s="6">
        <f ca="1">IF(AND(NEGOCIAÇÕES!P1925="",NEGOCIAÇÕES!N1925&lt;TODAY()),NEGOCIAÇÕES!E1925,"")</f>
        <v>0</v>
      </c>
      <c r="D1925" s="6">
        <f ca="1">IF(AND(NEGOCIAÇÕES!P1925="",NEGOCIAÇÕES!N1925&lt;TODAY()),NEGOCIAÇÕES!D1925,"")</f>
        <v>0</v>
      </c>
      <c r="E1925" s="9">
        <f ca="1">IF(AND(NEGOCIAÇÕES!P1925="",NEGOCIAÇÕES!N1925&lt;TODAY()),NEGOCIAÇÕES!N1925,"")</f>
        <v>0</v>
      </c>
    </row>
    <row r="1926" spans="2:5" ht="31.95" hidden="1" customHeight="1" x14ac:dyDescent="0.3">
      <c r="B1926" s="6" t="str">
        <f ca="1">IF(AND(NEGOCIAÇÕES!P1926="",NEGOCIAÇÕES!N1926&lt;TODAY()),NEGOCIAÇÕES!C1926,"")</f>
        <v/>
      </c>
      <c r="C1926" s="6">
        <f ca="1">IF(AND(NEGOCIAÇÕES!P1926="",NEGOCIAÇÕES!N1926&lt;TODAY()),NEGOCIAÇÕES!E1926,"")</f>
        <v>0</v>
      </c>
      <c r="D1926" s="6">
        <f ca="1">IF(AND(NEGOCIAÇÕES!P1926="",NEGOCIAÇÕES!N1926&lt;TODAY()),NEGOCIAÇÕES!D1926,"")</f>
        <v>0</v>
      </c>
      <c r="E1926" s="9">
        <f ca="1">IF(AND(NEGOCIAÇÕES!P1926="",NEGOCIAÇÕES!N1926&lt;TODAY()),NEGOCIAÇÕES!N1926,"")</f>
        <v>0</v>
      </c>
    </row>
    <row r="1927" spans="2:5" ht="31.95" hidden="1" customHeight="1" x14ac:dyDescent="0.3">
      <c r="B1927" s="6" t="str">
        <f ca="1">IF(AND(NEGOCIAÇÕES!P1927="",NEGOCIAÇÕES!N1927&lt;TODAY()),NEGOCIAÇÕES!C1927,"")</f>
        <v/>
      </c>
      <c r="C1927" s="6">
        <f ca="1">IF(AND(NEGOCIAÇÕES!P1927="",NEGOCIAÇÕES!N1927&lt;TODAY()),NEGOCIAÇÕES!E1927,"")</f>
        <v>0</v>
      </c>
      <c r="D1927" s="6">
        <f ca="1">IF(AND(NEGOCIAÇÕES!P1927="",NEGOCIAÇÕES!N1927&lt;TODAY()),NEGOCIAÇÕES!D1927,"")</f>
        <v>0</v>
      </c>
      <c r="E1927" s="9">
        <f ca="1">IF(AND(NEGOCIAÇÕES!P1927="",NEGOCIAÇÕES!N1927&lt;TODAY()),NEGOCIAÇÕES!N1927,"")</f>
        <v>0</v>
      </c>
    </row>
    <row r="1928" spans="2:5" ht="31.95" hidden="1" customHeight="1" x14ac:dyDescent="0.3">
      <c r="B1928" s="6" t="str">
        <f ca="1">IF(AND(NEGOCIAÇÕES!P1928="",NEGOCIAÇÕES!N1928&lt;TODAY()),NEGOCIAÇÕES!C1928,"")</f>
        <v/>
      </c>
      <c r="C1928" s="6">
        <f ca="1">IF(AND(NEGOCIAÇÕES!P1928="",NEGOCIAÇÕES!N1928&lt;TODAY()),NEGOCIAÇÕES!E1928,"")</f>
        <v>0</v>
      </c>
      <c r="D1928" s="6">
        <f ca="1">IF(AND(NEGOCIAÇÕES!P1928="",NEGOCIAÇÕES!N1928&lt;TODAY()),NEGOCIAÇÕES!D1928,"")</f>
        <v>0</v>
      </c>
      <c r="E1928" s="9">
        <f ca="1">IF(AND(NEGOCIAÇÕES!P1928="",NEGOCIAÇÕES!N1928&lt;TODAY()),NEGOCIAÇÕES!N1928,"")</f>
        <v>0</v>
      </c>
    </row>
    <row r="1929" spans="2:5" ht="31.95" hidden="1" customHeight="1" x14ac:dyDescent="0.3">
      <c r="B1929" s="6" t="str">
        <f ca="1">IF(AND(NEGOCIAÇÕES!P1929="",NEGOCIAÇÕES!N1929&lt;TODAY()),NEGOCIAÇÕES!C1929,"")</f>
        <v/>
      </c>
      <c r="C1929" s="6">
        <f ca="1">IF(AND(NEGOCIAÇÕES!P1929="",NEGOCIAÇÕES!N1929&lt;TODAY()),NEGOCIAÇÕES!E1929,"")</f>
        <v>0</v>
      </c>
      <c r="D1929" s="6">
        <f ca="1">IF(AND(NEGOCIAÇÕES!P1929="",NEGOCIAÇÕES!N1929&lt;TODAY()),NEGOCIAÇÕES!D1929,"")</f>
        <v>0</v>
      </c>
      <c r="E1929" s="9">
        <f ca="1">IF(AND(NEGOCIAÇÕES!P1929="",NEGOCIAÇÕES!N1929&lt;TODAY()),NEGOCIAÇÕES!N1929,"")</f>
        <v>0</v>
      </c>
    </row>
    <row r="1930" spans="2:5" ht="31.95" hidden="1" customHeight="1" x14ac:dyDescent="0.3">
      <c r="B1930" s="6" t="str">
        <f ca="1">IF(AND(NEGOCIAÇÕES!P1930="",NEGOCIAÇÕES!N1930&lt;TODAY()),NEGOCIAÇÕES!C1930,"")</f>
        <v/>
      </c>
      <c r="C1930" s="6">
        <f ca="1">IF(AND(NEGOCIAÇÕES!P1930="",NEGOCIAÇÕES!N1930&lt;TODAY()),NEGOCIAÇÕES!E1930,"")</f>
        <v>0</v>
      </c>
      <c r="D1930" s="6">
        <f ca="1">IF(AND(NEGOCIAÇÕES!P1930="",NEGOCIAÇÕES!N1930&lt;TODAY()),NEGOCIAÇÕES!D1930,"")</f>
        <v>0</v>
      </c>
      <c r="E1930" s="9">
        <f ca="1">IF(AND(NEGOCIAÇÕES!P1930="",NEGOCIAÇÕES!N1930&lt;TODAY()),NEGOCIAÇÕES!N1930,"")</f>
        <v>0</v>
      </c>
    </row>
    <row r="1931" spans="2:5" ht="31.95" hidden="1" customHeight="1" x14ac:dyDescent="0.3">
      <c r="B1931" s="6" t="str">
        <f ca="1">IF(AND(NEGOCIAÇÕES!P1931="",NEGOCIAÇÕES!N1931&lt;TODAY()),NEGOCIAÇÕES!C1931,"")</f>
        <v/>
      </c>
      <c r="C1931" s="6">
        <f ca="1">IF(AND(NEGOCIAÇÕES!P1931="",NEGOCIAÇÕES!N1931&lt;TODAY()),NEGOCIAÇÕES!E1931,"")</f>
        <v>0</v>
      </c>
      <c r="D1931" s="6">
        <f ca="1">IF(AND(NEGOCIAÇÕES!P1931="",NEGOCIAÇÕES!N1931&lt;TODAY()),NEGOCIAÇÕES!D1931,"")</f>
        <v>0</v>
      </c>
      <c r="E1931" s="9">
        <f ca="1">IF(AND(NEGOCIAÇÕES!P1931="",NEGOCIAÇÕES!N1931&lt;TODAY()),NEGOCIAÇÕES!N1931,"")</f>
        <v>0</v>
      </c>
    </row>
    <row r="1932" spans="2:5" ht="31.95" hidden="1" customHeight="1" x14ac:dyDescent="0.3">
      <c r="B1932" s="6" t="str">
        <f ca="1">IF(AND(NEGOCIAÇÕES!P1932="",NEGOCIAÇÕES!N1932&lt;TODAY()),NEGOCIAÇÕES!C1932,"")</f>
        <v/>
      </c>
      <c r="C1932" s="6">
        <f ca="1">IF(AND(NEGOCIAÇÕES!P1932="",NEGOCIAÇÕES!N1932&lt;TODAY()),NEGOCIAÇÕES!E1932,"")</f>
        <v>0</v>
      </c>
      <c r="D1932" s="6">
        <f ca="1">IF(AND(NEGOCIAÇÕES!P1932="",NEGOCIAÇÕES!N1932&lt;TODAY()),NEGOCIAÇÕES!D1932,"")</f>
        <v>0</v>
      </c>
      <c r="E1932" s="9">
        <f ca="1">IF(AND(NEGOCIAÇÕES!P1932="",NEGOCIAÇÕES!N1932&lt;TODAY()),NEGOCIAÇÕES!N1932,"")</f>
        <v>0</v>
      </c>
    </row>
    <row r="1933" spans="2:5" ht="31.95" hidden="1" customHeight="1" x14ac:dyDescent="0.3">
      <c r="B1933" s="6" t="str">
        <f ca="1">IF(AND(NEGOCIAÇÕES!P1933="",NEGOCIAÇÕES!N1933&lt;TODAY()),NEGOCIAÇÕES!C1933,"")</f>
        <v/>
      </c>
      <c r="C1933" s="6">
        <f ca="1">IF(AND(NEGOCIAÇÕES!P1933="",NEGOCIAÇÕES!N1933&lt;TODAY()),NEGOCIAÇÕES!E1933,"")</f>
        <v>0</v>
      </c>
      <c r="D1933" s="6">
        <f ca="1">IF(AND(NEGOCIAÇÕES!P1933="",NEGOCIAÇÕES!N1933&lt;TODAY()),NEGOCIAÇÕES!D1933,"")</f>
        <v>0</v>
      </c>
      <c r="E1933" s="9">
        <f ca="1">IF(AND(NEGOCIAÇÕES!P1933="",NEGOCIAÇÕES!N1933&lt;TODAY()),NEGOCIAÇÕES!N1933,"")</f>
        <v>0</v>
      </c>
    </row>
    <row r="1934" spans="2:5" ht="31.95" hidden="1" customHeight="1" x14ac:dyDescent="0.3">
      <c r="B1934" s="6" t="str">
        <f ca="1">IF(AND(NEGOCIAÇÕES!P1934="",NEGOCIAÇÕES!N1934&lt;TODAY()),NEGOCIAÇÕES!C1934,"")</f>
        <v/>
      </c>
      <c r="C1934" s="6">
        <f ca="1">IF(AND(NEGOCIAÇÕES!P1934="",NEGOCIAÇÕES!N1934&lt;TODAY()),NEGOCIAÇÕES!E1934,"")</f>
        <v>0</v>
      </c>
      <c r="D1934" s="6">
        <f ca="1">IF(AND(NEGOCIAÇÕES!P1934="",NEGOCIAÇÕES!N1934&lt;TODAY()),NEGOCIAÇÕES!D1934,"")</f>
        <v>0</v>
      </c>
      <c r="E1934" s="9">
        <f ca="1">IF(AND(NEGOCIAÇÕES!P1934="",NEGOCIAÇÕES!N1934&lt;TODAY()),NEGOCIAÇÕES!N1934,"")</f>
        <v>0</v>
      </c>
    </row>
    <row r="1935" spans="2:5" ht="31.95" hidden="1" customHeight="1" x14ac:dyDescent="0.3">
      <c r="B1935" s="6" t="str">
        <f ca="1">IF(AND(NEGOCIAÇÕES!P1935="",NEGOCIAÇÕES!N1935&lt;TODAY()),NEGOCIAÇÕES!C1935,"")</f>
        <v/>
      </c>
      <c r="C1935" s="6">
        <f ca="1">IF(AND(NEGOCIAÇÕES!P1935="",NEGOCIAÇÕES!N1935&lt;TODAY()),NEGOCIAÇÕES!E1935,"")</f>
        <v>0</v>
      </c>
      <c r="D1935" s="6">
        <f ca="1">IF(AND(NEGOCIAÇÕES!P1935="",NEGOCIAÇÕES!N1935&lt;TODAY()),NEGOCIAÇÕES!D1935,"")</f>
        <v>0</v>
      </c>
      <c r="E1935" s="9">
        <f ca="1">IF(AND(NEGOCIAÇÕES!P1935="",NEGOCIAÇÕES!N1935&lt;TODAY()),NEGOCIAÇÕES!N1935,"")</f>
        <v>0</v>
      </c>
    </row>
    <row r="1936" spans="2:5" ht="31.95" hidden="1" customHeight="1" x14ac:dyDescent="0.3">
      <c r="B1936" s="6" t="str">
        <f ca="1">IF(AND(NEGOCIAÇÕES!P1936="",NEGOCIAÇÕES!N1936&lt;TODAY()),NEGOCIAÇÕES!C1936,"")</f>
        <v/>
      </c>
      <c r="C1936" s="6">
        <f ca="1">IF(AND(NEGOCIAÇÕES!P1936="",NEGOCIAÇÕES!N1936&lt;TODAY()),NEGOCIAÇÕES!E1936,"")</f>
        <v>0</v>
      </c>
      <c r="D1936" s="6">
        <f ca="1">IF(AND(NEGOCIAÇÕES!P1936="",NEGOCIAÇÕES!N1936&lt;TODAY()),NEGOCIAÇÕES!D1936,"")</f>
        <v>0</v>
      </c>
      <c r="E1936" s="9">
        <f ca="1">IF(AND(NEGOCIAÇÕES!P1936="",NEGOCIAÇÕES!N1936&lt;TODAY()),NEGOCIAÇÕES!N1936,"")</f>
        <v>0</v>
      </c>
    </row>
    <row r="1937" spans="2:5" ht="31.95" hidden="1" customHeight="1" x14ac:dyDescent="0.3">
      <c r="B1937" s="6" t="str">
        <f ca="1">IF(AND(NEGOCIAÇÕES!P1937="",NEGOCIAÇÕES!N1937&lt;TODAY()),NEGOCIAÇÕES!C1937,"")</f>
        <v/>
      </c>
      <c r="C1937" s="6">
        <f ca="1">IF(AND(NEGOCIAÇÕES!P1937="",NEGOCIAÇÕES!N1937&lt;TODAY()),NEGOCIAÇÕES!E1937,"")</f>
        <v>0</v>
      </c>
      <c r="D1937" s="6">
        <f ca="1">IF(AND(NEGOCIAÇÕES!P1937="",NEGOCIAÇÕES!N1937&lt;TODAY()),NEGOCIAÇÕES!D1937,"")</f>
        <v>0</v>
      </c>
      <c r="E1937" s="9">
        <f ca="1">IF(AND(NEGOCIAÇÕES!P1937="",NEGOCIAÇÕES!N1937&lt;TODAY()),NEGOCIAÇÕES!N1937,"")</f>
        <v>0</v>
      </c>
    </row>
    <row r="1938" spans="2:5" ht="31.95" hidden="1" customHeight="1" x14ac:dyDescent="0.3">
      <c r="B1938" s="6" t="str">
        <f ca="1">IF(AND(NEGOCIAÇÕES!P1938="",NEGOCIAÇÕES!N1938&lt;TODAY()),NEGOCIAÇÕES!C1938,"")</f>
        <v/>
      </c>
      <c r="C1938" s="6">
        <f ca="1">IF(AND(NEGOCIAÇÕES!P1938="",NEGOCIAÇÕES!N1938&lt;TODAY()),NEGOCIAÇÕES!E1938,"")</f>
        <v>0</v>
      </c>
      <c r="D1938" s="6">
        <f ca="1">IF(AND(NEGOCIAÇÕES!P1938="",NEGOCIAÇÕES!N1938&lt;TODAY()),NEGOCIAÇÕES!D1938,"")</f>
        <v>0</v>
      </c>
      <c r="E1938" s="9">
        <f ca="1">IF(AND(NEGOCIAÇÕES!P1938="",NEGOCIAÇÕES!N1938&lt;TODAY()),NEGOCIAÇÕES!N1938,"")</f>
        <v>0</v>
      </c>
    </row>
    <row r="1939" spans="2:5" ht="31.95" hidden="1" customHeight="1" x14ac:dyDescent="0.3">
      <c r="B1939" s="6" t="str">
        <f ca="1">IF(AND(NEGOCIAÇÕES!P1939="",NEGOCIAÇÕES!N1939&lt;TODAY()),NEGOCIAÇÕES!C1939,"")</f>
        <v/>
      </c>
      <c r="C1939" s="6">
        <f ca="1">IF(AND(NEGOCIAÇÕES!P1939="",NEGOCIAÇÕES!N1939&lt;TODAY()),NEGOCIAÇÕES!E1939,"")</f>
        <v>0</v>
      </c>
      <c r="D1939" s="6">
        <f ca="1">IF(AND(NEGOCIAÇÕES!P1939="",NEGOCIAÇÕES!N1939&lt;TODAY()),NEGOCIAÇÕES!D1939,"")</f>
        <v>0</v>
      </c>
      <c r="E1939" s="9">
        <f ca="1">IF(AND(NEGOCIAÇÕES!P1939="",NEGOCIAÇÕES!N1939&lt;TODAY()),NEGOCIAÇÕES!N1939,"")</f>
        <v>0</v>
      </c>
    </row>
    <row r="1940" spans="2:5" ht="31.95" hidden="1" customHeight="1" x14ac:dyDescent="0.3">
      <c r="B1940" s="6" t="str">
        <f ca="1">IF(AND(NEGOCIAÇÕES!P1940="",NEGOCIAÇÕES!N1940&lt;TODAY()),NEGOCIAÇÕES!C1940,"")</f>
        <v/>
      </c>
      <c r="C1940" s="6">
        <f ca="1">IF(AND(NEGOCIAÇÕES!P1940="",NEGOCIAÇÕES!N1940&lt;TODAY()),NEGOCIAÇÕES!E1940,"")</f>
        <v>0</v>
      </c>
      <c r="D1940" s="6">
        <f ca="1">IF(AND(NEGOCIAÇÕES!P1940="",NEGOCIAÇÕES!N1940&lt;TODAY()),NEGOCIAÇÕES!D1940,"")</f>
        <v>0</v>
      </c>
      <c r="E1940" s="9">
        <f ca="1">IF(AND(NEGOCIAÇÕES!P1940="",NEGOCIAÇÕES!N1940&lt;TODAY()),NEGOCIAÇÕES!N1940,"")</f>
        <v>0</v>
      </c>
    </row>
    <row r="1941" spans="2:5" ht="31.95" hidden="1" customHeight="1" x14ac:dyDescent="0.3">
      <c r="B1941" s="6" t="str">
        <f ca="1">IF(AND(NEGOCIAÇÕES!P1941="",NEGOCIAÇÕES!N1941&lt;TODAY()),NEGOCIAÇÕES!C1941,"")</f>
        <v/>
      </c>
      <c r="C1941" s="6">
        <f ca="1">IF(AND(NEGOCIAÇÕES!P1941="",NEGOCIAÇÕES!N1941&lt;TODAY()),NEGOCIAÇÕES!E1941,"")</f>
        <v>0</v>
      </c>
      <c r="D1941" s="6">
        <f ca="1">IF(AND(NEGOCIAÇÕES!P1941="",NEGOCIAÇÕES!N1941&lt;TODAY()),NEGOCIAÇÕES!D1941,"")</f>
        <v>0</v>
      </c>
      <c r="E1941" s="9">
        <f ca="1">IF(AND(NEGOCIAÇÕES!P1941="",NEGOCIAÇÕES!N1941&lt;TODAY()),NEGOCIAÇÕES!N1941,"")</f>
        <v>0</v>
      </c>
    </row>
    <row r="1942" spans="2:5" ht="31.95" hidden="1" customHeight="1" x14ac:dyDescent="0.3">
      <c r="B1942" s="6" t="str">
        <f ca="1">IF(AND(NEGOCIAÇÕES!P1942="",NEGOCIAÇÕES!N1942&lt;TODAY()),NEGOCIAÇÕES!C1942,"")</f>
        <v/>
      </c>
      <c r="C1942" s="6">
        <f ca="1">IF(AND(NEGOCIAÇÕES!P1942="",NEGOCIAÇÕES!N1942&lt;TODAY()),NEGOCIAÇÕES!E1942,"")</f>
        <v>0</v>
      </c>
      <c r="D1942" s="6">
        <f ca="1">IF(AND(NEGOCIAÇÕES!P1942="",NEGOCIAÇÕES!N1942&lt;TODAY()),NEGOCIAÇÕES!D1942,"")</f>
        <v>0</v>
      </c>
      <c r="E1942" s="9">
        <f ca="1">IF(AND(NEGOCIAÇÕES!P1942="",NEGOCIAÇÕES!N1942&lt;TODAY()),NEGOCIAÇÕES!N1942,"")</f>
        <v>0</v>
      </c>
    </row>
    <row r="1943" spans="2:5" ht="31.95" hidden="1" customHeight="1" x14ac:dyDescent="0.3">
      <c r="B1943" s="6" t="str">
        <f ca="1">IF(AND(NEGOCIAÇÕES!P1943="",NEGOCIAÇÕES!N1943&lt;TODAY()),NEGOCIAÇÕES!C1943,"")</f>
        <v/>
      </c>
      <c r="C1943" s="6">
        <f ca="1">IF(AND(NEGOCIAÇÕES!P1943="",NEGOCIAÇÕES!N1943&lt;TODAY()),NEGOCIAÇÕES!E1943,"")</f>
        <v>0</v>
      </c>
      <c r="D1943" s="6">
        <f ca="1">IF(AND(NEGOCIAÇÕES!P1943="",NEGOCIAÇÕES!N1943&lt;TODAY()),NEGOCIAÇÕES!D1943,"")</f>
        <v>0</v>
      </c>
      <c r="E1943" s="9">
        <f ca="1">IF(AND(NEGOCIAÇÕES!P1943="",NEGOCIAÇÕES!N1943&lt;TODAY()),NEGOCIAÇÕES!N1943,"")</f>
        <v>0</v>
      </c>
    </row>
    <row r="1944" spans="2:5" ht="31.95" hidden="1" customHeight="1" x14ac:dyDescent="0.3">
      <c r="B1944" s="6" t="str">
        <f ca="1">IF(AND(NEGOCIAÇÕES!P1944="",NEGOCIAÇÕES!N1944&lt;TODAY()),NEGOCIAÇÕES!C1944,"")</f>
        <v/>
      </c>
      <c r="C1944" s="6">
        <f ca="1">IF(AND(NEGOCIAÇÕES!P1944="",NEGOCIAÇÕES!N1944&lt;TODAY()),NEGOCIAÇÕES!E1944,"")</f>
        <v>0</v>
      </c>
      <c r="D1944" s="6">
        <f ca="1">IF(AND(NEGOCIAÇÕES!P1944="",NEGOCIAÇÕES!N1944&lt;TODAY()),NEGOCIAÇÕES!D1944,"")</f>
        <v>0</v>
      </c>
      <c r="E1944" s="9">
        <f ca="1">IF(AND(NEGOCIAÇÕES!P1944="",NEGOCIAÇÕES!N1944&lt;TODAY()),NEGOCIAÇÕES!N1944,"")</f>
        <v>0</v>
      </c>
    </row>
    <row r="1945" spans="2:5" ht="31.95" hidden="1" customHeight="1" x14ac:dyDescent="0.3">
      <c r="B1945" s="6" t="str">
        <f ca="1">IF(AND(NEGOCIAÇÕES!P1945="",NEGOCIAÇÕES!N1945&lt;TODAY()),NEGOCIAÇÕES!C1945,"")</f>
        <v/>
      </c>
      <c r="C1945" s="6">
        <f ca="1">IF(AND(NEGOCIAÇÕES!P1945="",NEGOCIAÇÕES!N1945&lt;TODAY()),NEGOCIAÇÕES!E1945,"")</f>
        <v>0</v>
      </c>
      <c r="D1945" s="6">
        <f ca="1">IF(AND(NEGOCIAÇÕES!P1945="",NEGOCIAÇÕES!N1945&lt;TODAY()),NEGOCIAÇÕES!D1945,"")</f>
        <v>0</v>
      </c>
      <c r="E1945" s="9">
        <f ca="1">IF(AND(NEGOCIAÇÕES!P1945="",NEGOCIAÇÕES!N1945&lt;TODAY()),NEGOCIAÇÕES!N1945,"")</f>
        <v>0</v>
      </c>
    </row>
    <row r="1946" spans="2:5" ht="31.95" hidden="1" customHeight="1" x14ac:dyDescent="0.3">
      <c r="B1946" s="6" t="str">
        <f ca="1">IF(AND(NEGOCIAÇÕES!P1946="",NEGOCIAÇÕES!N1946&lt;TODAY()),NEGOCIAÇÕES!C1946,"")</f>
        <v/>
      </c>
      <c r="C1946" s="6">
        <f ca="1">IF(AND(NEGOCIAÇÕES!P1946="",NEGOCIAÇÕES!N1946&lt;TODAY()),NEGOCIAÇÕES!E1946,"")</f>
        <v>0</v>
      </c>
      <c r="D1946" s="6">
        <f ca="1">IF(AND(NEGOCIAÇÕES!P1946="",NEGOCIAÇÕES!N1946&lt;TODAY()),NEGOCIAÇÕES!D1946,"")</f>
        <v>0</v>
      </c>
      <c r="E1946" s="9">
        <f ca="1">IF(AND(NEGOCIAÇÕES!P1946="",NEGOCIAÇÕES!N1946&lt;TODAY()),NEGOCIAÇÕES!N1946,"")</f>
        <v>0</v>
      </c>
    </row>
    <row r="1947" spans="2:5" ht="31.95" hidden="1" customHeight="1" x14ac:dyDescent="0.3">
      <c r="B1947" s="6" t="str">
        <f ca="1">IF(AND(NEGOCIAÇÕES!P1947="",NEGOCIAÇÕES!N1947&lt;TODAY()),NEGOCIAÇÕES!C1947,"")</f>
        <v/>
      </c>
      <c r="C1947" s="6">
        <f ca="1">IF(AND(NEGOCIAÇÕES!P1947="",NEGOCIAÇÕES!N1947&lt;TODAY()),NEGOCIAÇÕES!E1947,"")</f>
        <v>0</v>
      </c>
      <c r="D1947" s="6">
        <f ca="1">IF(AND(NEGOCIAÇÕES!P1947="",NEGOCIAÇÕES!N1947&lt;TODAY()),NEGOCIAÇÕES!D1947,"")</f>
        <v>0</v>
      </c>
      <c r="E1947" s="9">
        <f ca="1">IF(AND(NEGOCIAÇÕES!P1947="",NEGOCIAÇÕES!N1947&lt;TODAY()),NEGOCIAÇÕES!N1947,"")</f>
        <v>0</v>
      </c>
    </row>
    <row r="1948" spans="2:5" ht="31.95" hidden="1" customHeight="1" x14ac:dyDescent="0.3">
      <c r="B1948" s="6" t="str">
        <f ca="1">IF(AND(NEGOCIAÇÕES!P1948="",NEGOCIAÇÕES!N1948&lt;TODAY()),NEGOCIAÇÕES!C1948,"")</f>
        <v/>
      </c>
      <c r="C1948" s="6">
        <f ca="1">IF(AND(NEGOCIAÇÕES!P1948="",NEGOCIAÇÕES!N1948&lt;TODAY()),NEGOCIAÇÕES!E1948,"")</f>
        <v>0</v>
      </c>
      <c r="D1948" s="6">
        <f ca="1">IF(AND(NEGOCIAÇÕES!P1948="",NEGOCIAÇÕES!N1948&lt;TODAY()),NEGOCIAÇÕES!D1948,"")</f>
        <v>0</v>
      </c>
      <c r="E1948" s="9">
        <f ca="1">IF(AND(NEGOCIAÇÕES!P1948="",NEGOCIAÇÕES!N1948&lt;TODAY()),NEGOCIAÇÕES!N1948,"")</f>
        <v>0</v>
      </c>
    </row>
    <row r="1949" spans="2:5" ht="31.95" hidden="1" customHeight="1" x14ac:dyDescent="0.3">
      <c r="B1949" s="6" t="str">
        <f ca="1">IF(AND(NEGOCIAÇÕES!P1949="",NEGOCIAÇÕES!N1949&lt;TODAY()),NEGOCIAÇÕES!C1949,"")</f>
        <v/>
      </c>
      <c r="C1949" s="6">
        <f ca="1">IF(AND(NEGOCIAÇÕES!P1949="",NEGOCIAÇÕES!N1949&lt;TODAY()),NEGOCIAÇÕES!E1949,"")</f>
        <v>0</v>
      </c>
      <c r="D1949" s="6">
        <f ca="1">IF(AND(NEGOCIAÇÕES!P1949="",NEGOCIAÇÕES!N1949&lt;TODAY()),NEGOCIAÇÕES!D1949,"")</f>
        <v>0</v>
      </c>
      <c r="E1949" s="9">
        <f ca="1">IF(AND(NEGOCIAÇÕES!P1949="",NEGOCIAÇÕES!N1949&lt;TODAY()),NEGOCIAÇÕES!N1949,"")</f>
        <v>0</v>
      </c>
    </row>
    <row r="1950" spans="2:5" ht="31.95" hidden="1" customHeight="1" x14ac:dyDescent="0.3">
      <c r="B1950" s="6" t="str">
        <f ca="1">IF(AND(NEGOCIAÇÕES!P1950="",NEGOCIAÇÕES!N1950&lt;TODAY()),NEGOCIAÇÕES!C1950,"")</f>
        <v/>
      </c>
      <c r="C1950" s="6">
        <f ca="1">IF(AND(NEGOCIAÇÕES!P1950="",NEGOCIAÇÕES!N1950&lt;TODAY()),NEGOCIAÇÕES!E1950,"")</f>
        <v>0</v>
      </c>
      <c r="D1950" s="6">
        <f ca="1">IF(AND(NEGOCIAÇÕES!P1950="",NEGOCIAÇÕES!N1950&lt;TODAY()),NEGOCIAÇÕES!D1950,"")</f>
        <v>0</v>
      </c>
      <c r="E1950" s="9">
        <f ca="1">IF(AND(NEGOCIAÇÕES!P1950="",NEGOCIAÇÕES!N1950&lt;TODAY()),NEGOCIAÇÕES!N1950,"")</f>
        <v>0</v>
      </c>
    </row>
    <row r="1951" spans="2:5" ht="31.95" hidden="1" customHeight="1" x14ac:dyDescent="0.3">
      <c r="B1951" s="6" t="str">
        <f ca="1">IF(AND(NEGOCIAÇÕES!P1951="",NEGOCIAÇÕES!N1951&lt;TODAY()),NEGOCIAÇÕES!C1951,"")</f>
        <v/>
      </c>
      <c r="C1951" s="6">
        <f ca="1">IF(AND(NEGOCIAÇÕES!P1951="",NEGOCIAÇÕES!N1951&lt;TODAY()),NEGOCIAÇÕES!E1951,"")</f>
        <v>0</v>
      </c>
      <c r="D1951" s="6">
        <f ca="1">IF(AND(NEGOCIAÇÕES!P1951="",NEGOCIAÇÕES!N1951&lt;TODAY()),NEGOCIAÇÕES!D1951,"")</f>
        <v>0</v>
      </c>
      <c r="E1951" s="9">
        <f ca="1">IF(AND(NEGOCIAÇÕES!P1951="",NEGOCIAÇÕES!N1951&lt;TODAY()),NEGOCIAÇÕES!N1951,"")</f>
        <v>0</v>
      </c>
    </row>
    <row r="1952" spans="2:5" ht="31.95" hidden="1" customHeight="1" x14ac:dyDescent="0.3">
      <c r="B1952" s="6" t="str">
        <f ca="1">IF(AND(NEGOCIAÇÕES!P1952="",NEGOCIAÇÕES!N1952&lt;TODAY()),NEGOCIAÇÕES!C1952,"")</f>
        <v/>
      </c>
      <c r="C1952" s="6">
        <f ca="1">IF(AND(NEGOCIAÇÕES!P1952="",NEGOCIAÇÕES!N1952&lt;TODAY()),NEGOCIAÇÕES!E1952,"")</f>
        <v>0</v>
      </c>
      <c r="D1952" s="6">
        <f ca="1">IF(AND(NEGOCIAÇÕES!P1952="",NEGOCIAÇÕES!N1952&lt;TODAY()),NEGOCIAÇÕES!D1952,"")</f>
        <v>0</v>
      </c>
      <c r="E1952" s="9">
        <f ca="1">IF(AND(NEGOCIAÇÕES!P1952="",NEGOCIAÇÕES!N1952&lt;TODAY()),NEGOCIAÇÕES!N1952,"")</f>
        <v>0</v>
      </c>
    </row>
    <row r="1953" spans="2:5" ht="31.95" hidden="1" customHeight="1" x14ac:dyDescent="0.3">
      <c r="B1953" s="6" t="str">
        <f ca="1">IF(AND(NEGOCIAÇÕES!P1953="",NEGOCIAÇÕES!N1953&lt;TODAY()),NEGOCIAÇÕES!C1953,"")</f>
        <v/>
      </c>
      <c r="C1953" s="6">
        <f ca="1">IF(AND(NEGOCIAÇÕES!P1953="",NEGOCIAÇÕES!N1953&lt;TODAY()),NEGOCIAÇÕES!E1953,"")</f>
        <v>0</v>
      </c>
      <c r="D1953" s="6">
        <f ca="1">IF(AND(NEGOCIAÇÕES!P1953="",NEGOCIAÇÕES!N1953&lt;TODAY()),NEGOCIAÇÕES!D1953,"")</f>
        <v>0</v>
      </c>
      <c r="E1953" s="9">
        <f ca="1">IF(AND(NEGOCIAÇÕES!P1953="",NEGOCIAÇÕES!N1953&lt;TODAY()),NEGOCIAÇÕES!N1953,"")</f>
        <v>0</v>
      </c>
    </row>
    <row r="1954" spans="2:5" ht="31.95" hidden="1" customHeight="1" x14ac:dyDescent="0.3">
      <c r="B1954" s="6" t="str">
        <f ca="1">IF(AND(NEGOCIAÇÕES!P1954="",NEGOCIAÇÕES!N1954&lt;TODAY()),NEGOCIAÇÕES!C1954,"")</f>
        <v/>
      </c>
      <c r="C1954" s="6">
        <f ca="1">IF(AND(NEGOCIAÇÕES!P1954="",NEGOCIAÇÕES!N1954&lt;TODAY()),NEGOCIAÇÕES!E1954,"")</f>
        <v>0</v>
      </c>
      <c r="D1954" s="6">
        <f ca="1">IF(AND(NEGOCIAÇÕES!P1954="",NEGOCIAÇÕES!N1954&lt;TODAY()),NEGOCIAÇÕES!D1954,"")</f>
        <v>0</v>
      </c>
      <c r="E1954" s="9">
        <f ca="1">IF(AND(NEGOCIAÇÕES!P1954="",NEGOCIAÇÕES!N1954&lt;TODAY()),NEGOCIAÇÕES!N1954,"")</f>
        <v>0</v>
      </c>
    </row>
    <row r="1955" spans="2:5" ht="31.95" hidden="1" customHeight="1" x14ac:dyDescent="0.3">
      <c r="B1955" s="6" t="str">
        <f ca="1">IF(AND(NEGOCIAÇÕES!P1955="",NEGOCIAÇÕES!N1955&lt;TODAY()),NEGOCIAÇÕES!C1955,"")</f>
        <v/>
      </c>
      <c r="C1955" s="6">
        <f ca="1">IF(AND(NEGOCIAÇÕES!P1955="",NEGOCIAÇÕES!N1955&lt;TODAY()),NEGOCIAÇÕES!E1955,"")</f>
        <v>0</v>
      </c>
      <c r="D1955" s="6">
        <f ca="1">IF(AND(NEGOCIAÇÕES!P1955="",NEGOCIAÇÕES!N1955&lt;TODAY()),NEGOCIAÇÕES!D1955,"")</f>
        <v>0</v>
      </c>
      <c r="E1955" s="9">
        <f ca="1">IF(AND(NEGOCIAÇÕES!P1955="",NEGOCIAÇÕES!N1955&lt;TODAY()),NEGOCIAÇÕES!N1955,"")</f>
        <v>0</v>
      </c>
    </row>
    <row r="1956" spans="2:5" ht="31.95" hidden="1" customHeight="1" x14ac:dyDescent="0.3">
      <c r="B1956" s="6" t="str">
        <f ca="1">IF(AND(NEGOCIAÇÕES!P1956="",NEGOCIAÇÕES!N1956&lt;TODAY()),NEGOCIAÇÕES!C1956,"")</f>
        <v/>
      </c>
      <c r="C1956" s="6">
        <f ca="1">IF(AND(NEGOCIAÇÕES!P1956="",NEGOCIAÇÕES!N1956&lt;TODAY()),NEGOCIAÇÕES!E1956,"")</f>
        <v>0</v>
      </c>
      <c r="D1956" s="6">
        <f ca="1">IF(AND(NEGOCIAÇÕES!P1956="",NEGOCIAÇÕES!N1956&lt;TODAY()),NEGOCIAÇÕES!D1956,"")</f>
        <v>0</v>
      </c>
      <c r="E1956" s="9">
        <f ca="1">IF(AND(NEGOCIAÇÕES!P1956="",NEGOCIAÇÕES!N1956&lt;TODAY()),NEGOCIAÇÕES!N1956,"")</f>
        <v>0</v>
      </c>
    </row>
    <row r="1957" spans="2:5" ht="31.95" hidden="1" customHeight="1" x14ac:dyDescent="0.3">
      <c r="B1957" s="6" t="str">
        <f ca="1">IF(AND(NEGOCIAÇÕES!P1957="",NEGOCIAÇÕES!N1957&lt;TODAY()),NEGOCIAÇÕES!C1957,"")</f>
        <v/>
      </c>
      <c r="C1957" s="6">
        <f ca="1">IF(AND(NEGOCIAÇÕES!P1957="",NEGOCIAÇÕES!N1957&lt;TODAY()),NEGOCIAÇÕES!E1957,"")</f>
        <v>0</v>
      </c>
      <c r="D1957" s="6">
        <f ca="1">IF(AND(NEGOCIAÇÕES!P1957="",NEGOCIAÇÕES!N1957&lt;TODAY()),NEGOCIAÇÕES!D1957,"")</f>
        <v>0</v>
      </c>
      <c r="E1957" s="9">
        <f ca="1">IF(AND(NEGOCIAÇÕES!P1957="",NEGOCIAÇÕES!N1957&lt;TODAY()),NEGOCIAÇÕES!N1957,"")</f>
        <v>0</v>
      </c>
    </row>
    <row r="1958" spans="2:5" ht="31.95" hidden="1" customHeight="1" x14ac:dyDescent="0.3">
      <c r="B1958" s="6" t="str">
        <f ca="1">IF(AND(NEGOCIAÇÕES!P1958="",NEGOCIAÇÕES!N1958&lt;TODAY()),NEGOCIAÇÕES!C1958,"")</f>
        <v/>
      </c>
      <c r="C1958" s="6">
        <f ca="1">IF(AND(NEGOCIAÇÕES!P1958="",NEGOCIAÇÕES!N1958&lt;TODAY()),NEGOCIAÇÕES!E1958,"")</f>
        <v>0</v>
      </c>
      <c r="D1958" s="6">
        <f ca="1">IF(AND(NEGOCIAÇÕES!P1958="",NEGOCIAÇÕES!N1958&lt;TODAY()),NEGOCIAÇÕES!D1958,"")</f>
        <v>0</v>
      </c>
      <c r="E1958" s="9">
        <f ca="1">IF(AND(NEGOCIAÇÕES!P1958="",NEGOCIAÇÕES!N1958&lt;TODAY()),NEGOCIAÇÕES!N1958,"")</f>
        <v>0</v>
      </c>
    </row>
    <row r="1959" spans="2:5" ht="31.95" hidden="1" customHeight="1" x14ac:dyDescent="0.3">
      <c r="B1959" s="6" t="str">
        <f ca="1">IF(AND(NEGOCIAÇÕES!P1959="",NEGOCIAÇÕES!N1959&lt;TODAY()),NEGOCIAÇÕES!C1959,"")</f>
        <v/>
      </c>
      <c r="C1959" s="6">
        <f ca="1">IF(AND(NEGOCIAÇÕES!P1959="",NEGOCIAÇÕES!N1959&lt;TODAY()),NEGOCIAÇÕES!E1959,"")</f>
        <v>0</v>
      </c>
      <c r="D1959" s="6">
        <f ca="1">IF(AND(NEGOCIAÇÕES!P1959="",NEGOCIAÇÕES!N1959&lt;TODAY()),NEGOCIAÇÕES!D1959,"")</f>
        <v>0</v>
      </c>
      <c r="E1959" s="9">
        <f ca="1">IF(AND(NEGOCIAÇÕES!P1959="",NEGOCIAÇÕES!N1959&lt;TODAY()),NEGOCIAÇÕES!N1959,"")</f>
        <v>0</v>
      </c>
    </row>
    <row r="1960" spans="2:5" ht="31.95" hidden="1" customHeight="1" x14ac:dyDescent="0.3">
      <c r="B1960" s="6" t="str">
        <f ca="1">IF(AND(NEGOCIAÇÕES!P1960="",NEGOCIAÇÕES!N1960&lt;TODAY()),NEGOCIAÇÕES!C1960,"")</f>
        <v/>
      </c>
      <c r="C1960" s="6">
        <f ca="1">IF(AND(NEGOCIAÇÕES!P1960="",NEGOCIAÇÕES!N1960&lt;TODAY()),NEGOCIAÇÕES!E1960,"")</f>
        <v>0</v>
      </c>
      <c r="D1960" s="6">
        <f ca="1">IF(AND(NEGOCIAÇÕES!P1960="",NEGOCIAÇÕES!N1960&lt;TODAY()),NEGOCIAÇÕES!D1960,"")</f>
        <v>0</v>
      </c>
      <c r="E1960" s="9">
        <f ca="1">IF(AND(NEGOCIAÇÕES!P1960="",NEGOCIAÇÕES!N1960&lt;TODAY()),NEGOCIAÇÕES!N1960,"")</f>
        <v>0</v>
      </c>
    </row>
    <row r="1961" spans="2:5" ht="31.95" hidden="1" customHeight="1" x14ac:dyDescent="0.3">
      <c r="B1961" s="6" t="str">
        <f ca="1">IF(AND(NEGOCIAÇÕES!P1961="",NEGOCIAÇÕES!N1961&lt;TODAY()),NEGOCIAÇÕES!C1961,"")</f>
        <v/>
      </c>
      <c r="C1961" s="6">
        <f ca="1">IF(AND(NEGOCIAÇÕES!P1961="",NEGOCIAÇÕES!N1961&lt;TODAY()),NEGOCIAÇÕES!E1961,"")</f>
        <v>0</v>
      </c>
      <c r="D1961" s="6">
        <f ca="1">IF(AND(NEGOCIAÇÕES!P1961="",NEGOCIAÇÕES!N1961&lt;TODAY()),NEGOCIAÇÕES!D1961,"")</f>
        <v>0</v>
      </c>
      <c r="E1961" s="9">
        <f ca="1">IF(AND(NEGOCIAÇÕES!P1961="",NEGOCIAÇÕES!N1961&lt;TODAY()),NEGOCIAÇÕES!N1961,"")</f>
        <v>0</v>
      </c>
    </row>
    <row r="1962" spans="2:5" ht="31.95" hidden="1" customHeight="1" x14ac:dyDescent="0.3">
      <c r="B1962" s="6" t="str">
        <f ca="1">IF(AND(NEGOCIAÇÕES!P1962="",NEGOCIAÇÕES!N1962&lt;TODAY()),NEGOCIAÇÕES!C1962,"")</f>
        <v/>
      </c>
      <c r="C1962" s="6">
        <f ca="1">IF(AND(NEGOCIAÇÕES!P1962="",NEGOCIAÇÕES!N1962&lt;TODAY()),NEGOCIAÇÕES!E1962,"")</f>
        <v>0</v>
      </c>
      <c r="D1962" s="6">
        <f ca="1">IF(AND(NEGOCIAÇÕES!P1962="",NEGOCIAÇÕES!N1962&lt;TODAY()),NEGOCIAÇÕES!D1962,"")</f>
        <v>0</v>
      </c>
      <c r="E1962" s="9">
        <f ca="1">IF(AND(NEGOCIAÇÕES!P1962="",NEGOCIAÇÕES!N1962&lt;TODAY()),NEGOCIAÇÕES!N1962,"")</f>
        <v>0</v>
      </c>
    </row>
    <row r="1963" spans="2:5" ht="31.95" hidden="1" customHeight="1" x14ac:dyDescent="0.3">
      <c r="B1963" s="6" t="str">
        <f ca="1">IF(AND(NEGOCIAÇÕES!P1963="",NEGOCIAÇÕES!N1963&lt;TODAY()),NEGOCIAÇÕES!C1963,"")</f>
        <v/>
      </c>
      <c r="C1963" s="6">
        <f ca="1">IF(AND(NEGOCIAÇÕES!P1963="",NEGOCIAÇÕES!N1963&lt;TODAY()),NEGOCIAÇÕES!E1963,"")</f>
        <v>0</v>
      </c>
      <c r="D1963" s="6">
        <f ca="1">IF(AND(NEGOCIAÇÕES!P1963="",NEGOCIAÇÕES!N1963&lt;TODAY()),NEGOCIAÇÕES!D1963,"")</f>
        <v>0</v>
      </c>
      <c r="E1963" s="9">
        <f ca="1">IF(AND(NEGOCIAÇÕES!P1963="",NEGOCIAÇÕES!N1963&lt;TODAY()),NEGOCIAÇÕES!N1963,"")</f>
        <v>0</v>
      </c>
    </row>
    <row r="1964" spans="2:5" ht="31.95" hidden="1" customHeight="1" x14ac:dyDescent="0.3">
      <c r="B1964" s="6" t="str">
        <f ca="1">IF(AND(NEGOCIAÇÕES!P1964="",NEGOCIAÇÕES!N1964&lt;TODAY()),NEGOCIAÇÕES!C1964,"")</f>
        <v/>
      </c>
      <c r="C1964" s="6">
        <f ca="1">IF(AND(NEGOCIAÇÕES!P1964="",NEGOCIAÇÕES!N1964&lt;TODAY()),NEGOCIAÇÕES!E1964,"")</f>
        <v>0</v>
      </c>
      <c r="D1964" s="6">
        <f ca="1">IF(AND(NEGOCIAÇÕES!P1964="",NEGOCIAÇÕES!N1964&lt;TODAY()),NEGOCIAÇÕES!D1964,"")</f>
        <v>0</v>
      </c>
      <c r="E1964" s="9">
        <f ca="1">IF(AND(NEGOCIAÇÕES!P1964="",NEGOCIAÇÕES!N1964&lt;TODAY()),NEGOCIAÇÕES!N1964,"")</f>
        <v>0</v>
      </c>
    </row>
    <row r="1965" spans="2:5" ht="31.95" hidden="1" customHeight="1" x14ac:dyDescent="0.3">
      <c r="B1965" s="6" t="str">
        <f ca="1">IF(AND(NEGOCIAÇÕES!P1965="",NEGOCIAÇÕES!N1965&lt;TODAY()),NEGOCIAÇÕES!C1965,"")</f>
        <v/>
      </c>
      <c r="C1965" s="6">
        <f ca="1">IF(AND(NEGOCIAÇÕES!P1965="",NEGOCIAÇÕES!N1965&lt;TODAY()),NEGOCIAÇÕES!E1965,"")</f>
        <v>0</v>
      </c>
      <c r="D1965" s="6">
        <f ca="1">IF(AND(NEGOCIAÇÕES!P1965="",NEGOCIAÇÕES!N1965&lt;TODAY()),NEGOCIAÇÕES!D1965,"")</f>
        <v>0</v>
      </c>
      <c r="E1965" s="9">
        <f ca="1">IF(AND(NEGOCIAÇÕES!P1965="",NEGOCIAÇÕES!N1965&lt;TODAY()),NEGOCIAÇÕES!N1965,"")</f>
        <v>0</v>
      </c>
    </row>
    <row r="1966" spans="2:5" ht="31.95" hidden="1" customHeight="1" x14ac:dyDescent="0.3">
      <c r="B1966" s="6" t="str">
        <f ca="1">IF(AND(NEGOCIAÇÕES!P1966="",NEGOCIAÇÕES!N1966&lt;TODAY()),NEGOCIAÇÕES!C1966,"")</f>
        <v/>
      </c>
      <c r="C1966" s="6">
        <f ca="1">IF(AND(NEGOCIAÇÕES!P1966="",NEGOCIAÇÕES!N1966&lt;TODAY()),NEGOCIAÇÕES!E1966,"")</f>
        <v>0</v>
      </c>
      <c r="D1966" s="6">
        <f ca="1">IF(AND(NEGOCIAÇÕES!P1966="",NEGOCIAÇÕES!N1966&lt;TODAY()),NEGOCIAÇÕES!D1966,"")</f>
        <v>0</v>
      </c>
      <c r="E1966" s="9">
        <f ca="1">IF(AND(NEGOCIAÇÕES!P1966="",NEGOCIAÇÕES!N1966&lt;TODAY()),NEGOCIAÇÕES!N1966,"")</f>
        <v>0</v>
      </c>
    </row>
    <row r="1967" spans="2:5" ht="31.95" hidden="1" customHeight="1" x14ac:dyDescent="0.3">
      <c r="B1967" s="6" t="str">
        <f ca="1">IF(AND(NEGOCIAÇÕES!P1967="",NEGOCIAÇÕES!N1967&lt;TODAY()),NEGOCIAÇÕES!C1967,"")</f>
        <v/>
      </c>
      <c r="C1967" s="6">
        <f ca="1">IF(AND(NEGOCIAÇÕES!P1967="",NEGOCIAÇÕES!N1967&lt;TODAY()),NEGOCIAÇÕES!E1967,"")</f>
        <v>0</v>
      </c>
      <c r="D1967" s="6">
        <f ca="1">IF(AND(NEGOCIAÇÕES!P1967="",NEGOCIAÇÕES!N1967&lt;TODAY()),NEGOCIAÇÕES!D1967,"")</f>
        <v>0</v>
      </c>
      <c r="E1967" s="9">
        <f ca="1">IF(AND(NEGOCIAÇÕES!P1967="",NEGOCIAÇÕES!N1967&lt;TODAY()),NEGOCIAÇÕES!N1967,"")</f>
        <v>0</v>
      </c>
    </row>
    <row r="1968" spans="2:5" ht="31.95" hidden="1" customHeight="1" x14ac:dyDescent="0.3">
      <c r="B1968" s="6" t="str">
        <f ca="1">IF(AND(NEGOCIAÇÕES!P1968="",NEGOCIAÇÕES!N1968&lt;TODAY()),NEGOCIAÇÕES!C1968,"")</f>
        <v/>
      </c>
      <c r="C1968" s="6">
        <f ca="1">IF(AND(NEGOCIAÇÕES!P1968="",NEGOCIAÇÕES!N1968&lt;TODAY()),NEGOCIAÇÕES!E1968,"")</f>
        <v>0</v>
      </c>
      <c r="D1968" s="6">
        <f ca="1">IF(AND(NEGOCIAÇÕES!P1968="",NEGOCIAÇÕES!N1968&lt;TODAY()),NEGOCIAÇÕES!D1968,"")</f>
        <v>0</v>
      </c>
      <c r="E1968" s="9">
        <f ca="1">IF(AND(NEGOCIAÇÕES!P1968="",NEGOCIAÇÕES!N1968&lt;TODAY()),NEGOCIAÇÕES!N1968,"")</f>
        <v>0</v>
      </c>
    </row>
    <row r="1969" spans="2:5" ht="31.95" hidden="1" customHeight="1" x14ac:dyDescent="0.3">
      <c r="B1969" s="6" t="str">
        <f ca="1">IF(AND(NEGOCIAÇÕES!P1969="",NEGOCIAÇÕES!N1969&lt;TODAY()),NEGOCIAÇÕES!C1969,"")</f>
        <v/>
      </c>
      <c r="C1969" s="6">
        <f ca="1">IF(AND(NEGOCIAÇÕES!P1969="",NEGOCIAÇÕES!N1969&lt;TODAY()),NEGOCIAÇÕES!E1969,"")</f>
        <v>0</v>
      </c>
      <c r="D1969" s="6">
        <f ca="1">IF(AND(NEGOCIAÇÕES!P1969="",NEGOCIAÇÕES!N1969&lt;TODAY()),NEGOCIAÇÕES!D1969,"")</f>
        <v>0</v>
      </c>
      <c r="E1969" s="9">
        <f ca="1">IF(AND(NEGOCIAÇÕES!P1969="",NEGOCIAÇÕES!N1969&lt;TODAY()),NEGOCIAÇÕES!N1969,"")</f>
        <v>0</v>
      </c>
    </row>
    <row r="1970" spans="2:5" ht="31.95" hidden="1" customHeight="1" x14ac:dyDescent="0.3">
      <c r="B1970" s="6" t="str">
        <f ca="1">IF(AND(NEGOCIAÇÕES!P1970="",NEGOCIAÇÕES!N1970&lt;TODAY()),NEGOCIAÇÕES!C1970,"")</f>
        <v/>
      </c>
      <c r="C1970" s="6">
        <f ca="1">IF(AND(NEGOCIAÇÕES!P1970="",NEGOCIAÇÕES!N1970&lt;TODAY()),NEGOCIAÇÕES!E1970,"")</f>
        <v>0</v>
      </c>
      <c r="D1970" s="6">
        <f ca="1">IF(AND(NEGOCIAÇÕES!P1970="",NEGOCIAÇÕES!N1970&lt;TODAY()),NEGOCIAÇÕES!D1970,"")</f>
        <v>0</v>
      </c>
      <c r="E1970" s="9">
        <f ca="1">IF(AND(NEGOCIAÇÕES!P1970="",NEGOCIAÇÕES!N1970&lt;TODAY()),NEGOCIAÇÕES!N1970,"")</f>
        <v>0</v>
      </c>
    </row>
    <row r="1971" spans="2:5" ht="31.95" hidden="1" customHeight="1" x14ac:dyDescent="0.3">
      <c r="B1971" s="6" t="str">
        <f ca="1">IF(AND(NEGOCIAÇÕES!P1971="",NEGOCIAÇÕES!N1971&lt;TODAY()),NEGOCIAÇÕES!C1971,"")</f>
        <v/>
      </c>
      <c r="C1971" s="6">
        <f ca="1">IF(AND(NEGOCIAÇÕES!P1971="",NEGOCIAÇÕES!N1971&lt;TODAY()),NEGOCIAÇÕES!E1971,"")</f>
        <v>0</v>
      </c>
      <c r="D1971" s="6">
        <f ca="1">IF(AND(NEGOCIAÇÕES!P1971="",NEGOCIAÇÕES!N1971&lt;TODAY()),NEGOCIAÇÕES!D1971,"")</f>
        <v>0</v>
      </c>
      <c r="E1971" s="9">
        <f ca="1">IF(AND(NEGOCIAÇÕES!P1971="",NEGOCIAÇÕES!N1971&lt;TODAY()),NEGOCIAÇÕES!N1971,"")</f>
        <v>0</v>
      </c>
    </row>
    <row r="1972" spans="2:5" ht="31.95" hidden="1" customHeight="1" x14ac:dyDescent="0.3">
      <c r="B1972" s="6" t="str">
        <f ca="1">IF(AND(NEGOCIAÇÕES!P1972="",NEGOCIAÇÕES!N1972&lt;TODAY()),NEGOCIAÇÕES!C1972,"")</f>
        <v/>
      </c>
      <c r="C1972" s="6">
        <f ca="1">IF(AND(NEGOCIAÇÕES!P1972="",NEGOCIAÇÕES!N1972&lt;TODAY()),NEGOCIAÇÕES!E1972,"")</f>
        <v>0</v>
      </c>
      <c r="D1972" s="6">
        <f ca="1">IF(AND(NEGOCIAÇÕES!P1972="",NEGOCIAÇÕES!N1972&lt;TODAY()),NEGOCIAÇÕES!D1972,"")</f>
        <v>0</v>
      </c>
      <c r="E1972" s="9">
        <f ca="1">IF(AND(NEGOCIAÇÕES!P1972="",NEGOCIAÇÕES!N1972&lt;TODAY()),NEGOCIAÇÕES!N1972,"")</f>
        <v>0</v>
      </c>
    </row>
    <row r="1973" spans="2:5" ht="31.95" hidden="1" customHeight="1" x14ac:dyDescent="0.3">
      <c r="B1973" s="6" t="str">
        <f ca="1">IF(AND(NEGOCIAÇÕES!P1973="",NEGOCIAÇÕES!N1973&lt;TODAY()),NEGOCIAÇÕES!C1973,"")</f>
        <v/>
      </c>
      <c r="C1973" s="6">
        <f ca="1">IF(AND(NEGOCIAÇÕES!P1973="",NEGOCIAÇÕES!N1973&lt;TODAY()),NEGOCIAÇÕES!E1973,"")</f>
        <v>0</v>
      </c>
      <c r="D1973" s="6">
        <f ca="1">IF(AND(NEGOCIAÇÕES!P1973="",NEGOCIAÇÕES!N1973&lt;TODAY()),NEGOCIAÇÕES!D1973,"")</f>
        <v>0</v>
      </c>
      <c r="E1973" s="9">
        <f ca="1">IF(AND(NEGOCIAÇÕES!P1973="",NEGOCIAÇÕES!N1973&lt;TODAY()),NEGOCIAÇÕES!N1973,"")</f>
        <v>0</v>
      </c>
    </row>
    <row r="1974" spans="2:5" ht="31.95" hidden="1" customHeight="1" x14ac:dyDescent="0.3">
      <c r="B1974" s="6" t="str">
        <f ca="1">IF(AND(NEGOCIAÇÕES!P1974="",NEGOCIAÇÕES!N1974&lt;TODAY()),NEGOCIAÇÕES!C1974,"")</f>
        <v/>
      </c>
      <c r="C1974" s="6">
        <f ca="1">IF(AND(NEGOCIAÇÕES!P1974="",NEGOCIAÇÕES!N1974&lt;TODAY()),NEGOCIAÇÕES!E1974,"")</f>
        <v>0</v>
      </c>
      <c r="D1974" s="6">
        <f ca="1">IF(AND(NEGOCIAÇÕES!P1974="",NEGOCIAÇÕES!N1974&lt;TODAY()),NEGOCIAÇÕES!D1974,"")</f>
        <v>0</v>
      </c>
      <c r="E1974" s="9">
        <f ca="1">IF(AND(NEGOCIAÇÕES!P1974="",NEGOCIAÇÕES!N1974&lt;TODAY()),NEGOCIAÇÕES!N1974,"")</f>
        <v>0</v>
      </c>
    </row>
    <row r="1975" spans="2:5" ht="31.95" hidden="1" customHeight="1" x14ac:dyDescent="0.3">
      <c r="B1975" s="6" t="str">
        <f ca="1">IF(AND(NEGOCIAÇÕES!P1975="",NEGOCIAÇÕES!N1975&lt;TODAY()),NEGOCIAÇÕES!C1975,"")</f>
        <v/>
      </c>
      <c r="C1975" s="6">
        <f ca="1">IF(AND(NEGOCIAÇÕES!P1975="",NEGOCIAÇÕES!N1975&lt;TODAY()),NEGOCIAÇÕES!E1975,"")</f>
        <v>0</v>
      </c>
      <c r="D1975" s="6">
        <f ca="1">IF(AND(NEGOCIAÇÕES!P1975="",NEGOCIAÇÕES!N1975&lt;TODAY()),NEGOCIAÇÕES!D1975,"")</f>
        <v>0</v>
      </c>
      <c r="E1975" s="9">
        <f ca="1">IF(AND(NEGOCIAÇÕES!P1975="",NEGOCIAÇÕES!N1975&lt;TODAY()),NEGOCIAÇÕES!N1975,"")</f>
        <v>0</v>
      </c>
    </row>
    <row r="1976" spans="2:5" ht="31.95" hidden="1" customHeight="1" x14ac:dyDescent="0.3">
      <c r="B1976" s="6" t="str">
        <f ca="1">IF(AND(NEGOCIAÇÕES!P1976="",NEGOCIAÇÕES!N1976&lt;TODAY()),NEGOCIAÇÕES!C1976,"")</f>
        <v/>
      </c>
      <c r="C1976" s="6">
        <f ca="1">IF(AND(NEGOCIAÇÕES!P1976="",NEGOCIAÇÕES!N1976&lt;TODAY()),NEGOCIAÇÕES!E1976,"")</f>
        <v>0</v>
      </c>
      <c r="D1976" s="6">
        <f ca="1">IF(AND(NEGOCIAÇÕES!P1976="",NEGOCIAÇÕES!N1976&lt;TODAY()),NEGOCIAÇÕES!D1976,"")</f>
        <v>0</v>
      </c>
      <c r="E1976" s="9">
        <f ca="1">IF(AND(NEGOCIAÇÕES!P1976="",NEGOCIAÇÕES!N1976&lt;TODAY()),NEGOCIAÇÕES!N1976,"")</f>
        <v>0</v>
      </c>
    </row>
    <row r="1977" spans="2:5" ht="31.95" hidden="1" customHeight="1" x14ac:dyDescent="0.3">
      <c r="B1977" s="6" t="str">
        <f ca="1">IF(AND(NEGOCIAÇÕES!P1977="",NEGOCIAÇÕES!N1977&lt;TODAY()),NEGOCIAÇÕES!C1977,"")</f>
        <v/>
      </c>
      <c r="C1977" s="6">
        <f ca="1">IF(AND(NEGOCIAÇÕES!P1977="",NEGOCIAÇÕES!N1977&lt;TODAY()),NEGOCIAÇÕES!E1977,"")</f>
        <v>0</v>
      </c>
      <c r="D1977" s="6">
        <f ca="1">IF(AND(NEGOCIAÇÕES!P1977="",NEGOCIAÇÕES!N1977&lt;TODAY()),NEGOCIAÇÕES!D1977,"")</f>
        <v>0</v>
      </c>
      <c r="E1977" s="9">
        <f ca="1">IF(AND(NEGOCIAÇÕES!P1977="",NEGOCIAÇÕES!N1977&lt;TODAY()),NEGOCIAÇÕES!N1977,"")</f>
        <v>0</v>
      </c>
    </row>
    <row r="1978" spans="2:5" ht="31.95" hidden="1" customHeight="1" x14ac:dyDescent="0.3">
      <c r="B1978" s="6" t="str">
        <f ca="1">IF(AND(NEGOCIAÇÕES!P1978="",NEGOCIAÇÕES!N1978&lt;TODAY()),NEGOCIAÇÕES!C1978,"")</f>
        <v/>
      </c>
      <c r="C1978" s="6">
        <f ca="1">IF(AND(NEGOCIAÇÕES!P1978="",NEGOCIAÇÕES!N1978&lt;TODAY()),NEGOCIAÇÕES!E1978,"")</f>
        <v>0</v>
      </c>
      <c r="D1978" s="6">
        <f ca="1">IF(AND(NEGOCIAÇÕES!P1978="",NEGOCIAÇÕES!N1978&lt;TODAY()),NEGOCIAÇÕES!D1978,"")</f>
        <v>0</v>
      </c>
      <c r="E1978" s="9">
        <f ca="1">IF(AND(NEGOCIAÇÕES!P1978="",NEGOCIAÇÕES!N1978&lt;TODAY()),NEGOCIAÇÕES!N1978,"")</f>
        <v>0</v>
      </c>
    </row>
    <row r="1979" spans="2:5" ht="31.95" hidden="1" customHeight="1" x14ac:dyDescent="0.3">
      <c r="B1979" s="6" t="str">
        <f ca="1">IF(AND(NEGOCIAÇÕES!P1979="",NEGOCIAÇÕES!N1979&lt;TODAY()),NEGOCIAÇÕES!C1979,"")</f>
        <v/>
      </c>
      <c r="C1979" s="6">
        <f ca="1">IF(AND(NEGOCIAÇÕES!P1979="",NEGOCIAÇÕES!N1979&lt;TODAY()),NEGOCIAÇÕES!E1979,"")</f>
        <v>0</v>
      </c>
      <c r="D1979" s="6">
        <f ca="1">IF(AND(NEGOCIAÇÕES!P1979="",NEGOCIAÇÕES!N1979&lt;TODAY()),NEGOCIAÇÕES!D1979,"")</f>
        <v>0</v>
      </c>
      <c r="E1979" s="9">
        <f ca="1">IF(AND(NEGOCIAÇÕES!P1979="",NEGOCIAÇÕES!N1979&lt;TODAY()),NEGOCIAÇÕES!N1979,"")</f>
        <v>0</v>
      </c>
    </row>
    <row r="1980" spans="2:5" ht="31.95" hidden="1" customHeight="1" x14ac:dyDescent="0.3">
      <c r="B1980" s="6" t="str">
        <f ca="1">IF(AND(NEGOCIAÇÕES!P1980="",NEGOCIAÇÕES!N1980&lt;TODAY()),NEGOCIAÇÕES!C1980,"")</f>
        <v/>
      </c>
      <c r="C1980" s="6">
        <f ca="1">IF(AND(NEGOCIAÇÕES!P1980="",NEGOCIAÇÕES!N1980&lt;TODAY()),NEGOCIAÇÕES!E1980,"")</f>
        <v>0</v>
      </c>
      <c r="D1980" s="6">
        <f ca="1">IF(AND(NEGOCIAÇÕES!P1980="",NEGOCIAÇÕES!N1980&lt;TODAY()),NEGOCIAÇÕES!D1980,"")</f>
        <v>0</v>
      </c>
      <c r="E1980" s="9">
        <f ca="1">IF(AND(NEGOCIAÇÕES!P1980="",NEGOCIAÇÕES!N1980&lt;TODAY()),NEGOCIAÇÕES!N1980,"")</f>
        <v>0</v>
      </c>
    </row>
    <row r="1981" spans="2:5" ht="31.95" hidden="1" customHeight="1" x14ac:dyDescent="0.3">
      <c r="B1981" s="6" t="str">
        <f ca="1">IF(AND(NEGOCIAÇÕES!P1981="",NEGOCIAÇÕES!N1981&lt;TODAY()),NEGOCIAÇÕES!C1981,"")</f>
        <v/>
      </c>
      <c r="C1981" s="6">
        <f ca="1">IF(AND(NEGOCIAÇÕES!P1981="",NEGOCIAÇÕES!N1981&lt;TODAY()),NEGOCIAÇÕES!E1981,"")</f>
        <v>0</v>
      </c>
      <c r="D1981" s="6">
        <f ca="1">IF(AND(NEGOCIAÇÕES!P1981="",NEGOCIAÇÕES!N1981&lt;TODAY()),NEGOCIAÇÕES!D1981,"")</f>
        <v>0</v>
      </c>
      <c r="E1981" s="9">
        <f ca="1">IF(AND(NEGOCIAÇÕES!P1981="",NEGOCIAÇÕES!N1981&lt;TODAY()),NEGOCIAÇÕES!N1981,"")</f>
        <v>0</v>
      </c>
    </row>
    <row r="1982" spans="2:5" ht="31.95" hidden="1" customHeight="1" x14ac:dyDescent="0.3">
      <c r="B1982" s="6" t="str">
        <f ca="1">IF(AND(NEGOCIAÇÕES!P1982="",NEGOCIAÇÕES!N1982&lt;TODAY()),NEGOCIAÇÕES!C1982,"")</f>
        <v/>
      </c>
      <c r="C1982" s="6">
        <f ca="1">IF(AND(NEGOCIAÇÕES!P1982="",NEGOCIAÇÕES!N1982&lt;TODAY()),NEGOCIAÇÕES!E1982,"")</f>
        <v>0</v>
      </c>
      <c r="D1982" s="6">
        <f ca="1">IF(AND(NEGOCIAÇÕES!P1982="",NEGOCIAÇÕES!N1982&lt;TODAY()),NEGOCIAÇÕES!D1982,"")</f>
        <v>0</v>
      </c>
      <c r="E1982" s="9">
        <f ca="1">IF(AND(NEGOCIAÇÕES!P1982="",NEGOCIAÇÕES!N1982&lt;TODAY()),NEGOCIAÇÕES!N1982,"")</f>
        <v>0</v>
      </c>
    </row>
    <row r="1983" spans="2:5" ht="31.95" hidden="1" customHeight="1" x14ac:dyDescent="0.3">
      <c r="B1983" s="6" t="str">
        <f ca="1">IF(AND(NEGOCIAÇÕES!P1983="",NEGOCIAÇÕES!N1983&lt;TODAY()),NEGOCIAÇÕES!C1983,"")</f>
        <v/>
      </c>
      <c r="C1983" s="6">
        <f ca="1">IF(AND(NEGOCIAÇÕES!P1983="",NEGOCIAÇÕES!N1983&lt;TODAY()),NEGOCIAÇÕES!E1983,"")</f>
        <v>0</v>
      </c>
      <c r="D1983" s="6">
        <f ca="1">IF(AND(NEGOCIAÇÕES!P1983="",NEGOCIAÇÕES!N1983&lt;TODAY()),NEGOCIAÇÕES!D1983,"")</f>
        <v>0</v>
      </c>
      <c r="E1983" s="9">
        <f ca="1">IF(AND(NEGOCIAÇÕES!P1983="",NEGOCIAÇÕES!N1983&lt;TODAY()),NEGOCIAÇÕES!N1983,"")</f>
        <v>0</v>
      </c>
    </row>
    <row r="1984" spans="2:5" ht="31.95" hidden="1" customHeight="1" x14ac:dyDescent="0.3">
      <c r="B1984" s="6" t="str">
        <f ca="1">IF(AND(NEGOCIAÇÕES!P1984="",NEGOCIAÇÕES!N1984&lt;TODAY()),NEGOCIAÇÕES!C1984,"")</f>
        <v/>
      </c>
      <c r="C1984" s="6">
        <f ca="1">IF(AND(NEGOCIAÇÕES!P1984="",NEGOCIAÇÕES!N1984&lt;TODAY()),NEGOCIAÇÕES!E1984,"")</f>
        <v>0</v>
      </c>
      <c r="D1984" s="6">
        <f ca="1">IF(AND(NEGOCIAÇÕES!P1984="",NEGOCIAÇÕES!N1984&lt;TODAY()),NEGOCIAÇÕES!D1984,"")</f>
        <v>0</v>
      </c>
      <c r="E1984" s="9">
        <f ca="1">IF(AND(NEGOCIAÇÕES!P1984="",NEGOCIAÇÕES!N1984&lt;TODAY()),NEGOCIAÇÕES!N1984,"")</f>
        <v>0</v>
      </c>
    </row>
    <row r="1985" spans="2:5" ht="31.95" hidden="1" customHeight="1" x14ac:dyDescent="0.3">
      <c r="B1985" s="6" t="str">
        <f ca="1">IF(AND(NEGOCIAÇÕES!P1985="",NEGOCIAÇÕES!N1985&lt;TODAY()),NEGOCIAÇÕES!C1985,"")</f>
        <v/>
      </c>
      <c r="C1985" s="6">
        <f ca="1">IF(AND(NEGOCIAÇÕES!P1985="",NEGOCIAÇÕES!N1985&lt;TODAY()),NEGOCIAÇÕES!E1985,"")</f>
        <v>0</v>
      </c>
      <c r="D1985" s="6">
        <f ca="1">IF(AND(NEGOCIAÇÕES!P1985="",NEGOCIAÇÕES!N1985&lt;TODAY()),NEGOCIAÇÕES!D1985,"")</f>
        <v>0</v>
      </c>
      <c r="E1985" s="9">
        <f ca="1">IF(AND(NEGOCIAÇÕES!P1985="",NEGOCIAÇÕES!N1985&lt;TODAY()),NEGOCIAÇÕES!N1985,"")</f>
        <v>0</v>
      </c>
    </row>
    <row r="1986" spans="2:5" ht="31.95" hidden="1" customHeight="1" x14ac:dyDescent="0.3">
      <c r="B1986" s="6" t="str">
        <f ca="1">IF(AND(NEGOCIAÇÕES!P1986="",NEGOCIAÇÕES!N1986&lt;TODAY()),NEGOCIAÇÕES!C1986,"")</f>
        <v/>
      </c>
      <c r="C1986" s="6">
        <f ca="1">IF(AND(NEGOCIAÇÕES!P1986="",NEGOCIAÇÕES!N1986&lt;TODAY()),NEGOCIAÇÕES!E1986,"")</f>
        <v>0</v>
      </c>
      <c r="D1986" s="6">
        <f ca="1">IF(AND(NEGOCIAÇÕES!P1986="",NEGOCIAÇÕES!N1986&lt;TODAY()),NEGOCIAÇÕES!D1986,"")</f>
        <v>0</v>
      </c>
      <c r="E1986" s="9">
        <f ca="1">IF(AND(NEGOCIAÇÕES!P1986="",NEGOCIAÇÕES!N1986&lt;TODAY()),NEGOCIAÇÕES!N1986,"")</f>
        <v>0</v>
      </c>
    </row>
    <row r="1987" spans="2:5" ht="31.95" hidden="1" customHeight="1" x14ac:dyDescent="0.3">
      <c r="B1987" s="6" t="str">
        <f ca="1">IF(AND(NEGOCIAÇÕES!P1987="",NEGOCIAÇÕES!N1987&lt;TODAY()),NEGOCIAÇÕES!C1987,"")</f>
        <v/>
      </c>
      <c r="C1987" s="6">
        <f ca="1">IF(AND(NEGOCIAÇÕES!P1987="",NEGOCIAÇÕES!N1987&lt;TODAY()),NEGOCIAÇÕES!E1987,"")</f>
        <v>0</v>
      </c>
      <c r="D1987" s="6">
        <f ca="1">IF(AND(NEGOCIAÇÕES!P1987="",NEGOCIAÇÕES!N1987&lt;TODAY()),NEGOCIAÇÕES!D1987,"")</f>
        <v>0</v>
      </c>
      <c r="E1987" s="9">
        <f ca="1">IF(AND(NEGOCIAÇÕES!P1987="",NEGOCIAÇÕES!N1987&lt;TODAY()),NEGOCIAÇÕES!N1987,"")</f>
        <v>0</v>
      </c>
    </row>
    <row r="1988" spans="2:5" ht="31.95" hidden="1" customHeight="1" x14ac:dyDescent="0.3">
      <c r="B1988" s="6" t="str">
        <f ca="1">IF(AND(NEGOCIAÇÕES!P1988="",NEGOCIAÇÕES!N1988&lt;TODAY()),NEGOCIAÇÕES!C1988,"")</f>
        <v/>
      </c>
      <c r="C1988" s="6">
        <f ca="1">IF(AND(NEGOCIAÇÕES!P1988="",NEGOCIAÇÕES!N1988&lt;TODAY()),NEGOCIAÇÕES!E1988,"")</f>
        <v>0</v>
      </c>
      <c r="D1988" s="6">
        <f ca="1">IF(AND(NEGOCIAÇÕES!P1988="",NEGOCIAÇÕES!N1988&lt;TODAY()),NEGOCIAÇÕES!D1988,"")</f>
        <v>0</v>
      </c>
      <c r="E1988" s="9">
        <f ca="1">IF(AND(NEGOCIAÇÕES!P1988="",NEGOCIAÇÕES!N1988&lt;TODAY()),NEGOCIAÇÕES!N1988,"")</f>
        <v>0</v>
      </c>
    </row>
    <row r="1989" spans="2:5" ht="31.95" hidden="1" customHeight="1" x14ac:dyDescent="0.3">
      <c r="B1989" s="6" t="str">
        <f ca="1">IF(AND(NEGOCIAÇÕES!P1989="",NEGOCIAÇÕES!N1989&lt;TODAY()),NEGOCIAÇÕES!C1989,"")</f>
        <v/>
      </c>
      <c r="C1989" s="6">
        <f ca="1">IF(AND(NEGOCIAÇÕES!P1989="",NEGOCIAÇÕES!N1989&lt;TODAY()),NEGOCIAÇÕES!E1989,"")</f>
        <v>0</v>
      </c>
      <c r="D1989" s="6">
        <f ca="1">IF(AND(NEGOCIAÇÕES!P1989="",NEGOCIAÇÕES!N1989&lt;TODAY()),NEGOCIAÇÕES!D1989,"")</f>
        <v>0</v>
      </c>
      <c r="E1989" s="9">
        <f ca="1">IF(AND(NEGOCIAÇÕES!P1989="",NEGOCIAÇÕES!N1989&lt;TODAY()),NEGOCIAÇÕES!N1989,"")</f>
        <v>0</v>
      </c>
    </row>
    <row r="1990" spans="2:5" ht="31.95" hidden="1" customHeight="1" x14ac:dyDescent="0.3">
      <c r="B1990" s="6" t="str">
        <f ca="1">IF(AND(NEGOCIAÇÕES!P1990="",NEGOCIAÇÕES!N1990&lt;TODAY()),NEGOCIAÇÕES!C1990,"")</f>
        <v/>
      </c>
      <c r="C1990" s="6">
        <f ca="1">IF(AND(NEGOCIAÇÕES!P1990="",NEGOCIAÇÕES!N1990&lt;TODAY()),NEGOCIAÇÕES!E1990,"")</f>
        <v>0</v>
      </c>
      <c r="D1990" s="6">
        <f ca="1">IF(AND(NEGOCIAÇÕES!P1990="",NEGOCIAÇÕES!N1990&lt;TODAY()),NEGOCIAÇÕES!D1990,"")</f>
        <v>0</v>
      </c>
      <c r="E1990" s="9">
        <f ca="1">IF(AND(NEGOCIAÇÕES!P1990="",NEGOCIAÇÕES!N1990&lt;TODAY()),NEGOCIAÇÕES!N1990,"")</f>
        <v>0</v>
      </c>
    </row>
    <row r="1991" spans="2:5" ht="31.95" hidden="1" customHeight="1" x14ac:dyDescent="0.3">
      <c r="B1991" s="6" t="str">
        <f ca="1">IF(AND(NEGOCIAÇÕES!P1991="",NEGOCIAÇÕES!N1991&lt;TODAY()),NEGOCIAÇÕES!C1991,"")</f>
        <v/>
      </c>
      <c r="C1991" s="6">
        <f ca="1">IF(AND(NEGOCIAÇÕES!P1991="",NEGOCIAÇÕES!N1991&lt;TODAY()),NEGOCIAÇÕES!E1991,"")</f>
        <v>0</v>
      </c>
      <c r="D1991" s="6">
        <f ca="1">IF(AND(NEGOCIAÇÕES!P1991="",NEGOCIAÇÕES!N1991&lt;TODAY()),NEGOCIAÇÕES!D1991,"")</f>
        <v>0</v>
      </c>
      <c r="E1991" s="9">
        <f ca="1">IF(AND(NEGOCIAÇÕES!P1991="",NEGOCIAÇÕES!N1991&lt;TODAY()),NEGOCIAÇÕES!N1991,"")</f>
        <v>0</v>
      </c>
    </row>
    <row r="1992" spans="2:5" ht="31.95" hidden="1" customHeight="1" x14ac:dyDescent="0.3">
      <c r="B1992" s="6" t="str">
        <f ca="1">IF(AND(NEGOCIAÇÕES!P1992="",NEGOCIAÇÕES!N1992&lt;TODAY()),NEGOCIAÇÕES!C1992,"")</f>
        <v/>
      </c>
      <c r="C1992" s="6">
        <f ca="1">IF(AND(NEGOCIAÇÕES!P1992="",NEGOCIAÇÕES!N1992&lt;TODAY()),NEGOCIAÇÕES!E1992,"")</f>
        <v>0</v>
      </c>
      <c r="D1992" s="6">
        <f ca="1">IF(AND(NEGOCIAÇÕES!P1992="",NEGOCIAÇÕES!N1992&lt;TODAY()),NEGOCIAÇÕES!D1992,"")</f>
        <v>0</v>
      </c>
      <c r="E1992" s="9">
        <f ca="1">IF(AND(NEGOCIAÇÕES!P1992="",NEGOCIAÇÕES!N1992&lt;TODAY()),NEGOCIAÇÕES!N1992,"")</f>
        <v>0</v>
      </c>
    </row>
    <row r="1993" spans="2:5" ht="31.95" hidden="1" customHeight="1" x14ac:dyDescent="0.3">
      <c r="B1993" s="6" t="str">
        <f ca="1">IF(AND(NEGOCIAÇÕES!P1993="",NEGOCIAÇÕES!N1993&lt;TODAY()),NEGOCIAÇÕES!C1993,"")</f>
        <v/>
      </c>
      <c r="C1993" s="6">
        <f ca="1">IF(AND(NEGOCIAÇÕES!P1993="",NEGOCIAÇÕES!N1993&lt;TODAY()),NEGOCIAÇÕES!E1993,"")</f>
        <v>0</v>
      </c>
      <c r="D1993" s="6">
        <f ca="1">IF(AND(NEGOCIAÇÕES!P1993="",NEGOCIAÇÕES!N1993&lt;TODAY()),NEGOCIAÇÕES!D1993,"")</f>
        <v>0</v>
      </c>
      <c r="E1993" s="9">
        <f ca="1">IF(AND(NEGOCIAÇÕES!P1993="",NEGOCIAÇÕES!N1993&lt;TODAY()),NEGOCIAÇÕES!N1993,"")</f>
        <v>0</v>
      </c>
    </row>
    <row r="1994" spans="2:5" ht="31.95" hidden="1" customHeight="1" x14ac:dyDescent="0.3">
      <c r="B1994" s="6" t="str">
        <f ca="1">IF(AND(NEGOCIAÇÕES!P1994="",NEGOCIAÇÕES!N1994&lt;TODAY()),NEGOCIAÇÕES!C1994,"")</f>
        <v/>
      </c>
      <c r="C1994" s="6">
        <f ca="1">IF(AND(NEGOCIAÇÕES!P1994="",NEGOCIAÇÕES!N1994&lt;TODAY()),NEGOCIAÇÕES!E1994,"")</f>
        <v>0</v>
      </c>
      <c r="D1994" s="6">
        <f ca="1">IF(AND(NEGOCIAÇÕES!P1994="",NEGOCIAÇÕES!N1994&lt;TODAY()),NEGOCIAÇÕES!D1994,"")</f>
        <v>0</v>
      </c>
      <c r="E1994" s="9">
        <f ca="1">IF(AND(NEGOCIAÇÕES!P1994="",NEGOCIAÇÕES!N1994&lt;TODAY()),NEGOCIAÇÕES!N1994,"")</f>
        <v>0</v>
      </c>
    </row>
    <row r="1995" spans="2:5" ht="31.95" hidden="1" customHeight="1" x14ac:dyDescent="0.3">
      <c r="B1995" s="6" t="str">
        <f ca="1">IF(AND(NEGOCIAÇÕES!P1995="",NEGOCIAÇÕES!N1995&lt;TODAY()),NEGOCIAÇÕES!C1995,"")</f>
        <v/>
      </c>
      <c r="C1995" s="6">
        <f ca="1">IF(AND(NEGOCIAÇÕES!P1995="",NEGOCIAÇÕES!N1995&lt;TODAY()),NEGOCIAÇÕES!E1995,"")</f>
        <v>0</v>
      </c>
      <c r="D1995" s="6">
        <f ca="1">IF(AND(NEGOCIAÇÕES!P1995="",NEGOCIAÇÕES!N1995&lt;TODAY()),NEGOCIAÇÕES!D1995,"")</f>
        <v>0</v>
      </c>
      <c r="E1995" s="9">
        <f ca="1">IF(AND(NEGOCIAÇÕES!P1995="",NEGOCIAÇÕES!N1995&lt;TODAY()),NEGOCIAÇÕES!N1995,"")</f>
        <v>0</v>
      </c>
    </row>
    <row r="1996" spans="2:5" ht="31.95" hidden="1" customHeight="1" x14ac:dyDescent="0.3">
      <c r="B1996" s="6" t="str">
        <f ca="1">IF(AND(NEGOCIAÇÕES!P1996="",NEGOCIAÇÕES!N1996&lt;TODAY()),NEGOCIAÇÕES!C1996,"")</f>
        <v/>
      </c>
      <c r="C1996" s="6">
        <f ca="1">IF(AND(NEGOCIAÇÕES!P1996="",NEGOCIAÇÕES!N1996&lt;TODAY()),NEGOCIAÇÕES!E1996,"")</f>
        <v>0</v>
      </c>
      <c r="D1996" s="6">
        <f ca="1">IF(AND(NEGOCIAÇÕES!P1996="",NEGOCIAÇÕES!N1996&lt;TODAY()),NEGOCIAÇÕES!D1996,"")</f>
        <v>0</v>
      </c>
      <c r="E1996" s="9">
        <f ca="1">IF(AND(NEGOCIAÇÕES!P1996="",NEGOCIAÇÕES!N1996&lt;TODAY()),NEGOCIAÇÕES!N1996,"")</f>
        <v>0</v>
      </c>
    </row>
    <row r="1997" spans="2:5" ht="31.95" hidden="1" customHeight="1" x14ac:dyDescent="0.3">
      <c r="B1997" s="6" t="str">
        <f ca="1">IF(AND(NEGOCIAÇÕES!P1997="",NEGOCIAÇÕES!N1997&lt;TODAY()),NEGOCIAÇÕES!C1997,"")</f>
        <v/>
      </c>
      <c r="C1997" s="6">
        <f ca="1">IF(AND(NEGOCIAÇÕES!P1997="",NEGOCIAÇÕES!N1997&lt;TODAY()),NEGOCIAÇÕES!E1997,"")</f>
        <v>0</v>
      </c>
      <c r="D1997" s="6">
        <f ca="1">IF(AND(NEGOCIAÇÕES!P1997="",NEGOCIAÇÕES!N1997&lt;TODAY()),NEGOCIAÇÕES!D1997,"")</f>
        <v>0</v>
      </c>
      <c r="E1997" s="9">
        <f ca="1">IF(AND(NEGOCIAÇÕES!P1997="",NEGOCIAÇÕES!N1997&lt;TODAY()),NEGOCIAÇÕES!N1997,"")</f>
        <v>0</v>
      </c>
    </row>
    <row r="1998" spans="2:5" ht="31.95" hidden="1" customHeight="1" x14ac:dyDescent="0.3">
      <c r="B1998" s="6" t="str">
        <f ca="1">IF(AND(NEGOCIAÇÕES!P1998="",NEGOCIAÇÕES!N1998&lt;TODAY()),NEGOCIAÇÕES!C1998,"")</f>
        <v/>
      </c>
      <c r="C1998" s="6">
        <f ca="1">IF(AND(NEGOCIAÇÕES!P1998="",NEGOCIAÇÕES!N1998&lt;TODAY()),NEGOCIAÇÕES!E1998,"")</f>
        <v>0</v>
      </c>
      <c r="D1998" s="6">
        <f ca="1">IF(AND(NEGOCIAÇÕES!P1998="",NEGOCIAÇÕES!N1998&lt;TODAY()),NEGOCIAÇÕES!D1998,"")</f>
        <v>0</v>
      </c>
      <c r="E1998" s="9">
        <f ca="1">IF(AND(NEGOCIAÇÕES!P1998="",NEGOCIAÇÕES!N1998&lt;TODAY()),NEGOCIAÇÕES!N1998,"")</f>
        <v>0</v>
      </c>
    </row>
    <row r="1999" spans="2:5" ht="31.95" hidden="1" customHeight="1" x14ac:dyDescent="0.3">
      <c r="B1999" s="6" t="str">
        <f ca="1">IF(AND(NEGOCIAÇÕES!P1999="",NEGOCIAÇÕES!N1999&lt;TODAY()),NEGOCIAÇÕES!C1999,"")</f>
        <v/>
      </c>
      <c r="C1999" s="6">
        <f ca="1">IF(AND(NEGOCIAÇÕES!P1999="",NEGOCIAÇÕES!N1999&lt;TODAY()),NEGOCIAÇÕES!E1999,"")</f>
        <v>0</v>
      </c>
      <c r="D1999" s="6">
        <f ca="1">IF(AND(NEGOCIAÇÕES!P1999="",NEGOCIAÇÕES!N1999&lt;TODAY()),NEGOCIAÇÕES!D1999,"")</f>
        <v>0</v>
      </c>
      <c r="E1999" s="9">
        <f ca="1">IF(AND(NEGOCIAÇÕES!P1999="",NEGOCIAÇÕES!N1999&lt;TODAY()),NEGOCIAÇÕES!N1999,"")</f>
        <v>0</v>
      </c>
    </row>
    <row r="2000" spans="2:5" ht="31.95" hidden="1" customHeight="1" x14ac:dyDescent="0.3">
      <c r="B2000" s="6" t="str">
        <f ca="1">IF(AND(NEGOCIAÇÕES!P2000="",NEGOCIAÇÕES!N2000&lt;TODAY()),NEGOCIAÇÕES!C2000,"")</f>
        <v/>
      </c>
      <c r="C2000" s="6">
        <f ca="1">IF(AND(NEGOCIAÇÕES!P2000="",NEGOCIAÇÕES!N2000&lt;TODAY()),NEGOCIAÇÕES!E2000,"")</f>
        <v>0</v>
      </c>
      <c r="D2000" s="6">
        <f ca="1">IF(AND(NEGOCIAÇÕES!P2000="",NEGOCIAÇÕES!N2000&lt;TODAY()),NEGOCIAÇÕES!D2000,"")</f>
        <v>0</v>
      </c>
      <c r="E2000" s="9">
        <f ca="1">IF(AND(NEGOCIAÇÕES!P2000="",NEGOCIAÇÕES!N2000&lt;TODAY()),NEGOCIAÇÕES!N2000,"")</f>
        <v>0</v>
      </c>
    </row>
  </sheetData>
  <sheetProtection formatCells="0" formatColumns="0" formatRows="0" insertColumns="0" insertRows="0" insertHyperlinks="0" deleteColumns="0" deleteRows="0" sort="0" autoFilter="0" pivotTables="0"/>
  <autoFilter ref="B4:D2000" xr:uid="{ED5CF277-FACF-4A63-8FC1-CD41F5C612DD}">
    <filterColumn colId="0">
      <customFilters>
        <customFilter operator="notEqual" val=" "/>
      </customFilters>
    </filterColumn>
  </autoFilter>
  <hyperlinks>
    <hyperlink ref="A1" location="'Ordem de compra'!A1" display="'Ordem de compra'!A1" xr:uid="{D78436CA-07D5-497D-BEE0-BF6459C9AD9B}"/>
  </hyperlink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E4BC2-4709-4BC1-9ACE-8860E377022A}">
  <sheetPr codeName="Planilha8" filterMode="1"/>
  <dimension ref="A1:U2000"/>
  <sheetViews>
    <sheetView showGridLine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10.6640625" style="2" customWidth="1"/>
    <col min="2" max="3" width="15.6640625" style="2" customWidth="1"/>
    <col min="4" max="4" width="42.6640625" style="2" customWidth="1"/>
    <col min="5" max="10" width="15.6640625" style="2" customWidth="1"/>
    <col min="11" max="16384" width="8.88671875" style="2"/>
  </cols>
  <sheetData>
    <row r="1" spans="1:21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4" spans="1:21" ht="31.95" customHeight="1" x14ac:dyDescent="0.3">
      <c r="B4" s="29" t="s">
        <v>1276</v>
      </c>
      <c r="C4" s="29" t="s">
        <v>4</v>
      </c>
      <c r="D4" s="29" t="s">
        <v>1275</v>
      </c>
      <c r="E4" s="29" t="s">
        <v>5</v>
      </c>
      <c r="F4" s="12"/>
      <c r="G4" s="12"/>
      <c r="H4" s="12"/>
      <c r="I4" s="12"/>
      <c r="J4" s="12"/>
      <c r="K4" s="12"/>
      <c r="L4" s="12"/>
      <c r="M4" s="13"/>
      <c r="N4" s="12"/>
      <c r="O4" s="12"/>
    </row>
    <row r="5" spans="1:21" ht="31.95" hidden="1" customHeight="1" x14ac:dyDescent="0.3">
      <c r="B5" s="6" t="str">
        <f ca="1">IF(AND(NEGOCIAÇÕES!O5="",NEGOCIAÇÕES!N5&gt;TODAY()),NEGOCIAÇÕES!C5,"")</f>
        <v/>
      </c>
      <c r="C5" s="6" t="str">
        <f ca="1">IF(AND(NEGOCIAÇÕES!O5="",NEGOCIAÇÕES!N5&gt;TODAY()),NEGOCIAÇÕES!E5,"")</f>
        <v/>
      </c>
      <c r="D5" s="6" t="str">
        <f ca="1">IF(AND(NEGOCIAÇÕES!O5="",NEGOCIAÇÕES!N5&gt;TODAY()),NEGOCIAÇÕES!D5,"")</f>
        <v/>
      </c>
      <c r="E5" s="9" t="str">
        <f>IF(AND(NEGOCIAÇÕES!B5&lt;&gt;"",NEGOCIAÇÕES!O5=""),NEGOCIAÇÕES!N5,"")</f>
        <v/>
      </c>
      <c r="F5" s="6"/>
      <c r="G5" s="9"/>
      <c r="H5" s="9"/>
      <c r="I5" s="6"/>
      <c r="J5" s="8"/>
    </row>
    <row r="6" spans="1:21" ht="31.95" hidden="1" customHeight="1" x14ac:dyDescent="0.3">
      <c r="B6" s="6" t="str">
        <f ca="1">IF(AND(NEGOCIAÇÕES!O6="",NEGOCIAÇÕES!N6&gt;TODAY()),NEGOCIAÇÕES!C6,"")</f>
        <v/>
      </c>
      <c r="C6" s="6" t="str">
        <f ca="1">IF(AND(NEGOCIAÇÕES!O6="",NEGOCIAÇÕES!N6&gt;TODAY()),NEGOCIAÇÕES!E6,"")</f>
        <v/>
      </c>
      <c r="D6" s="6" t="str">
        <f ca="1">IF(AND(NEGOCIAÇÕES!O6="",NEGOCIAÇÕES!N6&gt;TODAY()),NEGOCIAÇÕES!D6,"")</f>
        <v/>
      </c>
      <c r="E6" s="9" t="str">
        <f>IF(AND(NEGOCIAÇÕES!B6&lt;&gt;"",NEGOCIAÇÕES!O6=""),NEGOCIAÇÕES!N6,"")</f>
        <v/>
      </c>
    </row>
    <row r="7" spans="1:21" ht="31.95" hidden="1" customHeight="1" x14ac:dyDescent="0.3">
      <c r="B7" s="6" t="str">
        <f ca="1">IF(AND(NEGOCIAÇÕES!O7="",NEGOCIAÇÕES!N7&gt;TODAY()),NEGOCIAÇÕES!C7,"")</f>
        <v/>
      </c>
      <c r="C7" s="6" t="str">
        <f ca="1">IF(AND(NEGOCIAÇÕES!O7="",NEGOCIAÇÕES!N7&gt;TODAY()),NEGOCIAÇÕES!E7,"")</f>
        <v/>
      </c>
      <c r="D7" s="6" t="str">
        <f ca="1">IF(AND(NEGOCIAÇÕES!O7="",NEGOCIAÇÕES!N7&gt;TODAY()),NEGOCIAÇÕES!D7,"")</f>
        <v/>
      </c>
      <c r="E7" s="9" t="str">
        <f>IF(AND(NEGOCIAÇÕES!B7&lt;&gt;"",NEGOCIAÇÕES!O7=""),NEGOCIAÇÕES!N7,"")</f>
        <v/>
      </c>
    </row>
    <row r="8" spans="1:21" ht="31.95" hidden="1" customHeight="1" x14ac:dyDescent="0.3">
      <c r="B8" s="6" t="str">
        <f ca="1">IF(AND(NEGOCIAÇÕES!O8="",NEGOCIAÇÕES!N8&gt;TODAY()),NEGOCIAÇÕES!C8,"")</f>
        <v/>
      </c>
      <c r="C8" s="6" t="str">
        <f ca="1">IF(AND(NEGOCIAÇÕES!O8="",NEGOCIAÇÕES!N8&gt;TODAY()),NEGOCIAÇÕES!E8,"")</f>
        <v/>
      </c>
      <c r="D8" s="6" t="str">
        <f ca="1">IF(AND(NEGOCIAÇÕES!O8="",NEGOCIAÇÕES!N8&gt;TODAY()),NEGOCIAÇÕES!D8,"")</f>
        <v/>
      </c>
      <c r="E8" s="9" t="str">
        <f>IF(AND(NEGOCIAÇÕES!B8&lt;&gt;"",NEGOCIAÇÕES!O8=""),NEGOCIAÇÕES!N8,"")</f>
        <v/>
      </c>
    </row>
    <row r="9" spans="1:21" ht="31.95" hidden="1" customHeight="1" x14ac:dyDescent="0.3">
      <c r="B9" s="6" t="str">
        <f ca="1">IF(AND(NEGOCIAÇÕES!O9="",NEGOCIAÇÕES!N9&gt;TODAY()),NEGOCIAÇÕES!C9,"")</f>
        <v/>
      </c>
      <c r="C9" s="6" t="str">
        <f ca="1">IF(AND(NEGOCIAÇÕES!O9="",NEGOCIAÇÕES!N9&gt;TODAY()),NEGOCIAÇÕES!E9,"")</f>
        <v/>
      </c>
      <c r="D9" s="6" t="str">
        <f ca="1">IF(AND(NEGOCIAÇÕES!O9="",NEGOCIAÇÕES!N9&gt;TODAY()),NEGOCIAÇÕES!D9,"")</f>
        <v/>
      </c>
      <c r="E9" s="9" t="str">
        <f>IF(AND(NEGOCIAÇÕES!B9&lt;&gt;"",NEGOCIAÇÕES!O9=""),NEGOCIAÇÕES!N9,"")</f>
        <v/>
      </c>
    </row>
    <row r="10" spans="1:21" ht="31.95" hidden="1" customHeight="1" x14ac:dyDescent="0.3">
      <c r="B10" s="6" t="str">
        <f ca="1">IF(AND(NEGOCIAÇÕES!O10="",NEGOCIAÇÕES!N10&gt;TODAY()),NEGOCIAÇÕES!C10,"")</f>
        <v/>
      </c>
      <c r="C10" s="6" t="str">
        <f ca="1">IF(AND(NEGOCIAÇÕES!O10="",NEGOCIAÇÕES!N10&gt;TODAY()),NEGOCIAÇÕES!E10,"")</f>
        <v/>
      </c>
      <c r="D10" s="6" t="str">
        <f ca="1">IF(AND(NEGOCIAÇÕES!O10="",NEGOCIAÇÕES!N10&gt;TODAY()),NEGOCIAÇÕES!D10,"")</f>
        <v/>
      </c>
      <c r="E10" s="9" t="str">
        <f>IF(AND(NEGOCIAÇÕES!B10&lt;&gt;"",NEGOCIAÇÕES!O10=""),NEGOCIAÇÕES!N10,"")</f>
        <v/>
      </c>
    </row>
    <row r="11" spans="1:21" ht="31.95" hidden="1" customHeight="1" x14ac:dyDescent="0.3">
      <c r="B11" s="6" t="str">
        <f ca="1">IF(AND(NEGOCIAÇÕES!O11="",NEGOCIAÇÕES!N11&gt;TODAY()),NEGOCIAÇÕES!C11,"")</f>
        <v/>
      </c>
      <c r="C11" s="6" t="str">
        <f ca="1">IF(AND(NEGOCIAÇÕES!O11="",NEGOCIAÇÕES!N11&gt;TODAY()),NEGOCIAÇÕES!E11,"")</f>
        <v/>
      </c>
      <c r="D11" s="6" t="str">
        <f ca="1">IF(AND(NEGOCIAÇÕES!O11="",NEGOCIAÇÕES!N11&gt;TODAY()),NEGOCIAÇÕES!D11,"")</f>
        <v/>
      </c>
      <c r="E11" s="9" t="str">
        <f>IF(AND(NEGOCIAÇÕES!B11&lt;&gt;"",NEGOCIAÇÕES!O11=""),NEGOCIAÇÕES!N11,"")</f>
        <v/>
      </c>
    </row>
    <row r="12" spans="1:21" ht="31.95" hidden="1" customHeight="1" x14ac:dyDescent="0.3">
      <c r="B12" s="6" t="str">
        <f ca="1">IF(AND(NEGOCIAÇÕES!O12="",NEGOCIAÇÕES!N12&gt;TODAY()),NEGOCIAÇÕES!C12,"")</f>
        <v/>
      </c>
      <c r="C12" s="6" t="str">
        <f ca="1">IF(AND(NEGOCIAÇÕES!O12="",NEGOCIAÇÕES!N12&gt;TODAY()),NEGOCIAÇÕES!E12,"")</f>
        <v/>
      </c>
      <c r="D12" s="6" t="str">
        <f ca="1">IF(AND(NEGOCIAÇÕES!O12="",NEGOCIAÇÕES!N12&gt;TODAY()),NEGOCIAÇÕES!D12,"")</f>
        <v/>
      </c>
      <c r="E12" s="9" t="str">
        <f>IF(AND(NEGOCIAÇÕES!B12&lt;&gt;"",NEGOCIAÇÕES!O12=""),NEGOCIAÇÕES!N12,"")</f>
        <v/>
      </c>
    </row>
    <row r="13" spans="1:21" ht="31.95" hidden="1" customHeight="1" x14ac:dyDescent="0.3">
      <c r="B13" s="6" t="str">
        <f ca="1">IF(AND(NEGOCIAÇÕES!O13="",NEGOCIAÇÕES!N13&gt;TODAY()),NEGOCIAÇÕES!C13,"")</f>
        <v/>
      </c>
      <c r="C13" s="6" t="str">
        <f ca="1">IF(AND(NEGOCIAÇÕES!O13="",NEGOCIAÇÕES!N13&gt;TODAY()),NEGOCIAÇÕES!E13,"")</f>
        <v/>
      </c>
      <c r="D13" s="6" t="str">
        <f ca="1">IF(AND(NEGOCIAÇÕES!O13="",NEGOCIAÇÕES!N13&gt;TODAY()),NEGOCIAÇÕES!D13,"")</f>
        <v/>
      </c>
      <c r="E13" s="9" t="str">
        <f>IF(AND(NEGOCIAÇÕES!B13&lt;&gt;"",NEGOCIAÇÕES!O13=""),NEGOCIAÇÕES!N13,"")</f>
        <v/>
      </c>
    </row>
    <row r="14" spans="1:21" ht="31.95" hidden="1" customHeight="1" x14ac:dyDescent="0.3">
      <c r="B14" s="6" t="str">
        <f ca="1">IF(AND(NEGOCIAÇÕES!O14="",NEGOCIAÇÕES!N14&gt;TODAY()),NEGOCIAÇÕES!C14,"")</f>
        <v/>
      </c>
      <c r="C14" s="6" t="str">
        <f ca="1">IF(AND(NEGOCIAÇÕES!O14="",NEGOCIAÇÕES!N14&gt;TODAY()),NEGOCIAÇÕES!E14,"")</f>
        <v/>
      </c>
      <c r="D14" s="6" t="str">
        <f ca="1">IF(AND(NEGOCIAÇÕES!O14="",NEGOCIAÇÕES!N14&gt;TODAY()),NEGOCIAÇÕES!D14,"")</f>
        <v/>
      </c>
      <c r="E14" s="9" t="str">
        <f>IF(AND(NEGOCIAÇÕES!B14&lt;&gt;"",NEGOCIAÇÕES!O14=""),NEGOCIAÇÕES!N14,"")</f>
        <v/>
      </c>
    </row>
    <row r="15" spans="1:21" ht="31.95" hidden="1" customHeight="1" x14ac:dyDescent="0.3">
      <c r="B15" s="6" t="str">
        <f ca="1">IF(AND(NEGOCIAÇÕES!O15="",NEGOCIAÇÕES!N15&gt;TODAY()),NEGOCIAÇÕES!C15,"")</f>
        <v/>
      </c>
      <c r="C15" s="6" t="str">
        <f ca="1">IF(AND(NEGOCIAÇÕES!O15="",NEGOCIAÇÕES!N15&gt;TODAY()),NEGOCIAÇÕES!E15,"")</f>
        <v/>
      </c>
      <c r="D15" s="6" t="str">
        <f ca="1">IF(AND(NEGOCIAÇÕES!O15="",NEGOCIAÇÕES!N15&gt;TODAY()),NEGOCIAÇÕES!D15,"")</f>
        <v/>
      </c>
      <c r="E15" s="9" t="str">
        <f>IF(AND(NEGOCIAÇÕES!B15&lt;&gt;"",NEGOCIAÇÕES!O15=""),NEGOCIAÇÕES!N15,"")</f>
        <v/>
      </c>
    </row>
    <row r="16" spans="1:21" ht="31.95" hidden="1" customHeight="1" x14ac:dyDescent="0.3">
      <c r="B16" s="6" t="str">
        <f ca="1">IF(AND(NEGOCIAÇÕES!O16="",NEGOCIAÇÕES!N16&gt;TODAY()),NEGOCIAÇÕES!C16,"")</f>
        <v/>
      </c>
      <c r="C16" s="6" t="str">
        <f ca="1">IF(AND(NEGOCIAÇÕES!O16="",NEGOCIAÇÕES!N16&gt;TODAY()),NEGOCIAÇÕES!E16,"")</f>
        <v/>
      </c>
      <c r="D16" s="6" t="str">
        <f ca="1">IF(AND(NEGOCIAÇÕES!O16="",NEGOCIAÇÕES!N16&gt;TODAY()),NEGOCIAÇÕES!D16,"")</f>
        <v/>
      </c>
      <c r="E16" s="9" t="str">
        <f>IF(AND(NEGOCIAÇÕES!B16&lt;&gt;"",NEGOCIAÇÕES!O16=""),NEGOCIAÇÕES!N16,"")</f>
        <v/>
      </c>
    </row>
    <row r="17" spans="2:5" ht="31.95" hidden="1" customHeight="1" x14ac:dyDescent="0.3">
      <c r="B17" s="6" t="str">
        <f ca="1">IF(AND(NEGOCIAÇÕES!O17="",NEGOCIAÇÕES!N17&gt;TODAY()),NEGOCIAÇÕES!C17,"")</f>
        <v/>
      </c>
      <c r="C17" s="6" t="str">
        <f ca="1">IF(AND(NEGOCIAÇÕES!O17="",NEGOCIAÇÕES!N17&gt;TODAY()),NEGOCIAÇÕES!E17,"")</f>
        <v/>
      </c>
      <c r="D17" s="6" t="str">
        <f ca="1">IF(AND(NEGOCIAÇÕES!O17="",NEGOCIAÇÕES!N17&gt;TODAY()),NEGOCIAÇÕES!D17,"")</f>
        <v/>
      </c>
      <c r="E17" s="9" t="str">
        <f>IF(AND(NEGOCIAÇÕES!B17&lt;&gt;"",NEGOCIAÇÕES!O17=""),NEGOCIAÇÕES!N17,"")</f>
        <v/>
      </c>
    </row>
    <row r="18" spans="2:5" ht="31.95" hidden="1" customHeight="1" x14ac:dyDescent="0.3">
      <c r="B18" s="6" t="str">
        <f ca="1">IF(AND(NEGOCIAÇÕES!O18="",NEGOCIAÇÕES!N18&gt;TODAY()),NEGOCIAÇÕES!C18,"")</f>
        <v/>
      </c>
      <c r="C18" s="6" t="str">
        <f ca="1">IF(AND(NEGOCIAÇÕES!O18="",NEGOCIAÇÕES!N18&gt;TODAY()),NEGOCIAÇÕES!E18,"")</f>
        <v/>
      </c>
      <c r="D18" s="6" t="str">
        <f ca="1">IF(AND(NEGOCIAÇÕES!O18="",NEGOCIAÇÕES!N18&gt;TODAY()),NEGOCIAÇÕES!D18,"")</f>
        <v/>
      </c>
      <c r="E18" s="9" t="str">
        <f>IF(AND(NEGOCIAÇÕES!B18&lt;&gt;"",NEGOCIAÇÕES!O18=""),NEGOCIAÇÕES!N18,"")</f>
        <v/>
      </c>
    </row>
    <row r="19" spans="2:5" ht="31.95" hidden="1" customHeight="1" x14ac:dyDescent="0.3">
      <c r="B19" s="6" t="str">
        <f ca="1">IF(AND(NEGOCIAÇÕES!O19="",NEGOCIAÇÕES!N19&gt;TODAY()),NEGOCIAÇÕES!C19,"")</f>
        <v/>
      </c>
      <c r="C19" s="6" t="str">
        <f ca="1">IF(AND(NEGOCIAÇÕES!O19="",NEGOCIAÇÕES!N19&gt;TODAY()),NEGOCIAÇÕES!E19,"")</f>
        <v/>
      </c>
      <c r="D19" s="6" t="str">
        <f ca="1">IF(AND(NEGOCIAÇÕES!O19="",NEGOCIAÇÕES!N19&gt;TODAY()),NEGOCIAÇÕES!D19,"")</f>
        <v/>
      </c>
      <c r="E19" s="9" t="str">
        <f>IF(AND(NEGOCIAÇÕES!B19&lt;&gt;"",NEGOCIAÇÕES!O19=""),NEGOCIAÇÕES!N19,"")</f>
        <v/>
      </c>
    </row>
    <row r="20" spans="2:5" ht="31.95" hidden="1" customHeight="1" x14ac:dyDescent="0.3">
      <c r="B20" s="6" t="str">
        <f ca="1">IF(AND(NEGOCIAÇÕES!O20="",NEGOCIAÇÕES!N20&gt;TODAY()),NEGOCIAÇÕES!C20,"")</f>
        <v/>
      </c>
      <c r="C20" s="6" t="str">
        <f ca="1">IF(AND(NEGOCIAÇÕES!O20="",NEGOCIAÇÕES!N20&gt;TODAY()),NEGOCIAÇÕES!E20,"")</f>
        <v/>
      </c>
      <c r="D20" s="6" t="str">
        <f ca="1">IF(AND(NEGOCIAÇÕES!O20="",NEGOCIAÇÕES!N20&gt;TODAY()),NEGOCIAÇÕES!D20,"")</f>
        <v/>
      </c>
      <c r="E20" s="9" t="str">
        <f>IF(AND(NEGOCIAÇÕES!B20&lt;&gt;"",NEGOCIAÇÕES!O20=""),NEGOCIAÇÕES!N20,"")</f>
        <v/>
      </c>
    </row>
    <row r="21" spans="2:5" ht="31.95" hidden="1" customHeight="1" x14ac:dyDescent="0.3">
      <c r="B21" s="6" t="str">
        <f ca="1">IF(AND(NEGOCIAÇÕES!O21="",NEGOCIAÇÕES!N21&gt;TODAY()),NEGOCIAÇÕES!C21,"")</f>
        <v/>
      </c>
      <c r="C21" s="6" t="str">
        <f ca="1">IF(AND(NEGOCIAÇÕES!O21="",NEGOCIAÇÕES!N21&gt;TODAY()),NEGOCIAÇÕES!E21,"")</f>
        <v/>
      </c>
      <c r="D21" s="6" t="str">
        <f ca="1">IF(AND(NEGOCIAÇÕES!O21="",NEGOCIAÇÕES!N21&gt;TODAY()),NEGOCIAÇÕES!D21,"")</f>
        <v/>
      </c>
      <c r="E21" s="9" t="str">
        <f>IF(AND(NEGOCIAÇÕES!B21&lt;&gt;"",NEGOCIAÇÕES!O21=""),NEGOCIAÇÕES!N21,"")</f>
        <v/>
      </c>
    </row>
    <row r="22" spans="2:5" ht="31.95" hidden="1" customHeight="1" x14ac:dyDescent="0.3">
      <c r="B22" s="6" t="str">
        <f ca="1">IF(AND(NEGOCIAÇÕES!O22="",NEGOCIAÇÕES!N22&gt;TODAY()),NEGOCIAÇÕES!C22,"")</f>
        <v/>
      </c>
      <c r="C22" s="6" t="str">
        <f ca="1">IF(AND(NEGOCIAÇÕES!O22="",NEGOCIAÇÕES!N22&gt;TODAY()),NEGOCIAÇÕES!E22,"")</f>
        <v/>
      </c>
      <c r="D22" s="6" t="str">
        <f ca="1">IF(AND(NEGOCIAÇÕES!O22="",NEGOCIAÇÕES!N22&gt;TODAY()),NEGOCIAÇÕES!D22,"")</f>
        <v/>
      </c>
      <c r="E22" s="9" t="str">
        <f>IF(AND(NEGOCIAÇÕES!B22&lt;&gt;"",NEGOCIAÇÕES!O22=""),NEGOCIAÇÕES!N22,"")</f>
        <v/>
      </c>
    </row>
    <row r="23" spans="2:5" ht="31.95" hidden="1" customHeight="1" x14ac:dyDescent="0.3">
      <c r="B23" s="6" t="str">
        <f ca="1">IF(AND(NEGOCIAÇÕES!O23="",NEGOCIAÇÕES!N23&gt;TODAY()),NEGOCIAÇÕES!C23,"")</f>
        <v/>
      </c>
      <c r="C23" s="6" t="str">
        <f ca="1">IF(AND(NEGOCIAÇÕES!O23="",NEGOCIAÇÕES!N23&gt;TODAY()),NEGOCIAÇÕES!E23,"")</f>
        <v/>
      </c>
      <c r="D23" s="6" t="str">
        <f ca="1">IF(AND(NEGOCIAÇÕES!O23="",NEGOCIAÇÕES!N23&gt;TODAY()),NEGOCIAÇÕES!D23,"")</f>
        <v/>
      </c>
      <c r="E23" s="9" t="str">
        <f>IF(AND(NEGOCIAÇÕES!B23&lt;&gt;"",NEGOCIAÇÕES!O23=""),NEGOCIAÇÕES!N23,"")</f>
        <v/>
      </c>
    </row>
    <row r="24" spans="2:5" ht="31.95" hidden="1" customHeight="1" x14ac:dyDescent="0.3">
      <c r="B24" s="6" t="str">
        <f ca="1">IF(AND(NEGOCIAÇÕES!O24="",NEGOCIAÇÕES!N24&gt;TODAY()),NEGOCIAÇÕES!C24,"")</f>
        <v/>
      </c>
      <c r="C24" s="6" t="str">
        <f ca="1">IF(AND(NEGOCIAÇÕES!O24="",NEGOCIAÇÕES!N24&gt;TODAY()),NEGOCIAÇÕES!E24,"")</f>
        <v/>
      </c>
      <c r="D24" s="6" t="str">
        <f ca="1">IF(AND(NEGOCIAÇÕES!O24="",NEGOCIAÇÕES!N24&gt;TODAY()),NEGOCIAÇÕES!D24,"")</f>
        <v/>
      </c>
      <c r="E24" s="9" t="str">
        <f>IF(AND(NEGOCIAÇÕES!B24&lt;&gt;"",NEGOCIAÇÕES!O24=""),NEGOCIAÇÕES!N24,"")</f>
        <v/>
      </c>
    </row>
    <row r="25" spans="2:5" ht="31.95" hidden="1" customHeight="1" x14ac:dyDescent="0.3">
      <c r="B25" s="6" t="str">
        <f ca="1">IF(AND(NEGOCIAÇÕES!O25="",NEGOCIAÇÕES!N25&gt;TODAY()),NEGOCIAÇÕES!C25,"")</f>
        <v/>
      </c>
      <c r="C25" s="6" t="str">
        <f ca="1">IF(AND(NEGOCIAÇÕES!O25="",NEGOCIAÇÕES!N25&gt;TODAY()),NEGOCIAÇÕES!E25,"")</f>
        <v/>
      </c>
      <c r="D25" s="6" t="str">
        <f ca="1">IF(AND(NEGOCIAÇÕES!O25="",NEGOCIAÇÕES!N25&gt;TODAY()),NEGOCIAÇÕES!D25,"")</f>
        <v/>
      </c>
      <c r="E25" s="9" t="str">
        <f>IF(AND(NEGOCIAÇÕES!B25&lt;&gt;"",NEGOCIAÇÕES!O25=""),NEGOCIAÇÕES!N25,"")</f>
        <v/>
      </c>
    </row>
    <row r="26" spans="2:5" ht="31.95" hidden="1" customHeight="1" x14ac:dyDescent="0.3">
      <c r="B26" s="6" t="str">
        <f ca="1">IF(AND(NEGOCIAÇÕES!O26="",NEGOCIAÇÕES!N26&gt;TODAY()),NEGOCIAÇÕES!C26,"")</f>
        <v/>
      </c>
      <c r="C26" s="6" t="str">
        <f ca="1">IF(AND(NEGOCIAÇÕES!O26="",NEGOCIAÇÕES!N26&gt;TODAY()),NEGOCIAÇÕES!E26,"")</f>
        <v/>
      </c>
      <c r="D26" s="6" t="str">
        <f ca="1">IF(AND(NEGOCIAÇÕES!O26="",NEGOCIAÇÕES!N26&gt;TODAY()),NEGOCIAÇÕES!D26,"")</f>
        <v/>
      </c>
      <c r="E26" s="9" t="str">
        <f>IF(AND(NEGOCIAÇÕES!B26&lt;&gt;"",NEGOCIAÇÕES!O26=""),NEGOCIAÇÕES!N26,"")</f>
        <v/>
      </c>
    </row>
    <row r="27" spans="2:5" ht="31.95" hidden="1" customHeight="1" x14ac:dyDescent="0.3">
      <c r="B27" s="6" t="str">
        <f ca="1">IF(AND(NEGOCIAÇÕES!O27="",NEGOCIAÇÕES!N27&gt;TODAY()),NEGOCIAÇÕES!C27,"")</f>
        <v/>
      </c>
      <c r="C27" s="6" t="str">
        <f ca="1">IF(AND(NEGOCIAÇÕES!O27="",NEGOCIAÇÕES!N27&gt;TODAY()),NEGOCIAÇÕES!E27,"")</f>
        <v/>
      </c>
      <c r="D27" s="6" t="str">
        <f ca="1">IF(AND(NEGOCIAÇÕES!O27="",NEGOCIAÇÕES!N27&gt;TODAY()),NEGOCIAÇÕES!D27,"")</f>
        <v/>
      </c>
      <c r="E27" s="9" t="str">
        <f>IF(AND(NEGOCIAÇÕES!B27&lt;&gt;"",NEGOCIAÇÕES!O27=""),NEGOCIAÇÕES!N27,"")</f>
        <v/>
      </c>
    </row>
    <row r="28" spans="2:5" ht="31.95" hidden="1" customHeight="1" x14ac:dyDescent="0.3">
      <c r="B28" s="6" t="str">
        <f ca="1">IF(AND(NEGOCIAÇÕES!O28="",NEGOCIAÇÕES!N28&gt;TODAY()),NEGOCIAÇÕES!C28,"")</f>
        <v/>
      </c>
      <c r="C28" s="6" t="str">
        <f ca="1">IF(AND(NEGOCIAÇÕES!O28="",NEGOCIAÇÕES!N28&gt;TODAY()),NEGOCIAÇÕES!E28,"")</f>
        <v/>
      </c>
      <c r="D28" s="6" t="str">
        <f ca="1">IF(AND(NEGOCIAÇÕES!O28="",NEGOCIAÇÕES!N28&gt;TODAY()),NEGOCIAÇÕES!D28,"")</f>
        <v/>
      </c>
      <c r="E28" s="9" t="str">
        <f>IF(AND(NEGOCIAÇÕES!B28&lt;&gt;"",NEGOCIAÇÕES!O28=""),NEGOCIAÇÕES!N28,"")</f>
        <v/>
      </c>
    </row>
    <row r="29" spans="2:5" ht="31.95" hidden="1" customHeight="1" x14ac:dyDescent="0.3">
      <c r="B29" s="6" t="str">
        <f ca="1">IF(AND(NEGOCIAÇÕES!O29="",NEGOCIAÇÕES!N29&gt;TODAY()),NEGOCIAÇÕES!C29,"")</f>
        <v/>
      </c>
      <c r="C29" s="6" t="str">
        <f ca="1">IF(AND(NEGOCIAÇÕES!O29="",NEGOCIAÇÕES!N29&gt;TODAY()),NEGOCIAÇÕES!E29,"")</f>
        <v/>
      </c>
      <c r="D29" s="6" t="str">
        <f ca="1">IF(AND(NEGOCIAÇÕES!O29="",NEGOCIAÇÕES!N29&gt;TODAY()),NEGOCIAÇÕES!D29,"")</f>
        <v/>
      </c>
      <c r="E29" s="9" t="str">
        <f>IF(AND(NEGOCIAÇÕES!B29&lt;&gt;"",NEGOCIAÇÕES!O29=""),NEGOCIAÇÕES!N29,"")</f>
        <v/>
      </c>
    </row>
    <row r="30" spans="2:5" ht="31.95" hidden="1" customHeight="1" x14ac:dyDescent="0.3">
      <c r="B30" s="6" t="str">
        <f ca="1">IF(AND(NEGOCIAÇÕES!O30="",NEGOCIAÇÕES!N30&gt;TODAY()),NEGOCIAÇÕES!C30,"")</f>
        <v/>
      </c>
      <c r="C30" s="6" t="str">
        <f ca="1">IF(AND(NEGOCIAÇÕES!O30="",NEGOCIAÇÕES!N30&gt;TODAY()),NEGOCIAÇÕES!E30,"")</f>
        <v/>
      </c>
      <c r="D30" s="6" t="str">
        <f ca="1">IF(AND(NEGOCIAÇÕES!O30="",NEGOCIAÇÕES!N30&gt;TODAY()),NEGOCIAÇÕES!D30,"")</f>
        <v/>
      </c>
      <c r="E30" s="9" t="str">
        <f>IF(AND(NEGOCIAÇÕES!B30&lt;&gt;"",NEGOCIAÇÕES!O30=""),NEGOCIAÇÕES!N30,"")</f>
        <v/>
      </c>
    </row>
    <row r="31" spans="2:5" ht="31.95" hidden="1" customHeight="1" x14ac:dyDescent="0.3">
      <c r="B31" s="6" t="str">
        <f ca="1">IF(AND(NEGOCIAÇÕES!O31="",NEGOCIAÇÕES!N31&gt;TODAY()),NEGOCIAÇÕES!C31,"")</f>
        <v/>
      </c>
      <c r="C31" s="6" t="str">
        <f ca="1">IF(AND(NEGOCIAÇÕES!O31="",NEGOCIAÇÕES!N31&gt;TODAY()),NEGOCIAÇÕES!E31,"")</f>
        <v/>
      </c>
      <c r="D31" s="6" t="str">
        <f ca="1">IF(AND(NEGOCIAÇÕES!O31="",NEGOCIAÇÕES!N31&gt;TODAY()),NEGOCIAÇÕES!D31,"")</f>
        <v/>
      </c>
      <c r="E31" s="9" t="str">
        <f>IF(AND(NEGOCIAÇÕES!B31&lt;&gt;"",NEGOCIAÇÕES!O31=""),NEGOCIAÇÕES!N31,"")</f>
        <v/>
      </c>
    </row>
    <row r="32" spans="2:5" ht="31.95" hidden="1" customHeight="1" x14ac:dyDescent="0.3">
      <c r="B32" s="6" t="str">
        <f ca="1">IF(AND(NEGOCIAÇÕES!O32="",NEGOCIAÇÕES!N32&gt;TODAY()),NEGOCIAÇÕES!C32,"")</f>
        <v/>
      </c>
      <c r="C32" s="6" t="str">
        <f ca="1">IF(AND(NEGOCIAÇÕES!O32="",NEGOCIAÇÕES!N32&gt;TODAY()),NEGOCIAÇÕES!E32,"")</f>
        <v/>
      </c>
      <c r="D32" s="6" t="str">
        <f ca="1">IF(AND(NEGOCIAÇÕES!O32="",NEGOCIAÇÕES!N32&gt;TODAY()),NEGOCIAÇÕES!D32,"")</f>
        <v/>
      </c>
      <c r="E32" s="9" t="str">
        <f>IF(AND(NEGOCIAÇÕES!B32&lt;&gt;"",NEGOCIAÇÕES!O32=""),NEGOCIAÇÕES!N32,"")</f>
        <v/>
      </c>
    </row>
    <row r="33" spans="2:5" ht="31.95" hidden="1" customHeight="1" x14ac:dyDescent="0.3">
      <c r="B33" s="6" t="str">
        <f ca="1">IF(AND(NEGOCIAÇÕES!O33="",NEGOCIAÇÕES!N33&gt;TODAY()),NEGOCIAÇÕES!C33,"")</f>
        <v/>
      </c>
      <c r="C33" s="6" t="str">
        <f ca="1">IF(AND(NEGOCIAÇÕES!O33="",NEGOCIAÇÕES!N33&gt;TODAY()),NEGOCIAÇÕES!E33,"")</f>
        <v/>
      </c>
      <c r="D33" s="6" t="str">
        <f ca="1">IF(AND(NEGOCIAÇÕES!O33="",NEGOCIAÇÕES!N33&gt;TODAY()),NEGOCIAÇÕES!D33,"")</f>
        <v/>
      </c>
      <c r="E33" s="9" t="str">
        <f>IF(AND(NEGOCIAÇÕES!B33&lt;&gt;"",NEGOCIAÇÕES!O33=""),NEGOCIAÇÕES!N33,"")</f>
        <v/>
      </c>
    </row>
    <row r="34" spans="2:5" ht="31.95" hidden="1" customHeight="1" x14ac:dyDescent="0.3">
      <c r="B34" s="6" t="str">
        <f ca="1">IF(AND(NEGOCIAÇÕES!O34="",NEGOCIAÇÕES!N34&gt;TODAY()),NEGOCIAÇÕES!C34,"")</f>
        <v/>
      </c>
      <c r="C34" s="6" t="str">
        <f ca="1">IF(AND(NEGOCIAÇÕES!O34="",NEGOCIAÇÕES!N34&gt;TODAY()),NEGOCIAÇÕES!E34,"")</f>
        <v/>
      </c>
      <c r="D34" s="6" t="str">
        <f ca="1">IF(AND(NEGOCIAÇÕES!O34="",NEGOCIAÇÕES!N34&gt;TODAY()),NEGOCIAÇÕES!D34,"")</f>
        <v/>
      </c>
      <c r="E34" s="9" t="str">
        <f>IF(AND(NEGOCIAÇÕES!B34&lt;&gt;"",NEGOCIAÇÕES!O34=""),NEGOCIAÇÕES!N34,"")</f>
        <v/>
      </c>
    </row>
    <row r="35" spans="2:5" ht="31.95" hidden="1" customHeight="1" x14ac:dyDescent="0.3">
      <c r="B35" s="6" t="str">
        <f ca="1">IF(AND(NEGOCIAÇÕES!O35="",NEGOCIAÇÕES!N35&gt;TODAY()),NEGOCIAÇÕES!C35,"")</f>
        <v/>
      </c>
      <c r="C35" s="6" t="str">
        <f ca="1">IF(AND(NEGOCIAÇÕES!O35="",NEGOCIAÇÕES!N35&gt;TODAY()),NEGOCIAÇÕES!E35,"")</f>
        <v/>
      </c>
      <c r="D35" s="6" t="str">
        <f ca="1">IF(AND(NEGOCIAÇÕES!O35="",NEGOCIAÇÕES!N35&gt;TODAY()),NEGOCIAÇÕES!D35,"")</f>
        <v/>
      </c>
      <c r="E35" s="9" t="str">
        <f>IF(AND(NEGOCIAÇÕES!B35&lt;&gt;"",NEGOCIAÇÕES!O35=""),NEGOCIAÇÕES!N35,"")</f>
        <v/>
      </c>
    </row>
    <row r="36" spans="2:5" ht="31.95" hidden="1" customHeight="1" x14ac:dyDescent="0.3">
      <c r="B36" s="6" t="str">
        <f ca="1">IF(AND(NEGOCIAÇÕES!O36="",NEGOCIAÇÕES!N36&gt;TODAY()),NEGOCIAÇÕES!C36,"")</f>
        <v/>
      </c>
      <c r="C36" s="6" t="str">
        <f ca="1">IF(AND(NEGOCIAÇÕES!O36="",NEGOCIAÇÕES!N36&gt;TODAY()),NEGOCIAÇÕES!E36,"")</f>
        <v/>
      </c>
      <c r="D36" s="6" t="str">
        <f ca="1">IF(AND(NEGOCIAÇÕES!O36="",NEGOCIAÇÕES!N36&gt;TODAY()),NEGOCIAÇÕES!D36,"")</f>
        <v/>
      </c>
      <c r="E36" s="9" t="str">
        <f>IF(AND(NEGOCIAÇÕES!B36&lt;&gt;"",NEGOCIAÇÕES!O36=""),NEGOCIAÇÕES!N36,"")</f>
        <v/>
      </c>
    </row>
    <row r="37" spans="2:5" ht="31.95" hidden="1" customHeight="1" x14ac:dyDescent="0.3">
      <c r="B37" s="6" t="str">
        <f ca="1">IF(AND(NEGOCIAÇÕES!O37="",NEGOCIAÇÕES!N37&gt;TODAY()),NEGOCIAÇÕES!C37,"")</f>
        <v/>
      </c>
      <c r="C37" s="6" t="str">
        <f ca="1">IF(AND(NEGOCIAÇÕES!O37="",NEGOCIAÇÕES!N37&gt;TODAY()),NEGOCIAÇÕES!E37,"")</f>
        <v/>
      </c>
      <c r="D37" s="6" t="str">
        <f ca="1">IF(AND(NEGOCIAÇÕES!O37="",NEGOCIAÇÕES!N37&gt;TODAY()),NEGOCIAÇÕES!D37,"")</f>
        <v/>
      </c>
      <c r="E37" s="9" t="str">
        <f>IF(AND(NEGOCIAÇÕES!B37&lt;&gt;"",NEGOCIAÇÕES!O37=""),NEGOCIAÇÕES!N37,"")</f>
        <v/>
      </c>
    </row>
    <row r="38" spans="2:5" ht="31.95" hidden="1" customHeight="1" x14ac:dyDescent="0.3">
      <c r="B38" s="6" t="str">
        <f ca="1">IF(AND(NEGOCIAÇÕES!O38="",NEGOCIAÇÕES!N38&gt;TODAY()),NEGOCIAÇÕES!C38,"")</f>
        <v/>
      </c>
      <c r="C38" s="6" t="str">
        <f ca="1">IF(AND(NEGOCIAÇÕES!O38="",NEGOCIAÇÕES!N38&gt;TODAY()),NEGOCIAÇÕES!E38,"")</f>
        <v/>
      </c>
      <c r="D38" s="6" t="str">
        <f ca="1">IF(AND(NEGOCIAÇÕES!O38="",NEGOCIAÇÕES!N38&gt;TODAY()),NEGOCIAÇÕES!D38,"")</f>
        <v/>
      </c>
      <c r="E38" s="9" t="str">
        <f>IF(AND(NEGOCIAÇÕES!B38&lt;&gt;"",NEGOCIAÇÕES!O38=""),NEGOCIAÇÕES!N38,"")</f>
        <v/>
      </c>
    </row>
    <row r="39" spans="2:5" ht="31.95" hidden="1" customHeight="1" x14ac:dyDescent="0.3">
      <c r="B39" s="6" t="str">
        <f ca="1">IF(AND(NEGOCIAÇÕES!O39="",NEGOCIAÇÕES!N39&gt;TODAY()),NEGOCIAÇÕES!C39,"")</f>
        <v/>
      </c>
      <c r="C39" s="6" t="str">
        <f ca="1">IF(AND(NEGOCIAÇÕES!O39="",NEGOCIAÇÕES!N39&gt;TODAY()),NEGOCIAÇÕES!E39,"")</f>
        <v/>
      </c>
      <c r="D39" s="6" t="str">
        <f ca="1">IF(AND(NEGOCIAÇÕES!O39="",NEGOCIAÇÕES!N39&gt;TODAY()),NEGOCIAÇÕES!D39,"")</f>
        <v/>
      </c>
      <c r="E39" s="9" t="str">
        <f>IF(AND(NEGOCIAÇÕES!B39&lt;&gt;"",NEGOCIAÇÕES!O39=""),NEGOCIAÇÕES!N39,"")</f>
        <v/>
      </c>
    </row>
    <row r="40" spans="2:5" ht="31.95" hidden="1" customHeight="1" x14ac:dyDescent="0.3">
      <c r="B40" s="6" t="str">
        <f ca="1">IF(AND(NEGOCIAÇÕES!O40="",NEGOCIAÇÕES!N40&gt;TODAY()),NEGOCIAÇÕES!C40,"")</f>
        <v/>
      </c>
      <c r="C40" s="6" t="str">
        <f ca="1">IF(AND(NEGOCIAÇÕES!O40="",NEGOCIAÇÕES!N40&gt;TODAY()),NEGOCIAÇÕES!E40,"")</f>
        <v/>
      </c>
      <c r="D40" s="6" t="str">
        <f ca="1">IF(AND(NEGOCIAÇÕES!O40="",NEGOCIAÇÕES!N40&gt;TODAY()),NEGOCIAÇÕES!D40,"")</f>
        <v/>
      </c>
      <c r="E40" s="9" t="str">
        <f>IF(AND(NEGOCIAÇÕES!B40&lt;&gt;"",NEGOCIAÇÕES!O40=""),NEGOCIAÇÕES!N40,"")</f>
        <v/>
      </c>
    </row>
    <row r="41" spans="2:5" ht="31.95" hidden="1" customHeight="1" x14ac:dyDescent="0.3">
      <c r="B41" s="6" t="str">
        <f ca="1">IF(AND(NEGOCIAÇÕES!O41="",NEGOCIAÇÕES!N41&gt;TODAY()),NEGOCIAÇÕES!C41,"")</f>
        <v/>
      </c>
      <c r="C41" s="6" t="str">
        <f ca="1">IF(AND(NEGOCIAÇÕES!O41="",NEGOCIAÇÕES!N41&gt;TODAY()),NEGOCIAÇÕES!E41,"")</f>
        <v/>
      </c>
      <c r="D41" s="6" t="str">
        <f ca="1">IF(AND(NEGOCIAÇÕES!O41="",NEGOCIAÇÕES!N41&gt;TODAY()),NEGOCIAÇÕES!D41,"")</f>
        <v/>
      </c>
      <c r="E41" s="9" t="str">
        <f>IF(AND(NEGOCIAÇÕES!B41&lt;&gt;"",NEGOCIAÇÕES!O41=""),NEGOCIAÇÕES!N41,"")</f>
        <v/>
      </c>
    </row>
    <row r="42" spans="2:5" ht="31.95" hidden="1" customHeight="1" x14ac:dyDescent="0.3">
      <c r="B42" s="6" t="str">
        <f ca="1">IF(AND(NEGOCIAÇÕES!O42="",NEGOCIAÇÕES!N42&gt;TODAY()),NEGOCIAÇÕES!C42,"")</f>
        <v/>
      </c>
      <c r="C42" s="6" t="str">
        <f ca="1">IF(AND(NEGOCIAÇÕES!O42="",NEGOCIAÇÕES!N42&gt;TODAY()),NEGOCIAÇÕES!E42,"")</f>
        <v/>
      </c>
      <c r="D42" s="6" t="str">
        <f ca="1">IF(AND(NEGOCIAÇÕES!O42="",NEGOCIAÇÕES!N42&gt;TODAY()),NEGOCIAÇÕES!D42,"")</f>
        <v/>
      </c>
      <c r="E42" s="9" t="str">
        <f>IF(AND(NEGOCIAÇÕES!B42&lt;&gt;"",NEGOCIAÇÕES!O42=""),NEGOCIAÇÕES!N42,"")</f>
        <v/>
      </c>
    </row>
    <row r="43" spans="2:5" ht="31.95" hidden="1" customHeight="1" x14ac:dyDescent="0.3">
      <c r="B43" s="6" t="str">
        <f ca="1">IF(AND(NEGOCIAÇÕES!O43="",NEGOCIAÇÕES!N43&gt;TODAY()),NEGOCIAÇÕES!C43,"")</f>
        <v/>
      </c>
      <c r="C43" s="6" t="str">
        <f ca="1">IF(AND(NEGOCIAÇÕES!O43="",NEGOCIAÇÕES!N43&gt;TODAY()),NEGOCIAÇÕES!E43,"")</f>
        <v/>
      </c>
      <c r="D43" s="6" t="str">
        <f ca="1">IF(AND(NEGOCIAÇÕES!O43="",NEGOCIAÇÕES!N43&gt;TODAY()),NEGOCIAÇÕES!D43,"")</f>
        <v/>
      </c>
      <c r="E43" s="9" t="str">
        <f>IF(AND(NEGOCIAÇÕES!B43&lt;&gt;"",NEGOCIAÇÕES!O43=""),NEGOCIAÇÕES!N43,"")</f>
        <v/>
      </c>
    </row>
    <row r="44" spans="2:5" ht="31.95" hidden="1" customHeight="1" x14ac:dyDescent="0.3">
      <c r="B44" s="6" t="str">
        <f ca="1">IF(AND(NEGOCIAÇÕES!O44="",NEGOCIAÇÕES!N44&gt;TODAY()),NEGOCIAÇÕES!C44,"")</f>
        <v/>
      </c>
      <c r="C44" s="6" t="str">
        <f ca="1">IF(AND(NEGOCIAÇÕES!O44="",NEGOCIAÇÕES!N44&gt;TODAY()),NEGOCIAÇÕES!E44,"")</f>
        <v/>
      </c>
      <c r="D44" s="6" t="str">
        <f ca="1">IF(AND(NEGOCIAÇÕES!O44="",NEGOCIAÇÕES!N44&gt;TODAY()),NEGOCIAÇÕES!D44,"")</f>
        <v/>
      </c>
      <c r="E44" s="9" t="str">
        <f>IF(AND(NEGOCIAÇÕES!B44&lt;&gt;"",NEGOCIAÇÕES!O44=""),NEGOCIAÇÕES!N44,"")</f>
        <v/>
      </c>
    </row>
    <row r="45" spans="2:5" ht="31.95" hidden="1" customHeight="1" x14ac:dyDescent="0.3">
      <c r="B45" s="6" t="str">
        <f ca="1">IF(AND(NEGOCIAÇÕES!O45="",NEGOCIAÇÕES!N45&gt;TODAY()),NEGOCIAÇÕES!C45,"")</f>
        <v/>
      </c>
      <c r="C45" s="6" t="str">
        <f ca="1">IF(AND(NEGOCIAÇÕES!O45="",NEGOCIAÇÕES!N45&gt;TODAY()),NEGOCIAÇÕES!E45,"")</f>
        <v/>
      </c>
      <c r="D45" s="6" t="str">
        <f ca="1">IF(AND(NEGOCIAÇÕES!O45="",NEGOCIAÇÕES!N45&gt;TODAY()),NEGOCIAÇÕES!D45,"")</f>
        <v/>
      </c>
      <c r="E45" s="9" t="str">
        <f>IF(AND(NEGOCIAÇÕES!B45&lt;&gt;"",NEGOCIAÇÕES!O45=""),NEGOCIAÇÕES!N45,"")</f>
        <v/>
      </c>
    </row>
    <row r="46" spans="2:5" ht="31.95" hidden="1" customHeight="1" x14ac:dyDescent="0.3">
      <c r="B46" s="6" t="str">
        <f ca="1">IF(AND(NEGOCIAÇÕES!O46="",NEGOCIAÇÕES!N46&gt;TODAY()),NEGOCIAÇÕES!C46,"")</f>
        <v/>
      </c>
      <c r="C46" s="6" t="str">
        <f ca="1">IF(AND(NEGOCIAÇÕES!O46="",NEGOCIAÇÕES!N46&gt;TODAY()),NEGOCIAÇÕES!E46,"")</f>
        <v/>
      </c>
      <c r="D46" s="6" t="str">
        <f ca="1">IF(AND(NEGOCIAÇÕES!O46="",NEGOCIAÇÕES!N46&gt;TODAY()),NEGOCIAÇÕES!D46,"")</f>
        <v/>
      </c>
      <c r="E46" s="9" t="str">
        <f>IF(AND(NEGOCIAÇÕES!B46&lt;&gt;"",NEGOCIAÇÕES!O46=""),NEGOCIAÇÕES!N46,"")</f>
        <v/>
      </c>
    </row>
    <row r="47" spans="2:5" ht="31.95" hidden="1" customHeight="1" x14ac:dyDescent="0.3">
      <c r="B47" s="6" t="str">
        <f ca="1">IF(AND(NEGOCIAÇÕES!O47="",NEGOCIAÇÕES!N47&gt;TODAY()),NEGOCIAÇÕES!C47,"")</f>
        <v/>
      </c>
      <c r="C47" s="6" t="str">
        <f ca="1">IF(AND(NEGOCIAÇÕES!O47="",NEGOCIAÇÕES!N47&gt;TODAY()),NEGOCIAÇÕES!E47,"")</f>
        <v/>
      </c>
      <c r="D47" s="6" t="str">
        <f ca="1">IF(AND(NEGOCIAÇÕES!O47="",NEGOCIAÇÕES!N47&gt;TODAY()),NEGOCIAÇÕES!D47,"")</f>
        <v/>
      </c>
      <c r="E47" s="9" t="str">
        <f>IF(AND(NEGOCIAÇÕES!B47&lt;&gt;"",NEGOCIAÇÕES!O47=""),NEGOCIAÇÕES!N47,"")</f>
        <v/>
      </c>
    </row>
    <row r="48" spans="2:5" ht="31.95" hidden="1" customHeight="1" x14ac:dyDescent="0.3">
      <c r="B48" s="6" t="str">
        <f ca="1">IF(AND(NEGOCIAÇÕES!O48="",NEGOCIAÇÕES!N48&gt;TODAY()),NEGOCIAÇÕES!C48,"")</f>
        <v/>
      </c>
      <c r="C48" s="6" t="str">
        <f ca="1">IF(AND(NEGOCIAÇÕES!O48="",NEGOCIAÇÕES!N48&gt;TODAY()),NEGOCIAÇÕES!E48,"")</f>
        <v/>
      </c>
      <c r="D48" s="6" t="str">
        <f ca="1">IF(AND(NEGOCIAÇÕES!O48="",NEGOCIAÇÕES!N48&gt;TODAY()),NEGOCIAÇÕES!D48,"")</f>
        <v/>
      </c>
      <c r="E48" s="9" t="str">
        <f>IF(AND(NEGOCIAÇÕES!B48&lt;&gt;"",NEGOCIAÇÕES!O48=""),NEGOCIAÇÕES!N48,"")</f>
        <v/>
      </c>
    </row>
    <row r="49" spans="2:5" ht="31.95" hidden="1" customHeight="1" x14ac:dyDescent="0.3">
      <c r="B49" s="6" t="str">
        <f ca="1">IF(AND(NEGOCIAÇÕES!O49="",NEGOCIAÇÕES!N49&gt;TODAY()),NEGOCIAÇÕES!C49,"")</f>
        <v/>
      </c>
      <c r="C49" s="6" t="str">
        <f ca="1">IF(AND(NEGOCIAÇÕES!O49="",NEGOCIAÇÕES!N49&gt;TODAY()),NEGOCIAÇÕES!E49,"")</f>
        <v/>
      </c>
      <c r="D49" s="6" t="str">
        <f ca="1">IF(AND(NEGOCIAÇÕES!O49="",NEGOCIAÇÕES!N49&gt;TODAY()),NEGOCIAÇÕES!D49,"")</f>
        <v/>
      </c>
      <c r="E49" s="9" t="str">
        <f>IF(AND(NEGOCIAÇÕES!B49&lt;&gt;"",NEGOCIAÇÕES!O49=""),NEGOCIAÇÕES!N49,"")</f>
        <v/>
      </c>
    </row>
    <row r="50" spans="2:5" ht="31.95" hidden="1" customHeight="1" x14ac:dyDescent="0.3">
      <c r="B50" s="6" t="str">
        <f ca="1">IF(AND(NEGOCIAÇÕES!O50="",NEGOCIAÇÕES!N50&gt;TODAY()),NEGOCIAÇÕES!C50,"")</f>
        <v/>
      </c>
      <c r="C50" s="6" t="str">
        <f ca="1">IF(AND(NEGOCIAÇÕES!O50="",NEGOCIAÇÕES!N50&gt;TODAY()),NEGOCIAÇÕES!E50,"")</f>
        <v/>
      </c>
      <c r="D50" s="6" t="str">
        <f ca="1">IF(AND(NEGOCIAÇÕES!O50="",NEGOCIAÇÕES!N50&gt;TODAY()),NEGOCIAÇÕES!D50,"")</f>
        <v/>
      </c>
      <c r="E50" s="9" t="str">
        <f>IF(AND(NEGOCIAÇÕES!B50&lt;&gt;"",NEGOCIAÇÕES!O50=""),NEGOCIAÇÕES!N50,"")</f>
        <v/>
      </c>
    </row>
    <row r="51" spans="2:5" ht="31.95" hidden="1" customHeight="1" x14ac:dyDescent="0.3">
      <c r="B51" s="6" t="str">
        <f ca="1">IF(AND(NEGOCIAÇÕES!O51="",NEGOCIAÇÕES!N51&gt;TODAY()),NEGOCIAÇÕES!C51,"")</f>
        <v/>
      </c>
      <c r="C51" s="6" t="str">
        <f ca="1">IF(AND(NEGOCIAÇÕES!O51="",NEGOCIAÇÕES!N51&gt;TODAY()),NEGOCIAÇÕES!E51,"")</f>
        <v/>
      </c>
      <c r="D51" s="6" t="str">
        <f ca="1">IF(AND(NEGOCIAÇÕES!O51="",NEGOCIAÇÕES!N51&gt;TODAY()),NEGOCIAÇÕES!D51,"")</f>
        <v/>
      </c>
      <c r="E51" s="9" t="str">
        <f>IF(AND(NEGOCIAÇÕES!B51&lt;&gt;"",NEGOCIAÇÕES!O51=""),NEGOCIAÇÕES!N51,"")</f>
        <v/>
      </c>
    </row>
    <row r="52" spans="2:5" ht="31.95" hidden="1" customHeight="1" x14ac:dyDescent="0.3">
      <c r="B52" s="6" t="str">
        <f ca="1">IF(AND(NEGOCIAÇÕES!O52="",NEGOCIAÇÕES!N52&gt;TODAY()),NEGOCIAÇÕES!C52,"")</f>
        <v/>
      </c>
      <c r="C52" s="6" t="str">
        <f ca="1">IF(AND(NEGOCIAÇÕES!O52="",NEGOCIAÇÕES!N52&gt;TODAY()),NEGOCIAÇÕES!E52,"")</f>
        <v/>
      </c>
      <c r="D52" s="6" t="str">
        <f ca="1">IF(AND(NEGOCIAÇÕES!O52="",NEGOCIAÇÕES!N52&gt;TODAY()),NEGOCIAÇÕES!D52,"")</f>
        <v/>
      </c>
      <c r="E52" s="9" t="str">
        <f>IF(AND(NEGOCIAÇÕES!B52&lt;&gt;"",NEGOCIAÇÕES!O52=""),NEGOCIAÇÕES!N52,"")</f>
        <v/>
      </c>
    </row>
    <row r="53" spans="2:5" ht="31.95" hidden="1" customHeight="1" x14ac:dyDescent="0.3">
      <c r="B53" s="6" t="str">
        <f ca="1">IF(AND(NEGOCIAÇÕES!O53="",NEGOCIAÇÕES!N53&gt;TODAY()),NEGOCIAÇÕES!C53,"")</f>
        <v/>
      </c>
      <c r="C53" s="6" t="str">
        <f ca="1">IF(AND(NEGOCIAÇÕES!O53="",NEGOCIAÇÕES!N53&gt;TODAY()),NEGOCIAÇÕES!E53,"")</f>
        <v/>
      </c>
      <c r="D53" s="6" t="str">
        <f ca="1">IF(AND(NEGOCIAÇÕES!O53="",NEGOCIAÇÕES!N53&gt;TODAY()),NEGOCIAÇÕES!D53,"")</f>
        <v/>
      </c>
      <c r="E53" s="9" t="str">
        <f>IF(AND(NEGOCIAÇÕES!B53&lt;&gt;"",NEGOCIAÇÕES!O53=""),NEGOCIAÇÕES!N53,"")</f>
        <v/>
      </c>
    </row>
    <row r="54" spans="2:5" ht="31.95" hidden="1" customHeight="1" x14ac:dyDescent="0.3">
      <c r="B54" s="6" t="str">
        <f ca="1">IF(AND(NEGOCIAÇÕES!O54="",NEGOCIAÇÕES!N54&gt;TODAY()),NEGOCIAÇÕES!C54,"")</f>
        <v/>
      </c>
      <c r="C54" s="6" t="str">
        <f ca="1">IF(AND(NEGOCIAÇÕES!O54="",NEGOCIAÇÕES!N54&gt;TODAY()),NEGOCIAÇÕES!E54,"")</f>
        <v/>
      </c>
      <c r="D54" s="6" t="str">
        <f ca="1">IF(AND(NEGOCIAÇÕES!O54="",NEGOCIAÇÕES!N54&gt;TODAY()),NEGOCIAÇÕES!D54,"")</f>
        <v/>
      </c>
      <c r="E54" s="9" t="str">
        <f>IF(AND(NEGOCIAÇÕES!B54&lt;&gt;"",NEGOCIAÇÕES!O54=""),NEGOCIAÇÕES!N54,"")</f>
        <v/>
      </c>
    </row>
    <row r="55" spans="2:5" ht="31.95" hidden="1" customHeight="1" x14ac:dyDescent="0.3">
      <c r="B55" s="6" t="str">
        <f ca="1">IF(AND(NEGOCIAÇÕES!O55="",NEGOCIAÇÕES!N55&gt;TODAY()),NEGOCIAÇÕES!C55,"")</f>
        <v/>
      </c>
      <c r="C55" s="6" t="str">
        <f ca="1">IF(AND(NEGOCIAÇÕES!O55="",NEGOCIAÇÕES!N55&gt;TODAY()),NEGOCIAÇÕES!E55,"")</f>
        <v/>
      </c>
      <c r="D55" s="6" t="str">
        <f ca="1">IF(AND(NEGOCIAÇÕES!O55="",NEGOCIAÇÕES!N55&gt;TODAY()),NEGOCIAÇÕES!D55,"")</f>
        <v/>
      </c>
      <c r="E55" s="9" t="str">
        <f>IF(AND(NEGOCIAÇÕES!B55&lt;&gt;"",NEGOCIAÇÕES!O55=""),NEGOCIAÇÕES!N55,"")</f>
        <v/>
      </c>
    </row>
    <row r="56" spans="2:5" ht="31.95" hidden="1" customHeight="1" x14ac:dyDescent="0.3">
      <c r="B56" s="6" t="str">
        <f ca="1">IF(AND(NEGOCIAÇÕES!O56="",NEGOCIAÇÕES!N56&gt;TODAY()),NEGOCIAÇÕES!C56,"")</f>
        <v/>
      </c>
      <c r="C56" s="6" t="str">
        <f ca="1">IF(AND(NEGOCIAÇÕES!O56="",NEGOCIAÇÕES!N56&gt;TODAY()),NEGOCIAÇÕES!E56,"")</f>
        <v/>
      </c>
      <c r="D56" s="6" t="str">
        <f ca="1">IF(AND(NEGOCIAÇÕES!O56="",NEGOCIAÇÕES!N56&gt;TODAY()),NEGOCIAÇÕES!D56,"")</f>
        <v/>
      </c>
      <c r="E56" s="9" t="str">
        <f>IF(AND(NEGOCIAÇÕES!B56&lt;&gt;"",NEGOCIAÇÕES!O56=""),NEGOCIAÇÕES!N56,"")</f>
        <v/>
      </c>
    </row>
    <row r="57" spans="2:5" ht="31.95" hidden="1" customHeight="1" x14ac:dyDescent="0.3">
      <c r="B57" s="6" t="str">
        <f ca="1">IF(AND(NEGOCIAÇÕES!O57="",NEGOCIAÇÕES!N57&gt;TODAY()),NEGOCIAÇÕES!C57,"")</f>
        <v/>
      </c>
      <c r="C57" s="6" t="str">
        <f ca="1">IF(AND(NEGOCIAÇÕES!O57="",NEGOCIAÇÕES!N57&gt;TODAY()),NEGOCIAÇÕES!E57,"")</f>
        <v/>
      </c>
      <c r="D57" s="6" t="str">
        <f ca="1">IF(AND(NEGOCIAÇÕES!O57="",NEGOCIAÇÕES!N57&gt;TODAY()),NEGOCIAÇÕES!D57,"")</f>
        <v/>
      </c>
      <c r="E57" s="9" t="str">
        <f>IF(AND(NEGOCIAÇÕES!B57&lt;&gt;"",NEGOCIAÇÕES!O57=""),NEGOCIAÇÕES!N57,"")</f>
        <v/>
      </c>
    </row>
    <row r="58" spans="2:5" ht="31.95" hidden="1" customHeight="1" x14ac:dyDescent="0.3">
      <c r="B58" s="6" t="str">
        <f ca="1">IF(AND(NEGOCIAÇÕES!O58="",NEGOCIAÇÕES!N58&gt;TODAY()),NEGOCIAÇÕES!C58,"")</f>
        <v/>
      </c>
      <c r="C58" s="6" t="str">
        <f ca="1">IF(AND(NEGOCIAÇÕES!O58="",NEGOCIAÇÕES!N58&gt;TODAY()),NEGOCIAÇÕES!E58,"")</f>
        <v/>
      </c>
      <c r="D58" s="6" t="str">
        <f ca="1">IF(AND(NEGOCIAÇÕES!O58="",NEGOCIAÇÕES!N58&gt;TODAY()),NEGOCIAÇÕES!D58,"")</f>
        <v/>
      </c>
      <c r="E58" s="9" t="str">
        <f>IF(AND(NEGOCIAÇÕES!B58&lt;&gt;"",NEGOCIAÇÕES!O58=""),NEGOCIAÇÕES!N58,"")</f>
        <v/>
      </c>
    </row>
    <row r="59" spans="2:5" ht="31.95" hidden="1" customHeight="1" x14ac:dyDescent="0.3">
      <c r="B59" s="6" t="str">
        <f ca="1">IF(AND(NEGOCIAÇÕES!O59="",NEGOCIAÇÕES!N59&gt;TODAY()),NEGOCIAÇÕES!C59,"")</f>
        <v/>
      </c>
      <c r="C59" s="6" t="str">
        <f ca="1">IF(AND(NEGOCIAÇÕES!O59="",NEGOCIAÇÕES!N59&gt;TODAY()),NEGOCIAÇÕES!E59,"")</f>
        <v/>
      </c>
      <c r="D59" s="6" t="str">
        <f ca="1">IF(AND(NEGOCIAÇÕES!O59="",NEGOCIAÇÕES!N59&gt;TODAY()),NEGOCIAÇÕES!D59,"")</f>
        <v/>
      </c>
      <c r="E59" s="9" t="str">
        <f>IF(AND(NEGOCIAÇÕES!B59&lt;&gt;"",NEGOCIAÇÕES!O59=""),NEGOCIAÇÕES!N59,"")</f>
        <v/>
      </c>
    </row>
    <row r="60" spans="2:5" ht="31.95" hidden="1" customHeight="1" x14ac:dyDescent="0.3">
      <c r="B60" s="6" t="str">
        <f ca="1">IF(AND(NEGOCIAÇÕES!O60="",NEGOCIAÇÕES!N60&gt;TODAY()),NEGOCIAÇÕES!C60,"")</f>
        <v/>
      </c>
      <c r="C60" s="6" t="str">
        <f ca="1">IF(AND(NEGOCIAÇÕES!O60="",NEGOCIAÇÕES!N60&gt;TODAY()),NEGOCIAÇÕES!E60,"")</f>
        <v/>
      </c>
      <c r="D60" s="6" t="str">
        <f ca="1">IF(AND(NEGOCIAÇÕES!O60="",NEGOCIAÇÕES!N60&gt;TODAY()),NEGOCIAÇÕES!D60,"")</f>
        <v/>
      </c>
      <c r="E60" s="9" t="str">
        <f>IF(AND(NEGOCIAÇÕES!B60&lt;&gt;"",NEGOCIAÇÕES!O60=""),NEGOCIAÇÕES!N60,"")</f>
        <v/>
      </c>
    </row>
    <row r="61" spans="2:5" ht="31.95" hidden="1" customHeight="1" x14ac:dyDescent="0.3">
      <c r="B61" s="6" t="str">
        <f ca="1">IF(AND(NEGOCIAÇÕES!O61="",NEGOCIAÇÕES!N61&gt;TODAY()),NEGOCIAÇÕES!C61,"")</f>
        <v/>
      </c>
      <c r="C61" s="6" t="str">
        <f ca="1">IF(AND(NEGOCIAÇÕES!O61="",NEGOCIAÇÕES!N61&gt;TODAY()),NEGOCIAÇÕES!E61,"")</f>
        <v/>
      </c>
      <c r="D61" s="6" t="str">
        <f ca="1">IF(AND(NEGOCIAÇÕES!O61="",NEGOCIAÇÕES!N61&gt;TODAY()),NEGOCIAÇÕES!D61,"")</f>
        <v/>
      </c>
      <c r="E61" s="9" t="str">
        <f>IF(AND(NEGOCIAÇÕES!B61&lt;&gt;"",NEGOCIAÇÕES!O61=""),NEGOCIAÇÕES!N61,"")</f>
        <v/>
      </c>
    </row>
    <row r="62" spans="2:5" ht="31.95" hidden="1" customHeight="1" x14ac:dyDescent="0.3">
      <c r="B62" s="6" t="str">
        <f ca="1">IF(AND(NEGOCIAÇÕES!O62="",NEGOCIAÇÕES!N62&gt;TODAY()),NEGOCIAÇÕES!C62,"")</f>
        <v/>
      </c>
      <c r="C62" s="6" t="str">
        <f ca="1">IF(AND(NEGOCIAÇÕES!O62="",NEGOCIAÇÕES!N62&gt;TODAY()),NEGOCIAÇÕES!E62,"")</f>
        <v/>
      </c>
      <c r="D62" s="6" t="str">
        <f ca="1">IF(AND(NEGOCIAÇÕES!O62="",NEGOCIAÇÕES!N62&gt;TODAY()),NEGOCIAÇÕES!D62,"")</f>
        <v/>
      </c>
      <c r="E62" s="9" t="str">
        <f>IF(AND(NEGOCIAÇÕES!B62&lt;&gt;"",NEGOCIAÇÕES!O62=""),NEGOCIAÇÕES!N62,"")</f>
        <v/>
      </c>
    </row>
    <row r="63" spans="2:5" ht="31.95" hidden="1" customHeight="1" x14ac:dyDescent="0.3">
      <c r="B63" s="6" t="str">
        <f ca="1">IF(AND(NEGOCIAÇÕES!O63="",NEGOCIAÇÕES!N63&gt;TODAY()),NEGOCIAÇÕES!C63,"")</f>
        <v/>
      </c>
      <c r="C63" s="6" t="str">
        <f ca="1">IF(AND(NEGOCIAÇÕES!O63="",NEGOCIAÇÕES!N63&gt;TODAY()),NEGOCIAÇÕES!E63,"")</f>
        <v/>
      </c>
      <c r="D63" s="6" t="str">
        <f ca="1">IF(AND(NEGOCIAÇÕES!O63="",NEGOCIAÇÕES!N63&gt;TODAY()),NEGOCIAÇÕES!D63,"")</f>
        <v/>
      </c>
      <c r="E63" s="9" t="str">
        <f>IF(AND(NEGOCIAÇÕES!B63&lt;&gt;"",NEGOCIAÇÕES!O63=""),NEGOCIAÇÕES!N63,"")</f>
        <v/>
      </c>
    </row>
    <row r="64" spans="2:5" ht="31.95" hidden="1" customHeight="1" x14ac:dyDescent="0.3">
      <c r="B64" s="6" t="str">
        <f ca="1">IF(AND(NEGOCIAÇÕES!O64="",NEGOCIAÇÕES!N64&gt;TODAY()),NEGOCIAÇÕES!C64,"")</f>
        <v/>
      </c>
      <c r="C64" s="6" t="str">
        <f ca="1">IF(AND(NEGOCIAÇÕES!O64="",NEGOCIAÇÕES!N64&gt;TODAY()),NEGOCIAÇÕES!E64,"")</f>
        <v/>
      </c>
      <c r="D64" s="6" t="str">
        <f ca="1">IF(AND(NEGOCIAÇÕES!O64="",NEGOCIAÇÕES!N64&gt;TODAY()),NEGOCIAÇÕES!D64,"")</f>
        <v/>
      </c>
      <c r="E64" s="9" t="str">
        <f>IF(AND(NEGOCIAÇÕES!B64&lt;&gt;"",NEGOCIAÇÕES!O64=""),NEGOCIAÇÕES!N64,"")</f>
        <v/>
      </c>
    </row>
    <row r="65" spans="2:5" ht="31.95" hidden="1" customHeight="1" x14ac:dyDescent="0.3">
      <c r="B65" s="6" t="str">
        <f ca="1">IF(AND(NEGOCIAÇÕES!O65="",NEGOCIAÇÕES!N65&gt;TODAY()),NEGOCIAÇÕES!C65,"")</f>
        <v/>
      </c>
      <c r="C65" s="6" t="str">
        <f ca="1">IF(AND(NEGOCIAÇÕES!O65="",NEGOCIAÇÕES!N65&gt;TODAY()),NEGOCIAÇÕES!E65,"")</f>
        <v/>
      </c>
      <c r="D65" s="6" t="str">
        <f ca="1">IF(AND(NEGOCIAÇÕES!O65="",NEGOCIAÇÕES!N65&gt;TODAY()),NEGOCIAÇÕES!D65,"")</f>
        <v/>
      </c>
      <c r="E65" s="9" t="str">
        <f>IF(AND(NEGOCIAÇÕES!B65&lt;&gt;"",NEGOCIAÇÕES!O65=""),NEGOCIAÇÕES!N65,"")</f>
        <v/>
      </c>
    </row>
    <row r="66" spans="2:5" ht="31.95" hidden="1" customHeight="1" x14ac:dyDescent="0.3">
      <c r="B66" s="6" t="str">
        <f ca="1">IF(AND(NEGOCIAÇÕES!O66="",NEGOCIAÇÕES!N66&gt;TODAY()),NEGOCIAÇÕES!C66,"")</f>
        <v/>
      </c>
      <c r="C66" s="6" t="str">
        <f ca="1">IF(AND(NEGOCIAÇÕES!O66="",NEGOCIAÇÕES!N66&gt;TODAY()),NEGOCIAÇÕES!E66,"")</f>
        <v/>
      </c>
      <c r="D66" s="6" t="str">
        <f ca="1">IF(AND(NEGOCIAÇÕES!O66="",NEGOCIAÇÕES!N66&gt;TODAY()),NEGOCIAÇÕES!D66,"")</f>
        <v/>
      </c>
      <c r="E66" s="9" t="str">
        <f>IF(AND(NEGOCIAÇÕES!B66&lt;&gt;"",NEGOCIAÇÕES!O66=""),NEGOCIAÇÕES!N66,"")</f>
        <v/>
      </c>
    </row>
    <row r="67" spans="2:5" ht="31.95" hidden="1" customHeight="1" x14ac:dyDescent="0.3">
      <c r="B67" s="6" t="str">
        <f ca="1">IF(AND(NEGOCIAÇÕES!O67="",NEGOCIAÇÕES!N67&gt;TODAY()),NEGOCIAÇÕES!C67,"")</f>
        <v/>
      </c>
      <c r="C67" s="6" t="str">
        <f ca="1">IF(AND(NEGOCIAÇÕES!O67="",NEGOCIAÇÕES!N67&gt;TODAY()),NEGOCIAÇÕES!E67,"")</f>
        <v/>
      </c>
      <c r="D67" s="6" t="str">
        <f ca="1">IF(AND(NEGOCIAÇÕES!O67="",NEGOCIAÇÕES!N67&gt;TODAY()),NEGOCIAÇÕES!D67,"")</f>
        <v/>
      </c>
      <c r="E67" s="9" t="str">
        <f>IF(AND(NEGOCIAÇÕES!B67&lt;&gt;"",NEGOCIAÇÕES!O67=""),NEGOCIAÇÕES!N67,"")</f>
        <v/>
      </c>
    </row>
    <row r="68" spans="2:5" ht="31.95" hidden="1" customHeight="1" x14ac:dyDescent="0.3">
      <c r="B68" s="6" t="str">
        <f ca="1">IF(AND(NEGOCIAÇÕES!O68="",NEGOCIAÇÕES!N68&gt;TODAY()),NEGOCIAÇÕES!C68,"")</f>
        <v/>
      </c>
      <c r="C68" s="6" t="str">
        <f ca="1">IF(AND(NEGOCIAÇÕES!O68="",NEGOCIAÇÕES!N68&gt;TODAY()),NEGOCIAÇÕES!E68,"")</f>
        <v/>
      </c>
      <c r="D68" s="6" t="str">
        <f ca="1">IF(AND(NEGOCIAÇÕES!O68="",NEGOCIAÇÕES!N68&gt;TODAY()),NEGOCIAÇÕES!D68,"")</f>
        <v/>
      </c>
      <c r="E68" s="9" t="str">
        <f>IF(AND(NEGOCIAÇÕES!B68&lt;&gt;"",NEGOCIAÇÕES!O68=""),NEGOCIAÇÕES!N68,"")</f>
        <v/>
      </c>
    </row>
    <row r="69" spans="2:5" ht="31.95" hidden="1" customHeight="1" x14ac:dyDescent="0.3">
      <c r="B69" s="6" t="str">
        <f ca="1">IF(AND(NEGOCIAÇÕES!O69="",NEGOCIAÇÕES!N69&gt;TODAY()),NEGOCIAÇÕES!C69,"")</f>
        <v/>
      </c>
      <c r="C69" s="6" t="str">
        <f ca="1">IF(AND(NEGOCIAÇÕES!O69="",NEGOCIAÇÕES!N69&gt;TODAY()),NEGOCIAÇÕES!E69,"")</f>
        <v/>
      </c>
      <c r="D69" s="6" t="str">
        <f ca="1">IF(AND(NEGOCIAÇÕES!O69="",NEGOCIAÇÕES!N69&gt;TODAY()),NEGOCIAÇÕES!D69,"")</f>
        <v/>
      </c>
      <c r="E69" s="9" t="str">
        <f>IF(AND(NEGOCIAÇÕES!B69&lt;&gt;"",NEGOCIAÇÕES!O69=""),NEGOCIAÇÕES!N69,"")</f>
        <v/>
      </c>
    </row>
    <row r="70" spans="2:5" ht="31.95" hidden="1" customHeight="1" x14ac:dyDescent="0.3">
      <c r="B70" s="6" t="str">
        <f ca="1">IF(AND(NEGOCIAÇÕES!O70="",NEGOCIAÇÕES!N70&gt;TODAY()),NEGOCIAÇÕES!C70,"")</f>
        <v/>
      </c>
      <c r="C70" s="6" t="str">
        <f ca="1">IF(AND(NEGOCIAÇÕES!O70="",NEGOCIAÇÕES!N70&gt;TODAY()),NEGOCIAÇÕES!E70,"")</f>
        <v/>
      </c>
      <c r="D70" s="6" t="str">
        <f ca="1">IF(AND(NEGOCIAÇÕES!O70="",NEGOCIAÇÕES!N70&gt;TODAY()),NEGOCIAÇÕES!D70,"")</f>
        <v/>
      </c>
      <c r="E70" s="9" t="str">
        <f>IF(AND(NEGOCIAÇÕES!B70&lt;&gt;"",NEGOCIAÇÕES!O70=""),NEGOCIAÇÕES!N70,"")</f>
        <v/>
      </c>
    </row>
    <row r="71" spans="2:5" ht="31.95" hidden="1" customHeight="1" x14ac:dyDescent="0.3">
      <c r="B71" s="6" t="str">
        <f ca="1">IF(AND(NEGOCIAÇÕES!O71="",NEGOCIAÇÕES!N71&gt;TODAY()),NEGOCIAÇÕES!C71,"")</f>
        <v/>
      </c>
      <c r="C71" s="6" t="str">
        <f ca="1">IF(AND(NEGOCIAÇÕES!O71="",NEGOCIAÇÕES!N71&gt;TODAY()),NEGOCIAÇÕES!E71,"")</f>
        <v/>
      </c>
      <c r="D71" s="6" t="str">
        <f ca="1">IF(AND(NEGOCIAÇÕES!O71="",NEGOCIAÇÕES!N71&gt;TODAY()),NEGOCIAÇÕES!D71,"")</f>
        <v/>
      </c>
      <c r="E71" s="9" t="str">
        <f>IF(AND(NEGOCIAÇÕES!B71&lt;&gt;"",NEGOCIAÇÕES!O71=""),NEGOCIAÇÕES!N71,"")</f>
        <v/>
      </c>
    </row>
    <row r="72" spans="2:5" ht="31.95" hidden="1" customHeight="1" x14ac:dyDescent="0.3">
      <c r="B72" s="6" t="str">
        <f ca="1">IF(AND(NEGOCIAÇÕES!O72="",NEGOCIAÇÕES!N72&gt;TODAY()),NEGOCIAÇÕES!C72,"")</f>
        <v/>
      </c>
      <c r="C72" s="6" t="str">
        <f ca="1">IF(AND(NEGOCIAÇÕES!O72="",NEGOCIAÇÕES!N72&gt;TODAY()),NEGOCIAÇÕES!E72,"")</f>
        <v/>
      </c>
      <c r="D72" s="6" t="str">
        <f ca="1">IF(AND(NEGOCIAÇÕES!O72="",NEGOCIAÇÕES!N72&gt;TODAY()),NEGOCIAÇÕES!D72,"")</f>
        <v/>
      </c>
      <c r="E72" s="9" t="str">
        <f>IF(AND(NEGOCIAÇÕES!B72&lt;&gt;"",NEGOCIAÇÕES!O72=""),NEGOCIAÇÕES!N72,"")</f>
        <v/>
      </c>
    </row>
    <row r="73" spans="2:5" ht="31.95" hidden="1" customHeight="1" x14ac:dyDescent="0.3">
      <c r="B73" s="6" t="str">
        <f ca="1">IF(AND(NEGOCIAÇÕES!O73="",NEGOCIAÇÕES!N73&gt;TODAY()),NEGOCIAÇÕES!C73,"")</f>
        <v/>
      </c>
      <c r="C73" s="6" t="str">
        <f ca="1">IF(AND(NEGOCIAÇÕES!O73="",NEGOCIAÇÕES!N73&gt;TODAY()),NEGOCIAÇÕES!E73,"")</f>
        <v/>
      </c>
      <c r="D73" s="6" t="str">
        <f ca="1">IF(AND(NEGOCIAÇÕES!O73="",NEGOCIAÇÕES!N73&gt;TODAY()),NEGOCIAÇÕES!D73,"")</f>
        <v/>
      </c>
      <c r="E73" s="9" t="str">
        <f>IF(AND(NEGOCIAÇÕES!B73&lt;&gt;"",NEGOCIAÇÕES!O73=""),NEGOCIAÇÕES!N73,"")</f>
        <v/>
      </c>
    </row>
    <row r="74" spans="2:5" ht="31.95" hidden="1" customHeight="1" x14ac:dyDescent="0.3">
      <c r="B74" s="6" t="str">
        <f ca="1">IF(AND(NEGOCIAÇÕES!O74="",NEGOCIAÇÕES!N74&gt;TODAY()),NEGOCIAÇÕES!C74,"")</f>
        <v/>
      </c>
      <c r="C74" s="6" t="str">
        <f ca="1">IF(AND(NEGOCIAÇÕES!O74="",NEGOCIAÇÕES!N74&gt;TODAY()),NEGOCIAÇÕES!E74,"")</f>
        <v/>
      </c>
      <c r="D74" s="6" t="str">
        <f ca="1">IF(AND(NEGOCIAÇÕES!O74="",NEGOCIAÇÕES!N74&gt;TODAY()),NEGOCIAÇÕES!D74,"")</f>
        <v/>
      </c>
      <c r="E74" s="9" t="str">
        <f>IF(AND(NEGOCIAÇÕES!B74&lt;&gt;"",NEGOCIAÇÕES!O74=""),NEGOCIAÇÕES!N74,"")</f>
        <v/>
      </c>
    </row>
    <row r="75" spans="2:5" ht="31.95" hidden="1" customHeight="1" x14ac:dyDescent="0.3">
      <c r="B75" s="6" t="str">
        <f ca="1">IF(AND(NEGOCIAÇÕES!O75="",NEGOCIAÇÕES!N75&gt;TODAY()),NEGOCIAÇÕES!C75,"")</f>
        <v/>
      </c>
      <c r="C75" s="6" t="str">
        <f ca="1">IF(AND(NEGOCIAÇÕES!O75="",NEGOCIAÇÕES!N75&gt;TODAY()),NEGOCIAÇÕES!E75,"")</f>
        <v/>
      </c>
      <c r="D75" s="6" t="str">
        <f ca="1">IF(AND(NEGOCIAÇÕES!O75="",NEGOCIAÇÕES!N75&gt;TODAY()),NEGOCIAÇÕES!D75,"")</f>
        <v/>
      </c>
      <c r="E75" s="9" t="str">
        <f>IF(AND(NEGOCIAÇÕES!B75&lt;&gt;"",NEGOCIAÇÕES!O75=""),NEGOCIAÇÕES!N75,"")</f>
        <v/>
      </c>
    </row>
    <row r="76" spans="2:5" ht="31.95" hidden="1" customHeight="1" x14ac:dyDescent="0.3">
      <c r="B76" s="6" t="str">
        <f ca="1">IF(AND(NEGOCIAÇÕES!O76="",NEGOCIAÇÕES!N76&gt;TODAY()),NEGOCIAÇÕES!C76,"")</f>
        <v/>
      </c>
      <c r="C76" s="6" t="str">
        <f ca="1">IF(AND(NEGOCIAÇÕES!O76="",NEGOCIAÇÕES!N76&gt;TODAY()),NEGOCIAÇÕES!E76,"")</f>
        <v/>
      </c>
      <c r="D76" s="6" t="str">
        <f ca="1">IF(AND(NEGOCIAÇÕES!O76="",NEGOCIAÇÕES!N76&gt;TODAY()),NEGOCIAÇÕES!D76,"")</f>
        <v/>
      </c>
      <c r="E76" s="9" t="str">
        <f>IF(AND(NEGOCIAÇÕES!B76&lt;&gt;"",NEGOCIAÇÕES!O76=""),NEGOCIAÇÕES!N76,"")</f>
        <v/>
      </c>
    </row>
    <row r="77" spans="2:5" ht="31.95" hidden="1" customHeight="1" x14ac:dyDescent="0.3">
      <c r="B77" s="6" t="str">
        <f ca="1">IF(AND(NEGOCIAÇÕES!O77="",NEGOCIAÇÕES!N77&gt;TODAY()),NEGOCIAÇÕES!C77,"")</f>
        <v/>
      </c>
      <c r="C77" s="6" t="str">
        <f ca="1">IF(AND(NEGOCIAÇÕES!O77="",NEGOCIAÇÕES!N77&gt;TODAY()),NEGOCIAÇÕES!E77,"")</f>
        <v/>
      </c>
      <c r="D77" s="6" t="str">
        <f ca="1">IF(AND(NEGOCIAÇÕES!O77="",NEGOCIAÇÕES!N77&gt;TODAY()),NEGOCIAÇÕES!D77,"")</f>
        <v/>
      </c>
      <c r="E77" s="9" t="str">
        <f>IF(AND(NEGOCIAÇÕES!B77&lt;&gt;"",NEGOCIAÇÕES!O77=""),NEGOCIAÇÕES!N77,"")</f>
        <v/>
      </c>
    </row>
    <row r="78" spans="2:5" ht="31.95" hidden="1" customHeight="1" x14ac:dyDescent="0.3">
      <c r="B78" s="6" t="str">
        <f ca="1">IF(AND(NEGOCIAÇÕES!O78="",NEGOCIAÇÕES!N78&gt;TODAY()),NEGOCIAÇÕES!C78,"")</f>
        <v/>
      </c>
      <c r="C78" s="6" t="str">
        <f ca="1">IF(AND(NEGOCIAÇÕES!O78="",NEGOCIAÇÕES!N78&gt;TODAY()),NEGOCIAÇÕES!E78,"")</f>
        <v/>
      </c>
      <c r="D78" s="6" t="str">
        <f ca="1">IF(AND(NEGOCIAÇÕES!O78="",NEGOCIAÇÕES!N78&gt;TODAY()),NEGOCIAÇÕES!D78,"")</f>
        <v/>
      </c>
      <c r="E78" s="9" t="str">
        <f>IF(AND(NEGOCIAÇÕES!B78&lt;&gt;"",NEGOCIAÇÕES!O78=""),NEGOCIAÇÕES!N78,"")</f>
        <v/>
      </c>
    </row>
    <row r="79" spans="2:5" ht="31.95" hidden="1" customHeight="1" x14ac:dyDescent="0.3">
      <c r="B79" s="6" t="str">
        <f ca="1">IF(AND(NEGOCIAÇÕES!O79="",NEGOCIAÇÕES!N79&gt;TODAY()),NEGOCIAÇÕES!C79,"")</f>
        <v/>
      </c>
      <c r="C79" s="6" t="str">
        <f ca="1">IF(AND(NEGOCIAÇÕES!O79="",NEGOCIAÇÕES!N79&gt;TODAY()),NEGOCIAÇÕES!E79,"")</f>
        <v/>
      </c>
      <c r="D79" s="6" t="str">
        <f ca="1">IF(AND(NEGOCIAÇÕES!O79="",NEGOCIAÇÕES!N79&gt;TODAY()),NEGOCIAÇÕES!D79,"")</f>
        <v/>
      </c>
      <c r="E79" s="9" t="str">
        <f>IF(AND(NEGOCIAÇÕES!B79&lt;&gt;"",NEGOCIAÇÕES!O79=""),NEGOCIAÇÕES!N79,"")</f>
        <v/>
      </c>
    </row>
    <row r="80" spans="2:5" ht="31.95" hidden="1" customHeight="1" x14ac:dyDescent="0.3">
      <c r="B80" s="6" t="str">
        <f ca="1">IF(AND(NEGOCIAÇÕES!O80="",NEGOCIAÇÕES!N80&gt;TODAY()),NEGOCIAÇÕES!C80,"")</f>
        <v/>
      </c>
      <c r="C80" s="6" t="str">
        <f ca="1">IF(AND(NEGOCIAÇÕES!O80="",NEGOCIAÇÕES!N80&gt;TODAY()),NEGOCIAÇÕES!E80,"")</f>
        <v/>
      </c>
      <c r="D80" s="6" t="str">
        <f ca="1">IF(AND(NEGOCIAÇÕES!O80="",NEGOCIAÇÕES!N80&gt;TODAY()),NEGOCIAÇÕES!D80,"")</f>
        <v/>
      </c>
      <c r="E80" s="9" t="str">
        <f>IF(AND(NEGOCIAÇÕES!B80&lt;&gt;"",NEGOCIAÇÕES!O80=""),NEGOCIAÇÕES!N80,"")</f>
        <v/>
      </c>
    </row>
    <row r="81" spans="2:5" ht="31.95" hidden="1" customHeight="1" x14ac:dyDescent="0.3">
      <c r="B81" s="6" t="str">
        <f ca="1">IF(AND(NEGOCIAÇÕES!O81="",NEGOCIAÇÕES!N81&gt;TODAY()),NEGOCIAÇÕES!C81,"")</f>
        <v/>
      </c>
      <c r="C81" s="6" t="str">
        <f ca="1">IF(AND(NEGOCIAÇÕES!O81="",NEGOCIAÇÕES!N81&gt;TODAY()),NEGOCIAÇÕES!E81,"")</f>
        <v/>
      </c>
      <c r="D81" s="6" t="str">
        <f ca="1">IF(AND(NEGOCIAÇÕES!O81="",NEGOCIAÇÕES!N81&gt;TODAY()),NEGOCIAÇÕES!D81,"")</f>
        <v/>
      </c>
      <c r="E81" s="9" t="str">
        <f>IF(AND(NEGOCIAÇÕES!B81&lt;&gt;"",NEGOCIAÇÕES!O81=""),NEGOCIAÇÕES!N81,"")</f>
        <v/>
      </c>
    </row>
    <row r="82" spans="2:5" ht="31.95" hidden="1" customHeight="1" x14ac:dyDescent="0.3">
      <c r="B82" s="6" t="str">
        <f ca="1">IF(AND(NEGOCIAÇÕES!O82="",NEGOCIAÇÕES!N82&gt;TODAY()),NEGOCIAÇÕES!C82,"")</f>
        <v/>
      </c>
      <c r="C82" s="6" t="str">
        <f ca="1">IF(AND(NEGOCIAÇÕES!O82="",NEGOCIAÇÕES!N82&gt;TODAY()),NEGOCIAÇÕES!E82,"")</f>
        <v/>
      </c>
      <c r="D82" s="6" t="str">
        <f ca="1">IF(AND(NEGOCIAÇÕES!O82="",NEGOCIAÇÕES!N82&gt;TODAY()),NEGOCIAÇÕES!D82,"")</f>
        <v/>
      </c>
      <c r="E82" s="9" t="str">
        <f>IF(AND(NEGOCIAÇÕES!B82&lt;&gt;"",NEGOCIAÇÕES!O82=""),NEGOCIAÇÕES!N82,"")</f>
        <v/>
      </c>
    </row>
    <row r="83" spans="2:5" ht="31.95" hidden="1" customHeight="1" x14ac:dyDescent="0.3">
      <c r="B83" s="6" t="str">
        <f ca="1">IF(AND(NEGOCIAÇÕES!O83="",NEGOCIAÇÕES!N83&gt;TODAY()),NEGOCIAÇÕES!C83,"")</f>
        <v/>
      </c>
      <c r="C83" s="6" t="str">
        <f ca="1">IF(AND(NEGOCIAÇÕES!O83="",NEGOCIAÇÕES!N83&gt;TODAY()),NEGOCIAÇÕES!E83,"")</f>
        <v/>
      </c>
      <c r="D83" s="6" t="str">
        <f ca="1">IF(AND(NEGOCIAÇÕES!O83="",NEGOCIAÇÕES!N83&gt;TODAY()),NEGOCIAÇÕES!D83,"")</f>
        <v/>
      </c>
      <c r="E83" s="9" t="str">
        <f>IF(AND(NEGOCIAÇÕES!B83&lt;&gt;"",NEGOCIAÇÕES!O83=""),NEGOCIAÇÕES!N83,"")</f>
        <v/>
      </c>
    </row>
    <row r="84" spans="2:5" ht="31.95" hidden="1" customHeight="1" x14ac:dyDescent="0.3">
      <c r="B84" s="6" t="str">
        <f ca="1">IF(AND(NEGOCIAÇÕES!O84="",NEGOCIAÇÕES!N84&gt;TODAY()),NEGOCIAÇÕES!C84,"")</f>
        <v/>
      </c>
      <c r="C84" s="6" t="str">
        <f ca="1">IF(AND(NEGOCIAÇÕES!O84="",NEGOCIAÇÕES!N84&gt;TODAY()),NEGOCIAÇÕES!E84,"")</f>
        <v/>
      </c>
      <c r="D84" s="6" t="str">
        <f ca="1">IF(AND(NEGOCIAÇÕES!O84="",NEGOCIAÇÕES!N84&gt;TODAY()),NEGOCIAÇÕES!D84,"")</f>
        <v/>
      </c>
      <c r="E84" s="9" t="str">
        <f>IF(AND(NEGOCIAÇÕES!B84&lt;&gt;"",NEGOCIAÇÕES!O84=""),NEGOCIAÇÕES!N84,"")</f>
        <v/>
      </c>
    </row>
    <row r="85" spans="2:5" ht="31.95" hidden="1" customHeight="1" x14ac:dyDescent="0.3">
      <c r="B85" s="6" t="str">
        <f ca="1">IF(AND(NEGOCIAÇÕES!O85="",NEGOCIAÇÕES!N85&gt;TODAY()),NEGOCIAÇÕES!C85,"")</f>
        <v/>
      </c>
      <c r="C85" s="6" t="str">
        <f ca="1">IF(AND(NEGOCIAÇÕES!O85="",NEGOCIAÇÕES!N85&gt;TODAY()),NEGOCIAÇÕES!E85,"")</f>
        <v/>
      </c>
      <c r="D85" s="6" t="str">
        <f ca="1">IF(AND(NEGOCIAÇÕES!O85="",NEGOCIAÇÕES!N85&gt;TODAY()),NEGOCIAÇÕES!D85,"")</f>
        <v/>
      </c>
      <c r="E85" s="9" t="str">
        <f>IF(AND(NEGOCIAÇÕES!B85&lt;&gt;"",NEGOCIAÇÕES!O85=""),NEGOCIAÇÕES!N85,"")</f>
        <v/>
      </c>
    </row>
    <row r="86" spans="2:5" ht="31.95" hidden="1" customHeight="1" x14ac:dyDescent="0.3">
      <c r="B86" s="6" t="str">
        <f ca="1">IF(AND(NEGOCIAÇÕES!O86="",NEGOCIAÇÕES!N86&gt;TODAY()),NEGOCIAÇÕES!C86,"")</f>
        <v/>
      </c>
      <c r="C86" s="6" t="str">
        <f ca="1">IF(AND(NEGOCIAÇÕES!O86="",NEGOCIAÇÕES!N86&gt;TODAY()),NEGOCIAÇÕES!E86,"")</f>
        <v/>
      </c>
      <c r="D86" s="6" t="str">
        <f ca="1">IF(AND(NEGOCIAÇÕES!O86="",NEGOCIAÇÕES!N86&gt;TODAY()),NEGOCIAÇÕES!D86,"")</f>
        <v/>
      </c>
      <c r="E86" s="9" t="str">
        <f>IF(AND(NEGOCIAÇÕES!B86&lt;&gt;"",NEGOCIAÇÕES!O86=""),NEGOCIAÇÕES!N86,"")</f>
        <v/>
      </c>
    </row>
    <row r="87" spans="2:5" ht="31.95" hidden="1" customHeight="1" x14ac:dyDescent="0.3">
      <c r="B87" s="6" t="str">
        <f ca="1">IF(AND(NEGOCIAÇÕES!O87="",NEGOCIAÇÕES!N87&gt;TODAY()),NEGOCIAÇÕES!C87,"")</f>
        <v/>
      </c>
      <c r="C87" s="6" t="str">
        <f ca="1">IF(AND(NEGOCIAÇÕES!O87="",NEGOCIAÇÕES!N87&gt;TODAY()),NEGOCIAÇÕES!E87,"")</f>
        <v/>
      </c>
      <c r="D87" s="6" t="str">
        <f ca="1">IF(AND(NEGOCIAÇÕES!O87="",NEGOCIAÇÕES!N87&gt;TODAY()),NEGOCIAÇÕES!D87,"")</f>
        <v/>
      </c>
      <c r="E87" s="9" t="str">
        <f>IF(AND(NEGOCIAÇÕES!B87&lt;&gt;"",NEGOCIAÇÕES!O87=""),NEGOCIAÇÕES!N87,"")</f>
        <v/>
      </c>
    </row>
    <row r="88" spans="2:5" ht="31.95" hidden="1" customHeight="1" x14ac:dyDescent="0.3">
      <c r="B88" s="6" t="str">
        <f ca="1">IF(AND(NEGOCIAÇÕES!O88="",NEGOCIAÇÕES!N88&gt;TODAY()),NEGOCIAÇÕES!C88,"")</f>
        <v/>
      </c>
      <c r="C88" s="6" t="str">
        <f ca="1">IF(AND(NEGOCIAÇÕES!O88="",NEGOCIAÇÕES!N88&gt;TODAY()),NEGOCIAÇÕES!E88,"")</f>
        <v/>
      </c>
      <c r="D88" s="6" t="str">
        <f ca="1">IF(AND(NEGOCIAÇÕES!O88="",NEGOCIAÇÕES!N88&gt;TODAY()),NEGOCIAÇÕES!D88,"")</f>
        <v/>
      </c>
      <c r="E88" s="9" t="str">
        <f>IF(AND(NEGOCIAÇÕES!B88&lt;&gt;"",NEGOCIAÇÕES!O88=""),NEGOCIAÇÕES!N88,"")</f>
        <v/>
      </c>
    </row>
    <row r="89" spans="2:5" ht="31.95" hidden="1" customHeight="1" x14ac:dyDescent="0.3">
      <c r="B89" s="6" t="str">
        <f ca="1">IF(AND(NEGOCIAÇÕES!O89="",NEGOCIAÇÕES!N89&gt;TODAY()),NEGOCIAÇÕES!C89,"")</f>
        <v/>
      </c>
      <c r="C89" s="6" t="str">
        <f ca="1">IF(AND(NEGOCIAÇÕES!O89="",NEGOCIAÇÕES!N89&gt;TODAY()),NEGOCIAÇÕES!E89,"")</f>
        <v/>
      </c>
      <c r="D89" s="6" t="str">
        <f ca="1">IF(AND(NEGOCIAÇÕES!O89="",NEGOCIAÇÕES!N89&gt;TODAY()),NEGOCIAÇÕES!D89,"")</f>
        <v/>
      </c>
      <c r="E89" s="9" t="str">
        <f>IF(AND(NEGOCIAÇÕES!B89&lt;&gt;"",NEGOCIAÇÕES!O89=""),NEGOCIAÇÕES!N89,"")</f>
        <v/>
      </c>
    </row>
    <row r="90" spans="2:5" ht="31.95" hidden="1" customHeight="1" x14ac:dyDescent="0.3">
      <c r="B90" s="6" t="str">
        <f ca="1">IF(AND(NEGOCIAÇÕES!O90="",NEGOCIAÇÕES!N90&gt;TODAY()),NEGOCIAÇÕES!C90,"")</f>
        <v/>
      </c>
      <c r="C90" s="6" t="str">
        <f ca="1">IF(AND(NEGOCIAÇÕES!O90="",NEGOCIAÇÕES!N90&gt;TODAY()),NEGOCIAÇÕES!E90,"")</f>
        <v/>
      </c>
      <c r="D90" s="6" t="str">
        <f ca="1">IF(AND(NEGOCIAÇÕES!O90="",NEGOCIAÇÕES!N90&gt;TODAY()),NEGOCIAÇÕES!D90,"")</f>
        <v/>
      </c>
      <c r="E90" s="9" t="str">
        <f>IF(AND(NEGOCIAÇÕES!B90&lt;&gt;"",NEGOCIAÇÕES!O90=""),NEGOCIAÇÕES!N90,"")</f>
        <v/>
      </c>
    </row>
    <row r="91" spans="2:5" ht="31.95" hidden="1" customHeight="1" x14ac:dyDescent="0.3">
      <c r="B91" s="6" t="str">
        <f ca="1">IF(AND(NEGOCIAÇÕES!O91="",NEGOCIAÇÕES!N91&gt;TODAY()),NEGOCIAÇÕES!C91,"")</f>
        <v/>
      </c>
      <c r="C91" s="6" t="str">
        <f ca="1">IF(AND(NEGOCIAÇÕES!O91="",NEGOCIAÇÕES!N91&gt;TODAY()),NEGOCIAÇÕES!E91,"")</f>
        <v/>
      </c>
      <c r="D91" s="6" t="str">
        <f ca="1">IF(AND(NEGOCIAÇÕES!O91="",NEGOCIAÇÕES!N91&gt;TODAY()),NEGOCIAÇÕES!D91,"")</f>
        <v/>
      </c>
      <c r="E91" s="9" t="str">
        <f>IF(AND(NEGOCIAÇÕES!B91&lt;&gt;"",NEGOCIAÇÕES!O91=""),NEGOCIAÇÕES!N91,"")</f>
        <v/>
      </c>
    </row>
    <row r="92" spans="2:5" ht="31.95" hidden="1" customHeight="1" x14ac:dyDescent="0.3">
      <c r="B92" s="6" t="str">
        <f ca="1">IF(AND(NEGOCIAÇÕES!O92="",NEGOCIAÇÕES!N92&gt;TODAY()),NEGOCIAÇÕES!C92,"")</f>
        <v/>
      </c>
      <c r="C92" s="6" t="str">
        <f ca="1">IF(AND(NEGOCIAÇÕES!O92="",NEGOCIAÇÕES!N92&gt;TODAY()),NEGOCIAÇÕES!E92,"")</f>
        <v/>
      </c>
      <c r="D92" s="6" t="str">
        <f ca="1">IF(AND(NEGOCIAÇÕES!O92="",NEGOCIAÇÕES!N92&gt;TODAY()),NEGOCIAÇÕES!D92,"")</f>
        <v/>
      </c>
      <c r="E92" s="9" t="str">
        <f>IF(AND(NEGOCIAÇÕES!B92&lt;&gt;"",NEGOCIAÇÕES!O92=""),NEGOCIAÇÕES!N92,"")</f>
        <v/>
      </c>
    </row>
    <row r="93" spans="2:5" ht="31.95" hidden="1" customHeight="1" x14ac:dyDescent="0.3">
      <c r="B93" s="6" t="str">
        <f ca="1">IF(AND(NEGOCIAÇÕES!O93="",NEGOCIAÇÕES!N93&gt;TODAY()),NEGOCIAÇÕES!C93,"")</f>
        <v/>
      </c>
      <c r="C93" s="6" t="str">
        <f ca="1">IF(AND(NEGOCIAÇÕES!O93="",NEGOCIAÇÕES!N93&gt;TODAY()),NEGOCIAÇÕES!E93,"")</f>
        <v/>
      </c>
      <c r="D93" s="6" t="str">
        <f ca="1">IF(AND(NEGOCIAÇÕES!O93="",NEGOCIAÇÕES!N93&gt;TODAY()),NEGOCIAÇÕES!D93,"")</f>
        <v/>
      </c>
      <c r="E93" s="9" t="str">
        <f>IF(AND(NEGOCIAÇÕES!B93&lt;&gt;"",NEGOCIAÇÕES!O93=""),NEGOCIAÇÕES!N93,"")</f>
        <v/>
      </c>
    </row>
    <row r="94" spans="2:5" ht="31.95" hidden="1" customHeight="1" x14ac:dyDescent="0.3">
      <c r="B94" s="6" t="str">
        <f ca="1">IF(AND(NEGOCIAÇÕES!O94="",NEGOCIAÇÕES!N94&gt;TODAY()),NEGOCIAÇÕES!C94,"")</f>
        <v/>
      </c>
      <c r="C94" s="6" t="str">
        <f ca="1">IF(AND(NEGOCIAÇÕES!O94="",NEGOCIAÇÕES!N94&gt;TODAY()),NEGOCIAÇÕES!E94,"")</f>
        <v/>
      </c>
      <c r="D94" s="6" t="str">
        <f ca="1">IF(AND(NEGOCIAÇÕES!O94="",NEGOCIAÇÕES!N94&gt;TODAY()),NEGOCIAÇÕES!D94,"")</f>
        <v/>
      </c>
      <c r="E94" s="9" t="str">
        <f>IF(AND(NEGOCIAÇÕES!B94&lt;&gt;"",NEGOCIAÇÕES!O94=""),NEGOCIAÇÕES!N94,"")</f>
        <v/>
      </c>
    </row>
    <row r="95" spans="2:5" ht="31.95" hidden="1" customHeight="1" x14ac:dyDescent="0.3">
      <c r="B95" s="6" t="str">
        <f ca="1">IF(AND(NEGOCIAÇÕES!O95="",NEGOCIAÇÕES!N95&gt;TODAY()),NEGOCIAÇÕES!C95,"")</f>
        <v/>
      </c>
      <c r="C95" s="6" t="str">
        <f ca="1">IF(AND(NEGOCIAÇÕES!O95="",NEGOCIAÇÕES!N95&gt;TODAY()),NEGOCIAÇÕES!E95,"")</f>
        <v/>
      </c>
      <c r="D95" s="6" t="str">
        <f ca="1">IF(AND(NEGOCIAÇÕES!O95="",NEGOCIAÇÕES!N95&gt;TODAY()),NEGOCIAÇÕES!D95,"")</f>
        <v/>
      </c>
      <c r="E95" s="9" t="str">
        <f>IF(AND(NEGOCIAÇÕES!B95&lt;&gt;"",NEGOCIAÇÕES!O95=""),NEGOCIAÇÕES!N95,"")</f>
        <v/>
      </c>
    </row>
    <row r="96" spans="2:5" ht="31.95" hidden="1" customHeight="1" x14ac:dyDescent="0.3">
      <c r="B96" s="6" t="str">
        <f ca="1">IF(AND(NEGOCIAÇÕES!O96="",NEGOCIAÇÕES!N96&gt;TODAY()),NEGOCIAÇÕES!C96,"")</f>
        <v/>
      </c>
      <c r="C96" s="6" t="str">
        <f ca="1">IF(AND(NEGOCIAÇÕES!O96="",NEGOCIAÇÕES!N96&gt;TODAY()),NEGOCIAÇÕES!E96,"")</f>
        <v/>
      </c>
      <c r="D96" s="6" t="str">
        <f ca="1">IF(AND(NEGOCIAÇÕES!O96="",NEGOCIAÇÕES!N96&gt;TODAY()),NEGOCIAÇÕES!D96,"")</f>
        <v/>
      </c>
      <c r="E96" s="9" t="str">
        <f>IF(AND(NEGOCIAÇÕES!B96&lt;&gt;"",NEGOCIAÇÕES!O96=""),NEGOCIAÇÕES!N96,"")</f>
        <v/>
      </c>
    </row>
    <row r="97" spans="2:5" ht="31.95" hidden="1" customHeight="1" x14ac:dyDescent="0.3">
      <c r="B97" s="6" t="str">
        <f ca="1">IF(AND(NEGOCIAÇÕES!O97="",NEGOCIAÇÕES!N97&gt;TODAY()),NEGOCIAÇÕES!C97,"")</f>
        <v/>
      </c>
      <c r="C97" s="6" t="str">
        <f ca="1">IF(AND(NEGOCIAÇÕES!O97="",NEGOCIAÇÕES!N97&gt;TODAY()),NEGOCIAÇÕES!E97,"")</f>
        <v/>
      </c>
      <c r="D97" s="6" t="str">
        <f ca="1">IF(AND(NEGOCIAÇÕES!O97="",NEGOCIAÇÕES!N97&gt;TODAY()),NEGOCIAÇÕES!D97,"")</f>
        <v/>
      </c>
      <c r="E97" s="9" t="str">
        <f>IF(AND(NEGOCIAÇÕES!B97&lt;&gt;"",NEGOCIAÇÕES!O97=""),NEGOCIAÇÕES!N97,"")</f>
        <v/>
      </c>
    </row>
    <row r="98" spans="2:5" ht="31.95" hidden="1" customHeight="1" x14ac:dyDescent="0.3">
      <c r="B98" s="6" t="str">
        <f ca="1">IF(AND(NEGOCIAÇÕES!O98="",NEGOCIAÇÕES!N98&gt;TODAY()),NEGOCIAÇÕES!C98,"")</f>
        <v/>
      </c>
      <c r="C98" s="6" t="str">
        <f ca="1">IF(AND(NEGOCIAÇÕES!O98="",NEGOCIAÇÕES!N98&gt;TODAY()),NEGOCIAÇÕES!E98,"")</f>
        <v/>
      </c>
      <c r="D98" s="6" t="str">
        <f ca="1">IF(AND(NEGOCIAÇÕES!O98="",NEGOCIAÇÕES!N98&gt;TODAY()),NEGOCIAÇÕES!D98,"")</f>
        <v/>
      </c>
      <c r="E98" s="9" t="str">
        <f>IF(AND(NEGOCIAÇÕES!B98&lt;&gt;"",NEGOCIAÇÕES!O98=""),NEGOCIAÇÕES!N98,"")</f>
        <v/>
      </c>
    </row>
    <row r="99" spans="2:5" ht="31.95" hidden="1" customHeight="1" x14ac:dyDescent="0.3">
      <c r="B99" s="6" t="str">
        <f ca="1">IF(AND(NEGOCIAÇÕES!O99="",NEGOCIAÇÕES!N99&gt;TODAY()),NEGOCIAÇÕES!C99,"")</f>
        <v/>
      </c>
      <c r="C99" s="6" t="str">
        <f ca="1">IF(AND(NEGOCIAÇÕES!O99="",NEGOCIAÇÕES!N99&gt;TODAY()),NEGOCIAÇÕES!E99,"")</f>
        <v/>
      </c>
      <c r="D99" s="6" t="str">
        <f ca="1">IF(AND(NEGOCIAÇÕES!O99="",NEGOCIAÇÕES!N99&gt;TODAY()),NEGOCIAÇÕES!D99,"")</f>
        <v/>
      </c>
      <c r="E99" s="9" t="str">
        <f>IF(AND(NEGOCIAÇÕES!B99&lt;&gt;"",NEGOCIAÇÕES!O99=""),NEGOCIAÇÕES!N99,"")</f>
        <v/>
      </c>
    </row>
    <row r="100" spans="2:5" ht="31.95" hidden="1" customHeight="1" x14ac:dyDescent="0.3">
      <c r="B100" s="6" t="str">
        <f ca="1">IF(AND(NEGOCIAÇÕES!O100="",NEGOCIAÇÕES!N100&gt;TODAY()),NEGOCIAÇÕES!C100,"")</f>
        <v/>
      </c>
      <c r="C100" s="6" t="str">
        <f ca="1">IF(AND(NEGOCIAÇÕES!O100="",NEGOCIAÇÕES!N100&gt;TODAY()),NEGOCIAÇÕES!E100,"")</f>
        <v/>
      </c>
      <c r="D100" s="6" t="str">
        <f ca="1">IF(AND(NEGOCIAÇÕES!O100="",NEGOCIAÇÕES!N100&gt;TODAY()),NEGOCIAÇÕES!D100,"")</f>
        <v/>
      </c>
      <c r="E100" s="9" t="str">
        <f>IF(AND(NEGOCIAÇÕES!B100&lt;&gt;"",NEGOCIAÇÕES!O100=""),NEGOCIAÇÕES!N100,"")</f>
        <v/>
      </c>
    </row>
    <row r="101" spans="2:5" ht="31.95" hidden="1" customHeight="1" x14ac:dyDescent="0.3">
      <c r="B101" s="6" t="str">
        <f ca="1">IF(AND(NEGOCIAÇÕES!O101="",NEGOCIAÇÕES!N101&gt;TODAY()),NEGOCIAÇÕES!C101,"")</f>
        <v/>
      </c>
      <c r="C101" s="6" t="str">
        <f ca="1">IF(AND(NEGOCIAÇÕES!O101="",NEGOCIAÇÕES!N101&gt;TODAY()),NEGOCIAÇÕES!E101,"")</f>
        <v/>
      </c>
      <c r="D101" s="6" t="str">
        <f ca="1">IF(AND(NEGOCIAÇÕES!O101="",NEGOCIAÇÕES!N101&gt;TODAY()),NEGOCIAÇÕES!D101,"")</f>
        <v/>
      </c>
      <c r="E101" s="9" t="str">
        <f>IF(AND(NEGOCIAÇÕES!B101&lt;&gt;"",NEGOCIAÇÕES!O101=""),NEGOCIAÇÕES!N101,"")</f>
        <v/>
      </c>
    </row>
    <row r="102" spans="2:5" ht="31.95" hidden="1" customHeight="1" x14ac:dyDescent="0.3">
      <c r="B102" s="6" t="str">
        <f ca="1">IF(AND(NEGOCIAÇÕES!O102="",NEGOCIAÇÕES!N102&gt;TODAY()),NEGOCIAÇÕES!C102,"")</f>
        <v/>
      </c>
      <c r="C102" s="6" t="str">
        <f ca="1">IF(AND(NEGOCIAÇÕES!O102="",NEGOCIAÇÕES!N102&gt;TODAY()),NEGOCIAÇÕES!E102,"")</f>
        <v/>
      </c>
      <c r="D102" s="6" t="str">
        <f ca="1">IF(AND(NEGOCIAÇÕES!O102="",NEGOCIAÇÕES!N102&gt;TODAY()),NEGOCIAÇÕES!D102,"")</f>
        <v/>
      </c>
      <c r="E102" s="9" t="str">
        <f>IF(AND(NEGOCIAÇÕES!B102&lt;&gt;"",NEGOCIAÇÕES!O102=""),NEGOCIAÇÕES!N102,"")</f>
        <v/>
      </c>
    </row>
    <row r="103" spans="2:5" ht="31.95" hidden="1" customHeight="1" x14ac:dyDescent="0.3">
      <c r="B103" s="6" t="str">
        <f ca="1">IF(AND(NEGOCIAÇÕES!O103="",NEGOCIAÇÕES!N103&gt;TODAY()),NEGOCIAÇÕES!C103,"")</f>
        <v/>
      </c>
      <c r="C103" s="6" t="str">
        <f ca="1">IF(AND(NEGOCIAÇÕES!O103="",NEGOCIAÇÕES!N103&gt;TODAY()),NEGOCIAÇÕES!E103,"")</f>
        <v/>
      </c>
      <c r="D103" s="6" t="str">
        <f ca="1">IF(AND(NEGOCIAÇÕES!O103="",NEGOCIAÇÕES!N103&gt;TODAY()),NEGOCIAÇÕES!D103,"")</f>
        <v/>
      </c>
      <c r="E103" s="9" t="str">
        <f>IF(AND(NEGOCIAÇÕES!B103&lt;&gt;"",NEGOCIAÇÕES!O103=""),NEGOCIAÇÕES!N103,"")</f>
        <v/>
      </c>
    </row>
    <row r="104" spans="2:5" ht="31.95" hidden="1" customHeight="1" x14ac:dyDescent="0.3">
      <c r="B104" s="6" t="str">
        <f ca="1">IF(AND(NEGOCIAÇÕES!O104="",NEGOCIAÇÕES!N104&gt;TODAY()),NEGOCIAÇÕES!C104,"")</f>
        <v/>
      </c>
      <c r="C104" s="6" t="str">
        <f ca="1">IF(AND(NEGOCIAÇÕES!O104="",NEGOCIAÇÕES!N104&gt;TODAY()),NEGOCIAÇÕES!E104,"")</f>
        <v/>
      </c>
      <c r="D104" s="6" t="str">
        <f ca="1">IF(AND(NEGOCIAÇÕES!O104="",NEGOCIAÇÕES!N104&gt;TODAY()),NEGOCIAÇÕES!D104,"")</f>
        <v/>
      </c>
      <c r="E104" s="9" t="str">
        <f>IF(AND(NEGOCIAÇÕES!B104&lt;&gt;"",NEGOCIAÇÕES!O104=""),NEGOCIAÇÕES!N104,"")</f>
        <v/>
      </c>
    </row>
    <row r="105" spans="2:5" ht="31.95" hidden="1" customHeight="1" x14ac:dyDescent="0.3">
      <c r="B105" s="6" t="str">
        <f ca="1">IF(AND(NEGOCIAÇÕES!O105="",NEGOCIAÇÕES!N105&gt;TODAY()),NEGOCIAÇÕES!C105,"")</f>
        <v/>
      </c>
      <c r="C105" s="6" t="str">
        <f ca="1">IF(AND(NEGOCIAÇÕES!O105="",NEGOCIAÇÕES!N105&gt;TODAY()),NEGOCIAÇÕES!E105,"")</f>
        <v/>
      </c>
      <c r="D105" s="6" t="str">
        <f ca="1">IF(AND(NEGOCIAÇÕES!O105="",NEGOCIAÇÕES!N105&gt;TODAY()),NEGOCIAÇÕES!D105,"")</f>
        <v/>
      </c>
      <c r="E105" s="9" t="str">
        <f>IF(AND(NEGOCIAÇÕES!B105&lt;&gt;"",NEGOCIAÇÕES!O105=""),NEGOCIAÇÕES!N105,"")</f>
        <v/>
      </c>
    </row>
    <row r="106" spans="2:5" ht="31.95" hidden="1" customHeight="1" x14ac:dyDescent="0.3">
      <c r="B106" s="6" t="str">
        <f ca="1">IF(AND(NEGOCIAÇÕES!O106="",NEGOCIAÇÕES!N106&gt;TODAY()),NEGOCIAÇÕES!C106,"")</f>
        <v/>
      </c>
      <c r="C106" s="6" t="str">
        <f ca="1">IF(AND(NEGOCIAÇÕES!O106="",NEGOCIAÇÕES!N106&gt;TODAY()),NEGOCIAÇÕES!E106,"")</f>
        <v/>
      </c>
      <c r="D106" s="6" t="str">
        <f ca="1">IF(AND(NEGOCIAÇÕES!O106="",NEGOCIAÇÕES!N106&gt;TODAY()),NEGOCIAÇÕES!D106,"")</f>
        <v/>
      </c>
      <c r="E106" s="9" t="str">
        <f>IF(AND(NEGOCIAÇÕES!B106&lt;&gt;"",NEGOCIAÇÕES!O106=""),NEGOCIAÇÕES!N106,"")</f>
        <v/>
      </c>
    </row>
    <row r="107" spans="2:5" ht="31.95" hidden="1" customHeight="1" x14ac:dyDescent="0.3">
      <c r="B107" s="6" t="str">
        <f ca="1">IF(AND(NEGOCIAÇÕES!O107="",NEGOCIAÇÕES!N107&gt;TODAY()),NEGOCIAÇÕES!C107,"")</f>
        <v/>
      </c>
      <c r="C107" s="6" t="str">
        <f ca="1">IF(AND(NEGOCIAÇÕES!O107="",NEGOCIAÇÕES!N107&gt;TODAY()),NEGOCIAÇÕES!E107,"")</f>
        <v/>
      </c>
      <c r="D107" s="6" t="str">
        <f ca="1">IF(AND(NEGOCIAÇÕES!O107="",NEGOCIAÇÕES!N107&gt;TODAY()),NEGOCIAÇÕES!D107,"")</f>
        <v/>
      </c>
      <c r="E107" s="9" t="str">
        <f>IF(AND(NEGOCIAÇÕES!B107&lt;&gt;"",NEGOCIAÇÕES!O107=""),NEGOCIAÇÕES!N107,"")</f>
        <v/>
      </c>
    </row>
    <row r="108" spans="2:5" ht="31.95" hidden="1" customHeight="1" x14ac:dyDescent="0.3">
      <c r="B108" s="6" t="str">
        <f ca="1">IF(AND(NEGOCIAÇÕES!O108="",NEGOCIAÇÕES!N108&gt;TODAY()),NEGOCIAÇÕES!C108,"")</f>
        <v/>
      </c>
      <c r="C108" s="6" t="str">
        <f ca="1">IF(AND(NEGOCIAÇÕES!O108="",NEGOCIAÇÕES!N108&gt;TODAY()),NEGOCIAÇÕES!E108,"")</f>
        <v/>
      </c>
      <c r="D108" s="6" t="str">
        <f ca="1">IF(AND(NEGOCIAÇÕES!O108="",NEGOCIAÇÕES!N108&gt;TODAY()),NEGOCIAÇÕES!D108,"")</f>
        <v/>
      </c>
      <c r="E108" s="9" t="str">
        <f>IF(AND(NEGOCIAÇÕES!B108&lt;&gt;"",NEGOCIAÇÕES!O108=""),NEGOCIAÇÕES!N108,"")</f>
        <v/>
      </c>
    </row>
    <row r="109" spans="2:5" ht="31.95" hidden="1" customHeight="1" x14ac:dyDescent="0.3">
      <c r="B109" s="6" t="str">
        <f ca="1">IF(AND(NEGOCIAÇÕES!O109="",NEGOCIAÇÕES!N109&gt;TODAY()),NEGOCIAÇÕES!C109,"")</f>
        <v/>
      </c>
      <c r="C109" s="6" t="str">
        <f ca="1">IF(AND(NEGOCIAÇÕES!O109="",NEGOCIAÇÕES!N109&gt;TODAY()),NEGOCIAÇÕES!E109,"")</f>
        <v/>
      </c>
      <c r="D109" s="6" t="str">
        <f ca="1">IF(AND(NEGOCIAÇÕES!O109="",NEGOCIAÇÕES!N109&gt;TODAY()),NEGOCIAÇÕES!D109,"")</f>
        <v/>
      </c>
      <c r="E109" s="9" t="str">
        <f>IF(AND(NEGOCIAÇÕES!B109&lt;&gt;"",NEGOCIAÇÕES!O109=""),NEGOCIAÇÕES!N109,"")</f>
        <v/>
      </c>
    </row>
    <row r="110" spans="2:5" ht="31.95" hidden="1" customHeight="1" x14ac:dyDescent="0.3">
      <c r="B110" s="6" t="str">
        <f ca="1">IF(AND(NEGOCIAÇÕES!O110="",NEGOCIAÇÕES!N110&gt;TODAY()),NEGOCIAÇÕES!C110,"")</f>
        <v/>
      </c>
      <c r="C110" s="6" t="str">
        <f ca="1">IF(AND(NEGOCIAÇÕES!O110="",NEGOCIAÇÕES!N110&gt;TODAY()),NEGOCIAÇÕES!E110,"")</f>
        <v/>
      </c>
      <c r="D110" s="6" t="str">
        <f ca="1">IF(AND(NEGOCIAÇÕES!O110="",NEGOCIAÇÕES!N110&gt;TODAY()),NEGOCIAÇÕES!D110,"")</f>
        <v/>
      </c>
      <c r="E110" s="9" t="str">
        <f>IF(AND(NEGOCIAÇÕES!B110&lt;&gt;"",NEGOCIAÇÕES!O110=""),NEGOCIAÇÕES!N110,"")</f>
        <v/>
      </c>
    </row>
    <row r="111" spans="2:5" ht="31.95" hidden="1" customHeight="1" x14ac:dyDescent="0.3">
      <c r="B111" s="6" t="str">
        <f ca="1">IF(AND(NEGOCIAÇÕES!O111="",NEGOCIAÇÕES!N111&gt;TODAY()),NEGOCIAÇÕES!C111,"")</f>
        <v/>
      </c>
      <c r="C111" s="6" t="str">
        <f ca="1">IF(AND(NEGOCIAÇÕES!O111="",NEGOCIAÇÕES!N111&gt;TODAY()),NEGOCIAÇÕES!E111,"")</f>
        <v/>
      </c>
      <c r="D111" s="6" t="str">
        <f ca="1">IF(AND(NEGOCIAÇÕES!O111="",NEGOCIAÇÕES!N111&gt;TODAY()),NEGOCIAÇÕES!D111,"")</f>
        <v/>
      </c>
      <c r="E111" s="9" t="str">
        <f>IF(AND(NEGOCIAÇÕES!B111&lt;&gt;"",NEGOCIAÇÕES!O111=""),NEGOCIAÇÕES!N111,"")</f>
        <v/>
      </c>
    </row>
    <row r="112" spans="2:5" ht="31.95" hidden="1" customHeight="1" x14ac:dyDescent="0.3">
      <c r="B112" s="6" t="str">
        <f ca="1">IF(AND(NEGOCIAÇÕES!O112="",NEGOCIAÇÕES!N112&gt;TODAY()),NEGOCIAÇÕES!C112,"")</f>
        <v/>
      </c>
      <c r="C112" s="6" t="str">
        <f ca="1">IF(AND(NEGOCIAÇÕES!O112="",NEGOCIAÇÕES!N112&gt;TODAY()),NEGOCIAÇÕES!E112,"")</f>
        <v/>
      </c>
      <c r="D112" s="6" t="str">
        <f ca="1">IF(AND(NEGOCIAÇÕES!O112="",NEGOCIAÇÕES!N112&gt;TODAY()),NEGOCIAÇÕES!D112,"")</f>
        <v/>
      </c>
      <c r="E112" s="9" t="str">
        <f>IF(AND(NEGOCIAÇÕES!B112&lt;&gt;"",NEGOCIAÇÕES!O112=""),NEGOCIAÇÕES!N112,"")</f>
        <v/>
      </c>
    </row>
    <row r="113" spans="2:5" ht="31.95" hidden="1" customHeight="1" x14ac:dyDescent="0.3">
      <c r="B113" s="6" t="str">
        <f ca="1">IF(AND(NEGOCIAÇÕES!O113="",NEGOCIAÇÕES!N113&gt;TODAY()),NEGOCIAÇÕES!C113,"")</f>
        <v/>
      </c>
      <c r="C113" s="6" t="str">
        <f ca="1">IF(AND(NEGOCIAÇÕES!O113="",NEGOCIAÇÕES!N113&gt;TODAY()),NEGOCIAÇÕES!E113,"")</f>
        <v/>
      </c>
      <c r="D113" s="6" t="str">
        <f ca="1">IF(AND(NEGOCIAÇÕES!O113="",NEGOCIAÇÕES!N113&gt;TODAY()),NEGOCIAÇÕES!D113,"")</f>
        <v/>
      </c>
      <c r="E113" s="9" t="str">
        <f>IF(AND(NEGOCIAÇÕES!B113&lt;&gt;"",NEGOCIAÇÕES!O113=""),NEGOCIAÇÕES!N113,"")</f>
        <v/>
      </c>
    </row>
    <row r="114" spans="2:5" ht="31.95" hidden="1" customHeight="1" x14ac:dyDescent="0.3">
      <c r="B114" s="6" t="str">
        <f ca="1">IF(AND(NEGOCIAÇÕES!O114="",NEGOCIAÇÕES!N114&gt;TODAY()),NEGOCIAÇÕES!C114,"")</f>
        <v/>
      </c>
      <c r="C114" s="6" t="str">
        <f ca="1">IF(AND(NEGOCIAÇÕES!O114="",NEGOCIAÇÕES!N114&gt;TODAY()),NEGOCIAÇÕES!E114,"")</f>
        <v/>
      </c>
      <c r="D114" s="6" t="str">
        <f ca="1">IF(AND(NEGOCIAÇÕES!O114="",NEGOCIAÇÕES!N114&gt;TODAY()),NEGOCIAÇÕES!D114,"")</f>
        <v/>
      </c>
      <c r="E114" s="9" t="str">
        <f>IF(AND(NEGOCIAÇÕES!B114&lt;&gt;"",NEGOCIAÇÕES!O114=""),NEGOCIAÇÕES!N114,"")</f>
        <v/>
      </c>
    </row>
    <row r="115" spans="2:5" ht="31.95" hidden="1" customHeight="1" x14ac:dyDescent="0.3">
      <c r="B115" s="6" t="str">
        <f ca="1">IF(AND(NEGOCIAÇÕES!O115="",NEGOCIAÇÕES!N115&gt;TODAY()),NEGOCIAÇÕES!C115,"")</f>
        <v/>
      </c>
      <c r="C115" s="6" t="str">
        <f ca="1">IF(AND(NEGOCIAÇÕES!O115="",NEGOCIAÇÕES!N115&gt;TODAY()),NEGOCIAÇÕES!E115,"")</f>
        <v/>
      </c>
      <c r="D115" s="6" t="str">
        <f ca="1">IF(AND(NEGOCIAÇÕES!O115="",NEGOCIAÇÕES!N115&gt;TODAY()),NEGOCIAÇÕES!D115,"")</f>
        <v/>
      </c>
      <c r="E115" s="9" t="str">
        <f>IF(AND(NEGOCIAÇÕES!B115&lt;&gt;"",NEGOCIAÇÕES!O115=""),NEGOCIAÇÕES!N115,"")</f>
        <v/>
      </c>
    </row>
    <row r="116" spans="2:5" ht="31.95" hidden="1" customHeight="1" x14ac:dyDescent="0.3">
      <c r="B116" s="6" t="str">
        <f ca="1">IF(AND(NEGOCIAÇÕES!O116="",NEGOCIAÇÕES!N116&gt;TODAY()),NEGOCIAÇÕES!C116,"")</f>
        <v/>
      </c>
      <c r="C116" s="6" t="str">
        <f ca="1">IF(AND(NEGOCIAÇÕES!O116="",NEGOCIAÇÕES!N116&gt;TODAY()),NEGOCIAÇÕES!E116,"")</f>
        <v/>
      </c>
      <c r="D116" s="6" t="str">
        <f ca="1">IF(AND(NEGOCIAÇÕES!O116="",NEGOCIAÇÕES!N116&gt;TODAY()),NEGOCIAÇÕES!D116,"")</f>
        <v/>
      </c>
      <c r="E116" s="9" t="str">
        <f>IF(AND(NEGOCIAÇÕES!B116&lt;&gt;"",NEGOCIAÇÕES!O116=""),NEGOCIAÇÕES!N116,"")</f>
        <v/>
      </c>
    </row>
    <row r="117" spans="2:5" ht="31.95" hidden="1" customHeight="1" x14ac:dyDescent="0.3">
      <c r="B117" s="6" t="str">
        <f ca="1">IF(AND(NEGOCIAÇÕES!O117="",NEGOCIAÇÕES!N117&gt;TODAY()),NEGOCIAÇÕES!C117,"")</f>
        <v/>
      </c>
      <c r="C117" s="6" t="str">
        <f ca="1">IF(AND(NEGOCIAÇÕES!O117="",NEGOCIAÇÕES!N117&gt;TODAY()),NEGOCIAÇÕES!E117,"")</f>
        <v/>
      </c>
      <c r="D117" s="6" t="str">
        <f ca="1">IF(AND(NEGOCIAÇÕES!O117="",NEGOCIAÇÕES!N117&gt;TODAY()),NEGOCIAÇÕES!D117,"")</f>
        <v/>
      </c>
      <c r="E117" s="9" t="str">
        <f>IF(AND(NEGOCIAÇÕES!B117&lt;&gt;"",NEGOCIAÇÕES!O117=""),NEGOCIAÇÕES!N117,"")</f>
        <v/>
      </c>
    </row>
    <row r="118" spans="2:5" ht="31.95" hidden="1" customHeight="1" x14ac:dyDescent="0.3">
      <c r="B118" s="6" t="str">
        <f ca="1">IF(AND(NEGOCIAÇÕES!O118="",NEGOCIAÇÕES!N118&gt;TODAY()),NEGOCIAÇÕES!C118,"")</f>
        <v/>
      </c>
      <c r="C118" s="6" t="str">
        <f ca="1">IF(AND(NEGOCIAÇÕES!O118="",NEGOCIAÇÕES!N118&gt;TODAY()),NEGOCIAÇÕES!E118,"")</f>
        <v/>
      </c>
      <c r="D118" s="6" t="str">
        <f ca="1">IF(AND(NEGOCIAÇÕES!O118="",NEGOCIAÇÕES!N118&gt;TODAY()),NEGOCIAÇÕES!D118,"")</f>
        <v/>
      </c>
      <c r="E118" s="9" t="str">
        <f>IF(AND(NEGOCIAÇÕES!B118&lt;&gt;"",NEGOCIAÇÕES!O118=""),NEGOCIAÇÕES!N118,"")</f>
        <v/>
      </c>
    </row>
    <row r="119" spans="2:5" ht="31.95" hidden="1" customHeight="1" x14ac:dyDescent="0.3">
      <c r="B119" s="6" t="str">
        <f ca="1">IF(AND(NEGOCIAÇÕES!O119="",NEGOCIAÇÕES!N119&gt;TODAY()),NEGOCIAÇÕES!C119,"")</f>
        <v/>
      </c>
      <c r="C119" s="6" t="str">
        <f ca="1">IF(AND(NEGOCIAÇÕES!O119="",NEGOCIAÇÕES!N119&gt;TODAY()),NEGOCIAÇÕES!E119,"")</f>
        <v/>
      </c>
      <c r="D119" s="6" t="str">
        <f ca="1">IF(AND(NEGOCIAÇÕES!O119="",NEGOCIAÇÕES!N119&gt;TODAY()),NEGOCIAÇÕES!D119,"")</f>
        <v/>
      </c>
      <c r="E119" s="9" t="str">
        <f>IF(AND(NEGOCIAÇÕES!B119&lt;&gt;"",NEGOCIAÇÕES!O119=""),NEGOCIAÇÕES!N119,"")</f>
        <v/>
      </c>
    </row>
    <row r="120" spans="2:5" ht="31.95" hidden="1" customHeight="1" x14ac:dyDescent="0.3">
      <c r="B120" s="6" t="str">
        <f ca="1">IF(AND(NEGOCIAÇÕES!O120="",NEGOCIAÇÕES!N120&gt;TODAY()),NEGOCIAÇÕES!C120,"")</f>
        <v/>
      </c>
      <c r="C120" s="6" t="str">
        <f ca="1">IF(AND(NEGOCIAÇÕES!O120="",NEGOCIAÇÕES!N120&gt;TODAY()),NEGOCIAÇÕES!E120,"")</f>
        <v/>
      </c>
      <c r="D120" s="6" t="str">
        <f ca="1">IF(AND(NEGOCIAÇÕES!O120="",NEGOCIAÇÕES!N120&gt;TODAY()),NEGOCIAÇÕES!D120,"")</f>
        <v/>
      </c>
      <c r="E120" s="9" t="str">
        <f>IF(AND(NEGOCIAÇÕES!B120&lt;&gt;"",NEGOCIAÇÕES!O120=""),NEGOCIAÇÕES!N120,"")</f>
        <v/>
      </c>
    </row>
    <row r="121" spans="2:5" ht="31.95" hidden="1" customHeight="1" x14ac:dyDescent="0.3">
      <c r="B121" s="6" t="str">
        <f ca="1">IF(AND(NEGOCIAÇÕES!O121="",NEGOCIAÇÕES!N121&gt;TODAY()),NEGOCIAÇÕES!C121,"")</f>
        <v/>
      </c>
      <c r="C121" s="6" t="str">
        <f ca="1">IF(AND(NEGOCIAÇÕES!O121="",NEGOCIAÇÕES!N121&gt;TODAY()),NEGOCIAÇÕES!E121,"")</f>
        <v/>
      </c>
      <c r="D121" s="6" t="str">
        <f ca="1">IF(AND(NEGOCIAÇÕES!O121="",NEGOCIAÇÕES!N121&gt;TODAY()),NEGOCIAÇÕES!D121,"")</f>
        <v/>
      </c>
      <c r="E121" s="9" t="str">
        <f>IF(AND(NEGOCIAÇÕES!B121&lt;&gt;"",NEGOCIAÇÕES!O121=""),NEGOCIAÇÕES!N121,"")</f>
        <v/>
      </c>
    </row>
    <row r="122" spans="2:5" ht="31.95" hidden="1" customHeight="1" x14ac:dyDescent="0.3">
      <c r="B122" s="6" t="str">
        <f ca="1">IF(AND(NEGOCIAÇÕES!O122="",NEGOCIAÇÕES!N122&gt;TODAY()),NEGOCIAÇÕES!C122,"")</f>
        <v/>
      </c>
      <c r="C122" s="6" t="str">
        <f ca="1">IF(AND(NEGOCIAÇÕES!O122="",NEGOCIAÇÕES!N122&gt;TODAY()),NEGOCIAÇÕES!E122,"")</f>
        <v/>
      </c>
      <c r="D122" s="6" t="str">
        <f ca="1">IF(AND(NEGOCIAÇÕES!O122="",NEGOCIAÇÕES!N122&gt;TODAY()),NEGOCIAÇÕES!D122,"")</f>
        <v/>
      </c>
      <c r="E122" s="9" t="str">
        <f>IF(AND(NEGOCIAÇÕES!B122&lt;&gt;"",NEGOCIAÇÕES!O122=""),NEGOCIAÇÕES!N122,"")</f>
        <v/>
      </c>
    </row>
    <row r="123" spans="2:5" ht="31.95" hidden="1" customHeight="1" x14ac:dyDescent="0.3">
      <c r="B123" s="6" t="str">
        <f ca="1">IF(AND(NEGOCIAÇÕES!O123="",NEGOCIAÇÕES!N123&gt;TODAY()),NEGOCIAÇÕES!C123,"")</f>
        <v/>
      </c>
      <c r="C123" s="6" t="str">
        <f ca="1">IF(AND(NEGOCIAÇÕES!O123="",NEGOCIAÇÕES!N123&gt;TODAY()),NEGOCIAÇÕES!E123,"")</f>
        <v/>
      </c>
      <c r="D123" s="6" t="str">
        <f ca="1">IF(AND(NEGOCIAÇÕES!O123="",NEGOCIAÇÕES!N123&gt;TODAY()),NEGOCIAÇÕES!D123,"")</f>
        <v/>
      </c>
      <c r="E123" s="9" t="str">
        <f>IF(AND(NEGOCIAÇÕES!B123&lt;&gt;"",NEGOCIAÇÕES!O123=""),NEGOCIAÇÕES!N123,"")</f>
        <v/>
      </c>
    </row>
    <row r="124" spans="2:5" ht="31.95" hidden="1" customHeight="1" x14ac:dyDescent="0.3">
      <c r="B124" s="6" t="str">
        <f ca="1">IF(AND(NEGOCIAÇÕES!O124="",NEGOCIAÇÕES!N124&gt;TODAY()),NEGOCIAÇÕES!C124,"")</f>
        <v/>
      </c>
      <c r="C124" s="6" t="str">
        <f ca="1">IF(AND(NEGOCIAÇÕES!O124="",NEGOCIAÇÕES!N124&gt;TODAY()),NEGOCIAÇÕES!E124,"")</f>
        <v/>
      </c>
      <c r="D124" s="6" t="str">
        <f ca="1">IF(AND(NEGOCIAÇÕES!O124="",NEGOCIAÇÕES!N124&gt;TODAY()),NEGOCIAÇÕES!D124,"")</f>
        <v/>
      </c>
      <c r="E124" s="9" t="str">
        <f>IF(AND(NEGOCIAÇÕES!B124&lt;&gt;"",NEGOCIAÇÕES!O124=""),NEGOCIAÇÕES!N124,"")</f>
        <v/>
      </c>
    </row>
    <row r="125" spans="2:5" ht="31.95" hidden="1" customHeight="1" x14ac:dyDescent="0.3">
      <c r="B125" s="6" t="str">
        <f ca="1">IF(AND(NEGOCIAÇÕES!O125="",NEGOCIAÇÕES!N125&gt;TODAY()),NEGOCIAÇÕES!C125,"")</f>
        <v/>
      </c>
      <c r="C125" s="6" t="str">
        <f ca="1">IF(AND(NEGOCIAÇÕES!O125="",NEGOCIAÇÕES!N125&gt;TODAY()),NEGOCIAÇÕES!E125,"")</f>
        <v/>
      </c>
      <c r="D125" s="6" t="str">
        <f ca="1">IF(AND(NEGOCIAÇÕES!O125="",NEGOCIAÇÕES!N125&gt;TODAY()),NEGOCIAÇÕES!D125,"")</f>
        <v/>
      </c>
      <c r="E125" s="9" t="str">
        <f>IF(AND(NEGOCIAÇÕES!B125&lt;&gt;"",NEGOCIAÇÕES!O125=""),NEGOCIAÇÕES!N125,"")</f>
        <v/>
      </c>
    </row>
    <row r="126" spans="2:5" ht="31.95" hidden="1" customHeight="1" x14ac:dyDescent="0.3">
      <c r="B126" s="6" t="str">
        <f ca="1">IF(AND(NEGOCIAÇÕES!O126="",NEGOCIAÇÕES!N126&gt;TODAY()),NEGOCIAÇÕES!C126,"")</f>
        <v/>
      </c>
      <c r="C126" s="6" t="str">
        <f ca="1">IF(AND(NEGOCIAÇÕES!O126="",NEGOCIAÇÕES!N126&gt;TODAY()),NEGOCIAÇÕES!E126,"")</f>
        <v/>
      </c>
      <c r="D126" s="6" t="str">
        <f ca="1">IF(AND(NEGOCIAÇÕES!O126="",NEGOCIAÇÕES!N126&gt;TODAY()),NEGOCIAÇÕES!D126,"")</f>
        <v/>
      </c>
      <c r="E126" s="9" t="str">
        <f>IF(AND(NEGOCIAÇÕES!B126&lt;&gt;"",NEGOCIAÇÕES!O126=""),NEGOCIAÇÕES!N126,"")</f>
        <v/>
      </c>
    </row>
    <row r="127" spans="2:5" ht="31.95" hidden="1" customHeight="1" x14ac:dyDescent="0.3">
      <c r="B127" s="6" t="str">
        <f ca="1">IF(AND(NEGOCIAÇÕES!O127="",NEGOCIAÇÕES!N127&gt;TODAY()),NEGOCIAÇÕES!C127,"")</f>
        <v/>
      </c>
      <c r="C127" s="6" t="str">
        <f ca="1">IF(AND(NEGOCIAÇÕES!O127="",NEGOCIAÇÕES!N127&gt;TODAY()),NEGOCIAÇÕES!E127,"")</f>
        <v/>
      </c>
      <c r="D127" s="6" t="str">
        <f ca="1">IF(AND(NEGOCIAÇÕES!O127="",NEGOCIAÇÕES!N127&gt;TODAY()),NEGOCIAÇÕES!D127,"")</f>
        <v/>
      </c>
      <c r="E127" s="9" t="str">
        <f>IF(AND(NEGOCIAÇÕES!B127&lt;&gt;"",NEGOCIAÇÕES!O127=""),NEGOCIAÇÕES!N127,"")</f>
        <v/>
      </c>
    </row>
    <row r="128" spans="2:5" ht="31.95" hidden="1" customHeight="1" x14ac:dyDescent="0.3">
      <c r="B128" s="6" t="str">
        <f ca="1">IF(AND(NEGOCIAÇÕES!O128="",NEGOCIAÇÕES!N128&gt;TODAY()),NEGOCIAÇÕES!C128,"")</f>
        <v/>
      </c>
      <c r="C128" s="6" t="str">
        <f ca="1">IF(AND(NEGOCIAÇÕES!O128="",NEGOCIAÇÕES!N128&gt;TODAY()),NEGOCIAÇÕES!E128,"")</f>
        <v/>
      </c>
      <c r="D128" s="6" t="str">
        <f ca="1">IF(AND(NEGOCIAÇÕES!O128="",NEGOCIAÇÕES!N128&gt;TODAY()),NEGOCIAÇÕES!D128,"")</f>
        <v/>
      </c>
      <c r="E128" s="9" t="str">
        <f>IF(AND(NEGOCIAÇÕES!B128&lt;&gt;"",NEGOCIAÇÕES!O128=""),NEGOCIAÇÕES!N128,"")</f>
        <v/>
      </c>
    </row>
    <row r="129" spans="2:5" ht="31.95" hidden="1" customHeight="1" x14ac:dyDescent="0.3">
      <c r="B129" s="6" t="str">
        <f ca="1">IF(AND(NEGOCIAÇÕES!O129="",NEGOCIAÇÕES!N129&gt;TODAY()),NEGOCIAÇÕES!C129,"")</f>
        <v/>
      </c>
      <c r="C129" s="6" t="str">
        <f ca="1">IF(AND(NEGOCIAÇÕES!O129="",NEGOCIAÇÕES!N129&gt;TODAY()),NEGOCIAÇÕES!E129,"")</f>
        <v/>
      </c>
      <c r="D129" s="6" t="str">
        <f ca="1">IF(AND(NEGOCIAÇÕES!O129="",NEGOCIAÇÕES!N129&gt;TODAY()),NEGOCIAÇÕES!D129,"")</f>
        <v/>
      </c>
      <c r="E129" s="9" t="str">
        <f>IF(AND(NEGOCIAÇÕES!B129&lt;&gt;"",NEGOCIAÇÕES!O129=""),NEGOCIAÇÕES!N129,"")</f>
        <v/>
      </c>
    </row>
    <row r="130" spans="2:5" ht="31.95" hidden="1" customHeight="1" x14ac:dyDescent="0.3">
      <c r="B130" s="6" t="str">
        <f ca="1">IF(AND(NEGOCIAÇÕES!O130="",NEGOCIAÇÕES!N130&gt;TODAY()),NEGOCIAÇÕES!C130,"")</f>
        <v/>
      </c>
      <c r="C130" s="6" t="str">
        <f ca="1">IF(AND(NEGOCIAÇÕES!O130="",NEGOCIAÇÕES!N130&gt;TODAY()),NEGOCIAÇÕES!E130,"")</f>
        <v/>
      </c>
      <c r="D130" s="6" t="str">
        <f ca="1">IF(AND(NEGOCIAÇÕES!O130="",NEGOCIAÇÕES!N130&gt;TODAY()),NEGOCIAÇÕES!D130,"")</f>
        <v/>
      </c>
      <c r="E130" s="9" t="str">
        <f>IF(AND(NEGOCIAÇÕES!B130&lt;&gt;"",NEGOCIAÇÕES!O130=""),NEGOCIAÇÕES!N130,"")</f>
        <v/>
      </c>
    </row>
    <row r="131" spans="2:5" ht="31.95" hidden="1" customHeight="1" x14ac:dyDescent="0.3">
      <c r="B131" s="6" t="str">
        <f ca="1">IF(AND(NEGOCIAÇÕES!O131="",NEGOCIAÇÕES!N131&gt;TODAY()),NEGOCIAÇÕES!C131,"")</f>
        <v/>
      </c>
      <c r="C131" s="6" t="str">
        <f ca="1">IF(AND(NEGOCIAÇÕES!O131="",NEGOCIAÇÕES!N131&gt;TODAY()),NEGOCIAÇÕES!E131,"")</f>
        <v/>
      </c>
      <c r="D131" s="6" t="str">
        <f ca="1">IF(AND(NEGOCIAÇÕES!O131="",NEGOCIAÇÕES!N131&gt;TODAY()),NEGOCIAÇÕES!D131,"")</f>
        <v/>
      </c>
      <c r="E131" s="9" t="str">
        <f>IF(AND(NEGOCIAÇÕES!B131&lt;&gt;"",NEGOCIAÇÕES!O131=""),NEGOCIAÇÕES!N131,"")</f>
        <v/>
      </c>
    </row>
    <row r="132" spans="2:5" ht="31.95" hidden="1" customHeight="1" x14ac:dyDescent="0.3">
      <c r="B132" s="6" t="str">
        <f ca="1">IF(AND(NEGOCIAÇÕES!O132="",NEGOCIAÇÕES!N132&gt;TODAY()),NEGOCIAÇÕES!C132,"")</f>
        <v/>
      </c>
      <c r="C132" s="6" t="str">
        <f ca="1">IF(AND(NEGOCIAÇÕES!O132="",NEGOCIAÇÕES!N132&gt;TODAY()),NEGOCIAÇÕES!E132,"")</f>
        <v/>
      </c>
      <c r="D132" s="6" t="str">
        <f ca="1">IF(AND(NEGOCIAÇÕES!O132="",NEGOCIAÇÕES!N132&gt;TODAY()),NEGOCIAÇÕES!D132,"")</f>
        <v/>
      </c>
      <c r="E132" s="9" t="str">
        <f>IF(AND(NEGOCIAÇÕES!B132&lt;&gt;"",NEGOCIAÇÕES!O132=""),NEGOCIAÇÕES!N132,"")</f>
        <v/>
      </c>
    </row>
    <row r="133" spans="2:5" ht="31.95" hidden="1" customHeight="1" x14ac:dyDescent="0.3">
      <c r="B133" s="6" t="str">
        <f ca="1">IF(AND(NEGOCIAÇÕES!O133="",NEGOCIAÇÕES!N133&gt;TODAY()),NEGOCIAÇÕES!C133,"")</f>
        <v/>
      </c>
      <c r="C133" s="6" t="str">
        <f ca="1">IF(AND(NEGOCIAÇÕES!O133="",NEGOCIAÇÕES!N133&gt;TODAY()),NEGOCIAÇÕES!E133,"")</f>
        <v/>
      </c>
      <c r="D133" s="6" t="str">
        <f ca="1">IF(AND(NEGOCIAÇÕES!O133="",NEGOCIAÇÕES!N133&gt;TODAY()),NEGOCIAÇÕES!D133,"")</f>
        <v/>
      </c>
      <c r="E133" s="9" t="str">
        <f>IF(AND(NEGOCIAÇÕES!B133&lt;&gt;"",NEGOCIAÇÕES!O133=""),NEGOCIAÇÕES!N133,"")</f>
        <v/>
      </c>
    </row>
    <row r="134" spans="2:5" ht="31.95" hidden="1" customHeight="1" x14ac:dyDescent="0.3">
      <c r="B134" s="6" t="str">
        <f ca="1">IF(AND(NEGOCIAÇÕES!O134="",NEGOCIAÇÕES!N134&gt;TODAY()),NEGOCIAÇÕES!C134,"")</f>
        <v/>
      </c>
      <c r="C134" s="6" t="str">
        <f ca="1">IF(AND(NEGOCIAÇÕES!O134="",NEGOCIAÇÕES!N134&gt;TODAY()),NEGOCIAÇÕES!E134,"")</f>
        <v/>
      </c>
      <c r="D134" s="6" t="str">
        <f ca="1">IF(AND(NEGOCIAÇÕES!O134="",NEGOCIAÇÕES!N134&gt;TODAY()),NEGOCIAÇÕES!D134,"")</f>
        <v/>
      </c>
      <c r="E134" s="9" t="str">
        <f>IF(AND(NEGOCIAÇÕES!B134&lt;&gt;"",NEGOCIAÇÕES!O134=""),NEGOCIAÇÕES!N134,"")</f>
        <v/>
      </c>
    </row>
    <row r="135" spans="2:5" ht="31.95" hidden="1" customHeight="1" x14ac:dyDescent="0.3">
      <c r="B135" s="6" t="str">
        <f ca="1">IF(AND(NEGOCIAÇÕES!O135="",NEGOCIAÇÕES!N135&gt;TODAY()),NEGOCIAÇÕES!C135,"")</f>
        <v/>
      </c>
      <c r="C135" s="6" t="str">
        <f ca="1">IF(AND(NEGOCIAÇÕES!O135="",NEGOCIAÇÕES!N135&gt;TODAY()),NEGOCIAÇÕES!E135,"")</f>
        <v/>
      </c>
      <c r="D135" s="6" t="str">
        <f ca="1">IF(AND(NEGOCIAÇÕES!O135="",NEGOCIAÇÕES!N135&gt;TODAY()),NEGOCIAÇÕES!D135,"")</f>
        <v/>
      </c>
      <c r="E135" s="9" t="str">
        <f>IF(AND(NEGOCIAÇÕES!B135&lt;&gt;"",NEGOCIAÇÕES!O135=""),NEGOCIAÇÕES!N135,"")</f>
        <v/>
      </c>
    </row>
    <row r="136" spans="2:5" ht="31.95" hidden="1" customHeight="1" x14ac:dyDescent="0.3">
      <c r="B136" s="6" t="str">
        <f ca="1">IF(AND(NEGOCIAÇÕES!O136="",NEGOCIAÇÕES!N136&gt;TODAY()),NEGOCIAÇÕES!C136,"")</f>
        <v/>
      </c>
      <c r="C136" s="6" t="str">
        <f ca="1">IF(AND(NEGOCIAÇÕES!O136="",NEGOCIAÇÕES!N136&gt;TODAY()),NEGOCIAÇÕES!E136,"")</f>
        <v/>
      </c>
      <c r="D136" s="6" t="str">
        <f ca="1">IF(AND(NEGOCIAÇÕES!O136="",NEGOCIAÇÕES!N136&gt;TODAY()),NEGOCIAÇÕES!D136,"")</f>
        <v/>
      </c>
      <c r="E136" s="9" t="str">
        <f>IF(AND(NEGOCIAÇÕES!B136&lt;&gt;"",NEGOCIAÇÕES!O136=""),NEGOCIAÇÕES!N136,"")</f>
        <v/>
      </c>
    </row>
    <row r="137" spans="2:5" ht="31.95" hidden="1" customHeight="1" x14ac:dyDescent="0.3">
      <c r="B137" s="6" t="str">
        <f ca="1">IF(AND(NEGOCIAÇÕES!O137="",NEGOCIAÇÕES!N137&gt;TODAY()),NEGOCIAÇÕES!C137,"")</f>
        <v/>
      </c>
      <c r="C137" s="6" t="str">
        <f ca="1">IF(AND(NEGOCIAÇÕES!O137="",NEGOCIAÇÕES!N137&gt;TODAY()),NEGOCIAÇÕES!E137,"")</f>
        <v/>
      </c>
      <c r="D137" s="6" t="str">
        <f ca="1">IF(AND(NEGOCIAÇÕES!O137="",NEGOCIAÇÕES!N137&gt;TODAY()),NEGOCIAÇÕES!D137,"")</f>
        <v/>
      </c>
      <c r="E137" s="9" t="str">
        <f>IF(AND(NEGOCIAÇÕES!B137&lt;&gt;"",NEGOCIAÇÕES!O137=""),NEGOCIAÇÕES!N137,"")</f>
        <v/>
      </c>
    </row>
    <row r="138" spans="2:5" ht="31.95" hidden="1" customHeight="1" x14ac:dyDescent="0.3">
      <c r="B138" s="6" t="str">
        <f ca="1">IF(AND(NEGOCIAÇÕES!O138="",NEGOCIAÇÕES!N138&gt;TODAY()),NEGOCIAÇÕES!C138,"")</f>
        <v/>
      </c>
      <c r="C138" s="6" t="str">
        <f ca="1">IF(AND(NEGOCIAÇÕES!O138="",NEGOCIAÇÕES!N138&gt;TODAY()),NEGOCIAÇÕES!E138,"")</f>
        <v/>
      </c>
      <c r="D138" s="6" t="str">
        <f ca="1">IF(AND(NEGOCIAÇÕES!O138="",NEGOCIAÇÕES!N138&gt;TODAY()),NEGOCIAÇÕES!D138,"")</f>
        <v/>
      </c>
      <c r="E138" s="9" t="str">
        <f>IF(AND(NEGOCIAÇÕES!B138&lt;&gt;"",NEGOCIAÇÕES!O138=""),NEGOCIAÇÕES!N138,"")</f>
        <v/>
      </c>
    </row>
    <row r="139" spans="2:5" ht="31.95" hidden="1" customHeight="1" x14ac:dyDescent="0.3">
      <c r="B139" s="6" t="str">
        <f ca="1">IF(AND(NEGOCIAÇÕES!O139="",NEGOCIAÇÕES!N139&gt;TODAY()),NEGOCIAÇÕES!C139,"")</f>
        <v/>
      </c>
      <c r="C139" s="6" t="str">
        <f ca="1">IF(AND(NEGOCIAÇÕES!O139="",NEGOCIAÇÕES!N139&gt;TODAY()),NEGOCIAÇÕES!E139,"")</f>
        <v/>
      </c>
      <c r="D139" s="6" t="str">
        <f ca="1">IF(AND(NEGOCIAÇÕES!O139="",NEGOCIAÇÕES!N139&gt;TODAY()),NEGOCIAÇÕES!D139,"")</f>
        <v/>
      </c>
      <c r="E139" s="9" t="str">
        <f>IF(AND(NEGOCIAÇÕES!B139&lt;&gt;"",NEGOCIAÇÕES!O139=""),NEGOCIAÇÕES!N139,"")</f>
        <v/>
      </c>
    </row>
    <row r="140" spans="2:5" ht="31.95" hidden="1" customHeight="1" x14ac:dyDescent="0.3">
      <c r="B140" s="6" t="str">
        <f ca="1">IF(AND(NEGOCIAÇÕES!O140="",NEGOCIAÇÕES!N140&gt;TODAY()),NEGOCIAÇÕES!C140,"")</f>
        <v/>
      </c>
      <c r="C140" s="6" t="str">
        <f ca="1">IF(AND(NEGOCIAÇÕES!O140="",NEGOCIAÇÕES!N140&gt;TODAY()),NEGOCIAÇÕES!E140,"")</f>
        <v/>
      </c>
      <c r="D140" s="6" t="str">
        <f ca="1">IF(AND(NEGOCIAÇÕES!O140="",NEGOCIAÇÕES!N140&gt;TODAY()),NEGOCIAÇÕES!D140,"")</f>
        <v/>
      </c>
      <c r="E140" s="9" t="str">
        <f>IF(AND(NEGOCIAÇÕES!B140&lt;&gt;"",NEGOCIAÇÕES!O140=""),NEGOCIAÇÕES!N140,"")</f>
        <v/>
      </c>
    </row>
    <row r="141" spans="2:5" ht="31.95" hidden="1" customHeight="1" x14ac:dyDescent="0.3">
      <c r="B141" s="6" t="str">
        <f ca="1">IF(AND(NEGOCIAÇÕES!O141="",NEGOCIAÇÕES!N141&gt;TODAY()),NEGOCIAÇÕES!C141,"")</f>
        <v/>
      </c>
      <c r="C141" s="6" t="str">
        <f ca="1">IF(AND(NEGOCIAÇÕES!O141="",NEGOCIAÇÕES!N141&gt;TODAY()),NEGOCIAÇÕES!E141,"")</f>
        <v/>
      </c>
      <c r="D141" s="6" t="str">
        <f ca="1">IF(AND(NEGOCIAÇÕES!O141="",NEGOCIAÇÕES!N141&gt;TODAY()),NEGOCIAÇÕES!D141,"")</f>
        <v/>
      </c>
      <c r="E141" s="9" t="str">
        <f>IF(AND(NEGOCIAÇÕES!B141&lt;&gt;"",NEGOCIAÇÕES!O141=""),NEGOCIAÇÕES!N141,"")</f>
        <v/>
      </c>
    </row>
    <row r="142" spans="2:5" ht="31.95" hidden="1" customHeight="1" x14ac:dyDescent="0.3">
      <c r="B142" s="6" t="str">
        <f ca="1">IF(AND(NEGOCIAÇÕES!O142="",NEGOCIAÇÕES!N142&gt;TODAY()),NEGOCIAÇÕES!C142,"")</f>
        <v/>
      </c>
      <c r="C142" s="6" t="str">
        <f ca="1">IF(AND(NEGOCIAÇÕES!O142="",NEGOCIAÇÕES!N142&gt;TODAY()),NEGOCIAÇÕES!E142,"")</f>
        <v/>
      </c>
      <c r="D142" s="6" t="str">
        <f ca="1">IF(AND(NEGOCIAÇÕES!O142="",NEGOCIAÇÕES!N142&gt;TODAY()),NEGOCIAÇÕES!D142,"")</f>
        <v/>
      </c>
      <c r="E142" s="9" t="str">
        <f>IF(AND(NEGOCIAÇÕES!B142&lt;&gt;"",NEGOCIAÇÕES!O142=""),NEGOCIAÇÕES!N142,"")</f>
        <v/>
      </c>
    </row>
    <row r="143" spans="2:5" ht="31.95" hidden="1" customHeight="1" x14ac:dyDescent="0.3">
      <c r="B143" s="6" t="str">
        <f ca="1">IF(AND(NEGOCIAÇÕES!O143="",NEGOCIAÇÕES!N143&gt;TODAY()),NEGOCIAÇÕES!C143,"")</f>
        <v/>
      </c>
      <c r="C143" s="6" t="str">
        <f ca="1">IF(AND(NEGOCIAÇÕES!O143="",NEGOCIAÇÕES!N143&gt;TODAY()),NEGOCIAÇÕES!E143,"")</f>
        <v/>
      </c>
      <c r="D143" s="6" t="str">
        <f ca="1">IF(AND(NEGOCIAÇÕES!O143="",NEGOCIAÇÕES!N143&gt;TODAY()),NEGOCIAÇÕES!D143,"")</f>
        <v/>
      </c>
      <c r="E143" s="9" t="str">
        <f>IF(AND(NEGOCIAÇÕES!B143&lt;&gt;"",NEGOCIAÇÕES!O143=""),NEGOCIAÇÕES!N143,"")</f>
        <v/>
      </c>
    </row>
    <row r="144" spans="2:5" ht="31.95" hidden="1" customHeight="1" x14ac:dyDescent="0.3">
      <c r="B144" s="6" t="str">
        <f ca="1">IF(AND(NEGOCIAÇÕES!O144="",NEGOCIAÇÕES!N144&gt;TODAY()),NEGOCIAÇÕES!C144,"")</f>
        <v/>
      </c>
      <c r="C144" s="6" t="str">
        <f ca="1">IF(AND(NEGOCIAÇÕES!O144="",NEGOCIAÇÕES!N144&gt;TODAY()),NEGOCIAÇÕES!E144,"")</f>
        <v/>
      </c>
      <c r="D144" s="6" t="str">
        <f ca="1">IF(AND(NEGOCIAÇÕES!O144="",NEGOCIAÇÕES!N144&gt;TODAY()),NEGOCIAÇÕES!D144,"")</f>
        <v/>
      </c>
      <c r="E144" s="9" t="str">
        <f>IF(AND(NEGOCIAÇÕES!B144&lt;&gt;"",NEGOCIAÇÕES!O144=""),NEGOCIAÇÕES!N144,"")</f>
        <v/>
      </c>
    </row>
    <row r="145" spans="2:5" ht="31.95" hidden="1" customHeight="1" x14ac:dyDescent="0.3">
      <c r="B145" s="6" t="str">
        <f ca="1">IF(AND(NEGOCIAÇÕES!O145="",NEGOCIAÇÕES!N145&gt;TODAY()),NEGOCIAÇÕES!C145,"")</f>
        <v/>
      </c>
      <c r="C145" s="6" t="str">
        <f ca="1">IF(AND(NEGOCIAÇÕES!O145="",NEGOCIAÇÕES!N145&gt;TODAY()),NEGOCIAÇÕES!E145,"")</f>
        <v/>
      </c>
      <c r="D145" s="6" t="str">
        <f ca="1">IF(AND(NEGOCIAÇÕES!O145="",NEGOCIAÇÕES!N145&gt;TODAY()),NEGOCIAÇÕES!D145,"")</f>
        <v/>
      </c>
      <c r="E145" s="9" t="str">
        <f>IF(AND(NEGOCIAÇÕES!B145&lt;&gt;"",NEGOCIAÇÕES!O145=""),NEGOCIAÇÕES!N145,"")</f>
        <v/>
      </c>
    </row>
    <row r="146" spans="2:5" ht="31.95" hidden="1" customHeight="1" x14ac:dyDescent="0.3">
      <c r="B146" s="6" t="str">
        <f ca="1">IF(AND(NEGOCIAÇÕES!O146="",NEGOCIAÇÕES!N146&gt;TODAY()),NEGOCIAÇÕES!C146,"")</f>
        <v/>
      </c>
      <c r="C146" s="6" t="str">
        <f ca="1">IF(AND(NEGOCIAÇÕES!O146="",NEGOCIAÇÕES!N146&gt;TODAY()),NEGOCIAÇÕES!E146,"")</f>
        <v/>
      </c>
      <c r="D146" s="6" t="str">
        <f ca="1">IF(AND(NEGOCIAÇÕES!O146="",NEGOCIAÇÕES!N146&gt;TODAY()),NEGOCIAÇÕES!D146,"")</f>
        <v/>
      </c>
      <c r="E146" s="9" t="str">
        <f>IF(AND(NEGOCIAÇÕES!B146&lt;&gt;"",NEGOCIAÇÕES!O146=""),NEGOCIAÇÕES!N146,"")</f>
        <v/>
      </c>
    </row>
    <row r="147" spans="2:5" ht="31.95" hidden="1" customHeight="1" x14ac:dyDescent="0.3">
      <c r="B147" s="6" t="str">
        <f ca="1">IF(AND(NEGOCIAÇÕES!O147="",NEGOCIAÇÕES!N147&gt;TODAY()),NEGOCIAÇÕES!C147,"")</f>
        <v/>
      </c>
      <c r="C147" s="6" t="str">
        <f ca="1">IF(AND(NEGOCIAÇÕES!O147="",NEGOCIAÇÕES!N147&gt;TODAY()),NEGOCIAÇÕES!E147,"")</f>
        <v/>
      </c>
      <c r="D147" s="6" t="str">
        <f ca="1">IF(AND(NEGOCIAÇÕES!O147="",NEGOCIAÇÕES!N147&gt;TODAY()),NEGOCIAÇÕES!D147,"")</f>
        <v/>
      </c>
      <c r="E147" s="9" t="str">
        <f>IF(AND(NEGOCIAÇÕES!B147&lt;&gt;"",NEGOCIAÇÕES!O147=""),NEGOCIAÇÕES!N147,"")</f>
        <v/>
      </c>
    </row>
    <row r="148" spans="2:5" ht="31.95" hidden="1" customHeight="1" x14ac:dyDescent="0.3">
      <c r="B148" s="6" t="str">
        <f ca="1">IF(AND(NEGOCIAÇÕES!O148="",NEGOCIAÇÕES!N148&gt;TODAY()),NEGOCIAÇÕES!C148,"")</f>
        <v/>
      </c>
      <c r="C148" s="6" t="str">
        <f ca="1">IF(AND(NEGOCIAÇÕES!O148="",NEGOCIAÇÕES!N148&gt;TODAY()),NEGOCIAÇÕES!E148,"")</f>
        <v/>
      </c>
      <c r="D148" s="6" t="str">
        <f ca="1">IF(AND(NEGOCIAÇÕES!O148="",NEGOCIAÇÕES!N148&gt;TODAY()),NEGOCIAÇÕES!D148,"")</f>
        <v/>
      </c>
      <c r="E148" s="9" t="str">
        <f>IF(AND(NEGOCIAÇÕES!B148&lt;&gt;"",NEGOCIAÇÕES!O148=""),NEGOCIAÇÕES!N148,"")</f>
        <v/>
      </c>
    </row>
    <row r="149" spans="2:5" ht="31.95" hidden="1" customHeight="1" x14ac:dyDescent="0.3">
      <c r="B149" s="6" t="str">
        <f ca="1">IF(AND(NEGOCIAÇÕES!O149="",NEGOCIAÇÕES!N149&gt;TODAY()),NEGOCIAÇÕES!C149,"")</f>
        <v/>
      </c>
      <c r="C149" s="6" t="str">
        <f ca="1">IF(AND(NEGOCIAÇÕES!O149="",NEGOCIAÇÕES!N149&gt;TODAY()),NEGOCIAÇÕES!E149,"")</f>
        <v/>
      </c>
      <c r="D149" s="6" t="str">
        <f ca="1">IF(AND(NEGOCIAÇÕES!O149="",NEGOCIAÇÕES!N149&gt;TODAY()),NEGOCIAÇÕES!D149,"")</f>
        <v/>
      </c>
      <c r="E149" s="9" t="str">
        <f>IF(AND(NEGOCIAÇÕES!B149&lt;&gt;"",NEGOCIAÇÕES!O149=""),NEGOCIAÇÕES!N149,"")</f>
        <v/>
      </c>
    </row>
    <row r="150" spans="2:5" ht="31.95" hidden="1" customHeight="1" x14ac:dyDescent="0.3">
      <c r="B150" s="6" t="str">
        <f ca="1">IF(AND(NEGOCIAÇÕES!O150="",NEGOCIAÇÕES!N150&gt;TODAY()),NEGOCIAÇÕES!C150,"")</f>
        <v/>
      </c>
      <c r="C150" s="6" t="str">
        <f ca="1">IF(AND(NEGOCIAÇÕES!O150="",NEGOCIAÇÕES!N150&gt;TODAY()),NEGOCIAÇÕES!E150,"")</f>
        <v/>
      </c>
      <c r="D150" s="6" t="str">
        <f ca="1">IF(AND(NEGOCIAÇÕES!O150="",NEGOCIAÇÕES!N150&gt;TODAY()),NEGOCIAÇÕES!D150,"")</f>
        <v/>
      </c>
      <c r="E150" s="9" t="str">
        <f>IF(AND(NEGOCIAÇÕES!B150&lt;&gt;"",NEGOCIAÇÕES!O150=""),NEGOCIAÇÕES!N150,"")</f>
        <v/>
      </c>
    </row>
    <row r="151" spans="2:5" ht="31.95" hidden="1" customHeight="1" x14ac:dyDescent="0.3">
      <c r="B151" s="6" t="str">
        <f ca="1">IF(AND(NEGOCIAÇÕES!O151="",NEGOCIAÇÕES!N151&gt;TODAY()),NEGOCIAÇÕES!C151,"")</f>
        <v/>
      </c>
      <c r="C151" s="6" t="str">
        <f ca="1">IF(AND(NEGOCIAÇÕES!O151="",NEGOCIAÇÕES!N151&gt;TODAY()),NEGOCIAÇÕES!E151,"")</f>
        <v/>
      </c>
      <c r="D151" s="6" t="str">
        <f ca="1">IF(AND(NEGOCIAÇÕES!O151="",NEGOCIAÇÕES!N151&gt;TODAY()),NEGOCIAÇÕES!D151,"")</f>
        <v/>
      </c>
      <c r="E151" s="9" t="str">
        <f>IF(AND(NEGOCIAÇÕES!B151&lt;&gt;"",NEGOCIAÇÕES!O151=""),NEGOCIAÇÕES!N151,"")</f>
        <v/>
      </c>
    </row>
    <row r="152" spans="2:5" ht="31.95" hidden="1" customHeight="1" x14ac:dyDescent="0.3">
      <c r="B152" s="6" t="str">
        <f ca="1">IF(AND(NEGOCIAÇÕES!O152="",NEGOCIAÇÕES!N152&gt;TODAY()),NEGOCIAÇÕES!C152,"")</f>
        <v/>
      </c>
      <c r="C152" s="6" t="str">
        <f ca="1">IF(AND(NEGOCIAÇÕES!O152="",NEGOCIAÇÕES!N152&gt;TODAY()),NEGOCIAÇÕES!E152,"")</f>
        <v/>
      </c>
      <c r="D152" s="6" t="str">
        <f ca="1">IF(AND(NEGOCIAÇÕES!O152="",NEGOCIAÇÕES!N152&gt;TODAY()),NEGOCIAÇÕES!D152,"")</f>
        <v/>
      </c>
      <c r="E152" s="9" t="str">
        <f>IF(AND(NEGOCIAÇÕES!B152&lt;&gt;"",NEGOCIAÇÕES!O152=""),NEGOCIAÇÕES!N152,"")</f>
        <v/>
      </c>
    </row>
    <row r="153" spans="2:5" ht="31.95" hidden="1" customHeight="1" x14ac:dyDescent="0.3">
      <c r="B153" s="6" t="str">
        <f ca="1">IF(AND(NEGOCIAÇÕES!O153="",NEGOCIAÇÕES!N153&gt;TODAY()),NEGOCIAÇÕES!C153,"")</f>
        <v/>
      </c>
      <c r="C153" s="6" t="str">
        <f ca="1">IF(AND(NEGOCIAÇÕES!O153="",NEGOCIAÇÕES!N153&gt;TODAY()),NEGOCIAÇÕES!E153,"")</f>
        <v/>
      </c>
      <c r="D153" s="6" t="str">
        <f ca="1">IF(AND(NEGOCIAÇÕES!O153="",NEGOCIAÇÕES!N153&gt;TODAY()),NEGOCIAÇÕES!D153,"")</f>
        <v/>
      </c>
      <c r="E153" s="9" t="str">
        <f>IF(AND(NEGOCIAÇÕES!B153&lt;&gt;"",NEGOCIAÇÕES!O153=""),NEGOCIAÇÕES!N153,"")</f>
        <v/>
      </c>
    </row>
    <row r="154" spans="2:5" ht="31.95" hidden="1" customHeight="1" x14ac:dyDescent="0.3">
      <c r="B154" s="6" t="str">
        <f ca="1">IF(AND(NEGOCIAÇÕES!O154="",NEGOCIAÇÕES!N154&gt;TODAY()),NEGOCIAÇÕES!C154,"")</f>
        <v/>
      </c>
      <c r="C154" s="6" t="str">
        <f ca="1">IF(AND(NEGOCIAÇÕES!O154="",NEGOCIAÇÕES!N154&gt;TODAY()),NEGOCIAÇÕES!E154,"")</f>
        <v/>
      </c>
      <c r="D154" s="6" t="str">
        <f ca="1">IF(AND(NEGOCIAÇÕES!O154="",NEGOCIAÇÕES!N154&gt;TODAY()),NEGOCIAÇÕES!D154,"")</f>
        <v/>
      </c>
      <c r="E154" s="9" t="str">
        <f>IF(AND(NEGOCIAÇÕES!B154&lt;&gt;"",NEGOCIAÇÕES!O154=""),NEGOCIAÇÕES!N154,"")</f>
        <v/>
      </c>
    </row>
    <row r="155" spans="2:5" ht="31.95" hidden="1" customHeight="1" x14ac:dyDescent="0.3">
      <c r="B155" s="6" t="str">
        <f ca="1">IF(AND(NEGOCIAÇÕES!O155="",NEGOCIAÇÕES!N155&gt;TODAY()),NEGOCIAÇÕES!C155,"")</f>
        <v/>
      </c>
      <c r="C155" s="6" t="str">
        <f ca="1">IF(AND(NEGOCIAÇÕES!O155="",NEGOCIAÇÕES!N155&gt;TODAY()),NEGOCIAÇÕES!E155,"")</f>
        <v/>
      </c>
      <c r="D155" s="6" t="str">
        <f ca="1">IF(AND(NEGOCIAÇÕES!O155="",NEGOCIAÇÕES!N155&gt;TODAY()),NEGOCIAÇÕES!D155,"")</f>
        <v/>
      </c>
      <c r="E155" s="9" t="str">
        <f>IF(AND(NEGOCIAÇÕES!B155&lt;&gt;"",NEGOCIAÇÕES!O155=""),NEGOCIAÇÕES!N155,"")</f>
        <v/>
      </c>
    </row>
    <row r="156" spans="2:5" ht="31.95" hidden="1" customHeight="1" x14ac:dyDescent="0.3">
      <c r="B156" s="6" t="str">
        <f ca="1">IF(AND(NEGOCIAÇÕES!O156="",NEGOCIAÇÕES!N156&gt;TODAY()),NEGOCIAÇÕES!C156,"")</f>
        <v/>
      </c>
      <c r="C156" s="6" t="str">
        <f ca="1">IF(AND(NEGOCIAÇÕES!O156="",NEGOCIAÇÕES!N156&gt;TODAY()),NEGOCIAÇÕES!E156,"")</f>
        <v/>
      </c>
      <c r="D156" s="6" t="str">
        <f ca="1">IF(AND(NEGOCIAÇÕES!O156="",NEGOCIAÇÕES!N156&gt;TODAY()),NEGOCIAÇÕES!D156,"")</f>
        <v/>
      </c>
      <c r="E156" s="9" t="str">
        <f>IF(AND(NEGOCIAÇÕES!B156&lt;&gt;"",NEGOCIAÇÕES!O156=""),NEGOCIAÇÕES!N156,"")</f>
        <v/>
      </c>
    </row>
    <row r="157" spans="2:5" ht="31.95" hidden="1" customHeight="1" x14ac:dyDescent="0.3">
      <c r="B157" s="6" t="str">
        <f ca="1">IF(AND(NEGOCIAÇÕES!O157="",NEGOCIAÇÕES!N157&gt;TODAY()),NEGOCIAÇÕES!C157,"")</f>
        <v/>
      </c>
      <c r="C157" s="6" t="str">
        <f ca="1">IF(AND(NEGOCIAÇÕES!O157="",NEGOCIAÇÕES!N157&gt;TODAY()),NEGOCIAÇÕES!E157,"")</f>
        <v/>
      </c>
      <c r="D157" s="6" t="str">
        <f ca="1">IF(AND(NEGOCIAÇÕES!O157="",NEGOCIAÇÕES!N157&gt;TODAY()),NEGOCIAÇÕES!D157,"")</f>
        <v/>
      </c>
      <c r="E157" s="9" t="str">
        <f>IF(AND(NEGOCIAÇÕES!B157&lt;&gt;"",NEGOCIAÇÕES!O157=""),NEGOCIAÇÕES!N157,"")</f>
        <v/>
      </c>
    </row>
    <row r="158" spans="2:5" ht="31.95" hidden="1" customHeight="1" x14ac:dyDescent="0.3">
      <c r="B158" s="6" t="str">
        <f ca="1">IF(AND(NEGOCIAÇÕES!O158="",NEGOCIAÇÕES!N158&gt;TODAY()),NEGOCIAÇÕES!C158,"")</f>
        <v/>
      </c>
      <c r="C158" s="6" t="str">
        <f ca="1">IF(AND(NEGOCIAÇÕES!O158="",NEGOCIAÇÕES!N158&gt;TODAY()),NEGOCIAÇÕES!E158,"")</f>
        <v/>
      </c>
      <c r="D158" s="6" t="str">
        <f ca="1">IF(AND(NEGOCIAÇÕES!O158="",NEGOCIAÇÕES!N158&gt;TODAY()),NEGOCIAÇÕES!D158,"")</f>
        <v/>
      </c>
      <c r="E158" s="9" t="str">
        <f>IF(AND(NEGOCIAÇÕES!B158&lt;&gt;"",NEGOCIAÇÕES!O158=""),NEGOCIAÇÕES!N158,"")</f>
        <v/>
      </c>
    </row>
    <row r="159" spans="2:5" ht="31.95" hidden="1" customHeight="1" x14ac:dyDescent="0.3">
      <c r="B159" s="6" t="str">
        <f ca="1">IF(AND(NEGOCIAÇÕES!O159="",NEGOCIAÇÕES!N159&gt;TODAY()),NEGOCIAÇÕES!C159,"")</f>
        <v/>
      </c>
      <c r="C159" s="6" t="str">
        <f ca="1">IF(AND(NEGOCIAÇÕES!O159="",NEGOCIAÇÕES!N159&gt;TODAY()),NEGOCIAÇÕES!E159,"")</f>
        <v/>
      </c>
      <c r="D159" s="6" t="str">
        <f ca="1">IF(AND(NEGOCIAÇÕES!O159="",NEGOCIAÇÕES!N159&gt;TODAY()),NEGOCIAÇÕES!D159,"")</f>
        <v/>
      </c>
      <c r="E159" s="9" t="str">
        <f>IF(AND(NEGOCIAÇÕES!B159&lt;&gt;"",NEGOCIAÇÕES!O159=""),NEGOCIAÇÕES!N159,"")</f>
        <v/>
      </c>
    </row>
    <row r="160" spans="2:5" ht="31.95" hidden="1" customHeight="1" x14ac:dyDescent="0.3">
      <c r="B160" s="6" t="str">
        <f ca="1">IF(AND(NEGOCIAÇÕES!O160="",NEGOCIAÇÕES!N160&gt;TODAY()),NEGOCIAÇÕES!C160,"")</f>
        <v/>
      </c>
      <c r="C160" s="6" t="str">
        <f ca="1">IF(AND(NEGOCIAÇÕES!O160="",NEGOCIAÇÕES!N160&gt;TODAY()),NEGOCIAÇÕES!E160,"")</f>
        <v/>
      </c>
      <c r="D160" s="6" t="str">
        <f ca="1">IF(AND(NEGOCIAÇÕES!O160="",NEGOCIAÇÕES!N160&gt;TODAY()),NEGOCIAÇÕES!D160,"")</f>
        <v/>
      </c>
      <c r="E160" s="9" t="str">
        <f>IF(AND(NEGOCIAÇÕES!B160&lt;&gt;"",NEGOCIAÇÕES!O160=""),NEGOCIAÇÕES!N160,"")</f>
        <v/>
      </c>
    </row>
    <row r="161" spans="2:5" ht="31.95" hidden="1" customHeight="1" x14ac:dyDescent="0.3">
      <c r="B161" s="6" t="str">
        <f ca="1">IF(AND(NEGOCIAÇÕES!O161="",NEGOCIAÇÕES!N161&gt;TODAY()),NEGOCIAÇÕES!C161,"")</f>
        <v/>
      </c>
      <c r="C161" s="6" t="str">
        <f ca="1">IF(AND(NEGOCIAÇÕES!O161="",NEGOCIAÇÕES!N161&gt;TODAY()),NEGOCIAÇÕES!E161,"")</f>
        <v/>
      </c>
      <c r="D161" s="6" t="str">
        <f ca="1">IF(AND(NEGOCIAÇÕES!O161="",NEGOCIAÇÕES!N161&gt;TODAY()),NEGOCIAÇÕES!D161,"")</f>
        <v/>
      </c>
      <c r="E161" s="9" t="str">
        <f>IF(AND(NEGOCIAÇÕES!B161&lt;&gt;"",NEGOCIAÇÕES!O161=""),NEGOCIAÇÕES!N161,"")</f>
        <v/>
      </c>
    </row>
    <row r="162" spans="2:5" ht="31.95" hidden="1" customHeight="1" x14ac:dyDescent="0.3">
      <c r="B162" s="6" t="str">
        <f ca="1">IF(AND(NEGOCIAÇÕES!O162="",NEGOCIAÇÕES!N162&gt;TODAY()),NEGOCIAÇÕES!C162,"")</f>
        <v/>
      </c>
      <c r="C162" s="6" t="str">
        <f ca="1">IF(AND(NEGOCIAÇÕES!O162="",NEGOCIAÇÕES!N162&gt;TODAY()),NEGOCIAÇÕES!E162,"")</f>
        <v/>
      </c>
      <c r="D162" s="6" t="str">
        <f ca="1">IF(AND(NEGOCIAÇÕES!O162="",NEGOCIAÇÕES!N162&gt;TODAY()),NEGOCIAÇÕES!D162,"")</f>
        <v/>
      </c>
      <c r="E162" s="9" t="str">
        <f>IF(AND(NEGOCIAÇÕES!B162&lt;&gt;"",NEGOCIAÇÕES!O162=""),NEGOCIAÇÕES!N162,"")</f>
        <v/>
      </c>
    </row>
    <row r="163" spans="2:5" ht="31.95" hidden="1" customHeight="1" x14ac:dyDescent="0.3">
      <c r="B163" s="6" t="str">
        <f ca="1">IF(AND(NEGOCIAÇÕES!O163="",NEGOCIAÇÕES!N163&gt;TODAY()),NEGOCIAÇÕES!C163,"")</f>
        <v/>
      </c>
      <c r="C163" s="6" t="str">
        <f ca="1">IF(AND(NEGOCIAÇÕES!O163="",NEGOCIAÇÕES!N163&gt;TODAY()),NEGOCIAÇÕES!E163,"")</f>
        <v/>
      </c>
      <c r="D163" s="6" t="str">
        <f ca="1">IF(AND(NEGOCIAÇÕES!O163="",NEGOCIAÇÕES!N163&gt;TODAY()),NEGOCIAÇÕES!D163,"")</f>
        <v/>
      </c>
      <c r="E163" s="9" t="str">
        <f>IF(AND(NEGOCIAÇÕES!B163&lt;&gt;"",NEGOCIAÇÕES!O163=""),NEGOCIAÇÕES!N163,"")</f>
        <v/>
      </c>
    </row>
    <row r="164" spans="2:5" ht="31.95" hidden="1" customHeight="1" x14ac:dyDescent="0.3">
      <c r="B164" s="6" t="str">
        <f ca="1">IF(AND(NEGOCIAÇÕES!O164="",NEGOCIAÇÕES!N164&gt;TODAY()),NEGOCIAÇÕES!C164,"")</f>
        <v/>
      </c>
      <c r="C164" s="6" t="str">
        <f ca="1">IF(AND(NEGOCIAÇÕES!O164="",NEGOCIAÇÕES!N164&gt;TODAY()),NEGOCIAÇÕES!E164,"")</f>
        <v/>
      </c>
      <c r="D164" s="6" t="str">
        <f ca="1">IF(AND(NEGOCIAÇÕES!O164="",NEGOCIAÇÕES!N164&gt;TODAY()),NEGOCIAÇÕES!D164,"")</f>
        <v/>
      </c>
      <c r="E164" s="9" t="str">
        <f>IF(AND(NEGOCIAÇÕES!B164&lt;&gt;"",NEGOCIAÇÕES!O164=""),NEGOCIAÇÕES!N164,"")</f>
        <v/>
      </c>
    </row>
    <row r="165" spans="2:5" ht="31.95" hidden="1" customHeight="1" x14ac:dyDescent="0.3">
      <c r="B165" s="6" t="str">
        <f ca="1">IF(AND(NEGOCIAÇÕES!O165="",NEGOCIAÇÕES!N165&gt;TODAY()),NEGOCIAÇÕES!C165,"")</f>
        <v/>
      </c>
      <c r="C165" s="6" t="str">
        <f ca="1">IF(AND(NEGOCIAÇÕES!O165="",NEGOCIAÇÕES!N165&gt;TODAY()),NEGOCIAÇÕES!E165,"")</f>
        <v/>
      </c>
      <c r="D165" s="6" t="str">
        <f ca="1">IF(AND(NEGOCIAÇÕES!O165="",NEGOCIAÇÕES!N165&gt;TODAY()),NEGOCIAÇÕES!D165,"")</f>
        <v/>
      </c>
      <c r="E165" s="9" t="str">
        <f>IF(AND(NEGOCIAÇÕES!B165&lt;&gt;"",NEGOCIAÇÕES!O165=""),NEGOCIAÇÕES!N165,"")</f>
        <v/>
      </c>
    </row>
    <row r="166" spans="2:5" ht="31.95" hidden="1" customHeight="1" x14ac:dyDescent="0.3">
      <c r="B166" s="6" t="str">
        <f ca="1">IF(AND(NEGOCIAÇÕES!O166="",NEGOCIAÇÕES!N166&gt;TODAY()),NEGOCIAÇÕES!C166,"")</f>
        <v/>
      </c>
      <c r="C166" s="6" t="str">
        <f ca="1">IF(AND(NEGOCIAÇÕES!O166="",NEGOCIAÇÕES!N166&gt;TODAY()),NEGOCIAÇÕES!E166,"")</f>
        <v/>
      </c>
      <c r="D166" s="6" t="str">
        <f ca="1">IF(AND(NEGOCIAÇÕES!O166="",NEGOCIAÇÕES!N166&gt;TODAY()),NEGOCIAÇÕES!D166,"")</f>
        <v/>
      </c>
      <c r="E166" s="9" t="str">
        <f>IF(AND(NEGOCIAÇÕES!B166&lt;&gt;"",NEGOCIAÇÕES!O166=""),NEGOCIAÇÕES!N166,"")</f>
        <v/>
      </c>
    </row>
    <row r="167" spans="2:5" ht="31.95" hidden="1" customHeight="1" x14ac:dyDescent="0.3">
      <c r="B167" s="6" t="str">
        <f ca="1">IF(AND(NEGOCIAÇÕES!O167="",NEGOCIAÇÕES!N167&gt;TODAY()),NEGOCIAÇÕES!C167,"")</f>
        <v/>
      </c>
      <c r="C167" s="6" t="str">
        <f ca="1">IF(AND(NEGOCIAÇÕES!O167="",NEGOCIAÇÕES!N167&gt;TODAY()),NEGOCIAÇÕES!E167,"")</f>
        <v/>
      </c>
      <c r="D167" s="6" t="str">
        <f ca="1">IF(AND(NEGOCIAÇÕES!O167="",NEGOCIAÇÕES!N167&gt;TODAY()),NEGOCIAÇÕES!D167,"")</f>
        <v/>
      </c>
      <c r="E167" s="9" t="str">
        <f>IF(AND(NEGOCIAÇÕES!B167&lt;&gt;"",NEGOCIAÇÕES!O167=""),NEGOCIAÇÕES!N167,"")</f>
        <v/>
      </c>
    </row>
    <row r="168" spans="2:5" ht="31.95" hidden="1" customHeight="1" x14ac:dyDescent="0.3">
      <c r="B168" s="6" t="str">
        <f ca="1">IF(AND(NEGOCIAÇÕES!O168="",NEGOCIAÇÕES!N168&gt;TODAY()),NEGOCIAÇÕES!C168,"")</f>
        <v/>
      </c>
      <c r="C168" s="6" t="str">
        <f ca="1">IF(AND(NEGOCIAÇÕES!O168="",NEGOCIAÇÕES!N168&gt;TODAY()),NEGOCIAÇÕES!E168,"")</f>
        <v/>
      </c>
      <c r="D168" s="6" t="str">
        <f ca="1">IF(AND(NEGOCIAÇÕES!O168="",NEGOCIAÇÕES!N168&gt;TODAY()),NEGOCIAÇÕES!D168,"")</f>
        <v/>
      </c>
      <c r="E168" s="9" t="str">
        <f>IF(AND(NEGOCIAÇÕES!B168&lt;&gt;"",NEGOCIAÇÕES!O168=""),NEGOCIAÇÕES!N168,"")</f>
        <v/>
      </c>
    </row>
    <row r="169" spans="2:5" ht="31.95" hidden="1" customHeight="1" x14ac:dyDescent="0.3">
      <c r="B169" s="6" t="str">
        <f ca="1">IF(AND(NEGOCIAÇÕES!O169="",NEGOCIAÇÕES!N169&gt;TODAY()),NEGOCIAÇÕES!C169,"")</f>
        <v/>
      </c>
      <c r="C169" s="6" t="str">
        <f ca="1">IF(AND(NEGOCIAÇÕES!O169="",NEGOCIAÇÕES!N169&gt;TODAY()),NEGOCIAÇÕES!E169,"")</f>
        <v/>
      </c>
      <c r="D169" s="6" t="str">
        <f ca="1">IF(AND(NEGOCIAÇÕES!O169="",NEGOCIAÇÕES!N169&gt;TODAY()),NEGOCIAÇÕES!D169,"")</f>
        <v/>
      </c>
      <c r="E169" s="9" t="str">
        <f>IF(AND(NEGOCIAÇÕES!B169&lt;&gt;"",NEGOCIAÇÕES!O169=""),NEGOCIAÇÕES!N169,"")</f>
        <v/>
      </c>
    </row>
    <row r="170" spans="2:5" ht="31.95" hidden="1" customHeight="1" x14ac:dyDescent="0.3">
      <c r="B170" s="6" t="str">
        <f ca="1">IF(AND(NEGOCIAÇÕES!O170="",NEGOCIAÇÕES!N170&gt;TODAY()),NEGOCIAÇÕES!C170,"")</f>
        <v/>
      </c>
      <c r="C170" s="6" t="str">
        <f ca="1">IF(AND(NEGOCIAÇÕES!O170="",NEGOCIAÇÕES!N170&gt;TODAY()),NEGOCIAÇÕES!E170,"")</f>
        <v/>
      </c>
      <c r="D170" s="6" t="str">
        <f ca="1">IF(AND(NEGOCIAÇÕES!O170="",NEGOCIAÇÕES!N170&gt;TODAY()),NEGOCIAÇÕES!D170,"")</f>
        <v/>
      </c>
      <c r="E170" s="9" t="str">
        <f>IF(AND(NEGOCIAÇÕES!B170&lt;&gt;"",NEGOCIAÇÕES!O170=""),NEGOCIAÇÕES!N170,"")</f>
        <v/>
      </c>
    </row>
    <row r="171" spans="2:5" ht="31.95" hidden="1" customHeight="1" x14ac:dyDescent="0.3">
      <c r="B171" s="6" t="str">
        <f ca="1">IF(AND(NEGOCIAÇÕES!O171="",NEGOCIAÇÕES!N171&gt;TODAY()),NEGOCIAÇÕES!C171,"")</f>
        <v/>
      </c>
      <c r="C171" s="6" t="str">
        <f ca="1">IF(AND(NEGOCIAÇÕES!O171="",NEGOCIAÇÕES!N171&gt;TODAY()),NEGOCIAÇÕES!E171,"")</f>
        <v/>
      </c>
      <c r="D171" s="6" t="str">
        <f ca="1">IF(AND(NEGOCIAÇÕES!O171="",NEGOCIAÇÕES!N171&gt;TODAY()),NEGOCIAÇÕES!D171,"")</f>
        <v/>
      </c>
      <c r="E171" s="9" t="str">
        <f>IF(AND(NEGOCIAÇÕES!B171&lt;&gt;"",NEGOCIAÇÕES!O171=""),NEGOCIAÇÕES!N171,"")</f>
        <v/>
      </c>
    </row>
    <row r="172" spans="2:5" ht="31.95" hidden="1" customHeight="1" x14ac:dyDescent="0.3">
      <c r="B172" s="6" t="str">
        <f ca="1">IF(AND(NEGOCIAÇÕES!O172="",NEGOCIAÇÕES!N172&gt;TODAY()),NEGOCIAÇÕES!C172,"")</f>
        <v/>
      </c>
      <c r="C172" s="6" t="str">
        <f ca="1">IF(AND(NEGOCIAÇÕES!O172="",NEGOCIAÇÕES!N172&gt;TODAY()),NEGOCIAÇÕES!E172,"")</f>
        <v/>
      </c>
      <c r="D172" s="6" t="str">
        <f ca="1">IF(AND(NEGOCIAÇÕES!O172="",NEGOCIAÇÕES!N172&gt;TODAY()),NEGOCIAÇÕES!D172,"")</f>
        <v/>
      </c>
      <c r="E172" s="9" t="str">
        <f>IF(AND(NEGOCIAÇÕES!B172&lt;&gt;"",NEGOCIAÇÕES!O172=""),NEGOCIAÇÕES!N172,"")</f>
        <v/>
      </c>
    </row>
    <row r="173" spans="2:5" ht="31.95" hidden="1" customHeight="1" x14ac:dyDescent="0.3">
      <c r="B173" s="6" t="str">
        <f ca="1">IF(AND(NEGOCIAÇÕES!O173="",NEGOCIAÇÕES!N173&gt;TODAY()),NEGOCIAÇÕES!C173,"")</f>
        <v/>
      </c>
      <c r="C173" s="6" t="str">
        <f ca="1">IF(AND(NEGOCIAÇÕES!O173="",NEGOCIAÇÕES!N173&gt;TODAY()),NEGOCIAÇÕES!E173,"")</f>
        <v/>
      </c>
      <c r="D173" s="6" t="str">
        <f ca="1">IF(AND(NEGOCIAÇÕES!O173="",NEGOCIAÇÕES!N173&gt;TODAY()),NEGOCIAÇÕES!D173,"")</f>
        <v/>
      </c>
      <c r="E173" s="9" t="str">
        <f>IF(AND(NEGOCIAÇÕES!B173&lt;&gt;"",NEGOCIAÇÕES!O173=""),NEGOCIAÇÕES!N173,"")</f>
        <v/>
      </c>
    </row>
    <row r="174" spans="2:5" ht="31.95" hidden="1" customHeight="1" x14ac:dyDescent="0.3">
      <c r="B174" s="6" t="str">
        <f ca="1">IF(AND(NEGOCIAÇÕES!O174="",NEGOCIAÇÕES!N174&gt;TODAY()),NEGOCIAÇÕES!C174,"")</f>
        <v/>
      </c>
      <c r="C174" s="6" t="str">
        <f ca="1">IF(AND(NEGOCIAÇÕES!O174="",NEGOCIAÇÕES!N174&gt;TODAY()),NEGOCIAÇÕES!E174,"")</f>
        <v/>
      </c>
      <c r="D174" s="6" t="str">
        <f ca="1">IF(AND(NEGOCIAÇÕES!O174="",NEGOCIAÇÕES!N174&gt;TODAY()),NEGOCIAÇÕES!D174,"")</f>
        <v/>
      </c>
      <c r="E174" s="9" t="str">
        <f>IF(AND(NEGOCIAÇÕES!B174&lt;&gt;"",NEGOCIAÇÕES!O174=""),NEGOCIAÇÕES!N174,"")</f>
        <v/>
      </c>
    </row>
    <row r="175" spans="2:5" ht="31.95" hidden="1" customHeight="1" x14ac:dyDescent="0.3">
      <c r="B175" s="6" t="str">
        <f ca="1">IF(AND(NEGOCIAÇÕES!O175="",NEGOCIAÇÕES!N175&gt;TODAY()),NEGOCIAÇÕES!C175,"")</f>
        <v/>
      </c>
      <c r="C175" s="6" t="str">
        <f ca="1">IF(AND(NEGOCIAÇÕES!O175="",NEGOCIAÇÕES!N175&gt;TODAY()),NEGOCIAÇÕES!E175,"")</f>
        <v/>
      </c>
      <c r="D175" s="6" t="str">
        <f ca="1">IF(AND(NEGOCIAÇÕES!O175="",NEGOCIAÇÕES!N175&gt;TODAY()),NEGOCIAÇÕES!D175,"")</f>
        <v/>
      </c>
      <c r="E175" s="9" t="str">
        <f>IF(AND(NEGOCIAÇÕES!B175&lt;&gt;"",NEGOCIAÇÕES!O175=""),NEGOCIAÇÕES!N175,"")</f>
        <v/>
      </c>
    </row>
    <row r="176" spans="2:5" ht="31.95" hidden="1" customHeight="1" x14ac:dyDescent="0.3">
      <c r="B176" s="6" t="str">
        <f ca="1">IF(AND(NEGOCIAÇÕES!O176="",NEGOCIAÇÕES!N176&gt;TODAY()),NEGOCIAÇÕES!C176,"")</f>
        <v/>
      </c>
      <c r="C176" s="6" t="str">
        <f ca="1">IF(AND(NEGOCIAÇÕES!O176="",NEGOCIAÇÕES!N176&gt;TODAY()),NEGOCIAÇÕES!E176,"")</f>
        <v/>
      </c>
      <c r="D176" s="6" t="str">
        <f ca="1">IF(AND(NEGOCIAÇÕES!O176="",NEGOCIAÇÕES!N176&gt;TODAY()),NEGOCIAÇÕES!D176,"")</f>
        <v/>
      </c>
      <c r="E176" s="9" t="str">
        <f>IF(AND(NEGOCIAÇÕES!B176&lt;&gt;"",NEGOCIAÇÕES!O176=""),NEGOCIAÇÕES!N176,"")</f>
        <v/>
      </c>
    </row>
    <row r="177" spans="2:5" ht="31.95" hidden="1" customHeight="1" x14ac:dyDescent="0.3">
      <c r="B177" s="6" t="str">
        <f ca="1">IF(AND(NEGOCIAÇÕES!O177="",NEGOCIAÇÕES!N177&gt;TODAY()),NEGOCIAÇÕES!C177,"")</f>
        <v/>
      </c>
      <c r="C177" s="6" t="str">
        <f ca="1">IF(AND(NEGOCIAÇÕES!O177="",NEGOCIAÇÕES!N177&gt;TODAY()),NEGOCIAÇÕES!E177,"")</f>
        <v/>
      </c>
      <c r="D177" s="6" t="str">
        <f ca="1">IF(AND(NEGOCIAÇÕES!O177="",NEGOCIAÇÕES!N177&gt;TODAY()),NEGOCIAÇÕES!D177,"")</f>
        <v/>
      </c>
      <c r="E177" s="9" t="str">
        <f>IF(AND(NEGOCIAÇÕES!B177&lt;&gt;"",NEGOCIAÇÕES!O177=""),NEGOCIAÇÕES!N177,"")</f>
        <v/>
      </c>
    </row>
    <row r="178" spans="2:5" ht="31.95" hidden="1" customHeight="1" x14ac:dyDescent="0.3">
      <c r="B178" s="6" t="str">
        <f ca="1">IF(AND(NEGOCIAÇÕES!O178="",NEGOCIAÇÕES!N178&gt;TODAY()),NEGOCIAÇÕES!C178,"")</f>
        <v/>
      </c>
      <c r="C178" s="6" t="str">
        <f ca="1">IF(AND(NEGOCIAÇÕES!O178="",NEGOCIAÇÕES!N178&gt;TODAY()),NEGOCIAÇÕES!E178,"")</f>
        <v/>
      </c>
      <c r="D178" s="6" t="str">
        <f ca="1">IF(AND(NEGOCIAÇÕES!O178="",NEGOCIAÇÕES!N178&gt;TODAY()),NEGOCIAÇÕES!D178,"")</f>
        <v/>
      </c>
      <c r="E178" s="9" t="str">
        <f>IF(AND(NEGOCIAÇÕES!B178&lt;&gt;"",NEGOCIAÇÕES!O178=""),NEGOCIAÇÕES!N178,"")</f>
        <v/>
      </c>
    </row>
    <row r="179" spans="2:5" ht="31.95" hidden="1" customHeight="1" x14ac:dyDescent="0.3">
      <c r="B179" s="6" t="str">
        <f ca="1">IF(AND(NEGOCIAÇÕES!O179="",NEGOCIAÇÕES!N179&gt;TODAY()),NEGOCIAÇÕES!C179,"")</f>
        <v/>
      </c>
      <c r="C179" s="6" t="str">
        <f ca="1">IF(AND(NEGOCIAÇÕES!O179="",NEGOCIAÇÕES!N179&gt;TODAY()),NEGOCIAÇÕES!E179,"")</f>
        <v/>
      </c>
      <c r="D179" s="6" t="str">
        <f ca="1">IF(AND(NEGOCIAÇÕES!O179="",NEGOCIAÇÕES!N179&gt;TODAY()),NEGOCIAÇÕES!D179,"")</f>
        <v/>
      </c>
      <c r="E179" s="9" t="str">
        <f>IF(AND(NEGOCIAÇÕES!B179&lt;&gt;"",NEGOCIAÇÕES!O179=""),NEGOCIAÇÕES!N179,"")</f>
        <v/>
      </c>
    </row>
    <row r="180" spans="2:5" ht="31.95" hidden="1" customHeight="1" x14ac:dyDescent="0.3">
      <c r="B180" s="6" t="str">
        <f ca="1">IF(AND(NEGOCIAÇÕES!O180="",NEGOCIAÇÕES!N180&gt;TODAY()),NEGOCIAÇÕES!C180,"")</f>
        <v/>
      </c>
      <c r="C180" s="6" t="str">
        <f ca="1">IF(AND(NEGOCIAÇÕES!O180="",NEGOCIAÇÕES!N180&gt;TODAY()),NEGOCIAÇÕES!E180,"")</f>
        <v/>
      </c>
      <c r="D180" s="6" t="str">
        <f ca="1">IF(AND(NEGOCIAÇÕES!O180="",NEGOCIAÇÕES!N180&gt;TODAY()),NEGOCIAÇÕES!D180,"")</f>
        <v/>
      </c>
      <c r="E180" s="9" t="str">
        <f>IF(AND(NEGOCIAÇÕES!B180&lt;&gt;"",NEGOCIAÇÕES!O180=""),NEGOCIAÇÕES!N180,"")</f>
        <v/>
      </c>
    </row>
    <row r="181" spans="2:5" ht="31.95" hidden="1" customHeight="1" x14ac:dyDescent="0.3">
      <c r="B181" s="6" t="str">
        <f ca="1">IF(AND(NEGOCIAÇÕES!O181="",NEGOCIAÇÕES!N181&gt;TODAY()),NEGOCIAÇÕES!C181,"")</f>
        <v/>
      </c>
      <c r="C181" s="6" t="str">
        <f ca="1">IF(AND(NEGOCIAÇÕES!O181="",NEGOCIAÇÕES!N181&gt;TODAY()),NEGOCIAÇÕES!E181,"")</f>
        <v/>
      </c>
      <c r="D181" s="6" t="str">
        <f ca="1">IF(AND(NEGOCIAÇÕES!O181="",NEGOCIAÇÕES!N181&gt;TODAY()),NEGOCIAÇÕES!D181,"")</f>
        <v/>
      </c>
      <c r="E181" s="9" t="str">
        <f>IF(AND(NEGOCIAÇÕES!B181&lt;&gt;"",NEGOCIAÇÕES!O181=""),NEGOCIAÇÕES!N181,"")</f>
        <v/>
      </c>
    </row>
    <row r="182" spans="2:5" ht="31.95" hidden="1" customHeight="1" x14ac:dyDescent="0.3">
      <c r="B182" s="6" t="str">
        <f ca="1">IF(AND(NEGOCIAÇÕES!O182="",NEGOCIAÇÕES!N182&gt;TODAY()),NEGOCIAÇÕES!C182,"")</f>
        <v/>
      </c>
      <c r="C182" s="6" t="str">
        <f ca="1">IF(AND(NEGOCIAÇÕES!O182="",NEGOCIAÇÕES!N182&gt;TODAY()),NEGOCIAÇÕES!E182,"")</f>
        <v/>
      </c>
      <c r="D182" s="6" t="str">
        <f ca="1">IF(AND(NEGOCIAÇÕES!O182="",NEGOCIAÇÕES!N182&gt;TODAY()),NEGOCIAÇÕES!D182,"")</f>
        <v/>
      </c>
      <c r="E182" s="9" t="str">
        <f>IF(AND(NEGOCIAÇÕES!B182&lt;&gt;"",NEGOCIAÇÕES!O182=""),NEGOCIAÇÕES!N182,"")</f>
        <v/>
      </c>
    </row>
    <row r="183" spans="2:5" ht="31.95" hidden="1" customHeight="1" x14ac:dyDescent="0.3">
      <c r="B183" s="6" t="str">
        <f ca="1">IF(AND(NEGOCIAÇÕES!O183="",NEGOCIAÇÕES!N183&gt;TODAY()),NEGOCIAÇÕES!C183,"")</f>
        <v/>
      </c>
      <c r="C183" s="6" t="str">
        <f ca="1">IF(AND(NEGOCIAÇÕES!O183="",NEGOCIAÇÕES!N183&gt;TODAY()),NEGOCIAÇÕES!E183,"")</f>
        <v/>
      </c>
      <c r="D183" s="6" t="str">
        <f ca="1">IF(AND(NEGOCIAÇÕES!O183="",NEGOCIAÇÕES!N183&gt;TODAY()),NEGOCIAÇÕES!D183,"")</f>
        <v/>
      </c>
      <c r="E183" s="9" t="str">
        <f>IF(AND(NEGOCIAÇÕES!B183&lt;&gt;"",NEGOCIAÇÕES!O183=""),NEGOCIAÇÕES!N183,"")</f>
        <v/>
      </c>
    </row>
    <row r="184" spans="2:5" ht="31.95" hidden="1" customHeight="1" x14ac:dyDescent="0.3">
      <c r="B184" s="6" t="str">
        <f ca="1">IF(AND(NEGOCIAÇÕES!O184="",NEGOCIAÇÕES!N184&gt;TODAY()),NEGOCIAÇÕES!C184,"")</f>
        <v/>
      </c>
      <c r="C184" s="6" t="str">
        <f ca="1">IF(AND(NEGOCIAÇÕES!O184="",NEGOCIAÇÕES!N184&gt;TODAY()),NEGOCIAÇÕES!E184,"")</f>
        <v/>
      </c>
      <c r="D184" s="6" t="str">
        <f ca="1">IF(AND(NEGOCIAÇÕES!O184="",NEGOCIAÇÕES!N184&gt;TODAY()),NEGOCIAÇÕES!D184,"")</f>
        <v/>
      </c>
      <c r="E184" s="9" t="str">
        <f>IF(AND(NEGOCIAÇÕES!B184&lt;&gt;"",NEGOCIAÇÕES!O184=""),NEGOCIAÇÕES!N184,"")</f>
        <v/>
      </c>
    </row>
    <row r="185" spans="2:5" ht="31.95" hidden="1" customHeight="1" x14ac:dyDescent="0.3">
      <c r="B185" s="6" t="str">
        <f ca="1">IF(AND(NEGOCIAÇÕES!O185="",NEGOCIAÇÕES!N185&gt;TODAY()),NEGOCIAÇÕES!C185,"")</f>
        <v/>
      </c>
      <c r="C185" s="6" t="str">
        <f ca="1">IF(AND(NEGOCIAÇÕES!O185="",NEGOCIAÇÕES!N185&gt;TODAY()),NEGOCIAÇÕES!E185,"")</f>
        <v/>
      </c>
      <c r="D185" s="6" t="str">
        <f ca="1">IF(AND(NEGOCIAÇÕES!O185="",NEGOCIAÇÕES!N185&gt;TODAY()),NEGOCIAÇÕES!D185,"")</f>
        <v/>
      </c>
      <c r="E185" s="9" t="str">
        <f>IF(AND(NEGOCIAÇÕES!B185&lt;&gt;"",NEGOCIAÇÕES!O185=""),NEGOCIAÇÕES!N185,"")</f>
        <v/>
      </c>
    </row>
    <row r="186" spans="2:5" ht="31.95" hidden="1" customHeight="1" x14ac:dyDescent="0.3">
      <c r="B186" s="6" t="str">
        <f ca="1">IF(AND(NEGOCIAÇÕES!O186="",NEGOCIAÇÕES!N186&gt;TODAY()),NEGOCIAÇÕES!C186,"")</f>
        <v/>
      </c>
      <c r="C186" s="6" t="str">
        <f ca="1">IF(AND(NEGOCIAÇÕES!O186="",NEGOCIAÇÕES!N186&gt;TODAY()),NEGOCIAÇÕES!E186,"")</f>
        <v/>
      </c>
      <c r="D186" s="6" t="str">
        <f ca="1">IF(AND(NEGOCIAÇÕES!O186="",NEGOCIAÇÕES!N186&gt;TODAY()),NEGOCIAÇÕES!D186,"")</f>
        <v/>
      </c>
      <c r="E186" s="9" t="str">
        <f>IF(AND(NEGOCIAÇÕES!B186&lt;&gt;"",NEGOCIAÇÕES!O186=""),NEGOCIAÇÕES!N186,"")</f>
        <v/>
      </c>
    </row>
    <row r="187" spans="2:5" ht="31.95" hidden="1" customHeight="1" x14ac:dyDescent="0.3">
      <c r="B187" s="6" t="str">
        <f ca="1">IF(AND(NEGOCIAÇÕES!O187="",NEGOCIAÇÕES!N187&gt;TODAY()),NEGOCIAÇÕES!C187,"")</f>
        <v/>
      </c>
      <c r="C187" s="6" t="str">
        <f ca="1">IF(AND(NEGOCIAÇÕES!O187="",NEGOCIAÇÕES!N187&gt;TODAY()),NEGOCIAÇÕES!E187,"")</f>
        <v/>
      </c>
      <c r="D187" s="6" t="str">
        <f ca="1">IF(AND(NEGOCIAÇÕES!O187="",NEGOCIAÇÕES!N187&gt;TODAY()),NEGOCIAÇÕES!D187,"")</f>
        <v/>
      </c>
      <c r="E187" s="9" t="str">
        <f>IF(AND(NEGOCIAÇÕES!B187&lt;&gt;"",NEGOCIAÇÕES!O187=""),NEGOCIAÇÕES!N187,"")</f>
        <v/>
      </c>
    </row>
    <row r="188" spans="2:5" ht="31.95" hidden="1" customHeight="1" x14ac:dyDescent="0.3">
      <c r="B188" s="6" t="str">
        <f ca="1">IF(AND(NEGOCIAÇÕES!O188="",NEGOCIAÇÕES!N188&gt;TODAY()),NEGOCIAÇÕES!C188,"")</f>
        <v/>
      </c>
      <c r="C188" s="6" t="str">
        <f ca="1">IF(AND(NEGOCIAÇÕES!O188="",NEGOCIAÇÕES!N188&gt;TODAY()),NEGOCIAÇÕES!E188,"")</f>
        <v/>
      </c>
      <c r="D188" s="6" t="str">
        <f ca="1">IF(AND(NEGOCIAÇÕES!O188="",NEGOCIAÇÕES!N188&gt;TODAY()),NEGOCIAÇÕES!D188,"")</f>
        <v/>
      </c>
      <c r="E188" s="9" t="str">
        <f>IF(AND(NEGOCIAÇÕES!B188&lt;&gt;"",NEGOCIAÇÕES!O188=""),NEGOCIAÇÕES!N188,"")</f>
        <v/>
      </c>
    </row>
    <row r="189" spans="2:5" ht="31.95" hidden="1" customHeight="1" x14ac:dyDescent="0.3">
      <c r="B189" s="6" t="str">
        <f ca="1">IF(AND(NEGOCIAÇÕES!O189="",NEGOCIAÇÕES!N189&gt;TODAY()),NEGOCIAÇÕES!C189,"")</f>
        <v/>
      </c>
      <c r="C189" s="6" t="str">
        <f ca="1">IF(AND(NEGOCIAÇÕES!O189="",NEGOCIAÇÕES!N189&gt;TODAY()),NEGOCIAÇÕES!E189,"")</f>
        <v/>
      </c>
      <c r="D189" s="6" t="str">
        <f ca="1">IF(AND(NEGOCIAÇÕES!O189="",NEGOCIAÇÕES!N189&gt;TODAY()),NEGOCIAÇÕES!D189,"")</f>
        <v/>
      </c>
      <c r="E189" s="9" t="str">
        <f>IF(AND(NEGOCIAÇÕES!B189&lt;&gt;"",NEGOCIAÇÕES!O189=""),NEGOCIAÇÕES!N189,"")</f>
        <v/>
      </c>
    </row>
    <row r="190" spans="2:5" ht="31.95" hidden="1" customHeight="1" x14ac:dyDescent="0.3">
      <c r="B190" s="6" t="str">
        <f ca="1">IF(AND(NEGOCIAÇÕES!O190="",NEGOCIAÇÕES!N190&gt;TODAY()),NEGOCIAÇÕES!C190,"")</f>
        <v/>
      </c>
      <c r="C190" s="6" t="str">
        <f ca="1">IF(AND(NEGOCIAÇÕES!O190="",NEGOCIAÇÕES!N190&gt;TODAY()),NEGOCIAÇÕES!E190,"")</f>
        <v/>
      </c>
      <c r="D190" s="6" t="str">
        <f ca="1">IF(AND(NEGOCIAÇÕES!O190="",NEGOCIAÇÕES!N190&gt;TODAY()),NEGOCIAÇÕES!D190,"")</f>
        <v/>
      </c>
      <c r="E190" s="9" t="str">
        <f>IF(AND(NEGOCIAÇÕES!B190&lt;&gt;"",NEGOCIAÇÕES!O190=""),NEGOCIAÇÕES!N190,"")</f>
        <v/>
      </c>
    </row>
    <row r="191" spans="2:5" ht="31.95" hidden="1" customHeight="1" x14ac:dyDescent="0.3">
      <c r="B191" s="6" t="str">
        <f ca="1">IF(AND(NEGOCIAÇÕES!O191="",NEGOCIAÇÕES!N191&gt;TODAY()),NEGOCIAÇÕES!C191,"")</f>
        <v/>
      </c>
      <c r="C191" s="6" t="str">
        <f ca="1">IF(AND(NEGOCIAÇÕES!O191="",NEGOCIAÇÕES!N191&gt;TODAY()),NEGOCIAÇÕES!E191,"")</f>
        <v/>
      </c>
      <c r="D191" s="6" t="str">
        <f ca="1">IF(AND(NEGOCIAÇÕES!O191="",NEGOCIAÇÕES!N191&gt;TODAY()),NEGOCIAÇÕES!D191,"")</f>
        <v/>
      </c>
      <c r="E191" s="9" t="str">
        <f>IF(AND(NEGOCIAÇÕES!B191&lt;&gt;"",NEGOCIAÇÕES!O191=""),NEGOCIAÇÕES!N191,"")</f>
        <v/>
      </c>
    </row>
    <row r="192" spans="2:5" ht="31.95" hidden="1" customHeight="1" x14ac:dyDescent="0.3">
      <c r="B192" s="6" t="str">
        <f ca="1">IF(AND(NEGOCIAÇÕES!O192="",NEGOCIAÇÕES!N192&gt;TODAY()),NEGOCIAÇÕES!C192,"")</f>
        <v/>
      </c>
      <c r="C192" s="6" t="str">
        <f ca="1">IF(AND(NEGOCIAÇÕES!O192="",NEGOCIAÇÕES!N192&gt;TODAY()),NEGOCIAÇÕES!E192,"")</f>
        <v/>
      </c>
      <c r="D192" s="6" t="str">
        <f ca="1">IF(AND(NEGOCIAÇÕES!O192="",NEGOCIAÇÕES!N192&gt;TODAY()),NEGOCIAÇÕES!D192,"")</f>
        <v/>
      </c>
      <c r="E192" s="9" t="str">
        <f>IF(AND(NEGOCIAÇÕES!B192&lt;&gt;"",NEGOCIAÇÕES!O192=""),NEGOCIAÇÕES!N192,"")</f>
        <v/>
      </c>
    </row>
    <row r="193" spans="2:5" ht="31.95" hidden="1" customHeight="1" x14ac:dyDescent="0.3">
      <c r="B193" s="6" t="str">
        <f ca="1">IF(AND(NEGOCIAÇÕES!O193="",NEGOCIAÇÕES!N193&gt;TODAY()),NEGOCIAÇÕES!C193,"")</f>
        <v/>
      </c>
      <c r="C193" s="6" t="str">
        <f ca="1">IF(AND(NEGOCIAÇÕES!O193="",NEGOCIAÇÕES!N193&gt;TODAY()),NEGOCIAÇÕES!E193,"")</f>
        <v/>
      </c>
      <c r="D193" s="6" t="str">
        <f ca="1">IF(AND(NEGOCIAÇÕES!O193="",NEGOCIAÇÕES!N193&gt;TODAY()),NEGOCIAÇÕES!D193,"")</f>
        <v/>
      </c>
      <c r="E193" s="9" t="str">
        <f>IF(AND(NEGOCIAÇÕES!B193&lt;&gt;"",NEGOCIAÇÕES!O193=""),NEGOCIAÇÕES!N193,"")</f>
        <v/>
      </c>
    </row>
    <row r="194" spans="2:5" ht="31.95" hidden="1" customHeight="1" x14ac:dyDescent="0.3">
      <c r="B194" s="6" t="str">
        <f ca="1">IF(AND(NEGOCIAÇÕES!O194="",NEGOCIAÇÕES!N194&gt;TODAY()),NEGOCIAÇÕES!C194,"")</f>
        <v/>
      </c>
      <c r="C194" s="6" t="str">
        <f ca="1">IF(AND(NEGOCIAÇÕES!O194="",NEGOCIAÇÕES!N194&gt;TODAY()),NEGOCIAÇÕES!E194,"")</f>
        <v/>
      </c>
      <c r="D194" s="6" t="str">
        <f ca="1">IF(AND(NEGOCIAÇÕES!O194="",NEGOCIAÇÕES!N194&gt;TODAY()),NEGOCIAÇÕES!D194,"")</f>
        <v/>
      </c>
      <c r="E194" s="9" t="str">
        <f>IF(AND(NEGOCIAÇÕES!B194&lt;&gt;"",NEGOCIAÇÕES!O194=""),NEGOCIAÇÕES!N194,"")</f>
        <v/>
      </c>
    </row>
    <row r="195" spans="2:5" ht="31.95" hidden="1" customHeight="1" x14ac:dyDescent="0.3">
      <c r="B195" s="6" t="str">
        <f ca="1">IF(AND(NEGOCIAÇÕES!O195="",NEGOCIAÇÕES!N195&gt;TODAY()),NEGOCIAÇÕES!C195,"")</f>
        <v/>
      </c>
      <c r="C195" s="6" t="str">
        <f ca="1">IF(AND(NEGOCIAÇÕES!O195="",NEGOCIAÇÕES!N195&gt;TODAY()),NEGOCIAÇÕES!E195,"")</f>
        <v/>
      </c>
      <c r="D195" s="6" t="str">
        <f ca="1">IF(AND(NEGOCIAÇÕES!O195="",NEGOCIAÇÕES!N195&gt;TODAY()),NEGOCIAÇÕES!D195,"")</f>
        <v/>
      </c>
      <c r="E195" s="9" t="str">
        <f>IF(AND(NEGOCIAÇÕES!B195&lt;&gt;"",NEGOCIAÇÕES!O195=""),NEGOCIAÇÕES!N195,"")</f>
        <v/>
      </c>
    </row>
    <row r="196" spans="2:5" ht="31.95" hidden="1" customHeight="1" x14ac:dyDescent="0.3">
      <c r="B196" s="6" t="str">
        <f ca="1">IF(AND(NEGOCIAÇÕES!O196="",NEGOCIAÇÕES!N196&gt;TODAY()),NEGOCIAÇÕES!C196,"")</f>
        <v/>
      </c>
      <c r="C196" s="6" t="str">
        <f ca="1">IF(AND(NEGOCIAÇÕES!O196="",NEGOCIAÇÕES!N196&gt;TODAY()),NEGOCIAÇÕES!E196,"")</f>
        <v/>
      </c>
      <c r="D196" s="6" t="str">
        <f ca="1">IF(AND(NEGOCIAÇÕES!O196="",NEGOCIAÇÕES!N196&gt;TODAY()),NEGOCIAÇÕES!D196,"")</f>
        <v/>
      </c>
      <c r="E196" s="9" t="str">
        <f>IF(AND(NEGOCIAÇÕES!B196&lt;&gt;"",NEGOCIAÇÕES!O196=""),NEGOCIAÇÕES!N196,"")</f>
        <v/>
      </c>
    </row>
    <row r="197" spans="2:5" ht="31.95" hidden="1" customHeight="1" x14ac:dyDescent="0.3">
      <c r="B197" s="6" t="str">
        <f ca="1">IF(AND(NEGOCIAÇÕES!O197="",NEGOCIAÇÕES!N197&gt;TODAY()),NEGOCIAÇÕES!C197,"")</f>
        <v/>
      </c>
      <c r="C197" s="6" t="str">
        <f ca="1">IF(AND(NEGOCIAÇÕES!O197="",NEGOCIAÇÕES!N197&gt;TODAY()),NEGOCIAÇÕES!E197,"")</f>
        <v/>
      </c>
      <c r="D197" s="6" t="str">
        <f ca="1">IF(AND(NEGOCIAÇÕES!O197="",NEGOCIAÇÕES!N197&gt;TODAY()),NEGOCIAÇÕES!D197,"")</f>
        <v/>
      </c>
      <c r="E197" s="9" t="str">
        <f>IF(AND(NEGOCIAÇÕES!B197&lt;&gt;"",NEGOCIAÇÕES!O197=""),NEGOCIAÇÕES!N197,"")</f>
        <v/>
      </c>
    </row>
    <row r="198" spans="2:5" ht="31.95" hidden="1" customHeight="1" x14ac:dyDescent="0.3">
      <c r="B198" s="6" t="str">
        <f ca="1">IF(AND(NEGOCIAÇÕES!O198="",NEGOCIAÇÕES!N198&gt;TODAY()),NEGOCIAÇÕES!C198,"")</f>
        <v/>
      </c>
      <c r="C198" s="6" t="str">
        <f ca="1">IF(AND(NEGOCIAÇÕES!O198="",NEGOCIAÇÕES!N198&gt;TODAY()),NEGOCIAÇÕES!E198,"")</f>
        <v/>
      </c>
      <c r="D198" s="6" t="str">
        <f ca="1">IF(AND(NEGOCIAÇÕES!O198="",NEGOCIAÇÕES!N198&gt;TODAY()),NEGOCIAÇÕES!D198,"")</f>
        <v/>
      </c>
      <c r="E198" s="9" t="str">
        <f>IF(AND(NEGOCIAÇÕES!B198&lt;&gt;"",NEGOCIAÇÕES!O198=""),NEGOCIAÇÕES!N198,"")</f>
        <v/>
      </c>
    </row>
    <row r="199" spans="2:5" ht="31.95" hidden="1" customHeight="1" x14ac:dyDescent="0.3">
      <c r="B199" s="6" t="str">
        <f ca="1">IF(AND(NEGOCIAÇÕES!O199="",NEGOCIAÇÕES!N199&gt;TODAY()),NEGOCIAÇÕES!C199,"")</f>
        <v/>
      </c>
      <c r="C199" s="6" t="str">
        <f ca="1">IF(AND(NEGOCIAÇÕES!O199="",NEGOCIAÇÕES!N199&gt;TODAY()),NEGOCIAÇÕES!E199,"")</f>
        <v/>
      </c>
      <c r="D199" s="6" t="str">
        <f ca="1">IF(AND(NEGOCIAÇÕES!O199="",NEGOCIAÇÕES!N199&gt;TODAY()),NEGOCIAÇÕES!D199,"")</f>
        <v/>
      </c>
      <c r="E199" s="9" t="str">
        <f>IF(AND(NEGOCIAÇÕES!B199&lt;&gt;"",NEGOCIAÇÕES!O199=""),NEGOCIAÇÕES!N199,"")</f>
        <v/>
      </c>
    </row>
    <row r="200" spans="2:5" ht="31.95" hidden="1" customHeight="1" x14ac:dyDescent="0.3">
      <c r="B200" s="6" t="str">
        <f ca="1">IF(AND(NEGOCIAÇÕES!O200="",NEGOCIAÇÕES!N200&gt;TODAY()),NEGOCIAÇÕES!C200,"")</f>
        <v/>
      </c>
      <c r="C200" s="6" t="str">
        <f ca="1">IF(AND(NEGOCIAÇÕES!O200="",NEGOCIAÇÕES!N200&gt;TODAY()),NEGOCIAÇÕES!E200,"")</f>
        <v/>
      </c>
      <c r="D200" s="6" t="str">
        <f ca="1">IF(AND(NEGOCIAÇÕES!O200="",NEGOCIAÇÕES!N200&gt;TODAY()),NEGOCIAÇÕES!D200,"")</f>
        <v/>
      </c>
      <c r="E200" s="9" t="str">
        <f>IF(AND(NEGOCIAÇÕES!B200&lt;&gt;"",NEGOCIAÇÕES!O200=""),NEGOCIAÇÕES!N200,"")</f>
        <v/>
      </c>
    </row>
    <row r="201" spans="2:5" ht="31.95" hidden="1" customHeight="1" x14ac:dyDescent="0.3">
      <c r="B201" s="6" t="str">
        <f ca="1">IF(AND(NEGOCIAÇÕES!O201="",NEGOCIAÇÕES!N201&gt;TODAY()),NEGOCIAÇÕES!C201,"")</f>
        <v/>
      </c>
      <c r="C201" s="6" t="str">
        <f ca="1">IF(AND(NEGOCIAÇÕES!O201="",NEGOCIAÇÕES!N201&gt;TODAY()),NEGOCIAÇÕES!E201,"")</f>
        <v/>
      </c>
      <c r="D201" s="6" t="str">
        <f ca="1">IF(AND(NEGOCIAÇÕES!O201="",NEGOCIAÇÕES!N201&gt;TODAY()),NEGOCIAÇÕES!D201,"")</f>
        <v/>
      </c>
      <c r="E201" s="9" t="str">
        <f>IF(AND(NEGOCIAÇÕES!B201&lt;&gt;"",NEGOCIAÇÕES!O201=""),NEGOCIAÇÕES!N201,"")</f>
        <v/>
      </c>
    </row>
    <row r="202" spans="2:5" ht="31.95" hidden="1" customHeight="1" x14ac:dyDescent="0.3">
      <c r="B202" s="6" t="str">
        <f ca="1">IF(AND(NEGOCIAÇÕES!O202="",NEGOCIAÇÕES!N202&gt;TODAY()),NEGOCIAÇÕES!C202,"")</f>
        <v/>
      </c>
      <c r="C202" s="6" t="str">
        <f ca="1">IF(AND(NEGOCIAÇÕES!O202="",NEGOCIAÇÕES!N202&gt;TODAY()),NEGOCIAÇÕES!E202,"")</f>
        <v/>
      </c>
      <c r="D202" s="6" t="str">
        <f ca="1">IF(AND(NEGOCIAÇÕES!O202="",NEGOCIAÇÕES!N202&gt;TODAY()),NEGOCIAÇÕES!D202,"")</f>
        <v/>
      </c>
      <c r="E202" s="9" t="str">
        <f>IF(AND(NEGOCIAÇÕES!B202&lt;&gt;"",NEGOCIAÇÕES!O202=""),NEGOCIAÇÕES!N202,"")</f>
        <v/>
      </c>
    </row>
    <row r="203" spans="2:5" ht="31.95" hidden="1" customHeight="1" x14ac:dyDescent="0.3">
      <c r="B203" s="6" t="str">
        <f ca="1">IF(AND(NEGOCIAÇÕES!O203="",NEGOCIAÇÕES!N203&gt;TODAY()),NEGOCIAÇÕES!C203,"")</f>
        <v/>
      </c>
      <c r="C203" s="6" t="str">
        <f ca="1">IF(AND(NEGOCIAÇÕES!O203="",NEGOCIAÇÕES!N203&gt;TODAY()),NEGOCIAÇÕES!E203,"")</f>
        <v/>
      </c>
      <c r="D203" s="6" t="str">
        <f ca="1">IF(AND(NEGOCIAÇÕES!O203="",NEGOCIAÇÕES!N203&gt;TODAY()),NEGOCIAÇÕES!D203,"")</f>
        <v/>
      </c>
      <c r="E203" s="9" t="str">
        <f>IF(AND(NEGOCIAÇÕES!B203&lt;&gt;"",NEGOCIAÇÕES!O203=""),NEGOCIAÇÕES!N203,"")</f>
        <v/>
      </c>
    </row>
    <row r="204" spans="2:5" ht="31.95" hidden="1" customHeight="1" x14ac:dyDescent="0.3">
      <c r="B204" s="6" t="str">
        <f ca="1">IF(AND(NEGOCIAÇÕES!O204="",NEGOCIAÇÕES!N204&gt;TODAY()),NEGOCIAÇÕES!C204,"")</f>
        <v/>
      </c>
      <c r="C204" s="6" t="str">
        <f ca="1">IF(AND(NEGOCIAÇÕES!O204="",NEGOCIAÇÕES!N204&gt;TODAY()),NEGOCIAÇÕES!E204,"")</f>
        <v/>
      </c>
      <c r="D204" s="6" t="str">
        <f ca="1">IF(AND(NEGOCIAÇÕES!O204="",NEGOCIAÇÕES!N204&gt;TODAY()),NEGOCIAÇÕES!D204,"")</f>
        <v/>
      </c>
      <c r="E204" s="9" t="str">
        <f>IF(AND(NEGOCIAÇÕES!B204&lt;&gt;"",NEGOCIAÇÕES!O204=""),NEGOCIAÇÕES!N204,"")</f>
        <v/>
      </c>
    </row>
    <row r="205" spans="2:5" ht="31.95" hidden="1" customHeight="1" x14ac:dyDescent="0.3">
      <c r="B205" s="6" t="str">
        <f ca="1">IF(AND(NEGOCIAÇÕES!O205="",NEGOCIAÇÕES!N205&gt;TODAY()),NEGOCIAÇÕES!C205,"")</f>
        <v/>
      </c>
      <c r="C205" s="6" t="str">
        <f ca="1">IF(AND(NEGOCIAÇÕES!O205="",NEGOCIAÇÕES!N205&gt;TODAY()),NEGOCIAÇÕES!E205,"")</f>
        <v/>
      </c>
      <c r="D205" s="6" t="str">
        <f ca="1">IF(AND(NEGOCIAÇÕES!O205="",NEGOCIAÇÕES!N205&gt;TODAY()),NEGOCIAÇÕES!D205,"")</f>
        <v/>
      </c>
      <c r="E205" s="9" t="str">
        <f>IF(AND(NEGOCIAÇÕES!B205&lt;&gt;"",NEGOCIAÇÕES!O205=""),NEGOCIAÇÕES!N205,"")</f>
        <v/>
      </c>
    </row>
    <row r="206" spans="2:5" ht="31.95" hidden="1" customHeight="1" x14ac:dyDescent="0.3">
      <c r="B206" s="6" t="str">
        <f ca="1">IF(AND(NEGOCIAÇÕES!O206="",NEGOCIAÇÕES!N206&gt;TODAY()),NEGOCIAÇÕES!C206,"")</f>
        <v/>
      </c>
      <c r="C206" s="6" t="str">
        <f ca="1">IF(AND(NEGOCIAÇÕES!O206="",NEGOCIAÇÕES!N206&gt;TODAY()),NEGOCIAÇÕES!E206,"")</f>
        <v/>
      </c>
      <c r="D206" s="6" t="str">
        <f ca="1">IF(AND(NEGOCIAÇÕES!O206="",NEGOCIAÇÕES!N206&gt;TODAY()),NEGOCIAÇÕES!D206,"")</f>
        <v/>
      </c>
      <c r="E206" s="9" t="str">
        <f>IF(AND(NEGOCIAÇÕES!B206&lt;&gt;"",NEGOCIAÇÕES!O206=""),NEGOCIAÇÕES!N206,"")</f>
        <v/>
      </c>
    </row>
    <row r="207" spans="2:5" ht="31.95" hidden="1" customHeight="1" x14ac:dyDescent="0.3">
      <c r="B207" s="6" t="str">
        <f ca="1">IF(AND(NEGOCIAÇÕES!O207="",NEGOCIAÇÕES!N207&gt;TODAY()),NEGOCIAÇÕES!C207,"")</f>
        <v/>
      </c>
      <c r="C207" s="6" t="str">
        <f ca="1">IF(AND(NEGOCIAÇÕES!O207="",NEGOCIAÇÕES!N207&gt;TODAY()),NEGOCIAÇÕES!E207,"")</f>
        <v/>
      </c>
      <c r="D207" s="6" t="str">
        <f ca="1">IF(AND(NEGOCIAÇÕES!O207="",NEGOCIAÇÕES!N207&gt;TODAY()),NEGOCIAÇÕES!D207,"")</f>
        <v/>
      </c>
      <c r="E207" s="9" t="str">
        <f>IF(AND(NEGOCIAÇÕES!B207&lt;&gt;"",NEGOCIAÇÕES!O207=""),NEGOCIAÇÕES!N207,"")</f>
        <v/>
      </c>
    </row>
    <row r="208" spans="2:5" ht="31.95" hidden="1" customHeight="1" x14ac:dyDescent="0.3">
      <c r="B208" s="6" t="str">
        <f ca="1">IF(AND(NEGOCIAÇÕES!O208="",NEGOCIAÇÕES!N208&gt;TODAY()),NEGOCIAÇÕES!C208,"")</f>
        <v/>
      </c>
      <c r="C208" s="6" t="str">
        <f ca="1">IF(AND(NEGOCIAÇÕES!O208="",NEGOCIAÇÕES!N208&gt;TODAY()),NEGOCIAÇÕES!E208,"")</f>
        <v/>
      </c>
      <c r="D208" s="6" t="str">
        <f ca="1">IF(AND(NEGOCIAÇÕES!O208="",NEGOCIAÇÕES!N208&gt;TODAY()),NEGOCIAÇÕES!D208,"")</f>
        <v/>
      </c>
      <c r="E208" s="9" t="str">
        <f>IF(AND(NEGOCIAÇÕES!B208&lt;&gt;"",NEGOCIAÇÕES!O208=""),NEGOCIAÇÕES!N208,"")</f>
        <v/>
      </c>
    </row>
    <row r="209" spans="2:5" ht="31.95" hidden="1" customHeight="1" x14ac:dyDescent="0.3">
      <c r="B209" s="6" t="str">
        <f ca="1">IF(AND(NEGOCIAÇÕES!O209="",NEGOCIAÇÕES!N209&gt;TODAY()),NEGOCIAÇÕES!C209,"")</f>
        <v/>
      </c>
      <c r="C209" s="6" t="str">
        <f ca="1">IF(AND(NEGOCIAÇÕES!O209="",NEGOCIAÇÕES!N209&gt;TODAY()),NEGOCIAÇÕES!E209,"")</f>
        <v/>
      </c>
      <c r="D209" s="6" t="str">
        <f ca="1">IF(AND(NEGOCIAÇÕES!O209="",NEGOCIAÇÕES!N209&gt;TODAY()),NEGOCIAÇÕES!D209,"")</f>
        <v/>
      </c>
      <c r="E209" s="9" t="str">
        <f>IF(AND(NEGOCIAÇÕES!B209&lt;&gt;"",NEGOCIAÇÕES!O209=""),NEGOCIAÇÕES!N209,"")</f>
        <v/>
      </c>
    </row>
    <row r="210" spans="2:5" ht="31.95" hidden="1" customHeight="1" x14ac:dyDescent="0.3">
      <c r="B210" s="6" t="str">
        <f ca="1">IF(AND(NEGOCIAÇÕES!O210="",NEGOCIAÇÕES!N210&gt;TODAY()),NEGOCIAÇÕES!C210,"")</f>
        <v/>
      </c>
      <c r="C210" s="6" t="str">
        <f ca="1">IF(AND(NEGOCIAÇÕES!O210="",NEGOCIAÇÕES!N210&gt;TODAY()),NEGOCIAÇÕES!E210,"")</f>
        <v/>
      </c>
      <c r="D210" s="6" t="str">
        <f ca="1">IF(AND(NEGOCIAÇÕES!O210="",NEGOCIAÇÕES!N210&gt;TODAY()),NEGOCIAÇÕES!D210,"")</f>
        <v/>
      </c>
      <c r="E210" s="9" t="str">
        <f>IF(AND(NEGOCIAÇÕES!B210&lt;&gt;"",NEGOCIAÇÕES!O210=""),NEGOCIAÇÕES!N210,"")</f>
        <v/>
      </c>
    </row>
    <row r="211" spans="2:5" ht="31.95" hidden="1" customHeight="1" x14ac:dyDescent="0.3">
      <c r="B211" s="6" t="str">
        <f ca="1">IF(AND(NEGOCIAÇÕES!O211="",NEGOCIAÇÕES!N211&gt;TODAY()),NEGOCIAÇÕES!C211,"")</f>
        <v/>
      </c>
      <c r="C211" s="6" t="str">
        <f ca="1">IF(AND(NEGOCIAÇÕES!O211="",NEGOCIAÇÕES!N211&gt;TODAY()),NEGOCIAÇÕES!E211,"")</f>
        <v/>
      </c>
      <c r="D211" s="6" t="str">
        <f ca="1">IF(AND(NEGOCIAÇÕES!O211="",NEGOCIAÇÕES!N211&gt;TODAY()),NEGOCIAÇÕES!D211,"")</f>
        <v/>
      </c>
      <c r="E211" s="9" t="str">
        <f>IF(AND(NEGOCIAÇÕES!B211&lt;&gt;"",NEGOCIAÇÕES!O211=""),NEGOCIAÇÕES!N211,"")</f>
        <v/>
      </c>
    </row>
    <row r="212" spans="2:5" ht="31.95" hidden="1" customHeight="1" x14ac:dyDescent="0.3">
      <c r="B212" s="6" t="str">
        <f ca="1">IF(AND(NEGOCIAÇÕES!O212="",NEGOCIAÇÕES!N212&gt;TODAY()),NEGOCIAÇÕES!C212,"")</f>
        <v/>
      </c>
      <c r="C212" s="6" t="str">
        <f ca="1">IF(AND(NEGOCIAÇÕES!O212="",NEGOCIAÇÕES!N212&gt;TODAY()),NEGOCIAÇÕES!E212,"")</f>
        <v/>
      </c>
      <c r="D212" s="6" t="str">
        <f ca="1">IF(AND(NEGOCIAÇÕES!O212="",NEGOCIAÇÕES!N212&gt;TODAY()),NEGOCIAÇÕES!D212,"")</f>
        <v/>
      </c>
      <c r="E212" s="9" t="str">
        <f>IF(AND(NEGOCIAÇÕES!B212&lt;&gt;"",NEGOCIAÇÕES!O212=""),NEGOCIAÇÕES!N212,"")</f>
        <v/>
      </c>
    </row>
    <row r="213" spans="2:5" ht="31.95" hidden="1" customHeight="1" x14ac:dyDescent="0.3">
      <c r="B213" s="6" t="str">
        <f ca="1">IF(AND(NEGOCIAÇÕES!O213="",NEGOCIAÇÕES!N213&gt;TODAY()),NEGOCIAÇÕES!C213,"")</f>
        <v/>
      </c>
      <c r="C213" s="6" t="str">
        <f ca="1">IF(AND(NEGOCIAÇÕES!O213="",NEGOCIAÇÕES!N213&gt;TODAY()),NEGOCIAÇÕES!E213,"")</f>
        <v/>
      </c>
      <c r="D213" s="6" t="str">
        <f ca="1">IF(AND(NEGOCIAÇÕES!O213="",NEGOCIAÇÕES!N213&gt;TODAY()),NEGOCIAÇÕES!D213,"")</f>
        <v/>
      </c>
      <c r="E213" s="9" t="str">
        <f>IF(AND(NEGOCIAÇÕES!B213&lt;&gt;"",NEGOCIAÇÕES!O213=""),NEGOCIAÇÕES!N213,"")</f>
        <v/>
      </c>
    </row>
    <row r="214" spans="2:5" ht="31.95" hidden="1" customHeight="1" x14ac:dyDescent="0.3">
      <c r="B214" s="6" t="str">
        <f ca="1">IF(AND(NEGOCIAÇÕES!O214="",NEGOCIAÇÕES!N214&gt;TODAY()),NEGOCIAÇÕES!C214,"")</f>
        <v/>
      </c>
      <c r="C214" s="6" t="str">
        <f ca="1">IF(AND(NEGOCIAÇÕES!O214="",NEGOCIAÇÕES!N214&gt;TODAY()),NEGOCIAÇÕES!E214,"")</f>
        <v/>
      </c>
      <c r="D214" s="6" t="str">
        <f ca="1">IF(AND(NEGOCIAÇÕES!O214="",NEGOCIAÇÕES!N214&gt;TODAY()),NEGOCIAÇÕES!D214,"")</f>
        <v/>
      </c>
      <c r="E214" s="9" t="str">
        <f>IF(AND(NEGOCIAÇÕES!B214&lt;&gt;"",NEGOCIAÇÕES!O214=""),NEGOCIAÇÕES!N214,"")</f>
        <v/>
      </c>
    </row>
    <row r="215" spans="2:5" ht="31.95" hidden="1" customHeight="1" x14ac:dyDescent="0.3">
      <c r="B215" s="6" t="str">
        <f ca="1">IF(AND(NEGOCIAÇÕES!O215="",NEGOCIAÇÕES!N215&gt;TODAY()),NEGOCIAÇÕES!C215,"")</f>
        <v/>
      </c>
      <c r="C215" s="6" t="str">
        <f ca="1">IF(AND(NEGOCIAÇÕES!O215="",NEGOCIAÇÕES!N215&gt;TODAY()),NEGOCIAÇÕES!E215,"")</f>
        <v/>
      </c>
      <c r="D215" s="6" t="str">
        <f ca="1">IF(AND(NEGOCIAÇÕES!O215="",NEGOCIAÇÕES!N215&gt;TODAY()),NEGOCIAÇÕES!D215,"")</f>
        <v/>
      </c>
      <c r="E215" s="9" t="str">
        <f>IF(AND(NEGOCIAÇÕES!B215&lt;&gt;"",NEGOCIAÇÕES!O215=""),NEGOCIAÇÕES!N215,"")</f>
        <v/>
      </c>
    </row>
    <row r="216" spans="2:5" ht="31.95" hidden="1" customHeight="1" x14ac:dyDescent="0.3">
      <c r="B216" s="6" t="str">
        <f ca="1">IF(AND(NEGOCIAÇÕES!O216="",NEGOCIAÇÕES!N216&gt;TODAY()),NEGOCIAÇÕES!C216,"")</f>
        <v/>
      </c>
      <c r="C216" s="6" t="str">
        <f ca="1">IF(AND(NEGOCIAÇÕES!O216="",NEGOCIAÇÕES!N216&gt;TODAY()),NEGOCIAÇÕES!E216,"")</f>
        <v/>
      </c>
      <c r="D216" s="6" t="str">
        <f ca="1">IF(AND(NEGOCIAÇÕES!O216="",NEGOCIAÇÕES!N216&gt;TODAY()),NEGOCIAÇÕES!D216,"")</f>
        <v/>
      </c>
      <c r="E216" s="9" t="str">
        <f>IF(AND(NEGOCIAÇÕES!B216&lt;&gt;"",NEGOCIAÇÕES!O216=""),NEGOCIAÇÕES!N216,"")</f>
        <v/>
      </c>
    </row>
    <row r="217" spans="2:5" ht="31.95" hidden="1" customHeight="1" x14ac:dyDescent="0.3">
      <c r="B217" s="6" t="str">
        <f ca="1">IF(AND(NEGOCIAÇÕES!O217="",NEGOCIAÇÕES!N217&gt;TODAY()),NEGOCIAÇÕES!C217,"")</f>
        <v/>
      </c>
      <c r="C217" s="6" t="str">
        <f ca="1">IF(AND(NEGOCIAÇÕES!O217="",NEGOCIAÇÕES!N217&gt;TODAY()),NEGOCIAÇÕES!E217,"")</f>
        <v/>
      </c>
      <c r="D217" s="6" t="str">
        <f ca="1">IF(AND(NEGOCIAÇÕES!O217="",NEGOCIAÇÕES!N217&gt;TODAY()),NEGOCIAÇÕES!D217,"")</f>
        <v/>
      </c>
      <c r="E217" s="9" t="str">
        <f>IF(AND(NEGOCIAÇÕES!B217&lt;&gt;"",NEGOCIAÇÕES!O217=""),NEGOCIAÇÕES!N217,"")</f>
        <v/>
      </c>
    </row>
    <row r="218" spans="2:5" ht="31.95" hidden="1" customHeight="1" x14ac:dyDescent="0.3">
      <c r="B218" s="6" t="str">
        <f ca="1">IF(AND(NEGOCIAÇÕES!O218="",NEGOCIAÇÕES!N218&gt;TODAY()),NEGOCIAÇÕES!C218,"")</f>
        <v/>
      </c>
      <c r="C218" s="6" t="str">
        <f ca="1">IF(AND(NEGOCIAÇÕES!O218="",NEGOCIAÇÕES!N218&gt;TODAY()),NEGOCIAÇÕES!E218,"")</f>
        <v/>
      </c>
      <c r="D218" s="6" t="str">
        <f ca="1">IF(AND(NEGOCIAÇÕES!O218="",NEGOCIAÇÕES!N218&gt;TODAY()),NEGOCIAÇÕES!D218,"")</f>
        <v/>
      </c>
      <c r="E218" s="9" t="str">
        <f>IF(AND(NEGOCIAÇÕES!B218&lt;&gt;"",NEGOCIAÇÕES!O218=""),NEGOCIAÇÕES!N218,"")</f>
        <v/>
      </c>
    </row>
    <row r="219" spans="2:5" ht="31.95" hidden="1" customHeight="1" x14ac:dyDescent="0.3">
      <c r="B219" s="6" t="str">
        <f ca="1">IF(AND(NEGOCIAÇÕES!O219="",NEGOCIAÇÕES!N219&gt;TODAY()),NEGOCIAÇÕES!C219,"")</f>
        <v/>
      </c>
      <c r="C219" s="6" t="str">
        <f ca="1">IF(AND(NEGOCIAÇÕES!O219="",NEGOCIAÇÕES!N219&gt;TODAY()),NEGOCIAÇÕES!E219,"")</f>
        <v/>
      </c>
      <c r="D219" s="6" t="str">
        <f ca="1">IF(AND(NEGOCIAÇÕES!O219="",NEGOCIAÇÕES!N219&gt;TODAY()),NEGOCIAÇÕES!D219,"")</f>
        <v/>
      </c>
      <c r="E219" s="9" t="str">
        <f>IF(AND(NEGOCIAÇÕES!B219&lt;&gt;"",NEGOCIAÇÕES!O219=""),NEGOCIAÇÕES!N219,"")</f>
        <v/>
      </c>
    </row>
    <row r="220" spans="2:5" ht="31.95" hidden="1" customHeight="1" x14ac:dyDescent="0.3">
      <c r="B220" s="6" t="str">
        <f ca="1">IF(AND(NEGOCIAÇÕES!O220="",NEGOCIAÇÕES!N220&gt;TODAY()),NEGOCIAÇÕES!C220,"")</f>
        <v/>
      </c>
      <c r="C220" s="6" t="str">
        <f ca="1">IF(AND(NEGOCIAÇÕES!O220="",NEGOCIAÇÕES!N220&gt;TODAY()),NEGOCIAÇÕES!E220,"")</f>
        <v/>
      </c>
      <c r="D220" s="6" t="str">
        <f ca="1">IF(AND(NEGOCIAÇÕES!O220="",NEGOCIAÇÕES!N220&gt;TODAY()),NEGOCIAÇÕES!D220,"")</f>
        <v/>
      </c>
      <c r="E220" s="9" t="str">
        <f>IF(AND(NEGOCIAÇÕES!B220&lt;&gt;"",NEGOCIAÇÕES!O220=""),NEGOCIAÇÕES!N220,"")</f>
        <v/>
      </c>
    </row>
    <row r="221" spans="2:5" ht="31.95" hidden="1" customHeight="1" x14ac:dyDescent="0.3">
      <c r="B221" s="6" t="str">
        <f ca="1">IF(AND(NEGOCIAÇÕES!O221="",NEGOCIAÇÕES!N221&gt;TODAY()),NEGOCIAÇÕES!C221,"")</f>
        <v/>
      </c>
      <c r="C221" s="6" t="str">
        <f ca="1">IF(AND(NEGOCIAÇÕES!O221="",NEGOCIAÇÕES!N221&gt;TODAY()),NEGOCIAÇÕES!E221,"")</f>
        <v/>
      </c>
      <c r="D221" s="6" t="str">
        <f ca="1">IF(AND(NEGOCIAÇÕES!O221="",NEGOCIAÇÕES!N221&gt;TODAY()),NEGOCIAÇÕES!D221,"")</f>
        <v/>
      </c>
      <c r="E221" s="9" t="str">
        <f>IF(AND(NEGOCIAÇÕES!B221&lt;&gt;"",NEGOCIAÇÕES!O221=""),NEGOCIAÇÕES!N221,"")</f>
        <v/>
      </c>
    </row>
    <row r="222" spans="2:5" ht="31.95" hidden="1" customHeight="1" x14ac:dyDescent="0.3">
      <c r="B222" s="6" t="str">
        <f ca="1">IF(AND(NEGOCIAÇÕES!O222="",NEGOCIAÇÕES!N222&gt;TODAY()),NEGOCIAÇÕES!C222,"")</f>
        <v/>
      </c>
      <c r="C222" s="6" t="str">
        <f ca="1">IF(AND(NEGOCIAÇÕES!O222="",NEGOCIAÇÕES!N222&gt;TODAY()),NEGOCIAÇÕES!E222,"")</f>
        <v/>
      </c>
      <c r="D222" s="6" t="str">
        <f ca="1">IF(AND(NEGOCIAÇÕES!O222="",NEGOCIAÇÕES!N222&gt;TODAY()),NEGOCIAÇÕES!D222,"")</f>
        <v/>
      </c>
      <c r="E222" s="9" t="str">
        <f>IF(AND(NEGOCIAÇÕES!B222&lt;&gt;"",NEGOCIAÇÕES!O222=""),NEGOCIAÇÕES!N222,"")</f>
        <v/>
      </c>
    </row>
    <row r="223" spans="2:5" ht="31.95" hidden="1" customHeight="1" x14ac:dyDescent="0.3">
      <c r="B223" s="6" t="str">
        <f ca="1">IF(AND(NEGOCIAÇÕES!O223="",NEGOCIAÇÕES!N223&gt;TODAY()),NEGOCIAÇÕES!C223,"")</f>
        <v/>
      </c>
      <c r="C223" s="6" t="str">
        <f ca="1">IF(AND(NEGOCIAÇÕES!O223="",NEGOCIAÇÕES!N223&gt;TODAY()),NEGOCIAÇÕES!E223,"")</f>
        <v/>
      </c>
      <c r="D223" s="6" t="str">
        <f ca="1">IF(AND(NEGOCIAÇÕES!O223="",NEGOCIAÇÕES!N223&gt;TODAY()),NEGOCIAÇÕES!D223,"")</f>
        <v/>
      </c>
      <c r="E223" s="9" t="str">
        <f>IF(AND(NEGOCIAÇÕES!B223&lt;&gt;"",NEGOCIAÇÕES!O223=""),NEGOCIAÇÕES!N223,"")</f>
        <v/>
      </c>
    </row>
    <row r="224" spans="2:5" ht="31.95" hidden="1" customHeight="1" x14ac:dyDescent="0.3">
      <c r="B224" s="6" t="str">
        <f ca="1">IF(AND(NEGOCIAÇÕES!O224="",NEGOCIAÇÕES!N224&gt;TODAY()),NEGOCIAÇÕES!C224,"")</f>
        <v/>
      </c>
      <c r="C224" s="6" t="str">
        <f ca="1">IF(AND(NEGOCIAÇÕES!O224="",NEGOCIAÇÕES!N224&gt;TODAY()),NEGOCIAÇÕES!E224,"")</f>
        <v/>
      </c>
      <c r="D224" s="6" t="str">
        <f ca="1">IF(AND(NEGOCIAÇÕES!O224="",NEGOCIAÇÕES!N224&gt;TODAY()),NEGOCIAÇÕES!D224,"")</f>
        <v/>
      </c>
      <c r="E224" s="9" t="str">
        <f>IF(AND(NEGOCIAÇÕES!B224&lt;&gt;"",NEGOCIAÇÕES!O224=""),NEGOCIAÇÕES!N224,"")</f>
        <v/>
      </c>
    </row>
    <row r="225" spans="2:5" ht="31.95" hidden="1" customHeight="1" x14ac:dyDescent="0.3">
      <c r="B225" s="6" t="str">
        <f ca="1">IF(AND(NEGOCIAÇÕES!O225="",NEGOCIAÇÕES!N225&gt;TODAY()),NEGOCIAÇÕES!C225,"")</f>
        <v/>
      </c>
      <c r="C225" s="6" t="str">
        <f ca="1">IF(AND(NEGOCIAÇÕES!O225="",NEGOCIAÇÕES!N225&gt;TODAY()),NEGOCIAÇÕES!E225,"")</f>
        <v/>
      </c>
      <c r="D225" s="6" t="str">
        <f ca="1">IF(AND(NEGOCIAÇÕES!O225="",NEGOCIAÇÕES!N225&gt;TODAY()),NEGOCIAÇÕES!D225,"")</f>
        <v/>
      </c>
      <c r="E225" s="9" t="str">
        <f>IF(AND(NEGOCIAÇÕES!B225&lt;&gt;"",NEGOCIAÇÕES!O225=""),NEGOCIAÇÕES!N225,"")</f>
        <v/>
      </c>
    </row>
    <row r="226" spans="2:5" ht="31.95" hidden="1" customHeight="1" x14ac:dyDescent="0.3">
      <c r="B226" s="6" t="str">
        <f ca="1">IF(AND(NEGOCIAÇÕES!O226="",NEGOCIAÇÕES!N226&gt;TODAY()),NEGOCIAÇÕES!C226,"")</f>
        <v/>
      </c>
      <c r="C226" s="6" t="str">
        <f ca="1">IF(AND(NEGOCIAÇÕES!O226="",NEGOCIAÇÕES!N226&gt;TODAY()),NEGOCIAÇÕES!E226,"")</f>
        <v/>
      </c>
      <c r="D226" s="6" t="str">
        <f ca="1">IF(AND(NEGOCIAÇÕES!O226="",NEGOCIAÇÕES!N226&gt;TODAY()),NEGOCIAÇÕES!D226,"")</f>
        <v/>
      </c>
      <c r="E226" s="9" t="str">
        <f>IF(AND(NEGOCIAÇÕES!B226&lt;&gt;"",NEGOCIAÇÕES!O226=""),NEGOCIAÇÕES!N226,"")</f>
        <v/>
      </c>
    </row>
    <row r="227" spans="2:5" ht="31.95" hidden="1" customHeight="1" x14ac:dyDescent="0.3">
      <c r="B227" s="6" t="str">
        <f ca="1">IF(AND(NEGOCIAÇÕES!O227="",NEGOCIAÇÕES!N227&gt;TODAY()),NEGOCIAÇÕES!C227,"")</f>
        <v/>
      </c>
      <c r="C227" s="6" t="str">
        <f ca="1">IF(AND(NEGOCIAÇÕES!O227="",NEGOCIAÇÕES!N227&gt;TODAY()),NEGOCIAÇÕES!E227,"")</f>
        <v/>
      </c>
      <c r="D227" s="6" t="str">
        <f ca="1">IF(AND(NEGOCIAÇÕES!O227="",NEGOCIAÇÕES!N227&gt;TODAY()),NEGOCIAÇÕES!D227,"")</f>
        <v/>
      </c>
      <c r="E227" s="9" t="str">
        <f>IF(AND(NEGOCIAÇÕES!B227&lt;&gt;"",NEGOCIAÇÕES!O227=""),NEGOCIAÇÕES!N227,"")</f>
        <v/>
      </c>
    </row>
    <row r="228" spans="2:5" ht="31.95" hidden="1" customHeight="1" x14ac:dyDescent="0.3">
      <c r="B228" s="6" t="str">
        <f ca="1">IF(AND(NEGOCIAÇÕES!O228="",NEGOCIAÇÕES!N228&gt;TODAY()),NEGOCIAÇÕES!C228,"")</f>
        <v/>
      </c>
      <c r="C228" s="6" t="str">
        <f ca="1">IF(AND(NEGOCIAÇÕES!O228="",NEGOCIAÇÕES!N228&gt;TODAY()),NEGOCIAÇÕES!E228,"")</f>
        <v/>
      </c>
      <c r="D228" s="6" t="str">
        <f ca="1">IF(AND(NEGOCIAÇÕES!O228="",NEGOCIAÇÕES!N228&gt;TODAY()),NEGOCIAÇÕES!D228,"")</f>
        <v/>
      </c>
      <c r="E228" s="9" t="str">
        <f>IF(AND(NEGOCIAÇÕES!B228&lt;&gt;"",NEGOCIAÇÕES!O228=""),NEGOCIAÇÕES!N228,"")</f>
        <v/>
      </c>
    </row>
    <row r="229" spans="2:5" ht="31.95" hidden="1" customHeight="1" x14ac:dyDescent="0.3">
      <c r="B229" s="6" t="str">
        <f ca="1">IF(AND(NEGOCIAÇÕES!O229="",NEGOCIAÇÕES!N229&gt;TODAY()),NEGOCIAÇÕES!C229,"")</f>
        <v/>
      </c>
      <c r="C229" s="6" t="str">
        <f ca="1">IF(AND(NEGOCIAÇÕES!O229="",NEGOCIAÇÕES!N229&gt;TODAY()),NEGOCIAÇÕES!E229,"")</f>
        <v/>
      </c>
      <c r="D229" s="6" t="str">
        <f ca="1">IF(AND(NEGOCIAÇÕES!O229="",NEGOCIAÇÕES!N229&gt;TODAY()),NEGOCIAÇÕES!D229,"")</f>
        <v/>
      </c>
      <c r="E229" s="9" t="str">
        <f>IF(AND(NEGOCIAÇÕES!B229&lt;&gt;"",NEGOCIAÇÕES!O229=""),NEGOCIAÇÕES!N229,"")</f>
        <v/>
      </c>
    </row>
    <row r="230" spans="2:5" ht="31.95" hidden="1" customHeight="1" x14ac:dyDescent="0.3">
      <c r="B230" s="6" t="str">
        <f ca="1">IF(AND(NEGOCIAÇÕES!O230="",NEGOCIAÇÕES!N230&gt;TODAY()),NEGOCIAÇÕES!C230,"")</f>
        <v/>
      </c>
      <c r="C230" s="6" t="str">
        <f ca="1">IF(AND(NEGOCIAÇÕES!O230="",NEGOCIAÇÕES!N230&gt;TODAY()),NEGOCIAÇÕES!E230,"")</f>
        <v/>
      </c>
      <c r="D230" s="6" t="str">
        <f ca="1">IF(AND(NEGOCIAÇÕES!O230="",NEGOCIAÇÕES!N230&gt;TODAY()),NEGOCIAÇÕES!D230,"")</f>
        <v/>
      </c>
      <c r="E230" s="9" t="str">
        <f>IF(AND(NEGOCIAÇÕES!B230&lt;&gt;"",NEGOCIAÇÕES!O230=""),NEGOCIAÇÕES!N230,"")</f>
        <v/>
      </c>
    </row>
    <row r="231" spans="2:5" ht="31.95" hidden="1" customHeight="1" x14ac:dyDescent="0.3">
      <c r="B231" s="6" t="str">
        <f ca="1">IF(AND(NEGOCIAÇÕES!O231="",NEGOCIAÇÕES!N231&gt;TODAY()),NEGOCIAÇÕES!C231,"")</f>
        <v/>
      </c>
      <c r="C231" s="6" t="str">
        <f ca="1">IF(AND(NEGOCIAÇÕES!O231="",NEGOCIAÇÕES!N231&gt;TODAY()),NEGOCIAÇÕES!E231,"")</f>
        <v/>
      </c>
      <c r="D231" s="6" t="str">
        <f ca="1">IF(AND(NEGOCIAÇÕES!O231="",NEGOCIAÇÕES!N231&gt;TODAY()),NEGOCIAÇÕES!D231,"")</f>
        <v/>
      </c>
      <c r="E231" s="9" t="str">
        <f>IF(AND(NEGOCIAÇÕES!B231&lt;&gt;"",NEGOCIAÇÕES!O231=""),NEGOCIAÇÕES!N231,"")</f>
        <v/>
      </c>
    </row>
    <row r="232" spans="2:5" ht="31.95" hidden="1" customHeight="1" x14ac:dyDescent="0.3">
      <c r="B232" s="6" t="str">
        <f ca="1">IF(AND(NEGOCIAÇÕES!O232="",NEGOCIAÇÕES!N232&gt;TODAY()),NEGOCIAÇÕES!C232,"")</f>
        <v/>
      </c>
      <c r="C232" s="6" t="str">
        <f ca="1">IF(AND(NEGOCIAÇÕES!O232="",NEGOCIAÇÕES!N232&gt;TODAY()),NEGOCIAÇÕES!E232,"")</f>
        <v/>
      </c>
      <c r="D232" s="6" t="str">
        <f ca="1">IF(AND(NEGOCIAÇÕES!O232="",NEGOCIAÇÕES!N232&gt;TODAY()),NEGOCIAÇÕES!D232,"")</f>
        <v/>
      </c>
      <c r="E232" s="9" t="str">
        <f>IF(AND(NEGOCIAÇÕES!B232&lt;&gt;"",NEGOCIAÇÕES!O232=""),NEGOCIAÇÕES!N232,"")</f>
        <v/>
      </c>
    </row>
    <row r="233" spans="2:5" ht="31.95" hidden="1" customHeight="1" x14ac:dyDescent="0.3">
      <c r="B233" s="6" t="str">
        <f ca="1">IF(AND(NEGOCIAÇÕES!O233="",NEGOCIAÇÕES!N233&gt;TODAY()),NEGOCIAÇÕES!C233,"")</f>
        <v/>
      </c>
      <c r="C233" s="6" t="str">
        <f ca="1">IF(AND(NEGOCIAÇÕES!O233="",NEGOCIAÇÕES!N233&gt;TODAY()),NEGOCIAÇÕES!E233,"")</f>
        <v/>
      </c>
      <c r="D233" s="6" t="str">
        <f ca="1">IF(AND(NEGOCIAÇÕES!O233="",NEGOCIAÇÕES!N233&gt;TODAY()),NEGOCIAÇÕES!D233,"")</f>
        <v/>
      </c>
      <c r="E233" s="9" t="str">
        <f>IF(AND(NEGOCIAÇÕES!B233&lt;&gt;"",NEGOCIAÇÕES!O233=""),NEGOCIAÇÕES!N233,"")</f>
        <v/>
      </c>
    </row>
    <row r="234" spans="2:5" ht="31.95" hidden="1" customHeight="1" x14ac:dyDescent="0.3">
      <c r="B234" s="6" t="str">
        <f ca="1">IF(AND(NEGOCIAÇÕES!O234="",NEGOCIAÇÕES!N234&gt;TODAY()),NEGOCIAÇÕES!C234,"")</f>
        <v/>
      </c>
      <c r="C234" s="6" t="str">
        <f ca="1">IF(AND(NEGOCIAÇÕES!O234="",NEGOCIAÇÕES!N234&gt;TODAY()),NEGOCIAÇÕES!E234,"")</f>
        <v/>
      </c>
      <c r="D234" s="6" t="str">
        <f ca="1">IF(AND(NEGOCIAÇÕES!O234="",NEGOCIAÇÕES!N234&gt;TODAY()),NEGOCIAÇÕES!D234,"")</f>
        <v/>
      </c>
      <c r="E234" s="9" t="str">
        <f>IF(AND(NEGOCIAÇÕES!B234&lt;&gt;"",NEGOCIAÇÕES!O234=""),NEGOCIAÇÕES!N234,"")</f>
        <v/>
      </c>
    </row>
    <row r="235" spans="2:5" ht="31.95" hidden="1" customHeight="1" x14ac:dyDescent="0.3">
      <c r="B235" s="6" t="str">
        <f ca="1">IF(AND(NEGOCIAÇÕES!O235="",NEGOCIAÇÕES!N235&gt;TODAY()),NEGOCIAÇÕES!C235,"")</f>
        <v/>
      </c>
      <c r="C235" s="6" t="str">
        <f ca="1">IF(AND(NEGOCIAÇÕES!O235="",NEGOCIAÇÕES!N235&gt;TODAY()),NEGOCIAÇÕES!E235,"")</f>
        <v/>
      </c>
      <c r="D235" s="6" t="str">
        <f ca="1">IF(AND(NEGOCIAÇÕES!O235="",NEGOCIAÇÕES!N235&gt;TODAY()),NEGOCIAÇÕES!D235,"")</f>
        <v/>
      </c>
      <c r="E235" s="9" t="str">
        <f>IF(AND(NEGOCIAÇÕES!B235&lt;&gt;"",NEGOCIAÇÕES!O235=""),NEGOCIAÇÕES!N235,"")</f>
        <v/>
      </c>
    </row>
    <row r="236" spans="2:5" ht="31.95" hidden="1" customHeight="1" x14ac:dyDescent="0.3">
      <c r="B236" s="6" t="str">
        <f ca="1">IF(AND(NEGOCIAÇÕES!O236="",NEGOCIAÇÕES!N236&gt;TODAY()),NEGOCIAÇÕES!C236,"")</f>
        <v/>
      </c>
      <c r="C236" s="6" t="str">
        <f ca="1">IF(AND(NEGOCIAÇÕES!O236="",NEGOCIAÇÕES!N236&gt;TODAY()),NEGOCIAÇÕES!E236,"")</f>
        <v/>
      </c>
      <c r="D236" s="6" t="str">
        <f ca="1">IF(AND(NEGOCIAÇÕES!O236="",NEGOCIAÇÕES!N236&gt;TODAY()),NEGOCIAÇÕES!D236,"")</f>
        <v/>
      </c>
      <c r="E236" s="9" t="str">
        <f>IF(AND(NEGOCIAÇÕES!B236&lt;&gt;"",NEGOCIAÇÕES!O236=""),NEGOCIAÇÕES!N236,"")</f>
        <v/>
      </c>
    </row>
    <row r="237" spans="2:5" ht="31.95" hidden="1" customHeight="1" x14ac:dyDescent="0.3">
      <c r="B237" s="6" t="str">
        <f ca="1">IF(AND(NEGOCIAÇÕES!O237="",NEGOCIAÇÕES!N237&gt;TODAY()),NEGOCIAÇÕES!C237,"")</f>
        <v/>
      </c>
      <c r="C237" s="6" t="str">
        <f ca="1">IF(AND(NEGOCIAÇÕES!O237="",NEGOCIAÇÕES!N237&gt;TODAY()),NEGOCIAÇÕES!E237,"")</f>
        <v/>
      </c>
      <c r="D237" s="6" t="str">
        <f ca="1">IF(AND(NEGOCIAÇÕES!O237="",NEGOCIAÇÕES!N237&gt;TODAY()),NEGOCIAÇÕES!D237,"")</f>
        <v/>
      </c>
      <c r="E237" s="9" t="str">
        <f>IF(AND(NEGOCIAÇÕES!B237&lt;&gt;"",NEGOCIAÇÕES!O237=""),NEGOCIAÇÕES!N237,"")</f>
        <v/>
      </c>
    </row>
    <row r="238" spans="2:5" ht="31.95" hidden="1" customHeight="1" x14ac:dyDescent="0.3">
      <c r="B238" s="6" t="str">
        <f ca="1">IF(AND(NEGOCIAÇÕES!O238="",NEGOCIAÇÕES!N238&gt;TODAY()),NEGOCIAÇÕES!C238,"")</f>
        <v/>
      </c>
      <c r="C238" s="6" t="str">
        <f ca="1">IF(AND(NEGOCIAÇÕES!O238="",NEGOCIAÇÕES!N238&gt;TODAY()),NEGOCIAÇÕES!E238,"")</f>
        <v/>
      </c>
      <c r="D238" s="6" t="str">
        <f ca="1">IF(AND(NEGOCIAÇÕES!O238="",NEGOCIAÇÕES!N238&gt;TODAY()),NEGOCIAÇÕES!D238,"")</f>
        <v/>
      </c>
      <c r="E238" s="9" t="str">
        <f>IF(AND(NEGOCIAÇÕES!B238&lt;&gt;"",NEGOCIAÇÕES!O238=""),NEGOCIAÇÕES!N238,"")</f>
        <v/>
      </c>
    </row>
    <row r="239" spans="2:5" ht="31.95" hidden="1" customHeight="1" x14ac:dyDescent="0.3">
      <c r="B239" s="6" t="str">
        <f ca="1">IF(AND(NEGOCIAÇÕES!O239="",NEGOCIAÇÕES!N239&gt;TODAY()),NEGOCIAÇÕES!C239,"")</f>
        <v/>
      </c>
      <c r="C239" s="6" t="str">
        <f ca="1">IF(AND(NEGOCIAÇÕES!O239="",NEGOCIAÇÕES!N239&gt;TODAY()),NEGOCIAÇÕES!E239,"")</f>
        <v/>
      </c>
      <c r="D239" s="6" t="str">
        <f ca="1">IF(AND(NEGOCIAÇÕES!O239="",NEGOCIAÇÕES!N239&gt;TODAY()),NEGOCIAÇÕES!D239,"")</f>
        <v/>
      </c>
      <c r="E239" s="9" t="str">
        <f>IF(AND(NEGOCIAÇÕES!B239&lt;&gt;"",NEGOCIAÇÕES!O239=""),NEGOCIAÇÕES!N239,"")</f>
        <v/>
      </c>
    </row>
    <row r="240" spans="2:5" ht="31.95" hidden="1" customHeight="1" x14ac:dyDescent="0.3">
      <c r="B240" s="6" t="str">
        <f ca="1">IF(AND(NEGOCIAÇÕES!O240="",NEGOCIAÇÕES!N240&gt;TODAY()),NEGOCIAÇÕES!C240,"")</f>
        <v/>
      </c>
      <c r="C240" s="6" t="str">
        <f ca="1">IF(AND(NEGOCIAÇÕES!O240="",NEGOCIAÇÕES!N240&gt;TODAY()),NEGOCIAÇÕES!E240,"")</f>
        <v/>
      </c>
      <c r="D240" s="6" t="str">
        <f ca="1">IF(AND(NEGOCIAÇÕES!O240="",NEGOCIAÇÕES!N240&gt;TODAY()),NEGOCIAÇÕES!D240,"")</f>
        <v/>
      </c>
      <c r="E240" s="9" t="str">
        <f>IF(AND(NEGOCIAÇÕES!B240&lt;&gt;"",NEGOCIAÇÕES!O240=""),NEGOCIAÇÕES!N240,"")</f>
        <v/>
      </c>
    </row>
    <row r="241" spans="2:5" ht="31.95" hidden="1" customHeight="1" x14ac:dyDescent="0.3">
      <c r="B241" s="6" t="str">
        <f ca="1">IF(AND(NEGOCIAÇÕES!O241="",NEGOCIAÇÕES!N241&gt;TODAY()),NEGOCIAÇÕES!C241,"")</f>
        <v/>
      </c>
      <c r="C241" s="6" t="str">
        <f ca="1">IF(AND(NEGOCIAÇÕES!O241="",NEGOCIAÇÕES!N241&gt;TODAY()),NEGOCIAÇÕES!E241,"")</f>
        <v/>
      </c>
      <c r="D241" s="6" t="str">
        <f ca="1">IF(AND(NEGOCIAÇÕES!O241="",NEGOCIAÇÕES!N241&gt;TODAY()),NEGOCIAÇÕES!D241,"")</f>
        <v/>
      </c>
      <c r="E241" s="9" t="str">
        <f>IF(AND(NEGOCIAÇÕES!B241&lt;&gt;"",NEGOCIAÇÕES!O241=""),NEGOCIAÇÕES!N241,"")</f>
        <v/>
      </c>
    </row>
    <row r="242" spans="2:5" ht="31.95" hidden="1" customHeight="1" x14ac:dyDescent="0.3">
      <c r="B242" s="6" t="str">
        <f ca="1">IF(AND(NEGOCIAÇÕES!O242="",NEGOCIAÇÕES!N242&gt;TODAY()),NEGOCIAÇÕES!C242,"")</f>
        <v/>
      </c>
      <c r="C242" s="6" t="str">
        <f ca="1">IF(AND(NEGOCIAÇÕES!O242="",NEGOCIAÇÕES!N242&gt;TODAY()),NEGOCIAÇÕES!E242,"")</f>
        <v/>
      </c>
      <c r="D242" s="6" t="str">
        <f ca="1">IF(AND(NEGOCIAÇÕES!O242="",NEGOCIAÇÕES!N242&gt;TODAY()),NEGOCIAÇÕES!D242,"")</f>
        <v/>
      </c>
      <c r="E242" s="9" t="str">
        <f>IF(AND(NEGOCIAÇÕES!B242&lt;&gt;"",NEGOCIAÇÕES!O242=""),NEGOCIAÇÕES!N242,"")</f>
        <v/>
      </c>
    </row>
    <row r="243" spans="2:5" ht="31.95" hidden="1" customHeight="1" x14ac:dyDescent="0.3">
      <c r="B243" s="6" t="str">
        <f ca="1">IF(AND(NEGOCIAÇÕES!O243="",NEGOCIAÇÕES!N243&gt;TODAY()),NEGOCIAÇÕES!C243,"")</f>
        <v/>
      </c>
      <c r="C243" s="6" t="str">
        <f ca="1">IF(AND(NEGOCIAÇÕES!O243="",NEGOCIAÇÕES!N243&gt;TODAY()),NEGOCIAÇÕES!E243,"")</f>
        <v/>
      </c>
      <c r="D243" s="6" t="str">
        <f ca="1">IF(AND(NEGOCIAÇÕES!O243="",NEGOCIAÇÕES!N243&gt;TODAY()),NEGOCIAÇÕES!D243,"")</f>
        <v/>
      </c>
      <c r="E243" s="9" t="str">
        <f>IF(AND(NEGOCIAÇÕES!B243&lt;&gt;"",NEGOCIAÇÕES!O243=""),NEGOCIAÇÕES!N243,"")</f>
        <v/>
      </c>
    </row>
    <row r="244" spans="2:5" ht="31.95" hidden="1" customHeight="1" x14ac:dyDescent="0.3">
      <c r="B244" s="6" t="str">
        <f ca="1">IF(AND(NEGOCIAÇÕES!O244="",NEGOCIAÇÕES!N244&gt;TODAY()),NEGOCIAÇÕES!C244,"")</f>
        <v/>
      </c>
      <c r="C244" s="6" t="str">
        <f ca="1">IF(AND(NEGOCIAÇÕES!O244="",NEGOCIAÇÕES!N244&gt;TODAY()),NEGOCIAÇÕES!E244,"")</f>
        <v/>
      </c>
      <c r="D244" s="6" t="str">
        <f ca="1">IF(AND(NEGOCIAÇÕES!O244="",NEGOCIAÇÕES!N244&gt;TODAY()),NEGOCIAÇÕES!D244,"")</f>
        <v/>
      </c>
      <c r="E244" s="9" t="str">
        <f>IF(AND(NEGOCIAÇÕES!B244&lt;&gt;"",NEGOCIAÇÕES!O244=""),NEGOCIAÇÕES!N244,"")</f>
        <v/>
      </c>
    </row>
    <row r="245" spans="2:5" ht="31.95" hidden="1" customHeight="1" x14ac:dyDescent="0.3">
      <c r="B245" s="6" t="str">
        <f ca="1">IF(AND(NEGOCIAÇÕES!O245="",NEGOCIAÇÕES!N245&gt;TODAY()),NEGOCIAÇÕES!C245,"")</f>
        <v/>
      </c>
      <c r="C245" s="6" t="str">
        <f ca="1">IF(AND(NEGOCIAÇÕES!O245="",NEGOCIAÇÕES!N245&gt;TODAY()),NEGOCIAÇÕES!E245,"")</f>
        <v/>
      </c>
      <c r="D245" s="6" t="str">
        <f ca="1">IF(AND(NEGOCIAÇÕES!O245="",NEGOCIAÇÕES!N245&gt;TODAY()),NEGOCIAÇÕES!D245,"")</f>
        <v/>
      </c>
      <c r="E245" s="9" t="str">
        <f>IF(AND(NEGOCIAÇÕES!B245&lt;&gt;"",NEGOCIAÇÕES!O245=""),NEGOCIAÇÕES!N245,"")</f>
        <v/>
      </c>
    </row>
    <row r="246" spans="2:5" ht="31.95" hidden="1" customHeight="1" x14ac:dyDescent="0.3">
      <c r="B246" s="6" t="str">
        <f ca="1">IF(AND(NEGOCIAÇÕES!O246="",NEGOCIAÇÕES!N246&gt;TODAY()),NEGOCIAÇÕES!C246,"")</f>
        <v/>
      </c>
      <c r="C246" s="6" t="str">
        <f ca="1">IF(AND(NEGOCIAÇÕES!O246="",NEGOCIAÇÕES!N246&gt;TODAY()),NEGOCIAÇÕES!E246,"")</f>
        <v/>
      </c>
      <c r="D246" s="6" t="str">
        <f ca="1">IF(AND(NEGOCIAÇÕES!O246="",NEGOCIAÇÕES!N246&gt;TODAY()),NEGOCIAÇÕES!D246,"")</f>
        <v/>
      </c>
      <c r="E246" s="9" t="str">
        <f>IF(AND(NEGOCIAÇÕES!B246&lt;&gt;"",NEGOCIAÇÕES!O246=""),NEGOCIAÇÕES!N246,"")</f>
        <v/>
      </c>
    </row>
    <row r="247" spans="2:5" ht="31.95" hidden="1" customHeight="1" x14ac:dyDescent="0.3">
      <c r="B247" s="6" t="str">
        <f ca="1">IF(AND(NEGOCIAÇÕES!O247="",NEGOCIAÇÕES!N247&gt;TODAY()),NEGOCIAÇÕES!C247,"")</f>
        <v/>
      </c>
      <c r="C247" s="6" t="str">
        <f ca="1">IF(AND(NEGOCIAÇÕES!O247="",NEGOCIAÇÕES!N247&gt;TODAY()),NEGOCIAÇÕES!E247,"")</f>
        <v/>
      </c>
      <c r="D247" s="6" t="str">
        <f ca="1">IF(AND(NEGOCIAÇÕES!O247="",NEGOCIAÇÕES!N247&gt;TODAY()),NEGOCIAÇÕES!D247,"")</f>
        <v/>
      </c>
      <c r="E247" s="9" t="str">
        <f>IF(AND(NEGOCIAÇÕES!B247&lt;&gt;"",NEGOCIAÇÕES!O247=""),NEGOCIAÇÕES!N247,"")</f>
        <v/>
      </c>
    </row>
    <row r="248" spans="2:5" ht="31.95" hidden="1" customHeight="1" x14ac:dyDescent="0.3">
      <c r="B248" s="6" t="str">
        <f ca="1">IF(AND(NEGOCIAÇÕES!O248="",NEGOCIAÇÕES!N248&gt;TODAY()),NEGOCIAÇÕES!C248,"")</f>
        <v/>
      </c>
      <c r="C248" s="6" t="str">
        <f ca="1">IF(AND(NEGOCIAÇÕES!O248="",NEGOCIAÇÕES!N248&gt;TODAY()),NEGOCIAÇÕES!E248,"")</f>
        <v/>
      </c>
      <c r="D248" s="6" t="str">
        <f ca="1">IF(AND(NEGOCIAÇÕES!O248="",NEGOCIAÇÕES!N248&gt;TODAY()),NEGOCIAÇÕES!D248,"")</f>
        <v/>
      </c>
      <c r="E248" s="9" t="str">
        <f>IF(AND(NEGOCIAÇÕES!B248&lt;&gt;"",NEGOCIAÇÕES!O248=""),NEGOCIAÇÕES!N248,"")</f>
        <v/>
      </c>
    </row>
    <row r="249" spans="2:5" ht="31.95" hidden="1" customHeight="1" x14ac:dyDescent="0.3">
      <c r="B249" s="6" t="str">
        <f ca="1">IF(AND(NEGOCIAÇÕES!O249="",NEGOCIAÇÕES!N249&gt;TODAY()),NEGOCIAÇÕES!C249,"")</f>
        <v/>
      </c>
      <c r="C249" s="6" t="str">
        <f ca="1">IF(AND(NEGOCIAÇÕES!O249="",NEGOCIAÇÕES!N249&gt;TODAY()),NEGOCIAÇÕES!E249,"")</f>
        <v/>
      </c>
      <c r="D249" s="6" t="str">
        <f ca="1">IF(AND(NEGOCIAÇÕES!O249="",NEGOCIAÇÕES!N249&gt;TODAY()),NEGOCIAÇÕES!D249,"")</f>
        <v/>
      </c>
      <c r="E249" s="9" t="str">
        <f>IF(AND(NEGOCIAÇÕES!B249&lt;&gt;"",NEGOCIAÇÕES!O249=""),NEGOCIAÇÕES!N249,"")</f>
        <v/>
      </c>
    </row>
    <row r="250" spans="2:5" ht="31.95" hidden="1" customHeight="1" x14ac:dyDescent="0.3">
      <c r="B250" s="6" t="str">
        <f ca="1">IF(AND(NEGOCIAÇÕES!O250="",NEGOCIAÇÕES!N250&gt;TODAY()),NEGOCIAÇÕES!C250,"")</f>
        <v/>
      </c>
      <c r="C250" s="6" t="str">
        <f ca="1">IF(AND(NEGOCIAÇÕES!O250="",NEGOCIAÇÕES!N250&gt;TODAY()),NEGOCIAÇÕES!E250,"")</f>
        <v/>
      </c>
      <c r="D250" s="6" t="str">
        <f ca="1">IF(AND(NEGOCIAÇÕES!O250="",NEGOCIAÇÕES!N250&gt;TODAY()),NEGOCIAÇÕES!D250,"")</f>
        <v/>
      </c>
      <c r="E250" s="9" t="str">
        <f>IF(AND(NEGOCIAÇÕES!B250&lt;&gt;"",NEGOCIAÇÕES!O250=""),NEGOCIAÇÕES!N250,"")</f>
        <v/>
      </c>
    </row>
    <row r="251" spans="2:5" ht="31.95" hidden="1" customHeight="1" x14ac:dyDescent="0.3">
      <c r="B251" s="6" t="str">
        <f ca="1">IF(AND(NEGOCIAÇÕES!O251="",NEGOCIAÇÕES!N251&gt;TODAY()),NEGOCIAÇÕES!C251,"")</f>
        <v/>
      </c>
      <c r="C251" s="6" t="str">
        <f ca="1">IF(AND(NEGOCIAÇÕES!O251="",NEGOCIAÇÕES!N251&gt;TODAY()),NEGOCIAÇÕES!E251,"")</f>
        <v/>
      </c>
      <c r="D251" s="6" t="str">
        <f ca="1">IF(AND(NEGOCIAÇÕES!O251="",NEGOCIAÇÕES!N251&gt;TODAY()),NEGOCIAÇÕES!D251,"")</f>
        <v/>
      </c>
      <c r="E251" s="9" t="str">
        <f>IF(AND(NEGOCIAÇÕES!B251&lt;&gt;"",NEGOCIAÇÕES!O251=""),NEGOCIAÇÕES!N251,"")</f>
        <v/>
      </c>
    </row>
    <row r="252" spans="2:5" ht="31.95" hidden="1" customHeight="1" x14ac:dyDescent="0.3">
      <c r="B252" s="6" t="str">
        <f ca="1">IF(AND(NEGOCIAÇÕES!O252="",NEGOCIAÇÕES!N252&gt;TODAY()),NEGOCIAÇÕES!C252,"")</f>
        <v/>
      </c>
      <c r="C252" s="6" t="str">
        <f ca="1">IF(AND(NEGOCIAÇÕES!O252="",NEGOCIAÇÕES!N252&gt;TODAY()),NEGOCIAÇÕES!E252,"")</f>
        <v/>
      </c>
      <c r="D252" s="6" t="str">
        <f ca="1">IF(AND(NEGOCIAÇÕES!O252="",NEGOCIAÇÕES!N252&gt;TODAY()),NEGOCIAÇÕES!D252,"")</f>
        <v/>
      </c>
      <c r="E252" s="9" t="str">
        <f>IF(AND(NEGOCIAÇÕES!B252&lt;&gt;"",NEGOCIAÇÕES!O252=""),NEGOCIAÇÕES!N252,"")</f>
        <v/>
      </c>
    </row>
    <row r="253" spans="2:5" ht="31.95" hidden="1" customHeight="1" x14ac:dyDescent="0.3">
      <c r="B253" s="6" t="str">
        <f ca="1">IF(AND(NEGOCIAÇÕES!O253="",NEGOCIAÇÕES!N253&gt;TODAY()),NEGOCIAÇÕES!C253,"")</f>
        <v/>
      </c>
      <c r="C253" s="6" t="str">
        <f ca="1">IF(AND(NEGOCIAÇÕES!O253="",NEGOCIAÇÕES!N253&gt;TODAY()),NEGOCIAÇÕES!E253,"")</f>
        <v/>
      </c>
      <c r="D253" s="6" t="str">
        <f ca="1">IF(AND(NEGOCIAÇÕES!O253="",NEGOCIAÇÕES!N253&gt;TODAY()),NEGOCIAÇÕES!D253,"")</f>
        <v/>
      </c>
      <c r="E253" s="9" t="str">
        <f>IF(AND(NEGOCIAÇÕES!B253&lt;&gt;"",NEGOCIAÇÕES!O253=""),NEGOCIAÇÕES!N253,"")</f>
        <v/>
      </c>
    </row>
    <row r="254" spans="2:5" ht="31.95" hidden="1" customHeight="1" x14ac:dyDescent="0.3">
      <c r="B254" s="6" t="str">
        <f ca="1">IF(AND(NEGOCIAÇÕES!O254="",NEGOCIAÇÕES!N254&gt;TODAY()),NEGOCIAÇÕES!C254,"")</f>
        <v/>
      </c>
      <c r="C254" s="6" t="str">
        <f ca="1">IF(AND(NEGOCIAÇÕES!O254="",NEGOCIAÇÕES!N254&gt;TODAY()),NEGOCIAÇÕES!E254,"")</f>
        <v/>
      </c>
      <c r="D254" s="6" t="str">
        <f ca="1">IF(AND(NEGOCIAÇÕES!O254="",NEGOCIAÇÕES!N254&gt;TODAY()),NEGOCIAÇÕES!D254,"")</f>
        <v/>
      </c>
      <c r="E254" s="9" t="str">
        <f>IF(AND(NEGOCIAÇÕES!B254&lt;&gt;"",NEGOCIAÇÕES!O254=""),NEGOCIAÇÕES!N254,"")</f>
        <v/>
      </c>
    </row>
    <row r="255" spans="2:5" ht="31.95" hidden="1" customHeight="1" x14ac:dyDescent="0.3">
      <c r="B255" s="6" t="str">
        <f ca="1">IF(AND(NEGOCIAÇÕES!O255="",NEGOCIAÇÕES!N255&gt;TODAY()),NEGOCIAÇÕES!C255,"")</f>
        <v/>
      </c>
      <c r="C255" s="6" t="str">
        <f ca="1">IF(AND(NEGOCIAÇÕES!O255="",NEGOCIAÇÕES!N255&gt;TODAY()),NEGOCIAÇÕES!E255,"")</f>
        <v/>
      </c>
      <c r="D255" s="6" t="str">
        <f ca="1">IF(AND(NEGOCIAÇÕES!O255="",NEGOCIAÇÕES!N255&gt;TODAY()),NEGOCIAÇÕES!D255,"")</f>
        <v/>
      </c>
      <c r="E255" s="9" t="str">
        <f>IF(AND(NEGOCIAÇÕES!B255&lt;&gt;"",NEGOCIAÇÕES!O255=""),NEGOCIAÇÕES!N255,"")</f>
        <v/>
      </c>
    </row>
    <row r="256" spans="2:5" ht="31.95" hidden="1" customHeight="1" x14ac:dyDescent="0.3">
      <c r="B256" s="6" t="str">
        <f ca="1">IF(AND(NEGOCIAÇÕES!O256="",NEGOCIAÇÕES!N256&gt;TODAY()),NEGOCIAÇÕES!C256,"")</f>
        <v/>
      </c>
      <c r="C256" s="6" t="str">
        <f ca="1">IF(AND(NEGOCIAÇÕES!O256="",NEGOCIAÇÕES!N256&gt;TODAY()),NEGOCIAÇÕES!E256,"")</f>
        <v/>
      </c>
      <c r="D256" s="6" t="str">
        <f ca="1">IF(AND(NEGOCIAÇÕES!O256="",NEGOCIAÇÕES!N256&gt;TODAY()),NEGOCIAÇÕES!D256,"")</f>
        <v/>
      </c>
      <c r="E256" s="9" t="str">
        <f>IF(AND(NEGOCIAÇÕES!B256&lt;&gt;"",NEGOCIAÇÕES!O256=""),NEGOCIAÇÕES!N256,"")</f>
        <v/>
      </c>
    </row>
    <row r="257" spans="2:5" ht="31.95" hidden="1" customHeight="1" x14ac:dyDescent="0.3">
      <c r="B257" s="6" t="str">
        <f ca="1">IF(AND(NEGOCIAÇÕES!O257="",NEGOCIAÇÕES!N257&gt;TODAY()),NEGOCIAÇÕES!C257,"")</f>
        <v/>
      </c>
      <c r="C257" s="6" t="str">
        <f ca="1">IF(AND(NEGOCIAÇÕES!O257="",NEGOCIAÇÕES!N257&gt;TODAY()),NEGOCIAÇÕES!E257,"")</f>
        <v/>
      </c>
      <c r="D257" s="6" t="str">
        <f ca="1">IF(AND(NEGOCIAÇÕES!O257="",NEGOCIAÇÕES!N257&gt;TODAY()),NEGOCIAÇÕES!D257,"")</f>
        <v/>
      </c>
      <c r="E257" s="9" t="str">
        <f>IF(AND(NEGOCIAÇÕES!B257&lt;&gt;"",NEGOCIAÇÕES!O257=""),NEGOCIAÇÕES!N257,"")</f>
        <v/>
      </c>
    </row>
    <row r="258" spans="2:5" ht="31.95" hidden="1" customHeight="1" x14ac:dyDescent="0.3">
      <c r="B258" s="6" t="str">
        <f ca="1">IF(AND(NEGOCIAÇÕES!O258="",NEGOCIAÇÕES!N258&gt;TODAY()),NEGOCIAÇÕES!C258,"")</f>
        <v/>
      </c>
      <c r="C258" s="6" t="str">
        <f ca="1">IF(AND(NEGOCIAÇÕES!O258="",NEGOCIAÇÕES!N258&gt;TODAY()),NEGOCIAÇÕES!E258,"")</f>
        <v/>
      </c>
      <c r="D258" s="6" t="str">
        <f ca="1">IF(AND(NEGOCIAÇÕES!O258="",NEGOCIAÇÕES!N258&gt;TODAY()),NEGOCIAÇÕES!D258,"")</f>
        <v/>
      </c>
      <c r="E258" s="9" t="str">
        <f>IF(AND(NEGOCIAÇÕES!B258&lt;&gt;"",NEGOCIAÇÕES!O258=""),NEGOCIAÇÕES!N258,"")</f>
        <v/>
      </c>
    </row>
    <row r="259" spans="2:5" ht="31.95" hidden="1" customHeight="1" x14ac:dyDescent="0.3">
      <c r="B259" s="6" t="str">
        <f ca="1">IF(AND(NEGOCIAÇÕES!O259="",NEGOCIAÇÕES!N259&gt;TODAY()),NEGOCIAÇÕES!C259,"")</f>
        <v/>
      </c>
      <c r="C259" s="6" t="str">
        <f ca="1">IF(AND(NEGOCIAÇÕES!O259="",NEGOCIAÇÕES!N259&gt;TODAY()),NEGOCIAÇÕES!E259,"")</f>
        <v/>
      </c>
      <c r="D259" s="6" t="str">
        <f ca="1">IF(AND(NEGOCIAÇÕES!O259="",NEGOCIAÇÕES!N259&gt;TODAY()),NEGOCIAÇÕES!D259,"")</f>
        <v/>
      </c>
      <c r="E259" s="9" t="str">
        <f>IF(AND(NEGOCIAÇÕES!B259&lt;&gt;"",NEGOCIAÇÕES!O259=""),NEGOCIAÇÕES!N259,"")</f>
        <v/>
      </c>
    </row>
    <row r="260" spans="2:5" ht="31.95" hidden="1" customHeight="1" x14ac:dyDescent="0.3">
      <c r="B260" s="6" t="str">
        <f ca="1">IF(AND(NEGOCIAÇÕES!O260="",NEGOCIAÇÕES!N260&gt;TODAY()),NEGOCIAÇÕES!C260,"")</f>
        <v/>
      </c>
      <c r="C260" s="6" t="str">
        <f ca="1">IF(AND(NEGOCIAÇÕES!O260="",NEGOCIAÇÕES!N260&gt;TODAY()),NEGOCIAÇÕES!E260,"")</f>
        <v/>
      </c>
      <c r="D260" s="6" t="str">
        <f ca="1">IF(AND(NEGOCIAÇÕES!O260="",NEGOCIAÇÕES!N260&gt;TODAY()),NEGOCIAÇÕES!D260,"")</f>
        <v/>
      </c>
      <c r="E260" s="9" t="str">
        <f>IF(AND(NEGOCIAÇÕES!B260&lt;&gt;"",NEGOCIAÇÕES!O260=""),NEGOCIAÇÕES!N260,"")</f>
        <v/>
      </c>
    </row>
    <row r="261" spans="2:5" ht="31.95" hidden="1" customHeight="1" x14ac:dyDescent="0.3">
      <c r="B261" s="6" t="str">
        <f ca="1">IF(AND(NEGOCIAÇÕES!O261="",NEGOCIAÇÕES!N261&gt;TODAY()),NEGOCIAÇÕES!C261,"")</f>
        <v/>
      </c>
      <c r="C261" s="6" t="str">
        <f ca="1">IF(AND(NEGOCIAÇÕES!O261="",NEGOCIAÇÕES!N261&gt;TODAY()),NEGOCIAÇÕES!E261,"")</f>
        <v/>
      </c>
      <c r="D261" s="6" t="str">
        <f ca="1">IF(AND(NEGOCIAÇÕES!O261="",NEGOCIAÇÕES!N261&gt;TODAY()),NEGOCIAÇÕES!D261,"")</f>
        <v/>
      </c>
      <c r="E261" s="9" t="str">
        <f>IF(AND(NEGOCIAÇÕES!B261&lt;&gt;"",NEGOCIAÇÕES!O261=""),NEGOCIAÇÕES!N261,"")</f>
        <v/>
      </c>
    </row>
    <row r="262" spans="2:5" ht="31.95" hidden="1" customHeight="1" x14ac:dyDescent="0.3">
      <c r="B262" s="6" t="str">
        <f ca="1">IF(AND(NEGOCIAÇÕES!O262="",NEGOCIAÇÕES!N262&gt;TODAY()),NEGOCIAÇÕES!C262,"")</f>
        <v/>
      </c>
      <c r="C262" s="6" t="str">
        <f ca="1">IF(AND(NEGOCIAÇÕES!O262="",NEGOCIAÇÕES!N262&gt;TODAY()),NEGOCIAÇÕES!E262,"")</f>
        <v/>
      </c>
      <c r="D262" s="6" t="str">
        <f ca="1">IF(AND(NEGOCIAÇÕES!O262="",NEGOCIAÇÕES!N262&gt;TODAY()),NEGOCIAÇÕES!D262,"")</f>
        <v/>
      </c>
      <c r="E262" s="9" t="str">
        <f>IF(AND(NEGOCIAÇÕES!B262&lt;&gt;"",NEGOCIAÇÕES!O262=""),NEGOCIAÇÕES!N262,"")</f>
        <v/>
      </c>
    </row>
    <row r="263" spans="2:5" ht="31.95" hidden="1" customHeight="1" x14ac:dyDescent="0.3">
      <c r="B263" s="6" t="str">
        <f ca="1">IF(AND(NEGOCIAÇÕES!O263="",NEGOCIAÇÕES!N263&gt;TODAY()),NEGOCIAÇÕES!C263,"")</f>
        <v/>
      </c>
      <c r="C263" s="6" t="str">
        <f ca="1">IF(AND(NEGOCIAÇÕES!O263="",NEGOCIAÇÕES!N263&gt;TODAY()),NEGOCIAÇÕES!E263,"")</f>
        <v/>
      </c>
      <c r="D263" s="6" t="str">
        <f ca="1">IF(AND(NEGOCIAÇÕES!O263="",NEGOCIAÇÕES!N263&gt;TODAY()),NEGOCIAÇÕES!D263,"")</f>
        <v/>
      </c>
      <c r="E263" s="9" t="str">
        <f>IF(AND(NEGOCIAÇÕES!B263&lt;&gt;"",NEGOCIAÇÕES!O263=""),NEGOCIAÇÕES!N263,"")</f>
        <v/>
      </c>
    </row>
    <row r="264" spans="2:5" ht="31.95" hidden="1" customHeight="1" x14ac:dyDescent="0.3">
      <c r="B264" s="6" t="str">
        <f ca="1">IF(AND(NEGOCIAÇÕES!O264="",NEGOCIAÇÕES!N264&gt;TODAY()),NEGOCIAÇÕES!C264,"")</f>
        <v/>
      </c>
      <c r="C264" s="6" t="str">
        <f ca="1">IF(AND(NEGOCIAÇÕES!O264="",NEGOCIAÇÕES!N264&gt;TODAY()),NEGOCIAÇÕES!E264,"")</f>
        <v/>
      </c>
      <c r="D264" s="6" t="str">
        <f ca="1">IF(AND(NEGOCIAÇÕES!O264="",NEGOCIAÇÕES!N264&gt;TODAY()),NEGOCIAÇÕES!D264,"")</f>
        <v/>
      </c>
      <c r="E264" s="9" t="str">
        <f>IF(AND(NEGOCIAÇÕES!B264&lt;&gt;"",NEGOCIAÇÕES!O264=""),NEGOCIAÇÕES!N264,"")</f>
        <v/>
      </c>
    </row>
    <row r="265" spans="2:5" ht="31.95" hidden="1" customHeight="1" x14ac:dyDescent="0.3">
      <c r="B265" s="6" t="str">
        <f ca="1">IF(AND(NEGOCIAÇÕES!O265="",NEGOCIAÇÕES!N265&gt;TODAY()),NEGOCIAÇÕES!C265,"")</f>
        <v/>
      </c>
      <c r="C265" s="6" t="str">
        <f ca="1">IF(AND(NEGOCIAÇÕES!O265="",NEGOCIAÇÕES!N265&gt;TODAY()),NEGOCIAÇÕES!E265,"")</f>
        <v/>
      </c>
      <c r="D265" s="6" t="str">
        <f ca="1">IF(AND(NEGOCIAÇÕES!O265="",NEGOCIAÇÕES!N265&gt;TODAY()),NEGOCIAÇÕES!D265,"")</f>
        <v/>
      </c>
      <c r="E265" s="9" t="str">
        <f>IF(AND(NEGOCIAÇÕES!B265&lt;&gt;"",NEGOCIAÇÕES!O265=""),NEGOCIAÇÕES!N265,"")</f>
        <v/>
      </c>
    </row>
    <row r="266" spans="2:5" ht="31.95" hidden="1" customHeight="1" x14ac:dyDescent="0.3">
      <c r="B266" s="6" t="str">
        <f ca="1">IF(AND(NEGOCIAÇÕES!O266="",NEGOCIAÇÕES!N266&gt;TODAY()),NEGOCIAÇÕES!C266,"")</f>
        <v/>
      </c>
      <c r="C266" s="6" t="str">
        <f ca="1">IF(AND(NEGOCIAÇÕES!O266="",NEGOCIAÇÕES!N266&gt;TODAY()),NEGOCIAÇÕES!E266,"")</f>
        <v/>
      </c>
      <c r="D266" s="6" t="str">
        <f ca="1">IF(AND(NEGOCIAÇÕES!O266="",NEGOCIAÇÕES!N266&gt;TODAY()),NEGOCIAÇÕES!D266,"")</f>
        <v/>
      </c>
      <c r="E266" s="9" t="str">
        <f>IF(AND(NEGOCIAÇÕES!B266&lt;&gt;"",NEGOCIAÇÕES!O266=""),NEGOCIAÇÕES!N266,"")</f>
        <v/>
      </c>
    </row>
    <row r="267" spans="2:5" ht="31.95" hidden="1" customHeight="1" x14ac:dyDescent="0.3">
      <c r="B267" s="6" t="str">
        <f ca="1">IF(AND(NEGOCIAÇÕES!O267="",NEGOCIAÇÕES!N267&gt;TODAY()),NEGOCIAÇÕES!C267,"")</f>
        <v/>
      </c>
      <c r="C267" s="6" t="str">
        <f ca="1">IF(AND(NEGOCIAÇÕES!O267="",NEGOCIAÇÕES!N267&gt;TODAY()),NEGOCIAÇÕES!E267,"")</f>
        <v/>
      </c>
      <c r="D267" s="6" t="str">
        <f ca="1">IF(AND(NEGOCIAÇÕES!O267="",NEGOCIAÇÕES!N267&gt;TODAY()),NEGOCIAÇÕES!D267,"")</f>
        <v/>
      </c>
      <c r="E267" s="9" t="str">
        <f>IF(AND(NEGOCIAÇÕES!B267&lt;&gt;"",NEGOCIAÇÕES!O267=""),NEGOCIAÇÕES!N267,"")</f>
        <v/>
      </c>
    </row>
    <row r="268" spans="2:5" ht="31.95" hidden="1" customHeight="1" x14ac:dyDescent="0.3">
      <c r="B268" s="6" t="str">
        <f ca="1">IF(AND(NEGOCIAÇÕES!O268="",NEGOCIAÇÕES!N268&gt;TODAY()),NEGOCIAÇÕES!C268,"")</f>
        <v/>
      </c>
      <c r="C268" s="6" t="str">
        <f ca="1">IF(AND(NEGOCIAÇÕES!O268="",NEGOCIAÇÕES!N268&gt;TODAY()),NEGOCIAÇÕES!E268,"")</f>
        <v/>
      </c>
      <c r="D268" s="6" t="str">
        <f ca="1">IF(AND(NEGOCIAÇÕES!O268="",NEGOCIAÇÕES!N268&gt;TODAY()),NEGOCIAÇÕES!D268,"")</f>
        <v/>
      </c>
      <c r="E268" s="9" t="str">
        <f>IF(AND(NEGOCIAÇÕES!B268&lt;&gt;"",NEGOCIAÇÕES!O268=""),NEGOCIAÇÕES!N268,"")</f>
        <v/>
      </c>
    </row>
    <row r="269" spans="2:5" ht="31.95" hidden="1" customHeight="1" x14ac:dyDescent="0.3">
      <c r="B269" s="6" t="str">
        <f ca="1">IF(AND(NEGOCIAÇÕES!O269="",NEGOCIAÇÕES!N269&gt;TODAY()),NEGOCIAÇÕES!C269,"")</f>
        <v/>
      </c>
      <c r="C269" s="6" t="str">
        <f ca="1">IF(AND(NEGOCIAÇÕES!O269="",NEGOCIAÇÕES!N269&gt;TODAY()),NEGOCIAÇÕES!E269,"")</f>
        <v/>
      </c>
      <c r="D269" s="6" t="str">
        <f ca="1">IF(AND(NEGOCIAÇÕES!O269="",NEGOCIAÇÕES!N269&gt;TODAY()),NEGOCIAÇÕES!D269,"")</f>
        <v/>
      </c>
      <c r="E269" s="9" t="str">
        <f>IF(AND(NEGOCIAÇÕES!B269&lt;&gt;"",NEGOCIAÇÕES!O269=""),NEGOCIAÇÕES!N269,"")</f>
        <v/>
      </c>
    </row>
    <row r="270" spans="2:5" ht="31.95" hidden="1" customHeight="1" x14ac:dyDescent="0.3">
      <c r="B270" s="6" t="str">
        <f ca="1">IF(AND(NEGOCIAÇÕES!O270="",NEGOCIAÇÕES!N270&gt;TODAY()),NEGOCIAÇÕES!C270,"")</f>
        <v/>
      </c>
      <c r="C270" s="6" t="str">
        <f ca="1">IF(AND(NEGOCIAÇÕES!O270="",NEGOCIAÇÕES!N270&gt;TODAY()),NEGOCIAÇÕES!E270,"")</f>
        <v/>
      </c>
      <c r="D270" s="6" t="str">
        <f ca="1">IF(AND(NEGOCIAÇÕES!O270="",NEGOCIAÇÕES!N270&gt;TODAY()),NEGOCIAÇÕES!D270,"")</f>
        <v/>
      </c>
      <c r="E270" s="9" t="str">
        <f>IF(AND(NEGOCIAÇÕES!B270&lt;&gt;"",NEGOCIAÇÕES!O270=""),NEGOCIAÇÕES!N270,"")</f>
        <v/>
      </c>
    </row>
    <row r="271" spans="2:5" ht="31.95" hidden="1" customHeight="1" x14ac:dyDescent="0.3">
      <c r="B271" s="6" t="str">
        <f ca="1">IF(AND(NEGOCIAÇÕES!O271="",NEGOCIAÇÕES!N271&gt;TODAY()),NEGOCIAÇÕES!C271,"")</f>
        <v/>
      </c>
      <c r="C271" s="6" t="str">
        <f ca="1">IF(AND(NEGOCIAÇÕES!O271="",NEGOCIAÇÕES!N271&gt;TODAY()),NEGOCIAÇÕES!E271,"")</f>
        <v/>
      </c>
      <c r="D271" s="6" t="str">
        <f ca="1">IF(AND(NEGOCIAÇÕES!O271="",NEGOCIAÇÕES!N271&gt;TODAY()),NEGOCIAÇÕES!D271,"")</f>
        <v/>
      </c>
      <c r="E271" s="9" t="str">
        <f>IF(AND(NEGOCIAÇÕES!B271&lt;&gt;"",NEGOCIAÇÕES!O271=""),NEGOCIAÇÕES!N271,"")</f>
        <v/>
      </c>
    </row>
    <row r="272" spans="2:5" ht="31.95" hidden="1" customHeight="1" x14ac:dyDescent="0.3">
      <c r="B272" s="6" t="str">
        <f ca="1">IF(AND(NEGOCIAÇÕES!O272="",NEGOCIAÇÕES!N272&gt;TODAY()),NEGOCIAÇÕES!C272,"")</f>
        <v/>
      </c>
      <c r="C272" s="6" t="str">
        <f ca="1">IF(AND(NEGOCIAÇÕES!O272="",NEGOCIAÇÕES!N272&gt;TODAY()),NEGOCIAÇÕES!E272,"")</f>
        <v/>
      </c>
      <c r="D272" s="6" t="str">
        <f ca="1">IF(AND(NEGOCIAÇÕES!O272="",NEGOCIAÇÕES!N272&gt;TODAY()),NEGOCIAÇÕES!D272,"")</f>
        <v/>
      </c>
      <c r="E272" s="9" t="str">
        <f>IF(AND(NEGOCIAÇÕES!B272&lt;&gt;"",NEGOCIAÇÕES!O272=""),NEGOCIAÇÕES!N272,"")</f>
        <v/>
      </c>
    </row>
    <row r="273" spans="2:5" ht="31.95" hidden="1" customHeight="1" x14ac:dyDescent="0.3">
      <c r="B273" s="6" t="str">
        <f ca="1">IF(AND(NEGOCIAÇÕES!O273="",NEGOCIAÇÕES!N273&gt;TODAY()),NEGOCIAÇÕES!C273,"")</f>
        <v/>
      </c>
      <c r="C273" s="6" t="str">
        <f ca="1">IF(AND(NEGOCIAÇÕES!O273="",NEGOCIAÇÕES!N273&gt;TODAY()),NEGOCIAÇÕES!E273,"")</f>
        <v/>
      </c>
      <c r="D273" s="6" t="str">
        <f ca="1">IF(AND(NEGOCIAÇÕES!O273="",NEGOCIAÇÕES!N273&gt;TODAY()),NEGOCIAÇÕES!D273,"")</f>
        <v/>
      </c>
      <c r="E273" s="9" t="str">
        <f>IF(AND(NEGOCIAÇÕES!B273&lt;&gt;"",NEGOCIAÇÕES!O273=""),NEGOCIAÇÕES!N273,"")</f>
        <v/>
      </c>
    </row>
    <row r="274" spans="2:5" ht="31.95" hidden="1" customHeight="1" x14ac:dyDescent="0.3">
      <c r="B274" s="6" t="str">
        <f ca="1">IF(AND(NEGOCIAÇÕES!O274="",NEGOCIAÇÕES!N274&gt;TODAY()),NEGOCIAÇÕES!C274,"")</f>
        <v/>
      </c>
      <c r="C274" s="6" t="str">
        <f ca="1">IF(AND(NEGOCIAÇÕES!O274="",NEGOCIAÇÕES!N274&gt;TODAY()),NEGOCIAÇÕES!E274,"")</f>
        <v/>
      </c>
      <c r="D274" s="6" t="str">
        <f ca="1">IF(AND(NEGOCIAÇÕES!O274="",NEGOCIAÇÕES!N274&gt;TODAY()),NEGOCIAÇÕES!D274,"")</f>
        <v/>
      </c>
      <c r="E274" s="9" t="str">
        <f>IF(AND(NEGOCIAÇÕES!B274&lt;&gt;"",NEGOCIAÇÕES!O274=""),NEGOCIAÇÕES!N274,"")</f>
        <v/>
      </c>
    </row>
    <row r="275" spans="2:5" ht="31.95" hidden="1" customHeight="1" x14ac:dyDescent="0.3">
      <c r="B275" s="6" t="str">
        <f ca="1">IF(AND(NEGOCIAÇÕES!O275="",NEGOCIAÇÕES!N275&gt;TODAY()),NEGOCIAÇÕES!C275,"")</f>
        <v/>
      </c>
      <c r="C275" s="6" t="str">
        <f ca="1">IF(AND(NEGOCIAÇÕES!O275="",NEGOCIAÇÕES!N275&gt;TODAY()),NEGOCIAÇÕES!E275,"")</f>
        <v/>
      </c>
      <c r="D275" s="6" t="str">
        <f ca="1">IF(AND(NEGOCIAÇÕES!O275="",NEGOCIAÇÕES!N275&gt;TODAY()),NEGOCIAÇÕES!D275,"")</f>
        <v/>
      </c>
      <c r="E275" s="9" t="str">
        <f>IF(AND(NEGOCIAÇÕES!B275&lt;&gt;"",NEGOCIAÇÕES!O275=""),NEGOCIAÇÕES!N275,"")</f>
        <v/>
      </c>
    </row>
    <row r="276" spans="2:5" ht="31.95" hidden="1" customHeight="1" x14ac:dyDescent="0.3">
      <c r="B276" s="6" t="str">
        <f ca="1">IF(AND(NEGOCIAÇÕES!O276="",NEGOCIAÇÕES!N276&gt;TODAY()),NEGOCIAÇÕES!C276,"")</f>
        <v/>
      </c>
      <c r="C276" s="6" t="str">
        <f ca="1">IF(AND(NEGOCIAÇÕES!O276="",NEGOCIAÇÕES!N276&gt;TODAY()),NEGOCIAÇÕES!E276,"")</f>
        <v/>
      </c>
      <c r="D276" s="6" t="str">
        <f ca="1">IF(AND(NEGOCIAÇÕES!O276="",NEGOCIAÇÕES!N276&gt;TODAY()),NEGOCIAÇÕES!D276,"")</f>
        <v/>
      </c>
      <c r="E276" s="9" t="str">
        <f>IF(AND(NEGOCIAÇÕES!B276&lt;&gt;"",NEGOCIAÇÕES!O276=""),NEGOCIAÇÕES!N276,"")</f>
        <v/>
      </c>
    </row>
    <row r="277" spans="2:5" ht="31.95" hidden="1" customHeight="1" x14ac:dyDescent="0.3">
      <c r="B277" s="6" t="str">
        <f ca="1">IF(AND(NEGOCIAÇÕES!O277="",NEGOCIAÇÕES!N277&gt;TODAY()),NEGOCIAÇÕES!C277,"")</f>
        <v/>
      </c>
      <c r="C277" s="6" t="str">
        <f ca="1">IF(AND(NEGOCIAÇÕES!O277="",NEGOCIAÇÕES!N277&gt;TODAY()),NEGOCIAÇÕES!E277,"")</f>
        <v/>
      </c>
      <c r="D277" s="6" t="str">
        <f ca="1">IF(AND(NEGOCIAÇÕES!O277="",NEGOCIAÇÕES!N277&gt;TODAY()),NEGOCIAÇÕES!D277,"")</f>
        <v/>
      </c>
      <c r="E277" s="9" t="str">
        <f>IF(AND(NEGOCIAÇÕES!B277&lt;&gt;"",NEGOCIAÇÕES!O277=""),NEGOCIAÇÕES!N277,"")</f>
        <v/>
      </c>
    </row>
    <row r="278" spans="2:5" ht="31.95" hidden="1" customHeight="1" x14ac:dyDescent="0.3">
      <c r="B278" s="6" t="str">
        <f ca="1">IF(AND(NEGOCIAÇÕES!O278="",NEGOCIAÇÕES!N278&gt;TODAY()),NEGOCIAÇÕES!C278,"")</f>
        <v/>
      </c>
      <c r="C278" s="6" t="str">
        <f ca="1">IF(AND(NEGOCIAÇÕES!O278="",NEGOCIAÇÕES!N278&gt;TODAY()),NEGOCIAÇÕES!E278,"")</f>
        <v/>
      </c>
      <c r="D278" s="6" t="str">
        <f ca="1">IF(AND(NEGOCIAÇÕES!O278="",NEGOCIAÇÕES!N278&gt;TODAY()),NEGOCIAÇÕES!D278,"")</f>
        <v/>
      </c>
      <c r="E278" s="9" t="str">
        <f>IF(AND(NEGOCIAÇÕES!B278&lt;&gt;"",NEGOCIAÇÕES!O278=""),NEGOCIAÇÕES!N278,"")</f>
        <v/>
      </c>
    </row>
    <row r="279" spans="2:5" ht="31.95" hidden="1" customHeight="1" x14ac:dyDescent="0.3">
      <c r="B279" s="6" t="str">
        <f ca="1">IF(AND(NEGOCIAÇÕES!O279="",NEGOCIAÇÕES!N279&gt;TODAY()),NEGOCIAÇÕES!C279,"")</f>
        <v/>
      </c>
      <c r="C279" s="6" t="str">
        <f ca="1">IF(AND(NEGOCIAÇÕES!O279="",NEGOCIAÇÕES!N279&gt;TODAY()),NEGOCIAÇÕES!E279,"")</f>
        <v/>
      </c>
      <c r="D279" s="6" t="str">
        <f ca="1">IF(AND(NEGOCIAÇÕES!O279="",NEGOCIAÇÕES!N279&gt;TODAY()),NEGOCIAÇÕES!D279,"")</f>
        <v/>
      </c>
      <c r="E279" s="9" t="str">
        <f>IF(AND(NEGOCIAÇÕES!B279&lt;&gt;"",NEGOCIAÇÕES!O279=""),NEGOCIAÇÕES!N279,"")</f>
        <v/>
      </c>
    </row>
    <row r="280" spans="2:5" ht="31.95" hidden="1" customHeight="1" x14ac:dyDescent="0.3">
      <c r="B280" s="6" t="str">
        <f ca="1">IF(AND(NEGOCIAÇÕES!O280="",NEGOCIAÇÕES!N280&gt;TODAY()),NEGOCIAÇÕES!C280,"")</f>
        <v/>
      </c>
      <c r="C280" s="6" t="str">
        <f ca="1">IF(AND(NEGOCIAÇÕES!O280="",NEGOCIAÇÕES!N280&gt;TODAY()),NEGOCIAÇÕES!E280,"")</f>
        <v/>
      </c>
      <c r="D280" s="6" t="str">
        <f ca="1">IF(AND(NEGOCIAÇÕES!O280="",NEGOCIAÇÕES!N280&gt;TODAY()),NEGOCIAÇÕES!D280,"")</f>
        <v/>
      </c>
      <c r="E280" s="9" t="str">
        <f>IF(AND(NEGOCIAÇÕES!B280&lt;&gt;"",NEGOCIAÇÕES!O280=""),NEGOCIAÇÕES!N280,"")</f>
        <v/>
      </c>
    </row>
    <row r="281" spans="2:5" ht="31.95" hidden="1" customHeight="1" x14ac:dyDescent="0.3">
      <c r="B281" s="6" t="str">
        <f ca="1">IF(AND(NEGOCIAÇÕES!O281="",NEGOCIAÇÕES!N281&gt;TODAY()),NEGOCIAÇÕES!C281,"")</f>
        <v/>
      </c>
      <c r="C281" s="6" t="str">
        <f ca="1">IF(AND(NEGOCIAÇÕES!O281="",NEGOCIAÇÕES!N281&gt;TODAY()),NEGOCIAÇÕES!E281,"")</f>
        <v/>
      </c>
      <c r="D281" s="6" t="str">
        <f ca="1">IF(AND(NEGOCIAÇÕES!O281="",NEGOCIAÇÕES!N281&gt;TODAY()),NEGOCIAÇÕES!D281,"")</f>
        <v/>
      </c>
      <c r="E281" s="9" t="str">
        <f>IF(AND(NEGOCIAÇÕES!B281&lt;&gt;"",NEGOCIAÇÕES!O281=""),NEGOCIAÇÕES!N281,"")</f>
        <v/>
      </c>
    </row>
    <row r="282" spans="2:5" ht="31.95" hidden="1" customHeight="1" x14ac:dyDescent="0.3">
      <c r="B282" s="6" t="str">
        <f ca="1">IF(AND(NEGOCIAÇÕES!O282="",NEGOCIAÇÕES!N282&gt;TODAY()),NEGOCIAÇÕES!C282,"")</f>
        <v/>
      </c>
      <c r="C282" s="6" t="str">
        <f ca="1">IF(AND(NEGOCIAÇÕES!O282="",NEGOCIAÇÕES!N282&gt;TODAY()),NEGOCIAÇÕES!E282,"")</f>
        <v/>
      </c>
      <c r="D282" s="6" t="str">
        <f ca="1">IF(AND(NEGOCIAÇÕES!O282="",NEGOCIAÇÕES!N282&gt;TODAY()),NEGOCIAÇÕES!D282,"")</f>
        <v/>
      </c>
      <c r="E282" s="9" t="str">
        <f>IF(AND(NEGOCIAÇÕES!B282&lt;&gt;"",NEGOCIAÇÕES!O282=""),NEGOCIAÇÕES!N282,"")</f>
        <v/>
      </c>
    </row>
    <row r="283" spans="2:5" ht="31.95" hidden="1" customHeight="1" x14ac:dyDescent="0.3">
      <c r="B283" s="6" t="str">
        <f ca="1">IF(AND(NEGOCIAÇÕES!O283="",NEGOCIAÇÕES!N283&gt;TODAY()),NEGOCIAÇÕES!C283,"")</f>
        <v/>
      </c>
      <c r="C283" s="6" t="str">
        <f ca="1">IF(AND(NEGOCIAÇÕES!O283="",NEGOCIAÇÕES!N283&gt;TODAY()),NEGOCIAÇÕES!E283,"")</f>
        <v/>
      </c>
      <c r="D283" s="6" t="str">
        <f ca="1">IF(AND(NEGOCIAÇÕES!O283="",NEGOCIAÇÕES!N283&gt;TODAY()),NEGOCIAÇÕES!D283,"")</f>
        <v/>
      </c>
      <c r="E283" s="9" t="str">
        <f>IF(AND(NEGOCIAÇÕES!B283&lt;&gt;"",NEGOCIAÇÕES!O283=""),NEGOCIAÇÕES!N283,"")</f>
        <v/>
      </c>
    </row>
    <row r="284" spans="2:5" ht="31.95" hidden="1" customHeight="1" x14ac:dyDescent="0.3">
      <c r="B284" s="6" t="str">
        <f ca="1">IF(AND(NEGOCIAÇÕES!O284="",NEGOCIAÇÕES!N284&gt;TODAY()),NEGOCIAÇÕES!C284,"")</f>
        <v/>
      </c>
      <c r="C284" s="6" t="str">
        <f ca="1">IF(AND(NEGOCIAÇÕES!O284="",NEGOCIAÇÕES!N284&gt;TODAY()),NEGOCIAÇÕES!E284,"")</f>
        <v/>
      </c>
      <c r="D284" s="6" t="str">
        <f ca="1">IF(AND(NEGOCIAÇÕES!O284="",NEGOCIAÇÕES!N284&gt;TODAY()),NEGOCIAÇÕES!D284,"")</f>
        <v/>
      </c>
      <c r="E284" s="9" t="str">
        <f>IF(AND(NEGOCIAÇÕES!B284&lt;&gt;"",NEGOCIAÇÕES!O284=""),NEGOCIAÇÕES!N284,"")</f>
        <v/>
      </c>
    </row>
    <row r="285" spans="2:5" ht="31.95" hidden="1" customHeight="1" x14ac:dyDescent="0.3">
      <c r="B285" s="6" t="str">
        <f ca="1">IF(AND(NEGOCIAÇÕES!O285="",NEGOCIAÇÕES!N285&gt;TODAY()),NEGOCIAÇÕES!C285,"")</f>
        <v/>
      </c>
      <c r="C285" s="6" t="str">
        <f ca="1">IF(AND(NEGOCIAÇÕES!O285="",NEGOCIAÇÕES!N285&gt;TODAY()),NEGOCIAÇÕES!E285,"")</f>
        <v/>
      </c>
      <c r="D285" s="6" t="str">
        <f ca="1">IF(AND(NEGOCIAÇÕES!O285="",NEGOCIAÇÕES!N285&gt;TODAY()),NEGOCIAÇÕES!D285,"")</f>
        <v/>
      </c>
      <c r="E285" s="9" t="str">
        <f>IF(AND(NEGOCIAÇÕES!B285&lt;&gt;"",NEGOCIAÇÕES!O285=""),NEGOCIAÇÕES!N285,"")</f>
        <v/>
      </c>
    </row>
    <row r="286" spans="2:5" ht="31.95" hidden="1" customHeight="1" x14ac:dyDescent="0.3">
      <c r="B286" s="6" t="str">
        <f ca="1">IF(AND(NEGOCIAÇÕES!O286="",NEGOCIAÇÕES!N286&gt;TODAY()),NEGOCIAÇÕES!C286,"")</f>
        <v/>
      </c>
      <c r="C286" s="6" t="str">
        <f ca="1">IF(AND(NEGOCIAÇÕES!O286="",NEGOCIAÇÕES!N286&gt;TODAY()),NEGOCIAÇÕES!E286,"")</f>
        <v/>
      </c>
      <c r="D286" s="6" t="str">
        <f ca="1">IF(AND(NEGOCIAÇÕES!O286="",NEGOCIAÇÕES!N286&gt;TODAY()),NEGOCIAÇÕES!D286,"")</f>
        <v/>
      </c>
      <c r="E286" s="9" t="str">
        <f>IF(AND(NEGOCIAÇÕES!B286&lt;&gt;"",NEGOCIAÇÕES!O286=""),NEGOCIAÇÕES!N286,"")</f>
        <v/>
      </c>
    </row>
    <row r="287" spans="2:5" ht="31.95" hidden="1" customHeight="1" x14ac:dyDescent="0.3">
      <c r="B287" s="6" t="str">
        <f ca="1">IF(AND(NEGOCIAÇÕES!O287="",NEGOCIAÇÕES!N287&gt;TODAY()),NEGOCIAÇÕES!C287,"")</f>
        <v/>
      </c>
      <c r="C287" s="6" t="str">
        <f ca="1">IF(AND(NEGOCIAÇÕES!O287="",NEGOCIAÇÕES!N287&gt;TODAY()),NEGOCIAÇÕES!E287,"")</f>
        <v/>
      </c>
      <c r="D287" s="6" t="str">
        <f ca="1">IF(AND(NEGOCIAÇÕES!O287="",NEGOCIAÇÕES!N287&gt;TODAY()),NEGOCIAÇÕES!D287,"")</f>
        <v/>
      </c>
      <c r="E287" s="9" t="str">
        <f>IF(AND(NEGOCIAÇÕES!B287&lt;&gt;"",NEGOCIAÇÕES!O287=""),NEGOCIAÇÕES!N287,"")</f>
        <v/>
      </c>
    </row>
    <row r="288" spans="2:5" ht="31.95" hidden="1" customHeight="1" x14ac:dyDescent="0.3">
      <c r="B288" s="6" t="str">
        <f ca="1">IF(AND(NEGOCIAÇÕES!O288="",NEGOCIAÇÕES!N288&gt;TODAY()),NEGOCIAÇÕES!C288,"")</f>
        <v/>
      </c>
      <c r="C288" s="6" t="str">
        <f ca="1">IF(AND(NEGOCIAÇÕES!O288="",NEGOCIAÇÕES!N288&gt;TODAY()),NEGOCIAÇÕES!E288,"")</f>
        <v/>
      </c>
      <c r="D288" s="6" t="str">
        <f ca="1">IF(AND(NEGOCIAÇÕES!O288="",NEGOCIAÇÕES!N288&gt;TODAY()),NEGOCIAÇÕES!D288,"")</f>
        <v/>
      </c>
      <c r="E288" s="9" t="str">
        <f>IF(AND(NEGOCIAÇÕES!B288&lt;&gt;"",NEGOCIAÇÕES!O288=""),NEGOCIAÇÕES!N288,"")</f>
        <v/>
      </c>
    </row>
    <row r="289" spans="2:5" ht="31.95" hidden="1" customHeight="1" x14ac:dyDescent="0.3">
      <c r="B289" s="6" t="str">
        <f ca="1">IF(AND(NEGOCIAÇÕES!O289="",NEGOCIAÇÕES!N289&gt;TODAY()),NEGOCIAÇÕES!C289,"")</f>
        <v/>
      </c>
      <c r="C289" s="6" t="str">
        <f ca="1">IF(AND(NEGOCIAÇÕES!O289="",NEGOCIAÇÕES!N289&gt;TODAY()),NEGOCIAÇÕES!E289,"")</f>
        <v/>
      </c>
      <c r="D289" s="6" t="str">
        <f ca="1">IF(AND(NEGOCIAÇÕES!O289="",NEGOCIAÇÕES!N289&gt;TODAY()),NEGOCIAÇÕES!D289,"")</f>
        <v/>
      </c>
      <c r="E289" s="9" t="str">
        <f>IF(AND(NEGOCIAÇÕES!B289&lt;&gt;"",NEGOCIAÇÕES!O289=""),NEGOCIAÇÕES!N289,"")</f>
        <v/>
      </c>
    </row>
    <row r="290" spans="2:5" ht="31.95" hidden="1" customHeight="1" x14ac:dyDescent="0.3">
      <c r="B290" s="6" t="str">
        <f ca="1">IF(AND(NEGOCIAÇÕES!O290="",NEGOCIAÇÕES!N290&gt;TODAY()),NEGOCIAÇÕES!C290,"")</f>
        <v/>
      </c>
      <c r="C290" s="6" t="str">
        <f ca="1">IF(AND(NEGOCIAÇÕES!O290="",NEGOCIAÇÕES!N290&gt;TODAY()),NEGOCIAÇÕES!E290,"")</f>
        <v/>
      </c>
      <c r="D290" s="6" t="str">
        <f ca="1">IF(AND(NEGOCIAÇÕES!O290="",NEGOCIAÇÕES!N290&gt;TODAY()),NEGOCIAÇÕES!D290,"")</f>
        <v/>
      </c>
      <c r="E290" s="9" t="str">
        <f>IF(AND(NEGOCIAÇÕES!B290&lt;&gt;"",NEGOCIAÇÕES!O290=""),NEGOCIAÇÕES!N290,"")</f>
        <v/>
      </c>
    </row>
    <row r="291" spans="2:5" ht="31.95" hidden="1" customHeight="1" x14ac:dyDescent="0.3">
      <c r="B291" s="6" t="str">
        <f ca="1">IF(AND(NEGOCIAÇÕES!O291="",NEGOCIAÇÕES!N291&gt;TODAY()),NEGOCIAÇÕES!C291,"")</f>
        <v/>
      </c>
      <c r="C291" s="6" t="str">
        <f ca="1">IF(AND(NEGOCIAÇÕES!O291="",NEGOCIAÇÕES!N291&gt;TODAY()),NEGOCIAÇÕES!E291,"")</f>
        <v/>
      </c>
      <c r="D291" s="6" t="str">
        <f ca="1">IF(AND(NEGOCIAÇÕES!O291="",NEGOCIAÇÕES!N291&gt;TODAY()),NEGOCIAÇÕES!D291,"")</f>
        <v/>
      </c>
      <c r="E291" s="9" t="str">
        <f>IF(AND(NEGOCIAÇÕES!B291&lt;&gt;"",NEGOCIAÇÕES!O291=""),NEGOCIAÇÕES!N291,"")</f>
        <v/>
      </c>
    </row>
    <row r="292" spans="2:5" ht="31.95" hidden="1" customHeight="1" x14ac:dyDescent="0.3">
      <c r="B292" s="6" t="str">
        <f ca="1">IF(AND(NEGOCIAÇÕES!O292="",NEGOCIAÇÕES!N292&gt;TODAY()),NEGOCIAÇÕES!C292,"")</f>
        <v/>
      </c>
      <c r="C292" s="6" t="str">
        <f ca="1">IF(AND(NEGOCIAÇÕES!O292="",NEGOCIAÇÕES!N292&gt;TODAY()),NEGOCIAÇÕES!E292,"")</f>
        <v/>
      </c>
      <c r="D292" s="6" t="str">
        <f ca="1">IF(AND(NEGOCIAÇÕES!O292="",NEGOCIAÇÕES!N292&gt;TODAY()),NEGOCIAÇÕES!D292,"")</f>
        <v/>
      </c>
      <c r="E292" s="9" t="str">
        <f>IF(AND(NEGOCIAÇÕES!B292&lt;&gt;"",NEGOCIAÇÕES!O292=""),NEGOCIAÇÕES!N292,"")</f>
        <v/>
      </c>
    </row>
    <row r="293" spans="2:5" ht="31.95" hidden="1" customHeight="1" x14ac:dyDescent="0.3">
      <c r="B293" s="6" t="str">
        <f ca="1">IF(AND(NEGOCIAÇÕES!O293="",NEGOCIAÇÕES!N293&gt;TODAY()),NEGOCIAÇÕES!C293,"")</f>
        <v/>
      </c>
      <c r="C293" s="6" t="str">
        <f ca="1">IF(AND(NEGOCIAÇÕES!O293="",NEGOCIAÇÕES!N293&gt;TODAY()),NEGOCIAÇÕES!E293,"")</f>
        <v/>
      </c>
      <c r="D293" s="6" t="str">
        <f ca="1">IF(AND(NEGOCIAÇÕES!O293="",NEGOCIAÇÕES!N293&gt;TODAY()),NEGOCIAÇÕES!D293,"")</f>
        <v/>
      </c>
      <c r="E293" s="9" t="str">
        <f>IF(AND(NEGOCIAÇÕES!B293&lt;&gt;"",NEGOCIAÇÕES!O293=""),NEGOCIAÇÕES!N293,"")</f>
        <v/>
      </c>
    </row>
    <row r="294" spans="2:5" ht="31.95" hidden="1" customHeight="1" x14ac:dyDescent="0.3">
      <c r="B294" s="6" t="str">
        <f ca="1">IF(AND(NEGOCIAÇÕES!O294="",NEGOCIAÇÕES!N294&gt;TODAY()),NEGOCIAÇÕES!C294,"")</f>
        <v/>
      </c>
      <c r="C294" s="6" t="str">
        <f ca="1">IF(AND(NEGOCIAÇÕES!O294="",NEGOCIAÇÕES!N294&gt;TODAY()),NEGOCIAÇÕES!E294,"")</f>
        <v/>
      </c>
      <c r="D294" s="6" t="str">
        <f ca="1">IF(AND(NEGOCIAÇÕES!O294="",NEGOCIAÇÕES!N294&gt;TODAY()),NEGOCIAÇÕES!D294,"")</f>
        <v/>
      </c>
      <c r="E294" s="9" t="str">
        <f>IF(AND(NEGOCIAÇÕES!B294&lt;&gt;"",NEGOCIAÇÕES!O294=""),NEGOCIAÇÕES!N294,"")</f>
        <v/>
      </c>
    </row>
    <row r="295" spans="2:5" ht="31.95" hidden="1" customHeight="1" x14ac:dyDescent="0.3">
      <c r="B295" s="6" t="str">
        <f ca="1">IF(AND(NEGOCIAÇÕES!O295="",NEGOCIAÇÕES!N295&gt;TODAY()),NEGOCIAÇÕES!C295,"")</f>
        <v/>
      </c>
      <c r="C295" s="6" t="str">
        <f ca="1">IF(AND(NEGOCIAÇÕES!O295="",NEGOCIAÇÕES!N295&gt;TODAY()),NEGOCIAÇÕES!E295,"")</f>
        <v/>
      </c>
      <c r="D295" s="6" t="str">
        <f ca="1">IF(AND(NEGOCIAÇÕES!O295="",NEGOCIAÇÕES!N295&gt;TODAY()),NEGOCIAÇÕES!D295,"")</f>
        <v/>
      </c>
      <c r="E295" s="9" t="str">
        <f>IF(AND(NEGOCIAÇÕES!B295&lt;&gt;"",NEGOCIAÇÕES!O295=""),NEGOCIAÇÕES!N295,"")</f>
        <v/>
      </c>
    </row>
    <row r="296" spans="2:5" ht="31.95" hidden="1" customHeight="1" x14ac:dyDescent="0.3">
      <c r="B296" s="6" t="str">
        <f ca="1">IF(AND(NEGOCIAÇÕES!O296="",NEGOCIAÇÕES!N296&gt;TODAY()),NEGOCIAÇÕES!C296,"")</f>
        <v/>
      </c>
      <c r="C296" s="6" t="str">
        <f ca="1">IF(AND(NEGOCIAÇÕES!O296="",NEGOCIAÇÕES!N296&gt;TODAY()),NEGOCIAÇÕES!E296,"")</f>
        <v/>
      </c>
      <c r="D296" s="6" t="str">
        <f ca="1">IF(AND(NEGOCIAÇÕES!O296="",NEGOCIAÇÕES!N296&gt;TODAY()),NEGOCIAÇÕES!D296,"")</f>
        <v/>
      </c>
      <c r="E296" s="9" t="str">
        <f>IF(AND(NEGOCIAÇÕES!B296&lt;&gt;"",NEGOCIAÇÕES!O296=""),NEGOCIAÇÕES!N296,"")</f>
        <v/>
      </c>
    </row>
    <row r="297" spans="2:5" ht="31.95" hidden="1" customHeight="1" x14ac:dyDescent="0.3">
      <c r="B297" s="6" t="str">
        <f ca="1">IF(AND(NEGOCIAÇÕES!O297="",NEGOCIAÇÕES!N297&gt;TODAY()),NEGOCIAÇÕES!C297,"")</f>
        <v/>
      </c>
      <c r="C297" s="6" t="str">
        <f ca="1">IF(AND(NEGOCIAÇÕES!O297="",NEGOCIAÇÕES!N297&gt;TODAY()),NEGOCIAÇÕES!E297,"")</f>
        <v/>
      </c>
      <c r="D297" s="6" t="str">
        <f ca="1">IF(AND(NEGOCIAÇÕES!O297="",NEGOCIAÇÕES!N297&gt;TODAY()),NEGOCIAÇÕES!D297,"")</f>
        <v/>
      </c>
      <c r="E297" s="9" t="str">
        <f>IF(AND(NEGOCIAÇÕES!B297&lt;&gt;"",NEGOCIAÇÕES!O297=""),NEGOCIAÇÕES!N297,"")</f>
        <v/>
      </c>
    </row>
    <row r="298" spans="2:5" ht="31.95" hidden="1" customHeight="1" x14ac:dyDescent="0.3">
      <c r="B298" s="6" t="str">
        <f ca="1">IF(AND(NEGOCIAÇÕES!O298="",NEGOCIAÇÕES!N298&gt;TODAY()),NEGOCIAÇÕES!C298,"")</f>
        <v/>
      </c>
      <c r="C298" s="6" t="str">
        <f ca="1">IF(AND(NEGOCIAÇÕES!O298="",NEGOCIAÇÕES!N298&gt;TODAY()),NEGOCIAÇÕES!E298,"")</f>
        <v/>
      </c>
      <c r="D298" s="6" t="str">
        <f ca="1">IF(AND(NEGOCIAÇÕES!O298="",NEGOCIAÇÕES!N298&gt;TODAY()),NEGOCIAÇÕES!D298,"")</f>
        <v/>
      </c>
      <c r="E298" s="9" t="str">
        <f>IF(AND(NEGOCIAÇÕES!B298&lt;&gt;"",NEGOCIAÇÕES!O298=""),NEGOCIAÇÕES!N298,"")</f>
        <v/>
      </c>
    </row>
    <row r="299" spans="2:5" ht="31.95" hidden="1" customHeight="1" x14ac:dyDescent="0.3">
      <c r="B299" s="6" t="str">
        <f ca="1">IF(AND(NEGOCIAÇÕES!O299="",NEGOCIAÇÕES!N299&gt;TODAY()),NEGOCIAÇÕES!C299,"")</f>
        <v/>
      </c>
      <c r="C299" s="6" t="str">
        <f ca="1">IF(AND(NEGOCIAÇÕES!O299="",NEGOCIAÇÕES!N299&gt;TODAY()),NEGOCIAÇÕES!E299,"")</f>
        <v/>
      </c>
      <c r="D299" s="6" t="str">
        <f ca="1">IF(AND(NEGOCIAÇÕES!O299="",NEGOCIAÇÕES!N299&gt;TODAY()),NEGOCIAÇÕES!D299,"")</f>
        <v/>
      </c>
      <c r="E299" s="9" t="str">
        <f>IF(AND(NEGOCIAÇÕES!B299&lt;&gt;"",NEGOCIAÇÕES!O299=""),NEGOCIAÇÕES!N299,"")</f>
        <v/>
      </c>
    </row>
    <row r="300" spans="2:5" ht="31.95" hidden="1" customHeight="1" x14ac:dyDescent="0.3">
      <c r="B300" s="6" t="str">
        <f ca="1">IF(AND(NEGOCIAÇÕES!O300="",NEGOCIAÇÕES!N300&gt;TODAY()),NEGOCIAÇÕES!C300,"")</f>
        <v/>
      </c>
      <c r="C300" s="6" t="str">
        <f ca="1">IF(AND(NEGOCIAÇÕES!O300="",NEGOCIAÇÕES!N300&gt;TODAY()),NEGOCIAÇÕES!E300,"")</f>
        <v/>
      </c>
      <c r="D300" s="6" t="str">
        <f ca="1">IF(AND(NEGOCIAÇÕES!O300="",NEGOCIAÇÕES!N300&gt;TODAY()),NEGOCIAÇÕES!D300,"")</f>
        <v/>
      </c>
      <c r="E300" s="9" t="str">
        <f>IF(AND(NEGOCIAÇÕES!B300&lt;&gt;"",NEGOCIAÇÕES!O300=""),NEGOCIAÇÕES!N300,"")</f>
        <v/>
      </c>
    </row>
    <row r="301" spans="2:5" ht="31.95" hidden="1" customHeight="1" x14ac:dyDescent="0.3">
      <c r="B301" s="6" t="str">
        <f ca="1">IF(AND(NEGOCIAÇÕES!O301="",NEGOCIAÇÕES!N301&gt;TODAY()),NEGOCIAÇÕES!C301,"")</f>
        <v/>
      </c>
      <c r="C301" s="6" t="str">
        <f ca="1">IF(AND(NEGOCIAÇÕES!O301="",NEGOCIAÇÕES!N301&gt;TODAY()),NEGOCIAÇÕES!E301,"")</f>
        <v/>
      </c>
      <c r="D301" s="6" t="str">
        <f ca="1">IF(AND(NEGOCIAÇÕES!O301="",NEGOCIAÇÕES!N301&gt;TODAY()),NEGOCIAÇÕES!D301,"")</f>
        <v/>
      </c>
      <c r="E301" s="9" t="str">
        <f>IF(AND(NEGOCIAÇÕES!B301&lt;&gt;"",NEGOCIAÇÕES!O301=""),NEGOCIAÇÕES!N301,"")</f>
        <v/>
      </c>
    </row>
    <row r="302" spans="2:5" ht="31.95" hidden="1" customHeight="1" x14ac:dyDescent="0.3">
      <c r="B302" s="6" t="str">
        <f ca="1">IF(AND(NEGOCIAÇÕES!O302="",NEGOCIAÇÕES!N302&gt;TODAY()),NEGOCIAÇÕES!C302,"")</f>
        <v/>
      </c>
      <c r="C302" s="6" t="str">
        <f ca="1">IF(AND(NEGOCIAÇÕES!O302="",NEGOCIAÇÕES!N302&gt;TODAY()),NEGOCIAÇÕES!E302,"")</f>
        <v/>
      </c>
      <c r="D302" s="6" t="str">
        <f ca="1">IF(AND(NEGOCIAÇÕES!O302="",NEGOCIAÇÕES!N302&gt;TODAY()),NEGOCIAÇÕES!D302,"")</f>
        <v/>
      </c>
      <c r="E302" s="9" t="str">
        <f>IF(AND(NEGOCIAÇÕES!B302&lt;&gt;"",NEGOCIAÇÕES!O302=""),NEGOCIAÇÕES!N302,"")</f>
        <v/>
      </c>
    </row>
    <row r="303" spans="2:5" ht="31.95" hidden="1" customHeight="1" x14ac:dyDescent="0.3">
      <c r="B303" s="6" t="str">
        <f ca="1">IF(AND(NEGOCIAÇÕES!O303="",NEGOCIAÇÕES!N303&gt;TODAY()),NEGOCIAÇÕES!C303,"")</f>
        <v/>
      </c>
      <c r="C303" s="6" t="str">
        <f ca="1">IF(AND(NEGOCIAÇÕES!O303="",NEGOCIAÇÕES!N303&gt;TODAY()),NEGOCIAÇÕES!E303,"")</f>
        <v/>
      </c>
      <c r="D303" s="6" t="str">
        <f ca="1">IF(AND(NEGOCIAÇÕES!O303="",NEGOCIAÇÕES!N303&gt;TODAY()),NEGOCIAÇÕES!D303,"")</f>
        <v/>
      </c>
      <c r="E303" s="9" t="str">
        <f>IF(AND(NEGOCIAÇÕES!B303&lt;&gt;"",NEGOCIAÇÕES!O303=""),NEGOCIAÇÕES!N303,"")</f>
        <v/>
      </c>
    </row>
    <row r="304" spans="2:5" ht="31.95" hidden="1" customHeight="1" x14ac:dyDescent="0.3">
      <c r="B304" s="6" t="str">
        <f ca="1">IF(AND(NEGOCIAÇÕES!O304="",NEGOCIAÇÕES!N304&gt;TODAY()),NEGOCIAÇÕES!C304,"")</f>
        <v/>
      </c>
      <c r="C304" s="6" t="str">
        <f ca="1">IF(AND(NEGOCIAÇÕES!O304="",NEGOCIAÇÕES!N304&gt;TODAY()),NEGOCIAÇÕES!E304,"")</f>
        <v/>
      </c>
      <c r="D304" s="6" t="str">
        <f ca="1">IF(AND(NEGOCIAÇÕES!O304="",NEGOCIAÇÕES!N304&gt;TODAY()),NEGOCIAÇÕES!D304,"")</f>
        <v/>
      </c>
      <c r="E304" s="9" t="str">
        <f>IF(AND(NEGOCIAÇÕES!B304&lt;&gt;"",NEGOCIAÇÕES!O304=""),NEGOCIAÇÕES!N304,"")</f>
        <v/>
      </c>
    </row>
    <row r="305" spans="2:5" ht="31.95" hidden="1" customHeight="1" x14ac:dyDescent="0.3">
      <c r="B305" s="6" t="str">
        <f ca="1">IF(AND(NEGOCIAÇÕES!O305="",NEGOCIAÇÕES!N305&gt;TODAY()),NEGOCIAÇÕES!C305,"")</f>
        <v/>
      </c>
      <c r="C305" s="6" t="str">
        <f ca="1">IF(AND(NEGOCIAÇÕES!O305="",NEGOCIAÇÕES!N305&gt;TODAY()),NEGOCIAÇÕES!E305,"")</f>
        <v/>
      </c>
      <c r="D305" s="6" t="str">
        <f ca="1">IF(AND(NEGOCIAÇÕES!O305="",NEGOCIAÇÕES!N305&gt;TODAY()),NEGOCIAÇÕES!D305,"")</f>
        <v/>
      </c>
      <c r="E305" s="9" t="str">
        <f>IF(AND(NEGOCIAÇÕES!B305&lt;&gt;"",NEGOCIAÇÕES!O305=""),NEGOCIAÇÕES!N305,"")</f>
        <v/>
      </c>
    </row>
    <row r="306" spans="2:5" ht="31.95" hidden="1" customHeight="1" x14ac:dyDescent="0.3">
      <c r="B306" s="6" t="str">
        <f ca="1">IF(AND(NEGOCIAÇÕES!O306="",NEGOCIAÇÕES!N306&gt;TODAY()),NEGOCIAÇÕES!C306,"")</f>
        <v/>
      </c>
      <c r="C306" s="6" t="str">
        <f ca="1">IF(AND(NEGOCIAÇÕES!O306="",NEGOCIAÇÕES!N306&gt;TODAY()),NEGOCIAÇÕES!E306,"")</f>
        <v/>
      </c>
      <c r="D306" s="6" t="str">
        <f ca="1">IF(AND(NEGOCIAÇÕES!O306="",NEGOCIAÇÕES!N306&gt;TODAY()),NEGOCIAÇÕES!D306,"")</f>
        <v/>
      </c>
      <c r="E306" s="9" t="str">
        <f>IF(AND(NEGOCIAÇÕES!B306&lt;&gt;"",NEGOCIAÇÕES!O306=""),NEGOCIAÇÕES!N306,"")</f>
        <v/>
      </c>
    </row>
    <row r="307" spans="2:5" ht="31.95" hidden="1" customHeight="1" x14ac:dyDescent="0.3">
      <c r="B307" s="6" t="str">
        <f ca="1">IF(AND(NEGOCIAÇÕES!O307="",NEGOCIAÇÕES!N307&gt;TODAY()),NEGOCIAÇÕES!C307,"")</f>
        <v/>
      </c>
      <c r="C307" s="6" t="str">
        <f ca="1">IF(AND(NEGOCIAÇÕES!O307="",NEGOCIAÇÕES!N307&gt;TODAY()),NEGOCIAÇÕES!E307,"")</f>
        <v/>
      </c>
      <c r="D307" s="6" t="str">
        <f ca="1">IF(AND(NEGOCIAÇÕES!O307="",NEGOCIAÇÕES!N307&gt;TODAY()),NEGOCIAÇÕES!D307,"")</f>
        <v/>
      </c>
      <c r="E307" s="9" t="str">
        <f>IF(AND(NEGOCIAÇÕES!B307&lt;&gt;"",NEGOCIAÇÕES!O307=""),NEGOCIAÇÕES!N307,"")</f>
        <v/>
      </c>
    </row>
    <row r="308" spans="2:5" ht="31.95" hidden="1" customHeight="1" x14ac:dyDescent="0.3">
      <c r="B308" s="6" t="str">
        <f ca="1">IF(AND(NEGOCIAÇÕES!O308="",NEGOCIAÇÕES!N308&gt;TODAY()),NEGOCIAÇÕES!C308,"")</f>
        <v/>
      </c>
      <c r="C308" s="6" t="str">
        <f ca="1">IF(AND(NEGOCIAÇÕES!O308="",NEGOCIAÇÕES!N308&gt;TODAY()),NEGOCIAÇÕES!E308,"")</f>
        <v/>
      </c>
      <c r="D308" s="6" t="str">
        <f ca="1">IF(AND(NEGOCIAÇÕES!O308="",NEGOCIAÇÕES!N308&gt;TODAY()),NEGOCIAÇÕES!D308,"")</f>
        <v/>
      </c>
      <c r="E308" s="9" t="str">
        <f>IF(AND(NEGOCIAÇÕES!B308&lt;&gt;"",NEGOCIAÇÕES!O308=""),NEGOCIAÇÕES!N308,"")</f>
        <v/>
      </c>
    </row>
    <row r="309" spans="2:5" ht="31.95" hidden="1" customHeight="1" x14ac:dyDescent="0.3">
      <c r="B309" s="6" t="str">
        <f ca="1">IF(AND(NEGOCIAÇÕES!O309="",NEGOCIAÇÕES!N309&gt;TODAY()),NEGOCIAÇÕES!C309,"")</f>
        <v/>
      </c>
      <c r="C309" s="6" t="str">
        <f ca="1">IF(AND(NEGOCIAÇÕES!O309="",NEGOCIAÇÕES!N309&gt;TODAY()),NEGOCIAÇÕES!E309,"")</f>
        <v/>
      </c>
      <c r="D309" s="6" t="str">
        <f ca="1">IF(AND(NEGOCIAÇÕES!O309="",NEGOCIAÇÕES!N309&gt;TODAY()),NEGOCIAÇÕES!D309,"")</f>
        <v/>
      </c>
      <c r="E309" s="9" t="str">
        <f>IF(AND(NEGOCIAÇÕES!B309&lt;&gt;"",NEGOCIAÇÕES!O309=""),NEGOCIAÇÕES!N309,"")</f>
        <v/>
      </c>
    </row>
    <row r="310" spans="2:5" ht="31.95" hidden="1" customHeight="1" x14ac:dyDescent="0.3">
      <c r="B310" s="6" t="str">
        <f ca="1">IF(AND(NEGOCIAÇÕES!O310="",NEGOCIAÇÕES!N310&gt;TODAY()),NEGOCIAÇÕES!C310,"")</f>
        <v/>
      </c>
      <c r="C310" s="6" t="str">
        <f ca="1">IF(AND(NEGOCIAÇÕES!O310="",NEGOCIAÇÕES!N310&gt;TODAY()),NEGOCIAÇÕES!E310,"")</f>
        <v/>
      </c>
      <c r="D310" s="6" t="str">
        <f ca="1">IF(AND(NEGOCIAÇÕES!O310="",NEGOCIAÇÕES!N310&gt;TODAY()),NEGOCIAÇÕES!D310,"")</f>
        <v/>
      </c>
      <c r="E310" s="9" t="str">
        <f>IF(AND(NEGOCIAÇÕES!B310&lt;&gt;"",NEGOCIAÇÕES!O310=""),NEGOCIAÇÕES!N310,"")</f>
        <v/>
      </c>
    </row>
    <row r="311" spans="2:5" ht="31.95" hidden="1" customHeight="1" x14ac:dyDescent="0.3">
      <c r="B311" s="6" t="str">
        <f ca="1">IF(AND(NEGOCIAÇÕES!O311="",NEGOCIAÇÕES!N311&gt;TODAY()),NEGOCIAÇÕES!C311,"")</f>
        <v/>
      </c>
      <c r="C311" s="6" t="str">
        <f ca="1">IF(AND(NEGOCIAÇÕES!O311="",NEGOCIAÇÕES!N311&gt;TODAY()),NEGOCIAÇÕES!E311,"")</f>
        <v/>
      </c>
      <c r="D311" s="6" t="str">
        <f ca="1">IF(AND(NEGOCIAÇÕES!O311="",NEGOCIAÇÕES!N311&gt;TODAY()),NEGOCIAÇÕES!D311,"")</f>
        <v/>
      </c>
      <c r="E311" s="9" t="str">
        <f>IF(AND(NEGOCIAÇÕES!B311&lt;&gt;"",NEGOCIAÇÕES!O311=""),NEGOCIAÇÕES!N311,"")</f>
        <v/>
      </c>
    </row>
    <row r="312" spans="2:5" ht="31.95" hidden="1" customHeight="1" x14ac:dyDescent="0.3">
      <c r="B312" s="6" t="str">
        <f ca="1">IF(AND(NEGOCIAÇÕES!O312="",NEGOCIAÇÕES!N312&gt;TODAY()),NEGOCIAÇÕES!C312,"")</f>
        <v/>
      </c>
      <c r="C312" s="6" t="str">
        <f ca="1">IF(AND(NEGOCIAÇÕES!O312="",NEGOCIAÇÕES!N312&gt;TODAY()),NEGOCIAÇÕES!E312,"")</f>
        <v/>
      </c>
      <c r="D312" s="6" t="str">
        <f ca="1">IF(AND(NEGOCIAÇÕES!O312="",NEGOCIAÇÕES!N312&gt;TODAY()),NEGOCIAÇÕES!D312,"")</f>
        <v/>
      </c>
      <c r="E312" s="9" t="str">
        <f>IF(AND(NEGOCIAÇÕES!B312&lt;&gt;"",NEGOCIAÇÕES!O312=""),NEGOCIAÇÕES!N312,"")</f>
        <v/>
      </c>
    </row>
    <row r="313" spans="2:5" ht="31.95" hidden="1" customHeight="1" x14ac:dyDescent="0.3">
      <c r="B313" s="6" t="str">
        <f ca="1">IF(AND(NEGOCIAÇÕES!O313="",NEGOCIAÇÕES!N313&gt;TODAY()),NEGOCIAÇÕES!C313,"")</f>
        <v/>
      </c>
      <c r="C313" s="6" t="str">
        <f ca="1">IF(AND(NEGOCIAÇÕES!O313="",NEGOCIAÇÕES!N313&gt;TODAY()),NEGOCIAÇÕES!E313,"")</f>
        <v/>
      </c>
      <c r="D313" s="6" t="str">
        <f ca="1">IF(AND(NEGOCIAÇÕES!O313="",NEGOCIAÇÕES!N313&gt;TODAY()),NEGOCIAÇÕES!D313,"")</f>
        <v/>
      </c>
      <c r="E313" s="9" t="str">
        <f>IF(AND(NEGOCIAÇÕES!B313&lt;&gt;"",NEGOCIAÇÕES!O313=""),NEGOCIAÇÕES!N313,"")</f>
        <v/>
      </c>
    </row>
    <row r="314" spans="2:5" ht="31.95" hidden="1" customHeight="1" x14ac:dyDescent="0.3">
      <c r="B314" s="6" t="str">
        <f ca="1">IF(AND(NEGOCIAÇÕES!O314="",NEGOCIAÇÕES!N314&gt;TODAY()),NEGOCIAÇÕES!C314,"")</f>
        <v/>
      </c>
      <c r="C314" s="6" t="str">
        <f ca="1">IF(AND(NEGOCIAÇÕES!O314="",NEGOCIAÇÕES!N314&gt;TODAY()),NEGOCIAÇÕES!E314,"")</f>
        <v/>
      </c>
      <c r="D314" s="6" t="str">
        <f ca="1">IF(AND(NEGOCIAÇÕES!O314="",NEGOCIAÇÕES!N314&gt;TODAY()),NEGOCIAÇÕES!D314,"")</f>
        <v/>
      </c>
      <c r="E314" s="9" t="str">
        <f>IF(AND(NEGOCIAÇÕES!B314&lt;&gt;"",NEGOCIAÇÕES!O314=""),NEGOCIAÇÕES!N314,"")</f>
        <v/>
      </c>
    </row>
    <row r="315" spans="2:5" ht="31.95" hidden="1" customHeight="1" x14ac:dyDescent="0.3">
      <c r="B315" s="6" t="str">
        <f ca="1">IF(AND(NEGOCIAÇÕES!O315="",NEGOCIAÇÕES!N315&gt;TODAY()),NEGOCIAÇÕES!C315,"")</f>
        <v/>
      </c>
      <c r="C315" s="6" t="str">
        <f ca="1">IF(AND(NEGOCIAÇÕES!O315="",NEGOCIAÇÕES!N315&gt;TODAY()),NEGOCIAÇÕES!E315,"")</f>
        <v/>
      </c>
      <c r="D315" s="6" t="str">
        <f ca="1">IF(AND(NEGOCIAÇÕES!O315="",NEGOCIAÇÕES!N315&gt;TODAY()),NEGOCIAÇÕES!D315,"")</f>
        <v/>
      </c>
      <c r="E315" s="9" t="str">
        <f>IF(AND(NEGOCIAÇÕES!B315&lt;&gt;"",NEGOCIAÇÕES!O315=""),NEGOCIAÇÕES!N315,"")</f>
        <v/>
      </c>
    </row>
    <row r="316" spans="2:5" ht="31.95" hidden="1" customHeight="1" x14ac:dyDescent="0.3">
      <c r="B316" s="6" t="str">
        <f ca="1">IF(AND(NEGOCIAÇÕES!O316="",NEGOCIAÇÕES!N316&gt;TODAY()),NEGOCIAÇÕES!C316,"")</f>
        <v/>
      </c>
      <c r="C316" s="6" t="str">
        <f ca="1">IF(AND(NEGOCIAÇÕES!O316="",NEGOCIAÇÕES!N316&gt;TODAY()),NEGOCIAÇÕES!E316,"")</f>
        <v/>
      </c>
      <c r="D316" s="6" t="str">
        <f ca="1">IF(AND(NEGOCIAÇÕES!O316="",NEGOCIAÇÕES!N316&gt;TODAY()),NEGOCIAÇÕES!D316,"")</f>
        <v/>
      </c>
      <c r="E316" s="9" t="str">
        <f>IF(AND(NEGOCIAÇÕES!B316&lt;&gt;"",NEGOCIAÇÕES!O316=""),NEGOCIAÇÕES!N316,"")</f>
        <v/>
      </c>
    </row>
    <row r="317" spans="2:5" ht="31.95" hidden="1" customHeight="1" x14ac:dyDescent="0.3">
      <c r="B317" s="6" t="str">
        <f ca="1">IF(AND(NEGOCIAÇÕES!O317="",NEGOCIAÇÕES!N317&gt;TODAY()),NEGOCIAÇÕES!C317,"")</f>
        <v/>
      </c>
      <c r="C317" s="6" t="str">
        <f ca="1">IF(AND(NEGOCIAÇÕES!O317="",NEGOCIAÇÕES!N317&gt;TODAY()),NEGOCIAÇÕES!E317,"")</f>
        <v/>
      </c>
      <c r="D317" s="6" t="str">
        <f ca="1">IF(AND(NEGOCIAÇÕES!O317="",NEGOCIAÇÕES!N317&gt;TODAY()),NEGOCIAÇÕES!D317,"")</f>
        <v/>
      </c>
      <c r="E317" s="9" t="str">
        <f>IF(AND(NEGOCIAÇÕES!B317&lt;&gt;"",NEGOCIAÇÕES!O317=""),NEGOCIAÇÕES!N317,"")</f>
        <v/>
      </c>
    </row>
    <row r="318" spans="2:5" ht="31.95" hidden="1" customHeight="1" x14ac:dyDescent="0.3">
      <c r="B318" s="6" t="str">
        <f ca="1">IF(AND(NEGOCIAÇÕES!O318="",NEGOCIAÇÕES!N318&gt;TODAY()),NEGOCIAÇÕES!C318,"")</f>
        <v/>
      </c>
      <c r="C318" s="6" t="str">
        <f ca="1">IF(AND(NEGOCIAÇÕES!O318="",NEGOCIAÇÕES!N318&gt;TODAY()),NEGOCIAÇÕES!E318,"")</f>
        <v/>
      </c>
      <c r="D318" s="6" t="str">
        <f ca="1">IF(AND(NEGOCIAÇÕES!O318="",NEGOCIAÇÕES!N318&gt;TODAY()),NEGOCIAÇÕES!D318,"")</f>
        <v/>
      </c>
      <c r="E318" s="9" t="str">
        <f>IF(AND(NEGOCIAÇÕES!B318&lt;&gt;"",NEGOCIAÇÕES!O318=""),NEGOCIAÇÕES!N318,"")</f>
        <v/>
      </c>
    </row>
    <row r="319" spans="2:5" ht="31.95" hidden="1" customHeight="1" x14ac:dyDescent="0.3">
      <c r="B319" s="6" t="str">
        <f ca="1">IF(AND(NEGOCIAÇÕES!O319="",NEGOCIAÇÕES!N319&gt;TODAY()),NEGOCIAÇÕES!C319,"")</f>
        <v/>
      </c>
      <c r="C319" s="6" t="str">
        <f ca="1">IF(AND(NEGOCIAÇÕES!O319="",NEGOCIAÇÕES!N319&gt;TODAY()),NEGOCIAÇÕES!E319,"")</f>
        <v/>
      </c>
      <c r="D319" s="6" t="str">
        <f ca="1">IF(AND(NEGOCIAÇÕES!O319="",NEGOCIAÇÕES!N319&gt;TODAY()),NEGOCIAÇÕES!D319,"")</f>
        <v/>
      </c>
      <c r="E319" s="9" t="str">
        <f>IF(AND(NEGOCIAÇÕES!B319&lt;&gt;"",NEGOCIAÇÕES!O319=""),NEGOCIAÇÕES!N319,"")</f>
        <v/>
      </c>
    </row>
    <row r="320" spans="2:5" ht="31.95" hidden="1" customHeight="1" x14ac:dyDescent="0.3">
      <c r="B320" s="6" t="str">
        <f ca="1">IF(AND(NEGOCIAÇÕES!O320="",NEGOCIAÇÕES!N320&gt;TODAY()),NEGOCIAÇÕES!C320,"")</f>
        <v/>
      </c>
      <c r="C320" s="6" t="str">
        <f ca="1">IF(AND(NEGOCIAÇÕES!O320="",NEGOCIAÇÕES!N320&gt;TODAY()),NEGOCIAÇÕES!E320,"")</f>
        <v/>
      </c>
      <c r="D320" s="6" t="str">
        <f ca="1">IF(AND(NEGOCIAÇÕES!O320="",NEGOCIAÇÕES!N320&gt;TODAY()),NEGOCIAÇÕES!D320,"")</f>
        <v/>
      </c>
      <c r="E320" s="9" t="str">
        <f>IF(AND(NEGOCIAÇÕES!B320&lt;&gt;"",NEGOCIAÇÕES!O320=""),NEGOCIAÇÕES!N320,"")</f>
        <v/>
      </c>
    </row>
    <row r="321" spans="2:5" ht="31.95" hidden="1" customHeight="1" x14ac:dyDescent="0.3">
      <c r="B321" s="6" t="str">
        <f ca="1">IF(AND(NEGOCIAÇÕES!O321="",NEGOCIAÇÕES!N321&gt;TODAY()),NEGOCIAÇÕES!C321,"")</f>
        <v/>
      </c>
      <c r="C321" s="6" t="str">
        <f ca="1">IF(AND(NEGOCIAÇÕES!O321="",NEGOCIAÇÕES!N321&gt;TODAY()),NEGOCIAÇÕES!E321,"")</f>
        <v/>
      </c>
      <c r="D321" s="6" t="str">
        <f ca="1">IF(AND(NEGOCIAÇÕES!O321="",NEGOCIAÇÕES!N321&gt;TODAY()),NEGOCIAÇÕES!D321,"")</f>
        <v/>
      </c>
      <c r="E321" s="9" t="str">
        <f>IF(AND(NEGOCIAÇÕES!B321&lt;&gt;"",NEGOCIAÇÕES!O321=""),NEGOCIAÇÕES!N321,"")</f>
        <v/>
      </c>
    </row>
    <row r="322" spans="2:5" ht="31.95" hidden="1" customHeight="1" x14ac:dyDescent="0.3">
      <c r="B322" s="6" t="str">
        <f ca="1">IF(AND(NEGOCIAÇÕES!O322="",NEGOCIAÇÕES!N322&gt;TODAY()),NEGOCIAÇÕES!C322,"")</f>
        <v/>
      </c>
      <c r="C322" s="6" t="str">
        <f ca="1">IF(AND(NEGOCIAÇÕES!O322="",NEGOCIAÇÕES!N322&gt;TODAY()),NEGOCIAÇÕES!E322,"")</f>
        <v/>
      </c>
      <c r="D322" s="6" t="str">
        <f ca="1">IF(AND(NEGOCIAÇÕES!O322="",NEGOCIAÇÕES!N322&gt;TODAY()),NEGOCIAÇÕES!D322,"")</f>
        <v/>
      </c>
      <c r="E322" s="9" t="str">
        <f>IF(AND(NEGOCIAÇÕES!B322&lt;&gt;"",NEGOCIAÇÕES!O322=""),NEGOCIAÇÕES!N322,"")</f>
        <v/>
      </c>
    </row>
    <row r="323" spans="2:5" ht="31.95" hidden="1" customHeight="1" x14ac:dyDescent="0.3">
      <c r="B323" s="6" t="str">
        <f ca="1">IF(AND(NEGOCIAÇÕES!O323="",NEGOCIAÇÕES!N323&gt;TODAY()),NEGOCIAÇÕES!C323,"")</f>
        <v/>
      </c>
      <c r="C323" s="6" t="str">
        <f ca="1">IF(AND(NEGOCIAÇÕES!O323="",NEGOCIAÇÕES!N323&gt;TODAY()),NEGOCIAÇÕES!E323,"")</f>
        <v/>
      </c>
      <c r="D323" s="6" t="str">
        <f ca="1">IF(AND(NEGOCIAÇÕES!O323="",NEGOCIAÇÕES!N323&gt;TODAY()),NEGOCIAÇÕES!D323,"")</f>
        <v/>
      </c>
      <c r="E323" s="9" t="str">
        <f>IF(AND(NEGOCIAÇÕES!B323&lt;&gt;"",NEGOCIAÇÕES!O323=""),NEGOCIAÇÕES!N323,"")</f>
        <v/>
      </c>
    </row>
    <row r="324" spans="2:5" ht="31.95" hidden="1" customHeight="1" x14ac:dyDescent="0.3">
      <c r="B324" s="6" t="str">
        <f ca="1">IF(AND(NEGOCIAÇÕES!O324="",NEGOCIAÇÕES!N324&gt;TODAY()),NEGOCIAÇÕES!C324,"")</f>
        <v/>
      </c>
      <c r="C324" s="6" t="str">
        <f ca="1">IF(AND(NEGOCIAÇÕES!O324="",NEGOCIAÇÕES!N324&gt;TODAY()),NEGOCIAÇÕES!E324,"")</f>
        <v/>
      </c>
      <c r="D324" s="6" t="str">
        <f ca="1">IF(AND(NEGOCIAÇÕES!O324="",NEGOCIAÇÕES!N324&gt;TODAY()),NEGOCIAÇÕES!D324,"")</f>
        <v/>
      </c>
      <c r="E324" s="9" t="str">
        <f>IF(AND(NEGOCIAÇÕES!B324&lt;&gt;"",NEGOCIAÇÕES!O324=""),NEGOCIAÇÕES!N324,"")</f>
        <v/>
      </c>
    </row>
    <row r="325" spans="2:5" ht="31.95" hidden="1" customHeight="1" x14ac:dyDescent="0.3">
      <c r="B325" s="6" t="str">
        <f ca="1">IF(AND(NEGOCIAÇÕES!O325="",NEGOCIAÇÕES!N325&gt;TODAY()),NEGOCIAÇÕES!C325,"")</f>
        <v/>
      </c>
      <c r="C325" s="6" t="str">
        <f ca="1">IF(AND(NEGOCIAÇÕES!O325="",NEGOCIAÇÕES!N325&gt;TODAY()),NEGOCIAÇÕES!E325,"")</f>
        <v/>
      </c>
      <c r="D325" s="6" t="str">
        <f ca="1">IF(AND(NEGOCIAÇÕES!O325="",NEGOCIAÇÕES!N325&gt;TODAY()),NEGOCIAÇÕES!D325,"")</f>
        <v/>
      </c>
      <c r="E325" s="9" t="str">
        <f>IF(AND(NEGOCIAÇÕES!B325&lt;&gt;"",NEGOCIAÇÕES!O325=""),NEGOCIAÇÕES!N325,"")</f>
        <v/>
      </c>
    </row>
    <row r="326" spans="2:5" ht="31.95" hidden="1" customHeight="1" x14ac:dyDescent="0.3">
      <c r="B326" s="6" t="str">
        <f ca="1">IF(AND(NEGOCIAÇÕES!O326="",NEGOCIAÇÕES!N326&gt;TODAY()),NEGOCIAÇÕES!C326,"")</f>
        <v/>
      </c>
      <c r="C326" s="6" t="str">
        <f ca="1">IF(AND(NEGOCIAÇÕES!O326="",NEGOCIAÇÕES!N326&gt;TODAY()),NEGOCIAÇÕES!E326,"")</f>
        <v/>
      </c>
      <c r="D326" s="6" t="str">
        <f ca="1">IF(AND(NEGOCIAÇÕES!O326="",NEGOCIAÇÕES!N326&gt;TODAY()),NEGOCIAÇÕES!D326,"")</f>
        <v/>
      </c>
      <c r="E326" s="9" t="str">
        <f>IF(AND(NEGOCIAÇÕES!B326&lt;&gt;"",NEGOCIAÇÕES!O326=""),NEGOCIAÇÕES!N326,"")</f>
        <v/>
      </c>
    </row>
    <row r="327" spans="2:5" ht="31.95" hidden="1" customHeight="1" x14ac:dyDescent="0.3">
      <c r="B327" s="6" t="str">
        <f ca="1">IF(AND(NEGOCIAÇÕES!O327="",NEGOCIAÇÕES!N327&gt;TODAY()),NEGOCIAÇÕES!C327,"")</f>
        <v/>
      </c>
      <c r="C327" s="6" t="str">
        <f ca="1">IF(AND(NEGOCIAÇÕES!O327="",NEGOCIAÇÕES!N327&gt;TODAY()),NEGOCIAÇÕES!E327,"")</f>
        <v/>
      </c>
      <c r="D327" s="6" t="str">
        <f ca="1">IF(AND(NEGOCIAÇÕES!O327="",NEGOCIAÇÕES!N327&gt;TODAY()),NEGOCIAÇÕES!D327,"")</f>
        <v/>
      </c>
      <c r="E327" s="9" t="str">
        <f>IF(AND(NEGOCIAÇÕES!B327&lt;&gt;"",NEGOCIAÇÕES!O327=""),NEGOCIAÇÕES!N327,"")</f>
        <v/>
      </c>
    </row>
    <row r="328" spans="2:5" ht="31.95" hidden="1" customHeight="1" x14ac:dyDescent="0.3">
      <c r="B328" s="6" t="str">
        <f ca="1">IF(AND(NEGOCIAÇÕES!O328="",NEGOCIAÇÕES!N328&gt;TODAY()),NEGOCIAÇÕES!C328,"")</f>
        <v/>
      </c>
      <c r="C328" s="6" t="str">
        <f ca="1">IF(AND(NEGOCIAÇÕES!O328="",NEGOCIAÇÕES!N328&gt;TODAY()),NEGOCIAÇÕES!E328,"")</f>
        <v/>
      </c>
      <c r="D328" s="6" t="str">
        <f ca="1">IF(AND(NEGOCIAÇÕES!O328="",NEGOCIAÇÕES!N328&gt;TODAY()),NEGOCIAÇÕES!D328,"")</f>
        <v/>
      </c>
      <c r="E328" s="9" t="str">
        <f>IF(AND(NEGOCIAÇÕES!B328&lt;&gt;"",NEGOCIAÇÕES!O328=""),NEGOCIAÇÕES!N328,"")</f>
        <v/>
      </c>
    </row>
    <row r="329" spans="2:5" ht="31.95" hidden="1" customHeight="1" x14ac:dyDescent="0.3">
      <c r="B329" s="6" t="str">
        <f ca="1">IF(AND(NEGOCIAÇÕES!O329="",NEGOCIAÇÕES!N329&gt;TODAY()),NEGOCIAÇÕES!C329,"")</f>
        <v/>
      </c>
      <c r="C329" s="6" t="str">
        <f ca="1">IF(AND(NEGOCIAÇÕES!O329="",NEGOCIAÇÕES!N329&gt;TODAY()),NEGOCIAÇÕES!E329,"")</f>
        <v/>
      </c>
      <c r="D329" s="6" t="str">
        <f ca="1">IF(AND(NEGOCIAÇÕES!O329="",NEGOCIAÇÕES!N329&gt;TODAY()),NEGOCIAÇÕES!D329,"")</f>
        <v/>
      </c>
      <c r="E329" s="9" t="str">
        <f>IF(AND(NEGOCIAÇÕES!B329&lt;&gt;"",NEGOCIAÇÕES!O329=""),NEGOCIAÇÕES!N329,"")</f>
        <v/>
      </c>
    </row>
    <row r="330" spans="2:5" ht="31.95" hidden="1" customHeight="1" x14ac:dyDescent="0.3">
      <c r="B330" s="6" t="str">
        <f ca="1">IF(AND(NEGOCIAÇÕES!O330="",NEGOCIAÇÕES!N330&gt;TODAY()),NEGOCIAÇÕES!C330,"")</f>
        <v/>
      </c>
      <c r="C330" s="6" t="str">
        <f ca="1">IF(AND(NEGOCIAÇÕES!O330="",NEGOCIAÇÕES!N330&gt;TODAY()),NEGOCIAÇÕES!E330,"")</f>
        <v/>
      </c>
      <c r="D330" s="6" t="str">
        <f ca="1">IF(AND(NEGOCIAÇÕES!O330="",NEGOCIAÇÕES!N330&gt;TODAY()),NEGOCIAÇÕES!D330,"")</f>
        <v/>
      </c>
      <c r="E330" s="9" t="str">
        <f>IF(AND(NEGOCIAÇÕES!B330&lt;&gt;"",NEGOCIAÇÕES!O330=""),NEGOCIAÇÕES!N330,"")</f>
        <v/>
      </c>
    </row>
    <row r="331" spans="2:5" ht="31.95" hidden="1" customHeight="1" x14ac:dyDescent="0.3">
      <c r="B331" s="6" t="str">
        <f ca="1">IF(AND(NEGOCIAÇÕES!O331="",NEGOCIAÇÕES!N331&gt;TODAY()),NEGOCIAÇÕES!C331,"")</f>
        <v/>
      </c>
      <c r="C331" s="6" t="str">
        <f ca="1">IF(AND(NEGOCIAÇÕES!O331="",NEGOCIAÇÕES!N331&gt;TODAY()),NEGOCIAÇÕES!E331,"")</f>
        <v/>
      </c>
      <c r="D331" s="6" t="str">
        <f ca="1">IF(AND(NEGOCIAÇÕES!O331="",NEGOCIAÇÕES!N331&gt;TODAY()),NEGOCIAÇÕES!D331,"")</f>
        <v/>
      </c>
      <c r="E331" s="9" t="str">
        <f>IF(AND(NEGOCIAÇÕES!B331&lt;&gt;"",NEGOCIAÇÕES!O331=""),NEGOCIAÇÕES!N331,"")</f>
        <v/>
      </c>
    </row>
    <row r="332" spans="2:5" ht="31.95" hidden="1" customHeight="1" x14ac:dyDescent="0.3">
      <c r="B332" s="6" t="str">
        <f ca="1">IF(AND(NEGOCIAÇÕES!O332="",NEGOCIAÇÕES!N332&gt;TODAY()),NEGOCIAÇÕES!C332,"")</f>
        <v/>
      </c>
      <c r="C332" s="6" t="str">
        <f ca="1">IF(AND(NEGOCIAÇÕES!O332="",NEGOCIAÇÕES!N332&gt;TODAY()),NEGOCIAÇÕES!E332,"")</f>
        <v/>
      </c>
      <c r="D332" s="6" t="str">
        <f ca="1">IF(AND(NEGOCIAÇÕES!O332="",NEGOCIAÇÕES!N332&gt;TODAY()),NEGOCIAÇÕES!D332,"")</f>
        <v/>
      </c>
      <c r="E332" s="9" t="str">
        <f>IF(AND(NEGOCIAÇÕES!B332&lt;&gt;"",NEGOCIAÇÕES!O332=""),NEGOCIAÇÕES!N332,"")</f>
        <v/>
      </c>
    </row>
    <row r="333" spans="2:5" ht="31.95" hidden="1" customHeight="1" x14ac:dyDescent="0.3">
      <c r="B333" s="6" t="str">
        <f ca="1">IF(AND(NEGOCIAÇÕES!O333="",NEGOCIAÇÕES!N333&gt;TODAY()),NEGOCIAÇÕES!C333,"")</f>
        <v/>
      </c>
      <c r="C333" s="6" t="str">
        <f ca="1">IF(AND(NEGOCIAÇÕES!O333="",NEGOCIAÇÕES!N333&gt;TODAY()),NEGOCIAÇÕES!E333,"")</f>
        <v/>
      </c>
      <c r="D333" s="6" t="str">
        <f ca="1">IF(AND(NEGOCIAÇÕES!O333="",NEGOCIAÇÕES!N333&gt;TODAY()),NEGOCIAÇÕES!D333,"")</f>
        <v/>
      </c>
      <c r="E333" s="9" t="str">
        <f>IF(AND(NEGOCIAÇÕES!B333&lt;&gt;"",NEGOCIAÇÕES!O333=""),NEGOCIAÇÕES!N333,"")</f>
        <v/>
      </c>
    </row>
    <row r="334" spans="2:5" ht="31.95" hidden="1" customHeight="1" x14ac:dyDescent="0.3">
      <c r="B334" s="6" t="str">
        <f ca="1">IF(AND(NEGOCIAÇÕES!O334="",NEGOCIAÇÕES!N334&gt;TODAY()),NEGOCIAÇÕES!C334,"")</f>
        <v/>
      </c>
      <c r="C334" s="6" t="str">
        <f ca="1">IF(AND(NEGOCIAÇÕES!O334="",NEGOCIAÇÕES!N334&gt;TODAY()),NEGOCIAÇÕES!E334,"")</f>
        <v/>
      </c>
      <c r="D334" s="6" t="str">
        <f ca="1">IF(AND(NEGOCIAÇÕES!O334="",NEGOCIAÇÕES!N334&gt;TODAY()),NEGOCIAÇÕES!D334,"")</f>
        <v/>
      </c>
      <c r="E334" s="9" t="str">
        <f>IF(AND(NEGOCIAÇÕES!B334&lt;&gt;"",NEGOCIAÇÕES!O334=""),NEGOCIAÇÕES!N334,"")</f>
        <v/>
      </c>
    </row>
    <row r="335" spans="2:5" ht="31.95" hidden="1" customHeight="1" x14ac:dyDescent="0.3">
      <c r="B335" s="6" t="str">
        <f ca="1">IF(AND(NEGOCIAÇÕES!O335="",NEGOCIAÇÕES!N335&gt;TODAY()),NEGOCIAÇÕES!C335,"")</f>
        <v/>
      </c>
      <c r="C335" s="6" t="str">
        <f ca="1">IF(AND(NEGOCIAÇÕES!O335="",NEGOCIAÇÕES!N335&gt;TODAY()),NEGOCIAÇÕES!E335,"")</f>
        <v/>
      </c>
      <c r="D335" s="6" t="str">
        <f ca="1">IF(AND(NEGOCIAÇÕES!O335="",NEGOCIAÇÕES!N335&gt;TODAY()),NEGOCIAÇÕES!D335,"")</f>
        <v/>
      </c>
      <c r="E335" s="9" t="str">
        <f>IF(AND(NEGOCIAÇÕES!B335&lt;&gt;"",NEGOCIAÇÕES!O335=""),NEGOCIAÇÕES!N335,"")</f>
        <v/>
      </c>
    </row>
    <row r="336" spans="2:5" ht="31.95" hidden="1" customHeight="1" x14ac:dyDescent="0.3">
      <c r="B336" s="6" t="str">
        <f ca="1">IF(AND(NEGOCIAÇÕES!O336="",NEGOCIAÇÕES!N336&gt;TODAY()),NEGOCIAÇÕES!C336,"")</f>
        <v/>
      </c>
      <c r="C336" s="6" t="str">
        <f ca="1">IF(AND(NEGOCIAÇÕES!O336="",NEGOCIAÇÕES!N336&gt;TODAY()),NEGOCIAÇÕES!E336,"")</f>
        <v/>
      </c>
      <c r="D336" s="6" t="str">
        <f ca="1">IF(AND(NEGOCIAÇÕES!O336="",NEGOCIAÇÕES!N336&gt;TODAY()),NEGOCIAÇÕES!D336,"")</f>
        <v/>
      </c>
      <c r="E336" s="9" t="str">
        <f>IF(AND(NEGOCIAÇÕES!B336&lt;&gt;"",NEGOCIAÇÕES!O336=""),NEGOCIAÇÕES!N336,"")</f>
        <v/>
      </c>
    </row>
    <row r="337" spans="2:5" ht="31.95" hidden="1" customHeight="1" x14ac:dyDescent="0.3">
      <c r="B337" s="6" t="str">
        <f ca="1">IF(AND(NEGOCIAÇÕES!O337="",NEGOCIAÇÕES!N337&gt;TODAY()),NEGOCIAÇÕES!C337,"")</f>
        <v/>
      </c>
      <c r="C337" s="6" t="str">
        <f ca="1">IF(AND(NEGOCIAÇÕES!O337="",NEGOCIAÇÕES!N337&gt;TODAY()),NEGOCIAÇÕES!E337,"")</f>
        <v/>
      </c>
      <c r="D337" s="6" t="str">
        <f ca="1">IF(AND(NEGOCIAÇÕES!O337="",NEGOCIAÇÕES!N337&gt;TODAY()),NEGOCIAÇÕES!D337,"")</f>
        <v/>
      </c>
      <c r="E337" s="9" t="str">
        <f>IF(AND(NEGOCIAÇÕES!B337&lt;&gt;"",NEGOCIAÇÕES!O337=""),NEGOCIAÇÕES!N337,"")</f>
        <v/>
      </c>
    </row>
    <row r="338" spans="2:5" ht="31.95" hidden="1" customHeight="1" x14ac:dyDescent="0.3">
      <c r="B338" s="6" t="str">
        <f ca="1">IF(AND(NEGOCIAÇÕES!O338="",NEGOCIAÇÕES!N338&gt;TODAY()),NEGOCIAÇÕES!C338,"")</f>
        <v/>
      </c>
      <c r="C338" s="6" t="str">
        <f ca="1">IF(AND(NEGOCIAÇÕES!O338="",NEGOCIAÇÕES!N338&gt;TODAY()),NEGOCIAÇÕES!E338,"")</f>
        <v/>
      </c>
      <c r="D338" s="6" t="str">
        <f ca="1">IF(AND(NEGOCIAÇÕES!O338="",NEGOCIAÇÕES!N338&gt;TODAY()),NEGOCIAÇÕES!D338,"")</f>
        <v/>
      </c>
      <c r="E338" s="9" t="str">
        <f>IF(AND(NEGOCIAÇÕES!B338&lt;&gt;"",NEGOCIAÇÕES!O338=""),NEGOCIAÇÕES!N338,"")</f>
        <v/>
      </c>
    </row>
    <row r="339" spans="2:5" ht="31.95" hidden="1" customHeight="1" x14ac:dyDescent="0.3">
      <c r="B339" s="6" t="str">
        <f ca="1">IF(AND(NEGOCIAÇÕES!O339="",NEGOCIAÇÕES!N339&gt;TODAY()),NEGOCIAÇÕES!C339,"")</f>
        <v/>
      </c>
      <c r="C339" s="6" t="str">
        <f ca="1">IF(AND(NEGOCIAÇÕES!O339="",NEGOCIAÇÕES!N339&gt;TODAY()),NEGOCIAÇÕES!E339,"")</f>
        <v/>
      </c>
      <c r="D339" s="6" t="str">
        <f ca="1">IF(AND(NEGOCIAÇÕES!O339="",NEGOCIAÇÕES!N339&gt;TODAY()),NEGOCIAÇÕES!D339,"")</f>
        <v/>
      </c>
      <c r="E339" s="9" t="str">
        <f>IF(AND(NEGOCIAÇÕES!B339&lt;&gt;"",NEGOCIAÇÕES!O339=""),NEGOCIAÇÕES!N339,"")</f>
        <v/>
      </c>
    </row>
    <row r="340" spans="2:5" ht="31.95" hidden="1" customHeight="1" x14ac:dyDescent="0.3">
      <c r="B340" s="6" t="str">
        <f ca="1">IF(AND(NEGOCIAÇÕES!O340="",NEGOCIAÇÕES!N340&gt;TODAY()),NEGOCIAÇÕES!C340,"")</f>
        <v/>
      </c>
      <c r="C340" s="6" t="str">
        <f ca="1">IF(AND(NEGOCIAÇÕES!O340="",NEGOCIAÇÕES!N340&gt;TODAY()),NEGOCIAÇÕES!E340,"")</f>
        <v/>
      </c>
      <c r="D340" s="6" t="str">
        <f ca="1">IF(AND(NEGOCIAÇÕES!O340="",NEGOCIAÇÕES!N340&gt;TODAY()),NEGOCIAÇÕES!D340,"")</f>
        <v/>
      </c>
      <c r="E340" s="9" t="str">
        <f>IF(AND(NEGOCIAÇÕES!B340&lt;&gt;"",NEGOCIAÇÕES!O340=""),NEGOCIAÇÕES!N340,"")</f>
        <v/>
      </c>
    </row>
    <row r="341" spans="2:5" ht="31.95" hidden="1" customHeight="1" x14ac:dyDescent="0.3">
      <c r="B341" s="6" t="str">
        <f ca="1">IF(AND(NEGOCIAÇÕES!O341="",NEGOCIAÇÕES!N341&gt;TODAY()),NEGOCIAÇÕES!C341,"")</f>
        <v/>
      </c>
      <c r="C341" s="6" t="str">
        <f ca="1">IF(AND(NEGOCIAÇÕES!O341="",NEGOCIAÇÕES!N341&gt;TODAY()),NEGOCIAÇÕES!E341,"")</f>
        <v/>
      </c>
      <c r="D341" s="6" t="str">
        <f ca="1">IF(AND(NEGOCIAÇÕES!O341="",NEGOCIAÇÕES!N341&gt;TODAY()),NEGOCIAÇÕES!D341,"")</f>
        <v/>
      </c>
      <c r="E341" s="9" t="str">
        <f>IF(AND(NEGOCIAÇÕES!B341&lt;&gt;"",NEGOCIAÇÕES!O341=""),NEGOCIAÇÕES!N341,"")</f>
        <v/>
      </c>
    </row>
    <row r="342" spans="2:5" ht="31.95" hidden="1" customHeight="1" x14ac:dyDescent="0.3">
      <c r="B342" s="6" t="str">
        <f ca="1">IF(AND(NEGOCIAÇÕES!O342="",NEGOCIAÇÕES!N342&gt;TODAY()),NEGOCIAÇÕES!C342,"")</f>
        <v/>
      </c>
      <c r="C342" s="6" t="str">
        <f ca="1">IF(AND(NEGOCIAÇÕES!O342="",NEGOCIAÇÕES!N342&gt;TODAY()),NEGOCIAÇÕES!E342,"")</f>
        <v/>
      </c>
      <c r="D342" s="6" t="str">
        <f ca="1">IF(AND(NEGOCIAÇÕES!O342="",NEGOCIAÇÕES!N342&gt;TODAY()),NEGOCIAÇÕES!D342,"")</f>
        <v/>
      </c>
      <c r="E342" s="9" t="str">
        <f>IF(AND(NEGOCIAÇÕES!B342&lt;&gt;"",NEGOCIAÇÕES!O342=""),NEGOCIAÇÕES!N342,"")</f>
        <v/>
      </c>
    </row>
    <row r="343" spans="2:5" ht="31.95" hidden="1" customHeight="1" x14ac:dyDescent="0.3">
      <c r="B343" s="6" t="str">
        <f ca="1">IF(AND(NEGOCIAÇÕES!O343="",NEGOCIAÇÕES!N343&gt;TODAY()),NEGOCIAÇÕES!C343,"")</f>
        <v/>
      </c>
      <c r="C343" s="6" t="str">
        <f ca="1">IF(AND(NEGOCIAÇÕES!O343="",NEGOCIAÇÕES!N343&gt;TODAY()),NEGOCIAÇÕES!E343,"")</f>
        <v/>
      </c>
      <c r="D343" s="6" t="str">
        <f ca="1">IF(AND(NEGOCIAÇÕES!O343="",NEGOCIAÇÕES!N343&gt;TODAY()),NEGOCIAÇÕES!D343,"")</f>
        <v/>
      </c>
      <c r="E343" s="9" t="str">
        <f>IF(AND(NEGOCIAÇÕES!B343&lt;&gt;"",NEGOCIAÇÕES!O343=""),NEGOCIAÇÕES!N343,"")</f>
        <v/>
      </c>
    </row>
    <row r="344" spans="2:5" ht="31.95" hidden="1" customHeight="1" x14ac:dyDescent="0.3">
      <c r="B344" s="6" t="str">
        <f ca="1">IF(AND(NEGOCIAÇÕES!O344="",NEGOCIAÇÕES!N344&gt;TODAY()),NEGOCIAÇÕES!C344,"")</f>
        <v/>
      </c>
      <c r="C344" s="6" t="str">
        <f ca="1">IF(AND(NEGOCIAÇÕES!O344="",NEGOCIAÇÕES!N344&gt;TODAY()),NEGOCIAÇÕES!E344,"")</f>
        <v/>
      </c>
      <c r="D344" s="6" t="str">
        <f ca="1">IF(AND(NEGOCIAÇÕES!O344="",NEGOCIAÇÕES!N344&gt;TODAY()),NEGOCIAÇÕES!D344,"")</f>
        <v/>
      </c>
      <c r="E344" s="9" t="str">
        <f>IF(AND(NEGOCIAÇÕES!B344&lt;&gt;"",NEGOCIAÇÕES!O344=""),NEGOCIAÇÕES!N344,"")</f>
        <v/>
      </c>
    </row>
    <row r="345" spans="2:5" ht="31.95" hidden="1" customHeight="1" x14ac:dyDescent="0.3">
      <c r="B345" s="6" t="str">
        <f ca="1">IF(AND(NEGOCIAÇÕES!O345="",NEGOCIAÇÕES!N345&gt;TODAY()),NEGOCIAÇÕES!C345,"")</f>
        <v/>
      </c>
      <c r="C345" s="6" t="str">
        <f ca="1">IF(AND(NEGOCIAÇÕES!O345="",NEGOCIAÇÕES!N345&gt;TODAY()),NEGOCIAÇÕES!E345,"")</f>
        <v/>
      </c>
      <c r="D345" s="6" t="str">
        <f ca="1">IF(AND(NEGOCIAÇÕES!O345="",NEGOCIAÇÕES!N345&gt;TODAY()),NEGOCIAÇÕES!D345,"")</f>
        <v/>
      </c>
      <c r="E345" s="9" t="str">
        <f>IF(AND(NEGOCIAÇÕES!B345&lt;&gt;"",NEGOCIAÇÕES!O345=""),NEGOCIAÇÕES!N345,"")</f>
        <v/>
      </c>
    </row>
    <row r="346" spans="2:5" ht="31.95" hidden="1" customHeight="1" x14ac:dyDescent="0.3">
      <c r="B346" s="6" t="str">
        <f ca="1">IF(AND(NEGOCIAÇÕES!O346="",NEGOCIAÇÕES!N346&gt;TODAY()),NEGOCIAÇÕES!C346,"")</f>
        <v/>
      </c>
      <c r="C346" s="6" t="str">
        <f ca="1">IF(AND(NEGOCIAÇÕES!O346="",NEGOCIAÇÕES!N346&gt;TODAY()),NEGOCIAÇÕES!E346,"")</f>
        <v/>
      </c>
      <c r="D346" s="6" t="str">
        <f ca="1">IF(AND(NEGOCIAÇÕES!O346="",NEGOCIAÇÕES!N346&gt;TODAY()),NEGOCIAÇÕES!D346,"")</f>
        <v/>
      </c>
      <c r="E346" s="9" t="str">
        <f>IF(AND(NEGOCIAÇÕES!B346&lt;&gt;"",NEGOCIAÇÕES!O346=""),NEGOCIAÇÕES!N346,"")</f>
        <v/>
      </c>
    </row>
    <row r="347" spans="2:5" ht="31.95" hidden="1" customHeight="1" x14ac:dyDescent="0.3">
      <c r="B347" s="6" t="str">
        <f ca="1">IF(AND(NEGOCIAÇÕES!O347="",NEGOCIAÇÕES!N347&gt;TODAY()),NEGOCIAÇÕES!C347,"")</f>
        <v/>
      </c>
      <c r="C347" s="6" t="str">
        <f ca="1">IF(AND(NEGOCIAÇÕES!O347="",NEGOCIAÇÕES!N347&gt;TODAY()),NEGOCIAÇÕES!E347,"")</f>
        <v/>
      </c>
      <c r="D347" s="6" t="str">
        <f ca="1">IF(AND(NEGOCIAÇÕES!O347="",NEGOCIAÇÕES!N347&gt;TODAY()),NEGOCIAÇÕES!D347,"")</f>
        <v/>
      </c>
      <c r="E347" s="9" t="str">
        <f>IF(AND(NEGOCIAÇÕES!B347&lt;&gt;"",NEGOCIAÇÕES!O347=""),NEGOCIAÇÕES!N347,"")</f>
        <v/>
      </c>
    </row>
    <row r="348" spans="2:5" ht="31.95" hidden="1" customHeight="1" x14ac:dyDescent="0.3">
      <c r="B348" s="6" t="str">
        <f ca="1">IF(AND(NEGOCIAÇÕES!O348="",NEGOCIAÇÕES!N348&gt;TODAY()),NEGOCIAÇÕES!C348,"")</f>
        <v/>
      </c>
      <c r="C348" s="6" t="str">
        <f ca="1">IF(AND(NEGOCIAÇÕES!O348="",NEGOCIAÇÕES!N348&gt;TODAY()),NEGOCIAÇÕES!E348,"")</f>
        <v/>
      </c>
      <c r="D348" s="6" t="str">
        <f ca="1">IF(AND(NEGOCIAÇÕES!O348="",NEGOCIAÇÕES!N348&gt;TODAY()),NEGOCIAÇÕES!D348,"")</f>
        <v/>
      </c>
      <c r="E348" s="9" t="str">
        <f>IF(AND(NEGOCIAÇÕES!B348&lt;&gt;"",NEGOCIAÇÕES!O348=""),NEGOCIAÇÕES!N348,"")</f>
        <v/>
      </c>
    </row>
    <row r="349" spans="2:5" ht="31.95" hidden="1" customHeight="1" x14ac:dyDescent="0.3">
      <c r="B349" s="6" t="str">
        <f ca="1">IF(AND(NEGOCIAÇÕES!O349="",NEGOCIAÇÕES!N349&gt;TODAY()),NEGOCIAÇÕES!C349,"")</f>
        <v/>
      </c>
      <c r="C349" s="6" t="str">
        <f ca="1">IF(AND(NEGOCIAÇÕES!O349="",NEGOCIAÇÕES!N349&gt;TODAY()),NEGOCIAÇÕES!E349,"")</f>
        <v/>
      </c>
      <c r="D349" s="6" t="str">
        <f ca="1">IF(AND(NEGOCIAÇÕES!O349="",NEGOCIAÇÕES!N349&gt;TODAY()),NEGOCIAÇÕES!D349,"")</f>
        <v/>
      </c>
      <c r="E349" s="9" t="str">
        <f>IF(AND(NEGOCIAÇÕES!B349&lt;&gt;"",NEGOCIAÇÕES!O349=""),NEGOCIAÇÕES!N349,"")</f>
        <v/>
      </c>
    </row>
    <row r="350" spans="2:5" ht="31.95" hidden="1" customHeight="1" x14ac:dyDescent="0.3">
      <c r="B350" s="6" t="str">
        <f ca="1">IF(AND(NEGOCIAÇÕES!O350="",NEGOCIAÇÕES!N350&gt;TODAY()),NEGOCIAÇÕES!C350,"")</f>
        <v/>
      </c>
      <c r="C350" s="6" t="str">
        <f ca="1">IF(AND(NEGOCIAÇÕES!O350="",NEGOCIAÇÕES!N350&gt;TODAY()),NEGOCIAÇÕES!E350,"")</f>
        <v/>
      </c>
      <c r="D350" s="6" t="str">
        <f ca="1">IF(AND(NEGOCIAÇÕES!O350="",NEGOCIAÇÕES!N350&gt;TODAY()),NEGOCIAÇÕES!D350,"")</f>
        <v/>
      </c>
      <c r="E350" s="9" t="str">
        <f>IF(AND(NEGOCIAÇÕES!B350&lt;&gt;"",NEGOCIAÇÕES!O350=""),NEGOCIAÇÕES!N350,"")</f>
        <v/>
      </c>
    </row>
    <row r="351" spans="2:5" ht="31.95" hidden="1" customHeight="1" x14ac:dyDescent="0.3">
      <c r="B351" s="6" t="str">
        <f ca="1">IF(AND(NEGOCIAÇÕES!O351="",NEGOCIAÇÕES!N351&gt;TODAY()),NEGOCIAÇÕES!C351,"")</f>
        <v/>
      </c>
      <c r="C351" s="6" t="str">
        <f ca="1">IF(AND(NEGOCIAÇÕES!O351="",NEGOCIAÇÕES!N351&gt;TODAY()),NEGOCIAÇÕES!E351,"")</f>
        <v/>
      </c>
      <c r="D351" s="6" t="str">
        <f ca="1">IF(AND(NEGOCIAÇÕES!O351="",NEGOCIAÇÕES!N351&gt;TODAY()),NEGOCIAÇÕES!D351,"")</f>
        <v/>
      </c>
      <c r="E351" s="9" t="str">
        <f>IF(AND(NEGOCIAÇÕES!B351&lt;&gt;"",NEGOCIAÇÕES!O351=""),NEGOCIAÇÕES!N351,"")</f>
        <v/>
      </c>
    </row>
    <row r="352" spans="2:5" ht="31.95" hidden="1" customHeight="1" x14ac:dyDescent="0.3">
      <c r="B352" s="6" t="str">
        <f ca="1">IF(AND(NEGOCIAÇÕES!O352="",NEGOCIAÇÕES!N352&gt;TODAY()),NEGOCIAÇÕES!C352,"")</f>
        <v/>
      </c>
      <c r="C352" s="6" t="str">
        <f ca="1">IF(AND(NEGOCIAÇÕES!O352="",NEGOCIAÇÕES!N352&gt;TODAY()),NEGOCIAÇÕES!E352,"")</f>
        <v/>
      </c>
      <c r="D352" s="6" t="str">
        <f ca="1">IF(AND(NEGOCIAÇÕES!O352="",NEGOCIAÇÕES!N352&gt;TODAY()),NEGOCIAÇÕES!D352,"")</f>
        <v/>
      </c>
      <c r="E352" s="9" t="str">
        <f>IF(AND(NEGOCIAÇÕES!B352&lt;&gt;"",NEGOCIAÇÕES!O352=""),NEGOCIAÇÕES!N352,"")</f>
        <v/>
      </c>
    </row>
    <row r="353" spans="2:5" ht="31.95" hidden="1" customHeight="1" x14ac:dyDescent="0.3">
      <c r="B353" s="6" t="str">
        <f ca="1">IF(AND(NEGOCIAÇÕES!O353="",NEGOCIAÇÕES!N353&gt;TODAY()),NEGOCIAÇÕES!C353,"")</f>
        <v/>
      </c>
      <c r="C353" s="6" t="str">
        <f ca="1">IF(AND(NEGOCIAÇÕES!O353="",NEGOCIAÇÕES!N353&gt;TODAY()),NEGOCIAÇÕES!E353,"")</f>
        <v/>
      </c>
      <c r="D353" s="6" t="str">
        <f ca="1">IF(AND(NEGOCIAÇÕES!O353="",NEGOCIAÇÕES!N353&gt;TODAY()),NEGOCIAÇÕES!D353,"")</f>
        <v/>
      </c>
      <c r="E353" s="9" t="str">
        <f>IF(AND(NEGOCIAÇÕES!B353&lt;&gt;"",NEGOCIAÇÕES!O353=""),NEGOCIAÇÕES!N353,"")</f>
        <v/>
      </c>
    </row>
    <row r="354" spans="2:5" ht="31.95" hidden="1" customHeight="1" x14ac:dyDescent="0.3">
      <c r="B354" s="6" t="str">
        <f ca="1">IF(AND(NEGOCIAÇÕES!O354="",NEGOCIAÇÕES!N354&gt;TODAY()),NEGOCIAÇÕES!C354,"")</f>
        <v/>
      </c>
      <c r="C354" s="6" t="str">
        <f ca="1">IF(AND(NEGOCIAÇÕES!O354="",NEGOCIAÇÕES!N354&gt;TODAY()),NEGOCIAÇÕES!E354,"")</f>
        <v/>
      </c>
      <c r="D354" s="6" t="str">
        <f ca="1">IF(AND(NEGOCIAÇÕES!O354="",NEGOCIAÇÕES!N354&gt;TODAY()),NEGOCIAÇÕES!D354,"")</f>
        <v/>
      </c>
      <c r="E354" s="9" t="str">
        <f>IF(AND(NEGOCIAÇÕES!B354&lt;&gt;"",NEGOCIAÇÕES!O354=""),NEGOCIAÇÕES!N354,"")</f>
        <v/>
      </c>
    </row>
    <row r="355" spans="2:5" ht="31.95" hidden="1" customHeight="1" x14ac:dyDescent="0.3">
      <c r="B355" s="6" t="str">
        <f ca="1">IF(AND(NEGOCIAÇÕES!O355="",NEGOCIAÇÕES!N355&gt;TODAY()),NEGOCIAÇÕES!C355,"")</f>
        <v/>
      </c>
      <c r="C355" s="6" t="str">
        <f ca="1">IF(AND(NEGOCIAÇÕES!O355="",NEGOCIAÇÕES!N355&gt;TODAY()),NEGOCIAÇÕES!E355,"")</f>
        <v/>
      </c>
      <c r="D355" s="6" t="str">
        <f ca="1">IF(AND(NEGOCIAÇÕES!O355="",NEGOCIAÇÕES!N355&gt;TODAY()),NEGOCIAÇÕES!D355,"")</f>
        <v/>
      </c>
      <c r="E355" s="9" t="str">
        <f>IF(AND(NEGOCIAÇÕES!B355&lt;&gt;"",NEGOCIAÇÕES!O355=""),NEGOCIAÇÕES!N355,"")</f>
        <v/>
      </c>
    </row>
    <row r="356" spans="2:5" ht="31.95" hidden="1" customHeight="1" x14ac:dyDescent="0.3">
      <c r="B356" s="6" t="str">
        <f ca="1">IF(AND(NEGOCIAÇÕES!O356="",NEGOCIAÇÕES!N356&gt;TODAY()),NEGOCIAÇÕES!C356,"")</f>
        <v/>
      </c>
      <c r="C356" s="6" t="str">
        <f ca="1">IF(AND(NEGOCIAÇÕES!O356="",NEGOCIAÇÕES!N356&gt;TODAY()),NEGOCIAÇÕES!E356,"")</f>
        <v/>
      </c>
      <c r="D356" s="6" t="str">
        <f ca="1">IF(AND(NEGOCIAÇÕES!O356="",NEGOCIAÇÕES!N356&gt;TODAY()),NEGOCIAÇÕES!D356,"")</f>
        <v/>
      </c>
      <c r="E356" s="9" t="str">
        <f>IF(AND(NEGOCIAÇÕES!B356&lt;&gt;"",NEGOCIAÇÕES!O356=""),NEGOCIAÇÕES!N356,"")</f>
        <v/>
      </c>
    </row>
    <row r="357" spans="2:5" ht="31.95" hidden="1" customHeight="1" x14ac:dyDescent="0.3">
      <c r="B357" s="6" t="str">
        <f ca="1">IF(AND(NEGOCIAÇÕES!O357="",NEGOCIAÇÕES!N357&gt;TODAY()),NEGOCIAÇÕES!C357,"")</f>
        <v/>
      </c>
      <c r="C357" s="6" t="str">
        <f ca="1">IF(AND(NEGOCIAÇÕES!O357="",NEGOCIAÇÕES!N357&gt;TODAY()),NEGOCIAÇÕES!E357,"")</f>
        <v/>
      </c>
      <c r="D357" s="6" t="str">
        <f ca="1">IF(AND(NEGOCIAÇÕES!O357="",NEGOCIAÇÕES!N357&gt;TODAY()),NEGOCIAÇÕES!D357,"")</f>
        <v/>
      </c>
      <c r="E357" s="9" t="str">
        <f>IF(AND(NEGOCIAÇÕES!B357&lt;&gt;"",NEGOCIAÇÕES!O357=""),NEGOCIAÇÕES!N357,"")</f>
        <v/>
      </c>
    </row>
    <row r="358" spans="2:5" ht="31.95" hidden="1" customHeight="1" x14ac:dyDescent="0.3">
      <c r="B358" s="6" t="str">
        <f ca="1">IF(AND(NEGOCIAÇÕES!O358="",NEGOCIAÇÕES!N358&gt;TODAY()),NEGOCIAÇÕES!C358,"")</f>
        <v/>
      </c>
      <c r="C358" s="6" t="str">
        <f ca="1">IF(AND(NEGOCIAÇÕES!O358="",NEGOCIAÇÕES!N358&gt;TODAY()),NEGOCIAÇÕES!E358,"")</f>
        <v/>
      </c>
      <c r="D358" s="6" t="str">
        <f ca="1">IF(AND(NEGOCIAÇÕES!O358="",NEGOCIAÇÕES!N358&gt;TODAY()),NEGOCIAÇÕES!D358,"")</f>
        <v/>
      </c>
      <c r="E358" s="9" t="str">
        <f>IF(AND(NEGOCIAÇÕES!B358&lt;&gt;"",NEGOCIAÇÕES!O358=""),NEGOCIAÇÕES!N358,"")</f>
        <v/>
      </c>
    </row>
    <row r="359" spans="2:5" ht="31.95" hidden="1" customHeight="1" x14ac:dyDescent="0.3">
      <c r="B359" s="6" t="str">
        <f ca="1">IF(AND(NEGOCIAÇÕES!O359="",NEGOCIAÇÕES!N359&gt;TODAY()),NEGOCIAÇÕES!C359,"")</f>
        <v/>
      </c>
      <c r="C359" s="6" t="str">
        <f ca="1">IF(AND(NEGOCIAÇÕES!O359="",NEGOCIAÇÕES!N359&gt;TODAY()),NEGOCIAÇÕES!E359,"")</f>
        <v/>
      </c>
      <c r="D359" s="6" t="str">
        <f ca="1">IF(AND(NEGOCIAÇÕES!O359="",NEGOCIAÇÕES!N359&gt;TODAY()),NEGOCIAÇÕES!D359,"")</f>
        <v/>
      </c>
      <c r="E359" s="9" t="str">
        <f>IF(AND(NEGOCIAÇÕES!B359&lt;&gt;"",NEGOCIAÇÕES!O359=""),NEGOCIAÇÕES!N359,"")</f>
        <v/>
      </c>
    </row>
    <row r="360" spans="2:5" ht="31.95" hidden="1" customHeight="1" x14ac:dyDescent="0.3">
      <c r="B360" s="6" t="str">
        <f ca="1">IF(AND(NEGOCIAÇÕES!O360="",NEGOCIAÇÕES!N360&gt;TODAY()),NEGOCIAÇÕES!C360,"")</f>
        <v/>
      </c>
      <c r="C360" s="6" t="str">
        <f ca="1">IF(AND(NEGOCIAÇÕES!O360="",NEGOCIAÇÕES!N360&gt;TODAY()),NEGOCIAÇÕES!E360,"")</f>
        <v/>
      </c>
      <c r="D360" s="6" t="str">
        <f ca="1">IF(AND(NEGOCIAÇÕES!O360="",NEGOCIAÇÕES!N360&gt;TODAY()),NEGOCIAÇÕES!D360,"")</f>
        <v/>
      </c>
      <c r="E360" s="9" t="str">
        <f>IF(AND(NEGOCIAÇÕES!B360&lt;&gt;"",NEGOCIAÇÕES!O360=""),NEGOCIAÇÕES!N360,"")</f>
        <v/>
      </c>
    </row>
    <row r="361" spans="2:5" ht="31.95" hidden="1" customHeight="1" x14ac:dyDescent="0.3">
      <c r="B361" s="6" t="str">
        <f ca="1">IF(AND(NEGOCIAÇÕES!O361="",NEGOCIAÇÕES!N361&gt;TODAY()),NEGOCIAÇÕES!C361,"")</f>
        <v/>
      </c>
      <c r="C361" s="6" t="str">
        <f ca="1">IF(AND(NEGOCIAÇÕES!O361="",NEGOCIAÇÕES!N361&gt;TODAY()),NEGOCIAÇÕES!E361,"")</f>
        <v/>
      </c>
      <c r="D361" s="6" t="str">
        <f ca="1">IF(AND(NEGOCIAÇÕES!O361="",NEGOCIAÇÕES!N361&gt;TODAY()),NEGOCIAÇÕES!D361,"")</f>
        <v/>
      </c>
      <c r="E361" s="9" t="str">
        <f>IF(AND(NEGOCIAÇÕES!B361&lt;&gt;"",NEGOCIAÇÕES!O361=""),NEGOCIAÇÕES!N361,"")</f>
        <v/>
      </c>
    </row>
    <row r="362" spans="2:5" ht="31.95" hidden="1" customHeight="1" x14ac:dyDescent="0.3">
      <c r="B362" s="6" t="str">
        <f ca="1">IF(AND(NEGOCIAÇÕES!O362="",NEGOCIAÇÕES!N362&gt;TODAY()),NEGOCIAÇÕES!C362,"")</f>
        <v/>
      </c>
      <c r="C362" s="6" t="str">
        <f ca="1">IF(AND(NEGOCIAÇÕES!O362="",NEGOCIAÇÕES!N362&gt;TODAY()),NEGOCIAÇÕES!E362,"")</f>
        <v/>
      </c>
      <c r="D362" s="6" t="str">
        <f ca="1">IF(AND(NEGOCIAÇÕES!O362="",NEGOCIAÇÕES!N362&gt;TODAY()),NEGOCIAÇÕES!D362,"")</f>
        <v/>
      </c>
      <c r="E362" s="9" t="str">
        <f>IF(AND(NEGOCIAÇÕES!B362&lt;&gt;"",NEGOCIAÇÕES!O362=""),NEGOCIAÇÕES!N362,"")</f>
        <v/>
      </c>
    </row>
    <row r="363" spans="2:5" ht="31.95" hidden="1" customHeight="1" x14ac:dyDescent="0.3">
      <c r="B363" s="6" t="str">
        <f ca="1">IF(AND(NEGOCIAÇÕES!O363="",NEGOCIAÇÕES!N363&gt;TODAY()),NEGOCIAÇÕES!C363,"")</f>
        <v/>
      </c>
      <c r="C363" s="6" t="str">
        <f ca="1">IF(AND(NEGOCIAÇÕES!O363="",NEGOCIAÇÕES!N363&gt;TODAY()),NEGOCIAÇÕES!E363,"")</f>
        <v/>
      </c>
      <c r="D363" s="6" t="str">
        <f ca="1">IF(AND(NEGOCIAÇÕES!O363="",NEGOCIAÇÕES!N363&gt;TODAY()),NEGOCIAÇÕES!D363,"")</f>
        <v/>
      </c>
      <c r="E363" s="9" t="str">
        <f>IF(AND(NEGOCIAÇÕES!B363&lt;&gt;"",NEGOCIAÇÕES!O363=""),NEGOCIAÇÕES!N363,"")</f>
        <v/>
      </c>
    </row>
    <row r="364" spans="2:5" ht="31.95" hidden="1" customHeight="1" x14ac:dyDescent="0.3">
      <c r="B364" s="6" t="str">
        <f ca="1">IF(AND(NEGOCIAÇÕES!O364="",NEGOCIAÇÕES!N364&gt;TODAY()),NEGOCIAÇÕES!C364,"")</f>
        <v/>
      </c>
      <c r="C364" s="6" t="str">
        <f ca="1">IF(AND(NEGOCIAÇÕES!O364="",NEGOCIAÇÕES!N364&gt;TODAY()),NEGOCIAÇÕES!E364,"")</f>
        <v/>
      </c>
      <c r="D364" s="6" t="str">
        <f ca="1">IF(AND(NEGOCIAÇÕES!O364="",NEGOCIAÇÕES!N364&gt;TODAY()),NEGOCIAÇÕES!D364,"")</f>
        <v/>
      </c>
      <c r="E364" s="9" t="str">
        <f>IF(AND(NEGOCIAÇÕES!B364&lt;&gt;"",NEGOCIAÇÕES!O364=""),NEGOCIAÇÕES!N364,"")</f>
        <v/>
      </c>
    </row>
    <row r="365" spans="2:5" ht="31.95" hidden="1" customHeight="1" x14ac:dyDescent="0.3">
      <c r="B365" s="6" t="str">
        <f ca="1">IF(AND(NEGOCIAÇÕES!O365="",NEGOCIAÇÕES!N365&gt;TODAY()),NEGOCIAÇÕES!C365,"")</f>
        <v/>
      </c>
      <c r="C365" s="6" t="str">
        <f ca="1">IF(AND(NEGOCIAÇÕES!O365="",NEGOCIAÇÕES!N365&gt;TODAY()),NEGOCIAÇÕES!E365,"")</f>
        <v/>
      </c>
      <c r="D365" s="6" t="str">
        <f ca="1">IF(AND(NEGOCIAÇÕES!O365="",NEGOCIAÇÕES!N365&gt;TODAY()),NEGOCIAÇÕES!D365,"")</f>
        <v/>
      </c>
      <c r="E365" s="9" t="str">
        <f>IF(AND(NEGOCIAÇÕES!B365&lt;&gt;"",NEGOCIAÇÕES!O365=""),NEGOCIAÇÕES!N365,"")</f>
        <v/>
      </c>
    </row>
    <row r="366" spans="2:5" ht="31.95" hidden="1" customHeight="1" x14ac:dyDescent="0.3">
      <c r="B366" s="6" t="str">
        <f ca="1">IF(AND(NEGOCIAÇÕES!O366="",NEGOCIAÇÕES!N366&gt;TODAY()),NEGOCIAÇÕES!C366,"")</f>
        <v/>
      </c>
      <c r="C366" s="6" t="str">
        <f ca="1">IF(AND(NEGOCIAÇÕES!O366="",NEGOCIAÇÕES!N366&gt;TODAY()),NEGOCIAÇÕES!E366,"")</f>
        <v/>
      </c>
      <c r="D366" s="6" t="str">
        <f ca="1">IF(AND(NEGOCIAÇÕES!O366="",NEGOCIAÇÕES!N366&gt;TODAY()),NEGOCIAÇÕES!D366,"")</f>
        <v/>
      </c>
      <c r="E366" s="9" t="str">
        <f>IF(AND(NEGOCIAÇÕES!B366&lt;&gt;"",NEGOCIAÇÕES!O366=""),NEGOCIAÇÕES!N366,"")</f>
        <v/>
      </c>
    </row>
    <row r="367" spans="2:5" ht="31.95" hidden="1" customHeight="1" x14ac:dyDescent="0.3">
      <c r="B367" s="6" t="str">
        <f ca="1">IF(AND(NEGOCIAÇÕES!O367="",NEGOCIAÇÕES!N367&gt;TODAY()),NEGOCIAÇÕES!C367,"")</f>
        <v/>
      </c>
      <c r="C367" s="6" t="str">
        <f ca="1">IF(AND(NEGOCIAÇÕES!O367="",NEGOCIAÇÕES!N367&gt;TODAY()),NEGOCIAÇÕES!E367,"")</f>
        <v/>
      </c>
      <c r="D367" s="6" t="str">
        <f ca="1">IF(AND(NEGOCIAÇÕES!O367="",NEGOCIAÇÕES!N367&gt;TODAY()),NEGOCIAÇÕES!D367,"")</f>
        <v/>
      </c>
      <c r="E367" s="9" t="str">
        <f>IF(AND(NEGOCIAÇÕES!B367&lt;&gt;"",NEGOCIAÇÕES!O367=""),NEGOCIAÇÕES!N367,"")</f>
        <v/>
      </c>
    </row>
    <row r="368" spans="2:5" ht="31.95" hidden="1" customHeight="1" x14ac:dyDescent="0.3">
      <c r="B368" s="6" t="str">
        <f ca="1">IF(AND(NEGOCIAÇÕES!O368="",NEGOCIAÇÕES!N368&gt;TODAY()),NEGOCIAÇÕES!C368,"")</f>
        <v/>
      </c>
      <c r="C368" s="6" t="str">
        <f ca="1">IF(AND(NEGOCIAÇÕES!O368="",NEGOCIAÇÕES!N368&gt;TODAY()),NEGOCIAÇÕES!E368,"")</f>
        <v/>
      </c>
      <c r="D368" s="6" t="str">
        <f ca="1">IF(AND(NEGOCIAÇÕES!O368="",NEGOCIAÇÕES!N368&gt;TODAY()),NEGOCIAÇÕES!D368,"")</f>
        <v/>
      </c>
      <c r="E368" s="9" t="str">
        <f>IF(AND(NEGOCIAÇÕES!B368&lt;&gt;"",NEGOCIAÇÕES!O368=""),NEGOCIAÇÕES!N368,"")</f>
        <v/>
      </c>
    </row>
    <row r="369" spans="2:5" ht="31.95" hidden="1" customHeight="1" x14ac:dyDescent="0.3">
      <c r="B369" s="6" t="str">
        <f ca="1">IF(AND(NEGOCIAÇÕES!O369="",NEGOCIAÇÕES!N369&gt;TODAY()),NEGOCIAÇÕES!C369,"")</f>
        <v/>
      </c>
      <c r="C369" s="6" t="str">
        <f ca="1">IF(AND(NEGOCIAÇÕES!O369="",NEGOCIAÇÕES!N369&gt;TODAY()),NEGOCIAÇÕES!E369,"")</f>
        <v/>
      </c>
      <c r="D369" s="6" t="str">
        <f ca="1">IF(AND(NEGOCIAÇÕES!O369="",NEGOCIAÇÕES!N369&gt;TODAY()),NEGOCIAÇÕES!D369,"")</f>
        <v/>
      </c>
      <c r="E369" s="9" t="str">
        <f>IF(AND(NEGOCIAÇÕES!B369&lt;&gt;"",NEGOCIAÇÕES!O369=""),NEGOCIAÇÕES!N369,"")</f>
        <v/>
      </c>
    </row>
    <row r="370" spans="2:5" ht="31.95" hidden="1" customHeight="1" x14ac:dyDescent="0.3">
      <c r="B370" s="6" t="str">
        <f ca="1">IF(AND(NEGOCIAÇÕES!O370="",NEGOCIAÇÕES!N370&gt;TODAY()),NEGOCIAÇÕES!C370,"")</f>
        <v/>
      </c>
      <c r="C370" s="6" t="str">
        <f ca="1">IF(AND(NEGOCIAÇÕES!O370="",NEGOCIAÇÕES!N370&gt;TODAY()),NEGOCIAÇÕES!E370,"")</f>
        <v/>
      </c>
      <c r="D370" s="6" t="str">
        <f ca="1">IF(AND(NEGOCIAÇÕES!O370="",NEGOCIAÇÕES!N370&gt;TODAY()),NEGOCIAÇÕES!D370,"")</f>
        <v/>
      </c>
      <c r="E370" s="9" t="str">
        <f>IF(AND(NEGOCIAÇÕES!B370&lt;&gt;"",NEGOCIAÇÕES!O370=""),NEGOCIAÇÕES!N370,"")</f>
        <v/>
      </c>
    </row>
    <row r="371" spans="2:5" ht="31.95" hidden="1" customHeight="1" x14ac:dyDescent="0.3">
      <c r="B371" s="6" t="str">
        <f ca="1">IF(AND(NEGOCIAÇÕES!O371="",NEGOCIAÇÕES!N371&gt;TODAY()),NEGOCIAÇÕES!C371,"")</f>
        <v/>
      </c>
      <c r="C371" s="6" t="str">
        <f ca="1">IF(AND(NEGOCIAÇÕES!O371="",NEGOCIAÇÕES!N371&gt;TODAY()),NEGOCIAÇÕES!E371,"")</f>
        <v/>
      </c>
      <c r="D371" s="6" t="str">
        <f ca="1">IF(AND(NEGOCIAÇÕES!O371="",NEGOCIAÇÕES!N371&gt;TODAY()),NEGOCIAÇÕES!D371,"")</f>
        <v/>
      </c>
      <c r="E371" s="9" t="str">
        <f>IF(AND(NEGOCIAÇÕES!B371&lt;&gt;"",NEGOCIAÇÕES!O371=""),NEGOCIAÇÕES!N371,"")</f>
        <v/>
      </c>
    </row>
    <row r="372" spans="2:5" ht="31.95" hidden="1" customHeight="1" x14ac:dyDescent="0.3">
      <c r="B372" s="6" t="str">
        <f ca="1">IF(AND(NEGOCIAÇÕES!O372="",NEGOCIAÇÕES!N372&gt;TODAY()),NEGOCIAÇÕES!C372,"")</f>
        <v/>
      </c>
      <c r="C372" s="6" t="str">
        <f ca="1">IF(AND(NEGOCIAÇÕES!O372="",NEGOCIAÇÕES!N372&gt;TODAY()),NEGOCIAÇÕES!E372,"")</f>
        <v/>
      </c>
      <c r="D372" s="6" t="str">
        <f ca="1">IF(AND(NEGOCIAÇÕES!O372="",NEGOCIAÇÕES!N372&gt;TODAY()),NEGOCIAÇÕES!D372,"")</f>
        <v/>
      </c>
      <c r="E372" s="9" t="str">
        <f>IF(AND(NEGOCIAÇÕES!B372&lt;&gt;"",NEGOCIAÇÕES!O372=""),NEGOCIAÇÕES!N372,"")</f>
        <v/>
      </c>
    </row>
    <row r="373" spans="2:5" ht="31.95" hidden="1" customHeight="1" x14ac:dyDescent="0.3">
      <c r="B373" s="6" t="str">
        <f ca="1">IF(AND(NEGOCIAÇÕES!O373="",NEGOCIAÇÕES!N373&gt;TODAY()),NEGOCIAÇÕES!C373,"")</f>
        <v/>
      </c>
      <c r="C373" s="6" t="str">
        <f ca="1">IF(AND(NEGOCIAÇÕES!O373="",NEGOCIAÇÕES!N373&gt;TODAY()),NEGOCIAÇÕES!E373,"")</f>
        <v/>
      </c>
      <c r="D373" s="6" t="str">
        <f ca="1">IF(AND(NEGOCIAÇÕES!O373="",NEGOCIAÇÕES!N373&gt;TODAY()),NEGOCIAÇÕES!D373,"")</f>
        <v/>
      </c>
      <c r="E373" s="9" t="str">
        <f>IF(AND(NEGOCIAÇÕES!B373&lt;&gt;"",NEGOCIAÇÕES!O373=""),NEGOCIAÇÕES!N373,"")</f>
        <v/>
      </c>
    </row>
    <row r="374" spans="2:5" ht="31.95" hidden="1" customHeight="1" x14ac:dyDescent="0.3">
      <c r="B374" s="6" t="str">
        <f ca="1">IF(AND(NEGOCIAÇÕES!O374="",NEGOCIAÇÕES!N374&gt;TODAY()),NEGOCIAÇÕES!C374,"")</f>
        <v/>
      </c>
      <c r="C374" s="6" t="str">
        <f ca="1">IF(AND(NEGOCIAÇÕES!O374="",NEGOCIAÇÕES!N374&gt;TODAY()),NEGOCIAÇÕES!E374,"")</f>
        <v/>
      </c>
      <c r="D374" s="6" t="str">
        <f ca="1">IF(AND(NEGOCIAÇÕES!O374="",NEGOCIAÇÕES!N374&gt;TODAY()),NEGOCIAÇÕES!D374,"")</f>
        <v/>
      </c>
      <c r="E374" s="9" t="str">
        <f>IF(AND(NEGOCIAÇÕES!B374&lt;&gt;"",NEGOCIAÇÕES!O374=""),NEGOCIAÇÕES!N374,"")</f>
        <v/>
      </c>
    </row>
    <row r="375" spans="2:5" ht="31.95" hidden="1" customHeight="1" x14ac:dyDescent="0.3">
      <c r="B375" s="6" t="str">
        <f ca="1">IF(AND(NEGOCIAÇÕES!O375="",NEGOCIAÇÕES!N375&gt;TODAY()),NEGOCIAÇÕES!C375,"")</f>
        <v/>
      </c>
      <c r="C375" s="6" t="str">
        <f ca="1">IF(AND(NEGOCIAÇÕES!O375="",NEGOCIAÇÕES!N375&gt;TODAY()),NEGOCIAÇÕES!E375,"")</f>
        <v/>
      </c>
      <c r="D375" s="6" t="str">
        <f ca="1">IF(AND(NEGOCIAÇÕES!O375="",NEGOCIAÇÕES!N375&gt;TODAY()),NEGOCIAÇÕES!D375,"")</f>
        <v/>
      </c>
      <c r="E375" s="9" t="str">
        <f>IF(AND(NEGOCIAÇÕES!B375&lt;&gt;"",NEGOCIAÇÕES!O375=""),NEGOCIAÇÕES!N375,"")</f>
        <v/>
      </c>
    </row>
    <row r="376" spans="2:5" ht="31.95" hidden="1" customHeight="1" x14ac:dyDescent="0.3">
      <c r="B376" s="6" t="str">
        <f ca="1">IF(AND(NEGOCIAÇÕES!O376="",NEGOCIAÇÕES!N376&gt;TODAY()),NEGOCIAÇÕES!C376,"")</f>
        <v/>
      </c>
      <c r="C376" s="6" t="str">
        <f ca="1">IF(AND(NEGOCIAÇÕES!O376="",NEGOCIAÇÕES!N376&gt;TODAY()),NEGOCIAÇÕES!E376,"")</f>
        <v/>
      </c>
      <c r="D376" s="6" t="str">
        <f ca="1">IF(AND(NEGOCIAÇÕES!O376="",NEGOCIAÇÕES!N376&gt;TODAY()),NEGOCIAÇÕES!D376,"")</f>
        <v/>
      </c>
      <c r="E376" s="9" t="str">
        <f>IF(AND(NEGOCIAÇÕES!B376&lt;&gt;"",NEGOCIAÇÕES!O376=""),NEGOCIAÇÕES!N376,"")</f>
        <v/>
      </c>
    </row>
    <row r="377" spans="2:5" ht="31.95" hidden="1" customHeight="1" x14ac:dyDescent="0.3">
      <c r="B377" s="6" t="str">
        <f ca="1">IF(AND(NEGOCIAÇÕES!O377="",NEGOCIAÇÕES!N377&gt;TODAY()),NEGOCIAÇÕES!C377,"")</f>
        <v/>
      </c>
      <c r="C377" s="6" t="str">
        <f ca="1">IF(AND(NEGOCIAÇÕES!O377="",NEGOCIAÇÕES!N377&gt;TODAY()),NEGOCIAÇÕES!E377,"")</f>
        <v/>
      </c>
      <c r="D377" s="6" t="str">
        <f ca="1">IF(AND(NEGOCIAÇÕES!O377="",NEGOCIAÇÕES!N377&gt;TODAY()),NEGOCIAÇÕES!D377,"")</f>
        <v/>
      </c>
      <c r="E377" s="9" t="str">
        <f>IF(AND(NEGOCIAÇÕES!B377&lt;&gt;"",NEGOCIAÇÕES!O377=""),NEGOCIAÇÕES!N377,"")</f>
        <v/>
      </c>
    </row>
    <row r="378" spans="2:5" ht="31.95" hidden="1" customHeight="1" x14ac:dyDescent="0.3">
      <c r="B378" s="6" t="str">
        <f ca="1">IF(AND(NEGOCIAÇÕES!O378="",NEGOCIAÇÕES!N378&gt;TODAY()),NEGOCIAÇÕES!C378,"")</f>
        <v/>
      </c>
      <c r="C378" s="6" t="str">
        <f ca="1">IF(AND(NEGOCIAÇÕES!O378="",NEGOCIAÇÕES!N378&gt;TODAY()),NEGOCIAÇÕES!E378,"")</f>
        <v/>
      </c>
      <c r="D378" s="6" t="str">
        <f ca="1">IF(AND(NEGOCIAÇÕES!O378="",NEGOCIAÇÕES!N378&gt;TODAY()),NEGOCIAÇÕES!D378,"")</f>
        <v/>
      </c>
      <c r="E378" s="9" t="str">
        <f>IF(AND(NEGOCIAÇÕES!B378&lt;&gt;"",NEGOCIAÇÕES!O378=""),NEGOCIAÇÕES!N378,"")</f>
        <v/>
      </c>
    </row>
    <row r="379" spans="2:5" ht="31.95" hidden="1" customHeight="1" x14ac:dyDescent="0.3">
      <c r="B379" s="6" t="str">
        <f ca="1">IF(AND(NEGOCIAÇÕES!O379="",NEGOCIAÇÕES!N379&gt;TODAY()),NEGOCIAÇÕES!C379,"")</f>
        <v/>
      </c>
      <c r="C379" s="6" t="str">
        <f ca="1">IF(AND(NEGOCIAÇÕES!O379="",NEGOCIAÇÕES!N379&gt;TODAY()),NEGOCIAÇÕES!E379,"")</f>
        <v/>
      </c>
      <c r="D379" s="6" t="str">
        <f ca="1">IF(AND(NEGOCIAÇÕES!O379="",NEGOCIAÇÕES!N379&gt;TODAY()),NEGOCIAÇÕES!D379,"")</f>
        <v/>
      </c>
      <c r="E379" s="9" t="str">
        <f>IF(AND(NEGOCIAÇÕES!B379&lt;&gt;"",NEGOCIAÇÕES!O379=""),NEGOCIAÇÕES!N379,"")</f>
        <v/>
      </c>
    </row>
    <row r="380" spans="2:5" ht="31.95" hidden="1" customHeight="1" x14ac:dyDescent="0.3">
      <c r="B380" s="6" t="str">
        <f ca="1">IF(AND(NEGOCIAÇÕES!O380="",NEGOCIAÇÕES!N380&gt;TODAY()),NEGOCIAÇÕES!C380,"")</f>
        <v/>
      </c>
      <c r="C380" s="6" t="str">
        <f ca="1">IF(AND(NEGOCIAÇÕES!O380="",NEGOCIAÇÕES!N380&gt;TODAY()),NEGOCIAÇÕES!E380,"")</f>
        <v/>
      </c>
      <c r="D380" s="6" t="str">
        <f ca="1">IF(AND(NEGOCIAÇÕES!O380="",NEGOCIAÇÕES!N380&gt;TODAY()),NEGOCIAÇÕES!D380,"")</f>
        <v/>
      </c>
      <c r="E380" s="9" t="str">
        <f>IF(AND(NEGOCIAÇÕES!B380&lt;&gt;"",NEGOCIAÇÕES!O380=""),NEGOCIAÇÕES!N380,"")</f>
        <v/>
      </c>
    </row>
    <row r="381" spans="2:5" ht="31.95" hidden="1" customHeight="1" x14ac:dyDescent="0.3">
      <c r="B381" s="6" t="str">
        <f ca="1">IF(AND(NEGOCIAÇÕES!O381="",NEGOCIAÇÕES!N381&gt;TODAY()),NEGOCIAÇÕES!C381,"")</f>
        <v/>
      </c>
      <c r="C381" s="6" t="str">
        <f ca="1">IF(AND(NEGOCIAÇÕES!O381="",NEGOCIAÇÕES!N381&gt;TODAY()),NEGOCIAÇÕES!E381,"")</f>
        <v/>
      </c>
      <c r="D381" s="6" t="str">
        <f ca="1">IF(AND(NEGOCIAÇÕES!O381="",NEGOCIAÇÕES!N381&gt;TODAY()),NEGOCIAÇÕES!D381,"")</f>
        <v/>
      </c>
      <c r="E381" s="9" t="str">
        <f>IF(AND(NEGOCIAÇÕES!B381&lt;&gt;"",NEGOCIAÇÕES!O381=""),NEGOCIAÇÕES!N381,"")</f>
        <v/>
      </c>
    </row>
    <row r="382" spans="2:5" ht="31.95" hidden="1" customHeight="1" x14ac:dyDescent="0.3">
      <c r="B382" s="6" t="str">
        <f ca="1">IF(AND(NEGOCIAÇÕES!O382="",NEGOCIAÇÕES!N382&gt;TODAY()),NEGOCIAÇÕES!C382,"")</f>
        <v/>
      </c>
      <c r="C382" s="6" t="str">
        <f ca="1">IF(AND(NEGOCIAÇÕES!O382="",NEGOCIAÇÕES!N382&gt;TODAY()),NEGOCIAÇÕES!E382,"")</f>
        <v/>
      </c>
      <c r="D382" s="6" t="str">
        <f ca="1">IF(AND(NEGOCIAÇÕES!O382="",NEGOCIAÇÕES!N382&gt;TODAY()),NEGOCIAÇÕES!D382,"")</f>
        <v/>
      </c>
      <c r="E382" s="9" t="str">
        <f>IF(AND(NEGOCIAÇÕES!B382&lt;&gt;"",NEGOCIAÇÕES!O382=""),NEGOCIAÇÕES!N382,"")</f>
        <v/>
      </c>
    </row>
    <row r="383" spans="2:5" ht="31.95" hidden="1" customHeight="1" x14ac:dyDescent="0.3">
      <c r="B383" s="6" t="str">
        <f ca="1">IF(AND(NEGOCIAÇÕES!O383="",NEGOCIAÇÕES!N383&gt;TODAY()),NEGOCIAÇÕES!C383,"")</f>
        <v/>
      </c>
      <c r="C383" s="6" t="str">
        <f ca="1">IF(AND(NEGOCIAÇÕES!O383="",NEGOCIAÇÕES!N383&gt;TODAY()),NEGOCIAÇÕES!E383,"")</f>
        <v/>
      </c>
      <c r="D383" s="6" t="str">
        <f ca="1">IF(AND(NEGOCIAÇÕES!O383="",NEGOCIAÇÕES!N383&gt;TODAY()),NEGOCIAÇÕES!D383,"")</f>
        <v/>
      </c>
      <c r="E383" s="9" t="str">
        <f>IF(AND(NEGOCIAÇÕES!B383&lt;&gt;"",NEGOCIAÇÕES!O383=""),NEGOCIAÇÕES!N383,"")</f>
        <v/>
      </c>
    </row>
    <row r="384" spans="2:5" ht="31.95" hidden="1" customHeight="1" x14ac:dyDescent="0.3">
      <c r="B384" s="6" t="str">
        <f ca="1">IF(AND(NEGOCIAÇÕES!O384="",NEGOCIAÇÕES!N384&gt;TODAY()),NEGOCIAÇÕES!C384,"")</f>
        <v/>
      </c>
      <c r="C384" s="6" t="str">
        <f ca="1">IF(AND(NEGOCIAÇÕES!O384="",NEGOCIAÇÕES!N384&gt;TODAY()),NEGOCIAÇÕES!E384,"")</f>
        <v/>
      </c>
      <c r="D384" s="6" t="str">
        <f ca="1">IF(AND(NEGOCIAÇÕES!O384="",NEGOCIAÇÕES!N384&gt;TODAY()),NEGOCIAÇÕES!D384,"")</f>
        <v/>
      </c>
      <c r="E384" s="9" t="str">
        <f>IF(AND(NEGOCIAÇÕES!B384&lt;&gt;"",NEGOCIAÇÕES!O384=""),NEGOCIAÇÕES!N384,"")</f>
        <v/>
      </c>
    </row>
    <row r="385" spans="2:5" ht="31.95" hidden="1" customHeight="1" x14ac:dyDescent="0.3">
      <c r="B385" s="6" t="str">
        <f ca="1">IF(AND(NEGOCIAÇÕES!O385="",NEGOCIAÇÕES!N385&gt;TODAY()),NEGOCIAÇÕES!C385,"")</f>
        <v/>
      </c>
      <c r="C385" s="6" t="str">
        <f ca="1">IF(AND(NEGOCIAÇÕES!O385="",NEGOCIAÇÕES!N385&gt;TODAY()),NEGOCIAÇÕES!E385,"")</f>
        <v/>
      </c>
      <c r="D385" s="6" t="str">
        <f ca="1">IF(AND(NEGOCIAÇÕES!O385="",NEGOCIAÇÕES!N385&gt;TODAY()),NEGOCIAÇÕES!D385,"")</f>
        <v/>
      </c>
      <c r="E385" s="9" t="str">
        <f>IF(AND(NEGOCIAÇÕES!B385&lt;&gt;"",NEGOCIAÇÕES!O385=""),NEGOCIAÇÕES!N385,"")</f>
        <v/>
      </c>
    </row>
    <row r="386" spans="2:5" ht="31.95" hidden="1" customHeight="1" x14ac:dyDescent="0.3">
      <c r="B386" s="6" t="str">
        <f ca="1">IF(AND(NEGOCIAÇÕES!O386="",NEGOCIAÇÕES!N386&gt;TODAY()),NEGOCIAÇÕES!C386,"")</f>
        <v/>
      </c>
      <c r="C386" s="6" t="str">
        <f ca="1">IF(AND(NEGOCIAÇÕES!O386="",NEGOCIAÇÕES!N386&gt;TODAY()),NEGOCIAÇÕES!E386,"")</f>
        <v/>
      </c>
      <c r="D386" s="6" t="str">
        <f ca="1">IF(AND(NEGOCIAÇÕES!O386="",NEGOCIAÇÕES!N386&gt;TODAY()),NEGOCIAÇÕES!D386,"")</f>
        <v/>
      </c>
      <c r="E386" s="9" t="str">
        <f>IF(AND(NEGOCIAÇÕES!B386&lt;&gt;"",NEGOCIAÇÕES!O386=""),NEGOCIAÇÕES!N386,"")</f>
        <v/>
      </c>
    </row>
    <row r="387" spans="2:5" ht="31.95" hidden="1" customHeight="1" x14ac:dyDescent="0.3">
      <c r="B387" s="6" t="str">
        <f ca="1">IF(AND(NEGOCIAÇÕES!O387="",NEGOCIAÇÕES!N387&gt;TODAY()),NEGOCIAÇÕES!C387,"")</f>
        <v/>
      </c>
      <c r="C387" s="6" t="str">
        <f ca="1">IF(AND(NEGOCIAÇÕES!O387="",NEGOCIAÇÕES!N387&gt;TODAY()),NEGOCIAÇÕES!E387,"")</f>
        <v/>
      </c>
      <c r="D387" s="6" t="str">
        <f ca="1">IF(AND(NEGOCIAÇÕES!O387="",NEGOCIAÇÕES!N387&gt;TODAY()),NEGOCIAÇÕES!D387,"")</f>
        <v/>
      </c>
      <c r="E387" s="9" t="str">
        <f>IF(AND(NEGOCIAÇÕES!B387&lt;&gt;"",NEGOCIAÇÕES!O387=""),NEGOCIAÇÕES!N387,"")</f>
        <v/>
      </c>
    </row>
    <row r="388" spans="2:5" ht="31.95" hidden="1" customHeight="1" x14ac:dyDescent="0.3">
      <c r="B388" s="6" t="str">
        <f ca="1">IF(AND(NEGOCIAÇÕES!O388="",NEGOCIAÇÕES!N388&gt;TODAY()),NEGOCIAÇÕES!C388,"")</f>
        <v/>
      </c>
      <c r="C388" s="6" t="str">
        <f ca="1">IF(AND(NEGOCIAÇÕES!O388="",NEGOCIAÇÕES!N388&gt;TODAY()),NEGOCIAÇÕES!E388,"")</f>
        <v/>
      </c>
      <c r="D388" s="6" t="str">
        <f ca="1">IF(AND(NEGOCIAÇÕES!O388="",NEGOCIAÇÕES!N388&gt;TODAY()),NEGOCIAÇÕES!D388,"")</f>
        <v/>
      </c>
      <c r="E388" s="9" t="str">
        <f>IF(AND(NEGOCIAÇÕES!B388&lt;&gt;"",NEGOCIAÇÕES!O388=""),NEGOCIAÇÕES!N388,"")</f>
        <v/>
      </c>
    </row>
    <row r="389" spans="2:5" ht="31.95" hidden="1" customHeight="1" x14ac:dyDescent="0.3">
      <c r="B389" s="6" t="str">
        <f ca="1">IF(AND(NEGOCIAÇÕES!O389="",NEGOCIAÇÕES!N389&gt;TODAY()),NEGOCIAÇÕES!C389,"")</f>
        <v/>
      </c>
      <c r="C389" s="6" t="str">
        <f ca="1">IF(AND(NEGOCIAÇÕES!O389="",NEGOCIAÇÕES!N389&gt;TODAY()),NEGOCIAÇÕES!E389,"")</f>
        <v/>
      </c>
      <c r="D389" s="6" t="str">
        <f ca="1">IF(AND(NEGOCIAÇÕES!O389="",NEGOCIAÇÕES!N389&gt;TODAY()),NEGOCIAÇÕES!D389,"")</f>
        <v/>
      </c>
      <c r="E389" s="9" t="str">
        <f>IF(AND(NEGOCIAÇÕES!B389&lt;&gt;"",NEGOCIAÇÕES!O389=""),NEGOCIAÇÕES!N389,"")</f>
        <v/>
      </c>
    </row>
    <row r="390" spans="2:5" ht="31.95" hidden="1" customHeight="1" x14ac:dyDescent="0.3">
      <c r="B390" s="6" t="str">
        <f ca="1">IF(AND(NEGOCIAÇÕES!O390="",NEGOCIAÇÕES!N390&gt;TODAY()),NEGOCIAÇÕES!C390,"")</f>
        <v/>
      </c>
      <c r="C390" s="6" t="str">
        <f ca="1">IF(AND(NEGOCIAÇÕES!O390="",NEGOCIAÇÕES!N390&gt;TODAY()),NEGOCIAÇÕES!E390,"")</f>
        <v/>
      </c>
      <c r="D390" s="6" t="str">
        <f ca="1">IF(AND(NEGOCIAÇÕES!O390="",NEGOCIAÇÕES!N390&gt;TODAY()),NEGOCIAÇÕES!D390,"")</f>
        <v/>
      </c>
      <c r="E390" s="9" t="str">
        <f>IF(AND(NEGOCIAÇÕES!B390&lt;&gt;"",NEGOCIAÇÕES!O390=""),NEGOCIAÇÕES!N390,"")</f>
        <v/>
      </c>
    </row>
    <row r="391" spans="2:5" ht="31.95" hidden="1" customHeight="1" x14ac:dyDescent="0.3">
      <c r="B391" s="6" t="str">
        <f ca="1">IF(AND(NEGOCIAÇÕES!O391="",NEGOCIAÇÕES!N391&gt;TODAY()),NEGOCIAÇÕES!C391,"")</f>
        <v/>
      </c>
      <c r="C391" s="6" t="str">
        <f ca="1">IF(AND(NEGOCIAÇÕES!O391="",NEGOCIAÇÕES!N391&gt;TODAY()),NEGOCIAÇÕES!E391,"")</f>
        <v/>
      </c>
      <c r="D391" s="6" t="str">
        <f ca="1">IF(AND(NEGOCIAÇÕES!O391="",NEGOCIAÇÕES!N391&gt;TODAY()),NEGOCIAÇÕES!D391,"")</f>
        <v/>
      </c>
      <c r="E391" s="9" t="str">
        <f>IF(AND(NEGOCIAÇÕES!B391&lt;&gt;"",NEGOCIAÇÕES!O391=""),NEGOCIAÇÕES!N391,"")</f>
        <v/>
      </c>
    </row>
    <row r="392" spans="2:5" ht="31.95" hidden="1" customHeight="1" x14ac:dyDescent="0.3">
      <c r="B392" s="6" t="str">
        <f ca="1">IF(AND(NEGOCIAÇÕES!O392="",NEGOCIAÇÕES!N392&gt;TODAY()),NEGOCIAÇÕES!C392,"")</f>
        <v/>
      </c>
      <c r="C392" s="6" t="str">
        <f ca="1">IF(AND(NEGOCIAÇÕES!O392="",NEGOCIAÇÕES!N392&gt;TODAY()),NEGOCIAÇÕES!E392,"")</f>
        <v/>
      </c>
      <c r="D392" s="6" t="str">
        <f ca="1">IF(AND(NEGOCIAÇÕES!O392="",NEGOCIAÇÕES!N392&gt;TODAY()),NEGOCIAÇÕES!D392,"")</f>
        <v/>
      </c>
      <c r="E392" s="9" t="str">
        <f>IF(AND(NEGOCIAÇÕES!B392&lt;&gt;"",NEGOCIAÇÕES!O392=""),NEGOCIAÇÕES!N392,"")</f>
        <v/>
      </c>
    </row>
    <row r="393" spans="2:5" ht="31.95" hidden="1" customHeight="1" x14ac:dyDescent="0.3">
      <c r="B393" s="6" t="str">
        <f ca="1">IF(AND(NEGOCIAÇÕES!O393="",NEGOCIAÇÕES!N393&gt;TODAY()),NEGOCIAÇÕES!C393,"")</f>
        <v/>
      </c>
      <c r="C393" s="6" t="str">
        <f ca="1">IF(AND(NEGOCIAÇÕES!O393="",NEGOCIAÇÕES!N393&gt;TODAY()),NEGOCIAÇÕES!E393,"")</f>
        <v/>
      </c>
      <c r="D393" s="6" t="str">
        <f ca="1">IF(AND(NEGOCIAÇÕES!O393="",NEGOCIAÇÕES!N393&gt;TODAY()),NEGOCIAÇÕES!D393,"")</f>
        <v/>
      </c>
      <c r="E393" s="9" t="str">
        <f>IF(AND(NEGOCIAÇÕES!B393&lt;&gt;"",NEGOCIAÇÕES!O393=""),NEGOCIAÇÕES!N393,"")</f>
        <v/>
      </c>
    </row>
    <row r="394" spans="2:5" ht="31.95" hidden="1" customHeight="1" x14ac:dyDescent="0.3">
      <c r="B394" s="6" t="str">
        <f ca="1">IF(AND(NEGOCIAÇÕES!O394="",NEGOCIAÇÕES!N394&gt;TODAY()),NEGOCIAÇÕES!C394,"")</f>
        <v/>
      </c>
      <c r="C394" s="6" t="str">
        <f ca="1">IF(AND(NEGOCIAÇÕES!O394="",NEGOCIAÇÕES!N394&gt;TODAY()),NEGOCIAÇÕES!E394,"")</f>
        <v/>
      </c>
      <c r="D394" s="6" t="str">
        <f ca="1">IF(AND(NEGOCIAÇÕES!O394="",NEGOCIAÇÕES!N394&gt;TODAY()),NEGOCIAÇÕES!D394,"")</f>
        <v/>
      </c>
      <c r="E394" s="9" t="str">
        <f>IF(AND(NEGOCIAÇÕES!B394&lt;&gt;"",NEGOCIAÇÕES!O394=""),NEGOCIAÇÕES!N394,"")</f>
        <v/>
      </c>
    </row>
    <row r="395" spans="2:5" ht="31.95" hidden="1" customHeight="1" x14ac:dyDescent="0.3">
      <c r="B395" s="6" t="str">
        <f ca="1">IF(AND(NEGOCIAÇÕES!O395="",NEGOCIAÇÕES!N395&gt;TODAY()),NEGOCIAÇÕES!C395,"")</f>
        <v/>
      </c>
      <c r="C395" s="6" t="str">
        <f ca="1">IF(AND(NEGOCIAÇÕES!O395="",NEGOCIAÇÕES!N395&gt;TODAY()),NEGOCIAÇÕES!E395,"")</f>
        <v/>
      </c>
      <c r="D395" s="6" t="str">
        <f ca="1">IF(AND(NEGOCIAÇÕES!O395="",NEGOCIAÇÕES!N395&gt;TODAY()),NEGOCIAÇÕES!D395,"")</f>
        <v/>
      </c>
      <c r="E395" s="9" t="str">
        <f>IF(AND(NEGOCIAÇÕES!B395&lt;&gt;"",NEGOCIAÇÕES!O395=""),NEGOCIAÇÕES!N395,"")</f>
        <v/>
      </c>
    </row>
    <row r="396" spans="2:5" ht="31.95" hidden="1" customHeight="1" x14ac:dyDescent="0.3">
      <c r="B396" s="6" t="str">
        <f ca="1">IF(AND(NEGOCIAÇÕES!O396="",NEGOCIAÇÕES!N396&gt;TODAY()),NEGOCIAÇÕES!C396,"")</f>
        <v/>
      </c>
      <c r="C396" s="6" t="str">
        <f ca="1">IF(AND(NEGOCIAÇÕES!O396="",NEGOCIAÇÕES!N396&gt;TODAY()),NEGOCIAÇÕES!E396,"")</f>
        <v/>
      </c>
      <c r="D396" s="6" t="str">
        <f ca="1">IF(AND(NEGOCIAÇÕES!O396="",NEGOCIAÇÕES!N396&gt;TODAY()),NEGOCIAÇÕES!D396,"")</f>
        <v/>
      </c>
      <c r="E396" s="9" t="str">
        <f>IF(AND(NEGOCIAÇÕES!B396&lt;&gt;"",NEGOCIAÇÕES!O396=""),NEGOCIAÇÕES!N396,"")</f>
        <v/>
      </c>
    </row>
    <row r="397" spans="2:5" ht="31.95" hidden="1" customHeight="1" x14ac:dyDescent="0.3">
      <c r="B397" s="6" t="str">
        <f ca="1">IF(AND(NEGOCIAÇÕES!O397="",NEGOCIAÇÕES!N397&gt;TODAY()),NEGOCIAÇÕES!C397,"")</f>
        <v/>
      </c>
      <c r="C397" s="6" t="str">
        <f ca="1">IF(AND(NEGOCIAÇÕES!O397="",NEGOCIAÇÕES!N397&gt;TODAY()),NEGOCIAÇÕES!E397,"")</f>
        <v/>
      </c>
      <c r="D397" s="6" t="str">
        <f ca="1">IF(AND(NEGOCIAÇÕES!O397="",NEGOCIAÇÕES!N397&gt;TODAY()),NEGOCIAÇÕES!D397,"")</f>
        <v/>
      </c>
      <c r="E397" s="9" t="str">
        <f>IF(AND(NEGOCIAÇÕES!B397&lt;&gt;"",NEGOCIAÇÕES!O397=""),NEGOCIAÇÕES!N397,"")</f>
        <v/>
      </c>
    </row>
    <row r="398" spans="2:5" ht="31.95" hidden="1" customHeight="1" x14ac:dyDescent="0.3">
      <c r="B398" s="6" t="str">
        <f ca="1">IF(AND(NEGOCIAÇÕES!O398="",NEGOCIAÇÕES!N398&gt;TODAY()),NEGOCIAÇÕES!C398,"")</f>
        <v/>
      </c>
      <c r="C398" s="6" t="str">
        <f ca="1">IF(AND(NEGOCIAÇÕES!O398="",NEGOCIAÇÕES!N398&gt;TODAY()),NEGOCIAÇÕES!E398,"")</f>
        <v/>
      </c>
      <c r="D398" s="6" t="str">
        <f ca="1">IF(AND(NEGOCIAÇÕES!O398="",NEGOCIAÇÕES!N398&gt;TODAY()),NEGOCIAÇÕES!D398,"")</f>
        <v/>
      </c>
      <c r="E398" s="9" t="str">
        <f>IF(AND(NEGOCIAÇÕES!B398&lt;&gt;"",NEGOCIAÇÕES!O398=""),NEGOCIAÇÕES!N398,"")</f>
        <v/>
      </c>
    </row>
    <row r="399" spans="2:5" ht="31.95" hidden="1" customHeight="1" x14ac:dyDescent="0.3">
      <c r="B399" s="6" t="str">
        <f ca="1">IF(AND(NEGOCIAÇÕES!O399="",NEGOCIAÇÕES!N399&gt;TODAY()),NEGOCIAÇÕES!C399,"")</f>
        <v/>
      </c>
      <c r="C399" s="6" t="str">
        <f ca="1">IF(AND(NEGOCIAÇÕES!O399="",NEGOCIAÇÕES!N399&gt;TODAY()),NEGOCIAÇÕES!E399,"")</f>
        <v/>
      </c>
      <c r="D399" s="6" t="str">
        <f ca="1">IF(AND(NEGOCIAÇÕES!O399="",NEGOCIAÇÕES!N399&gt;TODAY()),NEGOCIAÇÕES!D399,"")</f>
        <v/>
      </c>
      <c r="E399" s="9" t="str">
        <f>IF(AND(NEGOCIAÇÕES!B399&lt;&gt;"",NEGOCIAÇÕES!O399=""),NEGOCIAÇÕES!N399,"")</f>
        <v/>
      </c>
    </row>
    <row r="400" spans="2:5" ht="31.95" hidden="1" customHeight="1" x14ac:dyDescent="0.3">
      <c r="B400" s="6" t="str">
        <f ca="1">IF(AND(NEGOCIAÇÕES!O400="",NEGOCIAÇÕES!N400&gt;TODAY()),NEGOCIAÇÕES!C400,"")</f>
        <v/>
      </c>
      <c r="C400" s="6" t="str">
        <f ca="1">IF(AND(NEGOCIAÇÕES!O400="",NEGOCIAÇÕES!N400&gt;TODAY()),NEGOCIAÇÕES!E400,"")</f>
        <v/>
      </c>
      <c r="D400" s="6" t="str">
        <f ca="1">IF(AND(NEGOCIAÇÕES!O400="",NEGOCIAÇÕES!N400&gt;TODAY()),NEGOCIAÇÕES!D400,"")</f>
        <v/>
      </c>
      <c r="E400" s="9" t="str">
        <f>IF(AND(NEGOCIAÇÕES!B400&lt;&gt;"",NEGOCIAÇÕES!O400=""),NEGOCIAÇÕES!N400,"")</f>
        <v/>
      </c>
    </row>
    <row r="401" spans="2:5" ht="31.95" hidden="1" customHeight="1" x14ac:dyDescent="0.3">
      <c r="B401" s="6" t="str">
        <f ca="1">IF(AND(NEGOCIAÇÕES!O401="",NEGOCIAÇÕES!N401&gt;TODAY()),NEGOCIAÇÕES!C401,"")</f>
        <v/>
      </c>
      <c r="C401" s="6" t="str">
        <f ca="1">IF(AND(NEGOCIAÇÕES!O401="",NEGOCIAÇÕES!N401&gt;TODAY()),NEGOCIAÇÕES!E401,"")</f>
        <v/>
      </c>
      <c r="D401" s="6" t="str">
        <f ca="1">IF(AND(NEGOCIAÇÕES!O401="",NEGOCIAÇÕES!N401&gt;TODAY()),NEGOCIAÇÕES!D401,"")</f>
        <v/>
      </c>
      <c r="E401" s="9" t="str">
        <f>IF(AND(NEGOCIAÇÕES!B401&lt;&gt;"",NEGOCIAÇÕES!O401=""),NEGOCIAÇÕES!N401,"")</f>
        <v/>
      </c>
    </row>
    <row r="402" spans="2:5" ht="31.95" hidden="1" customHeight="1" x14ac:dyDescent="0.3">
      <c r="B402" s="6" t="str">
        <f ca="1">IF(AND(NEGOCIAÇÕES!O402="",NEGOCIAÇÕES!N402&gt;TODAY()),NEGOCIAÇÕES!C402,"")</f>
        <v/>
      </c>
      <c r="C402" s="6" t="str">
        <f ca="1">IF(AND(NEGOCIAÇÕES!O402="",NEGOCIAÇÕES!N402&gt;TODAY()),NEGOCIAÇÕES!E402,"")</f>
        <v/>
      </c>
      <c r="D402" s="6" t="str">
        <f ca="1">IF(AND(NEGOCIAÇÕES!O402="",NEGOCIAÇÕES!N402&gt;TODAY()),NEGOCIAÇÕES!D402,"")</f>
        <v/>
      </c>
      <c r="E402" s="9" t="str">
        <f>IF(AND(NEGOCIAÇÕES!B402&lt;&gt;"",NEGOCIAÇÕES!O402=""),NEGOCIAÇÕES!N402,"")</f>
        <v/>
      </c>
    </row>
    <row r="403" spans="2:5" ht="31.95" hidden="1" customHeight="1" x14ac:dyDescent="0.3">
      <c r="B403" s="6" t="str">
        <f ca="1">IF(AND(NEGOCIAÇÕES!O403="",NEGOCIAÇÕES!N403&gt;TODAY()),NEGOCIAÇÕES!C403,"")</f>
        <v/>
      </c>
      <c r="C403" s="6" t="str">
        <f ca="1">IF(AND(NEGOCIAÇÕES!O403="",NEGOCIAÇÕES!N403&gt;TODAY()),NEGOCIAÇÕES!E403,"")</f>
        <v/>
      </c>
      <c r="D403" s="6" t="str">
        <f ca="1">IF(AND(NEGOCIAÇÕES!O403="",NEGOCIAÇÕES!N403&gt;TODAY()),NEGOCIAÇÕES!D403,"")</f>
        <v/>
      </c>
      <c r="E403" s="9" t="str">
        <f>IF(AND(NEGOCIAÇÕES!B403&lt;&gt;"",NEGOCIAÇÕES!O403=""),NEGOCIAÇÕES!N403,"")</f>
        <v/>
      </c>
    </row>
    <row r="404" spans="2:5" ht="31.95" hidden="1" customHeight="1" x14ac:dyDescent="0.3">
      <c r="B404" s="6" t="str">
        <f ca="1">IF(AND(NEGOCIAÇÕES!O404="",NEGOCIAÇÕES!N404&gt;TODAY()),NEGOCIAÇÕES!C404,"")</f>
        <v/>
      </c>
      <c r="C404" s="6" t="str">
        <f ca="1">IF(AND(NEGOCIAÇÕES!O404="",NEGOCIAÇÕES!N404&gt;TODAY()),NEGOCIAÇÕES!E404,"")</f>
        <v/>
      </c>
      <c r="D404" s="6" t="str">
        <f ca="1">IF(AND(NEGOCIAÇÕES!O404="",NEGOCIAÇÕES!N404&gt;TODAY()),NEGOCIAÇÕES!D404,"")</f>
        <v/>
      </c>
      <c r="E404" s="9" t="str">
        <f>IF(AND(NEGOCIAÇÕES!B404&lt;&gt;"",NEGOCIAÇÕES!O404=""),NEGOCIAÇÕES!N404,"")</f>
        <v/>
      </c>
    </row>
    <row r="405" spans="2:5" ht="31.95" hidden="1" customHeight="1" x14ac:dyDescent="0.3">
      <c r="B405" s="6" t="str">
        <f ca="1">IF(AND(NEGOCIAÇÕES!O405="",NEGOCIAÇÕES!N405&gt;TODAY()),NEGOCIAÇÕES!C405,"")</f>
        <v/>
      </c>
      <c r="C405" s="6" t="str">
        <f ca="1">IF(AND(NEGOCIAÇÕES!O405="",NEGOCIAÇÕES!N405&gt;TODAY()),NEGOCIAÇÕES!E405,"")</f>
        <v/>
      </c>
      <c r="D405" s="6" t="str">
        <f ca="1">IF(AND(NEGOCIAÇÕES!O405="",NEGOCIAÇÕES!N405&gt;TODAY()),NEGOCIAÇÕES!D405,"")</f>
        <v/>
      </c>
      <c r="E405" s="9" t="str">
        <f>IF(AND(NEGOCIAÇÕES!B405&lt;&gt;"",NEGOCIAÇÕES!O405=""),NEGOCIAÇÕES!N405,"")</f>
        <v/>
      </c>
    </row>
    <row r="406" spans="2:5" ht="31.95" hidden="1" customHeight="1" x14ac:dyDescent="0.3">
      <c r="B406" s="6" t="str">
        <f ca="1">IF(AND(NEGOCIAÇÕES!O406="",NEGOCIAÇÕES!N406&gt;TODAY()),NEGOCIAÇÕES!C406,"")</f>
        <v/>
      </c>
      <c r="C406" s="6" t="str">
        <f ca="1">IF(AND(NEGOCIAÇÕES!O406="",NEGOCIAÇÕES!N406&gt;TODAY()),NEGOCIAÇÕES!E406,"")</f>
        <v/>
      </c>
      <c r="D406" s="6" t="str">
        <f ca="1">IF(AND(NEGOCIAÇÕES!O406="",NEGOCIAÇÕES!N406&gt;TODAY()),NEGOCIAÇÕES!D406,"")</f>
        <v/>
      </c>
      <c r="E406" s="9" t="str">
        <f>IF(AND(NEGOCIAÇÕES!B406&lt;&gt;"",NEGOCIAÇÕES!O406=""),NEGOCIAÇÕES!N406,"")</f>
        <v/>
      </c>
    </row>
    <row r="407" spans="2:5" ht="31.95" hidden="1" customHeight="1" x14ac:dyDescent="0.3">
      <c r="B407" s="6" t="str">
        <f ca="1">IF(AND(NEGOCIAÇÕES!O407="",NEGOCIAÇÕES!N407&gt;TODAY()),NEGOCIAÇÕES!C407,"")</f>
        <v/>
      </c>
      <c r="C407" s="6" t="str">
        <f ca="1">IF(AND(NEGOCIAÇÕES!O407="",NEGOCIAÇÕES!N407&gt;TODAY()),NEGOCIAÇÕES!E407,"")</f>
        <v/>
      </c>
      <c r="D407" s="6" t="str">
        <f ca="1">IF(AND(NEGOCIAÇÕES!O407="",NEGOCIAÇÕES!N407&gt;TODAY()),NEGOCIAÇÕES!D407,"")</f>
        <v/>
      </c>
      <c r="E407" s="9" t="str">
        <f>IF(AND(NEGOCIAÇÕES!B407&lt;&gt;"",NEGOCIAÇÕES!O407=""),NEGOCIAÇÕES!N407,"")</f>
        <v/>
      </c>
    </row>
    <row r="408" spans="2:5" ht="31.95" hidden="1" customHeight="1" x14ac:dyDescent="0.3">
      <c r="B408" s="6" t="str">
        <f ca="1">IF(AND(NEGOCIAÇÕES!O408="",NEGOCIAÇÕES!N408&gt;TODAY()),NEGOCIAÇÕES!C408,"")</f>
        <v/>
      </c>
      <c r="C408" s="6" t="str">
        <f ca="1">IF(AND(NEGOCIAÇÕES!O408="",NEGOCIAÇÕES!N408&gt;TODAY()),NEGOCIAÇÕES!E408,"")</f>
        <v/>
      </c>
      <c r="D408" s="6" t="str">
        <f ca="1">IF(AND(NEGOCIAÇÕES!O408="",NEGOCIAÇÕES!N408&gt;TODAY()),NEGOCIAÇÕES!D408,"")</f>
        <v/>
      </c>
      <c r="E408" s="9" t="str">
        <f>IF(AND(NEGOCIAÇÕES!B408&lt;&gt;"",NEGOCIAÇÕES!O408=""),NEGOCIAÇÕES!N408,"")</f>
        <v/>
      </c>
    </row>
    <row r="409" spans="2:5" ht="31.95" hidden="1" customHeight="1" x14ac:dyDescent="0.3">
      <c r="B409" s="6" t="str">
        <f ca="1">IF(AND(NEGOCIAÇÕES!O409="",NEGOCIAÇÕES!N409&gt;TODAY()),NEGOCIAÇÕES!C409,"")</f>
        <v/>
      </c>
      <c r="C409" s="6" t="str">
        <f ca="1">IF(AND(NEGOCIAÇÕES!O409="",NEGOCIAÇÕES!N409&gt;TODAY()),NEGOCIAÇÕES!E409,"")</f>
        <v/>
      </c>
      <c r="D409" s="6" t="str">
        <f ca="1">IF(AND(NEGOCIAÇÕES!O409="",NEGOCIAÇÕES!N409&gt;TODAY()),NEGOCIAÇÕES!D409,"")</f>
        <v/>
      </c>
      <c r="E409" s="9" t="str">
        <f>IF(AND(NEGOCIAÇÕES!B409&lt;&gt;"",NEGOCIAÇÕES!O409=""),NEGOCIAÇÕES!N409,"")</f>
        <v/>
      </c>
    </row>
    <row r="410" spans="2:5" ht="31.95" hidden="1" customHeight="1" x14ac:dyDescent="0.3">
      <c r="B410" s="6" t="str">
        <f ca="1">IF(AND(NEGOCIAÇÕES!O410="",NEGOCIAÇÕES!N410&gt;TODAY()),NEGOCIAÇÕES!C410,"")</f>
        <v/>
      </c>
      <c r="C410" s="6" t="str">
        <f ca="1">IF(AND(NEGOCIAÇÕES!O410="",NEGOCIAÇÕES!N410&gt;TODAY()),NEGOCIAÇÕES!E410,"")</f>
        <v/>
      </c>
      <c r="D410" s="6" t="str">
        <f ca="1">IF(AND(NEGOCIAÇÕES!O410="",NEGOCIAÇÕES!N410&gt;TODAY()),NEGOCIAÇÕES!D410,"")</f>
        <v/>
      </c>
      <c r="E410" s="9" t="str">
        <f>IF(AND(NEGOCIAÇÕES!B410&lt;&gt;"",NEGOCIAÇÕES!O410=""),NEGOCIAÇÕES!N410,"")</f>
        <v/>
      </c>
    </row>
    <row r="411" spans="2:5" ht="31.95" hidden="1" customHeight="1" x14ac:dyDescent="0.3">
      <c r="B411" s="6" t="str">
        <f ca="1">IF(AND(NEGOCIAÇÕES!O411="",NEGOCIAÇÕES!N411&gt;TODAY()),NEGOCIAÇÕES!C411,"")</f>
        <v/>
      </c>
      <c r="C411" s="6" t="str">
        <f ca="1">IF(AND(NEGOCIAÇÕES!O411="",NEGOCIAÇÕES!N411&gt;TODAY()),NEGOCIAÇÕES!E411,"")</f>
        <v/>
      </c>
      <c r="D411" s="6" t="str">
        <f ca="1">IF(AND(NEGOCIAÇÕES!O411="",NEGOCIAÇÕES!N411&gt;TODAY()),NEGOCIAÇÕES!D411,"")</f>
        <v/>
      </c>
      <c r="E411" s="9" t="str">
        <f>IF(AND(NEGOCIAÇÕES!B411&lt;&gt;"",NEGOCIAÇÕES!O411=""),NEGOCIAÇÕES!N411,"")</f>
        <v/>
      </c>
    </row>
    <row r="412" spans="2:5" ht="31.95" hidden="1" customHeight="1" x14ac:dyDescent="0.3">
      <c r="B412" s="6" t="str">
        <f ca="1">IF(AND(NEGOCIAÇÕES!O412="",NEGOCIAÇÕES!N412&gt;TODAY()),NEGOCIAÇÕES!C412,"")</f>
        <v/>
      </c>
      <c r="C412" s="6" t="str">
        <f ca="1">IF(AND(NEGOCIAÇÕES!O412="",NEGOCIAÇÕES!N412&gt;TODAY()),NEGOCIAÇÕES!E412,"")</f>
        <v/>
      </c>
      <c r="D412" s="6" t="str">
        <f ca="1">IF(AND(NEGOCIAÇÕES!O412="",NEGOCIAÇÕES!N412&gt;TODAY()),NEGOCIAÇÕES!D412,"")</f>
        <v/>
      </c>
      <c r="E412" s="9" t="str">
        <f>IF(AND(NEGOCIAÇÕES!B412&lt;&gt;"",NEGOCIAÇÕES!O412=""),NEGOCIAÇÕES!N412,"")</f>
        <v/>
      </c>
    </row>
    <row r="413" spans="2:5" ht="31.95" hidden="1" customHeight="1" x14ac:dyDescent="0.3">
      <c r="B413" s="6" t="str">
        <f ca="1">IF(AND(NEGOCIAÇÕES!O413="",NEGOCIAÇÕES!N413&gt;TODAY()),NEGOCIAÇÕES!C413,"")</f>
        <v/>
      </c>
      <c r="C413" s="6" t="str">
        <f ca="1">IF(AND(NEGOCIAÇÕES!O413="",NEGOCIAÇÕES!N413&gt;TODAY()),NEGOCIAÇÕES!E413,"")</f>
        <v/>
      </c>
      <c r="D413" s="6" t="str">
        <f ca="1">IF(AND(NEGOCIAÇÕES!O413="",NEGOCIAÇÕES!N413&gt;TODAY()),NEGOCIAÇÕES!D413,"")</f>
        <v/>
      </c>
      <c r="E413" s="9" t="str">
        <f>IF(AND(NEGOCIAÇÕES!B413&lt;&gt;"",NEGOCIAÇÕES!O413=""),NEGOCIAÇÕES!N413,"")</f>
        <v/>
      </c>
    </row>
    <row r="414" spans="2:5" ht="31.95" hidden="1" customHeight="1" x14ac:dyDescent="0.3">
      <c r="B414" s="6" t="str">
        <f ca="1">IF(AND(NEGOCIAÇÕES!O414="",NEGOCIAÇÕES!N414&gt;TODAY()),NEGOCIAÇÕES!C414,"")</f>
        <v/>
      </c>
      <c r="C414" s="6" t="str">
        <f ca="1">IF(AND(NEGOCIAÇÕES!O414="",NEGOCIAÇÕES!N414&gt;TODAY()),NEGOCIAÇÕES!E414,"")</f>
        <v/>
      </c>
      <c r="D414" s="6" t="str">
        <f ca="1">IF(AND(NEGOCIAÇÕES!O414="",NEGOCIAÇÕES!N414&gt;TODAY()),NEGOCIAÇÕES!D414,"")</f>
        <v/>
      </c>
      <c r="E414" s="9" t="str">
        <f>IF(AND(NEGOCIAÇÕES!B414&lt;&gt;"",NEGOCIAÇÕES!O414=""),NEGOCIAÇÕES!N414,"")</f>
        <v/>
      </c>
    </row>
    <row r="415" spans="2:5" ht="31.95" hidden="1" customHeight="1" x14ac:dyDescent="0.3">
      <c r="B415" s="6" t="str">
        <f ca="1">IF(AND(NEGOCIAÇÕES!O415="",NEGOCIAÇÕES!N415&gt;TODAY()),NEGOCIAÇÕES!C415,"")</f>
        <v/>
      </c>
      <c r="C415" s="6" t="str">
        <f ca="1">IF(AND(NEGOCIAÇÕES!O415="",NEGOCIAÇÕES!N415&gt;TODAY()),NEGOCIAÇÕES!E415,"")</f>
        <v/>
      </c>
      <c r="D415" s="6" t="str">
        <f ca="1">IF(AND(NEGOCIAÇÕES!O415="",NEGOCIAÇÕES!N415&gt;TODAY()),NEGOCIAÇÕES!D415,"")</f>
        <v/>
      </c>
      <c r="E415" s="9" t="str">
        <f>IF(AND(NEGOCIAÇÕES!B415&lt;&gt;"",NEGOCIAÇÕES!O415=""),NEGOCIAÇÕES!N415,"")</f>
        <v/>
      </c>
    </row>
    <row r="416" spans="2:5" ht="31.95" hidden="1" customHeight="1" x14ac:dyDescent="0.3">
      <c r="B416" s="6" t="str">
        <f ca="1">IF(AND(NEGOCIAÇÕES!O416="",NEGOCIAÇÕES!N416&gt;TODAY()),NEGOCIAÇÕES!C416,"")</f>
        <v/>
      </c>
      <c r="C416" s="6" t="str">
        <f ca="1">IF(AND(NEGOCIAÇÕES!O416="",NEGOCIAÇÕES!N416&gt;TODAY()),NEGOCIAÇÕES!E416,"")</f>
        <v/>
      </c>
      <c r="D416" s="6" t="str">
        <f ca="1">IF(AND(NEGOCIAÇÕES!O416="",NEGOCIAÇÕES!N416&gt;TODAY()),NEGOCIAÇÕES!D416,"")</f>
        <v/>
      </c>
      <c r="E416" s="9" t="str">
        <f>IF(AND(NEGOCIAÇÕES!B416&lt;&gt;"",NEGOCIAÇÕES!O416=""),NEGOCIAÇÕES!N416,"")</f>
        <v/>
      </c>
    </row>
    <row r="417" spans="2:5" ht="31.95" hidden="1" customHeight="1" x14ac:dyDescent="0.3">
      <c r="B417" s="6" t="str">
        <f ca="1">IF(AND(NEGOCIAÇÕES!O417="",NEGOCIAÇÕES!N417&gt;TODAY()),NEGOCIAÇÕES!C417,"")</f>
        <v/>
      </c>
      <c r="C417" s="6" t="str">
        <f ca="1">IF(AND(NEGOCIAÇÕES!O417="",NEGOCIAÇÕES!N417&gt;TODAY()),NEGOCIAÇÕES!E417,"")</f>
        <v/>
      </c>
      <c r="D417" s="6" t="str">
        <f ca="1">IF(AND(NEGOCIAÇÕES!O417="",NEGOCIAÇÕES!N417&gt;TODAY()),NEGOCIAÇÕES!D417,"")</f>
        <v/>
      </c>
      <c r="E417" s="9" t="str">
        <f>IF(AND(NEGOCIAÇÕES!B417&lt;&gt;"",NEGOCIAÇÕES!O417=""),NEGOCIAÇÕES!N417,"")</f>
        <v/>
      </c>
    </row>
    <row r="418" spans="2:5" ht="31.95" hidden="1" customHeight="1" x14ac:dyDescent="0.3">
      <c r="B418" s="6" t="str">
        <f ca="1">IF(AND(NEGOCIAÇÕES!O418="",NEGOCIAÇÕES!N418&gt;TODAY()),NEGOCIAÇÕES!C418,"")</f>
        <v/>
      </c>
      <c r="C418" s="6" t="str">
        <f ca="1">IF(AND(NEGOCIAÇÕES!O418="",NEGOCIAÇÕES!N418&gt;TODAY()),NEGOCIAÇÕES!E418,"")</f>
        <v/>
      </c>
      <c r="D418" s="6" t="str">
        <f ca="1">IF(AND(NEGOCIAÇÕES!O418="",NEGOCIAÇÕES!N418&gt;TODAY()),NEGOCIAÇÕES!D418,"")</f>
        <v/>
      </c>
      <c r="E418" s="9" t="str">
        <f>IF(AND(NEGOCIAÇÕES!B418&lt;&gt;"",NEGOCIAÇÕES!O418=""),NEGOCIAÇÕES!N418,"")</f>
        <v/>
      </c>
    </row>
    <row r="419" spans="2:5" ht="31.95" hidden="1" customHeight="1" x14ac:dyDescent="0.3">
      <c r="B419" s="6" t="str">
        <f ca="1">IF(AND(NEGOCIAÇÕES!O419="",NEGOCIAÇÕES!N419&gt;TODAY()),NEGOCIAÇÕES!C419,"")</f>
        <v/>
      </c>
      <c r="C419" s="6" t="str">
        <f ca="1">IF(AND(NEGOCIAÇÕES!O419="",NEGOCIAÇÕES!N419&gt;TODAY()),NEGOCIAÇÕES!E419,"")</f>
        <v/>
      </c>
      <c r="D419" s="6" t="str">
        <f ca="1">IF(AND(NEGOCIAÇÕES!O419="",NEGOCIAÇÕES!N419&gt;TODAY()),NEGOCIAÇÕES!D419,"")</f>
        <v/>
      </c>
      <c r="E419" s="9" t="str">
        <f>IF(AND(NEGOCIAÇÕES!B419&lt;&gt;"",NEGOCIAÇÕES!O419=""),NEGOCIAÇÕES!N419,"")</f>
        <v/>
      </c>
    </row>
    <row r="420" spans="2:5" ht="31.95" hidden="1" customHeight="1" x14ac:dyDescent="0.3">
      <c r="B420" s="6" t="str">
        <f ca="1">IF(AND(NEGOCIAÇÕES!O420="",NEGOCIAÇÕES!N420&gt;TODAY()),NEGOCIAÇÕES!C420,"")</f>
        <v/>
      </c>
      <c r="C420" s="6" t="str">
        <f ca="1">IF(AND(NEGOCIAÇÕES!O420="",NEGOCIAÇÕES!N420&gt;TODAY()),NEGOCIAÇÕES!E420,"")</f>
        <v/>
      </c>
      <c r="D420" s="6" t="str">
        <f ca="1">IF(AND(NEGOCIAÇÕES!O420="",NEGOCIAÇÕES!N420&gt;TODAY()),NEGOCIAÇÕES!D420,"")</f>
        <v/>
      </c>
      <c r="E420" s="9" t="str">
        <f>IF(AND(NEGOCIAÇÕES!B420&lt;&gt;"",NEGOCIAÇÕES!O420=""),NEGOCIAÇÕES!N420,"")</f>
        <v/>
      </c>
    </row>
    <row r="421" spans="2:5" ht="31.95" hidden="1" customHeight="1" x14ac:dyDescent="0.3">
      <c r="B421" s="6" t="str">
        <f ca="1">IF(AND(NEGOCIAÇÕES!O421="",NEGOCIAÇÕES!N421&gt;TODAY()),NEGOCIAÇÕES!C421,"")</f>
        <v/>
      </c>
      <c r="C421" s="6" t="str">
        <f ca="1">IF(AND(NEGOCIAÇÕES!O421="",NEGOCIAÇÕES!N421&gt;TODAY()),NEGOCIAÇÕES!E421,"")</f>
        <v/>
      </c>
      <c r="D421" s="6" t="str">
        <f ca="1">IF(AND(NEGOCIAÇÕES!O421="",NEGOCIAÇÕES!N421&gt;TODAY()),NEGOCIAÇÕES!D421,"")</f>
        <v/>
      </c>
      <c r="E421" s="9" t="str">
        <f>IF(AND(NEGOCIAÇÕES!B421&lt;&gt;"",NEGOCIAÇÕES!O421=""),NEGOCIAÇÕES!N421,"")</f>
        <v/>
      </c>
    </row>
    <row r="422" spans="2:5" ht="31.95" hidden="1" customHeight="1" x14ac:dyDescent="0.3">
      <c r="B422" s="6" t="str">
        <f ca="1">IF(AND(NEGOCIAÇÕES!O422="",NEGOCIAÇÕES!N422&gt;TODAY()),NEGOCIAÇÕES!C422,"")</f>
        <v/>
      </c>
      <c r="C422" s="6" t="str">
        <f ca="1">IF(AND(NEGOCIAÇÕES!O422="",NEGOCIAÇÕES!N422&gt;TODAY()),NEGOCIAÇÕES!E422,"")</f>
        <v/>
      </c>
      <c r="D422" s="6" t="str">
        <f ca="1">IF(AND(NEGOCIAÇÕES!O422="",NEGOCIAÇÕES!N422&gt;TODAY()),NEGOCIAÇÕES!D422,"")</f>
        <v/>
      </c>
      <c r="E422" s="9" t="str">
        <f>IF(AND(NEGOCIAÇÕES!B422&lt;&gt;"",NEGOCIAÇÕES!O422=""),NEGOCIAÇÕES!N422,"")</f>
        <v/>
      </c>
    </row>
    <row r="423" spans="2:5" ht="31.95" hidden="1" customHeight="1" x14ac:dyDescent="0.3">
      <c r="B423" s="6" t="str">
        <f ca="1">IF(AND(NEGOCIAÇÕES!O423="",NEGOCIAÇÕES!N423&gt;TODAY()),NEGOCIAÇÕES!C423,"")</f>
        <v/>
      </c>
      <c r="C423" s="6" t="str">
        <f ca="1">IF(AND(NEGOCIAÇÕES!O423="",NEGOCIAÇÕES!N423&gt;TODAY()),NEGOCIAÇÕES!E423,"")</f>
        <v/>
      </c>
      <c r="D423" s="6" t="str">
        <f ca="1">IF(AND(NEGOCIAÇÕES!O423="",NEGOCIAÇÕES!N423&gt;TODAY()),NEGOCIAÇÕES!D423,"")</f>
        <v/>
      </c>
      <c r="E423" s="9" t="str">
        <f>IF(AND(NEGOCIAÇÕES!B423&lt;&gt;"",NEGOCIAÇÕES!O423=""),NEGOCIAÇÕES!N423,"")</f>
        <v/>
      </c>
    </row>
    <row r="424" spans="2:5" ht="31.95" hidden="1" customHeight="1" x14ac:dyDescent="0.3">
      <c r="B424" s="6" t="str">
        <f ca="1">IF(AND(NEGOCIAÇÕES!O424="",NEGOCIAÇÕES!N424&gt;TODAY()),NEGOCIAÇÕES!C424,"")</f>
        <v/>
      </c>
      <c r="C424" s="6" t="str">
        <f ca="1">IF(AND(NEGOCIAÇÕES!O424="",NEGOCIAÇÕES!N424&gt;TODAY()),NEGOCIAÇÕES!E424,"")</f>
        <v/>
      </c>
      <c r="D424" s="6" t="str">
        <f ca="1">IF(AND(NEGOCIAÇÕES!O424="",NEGOCIAÇÕES!N424&gt;TODAY()),NEGOCIAÇÕES!D424,"")</f>
        <v/>
      </c>
      <c r="E424" s="9" t="str">
        <f>IF(AND(NEGOCIAÇÕES!B424&lt;&gt;"",NEGOCIAÇÕES!O424=""),NEGOCIAÇÕES!N424,"")</f>
        <v/>
      </c>
    </row>
    <row r="425" spans="2:5" ht="31.95" hidden="1" customHeight="1" x14ac:dyDescent="0.3">
      <c r="B425" s="6" t="str">
        <f ca="1">IF(AND(NEGOCIAÇÕES!O425="",NEGOCIAÇÕES!N425&gt;TODAY()),NEGOCIAÇÕES!C425,"")</f>
        <v/>
      </c>
      <c r="C425" s="6" t="str">
        <f ca="1">IF(AND(NEGOCIAÇÕES!O425="",NEGOCIAÇÕES!N425&gt;TODAY()),NEGOCIAÇÕES!E425,"")</f>
        <v/>
      </c>
      <c r="D425" s="6" t="str">
        <f ca="1">IF(AND(NEGOCIAÇÕES!O425="",NEGOCIAÇÕES!N425&gt;TODAY()),NEGOCIAÇÕES!D425,"")</f>
        <v/>
      </c>
      <c r="E425" s="9" t="str">
        <f>IF(AND(NEGOCIAÇÕES!B425&lt;&gt;"",NEGOCIAÇÕES!O425=""),NEGOCIAÇÕES!N425,"")</f>
        <v/>
      </c>
    </row>
    <row r="426" spans="2:5" ht="31.95" hidden="1" customHeight="1" x14ac:dyDescent="0.3">
      <c r="B426" s="6" t="str">
        <f ca="1">IF(AND(NEGOCIAÇÕES!O426="",NEGOCIAÇÕES!N426&gt;TODAY()),NEGOCIAÇÕES!C426,"")</f>
        <v/>
      </c>
      <c r="C426" s="6" t="str">
        <f ca="1">IF(AND(NEGOCIAÇÕES!O426="",NEGOCIAÇÕES!N426&gt;TODAY()),NEGOCIAÇÕES!E426,"")</f>
        <v/>
      </c>
      <c r="D426" s="6" t="str">
        <f ca="1">IF(AND(NEGOCIAÇÕES!O426="",NEGOCIAÇÕES!N426&gt;TODAY()),NEGOCIAÇÕES!D426,"")</f>
        <v/>
      </c>
      <c r="E426" s="9" t="str">
        <f>IF(AND(NEGOCIAÇÕES!B426&lt;&gt;"",NEGOCIAÇÕES!O426=""),NEGOCIAÇÕES!N426,"")</f>
        <v/>
      </c>
    </row>
    <row r="427" spans="2:5" ht="31.95" hidden="1" customHeight="1" x14ac:dyDescent="0.3">
      <c r="B427" s="6" t="str">
        <f ca="1">IF(AND(NEGOCIAÇÕES!O427="",NEGOCIAÇÕES!N427&gt;TODAY()),NEGOCIAÇÕES!C427,"")</f>
        <v/>
      </c>
      <c r="C427" s="6" t="str">
        <f ca="1">IF(AND(NEGOCIAÇÕES!O427="",NEGOCIAÇÕES!N427&gt;TODAY()),NEGOCIAÇÕES!E427,"")</f>
        <v/>
      </c>
      <c r="D427" s="6" t="str">
        <f ca="1">IF(AND(NEGOCIAÇÕES!O427="",NEGOCIAÇÕES!N427&gt;TODAY()),NEGOCIAÇÕES!D427,"")</f>
        <v/>
      </c>
      <c r="E427" s="9" t="str">
        <f>IF(AND(NEGOCIAÇÕES!B427&lt;&gt;"",NEGOCIAÇÕES!O427=""),NEGOCIAÇÕES!N427,"")</f>
        <v/>
      </c>
    </row>
    <row r="428" spans="2:5" ht="31.95" hidden="1" customHeight="1" x14ac:dyDescent="0.3">
      <c r="B428" s="6" t="str">
        <f ca="1">IF(AND(NEGOCIAÇÕES!O428="",NEGOCIAÇÕES!N428&gt;TODAY()),NEGOCIAÇÕES!C428,"")</f>
        <v/>
      </c>
      <c r="C428" s="6" t="str">
        <f ca="1">IF(AND(NEGOCIAÇÕES!O428="",NEGOCIAÇÕES!N428&gt;TODAY()),NEGOCIAÇÕES!E428,"")</f>
        <v/>
      </c>
      <c r="D428" s="6" t="str">
        <f ca="1">IF(AND(NEGOCIAÇÕES!O428="",NEGOCIAÇÕES!N428&gt;TODAY()),NEGOCIAÇÕES!D428,"")</f>
        <v/>
      </c>
      <c r="E428" s="9" t="str">
        <f>IF(AND(NEGOCIAÇÕES!B428&lt;&gt;"",NEGOCIAÇÕES!O428=""),NEGOCIAÇÕES!N428,"")</f>
        <v/>
      </c>
    </row>
    <row r="429" spans="2:5" ht="31.95" hidden="1" customHeight="1" x14ac:dyDescent="0.3">
      <c r="B429" s="6" t="str">
        <f ca="1">IF(AND(NEGOCIAÇÕES!O429="",NEGOCIAÇÕES!N429&gt;TODAY()),NEGOCIAÇÕES!C429,"")</f>
        <v/>
      </c>
      <c r="C429" s="6" t="str">
        <f ca="1">IF(AND(NEGOCIAÇÕES!O429="",NEGOCIAÇÕES!N429&gt;TODAY()),NEGOCIAÇÕES!E429,"")</f>
        <v/>
      </c>
      <c r="D429" s="6" t="str">
        <f ca="1">IF(AND(NEGOCIAÇÕES!O429="",NEGOCIAÇÕES!N429&gt;TODAY()),NEGOCIAÇÕES!D429,"")</f>
        <v/>
      </c>
      <c r="E429" s="9" t="str">
        <f>IF(AND(NEGOCIAÇÕES!B429&lt;&gt;"",NEGOCIAÇÕES!O429=""),NEGOCIAÇÕES!N429,"")</f>
        <v/>
      </c>
    </row>
    <row r="430" spans="2:5" ht="31.95" hidden="1" customHeight="1" x14ac:dyDescent="0.3">
      <c r="B430" s="6" t="str">
        <f ca="1">IF(AND(NEGOCIAÇÕES!O430="",NEGOCIAÇÕES!N430&gt;TODAY()),NEGOCIAÇÕES!C430,"")</f>
        <v/>
      </c>
      <c r="C430" s="6" t="str">
        <f ca="1">IF(AND(NEGOCIAÇÕES!O430="",NEGOCIAÇÕES!N430&gt;TODAY()),NEGOCIAÇÕES!E430,"")</f>
        <v/>
      </c>
      <c r="D430" s="6" t="str">
        <f ca="1">IF(AND(NEGOCIAÇÕES!O430="",NEGOCIAÇÕES!N430&gt;TODAY()),NEGOCIAÇÕES!D430,"")</f>
        <v/>
      </c>
      <c r="E430" s="9" t="str">
        <f>IF(AND(NEGOCIAÇÕES!B430&lt;&gt;"",NEGOCIAÇÕES!O430=""),NEGOCIAÇÕES!N430,"")</f>
        <v/>
      </c>
    </row>
    <row r="431" spans="2:5" ht="31.95" hidden="1" customHeight="1" x14ac:dyDescent="0.3">
      <c r="B431" s="6" t="str">
        <f ca="1">IF(AND(NEGOCIAÇÕES!O431="",NEGOCIAÇÕES!N431&gt;TODAY()),NEGOCIAÇÕES!C431,"")</f>
        <v/>
      </c>
      <c r="C431" s="6" t="str">
        <f ca="1">IF(AND(NEGOCIAÇÕES!O431="",NEGOCIAÇÕES!N431&gt;TODAY()),NEGOCIAÇÕES!E431,"")</f>
        <v/>
      </c>
      <c r="D431" s="6" t="str">
        <f ca="1">IF(AND(NEGOCIAÇÕES!O431="",NEGOCIAÇÕES!N431&gt;TODAY()),NEGOCIAÇÕES!D431,"")</f>
        <v/>
      </c>
      <c r="E431" s="9" t="str">
        <f>IF(AND(NEGOCIAÇÕES!B431&lt;&gt;"",NEGOCIAÇÕES!O431=""),NEGOCIAÇÕES!N431,"")</f>
        <v/>
      </c>
    </row>
    <row r="432" spans="2:5" ht="31.95" hidden="1" customHeight="1" x14ac:dyDescent="0.3">
      <c r="B432" s="6" t="str">
        <f ca="1">IF(AND(NEGOCIAÇÕES!O432="",NEGOCIAÇÕES!N432&gt;TODAY()),NEGOCIAÇÕES!C432,"")</f>
        <v/>
      </c>
      <c r="C432" s="6" t="str">
        <f ca="1">IF(AND(NEGOCIAÇÕES!O432="",NEGOCIAÇÕES!N432&gt;TODAY()),NEGOCIAÇÕES!E432,"")</f>
        <v/>
      </c>
      <c r="D432" s="6" t="str">
        <f ca="1">IF(AND(NEGOCIAÇÕES!O432="",NEGOCIAÇÕES!N432&gt;TODAY()),NEGOCIAÇÕES!D432,"")</f>
        <v/>
      </c>
      <c r="E432" s="9" t="str">
        <f>IF(AND(NEGOCIAÇÕES!B432&lt;&gt;"",NEGOCIAÇÕES!O432=""),NEGOCIAÇÕES!N432,"")</f>
        <v/>
      </c>
    </row>
    <row r="433" spans="2:5" ht="31.95" hidden="1" customHeight="1" x14ac:dyDescent="0.3">
      <c r="B433" s="6" t="str">
        <f ca="1">IF(AND(NEGOCIAÇÕES!O433="",NEGOCIAÇÕES!N433&gt;TODAY()),NEGOCIAÇÕES!C433,"")</f>
        <v/>
      </c>
      <c r="C433" s="6" t="str">
        <f ca="1">IF(AND(NEGOCIAÇÕES!O433="",NEGOCIAÇÕES!N433&gt;TODAY()),NEGOCIAÇÕES!E433,"")</f>
        <v/>
      </c>
      <c r="D433" s="6" t="str">
        <f ca="1">IF(AND(NEGOCIAÇÕES!O433="",NEGOCIAÇÕES!N433&gt;TODAY()),NEGOCIAÇÕES!D433,"")</f>
        <v/>
      </c>
      <c r="E433" s="9" t="str">
        <f>IF(AND(NEGOCIAÇÕES!B433&lt;&gt;"",NEGOCIAÇÕES!O433=""),NEGOCIAÇÕES!N433,"")</f>
        <v/>
      </c>
    </row>
    <row r="434" spans="2:5" ht="31.95" hidden="1" customHeight="1" x14ac:dyDescent="0.3">
      <c r="B434" s="6" t="str">
        <f ca="1">IF(AND(NEGOCIAÇÕES!O434="",NEGOCIAÇÕES!N434&gt;TODAY()),NEGOCIAÇÕES!C434,"")</f>
        <v/>
      </c>
      <c r="C434" s="6" t="str">
        <f ca="1">IF(AND(NEGOCIAÇÕES!O434="",NEGOCIAÇÕES!N434&gt;TODAY()),NEGOCIAÇÕES!E434,"")</f>
        <v/>
      </c>
      <c r="D434" s="6" t="str">
        <f ca="1">IF(AND(NEGOCIAÇÕES!O434="",NEGOCIAÇÕES!N434&gt;TODAY()),NEGOCIAÇÕES!D434,"")</f>
        <v/>
      </c>
      <c r="E434" s="9" t="str">
        <f>IF(AND(NEGOCIAÇÕES!B434&lt;&gt;"",NEGOCIAÇÕES!O434=""),NEGOCIAÇÕES!N434,"")</f>
        <v/>
      </c>
    </row>
    <row r="435" spans="2:5" ht="31.95" hidden="1" customHeight="1" x14ac:dyDescent="0.3">
      <c r="B435" s="6" t="str">
        <f ca="1">IF(AND(NEGOCIAÇÕES!O435="",NEGOCIAÇÕES!N435&gt;TODAY()),NEGOCIAÇÕES!C435,"")</f>
        <v/>
      </c>
      <c r="C435" s="6" t="str">
        <f ca="1">IF(AND(NEGOCIAÇÕES!O435="",NEGOCIAÇÕES!N435&gt;TODAY()),NEGOCIAÇÕES!E435,"")</f>
        <v/>
      </c>
      <c r="D435" s="6" t="str">
        <f ca="1">IF(AND(NEGOCIAÇÕES!O435="",NEGOCIAÇÕES!N435&gt;TODAY()),NEGOCIAÇÕES!D435,"")</f>
        <v/>
      </c>
      <c r="E435" s="9" t="str">
        <f>IF(AND(NEGOCIAÇÕES!B435&lt;&gt;"",NEGOCIAÇÕES!O435=""),NEGOCIAÇÕES!N435,"")</f>
        <v/>
      </c>
    </row>
    <row r="436" spans="2:5" ht="31.95" hidden="1" customHeight="1" x14ac:dyDescent="0.3">
      <c r="B436" s="6" t="str">
        <f ca="1">IF(AND(NEGOCIAÇÕES!O436="",NEGOCIAÇÕES!N436&gt;TODAY()),NEGOCIAÇÕES!C436,"")</f>
        <v/>
      </c>
      <c r="C436" s="6" t="str">
        <f ca="1">IF(AND(NEGOCIAÇÕES!O436="",NEGOCIAÇÕES!N436&gt;TODAY()),NEGOCIAÇÕES!E436,"")</f>
        <v/>
      </c>
      <c r="D436" s="6" t="str">
        <f ca="1">IF(AND(NEGOCIAÇÕES!O436="",NEGOCIAÇÕES!N436&gt;TODAY()),NEGOCIAÇÕES!D436,"")</f>
        <v/>
      </c>
      <c r="E436" s="9" t="str">
        <f>IF(AND(NEGOCIAÇÕES!B436&lt;&gt;"",NEGOCIAÇÕES!O436=""),NEGOCIAÇÕES!N436,"")</f>
        <v/>
      </c>
    </row>
    <row r="437" spans="2:5" ht="31.95" hidden="1" customHeight="1" x14ac:dyDescent="0.3">
      <c r="B437" s="6" t="str">
        <f ca="1">IF(AND(NEGOCIAÇÕES!O437="",NEGOCIAÇÕES!N437&gt;TODAY()),NEGOCIAÇÕES!C437,"")</f>
        <v/>
      </c>
      <c r="C437" s="6" t="str">
        <f ca="1">IF(AND(NEGOCIAÇÕES!O437="",NEGOCIAÇÕES!N437&gt;TODAY()),NEGOCIAÇÕES!E437,"")</f>
        <v/>
      </c>
      <c r="D437" s="6" t="str">
        <f ca="1">IF(AND(NEGOCIAÇÕES!O437="",NEGOCIAÇÕES!N437&gt;TODAY()),NEGOCIAÇÕES!D437,"")</f>
        <v/>
      </c>
      <c r="E437" s="9" t="str">
        <f>IF(AND(NEGOCIAÇÕES!B437&lt;&gt;"",NEGOCIAÇÕES!O437=""),NEGOCIAÇÕES!N437,"")</f>
        <v/>
      </c>
    </row>
    <row r="438" spans="2:5" ht="31.95" hidden="1" customHeight="1" x14ac:dyDescent="0.3">
      <c r="B438" s="6" t="str">
        <f ca="1">IF(AND(NEGOCIAÇÕES!O438="",NEGOCIAÇÕES!N438&gt;TODAY()),NEGOCIAÇÕES!C438,"")</f>
        <v/>
      </c>
      <c r="C438" s="6" t="str">
        <f ca="1">IF(AND(NEGOCIAÇÕES!O438="",NEGOCIAÇÕES!N438&gt;TODAY()),NEGOCIAÇÕES!E438,"")</f>
        <v/>
      </c>
      <c r="D438" s="6" t="str">
        <f ca="1">IF(AND(NEGOCIAÇÕES!O438="",NEGOCIAÇÕES!N438&gt;TODAY()),NEGOCIAÇÕES!D438,"")</f>
        <v/>
      </c>
      <c r="E438" s="9" t="str">
        <f>IF(AND(NEGOCIAÇÕES!B438&lt;&gt;"",NEGOCIAÇÕES!O438=""),NEGOCIAÇÕES!N438,"")</f>
        <v/>
      </c>
    </row>
    <row r="439" spans="2:5" ht="31.95" hidden="1" customHeight="1" x14ac:dyDescent="0.3">
      <c r="B439" s="6" t="str">
        <f ca="1">IF(AND(NEGOCIAÇÕES!O439="",NEGOCIAÇÕES!N439&gt;TODAY()),NEGOCIAÇÕES!C439,"")</f>
        <v/>
      </c>
      <c r="C439" s="6" t="str">
        <f ca="1">IF(AND(NEGOCIAÇÕES!O439="",NEGOCIAÇÕES!N439&gt;TODAY()),NEGOCIAÇÕES!E439,"")</f>
        <v/>
      </c>
      <c r="D439" s="6" t="str">
        <f ca="1">IF(AND(NEGOCIAÇÕES!O439="",NEGOCIAÇÕES!N439&gt;TODAY()),NEGOCIAÇÕES!D439,"")</f>
        <v/>
      </c>
      <c r="E439" s="9" t="str">
        <f>IF(AND(NEGOCIAÇÕES!B439&lt;&gt;"",NEGOCIAÇÕES!O439=""),NEGOCIAÇÕES!N439,"")</f>
        <v/>
      </c>
    </row>
    <row r="440" spans="2:5" ht="31.95" hidden="1" customHeight="1" x14ac:dyDescent="0.3">
      <c r="B440" s="6" t="str">
        <f ca="1">IF(AND(NEGOCIAÇÕES!O440="",NEGOCIAÇÕES!N440&gt;TODAY()),NEGOCIAÇÕES!C440,"")</f>
        <v/>
      </c>
      <c r="C440" s="6" t="str">
        <f ca="1">IF(AND(NEGOCIAÇÕES!O440="",NEGOCIAÇÕES!N440&gt;TODAY()),NEGOCIAÇÕES!E440,"")</f>
        <v/>
      </c>
      <c r="D440" s="6" t="str">
        <f ca="1">IF(AND(NEGOCIAÇÕES!O440="",NEGOCIAÇÕES!N440&gt;TODAY()),NEGOCIAÇÕES!D440,"")</f>
        <v/>
      </c>
      <c r="E440" s="9" t="str">
        <f>IF(AND(NEGOCIAÇÕES!B440&lt;&gt;"",NEGOCIAÇÕES!O440=""),NEGOCIAÇÕES!N440,"")</f>
        <v/>
      </c>
    </row>
    <row r="441" spans="2:5" ht="31.95" hidden="1" customHeight="1" x14ac:dyDescent="0.3">
      <c r="B441" s="6" t="str">
        <f ca="1">IF(AND(NEGOCIAÇÕES!O441="",NEGOCIAÇÕES!N441&gt;TODAY()),NEGOCIAÇÕES!C441,"")</f>
        <v/>
      </c>
      <c r="C441" s="6" t="str">
        <f ca="1">IF(AND(NEGOCIAÇÕES!O441="",NEGOCIAÇÕES!N441&gt;TODAY()),NEGOCIAÇÕES!E441,"")</f>
        <v/>
      </c>
      <c r="D441" s="6" t="str">
        <f ca="1">IF(AND(NEGOCIAÇÕES!O441="",NEGOCIAÇÕES!N441&gt;TODAY()),NEGOCIAÇÕES!D441,"")</f>
        <v/>
      </c>
      <c r="E441" s="9" t="str">
        <f>IF(AND(NEGOCIAÇÕES!B441&lt;&gt;"",NEGOCIAÇÕES!O441=""),NEGOCIAÇÕES!N441,"")</f>
        <v/>
      </c>
    </row>
    <row r="442" spans="2:5" ht="31.95" hidden="1" customHeight="1" x14ac:dyDescent="0.3">
      <c r="B442" s="6" t="str">
        <f ca="1">IF(AND(NEGOCIAÇÕES!O442="",NEGOCIAÇÕES!N442&gt;TODAY()),NEGOCIAÇÕES!C442,"")</f>
        <v/>
      </c>
      <c r="C442" s="6" t="str">
        <f ca="1">IF(AND(NEGOCIAÇÕES!O442="",NEGOCIAÇÕES!N442&gt;TODAY()),NEGOCIAÇÕES!E442,"")</f>
        <v/>
      </c>
      <c r="D442" s="6" t="str">
        <f ca="1">IF(AND(NEGOCIAÇÕES!O442="",NEGOCIAÇÕES!N442&gt;TODAY()),NEGOCIAÇÕES!D442,"")</f>
        <v/>
      </c>
      <c r="E442" s="9" t="str">
        <f>IF(AND(NEGOCIAÇÕES!B442&lt;&gt;"",NEGOCIAÇÕES!O442=""),NEGOCIAÇÕES!N442,"")</f>
        <v/>
      </c>
    </row>
    <row r="443" spans="2:5" ht="31.95" hidden="1" customHeight="1" x14ac:dyDescent="0.3">
      <c r="B443" s="6" t="str">
        <f ca="1">IF(AND(NEGOCIAÇÕES!O443="",NEGOCIAÇÕES!N443&gt;TODAY()),NEGOCIAÇÕES!C443,"")</f>
        <v/>
      </c>
      <c r="C443" s="6" t="str">
        <f ca="1">IF(AND(NEGOCIAÇÕES!O443="",NEGOCIAÇÕES!N443&gt;TODAY()),NEGOCIAÇÕES!E443,"")</f>
        <v/>
      </c>
      <c r="D443" s="6" t="str">
        <f ca="1">IF(AND(NEGOCIAÇÕES!O443="",NEGOCIAÇÕES!N443&gt;TODAY()),NEGOCIAÇÕES!D443,"")</f>
        <v/>
      </c>
      <c r="E443" s="9" t="str">
        <f>IF(AND(NEGOCIAÇÕES!B443&lt;&gt;"",NEGOCIAÇÕES!O443=""),NEGOCIAÇÕES!N443,"")</f>
        <v/>
      </c>
    </row>
    <row r="444" spans="2:5" ht="31.95" hidden="1" customHeight="1" x14ac:dyDescent="0.3">
      <c r="B444" s="6" t="str">
        <f ca="1">IF(AND(NEGOCIAÇÕES!O444="",NEGOCIAÇÕES!N444&gt;TODAY()),NEGOCIAÇÕES!C444,"")</f>
        <v/>
      </c>
      <c r="C444" s="6" t="str">
        <f ca="1">IF(AND(NEGOCIAÇÕES!O444="",NEGOCIAÇÕES!N444&gt;TODAY()),NEGOCIAÇÕES!E444,"")</f>
        <v/>
      </c>
      <c r="D444" s="6" t="str">
        <f ca="1">IF(AND(NEGOCIAÇÕES!O444="",NEGOCIAÇÕES!N444&gt;TODAY()),NEGOCIAÇÕES!D444,"")</f>
        <v/>
      </c>
      <c r="E444" s="9" t="str">
        <f>IF(AND(NEGOCIAÇÕES!B444&lt;&gt;"",NEGOCIAÇÕES!O444=""),NEGOCIAÇÕES!N444,"")</f>
        <v/>
      </c>
    </row>
    <row r="445" spans="2:5" ht="31.95" hidden="1" customHeight="1" x14ac:dyDescent="0.3">
      <c r="B445" s="6" t="str">
        <f ca="1">IF(AND(NEGOCIAÇÕES!O445="",NEGOCIAÇÕES!N445&gt;TODAY()),NEGOCIAÇÕES!C445,"")</f>
        <v/>
      </c>
      <c r="C445" s="6" t="str">
        <f ca="1">IF(AND(NEGOCIAÇÕES!O445="",NEGOCIAÇÕES!N445&gt;TODAY()),NEGOCIAÇÕES!E445,"")</f>
        <v/>
      </c>
      <c r="D445" s="6" t="str">
        <f ca="1">IF(AND(NEGOCIAÇÕES!O445="",NEGOCIAÇÕES!N445&gt;TODAY()),NEGOCIAÇÕES!D445,"")</f>
        <v/>
      </c>
      <c r="E445" s="9" t="str">
        <f>IF(AND(NEGOCIAÇÕES!B445&lt;&gt;"",NEGOCIAÇÕES!O445=""),NEGOCIAÇÕES!N445,"")</f>
        <v/>
      </c>
    </row>
    <row r="446" spans="2:5" ht="31.95" hidden="1" customHeight="1" x14ac:dyDescent="0.3">
      <c r="B446" s="6" t="str">
        <f ca="1">IF(AND(NEGOCIAÇÕES!O446="",NEGOCIAÇÕES!N446&gt;TODAY()),NEGOCIAÇÕES!C446,"")</f>
        <v/>
      </c>
      <c r="C446" s="6" t="str">
        <f ca="1">IF(AND(NEGOCIAÇÕES!O446="",NEGOCIAÇÕES!N446&gt;TODAY()),NEGOCIAÇÕES!E446,"")</f>
        <v/>
      </c>
      <c r="D446" s="6" t="str">
        <f ca="1">IF(AND(NEGOCIAÇÕES!O446="",NEGOCIAÇÕES!N446&gt;TODAY()),NEGOCIAÇÕES!D446,"")</f>
        <v/>
      </c>
      <c r="E446" s="9" t="str">
        <f>IF(AND(NEGOCIAÇÕES!B446&lt;&gt;"",NEGOCIAÇÕES!O446=""),NEGOCIAÇÕES!N446,"")</f>
        <v/>
      </c>
    </row>
    <row r="447" spans="2:5" ht="31.95" hidden="1" customHeight="1" x14ac:dyDescent="0.3">
      <c r="B447" s="6" t="str">
        <f ca="1">IF(AND(NEGOCIAÇÕES!O447="",NEGOCIAÇÕES!N447&gt;TODAY()),NEGOCIAÇÕES!C447,"")</f>
        <v/>
      </c>
      <c r="C447" s="6" t="str">
        <f ca="1">IF(AND(NEGOCIAÇÕES!O447="",NEGOCIAÇÕES!N447&gt;TODAY()),NEGOCIAÇÕES!E447,"")</f>
        <v/>
      </c>
      <c r="D447" s="6" t="str">
        <f ca="1">IF(AND(NEGOCIAÇÕES!O447="",NEGOCIAÇÕES!N447&gt;TODAY()),NEGOCIAÇÕES!D447,"")</f>
        <v/>
      </c>
      <c r="E447" s="9" t="str">
        <f>IF(AND(NEGOCIAÇÕES!B447&lt;&gt;"",NEGOCIAÇÕES!O447=""),NEGOCIAÇÕES!N447,"")</f>
        <v/>
      </c>
    </row>
    <row r="448" spans="2:5" ht="31.95" hidden="1" customHeight="1" x14ac:dyDescent="0.3">
      <c r="B448" s="6" t="str">
        <f ca="1">IF(AND(NEGOCIAÇÕES!O448="",NEGOCIAÇÕES!N448&gt;TODAY()),NEGOCIAÇÕES!C448,"")</f>
        <v/>
      </c>
      <c r="C448" s="6" t="str">
        <f ca="1">IF(AND(NEGOCIAÇÕES!O448="",NEGOCIAÇÕES!N448&gt;TODAY()),NEGOCIAÇÕES!E448,"")</f>
        <v/>
      </c>
      <c r="D448" s="6" t="str">
        <f ca="1">IF(AND(NEGOCIAÇÕES!O448="",NEGOCIAÇÕES!N448&gt;TODAY()),NEGOCIAÇÕES!D448,"")</f>
        <v/>
      </c>
      <c r="E448" s="9" t="str">
        <f>IF(AND(NEGOCIAÇÕES!B448&lt;&gt;"",NEGOCIAÇÕES!O448=""),NEGOCIAÇÕES!N448,"")</f>
        <v/>
      </c>
    </row>
    <row r="449" spans="2:5" ht="31.95" hidden="1" customHeight="1" x14ac:dyDescent="0.3">
      <c r="B449" s="6" t="str">
        <f ca="1">IF(AND(NEGOCIAÇÕES!O449="",NEGOCIAÇÕES!N449&gt;TODAY()),NEGOCIAÇÕES!C449,"")</f>
        <v/>
      </c>
      <c r="C449" s="6" t="str">
        <f ca="1">IF(AND(NEGOCIAÇÕES!O449="",NEGOCIAÇÕES!N449&gt;TODAY()),NEGOCIAÇÕES!E449,"")</f>
        <v/>
      </c>
      <c r="D449" s="6" t="str">
        <f ca="1">IF(AND(NEGOCIAÇÕES!O449="",NEGOCIAÇÕES!N449&gt;TODAY()),NEGOCIAÇÕES!D449,"")</f>
        <v/>
      </c>
      <c r="E449" s="9" t="str">
        <f>IF(AND(NEGOCIAÇÕES!B449&lt;&gt;"",NEGOCIAÇÕES!O449=""),NEGOCIAÇÕES!N449,"")</f>
        <v/>
      </c>
    </row>
    <row r="450" spans="2:5" ht="31.95" hidden="1" customHeight="1" x14ac:dyDescent="0.3">
      <c r="B450" s="6" t="str">
        <f ca="1">IF(AND(NEGOCIAÇÕES!O450="",NEGOCIAÇÕES!N450&gt;TODAY()),NEGOCIAÇÕES!C450,"")</f>
        <v/>
      </c>
      <c r="C450" s="6" t="str">
        <f ca="1">IF(AND(NEGOCIAÇÕES!O450="",NEGOCIAÇÕES!N450&gt;TODAY()),NEGOCIAÇÕES!E450,"")</f>
        <v/>
      </c>
      <c r="D450" s="6" t="str">
        <f ca="1">IF(AND(NEGOCIAÇÕES!O450="",NEGOCIAÇÕES!N450&gt;TODAY()),NEGOCIAÇÕES!D450,"")</f>
        <v/>
      </c>
      <c r="E450" s="9" t="str">
        <f>IF(AND(NEGOCIAÇÕES!B450&lt;&gt;"",NEGOCIAÇÕES!O450=""),NEGOCIAÇÕES!N450,"")</f>
        <v/>
      </c>
    </row>
    <row r="451" spans="2:5" ht="31.95" hidden="1" customHeight="1" x14ac:dyDescent="0.3">
      <c r="B451" s="6" t="str">
        <f ca="1">IF(AND(NEGOCIAÇÕES!O451="",NEGOCIAÇÕES!N451&gt;TODAY()),NEGOCIAÇÕES!C451,"")</f>
        <v/>
      </c>
      <c r="C451" s="6" t="str">
        <f ca="1">IF(AND(NEGOCIAÇÕES!O451="",NEGOCIAÇÕES!N451&gt;TODAY()),NEGOCIAÇÕES!E451,"")</f>
        <v/>
      </c>
      <c r="D451" s="6" t="str">
        <f ca="1">IF(AND(NEGOCIAÇÕES!O451="",NEGOCIAÇÕES!N451&gt;TODAY()),NEGOCIAÇÕES!D451,"")</f>
        <v/>
      </c>
      <c r="E451" s="9" t="str">
        <f>IF(AND(NEGOCIAÇÕES!B451&lt;&gt;"",NEGOCIAÇÕES!O451=""),NEGOCIAÇÕES!N451,"")</f>
        <v/>
      </c>
    </row>
    <row r="452" spans="2:5" ht="31.95" hidden="1" customHeight="1" x14ac:dyDescent="0.3">
      <c r="B452" s="6" t="str">
        <f ca="1">IF(AND(NEGOCIAÇÕES!O452="",NEGOCIAÇÕES!N452&gt;TODAY()),NEGOCIAÇÕES!C452,"")</f>
        <v/>
      </c>
      <c r="C452" s="6" t="str">
        <f ca="1">IF(AND(NEGOCIAÇÕES!O452="",NEGOCIAÇÕES!N452&gt;TODAY()),NEGOCIAÇÕES!E452,"")</f>
        <v/>
      </c>
      <c r="D452" s="6" t="str">
        <f ca="1">IF(AND(NEGOCIAÇÕES!O452="",NEGOCIAÇÕES!N452&gt;TODAY()),NEGOCIAÇÕES!D452,"")</f>
        <v/>
      </c>
      <c r="E452" s="9" t="str">
        <f>IF(AND(NEGOCIAÇÕES!B452&lt;&gt;"",NEGOCIAÇÕES!O452=""),NEGOCIAÇÕES!N452,"")</f>
        <v/>
      </c>
    </row>
    <row r="453" spans="2:5" ht="31.95" hidden="1" customHeight="1" x14ac:dyDescent="0.3">
      <c r="B453" s="6" t="str">
        <f ca="1">IF(AND(NEGOCIAÇÕES!O453="",NEGOCIAÇÕES!N453&gt;TODAY()),NEGOCIAÇÕES!C453,"")</f>
        <v/>
      </c>
      <c r="C453" s="6" t="str">
        <f ca="1">IF(AND(NEGOCIAÇÕES!O453="",NEGOCIAÇÕES!N453&gt;TODAY()),NEGOCIAÇÕES!E453,"")</f>
        <v/>
      </c>
      <c r="D453" s="6" t="str">
        <f ca="1">IF(AND(NEGOCIAÇÕES!O453="",NEGOCIAÇÕES!N453&gt;TODAY()),NEGOCIAÇÕES!D453,"")</f>
        <v/>
      </c>
      <c r="E453" s="9" t="str">
        <f>IF(AND(NEGOCIAÇÕES!B453&lt;&gt;"",NEGOCIAÇÕES!O453=""),NEGOCIAÇÕES!N453,"")</f>
        <v/>
      </c>
    </row>
    <row r="454" spans="2:5" ht="31.95" hidden="1" customHeight="1" x14ac:dyDescent="0.3">
      <c r="B454" s="6" t="str">
        <f ca="1">IF(AND(NEGOCIAÇÕES!O454="",NEGOCIAÇÕES!N454&gt;TODAY()),NEGOCIAÇÕES!C454,"")</f>
        <v/>
      </c>
      <c r="C454" s="6" t="str">
        <f ca="1">IF(AND(NEGOCIAÇÕES!O454="",NEGOCIAÇÕES!N454&gt;TODAY()),NEGOCIAÇÕES!E454,"")</f>
        <v/>
      </c>
      <c r="D454" s="6" t="str">
        <f ca="1">IF(AND(NEGOCIAÇÕES!O454="",NEGOCIAÇÕES!N454&gt;TODAY()),NEGOCIAÇÕES!D454,"")</f>
        <v/>
      </c>
      <c r="E454" s="9" t="str">
        <f>IF(AND(NEGOCIAÇÕES!B454&lt;&gt;"",NEGOCIAÇÕES!O454=""),NEGOCIAÇÕES!N454,"")</f>
        <v/>
      </c>
    </row>
    <row r="455" spans="2:5" ht="31.95" hidden="1" customHeight="1" x14ac:dyDescent="0.3">
      <c r="B455" s="6" t="str">
        <f ca="1">IF(AND(NEGOCIAÇÕES!O455="",NEGOCIAÇÕES!N455&gt;TODAY()),NEGOCIAÇÕES!C455,"")</f>
        <v/>
      </c>
      <c r="C455" s="6" t="str">
        <f ca="1">IF(AND(NEGOCIAÇÕES!O455="",NEGOCIAÇÕES!N455&gt;TODAY()),NEGOCIAÇÕES!E455,"")</f>
        <v/>
      </c>
      <c r="D455" s="6" t="str">
        <f ca="1">IF(AND(NEGOCIAÇÕES!O455="",NEGOCIAÇÕES!N455&gt;TODAY()),NEGOCIAÇÕES!D455,"")</f>
        <v/>
      </c>
      <c r="E455" s="9" t="str">
        <f>IF(AND(NEGOCIAÇÕES!B455&lt;&gt;"",NEGOCIAÇÕES!O455=""),NEGOCIAÇÕES!N455,"")</f>
        <v/>
      </c>
    </row>
    <row r="456" spans="2:5" ht="31.95" hidden="1" customHeight="1" x14ac:dyDescent="0.3">
      <c r="B456" s="6" t="str">
        <f ca="1">IF(AND(NEGOCIAÇÕES!O456="",NEGOCIAÇÕES!N456&gt;TODAY()),NEGOCIAÇÕES!C456,"")</f>
        <v/>
      </c>
      <c r="C456" s="6" t="str">
        <f ca="1">IF(AND(NEGOCIAÇÕES!O456="",NEGOCIAÇÕES!N456&gt;TODAY()),NEGOCIAÇÕES!E456,"")</f>
        <v/>
      </c>
      <c r="D456" s="6" t="str">
        <f ca="1">IF(AND(NEGOCIAÇÕES!O456="",NEGOCIAÇÕES!N456&gt;TODAY()),NEGOCIAÇÕES!D456,"")</f>
        <v/>
      </c>
      <c r="E456" s="9" t="str">
        <f>IF(AND(NEGOCIAÇÕES!B456&lt;&gt;"",NEGOCIAÇÕES!O456=""),NEGOCIAÇÕES!N456,"")</f>
        <v/>
      </c>
    </row>
    <row r="457" spans="2:5" ht="31.95" hidden="1" customHeight="1" x14ac:dyDescent="0.3">
      <c r="B457" s="6" t="str">
        <f ca="1">IF(AND(NEGOCIAÇÕES!O457="",NEGOCIAÇÕES!N457&gt;TODAY()),NEGOCIAÇÕES!C457,"")</f>
        <v/>
      </c>
      <c r="C457" s="6" t="str">
        <f ca="1">IF(AND(NEGOCIAÇÕES!O457="",NEGOCIAÇÕES!N457&gt;TODAY()),NEGOCIAÇÕES!E457,"")</f>
        <v/>
      </c>
      <c r="D457" s="6" t="str">
        <f ca="1">IF(AND(NEGOCIAÇÕES!O457="",NEGOCIAÇÕES!N457&gt;TODAY()),NEGOCIAÇÕES!D457,"")</f>
        <v/>
      </c>
      <c r="E457" s="9" t="str">
        <f>IF(AND(NEGOCIAÇÕES!B457&lt;&gt;"",NEGOCIAÇÕES!O457=""),NEGOCIAÇÕES!N457,"")</f>
        <v/>
      </c>
    </row>
    <row r="458" spans="2:5" ht="31.95" hidden="1" customHeight="1" x14ac:dyDescent="0.3">
      <c r="B458" s="6" t="str">
        <f ca="1">IF(AND(NEGOCIAÇÕES!O458="",NEGOCIAÇÕES!N458&gt;TODAY()),NEGOCIAÇÕES!C458,"")</f>
        <v/>
      </c>
      <c r="C458" s="6" t="str">
        <f ca="1">IF(AND(NEGOCIAÇÕES!O458="",NEGOCIAÇÕES!N458&gt;TODAY()),NEGOCIAÇÕES!E458,"")</f>
        <v/>
      </c>
      <c r="D458" s="6" t="str">
        <f ca="1">IF(AND(NEGOCIAÇÕES!O458="",NEGOCIAÇÕES!N458&gt;TODAY()),NEGOCIAÇÕES!D458,"")</f>
        <v/>
      </c>
      <c r="E458" s="9" t="str">
        <f>IF(AND(NEGOCIAÇÕES!B458&lt;&gt;"",NEGOCIAÇÕES!O458=""),NEGOCIAÇÕES!N458,"")</f>
        <v/>
      </c>
    </row>
    <row r="459" spans="2:5" ht="31.95" hidden="1" customHeight="1" x14ac:dyDescent="0.3">
      <c r="B459" s="6" t="str">
        <f ca="1">IF(AND(NEGOCIAÇÕES!O459="",NEGOCIAÇÕES!N459&gt;TODAY()),NEGOCIAÇÕES!C459,"")</f>
        <v/>
      </c>
      <c r="C459" s="6" t="str">
        <f ca="1">IF(AND(NEGOCIAÇÕES!O459="",NEGOCIAÇÕES!N459&gt;TODAY()),NEGOCIAÇÕES!E459,"")</f>
        <v/>
      </c>
      <c r="D459" s="6" t="str">
        <f ca="1">IF(AND(NEGOCIAÇÕES!O459="",NEGOCIAÇÕES!N459&gt;TODAY()),NEGOCIAÇÕES!D459,"")</f>
        <v/>
      </c>
      <c r="E459" s="9" t="str">
        <f>IF(AND(NEGOCIAÇÕES!B459&lt;&gt;"",NEGOCIAÇÕES!O459=""),NEGOCIAÇÕES!N459,"")</f>
        <v/>
      </c>
    </row>
    <row r="460" spans="2:5" ht="31.95" hidden="1" customHeight="1" x14ac:dyDescent="0.3">
      <c r="B460" s="6" t="str">
        <f ca="1">IF(AND(NEGOCIAÇÕES!O460="",NEGOCIAÇÕES!N460&gt;TODAY()),NEGOCIAÇÕES!C460,"")</f>
        <v/>
      </c>
      <c r="C460" s="6" t="str">
        <f ca="1">IF(AND(NEGOCIAÇÕES!O460="",NEGOCIAÇÕES!N460&gt;TODAY()),NEGOCIAÇÕES!E460,"")</f>
        <v/>
      </c>
      <c r="D460" s="6" t="str">
        <f ca="1">IF(AND(NEGOCIAÇÕES!O460="",NEGOCIAÇÕES!N460&gt;TODAY()),NEGOCIAÇÕES!D460,"")</f>
        <v/>
      </c>
      <c r="E460" s="9" t="str">
        <f>IF(AND(NEGOCIAÇÕES!B460&lt;&gt;"",NEGOCIAÇÕES!O460=""),NEGOCIAÇÕES!N460,"")</f>
        <v/>
      </c>
    </row>
    <row r="461" spans="2:5" ht="31.95" hidden="1" customHeight="1" x14ac:dyDescent="0.3">
      <c r="B461" s="6" t="str">
        <f ca="1">IF(AND(NEGOCIAÇÕES!O461="",NEGOCIAÇÕES!N461&gt;TODAY()),NEGOCIAÇÕES!C461,"")</f>
        <v/>
      </c>
      <c r="C461" s="6" t="str">
        <f ca="1">IF(AND(NEGOCIAÇÕES!O461="",NEGOCIAÇÕES!N461&gt;TODAY()),NEGOCIAÇÕES!E461,"")</f>
        <v/>
      </c>
      <c r="D461" s="6" t="str">
        <f ca="1">IF(AND(NEGOCIAÇÕES!O461="",NEGOCIAÇÕES!N461&gt;TODAY()),NEGOCIAÇÕES!D461,"")</f>
        <v/>
      </c>
      <c r="E461" s="9" t="str">
        <f>IF(AND(NEGOCIAÇÕES!B461&lt;&gt;"",NEGOCIAÇÕES!O461=""),NEGOCIAÇÕES!N461,"")</f>
        <v/>
      </c>
    </row>
    <row r="462" spans="2:5" ht="31.95" hidden="1" customHeight="1" x14ac:dyDescent="0.3">
      <c r="B462" s="6" t="str">
        <f ca="1">IF(AND(NEGOCIAÇÕES!O462="",NEGOCIAÇÕES!N462&gt;TODAY()),NEGOCIAÇÕES!C462,"")</f>
        <v/>
      </c>
      <c r="C462" s="6" t="str">
        <f ca="1">IF(AND(NEGOCIAÇÕES!O462="",NEGOCIAÇÕES!N462&gt;TODAY()),NEGOCIAÇÕES!E462,"")</f>
        <v/>
      </c>
      <c r="D462" s="6" t="str">
        <f ca="1">IF(AND(NEGOCIAÇÕES!O462="",NEGOCIAÇÕES!N462&gt;TODAY()),NEGOCIAÇÕES!D462,"")</f>
        <v/>
      </c>
      <c r="E462" s="9" t="str">
        <f>IF(AND(NEGOCIAÇÕES!B462&lt;&gt;"",NEGOCIAÇÕES!O462=""),NEGOCIAÇÕES!N462,"")</f>
        <v/>
      </c>
    </row>
    <row r="463" spans="2:5" ht="31.95" hidden="1" customHeight="1" x14ac:dyDescent="0.3">
      <c r="B463" s="6" t="str">
        <f ca="1">IF(AND(NEGOCIAÇÕES!O463="",NEGOCIAÇÕES!N463&gt;TODAY()),NEGOCIAÇÕES!C463,"")</f>
        <v/>
      </c>
      <c r="C463" s="6" t="str">
        <f ca="1">IF(AND(NEGOCIAÇÕES!O463="",NEGOCIAÇÕES!N463&gt;TODAY()),NEGOCIAÇÕES!E463,"")</f>
        <v/>
      </c>
      <c r="D463" s="6" t="str">
        <f ca="1">IF(AND(NEGOCIAÇÕES!O463="",NEGOCIAÇÕES!N463&gt;TODAY()),NEGOCIAÇÕES!D463,"")</f>
        <v/>
      </c>
      <c r="E463" s="9" t="str">
        <f>IF(AND(NEGOCIAÇÕES!B463&lt;&gt;"",NEGOCIAÇÕES!O463=""),NEGOCIAÇÕES!N463,"")</f>
        <v/>
      </c>
    </row>
    <row r="464" spans="2:5" ht="31.95" hidden="1" customHeight="1" x14ac:dyDescent="0.3">
      <c r="B464" s="6" t="str">
        <f ca="1">IF(AND(NEGOCIAÇÕES!O464="",NEGOCIAÇÕES!N464&gt;TODAY()),NEGOCIAÇÕES!C464,"")</f>
        <v/>
      </c>
      <c r="C464" s="6" t="str">
        <f ca="1">IF(AND(NEGOCIAÇÕES!O464="",NEGOCIAÇÕES!N464&gt;TODAY()),NEGOCIAÇÕES!E464,"")</f>
        <v/>
      </c>
      <c r="D464" s="6" t="str">
        <f ca="1">IF(AND(NEGOCIAÇÕES!O464="",NEGOCIAÇÕES!N464&gt;TODAY()),NEGOCIAÇÕES!D464,"")</f>
        <v/>
      </c>
      <c r="E464" s="9" t="str">
        <f>IF(AND(NEGOCIAÇÕES!B464&lt;&gt;"",NEGOCIAÇÕES!O464=""),NEGOCIAÇÕES!N464,"")</f>
        <v/>
      </c>
    </row>
    <row r="465" spans="2:5" ht="31.95" hidden="1" customHeight="1" x14ac:dyDescent="0.3">
      <c r="B465" s="6" t="str">
        <f ca="1">IF(AND(NEGOCIAÇÕES!O465="",NEGOCIAÇÕES!N465&gt;TODAY()),NEGOCIAÇÕES!C465,"")</f>
        <v/>
      </c>
      <c r="C465" s="6" t="str">
        <f ca="1">IF(AND(NEGOCIAÇÕES!O465="",NEGOCIAÇÕES!N465&gt;TODAY()),NEGOCIAÇÕES!E465,"")</f>
        <v/>
      </c>
      <c r="D465" s="6" t="str">
        <f ca="1">IF(AND(NEGOCIAÇÕES!O465="",NEGOCIAÇÕES!N465&gt;TODAY()),NEGOCIAÇÕES!D465,"")</f>
        <v/>
      </c>
      <c r="E465" s="9" t="str">
        <f>IF(AND(NEGOCIAÇÕES!B465&lt;&gt;"",NEGOCIAÇÕES!O465=""),NEGOCIAÇÕES!N465,"")</f>
        <v/>
      </c>
    </row>
    <row r="466" spans="2:5" ht="31.95" hidden="1" customHeight="1" x14ac:dyDescent="0.3">
      <c r="B466" s="6" t="str">
        <f ca="1">IF(AND(NEGOCIAÇÕES!O466="",NEGOCIAÇÕES!N466&gt;TODAY()),NEGOCIAÇÕES!C466,"")</f>
        <v/>
      </c>
      <c r="C466" s="6" t="str">
        <f ca="1">IF(AND(NEGOCIAÇÕES!O466="",NEGOCIAÇÕES!N466&gt;TODAY()),NEGOCIAÇÕES!E466,"")</f>
        <v/>
      </c>
      <c r="D466" s="6" t="str">
        <f ca="1">IF(AND(NEGOCIAÇÕES!O466="",NEGOCIAÇÕES!N466&gt;TODAY()),NEGOCIAÇÕES!D466,"")</f>
        <v/>
      </c>
      <c r="E466" s="9" t="str">
        <f>IF(AND(NEGOCIAÇÕES!B466&lt;&gt;"",NEGOCIAÇÕES!O466=""),NEGOCIAÇÕES!N466,"")</f>
        <v/>
      </c>
    </row>
    <row r="467" spans="2:5" ht="31.95" hidden="1" customHeight="1" x14ac:dyDescent="0.3">
      <c r="B467" s="6" t="str">
        <f ca="1">IF(AND(NEGOCIAÇÕES!O467="",NEGOCIAÇÕES!N467&gt;TODAY()),NEGOCIAÇÕES!C467,"")</f>
        <v/>
      </c>
      <c r="C467" s="6" t="str">
        <f ca="1">IF(AND(NEGOCIAÇÕES!O467="",NEGOCIAÇÕES!N467&gt;TODAY()),NEGOCIAÇÕES!E467,"")</f>
        <v/>
      </c>
      <c r="D467" s="6" t="str">
        <f ca="1">IF(AND(NEGOCIAÇÕES!O467="",NEGOCIAÇÕES!N467&gt;TODAY()),NEGOCIAÇÕES!D467,"")</f>
        <v/>
      </c>
      <c r="E467" s="9" t="str">
        <f>IF(AND(NEGOCIAÇÕES!B467&lt;&gt;"",NEGOCIAÇÕES!O467=""),NEGOCIAÇÕES!N467,"")</f>
        <v/>
      </c>
    </row>
    <row r="468" spans="2:5" ht="31.95" hidden="1" customHeight="1" x14ac:dyDescent="0.3">
      <c r="B468" s="6" t="str">
        <f ca="1">IF(AND(NEGOCIAÇÕES!O468="",NEGOCIAÇÕES!N468&gt;TODAY()),NEGOCIAÇÕES!C468,"")</f>
        <v/>
      </c>
      <c r="C468" s="6" t="str">
        <f ca="1">IF(AND(NEGOCIAÇÕES!O468="",NEGOCIAÇÕES!N468&gt;TODAY()),NEGOCIAÇÕES!E468,"")</f>
        <v/>
      </c>
      <c r="D468" s="6" t="str">
        <f ca="1">IF(AND(NEGOCIAÇÕES!O468="",NEGOCIAÇÕES!N468&gt;TODAY()),NEGOCIAÇÕES!D468,"")</f>
        <v/>
      </c>
      <c r="E468" s="9" t="str">
        <f>IF(AND(NEGOCIAÇÕES!B468&lt;&gt;"",NEGOCIAÇÕES!O468=""),NEGOCIAÇÕES!N468,"")</f>
        <v/>
      </c>
    </row>
    <row r="469" spans="2:5" ht="31.95" hidden="1" customHeight="1" x14ac:dyDescent="0.3">
      <c r="B469" s="6" t="str">
        <f ca="1">IF(AND(NEGOCIAÇÕES!O469="",NEGOCIAÇÕES!N469&gt;TODAY()),NEGOCIAÇÕES!C469,"")</f>
        <v/>
      </c>
      <c r="C469" s="6" t="str">
        <f ca="1">IF(AND(NEGOCIAÇÕES!O469="",NEGOCIAÇÕES!N469&gt;TODAY()),NEGOCIAÇÕES!E469,"")</f>
        <v/>
      </c>
      <c r="D469" s="6" t="str">
        <f ca="1">IF(AND(NEGOCIAÇÕES!O469="",NEGOCIAÇÕES!N469&gt;TODAY()),NEGOCIAÇÕES!D469,"")</f>
        <v/>
      </c>
      <c r="E469" s="9" t="str">
        <f>IF(AND(NEGOCIAÇÕES!B469&lt;&gt;"",NEGOCIAÇÕES!O469=""),NEGOCIAÇÕES!N469,"")</f>
        <v/>
      </c>
    </row>
    <row r="470" spans="2:5" ht="31.95" hidden="1" customHeight="1" x14ac:dyDescent="0.3">
      <c r="B470" s="6" t="str">
        <f ca="1">IF(AND(NEGOCIAÇÕES!O470="",NEGOCIAÇÕES!N470&gt;TODAY()),NEGOCIAÇÕES!C470,"")</f>
        <v/>
      </c>
      <c r="C470" s="6" t="str">
        <f ca="1">IF(AND(NEGOCIAÇÕES!O470="",NEGOCIAÇÕES!N470&gt;TODAY()),NEGOCIAÇÕES!E470,"")</f>
        <v/>
      </c>
      <c r="D470" s="6" t="str">
        <f ca="1">IF(AND(NEGOCIAÇÕES!O470="",NEGOCIAÇÕES!N470&gt;TODAY()),NEGOCIAÇÕES!D470,"")</f>
        <v/>
      </c>
      <c r="E470" s="9" t="str">
        <f>IF(AND(NEGOCIAÇÕES!B470&lt;&gt;"",NEGOCIAÇÕES!O470=""),NEGOCIAÇÕES!N470,"")</f>
        <v/>
      </c>
    </row>
    <row r="471" spans="2:5" ht="31.95" hidden="1" customHeight="1" x14ac:dyDescent="0.3">
      <c r="B471" s="6" t="str">
        <f ca="1">IF(AND(NEGOCIAÇÕES!O471="",NEGOCIAÇÕES!N471&gt;TODAY()),NEGOCIAÇÕES!C471,"")</f>
        <v/>
      </c>
      <c r="C471" s="6" t="str">
        <f ca="1">IF(AND(NEGOCIAÇÕES!O471="",NEGOCIAÇÕES!N471&gt;TODAY()),NEGOCIAÇÕES!E471,"")</f>
        <v/>
      </c>
      <c r="D471" s="6" t="str">
        <f ca="1">IF(AND(NEGOCIAÇÕES!O471="",NEGOCIAÇÕES!N471&gt;TODAY()),NEGOCIAÇÕES!D471,"")</f>
        <v/>
      </c>
      <c r="E471" s="9" t="str">
        <f>IF(AND(NEGOCIAÇÕES!B471&lt;&gt;"",NEGOCIAÇÕES!O471=""),NEGOCIAÇÕES!N471,"")</f>
        <v/>
      </c>
    </row>
    <row r="472" spans="2:5" ht="31.95" hidden="1" customHeight="1" x14ac:dyDescent="0.3">
      <c r="B472" s="6" t="str">
        <f ca="1">IF(AND(NEGOCIAÇÕES!O472="",NEGOCIAÇÕES!N472&gt;TODAY()),NEGOCIAÇÕES!C472,"")</f>
        <v/>
      </c>
      <c r="C472" s="6" t="str">
        <f ca="1">IF(AND(NEGOCIAÇÕES!O472="",NEGOCIAÇÕES!N472&gt;TODAY()),NEGOCIAÇÕES!E472,"")</f>
        <v/>
      </c>
      <c r="D472" s="6" t="str">
        <f ca="1">IF(AND(NEGOCIAÇÕES!O472="",NEGOCIAÇÕES!N472&gt;TODAY()),NEGOCIAÇÕES!D472,"")</f>
        <v/>
      </c>
      <c r="E472" s="9" t="str">
        <f>IF(AND(NEGOCIAÇÕES!B472&lt;&gt;"",NEGOCIAÇÕES!O472=""),NEGOCIAÇÕES!N472,"")</f>
        <v/>
      </c>
    </row>
    <row r="473" spans="2:5" ht="31.95" hidden="1" customHeight="1" x14ac:dyDescent="0.3">
      <c r="B473" s="6" t="str">
        <f ca="1">IF(AND(NEGOCIAÇÕES!O473="",NEGOCIAÇÕES!N473&gt;TODAY()),NEGOCIAÇÕES!C473,"")</f>
        <v/>
      </c>
      <c r="C473" s="6" t="str">
        <f ca="1">IF(AND(NEGOCIAÇÕES!O473="",NEGOCIAÇÕES!N473&gt;TODAY()),NEGOCIAÇÕES!E473,"")</f>
        <v/>
      </c>
      <c r="D473" s="6" t="str">
        <f ca="1">IF(AND(NEGOCIAÇÕES!O473="",NEGOCIAÇÕES!N473&gt;TODAY()),NEGOCIAÇÕES!D473,"")</f>
        <v/>
      </c>
      <c r="E473" s="9" t="str">
        <f>IF(AND(NEGOCIAÇÕES!B473&lt;&gt;"",NEGOCIAÇÕES!O473=""),NEGOCIAÇÕES!N473,"")</f>
        <v/>
      </c>
    </row>
    <row r="474" spans="2:5" ht="31.95" hidden="1" customHeight="1" x14ac:dyDescent="0.3">
      <c r="B474" s="6" t="str">
        <f ca="1">IF(AND(NEGOCIAÇÕES!O474="",NEGOCIAÇÕES!N474&gt;TODAY()),NEGOCIAÇÕES!C474,"")</f>
        <v/>
      </c>
      <c r="C474" s="6" t="str">
        <f ca="1">IF(AND(NEGOCIAÇÕES!O474="",NEGOCIAÇÕES!N474&gt;TODAY()),NEGOCIAÇÕES!E474,"")</f>
        <v/>
      </c>
      <c r="D474" s="6" t="str">
        <f ca="1">IF(AND(NEGOCIAÇÕES!O474="",NEGOCIAÇÕES!N474&gt;TODAY()),NEGOCIAÇÕES!D474,"")</f>
        <v/>
      </c>
      <c r="E474" s="9" t="str">
        <f>IF(AND(NEGOCIAÇÕES!B474&lt;&gt;"",NEGOCIAÇÕES!O474=""),NEGOCIAÇÕES!N474,"")</f>
        <v/>
      </c>
    </row>
    <row r="475" spans="2:5" ht="31.95" hidden="1" customHeight="1" x14ac:dyDescent="0.3">
      <c r="B475" s="6" t="str">
        <f ca="1">IF(AND(NEGOCIAÇÕES!O475="",NEGOCIAÇÕES!N475&gt;TODAY()),NEGOCIAÇÕES!C475,"")</f>
        <v/>
      </c>
      <c r="C475" s="6" t="str">
        <f ca="1">IF(AND(NEGOCIAÇÕES!O475="",NEGOCIAÇÕES!N475&gt;TODAY()),NEGOCIAÇÕES!E475,"")</f>
        <v/>
      </c>
      <c r="D475" s="6" t="str">
        <f ca="1">IF(AND(NEGOCIAÇÕES!O475="",NEGOCIAÇÕES!N475&gt;TODAY()),NEGOCIAÇÕES!D475,"")</f>
        <v/>
      </c>
      <c r="E475" s="9" t="str">
        <f>IF(AND(NEGOCIAÇÕES!B475&lt;&gt;"",NEGOCIAÇÕES!O475=""),NEGOCIAÇÕES!N475,"")</f>
        <v/>
      </c>
    </row>
    <row r="476" spans="2:5" ht="31.95" hidden="1" customHeight="1" x14ac:dyDescent="0.3">
      <c r="B476" s="6" t="str">
        <f ca="1">IF(AND(NEGOCIAÇÕES!O476="",NEGOCIAÇÕES!N476&gt;TODAY()),NEGOCIAÇÕES!C476,"")</f>
        <v/>
      </c>
      <c r="C476" s="6" t="str">
        <f ca="1">IF(AND(NEGOCIAÇÕES!O476="",NEGOCIAÇÕES!N476&gt;TODAY()),NEGOCIAÇÕES!E476,"")</f>
        <v/>
      </c>
      <c r="D476" s="6" t="str">
        <f ca="1">IF(AND(NEGOCIAÇÕES!O476="",NEGOCIAÇÕES!N476&gt;TODAY()),NEGOCIAÇÕES!D476,"")</f>
        <v/>
      </c>
      <c r="E476" s="9" t="str">
        <f>IF(AND(NEGOCIAÇÕES!B476&lt;&gt;"",NEGOCIAÇÕES!O476=""),NEGOCIAÇÕES!N476,"")</f>
        <v/>
      </c>
    </row>
    <row r="477" spans="2:5" ht="31.95" hidden="1" customHeight="1" x14ac:dyDescent="0.3">
      <c r="B477" s="6" t="str">
        <f ca="1">IF(AND(NEGOCIAÇÕES!O477="",NEGOCIAÇÕES!N477&gt;TODAY()),NEGOCIAÇÕES!C477,"")</f>
        <v/>
      </c>
      <c r="C477" s="6" t="str">
        <f ca="1">IF(AND(NEGOCIAÇÕES!O477="",NEGOCIAÇÕES!N477&gt;TODAY()),NEGOCIAÇÕES!E477,"")</f>
        <v/>
      </c>
      <c r="D477" s="6" t="str">
        <f ca="1">IF(AND(NEGOCIAÇÕES!O477="",NEGOCIAÇÕES!N477&gt;TODAY()),NEGOCIAÇÕES!D477,"")</f>
        <v/>
      </c>
      <c r="E477" s="9" t="str">
        <f>IF(AND(NEGOCIAÇÕES!B477&lt;&gt;"",NEGOCIAÇÕES!O477=""),NEGOCIAÇÕES!N477,"")</f>
        <v/>
      </c>
    </row>
    <row r="478" spans="2:5" ht="31.95" hidden="1" customHeight="1" x14ac:dyDescent="0.3">
      <c r="B478" s="6" t="str">
        <f ca="1">IF(AND(NEGOCIAÇÕES!O478="",NEGOCIAÇÕES!N478&gt;TODAY()),NEGOCIAÇÕES!C478,"")</f>
        <v/>
      </c>
      <c r="C478" s="6" t="str">
        <f ca="1">IF(AND(NEGOCIAÇÕES!O478="",NEGOCIAÇÕES!N478&gt;TODAY()),NEGOCIAÇÕES!E478,"")</f>
        <v/>
      </c>
      <c r="D478" s="6" t="str">
        <f ca="1">IF(AND(NEGOCIAÇÕES!O478="",NEGOCIAÇÕES!N478&gt;TODAY()),NEGOCIAÇÕES!D478,"")</f>
        <v/>
      </c>
      <c r="E478" s="9" t="str">
        <f>IF(AND(NEGOCIAÇÕES!B478&lt;&gt;"",NEGOCIAÇÕES!O478=""),NEGOCIAÇÕES!N478,"")</f>
        <v/>
      </c>
    </row>
    <row r="479" spans="2:5" ht="31.95" hidden="1" customHeight="1" x14ac:dyDescent="0.3">
      <c r="B479" s="6" t="str">
        <f ca="1">IF(AND(NEGOCIAÇÕES!O479="",NEGOCIAÇÕES!N479&gt;TODAY()),NEGOCIAÇÕES!C479,"")</f>
        <v/>
      </c>
      <c r="C479" s="6" t="str">
        <f ca="1">IF(AND(NEGOCIAÇÕES!O479="",NEGOCIAÇÕES!N479&gt;TODAY()),NEGOCIAÇÕES!E479,"")</f>
        <v/>
      </c>
      <c r="D479" s="6" t="str">
        <f ca="1">IF(AND(NEGOCIAÇÕES!O479="",NEGOCIAÇÕES!N479&gt;TODAY()),NEGOCIAÇÕES!D479,"")</f>
        <v/>
      </c>
      <c r="E479" s="9" t="str">
        <f>IF(AND(NEGOCIAÇÕES!B479&lt;&gt;"",NEGOCIAÇÕES!O479=""),NEGOCIAÇÕES!N479,"")</f>
        <v/>
      </c>
    </row>
    <row r="480" spans="2:5" ht="31.95" hidden="1" customHeight="1" x14ac:dyDescent="0.3">
      <c r="B480" s="6" t="str">
        <f ca="1">IF(AND(NEGOCIAÇÕES!O480="",NEGOCIAÇÕES!N480&gt;TODAY()),NEGOCIAÇÕES!C480,"")</f>
        <v/>
      </c>
      <c r="C480" s="6" t="str">
        <f ca="1">IF(AND(NEGOCIAÇÕES!O480="",NEGOCIAÇÕES!N480&gt;TODAY()),NEGOCIAÇÕES!E480,"")</f>
        <v/>
      </c>
      <c r="D480" s="6" t="str">
        <f ca="1">IF(AND(NEGOCIAÇÕES!O480="",NEGOCIAÇÕES!N480&gt;TODAY()),NEGOCIAÇÕES!D480,"")</f>
        <v/>
      </c>
      <c r="E480" s="9" t="str">
        <f>IF(AND(NEGOCIAÇÕES!B480&lt;&gt;"",NEGOCIAÇÕES!O480=""),NEGOCIAÇÕES!N480,"")</f>
        <v/>
      </c>
    </row>
    <row r="481" spans="2:5" ht="31.95" hidden="1" customHeight="1" x14ac:dyDescent="0.3">
      <c r="B481" s="6" t="str">
        <f ca="1">IF(AND(NEGOCIAÇÕES!O481="",NEGOCIAÇÕES!N481&gt;TODAY()),NEGOCIAÇÕES!C481,"")</f>
        <v/>
      </c>
      <c r="C481" s="6" t="str">
        <f ca="1">IF(AND(NEGOCIAÇÕES!O481="",NEGOCIAÇÕES!N481&gt;TODAY()),NEGOCIAÇÕES!E481,"")</f>
        <v/>
      </c>
      <c r="D481" s="6" t="str">
        <f ca="1">IF(AND(NEGOCIAÇÕES!O481="",NEGOCIAÇÕES!N481&gt;TODAY()),NEGOCIAÇÕES!D481,"")</f>
        <v/>
      </c>
      <c r="E481" s="9" t="str">
        <f>IF(AND(NEGOCIAÇÕES!B481&lt;&gt;"",NEGOCIAÇÕES!O481=""),NEGOCIAÇÕES!N481,"")</f>
        <v/>
      </c>
    </row>
    <row r="482" spans="2:5" ht="31.95" hidden="1" customHeight="1" x14ac:dyDescent="0.3">
      <c r="B482" s="6" t="str">
        <f ca="1">IF(AND(NEGOCIAÇÕES!O482="",NEGOCIAÇÕES!N482&gt;TODAY()),NEGOCIAÇÕES!C482,"")</f>
        <v/>
      </c>
      <c r="C482" s="6" t="str">
        <f ca="1">IF(AND(NEGOCIAÇÕES!O482="",NEGOCIAÇÕES!N482&gt;TODAY()),NEGOCIAÇÕES!E482,"")</f>
        <v/>
      </c>
      <c r="D482" s="6" t="str">
        <f ca="1">IF(AND(NEGOCIAÇÕES!O482="",NEGOCIAÇÕES!N482&gt;TODAY()),NEGOCIAÇÕES!D482,"")</f>
        <v/>
      </c>
      <c r="E482" s="9" t="str">
        <f>IF(AND(NEGOCIAÇÕES!B482&lt;&gt;"",NEGOCIAÇÕES!O482=""),NEGOCIAÇÕES!N482,"")</f>
        <v/>
      </c>
    </row>
    <row r="483" spans="2:5" ht="31.95" hidden="1" customHeight="1" x14ac:dyDescent="0.3">
      <c r="B483" s="6" t="str">
        <f ca="1">IF(AND(NEGOCIAÇÕES!O483="",NEGOCIAÇÕES!N483&gt;TODAY()),NEGOCIAÇÕES!C483,"")</f>
        <v/>
      </c>
      <c r="C483" s="6" t="str">
        <f ca="1">IF(AND(NEGOCIAÇÕES!O483="",NEGOCIAÇÕES!N483&gt;TODAY()),NEGOCIAÇÕES!E483,"")</f>
        <v/>
      </c>
      <c r="D483" s="6" t="str">
        <f ca="1">IF(AND(NEGOCIAÇÕES!O483="",NEGOCIAÇÕES!N483&gt;TODAY()),NEGOCIAÇÕES!D483,"")</f>
        <v/>
      </c>
      <c r="E483" s="9" t="str">
        <f>IF(AND(NEGOCIAÇÕES!B483&lt;&gt;"",NEGOCIAÇÕES!O483=""),NEGOCIAÇÕES!N483,"")</f>
        <v/>
      </c>
    </row>
    <row r="484" spans="2:5" ht="31.95" hidden="1" customHeight="1" x14ac:dyDescent="0.3">
      <c r="B484" s="6" t="str">
        <f ca="1">IF(AND(NEGOCIAÇÕES!O484="",NEGOCIAÇÕES!N484&gt;TODAY()),NEGOCIAÇÕES!C484,"")</f>
        <v/>
      </c>
      <c r="C484" s="6" t="str">
        <f ca="1">IF(AND(NEGOCIAÇÕES!O484="",NEGOCIAÇÕES!N484&gt;TODAY()),NEGOCIAÇÕES!E484,"")</f>
        <v/>
      </c>
      <c r="D484" s="6" t="str">
        <f ca="1">IF(AND(NEGOCIAÇÕES!O484="",NEGOCIAÇÕES!N484&gt;TODAY()),NEGOCIAÇÕES!D484,"")</f>
        <v/>
      </c>
      <c r="E484" s="9" t="str">
        <f>IF(AND(NEGOCIAÇÕES!B484&lt;&gt;"",NEGOCIAÇÕES!O484=""),NEGOCIAÇÕES!N484,"")</f>
        <v/>
      </c>
    </row>
    <row r="485" spans="2:5" ht="31.95" hidden="1" customHeight="1" x14ac:dyDescent="0.3">
      <c r="B485" s="6" t="str">
        <f ca="1">IF(AND(NEGOCIAÇÕES!O485="",NEGOCIAÇÕES!N485&gt;TODAY()),NEGOCIAÇÕES!C485,"")</f>
        <v/>
      </c>
      <c r="C485" s="6" t="str">
        <f ca="1">IF(AND(NEGOCIAÇÕES!O485="",NEGOCIAÇÕES!N485&gt;TODAY()),NEGOCIAÇÕES!E485,"")</f>
        <v/>
      </c>
      <c r="D485" s="6" t="str">
        <f ca="1">IF(AND(NEGOCIAÇÕES!O485="",NEGOCIAÇÕES!N485&gt;TODAY()),NEGOCIAÇÕES!D485,"")</f>
        <v/>
      </c>
      <c r="E485" s="9" t="str">
        <f>IF(AND(NEGOCIAÇÕES!B485&lt;&gt;"",NEGOCIAÇÕES!O485=""),NEGOCIAÇÕES!N485,"")</f>
        <v/>
      </c>
    </row>
    <row r="486" spans="2:5" ht="31.95" hidden="1" customHeight="1" x14ac:dyDescent="0.3">
      <c r="B486" s="6" t="str">
        <f ca="1">IF(AND(NEGOCIAÇÕES!O486="",NEGOCIAÇÕES!N486&gt;TODAY()),NEGOCIAÇÕES!C486,"")</f>
        <v/>
      </c>
      <c r="C486" s="6" t="str">
        <f ca="1">IF(AND(NEGOCIAÇÕES!O486="",NEGOCIAÇÕES!N486&gt;TODAY()),NEGOCIAÇÕES!E486,"")</f>
        <v/>
      </c>
      <c r="D486" s="6" t="str">
        <f ca="1">IF(AND(NEGOCIAÇÕES!O486="",NEGOCIAÇÕES!N486&gt;TODAY()),NEGOCIAÇÕES!D486,"")</f>
        <v/>
      </c>
      <c r="E486" s="9" t="str">
        <f>IF(AND(NEGOCIAÇÕES!B486&lt;&gt;"",NEGOCIAÇÕES!O486=""),NEGOCIAÇÕES!N486,"")</f>
        <v/>
      </c>
    </row>
    <row r="487" spans="2:5" ht="31.95" hidden="1" customHeight="1" x14ac:dyDescent="0.3">
      <c r="B487" s="6" t="str">
        <f ca="1">IF(AND(NEGOCIAÇÕES!O487="",NEGOCIAÇÕES!N487&gt;TODAY()),NEGOCIAÇÕES!C487,"")</f>
        <v/>
      </c>
      <c r="C487" s="6" t="str">
        <f ca="1">IF(AND(NEGOCIAÇÕES!O487="",NEGOCIAÇÕES!N487&gt;TODAY()),NEGOCIAÇÕES!E487,"")</f>
        <v/>
      </c>
      <c r="D487" s="6" t="str">
        <f ca="1">IF(AND(NEGOCIAÇÕES!O487="",NEGOCIAÇÕES!N487&gt;TODAY()),NEGOCIAÇÕES!D487,"")</f>
        <v/>
      </c>
      <c r="E487" s="9" t="str">
        <f>IF(AND(NEGOCIAÇÕES!B487&lt;&gt;"",NEGOCIAÇÕES!O487=""),NEGOCIAÇÕES!N487,"")</f>
        <v/>
      </c>
    </row>
    <row r="488" spans="2:5" ht="31.95" hidden="1" customHeight="1" x14ac:dyDescent="0.3">
      <c r="B488" s="6" t="str">
        <f ca="1">IF(AND(NEGOCIAÇÕES!O488="",NEGOCIAÇÕES!N488&gt;TODAY()),NEGOCIAÇÕES!C488,"")</f>
        <v/>
      </c>
      <c r="C488" s="6" t="str">
        <f ca="1">IF(AND(NEGOCIAÇÕES!O488="",NEGOCIAÇÕES!N488&gt;TODAY()),NEGOCIAÇÕES!E488,"")</f>
        <v/>
      </c>
      <c r="D488" s="6" t="str">
        <f ca="1">IF(AND(NEGOCIAÇÕES!O488="",NEGOCIAÇÕES!N488&gt;TODAY()),NEGOCIAÇÕES!D488,"")</f>
        <v/>
      </c>
      <c r="E488" s="9" t="str">
        <f>IF(AND(NEGOCIAÇÕES!B488&lt;&gt;"",NEGOCIAÇÕES!O488=""),NEGOCIAÇÕES!N488,"")</f>
        <v/>
      </c>
    </row>
    <row r="489" spans="2:5" ht="31.95" hidden="1" customHeight="1" x14ac:dyDescent="0.3">
      <c r="B489" s="6" t="str">
        <f ca="1">IF(AND(NEGOCIAÇÕES!O489="",NEGOCIAÇÕES!N489&gt;TODAY()),NEGOCIAÇÕES!C489,"")</f>
        <v/>
      </c>
      <c r="C489" s="6" t="str">
        <f ca="1">IF(AND(NEGOCIAÇÕES!O489="",NEGOCIAÇÕES!N489&gt;TODAY()),NEGOCIAÇÕES!E489,"")</f>
        <v/>
      </c>
      <c r="D489" s="6" t="str">
        <f ca="1">IF(AND(NEGOCIAÇÕES!O489="",NEGOCIAÇÕES!N489&gt;TODAY()),NEGOCIAÇÕES!D489,"")</f>
        <v/>
      </c>
      <c r="E489" s="9" t="str">
        <f>IF(AND(NEGOCIAÇÕES!B489&lt;&gt;"",NEGOCIAÇÕES!O489=""),NEGOCIAÇÕES!N489,"")</f>
        <v/>
      </c>
    </row>
    <row r="490" spans="2:5" ht="31.95" hidden="1" customHeight="1" x14ac:dyDescent="0.3">
      <c r="B490" s="6" t="str">
        <f ca="1">IF(AND(NEGOCIAÇÕES!O490="",NEGOCIAÇÕES!N490&gt;TODAY()),NEGOCIAÇÕES!C490,"")</f>
        <v/>
      </c>
      <c r="C490" s="6" t="str">
        <f ca="1">IF(AND(NEGOCIAÇÕES!O490="",NEGOCIAÇÕES!N490&gt;TODAY()),NEGOCIAÇÕES!E490,"")</f>
        <v/>
      </c>
      <c r="D490" s="6" t="str">
        <f ca="1">IF(AND(NEGOCIAÇÕES!O490="",NEGOCIAÇÕES!N490&gt;TODAY()),NEGOCIAÇÕES!D490,"")</f>
        <v/>
      </c>
      <c r="E490" s="9" t="str">
        <f>IF(AND(NEGOCIAÇÕES!B490&lt;&gt;"",NEGOCIAÇÕES!O490=""),NEGOCIAÇÕES!N490,"")</f>
        <v/>
      </c>
    </row>
    <row r="491" spans="2:5" ht="31.95" hidden="1" customHeight="1" x14ac:dyDescent="0.3">
      <c r="B491" s="6" t="str">
        <f ca="1">IF(AND(NEGOCIAÇÕES!O491="",NEGOCIAÇÕES!N491&gt;TODAY()),NEGOCIAÇÕES!C491,"")</f>
        <v/>
      </c>
      <c r="C491" s="6" t="str">
        <f ca="1">IF(AND(NEGOCIAÇÕES!O491="",NEGOCIAÇÕES!N491&gt;TODAY()),NEGOCIAÇÕES!E491,"")</f>
        <v/>
      </c>
      <c r="D491" s="6" t="str">
        <f ca="1">IF(AND(NEGOCIAÇÕES!O491="",NEGOCIAÇÕES!N491&gt;TODAY()),NEGOCIAÇÕES!D491,"")</f>
        <v/>
      </c>
      <c r="E491" s="9" t="str">
        <f>IF(AND(NEGOCIAÇÕES!B491&lt;&gt;"",NEGOCIAÇÕES!O491=""),NEGOCIAÇÕES!N491,"")</f>
        <v/>
      </c>
    </row>
    <row r="492" spans="2:5" ht="31.95" hidden="1" customHeight="1" x14ac:dyDescent="0.3">
      <c r="B492" s="6" t="str">
        <f ca="1">IF(AND(NEGOCIAÇÕES!O492="",NEGOCIAÇÕES!N492&gt;TODAY()),NEGOCIAÇÕES!C492,"")</f>
        <v/>
      </c>
      <c r="C492" s="6" t="str">
        <f ca="1">IF(AND(NEGOCIAÇÕES!O492="",NEGOCIAÇÕES!N492&gt;TODAY()),NEGOCIAÇÕES!E492,"")</f>
        <v/>
      </c>
      <c r="D492" s="6" t="str">
        <f ca="1">IF(AND(NEGOCIAÇÕES!O492="",NEGOCIAÇÕES!N492&gt;TODAY()),NEGOCIAÇÕES!D492,"")</f>
        <v/>
      </c>
      <c r="E492" s="9" t="str">
        <f>IF(AND(NEGOCIAÇÕES!B492&lt;&gt;"",NEGOCIAÇÕES!O492=""),NEGOCIAÇÕES!N492,"")</f>
        <v/>
      </c>
    </row>
    <row r="493" spans="2:5" ht="31.95" hidden="1" customHeight="1" x14ac:dyDescent="0.3">
      <c r="B493" s="6" t="str">
        <f ca="1">IF(AND(NEGOCIAÇÕES!O493="",NEGOCIAÇÕES!N493&gt;TODAY()),NEGOCIAÇÕES!C493,"")</f>
        <v/>
      </c>
      <c r="C493" s="6" t="str">
        <f ca="1">IF(AND(NEGOCIAÇÕES!O493="",NEGOCIAÇÕES!N493&gt;TODAY()),NEGOCIAÇÕES!E493,"")</f>
        <v/>
      </c>
      <c r="D493" s="6" t="str">
        <f ca="1">IF(AND(NEGOCIAÇÕES!O493="",NEGOCIAÇÕES!N493&gt;TODAY()),NEGOCIAÇÕES!D493,"")</f>
        <v/>
      </c>
      <c r="E493" s="9" t="str">
        <f>IF(AND(NEGOCIAÇÕES!B493&lt;&gt;"",NEGOCIAÇÕES!O493=""),NEGOCIAÇÕES!N493,"")</f>
        <v/>
      </c>
    </row>
    <row r="494" spans="2:5" ht="31.95" hidden="1" customHeight="1" x14ac:dyDescent="0.3">
      <c r="B494" s="6" t="str">
        <f ca="1">IF(AND(NEGOCIAÇÕES!O494="",NEGOCIAÇÕES!N494&gt;TODAY()),NEGOCIAÇÕES!C494,"")</f>
        <v/>
      </c>
      <c r="C494" s="6" t="str">
        <f ca="1">IF(AND(NEGOCIAÇÕES!O494="",NEGOCIAÇÕES!N494&gt;TODAY()),NEGOCIAÇÕES!E494,"")</f>
        <v/>
      </c>
      <c r="D494" s="6" t="str">
        <f ca="1">IF(AND(NEGOCIAÇÕES!O494="",NEGOCIAÇÕES!N494&gt;TODAY()),NEGOCIAÇÕES!D494,"")</f>
        <v/>
      </c>
      <c r="E494" s="9" t="str">
        <f>IF(AND(NEGOCIAÇÕES!B494&lt;&gt;"",NEGOCIAÇÕES!O494=""),NEGOCIAÇÕES!N494,"")</f>
        <v/>
      </c>
    </row>
    <row r="495" spans="2:5" ht="31.95" hidden="1" customHeight="1" x14ac:dyDescent="0.3">
      <c r="B495" s="6" t="str">
        <f ca="1">IF(AND(NEGOCIAÇÕES!O495="",NEGOCIAÇÕES!N495&gt;TODAY()),NEGOCIAÇÕES!C495,"")</f>
        <v/>
      </c>
      <c r="C495" s="6" t="str">
        <f ca="1">IF(AND(NEGOCIAÇÕES!O495="",NEGOCIAÇÕES!N495&gt;TODAY()),NEGOCIAÇÕES!E495,"")</f>
        <v/>
      </c>
      <c r="D495" s="6" t="str">
        <f ca="1">IF(AND(NEGOCIAÇÕES!O495="",NEGOCIAÇÕES!N495&gt;TODAY()),NEGOCIAÇÕES!D495,"")</f>
        <v/>
      </c>
      <c r="E495" s="9" t="str">
        <f>IF(AND(NEGOCIAÇÕES!B495&lt;&gt;"",NEGOCIAÇÕES!O495=""),NEGOCIAÇÕES!N495,"")</f>
        <v/>
      </c>
    </row>
    <row r="496" spans="2:5" ht="31.95" hidden="1" customHeight="1" x14ac:dyDescent="0.3">
      <c r="B496" s="6" t="str">
        <f ca="1">IF(AND(NEGOCIAÇÕES!O496="",NEGOCIAÇÕES!N496&gt;TODAY()),NEGOCIAÇÕES!C496,"")</f>
        <v/>
      </c>
      <c r="C496" s="6" t="str">
        <f ca="1">IF(AND(NEGOCIAÇÕES!O496="",NEGOCIAÇÕES!N496&gt;TODAY()),NEGOCIAÇÕES!E496,"")</f>
        <v/>
      </c>
      <c r="D496" s="6" t="str">
        <f ca="1">IF(AND(NEGOCIAÇÕES!O496="",NEGOCIAÇÕES!N496&gt;TODAY()),NEGOCIAÇÕES!D496,"")</f>
        <v/>
      </c>
      <c r="E496" s="9" t="str">
        <f>IF(AND(NEGOCIAÇÕES!B496&lt;&gt;"",NEGOCIAÇÕES!O496=""),NEGOCIAÇÕES!N496,"")</f>
        <v/>
      </c>
    </row>
    <row r="497" spans="2:5" ht="31.95" hidden="1" customHeight="1" x14ac:dyDescent="0.3">
      <c r="B497" s="6" t="str">
        <f ca="1">IF(AND(NEGOCIAÇÕES!O497="",NEGOCIAÇÕES!N497&gt;TODAY()),NEGOCIAÇÕES!C497,"")</f>
        <v/>
      </c>
      <c r="C497" s="6" t="str">
        <f ca="1">IF(AND(NEGOCIAÇÕES!O497="",NEGOCIAÇÕES!N497&gt;TODAY()),NEGOCIAÇÕES!E497,"")</f>
        <v/>
      </c>
      <c r="D497" s="6" t="str">
        <f ca="1">IF(AND(NEGOCIAÇÕES!O497="",NEGOCIAÇÕES!N497&gt;TODAY()),NEGOCIAÇÕES!D497,"")</f>
        <v/>
      </c>
      <c r="E497" s="9" t="str">
        <f>IF(AND(NEGOCIAÇÕES!B497&lt;&gt;"",NEGOCIAÇÕES!O497=""),NEGOCIAÇÕES!N497,"")</f>
        <v/>
      </c>
    </row>
    <row r="498" spans="2:5" ht="31.95" hidden="1" customHeight="1" x14ac:dyDescent="0.3">
      <c r="B498" s="6" t="str">
        <f ca="1">IF(AND(NEGOCIAÇÕES!O498="",NEGOCIAÇÕES!N498&gt;TODAY()),NEGOCIAÇÕES!C498,"")</f>
        <v/>
      </c>
      <c r="C498" s="6" t="str">
        <f ca="1">IF(AND(NEGOCIAÇÕES!O498="",NEGOCIAÇÕES!N498&gt;TODAY()),NEGOCIAÇÕES!E498,"")</f>
        <v/>
      </c>
      <c r="D498" s="6" t="str">
        <f ca="1">IF(AND(NEGOCIAÇÕES!O498="",NEGOCIAÇÕES!N498&gt;TODAY()),NEGOCIAÇÕES!D498,"")</f>
        <v/>
      </c>
      <c r="E498" s="9" t="str">
        <f>IF(AND(NEGOCIAÇÕES!B498&lt;&gt;"",NEGOCIAÇÕES!O498=""),NEGOCIAÇÕES!N498,"")</f>
        <v/>
      </c>
    </row>
    <row r="499" spans="2:5" ht="31.95" hidden="1" customHeight="1" x14ac:dyDescent="0.3">
      <c r="B499" s="6" t="str">
        <f ca="1">IF(AND(NEGOCIAÇÕES!O499="",NEGOCIAÇÕES!N499&gt;TODAY()),NEGOCIAÇÕES!C499,"")</f>
        <v/>
      </c>
      <c r="C499" s="6" t="str">
        <f ca="1">IF(AND(NEGOCIAÇÕES!O499="",NEGOCIAÇÕES!N499&gt;TODAY()),NEGOCIAÇÕES!E499,"")</f>
        <v/>
      </c>
      <c r="D499" s="6" t="str">
        <f ca="1">IF(AND(NEGOCIAÇÕES!O499="",NEGOCIAÇÕES!N499&gt;TODAY()),NEGOCIAÇÕES!D499,"")</f>
        <v/>
      </c>
      <c r="E499" s="9" t="str">
        <f>IF(AND(NEGOCIAÇÕES!B499&lt;&gt;"",NEGOCIAÇÕES!O499=""),NEGOCIAÇÕES!N499,"")</f>
        <v/>
      </c>
    </row>
    <row r="500" spans="2:5" ht="31.95" hidden="1" customHeight="1" x14ac:dyDescent="0.3">
      <c r="B500" s="6" t="str">
        <f ca="1">IF(AND(NEGOCIAÇÕES!O500="",NEGOCIAÇÕES!N500&gt;TODAY()),NEGOCIAÇÕES!C500,"")</f>
        <v/>
      </c>
      <c r="C500" s="6" t="str">
        <f ca="1">IF(AND(NEGOCIAÇÕES!O500="",NEGOCIAÇÕES!N500&gt;TODAY()),NEGOCIAÇÕES!E500,"")</f>
        <v/>
      </c>
      <c r="D500" s="6" t="str">
        <f ca="1">IF(AND(NEGOCIAÇÕES!O500="",NEGOCIAÇÕES!N500&gt;TODAY()),NEGOCIAÇÕES!D500,"")</f>
        <v/>
      </c>
      <c r="E500" s="9" t="str">
        <f>IF(AND(NEGOCIAÇÕES!B500&lt;&gt;"",NEGOCIAÇÕES!O500=""),NEGOCIAÇÕES!N500,"")</f>
        <v/>
      </c>
    </row>
    <row r="501" spans="2:5" ht="31.95" hidden="1" customHeight="1" x14ac:dyDescent="0.3">
      <c r="B501" s="6" t="str">
        <f ca="1">IF(AND(NEGOCIAÇÕES!O501="",NEGOCIAÇÕES!N501&gt;TODAY()),NEGOCIAÇÕES!C501,"")</f>
        <v/>
      </c>
      <c r="C501" s="6" t="str">
        <f ca="1">IF(AND(NEGOCIAÇÕES!O501="",NEGOCIAÇÕES!N501&gt;TODAY()),NEGOCIAÇÕES!E501,"")</f>
        <v/>
      </c>
      <c r="D501" s="6" t="str">
        <f ca="1">IF(AND(NEGOCIAÇÕES!O501="",NEGOCIAÇÕES!N501&gt;TODAY()),NEGOCIAÇÕES!D501,"")</f>
        <v/>
      </c>
      <c r="E501" s="9" t="str">
        <f>IF(AND(NEGOCIAÇÕES!B501&lt;&gt;"",NEGOCIAÇÕES!O501=""),NEGOCIAÇÕES!N501,"")</f>
        <v/>
      </c>
    </row>
    <row r="502" spans="2:5" ht="31.95" hidden="1" customHeight="1" x14ac:dyDescent="0.3">
      <c r="B502" s="6" t="str">
        <f ca="1">IF(AND(NEGOCIAÇÕES!O502="",NEGOCIAÇÕES!N502&gt;TODAY()),NEGOCIAÇÕES!C502,"")</f>
        <v/>
      </c>
      <c r="C502" s="6" t="str">
        <f ca="1">IF(AND(NEGOCIAÇÕES!O502="",NEGOCIAÇÕES!N502&gt;TODAY()),NEGOCIAÇÕES!E502,"")</f>
        <v/>
      </c>
      <c r="D502" s="6" t="str">
        <f ca="1">IF(AND(NEGOCIAÇÕES!O502="",NEGOCIAÇÕES!N502&gt;TODAY()),NEGOCIAÇÕES!D502,"")</f>
        <v/>
      </c>
      <c r="E502" s="9" t="str">
        <f>IF(AND(NEGOCIAÇÕES!B502&lt;&gt;"",NEGOCIAÇÕES!O502=""),NEGOCIAÇÕES!N502,"")</f>
        <v/>
      </c>
    </row>
    <row r="503" spans="2:5" ht="31.95" hidden="1" customHeight="1" x14ac:dyDescent="0.3">
      <c r="B503" s="6" t="str">
        <f ca="1">IF(AND(NEGOCIAÇÕES!O503="",NEGOCIAÇÕES!N503&gt;TODAY()),NEGOCIAÇÕES!C503,"")</f>
        <v/>
      </c>
      <c r="C503" s="6" t="str">
        <f ca="1">IF(AND(NEGOCIAÇÕES!O503="",NEGOCIAÇÕES!N503&gt;TODAY()),NEGOCIAÇÕES!E503,"")</f>
        <v/>
      </c>
      <c r="D503" s="6" t="str">
        <f ca="1">IF(AND(NEGOCIAÇÕES!O503="",NEGOCIAÇÕES!N503&gt;TODAY()),NEGOCIAÇÕES!D503,"")</f>
        <v/>
      </c>
      <c r="E503" s="9" t="str">
        <f>IF(AND(NEGOCIAÇÕES!B503&lt;&gt;"",NEGOCIAÇÕES!O503=""),NEGOCIAÇÕES!N503,"")</f>
        <v/>
      </c>
    </row>
    <row r="504" spans="2:5" ht="31.95" hidden="1" customHeight="1" x14ac:dyDescent="0.3">
      <c r="B504" s="6" t="str">
        <f ca="1">IF(AND(NEGOCIAÇÕES!O504="",NEGOCIAÇÕES!N504&gt;TODAY()),NEGOCIAÇÕES!C504,"")</f>
        <v/>
      </c>
      <c r="C504" s="6" t="str">
        <f ca="1">IF(AND(NEGOCIAÇÕES!O504="",NEGOCIAÇÕES!N504&gt;TODAY()),NEGOCIAÇÕES!E504,"")</f>
        <v/>
      </c>
      <c r="D504" s="6" t="str">
        <f ca="1">IF(AND(NEGOCIAÇÕES!O504="",NEGOCIAÇÕES!N504&gt;TODAY()),NEGOCIAÇÕES!D504,"")</f>
        <v/>
      </c>
      <c r="E504" s="9" t="str">
        <f>IF(AND(NEGOCIAÇÕES!B504&lt;&gt;"",NEGOCIAÇÕES!O504=""),NEGOCIAÇÕES!N504,"")</f>
        <v/>
      </c>
    </row>
    <row r="505" spans="2:5" ht="31.95" hidden="1" customHeight="1" x14ac:dyDescent="0.3">
      <c r="B505" s="6" t="str">
        <f ca="1">IF(AND(NEGOCIAÇÕES!O505="",NEGOCIAÇÕES!N505&gt;TODAY()),NEGOCIAÇÕES!C505,"")</f>
        <v/>
      </c>
      <c r="C505" s="6" t="str">
        <f ca="1">IF(AND(NEGOCIAÇÕES!O505="",NEGOCIAÇÕES!N505&gt;TODAY()),NEGOCIAÇÕES!E505,"")</f>
        <v/>
      </c>
      <c r="D505" s="6" t="str">
        <f ca="1">IF(AND(NEGOCIAÇÕES!O505="",NEGOCIAÇÕES!N505&gt;TODAY()),NEGOCIAÇÕES!D505,"")</f>
        <v/>
      </c>
      <c r="E505" s="9" t="str">
        <f>IF(AND(NEGOCIAÇÕES!B505&lt;&gt;"",NEGOCIAÇÕES!O505=""),NEGOCIAÇÕES!N505,"")</f>
        <v/>
      </c>
    </row>
    <row r="506" spans="2:5" ht="31.95" hidden="1" customHeight="1" x14ac:dyDescent="0.3">
      <c r="B506" s="6" t="str">
        <f ca="1">IF(AND(NEGOCIAÇÕES!O506="",NEGOCIAÇÕES!N506&gt;TODAY()),NEGOCIAÇÕES!C506,"")</f>
        <v/>
      </c>
      <c r="C506" s="6" t="str">
        <f ca="1">IF(AND(NEGOCIAÇÕES!O506="",NEGOCIAÇÕES!N506&gt;TODAY()),NEGOCIAÇÕES!E506,"")</f>
        <v/>
      </c>
      <c r="D506" s="6" t="str">
        <f ca="1">IF(AND(NEGOCIAÇÕES!O506="",NEGOCIAÇÕES!N506&gt;TODAY()),NEGOCIAÇÕES!D506,"")</f>
        <v/>
      </c>
      <c r="E506" s="9" t="str">
        <f>IF(AND(NEGOCIAÇÕES!B506&lt;&gt;"",NEGOCIAÇÕES!O506=""),NEGOCIAÇÕES!N506,"")</f>
        <v/>
      </c>
    </row>
    <row r="507" spans="2:5" ht="31.95" hidden="1" customHeight="1" x14ac:dyDescent="0.3">
      <c r="B507" s="6" t="str">
        <f ca="1">IF(AND(NEGOCIAÇÕES!O507="",NEGOCIAÇÕES!N507&gt;TODAY()),NEGOCIAÇÕES!C507,"")</f>
        <v/>
      </c>
      <c r="C507" s="6" t="str">
        <f ca="1">IF(AND(NEGOCIAÇÕES!O507="",NEGOCIAÇÕES!N507&gt;TODAY()),NEGOCIAÇÕES!E507,"")</f>
        <v/>
      </c>
      <c r="D507" s="6" t="str">
        <f ca="1">IF(AND(NEGOCIAÇÕES!O507="",NEGOCIAÇÕES!N507&gt;TODAY()),NEGOCIAÇÕES!D507,"")</f>
        <v/>
      </c>
      <c r="E507" s="9" t="str">
        <f>IF(AND(NEGOCIAÇÕES!B507&lt;&gt;"",NEGOCIAÇÕES!O507=""),NEGOCIAÇÕES!N507,"")</f>
        <v/>
      </c>
    </row>
    <row r="508" spans="2:5" ht="31.95" hidden="1" customHeight="1" x14ac:dyDescent="0.3">
      <c r="B508" s="6" t="str">
        <f ca="1">IF(AND(NEGOCIAÇÕES!O508="",NEGOCIAÇÕES!N508&gt;TODAY()),NEGOCIAÇÕES!C508,"")</f>
        <v/>
      </c>
      <c r="C508" s="6" t="str">
        <f ca="1">IF(AND(NEGOCIAÇÕES!O508="",NEGOCIAÇÕES!N508&gt;TODAY()),NEGOCIAÇÕES!E508,"")</f>
        <v/>
      </c>
      <c r="D508" s="6" t="str">
        <f ca="1">IF(AND(NEGOCIAÇÕES!O508="",NEGOCIAÇÕES!N508&gt;TODAY()),NEGOCIAÇÕES!D508,"")</f>
        <v/>
      </c>
      <c r="E508" s="9" t="str">
        <f>IF(AND(NEGOCIAÇÕES!B508&lt;&gt;"",NEGOCIAÇÕES!O508=""),NEGOCIAÇÕES!N508,"")</f>
        <v/>
      </c>
    </row>
    <row r="509" spans="2:5" ht="31.95" hidden="1" customHeight="1" x14ac:dyDescent="0.3">
      <c r="B509" s="6" t="str">
        <f ca="1">IF(AND(NEGOCIAÇÕES!O509="",NEGOCIAÇÕES!N509&gt;TODAY()),NEGOCIAÇÕES!C509,"")</f>
        <v/>
      </c>
      <c r="C509" s="6" t="str">
        <f ca="1">IF(AND(NEGOCIAÇÕES!O509="",NEGOCIAÇÕES!N509&gt;TODAY()),NEGOCIAÇÕES!E509,"")</f>
        <v/>
      </c>
      <c r="D509" s="6" t="str">
        <f ca="1">IF(AND(NEGOCIAÇÕES!O509="",NEGOCIAÇÕES!N509&gt;TODAY()),NEGOCIAÇÕES!D509,"")</f>
        <v/>
      </c>
      <c r="E509" s="9" t="str">
        <f>IF(AND(NEGOCIAÇÕES!B509&lt;&gt;"",NEGOCIAÇÕES!O509=""),NEGOCIAÇÕES!N509,"")</f>
        <v/>
      </c>
    </row>
    <row r="510" spans="2:5" ht="31.95" hidden="1" customHeight="1" x14ac:dyDescent="0.3">
      <c r="B510" s="6" t="str">
        <f ca="1">IF(AND(NEGOCIAÇÕES!O510="",NEGOCIAÇÕES!N510&gt;TODAY()),NEGOCIAÇÕES!C510,"")</f>
        <v/>
      </c>
      <c r="C510" s="6" t="str">
        <f ca="1">IF(AND(NEGOCIAÇÕES!O510="",NEGOCIAÇÕES!N510&gt;TODAY()),NEGOCIAÇÕES!E510,"")</f>
        <v/>
      </c>
      <c r="D510" s="6" t="str">
        <f ca="1">IF(AND(NEGOCIAÇÕES!O510="",NEGOCIAÇÕES!N510&gt;TODAY()),NEGOCIAÇÕES!D510,"")</f>
        <v/>
      </c>
      <c r="E510" s="9" t="str">
        <f>IF(AND(NEGOCIAÇÕES!B510&lt;&gt;"",NEGOCIAÇÕES!O510=""),NEGOCIAÇÕES!N510,"")</f>
        <v/>
      </c>
    </row>
    <row r="511" spans="2:5" ht="31.95" hidden="1" customHeight="1" x14ac:dyDescent="0.3">
      <c r="B511" s="6" t="str">
        <f ca="1">IF(AND(NEGOCIAÇÕES!O511="",NEGOCIAÇÕES!N511&gt;TODAY()),NEGOCIAÇÕES!C511,"")</f>
        <v/>
      </c>
      <c r="C511" s="6" t="str">
        <f ca="1">IF(AND(NEGOCIAÇÕES!O511="",NEGOCIAÇÕES!N511&gt;TODAY()),NEGOCIAÇÕES!E511,"")</f>
        <v/>
      </c>
      <c r="D511" s="6" t="str">
        <f ca="1">IF(AND(NEGOCIAÇÕES!O511="",NEGOCIAÇÕES!N511&gt;TODAY()),NEGOCIAÇÕES!D511,"")</f>
        <v/>
      </c>
      <c r="E511" s="9" t="str">
        <f>IF(AND(NEGOCIAÇÕES!B511&lt;&gt;"",NEGOCIAÇÕES!O511=""),NEGOCIAÇÕES!N511,"")</f>
        <v/>
      </c>
    </row>
    <row r="512" spans="2:5" ht="31.95" hidden="1" customHeight="1" x14ac:dyDescent="0.3">
      <c r="B512" s="6" t="str">
        <f ca="1">IF(AND(NEGOCIAÇÕES!O512="",NEGOCIAÇÕES!N512&gt;TODAY()),NEGOCIAÇÕES!C512,"")</f>
        <v/>
      </c>
      <c r="C512" s="6" t="str">
        <f ca="1">IF(AND(NEGOCIAÇÕES!O512="",NEGOCIAÇÕES!N512&gt;TODAY()),NEGOCIAÇÕES!E512,"")</f>
        <v/>
      </c>
      <c r="D512" s="6" t="str">
        <f ca="1">IF(AND(NEGOCIAÇÕES!O512="",NEGOCIAÇÕES!N512&gt;TODAY()),NEGOCIAÇÕES!D512,"")</f>
        <v/>
      </c>
      <c r="E512" s="9" t="str">
        <f>IF(AND(NEGOCIAÇÕES!B512&lt;&gt;"",NEGOCIAÇÕES!O512=""),NEGOCIAÇÕES!N512,"")</f>
        <v/>
      </c>
    </row>
    <row r="513" spans="2:5" ht="31.95" hidden="1" customHeight="1" x14ac:dyDescent="0.3">
      <c r="B513" s="6" t="str">
        <f ca="1">IF(AND(NEGOCIAÇÕES!O513="",NEGOCIAÇÕES!N513&gt;TODAY()),NEGOCIAÇÕES!C513,"")</f>
        <v/>
      </c>
      <c r="C513" s="6" t="str">
        <f ca="1">IF(AND(NEGOCIAÇÕES!O513="",NEGOCIAÇÕES!N513&gt;TODAY()),NEGOCIAÇÕES!E513,"")</f>
        <v/>
      </c>
      <c r="D513" s="6" t="str">
        <f ca="1">IF(AND(NEGOCIAÇÕES!O513="",NEGOCIAÇÕES!N513&gt;TODAY()),NEGOCIAÇÕES!D513,"")</f>
        <v/>
      </c>
      <c r="E513" s="9" t="str">
        <f>IF(AND(NEGOCIAÇÕES!B513&lt;&gt;"",NEGOCIAÇÕES!O513=""),NEGOCIAÇÕES!N513,"")</f>
        <v/>
      </c>
    </row>
    <row r="514" spans="2:5" ht="31.95" hidden="1" customHeight="1" x14ac:dyDescent="0.3">
      <c r="B514" s="6" t="str">
        <f ca="1">IF(AND(NEGOCIAÇÕES!O514="",NEGOCIAÇÕES!N514&gt;TODAY()),NEGOCIAÇÕES!C514,"")</f>
        <v/>
      </c>
      <c r="C514" s="6" t="str">
        <f ca="1">IF(AND(NEGOCIAÇÕES!O514="",NEGOCIAÇÕES!N514&gt;TODAY()),NEGOCIAÇÕES!E514,"")</f>
        <v/>
      </c>
      <c r="D514" s="6" t="str">
        <f ca="1">IF(AND(NEGOCIAÇÕES!O514="",NEGOCIAÇÕES!N514&gt;TODAY()),NEGOCIAÇÕES!D514,"")</f>
        <v/>
      </c>
      <c r="E514" s="9" t="str">
        <f>IF(AND(NEGOCIAÇÕES!B514&lt;&gt;"",NEGOCIAÇÕES!O514=""),NEGOCIAÇÕES!N514,"")</f>
        <v/>
      </c>
    </row>
    <row r="515" spans="2:5" ht="31.95" hidden="1" customHeight="1" x14ac:dyDescent="0.3">
      <c r="B515" s="6" t="str">
        <f ca="1">IF(AND(NEGOCIAÇÕES!O515="",NEGOCIAÇÕES!N515&gt;TODAY()),NEGOCIAÇÕES!C515,"")</f>
        <v/>
      </c>
      <c r="C515" s="6" t="str">
        <f ca="1">IF(AND(NEGOCIAÇÕES!O515="",NEGOCIAÇÕES!N515&gt;TODAY()),NEGOCIAÇÕES!E515,"")</f>
        <v/>
      </c>
      <c r="D515" s="6" t="str">
        <f ca="1">IF(AND(NEGOCIAÇÕES!O515="",NEGOCIAÇÕES!N515&gt;TODAY()),NEGOCIAÇÕES!D515,"")</f>
        <v/>
      </c>
      <c r="E515" s="9" t="str">
        <f>IF(AND(NEGOCIAÇÕES!B515&lt;&gt;"",NEGOCIAÇÕES!O515=""),NEGOCIAÇÕES!N515,"")</f>
        <v/>
      </c>
    </row>
    <row r="516" spans="2:5" ht="31.95" hidden="1" customHeight="1" x14ac:dyDescent="0.3">
      <c r="B516" s="6" t="str">
        <f ca="1">IF(AND(NEGOCIAÇÕES!O516="",NEGOCIAÇÕES!N516&gt;TODAY()),NEGOCIAÇÕES!C516,"")</f>
        <v/>
      </c>
      <c r="C516" s="6" t="str">
        <f ca="1">IF(AND(NEGOCIAÇÕES!O516="",NEGOCIAÇÕES!N516&gt;TODAY()),NEGOCIAÇÕES!E516,"")</f>
        <v/>
      </c>
      <c r="D516" s="6" t="str">
        <f ca="1">IF(AND(NEGOCIAÇÕES!O516="",NEGOCIAÇÕES!N516&gt;TODAY()),NEGOCIAÇÕES!D516,"")</f>
        <v/>
      </c>
      <c r="E516" s="9" t="str">
        <f>IF(AND(NEGOCIAÇÕES!B516&lt;&gt;"",NEGOCIAÇÕES!O516=""),NEGOCIAÇÕES!N516,"")</f>
        <v/>
      </c>
    </row>
    <row r="517" spans="2:5" ht="31.95" hidden="1" customHeight="1" x14ac:dyDescent="0.3">
      <c r="B517" s="6" t="str">
        <f ca="1">IF(AND(NEGOCIAÇÕES!O517="",NEGOCIAÇÕES!N517&gt;TODAY()),NEGOCIAÇÕES!C517,"")</f>
        <v/>
      </c>
      <c r="C517" s="6" t="str">
        <f ca="1">IF(AND(NEGOCIAÇÕES!O517="",NEGOCIAÇÕES!N517&gt;TODAY()),NEGOCIAÇÕES!E517,"")</f>
        <v/>
      </c>
      <c r="D517" s="6" t="str">
        <f ca="1">IF(AND(NEGOCIAÇÕES!O517="",NEGOCIAÇÕES!N517&gt;TODAY()),NEGOCIAÇÕES!D517,"")</f>
        <v/>
      </c>
      <c r="E517" s="9" t="str">
        <f>IF(AND(NEGOCIAÇÕES!B517&lt;&gt;"",NEGOCIAÇÕES!O517=""),NEGOCIAÇÕES!N517,"")</f>
        <v/>
      </c>
    </row>
    <row r="518" spans="2:5" ht="31.95" hidden="1" customHeight="1" x14ac:dyDescent="0.3">
      <c r="B518" s="6" t="str">
        <f ca="1">IF(AND(NEGOCIAÇÕES!O518="",NEGOCIAÇÕES!N518&gt;TODAY()),NEGOCIAÇÕES!C518,"")</f>
        <v/>
      </c>
      <c r="C518" s="6" t="str">
        <f ca="1">IF(AND(NEGOCIAÇÕES!O518="",NEGOCIAÇÕES!N518&gt;TODAY()),NEGOCIAÇÕES!E518,"")</f>
        <v/>
      </c>
      <c r="D518" s="6" t="str">
        <f ca="1">IF(AND(NEGOCIAÇÕES!O518="",NEGOCIAÇÕES!N518&gt;TODAY()),NEGOCIAÇÕES!D518,"")</f>
        <v/>
      </c>
      <c r="E518" s="9" t="str">
        <f>IF(AND(NEGOCIAÇÕES!B518&lt;&gt;"",NEGOCIAÇÕES!O518=""),NEGOCIAÇÕES!N518,"")</f>
        <v/>
      </c>
    </row>
    <row r="519" spans="2:5" ht="31.95" hidden="1" customHeight="1" x14ac:dyDescent="0.3">
      <c r="B519" s="6" t="str">
        <f ca="1">IF(AND(NEGOCIAÇÕES!O519="",NEGOCIAÇÕES!N519&gt;TODAY()),NEGOCIAÇÕES!C519,"")</f>
        <v/>
      </c>
      <c r="C519" s="6" t="str">
        <f ca="1">IF(AND(NEGOCIAÇÕES!O519="",NEGOCIAÇÕES!N519&gt;TODAY()),NEGOCIAÇÕES!E519,"")</f>
        <v/>
      </c>
      <c r="D519" s="6" t="str">
        <f ca="1">IF(AND(NEGOCIAÇÕES!O519="",NEGOCIAÇÕES!N519&gt;TODAY()),NEGOCIAÇÕES!D519,"")</f>
        <v/>
      </c>
      <c r="E519" s="9" t="str">
        <f>IF(AND(NEGOCIAÇÕES!B519&lt;&gt;"",NEGOCIAÇÕES!O519=""),NEGOCIAÇÕES!N519,"")</f>
        <v/>
      </c>
    </row>
    <row r="520" spans="2:5" ht="31.95" hidden="1" customHeight="1" x14ac:dyDescent="0.3">
      <c r="B520" s="6" t="str">
        <f ca="1">IF(AND(NEGOCIAÇÕES!O520="",NEGOCIAÇÕES!N520&gt;TODAY()),NEGOCIAÇÕES!C520,"")</f>
        <v/>
      </c>
      <c r="C520" s="6" t="str">
        <f ca="1">IF(AND(NEGOCIAÇÕES!O520="",NEGOCIAÇÕES!N520&gt;TODAY()),NEGOCIAÇÕES!E520,"")</f>
        <v/>
      </c>
      <c r="D520" s="6" t="str">
        <f ca="1">IF(AND(NEGOCIAÇÕES!O520="",NEGOCIAÇÕES!N520&gt;TODAY()),NEGOCIAÇÕES!D520,"")</f>
        <v/>
      </c>
      <c r="E520" s="9" t="str">
        <f>IF(AND(NEGOCIAÇÕES!B520&lt;&gt;"",NEGOCIAÇÕES!O520=""),NEGOCIAÇÕES!N520,"")</f>
        <v/>
      </c>
    </row>
    <row r="521" spans="2:5" ht="31.95" hidden="1" customHeight="1" x14ac:dyDescent="0.3">
      <c r="B521" s="6" t="str">
        <f ca="1">IF(AND(NEGOCIAÇÕES!O521="",NEGOCIAÇÕES!N521&gt;TODAY()),NEGOCIAÇÕES!C521,"")</f>
        <v/>
      </c>
      <c r="C521" s="6" t="str">
        <f ca="1">IF(AND(NEGOCIAÇÕES!O521="",NEGOCIAÇÕES!N521&gt;TODAY()),NEGOCIAÇÕES!E521,"")</f>
        <v/>
      </c>
      <c r="D521" s="6" t="str">
        <f ca="1">IF(AND(NEGOCIAÇÕES!O521="",NEGOCIAÇÕES!N521&gt;TODAY()),NEGOCIAÇÕES!D521,"")</f>
        <v/>
      </c>
      <c r="E521" s="9" t="str">
        <f>IF(AND(NEGOCIAÇÕES!B521&lt;&gt;"",NEGOCIAÇÕES!O521=""),NEGOCIAÇÕES!N521,"")</f>
        <v/>
      </c>
    </row>
    <row r="522" spans="2:5" ht="31.95" hidden="1" customHeight="1" x14ac:dyDescent="0.3">
      <c r="B522" s="6" t="str">
        <f ca="1">IF(AND(NEGOCIAÇÕES!O522="",NEGOCIAÇÕES!N522&gt;TODAY()),NEGOCIAÇÕES!C522,"")</f>
        <v/>
      </c>
      <c r="C522" s="6" t="str">
        <f ca="1">IF(AND(NEGOCIAÇÕES!O522="",NEGOCIAÇÕES!N522&gt;TODAY()),NEGOCIAÇÕES!E522,"")</f>
        <v/>
      </c>
      <c r="D522" s="6" t="str">
        <f ca="1">IF(AND(NEGOCIAÇÕES!O522="",NEGOCIAÇÕES!N522&gt;TODAY()),NEGOCIAÇÕES!D522,"")</f>
        <v/>
      </c>
      <c r="E522" s="9" t="str">
        <f>IF(AND(NEGOCIAÇÕES!B522&lt;&gt;"",NEGOCIAÇÕES!O522=""),NEGOCIAÇÕES!N522,"")</f>
        <v/>
      </c>
    </row>
    <row r="523" spans="2:5" ht="31.95" hidden="1" customHeight="1" x14ac:dyDescent="0.3">
      <c r="B523" s="6" t="str">
        <f ca="1">IF(AND(NEGOCIAÇÕES!O523="",NEGOCIAÇÕES!N523&gt;TODAY()),NEGOCIAÇÕES!C523,"")</f>
        <v/>
      </c>
      <c r="C523" s="6" t="str">
        <f ca="1">IF(AND(NEGOCIAÇÕES!O523="",NEGOCIAÇÕES!N523&gt;TODAY()),NEGOCIAÇÕES!E523,"")</f>
        <v/>
      </c>
      <c r="D523" s="6" t="str">
        <f ca="1">IF(AND(NEGOCIAÇÕES!O523="",NEGOCIAÇÕES!N523&gt;TODAY()),NEGOCIAÇÕES!D523,"")</f>
        <v/>
      </c>
      <c r="E523" s="9" t="str">
        <f>IF(AND(NEGOCIAÇÕES!B523&lt;&gt;"",NEGOCIAÇÕES!O523=""),NEGOCIAÇÕES!N523,"")</f>
        <v/>
      </c>
    </row>
    <row r="524" spans="2:5" ht="31.95" hidden="1" customHeight="1" x14ac:dyDescent="0.3">
      <c r="B524" s="6" t="str">
        <f ca="1">IF(AND(NEGOCIAÇÕES!O524="",NEGOCIAÇÕES!N524&gt;TODAY()),NEGOCIAÇÕES!C524,"")</f>
        <v/>
      </c>
      <c r="C524" s="6" t="str">
        <f ca="1">IF(AND(NEGOCIAÇÕES!O524="",NEGOCIAÇÕES!N524&gt;TODAY()),NEGOCIAÇÕES!E524,"")</f>
        <v/>
      </c>
      <c r="D524" s="6" t="str">
        <f ca="1">IF(AND(NEGOCIAÇÕES!O524="",NEGOCIAÇÕES!N524&gt;TODAY()),NEGOCIAÇÕES!D524,"")</f>
        <v/>
      </c>
      <c r="E524" s="9" t="str">
        <f>IF(AND(NEGOCIAÇÕES!B524&lt;&gt;"",NEGOCIAÇÕES!O524=""),NEGOCIAÇÕES!N524,"")</f>
        <v/>
      </c>
    </row>
    <row r="525" spans="2:5" ht="31.95" hidden="1" customHeight="1" x14ac:dyDescent="0.3">
      <c r="B525" s="6" t="str">
        <f ca="1">IF(AND(NEGOCIAÇÕES!O525="",NEGOCIAÇÕES!N525&gt;TODAY()),NEGOCIAÇÕES!C525,"")</f>
        <v/>
      </c>
      <c r="C525" s="6" t="str">
        <f ca="1">IF(AND(NEGOCIAÇÕES!O525="",NEGOCIAÇÕES!N525&gt;TODAY()),NEGOCIAÇÕES!E525,"")</f>
        <v/>
      </c>
      <c r="D525" s="6" t="str">
        <f ca="1">IF(AND(NEGOCIAÇÕES!O525="",NEGOCIAÇÕES!N525&gt;TODAY()),NEGOCIAÇÕES!D525,"")</f>
        <v/>
      </c>
      <c r="E525" s="9" t="str">
        <f>IF(AND(NEGOCIAÇÕES!B525&lt;&gt;"",NEGOCIAÇÕES!O525=""),NEGOCIAÇÕES!N525,"")</f>
        <v/>
      </c>
    </row>
    <row r="526" spans="2:5" ht="31.95" hidden="1" customHeight="1" x14ac:dyDescent="0.3">
      <c r="B526" s="6" t="str">
        <f ca="1">IF(AND(NEGOCIAÇÕES!O526="",NEGOCIAÇÕES!N526&gt;TODAY()),NEGOCIAÇÕES!C526,"")</f>
        <v/>
      </c>
      <c r="C526" s="6" t="str">
        <f ca="1">IF(AND(NEGOCIAÇÕES!O526="",NEGOCIAÇÕES!N526&gt;TODAY()),NEGOCIAÇÕES!E526,"")</f>
        <v/>
      </c>
      <c r="D526" s="6" t="str">
        <f ca="1">IF(AND(NEGOCIAÇÕES!O526="",NEGOCIAÇÕES!N526&gt;TODAY()),NEGOCIAÇÕES!D526,"")</f>
        <v/>
      </c>
      <c r="E526" s="9" t="str">
        <f>IF(AND(NEGOCIAÇÕES!B526&lt;&gt;"",NEGOCIAÇÕES!O526=""),NEGOCIAÇÕES!N526,"")</f>
        <v/>
      </c>
    </row>
    <row r="527" spans="2:5" ht="31.95" hidden="1" customHeight="1" x14ac:dyDescent="0.3">
      <c r="B527" s="6" t="str">
        <f ca="1">IF(AND(NEGOCIAÇÕES!O527="",NEGOCIAÇÕES!N527&gt;TODAY()),NEGOCIAÇÕES!C527,"")</f>
        <v/>
      </c>
      <c r="C527" s="6" t="str">
        <f ca="1">IF(AND(NEGOCIAÇÕES!O527="",NEGOCIAÇÕES!N527&gt;TODAY()),NEGOCIAÇÕES!E527,"")</f>
        <v/>
      </c>
      <c r="D527" s="6" t="str">
        <f ca="1">IF(AND(NEGOCIAÇÕES!O527="",NEGOCIAÇÕES!N527&gt;TODAY()),NEGOCIAÇÕES!D527,"")</f>
        <v/>
      </c>
      <c r="E527" s="9" t="str">
        <f>IF(AND(NEGOCIAÇÕES!B527&lt;&gt;"",NEGOCIAÇÕES!O527=""),NEGOCIAÇÕES!N527,"")</f>
        <v/>
      </c>
    </row>
    <row r="528" spans="2:5" ht="31.95" hidden="1" customHeight="1" x14ac:dyDescent="0.3">
      <c r="B528" s="6" t="str">
        <f ca="1">IF(AND(NEGOCIAÇÕES!O528="",NEGOCIAÇÕES!N528&gt;TODAY()),NEGOCIAÇÕES!C528,"")</f>
        <v/>
      </c>
      <c r="C528" s="6" t="str">
        <f ca="1">IF(AND(NEGOCIAÇÕES!O528="",NEGOCIAÇÕES!N528&gt;TODAY()),NEGOCIAÇÕES!E528,"")</f>
        <v/>
      </c>
      <c r="D528" s="6" t="str">
        <f ca="1">IF(AND(NEGOCIAÇÕES!O528="",NEGOCIAÇÕES!N528&gt;TODAY()),NEGOCIAÇÕES!D528,"")</f>
        <v/>
      </c>
      <c r="E528" s="9" t="str">
        <f>IF(AND(NEGOCIAÇÕES!B528&lt;&gt;"",NEGOCIAÇÕES!O528=""),NEGOCIAÇÕES!N528,"")</f>
        <v/>
      </c>
    </row>
    <row r="529" spans="2:5" ht="31.95" hidden="1" customHeight="1" x14ac:dyDescent="0.3">
      <c r="B529" s="6" t="str">
        <f ca="1">IF(AND(NEGOCIAÇÕES!O529="",NEGOCIAÇÕES!N529&gt;TODAY()),NEGOCIAÇÕES!C529,"")</f>
        <v/>
      </c>
      <c r="C529" s="6" t="str">
        <f ca="1">IF(AND(NEGOCIAÇÕES!O529="",NEGOCIAÇÕES!N529&gt;TODAY()),NEGOCIAÇÕES!E529,"")</f>
        <v/>
      </c>
      <c r="D529" s="6" t="str">
        <f ca="1">IF(AND(NEGOCIAÇÕES!O529="",NEGOCIAÇÕES!N529&gt;TODAY()),NEGOCIAÇÕES!D529,"")</f>
        <v/>
      </c>
      <c r="E529" s="9" t="str">
        <f>IF(AND(NEGOCIAÇÕES!B529&lt;&gt;"",NEGOCIAÇÕES!O529=""),NEGOCIAÇÕES!N529,"")</f>
        <v/>
      </c>
    </row>
    <row r="530" spans="2:5" ht="31.95" hidden="1" customHeight="1" x14ac:dyDescent="0.3">
      <c r="B530" s="6" t="str">
        <f ca="1">IF(AND(NEGOCIAÇÕES!O530="",NEGOCIAÇÕES!N530&gt;TODAY()),NEGOCIAÇÕES!C530,"")</f>
        <v/>
      </c>
      <c r="C530" s="6" t="str">
        <f ca="1">IF(AND(NEGOCIAÇÕES!O530="",NEGOCIAÇÕES!N530&gt;TODAY()),NEGOCIAÇÕES!E530,"")</f>
        <v/>
      </c>
      <c r="D530" s="6" t="str">
        <f ca="1">IF(AND(NEGOCIAÇÕES!O530="",NEGOCIAÇÕES!N530&gt;TODAY()),NEGOCIAÇÕES!D530,"")</f>
        <v/>
      </c>
      <c r="E530" s="9" t="str">
        <f>IF(AND(NEGOCIAÇÕES!B530&lt;&gt;"",NEGOCIAÇÕES!O530=""),NEGOCIAÇÕES!N530,"")</f>
        <v/>
      </c>
    </row>
    <row r="531" spans="2:5" ht="31.95" hidden="1" customHeight="1" x14ac:dyDescent="0.3">
      <c r="B531" s="6" t="str">
        <f ca="1">IF(AND(NEGOCIAÇÕES!O531="",NEGOCIAÇÕES!N531&gt;TODAY()),NEGOCIAÇÕES!C531,"")</f>
        <v/>
      </c>
      <c r="C531" s="6" t="str">
        <f ca="1">IF(AND(NEGOCIAÇÕES!O531="",NEGOCIAÇÕES!N531&gt;TODAY()),NEGOCIAÇÕES!E531,"")</f>
        <v/>
      </c>
      <c r="D531" s="6" t="str">
        <f ca="1">IF(AND(NEGOCIAÇÕES!O531="",NEGOCIAÇÕES!N531&gt;TODAY()),NEGOCIAÇÕES!D531,"")</f>
        <v/>
      </c>
      <c r="E531" s="9" t="str">
        <f>IF(AND(NEGOCIAÇÕES!B531&lt;&gt;"",NEGOCIAÇÕES!O531=""),NEGOCIAÇÕES!N531,"")</f>
        <v/>
      </c>
    </row>
    <row r="532" spans="2:5" ht="31.95" hidden="1" customHeight="1" x14ac:dyDescent="0.3">
      <c r="B532" s="6" t="str">
        <f ca="1">IF(AND(NEGOCIAÇÕES!O532="",NEGOCIAÇÕES!N532&gt;TODAY()),NEGOCIAÇÕES!C532,"")</f>
        <v/>
      </c>
      <c r="C532" s="6" t="str">
        <f ca="1">IF(AND(NEGOCIAÇÕES!O532="",NEGOCIAÇÕES!N532&gt;TODAY()),NEGOCIAÇÕES!E532,"")</f>
        <v/>
      </c>
      <c r="D532" s="6" t="str">
        <f ca="1">IF(AND(NEGOCIAÇÕES!O532="",NEGOCIAÇÕES!N532&gt;TODAY()),NEGOCIAÇÕES!D532,"")</f>
        <v/>
      </c>
      <c r="E532" s="9" t="str">
        <f>IF(AND(NEGOCIAÇÕES!B532&lt;&gt;"",NEGOCIAÇÕES!O532=""),NEGOCIAÇÕES!N532,"")</f>
        <v/>
      </c>
    </row>
    <row r="533" spans="2:5" ht="31.95" hidden="1" customHeight="1" x14ac:dyDescent="0.3">
      <c r="B533" s="6" t="str">
        <f ca="1">IF(AND(NEGOCIAÇÕES!O533="",NEGOCIAÇÕES!N533&gt;TODAY()),NEGOCIAÇÕES!C533,"")</f>
        <v/>
      </c>
      <c r="C533" s="6" t="str">
        <f ca="1">IF(AND(NEGOCIAÇÕES!O533="",NEGOCIAÇÕES!N533&gt;TODAY()),NEGOCIAÇÕES!E533,"")</f>
        <v/>
      </c>
      <c r="D533" s="6" t="str">
        <f ca="1">IF(AND(NEGOCIAÇÕES!O533="",NEGOCIAÇÕES!N533&gt;TODAY()),NEGOCIAÇÕES!D533,"")</f>
        <v/>
      </c>
      <c r="E533" s="9" t="str">
        <f>IF(AND(NEGOCIAÇÕES!B533&lt;&gt;"",NEGOCIAÇÕES!O533=""),NEGOCIAÇÕES!N533,"")</f>
        <v/>
      </c>
    </row>
    <row r="534" spans="2:5" ht="31.95" hidden="1" customHeight="1" x14ac:dyDescent="0.3">
      <c r="B534" s="6" t="str">
        <f ca="1">IF(AND(NEGOCIAÇÕES!O534="",NEGOCIAÇÕES!N534&gt;TODAY()),NEGOCIAÇÕES!C534,"")</f>
        <v/>
      </c>
      <c r="C534" s="6" t="str">
        <f ca="1">IF(AND(NEGOCIAÇÕES!O534="",NEGOCIAÇÕES!N534&gt;TODAY()),NEGOCIAÇÕES!E534,"")</f>
        <v/>
      </c>
      <c r="D534" s="6" t="str">
        <f ca="1">IF(AND(NEGOCIAÇÕES!O534="",NEGOCIAÇÕES!N534&gt;TODAY()),NEGOCIAÇÕES!D534,"")</f>
        <v/>
      </c>
      <c r="E534" s="9" t="str">
        <f>IF(AND(NEGOCIAÇÕES!B534&lt;&gt;"",NEGOCIAÇÕES!O534=""),NEGOCIAÇÕES!N534,"")</f>
        <v/>
      </c>
    </row>
    <row r="535" spans="2:5" ht="31.95" hidden="1" customHeight="1" x14ac:dyDescent="0.3">
      <c r="B535" s="6" t="str">
        <f ca="1">IF(AND(NEGOCIAÇÕES!O535="",NEGOCIAÇÕES!N535&gt;TODAY()),NEGOCIAÇÕES!C535,"")</f>
        <v/>
      </c>
      <c r="C535" s="6" t="str">
        <f ca="1">IF(AND(NEGOCIAÇÕES!O535="",NEGOCIAÇÕES!N535&gt;TODAY()),NEGOCIAÇÕES!E535,"")</f>
        <v/>
      </c>
      <c r="D535" s="6" t="str">
        <f ca="1">IF(AND(NEGOCIAÇÕES!O535="",NEGOCIAÇÕES!N535&gt;TODAY()),NEGOCIAÇÕES!D535,"")</f>
        <v/>
      </c>
      <c r="E535" s="9" t="str">
        <f>IF(AND(NEGOCIAÇÕES!B535&lt;&gt;"",NEGOCIAÇÕES!O535=""),NEGOCIAÇÕES!N535,"")</f>
        <v/>
      </c>
    </row>
    <row r="536" spans="2:5" ht="31.95" hidden="1" customHeight="1" x14ac:dyDescent="0.3">
      <c r="B536" s="6" t="str">
        <f ca="1">IF(AND(NEGOCIAÇÕES!O536="",NEGOCIAÇÕES!N536&gt;TODAY()),NEGOCIAÇÕES!C536,"")</f>
        <v/>
      </c>
      <c r="C536" s="6" t="str">
        <f ca="1">IF(AND(NEGOCIAÇÕES!O536="",NEGOCIAÇÕES!N536&gt;TODAY()),NEGOCIAÇÕES!E536,"")</f>
        <v/>
      </c>
      <c r="D536" s="6" t="str">
        <f ca="1">IF(AND(NEGOCIAÇÕES!O536="",NEGOCIAÇÕES!N536&gt;TODAY()),NEGOCIAÇÕES!D536,"")</f>
        <v/>
      </c>
      <c r="E536" s="9" t="str">
        <f>IF(AND(NEGOCIAÇÕES!B536&lt;&gt;"",NEGOCIAÇÕES!O536=""),NEGOCIAÇÕES!N536,"")</f>
        <v/>
      </c>
    </row>
    <row r="537" spans="2:5" ht="31.95" hidden="1" customHeight="1" x14ac:dyDescent="0.3">
      <c r="B537" s="6" t="str">
        <f ca="1">IF(AND(NEGOCIAÇÕES!O537="",NEGOCIAÇÕES!N537&gt;TODAY()),NEGOCIAÇÕES!C537,"")</f>
        <v/>
      </c>
      <c r="C537" s="6" t="str">
        <f ca="1">IF(AND(NEGOCIAÇÕES!O537="",NEGOCIAÇÕES!N537&gt;TODAY()),NEGOCIAÇÕES!E537,"")</f>
        <v/>
      </c>
      <c r="D537" s="6" t="str">
        <f ca="1">IF(AND(NEGOCIAÇÕES!O537="",NEGOCIAÇÕES!N537&gt;TODAY()),NEGOCIAÇÕES!D537,"")</f>
        <v/>
      </c>
      <c r="E537" s="9" t="str">
        <f>IF(AND(NEGOCIAÇÕES!B537&lt;&gt;"",NEGOCIAÇÕES!O537=""),NEGOCIAÇÕES!N537,"")</f>
        <v/>
      </c>
    </row>
    <row r="538" spans="2:5" ht="31.95" hidden="1" customHeight="1" x14ac:dyDescent="0.3">
      <c r="B538" s="6" t="str">
        <f ca="1">IF(AND(NEGOCIAÇÕES!O538="",NEGOCIAÇÕES!N538&gt;TODAY()),NEGOCIAÇÕES!C538,"")</f>
        <v/>
      </c>
      <c r="C538" s="6" t="str">
        <f ca="1">IF(AND(NEGOCIAÇÕES!O538="",NEGOCIAÇÕES!N538&gt;TODAY()),NEGOCIAÇÕES!E538,"")</f>
        <v/>
      </c>
      <c r="D538" s="6" t="str">
        <f ca="1">IF(AND(NEGOCIAÇÕES!O538="",NEGOCIAÇÕES!N538&gt;TODAY()),NEGOCIAÇÕES!D538,"")</f>
        <v/>
      </c>
      <c r="E538" s="9" t="str">
        <f>IF(AND(NEGOCIAÇÕES!B538&lt;&gt;"",NEGOCIAÇÕES!O538=""),NEGOCIAÇÕES!N538,"")</f>
        <v/>
      </c>
    </row>
    <row r="539" spans="2:5" ht="31.95" hidden="1" customHeight="1" x14ac:dyDescent="0.3">
      <c r="B539" s="6" t="str">
        <f ca="1">IF(AND(NEGOCIAÇÕES!O539="",NEGOCIAÇÕES!N539&gt;TODAY()),NEGOCIAÇÕES!C539,"")</f>
        <v/>
      </c>
      <c r="C539" s="6" t="str">
        <f ca="1">IF(AND(NEGOCIAÇÕES!O539="",NEGOCIAÇÕES!N539&gt;TODAY()),NEGOCIAÇÕES!E539,"")</f>
        <v/>
      </c>
      <c r="D539" s="6" t="str">
        <f ca="1">IF(AND(NEGOCIAÇÕES!O539="",NEGOCIAÇÕES!N539&gt;TODAY()),NEGOCIAÇÕES!D539,"")</f>
        <v/>
      </c>
      <c r="E539" s="9" t="str">
        <f>IF(AND(NEGOCIAÇÕES!B539&lt;&gt;"",NEGOCIAÇÕES!O539=""),NEGOCIAÇÕES!N539,"")</f>
        <v/>
      </c>
    </row>
    <row r="540" spans="2:5" ht="31.95" hidden="1" customHeight="1" x14ac:dyDescent="0.3">
      <c r="B540" s="6" t="str">
        <f ca="1">IF(AND(NEGOCIAÇÕES!O540="",NEGOCIAÇÕES!N540&gt;TODAY()),NEGOCIAÇÕES!C540,"")</f>
        <v/>
      </c>
      <c r="C540" s="6" t="str">
        <f ca="1">IF(AND(NEGOCIAÇÕES!O540="",NEGOCIAÇÕES!N540&gt;TODAY()),NEGOCIAÇÕES!E540,"")</f>
        <v/>
      </c>
      <c r="D540" s="6" t="str">
        <f ca="1">IF(AND(NEGOCIAÇÕES!O540="",NEGOCIAÇÕES!N540&gt;TODAY()),NEGOCIAÇÕES!D540,"")</f>
        <v/>
      </c>
      <c r="E540" s="9" t="str">
        <f>IF(AND(NEGOCIAÇÕES!B540&lt;&gt;"",NEGOCIAÇÕES!O540=""),NEGOCIAÇÕES!N540,"")</f>
        <v/>
      </c>
    </row>
    <row r="541" spans="2:5" ht="31.95" hidden="1" customHeight="1" x14ac:dyDescent="0.3">
      <c r="B541" s="6" t="str">
        <f ca="1">IF(AND(NEGOCIAÇÕES!O541="",NEGOCIAÇÕES!N541&gt;TODAY()),NEGOCIAÇÕES!C541,"")</f>
        <v/>
      </c>
      <c r="C541" s="6" t="str">
        <f ca="1">IF(AND(NEGOCIAÇÕES!O541="",NEGOCIAÇÕES!N541&gt;TODAY()),NEGOCIAÇÕES!E541,"")</f>
        <v/>
      </c>
      <c r="D541" s="6" t="str">
        <f ca="1">IF(AND(NEGOCIAÇÕES!O541="",NEGOCIAÇÕES!N541&gt;TODAY()),NEGOCIAÇÕES!D541,"")</f>
        <v/>
      </c>
      <c r="E541" s="9" t="str">
        <f>IF(AND(NEGOCIAÇÕES!B541&lt;&gt;"",NEGOCIAÇÕES!O541=""),NEGOCIAÇÕES!N541,"")</f>
        <v/>
      </c>
    </row>
    <row r="542" spans="2:5" ht="31.95" hidden="1" customHeight="1" x14ac:dyDescent="0.3">
      <c r="B542" s="6" t="str">
        <f ca="1">IF(AND(NEGOCIAÇÕES!O542="",NEGOCIAÇÕES!N542&gt;TODAY()),NEGOCIAÇÕES!C542,"")</f>
        <v/>
      </c>
      <c r="C542" s="6" t="str">
        <f ca="1">IF(AND(NEGOCIAÇÕES!O542="",NEGOCIAÇÕES!N542&gt;TODAY()),NEGOCIAÇÕES!E542,"")</f>
        <v/>
      </c>
      <c r="D542" s="6" t="str">
        <f ca="1">IF(AND(NEGOCIAÇÕES!O542="",NEGOCIAÇÕES!N542&gt;TODAY()),NEGOCIAÇÕES!D542,"")</f>
        <v/>
      </c>
      <c r="E542" s="9" t="str">
        <f>IF(AND(NEGOCIAÇÕES!B542&lt;&gt;"",NEGOCIAÇÕES!O542=""),NEGOCIAÇÕES!N542,"")</f>
        <v/>
      </c>
    </row>
    <row r="543" spans="2:5" ht="31.95" hidden="1" customHeight="1" x14ac:dyDescent="0.3">
      <c r="B543" s="6" t="str">
        <f ca="1">IF(AND(NEGOCIAÇÕES!O543="",NEGOCIAÇÕES!N543&gt;TODAY()),NEGOCIAÇÕES!C543,"")</f>
        <v/>
      </c>
      <c r="C543" s="6" t="str">
        <f ca="1">IF(AND(NEGOCIAÇÕES!O543="",NEGOCIAÇÕES!N543&gt;TODAY()),NEGOCIAÇÕES!E543,"")</f>
        <v/>
      </c>
      <c r="D543" s="6" t="str">
        <f ca="1">IF(AND(NEGOCIAÇÕES!O543="",NEGOCIAÇÕES!N543&gt;TODAY()),NEGOCIAÇÕES!D543,"")</f>
        <v/>
      </c>
      <c r="E543" s="9" t="str">
        <f>IF(AND(NEGOCIAÇÕES!B543&lt;&gt;"",NEGOCIAÇÕES!O543=""),NEGOCIAÇÕES!N543,"")</f>
        <v/>
      </c>
    </row>
    <row r="544" spans="2:5" ht="31.95" hidden="1" customHeight="1" x14ac:dyDescent="0.3">
      <c r="B544" s="6" t="str">
        <f ca="1">IF(AND(NEGOCIAÇÕES!O544="",NEGOCIAÇÕES!N544&gt;TODAY()),NEGOCIAÇÕES!C544,"")</f>
        <v/>
      </c>
      <c r="C544" s="6" t="str">
        <f ca="1">IF(AND(NEGOCIAÇÕES!O544="",NEGOCIAÇÕES!N544&gt;TODAY()),NEGOCIAÇÕES!E544,"")</f>
        <v/>
      </c>
      <c r="D544" s="6" t="str">
        <f ca="1">IF(AND(NEGOCIAÇÕES!O544="",NEGOCIAÇÕES!N544&gt;TODAY()),NEGOCIAÇÕES!D544,"")</f>
        <v/>
      </c>
      <c r="E544" s="9" t="str">
        <f>IF(AND(NEGOCIAÇÕES!B544&lt;&gt;"",NEGOCIAÇÕES!O544=""),NEGOCIAÇÕES!N544,"")</f>
        <v/>
      </c>
    </row>
    <row r="545" spans="2:5" ht="31.95" hidden="1" customHeight="1" x14ac:dyDescent="0.3">
      <c r="B545" s="6" t="str">
        <f ca="1">IF(AND(NEGOCIAÇÕES!O545="",NEGOCIAÇÕES!N545&gt;TODAY()),NEGOCIAÇÕES!C545,"")</f>
        <v/>
      </c>
      <c r="C545" s="6" t="str">
        <f ca="1">IF(AND(NEGOCIAÇÕES!O545="",NEGOCIAÇÕES!N545&gt;TODAY()),NEGOCIAÇÕES!E545,"")</f>
        <v/>
      </c>
      <c r="D545" s="6" t="str">
        <f ca="1">IF(AND(NEGOCIAÇÕES!O545="",NEGOCIAÇÕES!N545&gt;TODAY()),NEGOCIAÇÕES!D545,"")</f>
        <v/>
      </c>
      <c r="E545" s="9" t="str">
        <f>IF(AND(NEGOCIAÇÕES!B545&lt;&gt;"",NEGOCIAÇÕES!O545=""),NEGOCIAÇÕES!N545,"")</f>
        <v/>
      </c>
    </row>
    <row r="546" spans="2:5" ht="31.95" hidden="1" customHeight="1" x14ac:dyDescent="0.3">
      <c r="B546" s="6" t="str">
        <f ca="1">IF(AND(NEGOCIAÇÕES!O546="",NEGOCIAÇÕES!N546&gt;TODAY()),NEGOCIAÇÕES!C546,"")</f>
        <v/>
      </c>
      <c r="C546" s="6" t="str">
        <f ca="1">IF(AND(NEGOCIAÇÕES!O546="",NEGOCIAÇÕES!N546&gt;TODAY()),NEGOCIAÇÕES!E546,"")</f>
        <v/>
      </c>
      <c r="D546" s="6" t="str">
        <f ca="1">IF(AND(NEGOCIAÇÕES!O546="",NEGOCIAÇÕES!N546&gt;TODAY()),NEGOCIAÇÕES!D546,"")</f>
        <v/>
      </c>
      <c r="E546" s="9" t="str">
        <f>IF(AND(NEGOCIAÇÕES!B546&lt;&gt;"",NEGOCIAÇÕES!O546=""),NEGOCIAÇÕES!N546,"")</f>
        <v/>
      </c>
    </row>
    <row r="547" spans="2:5" ht="31.95" hidden="1" customHeight="1" x14ac:dyDescent="0.3">
      <c r="B547" s="6" t="str">
        <f ca="1">IF(AND(NEGOCIAÇÕES!O547="",NEGOCIAÇÕES!N547&gt;TODAY()),NEGOCIAÇÕES!C547,"")</f>
        <v/>
      </c>
      <c r="C547" s="6" t="str">
        <f ca="1">IF(AND(NEGOCIAÇÕES!O547="",NEGOCIAÇÕES!N547&gt;TODAY()),NEGOCIAÇÕES!E547,"")</f>
        <v/>
      </c>
      <c r="D547" s="6" t="str">
        <f ca="1">IF(AND(NEGOCIAÇÕES!O547="",NEGOCIAÇÕES!N547&gt;TODAY()),NEGOCIAÇÕES!D547,"")</f>
        <v/>
      </c>
      <c r="E547" s="9" t="str">
        <f>IF(AND(NEGOCIAÇÕES!B547&lt;&gt;"",NEGOCIAÇÕES!O547=""),NEGOCIAÇÕES!N547,"")</f>
        <v/>
      </c>
    </row>
    <row r="548" spans="2:5" ht="31.95" hidden="1" customHeight="1" x14ac:dyDescent="0.3">
      <c r="B548" s="6" t="str">
        <f ca="1">IF(AND(NEGOCIAÇÕES!O548="",NEGOCIAÇÕES!N548&gt;TODAY()),NEGOCIAÇÕES!C548,"")</f>
        <v/>
      </c>
      <c r="C548" s="6" t="str">
        <f ca="1">IF(AND(NEGOCIAÇÕES!O548="",NEGOCIAÇÕES!N548&gt;TODAY()),NEGOCIAÇÕES!E548,"")</f>
        <v/>
      </c>
      <c r="D548" s="6" t="str">
        <f ca="1">IF(AND(NEGOCIAÇÕES!O548="",NEGOCIAÇÕES!N548&gt;TODAY()),NEGOCIAÇÕES!D548,"")</f>
        <v/>
      </c>
      <c r="E548" s="9" t="str">
        <f>IF(AND(NEGOCIAÇÕES!B548&lt;&gt;"",NEGOCIAÇÕES!O548=""),NEGOCIAÇÕES!N548,"")</f>
        <v/>
      </c>
    </row>
    <row r="549" spans="2:5" ht="31.95" hidden="1" customHeight="1" x14ac:dyDescent="0.3">
      <c r="B549" s="6" t="str">
        <f ca="1">IF(AND(NEGOCIAÇÕES!O549="",NEGOCIAÇÕES!N549&gt;TODAY()),NEGOCIAÇÕES!C549,"")</f>
        <v/>
      </c>
      <c r="C549" s="6" t="str">
        <f ca="1">IF(AND(NEGOCIAÇÕES!O549="",NEGOCIAÇÕES!N549&gt;TODAY()),NEGOCIAÇÕES!E549,"")</f>
        <v/>
      </c>
      <c r="D549" s="6" t="str">
        <f ca="1">IF(AND(NEGOCIAÇÕES!O549="",NEGOCIAÇÕES!N549&gt;TODAY()),NEGOCIAÇÕES!D549,"")</f>
        <v/>
      </c>
      <c r="E549" s="9" t="str">
        <f>IF(AND(NEGOCIAÇÕES!B549&lt;&gt;"",NEGOCIAÇÕES!O549=""),NEGOCIAÇÕES!N549,"")</f>
        <v/>
      </c>
    </row>
    <row r="550" spans="2:5" ht="31.95" hidden="1" customHeight="1" x14ac:dyDescent="0.3">
      <c r="B550" s="6" t="str">
        <f ca="1">IF(AND(NEGOCIAÇÕES!O550="",NEGOCIAÇÕES!N550&gt;TODAY()),NEGOCIAÇÕES!C550,"")</f>
        <v/>
      </c>
      <c r="C550" s="6" t="str">
        <f ca="1">IF(AND(NEGOCIAÇÕES!O550="",NEGOCIAÇÕES!N550&gt;TODAY()),NEGOCIAÇÕES!E550,"")</f>
        <v/>
      </c>
      <c r="D550" s="6" t="str">
        <f ca="1">IF(AND(NEGOCIAÇÕES!O550="",NEGOCIAÇÕES!N550&gt;TODAY()),NEGOCIAÇÕES!D550,"")</f>
        <v/>
      </c>
      <c r="E550" s="9" t="str">
        <f>IF(AND(NEGOCIAÇÕES!B550&lt;&gt;"",NEGOCIAÇÕES!O550=""),NEGOCIAÇÕES!N550,"")</f>
        <v/>
      </c>
    </row>
    <row r="551" spans="2:5" ht="31.95" hidden="1" customHeight="1" x14ac:dyDescent="0.3">
      <c r="B551" s="6" t="str">
        <f ca="1">IF(AND(NEGOCIAÇÕES!O551="",NEGOCIAÇÕES!N551&gt;TODAY()),NEGOCIAÇÕES!C551,"")</f>
        <v/>
      </c>
      <c r="C551" s="6" t="str">
        <f ca="1">IF(AND(NEGOCIAÇÕES!O551="",NEGOCIAÇÕES!N551&gt;TODAY()),NEGOCIAÇÕES!E551,"")</f>
        <v/>
      </c>
      <c r="D551" s="6" t="str">
        <f ca="1">IF(AND(NEGOCIAÇÕES!O551="",NEGOCIAÇÕES!N551&gt;TODAY()),NEGOCIAÇÕES!D551,"")</f>
        <v/>
      </c>
      <c r="E551" s="9" t="str">
        <f>IF(AND(NEGOCIAÇÕES!B551&lt;&gt;"",NEGOCIAÇÕES!O551=""),NEGOCIAÇÕES!N551,"")</f>
        <v/>
      </c>
    </row>
    <row r="552" spans="2:5" ht="31.95" hidden="1" customHeight="1" x14ac:dyDescent="0.3">
      <c r="B552" s="6" t="str">
        <f ca="1">IF(AND(NEGOCIAÇÕES!O552="",NEGOCIAÇÕES!N552&gt;TODAY()),NEGOCIAÇÕES!C552,"")</f>
        <v/>
      </c>
      <c r="C552" s="6" t="str">
        <f ca="1">IF(AND(NEGOCIAÇÕES!O552="",NEGOCIAÇÕES!N552&gt;TODAY()),NEGOCIAÇÕES!E552,"")</f>
        <v/>
      </c>
      <c r="D552" s="6" t="str">
        <f ca="1">IF(AND(NEGOCIAÇÕES!O552="",NEGOCIAÇÕES!N552&gt;TODAY()),NEGOCIAÇÕES!D552,"")</f>
        <v/>
      </c>
      <c r="E552" s="9" t="str">
        <f>IF(AND(NEGOCIAÇÕES!B552&lt;&gt;"",NEGOCIAÇÕES!O552=""),NEGOCIAÇÕES!N552,"")</f>
        <v/>
      </c>
    </row>
    <row r="553" spans="2:5" ht="31.95" hidden="1" customHeight="1" x14ac:dyDescent="0.3">
      <c r="B553" s="6" t="str">
        <f ca="1">IF(AND(NEGOCIAÇÕES!O553="",NEGOCIAÇÕES!N553&gt;TODAY()),NEGOCIAÇÕES!C553,"")</f>
        <v/>
      </c>
      <c r="C553" s="6" t="str">
        <f ca="1">IF(AND(NEGOCIAÇÕES!O553="",NEGOCIAÇÕES!N553&gt;TODAY()),NEGOCIAÇÕES!E553,"")</f>
        <v/>
      </c>
      <c r="D553" s="6" t="str">
        <f ca="1">IF(AND(NEGOCIAÇÕES!O553="",NEGOCIAÇÕES!N553&gt;TODAY()),NEGOCIAÇÕES!D553,"")</f>
        <v/>
      </c>
      <c r="E553" s="9" t="str">
        <f>IF(AND(NEGOCIAÇÕES!B553&lt;&gt;"",NEGOCIAÇÕES!O553=""),NEGOCIAÇÕES!N553,"")</f>
        <v/>
      </c>
    </row>
    <row r="554" spans="2:5" ht="31.95" hidden="1" customHeight="1" x14ac:dyDescent="0.3">
      <c r="B554" s="6" t="str">
        <f ca="1">IF(AND(NEGOCIAÇÕES!O554="",NEGOCIAÇÕES!N554&gt;TODAY()),NEGOCIAÇÕES!C554,"")</f>
        <v/>
      </c>
      <c r="C554" s="6" t="str">
        <f ca="1">IF(AND(NEGOCIAÇÕES!O554="",NEGOCIAÇÕES!N554&gt;TODAY()),NEGOCIAÇÕES!E554,"")</f>
        <v/>
      </c>
      <c r="D554" s="6" t="str">
        <f ca="1">IF(AND(NEGOCIAÇÕES!O554="",NEGOCIAÇÕES!N554&gt;TODAY()),NEGOCIAÇÕES!D554,"")</f>
        <v/>
      </c>
      <c r="E554" s="9" t="str">
        <f>IF(AND(NEGOCIAÇÕES!B554&lt;&gt;"",NEGOCIAÇÕES!O554=""),NEGOCIAÇÕES!N554,"")</f>
        <v/>
      </c>
    </row>
    <row r="555" spans="2:5" ht="31.95" hidden="1" customHeight="1" x14ac:dyDescent="0.3">
      <c r="B555" s="6" t="str">
        <f ca="1">IF(AND(NEGOCIAÇÕES!O555="",NEGOCIAÇÕES!N555&gt;TODAY()),NEGOCIAÇÕES!C555,"")</f>
        <v/>
      </c>
      <c r="C555" s="6" t="str">
        <f ca="1">IF(AND(NEGOCIAÇÕES!O555="",NEGOCIAÇÕES!N555&gt;TODAY()),NEGOCIAÇÕES!E555,"")</f>
        <v/>
      </c>
      <c r="D555" s="6" t="str">
        <f ca="1">IF(AND(NEGOCIAÇÕES!O555="",NEGOCIAÇÕES!N555&gt;TODAY()),NEGOCIAÇÕES!D555,"")</f>
        <v/>
      </c>
      <c r="E555" s="9" t="str">
        <f>IF(AND(NEGOCIAÇÕES!B555&lt;&gt;"",NEGOCIAÇÕES!O555=""),NEGOCIAÇÕES!N555,"")</f>
        <v/>
      </c>
    </row>
    <row r="556" spans="2:5" ht="31.95" hidden="1" customHeight="1" x14ac:dyDescent="0.3">
      <c r="B556" s="6" t="str">
        <f ca="1">IF(AND(NEGOCIAÇÕES!O556="",NEGOCIAÇÕES!N556&gt;TODAY()),NEGOCIAÇÕES!C556,"")</f>
        <v/>
      </c>
      <c r="C556" s="6" t="str">
        <f ca="1">IF(AND(NEGOCIAÇÕES!O556="",NEGOCIAÇÕES!N556&gt;TODAY()),NEGOCIAÇÕES!E556,"")</f>
        <v/>
      </c>
      <c r="D556" s="6" t="str">
        <f ca="1">IF(AND(NEGOCIAÇÕES!O556="",NEGOCIAÇÕES!N556&gt;TODAY()),NEGOCIAÇÕES!D556,"")</f>
        <v/>
      </c>
      <c r="E556" s="9" t="str">
        <f>IF(AND(NEGOCIAÇÕES!B556&lt;&gt;"",NEGOCIAÇÕES!O556=""),NEGOCIAÇÕES!N556,"")</f>
        <v/>
      </c>
    </row>
    <row r="557" spans="2:5" ht="31.95" hidden="1" customHeight="1" x14ac:dyDescent="0.3">
      <c r="B557" s="6" t="str">
        <f ca="1">IF(AND(NEGOCIAÇÕES!O557="",NEGOCIAÇÕES!N557&gt;TODAY()),NEGOCIAÇÕES!C557,"")</f>
        <v/>
      </c>
      <c r="C557" s="6" t="str">
        <f ca="1">IF(AND(NEGOCIAÇÕES!O557="",NEGOCIAÇÕES!N557&gt;TODAY()),NEGOCIAÇÕES!E557,"")</f>
        <v/>
      </c>
      <c r="D557" s="6" t="str">
        <f ca="1">IF(AND(NEGOCIAÇÕES!O557="",NEGOCIAÇÕES!N557&gt;TODAY()),NEGOCIAÇÕES!D557,"")</f>
        <v/>
      </c>
      <c r="E557" s="9" t="str">
        <f>IF(AND(NEGOCIAÇÕES!B557&lt;&gt;"",NEGOCIAÇÕES!O557=""),NEGOCIAÇÕES!N557,"")</f>
        <v/>
      </c>
    </row>
    <row r="558" spans="2:5" ht="31.95" hidden="1" customHeight="1" x14ac:dyDescent="0.3">
      <c r="B558" s="6" t="str">
        <f ca="1">IF(AND(NEGOCIAÇÕES!O558="",NEGOCIAÇÕES!N558&gt;TODAY()),NEGOCIAÇÕES!C558,"")</f>
        <v/>
      </c>
      <c r="C558" s="6" t="str">
        <f ca="1">IF(AND(NEGOCIAÇÕES!O558="",NEGOCIAÇÕES!N558&gt;TODAY()),NEGOCIAÇÕES!E558,"")</f>
        <v/>
      </c>
      <c r="D558" s="6" t="str">
        <f ca="1">IF(AND(NEGOCIAÇÕES!O558="",NEGOCIAÇÕES!N558&gt;TODAY()),NEGOCIAÇÕES!D558,"")</f>
        <v/>
      </c>
      <c r="E558" s="9" t="str">
        <f>IF(AND(NEGOCIAÇÕES!B558&lt;&gt;"",NEGOCIAÇÕES!O558=""),NEGOCIAÇÕES!N558,"")</f>
        <v/>
      </c>
    </row>
    <row r="559" spans="2:5" ht="31.95" hidden="1" customHeight="1" x14ac:dyDescent="0.3">
      <c r="B559" s="6" t="str">
        <f ca="1">IF(AND(NEGOCIAÇÕES!O559="",NEGOCIAÇÕES!N559&gt;TODAY()),NEGOCIAÇÕES!C559,"")</f>
        <v/>
      </c>
      <c r="C559" s="6" t="str">
        <f ca="1">IF(AND(NEGOCIAÇÕES!O559="",NEGOCIAÇÕES!N559&gt;TODAY()),NEGOCIAÇÕES!E559,"")</f>
        <v/>
      </c>
      <c r="D559" s="6" t="str">
        <f ca="1">IF(AND(NEGOCIAÇÕES!O559="",NEGOCIAÇÕES!N559&gt;TODAY()),NEGOCIAÇÕES!D559,"")</f>
        <v/>
      </c>
      <c r="E559" s="9" t="str">
        <f>IF(AND(NEGOCIAÇÕES!B559&lt;&gt;"",NEGOCIAÇÕES!O559=""),NEGOCIAÇÕES!N559,"")</f>
        <v/>
      </c>
    </row>
    <row r="560" spans="2:5" ht="31.95" hidden="1" customHeight="1" x14ac:dyDescent="0.3">
      <c r="B560" s="6" t="str">
        <f ca="1">IF(AND(NEGOCIAÇÕES!O560="",NEGOCIAÇÕES!N560&gt;TODAY()),NEGOCIAÇÕES!C560,"")</f>
        <v/>
      </c>
      <c r="C560" s="6" t="str">
        <f ca="1">IF(AND(NEGOCIAÇÕES!O560="",NEGOCIAÇÕES!N560&gt;TODAY()),NEGOCIAÇÕES!E560,"")</f>
        <v/>
      </c>
      <c r="D560" s="6" t="str">
        <f ca="1">IF(AND(NEGOCIAÇÕES!O560="",NEGOCIAÇÕES!N560&gt;TODAY()),NEGOCIAÇÕES!D560,"")</f>
        <v/>
      </c>
      <c r="E560" s="9" t="str">
        <f>IF(AND(NEGOCIAÇÕES!B560&lt;&gt;"",NEGOCIAÇÕES!O560=""),NEGOCIAÇÕES!N560,"")</f>
        <v/>
      </c>
    </row>
    <row r="561" spans="2:5" ht="31.95" hidden="1" customHeight="1" x14ac:dyDescent="0.3">
      <c r="B561" s="6" t="str">
        <f ca="1">IF(AND(NEGOCIAÇÕES!O561="",NEGOCIAÇÕES!N561&gt;TODAY()),NEGOCIAÇÕES!C561,"")</f>
        <v/>
      </c>
      <c r="C561" s="6" t="str">
        <f ca="1">IF(AND(NEGOCIAÇÕES!O561="",NEGOCIAÇÕES!N561&gt;TODAY()),NEGOCIAÇÕES!E561,"")</f>
        <v/>
      </c>
      <c r="D561" s="6" t="str">
        <f ca="1">IF(AND(NEGOCIAÇÕES!O561="",NEGOCIAÇÕES!N561&gt;TODAY()),NEGOCIAÇÕES!D561,"")</f>
        <v/>
      </c>
      <c r="E561" s="9" t="str">
        <f>IF(AND(NEGOCIAÇÕES!B561&lt;&gt;"",NEGOCIAÇÕES!O561=""),NEGOCIAÇÕES!N561,"")</f>
        <v/>
      </c>
    </row>
    <row r="562" spans="2:5" ht="31.95" hidden="1" customHeight="1" x14ac:dyDescent="0.3">
      <c r="B562" s="6" t="str">
        <f ca="1">IF(AND(NEGOCIAÇÕES!O562="",NEGOCIAÇÕES!N562&gt;TODAY()),NEGOCIAÇÕES!C562,"")</f>
        <v/>
      </c>
      <c r="C562" s="6" t="str">
        <f ca="1">IF(AND(NEGOCIAÇÕES!O562="",NEGOCIAÇÕES!N562&gt;TODAY()),NEGOCIAÇÕES!E562,"")</f>
        <v/>
      </c>
      <c r="D562" s="6" t="str">
        <f ca="1">IF(AND(NEGOCIAÇÕES!O562="",NEGOCIAÇÕES!N562&gt;TODAY()),NEGOCIAÇÕES!D562,"")</f>
        <v/>
      </c>
      <c r="E562" s="9" t="str">
        <f>IF(AND(NEGOCIAÇÕES!B562&lt;&gt;"",NEGOCIAÇÕES!O562=""),NEGOCIAÇÕES!N562,"")</f>
        <v/>
      </c>
    </row>
    <row r="563" spans="2:5" ht="31.95" hidden="1" customHeight="1" x14ac:dyDescent="0.3">
      <c r="B563" s="6" t="str">
        <f ca="1">IF(AND(NEGOCIAÇÕES!O563="",NEGOCIAÇÕES!N563&gt;TODAY()),NEGOCIAÇÕES!C563,"")</f>
        <v/>
      </c>
      <c r="C563" s="6" t="str">
        <f ca="1">IF(AND(NEGOCIAÇÕES!O563="",NEGOCIAÇÕES!N563&gt;TODAY()),NEGOCIAÇÕES!E563,"")</f>
        <v/>
      </c>
      <c r="D563" s="6" t="str">
        <f ca="1">IF(AND(NEGOCIAÇÕES!O563="",NEGOCIAÇÕES!N563&gt;TODAY()),NEGOCIAÇÕES!D563,"")</f>
        <v/>
      </c>
      <c r="E563" s="9" t="str">
        <f>IF(AND(NEGOCIAÇÕES!B563&lt;&gt;"",NEGOCIAÇÕES!O563=""),NEGOCIAÇÕES!N563,"")</f>
        <v/>
      </c>
    </row>
    <row r="564" spans="2:5" ht="31.95" hidden="1" customHeight="1" x14ac:dyDescent="0.3">
      <c r="B564" s="6" t="str">
        <f ca="1">IF(AND(NEGOCIAÇÕES!O564="",NEGOCIAÇÕES!N564&gt;TODAY()),NEGOCIAÇÕES!C564,"")</f>
        <v/>
      </c>
      <c r="C564" s="6" t="str">
        <f ca="1">IF(AND(NEGOCIAÇÕES!O564="",NEGOCIAÇÕES!N564&gt;TODAY()),NEGOCIAÇÕES!E564,"")</f>
        <v/>
      </c>
      <c r="D564" s="6" t="str">
        <f ca="1">IF(AND(NEGOCIAÇÕES!O564="",NEGOCIAÇÕES!N564&gt;TODAY()),NEGOCIAÇÕES!D564,"")</f>
        <v/>
      </c>
      <c r="E564" s="9" t="str">
        <f>IF(AND(NEGOCIAÇÕES!B564&lt;&gt;"",NEGOCIAÇÕES!O564=""),NEGOCIAÇÕES!N564,"")</f>
        <v/>
      </c>
    </row>
    <row r="565" spans="2:5" ht="31.95" hidden="1" customHeight="1" x14ac:dyDescent="0.3">
      <c r="B565" s="6" t="str">
        <f ca="1">IF(AND(NEGOCIAÇÕES!O565="",NEGOCIAÇÕES!N565&gt;TODAY()),NEGOCIAÇÕES!C565,"")</f>
        <v/>
      </c>
      <c r="C565" s="6" t="str">
        <f ca="1">IF(AND(NEGOCIAÇÕES!O565="",NEGOCIAÇÕES!N565&gt;TODAY()),NEGOCIAÇÕES!E565,"")</f>
        <v/>
      </c>
      <c r="D565" s="6" t="str">
        <f ca="1">IF(AND(NEGOCIAÇÕES!O565="",NEGOCIAÇÕES!N565&gt;TODAY()),NEGOCIAÇÕES!D565,"")</f>
        <v/>
      </c>
      <c r="E565" s="9" t="str">
        <f>IF(AND(NEGOCIAÇÕES!B565&lt;&gt;"",NEGOCIAÇÕES!O565=""),NEGOCIAÇÕES!N565,"")</f>
        <v/>
      </c>
    </row>
    <row r="566" spans="2:5" ht="31.95" hidden="1" customHeight="1" x14ac:dyDescent="0.3">
      <c r="B566" s="6" t="str">
        <f ca="1">IF(AND(NEGOCIAÇÕES!O566="",NEGOCIAÇÕES!N566&gt;TODAY()),NEGOCIAÇÕES!C566,"")</f>
        <v/>
      </c>
      <c r="C566" s="6" t="str">
        <f ca="1">IF(AND(NEGOCIAÇÕES!O566="",NEGOCIAÇÕES!N566&gt;TODAY()),NEGOCIAÇÕES!E566,"")</f>
        <v/>
      </c>
      <c r="D566" s="6" t="str">
        <f ca="1">IF(AND(NEGOCIAÇÕES!O566="",NEGOCIAÇÕES!N566&gt;TODAY()),NEGOCIAÇÕES!D566,"")</f>
        <v/>
      </c>
      <c r="E566" s="9" t="str">
        <f>IF(AND(NEGOCIAÇÕES!B566&lt;&gt;"",NEGOCIAÇÕES!O566=""),NEGOCIAÇÕES!N566,"")</f>
        <v/>
      </c>
    </row>
    <row r="567" spans="2:5" ht="31.95" hidden="1" customHeight="1" x14ac:dyDescent="0.3">
      <c r="B567" s="6" t="str">
        <f ca="1">IF(AND(NEGOCIAÇÕES!O567="",NEGOCIAÇÕES!N567&gt;TODAY()),NEGOCIAÇÕES!C567,"")</f>
        <v/>
      </c>
      <c r="C567" s="6" t="str">
        <f ca="1">IF(AND(NEGOCIAÇÕES!O567="",NEGOCIAÇÕES!N567&gt;TODAY()),NEGOCIAÇÕES!E567,"")</f>
        <v/>
      </c>
      <c r="D567" s="6" t="str">
        <f ca="1">IF(AND(NEGOCIAÇÕES!O567="",NEGOCIAÇÕES!N567&gt;TODAY()),NEGOCIAÇÕES!D567,"")</f>
        <v/>
      </c>
      <c r="E567" s="9" t="str">
        <f>IF(AND(NEGOCIAÇÕES!B567&lt;&gt;"",NEGOCIAÇÕES!O567=""),NEGOCIAÇÕES!N567,"")</f>
        <v/>
      </c>
    </row>
    <row r="568" spans="2:5" ht="31.95" hidden="1" customHeight="1" x14ac:dyDescent="0.3">
      <c r="B568" s="6" t="str">
        <f ca="1">IF(AND(NEGOCIAÇÕES!O568="",NEGOCIAÇÕES!N568&gt;TODAY()),NEGOCIAÇÕES!C568,"")</f>
        <v/>
      </c>
      <c r="C568" s="6" t="str">
        <f ca="1">IF(AND(NEGOCIAÇÕES!O568="",NEGOCIAÇÕES!N568&gt;TODAY()),NEGOCIAÇÕES!E568,"")</f>
        <v/>
      </c>
      <c r="D568" s="6" t="str">
        <f ca="1">IF(AND(NEGOCIAÇÕES!O568="",NEGOCIAÇÕES!N568&gt;TODAY()),NEGOCIAÇÕES!D568,"")</f>
        <v/>
      </c>
      <c r="E568" s="9" t="str">
        <f>IF(AND(NEGOCIAÇÕES!B568&lt;&gt;"",NEGOCIAÇÕES!O568=""),NEGOCIAÇÕES!N568,"")</f>
        <v/>
      </c>
    </row>
    <row r="569" spans="2:5" ht="31.95" hidden="1" customHeight="1" x14ac:dyDescent="0.3">
      <c r="B569" s="6" t="str">
        <f ca="1">IF(AND(NEGOCIAÇÕES!O569="",NEGOCIAÇÕES!N569&gt;TODAY()),NEGOCIAÇÕES!C569,"")</f>
        <v/>
      </c>
      <c r="C569" s="6" t="str">
        <f ca="1">IF(AND(NEGOCIAÇÕES!O569="",NEGOCIAÇÕES!N569&gt;TODAY()),NEGOCIAÇÕES!E569,"")</f>
        <v/>
      </c>
      <c r="D569" s="6" t="str">
        <f ca="1">IF(AND(NEGOCIAÇÕES!O569="",NEGOCIAÇÕES!N569&gt;TODAY()),NEGOCIAÇÕES!D569,"")</f>
        <v/>
      </c>
      <c r="E569" s="9" t="str">
        <f>IF(AND(NEGOCIAÇÕES!B569&lt;&gt;"",NEGOCIAÇÕES!O569=""),NEGOCIAÇÕES!N569,"")</f>
        <v/>
      </c>
    </row>
    <row r="570" spans="2:5" ht="31.95" hidden="1" customHeight="1" x14ac:dyDescent="0.3">
      <c r="B570" s="6" t="str">
        <f ca="1">IF(AND(NEGOCIAÇÕES!O570="",NEGOCIAÇÕES!N570&gt;TODAY()),NEGOCIAÇÕES!C570,"")</f>
        <v/>
      </c>
      <c r="C570" s="6" t="str">
        <f ca="1">IF(AND(NEGOCIAÇÕES!O570="",NEGOCIAÇÕES!N570&gt;TODAY()),NEGOCIAÇÕES!E570,"")</f>
        <v/>
      </c>
      <c r="D570" s="6" t="str">
        <f ca="1">IF(AND(NEGOCIAÇÕES!O570="",NEGOCIAÇÕES!N570&gt;TODAY()),NEGOCIAÇÕES!D570,"")</f>
        <v/>
      </c>
      <c r="E570" s="9" t="str">
        <f>IF(AND(NEGOCIAÇÕES!B570&lt;&gt;"",NEGOCIAÇÕES!O570=""),NEGOCIAÇÕES!N570,"")</f>
        <v/>
      </c>
    </row>
    <row r="571" spans="2:5" ht="31.95" hidden="1" customHeight="1" x14ac:dyDescent="0.3">
      <c r="B571" s="6" t="str">
        <f ca="1">IF(AND(NEGOCIAÇÕES!O571="",NEGOCIAÇÕES!N571&gt;TODAY()),NEGOCIAÇÕES!C571,"")</f>
        <v/>
      </c>
      <c r="C571" s="6" t="str">
        <f ca="1">IF(AND(NEGOCIAÇÕES!O571="",NEGOCIAÇÕES!N571&gt;TODAY()),NEGOCIAÇÕES!E571,"")</f>
        <v/>
      </c>
      <c r="D571" s="6" t="str">
        <f ca="1">IF(AND(NEGOCIAÇÕES!O571="",NEGOCIAÇÕES!N571&gt;TODAY()),NEGOCIAÇÕES!D571,"")</f>
        <v/>
      </c>
      <c r="E571" s="9" t="str">
        <f>IF(AND(NEGOCIAÇÕES!B571&lt;&gt;"",NEGOCIAÇÕES!O571=""),NEGOCIAÇÕES!N571,"")</f>
        <v/>
      </c>
    </row>
    <row r="572" spans="2:5" ht="31.95" hidden="1" customHeight="1" x14ac:dyDescent="0.3">
      <c r="B572" s="6" t="str">
        <f ca="1">IF(AND(NEGOCIAÇÕES!O572="",NEGOCIAÇÕES!N572&gt;TODAY()),NEGOCIAÇÕES!C572,"")</f>
        <v/>
      </c>
      <c r="C572" s="6" t="str">
        <f ca="1">IF(AND(NEGOCIAÇÕES!O572="",NEGOCIAÇÕES!N572&gt;TODAY()),NEGOCIAÇÕES!E572,"")</f>
        <v/>
      </c>
      <c r="D572" s="6" t="str">
        <f ca="1">IF(AND(NEGOCIAÇÕES!O572="",NEGOCIAÇÕES!N572&gt;TODAY()),NEGOCIAÇÕES!D572,"")</f>
        <v/>
      </c>
      <c r="E572" s="9" t="str">
        <f>IF(AND(NEGOCIAÇÕES!B572&lt;&gt;"",NEGOCIAÇÕES!O572=""),NEGOCIAÇÕES!N572,"")</f>
        <v/>
      </c>
    </row>
    <row r="573" spans="2:5" ht="31.95" hidden="1" customHeight="1" x14ac:dyDescent="0.3">
      <c r="B573" s="6" t="str">
        <f ca="1">IF(AND(NEGOCIAÇÕES!O573="",NEGOCIAÇÕES!N573&gt;TODAY()),NEGOCIAÇÕES!C573,"")</f>
        <v/>
      </c>
      <c r="C573" s="6" t="str">
        <f ca="1">IF(AND(NEGOCIAÇÕES!O573="",NEGOCIAÇÕES!N573&gt;TODAY()),NEGOCIAÇÕES!E573,"")</f>
        <v/>
      </c>
      <c r="D573" s="6" t="str">
        <f ca="1">IF(AND(NEGOCIAÇÕES!O573="",NEGOCIAÇÕES!N573&gt;TODAY()),NEGOCIAÇÕES!D573,"")</f>
        <v/>
      </c>
      <c r="E573" s="9" t="str">
        <f>IF(AND(NEGOCIAÇÕES!B573&lt;&gt;"",NEGOCIAÇÕES!O573=""),NEGOCIAÇÕES!N573,"")</f>
        <v/>
      </c>
    </row>
    <row r="574" spans="2:5" ht="31.95" hidden="1" customHeight="1" x14ac:dyDescent="0.3">
      <c r="B574" s="6" t="str">
        <f ca="1">IF(AND(NEGOCIAÇÕES!O574="",NEGOCIAÇÕES!N574&gt;TODAY()),NEGOCIAÇÕES!C574,"")</f>
        <v/>
      </c>
      <c r="C574" s="6" t="str">
        <f ca="1">IF(AND(NEGOCIAÇÕES!O574="",NEGOCIAÇÕES!N574&gt;TODAY()),NEGOCIAÇÕES!E574,"")</f>
        <v/>
      </c>
      <c r="D574" s="6" t="str">
        <f ca="1">IF(AND(NEGOCIAÇÕES!O574="",NEGOCIAÇÕES!N574&gt;TODAY()),NEGOCIAÇÕES!D574,"")</f>
        <v/>
      </c>
      <c r="E574" s="9" t="str">
        <f>IF(AND(NEGOCIAÇÕES!B574&lt;&gt;"",NEGOCIAÇÕES!O574=""),NEGOCIAÇÕES!N574,"")</f>
        <v/>
      </c>
    </row>
    <row r="575" spans="2:5" ht="31.95" hidden="1" customHeight="1" x14ac:dyDescent="0.3">
      <c r="B575" s="6" t="str">
        <f ca="1">IF(AND(NEGOCIAÇÕES!O575="",NEGOCIAÇÕES!N575&gt;TODAY()),NEGOCIAÇÕES!C575,"")</f>
        <v/>
      </c>
      <c r="C575" s="6" t="str">
        <f ca="1">IF(AND(NEGOCIAÇÕES!O575="",NEGOCIAÇÕES!N575&gt;TODAY()),NEGOCIAÇÕES!E575,"")</f>
        <v/>
      </c>
      <c r="D575" s="6" t="str">
        <f ca="1">IF(AND(NEGOCIAÇÕES!O575="",NEGOCIAÇÕES!N575&gt;TODAY()),NEGOCIAÇÕES!D575,"")</f>
        <v/>
      </c>
      <c r="E575" s="9" t="str">
        <f>IF(AND(NEGOCIAÇÕES!B575&lt;&gt;"",NEGOCIAÇÕES!O575=""),NEGOCIAÇÕES!N575,"")</f>
        <v/>
      </c>
    </row>
    <row r="576" spans="2:5" ht="31.95" hidden="1" customHeight="1" x14ac:dyDescent="0.3">
      <c r="B576" s="6" t="str">
        <f ca="1">IF(AND(NEGOCIAÇÕES!O576="",NEGOCIAÇÕES!N576&gt;TODAY()),NEGOCIAÇÕES!C576,"")</f>
        <v/>
      </c>
      <c r="C576" s="6" t="str">
        <f ca="1">IF(AND(NEGOCIAÇÕES!O576="",NEGOCIAÇÕES!N576&gt;TODAY()),NEGOCIAÇÕES!E576,"")</f>
        <v/>
      </c>
      <c r="D576" s="6" t="str">
        <f ca="1">IF(AND(NEGOCIAÇÕES!O576="",NEGOCIAÇÕES!N576&gt;TODAY()),NEGOCIAÇÕES!D576,"")</f>
        <v/>
      </c>
      <c r="E576" s="9" t="str">
        <f>IF(AND(NEGOCIAÇÕES!B576&lt;&gt;"",NEGOCIAÇÕES!O576=""),NEGOCIAÇÕES!N576,"")</f>
        <v/>
      </c>
    </row>
    <row r="577" spans="2:5" ht="31.95" hidden="1" customHeight="1" x14ac:dyDescent="0.3">
      <c r="B577" s="6" t="str">
        <f ca="1">IF(AND(NEGOCIAÇÕES!O577="",NEGOCIAÇÕES!N577&gt;TODAY()),NEGOCIAÇÕES!C577,"")</f>
        <v/>
      </c>
      <c r="C577" s="6" t="str">
        <f ca="1">IF(AND(NEGOCIAÇÕES!O577="",NEGOCIAÇÕES!N577&gt;TODAY()),NEGOCIAÇÕES!E577,"")</f>
        <v/>
      </c>
      <c r="D577" s="6" t="str">
        <f ca="1">IF(AND(NEGOCIAÇÕES!O577="",NEGOCIAÇÕES!N577&gt;TODAY()),NEGOCIAÇÕES!D577,"")</f>
        <v/>
      </c>
      <c r="E577" s="9" t="str">
        <f>IF(AND(NEGOCIAÇÕES!B577&lt;&gt;"",NEGOCIAÇÕES!O577=""),NEGOCIAÇÕES!N577,"")</f>
        <v/>
      </c>
    </row>
    <row r="578" spans="2:5" ht="31.95" hidden="1" customHeight="1" x14ac:dyDescent="0.3">
      <c r="B578" s="6" t="str">
        <f ca="1">IF(AND(NEGOCIAÇÕES!O578="",NEGOCIAÇÕES!N578&gt;TODAY()),NEGOCIAÇÕES!C578,"")</f>
        <v/>
      </c>
      <c r="C578" s="6" t="str">
        <f ca="1">IF(AND(NEGOCIAÇÕES!O578="",NEGOCIAÇÕES!N578&gt;TODAY()),NEGOCIAÇÕES!E578,"")</f>
        <v/>
      </c>
      <c r="D578" s="6" t="str">
        <f ca="1">IF(AND(NEGOCIAÇÕES!O578="",NEGOCIAÇÕES!N578&gt;TODAY()),NEGOCIAÇÕES!D578,"")</f>
        <v/>
      </c>
      <c r="E578" s="9" t="str">
        <f>IF(AND(NEGOCIAÇÕES!B578&lt;&gt;"",NEGOCIAÇÕES!O578=""),NEGOCIAÇÕES!N578,"")</f>
        <v/>
      </c>
    </row>
    <row r="579" spans="2:5" ht="31.95" hidden="1" customHeight="1" x14ac:dyDescent="0.3">
      <c r="B579" s="6" t="str">
        <f ca="1">IF(AND(NEGOCIAÇÕES!O579="",NEGOCIAÇÕES!N579&gt;TODAY()),NEGOCIAÇÕES!C579,"")</f>
        <v/>
      </c>
      <c r="C579" s="6" t="str">
        <f ca="1">IF(AND(NEGOCIAÇÕES!O579="",NEGOCIAÇÕES!N579&gt;TODAY()),NEGOCIAÇÕES!E579,"")</f>
        <v/>
      </c>
      <c r="D579" s="6" t="str">
        <f ca="1">IF(AND(NEGOCIAÇÕES!O579="",NEGOCIAÇÕES!N579&gt;TODAY()),NEGOCIAÇÕES!D579,"")</f>
        <v/>
      </c>
      <c r="E579" s="9" t="str">
        <f>IF(AND(NEGOCIAÇÕES!B579&lt;&gt;"",NEGOCIAÇÕES!O579=""),NEGOCIAÇÕES!N579,"")</f>
        <v/>
      </c>
    </row>
    <row r="580" spans="2:5" ht="31.95" hidden="1" customHeight="1" x14ac:dyDescent="0.3">
      <c r="B580" s="6" t="str">
        <f ca="1">IF(AND(NEGOCIAÇÕES!O580="",NEGOCIAÇÕES!N580&gt;TODAY()),NEGOCIAÇÕES!C580,"")</f>
        <v/>
      </c>
      <c r="C580" s="6" t="str">
        <f ca="1">IF(AND(NEGOCIAÇÕES!O580="",NEGOCIAÇÕES!N580&gt;TODAY()),NEGOCIAÇÕES!E580,"")</f>
        <v/>
      </c>
      <c r="D580" s="6" t="str">
        <f ca="1">IF(AND(NEGOCIAÇÕES!O580="",NEGOCIAÇÕES!N580&gt;TODAY()),NEGOCIAÇÕES!D580,"")</f>
        <v/>
      </c>
      <c r="E580" s="9" t="str">
        <f>IF(AND(NEGOCIAÇÕES!B580&lt;&gt;"",NEGOCIAÇÕES!O580=""),NEGOCIAÇÕES!N580,"")</f>
        <v/>
      </c>
    </row>
    <row r="581" spans="2:5" ht="31.95" hidden="1" customHeight="1" x14ac:dyDescent="0.3">
      <c r="B581" s="6" t="str">
        <f ca="1">IF(AND(NEGOCIAÇÕES!O581="",NEGOCIAÇÕES!N581&gt;TODAY()),NEGOCIAÇÕES!C581,"")</f>
        <v/>
      </c>
      <c r="C581" s="6" t="str">
        <f ca="1">IF(AND(NEGOCIAÇÕES!O581="",NEGOCIAÇÕES!N581&gt;TODAY()),NEGOCIAÇÕES!E581,"")</f>
        <v/>
      </c>
      <c r="D581" s="6" t="str">
        <f ca="1">IF(AND(NEGOCIAÇÕES!O581="",NEGOCIAÇÕES!N581&gt;TODAY()),NEGOCIAÇÕES!D581,"")</f>
        <v/>
      </c>
      <c r="E581" s="9" t="str">
        <f>IF(AND(NEGOCIAÇÕES!B581&lt;&gt;"",NEGOCIAÇÕES!O581=""),NEGOCIAÇÕES!N581,"")</f>
        <v/>
      </c>
    </row>
    <row r="582" spans="2:5" ht="31.95" hidden="1" customHeight="1" x14ac:dyDescent="0.3">
      <c r="B582" s="6" t="str">
        <f ca="1">IF(AND(NEGOCIAÇÕES!O582="",NEGOCIAÇÕES!N582&gt;TODAY()),NEGOCIAÇÕES!C582,"")</f>
        <v/>
      </c>
      <c r="C582" s="6" t="str">
        <f ca="1">IF(AND(NEGOCIAÇÕES!O582="",NEGOCIAÇÕES!N582&gt;TODAY()),NEGOCIAÇÕES!E582,"")</f>
        <v/>
      </c>
      <c r="D582" s="6" t="str">
        <f ca="1">IF(AND(NEGOCIAÇÕES!O582="",NEGOCIAÇÕES!N582&gt;TODAY()),NEGOCIAÇÕES!D582,"")</f>
        <v/>
      </c>
      <c r="E582" s="9" t="str">
        <f>IF(AND(NEGOCIAÇÕES!B582&lt;&gt;"",NEGOCIAÇÕES!O582=""),NEGOCIAÇÕES!N582,"")</f>
        <v/>
      </c>
    </row>
    <row r="583" spans="2:5" ht="31.95" hidden="1" customHeight="1" x14ac:dyDescent="0.3">
      <c r="B583" s="6" t="str">
        <f ca="1">IF(AND(NEGOCIAÇÕES!O583="",NEGOCIAÇÕES!N583&gt;TODAY()),NEGOCIAÇÕES!C583,"")</f>
        <v/>
      </c>
      <c r="C583" s="6" t="str">
        <f ca="1">IF(AND(NEGOCIAÇÕES!O583="",NEGOCIAÇÕES!N583&gt;TODAY()),NEGOCIAÇÕES!E583,"")</f>
        <v/>
      </c>
      <c r="D583" s="6" t="str">
        <f ca="1">IF(AND(NEGOCIAÇÕES!O583="",NEGOCIAÇÕES!N583&gt;TODAY()),NEGOCIAÇÕES!D583,"")</f>
        <v/>
      </c>
      <c r="E583" s="9" t="str">
        <f>IF(AND(NEGOCIAÇÕES!B583&lt;&gt;"",NEGOCIAÇÕES!O583=""),NEGOCIAÇÕES!N583,"")</f>
        <v/>
      </c>
    </row>
    <row r="584" spans="2:5" ht="31.95" hidden="1" customHeight="1" x14ac:dyDescent="0.3">
      <c r="B584" s="6" t="str">
        <f ca="1">IF(AND(NEGOCIAÇÕES!O584="",NEGOCIAÇÕES!N584&gt;TODAY()),NEGOCIAÇÕES!C584,"")</f>
        <v/>
      </c>
      <c r="C584" s="6" t="str">
        <f ca="1">IF(AND(NEGOCIAÇÕES!O584="",NEGOCIAÇÕES!N584&gt;TODAY()),NEGOCIAÇÕES!E584,"")</f>
        <v/>
      </c>
      <c r="D584" s="6" t="str">
        <f ca="1">IF(AND(NEGOCIAÇÕES!O584="",NEGOCIAÇÕES!N584&gt;TODAY()),NEGOCIAÇÕES!D584,"")</f>
        <v/>
      </c>
      <c r="E584" s="9" t="str">
        <f>IF(AND(NEGOCIAÇÕES!B584&lt;&gt;"",NEGOCIAÇÕES!O584=""),NEGOCIAÇÕES!N584,"")</f>
        <v/>
      </c>
    </row>
    <row r="585" spans="2:5" ht="31.95" hidden="1" customHeight="1" x14ac:dyDescent="0.3">
      <c r="B585" s="6" t="str">
        <f ca="1">IF(AND(NEGOCIAÇÕES!O585="",NEGOCIAÇÕES!N585&gt;TODAY()),NEGOCIAÇÕES!C585,"")</f>
        <v/>
      </c>
      <c r="C585" s="6" t="str">
        <f ca="1">IF(AND(NEGOCIAÇÕES!O585="",NEGOCIAÇÕES!N585&gt;TODAY()),NEGOCIAÇÕES!E585,"")</f>
        <v/>
      </c>
      <c r="D585" s="6" t="str">
        <f ca="1">IF(AND(NEGOCIAÇÕES!O585="",NEGOCIAÇÕES!N585&gt;TODAY()),NEGOCIAÇÕES!D585,"")</f>
        <v/>
      </c>
      <c r="E585" s="9" t="str">
        <f>IF(AND(NEGOCIAÇÕES!B585&lt;&gt;"",NEGOCIAÇÕES!O585=""),NEGOCIAÇÕES!N585,"")</f>
        <v/>
      </c>
    </row>
    <row r="586" spans="2:5" ht="31.95" hidden="1" customHeight="1" x14ac:dyDescent="0.3">
      <c r="B586" s="6" t="str">
        <f ca="1">IF(AND(NEGOCIAÇÕES!O586="",NEGOCIAÇÕES!N586&gt;TODAY()),NEGOCIAÇÕES!C586,"")</f>
        <v/>
      </c>
      <c r="C586" s="6" t="str">
        <f ca="1">IF(AND(NEGOCIAÇÕES!O586="",NEGOCIAÇÕES!N586&gt;TODAY()),NEGOCIAÇÕES!E586,"")</f>
        <v/>
      </c>
      <c r="D586" s="6" t="str">
        <f ca="1">IF(AND(NEGOCIAÇÕES!O586="",NEGOCIAÇÕES!N586&gt;TODAY()),NEGOCIAÇÕES!D586,"")</f>
        <v/>
      </c>
      <c r="E586" s="9" t="str">
        <f>IF(AND(NEGOCIAÇÕES!B586&lt;&gt;"",NEGOCIAÇÕES!O586=""),NEGOCIAÇÕES!N586,"")</f>
        <v/>
      </c>
    </row>
    <row r="587" spans="2:5" ht="31.95" hidden="1" customHeight="1" x14ac:dyDescent="0.3">
      <c r="B587" s="6" t="str">
        <f ca="1">IF(AND(NEGOCIAÇÕES!O587="",NEGOCIAÇÕES!N587&gt;TODAY()),NEGOCIAÇÕES!C587,"")</f>
        <v/>
      </c>
      <c r="C587" s="6" t="str">
        <f ca="1">IF(AND(NEGOCIAÇÕES!O587="",NEGOCIAÇÕES!N587&gt;TODAY()),NEGOCIAÇÕES!E587,"")</f>
        <v/>
      </c>
      <c r="D587" s="6" t="str">
        <f ca="1">IF(AND(NEGOCIAÇÕES!O587="",NEGOCIAÇÕES!N587&gt;TODAY()),NEGOCIAÇÕES!D587,"")</f>
        <v/>
      </c>
      <c r="E587" s="9" t="str">
        <f>IF(AND(NEGOCIAÇÕES!B587&lt;&gt;"",NEGOCIAÇÕES!O587=""),NEGOCIAÇÕES!N587,"")</f>
        <v/>
      </c>
    </row>
    <row r="588" spans="2:5" ht="31.95" hidden="1" customHeight="1" x14ac:dyDescent="0.3">
      <c r="B588" s="6" t="str">
        <f ca="1">IF(AND(NEGOCIAÇÕES!O588="",NEGOCIAÇÕES!N588&gt;TODAY()),NEGOCIAÇÕES!C588,"")</f>
        <v/>
      </c>
      <c r="C588" s="6" t="str">
        <f ca="1">IF(AND(NEGOCIAÇÕES!O588="",NEGOCIAÇÕES!N588&gt;TODAY()),NEGOCIAÇÕES!E588,"")</f>
        <v/>
      </c>
      <c r="D588" s="6" t="str">
        <f ca="1">IF(AND(NEGOCIAÇÕES!O588="",NEGOCIAÇÕES!N588&gt;TODAY()),NEGOCIAÇÕES!D588,"")</f>
        <v/>
      </c>
      <c r="E588" s="9" t="str">
        <f>IF(AND(NEGOCIAÇÕES!B588&lt;&gt;"",NEGOCIAÇÕES!O588=""),NEGOCIAÇÕES!N588,"")</f>
        <v/>
      </c>
    </row>
    <row r="589" spans="2:5" ht="31.95" hidden="1" customHeight="1" x14ac:dyDescent="0.3">
      <c r="B589" s="6" t="str">
        <f ca="1">IF(AND(NEGOCIAÇÕES!O589="",NEGOCIAÇÕES!N589&gt;TODAY()),NEGOCIAÇÕES!C589,"")</f>
        <v/>
      </c>
      <c r="C589" s="6" t="str">
        <f ca="1">IF(AND(NEGOCIAÇÕES!O589="",NEGOCIAÇÕES!N589&gt;TODAY()),NEGOCIAÇÕES!E589,"")</f>
        <v/>
      </c>
      <c r="D589" s="6" t="str">
        <f ca="1">IF(AND(NEGOCIAÇÕES!O589="",NEGOCIAÇÕES!N589&gt;TODAY()),NEGOCIAÇÕES!D589,"")</f>
        <v/>
      </c>
      <c r="E589" s="9" t="str">
        <f>IF(AND(NEGOCIAÇÕES!B589&lt;&gt;"",NEGOCIAÇÕES!O589=""),NEGOCIAÇÕES!N589,"")</f>
        <v/>
      </c>
    </row>
    <row r="590" spans="2:5" ht="31.95" hidden="1" customHeight="1" x14ac:dyDescent="0.3">
      <c r="B590" s="6" t="str">
        <f ca="1">IF(AND(NEGOCIAÇÕES!O590="",NEGOCIAÇÕES!N590&gt;TODAY()),NEGOCIAÇÕES!C590,"")</f>
        <v/>
      </c>
      <c r="C590" s="6" t="str">
        <f ca="1">IF(AND(NEGOCIAÇÕES!O590="",NEGOCIAÇÕES!N590&gt;TODAY()),NEGOCIAÇÕES!E590,"")</f>
        <v/>
      </c>
      <c r="D590" s="6" t="str">
        <f ca="1">IF(AND(NEGOCIAÇÕES!O590="",NEGOCIAÇÕES!N590&gt;TODAY()),NEGOCIAÇÕES!D590,"")</f>
        <v/>
      </c>
      <c r="E590" s="9" t="str">
        <f>IF(AND(NEGOCIAÇÕES!B590&lt;&gt;"",NEGOCIAÇÕES!O590=""),NEGOCIAÇÕES!N590,"")</f>
        <v/>
      </c>
    </row>
    <row r="591" spans="2:5" ht="31.95" hidden="1" customHeight="1" x14ac:dyDescent="0.3">
      <c r="B591" s="6" t="str">
        <f ca="1">IF(AND(NEGOCIAÇÕES!O591="",NEGOCIAÇÕES!N591&gt;TODAY()),NEGOCIAÇÕES!C591,"")</f>
        <v/>
      </c>
      <c r="C591" s="6" t="str">
        <f ca="1">IF(AND(NEGOCIAÇÕES!O591="",NEGOCIAÇÕES!N591&gt;TODAY()),NEGOCIAÇÕES!E591,"")</f>
        <v/>
      </c>
      <c r="D591" s="6" t="str">
        <f ca="1">IF(AND(NEGOCIAÇÕES!O591="",NEGOCIAÇÕES!N591&gt;TODAY()),NEGOCIAÇÕES!D591,"")</f>
        <v/>
      </c>
      <c r="E591" s="9" t="str">
        <f>IF(AND(NEGOCIAÇÕES!B591&lt;&gt;"",NEGOCIAÇÕES!O591=""),NEGOCIAÇÕES!N591,"")</f>
        <v/>
      </c>
    </row>
    <row r="592" spans="2:5" ht="31.95" hidden="1" customHeight="1" x14ac:dyDescent="0.3">
      <c r="B592" s="6" t="str">
        <f ca="1">IF(AND(NEGOCIAÇÕES!O592="",NEGOCIAÇÕES!N592&gt;TODAY()),NEGOCIAÇÕES!C592,"")</f>
        <v/>
      </c>
      <c r="C592" s="6" t="str">
        <f ca="1">IF(AND(NEGOCIAÇÕES!O592="",NEGOCIAÇÕES!N592&gt;TODAY()),NEGOCIAÇÕES!E592,"")</f>
        <v/>
      </c>
      <c r="D592" s="6" t="str">
        <f ca="1">IF(AND(NEGOCIAÇÕES!O592="",NEGOCIAÇÕES!N592&gt;TODAY()),NEGOCIAÇÕES!D592,"")</f>
        <v/>
      </c>
      <c r="E592" s="9" t="str">
        <f>IF(AND(NEGOCIAÇÕES!B592&lt;&gt;"",NEGOCIAÇÕES!O592=""),NEGOCIAÇÕES!N592,"")</f>
        <v/>
      </c>
    </row>
    <row r="593" spans="2:5" ht="31.95" hidden="1" customHeight="1" x14ac:dyDescent="0.3">
      <c r="B593" s="6" t="str">
        <f ca="1">IF(AND(NEGOCIAÇÕES!O593="",NEGOCIAÇÕES!N593&gt;TODAY()),NEGOCIAÇÕES!C593,"")</f>
        <v/>
      </c>
      <c r="C593" s="6" t="str">
        <f ca="1">IF(AND(NEGOCIAÇÕES!O593="",NEGOCIAÇÕES!N593&gt;TODAY()),NEGOCIAÇÕES!E593,"")</f>
        <v/>
      </c>
      <c r="D593" s="6" t="str">
        <f ca="1">IF(AND(NEGOCIAÇÕES!O593="",NEGOCIAÇÕES!N593&gt;TODAY()),NEGOCIAÇÕES!D593,"")</f>
        <v/>
      </c>
      <c r="E593" s="9" t="str">
        <f>IF(AND(NEGOCIAÇÕES!B593&lt;&gt;"",NEGOCIAÇÕES!O593=""),NEGOCIAÇÕES!N593,"")</f>
        <v/>
      </c>
    </row>
    <row r="594" spans="2:5" ht="31.95" hidden="1" customHeight="1" x14ac:dyDescent="0.3">
      <c r="B594" s="6" t="str">
        <f ca="1">IF(AND(NEGOCIAÇÕES!O594="",NEGOCIAÇÕES!N594&gt;TODAY()),NEGOCIAÇÕES!C594,"")</f>
        <v/>
      </c>
      <c r="C594" s="6" t="str">
        <f ca="1">IF(AND(NEGOCIAÇÕES!O594="",NEGOCIAÇÕES!N594&gt;TODAY()),NEGOCIAÇÕES!E594,"")</f>
        <v/>
      </c>
      <c r="D594" s="6" t="str">
        <f ca="1">IF(AND(NEGOCIAÇÕES!O594="",NEGOCIAÇÕES!N594&gt;TODAY()),NEGOCIAÇÕES!D594,"")</f>
        <v/>
      </c>
      <c r="E594" s="9" t="str">
        <f>IF(AND(NEGOCIAÇÕES!B594&lt;&gt;"",NEGOCIAÇÕES!O594=""),NEGOCIAÇÕES!N594,"")</f>
        <v/>
      </c>
    </row>
    <row r="595" spans="2:5" ht="31.95" hidden="1" customHeight="1" x14ac:dyDescent="0.3">
      <c r="B595" s="6" t="str">
        <f ca="1">IF(AND(NEGOCIAÇÕES!O595="",NEGOCIAÇÕES!N595&gt;TODAY()),NEGOCIAÇÕES!C595,"")</f>
        <v/>
      </c>
      <c r="C595" s="6" t="str">
        <f ca="1">IF(AND(NEGOCIAÇÕES!O595="",NEGOCIAÇÕES!N595&gt;TODAY()),NEGOCIAÇÕES!E595,"")</f>
        <v/>
      </c>
      <c r="D595" s="6" t="str">
        <f ca="1">IF(AND(NEGOCIAÇÕES!O595="",NEGOCIAÇÕES!N595&gt;TODAY()),NEGOCIAÇÕES!D595,"")</f>
        <v/>
      </c>
      <c r="E595" s="9" t="str">
        <f>IF(AND(NEGOCIAÇÕES!B595&lt;&gt;"",NEGOCIAÇÕES!O595=""),NEGOCIAÇÕES!N595,"")</f>
        <v/>
      </c>
    </row>
    <row r="596" spans="2:5" ht="31.95" hidden="1" customHeight="1" x14ac:dyDescent="0.3">
      <c r="B596" s="6" t="str">
        <f ca="1">IF(AND(NEGOCIAÇÕES!O596="",NEGOCIAÇÕES!N596&gt;TODAY()),NEGOCIAÇÕES!C596,"")</f>
        <v/>
      </c>
      <c r="C596" s="6" t="str">
        <f ca="1">IF(AND(NEGOCIAÇÕES!O596="",NEGOCIAÇÕES!N596&gt;TODAY()),NEGOCIAÇÕES!E596,"")</f>
        <v/>
      </c>
      <c r="D596" s="6" t="str">
        <f ca="1">IF(AND(NEGOCIAÇÕES!O596="",NEGOCIAÇÕES!N596&gt;TODAY()),NEGOCIAÇÕES!D596,"")</f>
        <v/>
      </c>
      <c r="E596" s="9" t="str">
        <f>IF(AND(NEGOCIAÇÕES!B596&lt;&gt;"",NEGOCIAÇÕES!O596=""),NEGOCIAÇÕES!N596,"")</f>
        <v/>
      </c>
    </row>
    <row r="597" spans="2:5" ht="31.95" hidden="1" customHeight="1" x14ac:dyDescent="0.3">
      <c r="B597" s="6" t="str">
        <f ca="1">IF(AND(NEGOCIAÇÕES!O597="",NEGOCIAÇÕES!N597&gt;TODAY()),NEGOCIAÇÕES!C597,"")</f>
        <v/>
      </c>
      <c r="C597" s="6" t="str">
        <f ca="1">IF(AND(NEGOCIAÇÕES!O597="",NEGOCIAÇÕES!N597&gt;TODAY()),NEGOCIAÇÕES!E597,"")</f>
        <v/>
      </c>
      <c r="D597" s="6" t="str">
        <f ca="1">IF(AND(NEGOCIAÇÕES!O597="",NEGOCIAÇÕES!N597&gt;TODAY()),NEGOCIAÇÕES!D597,"")</f>
        <v/>
      </c>
      <c r="E597" s="9" t="str">
        <f>IF(AND(NEGOCIAÇÕES!B597&lt;&gt;"",NEGOCIAÇÕES!O597=""),NEGOCIAÇÕES!N597,"")</f>
        <v/>
      </c>
    </row>
    <row r="598" spans="2:5" ht="31.95" hidden="1" customHeight="1" x14ac:dyDescent="0.3">
      <c r="B598" s="6" t="str">
        <f ca="1">IF(AND(NEGOCIAÇÕES!O598="",NEGOCIAÇÕES!N598&gt;TODAY()),NEGOCIAÇÕES!C598,"")</f>
        <v/>
      </c>
      <c r="C598" s="6" t="str">
        <f ca="1">IF(AND(NEGOCIAÇÕES!O598="",NEGOCIAÇÕES!N598&gt;TODAY()),NEGOCIAÇÕES!E598,"")</f>
        <v/>
      </c>
      <c r="D598" s="6" t="str">
        <f ca="1">IF(AND(NEGOCIAÇÕES!O598="",NEGOCIAÇÕES!N598&gt;TODAY()),NEGOCIAÇÕES!D598,"")</f>
        <v/>
      </c>
      <c r="E598" s="9" t="str">
        <f>IF(AND(NEGOCIAÇÕES!B598&lt;&gt;"",NEGOCIAÇÕES!O598=""),NEGOCIAÇÕES!N598,"")</f>
        <v/>
      </c>
    </row>
    <row r="599" spans="2:5" ht="31.95" hidden="1" customHeight="1" x14ac:dyDescent="0.3">
      <c r="B599" s="6" t="str">
        <f ca="1">IF(AND(NEGOCIAÇÕES!O599="",NEGOCIAÇÕES!N599&gt;TODAY()),NEGOCIAÇÕES!C599,"")</f>
        <v/>
      </c>
      <c r="C599" s="6" t="str">
        <f ca="1">IF(AND(NEGOCIAÇÕES!O599="",NEGOCIAÇÕES!N599&gt;TODAY()),NEGOCIAÇÕES!E599,"")</f>
        <v/>
      </c>
      <c r="D599" s="6" t="str">
        <f ca="1">IF(AND(NEGOCIAÇÕES!O599="",NEGOCIAÇÕES!N599&gt;TODAY()),NEGOCIAÇÕES!D599,"")</f>
        <v/>
      </c>
      <c r="E599" s="9" t="str">
        <f>IF(AND(NEGOCIAÇÕES!B599&lt;&gt;"",NEGOCIAÇÕES!O599=""),NEGOCIAÇÕES!N599,"")</f>
        <v/>
      </c>
    </row>
    <row r="600" spans="2:5" ht="31.95" hidden="1" customHeight="1" x14ac:dyDescent="0.3">
      <c r="B600" s="6" t="str">
        <f ca="1">IF(AND(NEGOCIAÇÕES!O600="",NEGOCIAÇÕES!N600&gt;TODAY()),NEGOCIAÇÕES!C600,"")</f>
        <v/>
      </c>
      <c r="C600" s="6" t="str">
        <f ca="1">IF(AND(NEGOCIAÇÕES!O600="",NEGOCIAÇÕES!N600&gt;TODAY()),NEGOCIAÇÕES!E600,"")</f>
        <v/>
      </c>
      <c r="D600" s="6" t="str">
        <f ca="1">IF(AND(NEGOCIAÇÕES!O600="",NEGOCIAÇÕES!N600&gt;TODAY()),NEGOCIAÇÕES!D600,"")</f>
        <v/>
      </c>
      <c r="E600" s="9" t="str">
        <f>IF(AND(NEGOCIAÇÕES!B600&lt;&gt;"",NEGOCIAÇÕES!O600=""),NEGOCIAÇÕES!N600,"")</f>
        <v/>
      </c>
    </row>
    <row r="601" spans="2:5" ht="31.95" hidden="1" customHeight="1" x14ac:dyDescent="0.3">
      <c r="B601" s="6" t="str">
        <f ca="1">IF(AND(NEGOCIAÇÕES!O601="",NEGOCIAÇÕES!N601&gt;TODAY()),NEGOCIAÇÕES!C601,"")</f>
        <v/>
      </c>
      <c r="C601" s="6" t="str">
        <f ca="1">IF(AND(NEGOCIAÇÕES!O601="",NEGOCIAÇÕES!N601&gt;TODAY()),NEGOCIAÇÕES!E601,"")</f>
        <v/>
      </c>
      <c r="D601" s="6" t="str">
        <f ca="1">IF(AND(NEGOCIAÇÕES!O601="",NEGOCIAÇÕES!N601&gt;TODAY()),NEGOCIAÇÕES!D601,"")</f>
        <v/>
      </c>
      <c r="E601" s="9" t="str">
        <f>IF(AND(NEGOCIAÇÕES!B601&lt;&gt;"",NEGOCIAÇÕES!O601=""),NEGOCIAÇÕES!N601,"")</f>
        <v/>
      </c>
    </row>
    <row r="602" spans="2:5" ht="31.95" hidden="1" customHeight="1" x14ac:dyDescent="0.3">
      <c r="B602" s="6" t="str">
        <f ca="1">IF(AND(NEGOCIAÇÕES!O602="",NEGOCIAÇÕES!N602&gt;TODAY()),NEGOCIAÇÕES!C602,"")</f>
        <v/>
      </c>
      <c r="C602" s="6" t="str">
        <f ca="1">IF(AND(NEGOCIAÇÕES!O602="",NEGOCIAÇÕES!N602&gt;TODAY()),NEGOCIAÇÕES!E602,"")</f>
        <v/>
      </c>
      <c r="D602" s="6" t="str">
        <f ca="1">IF(AND(NEGOCIAÇÕES!O602="",NEGOCIAÇÕES!N602&gt;TODAY()),NEGOCIAÇÕES!D602,"")</f>
        <v/>
      </c>
      <c r="E602" s="9" t="str">
        <f>IF(AND(NEGOCIAÇÕES!B602&lt;&gt;"",NEGOCIAÇÕES!O602=""),NEGOCIAÇÕES!N602,"")</f>
        <v/>
      </c>
    </row>
    <row r="603" spans="2:5" ht="31.95" hidden="1" customHeight="1" x14ac:dyDescent="0.3">
      <c r="B603" s="6" t="str">
        <f ca="1">IF(AND(NEGOCIAÇÕES!O603="",NEGOCIAÇÕES!N603&gt;TODAY()),NEGOCIAÇÕES!C603,"")</f>
        <v/>
      </c>
      <c r="C603" s="6" t="str">
        <f ca="1">IF(AND(NEGOCIAÇÕES!O603="",NEGOCIAÇÕES!N603&gt;TODAY()),NEGOCIAÇÕES!E603,"")</f>
        <v/>
      </c>
      <c r="D603" s="6" t="str">
        <f ca="1">IF(AND(NEGOCIAÇÕES!O603="",NEGOCIAÇÕES!N603&gt;TODAY()),NEGOCIAÇÕES!D603,"")</f>
        <v/>
      </c>
      <c r="E603" s="9" t="str">
        <f>IF(AND(NEGOCIAÇÕES!B603&lt;&gt;"",NEGOCIAÇÕES!O603=""),NEGOCIAÇÕES!N603,"")</f>
        <v/>
      </c>
    </row>
    <row r="604" spans="2:5" ht="31.95" hidden="1" customHeight="1" x14ac:dyDescent="0.3">
      <c r="B604" s="6" t="str">
        <f ca="1">IF(AND(NEGOCIAÇÕES!O604="",NEGOCIAÇÕES!N604&gt;TODAY()),NEGOCIAÇÕES!C604,"")</f>
        <v/>
      </c>
      <c r="C604" s="6" t="str">
        <f ca="1">IF(AND(NEGOCIAÇÕES!O604="",NEGOCIAÇÕES!N604&gt;TODAY()),NEGOCIAÇÕES!E604,"")</f>
        <v/>
      </c>
      <c r="D604" s="6" t="str">
        <f ca="1">IF(AND(NEGOCIAÇÕES!O604="",NEGOCIAÇÕES!N604&gt;TODAY()),NEGOCIAÇÕES!D604,"")</f>
        <v/>
      </c>
      <c r="E604" s="9" t="str">
        <f>IF(AND(NEGOCIAÇÕES!B604&lt;&gt;"",NEGOCIAÇÕES!O604=""),NEGOCIAÇÕES!N604,"")</f>
        <v/>
      </c>
    </row>
    <row r="605" spans="2:5" ht="31.95" hidden="1" customHeight="1" x14ac:dyDescent="0.3">
      <c r="B605" s="6" t="str">
        <f ca="1">IF(AND(NEGOCIAÇÕES!O605="",NEGOCIAÇÕES!N605&gt;TODAY()),NEGOCIAÇÕES!C605,"")</f>
        <v/>
      </c>
      <c r="C605" s="6" t="str">
        <f ca="1">IF(AND(NEGOCIAÇÕES!O605="",NEGOCIAÇÕES!N605&gt;TODAY()),NEGOCIAÇÕES!E605,"")</f>
        <v/>
      </c>
      <c r="D605" s="6" t="str">
        <f ca="1">IF(AND(NEGOCIAÇÕES!O605="",NEGOCIAÇÕES!N605&gt;TODAY()),NEGOCIAÇÕES!D605,"")</f>
        <v/>
      </c>
      <c r="E605" s="9" t="str">
        <f>IF(AND(NEGOCIAÇÕES!B605&lt;&gt;"",NEGOCIAÇÕES!O605=""),NEGOCIAÇÕES!N605,"")</f>
        <v/>
      </c>
    </row>
    <row r="606" spans="2:5" ht="31.95" hidden="1" customHeight="1" x14ac:dyDescent="0.3">
      <c r="B606" s="6" t="str">
        <f ca="1">IF(AND(NEGOCIAÇÕES!O606="",NEGOCIAÇÕES!N606&gt;TODAY()),NEGOCIAÇÕES!C606,"")</f>
        <v/>
      </c>
      <c r="C606" s="6" t="str">
        <f ca="1">IF(AND(NEGOCIAÇÕES!O606="",NEGOCIAÇÕES!N606&gt;TODAY()),NEGOCIAÇÕES!E606,"")</f>
        <v/>
      </c>
      <c r="D606" s="6" t="str">
        <f ca="1">IF(AND(NEGOCIAÇÕES!O606="",NEGOCIAÇÕES!N606&gt;TODAY()),NEGOCIAÇÕES!D606,"")</f>
        <v/>
      </c>
      <c r="E606" s="9" t="str">
        <f>IF(AND(NEGOCIAÇÕES!B606&lt;&gt;"",NEGOCIAÇÕES!O606=""),NEGOCIAÇÕES!N606,"")</f>
        <v/>
      </c>
    </row>
    <row r="607" spans="2:5" ht="31.95" hidden="1" customHeight="1" x14ac:dyDescent="0.3">
      <c r="B607" s="6" t="str">
        <f ca="1">IF(AND(NEGOCIAÇÕES!O607="",NEGOCIAÇÕES!N607&gt;TODAY()),NEGOCIAÇÕES!C607,"")</f>
        <v/>
      </c>
      <c r="C607" s="6" t="str">
        <f ca="1">IF(AND(NEGOCIAÇÕES!O607="",NEGOCIAÇÕES!N607&gt;TODAY()),NEGOCIAÇÕES!E607,"")</f>
        <v/>
      </c>
      <c r="D607" s="6" t="str">
        <f ca="1">IF(AND(NEGOCIAÇÕES!O607="",NEGOCIAÇÕES!N607&gt;TODAY()),NEGOCIAÇÕES!D607,"")</f>
        <v/>
      </c>
      <c r="E607" s="9" t="str">
        <f>IF(AND(NEGOCIAÇÕES!B607&lt;&gt;"",NEGOCIAÇÕES!O607=""),NEGOCIAÇÕES!N607,"")</f>
        <v/>
      </c>
    </row>
    <row r="608" spans="2:5" ht="31.95" hidden="1" customHeight="1" x14ac:dyDescent="0.3">
      <c r="B608" s="6" t="str">
        <f ca="1">IF(AND(NEGOCIAÇÕES!O608="",NEGOCIAÇÕES!N608&gt;TODAY()),NEGOCIAÇÕES!C608,"")</f>
        <v/>
      </c>
      <c r="C608" s="6" t="str">
        <f ca="1">IF(AND(NEGOCIAÇÕES!O608="",NEGOCIAÇÕES!N608&gt;TODAY()),NEGOCIAÇÕES!E608,"")</f>
        <v/>
      </c>
      <c r="D608" s="6" t="str">
        <f ca="1">IF(AND(NEGOCIAÇÕES!O608="",NEGOCIAÇÕES!N608&gt;TODAY()),NEGOCIAÇÕES!D608,"")</f>
        <v/>
      </c>
      <c r="E608" s="9" t="str">
        <f>IF(AND(NEGOCIAÇÕES!B608&lt;&gt;"",NEGOCIAÇÕES!O608=""),NEGOCIAÇÕES!N608,"")</f>
        <v/>
      </c>
    </row>
    <row r="609" spans="2:5" ht="31.95" hidden="1" customHeight="1" x14ac:dyDescent="0.3">
      <c r="B609" s="6" t="str">
        <f ca="1">IF(AND(NEGOCIAÇÕES!O609="",NEGOCIAÇÕES!N609&gt;TODAY()),NEGOCIAÇÕES!C609,"")</f>
        <v/>
      </c>
      <c r="C609" s="6" t="str">
        <f ca="1">IF(AND(NEGOCIAÇÕES!O609="",NEGOCIAÇÕES!N609&gt;TODAY()),NEGOCIAÇÕES!E609,"")</f>
        <v/>
      </c>
      <c r="D609" s="6" t="str">
        <f ca="1">IF(AND(NEGOCIAÇÕES!O609="",NEGOCIAÇÕES!N609&gt;TODAY()),NEGOCIAÇÕES!D609,"")</f>
        <v/>
      </c>
      <c r="E609" s="9" t="str">
        <f>IF(AND(NEGOCIAÇÕES!B609&lt;&gt;"",NEGOCIAÇÕES!O609=""),NEGOCIAÇÕES!N609,"")</f>
        <v/>
      </c>
    </row>
    <row r="610" spans="2:5" ht="31.95" hidden="1" customHeight="1" x14ac:dyDescent="0.3">
      <c r="B610" s="6" t="str">
        <f ca="1">IF(AND(NEGOCIAÇÕES!O610="",NEGOCIAÇÕES!N610&gt;TODAY()),NEGOCIAÇÕES!C610,"")</f>
        <v/>
      </c>
      <c r="C610" s="6" t="str">
        <f ca="1">IF(AND(NEGOCIAÇÕES!O610="",NEGOCIAÇÕES!N610&gt;TODAY()),NEGOCIAÇÕES!E610,"")</f>
        <v/>
      </c>
      <c r="D610" s="6" t="str">
        <f ca="1">IF(AND(NEGOCIAÇÕES!O610="",NEGOCIAÇÕES!N610&gt;TODAY()),NEGOCIAÇÕES!D610,"")</f>
        <v/>
      </c>
      <c r="E610" s="9" t="str">
        <f>IF(AND(NEGOCIAÇÕES!B610&lt;&gt;"",NEGOCIAÇÕES!O610=""),NEGOCIAÇÕES!N610,"")</f>
        <v/>
      </c>
    </row>
    <row r="611" spans="2:5" ht="31.95" hidden="1" customHeight="1" x14ac:dyDescent="0.3">
      <c r="B611" s="6" t="str">
        <f ca="1">IF(AND(NEGOCIAÇÕES!O611="",NEGOCIAÇÕES!N611&gt;TODAY()),NEGOCIAÇÕES!C611,"")</f>
        <v/>
      </c>
      <c r="C611" s="6" t="str">
        <f ca="1">IF(AND(NEGOCIAÇÕES!O611="",NEGOCIAÇÕES!N611&gt;TODAY()),NEGOCIAÇÕES!E611,"")</f>
        <v/>
      </c>
      <c r="D611" s="6" t="str">
        <f ca="1">IF(AND(NEGOCIAÇÕES!O611="",NEGOCIAÇÕES!N611&gt;TODAY()),NEGOCIAÇÕES!D611,"")</f>
        <v/>
      </c>
      <c r="E611" s="9" t="str">
        <f>IF(AND(NEGOCIAÇÕES!B611&lt;&gt;"",NEGOCIAÇÕES!O611=""),NEGOCIAÇÕES!N611,"")</f>
        <v/>
      </c>
    </row>
    <row r="612" spans="2:5" ht="31.95" hidden="1" customHeight="1" x14ac:dyDescent="0.3">
      <c r="B612" s="6" t="str">
        <f ca="1">IF(AND(NEGOCIAÇÕES!O612="",NEGOCIAÇÕES!N612&gt;TODAY()),NEGOCIAÇÕES!C612,"")</f>
        <v/>
      </c>
      <c r="C612" s="6" t="str">
        <f ca="1">IF(AND(NEGOCIAÇÕES!O612="",NEGOCIAÇÕES!N612&gt;TODAY()),NEGOCIAÇÕES!E612,"")</f>
        <v/>
      </c>
      <c r="D612" s="6" t="str">
        <f ca="1">IF(AND(NEGOCIAÇÕES!O612="",NEGOCIAÇÕES!N612&gt;TODAY()),NEGOCIAÇÕES!D612,"")</f>
        <v/>
      </c>
      <c r="E612" s="9" t="str">
        <f>IF(AND(NEGOCIAÇÕES!B612&lt;&gt;"",NEGOCIAÇÕES!O612=""),NEGOCIAÇÕES!N612,"")</f>
        <v/>
      </c>
    </row>
    <row r="613" spans="2:5" ht="31.95" hidden="1" customHeight="1" x14ac:dyDescent="0.3">
      <c r="B613" s="6" t="str">
        <f ca="1">IF(AND(NEGOCIAÇÕES!O613="",NEGOCIAÇÕES!N613&gt;TODAY()),NEGOCIAÇÕES!C613,"")</f>
        <v/>
      </c>
      <c r="C613" s="6" t="str">
        <f ca="1">IF(AND(NEGOCIAÇÕES!O613="",NEGOCIAÇÕES!N613&gt;TODAY()),NEGOCIAÇÕES!E613,"")</f>
        <v/>
      </c>
      <c r="D613" s="6" t="str">
        <f ca="1">IF(AND(NEGOCIAÇÕES!O613="",NEGOCIAÇÕES!N613&gt;TODAY()),NEGOCIAÇÕES!D613,"")</f>
        <v/>
      </c>
      <c r="E613" s="9" t="str">
        <f>IF(AND(NEGOCIAÇÕES!B613&lt;&gt;"",NEGOCIAÇÕES!O613=""),NEGOCIAÇÕES!N613,"")</f>
        <v/>
      </c>
    </row>
    <row r="614" spans="2:5" ht="31.95" hidden="1" customHeight="1" x14ac:dyDescent="0.3">
      <c r="B614" s="6" t="str">
        <f ca="1">IF(AND(NEGOCIAÇÕES!O614="",NEGOCIAÇÕES!N614&gt;TODAY()),NEGOCIAÇÕES!C614,"")</f>
        <v/>
      </c>
      <c r="C614" s="6" t="str">
        <f ca="1">IF(AND(NEGOCIAÇÕES!O614="",NEGOCIAÇÕES!N614&gt;TODAY()),NEGOCIAÇÕES!E614,"")</f>
        <v/>
      </c>
      <c r="D614" s="6" t="str">
        <f ca="1">IF(AND(NEGOCIAÇÕES!O614="",NEGOCIAÇÕES!N614&gt;TODAY()),NEGOCIAÇÕES!D614,"")</f>
        <v/>
      </c>
      <c r="E614" s="9" t="str">
        <f>IF(AND(NEGOCIAÇÕES!B614&lt;&gt;"",NEGOCIAÇÕES!O614=""),NEGOCIAÇÕES!N614,"")</f>
        <v/>
      </c>
    </row>
    <row r="615" spans="2:5" ht="31.95" hidden="1" customHeight="1" x14ac:dyDescent="0.3">
      <c r="B615" s="6" t="str">
        <f ca="1">IF(AND(NEGOCIAÇÕES!O615="",NEGOCIAÇÕES!N615&gt;TODAY()),NEGOCIAÇÕES!C615,"")</f>
        <v/>
      </c>
      <c r="C615" s="6" t="str">
        <f ca="1">IF(AND(NEGOCIAÇÕES!O615="",NEGOCIAÇÕES!N615&gt;TODAY()),NEGOCIAÇÕES!E615,"")</f>
        <v/>
      </c>
      <c r="D615" s="6" t="str">
        <f ca="1">IF(AND(NEGOCIAÇÕES!O615="",NEGOCIAÇÕES!N615&gt;TODAY()),NEGOCIAÇÕES!D615,"")</f>
        <v/>
      </c>
      <c r="E615" s="9" t="str">
        <f>IF(AND(NEGOCIAÇÕES!B615&lt;&gt;"",NEGOCIAÇÕES!O615=""),NEGOCIAÇÕES!N615,"")</f>
        <v/>
      </c>
    </row>
    <row r="616" spans="2:5" ht="31.95" hidden="1" customHeight="1" x14ac:dyDescent="0.3">
      <c r="B616" s="6" t="str">
        <f ca="1">IF(AND(NEGOCIAÇÕES!O616="",NEGOCIAÇÕES!N616&gt;TODAY()),NEGOCIAÇÕES!C616,"")</f>
        <v/>
      </c>
      <c r="C616" s="6" t="str">
        <f ca="1">IF(AND(NEGOCIAÇÕES!O616="",NEGOCIAÇÕES!N616&gt;TODAY()),NEGOCIAÇÕES!E616,"")</f>
        <v/>
      </c>
      <c r="D616" s="6" t="str">
        <f ca="1">IF(AND(NEGOCIAÇÕES!O616="",NEGOCIAÇÕES!N616&gt;TODAY()),NEGOCIAÇÕES!D616,"")</f>
        <v/>
      </c>
      <c r="E616" s="9" t="str">
        <f>IF(AND(NEGOCIAÇÕES!B616&lt;&gt;"",NEGOCIAÇÕES!O616=""),NEGOCIAÇÕES!N616,"")</f>
        <v/>
      </c>
    </row>
    <row r="617" spans="2:5" ht="31.95" hidden="1" customHeight="1" x14ac:dyDescent="0.3">
      <c r="B617" s="6" t="str">
        <f ca="1">IF(AND(NEGOCIAÇÕES!O617="",NEGOCIAÇÕES!N617&gt;TODAY()),NEGOCIAÇÕES!C617,"")</f>
        <v/>
      </c>
      <c r="C617" s="6" t="str">
        <f ca="1">IF(AND(NEGOCIAÇÕES!O617="",NEGOCIAÇÕES!N617&gt;TODAY()),NEGOCIAÇÕES!E617,"")</f>
        <v/>
      </c>
      <c r="D617" s="6" t="str">
        <f ca="1">IF(AND(NEGOCIAÇÕES!O617="",NEGOCIAÇÕES!N617&gt;TODAY()),NEGOCIAÇÕES!D617,"")</f>
        <v/>
      </c>
      <c r="E617" s="9" t="str">
        <f>IF(AND(NEGOCIAÇÕES!B617&lt;&gt;"",NEGOCIAÇÕES!O617=""),NEGOCIAÇÕES!N617,"")</f>
        <v/>
      </c>
    </row>
    <row r="618" spans="2:5" ht="31.95" hidden="1" customHeight="1" x14ac:dyDescent="0.3">
      <c r="B618" s="6" t="str">
        <f ca="1">IF(AND(NEGOCIAÇÕES!O618="",NEGOCIAÇÕES!N618&gt;TODAY()),NEGOCIAÇÕES!C618,"")</f>
        <v/>
      </c>
      <c r="C618" s="6" t="str">
        <f ca="1">IF(AND(NEGOCIAÇÕES!O618="",NEGOCIAÇÕES!N618&gt;TODAY()),NEGOCIAÇÕES!E618,"")</f>
        <v/>
      </c>
      <c r="D618" s="6" t="str">
        <f ca="1">IF(AND(NEGOCIAÇÕES!O618="",NEGOCIAÇÕES!N618&gt;TODAY()),NEGOCIAÇÕES!D618,"")</f>
        <v/>
      </c>
      <c r="E618" s="9" t="str">
        <f>IF(AND(NEGOCIAÇÕES!B618&lt;&gt;"",NEGOCIAÇÕES!O618=""),NEGOCIAÇÕES!N618,"")</f>
        <v/>
      </c>
    </row>
    <row r="619" spans="2:5" ht="31.95" hidden="1" customHeight="1" x14ac:dyDescent="0.3">
      <c r="B619" s="6" t="str">
        <f ca="1">IF(AND(NEGOCIAÇÕES!O619="",NEGOCIAÇÕES!N619&gt;TODAY()),NEGOCIAÇÕES!C619,"")</f>
        <v/>
      </c>
      <c r="C619" s="6" t="str">
        <f ca="1">IF(AND(NEGOCIAÇÕES!O619="",NEGOCIAÇÕES!N619&gt;TODAY()),NEGOCIAÇÕES!E619,"")</f>
        <v/>
      </c>
      <c r="D619" s="6" t="str">
        <f ca="1">IF(AND(NEGOCIAÇÕES!O619="",NEGOCIAÇÕES!N619&gt;TODAY()),NEGOCIAÇÕES!D619,"")</f>
        <v/>
      </c>
      <c r="E619" s="9" t="str">
        <f>IF(AND(NEGOCIAÇÕES!B619&lt;&gt;"",NEGOCIAÇÕES!O619=""),NEGOCIAÇÕES!N619,"")</f>
        <v/>
      </c>
    </row>
    <row r="620" spans="2:5" ht="31.95" hidden="1" customHeight="1" x14ac:dyDescent="0.3">
      <c r="B620" s="6" t="str">
        <f ca="1">IF(AND(NEGOCIAÇÕES!O620="",NEGOCIAÇÕES!N620&gt;TODAY()),NEGOCIAÇÕES!C620,"")</f>
        <v/>
      </c>
      <c r="C620" s="6" t="str">
        <f ca="1">IF(AND(NEGOCIAÇÕES!O620="",NEGOCIAÇÕES!N620&gt;TODAY()),NEGOCIAÇÕES!E620,"")</f>
        <v/>
      </c>
      <c r="D620" s="6" t="str">
        <f ca="1">IF(AND(NEGOCIAÇÕES!O620="",NEGOCIAÇÕES!N620&gt;TODAY()),NEGOCIAÇÕES!D620,"")</f>
        <v/>
      </c>
      <c r="E620" s="9" t="str">
        <f>IF(AND(NEGOCIAÇÕES!B620&lt;&gt;"",NEGOCIAÇÕES!O620=""),NEGOCIAÇÕES!N620,"")</f>
        <v/>
      </c>
    </row>
    <row r="621" spans="2:5" ht="31.95" hidden="1" customHeight="1" x14ac:dyDescent="0.3">
      <c r="B621" s="6" t="str">
        <f ca="1">IF(AND(NEGOCIAÇÕES!O621="",NEGOCIAÇÕES!N621&gt;TODAY()),NEGOCIAÇÕES!C621,"")</f>
        <v/>
      </c>
      <c r="C621" s="6" t="str">
        <f ca="1">IF(AND(NEGOCIAÇÕES!O621="",NEGOCIAÇÕES!N621&gt;TODAY()),NEGOCIAÇÕES!E621,"")</f>
        <v/>
      </c>
      <c r="D621" s="6" t="str">
        <f ca="1">IF(AND(NEGOCIAÇÕES!O621="",NEGOCIAÇÕES!N621&gt;TODAY()),NEGOCIAÇÕES!D621,"")</f>
        <v/>
      </c>
      <c r="E621" s="9" t="str">
        <f>IF(AND(NEGOCIAÇÕES!B621&lt;&gt;"",NEGOCIAÇÕES!O621=""),NEGOCIAÇÕES!N621,"")</f>
        <v/>
      </c>
    </row>
    <row r="622" spans="2:5" ht="31.95" hidden="1" customHeight="1" x14ac:dyDescent="0.3">
      <c r="B622" s="6" t="str">
        <f ca="1">IF(AND(NEGOCIAÇÕES!O622="",NEGOCIAÇÕES!N622&gt;TODAY()),NEGOCIAÇÕES!C622,"")</f>
        <v/>
      </c>
      <c r="C622" s="6" t="str">
        <f ca="1">IF(AND(NEGOCIAÇÕES!O622="",NEGOCIAÇÕES!N622&gt;TODAY()),NEGOCIAÇÕES!E622,"")</f>
        <v/>
      </c>
      <c r="D622" s="6" t="str">
        <f ca="1">IF(AND(NEGOCIAÇÕES!O622="",NEGOCIAÇÕES!N622&gt;TODAY()),NEGOCIAÇÕES!D622,"")</f>
        <v/>
      </c>
      <c r="E622" s="9" t="str">
        <f>IF(AND(NEGOCIAÇÕES!B622&lt;&gt;"",NEGOCIAÇÕES!O622=""),NEGOCIAÇÕES!N622,"")</f>
        <v/>
      </c>
    </row>
    <row r="623" spans="2:5" ht="31.95" hidden="1" customHeight="1" x14ac:dyDescent="0.3">
      <c r="B623" s="6" t="str">
        <f ca="1">IF(AND(NEGOCIAÇÕES!O623="",NEGOCIAÇÕES!N623&gt;TODAY()),NEGOCIAÇÕES!C623,"")</f>
        <v/>
      </c>
      <c r="C623" s="6" t="str">
        <f ca="1">IF(AND(NEGOCIAÇÕES!O623="",NEGOCIAÇÕES!N623&gt;TODAY()),NEGOCIAÇÕES!E623,"")</f>
        <v/>
      </c>
      <c r="D623" s="6" t="str">
        <f ca="1">IF(AND(NEGOCIAÇÕES!O623="",NEGOCIAÇÕES!N623&gt;TODAY()),NEGOCIAÇÕES!D623,"")</f>
        <v/>
      </c>
      <c r="E623" s="9" t="str">
        <f>IF(AND(NEGOCIAÇÕES!B623&lt;&gt;"",NEGOCIAÇÕES!O623=""),NEGOCIAÇÕES!N623,"")</f>
        <v/>
      </c>
    </row>
    <row r="624" spans="2:5" ht="31.95" hidden="1" customHeight="1" x14ac:dyDescent="0.3">
      <c r="B624" s="6" t="str">
        <f ca="1">IF(AND(NEGOCIAÇÕES!O624="",NEGOCIAÇÕES!N624&gt;TODAY()),NEGOCIAÇÕES!C624,"")</f>
        <v/>
      </c>
      <c r="C624" s="6" t="str">
        <f ca="1">IF(AND(NEGOCIAÇÕES!O624="",NEGOCIAÇÕES!N624&gt;TODAY()),NEGOCIAÇÕES!E624,"")</f>
        <v/>
      </c>
      <c r="D624" s="6" t="str">
        <f ca="1">IF(AND(NEGOCIAÇÕES!O624="",NEGOCIAÇÕES!N624&gt;TODAY()),NEGOCIAÇÕES!D624,"")</f>
        <v/>
      </c>
      <c r="E624" s="9" t="str">
        <f>IF(AND(NEGOCIAÇÕES!B624&lt;&gt;"",NEGOCIAÇÕES!O624=""),NEGOCIAÇÕES!N624,"")</f>
        <v/>
      </c>
    </row>
    <row r="625" spans="2:5" ht="31.95" hidden="1" customHeight="1" x14ac:dyDescent="0.3">
      <c r="B625" s="6" t="str">
        <f ca="1">IF(AND(NEGOCIAÇÕES!O625="",NEGOCIAÇÕES!N625&gt;TODAY()),NEGOCIAÇÕES!C625,"")</f>
        <v/>
      </c>
      <c r="C625" s="6" t="str">
        <f ca="1">IF(AND(NEGOCIAÇÕES!O625="",NEGOCIAÇÕES!N625&gt;TODAY()),NEGOCIAÇÕES!E625,"")</f>
        <v/>
      </c>
      <c r="D625" s="6" t="str">
        <f ca="1">IF(AND(NEGOCIAÇÕES!O625="",NEGOCIAÇÕES!N625&gt;TODAY()),NEGOCIAÇÕES!D625,"")</f>
        <v/>
      </c>
      <c r="E625" s="9" t="str">
        <f>IF(AND(NEGOCIAÇÕES!B625&lt;&gt;"",NEGOCIAÇÕES!O625=""),NEGOCIAÇÕES!N625,"")</f>
        <v/>
      </c>
    </row>
    <row r="626" spans="2:5" ht="31.95" hidden="1" customHeight="1" x14ac:dyDescent="0.3">
      <c r="B626" s="6" t="str">
        <f ca="1">IF(AND(NEGOCIAÇÕES!O626="",NEGOCIAÇÕES!N626&gt;TODAY()),NEGOCIAÇÕES!C626,"")</f>
        <v/>
      </c>
      <c r="C626" s="6" t="str">
        <f ca="1">IF(AND(NEGOCIAÇÕES!O626="",NEGOCIAÇÕES!N626&gt;TODAY()),NEGOCIAÇÕES!E626,"")</f>
        <v/>
      </c>
      <c r="D626" s="6" t="str">
        <f ca="1">IF(AND(NEGOCIAÇÕES!O626="",NEGOCIAÇÕES!N626&gt;TODAY()),NEGOCIAÇÕES!D626,"")</f>
        <v/>
      </c>
      <c r="E626" s="9" t="str">
        <f>IF(AND(NEGOCIAÇÕES!B626&lt;&gt;"",NEGOCIAÇÕES!O626=""),NEGOCIAÇÕES!N626,"")</f>
        <v/>
      </c>
    </row>
    <row r="627" spans="2:5" ht="31.95" hidden="1" customHeight="1" x14ac:dyDescent="0.3">
      <c r="B627" s="6" t="str">
        <f ca="1">IF(AND(NEGOCIAÇÕES!O627="",NEGOCIAÇÕES!N627&gt;TODAY()),NEGOCIAÇÕES!C627,"")</f>
        <v/>
      </c>
      <c r="C627" s="6" t="str">
        <f ca="1">IF(AND(NEGOCIAÇÕES!O627="",NEGOCIAÇÕES!N627&gt;TODAY()),NEGOCIAÇÕES!E627,"")</f>
        <v/>
      </c>
      <c r="D627" s="6" t="str">
        <f ca="1">IF(AND(NEGOCIAÇÕES!O627="",NEGOCIAÇÕES!N627&gt;TODAY()),NEGOCIAÇÕES!D627,"")</f>
        <v/>
      </c>
      <c r="E627" s="9" t="str">
        <f>IF(AND(NEGOCIAÇÕES!B627&lt;&gt;"",NEGOCIAÇÕES!O627=""),NEGOCIAÇÕES!N627,"")</f>
        <v/>
      </c>
    </row>
    <row r="628" spans="2:5" ht="31.95" hidden="1" customHeight="1" x14ac:dyDescent="0.3">
      <c r="B628" s="6" t="str">
        <f ca="1">IF(AND(NEGOCIAÇÕES!O628="",NEGOCIAÇÕES!N628&gt;TODAY()),NEGOCIAÇÕES!C628,"")</f>
        <v/>
      </c>
      <c r="C628" s="6" t="str">
        <f ca="1">IF(AND(NEGOCIAÇÕES!O628="",NEGOCIAÇÕES!N628&gt;TODAY()),NEGOCIAÇÕES!E628,"")</f>
        <v/>
      </c>
      <c r="D628" s="6" t="str">
        <f ca="1">IF(AND(NEGOCIAÇÕES!O628="",NEGOCIAÇÕES!N628&gt;TODAY()),NEGOCIAÇÕES!D628,"")</f>
        <v/>
      </c>
      <c r="E628" s="9" t="str">
        <f>IF(AND(NEGOCIAÇÕES!B628&lt;&gt;"",NEGOCIAÇÕES!O628=""),NEGOCIAÇÕES!N628,"")</f>
        <v/>
      </c>
    </row>
    <row r="629" spans="2:5" ht="31.95" hidden="1" customHeight="1" x14ac:dyDescent="0.3">
      <c r="B629" s="6" t="str">
        <f ca="1">IF(AND(NEGOCIAÇÕES!O629="",NEGOCIAÇÕES!N629&gt;TODAY()),NEGOCIAÇÕES!C629,"")</f>
        <v/>
      </c>
      <c r="C629" s="6" t="str">
        <f ca="1">IF(AND(NEGOCIAÇÕES!O629="",NEGOCIAÇÕES!N629&gt;TODAY()),NEGOCIAÇÕES!E629,"")</f>
        <v/>
      </c>
      <c r="D629" s="6" t="str">
        <f ca="1">IF(AND(NEGOCIAÇÕES!O629="",NEGOCIAÇÕES!N629&gt;TODAY()),NEGOCIAÇÕES!D629,"")</f>
        <v/>
      </c>
      <c r="E629" s="9" t="str">
        <f>IF(AND(NEGOCIAÇÕES!B629&lt;&gt;"",NEGOCIAÇÕES!O629=""),NEGOCIAÇÕES!N629,"")</f>
        <v/>
      </c>
    </row>
    <row r="630" spans="2:5" ht="31.95" hidden="1" customHeight="1" x14ac:dyDescent="0.3">
      <c r="B630" s="6" t="str">
        <f ca="1">IF(AND(NEGOCIAÇÕES!O630="",NEGOCIAÇÕES!N630&gt;TODAY()),NEGOCIAÇÕES!C630,"")</f>
        <v/>
      </c>
      <c r="C630" s="6" t="str">
        <f ca="1">IF(AND(NEGOCIAÇÕES!O630="",NEGOCIAÇÕES!N630&gt;TODAY()),NEGOCIAÇÕES!E630,"")</f>
        <v/>
      </c>
      <c r="D630" s="6" t="str">
        <f ca="1">IF(AND(NEGOCIAÇÕES!O630="",NEGOCIAÇÕES!N630&gt;TODAY()),NEGOCIAÇÕES!D630,"")</f>
        <v/>
      </c>
      <c r="E630" s="9" t="str">
        <f>IF(AND(NEGOCIAÇÕES!B630&lt;&gt;"",NEGOCIAÇÕES!O630=""),NEGOCIAÇÕES!N630,"")</f>
        <v/>
      </c>
    </row>
    <row r="631" spans="2:5" ht="31.95" hidden="1" customHeight="1" x14ac:dyDescent="0.3">
      <c r="B631" s="6" t="str">
        <f ca="1">IF(AND(NEGOCIAÇÕES!O631="",NEGOCIAÇÕES!N631&gt;TODAY()),NEGOCIAÇÕES!C631,"")</f>
        <v/>
      </c>
      <c r="C631" s="6" t="str">
        <f ca="1">IF(AND(NEGOCIAÇÕES!O631="",NEGOCIAÇÕES!N631&gt;TODAY()),NEGOCIAÇÕES!E631,"")</f>
        <v/>
      </c>
      <c r="D631" s="6" t="str">
        <f ca="1">IF(AND(NEGOCIAÇÕES!O631="",NEGOCIAÇÕES!N631&gt;TODAY()),NEGOCIAÇÕES!D631,"")</f>
        <v/>
      </c>
      <c r="E631" s="9" t="str">
        <f>IF(AND(NEGOCIAÇÕES!B631&lt;&gt;"",NEGOCIAÇÕES!O631=""),NEGOCIAÇÕES!N631,"")</f>
        <v/>
      </c>
    </row>
    <row r="632" spans="2:5" ht="31.95" hidden="1" customHeight="1" x14ac:dyDescent="0.3">
      <c r="B632" s="6" t="str">
        <f ca="1">IF(AND(NEGOCIAÇÕES!O632="",NEGOCIAÇÕES!N632&gt;TODAY()),NEGOCIAÇÕES!C632,"")</f>
        <v/>
      </c>
      <c r="C632" s="6" t="str">
        <f ca="1">IF(AND(NEGOCIAÇÕES!O632="",NEGOCIAÇÕES!N632&gt;TODAY()),NEGOCIAÇÕES!E632,"")</f>
        <v/>
      </c>
      <c r="D632" s="6" t="str">
        <f ca="1">IF(AND(NEGOCIAÇÕES!O632="",NEGOCIAÇÕES!N632&gt;TODAY()),NEGOCIAÇÕES!D632,"")</f>
        <v/>
      </c>
      <c r="E632" s="9" t="str">
        <f>IF(AND(NEGOCIAÇÕES!B632&lt;&gt;"",NEGOCIAÇÕES!O632=""),NEGOCIAÇÕES!N632,"")</f>
        <v/>
      </c>
    </row>
    <row r="633" spans="2:5" ht="31.95" hidden="1" customHeight="1" x14ac:dyDescent="0.3">
      <c r="B633" s="6" t="str">
        <f ca="1">IF(AND(NEGOCIAÇÕES!O633="",NEGOCIAÇÕES!N633&gt;TODAY()),NEGOCIAÇÕES!C633,"")</f>
        <v/>
      </c>
      <c r="C633" s="6" t="str">
        <f ca="1">IF(AND(NEGOCIAÇÕES!O633="",NEGOCIAÇÕES!N633&gt;TODAY()),NEGOCIAÇÕES!E633,"")</f>
        <v/>
      </c>
      <c r="D633" s="6" t="str">
        <f ca="1">IF(AND(NEGOCIAÇÕES!O633="",NEGOCIAÇÕES!N633&gt;TODAY()),NEGOCIAÇÕES!D633,"")</f>
        <v/>
      </c>
      <c r="E633" s="9" t="str">
        <f>IF(AND(NEGOCIAÇÕES!B633&lt;&gt;"",NEGOCIAÇÕES!O633=""),NEGOCIAÇÕES!N633,"")</f>
        <v/>
      </c>
    </row>
    <row r="634" spans="2:5" ht="31.95" hidden="1" customHeight="1" x14ac:dyDescent="0.3">
      <c r="B634" s="6" t="str">
        <f ca="1">IF(AND(NEGOCIAÇÕES!O634="",NEGOCIAÇÕES!N634&gt;TODAY()),NEGOCIAÇÕES!C634,"")</f>
        <v/>
      </c>
      <c r="C634" s="6" t="str">
        <f ca="1">IF(AND(NEGOCIAÇÕES!O634="",NEGOCIAÇÕES!N634&gt;TODAY()),NEGOCIAÇÕES!E634,"")</f>
        <v/>
      </c>
      <c r="D634" s="6" t="str">
        <f ca="1">IF(AND(NEGOCIAÇÕES!O634="",NEGOCIAÇÕES!N634&gt;TODAY()),NEGOCIAÇÕES!D634,"")</f>
        <v/>
      </c>
      <c r="E634" s="9" t="str">
        <f>IF(AND(NEGOCIAÇÕES!B634&lt;&gt;"",NEGOCIAÇÕES!O634=""),NEGOCIAÇÕES!N634,"")</f>
        <v/>
      </c>
    </row>
    <row r="635" spans="2:5" ht="31.95" hidden="1" customHeight="1" x14ac:dyDescent="0.3">
      <c r="B635" s="6" t="str">
        <f ca="1">IF(AND(NEGOCIAÇÕES!O635="",NEGOCIAÇÕES!N635&gt;TODAY()),NEGOCIAÇÕES!C635,"")</f>
        <v/>
      </c>
      <c r="C635" s="6" t="str">
        <f ca="1">IF(AND(NEGOCIAÇÕES!O635="",NEGOCIAÇÕES!N635&gt;TODAY()),NEGOCIAÇÕES!E635,"")</f>
        <v/>
      </c>
      <c r="D635" s="6" t="str">
        <f ca="1">IF(AND(NEGOCIAÇÕES!O635="",NEGOCIAÇÕES!N635&gt;TODAY()),NEGOCIAÇÕES!D635,"")</f>
        <v/>
      </c>
      <c r="E635" s="9" t="str">
        <f>IF(AND(NEGOCIAÇÕES!B635&lt;&gt;"",NEGOCIAÇÕES!O635=""),NEGOCIAÇÕES!N635,"")</f>
        <v/>
      </c>
    </row>
    <row r="636" spans="2:5" ht="31.95" hidden="1" customHeight="1" x14ac:dyDescent="0.3">
      <c r="B636" s="6" t="str">
        <f ca="1">IF(AND(NEGOCIAÇÕES!O636="",NEGOCIAÇÕES!N636&gt;TODAY()),NEGOCIAÇÕES!C636,"")</f>
        <v/>
      </c>
      <c r="C636" s="6" t="str">
        <f ca="1">IF(AND(NEGOCIAÇÕES!O636="",NEGOCIAÇÕES!N636&gt;TODAY()),NEGOCIAÇÕES!E636,"")</f>
        <v/>
      </c>
      <c r="D636" s="6" t="str">
        <f ca="1">IF(AND(NEGOCIAÇÕES!O636="",NEGOCIAÇÕES!N636&gt;TODAY()),NEGOCIAÇÕES!D636,"")</f>
        <v/>
      </c>
      <c r="E636" s="9" t="str">
        <f>IF(AND(NEGOCIAÇÕES!B636&lt;&gt;"",NEGOCIAÇÕES!O636=""),NEGOCIAÇÕES!N636,"")</f>
        <v/>
      </c>
    </row>
    <row r="637" spans="2:5" ht="31.95" hidden="1" customHeight="1" x14ac:dyDescent="0.3">
      <c r="B637" s="6" t="str">
        <f ca="1">IF(AND(NEGOCIAÇÕES!O637="",NEGOCIAÇÕES!N637&gt;TODAY()),NEGOCIAÇÕES!C637,"")</f>
        <v/>
      </c>
      <c r="C637" s="6" t="str">
        <f ca="1">IF(AND(NEGOCIAÇÕES!O637="",NEGOCIAÇÕES!N637&gt;TODAY()),NEGOCIAÇÕES!E637,"")</f>
        <v/>
      </c>
      <c r="D637" s="6" t="str">
        <f ca="1">IF(AND(NEGOCIAÇÕES!O637="",NEGOCIAÇÕES!N637&gt;TODAY()),NEGOCIAÇÕES!D637,"")</f>
        <v/>
      </c>
      <c r="E637" s="9" t="str">
        <f>IF(AND(NEGOCIAÇÕES!B637&lt;&gt;"",NEGOCIAÇÕES!O637=""),NEGOCIAÇÕES!N637,"")</f>
        <v/>
      </c>
    </row>
    <row r="638" spans="2:5" ht="31.95" hidden="1" customHeight="1" x14ac:dyDescent="0.3">
      <c r="B638" s="6" t="str">
        <f ca="1">IF(AND(NEGOCIAÇÕES!O638="",NEGOCIAÇÕES!N638&gt;TODAY()),NEGOCIAÇÕES!C638,"")</f>
        <v/>
      </c>
      <c r="C638" s="6" t="str">
        <f ca="1">IF(AND(NEGOCIAÇÕES!O638="",NEGOCIAÇÕES!N638&gt;TODAY()),NEGOCIAÇÕES!E638,"")</f>
        <v/>
      </c>
      <c r="D638" s="6" t="str">
        <f ca="1">IF(AND(NEGOCIAÇÕES!O638="",NEGOCIAÇÕES!N638&gt;TODAY()),NEGOCIAÇÕES!D638,"")</f>
        <v/>
      </c>
      <c r="E638" s="9" t="str">
        <f>IF(AND(NEGOCIAÇÕES!B638&lt;&gt;"",NEGOCIAÇÕES!O638=""),NEGOCIAÇÕES!N638,"")</f>
        <v/>
      </c>
    </row>
    <row r="639" spans="2:5" ht="31.95" hidden="1" customHeight="1" x14ac:dyDescent="0.3">
      <c r="B639" s="6" t="str">
        <f ca="1">IF(AND(NEGOCIAÇÕES!O639="",NEGOCIAÇÕES!N639&gt;TODAY()),NEGOCIAÇÕES!C639,"")</f>
        <v/>
      </c>
      <c r="C639" s="6" t="str">
        <f ca="1">IF(AND(NEGOCIAÇÕES!O639="",NEGOCIAÇÕES!N639&gt;TODAY()),NEGOCIAÇÕES!E639,"")</f>
        <v/>
      </c>
      <c r="D639" s="6" t="str">
        <f ca="1">IF(AND(NEGOCIAÇÕES!O639="",NEGOCIAÇÕES!N639&gt;TODAY()),NEGOCIAÇÕES!D639,"")</f>
        <v/>
      </c>
      <c r="E639" s="9" t="str">
        <f>IF(AND(NEGOCIAÇÕES!B639&lt;&gt;"",NEGOCIAÇÕES!O639=""),NEGOCIAÇÕES!N639,"")</f>
        <v/>
      </c>
    </row>
    <row r="640" spans="2:5" ht="31.95" hidden="1" customHeight="1" x14ac:dyDescent="0.3">
      <c r="B640" s="6" t="str">
        <f ca="1">IF(AND(NEGOCIAÇÕES!O640="",NEGOCIAÇÕES!N640&gt;TODAY()),NEGOCIAÇÕES!C640,"")</f>
        <v/>
      </c>
      <c r="C640" s="6" t="str">
        <f ca="1">IF(AND(NEGOCIAÇÕES!O640="",NEGOCIAÇÕES!N640&gt;TODAY()),NEGOCIAÇÕES!E640,"")</f>
        <v/>
      </c>
      <c r="D640" s="6" t="str">
        <f ca="1">IF(AND(NEGOCIAÇÕES!O640="",NEGOCIAÇÕES!N640&gt;TODAY()),NEGOCIAÇÕES!D640,"")</f>
        <v/>
      </c>
      <c r="E640" s="9" t="str">
        <f>IF(AND(NEGOCIAÇÕES!B640&lt;&gt;"",NEGOCIAÇÕES!O640=""),NEGOCIAÇÕES!N640,"")</f>
        <v/>
      </c>
    </row>
    <row r="641" spans="2:5" ht="31.95" hidden="1" customHeight="1" x14ac:dyDescent="0.3">
      <c r="B641" s="6" t="str">
        <f ca="1">IF(AND(NEGOCIAÇÕES!O641="",NEGOCIAÇÕES!N641&gt;TODAY()),NEGOCIAÇÕES!C641,"")</f>
        <v/>
      </c>
      <c r="C641" s="6" t="str">
        <f ca="1">IF(AND(NEGOCIAÇÕES!O641="",NEGOCIAÇÕES!N641&gt;TODAY()),NEGOCIAÇÕES!E641,"")</f>
        <v/>
      </c>
      <c r="D641" s="6" t="str">
        <f ca="1">IF(AND(NEGOCIAÇÕES!O641="",NEGOCIAÇÕES!N641&gt;TODAY()),NEGOCIAÇÕES!D641,"")</f>
        <v/>
      </c>
      <c r="E641" s="9" t="str">
        <f>IF(AND(NEGOCIAÇÕES!B641&lt;&gt;"",NEGOCIAÇÕES!O641=""),NEGOCIAÇÕES!N641,"")</f>
        <v/>
      </c>
    </row>
    <row r="642" spans="2:5" ht="31.95" hidden="1" customHeight="1" x14ac:dyDescent="0.3">
      <c r="B642" s="6" t="str">
        <f ca="1">IF(AND(NEGOCIAÇÕES!O642="",NEGOCIAÇÕES!N642&gt;TODAY()),NEGOCIAÇÕES!C642,"")</f>
        <v/>
      </c>
      <c r="C642" s="6" t="str">
        <f ca="1">IF(AND(NEGOCIAÇÕES!O642="",NEGOCIAÇÕES!N642&gt;TODAY()),NEGOCIAÇÕES!E642,"")</f>
        <v/>
      </c>
      <c r="D642" s="6" t="str">
        <f ca="1">IF(AND(NEGOCIAÇÕES!O642="",NEGOCIAÇÕES!N642&gt;TODAY()),NEGOCIAÇÕES!D642,"")</f>
        <v/>
      </c>
      <c r="E642" s="9" t="str">
        <f>IF(AND(NEGOCIAÇÕES!B642&lt;&gt;"",NEGOCIAÇÕES!O642=""),NEGOCIAÇÕES!N642,"")</f>
        <v/>
      </c>
    </row>
    <row r="643" spans="2:5" ht="31.95" hidden="1" customHeight="1" x14ac:dyDescent="0.3">
      <c r="B643" s="6" t="str">
        <f ca="1">IF(AND(NEGOCIAÇÕES!O643="",NEGOCIAÇÕES!N643&gt;TODAY()),NEGOCIAÇÕES!C643,"")</f>
        <v/>
      </c>
      <c r="C643" s="6" t="str">
        <f ca="1">IF(AND(NEGOCIAÇÕES!O643="",NEGOCIAÇÕES!N643&gt;TODAY()),NEGOCIAÇÕES!E643,"")</f>
        <v/>
      </c>
      <c r="D643" s="6" t="str">
        <f ca="1">IF(AND(NEGOCIAÇÕES!O643="",NEGOCIAÇÕES!N643&gt;TODAY()),NEGOCIAÇÕES!D643,"")</f>
        <v/>
      </c>
      <c r="E643" s="9" t="str">
        <f>IF(AND(NEGOCIAÇÕES!B643&lt;&gt;"",NEGOCIAÇÕES!O643=""),NEGOCIAÇÕES!N643,"")</f>
        <v/>
      </c>
    </row>
    <row r="644" spans="2:5" ht="31.95" hidden="1" customHeight="1" x14ac:dyDescent="0.3">
      <c r="B644" s="6" t="str">
        <f ca="1">IF(AND(NEGOCIAÇÕES!O644="",NEGOCIAÇÕES!N644&gt;TODAY()),NEGOCIAÇÕES!C644,"")</f>
        <v/>
      </c>
      <c r="C644" s="6" t="str">
        <f ca="1">IF(AND(NEGOCIAÇÕES!O644="",NEGOCIAÇÕES!N644&gt;TODAY()),NEGOCIAÇÕES!E644,"")</f>
        <v/>
      </c>
      <c r="D644" s="6" t="str">
        <f ca="1">IF(AND(NEGOCIAÇÕES!O644="",NEGOCIAÇÕES!N644&gt;TODAY()),NEGOCIAÇÕES!D644,"")</f>
        <v/>
      </c>
      <c r="E644" s="9" t="str">
        <f>IF(AND(NEGOCIAÇÕES!B644&lt;&gt;"",NEGOCIAÇÕES!O644=""),NEGOCIAÇÕES!N644,"")</f>
        <v/>
      </c>
    </row>
    <row r="645" spans="2:5" ht="31.95" hidden="1" customHeight="1" x14ac:dyDescent="0.3">
      <c r="B645" s="6" t="str">
        <f ca="1">IF(AND(NEGOCIAÇÕES!O645="",NEGOCIAÇÕES!N645&gt;TODAY()),NEGOCIAÇÕES!C645,"")</f>
        <v/>
      </c>
      <c r="C645" s="6" t="str">
        <f ca="1">IF(AND(NEGOCIAÇÕES!O645="",NEGOCIAÇÕES!N645&gt;TODAY()),NEGOCIAÇÕES!E645,"")</f>
        <v/>
      </c>
      <c r="D645" s="6" t="str">
        <f ca="1">IF(AND(NEGOCIAÇÕES!O645="",NEGOCIAÇÕES!N645&gt;TODAY()),NEGOCIAÇÕES!D645,"")</f>
        <v/>
      </c>
      <c r="E645" s="9" t="str">
        <f>IF(AND(NEGOCIAÇÕES!B645&lt;&gt;"",NEGOCIAÇÕES!O645=""),NEGOCIAÇÕES!N645,"")</f>
        <v/>
      </c>
    </row>
    <row r="646" spans="2:5" ht="31.95" hidden="1" customHeight="1" x14ac:dyDescent="0.3">
      <c r="B646" s="6" t="str">
        <f ca="1">IF(AND(NEGOCIAÇÕES!O646="",NEGOCIAÇÕES!N646&gt;TODAY()),NEGOCIAÇÕES!C646,"")</f>
        <v/>
      </c>
      <c r="C646" s="6" t="str">
        <f ca="1">IF(AND(NEGOCIAÇÕES!O646="",NEGOCIAÇÕES!N646&gt;TODAY()),NEGOCIAÇÕES!E646,"")</f>
        <v/>
      </c>
      <c r="D646" s="6" t="str">
        <f ca="1">IF(AND(NEGOCIAÇÕES!O646="",NEGOCIAÇÕES!N646&gt;TODAY()),NEGOCIAÇÕES!D646,"")</f>
        <v/>
      </c>
      <c r="E646" s="9" t="str">
        <f>IF(AND(NEGOCIAÇÕES!B646&lt;&gt;"",NEGOCIAÇÕES!O646=""),NEGOCIAÇÕES!N646,"")</f>
        <v/>
      </c>
    </row>
    <row r="647" spans="2:5" ht="31.95" hidden="1" customHeight="1" x14ac:dyDescent="0.3">
      <c r="B647" s="6" t="str">
        <f ca="1">IF(AND(NEGOCIAÇÕES!O647="",NEGOCIAÇÕES!N647&gt;TODAY()),NEGOCIAÇÕES!C647,"")</f>
        <v/>
      </c>
      <c r="C647" s="6" t="str">
        <f ca="1">IF(AND(NEGOCIAÇÕES!O647="",NEGOCIAÇÕES!N647&gt;TODAY()),NEGOCIAÇÕES!E647,"")</f>
        <v/>
      </c>
      <c r="D647" s="6" t="str">
        <f ca="1">IF(AND(NEGOCIAÇÕES!O647="",NEGOCIAÇÕES!N647&gt;TODAY()),NEGOCIAÇÕES!D647,"")</f>
        <v/>
      </c>
      <c r="E647" s="9" t="str">
        <f>IF(AND(NEGOCIAÇÕES!B647&lt;&gt;"",NEGOCIAÇÕES!O647=""),NEGOCIAÇÕES!N647,"")</f>
        <v/>
      </c>
    </row>
    <row r="648" spans="2:5" ht="31.95" hidden="1" customHeight="1" x14ac:dyDescent="0.3">
      <c r="B648" s="6" t="str">
        <f ca="1">IF(AND(NEGOCIAÇÕES!O648="",NEGOCIAÇÕES!N648&gt;TODAY()),NEGOCIAÇÕES!C648,"")</f>
        <v/>
      </c>
      <c r="C648" s="6" t="str">
        <f ca="1">IF(AND(NEGOCIAÇÕES!O648="",NEGOCIAÇÕES!N648&gt;TODAY()),NEGOCIAÇÕES!E648,"")</f>
        <v/>
      </c>
      <c r="D648" s="6" t="str">
        <f ca="1">IF(AND(NEGOCIAÇÕES!O648="",NEGOCIAÇÕES!N648&gt;TODAY()),NEGOCIAÇÕES!D648,"")</f>
        <v/>
      </c>
      <c r="E648" s="9" t="str">
        <f>IF(AND(NEGOCIAÇÕES!B648&lt;&gt;"",NEGOCIAÇÕES!O648=""),NEGOCIAÇÕES!N648,"")</f>
        <v/>
      </c>
    </row>
    <row r="649" spans="2:5" ht="31.95" hidden="1" customHeight="1" x14ac:dyDescent="0.3">
      <c r="B649" s="6" t="str">
        <f ca="1">IF(AND(NEGOCIAÇÕES!O649="",NEGOCIAÇÕES!N649&gt;TODAY()),NEGOCIAÇÕES!C649,"")</f>
        <v/>
      </c>
      <c r="C649" s="6" t="str">
        <f ca="1">IF(AND(NEGOCIAÇÕES!O649="",NEGOCIAÇÕES!N649&gt;TODAY()),NEGOCIAÇÕES!E649,"")</f>
        <v/>
      </c>
      <c r="D649" s="6" t="str">
        <f ca="1">IF(AND(NEGOCIAÇÕES!O649="",NEGOCIAÇÕES!N649&gt;TODAY()),NEGOCIAÇÕES!D649,"")</f>
        <v/>
      </c>
      <c r="E649" s="9" t="str">
        <f>IF(AND(NEGOCIAÇÕES!B649&lt;&gt;"",NEGOCIAÇÕES!O649=""),NEGOCIAÇÕES!N649,"")</f>
        <v/>
      </c>
    </row>
    <row r="650" spans="2:5" ht="31.95" hidden="1" customHeight="1" x14ac:dyDescent="0.3">
      <c r="B650" s="6" t="str">
        <f ca="1">IF(AND(NEGOCIAÇÕES!O650="",NEGOCIAÇÕES!N650&gt;TODAY()),NEGOCIAÇÕES!C650,"")</f>
        <v/>
      </c>
      <c r="C650" s="6" t="str">
        <f ca="1">IF(AND(NEGOCIAÇÕES!O650="",NEGOCIAÇÕES!N650&gt;TODAY()),NEGOCIAÇÕES!E650,"")</f>
        <v/>
      </c>
      <c r="D650" s="6" t="str">
        <f ca="1">IF(AND(NEGOCIAÇÕES!O650="",NEGOCIAÇÕES!N650&gt;TODAY()),NEGOCIAÇÕES!D650,"")</f>
        <v/>
      </c>
      <c r="E650" s="9" t="str">
        <f>IF(AND(NEGOCIAÇÕES!B650&lt;&gt;"",NEGOCIAÇÕES!O650=""),NEGOCIAÇÕES!N650,"")</f>
        <v/>
      </c>
    </row>
    <row r="651" spans="2:5" ht="31.95" hidden="1" customHeight="1" x14ac:dyDescent="0.3">
      <c r="B651" s="6" t="str">
        <f ca="1">IF(AND(NEGOCIAÇÕES!O651="",NEGOCIAÇÕES!N651&gt;TODAY()),NEGOCIAÇÕES!C651,"")</f>
        <v/>
      </c>
      <c r="C651" s="6" t="str">
        <f ca="1">IF(AND(NEGOCIAÇÕES!O651="",NEGOCIAÇÕES!N651&gt;TODAY()),NEGOCIAÇÕES!E651,"")</f>
        <v/>
      </c>
      <c r="D651" s="6" t="str">
        <f ca="1">IF(AND(NEGOCIAÇÕES!O651="",NEGOCIAÇÕES!N651&gt;TODAY()),NEGOCIAÇÕES!D651,"")</f>
        <v/>
      </c>
      <c r="E651" s="9" t="str">
        <f>IF(AND(NEGOCIAÇÕES!B651&lt;&gt;"",NEGOCIAÇÕES!O651=""),NEGOCIAÇÕES!N651,"")</f>
        <v/>
      </c>
    </row>
    <row r="652" spans="2:5" ht="31.95" hidden="1" customHeight="1" x14ac:dyDescent="0.3">
      <c r="B652" s="6" t="str">
        <f ca="1">IF(AND(NEGOCIAÇÕES!O652="",NEGOCIAÇÕES!N652&gt;TODAY()),NEGOCIAÇÕES!C652,"")</f>
        <v/>
      </c>
      <c r="C652" s="6" t="str">
        <f ca="1">IF(AND(NEGOCIAÇÕES!O652="",NEGOCIAÇÕES!N652&gt;TODAY()),NEGOCIAÇÕES!E652,"")</f>
        <v/>
      </c>
      <c r="D652" s="6" t="str">
        <f ca="1">IF(AND(NEGOCIAÇÕES!O652="",NEGOCIAÇÕES!N652&gt;TODAY()),NEGOCIAÇÕES!D652,"")</f>
        <v/>
      </c>
      <c r="E652" s="9" t="str">
        <f>IF(AND(NEGOCIAÇÕES!B652&lt;&gt;"",NEGOCIAÇÕES!O652=""),NEGOCIAÇÕES!N652,"")</f>
        <v/>
      </c>
    </row>
    <row r="653" spans="2:5" ht="31.95" hidden="1" customHeight="1" x14ac:dyDescent="0.3">
      <c r="B653" s="6" t="str">
        <f ca="1">IF(AND(NEGOCIAÇÕES!O653="",NEGOCIAÇÕES!N653&gt;TODAY()),NEGOCIAÇÕES!C653,"")</f>
        <v/>
      </c>
      <c r="C653" s="6" t="str">
        <f ca="1">IF(AND(NEGOCIAÇÕES!O653="",NEGOCIAÇÕES!N653&gt;TODAY()),NEGOCIAÇÕES!E653,"")</f>
        <v/>
      </c>
      <c r="D653" s="6" t="str">
        <f ca="1">IF(AND(NEGOCIAÇÕES!O653="",NEGOCIAÇÕES!N653&gt;TODAY()),NEGOCIAÇÕES!D653,"")</f>
        <v/>
      </c>
      <c r="E653" s="9" t="str">
        <f>IF(AND(NEGOCIAÇÕES!B653&lt;&gt;"",NEGOCIAÇÕES!O653=""),NEGOCIAÇÕES!N653,"")</f>
        <v/>
      </c>
    </row>
    <row r="654" spans="2:5" ht="31.95" hidden="1" customHeight="1" x14ac:dyDescent="0.3">
      <c r="B654" s="6" t="str">
        <f ca="1">IF(AND(NEGOCIAÇÕES!O654="",NEGOCIAÇÕES!N654&gt;TODAY()),NEGOCIAÇÕES!C654,"")</f>
        <v/>
      </c>
      <c r="C654" s="6" t="str">
        <f ca="1">IF(AND(NEGOCIAÇÕES!O654="",NEGOCIAÇÕES!N654&gt;TODAY()),NEGOCIAÇÕES!E654,"")</f>
        <v/>
      </c>
      <c r="D654" s="6" t="str">
        <f ca="1">IF(AND(NEGOCIAÇÕES!O654="",NEGOCIAÇÕES!N654&gt;TODAY()),NEGOCIAÇÕES!D654,"")</f>
        <v/>
      </c>
      <c r="E654" s="9" t="str">
        <f>IF(AND(NEGOCIAÇÕES!B654&lt;&gt;"",NEGOCIAÇÕES!O654=""),NEGOCIAÇÕES!N654,"")</f>
        <v/>
      </c>
    </row>
    <row r="655" spans="2:5" ht="31.95" hidden="1" customHeight="1" x14ac:dyDescent="0.3">
      <c r="B655" s="6" t="str">
        <f ca="1">IF(AND(NEGOCIAÇÕES!O655="",NEGOCIAÇÕES!N655&gt;TODAY()),NEGOCIAÇÕES!C655,"")</f>
        <v/>
      </c>
      <c r="C655" s="6" t="str">
        <f ca="1">IF(AND(NEGOCIAÇÕES!O655="",NEGOCIAÇÕES!N655&gt;TODAY()),NEGOCIAÇÕES!E655,"")</f>
        <v/>
      </c>
      <c r="D655" s="6" t="str">
        <f ca="1">IF(AND(NEGOCIAÇÕES!O655="",NEGOCIAÇÕES!N655&gt;TODAY()),NEGOCIAÇÕES!D655,"")</f>
        <v/>
      </c>
      <c r="E655" s="9" t="str">
        <f>IF(AND(NEGOCIAÇÕES!B655&lt;&gt;"",NEGOCIAÇÕES!O655=""),NEGOCIAÇÕES!N655,"")</f>
        <v/>
      </c>
    </row>
    <row r="656" spans="2:5" ht="31.95" hidden="1" customHeight="1" x14ac:dyDescent="0.3">
      <c r="B656" s="6" t="str">
        <f ca="1">IF(AND(NEGOCIAÇÕES!O656="",NEGOCIAÇÕES!N656&gt;TODAY()),NEGOCIAÇÕES!C656,"")</f>
        <v/>
      </c>
      <c r="C656" s="6" t="str">
        <f ca="1">IF(AND(NEGOCIAÇÕES!O656="",NEGOCIAÇÕES!N656&gt;TODAY()),NEGOCIAÇÕES!E656,"")</f>
        <v/>
      </c>
      <c r="D656" s="6" t="str">
        <f ca="1">IF(AND(NEGOCIAÇÕES!O656="",NEGOCIAÇÕES!N656&gt;TODAY()),NEGOCIAÇÕES!D656,"")</f>
        <v/>
      </c>
      <c r="E656" s="9" t="str">
        <f>IF(AND(NEGOCIAÇÕES!B656&lt;&gt;"",NEGOCIAÇÕES!O656=""),NEGOCIAÇÕES!N656,"")</f>
        <v/>
      </c>
    </row>
    <row r="657" spans="2:5" ht="31.95" hidden="1" customHeight="1" x14ac:dyDescent="0.3">
      <c r="B657" s="6" t="str">
        <f ca="1">IF(AND(NEGOCIAÇÕES!O657="",NEGOCIAÇÕES!N657&gt;TODAY()),NEGOCIAÇÕES!C657,"")</f>
        <v/>
      </c>
      <c r="C657" s="6" t="str">
        <f ca="1">IF(AND(NEGOCIAÇÕES!O657="",NEGOCIAÇÕES!N657&gt;TODAY()),NEGOCIAÇÕES!E657,"")</f>
        <v/>
      </c>
      <c r="D657" s="6" t="str">
        <f ca="1">IF(AND(NEGOCIAÇÕES!O657="",NEGOCIAÇÕES!N657&gt;TODAY()),NEGOCIAÇÕES!D657,"")</f>
        <v/>
      </c>
      <c r="E657" s="9" t="str">
        <f>IF(AND(NEGOCIAÇÕES!B657&lt;&gt;"",NEGOCIAÇÕES!O657=""),NEGOCIAÇÕES!N657,"")</f>
        <v/>
      </c>
    </row>
    <row r="658" spans="2:5" ht="31.95" hidden="1" customHeight="1" x14ac:dyDescent="0.3">
      <c r="B658" s="6" t="str">
        <f ca="1">IF(AND(NEGOCIAÇÕES!O658="",NEGOCIAÇÕES!N658&gt;TODAY()),NEGOCIAÇÕES!C658,"")</f>
        <v/>
      </c>
      <c r="C658" s="6" t="str">
        <f ca="1">IF(AND(NEGOCIAÇÕES!O658="",NEGOCIAÇÕES!N658&gt;TODAY()),NEGOCIAÇÕES!E658,"")</f>
        <v/>
      </c>
      <c r="D658" s="6" t="str">
        <f ca="1">IF(AND(NEGOCIAÇÕES!O658="",NEGOCIAÇÕES!N658&gt;TODAY()),NEGOCIAÇÕES!D658,"")</f>
        <v/>
      </c>
      <c r="E658" s="9" t="str">
        <f>IF(AND(NEGOCIAÇÕES!B658&lt;&gt;"",NEGOCIAÇÕES!O658=""),NEGOCIAÇÕES!N658,"")</f>
        <v/>
      </c>
    </row>
    <row r="659" spans="2:5" ht="31.95" hidden="1" customHeight="1" x14ac:dyDescent="0.3">
      <c r="B659" s="6" t="str">
        <f ca="1">IF(AND(NEGOCIAÇÕES!O659="",NEGOCIAÇÕES!N659&gt;TODAY()),NEGOCIAÇÕES!C659,"")</f>
        <v/>
      </c>
      <c r="C659" s="6" t="str">
        <f ca="1">IF(AND(NEGOCIAÇÕES!O659="",NEGOCIAÇÕES!N659&gt;TODAY()),NEGOCIAÇÕES!E659,"")</f>
        <v/>
      </c>
      <c r="D659" s="6" t="str">
        <f ca="1">IF(AND(NEGOCIAÇÕES!O659="",NEGOCIAÇÕES!N659&gt;TODAY()),NEGOCIAÇÕES!D659,"")</f>
        <v/>
      </c>
      <c r="E659" s="9" t="str">
        <f>IF(AND(NEGOCIAÇÕES!B659&lt;&gt;"",NEGOCIAÇÕES!O659=""),NEGOCIAÇÕES!N659,"")</f>
        <v/>
      </c>
    </row>
    <row r="660" spans="2:5" ht="31.95" hidden="1" customHeight="1" x14ac:dyDescent="0.3">
      <c r="B660" s="6" t="str">
        <f ca="1">IF(AND(NEGOCIAÇÕES!O660="",NEGOCIAÇÕES!N660&gt;TODAY()),NEGOCIAÇÕES!C660,"")</f>
        <v/>
      </c>
      <c r="C660" s="6" t="str">
        <f ca="1">IF(AND(NEGOCIAÇÕES!O660="",NEGOCIAÇÕES!N660&gt;TODAY()),NEGOCIAÇÕES!E660,"")</f>
        <v/>
      </c>
      <c r="D660" s="6" t="str">
        <f ca="1">IF(AND(NEGOCIAÇÕES!O660="",NEGOCIAÇÕES!N660&gt;TODAY()),NEGOCIAÇÕES!D660,"")</f>
        <v/>
      </c>
      <c r="E660" s="9" t="str">
        <f>IF(AND(NEGOCIAÇÕES!B660&lt;&gt;"",NEGOCIAÇÕES!O660=""),NEGOCIAÇÕES!N660,"")</f>
        <v/>
      </c>
    </row>
    <row r="661" spans="2:5" ht="31.95" hidden="1" customHeight="1" x14ac:dyDescent="0.3">
      <c r="B661" s="6" t="str">
        <f ca="1">IF(AND(NEGOCIAÇÕES!O661="",NEGOCIAÇÕES!N661&gt;TODAY()),NEGOCIAÇÕES!C661,"")</f>
        <v/>
      </c>
      <c r="C661" s="6" t="str">
        <f ca="1">IF(AND(NEGOCIAÇÕES!O661="",NEGOCIAÇÕES!N661&gt;TODAY()),NEGOCIAÇÕES!E661,"")</f>
        <v/>
      </c>
      <c r="D661" s="6" t="str">
        <f ca="1">IF(AND(NEGOCIAÇÕES!O661="",NEGOCIAÇÕES!N661&gt;TODAY()),NEGOCIAÇÕES!D661,"")</f>
        <v/>
      </c>
      <c r="E661" s="9" t="str">
        <f>IF(AND(NEGOCIAÇÕES!B661&lt;&gt;"",NEGOCIAÇÕES!O661=""),NEGOCIAÇÕES!N661,"")</f>
        <v/>
      </c>
    </row>
    <row r="662" spans="2:5" ht="31.95" hidden="1" customHeight="1" x14ac:dyDescent="0.3">
      <c r="B662" s="6" t="str">
        <f ca="1">IF(AND(NEGOCIAÇÕES!O662="",NEGOCIAÇÕES!N662&gt;TODAY()),NEGOCIAÇÕES!C662,"")</f>
        <v/>
      </c>
      <c r="C662" s="6" t="str">
        <f ca="1">IF(AND(NEGOCIAÇÕES!O662="",NEGOCIAÇÕES!N662&gt;TODAY()),NEGOCIAÇÕES!E662,"")</f>
        <v/>
      </c>
      <c r="D662" s="6" t="str">
        <f ca="1">IF(AND(NEGOCIAÇÕES!O662="",NEGOCIAÇÕES!N662&gt;TODAY()),NEGOCIAÇÕES!D662,"")</f>
        <v/>
      </c>
      <c r="E662" s="9" t="str">
        <f>IF(AND(NEGOCIAÇÕES!B662&lt;&gt;"",NEGOCIAÇÕES!O662=""),NEGOCIAÇÕES!N662,"")</f>
        <v/>
      </c>
    </row>
    <row r="663" spans="2:5" ht="31.95" hidden="1" customHeight="1" x14ac:dyDescent="0.3">
      <c r="B663" s="6" t="str">
        <f ca="1">IF(AND(NEGOCIAÇÕES!O663="",NEGOCIAÇÕES!N663&gt;TODAY()),NEGOCIAÇÕES!C663,"")</f>
        <v/>
      </c>
      <c r="C663" s="6" t="str">
        <f ca="1">IF(AND(NEGOCIAÇÕES!O663="",NEGOCIAÇÕES!N663&gt;TODAY()),NEGOCIAÇÕES!E663,"")</f>
        <v/>
      </c>
      <c r="D663" s="6" t="str">
        <f ca="1">IF(AND(NEGOCIAÇÕES!O663="",NEGOCIAÇÕES!N663&gt;TODAY()),NEGOCIAÇÕES!D663,"")</f>
        <v/>
      </c>
      <c r="E663" s="9" t="str">
        <f>IF(AND(NEGOCIAÇÕES!B663&lt;&gt;"",NEGOCIAÇÕES!O663=""),NEGOCIAÇÕES!N663,"")</f>
        <v/>
      </c>
    </row>
    <row r="664" spans="2:5" ht="31.95" hidden="1" customHeight="1" x14ac:dyDescent="0.3">
      <c r="B664" s="6" t="str">
        <f ca="1">IF(AND(NEGOCIAÇÕES!O664="",NEGOCIAÇÕES!N664&gt;TODAY()),NEGOCIAÇÕES!C664,"")</f>
        <v/>
      </c>
      <c r="C664" s="6" t="str">
        <f ca="1">IF(AND(NEGOCIAÇÕES!O664="",NEGOCIAÇÕES!N664&gt;TODAY()),NEGOCIAÇÕES!E664,"")</f>
        <v/>
      </c>
      <c r="D664" s="6" t="str">
        <f ca="1">IF(AND(NEGOCIAÇÕES!O664="",NEGOCIAÇÕES!N664&gt;TODAY()),NEGOCIAÇÕES!D664,"")</f>
        <v/>
      </c>
      <c r="E664" s="9" t="str">
        <f>IF(AND(NEGOCIAÇÕES!B664&lt;&gt;"",NEGOCIAÇÕES!O664=""),NEGOCIAÇÕES!N664,"")</f>
        <v/>
      </c>
    </row>
    <row r="665" spans="2:5" ht="31.95" hidden="1" customHeight="1" x14ac:dyDescent="0.3">
      <c r="B665" s="6" t="str">
        <f ca="1">IF(AND(NEGOCIAÇÕES!O665="",NEGOCIAÇÕES!N665&gt;TODAY()),NEGOCIAÇÕES!C665,"")</f>
        <v/>
      </c>
      <c r="C665" s="6" t="str">
        <f ca="1">IF(AND(NEGOCIAÇÕES!O665="",NEGOCIAÇÕES!N665&gt;TODAY()),NEGOCIAÇÕES!E665,"")</f>
        <v/>
      </c>
      <c r="D665" s="6" t="str">
        <f ca="1">IF(AND(NEGOCIAÇÕES!O665="",NEGOCIAÇÕES!N665&gt;TODAY()),NEGOCIAÇÕES!D665,"")</f>
        <v/>
      </c>
      <c r="E665" s="9" t="str">
        <f>IF(AND(NEGOCIAÇÕES!B665&lt;&gt;"",NEGOCIAÇÕES!O665=""),NEGOCIAÇÕES!N665,"")</f>
        <v/>
      </c>
    </row>
    <row r="666" spans="2:5" ht="31.95" hidden="1" customHeight="1" x14ac:dyDescent="0.3">
      <c r="B666" s="6" t="str">
        <f ca="1">IF(AND(NEGOCIAÇÕES!O666="",NEGOCIAÇÕES!N666&gt;TODAY()),NEGOCIAÇÕES!C666,"")</f>
        <v/>
      </c>
      <c r="C666" s="6" t="str">
        <f ca="1">IF(AND(NEGOCIAÇÕES!O666="",NEGOCIAÇÕES!N666&gt;TODAY()),NEGOCIAÇÕES!E666,"")</f>
        <v/>
      </c>
      <c r="D666" s="6" t="str">
        <f ca="1">IF(AND(NEGOCIAÇÕES!O666="",NEGOCIAÇÕES!N666&gt;TODAY()),NEGOCIAÇÕES!D666,"")</f>
        <v/>
      </c>
      <c r="E666" s="9" t="str">
        <f>IF(AND(NEGOCIAÇÕES!B666&lt;&gt;"",NEGOCIAÇÕES!O666=""),NEGOCIAÇÕES!N666,"")</f>
        <v/>
      </c>
    </row>
    <row r="667" spans="2:5" ht="31.95" hidden="1" customHeight="1" x14ac:dyDescent="0.3">
      <c r="B667" s="6" t="str">
        <f ca="1">IF(AND(NEGOCIAÇÕES!O667="",NEGOCIAÇÕES!N667&gt;TODAY()),NEGOCIAÇÕES!C667,"")</f>
        <v/>
      </c>
      <c r="C667" s="6" t="str">
        <f ca="1">IF(AND(NEGOCIAÇÕES!O667="",NEGOCIAÇÕES!N667&gt;TODAY()),NEGOCIAÇÕES!E667,"")</f>
        <v/>
      </c>
      <c r="D667" s="6" t="str">
        <f ca="1">IF(AND(NEGOCIAÇÕES!O667="",NEGOCIAÇÕES!N667&gt;TODAY()),NEGOCIAÇÕES!D667,"")</f>
        <v/>
      </c>
      <c r="E667" s="9" t="str">
        <f>IF(AND(NEGOCIAÇÕES!B667&lt;&gt;"",NEGOCIAÇÕES!O667=""),NEGOCIAÇÕES!N667,"")</f>
        <v/>
      </c>
    </row>
    <row r="668" spans="2:5" ht="31.95" hidden="1" customHeight="1" x14ac:dyDescent="0.3">
      <c r="B668" s="6" t="str">
        <f ca="1">IF(AND(NEGOCIAÇÕES!O668="",NEGOCIAÇÕES!N668&gt;TODAY()),NEGOCIAÇÕES!C668,"")</f>
        <v/>
      </c>
      <c r="C668" s="6" t="str">
        <f ca="1">IF(AND(NEGOCIAÇÕES!O668="",NEGOCIAÇÕES!N668&gt;TODAY()),NEGOCIAÇÕES!E668,"")</f>
        <v/>
      </c>
      <c r="D668" s="6" t="str">
        <f ca="1">IF(AND(NEGOCIAÇÕES!O668="",NEGOCIAÇÕES!N668&gt;TODAY()),NEGOCIAÇÕES!D668,"")</f>
        <v/>
      </c>
      <c r="E668" s="9" t="str">
        <f>IF(AND(NEGOCIAÇÕES!B668&lt;&gt;"",NEGOCIAÇÕES!O668=""),NEGOCIAÇÕES!N668,"")</f>
        <v/>
      </c>
    </row>
    <row r="669" spans="2:5" ht="31.95" hidden="1" customHeight="1" x14ac:dyDescent="0.3">
      <c r="B669" s="6" t="str">
        <f ca="1">IF(AND(NEGOCIAÇÕES!O669="",NEGOCIAÇÕES!N669&gt;TODAY()),NEGOCIAÇÕES!C669,"")</f>
        <v/>
      </c>
      <c r="C669" s="6" t="str">
        <f ca="1">IF(AND(NEGOCIAÇÕES!O669="",NEGOCIAÇÕES!N669&gt;TODAY()),NEGOCIAÇÕES!E669,"")</f>
        <v/>
      </c>
      <c r="D669" s="6" t="str">
        <f ca="1">IF(AND(NEGOCIAÇÕES!O669="",NEGOCIAÇÕES!N669&gt;TODAY()),NEGOCIAÇÕES!D669,"")</f>
        <v/>
      </c>
      <c r="E669" s="9" t="str">
        <f>IF(AND(NEGOCIAÇÕES!B669&lt;&gt;"",NEGOCIAÇÕES!O669=""),NEGOCIAÇÕES!N669,"")</f>
        <v/>
      </c>
    </row>
    <row r="670" spans="2:5" ht="31.95" hidden="1" customHeight="1" x14ac:dyDescent="0.3">
      <c r="B670" s="6" t="str">
        <f ca="1">IF(AND(NEGOCIAÇÕES!O670="",NEGOCIAÇÕES!N670&gt;TODAY()),NEGOCIAÇÕES!C670,"")</f>
        <v/>
      </c>
      <c r="C670" s="6" t="str">
        <f ca="1">IF(AND(NEGOCIAÇÕES!O670="",NEGOCIAÇÕES!N670&gt;TODAY()),NEGOCIAÇÕES!E670,"")</f>
        <v/>
      </c>
      <c r="D670" s="6" t="str">
        <f ca="1">IF(AND(NEGOCIAÇÕES!O670="",NEGOCIAÇÕES!N670&gt;TODAY()),NEGOCIAÇÕES!D670,"")</f>
        <v/>
      </c>
      <c r="E670" s="9" t="str">
        <f>IF(AND(NEGOCIAÇÕES!B670&lt;&gt;"",NEGOCIAÇÕES!O670=""),NEGOCIAÇÕES!N670,"")</f>
        <v/>
      </c>
    </row>
    <row r="671" spans="2:5" ht="31.95" hidden="1" customHeight="1" x14ac:dyDescent="0.3">
      <c r="B671" s="6" t="str">
        <f ca="1">IF(AND(NEGOCIAÇÕES!O671="",NEGOCIAÇÕES!N671&gt;TODAY()),NEGOCIAÇÕES!C671,"")</f>
        <v/>
      </c>
      <c r="C671" s="6" t="str">
        <f ca="1">IF(AND(NEGOCIAÇÕES!O671="",NEGOCIAÇÕES!N671&gt;TODAY()),NEGOCIAÇÕES!E671,"")</f>
        <v/>
      </c>
      <c r="D671" s="6" t="str">
        <f ca="1">IF(AND(NEGOCIAÇÕES!O671="",NEGOCIAÇÕES!N671&gt;TODAY()),NEGOCIAÇÕES!D671,"")</f>
        <v/>
      </c>
      <c r="E671" s="9" t="str">
        <f>IF(AND(NEGOCIAÇÕES!B671&lt;&gt;"",NEGOCIAÇÕES!O671=""),NEGOCIAÇÕES!N671,"")</f>
        <v/>
      </c>
    </row>
    <row r="672" spans="2:5" ht="31.95" hidden="1" customHeight="1" x14ac:dyDescent="0.3">
      <c r="B672" s="6" t="str">
        <f ca="1">IF(AND(NEGOCIAÇÕES!O672="",NEGOCIAÇÕES!N672&gt;TODAY()),NEGOCIAÇÕES!C672,"")</f>
        <v/>
      </c>
      <c r="C672" s="6" t="str">
        <f ca="1">IF(AND(NEGOCIAÇÕES!O672="",NEGOCIAÇÕES!N672&gt;TODAY()),NEGOCIAÇÕES!E672,"")</f>
        <v/>
      </c>
      <c r="D672" s="6" t="str">
        <f ca="1">IF(AND(NEGOCIAÇÕES!O672="",NEGOCIAÇÕES!N672&gt;TODAY()),NEGOCIAÇÕES!D672,"")</f>
        <v/>
      </c>
      <c r="E672" s="9" t="str">
        <f>IF(AND(NEGOCIAÇÕES!B672&lt;&gt;"",NEGOCIAÇÕES!O672=""),NEGOCIAÇÕES!N672,"")</f>
        <v/>
      </c>
    </row>
    <row r="673" spans="2:5" ht="31.95" hidden="1" customHeight="1" x14ac:dyDescent="0.3">
      <c r="B673" s="6" t="str">
        <f ca="1">IF(AND(NEGOCIAÇÕES!O673="",NEGOCIAÇÕES!N673&gt;TODAY()),NEGOCIAÇÕES!C673,"")</f>
        <v/>
      </c>
      <c r="C673" s="6" t="str">
        <f ca="1">IF(AND(NEGOCIAÇÕES!O673="",NEGOCIAÇÕES!N673&gt;TODAY()),NEGOCIAÇÕES!E673,"")</f>
        <v/>
      </c>
      <c r="D673" s="6" t="str">
        <f ca="1">IF(AND(NEGOCIAÇÕES!O673="",NEGOCIAÇÕES!N673&gt;TODAY()),NEGOCIAÇÕES!D673,"")</f>
        <v/>
      </c>
      <c r="E673" s="9" t="str">
        <f>IF(AND(NEGOCIAÇÕES!B673&lt;&gt;"",NEGOCIAÇÕES!O673=""),NEGOCIAÇÕES!N673,"")</f>
        <v/>
      </c>
    </row>
    <row r="674" spans="2:5" ht="31.95" hidden="1" customHeight="1" x14ac:dyDescent="0.3">
      <c r="B674" s="6" t="str">
        <f ca="1">IF(AND(NEGOCIAÇÕES!O674="",NEGOCIAÇÕES!N674&gt;TODAY()),NEGOCIAÇÕES!C674,"")</f>
        <v/>
      </c>
      <c r="C674" s="6" t="str">
        <f ca="1">IF(AND(NEGOCIAÇÕES!O674="",NEGOCIAÇÕES!N674&gt;TODAY()),NEGOCIAÇÕES!E674,"")</f>
        <v/>
      </c>
      <c r="D674" s="6" t="str">
        <f ca="1">IF(AND(NEGOCIAÇÕES!O674="",NEGOCIAÇÕES!N674&gt;TODAY()),NEGOCIAÇÕES!D674,"")</f>
        <v/>
      </c>
      <c r="E674" s="9" t="str">
        <f>IF(AND(NEGOCIAÇÕES!B674&lt;&gt;"",NEGOCIAÇÕES!O674=""),NEGOCIAÇÕES!N674,"")</f>
        <v/>
      </c>
    </row>
    <row r="675" spans="2:5" ht="31.95" hidden="1" customHeight="1" x14ac:dyDescent="0.3">
      <c r="B675" s="6" t="str">
        <f ca="1">IF(AND(NEGOCIAÇÕES!O675="",NEGOCIAÇÕES!N675&gt;TODAY()),NEGOCIAÇÕES!C675,"")</f>
        <v/>
      </c>
      <c r="C675" s="6" t="str">
        <f ca="1">IF(AND(NEGOCIAÇÕES!O675="",NEGOCIAÇÕES!N675&gt;TODAY()),NEGOCIAÇÕES!E675,"")</f>
        <v/>
      </c>
      <c r="D675" s="6" t="str">
        <f ca="1">IF(AND(NEGOCIAÇÕES!O675="",NEGOCIAÇÕES!N675&gt;TODAY()),NEGOCIAÇÕES!D675,"")</f>
        <v/>
      </c>
      <c r="E675" s="9" t="str">
        <f>IF(AND(NEGOCIAÇÕES!B675&lt;&gt;"",NEGOCIAÇÕES!O675=""),NEGOCIAÇÕES!N675,"")</f>
        <v/>
      </c>
    </row>
    <row r="676" spans="2:5" ht="31.95" hidden="1" customHeight="1" x14ac:dyDescent="0.3">
      <c r="B676" s="6" t="str">
        <f ca="1">IF(AND(NEGOCIAÇÕES!O676="",NEGOCIAÇÕES!N676&gt;TODAY()),NEGOCIAÇÕES!C676,"")</f>
        <v/>
      </c>
      <c r="C676" s="6" t="str">
        <f ca="1">IF(AND(NEGOCIAÇÕES!O676="",NEGOCIAÇÕES!N676&gt;TODAY()),NEGOCIAÇÕES!E676,"")</f>
        <v/>
      </c>
      <c r="D676" s="6" t="str">
        <f ca="1">IF(AND(NEGOCIAÇÕES!O676="",NEGOCIAÇÕES!N676&gt;TODAY()),NEGOCIAÇÕES!D676,"")</f>
        <v/>
      </c>
      <c r="E676" s="9" t="str">
        <f>IF(AND(NEGOCIAÇÕES!B676&lt;&gt;"",NEGOCIAÇÕES!O676=""),NEGOCIAÇÕES!N676,"")</f>
        <v/>
      </c>
    </row>
    <row r="677" spans="2:5" ht="31.95" hidden="1" customHeight="1" x14ac:dyDescent="0.3">
      <c r="B677" s="6" t="str">
        <f ca="1">IF(AND(NEGOCIAÇÕES!O677="",NEGOCIAÇÕES!N677&gt;TODAY()),NEGOCIAÇÕES!C677,"")</f>
        <v/>
      </c>
      <c r="C677" s="6" t="str">
        <f ca="1">IF(AND(NEGOCIAÇÕES!O677="",NEGOCIAÇÕES!N677&gt;TODAY()),NEGOCIAÇÕES!E677,"")</f>
        <v/>
      </c>
      <c r="D677" s="6" t="str">
        <f ca="1">IF(AND(NEGOCIAÇÕES!O677="",NEGOCIAÇÕES!N677&gt;TODAY()),NEGOCIAÇÕES!D677,"")</f>
        <v/>
      </c>
      <c r="E677" s="9" t="str">
        <f>IF(AND(NEGOCIAÇÕES!B677&lt;&gt;"",NEGOCIAÇÕES!O677=""),NEGOCIAÇÕES!N677,"")</f>
        <v/>
      </c>
    </row>
    <row r="678" spans="2:5" ht="31.95" hidden="1" customHeight="1" x14ac:dyDescent="0.3">
      <c r="B678" s="6" t="str">
        <f ca="1">IF(AND(NEGOCIAÇÕES!O678="",NEGOCIAÇÕES!N678&gt;TODAY()),NEGOCIAÇÕES!C678,"")</f>
        <v/>
      </c>
      <c r="C678" s="6" t="str">
        <f ca="1">IF(AND(NEGOCIAÇÕES!O678="",NEGOCIAÇÕES!N678&gt;TODAY()),NEGOCIAÇÕES!E678,"")</f>
        <v/>
      </c>
      <c r="D678" s="6" t="str">
        <f ca="1">IF(AND(NEGOCIAÇÕES!O678="",NEGOCIAÇÕES!N678&gt;TODAY()),NEGOCIAÇÕES!D678,"")</f>
        <v/>
      </c>
      <c r="E678" s="9" t="str">
        <f>IF(AND(NEGOCIAÇÕES!B678&lt;&gt;"",NEGOCIAÇÕES!O678=""),NEGOCIAÇÕES!N678,"")</f>
        <v/>
      </c>
    </row>
    <row r="679" spans="2:5" ht="31.95" hidden="1" customHeight="1" x14ac:dyDescent="0.3">
      <c r="B679" s="6" t="str">
        <f ca="1">IF(AND(NEGOCIAÇÕES!O679="",NEGOCIAÇÕES!N679&gt;TODAY()),NEGOCIAÇÕES!C679,"")</f>
        <v/>
      </c>
      <c r="C679" s="6" t="str">
        <f ca="1">IF(AND(NEGOCIAÇÕES!O679="",NEGOCIAÇÕES!N679&gt;TODAY()),NEGOCIAÇÕES!E679,"")</f>
        <v/>
      </c>
      <c r="D679" s="6" t="str">
        <f ca="1">IF(AND(NEGOCIAÇÕES!O679="",NEGOCIAÇÕES!N679&gt;TODAY()),NEGOCIAÇÕES!D679,"")</f>
        <v/>
      </c>
      <c r="E679" s="9" t="str">
        <f>IF(AND(NEGOCIAÇÕES!B679&lt;&gt;"",NEGOCIAÇÕES!O679=""),NEGOCIAÇÕES!N679,"")</f>
        <v/>
      </c>
    </row>
    <row r="680" spans="2:5" ht="31.95" hidden="1" customHeight="1" x14ac:dyDescent="0.3">
      <c r="B680" s="6" t="str">
        <f ca="1">IF(AND(NEGOCIAÇÕES!O680="",NEGOCIAÇÕES!N680&gt;TODAY()),NEGOCIAÇÕES!C680,"")</f>
        <v/>
      </c>
      <c r="C680" s="6" t="str">
        <f ca="1">IF(AND(NEGOCIAÇÕES!O680="",NEGOCIAÇÕES!N680&gt;TODAY()),NEGOCIAÇÕES!E680,"")</f>
        <v/>
      </c>
      <c r="D680" s="6" t="str">
        <f ca="1">IF(AND(NEGOCIAÇÕES!O680="",NEGOCIAÇÕES!N680&gt;TODAY()),NEGOCIAÇÕES!D680,"")</f>
        <v/>
      </c>
      <c r="E680" s="9" t="str">
        <f>IF(AND(NEGOCIAÇÕES!B680&lt;&gt;"",NEGOCIAÇÕES!O680=""),NEGOCIAÇÕES!N680,"")</f>
        <v/>
      </c>
    </row>
    <row r="681" spans="2:5" ht="31.95" hidden="1" customHeight="1" x14ac:dyDescent="0.3">
      <c r="B681" s="6" t="str">
        <f ca="1">IF(AND(NEGOCIAÇÕES!O681="",NEGOCIAÇÕES!N681&gt;TODAY()),NEGOCIAÇÕES!C681,"")</f>
        <v/>
      </c>
      <c r="C681" s="6" t="str">
        <f ca="1">IF(AND(NEGOCIAÇÕES!O681="",NEGOCIAÇÕES!N681&gt;TODAY()),NEGOCIAÇÕES!E681,"")</f>
        <v/>
      </c>
      <c r="D681" s="6" t="str">
        <f ca="1">IF(AND(NEGOCIAÇÕES!O681="",NEGOCIAÇÕES!N681&gt;TODAY()),NEGOCIAÇÕES!D681,"")</f>
        <v/>
      </c>
      <c r="E681" s="9" t="str">
        <f>IF(AND(NEGOCIAÇÕES!B681&lt;&gt;"",NEGOCIAÇÕES!O681=""),NEGOCIAÇÕES!N681,"")</f>
        <v/>
      </c>
    </row>
    <row r="682" spans="2:5" ht="31.95" hidden="1" customHeight="1" x14ac:dyDescent="0.3">
      <c r="B682" s="6" t="str">
        <f ca="1">IF(AND(NEGOCIAÇÕES!O682="",NEGOCIAÇÕES!N682&gt;TODAY()),NEGOCIAÇÕES!C682,"")</f>
        <v/>
      </c>
      <c r="C682" s="6" t="str">
        <f ca="1">IF(AND(NEGOCIAÇÕES!O682="",NEGOCIAÇÕES!N682&gt;TODAY()),NEGOCIAÇÕES!E682,"")</f>
        <v/>
      </c>
      <c r="D682" s="6" t="str">
        <f ca="1">IF(AND(NEGOCIAÇÕES!O682="",NEGOCIAÇÕES!N682&gt;TODAY()),NEGOCIAÇÕES!D682,"")</f>
        <v/>
      </c>
      <c r="E682" s="9" t="str">
        <f>IF(AND(NEGOCIAÇÕES!B682&lt;&gt;"",NEGOCIAÇÕES!O682=""),NEGOCIAÇÕES!N682,"")</f>
        <v/>
      </c>
    </row>
    <row r="683" spans="2:5" ht="31.95" hidden="1" customHeight="1" x14ac:dyDescent="0.3">
      <c r="B683" s="6" t="str">
        <f ca="1">IF(AND(NEGOCIAÇÕES!O683="",NEGOCIAÇÕES!N683&gt;TODAY()),NEGOCIAÇÕES!C683,"")</f>
        <v/>
      </c>
      <c r="C683" s="6" t="str">
        <f ca="1">IF(AND(NEGOCIAÇÕES!O683="",NEGOCIAÇÕES!N683&gt;TODAY()),NEGOCIAÇÕES!E683,"")</f>
        <v/>
      </c>
      <c r="D683" s="6" t="str">
        <f ca="1">IF(AND(NEGOCIAÇÕES!O683="",NEGOCIAÇÕES!N683&gt;TODAY()),NEGOCIAÇÕES!D683,"")</f>
        <v/>
      </c>
      <c r="E683" s="9" t="str">
        <f>IF(AND(NEGOCIAÇÕES!B683&lt;&gt;"",NEGOCIAÇÕES!O683=""),NEGOCIAÇÕES!N683,"")</f>
        <v/>
      </c>
    </row>
    <row r="684" spans="2:5" ht="31.95" hidden="1" customHeight="1" x14ac:dyDescent="0.3">
      <c r="B684" s="6" t="str">
        <f ca="1">IF(AND(NEGOCIAÇÕES!O684="",NEGOCIAÇÕES!N684&gt;TODAY()),NEGOCIAÇÕES!C684,"")</f>
        <v/>
      </c>
      <c r="C684" s="6" t="str">
        <f ca="1">IF(AND(NEGOCIAÇÕES!O684="",NEGOCIAÇÕES!N684&gt;TODAY()),NEGOCIAÇÕES!E684,"")</f>
        <v/>
      </c>
      <c r="D684" s="6" t="str">
        <f ca="1">IF(AND(NEGOCIAÇÕES!O684="",NEGOCIAÇÕES!N684&gt;TODAY()),NEGOCIAÇÕES!D684,"")</f>
        <v/>
      </c>
      <c r="E684" s="9" t="str">
        <f>IF(AND(NEGOCIAÇÕES!B684&lt;&gt;"",NEGOCIAÇÕES!O684=""),NEGOCIAÇÕES!N684,"")</f>
        <v/>
      </c>
    </row>
    <row r="685" spans="2:5" ht="31.95" hidden="1" customHeight="1" x14ac:dyDescent="0.3">
      <c r="B685" s="6" t="str">
        <f ca="1">IF(AND(NEGOCIAÇÕES!O685="",NEGOCIAÇÕES!N685&gt;TODAY()),NEGOCIAÇÕES!C685,"")</f>
        <v/>
      </c>
      <c r="C685" s="6" t="str">
        <f ca="1">IF(AND(NEGOCIAÇÕES!O685="",NEGOCIAÇÕES!N685&gt;TODAY()),NEGOCIAÇÕES!E685,"")</f>
        <v/>
      </c>
      <c r="D685" s="6" t="str">
        <f ca="1">IF(AND(NEGOCIAÇÕES!O685="",NEGOCIAÇÕES!N685&gt;TODAY()),NEGOCIAÇÕES!D685,"")</f>
        <v/>
      </c>
      <c r="E685" s="9" t="str">
        <f>IF(AND(NEGOCIAÇÕES!B685&lt;&gt;"",NEGOCIAÇÕES!O685=""),NEGOCIAÇÕES!N685,"")</f>
        <v/>
      </c>
    </row>
    <row r="686" spans="2:5" ht="31.95" hidden="1" customHeight="1" x14ac:dyDescent="0.3">
      <c r="B686" s="6" t="str">
        <f ca="1">IF(AND(NEGOCIAÇÕES!O686="",NEGOCIAÇÕES!N686&gt;TODAY()),NEGOCIAÇÕES!C686,"")</f>
        <v/>
      </c>
      <c r="C686" s="6" t="str">
        <f ca="1">IF(AND(NEGOCIAÇÕES!O686="",NEGOCIAÇÕES!N686&gt;TODAY()),NEGOCIAÇÕES!E686,"")</f>
        <v/>
      </c>
      <c r="D686" s="6" t="str">
        <f ca="1">IF(AND(NEGOCIAÇÕES!O686="",NEGOCIAÇÕES!N686&gt;TODAY()),NEGOCIAÇÕES!D686,"")</f>
        <v/>
      </c>
      <c r="E686" s="9" t="str">
        <f>IF(AND(NEGOCIAÇÕES!B686&lt;&gt;"",NEGOCIAÇÕES!O686=""),NEGOCIAÇÕES!N686,"")</f>
        <v/>
      </c>
    </row>
    <row r="687" spans="2:5" ht="31.95" hidden="1" customHeight="1" x14ac:dyDescent="0.3">
      <c r="B687" s="6" t="str">
        <f ca="1">IF(AND(NEGOCIAÇÕES!O687="",NEGOCIAÇÕES!N687&gt;TODAY()),NEGOCIAÇÕES!C687,"")</f>
        <v/>
      </c>
      <c r="C687" s="6" t="str">
        <f ca="1">IF(AND(NEGOCIAÇÕES!O687="",NEGOCIAÇÕES!N687&gt;TODAY()),NEGOCIAÇÕES!E687,"")</f>
        <v/>
      </c>
      <c r="D687" s="6" t="str">
        <f ca="1">IF(AND(NEGOCIAÇÕES!O687="",NEGOCIAÇÕES!N687&gt;TODAY()),NEGOCIAÇÕES!D687,"")</f>
        <v/>
      </c>
      <c r="E687" s="9" t="str">
        <f>IF(AND(NEGOCIAÇÕES!B687&lt;&gt;"",NEGOCIAÇÕES!O687=""),NEGOCIAÇÕES!N687,"")</f>
        <v/>
      </c>
    </row>
    <row r="688" spans="2:5" ht="31.95" hidden="1" customHeight="1" x14ac:dyDescent="0.3">
      <c r="B688" s="6" t="str">
        <f ca="1">IF(AND(NEGOCIAÇÕES!O688="",NEGOCIAÇÕES!N688&gt;TODAY()),NEGOCIAÇÕES!C688,"")</f>
        <v/>
      </c>
      <c r="C688" s="6" t="str">
        <f ca="1">IF(AND(NEGOCIAÇÕES!O688="",NEGOCIAÇÕES!N688&gt;TODAY()),NEGOCIAÇÕES!E688,"")</f>
        <v/>
      </c>
      <c r="D688" s="6" t="str">
        <f ca="1">IF(AND(NEGOCIAÇÕES!O688="",NEGOCIAÇÕES!N688&gt;TODAY()),NEGOCIAÇÕES!D688,"")</f>
        <v/>
      </c>
      <c r="E688" s="9" t="str">
        <f>IF(AND(NEGOCIAÇÕES!B688&lt;&gt;"",NEGOCIAÇÕES!O688=""),NEGOCIAÇÕES!N688,"")</f>
        <v/>
      </c>
    </row>
    <row r="689" spans="2:5" ht="31.95" hidden="1" customHeight="1" x14ac:dyDescent="0.3">
      <c r="B689" s="6" t="str">
        <f ca="1">IF(AND(NEGOCIAÇÕES!O689="",NEGOCIAÇÕES!N689&gt;TODAY()),NEGOCIAÇÕES!C689,"")</f>
        <v/>
      </c>
      <c r="C689" s="6" t="str">
        <f ca="1">IF(AND(NEGOCIAÇÕES!O689="",NEGOCIAÇÕES!N689&gt;TODAY()),NEGOCIAÇÕES!E689,"")</f>
        <v/>
      </c>
      <c r="D689" s="6" t="str">
        <f ca="1">IF(AND(NEGOCIAÇÕES!O689="",NEGOCIAÇÕES!N689&gt;TODAY()),NEGOCIAÇÕES!D689,"")</f>
        <v/>
      </c>
      <c r="E689" s="9" t="str">
        <f>IF(AND(NEGOCIAÇÕES!B689&lt;&gt;"",NEGOCIAÇÕES!O689=""),NEGOCIAÇÕES!N689,"")</f>
        <v/>
      </c>
    </row>
    <row r="690" spans="2:5" ht="31.95" hidden="1" customHeight="1" x14ac:dyDescent="0.3">
      <c r="B690" s="6" t="str">
        <f ca="1">IF(AND(NEGOCIAÇÕES!O690="",NEGOCIAÇÕES!N690&gt;TODAY()),NEGOCIAÇÕES!C690,"")</f>
        <v/>
      </c>
      <c r="C690" s="6" t="str">
        <f ca="1">IF(AND(NEGOCIAÇÕES!O690="",NEGOCIAÇÕES!N690&gt;TODAY()),NEGOCIAÇÕES!E690,"")</f>
        <v/>
      </c>
      <c r="D690" s="6" t="str">
        <f ca="1">IF(AND(NEGOCIAÇÕES!O690="",NEGOCIAÇÕES!N690&gt;TODAY()),NEGOCIAÇÕES!D690,"")</f>
        <v/>
      </c>
      <c r="E690" s="9" t="str">
        <f>IF(AND(NEGOCIAÇÕES!B690&lt;&gt;"",NEGOCIAÇÕES!O690=""),NEGOCIAÇÕES!N690,"")</f>
        <v/>
      </c>
    </row>
    <row r="691" spans="2:5" ht="31.95" hidden="1" customHeight="1" x14ac:dyDescent="0.3">
      <c r="B691" s="6" t="str">
        <f ca="1">IF(AND(NEGOCIAÇÕES!O691="",NEGOCIAÇÕES!N691&gt;TODAY()),NEGOCIAÇÕES!C691,"")</f>
        <v/>
      </c>
      <c r="C691" s="6" t="str">
        <f ca="1">IF(AND(NEGOCIAÇÕES!O691="",NEGOCIAÇÕES!N691&gt;TODAY()),NEGOCIAÇÕES!E691,"")</f>
        <v/>
      </c>
      <c r="D691" s="6" t="str">
        <f ca="1">IF(AND(NEGOCIAÇÕES!O691="",NEGOCIAÇÕES!N691&gt;TODAY()),NEGOCIAÇÕES!D691,"")</f>
        <v/>
      </c>
      <c r="E691" s="9" t="str">
        <f>IF(AND(NEGOCIAÇÕES!B691&lt;&gt;"",NEGOCIAÇÕES!O691=""),NEGOCIAÇÕES!N691,"")</f>
        <v/>
      </c>
    </row>
    <row r="692" spans="2:5" ht="31.95" hidden="1" customHeight="1" x14ac:dyDescent="0.3">
      <c r="B692" s="6" t="str">
        <f ca="1">IF(AND(NEGOCIAÇÕES!O692="",NEGOCIAÇÕES!N692&gt;TODAY()),NEGOCIAÇÕES!C692,"")</f>
        <v/>
      </c>
      <c r="C692" s="6" t="str">
        <f ca="1">IF(AND(NEGOCIAÇÕES!O692="",NEGOCIAÇÕES!N692&gt;TODAY()),NEGOCIAÇÕES!E692,"")</f>
        <v/>
      </c>
      <c r="D692" s="6" t="str">
        <f ca="1">IF(AND(NEGOCIAÇÕES!O692="",NEGOCIAÇÕES!N692&gt;TODAY()),NEGOCIAÇÕES!D692,"")</f>
        <v/>
      </c>
      <c r="E692" s="9" t="str">
        <f>IF(AND(NEGOCIAÇÕES!B692&lt;&gt;"",NEGOCIAÇÕES!O692=""),NEGOCIAÇÕES!N692,"")</f>
        <v/>
      </c>
    </row>
    <row r="693" spans="2:5" ht="31.95" hidden="1" customHeight="1" x14ac:dyDescent="0.3">
      <c r="B693" s="6" t="str">
        <f ca="1">IF(AND(NEGOCIAÇÕES!O693="",NEGOCIAÇÕES!N693&gt;TODAY()),NEGOCIAÇÕES!C693,"")</f>
        <v/>
      </c>
      <c r="C693" s="6" t="str">
        <f ca="1">IF(AND(NEGOCIAÇÕES!O693="",NEGOCIAÇÕES!N693&gt;TODAY()),NEGOCIAÇÕES!E693,"")</f>
        <v/>
      </c>
      <c r="D693" s="6" t="str">
        <f ca="1">IF(AND(NEGOCIAÇÕES!O693="",NEGOCIAÇÕES!N693&gt;TODAY()),NEGOCIAÇÕES!D693,"")</f>
        <v/>
      </c>
      <c r="E693" s="9" t="str">
        <f>IF(AND(NEGOCIAÇÕES!B693&lt;&gt;"",NEGOCIAÇÕES!O693=""),NEGOCIAÇÕES!N693,"")</f>
        <v/>
      </c>
    </row>
    <row r="694" spans="2:5" ht="31.95" hidden="1" customHeight="1" x14ac:dyDescent="0.3">
      <c r="B694" s="6" t="str">
        <f ca="1">IF(AND(NEGOCIAÇÕES!O694="",NEGOCIAÇÕES!N694&gt;TODAY()),NEGOCIAÇÕES!C694,"")</f>
        <v/>
      </c>
      <c r="C694" s="6" t="str">
        <f ca="1">IF(AND(NEGOCIAÇÕES!O694="",NEGOCIAÇÕES!N694&gt;TODAY()),NEGOCIAÇÕES!E694,"")</f>
        <v/>
      </c>
      <c r="D694" s="6" t="str">
        <f ca="1">IF(AND(NEGOCIAÇÕES!O694="",NEGOCIAÇÕES!N694&gt;TODAY()),NEGOCIAÇÕES!D694,"")</f>
        <v/>
      </c>
      <c r="E694" s="9" t="str">
        <f>IF(AND(NEGOCIAÇÕES!B694&lt;&gt;"",NEGOCIAÇÕES!O694=""),NEGOCIAÇÕES!N694,"")</f>
        <v/>
      </c>
    </row>
    <row r="695" spans="2:5" ht="31.95" hidden="1" customHeight="1" x14ac:dyDescent="0.3">
      <c r="B695" s="6" t="str">
        <f ca="1">IF(AND(NEGOCIAÇÕES!O695="",NEGOCIAÇÕES!N695&gt;TODAY()),NEGOCIAÇÕES!C695,"")</f>
        <v/>
      </c>
      <c r="C695" s="6" t="str">
        <f ca="1">IF(AND(NEGOCIAÇÕES!O695="",NEGOCIAÇÕES!N695&gt;TODAY()),NEGOCIAÇÕES!E695,"")</f>
        <v/>
      </c>
      <c r="D695" s="6" t="str">
        <f ca="1">IF(AND(NEGOCIAÇÕES!O695="",NEGOCIAÇÕES!N695&gt;TODAY()),NEGOCIAÇÕES!D695,"")</f>
        <v/>
      </c>
      <c r="E695" s="9" t="str">
        <f>IF(AND(NEGOCIAÇÕES!B695&lt;&gt;"",NEGOCIAÇÕES!O695=""),NEGOCIAÇÕES!N695,"")</f>
        <v/>
      </c>
    </row>
    <row r="696" spans="2:5" ht="31.95" hidden="1" customHeight="1" x14ac:dyDescent="0.3">
      <c r="B696" s="6" t="str">
        <f ca="1">IF(AND(NEGOCIAÇÕES!O696="",NEGOCIAÇÕES!N696&gt;TODAY()),NEGOCIAÇÕES!C696,"")</f>
        <v/>
      </c>
      <c r="C696" s="6" t="str">
        <f ca="1">IF(AND(NEGOCIAÇÕES!O696="",NEGOCIAÇÕES!N696&gt;TODAY()),NEGOCIAÇÕES!E696,"")</f>
        <v/>
      </c>
      <c r="D696" s="6" t="str">
        <f ca="1">IF(AND(NEGOCIAÇÕES!O696="",NEGOCIAÇÕES!N696&gt;TODAY()),NEGOCIAÇÕES!D696,"")</f>
        <v/>
      </c>
      <c r="E696" s="9" t="str">
        <f>IF(AND(NEGOCIAÇÕES!B696&lt;&gt;"",NEGOCIAÇÕES!O696=""),NEGOCIAÇÕES!N696,"")</f>
        <v/>
      </c>
    </row>
    <row r="697" spans="2:5" ht="31.95" hidden="1" customHeight="1" x14ac:dyDescent="0.3">
      <c r="B697" s="6" t="str">
        <f ca="1">IF(AND(NEGOCIAÇÕES!O697="",NEGOCIAÇÕES!N697&gt;TODAY()),NEGOCIAÇÕES!C697,"")</f>
        <v/>
      </c>
      <c r="C697" s="6" t="str">
        <f ca="1">IF(AND(NEGOCIAÇÕES!O697="",NEGOCIAÇÕES!N697&gt;TODAY()),NEGOCIAÇÕES!E697,"")</f>
        <v/>
      </c>
      <c r="D697" s="6" t="str">
        <f ca="1">IF(AND(NEGOCIAÇÕES!O697="",NEGOCIAÇÕES!N697&gt;TODAY()),NEGOCIAÇÕES!D697,"")</f>
        <v/>
      </c>
      <c r="E697" s="9" t="str">
        <f>IF(AND(NEGOCIAÇÕES!B697&lt;&gt;"",NEGOCIAÇÕES!O697=""),NEGOCIAÇÕES!N697,"")</f>
        <v/>
      </c>
    </row>
    <row r="698" spans="2:5" ht="31.95" hidden="1" customHeight="1" x14ac:dyDescent="0.3">
      <c r="B698" s="6" t="str">
        <f ca="1">IF(AND(NEGOCIAÇÕES!O698="",NEGOCIAÇÕES!N698&gt;TODAY()),NEGOCIAÇÕES!C698,"")</f>
        <v/>
      </c>
      <c r="C698" s="6" t="str">
        <f ca="1">IF(AND(NEGOCIAÇÕES!O698="",NEGOCIAÇÕES!N698&gt;TODAY()),NEGOCIAÇÕES!E698,"")</f>
        <v/>
      </c>
      <c r="D698" s="6" t="str">
        <f ca="1">IF(AND(NEGOCIAÇÕES!O698="",NEGOCIAÇÕES!N698&gt;TODAY()),NEGOCIAÇÕES!D698,"")</f>
        <v/>
      </c>
      <c r="E698" s="9" t="str">
        <f>IF(AND(NEGOCIAÇÕES!B698&lt;&gt;"",NEGOCIAÇÕES!O698=""),NEGOCIAÇÕES!N698,"")</f>
        <v/>
      </c>
    </row>
    <row r="699" spans="2:5" ht="31.95" hidden="1" customHeight="1" x14ac:dyDescent="0.3">
      <c r="B699" s="6" t="str">
        <f ca="1">IF(AND(NEGOCIAÇÕES!O699="",NEGOCIAÇÕES!N699&gt;TODAY()),NEGOCIAÇÕES!C699,"")</f>
        <v/>
      </c>
      <c r="C699" s="6" t="str">
        <f ca="1">IF(AND(NEGOCIAÇÕES!O699="",NEGOCIAÇÕES!N699&gt;TODAY()),NEGOCIAÇÕES!E699,"")</f>
        <v/>
      </c>
      <c r="D699" s="6" t="str">
        <f ca="1">IF(AND(NEGOCIAÇÕES!O699="",NEGOCIAÇÕES!N699&gt;TODAY()),NEGOCIAÇÕES!D699,"")</f>
        <v/>
      </c>
      <c r="E699" s="9" t="str">
        <f>IF(AND(NEGOCIAÇÕES!B699&lt;&gt;"",NEGOCIAÇÕES!O699=""),NEGOCIAÇÕES!N699,"")</f>
        <v/>
      </c>
    </row>
    <row r="700" spans="2:5" ht="31.95" hidden="1" customHeight="1" x14ac:dyDescent="0.3">
      <c r="B700" s="6" t="str">
        <f ca="1">IF(AND(NEGOCIAÇÕES!O700="",NEGOCIAÇÕES!N700&gt;TODAY()),NEGOCIAÇÕES!C700,"")</f>
        <v/>
      </c>
      <c r="C700" s="6" t="str">
        <f ca="1">IF(AND(NEGOCIAÇÕES!O700="",NEGOCIAÇÕES!N700&gt;TODAY()),NEGOCIAÇÕES!E700,"")</f>
        <v/>
      </c>
      <c r="D700" s="6" t="str">
        <f ca="1">IF(AND(NEGOCIAÇÕES!O700="",NEGOCIAÇÕES!N700&gt;TODAY()),NEGOCIAÇÕES!D700,"")</f>
        <v/>
      </c>
      <c r="E700" s="9" t="str">
        <f>IF(AND(NEGOCIAÇÕES!B700&lt;&gt;"",NEGOCIAÇÕES!O700=""),NEGOCIAÇÕES!N700,"")</f>
        <v/>
      </c>
    </row>
    <row r="701" spans="2:5" ht="31.95" hidden="1" customHeight="1" x14ac:dyDescent="0.3">
      <c r="B701" s="6" t="str">
        <f ca="1">IF(AND(NEGOCIAÇÕES!O701="",NEGOCIAÇÕES!N701&gt;TODAY()),NEGOCIAÇÕES!C701,"")</f>
        <v/>
      </c>
      <c r="C701" s="6" t="str">
        <f ca="1">IF(AND(NEGOCIAÇÕES!O701="",NEGOCIAÇÕES!N701&gt;TODAY()),NEGOCIAÇÕES!E701,"")</f>
        <v/>
      </c>
      <c r="D701" s="6" t="str">
        <f ca="1">IF(AND(NEGOCIAÇÕES!O701="",NEGOCIAÇÕES!N701&gt;TODAY()),NEGOCIAÇÕES!D701,"")</f>
        <v/>
      </c>
      <c r="E701" s="9" t="str">
        <f>IF(AND(NEGOCIAÇÕES!B701&lt;&gt;"",NEGOCIAÇÕES!O701=""),NEGOCIAÇÕES!N701,"")</f>
        <v/>
      </c>
    </row>
    <row r="702" spans="2:5" ht="31.95" hidden="1" customHeight="1" x14ac:dyDescent="0.3">
      <c r="B702" s="6" t="str">
        <f ca="1">IF(AND(NEGOCIAÇÕES!O702="",NEGOCIAÇÕES!N702&gt;TODAY()),NEGOCIAÇÕES!C702,"")</f>
        <v/>
      </c>
      <c r="C702" s="6" t="str">
        <f ca="1">IF(AND(NEGOCIAÇÕES!O702="",NEGOCIAÇÕES!N702&gt;TODAY()),NEGOCIAÇÕES!E702,"")</f>
        <v/>
      </c>
      <c r="D702" s="6" t="str">
        <f ca="1">IF(AND(NEGOCIAÇÕES!O702="",NEGOCIAÇÕES!N702&gt;TODAY()),NEGOCIAÇÕES!D702,"")</f>
        <v/>
      </c>
      <c r="E702" s="9" t="str">
        <f>IF(AND(NEGOCIAÇÕES!B702&lt;&gt;"",NEGOCIAÇÕES!O702=""),NEGOCIAÇÕES!N702,"")</f>
        <v/>
      </c>
    </row>
    <row r="703" spans="2:5" ht="31.95" hidden="1" customHeight="1" x14ac:dyDescent="0.3">
      <c r="B703" s="6" t="str">
        <f ca="1">IF(AND(NEGOCIAÇÕES!O703="",NEGOCIAÇÕES!N703&gt;TODAY()),NEGOCIAÇÕES!C703,"")</f>
        <v/>
      </c>
      <c r="C703" s="6" t="str">
        <f ca="1">IF(AND(NEGOCIAÇÕES!O703="",NEGOCIAÇÕES!N703&gt;TODAY()),NEGOCIAÇÕES!E703,"")</f>
        <v/>
      </c>
      <c r="D703" s="6" t="str">
        <f ca="1">IF(AND(NEGOCIAÇÕES!O703="",NEGOCIAÇÕES!N703&gt;TODAY()),NEGOCIAÇÕES!D703,"")</f>
        <v/>
      </c>
      <c r="E703" s="9" t="str">
        <f>IF(AND(NEGOCIAÇÕES!B703&lt;&gt;"",NEGOCIAÇÕES!O703=""),NEGOCIAÇÕES!N703,"")</f>
        <v/>
      </c>
    </row>
    <row r="704" spans="2:5" ht="31.95" hidden="1" customHeight="1" x14ac:dyDescent="0.3">
      <c r="B704" s="6" t="str">
        <f ca="1">IF(AND(NEGOCIAÇÕES!O704="",NEGOCIAÇÕES!N704&gt;TODAY()),NEGOCIAÇÕES!C704,"")</f>
        <v/>
      </c>
      <c r="C704" s="6" t="str">
        <f ca="1">IF(AND(NEGOCIAÇÕES!O704="",NEGOCIAÇÕES!N704&gt;TODAY()),NEGOCIAÇÕES!E704,"")</f>
        <v/>
      </c>
      <c r="D704" s="6" t="str">
        <f ca="1">IF(AND(NEGOCIAÇÕES!O704="",NEGOCIAÇÕES!N704&gt;TODAY()),NEGOCIAÇÕES!D704,"")</f>
        <v/>
      </c>
      <c r="E704" s="9" t="str">
        <f>IF(AND(NEGOCIAÇÕES!B704&lt;&gt;"",NEGOCIAÇÕES!O704=""),NEGOCIAÇÕES!N704,"")</f>
        <v/>
      </c>
    </row>
    <row r="705" spans="2:5" ht="31.95" hidden="1" customHeight="1" x14ac:dyDescent="0.3">
      <c r="B705" s="6" t="str">
        <f ca="1">IF(AND(NEGOCIAÇÕES!O705="",NEGOCIAÇÕES!N705&gt;TODAY()),NEGOCIAÇÕES!C705,"")</f>
        <v/>
      </c>
      <c r="C705" s="6" t="str">
        <f ca="1">IF(AND(NEGOCIAÇÕES!O705="",NEGOCIAÇÕES!N705&gt;TODAY()),NEGOCIAÇÕES!E705,"")</f>
        <v/>
      </c>
      <c r="D705" s="6" t="str">
        <f ca="1">IF(AND(NEGOCIAÇÕES!O705="",NEGOCIAÇÕES!N705&gt;TODAY()),NEGOCIAÇÕES!D705,"")</f>
        <v/>
      </c>
      <c r="E705" s="9" t="str">
        <f>IF(AND(NEGOCIAÇÕES!B705&lt;&gt;"",NEGOCIAÇÕES!O705=""),NEGOCIAÇÕES!N705,"")</f>
        <v/>
      </c>
    </row>
    <row r="706" spans="2:5" ht="31.95" hidden="1" customHeight="1" x14ac:dyDescent="0.3">
      <c r="B706" s="6" t="str">
        <f ca="1">IF(AND(NEGOCIAÇÕES!O706="",NEGOCIAÇÕES!N706&gt;TODAY()),NEGOCIAÇÕES!C706,"")</f>
        <v/>
      </c>
      <c r="C706" s="6" t="str">
        <f ca="1">IF(AND(NEGOCIAÇÕES!O706="",NEGOCIAÇÕES!N706&gt;TODAY()),NEGOCIAÇÕES!E706,"")</f>
        <v/>
      </c>
      <c r="D706" s="6" t="str">
        <f ca="1">IF(AND(NEGOCIAÇÕES!O706="",NEGOCIAÇÕES!N706&gt;TODAY()),NEGOCIAÇÕES!D706,"")</f>
        <v/>
      </c>
      <c r="E706" s="9" t="str">
        <f>IF(AND(NEGOCIAÇÕES!B706&lt;&gt;"",NEGOCIAÇÕES!O706=""),NEGOCIAÇÕES!N706,"")</f>
        <v/>
      </c>
    </row>
    <row r="707" spans="2:5" ht="31.95" hidden="1" customHeight="1" x14ac:dyDescent="0.3">
      <c r="B707" s="6" t="str">
        <f ca="1">IF(AND(NEGOCIAÇÕES!O707="",NEGOCIAÇÕES!N707&gt;TODAY()),NEGOCIAÇÕES!C707,"")</f>
        <v/>
      </c>
      <c r="C707" s="6" t="str">
        <f ca="1">IF(AND(NEGOCIAÇÕES!O707="",NEGOCIAÇÕES!N707&gt;TODAY()),NEGOCIAÇÕES!E707,"")</f>
        <v/>
      </c>
      <c r="D707" s="6" t="str">
        <f ca="1">IF(AND(NEGOCIAÇÕES!O707="",NEGOCIAÇÕES!N707&gt;TODAY()),NEGOCIAÇÕES!D707,"")</f>
        <v/>
      </c>
      <c r="E707" s="9" t="str">
        <f>IF(AND(NEGOCIAÇÕES!B707&lt;&gt;"",NEGOCIAÇÕES!O707=""),NEGOCIAÇÕES!N707,"")</f>
        <v/>
      </c>
    </row>
    <row r="708" spans="2:5" ht="31.95" hidden="1" customHeight="1" x14ac:dyDescent="0.3">
      <c r="B708" s="6" t="str">
        <f ca="1">IF(AND(NEGOCIAÇÕES!O708="",NEGOCIAÇÕES!N708&gt;TODAY()),NEGOCIAÇÕES!C708,"")</f>
        <v/>
      </c>
      <c r="C708" s="6" t="str">
        <f ca="1">IF(AND(NEGOCIAÇÕES!O708="",NEGOCIAÇÕES!N708&gt;TODAY()),NEGOCIAÇÕES!E708,"")</f>
        <v/>
      </c>
      <c r="D708" s="6" t="str">
        <f ca="1">IF(AND(NEGOCIAÇÕES!O708="",NEGOCIAÇÕES!N708&gt;TODAY()),NEGOCIAÇÕES!D708,"")</f>
        <v/>
      </c>
      <c r="E708" s="9" t="str">
        <f>IF(AND(NEGOCIAÇÕES!B708&lt;&gt;"",NEGOCIAÇÕES!O708=""),NEGOCIAÇÕES!N708,"")</f>
        <v/>
      </c>
    </row>
    <row r="709" spans="2:5" ht="31.95" hidden="1" customHeight="1" x14ac:dyDescent="0.3">
      <c r="B709" s="6" t="str">
        <f ca="1">IF(AND(NEGOCIAÇÕES!O709="",NEGOCIAÇÕES!N709&gt;TODAY()),NEGOCIAÇÕES!C709,"")</f>
        <v/>
      </c>
      <c r="C709" s="6" t="str">
        <f ca="1">IF(AND(NEGOCIAÇÕES!O709="",NEGOCIAÇÕES!N709&gt;TODAY()),NEGOCIAÇÕES!E709,"")</f>
        <v/>
      </c>
      <c r="D709" s="6" t="str">
        <f ca="1">IF(AND(NEGOCIAÇÕES!O709="",NEGOCIAÇÕES!N709&gt;TODAY()),NEGOCIAÇÕES!D709,"")</f>
        <v/>
      </c>
      <c r="E709" s="9" t="str">
        <f>IF(AND(NEGOCIAÇÕES!B709&lt;&gt;"",NEGOCIAÇÕES!O709=""),NEGOCIAÇÕES!N709,"")</f>
        <v/>
      </c>
    </row>
    <row r="710" spans="2:5" ht="31.95" hidden="1" customHeight="1" x14ac:dyDescent="0.3">
      <c r="B710" s="6" t="str">
        <f ca="1">IF(AND(NEGOCIAÇÕES!O710="",NEGOCIAÇÕES!N710&gt;TODAY()),NEGOCIAÇÕES!C710,"")</f>
        <v/>
      </c>
      <c r="C710" s="6" t="str">
        <f ca="1">IF(AND(NEGOCIAÇÕES!O710="",NEGOCIAÇÕES!N710&gt;TODAY()),NEGOCIAÇÕES!E710,"")</f>
        <v/>
      </c>
      <c r="D710" s="6" t="str">
        <f ca="1">IF(AND(NEGOCIAÇÕES!O710="",NEGOCIAÇÕES!N710&gt;TODAY()),NEGOCIAÇÕES!D710,"")</f>
        <v/>
      </c>
      <c r="E710" s="9" t="str">
        <f>IF(AND(NEGOCIAÇÕES!B710&lt;&gt;"",NEGOCIAÇÕES!O710=""),NEGOCIAÇÕES!N710,"")</f>
        <v/>
      </c>
    </row>
    <row r="711" spans="2:5" ht="31.95" hidden="1" customHeight="1" x14ac:dyDescent="0.3">
      <c r="B711" s="6" t="str">
        <f ca="1">IF(AND(NEGOCIAÇÕES!O711="",NEGOCIAÇÕES!N711&gt;TODAY()),NEGOCIAÇÕES!C711,"")</f>
        <v/>
      </c>
      <c r="C711" s="6" t="str">
        <f ca="1">IF(AND(NEGOCIAÇÕES!O711="",NEGOCIAÇÕES!N711&gt;TODAY()),NEGOCIAÇÕES!E711,"")</f>
        <v/>
      </c>
      <c r="D711" s="6" t="str">
        <f ca="1">IF(AND(NEGOCIAÇÕES!O711="",NEGOCIAÇÕES!N711&gt;TODAY()),NEGOCIAÇÕES!D711,"")</f>
        <v/>
      </c>
      <c r="E711" s="9" t="str">
        <f>IF(AND(NEGOCIAÇÕES!B711&lt;&gt;"",NEGOCIAÇÕES!O711=""),NEGOCIAÇÕES!N711,"")</f>
        <v/>
      </c>
    </row>
    <row r="712" spans="2:5" ht="31.95" hidden="1" customHeight="1" x14ac:dyDescent="0.3">
      <c r="B712" s="6" t="str">
        <f ca="1">IF(AND(NEGOCIAÇÕES!O712="",NEGOCIAÇÕES!N712&gt;TODAY()),NEGOCIAÇÕES!C712,"")</f>
        <v/>
      </c>
      <c r="C712" s="6" t="str">
        <f ca="1">IF(AND(NEGOCIAÇÕES!O712="",NEGOCIAÇÕES!N712&gt;TODAY()),NEGOCIAÇÕES!E712,"")</f>
        <v/>
      </c>
      <c r="D712" s="6" t="str">
        <f ca="1">IF(AND(NEGOCIAÇÕES!O712="",NEGOCIAÇÕES!N712&gt;TODAY()),NEGOCIAÇÕES!D712,"")</f>
        <v/>
      </c>
      <c r="E712" s="9" t="str">
        <f>IF(AND(NEGOCIAÇÕES!B712&lt;&gt;"",NEGOCIAÇÕES!O712=""),NEGOCIAÇÕES!N712,"")</f>
        <v/>
      </c>
    </row>
    <row r="713" spans="2:5" ht="31.95" hidden="1" customHeight="1" x14ac:dyDescent="0.3">
      <c r="B713" s="6" t="str">
        <f ca="1">IF(AND(NEGOCIAÇÕES!O713="",NEGOCIAÇÕES!N713&gt;TODAY()),NEGOCIAÇÕES!C713,"")</f>
        <v/>
      </c>
      <c r="C713" s="6" t="str">
        <f ca="1">IF(AND(NEGOCIAÇÕES!O713="",NEGOCIAÇÕES!N713&gt;TODAY()),NEGOCIAÇÕES!E713,"")</f>
        <v/>
      </c>
      <c r="D713" s="6" t="str">
        <f ca="1">IF(AND(NEGOCIAÇÕES!O713="",NEGOCIAÇÕES!N713&gt;TODAY()),NEGOCIAÇÕES!D713,"")</f>
        <v/>
      </c>
      <c r="E713" s="9" t="str">
        <f>IF(AND(NEGOCIAÇÕES!B713&lt;&gt;"",NEGOCIAÇÕES!O713=""),NEGOCIAÇÕES!N713,"")</f>
        <v/>
      </c>
    </row>
    <row r="714" spans="2:5" ht="31.95" hidden="1" customHeight="1" x14ac:dyDescent="0.3">
      <c r="B714" s="6" t="str">
        <f ca="1">IF(AND(NEGOCIAÇÕES!O714="",NEGOCIAÇÕES!N714&gt;TODAY()),NEGOCIAÇÕES!C714,"")</f>
        <v/>
      </c>
      <c r="C714" s="6" t="str">
        <f ca="1">IF(AND(NEGOCIAÇÕES!O714="",NEGOCIAÇÕES!N714&gt;TODAY()),NEGOCIAÇÕES!E714,"")</f>
        <v/>
      </c>
      <c r="D714" s="6" t="str">
        <f ca="1">IF(AND(NEGOCIAÇÕES!O714="",NEGOCIAÇÕES!N714&gt;TODAY()),NEGOCIAÇÕES!D714,"")</f>
        <v/>
      </c>
      <c r="E714" s="9" t="str">
        <f>IF(AND(NEGOCIAÇÕES!B714&lt;&gt;"",NEGOCIAÇÕES!O714=""),NEGOCIAÇÕES!N714,"")</f>
        <v/>
      </c>
    </row>
    <row r="715" spans="2:5" ht="31.95" hidden="1" customHeight="1" x14ac:dyDescent="0.3">
      <c r="B715" s="6" t="str">
        <f ca="1">IF(AND(NEGOCIAÇÕES!O715="",NEGOCIAÇÕES!N715&gt;TODAY()),NEGOCIAÇÕES!C715,"")</f>
        <v/>
      </c>
      <c r="C715" s="6" t="str">
        <f ca="1">IF(AND(NEGOCIAÇÕES!O715="",NEGOCIAÇÕES!N715&gt;TODAY()),NEGOCIAÇÕES!E715,"")</f>
        <v/>
      </c>
      <c r="D715" s="6" t="str">
        <f ca="1">IF(AND(NEGOCIAÇÕES!O715="",NEGOCIAÇÕES!N715&gt;TODAY()),NEGOCIAÇÕES!D715,"")</f>
        <v/>
      </c>
      <c r="E715" s="9" t="str">
        <f>IF(AND(NEGOCIAÇÕES!B715&lt;&gt;"",NEGOCIAÇÕES!O715=""),NEGOCIAÇÕES!N715,"")</f>
        <v/>
      </c>
    </row>
    <row r="716" spans="2:5" ht="31.95" hidden="1" customHeight="1" x14ac:dyDescent="0.3">
      <c r="B716" s="6" t="str">
        <f ca="1">IF(AND(NEGOCIAÇÕES!O716="",NEGOCIAÇÕES!N716&gt;TODAY()),NEGOCIAÇÕES!C716,"")</f>
        <v/>
      </c>
      <c r="C716" s="6" t="str">
        <f ca="1">IF(AND(NEGOCIAÇÕES!O716="",NEGOCIAÇÕES!N716&gt;TODAY()),NEGOCIAÇÕES!E716,"")</f>
        <v/>
      </c>
      <c r="D716" s="6" t="str">
        <f ca="1">IF(AND(NEGOCIAÇÕES!O716="",NEGOCIAÇÕES!N716&gt;TODAY()),NEGOCIAÇÕES!D716,"")</f>
        <v/>
      </c>
      <c r="E716" s="9" t="str">
        <f>IF(AND(NEGOCIAÇÕES!B716&lt;&gt;"",NEGOCIAÇÕES!O716=""),NEGOCIAÇÕES!N716,"")</f>
        <v/>
      </c>
    </row>
    <row r="717" spans="2:5" ht="31.95" hidden="1" customHeight="1" x14ac:dyDescent="0.3">
      <c r="B717" s="6" t="str">
        <f ca="1">IF(AND(NEGOCIAÇÕES!O717="",NEGOCIAÇÕES!N717&gt;TODAY()),NEGOCIAÇÕES!C717,"")</f>
        <v/>
      </c>
      <c r="C717" s="6" t="str">
        <f ca="1">IF(AND(NEGOCIAÇÕES!O717="",NEGOCIAÇÕES!N717&gt;TODAY()),NEGOCIAÇÕES!E717,"")</f>
        <v/>
      </c>
      <c r="D717" s="6" t="str">
        <f ca="1">IF(AND(NEGOCIAÇÕES!O717="",NEGOCIAÇÕES!N717&gt;TODAY()),NEGOCIAÇÕES!D717,"")</f>
        <v/>
      </c>
      <c r="E717" s="9" t="str">
        <f>IF(AND(NEGOCIAÇÕES!B717&lt;&gt;"",NEGOCIAÇÕES!O717=""),NEGOCIAÇÕES!N717,"")</f>
        <v/>
      </c>
    </row>
    <row r="718" spans="2:5" ht="31.95" hidden="1" customHeight="1" x14ac:dyDescent="0.3">
      <c r="B718" s="6" t="str">
        <f ca="1">IF(AND(NEGOCIAÇÕES!O718="",NEGOCIAÇÕES!N718&gt;TODAY()),NEGOCIAÇÕES!C718,"")</f>
        <v/>
      </c>
      <c r="C718" s="6" t="str">
        <f ca="1">IF(AND(NEGOCIAÇÕES!O718="",NEGOCIAÇÕES!N718&gt;TODAY()),NEGOCIAÇÕES!E718,"")</f>
        <v/>
      </c>
      <c r="D718" s="6" t="str">
        <f ca="1">IF(AND(NEGOCIAÇÕES!O718="",NEGOCIAÇÕES!N718&gt;TODAY()),NEGOCIAÇÕES!D718,"")</f>
        <v/>
      </c>
      <c r="E718" s="9" t="str">
        <f>IF(AND(NEGOCIAÇÕES!B718&lt;&gt;"",NEGOCIAÇÕES!O718=""),NEGOCIAÇÕES!N718,"")</f>
        <v/>
      </c>
    </row>
    <row r="719" spans="2:5" ht="31.95" hidden="1" customHeight="1" x14ac:dyDescent="0.3">
      <c r="B719" s="6" t="str">
        <f ca="1">IF(AND(NEGOCIAÇÕES!O719="",NEGOCIAÇÕES!N719&gt;TODAY()),NEGOCIAÇÕES!C719,"")</f>
        <v/>
      </c>
      <c r="C719" s="6" t="str">
        <f ca="1">IF(AND(NEGOCIAÇÕES!O719="",NEGOCIAÇÕES!N719&gt;TODAY()),NEGOCIAÇÕES!E719,"")</f>
        <v/>
      </c>
      <c r="D719" s="6" t="str">
        <f ca="1">IF(AND(NEGOCIAÇÕES!O719="",NEGOCIAÇÕES!N719&gt;TODAY()),NEGOCIAÇÕES!D719,"")</f>
        <v/>
      </c>
      <c r="E719" s="9" t="str">
        <f>IF(AND(NEGOCIAÇÕES!B719&lt;&gt;"",NEGOCIAÇÕES!O719=""),NEGOCIAÇÕES!N719,"")</f>
        <v/>
      </c>
    </row>
    <row r="720" spans="2:5" ht="31.95" hidden="1" customHeight="1" x14ac:dyDescent="0.3">
      <c r="B720" s="6" t="str">
        <f ca="1">IF(AND(NEGOCIAÇÕES!O720="",NEGOCIAÇÕES!N720&gt;TODAY()),NEGOCIAÇÕES!C720,"")</f>
        <v/>
      </c>
      <c r="C720" s="6" t="str">
        <f ca="1">IF(AND(NEGOCIAÇÕES!O720="",NEGOCIAÇÕES!N720&gt;TODAY()),NEGOCIAÇÕES!E720,"")</f>
        <v/>
      </c>
      <c r="D720" s="6" t="str">
        <f ca="1">IF(AND(NEGOCIAÇÕES!O720="",NEGOCIAÇÕES!N720&gt;TODAY()),NEGOCIAÇÕES!D720,"")</f>
        <v/>
      </c>
      <c r="E720" s="9" t="str">
        <f>IF(AND(NEGOCIAÇÕES!B720&lt;&gt;"",NEGOCIAÇÕES!O720=""),NEGOCIAÇÕES!N720,"")</f>
        <v/>
      </c>
    </row>
    <row r="721" spans="2:5" ht="31.95" hidden="1" customHeight="1" x14ac:dyDescent="0.3">
      <c r="B721" s="6" t="str">
        <f ca="1">IF(AND(NEGOCIAÇÕES!O721="",NEGOCIAÇÕES!N721&gt;TODAY()),NEGOCIAÇÕES!C721,"")</f>
        <v/>
      </c>
      <c r="C721" s="6" t="str">
        <f ca="1">IF(AND(NEGOCIAÇÕES!O721="",NEGOCIAÇÕES!N721&gt;TODAY()),NEGOCIAÇÕES!E721,"")</f>
        <v/>
      </c>
      <c r="D721" s="6" t="str">
        <f ca="1">IF(AND(NEGOCIAÇÕES!O721="",NEGOCIAÇÕES!N721&gt;TODAY()),NEGOCIAÇÕES!D721,"")</f>
        <v/>
      </c>
      <c r="E721" s="9" t="str">
        <f>IF(AND(NEGOCIAÇÕES!B721&lt;&gt;"",NEGOCIAÇÕES!O721=""),NEGOCIAÇÕES!N721,"")</f>
        <v/>
      </c>
    </row>
    <row r="722" spans="2:5" ht="31.95" hidden="1" customHeight="1" x14ac:dyDescent="0.3">
      <c r="B722" s="6" t="str">
        <f ca="1">IF(AND(NEGOCIAÇÕES!O722="",NEGOCIAÇÕES!N722&gt;TODAY()),NEGOCIAÇÕES!C722,"")</f>
        <v/>
      </c>
      <c r="C722" s="6" t="str">
        <f ca="1">IF(AND(NEGOCIAÇÕES!O722="",NEGOCIAÇÕES!N722&gt;TODAY()),NEGOCIAÇÕES!E722,"")</f>
        <v/>
      </c>
      <c r="D722" s="6" t="str">
        <f ca="1">IF(AND(NEGOCIAÇÕES!O722="",NEGOCIAÇÕES!N722&gt;TODAY()),NEGOCIAÇÕES!D722,"")</f>
        <v/>
      </c>
      <c r="E722" s="9" t="str">
        <f>IF(AND(NEGOCIAÇÕES!B722&lt;&gt;"",NEGOCIAÇÕES!O722=""),NEGOCIAÇÕES!N722,"")</f>
        <v/>
      </c>
    </row>
    <row r="723" spans="2:5" ht="31.95" hidden="1" customHeight="1" x14ac:dyDescent="0.3">
      <c r="B723" s="6" t="str">
        <f ca="1">IF(AND(NEGOCIAÇÕES!O723="",NEGOCIAÇÕES!N723&gt;TODAY()),NEGOCIAÇÕES!C723,"")</f>
        <v/>
      </c>
      <c r="C723" s="6" t="str">
        <f ca="1">IF(AND(NEGOCIAÇÕES!O723="",NEGOCIAÇÕES!N723&gt;TODAY()),NEGOCIAÇÕES!E723,"")</f>
        <v/>
      </c>
      <c r="D723" s="6" t="str">
        <f ca="1">IF(AND(NEGOCIAÇÕES!O723="",NEGOCIAÇÕES!N723&gt;TODAY()),NEGOCIAÇÕES!D723,"")</f>
        <v/>
      </c>
      <c r="E723" s="9" t="str">
        <f>IF(AND(NEGOCIAÇÕES!B723&lt;&gt;"",NEGOCIAÇÕES!O723=""),NEGOCIAÇÕES!N723,"")</f>
        <v/>
      </c>
    </row>
    <row r="724" spans="2:5" ht="31.95" hidden="1" customHeight="1" x14ac:dyDescent="0.3">
      <c r="B724" s="6" t="str">
        <f ca="1">IF(AND(NEGOCIAÇÕES!O724="",NEGOCIAÇÕES!N724&gt;TODAY()),NEGOCIAÇÕES!C724,"")</f>
        <v/>
      </c>
      <c r="C724" s="6" t="str">
        <f ca="1">IF(AND(NEGOCIAÇÕES!O724="",NEGOCIAÇÕES!N724&gt;TODAY()),NEGOCIAÇÕES!E724,"")</f>
        <v/>
      </c>
      <c r="D724" s="6" t="str">
        <f ca="1">IF(AND(NEGOCIAÇÕES!O724="",NEGOCIAÇÕES!N724&gt;TODAY()),NEGOCIAÇÕES!D724,"")</f>
        <v/>
      </c>
      <c r="E724" s="9" t="str">
        <f>IF(AND(NEGOCIAÇÕES!B724&lt;&gt;"",NEGOCIAÇÕES!O724=""),NEGOCIAÇÕES!N724,"")</f>
        <v/>
      </c>
    </row>
    <row r="725" spans="2:5" ht="31.95" hidden="1" customHeight="1" x14ac:dyDescent="0.3">
      <c r="B725" s="6" t="str">
        <f ca="1">IF(AND(NEGOCIAÇÕES!O725="",NEGOCIAÇÕES!N725&gt;TODAY()),NEGOCIAÇÕES!C725,"")</f>
        <v/>
      </c>
      <c r="C725" s="6" t="str">
        <f ca="1">IF(AND(NEGOCIAÇÕES!O725="",NEGOCIAÇÕES!N725&gt;TODAY()),NEGOCIAÇÕES!E725,"")</f>
        <v/>
      </c>
      <c r="D725" s="6" t="str">
        <f ca="1">IF(AND(NEGOCIAÇÕES!O725="",NEGOCIAÇÕES!N725&gt;TODAY()),NEGOCIAÇÕES!D725,"")</f>
        <v/>
      </c>
      <c r="E725" s="9" t="str">
        <f>IF(AND(NEGOCIAÇÕES!B725&lt;&gt;"",NEGOCIAÇÕES!O725=""),NEGOCIAÇÕES!N725,"")</f>
        <v/>
      </c>
    </row>
    <row r="726" spans="2:5" ht="31.95" hidden="1" customHeight="1" x14ac:dyDescent="0.3">
      <c r="B726" s="6" t="str">
        <f ca="1">IF(AND(NEGOCIAÇÕES!O726="",NEGOCIAÇÕES!N726&gt;TODAY()),NEGOCIAÇÕES!C726,"")</f>
        <v/>
      </c>
      <c r="C726" s="6" t="str">
        <f ca="1">IF(AND(NEGOCIAÇÕES!O726="",NEGOCIAÇÕES!N726&gt;TODAY()),NEGOCIAÇÕES!E726,"")</f>
        <v/>
      </c>
      <c r="D726" s="6" t="str">
        <f ca="1">IF(AND(NEGOCIAÇÕES!O726="",NEGOCIAÇÕES!N726&gt;TODAY()),NEGOCIAÇÕES!D726,"")</f>
        <v/>
      </c>
      <c r="E726" s="9" t="str">
        <f>IF(AND(NEGOCIAÇÕES!B726&lt;&gt;"",NEGOCIAÇÕES!O726=""),NEGOCIAÇÕES!N726,"")</f>
        <v/>
      </c>
    </row>
    <row r="727" spans="2:5" ht="31.95" hidden="1" customHeight="1" x14ac:dyDescent="0.3">
      <c r="B727" s="6" t="str">
        <f ca="1">IF(AND(NEGOCIAÇÕES!O727="",NEGOCIAÇÕES!N727&gt;TODAY()),NEGOCIAÇÕES!C727,"")</f>
        <v/>
      </c>
      <c r="C727" s="6" t="str">
        <f ca="1">IF(AND(NEGOCIAÇÕES!O727="",NEGOCIAÇÕES!N727&gt;TODAY()),NEGOCIAÇÕES!E727,"")</f>
        <v/>
      </c>
      <c r="D727" s="6" t="str">
        <f ca="1">IF(AND(NEGOCIAÇÕES!O727="",NEGOCIAÇÕES!N727&gt;TODAY()),NEGOCIAÇÕES!D727,"")</f>
        <v/>
      </c>
      <c r="E727" s="9" t="str">
        <f>IF(AND(NEGOCIAÇÕES!B727&lt;&gt;"",NEGOCIAÇÕES!O727=""),NEGOCIAÇÕES!N727,"")</f>
        <v/>
      </c>
    </row>
    <row r="728" spans="2:5" ht="31.95" hidden="1" customHeight="1" x14ac:dyDescent="0.3">
      <c r="B728" s="6" t="str">
        <f ca="1">IF(AND(NEGOCIAÇÕES!O728="",NEGOCIAÇÕES!N728&gt;TODAY()),NEGOCIAÇÕES!C728,"")</f>
        <v/>
      </c>
      <c r="C728" s="6" t="str">
        <f ca="1">IF(AND(NEGOCIAÇÕES!O728="",NEGOCIAÇÕES!N728&gt;TODAY()),NEGOCIAÇÕES!E728,"")</f>
        <v/>
      </c>
      <c r="D728" s="6" t="str">
        <f ca="1">IF(AND(NEGOCIAÇÕES!O728="",NEGOCIAÇÕES!N728&gt;TODAY()),NEGOCIAÇÕES!D728,"")</f>
        <v/>
      </c>
      <c r="E728" s="9" t="str">
        <f>IF(AND(NEGOCIAÇÕES!B728&lt;&gt;"",NEGOCIAÇÕES!O728=""),NEGOCIAÇÕES!N728,"")</f>
        <v/>
      </c>
    </row>
    <row r="729" spans="2:5" ht="31.95" hidden="1" customHeight="1" x14ac:dyDescent="0.3">
      <c r="B729" s="6" t="str">
        <f ca="1">IF(AND(NEGOCIAÇÕES!O729="",NEGOCIAÇÕES!N729&gt;TODAY()),NEGOCIAÇÕES!C729,"")</f>
        <v/>
      </c>
      <c r="C729" s="6" t="str">
        <f ca="1">IF(AND(NEGOCIAÇÕES!O729="",NEGOCIAÇÕES!N729&gt;TODAY()),NEGOCIAÇÕES!E729,"")</f>
        <v/>
      </c>
      <c r="D729" s="6" t="str">
        <f ca="1">IF(AND(NEGOCIAÇÕES!O729="",NEGOCIAÇÕES!N729&gt;TODAY()),NEGOCIAÇÕES!D729,"")</f>
        <v/>
      </c>
      <c r="E729" s="9" t="str">
        <f>IF(AND(NEGOCIAÇÕES!B729&lt;&gt;"",NEGOCIAÇÕES!O729=""),NEGOCIAÇÕES!N729,"")</f>
        <v/>
      </c>
    </row>
    <row r="730" spans="2:5" ht="31.95" hidden="1" customHeight="1" x14ac:dyDescent="0.3">
      <c r="B730" s="6" t="str">
        <f ca="1">IF(AND(NEGOCIAÇÕES!O730="",NEGOCIAÇÕES!N730&gt;TODAY()),NEGOCIAÇÕES!C730,"")</f>
        <v/>
      </c>
      <c r="C730" s="6" t="str">
        <f ca="1">IF(AND(NEGOCIAÇÕES!O730="",NEGOCIAÇÕES!N730&gt;TODAY()),NEGOCIAÇÕES!E730,"")</f>
        <v/>
      </c>
      <c r="D730" s="6" t="str">
        <f ca="1">IF(AND(NEGOCIAÇÕES!O730="",NEGOCIAÇÕES!N730&gt;TODAY()),NEGOCIAÇÕES!D730,"")</f>
        <v/>
      </c>
      <c r="E730" s="9" t="str">
        <f>IF(AND(NEGOCIAÇÕES!B730&lt;&gt;"",NEGOCIAÇÕES!O730=""),NEGOCIAÇÕES!N730,"")</f>
        <v/>
      </c>
    </row>
    <row r="731" spans="2:5" ht="31.95" hidden="1" customHeight="1" x14ac:dyDescent="0.3">
      <c r="B731" s="6" t="str">
        <f ca="1">IF(AND(NEGOCIAÇÕES!O731="",NEGOCIAÇÕES!N731&gt;TODAY()),NEGOCIAÇÕES!C731,"")</f>
        <v/>
      </c>
      <c r="C731" s="6" t="str">
        <f ca="1">IF(AND(NEGOCIAÇÕES!O731="",NEGOCIAÇÕES!N731&gt;TODAY()),NEGOCIAÇÕES!E731,"")</f>
        <v/>
      </c>
      <c r="D731" s="6" t="str">
        <f ca="1">IF(AND(NEGOCIAÇÕES!O731="",NEGOCIAÇÕES!N731&gt;TODAY()),NEGOCIAÇÕES!D731,"")</f>
        <v/>
      </c>
      <c r="E731" s="9" t="str">
        <f>IF(AND(NEGOCIAÇÕES!B731&lt;&gt;"",NEGOCIAÇÕES!O731=""),NEGOCIAÇÕES!N731,"")</f>
        <v/>
      </c>
    </row>
    <row r="732" spans="2:5" ht="31.95" hidden="1" customHeight="1" x14ac:dyDescent="0.3">
      <c r="B732" s="6" t="str">
        <f ca="1">IF(AND(NEGOCIAÇÕES!O732="",NEGOCIAÇÕES!N732&gt;TODAY()),NEGOCIAÇÕES!C732,"")</f>
        <v/>
      </c>
      <c r="C732" s="6" t="str">
        <f ca="1">IF(AND(NEGOCIAÇÕES!O732="",NEGOCIAÇÕES!N732&gt;TODAY()),NEGOCIAÇÕES!E732,"")</f>
        <v/>
      </c>
      <c r="D732" s="6" t="str">
        <f ca="1">IF(AND(NEGOCIAÇÕES!O732="",NEGOCIAÇÕES!N732&gt;TODAY()),NEGOCIAÇÕES!D732,"")</f>
        <v/>
      </c>
      <c r="E732" s="9" t="str">
        <f>IF(AND(NEGOCIAÇÕES!B732&lt;&gt;"",NEGOCIAÇÕES!O732=""),NEGOCIAÇÕES!N732,"")</f>
        <v/>
      </c>
    </row>
    <row r="733" spans="2:5" ht="31.95" hidden="1" customHeight="1" x14ac:dyDescent="0.3">
      <c r="B733" s="6" t="str">
        <f ca="1">IF(AND(NEGOCIAÇÕES!O733="",NEGOCIAÇÕES!N733&gt;TODAY()),NEGOCIAÇÕES!C733,"")</f>
        <v/>
      </c>
      <c r="C733" s="6" t="str">
        <f ca="1">IF(AND(NEGOCIAÇÕES!O733="",NEGOCIAÇÕES!N733&gt;TODAY()),NEGOCIAÇÕES!E733,"")</f>
        <v/>
      </c>
      <c r="D733" s="6" t="str">
        <f ca="1">IF(AND(NEGOCIAÇÕES!O733="",NEGOCIAÇÕES!N733&gt;TODAY()),NEGOCIAÇÕES!D733,"")</f>
        <v/>
      </c>
      <c r="E733" s="9" t="str">
        <f>IF(AND(NEGOCIAÇÕES!B733&lt;&gt;"",NEGOCIAÇÕES!O733=""),NEGOCIAÇÕES!N733,"")</f>
        <v/>
      </c>
    </row>
    <row r="734" spans="2:5" ht="31.95" hidden="1" customHeight="1" x14ac:dyDescent="0.3">
      <c r="B734" s="6" t="str">
        <f ca="1">IF(AND(NEGOCIAÇÕES!O734="",NEGOCIAÇÕES!N734&gt;TODAY()),NEGOCIAÇÕES!C734,"")</f>
        <v/>
      </c>
      <c r="C734" s="6" t="str">
        <f ca="1">IF(AND(NEGOCIAÇÕES!O734="",NEGOCIAÇÕES!N734&gt;TODAY()),NEGOCIAÇÕES!E734,"")</f>
        <v/>
      </c>
      <c r="D734" s="6" t="str">
        <f ca="1">IF(AND(NEGOCIAÇÕES!O734="",NEGOCIAÇÕES!N734&gt;TODAY()),NEGOCIAÇÕES!D734,"")</f>
        <v/>
      </c>
      <c r="E734" s="9" t="str">
        <f>IF(AND(NEGOCIAÇÕES!B734&lt;&gt;"",NEGOCIAÇÕES!O734=""),NEGOCIAÇÕES!N734,"")</f>
        <v/>
      </c>
    </row>
    <row r="735" spans="2:5" ht="31.95" hidden="1" customHeight="1" x14ac:dyDescent="0.3">
      <c r="B735" s="6" t="str">
        <f ca="1">IF(AND(NEGOCIAÇÕES!O735="",NEGOCIAÇÕES!N735&gt;TODAY()),NEGOCIAÇÕES!C735,"")</f>
        <v/>
      </c>
      <c r="C735" s="6" t="str">
        <f ca="1">IF(AND(NEGOCIAÇÕES!O735="",NEGOCIAÇÕES!N735&gt;TODAY()),NEGOCIAÇÕES!E735,"")</f>
        <v/>
      </c>
      <c r="D735" s="6" t="str">
        <f ca="1">IF(AND(NEGOCIAÇÕES!O735="",NEGOCIAÇÕES!N735&gt;TODAY()),NEGOCIAÇÕES!D735,"")</f>
        <v/>
      </c>
      <c r="E735" s="9" t="str">
        <f>IF(AND(NEGOCIAÇÕES!B735&lt;&gt;"",NEGOCIAÇÕES!O735=""),NEGOCIAÇÕES!N735,"")</f>
        <v/>
      </c>
    </row>
    <row r="736" spans="2:5" ht="31.95" hidden="1" customHeight="1" x14ac:dyDescent="0.3">
      <c r="B736" s="6" t="str">
        <f ca="1">IF(AND(NEGOCIAÇÕES!O736="",NEGOCIAÇÕES!N736&gt;TODAY()),NEGOCIAÇÕES!C736,"")</f>
        <v/>
      </c>
      <c r="C736" s="6" t="str">
        <f ca="1">IF(AND(NEGOCIAÇÕES!O736="",NEGOCIAÇÕES!N736&gt;TODAY()),NEGOCIAÇÕES!E736,"")</f>
        <v/>
      </c>
      <c r="D736" s="6" t="str">
        <f ca="1">IF(AND(NEGOCIAÇÕES!O736="",NEGOCIAÇÕES!N736&gt;TODAY()),NEGOCIAÇÕES!D736,"")</f>
        <v/>
      </c>
      <c r="E736" s="9" t="str">
        <f>IF(AND(NEGOCIAÇÕES!B736&lt;&gt;"",NEGOCIAÇÕES!O736=""),NEGOCIAÇÕES!N736,"")</f>
        <v/>
      </c>
    </row>
    <row r="737" spans="2:5" ht="31.95" hidden="1" customHeight="1" x14ac:dyDescent="0.3">
      <c r="B737" s="6" t="str">
        <f ca="1">IF(AND(NEGOCIAÇÕES!O737="",NEGOCIAÇÕES!N737&gt;TODAY()),NEGOCIAÇÕES!C737,"")</f>
        <v/>
      </c>
      <c r="C737" s="6" t="str">
        <f ca="1">IF(AND(NEGOCIAÇÕES!O737="",NEGOCIAÇÕES!N737&gt;TODAY()),NEGOCIAÇÕES!E737,"")</f>
        <v/>
      </c>
      <c r="D737" s="6" t="str">
        <f ca="1">IF(AND(NEGOCIAÇÕES!O737="",NEGOCIAÇÕES!N737&gt;TODAY()),NEGOCIAÇÕES!D737,"")</f>
        <v/>
      </c>
      <c r="E737" s="9" t="str">
        <f>IF(AND(NEGOCIAÇÕES!B737&lt;&gt;"",NEGOCIAÇÕES!O737=""),NEGOCIAÇÕES!N737,"")</f>
        <v/>
      </c>
    </row>
    <row r="738" spans="2:5" ht="31.95" hidden="1" customHeight="1" x14ac:dyDescent="0.3">
      <c r="B738" s="6" t="str">
        <f ca="1">IF(AND(NEGOCIAÇÕES!O738="",NEGOCIAÇÕES!N738&gt;TODAY()),NEGOCIAÇÕES!C738,"")</f>
        <v/>
      </c>
      <c r="C738" s="6" t="str">
        <f ca="1">IF(AND(NEGOCIAÇÕES!O738="",NEGOCIAÇÕES!N738&gt;TODAY()),NEGOCIAÇÕES!E738,"")</f>
        <v/>
      </c>
      <c r="D738" s="6" t="str">
        <f ca="1">IF(AND(NEGOCIAÇÕES!O738="",NEGOCIAÇÕES!N738&gt;TODAY()),NEGOCIAÇÕES!D738,"")</f>
        <v/>
      </c>
      <c r="E738" s="9" t="str">
        <f>IF(AND(NEGOCIAÇÕES!B738&lt;&gt;"",NEGOCIAÇÕES!O738=""),NEGOCIAÇÕES!N738,"")</f>
        <v/>
      </c>
    </row>
    <row r="739" spans="2:5" ht="31.95" hidden="1" customHeight="1" x14ac:dyDescent="0.3">
      <c r="B739" s="6" t="str">
        <f ca="1">IF(AND(NEGOCIAÇÕES!O739="",NEGOCIAÇÕES!N739&gt;TODAY()),NEGOCIAÇÕES!C739,"")</f>
        <v/>
      </c>
      <c r="C739" s="6" t="str">
        <f ca="1">IF(AND(NEGOCIAÇÕES!O739="",NEGOCIAÇÕES!N739&gt;TODAY()),NEGOCIAÇÕES!E739,"")</f>
        <v/>
      </c>
      <c r="D739" s="6" t="str">
        <f ca="1">IF(AND(NEGOCIAÇÕES!O739="",NEGOCIAÇÕES!N739&gt;TODAY()),NEGOCIAÇÕES!D739,"")</f>
        <v/>
      </c>
      <c r="E739" s="9" t="str">
        <f>IF(AND(NEGOCIAÇÕES!B739&lt;&gt;"",NEGOCIAÇÕES!O739=""),NEGOCIAÇÕES!N739,"")</f>
        <v/>
      </c>
    </row>
    <row r="740" spans="2:5" ht="31.95" hidden="1" customHeight="1" x14ac:dyDescent="0.3">
      <c r="B740" s="6" t="str">
        <f ca="1">IF(AND(NEGOCIAÇÕES!O740="",NEGOCIAÇÕES!N740&gt;TODAY()),NEGOCIAÇÕES!C740,"")</f>
        <v/>
      </c>
      <c r="C740" s="6" t="str">
        <f ca="1">IF(AND(NEGOCIAÇÕES!O740="",NEGOCIAÇÕES!N740&gt;TODAY()),NEGOCIAÇÕES!E740,"")</f>
        <v/>
      </c>
      <c r="D740" s="6" t="str">
        <f ca="1">IF(AND(NEGOCIAÇÕES!O740="",NEGOCIAÇÕES!N740&gt;TODAY()),NEGOCIAÇÕES!D740,"")</f>
        <v/>
      </c>
      <c r="E740" s="9" t="str">
        <f>IF(AND(NEGOCIAÇÕES!B740&lt;&gt;"",NEGOCIAÇÕES!O740=""),NEGOCIAÇÕES!N740,"")</f>
        <v/>
      </c>
    </row>
    <row r="741" spans="2:5" ht="31.95" hidden="1" customHeight="1" x14ac:dyDescent="0.3">
      <c r="B741" s="6" t="str">
        <f ca="1">IF(AND(NEGOCIAÇÕES!O741="",NEGOCIAÇÕES!N741&gt;TODAY()),NEGOCIAÇÕES!C741,"")</f>
        <v/>
      </c>
      <c r="C741" s="6" t="str">
        <f ca="1">IF(AND(NEGOCIAÇÕES!O741="",NEGOCIAÇÕES!N741&gt;TODAY()),NEGOCIAÇÕES!E741,"")</f>
        <v/>
      </c>
      <c r="D741" s="6" t="str">
        <f ca="1">IF(AND(NEGOCIAÇÕES!O741="",NEGOCIAÇÕES!N741&gt;TODAY()),NEGOCIAÇÕES!D741,"")</f>
        <v/>
      </c>
      <c r="E741" s="9" t="str">
        <f>IF(AND(NEGOCIAÇÕES!B741&lt;&gt;"",NEGOCIAÇÕES!O741=""),NEGOCIAÇÕES!N741,"")</f>
        <v/>
      </c>
    </row>
    <row r="742" spans="2:5" ht="31.95" hidden="1" customHeight="1" x14ac:dyDescent="0.3">
      <c r="B742" s="6" t="str">
        <f ca="1">IF(AND(NEGOCIAÇÕES!O742="",NEGOCIAÇÕES!N742&gt;TODAY()),NEGOCIAÇÕES!C742,"")</f>
        <v/>
      </c>
      <c r="C742" s="6" t="str">
        <f ca="1">IF(AND(NEGOCIAÇÕES!O742="",NEGOCIAÇÕES!N742&gt;TODAY()),NEGOCIAÇÕES!E742,"")</f>
        <v/>
      </c>
      <c r="D742" s="6" t="str">
        <f ca="1">IF(AND(NEGOCIAÇÕES!O742="",NEGOCIAÇÕES!N742&gt;TODAY()),NEGOCIAÇÕES!D742,"")</f>
        <v/>
      </c>
      <c r="E742" s="9" t="str">
        <f>IF(AND(NEGOCIAÇÕES!B742&lt;&gt;"",NEGOCIAÇÕES!O742=""),NEGOCIAÇÕES!N742,"")</f>
        <v/>
      </c>
    </row>
    <row r="743" spans="2:5" ht="31.95" hidden="1" customHeight="1" x14ac:dyDescent="0.3">
      <c r="B743" s="6" t="str">
        <f ca="1">IF(AND(NEGOCIAÇÕES!O743="",NEGOCIAÇÕES!N743&gt;TODAY()),NEGOCIAÇÕES!C743,"")</f>
        <v/>
      </c>
      <c r="C743" s="6" t="str">
        <f ca="1">IF(AND(NEGOCIAÇÕES!O743="",NEGOCIAÇÕES!N743&gt;TODAY()),NEGOCIAÇÕES!E743,"")</f>
        <v/>
      </c>
      <c r="D743" s="6" t="str">
        <f ca="1">IF(AND(NEGOCIAÇÕES!O743="",NEGOCIAÇÕES!N743&gt;TODAY()),NEGOCIAÇÕES!D743,"")</f>
        <v/>
      </c>
      <c r="E743" s="9" t="str">
        <f>IF(AND(NEGOCIAÇÕES!B743&lt;&gt;"",NEGOCIAÇÕES!O743=""),NEGOCIAÇÕES!N743,"")</f>
        <v/>
      </c>
    </row>
    <row r="744" spans="2:5" ht="31.95" hidden="1" customHeight="1" x14ac:dyDescent="0.3">
      <c r="B744" s="6" t="str">
        <f ca="1">IF(AND(NEGOCIAÇÕES!O744="",NEGOCIAÇÕES!N744&gt;TODAY()),NEGOCIAÇÕES!C744,"")</f>
        <v/>
      </c>
      <c r="C744" s="6" t="str">
        <f ca="1">IF(AND(NEGOCIAÇÕES!O744="",NEGOCIAÇÕES!N744&gt;TODAY()),NEGOCIAÇÕES!E744,"")</f>
        <v/>
      </c>
      <c r="D744" s="6" t="str">
        <f ca="1">IF(AND(NEGOCIAÇÕES!O744="",NEGOCIAÇÕES!N744&gt;TODAY()),NEGOCIAÇÕES!D744,"")</f>
        <v/>
      </c>
      <c r="E744" s="9" t="str">
        <f>IF(AND(NEGOCIAÇÕES!B744&lt;&gt;"",NEGOCIAÇÕES!O744=""),NEGOCIAÇÕES!N744,"")</f>
        <v/>
      </c>
    </row>
    <row r="745" spans="2:5" ht="31.95" hidden="1" customHeight="1" x14ac:dyDescent="0.3">
      <c r="B745" s="6" t="str">
        <f ca="1">IF(AND(NEGOCIAÇÕES!O745="",NEGOCIAÇÕES!N745&gt;TODAY()),NEGOCIAÇÕES!C745,"")</f>
        <v/>
      </c>
      <c r="C745" s="6" t="str">
        <f ca="1">IF(AND(NEGOCIAÇÕES!O745="",NEGOCIAÇÕES!N745&gt;TODAY()),NEGOCIAÇÕES!E745,"")</f>
        <v/>
      </c>
      <c r="D745" s="6" t="str">
        <f ca="1">IF(AND(NEGOCIAÇÕES!O745="",NEGOCIAÇÕES!N745&gt;TODAY()),NEGOCIAÇÕES!D745,"")</f>
        <v/>
      </c>
      <c r="E745" s="9" t="str">
        <f>IF(AND(NEGOCIAÇÕES!B745&lt;&gt;"",NEGOCIAÇÕES!O745=""),NEGOCIAÇÕES!N745,"")</f>
        <v/>
      </c>
    </row>
    <row r="746" spans="2:5" ht="31.95" hidden="1" customHeight="1" x14ac:dyDescent="0.3">
      <c r="B746" s="6" t="str">
        <f ca="1">IF(AND(NEGOCIAÇÕES!O746="",NEGOCIAÇÕES!N746&gt;TODAY()),NEGOCIAÇÕES!C746,"")</f>
        <v/>
      </c>
      <c r="C746" s="6" t="str">
        <f ca="1">IF(AND(NEGOCIAÇÕES!O746="",NEGOCIAÇÕES!N746&gt;TODAY()),NEGOCIAÇÕES!E746,"")</f>
        <v/>
      </c>
      <c r="D746" s="6" t="str">
        <f ca="1">IF(AND(NEGOCIAÇÕES!O746="",NEGOCIAÇÕES!N746&gt;TODAY()),NEGOCIAÇÕES!D746,"")</f>
        <v/>
      </c>
      <c r="E746" s="9" t="str">
        <f>IF(AND(NEGOCIAÇÕES!B746&lt;&gt;"",NEGOCIAÇÕES!O746=""),NEGOCIAÇÕES!N746,"")</f>
        <v/>
      </c>
    </row>
    <row r="747" spans="2:5" ht="31.95" hidden="1" customHeight="1" x14ac:dyDescent="0.3">
      <c r="B747" s="6" t="str">
        <f ca="1">IF(AND(NEGOCIAÇÕES!O747="",NEGOCIAÇÕES!N747&gt;TODAY()),NEGOCIAÇÕES!C747,"")</f>
        <v/>
      </c>
      <c r="C747" s="6" t="str">
        <f ca="1">IF(AND(NEGOCIAÇÕES!O747="",NEGOCIAÇÕES!N747&gt;TODAY()),NEGOCIAÇÕES!E747,"")</f>
        <v/>
      </c>
      <c r="D747" s="6" t="str">
        <f ca="1">IF(AND(NEGOCIAÇÕES!O747="",NEGOCIAÇÕES!N747&gt;TODAY()),NEGOCIAÇÕES!D747,"")</f>
        <v/>
      </c>
      <c r="E747" s="9" t="str">
        <f>IF(AND(NEGOCIAÇÕES!B747&lt;&gt;"",NEGOCIAÇÕES!O747=""),NEGOCIAÇÕES!N747,"")</f>
        <v/>
      </c>
    </row>
    <row r="748" spans="2:5" ht="31.95" hidden="1" customHeight="1" x14ac:dyDescent="0.3">
      <c r="B748" s="6" t="str">
        <f ca="1">IF(AND(NEGOCIAÇÕES!O748="",NEGOCIAÇÕES!N748&gt;TODAY()),NEGOCIAÇÕES!C748,"")</f>
        <v/>
      </c>
      <c r="C748" s="6" t="str">
        <f ca="1">IF(AND(NEGOCIAÇÕES!O748="",NEGOCIAÇÕES!N748&gt;TODAY()),NEGOCIAÇÕES!E748,"")</f>
        <v/>
      </c>
      <c r="D748" s="6" t="str">
        <f ca="1">IF(AND(NEGOCIAÇÕES!O748="",NEGOCIAÇÕES!N748&gt;TODAY()),NEGOCIAÇÕES!D748,"")</f>
        <v/>
      </c>
      <c r="E748" s="9" t="str">
        <f>IF(AND(NEGOCIAÇÕES!B748&lt;&gt;"",NEGOCIAÇÕES!O748=""),NEGOCIAÇÕES!N748,"")</f>
        <v/>
      </c>
    </row>
    <row r="749" spans="2:5" ht="31.95" hidden="1" customHeight="1" x14ac:dyDescent="0.3">
      <c r="B749" s="6" t="str">
        <f ca="1">IF(AND(NEGOCIAÇÕES!O749="",NEGOCIAÇÕES!N749&gt;TODAY()),NEGOCIAÇÕES!C749,"")</f>
        <v/>
      </c>
      <c r="C749" s="6" t="str">
        <f ca="1">IF(AND(NEGOCIAÇÕES!O749="",NEGOCIAÇÕES!N749&gt;TODAY()),NEGOCIAÇÕES!E749,"")</f>
        <v/>
      </c>
      <c r="D749" s="6" t="str">
        <f ca="1">IF(AND(NEGOCIAÇÕES!O749="",NEGOCIAÇÕES!N749&gt;TODAY()),NEGOCIAÇÕES!D749,"")</f>
        <v/>
      </c>
      <c r="E749" s="9" t="str">
        <f>IF(AND(NEGOCIAÇÕES!B749&lt;&gt;"",NEGOCIAÇÕES!O749=""),NEGOCIAÇÕES!N749,"")</f>
        <v/>
      </c>
    </row>
    <row r="750" spans="2:5" ht="31.95" hidden="1" customHeight="1" x14ac:dyDescent="0.3">
      <c r="B750" s="6" t="str">
        <f ca="1">IF(AND(NEGOCIAÇÕES!O750="",NEGOCIAÇÕES!N750&gt;TODAY()),NEGOCIAÇÕES!C750,"")</f>
        <v/>
      </c>
      <c r="C750" s="6" t="str">
        <f ca="1">IF(AND(NEGOCIAÇÕES!O750="",NEGOCIAÇÕES!N750&gt;TODAY()),NEGOCIAÇÕES!E750,"")</f>
        <v/>
      </c>
      <c r="D750" s="6" t="str">
        <f ca="1">IF(AND(NEGOCIAÇÕES!O750="",NEGOCIAÇÕES!N750&gt;TODAY()),NEGOCIAÇÕES!D750,"")</f>
        <v/>
      </c>
      <c r="E750" s="9" t="str">
        <f>IF(AND(NEGOCIAÇÕES!B750&lt;&gt;"",NEGOCIAÇÕES!O750=""),NEGOCIAÇÕES!N750,"")</f>
        <v/>
      </c>
    </row>
    <row r="751" spans="2:5" ht="31.95" hidden="1" customHeight="1" x14ac:dyDescent="0.3">
      <c r="B751" s="6" t="str">
        <f ca="1">IF(AND(NEGOCIAÇÕES!O751="",NEGOCIAÇÕES!N751&gt;TODAY()),NEGOCIAÇÕES!C751,"")</f>
        <v/>
      </c>
      <c r="C751" s="6" t="str">
        <f ca="1">IF(AND(NEGOCIAÇÕES!O751="",NEGOCIAÇÕES!N751&gt;TODAY()),NEGOCIAÇÕES!E751,"")</f>
        <v/>
      </c>
      <c r="D751" s="6" t="str">
        <f ca="1">IF(AND(NEGOCIAÇÕES!O751="",NEGOCIAÇÕES!N751&gt;TODAY()),NEGOCIAÇÕES!D751,"")</f>
        <v/>
      </c>
      <c r="E751" s="9" t="str">
        <f>IF(AND(NEGOCIAÇÕES!B751&lt;&gt;"",NEGOCIAÇÕES!O751=""),NEGOCIAÇÕES!N751,"")</f>
        <v/>
      </c>
    </row>
    <row r="752" spans="2:5" ht="31.95" hidden="1" customHeight="1" x14ac:dyDescent="0.3">
      <c r="B752" s="6" t="str">
        <f ca="1">IF(AND(NEGOCIAÇÕES!O752="",NEGOCIAÇÕES!N752&gt;TODAY()),NEGOCIAÇÕES!C752,"")</f>
        <v/>
      </c>
      <c r="C752" s="6" t="str">
        <f ca="1">IF(AND(NEGOCIAÇÕES!O752="",NEGOCIAÇÕES!N752&gt;TODAY()),NEGOCIAÇÕES!E752,"")</f>
        <v/>
      </c>
      <c r="D752" s="6" t="str">
        <f ca="1">IF(AND(NEGOCIAÇÕES!O752="",NEGOCIAÇÕES!N752&gt;TODAY()),NEGOCIAÇÕES!D752,"")</f>
        <v/>
      </c>
      <c r="E752" s="9" t="str">
        <f>IF(AND(NEGOCIAÇÕES!B752&lt;&gt;"",NEGOCIAÇÕES!O752=""),NEGOCIAÇÕES!N752,"")</f>
        <v/>
      </c>
    </row>
    <row r="753" spans="2:5" ht="31.95" hidden="1" customHeight="1" x14ac:dyDescent="0.3">
      <c r="B753" s="6" t="str">
        <f ca="1">IF(AND(NEGOCIAÇÕES!O753="",NEGOCIAÇÕES!N753&gt;TODAY()),NEGOCIAÇÕES!C753,"")</f>
        <v/>
      </c>
      <c r="C753" s="6" t="str">
        <f ca="1">IF(AND(NEGOCIAÇÕES!O753="",NEGOCIAÇÕES!N753&gt;TODAY()),NEGOCIAÇÕES!E753,"")</f>
        <v/>
      </c>
      <c r="D753" s="6" t="str">
        <f ca="1">IF(AND(NEGOCIAÇÕES!O753="",NEGOCIAÇÕES!N753&gt;TODAY()),NEGOCIAÇÕES!D753,"")</f>
        <v/>
      </c>
      <c r="E753" s="9" t="str">
        <f>IF(AND(NEGOCIAÇÕES!B753&lt;&gt;"",NEGOCIAÇÕES!O753=""),NEGOCIAÇÕES!N753,"")</f>
        <v/>
      </c>
    </row>
    <row r="754" spans="2:5" ht="31.95" hidden="1" customHeight="1" x14ac:dyDescent="0.3">
      <c r="B754" s="6" t="str">
        <f ca="1">IF(AND(NEGOCIAÇÕES!O754="",NEGOCIAÇÕES!N754&gt;TODAY()),NEGOCIAÇÕES!C754,"")</f>
        <v/>
      </c>
      <c r="C754" s="6" t="str">
        <f ca="1">IF(AND(NEGOCIAÇÕES!O754="",NEGOCIAÇÕES!N754&gt;TODAY()),NEGOCIAÇÕES!E754,"")</f>
        <v/>
      </c>
      <c r="D754" s="6" t="str">
        <f ca="1">IF(AND(NEGOCIAÇÕES!O754="",NEGOCIAÇÕES!N754&gt;TODAY()),NEGOCIAÇÕES!D754,"")</f>
        <v/>
      </c>
      <c r="E754" s="9" t="str">
        <f>IF(AND(NEGOCIAÇÕES!B754&lt;&gt;"",NEGOCIAÇÕES!O754=""),NEGOCIAÇÕES!N754,"")</f>
        <v/>
      </c>
    </row>
    <row r="755" spans="2:5" ht="31.95" hidden="1" customHeight="1" x14ac:dyDescent="0.3">
      <c r="B755" s="6" t="str">
        <f ca="1">IF(AND(NEGOCIAÇÕES!O755="",NEGOCIAÇÕES!N755&gt;TODAY()),NEGOCIAÇÕES!C755,"")</f>
        <v/>
      </c>
      <c r="C755" s="6" t="str">
        <f ca="1">IF(AND(NEGOCIAÇÕES!O755="",NEGOCIAÇÕES!N755&gt;TODAY()),NEGOCIAÇÕES!E755,"")</f>
        <v/>
      </c>
      <c r="D755" s="6" t="str">
        <f ca="1">IF(AND(NEGOCIAÇÕES!O755="",NEGOCIAÇÕES!N755&gt;TODAY()),NEGOCIAÇÕES!D755,"")</f>
        <v/>
      </c>
      <c r="E755" s="9" t="str">
        <f>IF(AND(NEGOCIAÇÕES!B755&lt;&gt;"",NEGOCIAÇÕES!O755=""),NEGOCIAÇÕES!N755,"")</f>
        <v/>
      </c>
    </row>
    <row r="756" spans="2:5" ht="31.95" hidden="1" customHeight="1" x14ac:dyDescent="0.3">
      <c r="B756" s="6" t="str">
        <f ca="1">IF(AND(NEGOCIAÇÕES!O756="",NEGOCIAÇÕES!N756&gt;TODAY()),NEGOCIAÇÕES!C756,"")</f>
        <v/>
      </c>
      <c r="C756" s="6" t="str">
        <f ca="1">IF(AND(NEGOCIAÇÕES!O756="",NEGOCIAÇÕES!N756&gt;TODAY()),NEGOCIAÇÕES!E756,"")</f>
        <v/>
      </c>
      <c r="D756" s="6" t="str">
        <f ca="1">IF(AND(NEGOCIAÇÕES!O756="",NEGOCIAÇÕES!N756&gt;TODAY()),NEGOCIAÇÕES!D756,"")</f>
        <v/>
      </c>
      <c r="E756" s="9" t="str">
        <f>IF(AND(NEGOCIAÇÕES!B756&lt;&gt;"",NEGOCIAÇÕES!O756=""),NEGOCIAÇÕES!N756,"")</f>
        <v/>
      </c>
    </row>
    <row r="757" spans="2:5" ht="31.95" hidden="1" customHeight="1" x14ac:dyDescent="0.3">
      <c r="B757" s="6" t="str">
        <f ca="1">IF(AND(NEGOCIAÇÕES!O757="",NEGOCIAÇÕES!N757&gt;TODAY()),NEGOCIAÇÕES!C757,"")</f>
        <v/>
      </c>
      <c r="C757" s="6" t="str">
        <f ca="1">IF(AND(NEGOCIAÇÕES!O757="",NEGOCIAÇÕES!N757&gt;TODAY()),NEGOCIAÇÕES!E757,"")</f>
        <v/>
      </c>
      <c r="D757" s="6" t="str">
        <f ca="1">IF(AND(NEGOCIAÇÕES!O757="",NEGOCIAÇÕES!N757&gt;TODAY()),NEGOCIAÇÕES!D757,"")</f>
        <v/>
      </c>
      <c r="E757" s="9" t="str">
        <f>IF(AND(NEGOCIAÇÕES!B757&lt;&gt;"",NEGOCIAÇÕES!O757=""),NEGOCIAÇÕES!N757,"")</f>
        <v/>
      </c>
    </row>
    <row r="758" spans="2:5" ht="31.95" hidden="1" customHeight="1" x14ac:dyDescent="0.3">
      <c r="B758" s="6" t="str">
        <f ca="1">IF(AND(NEGOCIAÇÕES!O758="",NEGOCIAÇÕES!N758&gt;TODAY()),NEGOCIAÇÕES!C758,"")</f>
        <v/>
      </c>
      <c r="C758" s="6" t="str">
        <f ca="1">IF(AND(NEGOCIAÇÕES!O758="",NEGOCIAÇÕES!N758&gt;TODAY()),NEGOCIAÇÕES!E758,"")</f>
        <v/>
      </c>
      <c r="D758" s="6" t="str">
        <f ca="1">IF(AND(NEGOCIAÇÕES!O758="",NEGOCIAÇÕES!N758&gt;TODAY()),NEGOCIAÇÕES!D758,"")</f>
        <v/>
      </c>
      <c r="E758" s="9" t="str">
        <f>IF(AND(NEGOCIAÇÕES!B758&lt;&gt;"",NEGOCIAÇÕES!O758=""),NEGOCIAÇÕES!N758,"")</f>
        <v/>
      </c>
    </row>
    <row r="759" spans="2:5" ht="31.95" hidden="1" customHeight="1" x14ac:dyDescent="0.3">
      <c r="B759" s="6" t="str">
        <f ca="1">IF(AND(NEGOCIAÇÕES!O759="",NEGOCIAÇÕES!N759&gt;TODAY()),NEGOCIAÇÕES!C759,"")</f>
        <v/>
      </c>
      <c r="C759" s="6" t="str">
        <f ca="1">IF(AND(NEGOCIAÇÕES!O759="",NEGOCIAÇÕES!N759&gt;TODAY()),NEGOCIAÇÕES!E759,"")</f>
        <v/>
      </c>
      <c r="D759" s="6" t="str">
        <f ca="1">IF(AND(NEGOCIAÇÕES!O759="",NEGOCIAÇÕES!N759&gt;TODAY()),NEGOCIAÇÕES!D759,"")</f>
        <v/>
      </c>
      <c r="E759" s="9" t="str">
        <f>IF(AND(NEGOCIAÇÕES!B759&lt;&gt;"",NEGOCIAÇÕES!O759=""),NEGOCIAÇÕES!N759,"")</f>
        <v/>
      </c>
    </row>
    <row r="760" spans="2:5" ht="31.95" hidden="1" customHeight="1" x14ac:dyDescent="0.3">
      <c r="B760" s="6" t="str">
        <f ca="1">IF(AND(NEGOCIAÇÕES!O760="",NEGOCIAÇÕES!N760&gt;TODAY()),NEGOCIAÇÕES!C760,"")</f>
        <v/>
      </c>
      <c r="C760" s="6" t="str">
        <f ca="1">IF(AND(NEGOCIAÇÕES!O760="",NEGOCIAÇÕES!N760&gt;TODAY()),NEGOCIAÇÕES!E760,"")</f>
        <v/>
      </c>
      <c r="D760" s="6" t="str">
        <f ca="1">IF(AND(NEGOCIAÇÕES!O760="",NEGOCIAÇÕES!N760&gt;TODAY()),NEGOCIAÇÕES!D760,"")</f>
        <v/>
      </c>
      <c r="E760" s="9" t="str">
        <f>IF(AND(NEGOCIAÇÕES!B760&lt;&gt;"",NEGOCIAÇÕES!O760=""),NEGOCIAÇÕES!N760,"")</f>
        <v/>
      </c>
    </row>
    <row r="761" spans="2:5" ht="31.95" hidden="1" customHeight="1" x14ac:dyDescent="0.3">
      <c r="B761" s="6" t="str">
        <f ca="1">IF(AND(NEGOCIAÇÕES!O761="",NEGOCIAÇÕES!N761&gt;TODAY()),NEGOCIAÇÕES!C761,"")</f>
        <v/>
      </c>
      <c r="C761" s="6" t="str">
        <f ca="1">IF(AND(NEGOCIAÇÕES!O761="",NEGOCIAÇÕES!N761&gt;TODAY()),NEGOCIAÇÕES!E761,"")</f>
        <v/>
      </c>
      <c r="D761" s="6" t="str">
        <f ca="1">IF(AND(NEGOCIAÇÕES!O761="",NEGOCIAÇÕES!N761&gt;TODAY()),NEGOCIAÇÕES!D761,"")</f>
        <v/>
      </c>
      <c r="E761" s="9" t="str">
        <f>IF(AND(NEGOCIAÇÕES!B761&lt;&gt;"",NEGOCIAÇÕES!O761=""),NEGOCIAÇÕES!N761,"")</f>
        <v/>
      </c>
    </row>
    <row r="762" spans="2:5" ht="31.95" hidden="1" customHeight="1" x14ac:dyDescent="0.3">
      <c r="B762" s="6" t="str">
        <f ca="1">IF(AND(NEGOCIAÇÕES!O762="",NEGOCIAÇÕES!N762&gt;TODAY()),NEGOCIAÇÕES!C762,"")</f>
        <v/>
      </c>
      <c r="C762" s="6" t="str">
        <f ca="1">IF(AND(NEGOCIAÇÕES!O762="",NEGOCIAÇÕES!N762&gt;TODAY()),NEGOCIAÇÕES!E762,"")</f>
        <v/>
      </c>
      <c r="D762" s="6" t="str">
        <f ca="1">IF(AND(NEGOCIAÇÕES!O762="",NEGOCIAÇÕES!N762&gt;TODAY()),NEGOCIAÇÕES!D762,"")</f>
        <v/>
      </c>
      <c r="E762" s="9" t="str">
        <f>IF(AND(NEGOCIAÇÕES!B762&lt;&gt;"",NEGOCIAÇÕES!O762=""),NEGOCIAÇÕES!N762,"")</f>
        <v/>
      </c>
    </row>
    <row r="763" spans="2:5" ht="31.95" hidden="1" customHeight="1" x14ac:dyDescent="0.3">
      <c r="B763" s="6" t="str">
        <f ca="1">IF(AND(NEGOCIAÇÕES!O763="",NEGOCIAÇÕES!N763&gt;TODAY()),NEGOCIAÇÕES!C763,"")</f>
        <v/>
      </c>
      <c r="C763" s="6" t="str">
        <f ca="1">IF(AND(NEGOCIAÇÕES!O763="",NEGOCIAÇÕES!N763&gt;TODAY()),NEGOCIAÇÕES!E763,"")</f>
        <v/>
      </c>
      <c r="D763" s="6" t="str">
        <f ca="1">IF(AND(NEGOCIAÇÕES!O763="",NEGOCIAÇÕES!N763&gt;TODAY()),NEGOCIAÇÕES!D763,"")</f>
        <v/>
      </c>
      <c r="E763" s="9" t="str">
        <f>IF(AND(NEGOCIAÇÕES!B763&lt;&gt;"",NEGOCIAÇÕES!O763=""),NEGOCIAÇÕES!N763,"")</f>
        <v/>
      </c>
    </row>
    <row r="764" spans="2:5" ht="31.95" hidden="1" customHeight="1" x14ac:dyDescent="0.3">
      <c r="B764" s="6" t="str">
        <f ca="1">IF(AND(NEGOCIAÇÕES!O764="",NEGOCIAÇÕES!N764&gt;TODAY()),NEGOCIAÇÕES!C764,"")</f>
        <v/>
      </c>
      <c r="C764" s="6" t="str">
        <f ca="1">IF(AND(NEGOCIAÇÕES!O764="",NEGOCIAÇÕES!N764&gt;TODAY()),NEGOCIAÇÕES!E764,"")</f>
        <v/>
      </c>
      <c r="D764" s="6" t="str">
        <f ca="1">IF(AND(NEGOCIAÇÕES!O764="",NEGOCIAÇÕES!N764&gt;TODAY()),NEGOCIAÇÕES!D764,"")</f>
        <v/>
      </c>
      <c r="E764" s="9" t="str">
        <f>IF(AND(NEGOCIAÇÕES!B764&lt;&gt;"",NEGOCIAÇÕES!O764=""),NEGOCIAÇÕES!N764,"")</f>
        <v/>
      </c>
    </row>
    <row r="765" spans="2:5" ht="31.95" hidden="1" customHeight="1" x14ac:dyDescent="0.3">
      <c r="B765" s="6" t="str">
        <f ca="1">IF(AND(NEGOCIAÇÕES!O765="",NEGOCIAÇÕES!N765&gt;TODAY()),NEGOCIAÇÕES!C765,"")</f>
        <v/>
      </c>
      <c r="C765" s="6" t="str">
        <f ca="1">IF(AND(NEGOCIAÇÕES!O765="",NEGOCIAÇÕES!N765&gt;TODAY()),NEGOCIAÇÕES!E765,"")</f>
        <v/>
      </c>
      <c r="D765" s="6" t="str">
        <f ca="1">IF(AND(NEGOCIAÇÕES!O765="",NEGOCIAÇÕES!N765&gt;TODAY()),NEGOCIAÇÕES!D765,"")</f>
        <v/>
      </c>
      <c r="E765" s="9" t="str">
        <f>IF(AND(NEGOCIAÇÕES!B765&lt;&gt;"",NEGOCIAÇÕES!O765=""),NEGOCIAÇÕES!N765,"")</f>
        <v/>
      </c>
    </row>
    <row r="766" spans="2:5" ht="31.95" hidden="1" customHeight="1" x14ac:dyDescent="0.3">
      <c r="B766" s="6" t="str">
        <f ca="1">IF(AND(NEGOCIAÇÕES!O766="",NEGOCIAÇÕES!N766&gt;TODAY()),NEGOCIAÇÕES!C766,"")</f>
        <v/>
      </c>
      <c r="C766" s="6" t="str">
        <f ca="1">IF(AND(NEGOCIAÇÕES!O766="",NEGOCIAÇÕES!N766&gt;TODAY()),NEGOCIAÇÕES!E766,"")</f>
        <v/>
      </c>
      <c r="D766" s="6" t="str">
        <f ca="1">IF(AND(NEGOCIAÇÕES!O766="",NEGOCIAÇÕES!N766&gt;TODAY()),NEGOCIAÇÕES!D766,"")</f>
        <v/>
      </c>
      <c r="E766" s="9" t="str">
        <f>IF(AND(NEGOCIAÇÕES!B766&lt;&gt;"",NEGOCIAÇÕES!O766=""),NEGOCIAÇÕES!N766,"")</f>
        <v/>
      </c>
    </row>
    <row r="767" spans="2:5" ht="31.95" hidden="1" customHeight="1" x14ac:dyDescent="0.3">
      <c r="B767" s="6" t="str">
        <f ca="1">IF(AND(NEGOCIAÇÕES!O767="",NEGOCIAÇÕES!N767&gt;TODAY()),NEGOCIAÇÕES!C767,"")</f>
        <v/>
      </c>
      <c r="C767" s="6" t="str">
        <f ca="1">IF(AND(NEGOCIAÇÕES!O767="",NEGOCIAÇÕES!N767&gt;TODAY()),NEGOCIAÇÕES!E767,"")</f>
        <v/>
      </c>
      <c r="D767" s="6" t="str">
        <f ca="1">IF(AND(NEGOCIAÇÕES!O767="",NEGOCIAÇÕES!N767&gt;TODAY()),NEGOCIAÇÕES!D767,"")</f>
        <v/>
      </c>
      <c r="E767" s="9" t="str">
        <f>IF(AND(NEGOCIAÇÕES!B767&lt;&gt;"",NEGOCIAÇÕES!O767=""),NEGOCIAÇÕES!N767,"")</f>
        <v/>
      </c>
    </row>
    <row r="768" spans="2:5" ht="31.95" hidden="1" customHeight="1" x14ac:dyDescent="0.3">
      <c r="B768" s="6" t="str">
        <f ca="1">IF(AND(NEGOCIAÇÕES!O768="",NEGOCIAÇÕES!N768&gt;TODAY()),NEGOCIAÇÕES!C768,"")</f>
        <v/>
      </c>
      <c r="C768" s="6" t="str">
        <f ca="1">IF(AND(NEGOCIAÇÕES!O768="",NEGOCIAÇÕES!N768&gt;TODAY()),NEGOCIAÇÕES!E768,"")</f>
        <v/>
      </c>
      <c r="D768" s="6" t="str">
        <f ca="1">IF(AND(NEGOCIAÇÕES!O768="",NEGOCIAÇÕES!N768&gt;TODAY()),NEGOCIAÇÕES!D768,"")</f>
        <v/>
      </c>
      <c r="E768" s="9" t="str">
        <f>IF(AND(NEGOCIAÇÕES!B768&lt;&gt;"",NEGOCIAÇÕES!O768=""),NEGOCIAÇÕES!N768,"")</f>
        <v/>
      </c>
    </row>
    <row r="769" spans="2:5" ht="31.95" hidden="1" customHeight="1" x14ac:dyDescent="0.3">
      <c r="B769" s="6" t="str">
        <f ca="1">IF(AND(NEGOCIAÇÕES!O769="",NEGOCIAÇÕES!N769&gt;TODAY()),NEGOCIAÇÕES!C769,"")</f>
        <v/>
      </c>
      <c r="C769" s="6" t="str">
        <f ca="1">IF(AND(NEGOCIAÇÕES!O769="",NEGOCIAÇÕES!N769&gt;TODAY()),NEGOCIAÇÕES!E769,"")</f>
        <v/>
      </c>
      <c r="D769" s="6" t="str">
        <f ca="1">IF(AND(NEGOCIAÇÕES!O769="",NEGOCIAÇÕES!N769&gt;TODAY()),NEGOCIAÇÕES!D769,"")</f>
        <v/>
      </c>
      <c r="E769" s="9" t="str">
        <f>IF(AND(NEGOCIAÇÕES!B769&lt;&gt;"",NEGOCIAÇÕES!O769=""),NEGOCIAÇÕES!N769,"")</f>
        <v/>
      </c>
    </row>
    <row r="770" spans="2:5" ht="31.95" hidden="1" customHeight="1" x14ac:dyDescent="0.3">
      <c r="B770" s="6" t="str">
        <f ca="1">IF(AND(NEGOCIAÇÕES!O770="",NEGOCIAÇÕES!N770&gt;TODAY()),NEGOCIAÇÕES!C770,"")</f>
        <v/>
      </c>
      <c r="C770" s="6" t="str">
        <f ca="1">IF(AND(NEGOCIAÇÕES!O770="",NEGOCIAÇÕES!N770&gt;TODAY()),NEGOCIAÇÕES!E770,"")</f>
        <v/>
      </c>
      <c r="D770" s="6" t="str">
        <f ca="1">IF(AND(NEGOCIAÇÕES!O770="",NEGOCIAÇÕES!N770&gt;TODAY()),NEGOCIAÇÕES!D770,"")</f>
        <v/>
      </c>
      <c r="E770" s="9" t="str">
        <f>IF(AND(NEGOCIAÇÕES!B770&lt;&gt;"",NEGOCIAÇÕES!O770=""),NEGOCIAÇÕES!N770,"")</f>
        <v/>
      </c>
    </row>
    <row r="771" spans="2:5" ht="31.95" hidden="1" customHeight="1" x14ac:dyDescent="0.3">
      <c r="B771" s="6" t="str">
        <f ca="1">IF(AND(NEGOCIAÇÕES!O771="",NEGOCIAÇÕES!N771&gt;TODAY()),NEGOCIAÇÕES!C771,"")</f>
        <v/>
      </c>
      <c r="C771" s="6" t="str">
        <f ca="1">IF(AND(NEGOCIAÇÕES!O771="",NEGOCIAÇÕES!N771&gt;TODAY()),NEGOCIAÇÕES!E771,"")</f>
        <v/>
      </c>
      <c r="D771" s="6" t="str">
        <f ca="1">IF(AND(NEGOCIAÇÕES!O771="",NEGOCIAÇÕES!N771&gt;TODAY()),NEGOCIAÇÕES!D771,"")</f>
        <v/>
      </c>
      <c r="E771" s="9" t="str">
        <f>IF(AND(NEGOCIAÇÕES!B771&lt;&gt;"",NEGOCIAÇÕES!O771=""),NEGOCIAÇÕES!N771,"")</f>
        <v/>
      </c>
    </row>
    <row r="772" spans="2:5" ht="31.95" hidden="1" customHeight="1" x14ac:dyDescent="0.3">
      <c r="B772" s="6" t="str">
        <f ca="1">IF(AND(NEGOCIAÇÕES!O772="",NEGOCIAÇÕES!N772&gt;TODAY()),NEGOCIAÇÕES!C772,"")</f>
        <v/>
      </c>
      <c r="C772" s="6" t="str">
        <f ca="1">IF(AND(NEGOCIAÇÕES!O772="",NEGOCIAÇÕES!N772&gt;TODAY()),NEGOCIAÇÕES!E772,"")</f>
        <v/>
      </c>
      <c r="D772" s="6" t="str">
        <f ca="1">IF(AND(NEGOCIAÇÕES!O772="",NEGOCIAÇÕES!N772&gt;TODAY()),NEGOCIAÇÕES!D772,"")</f>
        <v/>
      </c>
      <c r="E772" s="9" t="str">
        <f>IF(AND(NEGOCIAÇÕES!B772&lt;&gt;"",NEGOCIAÇÕES!O772=""),NEGOCIAÇÕES!N772,"")</f>
        <v/>
      </c>
    </row>
    <row r="773" spans="2:5" ht="31.95" hidden="1" customHeight="1" x14ac:dyDescent="0.3">
      <c r="B773" s="6" t="str">
        <f ca="1">IF(AND(NEGOCIAÇÕES!O773="",NEGOCIAÇÕES!N773&gt;TODAY()),NEGOCIAÇÕES!C773,"")</f>
        <v/>
      </c>
      <c r="C773" s="6" t="str">
        <f ca="1">IF(AND(NEGOCIAÇÕES!O773="",NEGOCIAÇÕES!N773&gt;TODAY()),NEGOCIAÇÕES!E773,"")</f>
        <v/>
      </c>
      <c r="D773" s="6" t="str">
        <f ca="1">IF(AND(NEGOCIAÇÕES!O773="",NEGOCIAÇÕES!N773&gt;TODAY()),NEGOCIAÇÕES!D773,"")</f>
        <v/>
      </c>
      <c r="E773" s="9" t="str">
        <f>IF(AND(NEGOCIAÇÕES!B773&lt;&gt;"",NEGOCIAÇÕES!O773=""),NEGOCIAÇÕES!N773,"")</f>
        <v/>
      </c>
    </row>
    <row r="774" spans="2:5" ht="31.95" hidden="1" customHeight="1" x14ac:dyDescent="0.3">
      <c r="B774" s="6" t="str">
        <f ca="1">IF(AND(NEGOCIAÇÕES!O774="",NEGOCIAÇÕES!N774&gt;TODAY()),NEGOCIAÇÕES!C774,"")</f>
        <v/>
      </c>
      <c r="C774" s="6" t="str">
        <f ca="1">IF(AND(NEGOCIAÇÕES!O774="",NEGOCIAÇÕES!N774&gt;TODAY()),NEGOCIAÇÕES!E774,"")</f>
        <v/>
      </c>
      <c r="D774" s="6" t="str">
        <f ca="1">IF(AND(NEGOCIAÇÕES!O774="",NEGOCIAÇÕES!N774&gt;TODAY()),NEGOCIAÇÕES!D774,"")</f>
        <v/>
      </c>
      <c r="E774" s="9" t="str">
        <f>IF(AND(NEGOCIAÇÕES!B774&lt;&gt;"",NEGOCIAÇÕES!O774=""),NEGOCIAÇÕES!N774,"")</f>
        <v/>
      </c>
    </row>
    <row r="775" spans="2:5" ht="31.95" hidden="1" customHeight="1" x14ac:dyDescent="0.3">
      <c r="B775" s="6" t="str">
        <f ca="1">IF(AND(NEGOCIAÇÕES!O775="",NEGOCIAÇÕES!N775&gt;TODAY()),NEGOCIAÇÕES!C775,"")</f>
        <v/>
      </c>
      <c r="C775" s="6" t="str">
        <f ca="1">IF(AND(NEGOCIAÇÕES!O775="",NEGOCIAÇÕES!N775&gt;TODAY()),NEGOCIAÇÕES!E775,"")</f>
        <v/>
      </c>
      <c r="D775" s="6" t="str">
        <f ca="1">IF(AND(NEGOCIAÇÕES!O775="",NEGOCIAÇÕES!N775&gt;TODAY()),NEGOCIAÇÕES!D775,"")</f>
        <v/>
      </c>
      <c r="E775" s="9" t="str">
        <f>IF(AND(NEGOCIAÇÕES!B775&lt;&gt;"",NEGOCIAÇÕES!O775=""),NEGOCIAÇÕES!N775,"")</f>
        <v/>
      </c>
    </row>
    <row r="776" spans="2:5" ht="31.95" hidden="1" customHeight="1" x14ac:dyDescent="0.3">
      <c r="B776" s="6" t="str">
        <f ca="1">IF(AND(NEGOCIAÇÕES!O776="",NEGOCIAÇÕES!N776&gt;TODAY()),NEGOCIAÇÕES!C776,"")</f>
        <v/>
      </c>
      <c r="C776" s="6" t="str">
        <f ca="1">IF(AND(NEGOCIAÇÕES!O776="",NEGOCIAÇÕES!N776&gt;TODAY()),NEGOCIAÇÕES!E776,"")</f>
        <v/>
      </c>
      <c r="D776" s="6" t="str">
        <f ca="1">IF(AND(NEGOCIAÇÕES!O776="",NEGOCIAÇÕES!N776&gt;TODAY()),NEGOCIAÇÕES!D776,"")</f>
        <v/>
      </c>
      <c r="E776" s="9" t="str">
        <f>IF(AND(NEGOCIAÇÕES!B776&lt;&gt;"",NEGOCIAÇÕES!O776=""),NEGOCIAÇÕES!N776,"")</f>
        <v/>
      </c>
    </row>
    <row r="777" spans="2:5" ht="31.95" hidden="1" customHeight="1" x14ac:dyDescent="0.3">
      <c r="B777" s="6" t="str">
        <f ca="1">IF(AND(NEGOCIAÇÕES!O777="",NEGOCIAÇÕES!N777&gt;TODAY()),NEGOCIAÇÕES!C777,"")</f>
        <v/>
      </c>
      <c r="C777" s="6" t="str">
        <f ca="1">IF(AND(NEGOCIAÇÕES!O777="",NEGOCIAÇÕES!N777&gt;TODAY()),NEGOCIAÇÕES!E777,"")</f>
        <v/>
      </c>
      <c r="D777" s="6" t="str">
        <f ca="1">IF(AND(NEGOCIAÇÕES!O777="",NEGOCIAÇÕES!N777&gt;TODAY()),NEGOCIAÇÕES!D777,"")</f>
        <v/>
      </c>
      <c r="E777" s="9" t="str">
        <f>IF(AND(NEGOCIAÇÕES!B777&lt;&gt;"",NEGOCIAÇÕES!O777=""),NEGOCIAÇÕES!N777,"")</f>
        <v/>
      </c>
    </row>
    <row r="778" spans="2:5" ht="31.95" hidden="1" customHeight="1" x14ac:dyDescent="0.3">
      <c r="B778" s="6" t="str">
        <f ca="1">IF(AND(NEGOCIAÇÕES!O778="",NEGOCIAÇÕES!N778&gt;TODAY()),NEGOCIAÇÕES!C778,"")</f>
        <v/>
      </c>
      <c r="C778" s="6" t="str">
        <f ca="1">IF(AND(NEGOCIAÇÕES!O778="",NEGOCIAÇÕES!N778&gt;TODAY()),NEGOCIAÇÕES!E778,"")</f>
        <v/>
      </c>
      <c r="D778" s="6" t="str">
        <f ca="1">IF(AND(NEGOCIAÇÕES!O778="",NEGOCIAÇÕES!N778&gt;TODAY()),NEGOCIAÇÕES!D778,"")</f>
        <v/>
      </c>
      <c r="E778" s="9" t="str">
        <f>IF(AND(NEGOCIAÇÕES!B778&lt;&gt;"",NEGOCIAÇÕES!O778=""),NEGOCIAÇÕES!N778,"")</f>
        <v/>
      </c>
    </row>
    <row r="779" spans="2:5" ht="31.95" hidden="1" customHeight="1" x14ac:dyDescent="0.3">
      <c r="B779" s="6" t="str">
        <f ca="1">IF(AND(NEGOCIAÇÕES!O779="",NEGOCIAÇÕES!N779&gt;TODAY()),NEGOCIAÇÕES!C779,"")</f>
        <v/>
      </c>
      <c r="C779" s="6" t="str">
        <f ca="1">IF(AND(NEGOCIAÇÕES!O779="",NEGOCIAÇÕES!N779&gt;TODAY()),NEGOCIAÇÕES!E779,"")</f>
        <v/>
      </c>
      <c r="D779" s="6" t="str">
        <f ca="1">IF(AND(NEGOCIAÇÕES!O779="",NEGOCIAÇÕES!N779&gt;TODAY()),NEGOCIAÇÕES!D779,"")</f>
        <v/>
      </c>
      <c r="E779" s="9" t="str">
        <f>IF(AND(NEGOCIAÇÕES!B779&lt;&gt;"",NEGOCIAÇÕES!O779=""),NEGOCIAÇÕES!N779,"")</f>
        <v/>
      </c>
    </row>
    <row r="780" spans="2:5" ht="31.95" hidden="1" customHeight="1" x14ac:dyDescent="0.3">
      <c r="B780" s="6" t="str">
        <f ca="1">IF(AND(NEGOCIAÇÕES!O780="",NEGOCIAÇÕES!N780&gt;TODAY()),NEGOCIAÇÕES!C780,"")</f>
        <v/>
      </c>
      <c r="C780" s="6" t="str">
        <f ca="1">IF(AND(NEGOCIAÇÕES!O780="",NEGOCIAÇÕES!N780&gt;TODAY()),NEGOCIAÇÕES!E780,"")</f>
        <v/>
      </c>
      <c r="D780" s="6" t="str">
        <f ca="1">IF(AND(NEGOCIAÇÕES!O780="",NEGOCIAÇÕES!N780&gt;TODAY()),NEGOCIAÇÕES!D780,"")</f>
        <v/>
      </c>
      <c r="E780" s="9" t="str">
        <f>IF(AND(NEGOCIAÇÕES!B780&lt;&gt;"",NEGOCIAÇÕES!O780=""),NEGOCIAÇÕES!N780,"")</f>
        <v/>
      </c>
    </row>
    <row r="781" spans="2:5" ht="31.95" hidden="1" customHeight="1" x14ac:dyDescent="0.3">
      <c r="B781" s="6" t="str">
        <f ca="1">IF(AND(NEGOCIAÇÕES!O781="",NEGOCIAÇÕES!N781&gt;TODAY()),NEGOCIAÇÕES!C781,"")</f>
        <v/>
      </c>
      <c r="C781" s="6" t="str">
        <f ca="1">IF(AND(NEGOCIAÇÕES!O781="",NEGOCIAÇÕES!N781&gt;TODAY()),NEGOCIAÇÕES!E781,"")</f>
        <v/>
      </c>
      <c r="D781" s="6" t="str">
        <f ca="1">IF(AND(NEGOCIAÇÕES!O781="",NEGOCIAÇÕES!N781&gt;TODAY()),NEGOCIAÇÕES!D781,"")</f>
        <v/>
      </c>
      <c r="E781" s="9" t="str">
        <f>IF(AND(NEGOCIAÇÕES!B781&lt;&gt;"",NEGOCIAÇÕES!O781=""),NEGOCIAÇÕES!N781,"")</f>
        <v/>
      </c>
    </row>
    <row r="782" spans="2:5" ht="31.95" hidden="1" customHeight="1" x14ac:dyDescent="0.3">
      <c r="B782" s="6" t="str">
        <f ca="1">IF(AND(NEGOCIAÇÕES!O782="",NEGOCIAÇÕES!N782&gt;TODAY()),NEGOCIAÇÕES!C782,"")</f>
        <v/>
      </c>
      <c r="C782" s="6" t="str">
        <f ca="1">IF(AND(NEGOCIAÇÕES!O782="",NEGOCIAÇÕES!N782&gt;TODAY()),NEGOCIAÇÕES!E782,"")</f>
        <v/>
      </c>
      <c r="D782" s="6" t="str">
        <f ca="1">IF(AND(NEGOCIAÇÕES!O782="",NEGOCIAÇÕES!N782&gt;TODAY()),NEGOCIAÇÕES!D782,"")</f>
        <v/>
      </c>
      <c r="E782" s="9" t="str">
        <f>IF(AND(NEGOCIAÇÕES!B782&lt;&gt;"",NEGOCIAÇÕES!O782=""),NEGOCIAÇÕES!N782,"")</f>
        <v/>
      </c>
    </row>
    <row r="783" spans="2:5" ht="31.95" hidden="1" customHeight="1" x14ac:dyDescent="0.3">
      <c r="B783" s="6" t="str">
        <f ca="1">IF(AND(NEGOCIAÇÕES!O783="",NEGOCIAÇÕES!N783&gt;TODAY()),NEGOCIAÇÕES!C783,"")</f>
        <v/>
      </c>
      <c r="C783" s="6" t="str">
        <f ca="1">IF(AND(NEGOCIAÇÕES!O783="",NEGOCIAÇÕES!N783&gt;TODAY()),NEGOCIAÇÕES!E783,"")</f>
        <v/>
      </c>
      <c r="D783" s="6" t="str">
        <f ca="1">IF(AND(NEGOCIAÇÕES!O783="",NEGOCIAÇÕES!N783&gt;TODAY()),NEGOCIAÇÕES!D783,"")</f>
        <v/>
      </c>
      <c r="E783" s="9" t="str">
        <f>IF(AND(NEGOCIAÇÕES!B783&lt;&gt;"",NEGOCIAÇÕES!O783=""),NEGOCIAÇÕES!N783,"")</f>
        <v/>
      </c>
    </row>
    <row r="784" spans="2:5" ht="31.95" hidden="1" customHeight="1" x14ac:dyDescent="0.3">
      <c r="B784" s="6" t="str">
        <f ca="1">IF(AND(NEGOCIAÇÕES!O784="",NEGOCIAÇÕES!N784&gt;TODAY()),NEGOCIAÇÕES!C784,"")</f>
        <v/>
      </c>
      <c r="C784" s="6" t="str">
        <f ca="1">IF(AND(NEGOCIAÇÕES!O784="",NEGOCIAÇÕES!N784&gt;TODAY()),NEGOCIAÇÕES!E784,"")</f>
        <v/>
      </c>
      <c r="D784" s="6" t="str">
        <f ca="1">IF(AND(NEGOCIAÇÕES!O784="",NEGOCIAÇÕES!N784&gt;TODAY()),NEGOCIAÇÕES!D784,"")</f>
        <v/>
      </c>
      <c r="E784" s="9" t="str">
        <f>IF(AND(NEGOCIAÇÕES!B784&lt;&gt;"",NEGOCIAÇÕES!O784=""),NEGOCIAÇÕES!N784,"")</f>
        <v/>
      </c>
    </row>
    <row r="785" spans="2:5" ht="31.95" hidden="1" customHeight="1" x14ac:dyDescent="0.3">
      <c r="B785" s="6" t="str">
        <f ca="1">IF(AND(NEGOCIAÇÕES!O785="",NEGOCIAÇÕES!N785&gt;TODAY()),NEGOCIAÇÕES!C785,"")</f>
        <v/>
      </c>
      <c r="C785" s="6" t="str">
        <f ca="1">IF(AND(NEGOCIAÇÕES!O785="",NEGOCIAÇÕES!N785&gt;TODAY()),NEGOCIAÇÕES!E785,"")</f>
        <v/>
      </c>
      <c r="D785" s="6" t="str">
        <f ca="1">IF(AND(NEGOCIAÇÕES!O785="",NEGOCIAÇÕES!N785&gt;TODAY()),NEGOCIAÇÕES!D785,"")</f>
        <v/>
      </c>
      <c r="E785" s="9" t="str">
        <f>IF(AND(NEGOCIAÇÕES!B785&lt;&gt;"",NEGOCIAÇÕES!O785=""),NEGOCIAÇÕES!N785,"")</f>
        <v/>
      </c>
    </row>
    <row r="786" spans="2:5" ht="31.95" hidden="1" customHeight="1" x14ac:dyDescent="0.3">
      <c r="B786" s="6" t="str">
        <f ca="1">IF(AND(NEGOCIAÇÕES!O786="",NEGOCIAÇÕES!N786&gt;TODAY()),NEGOCIAÇÕES!C786,"")</f>
        <v/>
      </c>
      <c r="C786" s="6" t="str">
        <f ca="1">IF(AND(NEGOCIAÇÕES!O786="",NEGOCIAÇÕES!N786&gt;TODAY()),NEGOCIAÇÕES!E786,"")</f>
        <v/>
      </c>
      <c r="D786" s="6" t="str">
        <f ca="1">IF(AND(NEGOCIAÇÕES!O786="",NEGOCIAÇÕES!N786&gt;TODAY()),NEGOCIAÇÕES!D786,"")</f>
        <v/>
      </c>
      <c r="E786" s="9" t="str">
        <f>IF(AND(NEGOCIAÇÕES!B786&lt;&gt;"",NEGOCIAÇÕES!O786=""),NEGOCIAÇÕES!N786,"")</f>
        <v/>
      </c>
    </row>
    <row r="787" spans="2:5" ht="31.95" hidden="1" customHeight="1" x14ac:dyDescent="0.3">
      <c r="B787" s="6" t="str">
        <f ca="1">IF(AND(NEGOCIAÇÕES!O787="",NEGOCIAÇÕES!N787&gt;TODAY()),NEGOCIAÇÕES!C787,"")</f>
        <v/>
      </c>
      <c r="C787" s="6" t="str">
        <f ca="1">IF(AND(NEGOCIAÇÕES!O787="",NEGOCIAÇÕES!N787&gt;TODAY()),NEGOCIAÇÕES!E787,"")</f>
        <v/>
      </c>
      <c r="D787" s="6" t="str">
        <f ca="1">IF(AND(NEGOCIAÇÕES!O787="",NEGOCIAÇÕES!N787&gt;TODAY()),NEGOCIAÇÕES!D787,"")</f>
        <v/>
      </c>
      <c r="E787" s="9" t="str">
        <f>IF(AND(NEGOCIAÇÕES!B787&lt;&gt;"",NEGOCIAÇÕES!O787=""),NEGOCIAÇÕES!N787,"")</f>
        <v/>
      </c>
    </row>
    <row r="788" spans="2:5" ht="31.95" hidden="1" customHeight="1" x14ac:dyDescent="0.3">
      <c r="B788" s="6" t="str">
        <f ca="1">IF(AND(NEGOCIAÇÕES!O788="",NEGOCIAÇÕES!N788&gt;TODAY()),NEGOCIAÇÕES!C788,"")</f>
        <v/>
      </c>
      <c r="C788" s="6" t="str">
        <f ca="1">IF(AND(NEGOCIAÇÕES!O788="",NEGOCIAÇÕES!N788&gt;TODAY()),NEGOCIAÇÕES!E788,"")</f>
        <v/>
      </c>
      <c r="D788" s="6" t="str">
        <f ca="1">IF(AND(NEGOCIAÇÕES!O788="",NEGOCIAÇÕES!N788&gt;TODAY()),NEGOCIAÇÕES!D788,"")</f>
        <v/>
      </c>
      <c r="E788" s="9" t="str">
        <f>IF(AND(NEGOCIAÇÕES!B788&lt;&gt;"",NEGOCIAÇÕES!O788=""),NEGOCIAÇÕES!N788,"")</f>
        <v/>
      </c>
    </row>
    <row r="789" spans="2:5" ht="31.95" hidden="1" customHeight="1" x14ac:dyDescent="0.3">
      <c r="B789" s="6" t="str">
        <f ca="1">IF(AND(NEGOCIAÇÕES!O789="",NEGOCIAÇÕES!N789&gt;TODAY()),NEGOCIAÇÕES!C789,"")</f>
        <v/>
      </c>
      <c r="C789" s="6" t="str">
        <f ca="1">IF(AND(NEGOCIAÇÕES!O789="",NEGOCIAÇÕES!N789&gt;TODAY()),NEGOCIAÇÕES!E789,"")</f>
        <v/>
      </c>
      <c r="D789" s="6" t="str">
        <f ca="1">IF(AND(NEGOCIAÇÕES!O789="",NEGOCIAÇÕES!N789&gt;TODAY()),NEGOCIAÇÕES!D789,"")</f>
        <v/>
      </c>
      <c r="E789" s="9" t="str">
        <f>IF(AND(NEGOCIAÇÕES!B789&lt;&gt;"",NEGOCIAÇÕES!O789=""),NEGOCIAÇÕES!N789,"")</f>
        <v/>
      </c>
    </row>
    <row r="790" spans="2:5" ht="31.95" hidden="1" customHeight="1" x14ac:dyDescent="0.3">
      <c r="B790" s="6" t="str">
        <f ca="1">IF(AND(NEGOCIAÇÕES!O790="",NEGOCIAÇÕES!N790&gt;TODAY()),NEGOCIAÇÕES!C790,"")</f>
        <v/>
      </c>
      <c r="C790" s="6" t="str">
        <f ca="1">IF(AND(NEGOCIAÇÕES!O790="",NEGOCIAÇÕES!N790&gt;TODAY()),NEGOCIAÇÕES!E790,"")</f>
        <v/>
      </c>
      <c r="D790" s="6" t="str">
        <f ca="1">IF(AND(NEGOCIAÇÕES!O790="",NEGOCIAÇÕES!N790&gt;TODAY()),NEGOCIAÇÕES!D790,"")</f>
        <v/>
      </c>
      <c r="E790" s="9" t="str">
        <f>IF(AND(NEGOCIAÇÕES!B790&lt;&gt;"",NEGOCIAÇÕES!O790=""),NEGOCIAÇÕES!N790,"")</f>
        <v/>
      </c>
    </row>
    <row r="791" spans="2:5" ht="31.95" hidden="1" customHeight="1" x14ac:dyDescent="0.3">
      <c r="B791" s="6" t="str">
        <f ca="1">IF(AND(NEGOCIAÇÕES!O791="",NEGOCIAÇÕES!N791&gt;TODAY()),NEGOCIAÇÕES!C791,"")</f>
        <v/>
      </c>
      <c r="C791" s="6" t="str">
        <f ca="1">IF(AND(NEGOCIAÇÕES!O791="",NEGOCIAÇÕES!N791&gt;TODAY()),NEGOCIAÇÕES!E791,"")</f>
        <v/>
      </c>
      <c r="D791" s="6" t="str">
        <f ca="1">IF(AND(NEGOCIAÇÕES!O791="",NEGOCIAÇÕES!N791&gt;TODAY()),NEGOCIAÇÕES!D791,"")</f>
        <v/>
      </c>
      <c r="E791" s="9" t="str">
        <f>IF(AND(NEGOCIAÇÕES!B791&lt;&gt;"",NEGOCIAÇÕES!O791=""),NEGOCIAÇÕES!N791,"")</f>
        <v/>
      </c>
    </row>
    <row r="792" spans="2:5" ht="31.95" hidden="1" customHeight="1" x14ac:dyDescent="0.3">
      <c r="B792" s="6" t="str">
        <f ca="1">IF(AND(NEGOCIAÇÕES!O792="",NEGOCIAÇÕES!N792&gt;TODAY()),NEGOCIAÇÕES!C792,"")</f>
        <v/>
      </c>
      <c r="C792" s="6" t="str">
        <f ca="1">IF(AND(NEGOCIAÇÕES!O792="",NEGOCIAÇÕES!N792&gt;TODAY()),NEGOCIAÇÕES!E792,"")</f>
        <v/>
      </c>
      <c r="D792" s="6" t="str">
        <f ca="1">IF(AND(NEGOCIAÇÕES!O792="",NEGOCIAÇÕES!N792&gt;TODAY()),NEGOCIAÇÕES!D792,"")</f>
        <v/>
      </c>
      <c r="E792" s="9" t="str">
        <f>IF(AND(NEGOCIAÇÕES!B792&lt;&gt;"",NEGOCIAÇÕES!O792=""),NEGOCIAÇÕES!N792,"")</f>
        <v/>
      </c>
    </row>
    <row r="793" spans="2:5" ht="31.95" hidden="1" customHeight="1" x14ac:dyDescent="0.3">
      <c r="B793" s="6" t="str">
        <f ca="1">IF(AND(NEGOCIAÇÕES!O793="",NEGOCIAÇÕES!N793&gt;TODAY()),NEGOCIAÇÕES!C793,"")</f>
        <v/>
      </c>
      <c r="C793" s="6" t="str">
        <f ca="1">IF(AND(NEGOCIAÇÕES!O793="",NEGOCIAÇÕES!N793&gt;TODAY()),NEGOCIAÇÕES!E793,"")</f>
        <v/>
      </c>
      <c r="D793" s="6" t="str">
        <f ca="1">IF(AND(NEGOCIAÇÕES!O793="",NEGOCIAÇÕES!N793&gt;TODAY()),NEGOCIAÇÕES!D793,"")</f>
        <v/>
      </c>
      <c r="E793" s="9" t="str">
        <f>IF(AND(NEGOCIAÇÕES!B793&lt;&gt;"",NEGOCIAÇÕES!O793=""),NEGOCIAÇÕES!N793,"")</f>
        <v/>
      </c>
    </row>
    <row r="794" spans="2:5" ht="31.95" hidden="1" customHeight="1" x14ac:dyDescent="0.3">
      <c r="B794" s="6" t="str">
        <f ca="1">IF(AND(NEGOCIAÇÕES!O794="",NEGOCIAÇÕES!N794&gt;TODAY()),NEGOCIAÇÕES!C794,"")</f>
        <v/>
      </c>
      <c r="C794" s="6" t="str">
        <f ca="1">IF(AND(NEGOCIAÇÕES!O794="",NEGOCIAÇÕES!N794&gt;TODAY()),NEGOCIAÇÕES!E794,"")</f>
        <v/>
      </c>
      <c r="D794" s="6" t="str">
        <f ca="1">IF(AND(NEGOCIAÇÕES!O794="",NEGOCIAÇÕES!N794&gt;TODAY()),NEGOCIAÇÕES!D794,"")</f>
        <v/>
      </c>
      <c r="E794" s="9" t="str">
        <f>IF(AND(NEGOCIAÇÕES!B794&lt;&gt;"",NEGOCIAÇÕES!O794=""),NEGOCIAÇÕES!N794,"")</f>
        <v/>
      </c>
    </row>
    <row r="795" spans="2:5" ht="31.95" hidden="1" customHeight="1" x14ac:dyDescent="0.3">
      <c r="B795" s="6" t="str">
        <f ca="1">IF(AND(NEGOCIAÇÕES!O795="",NEGOCIAÇÕES!N795&gt;TODAY()),NEGOCIAÇÕES!C795,"")</f>
        <v/>
      </c>
      <c r="C795" s="6" t="str">
        <f ca="1">IF(AND(NEGOCIAÇÕES!O795="",NEGOCIAÇÕES!N795&gt;TODAY()),NEGOCIAÇÕES!E795,"")</f>
        <v/>
      </c>
      <c r="D795" s="6" t="str">
        <f ca="1">IF(AND(NEGOCIAÇÕES!O795="",NEGOCIAÇÕES!N795&gt;TODAY()),NEGOCIAÇÕES!D795,"")</f>
        <v/>
      </c>
      <c r="E795" s="9" t="str">
        <f>IF(AND(NEGOCIAÇÕES!B795&lt;&gt;"",NEGOCIAÇÕES!O795=""),NEGOCIAÇÕES!N795,"")</f>
        <v/>
      </c>
    </row>
    <row r="796" spans="2:5" ht="31.95" hidden="1" customHeight="1" x14ac:dyDescent="0.3">
      <c r="B796" s="6" t="str">
        <f ca="1">IF(AND(NEGOCIAÇÕES!O796="",NEGOCIAÇÕES!N796&gt;TODAY()),NEGOCIAÇÕES!C796,"")</f>
        <v/>
      </c>
      <c r="C796" s="6" t="str">
        <f ca="1">IF(AND(NEGOCIAÇÕES!O796="",NEGOCIAÇÕES!N796&gt;TODAY()),NEGOCIAÇÕES!E796,"")</f>
        <v/>
      </c>
      <c r="D796" s="6" t="str">
        <f ca="1">IF(AND(NEGOCIAÇÕES!O796="",NEGOCIAÇÕES!N796&gt;TODAY()),NEGOCIAÇÕES!D796,"")</f>
        <v/>
      </c>
      <c r="E796" s="9" t="str">
        <f>IF(AND(NEGOCIAÇÕES!B796&lt;&gt;"",NEGOCIAÇÕES!O796=""),NEGOCIAÇÕES!N796,"")</f>
        <v/>
      </c>
    </row>
    <row r="797" spans="2:5" ht="31.95" hidden="1" customHeight="1" x14ac:dyDescent="0.3">
      <c r="B797" s="6" t="str">
        <f ca="1">IF(AND(NEGOCIAÇÕES!O797="",NEGOCIAÇÕES!N797&gt;TODAY()),NEGOCIAÇÕES!C797,"")</f>
        <v/>
      </c>
      <c r="C797" s="6" t="str">
        <f ca="1">IF(AND(NEGOCIAÇÕES!O797="",NEGOCIAÇÕES!N797&gt;TODAY()),NEGOCIAÇÕES!E797,"")</f>
        <v/>
      </c>
      <c r="D797" s="6" t="str">
        <f ca="1">IF(AND(NEGOCIAÇÕES!O797="",NEGOCIAÇÕES!N797&gt;TODAY()),NEGOCIAÇÕES!D797,"")</f>
        <v/>
      </c>
      <c r="E797" s="9" t="str">
        <f>IF(AND(NEGOCIAÇÕES!B797&lt;&gt;"",NEGOCIAÇÕES!O797=""),NEGOCIAÇÕES!N797,"")</f>
        <v/>
      </c>
    </row>
    <row r="798" spans="2:5" ht="31.95" hidden="1" customHeight="1" x14ac:dyDescent="0.3">
      <c r="B798" s="6" t="str">
        <f ca="1">IF(AND(NEGOCIAÇÕES!O798="",NEGOCIAÇÕES!N798&gt;TODAY()),NEGOCIAÇÕES!C798,"")</f>
        <v/>
      </c>
      <c r="C798" s="6" t="str">
        <f ca="1">IF(AND(NEGOCIAÇÕES!O798="",NEGOCIAÇÕES!N798&gt;TODAY()),NEGOCIAÇÕES!E798,"")</f>
        <v/>
      </c>
      <c r="D798" s="6" t="str">
        <f ca="1">IF(AND(NEGOCIAÇÕES!O798="",NEGOCIAÇÕES!N798&gt;TODAY()),NEGOCIAÇÕES!D798,"")</f>
        <v/>
      </c>
      <c r="E798" s="9" t="str">
        <f>IF(AND(NEGOCIAÇÕES!B798&lt;&gt;"",NEGOCIAÇÕES!O798=""),NEGOCIAÇÕES!N798,"")</f>
        <v/>
      </c>
    </row>
    <row r="799" spans="2:5" ht="31.95" hidden="1" customHeight="1" x14ac:dyDescent="0.3">
      <c r="B799" s="6" t="str">
        <f ca="1">IF(AND(NEGOCIAÇÕES!O799="",NEGOCIAÇÕES!N799&gt;TODAY()),NEGOCIAÇÕES!C799,"")</f>
        <v/>
      </c>
      <c r="C799" s="6" t="str">
        <f ca="1">IF(AND(NEGOCIAÇÕES!O799="",NEGOCIAÇÕES!N799&gt;TODAY()),NEGOCIAÇÕES!E799,"")</f>
        <v/>
      </c>
      <c r="D799" s="6" t="str">
        <f ca="1">IF(AND(NEGOCIAÇÕES!O799="",NEGOCIAÇÕES!N799&gt;TODAY()),NEGOCIAÇÕES!D799,"")</f>
        <v/>
      </c>
      <c r="E799" s="9" t="str">
        <f>IF(AND(NEGOCIAÇÕES!B799&lt;&gt;"",NEGOCIAÇÕES!O799=""),NEGOCIAÇÕES!N799,"")</f>
        <v/>
      </c>
    </row>
    <row r="800" spans="2:5" ht="31.95" hidden="1" customHeight="1" x14ac:dyDescent="0.3">
      <c r="B800" s="6" t="str">
        <f ca="1">IF(AND(NEGOCIAÇÕES!O800="",NEGOCIAÇÕES!N800&gt;TODAY()),NEGOCIAÇÕES!C800,"")</f>
        <v/>
      </c>
      <c r="C800" s="6" t="str">
        <f ca="1">IF(AND(NEGOCIAÇÕES!O800="",NEGOCIAÇÕES!N800&gt;TODAY()),NEGOCIAÇÕES!E800,"")</f>
        <v/>
      </c>
      <c r="D800" s="6" t="str">
        <f ca="1">IF(AND(NEGOCIAÇÕES!O800="",NEGOCIAÇÕES!N800&gt;TODAY()),NEGOCIAÇÕES!D800,"")</f>
        <v/>
      </c>
      <c r="E800" s="9" t="str">
        <f>IF(AND(NEGOCIAÇÕES!B800&lt;&gt;"",NEGOCIAÇÕES!O800=""),NEGOCIAÇÕES!N800,"")</f>
        <v/>
      </c>
    </row>
    <row r="801" spans="2:5" ht="31.95" hidden="1" customHeight="1" x14ac:dyDescent="0.3">
      <c r="B801" s="6" t="str">
        <f ca="1">IF(AND(NEGOCIAÇÕES!O801="",NEGOCIAÇÕES!N801&gt;TODAY()),NEGOCIAÇÕES!C801,"")</f>
        <v/>
      </c>
      <c r="C801" s="6" t="str">
        <f ca="1">IF(AND(NEGOCIAÇÕES!O801="",NEGOCIAÇÕES!N801&gt;TODAY()),NEGOCIAÇÕES!E801,"")</f>
        <v/>
      </c>
      <c r="D801" s="6" t="str">
        <f ca="1">IF(AND(NEGOCIAÇÕES!O801="",NEGOCIAÇÕES!N801&gt;TODAY()),NEGOCIAÇÕES!D801,"")</f>
        <v/>
      </c>
      <c r="E801" s="9" t="str">
        <f>IF(AND(NEGOCIAÇÕES!B801&lt;&gt;"",NEGOCIAÇÕES!O801=""),NEGOCIAÇÕES!N801,"")</f>
        <v/>
      </c>
    </row>
    <row r="802" spans="2:5" ht="31.95" hidden="1" customHeight="1" x14ac:dyDescent="0.3">
      <c r="B802" s="6" t="str">
        <f ca="1">IF(AND(NEGOCIAÇÕES!O802="",NEGOCIAÇÕES!N802&gt;TODAY()),NEGOCIAÇÕES!C802,"")</f>
        <v/>
      </c>
      <c r="C802" s="6" t="str">
        <f ca="1">IF(AND(NEGOCIAÇÕES!O802="",NEGOCIAÇÕES!N802&gt;TODAY()),NEGOCIAÇÕES!E802,"")</f>
        <v/>
      </c>
      <c r="D802" s="6" t="str">
        <f ca="1">IF(AND(NEGOCIAÇÕES!O802="",NEGOCIAÇÕES!N802&gt;TODAY()),NEGOCIAÇÕES!D802,"")</f>
        <v/>
      </c>
      <c r="E802" s="9" t="str">
        <f>IF(AND(NEGOCIAÇÕES!B802&lt;&gt;"",NEGOCIAÇÕES!O802=""),NEGOCIAÇÕES!N802,"")</f>
        <v/>
      </c>
    </row>
    <row r="803" spans="2:5" ht="31.95" hidden="1" customHeight="1" x14ac:dyDescent="0.3">
      <c r="B803" s="6" t="str">
        <f ca="1">IF(AND(NEGOCIAÇÕES!O803="",NEGOCIAÇÕES!N803&gt;TODAY()),NEGOCIAÇÕES!C803,"")</f>
        <v/>
      </c>
      <c r="C803" s="6" t="str">
        <f ca="1">IF(AND(NEGOCIAÇÕES!O803="",NEGOCIAÇÕES!N803&gt;TODAY()),NEGOCIAÇÕES!E803,"")</f>
        <v/>
      </c>
      <c r="D803" s="6" t="str">
        <f ca="1">IF(AND(NEGOCIAÇÕES!O803="",NEGOCIAÇÕES!N803&gt;TODAY()),NEGOCIAÇÕES!D803,"")</f>
        <v/>
      </c>
      <c r="E803" s="9" t="str">
        <f>IF(AND(NEGOCIAÇÕES!B803&lt;&gt;"",NEGOCIAÇÕES!O803=""),NEGOCIAÇÕES!N803,"")</f>
        <v/>
      </c>
    </row>
    <row r="804" spans="2:5" ht="31.95" hidden="1" customHeight="1" x14ac:dyDescent="0.3">
      <c r="B804" s="6" t="str">
        <f ca="1">IF(AND(NEGOCIAÇÕES!O804="",NEGOCIAÇÕES!N804&gt;TODAY()),NEGOCIAÇÕES!C804,"")</f>
        <v/>
      </c>
      <c r="C804" s="6" t="str">
        <f ca="1">IF(AND(NEGOCIAÇÕES!O804="",NEGOCIAÇÕES!N804&gt;TODAY()),NEGOCIAÇÕES!E804,"")</f>
        <v/>
      </c>
      <c r="D804" s="6" t="str">
        <f ca="1">IF(AND(NEGOCIAÇÕES!O804="",NEGOCIAÇÕES!N804&gt;TODAY()),NEGOCIAÇÕES!D804,"")</f>
        <v/>
      </c>
      <c r="E804" s="9" t="str">
        <f>IF(AND(NEGOCIAÇÕES!B804&lt;&gt;"",NEGOCIAÇÕES!O804=""),NEGOCIAÇÕES!N804,"")</f>
        <v/>
      </c>
    </row>
    <row r="805" spans="2:5" ht="31.95" hidden="1" customHeight="1" x14ac:dyDescent="0.3">
      <c r="B805" s="6" t="str">
        <f ca="1">IF(AND(NEGOCIAÇÕES!O805="",NEGOCIAÇÕES!N805&gt;TODAY()),NEGOCIAÇÕES!C805,"")</f>
        <v/>
      </c>
      <c r="C805" s="6" t="str">
        <f ca="1">IF(AND(NEGOCIAÇÕES!O805="",NEGOCIAÇÕES!N805&gt;TODAY()),NEGOCIAÇÕES!E805,"")</f>
        <v/>
      </c>
      <c r="D805" s="6" t="str">
        <f ca="1">IF(AND(NEGOCIAÇÕES!O805="",NEGOCIAÇÕES!N805&gt;TODAY()),NEGOCIAÇÕES!D805,"")</f>
        <v/>
      </c>
      <c r="E805" s="9" t="str">
        <f>IF(AND(NEGOCIAÇÕES!B805&lt;&gt;"",NEGOCIAÇÕES!O805=""),NEGOCIAÇÕES!N805,"")</f>
        <v/>
      </c>
    </row>
    <row r="806" spans="2:5" ht="31.95" hidden="1" customHeight="1" x14ac:dyDescent="0.3">
      <c r="B806" s="6" t="str">
        <f ca="1">IF(AND(NEGOCIAÇÕES!O806="",NEGOCIAÇÕES!N806&gt;TODAY()),NEGOCIAÇÕES!C806,"")</f>
        <v/>
      </c>
      <c r="C806" s="6" t="str">
        <f ca="1">IF(AND(NEGOCIAÇÕES!O806="",NEGOCIAÇÕES!N806&gt;TODAY()),NEGOCIAÇÕES!E806,"")</f>
        <v/>
      </c>
      <c r="D806" s="6" t="str">
        <f ca="1">IF(AND(NEGOCIAÇÕES!O806="",NEGOCIAÇÕES!N806&gt;TODAY()),NEGOCIAÇÕES!D806,"")</f>
        <v/>
      </c>
      <c r="E806" s="9" t="str">
        <f>IF(AND(NEGOCIAÇÕES!B806&lt;&gt;"",NEGOCIAÇÕES!O806=""),NEGOCIAÇÕES!N806,"")</f>
        <v/>
      </c>
    </row>
    <row r="807" spans="2:5" ht="31.95" hidden="1" customHeight="1" x14ac:dyDescent="0.3">
      <c r="B807" s="6" t="str">
        <f ca="1">IF(AND(NEGOCIAÇÕES!O807="",NEGOCIAÇÕES!N807&gt;TODAY()),NEGOCIAÇÕES!C807,"")</f>
        <v/>
      </c>
      <c r="C807" s="6" t="str">
        <f ca="1">IF(AND(NEGOCIAÇÕES!O807="",NEGOCIAÇÕES!N807&gt;TODAY()),NEGOCIAÇÕES!E807,"")</f>
        <v/>
      </c>
      <c r="D807" s="6" t="str">
        <f ca="1">IF(AND(NEGOCIAÇÕES!O807="",NEGOCIAÇÕES!N807&gt;TODAY()),NEGOCIAÇÕES!D807,"")</f>
        <v/>
      </c>
      <c r="E807" s="9" t="str">
        <f>IF(AND(NEGOCIAÇÕES!B807&lt;&gt;"",NEGOCIAÇÕES!O807=""),NEGOCIAÇÕES!N807,"")</f>
        <v/>
      </c>
    </row>
    <row r="808" spans="2:5" ht="31.95" hidden="1" customHeight="1" x14ac:dyDescent="0.3">
      <c r="B808" s="6" t="str">
        <f ca="1">IF(AND(NEGOCIAÇÕES!O808="",NEGOCIAÇÕES!N808&gt;TODAY()),NEGOCIAÇÕES!C808,"")</f>
        <v/>
      </c>
      <c r="C808" s="6" t="str">
        <f ca="1">IF(AND(NEGOCIAÇÕES!O808="",NEGOCIAÇÕES!N808&gt;TODAY()),NEGOCIAÇÕES!E808,"")</f>
        <v/>
      </c>
      <c r="D808" s="6" t="str">
        <f ca="1">IF(AND(NEGOCIAÇÕES!O808="",NEGOCIAÇÕES!N808&gt;TODAY()),NEGOCIAÇÕES!D808,"")</f>
        <v/>
      </c>
      <c r="E808" s="9" t="str">
        <f>IF(AND(NEGOCIAÇÕES!B808&lt;&gt;"",NEGOCIAÇÕES!O808=""),NEGOCIAÇÕES!N808,"")</f>
        <v/>
      </c>
    </row>
    <row r="809" spans="2:5" ht="31.95" hidden="1" customHeight="1" x14ac:dyDescent="0.3">
      <c r="B809" s="6" t="str">
        <f ca="1">IF(AND(NEGOCIAÇÕES!O809="",NEGOCIAÇÕES!N809&gt;TODAY()),NEGOCIAÇÕES!C809,"")</f>
        <v/>
      </c>
      <c r="C809" s="6" t="str">
        <f ca="1">IF(AND(NEGOCIAÇÕES!O809="",NEGOCIAÇÕES!N809&gt;TODAY()),NEGOCIAÇÕES!E809,"")</f>
        <v/>
      </c>
      <c r="D809" s="6" t="str">
        <f ca="1">IF(AND(NEGOCIAÇÕES!O809="",NEGOCIAÇÕES!N809&gt;TODAY()),NEGOCIAÇÕES!D809,"")</f>
        <v/>
      </c>
      <c r="E809" s="9" t="str">
        <f>IF(AND(NEGOCIAÇÕES!B809&lt;&gt;"",NEGOCIAÇÕES!O809=""),NEGOCIAÇÕES!N809,"")</f>
        <v/>
      </c>
    </row>
    <row r="810" spans="2:5" ht="31.95" hidden="1" customHeight="1" x14ac:dyDescent="0.3">
      <c r="B810" s="6" t="str">
        <f ca="1">IF(AND(NEGOCIAÇÕES!O810="",NEGOCIAÇÕES!N810&gt;TODAY()),NEGOCIAÇÕES!C810,"")</f>
        <v/>
      </c>
      <c r="C810" s="6" t="str">
        <f ca="1">IF(AND(NEGOCIAÇÕES!O810="",NEGOCIAÇÕES!N810&gt;TODAY()),NEGOCIAÇÕES!E810,"")</f>
        <v/>
      </c>
      <c r="D810" s="6" t="str">
        <f ca="1">IF(AND(NEGOCIAÇÕES!O810="",NEGOCIAÇÕES!N810&gt;TODAY()),NEGOCIAÇÕES!D810,"")</f>
        <v/>
      </c>
      <c r="E810" s="9" t="str">
        <f>IF(AND(NEGOCIAÇÕES!B810&lt;&gt;"",NEGOCIAÇÕES!O810=""),NEGOCIAÇÕES!N810,"")</f>
        <v/>
      </c>
    </row>
    <row r="811" spans="2:5" ht="31.95" hidden="1" customHeight="1" x14ac:dyDescent="0.3">
      <c r="B811" s="6" t="str">
        <f ca="1">IF(AND(NEGOCIAÇÕES!O811="",NEGOCIAÇÕES!N811&gt;TODAY()),NEGOCIAÇÕES!C811,"")</f>
        <v/>
      </c>
      <c r="C811" s="6" t="str">
        <f ca="1">IF(AND(NEGOCIAÇÕES!O811="",NEGOCIAÇÕES!N811&gt;TODAY()),NEGOCIAÇÕES!E811,"")</f>
        <v/>
      </c>
      <c r="D811" s="6" t="str">
        <f ca="1">IF(AND(NEGOCIAÇÕES!O811="",NEGOCIAÇÕES!N811&gt;TODAY()),NEGOCIAÇÕES!D811,"")</f>
        <v/>
      </c>
      <c r="E811" s="9" t="str">
        <f>IF(AND(NEGOCIAÇÕES!B811&lt;&gt;"",NEGOCIAÇÕES!O811=""),NEGOCIAÇÕES!N811,"")</f>
        <v/>
      </c>
    </row>
    <row r="812" spans="2:5" ht="31.95" hidden="1" customHeight="1" x14ac:dyDescent="0.3">
      <c r="B812" s="6" t="str">
        <f ca="1">IF(AND(NEGOCIAÇÕES!O812="",NEGOCIAÇÕES!N812&gt;TODAY()),NEGOCIAÇÕES!C812,"")</f>
        <v/>
      </c>
      <c r="C812" s="6" t="str">
        <f ca="1">IF(AND(NEGOCIAÇÕES!O812="",NEGOCIAÇÕES!N812&gt;TODAY()),NEGOCIAÇÕES!E812,"")</f>
        <v/>
      </c>
      <c r="D812" s="6" t="str">
        <f ca="1">IF(AND(NEGOCIAÇÕES!O812="",NEGOCIAÇÕES!N812&gt;TODAY()),NEGOCIAÇÕES!D812,"")</f>
        <v/>
      </c>
      <c r="E812" s="9" t="str">
        <f>IF(AND(NEGOCIAÇÕES!B812&lt;&gt;"",NEGOCIAÇÕES!O812=""),NEGOCIAÇÕES!N812,"")</f>
        <v/>
      </c>
    </row>
    <row r="813" spans="2:5" ht="31.95" hidden="1" customHeight="1" x14ac:dyDescent="0.3">
      <c r="B813" s="6" t="str">
        <f ca="1">IF(AND(NEGOCIAÇÕES!O813="",NEGOCIAÇÕES!N813&gt;TODAY()),NEGOCIAÇÕES!C813,"")</f>
        <v/>
      </c>
      <c r="C813" s="6" t="str">
        <f ca="1">IF(AND(NEGOCIAÇÕES!O813="",NEGOCIAÇÕES!N813&gt;TODAY()),NEGOCIAÇÕES!E813,"")</f>
        <v/>
      </c>
      <c r="D813" s="6" t="str">
        <f ca="1">IF(AND(NEGOCIAÇÕES!O813="",NEGOCIAÇÕES!N813&gt;TODAY()),NEGOCIAÇÕES!D813,"")</f>
        <v/>
      </c>
      <c r="E813" s="9" t="str">
        <f>IF(AND(NEGOCIAÇÕES!B813&lt;&gt;"",NEGOCIAÇÕES!O813=""),NEGOCIAÇÕES!N813,"")</f>
        <v/>
      </c>
    </row>
    <row r="814" spans="2:5" ht="31.95" hidden="1" customHeight="1" x14ac:dyDescent="0.3">
      <c r="B814" s="6" t="str">
        <f ca="1">IF(AND(NEGOCIAÇÕES!O814="",NEGOCIAÇÕES!N814&gt;TODAY()),NEGOCIAÇÕES!C814,"")</f>
        <v/>
      </c>
      <c r="C814" s="6" t="str">
        <f ca="1">IF(AND(NEGOCIAÇÕES!O814="",NEGOCIAÇÕES!N814&gt;TODAY()),NEGOCIAÇÕES!E814,"")</f>
        <v/>
      </c>
      <c r="D814" s="6" t="str">
        <f ca="1">IF(AND(NEGOCIAÇÕES!O814="",NEGOCIAÇÕES!N814&gt;TODAY()),NEGOCIAÇÕES!D814,"")</f>
        <v/>
      </c>
      <c r="E814" s="9" t="str">
        <f>IF(AND(NEGOCIAÇÕES!B814&lt;&gt;"",NEGOCIAÇÕES!O814=""),NEGOCIAÇÕES!N814,"")</f>
        <v/>
      </c>
    </row>
    <row r="815" spans="2:5" ht="31.95" hidden="1" customHeight="1" x14ac:dyDescent="0.3">
      <c r="B815" s="6" t="str">
        <f ca="1">IF(AND(NEGOCIAÇÕES!O815="",NEGOCIAÇÕES!N815&gt;TODAY()),NEGOCIAÇÕES!C815,"")</f>
        <v/>
      </c>
      <c r="C815" s="6" t="str">
        <f ca="1">IF(AND(NEGOCIAÇÕES!O815="",NEGOCIAÇÕES!N815&gt;TODAY()),NEGOCIAÇÕES!E815,"")</f>
        <v/>
      </c>
      <c r="D815" s="6" t="str">
        <f ca="1">IF(AND(NEGOCIAÇÕES!O815="",NEGOCIAÇÕES!N815&gt;TODAY()),NEGOCIAÇÕES!D815,"")</f>
        <v/>
      </c>
      <c r="E815" s="9" t="str">
        <f>IF(AND(NEGOCIAÇÕES!B815&lt;&gt;"",NEGOCIAÇÕES!O815=""),NEGOCIAÇÕES!N815,"")</f>
        <v/>
      </c>
    </row>
    <row r="816" spans="2:5" ht="31.95" hidden="1" customHeight="1" x14ac:dyDescent="0.3">
      <c r="B816" s="6" t="str">
        <f ca="1">IF(AND(NEGOCIAÇÕES!O816="",NEGOCIAÇÕES!N816&gt;TODAY()),NEGOCIAÇÕES!C816,"")</f>
        <v/>
      </c>
      <c r="C816" s="6" t="str">
        <f ca="1">IF(AND(NEGOCIAÇÕES!O816="",NEGOCIAÇÕES!N816&gt;TODAY()),NEGOCIAÇÕES!E816,"")</f>
        <v/>
      </c>
      <c r="D816" s="6" t="str">
        <f ca="1">IF(AND(NEGOCIAÇÕES!O816="",NEGOCIAÇÕES!N816&gt;TODAY()),NEGOCIAÇÕES!D816,"")</f>
        <v/>
      </c>
      <c r="E816" s="9" t="str">
        <f>IF(AND(NEGOCIAÇÕES!B816&lt;&gt;"",NEGOCIAÇÕES!O816=""),NEGOCIAÇÕES!N816,"")</f>
        <v/>
      </c>
    </row>
    <row r="817" spans="2:5" ht="31.95" hidden="1" customHeight="1" x14ac:dyDescent="0.3">
      <c r="B817" s="6" t="str">
        <f ca="1">IF(AND(NEGOCIAÇÕES!O817="",NEGOCIAÇÕES!N817&gt;TODAY()),NEGOCIAÇÕES!C817,"")</f>
        <v/>
      </c>
      <c r="C817" s="6" t="str">
        <f ca="1">IF(AND(NEGOCIAÇÕES!O817="",NEGOCIAÇÕES!N817&gt;TODAY()),NEGOCIAÇÕES!E817,"")</f>
        <v/>
      </c>
      <c r="D817" s="6" t="str">
        <f ca="1">IF(AND(NEGOCIAÇÕES!O817="",NEGOCIAÇÕES!N817&gt;TODAY()),NEGOCIAÇÕES!D817,"")</f>
        <v/>
      </c>
      <c r="E817" s="9" t="str">
        <f>IF(AND(NEGOCIAÇÕES!B817&lt;&gt;"",NEGOCIAÇÕES!O817=""),NEGOCIAÇÕES!N817,"")</f>
        <v/>
      </c>
    </row>
    <row r="818" spans="2:5" ht="31.95" hidden="1" customHeight="1" x14ac:dyDescent="0.3">
      <c r="B818" s="6" t="str">
        <f ca="1">IF(AND(NEGOCIAÇÕES!O818="",NEGOCIAÇÕES!N818&gt;TODAY()),NEGOCIAÇÕES!C818,"")</f>
        <v/>
      </c>
      <c r="C818" s="6" t="str">
        <f ca="1">IF(AND(NEGOCIAÇÕES!O818="",NEGOCIAÇÕES!N818&gt;TODAY()),NEGOCIAÇÕES!E818,"")</f>
        <v/>
      </c>
      <c r="D818" s="6" t="str">
        <f ca="1">IF(AND(NEGOCIAÇÕES!O818="",NEGOCIAÇÕES!N818&gt;TODAY()),NEGOCIAÇÕES!D818,"")</f>
        <v/>
      </c>
      <c r="E818" s="9" t="str">
        <f>IF(AND(NEGOCIAÇÕES!B818&lt;&gt;"",NEGOCIAÇÕES!O818=""),NEGOCIAÇÕES!N818,"")</f>
        <v/>
      </c>
    </row>
    <row r="819" spans="2:5" ht="31.95" hidden="1" customHeight="1" x14ac:dyDescent="0.3">
      <c r="B819" s="6" t="str">
        <f ca="1">IF(AND(NEGOCIAÇÕES!O819="",NEGOCIAÇÕES!N819&gt;TODAY()),NEGOCIAÇÕES!C819,"")</f>
        <v/>
      </c>
      <c r="C819" s="6" t="str">
        <f ca="1">IF(AND(NEGOCIAÇÕES!O819="",NEGOCIAÇÕES!N819&gt;TODAY()),NEGOCIAÇÕES!E819,"")</f>
        <v/>
      </c>
      <c r="D819" s="6" t="str">
        <f ca="1">IF(AND(NEGOCIAÇÕES!O819="",NEGOCIAÇÕES!N819&gt;TODAY()),NEGOCIAÇÕES!D819,"")</f>
        <v/>
      </c>
      <c r="E819" s="9" t="str">
        <f>IF(AND(NEGOCIAÇÕES!B819&lt;&gt;"",NEGOCIAÇÕES!O819=""),NEGOCIAÇÕES!N819,"")</f>
        <v/>
      </c>
    </row>
    <row r="820" spans="2:5" ht="31.95" hidden="1" customHeight="1" x14ac:dyDescent="0.3">
      <c r="B820" s="6" t="str">
        <f ca="1">IF(AND(NEGOCIAÇÕES!O820="",NEGOCIAÇÕES!N820&gt;TODAY()),NEGOCIAÇÕES!C820,"")</f>
        <v/>
      </c>
      <c r="C820" s="6" t="str">
        <f ca="1">IF(AND(NEGOCIAÇÕES!O820="",NEGOCIAÇÕES!N820&gt;TODAY()),NEGOCIAÇÕES!E820,"")</f>
        <v/>
      </c>
      <c r="D820" s="6" t="str">
        <f ca="1">IF(AND(NEGOCIAÇÕES!O820="",NEGOCIAÇÕES!N820&gt;TODAY()),NEGOCIAÇÕES!D820,"")</f>
        <v/>
      </c>
      <c r="E820" s="9" t="str">
        <f>IF(AND(NEGOCIAÇÕES!B820&lt;&gt;"",NEGOCIAÇÕES!O820=""),NEGOCIAÇÕES!N820,"")</f>
        <v/>
      </c>
    </row>
    <row r="821" spans="2:5" ht="31.95" hidden="1" customHeight="1" x14ac:dyDescent="0.3">
      <c r="B821" s="6" t="str">
        <f ca="1">IF(AND(NEGOCIAÇÕES!O821="",NEGOCIAÇÕES!N821&gt;TODAY()),NEGOCIAÇÕES!C821,"")</f>
        <v/>
      </c>
      <c r="C821" s="6" t="str">
        <f ca="1">IF(AND(NEGOCIAÇÕES!O821="",NEGOCIAÇÕES!N821&gt;TODAY()),NEGOCIAÇÕES!E821,"")</f>
        <v/>
      </c>
      <c r="D821" s="6" t="str">
        <f ca="1">IF(AND(NEGOCIAÇÕES!O821="",NEGOCIAÇÕES!N821&gt;TODAY()),NEGOCIAÇÕES!D821,"")</f>
        <v/>
      </c>
      <c r="E821" s="9" t="str">
        <f>IF(AND(NEGOCIAÇÕES!B821&lt;&gt;"",NEGOCIAÇÕES!O821=""),NEGOCIAÇÕES!N821,"")</f>
        <v/>
      </c>
    </row>
    <row r="822" spans="2:5" ht="31.95" hidden="1" customHeight="1" x14ac:dyDescent="0.3">
      <c r="B822" s="6" t="str">
        <f ca="1">IF(AND(NEGOCIAÇÕES!O822="",NEGOCIAÇÕES!N822&gt;TODAY()),NEGOCIAÇÕES!C822,"")</f>
        <v/>
      </c>
      <c r="C822" s="6" t="str">
        <f ca="1">IF(AND(NEGOCIAÇÕES!O822="",NEGOCIAÇÕES!N822&gt;TODAY()),NEGOCIAÇÕES!E822,"")</f>
        <v/>
      </c>
      <c r="D822" s="6" t="str">
        <f ca="1">IF(AND(NEGOCIAÇÕES!O822="",NEGOCIAÇÕES!N822&gt;TODAY()),NEGOCIAÇÕES!D822,"")</f>
        <v/>
      </c>
      <c r="E822" s="9" t="str">
        <f>IF(AND(NEGOCIAÇÕES!B822&lt;&gt;"",NEGOCIAÇÕES!O822=""),NEGOCIAÇÕES!N822,"")</f>
        <v/>
      </c>
    </row>
    <row r="823" spans="2:5" ht="31.95" hidden="1" customHeight="1" x14ac:dyDescent="0.3">
      <c r="B823" s="6" t="str">
        <f ca="1">IF(AND(NEGOCIAÇÕES!O823="",NEGOCIAÇÕES!N823&gt;TODAY()),NEGOCIAÇÕES!C823,"")</f>
        <v/>
      </c>
      <c r="C823" s="6" t="str">
        <f ca="1">IF(AND(NEGOCIAÇÕES!O823="",NEGOCIAÇÕES!N823&gt;TODAY()),NEGOCIAÇÕES!E823,"")</f>
        <v/>
      </c>
      <c r="D823" s="6" t="str">
        <f ca="1">IF(AND(NEGOCIAÇÕES!O823="",NEGOCIAÇÕES!N823&gt;TODAY()),NEGOCIAÇÕES!D823,"")</f>
        <v/>
      </c>
      <c r="E823" s="9" t="str">
        <f>IF(AND(NEGOCIAÇÕES!B823&lt;&gt;"",NEGOCIAÇÕES!O823=""),NEGOCIAÇÕES!N823,"")</f>
        <v/>
      </c>
    </row>
    <row r="824" spans="2:5" ht="31.95" hidden="1" customHeight="1" x14ac:dyDescent="0.3">
      <c r="B824" s="6" t="str">
        <f ca="1">IF(AND(NEGOCIAÇÕES!O824="",NEGOCIAÇÕES!N824&gt;TODAY()),NEGOCIAÇÕES!C824,"")</f>
        <v/>
      </c>
      <c r="C824" s="6" t="str">
        <f ca="1">IF(AND(NEGOCIAÇÕES!O824="",NEGOCIAÇÕES!N824&gt;TODAY()),NEGOCIAÇÕES!E824,"")</f>
        <v/>
      </c>
      <c r="D824" s="6" t="str">
        <f ca="1">IF(AND(NEGOCIAÇÕES!O824="",NEGOCIAÇÕES!N824&gt;TODAY()),NEGOCIAÇÕES!D824,"")</f>
        <v/>
      </c>
      <c r="E824" s="9" t="str">
        <f>IF(AND(NEGOCIAÇÕES!B824&lt;&gt;"",NEGOCIAÇÕES!O824=""),NEGOCIAÇÕES!N824,"")</f>
        <v/>
      </c>
    </row>
    <row r="825" spans="2:5" ht="31.95" hidden="1" customHeight="1" x14ac:dyDescent="0.3">
      <c r="B825" s="6" t="str">
        <f ca="1">IF(AND(NEGOCIAÇÕES!O825="",NEGOCIAÇÕES!N825&gt;TODAY()),NEGOCIAÇÕES!C825,"")</f>
        <v/>
      </c>
      <c r="C825" s="6" t="str">
        <f ca="1">IF(AND(NEGOCIAÇÕES!O825="",NEGOCIAÇÕES!N825&gt;TODAY()),NEGOCIAÇÕES!E825,"")</f>
        <v/>
      </c>
      <c r="D825" s="6" t="str">
        <f ca="1">IF(AND(NEGOCIAÇÕES!O825="",NEGOCIAÇÕES!N825&gt;TODAY()),NEGOCIAÇÕES!D825,"")</f>
        <v/>
      </c>
      <c r="E825" s="9" t="str">
        <f>IF(AND(NEGOCIAÇÕES!B825&lt;&gt;"",NEGOCIAÇÕES!O825=""),NEGOCIAÇÕES!N825,"")</f>
        <v/>
      </c>
    </row>
    <row r="826" spans="2:5" ht="31.95" hidden="1" customHeight="1" x14ac:dyDescent="0.3">
      <c r="B826" s="6" t="str">
        <f ca="1">IF(AND(NEGOCIAÇÕES!O826="",NEGOCIAÇÕES!N826&gt;TODAY()),NEGOCIAÇÕES!C826,"")</f>
        <v/>
      </c>
      <c r="C826" s="6" t="str">
        <f ca="1">IF(AND(NEGOCIAÇÕES!O826="",NEGOCIAÇÕES!N826&gt;TODAY()),NEGOCIAÇÕES!E826,"")</f>
        <v/>
      </c>
      <c r="D826" s="6" t="str">
        <f ca="1">IF(AND(NEGOCIAÇÕES!O826="",NEGOCIAÇÕES!N826&gt;TODAY()),NEGOCIAÇÕES!D826,"")</f>
        <v/>
      </c>
      <c r="E826" s="9" t="str">
        <f>IF(AND(NEGOCIAÇÕES!B826&lt;&gt;"",NEGOCIAÇÕES!O826=""),NEGOCIAÇÕES!N826,"")</f>
        <v/>
      </c>
    </row>
    <row r="827" spans="2:5" ht="31.95" hidden="1" customHeight="1" x14ac:dyDescent="0.3">
      <c r="B827" s="6" t="str">
        <f ca="1">IF(AND(NEGOCIAÇÕES!O827="",NEGOCIAÇÕES!N827&gt;TODAY()),NEGOCIAÇÕES!C827,"")</f>
        <v/>
      </c>
      <c r="C827" s="6" t="str">
        <f ca="1">IF(AND(NEGOCIAÇÕES!O827="",NEGOCIAÇÕES!N827&gt;TODAY()),NEGOCIAÇÕES!E827,"")</f>
        <v/>
      </c>
      <c r="D827" s="6" t="str">
        <f ca="1">IF(AND(NEGOCIAÇÕES!O827="",NEGOCIAÇÕES!N827&gt;TODAY()),NEGOCIAÇÕES!D827,"")</f>
        <v/>
      </c>
      <c r="E827" s="9" t="str">
        <f>IF(AND(NEGOCIAÇÕES!B827&lt;&gt;"",NEGOCIAÇÕES!O827=""),NEGOCIAÇÕES!N827,"")</f>
        <v/>
      </c>
    </row>
    <row r="828" spans="2:5" ht="31.95" hidden="1" customHeight="1" x14ac:dyDescent="0.3">
      <c r="B828" s="6" t="str">
        <f ca="1">IF(AND(NEGOCIAÇÕES!O828="",NEGOCIAÇÕES!N828&gt;TODAY()),NEGOCIAÇÕES!C828,"")</f>
        <v/>
      </c>
      <c r="C828" s="6" t="str">
        <f ca="1">IF(AND(NEGOCIAÇÕES!O828="",NEGOCIAÇÕES!N828&gt;TODAY()),NEGOCIAÇÕES!E828,"")</f>
        <v/>
      </c>
      <c r="D828" s="6" t="str">
        <f ca="1">IF(AND(NEGOCIAÇÕES!O828="",NEGOCIAÇÕES!N828&gt;TODAY()),NEGOCIAÇÕES!D828,"")</f>
        <v/>
      </c>
      <c r="E828" s="9" t="str">
        <f>IF(AND(NEGOCIAÇÕES!B828&lt;&gt;"",NEGOCIAÇÕES!O828=""),NEGOCIAÇÕES!N828,"")</f>
        <v/>
      </c>
    </row>
    <row r="829" spans="2:5" ht="31.95" hidden="1" customHeight="1" x14ac:dyDescent="0.3">
      <c r="B829" s="6" t="str">
        <f ca="1">IF(AND(NEGOCIAÇÕES!O829="",NEGOCIAÇÕES!N829&gt;TODAY()),NEGOCIAÇÕES!C829,"")</f>
        <v/>
      </c>
      <c r="C829" s="6" t="str">
        <f ca="1">IF(AND(NEGOCIAÇÕES!O829="",NEGOCIAÇÕES!N829&gt;TODAY()),NEGOCIAÇÕES!E829,"")</f>
        <v/>
      </c>
      <c r="D829" s="6" t="str">
        <f ca="1">IF(AND(NEGOCIAÇÕES!O829="",NEGOCIAÇÕES!N829&gt;TODAY()),NEGOCIAÇÕES!D829,"")</f>
        <v/>
      </c>
      <c r="E829" s="9" t="str">
        <f>IF(AND(NEGOCIAÇÕES!B829&lt;&gt;"",NEGOCIAÇÕES!O829=""),NEGOCIAÇÕES!N829,"")</f>
        <v/>
      </c>
    </row>
    <row r="830" spans="2:5" ht="31.95" hidden="1" customHeight="1" x14ac:dyDescent="0.3">
      <c r="B830" s="6" t="str">
        <f ca="1">IF(AND(NEGOCIAÇÕES!O830="",NEGOCIAÇÕES!N830&gt;TODAY()),NEGOCIAÇÕES!C830,"")</f>
        <v/>
      </c>
      <c r="C830" s="6" t="str">
        <f ca="1">IF(AND(NEGOCIAÇÕES!O830="",NEGOCIAÇÕES!N830&gt;TODAY()),NEGOCIAÇÕES!E830,"")</f>
        <v/>
      </c>
      <c r="D830" s="6" t="str">
        <f ca="1">IF(AND(NEGOCIAÇÕES!O830="",NEGOCIAÇÕES!N830&gt;TODAY()),NEGOCIAÇÕES!D830,"")</f>
        <v/>
      </c>
      <c r="E830" s="9" t="str">
        <f>IF(AND(NEGOCIAÇÕES!B830&lt;&gt;"",NEGOCIAÇÕES!O830=""),NEGOCIAÇÕES!N830,"")</f>
        <v/>
      </c>
    </row>
    <row r="831" spans="2:5" ht="31.95" hidden="1" customHeight="1" x14ac:dyDescent="0.3">
      <c r="B831" s="6" t="str">
        <f ca="1">IF(AND(NEGOCIAÇÕES!O831="",NEGOCIAÇÕES!N831&gt;TODAY()),NEGOCIAÇÕES!C831,"")</f>
        <v/>
      </c>
      <c r="C831" s="6" t="str">
        <f ca="1">IF(AND(NEGOCIAÇÕES!O831="",NEGOCIAÇÕES!N831&gt;TODAY()),NEGOCIAÇÕES!E831,"")</f>
        <v/>
      </c>
      <c r="D831" s="6" t="str">
        <f ca="1">IF(AND(NEGOCIAÇÕES!O831="",NEGOCIAÇÕES!N831&gt;TODAY()),NEGOCIAÇÕES!D831,"")</f>
        <v/>
      </c>
      <c r="E831" s="9" t="str">
        <f>IF(AND(NEGOCIAÇÕES!B831&lt;&gt;"",NEGOCIAÇÕES!O831=""),NEGOCIAÇÕES!N831,"")</f>
        <v/>
      </c>
    </row>
    <row r="832" spans="2:5" ht="31.95" hidden="1" customHeight="1" x14ac:dyDescent="0.3">
      <c r="B832" s="6" t="str">
        <f ca="1">IF(AND(NEGOCIAÇÕES!O832="",NEGOCIAÇÕES!N832&gt;TODAY()),NEGOCIAÇÕES!C832,"")</f>
        <v/>
      </c>
      <c r="C832" s="6" t="str">
        <f ca="1">IF(AND(NEGOCIAÇÕES!O832="",NEGOCIAÇÕES!N832&gt;TODAY()),NEGOCIAÇÕES!E832,"")</f>
        <v/>
      </c>
      <c r="D832" s="6" t="str">
        <f ca="1">IF(AND(NEGOCIAÇÕES!O832="",NEGOCIAÇÕES!N832&gt;TODAY()),NEGOCIAÇÕES!D832,"")</f>
        <v/>
      </c>
      <c r="E832" s="9" t="str">
        <f>IF(AND(NEGOCIAÇÕES!B832&lt;&gt;"",NEGOCIAÇÕES!O832=""),NEGOCIAÇÕES!N832,"")</f>
        <v/>
      </c>
    </row>
    <row r="833" spans="2:5" ht="31.95" hidden="1" customHeight="1" x14ac:dyDescent="0.3">
      <c r="B833" s="6" t="str">
        <f ca="1">IF(AND(NEGOCIAÇÕES!O833="",NEGOCIAÇÕES!N833&gt;TODAY()),NEGOCIAÇÕES!C833,"")</f>
        <v/>
      </c>
      <c r="C833" s="6" t="str">
        <f ca="1">IF(AND(NEGOCIAÇÕES!O833="",NEGOCIAÇÕES!N833&gt;TODAY()),NEGOCIAÇÕES!E833,"")</f>
        <v/>
      </c>
      <c r="D833" s="6" t="str">
        <f ca="1">IF(AND(NEGOCIAÇÕES!O833="",NEGOCIAÇÕES!N833&gt;TODAY()),NEGOCIAÇÕES!D833,"")</f>
        <v/>
      </c>
      <c r="E833" s="9" t="str">
        <f>IF(AND(NEGOCIAÇÕES!B833&lt;&gt;"",NEGOCIAÇÕES!O833=""),NEGOCIAÇÕES!N833,"")</f>
        <v/>
      </c>
    </row>
    <row r="834" spans="2:5" ht="31.95" hidden="1" customHeight="1" x14ac:dyDescent="0.3">
      <c r="B834" s="6" t="str">
        <f ca="1">IF(AND(NEGOCIAÇÕES!O834="",NEGOCIAÇÕES!N834&gt;TODAY()),NEGOCIAÇÕES!C834,"")</f>
        <v/>
      </c>
      <c r="C834" s="6" t="str">
        <f ca="1">IF(AND(NEGOCIAÇÕES!O834="",NEGOCIAÇÕES!N834&gt;TODAY()),NEGOCIAÇÕES!E834,"")</f>
        <v/>
      </c>
      <c r="D834" s="6" t="str">
        <f ca="1">IF(AND(NEGOCIAÇÕES!O834="",NEGOCIAÇÕES!N834&gt;TODAY()),NEGOCIAÇÕES!D834,"")</f>
        <v/>
      </c>
      <c r="E834" s="9" t="str">
        <f>IF(AND(NEGOCIAÇÕES!B834&lt;&gt;"",NEGOCIAÇÕES!O834=""),NEGOCIAÇÕES!N834,"")</f>
        <v/>
      </c>
    </row>
    <row r="835" spans="2:5" ht="31.95" hidden="1" customHeight="1" x14ac:dyDescent="0.3">
      <c r="B835" s="6" t="str">
        <f ca="1">IF(AND(NEGOCIAÇÕES!O835="",NEGOCIAÇÕES!N835&gt;TODAY()),NEGOCIAÇÕES!C835,"")</f>
        <v/>
      </c>
      <c r="C835" s="6" t="str">
        <f ca="1">IF(AND(NEGOCIAÇÕES!O835="",NEGOCIAÇÕES!N835&gt;TODAY()),NEGOCIAÇÕES!E835,"")</f>
        <v/>
      </c>
      <c r="D835" s="6" t="str">
        <f ca="1">IF(AND(NEGOCIAÇÕES!O835="",NEGOCIAÇÕES!N835&gt;TODAY()),NEGOCIAÇÕES!D835,"")</f>
        <v/>
      </c>
      <c r="E835" s="9" t="str">
        <f>IF(AND(NEGOCIAÇÕES!B835&lt;&gt;"",NEGOCIAÇÕES!O835=""),NEGOCIAÇÕES!N835,"")</f>
        <v/>
      </c>
    </row>
    <row r="836" spans="2:5" ht="31.95" hidden="1" customHeight="1" x14ac:dyDescent="0.3">
      <c r="B836" s="6" t="str">
        <f ca="1">IF(AND(NEGOCIAÇÕES!O836="",NEGOCIAÇÕES!N836&gt;TODAY()),NEGOCIAÇÕES!C836,"")</f>
        <v/>
      </c>
      <c r="C836" s="6" t="str">
        <f ca="1">IF(AND(NEGOCIAÇÕES!O836="",NEGOCIAÇÕES!N836&gt;TODAY()),NEGOCIAÇÕES!E836,"")</f>
        <v/>
      </c>
      <c r="D836" s="6" t="str">
        <f ca="1">IF(AND(NEGOCIAÇÕES!O836="",NEGOCIAÇÕES!N836&gt;TODAY()),NEGOCIAÇÕES!D836,"")</f>
        <v/>
      </c>
      <c r="E836" s="9" t="str">
        <f>IF(AND(NEGOCIAÇÕES!B836&lt;&gt;"",NEGOCIAÇÕES!O836=""),NEGOCIAÇÕES!N836,"")</f>
        <v/>
      </c>
    </row>
    <row r="837" spans="2:5" ht="31.95" hidden="1" customHeight="1" x14ac:dyDescent="0.3">
      <c r="B837" s="6" t="str">
        <f ca="1">IF(AND(NEGOCIAÇÕES!O837="",NEGOCIAÇÕES!N837&gt;TODAY()),NEGOCIAÇÕES!C837,"")</f>
        <v/>
      </c>
      <c r="C837" s="6" t="str">
        <f ca="1">IF(AND(NEGOCIAÇÕES!O837="",NEGOCIAÇÕES!N837&gt;TODAY()),NEGOCIAÇÕES!E837,"")</f>
        <v/>
      </c>
      <c r="D837" s="6" t="str">
        <f ca="1">IF(AND(NEGOCIAÇÕES!O837="",NEGOCIAÇÕES!N837&gt;TODAY()),NEGOCIAÇÕES!D837,"")</f>
        <v/>
      </c>
      <c r="E837" s="9" t="str">
        <f>IF(AND(NEGOCIAÇÕES!B837&lt;&gt;"",NEGOCIAÇÕES!O837=""),NEGOCIAÇÕES!N837,"")</f>
        <v/>
      </c>
    </row>
    <row r="838" spans="2:5" ht="31.95" hidden="1" customHeight="1" x14ac:dyDescent="0.3">
      <c r="B838" s="6" t="str">
        <f ca="1">IF(AND(NEGOCIAÇÕES!O838="",NEGOCIAÇÕES!N838&gt;TODAY()),NEGOCIAÇÕES!C838,"")</f>
        <v/>
      </c>
      <c r="C838" s="6" t="str">
        <f ca="1">IF(AND(NEGOCIAÇÕES!O838="",NEGOCIAÇÕES!N838&gt;TODAY()),NEGOCIAÇÕES!E838,"")</f>
        <v/>
      </c>
      <c r="D838" s="6" t="str">
        <f ca="1">IF(AND(NEGOCIAÇÕES!O838="",NEGOCIAÇÕES!N838&gt;TODAY()),NEGOCIAÇÕES!D838,"")</f>
        <v/>
      </c>
      <c r="E838" s="9" t="str">
        <f>IF(AND(NEGOCIAÇÕES!B838&lt;&gt;"",NEGOCIAÇÕES!O838=""),NEGOCIAÇÕES!N838,"")</f>
        <v/>
      </c>
    </row>
    <row r="839" spans="2:5" ht="31.95" hidden="1" customHeight="1" x14ac:dyDescent="0.3">
      <c r="B839" s="6" t="str">
        <f ca="1">IF(AND(NEGOCIAÇÕES!O839="",NEGOCIAÇÕES!N839&gt;TODAY()),NEGOCIAÇÕES!C839,"")</f>
        <v/>
      </c>
      <c r="C839" s="6" t="str">
        <f ca="1">IF(AND(NEGOCIAÇÕES!O839="",NEGOCIAÇÕES!N839&gt;TODAY()),NEGOCIAÇÕES!E839,"")</f>
        <v/>
      </c>
      <c r="D839" s="6" t="str">
        <f ca="1">IF(AND(NEGOCIAÇÕES!O839="",NEGOCIAÇÕES!N839&gt;TODAY()),NEGOCIAÇÕES!D839,"")</f>
        <v/>
      </c>
      <c r="E839" s="9" t="str">
        <f>IF(AND(NEGOCIAÇÕES!B839&lt;&gt;"",NEGOCIAÇÕES!O839=""),NEGOCIAÇÕES!N839,"")</f>
        <v/>
      </c>
    </row>
    <row r="840" spans="2:5" ht="31.95" hidden="1" customHeight="1" x14ac:dyDescent="0.3">
      <c r="B840" s="6" t="str">
        <f ca="1">IF(AND(NEGOCIAÇÕES!O840="",NEGOCIAÇÕES!N840&gt;TODAY()),NEGOCIAÇÕES!C840,"")</f>
        <v/>
      </c>
      <c r="C840" s="6" t="str">
        <f ca="1">IF(AND(NEGOCIAÇÕES!O840="",NEGOCIAÇÕES!N840&gt;TODAY()),NEGOCIAÇÕES!E840,"")</f>
        <v/>
      </c>
      <c r="D840" s="6" t="str">
        <f ca="1">IF(AND(NEGOCIAÇÕES!O840="",NEGOCIAÇÕES!N840&gt;TODAY()),NEGOCIAÇÕES!D840,"")</f>
        <v/>
      </c>
      <c r="E840" s="9" t="str">
        <f>IF(AND(NEGOCIAÇÕES!B840&lt;&gt;"",NEGOCIAÇÕES!O840=""),NEGOCIAÇÕES!N840,"")</f>
        <v/>
      </c>
    </row>
    <row r="841" spans="2:5" ht="31.95" hidden="1" customHeight="1" x14ac:dyDescent="0.3">
      <c r="B841" s="6" t="str">
        <f ca="1">IF(AND(NEGOCIAÇÕES!O841="",NEGOCIAÇÕES!N841&gt;TODAY()),NEGOCIAÇÕES!C841,"")</f>
        <v/>
      </c>
      <c r="C841" s="6" t="str">
        <f ca="1">IF(AND(NEGOCIAÇÕES!O841="",NEGOCIAÇÕES!N841&gt;TODAY()),NEGOCIAÇÕES!E841,"")</f>
        <v/>
      </c>
      <c r="D841" s="6" t="str">
        <f ca="1">IF(AND(NEGOCIAÇÕES!O841="",NEGOCIAÇÕES!N841&gt;TODAY()),NEGOCIAÇÕES!D841,"")</f>
        <v/>
      </c>
      <c r="E841" s="9" t="str">
        <f>IF(AND(NEGOCIAÇÕES!B841&lt;&gt;"",NEGOCIAÇÕES!O841=""),NEGOCIAÇÕES!N841,"")</f>
        <v/>
      </c>
    </row>
    <row r="842" spans="2:5" ht="31.95" hidden="1" customHeight="1" x14ac:dyDescent="0.3">
      <c r="B842" s="6" t="str">
        <f ca="1">IF(AND(NEGOCIAÇÕES!O842="",NEGOCIAÇÕES!N842&gt;TODAY()),NEGOCIAÇÕES!C842,"")</f>
        <v/>
      </c>
      <c r="C842" s="6" t="str">
        <f ca="1">IF(AND(NEGOCIAÇÕES!O842="",NEGOCIAÇÕES!N842&gt;TODAY()),NEGOCIAÇÕES!E842,"")</f>
        <v/>
      </c>
      <c r="D842" s="6" t="str">
        <f ca="1">IF(AND(NEGOCIAÇÕES!O842="",NEGOCIAÇÕES!N842&gt;TODAY()),NEGOCIAÇÕES!D842,"")</f>
        <v/>
      </c>
      <c r="E842" s="9" t="str">
        <f>IF(AND(NEGOCIAÇÕES!B842&lt;&gt;"",NEGOCIAÇÕES!O842=""),NEGOCIAÇÕES!N842,"")</f>
        <v/>
      </c>
    </row>
    <row r="843" spans="2:5" ht="31.95" hidden="1" customHeight="1" x14ac:dyDescent="0.3">
      <c r="B843" s="6" t="str">
        <f ca="1">IF(AND(NEGOCIAÇÕES!O843="",NEGOCIAÇÕES!N843&gt;TODAY()),NEGOCIAÇÕES!C843,"")</f>
        <v/>
      </c>
      <c r="C843" s="6" t="str">
        <f ca="1">IF(AND(NEGOCIAÇÕES!O843="",NEGOCIAÇÕES!N843&gt;TODAY()),NEGOCIAÇÕES!E843,"")</f>
        <v/>
      </c>
      <c r="D843" s="6" t="str">
        <f ca="1">IF(AND(NEGOCIAÇÕES!O843="",NEGOCIAÇÕES!N843&gt;TODAY()),NEGOCIAÇÕES!D843,"")</f>
        <v/>
      </c>
      <c r="E843" s="9" t="str">
        <f>IF(AND(NEGOCIAÇÕES!B843&lt;&gt;"",NEGOCIAÇÕES!O843=""),NEGOCIAÇÕES!N843,"")</f>
        <v/>
      </c>
    </row>
    <row r="844" spans="2:5" ht="31.95" hidden="1" customHeight="1" x14ac:dyDescent="0.3">
      <c r="B844" s="6" t="str">
        <f ca="1">IF(AND(NEGOCIAÇÕES!O844="",NEGOCIAÇÕES!N844&gt;TODAY()),NEGOCIAÇÕES!C844,"")</f>
        <v/>
      </c>
      <c r="C844" s="6" t="str">
        <f ca="1">IF(AND(NEGOCIAÇÕES!O844="",NEGOCIAÇÕES!N844&gt;TODAY()),NEGOCIAÇÕES!E844,"")</f>
        <v/>
      </c>
      <c r="D844" s="6" t="str">
        <f ca="1">IF(AND(NEGOCIAÇÕES!O844="",NEGOCIAÇÕES!N844&gt;TODAY()),NEGOCIAÇÕES!D844,"")</f>
        <v/>
      </c>
      <c r="E844" s="9" t="str">
        <f>IF(AND(NEGOCIAÇÕES!B844&lt;&gt;"",NEGOCIAÇÕES!O844=""),NEGOCIAÇÕES!N844,"")</f>
        <v/>
      </c>
    </row>
    <row r="845" spans="2:5" ht="31.95" hidden="1" customHeight="1" x14ac:dyDescent="0.3">
      <c r="B845" s="6" t="str">
        <f ca="1">IF(AND(NEGOCIAÇÕES!O845="",NEGOCIAÇÕES!N845&gt;TODAY()),NEGOCIAÇÕES!C845,"")</f>
        <v/>
      </c>
      <c r="C845" s="6" t="str">
        <f ca="1">IF(AND(NEGOCIAÇÕES!O845="",NEGOCIAÇÕES!N845&gt;TODAY()),NEGOCIAÇÕES!E845,"")</f>
        <v/>
      </c>
      <c r="D845" s="6" t="str">
        <f ca="1">IF(AND(NEGOCIAÇÕES!O845="",NEGOCIAÇÕES!N845&gt;TODAY()),NEGOCIAÇÕES!D845,"")</f>
        <v/>
      </c>
      <c r="E845" s="9" t="str">
        <f>IF(AND(NEGOCIAÇÕES!B845&lt;&gt;"",NEGOCIAÇÕES!O845=""),NEGOCIAÇÕES!N845,"")</f>
        <v/>
      </c>
    </row>
    <row r="846" spans="2:5" ht="31.95" hidden="1" customHeight="1" x14ac:dyDescent="0.3">
      <c r="B846" s="6" t="str">
        <f ca="1">IF(AND(NEGOCIAÇÕES!O846="",NEGOCIAÇÕES!N846&gt;TODAY()),NEGOCIAÇÕES!C846,"")</f>
        <v/>
      </c>
      <c r="C846" s="6" t="str">
        <f ca="1">IF(AND(NEGOCIAÇÕES!O846="",NEGOCIAÇÕES!N846&gt;TODAY()),NEGOCIAÇÕES!E846,"")</f>
        <v/>
      </c>
      <c r="D846" s="6" t="str">
        <f ca="1">IF(AND(NEGOCIAÇÕES!O846="",NEGOCIAÇÕES!N846&gt;TODAY()),NEGOCIAÇÕES!D846,"")</f>
        <v/>
      </c>
      <c r="E846" s="9" t="str">
        <f>IF(AND(NEGOCIAÇÕES!B846&lt;&gt;"",NEGOCIAÇÕES!O846=""),NEGOCIAÇÕES!N846,"")</f>
        <v/>
      </c>
    </row>
    <row r="847" spans="2:5" ht="31.95" hidden="1" customHeight="1" x14ac:dyDescent="0.3">
      <c r="B847" s="6" t="str">
        <f ca="1">IF(AND(NEGOCIAÇÕES!O847="",NEGOCIAÇÕES!N847&gt;TODAY()),NEGOCIAÇÕES!C847,"")</f>
        <v/>
      </c>
      <c r="C847" s="6" t="str">
        <f ca="1">IF(AND(NEGOCIAÇÕES!O847="",NEGOCIAÇÕES!N847&gt;TODAY()),NEGOCIAÇÕES!E847,"")</f>
        <v/>
      </c>
      <c r="D847" s="6" t="str">
        <f ca="1">IF(AND(NEGOCIAÇÕES!O847="",NEGOCIAÇÕES!N847&gt;TODAY()),NEGOCIAÇÕES!D847,"")</f>
        <v/>
      </c>
      <c r="E847" s="9" t="str">
        <f>IF(AND(NEGOCIAÇÕES!B847&lt;&gt;"",NEGOCIAÇÕES!O847=""),NEGOCIAÇÕES!N847,"")</f>
        <v/>
      </c>
    </row>
    <row r="848" spans="2:5" ht="31.95" hidden="1" customHeight="1" x14ac:dyDescent="0.3">
      <c r="B848" s="6" t="str">
        <f ca="1">IF(AND(NEGOCIAÇÕES!O848="",NEGOCIAÇÕES!N848&gt;TODAY()),NEGOCIAÇÕES!C848,"")</f>
        <v/>
      </c>
      <c r="C848" s="6" t="str">
        <f ca="1">IF(AND(NEGOCIAÇÕES!O848="",NEGOCIAÇÕES!N848&gt;TODAY()),NEGOCIAÇÕES!E848,"")</f>
        <v/>
      </c>
      <c r="D848" s="6" t="str">
        <f ca="1">IF(AND(NEGOCIAÇÕES!O848="",NEGOCIAÇÕES!N848&gt;TODAY()),NEGOCIAÇÕES!D848,"")</f>
        <v/>
      </c>
      <c r="E848" s="9" t="str">
        <f>IF(AND(NEGOCIAÇÕES!B848&lt;&gt;"",NEGOCIAÇÕES!O848=""),NEGOCIAÇÕES!N848,"")</f>
        <v/>
      </c>
    </row>
    <row r="849" spans="2:5" ht="31.95" hidden="1" customHeight="1" x14ac:dyDescent="0.3">
      <c r="B849" s="6" t="str">
        <f ca="1">IF(AND(NEGOCIAÇÕES!O849="",NEGOCIAÇÕES!N849&gt;TODAY()),NEGOCIAÇÕES!C849,"")</f>
        <v/>
      </c>
      <c r="C849" s="6" t="str">
        <f ca="1">IF(AND(NEGOCIAÇÕES!O849="",NEGOCIAÇÕES!N849&gt;TODAY()),NEGOCIAÇÕES!E849,"")</f>
        <v/>
      </c>
      <c r="D849" s="6" t="str">
        <f ca="1">IF(AND(NEGOCIAÇÕES!O849="",NEGOCIAÇÕES!N849&gt;TODAY()),NEGOCIAÇÕES!D849,"")</f>
        <v/>
      </c>
      <c r="E849" s="9" t="str">
        <f>IF(AND(NEGOCIAÇÕES!B849&lt;&gt;"",NEGOCIAÇÕES!O849=""),NEGOCIAÇÕES!N849,"")</f>
        <v/>
      </c>
    </row>
    <row r="850" spans="2:5" ht="31.95" hidden="1" customHeight="1" x14ac:dyDescent="0.3">
      <c r="B850" s="6" t="str">
        <f ca="1">IF(AND(NEGOCIAÇÕES!O850="",NEGOCIAÇÕES!N850&gt;TODAY()),NEGOCIAÇÕES!C850,"")</f>
        <v/>
      </c>
      <c r="C850" s="6" t="str">
        <f ca="1">IF(AND(NEGOCIAÇÕES!O850="",NEGOCIAÇÕES!N850&gt;TODAY()),NEGOCIAÇÕES!E850,"")</f>
        <v/>
      </c>
      <c r="D850" s="6" t="str">
        <f ca="1">IF(AND(NEGOCIAÇÕES!O850="",NEGOCIAÇÕES!N850&gt;TODAY()),NEGOCIAÇÕES!D850,"")</f>
        <v/>
      </c>
      <c r="E850" s="9" t="str">
        <f>IF(AND(NEGOCIAÇÕES!B850&lt;&gt;"",NEGOCIAÇÕES!O850=""),NEGOCIAÇÕES!N850,"")</f>
        <v/>
      </c>
    </row>
    <row r="851" spans="2:5" ht="31.95" hidden="1" customHeight="1" x14ac:dyDescent="0.3">
      <c r="B851" s="6" t="str">
        <f ca="1">IF(AND(NEGOCIAÇÕES!O851="",NEGOCIAÇÕES!N851&gt;TODAY()),NEGOCIAÇÕES!C851,"")</f>
        <v/>
      </c>
      <c r="C851" s="6" t="str">
        <f ca="1">IF(AND(NEGOCIAÇÕES!O851="",NEGOCIAÇÕES!N851&gt;TODAY()),NEGOCIAÇÕES!E851,"")</f>
        <v/>
      </c>
      <c r="D851" s="6" t="str">
        <f ca="1">IF(AND(NEGOCIAÇÕES!O851="",NEGOCIAÇÕES!N851&gt;TODAY()),NEGOCIAÇÕES!D851,"")</f>
        <v/>
      </c>
      <c r="E851" s="9" t="str">
        <f>IF(AND(NEGOCIAÇÕES!B851&lt;&gt;"",NEGOCIAÇÕES!O851=""),NEGOCIAÇÕES!N851,"")</f>
        <v/>
      </c>
    </row>
    <row r="852" spans="2:5" ht="31.95" hidden="1" customHeight="1" x14ac:dyDescent="0.3">
      <c r="B852" s="6" t="str">
        <f ca="1">IF(AND(NEGOCIAÇÕES!O852="",NEGOCIAÇÕES!N852&gt;TODAY()),NEGOCIAÇÕES!C852,"")</f>
        <v/>
      </c>
      <c r="C852" s="6" t="str">
        <f ca="1">IF(AND(NEGOCIAÇÕES!O852="",NEGOCIAÇÕES!N852&gt;TODAY()),NEGOCIAÇÕES!E852,"")</f>
        <v/>
      </c>
      <c r="D852" s="6" t="str">
        <f ca="1">IF(AND(NEGOCIAÇÕES!O852="",NEGOCIAÇÕES!N852&gt;TODAY()),NEGOCIAÇÕES!D852,"")</f>
        <v/>
      </c>
      <c r="E852" s="9" t="str">
        <f>IF(AND(NEGOCIAÇÕES!B852&lt;&gt;"",NEGOCIAÇÕES!O852=""),NEGOCIAÇÕES!N852,"")</f>
        <v/>
      </c>
    </row>
    <row r="853" spans="2:5" ht="31.95" hidden="1" customHeight="1" x14ac:dyDescent="0.3">
      <c r="B853" s="6" t="str">
        <f ca="1">IF(AND(NEGOCIAÇÕES!O853="",NEGOCIAÇÕES!N853&gt;TODAY()),NEGOCIAÇÕES!C853,"")</f>
        <v/>
      </c>
      <c r="C853" s="6" t="str">
        <f ca="1">IF(AND(NEGOCIAÇÕES!O853="",NEGOCIAÇÕES!N853&gt;TODAY()),NEGOCIAÇÕES!E853,"")</f>
        <v/>
      </c>
      <c r="D853" s="6" t="str">
        <f ca="1">IF(AND(NEGOCIAÇÕES!O853="",NEGOCIAÇÕES!N853&gt;TODAY()),NEGOCIAÇÕES!D853,"")</f>
        <v/>
      </c>
      <c r="E853" s="9" t="str">
        <f>IF(AND(NEGOCIAÇÕES!B853&lt;&gt;"",NEGOCIAÇÕES!O853=""),NEGOCIAÇÕES!N853,"")</f>
        <v/>
      </c>
    </row>
    <row r="854" spans="2:5" ht="31.95" hidden="1" customHeight="1" x14ac:dyDescent="0.3">
      <c r="B854" s="6" t="str">
        <f ca="1">IF(AND(NEGOCIAÇÕES!O854="",NEGOCIAÇÕES!N854&gt;TODAY()),NEGOCIAÇÕES!C854,"")</f>
        <v/>
      </c>
      <c r="C854" s="6" t="str">
        <f ca="1">IF(AND(NEGOCIAÇÕES!O854="",NEGOCIAÇÕES!N854&gt;TODAY()),NEGOCIAÇÕES!E854,"")</f>
        <v/>
      </c>
      <c r="D854" s="6" t="str">
        <f ca="1">IF(AND(NEGOCIAÇÕES!O854="",NEGOCIAÇÕES!N854&gt;TODAY()),NEGOCIAÇÕES!D854,"")</f>
        <v/>
      </c>
      <c r="E854" s="9" t="str">
        <f>IF(AND(NEGOCIAÇÕES!B854&lt;&gt;"",NEGOCIAÇÕES!O854=""),NEGOCIAÇÕES!N854,"")</f>
        <v/>
      </c>
    </row>
    <row r="855" spans="2:5" ht="31.95" hidden="1" customHeight="1" x14ac:dyDescent="0.3">
      <c r="B855" s="6" t="str">
        <f ca="1">IF(AND(NEGOCIAÇÕES!O855="",NEGOCIAÇÕES!N855&gt;TODAY()),NEGOCIAÇÕES!C855,"")</f>
        <v/>
      </c>
      <c r="C855" s="6" t="str">
        <f ca="1">IF(AND(NEGOCIAÇÕES!O855="",NEGOCIAÇÕES!N855&gt;TODAY()),NEGOCIAÇÕES!E855,"")</f>
        <v/>
      </c>
      <c r="D855" s="6" t="str">
        <f ca="1">IF(AND(NEGOCIAÇÕES!O855="",NEGOCIAÇÕES!N855&gt;TODAY()),NEGOCIAÇÕES!D855,"")</f>
        <v/>
      </c>
      <c r="E855" s="9" t="str">
        <f>IF(AND(NEGOCIAÇÕES!B855&lt;&gt;"",NEGOCIAÇÕES!O855=""),NEGOCIAÇÕES!N855,"")</f>
        <v/>
      </c>
    </row>
    <row r="856" spans="2:5" ht="31.95" hidden="1" customHeight="1" x14ac:dyDescent="0.3">
      <c r="B856" s="6" t="str">
        <f ca="1">IF(AND(NEGOCIAÇÕES!O856="",NEGOCIAÇÕES!N856&gt;TODAY()),NEGOCIAÇÕES!C856,"")</f>
        <v/>
      </c>
      <c r="C856" s="6" t="str">
        <f ca="1">IF(AND(NEGOCIAÇÕES!O856="",NEGOCIAÇÕES!N856&gt;TODAY()),NEGOCIAÇÕES!E856,"")</f>
        <v/>
      </c>
      <c r="D856" s="6" t="str">
        <f ca="1">IF(AND(NEGOCIAÇÕES!O856="",NEGOCIAÇÕES!N856&gt;TODAY()),NEGOCIAÇÕES!D856,"")</f>
        <v/>
      </c>
      <c r="E856" s="9" t="str">
        <f>IF(AND(NEGOCIAÇÕES!B856&lt;&gt;"",NEGOCIAÇÕES!O856=""),NEGOCIAÇÕES!N856,"")</f>
        <v/>
      </c>
    </row>
    <row r="857" spans="2:5" ht="31.95" hidden="1" customHeight="1" x14ac:dyDescent="0.3">
      <c r="B857" s="6" t="str">
        <f ca="1">IF(AND(NEGOCIAÇÕES!O857="",NEGOCIAÇÕES!N857&gt;TODAY()),NEGOCIAÇÕES!C857,"")</f>
        <v/>
      </c>
      <c r="C857" s="6" t="str">
        <f ca="1">IF(AND(NEGOCIAÇÕES!O857="",NEGOCIAÇÕES!N857&gt;TODAY()),NEGOCIAÇÕES!E857,"")</f>
        <v/>
      </c>
      <c r="D857" s="6" t="str">
        <f ca="1">IF(AND(NEGOCIAÇÕES!O857="",NEGOCIAÇÕES!N857&gt;TODAY()),NEGOCIAÇÕES!D857,"")</f>
        <v/>
      </c>
      <c r="E857" s="9" t="str">
        <f>IF(AND(NEGOCIAÇÕES!B857&lt;&gt;"",NEGOCIAÇÕES!O857=""),NEGOCIAÇÕES!N857,"")</f>
        <v/>
      </c>
    </row>
    <row r="858" spans="2:5" ht="31.95" hidden="1" customHeight="1" x14ac:dyDescent="0.3">
      <c r="B858" s="6" t="str">
        <f ca="1">IF(AND(NEGOCIAÇÕES!O858="",NEGOCIAÇÕES!N858&gt;TODAY()),NEGOCIAÇÕES!C858,"")</f>
        <v/>
      </c>
      <c r="C858" s="6" t="str">
        <f ca="1">IF(AND(NEGOCIAÇÕES!O858="",NEGOCIAÇÕES!N858&gt;TODAY()),NEGOCIAÇÕES!E858,"")</f>
        <v/>
      </c>
      <c r="D858" s="6" t="str">
        <f ca="1">IF(AND(NEGOCIAÇÕES!O858="",NEGOCIAÇÕES!N858&gt;TODAY()),NEGOCIAÇÕES!D858,"")</f>
        <v/>
      </c>
      <c r="E858" s="9" t="str">
        <f>IF(AND(NEGOCIAÇÕES!B858&lt;&gt;"",NEGOCIAÇÕES!O858=""),NEGOCIAÇÕES!N858,"")</f>
        <v/>
      </c>
    </row>
    <row r="859" spans="2:5" ht="31.95" hidden="1" customHeight="1" x14ac:dyDescent="0.3">
      <c r="B859" s="6" t="str">
        <f ca="1">IF(AND(NEGOCIAÇÕES!O859="",NEGOCIAÇÕES!N859&gt;TODAY()),NEGOCIAÇÕES!C859,"")</f>
        <v/>
      </c>
      <c r="C859" s="6" t="str">
        <f ca="1">IF(AND(NEGOCIAÇÕES!O859="",NEGOCIAÇÕES!N859&gt;TODAY()),NEGOCIAÇÕES!E859,"")</f>
        <v/>
      </c>
      <c r="D859" s="6" t="str">
        <f ca="1">IF(AND(NEGOCIAÇÕES!O859="",NEGOCIAÇÕES!N859&gt;TODAY()),NEGOCIAÇÕES!D859,"")</f>
        <v/>
      </c>
      <c r="E859" s="9" t="str">
        <f>IF(AND(NEGOCIAÇÕES!B859&lt;&gt;"",NEGOCIAÇÕES!O859=""),NEGOCIAÇÕES!N859,"")</f>
        <v/>
      </c>
    </row>
    <row r="860" spans="2:5" ht="31.95" hidden="1" customHeight="1" x14ac:dyDescent="0.3">
      <c r="B860" s="6" t="str">
        <f ca="1">IF(AND(NEGOCIAÇÕES!O860="",NEGOCIAÇÕES!N860&gt;TODAY()),NEGOCIAÇÕES!C860,"")</f>
        <v/>
      </c>
      <c r="C860" s="6" t="str">
        <f ca="1">IF(AND(NEGOCIAÇÕES!O860="",NEGOCIAÇÕES!N860&gt;TODAY()),NEGOCIAÇÕES!E860,"")</f>
        <v/>
      </c>
      <c r="D860" s="6" t="str">
        <f ca="1">IF(AND(NEGOCIAÇÕES!O860="",NEGOCIAÇÕES!N860&gt;TODAY()),NEGOCIAÇÕES!D860,"")</f>
        <v/>
      </c>
      <c r="E860" s="9" t="str">
        <f>IF(AND(NEGOCIAÇÕES!B860&lt;&gt;"",NEGOCIAÇÕES!O860=""),NEGOCIAÇÕES!N860,"")</f>
        <v/>
      </c>
    </row>
    <row r="861" spans="2:5" ht="31.95" hidden="1" customHeight="1" x14ac:dyDescent="0.3">
      <c r="B861" s="6" t="str">
        <f ca="1">IF(AND(NEGOCIAÇÕES!O861="",NEGOCIAÇÕES!N861&gt;TODAY()),NEGOCIAÇÕES!C861,"")</f>
        <v/>
      </c>
      <c r="C861" s="6" t="str">
        <f ca="1">IF(AND(NEGOCIAÇÕES!O861="",NEGOCIAÇÕES!N861&gt;TODAY()),NEGOCIAÇÕES!E861,"")</f>
        <v/>
      </c>
      <c r="D861" s="6" t="str">
        <f ca="1">IF(AND(NEGOCIAÇÕES!O861="",NEGOCIAÇÕES!N861&gt;TODAY()),NEGOCIAÇÕES!D861,"")</f>
        <v/>
      </c>
      <c r="E861" s="9" t="str">
        <f>IF(AND(NEGOCIAÇÕES!B861&lt;&gt;"",NEGOCIAÇÕES!O861=""),NEGOCIAÇÕES!N861,"")</f>
        <v/>
      </c>
    </row>
    <row r="862" spans="2:5" ht="31.95" hidden="1" customHeight="1" x14ac:dyDescent="0.3">
      <c r="B862" s="6" t="str">
        <f ca="1">IF(AND(NEGOCIAÇÕES!O862="",NEGOCIAÇÕES!N862&gt;TODAY()),NEGOCIAÇÕES!C862,"")</f>
        <v/>
      </c>
      <c r="C862" s="6" t="str">
        <f ca="1">IF(AND(NEGOCIAÇÕES!O862="",NEGOCIAÇÕES!N862&gt;TODAY()),NEGOCIAÇÕES!E862,"")</f>
        <v/>
      </c>
      <c r="D862" s="6" t="str">
        <f ca="1">IF(AND(NEGOCIAÇÕES!O862="",NEGOCIAÇÕES!N862&gt;TODAY()),NEGOCIAÇÕES!D862,"")</f>
        <v/>
      </c>
      <c r="E862" s="9" t="str">
        <f>IF(AND(NEGOCIAÇÕES!B862&lt;&gt;"",NEGOCIAÇÕES!O862=""),NEGOCIAÇÕES!N862,"")</f>
        <v/>
      </c>
    </row>
    <row r="863" spans="2:5" ht="31.95" hidden="1" customHeight="1" x14ac:dyDescent="0.3">
      <c r="B863" s="6" t="str">
        <f ca="1">IF(AND(NEGOCIAÇÕES!O863="",NEGOCIAÇÕES!N863&gt;TODAY()),NEGOCIAÇÕES!C863,"")</f>
        <v/>
      </c>
      <c r="C863" s="6" t="str">
        <f ca="1">IF(AND(NEGOCIAÇÕES!O863="",NEGOCIAÇÕES!N863&gt;TODAY()),NEGOCIAÇÕES!E863,"")</f>
        <v/>
      </c>
      <c r="D863" s="6" t="str">
        <f ca="1">IF(AND(NEGOCIAÇÕES!O863="",NEGOCIAÇÕES!N863&gt;TODAY()),NEGOCIAÇÕES!D863,"")</f>
        <v/>
      </c>
      <c r="E863" s="9" t="str">
        <f>IF(AND(NEGOCIAÇÕES!B863&lt;&gt;"",NEGOCIAÇÕES!O863=""),NEGOCIAÇÕES!N863,"")</f>
        <v/>
      </c>
    </row>
    <row r="864" spans="2:5" ht="31.95" hidden="1" customHeight="1" x14ac:dyDescent="0.3">
      <c r="B864" s="6" t="str">
        <f ca="1">IF(AND(NEGOCIAÇÕES!O864="",NEGOCIAÇÕES!N864&gt;TODAY()),NEGOCIAÇÕES!C864,"")</f>
        <v/>
      </c>
      <c r="C864" s="6" t="str">
        <f ca="1">IF(AND(NEGOCIAÇÕES!O864="",NEGOCIAÇÕES!N864&gt;TODAY()),NEGOCIAÇÕES!E864,"")</f>
        <v/>
      </c>
      <c r="D864" s="6" t="str">
        <f ca="1">IF(AND(NEGOCIAÇÕES!O864="",NEGOCIAÇÕES!N864&gt;TODAY()),NEGOCIAÇÕES!D864,"")</f>
        <v/>
      </c>
      <c r="E864" s="9" t="str">
        <f>IF(AND(NEGOCIAÇÕES!B864&lt;&gt;"",NEGOCIAÇÕES!O864=""),NEGOCIAÇÕES!N864,"")</f>
        <v/>
      </c>
    </row>
    <row r="865" spans="2:5" ht="31.95" hidden="1" customHeight="1" x14ac:dyDescent="0.3">
      <c r="B865" s="6" t="str">
        <f ca="1">IF(AND(NEGOCIAÇÕES!O865="",NEGOCIAÇÕES!N865&gt;TODAY()),NEGOCIAÇÕES!C865,"")</f>
        <v/>
      </c>
      <c r="C865" s="6" t="str">
        <f ca="1">IF(AND(NEGOCIAÇÕES!O865="",NEGOCIAÇÕES!N865&gt;TODAY()),NEGOCIAÇÕES!E865,"")</f>
        <v/>
      </c>
      <c r="D865" s="6" t="str">
        <f ca="1">IF(AND(NEGOCIAÇÕES!O865="",NEGOCIAÇÕES!N865&gt;TODAY()),NEGOCIAÇÕES!D865,"")</f>
        <v/>
      </c>
      <c r="E865" s="9" t="str">
        <f>IF(AND(NEGOCIAÇÕES!B865&lt;&gt;"",NEGOCIAÇÕES!O865=""),NEGOCIAÇÕES!N865,"")</f>
        <v/>
      </c>
    </row>
    <row r="866" spans="2:5" ht="31.95" hidden="1" customHeight="1" x14ac:dyDescent="0.3">
      <c r="B866" s="6" t="str">
        <f ca="1">IF(AND(NEGOCIAÇÕES!O866="",NEGOCIAÇÕES!N866&gt;TODAY()),NEGOCIAÇÕES!C866,"")</f>
        <v/>
      </c>
      <c r="C866" s="6" t="str">
        <f ca="1">IF(AND(NEGOCIAÇÕES!O866="",NEGOCIAÇÕES!N866&gt;TODAY()),NEGOCIAÇÕES!E866,"")</f>
        <v/>
      </c>
      <c r="D866" s="6" t="str">
        <f ca="1">IF(AND(NEGOCIAÇÕES!O866="",NEGOCIAÇÕES!N866&gt;TODAY()),NEGOCIAÇÕES!D866,"")</f>
        <v/>
      </c>
      <c r="E866" s="9" t="str">
        <f>IF(AND(NEGOCIAÇÕES!B866&lt;&gt;"",NEGOCIAÇÕES!O866=""),NEGOCIAÇÕES!N866,"")</f>
        <v/>
      </c>
    </row>
    <row r="867" spans="2:5" ht="31.95" hidden="1" customHeight="1" x14ac:dyDescent="0.3">
      <c r="B867" s="6" t="str">
        <f ca="1">IF(AND(NEGOCIAÇÕES!O867="",NEGOCIAÇÕES!N867&gt;TODAY()),NEGOCIAÇÕES!C867,"")</f>
        <v/>
      </c>
      <c r="C867" s="6" t="str">
        <f ca="1">IF(AND(NEGOCIAÇÕES!O867="",NEGOCIAÇÕES!N867&gt;TODAY()),NEGOCIAÇÕES!E867,"")</f>
        <v/>
      </c>
      <c r="D867" s="6" t="str">
        <f ca="1">IF(AND(NEGOCIAÇÕES!O867="",NEGOCIAÇÕES!N867&gt;TODAY()),NEGOCIAÇÕES!D867,"")</f>
        <v/>
      </c>
      <c r="E867" s="9" t="str">
        <f>IF(AND(NEGOCIAÇÕES!B867&lt;&gt;"",NEGOCIAÇÕES!O867=""),NEGOCIAÇÕES!N867,"")</f>
        <v/>
      </c>
    </row>
    <row r="868" spans="2:5" ht="31.95" hidden="1" customHeight="1" x14ac:dyDescent="0.3">
      <c r="B868" s="6" t="str">
        <f ca="1">IF(AND(NEGOCIAÇÕES!O868="",NEGOCIAÇÕES!N868&gt;TODAY()),NEGOCIAÇÕES!C868,"")</f>
        <v/>
      </c>
      <c r="C868" s="6" t="str">
        <f ca="1">IF(AND(NEGOCIAÇÕES!O868="",NEGOCIAÇÕES!N868&gt;TODAY()),NEGOCIAÇÕES!E868,"")</f>
        <v/>
      </c>
      <c r="D868" s="6" t="str">
        <f ca="1">IF(AND(NEGOCIAÇÕES!O868="",NEGOCIAÇÕES!N868&gt;TODAY()),NEGOCIAÇÕES!D868,"")</f>
        <v/>
      </c>
      <c r="E868" s="9" t="str">
        <f>IF(AND(NEGOCIAÇÕES!B868&lt;&gt;"",NEGOCIAÇÕES!O868=""),NEGOCIAÇÕES!N868,"")</f>
        <v/>
      </c>
    </row>
    <row r="869" spans="2:5" ht="31.95" hidden="1" customHeight="1" x14ac:dyDescent="0.3">
      <c r="B869" s="6" t="str">
        <f ca="1">IF(AND(NEGOCIAÇÕES!O869="",NEGOCIAÇÕES!N869&gt;TODAY()),NEGOCIAÇÕES!C869,"")</f>
        <v/>
      </c>
      <c r="C869" s="6" t="str">
        <f ca="1">IF(AND(NEGOCIAÇÕES!O869="",NEGOCIAÇÕES!N869&gt;TODAY()),NEGOCIAÇÕES!E869,"")</f>
        <v/>
      </c>
      <c r="D869" s="6" t="str">
        <f ca="1">IF(AND(NEGOCIAÇÕES!O869="",NEGOCIAÇÕES!N869&gt;TODAY()),NEGOCIAÇÕES!D869,"")</f>
        <v/>
      </c>
      <c r="E869" s="9" t="str">
        <f>IF(AND(NEGOCIAÇÕES!B869&lt;&gt;"",NEGOCIAÇÕES!O869=""),NEGOCIAÇÕES!N869,"")</f>
        <v/>
      </c>
    </row>
    <row r="870" spans="2:5" ht="31.95" hidden="1" customHeight="1" x14ac:dyDescent="0.3">
      <c r="B870" s="6" t="str">
        <f ca="1">IF(AND(NEGOCIAÇÕES!O870="",NEGOCIAÇÕES!N870&gt;TODAY()),NEGOCIAÇÕES!C870,"")</f>
        <v/>
      </c>
      <c r="C870" s="6" t="str">
        <f ca="1">IF(AND(NEGOCIAÇÕES!O870="",NEGOCIAÇÕES!N870&gt;TODAY()),NEGOCIAÇÕES!E870,"")</f>
        <v/>
      </c>
      <c r="D870" s="6" t="str">
        <f ca="1">IF(AND(NEGOCIAÇÕES!O870="",NEGOCIAÇÕES!N870&gt;TODAY()),NEGOCIAÇÕES!D870,"")</f>
        <v/>
      </c>
      <c r="E870" s="9" t="str">
        <f>IF(AND(NEGOCIAÇÕES!B870&lt;&gt;"",NEGOCIAÇÕES!O870=""),NEGOCIAÇÕES!N870,"")</f>
        <v/>
      </c>
    </row>
    <row r="871" spans="2:5" ht="31.95" hidden="1" customHeight="1" x14ac:dyDescent="0.3">
      <c r="B871" s="6" t="str">
        <f ca="1">IF(AND(NEGOCIAÇÕES!O871="",NEGOCIAÇÕES!N871&gt;TODAY()),NEGOCIAÇÕES!C871,"")</f>
        <v/>
      </c>
      <c r="C871" s="6" t="str">
        <f ca="1">IF(AND(NEGOCIAÇÕES!O871="",NEGOCIAÇÕES!N871&gt;TODAY()),NEGOCIAÇÕES!E871,"")</f>
        <v/>
      </c>
      <c r="D871" s="6" t="str">
        <f ca="1">IF(AND(NEGOCIAÇÕES!O871="",NEGOCIAÇÕES!N871&gt;TODAY()),NEGOCIAÇÕES!D871,"")</f>
        <v/>
      </c>
      <c r="E871" s="9" t="str">
        <f>IF(AND(NEGOCIAÇÕES!B871&lt;&gt;"",NEGOCIAÇÕES!O871=""),NEGOCIAÇÕES!N871,"")</f>
        <v/>
      </c>
    </row>
    <row r="872" spans="2:5" ht="31.95" hidden="1" customHeight="1" x14ac:dyDescent="0.3">
      <c r="B872" s="6" t="str">
        <f ca="1">IF(AND(NEGOCIAÇÕES!O872="",NEGOCIAÇÕES!N872&gt;TODAY()),NEGOCIAÇÕES!C872,"")</f>
        <v/>
      </c>
      <c r="C872" s="6" t="str">
        <f ca="1">IF(AND(NEGOCIAÇÕES!O872="",NEGOCIAÇÕES!N872&gt;TODAY()),NEGOCIAÇÕES!E872,"")</f>
        <v/>
      </c>
      <c r="D872" s="6" t="str">
        <f ca="1">IF(AND(NEGOCIAÇÕES!O872="",NEGOCIAÇÕES!N872&gt;TODAY()),NEGOCIAÇÕES!D872,"")</f>
        <v/>
      </c>
      <c r="E872" s="9" t="str">
        <f>IF(AND(NEGOCIAÇÕES!B872&lt;&gt;"",NEGOCIAÇÕES!O872=""),NEGOCIAÇÕES!N872,"")</f>
        <v/>
      </c>
    </row>
    <row r="873" spans="2:5" ht="31.95" hidden="1" customHeight="1" x14ac:dyDescent="0.3">
      <c r="B873" s="6" t="str">
        <f ca="1">IF(AND(NEGOCIAÇÕES!O873="",NEGOCIAÇÕES!N873&gt;TODAY()),NEGOCIAÇÕES!C873,"")</f>
        <v/>
      </c>
      <c r="C873" s="6" t="str">
        <f ca="1">IF(AND(NEGOCIAÇÕES!O873="",NEGOCIAÇÕES!N873&gt;TODAY()),NEGOCIAÇÕES!E873,"")</f>
        <v/>
      </c>
      <c r="D873" s="6" t="str">
        <f ca="1">IF(AND(NEGOCIAÇÕES!O873="",NEGOCIAÇÕES!N873&gt;TODAY()),NEGOCIAÇÕES!D873,"")</f>
        <v/>
      </c>
      <c r="E873" s="9" t="str">
        <f>IF(AND(NEGOCIAÇÕES!B873&lt;&gt;"",NEGOCIAÇÕES!O873=""),NEGOCIAÇÕES!N873,"")</f>
        <v/>
      </c>
    </row>
    <row r="874" spans="2:5" ht="31.95" hidden="1" customHeight="1" x14ac:dyDescent="0.3">
      <c r="B874" s="6" t="str">
        <f ca="1">IF(AND(NEGOCIAÇÕES!O874="",NEGOCIAÇÕES!N874&gt;TODAY()),NEGOCIAÇÕES!C874,"")</f>
        <v/>
      </c>
      <c r="C874" s="6" t="str">
        <f ca="1">IF(AND(NEGOCIAÇÕES!O874="",NEGOCIAÇÕES!N874&gt;TODAY()),NEGOCIAÇÕES!E874,"")</f>
        <v/>
      </c>
      <c r="D874" s="6" t="str">
        <f ca="1">IF(AND(NEGOCIAÇÕES!O874="",NEGOCIAÇÕES!N874&gt;TODAY()),NEGOCIAÇÕES!D874,"")</f>
        <v/>
      </c>
      <c r="E874" s="9" t="str">
        <f>IF(AND(NEGOCIAÇÕES!B874&lt;&gt;"",NEGOCIAÇÕES!O874=""),NEGOCIAÇÕES!N874,"")</f>
        <v/>
      </c>
    </row>
    <row r="875" spans="2:5" ht="31.95" hidden="1" customHeight="1" x14ac:dyDescent="0.3">
      <c r="B875" s="6" t="str">
        <f ca="1">IF(AND(NEGOCIAÇÕES!O875="",NEGOCIAÇÕES!N875&gt;TODAY()),NEGOCIAÇÕES!C875,"")</f>
        <v/>
      </c>
      <c r="C875" s="6" t="str">
        <f ca="1">IF(AND(NEGOCIAÇÕES!O875="",NEGOCIAÇÕES!N875&gt;TODAY()),NEGOCIAÇÕES!E875,"")</f>
        <v/>
      </c>
      <c r="D875" s="6" t="str">
        <f ca="1">IF(AND(NEGOCIAÇÕES!O875="",NEGOCIAÇÕES!N875&gt;TODAY()),NEGOCIAÇÕES!D875,"")</f>
        <v/>
      </c>
      <c r="E875" s="9" t="str">
        <f>IF(AND(NEGOCIAÇÕES!B875&lt;&gt;"",NEGOCIAÇÕES!O875=""),NEGOCIAÇÕES!N875,"")</f>
        <v/>
      </c>
    </row>
    <row r="876" spans="2:5" ht="31.95" hidden="1" customHeight="1" x14ac:dyDescent="0.3">
      <c r="B876" s="6" t="str">
        <f ca="1">IF(AND(NEGOCIAÇÕES!O876="",NEGOCIAÇÕES!N876&gt;TODAY()),NEGOCIAÇÕES!C876,"")</f>
        <v/>
      </c>
      <c r="C876" s="6" t="str">
        <f ca="1">IF(AND(NEGOCIAÇÕES!O876="",NEGOCIAÇÕES!N876&gt;TODAY()),NEGOCIAÇÕES!E876,"")</f>
        <v/>
      </c>
      <c r="D876" s="6" t="str">
        <f ca="1">IF(AND(NEGOCIAÇÕES!O876="",NEGOCIAÇÕES!N876&gt;TODAY()),NEGOCIAÇÕES!D876,"")</f>
        <v/>
      </c>
      <c r="E876" s="9" t="str">
        <f>IF(AND(NEGOCIAÇÕES!B876&lt;&gt;"",NEGOCIAÇÕES!O876=""),NEGOCIAÇÕES!N876,"")</f>
        <v/>
      </c>
    </row>
    <row r="877" spans="2:5" ht="31.95" hidden="1" customHeight="1" x14ac:dyDescent="0.3">
      <c r="B877" s="6" t="str">
        <f ca="1">IF(AND(NEGOCIAÇÕES!O877="",NEGOCIAÇÕES!N877&gt;TODAY()),NEGOCIAÇÕES!C877,"")</f>
        <v/>
      </c>
      <c r="C877" s="6" t="str">
        <f ca="1">IF(AND(NEGOCIAÇÕES!O877="",NEGOCIAÇÕES!N877&gt;TODAY()),NEGOCIAÇÕES!E877,"")</f>
        <v/>
      </c>
      <c r="D877" s="6" t="str">
        <f ca="1">IF(AND(NEGOCIAÇÕES!O877="",NEGOCIAÇÕES!N877&gt;TODAY()),NEGOCIAÇÕES!D877,"")</f>
        <v/>
      </c>
      <c r="E877" s="9" t="str">
        <f>IF(AND(NEGOCIAÇÕES!B877&lt;&gt;"",NEGOCIAÇÕES!O877=""),NEGOCIAÇÕES!N877,"")</f>
        <v/>
      </c>
    </row>
    <row r="878" spans="2:5" ht="31.95" hidden="1" customHeight="1" x14ac:dyDescent="0.3">
      <c r="B878" s="6" t="str">
        <f ca="1">IF(AND(NEGOCIAÇÕES!O878="",NEGOCIAÇÕES!N878&gt;TODAY()),NEGOCIAÇÕES!C878,"")</f>
        <v/>
      </c>
      <c r="C878" s="6" t="str">
        <f ca="1">IF(AND(NEGOCIAÇÕES!O878="",NEGOCIAÇÕES!N878&gt;TODAY()),NEGOCIAÇÕES!E878,"")</f>
        <v/>
      </c>
      <c r="D878" s="6" t="str">
        <f ca="1">IF(AND(NEGOCIAÇÕES!O878="",NEGOCIAÇÕES!N878&gt;TODAY()),NEGOCIAÇÕES!D878,"")</f>
        <v/>
      </c>
      <c r="E878" s="9" t="str">
        <f>IF(AND(NEGOCIAÇÕES!B878&lt;&gt;"",NEGOCIAÇÕES!O878=""),NEGOCIAÇÕES!N878,"")</f>
        <v/>
      </c>
    </row>
    <row r="879" spans="2:5" ht="31.95" hidden="1" customHeight="1" x14ac:dyDescent="0.3">
      <c r="B879" s="6" t="str">
        <f ca="1">IF(AND(NEGOCIAÇÕES!O879="",NEGOCIAÇÕES!N879&gt;TODAY()),NEGOCIAÇÕES!C879,"")</f>
        <v/>
      </c>
      <c r="C879" s="6" t="str">
        <f ca="1">IF(AND(NEGOCIAÇÕES!O879="",NEGOCIAÇÕES!N879&gt;TODAY()),NEGOCIAÇÕES!E879,"")</f>
        <v/>
      </c>
      <c r="D879" s="6" t="str">
        <f ca="1">IF(AND(NEGOCIAÇÕES!O879="",NEGOCIAÇÕES!N879&gt;TODAY()),NEGOCIAÇÕES!D879,"")</f>
        <v/>
      </c>
      <c r="E879" s="9" t="str">
        <f>IF(AND(NEGOCIAÇÕES!B879&lt;&gt;"",NEGOCIAÇÕES!O879=""),NEGOCIAÇÕES!N879,"")</f>
        <v/>
      </c>
    </row>
    <row r="880" spans="2:5" ht="31.95" hidden="1" customHeight="1" x14ac:dyDescent="0.3">
      <c r="B880" s="6" t="str">
        <f ca="1">IF(AND(NEGOCIAÇÕES!O880="",NEGOCIAÇÕES!N880&gt;TODAY()),NEGOCIAÇÕES!C880,"")</f>
        <v/>
      </c>
      <c r="C880" s="6" t="str">
        <f ca="1">IF(AND(NEGOCIAÇÕES!O880="",NEGOCIAÇÕES!N880&gt;TODAY()),NEGOCIAÇÕES!E880,"")</f>
        <v/>
      </c>
      <c r="D880" s="6" t="str">
        <f ca="1">IF(AND(NEGOCIAÇÕES!O880="",NEGOCIAÇÕES!N880&gt;TODAY()),NEGOCIAÇÕES!D880,"")</f>
        <v/>
      </c>
      <c r="E880" s="9" t="str">
        <f>IF(AND(NEGOCIAÇÕES!B880&lt;&gt;"",NEGOCIAÇÕES!O880=""),NEGOCIAÇÕES!N880,"")</f>
        <v/>
      </c>
    </row>
    <row r="881" spans="2:5" ht="31.95" hidden="1" customHeight="1" x14ac:dyDescent="0.3">
      <c r="B881" s="6" t="str">
        <f ca="1">IF(AND(NEGOCIAÇÕES!O881="",NEGOCIAÇÕES!N881&gt;TODAY()),NEGOCIAÇÕES!C881,"")</f>
        <v/>
      </c>
      <c r="C881" s="6" t="str">
        <f ca="1">IF(AND(NEGOCIAÇÕES!O881="",NEGOCIAÇÕES!N881&gt;TODAY()),NEGOCIAÇÕES!E881,"")</f>
        <v/>
      </c>
      <c r="D881" s="6" t="str">
        <f ca="1">IF(AND(NEGOCIAÇÕES!O881="",NEGOCIAÇÕES!N881&gt;TODAY()),NEGOCIAÇÕES!D881,"")</f>
        <v/>
      </c>
      <c r="E881" s="9" t="str">
        <f>IF(AND(NEGOCIAÇÕES!B881&lt;&gt;"",NEGOCIAÇÕES!O881=""),NEGOCIAÇÕES!N881,"")</f>
        <v/>
      </c>
    </row>
    <row r="882" spans="2:5" ht="31.95" hidden="1" customHeight="1" x14ac:dyDescent="0.3">
      <c r="B882" s="6" t="str">
        <f ca="1">IF(AND(NEGOCIAÇÕES!O882="",NEGOCIAÇÕES!N882&gt;TODAY()),NEGOCIAÇÕES!C882,"")</f>
        <v/>
      </c>
      <c r="C882" s="6" t="str">
        <f ca="1">IF(AND(NEGOCIAÇÕES!O882="",NEGOCIAÇÕES!N882&gt;TODAY()),NEGOCIAÇÕES!E882,"")</f>
        <v/>
      </c>
      <c r="D882" s="6" t="str">
        <f ca="1">IF(AND(NEGOCIAÇÕES!O882="",NEGOCIAÇÕES!N882&gt;TODAY()),NEGOCIAÇÕES!D882,"")</f>
        <v/>
      </c>
      <c r="E882" s="9" t="str">
        <f>IF(AND(NEGOCIAÇÕES!B882&lt;&gt;"",NEGOCIAÇÕES!O882=""),NEGOCIAÇÕES!N882,"")</f>
        <v/>
      </c>
    </row>
    <row r="883" spans="2:5" ht="31.95" hidden="1" customHeight="1" x14ac:dyDescent="0.3">
      <c r="B883" s="6" t="str">
        <f ca="1">IF(AND(NEGOCIAÇÕES!O883="",NEGOCIAÇÕES!N883&gt;TODAY()),NEGOCIAÇÕES!C883,"")</f>
        <v/>
      </c>
      <c r="C883" s="6" t="str">
        <f ca="1">IF(AND(NEGOCIAÇÕES!O883="",NEGOCIAÇÕES!N883&gt;TODAY()),NEGOCIAÇÕES!E883,"")</f>
        <v/>
      </c>
      <c r="D883" s="6" t="str">
        <f ca="1">IF(AND(NEGOCIAÇÕES!O883="",NEGOCIAÇÕES!N883&gt;TODAY()),NEGOCIAÇÕES!D883,"")</f>
        <v/>
      </c>
      <c r="E883" s="9" t="str">
        <f>IF(AND(NEGOCIAÇÕES!B883&lt;&gt;"",NEGOCIAÇÕES!O883=""),NEGOCIAÇÕES!N883,"")</f>
        <v/>
      </c>
    </row>
    <row r="884" spans="2:5" ht="31.95" hidden="1" customHeight="1" x14ac:dyDescent="0.3">
      <c r="B884" s="6" t="str">
        <f ca="1">IF(AND(NEGOCIAÇÕES!O884="",NEGOCIAÇÕES!N884&gt;TODAY()),NEGOCIAÇÕES!C884,"")</f>
        <v/>
      </c>
      <c r="C884" s="6" t="str">
        <f ca="1">IF(AND(NEGOCIAÇÕES!O884="",NEGOCIAÇÕES!N884&gt;TODAY()),NEGOCIAÇÕES!E884,"")</f>
        <v/>
      </c>
      <c r="D884" s="6" t="str">
        <f ca="1">IF(AND(NEGOCIAÇÕES!O884="",NEGOCIAÇÕES!N884&gt;TODAY()),NEGOCIAÇÕES!D884,"")</f>
        <v/>
      </c>
      <c r="E884" s="9" t="str">
        <f>IF(AND(NEGOCIAÇÕES!B884&lt;&gt;"",NEGOCIAÇÕES!O884=""),NEGOCIAÇÕES!N884,"")</f>
        <v/>
      </c>
    </row>
    <row r="885" spans="2:5" ht="31.95" hidden="1" customHeight="1" x14ac:dyDescent="0.3">
      <c r="B885" s="6" t="str">
        <f ca="1">IF(AND(NEGOCIAÇÕES!O885="",NEGOCIAÇÕES!N885&gt;TODAY()),NEGOCIAÇÕES!C885,"")</f>
        <v/>
      </c>
      <c r="C885" s="6" t="str">
        <f ca="1">IF(AND(NEGOCIAÇÕES!O885="",NEGOCIAÇÕES!N885&gt;TODAY()),NEGOCIAÇÕES!E885,"")</f>
        <v/>
      </c>
      <c r="D885" s="6" t="str">
        <f ca="1">IF(AND(NEGOCIAÇÕES!O885="",NEGOCIAÇÕES!N885&gt;TODAY()),NEGOCIAÇÕES!D885,"")</f>
        <v/>
      </c>
      <c r="E885" s="9" t="str">
        <f>IF(AND(NEGOCIAÇÕES!B885&lt;&gt;"",NEGOCIAÇÕES!O885=""),NEGOCIAÇÕES!N885,"")</f>
        <v/>
      </c>
    </row>
    <row r="886" spans="2:5" ht="31.95" hidden="1" customHeight="1" x14ac:dyDescent="0.3">
      <c r="B886" s="6" t="str">
        <f ca="1">IF(AND(NEGOCIAÇÕES!O886="",NEGOCIAÇÕES!N886&gt;TODAY()),NEGOCIAÇÕES!C886,"")</f>
        <v/>
      </c>
      <c r="C886" s="6" t="str">
        <f ca="1">IF(AND(NEGOCIAÇÕES!O886="",NEGOCIAÇÕES!N886&gt;TODAY()),NEGOCIAÇÕES!E886,"")</f>
        <v/>
      </c>
      <c r="D886" s="6" t="str">
        <f ca="1">IF(AND(NEGOCIAÇÕES!O886="",NEGOCIAÇÕES!N886&gt;TODAY()),NEGOCIAÇÕES!D886,"")</f>
        <v/>
      </c>
      <c r="E886" s="9" t="str">
        <f>IF(AND(NEGOCIAÇÕES!B886&lt;&gt;"",NEGOCIAÇÕES!O886=""),NEGOCIAÇÕES!N886,"")</f>
        <v/>
      </c>
    </row>
    <row r="887" spans="2:5" ht="31.95" hidden="1" customHeight="1" x14ac:dyDescent="0.3">
      <c r="B887" s="6" t="str">
        <f ca="1">IF(AND(NEGOCIAÇÕES!O887="",NEGOCIAÇÕES!N887&gt;TODAY()),NEGOCIAÇÕES!C887,"")</f>
        <v/>
      </c>
      <c r="C887" s="6" t="str">
        <f ca="1">IF(AND(NEGOCIAÇÕES!O887="",NEGOCIAÇÕES!N887&gt;TODAY()),NEGOCIAÇÕES!E887,"")</f>
        <v/>
      </c>
      <c r="D887" s="6" t="str">
        <f ca="1">IF(AND(NEGOCIAÇÕES!O887="",NEGOCIAÇÕES!N887&gt;TODAY()),NEGOCIAÇÕES!D887,"")</f>
        <v/>
      </c>
      <c r="E887" s="9" t="str">
        <f>IF(AND(NEGOCIAÇÕES!B887&lt;&gt;"",NEGOCIAÇÕES!O887=""),NEGOCIAÇÕES!N887,"")</f>
        <v/>
      </c>
    </row>
    <row r="888" spans="2:5" ht="31.95" hidden="1" customHeight="1" x14ac:dyDescent="0.3">
      <c r="B888" s="6" t="str">
        <f ca="1">IF(AND(NEGOCIAÇÕES!O888="",NEGOCIAÇÕES!N888&gt;TODAY()),NEGOCIAÇÕES!C888,"")</f>
        <v/>
      </c>
      <c r="C888" s="6" t="str">
        <f ca="1">IF(AND(NEGOCIAÇÕES!O888="",NEGOCIAÇÕES!N888&gt;TODAY()),NEGOCIAÇÕES!E888,"")</f>
        <v/>
      </c>
      <c r="D888" s="6" t="str">
        <f ca="1">IF(AND(NEGOCIAÇÕES!O888="",NEGOCIAÇÕES!N888&gt;TODAY()),NEGOCIAÇÕES!D888,"")</f>
        <v/>
      </c>
      <c r="E888" s="9" t="str">
        <f>IF(AND(NEGOCIAÇÕES!B888&lt;&gt;"",NEGOCIAÇÕES!O888=""),NEGOCIAÇÕES!N888,"")</f>
        <v/>
      </c>
    </row>
    <row r="889" spans="2:5" ht="31.95" hidden="1" customHeight="1" x14ac:dyDescent="0.3">
      <c r="B889" s="6" t="str">
        <f ca="1">IF(AND(NEGOCIAÇÕES!O889="",NEGOCIAÇÕES!N889&gt;TODAY()),NEGOCIAÇÕES!C889,"")</f>
        <v/>
      </c>
      <c r="C889" s="6" t="str">
        <f ca="1">IF(AND(NEGOCIAÇÕES!O889="",NEGOCIAÇÕES!N889&gt;TODAY()),NEGOCIAÇÕES!E889,"")</f>
        <v/>
      </c>
      <c r="D889" s="6" t="str">
        <f ca="1">IF(AND(NEGOCIAÇÕES!O889="",NEGOCIAÇÕES!N889&gt;TODAY()),NEGOCIAÇÕES!D889,"")</f>
        <v/>
      </c>
      <c r="E889" s="9" t="str">
        <f>IF(AND(NEGOCIAÇÕES!B889&lt;&gt;"",NEGOCIAÇÕES!O889=""),NEGOCIAÇÕES!N889,"")</f>
        <v/>
      </c>
    </row>
    <row r="890" spans="2:5" ht="31.95" hidden="1" customHeight="1" x14ac:dyDescent="0.3">
      <c r="B890" s="6" t="str">
        <f ca="1">IF(AND(NEGOCIAÇÕES!O890="",NEGOCIAÇÕES!N890&gt;TODAY()),NEGOCIAÇÕES!C890,"")</f>
        <v/>
      </c>
      <c r="C890" s="6" t="str">
        <f ca="1">IF(AND(NEGOCIAÇÕES!O890="",NEGOCIAÇÕES!N890&gt;TODAY()),NEGOCIAÇÕES!E890,"")</f>
        <v/>
      </c>
      <c r="D890" s="6" t="str">
        <f ca="1">IF(AND(NEGOCIAÇÕES!O890="",NEGOCIAÇÕES!N890&gt;TODAY()),NEGOCIAÇÕES!D890,"")</f>
        <v/>
      </c>
      <c r="E890" s="9" t="str">
        <f>IF(AND(NEGOCIAÇÕES!B890&lt;&gt;"",NEGOCIAÇÕES!O890=""),NEGOCIAÇÕES!N890,"")</f>
        <v/>
      </c>
    </row>
    <row r="891" spans="2:5" ht="31.95" hidden="1" customHeight="1" x14ac:dyDescent="0.3">
      <c r="B891" s="6" t="str">
        <f ca="1">IF(AND(NEGOCIAÇÕES!O891="",NEGOCIAÇÕES!N891&gt;TODAY()),NEGOCIAÇÕES!C891,"")</f>
        <v/>
      </c>
      <c r="C891" s="6" t="str">
        <f ca="1">IF(AND(NEGOCIAÇÕES!O891="",NEGOCIAÇÕES!N891&gt;TODAY()),NEGOCIAÇÕES!E891,"")</f>
        <v/>
      </c>
      <c r="D891" s="6" t="str">
        <f ca="1">IF(AND(NEGOCIAÇÕES!O891="",NEGOCIAÇÕES!N891&gt;TODAY()),NEGOCIAÇÕES!D891,"")</f>
        <v/>
      </c>
      <c r="E891" s="9" t="str">
        <f>IF(AND(NEGOCIAÇÕES!B891&lt;&gt;"",NEGOCIAÇÕES!O891=""),NEGOCIAÇÕES!N891,"")</f>
        <v/>
      </c>
    </row>
    <row r="892" spans="2:5" ht="31.95" hidden="1" customHeight="1" x14ac:dyDescent="0.3">
      <c r="B892" s="6" t="str">
        <f ca="1">IF(AND(NEGOCIAÇÕES!O892="",NEGOCIAÇÕES!N892&gt;TODAY()),NEGOCIAÇÕES!C892,"")</f>
        <v/>
      </c>
      <c r="C892" s="6" t="str">
        <f ca="1">IF(AND(NEGOCIAÇÕES!O892="",NEGOCIAÇÕES!N892&gt;TODAY()),NEGOCIAÇÕES!E892,"")</f>
        <v/>
      </c>
      <c r="D892" s="6" t="str">
        <f ca="1">IF(AND(NEGOCIAÇÕES!O892="",NEGOCIAÇÕES!N892&gt;TODAY()),NEGOCIAÇÕES!D892,"")</f>
        <v/>
      </c>
      <c r="E892" s="9" t="str">
        <f>IF(AND(NEGOCIAÇÕES!B892&lt;&gt;"",NEGOCIAÇÕES!O892=""),NEGOCIAÇÕES!N892,"")</f>
        <v/>
      </c>
    </row>
    <row r="893" spans="2:5" ht="31.95" hidden="1" customHeight="1" x14ac:dyDescent="0.3">
      <c r="B893" s="6" t="str">
        <f ca="1">IF(AND(NEGOCIAÇÕES!O893="",NEGOCIAÇÕES!N893&gt;TODAY()),NEGOCIAÇÕES!C893,"")</f>
        <v/>
      </c>
      <c r="C893" s="6" t="str">
        <f ca="1">IF(AND(NEGOCIAÇÕES!O893="",NEGOCIAÇÕES!N893&gt;TODAY()),NEGOCIAÇÕES!E893,"")</f>
        <v/>
      </c>
      <c r="D893" s="6" t="str">
        <f ca="1">IF(AND(NEGOCIAÇÕES!O893="",NEGOCIAÇÕES!N893&gt;TODAY()),NEGOCIAÇÕES!D893,"")</f>
        <v/>
      </c>
      <c r="E893" s="9" t="str">
        <f>IF(AND(NEGOCIAÇÕES!B893&lt;&gt;"",NEGOCIAÇÕES!O893=""),NEGOCIAÇÕES!N893,"")</f>
        <v/>
      </c>
    </row>
    <row r="894" spans="2:5" ht="31.95" hidden="1" customHeight="1" x14ac:dyDescent="0.3">
      <c r="B894" s="6" t="str">
        <f ca="1">IF(AND(NEGOCIAÇÕES!O894="",NEGOCIAÇÕES!N894&gt;TODAY()),NEGOCIAÇÕES!C894,"")</f>
        <v/>
      </c>
      <c r="C894" s="6" t="str">
        <f ca="1">IF(AND(NEGOCIAÇÕES!O894="",NEGOCIAÇÕES!N894&gt;TODAY()),NEGOCIAÇÕES!E894,"")</f>
        <v/>
      </c>
      <c r="D894" s="6" t="str">
        <f ca="1">IF(AND(NEGOCIAÇÕES!O894="",NEGOCIAÇÕES!N894&gt;TODAY()),NEGOCIAÇÕES!D894,"")</f>
        <v/>
      </c>
      <c r="E894" s="9" t="str">
        <f>IF(AND(NEGOCIAÇÕES!B894&lt;&gt;"",NEGOCIAÇÕES!O894=""),NEGOCIAÇÕES!N894,"")</f>
        <v/>
      </c>
    </row>
    <row r="895" spans="2:5" ht="31.95" hidden="1" customHeight="1" x14ac:dyDescent="0.3">
      <c r="B895" s="6" t="str">
        <f ca="1">IF(AND(NEGOCIAÇÕES!O895="",NEGOCIAÇÕES!N895&gt;TODAY()),NEGOCIAÇÕES!C895,"")</f>
        <v/>
      </c>
      <c r="C895" s="6" t="str">
        <f ca="1">IF(AND(NEGOCIAÇÕES!O895="",NEGOCIAÇÕES!N895&gt;TODAY()),NEGOCIAÇÕES!E895,"")</f>
        <v/>
      </c>
      <c r="D895" s="6" t="str">
        <f ca="1">IF(AND(NEGOCIAÇÕES!O895="",NEGOCIAÇÕES!N895&gt;TODAY()),NEGOCIAÇÕES!D895,"")</f>
        <v/>
      </c>
      <c r="E895" s="9" t="str">
        <f>IF(AND(NEGOCIAÇÕES!B895&lt;&gt;"",NEGOCIAÇÕES!O895=""),NEGOCIAÇÕES!N895,"")</f>
        <v/>
      </c>
    </row>
    <row r="896" spans="2:5" ht="31.95" hidden="1" customHeight="1" x14ac:dyDescent="0.3">
      <c r="B896" s="6" t="str">
        <f ca="1">IF(AND(NEGOCIAÇÕES!O896="",NEGOCIAÇÕES!N896&gt;TODAY()),NEGOCIAÇÕES!C896,"")</f>
        <v/>
      </c>
      <c r="C896" s="6" t="str">
        <f ca="1">IF(AND(NEGOCIAÇÕES!O896="",NEGOCIAÇÕES!N896&gt;TODAY()),NEGOCIAÇÕES!E896,"")</f>
        <v/>
      </c>
      <c r="D896" s="6" t="str">
        <f ca="1">IF(AND(NEGOCIAÇÕES!O896="",NEGOCIAÇÕES!N896&gt;TODAY()),NEGOCIAÇÕES!D896,"")</f>
        <v/>
      </c>
      <c r="E896" s="9" t="str">
        <f>IF(AND(NEGOCIAÇÕES!B896&lt;&gt;"",NEGOCIAÇÕES!O896=""),NEGOCIAÇÕES!N896,"")</f>
        <v/>
      </c>
    </row>
    <row r="897" spans="2:5" ht="31.95" hidden="1" customHeight="1" x14ac:dyDescent="0.3">
      <c r="B897" s="6" t="str">
        <f ca="1">IF(AND(NEGOCIAÇÕES!O897="",NEGOCIAÇÕES!N897&gt;TODAY()),NEGOCIAÇÕES!C897,"")</f>
        <v/>
      </c>
      <c r="C897" s="6" t="str">
        <f ca="1">IF(AND(NEGOCIAÇÕES!O897="",NEGOCIAÇÕES!N897&gt;TODAY()),NEGOCIAÇÕES!E897,"")</f>
        <v/>
      </c>
      <c r="D897" s="6" t="str">
        <f ca="1">IF(AND(NEGOCIAÇÕES!O897="",NEGOCIAÇÕES!N897&gt;TODAY()),NEGOCIAÇÕES!D897,"")</f>
        <v/>
      </c>
      <c r="E897" s="9" t="str">
        <f>IF(AND(NEGOCIAÇÕES!B897&lt;&gt;"",NEGOCIAÇÕES!O897=""),NEGOCIAÇÕES!N897,"")</f>
        <v/>
      </c>
    </row>
    <row r="898" spans="2:5" ht="31.95" hidden="1" customHeight="1" x14ac:dyDescent="0.3">
      <c r="B898" s="6" t="str">
        <f ca="1">IF(AND(NEGOCIAÇÕES!O898="",NEGOCIAÇÕES!N898&gt;TODAY()),NEGOCIAÇÕES!C898,"")</f>
        <v/>
      </c>
      <c r="C898" s="6" t="str">
        <f ca="1">IF(AND(NEGOCIAÇÕES!O898="",NEGOCIAÇÕES!N898&gt;TODAY()),NEGOCIAÇÕES!E898,"")</f>
        <v/>
      </c>
      <c r="D898" s="6" t="str">
        <f ca="1">IF(AND(NEGOCIAÇÕES!O898="",NEGOCIAÇÕES!N898&gt;TODAY()),NEGOCIAÇÕES!D898,"")</f>
        <v/>
      </c>
      <c r="E898" s="9" t="str">
        <f>IF(AND(NEGOCIAÇÕES!B898&lt;&gt;"",NEGOCIAÇÕES!O898=""),NEGOCIAÇÕES!N898,"")</f>
        <v/>
      </c>
    </row>
    <row r="899" spans="2:5" ht="31.95" hidden="1" customHeight="1" x14ac:dyDescent="0.3">
      <c r="B899" s="6" t="str">
        <f ca="1">IF(AND(NEGOCIAÇÕES!O899="",NEGOCIAÇÕES!N899&gt;TODAY()),NEGOCIAÇÕES!C899,"")</f>
        <v/>
      </c>
      <c r="C899" s="6" t="str">
        <f ca="1">IF(AND(NEGOCIAÇÕES!O899="",NEGOCIAÇÕES!N899&gt;TODAY()),NEGOCIAÇÕES!E899,"")</f>
        <v/>
      </c>
      <c r="D899" s="6" t="str">
        <f ca="1">IF(AND(NEGOCIAÇÕES!O899="",NEGOCIAÇÕES!N899&gt;TODAY()),NEGOCIAÇÕES!D899,"")</f>
        <v/>
      </c>
      <c r="E899" s="9" t="str">
        <f>IF(AND(NEGOCIAÇÕES!B899&lt;&gt;"",NEGOCIAÇÕES!O899=""),NEGOCIAÇÕES!N899,"")</f>
        <v/>
      </c>
    </row>
    <row r="900" spans="2:5" ht="31.95" hidden="1" customHeight="1" x14ac:dyDescent="0.3">
      <c r="B900" s="6" t="str">
        <f ca="1">IF(AND(NEGOCIAÇÕES!O900="",NEGOCIAÇÕES!N900&gt;TODAY()),NEGOCIAÇÕES!C900,"")</f>
        <v/>
      </c>
      <c r="C900" s="6" t="str">
        <f ca="1">IF(AND(NEGOCIAÇÕES!O900="",NEGOCIAÇÕES!N900&gt;TODAY()),NEGOCIAÇÕES!E900,"")</f>
        <v/>
      </c>
      <c r="D900" s="6" t="str">
        <f ca="1">IF(AND(NEGOCIAÇÕES!O900="",NEGOCIAÇÕES!N900&gt;TODAY()),NEGOCIAÇÕES!D900,"")</f>
        <v/>
      </c>
      <c r="E900" s="9" t="str">
        <f>IF(AND(NEGOCIAÇÕES!B900&lt;&gt;"",NEGOCIAÇÕES!O900=""),NEGOCIAÇÕES!N900,"")</f>
        <v/>
      </c>
    </row>
    <row r="901" spans="2:5" ht="31.95" hidden="1" customHeight="1" x14ac:dyDescent="0.3">
      <c r="B901" s="6" t="str">
        <f ca="1">IF(AND(NEGOCIAÇÕES!O901="",NEGOCIAÇÕES!N901&gt;TODAY()),NEGOCIAÇÕES!C901,"")</f>
        <v/>
      </c>
      <c r="C901" s="6" t="str">
        <f ca="1">IF(AND(NEGOCIAÇÕES!O901="",NEGOCIAÇÕES!N901&gt;TODAY()),NEGOCIAÇÕES!E901,"")</f>
        <v/>
      </c>
      <c r="D901" s="6" t="str">
        <f ca="1">IF(AND(NEGOCIAÇÕES!O901="",NEGOCIAÇÕES!N901&gt;TODAY()),NEGOCIAÇÕES!D901,"")</f>
        <v/>
      </c>
      <c r="E901" s="9" t="str">
        <f>IF(AND(NEGOCIAÇÕES!B901&lt;&gt;"",NEGOCIAÇÕES!O901=""),NEGOCIAÇÕES!N901,"")</f>
        <v/>
      </c>
    </row>
    <row r="902" spans="2:5" ht="31.95" hidden="1" customHeight="1" x14ac:dyDescent="0.3">
      <c r="B902" s="6" t="str">
        <f ca="1">IF(AND(NEGOCIAÇÕES!O902="",NEGOCIAÇÕES!N902&gt;TODAY()),NEGOCIAÇÕES!C902,"")</f>
        <v/>
      </c>
      <c r="C902" s="6" t="str">
        <f ca="1">IF(AND(NEGOCIAÇÕES!O902="",NEGOCIAÇÕES!N902&gt;TODAY()),NEGOCIAÇÕES!E902,"")</f>
        <v/>
      </c>
      <c r="D902" s="6" t="str">
        <f ca="1">IF(AND(NEGOCIAÇÕES!O902="",NEGOCIAÇÕES!N902&gt;TODAY()),NEGOCIAÇÕES!D902,"")</f>
        <v/>
      </c>
      <c r="E902" s="9" t="str">
        <f>IF(AND(NEGOCIAÇÕES!B902&lt;&gt;"",NEGOCIAÇÕES!O902=""),NEGOCIAÇÕES!N902,"")</f>
        <v/>
      </c>
    </row>
    <row r="903" spans="2:5" ht="31.95" hidden="1" customHeight="1" x14ac:dyDescent="0.3">
      <c r="B903" s="6" t="str">
        <f ca="1">IF(AND(NEGOCIAÇÕES!O903="",NEGOCIAÇÕES!N903&gt;TODAY()),NEGOCIAÇÕES!C903,"")</f>
        <v/>
      </c>
      <c r="C903" s="6" t="str">
        <f ca="1">IF(AND(NEGOCIAÇÕES!O903="",NEGOCIAÇÕES!N903&gt;TODAY()),NEGOCIAÇÕES!E903,"")</f>
        <v/>
      </c>
      <c r="D903" s="6" t="str">
        <f ca="1">IF(AND(NEGOCIAÇÕES!O903="",NEGOCIAÇÕES!N903&gt;TODAY()),NEGOCIAÇÕES!D903,"")</f>
        <v/>
      </c>
      <c r="E903" s="9" t="str">
        <f>IF(AND(NEGOCIAÇÕES!B903&lt;&gt;"",NEGOCIAÇÕES!O903=""),NEGOCIAÇÕES!N903,"")</f>
        <v/>
      </c>
    </row>
    <row r="904" spans="2:5" ht="31.95" hidden="1" customHeight="1" x14ac:dyDescent="0.3">
      <c r="B904" s="6" t="str">
        <f ca="1">IF(AND(NEGOCIAÇÕES!O904="",NEGOCIAÇÕES!N904&gt;TODAY()),NEGOCIAÇÕES!C904,"")</f>
        <v/>
      </c>
      <c r="C904" s="6" t="str">
        <f ca="1">IF(AND(NEGOCIAÇÕES!O904="",NEGOCIAÇÕES!N904&gt;TODAY()),NEGOCIAÇÕES!E904,"")</f>
        <v/>
      </c>
      <c r="D904" s="6" t="str">
        <f ca="1">IF(AND(NEGOCIAÇÕES!O904="",NEGOCIAÇÕES!N904&gt;TODAY()),NEGOCIAÇÕES!D904,"")</f>
        <v/>
      </c>
      <c r="E904" s="9" t="str">
        <f>IF(AND(NEGOCIAÇÕES!B904&lt;&gt;"",NEGOCIAÇÕES!O904=""),NEGOCIAÇÕES!N904,"")</f>
        <v/>
      </c>
    </row>
    <row r="905" spans="2:5" ht="31.95" hidden="1" customHeight="1" x14ac:dyDescent="0.3">
      <c r="B905" s="6" t="str">
        <f ca="1">IF(AND(NEGOCIAÇÕES!O905="",NEGOCIAÇÕES!N905&gt;TODAY()),NEGOCIAÇÕES!C905,"")</f>
        <v/>
      </c>
      <c r="C905" s="6" t="str">
        <f ca="1">IF(AND(NEGOCIAÇÕES!O905="",NEGOCIAÇÕES!N905&gt;TODAY()),NEGOCIAÇÕES!E905,"")</f>
        <v/>
      </c>
      <c r="D905" s="6" t="str">
        <f ca="1">IF(AND(NEGOCIAÇÕES!O905="",NEGOCIAÇÕES!N905&gt;TODAY()),NEGOCIAÇÕES!D905,"")</f>
        <v/>
      </c>
      <c r="E905" s="9" t="str">
        <f>IF(AND(NEGOCIAÇÕES!B905&lt;&gt;"",NEGOCIAÇÕES!O905=""),NEGOCIAÇÕES!N905,"")</f>
        <v/>
      </c>
    </row>
    <row r="906" spans="2:5" ht="31.95" hidden="1" customHeight="1" x14ac:dyDescent="0.3">
      <c r="B906" s="6" t="str">
        <f ca="1">IF(AND(NEGOCIAÇÕES!O906="",NEGOCIAÇÕES!N906&gt;TODAY()),NEGOCIAÇÕES!C906,"")</f>
        <v/>
      </c>
      <c r="C906" s="6" t="str">
        <f ca="1">IF(AND(NEGOCIAÇÕES!O906="",NEGOCIAÇÕES!N906&gt;TODAY()),NEGOCIAÇÕES!E906,"")</f>
        <v/>
      </c>
      <c r="D906" s="6" t="str">
        <f ca="1">IF(AND(NEGOCIAÇÕES!O906="",NEGOCIAÇÕES!N906&gt;TODAY()),NEGOCIAÇÕES!D906,"")</f>
        <v/>
      </c>
      <c r="E906" s="9" t="str">
        <f>IF(AND(NEGOCIAÇÕES!B906&lt;&gt;"",NEGOCIAÇÕES!O906=""),NEGOCIAÇÕES!N906,"")</f>
        <v/>
      </c>
    </row>
    <row r="907" spans="2:5" ht="31.95" hidden="1" customHeight="1" x14ac:dyDescent="0.3">
      <c r="B907" s="6" t="str">
        <f ca="1">IF(AND(NEGOCIAÇÕES!O907="",NEGOCIAÇÕES!N907&gt;TODAY()),NEGOCIAÇÕES!C907,"")</f>
        <v/>
      </c>
      <c r="C907" s="6" t="str">
        <f ca="1">IF(AND(NEGOCIAÇÕES!O907="",NEGOCIAÇÕES!N907&gt;TODAY()),NEGOCIAÇÕES!E907,"")</f>
        <v/>
      </c>
      <c r="D907" s="6" t="str">
        <f ca="1">IF(AND(NEGOCIAÇÕES!O907="",NEGOCIAÇÕES!N907&gt;TODAY()),NEGOCIAÇÕES!D907,"")</f>
        <v/>
      </c>
      <c r="E907" s="9" t="str">
        <f>IF(AND(NEGOCIAÇÕES!B907&lt;&gt;"",NEGOCIAÇÕES!O907=""),NEGOCIAÇÕES!N907,"")</f>
        <v/>
      </c>
    </row>
    <row r="908" spans="2:5" ht="31.95" hidden="1" customHeight="1" x14ac:dyDescent="0.3">
      <c r="B908" s="6" t="str">
        <f ca="1">IF(AND(NEGOCIAÇÕES!O908="",NEGOCIAÇÕES!N908&gt;TODAY()),NEGOCIAÇÕES!C908,"")</f>
        <v/>
      </c>
      <c r="C908" s="6" t="str">
        <f ca="1">IF(AND(NEGOCIAÇÕES!O908="",NEGOCIAÇÕES!N908&gt;TODAY()),NEGOCIAÇÕES!E908,"")</f>
        <v/>
      </c>
      <c r="D908" s="6" t="str">
        <f ca="1">IF(AND(NEGOCIAÇÕES!O908="",NEGOCIAÇÕES!N908&gt;TODAY()),NEGOCIAÇÕES!D908,"")</f>
        <v/>
      </c>
      <c r="E908" s="9" t="str">
        <f>IF(AND(NEGOCIAÇÕES!B908&lt;&gt;"",NEGOCIAÇÕES!O908=""),NEGOCIAÇÕES!N908,"")</f>
        <v/>
      </c>
    </row>
    <row r="909" spans="2:5" ht="31.95" hidden="1" customHeight="1" x14ac:dyDescent="0.3">
      <c r="B909" s="6" t="str">
        <f ca="1">IF(AND(NEGOCIAÇÕES!O909="",NEGOCIAÇÕES!N909&gt;TODAY()),NEGOCIAÇÕES!C909,"")</f>
        <v/>
      </c>
      <c r="C909" s="6" t="str">
        <f ca="1">IF(AND(NEGOCIAÇÕES!O909="",NEGOCIAÇÕES!N909&gt;TODAY()),NEGOCIAÇÕES!E909,"")</f>
        <v/>
      </c>
      <c r="D909" s="6" t="str">
        <f ca="1">IF(AND(NEGOCIAÇÕES!O909="",NEGOCIAÇÕES!N909&gt;TODAY()),NEGOCIAÇÕES!D909,"")</f>
        <v/>
      </c>
      <c r="E909" s="9" t="str">
        <f>IF(AND(NEGOCIAÇÕES!B909&lt;&gt;"",NEGOCIAÇÕES!O909=""),NEGOCIAÇÕES!N909,"")</f>
        <v/>
      </c>
    </row>
    <row r="910" spans="2:5" ht="31.95" hidden="1" customHeight="1" x14ac:dyDescent="0.3">
      <c r="B910" s="6" t="str">
        <f ca="1">IF(AND(NEGOCIAÇÕES!O910="",NEGOCIAÇÕES!N910&gt;TODAY()),NEGOCIAÇÕES!C910,"")</f>
        <v/>
      </c>
      <c r="C910" s="6" t="str">
        <f ca="1">IF(AND(NEGOCIAÇÕES!O910="",NEGOCIAÇÕES!N910&gt;TODAY()),NEGOCIAÇÕES!E910,"")</f>
        <v/>
      </c>
      <c r="D910" s="6" t="str">
        <f ca="1">IF(AND(NEGOCIAÇÕES!O910="",NEGOCIAÇÕES!N910&gt;TODAY()),NEGOCIAÇÕES!D910,"")</f>
        <v/>
      </c>
      <c r="E910" s="9" t="str">
        <f>IF(AND(NEGOCIAÇÕES!B910&lt;&gt;"",NEGOCIAÇÕES!O910=""),NEGOCIAÇÕES!N910,"")</f>
        <v/>
      </c>
    </row>
    <row r="911" spans="2:5" ht="31.95" hidden="1" customHeight="1" x14ac:dyDescent="0.3">
      <c r="B911" s="6" t="str">
        <f ca="1">IF(AND(NEGOCIAÇÕES!O911="",NEGOCIAÇÕES!N911&gt;TODAY()),NEGOCIAÇÕES!C911,"")</f>
        <v/>
      </c>
      <c r="C911" s="6" t="str">
        <f ca="1">IF(AND(NEGOCIAÇÕES!O911="",NEGOCIAÇÕES!N911&gt;TODAY()),NEGOCIAÇÕES!E911,"")</f>
        <v/>
      </c>
      <c r="D911" s="6" t="str">
        <f ca="1">IF(AND(NEGOCIAÇÕES!O911="",NEGOCIAÇÕES!N911&gt;TODAY()),NEGOCIAÇÕES!D911,"")</f>
        <v/>
      </c>
      <c r="E911" s="9" t="str">
        <f>IF(AND(NEGOCIAÇÕES!B911&lt;&gt;"",NEGOCIAÇÕES!O911=""),NEGOCIAÇÕES!N911,"")</f>
        <v/>
      </c>
    </row>
    <row r="912" spans="2:5" ht="31.95" hidden="1" customHeight="1" x14ac:dyDescent="0.3">
      <c r="B912" s="6" t="str">
        <f ca="1">IF(AND(NEGOCIAÇÕES!O912="",NEGOCIAÇÕES!N912&gt;TODAY()),NEGOCIAÇÕES!C912,"")</f>
        <v/>
      </c>
      <c r="C912" s="6" t="str">
        <f ca="1">IF(AND(NEGOCIAÇÕES!O912="",NEGOCIAÇÕES!N912&gt;TODAY()),NEGOCIAÇÕES!E912,"")</f>
        <v/>
      </c>
      <c r="D912" s="6" t="str">
        <f ca="1">IF(AND(NEGOCIAÇÕES!O912="",NEGOCIAÇÕES!N912&gt;TODAY()),NEGOCIAÇÕES!D912,"")</f>
        <v/>
      </c>
      <c r="E912" s="9" t="str">
        <f>IF(AND(NEGOCIAÇÕES!B912&lt;&gt;"",NEGOCIAÇÕES!O912=""),NEGOCIAÇÕES!N912,"")</f>
        <v/>
      </c>
    </row>
    <row r="913" spans="2:5" ht="31.95" hidden="1" customHeight="1" x14ac:dyDescent="0.3">
      <c r="B913" s="6" t="str">
        <f ca="1">IF(AND(NEGOCIAÇÕES!O913="",NEGOCIAÇÕES!N913&gt;TODAY()),NEGOCIAÇÕES!C913,"")</f>
        <v/>
      </c>
      <c r="C913" s="6" t="str">
        <f ca="1">IF(AND(NEGOCIAÇÕES!O913="",NEGOCIAÇÕES!N913&gt;TODAY()),NEGOCIAÇÕES!E913,"")</f>
        <v/>
      </c>
      <c r="D913" s="6" t="str">
        <f ca="1">IF(AND(NEGOCIAÇÕES!O913="",NEGOCIAÇÕES!N913&gt;TODAY()),NEGOCIAÇÕES!D913,"")</f>
        <v/>
      </c>
      <c r="E913" s="9" t="str">
        <f>IF(AND(NEGOCIAÇÕES!B913&lt;&gt;"",NEGOCIAÇÕES!O913=""),NEGOCIAÇÕES!N913,"")</f>
        <v/>
      </c>
    </row>
    <row r="914" spans="2:5" ht="31.95" hidden="1" customHeight="1" x14ac:dyDescent="0.3">
      <c r="B914" s="6" t="str">
        <f ca="1">IF(AND(NEGOCIAÇÕES!O914="",NEGOCIAÇÕES!N914&gt;TODAY()),NEGOCIAÇÕES!C914,"")</f>
        <v/>
      </c>
      <c r="C914" s="6" t="str">
        <f ca="1">IF(AND(NEGOCIAÇÕES!O914="",NEGOCIAÇÕES!N914&gt;TODAY()),NEGOCIAÇÕES!E914,"")</f>
        <v/>
      </c>
      <c r="D914" s="6" t="str">
        <f ca="1">IF(AND(NEGOCIAÇÕES!O914="",NEGOCIAÇÕES!N914&gt;TODAY()),NEGOCIAÇÕES!D914,"")</f>
        <v/>
      </c>
      <c r="E914" s="9" t="str">
        <f>IF(AND(NEGOCIAÇÕES!B914&lt;&gt;"",NEGOCIAÇÕES!O914=""),NEGOCIAÇÕES!N914,"")</f>
        <v/>
      </c>
    </row>
    <row r="915" spans="2:5" ht="31.95" hidden="1" customHeight="1" x14ac:dyDescent="0.3">
      <c r="B915" s="6" t="str">
        <f ca="1">IF(AND(NEGOCIAÇÕES!O915="",NEGOCIAÇÕES!N915&gt;TODAY()),NEGOCIAÇÕES!C915,"")</f>
        <v/>
      </c>
      <c r="C915" s="6" t="str">
        <f ca="1">IF(AND(NEGOCIAÇÕES!O915="",NEGOCIAÇÕES!N915&gt;TODAY()),NEGOCIAÇÕES!E915,"")</f>
        <v/>
      </c>
      <c r="D915" s="6" t="str">
        <f ca="1">IF(AND(NEGOCIAÇÕES!O915="",NEGOCIAÇÕES!N915&gt;TODAY()),NEGOCIAÇÕES!D915,"")</f>
        <v/>
      </c>
      <c r="E915" s="9" t="str">
        <f>IF(AND(NEGOCIAÇÕES!B915&lt;&gt;"",NEGOCIAÇÕES!O915=""),NEGOCIAÇÕES!N915,"")</f>
        <v/>
      </c>
    </row>
    <row r="916" spans="2:5" ht="31.95" hidden="1" customHeight="1" x14ac:dyDescent="0.3">
      <c r="B916" s="6" t="str">
        <f ca="1">IF(AND(NEGOCIAÇÕES!O916="",NEGOCIAÇÕES!N916&gt;TODAY()),NEGOCIAÇÕES!C916,"")</f>
        <v/>
      </c>
      <c r="C916" s="6" t="str">
        <f ca="1">IF(AND(NEGOCIAÇÕES!O916="",NEGOCIAÇÕES!N916&gt;TODAY()),NEGOCIAÇÕES!E916,"")</f>
        <v/>
      </c>
      <c r="D916" s="6" t="str">
        <f ca="1">IF(AND(NEGOCIAÇÕES!O916="",NEGOCIAÇÕES!N916&gt;TODAY()),NEGOCIAÇÕES!D916,"")</f>
        <v/>
      </c>
      <c r="E916" s="9" t="str">
        <f>IF(AND(NEGOCIAÇÕES!B916&lt;&gt;"",NEGOCIAÇÕES!O916=""),NEGOCIAÇÕES!N916,"")</f>
        <v/>
      </c>
    </row>
    <row r="917" spans="2:5" ht="31.95" hidden="1" customHeight="1" x14ac:dyDescent="0.3">
      <c r="B917" s="6" t="str">
        <f ca="1">IF(AND(NEGOCIAÇÕES!O917="",NEGOCIAÇÕES!N917&gt;TODAY()),NEGOCIAÇÕES!C917,"")</f>
        <v/>
      </c>
      <c r="C917" s="6" t="str">
        <f ca="1">IF(AND(NEGOCIAÇÕES!O917="",NEGOCIAÇÕES!N917&gt;TODAY()),NEGOCIAÇÕES!E917,"")</f>
        <v/>
      </c>
      <c r="D917" s="6" t="str">
        <f ca="1">IF(AND(NEGOCIAÇÕES!O917="",NEGOCIAÇÕES!N917&gt;TODAY()),NEGOCIAÇÕES!D917,"")</f>
        <v/>
      </c>
      <c r="E917" s="9" t="str">
        <f>IF(AND(NEGOCIAÇÕES!B917&lt;&gt;"",NEGOCIAÇÕES!O917=""),NEGOCIAÇÕES!N917,"")</f>
        <v/>
      </c>
    </row>
    <row r="918" spans="2:5" ht="31.95" hidden="1" customHeight="1" x14ac:dyDescent="0.3">
      <c r="B918" s="6" t="str">
        <f ca="1">IF(AND(NEGOCIAÇÕES!O918="",NEGOCIAÇÕES!N918&gt;TODAY()),NEGOCIAÇÕES!C918,"")</f>
        <v/>
      </c>
      <c r="C918" s="6" t="str">
        <f ca="1">IF(AND(NEGOCIAÇÕES!O918="",NEGOCIAÇÕES!N918&gt;TODAY()),NEGOCIAÇÕES!E918,"")</f>
        <v/>
      </c>
      <c r="D918" s="6" t="str">
        <f ca="1">IF(AND(NEGOCIAÇÕES!O918="",NEGOCIAÇÕES!N918&gt;TODAY()),NEGOCIAÇÕES!D918,"")</f>
        <v/>
      </c>
      <c r="E918" s="9" t="str">
        <f>IF(AND(NEGOCIAÇÕES!B918&lt;&gt;"",NEGOCIAÇÕES!O918=""),NEGOCIAÇÕES!N918,"")</f>
        <v/>
      </c>
    </row>
    <row r="919" spans="2:5" ht="31.95" hidden="1" customHeight="1" x14ac:dyDescent="0.3">
      <c r="B919" s="6" t="str">
        <f ca="1">IF(AND(NEGOCIAÇÕES!O919="",NEGOCIAÇÕES!N919&gt;TODAY()),NEGOCIAÇÕES!C919,"")</f>
        <v/>
      </c>
      <c r="C919" s="6" t="str">
        <f ca="1">IF(AND(NEGOCIAÇÕES!O919="",NEGOCIAÇÕES!N919&gt;TODAY()),NEGOCIAÇÕES!E919,"")</f>
        <v/>
      </c>
      <c r="D919" s="6" t="str">
        <f ca="1">IF(AND(NEGOCIAÇÕES!O919="",NEGOCIAÇÕES!N919&gt;TODAY()),NEGOCIAÇÕES!D919,"")</f>
        <v/>
      </c>
      <c r="E919" s="9" t="str">
        <f>IF(AND(NEGOCIAÇÕES!B919&lt;&gt;"",NEGOCIAÇÕES!O919=""),NEGOCIAÇÕES!N919,"")</f>
        <v/>
      </c>
    </row>
    <row r="920" spans="2:5" ht="31.95" hidden="1" customHeight="1" x14ac:dyDescent="0.3">
      <c r="B920" s="6" t="str">
        <f ca="1">IF(AND(NEGOCIAÇÕES!O920="",NEGOCIAÇÕES!N920&gt;TODAY()),NEGOCIAÇÕES!C920,"")</f>
        <v/>
      </c>
      <c r="C920" s="6" t="str">
        <f ca="1">IF(AND(NEGOCIAÇÕES!O920="",NEGOCIAÇÕES!N920&gt;TODAY()),NEGOCIAÇÕES!E920,"")</f>
        <v/>
      </c>
      <c r="D920" s="6" t="str">
        <f ca="1">IF(AND(NEGOCIAÇÕES!O920="",NEGOCIAÇÕES!N920&gt;TODAY()),NEGOCIAÇÕES!D920,"")</f>
        <v/>
      </c>
      <c r="E920" s="9" t="str">
        <f>IF(AND(NEGOCIAÇÕES!B920&lt;&gt;"",NEGOCIAÇÕES!O920=""),NEGOCIAÇÕES!N920,"")</f>
        <v/>
      </c>
    </row>
    <row r="921" spans="2:5" ht="31.95" hidden="1" customHeight="1" x14ac:dyDescent="0.3">
      <c r="B921" s="6" t="str">
        <f ca="1">IF(AND(NEGOCIAÇÕES!O921="",NEGOCIAÇÕES!N921&gt;TODAY()),NEGOCIAÇÕES!C921,"")</f>
        <v/>
      </c>
      <c r="C921" s="6" t="str">
        <f ca="1">IF(AND(NEGOCIAÇÕES!O921="",NEGOCIAÇÕES!N921&gt;TODAY()),NEGOCIAÇÕES!E921,"")</f>
        <v/>
      </c>
      <c r="D921" s="6" t="str">
        <f ca="1">IF(AND(NEGOCIAÇÕES!O921="",NEGOCIAÇÕES!N921&gt;TODAY()),NEGOCIAÇÕES!D921,"")</f>
        <v/>
      </c>
      <c r="E921" s="9" t="str">
        <f>IF(AND(NEGOCIAÇÕES!B921&lt;&gt;"",NEGOCIAÇÕES!O921=""),NEGOCIAÇÕES!N921,"")</f>
        <v/>
      </c>
    </row>
    <row r="922" spans="2:5" ht="31.95" hidden="1" customHeight="1" x14ac:dyDescent="0.3">
      <c r="B922" s="6" t="str">
        <f ca="1">IF(AND(NEGOCIAÇÕES!O922="",NEGOCIAÇÕES!N922&gt;TODAY()),NEGOCIAÇÕES!C922,"")</f>
        <v/>
      </c>
      <c r="C922" s="6" t="str">
        <f ca="1">IF(AND(NEGOCIAÇÕES!O922="",NEGOCIAÇÕES!N922&gt;TODAY()),NEGOCIAÇÕES!E922,"")</f>
        <v/>
      </c>
      <c r="D922" s="6" t="str">
        <f ca="1">IF(AND(NEGOCIAÇÕES!O922="",NEGOCIAÇÕES!N922&gt;TODAY()),NEGOCIAÇÕES!D922,"")</f>
        <v/>
      </c>
      <c r="E922" s="9" t="str">
        <f>IF(AND(NEGOCIAÇÕES!B922&lt;&gt;"",NEGOCIAÇÕES!O922=""),NEGOCIAÇÕES!N922,"")</f>
        <v/>
      </c>
    </row>
    <row r="923" spans="2:5" ht="31.95" hidden="1" customHeight="1" x14ac:dyDescent="0.3">
      <c r="B923" s="6" t="str">
        <f ca="1">IF(AND(NEGOCIAÇÕES!O923="",NEGOCIAÇÕES!N923&gt;TODAY()),NEGOCIAÇÕES!C923,"")</f>
        <v/>
      </c>
      <c r="C923" s="6" t="str">
        <f ca="1">IF(AND(NEGOCIAÇÕES!O923="",NEGOCIAÇÕES!N923&gt;TODAY()),NEGOCIAÇÕES!E923,"")</f>
        <v/>
      </c>
      <c r="D923" s="6" t="str">
        <f ca="1">IF(AND(NEGOCIAÇÕES!O923="",NEGOCIAÇÕES!N923&gt;TODAY()),NEGOCIAÇÕES!D923,"")</f>
        <v/>
      </c>
      <c r="E923" s="9" t="str">
        <f>IF(AND(NEGOCIAÇÕES!B923&lt;&gt;"",NEGOCIAÇÕES!O923=""),NEGOCIAÇÕES!N923,"")</f>
        <v/>
      </c>
    </row>
    <row r="924" spans="2:5" ht="31.95" hidden="1" customHeight="1" x14ac:dyDescent="0.3">
      <c r="B924" s="6" t="str">
        <f ca="1">IF(AND(NEGOCIAÇÕES!O924="",NEGOCIAÇÕES!N924&gt;TODAY()),NEGOCIAÇÕES!C924,"")</f>
        <v/>
      </c>
      <c r="C924" s="6" t="str">
        <f ca="1">IF(AND(NEGOCIAÇÕES!O924="",NEGOCIAÇÕES!N924&gt;TODAY()),NEGOCIAÇÕES!E924,"")</f>
        <v/>
      </c>
      <c r="D924" s="6" t="str">
        <f ca="1">IF(AND(NEGOCIAÇÕES!O924="",NEGOCIAÇÕES!N924&gt;TODAY()),NEGOCIAÇÕES!D924,"")</f>
        <v/>
      </c>
      <c r="E924" s="9" t="str">
        <f>IF(AND(NEGOCIAÇÕES!B924&lt;&gt;"",NEGOCIAÇÕES!O924=""),NEGOCIAÇÕES!N924,"")</f>
        <v/>
      </c>
    </row>
    <row r="925" spans="2:5" ht="31.95" hidden="1" customHeight="1" x14ac:dyDescent="0.3">
      <c r="B925" s="6" t="str">
        <f ca="1">IF(AND(NEGOCIAÇÕES!O925="",NEGOCIAÇÕES!N925&gt;TODAY()),NEGOCIAÇÕES!C925,"")</f>
        <v/>
      </c>
      <c r="C925" s="6" t="str">
        <f ca="1">IF(AND(NEGOCIAÇÕES!O925="",NEGOCIAÇÕES!N925&gt;TODAY()),NEGOCIAÇÕES!E925,"")</f>
        <v/>
      </c>
      <c r="D925" s="6" t="str">
        <f ca="1">IF(AND(NEGOCIAÇÕES!O925="",NEGOCIAÇÕES!N925&gt;TODAY()),NEGOCIAÇÕES!D925,"")</f>
        <v/>
      </c>
      <c r="E925" s="9" t="str">
        <f>IF(AND(NEGOCIAÇÕES!B925&lt;&gt;"",NEGOCIAÇÕES!O925=""),NEGOCIAÇÕES!N925,"")</f>
        <v/>
      </c>
    </row>
    <row r="926" spans="2:5" ht="31.95" hidden="1" customHeight="1" x14ac:dyDescent="0.3">
      <c r="B926" s="6" t="str">
        <f ca="1">IF(AND(NEGOCIAÇÕES!O926="",NEGOCIAÇÕES!N926&gt;TODAY()),NEGOCIAÇÕES!C926,"")</f>
        <v/>
      </c>
      <c r="C926" s="6" t="str">
        <f ca="1">IF(AND(NEGOCIAÇÕES!O926="",NEGOCIAÇÕES!N926&gt;TODAY()),NEGOCIAÇÕES!E926,"")</f>
        <v/>
      </c>
      <c r="D926" s="6" t="str">
        <f ca="1">IF(AND(NEGOCIAÇÕES!O926="",NEGOCIAÇÕES!N926&gt;TODAY()),NEGOCIAÇÕES!D926,"")</f>
        <v/>
      </c>
      <c r="E926" s="9" t="str">
        <f>IF(AND(NEGOCIAÇÕES!B926&lt;&gt;"",NEGOCIAÇÕES!O926=""),NEGOCIAÇÕES!N926,"")</f>
        <v/>
      </c>
    </row>
    <row r="927" spans="2:5" ht="31.95" hidden="1" customHeight="1" x14ac:dyDescent="0.3">
      <c r="B927" s="6" t="str">
        <f ca="1">IF(AND(NEGOCIAÇÕES!O927="",NEGOCIAÇÕES!N927&gt;TODAY()),NEGOCIAÇÕES!C927,"")</f>
        <v/>
      </c>
      <c r="C927" s="6" t="str">
        <f ca="1">IF(AND(NEGOCIAÇÕES!O927="",NEGOCIAÇÕES!N927&gt;TODAY()),NEGOCIAÇÕES!E927,"")</f>
        <v/>
      </c>
      <c r="D927" s="6" t="str">
        <f ca="1">IF(AND(NEGOCIAÇÕES!O927="",NEGOCIAÇÕES!N927&gt;TODAY()),NEGOCIAÇÕES!D927,"")</f>
        <v/>
      </c>
      <c r="E927" s="9" t="str">
        <f>IF(AND(NEGOCIAÇÕES!B927&lt;&gt;"",NEGOCIAÇÕES!O927=""),NEGOCIAÇÕES!N927,"")</f>
        <v/>
      </c>
    </row>
    <row r="928" spans="2:5" ht="31.95" hidden="1" customHeight="1" x14ac:dyDescent="0.3">
      <c r="B928" s="6" t="str">
        <f ca="1">IF(AND(NEGOCIAÇÕES!O928="",NEGOCIAÇÕES!N928&gt;TODAY()),NEGOCIAÇÕES!C928,"")</f>
        <v/>
      </c>
      <c r="C928" s="6" t="str">
        <f ca="1">IF(AND(NEGOCIAÇÕES!O928="",NEGOCIAÇÕES!N928&gt;TODAY()),NEGOCIAÇÕES!E928,"")</f>
        <v/>
      </c>
      <c r="D928" s="6" t="str">
        <f ca="1">IF(AND(NEGOCIAÇÕES!O928="",NEGOCIAÇÕES!N928&gt;TODAY()),NEGOCIAÇÕES!D928,"")</f>
        <v/>
      </c>
      <c r="E928" s="9" t="str">
        <f>IF(AND(NEGOCIAÇÕES!B928&lt;&gt;"",NEGOCIAÇÕES!O928=""),NEGOCIAÇÕES!N928,"")</f>
        <v/>
      </c>
    </row>
    <row r="929" spans="2:5" ht="31.95" hidden="1" customHeight="1" x14ac:dyDescent="0.3">
      <c r="B929" s="6" t="str">
        <f ca="1">IF(AND(NEGOCIAÇÕES!O929="",NEGOCIAÇÕES!N929&gt;TODAY()),NEGOCIAÇÕES!C929,"")</f>
        <v/>
      </c>
      <c r="C929" s="6" t="str">
        <f ca="1">IF(AND(NEGOCIAÇÕES!O929="",NEGOCIAÇÕES!N929&gt;TODAY()),NEGOCIAÇÕES!E929,"")</f>
        <v/>
      </c>
      <c r="D929" s="6" t="str">
        <f ca="1">IF(AND(NEGOCIAÇÕES!O929="",NEGOCIAÇÕES!N929&gt;TODAY()),NEGOCIAÇÕES!D929,"")</f>
        <v/>
      </c>
      <c r="E929" s="9" t="str">
        <f>IF(AND(NEGOCIAÇÕES!B929&lt;&gt;"",NEGOCIAÇÕES!O929=""),NEGOCIAÇÕES!N929,"")</f>
        <v/>
      </c>
    </row>
    <row r="930" spans="2:5" ht="31.95" hidden="1" customHeight="1" x14ac:dyDescent="0.3">
      <c r="B930" s="6" t="str">
        <f ca="1">IF(AND(NEGOCIAÇÕES!O930="",NEGOCIAÇÕES!N930&gt;TODAY()),NEGOCIAÇÕES!C930,"")</f>
        <v/>
      </c>
      <c r="C930" s="6" t="str">
        <f ca="1">IF(AND(NEGOCIAÇÕES!O930="",NEGOCIAÇÕES!N930&gt;TODAY()),NEGOCIAÇÕES!E930,"")</f>
        <v/>
      </c>
      <c r="D930" s="6" t="str">
        <f ca="1">IF(AND(NEGOCIAÇÕES!O930="",NEGOCIAÇÕES!N930&gt;TODAY()),NEGOCIAÇÕES!D930,"")</f>
        <v/>
      </c>
      <c r="E930" s="9" t="str">
        <f>IF(AND(NEGOCIAÇÕES!B930&lt;&gt;"",NEGOCIAÇÕES!O930=""),NEGOCIAÇÕES!N930,"")</f>
        <v/>
      </c>
    </row>
    <row r="931" spans="2:5" ht="31.95" hidden="1" customHeight="1" x14ac:dyDescent="0.3">
      <c r="B931" s="6" t="str">
        <f ca="1">IF(AND(NEGOCIAÇÕES!O931="",NEGOCIAÇÕES!N931&gt;TODAY()),NEGOCIAÇÕES!C931,"")</f>
        <v/>
      </c>
      <c r="C931" s="6" t="str">
        <f ca="1">IF(AND(NEGOCIAÇÕES!O931="",NEGOCIAÇÕES!N931&gt;TODAY()),NEGOCIAÇÕES!E931,"")</f>
        <v/>
      </c>
      <c r="D931" s="6" t="str">
        <f ca="1">IF(AND(NEGOCIAÇÕES!O931="",NEGOCIAÇÕES!N931&gt;TODAY()),NEGOCIAÇÕES!D931,"")</f>
        <v/>
      </c>
      <c r="E931" s="9" t="str">
        <f>IF(AND(NEGOCIAÇÕES!B931&lt;&gt;"",NEGOCIAÇÕES!O931=""),NEGOCIAÇÕES!N931,"")</f>
        <v/>
      </c>
    </row>
    <row r="932" spans="2:5" ht="31.95" hidden="1" customHeight="1" x14ac:dyDescent="0.3">
      <c r="B932" s="6" t="str">
        <f ca="1">IF(AND(NEGOCIAÇÕES!O932="",NEGOCIAÇÕES!N932&gt;TODAY()),NEGOCIAÇÕES!C932,"")</f>
        <v/>
      </c>
      <c r="C932" s="6" t="str">
        <f ca="1">IF(AND(NEGOCIAÇÕES!O932="",NEGOCIAÇÕES!N932&gt;TODAY()),NEGOCIAÇÕES!E932,"")</f>
        <v/>
      </c>
      <c r="D932" s="6" t="str">
        <f ca="1">IF(AND(NEGOCIAÇÕES!O932="",NEGOCIAÇÕES!N932&gt;TODAY()),NEGOCIAÇÕES!D932,"")</f>
        <v/>
      </c>
      <c r="E932" s="9" t="str">
        <f>IF(AND(NEGOCIAÇÕES!B932&lt;&gt;"",NEGOCIAÇÕES!O932=""),NEGOCIAÇÕES!N932,"")</f>
        <v/>
      </c>
    </row>
    <row r="933" spans="2:5" ht="31.95" hidden="1" customHeight="1" x14ac:dyDescent="0.3">
      <c r="B933" s="6" t="str">
        <f ca="1">IF(AND(NEGOCIAÇÕES!O933="",NEGOCIAÇÕES!N933&gt;TODAY()),NEGOCIAÇÕES!C933,"")</f>
        <v/>
      </c>
      <c r="C933" s="6" t="str">
        <f ca="1">IF(AND(NEGOCIAÇÕES!O933="",NEGOCIAÇÕES!N933&gt;TODAY()),NEGOCIAÇÕES!E933,"")</f>
        <v/>
      </c>
      <c r="D933" s="6" t="str">
        <f ca="1">IF(AND(NEGOCIAÇÕES!O933="",NEGOCIAÇÕES!N933&gt;TODAY()),NEGOCIAÇÕES!D933,"")</f>
        <v/>
      </c>
      <c r="E933" s="9" t="str">
        <f>IF(AND(NEGOCIAÇÕES!B933&lt;&gt;"",NEGOCIAÇÕES!O933=""),NEGOCIAÇÕES!N933,"")</f>
        <v/>
      </c>
    </row>
    <row r="934" spans="2:5" ht="31.95" hidden="1" customHeight="1" x14ac:dyDescent="0.3">
      <c r="B934" s="6" t="str">
        <f ca="1">IF(AND(NEGOCIAÇÕES!O934="",NEGOCIAÇÕES!N934&gt;TODAY()),NEGOCIAÇÕES!C934,"")</f>
        <v/>
      </c>
      <c r="C934" s="6" t="str">
        <f ca="1">IF(AND(NEGOCIAÇÕES!O934="",NEGOCIAÇÕES!N934&gt;TODAY()),NEGOCIAÇÕES!E934,"")</f>
        <v/>
      </c>
      <c r="D934" s="6" t="str">
        <f ca="1">IF(AND(NEGOCIAÇÕES!O934="",NEGOCIAÇÕES!N934&gt;TODAY()),NEGOCIAÇÕES!D934,"")</f>
        <v/>
      </c>
      <c r="E934" s="9" t="str">
        <f>IF(AND(NEGOCIAÇÕES!B934&lt;&gt;"",NEGOCIAÇÕES!O934=""),NEGOCIAÇÕES!N934,"")</f>
        <v/>
      </c>
    </row>
    <row r="935" spans="2:5" ht="31.95" hidden="1" customHeight="1" x14ac:dyDescent="0.3">
      <c r="B935" s="6" t="str">
        <f ca="1">IF(AND(NEGOCIAÇÕES!O935="",NEGOCIAÇÕES!N935&gt;TODAY()),NEGOCIAÇÕES!C935,"")</f>
        <v/>
      </c>
      <c r="C935" s="6" t="str">
        <f ca="1">IF(AND(NEGOCIAÇÕES!O935="",NEGOCIAÇÕES!N935&gt;TODAY()),NEGOCIAÇÕES!E935,"")</f>
        <v/>
      </c>
      <c r="D935" s="6" t="str">
        <f ca="1">IF(AND(NEGOCIAÇÕES!O935="",NEGOCIAÇÕES!N935&gt;TODAY()),NEGOCIAÇÕES!D935,"")</f>
        <v/>
      </c>
      <c r="E935" s="9" t="str">
        <f>IF(AND(NEGOCIAÇÕES!B935&lt;&gt;"",NEGOCIAÇÕES!O935=""),NEGOCIAÇÕES!N935,"")</f>
        <v/>
      </c>
    </row>
    <row r="936" spans="2:5" ht="31.95" hidden="1" customHeight="1" x14ac:dyDescent="0.3">
      <c r="B936" s="6" t="str">
        <f ca="1">IF(AND(NEGOCIAÇÕES!O936="",NEGOCIAÇÕES!N936&gt;TODAY()),NEGOCIAÇÕES!C936,"")</f>
        <v/>
      </c>
      <c r="C936" s="6" t="str">
        <f ca="1">IF(AND(NEGOCIAÇÕES!O936="",NEGOCIAÇÕES!N936&gt;TODAY()),NEGOCIAÇÕES!E936,"")</f>
        <v/>
      </c>
      <c r="D936" s="6" t="str">
        <f ca="1">IF(AND(NEGOCIAÇÕES!O936="",NEGOCIAÇÕES!N936&gt;TODAY()),NEGOCIAÇÕES!D936,"")</f>
        <v/>
      </c>
      <c r="E936" s="9" t="str">
        <f>IF(AND(NEGOCIAÇÕES!B936&lt;&gt;"",NEGOCIAÇÕES!O936=""),NEGOCIAÇÕES!N936,"")</f>
        <v/>
      </c>
    </row>
    <row r="937" spans="2:5" ht="31.95" hidden="1" customHeight="1" x14ac:dyDescent="0.3">
      <c r="B937" s="6" t="str">
        <f ca="1">IF(AND(NEGOCIAÇÕES!O937="",NEGOCIAÇÕES!N937&gt;TODAY()),NEGOCIAÇÕES!C937,"")</f>
        <v/>
      </c>
      <c r="C937" s="6" t="str">
        <f ca="1">IF(AND(NEGOCIAÇÕES!O937="",NEGOCIAÇÕES!N937&gt;TODAY()),NEGOCIAÇÕES!E937,"")</f>
        <v/>
      </c>
      <c r="D937" s="6" t="str">
        <f ca="1">IF(AND(NEGOCIAÇÕES!O937="",NEGOCIAÇÕES!N937&gt;TODAY()),NEGOCIAÇÕES!D937,"")</f>
        <v/>
      </c>
      <c r="E937" s="9" t="str">
        <f>IF(AND(NEGOCIAÇÕES!B937&lt;&gt;"",NEGOCIAÇÕES!O937=""),NEGOCIAÇÕES!N937,"")</f>
        <v/>
      </c>
    </row>
    <row r="938" spans="2:5" ht="31.95" hidden="1" customHeight="1" x14ac:dyDescent="0.3">
      <c r="B938" s="6" t="str">
        <f ca="1">IF(AND(NEGOCIAÇÕES!O938="",NEGOCIAÇÕES!N938&gt;TODAY()),NEGOCIAÇÕES!C938,"")</f>
        <v/>
      </c>
      <c r="C938" s="6" t="str">
        <f ca="1">IF(AND(NEGOCIAÇÕES!O938="",NEGOCIAÇÕES!N938&gt;TODAY()),NEGOCIAÇÕES!E938,"")</f>
        <v/>
      </c>
      <c r="D938" s="6" t="str">
        <f ca="1">IF(AND(NEGOCIAÇÕES!O938="",NEGOCIAÇÕES!N938&gt;TODAY()),NEGOCIAÇÕES!D938,"")</f>
        <v/>
      </c>
      <c r="E938" s="9" t="str">
        <f>IF(AND(NEGOCIAÇÕES!B938&lt;&gt;"",NEGOCIAÇÕES!O938=""),NEGOCIAÇÕES!N938,"")</f>
        <v/>
      </c>
    </row>
    <row r="939" spans="2:5" ht="31.95" hidden="1" customHeight="1" x14ac:dyDescent="0.3">
      <c r="B939" s="6" t="str">
        <f ca="1">IF(AND(NEGOCIAÇÕES!O939="",NEGOCIAÇÕES!N939&gt;TODAY()),NEGOCIAÇÕES!C939,"")</f>
        <v/>
      </c>
      <c r="C939" s="6" t="str">
        <f ca="1">IF(AND(NEGOCIAÇÕES!O939="",NEGOCIAÇÕES!N939&gt;TODAY()),NEGOCIAÇÕES!E939,"")</f>
        <v/>
      </c>
      <c r="D939" s="6" t="str">
        <f ca="1">IF(AND(NEGOCIAÇÕES!O939="",NEGOCIAÇÕES!N939&gt;TODAY()),NEGOCIAÇÕES!D939,"")</f>
        <v/>
      </c>
      <c r="E939" s="9" t="str">
        <f>IF(AND(NEGOCIAÇÕES!B939&lt;&gt;"",NEGOCIAÇÕES!O939=""),NEGOCIAÇÕES!N939,"")</f>
        <v/>
      </c>
    </row>
    <row r="940" spans="2:5" ht="31.95" hidden="1" customHeight="1" x14ac:dyDescent="0.3">
      <c r="B940" s="6" t="str">
        <f ca="1">IF(AND(NEGOCIAÇÕES!O940="",NEGOCIAÇÕES!N940&gt;TODAY()),NEGOCIAÇÕES!C940,"")</f>
        <v/>
      </c>
      <c r="C940" s="6" t="str">
        <f ca="1">IF(AND(NEGOCIAÇÕES!O940="",NEGOCIAÇÕES!N940&gt;TODAY()),NEGOCIAÇÕES!E940,"")</f>
        <v/>
      </c>
      <c r="D940" s="6" t="str">
        <f ca="1">IF(AND(NEGOCIAÇÕES!O940="",NEGOCIAÇÕES!N940&gt;TODAY()),NEGOCIAÇÕES!D940,"")</f>
        <v/>
      </c>
      <c r="E940" s="9" t="str">
        <f>IF(AND(NEGOCIAÇÕES!B940&lt;&gt;"",NEGOCIAÇÕES!O940=""),NEGOCIAÇÕES!N940,"")</f>
        <v/>
      </c>
    </row>
    <row r="941" spans="2:5" ht="31.95" hidden="1" customHeight="1" x14ac:dyDescent="0.3">
      <c r="B941" s="6" t="str">
        <f ca="1">IF(AND(NEGOCIAÇÕES!O941="",NEGOCIAÇÕES!N941&gt;TODAY()),NEGOCIAÇÕES!C941,"")</f>
        <v/>
      </c>
      <c r="C941" s="6" t="str">
        <f ca="1">IF(AND(NEGOCIAÇÕES!O941="",NEGOCIAÇÕES!N941&gt;TODAY()),NEGOCIAÇÕES!E941,"")</f>
        <v/>
      </c>
      <c r="D941" s="6" t="str">
        <f ca="1">IF(AND(NEGOCIAÇÕES!O941="",NEGOCIAÇÕES!N941&gt;TODAY()),NEGOCIAÇÕES!D941,"")</f>
        <v/>
      </c>
      <c r="E941" s="9" t="str">
        <f>IF(AND(NEGOCIAÇÕES!B941&lt;&gt;"",NEGOCIAÇÕES!O941=""),NEGOCIAÇÕES!N941,"")</f>
        <v/>
      </c>
    </row>
    <row r="942" spans="2:5" ht="31.95" hidden="1" customHeight="1" x14ac:dyDescent="0.3">
      <c r="B942" s="6" t="str">
        <f ca="1">IF(AND(NEGOCIAÇÕES!O942="",NEGOCIAÇÕES!N942&gt;TODAY()),NEGOCIAÇÕES!C942,"")</f>
        <v/>
      </c>
      <c r="C942" s="6" t="str">
        <f ca="1">IF(AND(NEGOCIAÇÕES!O942="",NEGOCIAÇÕES!N942&gt;TODAY()),NEGOCIAÇÕES!E942,"")</f>
        <v/>
      </c>
      <c r="D942" s="6" t="str">
        <f ca="1">IF(AND(NEGOCIAÇÕES!O942="",NEGOCIAÇÕES!N942&gt;TODAY()),NEGOCIAÇÕES!D942,"")</f>
        <v/>
      </c>
      <c r="E942" s="9" t="str">
        <f>IF(AND(NEGOCIAÇÕES!B942&lt;&gt;"",NEGOCIAÇÕES!O942=""),NEGOCIAÇÕES!N942,"")</f>
        <v/>
      </c>
    </row>
    <row r="943" spans="2:5" ht="31.95" hidden="1" customHeight="1" x14ac:dyDescent="0.3">
      <c r="B943" s="6" t="str">
        <f ca="1">IF(AND(NEGOCIAÇÕES!O943="",NEGOCIAÇÕES!N943&gt;TODAY()),NEGOCIAÇÕES!C943,"")</f>
        <v/>
      </c>
      <c r="C943" s="6" t="str">
        <f ca="1">IF(AND(NEGOCIAÇÕES!O943="",NEGOCIAÇÕES!N943&gt;TODAY()),NEGOCIAÇÕES!E943,"")</f>
        <v/>
      </c>
      <c r="D943" s="6" t="str">
        <f ca="1">IF(AND(NEGOCIAÇÕES!O943="",NEGOCIAÇÕES!N943&gt;TODAY()),NEGOCIAÇÕES!D943,"")</f>
        <v/>
      </c>
      <c r="E943" s="9" t="str">
        <f>IF(AND(NEGOCIAÇÕES!B943&lt;&gt;"",NEGOCIAÇÕES!O943=""),NEGOCIAÇÕES!N943,"")</f>
        <v/>
      </c>
    </row>
    <row r="944" spans="2:5" ht="31.95" hidden="1" customHeight="1" x14ac:dyDescent="0.3">
      <c r="B944" s="6" t="str">
        <f ca="1">IF(AND(NEGOCIAÇÕES!O944="",NEGOCIAÇÕES!N944&gt;TODAY()),NEGOCIAÇÕES!C944,"")</f>
        <v/>
      </c>
      <c r="C944" s="6" t="str">
        <f ca="1">IF(AND(NEGOCIAÇÕES!O944="",NEGOCIAÇÕES!N944&gt;TODAY()),NEGOCIAÇÕES!E944,"")</f>
        <v/>
      </c>
      <c r="D944" s="6" t="str">
        <f ca="1">IF(AND(NEGOCIAÇÕES!O944="",NEGOCIAÇÕES!N944&gt;TODAY()),NEGOCIAÇÕES!D944,"")</f>
        <v/>
      </c>
      <c r="E944" s="9" t="str">
        <f>IF(AND(NEGOCIAÇÕES!B944&lt;&gt;"",NEGOCIAÇÕES!O944=""),NEGOCIAÇÕES!N944,"")</f>
        <v/>
      </c>
    </row>
    <row r="945" spans="2:5" ht="31.95" hidden="1" customHeight="1" x14ac:dyDescent="0.3">
      <c r="B945" s="6" t="str">
        <f ca="1">IF(AND(NEGOCIAÇÕES!O945="",NEGOCIAÇÕES!N945&gt;TODAY()),NEGOCIAÇÕES!C945,"")</f>
        <v/>
      </c>
      <c r="C945" s="6" t="str">
        <f ca="1">IF(AND(NEGOCIAÇÕES!O945="",NEGOCIAÇÕES!N945&gt;TODAY()),NEGOCIAÇÕES!E945,"")</f>
        <v/>
      </c>
      <c r="D945" s="6" t="str">
        <f ca="1">IF(AND(NEGOCIAÇÕES!O945="",NEGOCIAÇÕES!N945&gt;TODAY()),NEGOCIAÇÕES!D945,"")</f>
        <v/>
      </c>
      <c r="E945" s="9" t="str">
        <f>IF(AND(NEGOCIAÇÕES!B945&lt;&gt;"",NEGOCIAÇÕES!O945=""),NEGOCIAÇÕES!N945,"")</f>
        <v/>
      </c>
    </row>
    <row r="946" spans="2:5" ht="31.95" hidden="1" customHeight="1" x14ac:dyDescent="0.3">
      <c r="B946" s="6" t="str">
        <f ca="1">IF(AND(NEGOCIAÇÕES!O946="",NEGOCIAÇÕES!N946&gt;TODAY()),NEGOCIAÇÕES!C946,"")</f>
        <v/>
      </c>
      <c r="C946" s="6" t="str">
        <f ca="1">IF(AND(NEGOCIAÇÕES!O946="",NEGOCIAÇÕES!N946&gt;TODAY()),NEGOCIAÇÕES!E946,"")</f>
        <v/>
      </c>
      <c r="D946" s="6" t="str">
        <f ca="1">IF(AND(NEGOCIAÇÕES!O946="",NEGOCIAÇÕES!N946&gt;TODAY()),NEGOCIAÇÕES!D946,"")</f>
        <v/>
      </c>
      <c r="E946" s="9" t="str">
        <f>IF(AND(NEGOCIAÇÕES!B946&lt;&gt;"",NEGOCIAÇÕES!O946=""),NEGOCIAÇÕES!N946,"")</f>
        <v/>
      </c>
    </row>
    <row r="947" spans="2:5" ht="31.95" hidden="1" customHeight="1" x14ac:dyDescent="0.3">
      <c r="B947" s="6" t="str">
        <f ca="1">IF(AND(NEGOCIAÇÕES!O947="",NEGOCIAÇÕES!N947&gt;TODAY()),NEGOCIAÇÕES!C947,"")</f>
        <v/>
      </c>
      <c r="C947" s="6" t="str">
        <f ca="1">IF(AND(NEGOCIAÇÕES!O947="",NEGOCIAÇÕES!N947&gt;TODAY()),NEGOCIAÇÕES!E947,"")</f>
        <v/>
      </c>
      <c r="D947" s="6" t="str">
        <f ca="1">IF(AND(NEGOCIAÇÕES!O947="",NEGOCIAÇÕES!N947&gt;TODAY()),NEGOCIAÇÕES!D947,"")</f>
        <v/>
      </c>
      <c r="E947" s="9" t="str">
        <f>IF(AND(NEGOCIAÇÕES!B947&lt;&gt;"",NEGOCIAÇÕES!O947=""),NEGOCIAÇÕES!N947,"")</f>
        <v/>
      </c>
    </row>
    <row r="948" spans="2:5" ht="31.95" hidden="1" customHeight="1" x14ac:dyDescent="0.3">
      <c r="B948" s="6" t="str">
        <f ca="1">IF(AND(NEGOCIAÇÕES!O948="",NEGOCIAÇÕES!N948&gt;TODAY()),NEGOCIAÇÕES!C948,"")</f>
        <v/>
      </c>
      <c r="C948" s="6" t="str">
        <f ca="1">IF(AND(NEGOCIAÇÕES!O948="",NEGOCIAÇÕES!N948&gt;TODAY()),NEGOCIAÇÕES!E948,"")</f>
        <v/>
      </c>
      <c r="D948" s="6" t="str">
        <f ca="1">IF(AND(NEGOCIAÇÕES!O948="",NEGOCIAÇÕES!N948&gt;TODAY()),NEGOCIAÇÕES!D948,"")</f>
        <v/>
      </c>
      <c r="E948" s="9" t="str">
        <f>IF(AND(NEGOCIAÇÕES!B948&lt;&gt;"",NEGOCIAÇÕES!O948=""),NEGOCIAÇÕES!N948,"")</f>
        <v/>
      </c>
    </row>
    <row r="949" spans="2:5" ht="31.95" hidden="1" customHeight="1" x14ac:dyDescent="0.3">
      <c r="B949" s="6" t="str">
        <f ca="1">IF(AND(NEGOCIAÇÕES!O949="",NEGOCIAÇÕES!N949&gt;TODAY()),NEGOCIAÇÕES!C949,"")</f>
        <v/>
      </c>
      <c r="C949" s="6" t="str">
        <f ca="1">IF(AND(NEGOCIAÇÕES!O949="",NEGOCIAÇÕES!N949&gt;TODAY()),NEGOCIAÇÕES!E949,"")</f>
        <v/>
      </c>
      <c r="D949" s="6" t="str">
        <f ca="1">IF(AND(NEGOCIAÇÕES!O949="",NEGOCIAÇÕES!N949&gt;TODAY()),NEGOCIAÇÕES!D949,"")</f>
        <v/>
      </c>
      <c r="E949" s="9" t="str">
        <f>IF(AND(NEGOCIAÇÕES!B949&lt;&gt;"",NEGOCIAÇÕES!O949=""),NEGOCIAÇÕES!N949,"")</f>
        <v/>
      </c>
    </row>
    <row r="950" spans="2:5" ht="31.95" hidden="1" customHeight="1" x14ac:dyDescent="0.3">
      <c r="B950" s="6" t="str">
        <f ca="1">IF(AND(NEGOCIAÇÕES!O950="",NEGOCIAÇÕES!N950&gt;TODAY()),NEGOCIAÇÕES!C950,"")</f>
        <v/>
      </c>
      <c r="C950" s="6" t="str">
        <f ca="1">IF(AND(NEGOCIAÇÕES!O950="",NEGOCIAÇÕES!N950&gt;TODAY()),NEGOCIAÇÕES!E950,"")</f>
        <v/>
      </c>
      <c r="D950" s="6" t="str">
        <f ca="1">IF(AND(NEGOCIAÇÕES!O950="",NEGOCIAÇÕES!N950&gt;TODAY()),NEGOCIAÇÕES!D950,"")</f>
        <v/>
      </c>
      <c r="E950" s="9" t="str">
        <f>IF(AND(NEGOCIAÇÕES!B950&lt;&gt;"",NEGOCIAÇÕES!O950=""),NEGOCIAÇÕES!N950,"")</f>
        <v/>
      </c>
    </row>
    <row r="951" spans="2:5" ht="31.95" hidden="1" customHeight="1" x14ac:dyDescent="0.3">
      <c r="B951" s="6" t="str">
        <f ca="1">IF(AND(NEGOCIAÇÕES!O951="",NEGOCIAÇÕES!N951&gt;TODAY()),NEGOCIAÇÕES!C951,"")</f>
        <v/>
      </c>
      <c r="C951" s="6" t="str">
        <f ca="1">IF(AND(NEGOCIAÇÕES!O951="",NEGOCIAÇÕES!N951&gt;TODAY()),NEGOCIAÇÕES!E951,"")</f>
        <v/>
      </c>
      <c r="D951" s="6" t="str">
        <f ca="1">IF(AND(NEGOCIAÇÕES!O951="",NEGOCIAÇÕES!N951&gt;TODAY()),NEGOCIAÇÕES!D951,"")</f>
        <v/>
      </c>
      <c r="E951" s="9" t="str">
        <f>IF(AND(NEGOCIAÇÕES!B951&lt;&gt;"",NEGOCIAÇÕES!O951=""),NEGOCIAÇÕES!N951,"")</f>
        <v/>
      </c>
    </row>
    <row r="952" spans="2:5" ht="31.95" hidden="1" customHeight="1" x14ac:dyDescent="0.3">
      <c r="B952" s="6" t="str">
        <f ca="1">IF(AND(NEGOCIAÇÕES!O952="",NEGOCIAÇÕES!N952&gt;TODAY()),NEGOCIAÇÕES!C952,"")</f>
        <v/>
      </c>
      <c r="C952" s="6" t="str">
        <f ca="1">IF(AND(NEGOCIAÇÕES!O952="",NEGOCIAÇÕES!N952&gt;TODAY()),NEGOCIAÇÕES!E952,"")</f>
        <v/>
      </c>
      <c r="D952" s="6" t="str">
        <f ca="1">IF(AND(NEGOCIAÇÕES!O952="",NEGOCIAÇÕES!N952&gt;TODAY()),NEGOCIAÇÕES!D952,"")</f>
        <v/>
      </c>
      <c r="E952" s="9" t="str">
        <f>IF(AND(NEGOCIAÇÕES!B952&lt;&gt;"",NEGOCIAÇÕES!O952=""),NEGOCIAÇÕES!N952,"")</f>
        <v/>
      </c>
    </row>
    <row r="953" spans="2:5" ht="31.95" hidden="1" customHeight="1" x14ac:dyDescent="0.3">
      <c r="B953" s="6" t="str">
        <f ca="1">IF(AND(NEGOCIAÇÕES!O953="",NEGOCIAÇÕES!N953&gt;TODAY()),NEGOCIAÇÕES!C953,"")</f>
        <v/>
      </c>
      <c r="C953" s="6" t="str">
        <f ca="1">IF(AND(NEGOCIAÇÕES!O953="",NEGOCIAÇÕES!N953&gt;TODAY()),NEGOCIAÇÕES!E953,"")</f>
        <v/>
      </c>
      <c r="D953" s="6" t="str">
        <f ca="1">IF(AND(NEGOCIAÇÕES!O953="",NEGOCIAÇÕES!N953&gt;TODAY()),NEGOCIAÇÕES!D953,"")</f>
        <v/>
      </c>
      <c r="E953" s="9" t="str">
        <f>IF(AND(NEGOCIAÇÕES!B953&lt;&gt;"",NEGOCIAÇÕES!O953=""),NEGOCIAÇÕES!N953,"")</f>
        <v/>
      </c>
    </row>
    <row r="954" spans="2:5" ht="31.95" hidden="1" customHeight="1" x14ac:dyDescent="0.3">
      <c r="B954" s="6" t="str">
        <f ca="1">IF(AND(NEGOCIAÇÕES!O954="",NEGOCIAÇÕES!N954&gt;TODAY()),NEGOCIAÇÕES!C954,"")</f>
        <v/>
      </c>
      <c r="C954" s="6" t="str">
        <f ca="1">IF(AND(NEGOCIAÇÕES!O954="",NEGOCIAÇÕES!N954&gt;TODAY()),NEGOCIAÇÕES!E954,"")</f>
        <v/>
      </c>
      <c r="D954" s="6" t="str">
        <f ca="1">IF(AND(NEGOCIAÇÕES!O954="",NEGOCIAÇÕES!N954&gt;TODAY()),NEGOCIAÇÕES!D954,"")</f>
        <v/>
      </c>
      <c r="E954" s="9" t="str">
        <f>IF(AND(NEGOCIAÇÕES!B954&lt;&gt;"",NEGOCIAÇÕES!O954=""),NEGOCIAÇÕES!N954,"")</f>
        <v/>
      </c>
    </row>
    <row r="955" spans="2:5" ht="31.95" hidden="1" customHeight="1" x14ac:dyDescent="0.3">
      <c r="B955" s="6" t="str">
        <f ca="1">IF(AND(NEGOCIAÇÕES!O955="",NEGOCIAÇÕES!N955&gt;TODAY()),NEGOCIAÇÕES!C955,"")</f>
        <v/>
      </c>
      <c r="C955" s="6" t="str">
        <f ca="1">IF(AND(NEGOCIAÇÕES!O955="",NEGOCIAÇÕES!N955&gt;TODAY()),NEGOCIAÇÕES!E955,"")</f>
        <v/>
      </c>
      <c r="D955" s="6" t="str">
        <f ca="1">IF(AND(NEGOCIAÇÕES!O955="",NEGOCIAÇÕES!N955&gt;TODAY()),NEGOCIAÇÕES!D955,"")</f>
        <v/>
      </c>
      <c r="E955" s="9" t="str">
        <f>IF(AND(NEGOCIAÇÕES!B955&lt;&gt;"",NEGOCIAÇÕES!O955=""),NEGOCIAÇÕES!N955,"")</f>
        <v/>
      </c>
    </row>
    <row r="956" spans="2:5" ht="31.95" hidden="1" customHeight="1" x14ac:dyDescent="0.3">
      <c r="B956" s="6" t="str">
        <f ca="1">IF(AND(NEGOCIAÇÕES!O956="",NEGOCIAÇÕES!N956&gt;TODAY()),NEGOCIAÇÕES!C956,"")</f>
        <v/>
      </c>
      <c r="C956" s="6" t="str">
        <f ca="1">IF(AND(NEGOCIAÇÕES!O956="",NEGOCIAÇÕES!N956&gt;TODAY()),NEGOCIAÇÕES!E956,"")</f>
        <v/>
      </c>
      <c r="D956" s="6" t="str">
        <f ca="1">IF(AND(NEGOCIAÇÕES!O956="",NEGOCIAÇÕES!N956&gt;TODAY()),NEGOCIAÇÕES!D956,"")</f>
        <v/>
      </c>
      <c r="E956" s="9" t="str">
        <f>IF(AND(NEGOCIAÇÕES!B956&lt;&gt;"",NEGOCIAÇÕES!O956=""),NEGOCIAÇÕES!N956,"")</f>
        <v/>
      </c>
    </row>
    <row r="957" spans="2:5" ht="31.95" hidden="1" customHeight="1" x14ac:dyDescent="0.3">
      <c r="B957" s="6" t="str">
        <f ca="1">IF(AND(NEGOCIAÇÕES!O957="",NEGOCIAÇÕES!N957&gt;TODAY()),NEGOCIAÇÕES!C957,"")</f>
        <v/>
      </c>
      <c r="C957" s="6" t="str">
        <f ca="1">IF(AND(NEGOCIAÇÕES!O957="",NEGOCIAÇÕES!N957&gt;TODAY()),NEGOCIAÇÕES!E957,"")</f>
        <v/>
      </c>
      <c r="D957" s="6" t="str">
        <f ca="1">IF(AND(NEGOCIAÇÕES!O957="",NEGOCIAÇÕES!N957&gt;TODAY()),NEGOCIAÇÕES!D957,"")</f>
        <v/>
      </c>
      <c r="E957" s="9" t="str">
        <f>IF(AND(NEGOCIAÇÕES!B957&lt;&gt;"",NEGOCIAÇÕES!O957=""),NEGOCIAÇÕES!N957,"")</f>
        <v/>
      </c>
    </row>
    <row r="958" spans="2:5" ht="31.95" hidden="1" customHeight="1" x14ac:dyDescent="0.3">
      <c r="B958" s="6" t="str">
        <f ca="1">IF(AND(NEGOCIAÇÕES!O958="",NEGOCIAÇÕES!N958&gt;TODAY()),NEGOCIAÇÕES!C958,"")</f>
        <v/>
      </c>
      <c r="C958" s="6" t="str">
        <f ca="1">IF(AND(NEGOCIAÇÕES!O958="",NEGOCIAÇÕES!N958&gt;TODAY()),NEGOCIAÇÕES!E958,"")</f>
        <v/>
      </c>
      <c r="D958" s="6" t="str">
        <f ca="1">IF(AND(NEGOCIAÇÕES!O958="",NEGOCIAÇÕES!N958&gt;TODAY()),NEGOCIAÇÕES!D958,"")</f>
        <v/>
      </c>
      <c r="E958" s="9" t="str">
        <f>IF(AND(NEGOCIAÇÕES!B958&lt;&gt;"",NEGOCIAÇÕES!O958=""),NEGOCIAÇÕES!N958,"")</f>
        <v/>
      </c>
    </row>
    <row r="959" spans="2:5" ht="31.95" hidden="1" customHeight="1" x14ac:dyDescent="0.3">
      <c r="B959" s="6" t="str">
        <f ca="1">IF(AND(NEGOCIAÇÕES!O959="",NEGOCIAÇÕES!N959&gt;TODAY()),NEGOCIAÇÕES!C959,"")</f>
        <v/>
      </c>
      <c r="C959" s="6" t="str">
        <f ca="1">IF(AND(NEGOCIAÇÕES!O959="",NEGOCIAÇÕES!N959&gt;TODAY()),NEGOCIAÇÕES!E959,"")</f>
        <v/>
      </c>
      <c r="D959" s="6" t="str">
        <f ca="1">IF(AND(NEGOCIAÇÕES!O959="",NEGOCIAÇÕES!N959&gt;TODAY()),NEGOCIAÇÕES!D959,"")</f>
        <v/>
      </c>
      <c r="E959" s="9" t="str">
        <f>IF(AND(NEGOCIAÇÕES!B959&lt;&gt;"",NEGOCIAÇÕES!O959=""),NEGOCIAÇÕES!N959,"")</f>
        <v/>
      </c>
    </row>
    <row r="960" spans="2:5" ht="31.95" hidden="1" customHeight="1" x14ac:dyDescent="0.3">
      <c r="B960" s="6" t="str">
        <f ca="1">IF(AND(NEGOCIAÇÕES!O960="",NEGOCIAÇÕES!N960&gt;TODAY()),NEGOCIAÇÕES!C960,"")</f>
        <v/>
      </c>
      <c r="C960" s="6" t="str">
        <f ca="1">IF(AND(NEGOCIAÇÕES!O960="",NEGOCIAÇÕES!N960&gt;TODAY()),NEGOCIAÇÕES!E960,"")</f>
        <v/>
      </c>
      <c r="D960" s="6" t="str">
        <f ca="1">IF(AND(NEGOCIAÇÕES!O960="",NEGOCIAÇÕES!N960&gt;TODAY()),NEGOCIAÇÕES!D960,"")</f>
        <v/>
      </c>
      <c r="E960" s="9" t="str">
        <f>IF(AND(NEGOCIAÇÕES!B960&lt;&gt;"",NEGOCIAÇÕES!O960=""),NEGOCIAÇÕES!N960,"")</f>
        <v/>
      </c>
    </row>
    <row r="961" spans="2:5" ht="31.95" hidden="1" customHeight="1" x14ac:dyDescent="0.3">
      <c r="B961" s="6" t="str">
        <f ca="1">IF(AND(NEGOCIAÇÕES!O961="",NEGOCIAÇÕES!N961&gt;TODAY()),NEGOCIAÇÕES!C961,"")</f>
        <v/>
      </c>
      <c r="C961" s="6" t="str">
        <f ca="1">IF(AND(NEGOCIAÇÕES!O961="",NEGOCIAÇÕES!N961&gt;TODAY()),NEGOCIAÇÕES!E961,"")</f>
        <v/>
      </c>
      <c r="D961" s="6" t="str">
        <f ca="1">IF(AND(NEGOCIAÇÕES!O961="",NEGOCIAÇÕES!N961&gt;TODAY()),NEGOCIAÇÕES!D961,"")</f>
        <v/>
      </c>
      <c r="E961" s="9" t="str">
        <f>IF(AND(NEGOCIAÇÕES!B961&lt;&gt;"",NEGOCIAÇÕES!O961=""),NEGOCIAÇÕES!N961,"")</f>
        <v/>
      </c>
    </row>
    <row r="962" spans="2:5" ht="31.95" hidden="1" customHeight="1" x14ac:dyDescent="0.3">
      <c r="B962" s="6" t="str">
        <f ca="1">IF(AND(NEGOCIAÇÕES!O962="",NEGOCIAÇÕES!N962&gt;TODAY()),NEGOCIAÇÕES!C962,"")</f>
        <v/>
      </c>
      <c r="C962" s="6" t="str">
        <f ca="1">IF(AND(NEGOCIAÇÕES!O962="",NEGOCIAÇÕES!N962&gt;TODAY()),NEGOCIAÇÕES!E962,"")</f>
        <v/>
      </c>
      <c r="D962" s="6" t="str">
        <f ca="1">IF(AND(NEGOCIAÇÕES!O962="",NEGOCIAÇÕES!N962&gt;TODAY()),NEGOCIAÇÕES!D962,"")</f>
        <v/>
      </c>
      <c r="E962" s="9" t="str">
        <f>IF(AND(NEGOCIAÇÕES!B962&lt;&gt;"",NEGOCIAÇÕES!O962=""),NEGOCIAÇÕES!N962,"")</f>
        <v/>
      </c>
    </row>
    <row r="963" spans="2:5" ht="31.95" hidden="1" customHeight="1" x14ac:dyDescent="0.3">
      <c r="B963" s="6" t="str">
        <f ca="1">IF(AND(NEGOCIAÇÕES!O963="",NEGOCIAÇÕES!N963&gt;TODAY()),NEGOCIAÇÕES!C963,"")</f>
        <v/>
      </c>
      <c r="C963" s="6" t="str">
        <f ca="1">IF(AND(NEGOCIAÇÕES!O963="",NEGOCIAÇÕES!N963&gt;TODAY()),NEGOCIAÇÕES!E963,"")</f>
        <v/>
      </c>
      <c r="D963" s="6" t="str">
        <f ca="1">IF(AND(NEGOCIAÇÕES!O963="",NEGOCIAÇÕES!N963&gt;TODAY()),NEGOCIAÇÕES!D963,"")</f>
        <v/>
      </c>
      <c r="E963" s="9" t="str">
        <f>IF(AND(NEGOCIAÇÕES!B963&lt;&gt;"",NEGOCIAÇÕES!O963=""),NEGOCIAÇÕES!N963,"")</f>
        <v/>
      </c>
    </row>
    <row r="964" spans="2:5" ht="31.95" hidden="1" customHeight="1" x14ac:dyDescent="0.3">
      <c r="B964" s="6" t="str">
        <f ca="1">IF(AND(NEGOCIAÇÕES!O964="",NEGOCIAÇÕES!N964&gt;TODAY()),NEGOCIAÇÕES!C964,"")</f>
        <v/>
      </c>
      <c r="C964" s="6" t="str">
        <f ca="1">IF(AND(NEGOCIAÇÕES!O964="",NEGOCIAÇÕES!N964&gt;TODAY()),NEGOCIAÇÕES!E964,"")</f>
        <v/>
      </c>
      <c r="D964" s="6" t="str">
        <f ca="1">IF(AND(NEGOCIAÇÕES!O964="",NEGOCIAÇÕES!N964&gt;TODAY()),NEGOCIAÇÕES!D964,"")</f>
        <v/>
      </c>
      <c r="E964" s="9" t="str">
        <f>IF(AND(NEGOCIAÇÕES!B964&lt;&gt;"",NEGOCIAÇÕES!O964=""),NEGOCIAÇÕES!N964,"")</f>
        <v/>
      </c>
    </row>
    <row r="965" spans="2:5" ht="31.95" hidden="1" customHeight="1" x14ac:dyDescent="0.3">
      <c r="B965" s="6" t="str">
        <f ca="1">IF(AND(NEGOCIAÇÕES!O965="",NEGOCIAÇÕES!N965&gt;TODAY()),NEGOCIAÇÕES!C965,"")</f>
        <v/>
      </c>
      <c r="C965" s="6" t="str">
        <f ca="1">IF(AND(NEGOCIAÇÕES!O965="",NEGOCIAÇÕES!N965&gt;TODAY()),NEGOCIAÇÕES!E965,"")</f>
        <v/>
      </c>
      <c r="D965" s="6" t="str">
        <f ca="1">IF(AND(NEGOCIAÇÕES!O965="",NEGOCIAÇÕES!N965&gt;TODAY()),NEGOCIAÇÕES!D965,"")</f>
        <v/>
      </c>
      <c r="E965" s="9" t="str">
        <f>IF(AND(NEGOCIAÇÕES!B965&lt;&gt;"",NEGOCIAÇÕES!O965=""),NEGOCIAÇÕES!N965,"")</f>
        <v/>
      </c>
    </row>
    <row r="966" spans="2:5" ht="31.95" hidden="1" customHeight="1" x14ac:dyDescent="0.3">
      <c r="B966" s="6" t="str">
        <f ca="1">IF(AND(NEGOCIAÇÕES!O966="",NEGOCIAÇÕES!N966&gt;TODAY()),NEGOCIAÇÕES!C966,"")</f>
        <v/>
      </c>
      <c r="C966" s="6" t="str">
        <f ca="1">IF(AND(NEGOCIAÇÕES!O966="",NEGOCIAÇÕES!N966&gt;TODAY()),NEGOCIAÇÕES!E966,"")</f>
        <v/>
      </c>
      <c r="D966" s="6" t="str">
        <f ca="1">IF(AND(NEGOCIAÇÕES!O966="",NEGOCIAÇÕES!N966&gt;TODAY()),NEGOCIAÇÕES!D966,"")</f>
        <v/>
      </c>
      <c r="E966" s="9" t="str">
        <f>IF(AND(NEGOCIAÇÕES!B966&lt;&gt;"",NEGOCIAÇÕES!O966=""),NEGOCIAÇÕES!N966,"")</f>
        <v/>
      </c>
    </row>
    <row r="967" spans="2:5" ht="31.95" hidden="1" customHeight="1" x14ac:dyDescent="0.3">
      <c r="B967" s="6" t="str">
        <f ca="1">IF(AND(NEGOCIAÇÕES!O967="",NEGOCIAÇÕES!N967&gt;TODAY()),NEGOCIAÇÕES!C967,"")</f>
        <v/>
      </c>
      <c r="C967" s="6" t="str">
        <f ca="1">IF(AND(NEGOCIAÇÕES!O967="",NEGOCIAÇÕES!N967&gt;TODAY()),NEGOCIAÇÕES!E967,"")</f>
        <v/>
      </c>
      <c r="D967" s="6" t="str">
        <f ca="1">IF(AND(NEGOCIAÇÕES!O967="",NEGOCIAÇÕES!N967&gt;TODAY()),NEGOCIAÇÕES!D967,"")</f>
        <v/>
      </c>
      <c r="E967" s="9" t="str">
        <f>IF(AND(NEGOCIAÇÕES!B967&lt;&gt;"",NEGOCIAÇÕES!O967=""),NEGOCIAÇÕES!N967,"")</f>
        <v/>
      </c>
    </row>
    <row r="968" spans="2:5" ht="31.95" hidden="1" customHeight="1" x14ac:dyDescent="0.3">
      <c r="B968" s="6" t="str">
        <f ca="1">IF(AND(NEGOCIAÇÕES!O968="",NEGOCIAÇÕES!N968&gt;TODAY()),NEGOCIAÇÕES!C968,"")</f>
        <v/>
      </c>
      <c r="C968" s="6" t="str">
        <f ca="1">IF(AND(NEGOCIAÇÕES!O968="",NEGOCIAÇÕES!N968&gt;TODAY()),NEGOCIAÇÕES!E968,"")</f>
        <v/>
      </c>
      <c r="D968" s="6" t="str">
        <f ca="1">IF(AND(NEGOCIAÇÕES!O968="",NEGOCIAÇÕES!N968&gt;TODAY()),NEGOCIAÇÕES!D968,"")</f>
        <v/>
      </c>
      <c r="E968" s="9" t="str">
        <f>IF(AND(NEGOCIAÇÕES!B968&lt;&gt;"",NEGOCIAÇÕES!O968=""),NEGOCIAÇÕES!N968,"")</f>
        <v/>
      </c>
    </row>
    <row r="969" spans="2:5" ht="31.95" hidden="1" customHeight="1" x14ac:dyDescent="0.3">
      <c r="B969" s="6" t="str">
        <f ca="1">IF(AND(NEGOCIAÇÕES!O969="",NEGOCIAÇÕES!N969&gt;TODAY()),NEGOCIAÇÕES!C969,"")</f>
        <v/>
      </c>
      <c r="C969" s="6" t="str">
        <f ca="1">IF(AND(NEGOCIAÇÕES!O969="",NEGOCIAÇÕES!N969&gt;TODAY()),NEGOCIAÇÕES!E969,"")</f>
        <v/>
      </c>
      <c r="D969" s="6" t="str">
        <f ca="1">IF(AND(NEGOCIAÇÕES!O969="",NEGOCIAÇÕES!N969&gt;TODAY()),NEGOCIAÇÕES!D969,"")</f>
        <v/>
      </c>
      <c r="E969" s="9" t="str">
        <f>IF(AND(NEGOCIAÇÕES!B969&lt;&gt;"",NEGOCIAÇÕES!O969=""),NEGOCIAÇÕES!N969,"")</f>
        <v/>
      </c>
    </row>
    <row r="970" spans="2:5" ht="31.95" hidden="1" customHeight="1" x14ac:dyDescent="0.3">
      <c r="B970" s="6" t="str">
        <f ca="1">IF(AND(NEGOCIAÇÕES!O970="",NEGOCIAÇÕES!N970&gt;TODAY()),NEGOCIAÇÕES!C970,"")</f>
        <v/>
      </c>
      <c r="C970" s="6" t="str">
        <f ca="1">IF(AND(NEGOCIAÇÕES!O970="",NEGOCIAÇÕES!N970&gt;TODAY()),NEGOCIAÇÕES!E970,"")</f>
        <v/>
      </c>
      <c r="D970" s="6" t="str">
        <f ca="1">IF(AND(NEGOCIAÇÕES!O970="",NEGOCIAÇÕES!N970&gt;TODAY()),NEGOCIAÇÕES!D970,"")</f>
        <v/>
      </c>
      <c r="E970" s="9" t="str">
        <f>IF(AND(NEGOCIAÇÕES!B970&lt;&gt;"",NEGOCIAÇÕES!O970=""),NEGOCIAÇÕES!N970,"")</f>
        <v/>
      </c>
    </row>
    <row r="971" spans="2:5" ht="31.95" hidden="1" customHeight="1" x14ac:dyDescent="0.3">
      <c r="B971" s="6" t="str">
        <f ca="1">IF(AND(NEGOCIAÇÕES!O971="",NEGOCIAÇÕES!N971&gt;TODAY()),NEGOCIAÇÕES!C971,"")</f>
        <v/>
      </c>
      <c r="C971" s="6" t="str">
        <f ca="1">IF(AND(NEGOCIAÇÕES!O971="",NEGOCIAÇÕES!N971&gt;TODAY()),NEGOCIAÇÕES!E971,"")</f>
        <v/>
      </c>
      <c r="D971" s="6" t="str">
        <f ca="1">IF(AND(NEGOCIAÇÕES!O971="",NEGOCIAÇÕES!N971&gt;TODAY()),NEGOCIAÇÕES!D971,"")</f>
        <v/>
      </c>
      <c r="E971" s="9" t="str">
        <f>IF(AND(NEGOCIAÇÕES!B971&lt;&gt;"",NEGOCIAÇÕES!O971=""),NEGOCIAÇÕES!N971,"")</f>
        <v/>
      </c>
    </row>
    <row r="972" spans="2:5" ht="31.95" hidden="1" customHeight="1" x14ac:dyDescent="0.3">
      <c r="B972" s="6" t="str">
        <f ca="1">IF(AND(NEGOCIAÇÕES!O972="",NEGOCIAÇÕES!N972&gt;TODAY()),NEGOCIAÇÕES!C972,"")</f>
        <v/>
      </c>
      <c r="C972" s="6" t="str">
        <f ca="1">IF(AND(NEGOCIAÇÕES!O972="",NEGOCIAÇÕES!N972&gt;TODAY()),NEGOCIAÇÕES!E972,"")</f>
        <v/>
      </c>
      <c r="D972" s="6" t="str">
        <f ca="1">IF(AND(NEGOCIAÇÕES!O972="",NEGOCIAÇÕES!N972&gt;TODAY()),NEGOCIAÇÕES!D972,"")</f>
        <v/>
      </c>
      <c r="E972" s="9" t="str">
        <f>IF(AND(NEGOCIAÇÕES!B972&lt;&gt;"",NEGOCIAÇÕES!O972=""),NEGOCIAÇÕES!N972,"")</f>
        <v/>
      </c>
    </row>
    <row r="973" spans="2:5" ht="31.95" hidden="1" customHeight="1" x14ac:dyDescent="0.3">
      <c r="B973" s="6" t="str">
        <f ca="1">IF(AND(NEGOCIAÇÕES!O973="",NEGOCIAÇÕES!N973&gt;TODAY()),NEGOCIAÇÕES!C973,"")</f>
        <v/>
      </c>
      <c r="C973" s="6" t="str">
        <f ca="1">IF(AND(NEGOCIAÇÕES!O973="",NEGOCIAÇÕES!N973&gt;TODAY()),NEGOCIAÇÕES!E973,"")</f>
        <v/>
      </c>
      <c r="D973" s="6" t="str">
        <f ca="1">IF(AND(NEGOCIAÇÕES!O973="",NEGOCIAÇÕES!N973&gt;TODAY()),NEGOCIAÇÕES!D973,"")</f>
        <v/>
      </c>
      <c r="E973" s="9" t="str">
        <f>IF(AND(NEGOCIAÇÕES!B973&lt;&gt;"",NEGOCIAÇÕES!O973=""),NEGOCIAÇÕES!N973,"")</f>
        <v/>
      </c>
    </row>
    <row r="974" spans="2:5" ht="31.95" hidden="1" customHeight="1" x14ac:dyDescent="0.3">
      <c r="B974" s="6" t="str">
        <f ca="1">IF(AND(NEGOCIAÇÕES!O974="",NEGOCIAÇÕES!N974&gt;TODAY()),NEGOCIAÇÕES!C974,"")</f>
        <v/>
      </c>
      <c r="C974" s="6" t="str">
        <f ca="1">IF(AND(NEGOCIAÇÕES!O974="",NEGOCIAÇÕES!N974&gt;TODAY()),NEGOCIAÇÕES!E974,"")</f>
        <v/>
      </c>
      <c r="D974" s="6" t="str">
        <f ca="1">IF(AND(NEGOCIAÇÕES!O974="",NEGOCIAÇÕES!N974&gt;TODAY()),NEGOCIAÇÕES!D974,"")</f>
        <v/>
      </c>
      <c r="E974" s="9" t="str">
        <f>IF(AND(NEGOCIAÇÕES!B974&lt;&gt;"",NEGOCIAÇÕES!O974=""),NEGOCIAÇÕES!N974,"")</f>
        <v/>
      </c>
    </row>
    <row r="975" spans="2:5" ht="31.95" hidden="1" customHeight="1" x14ac:dyDescent="0.3">
      <c r="B975" s="6" t="str">
        <f ca="1">IF(AND(NEGOCIAÇÕES!O975="",NEGOCIAÇÕES!N975&gt;TODAY()),NEGOCIAÇÕES!C975,"")</f>
        <v/>
      </c>
      <c r="C975" s="6" t="str">
        <f ca="1">IF(AND(NEGOCIAÇÕES!O975="",NEGOCIAÇÕES!N975&gt;TODAY()),NEGOCIAÇÕES!E975,"")</f>
        <v/>
      </c>
      <c r="D975" s="6" t="str">
        <f ca="1">IF(AND(NEGOCIAÇÕES!O975="",NEGOCIAÇÕES!N975&gt;TODAY()),NEGOCIAÇÕES!D975,"")</f>
        <v/>
      </c>
      <c r="E975" s="9" t="str">
        <f>IF(AND(NEGOCIAÇÕES!B975&lt;&gt;"",NEGOCIAÇÕES!O975=""),NEGOCIAÇÕES!N975,"")</f>
        <v/>
      </c>
    </row>
    <row r="976" spans="2:5" ht="31.95" hidden="1" customHeight="1" x14ac:dyDescent="0.3">
      <c r="B976" s="6" t="str">
        <f ca="1">IF(AND(NEGOCIAÇÕES!O976="",NEGOCIAÇÕES!N976&gt;TODAY()),NEGOCIAÇÕES!C976,"")</f>
        <v/>
      </c>
      <c r="C976" s="6" t="str">
        <f ca="1">IF(AND(NEGOCIAÇÕES!O976="",NEGOCIAÇÕES!N976&gt;TODAY()),NEGOCIAÇÕES!E976,"")</f>
        <v/>
      </c>
      <c r="D976" s="6" t="str">
        <f ca="1">IF(AND(NEGOCIAÇÕES!O976="",NEGOCIAÇÕES!N976&gt;TODAY()),NEGOCIAÇÕES!D976,"")</f>
        <v/>
      </c>
      <c r="E976" s="9" t="str">
        <f>IF(AND(NEGOCIAÇÕES!B976&lt;&gt;"",NEGOCIAÇÕES!O976=""),NEGOCIAÇÕES!N976,"")</f>
        <v/>
      </c>
    </row>
    <row r="977" spans="2:5" ht="31.95" hidden="1" customHeight="1" x14ac:dyDescent="0.3">
      <c r="B977" s="6" t="str">
        <f ca="1">IF(AND(NEGOCIAÇÕES!O977="",NEGOCIAÇÕES!N977&gt;TODAY()),NEGOCIAÇÕES!C977,"")</f>
        <v/>
      </c>
      <c r="C977" s="6" t="str">
        <f ca="1">IF(AND(NEGOCIAÇÕES!O977="",NEGOCIAÇÕES!N977&gt;TODAY()),NEGOCIAÇÕES!E977,"")</f>
        <v/>
      </c>
      <c r="D977" s="6" t="str">
        <f ca="1">IF(AND(NEGOCIAÇÕES!O977="",NEGOCIAÇÕES!N977&gt;TODAY()),NEGOCIAÇÕES!D977,"")</f>
        <v/>
      </c>
      <c r="E977" s="9" t="str">
        <f>IF(AND(NEGOCIAÇÕES!B977&lt;&gt;"",NEGOCIAÇÕES!O977=""),NEGOCIAÇÕES!N977,"")</f>
        <v/>
      </c>
    </row>
    <row r="978" spans="2:5" ht="31.95" hidden="1" customHeight="1" x14ac:dyDescent="0.3">
      <c r="B978" s="6" t="str">
        <f ca="1">IF(AND(NEGOCIAÇÕES!O978="",NEGOCIAÇÕES!N978&gt;TODAY()),NEGOCIAÇÕES!C978,"")</f>
        <v/>
      </c>
      <c r="C978" s="6" t="str">
        <f ca="1">IF(AND(NEGOCIAÇÕES!O978="",NEGOCIAÇÕES!N978&gt;TODAY()),NEGOCIAÇÕES!E978,"")</f>
        <v/>
      </c>
      <c r="D978" s="6" t="str">
        <f ca="1">IF(AND(NEGOCIAÇÕES!O978="",NEGOCIAÇÕES!N978&gt;TODAY()),NEGOCIAÇÕES!D978,"")</f>
        <v/>
      </c>
      <c r="E978" s="9" t="str">
        <f>IF(AND(NEGOCIAÇÕES!B978&lt;&gt;"",NEGOCIAÇÕES!O978=""),NEGOCIAÇÕES!N978,"")</f>
        <v/>
      </c>
    </row>
    <row r="979" spans="2:5" ht="31.95" hidden="1" customHeight="1" x14ac:dyDescent="0.3">
      <c r="B979" s="6" t="str">
        <f ca="1">IF(AND(NEGOCIAÇÕES!O979="",NEGOCIAÇÕES!N979&gt;TODAY()),NEGOCIAÇÕES!C979,"")</f>
        <v/>
      </c>
      <c r="C979" s="6" t="str">
        <f ca="1">IF(AND(NEGOCIAÇÕES!O979="",NEGOCIAÇÕES!N979&gt;TODAY()),NEGOCIAÇÕES!E979,"")</f>
        <v/>
      </c>
      <c r="D979" s="6" t="str">
        <f ca="1">IF(AND(NEGOCIAÇÕES!O979="",NEGOCIAÇÕES!N979&gt;TODAY()),NEGOCIAÇÕES!D979,"")</f>
        <v/>
      </c>
      <c r="E979" s="9" t="str">
        <f>IF(AND(NEGOCIAÇÕES!B979&lt;&gt;"",NEGOCIAÇÕES!O979=""),NEGOCIAÇÕES!N979,"")</f>
        <v/>
      </c>
    </row>
    <row r="980" spans="2:5" ht="31.95" hidden="1" customHeight="1" x14ac:dyDescent="0.3">
      <c r="B980" s="6" t="str">
        <f ca="1">IF(AND(NEGOCIAÇÕES!O980="",NEGOCIAÇÕES!N980&gt;TODAY()),NEGOCIAÇÕES!C980,"")</f>
        <v/>
      </c>
      <c r="C980" s="6" t="str">
        <f ca="1">IF(AND(NEGOCIAÇÕES!O980="",NEGOCIAÇÕES!N980&gt;TODAY()),NEGOCIAÇÕES!E980,"")</f>
        <v/>
      </c>
      <c r="D980" s="6" t="str">
        <f ca="1">IF(AND(NEGOCIAÇÕES!O980="",NEGOCIAÇÕES!N980&gt;TODAY()),NEGOCIAÇÕES!D980,"")</f>
        <v/>
      </c>
      <c r="E980" s="9" t="str">
        <f>IF(AND(NEGOCIAÇÕES!B980&lt;&gt;"",NEGOCIAÇÕES!O980=""),NEGOCIAÇÕES!N980,"")</f>
        <v/>
      </c>
    </row>
    <row r="981" spans="2:5" ht="31.95" hidden="1" customHeight="1" x14ac:dyDescent="0.3">
      <c r="B981" s="6" t="str">
        <f ca="1">IF(AND(NEGOCIAÇÕES!O981="",NEGOCIAÇÕES!N981&gt;TODAY()),NEGOCIAÇÕES!C981,"")</f>
        <v/>
      </c>
      <c r="C981" s="6" t="str">
        <f ca="1">IF(AND(NEGOCIAÇÕES!O981="",NEGOCIAÇÕES!N981&gt;TODAY()),NEGOCIAÇÕES!E981,"")</f>
        <v/>
      </c>
      <c r="D981" s="6" t="str">
        <f ca="1">IF(AND(NEGOCIAÇÕES!O981="",NEGOCIAÇÕES!N981&gt;TODAY()),NEGOCIAÇÕES!D981,"")</f>
        <v/>
      </c>
      <c r="E981" s="9" t="str">
        <f>IF(AND(NEGOCIAÇÕES!B981&lt;&gt;"",NEGOCIAÇÕES!O981=""),NEGOCIAÇÕES!N981,"")</f>
        <v/>
      </c>
    </row>
    <row r="982" spans="2:5" ht="31.95" hidden="1" customHeight="1" x14ac:dyDescent="0.3">
      <c r="B982" s="6" t="str">
        <f ca="1">IF(AND(NEGOCIAÇÕES!O982="",NEGOCIAÇÕES!N982&gt;TODAY()),NEGOCIAÇÕES!C982,"")</f>
        <v/>
      </c>
      <c r="C982" s="6" t="str">
        <f ca="1">IF(AND(NEGOCIAÇÕES!O982="",NEGOCIAÇÕES!N982&gt;TODAY()),NEGOCIAÇÕES!E982,"")</f>
        <v/>
      </c>
      <c r="D982" s="6" t="str">
        <f ca="1">IF(AND(NEGOCIAÇÕES!O982="",NEGOCIAÇÕES!N982&gt;TODAY()),NEGOCIAÇÕES!D982,"")</f>
        <v/>
      </c>
      <c r="E982" s="9" t="str">
        <f>IF(AND(NEGOCIAÇÕES!B982&lt;&gt;"",NEGOCIAÇÕES!O982=""),NEGOCIAÇÕES!N982,"")</f>
        <v/>
      </c>
    </row>
    <row r="983" spans="2:5" ht="31.95" hidden="1" customHeight="1" x14ac:dyDescent="0.3">
      <c r="B983" s="6" t="str">
        <f ca="1">IF(AND(NEGOCIAÇÕES!O983="",NEGOCIAÇÕES!N983&gt;TODAY()),NEGOCIAÇÕES!C983,"")</f>
        <v/>
      </c>
      <c r="C983" s="6" t="str">
        <f ca="1">IF(AND(NEGOCIAÇÕES!O983="",NEGOCIAÇÕES!N983&gt;TODAY()),NEGOCIAÇÕES!E983,"")</f>
        <v/>
      </c>
      <c r="D983" s="6" t="str">
        <f ca="1">IF(AND(NEGOCIAÇÕES!O983="",NEGOCIAÇÕES!N983&gt;TODAY()),NEGOCIAÇÕES!D983,"")</f>
        <v/>
      </c>
      <c r="E983" s="9" t="str">
        <f>IF(AND(NEGOCIAÇÕES!B983&lt;&gt;"",NEGOCIAÇÕES!O983=""),NEGOCIAÇÕES!N983,"")</f>
        <v/>
      </c>
    </row>
    <row r="984" spans="2:5" ht="31.95" hidden="1" customHeight="1" x14ac:dyDescent="0.3">
      <c r="B984" s="6" t="str">
        <f ca="1">IF(AND(NEGOCIAÇÕES!O984="",NEGOCIAÇÕES!N984&gt;TODAY()),NEGOCIAÇÕES!C984,"")</f>
        <v/>
      </c>
      <c r="C984" s="6" t="str">
        <f ca="1">IF(AND(NEGOCIAÇÕES!O984="",NEGOCIAÇÕES!N984&gt;TODAY()),NEGOCIAÇÕES!E984,"")</f>
        <v/>
      </c>
      <c r="D984" s="6" t="str">
        <f ca="1">IF(AND(NEGOCIAÇÕES!O984="",NEGOCIAÇÕES!N984&gt;TODAY()),NEGOCIAÇÕES!D984,"")</f>
        <v/>
      </c>
      <c r="E984" s="9" t="str">
        <f>IF(AND(NEGOCIAÇÕES!B984&lt;&gt;"",NEGOCIAÇÕES!O984=""),NEGOCIAÇÕES!N984,"")</f>
        <v/>
      </c>
    </row>
    <row r="985" spans="2:5" ht="31.95" hidden="1" customHeight="1" x14ac:dyDescent="0.3">
      <c r="B985" s="6" t="str">
        <f ca="1">IF(AND(NEGOCIAÇÕES!O985="",NEGOCIAÇÕES!N985&gt;TODAY()),NEGOCIAÇÕES!C985,"")</f>
        <v/>
      </c>
      <c r="C985" s="6" t="str">
        <f ca="1">IF(AND(NEGOCIAÇÕES!O985="",NEGOCIAÇÕES!N985&gt;TODAY()),NEGOCIAÇÕES!E985,"")</f>
        <v/>
      </c>
      <c r="D985" s="6" t="str">
        <f ca="1">IF(AND(NEGOCIAÇÕES!O985="",NEGOCIAÇÕES!N985&gt;TODAY()),NEGOCIAÇÕES!D985,"")</f>
        <v/>
      </c>
      <c r="E985" s="9" t="str">
        <f>IF(AND(NEGOCIAÇÕES!B985&lt;&gt;"",NEGOCIAÇÕES!O985=""),NEGOCIAÇÕES!N985,"")</f>
        <v/>
      </c>
    </row>
    <row r="986" spans="2:5" ht="31.95" hidden="1" customHeight="1" x14ac:dyDescent="0.3">
      <c r="B986" s="6" t="str">
        <f ca="1">IF(AND(NEGOCIAÇÕES!O986="",NEGOCIAÇÕES!N986&gt;TODAY()),NEGOCIAÇÕES!C986,"")</f>
        <v/>
      </c>
      <c r="C986" s="6" t="str">
        <f ca="1">IF(AND(NEGOCIAÇÕES!O986="",NEGOCIAÇÕES!N986&gt;TODAY()),NEGOCIAÇÕES!E986,"")</f>
        <v/>
      </c>
      <c r="D986" s="6" t="str">
        <f ca="1">IF(AND(NEGOCIAÇÕES!O986="",NEGOCIAÇÕES!N986&gt;TODAY()),NEGOCIAÇÕES!D986,"")</f>
        <v/>
      </c>
      <c r="E986" s="9" t="str">
        <f>IF(AND(NEGOCIAÇÕES!B986&lt;&gt;"",NEGOCIAÇÕES!O986=""),NEGOCIAÇÕES!N986,"")</f>
        <v/>
      </c>
    </row>
    <row r="987" spans="2:5" ht="31.95" hidden="1" customHeight="1" x14ac:dyDescent="0.3">
      <c r="B987" s="6" t="str">
        <f ca="1">IF(AND(NEGOCIAÇÕES!O987="",NEGOCIAÇÕES!N987&gt;TODAY()),NEGOCIAÇÕES!C987,"")</f>
        <v/>
      </c>
      <c r="C987" s="6" t="str">
        <f ca="1">IF(AND(NEGOCIAÇÕES!O987="",NEGOCIAÇÕES!N987&gt;TODAY()),NEGOCIAÇÕES!E987,"")</f>
        <v/>
      </c>
      <c r="D987" s="6" t="str">
        <f ca="1">IF(AND(NEGOCIAÇÕES!O987="",NEGOCIAÇÕES!N987&gt;TODAY()),NEGOCIAÇÕES!D987,"")</f>
        <v/>
      </c>
      <c r="E987" s="9" t="str">
        <f>IF(AND(NEGOCIAÇÕES!B987&lt;&gt;"",NEGOCIAÇÕES!O987=""),NEGOCIAÇÕES!N987,"")</f>
        <v/>
      </c>
    </row>
    <row r="988" spans="2:5" ht="31.95" hidden="1" customHeight="1" x14ac:dyDescent="0.3">
      <c r="B988" s="6" t="str">
        <f ca="1">IF(AND(NEGOCIAÇÕES!O988="",NEGOCIAÇÕES!N988&gt;TODAY()),NEGOCIAÇÕES!C988,"")</f>
        <v/>
      </c>
      <c r="C988" s="6" t="str">
        <f ca="1">IF(AND(NEGOCIAÇÕES!O988="",NEGOCIAÇÕES!N988&gt;TODAY()),NEGOCIAÇÕES!E988,"")</f>
        <v/>
      </c>
      <c r="D988" s="6" t="str">
        <f ca="1">IF(AND(NEGOCIAÇÕES!O988="",NEGOCIAÇÕES!N988&gt;TODAY()),NEGOCIAÇÕES!D988,"")</f>
        <v/>
      </c>
      <c r="E988" s="9" t="str">
        <f>IF(AND(NEGOCIAÇÕES!B988&lt;&gt;"",NEGOCIAÇÕES!O988=""),NEGOCIAÇÕES!N988,"")</f>
        <v/>
      </c>
    </row>
    <row r="989" spans="2:5" ht="31.95" hidden="1" customHeight="1" x14ac:dyDescent="0.3">
      <c r="B989" s="6" t="str">
        <f ca="1">IF(AND(NEGOCIAÇÕES!O989="",NEGOCIAÇÕES!N989&gt;TODAY()),NEGOCIAÇÕES!C989,"")</f>
        <v/>
      </c>
      <c r="C989" s="6" t="str">
        <f ca="1">IF(AND(NEGOCIAÇÕES!O989="",NEGOCIAÇÕES!N989&gt;TODAY()),NEGOCIAÇÕES!E989,"")</f>
        <v/>
      </c>
      <c r="D989" s="6" t="str">
        <f ca="1">IF(AND(NEGOCIAÇÕES!O989="",NEGOCIAÇÕES!N989&gt;TODAY()),NEGOCIAÇÕES!D989,"")</f>
        <v/>
      </c>
      <c r="E989" s="9" t="str">
        <f>IF(AND(NEGOCIAÇÕES!B989&lt;&gt;"",NEGOCIAÇÕES!O989=""),NEGOCIAÇÕES!N989,"")</f>
        <v/>
      </c>
    </row>
    <row r="990" spans="2:5" ht="31.95" hidden="1" customHeight="1" x14ac:dyDescent="0.3">
      <c r="B990" s="6" t="str">
        <f ca="1">IF(AND(NEGOCIAÇÕES!O990="",NEGOCIAÇÕES!N990&gt;TODAY()),NEGOCIAÇÕES!C990,"")</f>
        <v/>
      </c>
      <c r="C990" s="6" t="str">
        <f ca="1">IF(AND(NEGOCIAÇÕES!O990="",NEGOCIAÇÕES!N990&gt;TODAY()),NEGOCIAÇÕES!E990,"")</f>
        <v/>
      </c>
      <c r="D990" s="6" t="str">
        <f ca="1">IF(AND(NEGOCIAÇÕES!O990="",NEGOCIAÇÕES!N990&gt;TODAY()),NEGOCIAÇÕES!D990,"")</f>
        <v/>
      </c>
      <c r="E990" s="9" t="str">
        <f>IF(AND(NEGOCIAÇÕES!B990&lt;&gt;"",NEGOCIAÇÕES!O990=""),NEGOCIAÇÕES!N990,"")</f>
        <v/>
      </c>
    </row>
    <row r="991" spans="2:5" ht="31.95" hidden="1" customHeight="1" x14ac:dyDescent="0.3">
      <c r="B991" s="6" t="str">
        <f ca="1">IF(AND(NEGOCIAÇÕES!O991="",NEGOCIAÇÕES!N991&gt;TODAY()),NEGOCIAÇÕES!C991,"")</f>
        <v/>
      </c>
      <c r="C991" s="6" t="str">
        <f ca="1">IF(AND(NEGOCIAÇÕES!O991="",NEGOCIAÇÕES!N991&gt;TODAY()),NEGOCIAÇÕES!E991,"")</f>
        <v/>
      </c>
      <c r="D991" s="6" t="str">
        <f ca="1">IF(AND(NEGOCIAÇÕES!O991="",NEGOCIAÇÕES!N991&gt;TODAY()),NEGOCIAÇÕES!D991,"")</f>
        <v/>
      </c>
      <c r="E991" s="9" t="str">
        <f>IF(AND(NEGOCIAÇÕES!B991&lt;&gt;"",NEGOCIAÇÕES!O991=""),NEGOCIAÇÕES!N991,"")</f>
        <v/>
      </c>
    </row>
    <row r="992" spans="2:5" ht="31.95" hidden="1" customHeight="1" x14ac:dyDescent="0.3">
      <c r="B992" s="6" t="str">
        <f ca="1">IF(AND(NEGOCIAÇÕES!O992="",NEGOCIAÇÕES!N992&gt;TODAY()),NEGOCIAÇÕES!C992,"")</f>
        <v/>
      </c>
      <c r="C992" s="6" t="str">
        <f ca="1">IF(AND(NEGOCIAÇÕES!O992="",NEGOCIAÇÕES!N992&gt;TODAY()),NEGOCIAÇÕES!E992,"")</f>
        <v/>
      </c>
      <c r="D992" s="6" t="str">
        <f ca="1">IF(AND(NEGOCIAÇÕES!O992="",NEGOCIAÇÕES!N992&gt;TODAY()),NEGOCIAÇÕES!D992,"")</f>
        <v/>
      </c>
      <c r="E992" s="9" t="str">
        <f>IF(AND(NEGOCIAÇÕES!B992&lt;&gt;"",NEGOCIAÇÕES!O992=""),NEGOCIAÇÕES!N992,"")</f>
        <v/>
      </c>
    </row>
    <row r="993" spans="2:5" ht="31.95" hidden="1" customHeight="1" x14ac:dyDescent="0.3">
      <c r="B993" s="6" t="str">
        <f ca="1">IF(AND(NEGOCIAÇÕES!O993="",NEGOCIAÇÕES!N993&gt;TODAY()),NEGOCIAÇÕES!C993,"")</f>
        <v/>
      </c>
      <c r="C993" s="6" t="str">
        <f ca="1">IF(AND(NEGOCIAÇÕES!O993="",NEGOCIAÇÕES!N993&gt;TODAY()),NEGOCIAÇÕES!E993,"")</f>
        <v/>
      </c>
      <c r="D993" s="6" t="str">
        <f ca="1">IF(AND(NEGOCIAÇÕES!O993="",NEGOCIAÇÕES!N993&gt;TODAY()),NEGOCIAÇÕES!D993,"")</f>
        <v/>
      </c>
      <c r="E993" s="9" t="str">
        <f>IF(AND(NEGOCIAÇÕES!B993&lt;&gt;"",NEGOCIAÇÕES!O993=""),NEGOCIAÇÕES!N993,"")</f>
        <v/>
      </c>
    </row>
    <row r="994" spans="2:5" ht="31.95" hidden="1" customHeight="1" x14ac:dyDescent="0.3">
      <c r="B994" s="6" t="str">
        <f ca="1">IF(AND(NEGOCIAÇÕES!O994="",NEGOCIAÇÕES!N994&gt;TODAY()),NEGOCIAÇÕES!C994,"")</f>
        <v/>
      </c>
      <c r="C994" s="6" t="str">
        <f ca="1">IF(AND(NEGOCIAÇÕES!O994="",NEGOCIAÇÕES!N994&gt;TODAY()),NEGOCIAÇÕES!E994,"")</f>
        <v/>
      </c>
      <c r="D994" s="6" t="str">
        <f ca="1">IF(AND(NEGOCIAÇÕES!O994="",NEGOCIAÇÕES!N994&gt;TODAY()),NEGOCIAÇÕES!D994,"")</f>
        <v/>
      </c>
      <c r="E994" s="9" t="str">
        <f>IF(AND(NEGOCIAÇÕES!B994&lt;&gt;"",NEGOCIAÇÕES!O994=""),NEGOCIAÇÕES!N994,"")</f>
        <v/>
      </c>
    </row>
    <row r="995" spans="2:5" ht="31.95" hidden="1" customHeight="1" x14ac:dyDescent="0.3">
      <c r="B995" s="6" t="str">
        <f ca="1">IF(AND(NEGOCIAÇÕES!O995="",NEGOCIAÇÕES!N995&gt;TODAY()),NEGOCIAÇÕES!C995,"")</f>
        <v/>
      </c>
      <c r="C995" s="6" t="str">
        <f ca="1">IF(AND(NEGOCIAÇÕES!O995="",NEGOCIAÇÕES!N995&gt;TODAY()),NEGOCIAÇÕES!E995,"")</f>
        <v/>
      </c>
      <c r="D995" s="6" t="str">
        <f ca="1">IF(AND(NEGOCIAÇÕES!O995="",NEGOCIAÇÕES!N995&gt;TODAY()),NEGOCIAÇÕES!D995,"")</f>
        <v/>
      </c>
      <c r="E995" s="9" t="str">
        <f>IF(AND(NEGOCIAÇÕES!B995&lt;&gt;"",NEGOCIAÇÕES!O995=""),NEGOCIAÇÕES!N995,"")</f>
        <v/>
      </c>
    </row>
    <row r="996" spans="2:5" ht="31.95" hidden="1" customHeight="1" x14ac:dyDescent="0.3">
      <c r="B996" s="6" t="str">
        <f ca="1">IF(AND(NEGOCIAÇÕES!O996="",NEGOCIAÇÕES!N996&gt;TODAY()),NEGOCIAÇÕES!C996,"")</f>
        <v/>
      </c>
      <c r="C996" s="6" t="str">
        <f ca="1">IF(AND(NEGOCIAÇÕES!O996="",NEGOCIAÇÕES!N996&gt;TODAY()),NEGOCIAÇÕES!E996,"")</f>
        <v/>
      </c>
      <c r="D996" s="6" t="str">
        <f ca="1">IF(AND(NEGOCIAÇÕES!O996="",NEGOCIAÇÕES!N996&gt;TODAY()),NEGOCIAÇÕES!D996,"")</f>
        <v/>
      </c>
      <c r="E996" s="9" t="str">
        <f>IF(AND(NEGOCIAÇÕES!B996&lt;&gt;"",NEGOCIAÇÕES!O996=""),NEGOCIAÇÕES!N996,"")</f>
        <v/>
      </c>
    </row>
    <row r="997" spans="2:5" ht="31.95" hidden="1" customHeight="1" x14ac:dyDescent="0.3">
      <c r="B997" s="6" t="str">
        <f ca="1">IF(AND(NEGOCIAÇÕES!O997="",NEGOCIAÇÕES!N997&gt;TODAY()),NEGOCIAÇÕES!C997,"")</f>
        <v/>
      </c>
      <c r="C997" s="6" t="str">
        <f ca="1">IF(AND(NEGOCIAÇÕES!O997="",NEGOCIAÇÕES!N997&gt;TODAY()),NEGOCIAÇÕES!E997,"")</f>
        <v/>
      </c>
      <c r="D997" s="6" t="str">
        <f ca="1">IF(AND(NEGOCIAÇÕES!O997="",NEGOCIAÇÕES!N997&gt;TODAY()),NEGOCIAÇÕES!D997,"")</f>
        <v/>
      </c>
      <c r="E997" s="9" t="str">
        <f>IF(AND(NEGOCIAÇÕES!B997&lt;&gt;"",NEGOCIAÇÕES!O997=""),NEGOCIAÇÕES!N997,"")</f>
        <v/>
      </c>
    </row>
    <row r="998" spans="2:5" ht="31.95" hidden="1" customHeight="1" x14ac:dyDescent="0.3">
      <c r="B998" s="6" t="str">
        <f ca="1">IF(AND(NEGOCIAÇÕES!O998="",NEGOCIAÇÕES!N998&gt;TODAY()),NEGOCIAÇÕES!C998,"")</f>
        <v/>
      </c>
      <c r="C998" s="6" t="str">
        <f ca="1">IF(AND(NEGOCIAÇÕES!O998="",NEGOCIAÇÕES!N998&gt;TODAY()),NEGOCIAÇÕES!E998,"")</f>
        <v/>
      </c>
      <c r="D998" s="6" t="str">
        <f ca="1">IF(AND(NEGOCIAÇÕES!O998="",NEGOCIAÇÕES!N998&gt;TODAY()),NEGOCIAÇÕES!D998,"")</f>
        <v/>
      </c>
      <c r="E998" s="9" t="str">
        <f>IF(AND(NEGOCIAÇÕES!B998&lt;&gt;"",NEGOCIAÇÕES!O998=""),NEGOCIAÇÕES!N998,"")</f>
        <v/>
      </c>
    </row>
    <row r="999" spans="2:5" ht="31.95" hidden="1" customHeight="1" x14ac:dyDescent="0.3">
      <c r="B999" s="6" t="str">
        <f ca="1">IF(AND(NEGOCIAÇÕES!O999="",NEGOCIAÇÕES!N999&gt;TODAY()),NEGOCIAÇÕES!C999,"")</f>
        <v/>
      </c>
      <c r="C999" s="6" t="str">
        <f ca="1">IF(AND(NEGOCIAÇÕES!O999="",NEGOCIAÇÕES!N999&gt;TODAY()),NEGOCIAÇÕES!E999,"")</f>
        <v/>
      </c>
      <c r="D999" s="6" t="str">
        <f ca="1">IF(AND(NEGOCIAÇÕES!O999="",NEGOCIAÇÕES!N999&gt;TODAY()),NEGOCIAÇÕES!D999,"")</f>
        <v/>
      </c>
      <c r="E999" s="9" t="str">
        <f>IF(AND(NEGOCIAÇÕES!B999&lt;&gt;"",NEGOCIAÇÕES!O999=""),NEGOCIAÇÕES!N999,"")</f>
        <v/>
      </c>
    </row>
    <row r="1000" spans="2:5" ht="31.95" hidden="1" customHeight="1" x14ac:dyDescent="0.3">
      <c r="B1000" s="6" t="str">
        <f ca="1">IF(AND(NEGOCIAÇÕES!O1000="",NEGOCIAÇÕES!N1000&gt;TODAY()),NEGOCIAÇÕES!C1000,"")</f>
        <v/>
      </c>
      <c r="C1000" s="6" t="str">
        <f ca="1">IF(AND(NEGOCIAÇÕES!O1000="",NEGOCIAÇÕES!N1000&gt;TODAY()),NEGOCIAÇÕES!E1000,"")</f>
        <v/>
      </c>
      <c r="D1000" s="6" t="str">
        <f ca="1">IF(AND(NEGOCIAÇÕES!O1000="",NEGOCIAÇÕES!N1000&gt;TODAY()),NEGOCIAÇÕES!D1000,"")</f>
        <v/>
      </c>
      <c r="E1000" s="9" t="str">
        <f>IF(AND(NEGOCIAÇÕES!B1000&lt;&gt;"",NEGOCIAÇÕES!O1000=""),NEGOCIAÇÕES!N1000,"")</f>
        <v/>
      </c>
    </row>
    <row r="1001" spans="2:5" ht="31.95" hidden="1" customHeight="1" x14ac:dyDescent="0.3">
      <c r="B1001" s="6" t="str">
        <f ca="1">IF(AND(NEGOCIAÇÕES!O1001="",NEGOCIAÇÕES!N1001&gt;TODAY()),NEGOCIAÇÕES!C1001,"")</f>
        <v/>
      </c>
      <c r="C1001" s="6" t="str">
        <f ca="1">IF(AND(NEGOCIAÇÕES!O1001="",NEGOCIAÇÕES!N1001&gt;TODAY()),NEGOCIAÇÕES!E1001,"")</f>
        <v/>
      </c>
      <c r="D1001" s="6" t="str">
        <f ca="1">IF(AND(NEGOCIAÇÕES!O1001="",NEGOCIAÇÕES!N1001&gt;TODAY()),NEGOCIAÇÕES!D1001,"")</f>
        <v/>
      </c>
      <c r="E1001" s="9" t="str">
        <f>IF(AND(NEGOCIAÇÕES!B1001&lt;&gt;"",NEGOCIAÇÕES!O1001=""),NEGOCIAÇÕES!N1001,"")</f>
        <v/>
      </c>
    </row>
    <row r="1002" spans="2:5" ht="31.95" hidden="1" customHeight="1" x14ac:dyDescent="0.3">
      <c r="B1002" s="6" t="str">
        <f ca="1">IF(AND(NEGOCIAÇÕES!O1002="",NEGOCIAÇÕES!N1002&gt;TODAY()),NEGOCIAÇÕES!C1002,"")</f>
        <v/>
      </c>
      <c r="C1002" s="6" t="str">
        <f ca="1">IF(AND(NEGOCIAÇÕES!O1002="",NEGOCIAÇÕES!N1002&gt;TODAY()),NEGOCIAÇÕES!E1002,"")</f>
        <v/>
      </c>
      <c r="D1002" s="6" t="str">
        <f ca="1">IF(AND(NEGOCIAÇÕES!O1002="",NEGOCIAÇÕES!N1002&gt;TODAY()),NEGOCIAÇÕES!D1002,"")</f>
        <v/>
      </c>
      <c r="E1002" s="9" t="str">
        <f>IF(AND(NEGOCIAÇÕES!B1002&lt;&gt;"",NEGOCIAÇÕES!O1002=""),NEGOCIAÇÕES!N1002,"")</f>
        <v/>
      </c>
    </row>
    <row r="1003" spans="2:5" ht="31.95" hidden="1" customHeight="1" x14ac:dyDescent="0.3">
      <c r="B1003" s="6" t="str">
        <f ca="1">IF(AND(NEGOCIAÇÕES!O1003="",NEGOCIAÇÕES!N1003&gt;TODAY()),NEGOCIAÇÕES!C1003,"")</f>
        <v/>
      </c>
      <c r="C1003" s="6" t="str">
        <f ca="1">IF(AND(NEGOCIAÇÕES!O1003="",NEGOCIAÇÕES!N1003&gt;TODAY()),NEGOCIAÇÕES!E1003,"")</f>
        <v/>
      </c>
      <c r="D1003" s="6" t="str">
        <f ca="1">IF(AND(NEGOCIAÇÕES!O1003="",NEGOCIAÇÕES!N1003&gt;TODAY()),NEGOCIAÇÕES!D1003,"")</f>
        <v/>
      </c>
      <c r="E1003" s="9" t="str">
        <f>IF(AND(NEGOCIAÇÕES!B1003&lt;&gt;"",NEGOCIAÇÕES!O1003=""),NEGOCIAÇÕES!N1003,"")</f>
        <v/>
      </c>
    </row>
    <row r="1004" spans="2:5" ht="31.95" hidden="1" customHeight="1" x14ac:dyDescent="0.3">
      <c r="B1004" s="6" t="str">
        <f ca="1">IF(AND(NEGOCIAÇÕES!O1004="",NEGOCIAÇÕES!N1004&gt;TODAY()),NEGOCIAÇÕES!C1004,"")</f>
        <v/>
      </c>
      <c r="C1004" s="6" t="str">
        <f ca="1">IF(AND(NEGOCIAÇÕES!O1004="",NEGOCIAÇÕES!N1004&gt;TODAY()),NEGOCIAÇÕES!E1004,"")</f>
        <v/>
      </c>
      <c r="D1004" s="6" t="str">
        <f ca="1">IF(AND(NEGOCIAÇÕES!O1004="",NEGOCIAÇÕES!N1004&gt;TODAY()),NEGOCIAÇÕES!D1004,"")</f>
        <v/>
      </c>
      <c r="E1004" s="9" t="str">
        <f>IF(AND(NEGOCIAÇÕES!B1004&lt;&gt;"",NEGOCIAÇÕES!O1004=""),NEGOCIAÇÕES!N1004,"")</f>
        <v/>
      </c>
    </row>
    <row r="1005" spans="2:5" ht="31.95" hidden="1" customHeight="1" x14ac:dyDescent="0.3">
      <c r="B1005" s="6" t="str">
        <f ca="1">IF(AND(NEGOCIAÇÕES!O1005="",NEGOCIAÇÕES!N1005&gt;TODAY()),NEGOCIAÇÕES!C1005,"")</f>
        <v/>
      </c>
      <c r="C1005" s="6" t="str">
        <f ca="1">IF(AND(NEGOCIAÇÕES!O1005="",NEGOCIAÇÕES!N1005&gt;TODAY()),NEGOCIAÇÕES!E1005,"")</f>
        <v/>
      </c>
      <c r="D1005" s="6" t="str">
        <f ca="1">IF(AND(NEGOCIAÇÕES!O1005="",NEGOCIAÇÕES!N1005&gt;TODAY()),NEGOCIAÇÕES!D1005,"")</f>
        <v/>
      </c>
      <c r="E1005" s="9" t="str">
        <f>IF(AND(NEGOCIAÇÕES!B1005&lt;&gt;"",NEGOCIAÇÕES!O1005=""),NEGOCIAÇÕES!N1005,"")</f>
        <v/>
      </c>
    </row>
    <row r="1006" spans="2:5" ht="31.95" hidden="1" customHeight="1" x14ac:dyDescent="0.3">
      <c r="B1006" s="6" t="str">
        <f ca="1">IF(AND(NEGOCIAÇÕES!O1006="",NEGOCIAÇÕES!N1006&gt;TODAY()),NEGOCIAÇÕES!C1006,"")</f>
        <v/>
      </c>
      <c r="C1006" s="6" t="str">
        <f ca="1">IF(AND(NEGOCIAÇÕES!O1006="",NEGOCIAÇÕES!N1006&gt;TODAY()),NEGOCIAÇÕES!E1006,"")</f>
        <v/>
      </c>
      <c r="D1006" s="6" t="str">
        <f ca="1">IF(AND(NEGOCIAÇÕES!O1006="",NEGOCIAÇÕES!N1006&gt;TODAY()),NEGOCIAÇÕES!D1006,"")</f>
        <v/>
      </c>
      <c r="E1006" s="9" t="str">
        <f>IF(AND(NEGOCIAÇÕES!B1006&lt;&gt;"",NEGOCIAÇÕES!O1006=""),NEGOCIAÇÕES!N1006,"")</f>
        <v/>
      </c>
    </row>
    <row r="1007" spans="2:5" ht="31.95" hidden="1" customHeight="1" x14ac:dyDescent="0.3">
      <c r="B1007" s="6" t="str">
        <f ca="1">IF(AND(NEGOCIAÇÕES!O1007="",NEGOCIAÇÕES!N1007&gt;TODAY()),NEGOCIAÇÕES!C1007,"")</f>
        <v/>
      </c>
      <c r="C1007" s="6" t="str">
        <f ca="1">IF(AND(NEGOCIAÇÕES!O1007="",NEGOCIAÇÕES!N1007&gt;TODAY()),NEGOCIAÇÕES!E1007,"")</f>
        <v/>
      </c>
      <c r="D1007" s="6" t="str">
        <f ca="1">IF(AND(NEGOCIAÇÕES!O1007="",NEGOCIAÇÕES!N1007&gt;TODAY()),NEGOCIAÇÕES!D1007,"")</f>
        <v/>
      </c>
      <c r="E1007" s="9" t="str">
        <f>IF(AND(NEGOCIAÇÕES!B1007&lt;&gt;"",NEGOCIAÇÕES!O1007=""),NEGOCIAÇÕES!N1007,"")</f>
        <v/>
      </c>
    </row>
    <row r="1008" spans="2:5" ht="31.95" hidden="1" customHeight="1" x14ac:dyDescent="0.3">
      <c r="B1008" s="6" t="str">
        <f ca="1">IF(AND(NEGOCIAÇÕES!O1008="",NEGOCIAÇÕES!N1008&gt;TODAY()),NEGOCIAÇÕES!C1008,"")</f>
        <v/>
      </c>
      <c r="C1008" s="6" t="str">
        <f ca="1">IF(AND(NEGOCIAÇÕES!O1008="",NEGOCIAÇÕES!N1008&gt;TODAY()),NEGOCIAÇÕES!E1008,"")</f>
        <v/>
      </c>
      <c r="D1008" s="6" t="str">
        <f ca="1">IF(AND(NEGOCIAÇÕES!O1008="",NEGOCIAÇÕES!N1008&gt;TODAY()),NEGOCIAÇÕES!D1008,"")</f>
        <v/>
      </c>
      <c r="E1008" s="9" t="str">
        <f>IF(AND(NEGOCIAÇÕES!B1008&lt;&gt;"",NEGOCIAÇÕES!O1008=""),NEGOCIAÇÕES!N1008,"")</f>
        <v/>
      </c>
    </row>
    <row r="1009" spans="2:5" ht="31.95" hidden="1" customHeight="1" x14ac:dyDescent="0.3">
      <c r="B1009" s="6" t="str">
        <f ca="1">IF(AND(NEGOCIAÇÕES!O1009="",NEGOCIAÇÕES!N1009&gt;TODAY()),NEGOCIAÇÕES!C1009,"")</f>
        <v/>
      </c>
      <c r="C1009" s="6" t="str">
        <f ca="1">IF(AND(NEGOCIAÇÕES!O1009="",NEGOCIAÇÕES!N1009&gt;TODAY()),NEGOCIAÇÕES!E1009,"")</f>
        <v/>
      </c>
      <c r="D1009" s="6" t="str">
        <f ca="1">IF(AND(NEGOCIAÇÕES!O1009="",NEGOCIAÇÕES!N1009&gt;TODAY()),NEGOCIAÇÕES!D1009,"")</f>
        <v/>
      </c>
      <c r="E1009" s="9" t="str">
        <f>IF(AND(NEGOCIAÇÕES!B1009&lt;&gt;"",NEGOCIAÇÕES!O1009=""),NEGOCIAÇÕES!N1009,"")</f>
        <v/>
      </c>
    </row>
    <row r="1010" spans="2:5" ht="31.95" hidden="1" customHeight="1" x14ac:dyDescent="0.3">
      <c r="B1010" s="6" t="str">
        <f ca="1">IF(AND(NEGOCIAÇÕES!O1010="",NEGOCIAÇÕES!N1010&gt;TODAY()),NEGOCIAÇÕES!C1010,"")</f>
        <v/>
      </c>
      <c r="C1010" s="6" t="str">
        <f ca="1">IF(AND(NEGOCIAÇÕES!O1010="",NEGOCIAÇÕES!N1010&gt;TODAY()),NEGOCIAÇÕES!E1010,"")</f>
        <v/>
      </c>
      <c r="D1010" s="6" t="str">
        <f ca="1">IF(AND(NEGOCIAÇÕES!O1010="",NEGOCIAÇÕES!N1010&gt;TODAY()),NEGOCIAÇÕES!D1010,"")</f>
        <v/>
      </c>
      <c r="E1010" s="9" t="str">
        <f>IF(AND(NEGOCIAÇÕES!B1010&lt;&gt;"",NEGOCIAÇÕES!O1010=""),NEGOCIAÇÕES!N1010,"")</f>
        <v/>
      </c>
    </row>
    <row r="1011" spans="2:5" ht="31.95" hidden="1" customHeight="1" x14ac:dyDescent="0.3">
      <c r="B1011" s="6" t="str">
        <f ca="1">IF(AND(NEGOCIAÇÕES!O1011="",NEGOCIAÇÕES!N1011&gt;TODAY()),NEGOCIAÇÕES!C1011,"")</f>
        <v/>
      </c>
      <c r="C1011" s="6" t="str">
        <f ca="1">IF(AND(NEGOCIAÇÕES!O1011="",NEGOCIAÇÕES!N1011&gt;TODAY()),NEGOCIAÇÕES!E1011,"")</f>
        <v/>
      </c>
      <c r="D1011" s="6" t="str">
        <f ca="1">IF(AND(NEGOCIAÇÕES!O1011="",NEGOCIAÇÕES!N1011&gt;TODAY()),NEGOCIAÇÕES!D1011,"")</f>
        <v/>
      </c>
      <c r="E1011" s="9" t="str">
        <f>IF(AND(NEGOCIAÇÕES!B1011&lt;&gt;"",NEGOCIAÇÕES!O1011=""),NEGOCIAÇÕES!N1011,"")</f>
        <v/>
      </c>
    </row>
    <row r="1012" spans="2:5" ht="31.95" hidden="1" customHeight="1" x14ac:dyDescent="0.3">
      <c r="B1012" s="6" t="str">
        <f ca="1">IF(AND(NEGOCIAÇÕES!O1012="",NEGOCIAÇÕES!N1012&gt;TODAY()),NEGOCIAÇÕES!C1012,"")</f>
        <v/>
      </c>
      <c r="C1012" s="6" t="str">
        <f ca="1">IF(AND(NEGOCIAÇÕES!O1012="",NEGOCIAÇÕES!N1012&gt;TODAY()),NEGOCIAÇÕES!E1012,"")</f>
        <v/>
      </c>
      <c r="D1012" s="6" t="str">
        <f ca="1">IF(AND(NEGOCIAÇÕES!O1012="",NEGOCIAÇÕES!N1012&gt;TODAY()),NEGOCIAÇÕES!D1012,"")</f>
        <v/>
      </c>
      <c r="E1012" s="9" t="str">
        <f>IF(AND(NEGOCIAÇÕES!B1012&lt;&gt;"",NEGOCIAÇÕES!O1012=""),NEGOCIAÇÕES!N1012,"")</f>
        <v/>
      </c>
    </row>
    <row r="1013" spans="2:5" ht="31.95" hidden="1" customHeight="1" x14ac:dyDescent="0.3">
      <c r="B1013" s="6" t="str">
        <f ca="1">IF(AND(NEGOCIAÇÕES!O1013="",NEGOCIAÇÕES!N1013&gt;TODAY()),NEGOCIAÇÕES!C1013,"")</f>
        <v/>
      </c>
      <c r="C1013" s="6" t="str">
        <f ca="1">IF(AND(NEGOCIAÇÕES!O1013="",NEGOCIAÇÕES!N1013&gt;TODAY()),NEGOCIAÇÕES!E1013,"")</f>
        <v/>
      </c>
      <c r="D1013" s="6" t="str">
        <f ca="1">IF(AND(NEGOCIAÇÕES!O1013="",NEGOCIAÇÕES!N1013&gt;TODAY()),NEGOCIAÇÕES!D1013,"")</f>
        <v/>
      </c>
      <c r="E1013" s="9" t="str">
        <f>IF(AND(NEGOCIAÇÕES!B1013&lt;&gt;"",NEGOCIAÇÕES!O1013=""),NEGOCIAÇÕES!N1013,"")</f>
        <v/>
      </c>
    </row>
    <row r="1014" spans="2:5" ht="31.95" hidden="1" customHeight="1" x14ac:dyDescent="0.3">
      <c r="B1014" s="6" t="str">
        <f ca="1">IF(AND(NEGOCIAÇÕES!O1014="",NEGOCIAÇÕES!N1014&gt;TODAY()),NEGOCIAÇÕES!C1014,"")</f>
        <v/>
      </c>
      <c r="C1014" s="6" t="str">
        <f ca="1">IF(AND(NEGOCIAÇÕES!O1014="",NEGOCIAÇÕES!N1014&gt;TODAY()),NEGOCIAÇÕES!E1014,"")</f>
        <v/>
      </c>
      <c r="D1014" s="6" t="str">
        <f ca="1">IF(AND(NEGOCIAÇÕES!O1014="",NEGOCIAÇÕES!N1014&gt;TODAY()),NEGOCIAÇÕES!D1014,"")</f>
        <v/>
      </c>
      <c r="E1014" s="9" t="str">
        <f>IF(AND(NEGOCIAÇÕES!B1014&lt;&gt;"",NEGOCIAÇÕES!O1014=""),NEGOCIAÇÕES!N1014,"")</f>
        <v/>
      </c>
    </row>
    <row r="1015" spans="2:5" ht="31.95" hidden="1" customHeight="1" x14ac:dyDescent="0.3">
      <c r="B1015" s="6" t="str">
        <f ca="1">IF(AND(NEGOCIAÇÕES!O1015="",NEGOCIAÇÕES!N1015&gt;TODAY()),NEGOCIAÇÕES!C1015,"")</f>
        <v/>
      </c>
      <c r="C1015" s="6" t="str">
        <f ca="1">IF(AND(NEGOCIAÇÕES!O1015="",NEGOCIAÇÕES!N1015&gt;TODAY()),NEGOCIAÇÕES!E1015,"")</f>
        <v/>
      </c>
      <c r="D1015" s="6" t="str">
        <f ca="1">IF(AND(NEGOCIAÇÕES!O1015="",NEGOCIAÇÕES!N1015&gt;TODAY()),NEGOCIAÇÕES!D1015,"")</f>
        <v/>
      </c>
      <c r="E1015" s="9" t="str">
        <f>IF(AND(NEGOCIAÇÕES!B1015&lt;&gt;"",NEGOCIAÇÕES!O1015=""),NEGOCIAÇÕES!N1015,"")</f>
        <v/>
      </c>
    </row>
    <row r="1016" spans="2:5" ht="31.95" hidden="1" customHeight="1" x14ac:dyDescent="0.3">
      <c r="B1016" s="6" t="str">
        <f ca="1">IF(AND(NEGOCIAÇÕES!O1016="",NEGOCIAÇÕES!N1016&gt;TODAY()),NEGOCIAÇÕES!C1016,"")</f>
        <v/>
      </c>
      <c r="C1016" s="6" t="str">
        <f ca="1">IF(AND(NEGOCIAÇÕES!O1016="",NEGOCIAÇÕES!N1016&gt;TODAY()),NEGOCIAÇÕES!E1016,"")</f>
        <v/>
      </c>
      <c r="D1016" s="6" t="str">
        <f ca="1">IF(AND(NEGOCIAÇÕES!O1016="",NEGOCIAÇÕES!N1016&gt;TODAY()),NEGOCIAÇÕES!D1016,"")</f>
        <v/>
      </c>
      <c r="E1016" s="9" t="str">
        <f>IF(AND(NEGOCIAÇÕES!B1016&lt;&gt;"",NEGOCIAÇÕES!O1016=""),NEGOCIAÇÕES!N1016,"")</f>
        <v/>
      </c>
    </row>
    <row r="1017" spans="2:5" ht="31.95" hidden="1" customHeight="1" x14ac:dyDescent="0.3">
      <c r="B1017" s="6" t="str">
        <f ca="1">IF(AND(NEGOCIAÇÕES!O1017="",NEGOCIAÇÕES!N1017&gt;TODAY()),NEGOCIAÇÕES!C1017,"")</f>
        <v/>
      </c>
      <c r="C1017" s="6" t="str">
        <f ca="1">IF(AND(NEGOCIAÇÕES!O1017="",NEGOCIAÇÕES!N1017&gt;TODAY()),NEGOCIAÇÕES!E1017,"")</f>
        <v/>
      </c>
      <c r="D1017" s="6" t="str">
        <f ca="1">IF(AND(NEGOCIAÇÕES!O1017="",NEGOCIAÇÕES!N1017&gt;TODAY()),NEGOCIAÇÕES!D1017,"")</f>
        <v/>
      </c>
      <c r="E1017" s="9" t="str">
        <f>IF(AND(NEGOCIAÇÕES!B1017&lt;&gt;"",NEGOCIAÇÕES!O1017=""),NEGOCIAÇÕES!N1017,"")</f>
        <v/>
      </c>
    </row>
    <row r="1018" spans="2:5" ht="31.95" hidden="1" customHeight="1" x14ac:dyDescent="0.3">
      <c r="B1018" s="6" t="str">
        <f ca="1">IF(AND(NEGOCIAÇÕES!O1018="",NEGOCIAÇÕES!N1018&gt;TODAY()),NEGOCIAÇÕES!C1018,"")</f>
        <v/>
      </c>
      <c r="C1018" s="6" t="str">
        <f ca="1">IF(AND(NEGOCIAÇÕES!O1018="",NEGOCIAÇÕES!N1018&gt;TODAY()),NEGOCIAÇÕES!E1018,"")</f>
        <v/>
      </c>
      <c r="D1018" s="6" t="str">
        <f ca="1">IF(AND(NEGOCIAÇÕES!O1018="",NEGOCIAÇÕES!N1018&gt;TODAY()),NEGOCIAÇÕES!D1018,"")</f>
        <v/>
      </c>
      <c r="E1018" s="9" t="str">
        <f>IF(AND(NEGOCIAÇÕES!B1018&lt;&gt;"",NEGOCIAÇÕES!O1018=""),NEGOCIAÇÕES!N1018,"")</f>
        <v/>
      </c>
    </row>
    <row r="1019" spans="2:5" ht="31.95" hidden="1" customHeight="1" x14ac:dyDescent="0.3">
      <c r="B1019" s="6" t="str">
        <f ca="1">IF(AND(NEGOCIAÇÕES!O1019="",NEGOCIAÇÕES!N1019&gt;TODAY()),NEGOCIAÇÕES!C1019,"")</f>
        <v/>
      </c>
      <c r="C1019" s="6" t="str">
        <f ca="1">IF(AND(NEGOCIAÇÕES!O1019="",NEGOCIAÇÕES!N1019&gt;TODAY()),NEGOCIAÇÕES!E1019,"")</f>
        <v/>
      </c>
      <c r="D1019" s="6" t="str">
        <f ca="1">IF(AND(NEGOCIAÇÕES!O1019="",NEGOCIAÇÕES!N1019&gt;TODAY()),NEGOCIAÇÕES!D1019,"")</f>
        <v/>
      </c>
      <c r="E1019" s="9" t="str">
        <f>IF(AND(NEGOCIAÇÕES!B1019&lt;&gt;"",NEGOCIAÇÕES!O1019=""),NEGOCIAÇÕES!N1019,"")</f>
        <v/>
      </c>
    </row>
    <row r="1020" spans="2:5" ht="31.95" hidden="1" customHeight="1" x14ac:dyDescent="0.3">
      <c r="B1020" s="6" t="str">
        <f ca="1">IF(AND(NEGOCIAÇÕES!O1020="",NEGOCIAÇÕES!N1020&gt;TODAY()),NEGOCIAÇÕES!C1020,"")</f>
        <v/>
      </c>
      <c r="C1020" s="6" t="str">
        <f ca="1">IF(AND(NEGOCIAÇÕES!O1020="",NEGOCIAÇÕES!N1020&gt;TODAY()),NEGOCIAÇÕES!E1020,"")</f>
        <v/>
      </c>
      <c r="D1020" s="6" t="str">
        <f ca="1">IF(AND(NEGOCIAÇÕES!O1020="",NEGOCIAÇÕES!N1020&gt;TODAY()),NEGOCIAÇÕES!D1020,"")</f>
        <v/>
      </c>
      <c r="E1020" s="9" t="str">
        <f>IF(AND(NEGOCIAÇÕES!B1020&lt;&gt;"",NEGOCIAÇÕES!O1020=""),NEGOCIAÇÕES!N1020,"")</f>
        <v/>
      </c>
    </row>
    <row r="1021" spans="2:5" ht="31.95" hidden="1" customHeight="1" x14ac:dyDescent="0.3">
      <c r="B1021" s="6" t="str">
        <f ca="1">IF(AND(NEGOCIAÇÕES!O1021="",NEGOCIAÇÕES!N1021&gt;TODAY()),NEGOCIAÇÕES!C1021,"")</f>
        <v/>
      </c>
      <c r="C1021" s="6" t="str">
        <f ca="1">IF(AND(NEGOCIAÇÕES!O1021="",NEGOCIAÇÕES!N1021&gt;TODAY()),NEGOCIAÇÕES!E1021,"")</f>
        <v/>
      </c>
      <c r="D1021" s="6" t="str">
        <f ca="1">IF(AND(NEGOCIAÇÕES!O1021="",NEGOCIAÇÕES!N1021&gt;TODAY()),NEGOCIAÇÕES!D1021,"")</f>
        <v/>
      </c>
      <c r="E1021" s="9" t="str">
        <f>IF(AND(NEGOCIAÇÕES!B1021&lt;&gt;"",NEGOCIAÇÕES!O1021=""),NEGOCIAÇÕES!N1021,"")</f>
        <v/>
      </c>
    </row>
    <row r="1022" spans="2:5" ht="31.95" hidden="1" customHeight="1" x14ac:dyDescent="0.3">
      <c r="B1022" s="6" t="str">
        <f ca="1">IF(AND(NEGOCIAÇÕES!O1022="",NEGOCIAÇÕES!N1022&gt;TODAY()),NEGOCIAÇÕES!C1022,"")</f>
        <v/>
      </c>
      <c r="C1022" s="6" t="str">
        <f ca="1">IF(AND(NEGOCIAÇÕES!O1022="",NEGOCIAÇÕES!N1022&gt;TODAY()),NEGOCIAÇÕES!E1022,"")</f>
        <v/>
      </c>
      <c r="D1022" s="6" t="str">
        <f ca="1">IF(AND(NEGOCIAÇÕES!O1022="",NEGOCIAÇÕES!N1022&gt;TODAY()),NEGOCIAÇÕES!D1022,"")</f>
        <v/>
      </c>
      <c r="E1022" s="9" t="str">
        <f>IF(AND(NEGOCIAÇÕES!B1022&lt;&gt;"",NEGOCIAÇÕES!O1022=""),NEGOCIAÇÕES!N1022,"")</f>
        <v/>
      </c>
    </row>
    <row r="1023" spans="2:5" ht="31.95" hidden="1" customHeight="1" x14ac:dyDescent="0.3">
      <c r="B1023" s="6" t="str">
        <f ca="1">IF(AND(NEGOCIAÇÕES!O1023="",NEGOCIAÇÕES!N1023&gt;TODAY()),NEGOCIAÇÕES!C1023,"")</f>
        <v/>
      </c>
      <c r="C1023" s="6" t="str">
        <f ca="1">IF(AND(NEGOCIAÇÕES!O1023="",NEGOCIAÇÕES!N1023&gt;TODAY()),NEGOCIAÇÕES!E1023,"")</f>
        <v/>
      </c>
      <c r="D1023" s="6" t="str">
        <f ca="1">IF(AND(NEGOCIAÇÕES!O1023="",NEGOCIAÇÕES!N1023&gt;TODAY()),NEGOCIAÇÕES!D1023,"")</f>
        <v/>
      </c>
      <c r="E1023" s="9" t="str">
        <f>IF(AND(NEGOCIAÇÕES!B1023&lt;&gt;"",NEGOCIAÇÕES!O1023=""),NEGOCIAÇÕES!N1023,"")</f>
        <v/>
      </c>
    </row>
    <row r="1024" spans="2:5" ht="31.95" hidden="1" customHeight="1" x14ac:dyDescent="0.3">
      <c r="B1024" s="6" t="str">
        <f ca="1">IF(AND(NEGOCIAÇÕES!O1024="",NEGOCIAÇÕES!N1024&gt;TODAY()),NEGOCIAÇÕES!C1024,"")</f>
        <v/>
      </c>
      <c r="C1024" s="6" t="str">
        <f ca="1">IF(AND(NEGOCIAÇÕES!O1024="",NEGOCIAÇÕES!N1024&gt;TODAY()),NEGOCIAÇÕES!E1024,"")</f>
        <v/>
      </c>
      <c r="D1024" s="6" t="str">
        <f ca="1">IF(AND(NEGOCIAÇÕES!O1024="",NEGOCIAÇÕES!N1024&gt;TODAY()),NEGOCIAÇÕES!D1024,"")</f>
        <v/>
      </c>
      <c r="E1024" s="9" t="str">
        <f>IF(AND(NEGOCIAÇÕES!B1024&lt;&gt;"",NEGOCIAÇÕES!O1024=""),NEGOCIAÇÕES!N1024,"")</f>
        <v/>
      </c>
    </row>
    <row r="1025" spans="2:5" ht="31.95" hidden="1" customHeight="1" x14ac:dyDescent="0.3">
      <c r="B1025" s="6" t="str">
        <f ca="1">IF(AND(NEGOCIAÇÕES!O1025="",NEGOCIAÇÕES!N1025&gt;TODAY()),NEGOCIAÇÕES!C1025,"")</f>
        <v/>
      </c>
      <c r="C1025" s="6" t="str">
        <f ca="1">IF(AND(NEGOCIAÇÕES!O1025="",NEGOCIAÇÕES!N1025&gt;TODAY()),NEGOCIAÇÕES!E1025,"")</f>
        <v/>
      </c>
      <c r="D1025" s="6" t="str">
        <f ca="1">IF(AND(NEGOCIAÇÕES!O1025="",NEGOCIAÇÕES!N1025&gt;TODAY()),NEGOCIAÇÕES!D1025,"")</f>
        <v/>
      </c>
      <c r="E1025" s="9" t="str">
        <f>IF(AND(NEGOCIAÇÕES!B1025&lt;&gt;"",NEGOCIAÇÕES!O1025=""),NEGOCIAÇÕES!N1025,"")</f>
        <v/>
      </c>
    </row>
    <row r="1026" spans="2:5" ht="31.95" hidden="1" customHeight="1" x14ac:dyDescent="0.3">
      <c r="B1026" s="6" t="str">
        <f ca="1">IF(AND(NEGOCIAÇÕES!O1026="",NEGOCIAÇÕES!N1026&gt;TODAY()),NEGOCIAÇÕES!C1026,"")</f>
        <v/>
      </c>
      <c r="C1026" s="6" t="str">
        <f ca="1">IF(AND(NEGOCIAÇÕES!O1026="",NEGOCIAÇÕES!N1026&gt;TODAY()),NEGOCIAÇÕES!E1026,"")</f>
        <v/>
      </c>
      <c r="D1026" s="6" t="str">
        <f ca="1">IF(AND(NEGOCIAÇÕES!O1026="",NEGOCIAÇÕES!N1026&gt;TODAY()),NEGOCIAÇÕES!D1026,"")</f>
        <v/>
      </c>
      <c r="E1026" s="9" t="str">
        <f>IF(AND(NEGOCIAÇÕES!B1026&lt;&gt;"",NEGOCIAÇÕES!O1026=""),NEGOCIAÇÕES!N1026,"")</f>
        <v/>
      </c>
    </row>
    <row r="1027" spans="2:5" ht="31.95" hidden="1" customHeight="1" x14ac:dyDescent="0.3">
      <c r="B1027" s="6" t="str">
        <f ca="1">IF(AND(NEGOCIAÇÕES!O1027="",NEGOCIAÇÕES!N1027&gt;TODAY()),NEGOCIAÇÕES!C1027,"")</f>
        <v/>
      </c>
      <c r="C1027" s="6" t="str">
        <f ca="1">IF(AND(NEGOCIAÇÕES!O1027="",NEGOCIAÇÕES!N1027&gt;TODAY()),NEGOCIAÇÕES!E1027,"")</f>
        <v/>
      </c>
      <c r="D1027" s="6" t="str">
        <f ca="1">IF(AND(NEGOCIAÇÕES!O1027="",NEGOCIAÇÕES!N1027&gt;TODAY()),NEGOCIAÇÕES!D1027,"")</f>
        <v/>
      </c>
      <c r="E1027" s="9" t="str">
        <f>IF(AND(NEGOCIAÇÕES!B1027&lt;&gt;"",NEGOCIAÇÕES!O1027=""),NEGOCIAÇÕES!N1027,"")</f>
        <v/>
      </c>
    </row>
    <row r="1028" spans="2:5" ht="31.95" hidden="1" customHeight="1" x14ac:dyDescent="0.3">
      <c r="B1028" s="6" t="str">
        <f ca="1">IF(AND(NEGOCIAÇÕES!O1028="",NEGOCIAÇÕES!N1028&gt;TODAY()),NEGOCIAÇÕES!C1028,"")</f>
        <v/>
      </c>
      <c r="C1028" s="6" t="str">
        <f ca="1">IF(AND(NEGOCIAÇÕES!O1028="",NEGOCIAÇÕES!N1028&gt;TODAY()),NEGOCIAÇÕES!E1028,"")</f>
        <v/>
      </c>
      <c r="D1028" s="6" t="str">
        <f ca="1">IF(AND(NEGOCIAÇÕES!O1028="",NEGOCIAÇÕES!N1028&gt;TODAY()),NEGOCIAÇÕES!D1028,"")</f>
        <v/>
      </c>
      <c r="E1028" s="9" t="str">
        <f>IF(AND(NEGOCIAÇÕES!B1028&lt;&gt;"",NEGOCIAÇÕES!O1028=""),NEGOCIAÇÕES!N1028,"")</f>
        <v/>
      </c>
    </row>
    <row r="1029" spans="2:5" ht="31.95" hidden="1" customHeight="1" x14ac:dyDescent="0.3">
      <c r="B1029" s="6" t="str">
        <f ca="1">IF(AND(NEGOCIAÇÕES!O1029="",NEGOCIAÇÕES!N1029&gt;TODAY()),NEGOCIAÇÕES!C1029,"")</f>
        <v/>
      </c>
      <c r="C1029" s="6" t="str">
        <f ca="1">IF(AND(NEGOCIAÇÕES!O1029="",NEGOCIAÇÕES!N1029&gt;TODAY()),NEGOCIAÇÕES!E1029,"")</f>
        <v/>
      </c>
      <c r="D1029" s="6" t="str">
        <f ca="1">IF(AND(NEGOCIAÇÕES!O1029="",NEGOCIAÇÕES!N1029&gt;TODAY()),NEGOCIAÇÕES!D1029,"")</f>
        <v/>
      </c>
      <c r="E1029" s="9" t="str">
        <f>IF(AND(NEGOCIAÇÕES!B1029&lt;&gt;"",NEGOCIAÇÕES!O1029=""),NEGOCIAÇÕES!N1029,"")</f>
        <v/>
      </c>
    </row>
    <row r="1030" spans="2:5" ht="31.95" hidden="1" customHeight="1" x14ac:dyDescent="0.3">
      <c r="B1030" s="6" t="str">
        <f ca="1">IF(AND(NEGOCIAÇÕES!O1030="",NEGOCIAÇÕES!N1030&gt;TODAY()),NEGOCIAÇÕES!C1030,"")</f>
        <v/>
      </c>
      <c r="C1030" s="6" t="str">
        <f ca="1">IF(AND(NEGOCIAÇÕES!O1030="",NEGOCIAÇÕES!N1030&gt;TODAY()),NEGOCIAÇÕES!E1030,"")</f>
        <v/>
      </c>
      <c r="D1030" s="6" t="str">
        <f ca="1">IF(AND(NEGOCIAÇÕES!O1030="",NEGOCIAÇÕES!N1030&gt;TODAY()),NEGOCIAÇÕES!D1030,"")</f>
        <v/>
      </c>
      <c r="E1030" s="9" t="str">
        <f>IF(AND(NEGOCIAÇÕES!B1030&lt;&gt;"",NEGOCIAÇÕES!O1030=""),NEGOCIAÇÕES!N1030,"")</f>
        <v/>
      </c>
    </row>
    <row r="1031" spans="2:5" ht="31.95" hidden="1" customHeight="1" x14ac:dyDescent="0.3">
      <c r="B1031" s="6" t="str">
        <f ca="1">IF(AND(NEGOCIAÇÕES!O1031="",NEGOCIAÇÕES!N1031&gt;TODAY()),NEGOCIAÇÕES!C1031,"")</f>
        <v/>
      </c>
      <c r="C1031" s="6" t="str">
        <f ca="1">IF(AND(NEGOCIAÇÕES!O1031="",NEGOCIAÇÕES!N1031&gt;TODAY()),NEGOCIAÇÕES!E1031,"")</f>
        <v/>
      </c>
      <c r="D1031" s="6" t="str">
        <f ca="1">IF(AND(NEGOCIAÇÕES!O1031="",NEGOCIAÇÕES!N1031&gt;TODAY()),NEGOCIAÇÕES!D1031,"")</f>
        <v/>
      </c>
      <c r="E1031" s="9" t="str">
        <f>IF(AND(NEGOCIAÇÕES!B1031&lt;&gt;"",NEGOCIAÇÕES!O1031=""),NEGOCIAÇÕES!N1031,"")</f>
        <v/>
      </c>
    </row>
    <row r="1032" spans="2:5" ht="31.95" hidden="1" customHeight="1" x14ac:dyDescent="0.3">
      <c r="B1032" s="6" t="str">
        <f ca="1">IF(AND(NEGOCIAÇÕES!O1032="",NEGOCIAÇÕES!N1032&gt;TODAY()),NEGOCIAÇÕES!C1032,"")</f>
        <v/>
      </c>
      <c r="C1032" s="6" t="str">
        <f ca="1">IF(AND(NEGOCIAÇÕES!O1032="",NEGOCIAÇÕES!N1032&gt;TODAY()),NEGOCIAÇÕES!E1032,"")</f>
        <v/>
      </c>
      <c r="D1032" s="6" t="str">
        <f ca="1">IF(AND(NEGOCIAÇÕES!O1032="",NEGOCIAÇÕES!N1032&gt;TODAY()),NEGOCIAÇÕES!D1032,"")</f>
        <v/>
      </c>
      <c r="E1032" s="9" t="str">
        <f>IF(AND(NEGOCIAÇÕES!B1032&lt;&gt;"",NEGOCIAÇÕES!O1032=""),NEGOCIAÇÕES!N1032,"")</f>
        <v/>
      </c>
    </row>
    <row r="1033" spans="2:5" ht="31.95" hidden="1" customHeight="1" x14ac:dyDescent="0.3">
      <c r="B1033" s="6" t="str">
        <f ca="1">IF(AND(NEGOCIAÇÕES!O1033="",NEGOCIAÇÕES!N1033&gt;TODAY()),NEGOCIAÇÕES!C1033,"")</f>
        <v/>
      </c>
      <c r="C1033" s="6" t="str">
        <f ca="1">IF(AND(NEGOCIAÇÕES!O1033="",NEGOCIAÇÕES!N1033&gt;TODAY()),NEGOCIAÇÕES!E1033,"")</f>
        <v/>
      </c>
      <c r="D1033" s="6" t="str">
        <f ca="1">IF(AND(NEGOCIAÇÕES!O1033="",NEGOCIAÇÕES!N1033&gt;TODAY()),NEGOCIAÇÕES!D1033,"")</f>
        <v/>
      </c>
      <c r="E1033" s="9" t="str">
        <f>IF(AND(NEGOCIAÇÕES!B1033&lt;&gt;"",NEGOCIAÇÕES!O1033=""),NEGOCIAÇÕES!N1033,"")</f>
        <v/>
      </c>
    </row>
    <row r="1034" spans="2:5" ht="31.95" hidden="1" customHeight="1" x14ac:dyDescent="0.3">
      <c r="B1034" s="6" t="str">
        <f ca="1">IF(AND(NEGOCIAÇÕES!O1034="",NEGOCIAÇÕES!N1034&gt;TODAY()),NEGOCIAÇÕES!C1034,"")</f>
        <v/>
      </c>
      <c r="C1034" s="6" t="str">
        <f ca="1">IF(AND(NEGOCIAÇÕES!O1034="",NEGOCIAÇÕES!N1034&gt;TODAY()),NEGOCIAÇÕES!E1034,"")</f>
        <v/>
      </c>
      <c r="D1034" s="6" t="str">
        <f ca="1">IF(AND(NEGOCIAÇÕES!O1034="",NEGOCIAÇÕES!N1034&gt;TODAY()),NEGOCIAÇÕES!D1034,"")</f>
        <v/>
      </c>
      <c r="E1034" s="9" t="str">
        <f>IF(AND(NEGOCIAÇÕES!B1034&lt;&gt;"",NEGOCIAÇÕES!O1034=""),NEGOCIAÇÕES!N1034,"")</f>
        <v/>
      </c>
    </row>
    <row r="1035" spans="2:5" ht="31.95" hidden="1" customHeight="1" x14ac:dyDescent="0.3">
      <c r="B1035" s="6" t="str">
        <f ca="1">IF(AND(NEGOCIAÇÕES!O1035="",NEGOCIAÇÕES!N1035&gt;TODAY()),NEGOCIAÇÕES!C1035,"")</f>
        <v/>
      </c>
      <c r="C1035" s="6" t="str">
        <f ca="1">IF(AND(NEGOCIAÇÕES!O1035="",NEGOCIAÇÕES!N1035&gt;TODAY()),NEGOCIAÇÕES!E1035,"")</f>
        <v/>
      </c>
      <c r="D1035" s="6" t="str">
        <f ca="1">IF(AND(NEGOCIAÇÕES!O1035="",NEGOCIAÇÕES!N1035&gt;TODAY()),NEGOCIAÇÕES!D1035,"")</f>
        <v/>
      </c>
      <c r="E1035" s="9" t="str">
        <f>IF(AND(NEGOCIAÇÕES!B1035&lt;&gt;"",NEGOCIAÇÕES!O1035=""),NEGOCIAÇÕES!N1035,"")</f>
        <v/>
      </c>
    </row>
    <row r="1036" spans="2:5" ht="31.95" hidden="1" customHeight="1" x14ac:dyDescent="0.3">
      <c r="B1036" s="6" t="str">
        <f ca="1">IF(AND(NEGOCIAÇÕES!O1036="",NEGOCIAÇÕES!N1036&gt;TODAY()),NEGOCIAÇÕES!C1036,"")</f>
        <v/>
      </c>
      <c r="C1036" s="6" t="str">
        <f ca="1">IF(AND(NEGOCIAÇÕES!O1036="",NEGOCIAÇÕES!N1036&gt;TODAY()),NEGOCIAÇÕES!E1036,"")</f>
        <v/>
      </c>
      <c r="D1036" s="6" t="str">
        <f ca="1">IF(AND(NEGOCIAÇÕES!O1036="",NEGOCIAÇÕES!N1036&gt;TODAY()),NEGOCIAÇÕES!D1036,"")</f>
        <v/>
      </c>
      <c r="E1036" s="9" t="str">
        <f>IF(AND(NEGOCIAÇÕES!B1036&lt;&gt;"",NEGOCIAÇÕES!O1036=""),NEGOCIAÇÕES!N1036,"")</f>
        <v/>
      </c>
    </row>
    <row r="1037" spans="2:5" ht="31.95" hidden="1" customHeight="1" x14ac:dyDescent="0.3">
      <c r="B1037" s="6" t="str">
        <f ca="1">IF(AND(NEGOCIAÇÕES!O1037="",NEGOCIAÇÕES!N1037&gt;TODAY()),NEGOCIAÇÕES!C1037,"")</f>
        <v/>
      </c>
      <c r="C1037" s="6" t="str">
        <f ca="1">IF(AND(NEGOCIAÇÕES!O1037="",NEGOCIAÇÕES!N1037&gt;TODAY()),NEGOCIAÇÕES!E1037,"")</f>
        <v/>
      </c>
      <c r="D1037" s="6" t="str">
        <f ca="1">IF(AND(NEGOCIAÇÕES!O1037="",NEGOCIAÇÕES!N1037&gt;TODAY()),NEGOCIAÇÕES!D1037,"")</f>
        <v/>
      </c>
      <c r="E1037" s="9" t="str">
        <f>IF(AND(NEGOCIAÇÕES!B1037&lt;&gt;"",NEGOCIAÇÕES!O1037=""),NEGOCIAÇÕES!N1037,"")</f>
        <v/>
      </c>
    </row>
    <row r="1038" spans="2:5" ht="31.95" hidden="1" customHeight="1" x14ac:dyDescent="0.3">
      <c r="B1038" s="6" t="str">
        <f ca="1">IF(AND(NEGOCIAÇÕES!O1038="",NEGOCIAÇÕES!N1038&gt;TODAY()),NEGOCIAÇÕES!C1038,"")</f>
        <v/>
      </c>
      <c r="C1038" s="6" t="str">
        <f ca="1">IF(AND(NEGOCIAÇÕES!O1038="",NEGOCIAÇÕES!N1038&gt;TODAY()),NEGOCIAÇÕES!E1038,"")</f>
        <v/>
      </c>
      <c r="D1038" s="6" t="str">
        <f ca="1">IF(AND(NEGOCIAÇÕES!O1038="",NEGOCIAÇÕES!N1038&gt;TODAY()),NEGOCIAÇÕES!D1038,"")</f>
        <v/>
      </c>
      <c r="E1038" s="9" t="str">
        <f>IF(AND(NEGOCIAÇÕES!B1038&lt;&gt;"",NEGOCIAÇÕES!O1038=""),NEGOCIAÇÕES!N1038,"")</f>
        <v/>
      </c>
    </row>
    <row r="1039" spans="2:5" ht="31.95" hidden="1" customHeight="1" x14ac:dyDescent="0.3">
      <c r="B1039" s="6" t="str">
        <f ca="1">IF(AND(NEGOCIAÇÕES!O1039="",NEGOCIAÇÕES!N1039&gt;TODAY()),NEGOCIAÇÕES!C1039,"")</f>
        <v/>
      </c>
      <c r="C1039" s="6" t="str">
        <f ca="1">IF(AND(NEGOCIAÇÕES!O1039="",NEGOCIAÇÕES!N1039&gt;TODAY()),NEGOCIAÇÕES!E1039,"")</f>
        <v/>
      </c>
      <c r="D1039" s="6" t="str">
        <f ca="1">IF(AND(NEGOCIAÇÕES!O1039="",NEGOCIAÇÕES!N1039&gt;TODAY()),NEGOCIAÇÕES!D1039,"")</f>
        <v/>
      </c>
      <c r="E1039" s="9" t="str">
        <f>IF(AND(NEGOCIAÇÕES!B1039&lt;&gt;"",NEGOCIAÇÕES!O1039=""),NEGOCIAÇÕES!N1039,"")</f>
        <v/>
      </c>
    </row>
    <row r="1040" spans="2:5" ht="31.95" hidden="1" customHeight="1" x14ac:dyDescent="0.3">
      <c r="B1040" s="6" t="str">
        <f ca="1">IF(AND(NEGOCIAÇÕES!O1040="",NEGOCIAÇÕES!N1040&gt;TODAY()),NEGOCIAÇÕES!C1040,"")</f>
        <v/>
      </c>
      <c r="C1040" s="6" t="str">
        <f ca="1">IF(AND(NEGOCIAÇÕES!O1040="",NEGOCIAÇÕES!N1040&gt;TODAY()),NEGOCIAÇÕES!E1040,"")</f>
        <v/>
      </c>
      <c r="D1040" s="6" t="str">
        <f ca="1">IF(AND(NEGOCIAÇÕES!O1040="",NEGOCIAÇÕES!N1040&gt;TODAY()),NEGOCIAÇÕES!D1040,"")</f>
        <v/>
      </c>
      <c r="E1040" s="9" t="str">
        <f>IF(AND(NEGOCIAÇÕES!B1040&lt;&gt;"",NEGOCIAÇÕES!O1040=""),NEGOCIAÇÕES!N1040,"")</f>
        <v/>
      </c>
    </row>
    <row r="1041" spans="2:5" ht="31.95" hidden="1" customHeight="1" x14ac:dyDescent="0.3">
      <c r="B1041" s="6" t="str">
        <f ca="1">IF(AND(NEGOCIAÇÕES!O1041="",NEGOCIAÇÕES!N1041&gt;TODAY()),NEGOCIAÇÕES!C1041,"")</f>
        <v/>
      </c>
      <c r="C1041" s="6" t="str">
        <f ca="1">IF(AND(NEGOCIAÇÕES!O1041="",NEGOCIAÇÕES!N1041&gt;TODAY()),NEGOCIAÇÕES!E1041,"")</f>
        <v/>
      </c>
      <c r="D1041" s="6" t="str">
        <f ca="1">IF(AND(NEGOCIAÇÕES!O1041="",NEGOCIAÇÕES!N1041&gt;TODAY()),NEGOCIAÇÕES!D1041,"")</f>
        <v/>
      </c>
      <c r="E1041" s="9" t="str">
        <f>IF(AND(NEGOCIAÇÕES!B1041&lt;&gt;"",NEGOCIAÇÕES!O1041=""),NEGOCIAÇÕES!N1041,"")</f>
        <v/>
      </c>
    </row>
    <row r="1042" spans="2:5" ht="31.95" hidden="1" customHeight="1" x14ac:dyDescent="0.3">
      <c r="B1042" s="6" t="str">
        <f ca="1">IF(AND(NEGOCIAÇÕES!O1042="",NEGOCIAÇÕES!N1042&gt;TODAY()),NEGOCIAÇÕES!C1042,"")</f>
        <v/>
      </c>
      <c r="C1042" s="6" t="str">
        <f ca="1">IF(AND(NEGOCIAÇÕES!O1042="",NEGOCIAÇÕES!N1042&gt;TODAY()),NEGOCIAÇÕES!E1042,"")</f>
        <v/>
      </c>
      <c r="D1042" s="6" t="str">
        <f ca="1">IF(AND(NEGOCIAÇÕES!O1042="",NEGOCIAÇÕES!N1042&gt;TODAY()),NEGOCIAÇÕES!D1042,"")</f>
        <v/>
      </c>
      <c r="E1042" s="9" t="str">
        <f>IF(AND(NEGOCIAÇÕES!B1042&lt;&gt;"",NEGOCIAÇÕES!O1042=""),NEGOCIAÇÕES!N1042,"")</f>
        <v/>
      </c>
    </row>
    <row r="1043" spans="2:5" ht="31.95" hidden="1" customHeight="1" x14ac:dyDescent="0.3">
      <c r="B1043" s="6" t="str">
        <f ca="1">IF(AND(NEGOCIAÇÕES!O1043="",NEGOCIAÇÕES!N1043&gt;TODAY()),NEGOCIAÇÕES!C1043,"")</f>
        <v/>
      </c>
      <c r="C1043" s="6" t="str">
        <f ca="1">IF(AND(NEGOCIAÇÕES!O1043="",NEGOCIAÇÕES!N1043&gt;TODAY()),NEGOCIAÇÕES!E1043,"")</f>
        <v/>
      </c>
      <c r="D1043" s="6" t="str">
        <f ca="1">IF(AND(NEGOCIAÇÕES!O1043="",NEGOCIAÇÕES!N1043&gt;TODAY()),NEGOCIAÇÕES!D1043,"")</f>
        <v/>
      </c>
      <c r="E1043" s="9" t="str">
        <f>IF(AND(NEGOCIAÇÕES!B1043&lt;&gt;"",NEGOCIAÇÕES!O1043=""),NEGOCIAÇÕES!N1043,"")</f>
        <v/>
      </c>
    </row>
    <row r="1044" spans="2:5" ht="31.95" hidden="1" customHeight="1" x14ac:dyDescent="0.3">
      <c r="B1044" s="6" t="str">
        <f ca="1">IF(AND(NEGOCIAÇÕES!O1044="",NEGOCIAÇÕES!N1044&gt;TODAY()),NEGOCIAÇÕES!C1044,"")</f>
        <v/>
      </c>
      <c r="C1044" s="6" t="str">
        <f ca="1">IF(AND(NEGOCIAÇÕES!O1044="",NEGOCIAÇÕES!N1044&gt;TODAY()),NEGOCIAÇÕES!E1044,"")</f>
        <v/>
      </c>
      <c r="D1044" s="6" t="str">
        <f ca="1">IF(AND(NEGOCIAÇÕES!O1044="",NEGOCIAÇÕES!N1044&gt;TODAY()),NEGOCIAÇÕES!D1044,"")</f>
        <v/>
      </c>
      <c r="E1044" s="9" t="str">
        <f>IF(AND(NEGOCIAÇÕES!B1044&lt;&gt;"",NEGOCIAÇÕES!O1044=""),NEGOCIAÇÕES!N1044,"")</f>
        <v/>
      </c>
    </row>
    <row r="1045" spans="2:5" ht="31.95" hidden="1" customHeight="1" x14ac:dyDescent="0.3">
      <c r="B1045" s="6" t="str">
        <f ca="1">IF(AND(NEGOCIAÇÕES!O1045="",NEGOCIAÇÕES!N1045&gt;TODAY()),NEGOCIAÇÕES!C1045,"")</f>
        <v/>
      </c>
      <c r="C1045" s="6" t="str">
        <f ca="1">IF(AND(NEGOCIAÇÕES!O1045="",NEGOCIAÇÕES!N1045&gt;TODAY()),NEGOCIAÇÕES!E1045,"")</f>
        <v/>
      </c>
      <c r="D1045" s="6" t="str">
        <f ca="1">IF(AND(NEGOCIAÇÕES!O1045="",NEGOCIAÇÕES!N1045&gt;TODAY()),NEGOCIAÇÕES!D1045,"")</f>
        <v/>
      </c>
      <c r="E1045" s="9" t="str">
        <f>IF(AND(NEGOCIAÇÕES!B1045&lt;&gt;"",NEGOCIAÇÕES!O1045=""),NEGOCIAÇÕES!N1045,"")</f>
        <v/>
      </c>
    </row>
    <row r="1046" spans="2:5" ht="31.95" hidden="1" customHeight="1" x14ac:dyDescent="0.3">
      <c r="B1046" s="6" t="str">
        <f ca="1">IF(AND(NEGOCIAÇÕES!O1046="",NEGOCIAÇÕES!N1046&gt;TODAY()),NEGOCIAÇÕES!C1046,"")</f>
        <v/>
      </c>
      <c r="C1046" s="6" t="str">
        <f ca="1">IF(AND(NEGOCIAÇÕES!O1046="",NEGOCIAÇÕES!N1046&gt;TODAY()),NEGOCIAÇÕES!E1046,"")</f>
        <v/>
      </c>
      <c r="D1046" s="6" t="str">
        <f ca="1">IF(AND(NEGOCIAÇÕES!O1046="",NEGOCIAÇÕES!N1046&gt;TODAY()),NEGOCIAÇÕES!D1046,"")</f>
        <v/>
      </c>
      <c r="E1046" s="9" t="str">
        <f>IF(AND(NEGOCIAÇÕES!B1046&lt;&gt;"",NEGOCIAÇÕES!O1046=""),NEGOCIAÇÕES!N1046,"")</f>
        <v/>
      </c>
    </row>
    <row r="1047" spans="2:5" ht="31.95" hidden="1" customHeight="1" x14ac:dyDescent="0.3">
      <c r="B1047" s="6" t="str">
        <f ca="1">IF(AND(NEGOCIAÇÕES!O1047="",NEGOCIAÇÕES!N1047&gt;TODAY()),NEGOCIAÇÕES!C1047,"")</f>
        <v/>
      </c>
      <c r="C1047" s="6" t="str">
        <f ca="1">IF(AND(NEGOCIAÇÕES!O1047="",NEGOCIAÇÕES!N1047&gt;TODAY()),NEGOCIAÇÕES!E1047,"")</f>
        <v/>
      </c>
      <c r="D1047" s="6" t="str">
        <f ca="1">IF(AND(NEGOCIAÇÕES!O1047="",NEGOCIAÇÕES!N1047&gt;TODAY()),NEGOCIAÇÕES!D1047,"")</f>
        <v/>
      </c>
      <c r="E1047" s="9" t="str">
        <f>IF(AND(NEGOCIAÇÕES!B1047&lt;&gt;"",NEGOCIAÇÕES!O1047=""),NEGOCIAÇÕES!N1047,"")</f>
        <v/>
      </c>
    </row>
    <row r="1048" spans="2:5" ht="31.95" hidden="1" customHeight="1" x14ac:dyDescent="0.3">
      <c r="B1048" s="6" t="str">
        <f ca="1">IF(AND(NEGOCIAÇÕES!O1048="",NEGOCIAÇÕES!N1048&gt;TODAY()),NEGOCIAÇÕES!C1048,"")</f>
        <v/>
      </c>
      <c r="C1048" s="6" t="str">
        <f ca="1">IF(AND(NEGOCIAÇÕES!O1048="",NEGOCIAÇÕES!N1048&gt;TODAY()),NEGOCIAÇÕES!E1048,"")</f>
        <v/>
      </c>
      <c r="D1048" s="6" t="str">
        <f ca="1">IF(AND(NEGOCIAÇÕES!O1048="",NEGOCIAÇÕES!N1048&gt;TODAY()),NEGOCIAÇÕES!D1048,"")</f>
        <v/>
      </c>
      <c r="E1048" s="9" t="str">
        <f>IF(AND(NEGOCIAÇÕES!B1048&lt;&gt;"",NEGOCIAÇÕES!O1048=""),NEGOCIAÇÕES!N1048,"")</f>
        <v/>
      </c>
    </row>
    <row r="1049" spans="2:5" ht="31.95" hidden="1" customHeight="1" x14ac:dyDescent="0.3">
      <c r="B1049" s="6" t="str">
        <f ca="1">IF(AND(NEGOCIAÇÕES!O1049="",NEGOCIAÇÕES!N1049&gt;TODAY()),NEGOCIAÇÕES!C1049,"")</f>
        <v/>
      </c>
      <c r="C1049" s="6" t="str">
        <f ca="1">IF(AND(NEGOCIAÇÕES!O1049="",NEGOCIAÇÕES!N1049&gt;TODAY()),NEGOCIAÇÕES!E1049,"")</f>
        <v/>
      </c>
      <c r="D1049" s="6" t="str">
        <f ca="1">IF(AND(NEGOCIAÇÕES!O1049="",NEGOCIAÇÕES!N1049&gt;TODAY()),NEGOCIAÇÕES!D1049,"")</f>
        <v/>
      </c>
      <c r="E1049" s="9" t="str">
        <f>IF(AND(NEGOCIAÇÕES!B1049&lt;&gt;"",NEGOCIAÇÕES!O1049=""),NEGOCIAÇÕES!N1049,"")</f>
        <v/>
      </c>
    </row>
    <row r="1050" spans="2:5" ht="31.95" hidden="1" customHeight="1" x14ac:dyDescent="0.3">
      <c r="B1050" s="6" t="str">
        <f ca="1">IF(AND(NEGOCIAÇÕES!O1050="",NEGOCIAÇÕES!N1050&gt;TODAY()),NEGOCIAÇÕES!C1050,"")</f>
        <v/>
      </c>
      <c r="C1050" s="6" t="str">
        <f ca="1">IF(AND(NEGOCIAÇÕES!O1050="",NEGOCIAÇÕES!N1050&gt;TODAY()),NEGOCIAÇÕES!E1050,"")</f>
        <v/>
      </c>
      <c r="D1050" s="6" t="str">
        <f ca="1">IF(AND(NEGOCIAÇÕES!O1050="",NEGOCIAÇÕES!N1050&gt;TODAY()),NEGOCIAÇÕES!D1050,"")</f>
        <v/>
      </c>
      <c r="E1050" s="9" t="str">
        <f>IF(AND(NEGOCIAÇÕES!B1050&lt;&gt;"",NEGOCIAÇÕES!O1050=""),NEGOCIAÇÕES!N1050,"")</f>
        <v/>
      </c>
    </row>
    <row r="1051" spans="2:5" ht="31.95" hidden="1" customHeight="1" x14ac:dyDescent="0.3">
      <c r="B1051" s="6" t="str">
        <f ca="1">IF(AND(NEGOCIAÇÕES!O1051="",NEGOCIAÇÕES!N1051&gt;TODAY()),NEGOCIAÇÕES!C1051,"")</f>
        <v/>
      </c>
      <c r="C1051" s="6" t="str">
        <f ca="1">IF(AND(NEGOCIAÇÕES!O1051="",NEGOCIAÇÕES!N1051&gt;TODAY()),NEGOCIAÇÕES!E1051,"")</f>
        <v/>
      </c>
      <c r="D1051" s="6" t="str">
        <f ca="1">IF(AND(NEGOCIAÇÕES!O1051="",NEGOCIAÇÕES!N1051&gt;TODAY()),NEGOCIAÇÕES!D1051,"")</f>
        <v/>
      </c>
      <c r="E1051" s="9" t="str">
        <f>IF(AND(NEGOCIAÇÕES!B1051&lt;&gt;"",NEGOCIAÇÕES!O1051=""),NEGOCIAÇÕES!N1051,"")</f>
        <v/>
      </c>
    </row>
    <row r="1052" spans="2:5" ht="31.95" hidden="1" customHeight="1" x14ac:dyDescent="0.3">
      <c r="B1052" s="6" t="str">
        <f ca="1">IF(AND(NEGOCIAÇÕES!O1052="",NEGOCIAÇÕES!N1052&gt;TODAY()),NEGOCIAÇÕES!C1052,"")</f>
        <v/>
      </c>
      <c r="C1052" s="6" t="str">
        <f ca="1">IF(AND(NEGOCIAÇÕES!O1052="",NEGOCIAÇÕES!N1052&gt;TODAY()),NEGOCIAÇÕES!E1052,"")</f>
        <v/>
      </c>
      <c r="D1052" s="6" t="str">
        <f ca="1">IF(AND(NEGOCIAÇÕES!O1052="",NEGOCIAÇÕES!N1052&gt;TODAY()),NEGOCIAÇÕES!D1052,"")</f>
        <v/>
      </c>
      <c r="E1052" s="9" t="str">
        <f>IF(AND(NEGOCIAÇÕES!B1052&lt;&gt;"",NEGOCIAÇÕES!O1052=""),NEGOCIAÇÕES!N1052,"")</f>
        <v/>
      </c>
    </row>
    <row r="1053" spans="2:5" ht="31.95" hidden="1" customHeight="1" x14ac:dyDescent="0.3">
      <c r="B1053" s="6" t="str">
        <f ca="1">IF(AND(NEGOCIAÇÕES!O1053="",NEGOCIAÇÕES!N1053&gt;TODAY()),NEGOCIAÇÕES!C1053,"")</f>
        <v/>
      </c>
      <c r="C1053" s="6" t="str">
        <f ca="1">IF(AND(NEGOCIAÇÕES!O1053="",NEGOCIAÇÕES!N1053&gt;TODAY()),NEGOCIAÇÕES!E1053,"")</f>
        <v/>
      </c>
      <c r="D1053" s="6" t="str">
        <f ca="1">IF(AND(NEGOCIAÇÕES!O1053="",NEGOCIAÇÕES!N1053&gt;TODAY()),NEGOCIAÇÕES!D1053,"")</f>
        <v/>
      </c>
      <c r="E1053" s="9" t="str">
        <f>IF(AND(NEGOCIAÇÕES!B1053&lt;&gt;"",NEGOCIAÇÕES!O1053=""),NEGOCIAÇÕES!N1053,"")</f>
        <v/>
      </c>
    </row>
    <row r="1054" spans="2:5" ht="31.95" hidden="1" customHeight="1" x14ac:dyDescent="0.3">
      <c r="B1054" s="6" t="str">
        <f ca="1">IF(AND(NEGOCIAÇÕES!O1054="",NEGOCIAÇÕES!N1054&gt;TODAY()),NEGOCIAÇÕES!C1054,"")</f>
        <v/>
      </c>
      <c r="C1054" s="6" t="str">
        <f ca="1">IF(AND(NEGOCIAÇÕES!O1054="",NEGOCIAÇÕES!N1054&gt;TODAY()),NEGOCIAÇÕES!E1054,"")</f>
        <v/>
      </c>
      <c r="D1054" s="6" t="str">
        <f ca="1">IF(AND(NEGOCIAÇÕES!O1054="",NEGOCIAÇÕES!N1054&gt;TODAY()),NEGOCIAÇÕES!D1054,"")</f>
        <v/>
      </c>
      <c r="E1054" s="9" t="str">
        <f>IF(AND(NEGOCIAÇÕES!B1054&lt;&gt;"",NEGOCIAÇÕES!O1054=""),NEGOCIAÇÕES!N1054,"")</f>
        <v/>
      </c>
    </row>
    <row r="1055" spans="2:5" ht="31.95" hidden="1" customHeight="1" x14ac:dyDescent="0.3">
      <c r="B1055" s="6" t="str">
        <f ca="1">IF(AND(NEGOCIAÇÕES!O1055="",NEGOCIAÇÕES!N1055&gt;TODAY()),NEGOCIAÇÕES!C1055,"")</f>
        <v/>
      </c>
      <c r="C1055" s="6" t="str">
        <f ca="1">IF(AND(NEGOCIAÇÕES!O1055="",NEGOCIAÇÕES!N1055&gt;TODAY()),NEGOCIAÇÕES!E1055,"")</f>
        <v/>
      </c>
      <c r="D1055" s="6" t="str">
        <f ca="1">IF(AND(NEGOCIAÇÕES!O1055="",NEGOCIAÇÕES!N1055&gt;TODAY()),NEGOCIAÇÕES!D1055,"")</f>
        <v/>
      </c>
      <c r="E1055" s="9" t="str">
        <f>IF(AND(NEGOCIAÇÕES!B1055&lt;&gt;"",NEGOCIAÇÕES!O1055=""),NEGOCIAÇÕES!N1055,"")</f>
        <v/>
      </c>
    </row>
    <row r="1056" spans="2:5" ht="31.95" hidden="1" customHeight="1" x14ac:dyDescent="0.3">
      <c r="B1056" s="6" t="str">
        <f ca="1">IF(AND(NEGOCIAÇÕES!O1056="",NEGOCIAÇÕES!N1056&gt;TODAY()),NEGOCIAÇÕES!C1056,"")</f>
        <v/>
      </c>
      <c r="C1056" s="6" t="str">
        <f ca="1">IF(AND(NEGOCIAÇÕES!O1056="",NEGOCIAÇÕES!N1056&gt;TODAY()),NEGOCIAÇÕES!E1056,"")</f>
        <v/>
      </c>
      <c r="D1056" s="6" t="str">
        <f ca="1">IF(AND(NEGOCIAÇÕES!O1056="",NEGOCIAÇÕES!N1056&gt;TODAY()),NEGOCIAÇÕES!D1056,"")</f>
        <v/>
      </c>
      <c r="E1056" s="9" t="str">
        <f>IF(AND(NEGOCIAÇÕES!B1056&lt;&gt;"",NEGOCIAÇÕES!O1056=""),NEGOCIAÇÕES!N1056,"")</f>
        <v/>
      </c>
    </row>
    <row r="1057" spans="2:5" ht="31.95" hidden="1" customHeight="1" x14ac:dyDescent="0.3">
      <c r="B1057" s="6" t="str">
        <f ca="1">IF(AND(NEGOCIAÇÕES!O1057="",NEGOCIAÇÕES!N1057&gt;TODAY()),NEGOCIAÇÕES!C1057,"")</f>
        <v/>
      </c>
      <c r="C1057" s="6" t="str">
        <f ca="1">IF(AND(NEGOCIAÇÕES!O1057="",NEGOCIAÇÕES!N1057&gt;TODAY()),NEGOCIAÇÕES!E1057,"")</f>
        <v/>
      </c>
      <c r="D1057" s="6" t="str">
        <f ca="1">IF(AND(NEGOCIAÇÕES!O1057="",NEGOCIAÇÕES!N1057&gt;TODAY()),NEGOCIAÇÕES!D1057,"")</f>
        <v/>
      </c>
      <c r="E1057" s="9" t="str">
        <f>IF(AND(NEGOCIAÇÕES!B1057&lt;&gt;"",NEGOCIAÇÕES!O1057=""),NEGOCIAÇÕES!N1057,"")</f>
        <v/>
      </c>
    </row>
    <row r="1058" spans="2:5" ht="31.95" hidden="1" customHeight="1" x14ac:dyDescent="0.3">
      <c r="B1058" s="6" t="str">
        <f ca="1">IF(AND(NEGOCIAÇÕES!O1058="",NEGOCIAÇÕES!N1058&gt;TODAY()),NEGOCIAÇÕES!C1058,"")</f>
        <v/>
      </c>
      <c r="C1058" s="6" t="str">
        <f ca="1">IF(AND(NEGOCIAÇÕES!O1058="",NEGOCIAÇÕES!N1058&gt;TODAY()),NEGOCIAÇÕES!E1058,"")</f>
        <v/>
      </c>
      <c r="D1058" s="6" t="str">
        <f ca="1">IF(AND(NEGOCIAÇÕES!O1058="",NEGOCIAÇÕES!N1058&gt;TODAY()),NEGOCIAÇÕES!D1058,"")</f>
        <v/>
      </c>
      <c r="E1058" s="9" t="str">
        <f>IF(AND(NEGOCIAÇÕES!B1058&lt;&gt;"",NEGOCIAÇÕES!O1058=""),NEGOCIAÇÕES!N1058,"")</f>
        <v/>
      </c>
    </row>
    <row r="1059" spans="2:5" ht="31.95" hidden="1" customHeight="1" x14ac:dyDescent="0.3">
      <c r="B1059" s="6" t="str">
        <f ca="1">IF(AND(NEGOCIAÇÕES!O1059="",NEGOCIAÇÕES!N1059&gt;TODAY()),NEGOCIAÇÕES!C1059,"")</f>
        <v/>
      </c>
      <c r="C1059" s="6" t="str">
        <f ca="1">IF(AND(NEGOCIAÇÕES!O1059="",NEGOCIAÇÕES!N1059&gt;TODAY()),NEGOCIAÇÕES!E1059,"")</f>
        <v/>
      </c>
      <c r="D1059" s="6" t="str">
        <f ca="1">IF(AND(NEGOCIAÇÕES!O1059="",NEGOCIAÇÕES!N1059&gt;TODAY()),NEGOCIAÇÕES!D1059,"")</f>
        <v/>
      </c>
      <c r="E1059" s="9" t="str">
        <f>IF(AND(NEGOCIAÇÕES!B1059&lt;&gt;"",NEGOCIAÇÕES!O1059=""),NEGOCIAÇÕES!N1059,"")</f>
        <v/>
      </c>
    </row>
    <row r="1060" spans="2:5" ht="31.95" hidden="1" customHeight="1" x14ac:dyDescent="0.3">
      <c r="B1060" s="6" t="str">
        <f ca="1">IF(AND(NEGOCIAÇÕES!O1060="",NEGOCIAÇÕES!N1060&gt;TODAY()),NEGOCIAÇÕES!C1060,"")</f>
        <v/>
      </c>
      <c r="C1060" s="6" t="str">
        <f ca="1">IF(AND(NEGOCIAÇÕES!O1060="",NEGOCIAÇÕES!N1060&gt;TODAY()),NEGOCIAÇÕES!E1060,"")</f>
        <v/>
      </c>
      <c r="D1060" s="6" t="str">
        <f ca="1">IF(AND(NEGOCIAÇÕES!O1060="",NEGOCIAÇÕES!N1060&gt;TODAY()),NEGOCIAÇÕES!D1060,"")</f>
        <v/>
      </c>
      <c r="E1060" s="9" t="str">
        <f>IF(AND(NEGOCIAÇÕES!B1060&lt;&gt;"",NEGOCIAÇÕES!O1060=""),NEGOCIAÇÕES!N1060,"")</f>
        <v/>
      </c>
    </row>
    <row r="1061" spans="2:5" ht="31.95" hidden="1" customHeight="1" x14ac:dyDescent="0.3">
      <c r="B1061" s="6" t="str">
        <f ca="1">IF(AND(NEGOCIAÇÕES!O1061="",NEGOCIAÇÕES!N1061&gt;TODAY()),NEGOCIAÇÕES!C1061,"")</f>
        <v/>
      </c>
      <c r="C1061" s="6" t="str">
        <f ca="1">IF(AND(NEGOCIAÇÕES!O1061="",NEGOCIAÇÕES!N1061&gt;TODAY()),NEGOCIAÇÕES!E1061,"")</f>
        <v/>
      </c>
      <c r="D1061" s="6" t="str">
        <f ca="1">IF(AND(NEGOCIAÇÕES!O1061="",NEGOCIAÇÕES!N1061&gt;TODAY()),NEGOCIAÇÕES!D1061,"")</f>
        <v/>
      </c>
      <c r="E1061" s="9" t="str">
        <f>IF(AND(NEGOCIAÇÕES!B1061&lt;&gt;"",NEGOCIAÇÕES!O1061=""),NEGOCIAÇÕES!N1061,"")</f>
        <v/>
      </c>
    </row>
    <row r="1062" spans="2:5" ht="31.95" hidden="1" customHeight="1" x14ac:dyDescent="0.3">
      <c r="B1062" s="6" t="str">
        <f ca="1">IF(AND(NEGOCIAÇÕES!O1062="",NEGOCIAÇÕES!N1062&gt;TODAY()),NEGOCIAÇÕES!C1062,"")</f>
        <v/>
      </c>
      <c r="C1062" s="6" t="str">
        <f ca="1">IF(AND(NEGOCIAÇÕES!O1062="",NEGOCIAÇÕES!N1062&gt;TODAY()),NEGOCIAÇÕES!E1062,"")</f>
        <v/>
      </c>
      <c r="D1062" s="6" t="str">
        <f ca="1">IF(AND(NEGOCIAÇÕES!O1062="",NEGOCIAÇÕES!N1062&gt;TODAY()),NEGOCIAÇÕES!D1062,"")</f>
        <v/>
      </c>
      <c r="E1062" s="9" t="str">
        <f>IF(AND(NEGOCIAÇÕES!B1062&lt;&gt;"",NEGOCIAÇÕES!O1062=""),NEGOCIAÇÕES!N1062,"")</f>
        <v/>
      </c>
    </row>
    <row r="1063" spans="2:5" ht="31.95" hidden="1" customHeight="1" x14ac:dyDescent="0.3">
      <c r="B1063" s="6" t="str">
        <f ca="1">IF(AND(NEGOCIAÇÕES!O1063="",NEGOCIAÇÕES!N1063&gt;TODAY()),NEGOCIAÇÕES!C1063,"")</f>
        <v/>
      </c>
      <c r="C1063" s="6" t="str">
        <f ca="1">IF(AND(NEGOCIAÇÕES!O1063="",NEGOCIAÇÕES!N1063&gt;TODAY()),NEGOCIAÇÕES!E1063,"")</f>
        <v/>
      </c>
      <c r="D1063" s="6" t="str">
        <f ca="1">IF(AND(NEGOCIAÇÕES!O1063="",NEGOCIAÇÕES!N1063&gt;TODAY()),NEGOCIAÇÕES!D1063,"")</f>
        <v/>
      </c>
      <c r="E1063" s="9" t="str">
        <f>IF(AND(NEGOCIAÇÕES!B1063&lt;&gt;"",NEGOCIAÇÕES!O1063=""),NEGOCIAÇÕES!N1063,"")</f>
        <v/>
      </c>
    </row>
    <row r="1064" spans="2:5" ht="31.95" hidden="1" customHeight="1" x14ac:dyDescent="0.3">
      <c r="B1064" s="6" t="str">
        <f ca="1">IF(AND(NEGOCIAÇÕES!O1064="",NEGOCIAÇÕES!N1064&gt;TODAY()),NEGOCIAÇÕES!C1064,"")</f>
        <v/>
      </c>
      <c r="C1064" s="6" t="str">
        <f ca="1">IF(AND(NEGOCIAÇÕES!O1064="",NEGOCIAÇÕES!N1064&gt;TODAY()),NEGOCIAÇÕES!E1064,"")</f>
        <v/>
      </c>
      <c r="D1064" s="6" t="str">
        <f ca="1">IF(AND(NEGOCIAÇÕES!O1064="",NEGOCIAÇÕES!N1064&gt;TODAY()),NEGOCIAÇÕES!D1064,"")</f>
        <v/>
      </c>
      <c r="E1064" s="9" t="str">
        <f>IF(AND(NEGOCIAÇÕES!B1064&lt;&gt;"",NEGOCIAÇÕES!O1064=""),NEGOCIAÇÕES!N1064,"")</f>
        <v/>
      </c>
    </row>
    <row r="1065" spans="2:5" ht="31.95" hidden="1" customHeight="1" x14ac:dyDescent="0.3">
      <c r="B1065" s="6" t="str">
        <f ca="1">IF(AND(NEGOCIAÇÕES!O1065="",NEGOCIAÇÕES!N1065&gt;TODAY()),NEGOCIAÇÕES!C1065,"")</f>
        <v/>
      </c>
      <c r="C1065" s="6" t="str">
        <f ca="1">IF(AND(NEGOCIAÇÕES!O1065="",NEGOCIAÇÕES!N1065&gt;TODAY()),NEGOCIAÇÕES!E1065,"")</f>
        <v/>
      </c>
      <c r="D1065" s="6" t="str">
        <f ca="1">IF(AND(NEGOCIAÇÕES!O1065="",NEGOCIAÇÕES!N1065&gt;TODAY()),NEGOCIAÇÕES!D1065,"")</f>
        <v/>
      </c>
      <c r="E1065" s="9" t="str">
        <f>IF(AND(NEGOCIAÇÕES!B1065&lt;&gt;"",NEGOCIAÇÕES!O1065=""),NEGOCIAÇÕES!N1065,"")</f>
        <v/>
      </c>
    </row>
    <row r="1066" spans="2:5" ht="31.95" hidden="1" customHeight="1" x14ac:dyDescent="0.3">
      <c r="B1066" s="6" t="str">
        <f ca="1">IF(AND(NEGOCIAÇÕES!O1066="",NEGOCIAÇÕES!N1066&gt;TODAY()),NEGOCIAÇÕES!C1066,"")</f>
        <v/>
      </c>
      <c r="C1066" s="6" t="str">
        <f ca="1">IF(AND(NEGOCIAÇÕES!O1066="",NEGOCIAÇÕES!N1066&gt;TODAY()),NEGOCIAÇÕES!E1066,"")</f>
        <v/>
      </c>
      <c r="D1066" s="6" t="str">
        <f ca="1">IF(AND(NEGOCIAÇÕES!O1066="",NEGOCIAÇÕES!N1066&gt;TODAY()),NEGOCIAÇÕES!D1066,"")</f>
        <v/>
      </c>
      <c r="E1066" s="9" t="str">
        <f>IF(AND(NEGOCIAÇÕES!B1066&lt;&gt;"",NEGOCIAÇÕES!O1066=""),NEGOCIAÇÕES!N1066,"")</f>
        <v/>
      </c>
    </row>
    <row r="1067" spans="2:5" ht="31.95" hidden="1" customHeight="1" x14ac:dyDescent="0.3">
      <c r="B1067" s="6" t="str">
        <f ca="1">IF(AND(NEGOCIAÇÕES!O1067="",NEGOCIAÇÕES!N1067&gt;TODAY()),NEGOCIAÇÕES!C1067,"")</f>
        <v/>
      </c>
      <c r="C1067" s="6" t="str">
        <f ca="1">IF(AND(NEGOCIAÇÕES!O1067="",NEGOCIAÇÕES!N1067&gt;TODAY()),NEGOCIAÇÕES!E1067,"")</f>
        <v/>
      </c>
      <c r="D1067" s="6" t="str">
        <f ca="1">IF(AND(NEGOCIAÇÕES!O1067="",NEGOCIAÇÕES!N1067&gt;TODAY()),NEGOCIAÇÕES!D1067,"")</f>
        <v/>
      </c>
      <c r="E1067" s="9" t="str">
        <f>IF(AND(NEGOCIAÇÕES!B1067&lt;&gt;"",NEGOCIAÇÕES!O1067=""),NEGOCIAÇÕES!N1067,"")</f>
        <v/>
      </c>
    </row>
    <row r="1068" spans="2:5" ht="31.95" hidden="1" customHeight="1" x14ac:dyDescent="0.3">
      <c r="B1068" s="6" t="str">
        <f ca="1">IF(AND(NEGOCIAÇÕES!O1068="",NEGOCIAÇÕES!N1068&gt;TODAY()),NEGOCIAÇÕES!C1068,"")</f>
        <v/>
      </c>
      <c r="C1068" s="6" t="str">
        <f ca="1">IF(AND(NEGOCIAÇÕES!O1068="",NEGOCIAÇÕES!N1068&gt;TODAY()),NEGOCIAÇÕES!E1068,"")</f>
        <v/>
      </c>
      <c r="D1068" s="6" t="str">
        <f ca="1">IF(AND(NEGOCIAÇÕES!O1068="",NEGOCIAÇÕES!N1068&gt;TODAY()),NEGOCIAÇÕES!D1068,"")</f>
        <v/>
      </c>
      <c r="E1068" s="9" t="str">
        <f>IF(AND(NEGOCIAÇÕES!B1068&lt;&gt;"",NEGOCIAÇÕES!O1068=""),NEGOCIAÇÕES!N1068,"")</f>
        <v/>
      </c>
    </row>
    <row r="1069" spans="2:5" ht="31.95" hidden="1" customHeight="1" x14ac:dyDescent="0.3">
      <c r="B1069" s="6" t="str">
        <f ca="1">IF(AND(NEGOCIAÇÕES!O1069="",NEGOCIAÇÕES!N1069&gt;TODAY()),NEGOCIAÇÕES!C1069,"")</f>
        <v/>
      </c>
      <c r="C1069" s="6" t="str">
        <f ca="1">IF(AND(NEGOCIAÇÕES!O1069="",NEGOCIAÇÕES!N1069&gt;TODAY()),NEGOCIAÇÕES!E1069,"")</f>
        <v/>
      </c>
      <c r="D1069" s="6" t="str">
        <f ca="1">IF(AND(NEGOCIAÇÕES!O1069="",NEGOCIAÇÕES!N1069&gt;TODAY()),NEGOCIAÇÕES!D1069,"")</f>
        <v/>
      </c>
      <c r="E1069" s="9" t="str">
        <f>IF(AND(NEGOCIAÇÕES!B1069&lt;&gt;"",NEGOCIAÇÕES!O1069=""),NEGOCIAÇÕES!N1069,"")</f>
        <v/>
      </c>
    </row>
    <row r="1070" spans="2:5" ht="31.95" hidden="1" customHeight="1" x14ac:dyDescent="0.3">
      <c r="B1070" s="6" t="str">
        <f ca="1">IF(AND(NEGOCIAÇÕES!O1070="",NEGOCIAÇÕES!N1070&gt;TODAY()),NEGOCIAÇÕES!C1070,"")</f>
        <v/>
      </c>
      <c r="C1070" s="6" t="str">
        <f ca="1">IF(AND(NEGOCIAÇÕES!O1070="",NEGOCIAÇÕES!N1070&gt;TODAY()),NEGOCIAÇÕES!E1070,"")</f>
        <v/>
      </c>
      <c r="D1070" s="6" t="str">
        <f ca="1">IF(AND(NEGOCIAÇÕES!O1070="",NEGOCIAÇÕES!N1070&gt;TODAY()),NEGOCIAÇÕES!D1070,"")</f>
        <v/>
      </c>
      <c r="E1070" s="9" t="str">
        <f>IF(AND(NEGOCIAÇÕES!B1070&lt;&gt;"",NEGOCIAÇÕES!O1070=""),NEGOCIAÇÕES!N1070,"")</f>
        <v/>
      </c>
    </row>
    <row r="1071" spans="2:5" ht="31.95" hidden="1" customHeight="1" x14ac:dyDescent="0.3">
      <c r="B1071" s="6" t="str">
        <f ca="1">IF(AND(NEGOCIAÇÕES!O1071="",NEGOCIAÇÕES!N1071&gt;TODAY()),NEGOCIAÇÕES!C1071,"")</f>
        <v/>
      </c>
      <c r="C1071" s="6" t="str">
        <f ca="1">IF(AND(NEGOCIAÇÕES!O1071="",NEGOCIAÇÕES!N1071&gt;TODAY()),NEGOCIAÇÕES!E1071,"")</f>
        <v/>
      </c>
      <c r="D1071" s="6" t="str">
        <f ca="1">IF(AND(NEGOCIAÇÕES!O1071="",NEGOCIAÇÕES!N1071&gt;TODAY()),NEGOCIAÇÕES!D1071,"")</f>
        <v/>
      </c>
      <c r="E1071" s="9" t="str">
        <f>IF(AND(NEGOCIAÇÕES!B1071&lt;&gt;"",NEGOCIAÇÕES!O1071=""),NEGOCIAÇÕES!N1071,"")</f>
        <v/>
      </c>
    </row>
    <row r="1072" spans="2:5" ht="31.95" hidden="1" customHeight="1" x14ac:dyDescent="0.3">
      <c r="B1072" s="6" t="str">
        <f ca="1">IF(AND(NEGOCIAÇÕES!O1072="",NEGOCIAÇÕES!N1072&gt;TODAY()),NEGOCIAÇÕES!C1072,"")</f>
        <v/>
      </c>
      <c r="C1072" s="6" t="str">
        <f ca="1">IF(AND(NEGOCIAÇÕES!O1072="",NEGOCIAÇÕES!N1072&gt;TODAY()),NEGOCIAÇÕES!E1072,"")</f>
        <v/>
      </c>
      <c r="D1072" s="6" t="str">
        <f ca="1">IF(AND(NEGOCIAÇÕES!O1072="",NEGOCIAÇÕES!N1072&gt;TODAY()),NEGOCIAÇÕES!D1072,"")</f>
        <v/>
      </c>
      <c r="E1072" s="9" t="str">
        <f>IF(AND(NEGOCIAÇÕES!B1072&lt;&gt;"",NEGOCIAÇÕES!O1072=""),NEGOCIAÇÕES!N1072,"")</f>
        <v/>
      </c>
    </row>
    <row r="1073" spans="2:5" ht="31.95" hidden="1" customHeight="1" x14ac:dyDescent="0.3">
      <c r="B1073" s="6" t="str">
        <f ca="1">IF(AND(NEGOCIAÇÕES!O1073="",NEGOCIAÇÕES!N1073&gt;TODAY()),NEGOCIAÇÕES!C1073,"")</f>
        <v/>
      </c>
      <c r="C1073" s="6" t="str">
        <f ca="1">IF(AND(NEGOCIAÇÕES!O1073="",NEGOCIAÇÕES!N1073&gt;TODAY()),NEGOCIAÇÕES!E1073,"")</f>
        <v/>
      </c>
      <c r="D1073" s="6" t="str">
        <f ca="1">IF(AND(NEGOCIAÇÕES!O1073="",NEGOCIAÇÕES!N1073&gt;TODAY()),NEGOCIAÇÕES!D1073,"")</f>
        <v/>
      </c>
      <c r="E1073" s="9" t="str">
        <f>IF(AND(NEGOCIAÇÕES!B1073&lt;&gt;"",NEGOCIAÇÕES!O1073=""),NEGOCIAÇÕES!N1073,"")</f>
        <v/>
      </c>
    </row>
    <row r="1074" spans="2:5" ht="31.95" hidden="1" customHeight="1" x14ac:dyDescent="0.3">
      <c r="B1074" s="6" t="str">
        <f ca="1">IF(AND(NEGOCIAÇÕES!O1074="",NEGOCIAÇÕES!N1074&gt;TODAY()),NEGOCIAÇÕES!C1074,"")</f>
        <v/>
      </c>
      <c r="C1074" s="6" t="str">
        <f ca="1">IF(AND(NEGOCIAÇÕES!O1074="",NEGOCIAÇÕES!N1074&gt;TODAY()),NEGOCIAÇÕES!E1074,"")</f>
        <v/>
      </c>
      <c r="D1074" s="6" t="str">
        <f ca="1">IF(AND(NEGOCIAÇÕES!O1074="",NEGOCIAÇÕES!N1074&gt;TODAY()),NEGOCIAÇÕES!D1074,"")</f>
        <v/>
      </c>
      <c r="E1074" s="9" t="str">
        <f>IF(AND(NEGOCIAÇÕES!B1074&lt;&gt;"",NEGOCIAÇÕES!O1074=""),NEGOCIAÇÕES!N1074,"")</f>
        <v/>
      </c>
    </row>
    <row r="1075" spans="2:5" ht="31.95" hidden="1" customHeight="1" x14ac:dyDescent="0.3">
      <c r="B1075" s="6" t="str">
        <f ca="1">IF(AND(NEGOCIAÇÕES!O1075="",NEGOCIAÇÕES!N1075&gt;TODAY()),NEGOCIAÇÕES!C1075,"")</f>
        <v/>
      </c>
      <c r="C1075" s="6" t="str">
        <f ca="1">IF(AND(NEGOCIAÇÕES!O1075="",NEGOCIAÇÕES!N1075&gt;TODAY()),NEGOCIAÇÕES!E1075,"")</f>
        <v/>
      </c>
      <c r="D1075" s="6" t="str">
        <f ca="1">IF(AND(NEGOCIAÇÕES!O1075="",NEGOCIAÇÕES!N1075&gt;TODAY()),NEGOCIAÇÕES!D1075,"")</f>
        <v/>
      </c>
      <c r="E1075" s="9" t="str">
        <f>IF(AND(NEGOCIAÇÕES!B1075&lt;&gt;"",NEGOCIAÇÕES!O1075=""),NEGOCIAÇÕES!N1075,"")</f>
        <v/>
      </c>
    </row>
    <row r="1076" spans="2:5" ht="31.95" hidden="1" customHeight="1" x14ac:dyDescent="0.3">
      <c r="B1076" s="6" t="str">
        <f ca="1">IF(AND(NEGOCIAÇÕES!O1076="",NEGOCIAÇÕES!N1076&gt;TODAY()),NEGOCIAÇÕES!C1076,"")</f>
        <v/>
      </c>
      <c r="C1076" s="6" t="str">
        <f ca="1">IF(AND(NEGOCIAÇÕES!O1076="",NEGOCIAÇÕES!N1076&gt;TODAY()),NEGOCIAÇÕES!E1076,"")</f>
        <v/>
      </c>
      <c r="D1076" s="6" t="str">
        <f ca="1">IF(AND(NEGOCIAÇÕES!O1076="",NEGOCIAÇÕES!N1076&gt;TODAY()),NEGOCIAÇÕES!D1076,"")</f>
        <v/>
      </c>
      <c r="E1076" s="9" t="str">
        <f>IF(AND(NEGOCIAÇÕES!B1076&lt;&gt;"",NEGOCIAÇÕES!O1076=""),NEGOCIAÇÕES!N1076,"")</f>
        <v/>
      </c>
    </row>
    <row r="1077" spans="2:5" ht="31.95" hidden="1" customHeight="1" x14ac:dyDescent="0.3">
      <c r="B1077" s="6" t="str">
        <f ca="1">IF(AND(NEGOCIAÇÕES!O1077="",NEGOCIAÇÕES!N1077&gt;TODAY()),NEGOCIAÇÕES!C1077,"")</f>
        <v/>
      </c>
      <c r="C1077" s="6" t="str">
        <f ca="1">IF(AND(NEGOCIAÇÕES!O1077="",NEGOCIAÇÕES!N1077&gt;TODAY()),NEGOCIAÇÕES!E1077,"")</f>
        <v/>
      </c>
      <c r="D1077" s="6" t="str">
        <f ca="1">IF(AND(NEGOCIAÇÕES!O1077="",NEGOCIAÇÕES!N1077&gt;TODAY()),NEGOCIAÇÕES!D1077,"")</f>
        <v/>
      </c>
      <c r="E1077" s="9" t="str">
        <f>IF(AND(NEGOCIAÇÕES!B1077&lt;&gt;"",NEGOCIAÇÕES!O1077=""),NEGOCIAÇÕES!N1077,"")</f>
        <v/>
      </c>
    </row>
    <row r="1078" spans="2:5" ht="31.95" hidden="1" customHeight="1" x14ac:dyDescent="0.3">
      <c r="B1078" s="6" t="str">
        <f ca="1">IF(AND(NEGOCIAÇÕES!O1078="",NEGOCIAÇÕES!N1078&gt;TODAY()),NEGOCIAÇÕES!C1078,"")</f>
        <v/>
      </c>
      <c r="C1078" s="6" t="str">
        <f ca="1">IF(AND(NEGOCIAÇÕES!O1078="",NEGOCIAÇÕES!N1078&gt;TODAY()),NEGOCIAÇÕES!E1078,"")</f>
        <v/>
      </c>
      <c r="D1078" s="6" t="str">
        <f ca="1">IF(AND(NEGOCIAÇÕES!O1078="",NEGOCIAÇÕES!N1078&gt;TODAY()),NEGOCIAÇÕES!D1078,"")</f>
        <v/>
      </c>
      <c r="E1078" s="9" t="str">
        <f>IF(AND(NEGOCIAÇÕES!B1078&lt;&gt;"",NEGOCIAÇÕES!O1078=""),NEGOCIAÇÕES!N1078,"")</f>
        <v/>
      </c>
    </row>
    <row r="1079" spans="2:5" ht="31.95" hidden="1" customHeight="1" x14ac:dyDescent="0.3">
      <c r="B1079" s="6" t="str">
        <f ca="1">IF(AND(NEGOCIAÇÕES!O1079="",NEGOCIAÇÕES!N1079&gt;TODAY()),NEGOCIAÇÕES!C1079,"")</f>
        <v/>
      </c>
      <c r="C1079" s="6" t="str">
        <f ca="1">IF(AND(NEGOCIAÇÕES!O1079="",NEGOCIAÇÕES!N1079&gt;TODAY()),NEGOCIAÇÕES!E1079,"")</f>
        <v/>
      </c>
      <c r="D1079" s="6" t="str">
        <f ca="1">IF(AND(NEGOCIAÇÕES!O1079="",NEGOCIAÇÕES!N1079&gt;TODAY()),NEGOCIAÇÕES!D1079,"")</f>
        <v/>
      </c>
      <c r="E1079" s="9" t="str">
        <f>IF(AND(NEGOCIAÇÕES!B1079&lt;&gt;"",NEGOCIAÇÕES!O1079=""),NEGOCIAÇÕES!N1079,"")</f>
        <v/>
      </c>
    </row>
    <row r="1080" spans="2:5" ht="31.95" hidden="1" customHeight="1" x14ac:dyDescent="0.3">
      <c r="B1080" s="6" t="str">
        <f ca="1">IF(AND(NEGOCIAÇÕES!O1080="",NEGOCIAÇÕES!N1080&gt;TODAY()),NEGOCIAÇÕES!C1080,"")</f>
        <v/>
      </c>
      <c r="C1080" s="6" t="str">
        <f ca="1">IF(AND(NEGOCIAÇÕES!O1080="",NEGOCIAÇÕES!N1080&gt;TODAY()),NEGOCIAÇÕES!E1080,"")</f>
        <v/>
      </c>
      <c r="D1080" s="6" t="str">
        <f ca="1">IF(AND(NEGOCIAÇÕES!O1080="",NEGOCIAÇÕES!N1080&gt;TODAY()),NEGOCIAÇÕES!D1080,"")</f>
        <v/>
      </c>
      <c r="E1080" s="9" t="str">
        <f>IF(AND(NEGOCIAÇÕES!B1080&lt;&gt;"",NEGOCIAÇÕES!O1080=""),NEGOCIAÇÕES!N1080,"")</f>
        <v/>
      </c>
    </row>
    <row r="1081" spans="2:5" ht="31.95" hidden="1" customHeight="1" x14ac:dyDescent="0.3">
      <c r="B1081" s="6" t="str">
        <f ca="1">IF(AND(NEGOCIAÇÕES!O1081="",NEGOCIAÇÕES!N1081&gt;TODAY()),NEGOCIAÇÕES!C1081,"")</f>
        <v/>
      </c>
      <c r="C1081" s="6" t="str">
        <f ca="1">IF(AND(NEGOCIAÇÕES!O1081="",NEGOCIAÇÕES!N1081&gt;TODAY()),NEGOCIAÇÕES!E1081,"")</f>
        <v/>
      </c>
      <c r="D1081" s="6" t="str">
        <f ca="1">IF(AND(NEGOCIAÇÕES!O1081="",NEGOCIAÇÕES!N1081&gt;TODAY()),NEGOCIAÇÕES!D1081,"")</f>
        <v/>
      </c>
      <c r="E1081" s="9" t="str">
        <f>IF(AND(NEGOCIAÇÕES!B1081&lt;&gt;"",NEGOCIAÇÕES!O1081=""),NEGOCIAÇÕES!N1081,"")</f>
        <v/>
      </c>
    </row>
    <row r="1082" spans="2:5" ht="31.95" hidden="1" customHeight="1" x14ac:dyDescent="0.3">
      <c r="B1082" s="6" t="str">
        <f ca="1">IF(AND(NEGOCIAÇÕES!O1082="",NEGOCIAÇÕES!N1082&gt;TODAY()),NEGOCIAÇÕES!C1082,"")</f>
        <v/>
      </c>
      <c r="C1082" s="6" t="str">
        <f ca="1">IF(AND(NEGOCIAÇÕES!O1082="",NEGOCIAÇÕES!N1082&gt;TODAY()),NEGOCIAÇÕES!E1082,"")</f>
        <v/>
      </c>
      <c r="D1082" s="6" t="str">
        <f ca="1">IF(AND(NEGOCIAÇÕES!O1082="",NEGOCIAÇÕES!N1082&gt;TODAY()),NEGOCIAÇÕES!D1082,"")</f>
        <v/>
      </c>
      <c r="E1082" s="9" t="str">
        <f>IF(AND(NEGOCIAÇÕES!B1082&lt;&gt;"",NEGOCIAÇÕES!O1082=""),NEGOCIAÇÕES!N1082,"")</f>
        <v/>
      </c>
    </row>
    <row r="1083" spans="2:5" ht="31.95" hidden="1" customHeight="1" x14ac:dyDescent="0.3">
      <c r="B1083" s="6" t="str">
        <f ca="1">IF(AND(NEGOCIAÇÕES!O1083="",NEGOCIAÇÕES!N1083&gt;TODAY()),NEGOCIAÇÕES!C1083,"")</f>
        <v/>
      </c>
      <c r="C1083" s="6" t="str">
        <f ca="1">IF(AND(NEGOCIAÇÕES!O1083="",NEGOCIAÇÕES!N1083&gt;TODAY()),NEGOCIAÇÕES!E1083,"")</f>
        <v/>
      </c>
      <c r="D1083" s="6" t="str">
        <f ca="1">IF(AND(NEGOCIAÇÕES!O1083="",NEGOCIAÇÕES!N1083&gt;TODAY()),NEGOCIAÇÕES!D1083,"")</f>
        <v/>
      </c>
      <c r="E1083" s="9" t="str">
        <f>IF(AND(NEGOCIAÇÕES!B1083&lt;&gt;"",NEGOCIAÇÕES!O1083=""),NEGOCIAÇÕES!N1083,"")</f>
        <v/>
      </c>
    </row>
    <row r="1084" spans="2:5" ht="31.95" hidden="1" customHeight="1" x14ac:dyDescent="0.3">
      <c r="B1084" s="6" t="str">
        <f ca="1">IF(AND(NEGOCIAÇÕES!O1084="",NEGOCIAÇÕES!N1084&gt;TODAY()),NEGOCIAÇÕES!C1084,"")</f>
        <v/>
      </c>
      <c r="C1084" s="6" t="str">
        <f ca="1">IF(AND(NEGOCIAÇÕES!O1084="",NEGOCIAÇÕES!N1084&gt;TODAY()),NEGOCIAÇÕES!E1084,"")</f>
        <v/>
      </c>
      <c r="D1084" s="6" t="str">
        <f ca="1">IF(AND(NEGOCIAÇÕES!O1084="",NEGOCIAÇÕES!N1084&gt;TODAY()),NEGOCIAÇÕES!D1084,"")</f>
        <v/>
      </c>
      <c r="E1084" s="9" t="str">
        <f>IF(AND(NEGOCIAÇÕES!B1084&lt;&gt;"",NEGOCIAÇÕES!O1084=""),NEGOCIAÇÕES!N1084,"")</f>
        <v/>
      </c>
    </row>
    <row r="1085" spans="2:5" ht="31.95" hidden="1" customHeight="1" x14ac:dyDescent="0.3">
      <c r="B1085" s="6" t="str">
        <f ca="1">IF(AND(NEGOCIAÇÕES!O1085="",NEGOCIAÇÕES!N1085&gt;TODAY()),NEGOCIAÇÕES!C1085,"")</f>
        <v/>
      </c>
      <c r="C1085" s="6" t="str">
        <f ca="1">IF(AND(NEGOCIAÇÕES!O1085="",NEGOCIAÇÕES!N1085&gt;TODAY()),NEGOCIAÇÕES!E1085,"")</f>
        <v/>
      </c>
      <c r="D1085" s="6" t="str">
        <f ca="1">IF(AND(NEGOCIAÇÕES!O1085="",NEGOCIAÇÕES!N1085&gt;TODAY()),NEGOCIAÇÕES!D1085,"")</f>
        <v/>
      </c>
      <c r="E1085" s="9" t="str">
        <f>IF(AND(NEGOCIAÇÕES!B1085&lt;&gt;"",NEGOCIAÇÕES!O1085=""),NEGOCIAÇÕES!N1085,"")</f>
        <v/>
      </c>
    </row>
    <row r="1086" spans="2:5" ht="31.95" hidden="1" customHeight="1" x14ac:dyDescent="0.3">
      <c r="B1086" s="6" t="str">
        <f ca="1">IF(AND(NEGOCIAÇÕES!O1086="",NEGOCIAÇÕES!N1086&gt;TODAY()),NEGOCIAÇÕES!C1086,"")</f>
        <v/>
      </c>
      <c r="C1086" s="6" t="str">
        <f ca="1">IF(AND(NEGOCIAÇÕES!O1086="",NEGOCIAÇÕES!N1086&gt;TODAY()),NEGOCIAÇÕES!E1086,"")</f>
        <v/>
      </c>
      <c r="D1086" s="6" t="str">
        <f ca="1">IF(AND(NEGOCIAÇÕES!O1086="",NEGOCIAÇÕES!N1086&gt;TODAY()),NEGOCIAÇÕES!D1086,"")</f>
        <v/>
      </c>
      <c r="E1086" s="9" t="str">
        <f>IF(AND(NEGOCIAÇÕES!B1086&lt;&gt;"",NEGOCIAÇÕES!O1086=""),NEGOCIAÇÕES!N1086,"")</f>
        <v/>
      </c>
    </row>
    <row r="1087" spans="2:5" ht="31.95" hidden="1" customHeight="1" x14ac:dyDescent="0.3">
      <c r="B1087" s="6" t="str">
        <f ca="1">IF(AND(NEGOCIAÇÕES!O1087="",NEGOCIAÇÕES!N1087&gt;TODAY()),NEGOCIAÇÕES!C1087,"")</f>
        <v/>
      </c>
      <c r="C1087" s="6" t="str">
        <f ca="1">IF(AND(NEGOCIAÇÕES!O1087="",NEGOCIAÇÕES!N1087&gt;TODAY()),NEGOCIAÇÕES!E1087,"")</f>
        <v/>
      </c>
      <c r="D1087" s="6" t="str">
        <f ca="1">IF(AND(NEGOCIAÇÕES!O1087="",NEGOCIAÇÕES!N1087&gt;TODAY()),NEGOCIAÇÕES!D1087,"")</f>
        <v/>
      </c>
      <c r="E1087" s="9" t="str">
        <f>IF(AND(NEGOCIAÇÕES!B1087&lt;&gt;"",NEGOCIAÇÕES!O1087=""),NEGOCIAÇÕES!N1087,"")</f>
        <v/>
      </c>
    </row>
    <row r="1088" spans="2:5" ht="31.95" hidden="1" customHeight="1" x14ac:dyDescent="0.3">
      <c r="B1088" s="6" t="str">
        <f ca="1">IF(AND(NEGOCIAÇÕES!O1088="",NEGOCIAÇÕES!N1088&gt;TODAY()),NEGOCIAÇÕES!C1088,"")</f>
        <v/>
      </c>
      <c r="C1088" s="6" t="str">
        <f ca="1">IF(AND(NEGOCIAÇÕES!O1088="",NEGOCIAÇÕES!N1088&gt;TODAY()),NEGOCIAÇÕES!E1088,"")</f>
        <v/>
      </c>
      <c r="D1088" s="6" t="str">
        <f ca="1">IF(AND(NEGOCIAÇÕES!O1088="",NEGOCIAÇÕES!N1088&gt;TODAY()),NEGOCIAÇÕES!D1088,"")</f>
        <v/>
      </c>
      <c r="E1088" s="9" t="str">
        <f>IF(AND(NEGOCIAÇÕES!B1088&lt;&gt;"",NEGOCIAÇÕES!O1088=""),NEGOCIAÇÕES!N1088,"")</f>
        <v/>
      </c>
    </row>
    <row r="1089" spans="2:5" ht="31.95" hidden="1" customHeight="1" x14ac:dyDescent="0.3">
      <c r="B1089" s="6" t="str">
        <f ca="1">IF(AND(NEGOCIAÇÕES!O1089="",NEGOCIAÇÕES!N1089&gt;TODAY()),NEGOCIAÇÕES!C1089,"")</f>
        <v/>
      </c>
      <c r="C1089" s="6" t="str">
        <f ca="1">IF(AND(NEGOCIAÇÕES!O1089="",NEGOCIAÇÕES!N1089&gt;TODAY()),NEGOCIAÇÕES!E1089,"")</f>
        <v/>
      </c>
      <c r="D1089" s="6" t="str">
        <f ca="1">IF(AND(NEGOCIAÇÕES!O1089="",NEGOCIAÇÕES!N1089&gt;TODAY()),NEGOCIAÇÕES!D1089,"")</f>
        <v/>
      </c>
      <c r="E1089" s="9" t="str">
        <f>IF(AND(NEGOCIAÇÕES!B1089&lt;&gt;"",NEGOCIAÇÕES!O1089=""),NEGOCIAÇÕES!N1089,"")</f>
        <v/>
      </c>
    </row>
    <row r="1090" spans="2:5" ht="31.95" hidden="1" customHeight="1" x14ac:dyDescent="0.3">
      <c r="B1090" s="6" t="str">
        <f ca="1">IF(AND(NEGOCIAÇÕES!O1090="",NEGOCIAÇÕES!N1090&gt;TODAY()),NEGOCIAÇÕES!C1090,"")</f>
        <v/>
      </c>
      <c r="C1090" s="6" t="str">
        <f ca="1">IF(AND(NEGOCIAÇÕES!O1090="",NEGOCIAÇÕES!N1090&gt;TODAY()),NEGOCIAÇÕES!E1090,"")</f>
        <v/>
      </c>
      <c r="D1090" s="6" t="str">
        <f ca="1">IF(AND(NEGOCIAÇÕES!O1090="",NEGOCIAÇÕES!N1090&gt;TODAY()),NEGOCIAÇÕES!D1090,"")</f>
        <v/>
      </c>
      <c r="E1090" s="9" t="str">
        <f>IF(AND(NEGOCIAÇÕES!B1090&lt;&gt;"",NEGOCIAÇÕES!O1090=""),NEGOCIAÇÕES!N1090,"")</f>
        <v/>
      </c>
    </row>
    <row r="1091" spans="2:5" ht="31.95" hidden="1" customHeight="1" x14ac:dyDescent="0.3">
      <c r="B1091" s="6" t="str">
        <f ca="1">IF(AND(NEGOCIAÇÕES!O1091="",NEGOCIAÇÕES!N1091&gt;TODAY()),NEGOCIAÇÕES!C1091,"")</f>
        <v/>
      </c>
      <c r="C1091" s="6" t="str">
        <f ca="1">IF(AND(NEGOCIAÇÕES!O1091="",NEGOCIAÇÕES!N1091&gt;TODAY()),NEGOCIAÇÕES!E1091,"")</f>
        <v/>
      </c>
      <c r="D1091" s="6" t="str">
        <f ca="1">IF(AND(NEGOCIAÇÕES!O1091="",NEGOCIAÇÕES!N1091&gt;TODAY()),NEGOCIAÇÕES!D1091,"")</f>
        <v/>
      </c>
      <c r="E1091" s="9" t="str">
        <f>IF(AND(NEGOCIAÇÕES!B1091&lt;&gt;"",NEGOCIAÇÕES!O1091=""),NEGOCIAÇÕES!N1091,"")</f>
        <v/>
      </c>
    </row>
    <row r="1092" spans="2:5" ht="31.95" hidden="1" customHeight="1" x14ac:dyDescent="0.3">
      <c r="B1092" s="6" t="str">
        <f ca="1">IF(AND(NEGOCIAÇÕES!O1092="",NEGOCIAÇÕES!N1092&gt;TODAY()),NEGOCIAÇÕES!C1092,"")</f>
        <v/>
      </c>
      <c r="C1092" s="6" t="str">
        <f ca="1">IF(AND(NEGOCIAÇÕES!O1092="",NEGOCIAÇÕES!N1092&gt;TODAY()),NEGOCIAÇÕES!E1092,"")</f>
        <v/>
      </c>
      <c r="D1092" s="6" t="str">
        <f ca="1">IF(AND(NEGOCIAÇÕES!O1092="",NEGOCIAÇÕES!N1092&gt;TODAY()),NEGOCIAÇÕES!D1092,"")</f>
        <v/>
      </c>
      <c r="E1092" s="9" t="str">
        <f>IF(AND(NEGOCIAÇÕES!B1092&lt;&gt;"",NEGOCIAÇÕES!O1092=""),NEGOCIAÇÕES!N1092,"")</f>
        <v/>
      </c>
    </row>
    <row r="1093" spans="2:5" ht="31.95" hidden="1" customHeight="1" x14ac:dyDescent="0.3">
      <c r="B1093" s="6" t="str">
        <f ca="1">IF(AND(NEGOCIAÇÕES!O1093="",NEGOCIAÇÕES!N1093&gt;TODAY()),NEGOCIAÇÕES!C1093,"")</f>
        <v/>
      </c>
      <c r="C1093" s="6" t="str">
        <f ca="1">IF(AND(NEGOCIAÇÕES!O1093="",NEGOCIAÇÕES!N1093&gt;TODAY()),NEGOCIAÇÕES!E1093,"")</f>
        <v/>
      </c>
      <c r="D1093" s="6" t="str">
        <f ca="1">IF(AND(NEGOCIAÇÕES!O1093="",NEGOCIAÇÕES!N1093&gt;TODAY()),NEGOCIAÇÕES!D1093,"")</f>
        <v/>
      </c>
      <c r="E1093" s="9" t="str">
        <f>IF(AND(NEGOCIAÇÕES!B1093&lt;&gt;"",NEGOCIAÇÕES!O1093=""),NEGOCIAÇÕES!N1093,"")</f>
        <v/>
      </c>
    </row>
    <row r="1094" spans="2:5" ht="31.95" hidden="1" customHeight="1" x14ac:dyDescent="0.3">
      <c r="B1094" s="6" t="str">
        <f ca="1">IF(AND(NEGOCIAÇÕES!O1094="",NEGOCIAÇÕES!N1094&gt;TODAY()),NEGOCIAÇÕES!C1094,"")</f>
        <v/>
      </c>
      <c r="C1094" s="6" t="str">
        <f ca="1">IF(AND(NEGOCIAÇÕES!O1094="",NEGOCIAÇÕES!N1094&gt;TODAY()),NEGOCIAÇÕES!E1094,"")</f>
        <v/>
      </c>
      <c r="D1094" s="6" t="str">
        <f ca="1">IF(AND(NEGOCIAÇÕES!O1094="",NEGOCIAÇÕES!N1094&gt;TODAY()),NEGOCIAÇÕES!D1094,"")</f>
        <v/>
      </c>
      <c r="E1094" s="9" t="str">
        <f>IF(AND(NEGOCIAÇÕES!B1094&lt;&gt;"",NEGOCIAÇÕES!O1094=""),NEGOCIAÇÕES!N1094,"")</f>
        <v/>
      </c>
    </row>
    <row r="1095" spans="2:5" ht="31.95" hidden="1" customHeight="1" x14ac:dyDescent="0.3">
      <c r="B1095" s="6" t="str">
        <f ca="1">IF(AND(NEGOCIAÇÕES!O1095="",NEGOCIAÇÕES!N1095&gt;TODAY()),NEGOCIAÇÕES!C1095,"")</f>
        <v/>
      </c>
      <c r="C1095" s="6" t="str">
        <f ca="1">IF(AND(NEGOCIAÇÕES!O1095="",NEGOCIAÇÕES!N1095&gt;TODAY()),NEGOCIAÇÕES!E1095,"")</f>
        <v/>
      </c>
      <c r="D1095" s="6" t="str">
        <f ca="1">IF(AND(NEGOCIAÇÕES!O1095="",NEGOCIAÇÕES!N1095&gt;TODAY()),NEGOCIAÇÕES!D1095,"")</f>
        <v/>
      </c>
      <c r="E1095" s="9" t="str">
        <f>IF(AND(NEGOCIAÇÕES!B1095&lt;&gt;"",NEGOCIAÇÕES!O1095=""),NEGOCIAÇÕES!N1095,"")</f>
        <v/>
      </c>
    </row>
    <row r="1096" spans="2:5" ht="31.95" hidden="1" customHeight="1" x14ac:dyDescent="0.3">
      <c r="B1096" s="6" t="str">
        <f ca="1">IF(AND(NEGOCIAÇÕES!O1096="",NEGOCIAÇÕES!N1096&gt;TODAY()),NEGOCIAÇÕES!C1096,"")</f>
        <v/>
      </c>
      <c r="C1096" s="6" t="str">
        <f ca="1">IF(AND(NEGOCIAÇÕES!O1096="",NEGOCIAÇÕES!N1096&gt;TODAY()),NEGOCIAÇÕES!E1096,"")</f>
        <v/>
      </c>
      <c r="D1096" s="6" t="str">
        <f ca="1">IF(AND(NEGOCIAÇÕES!O1096="",NEGOCIAÇÕES!N1096&gt;TODAY()),NEGOCIAÇÕES!D1096,"")</f>
        <v/>
      </c>
      <c r="E1096" s="9" t="str">
        <f>IF(AND(NEGOCIAÇÕES!B1096&lt;&gt;"",NEGOCIAÇÕES!O1096=""),NEGOCIAÇÕES!N1096,"")</f>
        <v/>
      </c>
    </row>
    <row r="1097" spans="2:5" ht="31.95" hidden="1" customHeight="1" x14ac:dyDescent="0.3">
      <c r="B1097" s="6" t="str">
        <f ca="1">IF(AND(NEGOCIAÇÕES!O1097="",NEGOCIAÇÕES!N1097&gt;TODAY()),NEGOCIAÇÕES!C1097,"")</f>
        <v/>
      </c>
      <c r="C1097" s="6" t="str">
        <f ca="1">IF(AND(NEGOCIAÇÕES!O1097="",NEGOCIAÇÕES!N1097&gt;TODAY()),NEGOCIAÇÕES!E1097,"")</f>
        <v/>
      </c>
      <c r="D1097" s="6" t="str">
        <f ca="1">IF(AND(NEGOCIAÇÕES!O1097="",NEGOCIAÇÕES!N1097&gt;TODAY()),NEGOCIAÇÕES!D1097,"")</f>
        <v/>
      </c>
      <c r="E1097" s="9" t="str">
        <f>IF(AND(NEGOCIAÇÕES!B1097&lt;&gt;"",NEGOCIAÇÕES!O1097=""),NEGOCIAÇÕES!N1097,"")</f>
        <v/>
      </c>
    </row>
    <row r="1098" spans="2:5" ht="31.95" hidden="1" customHeight="1" x14ac:dyDescent="0.3">
      <c r="B1098" s="6" t="str">
        <f ca="1">IF(AND(NEGOCIAÇÕES!O1098="",NEGOCIAÇÕES!N1098&gt;TODAY()),NEGOCIAÇÕES!C1098,"")</f>
        <v/>
      </c>
      <c r="C1098" s="6" t="str">
        <f ca="1">IF(AND(NEGOCIAÇÕES!O1098="",NEGOCIAÇÕES!N1098&gt;TODAY()),NEGOCIAÇÕES!E1098,"")</f>
        <v/>
      </c>
      <c r="D1098" s="6" t="str">
        <f ca="1">IF(AND(NEGOCIAÇÕES!O1098="",NEGOCIAÇÕES!N1098&gt;TODAY()),NEGOCIAÇÕES!D1098,"")</f>
        <v/>
      </c>
      <c r="E1098" s="9" t="str">
        <f>IF(AND(NEGOCIAÇÕES!B1098&lt;&gt;"",NEGOCIAÇÕES!O1098=""),NEGOCIAÇÕES!N1098,"")</f>
        <v/>
      </c>
    </row>
    <row r="1099" spans="2:5" ht="31.95" hidden="1" customHeight="1" x14ac:dyDescent="0.3">
      <c r="B1099" s="6" t="str">
        <f ca="1">IF(AND(NEGOCIAÇÕES!O1099="",NEGOCIAÇÕES!N1099&gt;TODAY()),NEGOCIAÇÕES!C1099,"")</f>
        <v/>
      </c>
      <c r="C1099" s="6" t="str">
        <f ca="1">IF(AND(NEGOCIAÇÕES!O1099="",NEGOCIAÇÕES!N1099&gt;TODAY()),NEGOCIAÇÕES!E1099,"")</f>
        <v/>
      </c>
      <c r="D1099" s="6" t="str">
        <f ca="1">IF(AND(NEGOCIAÇÕES!O1099="",NEGOCIAÇÕES!N1099&gt;TODAY()),NEGOCIAÇÕES!D1099,"")</f>
        <v/>
      </c>
      <c r="E1099" s="9" t="str">
        <f>IF(AND(NEGOCIAÇÕES!B1099&lt;&gt;"",NEGOCIAÇÕES!O1099=""),NEGOCIAÇÕES!N1099,"")</f>
        <v/>
      </c>
    </row>
    <row r="1100" spans="2:5" ht="31.95" hidden="1" customHeight="1" x14ac:dyDescent="0.3">
      <c r="B1100" s="6" t="str">
        <f ca="1">IF(AND(NEGOCIAÇÕES!O1100="",NEGOCIAÇÕES!N1100&gt;TODAY()),NEGOCIAÇÕES!C1100,"")</f>
        <v/>
      </c>
      <c r="C1100" s="6" t="str">
        <f ca="1">IF(AND(NEGOCIAÇÕES!O1100="",NEGOCIAÇÕES!N1100&gt;TODAY()),NEGOCIAÇÕES!E1100,"")</f>
        <v/>
      </c>
      <c r="D1100" s="6" t="str">
        <f ca="1">IF(AND(NEGOCIAÇÕES!O1100="",NEGOCIAÇÕES!N1100&gt;TODAY()),NEGOCIAÇÕES!D1100,"")</f>
        <v/>
      </c>
      <c r="E1100" s="9" t="str">
        <f>IF(AND(NEGOCIAÇÕES!B1100&lt;&gt;"",NEGOCIAÇÕES!O1100=""),NEGOCIAÇÕES!N1100,"")</f>
        <v/>
      </c>
    </row>
    <row r="1101" spans="2:5" ht="31.95" hidden="1" customHeight="1" x14ac:dyDescent="0.3">
      <c r="B1101" s="6" t="str">
        <f ca="1">IF(AND(NEGOCIAÇÕES!O1101="",NEGOCIAÇÕES!N1101&gt;TODAY()),NEGOCIAÇÕES!C1101,"")</f>
        <v/>
      </c>
      <c r="C1101" s="6" t="str">
        <f ca="1">IF(AND(NEGOCIAÇÕES!O1101="",NEGOCIAÇÕES!N1101&gt;TODAY()),NEGOCIAÇÕES!E1101,"")</f>
        <v/>
      </c>
      <c r="D1101" s="6" t="str">
        <f ca="1">IF(AND(NEGOCIAÇÕES!O1101="",NEGOCIAÇÕES!N1101&gt;TODAY()),NEGOCIAÇÕES!D1101,"")</f>
        <v/>
      </c>
      <c r="E1101" s="9" t="str">
        <f>IF(AND(NEGOCIAÇÕES!B1101&lt;&gt;"",NEGOCIAÇÕES!O1101=""),NEGOCIAÇÕES!N1101,"")</f>
        <v/>
      </c>
    </row>
    <row r="1102" spans="2:5" ht="31.95" hidden="1" customHeight="1" x14ac:dyDescent="0.3">
      <c r="B1102" s="6" t="str">
        <f ca="1">IF(AND(NEGOCIAÇÕES!O1102="",NEGOCIAÇÕES!N1102&gt;TODAY()),NEGOCIAÇÕES!C1102,"")</f>
        <v/>
      </c>
      <c r="C1102" s="6" t="str">
        <f ca="1">IF(AND(NEGOCIAÇÕES!O1102="",NEGOCIAÇÕES!N1102&gt;TODAY()),NEGOCIAÇÕES!E1102,"")</f>
        <v/>
      </c>
      <c r="D1102" s="6" t="str">
        <f ca="1">IF(AND(NEGOCIAÇÕES!O1102="",NEGOCIAÇÕES!N1102&gt;TODAY()),NEGOCIAÇÕES!D1102,"")</f>
        <v/>
      </c>
      <c r="E1102" s="9" t="str">
        <f>IF(AND(NEGOCIAÇÕES!B1102&lt;&gt;"",NEGOCIAÇÕES!O1102=""),NEGOCIAÇÕES!N1102,"")</f>
        <v/>
      </c>
    </row>
    <row r="1103" spans="2:5" ht="31.95" hidden="1" customHeight="1" x14ac:dyDescent="0.3">
      <c r="B1103" s="6" t="str">
        <f ca="1">IF(AND(NEGOCIAÇÕES!O1103="",NEGOCIAÇÕES!N1103&gt;TODAY()),NEGOCIAÇÕES!C1103,"")</f>
        <v/>
      </c>
      <c r="C1103" s="6" t="str">
        <f ca="1">IF(AND(NEGOCIAÇÕES!O1103="",NEGOCIAÇÕES!N1103&gt;TODAY()),NEGOCIAÇÕES!E1103,"")</f>
        <v/>
      </c>
      <c r="D1103" s="6" t="str">
        <f ca="1">IF(AND(NEGOCIAÇÕES!O1103="",NEGOCIAÇÕES!N1103&gt;TODAY()),NEGOCIAÇÕES!D1103,"")</f>
        <v/>
      </c>
      <c r="E1103" s="9" t="str">
        <f>IF(AND(NEGOCIAÇÕES!B1103&lt;&gt;"",NEGOCIAÇÕES!O1103=""),NEGOCIAÇÕES!N1103,"")</f>
        <v/>
      </c>
    </row>
    <row r="1104" spans="2:5" ht="31.95" hidden="1" customHeight="1" x14ac:dyDescent="0.3">
      <c r="B1104" s="6" t="str">
        <f ca="1">IF(AND(NEGOCIAÇÕES!O1104="",NEGOCIAÇÕES!N1104&gt;TODAY()),NEGOCIAÇÕES!C1104,"")</f>
        <v/>
      </c>
      <c r="C1104" s="6" t="str">
        <f ca="1">IF(AND(NEGOCIAÇÕES!O1104="",NEGOCIAÇÕES!N1104&gt;TODAY()),NEGOCIAÇÕES!E1104,"")</f>
        <v/>
      </c>
      <c r="D1104" s="6" t="str">
        <f ca="1">IF(AND(NEGOCIAÇÕES!O1104="",NEGOCIAÇÕES!N1104&gt;TODAY()),NEGOCIAÇÕES!D1104,"")</f>
        <v/>
      </c>
      <c r="E1104" s="9" t="str">
        <f>IF(AND(NEGOCIAÇÕES!B1104&lt;&gt;"",NEGOCIAÇÕES!O1104=""),NEGOCIAÇÕES!N1104,"")</f>
        <v/>
      </c>
    </row>
    <row r="1105" spans="2:5" ht="31.95" hidden="1" customHeight="1" x14ac:dyDescent="0.3">
      <c r="B1105" s="6" t="str">
        <f ca="1">IF(AND(NEGOCIAÇÕES!O1105="",NEGOCIAÇÕES!N1105&gt;TODAY()),NEGOCIAÇÕES!C1105,"")</f>
        <v/>
      </c>
      <c r="C1105" s="6" t="str">
        <f ca="1">IF(AND(NEGOCIAÇÕES!O1105="",NEGOCIAÇÕES!N1105&gt;TODAY()),NEGOCIAÇÕES!E1105,"")</f>
        <v/>
      </c>
      <c r="D1105" s="6" t="str">
        <f ca="1">IF(AND(NEGOCIAÇÕES!O1105="",NEGOCIAÇÕES!N1105&gt;TODAY()),NEGOCIAÇÕES!D1105,"")</f>
        <v/>
      </c>
      <c r="E1105" s="9" t="str">
        <f>IF(AND(NEGOCIAÇÕES!B1105&lt;&gt;"",NEGOCIAÇÕES!O1105=""),NEGOCIAÇÕES!N1105,"")</f>
        <v/>
      </c>
    </row>
    <row r="1106" spans="2:5" ht="31.95" hidden="1" customHeight="1" x14ac:dyDescent="0.3">
      <c r="B1106" s="6" t="str">
        <f ca="1">IF(AND(NEGOCIAÇÕES!O1106="",NEGOCIAÇÕES!N1106&gt;TODAY()),NEGOCIAÇÕES!C1106,"")</f>
        <v/>
      </c>
      <c r="C1106" s="6" t="str">
        <f ca="1">IF(AND(NEGOCIAÇÕES!O1106="",NEGOCIAÇÕES!N1106&gt;TODAY()),NEGOCIAÇÕES!E1106,"")</f>
        <v/>
      </c>
      <c r="D1106" s="6" t="str">
        <f ca="1">IF(AND(NEGOCIAÇÕES!O1106="",NEGOCIAÇÕES!N1106&gt;TODAY()),NEGOCIAÇÕES!D1106,"")</f>
        <v/>
      </c>
      <c r="E1106" s="9" t="str">
        <f>IF(AND(NEGOCIAÇÕES!B1106&lt;&gt;"",NEGOCIAÇÕES!O1106=""),NEGOCIAÇÕES!N1106,"")</f>
        <v/>
      </c>
    </row>
    <row r="1107" spans="2:5" ht="31.95" hidden="1" customHeight="1" x14ac:dyDescent="0.3">
      <c r="B1107" s="6" t="str">
        <f ca="1">IF(AND(NEGOCIAÇÕES!O1107="",NEGOCIAÇÕES!N1107&gt;TODAY()),NEGOCIAÇÕES!C1107,"")</f>
        <v/>
      </c>
      <c r="C1107" s="6" t="str">
        <f ca="1">IF(AND(NEGOCIAÇÕES!O1107="",NEGOCIAÇÕES!N1107&gt;TODAY()),NEGOCIAÇÕES!E1107,"")</f>
        <v/>
      </c>
      <c r="D1107" s="6" t="str">
        <f ca="1">IF(AND(NEGOCIAÇÕES!O1107="",NEGOCIAÇÕES!N1107&gt;TODAY()),NEGOCIAÇÕES!D1107,"")</f>
        <v/>
      </c>
      <c r="E1107" s="9" t="str">
        <f>IF(AND(NEGOCIAÇÕES!B1107&lt;&gt;"",NEGOCIAÇÕES!O1107=""),NEGOCIAÇÕES!N1107,"")</f>
        <v/>
      </c>
    </row>
    <row r="1108" spans="2:5" ht="31.95" hidden="1" customHeight="1" x14ac:dyDescent="0.3">
      <c r="B1108" s="6" t="str">
        <f ca="1">IF(AND(NEGOCIAÇÕES!O1108="",NEGOCIAÇÕES!N1108&gt;TODAY()),NEGOCIAÇÕES!C1108,"")</f>
        <v/>
      </c>
      <c r="C1108" s="6" t="str">
        <f ca="1">IF(AND(NEGOCIAÇÕES!O1108="",NEGOCIAÇÕES!N1108&gt;TODAY()),NEGOCIAÇÕES!E1108,"")</f>
        <v/>
      </c>
      <c r="D1108" s="6" t="str">
        <f ca="1">IF(AND(NEGOCIAÇÕES!O1108="",NEGOCIAÇÕES!N1108&gt;TODAY()),NEGOCIAÇÕES!D1108,"")</f>
        <v/>
      </c>
      <c r="E1108" s="9" t="str">
        <f>IF(AND(NEGOCIAÇÕES!B1108&lt;&gt;"",NEGOCIAÇÕES!O1108=""),NEGOCIAÇÕES!N1108,"")</f>
        <v/>
      </c>
    </row>
    <row r="1109" spans="2:5" ht="31.95" hidden="1" customHeight="1" x14ac:dyDescent="0.3">
      <c r="B1109" s="6" t="str">
        <f ca="1">IF(AND(NEGOCIAÇÕES!O1109="",NEGOCIAÇÕES!N1109&gt;TODAY()),NEGOCIAÇÕES!C1109,"")</f>
        <v/>
      </c>
      <c r="C1109" s="6" t="str">
        <f ca="1">IF(AND(NEGOCIAÇÕES!O1109="",NEGOCIAÇÕES!N1109&gt;TODAY()),NEGOCIAÇÕES!E1109,"")</f>
        <v/>
      </c>
      <c r="D1109" s="6" t="str">
        <f ca="1">IF(AND(NEGOCIAÇÕES!O1109="",NEGOCIAÇÕES!N1109&gt;TODAY()),NEGOCIAÇÕES!D1109,"")</f>
        <v/>
      </c>
      <c r="E1109" s="9" t="str">
        <f>IF(AND(NEGOCIAÇÕES!B1109&lt;&gt;"",NEGOCIAÇÕES!O1109=""),NEGOCIAÇÕES!N1109,"")</f>
        <v/>
      </c>
    </row>
    <row r="1110" spans="2:5" ht="31.95" hidden="1" customHeight="1" x14ac:dyDescent="0.3">
      <c r="B1110" s="6" t="str">
        <f ca="1">IF(AND(NEGOCIAÇÕES!O1110="",NEGOCIAÇÕES!N1110&gt;TODAY()),NEGOCIAÇÕES!C1110,"")</f>
        <v/>
      </c>
      <c r="C1110" s="6" t="str">
        <f ca="1">IF(AND(NEGOCIAÇÕES!O1110="",NEGOCIAÇÕES!N1110&gt;TODAY()),NEGOCIAÇÕES!E1110,"")</f>
        <v/>
      </c>
      <c r="D1110" s="6" t="str">
        <f ca="1">IF(AND(NEGOCIAÇÕES!O1110="",NEGOCIAÇÕES!N1110&gt;TODAY()),NEGOCIAÇÕES!D1110,"")</f>
        <v/>
      </c>
      <c r="E1110" s="9" t="str">
        <f>IF(AND(NEGOCIAÇÕES!B1110&lt;&gt;"",NEGOCIAÇÕES!O1110=""),NEGOCIAÇÕES!N1110,"")</f>
        <v/>
      </c>
    </row>
    <row r="1111" spans="2:5" ht="31.95" hidden="1" customHeight="1" x14ac:dyDescent="0.3">
      <c r="B1111" s="6" t="str">
        <f ca="1">IF(AND(NEGOCIAÇÕES!O1111="",NEGOCIAÇÕES!N1111&gt;TODAY()),NEGOCIAÇÕES!C1111,"")</f>
        <v/>
      </c>
      <c r="C1111" s="6" t="str">
        <f ca="1">IF(AND(NEGOCIAÇÕES!O1111="",NEGOCIAÇÕES!N1111&gt;TODAY()),NEGOCIAÇÕES!E1111,"")</f>
        <v/>
      </c>
      <c r="D1111" s="6" t="str">
        <f ca="1">IF(AND(NEGOCIAÇÕES!O1111="",NEGOCIAÇÕES!N1111&gt;TODAY()),NEGOCIAÇÕES!D1111,"")</f>
        <v/>
      </c>
      <c r="E1111" s="9" t="str">
        <f>IF(AND(NEGOCIAÇÕES!B1111&lt;&gt;"",NEGOCIAÇÕES!O1111=""),NEGOCIAÇÕES!N1111,"")</f>
        <v/>
      </c>
    </row>
    <row r="1112" spans="2:5" ht="31.95" hidden="1" customHeight="1" x14ac:dyDescent="0.3">
      <c r="B1112" s="6" t="str">
        <f ca="1">IF(AND(NEGOCIAÇÕES!O1112="",NEGOCIAÇÕES!N1112&gt;TODAY()),NEGOCIAÇÕES!C1112,"")</f>
        <v/>
      </c>
      <c r="C1112" s="6" t="str">
        <f ca="1">IF(AND(NEGOCIAÇÕES!O1112="",NEGOCIAÇÕES!N1112&gt;TODAY()),NEGOCIAÇÕES!E1112,"")</f>
        <v/>
      </c>
      <c r="D1112" s="6" t="str">
        <f ca="1">IF(AND(NEGOCIAÇÕES!O1112="",NEGOCIAÇÕES!N1112&gt;TODAY()),NEGOCIAÇÕES!D1112,"")</f>
        <v/>
      </c>
      <c r="E1112" s="9" t="str">
        <f>IF(AND(NEGOCIAÇÕES!B1112&lt;&gt;"",NEGOCIAÇÕES!O1112=""),NEGOCIAÇÕES!N1112,"")</f>
        <v/>
      </c>
    </row>
    <row r="1113" spans="2:5" ht="31.95" hidden="1" customHeight="1" x14ac:dyDescent="0.3">
      <c r="B1113" s="6" t="str">
        <f ca="1">IF(AND(NEGOCIAÇÕES!O1113="",NEGOCIAÇÕES!N1113&gt;TODAY()),NEGOCIAÇÕES!C1113,"")</f>
        <v/>
      </c>
      <c r="C1113" s="6" t="str">
        <f ca="1">IF(AND(NEGOCIAÇÕES!O1113="",NEGOCIAÇÕES!N1113&gt;TODAY()),NEGOCIAÇÕES!E1113,"")</f>
        <v/>
      </c>
      <c r="D1113" s="6" t="str">
        <f ca="1">IF(AND(NEGOCIAÇÕES!O1113="",NEGOCIAÇÕES!N1113&gt;TODAY()),NEGOCIAÇÕES!D1113,"")</f>
        <v/>
      </c>
      <c r="E1113" s="9" t="str">
        <f>IF(AND(NEGOCIAÇÕES!B1113&lt;&gt;"",NEGOCIAÇÕES!O1113=""),NEGOCIAÇÕES!N1113,"")</f>
        <v/>
      </c>
    </row>
    <row r="1114" spans="2:5" ht="31.95" hidden="1" customHeight="1" x14ac:dyDescent="0.3">
      <c r="B1114" s="6" t="str">
        <f ca="1">IF(AND(NEGOCIAÇÕES!O1114="",NEGOCIAÇÕES!N1114&gt;TODAY()),NEGOCIAÇÕES!C1114,"")</f>
        <v/>
      </c>
      <c r="C1114" s="6" t="str">
        <f ca="1">IF(AND(NEGOCIAÇÕES!O1114="",NEGOCIAÇÕES!N1114&gt;TODAY()),NEGOCIAÇÕES!E1114,"")</f>
        <v/>
      </c>
      <c r="D1114" s="6" t="str">
        <f ca="1">IF(AND(NEGOCIAÇÕES!O1114="",NEGOCIAÇÕES!N1114&gt;TODAY()),NEGOCIAÇÕES!D1114,"")</f>
        <v/>
      </c>
      <c r="E1114" s="9" t="str">
        <f>IF(AND(NEGOCIAÇÕES!B1114&lt;&gt;"",NEGOCIAÇÕES!O1114=""),NEGOCIAÇÕES!N1114,"")</f>
        <v/>
      </c>
    </row>
    <row r="1115" spans="2:5" ht="31.95" hidden="1" customHeight="1" x14ac:dyDescent="0.3">
      <c r="B1115" s="6" t="str">
        <f ca="1">IF(AND(NEGOCIAÇÕES!O1115="",NEGOCIAÇÕES!N1115&gt;TODAY()),NEGOCIAÇÕES!C1115,"")</f>
        <v/>
      </c>
      <c r="C1115" s="6" t="str">
        <f ca="1">IF(AND(NEGOCIAÇÕES!O1115="",NEGOCIAÇÕES!N1115&gt;TODAY()),NEGOCIAÇÕES!E1115,"")</f>
        <v/>
      </c>
      <c r="D1115" s="6" t="str">
        <f ca="1">IF(AND(NEGOCIAÇÕES!O1115="",NEGOCIAÇÕES!N1115&gt;TODAY()),NEGOCIAÇÕES!D1115,"")</f>
        <v/>
      </c>
      <c r="E1115" s="9" t="str">
        <f>IF(AND(NEGOCIAÇÕES!B1115&lt;&gt;"",NEGOCIAÇÕES!O1115=""),NEGOCIAÇÕES!N1115,"")</f>
        <v/>
      </c>
    </row>
    <row r="1116" spans="2:5" ht="31.95" hidden="1" customHeight="1" x14ac:dyDescent="0.3">
      <c r="B1116" s="6" t="str">
        <f ca="1">IF(AND(NEGOCIAÇÕES!O1116="",NEGOCIAÇÕES!N1116&gt;TODAY()),NEGOCIAÇÕES!C1116,"")</f>
        <v/>
      </c>
      <c r="C1116" s="6" t="str">
        <f ca="1">IF(AND(NEGOCIAÇÕES!O1116="",NEGOCIAÇÕES!N1116&gt;TODAY()),NEGOCIAÇÕES!E1116,"")</f>
        <v/>
      </c>
      <c r="D1116" s="6" t="str">
        <f ca="1">IF(AND(NEGOCIAÇÕES!O1116="",NEGOCIAÇÕES!N1116&gt;TODAY()),NEGOCIAÇÕES!D1116,"")</f>
        <v/>
      </c>
      <c r="E1116" s="9" t="str">
        <f>IF(AND(NEGOCIAÇÕES!B1116&lt;&gt;"",NEGOCIAÇÕES!O1116=""),NEGOCIAÇÕES!N1116,"")</f>
        <v/>
      </c>
    </row>
    <row r="1117" spans="2:5" ht="31.95" hidden="1" customHeight="1" x14ac:dyDescent="0.3">
      <c r="B1117" s="6" t="str">
        <f ca="1">IF(AND(NEGOCIAÇÕES!O1117="",NEGOCIAÇÕES!N1117&gt;TODAY()),NEGOCIAÇÕES!C1117,"")</f>
        <v/>
      </c>
      <c r="C1117" s="6" t="str">
        <f ca="1">IF(AND(NEGOCIAÇÕES!O1117="",NEGOCIAÇÕES!N1117&gt;TODAY()),NEGOCIAÇÕES!E1117,"")</f>
        <v/>
      </c>
      <c r="D1117" s="6" t="str">
        <f ca="1">IF(AND(NEGOCIAÇÕES!O1117="",NEGOCIAÇÕES!N1117&gt;TODAY()),NEGOCIAÇÕES!D1117,"")</f>
        <v/>
      </c>
      <c r="E1117" s="9" t="str">
        <f>IF(AND(NEGOCIAÇÕES!B1117&lt;&gt;"",NEGOCIAÇÕES!O1117=""),NEGOCIAÇÕES!N1117,"")</f>
        <v/>
      </c>
    </row>
    <row r="1118" spans="2:5" ht="31.95" hidden="1" customHeight="1" x14ac:dyDescent="0.3">
      <c r="B1118" s="6" t="str">
        <f ca="1">IF(AND(NEGOCIAÇÕES!O1118="",NEGOCIAÇÕES!N1118&gt;TODAY()),NEGOCIAÇÕES!C1118,"")</f>
        <v/>
      </c>
      <c r="C1118" s="6" t="str">
        <f ca="1">IF(AND(NEGOCIAÇÕES!O1118="",NEGOCIAÇÕES!N1118&gt;TODAY()),NEGOCIAÇÕES!E1118,"")</f>
        <v/>
      </c>
      <c r="D1118" s="6" t="str">
        <f ca="1">IF(AND(NEGOCIAÇÕES!O1118="",NEGOCIAÇÕES!N1118&gt;TODAY()),NEGOCIAÇÕES!D1118,"")</f>
        <v/>
      </c>
      <c r="E1118" s="9" t="str">
        <f>IF(AND(NEGOCIAÇÕES!B1118&lt;&gt;"",NEGOCIAÇÕES!O1118=""),NEGOCIAÇÕES!N1118,"")</f>
        <v/>
      </c>
    </row>
    <row r="1119" spans="2:5" ht="31.95" hidden="1" customHeight="1" x14ac:dyDescent="0.3">
      <c r="B1119" s="6" t="str">
        <f ca="1">IF(AND(NEGOCIAÇÕES!O1119="",NEGOCIAÇÕES!N1119&gt;TODAY()),NEGOCIAÇÕES!C1119,"")</f>
        <v/>
      </c>
      <c r="C1119" s="6" t="str">
        <f ca="1">IF(AND(NEGOCIAÇÕES!O1119="",NEGOCIAÇÕES!N1119&gt;TODAY()),NEGOCIAÇÕES!E1119,"")</f>
        <v/>
      </c>
      <c r="D1119" s="6" t="str">
        <f ca="1">IF(AND(NEGOCIAÇÕES!O1119="",NEGOCIAÇÕES!N1119&gt;TODAY()),NEGOCIAÇÕES!D1119,"")</f>
        <v/>
      </c>
      <c r="E1119" s="9" t="str">
        <f>IF(AND(NEGOCIAÇÕES!B1119&lt;&gt;"",NEGOCIAÇÕES!O1119=""),NEGOCIAÇÕES!N1119,"")</f>
        <v/>
      </c>
    </row>
    <row r="1120" spans="2:5" ht="31.95" hidden="1" customHeight="1" x14ac:dyDescent="0.3">
      <c r="B1120" s="6" t="str">
        <f ca="1">IF(AND(NEGOCIAÇÕES!O1120="",NEGOCIAÇÕES!N1120&gt;TODAY()),NEGOCIAÇÕES!C1120,"")</f>
        <v/>
      </c>
      <c r="C1120" s="6" t="str">
        <f ca="1">IF(AND(NEGOCIAÇÕES!O1120="",NEGOCIAÇÕES!N1120&gt;TODAY()),NEGOCIAÇÕES!E1120,"")</f>
        <v/>
      </c>
      <c r="D1120" s="6" t="str">
        <f ca="1">IF(AND(NEGOCIAÇÕES!O1120="",NEGOCIAÇÕES!N1120&gt;TODAY()),NEGOCIAÇÕES!D1120,"")</f>
        <v/>
      </c>
      <c r="E1120" s="9" t="str">
        <f>IF(AND(NEGOCIAÇÕES!B1120&lt;&gt;"",NEGOCIAÇÕES!O1120=""),NEGOCIAÇÕES!N1120,"")</f>
        <v/>
      </c>
    </row>
    <row r="1121" spans="2:5" ht="31.95" hidden="1" customHeight="1" x14ac:dyDescent="0.3">
      <c r="B1121" s="6" t="str">
        <f ca="1">IF(AND(NEGOCIAÇÕES!O1121="",NEGOCIAÇÕES!N1121&gt;TODAY()),NEGOCIAÇÕES!C1121,"")</f>
        <v/>
      </c>
      <c r="C1121" s="6" t="str">
        <f ca="1">IF(AND(NEGOCIAÇÕES!O1121="",NEGOCIAÇÕES!N1121&gt;TODAY()),NEGOCIAÇÕES!E1121,"")</f>
        <v/>
      </c>
      <c r="D1121" s="6" t="str">
        <f ca="1">IF(AND(NEGOCIAÇÕES!O1121="",NEGOCIAÇÕES!N1121&gt;TODAY()),NEGOCIAÇÕES!D1121,"")</f>
        <v/>
      </c>
      <c r="E1121" s="9" t="str">
        <f>IF(AND(NEGOCIAÇÕES!B1121&lt;&gt;"",NEGOCIAÇÕES!O1121=""),NEGOCIAÇÕES!N1121,"")</f>
        <v/>
      </c>
    </row>
    <row r="1122" spans="2:5" ht="31.95" hidden="1" customHeight="1" x14ac:dyDescent="0.3">
      <c r="B1122" s="6" t="str">
        <f ca="1">IF(AND(NEGOCIAÇÕES!O1122="",NEGOCIAÇÕES!N1122&gt;TODAY()),NEGOCIAÇÕES!C1122,"")</f>
        <v/>
      </c>
      <c r="C1122" s="6" t="str">
        <f ca="1">IF(AND(NEGOCIAÇÕES!O1122="",NEGOCIAÇÕES!N1122&gt;TODAY()),NEGOCIAÇÕES!E1122,"")</f>
        <v/>
      </c>
      <c r="D1122" s="6" t="str">
        <f ca="1">IF(AND(NEGOCIAÇÕES!O1122="",NEGOCIAÇÕES!N1122&gt;TODAY()),NEGOCIAÇÕES!D1122,"")</f>
        <v/>
      </c>
      <c r="E1122" s="9" t="str">
        <f>IF(AND(NEGOCIAÇÕES!B1122&lt;&gt;"",NEGOCIAÇÕES!O1122=""),NEGOCIAÇÕES!N1122,"")</f>
        <v/>
      </c>
    </row>
    <row r="1123" spans="2:5" ht="31.95" hidden="1" customHeight="1" x14ac:dyDescent="0.3">
      <c r="B1123" s="6" t="str">
        <f ca="1">IF(AND(NEGOCIAÇÕES!O1123="",NEGOCIAÇÕES!N1123&gt;TODAY()),NEGOCIAÇÕES!C1123,"")</f>
        <v/>
      </c>
      <c r="C1123" s="6" t="str">
        <f ca="1">IF(AND(NEGOCIAÇÕES!O1123="",NEGOCIAÇÕES!N1123&gt;TODAY()),NEGOCIAÇÕES!E1123,"")</f>
        <v/>
      </c>
      <c r="D1123" s="6" t="str">
        <f ca="1">IF(AND(NEGOCIAÇÕES!O1123="",NEGOCIAÇÕES!N1123&gt;TODAY()),NEGOCIAÇÕES!D1123,"")</f>
        <v/>
      </c>
      <c r="E1123" s="9" t="str">
        <f>IF(AND(NEGOCIAÇÕES!B1123&lt;&gt;"",NEGOCIAÇÕES!O1123=""),NEGOCIAÇÕES!N1123,"")</f>
        <v/>
      </c>
    </row>
    <row r="1124" spans="2:5" ht="31.95" hidden="1" customHeight="1" x14ac:dyDescent="0.3">
      <c r="B1124" s="6" t="str">
        <f ca="1">IF(AND(NEGOCIAÇÕES!O1124="",NEGOCIAÇÕES!N1124&gt;TODAY()),NEGOCIAÇÕES!C1124,"")</f>
        <v/>
      </c>
      <c r="C1124" s="6" t="str">
        <f ca="1">IF(AND(NEGOCIAÇÕES!O1124="",NEGOCIAÇÕES!N1124&gt;TODAY()),NEGOCIAÇÕES!E1124,"")</f>
        <v/>
      </c>
      <c r="D1124" s="6" t="str">
        <f ca="1">IF(AND(NEGOCIAÇÕES!O1124="",NEGOCIAÇÕES!N1124&gt;TODAY()),NEGOCIAÇÕES!D1124,"")</f>
        <v/>
      </c>
      <c r="E1124" s="9" t="str">
        <f>IF(AND(NEGOCIAÇÕES!B1124&lt;&gt;"",NEGOCIAÇÕES!O1124=""),NEGOCIAÇÕES!N1124,"")</f>
        <v/>
      </c>
    </row>
    <row r="1125" spans="2:5" ht="31.95" hidden="1" customHeight="1" x14ac:dyDescent="0.3">
      <c r="B1125" s="6" t="str">
        <f ca="1">IF(AND(NEGOCIAÇÕES!O1125="",NEGOCIAÇÕES!N1125&gt;TODAY()),NEGOCIAÇÕES!C1125,"")</f>
        <v/>
      </c>
      <c r="C1125" s="6" t="str">
        <f ca="1">IF(AND(NEGOCIAÇÕES!O1125="",NEGOCIAÇÕES!N1125&gt;TODAY()),NEGOCIAÇÕES!E1125,"")</f>
        <v/>
      </c>
      <c r="D1125" s="6" t="str">
        <f ca="1">IF(AND(NEGOCIAÇÕES!O1125="",NEGOCIAÇÕES!N1125&gt;TODAY()),NEGOCIAÇÕES!D1125,"")</f>
        <v/>
      </c>
      <c r="E1125" s="9" t="str">
        <f>IF(AND(NEGOCIAÇÕES!B1125&lt;&gt;"",NEGOCIAÇÕES!O1125=""),NEGOCIAÇÕES!N1125,"")</f>
        <v/>
      </c>
    </row>
    <row r="1126" spans="2:5" ht="31.95" hidden="1" customHeight="1" x14ac:dyDescent="0.3">
      <c r="B1126" s="6" t="str">
        <f ca="1">IF(AND(NEGOCIAÇÕES!O1126="",NEGOCIAÇÕES!N1126&gt;TODAY()),NEGOCIAÇÕES!C1126,"")</f>
        <v/>
      </c>
      <c r="C1126" s="6" t="str">
        <f ca="1">IF(AND(NEGOCIAÇÕES!O1126="",NEGOCIAÇÕES!N1126&gt;TODAY()),NEGOCIAÇÕES!E1126,"")</f>
        <v/>
      </c>
      <c r="D1126" s="6" t="str">
        <f ca="1">IF(AND(NEGOCIAÇÕES!O1126="",NEGOCIAÇÕES!N1126&gt;TODAY()),NEGOCIAÇÕES!D1126,"")</f>
        <v/>
      </c>
      <c r="E1126" s="9" t="str">
        <f>IF(AND(NEGOCIAÇÕES!B1126&lt;&gt;"",NEGOCIAÇÕES!O1126=""),NEGOCIAÇÕES!N1126,"")</f>
        <v/>
      </c>
    </row>
    <row r="1127" spans="2:5" ht="31.95" hidden="1" customHeight="1" x14ac:dyDescent="0.3">
      <c r="B1127" s="6" t="str">
        <f ca="1">IF(AND(NEGOCIAÇÕES!O1127="",NEGOCIAÇÕES!N1127&gt;TODAY()),NEGOCIAÇÕES!C1127,"")</f>
        <v/>
      </c>
      <c r="C1127" s="6" t="str">
        <f ca="1">IF(AND(NEGOCIAÇÕES!O1127="",NEGOCIAÇÕES!N1127&gt;TODAY()),NEGOCIAÇÕES!E1127,"")</f>
        <v/>
      </c>
      <c r="D1127" s="6" t="str">
        <f ca="1">IF(AND(NEGOCIAÇÕES!O1127="",NEGOCIAÇÕES!N1127&gt;TODAY()),NEGOCIAÇÕES!D1127,"")</f>
        <v/>
      </c>
      <c r="E1127" s="9" t="str">
        <f>IF(AND(NEGOCIAÇÕES!B1127&lt;&gt;"",NEGOCIAÇÕES!O1127=""),NEGOCIAÇÕES!N1127,"")</f>
        <v/>
      </c>
    </row>
    <row r="1128" spans="2:5" ht="31.95" hidden="1" customHeight="1" x14ac:dyDescent="0.3">
      <c r="B1128" s="6" t="str">
        <f ca="1">IF(AND(NEGOCIAÇÕES!O1128="",NEGOCIAÇÕES!N1128&gt;TODAY()),NEGOCIAÇÕES!C1128,"")</f>
        <v/>
      </c>
      <c r="C1128" s="6" t="str">
        <f ca="1">IF(AND(NEGOCIAÇÕES!O1128="",NEGOCIAÇÕES!N1128&gt;TODAY()),NEGOCIAÇÕES!E1128,"")</f>
        <v/>
      </c>
      <c r="D1128" s="6" t="str">
        <f ca="1">IF(AND(NEGOCIAÇÕES!O1128="",NEGOCIAÇÕES!N1128&gt;TODAY()),NEGOCIAÇÕES!D1128,"")</f>
        <v/>
      </c>
      <c r="E1128" s="9" t="str">
        <f>IF(AND(NEGOCIAÇÕES!B1128&lt;&gt;"",NEGOCIAÇÕES!O1128=""),NEGOCIAÇÕES!N1128,"")</f>
        <v/>
      </c>
    </row>
    <row r="1129" spans="2:5" ht="31.95" hidden="1" customHeight="1" x14ac:dyDescent="0.3">
      <c r="B1129" s="6" t="str">
        <f ca="1">IF(AND(NEGOCIAÇÕES!O1129="",NEGOCIAÇÕES!N1129&gt;TODAY()),NEGOCIAÇÕES!C1129,"")</f>
        <v/>
      </c>
      <c r="C1129" s="6" t="str">
        <f ca="1">IF(AND(NEGOCIAÇÕES!O1129="",NEGOCIAÇÕES!N1129&gt;TODAY()),NEGOCIAÇÕES!E1129,"")</f>
        <v/>
      </c>
      <c r="D1129" s="6" t="str">
        <f ca="1">IF(AND(NEGOCIAÇÕES!O1129="",NEGOCIAÇÕES!N1129&gt;TODAY()),NEGOCIAÇÕES!D1129,"")</f>
        <v/>
      </c>
      <c r="E1129" s="9" t="str">
        <f>IF(AND(NEGOCIAÇÕES!B1129&lt;&gt;"",NEGOCIAÇÕES!O1129=""),NEGOCIAÇÕES!N1129,"")</f>
        <v/>
      </c>
    </row>
    <row r="1130" spans="2:5" ht="31.95" hidden="1" customHeight="1" x14ac:dyDescent="0.3">
      <c r="B1130" s="6" t="str">
        <f ca="1">IF(AND(NEGOCIAÇÕES!O1130="",NEGOCIAÇÕES!N1130&gt;TODAY()),NEGOCIAÇÕES!C1130,"")</f>
        <v/>
      </c>
      <c r="C1130" s="6" t="str">
        <f ca="1">IF(AND(NEGOCIAÇÕES!O1130="",NEGOCIAÇÕES!N1130&gt;TODAY()),NEGOCIAÇÕES!E1130,"")</f>
        <v/>
      </c>
      <c r="D1130" s="6" t="str">
        <f ca="1">IF(AND(NEGOCIAÇÕES!O1130="",NEGOCIAÇÕES!N1130&gt;TODAY()),NEGOCIAÇÕES!D1130,"")</f>
        <v/>
      </c>
      <c r="E1130" s="9" t="str">
        <f>IF(AND(NEGOCIAÇÕES!B1130&lt;&gt;"",NEGOCIAÇÕES!O1130=""),NEGOCIAÇÕES!N1130,"")</f>
        <v/>
      </c>
    </row>
    <row r="1131" spans="2:5" ht="31.95" hidden="1" customHeight="1" x14ac:dyDescent="0.3">
      <c r="B1131" s="6" t="str">
        <f ca="1">IF(AND(NEGOCIAÇÕES!O1131="",NEGOCIAÇÕES!N1131&gt;TODAY()),NEGOCIAÇÕES!C1131,"")</f>
        <v/>
      </c>
      <c r="C1131" s="6" t="str">
        <f ca="1">IF(AND(NEGOCIAÇÕES!O1131="",NEGOCIAÇÕES!N1131&gt;TODAY()),NEGOCIAÇÕES!E1131,"")</f>
        <v/>
      </c>
      <c r="D1131" s="6" t="str">
        <f ca="1">IF(AND(NEGOCIAÇÕES!O1131="",NEGOCIAÇÕES!N1131&gt;TODAY()),NEGOCIAÇÕES!D1131,"")</f>
        <v/>
      </c>
      <c r="E1131" s="9" t="str">
        <f>IF(AND(NEGOCIAÇÕES!B1131&lt;&gt;"",NEGOCIAÇÕES!O1131=""),NEGOCIAÇÕES!N1131,"")</f>
        <v/>
      </c>
    </row>
    <row r="1132" spans="2:5" ht="31.95" hidden="1" customHeight="1" x14ac:dyDescent="0.3">
      <c r="B1132" s="6" t="str">
        <f ca="1">IF(AND(NEGOCIAÇÕES!O1132="",NEGOCIAÇÕES!N1132&gt;TODAY()),NEGOCIAÇÕES!C1132,"")</f>
        <v/>
      </c>
      <c r="C1132" s="6" t="str">
        <f ca="1">IF(AND(NEGOCIAÇÕES!O1132="",NEGOCIAÇÕES!N1132&gt;TODAY()),NEGOCIAÇÕES!E1132,"")</f>
        <v/>
      </c>
      <c r="D1132" s="6" t="str">
        <f ca="1">IF(AND(NEGOCIAÇÕES!O1132="",NEGOCIAÇÕES!N1132&gt;TODAY()),NEGOCIAÇÕES!D1132,"")</f>
        <v/>
      </c>
      <c r="E1132" s="9" t="str">
        <f>IF(AND(NEGOCIAÇÕES!B1132&lt;&gt;"",NEGOCIAÇÕES!O1132=""),NEGOCIAÇÕES!N1132,"")</f>
        <v/>
      </c>
    </row>
    <row r="1133" spans="2:5" ht="31.95" hidden="1" customHeight="1" x14ac:dyDescent="0.3">
      <c r="B1133" s="6" t="str">
        <f ca="1">IF(AND(NEGOCIAÇÕES!O1133="",NEGOCIAÇÕES!N1133&gt;TODAY()),NEGOCIAÇÕES!C1133,"")</f>
        <v/>
      </c>
      <c r="C1133" s="6" t="str">
        <f ca="1">IF(AND(NEGOCIAÇÕES!O1133="",NEGOCIAÇÕES!N1133&gt;TODAY()),NEGOCIAÇÕES!E1133,"")</f>
        <v/>
      </c>
      <c r="D1133" s="6" t="str">
        <f ca="1">IF(AND(NEGOCIAÇÕES!O1133="",NEGOCIAÇÕES!N1133&gt;TODAY()),NEGOCIAÇÕES!D1133,"")</f>
        <v/>
      </c>
      <c r="E1133" s="9" t="str">
        <f>IF(AND(NEGOCIAÇÕES!B1133&lt;&gt;"",NEGOCIAÇÕES!O1133=""),NEGOCIAÇÕES!N1133,"")</f>
        <v/>
      </c>
    </row>
    <row r="1134" spans="2:5" ht="31.95" hidden="1" customHeight="1" x14ac:dyDescent="0.3">
      <c r="B1134" s="6" t="str">
        <f ca="1">IF(AND(NEGOCIAÇÕES!O1134="",NEGOCIAÇÕES!N1134&gt;TODAY()),NEGOCIAÇÕES!C1134,"")</f>
        <v/>
      </c>
      <c r="C1134" s="6" t="str">
        <f ca="1">IF(AND(NEGOCIAÇÕES!O1134="",NEGOCIAÇÕES!N1134&gt;TODAY()),NEGOCIAÇÕES!E1134,"")</f>
        <v/>
      </c>
      <c r="D1134" s="6" t="str">
        <f ca="1">IF(AND(NEGOCIAÇÕES!O1134="",NEGOCIAÇÕES!N1134&gt;TODAY()),NEGOCIAÇÕES!D1134,"")</f>
        <v/>
      </c>
      <c r="E1134" s="9" t="str">
        <f>IF(AND(NEGOCIAÇÕES!B1134&lt;&gt;"",NEGOCIAÇÕES!O1134=""),NEGOCIAÇÕES!N1134,"")</f>
        <v/>
      </c>
    </row>
    <row r="1135" spans="2:5" ht="31.95" hidden="1" customHeight="1" x14ac:dyDescent="0.3">
      <c r="B1135" s="6" t="str">
        <f ca="1">IF(AND(NEGOCIAÇÕES!O1135="",NEGOCIAÇÕES!N1135&gt;TODAY()),NEGOCIAÇÕES!C1135,"")</f>
        <v/>
      </c>
      <c r="C1135" s="6" t="str">
        <f ca="1">IF(AND(NEGOCIAÇÕES!O1135="",NEGOCIAÇÕES!N1135&gt;TODAY()),NEGOCIAÇÕES!E1135,"")</f>
        <v/>
      </c>
      <c r="D1135" s="6" t="str">
        <f ca="1">IF(AND(NEGOCIAÇÕES!O1135="",NEGOCIAÇÕES!N1135&gt;TODAY()),NEGOCIAÇÕES!D1135,"")</f>
        <v/>
      </c>
      <c r="E1135" s="9" t="str">
        <f>IF(AND(NEGOCIAÇÕES!B1135&lt;&gt;"",NEGOCIAÇÕES!O1135=""),NEGOCIAÇÕES!N1135,"")</f>
        <v/>
      </c>
    </row>
    <row r="1136" spans="2:5" ht="31.95" hidden="1" customHeight="1" x14ac:dyDescent="0.3">
      <c r="B1136" s="6" t="str">
        <f ca="1">IF(AND(NEGOCIAÇÕES!O1136="",NEGOCIAÇÕES!N1136&gt;TODAY()),NEGOCIAÇÕES!C1136,"")</f>
        <v/>
      </c>
      <c r="C1136" s="6" t="str">
        <f ca="1">IF(AND(NEGOCIAÇÕES!O1136="",NEGOCIAÇÕES!N1136&gt;TODAY()),NEGOCIAÇÕES!E1136,"")</f>
        <v/>
      </c>
      <c r="D1136" s="6" t="str">
        <f ca="1">IF(AND(NEGOCIAÇÕES!O1136="",NEGOCIAÇÕES!N1136&gt;TODAY()),NEGOCIAÇÕES!D1136,"")</f>
        <v/>
      </c>
      <c r="E1136" s="9" t="str">
        <f>IF(AND(NEGOCIAÇÕES!B1136&lt;&gt;"",NEGOCIAÇÕES!O1136=""),NEGOCIAÇÕES!N1136,"")</f>
        <v/>
      </c>
    </row>
    <row r="1137" spans="2:5" ht="31.95" hidden="1" customHeight="1" x14ac:dyDescent="0.3">
      <c r="B1137" s="6" t="str">
        <f ca="1">IF(AND(NEGOCIAÇÕES!O1137="",NEGOCIAÇÕES!N1137&gt;TODAY()),NEGOCIAÇÕES!C1137,"")</f>
        <v/>
      </c>
      <c r="C1137" s="6" t="str">
        <f ca="1">IF(AND(NEGOCIAÇÕES!O1137="",NEGOCIAÇÕES!N1137&gt;TODAY()),NEGOCIAÇÕES!E1137,"")</f>
        <v/>
      </c>
      <c r="D1137" s="6" t="str">
        <f ca="1">IF(AND(NEGOCIAÇÕES!O1137="",NEGOCIAÇÕES!N1137&gt;TODAY()),NEGOCIAÇÕES!D1137,"")</f>
        <v/>
      </c>
      <c r="E1137" s="9" t="str">
        <f>IF(AND(NEGOCIAÇÕES!B1137&lt;&gt;"",NEGOCIAÇÕES!O1137=""),NEGOCIAÇÕES!N1137,"")</f>
        <v/>
      </c>
    </row>
    <row r="1138" spans="2:5" ht="31.95" hidden="1" customHeight="1" x14ac:dyDescent="0.3">
      <c r="B1138" s="6" t="str">
        <f ca="1">IF(AND(NEGOCIAÇÕES!O1138="",NEGOCIAÇÕES!N1138&gt;TODAY()),NEGOCIAÇÕES!C1138,"")</f>
        <v/>
      </c>
      <c r="C1138" s="6" t="str">
        <f ca="1">IF(AND(NEGOCIAÇÕES!O1138="",NEGOCIAÇÕES!N1138&gt;TODAY()),NEGOCIAÇÕES!E1138,"")</f>
        <v/>
      </c>
      <c r="D1138" s="6" t="str">
        <f ca="1">IF(AND(NEGOCIAÇÕES!O1138="",NEGOCIAÇÕES!N1138&gt;TODAY()),NEGOCIAÇÕES!D1138,"")</f>
        <v/>
      </c>
      <c r="E1138" s="9" t="str">
        <f>IF(AND(NEGOCIAÇÕES!B1138&lt;&gt;"",NEGOCIAÇÕES!O1138=""),NEGOCIAÇÕES!N1138,"")</f>
        <v/>
      </c>
    </row>
    <row r="1139" spans="2:5" ht="31.95" hidden="1" customHeight="1" x14ac:dyDescent="0.3">
      <c r="B1139" s="6" t="str">
        <f ca="1">IF(AND(NEGOCIAÇÕES!O1139="",NEGOCIAÇÕES!N1139&gt;TODAY()),NEGOCIAÇÕES!C1139,"")</f>
        <v/>
      </c>
      <c r="C1139" s="6" t="str">
        <f ca="1">IF(AND(NEGOCIAÇÕES!O1139="",NEGOCIAÇÕES!N1139&gt;TODAY()),NEGOCIAÇÕES!E1139,"")</f>
        <v/>
      </c>
      <c r="D1139" s="6" t="str">
        <f ca="1">IF(AND(NEGOCIAÇÕES!O1139="",NEGOCIAÇÕES!N1139&gt;TODAY()),NEGOCIAÇÕES!D1139,"")</f>
        <v/>
      </c>
      <c r="E1139" s="9" t="str">
        <f>IF(AND(NEGOCIAÇÕES!B1139&lt;&gt;"",NEGOCIAÇÕES!O1139=""),NEGOCIAÇÕES!N1139,"")</f>
        <v/>
      </c>
    </row>
    <row r="1140" spans="2:5" ht="31.95" hidden="1" customHeight="1" x14ac:dyDescent="0.3">
      <c r="B1140" s="6" t="str">
        <f ca="1">IF(AND(NEGOCIAÇÕES!O1140="",NEGOCIAÇÕES!N1140&gt;TODAY()),NEGOCIAÇÕES!C1140,"")</f>
        <v/>
      </c>
      <c r="C1140" s="6" t="str">
        <f ca="1">IF(AND(NEGOCIAÇÕES!O1140="",NEGOCIAÇÕES!N1140&gt;TODAY()),NEGOCIAÇÕES!E1140,"")</f>
        <v/>
      </c>
      <c r="D1140" s="6" t="str">
        <f ca="1">IF(AND(NEGOCIAÇÕES!O1140="",NEGOCIAÇÕES!N1140&gt;TODAY()),NEGOCIAÇÕES!D1140,"")</f>
        <v/>
      </c>
      <c r="E1140" s="9" t="str">
        <f>IF(AND(NEGOCIAÇÕES!B1140&lt;&gt;"",NEGOCIAÇÕES!O1140=""),NEGOCIAÇÕES!N1140,"")</f>
        <v/>
      </c>
    </row>
    <row r="1141" spans="2:5" ht="31.95" hidden="1" customHeight="1" x14ac:dyDescent="0.3">
      <c r="B1141" s="6" t="str">
        <f ca="1">IF(AND(NEGOCIAÇÕES!O1141="",NEGOCIAÇÕES!N1141&gt;TODAY()),NEGOCIAÇÕES!C1141,"")</f>
        <v/>
      </c>
      <c r="C1141" s="6" t="str">
        <f ca="1">IF(AND(NEGOCIAÇÕES!O1141="",NEGOCIAÇÕES!N1141&gt;TODAY()),NEGOCIAÇÕES!E1141,"")</f>
        <v/>
      </c>
      <c r="D1141" s="6" t="str">
        <f ca="1">IF(AND(NEGOCIAÇÕES!O1141="",NEGOCIAÇÕES!N1141&gt;TODAY()),NEGOCIAÇÕES!D1141,"")</f>
        <v/>
      </c>
      <c r="E1141" s="9" t="str">
        <f>IF(AND(NEGOCIAÇÕES!B1141&lt;&gt;"",NEGOCIAÇÕES!O1141=""),NEGOCIAÇÕES!N1141,"")</f>
        <v/>
      </c>
    </row>
    <row r="1142" spans="2:5" ht="31.95" hidden="1" customHeight="1" x14ac:dyDescent="0.3">
      <c r="B1142" s="6" t="str">
        <f ca="1">IF(AND(NEGOCIAÇÕES!O1142="",NEGOCIAÇÕES!N1142&gt;TODAY()),NEGOCIAÇÕES!C1142,"")</f>
        <v/>
      </c>
      <c r="C1142" s="6" t="str">
        <f ca="1">IF(AND(NEGOCIAÇÕES!O1142="",NEGOCIAÇÕES!N1142&gt;TODAY()),NEGOCIAÇÕES!E1142,"")</f>
        <v/>
      </c>
      <c r="D1142" s="6" t="str">
        <f ca="1">IF(AND(NEGOCIAÇÕES!O1142="",NEGOCIAÇÕES!N1142&gt;TODAY()),NEGOCIAÇÕES!D1142,"")</f>
        <v/>
      </c>
      <c r="E1142" s="9" t="str">
        <f>IF(AND(NEGOCIAÇÕES!B1142&lt;&gt;"",NEGOCIAÇÕES!O1142=""),NEGOCIAÇÕES!N1142,"")</f>
        <v/>
      </c>
    </row>
    <row r="1143" spans="2:5" ht="31.95" hidden="1" customHeight="1" x14ac:dyDescent="0.3">
      <c r="B1143" s="6" t="str">
        <f ca="1">IF(AND(NEGOCIAÇÕES!O1143="",NEGOCIAÇÕES!N1143&gt;TODAY()),NEGOCIAÇÕES!C1143,"")</f>
        <v/>
      </c>
      <c r="C1143" s="6" t="str">
        <f ca="1">IF(AND(NEGOCIAÇÕES!O1143="",NEGOCIAÇÕES!N1143&gt;TODAY()),NEGOCIAÇÕES!E1143,"")</f>
        <v/>
      </c>
      <c r="D1143" s="6" t="str">
        <f ca="1">IF(AND(NEGOCIAÇÕES!O1143="",NEGOCIAÇÕES!N1143&gt;TODAY()),NEGOCIAÇÕES!D1143,"")</f>
        <v/>
      </c>
      <c r="E1143" s="9" t="str">
        <f>IF(AND(NEGOCIAÇÕES!B1143&lt;&gt;"",NEGOCIAÇÕES!O1143=""),NEGOCIAÇÕES!N1143,"")</f>
        <v/>
      </c>
    </row>
    <row r="1144" spans="2:5" ht="31.95" hidden="1" customHeight="1" x14ac:dyDescent="0.3">
      <c r="B1144" s="6" t="str">
        <f ca="1">IF(AND(NEGOCIAÇÕES!O1144="",NEGOCIAÇÕES!N1144&gt;TODAY()),NEGOCIAÇÕES!C1144,"")</f>
        <v/>
      </c>
      <c r="C1144" s="6" t="str">
        <f ca="1">IF(AND(NEGOCIAÇÕES!O1144="",NEGOCIAÇÕES!N1144&gt;TODAY()),NEGOCIAÇÕES!E1144,"")</f>
        <v/>
      </c>
      <c r="D1144" s="6" t="str">
        <f ca="1">IF(AND(NEGOCIAÇÕES!O1144="",NEGOCIAÇÕES!N1144&gt;TODAY()),NEGOCIAÇÕES!D1144,"")</f>
        <v/>
      </c>
      <c r="E1144" s="9" t="str">
        <f>IF(AND(NEGOCIAÇÕES!B1144&lt;&gt;"",NEGOCIAÇÕES!O1144=""),NEGOCIAÇÕES!N1144,"")</f>
        <v/>
      </c>
    </row>
    <row r="1145" spans="2:5" ht="31.95" hidden="1" customHeight="1" x14ac:dyDescent="0.3">
      <c r="B1145" s="6" t="str">
        <f ca="1">IF(AND(NEGOCIAÇÕES!O1145="",NEGOCIAÇÕES!N1145&gt;TODAY()),NEGOCIAÇÕES!C1145,"")</f>
        <v/>
      </c>
      <c r="C1145" s="6" t="str">
        <f ca="1">IF(AND(NEGOCIAÇÕES!O1145="",NEGOCIAÇÕES!N1145&gt;TODAY()),NEGOCIAÇÕES!E1145,"")</f>
        <v/>
      </c>
      <c r="D1145" s="6" t="str">
        <f ca="1">IF(AND(NEGOCIAÇÕES!O1145="",NEGOCIAÇÕES!N1145&gt;TODAY()),NEGOCIAÇÕES!D1145,"")</f>
        <v/>
      </c>
      <c r="E1145" s="9" t="str">
        <f>IF(AND(NEGOCIAÇÕES!B1145&lt;&gt;"",NEGOCIAÇÕES!O1145=""),NEGOCIAÇÕES!N1145,"")</f>
        <v/>
      </c>
    </row>
    <row r="1146" spans="2:5" ht="31.95" hidden="1" customHeight="1" x14ac:dyDescent="0.3">
      <c r="B1146" s="6" t="str">
        <f ca="1">IF(AND(NEGOCIAÇÕES!O1146="",NEGOCIAÇÕES!N1146&gt;TODAY()),NEGOCIAÇÕES!C1146,"")</f>
        <v/>
      </c>
      <c r="C1146" s="6" t="str">
        <f ca="1">IF(AND(NEGOCIAÇÕES!O1146="",NEGOCIAÇÕES!N1146&gt;TODAY()),NEGOCIAÇÕES!E1146,"")</f>
        <v/>
      </c>
      <c r="D1146" s="6" t="str">
        <f ca="1">IF(AND(NEGOCIAÇÕES!O1146="",NEGOCIAÇÕES!N1146&gt;TODAY()),NEGOCIAÇÕES!D1146,"")</f>
        <v/>
      </c>
      <c r="E1146" s="9" t="str">
        <f>IF(AND(NEGOCIAÇÕES!B1146&lt;&gt;"",NEGOCIAÇÕES!O1146=""),NEGOCIAÇÕES!N1146,"")</f>
        <v/>
      </c>
    </row>
    <row r="1147" spans="2:5" ht="31.95" hidden="1" customHeight="1" x14ac:dyDescent="0.3">
      <c r="B1147" s="6" t="str">
        <f ca="1">IF(AND(NEGOCIAÇÕES!O1147="",NEGOCIAÇÕES!N1147&gt;TODAY()),NEGOCIAÇÕES!C1147,"")</f>
        <v/>
      </c>
      <c r="C1147" s="6" t="str">
        <f ca="1">IF(AND(NEGOCIAÇÕES!O1147="",NEGOCIAÇÕES!N1147&gt;TODAY()),NEGOCIAÇÕES!E1147,"")</f>
        <v/>
      </c>
      <c r="D1147" s="6" t="str">
        <f ca="1">IF(AND(NEGOCIAÇÕES!O1147="",NEGOCIAÇÕES!N1147&gt;TODAY()),NEGOCIAÇÕES!D1147,"")</f>
        <v/>
      </c>
      <c r="E1147" s="9" t="str">
        <f>IF(AND(NEGOCIAÇÕES!B1147&lt;&gt;"",NEGOCIAÇÕES!O1147=""),NEGOCIAÇÕES!N1147,"")</f>
        <v/>
      </c>
    </row>
    <row r="1148" spans="2:5" ht="31.95" hidden="1" customHeight="1" x14ac:dyDescent="0.3">
      <c r="B1148" s="6" t="str">
        <f ca="1">IF(AND(NEGOCIAÇÕES!O1148="",NEGOCIAÇÕES!N1148&gt;TODAY()),NEGOCIAÇÕES!C1148,"")</f>
        <v/>
      </c>
      <c r="C1148" s="6" t="str">
        <f ca="1">IF(AND(NEGOCIAÇÕES!O1148="",NEGOCIAÇÕES!N1148&gt;TODAY()),NEGOCIAÇÕES!E1148,"")</f>
        <v/>
      </c>
      <c r="D1148" s="6" t="str">
        <f ca="1">IF(AND(NEGOCIAÇÕES!O1148="",NEGOCIAÇÕES!N1148&gt;TODAY()),NEGOCIAÇÕES!D1148,"")</f>
        <v/>
      </c>
      <c r="E1148" s="9" t="str">
        <f>IF(AND(NEGOCIAÇÕES!B1148&lt;&gt;"",NEGOCIAÇÕES!O1148=""),NEGOCIAÇÕES!N1148,"")</f>
        <v/>
      </c>
    </row>
    <row r="1149" spans="2:5" ht="31.95" hidden="1" customHeight="1" x14ac:dyDescent="0.3">
      <c r="B1149" s="6" t="str">
        <f ca="1">IF(AND(NEGOCIAÇÕES!O1149="",NEGOCIAÇÕES!N1149&gt;TODAY()),NEGOCIAÇÕES!C1149,"")</f>
        <v/>
      </c>
      <c r="C1149" s="6" t="str">
        <f ca="1">IF(AND(NEGOCIAÇÕES!O1149="",NEGOCIAÇÕES!N1149&gt;TODAY()),NEGOCIAÇÕES!E1149,"")</f>
        <v/>
      </c>
      <c r="D1149" s="6" t="str">
        <f ca="1">IF(AND(NEGOCIAÇÕES!O1149="",NEGOCIAÇÕES!N1149&gt;TODAY()),NEGOCIAÇÕES!D1149,"")</f>
        <v/>
      </c>
      <c r="E1149" s="9" t="str">
        <f>IF(AND(NEGOCIAÇÕES!B1149&lt;&gt;"",NEGOCIAÇÕES!O1149=""),NEGOCIAÇÕES!N1149,"")</f>
        <v/>
      </c>
    </row>
    <row r="1150" spans="2:5" ht="31.95" hidden="1" customHeight="1" x14ac:dyDescent="0.3">
      <c r="B1150" s="6" t="str">
        <f ca="1">IF(AND(NEGOCIAÇÕES!O1150="",NEGOCIAÇÕES!N1150&gt;TODAY()),NEGOCIAÇÕES!C1150,"")</f>
        <v/>
      </c>
      <c r="C1150" s="6" t="str">
        <f ca="1">IF(AND(NEGOCIAÇÕES!O1150="",NEGOCIAÇÕES!N1150&gt;TODAY()),NEGOCIAÇÕES!E1150,"")</f>
        <v/>
      </c>
      <c r="D1150" s="6" t="str">
        <f ca="1">IF(AND(NEGOCIAÇÕES!O1150="",NEGOCIAÇÕES!N1150&gt;TODAY()),NEGOCIAÇÕES!D1150,"")</f>
        <v/>
      </c>
      <c r="E1150" s="9" t="str">
        <f>IF(AND(NEGOCIAÇÕES!B1150&lt;&gt;"",NEGOCIAÇÕES!O1150=""),NEGOCIAÇÕES!N1150,"")</f>
        <v/>
      </c>
    </row>
    <row r="1151" spans="2:5" ht="31.95" hidden="1" customHeight="1" x14ac:dyDescent="0.3">
      <c r="B1151" s="6" t="str">
        <f ca="1">IF(AND(NEGOCIAÇÕES!O1151="",NEGOCIAÇÕES!N1151&gt;TODAY()),NEGOCIAÇÕES!C1151,"")</f>
        <v/>
      </c>
      <c r="C1151" s="6" t="str">
        <f ca="1">IF(AND(NEGOCIAÇÕES!O1151="",NEGOCIAÇÕES!N1151&gt;TODAY()),NEGOCIAÇÕES!E1151,"")</f>
        <v/>
      </c>
      <c r="D1151" s="6" t="str">
        <f ca="1">IF(AND(NEGOCIAÇÕES!O1151="",NEGOCIAÇÕES!N1151&gt;TODAY()),NEGOCIAÇÕES!D1151,"")</f>
        <v/>
      </c>
      <c r="E1151" s="9" t="str">
        <f>IF(AND(NEGOCIAÇÕES!B1151&lt;&gt;"",NEGOCIAÇÕES!O1151=""),NEGOCIAÇÕES!N1151,"")</f>
        <v/>
      </c>
    </row>
    <row r="1152" spans="2:5" ht="31.95" hidden="1" customHeight="1" x14ac:dyDescent="0.3">
      <c r="B1152" s="6" t="str">
        <f ca="1">IF(AND(NEGOCIAÇÕES!O1152="",NEGOCIAÇÕES!N1152&gt;TODAY()),NEGOCIAÇÕES!C1152,"")</f>
        <v/>
      </c>
      <c r="C1152" s="6" t="str">
        <f ca="1">IF(AND(NEGOCIAÇÕES!O1152="",NEGOCIAÇÕES!N1152&gt;TODAY()),NEGOCIAÇÕES!E1152,"")</f>
        <v/>
      </c>
      <c r="D1152" s="6" t="str">
        <f ca="1">IF(AND(NEGOCIAÇÕES!O1152="",NEGOCIAÇÕES!N1152&gt;TODAY()),NEGOCIAÇÕES!D1152,"")</f>
        <v/>
      </c>
      <c r="E1152" s="9" t="str">
        <f>IF(AND(NEGOCIAÇÕES!B1152&lt;&gt;"",NEGOCIAÇÕES!O1152=""),NEGOCIAÇÕES!N1152,"")</f>
        <v/>
      </c>
    </row>
    <row r="1153" spans="2:5" ht="31.95" hidden="1" customHeight="1" x14ac:dyDescent="0.3">
      <c r="B1153" s="6" t="str">
        <f ca="1">IF(AND(NEGOCIAÇÕES!O1153="",NEGOCIAÇÕES!N1153&gt;TODAY()),NEGOCIAÇÕES!C1153,"")</f>
        <v/>
      </c>
      <c r="C1153" s="6" t="str">
        <f ca="1">IF(AND(NEGOCIAÇÕES!O1153="",NEGOCIAÇÕES!N1153&gt;TODAY()),NEGOCIAÇÕES!E1153,"")</f>
        <v/>
      </c>
      <c r="D1153" s="6" t="str">
        <f ca="1">IF(AND(NEGOCIAÇÕES!O1153="",NEGOCIAÇÕES!N1153&gt;TODAY()),NEGOCIAÇÕES!D1153,"")</f>
        <v/>
      </c>
      <c r="E1153" s="9" t="str">
        <f>IF(AND(NEGOCIAÇÕES!B1153&lt;&gt;"",NEGOCIAÇÕES!O1153=""),NEGOCIAÇÕES!N1153,"")</f>
        <v/>
      </c>
    </row>
    <row r="1154" spans="2:5" ht="31.95" hidden="1" customHeight="1" x14ac:dyDescent="0.3">
      <c r="B1154" s="6" t="str">
        <f ca="1">IF(AND(NEGOCIAÇÕES!O1154="",NEGOCIAÇÕES!N1154&gt;TODAY()),NEGOCIAÇÕES!C1154,"")</f>
        <v/>
      </c>
      <c r="C1154" s="6" t="str">
        <f ca="1">IF(AND(NEGOCIAÇÕES!O1154="",NEGOCIAÇÕES!N1154&gt;TODAY()),NEGOCIAÇÕES!E1154,"")</f>
        <v/>
      </c>
      <c r="D1154" s="6" t="str">
        <f ca="1">IF(AND(NEGOCIAÇÕES!O1154="",NEGOCIAÇÕES!N1154&gt;TODAY()),NEGOCIAÇÕES!D1154,"")</f>
        <v/>
      </c>
      <c r="E1154" s="9" t="str">
        <f>IF(AND(NEGOCIAÇÕES!B1154&lt;&gt;"",NEGOCIAÇÕES!O1154=""),NEGOCIAÇÕES!N1154,"")</f>
        <v/>
      </c>
    </row>
    <row r="1155" spans="2:5" ht="31.95" hidden="1" customHeight="1" x14ac:dyDescent="0.3">
      <c r="B1155" s="6" t="str">
        <f ca="1">IF(AND(NEGOCIAÇÕES!O1155="",NEGOCIAÇÕES!N1155&gt;TODAY()),NEGOCIAÇÕES!C1155,"")</f>
        <v/>
      </c>
      <c r="C1155" s="6" t="str">
        <f ca="1">IF(AND(NEGOCIAÇÕES!O1155="",NEGOCIAÇÕES!N1155&gt;TODAY()),NEGOCIAÇÕES!E1155,"")</f>
        <v/>
      </c>
      <c r="D1155" s="6" t="str">
        <f ca="1">IF(AND(NEGOCIAÇÕES!O1155="",NEGOCIAÇÕES!N1155&gt;TODAY()),NEGOCIAÇÕES!D1155,"")</f>
        <v/>
      </c>
      <c r="E1155" s="9" t="str">
        <f>IF(AND(NEGOCIAÇÕES!B1155&lt;&gt;"",NEGOCIAÇÕES!O1155=""),NEGOCIAÇÕES!N1155,"")</f>
        <v/>
      </c>
    </row>
    <row r="1156" spans="2:5" ht="31.95" hidden="1" customHeight="1" x14ac:dyDescent="0.3">
      <c r="B1156" s="6" t="str">
        <f ca="1">IF(AND(NEGOCIAÇÕES!O1156="",NEGOCIAÇÕES!N1156&gt;TODAY()),NEGOCIAÇÕES!C1156,"")</f>
        <v/>
      </c>
      <c r="C1156" s="6" t="str">
        <f ca="1">IF(AND(NEGOCIAÇÕES!O1156="",NEGOCIAÇÕES!N1156&gt;TODAY()),NEGOCIAÇÕES!E1156,"")</f>
        <v/>
      </c>
      <c r="D1156" s="6" t="str">
        <f ca="1">IF(AND(NEGOCIAÇÕES!O1156="",NEGOCIAÇÕES!N1156&gt;TODAY()),NEGOCIAÇÕES!D1156,"")</f>
        <v/>
      </c>
      <c r="E1156" s="9" t="str">
        <f>IF(AND(NEGOCIAÇÕES!B1156&lt;&gt;"",NEGOCIAÇÕES!O1156=""),NEGOCIAÇÕES!N1156,"")</f>
        <v/>
      </c>
    </row>
    <row r="1157" spans="2:5" ht="31.95" hidden="1" customHeight="1" x14ac:dyDescent="0.3">
      <c r="B1157" s="6" t="str">
        <f ca="1">IF(AND(NEGOCIAÇÕES!O1157="",NEGOCIAÇÕES!N1157&gt;TODAY()),NEGOCIAÇÕES!C1157,"")</f>
        <v/>
      </c>
      <c r="C1157" s="6" t="str">
        <f ca="1">IF(AND(NEGOCIAÇÕES!O1157="",NEGOCIAÇÕES!N1157&gt;TODAY()),NEGOCIAÇÕES!E1157,"")</f>
        <v/>
      </c>
      <c r="D1157" s="6" t="str">
        <f ca="1">IF(AND(NEGOCIAÇÕES!O1157="",NEGOCIAÇÕES!N1157&gt;TODAY()),NEGOCIAÇÕES!D1157,"")</f>
        <v/>
      </c>
      <c r="E1157" s="9" t="str">
        <f>IF(AND(NEGOCIAÇÕES!B1157&lt;&gt;"",NEGOCIAÇÕES!O1157=""),NEGOCIAÇÕES!N1157,"")</f>
        <v/>
      </c>
    </row>
    <row r="1158" spans="2:5" ht="31.95" hidden="1" customHeight="1" x14ac:dyDescent="0.3">
      <c r="B1158" s="6" t="str">
        <f ca="1">IF(AND(NEGOCIAÇÕES!O1158="",NEGOCIAÇÕES!N1158&gt;TODAY()),NEGOCIAÇÕES!C1158,"")</f>
        <v/>
      </c>
      <c r="C1158" s="6" t="str">
        <f ca="1">IF(AND(NEGOCIAÇÕES!O1158="",NEGOCIAÇÕES!N1158&gt;TODAY()),NEGOCIAÇÕES!E1158,"")</f>
        <v/>
      </c>
      <c r="D1158" s="6" t="str">
        <f ca="1">IF(AND(NEGOCIAÇÕES!O1158="",NEGOCIAÇÕES!N1158&gt;TODAY()),NEGOCIAÇÕES!D1158,"")</f>
        <v/>
      </c>
      <c r="E1158" s="9" t="str">
        <f>IF(AND(NEGOCIAÇÕES!B1158&lt;&gt;"",NEGOCIAÇÕES!O1158=""),NEGOCIAÇÕES!N1158,"")</f>
        <v/>
      </c>
    </row>
    <row r="1159" spans="2:5" ht="31.95" hidden="1" customHeight="1" x14ac:dyDescent="0.3">
      <c r="B1159" s="6" t="str">
        <f ca="1">IF(AND(NEGOCIAÇÕES!O1159="",NEGOCIAÇÕES!N1159&gt;TODAY()),NEGOCIAÇÕES!C1159,"")</f>
        <v/>
      </c>
      <c r="C1159" s="6" t="str">
        <f ca="1">IF(AND(NEGOCIAÇÕES!O1159="",NEGOCIAÇÕES!N1159&gt;TODAY()),NEGOCIAÇÕES!E1159,"")</f>
        <v/>
      </c>
      <c r="D1159" s="6" t="str">
        <f ca="1">IF(AND(NEGOCIAÇÕES!O1159="",NEGOCIAÇÕES!N1159&gt;TODAY()),NEGOCIAÇÕES!D1159,"")</f>
        <v/>
      </c>
      <c r="E1159" s="9" t="str">
        <f>IF(AND(NEGOCIAÇÕES!B1159&lt;&gt;"",NEGOCIAÇÕES!O1159=""),NEGOCIAÇÕES!N1159,"")</f>
        <v/>
      </c>
    </row>
    <row r="1160" spans="2:5" ht="31.95" hidden="1" customHeight="1" x14ac:dyDescent="0.3">
      <c r="B1160" s="6" t="str">
        <f ca="1">IF(AND(NEGOCIAÇÕES!O1160="",NEGOCIAÇÕES!N1160&gt;TODAY()),NEGOCIAÇÕES!C1160,"")</f>
        <v/>
      </c>
      <c r="C1160" s="6" t="str">
        <f ca="1">IF(AND(NEGOCIAÇÕES!O1160="",NEGOCIAÇÕES!N1160&gt;TODAY()),NEGOCIAÇÕES!E1160,"")</f>
        <v/>
      </c>
      <c r="D1160" s="6" t="str">
        <f ca="1">IF(AND(NEGOCIAÇÕES!O1160="",NEGOCIAÇÕES!N1160&gt;TODAY()),NEGOCIAÇÕES!D1160,"")</f>
        <v/>
      </c>
      <c r="E1160" s="9" t="str">
        <f>IF(AND(NEGOCIAÇÕES!B1160&lt;&gt;"",NEGOCIAÇÕES!O1160=""),NEGOCIAÇÕES!N1160,"")</f>
        <v/>
      </c>
    </row>
    <row r="1161" spans="2:5" ht="31.95" hidden="1" customHeight="1" x14ac:dyDescent="0.3">
      <c r="B1161" s="6" t="str">
        <f ca="1">IF(AND(NEGOCIAÇÕES!O1161="",NEGOCIAÇÕES!N1161&gt;TODAY()),NEGOCIAÇÕES!C1161,"")</f>
        <v/>
      </c>
      <c r="C1161" s="6" t="str">
        <f ca="1">IF(AND(NEGOCIAÇÕES!O1161="",NEGOCIAÇÕES!N1161&gt;TODAY()),NEGOCIAÇÕES!E1161,"")</f>
        <v/>
      </c>
      <c r="D1161" s="6" t="str">
        <f ca="1">IF(AND(NEGOCIAÇÕES!O1161="",NEGOCIAÇÕES!N1161&gt;TODAY()),NEGOCIAÇÕES!D1161,"")</f>
        <v/>
      </c>
      <c r="E1161" s="9" t="str">
        <f>IF(AND(NEGOCIAÇÕES!B1161&lt;&gt;"",NEGOCIAÇÕES!O1161=""),NEGOCIAÇÕES!N1161,"")</f>
        <v/>
      </c>
    </row>
    <row r="1162" spans="2:5" ht="31.95" hidden="1" customHeight="1" x14ac:dyDescent="0.3">
      <c r="B1162" s="6" t="str">
        <f ca="1">IF(AND(NEGOCIAÇÕES!O1162="",NEGOCIAÇÕES!N1162&gt;TODAY()),NEGOCIAÇÕES!C1162,"")</f>
        <v/>
      </c>
      <c r="C1162" s="6" t="str">
        <f ca="1">IF(AND(NEGOCIAÇÕES!O1162="",NEGOCIAÇÕES!N1162&gt;TODAY()),NEGOCIAÇÕES!E1162,"")</f>
        <v/>
      </c>
      <c r="D1162" s="6" t="str">
        <f ca="1">IF(AND(NEGOCIAÇÕES!O1162="",NEGOCIAÇÕES!N1162&gt;TODAY()),NEGOCIAÇÕES!D1162,"")</f>
        <v/>
      </c>
      <c r="E1162" s="9" t="str">
        <f>IF(AND(NEGOCIAÇÕES!B1162&lt;&gt;"",NEGOCIAÇÕES!O1162=""),NEGOCIAÇÕES!N1162,"")</f>
        <v/>
      </c>
    </row>
    <row r="1163" spans="2:5" ht="31.95" hidden="1" customHeight="1" x14ac:dyDescent="0.3">
      <c r="B1163" s="6" t="str">
        <f ca="1">IF(AND(NEGOCIAÇÕES!O1163="",NEGOCIAÇÕES!N1163&gt;TODAY()),NEGOCIAÇÕES!C1163,"")</f>
        <v/>
      </c>
      <c r="C1163" s="6" t="str">
        <f ca="1">IF(AND(NEGOCIAÇÕES!O1163="",NEGOCIAÇÕES!N1163&gt;TODAY()),NEGOCIAÇÕES!E1163,"")</f>
        <v/>
      </c>
      <c r="D1163" s="6" t="str">
        <f ca="1">IF(AND(NEGOCIAÇÕES!O1163="",NEGOCIAÇÕES!N1163&gt;TODAY()),NEGOCIAÇÕES!D1163,"")</f>
        <v/>
      </c>
      <c r="E1163" s="9" t="str">
        <f>IF(AND(NEGOCIAÇÕES!B1163&lt;&gt;"",NEGOCIAÇÕES!O1163=""),NEGOCIAÇÕES!N1163,"")</f>
        <v/>
      </c>
    </row>
    <row r="1164" spans="2:5" ht="31.95" hidden="1" customHeight="1" x14ac:dyDescent="0.3">
      <c r="B1164" s="6" t="str">
        <f ca="1">IF(AND(NEGOCIAÇÕES!O1164="",NEGOCIAÇÕES!N1164&gt;TODAY()),NEGOCIAÇÕES!C1164,"")</f>
        <v/>
      </c>
      <c r="C1164" s="6" t="str">
        <f ca="1">IF(AND(NEGOCIAÇÕES!O1164="",NEGOCIAÇÕES!N1164&gt;TODAY()),NEGOCIAÇÕES!E1164,"")</f>
        <v/>
      </c>
      <c r="D1164" s="6" t="str">
        <f ca="1">IF(AND(NEGOCIAÇÕES!O1164="",NEGOCIAÇÕES!N1164&gt;TODAY()),NEGOCIAÇÕES!D1164,"")</f>
        <v/>
      </c>
      <c r="E1164" s="9" t="str">
        <f>IF(AND(NEGOCIAÇÕES!B1164&lt;&gt;"",NEGOCIAÇÕES!O1164=""),NEGOCIAÇÕES!N1164,"")</f>
        <v/>
      </c>
    </row>
    <row r="1165" spans="2:5" ht="31.95" hidden="1" customHeight="1" x14ac:dyDescent="0.3">
      <c r="B1165" s="6" t="str">
        <f ca="1">IF(AND(NEGOCIAÇÕES!O1165="",NEGOCIAÇÕES!N1165&gt;TODAY()),NEGOCIAÇÕES!C1165,"")</f>
        <v/>
      </c>
      <c r="C1165" s="6" t="str">
        <f ca="1">IF(AND(NEGOCIAÇÕES!O1165="",NEGOCIAÇÕES!N1165&gt;TODAY()),NEGOCIAÇÕES!E1165,"")</f>
        <v/>
      </c>
      <c r="D1165" s="6" t="str">
        <f ca="1">IF(AND(NEGOCIAÇÕES!O1165="",NEGOCIAÇÕES!N1165&gt;TODAY()),NEGOCIAÇÕES!D1165,"")</f>
        <v/>
      </c>
      <c r="E1165" s="9" t="str">
        <f>IF(AND(NEGOCIAÇÕES!B1165&lt;&gt;"",NEGOCIAÇÕES!O1165=""),NEGOCIAÇÕES!N1165,"")</f>
        <v/>
      </c>
    </row>
    <row r="1166" spans="2:5" ht="31.95" hidden="1" customHeight="1" x14ac:dyDescent="0.3">
      <c r="B1166" s="6" t="str">
        <f ca="1">IF(AND(NEGOCIAÇÕES!O1166="",NEGOCIAÇÕES!N1166&gt;TODAY()),NEGOCIAÇÕES!C1166,"")</f>
        <v/>
      </c>
      <c r="C1166" s="6" t="str">
        <f ca="1">IF(AND(NEGOCIAÇÕES!O1166="",NEGOCIAÇÕES!N1166&gt;TODAY()),NEGOCIAÇÕES!E1166,"")</f>
        <v/>
      </c>
      <c r="D1166" s="6" t="str">
        <f ca="1">IF(AND(NEGOCIAÇÕES!O1166="",NEGOCIAÇÕES!N1166&gt;TODAY()),NEGOCIAÇÕES!D1166,"")</f>
        <v/>
      </c>
      <c r="E1166" s="9" t="str">
        <f>IF(AND(NEGOCIAÇÕES!B1166&lt;&gt;"",NEGOCIAÇÕES!O1166=""),NEGOCIAÇÕES!N1166,"")</f>
        <v/>
      </c>
    </row>
    <row r="1167" spans="2:5" ht="31.95" hidden="1" customHeight="1" x14ac:dyDescent="0.3">
      <c r="B1167" s="6" t="str">
        <f ca="1">IF(AND(NEGOCIAÇÕES!O1167="",NEGOCIAÇÕES!N1167&gt;TODAY()),NEGOCIAÇÕES!C1167,"")</f>
        <v/>
      </c>
      <c r="C1167" s="6" t="str">
        <f ca="1">IF(AND(NEGOCIAÇÕES!O1167="",NEGOCIAÇÕES!N1167&gt;TODAY()),NEGOCIAÇÕES!E1167,"")</f>
        <v/>
      </c>
      <c r="D1167" s="6" t="str">
        <f ca="1">IF(AND(NEGOCIAÇÕES!O1167="",NEGOCIAÇÕES!N1167&gt;TODAY()),NEGOCIAÇÕES!D1167,"")</f>
        <v/>
      </c>
      <c r="E1167" s="9" t="str">
        <f>IF(AND(NEGOCIAÇÕES!B1167&lt;&gt;"",NEGOCIAÇÕES!O1167=""),NEGOCIAÇÕES!N1167,"")</f>
        <v/>
      </c>
    </row>
    <row r="1168" spans="2:5" ht="31.95" hidden="1" customHeight="1" x14ac:dyDescent="0.3">
      <c r="B1168" s="6" t="str">
        <f ca="1">IF(AND(NEGOCIAÇÕES!O1168="",NEGOCIAÇÕES!N1168&gt;TODAY()),NEGOCIAÇÕES!C1168,"")</f>
        <v/>
      </c>
      <c r="C1168" s="6" t="str">
        <f ca="1">IF(AND(NEGOCIAÇÕES!O1168="",NEGOCIAÇÕES!N1168&gt;TODAY()),NEGOCIAÇÕES!E1168,"")</f>
        <v/>
      </c>
      <c r="D1168" s="6" t="str">
        <f ca="1">IF(AND(NEGOCIAÇÕES!O1168="",NEGOCIAÇÕES!N1168&gt;TODAY()),NEGOCIAÇÕES!D1168,"")</f>
        <v/>
      </c>
      <c r="E1168" s="9" t="str">
        <f>IF(AND(NEGOCIAÇÕES!B1168&lt;&gt;"",NEGOCIAÇÕES!O1168=""),NEGOCIAÇÕES!N1168,"")</f>
        <v/>
      </c>
    </row>
    <row r="1169" spans="2:5" ht="31.95" hidden="1" customHeight="1" x14ac:dyDescent="0.3">
      <c r="B1169" s="6" t="str">
        <f ca="1">IF(AND(NEGOCIAÇÕES!O1169="",NEGOCIAÇÕES!N1169&gt;TODAY()),NEGOCIAÇÕES!C1169,"")</f>
        <v/>
      </c>
      <c r="C1169" s="6" t="str">
        <f ca="1">IF(AND(NEGOCIAÇÕES!O1169="",NEGOCIAÇÕES!N1169&gt;TODAY()),NEGOCIAÇÕES!E1169,"")</f>
        <v/>
      </c>
      <c r="D1169" s="6" t="str">
        <f ca="1">IF(AND(NEGOCIAÇÕES!O1169="",NEGOCIAÇÕES!N1169&gt;TODAY()),NEGOCIAÇÕES!D1169,"")</f>
        <v/>
      </c>
      <c r="E1169" s="9" t="str">
        <f>IF(AND(NEGOCIAÇÕES!B1169&lt;&gt;"",NEGOCIAÇÕES!O1169=""),NEGOCIAÇÕES!N1169,"")</f>
        <v/>
      </c>
    </row>
    <row r="1170" spans="2:5" ht="31.95" hidden="1" customHeight="1" x14ac:dyDescent="0.3">
      <c r="B1170" s="6" t="str">
        <f ca="1">IF(AND(NEGOCIAÇÕES!O1170="",NEGOCIAÇÕES!N1170&gt;TODAY()),NEGOCIAÇÕES!C1170,"")</f>
        <v/>
      </c>
      <c r="C1170" s="6" t="str">
        <f ca="1">IF(AND(NEGOCIAÇÕES!O1170="",NEGOCIAÇÕES!N1170&gt;TODAY()),NEGOCIAÇÕES!E1170,"")</f>
        <v/>
      </c>
      <c r="D1170" s="6" t="str">
        <f ca="1">IF(AND(NEGOCIAÇÕES!O1170="",NEGOCIAÇÕES!N1170&gt;TODAY()),NEGOCIAÇÕES!D1170,"")</f>
        <v/>
      </c>
      <c r="E1170" s="9" t="str">
        <f>IF(AND(NEGOCIAÇÕES!B1170&lt;&gt;"",NEGOCIAÇÕES!O1170=""),NEGOCIAÇÕES!N1170,"")</f>
        <v/>
      </c>
    </row>
    <row r="1171" spans="2:5" ht="31.95" hidden="1" customHeight="1" x14ac:dyDescent="0.3">
      <c r="B1171" s="6" t="str">
        <f ca="1">IF(AND(NEGOCIAÇÕES!O1171="",NEGOCIAÇÕES!N1171&gt;TODAY()),NEGOCIAÇÕES!C1171,"")</f>
        <v/>
      </c>
      <c r="C1171" s="6" t="str">
        <f ca="1">IF(AND(NEGOCIAÇÕES!O1171="",NEGOCIAÇÕES!N1171&gt;TODAY()),NEGOCIAÇÕES!E1171,"")</f>
        <v/>
      </c>
      <c r="D1171" s="6" t="str">
        <f ca="1">IF(AND(NEGOCIAÇÕES!O1171="",NEGOCIAÇÕES!N1171&gt;TODAY()),NEGOCIAÇÕES!D1171,"")</f>
        <v/>
      </c>
      <c r="E1171" s="9" t="str">
        <f>IF(AND(NEGOCIAÇÕES!B1171&lt;&gt;"",NEGOCIAÇÕES!O1171=""),NEGOCIAÇÕES!N1171,"")</f>
        <v/>
      </c>
    </row>
    <row r="1172" spans="2:5" ht="31.95" hidden="1" customHeight="1" x14ac:dyDescent="0.3">
      <c r="B1172" s="6" t="str">
        <f ca="1">IF(AND(NEGOCIAÇÕES!O1172="",NEGOCIAÇÕES!N1172&gt;TODAY()),NEGOCIAÇÕES!C1172,"")</f>
        <v/>
      </c>
      <c r="C1172" s="6" t="str">
        <f ca="1">IF(AND(NEGOCIAÇÕES!O1172="",NEGOCIAÇÕES!N1172&gt;TODAY()),NEGOCIAÇÕES!E1172,"")</f>
        <v/>
      </c>
      <c r="D1172" s="6" t="str">
        <f ca="1">IF(AND(NEGOCIAÇÕES!O1172="",NEGOCIAÇÕES!N1172&gt;TODAY()),NEGOCIAÇÕES!D1172,"")</f>
        <v/>
      </c>
      <c r="E1172" s="9" t="str">
        <f>IF(AND(NEGOCIAÇÕES!B1172&lt;&gt;"",NEGOCIAÇÕES!O1172=""),NEGOCIAÇÕES!N1172,"")</f>
        <v/>
      </c>
    </row>
    <row r="1173" spans="2:5" ht="31.95" hidden="1" customHeight="1" x14ac:dyDescent="0.3">
      <c r="B1173" s="6" t="str">
        <f ca="1">IF(AND(NEGOCIAÇÕES!O1173="",NEGOCIAÇÕES!N1173&gt;TODAY()),NEGOCIAÇÕES!C1173,"")</f>
        <v/>
      </c>
      <c r="C1173" s="6" t="str">
        <f ca="1">IF(AND(NEGOCIAÇÕES!O1173="",NEGOCIAÇÕES!N1173&gt;TODAY()),NEGOCIAÇÕES!E1173,"")</f>
        <v/>
      </c>
      <c r="D1173" s="6" t="str">
        <f ca="1">IF(AND(NEGOCIAÇÕES!O1173="",NEGOCIAÇÕES!N1173&gt;TODAY()),NEGOCIAÇÕES!D1173,"")</f>
        <v/>
      </c>
      <c r="E1173" s="9" t="str">
        <f>IF(AND(NEGOCIAÇÕES!B1173&lt;&gt;"",NEGOCIAÇÕES!O1173=""),NEGOCIAÇÕES!N1173,"")</f>
        <v/>
      </c>
    </row>
    <row r="1174" spans="2:5" ht="31.95" hidden="1" customHeight="1" x14ac:dyDescent="0.3">
      <c r="B1174" s="6" t="str">
        <f ca="1">IF(AND(NEGOCIAÇÕES!O1174="",NEGOCIAÇÕES!N1174&gt;TODAY()),NEGOCIAÇÕES!C1174,"")</f>
        <v/>
      </c>
      <c r="C1174" s="6" t="str">
        <f ca="1">IF(AND(NEGOCIAÇÕES!O1174="",NEGOCIAÇÕES!N1174&gt;TODAY()),NEGOCIAÇÕES!E1174,"")</f>
        <v/>
      </c>
      <c r="D1174" s="6" t="str">
        <f ca="1">IF(AND(NEGOCIAÇÕES!O1174="",NEGOCIAÇÕES!N1174&gt;TODAY()),NEGOCIAÇÕES!D1174,"")</f>
        <v/>
      </c>
      <c r="E1174" s="9" t="str">
        <f>IF(AND(NEGOCIAÇÕES!B1174&lt;&gt;"",NEGOCIAÇÕES!O1174=""),NEGOCIAÇÕES!N1174,"")</f>
        <v/>
      </c>
    </row>
    <row r="1175" spans="2:5" ht="31.95" hidden="1" customHeight="1" x14ac:dyDescent="0.3">
      <c r="B1175" s="6" t="str">
        <f ca="1">IF(AND(NEGOCIAÇÕES!O1175="",NEGOCIAÇÕES!N1175&gt;TODAY()),NEGOCIAÇÕES!C1175,"")</f>
        <v/>
      </c>
      <c r="C1175" s="6" t="str">
        <f ca="1">IF(AND(NEGOCIAÇÕES!O1175="",NEGOCIAÇÕES!N1175&gt;TODAY()),NEGOCIAÇÕES!E1175,"")</f>
        <v/>
      </c>
      <c r="D1175" s="6" t="str">
        <f ca="1">IF(AND(NEGOCIAÇÕES!O1175="",NEGOCIAÇÕES!N1175&gt;TODAY()),NEGOCIAÇÕES!D1175,"")</f>
        <v/>
      </c>
      <c r="E1175" s="9" t="str">
        <f>IF(AND(NEGOCIAÇÕES!B1175&lt;&gt;"",NEGOCIAÇÕES!O1175=""),NEGOCIAÇÕES!N1175,"")</f>
        <v/>
      </c>
    </row>
    <row r="1176" spans="2:5" ht="31.95" hidden="1" customHeight="1" x14ac:dyDescent="0.3">
      <c r="B1176" s="6" t="str">
        <f ca="1">IF(AND(NEGOCIAÇÕES!O1176="",NEGOCIAÇÕES!N1176&gt;TODAY()),NEGOCIAÇÕES!C1176,"")</f>
        <v/>
      </c>
      <c r="C1176" s="6" t="str">
        <f ca="1">IF(AND(NEGOCIAÇÕES!O1176="",NEGOCIAÇÕES!N1176&gt;TODAY()),NEGOCIAÇÕES!E1176,"")</f>
        <v/>
      </c>
      <c r="D1176" s="6" t="str">
        <f ca="1">IF(AND(NEGOCIAÇÕES!O1176="",NEGOCIAÇÕES!N1176&gt;TODAY()),NEGOCIAÇÕES!D1176,"")</f>
        <v/>
      </c>
      <c r="E1176" s="9" t="str">
        <f>IF(AND(NEGOCIAÇÕES!B1176&lt;&gt;"",NEGOCIAÇÕES!O1176=""),NEGOCIAÇÕES!N1176,"")</f>
        <v/>
      </c>
    </row>
    <row r="1177" spans="2:5" ht="31.95" hidden="1" customHeight="1" x14ac:dyDescent="0.3">
      <c r="B1177" s="6" t="str">
        <f ca="1">IF(AND(NEGOCIAÇÕES!O1177="",NEGOCIAÇÕES!N1177&gt;TODAY()),NEGOCIAÇÕES!C1177,"")</f>
        <v/>
      </c>
      <c r="C1177" s="6" t="str">
        <f ca="1">IF(AND(NEGOCIAÇÕES!O1177="",NEGOCIAÇÕES!N1177&gt;TODAY()),NEGOCIAÇÕES!E1177,"")</f>
        <v/>
      </c>
      <c r="D1177" s="6" t="str">
        <f ca="1">IF(AND(NEGOCIAÇÕES!O1177="",NEGOCIAÇÕES!N1177&gt;TODAY()),NEGOCIAÇÕES!D1177,"")</f>
        <v/>
      </c>
      <c r="E1177" s="9" t="str">
        <f>IF(AND(NEGOCIAÇÕES!B1177&lt;&gt;"",NEGOCIAÇÕES!O1177=""),NEGOCIAÇÕES!N1177,"")</f>
        <v/>
      </c>
    </row>
    <row r="1178" spans="2:5" ht="31.95" hidden="1" customHeight="1" x14ac:dyDescent="0.3">
      <c r="B1178" s="6" t="str">
        <f ca="1">IF(AND(NEGOCIAÇÕES!O1178="",NEGOCIAÇÕES!N1178&gt;TODAY()),NEGOCIAÇÕES!C1178,"")</f>
        <v/>
      </c>
      <c r="C1178" s="6" t="str">
        <f ca="1">IF(AND(NEGOCIAÇÕES!O1178="",NEGOCIAÇÕES!N1178&gt;TODAY()),NEGOCIAÇÕES!E1178,"")</f>
        <v/>
      </c>
      <c r="D1178" s="6" t="str">
        <f ca="1">IF(AND(NEGOCIAÇÕES!O1178="",NEGOCIAÇÕES!N1178&gt;TODAY()),NEGOCIAÇÕES!D1178,"")</f>
        <v/>
      </c>
      <c r="E1178" s="9" t="str">
        <f>IF(AND(NEGOCIAÇÕES!B1178&lt;&gt;"",NEGOCIAÇÕES!O1178=""),NEGOCIAÇÕES!N1178,"")</f>
        <v/>
      </c>
    </row>
    <row r="1179" spans="2:5" ht="31.95" hidden="1" customHeight="1" x14ac:dyDescent="0.3">
      <c r="B1179" s="6" t="str">
        <f ca="1">IF(AND(NEGOCIAÇÕES!O1179="",NEGOCIAÇÕES!N1179&gt;TODAY()),NEGOCIAÇÕES!C1179,"")</f>
        <v/>
      </c>
      <c r="C1179" s="6" t="str">
        <f ca="1">IF(AND(NEGOCIAÇÕES!O1179="",NEGOCIAÇÕES!N1179&gt;TODAY()),NEGOCIAÇÕES!E1179,"")</f>
        <v/>
      </c>
      <c r="D1179" s="6" t="str">
        <f ca="1">IF(AND(NEGOCIAÇÕES!O1179="",NEGOCIAÇÕES!N1179&gt;TODAY()),NEGOCIAÇÕES!D1179,"")</f>
        <v/>
      </c>
      <c r="E1179" s="9" t="str">
        <f>IF(AND(NEGOCIAÇÕES!B1179&lt;&gt;"",NEGOCIAÇÕES!O1179=""),NEGOCIAÇÕES!N1179,"")</f>
        <v/>
      </c>
    </row>
    <row r="1180" spans="2:5" ht="31.95" hidden="1" customHeight="1" x14ac:dyDescent="0.3">
      <c r="B1180" s="6" t="str">
        <f ca="1">IF(AND(NEGOCIAÇÕES!O1180="",NEGOCIAÇÕES!N1180&gt;TODAY()),NEGOCIAÇÕES!C1180,"")</f>
        <v/>
      </c>
      <c r="C1180" s="6" t="str">
        <f ca="1">IF(AND(NEGOCIAÇÕES!O1180="",NEGOCIAÇÕES!N1180&gt;TODAY()),NEGOCIAÇÕES!E1180,"")</f>
        <v/>
      </c>
      <c r="D1180" s="6" t="str">
        <f ca="1">IF(AND(NEGOCIAÇÕES!O1180="",NEGOCIAÇÕES!N1180&gt;TODAY()),NEGOCIAÇÕES!D1180,"")</f>
        <v/>
      </c>
      <c r="E1180" s="9" t="str">
        <f>IF(AND(NEGOCIAÇÕES!B1180&lt;&gt;"",NEGOCIAÇÕES!O1180=""),NEGOCIAÇÕES!N1180,"")</f>
        <v/>
      </c>
    </row>
    <row r="1181" spans="2:5" ht="31.95" hidden="1" customHeight="1" x14ac:dyDescent="0.3">
      <c r="B1181" s="6" t="str">
        <f ca="1">IF(AND(NEGOCIAÇÕES!O1181="",NEGOCIAÇÕES!N1181&gt;TODAY()),NEGOCIAÇÕES!C1181,"")</f>
        <v/>
      </c>
      <c r="C1181" s="6" t="str">
        <f ca="1">IF(AND(NEGOCIAÇÕES!O1181="",NEGOCIAÇÕES!N1181&gt;TODAY()),NEGOCIAÇÕES!E1181,"")</f>
        <v/>
      </c>
      <c r="D1181" s="6" t="str">
        <f ca="1">IF(AND(NEGOCIAÇÕES!O1181="",NEGOCIAÇÕES!N1181&gt;TODAY()),NEGOCIAÇÕES!D1181,"")</f>
        <v/>
      </c>
      <c r="E1181" s="9" t="str">
        <f>IF(AND(NEGOCIAÇÕES!B1181&lt;&gt;"",NEGOCIAÇÕES!O1181=""),NEGOCIAÇÕES!N1181,"")</f>
        <v/>
      </c>
    </row>
    <row r="1182" spans="2:5" ht="31.95" hidden="1" customHeight="1" x14ac:dyDescent="0.3">
      <c r="B1182" s="6" t="str">
        <f ca="1">IF(AND(NEGOCIAÇÕES!O1182="",NEGOCIAÇÕES!N1182&gt;TODAY()),NEGOCIAÇÕES!C1182,"")</f>
        <v/>
      </c>
      <c r="C1182" s="6" t="str">
        <f ca="1">IF(AND(NEGOCIAÇÕES!O1182="",NEGOCIAÇÕES!N1182&gt;TODAY()),NEGOCIAÇÕES!E1182,"")</f>
        <v/>
      </c>
      <c r="D1182" s="6" t="str">
        <f ca="1">IF(AND(NEGOCIAÇÕES!O1182="",NEGOCIAÇÕES!N1182&gt;TODAY()),NEGOCIAÇÕES!D1182,"")</f>
        <v/>
      </c>
      <c r="E1182" s="9" t="str">
        <f>IF(AND(NEGOCIAÇÕES!B1182&lt;&gt;"",NEGOCIAÇÕES!O1182=""),NEGOCIAÇÕES!N1182,"")</f>
        <v/>
      </c>
    </row>
    <row r="1183" spans="2:5" ht="31.95" hidden="1" customHeight="1" x14ac:dyDescent="0.3">
      <c r="B1183" s="6" t="str">
        <f ca="1">IF(AND(NEGOCIAÇÕES!O1183="",NEGOCIAÇÕES!N1183&gt;TODAY()),NEGOCIAÇÕES!C1183,"")</f>
        <v/>
      </c>
      <c r="C1183" s="6" t="str">
        <f ca="1">IF(AND(NEGOCIAÇÕES!O1183="",NEGOCIAÇÕES!N1183&gt;TODAY()),NEGOCIAÇÕES!E1183,"")</f>
        <v/>
      </c>
      <c r="D1183" s="6" t="str">
        <f ca="1">IF(AND(NEGOCIAÇÕES!O1183="",NEGOCIAÇÕES!N1183&gt;TODAY()),NEGOCIAÇÕES!D1183,"")</f>
        <v/>
      </c>
      <c r="E1183" s="9" t="str">
        <f>IF(AND(NEGOCIAÇÕES!B1183&lt;&gt;"",NEGOCIAÇÕES!O1183=""),NEGOCIAÇÕES!N1183,"")</f>
        <v/>
      </c>
    </row>
    <row r="1184" spans="2:5" ht="31.95" hidden="1" customHeight="1" x14ac:dyDescent="0.3">
      <c r="B1184" s="6" t="str">
        <f ca="1">IF(AND(NEGOCIAÇÕES!O1184="",NEGOCIAÇÕES!N1184&gt;TODAY()),NEGOCIAÇÕES!C1184,"")</f>
        <v/>
      </c>
      <c r="C1184" s="6" t="str">
        <f ca="1">IF(AND(NEGOCIAÇÕES!O1184="",NEGOCIAÇÕES!N1184&gt;TODAY()),NEGOCIAÇÕES!E1184,"")</f>
        <v/>
      </c>
      <c r="D1184" s="6" t="str">
        <f ca="1">IF(AND(NEGOCIAÇÕES!O1184="",NEGOCIAÇÕES!N1184&gt;TODAY()),NEGOCIAÇÕES!D1184,"")</f>
        <v/>
      </c>
      <c r="E1184" s="9" t="str">
        <f>IF(AND(NEGOCIAÇÕES!B1184&lt;&gt;"",NEGOCIAÇÕES!O1184=""),NEGOCIAÇÕES!N1184,"")</f>
        <v/>
      </c>
    </row>
    <row r="1185" spans="2:5" ht="31.95" hidden="1" customHeight="1" x14ac:dyDescent="0.3">
      <c r="B1185" s="6" t="str">
        <f ca="1">IF(AND(NEGOCIAÇÕES!O1185="",NEGOCIAÇÕES!N1185&gt;TODAY()),NEGOCIAÇÕES!C1185,"")</f>
        <v/>
      </c>
      <c r="C1185" s="6" t="str">
        <f ca="1">IF(AND(NEGOCIAÇÕES!O1185="",NEGOCIAÇÕES!N1185&gt;TODAY()),NEGOCIAÇÕES!E1185,"")</f>
        <v/>
      </c>
      <c r="D1185" s="6" t="str">
        <f ca="1">IF(AND(NEGOCIAÇÕES!O1185="",NEGOCIAÇÕES!N1185&gt;TODAY()),NEGOCIAÇÕES!D1185,"")</f>
        <v/>
      </c>
      <c r="E1185" s="9" t="str">
        <f>IF(AND(NEGOCIAÇÕES!B1185&lt;&gt;"",NEGOCIAÇÕES!O1185=""),NEGOCIAÇÕES!N1185,"")</f>
        <v/>
      </c>
    </row>
    <row r="1186" spans="2:5" ht="31.95" hidden="1" customHeight="1" x14ac:dyDescent="0.3">
      <c r="B1186" s="6" t="str">
        <f ca="1">IF(AND(NEGOCIAÇÕES!O1186="",NEGOCIAÇÕES!N1186&gt;TODAY()),NEGOCIAÇÕES!C1186,"")</f>
        <v/>
      </c>
      <c r="C1186" s="6" t="str">
        <f ca="1">IF(AND(NEGOCIAÇÕES!O1186="",NEGOCIAÇÕES!N1186&gt;TODAY()),NEGOCIAÇÕES!E1186,"")</f>
        <v/>
      </c>
      <c r="D1186" s="6" t="str">
        <f ca="1">IF(AND(NEGOCIAÇÕES!O1186="",NEGOCIAÇÕES!N1186&gt;TODAY()),NEGOCIAÇÕES!D1186,"")</f>
        <v/>
      </c>
      <c r="E1186" s="9" t="str">
        <f>IF(AND(NEGOCIAÇÕES!B1186&lt;&gt;"",NEGOCIAÇÕES!O1186=""),NEGOCIAÇÕES!N1186,"")</f>
        <v/>
      </c>
    </row>
    <row r="1187" spans="2:5" ht="31.95" hidden="1" customHeight="1" x14ac:dyDescent="0.3">
      <c r="B1187" s="6" t="str">
        <f ca="1">IF(AND(NEGOCIAÇÕES!O1187="",NEGOCIAÇÕES!N1187&gt;TODAY()),NEGOCIAÇÕES!C1187,"")</f>
        <v/>
      </c>
      <c r="C1187" s="6" t="str">
        <f ca="1">IF(AND(NEGOCIAÇÕES!O1187="",NEGOCIAÇÕES!N1187&gt;TODAY()),NEGOCIAÇÕES!E1187,"")</f>
        <v/>
      </c>
      <c r="D1187" s="6" t="str">
        <f ca="1">IF(AND(NEGOCIAÇÕES!O1187="",NEGOCIAÇÕES!N1187&gt;TODAY()),NEGOCIAÇÕES!D1187,"")</f>
        <v/>
      </c>
      <c r="E1187" s="9" t="str">
        <f>IF(AND(NEGOCIAÇÕES!B1187&lt;&gt;"",NEGOCIAÇÕES!O1187=""),NEGOCIAÇÕES!N1187,"")</f>
        <v/>
      </c>
    </row>
    <row r="1188" spans="2:5" ht="31.95" hidden="1" customHeight="1" x14ac:dyDescent="0.3">
      <c r="B1188" s="6" t="str">
        <f ca="1">IF(AND(NEGOCIAÇÕES!O1188="",NEGOCIAÇÕES!N1188&gt;TODAY()),NEGOCIAÇÕES!C1188,"")</f>
        <v/>
      </c>
      <c r="C1188" s="6" t="str">
        <f ca="1">IF(AND(NEGOCIAÇÕES!O1188="",NEGOCIAÇÕES!N1188&gt;TODAY()),NEGOCIAÇÕES!E1188,"")</f>
        <v/>
      </c>
      <c r="D1188" s="6" t="str">
        <f ca="1">IF(AND(NEGOCIAÇÕES!O1188="",NEGOCIAÇÕES!N1188&gt;TODAY()),NEGOCIAÇÕES!D1188,"")</f>
        <v/>
      </c>
      <c r="E1188" s="9" t="str">
        <f>IF(AND(NEGOCIAÇÕES!B1188&lt;&gt;"",NEGOCIAÇÕES!O1188=""),NEGOCIAÇÕES!N1188,"")</f>
        <v/>
      </c>
    </row>
    <row r="1189" spans="2:5" ht="31.95" hidden="1" customHeight="1" x14ac:dyDescent="0.3">
      <c r="B1189" s="6" t="str">
        <f ca="1">IF(AND(NEGOCIAÇÕES!O1189="",NEGOCIAÇÕES!N1189&gt;TODAY()),NEGOCIAÇÕES!C1189,"")</f>
        <v/>
      </c>
      <c r="C1189" s="6" t="str">
        <f ca="1">IF(AND(NEGOCIAÇÕES!O1189="",NEGOCIAÇÕES!N1189&gt;TODAY()),NEGOCIAÇÕES!E1189,"")</f>
        <v/>
      </c>
      <c r="D1189" s="6" t="str">
        <f ca="1">IF(AND(NEGOCIAÇÕES!O1189="",NEGOCIAÇÕES!N1189&gt;TODAY()),NEGOCIAÇÕES!D1189,"")</f>
        <v/>
      </c>
      <c r="E1189" s="9" t="str">
        <f>IF(AND(NEGOCIAÇÕES!B1189&lt;&gt;"",NEGOCIAÇÕES!O1189=""),NEGOCIAÇÕES!N1189,"")</f>
        <v/>
      </c>
    </row>
    <row r="1190" spans="2:5" ht="31.95" hidden="1" customHeight="1" x14ac:dyDescent="0.3">
      <c r="B1190" s="6" t="str">
        <f ca="1">IF(AND(NEGOCIAÇÕES!O1190="",NEGOCIAÇÕES!N1190&gt;TODAY()),NEGOCIAÇÕES!C1190,"")</f>
        <v/>
      </c>
      <c r="C1190" s="6" t="str">
        <f ca="1">IF(AND(NEGOCIAÇÕES!O1190="",NEGOCIAÇÕES!N1190&gt;TODAY()),NEGOCIAÇÕES!E1190,"")</f>
        <v/>
      </c>
      <c r="D1190" s="6" t="str">
        <f ca="1">IF(AND(NEGOCIAÇÕES!O1190="",NEGOCIAÇÕES!N1190&gt;TODAY()),NEGOCIAÇÕES!D1190,"")</f>
        <v/>
      </c>
      <c r="E1190" s="9" t="str">
        <f>IF(AND(NEGOCIAÇÕES!B1190&lt;&gt;"",NEGOCIAÇÕES!O1190=""),NEGOCIAÇÕES!N1190,"")</f>
        <v/>
      </c>
    </row>
    <row r="1191" spans="2:5" ht="31.95" hidden="1" customHeight="1" x14ac:dyDescent="0.3">
      <c r="B1191" s="6" t="str">
        <f ca="1">IF(AND(NEGOCIAÇÕES!O1191="",NEGOCIAÇÕES!N1191&gt;TODAY()),NEGOCIAÇÕES!C1191,"")</f>
        <v/>
      </c>
      <c r="C1191" s="6" t="str">
        <f ca="1">IF(AND(NEGOCIAÇÕES!O1191="",NEGOCIAÇÕES!N1191&gt;TODAY()),NEGOCIAÇÕES!E1191,"")</f>
        <v/>
      </c>
      <c r="D1191" s="6" t="str">
        <f ca="1">IF(AND(NEGOCIAÇÕES!O1191="",NEGOCIAÇÕES!N1191&gt;TODAY()),NEGOCIAÇÕES!D1191,"")</f>
        <v/>
      </c>
      <c r="E1191" s="9" t="str">
        <f>IF(AND(NEGOCIAÇÕES!B1191&lt;&gt;"",NEGOCIAÇÕES!O1191=""),NEGOCIAÇÕES!N1191,"")</f>
        <v/>
      </c>
    </row>
    <row r="1192" spans="2:5" ht="31.95" hidden="1" customHeight="1" x14ac:dyDescent="0.3">
      <c r="B1192" s="6" t="str">
        <f ca="1">IF(AND(NEGOCIAÇÕES!O1192="",NEGOCIAÇÕES!N1192&gt;TODAY()),NEGOCIAÇÕES!C1192,"")</f>
        <v/>
      </c>
      <c r="C1192" s="6" t="str">
        <f ca="1">IF(AND(NEGOCIAÇÕES!O1192="",NEGOCIAÇÕES!N1192&gt;TODAY()),NEGOCIAÇÕES!E1192,"")</f>
        <v/>
      </c>
      <c r="D1192" s="6" t="str">
        <f ca="1">IF(AND(NEGOCIAÇÕES!O1192="",NEGOCIAÇÕES!N1192&gt;TODAY()),NEGOCIAÇÕES!D1192,"")</f>
        <v/>
      </c>
      <c r="E1192" s="9" t="str">
        <f>IF(AND(NEGOCIAÇÕES!B1192&lt;&gt;"",NEGOCIAÇÕES!O1192=""),NEGOCIAÇÕES!N1192,"")</f>
        <v/>
      </c>
    </row>
    <row r="1193" spans="2:5" ht="31.95" hidden="1" customHeight="1" x14ac:dyDescent="0.3">
      <c r="B1193" s="6" t="str">
        <f ca="1">IF(AND(NEGOCIAÇÕES!O1193="",NEGOCIAÇÕES!N1193&gt;TODAY()),NEGOCIAÇÕES!C1193,"")</f>
        <v/>
      </c>
      <c r="C1193" s="6" t="str">
        <f ca="1">IF(AND(NEGOCIAÇÕES!O1193="",NEGOCIAÇÕES!N1193&gt;TODAY()),NEGOCIAÇÕES!E1193,"")</f>
        <v/>
      </c>
      <c r="D1193" s="6" t="str">
        <f ca="1">IF(AND(NEGOCIAÇÕES!O1193="",NEGOCIAÇÕES!N1193&gt;TODAY()),NEGOCIAÇÕES!D1193,"")</f>
        <v/>
      </c>
      <c r="E1193" s="9" t="str">
        <f>IF(AND(NEGOCIAÇÕES!B1193&lt;&gt;"",NEGOCIAÇÕES!O1193=""),NEGOCIAÇÕES!N1193,"")</f>
        <v/>
      </c>
    </row>
    <row r="1194" spans="2:5" ht="31.95" hidden="1" customHeight="1" x14ac:dyDescent="0.3">
      <c r="B1194" s="6" t="str">
        <f ca="1">IF(AND(NEGOCIAÇÕES!O1194="",NEGOCIAÇÕES!N1194&gt;TODAY()),NEGOCIAÇÕES!C1194,"")</f>
        <v/>
      </c>
      <c r="C1194" s="6" t="str">
        <f ca="1">IF(AND(NEGOCIAÇÕES!O1194="",NEGOCIAÇÕES!N1194&gt;TODAY()),NEGOCIAÇÕES!E1194,"")</f>
        <v/>
      </c>
      <c r="D1194" s="6" t="str">
        <f ca="1">IF(AND(NEGOCIAÇÕES!O1194="",NEGOCIAÇÕES!N1194&gt;TODAY()),NEGOCIAÇÕES!D1194,"")</f>
        <v/>
      </c>
      <c r="E1194" s="9" t="str">
        <f>IF(AND(NEGOCIAÇÕES!B1194&lt;&gt;"",NEGOCIAÇÕES!O1194=""),NEGOCIAÇÕES!N1194,"")</f>
        <v/>
      </c>
    </row>
    <row r="1195" spans="2:5" ht="31.95" hidden="1" customHeight="1" x14ac:dyDescent="0.3">
      <c r="B1195" s="6" t="str">
        <f ca="1">IF(AND(NEGOCIAÇÕES!O1195="",NEGOCIAÇÕES!N1195&gt;TODAY()),NEGOCIAÇÕES!C1195,"")</f>
        <v/>
      </c>
      <c r="C1195" s="6" t="str">
        <f ca="1">IF(AND(NEGOCIAÇÕES!O1195="",NEGOCIAÇÕES!N1195&gt;TODAY()),NEGOCIAÇÕES!E1195,"")</f>
        <v/>
      </c>
      <c r="D1195" s="6" t="str">
        <f ca="1">IF(AND(NEGOCIAÇÕES!O1195="",NEGOCIAÇÕES!N1195&gt;TODAY()),NEGOCIAÇÕES!D1195,"")</f>
        <v/>
      </c>
      <c r="E1195" s="9" t="str">
        <f>IF(AND(NEGOCIAÇÕES!B1195&lt;&gt;"",NEGOCIAÇÕES!O1195=""),NEGOCIAÇÕES!N1195,"")</f>
        <v/>
      </c>
    </row>
    <row r="1196" spans="2:5" ht="31.95" hidden="1" customHeight="1" x14ac:dyDescent="0.3">
      <c r="B1196" s="6" t="str">
        <f ca="1">IF(AND(NEGOCIAÇÕES!O1196="",NEGOCIAÇÕES!N1196&gt;TODAY()),NEGOCIAÇÕES!C1196,"")</f>
        <v/>
      </c>
      <c r="C1196" s="6" t="str">
        <f ca="1">IF(AND(NEGOCIAÇÕES!O1196="",NEGOCIAÇÕES!N1196&gt;TODAY()),NEGOCIAÇÕES!E1196,"")</f>
        <v/>
      </c>
      <c r="D1196" s="6" t="str">
        <f ca="1">IF(AND(NEGOCIAÇÕES!O1196="",NEGOCIAÇÕES!N1196&gt;TODAY()),NEGOCIAÇÕES!D1196,"")</f>
        <v/>
      </c>
      <c r="E1196" s="9" t="str">
        <f>IF(AND(NEGOCIAÇÕES!B1196&lt;&gt;"",NEGOCIAÇÕES!O1196=""),NEGOCIAÇÕES!N1196,"")</f>
        <v/>
      </c>
    </row>
    <row r="1197" spans="2:5" ht="31.95" hidden="1" customHeight="1" x14ac:dyDescent="0.3">
      <c r="B1197" s="6" t="str">
        <f ca="1">IF(AND(NEGOCIAÇÕES!O1197="",NEGOCIAÇÕES!N1197&gt;TODAY()),NEGOCIAÇÕES!C1197,"")</f>
        <v/>
      </c>
      <c r="C1197" s="6" t="str">
        <f ca="1">IF(AND(NEGOCIAÇÕES!O1197="",NEGOCIAÇÕES!N1197&gt;TODAY()),NEGOCIAÇÕES!E1197,"")</f>
        <v/>
      </c>
      <c r="D1197" s="6" t="str">
        <f ca="1">IF(AND(NEGOCIAÇÕES!O1197="",NEGOCIAÇÕES!N1197&gt;TODAY()),NEGOCIAÇÕES!D1197,"")</f>
        <v/>
      </c>
      <c r="E1197" s="9" t="str">
        <f>IF(AND(NEGOCIAÇÕES!B1197&lt;&gt;"",NEGOCIAÇÕES!O1197=""),NEGOCIAÇÕES!N1197,"")</f>
        <v/>
      </c>
    </row>
    <row r="1198" spans="2:5" ht="31.95" hidden="1" customHeight="1" x14ac:dyDescent="0.3">
      <c r="B1198" s="6" t="str">
        <f ca="1">IF(AND(NEGOCIAÇÕES!O1198="",NEGOCIAÇÕES!N1198&gt;TODAY()),NEGOCIAÇÕES!C1198,"")</f>
        <v/>
      </c>
      <c r="C1198" s="6" t="str">
        <f ca="1">IF(AND(NEGOCIAÇÕES!O1198="",NEGOCIAÇÕES!N1198&gt;TODAY()),NEGOCIAÇÕES!E1198,"")</f>
        <v/>
      </c>
      <c r="D1198" s="6" t="str">
        <f ca="1">IF(AND(NEGOCIAÇÕES!O1198="",NEGOCIAÇÕES!N1198&gt;TODAY()),NEGOCIAÇÕES!D1198,"")</f>
        <v/>
      </c>
      <c r="E1198" s="9" t="str">
        <f>IF(AND(NEGOCIAÇÕES!B1198&lt;&gt;"",NEGOCIAÇÕES!O1198=""),NEGOCIAÇÕES!N1198,"")</f>
        <v/>
      </c>
    </row>
    <row r="1199" spans="2:5" ht="31.95" hidden="1" customHeight="1" x14ac:dyDescent="0.3">
      <c r="B1199" s="6" t="str">
        <f ca="1">IF(AND(NEGOCIAÇÕES!O1199="",NEGOCIAÇÕES!N1199&gt;TODAY()),NEGOCIAÇÕES!C1199,"")</f>
        <v/>
      </c>
      <c r="C1199" s="6" t="str">
        <f ca="1">IF(AND(NEGOCIAÇÕES!O1199="",NEGOCIAÇÕES!N1199&gt;TODAY()),NEGOCIAÇÕES!E1199,"")</f>
        <v/>
      </c>
      <c r="D1199" s="6" t="str">
        <f ca="1">IF(AND(NEGOCIAÇÕES!O1199="",NEGOCIAÇÕES!N1199&gt;TODAY()),NEGOCIAÇÕES!D1199,"")</f>
        <v/>
      </c>
      <c r="E1199" s="9" t="str">
        <f>IF(AND(NEGOCIAÇÕES!B1199&lt;&gt;"",NEGOCIAÇÕES!O1199=""),NEGOCIAÇÕES!N1199,"")</f>
        <v/>
      </c>
    </row>
    <row r="1200" spans="2:5" ht="31.95" hidden="1" customHeight="1" x14ac:dyDescent="0.3">
      <c r="B1200" s="6" t="str">
        <f ca="1">IF(AND(NEGOCIAÇÕES!O1200="",NEGOCIAÇÕES!N1200&gt;TODAY()),NEGOCIAÇÕES!C1200,"")</f>
        <v/>
      </c>
      <c r="C1200" s="6" t="str">
        <f ca="1">IF(AND(NEGOCIAÇÕES!O1200="",NEGOCIAÇÕES!N1200&gt;TODAY()),NEGOCIAÇÕES!E1200,"")</f>
        <v/>
      </c>
      <c r="D1200" s="6" t="str">
        <f ca="1">IF(AND(NEGOCIAÇÕES!O1200="",NEGOCIAÇÕES!N1200&gt;TODAY()),NEGOCIAÇÕES!D1200,"")</f>
        <v/>
      </c>
      <c r="E1200" s="9" t="str">
        <f>IF(AND(NEGOCIAÇÕES!B1200&lt;&gt;"",NEGOCIAÇÕES!O1200=""),NEGOCIAÇÕES!N1200,"")</f>
        <v/>
      </c>
    </row>
    <row r="1201" spans="2:5" ht="31.95" hidden="1" customHeight="1" x14ac:dyDescent="0.3">
      <c r="B1201" s="6" t="str">
        <f ca="1">IF(AND(NEGOCIAÇÕES!O1201="",NEGOCIAÇÕES!N1201&gt;TODAY()),NEGOCIAÇÕES!C1201,"")</f>
        <v/>
      </c>
      <c r="C1201" s="6" t="str">
        <f ca="1">IF(AND(NEGOCIAÇÕES!O1201="",NEGOCIAÇÕES!N1201&gt;TODAY()),NEGOCIAÇÕES!E1201,"")</f>
        <v/>
      </c>
      <c r="D1201" s="6" t="str">
        <f ca="1">IF(AND(NEGOCIAÇÕES!O1201="",NEGOCIAÇÕES!N1201&gt;TODAY()),NEGOCIAÇÕES!D1201,"")</f>
        <v/>
      </c>
      <c r="E1201" s="9" t="str">
        <f>IF(AND(NEGOCIAÇÕES!B1201&lt;&gt;"",NEGOCIAÇÕES!O1201=""),NEGOCIAÇÕES!N1201,"")</f>
        <v/>
      </c>
    </row>
    <row r="1202" spans="2:5" ht="31.95" hidden="1" customHeight="1" x14ac:dyDescent="0.3">
      <c r="B1202" s="6" t="str">
        <f ca="1">IF(AND(NEGOCIAÇÕES!O1202="",NEGOCIAÇÕES!N1202&gt;TODAY()),NEGOCIAÇÕES!C1202,"")</f>
        <v/>
      </c>
      <c r="C1202" s="6" t="str">
        <f ca="1">IF(AND(NEGOCIAÇÕES!O1202="",NEGOCIAÇÕES!N1202&gt;TODAY()),NEGOCIAÇÕES!E1202,"")</f>
        <v/>
      </c>
      <c r="D1202" s="6" t="str">
        <f ca="1">IF(AND(NEGOCIAÇÕES!O1202="",NEGOCIAÇÕES!N1202&gt;TODAY()),NEGOCIAÇÕES!D1202,"")</f>
        <v/>
      </c>
      <c r="E1202" s="9" t="str">
        <f>IF(AND(NEGOCIAÇÕES!B1202&lt;&gt;"",NEGOCIAÇÕES!O1202=""),NEGOCIAÇÕES!N1202,"")</f>
        <v/>
      </c>
    </row>
    <row r="1203" spans="2:5" ht="31.95" hidden="1" customHeight="1" x14ac:dyDescent="0.3">
      <c r="B1203" s="6" t="str">
        <f ca="1">IF(AND(NEGOCIAÇÕES!O1203="",NEGOCIAÇÕES!N1203&gt;TODAY()),NEGOCIAÇÕES!C1203,"")</f>
        <v/>
      </c>
      <c r="C1203" s="6" t="str">
        <f ca="1">IF(AND(NEGOCIAÇÕES!O1203="",NEGOCIAÇÕES!N1203&gt;TODAY()),NEGOCIAÇÕES!E1203,"")</f>
        <v/>
      </c>
      <c r="D1203" s="6" t="str">
        <f ca="1">IF(AND(NEGOCIAÇÕES!O1203="",NEGOCIAÇÕES!N1203&gt;TODAY()),NEGOCIAÇÕES!D1203,"")</f>
        <v/>
      </c>
      <c r="E1203" s="9" t="str">
        <f>IF(AND(NEGOCIAÇÕES!B1203&lt;&gt;"",NEGOCIAÇÕES!O1203=""),NEGOCIAÇÕES!N1203,"")</f>
        <v/>
      </c>
    </row>
    <row r="1204" spans="2:5" ht="31.95" hidden="1" customHeight="1" x14ac:dyDescent="0.3">
      <c r="B1204" s="6" t="str">
        <f ca="1">IF(AND(NEGOCIAÇÕES!O1204="",NEGOCIAÇÕES!N1204&gt;TODAY()),NEGOCIAÇÕES!C1204,"")</f>
        <v/>
      </c>
      <c r="C1204" s="6" t="str">
        <f ca="1">IF(AND(NEGOCIAÇÕES!O1204="",NEGOCIAÇÕES!N1204&gt;TODAY()),NEGOCIAÇÕES!E1204,"")</f>
        <v/>
      </c>
      <c r="D1204" s="6" t="str">
        <f ca="1">IF(AND(NEGOCIAÇÕES!O1204="",NEGOCIAÇÕES!N1204&gt;TODAY()),NEGOCIAÇÕES!D1204,"")</f>
        <v/>
      </c>
      <c r="E1204" s="9" t="str">
        <f>IF(AND(NEGOCIAÇÕES!B1204&lt;&gt;"",NEGOCIAÇÕES!O1204=""),NEGOCIAÇÕES!N1204,"")</f>
        <v/>
      </c>
    </row>
    <row r="1205" spans="2:5" ht="31.95" hidden="1" customHeight="1" x14ac:dyDescent="0.3">
      <c r="B1205" s="6" t="str">
        <f ca="1">IF(AND(NEGOCIAÇÕES!O1205="",NEGOCIAÇÕES!N1205&gt;TODAY()),NEGOCIAÇÕES!C1205,"")</f>
        <v/>
      </c>
      <c r="C1205" s="6" t="str">
        <f ca="1">IF(AND(NEGOCIAÇÕES!O1205="",NEGOCIAÇÕES!N1205&gt;TODAY()),NEGOCIAÇÕES!E1205,"")</f>
        <v/>
      </c>
      <c r="D1205" s="6" t="str">
        <f ca="1">IF(AND(NEGOCIAÇÕES!O1205="",NEGOCIAÇÕES!N1205&gt;TODAY()),NEGOCIAÇÕES!D1205,"")</f>
        <v/>
      </c>
      <c r="E1205" s="9" t="str">
        <f>IF(AND(NEGOCIAÇÕES!B1205&lt;&gt;"",NEGOCIAÇÕES!O1205=""),NEGOCIAÇÕES!N1205,"")</f>
        <v/>
      </c>
    </row>
    <row r="1206" spans="2:5" ht="31.95" hidden="1" customHeight="1" x14ac:dyDescent="0.3">
      <c r="B1206" s="6" t="str">
        <f ca="1">IF(AND(NEGOCIAÇÕES!O1206="",NEGOCIAÇÕES!N1206&gt;TODAY()),NEGOCIAÇÕES!C1206,"")</f>
        <v/>
      </c>
      <c r="C1206" s="6" t="str">
        <f ca="1">IF(AND(NEGOCIAÇÕES!O1206="",NEGOCIAÇÕES!N1206&gt;TODAY()),NEGOCIAÇÕES!E1206,"")</f>
        <v/>
      </c>
      <c r="D1206" s="6" t="str">
        <f ca="1">IF(AND(NEGOCIAÇÕES!O1206="",NEGOCIAÇÕES!N1206&gt;TODAY()),NEGOCIAÇÕES!D1206,"")</f>
        <v/>
      </c>
      <c r="E1206" s="9" t="str">
        <f>IF(AND(NEGOCIAÇÕES!B1206&lt;&gt;"",NEGOCIAÇÕES!O1206=""),NEGOCIAÇÕES!N1206,"")</f>
        <v/>
      </c>
    </row>
    <row r="1207" spans="2:5" ht="31.95" hidden="1" customHeight="1" x14ac:dyDescent="0.3">
      <c r="B1207" s="6" t="str">
        <f ca="1">IF(AND(NEGOCIAÇÕES!O1207="",NEGOCIAÇÕES!N1207&gt;TODAY()),NEGOCIAÇÕES!C1207,"")</f>
        <v/>
      </c>
      <c r="C1207" s="6" t="str">
        <f ca="1">IF(AND(NEGOCIAÇÕES!O1207="",NEGOCIAÇÕES!N1207&gt;TODAY()),NEGOCIAÇÕES!E1207,"")</f>
        <v/>
      </c>
      <c r="D1207" s="6" t="str">
        <f ca="1">IF(AND(NEGOCIAÇÕES!O1207="",NEGOCIAÇÕES!N1207&gt;TODAY()),NEGOCIAÇÕES!D1207,"")</f>
        <v/>
      </c>
      <c r="E1207" s="9" t="str">
        <f>IF(AND(NEGOCIAÇÕES!B1207&lt;&gt;"",NEGOCIAÇÕES!O1207=""),NEGOCIAÇÕES!N1207,"")</f>
        <v/>
      </c>
    </row>
    <row r="1208" spans="2:5" ht="31.95" hidden="1" customHeight="1" x14ac:dyDescent="0.3">
      <c r="B1208" s="6" t="str">
        <f ca="1">IF(AND(NEGOCIAÇÕES!O1208="",NEGOCIAÇÕES!N1208&gt;TODAY()),NEGOCIAÇÕES!C1208,"")</f>
        <v/>
      </c>
      <c r="C1208" s="6" t="str">
        <f ca="1">IF(AND(NEGOCIAÇÕES!O1208="",NEGOCIAÇÕES!N1208&gt;TODAY()),NEGOCIAÇÕES!E1208,"")</f>
        <v/>
      </c>
      <c r="D1208" s="6" t="str">
        <f ca="1">IF(AND(NEGOCIAÇÕES!O1208="",NEGOCIAÇÕES!N1208&gt;TODAY()),NEGOCIAÇÕES!D1208,"")</f>
        <v/>
      </c>
      <c r="E1208" s="9" t="str">
        <f>IF(AND(NEGOCIAÇÕES!B1208&lt;&gt;"",NEGOCIAÇÕES!O1208=""),NEGOCIAÇÕES!N1208,"")</f>
        <v/>
      </c>
    </row>
    <row r="1209" spans="2:5" ht="31.95" hidden="1" customHeight="1" x14ac:dyDescent="0.3">
      <c r="B1209" s="6" t="str">
        <f ca="1">IF(AND(NEGOCIAÇÕES!O1209="",NEGOCIAÇÕES!N1209&gt;TODAY()),NEGOCIAÇÕES!C1209,"")</f>
        <v/>
      </c>
      <c r="C1209" s="6" t="str">
        <f ca="1">IF(AND(NEGOCIAÇÕES!O1209="",NEGOCIAÇÕES!N1209&gt;TODAY()),NEGOCIAÇÕES!E1209,"")</f>
        <v/>
      </c>
      <c r="D1209" s="6" t="str">
        <f ca="1">IF(AND(NEGOCIAÇÕES!O1209="",NEGOCIAÇÕES!N1209&gt;TODAY()),NEGOCIAÇÕES!D1209,"")</f>
        <v/>
      </c>
      <c r="E1209" s="9" t="str">
        <f>IF(AND(NEGOCIAÇÕES!B1209&lt;&gt;"",NEGOCIAÇÕES!O1209=""),NEGOCIAÇÕES!N1209,"")</f>
        <v/>
      </c>
    </row>
    <row r="1210" spans="2:5" ht="31.95" hidden="1" customHeight="1" x14ac:dyDescent="0.3">
      <c r="B1210" s="6" t="str">
        <f ca="1">IF(AND(NEGOCIAÇÕES!O1210="",NEGOCIAÇÕES!N1210&gt;TODAY()),NEGOCIAÇÕES!C1210,"")</f>
        <v/>
      </c>
      <c r="C1210" s="6" t="str">
        <f ca="1">IF(AND(NEGOCIAÇÕES!O1210="",NEGOCIAÇÕES!N1210&gt;TODAY()),NEGOCIAÇÕES!E1210,"")</f>
        <v/>
      </c>
      <c r="D1210" s="6" t="str">
        <f ca="1">IF(AND(NEGOCIAÇÕES!O1210="",NEGOCIAÇÕES!N1210&gt;TODAY()),NEGOCIAÇÕES!D1210,"")</f>
        <v/>
      </c>
      <c r="E1210" s="9" t="str">
        <f>IF(AND(NEGOCIAÇÕES!B1210&lt;&gt;"",NEGOCIAÇÕES!O1210=""),NEGOCIAÇÕES!N1210,"")</f>
        <v/>
      </c>
    </row>
    <row r="1211" spans="2:5" ht="31.95" hidden="1" customHeight="1" x14ac:dyDescent="0.3">
      <c r="B1211" s="6" t="str">
        <f ca="1">IF(AND(NEGOCIAÇÕES!O1211="",NEGOCIAÇÕES!N1211&gt;TODAY()),NEGOCIAÇÕES!C1211,"")</f>
        <v/>
      </c>
      <c r="C1211" s="6" t="str">
        <f ca="1">IF(AND(NEGOCIAÇÕES!O1211="",NEGOCIAÇÕES!N1211&gt;TODAY()),NEGOCIAÇÕES!E1211,"")</f>
        <v/>
      </c>
      <c r="D1211" s="6" t="str">
        <f ca="1">IF(AND(NEGOCIAÇÕES!O1211="",NEGOCIAÇÕES!N1211&gt;TODAY()),NEGOCIAÇÕES!D1211,"")</f>
        <v/>
      </c>
      <c r="E1211" s="9" t="str">
        <f>IF(AND(NEGOCIAÇÕES!B1211&lt;&gt;"",NEGOCIAÇÕES!O1211=""),NEGOCIAÇÕES!N1211,"")</f>
        <v/>
      </c>
    </row>
    <row r="1212" spans="2:5" ht="31.95" hidden="1" customHeight="1" x14ac:dyDescent="0.3">
      <c r="B1212" s="6" t="str">
        <f ca="1">IF(AND(NEGOCIAÇÕES!O1212="",NEGOCIAÇÕES!N1212&gt;TODAY()),NEGOCIAÇÕES!C1212,"")</f>
        <v/>
      </c>
      <c r="C1212" s="6" t="str">
        <f ca="1">IF(AND(NEGOCIAÇÕES!O1212="",NEGOCIAÇÕES!N1212&gt;TODAY()),NEGOCIAÇÕES!E1212,"")</f>
        <v/>
      </c>
      <c r="D1212" s="6" t="str">
        <f ca="1">IF(AND(NEGOCIAÇÕES!O1212="",NEGOCIAÇÕES!N1212&gt;TODAY()),NEGOCIAÇÕES!D1212,"")</f>
        <v/>
      </c>
      <c r="E1212" s="9" t="str">
        <f>IF(AND(NEGOCIAÇÕES!B1212&lt;&gt;"",NEGOCIAÇÕES!O1212=""),NEGOCIAÇÕES!N1212,"")</f>
        <v/>
      </c>
    </row>
    <row r="1213" spans="2:5" ht="31.95" hidden="1" customHeight="1" x14ac:dyDescent="0.3">
      <c r="B1213" s="6" t="str">
        <f ca="1">IF(AND(NEGOCIAÇÕES!O1213="",NEGOCIAÇÕES!N1213&gt;TODAY()),NEGOCIAÇÕES!C1213,"")</f>
        <v/>
      </c>
      <c r="C1213" s="6" t="str">
        <f ca="1">IF(AND(NEGOCIAÇÕES!O1213="",NEGOCIAÇÕES!N1213&gt;TODAY()),NEGOCIAÇÕES!E1213,"")</f>
        <v/>
      </c>
      <c r="D1213" s="6" t="str">
        <f ca="1">IF(AND(NEGOCIAÇÕES!O1213="",NEGOCIAÇÕES!N1213&gt;TODAY()),NEGOCIAÇÕES!D1213,"")</f>
        <v/>
      </c>
      <c r="E1213" s="9" t="str">
        <f>IF(AND(NEGOCIAÇÕES!B1213&lt;&gt;"",NEGOCIAÇÕES!O1213=""),NEGOCIAÇÕES!N1213,"")</f>
        <v/>
      </c>
    </row>
    <row r="1214" spans="2:5" ht="31.95" hidden="1" customHeight="1" x14ac:dyDescent="0.3">
      <c r="B1214" s="6" t="str">
        <f ca="1">IF(AND(NEGOCIAÇÕES!O1214="",NEGOCIAÇÕES!N1214&gt;TODAY()),NEGOCIAÇÕES!C1214,"")</f>
        <v/>
      </c>
      <c r="C1214" s="6" t="str">
        <f ca="1">IF(AND(NEGOCIAÇÕES!O1214="",NEGOCIAÇÕES!N1214&gt;TODAY()),NEGOCIAÇÕES!E1214,"")</f>
        <v/>
      </c>
      <c r="D1214" s="6" t="str">
        <f ca="1">IF(AND(NEGOCIAÇÕES!O1214="",NEGOCIAÇÕES!N1214&gt;TODAY()),NEGOCIAÇÕES!D1214,"")</f>
        <v/>
      </c>
      <c r="E1214" s="9" t="str">
        <f>IF(AND(NEGOCIAÇÕES!B1214&lt;&gt;"",NEGOCIAÇÕES!O1214=""),NEGOCIAÇÕES!N1214,"")</f>
        <v/>
      </c>
    </row>
    <row r="1215" spans="2:5" ht="31.95" hidden="1" customHeight="1" x14ac:dyDescent="0.3">
      <c r="B1215" s="6" t="str">
        <f ca="1">IF(AND(NEGOCIAÇÕES!O1215="",NEGOCIAÇÕES!N1215&gt;TODAY()),NEGOCIAÇÕES!C1215,"")</f>
        <v/>
      </c>
      <c r="C1215" s="6" t="str">
        <f ca="1">IF(AND(NEGOCIAÇÕES!O1215="",NEGOCIAÇÕES!N1215&gt;TODAY()),NEGOCIAÇÕES!E1215,"")</f>
        <v/>
      </c>
      <c r="D1215" s="6" t="str">
        <f ca="1">IF(AND(NEGOCIAÇÕES!O1215="",NEGOCIAÇÕES!N1215&gt;TODAY()),NEGOCIAÇÕES!D1215,"")</f>
        <v/>
      </c>
      <c r="E1215" s="9" t="str">
        <f>IF(AND(NEGOCIAÇÕES!B1215&lt;&gt;"",NEGOCIAÇÕES!O1215=""),NEGOCIAÇÕES!N1215,"")</f>
        <v/>
      </c>
    </row>
    <row r="1216" spans="2:5" ht="31.95" hidden="1" customHeight="1" x14ac:dyDescent="0.3">
      <c r="B1216" s="6" t="str">
        <f ca="1">IF(AND(NEGOCIAÇÕES!O1216="",NEGOCIAÇÕES!N1216&gt;TODAY()),NEGOCIAÇÕES!C1216,"")</f>
        <v/>
      </c>
      <c r="C1216" s="6" t="str">
        <f ca="1">IF(AND(NEGOCIAÇÕES!O1216="",NEGOCIAÇÕES!N1216&gt;TODAY()),NEGOCIAÇÕES!E1216,"")</f>
        <v/>
      </c>
      <c r="D1216" s="6" t="str">
        <f ca="1">IF(AND(NEGOCIAÇÕES!O1216="",NEGOCIAÇÕES!N1216&gt;TODAY()),NEGOCIAÇÕES!D1216,"")</f>
        <v/>
      </c>
      <c r="E1216" s="9" t="str">
        <f>IF(AND(NEGOCIAÇÕES!B1216&lt;&gt;"",NEGOCIAÇÕES!O1216=""),NEGOCIAÇÕES!N1216,"")</f>
        <v/>
      </c>
    </row>
    <row r="1217" spans="2:5" ht="31.95" hidden="1" customHeight="1" x14ac:dyDescent="0.3">
      <c r="B1217" s="6" t="str">
        <f ca="1">IF(AND(NEGOCIAÇÕES!O1217="",NEGOCIAÇÕES!N1217&gt;TODAY()),NEGOCIAÇÕES!C1217,"")</f>
        <v/>
      </c>
      <c r="C1217" s="6" t="str">
        <f ca="1">IF(AND(NEGOCIAÇÕES!O1217="",NEGOCIAÇÕES!N1217&gt;TODAY()),NEGOCIAÇÕES!E1217,"")</f>
        <v/>
      </c>
      <c r="D1217" s="6" t="str">
        <f ca="1">IF(AND(NEGOCIAÇÕES!O1217="",NEGOCIAÇÕES!N1217&gt;TODAY()),NEGOCIAÇÕES!D1217,"")</f>
        <v/>
      </c>
      <c r="E1217" s="9" t="str">
        <f>IF(AND(NEGOCIAÇÕES!B1217&lt;&gt;"",NEGOCIAÇÕES!O1217=""),NEGOCIAÇÕES!N1217,"")</f>
        <v/>
      </c>
    </row>
    <row r="1218" spans="2:5" ht="31.95" hidden="1" customHeight="1" x14ac:dyDescent="0.3">
      <c r="B1218" s="6" t="str">
        <f ca="1">IF(AND(NEGOCIAÇÕES!O1218="",NEGOCIAÇÕES!N1218&gt;TODAY()),NEGOCIAÇÕES!C1218,"")</f>
        <v/>
      </c>
      <c r="C1218" s="6" t="str">
        <f ca="1">IF(AND(NEGOCIAÇÕES!O1218="",NEGOCIAÇÕES!N1218&gt;TODAY()),NEGOCIAÇÕES!E1218,"")</f>
        <v/>
      </c>
      <c r="D1218" s="6" t="str">
        <f ca="1">IF(AND(NEGOCIAÇÕES!O1218="",NEGOCIAÇÕES!N1218&gt;TODAY()),NEGOCIAÇÕES!D1218,"")</f>
        <v/>
      </c>
      <c r="E1218" s="9" t="str">
        <f>IF(AND(NEGOCIAÇÕES!B1218&lt;&gt;"",NEGOCIAÇÕES!O1218=""),NEGOCIAÇÕES!N1218,"")</f>
        <v/>
      </c>
    </row>
    <row r="1219" spans="2:5" ht="31.95" hidden="1" customHeight="1" x14ac:dyDescent="0.3">
      <c r="B1219" s="6" t="str">
        <f ca="1">IF(AND(NEGOCIAÇÕES!O1219="",NEGOCIAÇÕES!N1219&gt;TODAY()),NEGOCIAÇÕES!C1219,"")</f>
        <v/>
      </c>
      <c r="C1219" s="6" t="str">
        <f ca="1">IF(AND(NEGOCIAÇÕES!O1219="",NEGOCIAÇÕES!N1219&gt;TODAY()),NEGOCIAÇÕES!E1219,"")</f>
        <v/>
      </c>
      <c r="D1219" s="6" t="str">
        <f ca="1">IF(AND(NEGOCIAÇÕES!O1219="",NEGOCIAÇÕES!N1219&gt;TODAY()),NEGOCIAÇÕES!D1219,"")</f>
        <v/>
      </c>
      <c r="E1219" s="9" t="str">
        <f>IF(AND(NEGOCIAÇÕES!B1219&lt;&gt;"",NEGOCIAÇÕES!O1219=""),NEGOCIAÇÕES!N1219,"")</f>
        <v/>
      </c>
    </row>
    <row r="1220" spans="2:5" ht="31.95" hidden="1" customHeight="1" x14ac:dyDescent="0.3">
      <c r="B1220" s="6" t="str">
        <f ca="1">IF(AND(NEGOCIAÇÕES!O1220="",NEGOCIAÇÕES!N1220&gt;TODAY()),NEGOCIAÇÕES!C1220,"")</f>
        <v/>
      </c>
      <c r="C1220" s="6" t="str">
        <f ca="1">IF(AND(NEGOCIAÇÕES!O1220="",NEGOCIAÇÕES!N1220&gt;TODAY()),NEGOCIAÇÕES!E1220,"")</f>
        <v/>
      </c>
      <c r="D1220" s="6" t="str">
        <f ca="1">IF(AND(NEGOCIAÇÕES!O1220="",NEGOCIAÇÕES!N1220&gt;TODAY()),NEGOCIAÇÕES!D1220,"")</f>
        <v/>
      </c>
      <c r="E1220" s="9" t="str">
        <f>IF(AND(NEGOCIAÇÕES!B1220&lt;&gt;"",NEGOCIAÇÕES!O1220=""),NEGOCIAÇÕES!N1220,"")</f>
        <v/>
      </c>
    </row>
    <row r="1221" spans="2:5" ht="31.95" hidden="1" customHeight="1" x14ac:dyDescent="0.3">
      <c r="B1221" s="6" t="str">
        <f ca="1">IF(AND(NEGOCIAÇÕES!O1221="",NEGOCIAÇÕES!N1221&gt;TODAY()),NEGOCIAÇÕES!C1221,"")</f>
        <v/>
      </c>
      <c r="C1221" s="6" t="str">
        <f ca="1">IF(AND(NEGOCIAÇÕES!O1221="",NEGOCIAÇÕES!N1221&gt;TODAY()),NEGOCIAÇÕES!E1221,"")</f>
        <v/>
      </c>
      <c r="D1221" s="6" t="str">
        <f ca="1">IF(AND(NEGOCIAÇÕES!O1221="",NEGOCIAÇÕES!N1221&gt;TODAY()),NEGOCIAÇÕES!D1221,"")</f>
        <v/>
      </c>
      <c r="E1221" s="9" t="str">
        <f>IF(AND(NEGOCIAÇÕES!B1221&lt;&gt;"",NEGOCIAÇÕES!O1221=""),NEGOCIAÇÕES!N1221,"")</f>
        <v/>
      </c>
    </row>
    <row r="1222" spans="2:5" ht="31.95" hidden="1" customHeight="1" x14ac:dyDescent="0.3">
      <c r="B1222" s="6" t="str">
        <f ca="1">IF(AND(NEGOCIAÇÕES!O1222="",NEGOCIAÇÕES!N1222&gt;TODAY()),NEGOCIAÇÕES!C1222,"")</f>
        <v/>
      </c>
      <c r="C1222" s="6" t="str">
        <f ca="1">IF(AND(NEGOCIAÇÕES!O1222="",NEGOCIAÇÕES!N1222&gt;TODAY()),NEGOCIAÇÕES!E1222,"")</f>
        <v/>
      </c>
      <c r="D1222" s="6" t="str">
        <f ca="1">IF(AND(NEGOCIAÇÕES!O1222="",NEGOCIAÇÕES!N1222&gt;TODAY()),NEGOCIAÇÕES!D1222,"")</f>
        <v/>
      </c>
      <c r="E1222" s="9" t="str">
        <f>IF(AND(NEGOCIAÇÕES!B1222&lt;&gt;"",NEGOCIAÇÕES!O1222=""),NEGOCIAÇÕES!N1222,"")</f>
        <v/>
      </c>
    </row>
    <row r="1223" spans="2:5" ht="31.95" hidden="1" customHeight="1" x14ac:dyDescent="0.3">
      <c r="B1223" s="6" t="str">
        <f ca="1">IF(AND(NEGOCIAÇÕES!O1223="",NEGOCIAÇÕES!N1223&gt;TODAY()),NEGOCIAÇÕES!C1223,"")</f>
        <v/>
      </c>
      <c r="C1223" s="6" t="str">
        <f ca="1">IF(AND(NEGOCIAÇÕES!O1223="",NEGOCIAÇÕES!N1223&gt;TODAY()),NEGOCIAÇÕES!E1223,"")</f>
        <v/>
      </c>
      <c r="D1223" s="6" t="str">
        <f ca="1">IF(AND(NEGOCIAÇÕES!O1223="",NEGOCIAÇÕES!N1223&gt;TODAY()),NEGOCIAÇÕES!D1223,"")</f>
        <v/>
      </c>
      <c r="E1223" s="9" t="str">
        <f>IF(AND(NEGOCIAÇÕES!B1223&lt;&gt;"",NEGOCIAÇÕES!O1223=""),NEGOCIAÇÕES!N1223,"")</f>
        <v/>
      </c>
    </row>
    <row r="1224" spans="2:5" ht="31.95" hidden="1" customHeight="1" x14ac:dyDescent="0.3">
      <c r="B1224" s="6" t="str">
        <f ca="1">IF(AND(NEGOCIAÇÕES!O1224="",NEGOCIAÇÕES!N1224&gt;TODAY()),NEGOCIAÇÕES!C1224,"")</f>
        <v/>
      </c>
      <c r="C1224" s="6" t="str">
        <f ca="1">IF(AND(NEGOCIAÇÕES!O1224="",NEGOCIAÇÕES!N1224&gt;TODAY()),NEGOCIAÇÕES!E1224,"")</f>
        <v/>
      </c>
      <c r="D1224" s="6" t="str">
        <f ca="1">IF(AND(NEGOCIAÇÕES!O1224="",NEGOCIAÇÕES!N1224&gt;TODAY()),NEGOCIAÇÕES!D1224,"")</f>
        <v/>
      </c>
      <c r="E1224" s="9" t="str">
        <f>IF(AND(NEGOCIAÇÕES!B1224&lt;&gt;"",NEGOCIAÇÕES!O1224=""),NEGOCIAÇÕES!N1224,"")</f>
        <v/>
      </c>
    </row>
    <row r="1225" spans="2:5" ht="31.95" hidden="1" customHeight="1" x14ac:dyDescent="0.3">
      <c r="B1225" s="6" t="str">
        <f ca="1">IF(AND(NEGOCIAÇÕES!O1225="",NEGOCIAÇÕES!N1225&gt;TODAY()),NEGOCIAÇÕES!C1225,"")</f>
        <v/>
      </c>
      <c r="C1225" s="6" t="str">
        <f ca="1">IF(AND(NEGOCIAÇÕES!O1225="",NEGOCIAÇÕES!N1225&gt;TODAY()),NEGOCIAÇÕES!E1225,"")</f>
        <v/>
      </c>
      <c r="D1225" s="6" t="str">
        <f ca="1">IF(AND(NEGOCIAÇÕES!O1225="",NEGOCIAÇÕES!N1225&gt;TODAY()),NEGOCIAÇÕES!D1225,"")</f>
        <v/>
      </c>
      <c r="E1225" s="9" t="str">
        <f>IF(AND(NEGOCIAÇÕES!B1225&lt;&gt;"",NEGOCIAÇÕES!O1225=""),NEGOCIAÇÕES!N1225,"")</f>
        <v/>
      </c>
    </row>
    <row r="1226" spans="2:5" ht="31.95" hidden="1" customHeight="1" x14ac:dyDescent="0.3">
      <c r="B1226" s="6" t="str">
        <f ca="1">IF(AND(NEGOCIAÇÕES!O1226="",NEGOCIAÇÕES!N1226&gt;TODAY()),NEGOCIAÇÕES!C1226,"")</f>
        <v/>
      </c>
      <c r="C1226" s="6" t="str">
        <f ca="1">IF(AND(NEGOCIAÇÕES!O1226="",NEGOCIAÇÕES!N1226&gt;TODAY()),NEGOCIAÇÕES!E1226,"")</f>
        <v/>
      </c>
      <c r="D1226" s="6" t="str">
        <f ca="1">IF(AND(NEGOCIAÇÕES!O1226="",NEGOCIAÇÕES!N1226&gt;TODAY()),NEGOCIAÇÕES!D1226,"")</f>
        <v/>
      </c>
      <c r="E1226" s="9" t="str">
        <f>IF(AND(NEGOCIAÇÕES!B1226&lt;&gt;"",NEGOCIAÇÕES!O1226=""),NEGOCIAÇÕES!N1226,"")</f>
        <v/>
      </c>
    </row>
    <row r="1227" spans="2:5" ht="31.95" hidden="1" customHeight="1" x14ac:dyDescent="0.3">
      <c r="B1227" s="6" t="str">
        <f ca="1">IF(AND(NEGOCIAÇÕES!O1227="",NEGOCIAÇÕES!N1227&gt;TODAY()),NEGOCIAÇÕES!C1227,"")</f>
        <v/>
      </c>
      <c r="C1227" s="6" t="str">
        <f ca="1">IF(AND(NEGOCIAÇÕES!O1227="",NEGOCIAÇÕES!N1227&gt;TODAY()),NEGOCIAÇÕES!E1227,"")</f>
        <v/>
      </c>
      <c r="D1227" s="6" t="str">
        <f ca="1">IF(AND(NEGOCIAÇÕES!O1227="",NEGOCIAÇÕES!N1227&gt;TODAY()),NEGOCIAÇÕES!D1227,"")</f>
        <v/>
      </c>
      <c r="E1227" s="9" t="str">
        <f>IF(AND(NEGOCIAÇÕES!B1227&lt;&gt;"",NEGOCIAÇÕES!O1227=""),NEGOCIAÇÕES!N1227,"")</f>
        <v/>
      </c>
    </row>
    <row r="1228" spans="2:5" ht="31.95" hidden="1" customHeight="1" x14ac:dyDescent="0.3">
      <c r="B1228" s="6" t="str">
        <f ca="1">IF(AND(NEGOCIAÇÕES!O1228="",NEGOCIAÇÕES!N1228&gt;TODAY()),NEGOCIAÇÕES!C1228,"")</f>
        <v/>
      </c>
      <c r="C1228" s="6" t="str">
        <f ca="1">IF(AND(NEGOCIAÇÕES!O1228="",NEGOCIAÇÕES!N1228&gt;TODAY()),NEGOCIAÇÕES!E1228,"")</f>
        <v/>
      </c>
      <c r="D1228" s="6" t="str">
        <f ca="1">IF(AND(NEGOCIAÇÕES!O1228="",NEGOCIAÇÕES!N1228&gt;TODAY()),NEGOCIAÇÕES!D1228,"")</f>
        <v/>
      </c>
      <c r="E1228" s="9" t="str">
        <f>IF(AND(NEGOCIAÇÕES!B1228&lt;&gt;"",NEGOCIAÇÕES!O1228=""),NEGOCIAÇÕES!N1228,"")</f>
        <v/>
      </c>
    </row>
    <row r="1229" spans="2:5" ht="31.95" hidden="1" customHeight="1" x14ac:dyDescent="0.3">
      <c r="B1229" s="6" t="str">
        <f ca="1">IF(AND(NEGOCIAÇÕES!O1229="",NEGOCIAÇÕES!N1229&gt;TODAY()),NEGOCIAÇÕES!C1229,"")</f>
        <v/>
      </c>
      <c r="C1229" s="6" t="str">
        <f ca="1">IF(AND(NEGOCIAÇÕES!O1229="",NEGOCIAÇÕES!N1229&gt;TODAY()),NEGOCIAÇÕES!E1229,"")</f>
        <v/>
      </c>
      <c r="D1229" s="6" t="str">
        <f ca="1">IF(AND(NEGOCIAÇÕES!O1229="",NEGOCIAÇÕES!N1229&gt;TODAY()),NEGOCIAÇÕES!D1229,"")</f>
        <v/>
      </c>
      <c r="E1229" s="9" t="str">
        <f>IF(AND(NEGOCIAÇÕES!B1229&lt;&gt;"",NEGOCIAÇÕES!O1229=""),NEGOCIAÇÕES!N1229,"")</f>
        <v/>
      </c>
    </row>
    <row r="1230" spans="2:5" ht="31.95" hidden="1" customHeight="1" x14ac:dyDescent="0.3">
      <c r="B1230" s="6" t="str">
        <f ca="1">IF(AND(NEGOCIAÇÕES!O1230="",NEGOCIAÇÕES!N1230&gt;TODAY()),NEGOCIAÇÕES!C1230,"")</f>
        <v/>
      </c>
      <c r="C1230" s="6" t="str">
        <f ca="1">IF(AND(NEGOCIAÇÕES!O1230="",NEGOCIAÇÕES!N1230&gt;TODAY()),NEGOCIAÇÕES!E1230,"")</f>
        <v/>
      </c>
      <c r="D1230" s="6" t="str">
        <f ca="1">IF(AND(NEGOCIAÇÕES!O1230="",NEGOCIAÇÕES!N1230&gt;TODAY()),NEGOCIAÇÕES!D1230,"")</f>
        <v/>
      </c>
      <c r="E1230" s="9" t="str">
        <f>IF(AND(NEGOCIAÇÕES!B1230&lt;&gt;"",NEGOCIAÇÕES!O1230=""),NEGOCIAÇÕES!N1230,"")</f>
        <v/>
      </c>
    </row>
    <row r="1231" spans="2:5" ht="31.95" hidden="1" customHeight="1" x14ac:dyDescent="0.3">
      <c r="B1231" s="6" t="str">
        <f ca="1">IF(AND(NEGOCIAÇÕES!O1231="",NEGOCIAÇÕES!N1231&gt;TODAY()),NEGOCIAÇÕES!C1231,"")</f>
        <v/>
      </c>
      <c r="C1231" s="6" t="str">
        <f ca="1">IF(AND(NEGOCIAÇÕES!O1231="",NEGOCIAÇÕES!N1231&gt;TODAY()),NEGOCIAÇÕES!E1231,"")</f>
        <v/>
      </c>
      <c r="D1231" s="6" t="str">
        <f ca="1">IF(AND(NEGOCIAÇÕES!O1231="",NEGOCIAÇÕES!N1231&gt;TODAY()),NEGOCIAÇÕES!D1231,"")</f>
        <v/>
      </c>
      <c r="E1231" s="9" t="str">
        <f>IF(AND(NEGOCIAÇÕES!B1231&lt;&gt;"",NEGOCIAÇÕES!O1231=""),NEGOCIAÇÕES!N1231,"")</f>
        <v/>
      </c>
    </row>
    <row r="1232" spans="2:5" ht="31.95" hidden="1" customHeight="1" x14ac:dyDescent="0.3">
      <c r="B1232" s="6" t="str">
        <f ca="1">IF(AND(NEGOCIAÇÕES!O1232="",NEGOCIAÇÕES!N1232&gt;TODAY()),NEGOCIAÇÕES!C1232,"")</f>
        <v/>
      </c>
      <c r="C1232" s="6" t="str">
        <f ca="1">IF(AND(NEGOCIAÇÕES!O1232="",NEGOCIAÇÕES!N1232&gt;TODAY()),NEGOCIAÇÕES!E1232,"")</f>
        <v/>
      </c>
      <c r="D1232" s="6" t="str">
        <f ca="1">IF(AND(NEGOCIAÇÕES!O1232="",NEGOCIAÇÕES!N1232&gt;TODAY()),NEGOCIAÇÕES!D1232,"")</f>
        <v/>
      </c>
      <c r="E1232" s="9" t="str">
        <f>IF(AND(NEGOCIAÇÕES!B1232&lt;&gt;"",NEGOCIAÇÕES!O1232=""),NEGOCIAÇÕES!N1232,"")</f>
        <v/>
      </c>
    </row>
    <row r="1233" spans="2:5" ht="31.95" hidden="1" customHeight="1" x14ac:dyDescent="0.3">
      <c r="B1233" s="6" t="str">
        <f ca="1">IF(AND(NEGOCIAÇÕES!O1233="",NEGOCIAÇÕES!N1233&gt;TODAY()),NEGOCIAÇÕES!C1233,"")</f>
        <v/>
      </c>
      <c r="C1233" s="6" t="str">
        <f ca="1">IF(AND(NEGOCIAÇÕES!O1233="",NEGOCIAÇÕES!N1233&gt;TODAY()),NEGOCIAÇÕES!E1233,"")</f>
        <v/>
      </c>
      <c r="D1233" s="6" t="str">
        <f ca="1">IF(AND(NEGOCIAÇÕES!O1233="",NEGOCIAÇÕES!N1233&gt;TODAY()),NEGOCIAÇÕES!D1233,"")</f>
        <v/>
      </c>
      <c r="E1233" s="9" t="str">
        <f>IF(AND(NEGOCIAÇÕES!B1233&lt;&gt;"",NEGOCIAÇÕES!O1233=""),NEGOCIAÇÕES!N1233,"")</f>
        <v/>
      </c>
    </row>
    <row r="1234" spans="2:5" ht="31.95" hidden="1" customHeight="1" x14ac:dyDescent="0.3">
      <c r="B1234" s="6" t="str">
        <f ca="1">IF(AND(NEGOCIAÇÕES!O1234="",NEGOCIAÇÕES!N1234&gt;TODAY()),NEGOCIAÇÕES!C1234,"")</f>
        <v/>
      </c>
      <c r="C1234" s="6" t="str">
        <f ca="1">IF(AND(NEGOCIAÇÕES!O1234="",NEGOCIAÇÕES!N1234&gt;TODAY()),NEGOCIAÇÕES!E1234,"")</f>
        <v/>
      </c>
      <c r="D1234" s="6" t="str">
        <f ca="1">IF(AND(NEGOCIAÇÕES!O1234="",NEGOCIAÇÕES!N1234&gt;TODAY()),NEGOCIAÇÕES!D1234,"")</f>
        <v/>
      </c>
      <c r="E1234" s="9" t="str">
        <f>IF(AND(NEGOCIAÇÕES!B1234&lt;&gt;"",NEGOCIAÇÕES!O1234=""),NEGOCIAÇÕES!N1234,"")</f>
        <v/>
      </c>
    </row>
    <row r="1235" spans="2:5" ht="31.95" hidden="1" customHeight="1" x14ac:dyDescent="0.3">
      <c r="B1235" s="6" t="str">
        <f ca="1">IF(AND(NEGOCIAÇÕES!O1235="",NEGOCIAÇÕES!N1235&gt;TODAY()),NEGOCIAÇÕES!C1235,"")</f>
        <v/>
      </c>
      <c r="C1235" s="6" t="str">
        <f ca="1">IF(AND(NEGOCIAÇÕES!O1235="",NEGOCIAÇÕES!N1235&gt;TODAY()),NEGOCIAÇÕES!E1235,"")</f>
        <v/>
      </c>
      <c r="D1235" s="6" t="str">
        <f ca="1">IF(AND(NEGOCIAÇÕES!O1235="",NEGOCIAÇÕES!N1235&gt;TODAY()),NEGOCIAÇÕES!D1235,"")</f>
        <v/>
      </c>
      <c r="E1235" s="9" t="str">
        <f>IF(AND(NEGOCIAÇÕES!B1235&lt;&gt;"",NEGOCIAÇÕES!O1235=""),NEGOCIAÇÕES!N1235,"")</f>
        <v/>
      </c>
    </row>
    <row r="1236" spans="2:5" ht="31.95" hidden="1" customHeight="1" x14ac:dyDescent="0.3">
      <c r="B1236" s="6" t="str">
        <f ca="1">IF(AND(NEGOCIAÇÕES!O1236="",NEGOCIAÇÕES!N1236&gt;TODAY()),NEGOCIAÇÕES!C1236,"")</f>
        <v/>
      </c>
      <c r="C1236" s="6" t="str">
        <f ca="1">IF(AND(NEGOCIAÇÕES!O1236="",NEGOCIAÇÕES!N1236&gt;TODAY()),NEGOCIAÇÕES!E1236,"")</f>
        <v/>
      </c>
      <c r="D1236" s="6" t="str">
        <f ca="1">IF(AND(NEGOCIAÇÕES!O1236="",NEGOCIAÇÕES!N1236&gt;TODAY()),NEGOCIAÇÕES!D1236,"")</f>
        <v/>
      </c>
      <c r="E1236" s="9" t="str">
        <f>IF(AND(NEGOCIAÇÕES!B1236&lt;&gt;"",NEGOCIAÇÕES!O1236=""),NEGOCIAÇÕES!N1236,"")</f>
        <v/>
      </c>
    </row>
    <row r="1237" spans="2:5" ht="31.95" hidden="1" customHeight="1" x14ac:dyDescent="0.3">
      <c r="B1237" s="6" t="str">
        <f ca="1">IF(AND(NEGOCIAÇÕES!O1237="",NEGOCIAÇÕES!N1237&gt;TODAY()),NEGOCIAÇÕES!C1237,"")</f>
        <v/>
      </c>
      <c r="C1237" s="6" t="str">
        <f ca="1">IF(AND(NEGOCIAÇÕES!O1237="",NEGOCIAÇÕES!N1237&gt;TODAY()),NEGOCIAÇÕES!E1237,"")</f>
        <v/>
      </c>
      <c r="D1237" s="6" t="str">
        <f ca="1">IF(AND(NEGOCIAÇÕES!O1237="",NEGOCIAÇÕES!N1237&gt;TODAY()),NEGOCIAÇÕES!D1237,"")</f>
        <v/>
      </c>
      <c r="E1237" s="9" t="str">
        <f>IF(AND(NEGOCIAÇÕES!B1237&lt;&gt;"",NEGOCIAÇÕES!O1237=""),NEGOCIAÇÕES!N1237,"")</f>
        <v/>
      </c>
    </row>
    <row r="1238" spans="2:5" ht="31.95" hidden="1" customHeight="1" x14ac:dyDescent="0.3">
      <c r="B1238" s="6" t="str">
        <f ca="1">IF(AND(NEGOCIAÇÕES!O1238="",NEGOCIAÇÕES!N1238&gt;TODAY()),NEGOCIAÇÕES!C1238,"")</f>
        <v/>
      </c>
      <c r="C1238" s="6" t="str">
        <f ca="1">IF(AND(NEGOCIAÇÕES!O1238="",NEGOCIAÇÕES!N1238&gt;TODAY()),NEGOCIAÇÕES!E1238,"")</f>
        <v/>
      </c>
      <c r="D1238" s="6" t="str">
        <f ca="1">IF(AND(NEGOCIAÇÕES!O1238="",NEGOCIAÇÕES!N1238&gt;TODAY()),NEGOCIAÇÕES!D1238,"")</f>
        <v/>
      </c>
      <c r="E1238" s="9" t="str">
        <f>IF(AND(NEGOCIAÇÕES!B1238&lt;&gt;"",NEGOCIAÇÕES!O1238=""),NEGOCIAÇÕES!N1238,"")</f>
        <v/>
      </c>
    </row>
    <row r="1239" spans="2:5" ht="31.95" hidden="1" customHeight="1" x14ac:dyDescent="0.3">
      <c r="B1239" s="6" t="str">
        <f ca="1">IF(AND(NEGOCIAÇÕES!O1239="",NEGOCIAÇÕES!N1239&gt;TODAY()),NEGOCIAÇÕES!C1239,"")</f>
        <v/>
      </c>
      <c r="C1239" s="6" t="str">
        <f ca="1">IF(AND(NEGOCIAÇÕES!O1239="",NEGOCIAÇÕES!N1239&gt;TODAY()),NEGOCIAÇÕES!E1239,"")</f>
        <v/>
      </c>
      <c r="D1239" s="6" t="str">
        <f ca="1">IF(AND(NEGOCIAÇÕES!O1239="",NEGOCIAÇÕES!N1239&gt;TODAY()),NEGOCIAÇÕES!D1239,"")</f>
        <v/>
      </c>
      <c r="E1239" s="9" t="str">
        <f>IF(AND(NEGOCIAÇÕES!B1239&lt;&gt;"",NEGOCIAÇÕES!O1239=""),NEGOCIAÇÕES!N1239,"")</f>
        <v/>
      </c>
    </row>
    <row r="1240" spans="2:5" ht="31.95" hidden="1" customHeight="1" x14ac:dyDescent="0.3">
      <c r="B1240" s="6" t="str">
        <f ca="1">IF(AND(NEGOCIAÇÕES!O1240="",NEGOCIAÇÕES!N1240&gt;TODAY()),NEGOCIAÇÕES!C1240,"")</f>
        <v/>
      </c>
      <c r="C1240" s="6" t="str">
        <f ca="1">IF(AND(NEGOCIAÇÕES!O1240="",NEGOCIAÇÕES!N1240&gt;TODAY()),NEGOCIAÇÕES!E1240,"")</f>
        <v/>
      </c>
      <c r="D1240" s="6" t="str">
        <f ca="1">IF(AND(NEGOCIAÇÕES!O1240="",NEGOCIAÇÕES!N1240&gt;TODAY()),NEGOCIAÇÕES!D1240,"")</f>
        <v/>
      </c>
      <c r="E1240" s="9" t="str">
        <f>IF(AND(NEGOCIAÇÕES!B1240&lt;&gt;"",NEGOCIAÇÕES!O1240=""),NEGOCIAÇÕES!N1240,"")</f>
        <v/>
      </c>
    </row>
    <row r="1241" spans="2:5" ht="31.95" hidden="1" customHeight="1" x14ac:dyDescent="0.3">
      <c r="B1241" s="6" t="str">
        <f ca="1">IF(AND(NEGOCIAÇÕES!O1241="",NEGOCIAÇÕES!N1241&gt;TODAY()),NEGOCIAÇÕES!C1241,"")</f>
        <v/>
      </c>
      <c r="C1241" s="6" t="str">
        <f ca="1">IF(AND(NEGOCIAÇÕES!O1241="",NEGOCIAÇÕES!N1241&gt;TODAY()),NEGOCIAÇÕES!E1241,"")</f>
        <v/>
      </c>
      <c r="D1241" s="6" t="str">
        <f ca="1">IF(AND(NEGOCIAÇÕES!O1241="",NEGOCIAÇÕES!N1241&gt;TODAY()),NEGOCIAÇÕES!D1241,"")</f>
        <v/>
      </c>
      <c r="E1241" s="9" t="str">
        <f>IF(AND(NEGOCIAÇÕES!B1241&lt;&gt;"",NEGOCIAÇÕES!O1241=""),NEGOCIAÇÕES!N1241,"")</f>
        <v/>
      </c>
    </row>
    <row r="1242" spans="2:5" ht="31.95" hidden="1" customHeight="1" x14ac:dyDescent="0.3">
      <c r="B1242" s="6" t="str">
        <f ca="1">IF(AND(NEGOCIAÇÕES!O1242="",NEGOCIAÇÕES!N1242&gt;TODAY()),NEGOCIAÇÕES!C1242,"")</f>
        <v/>
      </c>
      <c r="C1242" s="6" t="str">
        <f ca="1">IF(AND(NEGOCIAÇÕES!O1242="",NEGOCIAÇÕES!N1242&gt;TODAY()),NEGOCIAÇÕES!E1242,"")</f>
        <v/>
      </c>
      <c r="D1242" s="6" t="str">
        <f ca="1">IF(AND(NEGOCIAÇÕES!O1242="",NEGOCIAÇÕES!N1242&gt;TODAY()),NEGOCIAÇÕES!D1242,"")</f>
        <v/>
      </c>
      <c r="E1242" s="9" t="str">
        <f>IF(AND(NEGOCIAÇÕES!B1242&lt;&gt;"",NEGOCIAÇÕES!O1242=""),NEGOCIAÇÕES!N1242,"")</f>
        <v/>
      </c>
    </row>
    <row r="1243" spans="2:5" ht="31.95" hidden="1" customHeight="1" x14ac:dyDescent="0.3">
      <c r="B1243" s="6" t="str">
        <f ca="1">IF(AND(NEGOCIAÇÕES!O1243="",NEGOCIAÇÕES!N1243&gt;TODAY()),NEGOCIAÇÕES!C1243,"")</f>
        <v/>
      </c>
      <c r="C1243" s="6" t="str">
        <f ca="1">IF(AND(NEGOCIAÇÕES!O1243="",NEGOCIAÇÕES!N1243&gt;TODAY()),NEGOCIAÇÕES!E1243,"")</f>
        <v/>
      </c>
      <c r="D1243" s="6" t="str">
        <f ca="1">IF(AND(NEGOCIAÇÕES!O1243="",NEGOCIAÇÕES!N1243&gt;TODAY()),NEGOCIAÇÕES!D1243,"")</f>
        <v/>
      </c>
      <c r="E1243" s="9" t="str">
        <f>IF(AND(NEGOCIAÇÕES!B1243&lt;&gt;"",NEGOCIAÇÕES!O1243=""),NEGOCIAÇÕES!N1243,"")</f>
        <v/>
      </c>
    </row>
    <row r="1244" spans="2:5" ht="31.95" hidden="1" customHeight="1" x14ac:dyDescent="0.3">
      <c r="B1244" s="6" t="str">
        <f ca="1">IF(AND(NEGOCIAÇÕES!O1244="",NEGOCIAÇÕES!N1244&gt;TODAY()),NEGOCIAÇÕES!C1244,"")</f>
        <v/>
      </c>
      <c r="C1244" s="6" t="str">
        <f ca="1">IF(AND(NEGOCIAÇÕES!O1244="",NEGOCIAÇÕES!N1244&gt;TODAY()),NEGOCIAÇÕES!E1244,"")</f>
        <v/>
      </c>
      <c r="D1244" s="6" t="str">
        <f ca="1">IF(AND(NEGOCIAÇÕES!O1244="",NEGOCIAÇÕES!N1244&gt;TODAY()),NEGOCIAÇÕES!D1244,"")</f>
        <v/>
      </c>
      <c r="E1244" s="9" t="str">
        <f>IF(AND(NEGOCIAÇÕES!B1244&lt;&gt;"",NEGOCIAÇÕES!O1244=""),NEGOCIAÇÕES!N1244,"")</f>
        <v/>
      </c>
    </row>
    <row r="1245" spans="2:5" ht="31.95" hidden="1" customHeight="1" x14ac:dyDescent="0.3">
      <c r="B1245" s="6" t="str">
        <f ca="1">IF(AND(NEGOCIAÇÕES!O1245="",NEGOCIAÇÕES!N1245&gt;TODAY()),NEGOCIAÇÕES!C1245,"")</f>
        <v/>
      </c>
      <c r="C1245" s="6" t="str">
        <f ca="1">IF(AND(NEGOCIAÇÕES!O1245="",NEGOCIAÇÕES!N1245&gt;TODAY()),NEGOCIAÇÕES!E1245,"")</f>
        <v/>
      </c>
      <c r="D1245" s="6" t="str">
        <f ca="1">IF(AND(NEGOCIAÇÕES!O1245="",NEGOCIAÇÕES!N1245&gt;TODAY()),NEGOCIAÇÕES!D1245,"")</f>
        <v/>
      </c>
      <c r="E1245" s="9" t="str">
        <f>IF(AND(NEGOCIAÇÕES!B1245&lt;&gt;"",NEGOCIAÇÕES!O1245=""),NEGOCIAÇÕES!N1245,"")</f>
        <v/>
      </c>
    </row>
    <row r="1246" spans="2:5" ht="31.95" hidden="1" customHeight="1" x14ac:dyDescent="0.3">
      <c r="B1246" s="6" t="str">
        <f ca="1">IF(AND(NEGOCIAÇÕES!O1246="",NEGOCIAÇÕES!N1246&gt;TODAY()),NEGOCIAÇÕES!C1246,"")</f>
        <v/>
      </c>
      <c r="C1246" s="6" t="str">
        <f ca="1">IF(AND(NEGOCIAÇÕES!O1246="",NEGOCIAÇÕES!N1246&gt;TODAY()),NEGOCIAÇÕES!E1246,"")</f>
        <v/>
      </c>
      <c r="D1246" s="6" t="str">
        <f ca="1">IF(AND(NEGOCIAÇÕES!O1246="",NEGOCIAÇÕES!N1246&gt;TODAY()),NEGOCIAÇÕES!D1246,"")</f>
        <v/>
      </c>
      <c r="E1246" s="9" t="str">
        <f>IF(AND(NEGOCIAÇÕES!B1246&lt;&gt;"",NEGOCIAÇÕES!O1246=""),NEGOCIAÇÕES!N1246,"")</f>
        <v/>
      </c>
    </row>
    <row r="1247" spans="2:5" ht="31.95" hidden="1" customHeight="1" x14ac:dyDescent="0.3">
      <c r="B1247" s="6" t="str">
        <f ca="1">IF(AND(NEGOCIAÇÕES!O1247="",NEGOCIAÇÕES!N1247&gt;TODAY()),NEGOCIAÇÕES!C1247,"")</f>
        <v/>
      </c>
      <c r="C1247" s="6" t="str">
        <f ca="1">IF(AND(NEGOCIAÇÕES!O1247="",NEGOCIAÇÕES!N1247&gt;TODAY()),NEGOCIAÇÕES!E1247,"")</f>
        <v/>
      </c>
      <c r="D1247" s="6" t="str">
        <f ca="1">IF(AND(NEGOCIAÇÕES!O1247="",NEGOCIAÇÕES!N1247&gt;TODAY()),NEGOCIAÇÕES!D1247,"")</f>
        <v/>
      </c>
      <c r="E1247" s="9" t="str">
        <f>IF(AND(NEGOCIAÇÕES!B1247&lt;&gt;"",NEGOCIAÇÕES!O1247=""),NEGOCIAÇÕES!N1247,"")</f>
        <v/>
      </c>
    </row>
    <row r="1248" spans="2:5" ht="31.95" hidden="1" customHeight="1" x14ac:dyDescent="0.3">
      <c r="B1248" s="6" t="str">
        <f ca="1">IF(AND(NEGOCIAÇÕES!O1248="",NEGOCIAÇÕES!N1248&gt;TODAY()),NEGOCIAÇÕES!C1248,"")</f>
        <v/>
      </c>
      <c r="C1248" s="6" t="str">
        <f ca="1">IF(AND(NEGOCIAÇÕES!O1248="",NEGOCIAÇÕES!N1248&gt;TODAY()),NEGOCIAÇÕES!E1248,"")</f>
        <v/>
      </c>
      <c r="D1248" s="6" t="str">
        <f ca="1">IF(AND(NEGOCIAÇÕES!O1248="",NEGOCIAÇÕES!N1248&gt;TODAY()),NEGOCIAÇÕES!D1248,"")</f>
        <v/>
      </c>
      <c r="E1248" s="9" t="str">
        <f>IF(AND(NEGOCIAÇÕES!B1248&lt;&gt;"",NEGOCIAÇÕES!O1248=""),NEGOCIAÇÕES!N1248,"")</f>
        <v/>
      </c>
    </row>
    <row r="1249" spans="2:5" ht="31.95" hidden="1" customHeight="1" x14ac:dyDescent="0.3">
      <c r="B1249" s="6" t="str">
        <f ca="1">IF(AND(NEGOCIAÇÕES!O1249="",NEGOCIAÇÕES!N1249&gt;TODAY()),NEGOCIAÇÕES!C1249,"")</f>
        <v/>
      </c>
      <c r="C1249" s="6" t="str">
        <f ca="1">IF(AND(NEGOCIAÇÕES!O1249="",NEGOCIAÇÕES!N1249&gt;TODAY()),NEGOCIAÇÕES!E1249,"")</f>
        <v/>
      </c>
      <c r="D1249" s="6" t="str">
        <f ca="1">IF(AND(NEGOCIAÇÕES!O1249="",NEGOCIAÇÕES!N1249&gt;TODAY()),NEGOCIAÇÕES!D1249,"")</f>
        <v/>
      </c>
      <c r="E1249" s="9" t="str">
        <f>IF(AND(NEGOCIAÇÕES!B1249&lt;&gt;"",NEGOCIAÇÕES!O1249=""),NEGOCIAÇÕES!N1249,"")</f>
        <v/>
      </c>
    </row>
    <row r="1250" spans="2:5" ht="31.95" hidden="1" customHeight="1" x14ac:dyDescent="0.3">
      <c r="B1250" s="6" t="str">
        <f ca="1">IF(AND(NEGOCIAÇÕES!O1250="",NEGOCIAÇÕES!N1250&gt;TODAY()),NEGOCIAÇÕES!C1250,"")</f>
        <v/>
      </c>
      <c r="C1250" s="6" t="str">
        <f ca="1">IF(AND(NEGOCIAÇÕES!O1250="",NEGOCIAÇÕES!N1250&gt;TODAY()),NEGOCIAÇÕES!E1250,"")</f>
        <v/>
      </c>
      <c r="D1250" s="6" t="str">
        <f ca="1">IF(AND(NEGOCIAÇÕES!O1250="",NEGOCIAÇÕES!N1250&gt;TODAY()),NEGOCIAÇÕES!D1250,"")</f>
        <v/>
      </c>
      <c r="E1250" s="9" t="str">
        <f>IF(AND(NEGOCIAÇÕES!B1250&lt;&gt;"",NEGOCIAÇÕES!O1250=""),NEGOCIAÇÕES!N1250,"")</f>
        <v/>
      </c>
    </row>
    <row r="1251" spans="2:5" ht="31.95" hidden="1" customHeight="1" x14ac:dyDescent="0.3">
      <c r="B1251" s="6" t="str">
        <f ca="1">IF(AND(NEGOCIAÇÕES!O1251="",NEGOCIAÇÕES!N1251&gt;TODAY()),NEGOCIAÇÕES!C1251,"")</f>
        <v/>
      </c>
      <c r="C1251" s="6" t="str">
        <f ca="1">IF(AND(NEGOCIAÇÕES!O1251="",NEGOCIAÇÕES!N1251&gt;TODAY()),NEGOCIAÇÕES!E1251,"")</f>
        <v/>
      </c>
      <c r="D1251" s="6" t="str">
        <f ca="1">IF(AND(NEGOCIAÇÕES!O1251="",NEGOCIAÇÕES!N1251&gt;TODAY()),NEGOCIAÇÕES!D1251,"")</f>
        <v/>
      </c>
      <c r="E1251" s="9" t="str">
        <f>IF(AND(NEGOCIAÇÕES!B1251&lt;&gt;"",NEGOCIAÇÕES!O1251=""),NEGOCIAÇÕES!N1251,"")</f>
        <v/>
      </c>
    </row>
    <row r="1252" spans="2:5" ht="31.95" hidden="1" customHeight="1" x14ac:dyDescent="0.3">
      <c r="B1252" s="6" t="str">
        <f ca="1">IF(AND(NEGOCIAÇÕES!O1252="",NEGOCIAÇÕES!N1252&gt;TODAY()),NEGOCIAÇÕES!C1252,"")</f>
        <v/>
      </c>
      <c r="C1252" s="6" t="str">
        <f ca="1">IF(AND(NEGOCIAÇÕES!O1252="",NEGOCIAÇÕES!N1252&gt;TODAY()),NEGOCIAÇÕES!E1252,"")</f>
        <v/>
      </c>
      <c r="D1252" s="6" t="str">
        <f ca="1">IF(AND(NEGOCIAÇÕES!O1252="",NEGOCIAÇÕES!N1252&gt;TODAY()),NEGOCIAÇÕES!D1252,"")</f>
        <v/>
      </c>
      <c r="E1252" s="9" t="str">
        <f>IF(AND(NEGOCIAÇÕES!B1252&lt;&gt;"",NEGOCIAÇÕES!O1252=""),NEGOCIAÇÕES!N1252,"")</f>
        <v/>
      </c>
    </row>
    <row r="1253" spans="2:5" ht="31.95" hidden="1" customHeight="1" x14ac:dyDescent="0.3">
      <c r="B1253" s="6" t="str">
        <f ca="1">IF(AND(NEGOCIAÇÕES!O1253="",NEGOCIAÇÕES!N1253&gt;TODAY()),NEGOCIAÇÕES!C1253,"")</f>
        <v/>
      </c>
      <c r="C1253" s="6" t="str">
        <f ca="1">IF(AND(NEGOCIAÇÕES!O1253="",NEGOCIAÇÕES!N1253&gt;TODAY()),NEGOCIAÇÕES!E1253,"")</f>
        <v/>
      </c>
      <c r="D1253" s="6" t="str">
        <f ca="1">IF(AND(NEGOCIAÇÕES!O1253="",NEGOCIAÇÕES!N1253&gt;TODAY()),NEGOCIAÇÕES!D1253,"")</f>
        <v/>
      </c>
      <c r="E1253" s="9" t="str">
        <f>IF(AND(NEGOCIAÇÕES!B1253&lt;&gt;"",NEGOCIAÇÕES!O1253=""),NEGOCIAÇÕES!N1253,"")</f>
        <v/>
      </c>
    </row>
    <row r="1254" spans="2:5" ht="31.95" hidden="1" customHeight="1" x14ac:dyDescent="0.3">
      <c r="B1254" s="6" t="str">
        <f ca="1">IF(AND(NEGOCIAÇÕES!O1254="",NEGOCIAÇÕES!N1254&gt;TODAY()),NEGOCIAÇÕES!C1254,"")</f>
        <v/>
      </c>
      <c r="C1254" s="6" t="str">
        <f ca="1">IF(AND(NEGOCIAÇÕES!O1254="",NEGOCIAÇÕES!N1254&gt;TODAY()),NEGOCIAÇÕES!E1254,"")</f>
        <v/>
      </c>
      <c r="D1254" s="6" t="str">
        <f ca="1">IF(AND(NEGOCIAÇÕES!O1254="",NEGOCIAÇÕES!N1254&gt;TODAY()),NEGOCIAÇÕES!D1254,"")</f>
        <v/>
      </c>
      <c r="E1254" s="9" t="str">
        <f>IF(AND(NEGOCIAÇÕES!B1254&lt;&gt;"",NEGOCIAÇÕES!O1254=""),NEGOCIAÇÕES!N1254,"")</f>
        <v/>
      </c>
    </row>
    <row r="1255" spans="2:5" ht="31.95" hidden="1" customHeight="1" x14ac:dyDescent="0.3">
      <c r="B1255" s="6" t="str">
        <f ca="1">IF(AND(NEGOCIAÇÕES!O1255="",NEGOCIAÇÕES!N1255&gt;TODAY()),NEGOCIAÇÕES!C1255,"")</f>
        <v/>
      </c>
      <c r="C1255" s="6" t="str">
        <f ca="1">IF(AND(NEGOCIAÇÕES!O1255="",NEGOCIAÇÕES!N1255&gt;TODAY()),NEGOCIAÇÕES!E1255,"")</f>
        <v/>
      </c>
      <c r="D1255" s="6" t="str">
        <f ca="1">IF(AND(NEGOCIAÇÕES!O1255="",NEGOCIAÇÕES!N1255&gt;TODAY()),NEGOCIAÇÕES!D1255,"")</f>
        <v/>
      </c>
      <c r="E1255" s="9" t="str">
        <f>IF(AND(NEGOCIAÇÕES!B1255&lt;&gt;"",NEGOCIAÇÕES!O1255=""),NEGOCIAÇÕES!N1255,"")</f>
        <v/>
      </c>
    </row>
    <row r="1256" spans="2:5" ht="31.95" hidden="1" customHeight="1" x14ac:dyDescent="0.3">
      <c r="B1256" s="6" t="str">
        <f ca="1">IF(AND(NEGOCIAÇÕES!O1256="",NEGOCIAÇÕES!N1256&gt;TODAY()),NEGOCIAÇÕES!C1256,"")</f>
        <v/>
      </c>
      <c r="C1256" s="6" t="str">
        <f ca="1">IF(AND(NEGOCIAÇÕES!O1256="",NEGOCIAÇÕES!N1256&gt;TODAY()),NEGOCIAÇÕES!E1256,"")</f>
        <v/>
      </c>
      <c r="D1256" s="6" t="str">
        <f ca="1">IF(AND(NEGOCIAÇÕES!O1256="",NEGOCIAÇÕES!N1256&gt;TODAY()),NEGOCIAÇÕES!D1256,"")</f>
        <v/>
      </c>
      <c r="E1256" s="9" t="str">
        <f>IF(AND(NEGOCIAÇÕES!B1256&lt;&gt;"",NEGOCIAÇÕES!O1256=""),NEGOCIAÇÕES!N1256,"")</f>
        <v/>
      </c>
    </row>
    <row r="1257" spans="2:5" ht="31.95" hidden="1" customHeight="1" x14ac:dyDescent="0.3">
      <c r="B1257" s="6" t="str">
        <f ca="1">IF(AND(NEGOCIAÇÕES!O1257="",NEGOCIAÇÕES!N1257&gt;TODAY()),NEGOCIAÇÕES!C1257,"")</f>
        <v/>
      </c>
      <c r="C1257" s="6" t="str">
        <f ca="1">IF(AND(NEGOCIAÇÕES!O1257="",NEGOCIAÇÕES!N1257&gt;TODAY()),NEGOCIAÇÕES!E1257,"")</f>
        <v/>
      </c>
      <c r="D1257" s="6" t="str">
        <f ca="1">IF(AND(NEGOCIAÇÕES!O1257="",NEGOCIAÇÕES!N1257&gt;TODAY()),NEGOCIAÇÕES!D1257,"")</f>
        <v/>
      </c>
      <c r="E1257" s="9" t="str">
        <f>IF(AND(NEGOCIAÇÕES!B1257&lt;&gt;"",NEGOCIAÇÕES!O1257=""),NEGOCIAÇÕES!N1257,"")</f>
        <v/>
      </c>
    </row>
    <row r="1258" spans="2:5" ht="31.95" hidden="1" customHeight="1" x14ac:dyDescent="0.3">
      <c r="B1258" s="6" t="str">
        <f ca="1">IF(AND(NEGOCIAÇÕES!O1258="",NEGOCIAÇÕES!N1258&gt;TODAY()),NEGOCIAÇÕES!C1258,"")</f>
        <v/>
      </c>
      <c r="C1258" s="6" t="str">
        <f ca="1">IF(AND(NEGOCIAÇÕES!O1258="",NEGOCIAÇÕES!N1258&gt;TODAY()),NEGOCIAÇÕES!E1258,"")</f>
        <v/>
      </c>
      <c r="D1258" s="6" t="str">
        <f ca="1">IF(AND(NEGOCIAÇÕES!O1258="",NEGOCIAÇÕES!N1258&gt;TODAY()),NEGOCIAÇÕES!D1258,"")</f>
        <v/>
      </c>
      <c r="E1258" s="9" t="str">
        <f>IF(AND(NEGOCIAÇÕES!B1258&lt;&gt;"",NEGOCIAÇÕES!O1258=""),NEGOCIAÇÕES!N1258,"")</f>
        <v/>
      </c>
    </row>
    <row r="1259" spans="2:5" ht="31.95" hidden="1" customHeight="1" x14ac:dyDescent="0.3">
      <c r="B1259" s="6" t="str">
        <f ca="1">IF(AND(NEGOCIAÇÕES!O1259="",NEGOCIAÇÕES!N1259&gt;TODAY()),NEGOCIAÇÕES!C1259,"")</f>
        <v/>
      </c>
      <c r="C1259" s="6" t="str">
        <f ca="1">IF(AND(NEGOCIAÇÕES!O1259="",NEGOCIAÇÕES!N1259&gt;TODAY()),NEGOCIAÇÕES!E1259,"")</f>
        <v/>
      </c>
      <c r="D1259" s="6" t="str">
        <f ca="1">IF(AND(NEGOCIAÇÕES!O1259="",NEGOCIAÇÕES!N1259&gt;TODAY()),NEGOCIAÇÕES!D1259,"")</f>
        <v/>
      </c>
      <c r="E1259" s="9" t="str">
        <f>IF(AND(NEGOCIAÇÕES!B1259&lt;&gt;"",NEGOCIAÇÕES!O1259=""),NEGOCIAÇÕES!N1259,"")</f>
        <v/>
      </c>
    </row>
    <row r="1260" spans="2:5" ht="31.95" hidden="1" customHeight="1" x14ac:dyDescent="0.3">
      <c r="B1260" s="6" t="str">
        <f ca="1">IF(AND(NEGOCIAÇÕES!O1260="",NEGOCIAÇÕES!N1260&gt;TODAY()),NEGOCIAÇÕES!C1260,"")</f>
        <v/>
      </c>
      <c r="C1260" s="6" t="str">
        <f ca="1">IF(AND(NEGOCIAÇÕES!O1260="",NEGOCIAÇÕES!N1260&gt;TODAY()),NEGOCIAÇÕES!E1260,"")</f>
        <v/>
      </c>
      <c r="D1260" s="6" t="str">
        <f ca="1">IF(AND(NEGOCIAÇÕES!O1260="",NEGOCIAÇÕES!N1260&gt;TODAY()),NEGOCIAÇÕES!D1260,"")</f>
        <v/>
      </c>
      <c r="E1260" s="9" t="str">
        <f>IF(AND(NEGOCIAÇÕES!B1260&lt;&gt;"",NEGOCIAÇÕES!O1260=""),NEGOCIAÇÕES!N1260,"")</f>
        <v/>
      </c>
    </row>
    <row r="1261" spans="2:5" ht="31.95" hidden="1" customHeight="1" x14ac:dyDescent="0.3">
      <c r="B1261" s="6" t="str">
        <f ca="1">IF(AND(NEGOCIAÇÕES!O1261="",NEGOCIAÇÕES!N1261&gt;TODAY()),NEGOCIAÇÕES!C1261,"")</f>
        <v/>
      </c>
      <c r="C1261" s="6" t="str">
        <f ca="1">IF(AND(NEGOCIAÇÕES!O1261="",NEGOCIAÇÕES!N1261&gt;TODAY()),NEGOCIAÇÕES!E1261,"")</f>
        <v/>
      </c>
      <c r="D1261" s="6" t="str">
        <f ca="1">IF(AND(NEGOCIAÇÕES!O1261="",NEGOCIAÇÕES!N1261&gt;TODAY()),NEGOCIAÇÕES!D1261,"")</f>
        <v/>
      </c>
      <c r="E1261" s="9" t="str">
        <f>IF(AND(NEGOCIAÇÕES!B1261&lt;&gt;"",NEGOCIAÇÕES!O1261=""),NEGOCIAÇÕES!N1261,"")</f>
        <v/>
      </c>
    </row>
    <row r="1262" spans="2:5" ht="31.95" hidden="1" customHeight="1" x14ac:dyDescent="0.3">
      <c r="B1262" s="6" t="str">
        <f ca="1">IF(AND(NEGOCIAÇÕES!O1262="",NEGOCIAÇÕES!N1262&gt;TODAY()),NEGOCIAÇÕES!C1262,"")</f>
        <v/>
      </c>
      <c r="C1262" s="6" t="str">
        <f ca="1">IF(AND(NEGOCIAÇÕES!O1262="",NEGOCIAÇÕES!N1262&gt;TODAY()),NEGOCIAÇÕES!E1262,"")</f>
        <v/>
      </c>
      <c r="D1262" s="6" t="str">
        <f ca="1">IF(AND(NEGOCIAÇÕES!O1262="",NEGOCIAÇÕES!N1262&gt;TODAY()),NEGOCIAÇÕES!D1262,"")</f>
        <v/>
      </c>
      <c r="E1262" s="9" t="str">
        <f>IF(AND(NEGOCIAÇÕES!B1262&lt;&gt;"",NEGOCIAÇÕES!O1262=""),NEGOCIAÇÕES!N1262,"")</f>
        <v/>
      </c>
    </row>
    <row r="1263" spans="2:5" ht="31.95" hidden="1" customHeight="1" x14ac:dyDescent="0.3">
      <c r="B1263" s="6" t="str">
        <f ca="1">IF(AND(NEGOCIAÇÕES!O1263="",NEGOCIAÇÕES!N1263&gt;TODAY()),NEGOCIAÇÕES!C1263,"")</f>
        <v/>
      </c>
      <c r="C1263" s="6" t="str">
        <f ca="1">IF(AND(NEGOCIAÇÕES!O1263="",NEGOCIAÇÕES!N1263&gt;TODAY()),NEGOCIAÇÕES!E1263,"")</f>
        <v/>
      </c>
      <c r="D1263" s="6" t="str">
        <f ca="1">IF(AND(NEGOCIAÇÕES!O1263="",NEGOCIAÇÕES!N1263&gt;TODAY()),NEGOCIAÇÕES!D1263,"")</f>
        <v/>
      </c>
      <c r="E1263" s="9" t="str">
        <f>IF(AND(NEGOCIAÇÕES!B1263&lt;&gt;"",NEGOCIAÇÕES!O1263=""),NEGOCIAÇÕES!N1263,"")</f>
        <v/>
      </c>
    </row>
    <row r="1264" spans="2:5" ht="31.95" hidden="1" customHeight="1" x14ac:dyDescent="0.3">
      <c r="B1264" s="6" t="str">
        <f ca="1">IF(AND(NEGOCIAÇÕES!O1264="",NEGOCIAÇÕES!N1264&gt;TODAY()),NEGOCIAÇÕES!C1264,"")</f>
        <v/>
      </c>
      <c r="C1264" s="6" t="str">
        <f ca="1">IF(AND(NEGOCIAÇÕES!O1264="",NEGOCIAÇÕES!N1264&gt;TODAY()),NEGOCIAÇÕES!E1264,"")</f>
        <v/>
      </c>
      <c r="D1264" s="6" t="str">
        <f ca="1">IF(AND(NEGOCIAÇÕES!O1264="",NEGOCIAÇÕES!N1264&gt;TODAY()),NEGOCIAÇÕES!D1264,"")</f>
        <v/>
      </c>
      <c r="E1264" s="9" t="str">
        <f>IF(AND(NEGOCIAÇÕES!B1264&lt;&gt;"",NEGOCIAÇÕES!O1264=""),NEGOCIAÇÕES!N1264,"")</f>
        <v/>
      </c>
    </row>
    <row r="1265" spans="2:5" ht="31.95" hidden="1" customHeight="1" x14ac:dyDescent="0.3">
      <c r="B1265" s="6" t="str">
        <f ca="1">IF(AND(NEGOCIAÇÕES!O1265="",NEGOCIAÇÕES!N1265&gt;TODAY()),NEGOCIAÇÕES!C1265,"")</f>
        <v/>
      </c>
      <c r="C1265" s="6" t="str">
        <f ca="1">IF(AND(NEGOCIAÇÕES!O1265="",NEGOCIAÇÕES!N1265&gt;TODAY()),NEGOCIAÇÕES!E1265,"")</f>
        <v/>
      </c>
      <c r="D1265" s="6" t="str">
        <f ca="1">IF(AND(NEGOCIAÇÕES!O1265="",NEGOCIAÇÕES!N1265&gt;TODAY()),NEGOCIAÇÕES!D1265,"")</f>
        <v/>
      </c>
      <c r="E1265" s="9" t="str">
        <f>IF(AND(NEGOCIAÇÕES!B1265&lt;&gt;"",NEGOCIAÇÕES!O1265=""),NEGOCIAÇÕES!N1265,"")</f>
        <v/>
      </c>
    </row>
    <row r="1266" spans="2:5" ht="31.95" hidden="1" customHeight="1" x14ac:dyDescent="0.3">
      <c r="B1266" s="6" t="str">
        <f ca="1">IF(AND(NEGOCIAÇÕES!O1266="",NEGOCIAÇÕES!N1266&gt;TODAY()),NEGOCIAÇÕES!C1266,"")</f>
        <v/>
      </c>
      <c r="C1266" s="6" t="str">
        <f ca="1">IF(AND(NEGOCIAÇÕES!O1266="",NEGOCIAÇÕES!N1266&gt;TODAY()),NEGOCIAÇÕES!E1266,"")</f>
        <v/>
      </c>
      <c r="D1266" s="6" t="str">
        <f ca="1">IF(AND(NEGOCIAÇÕES!O1266="",NEGOCIAÇÕES!N1266&gt;TODAY()),NEGOCIAÇÕES!D1266,"")</f>
        <v/>
      </c>
      <c r="E1266" s="9" t="str">
        <f>IF(AND(NEGOCIAÇÕES!B1266&lt;&gt;"",NEGOCIAÇÕES!O1266=""),NEGOCIAÇÕES!N1266,"")</f>
        <v/>
      </c>
    </row>
    <row r="1267" spans="2:5" ht="31.95" hidden="1" customHeight="1" x14ac:dyDescent="0.3">
      <c r="B1267" s="6" t="str">
        <f ca="1">IF(AND(NEGOCIAÇÕES!O1267="",NEGOCIAÇÕES!N1267&gt;TODAY()),NEGOCIAÇÕES!C1267,"")</f>
        <v/>
      </c>
      <c r="C1267" s="6" t="str">
        <f ca="1">IF(AND(NEGOCIAÇÕES!O1267="",NEGOCIAÇÕES!N1267&gt;TODAY()),NEGOCIAÇÕES!E1267,"")</f>
        <v/>
      </c>
      <c r="D1267" s="6" t="str">
        <f ca="1">IF(AND(NEGOCIAÇÕES!O1267="",NEGOCIAÇÕES!N1267&gt;TODAY()),NEGOCIAÇÕES!D1267,"")</f>
        <v/>
      </c>
      <c r="E1267" s="9" t="str">
        <f>IF(AND(NEGOCIAÇÕES!B1267&lt;&gt;"",NEGOCIAÇÕES!O1267=""),NEGOCIAÇÕES!N1267,"")</f>
        <v/>
      </c>
    </row>
    <row r="1268" spans="2:5" ht="31.95" hidden="1" customHeight="1" x14ac:dyDescent="0.3">
      <c r="B1268" s="6" t="str">
        <f ca="1">IF(AND(NEGOCIAÇÕES!O1268="",NEGOCIAÇÕES!N1268&gt;TODAY()),NEGOCIAÇÕES!C1268,"")</f>
        <v/>
      </c>
      <c r="C1268" s="6" t="str">
        <f ca="1">IF(AND(NEGOCIAÇÕES!O1268="",NEGOCIAÇÕES!N1268&gt;TODAY()),NEGOCIAÇÕES!E1268,"")</f>
        <v/>
      </c>
      <c r="D1268" s="6" t="str">
        <f ca="1">IF(AND(NEGOCIAÇÕES!O1268="",NEGOCIAÇÕES!N1268&gt;TODAY()),NEGOCIAÇÕES!D1268,"")</f>
        <v/>
      </c>
      <c r="E1268" s="9" t="str">
        <f>IF(AND(NEGOCIAÇÕES!B1268&lt;&gt;"",NEGOCIAÇÕES!O1268=""),NEGOCIAÇÕES!N1268,"")</f>
        <v/>
      </c>
    </row>
    <row r="1269" spans="2:5" ht="31.95" hidden="1" customHeight="1" x14ac:dyDescent="0.3">
      <c r="B1269" s="6" t="str">
        <f ca="1">IF(AND(NEGOCIAÇÕES!O1269="",NEGOCIAÇÕES!N1269&gt;TODAY()),NEGOCIAÇÕES!C1269,"")</f>
        <v/>
      </c>
      <c r="C1269" s="6" t="str">
        <f ca="1">IF(AND(NEGOCIAÇÕES!O1269="",NEGOCIAÇÕES!N1269&gt;TODAY()),NEGOCIAÇÕES!E1269,"")</f>
        <v/>
      </c>
      <c r="D1269" s="6" t="str">
        <f ca="1">IF(AND(NEGOCIAÇÕES!O1269="",NEGOCIAÇÕES!N1269&gt;TODAY()),NEGOCIAÇÕES!D1269,"")</f>
        <v/>
      </c>
      <c r="E1269" s="9" t="str">
        <f>IF(AND(NEGOCIAÇÕES!B1269&lt;&gt;"",NEGOCIAÇÕES!O1269=""),NEGOCIAÇÕES!N1269,"")</f>
        <v/>
      </c>
    </row>
    <row r="1270" spans="2:5" ht="31.95" hidden="1" customHeight="1" x14ac:dyDescent="0.3">
      <c r="B1270" s="6" t="str">
        <f ca="1">IF(AND(NEGOCIAÇÕES!O1270="",NEGOCIAÇÕES!N1270&gt;TODAY()),NEGOCIAÇÕES!C1270,"")</f>
        <v/>
      </c>
      <c r="C1270" s="6" t="str">
        <f ca="1">IF(AND(NEGOCIAÇÕES!O1270="",NEGOCIAÇÕES!N1270&gt;TODAY()),NEGOCIAÇÕES!E1270,"")</f>
        <v/>
      </c>
      <c r="D1270" s="6" t="str">
        <f ca="1">IF(AND(NEGOCIAÇÕES!O1270="",NEGOCIAÇÕES!N1270&gt;TODAY()),NEGOCIAÇÕES!D1270,"")</f>
        <v/>
      </c>
      <c r="E1270" s="9" t="str">
        <f>IF(AND(NEGOCIAÇÕES!B1270&lt;&gt;"",NEGOCIAÇÕES!O1270=""),NEGOCIAÇÕES!N1270,"")</f>
        <v/>
      </c>
    </row>
    <row r="1271" spans="2:5" ht="31.95" hidden="1" customHeight="1" x14ac:dyDescent="0.3">
      <c r="B1271" s="6" t="str">
        <f ca="1">IF(AND(NEGOCIAÇÕES!O1271="",NEGOCIAÇÕES!N1271&gt;TODAY()),NEGOCIAÇÕES!C1271,"")</f>
        <v/>
      </c>
      <c r="C1271" s="6" t="str">
        <f ca="1">IF(AND(NEGOCIAÇÕES!O1271="",NEGOCIAÇÕES!N1271&gt;TODAY()),NEGOCIAÇÕES!E1271,"")</f>
        <v/>
      </c>
      <c r="D1271" s="6" t="str">
        <f ca="1">IF(AND(NEGOCIAÇÕES!O1271="",NEGOCIAÇÕES!N1271&gt;TODAY()),NEGOCIAÇÕES!D1271,"")</f>
        <v/>
      </c>
      <c r="E1271" s="9" t="str">
        <f>IF(AND(NEGOCIAÇÕES!B1271&lt;&gt;"",NEGOCIAÇÕES!O1271=""),NEGOCIAÇÕES!N1271,"")</f>
        <v/>
      </c>
    </row>
    <row r="1272" spans="2:5" ht="31.95" hidden="1" customHeight="1" x14ac:dyDescent="0.3">
      <c r="B1272" s="6" t="str">
        <f ca="1">IF(AND(NEGOCIAÇÕES!O1272="",NEGOCIAÇÕES!N1272&gt;TODAY()),NEGOCIAÇÕES!C1272,"")</f>
        <v/>
      </c>
      <c r="C1272" s="6" t="str">
        <f ca="1">IF(AND(NEGOCIAÇÕES!O1272="",NEGOCIAÇÕES!N1272&gt;TODAY()),NEGOCIAÇÕES!E1272,"")</f>
        <v/>
      </c>
      <c r="D1272" s="6" t="str">
        <f ca="1">IF(AND(NEGOCIAÇÕES!O1272="",NEGOCIAÇÕES!N1272&gt;TODAY()),NEGOCIAÇÕES!D1272,"")</f>
        <v/>
      </c>
      <c r="E1272" s="9" t="str">
        <f>IF(AND(NEGOCIAÇÕES!B1272&lt;&gt;"",NEGOCIAÇÕES!O1272=""),NEGOCIAÇÕES!N1272,"")</f>
        <v/>
      </c>
    </row>
    <row r="1273" spans="2:5" ht="31.95" hidden="1" customHeight="1" x14ac:dyDescent="0.3">
      <c r="B1273" s="6" t="str">
        <f ca="1">IF(AND(NEGOCIAÇÕES!O1273="",NEGOCIAÇÕES!N1273&gt;TODAY()),NEGOCIAÇÕES!C1273,"")</f>
        <v/>
      </c>
      <c r="C1273" s="6" t="str">
        <f ca="1">IF(AND(NEGOCIAÇÕES!O1273="",NEGOCIAÇÕES!N1273&gt;TODAY()),NEGOCIAÇÕES!E1273,"")</f>
        <v/>
      </c>
      <c r="D1273" s="6" t="str">
        <f ca="1">IF(AND(NEGOCIAÇÕES!O1273="",NEGOCIAÇÕES!N1273&gt;TODAY()),NEGOCIAÇÕES!D1273,"")</f>
        <v/>
      </c>
      <c r="E1273" s="9" t="str">
        <f>IF(AND(NEGOCIAÇÕES!B1273&lt;&gt;"",NEGOCIAÇÕES!O1273=""),NEGOCIAÇÕES!N1273,"")</f>
        <v/>
      </c>
    </row>
    <row r="1274" spans="2:5" ht="31.95" hidden="1" customHeight="1" x14ac:dyDescent="0.3">
      <c r="B1274" s="6" t="str">
        <f ca="1">IF(AND(NEGOCIAÇÕES!O1274="",NEGOCIAÇÕES!N1274&gt;TODAY()),NEGOCIAÇÕES!C1274,"")</f>
        <v/>
      </c>
      <c r="C1274" s="6" t="str">
        <f ca="1">IF(AND(NEGOCIAÇÕES!O1274="",NEGOCIAÇÕES!N1274&gt;TODAY()),NEGOCIAÇÕES!E1274,"")</f>
        <v/>
      </c>
      <c r="D1274" s="6" t="str">
        <f ca="1">IF(AND(NEGOCIAÇÕES!O1274="",NEGOCIAÇÕES!N1274&gt;TODAY()),NEGOCIAÇÕES!D1274,"")</f>
        <v/>
      </c>
      <c r="E1274" s="9" t="str">
        <f>IF(AND(NEGOCIAÇÕES!B1274&lt;&gt;"",NEGOCIAÇÕES!O1274=""),NEGOCIAÇÕES!N1274,"")</f>
        <v/>
      </c>
    </row>
    <row r="1275" spans="2:5" ht="31.95" hidden="1" customHeight="1" x14ac:dyDescent="0.3">
      <c r="B1275" s="6" t="str">
        <f ca="1">IF(AND(NEGOCIAÇÕES!O1275="",NEGOCIAÇÕES!N1275&gt;TODAY()),NEGOCIAÇÕES!C1275,"")</f>
        <v/>
      </c>
      <c r="C1275" s="6" t="str">
        <f ca="1">IF(AND(NEGOCIAÇÕES!O1275="",NEGOCIAÇÕES!N1275&gt;TODAY()),NEGOCIAÇÕES!E1275,"")</f>
        <v/>
      </c>
      <c r="D1275" s="6" t="str">
        <f ca="1">IF(AND(NEGOCIAÇÕES!O1275="",NEGOCIAÇÕES!N1275&gt;TODAY()),NEGOCIAÇÕES!D1275,"")</f>
        <v/>
      </c>
      <c r="E1275" s="9" t="str">
        <f>IF(AND(NEGOCIAÇÕES!B1275&lt;&gt;"",NEGOCIAÇÕES!O1275=""),NEGOCIAÇÕES!N1275,"")</f>
        <v/>
      </c>
    </row>
    <row r="1276" spans="2:5" ht="31.95" hidden="1" customHeight="1" x14ac:dyDescent="0.3">
      <c r="B1276" s="6" t="str">
        <f ca="1">IF(AND(NEGOCIAÇÕES!O1276="",NEGOCIAÇÕES!N1276&gt;TODAY()),NEGOCIAÇÕES!C1276,"")</f>
        <v/>
      </c>
      <c r="C1276" s="6" t="str">
        <f ca="1">IF(AND(NEGOCIAÇÕES!O1276="",NEGOCIAÇÕES!N1276&gt;TODAY()),NEGOCIAÇÕES!E1276,"")</f>
        <v/>
      </c>
      <c r="D1276" s="6" t="str">
        <f ca="1">IF(AND(NEGOCIAÇÕES!O1276="",NEGOCIAÇÕES!N1276&gt;TODAY()),NEGOCIAÇÕES!D1276,"")</f>
        <v/>
      </c>
      <c r="E1276" s="9" t="str">
        <f>IF(AND(NEGOCIAÇÕES!B1276&lt;&gt;"",NEGOCIAÇÕES!O1276=""),NEGOCIAÇÕES!N1276,"")</f>
        <v/>
      </c>
    </row>
    <row r="1277" spans="2:5" ht="31.95" hidden="1" customHeight="1" x14ac:dyDescent="0.3">
      <c r="B1277" s="6" t="str">
        <f ca="1">IF(AND(NEGOCIAÇÕES!O1277="",NEGOCIAÇÕES!N1277&gt;TODAY()),NEGOCIAÇÕES!C1277,"")</f>
        <v/>
      </c>
      <c r="C1277" s="6" t="str">
        <f ca="1">IF(AND(NEGOCIAÇÕES!O1277="",NEGOCIAÇÕES!N1277&gt;TODAY()),NEGOCIAÇÕES!E1277,"")</f>
        <v/>
      </c>
      <c r="D1277" s="6" t="str">
        <f ca="1">IF(AND(NEGOCIAÇÕES!O1277="",NEGOCIAÇÕES!N1277&gt;TODAY()),NEGOCIAÇÕES!D1277,"")</f>
        <v/>
      </c>
      <c r="E1277" s="9" t="str">
        <f>IF(AND(NEGOCIAÇÕES!B1277&lt;&gt;"",NEGOCIAÇÕES!O1277=""),NEGOCIAÇÕES!N1277,"")</f>
        <v/>
      </c>
    </row>
    <row r="1278" spans="2:5" ht="31.95" hidden="1" customHeight="1" x14ac:dyDescent="0.3">
      <c r="B1278" s="6" t="str">
        <f ca="1">IF(AND(NEGOCIAÇÕES!O1278="",NEGOCIAÇÕES!N1278&gt;TODAY()),NEGOCIAÇÕES!C1278,"")</f>
        <v/>
      </c>
      <c r="C1278" s="6" t="str">
        <f ca="1">IF(AND(NEGOCIAÇÕES!O1278="",NEGOCIAÇÕES!N1278&gt;TODAY()),NEGOCIAÇÕES!E1278,"")</f>
        <v/>
      </c>
      <c r="D1278" s="6" t="str">
        <f ca="1">IF(AND(NEGOCIAÇÕES!O1278="",NEGOCIAÇÕES!N1278&gt;TODAY()),NEGOCIAÇÕES!D1278,"")</f>
        <v/>
      </c>
      <c r="E1278" s="9" t="str">
        <f>IF(AND(NEGOCIAÇÕES!B1278&lt;&gt;"",NEGOCIAÇÕES!O1278=""),NEGOCIAÇÕES!N1278,"")</f>
        <v/>
      </c>
    </row>
    <row r="1279" spans="2:5" ht="31.95" hidden="1" customHeight="1" x14ac:dyDescent="0.3">
      <c r="B1279" s="6" t="str">
        <f ca="1">IF(AND(NEGOCIAÇÕES!O1279="",NEGOCIAÇÕES!N1279&gt;TODAY()),NEGOCIAÇÕES!C1279,"")</f>
        <v/>
      </c>
      <c r="C1279" s="6" t="str">
        <f ca="1">IF(AND(NEGOCIAÇÕES!O1279="",NEGOCIAÇÕES!N1279&gt;TODAY()),NEGOCIAÇÕES!E1279,"")</f>
        <v/>
      </c>
      <c r="D1279" s="6" t="str">
        <f ca="1">IF(AND(NEGOCIAÇÕES!O1279="",NEGOCIAÇÕES!N1279&gt;TODAY()),NEGOCIAÇÕES!D1279,"")</f>
        <v/>
      </c>
      <c r="E1279" s="9" t="str">
        <f>IF(AND(NEGOCIAÇÕES!B1279&lt;&gt;"",NEGOCIAÇÕES!O1279=""),NEGOCIAÇÕES!N1279,"")</f>
        <v/>
      </c>
    </row>
    <row r="1280" spans="2:5" ht="31.95" hidden="1" customHeight="1" x14ac:dyDescent="0.3">
      <c r="B1280" s="6" t="str">
        <f ca="1">IF(AND(NEGOCIAÇÕES!O1280="",NEGOCIAÇÕES!N1280&gt;TODAY()),NEGOCIAÇÕES!C1280,"")</f>
        <v/>
      </c>
      <c r="C1280" s="6" t="str">
        <f ca="1">IF(AND(NEGOCIAÇÕES!O1280="",NEGOCIAÇÕES!N1280&gt;TODAY()),NEGOCIAÇÕES!E1280,"")</f>
        <v/>
      </c>
      <c r="D1280" s="6" t="str">
        <f ca="1">IF(AND(NEGOCIAÇÕES!O1280="",NEGOCIAÇÕES!N1280&gt;TODAY()),NEGOCIAÇÕES!D1280,"")</f>
        <v/>
      </c>
      <c r="E1280" s="9" t="str">
        <f>IF(AND(NEGOCIAÇÕES!B1280&lt;&gt;"",NEGOCIAÇÕES!O1280=""),NEGOCIAÇÕES!N1280,"")</f>
        <v/>
      </c>
    </row>
    <row r="1281" spans="2:5" ht="31.95" hidden="1" customHeight="1" x14ac:dyDescent="0.3">
      <c r="B1281" s="6" t="str">
        <f ca="1">IF(AND(NEGOCIAÇÕES!O1281="",NEGOCIAÇÕES!N1281&gt;TODAY()),NEGOCIAÇÕES!C1281,"")</f>
        <v/>
      </c>
      <c r="C1281" s="6" t="str">
        <f ca="1">IF(AND(NEGOCIAÇÕES!O1281="",NEGOCIAÇÕES!N1281&gt;TODAY()),NEGOCIAÇÕES!E1281,"")</f>
        <v/>
      </c>
      <c r="D1281" s="6" t="str">
        <f ca="1">IF(AND(NEGOCIAÇÕES!O1281="",NEGOCIAÇÕES!N1281&gt;TODAY()),NEGOCIAÇÕES!D1281,"")</f>
        <v/>
      </c>
      <c r="E1281" s="9" t="str">
        <f>IF(AND(NEGOCIAÇÕES!B1281&lt;&gt;"",NEGOCIAÇÕES!O1281=""),NEGOCIAÇÕES!N1281,"")</f>
        <v/>
      </c>
    </row>
    <row r="1282" spans="2:5" ht="31.95" hidden="1" customHeight="1" x14ac:dyDescent="0.3">
      <c r="B1282" s="6" t="str">
        <f ca="1">IF(AND(NEGOCIAÇÕES!O1282="",NEGOCIAÇÕES!N1282&gt;TODAY()),NEGOCIAÇÕES!C1282,"")</f>
        <v/>
      </c>
      <c r="C1282" s="6" t="str">
        <f ca="1">IF(AND(NEGOCIAÇÕES!O1282="",NEGOCIAÇÕES!N1282&gt;TODAY()),NEGOCIAÇÕES!E1282,"")</f>
        <v/>
      </c>
      <c r="D1282" s="6" t="str">
        <f ca="1">IF(AND(NEGOCIAÇÕES!O1282="",NEGOCIAÇÕES!N1282&gt;TODAY()),NEGOCIAÇÕES!D1282,"")</f>
        <v/>
      </c>
      <c r="E1282" s="9" t="str">
        <f>IF(AND(NEGOCIAÇÕES!B1282&lt;&gt;"",NEGOCIAÇÕES!O1282=""),NEGOCIAÇÕES!N1282,"")</f>
        <v/>
      </c>
    </row>
    <row r="1283" spans="2:5" ht="31.95" hidden="1" customHeight="1" x14ac:dyDescent="0.3">
      <c r="B1283" s="6" t="str">
        <f ca="1">IF(AND(NEGOCIAÇÕES!O1283="",NEGOCIAÇÕES!N1283&gt;TODAY()),NEGOCIAÇÕES!C1283,"")</f>
        <v/>
      </c>
      <c r="C1283" s="6" t="str">
        <f ca="1">IF(AND(NEGOCIAÇÕES!O1283="",NEGOCIAÇÕES!N1283&gt;TODAY()),NEGOCIAÇÕES!E1283,"")</f>
        <v/>
      </c>
      <c r="D1283" s="6" t="str">
        <f ca="1">IF(AND(NEGOCIAÇÕES!O1283="",NEGOCIAÇÕES!N1283&gt;TODAY()),NEGOCIAÇÕES!D1283,"")</f>
        <v/>
      </c>
      <c r="E1283" s="9" t="str">
        <f>IF(AND(NEGOCIAÇÕES!B1283&lt;&gt;"",NEGOCIAÇÕES!O1283=""),NEGOCIAÇÕES!N1283,"")</f>
        <v/>
      </c>
    </row>
    <row r="1284" spans="2:5" ht="31.95" hidden="1" customHeight="1" x14ac:dyDescent="0.3">
      <c r="B1284" s="6" t="str">
        <f ca="1">IF(AND(NEGOCIAÇÕES!O1284="",NEGOCIAÇÕES!N1284&gt;TODAY()),NEGOCIAÇÕES!C1284,"")</f>
        <v/>
      </c>
      <c r="C1284" s="6" t="str">
        <f ca="1">IF(AND(NEGOCIAÇÕES!O1284="",NEGOCIAÇÕES!N1284&gt;TODAY()),NEGOCIAÇÕES!E1284,"")</f>
        <v/>
      </c>
      <c r="D1284" s="6" t="str">
        <f ca="1">IF(AND(NEGOCIAÇÕES!O1284="",NEGOCIAÇÕES!N1284&gt;TODAY()),NEGOCIAÇÕES!D1284,"")</f>
        <v/>
      </c>
      <c r="E1284" s="9" t="str">
        <f>IF(AND(NEGOCIAÇÕES!B1284&lt;&gt;"",NEGOCIAÇÕES!O1284=""),NEGOCIAÇÕES!N1284,"")</f>
        <v/>
      </c>
    </row>
    <row r="1285" spans="2:5" ht="31.95" hidden="1" customHeight="1" x14ac:dyDescent="0.3">
      <c r="B1285" s="6" t="str">
        <f ca="1">IF(AND(NEGOCIAÇÕES!O1285="",NEGOCIAÇÕES!N1285&gt;TODAY()),NEGOCIAÇÕES!C1285,"")</f>
        <v/>
      </c>
      <c r="C1285" s="6" t="str">
        <f ca="1">IF(AND(NEGOCIAÇÕES!O1285="",NEGOCIAÇÕES!N1285&gt;TODAY()),NEGOCIAÇÕES!E1285,"")</f>
        <v/>
      </c>
      <c r="D1285" s="6" t="str">
        <f ca="1">IF(AND(NEGOCIAÇÕES!O1285="",NEGOCIAÇÕES!N1285&gt;TODAY()),NEGOCIAÇÕES!D1285,"")</f>
        <v/>
      </c>
      <c r="E1285" s="9" t="str">
        <f>IF(AND(NEGOCIAÇÕES!B1285&lt;&gt;"",NEGOCIAÇÕES!O1285=""),NEGOCIAÇÕES!N1285,"")</f>
        <v/>
      </c>
    </row>
    <row r="1286" spans="2:5" ht="31.95" hidden="1" customHeight="1" x14ac:dyDescent="0.3">
      <c r="B1286" s="6" t="str">
        <f ca="1">IF(AND(NEGOCIAÇÕES!O1286="",NEGOCIAÇÕES!N1286&gt;TODAY()),NEGOCIAÇÕES!C1286,"")</f>
        <v/>
      </c>
      <c r="C1286" s="6" t="str">
        <f ca="1">IF(AND(NEGOCIAÇÕES!O1286="",NEGOCIAÇÕES!N1286&gt;TODAY()),NEGOCIAÇÕES!E1286,"")</f>
        <v/>
      </c>
      <c r="D1286" s="6" t="str">
        <f ca="1">IF(AND(NEGOCIAÇÕES!O1286="",NEGOCIAÇÕES!N1286&gt;TODAY()),NEGOCIAÇÕES!D1286,"")</f>
        <v/>
      </c>
      <c r="E1286" s="9" t="str">
        <f>IF(AND(NEGOCIAÇÕES!B1286&lt;&gt;"",NEGOCIAÇÕES!O1286=""),NEGOCIAÇÕES!N1286,"")</f>
        <v/>
      </c>
    </row>
    <row r="1287" spans="2:5" ht="31.95" hidden="1" customHeight="1" x14ac:dyDescent="0.3">
      <c r="B1287" s="6" t="str">
        <f ca="1">IF(AND(NEGOCIAÇÕES!O1287="",NEGOCIAÇÕES!N1287&gt;TODAY()),NEGOCIAÇÕES!C1287,"")</f>
        <v/>
      </c>
      <c r="C1287" s="6" t="str">
        <f ca="1">IF(AND(NEGOCIAÇÕES!O1287="",NEGOCIAÇÕES!N1287&gt;TODAY()),NEGOCIAÇÕES!E1287,"")</f>
        <v/>
      </c>
      <c r="D1287" s="6" t="str">
        <f ca="1">IF(AND(NEGOCIAÇÕES!O1287="",NEGOCIAÇÕES!N1287&gt;TODAY()),NEGOCIAÇÕES!D1287,"")</f>
        <v/>
      </c>
      <c r="E1287" s="9" t="str">
        <f>IF(AND(NEGOCIAÇÕES!B1287&lt;&gt;"",NEGOCIAÇÕES!O1287=""),NEGOCIAÇÕES!N1287,"")</f>
        <v/>
      </c>
    </row>
    <row r="1288" spans="2:5" ht="31.95" hidden="1" customHeight="1" x14ac:dyDescent="0.3">
      <c r="B1288" s="6" t="str">
        <f ca="1">IF(AND(NEGOCIAÇÕES!O1288="",NEGOCIAÇÕES!N1288&gt;TODAY()),NEGOCIAÇÕES!C1288,"")</f>
        <v/>
      </c>
      <c r="C1288" s="6" t="str">
        <f ca="1">IF(AND(NEGOCIAÇÕES!O1288="",NEGOCIAÇÕES!N1288&gt;TODAY()),NEGOCIAÇÕES!E1288,"")</f>
        <v/>
      </c>
      <c r="D1288" s="6" t="str">
        <f ca="1">IF(AND(NEGOCIAÇÕES!O1288="",NEGOCIAÇÕES!N1288&gt;TODAY()),NEGOCIAÇÕES!D1288,"")</f>
        <v/>
      </c>
      <c r="E1288" s="9" t="str">
        <f>IF(AND(NEGOCIAÇÕES!B1288&lt;&gt;"",NEGOCIAÇÕES!O1288=""),NEGOCIAÇÕES!N1288,"")</f>
        <v/>
      </c>
    </row>
    <row r="1289" spans="2:5" ht="31.95" hidden="1" customHeight="1" x14ac:dyDescent="0.3">
      <c r="B1289" s="6" t="str">
        <f ca="1">IF(AND(NEGOCIAÇÕES!O1289="",NEGOCIAÇÕES!N1289&gt;TODAY()),NEGOCIAÇÕES!C1289,"")</f>
        <v/>
      </c>
      <c r="C1289" s="6" t="str">
        <f ca="1">IF(AND(NEGOCIAÇÕES!O1289="",NEGOCIAÇÕES!N1289&gt;TODAY()),NEGOCIAÇÕES!E1289,"")</f>
        <v/>
      </c>
      <c r="D1289" s="6" t="str">
        <f ca="1">IF(AND(NEGOCIAÇÕES!O1289="",NEGOCIAÇÕES!N1289&gt;TODAY()),NEGOCIAÇÕES!D1289,"")</f>
        <v/>
      </c>
      <c r="E1289" s="9" t="str">
        <f>IF(AND(NEGOCIAÇÕES!B1289&lt;&gt;"",NEGOCIAÇÕES!O1289=""),NEGOCIAÇÕES!N1289,"")</f>
        <v/>
      </c>
    </row>
    <row r="1290" spans="2:5" ht="31.95" hidden="1" customHeight="1" x14ac:dyDescent="0.3">
      <c r="B1290" s="6" t="str">
        <f ca="1">IF(AND(NEGOCIAÇÕES!O1290="",NEGOCIAÇÕES!N1290&gt;TODAY()),NEGOCIAÇÕES!C1290,"")</f>
        <v/>
      </c>
      <c r="C1290" s="6" t="str">
        <f ca="1">IF(AND(NEGOCIAÇÕES!O1290="",NEGOCIAÇÕES!N1290&gt;TODAY()),NEGOCIAÇÕES!E1290,"")</f>
        <v/>
      </c>
      <c r="D1290" s="6" t="str">
        <f ca="1">IF(AND(NEGOCIAÇÕES!O1290="",NEGOCIAÇÕES!N1290&gt;TODAY()),NEGOCIAÇÕES!D1290,"")</f>
        <v/>
      </c>
      <c r="E1290" s="9" t="str">
        <f>IF(AND(NEGOCIAÇÕES!B1290&lt;&gt;"",NEGOCIAÇÕES!O1290=""),NEGOCIAÇÕES!N1290,"")</f>
        <v/>
      </c>
    </row>
    <row r="1291" spans="2:5" ht="31.95" hidden="1" customHeight="1" x14ac:dyDescent="0.3">
      <c r="B1291" s="6" t="str">
        <f ca="1">IF(AND(NEGOCIAÇÕES!O1291="",NEGOCIAÇÕES!N1291&gt;TODAY()),NEGOCIAÇÕES!C1291,"")</f>
        <v/>
      </c>
      <c r="C1291" s="6" t="str">
        <f ca="1">IF(AND(NEGOCIAÇÕES!O1291="",NEGOCIAÇÕES!N1291&gt;TODAY()),NEGOCIAÇÕES!E1291,"")</f>
        <v/>
      </c>
      <c r="D1291" s="6" t="str">
        <f ca="1">IF(AND(NEGOCIAÇÕES!O1291="",NEGOCIAÇÕES!N1291&gt;TODAY()),NEGOCIAÇÕES!D1291,"")</f>
        <v/>
      </c>
      <c r="E1291" s="9" t="str">
        <f>IF(AND(NEGOCIAÇÕES!B1291&lt;&gt;"",NEGOCIAÇÕES!O1291=""),NEGOCIAÇÕES!N1291,"")</f>
        <v/>
      </c>
    </row>
    <row r="1292" spans="2:5" ht="31.95" hidden="1" customHeight="1" x14ac:dyDescent="0.3">
      <c r="B1292" s="6" t="str">
        <f ca="1">IF(AND(NEGOCIAÇÕES!O1292="",NEGOCIAÇÕES!N1292&gt;TODAY()),NEGOCIAÇÕES!C1292,"")</f>
        <v/>
      </c>
      <c r="C1292" s="6" t="str">
        <f ca="1">IF(AND(NEGOCIAÇÕES!O1292="",NEGOCIAÇÕES!N1292&gt;TODAY()),NEGOCIAÇÕES!E1292,"")</f>
        <v/>
      </c>
      <c r="D1292" s="6" t="str">
        <f ca="1">IF(AND(NEGOCIAÇÕES!O1292="",NEGOCIAÇÕES!N1292&gt;TODAY()),NEGOCIAÇÕES!D1292,"")</f>
        <v/>
      </c>
      <c r="E1292" s="9" t="str">
        <f>IF(AND(NEGOCIAÇÕES!B1292&lt;&gt;"",NEGOCIAÇÕES!O1292=""),NEGOCIAÇÕES!N1292,"")</f>
        <v/>
      </c>
    </row>
    <row r="1293" spans="2:5" ht="31.95" hidden="1" customHeight="1" x14ac:dyDescent="0.3">
      <c r="B1293" s="6" t="str">
        <f ca="1">IF(AND(NEGOCIAÇÕES!O1293="",NEGOCIAÇÕES!N1293&gt;TODAY()),NEGOCIAÇÕES!C1293,"")</f>
        <v/>
      </c>
      <c r="C1293" s="6" t="str">
        <f ca="1">IF(AND(NEGOCIAÇÕES!O1293="",NEGOCIAÇÕES!N1293&gt;TODAY()),NEGOCIAÇÕES!E1293,"")</f>
        <v/>
      </c>
      <c r="D1293" s="6" t="str">
        <f ca="1">IF(AND(NEGOCIAÇÕES!O1293="",NEGOCIAÇÕES!N1293&gt;TODAY()),NEGOCIAÇÕES!D1293,"")</f>
        <v/>
      </c>
      <c r="E1293" s="9" t="str">
        <f>IF(AND(NEGOCIAÇÕES!B1293&lt;&gt;"",NEGOCIAÇÕES!O1293=""),NEGOCIAÇÕES!N1293,"")</f>
        <v/>
      </c>
    </row>
    <row r="1294" spans="2:5" ht="31.95" hidden="1" customHeight="1" x14ac:dyDescent="0.3">
      <c r="B1294" s="6" t="str">
        <f ca="1">IF(AND(NEGOCIAÇÕES!O1294="",NEGOCIAÇÕES!N1294&gt;TODAY()),NEGOCIAÇÕES!C1294,"")</f>
        <v/>
      </c>
      <c r="C1294" s="6" t="str">
        <f ca="1">IF(AND(NEGOCIAÇÕES!O1294="",NEGOCIAÇÕES!N1294&gt;TODAY()),NEGOCIAÇÕES!E1294,"")</f>
        <v/>
      </c>
      <c r="D1294" s="6" t="str">
        <f ca="1">IF(AND(NEGOCIAÇÕES!O1294="",NEGOCIAÇÕES!N1294&gt;TODAY()),NEGOCIAÇÕES!D1294,"")</f>
        <v/>
      </c>
      <c r="E1294" s="9" t="str">
        <f>IF(AND(NEGOCIAÇÕES!B1294&lt;&gt;"",NEGOCIAÇÕES!O1294=""),NEGOCIAÇÕES!N1294,"")</f>
        <v/>
      </c>
    </row>
    <row r="1295" spans="2:5" ht="31.95" hidden="1" customHeight="1" x14ac:dyDescent="0.3">
      <c r="B1295" s="6" t="str">
        <f ca="1">IF(AND(NEGOCIAÇÕES!O1295="",NEGOCIAÇÕES!N1295&gt;TODAY()),NEGOCIAÇÕES!C1295,"")</f>
        <v/>
      </c>
      <c r="C1295" s="6" t="str">
        <f ca="1">IF(AND(NEGOCIAÇÕES!O1295="",NEGOCIAÇÕES!N1295&gt;TODAY()),NEGOCIAÇÕES!E1295,"")</f>
        <v/>
      </c>
      <c r="D1295" s="6" t="str">
        <f ca="1">IF(AND(NEGOCIAÇÕES!O1295="",NEGOCIAÇÕES!N1295&gt;TODAY()),NEGOCIAÇÕES!D1295,"")</f>
        <v/>
      </c>
      <c r="E1295" s="9" t="str">
        <f>IF(AND(NEGOCIAÇÕES!B1295&lt;&gt;"",NEGOCIAÇÕES!O1295=""),NEGOCIAÇÕES!N1295,"")</f>
        <v/>
      </c>
    </row>
    <row r="1296" spans="2:5" ht="31.95" hidden="1" customHeight="1" x14ac:dyDescent="0.3">
      <c r="B1296" s="6" t="str">
        <f ca="1">IF(AND(NEGOCIAÇÕES!O1296="",NEGOCIAÇÕES!N1296&gt;TODAY()),NEGOCIAÇÕES!C1296,"")</f>
        <v/>
      </c>
      <c r="C1296" s="6" t="str">
        <f ca="1">IF(AND(NEGOCIAÇÕES!O1296="",NEGOCIAÇÕES!N1296&gt;TODAY()),NEGOCIAÇÕES!E1296,"")</f>
        <v/>
      </c>
      <c r="D1296" s="6" t="str">
        <f ca="1">IF(AND(NEGOCIAÇÕES!O1296="",NEGOCIAÇÕES!N1296&gt;TODAY()),NEGOCIAÇÕES!D1296,"")</f>
        <v/>
      </c>
      <c r="E1296" s="9" t="str">
        <f>IF(AND(NEGOCIAÇÕES!B1296&lt;&gt;"",NEGOCIAÇÕES!O1296=""),NEGOCIAÇÕES!N1296,"")</f>
        <v/>
      </c>
    </row>
    <row r="1297" spans="2:5" ht="31.95" hidden="1" customHeight="1" x14ac:dyDescent="0.3">
      <c r="B1297" s="6" t="str">
        <f ca="1">IF(AND(NEGOCIAÇÕES!O1297="",NEGOCIAÇÕES!N1297&gt;TODAY()),NEGOCIAÇÕES!C1297,"")</f>
        <v/>
      </c>
      <c r="C1297" s="6" t="str">
        <f ca="1">IF(AND(NEGOCIAÇÕES!O1297="",NEGOCIAÇÕES!N1297&gt;TODAY()),NEGOCIAÇÕES!E1297,"")</f>
        <v/>
      </c>
      <c r="D1297" s="6" t="str">
        <f ca="1">IF(AND(NEGOCIAÇÕES!O1297="",NEGOCIAÇÕES!N1297&gt;TODAY()),NEGOCIAÇÕES!D1297,"")</f>
        <v/>
      </c>
      <c r="E1297" s="9" t="str">
        <f>IF(AND(NEGOCIAÇÕES!B1297&lt;&gt;"",NEGOCIAÇÕES!O1297=""),NEGOCIAÇÕES!N1297,"")</f>
        <v/>
      </c>
    </row>
    <row r="1298" spans="2:5" ht="31.95" hidden="1" customHeight="1" x14ac:dyDescent="0.3">
      <c r="B1298" s="6" t="str">
        <f ca="1">IF(AND(NEGOCIAÇÕES!O1298="",NEGOCIAÇÕES!N1298&gt;TODAY()),NEGOCIAÇÕES!C1298,"")</f>
        <v/>
      </c>
      <c r="C1298" s="6" t="str">
        <f ca="1">IF(AND(NEGOCIAÇÕES!O1298="",NEGOCIAÇÕES!N1298&gt;TODAY()),NEGOCIAÇÕES!E1298,"")</f>
        <v/>
      </c>
      <c r="D1298" s="6" t="str">
        <f ca="1">IF(AND(NEGOCIAÇÕES!O1298="",NEGOCIAÇÕES!N1298&gt;TODAY()),NEGOCIAÇÕES!D1298,"")</f>
        <v/>
      </c>
      <c r="E1298" s="9" t="str">
        <f>IF(AND(NEGOCIAÇÕES!B1298&lt;&gt;"",NEGOCIAÇÕES!O1298=""),NEGOCIAÇÕES!N1298,"")</f>
        <v/>
      </c>
    </row>
    <row r="1299" spans="2:5" ht="31.95" hidden="1" customHeight="1" x14ac:dyDescent="0.3">
      <c r="B1299" s="6" t="str">
        <f ca="1">IF(AND(NEGOCIAÇÕES!O1299="",NEGOCIAÇÕES!N1299&gt;TODAY()),NEGOCIAÇÕES!C1299,"")</f>
        <v/>
      </c>
      <c r="C1299" s="6" t="str">
        <f ca="1">IF(AND(NEGOCIAÇÕES!O1299="",NEGOCIAÇÕES!N1299&gt;TODAY()),NEGOCIAÇÕES!E1299,"")</f>
        <v/>
      </c>
      <c r="D1299" s="6" t="str">
        <f ca="1">IF(AND(NEGOCIAÇÕES!O1299="",NEGOCIAÇÕES!N1299&gt;TODAY()),NEGOCIAÇÕES!D1299,"")</f>
        <v/>
      </c>
      <c r="E1299" s="9" t="str">
        <f>IF(AND(NEGOCIAÇÕES!B1299&lt;&gt;"",NEGOCIAÇÕES!O1299=""),NEGOCIAÇÕES!N1299,"")</f>
        <v/>
      </c>
    </row>
    <row r="1300" spans="2:5" ht="31.95" hidden="1" customHeight="1" x14ac:dyDescent="0.3">
      <c r="B1300" s="6" t="str">
        <f ca="1">IF(AND(NEGOCIAÇÕES!O1300="",NEGOCIAÇÕES!N1300&gt;TODAY()),NEGOCIAÇÕES!C1300,"")</f>
        <v/>
      </c>
      <c r="C1300" s="6" t="str">
        <f ca="1">IF(AND(NEGOCIAÇÕES!O1300="",NEGOCIAÇÕES!N1300&gt;TODAY()),NEGOCIAÇÕES!E1300,"")</f>
        <v/>
      </c>
      <c r="D1300" s="6" t="str">
        <f ca="1">IF(AND(NEGOCIAÇÕES!O1300="",NEGOCIAÇÕES!N1300&gt;TODAY()),NEGOCIAÇÕES!D1300,"")</f>
        <v/>
      </c>
      <c r="E1300" s="9" t="str">
        <f>IF(AND(NEGOCIAÇÕES!B1300&lt;&gt;"",NEGOCIAÇÕES!O1300=""),NEGOCIAÇÕES!N1300,"")</f>
        <v/>
      </c>
    </row>
    <row r="1301" spans="2:5" ht="31.95" hidden="1" customHeight="1" x14ac:dyDescent="0.3">
      <c r="B1301" s="6" t="str">
        <f ca="1">IF(AND(NEGOCIAÇÕES!O1301="",NEGOCIAÇÕES!N1301&gt;TODAY()),NEGOCIAÇÕES!C1301,"")</f>
        <v/>
      </c>
      <c r="C1301" s="6" t="str">
        <f ca="1">IF(AND(NEGOCIAÇÕES!O1301="",NEGOCIAÇÕES!N1301&gt;TODAY()),NEGOCIAÇÕES!E1301,"")</f>
        <v/>
      </c>
      <c r="D1301" s="6" t="str">
        <f ca="1">IF(AND(NEGOCIAÇÕES!O1301="",NEGOCIAÇÕES!N1301&gt;TODAY()),NEGOCIAÇÕES!D1301,"")</f>
        <v/>
      </c>
      <c r="E1301" s="9" t="str">
        <f>IF(AND(NEGOCIAÇÕES!B1301&lt;&gt;"",NEGOCIAÇÕES!O1301=""),NEGOCIAÇÕES!N1301,"")</f>
        <v/>
      </c>
    </row>
    <row r="1302" spans="2:5" ht="31.95" hidden="1" customHeight="1" x14ac:dyDescent="0.3">
      <c r="B1302" s="6" t="str">
        <f ca="1">IF(AND(NEGOCIAÇÕES!O1302="",NEGOCIAÇÕES!N1302&gt;TODAY()),NEGOCIAÇÕES!C1302,"")</f>
        <v/>
      </c>
      <c r="C1302" s="6" t="str">
        <f ca="1">IF(AND(NEGOCIAÇÕES!O1302="",NEGOCIAÇÕES!N1302&gt;TODAY()),NEGOCIAÇÕES!E1302,"")</f>
        <v/>
      </c>
      <c r="D1302" s="6" t="str">
        <f ca="1">IF(AND(NEGOCIAÇÕES!O1302="",NEGOCIAÇÕES!N1302&gt;TODAY()),NEGOCIAÇÕES!D1302,"")</f>
        <v/>
      </c>
      <c r="E1302" s="9" t="str">
        <f>IF(AND(NEGOCIAÇÕES!B1302&lt;&gt;"",NEGOCIAÇÕES!O1302=""),NEGOCIAÇÕES!N1302,"")</f>
        <v/>
      </c>
    </row>
    <row r="1303" spans="2:5" ht="31.95" hidden="1" customHeight="1" x14ac:dyDescent="0.3">
      <c r="B1303" s="6" t="str">
        <f ca="1">IF(AND(NEGOCIAÇÕES!O1303="",NEGOCIAÇÕES!N1303&gt;TODAY()),NEGOCIAÇÕES!C1303,"")</f>
        <v/>
      </c>
      <c r="C1303" s="6" t="str">
        <f ca="1">IF(AND(NEGOCIAÇÕES!O1303="",NEGOCIAÇÕES!N1303&gt;TODAY()),NEGOCIAÇÕES!E1303,"")</f>
        <v/>
      </c>
      <c r="D1303" s="6" t="str">
        <f ca="1">IF(AND(NEGOCIAÇÕES!O1303="",NEGOCIAÇÕES!N1303&gt;TODAY()),NEGOCIAÇÕES!D1303,"")</f>
        <v/>
      </c>
      <c r="E1303" s="9" t="str">
        <f>IF(AND(NEGOCIAÇÕES!B1303&lt;&gt;"",NEGOCIAÇÕES!O1303=""),NEGOCIAÇÕES!N1303,"")</f>
        <v/>
      </c>
    </row>
    <row r="1304" spans="2:5" ht="31.95" hidden="1" customHeight="1" x14ac:dyDescent="0.3">
      <c r="B1304" s="6" t="str">
        <f ca="1">IF(AND(NEGOCIAÇÕES!O1304="",NEGOCIAÇÕES!N1304&gt;TODAY()),NEGOCIAÇÕES!C1304,"")</f>
        <v/>
      </c>
      <c r="C1304" s="6" t="str">
        <f ca="1">IF(AND(NEGOCIAÇÕES!O1304="",NEGOCIAÇÕES!N1304&gt;TODAY()),NEGOCIAÇÕES!E1304,"")</f>
        <v/>
      </c>
      <c r="D1304" s="6" t="str">
        <f ca="1">IF(AND(NEGOCIAÇÕES!O1304="",NEGOCIAÇÕES!N1304&gt;TODAY()),NEGOCIAÇÕES!D1304,"")</f>
        <v/>
      </c>
      <c r="E1304" s="9" t="str">
        <f>IF(AND(NEGOCIAÇÕES!B1304&lt;&gt;"",NEGOCIAÇÕES!O1304=""),NEGOCIAÇÕES!N1304,"")</f>
        <v/>
      </c>
    </row>
    <row r="1305" spans="2:5" ht="31.95" hidden="1" customHeight="1" x14ac:dyDescent="0.3">
      <c r="B1305" s="6" t="str">
        <f ca="1">IF(AND(NEGOCIAÇÕES!O1305="",NEGOCIAÇÕES!N1305&gt;TODAY()),NEGOCIAÇÕES!C1305,"")</f>
        <v/>
      </c>
      <c r="C1305" s="6" t="str">
        <f ca="1">IF(AND(NEGOCIAÇÕES!O1305="",NEGOCIAÇÕES!N1305&gt;TODAY()),NEGOCIAÇÕES!E1305,"")</f>
        <v/>
      </c>
      <c r="D1305" s="6" t="str">
        <f ca="1">IF(AND(NEGOCIAÇÕES!O1305="",NEGOCIAÇÕES!N1305&gt;TODAY()),NEGOCIAÇÕES!D1305,"")</f>
        <v/>
      </c>
      <c r="E1305" s="9" t="str">
        <f>IF(AND(NEGOCIAÇÕES!B1305&lt;&gt;"",NEGOCIAÇÕES!O1305=""),NEGOCIAÇÕES!N1305,"")</f>
        <v/>
      </c>
    </row>
    <row r="1306" spans="2:5" ht="31.95" hidden="1" customHeight="1" x14ac:dyDescent="0.3">
      <c r="B1306" s="6" t="str">
        <f ca="1">IF(AND(NEGOCIAÇÕES!O1306="",NEGOCIAÇÕES!N1306&gt;TODAY()),NEGOCIAÇÕES!C1306,"")</f>
        <v/>
      </c>
      <c r="C1306" s="6" t="str">
        <f ca="1">IF(AND(NEGOCIAÇÕES!O1306="",NEGOCIAÇÕES!N1306&gt;TODAY()),NEGOCIAÇÕES!E1306,"")</f>
        <v/>
      </c>
      <c r="D1306" s="6" t="str">
        <f ca="1">IF(AND(NEGOCIAÇÕES!O1306="",NEGOCIAÇÕES!N1306&gt;TODAY()),NEGOCIAÇÕES!D1306,"")</f>
        <v/>
      </c>
      <c r="E1306" s="9" t="str">
        <f>IF(AND(NEGOCIAÇÕES!B1306&lt;&gt;"",NEGOCIAÇÕES!O1306=""),NEGOCIAÇÕES!N1306,"")</f>
        <v/>
      </c>
    </row>
    <row r="1307" spans="2:5" ht="31.95" hidden="1" customHeight="1" x14ac:dyDescent="0.3">
      <c r="B1307" s="6" t="str">
        <f ca="1">IF(AND(NEGOCIAÇÕES!O1307="",NEGOCIAÇÕES!N1307&gt;TODAY()),NEGOCIAÇÕES!C1307,"")</f>
        <v/>
      </c>
      <c r="C1307" s="6" t="str">
        <f ca="1">IF(AND(NEGOCIAÇÕES!O1307="",NEGOCIAÇÕES!N1307&gt;TODAY()),NEGOCIAÇÕES!E1307,"")</f>
        <v/>
      </c>
      <c r="D1307" s="6" t="str">
        <f ca="1">IF(AND(NEGOCIAÇÕES!O1307="",NEGOCIAÇÕES!N1307&gt;TODAY()),NEGOCIAÇÕES!D1307,"")</f>
        <v/>
      </c>
      <c r="E1307" s="9" t="str">
        <f>IF(AND(NEGOCIAÇÕES!B1307&lt;&gt;"",NEGOCIAÇÕES!O1307=""),NEGOCIAÇÕES!N1307,"")</f>
        <v/>
      </c>
    </row>
    <row r="1308" spans="2:5" ht="31.95" hidden="1" customHeight="1" x14ac:dyDescent="0.3">
      <c r="B1308" s="6" t="str">
        <f ca="1">IF(AND(NEGOCIAÇÕES!O1308="",NEGOCIAÇÕES!N1308&gt;TODAY()),NEGOCIAÇÕES!C1308,"")</f>
        <v/>
      </c>
      <c r="C1308" s="6" t="str">
        <f ca="1">IF(AND(NEGOCIAÇÕES!O1308="",NEGOCIAÇÕES!N1308&gt;TODAY()),NEGOCIAÇÕES!E1308,"")</f>
        <v/>
      </c>
      <c r="D1308" s="6" t="str">
        <f ca="1">IF(AND(NEGOCIAÇÕES!O1308="",NEGOCIAÇÕES!N1308&gt;TODAY()),NEGOCIAÇÕES!D1308,"")</f>
        <v/>
      </c>
      <c r="E1308" s="9" t="str">
        <f>IF(AND(NEGOCIAÇÕES!B1308&lt;&gt;"",NEGOCIAÇÕES!O1308=""),NEGOCIAÇÕES!N1308,"")</f>
        <v/>
      </c>
    </row>
    <row r="1309" spans="2:5" ht="31.95" hidden="1" customHeight="1" x14ac:dyDescent="0.3">
      <c r="B1309" s="6" t="str">
        <f ca="1">IF(AND(NEGOCIAÇÕES!O1309="",NEGOCIAÇÕES!N1309&gt;TODAY()),NEGOCIAÇÕES!C1309,"")</f>
        <v/>
      </c>
      <c r="C1309" s="6" t="str">
        <f ca="1">IF(AND(NEGOCIAÇÕES!O1309="",NEGOCIAÇÕES!N1309&gt;TODAY()),NEGOCIAÇÕES!E1309,"")</f>
        <v/>
      </c>
      <c r="D1309" s="6" t="str">
        <f ca="1">IF(AND(NEGOCIAÇÕES!O1309="",NEGOCIAÇÕES!N1309&gt;TODAY()),NEGOCIAÇÕES!D1309,"")</f>
        <v/>
      </c>
      <c r="E1309" s="9" t="str">
        <f>IF(AND(NEGOCIAÇÕES!B1309&lt;&gt;"",NEGOCIAÇÕES!O1309=""),NEGOCIAÇÕES!N1309,"")</f>
        <v/>
      </c>
    </row>
    <row r="1310" spans="2:5" ht="31.95" hidden="1" customHeight="1" x14ac:dyDescent="0.3">
      <c r="B1310" s="6" t="str">
        <f ca="1">IF(AND(NEGOCIAÇÕES!O1310="",NEGOCIAÇÕES!N1310&gt;TODAY()),NEGOCIAÇÕES!C1310,"")</f>
        <v/>
      </c>
      <c r="C1310" s="6" t="str">
        <f ca="1">IF(AND(NEGOCIAÇÕES!O1310="",NEGOCIAÇÕES!N1310&gt;TODAY()),NEGOCIAÇÕES!E1310,"")</f>
        <v/>
      </c>
      <c r="D1310" s="6" t="str">
        <f ca="1">IF(AND(NEGOCIAÇÕES!O1310="",NEGOCIAÇÕES!N1310&gt;TODAY()),NEGOCIAÇÕES!D1310,"")</f>
        <v/>
      </c>
      <c r="E1310" s="9" t="str">
        <f>IF(AND(NEGOCIAÇÕES!B1310&lt;&gt;"",NEGOCIAÇÕES!O1310=""),NEGOCIAÇÕES!N1310,"")</f>
        <v/>
      </c>
    </row>
    <row r="1311" spans="2:5" ht="31.95" hidden="1" customHeight="1" x14ac:dyDescent="0.3">
      <c r="B1311" s="6" t="str">
        <f ca="1">IF(AND(NEGOCIAÇÕES!O1311="",NEGOCIAÇÕES!N1311&gt;TODAY()),NEGOCIAÇÕES!C1311,"")</f>
        <v/>
      </c>
      <c r="C1311" s="6" t="str">
        <f ca="1">IF(AND(NEGOCIAÇÕES!O1311="",NEGOCIAÇÕES!N1311&gt;TODAY()),NEGOCIAÇÕES!E1311,"")</f>
        <v/>
      </c>
      <c r="D1311" s="6" t="str">
        <f ca="1">IF(AND(NEGOCIAÇÕES!O1311="",NEGOCIAÇÕES!N1311&gt;TODAY()),NEGOCIAÇÕES!D1311,"")</f>
        <v/>
      </c>
      <c r="E1311" s="9" t="str">
        <f>IF(AND(NEGOCIAÇÕES!B1311&lt;&gt;"",NEGOCIAÇÕES!O1311=""),NEGOCIAÇÕES!N1311,"")</f>
        <v/>
      </c>
    </row>
    <row r="1312" spans="2:5" ht="31.95" hidden="1" customHeight="1" x14ac:dyDescent="0.3">
      <c r="B1312" s="6" t="str">
        <f ca="1">IF(AND(NEGOCIAÇÕES!O1312="",NEGOCIAÇÕES!N1312&gt;TODAY()),NEGOCIAÇÕES!C1312,"")</f>
        <v/>
      </c>
      <c r="C1312" s="6" t="str">
        <f ca="1">IF(AND(NEGOCIAÇÕES!O1312="",NEGOCIAÇÕES!N1312&gt;TODAY()),NEGOCIAÇÕES!E1312,"")</f>
        <v/>
      </c>
      <c r="D1312" s="6" t="str">
        <f ca="1">IF(AND(NEGOCIAÇÕES!O1312="",NEGOCIAÇÕES!N1312&gt;TODAY()),NEGOCIAÇÕES!D1312,"")</f>
        <v/>
      </c>
      <c r="E1312" s="9" t="str">
        <f>IF(AND(NEGOCIAÇÕES!B1312&lt;&gt;"",NEGOCIAÇÕES!O1312=""),NEGOCIAÇÕES!N1312,"")</f>
        <v/>
      </c>
    </row>
    <row r="1313" spans="2:5" ht="31.95" hidden="1" customHeight="1" x14ac:dyDescent="0.3">
      <c r="B1313" s="6" t="str">
        <f ca="1">IF(AND(NEGOCIAÇÕES!O1313="",NEGOCIAÇÕES!N1313&gt;TODAY()),NEGOCIAÇÕES!C1313,"")</f>
        <v/>
      </c>
      <c r="C1313" s="6" t="str">
        <f ca="1">IF(AND(NEGOCIAÇÕES!O1313="",NEGOCIAÇÕES!N1313&gt;TODAY()),NEGOCIAÇÕES!E1313,"")</f>
        <v/>
      </c>
      <c r="D1313" s="6" t="str">
        <f ca="1">IF(AND(NEGOCIAÇÕES!O1313="",NEGOCIAÇÕES!N1313&gt;TODAY()),NEGOCIAÇÕES!D1313,"")</f>
        <v/>
      </c>
      <c r="E1313" s="9" t="str">
        <f>IF(AND(NEGOCIAÇÕES!B1313&lt;&gt;"",NEGOCIAÇÕES!O1313=""),NEGOCIAÇÕES!N1313,"")</f>
        <v/>
      </c>
    </row>
    <row r="1314" spans="2:5" ht="31.95" hidden="1" customHeight="1" x14ac:dyDescent="0.3">
      <c r="B1314" s="6" t="str">
        <f ca="1">IF(AND(NEGOCIAÇÕES!O1314="",NEGOCIAÇÕES!N1314&gt;TODAY()),NEGOCIAÇÕES!C1314,"")</f>
        <v/>
      </c>
      <c r="C1314" s="6" t="str">
        <f ca="1">IF(AND(NEGOCIAÇÕES!O1314="",NEGOCIAÇÕES!N1314&gt;TODAY()),NEGOCIAÇÕES!E1314,"")</f>
        <v/>
      </c>
      <c r="D1314" s="6" t="str">
        <f ca="1">IF(AND(NEGOCIAÇÕES!O1314="",NEGOCIAÇÕES!N1314&gt;TODAY()),NEGOCIAÇÕES!D1314,"")</f>
        <v/>
      </c>
      <c r="E1314" s="9" t="str">
        <f>IF(AND(NEGOCIAÇÕES!B1314&lt;&gt;"",NEGOCIAÇÕES!O1314=""),NEGOCIAÇÕES!N1314,"")</f>
        <v/>
      </c>
    </row>
    <row r="1315" spans="2:5" ht="31.95" hidden="1" customHeight="1" x14ac:dyDescent="0.3">
      <c r="B1315" s="6" t="str">
        <f ca="1">IF(AND(NEGOCIAÇÕES!O1315="",NEGOCIAÇÕES!N1315&gt;TODAY()),NEGOCIAÇÕES!C1315,"")</f>
        <v/>
      </c>
      <c r="C1315" s="6" t="str">
        <f ca="1">IF(AND(NEGOCIAÇÕES!O1315="",NEGOCIAÇÕES!N1315&gt;TODAY()),NEGOCIAÇÕES!E1315,"")</f>
        <v/>
      </c>
      <c r="D1315" s="6" t="str">
        <f ca="1">IF(AND(NEGOCIAÇÕES!O1315="",NEGOCIAÇÕES!N1315&gt;TODAY()),NEGOCIAÇÕES!D1315,"")</f>
        <v/>
      </c>
      <c r="E1315" s="9" t="str">
        <f>IF(AND(NEGOCIAÇÕES!B1315&lt;&gt;"",NEGOCIAÇÕES!O1315=""),NEGOCIAÇÕES!N1315,"")</f>
        <v/>
      </c>
    </row>
    <row r="1316" spans="2:5" ht="31.95" hidden="1" customHeight="1" x14ac:dyDescent="0.3">
      <c r="B1316" s="6" t="str">
        <f ca="1">IF(AND(NEGOCIAÇÕES!O1316="",NEGOCIAÇÕES!N1316&gt;TODAY()),NEGOCIAÇÕES!C1316,"")</f>
        <v/>
      </c>
      <c r="C1316" s="6" t="str">
        <f ca="1">IF(AND(NEGOCIAÇÕES!O1316="",NEGOCIAÇÕES!N1316&gt;TODAY()),NEGOCIAÇÕES!E1316,"")</f>
        <v/>
      </c>
      <c r="D1316" s="6" t="str">
        <f ca="1">IF(AND(NEGOCIAÇÕES!O1316="",NEGOCIAÇÕES!N1316&gt;TODAY()),NEGOCIAÇÕES!D1316,"")</f>
        <v/>
      </c>
      <c r="E1316" s="9" t="str">
        <f>IF(AND(NEGOCIAÇÕES!B1316&lt;&gt;"",NEGOCIAÇÕES!O1316=""),NEGOCIAÇÕES!N1316,"")</f>
        <v/>
      </c>
    </row>
    <row r="1317" spans="2:5" ht="31.95" hidden="1" customHeight="1" x14ac:dyDescent="0.3">
      <c r="B1317" s="6" t="str">
        <f ca="1">IF(AND(NEGOCIAÇÕES!O1317="",NEGOCIAÇÕES!N1317&gt;TODAY()),NEGOCIAÇÕES!C1317,"")</f>
        <v/>
      </c>
      <c r="C1317" s="6" t="str">
        <f ca="1">IF(AND(NEGOCIAÇÕES!O1317="",NEGOCIAÇÕES!N1317&gt;TODAY()),NEGOCIAÇÕES!E1317,"")</f>
        <v/>
      </c>
      <c r="D1317" s="6" t="str">
        <f ca="1">IF(AND(NEGOCIAÇÕES!O1317="",NEGOCIAÇÕES!N1317&gt;TODAY()),NEGOCIAÇÕES!D1317,"")</f>
        <v/>
      </c>
      <c r="E1317" s="9" t="str">
        <f>IF(AND(NEGOCIAÇÕES!B1317&lt;&gt;"",NEGOCIAÇÕES!O1317=""),NEGOCIAÇÕES!N1317,"")</f>
        <v/>
      </c>
    </row>
    <row r="1318" spans="2:5" ht="31.95" hidden="1" customHeight="1" x14ac:dyDescent="0.3">
      <c r="B1318" s="6" t="str">
        <f ca="1">IF(AND(NEGOCIAÇÕES!O1318="",NEGOCIAÇÕES!N1318&gt;TODAY()),NEGOCIAÇÕES!C1318,"")</f>
        <v/>
      </c>
      <c r="C1318" s="6" t="str">
        <f ca="1">IF(AND(NEGOCIAÇÕES!O1318="",NEGOCIAÇÕES!N1318&gt;TODAY()),NEGOCIAÇÕES!E1318,"")</f>
        <v/>
      </c>
      <c r="D1318" s="6" t="str">
        <f ca="1">IF(AND(NEGOCIAÇÕES!O1318="",NEGOCIAÇÕES!N1318&gt;TODAY()),NEGOCIAÇÕES!D1318,"")</f>
        <v/>
      </c>
      <c r="E1318" s="9" t="str">
        <f>IF(AND(NEGOCIAÇÕES!B1318&lt;&gt;"",NEGOCIAÇÕES!O1318=""),NEGOCIAÇÕES!N1318,"")</f>
        <v/>
      </c>
    </row>
    <row r="1319" spans="2:5" ht="31.95" hidden="1" customHeight="1" x14ac:dyDescent="0.3">
      <c r="B1319" s="6" t="str">
        <f ca="1">IF(AND(NEGOCIAÇÕES!O1319="",NEGOCIAÇÕES!N1319&gt;TODAY()),NEGOCIAÇÕES!C1319,"")</f>
        <v/>
      </c>
      <c r="C1319" s="6" t="str">
        <f ca="1">IF(AND(NEGOCIAÇÕES!O1319="",NEGOCIAÇÕES!N1319&gt;TODAY()),NEGOCIAÇÕES!E1319,"")</f>
        <v/>
      </c>
      <c r="D1319" s="6" t="str">
        <f ca="1">IF(AND(NEGOCIAÇÕES!O1319="",NEGOCIAÇÕES!N1319&gt;TODAY()),NEGOCIAÇÕES!D1319,"")</f>
        <v/>
      </c>
      <c r="E1319" s="9" t="str">
        <f>IF(AND(NEGOCIAÇÕES!B1319&lt;&gt;"",NEGOCIAÇÕES!O1319=""),NEGOCIAÇÕES!N1319,"")</f>
        <v/>
      </c>
    </row>
    <row r="1320" spans="2:5" ht="31.95" hidden="1" customHeight="1" x14ac:dyDescent="0.3">
      <c r="B1320" s="6" t="str">
        <f ca="1">IF(AND(NEGOCIAÇÕES!O1320="",NEGOCIAÇÕES!N1320&gt;TODAY()),NEGOCIAÇÕES!C1320,"")</f>
        <v/>
      </c>
      <c r="C1320" s="6" t="str">
        <f ca="1">IF(AND(NEGOCIAÇÕES!O1320="",NEGOCIAÇÕES!N1320&gt;TODAY()),NEGOCIAÇÕES!E1320,"")</f>
        <v/>
      </c>
      <c r="D1320" s="6" t="str">
        <f ca="1">IF(AND(NEGOCIAÇÕES!O1320="",NEGOCIAÇÕES!N1320&gt;TODAY()),NEGOCIAÇÕES!D1320,"")</f>
        <v/>
      </c>
      <c r="E1320" s="9" t="str">
        <f>IF(AND(NEGOCIAÇÕES!B1320&lt;&gt;"",NEGOCIAÇÕES!O1320=""),NEGOCIAÇÕES!N1320,"")</f>
        <v/>
      </c>
    </row>
    <row r="1321" spans="2:5" ht="31.95" hidden="1" customHeight="1" x14ac:dyDescent="0.3">
      <c r="B1321" s="6" t="str">
        <f ca="1">IF(AND(NEGOCIAÇÕES!O1321="",NEGOCIAÇÕES!N1321&gt;TODAY()),NEGOCIAÇÕES!C1321,"")</f>
        <v/>
      </c>
      <c r="C1321" s="6" t="str">
        <f ca="1">IF(AND(NEGOCIAÇÕES!O1321="",NEGOCIAÇÕES!N1321&gt;TODAY()),NEGOCIAÇÕES!E1321,"")</f>
        <v/>
      </c>
      <c r="D1321" s="6" t="str">
        <f ca="1">IF(AND(NEGOCIAÇÕES!O1321="",NEGOCIAÇÕES!N1321&gt;TODAY()),NEGOCIAÇÕES!D1321,"")</f>
        <v/>
      </c>
      <c r="E1321" s="9" t="str">
        <f>IF(AND(NEGOCIAÇÕES!B1321&lt;&gt;"",NEGOCIAÇÕES!O1321=""),NEGOCIAÇÕES!N1321,"")</f>
        <v/>
      </c>
    </row>
    <row r="1322" spans="2:5" ht="31.95" hidden="1" customHeight="1" x14ac:dyDescent="0.3">
      <c r="B1322" s="6" t="str">
        <f ca="1">IF(AND(NEGOCIAÇÕES!O1322="",NEGOCIAÇÕES!N1322&gt;TODAY()),NEGOCIAÇÕES!C1322,"")</f>
        <v/>
      </c>
      <c r="C1322" s="6" t="str">
        <f ca="1">IF(AND(NEGOCIAÇÕES!O1322="",NEGOCIAÇÕES!N1322&gt;TODAY()),NEGOCIAÇÕES!E1322,"")</f>
        <v/>
      </c>
      <c r="D1322" s="6" t="str">
        <f ca="1">IF(AND(NEGOCIAÇÕES!O1322="",NEGOCIAÇÕES!N1322&gt;TODAY()),NEGOCIAÇÕES!D1322,"")</f>
        <v/>
      </c>
      <c r="E1322" s="9" t="str">
        <f>IF(AND(NEGOCIAÇÕES!B1322&lt;&gt;"",NEGOCIAÇÕES!O1322=""),NEGOCIAÇÕES!N1322,"")</f>
        <v/>
      </c>
    </row>
    <row r="1323" spans="2:5" ht="31.95" hidden="1" customHeight="1" x14ac:dyDescent="0.3">
      <c r="B1323" s="6" t="str">
        <f ca="1">IF(AND(NEGOCIAÇÕES!O1323="",NEGOCIAÇÕES!N1323&gt;TODAY()),NEGOCIAÇÕES!C1323,"")</f>
        <v/>
      </c>
      <c r="C1323" s="6" t="str">
        <f ca="1">IF(AND(NEGOCIAÇÕES!O1323="",NEGOCIAÇÕES!N1323&gt;TODAY()),NEGOCIAÇÕES!E1323,"")</f>
        <v/>
      </c>
      <c r="D1323" s="6" t="str">
        <f ca="1">IF(AND(NEGOCIAÇÕES!O1323="",NEGOCIAÇÕES!N1323&gt;TODAY()),NEGOCIAÇÕES!D1323,"")</f>
        <v/>
      </c>
      <c r="E1323" s="9" t="str">
        <f>IF(AND(NEGOCIAÇÕES!B1323&lt;&gt;"",NEGOCIAÇÕES!O1323=""),NEGOCIAÇÕES!N1323,"")</f>
        <v/>
      </c>
    </row>
    <row r="1324" spans="2:5" ht="31.95" hidden="1" customHeight="1" x14ac:dyDescent="0.3">
      <c r="B1324" s="6" t="str">
        <f ca="1">IF(AND(NEGOCIAÇÕES!O1324="",NEGOCIAÇÕES!N1324&gt;TODAY()),NEGOCIAÇÕES!C1324,"")</f>
        <v/>
      </c>
      <c r="C1324" s="6" t="str">
        <f ca="1">IF(AND(NEGOCIAÇÕES!O1324="",NEGOCIAÇÕES!N1324&gt;TODAY()),NEGOCIAÇÕES!E1324,"")</f>
        <v/>
      </c>
      <c r="D1324" s="6" t="str">
        <f ca="1">IF(AND(NEGOCIAÇÕES!O1324="",NEGOCIAÇÕES!N1324&gt;TODAY()),NEGOCIAÇÕES!D1324,"")</f>
        <v/>
      </c>
      <c r="E1324" s="9" t="str">
        <f>IF(AND(NEGOCIAÇÕES!B1324&lt;&gt;"",NEGOCIAÇÕES!O1324=""),NEGOCIAÇÕES!N1324,"")</f>
        <v/>
      </c>
    </row>
    <row r="1325" spans="2:5" ht="31.95" hidden="1" customHeight="1" x14ac:dyDescent="0.3">
      <c r="B1325" s="6" t="str">
        <f ca="1">IF(AND(NEGOCIAÇÕES!O1325="",NEGOCIAÇÕES!N1325&gt;TODAY()),NEGOCIAÇÕES!C1325,"")</f>
        <v/>
      </c>
      <c r="C1325" s="6" t="str">
        <f ca="1">IF(AND(NEGOCIAÇÕES!O1325="",NEGOCIAÇÕES!N1325&gt;TODAY()),NEGOCIAÇÕES!E1325,"")</f>
        <v/>
      </c>
      <c r="D1325" s="6" t="str">
        <f ca="1">IF(AND(NEGOCIAÇÕES!O1325="",NEGOCIAÇÕES!N1325&gt;TODAY()),NEGOCIAÇÕES!D1325,"")</f>
        <v/>
      </c>
      <c r="E1325" s="9" t="str">
        <f>IF(AND(NEGOCIAÇÕES!B1325&lt;&gt;"",NEGOCIAÇÕES!O1325=""),NEGOCIAÇÕES!N1325,"")</f>
        <v/>
      </c>
    </row>
    <row r="1326" spans="2:5" ht="31.95" hidden="1" customHeight="1" x14ac:dyDescent="0.3">
      <c r="B1326" s="6" t="str">
        <f ca="1">IF(AND(NEGOCIAÇÕES!O1326="",NEGOCIAÇÕES!N1326&gt;TODAY()),NEGOCIAÇÕES!C1326,"")</f>
        <v/>
      </c>
      <c r="C1326" s="6" t="str">
        <f ca="1">IF(AND(NEGOCIAÇÕES!O1326="",NEGOCIAÇÕES!N1326&gt;TODAY()),NEGOCIAÇÕES!E1326,"")</f>
        <v/>
      </c>
      <c r="D1326" s="6" t="str">
        <f ca="1">IF(AND(NEGOCIAÇÕES!O1326="",NEGOCIAÇÕES!N1326&gt;TODAY()),NEGOCIAÇÕES!D1326,"")</f>
        <v/>
      </c>
      <c r="E1326" s="9" t="str">
        <f>IF(AND(NEGOCIAÇÕES!B1326&lt;&gt;"",NEGOCIAÇÕES!O1326=""),NEGOCIAÇÕES!N1326,"")</f>
        <v/>
      </c>
    </row>
    <row r="1327" spans="2:5" ht="31.95" hidden="1" customHeight="1" x14ac:dyDescent="0.3">
      <c r="B1327" s="6" t="str">
        <f ca="1">IF(AND(NEGOCIAÇÕES!O1327="",NEGOCIAÇÕES!N1327&gt;TODAY()),NEGOCIAÇÕES!C1327,"")</f>
        <v/>
      </c>
      <c r="C1327" s="6" t="str">
        <f ca="1">IF(AND(NEGOCIAÇÕES!O1327="",NEGOCIAÇÕES!N1327&gt;TODAY()),NEGOCIAÇÕES!E1327,"")</f>
        <v/>
      </c>
      <c r="D1327" s="6" t="str">
        <f ca="1">IF(AND(NEGOCIAÇÕES!O1327="",NEGOCIAÇÕES!N1327&gt;TODAY()),NEGOCIAÇÕES!D1327,"")</f>
        <v/>
      </c>
      <c r="E1327" s="9" t="str">
        <f>IF(AND(NEGOCIAÇÕES!B1327&lt;&gt;"",NEGOCIAÇÕES!O1327=""),NEGOCIAÇÕES!N1327,"")</f>
        <v/>
      </c>
    </row>
    <row r="1328" spans="2:5" ht="31.95" hidden="1" customHeight="1" x14ac:dyDescent="0.3">
      <c r="B1328" s="6" t="str">
        <f ca="1">IF(AND(NEGOCIAÇÕES!O1328="",NEGOCIAÇÕES!N1328&gt;TODAY()),NEGOCIAÇÕES!C1328,"")</f>
        <v/>
      </c>
      <c r="C1328" s="6" t="str">
        <f ca="1">IF(AND(NEGOCIAÇÕES!O1328="",NEGOCIAÇÕES!N1328&gt;TODAY()),NEGOCIAÇÕES!E1328,"")</f>
        <v/>
      </c>
      <c r="D1328" s="6" t="str">
        <f ca="1">IF(AND(NEGOCIAÇÕES!O1328="",NEGOCIAÇÕES!N1328&gt;TODAY()),NEGOCIAÇÕES!D1328,"")</f>
        <v/>
      </c>
      <c r="E1328" s="9" t="str">
        <f>IF(AND(NEGOCIAÇÕES!B1328&lt;&gt;"",NEGOCIAÇÕES!O1328=""),NEGOCIAÇÕES!N1328,"")</f>
        <v/>
      </c>
    </row>
    <row r="1329" spans="2:5" ht="31.95" hidden="1" customHeight="1" x14ac:dyDescent="0.3">
      <c r="B1329" s="6" t="str">
        <f ca="1">IF(AND(NEGOCIAÇÕES!O1329="",NEGOCIAÇÕES!N1329&gt;TODAY()),NEGOCIAÇÕES!C1329,"")</f>
        <v/>
      </c>
      <c r="C1329" s="6" t="str">
        <f ca="1">IF(AND(NEGOCIAÇÕES!O1329="",NEGOCIAÇÕES!N1329&gt;TODAY()),NEGOCIAÇÕES!E1329,"")</f>
        <v/>
      </c>
      <c r="D1329" s="6" t="str">
        <f ca="1">IF(AND(NEGOCIAÇÕES!O1329="",NEGOCIAÇÕES!N1329&gt;TODAY()),NEGOCIAÇÕES!D1329,"")</f>
        <v/>
      </c>
      <c r="E1329" s="9" t="str">
        <f>IF(AND(NEGOCIAÇÕES!B1329&lt;&gt;"",NEGOCIAÇÕES!O1329=""),NEGOCIAÇÕES!N1329,"")</f>
        <v/>
      </c>
    </row>
    <row r="1330" spans="2:5" ht="31.95" hidden="1" customHeight="1" x14ac:dyDescent="0.3">
      <c r="B1330" s="6" t="str">
        <f ca="1">IF(AND(NEGOCIAÇÕES!O1330="",NEGOCIAÇÕES!N1330&gt;TODAY()),NEGOCIAÇÕES!C1330,"")</f>
        <v/>
      </c>
      <c r="C1330" s="6" t="str">
        <f ca="1">IF(AND(NEGOCIAÇÕES!O1330="",NEGOCIAÇÕES!N1330&gt;TODAY()),NEGOCIAÇÕES!E1330,"")</f>
        <v/>
      </c>
      <c r="D1330" s="6" t="str">
        <f ca="1">IF(AND(NEGOCIAÇÕES!O1330="",NEGOCIAÇÕES!N1330&gt;TODAY()),NEGOCIAÇÕES!D1330,"")</f>
        <v/>
      </c>
      <c r="E1330" s="9" t="str">
        <f>IF(AND(NEGOCIAÇÕES!B1330&lt;&gt;"",NEGOCIAÇÕES!O1330=""),NEGOCIAÇÕES!N1330,"")</f>
        <v/>
      </c>
    </row>
    <row r="1331" spans="2:5" ht="31.95" hidden="1" customHeight="1" x14ac:dyDescent="0.3">
      <c r="B1331" s="6" t="str">
        <f ca="1">IF(AND(NEGOCIAÇÕES!O1331="",NEGOCIAÇÕES!N1331&gt;TODAY()),NEGOCIAÇÕES!C1331,"")</f>
        <v/>
      </c>
      <c r="C1331" s="6" t="str">
        <f ca="1">IF(AND(NEGOCIAÇÕES!O1331="",NEGOCIAÇÕES!N1331&gt;TODAY()),NEGOCIAÇÕES!E1331,"")</f>
        <v/>
      </c>
      <c r="D1331" s="6" t="str">
        <f ca="1">IF(AND(NEGOCIAÇÕES!O1331="",NEGOCIAÇÕES!N1331&gt;TODAY()),NEGOCIAÇÕES!D1331,"")</f>
        <v/>
      </c>
      <c r="E1331" s="9" t="str">
        <f>IF(AND(NEGOCIAÇÕES!B1331&lt;&gt;"",NEGOCIAÇÕES!O1331=""),NEGOCIAÇÕES!N1331,"")</f>
        <v/>
      </c>
    </row>
    <row r="1332" spans="2:5" ht="31.95" hidden="1" customHeight="1" x14ac:dyDescent="0.3">
      <c r="B1332" s="6" t="str">
        <f ca="1">IF(AND(NEGOCIAÇÕES!O1332="",NEGOCIAÇÕES!N1332&gt;TODAY()),NEGOCIAÇÕES!C1332,"")</f>
        <v/>
      </c>
      <c r="C1332" s="6" t="str">
        <f ca="1">IF(AND(NEGOCIAÇÕES!O1332="",NEGOCIAÇÕES!N1332&gt;TODAY()),NEGOCIAÇÕES!E1332,"")</f>
        <v/>
      </c>
      <c r="D1332" s="6" t="str">
        <f ca="1">IF(AND(NEGOCIAÇÕES!O1332="",NEGOCIAÇÕES!N1332&gt;TODAY()),NEGOCIAÇÕES!D1332,"")</f>
        <v/>
      </c>
      <c r="E1332" s="9" t="str">
        <f>IF(AND(NEGOCIAÇÕES!B1332&lt;&gt;"",NEGOCIAÇÕES!O1332=""),NEGOCIAÇÕES!N1332,"")</f>
        <v/>
      </c>
    </row>
    <row r="1333" spans="2:5" ht="31.95" hidden="1" customHeight="1" x14ac:dyDescent="0.3">
      <c r="B1333" s="6" t="str">
        <f ca="1">IF(AND(NEGOCIAÇÕES!O1333="",NEGOCIAÇÕES!N1333&gt;TODAY()),NEGOCIAÇÕES!C1333,"")</f>
        <v/>
      </c>
      <c r="C1333" s="6" t="str">
        <f ca="1">IF(AND(NEGOCIAÇÕES!O1333="",NEGOCIAÇÕES!N1333&gt;TODAY()),NEGOCIAÇÕES!E1333,"")</f>
        <v/>
      </c>
      <c r="D1333" s="6" t="str">
        <f ca="1">IF(AND(NEGOCIAÇÕES!O1333="",NEGOCIAÇÕES!N1333&gt;TODAY()),NEGOCIAÇÕES!D1333,"")</f>
        <v/>
      </c>
      <c r="E1333" s="9" t="str">
        <f>IF(AND(NEGOCIAÇÕES!B1333&lt;&gt;"",NEGOCIAÇÕES!O1333=""),NEGOCIAÇÕES!N1333,"")</f>
        <v/>
      </c>
    </row>
    <row r="1334" spans="2:5" ht="31.95" hidden="1" customHeight="1" x14ac:dyDescent="0.3">
      <c r="B1334" s="6" t="str">
        <f ca="1">IF(AND(NEGOCIAÇÕES!O1334="",NEGOCIAÇÕES!N1334&gt;TODAY()),NEGOCIAÇÕES!C1334,"")</f>
        <v/>
      </c>
      <c r="C1334" s="6" t="str">
        <f ca="1">IF(AND(NEGOCIAÇÕES!O1334="",NEGOCIAÇÕES!N1334&gt;TODAY()),NEGOCIAÇÕES!E1334,"")</f>
        <v/>
      </c>
      <c r="D1334" s="6" t="str">
        <f ca="1">IF(AND(NEGOCIAÇÕES!O1334="",NEGOCIAÇÕES!N1334&gt;TODAY()),NEGOCIAÇÕES!D1334,"")</f>
        <v/>
      </c>
      <c r="E1334" s="9" t="str">
        <f>IF(AND(NEGOCIAÇÕES!B1334&lt;&gt;"",NEGOCIAÇÕES!O1334=""),NEGOCIAÇÕES!N1334,"")</f>
        <v/>
      </c>
    </row>
    <row r="1335" spans="2:5" ht="31.95" hidden="1" customHeight="1" x14ac:dyDescent="0.3">
      <c r="B1335" s="6" t="str">
        <f ca="1">IF(AND(NEGOCIAÇÕES!O1335="",NEGOCIAÇÕES!N1335&gt;TODAY()),NEGOCIAÇÕES!C1335,"")</f>
        <v/>
      </c>
      <c r="C1335" s="6" t="str">
        <f ca="1">IF(AND(NEGOCIAÇÕES!O1335="",NEGOCIAÇÕES!N1335&gt;TODAY()),NEGOCIAÇÕES!E1335,"")</f>
        <v/>
      </c>
      <c r="D1335" s="6" t="str">
        <f ca="1">IF(AND(NEGOCIAÇÕES!O1335="",NEGOCIAÇÕES!N1335&gt;TODAY()),NEGOCIAÇÕES!D1335,"")</f>
        <v/>
      </c>
      <c r="E1335" s="9" t="str">
        <f>IF(AND(NEGOCIAÇÕES!B1335&lt;&gt;"",NEGOCIAÇÕES!O1335=""),NEGOCIAÇÕES!N1335,"")</f>
        <v/>
      </c>
    </row>
    <row r="1336" spans="2:5" ht="31.95" hidden="1" customHeight="1" x14ac:dyDescent="0.3">
      <c r="B1336" s="6" t="str">
        <f ca="1">IF(AND(NEGOCIAÇÕES!O1336="",NEGOCIAÇÕES!N1336&gt;TODAY()),NEGOCIAÇÕES!C1336,"")</f>
        <v/>
      </c>
      <c r="C1336" s="6" t="str">
        <f ca="1">IF(AND(NEGOCIAÇÕES!O1336="",NEGOCIAÇÕES!N1336&gt;TODAY()),NEGOCIAÇÕES!E1336,"")</f>
        <v/>
      </c>
      <c r="D1336" s="6" t="str">
        <f ca="1">IF(AND(NEGOCIAÇÕES!O1336="",NEGOCIAÇÕES!N1336&gt;TODAY()),NEGOCIAÇÕES!D1336,"")</f>
        <v/>
      </c>
      <c r="E1336" s="9" t="str">
        <f>IF(AND(NEGOCIAÇÕES!B1336&lt;&gt;"",NEGOCIAÇÕES!O1336=""),NEGOCIAÇÕES!N1336,"")</f>
        <v/>
      </c>
    </row>
    <row r="1337" spans="2:5" ht="31.95" hidden="1" customHeight="1" x14ac:dyDescent="0.3">
      <c r="B1337" s="6" t="str">
        <f ca="1">IF(AND(NEGOCIAÇÕES!O1337="",NEGOCIAÇÕES!N1337&gt;TODAY()),NEGOCIAÇÕES!C1337,"")</f>
        <v/>
      </c>
      <c r="C1337" s="6" t="str">
        <f ca="1">IF(AND(NEGOCIAÇÕES!O1337="",NEGOCIAÇÕES!N1337&gt;TODAY()),NEGOCIAÇÕES!E1337,"")</f>
        <v/>
      </c>
      <c r="D1337" s="6" t="str">
        <f ca="1">IF(AND(NEGOCIAÇÕES!O1337="",NEGOCIAÇÕES!N1337&gt;TODAY()),NEGOCIAÇÕES!D1337,"")</f>
        <v/>
      </c>
      <c r="E1337" s="9" t="str">
        <f>IF(AND(NEGOCIAÇÕES!B1337&lt;&gt;"",NEGOCIAÇÕES!O1337=""),NEGOCIAÇÕES!N1337,"")</f>
        <v/>
      </c>
    </row>
    <row r="1338" spans="2:5" ht="31.95" hidden="1" customHeight="1" x14ac:dyDescent="0.3">
      <c r="B1338" s="6" t="str">
        <f ca="1">IF(AND(NEGOCIAÇÕES!O1338="",NEGOCIAÇÕES!N1338&gt;TODAY()),NEGOCIAÇÕES!C1338,"")</f>
        <v/>
      </c>
      <c r="C1338" s="6" t="str">
        <f ca="1">IF(AND(NEGOCIAÇÕES!O1338="",NEGOCIAÇÕES!N1338&gt;TODAY()),NEGOCIAÇÕES!E1338,"")</f>
        <v/>
      </c>
      <c r="D1338" s="6" t="str">
        <f ca="1">IF(AND(NEGOCIAÇÕES!O1338="",NEGOCIAÇÕES!N1338&gt;TODAY()),NEGOCIAÇÕES!D1338,"")</f>
        <v/>
      </c>
      <c r="E1338" s="9" t="str">
        <f>IF(AND(NEGOCIAÇÕES!B1338&lt;&gt;"",NEGOCIAÇÕES!O1338=""),NEGOCIAÇÕES!N1338,"")</f>
        <v/>
      </c>
    </row>
    <row r="1339" spans="2:5" ht="31.95" hidden="1" customHeight="1" x14ac:dyDescent="0.3">
      <c r="B1339" s="6" t="str">
        <f ca="1">IF(AND(NEGOCIAÇÕES!O1339="",NEGOCIAÇÕES!N1339&gt;TODAY()),NEGOCIAÇÕES!C1339,"")</f>
        <v/>
      </c>
      <c r="C1339" s="6" t="str">
        <f ca="1">IF(AND(NEGOCIAÇÕES!O1339="",NEGOCIAÇÕES!N1339&gt;TODAY()),NEGOCIAÇÕES!E1339,"")</f>
        <v/>
      </c>
      <c r="D1339" s="6" t="str">
        <f ca="1">IF(AND(NEGOCIAÇÕES!O1339="",NEGOCIAÇÕES!N1339&gt;TODAY()),NEGOCIAÇÕES!D1339,"")</f>
        <v/>
      </c>
      <c r="E1339" s="9" t="str">
        <f>IF(AND(NEGOCIAÇÕES!B1339&lt;&gt;"",NEGOCIAÇÕES!O1339=""),NEGOCIAÇÕES!N1339,"")</f>
        <v/>
      </c>
    </row>
    <row r="1340" spans="2:5" ht="31.95" hidden="1" customHeight="1" x14ac:dyDescent="0.3">
      <c r="B1340" s="6" t="str">
        <f ca="1">IF(AND(NEGOCIAÇÕES!O1340="",NEGOCIAÇÕES!N1340&gt;TODAY()),NEGOCIAÇÕES!C1340,"")</f>
        <v/>
      </c>
      <c r="C1340" s="6" t="str">
        <f ca="1">IF(AND(NEGOCIAÇÕES!O1340="",NEGOCIAÇÕES!N1340&gt;TODAY()),NEGOCIAÇÕES!E1340,"")</f>
        <v/>
      </c>
      <c r="D1340" s="6" t="str">
        <f ca="1">IF(AND(NEGOCIAÇÕES!O1340="",NEGOCIAÇÕES!N1340&gt;TODAY()),NEGOCIAÇÕES!D1340,"")</f>
        <v/>
      </c>
      <c r="E1340" s="9" t="str">
        <f>IF(AND(NEGOCIAÇÕES!B1340&lt;&gt;"",NEGOCIAÇÕES!O1340=""),NEGOCIAÇÕES!N1340,"")</f>
        <v/>
      </c>
    </row>
    <row r="1341" spans="2:5" ht="31.95" hidden="1" customHeight="1" x14ac:dyDescent="0.3">
      <c r="B1341" s="6" t="str">
        <f ca="1">IF(AND(NEGOCIAÇÕES!O1341="",NEGOCIAÇÕES!N1341&gt;TODAY()),NEGOCIAÇÕES!C1341,"")</f>
        <v/>
      </c>
      <c r="C1341" s="6" t="str">
        <f ca="1">IF(AND(NEGOCIAÇÕES!O1341="",NEGOCIAÇÕES!N1341&gt;TODAY()),NEGOCIAÇÕES!E1341,"")</f>
        <v/>
      </c>
      <c r="D1341" s="6" t="str">
        <f ca="1">IF(AND(NEGOCIAÇÕES!O1341="",NEGOCIAÇÕES!N1341&gt;TODAY()),NEGOCIAÇÕES!D1341,"")</f>
        <v/>
      </c>
      <c r="E1341" s="9" t="str">
        <f>IF(AND(NEGOCIAÇÕES!B1341&lt;&gt;"",NEGOCIAÇÕES!O1341=""),NEGOCIAÇÕES!N1341,"")</f>
        <v/>
      </c>
    </row>
    <row r="1342" spans="2:5" ht="31.95" hidden="1" customHeight="1" x14ac:dyDescent="0.3">
      <c r="B1342" s="6" t="str">
        <f ca="1">IF(AND(NEGOCIAÇÕES!O1342="",NEGOCIAÇÕES!N1342&gt;TODAY()),NEGOCIAÇÕES!C1342,"")</f>
        <v/>
      </c>
      <c r="C1342" s="6" t="str">
        <f ca="1">IF(AND(NEGOCIAÇÕES!O1342="",NEGOCIAÇÕES!N1342&gt;TODAY()),NEGOCIAÇÕES!E1342,"")</f>
        <v/>
      </c>
      <c r="D1342" s="6" t="str">
        <f ca="1">IF(AND(NEGOCIAÇÕES!O1342="",NEGOCIAÇÕES!N1342&gt;TODAY()),NEGOCIAÇÕES!D1342,"")</f>
        <v/>
      </c>
      <c r="E1342" s="9" t="str">
        <f>IF(AND(NEGOCIAÇÕES!B1342&lt;&gt;"",NEGOCIAÇÕES!O1342=""),NEGOCIAÇÕES!N1342,"")</f>
        <v/>
      </c>
    </row>
    <row r="1343" spans="2:5" ht="31.95" hidden="1" customHeight="1" x14ac:dyDescent="0.3">
      <c r="B1343" s="6" t="str">
        <f ca="1">IF(AND(NEGOCIAÇÕES!O1343="",NEGOCIAÇÕES!N1343&gt;TODAY()),NEGOCIAÇÕES!C1343,"")</f>
        <v/>
      </c>
      <c r="C1343" s="6" t="str">
        <f ca="1">IF(AND(NEGOCIAÇÕES!O1343="",NEGOCIAÇÕES!N1343&gt;TODAY()),NEGOCIAÇÕES!E1343,"")</f>
        <v/>
      </c>
      <c r="D1343" s="6" t="str">
        <f ca="1">IF(AND(NEGOCIAÇÕES!O1343="",NEGOCIAÇÕES!N1343&gt;TODAY()),NEGOCIAÇÕES!D1343,"")</f>
        <v/>
      </c>
      <c r="E1343" s="9" t="str">
        <f>IF(AND(NEGOCIAÇÕES!B1343&lt;&gt;"",NEGOCIAÇÕES!O1343=""),NEGOCIAÇÕES!N1343,"")</f>
        <v/>
      </c>
    </row>
    <row r="1344" spans="2:5" ht="31.95" hidden="1" customHeight="1" x14ac:dyDescent="0.3">
      <c r="B1344" s="6" t="str">
        <f ca="1">IF(AND(NEGOCIAÇÕES!O1344="",NEGOCIAÇÕES!N1344&gt;TODAY()),NEGOCIAÇÕES!C1344,"")</f>
        <v/>
      </c>
      <c r="C1344" s="6" t="str">
        <f ca="1">IF(AND(NEGOCIAÇÕES!O1344="",NEGOCIAÇÕES!N1344&gt;TODAY()),NEGOCIAÇÕES!E1344,"")</f>
        <v/>
      </c>
      <c r="D1344" s="6" t="str">
        <f ca="1">IF(AND(NEGOCIAÇÕES!O1344="",NEGOCIAÇÕES!N1344&gt;TODAY()),NEGOCIAÇÕES!D1344,"")</f>
        <v/>
      </c>
      <c r="E1344" s="9" t="str">
        <f>IF(AND(NEGOCIAÇÕES!B1344&lt;&gt;"",NEGOCIAÇÕES!O1344=""),NEGOCIAÇÕES!N1344,"")</f>
        <v/>
      </c>
    </row>
    <row r="1345" spans="2:5" ht="31.95" hidden="1" customHeight="1" x14ac:dyDescent="0.3">
      <c r="B1345" s="6" t="str">
        <f ca="1">IF(AND(NEGOCIAÇÕES!O1345="",NEGOCIAÇÕES!N1345&gt;TODAY()),NEGOCIAÇÕES!C1345,"")</f>
        <v/>
      </c>
      <c r="C1345" s="6" t="str">
        <f ca="1">IF(AND(NEGOCIAÇÕES!O1345="",NEGOCIAÇÕES!N1345&gt;TODAY()),NEGOCIAÇÕES!E1345,"")</f>
        <v/>
      </c>
      <c r="D1345" s="6" t="str">
        <f ca="1">IF(AND(NEGOCIAÇÕES!O1345="",NEGOCIAÇÕES!N1345&gt;TODAY()),NEGOCIAÇÕES!D1345,"")</f>
        <v/>
      </c>
      <c r="E1345" s="9" t="str">
        <f>IF(AND(NEGOCIAÇÕES!B1345&lt;&gt;"",NEGOCIAÇÕES!O1345=""),NEGOCIAÇÕES!N1345,"")</f>
        <v/>
      </c>
    </row>
    <row r="1346" spans="2:5" ht="31.95" hidden="1" customHeight="1" x14ac:dyDescent="0.3">
      <c r="B1346" s="6" t="str">
        <f ca="1">IF(AND(NEGOCIAÇÕES!O1346="",NEGOCIAÇÕES!N1346&gt;TODAY()),NEGOCIAÇÕES!C1346,"")</f>
        <v/>
      </c>
      <c r="C1346" s="6" t="str">
        <f ca="1">IF(AND(NEGOCIAÇÕES!O1346="",NEGOCIAÇÕES!N1346&gt;TODAY()),NEGOCIAÇÕES!E1346,"")</f>
        <v/>
      </c>
      <c r="D1346" s="6" t="str">
        <f ca="1">IF(AND(NEGOCIAÇÕES!O1346="",NEGOCIAÇÕES!N1346&gt;TODAY()),NEGOCIAÇÕES!D1346,"")</f>
        <v/>
      </c>
      <c r="E1346" s="9" t="str">
        <f>IF(AND(NEGOCIAÇÕES!B1346&lt;&gt;"",NEGOCIAÇÕES!O1346=""),NEGOCIAÇÕES!N1346,"")</f>
        <v/>
      </c>
    </row>
    <row r="1347" spans="2:5" ht="31.95" hidden="1" customHeight="1" x14ac:dyDescent="0.3">
      <c r="B1347" s="6" t="str">
        <f ca="1">IF(AND(NEGOCIAÇÕES!O1347="",NEGOCIAÇÕES!N1347&gt;TODAY()),NEGOCIAÇÕES!C1347,"")</f>
        <v/>
      </c>
      <c r="C1347" s="6" t="str">
        <f ca="1">IF(AND(NEGOCIAÇÕES!O1347="",NEGOCIAÇÕES!N1347&gt;TODAY()),NEGOCIAÇÕES!E1347,"")</f>
        <v/>
      </c>
      <c r="D1347" s="6" t="str">
        <f ca="1">IF(AND(NEGOCIAÇÕES!O1347="",NEGOCIAÇÕES!N1347&gt;TODAY()),NEGOCIAÇÕES!D1347,"")</f>
        <v/>
      </c>
      <c r="E1347" s="9" t="str">
        <f>IF(AND(NEGOCIAÇÕES!B1347&lt;&gt;"",NEGOCIAÇÕES!O1347=""),NEGOCIAÇÕES!N1347,"")</f>
        <v/>
      </c>
    </row>
    <row r="1348" spans="2:5" ht="31.95" hidden="1" customHeight="1" x14ac:dyDescent="0.3">
      <c r="B1348" s="6" t="str">
        <f ca="1">IF(AND(NEGOCIAÇÕES!O1348="",NEGOCIAÇÕES!N1348&gt;TODAY()),NEGOCIAÇÕES!C1348,"")</f>
        <v/>
      </c>
      <c r="C1348" s="6" t="str">
        <f ca="1">IF(AND(NEGOCIAÇÕES!O1348="",NEGOCIAÇÕES!N1348&gt;TODAY()),NEGOCIAÇÕES!E1348,"")</f>
        <v/>
      </c>
      <c r="D1348" s="6" t="str">
        <f ca="1">IF(AND(NEGOCIAÇÕES!O1348="",NEGOCIAÇÕES!N1348&gt;TODAY()),NEGOCIAÇÕES!D1348,"")</f>
        <v/>
      </c>
      <c r="E1348" s="9" t="str">
        <f>IF(AND(NEGOCIAÇÕES!B1348&lt;&gt;"",NEGOCIAÇÕES!O1348=""),NEGOCIAÇÕES!N1348,"")</f>
        <v/>
      </c>
    </row>
    <row r="1349" spans="2:5" ht="31.95" hidden="1" customHeight="1" x14ac:dyDescent="0.3">
      <c r="B1349" s="6" t="str">
        <f ca="1">IF(AND(NEGOCIAÇÕES!O1349="",NEGOCIAÇÕES!N1349&gt;TODAY()),NEGOCIAÇÕES!C1349,"")</f>
        <v/>
      </c>
      <c r="C1349" s="6" t="str">
        <f ca="1">IF(AND(NEGOCIAÇÕES!O1349="",NEGOCIAÇÕES!N1349&gt;TODAY()),NEGOCIAÇÕES!E1349,"")</f>
        <v/>
      </c>
      <c r="D1349" s="6" t="str">
        <f ca="1">IF(AND(NEGOCIAÇÕES!O1349="",NEGOCIAÇÕES!N1349&gt;TODAY()),NEGOCIAÇÕES!D1349,"")</f>
        <v/>
      </c>
      <c r="E1349" s="9" t="str">
        <f>IF(AND(NEGOCIAÇÕES!B1349&lt;&gt;"",NEGOCIAÇÕES!O1349=""),NEGOCIAÇÕES!N1349,"")</f>
        <v/>
      </c>
    </row>
    <row r="1350" spans="2:5" ht="31.95" hidden="1" customHeight="1" x14ac:dyDescent="0.3">
      <c r="B1350" s="6" t="str">
        <f ca="1">IF(AND(NEGOCIAÇÕES!O1350="",NEGOCIAÇÕES!N1350&gt;TODAY()),NEGOCIAÇÕES!C1350,"")</f>
        <v/>
      </c>
      <c r="C1350" s="6" t="str">
        <f ca="1">IF(AND(NEGOCIAÇÕES!O1350="",NEGOCIAÇÕES!N1350&gt;TODAY()),NEGOCIAÇÕES!E1350,"")</f>
        <v/>
      </c>
      <c r="D1350" s="6" t="str">
        <f ca="1">IF(AND(NEGOCIAÇÕES!O1350="",NEGOCIAÇÕES!N1350&gt;TODAY()),NEGOCIAÇÕES!D1350,"")</f>
        <v/>
      </c>
      <c r="E1350" s="9" t="str">
        <f>IF(AND(NEGOCIAÇÕES!B1350&lt;&gt;"",NEGOCIAÇÕES!O1350=""),NEGOCIAÇÕES!N1350,"")</f>
        <v/>
      </c>
    </row>
    <row r="1351" spans="2:5" ht="31.95" hidden="1" customHeight="1" x14ac:dyDescent="0.3">
      <c r="B1351" s="6" t="str">
        <f ca="1">IF(AND(NEGOCIAÇÕES!O1351="",NEGOCIAÇÕES!N1351&gt;TODAY()),NEGOCIAÇÕES!C1351,"")</f>
        <v/>
      </c>
      <c r="C1351" s="6" t="str">
        <f ca="1">IF(AND(NEGOCIAÇÕES!O1351="",NEGOCIAÇÕES!N1351&gt;TODAY()),NEGOCIAÇÕES!E1351,"")</f>
        <v/>
      </c>
      <c r="D1351" s="6" t="str">
        <f ca="1">IF(AND(NEGOCIAÇÕES!O1351="",NEGOCIAÇÕES!N1351&gt;TODAY()),NEGOCIAÇÕES!D1351,"")</f>
        <v/>
      </c>
      <c r="E1351" s="9" t="str">
        <f>IF(AND(NEGOCIAÇÕES!B1351&lt;&gt;"",NEGOCIAÇÕES!O1351=""),NEGOCIAÇÕES!N1351,"")</f>
        <v/>
      </c>
    </row>
    <row r="1352" spans="2:5" ht="31.95" hidden="1" customHeight="1" x14ac:dyDescent="0.3">
      <c r="B1352" s="6" t="str">
        <f ca="1">IF(AND(NEGOCIAÇÕES!O1352="",NEGOCIAÇÕES!N1352&gt;TODAY()),NEGOCIAÇÕES!C1352,"")</f>
        <v/>
      </c>
      <c r="C1352" s="6" t="str">
        <f ca="1">IF(AND(NEGOCIAÇÕES!O1352="",NEGOCIAÇÕES!N1352&gt;TODAY()),NEGOCIAÇÕES!E1352,"")</f>
        <v/>
      </c>
      <c r="D1352" s="6" t="str">
        <f ca="1">IF(AND(NEGOCIAÇÕES!O1352="",NEGOCIAÇÕES!N1352&gt;TODAY()),NEGOCIAÇÕES!D1352,"")</f>
        <v/>
      </c>
      <c r="E1352" s="9" t="str">
        <f>IF(AND(NEGOCIAÇÕES!B1352&lt;&gt;"",NEGOCIAÇÕES!O1352=""),NEGOCIAÇÕES!N1352,"")</f>
        <v/>
      </c>
    </row>
    <row r="1353" spans="2:5" ht="31.95" hidden="1" customHeight="1" x14ac:dyDescent="0.3">
      <c r="B1353" s="6" t="str">
        <f ca="1">IF(AND(NEGOCIAÇÕES!O1353="",NEGOCIAÇÕES!N1353&gt;TODAY()),NEGOCIAÇÕES!C1353,"")</f>
        <v/>
      </c>
      <c r="C1353" s="6" t="str">
        <f ca="1">IF(AND(NEGOCIAÇÕES!O1353="",NEGOCIAÇÕES!N1353&gt;TODAY()),NEGOCIAÇÕES!E1353,"")</f>
        <v/>
      </c>
      <c r="D1353" s="6" t="str">
        <f ca="1">IF(AND(NEGOCIAÇÕES!O1353="",NEGOCIAÇÕES!N1353&gt;TODAY()),NEGOCIAÇÕES!D1353,"")</f>
        <v/>
      </c>
      <c r="E1353" s="9" t="str">
        <f>IF(AND(NEGOCIAÇÕES!B1353&lt;&gt;"",NEGOCIAÇÕES!O1353=""),NEGOCIAÇÕES!N1353,"")</f>
        <v/>
      </c>
    </row>
    <row r="1354" spans="2:5" ht="31.95" hidden="1" customHeight="1" x14ac:dyDescent="0.3">
      <c r="B1354" s="6" t="str">
        <f ca="1">IF(AND(NEGOCIAÇÕES!O1354="",NEGOCIAÇÕES!N1354&gt;TODAY()),NEGOCIAÇÕES!C1354,"")</f>
        <v/>
      </c>
      <c r="C1354" s="6" t="str">
        <f ca="1">IF(AND(NEGOCIAÇÕES!O1354="",NEGOCIAÇÕES!N1354&gt;TODAY()),NEGOCIAÇÕES!E1354,"")</f>
        <v/>
      </c>
      <c r="D1354" s="6" t="str">
        <f ca="1">IF(AND(NEGOCIAÇÕES!O1354="",NEGOCIAÇÕES!N1354&gt;TODAY()),NEGOCIAÇÕES!D1354,"")</f>
        <v/>
      </c>
      <c r="E1354" s="9" t="str">
        <f>IF(AND(NEGOCIAÇÕES!B1354&lt;&gt;"",NEGOCIAÇÕES!O1354=""),NEGOCIAÇÕES!N1354,"")</f>
        <v/>
      </c>
    </row>
    <row r="1355" spans="2:5" ht="31.95" hidden="1" customHeight="1" x14ac:dyDescent="0.3">
      <c r="B1355" s="6" t="str">
        <f ca="1">IF(AND(NEGOCIAÇÕES!O1355="",NEGOCIAÇÕES!N1355&gt;TODAY()),NEGOCIAÇÕES!C1355,"")</f>
        <v/>
      </c>
      <c r="C1355" s="6" t="str">
        <f ca="1">IF(AND(NEGOCIAÇÕES!O1355="",NEGOCIAÇÕES!N1355&gt;TODAY()),NEGOCIAÇÕES!E1355,"")</f>
        <v/>
      </c>
      <c r="D1355" s="6" t="str">
        <f ca="1">IF(AND(NEGOCIAÇÕES!O1355="",NEGOCIAÇÕES!N1355&gt;TODAY()),NEGOCIAÇÕES!D1355,"")</f>
        <v/>
      </c>
      <c r="E1355" s="9" t="str">
        <f>IF(AND(NEGOCIAÇÕES!B1355&lt;&gt;"",NEGOCIAÇÕES!O1355=""),NEGOCIAÇÕES!N1355,"")</f>
        <v/>
      </c>
    </row>
    <row r="1356" spans="2:5" ht="31.95" hidden="1" customHeight="1" x14ac:dyDescent="0.3">
      <c r="B1356" s="6" t="str">
        <f ca="1">IF(AND(NEGOCIAÇÕES!O1356="",NEGOCIAÇÕES!N1356&gt;TODAY()),NEGOCIAÇÕES!C1356,"")</f>
        <v/>
      </c>
      <c r="C1356" s="6" t="str">
        <f ca="1">IF(AND(NEGOCIAÇÕES!O1356="",NEGOCIAÇÕES!N1356&gt;TODAY()),NEGOCIAÇÕES!E1356,"")</f>
        <v/>
      </c>
      <c r="D1356" s="6" t="str">
        <f ca="1">IF(AND(NEGOCIAÇÕES!O1356="",NEGOCIAÇÕES!N1356&gt;TODAY()),NEGOCIAÇÕES!D1356,"")</f>
        <v/>
      </c>
      <c r="E1356" s="9" t="str">
        <f>IF(AND(NEGOCIAÇÕES!B1356&lt;&gt;"",NEGOCIAÇÕES!O1356=""),NEGOCIAÇÕES!N1356,"")</f>
        <v/>
      </c>
    </row>
    <row r="1357" spans="2:5" ht="31.95" hidden="1" customHeight="1" x14ac:dyDescent="0.3">
      <c r="B1357" s="6" t="str">
        <f ca="1">IF(AND(NEGOCIAÇÕES!O1357="",NEGOCIAÇÕES!N1357&gt;TODAY()),NEGOCIAÇÕES!C1357,"")</f>
        <v/>
      </c>
      <c r="C1357" s="6" t="str">
        <f ca="1">IF(AND(NEGOCIAÇÕES!O1357="",NEGOCIAÇÕES!N1357&gt;TODAY()),NEGOCIAÇÕES!E1357,"")</f>
        <v/>
      </c>
      <c r="D1357" s="6" t="str">
        <f ca="1">IF(AND(NEGOCIAÇÕES!O1357="",NEGOCIAÇÕES!N1357&gt;TODAY()),NEGOCIAÇÕES!D1357,"")</f>
        <v/>
      </c>
      <c r="E1357" s="9" t="str">
        <f>IF(AND(NEGOCIAÇÕES!B1357&lt;&gt;"",NEGOCIAÇÕES!O1357=""),NEGOCIAÇÕES!N1357,"")</f>
        <v/>
      </c>
    </row>
    <row r="1358" spans="2:5" ht="31.95" hidden="1" customHeight="1" x14ac:dyDescent="0.3">
      <c r="B1358" s="6" t="str">
        <f ca="1">IF(AND(NEGOCIAÇÕES!O1358="",NEGOCIAÇÕES!N1358&gt;TODAY()),NEGOCIAÇÕES!C1358,"")</f>
        <v/>
      </c>
      <c r="C1358" s="6" t="str">
        <f ca="1">IF(AND(NEGOCIAÇÕES!O1358="",NEGOCIAÇÕES!N1358&gt;TODAY()),NEGOCIAÇÕES!E1358,"")</f>
        <v/>
      </c>
      <c r="D1358" s="6" t="str">
        <f ca="1">IF(AND(NEGOCIAÇÕES!O1358="",NEGOCIAÇÕES!N1358&gt;TODAY()),NEGOCIAÇÕES!D1358,"")</f>
        <v/>
      </c>
      <c r="E1358" s="9" t="str">
        <f>IF(AND(NEGOCIAÇÕES!B1358&lt;&gt;"",NEGOCIAÇÕES!O1358=""),NEGOCIAÇÕES!N1358,"")</f>
        <v/>
      </c>
    </row>
    <row r="1359" spans="2:5" ht="31.95" hidden="1" customHeight="1" x14ac:dyDescent="0.3">
      <c r="B1359" s="6" t="str">
        <f ca="1">IF(AND(NEGOCIAÇÕES!O1359="",NEGOCIAÇÕES!N1359&gt;TODAY()),NEGOCIAÇÕES!C1359,"")</f>
        <v/>
      </c>
      <c r="C1359" s="6" t="str">
        <f ca="1">IF(AND(NEGOCIAÇÕES!O1359="",NEGOCIAÇÕES!N1359&gt;TODAY()),NEGOCIAÇÕES!E1359,"")</f>
        <v/>
      </c>
      <c r="D1359" s="6" t="str">
        <f ca="1">IF(AND(NEGOCIAÇÕES!O1359="",NEGOCIAÇÕES!N1359&gt;TODAY()),NEGOCIAÇÕES!D1359,"")</f>
        <v/>
      </c>
      <c r="E1359" s="9" t="str">
        <f>IF(AND(NEGOCIAÇÕES!B1359&lt;&gt;"",NEGOCIAÇÕES!O1359=""),NEGOCIAÇÕES!N1359,"")</f>
        <v/>
      </c>
    </row>
    <row r="1360" spans="2:5" ht="31.95" hidden="1" customHeight="1" x14ac:dyDescent="0.3">
      <c r="B1360" s="6" t="str">
        <f ca="1">IF(AND(NEGOCIAÇÕES!O1360="",NEGOCIAÇÕES!N1360&gt;TODAY()),NEGOCIAÇÕES!C1360,"")</f>
        <v/>
      </c>
      <c r="C1360" s="6" t="str">
        <f ca="1">IF(AND(NEGOCIAÇÕES!O1360="",NEGOCIAÇÕES!N1360&gt;TODAY()),NEGOCIAÇÕES!E1360,"")</f>
        <v/>
      </c>
      <c r="D1360" s="6" t="str">
        <f ca="1">IF(AND(NEGOCIAÇÕES!O1360="",NEGOCIAÇÕES!N1360&gt;TODAY()),NEGOCIAÇÕES!D1360,"")</f>
        <v/>
      </c>
      <c r="E1360" s="9" t="str">
        <f>IF(AND(NEGOCIAÇÕES!B1360&lt;&gt;"",NEGOCIAÇÕES!O1360=""),NEGOCIAÇÕES!N1360,"")</f>
        <v/>
      </c>
    </row>
    <row r="1361" spans="2:5" ht="31.95" hidden="1" customHeight="1" x14ac:dyDescent="0.3">
      <c r="B1361" s="6" t="str">
        <f ca="1">IF(AND(NEGOCIAÇÕES!O1361="",NEGOCIAÇÕES!N1361&gt;TODAY()),NEGOCIAÇÕES!C1361,"")</f>
        <v/>
      </c>
      <c r="C1361" s="6" t="str">
        <f ca="1">IF(AND(NEGOCIAÇÕES!O1361="",NEGOCIAÇÕES!N1361&gt;TODAY()),NEGOCIAÇÕES!E1361,"")</f>
        <v/>
      </c>
      <c r="D1361" s="6" t="str">
        <f ca="1">IF(AND(NEGOCIAÇÕES!O1361="",NEGOCIAÇÕES!N1361&gt;TODAY()),NEGOCIAÇÕES!D1361,"")</f>
        <v/>
      </c>
      <c r="E1361" s="9" t="str">
        <f>IF(AND(NEGOCIAÇÕES!B1361&lt;&gt;"",NEGOCIAÇÕES!O1361=""),NEGOCIAÇÕES!N1361,"")</f>
        <v/>
      </c>
    </row>
    <row r="1362" spans="2:5" ht="31.95" hidden="1" customHeight="1" x14ac:dyDescent="0.3">
      <c r="B1362" s="6" t="str">
        <f ca="1">IF(AND(NEGOCIAÇÕES!O1362="",NEGOCIAÇÕES!N1362&gt;TODAY()),NEGOCIAÇÕES!C1362,"")</f>
        <v/>
      </c>
      <c r="C1362" s="6" t="str">
        <f ca="1">IF(AND(NEGOCIAÇÕES!O1362="",NEGOCIAÇÕES!N1362&gt;TODAY()),NEGOCIAÇÕES!E1362,"")</f>
        <v/>
      </c>
      <c r="D1362" s="6" t="str">
        <f ca="1">IF(AND(NEGOCIAÇÕES!O1362="",NEGOCIAÇÕES!N1362&gt;TODAY()),NEGOCIAÇÕES!D1362,"")</f>
        <v/>
      </c>
      <c r="E1362" s="9" t="str">
        <f>IF(AND(NEGOCIAÇÕES!B1362&lt;&gt;"",NEGOCIAÇÕES!O1362=""),NEGOCIAÇÕES!N1362,"")</f>
        <v/>
      </c>
    </row>
    <row r="1363" spans="2:5" ht="31.95" hidden="1" customHeight="1" x14ac:dyDescent="0.3">
      <c r="B1363" s="6" t="str">
        <f ca="1">IF(AND(NEGOCIAÇÕES!O1363="",NEGOCIAÇÕES!N1363&gt;TODAY()),NEGOCIAÇÕES!C1363,"")</f>
        <v/>
      </c>
      <c r="C1363" s="6" t="str">
        <f ca="1">IF(AND(NEGOCIAÇÕES!O1363="",NEGOCIAÇÕES!N1363&gt;TODAY()),NEGOCIAÇÕES!E1363,"")</f>
        <v/>
      </c>
      <c r="D1363" s="6" t="str">
        <f ca="1">IF(AND(NEGOCIAÇÕES!O1363="",NEGOCIAÇÕES!N1363&gt;TODAY()),NEGOCIAÇÕES!D1363,"")</f>
        <v/>
      </c>
      <c r="E1363" s="9" t="str">
        <f>IF(AND(NEGOCIAÇÕES!B1363&lt;&gt;"",NEGOCIAÇÕES!O1363=""),NEGOCIAÇÕES!N1363,"")</f>
        <v/>
      </c>
    </row>
    <row r="1364" spans="2:5" ht="31.95" hidden="1" customHeight="1" x14ac:dyDescent="0.3">
      <c r="B1364" s="6" t="str">
        <f ca="1">IF(AND(NEGOCIAÇÕES!O1364="",NEGOCIAÇÕES!N1364&gt;TODAY()),NEGOCIAÇÕES!C1364,"")</f>
        <v/>
      </c>
      <c r="C1364" s="6" t="str">
        <f ca="1">IF(AND(NEGOCIAÇÕES!O1364="",NEGOCIAÇÕES!N1364&gt;TODAY()),NEGOCIAÇÕES!E1364,"")</f>
        <v/>
      </c>
      <c r="D1364" s="6" t="str">
        <f ca="1">IF(AND(NEGOCIAÇÕES!O1364="",NEGOCIAÇÕES!N1364&gt;TODAY()),NEGOCIAÇÕES!D1364,"")</f>
        <v/>
      </c>
      <c r="E1364" s="9" t="str">
        <f>IF(AND(NEGOCIAÇÕES!B1364&lt;&gt;"",NEGOCIAÇÕES!O1364=""),NEGOCIAÇÕES!N1364,"")</f>
        <v/>
      </c>
    </row>
    <row r="1365" spans="2:5" ht="31.95" hidden="1" customHeight="1" x14ac:dyDescent="0.3">
      <c r="B1365" s="6" t="str">
        <f ca="1">IF(AND(NEGOCIAÇÕES!O1365="",NEGOCIAÇÕES!N1365&gt;TODAY()),NEGOCIAÇÕES!C1365,"")</f>
        <v/>
      </c>
      <c r="C1365" s="6" t="str">
        <f ca="1">IF(AND(NEGOCIAÇÕES!O1365="",NEGOCIAÇÕES!N1365&gt;TODAY()),NEGOCIAÇÕES!E1365,"")</f>
        <v/>
      </c>
      <c r="D1365" s="6" t="str">
        <f ca="1">IF(AND(NEGOCIAÇÕES!O1365="",NEGOCIAÇÕES!N1365&gt;TODAY()),NEGOCIAÇÕES!D1365,"")</f>
        <v/>
      </c>
      <c r="E1365" s="9">
        <f>IF(AND(NEGOCIAÇÕES!B1365&lt;&gt;"",NEGOCIAÇÕES!O1365=""),NEGOCIAÇÕES!N1365,"")</f>
        <v>46037</v>
      </c>
    </row>
    <row r="1366" spans="2:5" ht="31.95" hidden="1" customHeight="1" x14ac:dyDescent="0.3">
      <c r="B1366" s="6" t="str">
        <f ca="1">IF(AND(NEGOCIAÇÕES!O1366="",NEGOCIAÇÕES!N1366&gt;TODAY()),NEGOCIAÇÕES!C1366,"")</f>
        <v/>
      </c>
      <c r="C1366" s="6" t="str">
        <f ca="1">IF(AND(NEGOCIAÇÕES!O1366="",NEGOCIAÇÕES!N1366&gt;TODAY()),NEGOCIAÇÕES!E1366,"")</f>
        <v/>
      </c>
      <c r="D1366" s="6" t="str">
        <f ca="1">IF(AND(NEGOCIAÇÕES!O1366="",NEGOCIAÇÕES!N1366&gt;TODAY()),NEGOCIAÇÕES!D1366,"")</f>
        <v/>
      </c>
      <c r="E1366" s="9">
        <f>IF(AND(NEGOCIAÇÕES!B1366&lt;&gt;"",NEGOCIAÇÕES!O1366=""),NEGOCIAÇÕES!N1366,"")</f>
        <v>46037</v>
      </c>
    </row>
    <row r="1367" spans="2:5" ht="31.95" hidden="1" customHeight="1" x14ac:dyDescent="0.3">
      <c r="B1367" s="6" t="str">
        <f ca="1">IF(AND(NEGOCIAÇÕES!O1367="",NEGOCIAÇÕES!N1367&gt;TODAY()),NEGOCIAÇÕES!C1367,"")</f>
        <v/>
      </c>
      <c r="C1367" s="6" t="str">
        <f ca="1">IF(AND(NEGOCIAÇÕES!O1367="",NEGOCIAÇÕES!N1367&gt;TODAY()),NEGOCIAÇÕES!E1367,"")</f>
        <v/>
      </c>
      <c r="D1367" s="6" t="str">
        <f ca="1">IF(AND(NEGOCIAÇÕES!O1367="",NEGOCIAÇÕES!N1367&gt;TODAY()),NEGOCIAÇÕES!D1367,"")</f>
        <v/>
      </c>
      <c r="E1367" s="9" t="str">
        <f>IF(AND(NEGOCIAÇÕES!B1367&lt;&gt;"",NEGOCIAÇÕES!O1367=""),NEGOCIAÇÕES!N1367,"")</f>
        <v/>
      </c>
    </row>
    <row r="1368" spans="2:5" ht="31.95" hidden="1" customHeight="1" x14ac:dyDescent="0.3">
      <c r="B1368" s="6" t="str">
        <f ca="1">IF(AND(NEGOCIAÇÕES!O1368="",NEGOCIAÇÕES!N1368&gt;TODAY()),NEGOCIAÇÕES!C1368,"")</f>
        <v/>
      </c>
      <c r="C1368" s="6" t="str">
        <f ca="1">IF(AND(NEGOCIAÇÕES!O1368="",NEGOCIAÇÕES!N1368&gt;TODAY()),NEGOCIAÇÕES!E1368,"")</f>
        <v/>
      </c>
      <c r="D1368" s="6" t="str">
        <f ca="1">IF(AND(NEGOCIAÇÕES!O1368="",NEGOCIAÇÕES!N1368&gt;TODAY()),NEGOCIAÇÕES!D1368,"")</f>
        <v/>
      </c>
      <c r="E1368" s="9" t="str">
        <f>IF(AND(NEGOCIAÇÕES!B1368&lt;&gt;"",NEGOCIAÇÕES!O1368=""),NEGOCIAÇÕES!N1368,"")</f>
        <v/>
      </c>
    </row>
    <row r="1369" spans="2:5" ht="31.95" hidden="1" customHeight="1" x14ac:dyDescent="0.3">
      <c r="B1369" s="6" t="str">
        <f ca="1">IF(AND(NEGOCIAÇÕES!O1369="",NEGOCIAÇÕES!N1369&gt;TODAY()),NEGOCIAÇÕES!C1369,"")</f>
        <v/>
      </c>
      <c r="C1369" s="6" t="str">
        <f ca="1">IF(AND(NEGOCIAÇÕES!O1369="",NEGOCIAÇÕES!N1369&gt;TODAY()),NEGOCIAÇÕES!E1369,"")</f>
        <v/>
      </c>
      <c r="D1369" s="6" t="str">
        <f ca="1">IF(AND(NEGOCIAÇÕES!O1369="",NEGOCIAÇÕES!N1369&gt;TODAY()),NEGOCIAÇÕES!D1369,"")</f>
        <v/>
      </c>
      <c r="E1369" s="9" t="str">
        <f>IF(AND(NEGOCIAÇÕES!B1369&lt;&gt;"",NEGOCIAÇÕES!O1369=""),NEGOCIAÇÕES!N1369,"")</f>
        <v/>
      </c>
    </row>
    <row r="1370" spans="2:5" ht="31.95" hidden="1" customHeight="1" x14ac:dyDescent="0.3">
      <c r="B1370" s="6" t="str">
        <f ca="1">IF(AND(NEGOCIAÇÕES!O1370="",NEGOCIAÇÕES!N1370&gt;TODAY()),NEGOCIAÇÕES!C1370,"")</f>
        <v/>
      </c>
      <c r="C1370" s="6" t="str">
        <f ca="1">IF(AND(NEGOCIAÇÕES!O1370="",NEGOCIAÇÕES!N1370&gt;TODAY()),NEGOCIAÇÕES!E1370,"")</f>
        <v/>
      </c>
      <c r="D1370" s="6" t="str">
        <f ca="1">IF(AND(NEGOCIAÇÕES!O1370="",NEGOCIAÇÕES!N1370&gt;TODAY()),NEGOCIAÇÕES!D1370,"")</f>
        <v/>
      </c>
      <c r="E1370" s="9" t="str">
        <f>IF(AND(NEGOCIAÇÕES!B1370&lt;&gt;"",NEGOCIAÇÕES!O1370=""),NEGOCIAÇÕES!N1370,"")</f>
        <v/>
      </c>
    </row>
    <row r="1371" spans="2:5" ht="31.95" hidden="1" customHeight="1" x14ac:dyDescent="0.3">
      <c r="B1371" s="6" t="str">
        <f ca="1">IF(AND(NEGOCIAÇÕES!O1371="",NEGOCIAÇÕES!N1371&gt;TODAY()),NEGOCIAÇÕES!C1371,"")</f>
        <v/>
      </c>
      <c r="C1371" s="6" t="str">
        <f ca="1">IF(AND(NEGOCIAÇÕES!O1371="",NEGOCIAÇÕES!N1371&gt;TODAY()),NEGOCIAÇÕES!E1371,"")</f>
        <v/>
      </c>
      <c r="D1371" s="6" t="str">
        <f ca="1">IF(AND(NEGOCIAÇÕES!O1371="",NEGOCIAÇÕES!N1371&gt;TODAY()),NEGOCIAÇÕES!D1371,"")</f>
        <v/>
      </c>
      <c r="E1371" s="9" t="str">
        <f>IF(AND(NEGOCIAÇÕES!B1371&lt;&gt;"",NEGOCIAÇÕES!O1371=""),NEGOCIAÇÕES!N1371,"")</f>
        <v/>
      </c>
    </row>
    <row r="1372" spans="2:5" ht="31.95" hidden="1" customHeight="1" x14ac:dyDescent="0.3">
      <c r="B1372" s="6" t="str">
        <f ca="1">IF(AND(NEGOCIAÇÕES!O1372="",NEGOCIAÇÕES!N1372&gt;TODAY()),NEGOCIAÇÕES!C1372,"")</f>
        <v/>
      </c>
      <c r="C1372" s="6" t="str">
        <f ca="1">IF(AND(NEGOCIAÇÕES!O1372="",NEGOCIAÇÕES!N1372&gt;TODAY()),NEGOCIAÇÕES!E1372,"")</f>
        <v/>
      </c>
      <c r="D1372" s="6" t="str">
        <f ca="1">IF(AND(NEGOCIAÇÕES!O1372="",NEGOCIAÇÕES!N1372&gt;TODAY()),NEGOCIAÇÕES!D1372,"")</f>
        <v/>
      </c>
      <c r="E1372" s="9" t="str">
        <f>IF(AND(NEGOCIAÇÕES!B1372&lt;&gt;"",NEGOCIAÇÕES!O1372=""),NEGOCIAÇÕES!N1372,"")</f>
        <v/>
      </c>
    </row>
    <row r="1373" spans="2:5" ht="31.95" hidden="1" customHeight="1" x14ac:dyDescent="0.3">
      <c r="B1373" s="6" t="str">
        <f ca="1">IF(AND(NEGOCIAÇÕES!O1373="",NEGOCIAÇÕES!N1373&gt;TODAY()),NEGOCIAÇÕES!C1373,"")</f>
        <v/>
      </c>
      <c r="C1373" s="6" t="str">
        <f ca="1">IF(AND(NEGOCIAÇÕES!O1373="",NEGOCIAÇÕES!N1373&gt;TODAY()),NEGOCIAÇÕES!E1373,"")</f>
        <v/>
      </c>
      <c r="D1373" s="6" t="str">
        <f ca="1">IF(AND(NEGOCIAÇÕES!O1373="",NEGOCIAÇÕES!N1373&gt;TODAY()),NEGOCIAÇÕES!D1373,"")</f>
        <v/>
      </c>
      <c r="E1373" s="9">
        <f>IF(AND(NEGOCIAÇÕES!B1373&lt;&gt;"",NEGOCIAÇÕES!O1373=""),NEGOCIAÇÕES!N1373,"")</f>
        <v>46032</v>
      </c>
    </row>
    <row r="1374" spans="2:5" ht="31.95" hidden="1" customHeight="1" x14ac:dyDescent="0.3">
      <c r="B1374" s="6" t="str">
        <f ca="1">IF(AND(NEGOCIAÇÕES!O1374="",NEGOCIAÇÕES!N1374&gt;TODAY()),NEGOCIAÇÕES!C1374,"")</f>
        <v/>
      </c>
      <c r="C1374" s="6" t="str">
        <f ca="1">IF(AND(NEGOCIAÇÕES!O1374="",NEGOCIAÇÕES!N1374&gt;TODAY()),NEGOCIAÇÕES!E1374,"")</f>
        <v/>
      </c>
      <c r="D1374" s="6" t="str">
        <f ca="1">IF(AND(NEGOCIAÇÕES!O1374="",NEGOCIAÇÕES!N1374&gt;TODAY()),NEGOCIAÇÕES!D1374,"")</f>
        <v/>
      </c>
      <c r="E1374" s="9">
        <f>IF(AND(NEGOCIAÇÕES!B1374&lt;&gt;"",NEGOCIAÇÕES!O1374=""),NEGOCIAÇÕES!N1374,"")</f>
        <v>46007</v>
      </c>
    </row>
    <row r="1375" spans="2:5" ht="31.95" hidden="1" customHeight="1" x14ac:dyDescent="0.3">
      <c r="B1375" s="6" t="str">
        <f ca="1">IF(AND(NEGOCIAÇÕES!O1375="",NEGOCIAÇÕES!N1375&gt;TODAY()),NEGOCIAÇÕES!C1375,"")</f>
        <v/>
      </c>
      <c r="C1375" s="6" t="str">
        <f ca="1">IF(AND(NEGOCIAÇÕES!O1375="",NEGOCIAÇÕES!N1375&gt;TODAY()),NEGOCIAÇÕES!E1375,"")</f>
        <v/>
      </c>
      <c r="D1375" s="6" t="str">
        <f ca="1">IF(AND(NEGOCIAÇÕES!O1375="",NEGOCIAÇÕES!N1375&gt;TODAY()),NEGOCIAÇÕES!D1375,"")</f>
        <v/>
      </c>
      <c r="E1375" s="9" t="str">
        <f>IF(AND(NEGOCIAÇÕES!B1375&lt;&gt;"",NEGOCIAÇÕES!O1375=""),NEGOCIAÇÕES!N1375,"")</f>
        <v/>
      </c>
    </row>
    <row r="1376" spans="2:5" ht="31.95" hidden="1" customHeight="1" x14ac:dyDescent="0.3">
      <c r="B1376" s="6" t="str">
        <f ca="1">IF(AND(NEGOCIAÇÕES!O1376="",NEGOCIAÇÕES!N1376&gt;TODAY()),NEGOCIAÇÕES!C1376,"")</f>
        <v/>
      </c>
      <c r="C1376" s="6" t="str">
        <f ca="1">IF(AND(NEGOCIAÇÕES!O1376="",NEGOCIAÇÕES!N1376&gt;TODAY()),NEGOCIAÇÕES!E1376,"")</f>
        <v/>
      </c>
      <c r="D1376" s="6" t="str">
        <f ca="1">IF(AND(NEGOCIAÇÕES!O1376="",NEGOCIAÇÕES!N1376&gt;TODAY()),NEGOCIAÇÕES!D1376,"")</f>
        <v/>
      </c>
      <c r="E1376" s="9">
        <f>IF(AND(NEGOCIAÇÕES!B1376&lt;&gt;"",NEGOCIAÇÕES!O1376=""),NEGOCIAÇÕES!N1376,"")</f>
        <v>46030</v>
      </c>
    </row>
    <row r="1377" spans="2:5" ht="31.95" hidden="1" customHeight="1" x14ac:dyDescent="0.3">
      <c r="B1377" s="6" t="str">
        <f ca="1">IF(AND(NEGOCIAÇÕES!O1377="",NEGOCIAÇÕES!N1377&gt;TODAY()),NEGOCIAÇÕES!C1377,"")</f>
        <v/>
      </c>
      <c r="C1377" s="6" t="str">
        <f ca="1">IF(AND(NEGOCIAÇÕES!O1377="",NEGOCIAÇÕES!N1377&gt;TODAY()),NEGOCIAÇÕES!E1377,"")</f>
        <v/>
      </c>
      <c r="D1377" s="6" t="str">
        <f ca="1">IF(AND(NEGOCIAÇÕES!O1377="",NEGOCIAÇÕES!N1377&gt;TODAY()),NEGOCIAÇÕES!D1377,"")</f>
        <v/>
      </c>
      <c r="E1377" s="9" t="str">
        <f>IF(AND(NEGOCIAÇÕES!B1377&lt;&gt;"",NEGOCIAÇÕES!O1377=""),NEGOCIAÇÕES!N1377,"")</f>
        <v/>
      </c>
    </row>
    <row r="1378" spans="2:5" ht="31.95" hidden="1" customHeight="1" x14ac:dyDescent="0.3">
      <c r="B1378" s="6" t="str">
        <f ca="1">IF(AND(NEGOCIAÇÕES!O1378="",NEGOCIAÇÕES!N1378&gt;TODAY()),NEGOCIAÇÕES!C1378,"")</f>
        <v/>
      </c>
      <c r="C1378" s="6" t="str">
        <f ca="1">IF(AND(NEGOCIAÇÕES!O1378="",NEGOCIAÇÕES!N1378&gt;TODAY()),NEGOCIAÇÕES!E1378,"")</f>
        <v/>
      </c>
      <c r="D1378" s="6" t="str">
        <f ca="1">IF(AND(NEGOCIAÇÕES!O1378="",NEGOCIAÇÕES!N1378&gt;TODAY()),NEGOCIAÇÕES!D1378,"")</f>
        <v/>
      </c>
      <c r="E1378" s="9" t="str">
        <f>IF(AND(NEGOCIAÇÕES!B1378&lt;&gt;"",NEGOCIAÇÕES!O1378=""),NEGOCIAÇÕES!N1378,"")</f>
        <v/>
      </c>
    </row>
    <row r="1379" spans="2:5" ht="31.95" hidden="1" customHeight="1" x14ac:dyDescent="0.3">
      <c r="B1379" s="6" t="str">
        <f ca="1">IF(AND(NEGOCIAÇÕES!O1379="",NEGOCIAÇÕES!N1379&gt;TODAY()),NEGOCIAÇÕES!C1379,"")</f>
        <v/>
      </c>
      <c r="C1379" s="6" t="str">
        <f ca="1">IF(AND(NEGOCIAÇÕES!O1379="",NEGOCIAÇÕES!N1379&gt;TODAY()),NEGOCIAÇÕES!E1379,"")</f>
        <v/>
      </c>
      <c r="D1379" s="6" t="str">
        <f ca="1">IF(AND(NEGOCIAÇÕES!O1379="",NEGOCIAÇÕES!N1379&gt;TODAY()),NEGOCIAÇÕES!D1379,"")</f>
        <v/>
      </c>
      <c r="E1379" s="9" t="str">
        <f>IF(AND(NEGOCIAÇÕES!B1379&lt;&gt;"",NEGOCIAÇÕES!O1379=""),NEGOCIAÇÕES!N1379,"")</f>
        <v/>
      </c>
    </row>
    <row r="1380" spans="2:5" ht="31.95" hidden="1" customHeight="1" x14ac:dyDescent="0.3">
      <c r="B1380" s="6" t="str">
        <f ca="1">IF(AND(NEGOCIAÇÕES!O1380="",NEGOCIAÇÕES!N1380&gt;TODAY()),NEGOCIAÇÕES!C1380,"")</f>
        <v/>
      </c>
      <c r="C1380" s="6" t="str">
        <f ca="1">IF(AND(NEGOCIAÇÕES!O1380="",NEGOCIAÇÕES!N1380&gt;TODAY()),NEGOCIAÇÕES!E1380,"")</f>
        <v/>
      </c>
      <c r="D1380" s="6" t="str">
        <f ca="1">IF(AND(NEGOCIAÇÕES!O1380="",NEGOCIAÇÕES!N1380&gt;TODAY()),NEGOCIAÇÕES!D1380,"")</f>
        <v/>
      </c>
      <c r="E1380" s="9" t="str">
        <f>IF(AND(NEGOCIAÇÕES!B1380&lt;&gt;"",NEGOCIAÇÕES!O1380=""),NEGOCIAÇÕES!N1380,"")</f>
        <v/>
      </c>
    </row>
    <row r="1381" spans="2:5" ht="31.95" hidden="1" customHeight="1" x14ac:dyDescent="0.3">
      <c r="B1381" s="6" t="str">
        <f ca="1">IF(AND(NEGOCIAÇÕES!O1381="",NEGOCIAÇÕES!N1381&gt;TODAY()),NEGOCIAÇÕES!C1381,"")</f>
        <v/>
      </c>
      <c r="C1381" s="6" t="str">
        <f ca="1">IF(AND(NEGOCIAÇÕES!O1381="",NEGOCIAÇÕES!N1381&gt;TODAY()),NEGOCIAÇÕES!E1381,"")</f>
        <v/>
      </c>
      <c r="D1381" s="6" t="str">
        <f ca="1">IF(AND(NEGOCIAÇÕES!O1381="",NEGOCIAÇÕES!N1381&gt;TODAY()),NEGOCIAÇÕES!D1381,"")</f>
        <v/>
      </c>
      <c r="E1381" s="9" t="str">
        <f>IF(AND(NEGOCIAÇÕES!B1381&lt;&gt;"",NEGOCIAÇÕES!O1381=""),NEGOCIAÇÕES!N1381,"")</f>
        <v/>
      </c>
    </row>
    <row r="1382" spans="2:5" ht="31.95" hidden="1" customHeight="1" x14ac:dyDescent="0.3">
      <c r="B1382" s="6" t="str">
        <f ca="1">IF(AND(NEGOCIAÇÕES!O1382="",NEGOCIAÇÕES!N1382&gt;TODAY()),NEGOCIAÇÕES!C1382,"")</f>
        <v/>
      </c>
      <c r="C1382" s="6" t="str">
        <f ca="1">IF(AND(NEGOCIAÇÕES!O1382="",NEGOCIAÇÕES!N1382&gt;TODAY()),NEGOCIAÇÕES!E1382,"")</f>
        <v/>
      </c>
      <c r="D1382" s="6" t="str">
        <f ca="1">IF(AND(NEGOCIAÇÕES!O1382="",NEGOCIAÇÕES!N1382&gt;TODAY()),NEGOCIAÇÕES!D1382,"")</f>
        <v/>
      </c>
      <c r="E1382" s="9" t="str">
        <f>IF(AND(NEGOCIAÇÕES!B1382&lt;&gt;"",NEGOCIAÇÕES!O1382=""),NEGOCIAÇÕES!N1382,"")</f>
        <v/>
      </c>
    </row>
    <row r="1383" spans="2:5" ht="31.95" hidden="1" customHeight="1" x14ac:dyDescent="0.3">
      <c r="B1383" s="6" t="str">
        <f ca="1">IF(AND(NEGOCIAÇÕES!O1383="",NEGOCIAÇÕES!N1383&gt;TODAY()),NEGOCIAÇÕES!C1383,"")</f>
        <v/>
      </c>
      <c r="C1383" s="6" t="str">
        <f ca="1">IF(AND(NEGOCIAÇÕES!O1383="",NEGOCIAÇÕES!N1383&gt;TODAY()),NEGOCIAÇÕES!E1383,"")</f>
        <v/>
      </c>
      <c r="D1383" s="6" t="str">
        <f ca="1">IF(AND(NEGOCIAÇÕES!O1383="",NEGOCIAÇÕES!N1383&gt;TODAY()),NEGOCIAÇÕES!D1383,"")</f>
        <v/>
      </c>
      <c r="E1383" s="9" t="str">
        <f>IF(AND(NEGOCIAÇÕES!B1383&lt;&gt;"",NEGOCIAÇÕES!O1383=""),NEGOCIAÇÕES!N1383,"")</f>
        <v/>
      </c>
    </row>
    <row r="1384" spans="2:5" ht="31.95" hidden="1" customHeight="1" x14ac:dyDescent="0.3">
      <c r="B1384" s="6" t="str">
        <f ca="1">IF(AND(NEGOCIAÇÕES!O1384="",NEGOCIAÇÕES!N1384&gt;TODAY()),NEGOCIAÇÕES!C1384,"")</f>
        <v/>
      </c>
      <c r="C1384" s="6" t="str">
        <f ca="1">IF(AND(NEGOCIAÇÕES!O1384="",NEGOCIAÇÕES!N1384&gt;TODAY()),NEGOCIAÇÕES!E1384,"")</f>
        <v/>
      </c>
      <c r="D1384" s="6" t="str">
        <f ca="1">IF(AND(NEGOCIAÇÕES!O1384="",NEGOCIAÇÕES!N1384&gt;TODAY()),NEGOCIAÇÕES!D1384,"")</f>
        <v/>
      </c>
      <c r="E1384" s="9">
        <f>IF(AND(NEGOCIAÇÕES!B1384&lt;&gt;"",NEGOCIAÇÕES!O1384=""),NEGOCIAÇÕES!N1384,"")</f>
        <v>46031</v>
      </c>
    </row>
    <row r="1385" spans="2:5" ht="31.95" hidden="1" customHeight="1" x14ac:dyDescent="0.3">
      <c r="B1385" s="6" t="str">
        <f ca="1">IF(AND(NEGOCIAÇÕES!O1385="",NEGOCIAÇÕES!N1385&gt;TODAY()),NEGOCIAÇÕES!C1385,"")</f>
        <v/>
      </c>
      <c r="C1385" s="6" t="str">
        <f ca="1">IF(AND(NEGOCIAÇÕES!O1385="",NEGOCIAÇÕES!N1385&gt;TODAY()),NEGOCIAÇÕES!E1385,"")</f>
        <v/>
      </c>
      <c r="D1385" s="6" t="str">
        <f ca="1">IF(AND(NEGOCIAÇÕES!O1385="",NEGOCIAÇÕES!N1385&gt;TODAY()),NEGOCIAÇÕES!D1385,"")</f>
        <v/>
      </c>
      <c r="E1385" s="9" t="str">
        <f>IF(AND(NEGOCIAÇÕES!B1385&lt;&gt;"",NEGOCIAÇÕES!O1385=""),NEGOCIAÇÕES!N1385,"")</f>
        <v/>
      </c>
    </row>
    <row r="1386" spans="2:5" ht="31.95" hidden="1" customHeight="1" x14ac:dyDescent="0.3">
      <c r="B1386" s="6" t="str">
        <f ca="1">IF(AND(NEGOCIAÇÕES!O1386="",NEGOCIAÇÕES!N1386&gt;TODAY()),NEGOCIAÇÕES!C1386,"")</f>
        <v/>
      </c>
      <c r="C1386" s="6" t="str">
        <f ca="1">IF(AND(NEGOCIAÇÕES!O1386="",NEGOCIAÇÕES!N1386&gt;TODAY()),NEGOCIAÇÕES!E1386,"")</f>
        <v/>
      </c>
      <c r="D1386" s="6" t="str">
        <f ca="1">IF(AND(NEGOCIAÇÕES!O1386="",NEGOCIAÇÕES!N1386&gt;TODAY()),NEGOCIAÇÕES!D1386,"")</f>
        <v/>
      </c>
      <c r="E1386" s="9">
        <f>IF(AND(NEGOCIAÇÕES!B1386&lt;&gt;"",NEGOCIAÇÕES!O1386=""),NEGOCIAÇÕES!N1386,"")</f>
        <v>46028</v>
      </c>
    </row>
    <row r="1387" spans="2:5" ht="31.95" hidden="1" customHeight="1" x14ac:dyDescent="0.3">
      <c r="B1387" s="6" t="str">
        <f ca="1">IF(AND(NEGOCIAÇÕES!O1387="",NEGOCIAÇÕES!N1387&gt;TODAY()),NEGOCIAÇÕES!C1387,"")</f>
        <v/>
      </c>
      <c r="C1387" s="6" t="str">
        <f ca="1">IF(AND(NEGOCIAÇÕES!O1387="",NEGOCIAÇÕES!N1387&gt;TODAY()),NEGOCIAÇÕES!E1387,"")</f>
        <v/>
      </c>
      <c r="D1387" s="6" t="str">
        <f ca="1">IF(AND(NEGOCIAÇÕES!O1387="",NEGOCIAÇÕES!N1387&gt;TODAY()),NEGOCIAÇÕES!D1387,"")</f>
        <v/>
      </c>
      <c r="E1387" s="9">
        <f>IF(AND(NEGOCIAÇÕES!B1387&lt;&gt;"",NEGOCIAÇÕES!O1387=""),NEGOCIAÇÕES!N1387,"")</f>
        <v>46036</v>
      </c>
    </row>
    <row r="1388" spans="2:5" ht="31.95" hidden="1" customHeight="1" x14ac:dyDescent="0.3">
      <c r="B1388" s="6" t="str">
        <f ca="1">IF(AND(NEGOCIAÇÕES!O1388="",NEGOCIAÇÕES!N1388&gt;TODAY()),NEGOCIAÇÕES!C1388,"")</f>
        <v/>
      </c>
      <c r="C1388" s="6" t="str">
        <f ca="1">IF(AND(NEGOCIAÇÕES!O1388="",NEGOCIAÇÕES!N1388&gt;TODAY()),NEGOCIAÇÕES!E1388,"")</f>
        <v/>
      </c>
      <c r="D1388" s="6" t="str">
        <f ca="1">IF(AND(NEGOCIAÇÕES!O1388="",NEGOCIAÇÕES!N1388&gt;TODAY()),NEGOCIAÇÕES!D1388,"")</f>
        <v/>
      </c>
      <c r="E1388" s="9">
        <f>IF(AND(NEGOCIAÇÕES!B1388&lt;&gt;"",NEGOCIAÇÕES!O1388=""),NEGOCIAÇÕES!N1388,"")</f>
        <v>46028</v>
      </c>
    </row>
    <row r="1389" spans="2:5" ht="31.95" hidden="1" customHeight="1" x14ac:dyDescent="0.3">
      <c r="B1389" s="6" t="str">
        <f ca="1">IF(AND(NEGOCIAÇÕES!O1389="",NEGOCIAÇÕES!N1389&gt;TODAY()),NEGOCIAÇÕES!C1389,"")</f>
        <v/>
      </c>
      <c r="C1389" s="6" t="str">
        <f ca="1">IF(AND(NEGOCIAÇÕES!O1389="",NEGOCIAÇÕES!N1389&gt;TODAY()),NEGOCIAÇÕES!E1389,"")</f>
        <v/>
      </c>
      <c r="D1389" s="6" t="str">
        <f ca="1">IF(AND(NEGOCIAÇÕES!O1389="",NEGOCIAÇÕES!N1389&gt;TODAY()),NEGOCIAÇÕES!D1389,"")</f>
        <v/>
      </c>
      <c r="E1389" s="9">
        <f>IF(AND(NEGOCIAÇÕES!B1389&lt;&gt;"",NEGOCIAÇÕES!O1389=""),NEGOCIAÇÕES!N1389,"")</f>
        <v>46034</v>
      </c>
    </row>
    <row r="1390" spans="2:5" ht="31.95" hidden="1" customHeight="1" x14ac:dyDescent="0.3">
      <c r="B1390" s="6" t="str">
        <f ca="1">IF(AND(NEGOCIAÇÕES!O1390="",NEGOCIAÇÕES!N1390&gt;TODAY()),NEGOCIAÇÕES!C1390,"")</f>
        <v/>
      </c>
      <c r="C1390" s="6" t="str">
        <f ca="1">IF(AND(NEGOCIAÇÕES!O1390="",NEGOCIAÇÕES!N1390&gt;TODAY()),NEGOCIAÇÕES!E1390,"")</f>
        <v/>
      </c>
      <c r="D1390" s="6" t="str">
        <f ca="1">IF(AND(NEGOCIAÇÕES!O1390="",NEGOCIAÇÕES!N1390&gt;TODAY()),NEGOCIAÇÕES!D1390,"")</f>
        <v/>
      </c>
      <c r="E1390" s="9">
        <f>IF(AND(NEGOCIAÇÕES!B1390&lt;&gt;"",NEGOCIAÇÕES!O1390=""),NEGOCIAÇÕES!N1390,"")</f>
        <v>46028</v>
      </c>
    </row>
    <row r="1391" spans="2:5" ht="31.95" hidden="1" customHeight="1" x14ac:dyDescent="0.3">
      <c r="B1391" s="6" t="str">
        <f ca="1">IF(AND(NEGOCIAÇÕES!O1391="",NEGOCIAÇÕES!N1391&gt;TODAY()),NEGOCIAÇÕES!C1391,"")</f>
        <v/>
      </c>
      <c r="C1391" s="6" t="str">
        <f ca="1">IF(AND(NEGOCIAÇÕES!O1391="",NEGOCIAÇÕES!N1391&gt;TODAY()),NEGOCIAÇÕES!E1391,"")</f>
        <v/>
      </c>
      <c r="D1391" s="6" t="str">
        <f ca="1">IF(AND(NEGOCIAÇÕES!O1391="",NEGOCIAÇÕES!N1391&gt;TODAY()),NEGOCIAÇÕES!D1391,"")</f>
        <v/>
      </c>
      <c r="E1391" s="9">
        <f>IF(AND(NEGOCIAÇÕES!B1391&lt;&gt;"",NEGOCIAÇÕES!O1391=""),NEGOCIAÇÕES!N1391,"")</f>
        <v>46028</v>
      </c>
    </row>
    <row r="1392" spans="2:5" ht="31.95" hidden="1" customHeight="1" x14ac:dyDescent="0.3">
      <c r="B1392" s="6" t="str">
        <f ca="1">IF(AND(NEGOCIAÇÕES!O1392="",NEGOCIAÇÕES!N1392&gt;TODAY()),NEGOCIAÇÕES!C1392,"")</f>
        <v/>
      </c>
      <c r="C1392" s="6" t="str">
        <f ca="1">IF(AND(NEGOCIAÇÕES!O1392="",NEGOCIAÇÕES!N1392&gt;TODAY()),NEGOCIAÇÕES!E1392,"")</f>
        <v/>
      </c>
      <c r="D1392" s="6" t="str">
        <f ca="1">IF(AND(NEGOCIAÇÕES!O1392="",NEGOCIAÇÕES!N1392&gt;TODAY()),NEGOCIAÇÕES!D1392,"")</f>
        <v/>
      </c>
      <c r="E1392" s="9">
        <f>IF(AND(NEGOCIAÇÕES!B1392&lt;&gt;"",NEGOCIAÇÕES!O1392=""),NEGOCIAÇÕES!N1392,"")</f>
        <v>46036</v>
      </c>
    </row>
    <row r="1393" spans="2:5" ht="31.95" hidden="1" customHeight="1" x14ac:dyDescent="0.3">
      <c r="B1393" s="6" t="str">
        <f ca="1">IF(AND(NEGOCIAÇÕES!O1393="",NEGOCIAÇÕES!N1393&gt;TODAY()),NEGOCIAÇÕES!C1393,"")</f>
        <v/>
      </c>
      <c r="C1393" s="6" t="str">
        <f ca="1">IF(AND(NEGOCIAÇÕES!O1393="",NEGOCIAÇÕES!N1393&gt;TODAY()),NEGOCIAÇÕES!E1393,"")</f>
        <v/>
      </c>
      <c r="D1393" s="6" t="str">
        <f ca="1">IF(AND(NEGOCIAÇÕES!O1393="",NEGOCIAÇÕES!N1393&gt;TODAY()),NEGOCIAÇÕES!D1393,"")</f>
        <v/>
      </c>
      <c r="E1393" s="9">
        <f>IF(AND(NEGOCIAÇÕES!B1393&lt;&gt;"",NEGOCIAÇÕES!O1393=""),NEGOCIAÇÕES!N1393,"")</f>
        <v>46028</v>
      </c>
    </row>
    <row r="1394" spans="2:5" ht="31.95" hidden="1" customHeight="1" x14ac:dyDescent="0.3">
      <c r="B1394" s="6" t="str">
        <f ca="1">IF(AND(NEGOCIAÇÕES!O1394="",NEGOCIAÇÕES!N1394&gt;TODAY()),NEGOCIAÇÕES!C1394,"")</f>
        <v/>
      </c>
      <c r="C1394" s="6" t="str">
        <f ca="1">IF(AND(NEGOCIAÇÕES!O1394="",NEGOCIAÇÕES!N1394&gt;TODAY()),NEGOCIAÇÕES!E1394,"")</f>
        <v/>
      </c>
      <c r="D1394" s="6" t="str">
        <f ca="1">IF(AND(NEGOCIAÇÕES!O1394="",NEGOCIAÇÕES!N1394&gt;TODAY()),NEGOCIAÇÕES!D1394,"")</f>
        <v/>
      </c>
      <c r="E1394" s="9">
        <f>IF(AND(NEGOCIAÇÕES!B1394&lt;&gt;"",NEGOCIAÇÕES!O1394=""),NEGOCIAÇÕES!N1394,"")</f>
        <v>46028</v>
      </c>
    </row>
    <row r="1395" spans="2:5" ht="31.95" hidden="1" customHeight="1" x14ac:dyDescent="0.3">
      <c r="B1395" s="6" t="str">
        <f ca="1">IF(AND(NEGOCIAÇÕES!O1395="",NEGOCIAÇÕES!N1395&gt;TODAY()),NEGOCIAÇÕES!C1395,"")</f>
        <v/>
      </c>
      <c r="C1395" s="6" t="str">
        <f ca="1">IF(AND(NEGOCIAÇÕES!O1395="",NEGOCIAÇÕES!N1395&gt;TODAY()),NEGOCIAÇÕES!E1395,"")</f>
        <v/>
      </c>
      <c r="D1395" s="6" t="str">
        <f ca="1">IF(AND(NEGOCIAÇÕES!O1395="",NEGOCIAÇÕES!N1395&gt;TODAY()),NEGOCIAÇÕES!D1395,"")</f>
        <v/>
      </c>
      <c r="E1395" s="9">
        <f>IF(AND(NEGOCIAÇÕES!B1395&lt;&gt;"",NEGOCIAÇÕES!O1395=""),NEGOCIAÇÕES!N1395,"")</f>
        <v>46028</v>
      </c>
    </row>
    <row r="1396" spans="2:5" ht="31.95" hidden="1" customHeight="1" x14ac:dyDescent="0.3">
      <c r="B1396" s="6" t="str">
        <f ca="1">IF(AND(NEGOCIAÇÕES!O1396="",NEGOCIAÇÕES!N1396&gt;TODAY()),NEGOCIAÇÕES!C1396,"")</f>
        <v/>
      </c>
      <c r="C1396" s="6" t="str">
        <f ca="1">IF(AND(NEGOCIAÇÕES!O1396="",NEGOCIAÇÕES!N1396&gt;TODAY()),NEGOCIAÇÕES!E1396,"")</f>
        <v/>
      </c>
      <c r="D1396" s="6" t="str">
        <f ca="1">IF(AND(NEGOCIAÇÕES!O1396="",NEGOCIAÇÕES!N1396&gt;TODAY()),NEGOCIAÇÕES!D1396,"")</f>
        <v/>
      </c>
      <c r="E1396" s="9">
        <f>IF(AND(NEGOCIAÇÕES!B1396&lt;&gt;"",NEGOCIAÇÕES!O1396=""),NEGOCIAÇÕES!N1396,"")</f>
        <v>46048</v>
      </c>
    </row>
    <row r="1397" spans="2:5" ht="31.95" hidden="1" customHeight="1" x14ac:dyDescent="0.3">
      <c r="B1397" s="6" t="str">
        <f ca="1">IF(AND(NEGOCIAÇÕES!O1397="",NEGOCIAÇÕES!N1397&gt;TODAY()),NEGOCIAÇÕES!C1397,"")</f>
        <v/>
      </c>
      <c r="C1397" s="6" t="str">
        <f ca="1">IF(AND(NEGOCIAÇÕES!O1397="",NEGOCIAÇÕES!N1397&gt;TODAY()),NEGOCIAÇÕES!E1397,"")</f>
        <v/>
      </c>
      <c r="D1397" s="6" t="str">
        <f ca="1">IF(AND(NEGOCIAÇÕES!O1397="",NEGOCIAÇÕES!N1397&gt;TODAY()),NEGOCIAÇÕES!D1397,"")</f>
        <v/>
      </c>
      <c r="E1397" s="9" t="str">
        <f>IF(AND(NEGOCIAÇÕES!B1397&lt;&gt;"",NEGOCIAÇÕES!O1397=""),NEGOCIAÇÕES!N1397,"")</f>
        <v/>
      </c>
    </row>
    <row r="1398" spans="2:5" ht="31.95" hidden="1" customHeight="1" x14ac:dyDescent="0.3">
      <c r="B1398" s="6" t="str">
        <f ca="1">IF(AND(NEGOCIAÇÕES!O1398="",NEGOCIAÇÕES!N1398&gt;TODAY()),NEGOCIAÇÕES!C1398,"")</f>
        <v/>
      </c>
      <c r="C1398" s="6" t="str">
        <f ca="1">IF(AND(NEGOCIAÇÕES!O1398="",NEGOCIAÇÕES!N1398&gt;TODAY()),NEGOCIAÇÕES!E1398,"")</f>
        <v/>
      </c>
      <c r="D1398" s="6" t="str">
        <f ca="1">IF(AND(NEGOCIAÇÕES!O1398="",NEGOCIAÇÕES!N1398&gt;TODAY()),NEGOCIAÇÕES!D1398,"")</f>
        <v/>
      </c>
      <c r="E1398" s="9">
        <f>IF(AND(NEGOCIAÇÕES!B1398&lt;&gt;"",NEGOCIAÇÕES!O1398=""),NEGOCIAÇÕES!N1398,"")</f>
        <v>46035</v>
      </c>
    </row>
    <row r="1399" spans="2:5" ht="31.95" hidden="1" customHeight="1" x14ac:dyDescent="0.3">
      <c r="B1399" s="6" t="str">
        <f ca="1">IF(AND(NEGOCIAÇÕES!O1399="",NEGOCIAÇÕES!N1399&gt;TODAY()),NEGOCIAÇÕES!C1399,"")</f>
        <v/>
      </c>
      <c r="C1399" s="6" t="str">
        <f ca="1">IF(AND(NEGOCIAÇÕES!O1399="",NEGOCIAÇÕES!N1399&gt;TODAY()),NEGOCIAÇÕES!E1399,"")</f>
        <v/>
      </c>
      <c r="D1399" s="6" t="str">
        <f ca="1">IF(AND(NEGOCIAÇÕES!O1399="",NEGOCIAÇÕES!N1399&gt;TODAY()),NEGOCIAÇÕES!D1399,"")</f>
        <v/>
      </c>
      <c r="E1399" s="9">
        <f>IF(AND(NEGOCIAÇÕES!B1399&lt;&gt;"",NEGOCIAÇÕES!O1399=""),NEGOCIAÇÕES!N1399,"")</f>
        <v>46028</v>
      </c>
    </row>
    <row r="1400" spans="2:5" ht="31.95" hidden="1" customHeight="1" x14ac:dyDescent="0.3">
      <c r="B1400" s="6" t="str">
        <f ca="1">IF(AND(NEGOCIAÇÕES!O1400="",NEGOCIAÇÕES!N1400&gt;TODAY()),NEGOCIAÇÕES!C1400,"")</f>
        <v/>
      </c>
      <c r="C1400" s="6" t="str">
        <f ca="1">IF(AND(NEGOCIAÇÕES!O1400="",NEGOCIAÇÕES!N1400&gt;TODAY()),NEGOCIAÇÕES!E1400,"")</f>
        <v/>
      </c>
      <c r="D1400" s="6" t="str">
        <f ca="1">IF(AND(NEGOCIAÇÕES!O1400="",NEGOCIAÇÕES!N1400&gt;TODAY()),NEGOCIAÇÕES!D1400,"")</f>
        <v/>
      </c>
      <c r="E1400" s="9" t="str">
        <f>IF(AND(NEGOCIAÇÕES!B1400&lt;&gt;"",NEGOCIAÇÕES!O1400=""),NEGOCIAÇÕES!N1400,"")</f>
        <v/>
      </c>
    </row>
    <row r="1401" spans="2:5" ht="31.95" hidden="1" customHeight="1" x14ac:dyDescent="0.3">
      <c r="B1401" s="6" t="str">
        <f ca="1">IF(AND(NEGOCIAÇÕES!O1401="",NEGOCIAÇÕES!N1401&gt;TODAY()),NEGOCIAÇÕES!C1401,"")</f>
        <v/>
      </c>
      <c r="C1401" s="6" t="str">
        <f ca="1">IF(AND(NEGOCIAÇÕES!O1401="",NEGOCIAÇÕES!N1401&gt;TODAY()),NEGOCIAÇÕES!E1401,"")</f>
        <v/>
      </c>
      <c r="D1401" s="6" t="str">
        <f ca="1">IF(AND(NEGOCIAÇÕES!O1401="",NEGOCIAÇÕES!N1401&gt;TODAY()),NEGOCIAÇÕES!D1401,"")</f>
        <v/>
      </c>
      <c r="E1401" s="9" t="str">
        <f>IF(AND(NEGOCIAÇÕES!B1401&lt;&gt;"",NEGOCIAÇÕES!O1401=""),NEGOCIAÇÕES!N1401,"")</f>
        <v/>
      </c>
    </row>
    <row r="1402" spans="2:5" ht="31.95" hidden="1" customHeight="1" x14ac:dyDescent="0.3">
      <c r="B1402" s="6" t="str">
        <f ca="1">IF(AND(NEGOCIAÇÕES!O1402="",NEGOCIAÇÕES!N1402&gt;TODAY()),NEGOCIAÇÕES!C1402,"")</f>
        <v/>
      </c>
      <c r="C1402" s="6" t="str">
        <f ca="1">IF(AND(NEGOCIAÇÕES!O1402="",NEGOCIAÇÕES!N1402&gt;TODAY()),NEGOCIAÇÕES!E1402,"")</f>
        <v/>
      </c>
      <c r="D1402" s="6" t="str">
        <f ca="1">IF(AND(NEGOCIAÇÕES!O1402="",NEGOCIAÇÕES!N1402&gt;TODAY()),NEGOCIAÇÕES!D1402,"")</f>
        <v/>
      </c>
      <c r="E1402" s="9">
        <f>IF(AND(NEGOCIAÇÕES!B1402&lt;&gt;"",NEGOCIAÇÕES!O1402=""),NEGOCIAÇÕES!N1402,"")</f>
        <v>46030</v>
      </c>
    </row>
    <row r="1403" spans="2:5" ht="31.95" hidden="1" customHeight="1" x14ac:dyDescent="0.3">
      <c r="B1403" s="6" t="str">
        <f ca="1">IF(AND(NEGOCIAÇÕES!O1403="",NEGOCIAÇÕES!N1403&gt;TODAY()),NEGOCIAÇÕES!C1403,"")</f>
        <v/>
      </c>
      <c r="C1403" s="6" t="str">
        <f ca="1">IF(AND(NEGOCIAÇÕES!O1403="",NEGOCIAÇÕES!N1403&gt;TODAY()),NEGOCIAÇÕES!E1403,"")</f>
        <v/>
      </c>
      <c r="D1403" s="6" t="str">
        <f ca="1">IF(AND(NEGOCIAÇÕES!O1403="",NEGOCIAÇÕES!N1403&gt;TODAY()),NEGOCIAÇÕES!D1403,"")</f>
        <v/>
      </c>
      <c r="E1403" s="9">
        <f>IF(AND(NEGOCIAÇÕES!B1403&lt;&gt;"",NEGOCIAÇÕES!O1403=""),NEGOCIAÇÕES!N1403,"")</f>
        <v>46030</v>
      </c>
    </row>
    <row r="1404" spans="2:5" ht="31.95" hidden="1" customHeight="1" x14ac:dyDescent="0.3">
      <c r="B1404" s="6" t="str">
        <f ca="1">IF(AND(NEGOCIAÇÕES!O1404="",NEGOCIAÇÕES!N1404&gt;TODAY()),NEGOCIAÇÕES!C1404,"")</f>
        <v/>
      </c>
      <c r="C1404" s="6" t="str">
        <f ca="1">IF(AND(NEGOCIAÇÕES!O1404="",NEGOCIAÇÕES!N1404&gt;TODAY()),NEGOCIAÇÕES!E1404,"")</f>
        <v/>
      </c>
      <c r="D1404" s="6" t="str">
        <f ca="1">IF(AND(NEGOCIAÇÕES!O1404="",NEGOCIAÇÕES!N1404&gt;TODAY()),NEGOCIAÇÕES!D1404,"")</f>
        <v/>
      </c>
      <c r="E1404" s="9">
        <f>IF(AND(NEGOCIAÇÕES!B1404&lt;&gt;"",NEGOCIAÇÕES!O1404=""),NEGOCIAÇÕES!N1404,"")</f>
        <v>46034</v>
      </c>
    </row>
    <row r="1405" spans="2:5" ht="31.95" hidden="1" customHeight="1" x14ac:dyDescent="0.3">
      <c r="B1405" s="6" t="str">
        <f ca="1">IF(AND(NEGOCIAÇÕES!O1405="",NEGOCIAÇÕES!N1405&gt;TODAY()),NEGOCIAÇÕES!C1405,"")</f>
        <v/>
      </c>
      <c r="C1405" s="6" t="str">
        <f ca="1">IF(AND(NEGOCIAÇÕES!O1405="",NEGOCIAÇÕES!N1405&gt;TODAY()),NEGOCIAÇÕES!E1405,"")</f>
        <v/>
      </c>
      <c r="D1405" s="6" t="str">
        <f ca="1">IF(AND(NEGOCIAÇÕES!O1405="",NEGOCIAÇÕES!N1405&gt;TODAY()),NEGOCIAÇÕES!D1405,"")</f>
        <v/>
      </c>
      <c r="E1405" s="9" t="str">
        <f>IF(AND(NEGOCIAÇÕES!B1405&lt;&gt;"",NEGOCIAÇÕES!O1405=""),NEGOCIAÇÕES!N1405,"")</f>
        <v/>
      </c>
    </row>
    <row r="1406" spans="2:5" ht="31.95" hidden="1" customHeight="1" x14ac:dyDescent="0.3">
      <c r="B1406" s="6" t="str">
        <f ca="1">IF(AND(NEGOCIAÇÕES!O1406="",NEGOCIAÇÕES!N1406&gt;TODAY()),NEGOCIAÇÕES!C1406,"")</f>
        <v/>
      </c>
      <c r="C1406" s="6" t="str">
        <f ca="1">IF(AND(NEGOCIAÇÕES!O1406="",NEGOCIAÇÕES!N1406&gt;TODAY()),NEGOCIAÇÕES!E1406,"")</f>
        <v/>
      </c>
      <c r="D1406" s="6" t="str">
        <f ca="1">IF(AND(NEGOCIAÇÕES!O1406="",NEGOCIAÇÕES!N1406&gt;TODAY()),NEGOCIAÇÕES!D1406,"")</f>
        <v/>
      </c>
      <c r="E1406" s="9">
        <f>IF(AND(NEGOCIAÇÕES!B1406&lt;&gt;"",NEGOCIAÇÕES!O1406=""),NEGOCIAÇÕES!N1406,"")</f>
        <v>46034</v>
      </c>
    </row>
    <row r="1407" spans="2:5" ht="31.95" hidden="1" customHeight="1" x14ac:dyDescent="0.3">
      <c r="B1407" s="6" t="str">
        <f ca="1">IF(AND(NEGOCIAÇÕES!O1407="",NEGOCIAÇÕES!N1407&gt;TODAY()),NEGOCIAÇÕES!C1407,"")</f>
        <v/>
      </c>
      <c r="C1407" s="6" t="str">
        <f ca="1">IF(AND(NEGOCIAÇÕES!O1407="",NEGOCIAÇÕES!N1407&gt;TODAY()),NEGOCIAÇÕES!E1407,"")</f>
        <v/>
      </c>
      <c r="D1407" s="6" t="str">
        <f ca="1">IF(AND(NEGOCIAÇÕES!O1407="",NEGOCIAÇÕES!N1407&gt;TODAY()),NEGOCIAÇÕES!D1407,"")</f>
        <v/>
      </c>
      <c r="E1407" s="9" t="str">
        <f>IF(AND(NEGOCIAÇÕES!B1407&lt;&gt;"",NEGOCIAÇÕES!O1407=""),NEGOCIAÇÕES!N1407,"")</f>
        <v/>
      </c>
    </row>
    <row r="1408" spans="2:5" ht="31.95" hidden="1" customHeight="1" x14ac:dyDescent="0.3">
      <c r="B1408" s="6" t="str">
        <f ca="1">IF(AND(NEGOCIAÇÕES!O1408="",NEGOCIAÇÕES!N1408&gt;TODAY()),NEGOCIAÇÕES!C1408,"")</f>
        <v/>
      </c>
      <c r="C1408" s="6" t="str">
        <f ca="1">IF(AND(NEGOCIAÇÕES!O1408="",NEGOCIAÇÕES!N1408&gt;TODAY()),NEGOCIAÇÕES!E1408,"")</f>
        <v/>
      </c>
      <c r="D1408" s="6" t="str">
        <f ca="1">IF(AND(NEGOCIAÇÕES!O1408="",NEGOCIAÇÕES!N1408&gt;TODAY()),NEGOCIAÇÕES!D1408,"")</f>
        <v/>
      </c>
      <c r="E1408" s="9">
        <f>IF(AND(NEGOCIAÇÕES!B1408&lt;&gt;"",NEGOCIAÇÕES!O1408=""),NEGOCIAÇÕES!N1408,"")</f>
        <v>46036</v>
      </c>
    </row>
    <row r="1409" spans="2:5" ht="31.95" hidden="1" customHeight="1" x14ac:dyDescent="0.3">
      <c r="B1409" s="6" t="str">
        <f ca="1">IF(AND(NEGOCIAÇÕES!O1409="",NEGOCIAÇÕES!N1409&gt;TODAY()),NEGOCIAÇÕES!C1409,"")</f>
        <v/>
      </c>
      <c r="C1409" s="6" t="str">
        <f ca="1">IF(AND(NEGOCIAÇÕES!O1409="",NEGOCIAÇÕES!N1409&gt;TODAY()),NEGOCIAÇÕES!E1409,"")</f>
        <v/>
      </c>
      <c r="D1409" s="6" t="str">
        <f ca="1">IF(AND(NEGOCIAÇÕES!O1409="",NEGOCIAÇÕES!N1409&gt;TODAY()),NEGOCIAÇÕES!D1409,"")</f>
        <v/>
      </c>
      <c r="E1409" s="9">
        <f>IF(AND(NEGOCIAÇÕES!B1409&lt;&gt;"",NEGOCIAÇÕES!O1409=""),NEGOCIAÇÕES!N1409,"")</f>
        <v>46034</v>
      </c>
    </row>
    <row r="1410" spans="2:5" ht="31.95" hidden="1" customHeight="1" x14ac:dyDescent="0.3">
      <c r="B1410" s="6" t="str">
        <f ca="1">IF(AND(NEGOCIAÇÕES!O1410="",NEGOCIAÇÕES!N1410&gt;TODAY()),NEGOCIAÇÕES!C1410,"")</f>
        <v/>
      </c>
      <c r="C1410" s="6" t="str">
        <f ca="1">IF(AND(NEGOCIAÇÕES!O1410="",NEGOCIAÇÕES!N1410&gt;TODAY()),NEGOCIAÇÕES!E1410,"")</f>
        <v/>
      </c>
      <c r="D1410" s="6" t="str">
        <f ca="1">IF(AND(NEGOCIAÇÕES!O1410="",NEGOCIAÇÕES!N1410&gt;TODAY()),NEGOCIAÇÕES!D1410,"")</f>
        <v/>
      </c>
      <c r="E1410" s="9" t="str">
        <f>IF(AND(NEGOCIAÇÕES!B1410&lt;&gt;"",NEGOCIAÇÕES!O1410=""),NEGOCIAÇÕES!N1410,"")</f>
        <v/>
      </c>
    </row>
    <row r="1411" spans="2:5" ht="31.95" hidden="1" customHeight="1" x14ac:dyDescent="0.3">
      <c r="B1411" s="6" t="str">
        <f ca="1">IF(AND(NEGOCIAÇÕES!O1411="",NEGOCIAÇÕES!N1411&gt;TODAY()),NEGOCIAÇÕES!C1411,"")</f>
        <v/>
      </c>
      <c r="C1411" s="6" t="str">
        <f ca="1">IF(AND(NEGOCIAÇÕES!O1411="",NEGOCIAÇÕES!N1411&gt;TODAY()),NEGOCIAÇÕES!E1411,"")</f>
        <v/>
      </c>
      <c r="D1411" s="6" t="str">
        <f ca="1">IF(AND(NEGOCIAÇÕES!O1411="",NEGOCIAÇÕES!N1411&gt;TODAY()),NEGOCIAÇÕES!D1411,"")</f>
        <v/>
      </c>
      <c r="E1411" s="9">
        <f>IF(AND(NEGOCIAÇÕES!B1411&lt;&gt;"",NEGOCIAÇÕES!O1411=""),NEGOCIAÇÕES!N1411,"")</f>
        <v>46035</v>
      </c>
    </row>
    <row r="1412" spans="2:5" ht="31.95" hidden="1" customHeight="1" x14ac:dyDescent="0.3">
      <c r="B1412" s="6" t="str">
        <f ca="1">IF(AND(NEGOCIAÇÕES!O1412="",NEGOCIAÇÕES!N1412&gt;TODAY()),NEGOCIAÇÕES!C1412,"")</f>
        <v/>
      </c>
      <c r="C1412" s="6" t="str">
        <f ca="1">IF(AND(NEGOCIAÇÕES!O1412="",NEGOCIAÇÕES!N1412&gt;TODAY()),NEGOCIAÇÕES!E1412,"")</f>
        <v/>
      </c>
      <c r="D1412" s="6" t="str">
        <f ca="1">IF(AND(NEGOCIAÇÕES!O1412="",NEGOCIAÇÕES!N1412&gt;TODAY()),NEGOCIAÇÕES!D1412,"")</f>
        <v/>
      </c>
      <c r="E1412" s="9">
        <f>IF(AND(NEGOCIAÇÕES!B1412&lt;&gt;"",NEGOCIAÇÕES!O1412=""),NEGOCIAÇÕES!N1412,"")</f>
        <v>46034</v>
      </c>
    </row>
    <row r="1413" spans="2:5" ht="31.95" hidden="1" customHeight="1" x14ac:dyDescent="0.3">
      <c r="B1413" s="6" t="str">
        <f ca="1">IF(AND(NEGOCIAÇÕES!O1413="",NEGOCIAÇÕES!N1413&gt;TODAY()),NEGOCIAÇÕES!C1413,"")</f>
        <v/>
      </c>
      <c r="C1413" s="6" t="str">
        <f ca="1">IF(AND(NEGOCIAÇÕES!O1413="",NEGOCIAÇÕES!N1413&gt;TODAY()),NEGOCIAÇÕES!E1413,"")</f>
        <v/>
      </c>
      <c r="D1413" s="6" t="str">
        <f ca="1">IF(AND(NEGOCIAÇÕES!O1413="",NEGOCIAÇÕES!N1413&gt;TODAY()),NEGOCIAÇÕES!D1413,"")</f>
        <v/>
      </c>
      <c r="E1413" s="9" t="str">
        <f>IF(AND(NEGOCIAÇÕES!B1413&lt;&gt;"",NEGOCIAÇÕES!O1413=""),NEGOCIAÇÕES!N1413,"")</f>
        <v/>
      </c>
    </row>
    <row r="1414" spans="2:5" ht="31.95" hidden="1" customHeight="1" x14ac:dyDescent="0.3">
      <c r="B1414" s="6" t="str">
        <f ca="1">IF(AND(NEGOCIAÇÕES!O1414="",NEGOCIAÇÕES!N1414&gt;TODAY()),NEGOCIAÇÕES!C1414,"")</f>
        <v/>
      </c>
      <c r="C1414" s="6" t="str">
        <f ca="1">IF(AND(NEGOCIAÇÕES!O1414="",NEGOCIAÇÕES!N1414&gt;TODAY()),NEGOCIAÇÕES!E1414,"")</f>
        <v/>
      </c>
      <c r="D1414" s="6" t="str">
        <f ca="1">IF(AND(NEGOCIAÇÕES!O1414="",NEGOCIAÇÕES!N1414&gt;TODAY()),NEGOCIAÇÕES!D1414,"")</f>
        <v/>
      </c>
      <c r="E1414" s="9" t="str">
        <f>IF(AND(NEGOCIAÇÕES!B1414&lt;&gt;"",NEGOCIAÇÕES!O1414=""),NEGOCIAÇÕES!N1414,"")</f>
        <v/>
      </c>
    </row>
    <row r="1415" spans="2:5" ht="31.95" hidden="1" customHeight="1" x14ac:dyDescent="0.3">
      <c r="B1415" s="6" t="str">
        <f ca="1">IF(AND(NEGOCIAÇÕES!O1415="",NEGOCIAÇÕES!N1415&gt;TODAY()),NEGOCIAÇÕES!C1415,"")</f>
        <v/>
      </c>
      <c r="C1415" s="6" t="str">
        <f ca="1">IF(AND(NEGOCIAÇÕES!O1415="",NEGOCIAÇÕES!N1415&gt;TODAY()),NEGOCIAÇÕES!E1415,"")</f>
        <v/>
      </c>
      <c r="D1415" s="6" t="str">
        <f ca="1">IF(AND(NEGOCIAÇÕES!O1415="",NEGOCIAÇÕES!N1415&gt;TODAY()),NEGOCIAÇÕES!D1415,"")</f>
        <v/>
      </c>
      <c r="E1415" s="9">
        <f>IF(AND(NEGOCIAÇÕES!B1415&lt;&gt;"",NEGOCIAÇÕES!O1415=""),NEGOCIAÇÕES!N1415,"")</f>
        <v>46030</v>
      </c>
    </row>
    <row r="1416" spans="2:5" ht="31.95" hidden="1" customHeight="1" x14ac:dyDescent="0.3">
      <c r="B1416" s="6" t="str">
        <f ca="1">IF(AND(NEGOCIAÇÕES!O1416="",NEGOCIAÇÕES!N1416&gt;TODAY()),NEGOCIAÇÕES!C1416,"")</f>
        <v/>
      </c>
      <c r="C1416" s="6" t="str">
        <f ca="1">IF(AND(NEGOCIAÇÕES!O1416="",NEGOCIAÇÕES!N1416&gt;TODAY()),NEGOCIAÇÕES!E1416,"")</f>
        <v/>
      </c>
      <c r="D1416" s="6" t="str">
        <f ca="1">IF(AND(NEGOCIAÇÕES!O1416="",NEGOCIAÇÕES!N1416&gt;TODAY()),NEGOCIAÇÕES!D1416,"")</f>
        <v/>
      </c>
      <c r="E1416" s="9" t="str">
        <f>IF(AND(NEGOCIAÇÕES!B1416&lt;&gt;"",NEGOCIAÇÕES!O1416=""),NEGOCIAÇÕES!N1416,"")</f>
        <v/>
      </c>
    </row>
    <row r="1417" spans="2:5" ht="31.95" hidden="1" customHeight="1" x14ac:dyDescent="0.3">
      <c r="B1417" s="6" t="str">
        <f ca="1">IF(AND(NEGOCIAÇÕES!O1417="",NEGOCIAÇÕES!N1417&gt;TODAY()),NEGOCIAÇÕES!C1417,"")</f>
        <v/>
      </c>
      <c r="C1417" s="6" t="str">
        <f ca="1">IF(AND(NEGOCIAÇÕES!O1417="",NEGOCIAÇÕES!N1417&gt;TODAY()),NEGOCIAÇÕES!E1417,"")</f>
        <v/>
      </c>
      <c r="D1417" s="6" t="str">
        <f ca="1">IF(AND(NEGOCIAÇÕES!O1417="",NEGOCIAÇÕES!N1417&gt;TODAY()),NEGOCIAÇÕES!D1417,"")</f>
        <v/>
      </c>
      <c r="E1417" s="9">
        <f>IF(AND(NEGOCIAÇÕES!B1417&lt;&gt;"",NEGOCIAÇÕES!O1417=""),NEGOCIAÇÕES!N1417,"")</f>
        <v>46034</v>
      </c>
    </row>
    <row r="1418" spans="2:5" ht="31.95" hidden="1" customHeight="1" x14ac:dyDescent="0.3">
      <c r="B1418" s="6" t="str">
        <f ca="1">IF(AND(NEGOCIAÇÕES!O1418="",NEGOCIAÇÕES!N1418&gt;TODAY()),NEGOCIAÇÕES!C1418,"")</f>
        <v/>
      </c>
      <c r="C1418" s="6" t="str">
        <f ca="1">IF(AND(NEGOCIAÇÕES!O1418="",NEGOCIAÇÕES!N1418&gt;TODAY()),NEGOCIAÇÕES!E1418,"")</f>
        <v/>
      </c>
      <c r="D1418" s="6" t="str">
        <f ca="1">IF(AND(NEGOCIAÇÕES!O1418="",NEGOCIAÇÕES!N1418&gt;TODAY()),NEGOCIAÇÕES!D1418,"")</f>
        <v/>
      </c>
      <c r="E1418" s="9">
        <f>IF(AND(NEGOCIAÇÕES!B1418&lt;&gt;"",NEGOCIAÇÕES!O1418=""),NEGOCIAÇÕES!N1418,"")</f>
        <v>46034</v>
      </c>
    </row>
    <row r="1419" spans="2:5" ht="31.95" hidden="1" customHeight="1" x14ac:dyDescent="0.3">
      <c r="B1419" s="6" t="str">
        <f ca="1">IF(AND(NEGOCIAÇÕES!O1419="",NEGOCIAÇÕES!N1419&gt;TODAY()),NEGOCIAÇÕES!C1419,"")</f>
        <v/>
      </c>
      <c r="C1419" s="6" t="str">
        <f ca="1">IF(AND(NEGOCIAÇÕES!O1419="",NEGOCIAÇÕES!N1419&gt;TODAY()),NEGOCIAÇÕES!E1419,"")</f>
        <v/>
      </c>
      <c r="D1419" s="6" t="str">
        <f ca="1">IF(AND(NEGOCIAÇÕES!O1419="",NEGOCIAÇÕES!N1419&gt;TODAY()),NEGOCIAÇÕES!D1419,"")</f>
        <v/>
      </c>
      <c r="E1419" s="9">
        <f>IF(AND(NEGOCIAÇÕES!B1419&lt;&gt;"",NEGOCIAÇÕES!O1419=""),NEGOCIAÇÕES!N1419,"")</f>
        <v>46034</v>
      </c>
    </row>
    <row r="1420" spans="2:5" ht="31.95" hidden="1" customHeight="1" x14ac:dyDescent="0.3">
      <c r="B1420" s="6" t="str">
        <f ca="1">IF(AND(NEGOCIAÇÕES!O1420="",NEGOCIAÇÕES!N1420&gt;TODAY()),NEGOCIAÇÕES!C1420,"")</f>
        <v/>
      </c>
      <c r="C1420" s="6" t="str">
        <f ca="1">IF(AND(NEGOCIAÇÕES!O1420="",NEGOCIAÇÕES!N1420&gt;TODAY()),NEGOCIAÇÕES!E1420,"")</f>
        <v/>
      </c>
      <c r="D1420" s="6" t="str">
        <f ca="1">IF(AND(NEGOCIAÇÕES!O1420="",NEGOCIAÇÕES!N1420&gt;TODAY()),NEGOCIAÇÕES!D1420,"")</f>
        <v/>
      </c>
      <c r="E1420" s="9">
        <f>IF(AND(NEGOCIAÇÕES!B1420&lt;&gt;"",NEGOCIAÇÕES!O1420=""),NEGOCIAÇÕES!N1420,"")</f>
        <v>46034</v>
      </c>
    </row>
    <row r="1421" spans="2:5" ht="31.95" hidden="1" customHeight="1" x14ac:dyDescent="0.3">
      <c r="B1421" s="6" t="str">
        <f ca="1">IF(AND(NEGOCIAÇÕES!O1421="",NEGOCIAÇÕES!N1421&gt;TODAY()),NEGOCIAÇÕES!C1421,"")</f>
        <v/>
      </c>
      <c r="C1421" s="6" t="str">
        <f ca="1">IF(AND(NEGOCIAÇÕES!O1421="",NEGOCIAÇÕES!N1421&gt;TODAY()),NEGOCIAÇÕES!E1421,"")</f>
        <v/>
      </c>
      <c r="D1421" s="6" t="str">
        <f ca="1">IF(AND(NEGOCIAÇÕES!O1421="",NEGOCIAÇÕES!N1421&gt;TODAY()),NEGOCIAÇÕES!D1421,"")</f>
        <v/>
      </c>
      <c r="E1421" s="9">
        <f>IF(AND(NEGOCIAÇÕES!B1421&lt;&gt;"",NEGOCIAÇÕES!O1421=""),NEGOCIAÇÕES!N1421,"")</f>
        <v>46036</v>
      </c>
    </row>
    <row r="1422" spans="2:5" ht="31.95" hidden="1" customHeight="1" x14ac:dyDescent="0.3">
      <c r="B1422" s="6" t="str">
        <f ca="1">IF(AND(NEGOCIAÇÕES!O1422="",NEGOCIAÇÕES!N1422&gt;TODAY()),NEGOCIAÇÕES!C1422,"")</f>
        <v/>
      </c>
      <c r="C1422" s="6" t="str">
        <f ca="1">IF(AND(NEGOCIAÇÕES!O1422="",NEGOCIAÇÕES!N1422&gt;TODAY()),NEGOCIAÇÕES!E1422,"")</f>
        <v/>
      </c>
      <c r="D1422" s="6" t="str">
        <f ca="1">IF(AND(NEGOCIAÇÕES!O1422="",NEGOCIAÇÕES!N1422&gt;TODAY()),NEGOCIAÇÕES!D1422,"")</f>
        <v/>
      </c>
      <c r="E1422" s="9">
        <f>IF(AND(NEGOCIAÇÕES!B1422&lt;&gt;"",NEGOCIAÇÕES!O1422=""),NEGOCIAÇÕES!N1422,"")</f>
        <v>46036</v>
      </c>
    </row>
    <row r="1423" spans="2:5" ht="31.95" hidden="1" customHeight="1" x14ac:dyDescent="0.3">
      <c r="B1423" s="6" t="str">
        <f ca="1">IF(AND(NEGOCIAÇÕES!O1423="",NEGOCIAÇÕES!N1423&gt;TODAY()),NEGOCIAÇÕES!C1423,"")</f>
        <v/>
      </c>
      <c r="C1423" s="6" t="str">
        <f ca="1">IF(AND(NEGOCIAÇÕES!O1423="",NEGOCIAÇÕES!N1423&gt;TODAY()),NEGOCIAÇÕES!E1423,"")</f>
        <v/>
      </c>
      <c r="D1423" s="6" t="str">
        <f ca="1">IF(AND(NEGOCIAÇÕES!O1423="",NEGOCIAÇÕES!N1423&gt;TODAY()),NEGOCIAÇÕES!D1423,"")</f>
        <v/>
      </c>
      <c r="E1423" s="9" t="str">
        <f>IF(AND(NEGOCIAÇÕES!B1423&lt;&gt;"",NEGOCIAÇÕES!O1423=""),NEGOCIAÇÕES!N1423,"")</f>
        <v/>
      </c>
    </row>
    <row r="1424" spans="2:5" ht="31.95" hidden="1" customHeight="1" x14ac:dyDescent="0.3">
      <c r="B1424" s="6" t="str">
        <f ca="1">IF(AND(NEGOCIAÇÕES!O1424="",NEGOCIAÇÕES!N1424&gt;TODAY()),NEGOCIAÇÕES!C1424,"")</f>
        <v/>
      </c>
      <c r="C1424" s="6" t="str">
        <f ca="1">IF(AND(NEGOCIAÇÕES!O1424="",NEGOCIAÇÕES!N1424&gt;TODAY()),NEGOCIAÇÕES!E1424,"")</f>
        <v/>
      </c>
      <c r="D1424" s="6" t="str">
        <f ca="1">IF(AND(NEGOCIAÇÕES!O1424="",NEGOCIAÇÕES!N1424&gt;TODAY()),NEGOCIAÇÕES!D1424,"")</f>
        <v/>
      </c>
      <c r="E1424" s="9">
        <f>IF(AND(NEGOCIAÇÕES!B1424&lt;&gt;"",NEGOCIAÇÕES!O1424=""),NEGOCIAÇÕES!N1424,"")</f>
        <v>46038</v>
      </c>
    </row>
    <row r="1425" spans="2:5" ht="31.95" hidden="1" customHeight="1" x14ac:dyDescent="0.3">
      <c r="B1425" s="6" t="str">
        <f ca="1">IF(AND(NEGOCIAÇÕES!O1425="",NEGOCIAÇÕES!N1425&gt;TODAY()),NEGOCIAÇÕES!C1425,"")</f>
        <v/>
      </c>
      <c r="C1425" s="6" t="str">
        <f ca="1">IF(AND(NEGOCIAÇÕES!O1425="",NEGOCIAÇÕES!N1425&gt;TODAY()),NEGOCIAÇÕES!E1425,"")</f>
        <v/>
      </c>
      <c r="D1425" s="6" t="str">
        <f ca="1">IF(AND(NEGOCIAÇÕES!O1425="",NEGOCIAÇÕES!N1425&gt;TODAY()),NEGOCIAÇÕES!D1425,"")</f>
        <v/>
      </c>
      <c r="E1425" s="9">
        <f>IF(AND(NEGOCIAÇÕES!B1425&lt;&gt;"",NEGOCIAÇÕES!O1425=""),NEGOCIAÇÕES!N1425,"")</f>
        <v>46041</v>
      </c>
    </row>
    <row r="1426" spans="2:5" ht="31.95" hidden="1" customHeight="1" x14ac:dyDescent="0.3">
      <c r="B1426" s="6" t="str">
        <f ca="1">IF(AND(NEGOCIAÇÕES!O1426="",NEGOCIAÇÕES!N1426&gt;TODAY()),NEGOCIAÇÕES!C1426,"")</f>
        <v/>
      </c>
      <c r="C1426" s="6" t="str">
        <f ca="1">IF(AND(NEGOCIAÇÕES!O1426="",NEGOCIAÇÕES!N1426&gt;TODAY()),NEGOCIAÇÕES!E1426,"")</f>
        <v/>
      </c>
      <c r="D1426" s="6" t="str">
        <f ca="1">IF(AND(NEGOCIAÇÕES!O1426="",NEGOCIAÇÕES!N1426&gt;TODAY()),NEGOCIAÇÕES!D1426,"")</f>
        <v/>
      </c>
      <c r="E1426" s="9">
        <f>IF(AND(NEGOCIAÇÕES!B1426&lt;&gt;"",NEGOCIAÇÕES!O1426=""),NEGOCIAÇÕES!N1426,"")</f>
        <v>46035</v>
      </c>
    </row>
    <row r="1427" spans="2:5" ht="31.95" hidden="1" customHeight="1" x14ac:dyDescent="0.3">
      <c r="B1427" s="6" t="str">
        <f ca="1">IF(AND(NEGOCIAÇÕES!O1427="",NEGOCIAÇÕES!N1427&gt;TODAY()),NEGOCIAÇÕES!C1427,"")</f>
        <v/>
      </c>
      <c r="C1427" s="6" t="str">
        <f ca="1">IF(AND(NEGOCIAÇÕES!O1427="",NEGOCIAÇÕES!N1427&gt;TODAY()),NEGOCIAÇÕES!E1427,"")</f>
        <v/>
      </c>
      <c r="D1427" s="6" t="str">
        <f ca="1">IF(AND(NEGOCIAÇÕES!O1427="",NEGOCIAÇÕES!N1427&gt;TODAY()),NEGOCIAÇÕES!D1427,"")</f>
        <v/>
      </c>
      <c r="E1427" s="9" t="str">
        <f>IF(AND(NEGOCIAÇÕES!B1427&lt;&gt;"",NEGOCIAÇÕES!O1427=""),NEGOCIAÇÕES!N1427,"")</f>
        <v/>
      </c>
    </row>
    <row r="1428" spans="2:5" ht="31.95" hidden="1" customHeight="1" x14ac:dyDescent="0.3">
      <c r="B1428" s="6" t="str">
        <f ca="1">IF(AND(NEGOCIAÇÕES!O1428="",NEGOCIAÇÕES!N1428&gt;TODAY()),NEGOCIAÇÕES!C1428,"")</f>
        <v/>
      </c>
      <c r="C1428" s="6" t="str">
        <f ca="1">IF(AND(NEGOCIAÇÕES!O1428="",NEGOCIAÇÕES!N1428&gt;TODAY()),NEGOCIAÇÕES!E1428,"")</f>
        <v/>
      </c>
      <c r="D1428" s="6" t="str">
        <f ca="1">IF(AND(NEGOCIAÇÕES!O1428="",NEGOCIAÇÕES!N1428&gt;TODAY()),NEGOCIAÇÕES!D1428,"")</f>
        <v/>
      </c>
      <c r="E1428" s="9">
        <f>IF(AND(NEGOCIAÇÕES!B1428&lt;&gt;"",NEGOCIAÇÕES!O1428=""),NEGOCIAÇÕES!N1428,"")</f>
        <v>46037</v>
      </c>
    </row>
    <row r="1429" spans="2:5" ht="31.95" hidden="1" customHeight="1" x14ac:dyDescent="0.3">
      <c r="B1429" s="6" t="str">
        <f ca="1">IF(AND(NEGOCIAÇÕES!O1429="",NEGOCIAÇÕES!N1429&gt;TODAY()),NEGOCIAÇÕES!C1429,"")</f>
        <v/>
      </c>
      <c r="C1429" s="6" t="str">
        <f ca="1">IF(AND(NEGOCIAÇÕES!O1429="",NEGOCIAÇÕES!N1429&gt;TODAY()),NEGOCIAÇÕES!E1429,"")</f>
        <v/>
      </c>
      <c r="D1429" s="6" t="str">
        <f ca="1">IF(AND(NEGOCIAÇÕES!O1429="",NEGOCIAÇÕES!N1429&gt;TODAY()),NEGOCIAÇÕES!D1429,"")</f>
        <v/>
      </c>
      <c r="E1429" s="9">
        <f>IF(AND(NEGOCIAÇÕES!B1429&lt;&gt;"",NEGOCIAÇÕES!O1429=""),NEGOCIAÇÕES!N1429,"")</f>
        <v>46044</v>
      </c>
    </row>
    <row r="1430" spans="2:5" ht="31.95" hidden="1" customHeight="1" x14ac:dyDescent="0.3">
      <c r="B1430" s="6" t="str">
        <f ca="1">IF(AND(NEGOCIAÇÕES!O1430="",NEGOCIAÇÕES!N1430&gt;TODAY()),NEGOCIAÇÕES!C1430,"")</f>
        <v/>
      </c>
      <c r="C1430" s="6" t="str">
        <f ca="1">IF(AND(NEGOCIAÇÕES!O1430="",NEGOCIAÇÕES!N1430&gt;TODAY()),NEGOCIAÇÕES!E1430,"")</f>
        <v/>
      </c>
      <c r="D1430" s="6" t="str">
        <f ca="1">IF(AND(NEGOCIAÇÕES!O1430="",NEGOCIAÇÕES!N1430&gt;TODAY()),NEGOCIAÇÕES!D1430,"")</f>
        <v/>
      </c>
      <c r="E1430" s="9">
        <f>IF(AND(NEGOCIAÇÕES!B1430&lt;&gt;"",NEGOCIAÇÕES!O1430=""),NEGOCIAÇÕES!N1430,"")</f>
        <v>46041</v>
      </c>
    </row>
    <row r="1431" spans="2:5" ht="31.95" hidden="1" customHeight="1" x14ac:dyDescent="0.3">
      <c r="B1431" s="6" t="str">
        <f ca="1">IF(AND(NEGOCIAÇÕES!O1431="",NEGOCIAÇÕES!N1431&gt;TODAY()),NEGOCIAÇÕES!C1431,"")</f>
        <v/>
      </c>
      <c r="C1431" s="6" t="str">
        <f ca="1">IF(AND(NEGOCIAÇÕES!O1431="",NEGOCIAÇÕES!N1431&gt;TODAY()),NEGOCIAÇÕES!E1431,"")</f>
        <v/>
      </c>
      <c r="D1431" s="6" t="str">
        <f ca="1">IF(AND(NEGOCIAÇÕES!O1431="",NEGOCIAÇÕES!N1431&gt;TODAY()),NEGOCIAÇÕES!D1431,"")</f>
        <v/>
      </c>
      <c r="E1431" s="9">
        <f>IF(AND(NEGOCIAÇÕES!B1431&lt;&gt;"",NEGOCIAÇÕES!O1431=""),NEGOCIAÇÕES!N1431,"")</f>
        <v>46041</v>
      </c>
    </row>
    <row r="1432" spans="2:5" ht="31.95" hidden="1" customHeight="1" x14ac:dyDescent="0.3">
      <c r="B1432" s="6" t="str">
        <f ca="1">IF(AND(NEGOCIAÇÕES!O1432="",NEGOCIAÇÕES!N1432&gt;TODAY()),NEGOCIAÇÕES!C1432,"")</f>
        <v/>
      </c>
      <c r="C1432" s="6" t="str">
        <f ca="1">IF(AND(NEGOCIAÇÕES!O1432="",NEGOCIAÇÕES!N1432&gt;TODAY()),NEGOCIAÇÕES!E1432,"")</f>
        <v/>
      </c>
      <c r="D1432" s="6" t="str">
        <f ca="1">IF(AND(NEGOCIAÇÕES!O1432="",NEGOCIAÇÕES!N1432&gt;TODAY()),NEGOCIAÇÕES!D1432,"")</f>
        <v/>
      </c>
      <c r="E1432" s="9">
        <f>IF(AND(NEGOCIAÇÕES!B1432&lt;&gt;"",NEGOCIAÇÕES!O1432=""),NEGOCIAÇÕES!N1432,"")</f>
        <v>46041</v>
      </c>
    </row>
    <row r="1433" spans="2:5" ht="31.95" hidden="1" customHeight="1" x14ac:dyDescent="0.3">
      <c r="B1433" s="6" t="str">
        <f ca="1">IF(AND(NEGOCIAÇÕES!O1433="",NEGOCIAÇÕES!N1433&gt;TODAY()),NEGOCIAÇÕES!C1433,"")</f>
        <v/>
      </c>
      <c r="C1433" s="6" t="str">
        <f ca="1">IF(AND(NEGOCIAÇÕES!O1433="",NEGOCIAÇÕES!N1433&gt;TODAY()),NEGOCIAÇÕES!E1433,"")</f>
        <v/>
      </c>
      <c r="D1433" s="6" t="str">
        <f ca="1">IF(AND(NEGOCIAÇÕES!O1433="",NEGOCIAÇÕES!N1433&gt;TODAY()),NEGOCIAÇÕES!D1433,"")</f>
        <v/>
      </c>
      <c r="E1433" s="9">
        <f>IF(AND(NEGOCIAÇÕES!B1433&lt;&gt;"",NEGOCIAÇÕES!O1433=""),NEGOCIAÇÕES!N1433,"")</f>
        <v>46041</v>
      </c>
    </row>
    <row r="1434" spans="2:5" ht="31.95" hidden="1" customHeight="1" x14ac:dyDescent="0.3">
      <c r="B1434" s="6" t="str">
        <f ca="1">IF(AND(NEGOCIAÇÕES!O1434="",NEGOCIAÇÕES!N1434&gt;TODAY()),NEGOCIAÇÕES!C1434,"")</f>
        <v/>
      </c>
      <c r="C1434" s="6" t="str">
        <f ca="1">IF(AND(NEGOCIAÇÕES!O1434="",NEGOCIAÇÕES!N1434&gt;TODAY()),NEGOCIAÇÕES!E1434,"")</f>
        <v/>
      </c>
      <c r="D1434" s="6" t="str">
        <f ca="1">IF(AND(NEGOCIAÇÕES!O1434="",NEGOCIAÇÕES!N1434&gt;TODAY()),NEGOCIAÇÕES!D1434,"")</f>
        <v/>
      </c>
      <c r="E1434" s="9">
        <f>IF(AND(NEGOCIAÇÕES!B1434&lt;&gt;"",NEGOCIAÇÕES!O1434=""),NEGOCIAÇÕES!N1434,"")</f>
        <v>46041</v>
      </c>
    </row>
    <row r="1435" spans="2:5" ht="31.95" hidden="1" customHeight="1" x14ac:dyDescent="0.3">
      <c r="B1435" s="6" t="str">
        <f ca="1">IF(AND(NEGOCIAÇÕES!O1435="",NEGOCIAÇÕES!N1435&gt;TODAY()),NEGOCIAÇÕES!C1435,"")</f>
        <v/>
      </c>
      <c r="C1435" s="6" t="str">
        <f ca="1">IF(AND(NEGOCIAÇÕES!O1435="",NEGOCIAÇÕES!N1435&gt;TODAY()),NEGOCIAÇÕES!E1435,"")</f>
        <v/>
      </c>
      <c r="D1435" s="6" t="str">
        <f ca="1">IF(AND(NEGOCIAÇÕES!O1435="",NEGOCIAÇÕES!N1435&gt;TODAY()),NEGOCIAÇÕES!D1435,"")</f>
        <v/>
      </c>
      <c r="E1435" s="9">
        <f>IF(AND(NEGOCIAÇÕES!B1435&lt;&gt;"",NEGOCIAÇÕES!O1435=""),NEGOCIAÇÕES!N1435,"")</f>
        <v>46041</v>
      </c>
    </row>
    <row r="1436" spans="2:5" ht="31.95" hidden="1" customHeight="1" x14ac:dyDescent="0.3">
      <c r="B1436" s="6" t="str">
        <f ca="1">IF(AND(NEGOCIAÇÕES!O1436="",NEGOCIAÇÕES!N1436&gt;TODAY()),NEGOCIAÇÕES!C1436,"")</f>
        <v/>
      </c>
      <c r="C1436" s="6" t="str">
        <f ca="1">IF(AND(NEGOCIAÇÕES!O1436="",NEGOCIAÇÕES!N1436&gt;TODAY()),NEGOCIAÇÕES!E1436,"")</f>
        <v/>
      </c>
      <c r="D1436" s="6" t="str">
        <f ca="1">IF(AND(NEGOCIAÇÕES!O1436="",NEGOCIAÇÕES!N1436&gt;TODAY()),NEGOCIAÇÕES!D1436,"")</f>
        <v/>
      </c>
      <c r="E1436" s="9">
        <f>IF(AND(NEGOCIAÇÕES!B1436&lt;&gt;"",NEGOCIAÇÕES!O1436=""),NEGOCIAÇÕES!N1436,"")</f>
        <v>46045</v>
      </c>
    </row>
    <row r="1437" spans="2:5" ht="31.95" hidden="1" customHeight="1" x14ac:dyDescent="0.3">
      <c r="B1437" s="6" t="str">
        <f ca="1">IF(AND(NEGOCIAÇÕES!O1437="",NEGOCIAÇÕES!N1437&gt;TODAY()),NEGOCIAÇÕES!C1437,"")</f>
        <v/>
      </c>
      <c r="C1437" s="6" t="str">
        <f ca="1">IF(AND(NEGOCIAÇÕES!O1437="",NEGOCIAÇÕES!N1437&gt;TODAY()),NEGOCIAÇÕES!E1437,"")</f>
        <v/>
      </c>
      <c r="D1437" s="6" t="str">
        <f ca="1">IF(AND(NEGOCIAÇÕES!O1437="",NEGOCIAÇÕES!N1437&gt;TODAY()),NEGOCIAÇÕES!D1437,"")</f>
        <v/>
      </c>
      <c r="E1437" s="9">
        <f>IF(AND(NEGOCIAÇÕES!B1437&lt;&gt;"",NEGOCIAÇÕES!O1437=""),NEGOCIAÇÕES!N1437,"")</f>
        <v>46045</v>
      </c>
    </row>
    <row r="1438" spans="2:5" ht="31.95" hidden="1" customHeight="1" x14ac:dyDescent="0.3">
      <c r="B1438" s="6" t="str">
        <f ca="1">IF(AND(NEGOCIAÇÕES!O1438="",NEGOCIAÇÕES!N1438&gt;TODAY()),NEGOCIAÇÕES!C1438,"")</f>
        <v/>
      </c>
      <c r="C1438" s="6" t="str">
        <f ca="1">IF(AND(NEGOCIAÇÕES!O1438="",NEGOCIAÇÕES!N1438&gt;TODAY()),NEGOCIAÇÕES!E1438,"")</f>
        <v/>
      </c>
      <c r="D1438" s="6" t="str">
        <f ca="1">IF(AND(NEGOCIAÇÕES!O1438="",NEGOCIAÇÕES!N1438&gt;TODAY()),NEGOCIAÇÕES!D1438,"")</f>
        <v/>
      </c>
      <c r="E1438" s="9">
        <f>IF(AND(NEGOCIAÇÕES!B1438&lt;&gt;"",NEGOCIAÇÕES!O1438=""),NEGOCIAÇÕES!N1438,"")</f>
        <v>46048</v>
      </c>
    </row>
    <row r="1439" spans="2:5" ht="31.95" hidden="1" customHeight="1" x14ac:dyDescent="0.3">
      <c r="B1439" s="6" t="str">
        <f ca="1">IF(AND(NEGOCIAÇÕES!O1439="",NEGOCIAÇÕES!N1439&gt;TODAY()),NEGOCIAÇÕES!C1439,"")</f>
        <v/>
      </c>
      <c r="C1439" s="6" t="str">
        <f ca="1">IF(AND(NEGOCIAÇÕES!O1439="",NEGOCIAÇÕES!N1439&gt;TODAY()),NEGOCIAÇÕES!E1439,"")</f>
        <v/>
      </c>
      <c r="D1439" s="6" t="str">
        <f ca="1">IF(AND(NEGOCIAÇÕES!O1439="",NEGOCIAÇÕES!N1439&gt;TODAY()),NEGOCIAÇÕES!D1439,"")</f>
        <v/>
      </c>
      <c r="E1439" s="9" t="str">
        <f>IF(AND(NEGOCIAÇÕES!B1439&lt;&gt;"",NEGOCIAÇÕES!O1439=""),NEGOCIAÇÕES!N1439,"")</f>
        <v/>
      </c>
    </row>
    <row r="1440" spans="2:5" ht="31.95" hidden="1" customHeight="1" x14ac:dyDescent="0.3">
      <c r="B1440" s="6" t="str">
        <f ca="1">IF(AND(NEGOCIAÇÕES!O1440="",NEGOCIAÇÕES!N1440&gt;TODAY()),NEGOCIAÇÕES!C1440,"")</f>
        <v/>
      </c>
      <c r="C1440" s="6" t="str">
        <f ca="1">IF(AND(NEGOCIAÇÕES!O1440="",NEGOCIAÇÕES!N1440&gt;TODAY()),NEGOCIAÇÕES!E1440,"")</f>
        <v/>
      </c>
      <c r="D1440" s="6" t="str">
        <f ca="1">IF(AND(NEGOCIAÇÕES!O1440="",NEGOCIAÇÕES!N1440&gt;TODAY()),NEGOCIAÇÕES!D1440,"")</f>
        <v/>
      </c>
      <c r="E1440" s="9" t="str">
        <f>IF(AND(NEGOCIAÇÕES!B1440&lt;&gt;"",NEGOCIAÇÕES!O1440=""),NEGOCIAÇÕES!N1440,"")</f>
        <v/>
      </c>
    </row>
    <row r="1441" spans="2:5" ht="31.95" hidden="1" customHeight="1" x14ac:dyDescent="0.3">
      <c r="B1441" s="6" t="str">
        <f ca="1">IF(AND(NEGOCIAÇÕES!O1441="",NEGOCIAÇÕES!N1441&gt;TODAY()),NEGOCIAÇÕES!C1441,"")</f>
        <v/>
      </c>
      <c r="C1441" s="6" t="str">
        <f ca="1">IF(AND(NEGOCIAÇÕES!O1441="",NEGOCIAÇÕES!N1441&gt;TODAY()),NEGOCIAÇÕES!E1441,"")</f>
        <v/>
      </c>
      <c r="D1441" s="6" t="str">
        <f ca="1">IF(AND(NEGOCIAÇÕES!O1441="",NEGOCIAÇÕES!N1441&gt;TODAY()),NEGOCIAÇÕES!D1441,"")</f>
        <v/>
      </c>
      <c r="E1441" s="9" t="str">
        <f>IF(AND(NEGOCIAÇÕES!B1441&lt;&gt;"",NEGOCIAÇÕES!O1441=""),NEGOCIAÇÕES!N1441,"")</f>
        <v/>
      </c>
    </row>
    <row r="1442" spans="2:5" ht="31.95" hidden="1" customHeight="1" x14ac:dyDescent="0.3">
      <c r="B1442" s="6" t="str">
        <f ca="1">IF(AND(NEGOCIAÇÕES!O1442="",NEGOCIAÇÕES!N1442&gt;TODAY()),NEGOCIAÇÕES!C1442,"")</f>
        <v/>
      </c>
      <c r="C1442" s="6" t="str">
        <f ca="1">IF(AND(NEGOCIAÇÕES!O1442="",NEGOCIAÇÕES!N1442&gt;TODAY()),NEGOCIAÇÕES!E1442,"")</f>
        <v/>
      </c>
      <c r="D1442" s="6" t="str">
        <f ca="1">IF(AND(NEGOCIAÇÕES!O1442="",NEGOCIAÇÕES!N1442&gt;TODAY()),NEGOCIAÇÕES!D1442,"")</f>
        <v/>
      </c>
      <c r="E1442" s="9">
        <f>IF(AND(NEGOCIAÇÕES!B1442&lt;&gt;"",NEGOCIAÇÕES!O1442=""),NEGOCIAÇÕES!N1442,"")</f>
        <v>46045</v>
      </c>
    </row>
    <row r="1443" spans="2:5" ht="31.95" hidden="1" customHeight="1" x14ac:dyDescent="0.3">
      <c r="B1443" s="6" t="str">
        <f ca="1">IF(AND(NEGOCIAÇÕES!O1443="",NEGOCIAÇÕES!N1443&gt;TODAY()),NEGOCIAÇÕES!C1443,"")</f>
        <v/>
      </c>
      <c r="C1443" s="6" t="str">
        <f ca="1">IF(AND(NEGOCIAÇÕES!O1443="",NEGOCIAÇÕES!N1443&gt;TODAY()),NEGOCIAÇÕES!E1443,"")</f>
        <v/>
      </c>
      <c r="D1443" s="6" t="str">
        <f ca="1">IF(AND(NEGOCIAÇÕES!O1443="",NEGOCIAÇÕES!N1443&gt;TODAY()),NEGOCIAÇÕES!D1443,"")</f>
        <v/>
      </c>
      <c r="E1443" s="9">
        <f>IF(AND(NEGOCIAÇÕES!B1443&lt;&gt;"",NEGOCIAÇÕES!O1443=""),NEGOCIAÇÕES!N1443,"")</f>
        <v>46045</v>
      </c>
    </row>
    <row r="1444" spans="2:5" ht="31.95" customHeight="1" x14ac:dyDescent="0.3">
      <c r="B1444" s="6">
        <f ca="1">IF(AND(NEGOCIAÇÕES!O1444="",NEGOCIAÇÕES!N1444&gt;TODAY()),NEGOCIAÇÕES!C1444,"")</f>
        <v>1441</v>
      </c>
      <c r="C1444" s="6" t="str">
        <f ca="1">IF(AND(NEGOCIAÇÕES!O1444="",NEGOCIAÇÕES!N1444&gt;TODAY()),NEGOCIAÇÕES!E1444,"")</f>
        <v>-</v>
      </c>
      <c r="D1444" s="6" t="str">
        <f ca="1">IF(AND(NEGOCIAÇÕES!O1444="",NEGOCIAÇÕES!N1444&gt;TODAY()),NEGOCIAÇÕES!D1444,"")</f>
        <v>GRADISA SOLUÇÕES EM FERRO LTDA</v>
      </c>
      <c r="E1444" s="9">
        <f>IF(AND(NEGOCIAÇÕES!B1444&lt;&gt;"",NEGOCIAÇÕES!O1444=""),NEGOCIAÇÕES!N1444,"")</f>
        <v>46087</v>
      </c>
    </row>
    <row r="1445" spans="2:5" ht="31.95" hidden="1" customHeight="1" x14ac:dyDescent="0.3">
      <c r="B1445" s="6" t="str">
        <f ca="1">IF(AND(NEGOCIAÇÕES!O1445="",NEGOCIAÇÕES!N1445&gt;TODAY()),NEGOCIAÇÕES!C1445,"")</f>
        <v/>
      </c>
      <c r="C1445" s="6" t="str">
        <f ca="1">IF(AND(NEGOCIAÇÕES!O1445="",NEGOCIAÇÕES!N1445&gt;TODAY()),NEGOCIAÇÕES!E1445,"")</f>
        <v/>
      </c>
      <c r="D1445" s="6" t="str">
        <f ca="1">IF(AND(NEGOCIAÇÕES!O1445="",NEGOCIAÇÕES!N1445&gt;TODAY()),NEGOCIAÇÕES!D1445,"")</f>
        <v/>
      </c>
      <c r="E1445" s="9">
        <f>IF(AND(NEGOCIAÇÕES!B1445&lt;&gt;"",NEGOCIAÇÕES!O1445=""),NEGOCIAÇÕES!N1445,"")</f>
        <v>46049</v>
      </c>
    </row>
    <row r="1446" spans="2:5" ht="31.95" hidden="1" customHeight="1" x14ac:dyDescent="0.3">
      <c r="B1446" s="6" t="str">
        <f ca="1">IF(AND(NEGOCIAÇÕES!O1446="",NEGOCIAÇÕES!N1446&gt;TODAY()),NEGOCIAÇÕES!C1446,"")</f>
        <v/>
      </c>
      <c r="C1446" s="6" t="str">
        <f ca="1">IF(AND(NEGOCIAÇÕES!O1446="",NEGOCIAÇÕES!N1446&gt;TODAY()),NEGOCIAÇÕES!E1446,"")</f>
        <v/>
      </c>
      <c r="D1446" s="6" t="str">
        <f ca="1">IF(AND(NEGOCIAÇÕES!O1446="",NEGOCIAÇÕES!N1446&gt;TODAY()),NEGOCIAÇÕES!D1446,"")</f>
        <v/>
      </c>
      <c r="E1446" s="9">
        <f>IF(AND(NEGOCIAÇÕES!B1446&lt;&gt;"",NEGOCIAÇÕES!O1446=""),NEGOCIAÇÕES!N1446,"")</f>
        <v>46049</v>
      </c>
    </row>
    <row r="1447" spans="2:5" ht="31.95" hidden="1" customHeight="1" x14ac:dyDescent="0.3">
      <c r="B1447" s="6" t="str">
        <f ca="1">IF(AND(NEGOCIAÇÕES!O1447="",NEGOCIAÇÕES!N1447&gt;TODAY()),NEGOCIAÇÕES!C1447,"")</f>
        <v/>
      </c>
      <c r="C1447" s="6" t="str">
        <f ca="1">IF(AND(NEGOCIAÇÕES!O1447="",NEGOCIAÇÕES!N1447&gt;TODAY()),NEGOCIAÇÕES!E1447,"")</f>
        <v/>
      </c>
      <c r="D1447" s="6" t="str">
        <f ca="1">IF(AND(NEGOCIAÇÕES!O1447="",NEGOCIAÇÕES!N1447&gt;TODAY()),NEGOCIAÇÕES!D1447,"")</f>
        <v/>
      </c>
      <c r="E1447" s="9">
        <f>IF(AND(NEGOCIAÇÕES!B1447&lt;&gt;"",NEGOCIAÇÕES!O1447=""),NEGOCIAÇÕES!N1447,"")</f>
        <v>46049</v>
      </c>
    </row>
    <row r="1448" spans="2:5" ht="31.95" hidden="1" customHeight="1" x14ac:dyDescent="0.3">
      <c r="B1448" s="6" t="str">
        <f ca="1">IF(AND(NEGOCIAÇÕES!O1448="",NEGOCIAÇÕES!N1448&gt;TODAY()),NEGOCIAÇÕES!C1448,"")</f>
        <v/>
      </c>
      <c r="C1448" s="6" t="str">
        <f ca="1">IF(AND(NEGOCIAÇÕES!O1448="",NEGOCIAÇÕES!N1448&gt;TODAY()),NEGOCIAÇÕES!E1448,"")</f>
        <v/>
      </c>
      <c r="D1448" s="6" t="str">
        <f ca="1">IF(AND(NEGOCIAÇÕES!O1448="",NEGOCIAÇÕES!N1448&gt;TODAY()),NEGOCIAÇÕES!D1448,"")</f>
        <v/>
      </c>
      <c r="E1448" s="9" t="str">
        <f>IF(AND(NEGOCIAÇÕES!B1448&lt;&gt;"",NEGOCIAÇÕES!O1448=""),NEGOCIAÇÕES!N1448,"")</f>
        <v/>
      </c>
    </row>
    <row r="1449" spans="2:5" ht="31.95" hidden="1" customHeight="1" x14ac:dyDescent="0.3">
      <c r="B1449" s="6" t="str">
        <f ca="1">IF(AND(NEGOCIAÇÕES!O1449="",NEGOCIAÇÕES!N1449&gt;TODAY()),NEGOCIAÇÕES!C1449,"")</f>
        <v/>
      </c>
      <c r="C1449" s="6" t="str">
        <f ca="1">IF(AND(NEGOCIAÇÕES!O1449="",NEGOCIAÇÕES!N1449&gt;TODAY()),NEGOCIAÇÕES!E1449,"")</f>
        <v/>
      </c>
      <c r="D1449" s="6" t="str">
        <f ca="1">IF(AND(NEGOCIAÇÕES!O1449="",NEGOCIAÇÕES!N1449&gt;TODAY()),NEGOCIAÇÕES!D1449,"")</f>
        <v/>
      </c>
      <c r="E1449" s="9">
        <f>IF(AND(NEGOCIAÇÕES!B1449&lt;&gt;"",NEGOCIAÇÕES!O1449=""),NEGOCIAÇÕES!N1449,"")</f>
        <v>46050</v>
      </c>
    </row>
    <row r="1450" spans="2:5" ht="31.95" customHeight="1" x14ac:dyDescent="0.3">
      <c r="B1450" s="6">
        <f ca="1">IF(AND(NEGOCIAÇÕES!O1450="",NEGOCIAÇÕES!N1450&gt;TODAY()),NEGOCIAÇÕES!C1450,"")</f>
        <v>1447</v>
      </c>
      <c r="C1450" s="6" t="str">
        <f ca="1">IF(AND(NEGOCIAÇÕES!O1450="",NEGOCIAÇÕES!N1450&gt;TODAY()),NEGOCIAÇÕES!E1450,"")</f>
        <v>OS 415.26</v>
      </c>
      <c r="D1450" s="6" t="str">
        <f ca="1">IF(AND(NEGOCIAÇÕES!O1450="",NEGOCIAÇÕES!N1450&gt;TODAY()),NEGOCIAÇÕES!D1450,"")</f>
        <v>PAFER COMÉRCIO E REPRESENTAÇÕES LTDA</v>
      </c>
      <c r="E1450" s="9">
        <f>IF(AND(NEGOCIAÇÕES!B1450&lt;&gt;"",NEGOCIAÇÕES!O1450=""),NEGOCIAÇÕES!N1450,"")</f>
        <v>46069</v>
      </c>
    </row>
    <row r="1451" spans="2:5" ht="31.95" customHeight="1" x14ac:dyDescent="0.3">
      <c r="B1451" s="6">
        <f ca="1">IF(AND(NEGOCIAÇÕES!O1451="",NEGOCIAÇÕES!N1451&gt;TODAY()),NEGOCIAÇÕES!C1451,"")</f>
        <v>1448</v>
      </c>
      <c r="C1451" s="6" t="str">
        <f ca="1">IF(AND(NEGOCIAÇÕES!O1451="",NEGOCIAÇÕES!N1451&gt;TODAY()),NEGOCIAÇÕES!E1451,"")</f>
        <v>OS 416.26</v>
      </c>
      <c r="D1451" s="6" t="str">
        <f ca="1">IF(AND(NEGOCIAÇÕES!O1451="",NEGOCIAÇÕES!N1451&gt;TODAY()),NEGOCIAÇÕES!D1451,"")</f>
        <v>PAFER COMÉRCIO E REPRESENTAÇÕES LTDA</v>
      </c>
      <c r="E1451" s="9">
        <f>IF(AND(NEGOCIAÇÕES!B1451&lt;&gt;"",NEGOCIAÇÕES!O1451=""),NEGOCIAÇÕES!N1451,"")</f>
        <v>46069</v>
      </c>
    </row>
    <row r="1452" spans="2:5" ht="31.95" customHeight="1" x14ac:dyDescent="0.3">
      <c r="B1452" s="6">
        <f ca="1">IF(AND(NEGOCIAÇÕES!O1452="",NEGOCIAÇÕES!N1452&gt;TODAY()),NEGOCIAÇÕES!C1452,"")</f>
        <v>1449</v>
      </c>
      <c r="C1452" s="6" t="str">
        <f ca="1">IF(AND(NEGOCIAÇÕES!O1452="",NEGOCIAÇÕES!N1452&gt;TODAY()),NEGOCIAÇÕES!E1452,"")</f>
        <v>OS 417.26</v>
      </c>
      <c r="D1452" s="6" t="str">
        <f ca="1">IF(AND(NEGOCIAÇÕES!O1452="",NEGOCIAÇÕES!N1452&gt;TODAY()),NEGOCIAÇÕES!D1452,"")</f>
        <v>PAFER COMÉRCIO E REPRESENTAÇÕES LTDA</v>
      </c>
      <c r="E1452" s="9">
        <f>IF(AND(NEGOCIAÇÕES!B1452&lt;&gt;"",NEGOCIAÇÕES!O1452=""),NEGOCIAÇÕES!N1452,"")</f>
        <v>46069</v>
      </c>
    </row>
    <row r="1453" spans="2:5" ht="31.95" hidden="1" customHeight="1" x14ac:dyDescent="0.3">
      <c r="B1453" s="6" t="str">
        <f ca="1">IF(AND(NEGOCIAÇÕES!O1453="",NEGOCIAÇÕES!N1453&gt;TODAY()),NEGOCIAÇÕES!C1453,"")</f>
        <v/>
      </c>
      <c r="C1453" s="6" t="str">
        <f ca="1">IF(AND(NEGOCIAÇÕES!O1453="",NEGOCIAÇÕES!N1453&gt;TODAY()),NEGOCIAÇÕES!E1453,"")</f>
        <v/>
      </c>
      <c r="D1453" s="6" t="str">
        <f ca="1">IF(AND(NEGOCIAÇÕES!O1453="",NEGOCIAÇÕES!N1453&gt;TODAY()),NEGOCIAÇÕES!D1453,"")</f>
        <v/>
      </c>
      <c r="E1453" s="9">
        <f>IF(AND(NEGOCIAÇÕES!B1453&lt;&gt;"",NEGOCIAÇÕES!O1453=""),NEGOCIAÇÕES!N1453,"")</f>
        <v>46049</v>
      </c>
    </row>
    <row r="1454" spans="2:5" ht="31.95" hidden="1" customHeight="1" x14ac:dyDescent="0.3">
      <c r="B1454" s="6" t="str">
        <f ca="1">IF(AND(NEGOCIAÇÕES!O1454="",NEGOCIAÇÕES!N1454&gt;TODAY()),NEGOCIAÇÕES!C1454,"")</f>
        <v/>
      </c>
      <c r="C1454" s="6" t="str">
        <f ca="1">IF(AND(NEGOCIAÇÕES!O1454="",NEGOCIAÇÕES!N1454&gt;TODAY()),NEGOCIAÇÕES!E1454,"")</f>
        <v/>
      </c>
      <c r="D1454" s="6" t="str">
        <f ca="1">IF(AND(NEGOCIAÇÕES!O1454="",NEGOCIAÇÕES!N1454&gt;TODAY()),NEGOCIAÇÕES!D1454,"")</f>
        <v/>
      </c>
      <c r="E1454" s="9">
        <f>IF(AND(NEGOCIAÇÕES!B1454&lt;&gt;"",NEGOCIAÇÕES!O1454=""),NEGOCIAÇÕES!N1454,"")</f>
        <v>46049</v>
      </c>
    </row>
    <row r="1455" spans="2:5" ht="31.95" hidden="1" customHeight="1" x14ac:dyDescent="0.3">
      <c r="B1455" s="6" t="str">
        <f ca="1">IF(AND(NEGOCIAÇÕES!O1455="",NEGOCIAÇÕES!N1455&gt;TODAY()),NEGOCIAÇÕES!C1455,"")</f>
        <v/>
      </c>
      <c r="C1455" s="6" t="str">
        <f ca="1">IF(AND(NEGOCIAÇÕES!O1455="",NEGOCIAÇÕES!N1455&gt;TODAY()),NEGOCIAÇÕES!E1455,"")</f>
        <v/>
      </c>
      <c r="D1455" s="6" t="str">
        <f ca="1">IF(AND(NEGOCIAÇÕES!O1455="",NEGOCIAÇÕES!N1455&gt;TODAY()),NEGOCIAÇÕES!D1455,"")</f>
        <v/>
      </c>
      <c r="E1455" s="9">
        <f>IF(AND(NEGOCIAÇÕES!B1455&lt;&gt;"",NEGOCIAÇÕES!O1455=""),NEGOCIAÇÕES!N1455,"")</f>
        <v>46049</v>
      </c>
    </row>
    <row r="1456" spans="2:5" ht="31.95" hidden="1" customHeight="1" x14ac:dyDescent="0.3">
      <c r="B1456" s="6" t="str">
        <f ca="1">IF(AND(NEGOCIAÇÕES!O1456="",NEGOCIAÇÕES!N1456&gt;TODAY()),NEGOCIAÇÕES!C1456,"")</f>
        <v/>
      </c>
      <c r="C1456" s="6" t="str">
        <f ca="1">IF(AND(NEGOCIAÇÕES!O1456="",NEGOCIAÇÕES!N1456&gt;TODAY()),NEGOCIAÇÕES!E1456,"")</f>
        <v/>
      </c>
      <c r="D1456" s="6" t="str">
        <f ca="1">IF(AND(NEGOCIAÇÕES!O1456="",NEGOCIAÇÕES!N1456&gt;TODAY()),NEGOCIAÇÕES!D1456,"")</f>
        <v/>
      </c>
      <c r="E1456" s="9">
        <f>IF(AND(NEGOCIAÇÕES!B1456&lt;&gt;"",NEGOCIAÇÕES!O1456=""),NEGOCIAÇÕES!N1456,"")</f>
        <v>46051</v>
      </c>
    </row>
    <row r="1457" spans="2:5" ht="31.95" hidden="1" customHeight="1" x14ac:dyDescent="0.3">
      <c r="B1457" s="6" t="str">
        <f ca="1">IF(AND(NEGOCIAÇÕES!O1457="",NEGOCIAÇÕES!N1457&gt;TODAY()),NEGOCIAÇÕES!C1457,"")</f>
        <v/>
      </c>
      <c r="C1457" s="6" t="str">
        <f ca="1">IF(AND(NEGOCIAÇÕES!O1457="",NEGOCIAÇÕES!N1457&gt;TODAY()),NEGOCIAÇÕES!E1457,"")</f>
        <v/>
      </c>
      <c r="D1457" s="6" t="str">
        <f ca="1">IF(AND(NEGOCIAÇÕES!O1457="",NEGOCIAÇÕES!N1457&gt;TODAY()),NEGOCIAÇÕES!D1457,"")</f>
        <v/>
      </c>
      <c r="E1457" s="9">
        <f>IF(AND(NEGOCIAÇÕES!B1457&lt;&gt;"",NEGOCIAÇÕES!O1457=""),NEGOCIAÇÕES!N1457,"")</f>
        <v>46051</v>
      </c>
    </row>
    <row r="1458" spans="2:5" ht="31.95" hidden="1" customHeight="1" x14ac:dyDescent="0.3">
      <c r="B1458" s="6" t="str">
        <f ca="1">IF(AND(NEGOCIAÇÕES!O1458="",NEGOCIAÇÕES!N1458&gt;TODAY()),NEGOCIAÇÕES!C1458,"")</f>
        <v/>
      </c>
      <c r="C1458" s="6" t="str">
        <f ca="1">IF(AND(NEGOCIAÇÕES!O1458="",NEGOCIAÇÕES!N1458&gt;TODAY()),NEGOCIAÇÕES!E1458,"")</f>
        <v/>
      </c>
      <c r="D1458" s="6" t="str">
        <f ca="1">IF(AND(NEGOCIAÇÕES!O1458="",NEGOCIAÇÕES!N1458&gt;TODAY()),NEGOCIAÇÕES!D1458,"")</f>
        <v/>
      </c>
      <c r="E1458" s="9">
        <f>IF(AND(NEGOCIAÇÕES!B1458&lt;&gt;"",NEGOCIAÇÕES!O1458=""),NEGOCIAÇÕES!N1458,"")</f>
        <v>46049</v>
      </c>
    </row>
    <row r="1459" spans="2:5" ht="31.95" customHeight="1" x14ac:dyDescent="0.3">
      <c r="B1459" s="6" t="str">
        <f ca="1">IF(AND(NEGOCIAÇÕES!O1459="",NEGOCIAÇÕES!N1459&gt;TODAY()),NEGOCIAÇÕES!C1459,"")</f>
        <v/>
      </c>
      <c r="C1459" s="6" t="str">
        <f ca="1">IF(AND(NEGOCIAÇÕES!O1459="",NEGOCIAÇÕES!N1459&gt;TODAY()),NEGOCIAÇÕES!E1459,"")</f>
        <v/>
      </c>
      <c r="D1459" s="6" t="str">
        <f ca="1">IF(AND(NEGOCIAÇÕES!O1459="",NEGOCIAÇÕES!N1459&gt;TODAY()),NEGOCIAÇÕES!D1459,"")</f>
        <v/>
      </c>
      <c r="E1459" s="9">
        <f>IF(AND(NEGOCIAÇÕES!B1459&lt;&gt;"",NEGOCIAÇÕES!O1459=""),NEGOCIAÇÕES!N1459,"")</f>
        <v>46063</v>
      </c>
    </row>
    <row r="1460" spans="2:5" ht="31.95" hidden="1" customHeight="1" x14ac:dyDescent="0.3">
      <c r="B1460" s="6" t="str">
        <f ca="1">IF(AND(NEGOCIAÇÕES!O1460="",NEGOCIAÇÕES!N1460&gt;TODAY()),NEGOCIAÇÕES!C1460,"")</f>
        <v/>
      </c>
      <c r="C1460" s="6" t="str">
        <f ca="1">IF(AND(NEGOCIAÇÕES!O1460="",NEGOCIAÇÕES!N1460&gt;TODAY()),NEGOCIAÇÕES!E1460,"")</f>
        <v/>
      </c>
      <c r="D1460" s="6" t="str">
        <f ca="1">IF(AND(NEGOCIAÇÕES!O1460="",NEGOCIAÇÕES!N1460&gt;TODAY()),NEGOCIAÇÕES!D1460,"")</f>
        <v/>
      </c>
      <c r="E1460" s="9">
        <f>IF(AND(NEGOCIAÇÕES!B1460&lt;&gt;"",NEGOCIAÇÕES!O1460=""),NEGOCIAÇÕES!N1460,"")</f>
        <v>46052</v>
      </c>
    </row>
    <row r="1461" spans="2:5" ht="31.95" hidden="1" customHeight="1" x14ac:dyDescent="0.3">
      <c r="B1461" s="6" t="str">
        <f ca="1">IF(AND(NEGOCIAÇÕES!O1461="",NEGOCIAÇÕES!N1461&gt;TODAY()),NEGOCIAÇÕES!C1461,"")</f>
        <v/>
      </c>
      <c r="C1461" s="6" t="str">
        <f ca="1">IF(AND(NEGOCIAÇÕES!O1461="",NEGOCIAÇÕES!N1461&gt;TODAY()),NEGOCIAÇÕES!E1461,"")</f>
        <v/>
      </c>
      <c r="D1461" s="6" t="str">
        <f ca="1">IF(AND(NEGOCIAÇÕES!O1461="",NEGOCIAÇÕES!N1461&gt;TODAY()),NEGOCIAÇÕES!D1461,"")</f>
        <v/>
      </c>
      <c r="E1461" s="9">
        <f>IF(AND(NEGOCIAÇÕES!B1461&lt;&gt;"",NEGOCIAÇÕES!O1461=""),NEGOCIAÇÕES!N1461,"")</f>
        <v>46050</v>
      </c>
    </row>
    <row r="1462" spans="2:5" ht="31.95" hidden="1" customHeight="1" x14ac:dyDescent="0.3">
      <c r="B1462" s="6" t="str">
        <f ca="1">IF(AND(NEGOCIAÇÕES!O1462="",NEGOCIAÇÕES!N1462&gt;TODAY()),NEGOCIAÇÕES!C1462,"")</f>
        <v/>
      </c>
      <c r="C1462" s="6" t="str">
        <f ca="1">IF(AND(NEGOCIAÇÕES!O1462="",NEGOCIAÇÕES!N1462&gt;TODAY()),NEGOCIAÇÕES!E1462,"")</f>
        <v/>
      </c>
      <c r="D1462" s="6" t="str">
        <f ca="1">IF(AND(NEGOCIAÇÕES!O1462="",NEGOCIAÇÕES!N1462&gt;TODAY()),NEGOCIAÇÕES!D1462,"")</f>
        <v/>
      </c>
      <c r="E1462" s="9">
        <f>IF(AND(NEGOCIAÇÕES!B1462&lt;&gt;"",NEGOCIAÇÕES!O1462=""),NEGOCIAÇÕES!N1462,"")</f>
        <v>46050</v>
      </c>
    </row>
    <row r="1463" spans="2:5" ht="31.95" customHeight="1" x14ac:dyDescent="0.3">
      <c r="B1463" s="6" t="str">
        <f ca="1">IF(AND(NEGOCIAÇÕES!O1463="",NEGOCIAÇÕES!N1463&gt;TODAY()),NEGOCIAÇÕES!C1463,"")</f>
        <v/>
      </c>
      <c r="C1463" s="6" t="str">
        <f ca="1">IF(AND(NEGOCIAÇÕES!O1463="",NEGOCIAÇÕES!N1463&gt;TODAY()),NEGOCIAÇÕES!E1463,"")</f>
        <v/>
      </c>
      <c r="D1463" s="6" t="str">
        <f ca="1">IF(AND(NEGOCIAÇÕES!O1463="",NEGOCIAÇÕES!N1463&gt;TODAY()),NEGOCIAÇÕES!D1463,"")</f>
        <v/>
      </c>
      <c r="E1463" s="9">
        <f>IF(AND(NEGOCIAÇÕES!B1463&lt;&gt;"",NEGOCIAÇÕES!O1463=""),NEGOCIAÇÕES!N1463,"")</f>
        <v>46058</v>
      </c>
    </row>
    <row r="1464" spans="2:5" ht="31.95" hidden="1" customHeight="1" x14ac:dyDescent="0.3">
      <c r="B1464" s="6" t="str">
        <f ca="1">IF(AND(NEGOCIAÇÕES!O1464="",NEGOCIAÇÕES!N1464&gt;TODAY()),NEGOCIAÇÕES!C1464,"")</f>
        <v/>
      </c>
      <c r="C1464" s="6" t="str">
        <f ca="1">IF(AND(NEGOCIAÇÕES!O1464="",NEGOCIAÇÕES!N1464&gt;TODAY()),NEGOCIAÇÕES!E1464,"")</f>
        <v/>
      </c>
      <c r="D1464" s="6" t="str">
        <f ca="1">IF(AND(NEGOCIAÇÕES!O1464="",NEGOCIAÇÕES!N1464&gt;TODAY()),NEGOCIAÇÕES!D1464,"")</f>
        <v/>
      </c>
      <c r="E1464" s="9">
        <f>IF(AND(NEGOCIAÇÕES!B1464&lt;&gt;"",NEGOCIAÇÕES!O1464=""),NEGOCIAÇÕES!N1464,"")</f>
        <v>46055</v>
      </c>
    </row>
    <row r="1465" spans="2:5" ht="31.95" customHeight="1" x14ac:dyDescent="0.3">
      <c r="B1465" s="6">
        <f ca="1">IF(AND(NEGOCIAÇÕES!O1465="",NEGOCIAÇÕES!N1465&gt;TODAY()),NEGOCIAÇÕES!C1465,"")</f>
        <v>1462</v>
      </c>
      <c r="C1465" s="6" t="str">
        <f ca="1">IF(AND(NEGOCIAÇÕES!O1465="",NEGOCIAÇÕES!N1465&gt;TODAY()),NEGOCIAÇÕES!E1465,"")</f>
        <v>-</v>
      </c>
      <c r="D1465" s="6" t="str">
        <f ca="1">IF(AND(NEGOCIAÇÕES!O1465="",NEGOCIAÇÕES!N1465&gt;TODAY()),NEGOCIAÇÕES!D1465,"")</f>
        <v>UNIVERSO ROUPAS EIRELI EPP</v>
      </c>
      <c r="E1465" s="9">
        <f>IF(AND(NEGOCIAÇÕES!B1465&lt;&gt;"",NEGOCIAÇÕES!O1465=""),NEGOCIAÇÕES!N1465,"")</f>
        <v>46082</v>
      </c>
    </row>
    <row r="1466" spans="2:5" ht="31.95" hidden="1" customHeight="1" x14ac:dyDescent="0.3">
      <c r="B1466" s="6" t="str">
        <f ca="1">IF(AND(NEGOCIAÇÕES!O1466="",NEGOCIAÇÕES!N1466&gt;TODAY()),NEGOCIAÇÕES!C1466,"")</f>
        <v/>
      </c>
      <c r="C1466" s="6" t="str">
        <f ca="1">IF(AND(NEGOCIAÇÕES!O1466="",NEGOCIAÇÕES!N1466&gt;TODAY()),NEGOCIAÇÕES!E1466,"")</f>
        <v/>
      </c>
      <c r="D1466" s="6" t="str">
        <f ca="1">IF(AND(NEGOCIAÇÕES!O1466="",NEGOCIAÇÕES!N1466&gt;TODAY()),NEGOCIAÇÕES!D1466,"")</f>
        <v/>
      </c>
      <c r="E1466" s="9">
        <f>IF(AND(NEGOCIAÇÕES!B1466&lt;&gt;"",NEGOCIAÇÕES!O1466=""),NEGOCIAÇÕES!N1466,"")</f>
        <v>46056</v>
      </c>
    </row>
    <row r="1467" spans="2:5" ht="31.95" hidden="1" customHeight="1" x14ac:dyDescent="0.3">
      <c r="B1467" s="6" t="str">
        <f ca="1">IF(AND(NEGOCIAÇÕES!O1467="",NEGOCIAÇÕES!N1467&gt;TODAY()),NEGOCIAÇÕES!C1467,"")</f>
        <v/>
      </c>
      <c r="C1467" s="6" t="str">
        <f ca="1">IF(AND(NEGOCIAÇÕES!O1467="",NEGOCIAÇÕES!N1467&gt;TODAY()),NEGOCIAÇÕES!E1467,"")</f>
        <v/>
      </c>
      <c r="D1467" s="6" t="str">
        <f ca="1">IF(AND(NEGOCIAÇÕES!O1467="",NEGOCIAÇÕES!N1467&gt;TODAY()),NEGOCIAÇÕES!D1467,"")</f>
        <v/>
      </c>
      <c r="E1467" s="9">
        <f>IF(AND(NEGOCIAÇÕES!B1467&lt;&gt;"",NEGOCIAÇÕES!O1467=""),NEGOCIAÇÕES!N1467,"")</f>
        <v>46056</v>
      </c>
    </row>
    <row r="1468" spans="2:5" ht="31.95" customHeight="1" x14ac:dyDescent="0.3">
      <c r="B1468" s="6" t="str">
        <f ca="1">IF(AND(NEGOCIAÇÕES!O1468="",NEGOCIAÇÕES!N1468&gt;TODAY()),NEGOCIAÇÕES!C1468,"")</f>
        <v/>
      </c>
      <c r="C1468" s="6" t="str">
        <f ca="1">IF(AND(NEGOCIAÇÕES!O1468="",NEGOCIAÇÕES!N1468&gt;TODAY()),NEGOCIAÇÕES!E1468,"")</f>
        <v/>
      </c>
      <c r="D1468" s="6" t="str">
        <f ca="1">IF(AND(NEGOCIAÇÕES!O1468="",NEGOCIAÇÕES!N1468&gt;TODAY()),NEGOCIAÇÕES!D1468,"")</f>
        <v/>
      </c>
      <c r="E1468" s="9">
        <f>IF(AND(NEGOCIAÇÕES!B1468&lt;&gt;"",NEGOCIAÇÕES!O1468=""),NEGOCIAÇÕES!N1468,"")</f>
        <v>46059</v>
      </c>
    </row>
    <row r="1469" spans="2:5" ht="31.95" customHeight="1" x14ac:dyDescent="0.3">
      <c r="B1469" s="6" t="str">
        <f ca="1">IF(AND(NEGOCIAÇÕES!O1469="",NEGOCIAÇÕES!N1469&gt;TODAY()),NEGOCIAÇÕES!C1469,"")</f>
        <v/>
      </c>
      <c r="C1469" s="6" t="str">
        <f ca="1">IF(AND(NEGOCIAÇÕES!O1469="",NEGOCIAÇÕES!N1469&gt;TODAY()),NEGOCIAÇÕES!E1469,"")</f>
        <v/>
      </c>
      <c r="D1469" s="6" t="str">
        <f ca="1">IF(AND(NEGOCIAÇÕES!O1469="",NEGOCIAÇÕES!N1469&gt;TODAY()),NEGOCIAÇÕES!D1469,"")</f>
        <v/>
      </c>
      <c r="E1469" s="9">
        <f>IF(AND(NEGOCIAÇÕES!B1469&lt;&gt;"",NEGOCIAÇÕES!O1469=""),NEGOCIAÇÕES!N1469,"")</f>
        <v>46058</v>
      </c>
    </row>
    <row r="1470" spans="2:5" ht="31.95" hidden="1" customHeight="1" x14ac:dyDescent="0.3">
      <c r="B1470" s="6" t="str">
        <f ca="1">IF(AND(NEGOCIAÇÕES!O1470="",NEGOCIAÇÕES!N1470&gt;TODAY()),NEGOCIAÇÕES!C1470,"")</f>
        <v/>
      </c>
      <c r="C1470" s="6" t="str">
        <f ca="1">IF(AND(NEGOCIAÇÕES!O1470="",NEGOCIAÇÕES!N1470&gt;TODAY()),NEGOCIAÇÕES!E1470,"")</f>
        <v/>
      </c>
      <c r="D1470" s="6" t="str">
        <f ca="1">IF(AND(NEGOCIAÇÕES!O1470="",NEGOCIAÇÕES!N1470&gt;TODAY()),NEGOCIAÇÕES!D1470,"")</f>
        <v/>
      </c>
      <c r="E1470" s="9">
        <f>IF(AND(NEGOCIAÇÕES!B1470&lt;&gt;"",NEGOCIAÇÕES!O1470=""),NEGOCIAÇÕES!N1470,"")</f>
        <v>46057</v>
      </c>
    </row>
    <row r="1471" spans="2:5" ht="31.95" customHeight="1" x14ac:dyDescent="0.3">
      <c r="B1471" s="6" t="str">
        <f ca="1">IF(AND(NEGOCIAÇÕES!O1471="",NEGOCIAÇÕES!N1471&gt;TODAY()),NEGOCIAÇÕES!C1471,"")</f>
        <v/>
      </c>
      <c r="C1471" s="6" t="str">
        <f ca="1">IF(AND(NEGOCIAÇÕES!O1471="",NEGOCIAÇÕES!N1471&gt;TODAY()),NEGOCIAÇÕES!E1471,"")</f>
        <v/>
      </c>
      <c r="D1471" s="6" t="str">
        <f ca="1">IF(AND(NEGOCIAÇÕES!O1471="",NEGOCIAÇÕES!N1471&gt;TODAY()),NEGOCIAÇÕES!D1471,"")</f>
        <v/>
      </c>
      <c r="E1471" s="9">
        <f>IF(AND(NEGOCIAÇÕES!B1471&lt;&gt;"",NEGOCIAÇÕES!O1471=""),NEGOCIAÇÕES!N1471,"")</f>
        <v>46058</v>
      </c>
    </row>
    <row r="1472" spans="2:5" ht="31.95" hidden="1" customHeight="1" x14ac:dyDescent="0.3">
      <c r="B1472" s="6" t="str">
        <f ca="1">IF(AND(NEGOCIAÇÕES!O1472="",NEGOCIAÇÕES!N1472&gt;TODAY()),NEGOCIAÇÕES!C1472,"")</f>
        <v/>
      </c>
      <c r="C1472" s="6" t="str">
        <f ca="1">IF(AND(NEGOCIAÇÕES!O1472="",NEGOCIAÇÕES!N1472&gt;TODAY()),NEGOCIAÇÕES!E1472,"")</f>
        <v/>
      </c>
      <c r="D1472" s="6" t="str">
        <f ca="1">IF(AND(NEGOCIAÇÕES!O1472="",NEGOCIAÇÕES!N1472&gt;TODAY()),NEGOCIAÇÕES!D1472,"")</f>
        <v/>
      </c>
      <c r="E1472" s="9">
        <f>IF(AND(NEGOCIAÇÕES!B1472&lt;&gt;"",NEGOCIAÇÕES!O1472=""),NEGOCIAÇÕES!N1472,"")</f>
        <v>46057</v>
      </c>
    </row>
    <row r="1473" spans="2:5" ht="31.95" hidden="1" customHeight="1" x14ac:dyDescent="0.3">
      <c r="B1473" s="6" t="str">
        <f ca="1">IF(AND(NEGOCIAÇÕES!O1473="",NEGOCIAÇÕES!N1473&gt;TODAY()),NEGOCIAÇÕES!C1473,"")</f>
        <v/>
      </c>
      <c r="C1473" s="6" t="str">
        <f ca="1">IF(AND(NEGOCIAÇÕES!O1473="",NEGOCIAÇÕES!N1473&gt;TODAY()),NEGOCIAÇÕES!E1473,"")</f>
        <v/>
      </c>
      <c r="D1473" s="6" t="str">
        <f ca="1">IF(AND(NEGOCIAÇÕES!O1473="",NEGOCIAÇÕES!N1473&gt;TODAY()),NEGOCIAÇÕES!D1473,"")</f>
        <v/>
      </c>
      <c r="E1473" s="9">
        <f>IF(AND(NEGOCIAÇÕES!B1473&lt;&gt;"",NEGOCIAÇÕES!O1473=""),NEGOCIAÇÕES!N1473,"")</f>
        <v>46057</v>
      </c>
    </row>
    <row r="1474" spans="2:5" ht="31.95" hidden="1" customHeight="1" x14ac:dyDescent="0.3">
      <c r="B1474" s="6" t="str">
        <f ca="1">IF(AND(NEGOCIAÇÕES!O1474="",NEGOCIAÇÕES!N1474&gt;TODAY()),NEGOCIAÇÕES!C1474,"")</f>
        <v/>
      </c>
      <c r="C1474" s="6" t="str">
        <f ca="1">IF(AND(NEGOCIAÇÕES!O1474="",NEGOCIAÇÕES!N1474&gt;TODAY()),NEGOCIAÇÕES!E1474,"")</f>
        <v/>
      </c>
      <c r="D1474" s="6" t="str">
        <f ca="1">IF(AND(NEGOCIAÇÕES!O1474="",NEGOCIAÇÕES!N1474&gt;TODAY()),NEGOCIAÇÕES!D1474,"")</f>
        <v/>
      </c>
      <c r="E1474" s="9">
        <f>IF(AND(NEGOCIAÇÕES!B1474&lt;&gt;"",NEGOCIAÇÕES!O1474=""),NEGOCIAÇÕES!N1474,"")</f>
        <v>46059</v>
      </c>
    </row>
    <row r="1475" spans="2:5" ht="31.95" hidden="1" customHeight="1" x14ac:dyDescent="0.3">
      <c r="B1475" s="6" t="str">
        <f ca="1">IF(AND(NEGOCIAÇÕES!O1475="",NEGOCIAÇÕES!N1475&gt;TODAY()),NEGOCIAÇÕES!C1475,"")</f>
        <v/>
      </c>
      <c r="C1475" s="6" t="str">
        <f ca="1">IF(AND(NEGOCIAÇÕES!O1475="",NEGOCIAÇÕES!N1475&gt;TODAY()),NEGOCIAÇÕES!E1475,"")</f>
        <v/>
      </c>
      <c r="D1475" s="6" t="str">
        <f ca="1">IF(AND(NEGOCIAÇÕES!O1475="",NEGOCIAÇÕES!N1475&gt;TODAY()),NEGOCIAÇÕES!D1475,"")</f>
        <v/>
      </c>
      <c r="E1475" s="9">
        <f>IF(AND(NEGOCIAÇÕES!B1475&lt;&gt;"",NEGOCIAÇÕES!O1475=""),NEGOCIAÇÕES!N1475,"")</f>
        <v>46059</v>
      </c>
    </row>
    <row r="1476" spans="2:5" ht="31.95" hidden="1" customHeight="1" x14ac:dyDescent="0.3">
      <c r="B1476" s="6">
        <f ca="1">IF(AND(NEGOCIAÇÕES!O1476="",NEGOCIAÇÕES!N1476&gt;TODAY()),NEGOCIAÇÕES!C1476,"")</f>
        <v>1473</v>
      </c>
      <c r="C1476" s="6" t="str">
        <f ca="1">IF(AND(NEGOCIAÇÕES!O1476="",NEGOCIAÇÕES!N1476&gt;TODAY()),NEGOCIAÇÕES!E1476,"")</f>
        <v>OS 405.26</v>
      </c>
      <c r="D1476" s="6" t="str">
        <f ca="1">IF(AND(NEGOCIAÇÕES!O1476="",NEGOCIAÇÕES!N1476&gt;TODAY()),NEGOCIAÇÕES!D1476,"")</f>
        <v>TAECO RIO COMÉRCIO DE TINTAS LTDA</v>
      </c>
      <c r="E1476" s="9">
        <f>IF(AND(NEGOCIAÇÕES!B1476&lt;&gt;"",NEGOCIAÇÕES!O1476=""),NEGOCIAÇÕES!N1476,"")</f>
        <v>46065</v>
      </c>
    </row>
    <row r="1477" spans="2:5" ht="31.95" hidden="1" customHeight="1" x14ac:dyDescent="0.3">
      <c r="B1477" s="6" t="str">
        <f ca="1">IF(AND(NEGOCIAÇÕES!O1477="",NEGOCIAÇÕES!N1477&gt;TODAY()),NEGOCIAÇÕES!C1477,"")</f>
        <v/>
      </c>
      <c r="C1477" s="6" t="str">
        <f ca="1">IF(AND(NEGOCIAÇÕES!O1477="",NEGOCIAÇÕES!N1477&gt;TODAY()),NEGOCIAÇÕES!E1477,"")</f>
        <v/>
      </c>
      <c r="D1477" s="6" t="str">
        <f ca="1">IF(AND(NEGOCIAÇÕES!O1477="",NEGOCIAÇÕES!N1477&gt;TODAY()),NEGOCIAÇÕES!D1477,"")</f>
        <v/>
      </c>
      <c r="E1477" s="9">
        <f>IF(AND(NEGOCIAÇÕES!B1477&lt;&gt;"",NEGOCIAÇÕES!O1477=""),NEGOCIAÇÕES!N1477,"")</f>
        <v>46059</v>
      </c>
    </row>
    <row r="1478" spans="2:5" ht="31.95" hidden="1" customHeight="1" x14ac:dyDescent="0.3">
      <c r="B1478" s="6" t="str">
        <f ca="1">IF(AND(NEGOCIAÇÕES!O1478="",NEGOCIAÇÕES!N1478&gt;TODAY()),NEGOCIAÇÕES!C1478,"")</f>
        <v/>
      </c>
      <c r="C1478" s="6" t="str">
        <f ca="1">IF(AND(NEGOCIAÇÕES!O1478="",NEGOCIAÇÕES!N1478&gt;TODAY()),NEGOCIAÇÕES!E1478,"")</f>
        <v/>
      </c>
      <c r="D1478" s="6" t="str">
        <f ca="1">IF(AND(NEGOCIAÇÕES!O1478="",NEGOCIAÇÕES!N1478&gt;TODAY()),NEGOCIAÇÕES!D1478,"")</f>
        <v/>
      </c>
      <c r="E1478" s="9">
        <f>IF(AND(NEGOCIAÇÕES!B1478&lt;&gt;"",NEGOCIAÇÕES!O1478=""),NEGOCIAÇÕES!N1478,"")</f>
        <v>46059</v>
      </c>
    </row>
    <row r="1479" spans="2:5" ht="31.95" hidden="1" customHeight="1" x14ac:dyDescent="0.3">
      <c r="B1479" s="6" t="str">
        <f ca="1">IF(AND(NEGOCIAÇÕES!O1479="",NEGOCIAÇÕES!N1479&gt;TODAY()),NEGOCIAÇÕES!C1479,"")</f>
        <v/>
      </c>
      <c r="C1479" s="6" t="str">
        <f ca="1">IF(AND(NEGOCIAÇÕES!O1479="",NEGOCIAÇÕES!N1479&gt;TODAY()),NEGOCIAÇÕES!E1479,"")</f>
        <v/>
      </c>
      <c r="D1479" s="6" t="str">
        <f ca="1">IF(AND(NEGOCIAÇÕES!O1479="",NEGOCIAÇÕES!N1479&gt;TODAY()),NEGOCIAÇÕES!D1479,"")</f>
        <v/>
      </c>
      <c r="E1479" s="9" t="str">
        <f>IF(AND(NEGOCIAÇÕES!B1479&lt;&gt;"",NEGOCIAÇÕES!O1479=""),NEGOCIAÇÕES!N1479,"")</f>
        <v/>
      </c>
    </row>
    <row r="1480" spans="2:5" ht="31.95" hidden="1" customHeight="1" x14ac:dyDescent="0.3">
      <c r="B1480" s="6" t="str">
        <f ca="1">IF(AND(NEGOCIAÇÕES!O1480="",NEGOCIAÇÕES!N1480&gt;TODAY()),NEGOCIAÇÕES!C1480,"")</f>
        <v/>
      </c>
      <c r="C1480" s="6" t="str">
        <f ca="1">IF(AND(NEGOCIAÇÕES!O1480="",NEGOCIAÇÕES!N1480&gt;TODAY()),NEGOCIAÇÕES!E1480,"")</f>
        <v/>
      </c>
      <c r="D1480" s="6" t="str">
        <f ca="1">IF(AND(NEGOCIAÇÕES!O1480="",NEGOCIAÇÕES!N1480&gt;TODAY()),NEGOCIAÇÕES!D1480,"")</f>
        <v/>
      </c>
      <c r="E1480" s="9" t="str">
        <f>IF(AND(NEGOCIAÇÕES!B1480&lt;&gt;"",NEGOCIAÇÕES!O1480=""),NEGOCIAÇÕES!N1480,"")</f>
        <v/>
      </c>
    </row>
    <row r="1481" spans="2:5" ht="31.95" hidden="1" customHeight="1" x14ac:dyDescent="0.3">
      <c r="B1481" s="6" t="str">
        <f ca="1">IF(AND(NEGOCIAÇÕES!O1481="",NEGOCIAÇÕES!N1481&gt;TODAY()),NEGOCIAÇÕES!C1481,"")</f>
        <v/>
      </c>
      <c r="C1481" s="6" t="str">
        <f ca="1">IF(AND(NEGOCIAÇÕES!O1481="",NEGOCIAÇÕES!N1481&gt;TODAY()),NEGOCIAÇÕES!E1481,"")</f>
        <v/>
      </c>
      <c r="D1481" s="6" t="str">
        <f ca="1">IF(AND(NEGOCIAÇÕES!O1481="",NEGOCIAÇÕES!N1481&gt;TODAY()),NEGOCIAÇÕES!D1481,"")</f>
        <v/>
      </c>
      <c r="E1481" s="9" t="str">
        <f>IF(AND(NEGOCIAÇÕES!B1481&lt;&gt;"",NEGOCIAÇÕES!O1481=""),NEGOCIAÇÕES!N1481,"")</f>
        <v/>
      </c>
    </row>
    <row r="1482" spans="2:5" ht="31.95" hidden="1" customHeight="1" x14ac:dyDescent="0.3">
      <c r="B1482" s="6" t="str">
        <f ca="1">IF(AND(NEGOCIAÇÕES!O1482="",NEGOCIAÇÕES!N1482&gt;TODAY()),NEGOCIAÇÕES!C1482,"")</f>
        <v/>
      </c>
      <c r="C1482" s="6" t="str">
        <f ca="1">IF(AND(NEGOCIAÇÕES!O1482="",NEGOCIAÇÕES!N1482&gt;TODAY()),NEGOCIAÇÕES!E1482,"")</f>
        <v/>
      </c>
      <c r="D1482" s="6" t="str">
        <f ca="1">IF(AND(NEGOCIAÇÕES!O1482="",NEGOCIAÇÕES!N1482&gt;TODAY()),NEGOCIAÇÕES!D1482,"")</f>
        <v/>
      </c>
      <c r="E1482" s="9" t="str">
        <f>IF(AND(NEGOCIAÇÕES!B1482&lt;&gt;"",NEGOCIAÇÕES!O1482=""),NEGOCIAÇÕES!N1482,"")</f>
        <v/>
      </c>
    </row>
    <row r="1483" spans="2:5" ht="31.95" hidden="1" customHeight="1" x14ac:dyDescent="0.3">
      <c r="B1483" s="6" t="str">
        <f ca="1">IF(AND(NEGOCIAÇÕES!O1483="",NEGOCIAÇÕES!N1483&gt;TODAY()),NEGOCIAÇÕES!C1483,"")</f>
        <v/>
      </c>
      <c r="C1483" s="6" t="str">
        <f ca="1">IF(AND(NEGOCIAÇÕES!O1483="",NEGOCIAÇÕES!N1483&gt;TODAY()),NEGOCIAÇÕES!E1483,"")</f>
        <v/>
      </c>
      <c r="D1483" s="6" t="str">
        <f ca="1">IF(AND(NEGOCIAÇÕES!O1483="",NEGOCIAÇÕES!N1483&gt;TODAY()),NEGOCIAÇÕES!D1483,"")</f>
        <v/>
      </c>
      <c r="E1483" s="9" t="str">
        <f>IF(AND(NEGOCIAÇÕES!B1483&lt;&gt;"",NEGOCIAÇÕES!O1483=""),NEGOCIAÇÕES!N1483,"")</f>
        <v/>
      </c>
    </row>
    <row r="1484" spans="2:5" ht="31.95" hidden="1" customHeight="1" x14ac:dyDescent="0.3">
      <c r="B1484" s="6" t="str">
        <f ca="1">IF(AND(NEGOCIAÇÕES!O1484="",NEGOCIAÇÕES!N1484&gt;TODAY()),NEGOCIAÇÕES!C1484,"")</f>
        <v/>
      </c>
      <c r="C1484" s="6" t="str">
        <f ca="1">IF(AND(NEGOCIAÇÕES!O1484="",NEGOCIAÇÕES!N1484&gt;TODAY()),NEGOCIAÇÕES!E1484,"")</f>
        <v/>
      </c>
      <c r="D1484" s="6" t="str">
        <f ca="1">IF(AND(NEGOCIAÇÕES!O1484="",NEGOCIAÇÕES!N1484&gt;TODAY()),NEGOCIAÇÕES!D1484,"")</f>
        <v/>
      </c>
      <c r="E1484" s="9" t="str">
        <f>IF(AND(NEGOCIAÇÕES!B1484&lt;&gt;"",NEGOCIAÇÕES!O1484=""),NEGOCIAÇÕES!N1484,"")</f>
        <v/>
      </c>
    </row>
    <row r="1485" spans="2:5" ht="31.95" hidden="1" customHeight="1" x14ac:dyDescent="0.3">
      <c r="B1485" s="6" t="str">
        <f ca="1">IF(AND(NEGOCIAÇÕES!O1485="",NEGOCIAÇÕES!N1485&gt;TODAY()),NEGOCIAÇÕES!C1485,"")</f>
        <v/>
      </c>
      <c r="C1485" s="6" t="str">
        <f ca="1">IF(AND(NEGOCIAÇÕES!O1485="",NEGOCIAÇÕES!N1485&gt;TODAY()),NEGOCIAÇÕES!E1485,"")</f>
        <v/>
      </c>
      <c r="D1485" s="6" t="str">
        <f ca="1">IF(AND(NEGOCIAÇÕES!O1485="",NEGOCIAÇÕES!N1485&gt;TODAY()),NEGOCIAÇÕES!D1485,"")</f>
        <v/>
      </c>
      <c r="E1485" s="9" t="str">
        <f>IF(AND(NEGOCIAÇÕES!B1485&lt;&gt;"",NEGOCIAÇÕES!O1485=""),NEGOCIAÇÕES!N1485,"")</f>
        <v/>
      </c>
    </row>
    <row r="1486" spans="2:5" ht="31.95" hidden="1" customHeight="1" x14ac:dyDescent="0.3">
      <c r="B1486" s="6" t="str">
        <f ca="1">IF(AND(NEGOCIAÇÕES!O1486="",NEGOCIAÇÕES!N1486&gt;TODAY()),NEGOCIAÇÕES!C1486,"")</f>
        <v/>
      </c>
      <c r="C1486" s="6" t="str">
        <f ca="1">IF(AND(NEGOCIAÇÕES!O1486="",NEGOCIAÇÕES!N1486&gt;TODAY()),NEGOCIAÇÕES!E1486,"")</f>
        <v/>
      </c>
      <c r="D1486" s="6" t="str">
        <f ca="1">IF(AND(NEGOCIAÇÕES!O1486="",NEGOCIAÇÕES!N1486&gt;TODAY()),NEGOCIAÇÕES!D1486,"")</f>
        <v/>
      </c>
      <c r="E1486" s="9" t="str">
        <f>IF(AND(NEGOCIAÇÕES!B1486&lt;&gt;"",NEGOCIAÇÕES!O1486=""),NEGOCIAÇÕES!N1486,"")</f>
        <v/>
      </c>
    </row>
    <row r="1487" spans="2:5" ht="31.95" hidden="1" customHeight="1" x14ac:dyDescent="0.3">
      <c r="B1487" s="6" t="str">
        <f ca="1">IF(AND(NEGOCIAÇÕES!O1487="",NEGOCIAÇÕES!N1487&gt;TODAY()),NEGOCIAÇÕES!C1487,"")</f>
        <v/>
      </c>
      <c r="C1487" s="6" t="str">
        <f ca="1">IF(AND(NEGOCIAÇÕES!O1487="",NEGOCIAÇÕES!N1487&gt;TODAY()),NEGOCIAÇÕES!E1487,"")</f>
        <v/>
      </c>
      <c r="D1487" s="6" t="str">
        <f ca="1">IF(AND(NEGOCIAÇÕES!O1487="",NEGOCIAÇÕES!N1487&gt;TODAY()),NEGOCIAÇÕES!D1487,"")</f>
        <v/>
      </c>
      <c r="E1487" s="9" t="str">
        <f>IF(AND(NEGOCIAÇÕES!B1487&lt;&gt;"",NEGOCIAÇÕES!O1487=""),NEGOCIAÇÕES!N1487,"")</f>
        <v/>
      </c>
    </row>
    <row r="1488" spans="2:5" ht="31.95" hidden="1" customHeight="1" x14ac:dyDescent="0.3">
      <c r="B1488" s="6" t="str">
        <f ca="1">IF(AND(NEGOCIAÇÕES!O1488="",NEGOCIAÇÕES!N1488&gt;TODAY()),NEGOCIAÇÕES!C1488,"")</f>
        <v/>
      </c>
      <c r="C1488" s="6" t="str">
        <f ca="1">IF(AND(NEGOCIAÇÕES!O1488="",NEGOCIAÇÕES!N1488&gt;TODAY()),NEGOCIAÇÕES!E1488,"")</f>
        <v/>
      </c>
      <c r="D1488" s="6" t="str">
        <f ca="1">IF(AND(NEGOCIAÇÕES!O1488="",NEGOCIAÇÕES!N1488&gt;TODAY()),NEGOCIAÇÕES!D1488,"")</f>
        <v/>
      </c>
      <c r="E1488" s="9" t="str">
        <f>IF(AND(NEGOCIAÇÕES!B1488&lt;&gt;"",NEGOCIAÇÕES!O1488=""),NEGOCIAÇÕES!N1488,"")</f>
        <v/>
      </c>
    </row>
    <row r="1489" spans="2:5" ht="31.95" hidden="1" customHeight="1" x14ac:dyDescent="0.3">
      <c r="B1489" s="6" t="str">
        <f ca="1">IF(AND(NEGOCIAÇÕES!O1489="",NEGOCIAÇÕES!N1489&gt;TODAY()),NEGOCIAÇÕES!C1489,"")</f>
        <v/>
      </c>
      <c r="C1489" s="6" t="str">
        <f ca="1">IF(AND(NEGOCIAÇÕES!O1489="",NEGOCIAÇÕES!N1489&gt;TODAY()),NEGOCIAÇÕES!E1489,"")</f>
        <v/>
      </c>
      <c r="D1489" s="6" t="str">
        <f ca="1">IF(AND(NEGOCIAÇÕES!O1489="",NEGOCIAÇÕES!N1489&gt;TODAY()),NEGOCIAÇÕES!D1489,"")</f>
        <v/>
      </c>
      <c r="E1489" s="9" t="str">
        <f>IF(AND(NEGOCIAÇÕES!B1489&lt;&gt;"",NEGOCIAÇÕES!O1489=""),NEGOCIAÇÕES!N1489,"")</f>
        <v/>
      </c>
    </row>
    <row r="1490" spans="2:5" ht="31.95" hidden="1" customHeight="1" x14ac:dyDescent="0.3">
      <c r="B1490" s="6" t="str">
        <f ca="1">IF(AND(NEGOCIAÇÕES!O1490="",NEGOCIAÇÕES!N1490&gt;TODAY()),NEGOCIAÇÕES!C1490,"")</f>
        <v/>
      </c>
      <c r="C1490" s="6" t="str">
        <f ca="1">IF(AND(NEGOCIAÇÕES!O1490="",NEGOCIAÇÕES!N1490&gt;TODAY()),NEGOCIAÇÕES!E1490,"")</f>
        <v/>
      </c>
      <c r="D1490" s="6" t="str">
        <f ca="1">IF(AND(NEGOCIAÇÕES!O1490="",NEGOCIAÇÕES!N1490&gt;TODAY()),NEGOCIAÇÕES!D1490,"")</f>
        <v/>
      </c>
      <c r="E1490" s="9" t="str">
        <f>IF(AND(NEGOCIAÇÕES!B1490&lt;&gt;"",NEGOCIAÇÕES!O1490=""),NEGOCIAÇÕES!N1490,"")</f>
        <v/>
      </c>
    </row>
    <row r="1491" spans="2:5" ht="31.95" hidden="1" customHeight="1" x14ac:dyDescent="0.3">
      <c r="B1491" s="6" t="str">
        <f ca="1">IF(AND(NEGOCIAÇÕES!O1491="",NEGOCIAÇÕES!N1491&gt;TODAY()),NEGOCIAÇÕES!C1491,"")</f>
        <v/>
      </c>
      <c r="C1491" s="6" t="str">
        <f ca="1">IF(AND(NEGOCIAÇÕES!O1491="",NEGOCIAÇÕES!N1491&gt;TODAY()),NEGOCIAÇÕES!E1491,"")</f>
        <v/>
      </c>
      <c r="D1491" s="6" t="str">
        <f ca="1">IF(AND(NEGOCIAÇÕES!O1491="",NEGOCIAÇÕES!N1491&gt;TODAY()),NEGOCIAÇÕES!D1491,"")</f>
        <v/>
      </c>
      <c r="E1491" s="9" t="str">
        <f>IF(AND(NEGOCIAÇÕES!B1491&lt;&gt;"",NEGOCIAÇÕES!O1491=""),NEGOCIAÇÕES!N1491,"")</f>
        <v/>
      </c>
    </row>
    <row r="1492" spans="2:5" ht="31.95" hidden="1" customHeight="1" x14ac:dyDescent="0.3">
      <c r="B1492" s="6" t="str">
        <f ca="1">IF(AND(NEGOCIAÇÕES!O1492="",NEGOCIAÇÕES!N1492&gt;TODAY()),NEGOCIAÇÕES!C1492,"")</f>
        <v/>
      </c>
      <c r="C1492" s="6" t="str">
        <f ca="1">IF(AND(NEGOCIAÇÕES!O1492="",NEGOCIAÇÕES!N1492&gt;TODAY()),NEGOCIAÇÕES!E1492,"")</f>
        <v/>
      </c>
      <c r="D1492" s="6" t="str">
        <f ca="1">IF(AND(NEGOCIAÇÕES!O1492="",NEGOCIAÇÕES!N1492&gt;TODAY()),NEGOCIAÇÕES!D1492,"")</f>
        <v/>
      </c>
      <c r="E1492" s="9" t="str">
        <f>IF(AND(NEGOCIAÇÕES!B1492&lt;&gt;"",NEGOCIAÇÕES!O1492=""),NEGOCIAÇÕES!N1492,"")</f>
        <v/>
      </c>
    </row>
    <row r="1493" spans="2:5" ht="31.95" hidden="1" customHeight="1" x14ac:dyDescent="0.3">
      <c r="B1493" s="6" t="str">
        <f ca="1">IF(AND(NEGOCIAÇÕES!O1493="",NEGOCIAÇÕES!N1493&gt;TODAY()),NEGOCIAÇÕES!C1493,"")</f>
        <v/>
      </c>
      <c r="C1493" s="6" t="str">
        <f ca="1">IF(AND(NEGOCIAÇÕES!O1493="",NEGOCIAÇÕES!N1493&gt;TODAY()),NEGOCIAÇÕES!E1493,"")</f>
        <v/>
      </c>
      <c r="D1493" s="6" t="str">
        <f ca="1">IF(AND(NEGOCIAÇÕES!O1493="",NEGOCIAÇÕES!N1493&gt;TODAY()),NEGOCIAÇÕES!D1493,"")</f>
        <v/>
      </c>
      <c r="E1493" s="9" t="str">
        <f>IF(AND(NEGOCIAÇÕES!B1493&lt;&gt;"",NEGOCIAÇÕES!O1493=""),NEGOCIAÇÕES!N1493,"")</f>
        <v/>
      </c>
    </row>
    <row r="1494" spans="2:5" ht="31.95" hidden="1" customHeight="1" x14ac:dyDescent="0.3">
      <c r="B1494" s="6" t="str">
        <f ca="1">IF(AND(NEGOCIAÇÕES!O1494="",NEGOCIAÇÕES!N1494&gt;TODAY()),NEGOCIAÇÕES!C1494,"")</f>
        <v/>
      </c>
      <c r="C1494" s="6" t="str">
        <f ca="1">IF(AND(NEGOCIAÇÕES!O1494="",NEGOCIAÇÕES!N1494&gt;TODAY()),NEGOCIAÇÕES!E1494,"")</f>
        <v/>
      </c>
      <c r="D1494" s="6" t="str">
        <f ca="1">IF(AND(NEGOCIAÇÕES!O1494="",NEGOCIAÇÕES!N1494&gt;TODAY()),NEGOCIAÇÕES!D1494,"")</f>
        <v/>
      </c>
      <c r="E1494" s="9" t="str">
        <f>IF(AND(NEGOCIAÇÕES!B1494&lt;&gt;"",NEGOCIAÇÕES!O1494=""),NEGOCIAÇÕES!N1494,"")</f>
        <v/>
      </c>
    </row>
    <row r="1495" spans="2:5" ht="31.95" hidden="1" customHeight="1" x14ac:dyDescent="0.3">
      <c r="B1495" s="6" t="str">
        <f ca="1">IF(AND(NEGOCIAÇÕES!O1495="",NEGOCIAÇÕES!N1495&gt;TODAY()),NEGOCIAÇÕES!C1495,"")</f>
        <v/>
      </c>
      <c r="C1495" s="6" t="str">
        <f ca="1">IF(AND(NEGOCIAÇÕES!O1495="",NEGOCIAÇÕES!N1495&gt;TODAY()),NEGOCIAÇÕES!E1495,"")</f>
        <v/>
      </c>
      <c r="D1495" s="6" t="str">
        <f ca="1">IF(AND(NEGOCIAÇÕES!O1495="",NEGOCIAÇÕES!N1495&gt;TODAY()),NEGOCIAÇÕES!D1495,"")</f>
        <v/>
      </c>
      <c r="E1495" s="9" t="str">
        <f>IF(AND(NEGOCIAÇÕES!B1495&lt;&gt;"",NEGOCIAÇÕES!O1495=""),NEGOCIAÇÕES!N1495,"")</f>
        <v/>
      </c>
    </row>
    <row r="1496" spans="2:5" ht="31.95" hidden="1" customHeight="1" x14ac:dyDescent="0.3">
      <c r="B1496" s="6" t="str">
        <f ca="1">IF(AND(NEGOCIAÇÕES!O1496="",NEGOCIAÇÕES!N1496&gt;TODAY()),NEGOCIAÇÕES!C1496,"")</f>
        <v/>
      </c>
      <c r="C1496" s="6" t="str">
        <f ca="1">IF(AND(NEGOCIAÇÕES!O1496="",NEGOCIAÇÕES!N1496&gt;TODAY()),NEGOCIAÇÕES!E1496,"")</f>
        <v/>
      </c>
      <c r="D1496" s="6" t="str">
        <f ca="1">IF(AND(NEGOCIAÇÕES!O1496="",NEGOCIAÇÕES!N1496&gt;TODAY()),NEGOCIAÇÕES!D1496,"")</f>
        <v/>
      </c>
      <c r="E1496" s="9" t="str">
        <f>IF(AND(NEGOCIAÇÕES!B1496&lt;&gt;"",NEGOCIAÇÕES!O1496=""),NEGOCIAÇÕES!N1496,"")</f>
        <v/>
      </c>
    </row>
    <row r="1497" spans="2:5" ht="31.95" hidden="1" customHeight="1" x14ac:dyDescent="0.3">
      <c r="B1497" s="6" t="str">
        <f ca="1">IF(AND(NEGOCIAÇÕES!O1497="",NEGOCIAÇÕES!N1497&gt;TODAY()),NEGOCIAÇÕES!C1497,"")</f>
        <v/>
      </c>
      <c r="C1497" s="6" t="str">
        <f ca="1">IF(AND(NEGOCIAÇÕES!O1497="",NEGOCIAÇÕES!N1497&gt;TODAY()),NEGOCIAÇÕES!E1497,"")</f>
        <v/>
      </c>
      <c r="D1497" s="6" t="str">
        <f ca="1">IF(AND(NEGOCIAÇÕES!O1497="",NEGOCIAÇÕES!N1497&gt;TODAY()),NEGOCIAÇÕES!D1497,"")</f>
        <v/>
      </c>
      <c r="E1497" s="9" t="str">
        <f>IF(AND(NEGOCIAÇÕES!B1497&lt;&gt;"",NEGOCIAÇÕES!O1497=""),NEGOCIAÇÕES!N1497,"")</f>
        <v/>
      </c>
    </row>
    <row r="1498" spans="2:5" ht="31.95" hidden="1" customHeight="1" x14ac:dyDescent="0.3">
      <c r="B1498" s="6" t="str">
        <f ca="1">IF(AND(NEGOCIAÇÕES!O1498="",NEGOCIAÇÕES!N1498&gt;TODAY()),NEGOCIAÇÕES!C1498,"")</f>
        <v/>
      </c>
      <c r="C1498" s="6" t="str">
        <f ca="1">IF(AND(NEGOCIAÇÕES!O1498="",NEGOCIAÇÕES!N1498&gt;TODAY()),NEGOCIAÇÕES!E1498,"")</f>
        <v/>
      </c>
      <c r="D1498" s="6" t="str">
        <f ca="1">IF(AND(NEGOCIAÇÕES!O1498="",NEGOCIAÇÕES!N1498&gt;TODAY()),NEGOCIAÇÕES!D1498,"")</f>
        <v/>
      </c>
      <c r="E1498" s="9" t="str">
        <f>IF(AND(NEGOCIAÇÕES!B1498&lt;&gt;"",NEGOCIAÇÕES!O1498=""),NEGOCIAÇÕES!N1498,"")</f>
        <v/>
      </c>
    </row>
    <row r="1499" spans="2:5" ht="31.95" hidden="1" customHeight="1" x14ac:dyDescent="0.3">
      <c r="B1499" s="6" t="str">
        <f ca="1">IF(AND(NEGOCIAÇÕES!O1499="",NEGOCIAÇÕES!N1499&gt;TODAY()),NEGOCIAÇÕES!C1499,"")</f>
        <v/>
      </c>
      <c r="C1499" s="6" t="str">
        <f ca="1">IF(AND(NEGOCIAÇÕES!O1499="",NEGOCIAÇÕES!N1499&gt;TODAY()),NEGOCIAÇÕES!E1499,"")</f>
        <v/>
      </c>
      <c r="D1499" s="6" t="str">
        <f ca="1">IF(AND(NEGOCIAÇÕES!O1499="",NEGOCIAÇÕES!N1499&gt;TODAY()),NEGOCIAÇÕES!D1499,"")</f>
        <v/>
      </c>
      <c r="E1499" s="9" t="str">
        <f>IF(AND(NEGOCIAÇÕES!B1499&lt;&gt;"",NEGOCIAÇÕES!O1499=""),NEGOCIAÇÕES!N1499,"")</f>
        <v/>
      </c>
    </row>
    <row r="1500" spans="2:5" ht="31.95" hidden="1" customHeight="1" x14ac:dyDescent="0.3">
      <c r="B1500" s="6" t="str">
        <f ca="1">IF(AND(NEGOCIAÇÕES!O1500="",NEGOCIAÇÕES!N1500&gt;TODAY()),NEGOCIAÇÕES!C1500,"")</f>
        <v/>
      </c>
      <c r="C1500" s="6" t="str">
        <f ca="1">IF(AND(NEGOCIAÇÕES!O1500="",NEGOCIAÇÕES!N1500&gt;TODAY()),NEGOCIAÇÕES!E1500,"")</f>
        <v/>
      </c>
      <c r="D1500" s="6" t="str">
        <f ca="1">IF(AND(NEGOCIAÇÕES!O1500="",NEGOCIAÇÕES!N1500&gt;TODAY()),NEGOCIAÇÕES!D1500,"")</f>
        <v/>
      </c>
      <c r="E1500" s="9" t="str">
        <f>IF(AND(NEGOCIAÇÕES!B1500&lt;&gt;"",NEGOCIAÇÕES!O1500=""),NEGOCIAÇÕES!N1500,"")</f>
        <v/>
      </c>
    </row>
    <row r="1501" spans="2:5" ht="31.95" hidden="1" customHeight="1" x14ac:dyDescent="0.3">
      <c r="B1501" s="6" t="str">
        <f ca="1">IF(AND(NEGOCIAÇÕES!O1501="",NEGOCIAÇÕES!N1501&gt;TODAY()),NEGOCIAÇÕES!C1501,"")</f>
        <v/>
      </c>
      <c r="C1501" s="6" t="str">
        <f ca="1">IF(AND(NEGOCIAÇÕES!O1501="",NEGOCIAÇÕES!N1501&gt;TODAY()),NEGOCIAÇÕES!E1501,"")</f>
        <v/>
      </c>
      <c r="D1501" s="6" t="str">
        <f ca="1">IF(AND(NEGOCIAÇÕES!O1501="",NEGOCIAÇÕES!N1501&gt;TODAY()),NEGOCIAÇÕES!D1501,"")</f>
        <v/>
      </c>
      <c r="E1501" s="9" t="str">
        <f>IF(AND(NEGOCIAÇÕES!B1501&lt;&gt;"",NEGOCIAÇÕES!O1501=""),NEGOCIAÇÕES!N1501,"")</f>
        <v/>
      </c>
    </row>
    <row r="1502" spans="2:5" ht="31.95" hidden="1" customHeight="1" x14ac:dyDescent="0.3">
      <c r="B1502" s="6" t="str">
        <f ca="1">IF(AND(NEGOCIAÇÕES!O1502="",NEGOCIAÇÕES!N1502&gt;TODAY()),NEGOCIAÇÕES!C1502,"")</f>
        <v/>
      </c>
      <c r="C1502" s="6" t="str">
        <f ca="1">IF(AND(NEGOCIAÇÕES!O1502="",NEGOCIAÇÕES!N1502&gt;TODAY()),NEGOCIAÇÕES!E1502,"")</f>
        <v/>
      </c>
      <c r="D1502" s="6" t="str">
        <f ca="1">IF(AND(NEGOCIAÇÕES!O1502="",NEGOCIAÇÕES!N1502&gt;TODAY()),NEGOCIAÇÕES!D1502,"")</f>
        <v/>
      </c>
      <c r="E1502" s="9" t="str">
        <f>IF(AND(NEGOCIAÇÕES!B1502&lt;&gt;"",NEGOCIAÇÕES!O1502=""),NEGOCIAÇÕES!N1502,"")</f>
        <v/>
      </c>
    </row>
    <row r="1503" spans="2:5" ht="31.95" hidden="1" customHeight="1" x14ac:dyDescent="0.3">
      <c r="B1503" s="6" t="str">
        <f ca="1">IF(AND(NEGOCIAÇÕES!O1503="",NEGOCIAÇÕES!N1503&gt;TODAY()),NEGOCIAÇÕES!C1503,"")</f>
        <v/>
      </c>
      <c r="C1503" s="6" t="str">
        <f ca="1">IF(AND(NEGOCIAÇÕES!O1503="",NEGOCIAÇÕES!N1503&gt;TODAY()),NEGOCIAÇÕES!E1503,"")</f>
        <v/>
      </c>
      <c r="D1503" s="6" t="str">
        <f ca="1">IF(AND(NEGOCIAÇÕES!O1503="",NEGOCIAÇÕES!N1503&gt;TODAY()),NEGOCIAÇÕES!D1503,"")</f>
        <v/>
      </c>
      <c r="E1503" s="9" t="str">
        <f>IF(AND(NEGOCIAÇÕES!B1503&lt;&gt;"",NEGOCIAÇÕES!O1503=""),NEGOCIAÇÕES!N1503,"")</f>
        <v/>
      </c>
    </row>
    <row r="1504" spans="2:5" ht="31.95" hidden="1" customHeight="1" x14ac:dyDescent="0.3">
      <c r="B1504" s="6" t="str">
        <f ca="1">IF(AND(NEGOCIAÇÕES!O1504="",NEGOCIAÇÕES!N1504&gt;TODAY()),NEGOCIAÇÕES!C1504,"")</f>
        <v/>
      </c>
      <c r="C1504" s="6" t="str">
        <f ca="1">IF(AND(NEGOCIAÇÕES!O1504="",NEGOCIAÇÕES!N1504&gt;TODAY()),NEGOCIAÇÕES!E1504,"")</f>
        <v/>
      </c>
      <c r="D1504" s="6" t="str">
        <f ca="1">IF(AND(NEGOCIAÇÕES!O1504="",NEGOCIAÇÕES!N1504&gt;TODAY()),NEGOCIAÇÕES!D1504,"")</f>
        <v/>
      </c>
      <c r="E1504" s="9" t="str">
        <f>IF(AND(NEGOCIAÇÕES!B1504&lt;&gt;"",NEGOCIAÇÕES!O1504=""),NEGOCIAÇÕES!N1504,"")</f>
        <v/>
      </c>
    </row>
    <row r="1505" spans="2:5" ht="31.95" hidden="1" customHeight="1" x14ac:dyDescent="0.3">
      <c r="B1505" s="6" t="str">
        <f ca="1">IF(AND(NEGOCIAÇÕES!O1505="",NEGOCIAÇÕES!N1505&gt;TODAY()),NEGOCIAÇÕES!C1505,"")</f>
        <v/>
      </c>
      <c r="C1505" s="6" t="str">
        <f ca="1">IF(AND(NEGOCIAÇÕES!O1505="",NEGOCIAÇÕES!N1505&gt;TODAY()),NEGOCIAÇÕES!E1505,"")</f>
        <v/>
      </c>
      <c r="D1505" s="6" t="str">
        <f ca="1">IF(AND(NEGOCIAÇÕES!O1505="",NEGOCIAÇÕES!N1505&gt;TODAY()),NEGOCIAÇÕES!D1505,"")</f>
        <v/>
      </c>
      <c r="E1505" s="9" t="str">
        <f>IF(AND(NEGOCIAÇÕES!B1505&lt;&gt;"",NEGOCIAÇÕES!O1505=""),NEGOCIAÇÕES!N1505,"")</f>
        <v/>
      </c>
    </row>
    <row r="1506" spans="2:5" ht="31.95" hidden="1" customHeight="1" x14ac:dyDescent="0.3">
      <c r="B1506" s="6" t="str">
        <f ca="1">IF(AND(NEGOCIAÇÕES!O1506="",NEGOCIAÇÕES!N1506&gt;TODAY()),NEGOCIAÇÕES!C1506,"")</f>
        <v/>
      </c>
      <c r="C1506" s="6" t="str">
        <f ca="1">IF(AND(NEGOCIAÇÕES!O1506="",NEGOCIAÇÕES!N1506&gt;TODAY()),NEGOCIAÇÕES!E1506,"")</f>
        <v/>
      </c>
      <c r="D1506" s="6" t="str">
        <f ca="1">IF(AND(NEGOCIAÇÕES!O1506="",NEGOCIAÇÕES!N1506&gt;TODAY()),NEGOCIAÇÕES!D1506,"")</f>
        <v/>
      </c>
      <c r="E1506" s="9" t="str">
        <f>IF(AND(NEGOCIAÇÕES!B1506&lt;&gt;"",NEGOCIAÇÕES!O1506=""),NEGOCIAÇÕES!N1506,"")</f>
        <v/>
      </c>
    </row>
    <row r="1507" spans="2:5" ht="31.95" hidden="1" customHeight="1" x14ac:dyDescent="0.3">
      <c r="B1507" s="6" t="str">
        <f ca="1">IF(AND(NEGOCIAÇÕES!O1507="",NEGOCIAÇÕES!N1507&gt;TODAY()),NEGOCIAÇÕES!C1507,"")</f>
        <v/>
      </c>
      <c r="C1507" s="6" t="str">
        <f ca="1">IF(AND(NEGOCIAÇÕES!O1507="",NEGOCIAÇÕES!N1507&gt;TODAY()),NEGOCIAÇÕES!E1507,"")</f>
        <v/>
      </c>
      <c r="D1507" s="6" t="str">
        <f ca="1">IF(AND(NEGOCIAÇÕES!O1507="",NEGOCIAÇÕES!N1507&gt;TODAY()),NEGOCIAÇÕES!D1507,"")</f>
        <v/>
      </c>
      <c r="E1507" s="9" t="str">
        <f>IF(AND(NEGOCIAÇÕES!B1507&lt;&gt;"",NEGOCIAÇÕES!O1507=""),NEGOCIAÇÕES!N1507,"")</f>
        <v/>
      </c>
    </row>
    <row r="1508" spans="2:5" ht="31.95" hidden="1" customHeight="1" x14ac:dyDescent="0.3">
      <c r="B1508" s="6" t="str">
        <f ca="1">IF(AND(NEGOCIAÇÕES!O1508="",NEGOCIAÇÕES!N1508&gt;TODAY()),NEGOCIAÇÕES!C1508,"")</f>
        <v/>
      </c>
      <c r="C1508" s="6" t="str">
        <f ca="1">IF(AND(NEGOCIAÇÕES!O1508="",NEGOCIAÇÕES!N1508&gt;TODAY()),NEGOCIAÇÕES!E1508,"")</f>
        <v/>
      </c>
      <c r="D1508" s="6" t="str">
        <f ca="1">IF(AND(NEGOCIAÇÕES!O1508="",NEGOCIAÇÕES!N1508&gt;TODAY()),NEGOCIAÇÕES!D1508,"")</f>
        <v/>
      </c>
      <c r="E1508" s="9" t="str">
        <f>IF(AND(NEGOCIAÇÕES!B1508&lt;&gt;"",NEGOCIAÇÕES!O1508=""),NEGOCIAÇÕES!N1508,"")</f>
        <v/>
      </c>
    </row>
    <row r="1509" spans="2:5" ht="31.95" hidden="1" customHeight="1" x14ac:dyDescent="0.3">
      <c r="B1509" s="6" t="str">
        <f ca="1">IF(AND(NEGOCIAÇÕES!O1509="",NEGOCIAÇÕES!N1509&gt;TODAY()),NEGOCIAÇÕES!C1509,"")</f>
        <v/>
      </c>
      <c r="C1509" s="6" t="str">
        <f ca="1">IF(AND(NEGOCIAÇÕES!O1509="",NEGOCIAÇÕES!N1509&gt;TODAY()),NEGOCIAÇÕES!E1509,"")</f>
        <v/>
      </c>
      <c r="D1509" s="6" t="str">
        <f ca="1">IF(AND(NEGOCIAÇÕES!O1509="",NEGOCIAÇÕES!N1509&gt;TODAY()),NEGOCIAÇÕES!D1509,"")</f>
        <v/>
      </c>
      <c r="E1509" s="9" t="str">
        <f>IF(AND(NEGOCIAÇÕES!B1509&lt;&gt;"",NEGOCIAÇÕES!O1509=""),NEGOCIAÇÕES!N1509,"")</f>
        <v/>
      </c>
    </row>
    <row r="1510" spans="2:5" ht="31.95" hidden="1" customHeight="1" x14ac:dyDescent="0.3">
      <c r="B1510" s="6" t="str">
        <f ca="1">IF(AND(NEGOCIAÇÕES!O1510="",NEGOCIAÇÕES!N1510&gt;TODAY()),NEGOCIAÇÕES!C1510,"")</f>
        <v/>
      </c>
      <c r="C1510" s="6" t="str">
        <f ca="1">IF(AND(NEGOCIAÇÕES!O1510="",NEGOCIAÇÕES!N1510&gt;TODAY()),NEGOCIAÇÕES!E1510,"")</f>
        <v/>
      </c>
      <c r="D1510" s="6" t="str">
        <f ca="1">IF(AND(NEGOCIAÇÕES!O1510="",NEGOCIAÇÕES!N1510&gt;TODAY()),NEGOCIAÇÕES!D1510,"")</f>
        <v/>
      </c>
      <c r="E1510" s="9" t="str">
        <f>IF(AND(NEGOCIAÇÕES!B1510&lt;&gt;"",NEGOCIAÇÕES!O1510=""),NEGOCIAÇÕES!N1510,"")</f>
        <v/>
      </c>
    </row>
    <row r="1511" spans="2:5" ht="31.95" hidden="1" customHeight="1" x14ac:dyDescent="0.3">
      <c r="B1511" s="6" t="str">
        <f ca="1">IF(AND(NEGOCIAÇÕES!O1511="",NEGOCIAÇÕES!N1511&gt;TODAY()),NEGOCIAÇÕES!C1511,"")</f>
        <v/>
      </c>
      <c r="C1511" s="6" t="str">
        <f ca="1">IF(AND(NEGOCIAÇÕES!O1511="",NEGOCIAÇÕES!N1511&gt;TODAY()),NEGOCIAÇÕES!E1511,"")</f>
        <v/>
      </c>
      <c r="D1511" s="6" t="str">
        <f ca="1">IF(AND(NEGOCIAÇÕES!O1511="",NEGOCIAÇÕES!N1511&gt;TODAY()),NEGOCIAÇÕES!D1511,"")</f>
        <v/>
      </c>
      <c r="E1511" s="9" t="str">
        <f>IF(AND(NEGOCIAÇÕES!B1511&lt;&gt;"",NEGOCIAÇÕES!O1511=""),NEGOCIAÇÕES!N1511,"")</f>
        <v/>
      </c>
    </row>
    <row r="1512" spans="2:5" ht="31.95" hidden="1" customHeight="1" x14ac:dyDescent="0.3">
      <c r="B1512" s="6" t="str">
        <f ca="1">IF(AND(NEGOCIAÇÕES!O1512="",NEGOCIAÇÕES!N1512&gt;TODAY()),NEGOCIAÇÕES!C1512,"")</f>
        <v/>
      </c>
      <c r="C1512" s="6" t="str">
        <f ca="1">IF(AND(NEGOCIAÇÕES!O1512="",NEGOCIAÇÕES!N1512&gt;TODAY()),NEGOCIAÇÕES!E1512,"")</f>
        <v/>
      </c>
      <c r="D1512" s="6" t="str">
        <f ca="1">IF(AND(NEGOCIAÇÕES!O1512="",NEGOCIAÇÕES!N1512&gt;TODAY()),NEGOCIAÇÕES!D1512,"")</f>
        <v/>
      </c>
      <c r="E1512" s="9" t="str">
        <f>IF(AND(NEGOCIAÇÕES!B1512&lt;&gt;"",NEGOCIAÇÕES!O1512=""),NEGOCIAÇÕES!N1512,"")</f>
        <v/>
      </c>
    </row>
    <row r="1513" spans="2:5" ht="31.95" hidden="1" customHeight="1" x14ac:dyDescent="0.3">
      <c r="B1513" s="6" t="str">
        <f ca="1">IF(AND(NEGOCIAÇÕES!O1513="",NEGOCIAÇÕES!N1513&gt;TODAY()),NEGOCIAÇÕES!C1513,"")</f>
        <v/>
      </c>
      <c r="C1513" s="6" t="str">
        <f ca="1">IF(AND(NEGOCIAÇÕES!O1513="",NEGOCIAÇÕES!N1513&gt;TODAY()),NEGOCIAÇÕES!E1513,"")</f>
        <v/>
      </c>
      <c r="D1513" s="6" t="str">
        <f ca="1">IF(AND(NEGOCIAÇÕES!O1513="",NEGOCIAÇÕES!N1513&gt;TODAY()),NEGOCIAÇÕES!D1513,"")</f>
        <v/>
      </c>
      <c r="E1513" s="9" t="str">
        <f>IF(AND(NEGOCIAÇÕES!B1513&lt;&gt;"",NEGOCIAÇÕES!O1513=""),NEGOCIAÇÕES!N1513,"")</f>
        <v/>
      </c>
    </row>
    <row r="1514" spans="2:5" ht="31.95" hidden="1" customHeight="1" x14ac:dyDescent="0.3">
      <c r="B1514" s="6" t="str">
        <f ca="1">IF(AND(NEGOCIAÇÕES!O1514="",NEGOCIAÇÕES!N1514&gt;TODAY()),NEGOCIAÇÕES!C1514,"")</f>
        <v/>
      </c>
      <c r="C1514" s="6" t="str">
        <f ca="1">IF(AND(NEGOCIAÇÕES!O1514="",NEGOCIAÇÕES!N1514&gt;TODAY()),NEGOCIAÇÕES!E1514,"")</f>
        <v/>
      </c>
      <c r="D1514" s="6" t="str">
        <f ca="1">IF(AND(NEGOCIAÇÕES!O1514="",NEGOCIAÇÕES!N1514&gt;TODAY()),NEGOCIAÇÕES!D1514,"")</f>
        <v/>
      </c>
      <c r="E1514" s="9" t="str">
        <f>IF(AND(NEGOCIAÇÕES!B1514&lt;&gt;"",NEGOCIAÇÕES!O1514=""),NEGOCIAÇÕES!N1514,"")</f>
        <v/>
      </c>
    </row>
    <row r="1515" spans="2:5" ht="31.95" hidden="1" customHeight="1" x14ac:dyDescent="0.3">
      <c r="B1515" s="6" t="str">
        <f ca="1">IF(AND(NEGOCIAÇÕES!O1515="",NEGOCIAÇÕES!N1515&gt;TODAY()),NEGOCIAÇÕES!C1515,"")</f>
        <v/>
      </c>
      <c r="C1515" s="6" t="str">
        <f ca="1">IF(AND(NEGOCIAÇÕES!O1515="",NEGOCIAÇÕES!N1515&gt;TODAY()),NEGOCIAÇÕES!E1515,"")</f>
        <v/>
      </c>
      <c r="D1515" s="6" t="str">
        <f ca="1">IF(AND(NEGOCIAÇÕES!O1515="",NEGOCIAÇÕES!N1515&gt;TODAY()),NEGOCIAÇÕES!D1515,"")</f>
        <v/>
      </c>
      <c r="E1515" s="9" t="str">
        <f>IF(AND(NEGOCIAÇÕES!B1515&lt;&gt;"",NEGOCIAÇÕES!O1515=""),NEGOCIAÇÕES!N1515,"")</f>
        <v/>
      </c>
    </row>
    <row r="1516" spans="2:5" ht="31.95" hidden="1" customHeight="1" x14ac:dyDescent="0.3">
      <c r="B1516" s="6" t="str">
        <f ca="1">IF(AND(NEGOCIAÇÕES!O1516="",NEGOCIAÇÕES!N1516&gt;TODAY()),NEGOCIAÇÕES!C1516,"")</f>
        <v/>
      </c>
      <c r="C1516" s="6" t="str">
        <f ca="1">IF(AND(NEGOCIAÇÕES!O1516="",NEGOCIAÇÕES!N1516&gt;TODAY()),NEGOCIAÇÕES!E1516,"")</f>
        <v/>
      </c>
      <c r="D1516" s="6" t="str">
        <f ca="1">IF(AND(NEGOCIAÇÕES!O1516="",NEGOCIAÇÕES!N1516&gt;TODAY()),NEGOCIAÇÕES!D1516,"")</f>
        <v/>
      </c>
      <c r="E1516" s="9" t="str">
        <f>IF(AND(NEGOCIAÇÕES!B1516&lt;&gt;"",NEGOCIAÇÕES!O1516=""),NEGOCIAÇÕES!N1516,"")</f>
        <v/>
      </c>
    </row>
    <row r="1517" spans="2:5" ht="31.95" hidden="1" customHeight="1" x14ac:dyDescent="0.3">
      <c r="B1517" s="6" t="str">
        <f ca="1">IF(AND(NEGOCIAÇÕES!O1517="",NEGOCIAÇÕES!N1517&gt;TODAY()),NEGOCIAÇÕES!C1517,"")</f>
        <v/>
      </c>
      <c r="C1517" s="6" t="str">
        <f ca="1">IF(AND(NEGOCIAÇÕES!O1517="",NEGOCIAÇÕES!N1517&gt;TODAY()),NEGOCIAÇÕES!E1517,"")</f>
        <v/>
      </c>
      <c r="D1517" s="6" t="str">
        <f ca="1">IF(AND(NEGOCIAÇÕES!O1517="",NEGOCIAÇÕES!N1517&gt;TODAY()),NEGOCIAÇÕES!D1517,"")</f>
        <v/>
      </c>
      <c r="E1517" s="9" t="str">
        <f>IF(AND(NEGOCIAÇÕES!B1517&lt;&gt;"",NEGOCIAÇÕES!O1517=""),NEGOCIAÇÕES!N1517,"")</f>
        <v/>
      </c>
    </row>
    <row r="1518" spans="2:5" ht="31.95" hidden="1" customHeight="1" x14ac:dyDescent="0.3">
      <c r="B1518" s="6" t="str">
        <f ca="1">IF(AND(NEGOCIAÇÕES!O1518="",NEGOCIAÇÕES!N1518&gt;TODAY()),NEGOCIAÇÕES!C1518,"")</f>
        <v/>
      </c>
      <c r="C1518" s="6" t="str">
        <f ca="1">IF(AND(NEGOCIAÇÕES!O1518="",NEGOCIAÇÕES!N1518&gt;TODAY()),NEGOCIAÇÕES!E1518,"")</f>
        <v/>
      </c>
      <c r="D1518" s="6" t="str">
        <f ca="1">IF(AND(NEGOCIAÇÕES!O1518="",NEGOCIAÇÕES!N1518&gt;TODAY()),NEGOCIAÇÕES!D1518,"")</f>
        <v/>
      </c>
      <c r="E1518" s="9" t="str">
        <f>IF(AND(NEGOCIAÇÕES!B1518&lt;&gt;"",NEGOCIAÇÕES!O1518=""),NEGOCIAÇÕES!N1518,"")</f>
        <v/>
      </c>
    </row>
    <row r="1519" spans="2:5" ht="31.95" hidden="1" customHeight="1" x14ac:dyDescent="0.3">
      <c r="B1519" s="6" t="str">
        <f ca="1">IF(AND(NEGOCIAÇÕES!O1519="",NEGOCIAÇÕES!N1519&gt;TODAY()),NEGOCIAÇÕES!C1519,"")</f>
        <v/>
      </c>
      <c r="C1519" s="6" t="str">
        <f ca="1">IF(AND(NEGOCIAÇÕES!O1519="",NEGOCIAÇÕES!N1519&gt;TODAY()),NEGOCIAÇÕES!E1519,"")</f>
        <v/>
      </c>
      <c r="D1519" s="6" t="str">
        <f ca="1">IF(AND(NEGOCIAÇÕES!O1519="",NEGOCIAÇÕES!N1519&gt;TODAY()),NEGOCIAÇÕES!D1519,"")</f>
        <v/>
      </c>
      <c r="E1519" s="9" t="str">
        <f>IF(AND(NEGOCIAÇÕES!B1519&lt;&gt;"",NEGOCIAÇÕES!O1519=""),NEGOCIAÇÕES!N1519,"")</f>
        <v/>
      </c>
    </row>
    <row r="1520" spans="2:5" ht="31.95" hidden="1" customHeight="1" x14ac:dyDescent="0.3">
      <c r="B1520" s="6" t="str">
        <f ca="1">IF(AND(NEGOCIAÇÕES!O1520="",NEGOCIAÇÕES!N1520&gt;TODAY()),NEGOCIAÇÕES!C1520,"")</f>
        <v/>
      </c>
      <c r="C1520" s="6" t="str">
        <f ca="1">IF(AND(NEGOCIAÇÕES!O1520="",NEGOCIAÇÕES!N1520&gt;TODAY()),NEGOCIAÇÕES!E1520,"")</f>
        <v/>
      </c>
      <c r="D1520" s="6" t="str">
        <f ca="1">IF(AND(NEGOCIAÇÕES!O1520="",NEGOCIAÇÕES!N1520&gt;TODAY()),NEGOCIAÇÕES!D1520,"")</f>
        <v/>
      </c>
      <c r="E1520" s="9" t="str">
        <f>IF(AND(NEGOCIAÇÕES!B1520&lt;&gt;"",NEGOCIAÇÕES!O1520=""),NEGOCIAÇÕES!N1520,"")</f>
        <v/>
      </c>
    </row>
    <row r="1521" spans="2:5" ht="31.95" hidden="1" customHeight="1" x14ac:dyDescent="0.3">
      <c r="B1521" s="6" t="str">
        <f ca="1">IF(AND(NEGOCIAÇÕES!O1521="",NEGOCIAÇÕES!N1521&gt;TODAY()),NEGOCIAÇÕES!C1521,"")</f>
        <v/>
      </c>
      <c r="C1521" s="6" t="str">
        <f ca="1">IF(AND(NEGOCIAÇÕES!O1521="",NEGOCIAÇÕES!N1521&gt;TODAY()),NEGOCIAÇÕES!E1521,"")</f>
        <v/>
      </c>
      <c r="D1521" s="6" t="str">
        <f ca="1">IF(AND(NEGOCIAÇÕES!O1521="",NEGOCIAÇÕES!N1521&gt;TODAY()),NEGOCIAÇÕES!D1521,"")</f>
        <v/>
      </c>
      <c r="E1521" s="9" t="str">
        <f>IF(AND(NEGOCIAÇÕES!B1521&lt;&gt;"",NEGOCIAÇÕES!O1521=""),NEGOCIAÇÕES!N1521,"")</f>
        <v/>
      </c>
    </row>
    <row r="1522" spans="2:5" ht="31.95" hidden="1" customHeight="1" x14ac:dyDescent="0.3">
      <c r="B1522" s="6" t="str">
        <f ca="1">IF(AND(NEGOCIAÇÕES!O1522="",NEGOCIAÇÕES!N1522&gt;TODAY()),NEGOCIAÇÕES!C1522,"")</f>
        <v/>
      </c>
      <c r="C1522" s="6" t="str">
        <f ca="1">IF(AND(NEGOCIAÇÕES!O1522="",NEGOCIAÇÕES!N1522&gt;TODAY()),NEGOCIAÇÕES!E1522,"")</f>
        <v/>
      </c>
      <c r="D1522" s="6" t="str">
        <f ca="1">IF(AND(NEGOCIAÇÕES!O1522="",NEGOCIAÇÕES!N1522&gt;TODAY()),NEGOCIAÇÕES!D1522,"")</f>
        <v/>
      </c>
      <c r="E1522" s="9" t="str">
        <f>IF(AND(NEGOCIAÇÕES!B1522&lt;&gt;"",NEGOCIAÇÕES!O1522=""),NEGOCIAÇÕES!N1522,"")</f>
        <v/>
      </c>
    </row>
    <row r="1523" spans="2:5" ht="31.95" hidden="1" customHeight="1" x14ac:dyDescent="0.3">
      <c r="B1523" s="6" t="str">
        <f ca="1">IF(AND(NEGOCIAÇÕES!O1523="",NEGOCIAÇÕES!N1523&gt;TODAY()),NEGOCIAÇÕES!C1523,"")</f>
        <v/>
      </c>
      <c r="C1523" s="6" t="str">
        <f ca="1">IF(AND(NEGOCIAÇÕES!O1523="",NEGOCIAÇÕES!N1523&gt;TODAY()),NEGOCIAÇÕES!E1523,"")</f>
        <v/>
      </c>
      <c r="D1523" s="6" t="str">
        <f ca="1">IF(AND(NEGOCIAÇÕES!O1523="",NEGOCIAÇÕES!N1523&gt;TODAY()),NEGOCIAÇÕES!D1523,"")</f>
        <v/>
      </c>
      <c r="E1523" s="9" t="str">
        <f>IF(AND(NEGOCIAÇÕES!B1523&lt;&gt;"",NEGOCIAÇÕES!O1523=""),NEGOCIAÇÕES!N1523,"")</f>
        <v/>
      </c>
    </row>
    <row r="1524" spans="2:5" ht="31.95" hidden="1" customHeight="1" x14ac:dyDescent="0.3">
      <c r="B1524" s="6" t="str">
        <f ca="1">IF(AND(NEGOCIAÇÕES!O1524="",NEGOCIAÇÕES!N1524&gt;TODAY()),NEGOCIAÇÕES!C1524,"")</f>
        <v/>
      </c>
      <c r="C1524" s="6" t="str">
        <f ca="1">IF(AND(NEGOCIAÇÕES!O1524="",NEGOCIAÇÕES!N1524&gt;TODAY()),NEGOCIAÇÕES!E1524,"")</f>
        <v/>
      </c>
      <c r="D1524" s="6" t="str">
        <f ca="1">IF(AND(NEGOCIAÇÕES!O1524="",NEGOCIAÇÕES!N1524&gt;TODAY()),NEGOCIAÇÕES!D1524,"")</f>
        <v/>
      </c>
      <c r="E1524" s="9" t="str">
        <f>IF(AND(NEGOCIAÇÕES!B1524&lt;&gt;"",NEGOCIAÇÕES!O1524=""),NEGOCIAÇÕES!N1524,"")</f>
        <v/>
      </c>
    </row>
    <row r="1525" spans="2:5" ht="31.95" hidden="1" customHeight="1" x14ac:dyDescent="0.3">
      <c r="B1525" s="6" t="str">
        <f ca="1">IF(AND(NEGOCIAÇÕES!O1525="",NEGOCIAÇÕES!N1525&gt;TODAY()),NEGOCIAÇÕES!C1525,"")</f>
        <v/>
      </c>
      <c r="C1525" s="6" t="str">
        <f ca="1">IF(AND(NEGOCIAÇÕES!O1525="",NEGOCIAÇÕES!N1525&gt;TODAY()),NEGOCIAÇÕES!E1525,"")</f>
        <v/>
      </c>
      <c r="D1525" s="6" t="str">
        <f ca="1">IF(AND(NEGOCIAÇÕES!O1525="",NEGOCIAÇÕES!N1525&gt;TODAY()),NEGOCIAÇÕES!D1525,"")</f>
        <v/>
      </c>
      <c r="E1525" s="9" t="str">
        <f>IF(AND(NEGOCIAÇÕES!B1525&lt;&gt;"",NEGOCIAÇÕES!O1525=""),NEGOCIAÇÕES!N1525,"")</f>
        <v/>
      </c>
    </row>
    <row r="1526" spans="2:5" ht="31.95" hidden="1" customHeight="1" x14ac:dyDescent="0.3">
      <c r="B1526" s="6" t="str">
        <f ca="1">IF(AND(NEGOCIAÇÕES!O1526="",NEGOCIAÇÕES!N1526&gt;TODAY()),NEGOCIAÇÕES!C1526,"")</f>
        <v/>
      </c>
      <c r="C1526" s="6" t="str">
        <f ca="1">IF(AND(NEGOCIAÇÕES!O1526="",NEGOCIAÇÕES!N1526&gt;TODAY()),NEGOCIAÇÕES!E1526,"")</f>
        <v/>
      </c>
      <c r="D1526" s="6" t="str">
        <f ca="1">IF(AND(NEGOCIAÇÕES!O1526="",NEGOCIAÇÕES!N1526&gt;TODAY()),NEGOCIAÇÕES!D1526,"")</f>
        <v/>
      </c>
      <c r="E1526" s="9" t="str">
        <f>IF(AND(NEGOCIAÇÕES!B1526&lt;&gt;"",NEGOCIAÇÕES!O1526=""),NEGOCIAÇÕES!N1526,"")</f>
        <v/>
      </c>
    </row>
    <row r="1527" spans="2:5" ht="31.95" hidden="1" customHeight="1" x14ac:dyDescent="0.3">
      <c r="B1527" s="6" t="str">
        <f ca="1">IF(AND(NEGOCIAÇÕES!O1527="",NEGOCIAÇÕES!N1527&gt;TODAY()),NEGOCIAÇÕES!C1527,"")</f>
        <v/>
      </c>
      <c r="C1527" s="6" t="str">
        <f ca="1">IF(AND(NEGOCIAÇÕES!O1527="",NEGOCIAÇÕES!N1527&gt;TODAY()),NEGOCIAÇÕES!E1527,"")</f>
        <v/>
      </c>
      <c r="D1527" s="6" t="str">
        <f ca="1">IF(AND(NEGOCIAÇÕES!O1527="",NEGOCIAÇÕES!N1527&gt;TODAY()),NEGOCIAÇÕES!D1527,"")</f>
        <v/>
      </c>
      <c r="E1527" s="9" t="str">
        <f>IF(AND(NEGOCIAÇÕES!B1527&lt;&gt;"",NEGOCIAÇÕES!O1527=""),NEGOCIAÇÕES!N1527,"")</f>
        <v/>
      </c>
    </row>
    <row r="1528" spans="2:5" ht="31.95" hidden="1" customHeight="1" x14ac:dyDescent="0.3">
      <c r="B1528" s="6" t="str">
        <f ca="1">IF(AND(NEGOCIAÇÕES!O1528="",NEGOCIAÇÕES!N1528&gt;TODAY()),NEGOCIAÇÕES!C1528,"")</f>
        <v/>
      </c>
      <c r="C1528" s="6" t="str">
        <f ca="1">IF(AND(NEGOCIAÇÕES!O1528="",NEGOCIAÇÕES!N1528&gt;TODAY()),NEGOCIAÇÕES!E1528,"")</f>
        <v/>
      </c>
      <c r="D1528" s="6" t="str">
        <f ca="1">IF(AND(NEGOCIAÇÕES!O1528="",NEGOCIAÇÕES!N1528&gt;TODAY()),NEGOCIAÇÕES!D1528,"")</f>
        <v/>
      </c>
      <c r="E1528" s="9" t="str">
        <f>IF(AND(NEGOCIAÇÕES!B1528&lt;&gt;"",NEGOCIAÇÕES!O1528=""),NEGOCIAÇÕES!N1528,"")</f>
        <v/>
      </c>
    </row>
    <row r="1529" spans="2:5" ht="31.95" hidden="1" customHeight="1" x14ac:dyDescent="0.3">
      <c r="B1529" s="6" t="str">
        <f ca="1">IF(AND(NEGOCIAÇÕES!O1529="",NEGOCIAÇÕES!N1529&gt;TODAY()),NEGOCIAÇÕES!C1529,"")</f>
        <v/>
      </c>
      <c r="C1529" s="6" t="str">
        <f ca="1">IF(AND(NEGOCIAÇÕES!O1529="",NEGOCIAÇÕES!N1529&gt;TODAY()),NEGOCIAÇÕES!E1529,"")</f>
        <v/>
      </c>
      <c r="D1529" s="6" t="str">
        <f ca="1">IF(AND(NEGOCIAÇÕES!O1529="",NEGOCIAÇÕES!N1529&gt;TODAY()),NEGOCIAÇÕES!D1529,"")</f>
        <v/>
      </c>
      <c r="E1529" s="9" t="str">
        <f>IF(AND(NEGOCIAÇÕES!B1529&lt;&gt;"",NEGOCIAÇÕES!O1529=""),NEGOCIAÇÕES!N1529,"")</f>
        <v/>
      </c>
    </row>
    <row r="1530" spans="2:5" ht="31.95" hidden="1" customHeight="1" x14ac:dyDescent="0.3">
      <c r="B1530" s="6" t="str">
        <f ca="1">IF(AND(NEGOCIAÇÕES!O1530="",NEGOCIAÇÕES!N1530&gt;TODAY()),NEGOCIAÇÕES!C1530,"")</f>
        <v/>
      </c>
      <c r="C1530" s="6" t="str">
        <f ca="1">IF(AND(NEGOCIAÇÕES!O1530="",NEGOCIAÇÕES!N1530&gt;TODAY()),NEGOCIAÇÕES!E1530,"")</f>
        <v/>
      </c>
      <c r="D1530" s="6" t="str">
        <f ca="1">IF(AND(NEGOCIAÇÕES!O1530="",NEGOCIAÇÕES!N1530&gt;TODAY()),NEGOCIAÇÕES!D1530,"")</f>
        <v/>
      </c>
      <c r="E1530" s="9" t="str">
        <f>IF(AND(NEGOCIAÇÕES!B1530&lt;&gt;"",NEGOCIAÇÕES!O1530=""),NEGOCIAÇÕES!N1530,"")</f>
        <v/>
      </c>
    </row>
    <row r="1531" spans="2:5" ht="31.95" hidden="1" customHeight="1" x14ac:dyDescent="0.3">
      <c r="B1531" s="6" t="str">
        <f ca="1">IF(AND(NEGOCIAÇÕES!O1531="",NEGOCIAÇÕES!N1531&gt;TODAY()),NEGOCIAÇÕES!C1531,"")</f>
        <v/>
      </c>
      <c r="C1531" s="6" t="str">
        <f ca="1">IF(AND(NEGOCIAÇÕES!O1531="",NEGOCIAÇÕES!N1531&gt;TODAY()),NEGOCIAÇÕES!E1531,"")</f>
        <v/>
      </c>
      <c r="D1531" s="6" t="str">
        <f ca="1">IF(AND(NEGOCIAÇÕES!O1531="",NEGOCIAÇÕES!N1531&gt;TODAY()),NEGOCIAÇÕES!D1531,"")</f>
        <v/>
      </c>
      <c r="E1531" s="9" t="str">
        <f>IF(AND(NEGOCIAÇÕES!B1531&lt;&gt;"",NEGOCIAÇÕES!O1531=""),NEGOCIAÇÕES!N1531,"")</f>
        <v/>
      </c>
    </row>
    <row r="1532" spans="2:5" ht="31.95" hidden="1" customHeight="1" x14ac:dyDescent="0.3">
      <c r="B1532" s="6" t="str">
        <f ca="1">IF(AND(NEGOCIAÇÕES!O1532="",NEGOCIAÇÕES!N1532&gt;TODAY()),NEGOCIAÇÕES!C1532,"")</f>
        <v/>
      </c>
      <c r="C1532" s="6" t="str">
        <f ca="1">IF(AND(NEGOCIAÇÕES!O1532="",NEGOCIAÇÕES!N1532&gt;TODAY()),NEGOCIAÇÕES!E1532,"")</f>
        <v/>
      </c>
      <c r="D1532" s="6" t="str">
        <f ca="1">IF(AND(NEGOCIAÇÕES!O1532="",NEGOCIAÇÕES!N1532&gt;TODAY()),NEGOCIAÇÕES!D1532,"")</f>
        <v/>
      </c>
      <c r="E1532" s="9" t="str">
        <f>IF(AND(NEGOCIAÇÕES!B1532&lt;&gt;"",NEGOCIAÇÕES!O1532=""),NEGOCIAÇÕES!N1532,"")</f>
        <v/>
      </c>
    </row>
    <row r="1533" spans="2:5" ht="31.95" hidden="1" customHeight="1" x14ac:dyDescent="0.3">
      <c r="B1533" s="6" t="str">
        <f ca="1">IF(AND(NEGOCIAÇÕES!O1533="",NEGOCIAÇÕES!N1533&gt;TODAY()),NEGOCIAÇÕES!C1533,"")</f>
        <v/>
      </c>
      <c r="C1533" s="6" t="str">
        <f ca="1">IF(AND(NEGOCIAÇÕES!O1533="",NEGOCIAÇÕES!N1533&gt;TODAY()),NEGOCIAÇÕES!E1533,"")</f>
        <v/>
      </c>
      <c r="D1533" s="6" t="str">
        <f ca="1">IF(AND(NEGOCIAÇÕES!O1533="",NEGOCIAÇÕES!N1533&gt;TODAY()),NEGOCIAÇÕES!D1533,"")</f>
        <v/>
      </c>
      <c r="E1533" s="9" t="str">
        <f>IF(AND(NEGOCIAÇÕES!B1533&lt;&gt;"",NEGOCIAÇÕES!O1533=""),NEGOCIAÇÕES!N1533,"")</f>
        <v/>
      </c>
    </row>
    <row r="1534" spans="2:5" ht="31.95" hidden="1" customHeight="1" x14ac:dyDescent="0.3">
      <c r="B1534" s="6" t="str">
        <f ca="1">IF(AND(NEGOCIAÇÕES!O1534="",NEGOCIAÇÕES!N1534&gt;TODAY()),NEGOCIAÇÕES!C1534,"")</f>
        <v/>
      </c>
      <c r="C1534" s="6" t="str">
        <f ca="1">IF(AND(NEGOCIAÇÕES!O1534="",NEGOCIAÇÕES!N1534&gt;TODAY()),NEGOCIAÇÕES!E1534,"")</f>
        <v/>
      </c>
      <c r="D1534" s="6" t="str">
        <f ca="1">IF(AND(NEGOCIAÇÕES!O1534="",NEGOCIAÇÕES!N1534&gt;TODAY()),NEGOCIAÇÕES!D1534,"")</f>
        <v/>
      </c>
      <c r="E1534" s="9" t="str">
        <f>IF(AND(NEGOCIAÇÕES!B1534&lt;&gt;"",NEGOCIAÇÕES!O1534=""),NEGOCIAÇÕES!N1534,"")</f>
        <v/>
      </c>
    </row>
    <row r="1535" spans="2:5" ht="31.95" hidden="1" customHeight="1" x14ac:dyDescent="0.3">
      <c r="B1535" s="6" t="str">
        <f ca="1">IF(AND(NEGOCIAÇÕES!O1535="",NEGOCIAÇÕES!N1535&gt;TODAY()),NEGOCIAÇÕES!C1535,"")</f>
        <v/>
      </c>
      <c r="C1535" s="6" t="str">
        <f ca="1">IF(AND(NEGOCIAÇÕES!O1535="",NEGOCIAÇÕES!N1535&gt;TODAY()),NEGOCIAÇÕES!E1535,"")</f>
        <v/>
      </c>
      <c r="D1535" s="6" t="str">
        <f ca="1">IF(AND(NEGOCIAÇÕES!O1535="",NEGOCIAÇÕES!N1535&gt;TODAY()),NEGOCIAÇÕES!D1535,"")</f>
        <v/>
      </c>
      <c r="E1535" s="9" t="str">
        <f>IF(AND(NEGOCIAÇÕES!B1535&lt;&gt;"",NEGOCIAÇÕES!O1535=""),NEGOCIAÇÕES!N1535,"")</f>
        <v/>
      </c>
    </row>
    <row r="1536" spans="2:5" ht="31.95" hidden="1" customHeight="1" x14ac:dyDescent="0.3">
      <c r="B1536" s="6" t="str">
        <f ca="1">IF(AND(NEGOCIAÇÕES!O1536="",NEGOCIAÇÕES!N1536&gt;TODAY()),NEGOCIAÇÕES!C1536,"")</f>
        <v/>
      </c>
      <c r="C1536" s="6" t="str">
        <f ca="1">IF(AND(NEGOCIAÇÕES!O1536="",NEGOCIAÇÕES!N1536&gt;TODAY()),NEGOCIAÇÕES!E1536,"")</f>
        <v/>
      </c>
      <c r="D1536" s="6" t="str">
        <f ca="1">IF(AND(NEGOCIAÇÕES!O1536="",NEGOCIAÇÕES!N1536&gt;TODAY()),NEGOCIAÇÕES!D1536,"")</f>
        <v/>
      </c>
      <c r="E1536" s="9" t="str">
        <f>IF(AND(NEGOCIAÇÕES!B1536&lt;&gt;"",NEGOCIAÇÕES!O1536=""),NEGOCIAÇÕES!N1536,"")</f>
        <v/>
      </c>
    </row>
    <row r="1537" spans="2:5" ht="31.95" hidden="1" customHeight="1" x14ac:dyDescent="0.3">
      <c r="B1537" s="6" t="str">
        <f ca="1">IF(AND(NEGOCIAÇÕES!O1537="",NEGOCIAÇÕES!N1537&gt;TODAY()),NEGOCIAÇÕES!C1537,"")</f>
        <v/>
      </c>
      <c r="C1537" s="6" t="str">
        <f ca="1">IF(AND(NEGOCIAÇÕES!O1537="",NEGOCIAÇÕES!N1537&gt;TODAY()),NEGOCIAÇÕES!E1537,"")</f>
        <v/>
      </c>
      <c r="D1537" s="6" t="str">
        <f ca="1">IF(AND(NEGOCIAÇÕES!O1537="",NEGOCIAÇÕES!N1537&gt;TODAY()),NEGOCIAÇÕES!D1537,"")</f>
        <v/>
      </c>
      <c r="E1537" s="9" t="str">
        <f>IF(AND(NEGOCIAÇÕES!B1537&lt;&gt;"",NEGOCIAÇÕES!O1537=""),NEGOCIAÇÕES!N1537,"")</f>
        <v/>
      </c>
    </row>
    <row r="1538" spans="2:5" ht="31.95" hidden="1" customHeight="1" x14ac:dyDescent="0.3">
      <c r="B1538" s="6" t="str">
        <f ca="1">IF(AND(NEGOCIAÇÕES!O1538="",NEGOCIAÇÕES!N1538&gt;TODAY()),NEGOCIAÇÕES!C1538,"")</f>
        <v/>
      </c>
      <c r="C1538" s="6" t="str">
        <f ca="1">IF(AND(NEGOCIAÇÕES!O1538="",NEGOCIAÇÕES!N1538&gt;TODAY()),NEGOCIAÇÕES!E1538,"")</f>
        <v/>
      </c>
      <c r="D1538" s="6" t="str">
        <f ca="1">IF(AND(NEGOCIAÇÕES!O1538="",NEGOCIAÇÕES!N1538&gt;TODAY()),NEGOCIAÇÕES!D1538,"")</f>
        <v/>
      </c>
      <c r="E1538" s="9" t="str">
        <f>IF(AND(NEGOCIAÇÕES!B1538&lt;&gt;"",NEGOCIAÇÕES!O1538=""),NEGOCIAÇÕES!N1538,"")</f>
        <v/>
      </c>
    </row>
    <row r="1539" spans="2:5" ht="31.95" hidden="1" customHeight="1" x14ac:dyDescent="0.3">
      <c r="B1539" s="6" t="str">
        <f ca="1">IF(AND(NEGOCIAÇÕES!O1539="",NEGOCIAÇÕES!N1539&gt;TODAY()),NEGOCIAÇÕES!C1539,"")</f>
        <v/>
      </c>
      <c r="C1539" s="6" t="str">
        <f ca="1">IF(AND(NEGOCIAÇÕES!O1539="",NEGOCIAÇÕES!N1539&gt;TODAY()),NEGOCIAÇÕES!E1539,"")</f>
        <v/>
      </c>
      <c r="D1539" s="6" t="str">
        <f ca="1">IF(AND(NEGOCIAÇÕES!O1539="",NEGOCIAÇÕES!N1539&gt;TODAY()),NEGOCIAÇÕES!D1539,"")</f>
        <v/>
      </c>
      <c r="E1539" s="9" t="str">
        <f>IF(AND(NEGOCIAÇÕES!B1539&lt;&gt;"",NEGOCIAÇÕES!O1539=""),NEGOCIAÇÕES!N1539,"")</f>
        <v/>
      </c>
    </row>
    <row r="1540" spans="2:5" ht="31.95" hidden="1" customHeight="1" x14ac:dyDescent="0.3">
      <c r="B1540" s="6" t="str">
        <f ca="1">IF(AND(NEGOCIAÇÕES!O1540="",NEGOCIAÇÕES!N1540&gt;TODAY()),NEGOCIAÇÕES!C1540,"")</f>
        <v/>
      </c>
      <c r="C1540" s="6" t="str">
        <f ca="1">IF(AND(NEGOCIAÇÕES!O1540="",NEGOCIAÇÕES!N1540&gt;TODAY()),NEGOCIAÇÕES!E1540,"")</f>
        <v/>
      </c>
      <c r="D1540" s="6" t="str">
        <f ca="1">IF(AND(NEGOCIAÇÕES!O1540="",NEGOCIAÇÕES!N1540&gt;TODAY()),NEGOCIAÇÕES!D1540,"")</f>
        <v/>
      </c>
      <c r="E1540" s="9" t="str">
        <f>IF(AND(NEGOCIAÇÕES!B1540&lt;&gt;"",NEGOCIAÇÕES!O1540=""),NEGOCIAÇÕES!N1540,"")</f>
        <v/>
      </c>
    </row>
    <row r="1541" spans="2:5" ht="31.95" hidden="1" customHeight="1" x14ac:dyDescent="0.3">
      <c r="B1541" s="6" t="str">
        <f ca="1">IF(AND(NEGOCIAÇÕES!O1541="",NEGOCIAÇÕES!N1541&gt;TODAY()),NEGOCIAÇÕES!C1541,"")</f>
        <v/>
      </c>
      <c r="C1541" s="6" t="str">
        <f ca="1">IF(AND(NEGOCIAÇÕES!O1541="",NEGOCIAÇÕES!N1541&gt;TODAY()),NEGOCIAÇÕES!E1541,"")</f>
        <v/>
      </c>
      <c r="D1541" s="6" t="str">
        <f ca="1">IF(AND(NEGOCIAÇÕES!O1541="",NEGOCIAÇÕES!N1541&gt;TODAY()),NEGOCIAÇÕES!D1541,"")</f>
        <v/>
      </c>
      <c r="E1541" s="9" t="str">
        <f>IF(AND(NEGOCIAÇÕES!B1541&lt;&gt;"",NEGOCIAÇÕES!O1541=""),NEGOCIAÇÕES!N1541,"")</f>
        <v/>
      </c>
    </row>
    <row r="1542" spans="2:5" ht="31.95" hidden="1" customHeight="1" x14ac:dyDescent="0.3">
      <c r="B1542" s="6" t="str">
        <f ca="1">IF(AND(NEGOCIAÇÕES!O1542="",NEGOCIAÇÕES!N1542&gt;TODAY()),NEGOCIAÇÕES!C1542,"")</f>
        <v/>
      </c>
      <c r="C1542" s="6" t="str">
        <f ca="1">IF(AND(NEGOCIAÇÕES!O1542="",NEGOCIAÇÕES!N1542&gt;TODAY()),NEGOCIAÇÕES!E1542,"")</f>
        <v/>
      </c>
      <c r="D1542" s="6" t="str">
        <f ca="1">IF(AND(NEGOCIAÇÕES!O1542="",NEGOCIAÇÕES!N1542&gt;TODAY()),NEGOCIAÇÕES!D1542,"")</f>
        <v/>
      </c>
      <c r="E1542" s="9" t="str">
        <f>IF(AND(NEGOCIAÇÕES!B1542&lt;&gt;"",NEGOCIAÇÕES!O1542=""),NEGOCIAÇÕES!N1542,"")</f>
        <v/>
      </c>
    </row>
    <row r="1543" spans="2:5" ht="31.95" hidden="1" customHeight="1" x14ac:dyDescent="0.3">
      <c r="B1543" s="6" t="str">
        <f ca="1">IF(AND(NEGOCIAÇÕES!O1543="",NEGOCIAÇÕES!N1543&gt;TODAY()),NEGOCIAÇÕES!C1543,"")</f>
        <v/>
      </c>
      <c r="C1543" s="6" t="str">
        <f ca="1">IF(AND(NEGOCIAÇÕES!O1543="",NEGOCIAÇÕES!N1543&gt;TODAY()),NEGOCIAÇÕES!E1543,"")</f>
        <v/>
      </c>
      <c r="D1543" s="6" t="str">
        <f ca="1">IF(AND(NEGOCIAÇÕES!O1543="",NEGOCIAÇÕES!N1543&gt;TODAY()),NEGOCIAÇÕES!D1543,"")</f>
        <v/>
      </c>
      <c r="E1543" s="9" t="str">
        <f>IF(AND(NEGOCIAÇÕES!B1543&lt;&gt;"",NEGOCIAÇÕES!O1543=""),NEGOCIAÇÕES!N1543,"")</f>
        <v/>
      </c>
    </row>
    <row r="1544" spans="2:5" ht="31.95" hidden="1" customHeight="1" x14ac:dyDescent="0.3">
      <c r="B1544" s="6" t="str">
        <f ca="1">IF(AND(NEGOCIAÇÕES!O1544="",NEGOCIAÇÕES!N1544&gt;TODAY()),NEGOCIAÇÕES!C1544,"")</f>
        <v/>
      </c>
      <c r="C1544" s="6" t="str">
        <f ca="1">IF(AND(NEGOCIAÇÕES!O1544="",NEGOCIAÇÕES!N1544&gt;TODAY()),NEGOCIAÇÕES!E1544,"")</f>
        <v/>
      </c>
      <c r="D1544" s="6" t="str">
        <f ca="1">IF(AND(NEGOCIAÇÕES!O1544="",NEGOCIAÇÕES!N1544&gt;TODAY()),NEGOCIAÇÕES!D1544,"")</f>
        <v/>
      </c>
      <c r="E1544" s="9" t="str">
        <f>IF(AND(NEGOCIAÇÕES!B1544&lt;&gt;"",NEGOCIAÇÕES!O1544=""),NEGOCIAÇÕES!N1544,"")</f>
        <v/>
      </c>
    </row>
    <row r="1545" spans="2:5" ht="31.95" hidden="1" customHeight="1" x14ac:dyDescent="0.3">
      <c r="B1545" s="6" t="str">
        <f ca="1">IF(AND(NEGOCIAÇÕES!O1545="",NEGOCIAÇÕES!N1545&gt;TODAY()),NEGOCIAÇÕES!C1545,"")</f>
        <v/>
      </c>
      <c r="C1545" s="6" t="str">
        <f ca="1">IF(AND(NEGOCIAÇÕES!O1545="",NEGOCIAÇÕES!N1545&gt;TODAY()),NEGOCIAÇÕES!E1545,"")</f>
        <v/>
      </c>
      <c r="D1545" s="6" t="str">
        <f ca="1">IF(AND(NEGOCIAÇÕES!O1545="",NEGOCIAÇÕES!N1545&gt;TODAY()),NEGOCIAÇÕES!D1545,"")</f>
        <v/>
      </c>
      <c r="E1545" s="9" t="str">
        <f>IF(AND(NEGOCIAÇÕES!B1545&lt;&gt;"",NEGOCIAÇÕES!O1545=""),NEGOCIAÇÕES!N1545,"")</f>
        <v/>
      </c>
    </row>
    <row r="1546" spans="2:5" ht="31.95" hidden="1" customHeight="1" x14ac:dyDescent="0.3">
      <c r="B1546" s="6" t="str">
        <f ca="1">IF(AND(NEGOCIAÇÕES!O1546="",NEGOCIAÇÕES!N1546&gt;TODAY()),NEGOCIAÇÕES!C1546,"")</f>
        <v/>
      </c>
      <c r="C1546" s="6" t="str">
        <f ca="1">IF(AND(NEGOCIAÇÕES!O1546="",NEGOCIAÇÕES!N1546&gt;TODAY()),NEGOCIAÇÕES!E1546,"")</f>
        <v/>
      </c>
      <c r="D1546" s="6" t="str">
        <f ca="1">IF(AND(NEGOCIAÇÕES!O1546="",NEGOCIAÇÕES!N1546&gt;TODAY()),NEGOCIAÇÕES!D1546,"")</f>
        <v/>
      </c>
      <c r="E1546" s="9" t="str">
        <f>IF(AND(NEGOCIAÇÕES!B1546&lt;&gt;"",NEGOCIAÇÕES!O1546=""),NEGOCIAÇÕES!N1546,"")</f>
        <v/>
      </c>
    </row>
    <row r="1547" spans="2:5" ht="31.95" hidden="1" customHeight="1" x14ac:dyDescent="0.3">
      <c r="B1547" s="6" t="str">
        <f ca="1">IF(AND(NEGOCIAÇÕES!O1547="",NEGOCIAÇÕES!N1547&gt;TODAY()),NEGOCIAÇÕES!C1547,"")</f>
        <v/>
      </c>
      <c r="C1547" s="6" t="str">
        <f ca="1">IF(AND(NEGOCIAÇÕES!O1547="",NEGOCIAÇÕES!N1547&gt;TODAY()),NEGOCIAÇÕES!E1547,"")</f>
        <v/>
      </c>
      <c r="D1547" s="6" t="str">
        <f ca="1">IF(AND(NEGOCIAÇÕES!O1547="",NEGOCIAÇÕES!N1547&gt;TODAY()),NEGOCIAÇÕES!D1547,"")</f>
        <v/>
      </c>
      <c r="E1547" s="9" t="str">
        <f>IF(AND(NEGOCIAÇÕES!B1547&lt;&gt;"",NEGOCIAÇÕES!O1547=""),NEGOCIAÇÕES!N1547,"")</f>
        <v/>
      </c>
    </row>
    <row r="1548" spans="2:5" ht="31.95" hidden="1" customHeight="1" x14ac:dyDescent="0.3">
      <c r="B1548" s="6" t="str">
        <f ca="1">IF(AND(NEGOCIAÇÕES!O1548="",NEGOCIAÇÕES!N1548&gt;TODAY()),NEGOCIAÇÕES!C1548,"")</f>
        <v/>
      </c>
      <c r="C1548" s="6" t="str">
        <f ca="1">IF(AND(NEGOCIAÇÕES!O1548="",NEGOCIAÇÕES!N1548&gt;TODAY()),NEGOCIAÇÕES!E1548,"")</f>
        <v/>
      </c>
      <c r="D1548" s="6" t="str">
        <f ca="1">IF(AND(NEGOCIAÇÕES!O1548="",NEGOCIAÇÕES!N1548&gt;TODAY()),NEGOCIAÇÕES!D1548,"")</f>
        <v/>
      </c>
      <c r="E1548" s="9" t="str">
        <f>IF(AND(NEGOCIAÇÕES!B1548&lt;&gt;"",NEGOCIAÇÕES!O1548=""),NEGOCIAÇÕES!N1548,"")</f>
        <v/>
      </c>
    </row>
    <row r="1549" spans="2:5" ht="31.95" hidden="1" customHeight="1" x14ac:dyDescent="0.3">
      <c r="B1549" s="6" t="str">
        <f ca="1">IF(AND(NEGOCIAÇÕES!O1549="",NEGOCIAÇÕES!N1549&gt;TODAY()),NEGOCIAÇÕES!C1549,"")</f>
        <v/>
      </c>
      <c r="C1549" s="6" t="str">
        <f ca="1">IF(AND(NEGOCIAÇÕES!O1549="",NEGOCIAÇÕES!N1549&gt;TODAY()),NEGOCIAÇÕES!E1549,"")</f>
        <v/>
      </c>
      <c r="D1549" s="6" t="str">
        <f ca="1">IF(AND(NEGOCIAÇÕES!O1549="",NEGOCIAÇÕES!N1549&gt;TODAY()),NEGOCIAÇÕES!D1549,"")</f>
        <v/>
      </c>
      <c r="E1549" s="9" t="str">
        <f>IF(AND(NEGOCIAÇÕES!B1549&lt;&gt;"",NEGOCIAÇÕES!O1549=""),NEGOCIAÇÕES!N1549,"")</f>
        <v/>
      </c>
    </row>
    <row r="1550" spans="2:5" ht="31.95" hidden="1" customHeight="1" x14ac:dyDescent="0.3">
      <c r="B1550" s="6" t="str">
        <f ca="1">IF(AND(NEGOCIAÇÕES!O1550="",NEGOCIAÇÕES!N1550&gt;TODAY()),NEGOCIAÇÕES!C1550,"")</f>
        <v/>
      </c>
      <c r="C1550" s="6" t="str">
        <f ca="1">IF(AND(NEGOCIAÇÕES!O1550="",NEGOCIAÇÕES!N1550&gt;TODAY()),NEGOCIAÇÕES!E1550,"")</f>
        <v/>
      </c>
      <c r="D1550" s="6" t="str">
        <f ca="1">IF(AND(NEGOCIAÇÕES!O1550="",NEGOCIAÇÕES!N1550&gt;TODAY()),NEGOCIAÇÕES!D1550,"")</f>
        <v/>
      </c>
      <c r="E1550" s="9" t="str">
        <f>IF(AND(NEGOCIAÇÕES!B1550&lt;&gt;"",NEGOCIAÇÕES!O1550=""),NEGOCIAÇÕES!N1550,"")</f>
        <v/>
      </c>
    </row>
    <row r="1551" spans="2:5" ht="31.95" hidden="1" customHeight="1" x14ac:dyDescent="0.3">
      <c r="B1551" s="6" t="str">
        <f ca="1">IF(AND(NEGOCIAÇÕES!O1551="",NEGOCIAÇÕES!N1551&gt;TODAY()),NEGOCIAÇÕES!C1551,"")</f>
        <v/>
      </c>
      <c r="C1551" s="6" t="str">
        <f ca="1">IF(AND(NEGOCIAÇÕES!O1551="",NEGOCIAÇÕES!N1551&gt;TODAY()),NEGOCIAÇÕES!E1551,"")</f>
        <v/>
      </c>
      <c r="D1551" s="6" t="str">
        <f ca="1">IF(AND(NEGOCIAÇÕES!O1551="",NEGOCIAÇÕES!N1551&gt;TODAY()),NEGOCIAÇÕES!D1551,"")</f>
        <v/>
      </c>
      <c r="E1551" s="9" t="str">
        <f>IF(AND(NEGOCIAÇÕES!B1551&lt;&gt;"",NEGOCIAÇÕES!O1551=""),NEGOCIAÇÕES!N1551,"")</f>
        <v/>
      </c>
    </row>
    <row r="1552" spans="2:5" ht="31.95" hidden="1" customHeight="1" x14ac:dyDescent="0.3">
      <c r="B1552" s="6" t="str">
        <f ca="1">IF(AND(NEGOCIAÇÕES!O1552="",NEGOCIAÇÕES!N1552&gt;TODAY()),NEGOCIAÇÕES!C1552,"")</f>
        <v/>
      </c>
      <c r="C1552" s="6" t="str">
        <f ca="1">IF(AND(NEGOCIAÇÕES!O1552="",NEGOCIAÇÕES!N1552&gt;TODAY()),NEGOCIAÇÕES!E1552,"")</f>
        <v/>
      </c>
      <c r="D1552" s="6" t="str">
        <f ca="1">IF(AND(NEGOCIAÇÕES!O1552="",NEGOCIAÇÕES!N1552&gt;TODAY()),NEGOCIAÇÕES!D1552,"")</f>
        <v/>
      </c>
      <c r="E1552" s="9" t="str">
        <f>IF(AND(NEGOCIAÇÕES!B1552&lt;&gt;"",NEGOCIAÇÕES!O1552=""),NEGOCIAÇÕES!N1552,"")</f>
        <v/>
      </c>
    </row>
    <row r="1553" spans="2:5" ht="31.95" hidden="1" customHeight="1" x14ac:dyDescent="0.3">
      <c r="B1553" s="6" t="str">
        <f ca="1">IF(AND(NEGOCIAÇÕES!O1553="",NEGOCIAÇÕES!N1553&gt;TODAY()),NEGOCIAÇÕES!C1553,"")</f>
        <v/>
      </c>
      <c r="C1553" s="6" t="str">
        <f ca="1">IF(AND(NEGOCIAÇÕES!O1553="",NEGOCIAÇÕES!N1553&gt;TODAY()),NEGOCIAÇÕES!E1553,"")</f>
        <v/>
      </c>
      <c r="D1553" s="6" t="str">
        <f ca="1">IF(AND(NEGOCIAÇÕES!O1553="",NEGOCIAÇÕES!N1553&gt;TODAY()),NEGOCIAÇÕES!D1553,"")</f>
        <v/>
      </c>
      <c r="E1553" s="9" t="str">
        <f>IF(AND(NEGOCIAÇÕES!B1553&lt;&gt;"",NEGOCIAÇÕES!O1553=""),NEGOCIAÇÕES!N1553,"")</f>
        <v/>
      </c>
    </row>
    <row r="1554" spans="2:5" ht="31.95" hidden="1" customHeight="1" x14ac:dyDescent="0.3">
      <c r="B1554" s="6" t="str">
        <f ca="1">IF(AND(NEGOCIAÇÕES!O1554="",NEGOCIAÇÕES!N1554&gt;TODAY()),NEGOCIAÇÕES!C1554,"")</f>
        <v/>
      </c>
      <c r="C1554" s="6" t="str">
        <f ca="1">IF(AND(NEGOCIAÇÕES!O1554="",NEGOCIAÇÕES!N1554&gt;TODAY()),NEGOCIAÇÕES!E1554,"")</f>
        <v/>
      </c>
      <c r="D1554" s="6" t="str">
        <f ca="1">IF(AND(NEGOCIAÇÕES!O1554="",NEGOCIAÇÕES!N1554&gt;TODAY()),NEGOCIAÇÕES!D1554,"")</f>
        <v/>
      </c>
      <c r="E1554" s="9" t="str">
        <f>IF(AND(NEGOCIAÇÕES!B1554&lt;&gt;"",NEGOCIAÇÕES!O1554=""),NEGOCIAÇÕES!N1554,"")</f>
        <v/>
      </c>
    </row>
    <row r="1555" spans="2:5" ht="31.95" hidden="1" customHeight="1" x14ac:dyDescent="0.3">
      <c r="B1555" s="6" t="str">
        <f ca="1">IF(AND(NEGOCIAÇÕES!O1555="",NEGOCIAÇÕES!N1555&gt;TODAY()),NEGOCIAÇÕES!C1555,"")</f>
        <v/>
      </c>
      <c r="C1555" s="6" t="str">
        <f ca="1">IF(AND(NEGOCIAÇÕES!O1555="",NEGOCIAÇÕES!N1555&gt;TODAY()),NEGOCIAÇÕES!E1555,"")</f>
        <v/>
      </c>
      <c r="D1555" s="6" t="str">
        <f ca="1">IF(AND(NEGOCIAÇÕES!O1555="",NEGOCIAÇÕES!N1555&gt;TODAY()),NEGOCIAÇÕES!D1555,"")</f>
        <v/>
      </c>
      <c r="E1555" s="9" t="str">
        <f>IF(AND(NEGOCIAÇÕES!B1555&lt;&gt;"",NEGOCIAÇÕES!O1555=""),NEGOCIAÇÕES!N1555,"")</f>
        <v/>
      </c>
    </row>
    <row r="1556" spans="2:5" ht="31.95" hidden="1" customHeight="1" x14ac:dyDescent="0.3">
      <c r="B1556" s="6" t="str">
        <f ca="1">IF(AND(NEGOCIAÇÕES!O1556="",NEGOCIAÇÕES!N1556&gt;TODAY()),NEGOCIAÇÕES!C1556,"")</f>
        <v/>
      </c>
      <c r="C1556" s="6" t="str">
        <f ca="1">IF(AND(NEGOCIAÇÕES!O1556="",NEGOCIAÇÕES!N1556&gt;TODAY()),NEGOCIAÇÕES!E1556,"")</f>
        <v/>
      </c>
      <c r="D1556" s="6" t="str">
        <f ca="1">IF(AND(NEGOCIAÇÕES!O1556="",NEGOCIAÇÕES!N1556&gt;TODAY()),NEGOCIAÇÕES!D1556,"")</f>
        <v/>
      </c>
      <c r="E1556" s="9" t="str">
        <f>IF(AND(NEGOCIAÇÕES!B1556&lt;&gt;"",NEGOCIAÇÕES!O1556=""),NEGOCIAÇÕES!N1556,"")</f>
        <v/>
      </c>
    </row>
    <row r="1557" spans="2:5" ht="31.95" hidden="1" customHeight="1" x14ac:dyDescent="0.3">
      <c r="B1557" s="6" t="str">
        <f ca="1">IF(AND(NEGOCIAÇÕES!O1557="",NEGOCIAÇÕES!N1557&gt;TODAY()),NEGOCIAÇÕES!C1557,"")</f>
        <v/>
      </c>
      <c r="C1557" s="6" t="str">
        <f ca="1">IF(AND(NEGOCIAÇÕES!O1557="",NEGOCIAÇÕES!N1557&gt;TODAY()),NEGOCIAÇÕES!E1557,"")</f>
        <v/>
      </c>
      <c r="D1557" s="6" t="str">
        <f ca="1">IF(AND(NEGOCIAÇÕES!O1557="",NEGOCIAÇÕES!N1557&gt;TODAY()),NEGOCIAÇÕES!D1557,"")</f>
        <v/>
      </c>
      <c r="E1557" s="9" t="str">
        <f>IF(AND(NEGOCIAÇÕES!B1557&lt;&gt;"",NEGOCIAÇÕES!O1557=""),NEGOCIAÇÕES!N1557,"")</f>
        <v/>
      </c>
    </row>
    <row r="1558" spans="2:5" ht="31.95" hidden="1" customHeight="1" x14ac:dyDescent="0.3">
      <c r="B1558" s="6" t="str">
        <f ca="1">IF(AND(NEGOCIAÇÕES!O1558="",NEGOCIAÇÕES!N1558&gt;TODAY()),NEGOCIAÇÕES!C1558,"")</f>
        <v/>
      </c>
      <c r="C1558" s="6" t="str">
        <f ca="1">IF(AND(NEGOCIAÇÕES!O1558="",NEGOCIAÇÕES!N1558&gt;TODAY()),NEGOCIAÇÕES!E1558,"")</f>
        <v/>
      </c>
      <c r="D1558" s="6" t="str">
        <f ca="1">IF(AND(NEGOCIAÇÕES!O1558="",NEGOCIAÇÕES!N1558&gt;TODAY()),NEGOCIAÇÕES!D1558,"")</f>
        <v/>
      </c>
      <c r="E1558" s="9" t="str">
        <f>IF(AND(NEGOCIAÇÕES!B1558&lt;&gt;"",NEGOCIAÇÕES!O1558=""),NEGOCIAÇÕES!N1558,"")</f>
        <v/>
      </c>
    </row>
    <row r="1559" spans="2:5" ht="31.95" hidden="1" customHeight="1" x14ac:dyDescent="0.3">
      <c r="B1559" s="6" t="str">
        <f ca="1">IF(AND(NEGOCIAÇÕES!O1559="",NEGOCIAÇÕES!N1559&gt;TODAY()),NEGOCIAÇÕES!C1559,"")</f>
        <v/>
      </c>
      <c r="C1559" s="6" t="str">
        <f ca="1">IF(AND(NEGOCIAÇÕES!O1559="",NEGOCIAÇÕES!N1559&gt;TODAY()),NEGOCIAÇÕES!E1559,"")</f>
        <v/>
      </c>
      <c r="D1559" s="6" t="str">
        <f ca="1">IF(AND(NEGOCIAÇÕES!O1559="",NEGOCIAÇÕES!N1559&gt;TODAY()),NEGOCIAÇÕES!D1559,"")</f>
        <v/>
      </c>
      <c r="E1559" s="9" t="str">
        <f>IF(AND(NEGOCIAÇÕES!B1559&lt;&gt;"",NEGOCIAÇÕES!O1559=""),NEGOCIAÇÕES!N1559,"")</f>
        <v/>
      </c>
    </row>
    <row r="1560" spans="2:5" ht="31.95" hidden="1" customHeight="1" x14ac:dyDescent="0.3">
      <c r="B1560" s="6" t="str">
        <f ca="1">IF(AND(NEGOCIAÇÕES!O1560="",NEGOCIAÇÕES!N1560&gt;TODAY()),NEGOCIAÇÕES!C1560,"")</f>
        <v/>
      </c>
      <c r="C1560" s="6" t="str">
        <f ca="1">IF(AND(NEGOCIAÇÕES!O1560="",NEGOCIAÇÕES!N1560&gt;TODAY()),NEGOCIAÇÕES!E1560,"")</f>
        <v/>
      </c>
      <c r="D1560" s="6" t="str">
        <f ca="1">IF(AND(NEGOCIAÇÕES!O1560="",NEGOCIAÇÕES!N1560&gt;TODAY()),NEGOCIAÇÕES!D1560,"")</f>
        <v/>
      </c>
      <c r="E1560" s="9" t="str">
        <f>IF(AND(NEGOCIAÇÕES!B1560&lt;&gt;"",NEGOCIAÇÕES!O1560=""),NEGOCIAÇÕES!N1560,"")</f>
        <v/>
      </c>
    </row>
    <row r="1561" spans="2:5" ht="31.95" hidden="1" customHeight="1" x14ac:dyDescent="0.3">
      <c r="B1561" s="6" t="str">
        <f ca="1">IF(AND(NEGOCIAÇÕES!O1561="",NEGOCIAÇÕES!N1561&gt;TODAY()),NEGOCIAÇÕES!C1561,"")</f>
        <v/>
      </c>
      <c r="C1561" s="6" t="str">
        <f ca="1">IF(AND(NEGOCIAÇÕES!O1561="",NEGOCIAÇÕES!N1561&gt;TODAY()),NEGOCIAÇÕES!E1561,"")</f>
        <v/>
      </c>
      <c r="D1561" s="6" t="str">
        <f ca="1">IF(AND(NEGOCIAÇÕES!O1561="",NEGOCIAÇÕES!N1561&gt;TODAY()),NEGOCIAÇÕES!D1561,"")</f>
        <v/>
      </c>
      <c r="E1561" s="9" t="str">
        <f>IF(AND(NEGOCIAÇÕES!B1561&lt;&gt;"",NEGOCIAÇÕES!O1561=""),NEGOCIAÇÕES!N1561,"")</f>
        <v/>
      </c>
    </row>
    <row r="1562" spans="2:5" ht="31.95" hidden="1" customHeight="1" x14ac:dyDescent="0.3">
      <c r="B1562" s="6" t="str">
        <f ca="1">IF(AND(NEGOCIAÇÕES!O1562="",NEGOCIAÇÕES!N1562&gt;TODAY()),NEGOCIAÇÕES!C1562,"")</f>
        <v/>
      </c>
      <c r="C1562" s="6" t="str">
        <f ca="1">IF(AND(NEGOCIAÇÕES!O1562="",NEGOCIAÇÕES!N1562&gt;TODAY()),NEGOCIAÇÕES!E1562,"")</f>
        <v/>
      </c>
      <c r="D1562" s="6" t="str">
        <f ca="1">IF(AND(NEGOCIAÇÕES!O1562="",NEGOCIAÇÕES!N1562&gt;TODAY()),NEGOCIAÇÕES!D1562,"")</f>
        <v/>
      </c>
      <c r="E1562" s="9" t="str">
        <f>IF(AND(NEGOCIAÇÕES!B1562&lt;&gt;"",NEGOCIAÇÕES!O1562=""),NEGOCIAÇÕES!N1562,"")</f>
        <v/>
      </c>
    </row>
    <row r="1563" spans="2:5" ht="31.95" hidden="1" customHeight="1" x14ac:dyDescent="0.3">
      <c r="B1563" s="6" t="str">
        <f ca="1">IF(AND(NEGOCIAÇÕES!O1563="",NEGOCIAÇÕES!N1563&gt;TODAY()),NEGOCIAÇÕES!C1563,"")</f>
        <v/>
      </c>
      <c r="C1563" s="6" t="str">
        <f ca="1">IF(AND(NEGOCIAÇÕES!O1563="",NEGOCIAÇÕES!N1563&gt;TODAY()),NEGOCIAÇÕES!E1563,"")</f>
        <v/>
      </c>
      <c r="D1563" s="6" t="str">
        <f ca="1">IF(AND(NEGOCIAÇÕES!O1563="",NEGOCIAÇÕES!N1563&gt;TODAY()),NEGOCIAÇÕES!D1563,"")</f>
        <v/>
      </c>
      <c r="E1563" s="9" t="str">
        <f>IF(AND(NEGOCIAÇÕES!B1563&lt;&gt;"",NEGOCIAÇÕES!O1563=""),NEGOCIAÇÕES!N1563,"")</f>
        <v/>
      </c>
    </row>
    <row r="1564" spans="2:5" ht="31.95" hidden="1" customHeight="1" x14ac:dyDescent="0.3">
      <c r="B1564" s="6" t="str">
        <f ca="1">IF(AND(NEGOCIAÇÕES!O1564="",NEGOCIAÇÕES!N1564&gt;TODAY()),NEGOCIAÇÕES!C1564,"")</f>
        <v/>
      </c>
      <c r="C1564" s="6" t="str">
        <f ca="1">IF(AND(NEGOCIAÇÕES!O1564="",NEGOCIAÇÕES!N1564&gt;TODAY()),NEGOCIAÇÕES!E1564,"")</f>
        <v/>
      </c>
      <c r="D1564" s="6" t="str">
        <f ca="1">IF(AND(NEGOCIAÇÕES!O1564="",NEGOCIAÇÕES!N1564&gt;TODAY()),NEGOCIAÇÕES!D1564,"")</f>
        <v/>
      </c>
      <c r="E1564" s="9" t="str">
        <f>IF(AND(NEGOCIAÇÕES!B1564&lt;&gt;"",NEGOCIAÇÕES!O1564=""),NEGOCIAÇÕES!N1564,"")</f>
        <v/>
      </c>
    </row>
    <row r="1565" spans="2:5" ht="31.95" hidden="1" customHeight="1" x14ac:dyDescent="0.3">
      <c r="B1565" s="6" t="str">
        <f ca="1">IF(AND(NEGOCIAÇÕES!O1565="",NEGOCIAÇÕES!N1565&gt;TODAY()),NEGOCIAÇÕES!C1565,"")</f>
        <v/>
      </c>
      <c r="C1565" s="6" t="str">
        <f ca="1">IF(AND(NEGOCIAÇÕES!O1565="",NEGOCIAÇÕES!N1565&gt;TODAY()),NEGOCIAÇÕES!E1565,"")</f>
        <v/>
      </c>
      <c r="D1565" s="6" t="str">
        <f ca="1">IF(AND(NEGOCIAÇÕES!O1565="",NEGOCIAÇÕES!N1565&gt;TODAY()),NEGOCIAÇÕES!D1565,"")</f>
        <v/>
      </c>
      <c r="E1565" s="9" t="str">
        <f>IF(AND(NEGOCIAÇÕES!B1565&lt;&gt;"",NEGOCIAÇÕES!O1565=""),NEGOCIAÇÕES!N1565,"")</f>
        <v/>
      </c>
    </row>
    <row r="1566" spans="2:5" ht="31.95" hidden="1" customHeight="1" x14ac:dyDescent="0.3">
      <c r="B1566" s="6" t="str">
        <f ca="1">IF(AND(NEGOCIAÇÕES!O1566="",NEGOCIAÇÕES!N1566&gt;TODAY()),NEGOCIAÇÕES!C1566,"")</f>
        <v/>
      </c>
      <c r="C1566" s="6" t="str">
        <f ca="1">IF(AND(NEGOCIAÇÕES!O1566="",NEGOCIAÇÕES!N1566&gt;TODAY()),NEGOCIAÇÕES!E1566,"")</f>
        <v/>
      </c>
      <c r="D1566" s="6" t="str">
        <f ca="1">IF(AND(NEGOCIAÇÕES!O1566="",NEGOCIAÇÕES!N1566&gt;TODAY()),NEGOCIAÇÕES!D1566,"")</f>
        <v/>
      </c>
      <c r="E1566" s="9" t="str">
        <f>IF(AND(NEGOCIAÇÕES!B1566&lt;&gt;"",NEGOCIAÇÕES!O1566=""),NEGOCIAÇÕES!N1566,"")</f>
        <v/>
      </c>
    </row>
    <row r="1567" spans="2:5" ht="31.95" hidden="1" customHeight="1" x14ac:dyDescent="0.3">
      <c r="B1567" s="6" t="str">
        <f ca="1">IF(AND(NEGOCIAÇÕES!O1567="",NEGOCIAÇÕES!N1567&gt;TODAY()),NEGOCIAÇÕES!C1567,"")</f>
        <v/>
      </c>
      <c r="C1567" s="6" t="str">
        <f ca="1">IF(AND(NEGOCIAÇÕES!O1567="",NEGOCIAÇÕES!N1567&gt;TODAY()),NEGOCIAÇÕES!E1567,"")</f>
        <v/>
      </c>
      <c r="D1567" s="6" t="str">
        <f ca="1">IF(AND(NEGOCIAÇÕES!O1567="",NEGOCIAÇÕES!N1567&gt;TODAY()),NEGOCIAÇÕES!D1567,"")</f>
        <v/>
      </c>
      <c r="E1567" s="9" t="str">
        <f>IF(AND(NEGOCIAÇÕES!B1567&lt;&gt;"",NEGOCIAÇÕES!O1567=""),NEGOCIAÇÕES!N1567,"")</f>
        <v/>
      </c>
    </row>
    <row r="1568" spans="2:5" ht="31.95" hidden="1" customHeight="1" x14ac:dyDescent="0.3">
      <c r="B1568" s="6" t="str">
        <f ca="1">IF(AND(NEGOCIAÇÕES!O1568="",NEGOCIAÇÕES!N1568&gt;TODAY()),NEGOCIAÇÕES!C1568,"")</f>
        <v/>
      </c>
      <c r="C1568" s="6" t="str">
        <f ca="1">IF(AND(NEGOCIAÇÕES!O1568="",NEGOCIAÇÕES!N1568&gt;TODAY()),NEGOCIAÇÕES!E1568,"")</f>
        <v/>
      </c>
      <c r="D1568" s="6" t="str">
        <f ca="1">IF(AND(NEGOCIAÇÕES!O1568="",NEGOCIAÇÕES!N1568&gt;TODAY()),NEGOCIAÇÕES!D1568,"")</f>
        <v/>
      </c>
      <c r="E1568" s="9" t="str">
        <f>IF(AND(NEGOCIAÇÕES!B1568&lt;&gt;"",NEGOCIAÇÕES!O1568=""),NEGOCIAÇÕES!N1568,"")</f>
        <v/>
      </c>
    </row>
    <row r="1569" spans="2:5" ht="31.95" hidden="1" customHeight="1" x14ac:dyDescent="0.3">
      <c r="B1569" s="6" t="str">
        <f ca="1">IF(AND(NEGOCIAÇÕES!O1569="",NEGOCIAÇÕES!N1569&gt;TODAY()),NEGOCIAÇÕES!C1569,"")</f>
        <v/>
      </c>
      <c r="C1569" s="6" t="str">
        <f ca="1">IF(AND(NEGOCIAÇÕES!O1569="",NEGOCIAÇÕES!N1569&gt;TODAY()),NEGOCIAÇÕES!E1569,"")</f>
        <v/>
      </c>
      <c r="D1569" s="6" t="str">
        <f ca="1">IF(AND(NEGOCIAÇÕES!O1569="",NEGOCIAÇÕES!N1569&gt;TODAY()),NEGOCIAÇÕES!D1569,"")</f>
        <v/>
      </c>
      <c r="E1569" s="9" t="str">
        <f>IF(AND(NEGOCIAÇÕES!B1569&lt;&gt;"",NEGOCIAÇÕES!O1569=""),NEGOCIAÇÕES!N1569,"")</f>
        <v/>
      </c>
    </row>
    <row r="1570" spans="2:5" ht="31.95" hidden="1" customHeight="1" x14ac:dyDescent="0.3">
      <c r="B1570" s="6" t="str">
        <f ca="1">IF(AND(NEGOCIAÇÕES!O1570="",NEGOCIAÇÕES!N1570&gt;TODAY()),NEGOCIAÇÕES!C1570,"")</f>
        <v/>
      </c>
      <c r="C1570" s="6" t="str">
        <f ca="1">IF(AND(NEGOCIAÇÕES!O1570="",NEGOCIAÇÕES!N1570&gt;TODAY()),NEGOCIAÇÕES!E1570,"")</f>
        <v/>
      </c>
      <c r="D1570" s="6" t="str">
        <f ca="1">IF(AND(NEGOCIAÇÕES!O1570="",NEGOCIAÇÕES!N1570&gt;TODAY()),NEGOCIAÇÕES!D1570,"")</f>
        <v/>
      </c>
      <c r="E1570" s="9" t="str">
        <f>IF(AND(NEGOCIAÇÕES!B1570&lt;&gt;"",NEGOCIAÇÕES!O1570=""),NEGOCIAÇÕES!N1570,"")</f>
        <v/>
      </c>
    </row>
    <row r="1571" spans="2:5" ht="31.95" hidden="1" customHeight="1" x14ac:dyDescent="0.3">
      <c r="B1571" s="6" t="str">
        <f ca="1">IF(AND(NEGOCIAÇÕES!O1571="",NEGOCIAÇÕES!N1571&gt;TODAY()),NEGOCIAÇÕES!C1571,"")</f>
        <v/>
      </c>
      <c r="C1571" s="6" t="str">
        <f ca="1">IF(AND(NEGOCIAÇÕES!O1571="",NEGOCIAÇÕES!N1571&gt;TODAY()),NEGOCIAÇÕES!E1571,"")</f>
        <v/>
      </c>
      <c r="D1571" s="6" t="str">
        <f ca="1">IF(AND(NEGOCIAÇÕES!O1571="",NEGOCIAÇÕES!N1571&gt;TODAY()),NEGOCIAÇÕES!D1571,"")</f>
        <v/>
      </c>
      <c r="E1571" s="9" t="str">
        <f>IF(AND(NEGOCIAÇÕES!B1571&lt;&gt;"",NEGOCIAÇÕES!O1571=""),NEGOCIAÇÕES!N1571,"")</f>
        <v/>
      </c>
    </row>
    <row r="1572" spans="2:5" ht="31.95" hidden="1" customHeight="1" x14ac:dyDescent="0.3">
      <c r="B1572" s="6" t="str">
        <f ca="1">IF(AND(NEGOCIAÇÕES!O1572="",NEGOCIAÇÕES!N1572&gt;TODAY()),NEGOCIAÇÕES!C1572,"")</f>
        <v/>
      </c>
      <c r="C1572" s="6" t="str">
        <f ca="1">IF(AND(NEGOCIAÇÕES!O1572="",NEGOCIAÇÕES!N1572&gt;TODAY()),NEGOCIAÇÕES!E1572,"")</f>
        <v/>
      </c>
      <c r="D1572" s="6" t="str">
        <f ca="1">IF(AND(NEGOCIAÇÕES!O1572="",NEGOCIAÇÕES!N1572&gt;TODAY()),NEGOCIAÇÕES!D1572,"")</f>
        <v/>
      </c>
      <c r="E1572" s="9" t="str">
        <f>IF(AND(NEGOCIAÇÕES!B1572&lt;&gt;"",NEGOCIAÇÕES!O1572=""),NEGOCIAÇÕES!N1572,"")</f>
        <v/>
      </c>
    </row>
    <row r="1573" spans="2:5" ht="31.95" hidden="1" customHeight="1" x14ac:dyDescent="0.3">
      <c r="B1573" s="6" t="str">
        <f ca="1">IF(AND(NEGOCIAÇÕES!O1573="",NEGOCIAÇÕES!N1573&gt;TODAY()),NEGOCIAÇÕES!C1573,"")</f>
        <v/>
      </c>
      <c r="C1573" s="6" t="str">
        <f ca="1">IF(AND(NEGOCIAÇÕES!O1573="",NEGOCIAÇÕES!N1573&gt;TODAY()),NEGOCIAÇÕES!E1573,"")</f>
        <v/>
      </c>
      <c r="D1573" s="6" t="str">
        <f ca="1">IF(AND(NEGOCIAÇÕES!O1573="",NEGOCIAÇÕES!N1573&gt;TODAY()),NEGOCIAÇÕES!D1573,"")</f>
        <v/>
      </c>
      <c r="E1573" s="9" t="str">
        <f>IF(AND(NEGOCIAÇÕES!B1573&lt;&gt;"",NEGOCIAÇÕES!O1573=""),NEGOCIAÇÕES!N1573,"")</f>
        <v/>
      </c>
    </row>
    <row r="1574" spans="2:5" ht="31.95" hidden="1" customHeight="1" x14ac:dyDescent="0.3">
      <c r="B1574" s="6" t="str">
        <f ca="1">IF(AND(NEGOCIAÇÕES!O1574="",NEGOCIAÇÕES!N1574&gt;TODAY()),NEGOCIAÇÕES!C1574,"")</f>
        <v/>
      </c>
      <c r="C1574" s="6" t="str">
        <f ca="1">IF(AND(NEGOCIAÇÕES!O1574="",NEGOCIAÇÕES!N1574&gt;TODAY()),NEGOCIAÇÕES!E1574,"")</f>
        <v/>
      </c>
      <c r="D1574" s="6" t="str">
        <f ca="1">IF(AND(NEGOCIAÇÕES!O1574="",NEGOCIAÇÕES!N1574&gt;TODAY()),NEGOCIAÇÕES!D1574,"")</f>
        <v/>
      </c>
      <c r="E1574" s="9" t="str">
        <f>IF(AND(NEGOCIAÇÕES!B1574&lt;&gt;"",NEGOCIAÇÕES!O1574=""),NEGOCIAÇÕES!N1574,"")</f>
        <v/>
      </c>
    </row>
    <row r="1575" spans="2:5" ht="31.95" hidden="1" customHeight="1" x14ac:dyDescent="0.3">
      <c r="B1575" s="6" t="str">
        <f ca="1">IF(AND(NEGOCIAÇÕES!O1575="",NEGOCIAÇÕES!N1575&gt;TODAY()),NEGOCIAÇÕES!C1575,"")</f>
        <v/>
      </c>
      <c r="C1575" s="6" t="str">
        <f ca="1">IF(AND(NEGOCIAÇÕES!O1575="",NEGOCIAÇÕES!N1575&gt;TODAY()),NEGOCIAÇÕES!E1575,"")</f>
        <v/>
      </c>
      <c r="D1575" s="6" t="str">
        <f ca="1">IF(AND(NEGOCIAÇÕES!O1575="",NEGOCIAÇÕES!N1575&gt;TODAY()),NEGOCIAÇÕES!D1575,"")</f>
        <v/>
      </c>
      <c r="E1575" s="9" t="str">
        <f>IF(AND(NEGOCIAÇÕES!B1575&lt;&gt;"",NEGOCIAÇÕES!O1575=""),NEGOCIAÇÕES!N1575,"")</f>
        <v/>
      </c>
    </row>
    <row r="1576" spans="2:5" ht="31.95" hidden="1" customHeight="1" x14ac:dyDescent="0.3">
      <c r="B1576" s="6" t="str">
        <f ca="1">IF(AND(NEGOCIAÇÕES!O1576="",NEGOCIAÇÕES!N1576&gt;TODAY()),NEGOCIAÇÕES!C1576,"")</f>
        <v/>
      </c>
      <c r="C1576" s="6" t="str">
        <f ca="1">IF(AND(NEGOCIAÇÕES!O1576="",NEGOCIAÇÕES!N1576&gt;TODAY()),NEGOCIAÇÕES!E1576,"")</f>
        <v/>
      </c>
      <c r="D1576" s="6" t="str">
        <f ca="1">IF(AND(NEGOCIAÇÕES!O1576="",NEGOCIAÇÕES!N1576&gt;TODAY()),NEGOCIAÇÕES!D1576,"")</f>
        <v/>
      </c>
      <c r="E1576" s="9" t="str">
        <f>IF(AND(NEGOCIAÇÕES!B1576&lt;&gt;"",NEGOCIAÇÕES!O1576=""),NEGOCIAÇÕES!N1576,"")</f>
        <v/>
      </c>
    </row>
    <row r="1577" spans="2:5" ht="31.95" hidden="1" customHeight="1" x14ac:dyDescent="0.3">
      <c r="B1577" s="6" t="str">
        <f ca="1">IF(AND(NEGOCIAÇÕES!O1577="",NEGOCIAÇÕES!N1577&gt;TODAY()),NEGOCIAÇÕES!C1577,"")</f>
        <v/>
      </c>
      <c r="C1577" s="6" t="str">
        <f ca="1">IF(AND(NEGOCIAÇÕES!O1577="",NEGOCIAÇÕES!N1577&gt;TODAY()),NEGOCIAÇÕES!E1577,"")</f>
        <v/>
      </c>
      <c r="D1577" s="6" t="str">
        <f ca="1">IF(AND(NEGOCIAÇÕES!O1577="",NEGOCIAÇÕES!N1577&gt;TODAY()),NEGOCIAÇÕES!D1577,"")</f>
        <v/>
      </c>
      <c r="E1577" s="9" t="str">
        <f>IF(AND(NEGOCIAÇÕES!B1577&lt;&gt;"",NEGOCIAÇÕES!O1577=""),NEGOCIAÇÕES!N1577,"")</f>
        <v/>
      </c>
    </row>
    <row r="1578" spans="2:5" ht="31.95" hidden="1" customHeight="1" x14ac:dyDescent="0.3">
      <c r="B1578" s="6" t="str">
        <f ca="1">IF(AND(NEGOCIAÇÕES!O1578="",NEGOCIAÇÕES!N1578&gt;TODAY()),NEGOCIAÇÕES!C1578,"")</f>
        <v/>
      </c>
      <c r="C1578" s="6" t="str">
        <f ca="1">IF(AND(NEGOCIAÇÕES!O1578="",NEGOCIAÇÕES!N1578&gt;TODAY()),NEGOCIAÇÕES!E1578,"")</f>
        <v/>
      </c>
      <c r="D1578" s="6" t="str">
        <f ca="1">IF(AND(NEGOCIAÇÕES!O1578="",NEGOCIAÇÕES!N1578&gt;TODAY()),NEGOCIAÇÕES!D1578,"")</f>
        <v/>
      </c>
      <c r="E1578" s="9" t="str">
        <f>IF(AND(NEGOCIAÇÕES!B1578&lt;&gt;"",NEGOCIAÇÕES!O1578=""),NEGOCIAÇÕES!N1578,"")</f>
        <v/>
      </c>
    </row>
    <row r="1579" spans="2:5" ht="31.95" hidden="1" customHeight="1" x14ac:dyDescent="0.3">
      <c r="B1579" s="6" t="str">
        <f ca="1">IF(AND(NEGOCIAÇÕES!O1579="",NEGOCIAÇÕES!N1579&gt;TODAY()),NEGOCIAÇÕES!C1579,"")</f>
        <v/>
      </c>
      <c r="C1579" s="6" t="str">
        <f ca="1">IF(AND(NEGOCIAÇÕES!O1579="",NEGOCIAÇÕES!N1579&gt;TODAY()),NEGOCIAÇÕES!E1579,"")</f>
        <v/>
      </c>
      <c r="D1579" s="6" t="str">
        <f ca="1">IF(AND(NEGOCIAÇÕES!O1579="",NEGOCIAÇÕES!N1579&gt;TODAY()),NEGOCIAÇÕES!D1579,"")</f>
        <v/>
      </c>
      <c r="E1579" s="9" t="str">
        <f>IF(AND(NEGOCIAÇÕES!B1579&lt;&gt;"",NEGOCIAÇÕES!O1579=""),NEGOCIAÇÕES!N1579,"")</f>
        <v/>
      </c>
    </row>
    <row r="1580" spans="2:5" ht="31.95" hidden="1" customHeight="1" x14ac:dyDescent="0.3">
      <c r="B1580" s="6" t="str">
        <f ca="1">IF(AND(NEGOCIAÇÕES!O1580="",NEGOCIAÇÕES!N1580&gt;TODAY()),NEGOCIAÇÕES!C1580,"")</f>
        <v/>
      </c>
      <c r="C1580" s="6" t="str">
        <f ca="1">IF(AND(NEGOCIAÇÕES!O1580="",NEGOCIAÇÕES!N1580&gt;TODAY()),NEGOCIAÇÕES!E1580,"")</f>
        <v/>
      </c>
      <c r="D1580" s="6" t="str">
        <f ca="1">IF(AND(NEGOCIAÇÕES!O1580="",NEGOCIAÇÕES!N1580&gt;TODAY()),NEGOCIAÇÕES!D1580,"")</f>
        <v/>
      </c>
      <c r="E1580" s="9" t="str">
        <f>IF(AND(NEGOCIAÇÕES!B1580&lt;&gt;"",NEGOCIAÇÕES!O1580=""),NEGOCIAÇÕES!N1580,"")</f>
        <v/>
      </c>
    </row>
    <row r="1581" spans="2:5" ht="31.95" hidden="1" customHeight="1" x14ac:dyDescent="0.3">
      <c r="B1581" s="6" t="str">
        <f ca="1">IF(AND(NEGOCIAÇÕES!O1581="",NEGOCIAÇÕES!N1581&gt;TODAY()),NEGOCIAÇÕES!C1581,"")</f>
        <v/>
      </c>
      <c r="C1581" s="6" t="str">
        <f ca="1">IF(AND(NEGOCIAÇÕES!O1581="",NEGOCIAÇÕES!N1581&gt;TODAY()),NEGOCIAÇÕES!E1581,"")</f>
        <v/>
      </c>
      <c r="D1581" s="6" t="str">
        <f ca="1">IF(AND(NEGOCIAÇÕES!O1581="",NEGOCIAÇÕES!N1581&gt;TODAY()),NEGOCIAÇÕES!D1581,"")</f>
        <v/>
      </c>
      <c r="E1581" s="9" t="str">
        <f>IF(AND(NEGOCIAÇÕES!B1581&lt;&gt;"",NEGOCIAÇÕES!O1581=""),NEGOCIAÇÕES!N1581,"")</f>
        <v/>
      </c>
    </row>
    <row r="1582" spans="2:5" ht="31.95" hidden="1" customHeight="1" x14ac:dyDescent="0.3">
      <c r="B1582" s="6" t="str">
        <f ca="1">IF(AND(NEGOCIAÇÕES!O1582="",NEGOCIAÇÕES!N1582&gt;TODAY()),NEGOCIAÇÕES!C1582,"")</f>
        <v/>
      </c>
      <c r="C1582" s="6" t="str">
        <f ca="1">IF(AND(NEGOCIAÇÕES!O1582="",NEGOCIAÇÕES!N1582&gt;TODAY()),NEGOCIAÇÕES!E1582,"")</f>
        <v/>
      </c>
      <c r="D1582" s="6" t="str">
        <f ca="1">IF(AND(NEGOCIAÇÕES!O1582="",NEGOCIAÇÕES!N1582&gt;TODAY()),NEGOCIAÇÕES!D1582,"")</f>
        <v/>
      </c>
      <c r="E1582" s="9" t="str">
        <f>IF(AND(NEGOCIAÇÕES!B1582&lt;&gt;"",NEGOCIAÇÕES!O1582=""),NEGOCIAÇÕES!N1582,"")</f>
        <v/>
      </c>
    </row>
    <row r="1583" spans="2:5" ht="31.95" hidden="1" customHeight="1" x14ac:dyDescent="0.3">
      <c r="B1583" s="6" t="str">
        <f ca="1">IF(AND(NEGOCIAÇÕES!O1583="",NEGOCIAÇÕES!N1583&gt;TODAY()),NEGOCIAÇÕES!C1583,"")</f>
        <v/>
      </c>
      <c r="C1583" s="6" t="str">
        <f ca="1">IF(AND(NEGOCIAÇÕES!O1583="",NEGOCIAÇÕES!N1583&gt;TODAY()),NEGOCIAÇÕES!E1583,"")</f>
        <v/>
      </c>
      <c r="D1583" s="6" t="str">
        <f ca="1">IF(AND(NEGOCIAÇÕES!O1583="",NEGOCIAÇÕES!N1583&gt;TODAY()),NEGOCIAÇÕES!D1583,"")</f>
        <v/>
      </c>
      <c r="E1583" s="9" t="str">
        <f>IF(AND(NEGOCIAÇÕES!B1583&lt;&gt;"",NEGOCIAÇÕES!O1583=""),NEGOCIAÇÕES!N1583,"")</f>
        <v/>
      </c>
    </row>
    <row r="1584" spans="2:5" ht="31.95" hidden="1" customHeight="1" x14ac:dyDescent="0.3">
      <c r="B1584" s="6" t="str">
        <f ca="1">IF(AND(NEGOCIAÇÕES!O1584="",NEGOCIAÇÕES!N1584&gt;TODAY()),NEGOCIAÇÕES!C1584,"")</f>
        <v/>
      </c>
      <c r="C1584" s="6" t="str">
        <f ca="1">IF(AND(NEGOCIAÇÕES!O1584="",NEGOCIAÇÕES!N1584&gt;TODAY()),NEGOCIAÇÕES!E1584,"")</f>
        <v/>
      </c>
      <c r="D1584" s="6" t="str">
        <f ca="1">IF(AND(NEGOCIAÇÕES!O1584="",NEGOCIAÇÕES!N1584&gt;TODAY()),NEGOCIAÇÕES!D1584,"")</f>
        <v/>
      </c>
      <c r="E1584" s="9" t="str">
        <f>IF(AND(NEGOCIAÇÕES!B1584&lt;&gt;"",NEGOCIAÇÕES!O1584=""),NEGOCIAÇÕES!N1584,"")</f>
        <v/>
      </c>
    </row>
    <row r="1585" spans="2:5" ht="31.95" hidden="1" customHeight="1" x14ac:dyDescent="0.3">
      <c r="B1585" s="6" t="str">
        <f ca="1">IF(AND(NEGOCIAÇÕES!O1585="",NEGOCIAÇÕES!N1585&gt;TODAY()),NEGOCIAÇÕES!C1585,"")</f>
        <v/>
      </c>
      <c r="C1585" s="6" t="str">
        <f ca="1">IF(AND(NEGOCIAÇÕES!O1585="",NEGOCIAÇÕES!N1585&gt;TODAY()),NEGOCIAÇÕES!E1585,"")</f>
        <v/>
      </c>
      <c r="D1585" s="6" t="str">
        <f ca="1">IF(AND(NEGOCIAÇÕES!O1585="",NEGOCIAÇÕES!N1585&gt;TODAY()),NEGOCIAÇÕES!D1585,"")</f>
        <v/>
      </c>
      <c r="E1585" s="9" t="str">
        <f>IF(AND(NEGOCIAÇÕES!B1585&lt;&gt;"",NEGOCIAÇÕES!O1585=""),NEGOCIAÇÕES!N1585,"")</f>
        <v/>
      </c>
    </row>
    <row r="1586" spans="2:5" ht="31.95" hidden="1" customHeight="1" x14ac:dyDescent="0.3">
      <c r="B1586" s="6" t="str">
        <f ca="1">IF(AND(NEGOCIAÇÕES!O1586="",NEGOCIAÇÕES!N1586&gt;TODAY()),NEGOCIAÇÕES!C1586,"")</f>
        <v/>
      </c>
      <c r="C1586" s="6" t="str">
        <f ca="1">IF(AND(NEGOCIAÇÕES!O1586="",NEGOCIAÇÕES!N1586&gt;TODAY()),NEGOCIAÇÕES!E1586,"")</f>
        <v/>
      </c>
      <c r="D1586" s="6" t="str">
        <f ca="1">IF(AND(NEGOCIAÇÕES!O1586="",NEGOCIAÇÕES!N1586&gt;TODAY()),NEGOCIAÇÕES!D1586,"")</f>
        <v/>
      </c>
      <c r="E1586" s="9" t="str">
        <f>IF(AND(NEGOCIAÇÕES!B1586&lt;&gt;"",NEGOCIAÇÕES!O1586=""),NEGOCIAÇÕES!N1586,"")</f>
        <v/>
      </c>
    </row>
    <row r="1587" spans="2:5" ht="31.95" hidden="1" customHeight="1" x14ac:dyDescent="0.3">
      <c r="B1587" s="6" t="str">
        <f ca="1">IF(AND(NEGOCIAÇÕES!O1587="",NEGOCIAÇÕES!N1587&gt;TODAY()),NEGOCIAÇÕES!C1587,"")</f>
        <v/>
      </c>
      <c r="C1587" s="6" t="str">
        <f ca="1">IF(AND(NEGOCIAÇÕES!O1587="",NEGOCIAÇÕES!N1587&gt;TODAY()),NEGOCIAÇÕES!E1587,"")</f>
        <v/>
      </c>
      <c r="D1587" s="6" t="str">
        <f ca="1">IF(AND(NEGOCIAÇÕES!O1587="",NEGOCIAÇÕES!N1587&gt;TODAY()),NEGOCIAÇÕES!D1587,"")</f>
        <v/>
      </c>
      <c r="E1587" s="9" t="str">
        <f>IF(AND(NEGOCIAÇÕES!B1587&lt;&gt;"",NEGOCIAÇÕES!O1587=""),NEGOCIAÇÕES!N1587,"")</f>
        <v/>
      </c>
    </row>
    <row r="1588" spans="2:5" ht="31.95" hidden="1" customHeight="1" x14ac:dyDescent="0.3">
      <c r="B1588" s="6" t="str">
        <f ca="1">IF(AND(NEGOCIAÇÕES!O1588="",NEGOCIAÇÕES!N1588&gt;TODAY()),NEGOCIAÇÕES!C1588,"")</f>
        <v/>
      </c>
      <c r="C1588" s="6" t="str">
        <f ca="1">IF(AND(NEGOCIAÇÕES!O1588="",NEGOCIAÇÕES!N1588&gt;TODAY()),NEGOCIAÇÕES!E1588,"")</f>
        <v/>
      </c>
      <c r="D1588" s="6" t="str">
        <f ca="1">IF(AND(NEGOCIAÇÕES!O1588="",NEGOCIAÇÕES!N1588&gt;TODAY()),NEGOCIAÇÕES!D1588,"")</f>
        <v/>
      </c>
      <c r="E1588" s="9" t="str">
        <f>IF(AND(NEGOCIAÇÕES!B1588&lt;&gt;"",NEGOCIAÇÕES!O1588=""),NEGOCIAÇÕES!N1588,"")</f>
        <v/>
      </c>
    </row>
    <row r="1589" spans="2:5" ht="31.95" hidden="1" customHeight="1" x14ac:dyDescent="0.3">
      <c r="B1589" s="6" t="str">
        <f ca="1">IF(AND(NEGOCIAÇÕES!O1589="",NEGOCIAÇÕES!N1589&gt;TODAY()),NEGOCIAÇÕES!C1589,"")</f>
        <v/>
      </c>
      <c r="C1589" s="6" t="str">
        <f ca="1">IF(AND(NEGOCIAÇÕES!O1589="",NEGOCIAÇÕES!N1589&gt;TODAY()),NEGOCIAÇÕES!E1589,"")</f>
        <v/>
      </c>
      <c r="D1589" s="6" t="str">
        <f ca="1">IF(AND(NEGOCIAÇÕES!O1589="",NEGOCIAÇÕES!N1589&gt;TODAY()),NEGOCIAÇÕES!D1589,"")</f>
        <v/>
      </c>
      <c r="E1589" s="9" t="str">
        <f>IF(AND(NEGOCIAÇÕES!B1589&lt;&gt;"",NEGOCIAÇÕES!O1589=""),NEGOCIAÇÕES!N1589,"")</f>
        <v/>
      </c>
    </row>
    <row r="1590" spans="2:5" ht="31.95" hidden="1" customHeight="1" x14ac:dyDescent="0.3">
      <c r="B1590" s="6" t="str">
        <f ca="1">IF(AND(NEGOCIAÇÕES!O1590="",NEGOCIAÇÕES!N1590&gt;TODAY()),NEGOCIAÇÕES!C1590,"")</f>
        <v/>
      </c>
      <c r="C1590" s="6" t="str">
        <f ca="1">IF(AND(NEGOCIAÇÕES!O1590="",NEGOCIAÇÕES!N1590&gt;TODAY()),NEGOCIAÇÕES!E1590,"")</f>
        <v/>
      </c>
      <c r="D1590" s="6" t="str">
        <f ca="1">IF(AND(NEGOCIAÇÕES!O1590="",NEGOCIAÇÕES!N1590&gt;TODAY()),NEGOCIAÇÕES!D1590,"")</f>
        <v/>
      </c>
      <c r="E1590" s="9" t="str">
        <f>IF(AND(NEGOCIAÇÕES!B1590&lt;&gt;"",NEGOCIAÇÕES!O1590=""),NEGOCIAÇÕES!N1590,"")</f>
        <v/>
      </c>
    </row>
    <row r="1591" spans="2:5" ht="31.95" hidden="1" customHeight="1" x14ac:dyDescent="0.3">
      <c r="B1591" s="6" t="str">
        <f ca="1">IF(AND(NEGOCIAÇÕES!O1591="",NEGOCIAÇÕES!N1591&gt;TODAY()),NEGOCIAÇÕES!C1591,"")</f>
        <v/>
      </c>
      <c r="C1591" s="6" t="str">
        <f ca="1">IF(AND(NEGOCIAÇÕES!O1591="",NEGOCIAÇÕES!N1591&gt;TODAY()),NEGOCIAÇÕES!E1591,"")</f>
        <v/>
      </c>
      <c r="D1591" s="6" t="str">
        <f ca="1">IF(AND(NEGOCIAÇÕES!O1591="",NEGOCIAÇÕES!N1591&gt;TODAY()),NEGOCIAÇÕES!D1591,"")</f>
        <v/>
      </c>
      <c r="E1591" s="9" t="str">
        <f>IF(AND(NEGOCIAÇÕES!B1591&lt;&gt;"",NEGOCIAÇÕES!O1591=""),NEGOCIAÇÕES!N1591,"")</f>
        <v/>
      </c>
    </row>
    <row r="1592" spans="2:5" ht="31.95" hidden="1" customHeight="1" x14ac:dyDescent="0.3">
      <c r="B1592" s="6" t="str">
        <f ca="1">IF(AND(NEGOCIAÇÕES!O1592="",NEGOCIAÇÕES!N1592&gt;TODAY()),NEGOCIAÇÕES!C1592,"")</f>
        <v/>
      </c>
      <c r="C1592" s="6" t="str">
        <f ca="1">IF(AND(NEGOCIAÇÕES!O1592="",NEGOCIAÇÕES!N1592&gt;TODAY()),NEGOCIAÇÕES!E1592,"")</f>
        <v/>
      </c>
      <c r="D1592" s="6" t="str">
        <f ca="1">IF(AND(NEGOCIAÇÕES!O1592="",NEGOCIAÇÕES!N1592&gt;TODAY()),NEGOCIAÇÕES!D1592,"")</f>
        <v/>
      </c>
      <c r="E1592" s="9" t="str">
        <f>IF(AND(NEGOCIAÇÕES!B1592&lt;&gt;"",NEGOCIAÇÕES!O1592=""),NEGOCIAÇÕES!N1592,"")</f>
        <v/>
      </c>
    </row>
    <row r="1593" spans="2:5" ht="31.95" hidden="1" customHeight="1" x14ac:dyDescent="0.3">
      <c r="B1593" s="6" t="str">
        <f ca="1">IF(AND(NEGOCIAÇÕES!O1593="",NEGOCIAÇÕES!N1593&gt;TODAY()),NEGOCIAÇÕES!C1593,"")</f>
        <v/>
      </c>
      <c r="C1593" s="6" t="str">
        <f ca="1">IF(AND(NEGOCIAÇÕES!O1593="",NEGOCIAÇÕES!N1593&gt;TODAY()),NEGOCIAÇÕES!E1593,"")</f>
        <v/>
      </c>
      <c r="D1593" s="6" t="str">
        <f ca="1">IF(AND(NEGOCIAÇÕES!O1593="",NEGOCIAÇÕES!N1593&gt;TODAY()),NEGOCIAÇÕES!D1593,"")</f>
        <v/>
      </c>
      <c r="E1593" s="9" t="str">
        <f>IF(AND(NEGOCIAÇÕES!B1593&lt;&gt;"",NEGOCIAÇÕES!O1593=""),NEGOCIAÇÕES!N1593,"")</f>
        <v/>
      </c>
    </row>
    <row r="1594" spans="2:5" ht="31.95" hidden="1" customHeight="1" x14ac:dyDescent="0.3">
      <c r="B1594" s="6" t="str">
        <f ca="1">IF(AND(NEGOCIAÇÕES!O1594="",NEGOCIAÇÕES!N1594&gt;TODAY()),NEGOCIAÇÕES!C1594,"")</f>
        <v/>
      </c>
      <c r="C1594" s="6" t="str">
        <f ca="1">IF(AND(NEGOCIAÇÕES!O1594="",NEGOCIAÇÕES!N1594&gt;TODAY()),NEGOCIAÇÕES!E1594,"")</f>
        <v/>
      </c>
      <c r="D1594" s="6" t="str">
        <f ca="1">IF(AND(NEGOCIAÇÕES!O1594="",NEGOCIAÇÕES!N1594&gt;TODAY()),NEGOCIAÇÕES!D1594,"")</f>
        <v/>
      </c>
      <c r="E1594" s="9" t="str">
        <f>IF(AND(NEGOCIAÇÕES!B1594&lt;&gt;"",NEGOCIAÇÕES!O1594=""),NEGOCIAÇÕES!N1594,"")</f>
        <v/>
      </c>
    </row>
    <row r="1595" spans="2:5" ht="31.95" hidden="1" customHeight="1" x14ac:dyDescent="0.3">
      <c r="B1595" s="6" t="str">
        <f ca="1">IF(AND(NEGOCIAÇÕES!O1595="",NEGOCIAÇÕES!N1595&gt;TODAY()),NEGOCIAÇÕES!C1595,"")</f>
        <v/>
      </c>
      <c r="C1595" s="6" t="str">
        <f ca="1">IF(AND(NEGOCIAÇÕES!O1595="",NEGOCIAÇÕES!N1595&gt;TODAY()),NEGOCIAÇÕES!E1595,"")</f>
        <v/>
      </c>
      <c r="D1595" s="6" t="str">
        <f ca="1">IF(AND(NEGOCIAÇÕES!O1595="",NEGOCIAÇÕES!N1595&gt;TODAY()),NEGOCIAÇÕES!D1595,"")</f>
        <v/>
      </c>
      <c r="E1595" s="9" t="str">
        <f>IF(AND(NEGOCIAÇÕES!B1595&lt;&gt;"",NEGOCIAÇÕES!O1595=""),NEGOCIAÇÕES!N1595,"")</f>
        <v/>
      </c>
    </row>
    <row r="1596" spans="2:5" ht="31.95" hidden="1" customHeight="1" x14ac:dyDescent="0.3">
      <c r="B1596" s="6" t="str">
        <f ca="1">IF(AND(NEGOCIAÇÕES!O1596="",NEGOCIAÇÕES!N1596&gt;TODAY()),NEGOCIAÇÕES!C1596,"")</f>
        <v/>
      </c>
      <c r="C1596" s="6" t="str">
        <f ca="1">IF(AND(NEGOCIAÇÕES!O1596="",NEGOCIAÇÕES!N1596&gt;TODAY()),NEGOCIAÇÕES!E1596,"")</f>
        <v/>
      </c>
      <c r="D1596" s="6" t="str">
        <f ca="1">IF(AND(NEGOCIAÇÕES!O1596="",NEGOCIAÇÕES!N1596&gt;TODAY()),NEGOCIAÇÕES!D1596,"")</f>
        <v/>
      </c>
      <c r="E1596" s="9" t="str">
        <f>IF(AND(NEGOCIAÇÕES!B1596&lt;&gt;"",NEGOCIAÇÕES!O1596=""),NEGOCIAÇÕES!N1596,"")</f>
        <v/>
      </c>
    </row>
    <row r="1597" spans="2:5" ht="31.95" hidden="1" customHeight="1" x14ac:dyDescent="0.3">
      <c r="B1597" s="6" t="str">
        <f ca="1">IF(AND(NEGOCIAÇÕES!O1597="",NEGOCIAÇÕES!N1597&gt;TODAY()),NEGOCIAÇÕES!C1597,"")</f>
        <v/>
      </c>
      <c r="C1597" s="6" t="str">
        <f ca="1">IF(AND(NEGOCIAÇÕES!O1597="",NEGOCIAÇÕES!N1597&gt;TODAY()),NEGOCIAÇÕES!E1597,"")</f>
        <v/>
      </c>
      <c r="D1597" s="6" t="str">
        <f ca="1">IF(AND(NEGOCIAÇÕES!O1597="",NEGOCIAÇÕES!N1597&gt;TODAY()),NEGOCIAÇÕES!D1597,"")</f>
        <v/>
      </c>
      <c r="E1597" s="9" t="str">
        <f>IF(AND(NEGOCIAÇÕES!B1597&lt;&gt;"",NEGOCIAÇÕES!O1597=""),NEGOCIAÇÕES!N1597,"")</f>
        <v/>
      </c>
    </row>
    <row r="1598" spans="2:5" ht="31.95" hidden="1" customHeight="1" x14ac:dyDescent="0.3">
      <c r="B1598" s="6" t="str">
        <f ca="1">IF(AND(NEGOCIAÇÕES!O1598="",NEGOCIAÇÕES!N1598&gt;TODAY()),NEGOCIAÇÕES!C1598,"")</f>
        <v/>
      </c>
      <c r="C1598" s="6" t="str">
        <f ca="1">IF(AND(NEGOCIAÇÕES!O1598="",NEGOCIAÇÕES!N1598&gt;TODAY()),NEGOCIAÇÕES!E1598,"")</f>
        <v/>
      </c>
      <c r="D1598" s="6" t="str">
        <f ca="1">IF(AND(NEGOCIAÇÕES!O1598="",NEGOCIAÇÕES!N1598&gt;TODAY()),NEGOCIAÇÕES!D1598,"")</f>
        <v/>
      </c>
      <c r="E1598" s="9" t="str">
        <f>IF(AND(NEGOCIAÇÕES!B1598&lt;&gt;"",NEGOCIAÇÕES!O1598=""),NEGOCIAÇÕES!N1598,"")</f>
        <v/>
      </c>
    </row>
    <row r="1599" spans="2:5" ht="31.95" hidden="1" customHeight="1" x14ac:dyDescent="0.3">
      <c r="B1599" s="6" t="str">
        <f ca="1">IF(AND(NEGOCIAÇÕES!O1599="",NEGOCIAÇÕES!N1599&gt;TODAY()),NEGOCIAÇÕES!C1599,"")</f>
        <v/>
      </c>
      <c r="C1599" s="6" t="str">
        <f ca="1">IF(AND(NEGOCIAÇÕES!O1599="",NEGOCIAÇÕES!N1599&gt;TODAY()),NEGOCIAÇÕES!E1599,"")</f>
        <v/>
      </c>
      <c r="D1599" s="6" t="str">
        <f ca="1">IF(AND(NEGOCIAÇÕES!O1599="",NEGOCIAÇÕES!N1599&gt;TODAY()),NEGOCIAÇÕES!D1599,"")</f>
        <v/>
      </c>
      <c r="E1599" s="9" t="str">
        <f>IF(AND(NEGOCIAÇÕES!B1599&lt;&gt;"",NEGOCIAÇÕES!O1599=""),NEGOCIAÇÕES!N1599,"")</f>
        <v/>
      </c>
    </row>
    <row r="1600" spans="2:5" ht="31.95" hidden="1" customHeight="1" x14ac:dyDescent="0.3">
      <c r="B1600" s="6" t="str">
        <f ca="1">IF(AND(NEGOCIAÇÕES!O1600="",NEGOCIAÇÕES!N1600&gt;TODAY()),NEGOCIAÇÕES!C1600,"")</f>
        <v/>
      </c>
      <c r="C1600" s="6" t="str">
        <f ca="1">IF(AND(NEGOCIAÇÕES!O1600="",NEGOCIAÇÕES!N1600&gt;TODAY()),NEGOCIAÇÕES!E1600,"")</f>
        <v/>
      </c>
      <c r="D1600" s="6" t="str">
        <f ca="1">IF(AND(NEGOCIAÇÕES!O1600="",NEGOCIAÇÕES!N1600&gt;TODAY()),NEGOCIAÇÕES!D1600,"")</f>
        <v/>
      </c>
      <c r="E1600" s="9" t="str">
        <f>IF(AND(NEGOCIAÇÕES!B1600&lt;&gt;"",NEGOCIAÇÕES!O1600=""),NEGOCIAÇÕES!N1600,"")</f>
        <v/>
      </c>
    </row>
    <row r="1601" spans="2:5" ht="31.95" hidden="1" customHeight="1" x14ac:dyDescent="0.3">
      <c r="B1601" s="6" t="str">
        <f ca="1">IF(AND(NEGOCIAÇÕES!O1601="",NEGOCIAÇÕES!N1601&gt;TODAY()),NEGOCIAÇÕES!C1601,"")</f>
        <v/>
      </c>
      <c r="C1601" s="6" t="str">
        <f ca="1">IF(AND(NEGOCIAÇÕES!O1601="",NEGOCIAÇÕES!N1601&gt;TODAY()),NEGOCIAÇÕES!E1601,"")</f>
        <v/>
      </c>
      <c r="D1601" s="6" t="str">
        <f ca="1">IF(AND(NEGOCIAÇÕES!O1601="",NEGOCIAÇÕES!N1601&gt;TODAY()),NEGOCIAÇÕES!D1601,"")</f>
        <v/>
      </c>
      <c r="E1601" s="9" t="str">
        <f>IF(AND(NEGOCIAÇÕES!B1601&lt;&gt;"",NEGOCIAÇÕES!O1601=""),NEGOCIAÇÕES!N1601,"")</f>
        <v/>
      </c>
    </row>
    <row r="1602" spans="2:5" ht="31.95" hidden="1" customHeight="1" x14ac:dyDescent="0.3">
      <c r="B1602" s="6" t="str">
        <f ca="1">IF(AND(NEGOCIAÇÕES!O1602="",NEGOCIAÇÕES!N1602&gt;TODAY()),NEGOCIAÇÕES!C1602,"")</f>
        <v/>
      </c>
      <c r="C1602" s="6" t="str">
        <f ca="1">IF(AND(NEGOCIAÇÕES!O1602="",NEGOCIAÇÕES!N1602&gt;TODAY()),NEGOCIAÇÕES!E1602,"")</f>
        <v/>
      </c>
      <c r="D1602" s="6" t="str">
        <f ca="1">IF(AND(NEGOCIAÇÕES!O1602="",NEGOCIAÇÕES!N1602&gt;TODAY()),NEGOCIAÇÕES!D1602,"")</f>
        <v/>
      </c>
      <c r="E1602" s="9" t="str">
        <f>IF(AND(NEGOCIAÇÕES!B1602&lt;&gt;"",NEGOCIAÇÕES!O1602=""),NEGOCIAÇÕES!N1602,"")</f>
        <v/>
      </c>
    </row>
    <row r="1603" spans="2:5" ht="31.95" hidden="1" customHeight="1" x14ac:dyDescent="0.3">
      <c r="B1603" s="6" t="str">
        <f ca="1">IF(AND(NEGOCIAÇÕES!O1603="",NEGOCIAÇÕES!N1603&gt;TODAY()),NEGOCIAÇÕES!C1603,"")</f>
        <v/>
      </c>
      <c r="C1603" s="6" t="str">
        <f ca="1">IF(AND(NEGOCIAÇÕES!O1603="",NEGOCIAÇÕES!N1603&gt;TODAY()),NEGOCIAÇÕES!E1603,"")</f>
        <v/>
      </c>
      <c r="D1603" s="6" t="str">
        <f ca="1">IF(AND(NEGOCIAÇÕES!O1603="",NEGOCIAÇÕES!N1603&gt;TODAY()),NEGOCIAÇÕES!D1603,"")</f>
        <v/>
      </c>
      <c r="E1603" s="9" t="str">
        <f>IF(AND(NEGOCIAÇÕES!B1603&lt;&gt;"",NEGOCIAÇÕES!O1603=""),NEGOCIAÇÕES!N1603,"")</f>
        <v/>
      </c>
    </row>
    <row r="1604" spans="2:5" ht="31.95" hidden="1" customHeight="1" x14ac:dyDescent="0.3">
      <c r="B1604" s="6" t="str">
        <f ca="1">IF(AND(NEGOCIAÇÕES!O1604="",NEGOCIAÇÕES!N1604&gt;TODAY()),NEGOCIAÇÕES!C1604,"")</f>
        <v/>
      </c>
      <c r="C1604" s="6" t="str">
        <f ca="1">IF(AND(NEGOCIAÇÕES!O1604="",NEGOCIAÇÕES!N1604&gt;TODAY()),NEGOCIAÇÕES!E1604,"")</f>
        <v/>
      </c>
      <c r="D1604" s="6" t="str">
        <f ca="1">IF(AND(NEGOCIAÇÕES!O1604="",NEGOCIAÇÕES!N1604&gt;TODAY()),NEGOCIAÇÕES!D1604,"")</f>
        <v/>
      </c>
      <c r="E1604" s="9" t="str">
        <f>IF(AND(NEGOCIAÇÕES!B1604&lt;&gt;"",NEGOCIAÇÕES!O1604=""),NEGOCIAÇÕES!N1604,"")</f>
        <v/>
      </c>
    </row>
    <row r="1605" spans="2:5" ht="31.95" hidden="1" customHeight="1" x14ac:dyDescent="0.3">
      <c r="B1605" s="6" t="str">
        <f ca="1">IF(AND(NEGOCIAÇÕES!O1605="",NEGOCIAÇÕES!N1605&gt;TODAY()),NEGOCIAÇÕES!C1605,"")</f>
        <v/>
      </c>
      <c r="C1605" s="6" t="str">
        <f ca="1">IF(AND(NEGOCIAÇÕES!O1605="",NEGOCIAÇÕES!N1605&gt;TODAY()),NEGOCIAÇÕES!E1605,"")</f>
        <v/>
      </c>
      <c r="D1605" s="6" t="str">
        <f ca="1">IF(AND(NEGOCIAÇÕES!O1605="",NEGOCIAÇÕES!N1605&gt;TODAY()),NEGOCIAÇÕES!D1605,"")</f>
        <v/>
      </c>
      <c r="E1605" s="9" t="str">
        <f>IF(AND(NEGOCIAÇÕES!B1605&lt;&gt;"",NEGOCIAÇÕES!O1605=""),NEGOCIAÇÕES!N1605,"")</f>
        <v/>
      </c>
    </row>
    <row r="1606" spans="2:5" ht="31.95" hidden="1" customHeight="1" x14ac:dyDescent="0.3">
      <c r="B1606" s="6" t="str">
        <f ca="1">IF(AND(NEGOCIAÇÕES!O1606="",NEGOCIAÇÕES!N1606&gt;TODAY()),NEGOCIAÇÕES!C1606,"")</f>
        <v/>
      </c>
      <c r="C1606" s="6" t="str">
        <f ca="1">IF(AND(NEGOCIAÇÕES!O1606="",NEGOCIAÇÕES!N1606&gt;TODAY()),NEGOCIAÇÕES!E1606,"")</f>
        <v/>
      </c>
      <c r="D1606" s="6" t="str">
        <f ca="1">IF(AND(NEGOCIAÇÕES!O1606="",NEGOCIAÇÕES!N1606&gt;TODAY()),NEGOCIAÇÕES!D1606,"")</f>
        <v/>
      </c>
      <c r="E1606" s="9" t="str">
        <f>IF(AND(NEGOCIAÇÕES!B1606&lt;&gt;"",NEGOCIAÇÕES!O1606=""),NEGOCIAÇÕES!N1606,"")</f>
        <v/>
      </c>
    </row>
    <row r="1607" spans="2:5" ht="31.95" hidden="1" customHeight="1" x14ac:dyDescent="0.3">
      <c r="B1607" s="6" t="str">
        <f ca="1">IF(AND(NEGOCIAÇÕES!O1607="",NEGOCIAÇÕES!N1607&gt;TODAY()),NEGOCIAÇÕES!C1607,"")</f>
        <v/>
      </c>
      <c r="C1607" s="6" t="str">
        <f ca="1">IF(AND(NEGOCIAÇÕES!O1607="",NEGOCIAÇÕES!N1607&gt;TODAY()),NEGOCIAÇÕES!E1607,"")</f>
        <v/>
      </c>
      <c r="D1607" s="6" t="str">
        <f ca="1">IF(AND(NEGOCIAÇÕES!O1607="",NEGOCIAÇÕES!N1607&gt;TODAY()),NEGOCIAÇÕES!D1607,"")</f>
        <v/>
      </c>
      <c r="E1607" s="9" t="str">
        <f>IF(AND(NEGOCIAÇÕES!B1607&lt;&gt;"",NEGOCIAÇÕES!O1607=""),NEGOCIAÇÕES!N1607,"")</f>
        <v/>
      </c>
    </row>
    <row r="1608" spans="2:5" ht="31.95" hidden="1" customHeight="1" x14ac:dyDescent="0.3">
      <c r="B1608" s="6" t="str">
        <f ca="1">IF(AND(NEGOCIAÇÕES!O1608="",NEGOCIAÇÕES!N1608&gt;TODAY()),NEGOCIAÇÕES!C1608,"")</f>
        <v/>
      </c>
      <c r="C1608" s="6" t="str">
        <f ca="1">IF(AND(NEGOCIAÇÕES!O1608="",NEGOCIAÇÕES!N1608&gt;TODAY()),NEGOCIAÇÕES!E1608,"")</f>
        <v/>
      </c>
      <c r="D1608" s="6" t="str">
        <f ca="1">IF(AND(NEGOCIAÇÕES!O1608="",NEGOCIAÇÕES!N1608&gt;TODAY()),NEGOCIAÇÕES!D1608,"")</f>
        <v/>
      </c>
      <c r="E1608" s="9" t="str">
        <f>IF(AND(NEGOCIAÇÕES!B1608&lt;&gt;"",NEGOCIAÇÕES!O1608=""),NEGOCIAÇÕES!N1608,"")</f>
        <v/>
      </c>
    </row>
    <row r="1609" spans="2:5" ht="31.95" hidden="1" customHeight="1" x14ac:dyDescent="0.3">
      <c r="B1609" s="6" t="str">
        <f ca="1">IF(AND(NEGOCIAÇÕES!O1609="",NEGOCIAÇÕES!N1609&gt;TODAY()),NEGOCIAÇÕES!C1609,"")</f>
        <v/>
      </c>
      <c r="C1609" s="6" t="str">
        <f ca="1">IF(AND(NEGOCIAÇÕES!O1609="",NEGOCIAÇÕES!N1609&gt;TODAY()),NEGOCIAÇÕES!E1609,"")</f>
        <v/>
      </c>
      <c r="D1609" s="6" t="str">
        <f ca="1">IF(AND(NEGOCIAÇÕES!O1609="",NEGOCIAÇÕES!N1609&gt;TODAY()),NEGOCIAÇÕES!D1609,"")</f>
        <v/>
      </c>
      <c r="E1609" s="9" t="str">
        <f>IF(AND(NEGOCIAÇÕES!B1609&lt;&gt;"",NEGOCIAÇÕES!O1609=""),NEGOCIAÇÕES!N1609,"")</f>
        <v/>
      </c>
    </row>
    <row r="1610" spans="2:5" ht="31.95" hidden="1" customHeight="1" x14ac:dyDescent="0.3">
      <c r="B1610" s="6" t="str">
        <f ca="1">IF(AND(NEGOCIAÇÕES!O1610="",NEGOCIAÇÕES!N1610&gt;TODAY()),NEGOCIAÇÕES!C1610,"")</f>
        <v/>
      </c>
      <c r="C1610" s="6" t="str">
        <f ca="1">IF(AND(NEGOCIAÇÕES!O1610="",NEGOCIAÇÕES!N1610&gt;TODAY()),NEGOCIAÇÕES!E1610,"")</f>
        <v/>
      </c>
      <c r="D1610" s="6" t="str">
        <f ca="1">IF(AND(NEGOCIAÇÕES!O1610="",NEGOCIAÇÕES!N1610&gt;TODAY()),NEGOCIAÇÕES!D1610,"")</f>
        <v/>
      </c>
      <c r="E1610" s="9" t="str">
        <f>IF(AND(NEGOCIAÇÕES!B1610&lt;&gt;"",NEGOCIAÇÕES!O1610=""),NEGOCIAÇÕES!N1610,"")</f>
        <v/>
      </c>
    </row>
    <row r="1611" spans="2:5" ht="31.95" hidden="1" customHeight="1" x14ac:dyDescent="0.3">
      <c r="B1611" s="6" t="str">
        <f ca="1">IF(AND(NEGOCIAÇÕES!O1611="",NEGOCIAÇÕES!N1611&gt;TODAY()),NEGOCIAÇÕES!C1611,"")</f>
        <v/>
      </c>
      <c r="C1611" s="6" t="str">
        <f ca="1">IF(AND(NEGOCIAÇÕES!O1611="",NEGOCIAÇÕES!N1611&gt;TODAY()),NEGOCIAÇÕES!E1611,"")</f>
        <v/>
      </c>
      <c r="D1611" s="6" t="str">
        <f ca="1">IF(AND(NEGOCIAÇÕES!O1611="",NEGOCIAÇÕES!N1611&gt;TODAY()),NEGOCIAÇÕES!D1611,"")</f>
        <v/>
      </c>
      <c r="E1611" s="9" t="str">
        <f>IF(AND(NEGOCIAÇÕES!B1611&lt;&gt;"",NEGOCIAÇÕES!O1611=""),NEGOCIAÇÕES!N1611,"")</f>
        <v/>
      </c>
    </row>
    <row r="1612" spans="2:5" ht="31.95" hidden="1" customHeight="1" x14ac:dyDescent="0.3">
      <c r="B1612" s="6" t="str">
        <f ca="1">IF(AND(NEGOCIAÇÕES!O1612="",NEGOCIAÇÕES!N1612&gt;TODAY()),NEGOCIAÇÕES!C1612,"")</f>
        <v/>
      </c>
      <c r="C1612" s="6" t="str">
        <f ca="1">IF(AND(NEGOCIAÇÕES!O1612="",NEGOCIAÇÕES!N1612&gt;TODAY()),NEGOCIAÇÕES!E1612,"")</f>
        <v/>
      </c>
      <c r="D1612" s="6" t="str">
        <f ca="1">IF(AND(NEGOCIAÇÕES!O1612="",NEGOCIAÇÕES!N1612&gt;TODAY()),NEGOCIAÇÕES!D1612,"")</f>
        <v/>
      </c>
      <c r="E1612" s="9" t="str">
        <f>IF(AND(NEGOCIAÇÕES!B1612&lt;&gt;"",NEGOCIAÇÕES!O1612=""),NEGOCIAÇÕES!N1612,"")</f>
        <v/>
      </c>
    </row>
    <row r="1613" spans="2:5" ht="31.95" hidden="1" customHeight="1" x14ac:dyDescent="0.3">
      <c r="B1613" s="6" t="str">
        <f ca="1">IF(AND(NEGOCIAÇÕES!O1613="",NEGOCIAÇÕES!N1613&gt;TODAY()),NEGOCIAÇÕES!C1613,"")</f>
        <v/>
      </c>
      <c r="C1613" s="6" t="str">
        <f ca="1">IF(AND(NEGOCIAÇÕES!O1613="",NEGOCIAÇÕES!N1613&gt;TODAY()),NEGOCIAÇÕES!E1613,"")</f>
        <v/>
      </c>
      <c r="D1613" s="6" t="str">
        <f ca="1">IF(AND(NEGOCIAÇÕES!O1613="",NEGOCIAÇÕES!N1613&gt;TODAY()),NEGOCIAÇÕES!D1613,"")</f>
        <v/>
      </c>
      <c r="E1613" s="9" t="str">
        <f>IF(AND(NEGOCIAÇÕES!B1613&lt;&gt;"",NEGOCIAÇÕES!O1613=""),NEGOCIAÇÕES!N1613,"")</f>
        <v/>
      </c>
    </row>
    <row r="1614" spans="2:5" ht="31.95" hidden="1" customHeight="1" x14ac:dyDescent="0.3">
      <c r="B1614" s="6" t="str">
        <f ca="1">IF(AND(NEGOCIAÇÕES!O1614="",NEGOCIAÇÕES!N1614&gt;TODAY()),NEGOCIAÇÕES!C1614,"")</f>
        <v/>
      </c>
      <c r="C1614" s="6" t="str">
        <f ca="1">IF(AND(NEGOCIAÇÕES!O1614="",NEGOCIAÇÕES!N1614&gt;TODAY()),NEGOCIAÇÕES!E1614,"")</f>
        <v/>
      </c>
      <c r="D1614" s="6" t="str">
        <f ca="1">IF(AND(NEGOCIAÇÕES!O1614="",NEGOCIAÇÕES!N1614&gt;TODAY()),NEGOCIAÇÕES!D1614,"")</f>
        <v/>
      </c>
      <c r="E1614" s="9" t="str">
        <f>IF(AND(NEGOCIAÇÕES!B1614&lt;&gt;"",NEGOCIAÇÕES!O1614=""),NEGOCIAÇÕES!N1614,"")</f>
        <v/>
      </c>
    </row>
    <row r="1615" spans="2:5" ht="31.95" hidden="1" customHeight="1" x14ac:dyDescent="0.3">
      <c r="B1615" s="6" t="str">
        <f ca="1">IF(AND(NEGOCIAÇÕES!O1615="",NEGOCIAÇÕES!N1615&gt;TODAY()),NEGOCIAÇÕES!C1615,"")</f>
        <v/>
      </c>
      <c r="C1615" s="6" t="str">
        <f ca="1">IF(AND(NEGOCIAÇÕES!O1615="",NEGOCIAÇÕES!N1615&gt;TODAY()),NEGOCIAÇÕES!E1615,"")</f>
        <v/>
      </c>
      <c r="D1615" s="6" t="str">
        <f ca="1">IF(AND(NEGOCIAÇÕES!O1615="",NEGOCIAÇÕES!N1615&gt;TODAY()),NEGOCIAÇÕES!D1615,"")</f>
        <v/>
      </c>
      <c r="E1615" s="9" t="str">
        <f>IF(AND(NEGOCIAÇÕES!B1615&lt;&gt;"",NEGOCIAÇÕES!O1615=""),NEGOCIAÇÕES!N1615,"")</f>
        <v/>
      </c>
    </row>
    <row r="1616" spans="2:5" ht="31.95" hidden="1" customHeight="1" x14ac:dyDescent="0.3">
      <c r="B1616" s="6" t="str">
        <f ca="1">IF(AND(NEGOCIAÇÕES!O1616="",NEGOCIAÇÕES!N1616&gt;TODAY()),NEGOCIAÇÕES!C1616,"")</f>
        <v/>
      </c>
      <c r="C1616" s="6" t="str">
        <f ca="1">IF(AND(NEGOCIAÇÕES!O1616="",NEGOCIAÇÕES!N1616&gt;TODAY()),NEGOCIAÇÕES!E1616,"")</f>
        <v/>
      </c>
      <c r="D1616" s="6" t="str">
        <f ca="1">IF(AND(NEGOCIAÇÕES!O1616="",NEGOCIAÇÕES!N1616&gt;TODAY()),NEGOCIAÇÕES!D1616,"")</f>
        <v/>
      </c>
      <c r="E1616" s="9" t="str">
        <f>IF(AND(NEGOCIAÇÕES!B1616&lt;&gt;"",NEGOCIAÇÕES!O1616=""),NEGOCIAÇÕES!N1616,"")</f>
        <v/>
      </c>
    </row>
    <row r="1617" spans="2:5" ht="31.95" hidden="1" customHeight="1" x14ac:dyDescent="0.3">
      <c r="B1617" s="6" t="str">
        <f ca="1">IF(AND(NEGOCIAÇÕES!O1617="",NEGOCIAÇÕES!N1617&gt;TODAY()),NEGOCIAÇÕES!C1617,"")</f>
        <v/>
      </c>
      <c r="C1617" s="6" t="str">
        <f ca="1">IF(AND(NEGOCIAÇÕES!O1617="",NEGOCIAÇÕES!N1617&gt;TODAY()),NEGOCIAÇÕES!E1617,"")</f>
        <v/>
      </c>
      <c r="D1617" s="6" t="str">
        <f ca="1">IF(AND(NEGOCIAÇÕES!O1617="",NEGOCIAÇÕES!N1617&gt;TODAY()),NEGOCIAÇÕES!D1617,"")</f>
        <v/>
      </c>
      <c r="E1617" s="9" t="str">
        <f>IF(AND(NEGOCIAÇÕES!B1617&lt;&gt;"",NEGOCIAÇÕES!O1617=""),NEGOCIAÇÕES!N1617,"")</f>
        <v/>
      </c>
    </row>
    <row r="1618" spans="2:5" ht="31.95" hidden="1" customHeight="1" x14ac:dyDescent="0.3">
      <c r="B1618" s="6" t="str">
        <f ca="1">IF(AND(NEGOCIAÇÕES!O1618="",NEGOCIAÇÕES!N1618&gt;TODAY()),NEGOCIAÇÕES!C1618,"")</f>
        <v/>
      </c>
      <c r="C1618" s="6" t="str">
        <f ca="1">IF(AND(NEGOCIAÇÕES!O1618="",NEGOCIAÇÕES!N1618&gt;TODAY()),NEGOCIAÇÕES!E1618,"")</f>
        <v/>
      </c>
      <c r="D1618" s="6" t="str">
        <f ca="1">IF(AND(NEGOCIAÇÕES!O1618="",NEGOCIAÇÕES!N1618&gt;TODAY()),NEGOCIAÇÕES!D1618,"")</f>
        <v/>
      </c>
      <c r="E1618" s="9" t="str">
        <f>IF(AND(NEGOCIAÇÕES!B1618&lt;&gt;"",NEGOCIAÇÕES!O1618=""),NEGOCIAÇÕES!N1618,"")</f>
        <v/>
      </c>
    </row>
    <row r="1619" spans="2:5" ht="31.95" hidden="1" customHeight="1" x14ac:dyDescent="0.3">
      <c r="B1619" s="6" t="str">
        <f ca="1">IF(AND(NEGOCIAÇÕES!O1619="",NEGOCIAÇÕES!N1619&gt;TODAY()),NEGOCIAÇÕES!C1619,"")</f>
        <v/>
      </c>
      <c r="C1619" s="6" t="str">
        <f ca="1">IF(AND(NEGOCIAÇÕES!O1619="",NEGOCIAÇÕES!N1619&gt;TODAY()),NEGOCIAÇÕES!E1619,"")</f>
        <v/>
      </c>
      <c r="D1619" s="6" t="str">
        <f ca="1">IF(AND(NEGOCIAÇÕES!O1619="",NEGOCIAÇÕES!N1619&gt;TODAY()),NEGOCIAÇÕES!D1619,"")</f>
        <v/>
      </c>
      <c r="E1619" s="9" t="str">
        <f>IF(AND(NEGOCIAÇÕES!B1619&lt;&gt;"",NEGOCIAÇÕES!O1619=""),NEGOCIAÇÕES!N1619,"")</f>
        <v/>
      </c>
    </row>
    <row r="1620" spans="2:5" ht="31.95" hidden="1" customHeight="1" x14ac:dyDescent="0.3">
      <c r="B1620" s="6" t="str">
        <f ca="1">IF(AND(NEGOCIAÇÕES!O1620="",NEGOCIAÇÕES!N1620&gt;TODAY()),NEGOCIAÇÕES!C1620,"")</f>
        <v/>
      </c>
      <c r="C1620" s="6" t="str">
        <f ca="1">IF(AND(NEGOCIAÇÕES!O1620="",NEGOCIAÇÕES!N1620&gt;TODAY()),NEGOCIAÇÕES!E1620,"")</f>
        <v/>
      </c>
      <c r="D1620" s="6" t="str">
        <f ca="1">IF(AND(NEGOCIAÇÕES!O1620="",NEGOCIAÇÕES!N1620&gt;TODAY()),NEGOCIAÇÕES!D1620,"")</f>
        <v/>
      </c>
      <c r="E1620" s="9" t="str">
        <f>IF(AND(NEGOCIAÇÕES!B1620&lt;&gt;"",NEGOCIAÇÕES!O1620=""),NEGOCIAÇÕES!N1620,"")</f>
        <v/>
      </c>
    </row>
    <row r="1621" spans="2:5" ht="31.95" hidden="1" customHeight="1" x14ac:dyDescent="0.3">
      <c r="B1621" s="6" t="str">
        <f ca="1">IF(AND(NEGOCIAÇÕES!O1621="",NEGOCIAÇÕES!N1621&gt;TODAY()),NEGOCIAÇÕES!C1621,"")</f>
        <v/>
      </c>
      <c r="C1621" s="6" t="str">
        <f ca="1">IF(AND(NEGOCIAÇÕES!O1621="",NEGOCIAÇÕES!N1621&gt;TODAY()),NEGOCIAÇÕES!E1621,"")</f>
        <v/>
      </c>
      <c r="D1621" s="6" t="str">
        <f ca="1">IF(AND(NEGOCIAÇÕES!O1621="",NEGOCIAÇÕES!N1621&gt;TODAY()),NEGOCIAÇÕES!D1621,"")</f>
        <v/>
      </c>
      <c r="E1621" s="9" t="str">
        <f>IF(AND(NEGOCIAÇÕES!B1621&lt;&gt;"",NEGOCIAÇÕES!O1621=""),NEGOCIAÇÕES!N1621,"")</f>
        <v/>
      </c>
    </row>
    <row r="1622" spans="2:5" ht="31.95" hidden="1" customHeight="1" x14ac:dyDescent="0.3">
      <c r="B1622" s="6" t="str">
        <f ca="1">IF(AND(NEGOCIAÇÕES!O1622="",NEGOCIAÇÕES!N1622&gt;TODAY()),NEGOCIAÇÕES!C1622,"")</f>
        <v/>
      </c>
      <c r="C1622" s="6" t="str">
        <f ca="1">IF(AND(NEGOCIAÇÕES!O1622="",NEGOCIAÇÕES!N1622&gt;TODAY()),NEGOCIAÇÕES!E1622,"")</f>
        <v/>
      </c>
      <c r="D1622" s="6" t="str">
        <f ca="1">IF(AND(NEGOCIAÇÕES!O1622="",NEGOCIAÇÕES!N1622&gt;TODAY()),NEGOCIAÇÕES!D1622,"")</f>
        <v/>
      </c>
      <c r="E1622" s="9" t="str">
        <f>IF(AND(NEGOCIAÇÕES!B1622&lt;&gt;"",NEGOCIAÇÕES!O1622=""),NEGOCIAÇÕES!N1622,"")</f>
        <v/>
      </c>
    </row>
    <row r="1623" spans="2:5" ht="31.95" hidden="1" customHeight="1" x14ac:dyDescent="0.3">
      <c r="B1623" s="6" t="str">
        <f ca="1">IF(AND(NEGOCIAÇÕES!O1623="",NEGOCIAÇÕES!N1623&gt;TODAY()),NEGOCIAÇÕES!C1623,"")</f>
        <v/>
      </c>
      <c r="C1623" s="6" t="str">
        <f ca="1">IF(AND(NEGOCIAÇÕES!O1623="",NEGOCIAÇÕES!N1623&gt;TODAY()),NEGOCIAÇÕES!E1623,"")</f>
        <v/>
      </c>
      <c r="D1623" s="6" t="str">
        <f ca="1">IF(AND(NEGOCIAÇÕES!O1623="",NEGOCIAÇÕES!N1623&gt;TODAY()),NEGOCIAÇÕES!D1623,"")</f>
        <v/>
      </c>
      <c r="E1623" s="9" t="str">
        <f>IF(AND(NEGOCIAÇÕES!B1623&lt;&gt;"",NEGOCIAÇÕES!O1623=""),NEGOCIAÇÕES!N1623,"")</f>
        <v/>
      </c>
    </row>
    <row r="1624" spans="2:5" ht="31.95" hidden="1" customHeight="1" x14ac:dyDescent="0.3">
      <c r="B1624" s="6" t="str">
        <f ca="1">IF(AND(NEGOCIAÇÕES!O1624="",NEGOCIAÇÕES!N1624&gt;TODAY()),NEGOCIAÇÕES!C1624,"")</f>
        <v/>
      </c>
      <c r="C1624" s="6" t="str">
        <f ca="1">IF(AND(NEGOCIAÇÕES!O1624="",NEGOCIAÇÕES!N1624&gt;TODAY()),NEGOCIAÇÕES!E1624,"")</f>
        <v/>
      </c>
      <c r="D1624" s="6" t="str">
        <f ca="1">IF(AND(NEGOCIAÇÕES!O1624="",NEGOCIAÇÕES!N1624&gt;TODAY()),NEGOCIAÇÕES!D1624,"")</f>
        <v/>
      </c>
      <c r="E1624" s="9" t="str">
        <f>IF(AND(NEGOCIAÇÕES!B1624&lt;&gt;"",NEGOCIAÇÕES!O1624=""),NEGOCIAÇÕES!N1624,"")</f>
        <v/>
      </c>
    </row>
    <row r="1625" spans="2:5" ht="31.95" hidden="1" customHeight="1" x14ac:dyDescent="0.3">
      <c r="B1625" s="6" t="str">
        <f ca="1">IF(AND(NEGOCIAÇÕES!O1625="",NEGOCIAÇÕES!N1625&gt;TODAY()),NEGOCIAÇÕES!C1625,"")</f>
        <v/>
      </c>
      <c r="C1625" s="6" t="str">
        <f ca="1">IF(AND(NEGOCIAÇÕES!O1625="",NEGOCIAÇÕES!N1625&gt;TODAY()),NEGOCIAÇÕES!E1625,"")</f>
        <v/>
      </c>
      <c r="D1625" s="6" t="str">
        <f ca="1">IF(AND(NEGOCIAÇÕES!O1625="",NEGOCIAÇÕES!N1625&gt;TODAY()),NEGOCIAÇÕES!D1625,"")</f>
        <v/>
      </c>
      <c r="E1625" s="9" t="str">
        <f>IF(AND(NEGOCIAÇÕES!B1625&lt;&gt;"",NEGOCIAÇÕES!O1625=""),NEGOCIAÇÕES!N1625,"")</f>
        <v/>
      </c>
    </row>
    <row r="1626" spans="2:5" ht="31.95" hidden="1" customHeight="1" x14ac:dyDescent="0.3">
      <c r="B1626" s="6" t="str">
        <f ca="1">IF(AND(NEGOCIAÇÕES!O1626="",NEGOCIAÇÕES!N1626&gt;TODAY()),NEGOCIAÇÕES!C1626,"")</f>
        <v/>
      </c>
      <c r="C1626" s="6" t="str">
        <f ca="1">IF(AND(NEGOCIAÇÕES!O1626="",NEGOCIAÇÕES!N1626&gt;TODAY()),NEGOCIAÇÕES!E1626,"")</f>
        <v/>
      </c>
      <c r="D1626" s="6" t="str">
        <f ca="1">IF(AND(NEGOCIAÇÕES!O1626="",NEGOCIAÇÕES!N1626&gt;TODAY()),NEGOCIAÇÕES!D1626,"")</f>
        <v/>
      </c>
      <c r="E1626" s="9" t="str">
        <f>IF(AND(NEGOCIAÇÕES!B1626&lt;&gt;"",NEGOCIAÇÕES!O1626=""),NEGOCIAÇÕES!N1626,"")</f>
        <v/>
      </c>
    </row>
    <row r="1627" spans="2:5" ht="31.95" hidden="1" customHeight="1" x14ac:dyDescent="0.3">
      <c r="B1627" s="6" t="str">
        <f ca="1">IF(AND(NEGOCIAÇÕES!O1627="",NEGOCIAÇÕES!N1627&gt;TODAY()),NEGOCIAÇÕES!C1627,"")</f>
        <v/>
      </c>
      <c r="C1627" s="6" t="str">
        <f ca="1">IF(AND(NEGOCIAÇÕES!O1627="",NEGOCIAÇÕES!N1627&gt;TODAY()),NEGOCIAÇÕES!E1627,"")</f>
        <v/>
      </c>
      <c r="D1627" s="6" t="str">
        <f ca="1">IF(AND(NEGOCIAÇÕES!O1627="",NEGOCIAÇÕES!N1627&gt;TODAY()),NEGOCIAÇÕES!D1627,"")</f>
        <v/>
      </c>
      <c r="E1627" s="9" t="str">
        <f>IF(AND(NEGOCIAÇÕES!B1627&lt;&gt;"",NEGOCIAÇÕES!O1627=""),NEGOCIAÇÕES!N1627,"")</f>
        <v/>
      </c>
    </row>
    <row r="1628" spans="2:5" ht="31.95" hidden="1" customHeight="1" x14ac:dyDescent="0.3">
      <c r="B1628" s="6" t="str">
        <f ca="1">IF(AND(NEGOCIAÇÕES!O1628="",NEGOCIAÇÕES!N1628&gt;TODAY()),NEGOCIAÇÕES!C1628,"")</f>
        <v/>
      </c>
      <c r="C1628" s="6" t="str">
        <f ca="1">IF(AND(NEGOCIAÇÕES!O1628="",NEGOCIAÇÕES!N1628&gt;TODAY()),NEGOCIAÇÕES!E1628,"")</f>
        <v/>
      </c>
      <c r="D1628" s="6" t="str">
        <f ca="1">IF(AND(NEGOCIAÇÕES!O1628="",NEGOCIAÇÕES!N1628&gt;TODAY()),NEGOCIAÇÕES!D1628,"")</f>
        <v/>
      </c>
      <c r="E1628" s="9" t="str">
        <f>IF(AND(NEGOCIAÇÕES!B1628&lt;&gt;"",NEGOCIAÇÕES!O1628=""),NEGOCIAÇÕES!N1628,"")</f>
        <v/>
      </c>
    </row>
    <row r="1629" spans="2:5" ht="31.95" hidden="1" customHeight="1" x14ac:dyDescent="0.3">
      <c r="B1629" s="6" t="str">
        <f ca="1">IF(AND(NEGOCIAÇÕES!O1629="",NEGOCIAÇÕES!N1629&gt;TODAY()),NEGOCIAÇÕES!C1629,"")</f>
        <v/>
      </c>
      <c r="C1629" s="6" t="str">
        <f ca="1">IF(AND(NEGOCIAÇÕES!O1629="",NEGOCIAÇÕES!N1629&gt;TODAY()),NEGOCIAÇÕES!E1629,"")</f>
        <v/>
      </c>
      <c r="D1629" s="6" t="str">
        <f ca="1">IF(AND(NEGOCIAÇÕES!O1629="",NEGOCIAÇÕES!N1629&gt;TODAY()),NEGOCIAÇÕES!D1629,"")</f>
        <v/>
      </c>
      <c r="E1629" s="9" t="str">
        <f>IF(AND(NEGOCIAÇÕES!B1629&lt;&gt;"",NEGOCIAÇÕES!O1629=""),NEGOCIAÇÕES!N1629,"")</f>
        <v/>
      </c>
    </row>
    <row r="1630" spans="2:5" ht="31.95" hidden="1" customHeight="1" x14ac:dyDescent="0.3">
      <c r="B1630" s="6" t="str">
        <f ca="1">IF(AND(NEGOCIAÇÕES!O1630="",NEGOCIAÇÕES!N1630&gt;TODAY()),NEGOCIAÇÕES!C1630,"")</f>
        <v/>
      </c>
      <c r="C1630" s="6" t="str">
        <f ca="1">IF(AND(NEGOCIAÇÕES!O1630="",NEGOCIAÇÕES!N1630&gt;TODAY()),NEGOCIAÇÕES!E1630,"")</f>
        <v/>
      </c>
      <c r="D1630" s="6" t="str">
        <f ca="1">IF(AND(NEGOCIAÇÕES!O1630="",NEGOCIAÇÕES!N1630&gt;TODAY()),NEGOCIAÇÕES!D1630,"")</f>
        <v/>
      </c>
      <c r="E1630" s="9" t="str">
        <f>IF(AND(NEGOCIAÇÕES!B1630&lt;&gt;"",NEGOCIAÇÕES!O1630=""),NEGOCIAÇÕES!N1630,"")</f>
        <v/>
      </c>
    </row>
    <row r="1631" spans="2:5" ht="31.95" hidden="1" customHeight="1" x14ac:dyDescent="0.3">
      <c r="B1631" s="6" t="str">
        <f ca="1">IF(AND(NEGOCIAÇÕES!O1631="",NEGOCIAÇÕES!N1631&gt;TODAY()),NEGOCIAÇÕES!C1631,"")</f>
        <v/>
      </c>
      <c r="C1631" s="6" t="str">
        <f ca="1">IF(AND(NEGOCIAÇÕES!O1631="",NEGOCIAÇÕES!N1631&gt;TODAY()),NEGOCIAÇÕES!E1631,"")</f>
        <v/>
      </c>
      <c r="D1631" s="6" t="str">
        <f ca="1">IF(AND(NEGOCIAÇÕES!O1631="",NEGOCIAÇÕES!N1631&gt;TODAY()),NEGOCIAÇÕES!D1631,"")</f>
        <v/>
      </c>
      <c r="E1631" s="9" t="str">
        <f>IF(AND(NEGOCIAÇÕES!B1631&lt;&gt;"",NEGOCIAÇÕES!O1631=""),NEGOCIAÇÕES!N1631,"")</f>
        <v/>
      </c>
    </row>
    <row r="1632" spans="2:5" ht="31.95" hidden="1" customHeight="1" x14ac:dyDescent="0.3">
      <c r="B1632" s="6" t="str">
        <f ca="1">IF(AND(NEGOCIAÇÕES!O1632="",NEGOCIAÇÕES!N1632&gt;TODAY()),NEGOCIAÇÕES!C1632,"")</f>
        <v/>
      </c>
      <c r="C1632" s="6" t="str">
        <f ca="1">IF(AND(NEGOCIAÇÕES!O1632="",NEGOCIAÇÕES!N1632&gt;TODAY()),NEGOCIAÇÕES!E1632,"")</f>
        <v/>
      </c>
      <c r="D1632" s="6" t="str">
        <f ca="1">IF(AND(NEGOCIAÇÕES!O1632="",NEGOCIAÇÕES!N1632&gt;TODAY()),NEGOCIAÇÕES!D1632,"")</f>
        <v/>
      </c>
      <c r="E1632" s="9" t="str">
        <f>IF(AND(NEGOCIAÇÕES!B1632&lt;&gt;"",NEGOCIAÇÕES!O1632=""),NEGOCIAÇÕES!N1632,"")</f>
        <v/>
      </c>
    </row>
    <row r="1633" spans="2:5" ht="31.95" hidden="1" customHeight="1" x14ac:dyDescent="0.3">
      <c r="B1633" s="6" t="str">
        <f ca="1">IF(AND(NEGOCIAÇÕES!O1633="",NEGOCIAÇÕES!N1633&gt;TODAY()),NEGOCIAÇÕES!C1633,"")</f>
        <v/>
      </c>
      <c r="C1633" s="6" t="str">
        <f ca="1">IF(AND(NEGOCIAÇÕES!O1633="",NEGOCIAÇÕES!N1633&gt;TODAY()),NEGOCIAÇÕES!E1633,"")</f>
        <v/>
      </c>
      <c r="D1633" s="6" t="str">
        <f ca="1">IF(AND(NEGOCIAÇÕES!O1633="",NEGOCIAÇÕES!N1633&gt;TODAY()),NEGOCIAÇÕES!D1633,"")</f>
        <v/>
      </c>
      <c r="E1633" s="9" t="str">
        <f>IF(AND(NEGOCIAÇÕES!B1633&lt;&gt;"",NEGOCIAÇÕES!O1633=""),NEGOCIAÇÕES!N1633,"")</f>
        <v/>
      </c>
    </row>
    <row r="1634" spans="2:5" ht="31.95" hidden="1" customHeight="1" x14ac:dyDescent="0.3">
      <c r="B1634" s="6" t="str">
        <f ca="1">IF(AND(NEGOCIAÇÕES!O1634="",NEGOCIAÇÕES!N1634&gt;TODAY()),NEGOCIAÇÕES!C1634,"")</f>
        <v/>
      </c>
      <c r="C1634" s="6" t="str">
        <f ca="1">IF(AND(NEGOCIAÇÕES!O1634="",NEGOCIAÇÕES!N1634&gt;TODAY()),NEGOCIAÇÕES!E1634,"")</f>
        <v/>
      </c>
      <c r="D1634" s="6" t="str">
        <f ca="1">IF(AND(NEGOCIAÇÕES!O1634="",NEGOCIAÇÕES!N1634&gt;TODAY()),NEGOCIAÇÕES!D1634,"")</f>
        <v/>
      </c>
      <c r="E1634" s="9" t="str">
        <f>IF(AND(NEGOCIAÇÕES!B1634&lt;&gt;"",NEGOCIAÇÕES!O1634=""),NEGOCIAÇÕES!N1634,"")</f>
        <v/>
      </c>
    </row>
    <row r="1635" spans="2:5" ht="31.95" hidden="1" customHeight="1" x14ac:dyDescent="0.3">
      <c r="B1635" s="6" t="str">
        <f ca="1">IF(AND(NEGOCIAÇÕES!O1635="",NEGOCIAÇÕES!N1635&gt;TODAY()),NEGOCIAÇÕES!C1635,"")</f>
        <v/>
      </c>
      <c r="C1635" s="6" t="str">
        <f ca="1">IF(AND(NEGOCIAÇÕES!O1635="",NEGOCIAÇÕES!N1635&gt;TODAY()),NEGOCIAÇÕES!E1635,"")</f>
        <v/>
      </c>
      <c r="D1635" s="6" t="str">
        <f ca="1">IF(AND(NEGOCIAÇÕES!O1635="",NEGOCIAÇÕES!N1635&gt;TODAY()),NEGOCIAÇÕES!D1635,"")</f>
        <v/>
      </c>
      <c r="E1635" s="9" t="str">
        <f>IF(AND(NEGOCIAÇÕES!B1635&lt;&gt;"",NEGOCIAÇÕES!O1635=""),NEGOCIAÇÕES!N1635,"")</f>
        <v/>
      </c>
    </row>
    <row r="1636" spans="2:5" ht="31.95" hidden="1" customHeight="1" x14ac:dyDescent="0.3">
      <c r="B1636" s="6" t="str">
        <f ca="1">IF(AND(NEGOCIAÇÕES!O1636="",NEGOCIAÇÕES!N1636&gt;TODAY()),NEGOCIAÇÕES!C1636,"")</f>
        <v/>
      </c>
      <c r="C1636" s="6" t="str">
        <f ca="1">IF(AND(NEGOCIAÇÕES!O1636="",NEGOCIAÇÕES!N1636&gt;TODAY()),NEGOCIAÇÕES!E1636,"")</f>
        <v/>
      </c>
      <c r="D1636" s="6" t="str">
        <f ca="1">IF(AND(NEGOCIAÇÕES!O1636="",NEGOCIAÇÕES!N1636&gt;TODAY()),NEGOCIAÇÕES!D1636,"")</f>
        <v/>
      </c>
      <c r="E1636" s="9" t="str">
        <f>IF(AND(NEGOCIAÇÕES!B1636&lt;&gt;"",NEGOCIAÇÕES!O1636=""),NEGOCIAÇÕES!N1636,"")</f>
        <v/>
      </c>
    </row>
    <row r="1637" spans="2:5" ht="31.95" hidden="1" customHeight="1" x14ac:dyDescent="0.3">
      <c r="B1637" s="6" t="str">
        <f ca="1">IF(AND(NEGOCIAÇÕES!O1637="",NEGOCIAÇÕES!N1637&gt;TODAY()),NEGOCIAÇÕES!C1637,"")</f>
        <v/>
      </c>
      <c r="C1637" s="6" t="str">
        <f ca="1">IF(AND(NEGOCIAÇÕES!O1637="",NEGOCIAÇÕES!N1637&gt;TODAY()),NEGOCIAÇÕES!E1637,"")</f>
        <v/>
      </c>
      <c r="D1637" s="6" t="str">
        <f ca="1">IF(AND(NEGOCIAÇÕES!O1637="",NEGOCIAÇÕES!N1637&gt;TODAY()),NEGOCIAÇÕES!D1637,"")</f>
        <v/>
      </c>
      <c r="E1637" s="9" t="str">
        <f>IF(AND(NEGOCIAÇÕES!B1637&lt;&gt;"",NEGOCIAÇÕES!O1637=""),NEGOCIAÇÕES!N1637,"")</f>
        <v/>
      </c>
    </row>
    <row r="1638" spans="2:5" ht="31.95" hidden="1" customHeight="1" x14ac:dyDescent="0.3">
      <c r="B1638" s="6" t="str">
        <f ca="1">IF(AND(NEGOCIAÇÕES!O1638="",NEGOCIAÇÕES!N1638&gt;TODAY()),NEGOCIAÇÕES!C1638,"")</f>
        <v/>
      </c>
      <c r="C1638" s="6" t="str">
        <f ca="1">IF(AND(NEGOCIAÇÕES!O1638="",NEGOCIAÇÕES!N1638&gt;TODAY()),NEGOCIAÇÕES!E1638,"")</f>
        <v/>
      </c>
      <c r="D1638" s="6" t="str">
        <f ca="1">IF(AND(NEGOCIAÇÕES!O1638="",NEGOCIAÇÕES!N1638&gt;TODAY()),NEGOCIAÇÕES!D1638,"")</f>
        <v/>
      </c>
      <c r="E1638" s="9" t="str">
        <f>IF(AND(NEGOCIAÇÕES!B1638&lt;&gt;"",NEGOCIAÇÕES!O1638=""),NEGOCIAÇÕES!N1638,"")</f>
        <v/>
      </c>
    </row>
    <row r="1639" spans="2:5" ht="31.95" hidden="1" customHeight="1" x14ac:dyDescent="0.3">
      <c r="B1639" s="6" t="str">
        <f ca="1">IF(AND(NEGOCIAÇÕES!O1639="",NEGOCIAÇÕES!N1639&gt;TODAY()),NEGOCIAÇÕES!C1639,"")</f>
        <v/>
      </c>
      <c r="C1639" s="6" t="str">
        <f ca="1">IF(AND(NEGOCIAÇÕES!O1639="",NEGOCIAÇÕES!N1639&gt;TODAY()),NEGOCIAÇÕES!E1639,"")</f>
        <v/>
      </c>
      <c r="D1639" s="6" t="str">
        <f ca="1">IF(AND(NEGOCIAÇÕES!O1639="",NEGOCIAÇÕES!N1639&gt;TODAY()),NEGOCIAÇÕES!D1639,"")</f>
        <v/>
      </c>
      <c r="E1639" s="9" t="str">
        <f>IF(AND(NEGOCIAÇÕES!B1639&lt;&gt;"",NEGOCIAÇÕES!O1639=""),NEGOCIAÇÕES!N1639,"")</f>
        <v/>
      </c>
    </row>
    <row r="1640" spans="2:5" ht="31.95" hidden="1" customHeight="1" x14ac:dyDescent="0.3">
      <c r="B1640" s="6" t="str">
        <f ca="1">IF(AND(NEGOCIAÇÕES!O1640="",NEGOCIAÇÕES!N1640&gt;TODAY()),NEGOCIAÇÕES!C1640,"")</f>
        <v/>
      </c>
      <c r="C1640" s="6" t="str">
        <f ca="1">IF(AND(NEGOCIAÇÕES!O1640="",NEGOCIAÇÕES!N1640&gt;TODAY()),NEGOCIAÇÕES!E1640,"")</f>
        <v/>
      </c>
      <c r="D1640" s="6" t="str">
        <f ca="1">IF(AND(NEGOCIAÇÕES!O1640="",NEGOCIAÇÕES!N1640&gt;TODAY()),NEGOCIAÇÕES!D1640,"")</f>
        <v/>
      </c>
      <c r="E1640" s="9" t="str">
        <f>IF(AND(NEGOCIAÇÕES!B1640&lt;&gt;"",NEGOCIAÇÕES!O1640=""),NEGOCIAÇÕES!N1640,"")</f>
        <v/>
      </c>
    </row>
    <row r="1641" spans="2:5" ht="31.95" hidden="1" customHeight="1" x14ac:dyDescent="0.3">
      <c r="B1641" s="6" t="str">
        <f ca="1">IF(AND(NEGOCIAÇÕES!O1641="",NEGOCIAÇÕES!N1641&gt;TODAY()),NEGOCIAÇÕES!C1641,"")</f>
        <v/>
      </c>
      <c r="C1641" s="6" t="str">
        <f ca="1">IF(AND(NEGOCIAÇÕES!O1641="",NEGOCIAÇÕES!N1641&gt;TODAY()),NEGOCIAÇÕES!E1641,"")</f>
        <v/>
      </c>
      <c r="D1641" s="6" t="str">
        <f ca="1">IF(AND(NEGOCIAÇÕES!O1641="",NEGOCIAÇÕES!N1641&gt;TODAY()),NEGOCIAÇÕES!D1641,"")</f>
        <v/>
      </c>
      <c r="E1641" s="9" t="str">
        <f>IF(AND(NEGOCIAÇÕES!B1641&lt;&gt;"",NEGOCIAÇÕES!O1641=""),NEGOCIAÇÕES!N1641,"")</f>
        <v/>
      </c>
    </row>
    <row r="1642" spans="2:5" ht="31.95" hidden="1" customHeight="1" x14ac:dyDescent="0.3">
      <c r="B1642" s="6" t="str">
        <f ca="1">IF(AND(NEGOCIAÇÕES!O1642="",NEGOCIAÇÕES!N1642&gt;TODAY()),NEGOCIAÇÕES!C1642,"")</f>
        <v/>
      </c>
      <c r="C1642" s="6" t="str">
        <f ca="1">IF(AND(NEGOCIAÇÕES!O1642="",NEGOCIAÇÕES!N1642&gt;TODAY()),NEGOCIAÇÕES!E1642,"")</f>
        <v/>
      </c>
      <c r="D1642" s="6" t="str">
        <f ca="1">IF(AND(NEGOCIAÇÕES!O1642="",NEGOCIAÇÕES!N1642&gt;TODAY()),NEGOCIAÇÕES!D1642,"")</f>
        <v/>
      </c>
      <c r="E1642" s="9" t="str">
        <f>IF(AND(NEGOCIAÇÕES!B1642&lt;&gt;"",NEGOCIAÇÕES!O1642=""),NEGOCIAÇÕES!N1642,"")</f>
        <v/>
      </c>
    </row>
    <row r="1643" spans="2:5" ht="31.95" hidden="1" customHeight="1" x14ac:dyDescent="0.3">
      <c r="B1643" s="6" t="str">
        <f ca="1">IF(AND(NEGOCIAÇÕES!O1643="",NEGOCIAÇÕES!N1643&gt;TODAY()),NEGOCIAÇÕES!C1643,"")</f>
        <v/>
      </c>
      <c r="C1643" s="6" t="str">
        <f ca="1">IF(AND(NEGOCIAÇÕES!O1643="",NEGOCIAÇÕES!N1643&gt;TODAY()),NEGOCIAÇÕES!E1643,"")</f>
        <v/>
      </c>
      <c r="D1643" s="6" t="str">
        <f ca="1">IF(AND(NEGOCIAÇÕES!O1643="",NEGOCIAÇÕES!N1643&gt;TODAY()),NEGOCIAÇÕES!D1643,"")</f>
        <v/>
      </c>
      <c r="E1643" s="9" t="str">
        <f>IF(AND(NEGOCIAÇÕES!B1643&lt;&gt;"",NEGOCIAÇÕES!O1643=""),NEGOCIAÇÕES!N1643,"")</f>
        <v/>
      </c>
    </row>
    <row r="1644" spans="2:5" ht="31.95" hidden="1" customHeight="1" x14ac:dyDescent="0.3">
      <c r="B1644" s="6" t="str">
        <f ca="1">IF(AND(NEGOCIAÇÕES!O1644="",NEGOCIAÇÕES!N1644&gt;TODAY()),NEGOCIAÇÕES!C1644,"")</f>
        <v/>
      </c>
      <c r="C1644" s="6" t="str">
        <f ca="1">IF(AND(NEGOCIAÇÕES!O1644="",NEGOCIAÇÕES!N1644&gt;TODAY()),NEGOCIAÇÕES!E1644,"")</f>
        <v/>
      </c>
      <c r="D1644" s="6" t="str">
        <f ca="1">IF(AND(NEGOCIAÇÕES!O1644="",NEGOCIAÇÕES!N1644&gt;TODAY()),NEGOCIAÇÕES!D1644,"")</f>
        <v/>
      </c>
      <c r="E1644" s="9" t="str">
        <f>IF(AND(NEGOCIAÇÕES!B1644&lt;&gt;"",NEGOCIAÇÕES!O1644=""),NEGOCIAÇÕES!N1644,"")</f>
        <v/>
      </c>
    </row>
    <row r="1645" spans="2:5" ht="31.95" hidden="1" customHeight="1" x14ac:dyDescent="0.3">
      <c r="B1645" s="6" t="str">
        <f ca="1">IF(AND(NEGOCIAÇÕES!O1645="",NEGOCIAÇÕES!N1645&gt;TODAY()),NEGOCIAÇÕES!C1645,"")</f>
        <v/>
      </c>
      <c r="C1645" s="6" t="str">
        <f ca="1">IF(AND(NEGOCIAÇÕES!O1645="",NEGOCIAÇÕES!N1645&gt;TODAY()),NEGOCIAÇÕES!E1645,"")</f>
        <v/>
      </c>
      <c r="D1645" s="6" t="str">
        <f ca="1">IF(AND(NEGOCIAÇÕES!O1645="",NEGOCIAÇÕES!N1645&gt;TODAY()),NEGOCIAÇÕES!D1645,"")</f>
        <v/>
      </c>
      <c r="E1645" s="9" t="str">
        <f>IF(AND(NEGOCIAÇÕES!B1645&lt;&gt;"",NEGOCIAÇÕES!O1645=""),NEGOCIAÇÕES!N1645,"")</f>
        <v/>
      </c>
    </row>
    <row r="1646" spans="2:5" ht="31.95" hidden="1" customHeight="1" x14ac:dyDescent="0.3">
      <c r="B1646" s="6" t="str">
        <f ca="1">IF(AND(NEGOCIAÇÕES!O1646="",NEGOCIAÇÕES!N1646&gt;TODAY()),NEGOCIAÇÕES!C1646,"")</f>
        <v/>
      </c>
      <c r="C1646" s="6" t="str">
        <f ca="1">IF(AND(NEGOCIAÇÕES!O1646="",NEGOCIAÇÕES!N1646&gt;TODAY()),NEGOCIAÇÕES!E1646,"")</f>
        <v/>
      </c>
      <c r="D1646" s="6" t="str">
        <f ca="1">IF(AND(NEGOCIAÇÕES!O1646="",NEGOCIAÇÕES!N1646&gt;TODAY()),NEGOCIAÇÕES!D1646,"")</f>
        <v/>
      </c>
      <c r="E1646" s="9" t="str">
        <f>IF(AND(NEGOCIAÇÕES!B1646&lt;&gt;"",NEGOCIAÇÕES!O1646=""),NEGOCIAÇÕES!N1646,"")</f>
        <v/>
      </c>
    </row>
    <row r="1647" spans="2:5" ht="31.95" hidden="1" customHeight="1" x14ac:dyDescent="0.3">
      <c r="B1647" s="6" t="str">
        <f ca="1">IF(AND(NEGOCIAÇÕES!O1647="",NEGOCIAÇÕES!N1647&gt;TODAY()),NEGOCIAÇÕES!C1647,"")</f>
        <v/>
      </c>
      <c r="C1647" s="6" t="str">
        <f ca="1">IF(AND(NEGOCIAÇÕES!O1647="",NEGOCIAÇÕES!N1647&gt;TODAY()),NEGOCIAÇÕES!E1647,"")</f>
        <v/>
      </c>
      <c r="D1647" s="6" t="str">
        <f ca="1">IF(AND(NEGOCIAÇÕES!O1647="",NEGOCIAÇÕES!N1647&gt;TODAY()),NEGOCIAÇÕES!D1647,"")</f>
        <v/>
      </c>
      <c r="E1647" s="9" t="str">
        <f>IF(AND(NEGOCIAÇÕES!B1647&lt;&gt;"",NEGOCIAÇÕES!O1647=""),NEGOCIAÇÕES!N1647,"")</f>
        <v/>
      </c>
    </row>
    <row r="1648" spans="2:5" ht="31.95" hidden="1" customHeight="1" x14ac:dyDescent="0.3">
      <c r="B1648" s="6" t="str">
        <f ca="1">IF(AND(NEGOCIAÇÕES!O1648="",NEGOCIAÇÕES!N1648&gt;TODAY()),NEGOCIAÇÕES!C1648,"")</f>
        <v/>
      </c>
      <c r="C1648" s="6" t="str">
        <f ca="1">IF(AND(NEGOCIAÇÕES!O1648="",NEGOCIAÇÕES!N1648&gt;TODAY()),NEGOCIAÇÕES!E1648,"")</f>
        <v/>
      </c>
      <c r="D1648" s="6" t="str">
        <f ca="1">IF(AND(NEGOCIAÇÕES!O1648="",NEGOCIAÇÕES!N1648&gt;TODAY()),NEGOCIAÇÕES!D1648,"")</f>
        <v/>
      </c>
      <c r="E1648" s="9" t="str">
        <f>IF(AND(NEGOCIAÇÕES!B1648&lt;&gt;"",NEGOCIAÇÕES!O1648=""),NEGOCIAÇÕES!N1648,"")</f>
        <v/>
      </c>
    </row>
    <row r="1649" spans="2:5" ht="31.95" hidden="1" customHeight="1" x14ac:dyDescent="0.3">
      <c r="B1649" s="6" t="str">
        <f ca="1">IF(AND(NEGOCIAÇÕES!O1649="",NEGOCIAÇÕES!N1649&gt;TODAY()),NEGOCIAÇÕES!C1649,"")</f>
        <v/>
      </c>
      <c r="C1649" s="6" t="str">
        <f ca="1">IF(AND(NEGOCIAÇÕES!O1649="",NEGOCIAÇÕES!N1649&gt;TODAY()),NEGOCIAÇÕES!E1649,"")</f>
        <v/>
      </c>
      <c r="D1649" s="6" t="str">
        <f ca="1">IF(AND(NEGOCIAÇÕES!O1649="",NEGOCIAÇÕES!N1649&gt;TODAY()),NEGOCIAÇÕES!D1649,"")</f>
        <v/>
      </c>
      <c r="E1649" s="9" t="str">
        <f>IF(AND(NEGOCIAÇÕES!B1649&lt;&gt;"",NEGOCIAÇÕES!O1649=""),NEGOCIAÇÕES!N1649,"")</f>
        <v/>
      </c>
    </row>
    <row r="1650" spans="2:5" ht="31.95" hidden="1" customHeight="1" x14ac:dyDescent="0.3">
      <c r="B1650" s="6" t="str">
        <f ca="1">IF(AND(NEGOCIAÇÕES!O1650="",NEGOCIAÇÕES!N1650&gt;TODAY()),NEGOCIAÇÕES!C1650,"")</f>
        <v/>
      </c>
      <c r="C1650" s="6" t="str">
        <f ca="1">IF(AND(NEGOCIAÇÕES!O1650="",NEGOCIAÇÕES!N1650&gt;TODAY()),NEGOCIAÇÕES!E1650,"")</f>
        <v/>
      </c>
      <c r="D1650" s="6" t="str">
        <f ca="1">IF(AND(NEGOCIAÇÕES!O1650="",NEGOCIAÇÕES!N1650&gt;TODAY()),NEGOCIAÇÕES!D1650,"")</f>
        <v/>
      </c>
      <c r="E1650" s="9" t="str">
        <f>IF(AND(NEGOCIAÇÕES!B1650&lt;&gt;"",NEGOCIAÇÕES!O1650=""),NEGOCIAÇÕES!N1650,"")</f>
        <v/>
      </c>
    </row>
    <row r="1651" spans="2:5" ht="31.95" hidden="1" customHeight="1" x14ac:dyDescent="0.3">
      <c r="B1651" s="6" t="str">
        <f ca="1">IF(AND(NEGOCIAÇÕES!O1651="",NEGOCIAÇÕES!N1651&gt;TODAY()),NEGOCIAÇÕES!C1651,"")</f>
        <v/>
      </c>
      <c r="C1651" s="6" t="str">
        <f ca="1">IF(AND(NEGOCIAÇÕES!O1651="",NEGOCIAÇÕES!N1651&gt;TODAY()),NEGOCIAÇÕES!E1651,"")</f>
        <v/>
      </c>
      <c r="D1651" s="6" t="str">
        <f ca="1">IF(AND(NEGOCIAÇÕES!O1651="",NEGOCIAÇÕES!N1651&gt;TODAY()),NEGOCIAÇÕES!D1651,"")</f>
        <v/>
      </c>
      <c r="E1651" s="9" t="str">
        <f>IF(AND(NEGOCIAÇÕES!B1651&lt;&gt;"",NEGOCIAÇÕES!O1651=""),NEGOCIAÇÕES!N1651,"")</f>
        <v/>
      </c>
    </row>
    <row r="1652" spans="2:5" ht="31.95" hidden="1" customHeight="1" x14ac:dyDescent="0.3">
      <c r="B1652" s="6" t="str">
        <f ca="1">IF(AND(NEGOCIAÇÕES!O1652="",NEGOCIAÇÕES!N1652&gt;TODAY()),NEGOCIAÇÕES!C1652,"")</f>
        <v/>
      </c>
      <c r="C1652" s="6" t="str">
        <f ca="1">IF(AND(NEGOCIAÇÕES!O1652="",NEGOCIAÇÕES!N1652&gt;TODAY()),NEGOCIAÇÕES!E1652,"")</f>
        <v/>
      </c>
      <c r="D1652" s="6" t="str">
        <f ca="1">IF(AND(NEGOCIAÇÕES!O1652="",NEGOCIAÇÕES!N1652&gt;TODAY()),NEGOCIAÇÕES!D1652,"")</f>
        <v/>
      </c>
      <c r="E1652" s="9" t="str">
        <f>IF(AND(NEGOCIAÇÕES!B1652&lt;&gt;"",NEGOCIAÇÕES!O1652=""),NEGOCIAÇÕES!N1652,"")</f>
        <v/>
      </c>
    </row>
    <row r="1653" spans="2:5" ht="31.95" hidden="1" customHeight="1" x14ac:dyDescent="0.3">
      <c r="B1653" s="6" t="str">
        <f ca="1">IF(AND(NEGOCIAÇÕES!O1653="",NEGOCIAÇÕES!N1653&gt;TODAY()),NEGOCIAÇÕES!C1653,"")</f>
        <v/>
      </c>
      <c r="C1653" s="6" t="str">
        <f ca="1">IF(AND(NEGOCIAÇÕES!O1653="",NEGOCIAÇÕES!N1653&gt;TODAY()),NEGOCIAÇÕES!E1653,"")</f>
        <v/>
      </c>
      <c r="D1653" s="6" t="str">
        <f ca="1">IF(AND(NEGOCIAÇÕES!O1653="",NEGOCIAÇÕES!N1653&gt;TODAY()),NEGOCIAÇÕES!D1653,"")</f>
        <v/>
      </c>
      <c r="E1653" s="9" t="str">
        <f>IF(AND(NEGOCIAÇÕES!B1653&lt;&gt;"",NEGOCIAÇÕES!O1653=""),NEGOCIAÇÕES!N1653,"")</f>
        <v/>
      </c>
    </row>
    <row r="1654" spans="2:5" ht="31.95" hidden="1" customHeight="1" x14ac:dyDescent="0.3">
      <c r="B1654" s="6" t="str">
        <f ca="1">IF(AND(NEGOCIAÇÕES!O1654="",NEGOCIAÇÕES!N1654&gt;TODAY()),NEGOCIAÇÕES!C1654,"")</f>
        <v/>
      </c>
      <c r="C1654" s="6" t="str">
        <f ca="1">IF(AND(NEGOCIAÇÕES!O1654="",NEGOCIAÇÕES!N1654&gt;TODAY()),NEGOCIAÇÕES!E1654,"")</f>
        <v/>
      </c>
      <c r="D1654" s="6" t="str">
        <f ca="1">IF(AND(NEGOCIAÇÕES!O1654="",NEGOCIAÇÕES!N1654&gt;TODAY()),NEGOCIAÇÕES!D1654,"")</f>
        <v/>
      </c>
      <c r="E1654" s="9" t="str">
        <f>IF(AND(NEGOCIAÇÕES!B1654&lt;&gt;"",NEGOCIAÇÕES!O1654=""),NEGOCIAÇÕES!N1654,"")</f>
        <v/>
      </c>
    </row>
    <row r="1655" spans="2:5" ht="31.95" hidden="1" customHeight="1" x14ac:dyDescent="0.3">
      <c r="B1655" s="6" t="str">
        <f ca="1">IF(AND(NEGOCIAÇÕES!O1655="",NEGOCIAÇÕES!N1655&gt;TODAY()),NEGOCIAÇÕES!C1655,"")</f>
        <v/>
      </c>
      <c r="C1655" s="6" t="str">
        <f ca="1">IF(AND(NEGOCIAÇÕES!O1655="",NEGOCIAÇÕES!N1655&gt;TODAY()),NEGOCIAÇÕES!E1655,"")</f>
        <v/>
      </c>
      <c r="D1655" s="6" t="str">
        <f ca="1">IF(AND(NEGOCIAÇÕES!O1655="",NEGOCIAÇÕES!N1655&gt;TODAY()),NEGOCIAÇÕES!D1655,"")</f>
        <v/>
      </c>
      <c r="E1655" s="9" t="str">
        <f>IF(AND(NEGOCIAÇÕES!B1655&lt;&gt;"",NEGOCIAÇÕES!O1655=""),NEGOCIAÇÕES!N1655,"")</f>
        <v/>
      </c>
    </row>
    <row r="1656" spans="2:5" ht="31.95" hidden="1" customHeight="1" x14ac:dyDescent="0.3">
      <c r="B1656" s="6" t="str">
        <f ca="1">IF(AND(NEGOCIAÇÕES!O1656="",NEGOCIAÇÕES!N1656&gt;TODAY()),NEGOCIAÇÕES!C1656,"")</f>
        <v/>
      </c>
      <c r="C1656" s="6" t="str">
        <f ca="1">IF(AND(NEGOCIAÇÕES!O1656="",NEGOCIAÇÕES!N1656&gt;TODAY()),NEGOCIAÇÕES!E1656,"")</f>
        <v/>
      </c>
      <c r="D1656" s="6" t="str">
        <f ca="1">IF(AND(NEGOCIAÇÕES!O1656="",NEGOCIAÇÕES!N1656&gt;TODAY()),NEGOCIAÇÕES!D1656,"")</f>
        <v/>
      </c>
      <c r="E1656" s="9" t="str">
        <f>IF(AND(NEGOCIAÇÕES!B1656&lt;&gt;"",NEGOCIAÇÕES!O1656=""),NEGOCIAÇÕES!N1656,"")</f>
        <v/>
      </c>
    </row>
    <row r="1657" spans="2:5" ht="31.95" hidden="1" customHeight="1" x14ac:dyDescent="0.3">
      <c r="B1657" s="6" t="str">
        <f ca="1">IF(AND(NEGOCIAÇÕES!O1657="",NEGOCIAÇÕES!N1657&gt;TODAY()),NEGOCIAÇÕES!C1657,"")</f>
        <v/>
      </c>
      <c r="C1657" s="6" t="str">
        <f ca="1">IF(AND(NEGOCIAÇÕES!O1657="",NEGOCIAÇÕES!N1657&gt;TODAY()),NEGOCIAÇÕES!E1657,"")</f>
        <v/>
      </c>
      <c r="D1657" s="6" t="str">
        <f ca="1">IF(AND(NEGOCIAÇÕES!O1657="",NEGOCIAÇÕES!N1657&gt;TODAY()),NEGOCIAÇÕES!D1657,"")</f>
        <v/>
      </c>
      <c r="E1657" s="9" t="str">
        <f>IF(AND(NEGOCIAÇÕES!B1657&lt;&gt;"",NEGOCIAÇÕES!O1657=""),NEGOCIAÇÕES!N1657,"")</f>
        <v/>
      </c>
    </row>
    <row r="1658" spans="2:5" ht="31.95" hidden="1" customHeight="1" x14ac:dyDescent="0.3">
      <c r="B1658" s="6" t="str">
        <f ca="1">IF(AND(NEGOCIAÇÕES!O1658="",NEGOCIAÇÕES!N1658&gt;TODAY()),NEGOCIAÇÕES!C1658,"")</f>
        <v/>
      </c>
      <c r="C1658" s="6" t="str">
        <f ca="1">IF(AND(NEGOCIAÇÕES!O1658="",NEGOCIAÇÕES!N1658&gt;TODAY()),NEGOCIAÇÕES!E1658,"")</f>
        <v/>
      </c>
      <c r="D1658" s="6" t="str">
        <f ca="1">IF(AND(NEGOCIAÇÕES!O1658="",NEGOCIAÇÕES!N1658&gt;TODAY()),NEGOCIAÇÕES!D1658,"")</f>
        <v/>
      </c>
      <c r="E1658" s="9" t="str">
        <f>IF(AND(NEGOCIAÇÕES!B1658&lt;&gt;"",NEGOCIAÇÕES!O1658=""),NEGOCIAÇÕES!N1658,"")</f>
        <v/>
      </c>
    </row>
    <row r="1659" spans="2:5" ht="31.95" hidden="1" customHeight="1" x14ac:dyDescent="0.3">
      <c r="B1659" s="6" t="str">
        <f ca="1">IF(AND(NEGOCIAÇÕES!O1659="",NEGOCIAÇÕES!N1659&gt;TODAY()),NEGOCIAÇÕES!C1659,"")</f>
        <v/>
      </c>
      <c r="C1659" s="6" t="str">
        <f ca="1">IF(AND(NEGOCIAÇÕES!O1659="",NEGOCIAÇÕES!N1659&gt;TODAY()),NEGOCIAÇÕES!E1659,"")</f>
        <v/>
      </c>
      <c r="D1659" s="6" t="str">
        <f ca="1">IF(AND(NEGOCIAÇÕES!O1659="",NEGOCIAÇÕES!N1659&gt;TODAY()),NEGOCIAÇÕES!D1659,"")</f>
        <v/>
      </c>
      <c r="E1659" s="9" t="str">
        <f>IF(AND(NEGOCIAÇÕES!B1659&lt;&gt;"",NEGOCIAÇÕES!O1659=""),NEGOCIAÇÕES!N1659,"")</f>
        <v/>
      </c>
    </row>
    <row r="1660" spans="2:5" ht="31.95" hidden="1" customHeight="1" x14ac:dyDescent="0.3">
      <c r="B1660" s="6" t="str">
        <f ca="1">IF(AND(NEGOCIAÇÕES!O1660="",NEGOCIAÇÕES!N1660&gt;TODAY()),NEGOCIAÇÕES!C1660,"")</f>
        <v/>
      </c>
      <c r="C1660" s="6" t="str">
        <f ca="1">IF(AND(NEGOCIAÇÕES!O1660="",NEGOCIAÇÕES!N1660&gt;TODAY()),NEGOCIAÇÕES!E1660,"")</f>
        <v/>
      </c>
      <c r="D1660" s="6" t="str">
        <f ca="1">IF(AND(NEGOCIAÇÕES!O1660="",NEGOCIAÇÕES!N1660&gt;TODAY()),NEGOCIAÇÕES!D1660,"")</f>
        <v/>
      </c>
      <c r="E1660" s="9" t="str">
        <f>IF(AND(NEGOCIAÇÕES!B1660&lt;&gt;"",NEGOCIAÇÕES!O1660=""),NEGOCIAÇÕES!N1660,"")</f>
        <v/>
      </c>
    </row>
    <row r="1661" spans="2:5" ht="31.95" hidden="1" customHeight="1" x14ac:dyDescent="0.3">
      <c r="B1661" s="6" t="str">
        <f ca="1">IF(AND(NEGOCIAÇÕES!O1661="",NEGOCIAÇÕES!N1661&gt;TODAY()),NEGOCIAÇÕES!C1661,"")</f>
        <v/>
      </c>
      <c r="C1661" s="6" t="str">
        <f ca="1">IF(AND(NEGOCIAÇÕES!O1661="",NEGOCIAÇÕES!N1661&gt;TODAY()),NEGOCIAÇÕES!E1661,"")</f>
        <v/>
      </c>
      <c r="D1661" s="6" t="str">
        <f ca="1">IF(AND(NEGOCIAÇÕES!O1661="",NEGOCIAÇÕES!N1661&gt;TODAY()),NEGOCIAÇÕES!D1661,"")</f>
        <v/>
      </c>
      <c r="E1661" s="9" t="str">
        <f>IF(AND(NEGOCIAÇÕES!B1661&lt;&gt;"",NEGOCIAÇÕES!O1661=""),NEGOCIAÇÕES!N1661,"")</f>
        <v/>
      </c>
    </row>
    <row r="1662" spans="2:5" ht="31.95" hidden="1" customHeight="1" x14ac:dyDescent="0.3">
      <c r="B1662" s="6" t="str">
        <f ca="1">IF(AND(NEGOCIAÇÕES!O1662="",NEGOCIAÇÕES!N1662&gt;TODAY()),NEGOCIAÇÕES!C1662,"")</f>
        <v/>
      </c>
      <c r="C1662" s="6" t="str">
        <f ca="1">IF(AND(NEGOCIAÇÕES!O1662="",NEGOCIAÇÕES!N1662&gt;TODAY()),NEGOCIAÇÕES!E1662,"")</f>
        <v/>
      </c>
      <c r="D1662" s="6" t="str">
        <f ca="1">IF(AND(NEGOCIAÇÕES!O1662="",NEGOCIAÇÕES!N1662&gt;TODAY()),NEGOCIAÇÕES!D1662,"")</f>
        <v/>
      </c>
      <c r="E1662" s="9" t="str">
        <f>IF(AND(NEGOCIAÇÕES!B1662&lt;&gt;"",NEGOCIAÇÕES!O1662=""),NEGOCIAÇÕES!N1662,"")</f>
        <v/>
      </c>
    </row>
    <row r="1663" spans="2:5" ht="31.95" hidden="1" customHeight="1" x14ac:dyDescent="0.3">
      <c r="B1663" s="6" t="str">
        <f ca="1">IF(AND(NEGOCIAÇÕES!O1663="",NEGOCIAÇÕES!N1663&gt;TODAY()),NEGOCIAÇÕES!C1663,"")</f>
        <v/>
      </c>
      <c r="C1663" s="6" t="str">
        <f ca="1">IF(AND(NEGOCIAÇÕES!O1663="",NEGOCIAÇÕES!N1663&gt;TODAY()),NEGOCIAÇÕES!E1663,"")</f>
        <v/>
      </c>
      <c r="D1663" s="6" t="str">
        <f ca="1">IF(AND(NEGOCIAÇÕES!O1663="",NEGOCIAÇÕES!N1663&gt;TODAY()),NEGOCIAÇÕES!D1663,"")</f>
        <v/>
      </c>
      <c r="E1663" s="9" t="str">
        <f>IF(AND(NEGOCIAÇÕES!B1663&lt;&gt;"",NEGOCIAÇÕES!O1663=""),NEGOCIAÇÕES!N1663,"")</f>
        <v/>
      </c>
    </row>
    <row r="1664" spans="2:5" ht="31.95" hidden="1" customHeight="1" x14ac:dyDescent="0.3">
      <c r="B1664" s="6" t="str">
        <f ca="1">IF(AND(NEGOCIAÇÕES!O1664="",NEGOCIAÇÕES!N1664&gt;TODAY()),NEGOCIAÇÕES!C1664,"")</f>
        <v/>
      </c>
      <c r="C1664" s="6" t="str">
        <f ca="1">IF(AND(NEGOCIAÇÕES!O1664="",NEGOCIAÇÕES!N1664&gt;TODAY()),NEGOCIAÇÕES!E1664,"")</f>
        <v/>
      </c>
      <c r="D1664" s="6" t="str">
        <f ca="1">IF(AND(NEGOCIAÇÕES!O1664="",NEGOCIAÇÕES!N1664&gt;TODAY()),NEGOCIAÇÕES!D1664,"")</f>
        <v/>
      </c>
      <c r="E1664" s="9" t="str">
        <f>IF(AND(NEGOCIAÇÕES!B1664&lt;&gt;"",NEGOCIAÇÕES!O1664=""),NEGOCIAÇÕES!N1664,"")</f>
        <v/>
      </c>
    </row>
    <row r="1665" spans="2:5" ht="31.95" hidden="1" customHeight="1" x14ac:dyDescent="0.3">
      <c r="B1665" s="6" t="str">
        <f ca="1">IF(AND(NEGOCIAÇÕES!O1665="",NEGOCIAÇÕES!N1665&gt;TODAY()),NEGOCIAÇÕES!C1665,"")</f>
        <v/>
      </c>
      <c r="C1665" s="6" t="str">
        <f ca="1">IF(AND(NEGOCIAÇÕES!O1665="",NEGOCIAÇÕES!N1665&gt;TODAY()),NEGOCIAÇÕES!E1665,"")</f>
        <v/>
      </c>
      <c r="D1665" s="6" t="str">
        <f ca="1">IF(AND(NEGOCIAÇÕES!O1665="",NEGOCIAÇÕES!N1665&gt;TODAY()),NEGOCIAÇÕES!D1665,"")</f>
        <v/>
      </c>
      <c r="E1665" s="9" t="str">
        <f>IF(AND(NEGOCIAÇÕES!B1665&lt;&gt;"",NEGOCIAÇÕES!O1665=""),NEGOCIAÇÕES!N1665,"")</f>
        <v/>
      </c>
    </row>
    <row r="1666" spans="2:5" ht="31.95" hidden="1" customHeight="1" x14ac:dyDescent="0.3">
      <c r="B1666" s="6" t="str">
        <f ca="1">IF(AND(NEGOCIAÇÕES!O1666="",NEGOCIAÇÕES!N1666&gt;TODAY()),NEGOCIAÇÕES!C1666,"")</f>
        <v/>
      </c>
      <c r="C1666" s="6" t="str">
        <f ca="1">IF(AND(NEGOCIAÇÕES!O1666="",NEGOCIAÇÕES!N1666&gt;TODAY()),NEGOCIAÇÕES!E1666,"")</f>
        <v/>
      </c>
      <c r="D1666" s="6" t="str">
        <f ca="1">IF(AND(NEGOCIAÇÕES!O1666="",NEGOCIAÇÕES!N1666&gt;TODAY()),NEGOCIAÇÕES!D1666,"")</f>
        <v/>
      </c>
      <c r="E1666" s="9" t="str">
        <f>IF(AND(NEGOCIAÇÕES!B1666&lt;&gt;"",NEGOCIAÇÕES!O1666=""),NEGOCIAÇÕES!N1666,"")</f>
        <v/>
      </c>
    </row>
    <row r="1667" spans="2:5" ht="31.95" hidden="1" customHeight="1" x14ac:dyDescent="0.3">
      <c r="B1667" s="6" t="str">
        <f ca="1">IF(AND(NEGOCIAÇÕES!O1667="",NEGOCIAÇÕES!N1667&gt;TODAY()),NEGOCIAÇÕES!C1667,"")</f>
        <v/>
      </c>
      <c r="C1667" s="6" t="str">
        <f ca="1">IF(AND(NEGOCIAÇÕES!O1667="",NEGOCIAÇÕES!N1667&gt;TODAY()),NEGOCIAÇÕES!E1667,"")</f>
        <v/>
      </c>
      <c r="D1667" s="6" t="str">
        <f ca="1">IF(AND(NEGOCIAÇÕES!O1667="",NEGOCIAÇÕES!N1667&gt;TODAY()),NEGOCIAÇÕES!D1667,"")</f>
        <v/>
      </c>
      <c r="E1667" s="9" t="str">
        <f>IF(AND(NEGOCIAÇÕES!B1667&lt;&gt;"",NEGOCIAÇÕES!O1667=""),NEGOCIAÇÕES!N1667,"")</f>
        <v/>
      </c>
    </row>
    <row r="1668" spans="2:5" ht="31.95" hidden="1" customHeight="1" x14ac:dyDescent="0.3">
      <c r="B1668" s="6" t="str">
        <f ca="1">IF(AND(NEGOCIAÇÕES!O1668="",NEGOCIAÇÕES!N1668&gt;TODAY()),NEGOCIAÇÕES!C1668,"")</f>
        <v/>
      </c>
      <c r="C1668" s="6" t="str">
        <f ca="1">IF(AND(NEGOCIAÇÕES!O1668="",NEGOCIAÇÕES!N1668&gt;TODAY()),NEGOCIAÇÕES!E1668,"")</f>
        <v/>
      </c>
      <c r="D1668" s="6" t="str">
        <f ca="1">IF(AND(NEGOCIAÇÕES!O1668="",NEGOCIAÇÕES!N1668&gt;TODAY()),NEGOCIAÇÕES!D1668,"")</f>
        <v/>
      </c>
      <c r="E1668" s="9" t="str">
        <f>IF(AND(NEGOCIAÇÕES!B1668&lt;&gt;"",NEGOCIAÇÕES!O1668=""),NEGOCIAÇÕES!N1668,"")</f>
        <v/>
      </c>
    </row>
    <row r="1669" spans="2:5" ht="31.95" hidden="1" customHeight="1" x14ac:dyDescent="0.3">
      <c r="B1669" s="6" t="str">
        <f ca="1">IF(AND(NEGOCIAÇÕES!O1669="",NEGOCIAÇÕES!N1669&gt;TODAY()),NEGOCIAÇÕES!C1669,"")</f>
        <v/>
      </c>
      <c r="C1669" s="6" t="str">
        <f ca="1">IF(AND(NEGOCIAÇÕES!O1669="",NEGOCIAÇÕES!N1669&gt;TODAY()),NEGOCIAÇÕES!E1669,"")</f>
        <v/>
      </c>
      <c r="D1669" s="6" t="str">
        <f ca="1">IF(AND(NEGOCIAÇÕES!O1669="",NEGOCIAÇÕES!N1669&gt;TODAY()),NEGOCIAÇÕES!D1669,"")</f>
        <v/>
      </c>
      <c r="E1669" s="9" t="str">
        <f>IF(AND(NEGOCIAÇÕES!B1669&lt;&gt;"",NEGOCIAÇÕES!O1669=""),NEGOCIAÇÕES!N1669,"")</f>
        <v/>
      </c>
    </row>
    <row r="1670" spans="2:5" ht="31.95" hidden="1" customHeight="1" x14ac:dyDescent="0.3">
      <c r="B1670" s="6" t="str">
        <f ca="1">IF(AND(NEGOCIAÇÕES!O1670="",NEGOCIAÇÕES!N1670&gt;TODAY()),NEGOCIAÇÕES!C1670,"")</f>
        <v/>
      </c>
      <c r="C1670" s="6" t="str">
        <f ca="1">IF(AND(NEGOCIAÇÕES!O1670="",NEGOCIAÇÕES!N1670&gt;TODAY()),NEGOCIAÇÕES!E1670,"")</f>
        <v/>
      </c>
      <c r="D1670" s="6" t="str">
        <f ca="1">IF(AND(NEGOCIAÇÕES!O1670="",NEGOCIAÇÕES!N1670&gt;TODAY()),NEGOCIAÇÕES!D1670,"")</f>
        <v/>
      </c>
      <c r="E1670" s="9" t="str">
        <f>IF(AND(NEGOCIAÇÕES!B1670&lt;&gt;"",NEGOCIAÇÕES!O1670=""),NEGOCIAÇÕES!N1670,"")</f>
        <v/>
      </c>
    </row>
    <row r="1671" spans="2:5" ht="31.95" hidden="1" customHeight="1" x14ac:dyDescent="0.3">
      <c r="B1671" s="6" t="str">
        <f ca="1">IF(AND(NEGOCIAÇÕES!O1671="",NEGOCIAÇÕES!N1671&gt;TODAY()),NEGOCIAÇÕES!C1671,"")</f>
        <v/>
      </c>
      <c r="C1671" s="6" t="str">
        <f ca="1">IF(AND(NEGOCIAÇÕES!O1671="",NEGOCIAÇÕES!N1671&gt;TODAY()),NEGOCIAÇÕES!E1671,"")</f>
        <v/>
      </c>
      <c r="D1671" s="6" t="str">
        <f ca="1">IF(AND(NEGOCIAÇÕES!O1671="",NEGOCIAÇÕES!N1671&gt;TODAY()),NEGOCIAÇÕES!D1671,"")</f>
        <v/>
      </c>
      <c r="E1671" s="9" t="str">
        <f>IF(AND(NEGOCIAÇÕES!B1671&lt;&gt;"",NEGOCIAÇÕES!O1671=""),NEGOCIAÇÕES!N1671,"")</f>
        <v/>
      </c>
    </row>
    <row r="1672" spans="2:5" ht="31.95" hidden="1" customHeight="1" x14ac:dyDescent="0.3">
      <c r="B1672" s="6" t="str">
        <f ca="1">IF(AND(NEGOCIAÇÕES!O1672="",NEGOCIAÇÕES!N1672&gt;TODAY()),NEGOCIAÇÕES!C1672,"")</f>
        <v/>
      </c>
      <c r="C1672" s="6" t="str">
        <f ca="1">IF(AND(NEGOCIAÇÕES!O1672="",NEGOCIAÇÕES!N1672&gt;TODAY()),NEGOCIAÇÕES!E1672,"")</f>
        <v/>
      </c>
      <c r="D1672" s="6" t="str">
        <f ca="1">IF(AND(NEGOCIAÇÕES!O1672="",NEGOCIAÇÕES!N1672&gt;TODAY()),NEGOCIAÇÕES!D1672,"")</f>
        <v/>
      </c>
      <c r="E1672" s="9" t="str">
        <f>IF(AND(NEGOCIAÇÕES!B1672&lt;&gt;"",NEGOCIAÇÕES!O1672=""),NEGOCIAÇÕES!N1672,"")</f>
        <v/>
      </c>
    </row>
    <row r="1673" spans="2:5" ht="31.95" hidden="1" customHeight="1" x14ac:dyDescent="0.3">
      <c r="B1673" s="6" t="str">
        <f ca="1">IF(AND(NEGOCIAÇÕES!O1673="",NEGOCIAÇÕES!N1673&gt;TODAY()),NEGOCIAÇÕES!C1673,"")</f>
        <v/>
      </c>
      <c r="C1673" s="6" t="str">
        <f ca="1">IF(AND(NEGOCIAÇÕES!O1673="",NEGOCIAÇÕES!N1673&gt;TODAY()),NEGOCIAÇÕES!E1673,"")</f>
        <v/>
      </c>
      <c r="D1673" s="6" t="str">
        <f ca="1">IF(AND(NEGOCIAÇÕES!O1673="",NEGOCIAÇÕES!N1673&gt;TODAY()),NEGOCIAÇÕES!D1673,"")</f>
        <v/>
      </c>
      <c r="E1673" s="9" t="str">
        <f>IF(AND(NEGOCIAÇÕES!B1673&lt;&gt;"",NEGOCIAÇÕES!O1673=""),NEGOCIAÇÕES!N1673,"")</f>
        <v/>
      </c>
    </row>
    <row r="1674" spans="2:5" ht="31.95" hidden="1" customHeight="1" x14ac:dyDescent="0.3">
      <c r="B1674" s="6" t="str">
        <f ca="1">IF(AND(NEGOCIAÇÕES!O1674="",NEGOCIAÇÕES!N1674&gt;TODAY()),NEGOCIAÇÕES!C1674,"")</f>
        <v/>
      </c>
      <c r="C1674" s="6" t="str">
        <f ca="1">IF(AND(NEGOCIAÇÕES!O1674="",NEGOCIAÇÕES!N1674&gt;TODAY()),NEGOCIAÇÕES!E1674,"")</f>
        <v/>
      </c>
      <c r="D1674" s="6" t="str">
        <f ca="1">IF(AND(NEGOCIAÇÕES!O1674="",NEGOCIAÇÕES!N1674&gt;TODAY()),NEGOCIAÇÕES!D1674,"")</f>
        <v/>
      </c>
      <c r="E1674" s="9" t="str">
        <f>IF(AND(NEGOCIAÇÕES!B1674&lt;&gt;"",NEGOCIAÇÕES!O1674=""),NEGOCIAÇÕES!N1674,"")</f>
        <v/>
      </c>
    </row>
    <row r="1675" spans="2:5" ht="31.95" hidden="1" customHeight="1" x14ac:dyDescent="0.3">
      <c r="B1675" s="6" t="str">
        <f ca="1">IF(AND(NEGOCIAÇÕES!O1675="",NEGOCIAÇÕES!N1675&gt;TODAY()),NEGOCIAÇÕES!C1675,"")</f>
        <v/>
      </c>
      <c r="C1675" s="6" t="str">
        <f ca="1">IF(AND(NEGOCIAÇÕES!O1675="",NEGOCIAÇÕES!N1675&gt;TODAY()),NEGOCIAÇÕES!E1675,"")</f>
        <v/>
      </c>
      <c r="D1675" s="6" t="str">
        <f ca="1">IF(AND(NEGOCIAÇÕES!O1675="",NEGOCIAÇÕES!N1675&gt;TODAY()),NEGOCIAÇÕES!D1675,"")</f>
        <v/>
      </c>
      <c r="E1675" s="9" t="str">
        <f>IF(AND(NEGOCIAÇÕES!B1675&lt;&gt;"",NEGOCIAÇÕES!O1675=""),NEGOCIAÇÕES!N1675,"")</f>
        <v/>
      </c>
    </row>
    <row r="1676" spans="2:5" ht="31.95" hidden="1" customHeight="1" x14ac:dyDescent="0.3">
      <c r="B1676" s="6" t="str">
        <f ca="1">IF(AND(NEGOCIAÇÕES!O1676="",NEGOCIAÇÕES!N1676&gt;TODAY()),NEGOCIAÇÕES!C1676,"")</f>
        <v/>
      </c>
      <c r="C1676" s="6" t="str">
        <f ca="1">IF(AND(NEGOCIAÇÕES!O1676="",NEGOCIAÇÕES!N1676&gt;TODAY()),NEGOCIAÇÕES!E1676,"")</f>
        <v/>
      </c>
      <c r="D1676" s="6" t="str">
        <f ca="1">IF(AND(NEGOCIAÇÕES!O1676="",NEGOCIAÇÕES!N1676&gt;TODAY()),NEGOCIAÇÕES!D1676,"")</f>
        <v/>
      </c>
      <c r="E1676" s="9" t="str">
        <f>IF(AND(NEGOCIAÇÕES!B1676&lt;&gt;"",NEGOCIAÇÕES!O1676=""),NEGOCIAÇÕES!N1676,"")</f>
        <v/>
      </c>
    </row>
    <row r="1677" spans="2:5" ht="31.95" hidden="1" customHeight="1" x14ac:dyDescent="0.3">
      <c r="B1677" s="6" t="str">
        <f ca="1">IF(AND(NEGOCIAÇÕES!O1677="",NEGOCIAÇÕES!N1677&gt;TODAY()),NEGOCIAÇÕES!C1677,"")</f>
        <v/>
      </c>
      <c r="C1677" s="6" t="str">
        <f ca="1">IF(AND(NEGOCIAÇÕES!O1677="",NEGOCIAÇÕES!N1677&gt;TODAY()),NEGOCIAÇÕES!E1677,"")</f>
        <v/>
      </c>
      <c r="D1677" s="6" t="str">
        <f ca="1">IF(AND(NEGOCIAÇÕES!O1677="",NEGOCIAÇÕES!N1677&gt;TODAY()),NEGOCIAÇÕES!D1677,"")</f>
        <v/>
      </c>
      <c r="E1677" s="9" t="str">
        <f>IF(AND(NEGOCIAÇÕES!B1677&lt;&gt;"",NEGOCIAÇÕES!O1677=""),NEGOCIAÇÕES!N1677,"")</f>
        <v/>
      </c>
    </row>
    <row r="1678" spans="2:5" ht="31.95" hidden="1" customHeight="1" x14ac:dyDescent="0.3">
      <c r="B1678" s="6" t="str">
        <f ca="1">IF(AND(NEGOCIAÇÕES!O1678="",NEGOCIAÇÕES!N1678&gt;TODAY()),NEGOCIAÇÕES!C1678,"")</f>
        <v/>
      </c>
      <c r="C1678" s="6" t="str">
        <f ca="1">IF(AND(NEGOCIAÇÕES!O1678="",NEGOCIAÇÕES!N1678&gt;TODAY()),NEGOCIAÇÕES!E1678,"")</f>
        <v/>
      </c>
      <c r="D1678" s="6" t="str">
        <f ca="1">IF(AND(NEGOCIAÇÕES!O1678="",NEGOCIAÇÕES!N1678&gt;TODAY()),NEGOCIAÇÕES!D1678,"")</f>
        <v/>
      </c>
      <c r="E1678" s="9" t="str">
        <f>IF(AND(NEGOCIAÇÕES!B1678&lt;&gt;"",NEGOCIAÇÕES!O1678=""),NEGOCIAÇÕES!N1678,"")</f>
        <v/>
      </c>
    </row>
    <row r="1679" spans="2:5" ht="31.95" hidden="1" customHeight="1" x14ac:dyDescent="0.3">
      <c r="B1679" s="6" t="str">
        <f ca="1">IF(AND(NEGOCIAÇÕES!O1679="",NEGOCIAÇÕES!N1679&gt;TODAY()),NEGOCIAÇÕES!C1679,"")</f>
        <v/>
      </c>
      <c r="C1679" s="6" t="str">
        <f ca="1">IF(AND(NEGOCIAÇÕES!O1679="",NEGOCIAÇÕES!N1679&gt;TODAY()),NEGOCIAÇÕES!E1679,"")</f>
        <v/>
      </c>
      <c r="D1679" s="6" t="str">
        <f ca="1">IF(AND(NEGOCIAÇÕES!O1679="",NEGOCIAÇÕES!N1679&gt;TODAY()),NEGOCIAÇÕES!D1679,"")</f>
        <v/>
      </c>
      <c r="E1679" s="9" t="str">
        <f>IF(AND(NEGOCIAÇÕES!B1679&lt;&gt;"",NEGOCIAÇÕES!O1679=""),NEGOCIAÇÕES!N1679,"")</f>
        <v/>
      </c>
    </row>
    <row r="1680" spans="2:5" ht="31.95" hidden="1" customHeight="1" x14ac:dyDescent="0.3">
      <c r="B1680" s="6" t="str">
        <f ca="1">IF(AND(NEGOCIAÇÕES!O1680="",NEGOCIAÇÕES!N1680&gt;TODAY()),NEGOCIAÇÕES!C1680,"")</f>
        <v/>
      </c>
      <c r="C1680" s="6" t="str">
        <f ca="1">IF(AND(NEGOCIAÇÕES!O1680="",NEGOCIAÇÕES!N1680&gt;TODAY()),NEGOCIAÇÕES!E1680,"")</f>
        <v/>
      </c>
      <c r="D1680" s="6" t="str">
        <f ca="1">IF(AND(NEGOCIAÇÕES!O1680="",NEGOCIAÇÕES!N1680&gt;TODAY()),NEGOCIAÇÕES!D1680,"")</f>
        <v/>
      </c>
      <c r="E1680" s="9" t="str">
        <f>IF(AND(NEGOCIAÇÕES!B1680&lt;&gt;"",NEGOCIAÇÕES!O1680=""),NEGOCIAÇÕES!N1680,"")</f>
        <v/>
      </c>
    </row>
    <row r="1681" spans="2:5" ht="31.95" hidden="1" customHeight="1" x14ac:dyDescent="0.3">
      <c r="B1681" s="6" t="str">
        <f ca="1">IF(AND(NEGOCIAÇÕES!O1681="",NEGOCIAÇÕES!N1681&gt;TODAY()),NEGOCIAÇÕES!C1681,"")</f>
        <v/>
      </c>
      <c r="C1681" s="6" t="str">
        <f ca="1">IF(AND(NEGOCIAÇÕES!O1681="",NEGOCIAÇÕES!N1681&gt;TODAY()),NEGOCIAÇÕES!E1681,"")</f>
        <v/>
      </c>
      <c r="D1681" s="6" t="str">
        <f ca="1">IF(AND(NEGOCIAÇÕES!O1681="",NEGOCIAÇÕES!N1681&gt;TODAY()),NEGOCIAÇÕES!D1681,"")</f>
        <v/>
      </c>
      <c r="E1681" s="9" t="str">
        <f>IF(AND(NEGOCIAÇÕES!B1681&lt;&gt;"",NEGOCIAÇÕES!O1681=""),NEGOCIAÇÕES!N1681,"")</f>
        <v/>
      </c>
    </row>
    <row r="1682" spans="2:5" ht="31.95" hidden="1" customHeight="1" x14ac:dyDescent="0.3">
      <c r="B1682" s="6" t="str">
        <f ca="1">IF(AND(NEGOCIAÇÕES!O1682="",NEGOCIAÇÕES!N1682&gt;TODAY()),NEGOCIAÇÕES!C1682,"")</f>
        <v/>
      </c>
      <c r="C1682" s="6" t="str">
        <f ca="1">IF(AND(NEGOCIAÇÕES!O1682="",NEGOCIAÇÕES!N1682&gt;TODAY()),NEGOCIAÇÕES!E1682,"")</f>
        <v/>
      </c>
      <c r="D1682" s="6" t="str">
        <f ca="1">IF(AND(NEGOCIAÇÕES!O1682="",NEGOCIAÇÕES!N1682&gt;TODAY()),NEGOCIAÇÕES!D1682,"")</f>
        <v/>
      </c>
      <c r="E1682" s="9" t="str">
        <f>IF(AND(NEGOCIAÇÕES!B1682&lt;&gt;"",NEGOCIAÇÕES!O1682=""),NEGOCIAÇÕES!N1682,"")</f>
        <v/>
      </c>
    </row>
    <row r="1683" spans="2:5" ht="31.95" hidden="1" customHeight="1" x14ac:dyDescent="0.3">
      <c r="B1683" s="6" t="str">
        <f ca="1">IF(AND(NEGOCIAÇÕES!O1683="",NEGOCIAÇÕES!N1683&gt;TODAY()),NEGOCIAÇÕES!C1683,"")</f>
        <v/>
      </c>
      <c r="C1683" s="6" t="str">
        <f ca="1">IF(AND(NEGOCIAÇÕES!O1683="",NEGOCIAÇÕES!N1683&gt;TODAY()),NEGOCIAÇÕES!E1683,"")</f>
        <v/>
      </c>
      <c r="D1683" s="6" t="str">
        <f ca="1">IF(AND(NEGOCIAÇÕES!O1683="",NEGOCIAÇÕES!N1683&gt;TODAY()),NEGOCIAÇÕES!D1683,"")</f>
        <v/>
      </c>
      <c r="E1683" s="9" t="str">
        <f>IF(AND(NEGOCIAÇÕES!B1683&lt;&gt;"",NEGOCIAÇÕES!O1683=""),NEGOCIAÇÕES!N1683,"")</f>
        <v/>
      </c>
    </row>
    <row r="1684" spans="2:5" ht="31.95" hidden="1" customHeight="1" x14ac:dyDescent="0.3">
      <c r="B1684" s="6" t="str">
        <f ca="1">IF(AND(NEGOCIAÇÕES!O1684="",NEGOCIAÇÕES!N1684&gt;TODAY()),NEGOCIAÇÕES!C1684,"")</f>
        <v/>
      </c>
      <c r="C1684" s="6" t="str">
        <f ca="1">IF(AND(NEGOCIAÇÕES!O1684="",NEGOCIAÇÕES!N1684&gt;TODAY()),NEGOCIAÇÕES!E1684,"")</f>
        <v/>
      </c>
      <c r="D1684" s="6" t="str">
        <f ca="1">IF(AND(NEGOCIAÇÕES!O1684="",NEGOCIAÇÕES!N1684&gt;TODAY()),NEGOCIAÇÕES!D1684,"")</f>
        <v/>
      </c>
      <c r="E1684" s="9" t="str">
        <f>IF(AND(NEGOCIAÇÕES!B1684&lt;&gt;"",NEGOCIAÇÕES!O1684=""),NEGOCIAÇÕES!N1684,"")</f>
        <v/>
      </c>
    </row>
    <row r="1685" spans="2:5" ht="31.95" hidden="1" customHeight="1" x14ac:dyDescent="0.3">
      <c r="B1685" s="6" t="str">
        <f ca="1">IF(AND(NEGOCIAÇÕES!O1685="",NEGOCIAÇÕES!N1685&gt;TODAY()),NEGOCIAÇÕES!C1685,"")</f>
        <v/>
      </c>
      <c r="C1685" s="6" t="str">
        <f ca="1">IF(AND(NEGOCIAÇÕES!O1685="",NEGOCIAÇÕES!N1685&gt;TODAY()),NEGOCIAÇÕES!E1685,"")</f>
        <v/>
      </c>
      <c r="D1685" s="6" t="str">
        <f ca="1">IF(AND(NEGOCIAÇÕES!O1685="",NEGOCIAÇÕES!N1685&gt;TODAY()),NEGOCIAÇÕES!D1685,"")</f>
        <v/>
      </c>
      <c r="E1685" s="9" t="str">
        <f>IF(AND(NEGOCIAÇÕES!B1685&lt;&gt;"",NEGOCIAÇÕES!O1685=""),NEGOCIAÇÕES!N1685,"")</f>
        <v/>
      </c>
    </row>
    <row r="1686" spans="2:5" ht="31.95" hidden="1" customHeight="1" x14ac:dyDescent="0.3">
      <c r="B1686" s="6" t="str">
        <f ca="1">IF(AND(NEGOCIAÇÕES!O1686="",NEGOCIAÇÕES!N1686&gt;TODAY()),NEGOCIAÇÕES!C1686,"")</f>
        <v/>
      </c>
      <c r="C1686" s="6" t="str">
        <f ca="1">IF(AND(NEGOCIAÇÕES!O1686="",NEGOCIAÇÕES!N1686&gt;TODAY()),NEGOCIAÇÕES!E1686,"")</f>
        <v/>
      </c>
      <c r="D1686" s="6" t="str">
        <f ca="1">IF(AND(NEGOCIAÇÕES!O1686="",NEGOCIAÇÕES!N1686&gt;TODAY()),NEGOCIAÇÕES!D1686,"")</f>
        <v/>
      </c>
      <c r="E1686" s="9" t="str">
        <f>IF(AND(NEGOCIAÇÕES!B1686&lt;&gt;"",NEGOCIAÇÕES!O1686=""),NEGOCIAÇÕES!N1686,"")</f>
        <v/>
      </c>
    </row>
    <row r="1687" spans="2:5" ht="31.95" hidden="1" customHeight="1" x14ac:dyDescent="0.3">
      <c r="B1687" s="6" t="str">
        <f ca="1">IF(AND(NEGOCIAÇÕES!O1687="",NEGOCIAÇÕES!N1687&gt;TODAY()),NEGOCIAÇÕES!C1687,"")</f>
        <v/>
      </c>
      <c r="C1687" s="6" t="str">
        <f ca="1">IF(AND(NEGOCIAÇÕES!O1687="",NEGOCIAÇÕES!N1687&gt;TODAY()),NEGOCIAÇÕES!E1687,"")</f>
        <v/>
      </c>
      <c r="D1687" s="6" t="str">
        <f ca="1">IF(AND(NEGOCIAÇÕES!O1687="",NEGOCIAÇÕES!N1687&gt;TODAY()),NEGOCIAÇÕES!D1687,"")</f>
        <v/>
      </c>
      <c r="E1687" s="9" t="str">
        <f>IF(AND(NEGOCIAÇÕES!B1687&lt;&gt;"",NEGOCIAÇÕES!O1687=""),NEGOCIAÇÕES!N1687,"")</f>
        <v/>
      </c>
    </row>
    <row r="1688" spans="2:5" ht="31.95" hidden="1" customHeight="1" x14ac:dyDescent="0.3">
      <c r="B1688" s="6" t="str">
        <f ca="1">IF(AND(NEGOCIAÇÕES!O1688="",NEGOCIAÇÕES!N1688&gt;TODAY()),NEGOCIAÇÕES!C1688,"")</f>
        <v/>
      </c>
      <c r="C1688" s="6" t="str">
        <f ca="1">IF(AND(NEGOCIAÇÕES!O1688="",NEGOCIAÇÕES!N1688&gt;TODAY()),NEGOCIAÇÕES!E1688,"")</f>
        <v/>
      </c>
      <c r="D1688" s="6" t="str">
        <f ca="1">IF(AND(NEGOCIAÇÕES!O1688="",NEGOCIAÇÕES!N1688&gt;TODAY()),NEGOCIAÇÕES!D1688,"")</f>
        <v/>
      </c>
      <c r="E1688" s="9" t="str">
        <f>IF(AND(NEGOCIAÇÕES!B1688&lt;&gt;"",NEGOCIAÇÕES!O1688=""),NEGOCIAÇÕES!N1688,"")</f>
        <v/>
      </c>
    </row>
    <row r="1689" spans="2:5" ht="31.95" hidden="1" customHeight="1" x14ac:dyDescent="0.3">
      <c r="B1689" s="6" t="str">
        <f ca="1">IF(AND(NEGOCIAÇÕES!O1689="",NEGOCIAÇÕES!N1689&gt;TODAY()),NEGOCIAÇÕES!C1689,"")</f>
        <v/>
      </c>
      <c r="C1689" s="6" t="str">
        <f ca="1">IF(AND(NEGOCIAÇÕES!O1689="",NEGOCIAÇÕES!N1689&gt;TODAY()),NEGOCIAÇÕES!E1689,"")</f>
        <v/>
      </c>
      <c r="D1689" s="6" t="str">
        <f ca="1">IF(AND(NEGOCIAÇÕES!O1689="",NEGOCIAÇÕES!N1689&gt;TODAY()),NEGOCIAÇÕES!D1689,"")</f>
        <v/>
      </c>
      <c r="E1689" s="9" t="str">
        <f>IF(AND(NEGOCIAÇÕES!B1689&lt;&gt;"",NEGOCIAÇÕES!O1689=""),NEGOCIAÇÕES!N1689,"")</f>
        <v/>
      </c>
    </row>
    <row r="1690" spans="2:5" ht="31.95" hidden="1" customHeight="1" x14ac:dyDescent="0.3">
      <c r="B1690" s="6" t="str">
        <f ca="1">IF(AND(NEGOCIAÇÕES!O1690="",NEGOCIAÇÕES!N1690&gt;TODAY()),NEGOCIAÇÕES!C1690,"")</f>
        <v/>
      </c>
      <c r="C1690" s="6" t="str">
        <f ca="1">IF(AND(NEGOCIAÇÕES!O1690="",NEGOCIAÇÕES!N1690&gt;TODAY()),NEGOCIAÇÕES!E1690,"")</f>
        <v/>
      </c>
      <c r="D1690" s="6" t="str">
        <f ca="1">IF(AND(NEGOCIAÇÕES!O1690="",NEGOCIAÇÕES!N1690&gt;TODAY()),NEGOCIAÇÕES!D1690,"")</f>
        <v/>
      </c>
      <c r="E1690" s="9" t="str">
        <f>IF(AND(NEGOCIAÇÕES!B1690&lt;&gt;"",NEGOCIAÇÕES!O1690=""),NEGOCIAÇÕES!N1690,"")</f>
        <v/>
      </c>
    </row>
    <row r="1691" spans="2:5" ht="31.95" hidden="1" customHeight="1" x14ac:dyDescent="0.3">
      <c r="B1691" s="6" t="str">
        <f ca="1">IF(AND(NEGOCIAÇÕES!O1691="",NEGOCIAÇÕES!N1691&gt;TODAY()),NEGOCIAÇÕES!C1691,"")</f>
        <v/>
      </c>
      <c r="C1691" s="6" t="str">
        <f ca="1">IF(AND(NEGOCIAÇÕES!O1691="",NEGOCIAÇÕES!N1691&gt;TODAY()),NEGOCIAÇÕES!E1691,"")</f>
        <v/>
      </c>
      <c r="D1691" s="6" t="str">
        <f ca="1">IF(AND(NEGOCIAÇÕES!O1691="",NEGOCIAÇÕES!N1691&gt;TODAY()),NEGOCIAÇÕES!D1691,"")</f>
        <v/>
      </c>
      <c r="E1691" s="9" t="str">
        <f>IF(AND(NEGOCIAÇÕES!B1691&lt;&gt;"",NEGOCIAÇÕES!O1691=""),NEGOCIAÇÕES!N1691,"")</f>
        <v/>
      </c>
    </row>
    <row r="1692" spans="2:5" ht="31.95" hidden="1" customHeight="1" x14ac:dyDescent="0.3">
      <c r="B1692" s="6" t="str">
        <f ca="1">IF(AND(NEGOCIAÇÕES!O1692="",NEGOCIAÇÕES!N1692&gt;TODAY()),NEGOCIAÇÕES!C1692,"")</f>
        <v/>
      </c>
      <c r="C1692" s="6" t="str">
        <f ca="1">IF(AND(NEGOCIAÇÕES!O1692="",NEGOCIAÇÕES!N1692&gt;TODAY()),NEGOCIAÇÕES!E1692,"")</f>
        <v/>
      </c>
      <c r="D1692" s="6" t="str">
        <f ca="1">IF(AND(NEGOCIAÇÕES!O1692="",NEGOCIAÇÕES!N1692&gt;TODAY()),NEGOCIAÇÕES!D1692,"")</f>
        <v/>
      </c>
      <c r="E1692" s="9" t="str">
        <f>IF(AND(NEGOCIAÇÕES!B1692&lt;&gt;"",NEGOCIAÇÕES!O1692=""),NEGOCIAÇÕES!N1692,"")</f>
        <v/>
      </c>
    </row>
    <row r="1693" spans="2:5" ht="31.95" hidden="1" customHeight="1" x14ac:dyDescent="0.3">
      <c r="B1693" s="6" t="str">
        <f ca="1">IF(AND(NEGOCIAÇÕES!O1693="",NEGOCIAÇÕES!N1693&gt;TODAY()),NEGOCIAÇÕES!C1693,"")</f>
        <v/>
      </c>
      <c r="C1693" s="6" t="str">
        <f ca="1">IF(AND(NEGOCIAÇÕES!O1693="",NEGOCIAÇÕES!N1693&gt;TODAY()),NEGOCIAÇÕES!E1693,"")</f>
        <v/>
      </c>
      <c r="D1693" s="6" t="str">
        <f ca="1">IF(AND(NEGOCIAÇÕES!O1693="",NEGOCIAÇÕES!N1693&gt;TODAY()),NEGOCIAÇÕES!D1693,"")</f>
        <v/>
      </c>
      <c r="E1693" s="9" t="str">
        <f>IF(AND(NEGOCIAÇÕES!B1693&lt;&gt;"",NEGOCIAÇÕES!O1693=""),NEGOCIAÇÕES!N1693,"")</f>
        <v/>
      </c>
    </row>
    <row r="1694" spans="2:5" ht="31.95" hidden="1" customHeight="1" x14ac:dyDescent="0.3">
      <c r="B1694" s="6" t="str">
        <f ca="1">IF(AND(NEGOCIAÇÕES!O1694="",NEGOCIAÇÕES!N1694&gt;TODAY()),NEGOCIAÇÕES!C1694,"")</f>
        <v/>
      </c>
      <c r="C1694" s="6" t="str">
        <f ca="1">IF(AND(NEGOCIAÇÕES!O1694="",NEGOCIAÇÕES!N1694&gt;TODAY()),NEGOCIAÇÕES!E1694,"")</f>
        <v/>
      </c>
      <c r="D1694" s="6" t="str">
        <f ca="1">IF(AND(NEGOCIAÇÕES!O1694="",NEGOCIAÇÕES!N1694&gt;TODAY()),NEGOCIAÇÕES!D1694,"")</f>
        <v/>
      </c>
      <c r="E1694" s="9" t="str">
        <f>IF(AND(NEGOCIAÇÕES!B1694&lt;&gt;"",NEGOCIAÇÕES!O1694=""),NEGOCIAÇÕES!N1694,"")</f>
        <v/>
      </c>
    </row>
    <row r="1695" spans="2:5" ht="31.95" hidden="1" customHeight="1" x14ac:dyDescent="0.3">
      <c r="B1695" s="6" t="str">
        <f ca="1">IF(AND(NEGOCIAÇÕES!O1695="",NEGOCIAÇÕES!N1695&gt;TODAY()),NEGOCIAÇÕES!C1695,"")</f>
        <v/>
      </c>
      <c r="C1695" s="6" t="str">
        <f ca="1">IF(AND(NEGOCIAÇÕES!O1695="",NEGOCIAÇÕES!N1695&gt;TODAY()),NEGOCIAÇÕES!E1695,"")</f>
        <v/>
      </c>
      <c r="D1695" s="6" t="str">
        <f ca="1">IF(AND(NEGOCIAÇÕES!O1695="",NEGOCIAÇÕES!N1695&gt;TODAY()),NEGOCIAÇÕES!D1695,"")</f>
        <v/>
      </c>
      <c r="E1695" s="9" t="str">
        <f>IF(AND(NEGOCIAÇÕES!B1695&lt;&gt;"",NEGOCIAÇÕES!O1695=""),NEGOCIAÇÕES!N1695,"")</f>
        <v/>
      </c>
    </row>
    <row r="1696" spans="2:5" ht="31.95" hidden="1" customHeight="1" x14ac:dyDescent="0.3">
      <c r="B1696" s="6" t="str">
        <f ca="1">IF(AND(NEGOCIAÇÕES!O1696="",NEGOCIAÇÕES!N1696&gt;TODAY()),NEGOCIAÇÕES!C1696,"")</f>
        <v/>
      </c>
      <c r="C1696" s="6" t="str">
        <f ca="1">IF(AND(NEGOCIAÇÕES!O1696="",NEGOCIAÇÕES!N1696&gt;TODAY()),NEGOCIAÇÕES!E1696,"")</f>
        <v/>
      </c>
      <c r="D1696" s="6" t="str">
        <f ca="1">IF(AND(NEGOCIAÇÕES!O1696="",NEGOCIAÇÕES!N1696&gt;TODAY()),NEGOCIAÇÕES!D1696,"")</f>
        <v/>
      </c>
      <c r="E1696" s="9" t="str">
        <f>IF(AND(NEGOCIAÇÕES!B1696&lt;&gt;"",NEGOCIAÇÕES!O1696=""),NEGOCIAÇÕES!N1696,"")</f>
        <v/>
      </c>
    </row>
    <row r="1697" spans="2:5" ht="31.95" hidden="1" customHeight="1" x14ac:dyDescent="0.3">
      <c r="B1697" s="6" t="str">
        <f ca="1">IF(AND(NEGOCIAÇÕES!O1697="",NEGOCIAÇÕES!N1697&gt;TODAY()),NEGOCIAÇÕES!C1697,"")</f>
        <v/>
      </c>
      <c r="C1697" s="6" t="str">
        <f ca="1">IF(AND(NEGOCIAÇÕES!O1697="",NEGOCIAÇÕES!N1697&gt;TODAY()),NEGOCIAÇÕES!E1697,"")</f>
        <v/>
      </c>
      <c r="D1697" s="6" t="str">
        <f ca="1">IF(AND(NEGOCIAÇÕES!O1697="",NEGOCIAÇÕES!N1697&gt;TODAY()),NEGOCIAÇÕES!D1697,"")</f>
        <v/>
      </c>
      <c r="E1697" s="9" t="str">
        <f>IF(AND(NEGOCIAÇÕES!B1697&lt;&gt;"",NEGOCIAÇÕES!O1697=""),NEGOCIAÇÕES!N1697,"")</f>
        <v/>
      </c>
    </row>
    <row r="1698" spans="2:5" ht="31.95" hidden="1" customHeight="1" x14ac:dyDescent="0.3">
      <c r="B1698" s="6" t="str">
        <f ca="1">IF(AND(NEGOCIAÇÕES!O1698="",NEGOCIAÇÕES!N1698&gt;TODAY()),NEGOCIAÇÕES!C1698,"")</f>
        <v/>
      </c>
      <c r="C1698" s="6" t="str">
        <f ca="1">IF(AND(NEGOCIAÇÕES!O1698="",NEGOCIAÇÕES!N1698&gt;TODAY()),NEGOCIAÇÕES!E1698,"")</f>
        <v/>
      </c>
      <c r="D1698" s="6" t="str">
        <f ca="1">IF(AND(NEGOCIAÇÕES!O1698="",NEGOCIAÇÕES!N1698&gt;TODAY()),NEGOCIAÇÕES!D1698,"")</f>
        <v/>
      </c>
      <c r="E1698" s="9" t="str">
        <f>IF(AND(NEGOCIAÇÕES!B1698&lt;&gt;"",NEGOCIAÇÕES!O1698=""),NEGOCIAÇÕES!N1698,"")</f>
        <v/>
      </c>
    </row>
    <row r="1699" spans="2:5" ht="31.95" hidden="1" customHeight="1" x14ac:dyDescent="0.3">
      <c r="B1699" s="6" t="str">
        <f ca="1">IF(AND(NEGOCIAÇÕES!O1699="",NEGOCIAÇÕES!N1699&gt;TODAY()),NEGOCIAÇÕES!C1699,"")</f>
        <v/>
      </c>
      <c r="C1699" s="6" t="str">
        <f ca="1">IF(AND(NEGOCIAÇÕES!O1699="",NEGOCIAÇÕES!N1699&gt;TODAY()),NEGOCIAÇÕES!E1699,"")</f>
        <v/>
      </c>
      <c r="D1699" s="6" t="str">
        <f ca="1">IF(AND(NEGOCIAÇÕES!O1699="",NEGOCIAÇÕES!N1699&gt;TODAY()),NEGOCIAÇÕES!D1699,"")</f>
        <v/>
      </c>
      <c r="E1699" s="9" t="str">
        <f>IF(AND(NEGOCIAÇÕES!B1699&lt;&gt;"",NEGOCIAÇÕES!O1699=""),NEGOCIAÇÕES!N1699,"")</f>
        <v/>
      </c>
    </row>
    <row r="1700" spans="2:5" ht="31.95" hidden="1" customHeight="1" x14ac:dyDescent="0.3">
      <c r="B1700" s="6" t="str">
        <f ca="1">IF(AND(NEGOCIAÇÕES!O1700="",NEGOCIAÇÕES!N1700&gt;TODAY()),NEGOCIAÇÕES!C1700,"")</f>
        <v/>
      </c>
      <c r="C1700" s="6" t="str">
        <f ca="1">IF(AND(NEGOCIAÇÕES!O1700="",NEGOCIAÇÕES!N1700&gt;TODAY()),NEGOCIAÇÕES!E1700,"")</f>
        <v/>
      </c>
      <c r="D1700" s="6" t="str">
        <f ca="1">IF(AND(NEGOCIAÇÕES!O1700="",NEGOCIAÇÕES!N1700&gt;TODAY()),NEGOCIAÇÕES!D1700,"")</f>
        <v/>
      </c>
      <c r="E1700" s="9" t="str">
        <f>IF(AND(NEGOCIAÇÕES!B1700&lt;&gt;"",NEGOCIAÇÕES!O1700=""),NEGOCIAÇÕES!N1700,"")</f>
        <v/>
      </c>
    </row>
    <row r="1701" spans="2:5" ht="31.95" hidden="1" customHeight="1" x14ac:dyDescent="0.3">
      <c r="B1701" s="6" t="str">
        <f ca="1">IF(AND(NEGOCIAÇÕES!O1701="",NEGOCIAÇÕES!N1701&gt;TODAY()),NEGOCIAÇÕES!C1701,"")</f>
        <v/>
      </c>
      <c r="C1701" s="6" t="str">
        <f ca="1">IF(AND(NEGOCIAÇÕES!O1701="",NEGOCIAÇÕES!N1701&gt;TODAY()),NEGOCIAÇÕES!E1701,"")</f>
        <v/>
      </c>
      <c r="D1701" s="6" t="str">
        <f ca="1">IF(AND(NEGOCIAÇÕES!O1701="",NEGOCIAÇÕES!N1701&gt;TODAY()),NEGOCIAÇÕES!D1701,"")</f>
        <v/>
      </c>
      <c r="E1701" s="9" t="str">
        <f>IF(AND(NEGOCIAÇÕES!B1701&lt;&gt;"",NEGOCIAÇÕES!O1701=""),NEGOCIAÇÕES!N1701,"")</f>
        <v/>
      </c>
    </row>
    <row r="1702" spans="2:5" ht="31.95" hidden="1" customHeight="1" x14ac:dyDescent="0.3">
      <c r="B1702" s="6" t="str">
        <f ca="1">IF(AND(NEGOCIAÇÕES!O1702="",NEGOCIAÇÕES!N1702&gt;TODAY()),NEGOCIAÇÕES!C1702,"")</f>
        <v/>
      </c>
      <c r="C1702" s="6" t="str">
        <f ca="1">IF(AND(NEGOCIAÇÕES!O1702="",NEGOCIAÇÕES!N1702&gt;TODAY()),NEGOCIAÇÕES!E1702,"")</f>
        <v/>
      </c>
      <c r="D1702" s="6" t="str">
        <f ca="1">IF(AND(NEGOCIAÇÕES!O1702="",NEGOCIAÇÕES!N1702&gt;TODAY()),NEGOCIAÇÕES!D1702,"")</f>
        <v/>
      </c>
      <c r="E1702" s="9" t="str">
        <f>IF(AND(NEGOCIAÇÕES!B1702&lt;&gt;"",NEGOCIAÇÕES!O1702=""),NEGOCIAÇÕES!N1702,"")</f>
        <v/>
      </c>
    </row>
    <row r="1703" spans="2:5" ht="31.95" hidden="1" customHeight="1" x14ac:dyDescent="0.3">
      <c r="B1703" s="6" t="str">
        <f ca="1">IF(AND(NEGOCIAÇÕES!O1703="",NEGOCIAÇÕES!N1703&gt;TODAY()),NEGOCIAÇÕES!C1703,"")</f>
        <v/>
      </c>
      <c r="C1703" s="6" t="str">
        <f ca="1">IF(AND(NEGOCIAÇÕES!O1703="",NEGOCIAÇÕES!N1703&gt;TODAY()),NEGOCIAÇÕES!E1703,"")</f>
        <v/>
      </c>
      <c r="D1703" s="6" t="str">
        <f ca="1">IF(AND(NEGOCIAÇÕES!O1703="",NEGOCIAÇÕES!N1703&gt;TODAY()),NEGOCIAÇÕES!D1703,"")</f>
        <v/>
      </c>
      <c r="E1703" s="9" t="str">
        <f>IF(AND(NEGOCIAÇÕES!B1703&lt;&gt;"",NEGOCIAÇÕES!O1703=""),NEGOCIAÇÕES!N1703,"")</f>
        <v/>
      </c>
    </row>
    <row r="1704" spans="2:5" ht="31.95" hidden="1" customHeight="1" x14ac:dyDescent="0.3">
      <c r="B1704" s="6" t="str">
        <f ca="1">IF(AND(NEGOCIAÇÕES!O1704="",NEGOCIAÇÕES!N1704&gt;TODAY()),NEGOCIAÇÕES!C1704,"")</f>
        <v/>
      </c>
      <c r="C1704" s="6" t="str">
        <f ca="1">IF(AND(NEGOCIAÇÕES!O1704="",NEGOCIAÇÕES!N1704&gt;TODAY()),NEGOCIAÇÕES!E1704,"")</f>
        <v/>
      </c>
      <c r="D1704" s="6" t="str">
        <f ca="1">IF(AND(NEGOCIAÇÕES!O1704="",NEGOCIAÇÕES!N1704&gt;TODAY()),NEGOCIAÇÕES!D1704,"")</f>
        <v/>
      </c>
      <c r="E1704" s="9" t="str">
        <f>IF(AND(NEGOCIAÇÕES!B1704&lt;&gt;"",NEGOCIAÇÕES!O1704=""),NEGOCIAÇÕES!N1704,"")</f>
        <v/>
      </c>
    </row>
    <row r="1705" spans="2:5" ht="31.95" hidden="1" customHeight="1" x14ac:dyDescent="0.3">
      <c r="B1705" s="6" t="str">
        <f ca="1">IF(AND(NEGOCIAÇÕES!O1705="",NEGOCIAÇÕES!N1705&gt;TODAY()),NEGOCIAÇÕES!C1705,"")</f>
        <v/>
      </c>
      <c r="C1705" s="6" t="str">
        <f ca="1">IF(AND(NEGOCIAÇÕES!O1705="",NEGOCIAÇÕES!N1705&gt;TODAY()),NEGOCIAÇÕES!E1705,"")</f>
        <v/>
      </c>
      <c r="D1705" s="6" t="str">
        <f ca="1">IF(AND(NEGOCIAÇÕES!O1705="",NEGOCIAÇÕES!N1705&gt;TODAY()),NEGOCIAÇÕES!D1705,"")</f>
        <v/>
      </c>
      <c r="E1705" s="9" t="str">
        <f>IF(AND(NEGOCIAÇÕES!B1705&lt;&gt;"",NEGOCIAÇÕES!O1705=""),NEGOCIAÇÕES!N1705,"")</f>
        <v/>
      </c>
    </row>
    <row r="1706" spans="2:5" ht="31.95" hidden="1" customHeight="1" x14ac:dyDescent="0.3">
      <c r="B1706" s="6" t="str">
        <f ca="1">IF(AND(NEGOCIAÇÕES!O1706="",NEGOCIAÇÕES!N1706&gt;TODAY()),NEGOCIAÇÕES!C1706,"")</f>
        <v/>
      </c>
      <c r="C1706" s="6" t="str">
        <f ca="1">IF(AND(NEGOCIAÇÕES!O1706="",NEGOCIAÇÕES!N1706&gt;TODAY()),NEGOCIAÇÕES!E1706,"")</f>
        <v/>
      </c>
      <c r="D1706" s="6" t="str">
        <f ca="1">IF(AND(NEGOCIAÇÕES!O1706="",NEGOCIAÇÕES!N1706&gt;TODAY()),NEGOCIAÇÕES!D1706,"")</f>
        <v/>
      </c>
      <c r="E1706" s="9" t="str">
        <f>IF(AND(NEGOCIAÇÕES!B1706&lt;&gt;"",NEGOCIAÇÕES!O1706=""),NEGOCIAÇÕES!N1706,"")</f>
        <v/>
      </c>
    </row>
    <row r="1707" spans="2:5" ht="31.95" hidden="1" customHeight="1" x14ac:dyDescent="0.3">
      <c r="B1707" s="6" t="str">
        <f ca="1">IF(AND(NEGOCIAÇÕES!O1707="",NEGOCIAÇÕES!N1707&gt;TODAY()),NEGOCIAÇÕES!C1707,"")</f>
        <v/>
      </c>
      <c r="C1707" s="6" t="str">
        <f ca="1">IF(AND(NEGOCIAÇÕES!O1707="",NEGOCIAÇÕES!N1707&gt;TODAY()),NEGOCIAÇÕES!E1707,"")</f>
        <v/>
      </c>
      <c r="D1707" s="6" t="str">
        <f ca="1">IF(AND(NEGOCIAÇÕES!O1707="",NEGOCIAÇÕES!N1707&gt;TODAY()),NEGOCIAÇÕES!D1707,"")</f>
        <v/>
      </c>
      <c r="E1707" s="9" t="str">
        <f>IF(AND(NEGOCIAÇÕES!B1707&lt;&gt;"",NEGOCIAÇÕES!O1707=""),NEGOCIAÇÕES!N1707,"")</f>
        <v/>
      </c>
    </row>
    <row r="1708" spans="2:5" ht="31.95" hidden="1" customHeight="1" x14ac:dyDescent="0.3">
      <c r="B1708" s="6" t="str">
        <f ca="1">IF(AND(NEGOCIAÇÕES!O1708="",NEGOCIAÇÕES!N1708&gt;TODAY()),NEGOCIAÇÕES!C1708,"")</f>
        <v/>
      </c>
      <c r="C1708" s="6" t="str">
        <f ca="1">IF(AND(NEGOCIAÇÕES!O1708="",NEGOCIAÇÕES!N1708&gt;TODAY()),NEGOCIAÇÕES!E1708,"")</f>
        <v/>
      </c>
      <c r="D1708" s="6" t="str">
        <f ca="1">IF(AND(NEGOCIAÇÕES!O1708="",NEGOCIAÇÕES!N1708&gt;TODAY()),NEGOCIAÇÕES!D1708,"")</f>
        <v/>
      </c>
      <c r="E1708" s="9" t="str">
        <f>IF(AND(NEGOCIAÇÕES!B1708&lt;&gt;"",NEGOCIAÇÕES!O1708=""),NEGOCIAÇÕES!N1708,"")</f>
        <v/>
      </c>
    </row>
    <row r="1709" spans="2:5" ht="31.95" hidden="1" customHeight="1" x14ac:dyDescent="0.3">
      <c r="B1709" s="6" t="str">
        <f ca="1">IF(AND(NEGOCIAÇÕES!O1709="",NEGOCIAÇÕES!N1709&gt;TODAY()),NEGOCIAÇÕES!C1709,"")</f>
        <v/>
      </c>
      <c r="C1709" s="6" t="str">
        <f ca="1">IF(AND(NEGOCIAÇÕES!O1709="",NEGOCIAÇÕES!N1709&gt;TODAY()),NEGOCIAÇÕES!E1709,"")</f>
        <v/>
      </c>
      <c r="D1709" s="6" t="str">
        <f ca="1">IF(AND(NEGOCIAÇÕES!O1709="",NEGOCIAÇÕES!N1709&gt;TODAY()),NEGOCIAÇÕES!D1709,"")</f>
        <v/>
      </c>
      <c r="E1709" s="9" t="str">
        <f>IF(AND(NEGOCIAÇÕES!B1709&lt;&gt;"",NEGOCIAÇÕES!O1709=""),NEGOCIAÇÕES!N1709,"")</f>
        <v/>
      </c>
    </row>
    <row r="1710" spans="2:5" ht="31.95" hidden="1" customHeight="1" x14ac:dyDescent="0.3">
      <c r="B1710" s="6" t="str">
        <f ca="1">IF(AND(NEGOCIAÇÕES!O1710="",NEGOCIAÇÕES!N1710&gt;TODAY()),NEGOCIAÇÕES!C1710,"")</f>
        <v/>
      </c>
      <c r="C1710" s="6" t="str">
        <f ca="1">IF(AND(NEGOCIAÇÕES!O1710="",NEGOCIAÇÕES!N1710&gt;TODAY()),NEGOCIAÇÕES!E1710,"")</f>
        <v/>
      </c>
      <c r="D1710" s="6" t="str">
        <f ca="1">IF(AND(NEGOCIAÇÕES!O1710="",NEGOCIAÇÕES!N1710&gt;TODAY()),NEGOCIAÇÕES!D1710,"")</f>
        <v/>
      </c>
      <c r="E1710" s="9" t="str">
        <f>IF(AND(NEGOCIAÇÕES!B1710&lt;&gt;"",NEGOCIAÇÕES!O1710=""),NEGOCIAÇÕES!N1710,"")</f>
        <v/>
      </c>
    </row>
    <row r="1711" spans="2:5" ht="31.95" hidden="1" customHeight="1" x14ac:dyDescent="0.3">
      <c r="B1711" s="6" t="str">
        <f ca="1">IF(AND(NEGOCIAÇÕES!O1711="",NEGOCIAÇÕES!N1711&gt;TODAY()),NEGOCIAÇÕES!C1711,"")</f>
        <v/>
      </c>
      <c r="C1711" s="6" t="str">
        <f ca="1">IF(AND(NEGOCIAÇÕES!O1711="",NEGOCIAÇÕES!N1711&gt;TODAY()),NEGOCIAÇÕES!E1711,"")</f>
        <v/>
      </c>
      <c r="D1711" s="6" t="str">
        <f ca="1">IF(AND(NEGOCIAÇÕES!O1711="",NEGOCIAÇÕES!N1711&gt;TODAY()),NEGOCIAÇÕES!D1711,"")</f>
        <v/>
      </c>
      <c r="E1711" s="9" t="str">
        <f>IF(AND(NEGOCIAÇÕES!B1711&lt;&gt;"",NEGOCIAÇÕES!O1711=""),NEGOCIAÇÕES!N1711,"")</f>
        <v/>
      </c>
    </row>
    <row r="1712" spans="2:5" ht="31.95" hidden="1" customHeight="1" x14ac:dyDescent="0.3">
      <c r="B1712" s="6" t="str">
        <f ca="1">IF(AND(NEGOCIAÇÕES!O1712="",NEGOCIAÇÕES!N1712&gt;TODAY()),NEGOCIAÇÕES!C1712,"")</f>
        <v/>
      </c>
      <c r="C1712" s="6" t="str">
        <f ca="1">IF(AND(NEGOCIAÇÕES!O1712="",NEGOCIAÇÕES!N1712&gt;TODAY()),NEGOCIAÇÕES!E1712,"")</f>
        <v/>
      </c>
      <c r="D1712" s="6" t="str">
        <f ca="1">IF(AND(NEGOCIAÇÕES!O1712="",NEGOCIAÇÕES!N1712&gt;TODAY()),NEGOCIAÇÕES!D1712,"")</f>
        <v/>
      </c>
      <c r="E1712" s="9" t="str">
        <f>IF(AND(NEGOCIAÇÕES!B1712&lt;&gt;"",NEGOCIAÇÕES!O1712=""),NEGOCIAÇÕES!N1712,"")</f>
        <v/>
      </c>
    </row>
    <row r="1713" spans="2:5" ht="31.95" hidden="1" customHeight="1" x14ac:dyDescent="0.3">
      <c r="B1713" s="6" t="str">
        <f ca="1">IF(AND(NEGOCIAÇÕES!O1713="",NEGOCIAÇÕES!N1713&gt;TODAY()),NEGOCIAÇÕES!C1713,"")</f>
        <v/>
      </c>
      <c r="C1713" s="6" t="str">
        <f ca="1">IF(AND(NEGOCIAÇÕES!O1713="",NEGOCIAÇÕES!N1713&gt;TODAY()),NEGOCIAÇÕES!E1713,"")</f>
        <v/>
      </c>
      <c r="D1713" s="6" t="str">
        <f ca="1">IF(AND(NEGOCIAÇÕES!O1713="",NEGOCIAÇÕES!N1713&gt;TODAY()),NEGOCIAÇÕES!D1713,"")</f>
        <v/>
      </c>
      <c r="E1713" s="9" t="str">
        <f>IF(AND(NEGOCIAÇÕES!B1713&lt;&gt;"",NEGOCIAÇÕES!O1713=""),NEGOCIAÇÕES!N1713,"")</f>
        <v/>
      </c>
    </row>
    <row r="1714" spans="2:5" ht="31.95" hidden="1" customHeight="1" x14ac:dyDescent="0.3">
      <c r="B1714" s="6" t="str">
        <f ca="1">IF(AND(NEGOCIAÇÕES!O1714="",NEGOCIAÇÕES!N1714&gt;TODAY()),NEGOCIAÇÕES!C1714,"")</f>
        <v/>
      </c>
      <c r="C1714" s="6" t="str">
        <f ca="1">IF(AND(NEGOCIAÇÕES!O1714="",NEGOCIAÇÕES!N1714&gt;TODAY()),NEGOCIAÇÕES!E1714,"")</f>
        <v/>
      </c>
      <c r="D1714" s="6" t="str">
        <f ca="1">IF(AND(NEGOCIAÇÕES!O1714="",NEGOCIAÇÕES!N1714&gt;TODAY()),NEGOCIAÇÕES!D1714,"")</f>
        <v/>
      </c>
      <c r="E1714" s="9" t="str">
        <f>IF(AND(NEGOCIAÇÕES!B1714&lt;&gt;"",NEGOCIAÇÕES!O1714=""),NEGOCIAÇÕES!N1714,"")</f>
        <v/>
      </c>
    </row>
    <row r="1715" spans="2:5" ht="31.95" hidden="1" customHeight="1" x14ac:dyDescent="0.3">
      <c r="B1715" s="6" t="str">
        <f ca="1">IF(AND(NEGOCIAÇÕES!O1715="",NEGOCIAÇÕES!N1715&gt;TODAY()),NEGOCIAÇÕES!C1715,"")</f>
        <v/>
      </c>
      <c r="C1715" s="6" t="str">
        <f ca="1">IF(AND(NEGOCIAÇÕES!O1715="",NEGOCIAÇÕES!N1715&gt;TODAY()),NEGOCIAÇÕES!E1715,"")</f>
        <v/>
      </c>
      <c r="D1715" s="6" t="str">
        <f ca="1">IF(AND(NEGOCIAÇÕES!O1715="",NEGOCIAÇÕES!N1715&gt;TODAY()),NEGOCIAÇÕES!D1715,"")</f>
        <v/>
      </c>
      <c r="E1715" s="9" t="str">
        <f>IF(AND(NEGOCIAÇÕES!B1715&lt;&gt;"",NEGOCIAÇÕES!O1715=""),NEGOCIAÇÕES!N1715,"")</f>
        <v/>
      </c>
    </row>
    <row r="1716" spans="2:5" ht="31.95" hidden="1" customHeight="1" x14ac:dyDescent="0.3">
      <c r="B1716" s="6" t="str">
        <f ca="1">IF(AND(NEGOCIAÇÕES!O1716="",NEGOCIAÇÕES!N1716&gt;TODAY()),NEGOCIAÇÕES!C1716,"")</f>
        <v/>
      </c>
      <c r="C1716" s="6" t="str">
        <f ca="1">IF(AND(NEGOCIAÇÕES!O1716="",NEGOCIAÇÕES!N1716&gt;TODAY()),NEGOCIAÇÕES!E1716,"")</f>
        <v/>
      </c>
      <c r="D1716" s="6" t="str">
        <f ca="1">IF(AND(NEGOCIAÇÕES!O1716="",NEGOCIAÇÕES!N1716&gt;TODAY()),NEGOCIAÇÕES!D1716,"")</f>
        <v/>
      </c>
      <c r="E1716" s="9" t="str">
        <f>IF(AND(NEGOCIAÇÕES!B1716&lt;&gt;"",NEGOCIAÇÕES!O1716=""),NEGOCIAÇÕES!N1716,"")</f>
        <v/>
      </c>
    </row>
    <row r="1717" spans="2:5" ht="31.95" hidden="1" customHeight="1" x14ac:dyDescent="0.3">
      <c r="B1717" s="6" t="str">
        <f ca="1">IF(AND(NEGOCIAÇÕES!O1717="",NEGOCIAÇÕES!N1717&gt;TODAY()),NEGOCIAÇÕES!C1717,"")</f>
        <v/>
      </c>
      <c r="C1717" s="6" t="str">
        <f ca="1">IF(AND(NEGOCIAÇÕES!O1717="",NEGOCIAÇÕES!N1717&gt;TODAY()),NEGOCIAÇÕES!E1717,"")</f>
        <v/>
      </c>
      <c r="D1717" s="6" t="str">
        <f ca="1">IF(AND(NEGOCIAÇÕES!O1717="",NEGOCIAÇÕES!N1717&gt;TODAY()),NEGOCIAÇÕES!D1717,"")</f>
        <v/>
      </c>
      <c r="E1717" s="9" t="str">
        <f>IF(AND(NEGOCIAÇÕES!B1717&lt;&gt;"",NEGOCIAÇÕES!O1717=""),NEGOCIAÇÕES!N1717,"")</f>
        <v/>
      </c>
    </row>
    <row r="1718" spans="2:5" ht="31.95" hidden="1" customHeight="1" x14ac:dyDescent="0.3">
      <c r="B1718" s="6" t="str">
        <f ca="1">IF(AND(NEGOCIAÇÕES!O1718="",NEGOCIAÇÕES!N1718&gt;TODAY()),NEGOCIAÇÕES!C1718,"")</f>
        <v/>
      </c>
      <c r="C1718" s="6" t="str">
        <f ca="1">IF(AND(NEGOCIAÇÕES!O1718="",NEGOCIAÇÕES!N1718&gt;TODAY()),NEGOCIAÇÕES!E1718,"")</f>
        <v/>
      </c>
      <c r="D1718" s="6" t="str">
        <f ca="1">IF(AND(NEGOCIAÇÕES!O1718="",NEGOCIAÇÕES!N1718&gt;TODAY()),NEGOCIAÇÕES!D1718,"")</f>
        <v/>
      </c>
      <c r="E1718" s="9" t="str">
        <f>IF(AND(NEGOCIAÇÕES!B1718&lt;&gt;"",NEGOCIAÇÕES!O1718=""),NEGOCIAÇÕES!N1718,"")</f>
        <v/>
      </c>
    </row>
    <row r="1719" spans="2:5" ht="31.95" hidden="1" customHeight="1" x14ac:dyDescent="0.3">
      <c r="B1719" s="6" t="str">
        <f ca="1">IF(AND(NEGOCIAÇÕES!O1719="",NEGOCIAÇÕES!N1719&gt;TODAY()),NEGOCIAÇÕES!C1719,"")</f>
        <v/>
      </c>
      <c r="C1719" s="6" t="str">
        <f ca="1">IF(AND(NEGOCIAÇÕES!O1719="",NEGOCIAÇÕES!N1719&gt;TODAY()),NEGOCIAÇÕES!E1719,"")</f>
        <v/>
      </c>
      <c r="D1719" s="6" t="str">
        <f ca="1">IF(AND(NEGOCIAÇÕES!O1719="",NEGOCIAÇÕES!N1719&gt;TODAY()),NEGOCIAÇÕES!D1719,"")</f>
        <v/>
      </c>
      <c r="E1719" s="9" t="str">
        <f>IF(AND(NEGOCIAÇÕES!B1719&lt;&gt;"",NEGOCIAÇÕES!O1719=""),NEGOCIAÇÕES!N1719,"")</f>
        <v/>
      </c>
    </row>
    <row r="1720" spans="2:5" ht="31.95" hidden="1" customHeight="1" x14ac:dyDescent="0.3">
      <c r="B1720" s="6" t="str">
        <f ca="1">IF(AND(NEGOCIAÇÕES!O1720="",NEGOCIAÇÕES!N1720&gt;TODAY()),NEGOCIAÇÕES!C1720,"")</f>
        <v/>
      </c>
      <c r="C1720" s="6" t="str">
        <f ca="1">IF(AND(NEGOCIAÇÕES!O1720="",NEGOCIAÇÕES!N1720&gt;TODAY()),NEGOCIAÇÕES!E1720,"")</f>
        <v/>
      </c>
      <c r="D1720" s="6" t="str">
        <f ca="1">IF(AND(NEGOCIAÇÕES!O1720="",NEGOCIAÇÕES!N1720&gt;TODAY()),NEGOCIAÇÕES!D1720,"")</f>
        <v/>
      </c>
      <c r="E1720" s="9" t="str">
        <f>IF(AND(NEGOCIAÇÕES!B1720&lt;&gt;"",NEGOCIAÇÕES!O1720=""),NEGOCIAÇÕES!N1720,"")</f>
        <v/>
      </c>
    </row>
    <row r="1721" spans="2:5" ht="31.95" hidden="1" customHeight="1" x14ac:dyDescent="0.3">
      <c r="B1721" s="6" t="str">
        <f ca="1">IF(AND(NEGOCIAÇÕES!O1721="",NEGOCIAÇÕES!N1721&gt;TODAY()),NEGOCIAÇÕES!C1721,"")</f>
        <v/>
      </c>
      <c r="C1721" s="6" t="str">
        <f ca="1">IF(AND(NEGOCIAÇÕES!O1721="",NEGOCIAÇÕES!N1721&gt;TODAY()),NEGOCIAÇÕES!E1721,"")</f>
        <v/>
      </c>
      <c r="D1721" s="6" t="str">
        <f ca="1">IF(AND(NEGOCIAÇÕES!O1721="",NEGOCIAÇÕES!N1721&gt;TODAY()),NEGOCIAÇÕES!D1721,"")</f>
        <v/>
      </c>
      <c r="E1721" s="9" t="str">
        <f>IF(AND(NEGOCIAÇÕES!B1721&lt;&gt;"",NEGOCIAÇÕES!O1721=""),NEGOCIAÇÕES!N1721,"")</f>
        <v/>
      </c>
    </row>
    <row r="1722" spans="2:5" ht="31.95" hidden="1" customHeight="1" x14ac:dyDescent="0.3">
      <c r="B1722" s="6" t="str">
        <f ca="1">IF(AND(NEGOCIAÇÕES!O1722="",NEGOCIAÇÕES!N1722&gt;TODAY()),NEGOCIAÇÕES!C1722,"")</f>
        <v/>
      </c>
      <c r="C1722" s="6" t="str">
        <f ca="1">IF(AND(NEGOCIAÇÕES!O1722="",NEGOCIAÇÕES!N1722&gt;TODAY()),NEGOCIAÇÕES!E1722,"")</f>
        <v/>
      </c>
      <c r="D1722" s="6" t="str">
        <f ca="1">IF(AND(NEGOCIAÇÕES!O1722="",NEGOCIAÇÕES!N1722&gt;TODAY()),NEGOCIAÇÕES!D1722,"")</f>
        <v/>
      </c>
      <c r="E1722" s="9" t="str">
        <f>IF(AND(NEGOCIAÇÕES!B1722&lt;&gt;"",NEGOCIAÇÕES!O1722=""),NEGOCIAÇÕES!N1722,"")</f>
        <v/>
      </c>
    </row>
    <row r="1723" spans="2:5" ht="31.95" hidden="1" customHeight="1" x14ac:dyDescent="0.3">
      <c r="B1723" s="6" t="str">
        <f ca="1">IF(AND(NEGOCIAÇÕES!O1723="",NEGOCIAÇÕES!N1723&gt;TODAY()),NEGOCIAÇÕES!C1723,"")</f>
        <v/>
      </c>
      <c r="C1723" s="6" t="str">
        <f ca="1">IF(AND(NEGOCIAÇÕES!O1723="",NEGOCIAÇÕES!N1723&gt;TODAY()),NEGOCIAÇÕES!E1723,"")</f>
        <v/>
      </c>
      <c r="D1723" s="6" t="str">
        <f ca="1">IF(AND(NEGOCIAÇÕES!O1723="",NEGOCIAÇÕES!N1723&gt;TODAY()),NEGOCIAÇÕES!D1723,"")</f>
        <v/>
      </c>
      <c r="E1723" s="9" t="str">
        <f>IF(AND(NEGOCIAÇÕES!B1723&lt;&gt;"",NEGOCIAÇÕES!O1723=""),NEGOCIAÇÕES!N1723,"")</f>
        <v/>
      </c>
    </row>
    <row r="1724" spans="2:5" ht="31.95" hidden="1" customHeight="1" x14ac:dyDescent="0.3">
      <c r="B1724" s="6" t="str">
        <f ca="1">IF(AND(NEGOCIAÇÕES!O1724="",NEGOCIAÇÕES!N1724&gt;TODAY()),NEGOCIAÇÕES!C1724,"")</f>
        <v/>
      </c>
      <c r="C1724" s="6" t="str">
        <f ca="1">IF(AND(NEGOCIAÇÕES!O1724="",NEGOCIAÇÕES!N1724&gt;TODAY()),NEGOCIAÇÕES!E1724,"")</f>
        <v/>
      </c>
      <c r="D1724" s="6" t="str">
        <f ca="1">IF(AND(NEGOCIAÇÕES!O1724="",NEGOCIAÇÕES!N1724&gt;TODAY()),NEGOCIAÇÕES!D1724,"")</f>
        <v/>
      </c>
      <c r="E1724" s="9" t="str">
        <f>IF(AND(NEGOCIAÇÕES!B1724&lt;&gt;"",NEGOCIAÇÕES!O1724=""),NEGOCIAÇÕES!N1724,"")</f>
        <v/>
      </c>
    </row>
    <row r="1725" spans="2:5" ht="31.95" hidden="1" customHeight="1" x14ac:dyDescent="0.3">
      <c r="B1725" s="6" t="str">
        <f ca="1">IF(AND(NEGOCIAÇÕES!O1725="",NEGOCIAÇÕES!N1725&gt;TODAY()),NEGOCIAÇÕES!C1725,"")</f>
        <v/>
      </c>
      <c r="C1725" s="6" t="str">
        <f ca="1">IF(AND(NEGOCIAÇÕES!O1725="",NEGOCIAÇÕES!N1725&gt;TODAY()),NEGOCIAÇÕES!E1725,"")</f>
        <v/>
      </c>
      <c r="D1725" s="6" t="str">
        <f ca="1">IF(AND(NEGOCIAÇÕES!O1725="",NEGOCIAÇÕES!N1725&gt;TODAY()),NEGOCIAÇÕES!D1725,"")</f>
        <v/>
      </c>
      <c r="E1725" s="9" t="str">
        <f>IF(AND(NEGOCIAÇÕES!B1725&lt;&gt;"",NEGOCIAÇÕES!O1725=""),NEGOCIAÇÕES!N1725,"")</f>
        <v/>
      </c>
    </row>
    <row r="1726" spans="2:5" ht="31.95" hidden="1" customHeight="1" x14ac:dyDescent="0.3">
      <c r="B1726" s="6" t="str">
        <f ca="1">IF(AND(NEGOCIAÇÕES!O1726="",NEGOCIAÇÕES!N1726&gt;TODAY()),NEGOCIAÇÕES!C1726,"")</f>
        <v/>
      </c>
      <c r="C1726" s="6" t="str">
        <f ca="1">IF(AND(NEGOCIAÇÕES!O1726="",NEGOCIAÇÕES!N1726&gt;TODAY()),NEGOCIAÇÕES!E1726,"")</f>
        <v/>
      </c>
      <c r="D1726" s="6" t="str">
        <f ca="1">IF(AND(NEGOCIAÇÕES!O1726="",NEGOCIAÇÕES!N1726&gt;TODAY()),NEGOCIAÇÕES!D1726,"")</f>
        <v/>
      </c>
      <c r="E1726" s="9" t="str">
        <f>IF(AND(NEGOCIAÇÕES!B1726&lt;&gt;"",NEGOCIAÇÕES!O1726=""),NEGOCIAÇÕES!N1726,"")</f>
        <v/>
      </c>
    </row>
    <row r="1727" spans="2:5" ht="31.95" hidden="1" customHeight="1" x14ac:dyDescent="0.3">
      <c r="B1727" s="6" t="str">
        <f ca="1">IF(AND(NEGOCIAÇÕES!O1727="",NEGOCIAÇÕES!N1727&gt;TODAY()),NEGOCIAÇÕES!C1727,"")</f>
        <v/>
      </c>
      <c r="C1727" s="6" t="str">
        <f ca="1">IF(AND(NEGOCIAÇÕES!O1727="",NEGOCIAÇÕES!N1727&gt;TODAY()),NEGOCIAÇÕES!E1727,"")</f>
        <v/>
      </c>
      <c r="D1727" s="6" t="str">
        <f ca="1">IF(AND(NEGOCIAÇÕES!O1727="",NEGOCIAÇÕES!N1727&gt;TODAY()),NEGOCIAÇÕES!D1727,"")</f>
        <v/>
      </c>
      <c r="E1727" s="9" t="str">
        <f>IF(AND(NEGOCIAÇÕES!B1727&lt;&gt;"",NEGOCIAÇÕES!O1727=""),NEGOCIAÇÕES!N1727,"")</f>
        <v/>
      </c>
    </row>
    <row r="1728" spans="2:5" ht="31.95" hidden="1" customHeight="1" x14ac:dyDescent="0.3">
      <c r="B1728" s="6" t="str">
        <f ca="1">IF(AND(NEGOCIAÇÕES!O1728="",NEGOCIAÇÕES!N1728&gt;TODAY()),NEGOCIAÇÕES!C1728,"")</f>
        <v/>
      </c>
      <c r="C1728" s="6" t="str">
        <f ca="1">IF(AND(NEGOCIAÇÕES!O1728="",NEGOCIAÇÕES!N1728&gt;TODAY()),NEGOCIAÇÕES!E1728,"")</f>
        <v/>
      </c>
      <c r="D1728" s="6" t="str">
        <f ca="1">IF(AND(NEGOCIAÇÕES!O1728="",NEGOCIAÇÕES!N1728&gt;TODAY()),NEGOCIAÇÕES!D1728,"")</f>
        <v/>
      </c>
      <c r="E1728" s="9" t="str">
        <f>IF(AND(NEGOCIAÇÕES!B1728&lt;&gt;"",NEGOCIAÇÕES!O1728=""),NEGOCIAÇÕES!N1728,"")</f>
        <v/>
      </c>
    </row>
    <row r="1729" spans="2:5" ht="31.95" hidden="1" customHeight="1" x14ac:dyDescent="0.3">
      <c r="B1729" s="6" t="str">
        <f ca="1">IF(AND(NEGOCIAÇÕES!O1729="",NEGOCIAÇÕES!N1729&gt;TODAY()),NEGOCIAÇÕES!C1729,"")</f>
        <v/>
      </c>
      <c r="C1729" s="6" t="str">
        <f ca="1">IF(AND(NEGOCIAÇÕES!O1729="",NEGOCIAÇÕES!N1729&gt;TODAY()),NEGOCIAÇÕES!E1729,"")</f>
        <v/>
      </c>
      <c r="D1729" s="6" t="str">
        <f ca="1">IF(AND(NEGOCIAÇÕES!O1729="",NEGOCIAÇÕES!N1729&gt;TODAY()),NEGOCIAÇÕES!D1729,"")</f>
        <v/>
      </c>
      <c r="E1729" s="9" t="str">
        <f>IF(AND(NEGOCIAÇÕES!B1729&lt;&gt;"",NEGOCIAÇÕES!O1729=""),NEGOCIAÇÕES!N1729,"")</f>
        <v/>
      </c>
    </row>
    <row r="1730" spans="2:5" ht="31.95" hidden="1" customHeight="1" x14ac:dyDescent="0.3">
      <c r="B1730" s="6" t="str">
        <f ca="1">IF(AND(NEGOCIAÇÕES!O1730="",NEGOCIAÇÕES!N1730&gt;TODAY()),NEGOCIAÇÕES!C1730,"")</f>
        <v/>
      </c>
      <c r="C1730" s="6" t="str">
        <f ca="1">IF(AND(NEGOCIAÇÕES!O1730="",NEGOCIAÇÕES!N1730&gt;TODAY()),NEGOCIAÇÕES!E1730,"")</f>
        <v/>
      </c>
      <c r="D1730" s="6" t="str">
        <f ca="1">IF(AND(NEGOCIAÇÕES!O1730="",NEGOCIAÇÕES!N1730&gt;TODAY()),NEGOCIAÇÕES!D1730,"")</f>
        <v/>
      </c>
      <c r="E1730" s="9" t="str">
        <f>IF(AND(NEGOCIAÇÕES!B1730&lt;&gt;"",NEGOCIAÇÕES!O1730=""),NEGOCIAÇÕES!N1730,"")</f>
        <v/>
      </c>
    </row>
    <row r="1731" spans="2:5" ht="31.95" hidden="1" customHeight="1" x14ac:dyDescent="0.3">
      <c r="B1731" s="6" t="str">
        <f ca="1">IF(AND(NEGOCIAÇÕES!O1731="",NEGOCIAÇÕES!N1731&gt;TODAY()),NEGOCIAÇÕES!C1731,"")</f>
        <v/>
      </c>
      <c r="C1731" s="6" t="str">
        <f ca="1">IF(AND(NEGOCIAÇÕES!O1731="",NEGOCIAÇÕES!N1731&gt;TODAY()),NEGOCIAÇÕES!E1731,"")</f>
        <v/>
      </c>
      <c r="D1731" s="6" t="str">
        <f ca="1">IF(AND(NEGOCIAÇÕES!O1731="",NEGOCIAÇÕES!N1731&gt;TODAY()),NEGOCIAÇÕES!D1731,"")</f>
        <v/>
      </c>
      <c r="E1731" s="9" t="str">
        <f>IF(AND(NEGOCIAÇÕES!B1731&lt;&gt;"",NEGOCIAÇÕES!O1731=""),NEGOCIAÇÕES!N1731,"")</f>
        <v/>
      </c>
    </row>
    <row r="1732" spans="2:5" ht="31.95" hidden="1" customHeight="1" x14ac:dyDescent="0.3">
      <c r="B1732" s="6" t="str">
        <f ca="1">IF(AND(NEGOCIAÇÕES!O1732="",NEGOCIAÇÕES!N1732&gt;TODAY()),NEGOCIAÇÕES!C1732,"")</f>
        <v/>
      </c>
      <c r="C1732" s="6" t="str">
        <f ca="1">IF(AND(NEGOCIAÇÕES!O1732="",NEGOCIAÇÕES!N1732&gt;TODAY()),NEGOCIAÇÕES!E1732,"")</f>
        <v/>
      </c>
      <c r="D1732" s="6" t="str">
        <f ca="1">IF(AND(NEGOCIAÇÕES!O1732="",NEGOCIAÇÕES!N1732&gt;TODAY()),NEGOCIAÇÕES!D1732,"")</f>
        <v/>
      </c>
      <c r="E1732" s="9" t="str">
        <f>IF(AND(NEGOCIAÇÕES!B1732&lt;&gt;"",NEGOCIAÇÕES!O1732=""),NEGOCIAÇÕES!N1732,"")</f>
        <v/>
      </c>
    </row>
    <row r="1733" spans="2:5" ht="31.95" hidden="1" customHeight="1" x14ac:dyDescent="0.3">
      <c r="B1733" s="6" t="str">
        <f ca="1">IF(AND(NEGOCIAÇÕES!O1733="",NEGOCIAÇÕES!N1733&gt;TODAY()),NEGOCIAÇÕES!C1733,"")</f>
        <v/>
      </c>
      <c r="C1733" s="6" t="str">
        <f ca="1">IF(AND(NEGOCIAÇÕES!O1733="",NEGOCIAÇÕES!N1733&gt;TODAY()),NEGOCIAÇÕES!E1733,"")</f>
        <v/>
      </c>
      <c r="D1733" s="6" t="str">
        <f ca="1">IF(AND(NEGOCIAÇÕES!O1733="",NEGOCIAÇÕES!N1733&gt;TODAY()),NEGOCIAÇÕES!D1733,"")</f>
        <v/>
      </c>
      <c r="E1733" s="9" t="str">
        <f>IF(AND(NEGOCIAÇÕES!B1733&lt;&gt;"",NEGOCIAÇÕES!O1733=""),NEGOCIAÇÕES!N1733,"")</f>
        <v/>
      </c>
    </row>
    <row r="1734" spans="2:5" ht="31.95" hidden="1" customHeight="1" x14ac:dyDescent="0.3">
      <c r="B1734" s="6" t="str">
        <f ca="1">IF(AND(NEGOCIAÇÕES!O1734="",NEGOCIAÇÕES!N1734&gt;TODAY()),NEGOCIAÇÕES!C1734,"")</f>
        <v/>
      </c>
      <c r="C1734" s="6" t="str">
        <f ca="1">IF(AND(NEGOCIAÇÕES!O1734="",NEGOCIAÇÕES!N1734&gt;TODAY()),NEGOCIAÇÕES!E1734,"")</f>
        <v/>
      </c>
      <c r="D1734" s="6" t="str">
        <f ca="1">IF(AND(NEGOCIAÇÕES!O1734="",NEGOCIAÇÕES!N1734&gt;TODAY()),NEGOCIAÇÕES!D1734,"")</f>
        <v/>
      </c>
      <c r="E1734" s="9" t="str">
        <f>IF(AND(NEGOCIAÇÕES!B1734&lt;&gt;"",NEGOCIAÇÕES!O1734=""),NEGOCIAÇÕES!N1734,"")</f>
        <v/>
      </c>
    </row>
    <row r="1735" spans="2:5" ht="31.95" hidden="1" customHeight="1" x14ac:dyDescent="0.3">
      <c r="B1735" s="6" t="str">
        <f ca="1">IF(AND(NEGOCIAÇÕES!O1735="",NEGOCIAÇÕES!N1735&gt;TODAY()),NEGOCIAÇÕES!C1735,"")</f>
        <v/>
      </c>
      <c r="C1735" s="6" t="str">
        <f ca="1">IF(AND(NEGOCIAÇÕES!O1735="",NEGOCIAÇÕES!N1735&gt;TODAY()),NEGOCIAÇÕES!E1735,"")</f>
        <v/>
      </c>
      <c r="D1735" s="6" t="str">
        <f ca="1">IF(AND(NEGOCIAÇÕES!O1735="",NEGOCIAÇÕES!N1735&gt;TODAY()),NEGOCIAÇÕES!D1735,"")</f>
        <v/>
      </c>
      <c r="E1735" s="9" t="str">
        <f>IF(AND(NEGOCIAÇÕES!B1735&lt;&gt;"",NEGOCIAÇÕES!O1735=""),NEGOCIAÇÕES!N1735,"")</f>
        <v/>
      </c>
    </row>
    <row r="1736" spans="2:5" ht="31.95" hidden="1" customHeight="1" x14ac:dyDescent="0.3">
      <c r="B1736" s="6" t="str">
        <f ca="1">IF(AND(NEGOCIAÇÕES!O1736="",NEGOCIAÇÕES!N1736&gt;TODAY()),NEGOCIAÇÕES!C1736,"")</f>
        <v/>
      </c>
      <c r="C1736" s="6" t="str">
        <f ca="1">IF(AND(NEGOCIAÇÕES!O1736="",NEGOCIAÇÕES!N1736&gt;TODAY()),NEGOCIAÇÕES!E1736,"")</f>
        <v/>
      </c>
      <c r="D1736" s="6" t="str">
        <f ca="1">IF(AND(NEGOCIAÇÕES!O1736="",NEGOCIAÇÕES!N1736&gt;TODAY()),NEGOCIAÇÕES!D1736,"")</f>
        <v/>
      </c>
      <c r="E1736" s="9" t="str">
        <f>IF(AND(NEGOCIAÇÕES!B1736&lt;&gt;"",NEGOCIAÇÕES!O1736=""),NEGOCIAÇÕES!N1736,"")</f>
        <v/>
      </c>
    </row>
    <row r="1737" spans="2:5" ht="31.95" hidden="1" customHeight="1" x14ac:dyDescent="0.3">
      <c r="B1737" s="6" t="str">
        <f ca="1">IF(AND(NEGOCIAÇÕES!O1737="",NEGOCIAÇÕES!N1737&gt;TODAY()),NEGOCIAÇÕES!C1737,"")</f>
        <v/>
      </c>
      <c r="C1737" s="6" t="str">
        <f ca="1">IF(AND(NEGOCIAÇÕES!O1737="",NEGOCIAÇÕES!N1737&gt;TODAY()),NEGOCIAÇÕES!E1737,"")</f>
        <v/>
      </c>
      <c r="D1737" s="6" t="str">
        <f ca="1">IF(AND(NEGOCIAÇÕES!O1737="",NEGOCIAÇÕES!N1737&gt;TODAY()),NEGOCIAÇÕES!D1737,"")</f>
        <v/>
      </c>
      <c r="E1737" s="9" t="str">
        <f>IF(AND(NEGOCIAÇÕES!B1737&lt;&gt;"",NEGOCIAÇÕES!O1737=""),NEGOCIAÇÕES!N1737,"")</f>
        <v/>
      </c>
    </row>
    <row r="1738" spans="2:5" ht="31.95" hidden="1" customHeight="1" x14ac:dyDescent="0.3">
      <c r="B1738" s="6" t="str">
        <f ca="1">IF(AND(NEGOCIAÇÕES!O1738="",NEGOCIAÇÕES!N1738&gt;TODAY()),NEGOCIAÇÕES!C1738,"")</f>
        <v/>
      </c>
      <c r="C1738" s="6" t="str">
        <f ca="1">IF(AND(NEGOCIAÇÕES!O1738="",NEGOCIAÇÕES!N1738&gt;TODAY()),NEGOCIAÇÕES!E1738,"")</f>
        <v/>
      </c>
      <c r="D1738" s="6" t="str">
        <f ca="1">IF(AND(NEGOCIAÇÕES!O1738="",NEGOCIAÇÕES!N1738&gt;TODAY()),NEGOCIAÇÕES!D1738,"")</f>
        <v/>
      </c>
      <c r="E1738" s="9" t="str">
        <f>IF(AND(NEGOCIAÇÕES!B1738&lt;&gt;"",NEGOCIAÇÕES!O1738=""),NEGOCIAÇÕES!N1738,"")</f>
        <v/>
      </c>
    </row>
    <row r="1739" spans="2:5" ht="31.95" hidden="1" customHeight="1" x14ac:dyDescent="0.3">
      <c r="B1739" s="6" t="str">
        <f ca="1">IF(AND(NEGOCIAÇÕES!O1739="",NEGOCIAÇÕES!N1739&gt;TODAY()),NEGOCIAÇÕES!C1739,"")</f>
        <v/>
      </c>
      <c r="C1739" s="6" t="str">
        <f ca="1">IF(AND(NEGOCIAÇÕES!O1739="",NEGOCIAÇÕES!N1739&gt;TODAY()),NEGOCIAÇÕES!E1739,"")</f>
        <v/>
      </c>
      <c r="D1739" s="6" t="str">
        <f ca="1">IF(AND(NEGOCIAÇÕES!O1739="",NEGOCIAÇÕES!N1739&gt;TODAY()),NEGOCIAÇÕES!D1739,"")</f>
        <v/>
      </c>
      <c r="E1739" s="9" t="str">
        <f>IF(AND(NEGOCIAÇÕES!B1739&lt;&gt;"",NEGOCIAÇÕES!O1739=""),NEGOCIAÇÕES!N1739,"")</f>
        <v/>
      </c>
    </row>
    <row r="1740" spans="2:5" ht="31.95" hidden="1" customHeight="1" x14ac:dyDescent="0.3">
      <c r="B1740" s="6" t="str">
        <f ca="1">IF(AND(NEGOCIAÇÕES!O1740="",NEGOCIAÇÕES!N1740&gt;TODAY()),NEGOCIAÇÕES!C1740,"")</f>
        <v/>
      </c>
      <c r="C1740" s="6" t="str">
        <f ca="1">IF(AND(NEGOCIAÇÕES!O1740="",NEGOCIAÇÕES!N1740&gt;TODAY()),NEGOCIAÇÕES!E1740,"")</f>
        <v/>
      </c>
      <c r="D1740" s="6" t="str">
        <f ca="1">IF(AND(NEGOCIAÇÕES!O1740="",NEGOCIAÇÕES!N1740&gt;TODAY()),NEGOCIAÇÕES!D1740,"")</f>
        <v/>
      </c>
      <c r="E1740" s="9" t="str">
        <f>IF(AND(NEGOCIAÇÕES!B1740&lt;&gt;"",NEGOCIAÇÕES!O1740=""),NEGOCIAÇÕES!N1740,"")</f>
        <v/>
      </c>
    </row>
    <row r="1741" spans="2:5" ht="31.95" hidden="1" customHeight="1" x14ac:dyDescent="0.3">
      <c r="B1741" s="6" t="str">
        <f ca="1">IF(AND(NEGOCIAÇÕES!O1741="",NEGOCIAÇÕES!N1741&gt;TODAY()),NEGOCIAÇÕES!C1741,"")</f>
        <v/>
      </c>
      <c r="C1741" s="6" t="str">
        <f ca="1">IF(AND(NEGOCIAÇÕES!O1741="",NEGOCIAÇÕES!N1741&gt;TODAY()),NEGOCIAÇÕES!E1741,"")</f>
        <v/>
      </c>
      <c r="D1741" s="6" t="str">
        <f ca="1">IF(AND(NEGOCIAÇÕES!O1741="",NEGOCIAÇÕES!N1741&gt;TODAY()),NEGOCIAÇÕES!D1741,"")</f>
        <v/>
      </c>
      <c r="E1741" s="9" t="str">
        <f>IF(AND(NEGOCIAÇÕES!B1741&lt;&gt;"",NEGOCIAÇÕES!O1741=""),NEGOCIAÇÕES!N1741,"")</f>
        <v/>
      </c>
    </row>
    <row r="1742" spans="2:5" ht="31.95" hidden="1" customHeight="1" x14ac:dyDescent="0.3">
      <c r="B1742" s="6" t="str">
        <f ca="1">IF(AND(NEGOCIAÇÕES!O1742="",NEGOCIAÇÕES!N1742&gt;TODAY()),NEGOCIAÇÕES!C1742,"")</f>
        <v/>
      </c>
      <c r="C1742" s="6" t="str">
        <f ca="1">IF(AND(NEGOCIAÇÕES!O1742="",NEGOCIAÇÕES!N1742&gt;TODAY()),NEGOCIAÇÕES!E1742,"")</f>
        <v/>
      </c>
      <c r="D1742" s="6" t="str">
        <f ca="1">IF(AND(NEGOCIAÇÕES!O1742="",NEGOCIAÇÕES!N1742&gt;TODAY()),NEGOCIAÇÕES!D1742,"")</f>
        <v/>
      </c>
      <c r="E1742" s="9" t="str">
        <f>IF(AND(NEGOCIAÇÕES!B1742&lt;&gt;"",NEGOCIAÇÕES!O1742=""),NEGOCIAÇÕES!N1742,"")</f>
        <v/>
      </c>
    </row>
    <row r="1743" spans="2:5" ht="31.95" hidden="1" customHeight="1" x14ac:dyDescent="0.3">
      <c r="B1743" s="6" t="str">
        <f ca="1">IF(AND(NEGOCIAÇÕES!O1743="",NEGOCIAÇÕES!N1743&gt;TODAY()),NEGOCIAÇÕES!C1743,"")</f>
        <v/>
      </c>
      <c r="C1743" s="6" t="str">
        <f ca="1">IF(AND(NEGOCIAÇÕES!O1743="",NEGOCIAÇÕES!N1743&gt;TODAY()),NEGOCIAÇÕES!E1743,"")</f>
        <v/>
      </c>
      <c r="D1743" s="6" t="str">
        <f ca="1">IF(AND(NEGOCIAÇÕES!O1743="",NEGOCIAÇÕES!N1743&gt;TODAY()),NEGOCIAÇÕES!D1743,"")</f>
        <v/>
      </c>
      <c r="E1743" s="9" t="str">
        <f>IF(AND(NEGOCIAÇÕES!B1743&lt;&gt;"",NEGOCIAÇÕES!O1743=""),NEGOCIAÇÕES!N1743,"")</f>
        <v/>
      </c>
    </row>
    <row r="1744" spans="2:5" ht="31.95" hidden="1" customHeight="1" x14ac:dyDescent="0.3">
      <c r="B1744" s="6" t="str">
        <f ca="1">IF(AND(NEGOCIAÇÕES!O1744="",NEGOCIAÇÕES!N1744&gt;TODAY()),NEGOCIAÇÕES!C1744,"")</f>
        <v/>
      </c>
      <c r="C1744" s="6" t="str">
        <f ca="1">IF(AND(NEGOCIAÇÕES!O1744="",NEGOCIAÇÕES!N1744&gt;TODAY()),NEGOCIAÇÕES!E1744,"")</f>
        <v/>
      </c>
      <c r="D1744" s="6" t="str">
        <f ca="1">IF(AND(NEGOCIAÇÕES!O1744="",NEGOCIAÇÕES!N1744&gt;TODAY()),NEGOCIAÇÕES!D1744,"")</f>
        <v/>
      </c>
      <c r="E1744" s="9" t="str">
        <f>IF(AND(NEGOCIAÇÕES!B1744&lt;&gt;"",NEGOCIAÇÕES!O1744=""),NEGOCIAÇÕES!N1744,"")</f>
        <v/>
      </c>
    </row>
    <row r="1745" spans="2:5" ht="31.95" hidden="1" customHeight="1" x14ac:dyDescent="0.3">
      <c r="B1745" s="6" t="str">
        <f ca="1">IF(AND(NEGOCIAÇÕES!O1745="",NEGOCIAÇÕES!N1745&gt;TODAY()),NEGOCIAÇÕES!C1745,"")</f>
        <v/>
      </c>
      <c r="C1745" s="6" t="str">
        <f ca="1">IF(AND(NEGOCIAÇÕES!O1745="",NEGOCIAÇÕES!N1745&gt;TODAY()),NEGOCIAÇÕES!E1745,"")</f>
        <v/>
      </c>
      <c r="D1745" s="6" t="str">
        <f ca="1">IF(AND(NEGOCIAÇÕES!O1745="",NEGOCIAÇÕES!N1745&gt;TODAY()),NEGOCIAÇÕES!D1745,"")</f>
        <v/>
      </c>
      <c r="E1745" s="9" t="str">
        <f>IF(AND(NEGOCIAÇÕES!B1745&lt;&gt;"",NEGOCIAÇÕES!O1745=""),NEGOCIAÇÕES!N1745,"")</f>
        <v/>
      </c>
    </row>
    <row r="1746" spans="2:5" ht="31.95" hidden="1" customHeight="1" x14ac:dyDescent="0.3">
      <c r="B1746" s="6" t="str">
        <f ca="1">IF(AND(NEGOCIAÇÕES!O1746="",NEGOCIAÇÕES!N1746&gt;TODAY()),NEGOCIAÇÕES!C1746,"")</f>
        <v/>
      </c>
      <c r="C1746" s="6" t="str">
        <f ca="1">IF(AND(NEGOCIAÇÕES!O1746="",NEGOCIAÇÕES!N1746&gt;TODAY()),NEGOCIAÇÕES!E1746,"")</f>
        <v/>
      </c>
      <c r="D1746" s="6" t="str">
        <f ca="1">IF(AND(NEGOCIAÇÕES!O1746="",NEGOCIAÇÕES!N1746&gt;TODAY()),NEGOCIAÇÕES!D1746,"")</f>
        <v/>
      </c>
      <c r="E1746" s="9" t="str">
        <f>IF(AND(NEGOCIAÇÕES!B1746&lt;&gt;"",NEGOCIAÇÕES!O1746=""),NEGOCIAÇÕES!N1746,"")</f>
        <v/>
      </c>
    </row>
    <row r="1747" spans="2:5" ht="31.95" hidden="1" customHeight="1" x14ac:dyDescent="0.3">
      <c r="B1747" s="6" t="str">
        <f ca="1">IF(AND(NEGOCIAÇÕES!O1747="",NEGOCIAÇÕES!N1747&gt;TODAY()),NEGOCIAÇÕES!C1747,"")</f>
        <v/>
      </c>
      <c r="C1747" s="6" t="str">
        <f ca="1">IF(AND(NEGOCIAÇÕES!O1747="",NEGOCIAÇÕES!N1747&gt;TODAY()),NEGOCIAÇÕES!E1747,"")</f>
        <v/>
      </c>
      <c r="D1747" s="6" t="str">
        <f ca="1">IF(AND(NEGOCIAÇÕES!O1747="",NEGOCIAÇÕES!N1747&gt;TODAY()),NEGOCIAÇÕES!D1747,"")</f>
        <v/>
      </c>
      <c r="E1747" s="9" t="str">
        <f>IF(AND(NEGOCIAÇÕES!B1747&lt;&gt;"",NEGOCIAÇÕES!O1747=""),NEGOCIAÇÕES!N1747,"")</f>
        <v/>
      </c>
    </row>
    <row r="1748" spans="2:5" ht="31.95" hidden="1" customHeight="1" x14ac:dyDescent="0.3">
      <c r="B1748" s="6" t="str">
        <f ca="1">IF(AND(NEGOCIAÇÕES!O1748="",NEGOCIAÇÕES!N1748&gt;TODAY()),NEGOCIAÇÕES!C1748,"")</f>
        <v/>
      </c>
      <c r="C1748" s="6" t="str">
        <f ca="1">IF(AND(NEGOCIAÇÕES!O1748="",NEGOCIAÇÕES!N1748&gt;TODAY()),NEGOCIAÇÕES!E1748,"")</f>
        <v/>
      </c>
      <c r="D1748" s="6" t="str">
        <f ca="1">IF(AND(NEGOCIAÇÕES!O1748="",NEGOCIAÇÕES!N1748&gt;TODAY()),NEGOCIAÇÕES!D1748,"")</f>
        <v/>
      </c>
      <c r="E1748" s="9" t="str">
        <f>IF(AND(NEGOCIAÇÕES!B1748&lt;&gt;"",NEGOCIAÇÕES!O1748=""),NEGOCIAÇÕES!N1748,"")</f>
        <v/>
      </c>
    </row>
    <row r="1749" spans="2:5" ht="31.95" hidden="1" customHeight="1" x14ac:dyDescent="0.3">
      <c r="B1749" s="6" t="str">
        <f ca="1">IF(AND(NEGOCIAÇÕES!O1749="",NEGOCIAÇÕES!N1749&gt;TODAY()),NEGOCIAÇÕES!C1749,"")</f>
        <v/>
      </c>
      <c r="C1749" s="6" t="str">
        <f ca="1">IF(AND(NEGOCIAÇÕES!O1749="",NEGOCIAÇÕES!N1749&gt;TODAY()),NEGOCIAÇÕES!E1749,"")</f>
        <v/>
      </c>
      <c r="D1749" s="6" t="str">
        <f ca="1">IF(AND(NEGOCIAÇÕES!O1749="",NEGOCIAÇÕES!N1749&gt;TODAY()),NEGOCIAÇÕES!D1749,"")</f>
        <v/>
      </c>
      <c r="E1749" s="9" t="str">
        <f>IF(AND(NEGOCIAÇÕES!B1749&lt;&gt;"",NEGOCIAÇÕES!O1749=""),NEGOCIAÇÕES!N1749,"")</f>
        <v/>
      </c>
    </row>
    <row r="1750" spans="2:5" ht="31.95" hidden="1" customHeight="1" x14ac:dyDescent="0.3">
      <c r="B1750" s="6" t="str">
        <f ca="1">IF(AND(NEGOCIAÇÕES!O1750="",NEGOCIAÇÕES!N1750&gt;TODAY()),NEGOCIAÇÕES!C1750,"")</f>
        <v/>
      </c>
      <c r="C1750" s="6" t="str">
        <f ca="1">IF(AND(NEGOCIAÇÕES!O1750="",NEGOCIAÇÕES!N1750&gt;TODAY()),NEGOCIAÇÕES!E1750,"")</f>
        <v/>
      </c>
      <c r="D1750" s="6" t="str">
        <f ca="1">IF(AND(NEGOCIAÇÕES!O1750="",NEGOCIAÇÕES!N1750&gt;TODAY()),NEGOCIAÇÕES!D1750,"")</f>
        <v/>
      </c>
      <c r="E1750" s="9" t="str">
        <f>IF(AND(NEGOCIAÇÕES!B1750&lt;&gt;"",NEGOCIAÇÕES!O1750=""),NEGOCIAÇÕES!N1750,"")</f>
        <v/>
      </c>
    </row>
    <row r="1751" spans="2:5" ht="31.95" hidden="1" customHeight="1" x14ac:dyDescent="0.3">
      <c r="B1751" s="6" t="str">
        <f ca="1">IF(AND(NEGOCIAÇÕES!O1751="",NEGOCIAÇÕES!N1751&gt;TODAY()),NEGOCIAÇÕES!C1751,"")</f>
        <v/>
      </c>
      <c r="C1751" s="6" t="str">
        <f ca="1">IF(AND(NEGOCIAÇÕES!O1751="",NEGOCIAÇÕES!N1751&gt;TODAY()),NEGOCIAÇÕES!E1751,"")</f>
        <v/>
      </c>
      <c r="D1751" s="6" t="str">
        <f ca="1">IF(AND(NEGOCIAÇÕES!O1751="",NEGOCIAÇÕES!N1751&gt;TODAY()),NEGOCIAÇÕES!D1751,"")</f>
        <v/>
      </c>
      <c r="E1751" s="9" t="str">
        <f>IF(AND(NEGOCIAÇÕES!B1751&lt;&gt;"",NEGOCIAÇÕES!O1751=""),NEGOCIAÇÕES!N1751,"")</f>
        <v/>
      </c>
    </row>
    <row r="1752" spans="2:5" ht="31.95" hidden="1" customHeight="1" x14ac:dyDescent="0.3">
      <c r="B1752" s="6" t="str">
        <f ca="1">IF(AND(NEGOCIAÇÕES!O1752="",NEGOCIAÇÕES!N1752&gt;TODAY()),NEGOCIAÇÕES!C1752,"")</f>
        <v/>
      </c>
      <c r="C1752" s="6" t="str">
        <f ca="1">IF(AND(NEGOCIAÇÕES!O1752="",NEGOCIAÇÕES!N1752&gt;TODAY()),NEGOCIAÇÕES!E1752,"")</f>
        <v/>
      </c>
      <c r="D1752" s="6" t="str">
        <f ca="1">IF(AND(NEGOCIAÇÕES!O1752="",NEGOCIAÇÕES!N1752&gt;TODAY()),NEGOCIAÇÕES!D1752,"")</f>
        <v/>
      </c>
      <c r="E1752" s="9" t="str">
        <f>IF(AND(NEGOCIAÇÕES!B1752&lt;&gt;"",NEGOCIAÇÕES!O1752=""),NEGOCIAÇÕES!N1752,"")</f>
        <v/>
      </c>
    </row>
    <row r="1753" spans="2:5" ht="31.95" hidden="1" customHeight="1" x14ac:dyDescent="0.3">
      <c r="B1753" s="6" t="str">
        <f ca="1">IF(AND(NEGOCIAÇÕES!O1753="",NEGOCIAÇÕES!N1753&gt;TODAY()),NEGOCIAÇÕES!C1753,"")</f>
        <v/>
      </c>
      <c r="C1753" s="6" t="str">
        <f ca="1">IF(AND(NEGOCIAÇÕES!O1753="",NEGOCIAÇÕES!N1753&gt;TODAY()),NEGOCIAÇÕES!E1753,"")</f>
        <v/>
      </c>
      <c r="D1753" s="6" t="str">
        <f ca="1">IF(AND(NEGOCIAÇÕES!O1753="",NEGOCIAÇÕES!N1753&gt;TODAY()),NEGOCIAÇÕES!D1753,"")</f>
        <v/>
      </c>
      <c r="E1753" s="9" t="str">
        <f>IF(AND(NEGOCIAÇÕES!B1753&lt;&gt;"",NEGOCIAÇÕES!O1753=""),NEGOCIAÇÕES!N1753,"")</f>
        <v/>
      </c>
    </row>
    <row r="1754" spans="2:5" ht="31.95" hidden="1" customHeight="1" x14ac:dyDescent="0.3">
      <c r="B1754" s="6" t="str">
        <f ca="1">IF(AND(NEGOCIAÇÕES!O1754="",NEGOCIAÇÕES!N1754&gt;TODAY()),NEGOCIAÇÕES!C1754,"")</f>
        <v/>
      </c>
      <c r="C1754" s="6" t="str">
        <f ca="1">IF(AND(NEGOCIAÇÕES!O1754="",NEGOCIAÇÕES!N1754&gt;TODAY()),NEGOCIAÇÕES!E1754,"")</f>
        <v/>
      </c>
      <c r="D1754" s="6" t="str">
        <f ca="1">IF(AND(NEGOCIAÇÕES!O1754="",NEGOCIAÇÕES!N1754&gt;TODAY()),NEGOCIAÇÕES!D1754,"")</f>
        <v/>
      </c>
      <c r="E1754" s="9" t="str">
        <f>IF(AND(NEGOCIAÇÕES!B1754&lt;&gt;"",NEGOCIAÇÕES!O1754=""),NEGOCIAÇÕES!N1754,"")</f>
        <v/>
      </c>
    </row>
    <row r="1755" spans="2:5" ht="31.95" hidden="1" customHeight="1" x14ac:dyDescent="0.3">
      <c r="B1755" s="6" t="str">
        <f ca="1">IF(AND(NEGOCIAÇÕES!O1755="",NEGOCIAÇÕES!N1755&gt;TODAY()),NEGOCIAÇÕES!C1755,"")</f>
        <v/>
      </c>
      <c r="C1755" s="6" t="str">
        <f ca="1">IF(AND(NEGOCIAÇÕES!O1755="",NEGOCIAÇÕES!N1755&gt;TODAY()),NEGOCIAÇÕES!E1755,"")</f>
        <v/>
      </c>
      <c r="D1755" s="6" t="str">
        <f ca="1">IF(AND(NEGOCIAÇÕES!O1755="",NEGOCIAÇÕES!N1755&gt;TODAY()),NEGOCIAÇÕES!D1755,"")</f>
        <v/>
      </c>
      <c r="E1755" s="9" t="str">
        <f>IF(AND(NEGOCIAÇÕES!B1755&lt;&gt;"",NEGOCIAÇÕES!O1755=""),NEGOCIAÇÕES!N1755,"")</f>
        <v/>
      </c>
    </row>
    <row r="1756" spans="2:5" ht="31.95" hidden="1" customHeight="1" x14ac:dyDescent="0.3">
      <c r="B1756" s="6" t="str">
        <f ca="1">IF(AND(NEGOCIAÇÕES!O1756="",NEGOCIAÇÕES!N1756&gt;TODAY()),NEGOCIAÇÕES!C1756,"")</f>
        <v/>
      </c>
      <c r="C1756" s="6" t="str">
        <f ca="1">IF(AND(NEGOCIAÇÕES!O1756="",NEGOCIAÇÕES!N1756&gt;TODAY()),NEGOCIAÇÕES!E1756,"")</f>
        <v/>
      </c>
      <c r="D1756" s="6" t="str">
        <f ca="1">IF(AND(NEGOCIAÇÕES!O1756="",NEGOCIAÇÕES!N1756&gt;TODAY()),NEGOCIAÇÕES!D1756,"")</f>
        <v/>
      </c>
      <c r="E1756" s="9" t="str">
        <f>IF(AND(NEGOCIAÇÕES!B1756&lt;&gt;"",NEGOCIAÇÕES!O1756=""),NEGOCIAÇÕES!N1756,"")</f>
        <v/>
      </c>
    </row>
    <row r="1757" spans="2:5" ht="31.95" hidden="1" customHeight="1" x14ac:dyDescent="0.3">
      <c r="B1757" s="6" t="str">
        <f ca="1">IF(AND(NEGOCIAÇÕES!O1757="",NEGOCIAÇÕES!N1757&gt;TODAY()),NEGOCIAÇÕES!C1757,"")</f>
        <v/>
      </c>
      <c r="C1757" s="6" t="str">
        <f ca="1">IF(AND(NEGOCIAÇÕES!O1757="",NEGOCIAÇÕES!N1757&gt;TODAY()),NEGOCIAÇÕES!E1757,"")</f>
        <v/>
      </c>
      <c r="D1757" s="6" t="str">
        <f ca="1">IF(AND(NEGOCIAÇÕES!O1757="",NEGOCIAÇÕES!N1757&gt;TODAY()),NEGOCIAÇÕES!D1757,"")</f>
        <v/>
      </c>
      <c r="E1757" s="9" t="str">
        <f>IF(AND(NEGOCIAÇÕES!B1757&lt;&gt;"",NEGOCIAÇÕES!O1757=""),NEGOCIAÇÕES!N1757,"")</f>
        <v/>
      </c>
    </row>
    <row r="1758" spans="2:5" ht="31.95" hidden="1" customHeight="1" x14ac:dyDescent="0.3">
      <c r="B1758" s="6" t="str">
        <f ca="1">IF(AND(NEGOCIAÇÕES!O1758="",NEGOCIAÇÕES!N1758&gt;TODAY()),NEGOCIAÇÕES!C1758,"")</f>
        <v/>
      </c>
      <c r="C1758" s="6" t="str">
        <f ca="1">IF(AND(NEGOCIAÇÕES!O1758="",NEGOCIAÇÕES!N1758&gt;TODAY()),NEGOCIAÇÕES!E1758,"")</f>
        <v/>
      </c>
      <c r="D1758" s="6" t="str">
        <f ca="1">IF(AND(NEGOCIAÇÕES!O1758="",NEGOCIAÇÕES!N1758&gt;TODAY()),NEGOCIAÇÕES!D1758,"")</f>
        <v/>
      </c>
      <c r="E1758" s="9" t="str">
        <f>IF(AND(NEGOCIAÇÕES!B1758&lt;&gt;"",NEGOCIAÇÕES!O1758=""),NEGOCIAÇÕES!N1758,"")</f>
        <v/>
      </c>
    </row>
    <row r="1759" spans="2:5" ht="31.95" hidden="1" customHeight="1" x14ac:dyDescent="0.3">
      <c r="B1759" s="6" t="str">
        <f ca="1">IF(AND(NEGOCIAÇÕES!O1759="",NEGOCIAÇÕES!N1759&gt;TODAY()),NEGOCIAÇÕES!C1759,"")</f>
        <v/>
      </c>
      <c r="C1759" s="6" t="str">
        <f ca="1">IF(AND(NEGOCIAÇÕES!O1759="",NEGOCIAÇÕES!N1759&gt;TODAY()),NEGOCIAÇÕES!E1759,"")</f>
        <v/>
      </c>
      <c r="D1759" s="6" t="str">
        <f ca="1">IF(AND(NEGOCIAÇÕES!O1759="",NEGOCIAÇÕES!N1759&gt;TODAY()),NEGOCIAÇÕES!D1759,"")</f>
        <v/>
      </c>
      <c r="E1759" s="9" t="str">
        <f>IF(AND(NEGOCIAÇÕES!B1759&lt;&gt;"",NEGOCIAÇÕES!O1759=""),NEGOCIAÇÕES!N1759,"")</f>
        <v/>
      </c>
    </row>
    <row r="1760" spans="2:5" ht="31.95" hidden="1" customHeight="1" x14ac:dyDescent="0.3">
      <c r="B1760" s="6" t="str">
        <f ca="1">IF(AND(NEGOCIAÇÕES!O1760="",NEGOCIAÇÕES!N1760&gt;TODAY()),NEGOCIAÇÕES!C1760,"")</f>
        <v/>
      </c>
      <c r="C1760" s="6" t="str">
        <f ca="1">IF(AND(NEGOCIAÇÕES!O1760="",NEGOCIAÇÕES!N1760&gt;TODAY()),NEGOCIAÇÕES!E1760,"")</f>
        <v/>
      </c>
      <c r="D1760" s="6" t="str">
        <f ca="1">IF(AND(NEGOCIAÇÕES!O1760="",NEGOCIAÇÕES!N1760&gt;TODAY()),NEGOCIAÇÕES!D1760,"")</f>
        <v/>
      </c>
      <c r="E1760" s="9" t="str">
        <f>IF(AND(NEGOCIAÇÕES!B1760&lt;&gt;"",NEGOCIAÇÕES!O1760=""),NEGOCIAÇÕES!N1760,"")</f>
        <v/>
      </c>
    </row>
    <row r="1761" spans="2:5" ht="31.95" hidden="1" customHeight="1" x14ac:dyDescent="0.3">
      <c r="B1761" s="6" t="str">
        <f ca="1">IF(AND(NEGOCIAÇÕES!O1761="",NEGOCIAÇÕES!N1761&gt;TODAY()),NEGOCIAÇÕES!C1761,"")</f>
        <v/>
      </c>
      <c r="C1761" s="6" t="str">
        <f ca="1">IF(AND(NEGOCIAÇÕES!O1761="",NEGOCIAÇÕES!N1761&gt;TODAY()),NEGOCIAÇÕES!E1761,"")</f>
        <v/>
      </c>
      <c r="D1761" s="6" t="str">
        <f ca="1">IF(AND(NEGOCIAÇÕES!O1761="",NEGOCIAÇÕES!N1761&gt;TODAY()),NEGOCIAÇÕES!D1761,"")</f>
        <v/>
      </c>
      <c r="E1761" s="9" t="str">
        <f>IF(AND(NEGOCIAÇÕES!B1761&lt;&gt;"",NEGOCIAÇÕES!O1761=""),NEGOCIAÇÕES!N1761,"")</f>
        <v/>
      </c>
    </row>
    <row r="1762" spans="2:5" ht="31.95" hidden="1" customHeight="1" x14ac:dyDescent="0.3">
      <c r="B1762" s="6" t="str">
        <f ca="1">IF(AND(NEGOCIAÇÕES!O1762="",NEGOCIAÇÕES!N1762&gt;TODAY()),NEGOCIAÇÕES!C1762,"")</f>
        <v/>
      </c>
      <c r="C1762" s="6" t="str">
        <f ca="1">IF(AND(NEGOCIAÇÕES!O1762="",NEGOCIAÇÕES!N1762&gt;TODAY()),NEGOCIAÇÕES!E1762,"")</f>
        <v/>
      </c>
      <c r="D1762" s="6" t="str">
        <f ca="1">IF(AND(NEGOCIAÇÕES!O1762="",NEGOCIAÇÕES!N1762&gt;TODAY()),NEGOCIAÇÕES!D1762,"")</f>
        <v/>
      </c>
      <c r="E1762" s="9" t="str">
        <f>IF(AND(NEGOCIAÇÕES!B1762&lt;&gt;"",NEGOCIAÇÕES!O1762=""),NEGOCIAÇÕES!N1762,"")</f>
        <v/>
      </c>
    </row>
    <row r="1763" spans="2:5" ht="31.95" hidden="1" customHeight="1" x14ac:dyDescent="0.3">
      <c r="B1763" s="6" t="str">
        <f ca="1">IF(AND(NEGOCIAÇÕES!O1763="",NEGOCIAÇÕES!N1763&gt;TODAY()),NEGOCIAÇÕES!C1763,"")</f>
        <v/>
      </c>
      <c r="C1763" s="6" t="str">
        <f ca="1">IF(AND(NEGOCIAÇÕES!O1763="",NEGOCIAÇÕES!N1763&gt;TODAY()),NEGOCIAÇÕES!E1763,"")</f>
        <v/>
      </c>
      <c r="D1763" s="6" t="str">
        <f ca="1">IF(AND(NEGOCIAÇÕES!O1763="",NEGOCIAÇÕES!N1763&gt;TODAY()),NEGOCIAÇÕES!D1763,"")</f>
        <v/>
      </c>
      <c r="E1763" s="9" t="str">
        <f>IF(AND(NEGOCIAÇÕES!B1763&lt;&gt;"",NEGOCIAÇÕES!O1763=""),NEGOCIAÇÕES!N1763,"")</f>
        <v/>
      </c>
    </row>
    <row r="1764" spans="2:5" ht="31.95" hidden="1" customHeight="1" x14ac:dyDescent="0.3">
      <c r="B1764" s="6" t="str">
        <f ca="1">IF(AND(NEGOCIAÇÕES!O1764="",NEGOCIAÇÕES!N1764&gt;TODAY()),NEGOCIAÇÕES!C1764,"")</f>
        <v/>
      </c>
      <c r="C1764" s="6" t="str">
        <f ca="1">IF(AND(NEGOCIAÇÕES!O1764="",NEGOCIAÇÕES!N1764&gt;TODAY()),NEGOCIAÇÕES!E1764,"")</f>
        <v/>
      </c>
      <c r="D1764" s="6" t="str">
        <f ca="1">IF(AND(NEGOCIAÇÕES!O1764="",NEGOCIAÇÕES!N1764&gt;TODAY()),NEGOCIAÇÕES!D1764,"")</f>
        <v/>
      </c>
      <c r="E1764" s="9" t="str">
        <f>IF(AND(NEGOCIAÇÕES!B1764&lt;&gt;"",NEGOCIAÇÕES!O1764=""),NEGOCIAÇÕES!N1764,"")</f>
        <v/>
      </c>
    </row>
    <row r="1765" spans="2:5" ht="31.95" hidden="1" customHeight="1" x14ac:dyDescent="0.3">
      <c r="B1765" s="6" t="str">
        <f ca="1">IF(AND(NEGOCIAÇÕES!O1765="",NEGOCIAÇÕES!N1765&gt;TODAY()),NEGOCIAÇÕES!C1765,"")</f>
        <v/>
      </c>
      <c r="C1765" s="6" t="str">
        <f ca="1">IF(AND(NEGOCIAÇÕES!O1765="",NEGOCIAÇÕES!N1765&gt;TODAY()),NEGOCIAÇÕES!E1765,"")</f>
        <v/>
      </c>
      <c r="D1765" s="6" t="str">
        <f ca="1">IF(AND(NEGOCIAÇÕES!O1765="",NEGOCIAÇÕES!N1765&gt;TODAY()),NEGOCIAÇÕES!D1765,"")</f>
        <v/>
      </c>
      <c r="E1765" s="9" t="str">
        <f>IF(AND(NEGOCIAÇÕES!B1765&lt;&gt;"",NEGOCIAÇÕES!O1765=""),NEGOCIAÇÕES!N1765,"")</f>
        <v/>
      </c>
    </row>
    <row r="1766" spans="2:5" ht="31.95" hidden="1" customHeight="1" x14ac:dyDescent="0.3">
      <c r="B1766" s="6" t="str">
        <f ca="1">IF(AND(NEGOCIAÇÕES!O1766="",NEGOCIAÇÕES!N1766&gt;TODAY()),NEGOCIAÇÕES!C1766,"")</f>
        <v/>
      </c>
      <c r="C1766" s="6" t="str">
        <f ca="1">IF(AND(NEGOCIAÇÕES!O1766="",NEGOCIAÇÕES!N1766&gt;TODAY()),NEGOCIAÇÕES!E1766,"")</f>
        <v/>
      </c>
      <c r="D1766" s="6" t="str">
        <f ca="1">IF(AND(NEGOCIAÇÕES!O1766="",NEGOCIAÇÕES!N1766&gt;TODAY()),NEGOCIAÇÕES!D1766,"")</f>
        <v/>
      </c>
      <c r="E1766" s="9" t="str">
        <f>IF(AND(NEGOCIAÇÕES!B1766&lt;&gt;"",NEGOCIAÇÕES!O1766=""),NEGOCIAÇÕES!N1766,"")</f>
        <v/>
      </c>
    </row>
    <row r="1767" spans="2:5" ht="31.95" hidden="1" customHeight="1" x14ac:dyDescent="0.3">
      <c r="B1767" s="6" t="str">
        <f ca="1">IF(AND(NEGOCIAÇÕES!O1767="",NEGOCIAÇÕES!N1767&gt;TODAY()),NEGOCIAÇÕES!C1767,"")</f>
        <v/>
      </c>
      <c r="C1767" s="6" t="str">
        <f ca="1">IF(AND(NEGOCIAÇÕES!O1767="",NEGOCIAÇÕES!N1767&gt;TODAY()),NEGOCIAÇÕES!E1767,"")</f>
        <v/>
      </c>
      <c r="D1767" s="6" t="str">
        <f ca="1">IF(AND(NEGOCIAÇÕES!O1767="",NEGOCIAÇÕES!N1767&gt;TODAY()),NEGOCIAÇÕES!D1767,"")</f>
        <v/>
      </c>
      <c r="E1767" s="9" t="str">
        <f>IF(AND(NEGOCIAÇÕES!B1767&lt;&gt;"",NEGOCIAÇÕES!O1767=""),NEGOCIAÇÕES!N1767,"")</f>
        <v/>
      </c>
    </row>
    <row r="1768" spans="2:5" ht="31.95" hidden="1" customHeight="1" x14ac:dyDescent="0.3">
      <c r="B1768" s="6" t="str">
        <f ca="1">IF(AND(NEGOCIAÇÕES!O1768="",NEGOCIAÇÕES!N1768&gt;TODAY()),NEGOCIAÇÕES!C1768,"")</f>
        <v/>
      </c>
      <c r="C1768" s="6" t="str">
        <f ca="1">IF(AND(NEGOCIAÇÕES!O1768="",NEGOCIAÇÕES!N1768&gt;TODAY()),NEGOCIAÇÕES!E1768,"")</f>
        <v/>
      </c>
      <c r="D1768" s="6" t="str">
        <f ca="1">IF(AND(NEGOCIAÇÕES!O1768="",NEGOCIAÇÕES!N1768&gt;TODAY()),NEGOCIAÇÕES!D1768,"")</f>
        <v/>
      </c>
      <c r="E1768" s="9" t="str">
        <f>IF(AND(NEGOCIAÇÕES!B1768&lt;&gt;"",NEGOCIAÇÕES!O1768=""),NEGOCIAÇÕES!N1768,"")</f>
        <v/>
      </c>
    </row>
    <row r="1769" spans="2:5" ht="31.95" hidden="1" customHeight="1" x14ac:dyDescent="0.3">
      <c r="B1769" s="6" t="str">
        <f ca="1">IF(AND(NEGOCIAÇÕES!O1769="",NEGOCIAÇÕES!N1769&gt;TODAY()),NEGOCIAÇÕES!C1769,"")</f>
        <v/>
      </c>
      <c r="C1769" s="6" t="str">
        <f ca="1">IF(AND(NEGOCIAÇÕES!O1769="",NEGOCIAÇÕES!N1769&gt;TODAY()),NEGOCIAÇÕES!E1769,"")</f>
        <v/>
      </c>
      <c r="D1769" s="6" t="str">
        <f ca="1">IF(AND(NEGOCIAÇÕES!O1769="",NEGOCIAÇÕES!N1769&gt;TODAY()),NEGOCIAÇÕES!D1769,"")</f>
        <v/>
      </c>
      <c r="E1769" s="9" t="str">
        <f>IF(AND(NEGOCIAÇÕES!B1769&lt;&gt;"",NEGOCIAÇÕES!O1769=""),NEGOCIAÇÕES!N1769,"")</f>
        <v/>
      </c>
    </row>
    <row r="1770" spans="2:5" ht="31.95" hidden="1" customHeight="1" x14ac:dyDescent="0.3">
      <c r="B1770" s="6" t="str">
        <f ca="1">IF(AND(NEGOCIAÇÕES!O1770="",NEGOCIAÇÕES!N1770&gt;TODAY()),NEGOCIAÇÕES!C1770,"")</f>
        <v/>
      </c>
      <c r="C1770" s="6" t="str">
        <f ca="1">IF(AND(NEGOCIAÇÕES!O1770="",NEGOCIAÇÕES!N1770&gt;TODAY()),NEGOCIAÇÕES!E1770,"")</f>
        <v/>
      </c>
      <c r="D1770" s="6" t="str">
        <f ca="1">IF(AND(NEGOCIAÇÕES!O1770="",NEGOCIAÇÕES!N1770&gt;TODAY()),NEGOCIAÇÕES!D1770,"")</f>
        <v/>
      </c>
      <c r="E1770" s="9" t="str">
        <f>IF(AND(NEGOCIAÇÕES!B1770&lt;&gt;"",NEGOCIAÇÕES!O1770=""),NEGOCIAÇÕES!N1770,"")</f>
        <v/>
      </c>
    </row>
    <row r="1771" spans="2:5" ht="31.95" hidden="1" customHeight="1" x14ac:dyDescent="0.3">
      <c r="B1771" s="6" t="str">
        <f ca="1">IF(AND(NEGOCIAÇÕES!O1771="",NEGOCIAÇÕES!N1771&gt;TODAY()),NEGOCIAÇÕES!C1771,"")</f>
        <v/>
      </c>
      <c r="C1771" s="6" t="str">
        <f ca="1">IF(AND(NEGOCIAÇÕES!O1771="",NEGOCIAÇÕES!N1771&gt;TODAY()),NEGOCIAÇÕES!E1771,"")</f>
        <v/>
      </c>
      <c r="D1771" s="6" t="str">
        <f ca="1">IF(AND(NEGOCIAÇÕES!O1771="",NEGOCIAÇÕES!N1771&gt;TODAY()),NEGOCIAÇÕES!D1771,"")</f>
        <v/>
      </c>
      <c r="E1771" s="9" t="str">
        <f>IF(AND(NEGOCIAÇÕES!B1771&lt;&gt;"",NEGOCIAÇÕES!O1771=""),NEGOCIAÇÕES!N1771,"")</f>
        <v/>
      </c>
    </row>
    <row r="1772" spans="2:5" ht="31.95" hidden="1" customHeight="1" x14ac:dyDescent="0.3">
      <c r="B1772" s="6" t="str">
        <f ca="1">IF(AND(NEGOCIAÇÕES!O1772="",NEGOCIAÇÕES!N1772&gt;TODAY()),NEGOCIAÇÕES!C1772,"")</f>
        <v/>
      </c>
      <c r="C1772" s="6" t="str">
        <f ca="1">IF(AND(NEGOCIAÇÕES!O1772="",NEGOCIAÇÕES!N1772&gt;TODAY()),NEGOCIAÇÕES!E1772,"")</f>
        <v/>
      </c>
      <c r="D1772" s="6" t="str">
        <f ca="1">IF(AND(NEGOCIAÇÕES!O1772="",NEGOCIAÇÕES!N1772&gt;TODAY()),NEGOCIAÇÕES!D1772,"")</f>
        <v/>
      </c>
      <c r="E1772" s="9" t="str">
        <f>IF(AND(NEGOCIAÇÕES!B1772&lt;&gt;"",NEGOCIAÇÕES!O1772=""),NEGOCIAÇÕES!N1772,"")</f>
        <v/>
      </c>
    </row>
    <row r="1773" spans="2:5" ht="31.95" hidden="1" customHeight="1" x14ac:dyDescent="0.3">
      <c r="B1773" s="6" t="str">
        <f ca="1">IF(AND(NEGOCIAÇÕES!O1773="",NEGOCIAÇÕES!N1773&gt;TODAY()),NEGOCIAÇÕES!C1773,"")</f>
        <v/>
      </c>
      <c r="C1773" s="6" t="str">
        <f ca="1">IF(AND(NEGOCIAÇÕES!O1773="",NEGOCIAÇÕES!N1773&gt;TODAY()),NEGOCIAÇÕES!E1773,"")</f>
        <v/>
      </c>
      <c r="D1773" s="6" t="str">
        <f ca="1">IF(AND(NEGOCIAÇÕES!O1773="",NEGOCIAÇÕES!N1773&gt;TODAY()),NEGOCIAÇÕES!D1773,"")</f>
        <v/>
      </c>
      <c r="E1773" s="9" t="str">
        <f>IF(AND(NEGOCIAÇÕES!B1773&lt;&gt;"",NEGOCIAÇÕES!O1773=""),NEGOCIAÇÕES!N1773,"")</f>
        <v/>
      </c>
    </row>
    <row r="1774" spans="2:5" ht="31.95" hidden="1" customHeight="1" x14ac:dyDescent="0.3">
      <c r="B1774" s="6" t="str">
        <f ca="1">IF(AND(NEGOCIAÇÕES!O1774="",NEGOCIAÇÕES!N1774&gt;TODAY()),NEGOCIAÇÕES!C1774,"")</f>
        <v/>
      </c>
      <c r="C1774" s="6" t="str">
        <f ca="1">IF(AND(NEGOCIAÇÕES!O1774="",NEGOCIAÇÕES!N1774&gt;TODAY()),NEGOCIAÇÕES!E1774,"")</f>
        <v/>
      </c>
      <c r="D1774" s="6" t="str">
        <f ca="1">IF(AND(NEGOCIAÇÕES!O1774="",NEGOCIAÇÕES!N1774&gt;TODAY()),NEGOCIAÇÕES!D1774,"")</f>
        <v/>
      </c>
      <c r="E1774" s="9" t="str">
        <f>IF(AND(NEGOCIAÇÕES!B1774&lt;&gt;"",NEGOCIAÇÕES!O1774=""),NEGOCIAÇÕES!N1774,"")</f>
        <v/>
      </c>
    </row>
    <row r="1775" spans="2:5" ht="31.95" hidden="1" customHeight="1" x14ac:dyDescent="0.3">
      <c r="B1775" s="6" t="str">
        <f ca="1">IF(AND(NEGOCIAÇÕES!O1775="",NEGOCIAÇÕES!N1775&gt;TODAY()),NEGOCIAÇÕES!C1775,"")</f>
        <v/>
      </c>
      <c r="C1775" s="6" t="str">
        <f ca="1">IF(AND(NEGOCIAÇÕES!O1775="",NEGOCIAÇÕES!N1775&gt;TODAY()),NEGOCIAÇÕES!E1775,"")</f>
        <v/>
      </c>
      <c r="D1775" s="6" t="str">
        <f ca="1">IF(AND(NEGOCIAÇÕES!O1775="",NEGOCIAÇÕES!N1775&gt;TODAY()),NEGOCIAÇÕES!D1775,"")</f>
        <v/>
      </c>
      <c r="E1775" s="9" t="str">
        <f>IF(AND(NEGOCIAÇÕES!B1775&lt;&gt;"",NEGOCIAÇÕES!O1775=""),NEGOCIAÇÕES!N1775,"")</f>
        <v/>
      </c>
    </row>
    <row r="1776" spans="2:5" ht="31.95" hidden="1" customHeight="1" x14ac:dyDescent="0.3">
      <c r="B1776" s="6" t="str">
        <f ca="1">IF(AND(NEGOCIAÇÕES!O1776="",NEGOCIAÇÕES!N1776&gt;TODAY()),NEGOCIAÇÕES!C1776,"")</f>
        <v/>
      </c>
      <c r="C1776" s="6" t="str">
        <f ca="1">IF(AND(NEGOCIAÇÕES!O1776="",NEGOCIAÇÕES!N1776&gt;TODAY()),NEGOCIAÇÕES!E1776,"")</f>
        <v/>
      </c>
      <c r="D1776" s="6" t="str">
        <f ca="1">IF(AND(NEGOCIAÇÕES!O1776="",NEGOCIAÇÕES!N1776&gt;TODAY()),NEGOCIAÇÕES!D1776,"")</f>
        <v/>
      </c>
      <c r="E1776" s="9" t="str">
        <f>IF(AND(NEGOCIAÇÕES!B1776&lt;&gt;"",NEGOCIAÇÕES!O1776=""),NEGOCIAÇÕES!N1776,"")</f>
        <v/>
      </c>
    </row>
    <row r="1777" spans="2:5" ht="31.95" hidden="1" customHeight="1" x14ac:dyDescent="0.3">
      <c r="B1777" s="6" t="str">
        <f ca="1">IF(AND(NEGOCIAÇÕES!O1777="",NEGOCIAÇÕES!N1777&gt;TODAY()),NEGOCIAÇÕES!C1777,"")</f>
        <v/>
      </c>
      <c r="C1777" s="6" t="str">
        <f ca="1">IF(AND(NEGOCIAÇÕES!O1777="",NEGOCIAÇÕES!N1777&gt;TODAY()),NEGOCIAÇÕES!E1777,"")</f>
        <v/>
      </c>
      <c r="D1777" s="6" t="str">
        <f ca="1">IF(AND(NEGOCIAÇÕES!O1777="",NEGOCIAÇÕES!N1777&gt;TODAY()),NEGOCIAÇÕES!D1777,"")</f>
        <v/>
      </c>
      <c r="E1777" s="9" t="str">
        <f>IF(AND(NEGOCIAÇÕES!B1777&lt;&gt;"",NEGOCIAÇÕES!O1777=""),NEGOCIAÇÕES!N1777,"")</f>
        <v/>
      </c>
    </row>
    <row r="1778" spans="2:5" ht="31.95" hidden="1" customHeight="1" x14ac:dyDescent="0.3">
      <c r="B1778" s="6" t="str">
        <f ca="1">IF(AND(NEGOCIAÇÕES!O1778="",NEGOCIAÇÕES!N1778&gt;TODAY()),NEGOCIAÇÕES!C1778,"")</f>
        <v/>
      </c>
      <c r="C1778" s="6" t="str">
        <f ca="1">IF(AND(NEGOCIAÇÕES!O1778="",NEGOCIAÇÕES!N1778&gt;TODAY()),NEGOCIAÇÕES!E1778,"")</f>
        <v/>
      </c>
      <c r="D1778" s="6" t="str">
        <f ca="1">IF(AND(NEGOCIAÇÕES!O1778="",NEGOCIAÇÕES!N1778&gt;TODAY()),NEGOCIAÇÕES!D1778,"")</f>
        <v/>
      </c>
      <c r="E1778" s="9" t="str">
        <f>IF(AND(NEGOCIAÇÕES!B1778&lt;&gt;"",NEGOCIAÇÕES!O1778=""),NEGOCIAÇÕES!N1778,"")</f>
        <v/>
      </c>
    </row>
    <row r="1779" spans="2:5" ht="31.95" hidden="1" customHeight="1" x14ac:dyDescent="0.3">
      <c r="B1779" s="6" t="str">
        <f ca="1">IF(AND(NEGOCIAÇÕES!O1779="",NEGOCIAÇÕES!N1779&gt;TODAY()),NEGOCIAÇÕES!C1779,"")</f>
        <v/>
      </c>
      <c r="C1779" s="6" t="str">
        <f ca="1">IF(AND(NEGOCIAÇÕES!O1779="",NEGOCIAÇÕES!N1779&gt;TODAY()),NEGOCIAÇÕES!E1779,"")</f>
        <v/>
      </c>
      <c r="D1779" s="6" t="str">
        <f ca="1">IF(AND(NEGOCIAÇÕES!O1779="",NEGOCIAÇÕES!N1779&gt;TODAY()),NEGOCIAÇÕES!D1779,"")</f>
        <v/>
      </c>
      <c r="E1779" s="9" t="str">
        <f>IF(AND(NEGOCIAÇÕES!B1779&lt;&gt;"",NEGOCIAÇÕES!O1779=""),NEGOCIAÇÕES!N1779,"")</f>
        <v/>
      </c>
    </row>
    <row r="1780" spans="2:5" ht="31.95" hidden="1" customHeight="1" x14ac:dyDescent="0.3">
      <c r="B1780" s="6" t="str">
        <f ca="1">IF(AND(NEGOCIAÇÕES!O1780="",NEGOCIAÇÕES!N1780&gt;TODAY()),NEGOCIAÇÕES!C1780,"")</f>
        <v/>
      </c>
      <c r="C1780" s="6" t="str">
        <f ca="1">IF(AND(NEGOCIAÇÕES!O1780="",NEGOCIAÇÕES!N1780&gt;TODAY()),NEGOCIAÇÕES!E1780,"")</f>
        <v/>
      </c>
      <c r="D1780" s="6" t="str">
        <f ca="1">IF(AND(NEGOCIAÇÕES!O1780="",NEGOCIAÇÕES!N1780&gt;TODAY()),NEGOCIAÇÕES!D1780,"")</f>
        <v/>
      </c>
      <c r="E1780" s="9" t="str">
        <f>IF(AND(NEGOCIAÇÕES!B1780&lt;&gt;"",NEGOCIAÇÕES!O1780=""),NEGOCIAÇÕES!N1780,"")</f>
        <v/>
      </c>
    </row>
    <row r="1781" spans="2:5" ht="31.95" hidden="1" customHeight="1" x14ac:dyDescent="0.3">
      <c r="B1781" s="6" t="str">
        <f ca="1">IF(AND(NEGOCIAÇÕES!O1781="",NEGOCIAÇÕES!N1781&gt;TODAY()),NEGOCIAÇÕES!C1781,"")</f>
        <v/>
      </c>
      <c r="C1781" s="6" t="str">
        <f ca="1">IF(AND(NEGOCIAÇÕES!O1781="",NEGOCIAÇÕES!N1781&gt;TODAY()),NEGOCIAÇÕES!E1781,"")</f>
        <v/>
      </c>
      <c r="D1781" s="6" t="str">
        <f ca="1">IF(AND(NEGOCIAÇÕES!O1781="",NEGOCIAÇÕES!N1781&gt;TODAY()),NEGOCIAÇÕES!D1781,"")</f>
        <v/>
      </c>
      <c r="E1781" s="9" t="str">
        <f>IF(AND(NEGOCIAÇÕES!B1781&lt;&gt;"",NEGOCIAÇÕES!O1781=""),NEGOCIAÇÕES!N1781,"")</f>
        <v/>
      </c>
    </row>
    <row r="1782" spans="2:5" ht="31.95" hidden="1" customHeight="1" x14ac:dyDescent="0.3">
      <c r="B1782" s="6" t="str">
        <f ca="1">IF(AND(NEGOCIAÇÕES!O1782="",NEGOCIAÇÕES!N1782&gt;TODAY()),NEGOCIAÇÕES!C1782,"")</f>
        <v/>
      </c>
      <c r="C1782" s="6" t="str">
        <f ca="1">IF(AND(NEGOCIAÇÕES!O1782="",NEGOCIAÇÕES!N1782&gt;TODAY()),NEGOCIAÇÕES!E1782,"")</f>
        <v/>
      </c>
      <c r="D1782" s="6" t="str">
        <f ca="1">IF(AND(NEGOCIAÇÕES!O1782="",NEGOCIAÇÕES!N1782&gt;TODAY()),NEGOCIAÇÕES!D1782,"")</f>
        <v/>
      </c>
      <c r="E1782" s="9" t="str">
        <f>IF(AND(NEGOCIAÇÕES!B1782&lt;&gt;"",NEGOCIAÇÕES!O1782=""),NEGOCIAÇÕES!N1782,"")</f>
        <v/>
      </c>
    </row>
    <row r="1783" spans="2:5" ht="31.95" hidden="1" customHeight="1" x14ac:dyDescent="0.3">
      <c r="B1783" s="6" t="str">
        <f ca="1">IF(AND(NEGOCIAÇÕES!O1783="",NEGOCIAÇÕES!N1783&gt;TODAY()),NEGOCIAÇÕES!C1783,"")</f>
        <v/>
      </c>
      <c r="C1783" s="6" t="str">
        <f ca="1">IF(AND(NEGOCIAÇÕES!O1783="",NEGOCIAÇÕES!N1783&gt;TODAY()),NEGOCIAÇÕES!E1783,"")</f>
        <v/>
      </c>
      <c r="D1783" s="6" t="str">
        <f ca="1">IF(AND(NEGOCIAÇÕES!O1783="",NEGOCIAÇÕES!N1783&gt;TODAY()),NEGOCIAÇÕES!D1783,"")</f>
        <v/>
      </c>
      <c r="E1783" s="9" t="str">
        <f>IF(AND(NEGOCIAÇÕES!B1783&lt;&gt;"",NEGOCIAÇÕES!O1783=""),NEGOCIAÇÕES!N1783,"")</f>
        <v/>
      </c>
    </row>
    <row r="1784" spans="2:5" ht="31.95" hidden="1" customHeight="1" x14ac:dyDescent="0.3">
      <c r="B1784" s="6" t="str">
        <f ca="1">IF(AND(NEGOCIAÇÕES!O1784="",NEGOCIAÇÕES!N1784&gt;TODAY()),NEGOCIAÇÕES!C1784,"")</f>
        <v/>
      </c>
      <c r="C1784" s="6" t="str">
        <f ca="1">IF(AND(NEGOCIAÇÕES!O1784="",NEGOCIAÇÕES!N1784&gt;TODAY()),NEGOCIAÇÕES!E1784,"")</f>
        <v/>
      </c>
      <c r="D1784" s="6" t="str">
        <f ca="1">IF(AND(NEGOCIAÇÕES!O1784="",NEGOCIAÇÕES!N1784&gt;TODAY()),NEGOCIAÇÕES!D1784,"")</f>
        <v/>
      </c>
      <c r="E1784" s="9" t="str">
        <f>IF(AND(NEGOCIAÇÕES!B1784&lt;&gt;"",NEGOCIAÇÕES!O1784=""),NEGOCIAÇÕES!N1784,"")</f>
        <v/>
      </c>
    </row>
    <row r="1785" spans="2:5" ht="31.95" hidden="1" customHeight="1" x14ac:dyDescent="0.3">
      <c r="B1785" s="6" t="str">
        <f ca="1">IF(AND(NEGOCIAÇÕES!O1785="",NEGOCIAÇÕES!N1785&gt;TODAY()),NEGOCIAÇÕES!C1785,"")</f>
        <v/>
      </c>
      <c r="C1785" s="6" t="str">
        <f ca="1">IF(AND(NEGOCIAÇÕES!O1785="",NEGOCIAÇÕES!N1785&gt;TODAY()),NEGOCIAÇÕES!E1785,"")</f>
        <v/>
      </c>
      <c r="D1785" s="6" t="str">
        <f ca="1">IF(AND(NEGOCIAÇÕES!O1785="",NEGOCIAÇÕES!N1785&gt;TODAY()),NEGOCIAÇÕES!D1785,"")</f>
        <v/>
      </c>
      <c r="E1785" s="9" t="str">
        <f>IF(AND(NEGOCIAÇÕES!B1785&lt;&gt;"",NEGOCIAÇÕES!O1785=""),NEGOCIAÇÕES!N1785,"")</f>
        <v/>
      </c>
    </row>
    <row r="1786" spans="2:5" ht="31.95" hidden="1" customHeight="1" x14ac:dyDescent="0.3">
      <c r="B1786" s="6" t="str">
        <f ca="1">IF(AND(NEGOCIAÇÕES!O1786="",NEGOCIAÇÕES!N1786&gt;TODAY()),NEGOCIAÇÕES!C1786,"")</f>
        <v/>
      </c>
      <c r="C1786" s="6" t="str">
        <f ca="1">IF(AND(NEGOCIAÇÕES!O1786="",NEGOCIAÇÕES!N1786&gt;TODAY()),NEGOCIAÇÕES!E1786,"")</f>
        <v/>
      </c>
      <c r="D1786" s="6" t="str">
        <f ca="1">IF(AND(NEGOCIAÇÕES!O1786="",NEGOCIAÇÕES!N1786&gt;TODAY()),NEGOCIAÇÕES!D1786,"")</f>
        <v/>
      </c>
      <c r="E1786" s="9" t="str">
        <f>IF(AND(NEGOCIAÇÕES!B1786&lt;&gt;"",NEGOCIAÇÕES!O1786=""),NEGOCIAÇÕES!N1786,"")</f>
        <v/>
      </c>
    </row>
    <row r="1787" spans="2:5" ht="31.95" hidden="1" customHeight="1" x14ac:dyDescent="0.3">
      <c r="B1787" s="6" t="str">
        <f ca="1">IF(AND(NEGOCIAÇÕES!O1787="",NEGOCIAÇÕES!N1787&gt;TODAY()),NEGOCIAÇÕES!C1787,"")</f>
        <v/>
      </c>
      <c r="C1787" s="6" t="str">
        <f ca="1">IF(AND(NEGOCIAÇÕES!O1787="",NEGOCIAÇÕES!N1787&gt;TODAY()),NEGOCIAÇÕES!E1787,"")</f>
        <v/>
      </c>
      <c r="D1787" s="6" t="str">
        <f ca="1">IF(AND(NEGOCIAÇÕES!O1787="",NEGOCIAÇÕES!N1787&gt;TODAY()),NEGOCIAÇÕES!D1787,"")</f>
        <v/>
      </c>
      <c r="E1787" s="9" t="str">
        <f>IF(AND(NEGOCIAÇÕES!B1787&lt;&gt;"",NEGOCIAÇÕES!O1787=""),NEGOCIAÇÕES!N1787,"")</f>
        <v/>
      </c>
    </row>
    <row r="1788" spans="2:5" ht="31.95" hidden="1" customHeight="1" x14ac:dyDescent="0.3">
      <c r="B1788" s="6" t="str">
        <f ca="1">IF(AND(NEGOCIAÇÕES!O1788="",NEGOCIAÇÕES!N1788&gt;TODAY()),NEGOCIAÇÕES!C1788,"")</f>
        <v/>
      </c>
      <c r="C1788" s="6" t="str">
        <f ca="1">IF(AND(NEGOCIAÇÕES!O1788="",NEGOCIAÇÕES!N1788&gt;TODAY()),NEGOCIAÇÕES!E1788,"")</f>
        <v/>
      </c>
      <c r="D1788" s="6" t="str">
        <f ca="1">IF(AND(NEGOCIAÇÕES!O1788="",NEGOCIAÇÕES!N1788&gt;TODAY()),NEGOCIAÇÕES!D1788,"")</f>
        <v/>
      </c>
      <c r="E1788" s="9" t="str">
        <f>IF(AND(NEGOCIAÇÕES!B1788&lt;&gt;"",NEGOCIAÇÕES!O1788=""),NEGOCIAÇÕES!N1788,"")</f>
        <v/>
      </c>
    </row>
    <row r="1789" spans="2:5" ht="31.95" hidden="1" customHeight="1" x14ac:dyDescent="0.3">
      <c r="B1789" s="6" t="str">
        <f ca="1">IF(AND(NEGOCIAÇÕES!O1789="",NEGOCIAÇÕES!N1789&gt;TODAY()),NEGOCIAÇÕES!C1789,"")</f>
        <v/>
      </c>
      <c r="C1789" s="6" t="str">
        <f ca="1">IF(AND(NEGOCIAÇÕES!O1789="",NEGOCIAÇÕES!N1789&gt;TODAY()),NEGOCIAÇÕES!E1789,"")</f>
        <v/>
      </c>
      <c r="D1789" s="6" t="str">
        <f ca="1">IF(AND(NEGOCIAÇÕES!O1789="",NEGOCIAÇÕES!N1789&gt;TODAY()),NEGOCIAÇÕES!D1789,"")</f>
        <v/>
      </c>
      <c r="E1789" s="9" t="str">
        <f>IF(AND(NEGOCIAÇÕES!B1789&lt;&gt;"",NEGOCIAÇÕES!O1789=""),NEGOCIAÇÕES!N1789,"")</f>
        <v/>
      </c>
    </row>
    <row r="1790" spans="2:5" ht="31.95" hidden="1" customHeight="1" x14ac:dyDescent="0.3">
      <c r="B1790" s="6" t="str">
        <f ca="1">IF(AND(NEGOCIAÇÕES!O1790="",NEGOCIAÇÕES!N1790&gt;TODAY()),NEGOCIAÇÕES!C1790,"")</f>
        <v/>
      </c>
      <c r="C1790" s="6" t="str">
        <f ca="1">IF(AND(NEGOCIAÇÕES!O1790="",NEGOCIAÇÕES!N1790&gt;TODAY()),NEGOCIAÇÕES!E1790,"")</f>
        <v/>
      </c>
      <c r="D1790" s="6" t="str">
        <f ca="1">IF(AND(NEGOCIAÇÕES!O1790="",NEGOCIAÇÕES!N1790&gt;TODAY()),NEGOCIAÇÕES!D1790,"")</f>
        <v/>
      </c>
      <c r="E1790" s="9" t="str">
        <f>IF(AND(NEGOCIAÇÕES!B1790&lt;&gt;"",NEGOCIAÇÕES!O1790=""),NEGOCIAÇÕES!N1790,"")</f>
        <v/>
      </c>
    </row>
    <row r="1791" spans="2:5" ht="31.95" hidden="1" customHeight="1" x14ac:dyDescent="0.3">
      <c r="B1791" s="6" t="str">
        <f ca="1">IF(AND(NEGOCIAÇÕES!O1791="",NEGOCIAÇÕES!N1791&gt;TODAY()),NEGOCIAÇÕES!C1791,"")</f>
        <v/>
      </c>
      <c r="C1791" s="6" t="str">
        <f ca="1">IF(AND(NEGOCIAÇÕES!O1791="",NEGOCIAÇÕES!N1791&gt;TODAY()),NEGOCIAÇÕES!E1791,"")</f>
        <v/>
      </c>
      <c r="D1791" s="6" t="str">
        <f ca="1">IF(AND(NEGOCIAÇÕES!O1791="",NEGOCIAÇÕES!N1791&gt;TODAY()),NEGOCIAÇÕES!D1791,"")</f>
        <v/>
      </c>
      <c r="E1791" s="9" t="str">
        <f>IF(AND(NEGOCIAÇÕES!B1791&lt;&gt;"",NEGOCIAÇÕES!O1791=""),NEGOCIAÇÕES!N1791,"")</f>
        <v/>
      </c>
    </row>
    <row r="1792" spans="2:5" ht="31.95" hidden="1" customHeight="1" x14ac:dyDescent="0.3">
      <c r="B1792" s="6" t="str">
        <f ca="1">IF(AND(NEGOCIAÇÕES!O1792="",NEGOCIAÇÕES!N1792&gt;TODAY()),NEGOCIAÇÕES!C1792,"")</f>
        <v/>
      </c>
      <c r="C1792" s="6" t="str">
        <f ca="1">IF(AND(NEGOCIAÇÕES!O1792="",NEGOCIAÇÕES!N1792&gt;TODAY()),NEGOCIAÇÕES!E1792,"")</f>
        <v/>
      </c>
      <c r="D1792" s="6" t="str">
        <f ca="1">IF(AND(NEGOCIAÇÕES!O1792="",NEGOCIAÇÕES!N1792&gt;TODAY()),NEGOCIAÇÕES!D1792,"")</f>
        <v/>
      </c>
      <c r="E1792" s="9" t="str">
        <f>IF(AND(NEGOCIAÇÕES!B1792&lt;&gt;"",NEGOCIAÇÕES!O1792=""),NEGOCIAÇÕES!N1792,"")</f>
        <v/>
      </c>
    </row>
    <row r="1793" spans="2:5" ht="31.95" hidden="1" customHeight="1" x14ac:dyDescent="0.3">
      <c r="B1793" s="6" t="str">
        <f ca="1">IF(AND(NEGOCIAÇÕES!O1793="",NEGOCIAÇÕES!N1793&gt;TODAY()),NEGOCIAÇÕES!C1793,"")</f>
        <v/>
      </c>
      <c r="C1793" s="6" t="str">
        <f ca="1">IF(AND(NEGOCIAÇÕES!O1793="",NEGOCIAÇÕES!N1793&gt;TODAY()),NEGOCIAÇÕES!E1793,"")</f>
        <v/>
      </c>
      <c r="D1793" s="6" t="str">
        <f ca="1">IF(AND(NEGOCIAÇÕES!O1793="",NEGOCIAÇÕES!N1793&gt;TODAY()),NEGOCIAÇÕES!D1793,"")</f>
        <v/>
      </c>
      <c r="E1793" s="9" t="str">
        <f>IF(AND(NEGOCIAÇÕES!B1793&lt;&gt;"",NEGOCIAÇÕES!O1793=""),NEGOCIAÇÕES!N1793,"")</f>
        <v/>
      </c>
    </row>
    <row r="1794" spans="2:5" ht="31.95" hidden="1" customHeight="1" x14ac:dyDescent="0.3">
      <c r="B1794" s="6" t="str">
        <f ca="1">IF(AND(NEGOCIAÇÕES!O1794="",NEGOCIAÇÕES!N1794&gt;TODAY()),NEGOCIAÇÕES!C1794,"")</f>
        <v/>
      </c>
      <c r="C1794" s="6" t="str">
        <f ca="1">IF(AND(NEGOCIAÇÕES!O1794="",NEGOCIAÇÕES!N1794&gt;TODAY()),NEGOCIAÇÕES!E1794,"")</f>
        <v/>
      </c>
      <c r="D1794" s="6" t="str">
        <f ca="1">IF(AND(NEGOCIAÇÕES!O1794="",NEGOCIAÇÕES!N1794&gt;TODAY()),NEGOCIAÇÕES!D1794,"")</f>
        <v/>
      </c>
      <c r="E1794" s="9" t="str">
        <f>IF(AND(NEGOCIAÇÕES!B1794&lt;&gt;"",NEGOCIAÇÕES!O1794=""),NEGOCIAÇÕES!N1794,"")</f>
        <v/>
      </c>
    </row>
    <row r="1795" spans="2:5" ht="31.95" hidden="1" customHeight="1" x14ac:dyDescent="0.3">
      <c r="B1795" s="6" t="str">
        <f ca="1">IF(AND(NEGOCIAÇÕES!O1795="",NEGOCIAÇÕES!N1795&gt;TODAY()),NEGOCIAÇÕES!C1795,"")</f>
        <v/>
      </c>
      <c r="C1795" s="6" t="str">
        <f ca="1">IF(AND(NEGOCIAÇÕES!O1795="",NEGOCIAÇÕES!N1795&gt;TODAY()),NEGOCIAÇÕES!E1795,"")</f>
        <v/>
      </c>
      <c r="D1795" s="6" t="str">
        <f ca="1">IF(AND(NEGOCIAÇÕES!O1795="",NEGOCIAÇÕES!N1795&gt;TODAY()),NEGOCIAÇÕES!D1795,"")</f>
        <v/>
      </c>
      <c r="E1795" s="9" t="str">
        <f>IF(AND(NEGOCIAÇÕES!B1795&lt;&gt;"",NEGOCIAÇÕES!O1795=""),NEGOCIAÇÕES!N1795,"")</f>
        <v/>
      </c>
    </row>
    <row r="1796" spans="2:5" ht="31.95" hidden="1" customHeight="1" x14ac:dyDescent="0.3">
      <c r="B1796" s="6" t="str">
        <f ca="1">IF(AND(NEGOCIAÇÕES!O1796="",NEGOCIAÇÕES!N1796&gt;TODAY()),NEGOCIAÇÕES!C1796,"")</f>
        <v/>
      </c>
      <c r="C1796" s="6" t="str">
        <f ca="1">IF(AND(NEGOCIAÇÕES!O1796="",NEGOCIAÇÕES!N1796&gt;TODAY()),NEGOCIAÇÕES!E1796,"")</f>
        <v/>
      </c>
      <c r="D1796" s="6" t="str">
        <f ca="1">IF(AND(NEGOCIAÇÕES!O1796="",NEGOCIAÇÕES!N1796&gt;TODAY()),NEGOCIAÇÕES!D1796,"")</f>
        <v/>
      </c>
      <c r="E1796" s="9" t="str">
        <f>IF(AND(NEGOCIAÇÕES!B1796&lt;&gt;"",NEGOCIAÇÕES!O1796=""),NEGOCIAÇÕES!N1796,"")</f>
        <v/>
      </c>
    </row>
    <row r="1797" spans="2:5" ht="31.95" hidden="1" customHeight="1" x14ac:dyDescent="0.3">
      <c r="B1797" s="6" t="str">
        <f ca="1">IF(AND(NEGOCIAÇÕES!O1797="",NEGOCIAÇÕES!N1797&gt;TODAY()),NEGOCIAÇÕES!C1797,"")</f>
        <v/>
      </c>
      <c r="C1797" s="6" t="str">
        <f ca="1">IF(AND(NEGOCIAÇÕES!O1797="",NEGOCIAÇÕES!N1797&gt;TODAY()),NEGOCIAÇÕES!E1797,"")</f>
        <v/>
      </c>
      <c r="D1797" s="6" t="str">
        <f ca="1">IF(AND(NEGOCIAÇÕES!O1797="",NEGOCIAÇÕES!N1797&gt;TODAY()),NEGOCIAÇÕES!D1797,"")</f>
        <v/>
      </c>
      <c r="E1797" s="9" t="str">
        <f>IF(AND(NEGOCIAÇÕES!B1797&lt;&gt;"",NEGOCIAÇÕES!O1797=""),NEGOCIAÇÕES!N1797,"")</f>
        <v/>
      </c>
    </row>
    <row r="1798" spans="2:5" ht="31.95" hidden="1" customHeight="1" x14ac:dyDescent="0.3">
      <c r="B1798" s="6" t="str">
        <f ca="1">IF(AND(NEGOCIAÇÕES!O1798="",NEGOCIAÇÕES!N1798&gt;TODAY()),NEGOCIAÇÕES!C1798,"")</f>
        <v/>
      </c>
      <c r="C1798" s="6" t="str">
        <f ca="1">IF(AND(NEGOCIAÇÕES!O1798="",NEGOCIAÇÕES!N1798&gt;TODAY()),NEGOCIAÇÕES!E1798,"")</f>
        <v/>
      </c>
      <c r="D1798" s="6" t="str">
        <f ca="1">IF(AND(NEGOCIAÇÕES!O1798="",NEGOCIAÇÕES!N1798&gt;TODAY()),NEGOCIAÇÕES!D1798,"")</f>
        <v/>
      </c>
      <c r="E1798" s="9" t="str">
        <f>IF(AND(NEGOCIAÇÕES!B1798&lt;&gt;"",NEGOCIAÇÕES!O1798=""),NEGOCIAÇÕES!N1798,"")</f>
        <v/>
      </c>
    </row>
    <row r="1799" spans="2:5" ht="31.95" hidden="1" customHeight="1" x14ac:dyDescent="0.3">
      <c r="B1799" s="6" t="str">
        <f ca="1">IF(AND(NEGOCIAÇÕES!O1799="",NEGOCIAÇÕES!N1799&gt;TODAY()),NEGOCIAÇÕES!C1799,"")</f>
        <v/>
      </c>
      <c r="C1799" s="6" t="str">
        <f ca="1">IF(AND(NEGOCIAÇÕES!O1799="",NEGOCIAÇÕES!N1799&gt;TODAY()),NEGOCIAÇÕES!E1799,"")</f>
        <v/>
      </c>
      <c r="D1799" s="6" t="str">
        <f ca="1">IF(AND(NEGOCIAÇÕES!O1799="",NEGOCIAÇÕES!N1799&gt;TODAY()),NEGOCIAÇÕES!D1799,"")</f>
        <v/>
      </c>
      <c r="E1799" s="9" t="str">
        <f>IF(AND(NEGOCIAÇÕES!B1799&lt;&gt;"",NEGOCIAÇÕES!O1799=""),NEGOCIAÇÕES!N1799,"")</f>
        <v/>
      </c>
    </row>
    <row r="1800" spans="2:5" ht="31.95" hidden="1" customHeight="1" x14ac:dyDescent="0.3">
      <c r="B1800" s="6" t="str">
        <f ca="1">IF(AND(NEGOCIAÇÕES!O1800="",NEGOCIAÇÕES!N1800&gt;TODAY()),NEGOCIAÇÕES!C1800,"")</f>
        <v/>
      </c>
      <c r="C1800" s="6" t="str">
        <f ca="1">IF(AND(NEGOCIAÇÕES!O1800="",NEGOCIAÇÕES!N1800&gt;TODAY()),NEGOCIAÇÕES!E1800,"")</f>
        <v/>
      </c>
      <c r="D1800" s="6" t="str">
        <f ca="1">IF(AND(NEGOCIAÇÕES!O1800="",NEGOCIAÇÕES!N1800&gt;TODAY()),NEGOCIAÇÕES!D1800,"")</f>
        <v/>
      </c>
      <c r="E1800" s="9" t="str">
        <f>IF(AND(NEGOCIAÇÕES!B1800&lt;&gt;"",NEGOCIAÇÕES!O1800=""),NEGOCIAÇÕES!N1800,"")</f>
        <v/>
      </c>
    </row>
    <row r="1801" spans="2:5" ht="31.95" hidden="1" customHeight="1" x14ac:dyDescent="0.3">
      <c r="B1801" s="6" t="str">
        <f ca="1">IF(AND(NEGOCIAÇÕES!O1801="",NEGOCIAÇÕES!N1801&gt;TODAY()),NEGOCIAÇÕES!C1801,"")</f>
        <v/>
      </c>
      <c r="C1801" s="6" t="str">
        <f ca="1">IF(AND(NEGOCIAÇÕES!O1801="",NEGOCIAÇÕES!N1801&gt;TODAY()),NEGOCIAÇÕES!E1801,"")</f>
        <v/>
      </c>
      <c r="D1801" s="6" t="str">
        <f ca="1">IF(AND(NEGOCIAÇÕES!O1801="",NEGOCIAÇÕES!N1801&gt;TODAY()),NEGOCIAÇÕES!D1801,"")</f>
        <v/>
      </c>
      <c r="E1801" s="9" t="str">
        <f>IF(AND(NEGOCIAÇÕES!B1801&lt;&gt;"",NEGOCIAÇÕES!O1801=""),NEGOCIAÇÕES!N1801,"")</f>
        <v/>
      </c>
    </row>
    <row r="1802" spans="2:5" ht="31.95" hidden="1" customHeight="1" x14ac:dyDescent="0.3">
      <c r="B1802" s="6" t="str">
        <f ca="1">IF(AND(NEGOCIAÇÕES!O1802="",NEGOCIAÇÕES!N1802&gt;TODAY()),NEGOCIAÇÕES!C1802,"")</f>
        <v/>
      </c>
      <c r="C1802" s="6" t="str">
        <f ca="1">IF(AND(NEGOCIAÇÕES!O1802="",NEGOCIAÇÕES!N1802&gt;TODAY()),NEGOCIAÇÕES!E1802,"")</f>
        <v/>
      </c>
      <c r="D1802" s="6" t="str">
        <f ca="1">IF(AND(NEGOCIAÇÕES!O1802="",NEGOCIAÇÕES!N1802&gt;TODAY()),NEGOCIAÇÕES!D1802,"")</f>
        <v/>
      </c>
      <c r="E1802" s="9" t="str">
        <f>IF(AND(NEGOCIAÇÕES!B1802&lt;&gt;"",NEGOCIAÇÕES!O1802=""),NEGOCIAÇÕES!N1802,"")</f>
        <v/>
      </c>
    </row>
    <row r="1803" spans="2:5" ht="31.95" hidden="1" customHeight="1" x14ac:dyDescent="0.3">
      <c r="B1803" s="6" t="str">
        <f ca="1">IF(AND(NEGOCIAÇÕES!O1803="",NEGOCIAÇÕES!N1803&gt;TODAY()),NEGOCIAÇÕES!C1803,"")</f>
        <v/>
      </c>
      <c r="C1803" s="6" t="str">
        <f ca="1">IF(AND(NEGOCIAÇÕES!O1803="",NEGOCIAÇÕES!N1803&gt;TODAY()),NEGOCIAÇÕES!E1803,"")</f>
        <v/>
      </c>
      <c r="D1803" s="6" t="str">
        <f ca="1">IF(AND(NEGOCIAÇÕES!O1803="",NEGOCIAÇÕES!N1803&gt;TODAY()),NEGOCIAÇÕES!D1803,"")</f>
        <v/>
      </c>
      <c r="E1803" s="9" t="str">
        <f>IF(AND(NEGOCIAÇÕES!B1803&lt;&gt;"",NEGOCIAÇÕES!O1803=""),NEGOCIAÇÕES!N1803,"")</f>
        <v/>
      </c>
    </row>
    <row r="1804" spans="2:5" ht="31.95" hidden="1" customHeight="1" x14ac:dyDescent="0.3">
      <c r="B1804" s="6" t="str">
        <f ca="1">IF(AND(NEGOCIAÇÕES!O1804="",NEGOCIAÇÕES!N1804&gt;TODAY()),NEGOCIAÇÕES!C1804,"")</f>
        <v/>
      </c>
      <c r="C1804" s="6" t="str">
        <f ca="1">IF(AND(NEGOCIAÇÕES!O1804="",NEGOCIAÇÕES!N1804&gt;TODAY()),NEGOCIAÇÕES!E1804,"")</f>
        <v/>
      </c>
      <c r="D1804" s="6" t="str">
        <f ca="1">IF(AND(NEGOCIAÇÕES!O1804="",NEGOCIAÇÕES!N1804&gt;TODAY()),NEGOCIAÇÕES!D1804,"")</f>
        <v/>
      </c>
      <c r="E1804" s="9" t="str">
        <f>IF(AND(NEGOCIAÇÕES!B1804&lt;&gt;"",NEGOCIAÇÕES!O1804=""),NEGOCIAÇÕES!N1804,"")</f>
        <v/>
      </c>
    </row>
    <row r="1805" spans="2:5" ht="31.95" hidden="1" customHeight="1" x14ac:dyDescent="0.3">
      <c r="B1805" s="6" t="str">
        <f ca="1">IF(AND(NEGOCIAÇÕES!O1805="",NEGOCIAÇÕES!N1805&gt;TODAY()),NEGOCIAÇÕES!C1805,"")</f>
        <v/>
      </c>
      <c r="C1805" s="6" t="str">
        <f ca="1">IF(AND(NEGOCIAÇÕES!O1805="",NEGOCIAÇÕES!N1805&gt;TODAY()),NEGOCIAÇÕES!E1805,"")</f>
        <v/>
      </c>
      <c r="D1805" s="6" t="str">
        <f ca="1">IF(AND(NEGOCIAÇÕES!O1805="",NEGOCIAÇÕES!N1805&gt;TODAY()),NEGOCIAÇÕES!D1805,"")</f>
        <v/>
      </c>
      <c r="E1805" s="9" t="str">
        <f>IF(AND(NEGOCIAÇÕES!B1805&lt;&gt;"",NEGOCIAÇÕES!O1805=""),NEGOCIAÇÕES!N1805,"")</f>
        <v/>
      </c>
    </row>
    <row r="1806" spans="2:5" ht="31.95" hidden="1" customHeight="1" x14ac:dyDescent="0.3">
      <c r="B1806" s="6" t="str">
        <f ca="1">IF(AND(NEGOCIAÇÕES!O1806="",NEGOCIAÇÕES!N1806&gt;TODAY()),NEGOCIAÇÕES!C1806,"")</f>
        <v/>
      </c>
      <c r="C1806" s="6" t="str">
        <f ca="1">IF(AND(NEGOCIAÇÕES!O1806="",NEGOCIAÇÕES!N1806&gt;TODAY()),NEGOCIAÇÕES!E1806,"")</f>
        <v/>
      </c>
      <c r="D1806" s="6" t="str">
        <f ca="1">IF(AND(NEGOCIAÇÕES!O1806="",NEGOCIAÇÕES!N1806&gt;TODAY()),NEGOCIAÇÕES!D1806,"")</f>
        <v/>
      </c>
      <c r="E1806" s="9" t="str">
        <f>IF(AND(NEGOCIAÇÕES!B1806&lt;&gt;"",NEGOCIAÇÕES!O1806=""),NEGOCIAÇÕES!N1806,"")</f>
        <v/>
      </c>
    </row>
    <row r="1807" spans="2:5" ht="31.95" hidden="1" customHeight="1" x14ac:dyDescent="0.3">
      <c r="B1807" s="6" t="str">
        <f ca="1">IF(AND(NEGOCIAÇÕES!O1807="",NEGOCIAÇÕES!N1807&gt;TODAY()),NEGOCIAÇÕES!C1807,"")</f>
        <v/>
      </c>
      <c r="C1807" s="6" t="str">
        <f ca="1">IF(AND(NEGOCIAÇÕES!O1807="",NEGOCIAÇÕES!N1807&gt;TODAY()),NEGOCIAÇÕES!E1807,"")</f>
        <v/>
      </c>
      <c r="D1807" s="6" t="str">
        <f ca="1">IF(AND(NEGOCIAÇÕES!O1807="",NEGOCIAÇÕES!N1807&gt;TODAY()),NEGOCIAÇÕES!D1807,"")</f>
        <v/>
      </c>
      <c r="E1807" s="9" t="str">
        <f>IF(AND(NEGOCIAÇÕES!B1807&lt;&gt;"",NEGOCIAÇÕES!O1807=""),NEGOCIAÇÕES!N1807,"")</f>
        <v/>
      </c>
    </row>
    <row r="1808" spans="2:5" ht="31.95" hidden="1" customHeight="1" x14ac:dyDescent="0.3">
      <c r="B1808" s="6" t="str">
        <f ca="1">IF(AND(NEGOCIAÇÕES!O1808="",NEGOCIAÇÕES!N1808&gt;TODAY()),NEGOCIAÇÕES!C1808,"")</f>
        <v/>
      </c>
      <c r="C1808" s="6" t="str">
        <f ca="1">IF(AND(NEGOCIAÇÕES!O1808="",NEGOCIAÇÕES!N1808&gt;TODAY()),NEGOCIAÇÕES!E1808,"")</f>
        <v/>
      </c>
      <c r="D1808" s="6" t="str">
        <f ca="1">IF(AND(NEGOCIAÇÕES!O1808="",NEGOCIAÇÕES!N1808&gt;TODAY()),NEGOCIAÇÕES!D1808,"")</f>
        <v/>
      </c>
      <c r="E1808" s="9" t="str">
        <f>IF(AND(NEGOCIAÇÕES!B1808&lt;&gt;"",NEGOCIAÇÕES!O1808=""),NEGOCIAÇÕES!N1808,"")</f>
        <v/>
      </c>
    </row>
    <row r="1809" spans="2:5" ht="31.95" hidden="1" customHeight="1" x14ac:dyDescent="0.3">
      <c r="B1809" s="6" t="str">
        <f ca="1">IF(AND(NEGOCIAÇÕES!O1809="",NEGOCIAÇÕES!N1809&gt;TODAY()),NEGOCIAÇÕES!C1809,"")</f>
        <v/>
      </c>
      <c r="C1809" s="6" t="str">
        <f ca="1">IF(AND(NEGOCIAÇÕES!O1809="",NEGOCIAÇÕES!N1809&gt;TODAY()),NEGOCIAÇÕES!E1809,"")</f>
        <v/>
      </c>
      <c r="D1809" s="6" t="str">
        <f ca="1">IF(AND(NEGOCIAÇÕES!O1809="",NEGOCIAÇÕES!N1809&gt;TODAY()),NEGOCIAÇÕES!D1809,"")</f>
        <v/>
      </c>
      <c r="E1809" s="9" t="str">
        <f>IF(AND(NEGOCIAÇÕES!B1809&lt;&gt;"",NEGOCIAÇÕES!O1809=""),NEGOCIAÇÕES!N1809,"")</f>
        <v/>
      </c>
    </row>
    <row r="1810" spans="2:5" ht="31.95" hidden="1" customHeight="1" x14ac:dyDescent="0.3">
      <c r="B1810" s="6" t="str">
        <f ca="1">IF(AND(NEGOCIAÇÕES!O1810="",NEGOCIAÇÕES!N1810&gt;TODAY()),NEGOCIAÇÕES!C1810,"")</f>
        <v/>
      </c>
      <c r="C1810" s="6" t="str">
        <f ca="1">IF(AND(NEGOCIAÇÕES!O1810="",NEGOCIAÇÕES!N1810&gt;TODAY()),NEGOCIAÇÕES!E1810,"")</f>
        <v/>
      </c>
      <c r="D1810" s="6" t="str">
        <f ca="1">IF(AND(NEGOCIAÇÕES!O1810="",NEGOCIAÇÕES!N1810&gt;TODAY()),NEGOCIAÇÕES!D1810,"")</f>
        <v/>
      </c>
      <c r="E1810" s="9" t="str">
        <f>IF(AND(NEGOCIAÇÕES!B1810&lt;&gt;"",NEGOCIAÇÕES!O1810=""),NEGOCIAÇÕES!N1810,"")</f>
        <v/>
      </c>
    </row>
    <row r="1811" spans="2:5" ht="31.95" hidden="1" customHeight="1" x14ac:dyDescent="0.3">
      <c r="B1811" s="6" t="str">
        <f ca="1">IF(AND(NEGOCIAÇÕES!O1811="",NEGOCIAÇÕES!N1811&gt;TODAY()),NEGOCIAÇÕES!C1811,"")</f>
        <v/>
      </c>
      <c r="C1811" s="6" t="str">
        <f ca="1">IF(AND(NEGOCIAÇÕES!O1811="",NEGOCIAÇÕES!N1811&gt;TODAY()),NEGOCIAÇÕES!E1811,"")</f>
        <v/>
      </c>
      <c r="D1811" s="6" t="str">
        <f ca="1">IF(AND(NEGOCIAÇÕES!O1811="",NEGOCIAÇÕES!N1811&gt;TODAY()),NEGOCIAÇÕES!D1811,"")</f>
        <v/>
      </c>
      <c r="E1811" s="9" t="str">
        <f>IF(AND(NEGOCIAÇÕES!B1811&lt;&gt;"",NEGOCIAÇÕES!O1811=""),NEGOCIAÇÕES!N1811,"")</f>
        <v/>
      </c>
    </row>
    <row r="1812" spans="2:5" ht="31.95" hidden="1" customHeight="1" x14ac:dyDescent="0.3">
      <c r="B1812" s="6" t="str">
        <f ca="1">IF(AND(NEGOCIAÇÕES!O1812="",NEGOCIAÇÕES!N1812&gt;TODAY()),NEGOCIAÇÕES!C1812,"")</f>
        <v/>
      </c>
      <c r="C1812" s="6" t="str">
        <f ca="1">IF(AND(NEGOCIAÇÕES!O1812="",NEGOCIAÇÕES!N1812&gt;TODAY()),NEGOCIAÇÕES!E1812,"")</f>
        <v/>
      </c>
      <c r="D1812" s="6" t="str">
        <f ca="1">IF(AND(NEGOCIAÇÕES!O1812="",NEGOCIAÇÕES!N1812&gt;TODAY()),NEGOCIAÇÕES!D1812,"")</f>
        <v/>
      </c>
      <c r="E1812" s="9" t="str">
        <f>IF(AND(NEGOCIAÇÕES!B1812&lt;&gt;"",NEGOCIAÇÕES!O1812=""),NEGOCIAÇÕES!N1812,"")</f>
        <v/>
      </c>
    </row>
    <row r="1813" spans="2:5" ht="31.95" hidden="1" customHeight="1" x14ac:dyDescent="0.3">
      <c r="B1813" s="6" t="str">
        <f ca="1">IF(AND(NEGOCIAÇÕES!O1813="",NEGOCIAÇÕES!N1813&gt;TODAY()),NEGOCIAÇÕES!C1813,"")</f>
        <v/>
      </c>
      <c r="C1813" s="6" t="str">
        <f ca="1">IF(AND(NEGOCIAÇÕES!O1813="",NEGOCIAÇÕES!N1813&gt;TODAY()),NEGOCIAÇÕES!E1813,"")</f>
        <v/>
      </c>
      <c r="D1813" s="6" t="str">
        <f ca="1">IF(AND(NEGOCIAÇÕES!O1813="",NEGOCIAÇÕES!N1813&gt;TODAY()),NEGOCIAÇÕES!D1813,"")</f>
        <v/>
      </c>
      <c r="E1813" s="9" t="str">
        <f>IF(AND(NEGOCIAÇÕES!B1813&lt;&gt;"",NEGOCIAÇÕES!O1813=""),NEGOCIAÇÕES!N1813,"")</f>
        <v/>
      </c>
    </row>
    <row r="1814" spans="2:5" ht="31.95" hidden="1" customHeight="1" x14ac:dyDescent="0.3">
      <c r="B1814" s="6" t="str">
        <f ca="1">IF(AND(NEGOCIAÇÕES!O1814="",NEGOCIAÇÕES!N1814&gt;TODAY()),NEGOCIAÇÕES!C1814,"")</f>
        <v/>
      </c>
      <c r="C1814" s="6" t="str">
        <f ca="1">IF(AND(NEGOCIAÇÕES!O1814="",NEGOCIAÇÕES!N1814&gt;TODAY()),NEGOCIAÇÕES!E1814,"")</f>
        <v/>
      </c>
      <c r="D1814" s="6" t="str">
        <f ca="1">IF(AND(NEGOCIAÇÕES!O1814="",NEGOCIAÇÕES!N1814&gt;TODAY()),NEGOCIAÇÕES!D1814,"")</f>
        <v/>
      </c>
      <c r="E1814" s="9" t="str">
        <f>IF(AND(NEGOCIAÇÕES!B1814&lt;&gt;"",NEGOCIAÇÕES!O1814=""),NEGOCIAÇÕES!N1814,"")</f>
        <v/>
      </c>
    </row>
    <row r="1815" spans="2:5" ht="31.95" hidden="1" customHeight="1" x14ac:dyDescent="0.3">
      <c r="B1815" s="6" t="str">
        <f ca="1">IF(AND(NEGOCIAÇÕES!O1815="",NEGOCIAÇÕES!N1815&gt;TODAY()),NEGOCIAÇÕES!C1815,"")</f>
        <v/>
      </c>
      <c r="C1815" s="6" t="str">
        <f ca="1">IF(AND(NEGOCIAÇÕES!O1815="",NEGOCIAÇÕES!N1815&gt;TODAY()),NEGOCIAÇÕES!E1815,"")</f>
        <v/>
      </c>
      <c r="D1815" s="6" t="str">
        <f ca="1">IF(AND(NEGOCIAÇÕES!O1815="",NEGOCIAÇÕES!N1815&gt;TODAY()),NEGOCIAÇÕES!D1815,"")</f>
        <v/>
      </c>
      <c r="E1815" s="9" t="str">
        <f>IF(AND(NEGOCIAÇÕES!B1815&lt;&gt;"",NEGOCIAÇÕES!O1815=""),NEGOCIAÇÕES!N1815,"")</f>
        <v/>
      </c>
    </row>
    <row r="1816" spans="2:5" ht="31.95" hidden="1" customHeight="1" x14ac:dyDescent="0.3">
      <c r="B1816" s="6" t="str">
        <f ca="1">IF(AND(NEGOCIAÇÕES!O1816="",NEGOCIAÇÕES!N1816&gt;TODAY()),NEGOCIAÇÕES!C1816,"")</f>
        <v/>
      </c>
      <c r="C1816" s="6" t="str">
        <f ca="1">IF(AND(NEGOCIAÇÕES!O1816="",NEGOCIAÇÕES!N1816&gt;TODAY()),NEGOCIAÇÕES!E1816,"")</f>
        <v/>
      </c>
      <c r="D1816" s="6" t="str">
        <f ca="1">IF(AND(NEGOCIAÇÕES!O1816="",NEGOCIAÇÕES!N1816&gt;TODAY()),NEGOCIAÇÕES!D1816,"")</f>
        <v/>
      </c>
      <c r="E1816" s="9" t="str">
        <f>IF(AND(NEGOCIAÇÕES!B1816&lt;&gt;"",NEGOCIAÇÕES!O1816=""),NEGOCIAÇÕES!N1816,"")</f>
        <v/>
      </c>
    </row>
    <row r="1817" spans="2:5" ht="31.95" hidden="1" customHeight="1" x14ac:dyDescent="0.3">
      <c r="B1817" s="6" t="str">
        <f ca="1">IF(AND(NEGOCIAÇÕES!O1817="",NEGOCIAÇÕES!N1817&gt;TODAY()),NEGOCIAÇÕES!C1817,"")</f>
        <v/>
      </c>
      <c r="C1817" s="6" t="str">
        <f ca="1">IF(AND(NEGOCIAÇÕES!O1817="",NEGOCIAÇÕES!N1817&gt;TODAY()),NEGOCIAÇÕES!E1817,"")</f>
        <v/>
      </c>
      <c r="D1817" s="6" t="str">
        <f ca="1">IF(AND(NEGOCIAÇÕES!O1817="",NEGOCIAÇÕES!N1817&gt;TODAY()),NEGOCIAÇÕES!D1817,"")</f>
        <v/>
      </c>
      <c r="E1817" s="9" t="str">
        <f>IF(AND(NEGOCIAÇÕES!B1817&lt;&gt;"",NEGOCIAÇÕES!O1817=""),NEGOCIAÇÕES!N1817,"")</f>
        <v/>
      </c>
    </row>
    <row r="1818" spans="2:5" ht="31.95" hidden="1" customHeight="1" x14ac:dyDescent="0.3">
      <c r="B1818" s="6" t="str">
        <f ca="1">IF(AND(NEGOCIAÇÕES!O1818="",NEGOCIAÇÕES!N1818&gt;TODAY()),NEGOCIAÇÕES!C1818,"")</f>
        <v/>
      </c>
      <c r="C1818" s="6" t="str">
        <f ca="1">IF(AND(NEGOCIAÇÕES!O1818="",NEGOCIAÇÕES!N1818&gt;TODAY()),NEGOCIAÇÕES!E1818,"")</f>
        <v/>
      </c>
      <c r="D1818" s="6" t="str">
        <f ca="1">IF(AND(NEGOCIAÇÕES!O1818="",NEGOCIAÇÕES!N1818&gt;TODAY()),NEGOCIAÇÕES!D1818,"")</f>
        <v/>
      </c>
      <c r="E1818" s="9" t="str">
        <f>IF(AND(NEGOCIAÇÕES!B1818&lt;&gt;"",NEGOCIAÇÕES!O1818=""),NEGOCIAÇÕES!N1818,"")</f>
        <v/>
      </c>
    </row>
    <row r="1819" spans="2:5" ht="31.95" hidden="1" customHeight="1" x14ac:dyDescent="0.3">
      <c r="B1819" s="6" t="str">
        <f ca="1">IF(AND(NEGOCIAÇÕES!O1819="",NEGOCIAÇÕES!N1819&gt;TODAY()),NEGOCIAÇÕES!C1819,"")</f>
        <v/>
      </c>
      <c r="C1819" s="6" t="str">
        <f ca="1">IF(AND(NEGOCIAÇÕES!O1819="",NEGOCIAÇÕES!N1819&gt;TODAY()),NEGOCIAÇÕES!E1819,"")</f>
        <v/>
      </c>
      <c r="D1819" s="6" t="str">
        <f ca="1">IF(AND(NEGOCIAÇÕES!O1819="",NEGOCIAÇÕES!N1819&gt;TODAY()),NEGOCIAÇÕES!D1819,"")</f>
        <v/>
      </c>
      <c r="E1819" s="9" t="str">
        <f>IF(AND(NEGOCIAÇÕES!B1819&lt;&gt;"",NEGOCIAÇÕES!O1819=""),NEGOCIAÇÕES!N1819,"")</f>
        <v/>
      </c>
    </row>
    <row r="1820" spans="2:5" ht="31.95" hidden="1" customHeight="1" x14ac:dyDescent="0.3">
      <c r="B1820" s="6" t="str">
        <f ca="1">IF(AND(NEGOCIAÇÕES!O1820="",NEGOCIAÇÕES!N1820&gt;TODAY()),NEGOCIAÇÕES!C1820,"")</f>
        <v/>
      </c>
      <c r="C1820" s="6" t="str">
        <f ca="1">IF(AND(NEGOCIAÇÕES!O1820="",NEGOCIAÇÕES!N1820&gt;TODAY()),NEGOCIAÇÕES!E1820,"")</f>
        <v/>
      </c>
      <c r="D1820" s="6" t="str">
        <f ca="1">IF(AND(NEGOCIAÇÕES!O1820="",NEGOCIAÇÕES!N1820&gt;TODAY()),NEGOCIAÇÕES!D1820,"")</f>
        <v/>
      </c>
      <c r="E1820" s="9" t="str">
        <f>IF(AND(NEGOCIAÇÕES!B1820&lt;&gt;"",NEGOCIAÇÕES!O1820=""),NEGOCIAÇÕES!N1820,"")</f>
        <v/>
      </c>
    </row>
    <row r="1821" spans="2:5" ht="31.95" hidden="1" customHeight="1" x14ac:dyDescent="0.3">
      <c r="B1821" s="6" t="str">
        <f ca="1">IF(AND(NEGOCIAÇÕES!O1821="",NEGOCIAÇÕES!N1821&gt;TODAY()),NEGOCIAÇÕES!C1821,"")</f>
        <v/>
      </c>
      <c r="C1821" s="6" t="str">
        <f ca="1">IF(AND(NEGOCIAÇÕES!O1821="",NEGOCIAÇÕES!N1821&gt;TODAY()),NEGOCIAÇÕES!E1821,"")</f>
        <v/>
      </c>
      <c r="D1821" s="6" t="str">
        <f ca="1">IF(AND(NEGOCIAÇÕES!O1821="",NEGOCIAÇÕES!N1821&gt;TODAY()),NEGOCIAÇÕES!D1821,"")</f>
        <v/>
      </c>
      <c r="E1821" s="9" t="str">
        <f>IF(AND(NEGOCIAÇÕES!B1821&lt;&gt;"",NEGOCIAÇÕES!O1821=""),NEGOCIAÇÕES!N1821,"")</f>
        <v/>
      </c>
    </row>
    <row r="1822" spans="2:5" ht="31.95" hidden="1" customHeight="1" x14ac:dyDescent="0.3">
      <c r="B1822" s="6" t="str">
        <f ca="1">IF(AND(NEGOCIAÇÕES!O1822="",NEGOCIAÇÕES!N1822&gt;TODAY()),NEGOCIAÇÕES!C1822,"")</f>
        <v/>
      </c>
      <c r="C1822" s="6" t="str">
        <f ca="1">IF(AND(NEGOCIAÇÕES!O1822="",NEGOCIAÇÕES!N1822&gt;TODAY()),NEGOCIAÇÕES!E1822,"")</f>
        <v/>
      </c>
      <c r="D1822" s="6" t="str">
        <f ca="1">IF(AND(NEGOCIAÇÕES!O1822="",NEGOCIAÇÕES!N1822&gt;TODAY()),NEGOCIAÇÕES!D1822,"")</f>
        <v/>
      </c>
      <c r="E1822" s="9" t="str">
        <f>IF(AND(NEGOCIAÇÕES!B1822&lt;&gt;"",NEGOCIAÇÕES!O1822=""),NEGOCIAÇÕES!N1822,"")</f>
        <v/>
      </c>
    </row>
    <row r="1823" spans="2:5" ht="31.95" hidden="1" customHeight="1" x14ac:dyDescent="0.3">
      <c r="B1823" s="6" t="str">
        <f ca="1">IF(AND(NEGOCIAÇÕES!O1823="",NEGOCIAÇÕES!N1823&gt;TODAY()),NEGOCIAÇÕES!C1823,"")</f>
        <v/>
      </c>
      <c r="C1823" s="6" t="str">
        <f ca="1">IF(AND(NEGOCIAÇÕES!O1823="",NEGOCIAÇÕES!N1823&gt;TODAY()),NEGOCIAÇÕES!E1823,"")</f>
        <v/>
      </c>
      <c r="D1823" s="6" t="str">
        <f ca="1">IF(AND(NEGOCIAÇÕES!O1823="",NEGOCIAÇÕES!N1823&gt;TODAY()),NEGOCIAÇÕES!D1823,"")</f>
        <v/>
      </c>
      <c r="E1823" s="9" t="str">
        <f>IF(AND(NEGOCIAÇÕES!B1823&lt;&gt;"",NEGOCIAÇÕES!O1823=""),NEGOCIAÇÕES!N1823,"")</f>
        <v/>
      </c>
    </row>
    <row r="1824" spans="2:5" ht="31.95" hidden="1" customHeight="1" x14ac:dyDescent="0.3">
      <c r="B1824" s="6" t="str">
        <f ca="1">IF(AND(NEGOCIAÇÕES!O1824="",NEGOCIAÇÕES!N1824&gt;TODAY()),NEGOCIAÇÕES!C1824,"")</f>
        <v/>
      </c>
      <c r="C1824" s="6" t="str">
        <f ca="1">IF(AND(NEGOCIAÇÕES!O1824="",NEGOCIAÇÕES!N1824&gt;TODAY()),NEGOCIAÇÕES!E1824,"")</f>
        <v/>
      </c>
      <c r="D1824" s="6" t="str">
        <f ca="1">IF(AND(NEGOCIAÇÕES!O1824="",NEGOCIAÇÕES!N1824&gt;TODAY()),NEGOCIAÇÕES!D1824,"")</f>
        <v/>
      </c>
      <c r="E1824" s="9" t="str">
        <f>IF(AND(NEGOCIAÇÕES!B1824&lt;&gt;"",NEGOCIAÇÕES!O1824=""),NEGOCIAÇÕES!N1824,"")</f>
        <v/>
      </c>
    </row>
    <row r="1825" spans="2:5" ht="31.95" hidden="1" customHeight="1" x14ac:dyDescent="0.3">
      <c r="B1825" s="6" t="str">
        <f ca="1">IF(AND(NEGOCIAÇÕES!O1825="",NEGOCIAÇÕES!N1825&gt;TODAY()),NEGOCIAÇÕES!C1825,"")</f>
        <v/>
      </c>
      <c r="C1825" s="6" t="str">
        <f ca="1">IF(AND(NEGOCIAÇÕES!O1825="",NEGOCIAÇÕES!N1825&gt;TODAY()),NEGOCIAÇÕES!E1825,"")</f>
        <v/>
      </c>
      <c r="D1825" s="6" t="str">
        <f ca="1">IF(AND(NEGOCIAÇÕES!O1825="",NEGOCIAÇÕES!N1825&gt;TODAY()),NEGOCIAÇÕES!D1825,"")</f>
        <v/>
      </c>
      <c r="E1825" s="9" t="str">
        <f>IF(AND(NEGOCIAÇÕES!B1825&lt;&gt;"",NEGOCIAÇÕES!O1825=""),NEGOCIAÇÕES!N1825,"")</f>
        <v/>
      </c>
    </row>
    <row r="1826" spans="2:5" ht="31.95" hidden="1" customHeight="1" x14ac:dyDescent="0.3">
      <c r="B1826" s="6" t="str">
        <f ca="1">IF(AND(NEGOCIAÇÕES!O1826="",NEGOCIAÇÕES!N1826&gt;TODAY()),NEGOCIAÇÕES!C1826,"")</f>
        <v/>
      </c>
      <c r="C1826" s="6" t="str">
        <f ca="1">IF(AND(NEGOCIAÇÕES!O1826="",NEGOCIAÇÕES!N1826&gt;TODAY()),NEGOCIAÇÕES!E1826,"")</f>
        <v/>
      </c>
      <c r="D1826" s="6" t="str">
        <f ca="1">IF(AND(NEGOCIAÇÕES!O1826="",NEGOCIAÇÕES!N1826&gt;TODAY()),NEGOCIAÇÕES!D1826,"")</f>
        <v/>
      </c>
      <c r="E1826" s="9" t="str">
        <f>IF(AND(NEGOCIAÇÕES!B1826&lt;&gt;"",NEGOCIAÇÕES!O1826=""),NEGOCIAÇÕES!N1826,"")</f>
        <v/>
      </c>
    </row>
    <row r="1827" spans="2:5" ht="31.95" hidden="1" customHeight="1" x14ac:dyDescent="0.3">
      <c r="B1827" s="6" t="str">
        <f ca="1">IF(AND(NEGOCIAÇÕES!O1827="",NEGOCIAÇÕES!N1827&gt;TODAY()),NEGOCIAÇÕES!C1827,"")</f>
        <v/>
      </c>
      <c r="C1827" s="6" t="str">
        <f ca="1">IF(AND(NEGOCIAÇÕES!O1827="",NEGOCIAÇÕES!N1827&gt;TODAY()),NEGOCIAÇÕES!E1827,"")</f>
        <v/>
      </c>
      <c r="D1827" s="6" t="str">
        <f ca="1">IF(AND(NEGOCIAÇÕES!O1827="",NEGOCIAÇÕES!N1827&gt;TODAY()),NEGOCIAÇÕES!D1827,"")</f>
        <v/>
      </c>
      <c r="E1827" s="9" t="str">
        <f>IF(AND(NEGOCIAÇÕES!B1827&lt;&gt;"",NEGOCIAÇÕES!O1827=""),NEGOCIAÇÕES!N1827,"")</f>
        <v/>
      </c>
    </row>
    <row r="1828" spans="2:5" ht="31.95" hidden="1" customHeight="1" x14ac:dyDescent="0.3">
      <c r="B1828" s="6" t="str">
        <f ca="1">IF(AND(NEGOCIAÇÕES!O1828="",NEGOCIAÇÕES!N1828&gt;TODAY()),NEGOCIAÇÕES!C1828,"")</f>
        <v/>
      </c>
      <c r="C1828" s="6" t="str">
        <f ca="1">IF(AND(NEGOCIAÇÕES!O1828="",NEGOCIAÇÕES!N1828&gt;TODAY()),NEGOCIAÇÕES!E1828,"")</f>
        <v/>
      </c>
      <c r="D1828" s="6" t="str">
        <f ca="1">IF(AND(NEGOCIAÇÕES!O1828="",NEGOCIAÇÕES!N1828&gt;TODAY()),NEGOCIAÇÕES!D1828,"")</f>
        <v/>
      </c>
      <c r="E1828" s="9" t="str">
        <f>IF(AND(NEGOCIAÇÕES!B1828&lt;&gt;"",NEGOCIAÇÕES!O1828=""),NEGOCIAÇÕES!N1828,"")</f>
        <v/>
      </c>
    </row>
    <row r="1829" spans="2:5" ht="31.95" hidden="1" customHeight="1" x14ac:dyDescent="0.3">
      <c r="B1829" s="6" t="str">
        <f ca="1">IF(AND(NEGOCIAÇÕES!O1829="",NEGOCIAÇÕES!N1829&gt;TODAY()),NEGOCIAÇÕES!C1829,"")</f>
        <v/>
      </c>
      <c r="C1829" s="6" t="str">
        <f ca="1">IF(AND(NEGOCIAÇÕES!O1829="",NEGOCIAÇÕES!N1829&gt;TODAY()),NEGOCIAÇÕES!E1829,"")</f>
        <v/>
      </c>
      <c r="D1829" s="6" t="str">
        <f ca="1">IF(AND(NEGOCIAÇÕES!O1829="",NEGOCIAÇÕES!N1829&gt;TODAY()),NEGOCIAÇÕES!D1829,"")</f>
        <v/>
      </c>
      <c r="E1829" s="9" t="str">
        <f>IF(AND(NEGOCIAÇÕES!B1829&lt;&gt;"",NEGOCIAÇÕES!O1829=""),NEGOCIAÇÕES!N1829,"")</f>
        <v/>
      </c>
    </row>
    <row r="1830" spans="2:5" ht="31.95" hidden="1" customHeight="1" x14ac:dyDescent="0.3">
      <c r="B1830" s="6" t="str">
        <f ca="1">IF(AND(NEGOCIAÇÕES!O1830="",NEGOCIAÇÕES!N1830&gt;TODAY()),NEGOCIAÇÕES!C1830,"")</f>
        <v/>
      </c>
      <c r="C1830" s="6" t="str">
        <f ca="1">IF(AND(NEGOCIAÇÕES!O1830="",NEGOCIAÇÕES!N1830&gt;TODAY()),NEGOCIAÇÕES!E1830,"")</f>
        <v/>
      </c>
      <c r="D1830" s="6" t="str">
        <f ca="1">IF(AND(NEGOCIAÇÕES!O1830="",NEGOCIAÇÕES!N1830&gt;TODAY()),NEGOCIAÇÕES!D1830,"")</f>
        <v/>
      </c>
      <c r="E1830" s="9" t="str">
        <f>IF(AND(NEGOCIAÇÕES!B1830&lt;&gt;"",NEGOCIAÇÕES!O1830=""),NEGOCIAÇÕES!N1830,"")</f>
        <v/>
      </c>
    </row>
    <row r="1831" spans="2:5" ht="31.95" hidden="1" customHeight="1" x14ac:dyDescent="0.3">
      <c r="B1831" s="6" t="str">
        <f ca="1">IF(AND(NEGOCIAÇÕES!O1831="",NEGOCIAÇÕES!N1831&gt;TODAY()),NEGOCIAÇÕES!C1831,"")</f>
        <v/>
      </c>
      <c r="C1831" s="6" t="str">
        <f ca="1">IF(AND(NEGOCIAÇÕES!O1831="",NEGOCIAÇÕES!N1831&gt;TODAY()),NEGOCIAÇÕES!E1831,"")</f>
        <v/>
      </c>
      <c r="D1831" s="6" t="str">
        <f ca="1">IF(AND(NEGOCIAÇÕES!O1831="",NEGOCIAÇÕES!N1831&gt;TODAY()),NEGOCIAÇÕES!D1831,"")</f>
        <v/>
      </c>
      <c r="E1831" s="9" t="str">
        <f>IF(AND(NEGOCIAÇÕES!B1831&lt;&gt;"",NEGOCIAÇÕES!O1831=""),NEGOCIAÇÕES!N1831,"")</f>
        <v/>
      </c>
    </row>
    <row r="1832" spans="2:5" ht="31.95" hidden="1" customHeight="1" x14ac:dyDescent="0.3">
      <c r="B1832" s="6" t="str">
        <f ca="1">IF(AND(NEGOCIAÇÕES!O1832="",NEGOCIAÇÕES!N1832&gt;TODAY()),NEGOCIAÇÕES!C1832,"")</f>
        <v/>
      </c>
      <c r="C1832" s="6" t="str">
        <f ca="1">IF(AND(NEGOCIAÇÕES!O1832="",NEGOCIAÇÕES!N1832&gt;TODAY()),NEGOCIAÇÕES!E1832,"")</f>
        <v/>
      </c>
      <c r="D1832" s="6" t="str">
        <f ca="1">IF(AND(NEGOCIAÇÕES!O1832="",NEGOCIAÇÕES!N1832&gt;TODAY()),NEGOCIAÇÕES!D1832,"")</f>
        <v/>
      </c>
      <c r="E1832" s="9" t="str">
        <f>IF(AND(NEGOCIAÇÕES!B1832&lt;&gt;"",NEGOCIAÇÕES!O1832=""),NEGOCIAÇÕES!N1832,"")</f>
        <v/>
      </c>
    </row>
    <row r="1833" spans="2:5" ht="31.95" hidden="1" customHeight="1" x14ac:dyDescent="0.3">
      <c r="B1833" s="6" t="str">
        <f ca="1">IF(AND(NEGOCIAÇÕES!O1833="",NEGOCIAÇÕES!N1833&gt;TODAY()),NEGOCIAÇÕES!C1833,"")</f>
        <v/>
      </c>
      <c r="C1833" s="6" t="str">
        <f ca="1">IF(AND(NEGOCIAÇÕES!O1833="",NEGOCIAÇÕES!N1833&gt;TODAY()),NEGOCIAÇÕES!E1833,"")</f>
        <v/>
      </c>
      <c r="D1833" s="6" t="str">
        <f ca="1">IF(AND(NEGOCIAÇÕES!O1833="",NEGOCIAÇÕES!N1833&gt;TODAY()),NEGOCIAÇÕES!D1833,"")</f>
        <v/>
      </c>
      <c r="E1833" s="9" t="str">
        <f>IF(AND(NEGOCIAÇÕES!B1833&lt;&gt;"",NEGOCIAÇÕES!O1833=""),NEGOCIAÇÕES!N1833,"")</f>
        <v/>
      </c>
    </row>
    <row r="1834" spans="2:5" ht="31.95" hidden="1" customHeight="1" x14ac:dyDescent="0.3">
      <c r="B1834" s="6" t="str">
        <f ca="1">IF(AND(NEGOCIAÇÕES!O1834="",NEGOCIAÇÕES!N1834&gt;TODAY()),NEGOCIAÇÕES!C1834,"")</f>
        <v/>
      </c>
      <c r="C1834" s="6" t="str">
        <f ca="1">IF(AND(NEGOCIAÇÕES!O1834="",NEGOCIAÇÕES!N1834&gt;TODAY()),NEGOCIAÇÕES!E1834,"")</f>
        <v/>
      </c>
      <c r="D1834" s="6" t="str">
        <f ca="1">IF(AND(NEGOCIAÇÕES!O1834="",NEGOCIAÇÕES!N1834&gt;TODAY()),NEGOCIAÇÕES!D1834,"")</f>
        <v/>
      </c>
      <c r="E1834" s="9" t="str">
        <f>IF(AND(NEGOCIAÇÕES!B1834&lt;&gt;"",NEGOCIAÇÕES!O1834=""),NEGOCIAÇÕES!N1834,"")</f>
        <v/>
      </c>
    </row>
    <row r="1835" spans="2:5" ht="31.95" hidden="1" customHeight="1" x14ac:dyDescent="0.3">
      <c r="B1835" s="6" t="str">
        <f ca="1">IF(AND(NEGOCIAÇÕES!O1835="",NEGOCIAÇÕES!N1835&gt;TODAY()),NEGOCIAÇÕES!C1835,"")</f>
        <v/>
      </c>
      <c r="C1835" s="6" t="str">
        <f ca="1">IF(AND(NEGOCIAÇÕES!O1835="",NEGOCIAÇÕES!N1835&gt;TODAY()),NEGOCIAÇÕES!E1835,"")</f>
        <v/>
      </c>
      <c r="D1835" s="6" t="str">
        <f ca="1">IF(AND(NEGOCIAÇÕES!O1835="",NEGOCIAÇÕES!N1835&gt;TODAY()),NEGOCIAÇÕES!D1835,"")</f>
        <v/>
      </c>
      <c r="E1835" s="9" t="str">
        <f>IF(AND(NEGOCIAÇÕES!B1835&lt;&gt;"",NEGOCIAÇÕES!O1835=""),NEGOCIAÇÕES!N1835,"")</f>
        <v/>
      </c>
    </row>
    <row r="1836" spans="2:5" ht="31.95" hidden="1" customHeight="1" x14ac:dyDescent="0.3">
      <c r="B1836" s="6" t="str">
        <f ca="1">IF(AND(NEGOCIAÇÕES!O1836="",NEGOCIAÇÕES!N1836&gt;TODAY()),NEGOCIAÇÕES!C1836,"")</f>
        <v/>
      </c>
      <c r="C1836" s="6" t="str">
        <f ca="1">IF(AND(NEGOCIAÇÕES!O1836="",NEGOCIAÇÕES!N1836&gt;TODAY()),NEGOCIAÇÕES!E1836,"")</f>
        <v/>
      </c>
      <c r="D1836" s="6" t="str">
        <f ca="1">IF(AND(NEGOCIAÇÕES!O1836="",NEGOCIAÇÕES!N1836&gt;TODAY()),NEGOCIAÇÕES!D1836,"")</f>
        <v/>
      </c>
      <c r="E1836" s="9" t="str">
        <f>IF(AND(NEGOCIAÇÕES!B1836&lt;&gt;"",NEGOCIAÇÕES!O1836=""),NEGOCIAÇÕES!N1836,"")</f>
        <v/>
      </c>
    </row>
    <row r="1837" spans="2:5" ht="31.95" hidden="1" customHeight="1" x14ac:dyDescent="0.3">
      <c r="B1837" s="6" t="str">
        <f ca="1">IF(AND(NEGOCIAÇÕES!O1837="",NEGOCIAÇÕES!N1837&gt;TODAY()),NEGOCIAÇÕES!C1837,"")</f>
        <v/>
      </c>
      <c r="C1837" s="6" t="str">
        <f ca="1">IF(AND(NEGOCIAÇÕES!O1837="",NEGOCIAÇÕES!N1837&gt;TODAY()),NEGOCIAÇÕES!E1837,"")</f>
        <v/>
      </c>
      <c r="D1837" s="6" t="str">
        <f ca="1">IF(AND(NEGOCIAÇÕES!O1837="",NEGOCIAÇÕES!N1837&gt;TODAY()),NEGOCIAÇÕES!D1837,"")</f>
        <v/>
      </c>
      <c r="E1837" s="9" t="str">
        <f>IF(AND(NEGOCIAÇÕES!B1837&lt;&gt;"",NEGOCIAÇÕES!O1837=""),NEGOCIAÇÕES!N1837,"")</f>
        <v/>
      </c>
    </row>
    <row r="1838" spans="2:5" ht="31.95" hidden="1" customHeight="1" x14ac:dyDescent="0.3">
      <c r="B1838" s="6" t="str">
        <f ca="1">IF(AND(NEGOCIAÇÕES!O1838="",NEGOCIAÇÕES!N1838&gt;TODAY()),NEGOCIAÇÕES!C1838,"")</f>
        <v/>
      </c>
      <c r="C1838" s="6" t="str">
        <f ca="1">IF(AND(NEGOCIAÇÕES!O1838="",NEGOCIAÇÕES!N1838&gt;TODAY()),NEGOCIAÇÕES!E1838,"")</f>
        <v/>
      </c>
      <c r="D1838" s="6" t="str">
        <f ca="1">IF(AND(NEGOCIAÇÕES!O1838="",NEGOCIAÇÕES!N1838&gt;TODAY()),NEGOCIAÇÕES!D1838,"")</f>
        <v/>
      </c>
      <c r="E1838" s="9" t="str">
        <f>IF(AND(NEGOCIAÇÕES!B1838&lt;&gt;"",NEGOCIAÇÕES!O1838=""),NEGOCIAÇÕES!N1838,"")</f>
        <v/>
      </c>
    </row>
    <row r="1839" spans="2:5" ht="31.95" hidden="1" customHeight="1" x14ac:dyDescent="0.3">
      <c r="B1839" s="6" t="str">
        <f ca="1">IF(AND(NEGOCIAÇÕES!O1839="",NEGOCIAÇÕES!N1839&gt;TODAY()),NEGOCIAÇÕES!C1839,"")</f>
        <v/>
      </c>
      <c r="C1839" s="6" t="str">
        <f ca="1">IF(AND(NEGOCIAÇÕES!O1839="",NEGOCIAÇÕES!N1839&gt;TODAY()),NEGOCIAÇÕES!E1839,"")</f>
        <v/>
      </c>
      <c r="D1839" s="6" t="str">
        <f ca="1">IF(AND(NEGOCIAÇÕES!O1839="",NEGOCIAÇÕES!N1839&gt;TODAY()),NEGOCIAÇÕES!D1839,"")</f>
        <v/>
      </c>
      <c r="E1839" s="9" t="str">
        <f>IF(AND(NEGOCIAÇÕES!B1839&lt;&gt;"",NEGOCIAÇÕES!O1839=""),NEGOCIAÇÕES!N1839,"")</f>
        <v/>
      </c>
    </row>
    <row r="1840" spans="2:5" ht="31.95" hidden="1" customHeight="1" x14ac:dyDescent="0.3">
      <c r="B1840" s="6" t="str">
        <f ca="1">IF(AND(NEGOCIAÇÕES!O1840="",NEGOCIAÇÕES!N1840&gt;TODAY()),NEGOCIAÇÕES!C1840,"")</f>
        <v/>
      </c>
      <c r="C1840" s="6" t="str">
        <f ca="1">IF(AND(NEGOCIAÇÕES!O1840="",NEGOCIAÇÕES!N1840&gt;TODAY()),NEGOCIAÇÕES!E1840,"")</f>
        <v/>
      </c>
      <c r="D1840" s="6" t="str">
        <f ca="1">IF(AND(NEGOCIAÇÕES!O1840="",NEGOCIAÇÕES!N1840&gt;TODAY()),NEGOCIAÇÕES!D1840,"")</f>
        <v/>
      </c>
      <c r="E1840" s="9" t="str">
        <f>IF(AND(NEGOCIAÇÕES!B1840&lt;&gt;"",NEGOCIAÇÕES!O1840=""),NEGOCIAÇÕES!N1840,"")</f>
        <v/>
      </c>
    </row>
    <row r="1841" spans="2:5" ht="31.95" hidden="1" customHeight="1" x14ac:dyDescent="0.3">
      <c r="B1841" s="6" t="str">
        <f ca="1">IF(AND(NEGOCIAÇÕES!O1841="",NEGOCIAÇÕES!N1841&gt;TODAY()),NEGOCIAÇÕES!C1841,"")</f>
        <v/>
      </c>
      <c r="C1841" s="6" t="str">
        <f ca="1">IF(AND(NEGOCIAÇÕES!O1841="",NEGOCIAÇÕES!N1841&gt;TODAY()),NEGOCIAÇÕES!E1841,"")</f>
        <v/>
      </c>
      <c r="D1841" s="6" t="str">
        <f ca="1">IF(AND(NEGOCIAÇÕES!O1841="",NEGOCIAÇÕES!N1841&gt;TODAY()),NEGOCIAÇÕES!D1841,"")</f>
        <v/>
      </c>
      <c r="E1841" s="9" t="str">
        <f>IF(AND(NEGOCIAÇÕES!B1841&lt;&gt;"",NEGOCIAÇÕES!O1841=""),NEGOCIAÇÕES!N1841,"")</f>
        <v/>
      </c>
    </row>
    <row r="1842" spans="2:5" ht="31.95" hidden="1" customHeight="1" x14ac:dyDescent="0.3">
      <c r="B1842" s="6" t="str">
        <f ca="1">IF(AND(NEGOCIAÇÕES!O1842="",NEGOCIAÇÕES!N1842&gt;TODAY()),NEGOCIAÇÕES!C1842,"")</f>
        <v/>
      </c>
      <c r="C1842" s="6" t="str">
        <f ca="1">IF(AND(NEGOCIAÇÕES!O1842="",NEGOCIAÇÕES!N1842&gt;TODAY()),NEGOCIAÇÕES!E1842,"")</f>
        <v/>
      </c>
      <c r="D1842" s="6" t="str">
        <f ca="1">IF(AND(NEGOCIAÇÕES!O1842="",NEGOCIAÇÕES!N1842&gt;TODAY()),NEGOCIAÇÕES!D1842,"")</f>
        <v/>
      </c>
      <c r="E1842" s="9" t="str">
        <f>IF(AND(NEGOCIAÇÕES!B1842&lt;&gt;"",NEGOCIAÇÕES!O1842=""),NEGOCIAÇÕES!N1842,"")</f>
        <v/>
      </c>
    </row>
    <row r="1843" spans="2:5" ht="31.95" hidden="1" customHeight="1" x14ac:dyDescent="0.3">
      <c r="B1843" s="6" t="str">
        <f ca="1">IF(AND(NEGOCIAÇÕES!O1843="",NEGOCIAÇÕES!N1843&gt;TODAY()),NEGOCIAÇÕES!C1843,"")</f>
        <v/>
      </c>
      <c r="C1843" s="6" t="str">
        <f ca="1">IF(AND(NEGOCIAÇÕES!O1843="",NEGOCIAÇÕES!N1843&gt;TODAY()),NEGOCIAÇÕES!E1843,"")</f>
        <v/>
      </c>
      <c r="D1843" s="6" t="str">
        <f ca="1">IF(AND(NEGOCIAÇÕES!O1843="",NEGOCIAÇÕES!N1843&gt;TODAY()),NEGOCIAÇÕES!D1843,"")</f>
        <v/>
      </c>
      <c r="E1843" s="9" t="str">
        <f>IF(AND(NEGOCIAÇÕES!B1843&lt;&gt;"",NEGOCIAÇÕES!O1843=""),NEGOCIAÇÕES!N1843,"")</f>
        <v/>
      </c>
    </row>
    <row r="1844" spans="2:5" ht="31.95" hidden="1" customHeight="1" x14ac:dyDescent="0.3">
      <c r="B1844" s="6" t="str">
        <f ca="1">IF(AND(NEGOCIAÇÕES!O1844="",NEGOCIAÇÕES!N1844&gt;TODAY()),NEGOCIAÇÕES!C1844,"")</f>
        <v/>
      </c>
      <c r="C1844" s="6" t="str">
        <f ca="1">IF(AND(NEGOCIAÇÕES!O1844="",NEGOCIAÇÕES!N1844&gt;TODAY()),NEGOCIAÇÕES!E1844,"")</f>
        <v/>
      </c>
      <c r="D1844" s="6" t="str">
        <f ca="1">IF(AND(NEGOCIAÇÕES!O1844="",NEGOCIAÇÕES!N1844&gt;TODAY()),NEGOCIAÇÕES!D1844,"")</f>
        <v/>
      </c>
      <c r="E1844" s="9" t="str">
        <f>IF(AND(NEGOCIAÇÕES!B1844&lt;&gt;"",NEGOCIAÇÕES!O1844=""),NEGOCIAÇÕES!N1844,"")</f>
        <v/>
      </c>
    </row>
    <row r="1845" spans="2:5" ht="31.95" hidden="1" customHeight="1" x14ac:dyDescent="0.3">
      <c r="B1845" s="6" t="str">
        <f ca="1">IF(AND(NEGOCIAÇÕES!O1845="",NEGOCIAÇÕES!N1845&gt;TODAY()),NEGOCIAÇÕES!C1845,"")</f>
        <v/>
      </c>
      <c r="C1845" s="6" t="str">
        <f ca="1">IF(AND(NEGOCIAÇÕES!O1845="",NEGOCIAÇÕES!N1845&gt;TODAY()),NEGOCIAÇÕES!E1845,"")</f>
        <v/>
      </c>
      <c r="D1845" s="6" t="str">
        <f ca="1">IF(AND(NEGOCIAÇÕES!O1845="",NEGOCIAÇÕES!N1845&gt;TODAY()),NEGOCIAÇÕES!D1845,"")</f>
        <v/>
      </c>
      <c r="E1845" s="9" t="str">
        <f>IF(AND(NEGOCIAÇÕES!B1845&lt;&gt;"",NEGOCIAÇÕES!O1845=""),NEGOCIAÇÕES!N1845,"")</f>
        <v/>
      </c>
    </row>
    <row r="1846" spans="2:5" ht="31.95" hidden="1" customHeight="1" x14ac:dyDescent="0.3">
      <c r="B1846" s="6" t="str">
        <f ca="1">IF(AND(NEGOCIAÇÕES!O1846="",NEGOCIAÇÕES!N1846&gt;TODAY()),NEGOCIAÇÕES!C1846,"")</f>
        <v/>
      </c>
      <c r="C1846" s="6" t="str">
        <f ca="1">IF(AND(NEGOCIAÇÕES!O1846="",NEGOCIAÇÕES!N1846&gt;TODAY()),NEGOCIAÇÕES!E1846,"")</f>
        <v/>
      </c>
      <c r="D1846" s="6" t="str">
        <f ca="1">IF(AND(NEGOCIAÇÕES!O1846="",NEGOCIAÇÕES!N1846&gt;TODAY()),NEGOCIAÇÕES!D1846,"")</f>
        <v/>
      </c>
      <c r="E1846" s="9" t="str">
        <f>IF(AND(NEGOCIAÇÕES!B1846&lt;&gt;"",NEGOCIAÇÕES!O1846=""),NEGOCIAÇÕES!N1846,"")</f>
        <v/>
      </c>
    </row>
    <row r="1847" spans="2:5" ht="31.95" hidden="1" customHeight="1" x14ac:dyDescent="0.3">
      <c r="B1847" s="6" t="str">
        <f ca="1">IF(AND(NEGOCIAÇÕES!O1847="",NEGOCIAÇÕES!N1847&gt;TODAY()),NEGOCIAÇÕES!C1847,"")</f>
        <v/>
      </c>
      <c r="C1847" s="6" t="str">
        <f ca="1">IF(AND(NEGOCIAÇÕES!O1847="",NEGOCIAÇÕES!N1847&gt;TODAY()),NEGOCIAÇÕES!E1847,"")</f>
        <v/>
      </c>
      <c r="D1847" s="6" t="str">
        <f ca="1">IF(AND(NEGOCIAÇÕES!O1847="",NEGOCIAÇÕES!N1847&gt;TODAY()),NEGOCIAÇÕES!D1847,"")</f>
        <v/>
      </c>
      <c r="E1847" s="9" t="str">
        <f>IF(AND(NEGOCIAÇÕES!B1847&lt;&gt;"",NEGOCIAÇÕES!O1847=""),NEGOCIAÇÕES!N1847,"")</f>
        <v/>
      </c>
    </row>
    <row r="1848" spans="2:5" ht="31.95" hidden="1" customHeight="1" x14ac:dyDescent="0.3">
      <c r="B1848" s="6" t="str">
        <f ca="1">IF(AND(NEGOCIAÇÕES!O1848="",NEGOCIAÇÕES!N1848&gt;TODAY()),NEGOCIAÇÕES!C1848,"")</f>
        <v/>
      </c>
      <c r="C1848" s="6" t="str">
        <f ca="1">IF(AND(NEGOCIAÇÕES!O1848="",NEGOCIAÇÕES!N1848&gt;TODAY()),NEGOCIAÇÕES!E1848,"")</f>
        <v/>
      </c>
      <c r="D1848" s="6" t="str">
        <f ca="1">IF(AND(NEGOCIAÇÕES!O1848="",NEGOCIAÇÕES!N1848&gt;TODAY()),NEGOCIAÇÕES!D1848,"")</f>
        <v/>
      </c>
      <c r="E1848" s="9" t="str">
        <f>IF(AND(NEGOCIAÇÕES!B1848&lt;&gt;"",NEGOCIAÇÕES!O1848=""),NEGOCIAÇÕES!N1848,"")</f>
        <v/>
      </c>
    </row>
    <row r="1849" spans="2:5" ht="31.95" hidden="1" customHeight="1" x14ac:dyDescent="0.3">
      <c r="B1849" s="6" t="str">
        <f ca="1">IF(AND(NEGOCIAÇÕES!O1849="",NEGOCIAÇÕES!N1849&gt;TODAY()),NEGOCIAÇÕES!C1849,"")</f>
        <v/>
      </c>
      <c r="C1849" s="6" t="str">
        <f ca="1">IF(AND(NEGOCIAÇÕES!O1849="",NEGOCIAÇÕES!N1849&gt;TODAY()),NEGOCIAÇÕES!E1849,"")</f>
        <v/>
      </c>
      <c r="D1849" s="6" t="str">
        <f ca="1">IF(AND(NEGOCIAÇÕES!O1849="",NEGOCIAÇÕES!N1849&gt;TODAY()),NEGOCIAÇÕES!D1849,"")</f>
        <v/>
      </c>
      <c r="E1849" s="9" t="str">
        <f>IF(AND(NEGOCIAÇÕES!B1849&lt;&gt;"",NEGOCIAÇÕES!O1849=""),NEGOCIAÇÕES!N1849,"")</f>
        <v/>
      </c>
    </row>
    <row r="1850" spans="2:5" ht="31.95" hidden="1" customHeight="1" x14ac:dyDescent="0.3">
      <c r="B1850" s="6" t="str">
        <f ca="1">IF(AND(NEGOCIAÇÕES!O1850="",NEGOCIAÇÕES!N1850&gt;TODAY()),NEGOCIAÇÕES!C1850,"")</f>
        <v/>
      </c>
      <c r="C1850" s="6" t="str">
        <f ca="1">IF(AND(NEGOCIAÇÕES!O1850="",NEGOCIAÇÕES!N1850&gt;TODAY()),NEGOCIAÇÕES!E1850,"")</f>
        <v/>
      </c>
      <c r="D1850" s="6" t="str">
        <f ca="1">IF(AND(NEGOCIAÇÕES!O1850="",NEGOCIAÇÕES!N1850&gt;TODAY()),NEGOCIAÇÕES!D1850,"")</f>
        <v/>
      </c>
      <c r="E1850" s="9" t="str">
        <f>IF(AND(NEGOCIAÇÕES!B1850&lt;&gt;"",NEGOCIAÇÕES!O1850=""),NEGOCIAÇÕES!N1850,"")</f>
        <v/>
      </c>
    </row>
    <row r="1851" spans="2:5" ht="31.95" hidden="1" customHeight="1" x14ac:dyDescent="0.3">
      <c r="B1851" s="6" t="str">
        <f ca="1">IF(AND(NEGOCIAÇÕES!O1851="",NEGOCIAÇÕES!N1851&gt;TODAY()),NEGOCIAÇÕES!C1851,"")</f>
        <v/>
      </c>
      <c r="C1851" s="6" t="str">
        <f ca="1">IF(AND(NEGOCIAÇÕES!O1851="",NEGOCIAÇÕES!N1851&gt;TODAY()),NEGOCIAÇÕES!E1851,"")</f>
        <v/>
      </c>
      <c r="D1851" s="6" t="str">
        <f ca="1">IF(AND(NEGOCIAÇÕES!O1851="",NEGOCIAÇÕES!N1851&gt;TODAY()),NEGOCIAÇÕES!D1851,"")</f>
        <v/>
      </c>
      <c r="E1851" s="9" t="str">
        <f>IF(AND(NEGOCIAÇÕES!B1851&lt;&gt;"",NEGOCIAÇÕES!O1851=""),NEGOCIAÇÕES!N1851,"")</f>
        <v/>
      </c>
    </row>
    <row r="1852" spans="2:5" ht="31.95" hidden="1" customHeight="1" x14ac:dyDescent="0.3">
      <c r="B1852" s="6" t="str">
        <f ca="1">IF(AND(NEGOCIAÇÕES!O1852="",NEGOCIAÇÕES!N1852&gt;TODAY()),NEGOCIAÇÕES!C1852,"")</f>
        <v/>
      </c>
      <c r="C1852" s="6" t="str">
        <f ca="1">IF(AND(NEGOCIAÇÕES!O1852="",NEGOCIAÇÕES!N1852&gt;TODAY()),NEGOCIAÇÕES!E1852,"")</f>
        <v/>
      </c>
      <c r="D1852" s="6" t="str">
        <f ca="1">IF(AND(NEGOCIAÇÕES!O1852="",NEGOCIAÇÕES!N1852&gt;TODAY()),NEGOCIAÇÕES!D1852,"")</f>
        <v/>
      </c>
      <c r="E1852" s="9" t="str">
        <f>IF(AND(NEGOCIAÇÕES!B1852&lt;&gt;"",NEGOCIAÇÕES!O1852=""),NEGOCIAÇÕES!N1852,"")</f>
        <v/>
      </c>
    </row>
    <row r="1853" spans="2:5" ht="31.95" hidden="1" customHeight="1" x14ac:dyDescent="0.3">
      <c r="B1853" s="6" t="str">
        <f ca="1">IF(AND(NEGOCIAÇÕES!O1853="",NEGOCIAÇÕES!N1853&gt;TODAY()),NEGOCIAÇÕES!C1853,"")</f>
        <v/>
      </c>
      <c r="C1853" s="6" t="str">
        <f ca="1">IF(AND(NEGOCIAÇÕES!O1853="",NEGOCIAÇÕES!N1853&gt;TODAY()),NEGOCIAÇÕES!E1853,"")</f>
        <v/>
      </c>
      <c r="D1853" s="6" t="str">
        <f ca="1">IF(AND(NEGOCIAÇÕES!O1853="",NEGOCIAÇÕES!N1853&gt;TODAY()),NEGOCIAÇÕES!D1853,"")</f>
        <v/>
      </c>
      <c r="E1853" s="9" t="str">
        <f>IF(AND(NEGOCIAÇÕES!B1853&lt;&gt;"",NEGOCIAÇÕES!O1853=""),NEGOCIAÇÕES!N1853,"")</f>
        <v/>
      </c>
    </row>
    <row r="1854" spans="2:5" ht="31.95" hidden="1" customHeight="1" x14ac:dyDescent="0.3">
      <c r="B1854" s="6" t="str">
        <f ca="1">IF(AND(NEGOCIAÇÕES!O1854="",NEGOCIAÇÕES!N1854&gt;TODAY()),NEGOCIAÇÕES!C1854,"")</f>
        <v/>
      </c>
      <c r="C1854" s="6" t="str">
        <f ca="1">IF(AND(NEGOCIAÇÕES!O1854="",NEGOCIAÇÕES!N1854&gt;TODAY()),NEGOCIAÇÕES!E1854,"")</f>
        <v/>
      </c>
      <c r="D1854" s="6" t="str">
        <f ca="1">IF(AND(NEGOCIAÇÕES!O1854="",NEGOCIAÇÕES!N1854&gt;TODAY()),NEGOCIAÇÕES!D1854,"")</f>
        <v/>
      </c>
      <c r="E1854" s="9" t="str">
        <f>IF(AND(NEGOCIAÇÕES!B1854&lt;&gt;"",NEGOCIAÇÕES!O1854=""),NEGOCIAÇÕES!N1854,"")</f>
        <v/>
      </c>
    </row>
    <row r="1855" spans="2:5" ht="31.95" hidden="1" customHeight="1" x14ac:dyDescent="0.3">
      <c r="B1855" s="6" t="str">
        <f ca="1">IF(AND(NEGOCIAÇÕES!O1855="",NEGOCIAÇÕES!N1855&gt;TODAY()),NEGOCIAÇÕES!C1855,"")</f>
        <v/>
      </c>
      <c r="C1855" s="6" t="str">
        <f ca="1">IF(AND(NEGOCIAÇÕES!O1855="",NEGOCIAÇÕES!N1855&gt;TODAY()),NEGOCIAÇÕES!E1855,"")</f>
        <v/>
      </c>
      <c r="D1855" s="6" t="str">
        <f ca="1">IF(AND(NEGOCIAÇÕES!O1855="",NEGOCIAÇÕES!N1855&gt;TODAY()),NEGOCIAÇÕES!D1855,"")</f>
        <v/>
      </c>
      <c r="E1855" s="9" t="str">
        <f>IF(AND(NEGOCIAÇÕES!B1855&lt;&gt;"",NEGOCIAÇÕES!O1855=""),NEGOCIAÇÕES!N1855,"")</f>
        <v/>
      </c>
    </row>
    <row r="1856" spans="2:5" ht="31.95" hidden="1" customHeight="1" x14ac:dyDescent="0.3">
      <c r="B1856" s="6" t="str">
        <f ca="1">IF(AND(NEGOCIAÇÕES!O1856="",NEGOCIAÇÕES!N1856&gt;TODAY()),NEGOCIAÇÕES!C1856,"")</f>
        <v/>
      </c>
      <c r="C1856" s="6" t="str">
        <f ca="1">IF(AND(NEGOCIAÇÕES!O1856="",NEGOCIAÇÕES!N1856&gt;TODAY()),NEGOCIAÇÕES!E1856,"")</f>
        <v/>
      </c>
      <c r="D1856" s="6" t="str">
        <f ca="1">IF(AND(NEGOCIAÇÕES!O1856="",NEGOCIAÇÕES!N1856&gt;TODAY()),NEGOCIAÇÕES!D1856,"")</f>
        <v/>
      </c>
      <c r="E1856" s="9" t="str">
        <f>IF(AND(NEGOCIAÇÕES!B1856&lt;&gt;"",NEGOCIAÇÕES!O1856=""),NEGOCIAÇÕES!N1856,"")</f>
        <v/>
      </c>
    </row>
    <row r="1857" spans="2:5" ht="31.95" hidden="1" customHeight="1" x14ac:dyDescent="0.3">
      <c r="B1857" s="6" t="str">
        <f ca="1">IF(AND(NEGOCIAÇÕES!O1857="",NEGOCIAÇÕES!N1857&gt;TODAY()),NEGOCIAÇÕES!C1857,"")</f>
        <v/>
      </c>
      <c r="C1857" s="6" t="str">
        <f ca="1">IF(AND(NEGOCIAÇÕES!O1857="",NEGOCIAÇÕES!N1857&gt;TODAY()),NEGOCIAÇÕES!E1857,"")</f>
        <v/>
      </c>
      <c r="D1857" s="6" t="str">
        <f ca="1">IF(AND(NEGOCIAÇÕES!O1857="",NEGOCIAÇÕES!N1857&gt;TODAY()),NEGOCIAÇÕES!D1857,"")</f>
        <v/>
      </c>
      <c r="E1857" s="9" t="str">
        <f>IF(AND(NEGOCIAÇÕES!B1857&lt;&gt;"",NEGOCIAÇÕES!O1857=""),NEGOCIAÇÕES!N1857,"")</f>
        <v/>
      </c>
    </row>
    <row r="1858" spans="2:5" ht="31.95" hidden="1" customHeight="1" x14ac:dyDescent="0.3">
      <c r="B1858" s="6" t="str">
        <f ca="1">IF(AND(NEGOCIAÇÕES!O1858="",NEGOCIAÇÕES!N1858&gt;TODAY()),NEGOCIAÇÕES!C1858,"")</f>
        <v/>
      </c>
      <c r="C1858" s="6" t="str">
        <f ca="1">IF(AND(NEGOCIAÇÕES!O1858="",NEGOCIAÇÕES!N1858&gt;TODAY()),NEGOCIAÇÕES!E1858,"")</f>
        <v/>
      </c>
      <c r="D1858" s="6" t="str">
        <f ca="1">IF(AND(NEGOCIAÇÕES!O1858="",NEGOCIAÇÕES!N1858&gt;TODAY()),NEGOCIAÇÕES!D1858,"")</f>
        <v/>
      </c>
      <c r="E1858" s="9" t="str">
        <f>IF(AND(NEGOCIAÇÕES!B1858&lt;&gt;"",NEGOCIAÇÕES!O1858=""),NEGOCIAÇÕES!N1858,"")</f>
        <v/>
      </c>
    </row>
    <row r="1859" spans="2:5" ht="31.95" hidden="1" customHeight="1" x14ac:dyDescent="0.3">
      <c r="B1859" s="6" t="str">
        <f ca="1">IF(AND(NEGOCIAÇÕES!O1859="",NEGOCIAÇÕES!N1859&gt;TODAY()),NEGOCIAÇÕES!C1859,"")</f>
        <v/>
      </c>
      <c r="C1859" s="6" t="str">
        <f ca="1">IF(AND(NEGOCIAÇÕES!O1859="",NEGOCIAÇÕES!N1859&gt;TODAY()),NEGOCIAÇÕES!E1859,"")</f>
        <v/>
      </c>
      <c r="D1859" s="6" t="str">
        <f ca="1">IF(AND(NEGOCIAÇÕES!O1859="",NEGOCIAÇÕES!N1859&gt;TODAY()),NEGOCIAÇÕES!D1859,"")</f>
        <v/>
      </c>
      <c r="E1859" s="9" t="str">
        <f>IF(AND(NEGOCIAÇÕES!B1859&lt;&gt;"",NEGOCIAÇÕES!O1859=""),NEGOCIAÇÕES!N1859,"")</f>
        <v/>
      </c>
    </row>
    <row r="1860" spans="2:5" ht="31.95" hidden="1" customHeight="1" x14ac:dyDescent="0.3">
      <c r="B1860" s="6" t="str">
        <f ca="1">IF(AND(NEGOCIAÇÕES!O1860="",NEGOCIAÇÕES!N1860&gt;TODAY()),NEGOCIAÇÕES!C1860,"")</f>
        <v/>
      </c>
      <c r="C1860" s="6" t="str">
        <f ca="1">IF(AND(NEGOCIAÇÕES!O1860="",NEGOCIAÇÕES!N1860&gt;TODAY()),NEGOCIAÇÕES!E1860,"")</f>
        <v/>
      </c>
      <c r="D1860" s="6" t="str">
        <f ca="1">IF(AND(NEGOCIAÇÕES!O1860="",NEGOCIAÇÕES!N1860&gt;TODAY()),NEGOCIAÇÕES!D1860,"")</f>
        <v/>
      </c>
      <c r="E1860" s="9" t="str">
        <f>IF(AND(NEGOCIAÇÕES!B1860&lt;&gt;"",NEGOCIAÇÕES!O1860=""),NEGOCIAÇÕES!N1860,"")</f>
        <v/>
      </c>
    </row>
    <row r="1861" spans="2:5" ht="31.95" hidden="1" customHeight="1" x14ac:dyDescent="0.3">
      <c r="B1861" s="6" t="str">
        <f ca="1">IF(AND(NEGOCIAÇÕES!O1861="",NEGOCIAÇÕES!N1861&gt;TODAY()),NEGOCIAÇÕES!C1861,"")</f>
        <v/>
      </c>
      <c r="C1861" s="6" t="str">
        <f ca="1">IF(AND(NEGOCIAÇÕES!O1861="",NEGOCIAÇÕES!N1861&gt;TODAY()),NEGOCIAÇÕES!E1861,"")</f>
        <v/>
      </c>
      <c r="D1861" s="6" t="str">
        <f ca="1">IF(AND(NEGOCIAÇÕES!O1861="",NEGOCIAÇÕES!N1861&gt;TODAY()),NEGOCIAÇÕES!D1861,"")</f>
        <v/>
      </c>
      <c r="E1861" s="9" t="str">
        <f>IF(AND(NEGOCIAÇÕES!B1861&lt;&gt;"",NEGOCIAÇÕES!O1861=""),NEGOCIAÇÕES!N1861,"")</f>
        <v/>
      </c>
    </row>
    <row r="1862" spans="2:5" ht="31.95" hidden="1" customHeight="1" x14ac:dyDescent="0.3">
      <c r="B1862" s="6" t="str">
        <f ca="1">IF(AND(NEGOCIAÇÕES!O1862="",NEGOCIAÇÕES!N1862&gt;TODAY()),NEGOCIAÇÕES!C1862,"")</f>
        <v/>
      </c>
      <c r="C1862" s="6" t="str">
        <f ca="1">IF(AND(NEGOCIAÇÕES!O1862="",NEGOCIAÇÕES!N1862&gt;TODAY()),NEGOCIAÇÕES!E1862,"")</f>
        <v/>
      </c>
      <c r="D1862" s="6" t="str">
        <f ca="1">IF(AND(NEGOCIAÇÕES!O1862="",NEGOCIAÇÕES!N1862&gt;TODAY()),NEGOCIAÇÕES!D1862,"")</f>
        <v/>
      </c>
      <c r="E1862" s="9" t="str">
        <f>IF(AND(NEGOCIAÇÕES!B1862&lt;&gt;"",NEGOCIAÇÕES!O1862=""),NEGOCIAÇÕES!N1862,"")</f>
        <v/>
      </c>
    </row>
    <row r="1863" spans="2:5" ht="31.95" hidden="1" customHeight="1" x14ac:dyDescent="0.3">
      <c r="B1863" s="6" t="str">
        <f ca="1">IF(AND(NEGOCIAÇÕES!O1863="",NEGOCIAÇÕES!N1863&gt;TODAY()),NEGOCIAÇÕES!C1863,"")</f>
        <v/>
      </c>
      <c r="C1863" s="6" t="str">
        <f ca="1">IF(AND(NEGOCIAÇÕES!O1863="",NEGOCIAÇÕES!N1863&gt;TODAY()),NEGOCIAÇÕES!E1863,"")</f>
        <v/>
      </c>
      <c r="D1863" s="6" t="str">
        <f ca="1">IF(AND(NEGOCIAÇÕES!O1863="",NEGOCIAÇÕES!N1863&gt;TODAY()),NEGOCIAÇÕES!D1863,"")</f>
        <v/>
      </c>
      <c r="E1863" s="9" t="str">
        <f>IF(AND(NEGOCIAÇÕES!B1863&lt;&gt;"",NEGOCIAÇÕES!O1863=""),NEGOCIAÇÕES!N1863,"")</f>
        <v/>
      </c>
    </row>
    <row r="1864" spans="2:5" ht="31.95" hidden="1" customHeight="1" x14ac:dyDescent="0.3">
      <c r="B1864" s="6" t="str">
        <f ca="1">IF(AND(NEGOCIAÇÕES!O1864="",NEGOCIAÇÕES!N1864&gt;TODAY()),NEGOCIAÇÕES!C1864,"")</f>
        <v/>
      </c>
      <c r="C1864" s="6" t="str">
        <f ca="1">IF(AND(NEGOCIAÇÕES!O1864="",NEGOCIAÇÕES!N1864&gt;TODAY()),NEGOCIAÇÕES!E1864,"")</f>
        <v/>
      </c>
      <c r="D1864" s="6" t="str">
        <f ca="1">IF(AND(NEGOCIAÇÕES!O1864="",NEGOCIAÇÕES!N1864&gt;TODAY()),NEGOCIAÇÕES!D1864,"")</f>
        <v/>
      </c>
      <c r="E1864" s="9" t="str">
        <f>IF(AND(NEGOCIAÇÕES!B1864&lt;&gt;"",NEGOCIAÇÕES!O1864=""),NEGOCIAÇÕES!N1864,"")</f>
        <v/>
      </c>
    </row>
    <row r="1865" spans="2:5" ht="31.95" hidden="1" customHeight="1" x14ac:dyDescent="0.3">
      <c r="B1865" s="6" t="str">
        <f ca="1">IF(AND(NEGOCIAÇÕES!O1865="",NEGOCIAÇÕES!N1865&gt;TODAY()),NEGOCIAÇÕES!C1865,"")</f>
        <v/>
      </c>
      <c r="C1865" s="6" t="str">
        <f ca="1">IF(AND(NEGOCIAÇÕES!O1865="",NEGOCIAÇÕES!N1865&gt;TODAY()),NEGOCIAÇÕES!E1865,"")</f>
        <v/>
      </c>
      <c r="D1865" s="6" t="str">
        <f ca="1">IF(AND(NEGOCIAÇÕES!O1865="",NEGOCIAÇÕES!N1865&gt;TODAY()),NEGOCIAÇÕES!D1865,"")</f>
        <v/>
      </c>
      <c r="E1865" s="9" t="str">
        <f>IF(AND(NEGOCIAÇÕES!B1865&lt;&gt;"",NEGOCIAÇÕES!O1865=""),NEGOCIAÇÕES!N1865,"")</f>
        <v/>
      </c>
    </row>
    <row r="1866" spans="2:5" ht="31.95" hidden="1" customHeight="1" x14ac:dyDescent="0.3">
      <c r="B1866" s="6" t="str">
        <f ca="1">IF(AND(NEGOCIAÇÕES!O1866="",NEGOCIAÇÕES!N1866&gt;TODAY()),NEGOCIAÇÕES!C1866,"")</f>
        <v/>
      </c>
      <c r="C1866" s="6" t="str">
        <f ca="1">IF(AND(NEGOCIAÇÕES!O1866="",NEGOCIAÇÕES!N1866&gt;TODAY()),NEGOCIAÇÕES!E1866,"")</f>
        <v/>
      </c>
      <c r="D1866" s="6" t="str">
        <f ca="1">IF(AND(NEGOCIAÇÕES!O1866="",NEGOCIAÇÕES!N1866&gt;TODAY()),NEGOCIAÇÕES!D1866,"")</f>
        <v/>
      </c>
      <c r="E1866" s="9" t="str">
        <f>IF(AND(NEGOCIAÇÕES!B1866&lt;&gt;"",NEGOCIAÇÕES!O1866=""),NEGOCIAÇÕES!N1866,"")</f>
        <v/>
      </c>
    </row>
    <row r="1867" spans="2:5" ht="31.95" hidden="1" customHeight="1" x14ac:dyDescent="0.3">
      <c r="B1867" s="6" t="str">
        <f ca="1">IF(AND(NEGOCIAÇÕES!O1867="",NEGOCIAÇÕES!N1867&gt;TODAY()),NEGOCIAÇÕES!C1867,"")</f>
        <v/>
      </c>
      <c r="C1867" s="6" t="str">
        <f ca="1">IF(AND(NEGOCIAÇÕES!O1867="",NEGOCIAÇÕES!N1867&gt;TODAY()),NEGOCIAÇÕES!E1867,"")</f>
        <v/>
      </c>
      <c r="D1867" s="6" t="str">
        <f ca="1">IF(AND(NEGOCIAÇÕES!O1867="",NEGOCIAÇÕES!N1867&gt;TODAY()),NEGOCIAÇÕES!D1867,"")</f>
        <v/>
      </c>
      <c r="E1867" s="9" t="str">
        <f>IF(AND(NEGOCIAÇÕES!B1867&lt;&gt;"",NEGOCIAÇÕES!O1867=""),NEGOCIAÇÕES!N1867,"")</f>
        <v/>
      </c>
    </row>
    <row r="1868" spans="2:5" ht="31.95" hidden="1" customHeight="1" x14ac:dyDescent="0.3">
      <c r="B1868" s="6" t="str">
        <f ca="1">IF(AND(NEGOCIAÇÕES!O1868="",NEGOCIAÇÕES!N1868&gt;TODAY()),NEGOCIAÇÕES!C1868,"")</f>
        <v/>
      </c>
      <c r="C1868" s="6" t="str">
        <f ca="1">IF(AND(NEGOCIAÇÕES!O1868="",NEGOCIAÇÕES!N1868&gt;TODAY()),NEGOCIAÇÕES!E1868,"")</f>
        <v/>
      </c>
      <c r="D1868" s="6" t="str">
        <f ca="1">IF(AND(NEGOCIAÇÕES!O1868="",NEGOCIAÇÕES!N1868&gt;TODAY()),NEGOCIAÇÕES!D1868,"")</f>
        <v/>
      </c>
      <c r="E1868" s="9" t="str">
        <f>IF(AND(NEGOCIAÇÕES!B1868&lt;&gt;"",NEGOCIAÇÕES!O1868=""),NEGOCIAÇÕES!N1868,"")</f>
        <v/>
      </c>
    </row>
    <row r="1869" spans="2:5" ht="31.95" hidden="1" customHeight="1" x14ac:dyDescent="0.3">
      <c r="B1869" s="6" t="str">
        <f ca="1">IF(AND(NEGOCIAÇÕES!O1869="",NEGOCIAÇÕES!N1869&gt;TODAY()),NEGOCIAÇÕES!C1869,"")</f>
        <v/>
      </c>
      <c r="C1869" s="6" t="str">
        <f ca="1">IF(AND(NEGOCIAÇÕES!O1869="",NEGOCIAÇÕES!N1869&gt;TODAY()),NEGOCIAÇÕES!E1869,"")</f>
        <v/>
      </c>
      <c r="D1869" s="6" t="str">
        <f ca="1">IF(AND(NEGOCIAÇÕES!O1869="",NEGOCIAÇÕES!N1869&gt;TODAY()),NEGOCIAÇÕES!D1869,"")</f>
        <v/>
      </c>
      <c r="E1869" s="9" t="str">
        <f>IF(AND(NEGOCIAÇÕES!B1869&lt;&gt;"",NEGOCIAÇÕES!O1869=""),NEGOCIAÇÕES!N1869,"")</f>
        <v/>
      </c>
    </row>
    <row r="1870" spans="2:5" ht="31.95" hidden="1" customHeight="1" x14ac:dyDescent="0.3">
      <c r="B1870" s="6" t="str">
        <f ca="1">IF(AND(NEGOCIAÇÕES!O1870="",NEGOCIAÇÕES!N1870&gt;TODAY()),NEGOCIAÇÕES!C1870,"")</f>
        <v/>
      </c>
      <c r="C1870" s="6" t="str">
        <f ca="1">IF(AND(NEGOCIAÇÕES!O1870="",NEGOCIAÇÕES!N1870&gt;TODAY()),NEGOCIAÇÕES!E1870,"")</f>
        <v/>
      </c>
      <c r="D1870" s="6" t="str">
        <f ca="1">IF(AND(NEGOCIAÇÕES!O1870="",NEGOCIAÇÕES!N1870&gt;TODAY()),NEGOCIAÇÕES!D1870,"")</f>
        <v/>
      </c>
      <c r="E1870" s="9" t="str">
        <f>IF(AND(NEGOCIAÇÕES!B1870&lt;&gt;"",NEGOCIAÇÕES!O1870=""),NEGOCIAÇÕES!N1870,"")</f>
        <v/>
      </c>
    </row>
    <row r="1871" spans="2:5" ht="31.95" hidden="1" customHeight="1" x14ac:dyDescent="0.3">
      <c r="B1871" s="6" t="str">
        <f ca="1">IF(AND(NEGOCIAÇÕES!O1871="",NEGOCIAÇÕES!N1871&gt;TODAY()),NEGOCIAÇÕES!C1871,"")</f>
        <v/>
      </c>
      <c r="C1871" s="6" t="str">
        <f ca="1">IF(AND(NEGOCIAÇÕES!O1871="",NEGOCIAÇÕES!N1871&gt;TODAY()),NEGOCIAÇÕES!E1871,"")</f>
        <v/>
      </c>
      <c r="D1871" s="6" t="str">
        <f ca="1">IF(AND(NEGOCIAÇÕES!O1871="",NEGOCIAÇÕES!N1871&gt;TODAY()),NEGOCIAÇÕES!D1871,"")</f>
        <v/>
      </c>
      <c r="E1871" s="9" t="str">
        <f>IF(AND(NEGOCIAÇÕES!B1871&lt;&gt;"",NEGOCIAÇÕES!O1871=""),NEGOCIAÇÕES!N1871,"")</f>
        <v/>
      </c>
    </row>
    <row r="1872" spans="2:5" ht="31.95" hidden="1" customHeight="1" x14ac:dyDescent="0.3">
      <c r="B1872" s="6" t="str">
        <f ca="1">IF(AND(NEGOCIAÇÕES!O1872="",NEGOCIAÇÕES!N1872&gt;TODAY()),NEGOCIAÇÕES!C1872,"")</f>
        <v/>
      </c>
      <c r="C1872" s="6" t="str">
        <f ca="1">IF(AND(NEGOCIAÇÕES!O1872="",NEGOCIAÇÕES!N1872&gt;TODAY()),NEGOCIAÇÕES!E1872,"")</f>
        <v/>
      </c>
      <c r="D1872" s="6" t="str">
        <f ca="1">IF(AND(NEGOCIAÇÕES!O1872="",NEGOCIAÇÕES!N1872&gt;TODAY()),NEGOCIAÇÕES!D1872,"")</f>
        <v/>
      </c>
      <c r="E1872" s="9" t="str">
        <f>IF(AND(NEGOCIAÇÕES!B1872&lt;&gt;"",NEGOCIAÇÕES!O1872=""),NEGOCIAÇÕES!N1872,"")</f>
        <v/>
      </c>
    </row>
    <row r="1873" spans="2:5" ht="31.95" hidden="1" customHeight="1" x14ac:dyDescent="0.3">
      <c r="B1873" s="6" t="str">
        <f ca="1">IF(AND(NEGOCIAÇÕES!O1873="",NEGOCIAÇÕES!N1873&gt;TODAY()),NEGOCIAÇÕES!C1873,"")</f>
        <v/>
      </c>
      <c r="C1873" s="6" t="str">
        <f ca="1">IF(AND(NEGOCIAÇÕES!O1873="",NEGOCIAÇÕES!N1873&gt;TODAY()),NEGOCIAÇÕES!E1873,"")</f>
        <v/>
      </c>
      <c r="D1873" s="6" t="str">
        <f ca="1">IF(AND(NEGOCIAÇÕES!O1873="",NEGOCIAÇÕES!N1873&gt;TODAY()),NEGOCIAÇÕES!D1873,"")</f>
        <v/>
      </c>
      <c r="E1873" s="9" t="str">
        <f>IF(AND(NEGOCIAÇÕES!B1873&lt;&gt;"",NEGOCIAÇÕES!O1873=""),NEGOCIAÇÕES!N1873,"")</f>
        <v/>
      </c>
    </row>
    <row r="1874" spans="2:5" ht="31.95" hidden="1" customHeight="1" x14ac:dyDescent="0.3">
      <c r="B1874" s="6" t="str">
        <f ca="1">IF(AND(NEGOCIAÇÕES!O1874="",NEGOCIAÇÕES!N1874&gt;TODAY()),NEGOCIAÇÕES!C1874,"")</f>
        <v/>
      </c>
      <c r="C1874" s="6" t="str">
        <f ca="1">IF(AND(NEGOCIAÇÕES!O1874="",NEGOCIAÇÕES!N1874&gt;TODAY()),NEGOCIAÇÕES!E1874,"")</f>
        <v/>
      </c>
      <c r="D1874" s="6" t="str">
        <f ca="1">IF(AND(NEGOCIAÇÕES!O1874="",NEGOCIAÇÕES!N1874&gt;TODAY()),NEGOCIAÇÕES!D1874,"")</f>
        <v/>
      </c>
      <c r="E1874" s="9" t="str">
        <f>IF(AND(NEGOCIAÇÕES!B1874&lt;&gt;"",NEGOCIAÇÕES!O1874=""),NEGOCIAÇÕES!N1874,"")</f>
        <v/>
      </c>
    </row>
    <row r="1875" spans="2:5" ht="31.95" hidden="1" customHeight="1" x14ac:dyDescent="0.3">
      <c r="B1875" s="6" t="str">
        <f ca="1">IF(AND(NEGOCIAÇÕES!O1875="",NEGOCIAÇÕES!N1875&gt;TODAY()),NEGOCIAÇÕES!C1875,"")</f>
        <v/>
      </c>
      <c r="C1875" s="6" t="str">
        <f ca="1">IF(AND(NEGOCIAÇÕES!O1875="",NEGOCIAÇÕES!N1875&gt;TODAY()),NEGOCIAÇÕES!E1875,"")</f>
        <v/>
      </c>
      <c r="D1875" s="6" t="str">
        <f ca="1">IF(AND(NEGOCIAÇÕES!O1875="",NEGOCIAÇÕES!N1875&gt;TODAY()),NEGOCIAÇÕES!D1875,"")</f>
        <v/>
      </c>
      <c r="E1875" s="9" t="str">
        <f>IF(AND(NEGOCIAÇÕES!B1875&lt;&gt;"",NEGOCIAÇÕES!O1875=""),NEGOCIAÇÕES!N1875,"")</f>
        <v/>
      </c>
    </row>
    <row r="1876" spans="2:5" ht="31.95" hidden="1" customHeight="1" x14ac:dyDescent="0.3">
      <c r="B1876" s="6" t="str">
        <f ca="1">IF(AND(NEGOCIAÇÕES!O1876="",NEGOCIAÇÕES!N1876&gt;TODAY()),NEGOCIAÇÕES!C1876,"")</f>
        <v/>
      </c>
      <c r="C1876" s="6" t="str">
        <f ca="1">IF(AND(NEGOCIAÇÕES!O1876="",NEGOCIAÇÕES!N1876&gt;TODAY()),NEGOCIAÇÕES!E1876,"")</f>
        <v/>
      </c>
      <c r="D1876" s="6" t="str">
        <f ca="1">IF(AND(NEGOCIAÇÕES!O1876="",NEGOCIAÇÕES!N1876&gt;TODAY()),NEGOCIAÇÕES!D1876,"")</f>
        <v/>
      </c>
      <c r="E1876" s="9" t="str">
        <f>IF(AND(NEGOCIAÇÕES!B1876&lt;&gt;"",NEGOCIAÇÕES!O1876=""),NEGOCIAÇÕES!N1876,"")</f>
        <v/>
      </c>
    </row>
    <row r="1877" spans="2:5" ht="31.95" hidden="1" customHeight="1" x14ac:dyDescent="0.3">
      <c r="B1877" s="6" t="str">
        <f ca="1">IF(AND(NEGOCIAÇÕES!O1877="",NEGOCIAÇÕES!N1877&gt;TODAY()),NEGOCIAÇÕES!C1877,"")</f>
        <v/>
      </c>
      <c r="C1877" s="6" t="str">
        <f ca="1">IF(AND(NEGOCIAÇÕES!O1877="",NEGOCIAÇÕES!N1877&gt;TODAY()),NEGOCIAÇÕES!E1877,"")</f>
        <v/>
      </c>
      <c r="D1877" s="6" t="str">
        <f ca="1">IF(AND(NEGOCIAÇÕES!O1877="",NEGOCIAÇÕES!N1877&gt;TODAY()),NEGOCIAÇÕES!D1877,"")</f>
        <v/>
      </c>
      <c r="E1877" s="9" t="str">
        <f>IF(AND(NEGOCIAÇÕES!B1877&lt;&gt;"",NEGOCIAÇÕES!O1877=""),NEGOCIAÇÕES!N1877,"")</f>
        <v/>
      </c>
    </row>
    <row r="1878" spans="2:5" ht="31.95" hidden="1" customHeight="1" x14ac:dyDescent="0.3">
      <c r="B1878" s="6" t="str">
        <f ca="1">IF(AND(NEGOCIAÇÕES!O1878="",NEGOCIAÇÕES!N1878&gt;TODAY()),NEGOCIAÇÕES!C1878,"")</f>
        <v/>
      </c>
      <c r="C1878" s="6" t="str">
        <f ca="1">IF(AND(NEGOCIAÇÕES!O1878="",NEGOCIAÇÕES!N1878&gt;TODAY()),NEGOCIAÇÕES!E1878,"")</f>
        <v/>
      </c>
      <c r="D1878" s="6" t="str">
        <f ca="1">IF(AND(NEGOCIAÇÕES!O1878="",NEGOCIAÇÕES!N1878&gt;TODAY()),NEGOCIAÇÕES!D1878,"")</f>
        <v/>
      </c>
      <c r="E1878" s="9" t="str">
        <f>IF(AND(NEGOCIAÇÕES!B1878&lt;&gt;"",NEGOCIAÇÕES!O1878=""),NEGOCIAÇÕES!N1878,"")</f>
        <v/>
      </c>
    </row>
    <row r="1879" spans="2:5" ht="31.95" hidden="1" customHeight="1" x14ac:dyDescent="0.3">
      <c r="B1879" s="6" t="str">
        <f ca="1">IF(AND(NEGOCIAÇÕES!O1879="",NEGOCIAÇÕES!N1879&gt;TODAY()),NEGOCIAÇÕES!C1879,"")</f>
        <v/>
      </c>
      <c r="C1879" s="6" t="str">
        <f ca="1">IF(AND(NEGOCIAÇÕES!O1879="",NEGOCIAÇÕES!N1879&gt;TODAY()),NEGOCIAÇÕES!E1879,"")</f>
        <v/>
      </c>
      <c r="D1879" s="6" t="str">
        <f ca="1">IF(AND(NEGOCIAÇÕES!O1879="",NEGOCIAÇÕES!N1879&gt;TODAY()),NEGOCIAÇÕES!D1879,"")</f>
        <v/>
      </c>
      <c r="E1879" s="9" t="str">
        <f>IF(AND(NEGOCIAÇÕES!B1879&lt;&gt;"",NEGOCIAÇÕES!O1879=""),NEGOCIAÇÕES!N1879,"")</f>
        <v/>
      </c>
    </row>
    <row r="1880" spans="2:5" ht="31.95" hidden="1" customHeight="1" x14ac:dyDescent="0.3">
      <c r="B1880" s="6" t="str">
        <f ca="1">IF(AND(NEGOCIAÇÕES!O1880="",NEGOCIAÇÕES!N1880&gt;TODAY()),NEGOCIAÇÕES!C1880,"")</f>
        <v/>
      </c>
      <c r="C1880" s="6" t="str">
        <f ca="1">IF(AND(NEGOCIAÇÕES!O1880="",NEGOCIAÇÕES!N1880&gt;TODAY()),NEGOCIAÇÕES!E1880,"")</f>
        <v/>
      </c>
      <c r="D1880" s="6" t="str">
        <f ca="1">IF(AND(NEGOCIAÇÕES!O1880="",NEGOCIAÇÕES!N1880&gt;TODAY()),NEGOCIAÇÕES!D1880,"")</f>
        <v/>
      </c>
      <c r="E1880" s="9" t="str">
        <f>IF(AND(NEGOCIAÇÕES!B1880&lt;&gt;"",NEGOCIAÇÕES!O1880=""),NEGOCIAÇÕES!N1880,"")</f>
        <v/>
      </c>
    </row>
    <row r="1881" spans="2:5" ht="31.95" hidden="1" customHeight="1" x14ac:dyDescent="0.3">
      <c r="B1881" s="6" t="str">
        <f ca="1">IF(AND(NEGOCIAÇÕES!O1881="",NEGOCIAÇÕES!N1881&gt;TODAY()),NEGOCIAÇÕES!C1881,"")</f>
        <v/>
      </c>
      <c r="C1881" s="6" t="str">
        <f ca="1">IF(AND(NEGOCIAÇÕES!O1881="",NEGOCIAÇÕES!N1881&gt;TODAY()),NEGOCIAÇÕES!E1881,"")</f>
        <v/>
      </c>
      <c r="D1881" s="6" t="str">
        <f ca="1">IF(AND(NEGOCIAÇÕES!O1881="",NEGOCIAÇÕES!N1881&gt;TODAY()),NEGOCIAÇÕES!D1881,"")</f>
        <v/>
      </c>
      <c r="E1881" s="9" t="str">
        <f>IF(AND(NEGOCIAÇÕES!B1881&lt;&gt;"",NEGOCIAÇÕES!O1881=""),NEGOCIAÇÕES!N1881,"")</f>
        <v/>
      </c>
    </row>
    <row r="1882" spans="2:5" ht="31.95" hidden="1" customHeight="1" x14ac:dyDescent="0.3">
      <c r="B1882" s="6" t="str">
        <f ca="1">IF(AND(NEGOCIAÇÕES!O1882="",NEGOCIAÇÕES!N1882&gt;TODAY()),NEGOCIAÇÕES!C1882,"")</f>
        <v/>
      </c>
      <c r="C1882" s="6" t="str">
        <f ca="1">IF(AND(NEGOCIAÇÕES!O1882="",NEGOCIAÇÕES!N1882&gt;TODAY()),NEGOCIAÇÕES!E1882,"")</f>
        <v/>
      </c>
      <c r="D1882" s="6" t="str">
        <f ca="1">IF(AND(NEGOCIAÇÕES!O1882="",NEGOCIAÇÕES!N1882&gt;TODAY()),NEGOCIAÇÕES!D1882,"")</f>
        <v/>
      </c>
      <c r="E1882" s="9" t="str">
        <f>IF(AND(NEGOCIAÇÕES!B1882&lt;&gt;"",NEGOCIAÇÕES!O1882=""),NEGOCIAÇÕES!N1882,"")</f>
        <v/>
      </c>
    </row>
    <row r="1883" spans="2:5" ht="31.95" hidden="1" customHeight="1" x14ac:dyDescent="0.3">
      <c r="B1883" s="6" t="str">
        <f ca="1">IF(AND(NEGOCIAÇÕES!O1883="",NEGOCIAÇÕES!N1883&gt;TODAY()),NEGOCIAÇÕES!C1883,"")</f>
        <v/>
      </c>
      <c r="C1883" s="6" t="str">
        <f ca="1">IF(AND(NEGOCIAÇÕES!O1883="",NEGOCIAÇÕES!N1883&gt;TODAY()),NEGOCIAÇÕES!E1883,"")</f>
        <v/>
      </c>
      <c r="D1883" s="6" t="str">
        <f ca="1">IF(AND(NEGOCIAÇÕES!O1883="",NEGOCIAÇÕES!N1883&gt;TODAY()),NEGOCIAÇÕES!D1883,"")</f>
        <v/>
      </c>
      <c r="E1883" s="9" t="str">
        <f>IF(AND(NEGOCIAÇÕES!B1883&lt;&gt;"",NEGOCIAÇÕES!O1883=""),NEGOCIAÇÕES!N1883,"")</f>
        <v/>
      </c>
    </row>
    <row r="1884" spans="2:5" ht="31.95" hidden="1" customHeight="1" x14ac:dyDescent="0.3">
      <c r="B1884" s="6" t="str">
        <f ca="1">IF(AND(NEGOCIAÇÕES!O1884="",NEGOCIAÇÕES!N1884&gt;TODAY()),NEGOCIAÇÕES!C1884,"")</f>
        <v/>
      </c>
      <c r="C1884" s="6" t="str">
        <f ca="1">IF(AND(NEGOCIAÇÕES!O1884="",NEGOCIAÇÕES!N1884&gt;TODAY()),NEGOCIAÇÕES!E1884,"")</f>
        <v/>
      </c>
      <c r="D1884" s="6" t="str">
        <f ca="1">IF(AND(NEGOCIAÇÕES!O1884="",NEGOCIAÇÕES!N1884&gt;TODAY()),NEGOCIAÇÕES!D1884,"")</f>
        <v/>
      </c>
      <c r="E1884" s="9" t="str">
        <f>IF(AND(NEGOCIAÇÕES!B1884&lt;&gt;"",NEGOCIAÇÕES!O1884=""),NEGOCIAÇÕES!N1884,"")</f>
        <v/>
      </c>
    </row>
    <row r="1885" spans="2:5" ht="31.95" hidden="1" customHeight="1" x14ac:dyDescent="0.3">
      <c r="B1885" s="6" t="str">
        <f ca="1">IF(AND(NEGOCIAÇÕES!O1885="",NEGOCIAÇÕES!N1885&gt;TODAY()),NEGOCIAÇÕES!C1885,"")</f>
        <v/>
      </c>
      <c r="C1885" s="6" t="str">
        <f ca="1">IF(AND(NEGOCIAÇÕES!O1885="",NEGOCIAÇÕES!N1885&gt;TODAY()),NEGOCIAÇÕES!E1885,"")</f>
        <v/>
      </c>
      <c r="D1885" s="6" t="str">
        <f ca="1">IF(AND(NEGOCIAÇÕES!O1885="",NEGOCIAÇÕES!N1885&gt;TODAY()),NEGOCIAÇÕES!D1885,"")</f>
        <v/>
      </c>
      <c r="E1885" s="9" t="str">
        <f>IF(AND(NEGOCIAÇÕES!B1885&lt;&gt;"",NEGOCIAÇÕES!O1885=""),NEGOCIAÇÕES!N1885,"")</f>
        <v/>
      </c>
    </row>
    <row r="1886" spans="2:5" ht="31.95" hidden="1" customHeight="1" x14ac:dyDescent="0.3">
      <c r="B1886" s="6" t="str">
        <f ca="1">IF(AND(NEGOCIAÇÕES!O1886="",NEGOCIAÇÕES!N1886&gt;TODAY()),NEGOCIAÇÕES!C1886,"")</f>
        <v/>
      </c>
      <c r="C1886" s="6" t="str">
        <f ca="1">IF(AND(NEGOCIAÇÕES!O1886="",NEGOCIAÇÕES!N1886&gt;TODAY()),NEGOCIAÇÕES!E1886,"")</f>
        <v/>
      </c>
      <c r="D1886" s="6" t="str">
        <f ca="1">IF(AND(NEGOCIAÇÕES!O1886="",NEGOCIAÇÕES!N1886&gt;TODAY()),NEGOCIAÇÕES!D1886,"")</f>
        <v/>
      </c>
      <c r="E1886" s="9" t="str">
        <f>IF(AND(NEGOCIAÇÕES!B1886&lt;&gt;"",NEGOCIAÇÕES!O1886=""),NEGOCIAÇÕES!N1886,"")</f>
        <v/>
      </c>
    </row>
    <row r="1887" spans="2:5" ht="31.95" hidden="1" customHeight="1" x14ac:dyDescent="0.3">
      <c r="B1887" s="6" t="str">
        <f ca="1">IF(AND(NEGOCIAÇÕES!O1887="",NEGOCIAÇÕES!N1887&gt;TODAY()),NEGOCIAÇÕES!C1887,"")</f>
        <v/>
      </c>
      <c r="C1887" s="6" t="str">
        <f ca="1">IF(AND(NEGOCIAÇÕES!O1887="",NEGOCIAÇÕES!N1887&gt;TODAY()),NEGOCIAÇÕES!E1887,"")</f>
        <v/>
      </c>
      <c r="D1887" s="6" t="str">
        <f ca="1">IF(AND(NEGOCIAÇÕES!O1887="",NEGOCIAÇÕES!N1887&gt;TODAY()),NEGOCIAÇÕES!D1887,"")</f>
        <v/>
      </c>
      <c r="E1887" s="9" t="str">
        <f>IF(AND(NEGOCIAÇÕES!B1887&lt;&gt;"",NEGOCIAÇÕES!O1887=""),NEGOCIAÇÕES!N1887,"")</f>
        <v/>
      </c>
    </row>
    <row r="1888" spans="2:5" ht="31.95" hidden="1" customHeight="1" x14ac:dyDescent="0.3">
      <c r="B1888" s="6" t="str">
        <f ca="1">IF(AND(NEGOCIAÇÕES!O1888="",NEGOCIAÇÕES!N1888&gt;TODAY()),NEGOCIAÇÕES!C1888,"")</f>
        <v/>
      </c>
      <c r="C1888" s="6" t="str">
        <f ca="1">IF(AND(NEGOCIAÇÕES!O1888="",NEGOCIAÇÕES!N1888&gt;TODAY()),NEGOCIAÇÕES!E1888,"")</f>
        <v/>
      </c>
      <c r="D1888" s="6" t="str">
        <f ca="1">IF(AND(NEGOCIAÇÕES!O1888="",NEGOCIAÇÕES!N1888&gt;TODAY()),NEGOCIAÇÕES!D1888,"")</f>
        <v/>
      </c>
      <c r="E1888" s="9" t="str">
        <f>IF(AND(NEGOCIAÇÕES!B1888&lt;&gt;"",NEGOCIAÇÕES!O1888=""),NEGOCIAÇÕES!N1888,"")</f>
        <v/>
      </c>
    </row>
    <row r="1889" spans="2:5" ht="31.95" hidden="1" customHeight="1" x14ac:dyDescent="0.3">
      <c r="B1889" s="6" t="str">
        <f ca="1">IF(AND(NEGOCIAÇÕES!O1889="",NEGOCIAÇÕES!N1889&gt;TODAY()),NEGOCIAÇÕES!C1889,"")</f>
        <v/>
      </c>
      <c r="C1889" s="6" t="str">
        <f ca="1">IF(AND(NEGOCIAÇÕES!O1889="",NEGOCIAÇÕES!N1889&gt;TODAY()),NEGOCIAÇÕES!E1889,"")</f>
        <v/>
      </c>
      <c r="D1889" s="6" t="str">
        <f ca="1">IF(AND(NEGOCIAÇÕES!O1889="",NEGOCIAÇÕES!N1889&gt;TODAY()),NEGOCIAÇÕES!D1889,"")</f>
        <v/>
      </c>
      <c r="E1889" s="9" t="str">
        <f>IF(AND(NEGOCIAÇÕES!B1889&lt;&gt;"",NEGOCIAÇÕES!O1889=""),NEGOCIAÇÕES!N1889,"")</f>
        <v/>
      </c>
    </row>
    <row r="1890" spans="2:5" ht="31.95" hidden="1" customHeight="1" x14ac:dyDescent="0.3">
      <c r="B1890" s="6" t="str">
        <f ca="1">IF(AND(NEGOCIAÇÕES!O1890="",NEGOCIAÇÕES!N1890&gt;TODAY()),NEGOCIAÇÕES!C1890,"")</f>
        <v/>
      </c>
      <c r="C1890" s="6" t="str">
        <f ca="1">IF(AND(NEGOCIAÇÕES!O1890="",NEGOCIAÇÕES!N1890&gt;TODAY()),NEGOCIAÇÕES!E1890,"")</f>
        <v/>
      </c>
      <c r="D1890" s="6" t="str">
        <f ca="1">IF(AND(NEGOCIAÇÕES!O1890="",NEGOCIAÇÕES!N1890&gt;TODAY()),NEGOCIAÇÕES!D1890,"")</f>
        <v/>
      </c>
      <c r="E1890" s="9" t="str">
        <f>IF(AND(NEGOCIAÇÕES!B1890&lt;&gt;"",NEGOCIAÇÕES!O1890=""),NEGOCIAÇÕES!N1890,"")</f>
        <v/>
      </c>
    </row>
    <row r="1891" spans="2:5" ht="31.95" hidden="1" customHeight="1" x14ac:dyDescent="0.3">
      <c r="B1891" s="6" t="str">
        <f ca="1">IF(AND(NEGOCIAÇÕES!O1891="",NEGOCIAÇÕES!N1891&gt;TODAY()),NEGOCIAÇÕES!C1891,"")</f>
        <v/>
      </c>
      <c r="C1891" s="6" t="str">
        <f ca="1">IF(AND(NEGOCIAÇÕES!O1891="",NEGOCIAÇÕES!N1891&gt;TODAY()),NEGOCIAÇÕES!E1891,"")</f>
        <v/>
      </c>
      <c r="D1891" s="6" t="str">
        <f ca="1">IF(AND(NEGOCIAÇÕES!O1891="",NEGOCIAÇÕES!N1891&gt;TODAY()),NEGOCIAÇÕES!D1891,"")</f>
        <v/>
      </c>
      <c r="E1891" s="9" t="str">
        <f>IF(AND(NEGOCIAÇÕES!B1891&lt;&gt;"",NEGOCIAÇÕES!O1891=""),NEGOCIAÇÕES!N1891,"")</f>
        <v/>
      </c>
    </row>
    <row r="1892" spans="2:5" ht="31.95" hidden="1" customHeight="1" x14ac:dyDescent="0.3">
      <c r="B1892" s="6" t="str">
        <f ca="1">IF(AND(NEGOCIAÇÕES!O1892="",NEGOCIAÇÕES!N1892&gt;TODAY()),NEGOCIAÇÕES!C1892,"")</f>
        <v/>
      </c>
      <c r="C1892" s="6" t="str">
        <f ca="1">IF(AND(NEGOCIAÇÕES!O1892="",NEGOCIAÇÕES!N1892&gt;TODAY()),NEGOCIAÇÕES!E1892,"")</f>
        <v/>
      </c>
      <c r="D1892" s="6" t="str">
        <f ca="1">IF(AND(NEGOCIAÇÕES!O1892="",NEGOCIAÇÕES!N1892&gt;TODAY()),NEGOCIAÇÕES!D1892,"")</f>
        <v/>
      </c>
      <c r="E1892" s="9" t="str">
        <f>IF(AND(NEGOCIAÇÕES!B1892&lt;&gt;"",NEGOCIAÇÕES!O1892=""),NEGOCIAÇÕES!N1892,"")</f>
        <v/>
      </c>
    </row>
    <row r="1893" spans="2:5" ht="31.95" hidden="1" customHeight="1" x14ac:dyDescent="0.3">
      <c r="B1893" s="6" t="str">
        <f ca="1">IF(AND(NEGOCIAÇÕES!O1893="",NEGOCIAÇÕES!N1893&gt;TODAY()),NEGOCIAÇÕES!C1893,"")</f>
        <v/>
      </c>
      <c r="C1893" s="6" t="str">
        <f ca="1">IF(AND(NEGOCIAÇÕES!O1893="",NEGOCIAÇÕES!N1893&gt;TODAY()),NEGOCIAÇÕES!E1893,"")</f>
        <v/>
      </c>
      <c r="D1893" s="6" t="str">
        <f ca="1">IF(AND(NEGOCIAÇÕES!O1893="",NEGOCIAÇÕES!N1893&gt;TODAY()),NEGOCIAÇÕES!D1893,"")</f>
        <v/>
      </c>
      <c r="E1893" s="9" t="str">
        <f>IF(AND(NEGOCIAÇÕES!B1893&lt;&gt;"",NEGOCIAÇÕES!O1893=""),NEGOCIAÇÕES!N1893,"")</f>
        <v/>
      </c>
    </row>
    <row r="1894" spans="2:5" ht="31.95" hidden="1" customHeight="1" x14ac:dyDescent="0.3">
      <c r="B1894" s="6" t="str">
        <f ca="1">IF(AND(NEGOCIAÇÕES!O1894="",NEGOCIAÇÕES!N1894&gt;TODAY()),NEGOCIAÇÕES!C1894,"")</f>
        <v/>
      </c>
      <c r="C1894" s="6" t="str">
        <f ca="1">IF(AND(NEGOCIAÇÕES!O1894="",NEGOCIAÇÕES!N1894&gt;TODAY()),NEGOCIAÇÕES!E1894,"")</f>
        <v/>
      </c>
      <c r="D1894" s="6" t="str">
        <f ca="1">IF(AND(NEGOCIAÇÕES!O1894="",NEGOCIAÇÕES!N1894&gt;TODAY()),NEGOCIAÇÕES!D1894,"")</f>
        <v/>
      </c>
      <c r="E1894" s="9" t="str">
        <f>IF(AND(NEGOCIAÇÕES!B1894&lt;&gt;"",NEGOCIAÇÕES!O1894=""),NEGOCIAÇÕES!N1894,"")</f>
        <v/>
      </c>
    </row>
    <row r="1895" spans="2:5" ht="31.95" hidden="1" customHeight="1" x14ac:dyDescent="0.3">
      <c r="B1895" s="6" t="str">
        <f ca="1">IF(AND(NEGOCIAÇÕES!O1895="",NEGOCIAÇÕES!N1895&gt;TODAY()),NEGOCIAÇÕES!C1895,"")</f>
        <v/>
      </c>
      <c r="C1895" s="6" t="str">
        <f ca="1">IF(AND(NEGOCIAÇÕES!O1895="",NEGOCIAÇÕES!N1895&gt;TODAY()),NEGOCIAÇÕES!E1895,"")</f>
        <v/>
      </c>
      <c r="D1895" s="6" t="str">
        <f ca="1">IF(AND(NEGOCIAÇÕES!O1895="",NEGOCIAÇÕES!N1895&gt;TODAY()),NEGOCIAÇÕES!D1895,"")</f>
        <v/>
      </c>
      <c r="E1895" s="9" t="str">
        <f>IF(AND(NEGOCIAÇÕES!B1895&lt;&gt;"",NEGOCIAÇÕES!O1895=""),NEGOCIAÇÕES!N1895,"")</f>
        <v/>
      </c>
    </row>
    <row r="1896" spans="2:5" ht="31.95" hidden="1" customHeight="1" x14ac:dyDescent="0.3">
      <c r="B1896" s="6" t="str">
        <f ca="1">IF(AND(NEGOCIAÇÕES!O1896="",NEGOCIAÇÕES!N1896&gt;TODAY()),NEGOCIAÇÕES!C1896,"")</f>
        <v/>
      </c>
      <c r="C1896" s="6" t="str">
        <f ca="1">IF(AND(NEGOCIAÇÕES!O1896="",NEGOCIAÇÕES!N1896&gt;TODAY()),NEGOCIAÇÕES!E1896,"")</f>
        <v/>
      </c>
      <c r="D1896" s="6" t="str">
        <f ca="1">IF(AND(NEGOCIAÇÕES!O1896="",NEGOCIAÇÕES!N1896&gt;TODAY()),NEGOCIAÇÕES!D1896,"")</f>
        <v/>
      </c>
      <c r="E1896" s="9" t="str">
        <f>IF(AND(NEGOCIAÇÕES!B1896&lt;&gt;"",NEGOCIAÇÕES!O1896=""),NEGOCIAÇÕES!N1896,"")</f>
        <v/>
      </c>
    </row>
    <row r="1897" spans="2:5" ht="31.95" hidden="1" customHeight="1" x14ac:dyDescent="0.3">
      <c r="B1897" s="6" t="str">
        <f ca="1">IF(AND(NEGOCIAÇÕES!O1897="",NEGOCIAÇÕES!N1897&gt;TODAY()),NEGOCIAÇÕES!C1897,"")</f>
        <v/>
      </c>
      <c r="C1897" s="6" t="str">
        <f ca="1">IF(AND(NEGOCIAÇÕES!O1897="",NEGOCIAÇÕES!N1897&gt;TODAY()),NEGOCIAÇÕES!E1897,"")</f>
        <v/>
      </c>
      <c r="D1897" s="6" t="str">
        <f ca="1">IF(AND(NEGOCIAÇÕES!O1897="",NEGOCIAÇÕES!N1897&gt;TODAY()),NEGOCIAÇÕES!D1897,"")</f>
        <v/>
      </c>
      <c r="E1897" s="9" t="str">
        <f>IF(AND(NEGOCIAÇÕES!B1897&lt;&gt;"",NEGOCIAÇÕES!O1897=""),NEGOCIAÇÕES!N1897,"")</f>
        <v/>
      </c>
    </row>
    <row r="1898" spans="2:5" ht="31.95" hidden="1" customHeight="1" x14ac:dyDescent="0.3">
      <c r="B1898" s="6" t="str">
        <f ca="1">IF(AND(NEGOCIAÇÕES!O1898="",NEGOCIAÇÕES!N1898&gt;TODAY()),NEGOCIAÇÕES!C1898,"")</f>
        <v/>
      </c>
      <c r="C1898" s="6" t="str">
        <f ca="1">IF(AND(NEGOCIAÇÕES!O1898="",NEGOCIAÇÕES!N1898&gt;TODAY()),NEGOCIAÇÕES!E1898,"")</f>
        <v/>
      </c>
      <c r="D1898" s="6" t="str">
        <f ca="1">IF(AND(NEGOCIAÇÕES!O1898="",NEGOCIAÇÕES!N1898&gt;TODAY()),NEGOCIAÇÕES!D1898,"")</f>
        <v/>
      </c>
      <c r="E1898" s="9" t="str">
        <f>IF(AND(NEGOCIAÇÕES!B1898&lt;&gt;"",NEGOCIAÇÕES!O1898=""),NEGOCIAÇÕES!N1898,"")</f>
        <v/>
      </c>
    </row>
    <row r="1899" spans="2:5" ht="31.95" hidden="1" customHeight="1" x14ac:dyDescent="0.3">
      <c r="B1899" s="6" t="str">
        <f ca="1">IF(AND(NEGOCIAÇÕES!O1899="",NEGOCIAÇÕES!N1899&gt;TODAY()),NEGOCIAÇÕES!C1899,"")</f>
        <v/>
      </c>
      <c r="C1899" s="6" t="str">
        <f ca="1">IF(AND(NEGOCIAÇÕES!O1899="",NEGOCIAÇÕES!N1899&gt;TODAY()),NEGOCIAÇÕES!E1899,"")</f>
        <v/>
      </c>
      <c r="D1899" s="6" t="str">
        <f ca="1">IF(AND(NEGOCIAÇÕES!O1899="",NEGOCIAÇÕES!N1899&gt;TODAY()),NEGOCIAÇÕES!D1899,"")</f>
        <v/>
      </c>
      <c r="E1899" s="9" t="str">
        <f>IF(AND(NEGOCIAÇÕES!B1899&lt;&gt;"",NEGOCIAÇÕES!O1899=""),NEGOCIAÇÕES!N1899,"")</f>
        <v/>
      </c>
    </row>
    <row r="1900" spans="2:5" ht="31.95" hidden="1" customHeight="1" x14ac:dyDescent="0.3">
      <c r="B1900" s="6" t="str">
        <f ca="1">IF(AND(NEGOCIAÇÕES!O1900="",NEGOCIAÇÕES!N1900&gt;TODAY()),NEGOCIAÇÕES!C1900,"")</f>
        <v/>
      </c>
      <c r="C1900" s="6" t="str">
        <f ca="1">IF(AND(NEGOCIAÇÕES!O1900="",NEGOCIAÇÕES!N1900&gt;TODAY()),NEGOCIAÇÕES!E1900,"")</f>
        <v/>
      </c>
      <c r="D1900" s="6" t="str">
        <f ca="1">IF(AND(NEGOCIAÇÕES!O1900="",NEGOCIAÇÕES!N1900&gt;TODAY()),NEGOCIAÇÕES!D1900,"")</f>
        <v/>
      </c>
      <c r="E1900" s="9" t="str">
        <f>IF(AND(NEGOCIAÇÕES!B1900&lt;&gt;"",NEGOCIAÇÕES!O1900=""),NEGOCIAÇÕES!N1900,"")</f>
        <v/>
      </c>
    </row>
    <row r="1901" spans="2:5" ht="31.95" hidden="1" customHeight="1" x14ac:dyDescent="0.3">
      <c r="B1901" s="6" t="str">
        <f ca="1">IF(AND(NEGOCIAÇÕES!O1901="",NEGOCIAÇÕES!N1901&gt;TODAY()),NEGOCIAÇÕES!C1901,"")</f>
        <v/>
      </c>
      <c r="C1901" s="6" t="str">
        <f ca="1">IF(AND(NEGOCIAÇÕES!O1901="",NEGOCIAÇÕES!N1901&gt;TODAY()),NEGOCIAÇÕES!E1901,"")</f>
        <v/>
      </c>
      <c r="D1901" s="6" t="str">
        <f ca="1">IF(AND(NEGOCIAÇÕES!O1901="",NEGOCIAÇÕES!N1901&gt;TODAY()),NEGOCIAÇÕES!D1901,"")</f>
        <v/>
      </c>
      <c r="E1901" s="9" t="str">
        <f>IF(AND(NEGOCIAÇÕES!B1901&lt;&gt;"",NEGOCIAÇÕES!O1901=""),NEGOCIAÇÕES!N1901,"")</f>
        <v/>
      </c>
    </row>
    <row r="1902" spans="2:5" ht="31.95" hidden="1" customHeight="1" x14ac:dyDescent="0.3">
      <c r="B1902" s="6" t="str">
        <f ca="1">IF(AND(NEGOCIAÇÕES!O1902="",NEGOCIAÇÕES!N1902&gt;TODAY()),NEGOCIAÇÕES!C1902,"")</f>
        <v/>
      </c>
      <c r="C1902" s="6" t="str">
        <f ca="1">IF(AND(NEGOCIAÇÕES!O1902="",NEGOCIAÇÕES!N1902&gt;TODAY()),NEGOCIAÇÕES!E1902,"")</f>
        <v/>
      </c>
      <c r="D1902" s="6" t="str">
        <f ca="1">IF(AND(NEGOCIAÇÕES!O1902="",NEGOCIAÇÕES!N1902&gt;TODAY()),NEGOCIAÇÕES!D1902,"")</f>
        <v/>
      </c>
      <c r="E1902" s="9" t="str">
        <f>IF(AND(NEGOCIAÇÕES!B1902&lt;&gt;"",NEGOCIAÇÕES!O1902=""),NEGOCIAÇÕES!N1902,"")</f>
        <v/>
      </c>
    </row>
    <row r="1903" spans="2:5" ht="31.95" hidden="1" customHeight="1" x14ac:dyDescent="0.3">
      <c r="B1903" s="6" t="str">
        <f ca="1">IF(AND(NEGOCIAÇÕES!O1903="",NEGOCIAÇÕES!N1903&gt;TODAY()),NEGOCIAÇÕES!C1903,"")</f>
        <v/>
      </c>
      <c r="C1903" s="6" t="str">
        <f ca="1">IF(AND(NEGOCIAÇÕES!O1903="",NEGOCIAÇÕES!N1903&gt;TODAY()),NEGOCIAÇÕES!E1903,"")</f>
        <v/>
      </c>
      <c r="D1903" s="6" t="str">
        <f ca="1">IF(AND(NEGOCIAÇÕES!O1903="",NEGOCIAÇÕES!N1903&gt;TODAY()),NEGOCIAÇÕES!D1903,"")</f>
        <v/>
      </c>
      <c r="E1903" s="9" t="str">
        <f>IF(AND(NEGOCIAÇÕES!B1903&lt;&gt;"",NEGOCIAÇÕES!O1903=""),NEGOCIAÇÕES!N1903,"")</f>
        <v/>
      </c>
    </row>
    <row r="1904" spans="2:5" ht="31.95" hidden="1" customHeight="1" x14ac:dyDescent="0.3">
      <c r="B1904" s="6" t="str">
        <f ca="1">IF(AND(NEGOCIAÇÕES!O1904="",NEGOCIAÇÕES!N1904&gt;TODAY()),NEGOCIAÇÕES!C1904,"")</f>
        <v/>
      </c>
      <c r="C1904" s="6" t="str">
        <f ca="1">IF(AND(NEGOCIAÇÕES!O1904="",NEGOCIAÇÕES!N1904&gt;TODAY()),NEGOCIAÇÕES!E1904,"")</f>
        <v/>
      </c>
      <c r="D1904" s="6" t="str">
        <f ca="1">IF(AND(NEGOCIAÇÕES!O1904="",NEGOCIAÇÕES!N1904&gt;TODAY()),NEGOCIAÇÕES!D1904,"")</f>
        <v/>
      </c>
      <c r="E1904" s="9" t="str">
        <f>IF(AND(NEGOCIAÇÕES!B1904&lt;&gt;"",NEGOCIAÇÕES!O1904=""),NEGOCIAÇÕES!N1904,"")</f>
        <v/>
      </c>
    </row>
    <row r="1905" spans="2:5" ht="31.95" hidden="1" customHeight="1" x14ac:dyDescent="0.3">
      <c r="B1905" s="6" t="str">
        <f ca="1">IF(AND(NEGOCIAÇÕES!O1905="",NEGOCIAÇÕES!N1905&gt;TODAY()),NEGOCIAÇÕES!C1905,"")</f>
        <v/>
      </c>
      <c r="C1905" s="6" t="str">
        <f ca="1">IF(AND(NEGOCIAÇÕES!O1905="",NEGOCIAÇÕES!N1905&gt;TODAY()),NEGOCIAÇÕES!E1905,"")</f>
        <v/>
      </c>
      <c r="D1905" s="6" t="str">
        <f ca="1">IF(AND(NEGOCIAÇÕES!O1905="",NEGOCIAÇÕES!N1905&gt;TODAY()),NEGOCIAÇÕES!D1905,"")</f>
        <v/>
      </c>
      <c r="E1905" s="9" t="str">
        <f>IF(AND(NEGOCIAÇÕES!B1905&lt;&gt;"",NEGOCIAÇÕES!O1905=""),NEGOCIAÇÕES!N1905,"")</f>
        <v/>
      </c>
    </row>
    <row r="1906" spans="2:5" ht="31.95" hidden="1" customHeight="1" x14ac:dyDescent="0.3">
      <c r="B1906" s="6" t="str">
        <f ca="1">IF(AND(NEGOCIAÇÕES!O1906="",NEGOCIAÇÕES!N1906&gt;TODAY()),NEGOCIAÇÕES!C1906,"")</f>
        <v/>
      </c>
      <c r="C1906" s="6" t="str">
        <f ca="1">IF(AND(NEGOCIAÇÕES!O1906="",NEGOCIAÇÕES!N1906&gt;TODAY()),NEGOCIAÇÕES!E1906,"")</f>
        <v/>
      </c>
      <c r="D1906" s="6" t="str">
        <f ca="1">IF(AND(NEGOCIAÇÕES!O1906="",NEGOCIAÇÕES!N1906&gt;TODAY()),NEGOCIAÇÕES!D1906,"")</f>
        <v/>
      </c>
      <c r="E1906" s="9" t="str">
        <f>IF(AND(NEGOCIAÇÕES!B1906&lt;&gt;"",NEGOCIAÇÕES!O1906=""),NEGOCIAÇÕES!N1906,"")</f>
        <v/>
      </c>
    </row>
    <row r="1907" spans="2:5" ht="31.95" hidden="1" customHeight="1" x14ac:dyDescent="0.3">
      <c r="B1907" s="6" t="str">
        <f ca="1">IF(AND(NEGOCIAÇÕES!O1907="",NEGOCIAÇÕES!N1907&gt;TODAY()),NEGOCIAÇÕES!C1907,"")</f>
        <v/>
      </c>
      <c r="C1907" s="6" t="str">
        <f ca="1">IF(AND(NEGOCIAÇÕES!O1907="",NEGOCIAÇÕES!N1907&gt;TODAY()),NEGOCIAÇÕES!E1907,"")</f>
        <v/>
      </c>
      <c r="D1907" s="6" t="str">
        <f ca="1">IF(AND(NEGOCIAÇÕES!O1907="",NEGOCIAÇÕES!N1907&gt;TODAY()),NEGOCIAÇÕES!D1907,"")</f>
        <v/>
      </c>
      <c r="E1907" s="9" t="str">
        <f>IF(AND(NEGOCIAÇÕES!B1907&lt;&gt;"",NEGOCIAÇÕES!O1907=""),NEGOCIAÇÕES!N1907,"")</f>
        <v/>
      </c>
    </row>
    <row r="1908" spans="2:5" ht="31.95" hidden="1" customHeight="1" x14ac:dyDescent="0.3">
      <c r="B1908" s="6" t="str">
        <f ca="1">IF(AND(NEGOCIAÇÕES!O1908="",NEGOCIAÇÕES!N1908&gt;TODAY()),NEGOCIAÇÕES!C1908,"")</f>
        <v/>
      </c>
      <c r="C1908" s="6" t="str">
        <f ca="1">IF(AND(NEGOCIAÇÕES!O1908="",NEGOCIAÇÕES!N1908&gt;TODAY()),NEGOCIAÇÕES!E1908,"")</f>
        <v/>
      </c>
      <c r="D1908" s="6" t="str">
        <f ca="1">IF(AND(NEGOCIAÇÕES!O1908="",NEGOCIAÇÕES!N1908&gt;TODAY()),NEGOCIAÇÕES!D1908,"")</f>
        <v/>
      </c>
      <c r="E1908" s="9" t="str">
        <f>IF(AND(NEGOCIAÇÕES!B1908&lt;&gt;"",NEGOCIAÇÕES!O1908=""),NEGOCIAÇÕES!N1908,"")</f>
        <v/>
      </c>
    </row>
    <row r="1909" spans="2:5" ht="31.95" hidden="1" customHeight="1" x14ac:dyDescent="0.3">
      <c r="B1909" s="6" t="str">
        <f ca="1">IF(AND(NEGOCIAÇÕES!O1909="",NEGOCIAÇÕES!N1909&gt;TODAY()),NEGOCIAÇÕES!C1909,"")</f>
        <v/>
      </c>
      <c r="C1909" s="6" t="str">
        <f ca="1">IF(AND(NEGOCIAÇÕES!O1909="",NEGOCIAÇÕES!N1909&gt;TODAY()),NEGOCIAÇÕES!E1909,"")</f>
        <v/>
      </c>
      <c r="D1909" s="6" t="str">
        <f ca="1">IF(AND(NEGOCIAÇÕES!O1909="",NEGOCIAÇÕES!N1909&gt;TODAY()),NEGOCIAÇÕES!D1909,"")</f>
        <v/>
      </c>
      <c r="E1909" s="9" t="str">
        <f>IF(AND(NEGOCIAÇÕES!B1909&lt;&gt;"",NEGOCIAÇÕES!O1909=""),NEGOCIAÇÕES!N1909,"")</f>
        <v/>
      </c>
    </row>
    <row r="1910" spans="2:5" ht="31.95" hidden="1" customHeight="1" x14ac:dyDescent="0.3">
      <c r="B1910" s="6" t="str">
        <f ca="1">IF(AND(NEGOCIAÇÕES!O1910="",NEGOCIAÇÕES!N1910&gt;TODAY()),NEGOCIAÇÕES!C1910,"")</f>
        <v/>
      </c>
      <c r="C1910" s="6" t="str">
        <f ca="1">IF(AND(NEGOCIAÇÕES!O1910="",NEGOCIAÇÕES!N1910&gt;TODAY()),NEGOCIAÇÕES!E1910,"")</f>
        <v/>
      </c>
      <c r="D1910" s="6" t="str">
        <f ca="1">IF(AND(NEGOCIAÇÕES!O1910="",NEGOCIAÇÕES!N1910&gt;TODAY()),NEGOCIAÇÕES!D1910,"")</f>
        <v/>
      </c>
      <c r="E1910" s="9" t="str">
        <f>IF(AND(NEGOCIAÇÕES!B1910&lt;&gt;"",NEGOCIAÇÕES!O1910=""),NEGOCIAÇÕES!N1910,"")</f>
        <v/>
      </c>
    </row>
    <row r="1911" spans="2:5" ht="31.95" hidden="1" customHeight="1" x14ac:dyDescent="0.3">
      <c r="B1911" s="6" t="str">
        <f ca="1">IF(AND(NEGOCIAÇÕES!O1911="",NEGOCIAÇÕES!N1911&gt;TODAY()),NEGOCIAÇÕES!C1911,"")</f>
        <v/>
      </c>
      <c r="C1911" s="6" t="str">
        <f ca="1">IF(AND(NEGOCIAÇÕES!O1911="",NEGOCIAÇÕES!N1911&gt;TODAY()),NEGOCIAÇÕES!E1911,"")</f>
        <v/>
      </c>
      <c r="D1911" s="6" t="str">
        <f ca="1">IF(AND(NEGOCIAÇÕES!O1911="",NEGOCIAÇÕES!N1911&gt;TODAY()),NEGOCIAÇÕES!D1911,"")</f>
        <v/>
      </c>
      <c r="E1911" s="9" t="str">
        <f>IF(AND(NEGOCIAÇÕES!B1911&lt;&gt;"",NEGOCIAÇÕES!O1911=""),NEGOCIAÇÕES!N1911,"")</f>
        <v/>
      </c>
    </row>
    <row r="1912" spans="2:5" ht="31.95" hidden="1" customHeight="1" x14ac:dyDescent="0.3">
      <c r="B1912" s="6" t="str">
        <f ca="1">IF(AND(NEGOCIAÇÕES!O1912="",NEGOCIAÇÕES!N1912&gt;TODAY()),NEGOCIAÇÕES!C1912,"")</f>
        <v/>
      </c>
      <c r="C1912" s="6" t="str">
        <f ca="1">IF(AND(NEGOCIAÇÕES!O1912="",NEGOCIAÇÕES!N1912&gt;TODAY()),NEGOCIAÇÕES!E1912,"")</f>
        <v/>
      </c>
      <c r="D1912" s="6" t="str">
        <f ca="1">IF(AND(NEGOCIAÇÕES!O1912="",NEGOCIAÇÕES!N1912&gt;TODAY()),NEGOCIAÇÕES!D1912,"")</f>
        <v/>
      </c>
      <c r="E1912" s="9" t="str">
        <f>IF(AND(NEGOCIAÇÕES!B1912&lt;&gt;"",NEGOCIAÇÕES!O1912=""),NEGOCIAÇÕES!N1912,"")</f>
        <v/>
      </c>
    </row>
    <row r="1913" spans="2:5" ht="31.95" hidden="1" customHeight="1" x14ac:dyDescent="0.3">
      <c r="B1913" s="6" t="str">
        <f ca="1">IF(AND(NEGOCIAÇÕES!O1913="",NEGOCIAÇÕES!N1913&gt;TODAY()),NEGOCIAÇÕES!C1913,"")</f>
        <v/>
      </c>
      <c r="C1913" s="6" t="str">
        <f ca="1">IF(AND(NEGOCIAÇÕES!O1913="",NEGOCIAÇÕES!N1913&gt;TODAY()),NEGOCIAÇÕES!E1913,"")</f>
        <v/>
      </c>
      <c r="D1913" s="6" t="str">
        <f ca="1">IF(AND(NEGOCIAÇÕES!O1913="",NEGOCIAÇÕES!N1913&gt;TODAY()),NEGOCIAÇÕES!D1913,"")</f>
        <v/>
      </c>
      <c r="E1913" s="9" t="str">
        <f>IF(AND(NEGOCIAÇÕES!B1913&lt;&gt;"",NEGOCIAÇÕES!O1913=""),NEGOCIAÇÕES!N1913,"")</f>
        <v/>
      </c>
    </row>
    <row r="1914" spans="2:5" ht="31.95" hidden="1" customHeight="1" x14ac:dyDescent="0.3">
      <c r="B1914" s="6" t="str">
        <f ca="1">IF(AND(NEGOCIAÇÕES!O1914="",NEGOCIAÇÕES!N1914&gt;TODAY()),NEGOCIAÇÕES!C1914,"")</f>
        <v/>
      </c>
      <c r="C1914" s="6" t="str">
        <f ca="1">IF(AND(NEGOCIAÇÕES!O1914="",NEGOCIAÇÕES!N1914&gt;TODAY()),NEGOCIAÇÕES!E1914,"")</f>
        <v/>
      </c>
      <c r="D1914" s="6" t="str">
        <f ca="1">IF(AND(NEGOCIAÇÕES!O1914="",NEGOCIAÇÕES!N1914&gt;TODAY()),NEGOCIAÇÕES!D1914,"")</f>
        <v/>
      </c>
      <c r="E1914" s="9" t="str">
        <f>IF(AND(NEGOCIAÇÕES!B1914&lt;&gt;"",NEGOCIAÇÕES!O1914=""),NEGOCIAÇÕES!N1914,"")</f>
        <v/>
      </c>
    </row>
    <row r="1915" spans="2:5" ht="31.95" hidden="1" customHeight="1" x14ac:dyDescent="0.3">
      <c r="B1915" s="6" t="str">
        <f ca="1">IF(AND(NEGOCIAÇÕES!O1915="",NEGOCIAÇÕES!N1915&gt;TODAY()),NEGOCIAÇÕES!C1915,"")</f>
        <v/>
      </c>
      <c r="C1915" s="6" t="str">
        <f ca="1">IF(AND(NEGOCIAÇÕES!O1915="",NEGOCIAÇÕES!N1915&gt;TODAY()),NEGOCIAÇÕES!E1915,"")</f>
        <v/>
      </c>
      <c r="D1915" s="6" t="str">
        <f ca="1">IF(AND(NEGOCIAÇÕES!O1915="",NEGOCIAÇÕES!N1915&gt;TODAY()),NEGOCIAÇÕES!D1915,"")</f>
        <v/>
      </c>
      <c r="E1915" s="9" t="str">
        <f>IF(AND(NEGOCIAÇÕES!B1915&lt;&gt;"",NEGOCIAÇÕES!O1915=""),NEGOCIAÇÕES!N1915,"")</f>
        <v/>
      </c>
    </row>
    <row r="1916" spans="2:5" ht="31.95" hidden="1" customHeight="1" x14ac:dyDescent="0.3">
      <c r="B1916" s="6" t="str">
        <f ca="1">IF(AND(NEGOCIAÇÕES!O1916="",NEGOCIAÇÕES!N1916&gt;TODAY()),NEGOCIAÇÕES!C1916,"")</f>
        <v/>
      </c>
      <c r="C1916" s="6" t="str">
        <f ca="1">IF(AND(NEGOCIAÇÕES!O1916="",NEGOCIAÇÕES!N1916&gt;TODAY()),NEGOCIAÇÕES!E1916,"")</f>
        <v/>
      </c>
      <c r="D1916" s="6" t="str">
        <f ca="1">IF(AND(NEGOCIAÇÕES!O1916="",NEGOCIAÇÕES!N1916&gt;TODAY()),NEGOCIAÇÕES!D1916,"")</f>
        <v/>
      </c>
      <c r="E1916" s="9" t="str">
        <f>IF(AND(NEGOCIAÇÕES!B1916&lt;&gt;"",NEGOCIAÇÕES!O1916=""),NEGOCIAÇÕES!N1916,"")</f>
        <v/>
      </c>
    </row>
    <row r="1917" spans="2:5" ht="31.95" hidden="1" customHeight="1" x14ac:dyDescent="0.3">
      <c r="B1917" s="6" t="str">
        <f ca="1">IF(AND(NEGOCIAÇÕES!O1917="",NEGOCIAÇÕES!N1917&gt;TODAY()),NEGOCIAÇÕES!C1917,"")</f>
        <v/>
      </c>
      <c r="C1917" s="6" t="str">
        <f ca="1">IF(AND(NEGOCIAÇÕES!O1917="",NEGOCIAÇÕES!N1917&gt;TODAY()),NEGOCIAÇÕES!E1917,"")</f>
        <v/>
      </c>
      <c r="D1917" s="6" t="str">
        <f ca="1">IF(AND(NEGOCIAÇÕES!O1917="",NEGOCIAÇÕES!N1917&gt;TODAY()),NEGOCIAÇÕES!D1917,"")</f>
        <v/>
      </c>
      <c r="E1917" s="9" t="str">
        <f>IF(AND(NEGOCIAÇÕES!B1917&lt;&gt;"",NEGOCIAÇÕES!O1917=""),NEGOCIAÇÕES!N1917,"")</f>
        <v/>
      </c>
    </row>
    <row r="1918" spans="2:5" ht="31.95" hidden="1" customHeight="1" x14ac:dyDescent="0.3">
      <c r="B1918" s="6" t="str">
        <f ca="1">IF(AND(NEGOCIAÇÕES!O1918="",NEGOCIAÇÕES!N1918&gt;TODAY()),NEGOCIAÇÕES!C1918,"")</f>
        <v/>
      </c>
      <c r="C1918" s="6" t="str">
        <f ca="1">IF(AND(NEGOCIAÇÕES!O1918="",NEGOCIAÇÕES!N1918&gt;TODAY()),NEGOCIAÇÕES!E1918,"")</f>
        <v/>
      </c>
      <c r="D1918" s="6" t="str">
        <f ca="1">IF(AND(NEGOCIAÇÕES!O1918="",NEGOCIAÇÕES!N1918&gt;TODAY()),NEGOCIAÇÕES!D1918,"")</f>
        <v/>
      </c>
      <c r="E1918" s="9" t="str">
        <f>IF(AND(NEGOCIAÇÕES!B1918&lt;&gt;"",NEGOCIAÇÕES!O1918=""),NEGOCIAÇÕES!N1918,"")</f>
        <v/>
      </c>
    </row>
    <row r="1919" spans="2:5" ht="31.95" hidden="1" customHeight="1" x14ac:dyDescent="0.3">
      <c r="B1919" s="6" t="str">
        <f ca="1">IF(AND(NEGOCIAÇÕES!O1919="",NEGOCIAÇÕES!N1919&gt;TODAY()),NEGOCIAÇÕES!C1919,"")</f>
        <v/>
      </c>
      <c r="C1919" s="6" t="str">
        <f ca="1">IF(AND(NEGOCIAÇÕES!O1919="",NEGOCIAÇÕES!N1919&gt;TODAY()),NEGOCIAÇÕES!E1919,"")</f>
        <v/>
      </c>
      <c r="D1919" s="6" t="str">
        <f ca="1">IF(AND(NEGOCIAÇÕES!O1919="",NEGOCIAÇÕES!N1919&gt;TODAY()),NEGOCIAÇÕES!D1919,"")</f>
        <v/>
      </c>
      <c r="E1919" s="9" t="str">
        <f>IF(AND(NEGOCIAÇÕES!B1919&lt;&gt;"",NEGOCIAÇÕES!O1919=""),NEGOCIAÇÕES!N1919,"")</f>
        <v/>
      </c>
    </row>
    <row r="1920" spans="2:5" ht="31.95" hidden="1" customHeight="1" x14ac:dyDescent="0.3">
      <c r="B1920" s="6" t="str">
        <f ca="1">IF(AND(NEGOCIAÇÕES!O1920="",NEGOCIAÇÕES!N1920&gt;TODAY()),NEGOCIAÇÕES!C1920,"")</f>
        <v/>
      </c>
      <c r="C1920" s="6" t="str">
        <f ca="1">IF(AND(NEGOCIAÇÕES!O1920="",NEGOCIAÇÕES!N1920&gt;TODAY()),NEGOCIAÇÕES!E1920,"")</f>
        <v/>
      </c>
      <c r="D1920" s="6" t="str">
        <f ca="1">IF(AND(NEGOCIAÇÕES!O1920="",NEGOCIAÇÕES!N1920&gt;TODAY()),NEGOCIAÇÕES!D1920,"")</f>
        <v/>
      </c>
      <c r="E1920" s="9" t="str">
        <f>IF(AND(NEGOCIAÇÕES!B1920&lt;&gt;"",NEGOCIAÇÕES!O1920=""),NEGOCIAÇÕES!N1920,"")</f>
        <v/>
      </c>
    </row>
    <row r="1921" spans="2:5" ht="31.95" hidden="1" customHeight="1" x14ac:dyDescent="0.3">
      <c r="B1921" s="6" t="str">
        <f ca="1">IF(AND(NEGOCIAÇÕES!O1921="",NEGOCIAÇÕES!N1921&gt;TODAY()),NEGOCIAÇÕES!C1921,"")</f>
        <v/>
      </c>
      <c r="C1921" s="6" t="str">
        <f ca="1">IF(AND(NEGOCIAÇÕES!O1921="",NEGOCIAÇÕES!N1921&gt;TODAY()),NEGOCIAÇÕES!E1921,"")</f>
        <v/>
      </c>
      <c r="D1921" s="6" t="str">
        <f ca="1">IF(AND(NEGOCIAÇÕES!O1921="",NEGOCIAÇÕES!N1921&gt;TODAY()),NEGOCIAÇÕES!D1921,"")</f>
        <v/>
      </c>
      <c r="E1921" s="9" t="str">
        <f>IF(AND(NEGOCIAÇÕES!B1921&lt;&gt;"",NEGOCIAÇÕES!O1921=""),NEGOCIAÇÕES!N1921,"")</f>
        <v/>
      </c>
    </row>
    <row r="1922" spans="2:5" ht="31.95" hidden="1" customHeight="1" x14ac:dyDescent="0.3">
      <c r="B1922" s="6" t="str">
        <f ca="1">IF(AND(NEGOCIAÇÕES!O1922="",NEGOCIAÇÕES!N1922&gt;TODAY()),NEGOCIAÇÕES!C1922,"")</f>
        <v/>
      </c>
      <c r="C1922" s="6" t="str">
        <f ca="1">IF(AND(NEGOCIAÇÕES!O1922="",NEGOCIAÇÕES!N1922&gt;TODAY()),NEGOCIAÇÕES!E1922,"")</f>
        <v/>
      </c>
      <c r="D1922" s="6" t="str">
        <f ca="1">IF(AND(NEGOCIAÇÕES!O1922="",NEGOCIAÇÕES!N1922&gt;TODAY()),NEGOCIAÇÕES!D1922,"")</f>
        <v/>
      </c>
      <c r="E1922" s="9" t="str">
        <f>IF(AND(NEGOCIAÇÕES!B1922&lt;&gt;"",NEGOCIAÇÕES!O1922=""),NEGOCIAÇÕES!N1922,"")</f>
        <v/>
      </c>
    </row>
    <row r="1923" spans="2:5" ht="31.95" hidden="1" customHeight="1" x14ac:dyDescent="0.3">
      <c r="B1923" s="6" t="str">
        <f ca="1">IF(AND(NEGOCIAÇÕES!O1923="",NEGOCIAÇÕES!N1923&gt;TODAY()),NEGOCIAÇÕES!C1923,"")</f>
        <v/>
      </c>
      <c r="C1923" s="6" t="str">
        <f ca="1">IF(AND(NEGOCIAÇÕES!O1923="",NEGOCIAÇÕES!N1923&gt;TODAY()),NEGOCIAÇÕES!E1923,"")</f>
        <v/>
      </c>
      <c r="D1923" s="6" t="str">
        <f ca="1">IF(AND(NEGOCIAÇÕES!O1923="",NEGOCIAÇÕES!N1923&gt;TODAY()),NEGOCIAÇÕES!D1923,"")</f>
        <v/>
      </c>
      <c r="E1923" s="9" t="str">
        <f>IF(AND(NEGOCIAÇÕES!B1923&lt;&gt;"",NEGOCIAÇÕES!O1923=""),NEGOCIAÇÕES!N1923,"")</f>
        <v/>
      </c>
    </row>
    <row r="1924" spans="2:5" ht="31.95" hidden="1" customHeight="1" x14ac:dyDescent="0.3">
      <c r="B1924" s="6" t="str">
        <f ca="1">IF(AND(NEGOCIAÇÕES!O1924="",NEGOCIAÇÕES!N1924&gt;TODAY()),NEGOCIAÇÕES!C1924,"")</f>
        <v/>
      </c>
      <c r="C1924" s="6" t="str">
        <f ca="1">IF(AND(NEGOCIAÇÕES!O1924="",NEGOCIAÇÕES!N1924&gt;TODAY()),NEGOCIAÇÕES!E1924,"")</f>
        <v/>
      </c>
      <c r="D1924" s="6" t="str">
        <f ca="1">IF(AND(NEGOCIAÇÕES!O1924="",NEGOCIAÇÕES!N1924&gt;TODAY()),NEGOCIAÇÕES!D1924,"")</f>
        <v/>
      </c>
      <c r="E1924" s="9" t="str">
        <f>IF(AND(NEGOCIAÇÕES!B1924&lt;&gt;"",NEGOCIAÇÕES!O1924=""),NEGOCIAÇÕES!N1924,"")</f>
        <v/>
      </c>
    </row>
    <row r="1925" spans="2:5" ht="31.95" hidden="1" customHeight="1" x14ac:dyDescent="0.3">
      <c r="B1925" s="6" t="str">
        <f ca="1">IF(AND(NEGOCIAÇÕES!O1925="",NEGOCIAÇÕES!N1925&gt;TODAY()),NEGOCIAÇÕES!C1925,"")</f>
        <v/>
      </c>
      <c r="C1925" s="6" t="str">
        <f ca="1">IF(AND(NEGOCIAÇÕES!O1925="",NEGOCIAÇÕES!N1925&gt;TODAY()),NEGOCIAÇÕES!E1925,"")</f>
        <v/>
      </c>
      <c r="D1925" s="6" t="str">
        <f ca="1">IF(AND(NEGOCIAÇÕES!O1925="",NEGOCIAÇÕES!N1925&gt;TODAY()),NEGOCIAÇÕES!D1925,"")</f>
        <v/>
      </c>
      <c r="E1925" s="9" t="str">
        <f>IF(AND(NEGOCIAÇÕES!B1925&lt;&gt;"",NEGOCIAÇÕES!O1925=""),NEGOCIAÇÕES!N1925,"")</f>
        <v/>
      </c>
    </row>
    <row r="1926" spans="2:5" ht="31.95" hidden="1" customHeight="1" x14ac:dyDescent="0.3">
      <c r="B1926" s="6" t="str">
        <f ca="1">IF(AND(NEGOCIAÇÕES!O1926="",NEGOCIAÇÕES!N1926&gt;TODAY()),NEGOCIAÇÕES!C1926,"")</f>
        <v/>
      </c>
      <c r="C1926" s="6" t="str">
        <f ca="1">IF(AND(NEGOCIAÇÕES!O1926="",NEGOCIAÇÕES!N1926&gt;TODAY()),NEGOCIAÇÕES!E1926,"")</f>
        <v/>
      </c>
      <c r="D1926" s="6" t="str">
        <f ca="1">IF(AND(NEGOCIAÇÕES!O1926="",NEGOCIAÇÕES!N1926&gt;TODAY()),NEGOCIAÇÕES!D1926,"")</f>
        <v/>
      </c>
      <c r="E1926" s="9" t="str">
        <f>IF(AND(NEGOCIAÇÕES!B1926&lt;&gt;"",NEGOCIAÇÕES!O1926=""),NEGOCIAÇÕES!N1926,"")</f>
        <v/>
      </c>
    </row>
    <row r="1927" spans="2:5" ht="31.95" hidden="1" customHeight="1" x14ac:dyDescent="0.3">
      <c r="B1927" s="6" t="str">
        <f ca="1">IF(AND(NEGOCIAÇÕES!O1927="",NEGOCIAÇÕES!N1927&gt;TODAY()),NEGOCIAÇÕES!C1927,"")</f>
        <v/>
      </c>
      <c r="C1927" s="6" t="str">
        <f ca="1">IF(AND(NEGOCIAÇÕES!O1927="",NEGOCIAÇÕES!N1927&gt;TODAY()),NEGOCIAÇÕES!E1927,"")</f>
        <v/>
      </c>
      <c r="D1927" s="6" t="str">
        <f ca="1">IF(AND(NEGOCIAÇÕES!O1927="",NEGOCIAÇÕES!N1927&gt;TODAY()),NEGOCIAÇÕES!D1927,"")</f>
        <v/>
      </c>
      <c r="E1927" s="9" t="str">
        <f>IF(AND(NEGOCIAÇÕES!B1927&lt;&gt;"",NEGOCIAÇÕES!O1927=""),NEGOCIAÇÕES!N1927,"")</f>
        <v/>
      </c>
    </row>
    <row r="1928" spans="2:5" ht="31.95" hidden="1" customHeight="1" x14ac:dyDescent="0.3">
      <c r="B1928" s="6" t="str">
        <f ca="1">IF(AND(NEGOCIAÇÕES!O1928="",NEGOCIAÇÕES!N1928&gt;TODAY()),NEGOCIAÇÕES!C1928,"")</f>
        <v/>
      </c>
      <c r="C1928" s="6" t="str">
        <f ca="1">IF(AND(NEGOCIAÇÕES!O1928="",NEGOCIAÇÕES!N1928&gt;TODAY()),NEGOCIAÇÕES!E1928,"")</f>
        <v/>
      </c>
      <c r="D1928" s="6" t="str">
        <f ca="1">IF(AND(NEGOCIAÇÕES!O1928="",NEGOCIAÇÕES!N1928&gt;TODAY()),NEGOCIAÇÕES!D1928,"")</f>
        <v/>
      </c>
      <c r="E1928" s="9" t="str">
        <f>IF(AND(NEGOCIAÇÕES!B1928&lt;&gt;"",NEGOCIAÇÕES!O1928=""),NEGOCIAÇÕES!N1928,"")</f>
        <v/>
      </c>
    </row>
    <row r="1929" spans="2:5" ht="31.95" hidden="1" customHeight="1" x14ac:dyDescent="0.3">
      <c r="B1929" s="6" t="str">
        <f ca="1">IF(AND(NEGOCIAÇÕES!O1929="",NEGOCIAÇÕES!N1929&gt;TODAY()),NEGOCIAÇÕES!C1929,"")</f>
        <v/>
      </c>
      <c r="C1929" s="6" t="str">
        <f ca="1">IF(AND(NEGOCIAÇÕES!O1929="",NEGOCIAÇÕES!N1929&gt;TODAY()),NEGOCIAÇÕES!E1929,"")</f>
        <v/>
      </c>
      <c r="D1929" s="6" t="str">
        <f ca="1">IF(AND(NEGOCIAÇÕES!O1929="",NEGOCIAÇÕES!N1929&gt;TODAY()),NEGOCIAÇÕES!D1929,"")</f>
        <v/>
      </c>
      <c r="E1929" s="9" t="str">
        <f>IF(AND(NEGOCIAÇÕES!B1929&lt;&gt;"",NEGOCIAÇÕES!O1929=""),NEGOCIAÇÕES!N1929,"")</f>
        <v/>
      </c>
    </row>
    <row r="1930" spans="2:5" ht="31.95" hidden="1" customHeight="1" x14ac:dyDescent="0.3">
      <c r="B1930" s="6" t="str">
        <f ca="1">IF(AND(NEGOCIAÇÕES!O1930="",NEGOCIAÇÕES!N1930&gt;TODAY()),NEGOCIAÇÕES!C1930,"")</f>
        <v/>
      </c>
      <c r="C1930" s="6" t="str">
        <f ca="1">IF(AND(NEGOCIAÇÕES!O1930="",NEGOCIAÇÕES!N1930&gt;TODAY()),NEGOCIAÇÕES!E1930,"")</f>
        <v/>
      </c>
      <c r="D1930" s="6" t="str">
        <f ca="1">IF(AND(NEGOCIAÇÕES!O1930="",NEGOCIAÇÕES!N1930&gt;TODAY()),NEGOCIAÇÕES!D1930,"")</f>
        <v/>
      </c>
      <c r="E1930" s="9" t="str">
        <f>IF(AND(NEGOCIAÇÕES!B1930&lt;&gt;"",NEGOCIAÇÕES!O1930=""),NEGOCIAÇÕES!N1930,"")</f>
        <v/>
      </c>
    </row>
    <row r="1931" spans="2:5" ht="31.95" hidden="1" customHeight="1" x14ac:dyDescent="0.3">
      <c r="B1931" s="6" t="str">
        <f ca="1">IF(AND(NEGOCIAÇÕES!O1931="",NEGOCIAÇÕES!N1931&gt;TODAY()),NEGOCIAÇÕES!C1931,"")</f>
        <v/>
      </c>
      <c r="C1931" s="6" t="str">
        <f ca="1">IF(AND(NEGOCIAÇÕES!O1931="",NEGOCIAÇÕES!N1931&gt;TODAY()),NEGOCIAÇÕES!E1931,"")</f>
        <v/>
      </c>
      <c r="D1931" s="6" t="str">
        <f ca="1">IF(AND(NEGOCIAÇÕES!O1931="",NEGOCIAÇÕES!N1931&gt;TODAY()),NEGOCIAÇÕES!D1931,"")</f>
        <v/>
      </c>
      <c r="E1931" s="9" t="str">
        <f>IF(AND(NEGOCIAÇÕES!B1931&lt;&gt;"",NEGOCIAÇÕES!O1931=""),NEGOCIAÇÕES!N1931,"")</f>
        <v/>
      </c>
    </row>
    <row r="1932" spans="2:5" ht="31.95" hidden="1" customHeight="1" x14ac:dyDescent="0.3">
      <c r="B1932" s="6" t="str">
        <f ca="1">IF(AND(NEGOCIAÇÕES!O1932="",NEGOCIAÇÕES!N1932&gt;TODAY()),NEGOCIAÇÕES!C1932,"")</f>
        <v/>
      </c>
      <c r="C1932" s="6" t="str">
        <f ca="1">IF(AND(NEGOCIAÇÕES!O1932="",NEGOCIAÇÕES!N1932&gt;TODAY()),NEGOCIAÇÕES!E1932,"")</f>
        <v/>
      </c>
      <c r="D1932" s="6" t="str">
        <f ca="1">IF(AND(NEGOCIAÇÕES!O1932="",NEGOCIAÇÕES!N1932&gt;TODAY()),NEGOCIAÇÕES!D1932,"")</f>
        <v/>
      </c>
      <c r="E1932" s="9" t="str">
        <f>IF(AND(NEGOCIAÇÕES!B1932&lt;&gt;"",NEGOCIAÇÕES!O1932=""),NEGOCIAÇÕES!N1932,"")</f>
        <v/>
      </c>
    </row>
    <row r="1933" spans="2:5" ht="31.95" hidden="1" customHeight="1" x14ac:dyDescent="0.3">
      <c r="B1933" s="6" t="str">
        <f ca="1">IF(AND(NEGOCIAÇÕES!O1933="",NEGOCIAÇÕES!N1933&gt;TODAY()),NEGOCIAÇÕES!C1933,"")</f>
        <v/>
      </c>
      <c r="C1933" s="6" t="str">
        <f ca="1">IF(AND(NEGOCIAÇÕES!O1933="",NEGOCIAÇÕES!N1933&gt;TODAY()),NEGOCIAÇÕES!E1933,"")</f>
        <v/>
      </c>
      <c r="D1933" s="6" t="str">
        <f ca="1">IF(AND(NEGOCIAÇÕES!O1933="",NEGOCIAÇÕES!N1933&gt;TODAY()),NEGOCIAÇÕES!D1933,"")</f>
        <v/>
      </c>
      <c r="E1933" s="9" t="str">
        <f>IF(AND(NEGOCIAÇÕES!B1933&lt;&gt;"",NEGOCIAÇÕES!O1933=""),NEGOCIAÇÕES!N1933,"")</f>
        <v/>
      </c>
    </row>
    <row r="1934" spans="2:5" ht="31.95" hidden="1" customHeight="1" x14ac:dyDescent="0.3">
      <c r="B1934" s="6" t="str">
        <f ca="1">IF(AND(NEGOCIAÇÕES!O1934="",NEGOCIAÇÕES!N1934&gt;TODAY()),NEGOCIAÇÕES!C1934,"")</f>
        <v/>
      </c>
      <c r="C1934" s="6" t="str">
        <f ca="1">IF(AND(NEGOCIAÇÕES!O1934="",NEGOCIAÇÕES!N1934&gt;TODAY()),NEGOCIAÇÕES!E1934,"")</f>
        <v/>
      </c>
      <c r="D1934" s="6" t="str">
        <f ca="1">IF(AND(NEGOCIAÇÕES!O1934="",NEGOCIAÇÕES!N1934&gt;TODAY()),NEGOCIAÇÕES!D1934,"")</f>
        <v/>
      </c>
      <c r="E1934" s="9" t="str">
        <f>IF(AND(NEGOCIAÇÕES!B1934&lt;&gt;"",NEGOCIAÇÕES!O1934=""),NEGOCIAÇÕES!N1934,"")</f>
        <v/>
      </c>
    </row>
    <row r="1935" spans="2:5" ht="31.95" hidden="1" customHeight="1" x14ac:dyDescent="0.3">
      <c r="B1935" s="6" t="str">
        <f ca="1">IF(AND(NEGOCIAÇÕES!O1935="",NEGOCIAÇÕES!N1935&gt;TODAY()),NEGOCIAÇÕES!C1935,"")</f>
        <v/>
      </c>
      <c r="C1935" s="6" t="str">
        <f ca="1">IF(AND(NEGOCIAÇÕES!O1935="",NEGOCIAÇÕES!N1935&gt;TODAY()),NEGOCIAÇÕES!E1935,"")</f>
        <v/>
      </c>
      <c r="D1935" s="6" t="str">
        <f ca="1">IF(AND(NEGOCIAÇÕES!O1935="",NEGOCIAÇÕES!N1935&gt;TODAY()),NEGOCIAÇÕES!D1935,"")</f>
        <v/>
      </c>
      <c r="E1935" s="9" t="str">
        <f>IF(AND(NEGOCIAÇÕES!B1935&lt;&gt;"",NEGOCIAÇÕES!O1935=""),NEGOCIAÇÕES!N1935,"")</f>
        <v/>
      </c>
    </row>
    <row r="1936" spans="2:5" ht="31.95" hidden="1" customHeight="1" x14ac:dyDescent="0.3">
      <c r="B1936" s="6" t="str">
        <f ca="1">IF(AND(NEGOCIAÇÕES!O1936="",NEGOCIAÇÕES!N1936&gt;TODAY()),NEGOCIAÇÕES!C1936,"")</f>
        <v/>
      </c>
      <c r="C1936" s="6" t="str">
        <f ca="1">IF(AND(NEGOCIAÇÕES!O1936="",NEGOCIAÇÕES!N1936&gt;TODAY()),NEGOCIAÇÕES!E1936,"")</f>
        <v/>
      </c>
      <c r="D1936" s="6" t="str">
        <f ca="1">IF(AND(NEGOCIAÇÕES!O1936="",NEGOCIAÇÕES!N1936&gt;TODAY()),NEGOCIAÇÕES!D1936,"")</f>
        <v/>
      </c>
      <c r="E1936" s="9" t="str">
        <f>IF(AND(NEGOCIAÇÕES!B1936&lt;&gt;"",NEGOCIAÇÕES!O1936=""),NEGOCIAÇÕES!N1936,"")</f>
        <v/>
      </c>
    </row>
    <row r="1937" spans="2:5" ht="31.95" hidden="1" customHeight="1" x14ac:dyDescent="0.3">
      <c r="B1937" s="6" t="str">
        <f ca="1">IF(AND(NEGOCIAÇÕES!O1937="",NEGOCIAÇÕES!N1937&gt;TODAY()),NEGOCIAÇÕES!C1937,"")</f>
        <v/>
      </c>
      <c r="C1937" s="6" t="str">
        <f ca="1">IF(AND(NEGOCIAÇÕES!O1937="",NEGOCIAÇÕES!N1937&gt;TODAY()),NEGOCIAÇÕES!E1937,"")</f>
        <v/>
      </c>
      <c r="D1937" s="6" t="str">
        <f ca="1">IF(AND(NEGOCIAÇÕES!O1937="",NEGOCIAÇÕES!N1937&gt;TODAY()),NEGOCIAÇÕES!D1937,"")</f>
        <v/>
      </c>
      <c r="E1937" s="9" t="str">
        <f>IF(AND(NEGOCIAÇÕES!B1937&lt;&gt;"",NEGOCIAÇÕES!O1937=""),NEGOCIAÇÕES!N1937,"")</f>
        <v/>
      </c>
    </row>
    <row r="1938" spans="2:5" ht="31.95" hidden="1" customHeight="1" x14ac:dyDescent="0.3">
      <c r="B1938" s="6" t="str">
        <f ca="1">IF(AND(NEGOCIAÇÕES!O1938="",NEGOCIAÇÕES!N1938&gt;TODAY()),NEGOCIAÇÕES!C1938,"")</f>
        <v/>
      </c>
      <c r="C1938" s="6" t="str">
        <f ca="1">IF(AND(NEGOCIAÇÕES!O1938="",NEGOCIAÇÕES!N1938&gt;TODAY()),NEGOCIAÇÕES!E1938,"")</f>
        <v/>
      </c>
      <c r="D1938" s="6" t="str">
        <f ca="1">IF(AND(NEGOCIAÇÕES!O1938="",NEGOCIAÇÕES!N1938&gt;TODAY()),NEGOCIAÇÕES!D1938,"")</f>
        <v/>
      </c>
      <c r="E1938" s="9" t="str">
        <f>IF(AND(NEGOCIAÇÕES!B1938&lt;&gt;"",NEGOCIAÇÕES!O1938=""),NEGOCIAÇÕES!N1938,"")</f>
        <v/>
      </c>
    </row>
    <row r="1939" spans="2:5" ht="31.95" hidden="1" customHeight="1" x14ac:dyDescent="0.3">
      <c r="B1939" s="6" t="str">
        <f ca="1">IF(AND(NEGOCIAÇÕES!O1939="",NEGOCIAÇÕES!N1939&gt;TODAY()),NEGOCIAÇÕES!C1939,"")</f>
        <v/>
      </c>
      <c r="C1939" s="6" t="str">
        <f ca="1">IF(AND(NEGOCIAÇÕES!O1939="",NEGOCIAÇÕES!N1939&gt;TODAY()),NEGOCIAÇÕES!E1939,"")</f>
        <v/>
      </c>
      <c r="D1939" s="6" t="str">
        <f ca="1">IF(AND(NEGOCIAÇÕES!O1939="",NEGOCIAÇÕES!N1939&gt;TODAY()),NEGOCIAÇÕES!D1939,"")</f>
        <v/>
      </c>
      <c r="E1939" s="9" t="str">
        <f>IF(AND(NEGOCIAÇÕES!B1939&lt;&gt;"",NEGOCIAÇÕES!O1939=""),NEGOCIAÇÕES!N1939,"")</f>
        <v/>
      </c>
    </row>
    <row r="1940" spans="2:5" ht="31.95" hidden="1" customHeight="1" x14ac:dyDescent="0.3">
      <c r="B1940" s="6" t="str">
        <f ca="1">IF(AND(NEGOCIAÇÕES!O1940="",NEGOCIAÇÕES!N1940&gt;TODAY()),NEGOCIAÇÕES!C1940,"")</f>
        <v/>
      </c>
      <c r="C1940" s="6" t="str">
        <f ca="1">IF(AND(NEGOCIAÇÕES!O1940="",NEGOCIAÇÕES!N1940&gt;TODAY()),NEGOCIAÇÕES!E1940,"")</f>
        <v/>
      </c>
      <c r="D1940" s="6" t="str">
        <f ca="1">IF(AND(NEGOCIAÇÕES!O1940="",NEGOCIAÇÕES!N1940&gt;TODAY()),NEGOCIAÇÕES!D1940,"")</f>
        <v/>
      </c>
      <c r="E1940" s="9" t="str">
        <f>IF(AND(NEGOCIAÇÕES!B1940&lt;&gt;"",NEGOCIAÇÕES!O1940=""),NEGOCIAÇÕES!N1940,"")</f>
        <v/>
      </c>
    </row>
    <row r="1941" spans="2:5" ht="31.95" hidden="1" customHeight="1" x14ac:dyDescent="0.3">
      <c r="B1941" s="6" t="str">
        <f ca="1">IF(AND(NEGOCIAÇÕES!O1941="",NEGOCIAÇÕES!N1941&gt;TODAY()),NEGOCIAÇÕES!C1941,"")</f>
        <v/>
      </c>
      <c r="C1941" s="6" t="str">
        <f ca="1">IF(AND(NEGOCIAÇÕES!O1941="",NEGOCIAÇÕES!N1941&gt;TODAY()),NEGOCIAÇÕES!E1941,"")</f>
        <v/>
      </c>
      <c r="D1941" s="6" t="str">
        <f ca="1">IF(AND(NEGOCIAÇÕES!O1941="",NEGOCIAÇÕES!N1941&gt;TODAY()),NEGOCIAÇÕES!D1941,"")</f>
        <v/>
      </c>
      <c r="E1941" s="9" t="str">
        <f>IF(AND(NEGOCIAÇÕES!B1941&lt;&gt;"",NEGOCIAÇÕES!O1941=""),NEGOCIAÇÕES!N1941,"")</f>
        <v/>
      </c>
    </row>
    <row r="1942" spans="2:5" ht="31.95" hidden="1" customHeight="1" x14ac:dyDescent="0.3">
      <c r="B1942" s="6" t="str">
        <f ca="1">IF(AND(NEGOCIAÇÕES!O1942="",NEGOCIAÇÕES!N1942&gt;TODAY()),NEGOCIAÇÕES!C1942,"")</f>
        <v/>
      </c>
      <c r="C1942" s="6" t="str">
        <f ca="1">IF(AND(NEGOCIAÇÕES!O1942="",NEGOCIAÇÕES!N1942&gt;TODAY()),NEGOCIAÇÕES!E1942,"")</f>
        <v/>
      </c>
      <c r="D1942" s="6" t="str">
        <f ca="1">IF(AND(NEGOCIAÇÕES!O1942="",NEGOCIAÇÕES!N1942&gt;TODAY()),NEGOCIAÇÕES!D1942,"")</f>
        <v/>
      </c>
      <c r="E1942" s="9" t="str">
        <f>IF(AND(NEGOCIAÇÕES!B1942&lt;&gt;"",NEGOCIAÇÕES!O1942=""),NEGOCIAÇÕES!N1942,"")</f>
        <v/>
      </c>
    </row>
    <row r="1943" spans="2:5" ht="31.95" hidden="1" customHeight="1" x14ac:dyDescent="0.3">
      <c r="B1943" s="6" t="str">
        <f ca="1">IF(AND(NEGOCIAÇÕES!O1943="",NEGOCIAÇÕES!N1943&gt;TODAY()),NEGOCIAÇÕES!C1943,"")</f>
        <v/>
      </c>
      <c r="C1943" s="6" t="str">
        <f ca="1">IF(AND(NEGOCIAÇÕES!O1943="",NEGOCIAÇÕES!N1943&gt;TODAY()),NEGOCIAÇÕES!E1943,"")</f>
        <v/>
      </c>
      <c r="D1943" s="6" t="str">
        <f ca="1">IF(AND(NEGOCIAÇÕES!O1943="",NEGOCIAÇÕES!N1943&gt;TODAY()),NEGOCIAÇÕES!D1943,"")</f>
        <v/>
      </c>
      <c r="E1943" s="9" t="str">
        <f>IF(AND(NEGOCIAÇÕES!B1943&lt;&gt;"",NEGOCIAÇÕES!O1943=""),NEGOCIAÇÕES!N1943,"")</f>
        <v/>
      </c>
    </row>
    <row r="1944" spans="2:5" ht="31.95" hidden="1" customHeight="1" x14ac:dyDescent="0.3">
      <c r="B1944" s="6" t="str">
        <f ca="1">IF(AND(NEGOCIAÇÕES!O1944="",NEGOCIAÇÕES!N1944&gt;TODAY()),NEGOCIAÇÕES!C1944,"")</f>
        <v/>
      </c>
      <c r="C1944" s="6" t="str">
        <f ca="1">IF(AND(NEGOCIAÇÕES!O1944="",NEGOCIAÇÕES!N1944&gt;TODAY()),NEGOCIAÇÕES!E1944,"")</f>
        <v/>
      </c>
      <c r="D1944" s="6" t="str">
        <f ca="1">IF(AND(NEGOCIAÇÕES!O1944="",NEGOCIAÇÕES!N1944&gt;TODAY()),NEGOCIAÇÕES!D1944,"")</f>
        <v/>
      </c>
      <c r="E1944" s="9" t="str">
        <f>IF(AND(NEGOCIAÇÕES!B1944&lt;&gt;"",NEGOCIAÇÕES!O1944=""),NEGOCIAÇÕES!N1944,"")</f>
        <v/>
      </c>
    </row>
    <row r="1945" spans="2:5" ht="31.95" hidden="1" customHeight="1" x14ac:dyDescent="0.3">
      <c r="B1945" s="6" t="str">
        <f ca="1">IF(AND(NEGOCIAÇÕES!O1945="",NEGOCIAÇÕES!N1945&gt;TODAY()),NEGOCIAÇÕES!C1945,"")</f>
        <v/>
      </c>
      <c r="C1945" s="6" t="str">
        <f ca="1">IF(AND(NEGOCIAÇÕES!O1945="",NEGOCIAÇÕES!N1945&gt;TODAY()),NEGOCIAÇÕES!E1945,"")</f>
        <v/>
      </c>
      <c r="D1945" s="6" t="str">
        <f ca="1">IF(AND(NEGOCIAÇÕES!O1945="",NEGOCIAÇÕES!N1945&gt;TODAY()),NEGOCIAÇÕES!D1945,"")</f>
        <v/>
      </c>
      <c r="E1945" s="9" t="str">
        <f>IF(AND(NEGOCIAÇÕES!B1945&lt;&gt;"",NEGOCIAÇÕES!O1945=""),NEGOCIAÇÕES!N1945,"")</f>
        <v/>
      </c>
    </row>
    <row r="1946" spans="2:5" ht="31.95" hidden="1" customHeight="1" x14ac:dyDescent="0.3">
      <c r="B1946" s="6" t="str">
        <f ca="1">IF(AND(NEGOCIAÇÕES!O1946="",NEGOCIAÇÕES!N1946&gt;TODAY()),NEGOCIAÇÕES!C1946,"")</f>
        <v/>
      </c>
      <c r="C1946" s="6" t="str">
        <f ca="1">IF(AND(NEGOCIAÇÕES!O1946="",NEGOCIAÇÕES!N1946&gt;TODAY()),NEGOCIAÇÕES!E1946,"")</f>
        <v/>
      </c>
      <c r="D1946" s="6" t="str">
        <f ca="1">IF(AND(NEGOCIAÇÕES!O1946="",NEGOCIAÇÕES!N1946&gt;TODAY()),NEGOCIAÇÕES!D1946,"")</f>
        <v/>
      </c>
      <c r="E1946" s="9" t="str">
        <f>IF(AND(NEGOCIAÇÕES!B1946&lt;&gt;"",NEGOCIAÇÕES!O1946=""),NEGOCIAÇÕES!N1946,"")</f>
        <v/>
      </c>
    </row>
    <row r="1947" spans="2:5" ht="31.95" hidden="1" customHeight="1" x14ac:dyDescent="0.3">
      <c r="B1947" s="6" t="str">
        <f ca="1">IF(AND(NEGOCIAÇÕES!O1947="",NEGOCIAÇÕES!N1947&gt;TODAY()),NEGOCIAÇÕES!C1947,"")</f>
        <v/>
      </c>
      <c r="C1947" s="6" t="str">
        <f ca="1">IF(AND(NEGOCIAÇÕES!O1947="",NEGOCIAÇÕES!N1947&gt;TODAY()),NEGOCIAÇÕES!E1947,"")</f>
        <v/>
      </c>
      <c r="D1947" s="6" t="str">
        <f ca="1">IF(AND(NEGOCIAÇÕES!O1947="",NEGOCIAÇÕES!N1947&gt;TODAY()),NEGOCIAÇÕES!D1947,"")</f>
        <v/>
      </c>
      <c r="E1947" s="9" t="str">
        <f>IF(AND(NEGOCIAÇÕES!B1947&lt;&gt;"",NEGOCIAÇÕES!O1947=""),NEGOCIAÇÕES!N1947,"")</f>
        <v/>
      </c>
    </row>
    <row r="1948" spans="2:5" ht="31.95" hidden="1" customHeight="1" x14ac:dyDescent="0.3">
      <c r="B1948" s="6" t="str">
        <f ca="1">IF(AND(NEGOCIAÇÕES!O1948="",NEGOCIAÇÕES!N1948&gt;TODAY()),NEGOCIAÇÕES!C1948,"")</f>
        <v/>
      </c>
      <c r="C1948" s="6" t="str">
        <f ca="1">IF(AND(NEGOCIAÇÕES!O1948="",NEGOCIAÇÕES!N1948&gt;TODAY()),NEGOCIAÇÕES!E1948,"")</f>
        <v/>
      </c>
      <c r="D1948" s="6" t="str">
        <f ca="1">IF(AND(NEGOCIAÇÕES!O1948="",NEGOCIAÇÕES!N1948&gt;TODAY()),NEGOCIAÇÕES!D1948,"")</f>
        <v/>
      </c>
      <c r="E1948" s="9" t="str">
        <f>IF(AND(NEGOCIAÇÕES!B1948&lt;&gt;"",NEGOCIAÇÕES!O1948=""),NEGOCIAÇÕES!N1948,"")</f>
        <v/>
      </c>
    </row>
    <row r="1949" spans="2:5" ht="31.95" hidden="1" customHeight="1" x14ac:dyDescent="0.3">
      <c r="B1949" s="6" t="str">
        <f ca="1">IF(AND(NEGOCIAÇÕES!O1949="",NEGOCIAÇÕES!N1949&gt;TODAY()),NEGOCIAÇÕES!C1949,"")</f>
        <v/>
      </c>
      <c r="C1949" s="6" t="str">
        <f ca="1">IF(AND(NEGOCIAÇÕES!O1949="",NEGOCIAÇÕES!N1949&gt;TODAY()),NEGOCIAÇÕES!E1949,"")</f>
        <v/>
      </c>
      <c r="D1949" s="6" t="str">
        <f ca="1">IF(AND(NEGOCIAÇÕES!O1949="",NEGOCIAÇÕES!N1949&gt;TODAY()),NEGOCIAÇÕES!D1949,"")</f>
        <v/>
      </c>
      <c r="E1949" s="9" t="str">
        <f>IF(AND(NEGOCIAÇÕES!B1949&lt;&gt;"",NEGOCIAÇÕES!O1949=""),NEGOCIAÇÕES!N1949,"")</f>
        <v/>
      </c>
    </row>
    <row r="1950" spans="2:5" ht="31.95" hidden="1" customHeight="1" x14ac:dyDescent="0.3">
      <c r="B1950" s="6" t="str">
        <f ca="1">IF(AND(NEGOCIAÇÕES!O1950="",NEGOCIAÇÕES!N1950&gt;TODAY()),NEGOCIAÇÕES!C1950,"")</f>
        <v/>
      </c>
      <c r="C1950" s="6" t="str">
        <f ca="1">IF(AND(NEGOCIAÇÕES!O1950="",NEGOCIAÇÕES!N1950&gt;TODAY()),NEGOCIAÇÕES!E1950,"")</f>
        <v/>
      </c>
      <c r="D1950" s="6" t="str">
        <f ca="1">IF(AND(NEGOCIAÇÕES!O1950="",NEGOCIAÇÕES!N1950&gt;TODAY()),NEGOCIAÇÕES!D1950,"")</f>
        <v/>
      </c>
      <c r="E1950" s="9" t="str">
        <f>IF(AND(NEGOCIAÇÕES!B1950&lt;&gt;"",NEGOCIAÇÕES!O1950=""),NEGOCIAÇÕES!N1950,"")</f>
        <v/>
      </c>
    </row>
    <row r="1951" spans="2:5" ht="31.95" hidden="1" customHeight="1" x14ac:dyDescent="0.3">
      <c r="B1951" s="6" t="str">
        <f ca="1">IF(AND(NEGOCIAÇÕES!O1951="",NEGOCIAÇÕES!N1951&gt;TODAY()),NEGOCIAÇÕES!C1951,"")</f>
        <v/>
      </c>
      <c r="C1951" s="6" t="str">
        <f ca="1">IF(AND(NEGOCIAÇÕES!O1951="",NEGOCIAÇÕES!N1951&gt;TODAY()),NEGOCIAÇÕES!E1951,"")</f>
        <v/>
      </c>
      <c r="D1951" s="6" t="str">
        <f ca="1">IF(AND(NEGOCIAÇÕES!O1951="",NEGOCIAÇÕES!N1951&gt;TODAY()),NEGOCIAÇÕES!D1951,"")</f>
        <v/>
      </c>
      <c r="E1951" s="9" t="str">
        <f>IF(AND(NEGOCIAÇÕES!B1951&lt;&gt;"",NEGOCIAÇÕES!O1951=""),NEGOCIAÇÕES!N1951,"")</f>
        <v/>
      </c>
    </row>
    <row r="1952" spans="2:5" ht="31.95" hidden="1" customHeight="1" x14ac:dyDescent="0.3">
      <c r="B1952" s="6" t="str">
        <f ca="1">IF(AND(NEGOCIAÇÕES!O1952="",NEGOCIAÇÕES!N1952&gt;TODAY()),NEGOCIAÇÕES!C1952,"")</f>
        <v/>
      </c>
      <c r="C1952" s="6" t="str">
        <f ca="1">IF(AND(NEGOCIAÇÕES!O1952="",NEGOCIAÇÕES!N1952&gt;TODAY()),NEGOCIAÇÕES!E1952,"")</f>
        <v/>
      </c>
      <c r="D1952" s="6" t="str">
        <f ca="1">IF(AND(NEGOCIAÇÕES!O1952="",NEGOCIAÇÕES!N1952&gt;TODAY()),NEGOCIAÇÕES!D1952,"")</f>
        <v/>
      </c>
      <c r="E1952" s="9" t="str">
        <f>IF(AND(NEGOCIAÇÕES!B1952&lt;&gt;"",NEGOCIAÇÕES!O1952=""),NEGOCIAÇÕES!N1952,"")</f>
        <v/>
      </c>
    </row>
    <row r="1953" spans="2:5" ht="31.95" hidden="1" customHeight="1" x14ac:dyDescent="0.3">
      <c r="B1953" s="6" t="str">
        <f ca="1">IF(AND(NEGOCIAÇÕES!O1953="",NEGOCIAÇÕES!N1953&gt;TODAY()),NEGOCIAÇÕES!C1953,"")</f>
        <v/>
      </c>
      <c r="C1953" s="6" t="str">
        <f ca="1">IF(AND(NEGOCIAÇÕES!O1953="",NEGOCIAÇÕES!N1953&gt;TODAY()),NEGOCIAÇÕES!E1953,"")</f>
        <v/>
      </c>
      <c r="D1953" s="6" t="str">
        <f ca="1">IF(AND(NEGOCIAÇÕES!O1953="",NEGOCIAÇÕES!N1953&gt;TODAY()),NEGOCIAÇÕES!D1953,"")</f>
        <v/>
      </c>
      <c r="E1953" s="9" t="str">
        <f>IF(AND(NEGOCIAÇÕES!B1953&lt;&gt;"",NEGOCIAÇÕES!O1953=""),NEGOCIAÇÕES!N1953,"")</f>
        <v/>
      </c>
    </row>
    <row r="1954" spans="2:5" ht="31.95" hidden="1" customHeight="1" x14ac:dyDescent="0.3">
      <c r="B1954" s="6" t="str">
        <f ca="1">IF(AND(NEGOCIAÇÕES!O1954="",NEGOCIAÇÕES!N1954&gt;TODAY()),NEGOCIAÇÕES!C1954,"")</f>
        <v/>
      </c>
      <c r="C1954" s="6" t="str">
        <f ca="1">IF(AND(NEGOCIAÇÕES!O1954="",NEGOCIAÇÕES!N1954&gt;TODAY()),NEGOCIAÇÕES!E1954,"")</f>
        <v/>
      </c>
      <c r="D1954" s="6" t="str">
        <f ca="1">IF(AND(NEGOCIAÇÕES!O1954="",NEGOCIAÇÕES!N1954&gt;TODAY()),NEGOCIAÇÕES!D1954,"")</f>
        <v/>
      </c>
      <c r="E1954" s="9" t="str">
        <f>IF(AND(NEGOCIAÇÕES!B1954&lt;&gt;"",NEGOCIAÇÕES!O1954=""),NEGOCIAÇÕES!N1954,"")</f>
        <v/>
      </c>
    </row>
    <row r="1955" spans="2:5" ht="31.95" hidden="1" customHeight="1" x14ac:dyDescent="0.3">
      <c r="B1955" s="6" t="str">
        <f ca="1">IF(AND(NEGOCIAÇÕES!O1955="",NEGOCIAÇÕES!N1955&gt;TODAY()),NEGOCIAÇÕES!C1955,"")</f>
        <v/>
      </c>
      <c r="C1955" s="6" t="str">
        <f ca="1">IF(AND(NEGOCIAÇÕES!O1955="",NEGOCIAÇÕES!N1955&gt;TODAY()),NEGOCIAÇÕES!E1955,"")</f>
        <v/>
      </c>
      <c r="D1955" s="6" t="str">
        <f ca="1">IF(AND(NEGOCIAÇÕES!O1955="",NEGOCIAÇÕES!N1955&gt;TODAY()),NEGOCIAÇÕES!D1955,"")</f>
        <v/>
      </c>
      <c r="E1955" s="9" t="str">
        <f>IF(AND(NEGOCIAÇÕES!B1955&lt;&gt;"",NEGOCIAÇÕES!O1955=""),NEGOCIAÇÕES!N1955,"")</f>
        <v/>
      </c>
    </row>
    <row r="1956" spans="2:5" ht="31.95" hidden="1" customHeight="1" x14ac:dyDescent="0.3">
      <c r="B1956" s="6" t="str">
        <f ca="1">IF(AND(NEGOCIAÇÕES!O1956="",NEGOCIAÇÕES!N1956&gt;TODAY()),NEGOCIAÇÕES!C1956,"")</f>
        <v/>
      </c>
      <c r="C1956" s="6" t="str">
        <f ca="1">IF(AND(NEGOCIAÇÕES!O1956="",NEGOCIAÇÕES!N1956&gt;TODAY()),NEGOCIAÇÕES!E1956,"")</f>
        <v/>
      </c>
      <c r="D1956" s="6" t="str">
        <f ca="1">IF(AND(NEGOCIAÇÕES!O1956="",NEGOCIAÇÕES!N1956&gt;TODAY()),NEGOCIAÇÕES!D1956,"")</f>
        <v/>
      </c>
      <c r="E1956" s="9" t="str">
        <f>IF(AND(NEGOCIAÇÕES!B1956&lt;&gt;"",NEGOCIAÇÕES!O1956=""),NEGOCIAÇÕES!N1956,"")</f>
        <v/>
      </c>
    </row>
    <row r="1957" spans="2:5" ht="31.95" hidden="1" customHeight="1" x14ac:dyDescent="0.3">
      <c r="B1957" s="6" t="str">
        <f ca="1">IF(AND(NEGOCIAÇÕES!O1957="",NEGOCIAÇÕES!N1957&gt;TODAY()),NEGOCIAÇÕES!C1957,"")</f>
        <v/>
      </c>
      <c r="C1957" s="6" t="str">
        <f ca="1">IF(AND(NEGOCIAÇÕES!O1957="",NEGOCIAÇÕES!N1957&gt;TODAY()),NEGOCIAÇÕES!E1957,"")</f>
        <v/>
      </c>
      <c r="D1957" s="6" t="str">
        <f ca="1">IF(AND(NEGOCIAÇÕES!O1957="",NEGOCIAÇÕES!N1957&gt;TODAY()),NEGOCIAÇÕES!D1957,"")</f>
        <v/>
      </c>
      <c r="E1957" s="9" t="str">
        <f>IF(AND(NEGOCIAÇÕES!B1957&lt;&gt;"",NEGOCIAÇÕES!O1957=""),NEGOCIAÇÕES!N1957,"")</f>
        <v/>
      </c>
    </row>
    <row r="1958" spans="2:5" ht="31.95" hidden="1" customHeight="1" x14ac:dyDescent="0.3">
      <c r="B1958" s="6" t="str">
        <f ca="1">IF(AND(NEGOCIAÇÕES!O1958="",NEGOCIAÇÕES!N1958&gt;TODAY()),NEGOCIAÇÕES!C1958,"")</f>
        <v/>
      </c>
      <c r="C1958" s="6" t="str">
        <f ca="1">IF(AND(NEGOCIAÇÕES!O1958="",NEGOCIAÇÕES!N1958&gt;TODAY()),NEGOCIAÇÕES!E1958,"")</f>
        <v/>
      </c>
      <c r="D1958" s="6" t="str">
        <f ca="1">IF(AND(NEGOCIAÇÕES!O1958="",NEGOCIAÇÕES!N1958&gt;TODAY()),NEGOCIAÇÕES!D1958,"")</f>
        <v/>
      </c>
      <c r="E1958" s="9" t="str">
        <f>IF(AND(NEGOCIAÇÕES!B1958&lt;&gt;"",NEGOCIAÇÕES!O1958=""),NEGOCIAÇÕES!N1958,"")</f>
        <v/>
      </c>
    </row>
    <row r="1959" spans="2:5" ht="31.95" hidden="1" customHeight="1" x14ac:dyDescent="0.3">
      <c r="B1959" s="6" t="str">
        <f ca="1">IF(AND(NEGOCIAÇÕES!O1959="",NEGOCIAÇÕES!N1959&gt;TODAY()),NEGOCIAÇÕES!C1959,"")</f>
        <v/>
      </c>
      <c r="C1959" s="6" t="str">
        <f ca="1">IF(AND(NEGOCIAÇÕES!O1959="",NEGOCIAÇÕES!N1959&gt;TODAY()),NEGOCIAÇÕES!E1959,"")</f>
        <v/>
      </c>
      <c r="D1959" s="6" t="str">
        <f ca="1">IF(AND(NEGOCIAÇÕES!O1959="",NEGOCIAÇÕES!N1959&gt;TODAY()),NEGOCIAÇÕES!D1959,"")</f>
        <v/>
      </c>
      <c r="E1959" s="9" t="str">
        <f>IF(AND(NEGOCIAÇÕES!B1959&lt;&gt;"",NEGOCIAÇÕES!O1959=""),NEGOCIAÇÕES!N1959,"")</f>
        <v/>
      </c>
    </row>
    <row r="1960" spans="2:5" ht="31.95" hidden="1" customHeight="1" x14ac:dyDescent="0.3">
      <c r="B1960" s="6" t="str">
        <f ca="1">IF(AND(NEGOCIAÇÕES!O1960="",NEGOCIAÇÕES!N1960&gt;TODAY()),NEGOCIAÇÕES!C1960,"")</f>
        <v/>
      </c>
      <c r="C1960" s="6" t="str">
        <f ca="1">IF(AND(NEGOCIAÇÕES!O1960="",NEGOCIAÇÕES!N1960&gt;TODAY()),NEGOCIAÇÕES!E1960,"")</f>
        <v/>
      </c>
      <c r="D1960" s="6" t="str">
        <f ca="1">IF(AND(NEGOCIAÇÕES!O1960="",NEGOCIAÇÕES!N1960&gt;TODAY()),NEGOCIAÇÕES!D1960,"")</f>
        <v/>
      </c>
      <c r="E1960" s="9" t="str">
        <f>IF(AND(NEGOCIAÇÕES!B1960&lt;&gt;"",NEGOCIAÇÕES!O1960=""),NEGOCIAÇÕES!N1960,"")</f>
        <v/>
      </c>
    </row>
    <row r="1961" spans="2:5" ht="31.95" hidden="1" customHeight="1" x14ac:dyDescent="0.3">
      <c r="B1961" s="6" t="str">
        <f ca="1">IF(AND(NEGOCIAÇÕES!O1961="",NEGOCIAÇÕES!N1961&gt;TODAY()),NEGOCIAÇÕES!C1961,"")</f>
        <v/>
      </c>
      <c r="C1961" s="6" t="str">
        <f ca="1">IF(AND(NEGOCIAÇÕES!O1961="",NEGOCIAÇÕES!N1961&gt;TODAY()),NEGOCIAÇÕES!E1961,"")</f>
        <v/>
      </c>
      <c r="D1961" s="6" t="str">
        <f ca="1">IF(AND(NEGOCIAÇÕES!O1961="",NEGOCIAÇÕES!N1961&gt;TODAY()),NEGOCIAÇÕES!D1961,"")</f>
        <v/>
      </c>
      <c r="E1961" s="9" t="str">
        <f>IF(AND(NEGOCIAÇÕES!B1961&lt;&gt;"",NEGOCIAÇÕES!O1961=""),NEGOCIAÇÕES!N1961,"")</f>
        <v/>
      </c>
    </row>
    <row r="1962" spans="2:5" ht="31.95" hidden="1" customHeight="1" x14ac:dyDescent="0.3">
      <c r="B1962" s="6" t="str">
        <f ca="1">IF(AND(NEGOCIAÇÕES!O1962="",NEGOCIAÇÕES!N1962&gt;TODAY()),NEGOCIAÇÕES!C1962,"")</f>
        <v/>
      </c>
      <c r="C1962" s="6" t="str">
        <f ca="1">IF(AND(NEGOCIAÇÕES!O1962="",NEGOCIAÇÕES!N1962&gt;TODAY()),NEGOCIAÇÕES!E1962,"")</f>
        <v/>
      </c>
      <c r="D1962" s="6" t="str">
        <f ca="1">IF(AND(NEGOCIAÇÕES!O1962="",NEGOCIAÇÕES!N1962&gt;TODAY()),NEGOCIAÇÕES!D1962,"")</f>
        <v/>
      </c>
      <c r="E1962" s="9" t="str">
        <f>IF(AND(NEGOCIAÇÕES!B1962&lt;&gt;"",NEGOCIAÇÕES!O1962=""),NEGOCIAÇÕES!N1962,"")</f>
        <v/>
      </c>
    </row>
    <row r="1963" spans="2:5" ht="31.95" hidden="1" customHeight="1" x14ac:dyDescent="0.3">
      <c r="B1963" s="6" t="str">
        <f ca="1">IF(AND(NEGOCIAÇÕES!O1963="",NEGOCIAÇÕES!N1963&gt;TODAY()),NEGOCIAÇÕES!C1963,"")</f>
        <v/>
      </c>
      <c r="C1963" s="6" t="str">
        <f ca="1">IF(AND(NEGOCIAÇÕES!O1963="",NEGOCIAÇÕES!N1963&gt;TODAY()),NEGOCIAÇÕES!E1963,"")</f>
        <v/>
      </c>
      <c r="D1963" s="6" t="str">
        <f ca="1">IF(AND(NEGOCIAÇÕES!O1963="",NEGOCIAÇÕES!N1963&gt;TODAY()),NEGOCIAÇÕES!D1963,"")</f>
        <v/>
      </c>
      <c r="E1963" s="9" t="str">
        <f>IF(AND(NEGOCIAÇÕES!B1963&lt;&gt;"",NEGOCIAÇÕES!O1963=""),NEGOCIAÇÕES!N1963,"")</f>
        <v/>
      </c>
    </row>
    <row r="1964" spans="2:5" ht="31.95" hidden="1" customHeight="1" x14ac:dyDescent="0.3">
      <c r="B1964" s="6" t="str">
        <f ca="1">IF(AND(NEGOCIAÇÕES!O1964="",NEGOCIAÇÕES!N1964&gt;TODAY()),NEGOCIAÇÕES!C1964,"")</f>
        <v/>
      </c>
      <c r="C1964" s="6" t="str">
        <f ca="1">IF(AND(NEGOCIAÇÕES!O1964="",NEGOCIAÇÕES!N1964&gt;TODAY()),NEGOCIAÇÕES!E1964,"")</f>
        <v/>
      </c>
      <c r="D1964" s="6" t="str">
        <f ca="1">IF(AND(NEGOCIAÇÕES!O1964="",NEGOCIAÇÕES!N1964&gt;TODAY()),NEGOCIAÇÕES!D1964,"")</f>
        <v/>
      </c>
      <c r="E1964" s="9" t="str">
        <f>IF(AND(NEGOCIAÇÕES!B1964&lt;&gt;"",NEGOCIAÇÕES!O1964=""),NEGOCIAÇÕES!N1964,"")</f>
        <v/>
      </c>
    </row>
    <row r="1965" spans="2:5" ht="31.95" hidden="1" customHeight="1" x14ac:dyDescent="0.3">
      <c r="B1965" s="6" t="str">
        <f ca="1">IF(AND(NEGOCIAÇÕES!O1965="",NEGOCIAÇÕES!N1965&gt;TODAY()),NEGOCIAÇÕES!C1965,"")</f>
        <v/>
      </c>
      <c r="C1965" s="6" t="str">
        <f ca="1">IF(AND(NEGOCIAÇÕES!O1965="",NEGOCIAÇÕES!N1965&gt;TODAY()),NEGOCIAÇÕES!E1965,"")</f>
        <v/>
      </c>
      <c r="D1965" s="6" t="str">
        <f ca="1">IF(AND(NEGOCIAÇÕES!O1965="",NEGOCIAÇÕES!N1965&gt;TODAY()),NEGOCIAÇÕES!D1965,"")</f>
        <v/>
      </c>
      <c r="E1965" s="9" t="str">
        <f>IF(AND(NEGOCIAÇÕES!B1965&lt;&gt;"",NEGOCIAÇÕES!O1965=""),NEGOCIAÇÕES!N1965,"")</f>
        <v/>
      </c>
    </row>
    <row r="1966" spans="2:5" ht="31.95" hidden="1" customHeight="1" x14ac:dyDescent="0.3">
      <c r="B1966" s="6" t="str">
        <f ca="1">IF(AND(NEGOCIAÇÕES!O1966="",NEGOCIAÇÕES!N1966&gt;TODAY()),NEGOCIAÇÕES!C1966,"")</f>
        <v/>
      </c>
      <c r="C1966" s="6" t="str">
        <f ca="1">IF(AND(NEGOCIAÇÕES!O1966="",NEGOCIAÇÕES!N1966&gt;TODAY()),NEGOCIAÇÕES!E1966,"")</f>
        <v/>
      </c>
      <c r="D1966" s="6" t="str">
        <f ca="1">IF(AND(NEGOCIAÇÕES!O1966="",NEGOCIAÇÕES!N1966&gt;TODAY()),NEGOCIAÇÕES!D1966,"")</f>
        <v/>
      </c>
      <c r="E1966" s="9" t="str">
        <f>IF(AND(NEGOCIAÇÕES!B1966&lt;&gt;"",NEGOCIAÇÕES!O1966=""),NEGOCIAÇÕES!N1966,"")</f>
        <v/>
      </c>
    </row>
    <row r="1967" spans="2:5" ht="31.95" hidden="1" customHeight="1" x14ac:dyDescent="0.3">
      <c r="B1967" s="6" t="str">
        <f ca="1">IF(AND(NEGOCIAÇÕES!O1967="",NEGOCIAÇÕES!N1967&gt;TODAY()),NEGOCIAÇÕES!C1967,"")</f>
        <v/>
      </c>
      <c r="C1967" s="6" t="str">
        <f ca="1">IF(AND(NEGOCIAÇÕES!O1967="",NEGOCIAÇÕES!N1967&gt;TODAY()),NEGOCIAÇÕES!E1967,"")</f>
        <v/>
      </c>
      <c r="D1967" s="6" t="str">
        <f ca="1">IF(AND(NEGOCIAÇÕES!O1967="",NEGOCIAÇÕES!N1967&gt;TODAY()),NEGOCIAÇÕES!D1967,"")</f>
        <v/>
      </c>
      <c r="E1967" s="9" t="str">
        <f>IF(AND(NEGOCIAÇÕES!B1967&lt;&gt;"",NEGOCIAÇÕES!O1967=""),NEGOCIAÇÕES!N1967,"")</f>
        <v/>
      </c>
    </row>
    <row r="1968" spans="2:5" ht="31.95" hidden="1" customHeight="1" x14ac:dyDescent="0.3">
      <c r="B1968" s="6" t="str">
        <f ca="1">IF(AND(NEGOCIAÇÕES!O1968="",NEGOCIAÇÕES!N1968&gt;TODAY()),NEGOCIAÇÕES!C1968,"")</f>
        <v/>
      </c>
      <c r="C1968" s="6" t="str">
        <f ca="1">IF(AND(NEGOCIAÇÕES!O1968="",NEGOCIAÇÕES!N1968&gt;TODAY()),NEGOCIAÇÕES!E1968,"")</f>
        <v/>
      </c>
      <c r="D1968" s="6" t="str">
        <f ca="1">IF(AND(NEGOCIAÇÕES!O1968="",NEGOCIAÇÕES!N1968&gt;TODAY()),NEGOCIAÇÕES!D1968,"")</f>
        <v/>
      </c>
      <c r="E1968" s="9" t="str">
        <f>IF(AND(NEGOCIAÇÕES!B1968&lt;&gt;"",NEGOCIAÇÕES!O1968=""),NEGOCIAÇÕES!N1968,"")</f>
        <v/>
      </c>
    </row>
    <row r="1969" spans="2:5" ht="31.95" hidden="1" customHeight="1" x14ac:dyDescent="0.3">
      <c r="B1969" s="6" t="str">
        <f ca="1">IF(AND(NEGOCIAÇÕES!O1969="",NEGOCIAÇÕES!N1969&gt;TODAY()),NEGOCIAÇÕES!C1969,"")</f>
        <v/>
      </c>
      <c r="C1969" s="6" t="str">
        <f ca="1">IF(AND(NEGOCIAÇÕES!O1969="",NEGOCIAÇÕES!N1969&gt;TODAY()),NEGOCIAÇÕES!E1969,"")</f>
        <v/>
      </c>
      <c r="D1969" s="6" t="str">
        <f ca="1">IF(AND(NEGOCIAÇÕES!O1969="",NEGOCIAÇÕES!N1969&gt;TODAY()),NEGOCIAÇÕES!D1969,"")</f>
        <v/>
      </c>
      <c r="E1969" s="9" t="str">
        <f>IF(AND(NEGOCIAÇÕES!B1969&lt;&gt;"",NEGOCIAÇÕES!O1969=""),NEGOCIAÇÕES!N1969,"")</f>
        <v/>
      </c>
    </row>
    <row r="1970" spans="2:5" ht="31.95" hidden="1" customHeight="1" x14ac:dyDescent="0.3">
      <c r="B1970" s="6" t="str">
        <f ca="1">IF(AND(NEGOCIAÇÕES!O1970="",NEGOCIAÇÕES!N1970&gt;TODAY()),NEGOCIAÇÕES!C1970,"")</f>
        <v/>
      </c>
      <c r="C1970" s="6" t="str">
        <f ca="1">IF(AND(NEGOCIAÇÕES!O1970="",NEGOCIAÇÕES!N1970&gt;TODAY()),NEGOCIAÇÕES!E1970,"")</f>
        <v/>
      </c>
      <c r="D1970" s="6" t="str">
        <f ca="1">IF(AND(NEGOCIAÇÕES!O1970="",NEGOCIAÇÕES!N1970&gt;TODAY()),NEGOCIAÇÕES!D1970,"")</f>
        <v/>
      </c>
      <c r="E1970" s="9" t="str">
        <f>IF(AND(NEGOCIAÇÕES!B1970&lt;&gt;"",NEGOCIAÇÕES!O1970=""),NEGOCIAÇÕES!N1970,"")</f>
        <v/>
      </c>
    </row>
    <row r="1971" spans="2:5" ht="31.95" hidden="1" customHeight="1" x14ac:dyDescent="0.3">
      <c r="B1971" s="6" t="str">
        <f ca="1">IF(AND(NEGOCIAÇÕES!O1971="",NEGOCIAÇÕES!N1971&gt;TODAY()),NEGOCIAÇÕES!C1971,"")</f>
        <v/>
      </c>
      <c r="C1971" s="6" t="str">
        <f ca="1">IF(AND(NEGOCIAÇÕES!O1971="",NEGOCIAÇÕES!N1971&gt;TODAY()),NEGOCIAÇÕES!E1971,"")</f>
        <v/>
      </c>
      <c r="D1971" s="6" t="str">
        <f ca="1">IF(AND(NEGOCIAÇÕES!O1971="",NEGOCIAÇÕES!N1971&gt;TODAY()),NEGOCIAÇÕES!D1971,"")</f>
        <v/>
      </c>
      <c r="E1971" s="9" t="str">
        <f>IF(AND(NEGOCIAÇÕES!B1971&lt;&gt;"",NEGOCIAÇÕES!O1971=""),NEGOCIAÇÕES!N1971,"")</f>
        <v/>
      </c>
    </row>
    <row r="1972" spans="2:5" ht="31.95" hidden="1" customHeight="1" x14ac:dyDescent="0.3">
      <c r="B1972" s="6" t="str">
        <f ca="1">IF(AND(NEGOCIAÇÕES!O1972="",NEGOCIAÇÕES!N1972&gt;TODAY()),NEGOCIAÇÕES!C1972,"")</f>
        <v/>
      </c>
      <c r="C1972" s="6" t="str">
        <f ca="1">IF(AND(NEGOCIAÇÕES!O1972="",NEGOCIAÇÕES!N1972&gt;TODAY()),NEGOCIAÇÕES!E1972,"")</f>
        <v/>
      </c>
      <c r="D1972" s="6" t="str">
        <f ca="1">IF(AND(NEGOCIAÇÕES!O1972="",NEGOCIAÇÕES!N1972&gt;TODAY()),NEGOCIAÇÕES!D1972,"")</f>
        <v/>
      </c>
      <c r="E1972" s="9" t="str">
        <f>IF(AND(NEGOCIAÇÕES!B1972&lt;&gt;"",NEGOCIAÇÕES!O1972=""),NEGOCIAÇÕES!N1972,"")</f>
        <v/>
      </c>
    </row>
    <row r="1973" spans="2:5" ht="31.95" hidden="1" customHeight="1" x14ac:dyDescent="0.3">
      <c r="B1973" s="6" t="str">
        <f ca="1">IF(AND(NEGOCIAÇÕES!O1973="",NEGOCIAÇÕES!N1973&gt;TODAY()),NEGOCIAÇÕES!C1973,"")</f>
        <v/>
      </c>
      <c r="C1973" s="6" t="str">
        <f ca="1">IF(AND(NEGOCIAÇÕES!O1973="",NEGOCIAÇÕES!N1973&gt;TODAY()),NEGOCIAÇÕES!E1973,"")</f>
        <v/>
      </c>
      <c r="D1973" s="6" t="str">
        <f ca="1">IF(AND(NEGOCIAÇÕES!O1973="",NEGOCIAÇÕES!N1973&gt;TODAY()),NEGOCIAÇÕES!D1973,"")</f>
        <v/>
      </c>
      <c r="E1973" s="9" t="str">
        <f>IF(AND(NEGOCIAÇÕES!B1973&lt;&gt;"",NEGOCIAÇÕES!O1973=""),NEGOCIAÇÕES!N1973,"")</f>
        <v/>
      </c>
    </row>
    <row r="1974" spans="2:5" ht="31.95" hidden="1" customHeight="1" x14ac:dyDescent="0.3">
      <c r="B1974" s="6" t="str">
        <f ca="1">IF(AND(NEGOCIAÇÕES!O1974="",NEGOCIAÇÕES!N1974&gt;TODAY()),NEGOCIAÇÕES!C1974,"")</f>
        <v/>
      </c>
      <c r="C1974" s="6" t="str">
        <f ca="1">IF(AND(NEGOCIAÇÕES!O1974="",NEGOCIAÇÕES!N1974&gt;TODAY()),NEGOCIAÇÕES!E1974,"")</f>
        <v/>
      </c>
      <c r="D1974" s="6" t="str">
        <f ca="1">IF(AND(NEGOCIAÇÕES!O1974="",NEGOCIAÇÕES!N1974&gt;TODAY()),NEGOCIAÇÕES!D1974,"")</f>
        <v/>
      </c>
      <c r="E1974" s="9" t="str">
        <f>IF(AND(NEGOCIAÇÕES!B1974&lt;&gt;"",NEGOCIAÇÕES!O1974=""),NEGOCIAÇÕES!N1974,"")</f>
        <v/>
      </c>
    </row>
    <row r="1975" spans="2:5" ht="31.95" hidden="1" customHeight="1" x14ac:dyDescent="0.3">
      <c r="B1975" s="6" t="str">
        <f ca="1">IF(AND(NEGOCIAÇÕES!O1975="",NEGOCIAÇÕES!N1975&gt;TODAY()),NEGOCIAÇÕES!C1975,"")</f>
        <v/>
      </c>
      <c r="C1975" s="6" t="str">
        <f ca="1">IF(AND(NEGOCIAÇÕES!O1975="",NEGOCIAÇÕES!N1975&gt;TODAY()),NEGOCIAÇÕES!E1975,"")</f>
        <v/>
      </c>
      <c r="D1975" s="6" t="str">
        <f ca="1">IF(AND(NEGOCIAÇÕES!O1975="",NEGOCIAÇÕES!N1975&gt;TODAY()),NEGOCIAÇÕES!D1975,"")</f>
        <v/>
      </c>
      <c r="E1975" s="9" t="str">
        <f>IF(AND(NEGOCIAÇÕES!B1975&lt;&gt;"",NEGOCIAÇÕES!O1975=""),NEGOCIAÇÕES!N1975,"")</f>
        <v/>
      </c>
    </row>
    <row r="1976" spans="2:5" ht="31.95" hidden="1" customHeight="1" x14ac:dyDescent="0.3">
      <c r="B1976" s="6" t="str">
        <f ca="1">IF(AND(NEGOCIAÇÕES!O1976="",NEGOCIAÇÕES!N1976&gt;TODAY()),NEGOCIAÇÕES!C1976,"")</f>
        <v/>
      </c>
      <c r="C1976" s="6" t="str">
        <f ca="1">IF(AND(NEGOCIAÇÕES!O1976="",NEGOCIAÇÕES!N1976&gt;TODAY()),NEGOCIAÇÕES!E1976,"")</f>
        <v/>
      </c>
      <c r="D1976" s="6" t="str">
        <f ca="1">IF(AND(NEGOCIAÇÕES!O1976="",NEGOCIAÇÕES!N1976&gt;TODAY()),NEGOCIAÇÕES!D1976,"")</f>
        <v/>
      </c>
      <c r="E1976" s="9" t="str">
        <f>IF(AND(NEGOCIAÇÕES!B1976&lt;&gt;"",NEGOCIAÇÕES!O1976=""),NEGOCIAÇÕES!N1976,"")</f>
        <v/>
      </c>
    </row>
    <row r="1977" spans="2:5" ht="31.95" hidden="1" customHeight="1" x14ac:dyDescent="0.3">
      <c r="B1977" s="6" t="str">
        <f ca="1">IF(AND(NEGOCIAÇÕES!O1977="",NEGOCIAÇÕES!N1977&gt;TODAY()),NEGOCIAÇÕES!C1977,"")</f>
        <v/>
      </c>
      <c r="C1977" s="6" t="str">
        <f ca="1">IF(AND(NEGOCIAÇÕES!O1977="",NEGOCIAÇÕES!N1977&gt;TODAY()),NEGOCIAÇÕES!E1977,"")</f>
        <v/>
      </c>
      <c r="D1977" s="6" t="str">
        <f ca="1">IF(AND(NEGOCIAÇÕES!O1977="",NEGOCIAÇÕES!N1977&gt;TODAY()),NEGOCIAÇÕES!D1977,"")</f>
        <v/>
      </c>
      <c r="E1977" s="9" t="str">
        <f>IF(AND(NEGOCIAÇÕES!B1977&lt;&gt;"",NEGOCIAÇÕES!O1977=""),NEGOCIAÇÕES!N1977,"")</f>
        <v/>
      </c>
    </row>
    <row r="1978" spans="2:5" ht="31.95" hidden="1" customHeight="1" x14ac:dyDescent="0.3">
      <c r="B1978" s="6" t="str">
        <f ca="1">IF(AND(NEGOCIAÇÕES!O1978="",NEGOCIAÇÕES!N1978&gt;TODAY()),NEGOCIAÇÕES!C1978,"")</f>
        <v/>
      </c>
      <c r="C1978" s="6" t="str">
        <f ca="1">IF(AND(NEGOCIAÇÕES!O1978="",NEGOCIAÇÕES!N1978&gt;TODAY()),NEGOCIAÇÕES!E1978,"")</f>
        <v/>
      </c>
      <c r="D1978" s="6" t="str">
        <f ca="1">IF(AND(NEGOCIAÇÕES!O1978="",NEGOCIAÇÕES!N1978&gt;TODAY()),NEGOCIAÇÕES!D1978,"")</f>
        <v/>
      </c>
      <c r="E1978" s="9" t="str">
        <f>IF(AND(NEGOCIAÇÕES!B1978&lt;&gt;"",NEGOCIAÇÕES!O1978=""),NEGOCIAÇÕES!N1978,"")</f>
        <v/>
      </c>
    </row>
    <row r="1979" spans="2:5" ht="31.95" hidden="1" customHeight="1" x14ac:dyDescent="0.3">
      <c r="B1979" s="6" t="str">
        <f ca="1">IF(AND(NEGOCIAÇÕES!O1979="",NEGOCIAÇÕES!N1979&gt;TODAY()),NEGOCIAÇÕES!C1979,"")</f>
        <v/>
      </c>
      <c r="C1979" s="6" t="str">
        <f ca="1">IF(AND(NEGOCIAÇÕES!O1979="",NEGOCIAÇÕES!N1979&gt;TODAY()),NEGOCIAÇÕES!E1979,"")</f>
        <v/>
      </c>
      <c r="D1979" s="6" t="str">
        <f ca="1">IF(AND(NEGOCIAÇÕES!O1979="",NEGOCIAÇÕES!N1979&gt;TODAY()),NEGOCIAÇÕES!D1979,"")</f>
        <v/>
      </c>
      <c r="E1979" s="9" t="str">
        <f>IF(AND(NEGOCIAÇÕES!B1979&lt;&gt;"",NEGOCIAÇÕES!O1979=""),NEGOCIAÇÕES!N1979,"")</f>
        <v/>
      </c>
    </row>
    <row r="1980" spans="2:5" ht="31.95" hidden="1" customHeight="1" x14ac:dyDescent="0.3">
      <c r="B1980" s="6" t="str">
        <f ca="1">IF(AND(NEGOCIAÇÕES!O1980="",NEGOCIAÇÕES!N1980&gt;TODAY()),NEGOCIAÇÕES!C1980,"")</f>
        <v/>
      </c>
      <c r="C1980" s="6" t="str">
        <f ca="1">IF(AND(NEGOCIAÇÕES!O1980="",NEGOCIAÇÕES!N1980&gt;TODAY()),NEGOCIAÇÕES!E1980,"")</f>
        <v/>
      </c>
      <c r="D1980" s="6" t="str">
        <f ca="1">IF(AND(NEGOCIAÇÕES!O1980="",NEGOCIAÇÕES!N1980&gt;TODAY()),NEGOCIAÇÕES!D1980,"")</f>
        <v/>
      </c>
      <c r="E1980" s="9" t="str">
        <f>IF(AND(NEGOCIAÇÕES!B1980&lt;&gt;"",NEGOCIAÇÕES!O1980=""),NEGOCIAÇÕES!N1980,"")</f>
        <v/>
      </c>
    </row>
    <row r="1981" spans="2:5" ht="31.95" hidden="1" customHeight="1" x14ac:dyDescent="0.3">
      <c r="B1981" s="6" t="str">
        <f ca="1">IF(AND(NEGOCIAÇÕES!O1981="",NEGOCIAÇÕES!N1981&gt;TODAY()),NEGOCIAÇÕES!C1981,"")</f>
        <v/>
      </c>
      <c r="C1981" s="6" t="str">
        <f ca="1">IF(AND(NEGOCIAÇÕES!O1981="",NEGOCIAÇÕES!N1981&gt;TODAY()),NEGOCIAÇÕES!E1981,"")</f>
        <v/>
      </c>
      <c r="D1981" s="6" t="str">
        <f ca="1">IF(AND(NEGOCIAÇÕES!O1981="",NEGOCIAÇÕES!N1981&gt;TODAY()),NEGOCIAÇÕES!D1981,"")</f>
        <v/>
      </c>
      <c r="E1981" s="9" t="str">
        <f>IF(AND(NEGOCIAÇÕES!B1981&lt;&gt;"",NEGOCIAÇÕES!O1981=""),NEGOCIAÇÕES!N1981,"")</f>
        <v/>
      </c>
    </row>
    <row r="1982" spans="2:5" ht="31.95" hidden="1" customHeight="1" x14ac:dyDescent="0.3">
      <c r="B1982" s="6" t="str">
        <f ca="1">IF(AND(NEGOCIAÇÕES!O1982="",NEGOCIAÇÕES!N1982&gt;TODAY()),NEGOCIAÇÕES!C1982,"")</f>
        <v/>
      </c>
      <c r="C1982" s="6" t="str">
        <f ca="1">IF(AND(NEGOCIAÇÕES!O1982="",NEGOCIAÇÕES!N1982&gt;TODAY()),NEGOCIAÇÕES!E1982,"")</f>
        <v/>
      </c>
      <c r="D1982" s="6" t="str">
        <f ca="1">IF(AND(NEGOCIAÇÕES!O1982="",NEGOCIAÇÕES!N1982&gt;TODAY()),NEGOCIAÇÕES!D1982,"")</f>
        <v/>
      </c>
      <c r="E1982" s="9" t="str">
        <f>IF(AND(NEGOCIAÇÕES!B1982&lt;&gt;"",NEGOCIAÇÕES!O1982=""),NEGOCIAÇÕES!N1982,"")</f>
        <v/>
      </c>
    </row>
    <row r="1983" spans="2:5" ht="31.95" hidden="1" customHeight="1" x14ac:dyDescent="0.3">
      <c r="B1983" s="6" t="str">
        <f ca="1">IF(AND(NEGOCIAÇÕES!O1983="",NEGOCIAÇÕES!N1983&gt;TODAY()),NEGOCIAÇÕES!C1983,"")</f>
        <v/>
      </c>
      <c r="C1983" s="6" t="str">
        <f ca="1">IF(AND(NEGOCIAÇÕES!O1983="",NEGOCIAÇÕES!N1983&gt;TODAY()),NEGOCIAÇÕES!E1983,"")</f>
        <v/>
      </c>
      <c r="D1983" s="6" t="str">
        <f ca="1">IF(AND(NEGOCIAÇÕES!O1983="",NEGOCIAÇÕES!N1983&gt;TODAY()),NEGOCIAÇÕES!D1983,"")</f>
        <v/>
      </c>
      <c r="E1983" s="9" t="str">
        <f>IF(AND(NEGOCIAÇÕES!B1983&lt;&gt;"",NEGOCIAÇÕES!O1983=""),NEGOCIAÇÕES!N1983,"")</f>
        <v/>
      </c>
    </row>
    <row r="1984" spans="2:5" ht="31.95" hidden="1" customHeight="1" x14ac:dyDescent="0.3">
      <c r="B1984" s="6" t="str">
        <f ca="1">IF(AND(NEGOCIAÇÕES!O1984="",NEGOCIAÇÕES!N1984&gt;TODAY()),NEGOCIAÇÕES!C1984,"")</f>
        <v/>
      </c>
      <c r="C1984" s="6" t="str">
        <f ca="1">IF(AND(NEGOCIAÇÕES!O1984="",NEGOCIAÇÕES!N1984&gt;TODAY()),NEGOCIAÇÕES!E1984,"")</f>
        <v/>
      </c>
      <c r="D1984" s="6" t="str">
        <f ca="1">IF(AND(NEGOCIAÇÕES!O1984="",NEGOCIAÇÕES!N1984&gt;TODAY()),NEGOCIAÇÕES!D1984,"")</f>
        <v/>
      </c>
      <c r="E1984" s="9" t="str">
        <f>IF(AND(NEGOCIAÇÕES!B1984&lt;&gt;"",NEGOCIAÇÕES!O1984=""),NEGOCIAÇÕES!N1984,"")</f>
        <v/>
      </c>
    </row>
    <row r="1985" spans="2:5" ht="31.95" hidden="1" customHeight="1" x14ac:dyDescent="0.3">
      <c r="B1985" s="6" t="str">
        <f ca="1">IF(AND(NEGOCIAÇÕES!O1985="",NEGOCIAÇÕES!N1985&gt;TODAY()),NEGOCIAÇÕES!C1985,"")</f>
        <v/>
      </c>
      <c r="C1985" s="6" t="str">
        <f ca="1">IF(AND(NEGOCIAÇÕES!O1985="",NEGOCIAÇÕES!N1985&gt;TODAY()),NEGOCIAÇÕES!E1985,"")</f>
        <v/>
      </c>
      <c r="D1985" s="6" t="str">
        <f ca="1">IF(AND(NEGOCIAÇÕES!O1985="",NEGOCIAÇÕES!N1985&gt;TODAY()),NEGOCIAÇÕES!D1985,"")</f>
        <v/>
      </c>
      <c r="E1985" s="9" t="str">
        <f>IF(AND(NEGOCIAÇÕES!B1985&lt;&gt;"",NEGOCIAÇÕES!O1985=""),NEGOCIAÇÕES!N1985,"")</f>
        <v/>
      </c>
    </row>
    <row r="1986" spans="2:5" ht="31.95" hidden="1" customHeight="1" x14ac:dyDescent="0.3">
      <c r="B1986" s="6" t="str">
        <f ca="1">IF(AND(NEGOCIAÇÕES!O1986="",NEGOCIAÇÕES!N1986&gt;TODAY()),NEGOCIAÇÕES!C1986,"")</f>
        <v/>
      </c>
      <c r="C1986" s="6" t="str">
        <f ca="1">IF(AND(NEGOCIAÇÕES!O1986="",NEGOCIAÇÕES!N1986&gt;TODAY()),NEGOCIAÇÕES!E1986,"")</f>
        <v/>
      </c>
      <c r="D1986" s="6" t="str">
        <f ca="1">IF(AND(NEGOCIAÇÕES!O1986="",NEGOCIAÇÕES!N1986&gt;TODAY()),NEGOCIAÇÕES!D1986,"")</f>
        <v/>
      </c>
      <c r="E1986" s="9" t="str">
        <f>IF(AND(NEGOCIAÇÕES!B1986&lt;&gt;"",NEGOCIAÇÕES!O1986=""),NEGOCIAÇÕES!N1986,"")</f>
        <v/>
      </c>
    </row>
    <row r="1987" spans="2:5" ht="31.95" hidden="1" customHeight="1" x14ac:dyDescent="0.3">
      <c r="B1987" s="6" t="str">
        <f ca="1">IF(AND(NEGOCIAÇÕES!O1987="",NEGOCIAÇÕES!N1987&gt;TODAY()),NEGOCIAÇÕES!C1987,"")</f>
        <v/>
      </c>
      <c r="C1987" s="6" t="str">
        <f ca="1">IF(AND(NEGOCIAÇÕES!O1987="",NEGOCIAÇÕES!N1987&gt;TODAY()),NEGOCIAÇÕES!E1987,"")</f>
        <v/>
      </c>
      <c r="D1987" s="6" t="str">
        <f ca="1">IF(AND(NEGOCIAÇÕES!O1987="",NEGOCIAÇÕES!N1987&gt;TODAY()),NEGOCIAÇÕES!D1987,"")</f>
        <v/>
      </c>
      <c r="E1987" s="9" t="str">
        <f>IF(AND(NEGOCIAÇÕES!B1987&lt;&gt;"",NEGOCIAÇÕES!O1987=""),NEGOCIAÇÕES!N1987,"")</f>
        <v/>
      </c>
    </row>
    <row r="1988" spans="2:5" ht="31.95" hidden="1" customHeight="1" x14ac:dyDescent="0.3">
      <c r="B1988" s="6" t="str">
        <f ca="1">IF(AND(NEGOCIAÇÕES!O1988="",NEGOCIAÇÕES!N1988&gt;TODAY()),NEGOCIAÇÕES!C1988,"")</f>
        <v/>
      </c>
      <c r="C1988" s="6" t="str">
        <f ca="1">IF(AND(NEGOCIAÇÕES!O1988="",NEGOCIAÇÕES!N1988&gt;TODAY()),NEGOCIAÇÕES!E1988,"")</f>
        <v/>
      </c>
      <c r="D1988" s="6" t="str">
        <f ca="1">IF(AND(NEGOCIAÇÕES!O1988="",NEGOCIAÇÕES!N1988&gt;TODAY()),NEGOCIAÇÕES!D1988,"")</f>
        <v/>
      </c>
      <c r="E1988" s="9" t="str">
        <f>IF(AND(NEGOCIAÇÕES!B1988&lt;&gt;"",NEGOCIAÇÕES!O1988=""),NEGOCIAÇÕES!N1988,"")</f>
        <v/>
      </c>
    </row>
    <row r="1989" spans="2:5" ht="31.95" hidden="1" customHeight="1" x14ac:dyDescent="0.3">
      <c r="B1989" s="6" t="str">
        <f ca="1">IF(AND(NEGOCIAÇÕES!O1989="",NEGOCIAÇÕES!N1989&gt;TODAY()),NEGOCIAÇÕES!C1989,"")</f>
        <v/>
      </c>
      <c r="C1989" s="6" t="str">
        <f ca="1">IF(AND(NEGOCIAÇÕES!O1989="",NEGOCIAÇÕES!N1989&gt;TODAY()),NEGOCIAÇÕES!E1989,"")</f>
        <v/>
      </c>
      <c r="D1989" s="6" t="str">
        <f ca="1">IF(AND(NEGOCIAÇÕES!O1989="",NEGOCIAÇÕES!N1989&gt;TODAY()),NEGOCIAÇÕES!D1989,"")</f>
        <v/>
      </c>
      <c r="E1989" s="9" t="str">
        <f>IF(AND(NEGOCIAÇÕES!B1989&lt;&gt;"",NEGOCIAÇÕES!O1989=""),NEGOCIAÇÕES!N1989,"")</f>
        <v/>
      </c>
    </row>
    <row r="1990" spans="2:5" ht="31.95" hidden="1" customHeight="1" x14ac:dyDescent="0.3">
      <c r="B1990" s="6" t="str">
        <f ca="1">IF(AND(NEGOCIAÇÕES!O1990="",NEGOCIAÇÕES!N1990&gt;TODAY()),NEGOCIAÇÕES!C1990,"")</f>
        <v/>
      </c>
      <c r="C1990" s="6" t="str">
        <f ca="1">IF(AND(NEGOCIAÇÕES!O1990="",NEGOCIAÇÕES!N1990&gt;TODAY()),NEGOCIAÇÕES!E1990,"")</f>
        <v/>
      </c>
      <c r="D1990" s="6" t="str">
        <f ca="1">IF(AND(NEGOCIAÇÕES!O1990="",NEGOCIAÇÕES!N1990&gt;TODAY()),NEGOCIAÇÕES!D1990,"")</f>
        <v/>
      </c>
      <c r="E1990" s="9" t="str">
        <f>IF(AND(NEGOCIAÇÕES!B1990&lt;&gt;"",NEGOCIAÇÕES!O1990=""),NEGOCIAÇÕES!N1990,"")</f>
        <v/>
      </c>
    </row>
    <row r="1991" spans="2:5" ht="31.95" hidden="1" customHeight="1" x14ac:dyDescent="0.3">
      <c r="B1991" s="6" t="str">
        <f ca="1">IF(AND(NEGOCIAÇÕES!O1991="",NEGOCIAÇÕES!N1991&gt;TODAY()),NEGOCIAÇÕES!C1991,"")</f>
        <v/>
      </c>
      <c r="C1991" s="6" t="str">
        <f ca="1">IF(AND(NEGOCIAÇÕES!O1991="",NEGOCIAÇÕES!N1991&gt;TODAY()),NEGOCIAÇÕES!E1991,"")</f>
        <v/>
      </c>
      <c r="D1991" s="6" t="str">
        <f ca="1">IF(AND(NEGOCIAÇÕES!O1991="",NEGOCIAÇÕES!N1991&gt;TODAY()),NEGOCIAÇÕES!D1991,"")</f>
        <v/>
      </c>
      <c r="E1991" s="9" t="str">
        <f>IF(AND(NEGOCIAÇÕES!B1991&lt;&gt;"",NEGOCIAÇÕES!O1991=""),NEGOCIAÇÕES!N1991,"")</f>
        <v/>
      </c>
    </row>
    <row r="1992" spans="2:5" ht="31.95" hidden="1" customHeight="1" x14ac:dyDescent="0.3">
      <c r="B1992" s="6" t="str">
        <f ca="1">IF(AND(NEGOCIAÇÕES!O1992="",NEGOCIAÇÕES!N1992&gt;TODAY()),NEGOCIAÇÕES!C1992,"")</f>
        <v/>
      </c>
      <c r="C1992" s="6" t="str">
        <f ca="1">IF(AND(NEGOCIAÇÕES!O1992="",NEGOCIAÇÕES!N1992&gt;TODAY()),NEGOCIAÇÕES!E1992,"")</f>
        <v/>
      </c>
      <c r="D1992" s="6" t="str">
        <f ca="1">IF(AND(NEGOCIAÇÕES!O1992="",NEGOCIAÇÕES!N1992&gt;TODAY()),NEGOCIAÇÕES!D1992,"")</f>
        <v/>
      </c>
      <c r="E1992" s="9" t="str">
        <f>IF(AND(NEGOCIAÇÕES!B1992&lt;&gt;"",NEGOCIAÇÕES!O1992=""),NEGOCIAÇÕES!N1992,"")</f>
        <v/>
      </c>
    </row>
    <row r="1993" spans="2:5" ht="31.95" hidden="1" customHeight="1" x14ac:dyDescent="0.3">
      <c r="B1993" s="6" t="str">
        <f ca="1">IF(AND(NEGOCIAÇÕES!O1993="",NEGOCIAÇÕES!N1993&gt;TODAY()),NEGOCIAÇÕES!C1993,"")</f>
        <v/>
      </c>
      <c r="C1993" s="6" t="str">
        <f ca="1">IF(AND(NEGOCIAÇÕES!O1993="",NEGOCIAÇÕES!N1993&gt;TODAY()),NEGOCIAÇÕES!E1993,"")</f>
        <v/>
      </c>
      <c r="D1993" s="6" t="str">
        <f ca="1">IF(AND(NEGOCIAÇÕES!O1993="",NEGOCIAÇÕES!N1993&gt;TODAY()),NEGOCIAÇÕES!D1993,"")</f>
        <v/>
      </c>
      <c r="E1993" s="9" t="str">
        <f>IF(AND(NEGOCIAÇÕES!B1993&lt;&gt;"",NEGOCIAÇÕES!O1993=""),NEGOCIAÇÕES!N1993,"")</f>
        <v/>
      </c>
    </row>
    <row r="1994" spans="2:5" ht="31.95" hidden="1" customHeight="1" x14ac:dyDescent="0.3">
      <c r="B1994" s="6" t="str">
        <f ca="1">IF(AND(NEGOCIAÇÕES!O1994="",NEGOCIAÇÕES!N1994&gt;TODAY()),NEGOCIAÇÕES!C1994,"")</f>
        <v/>
      </c>
      <c r="C1994" s="6" t="str">
        <f ca="1">IF(AND(NEGOCIAÇÕES!O1994="",NEGOCIAÇÕES!N1994&gt;TODAY()),NEGOCIAÇÕES!E1994,"")</f>
        <v/>
      </c>
      <c r="D1994" s="6" t="str">
        <f ca="1">IF(AND(NEGOCIAÇÕES!O1994="",NEGOCIAÇÕES!N1994&gt;TODAY()),NEGOCIAÇÕES!D1994,"")</f>
        <v/>
      </c>
      <c r="E1994" s="9" t="str">
        <f>IF(AND(NEGOCIAÇÕES!B1994&lt;&gt;"",NEGOCIAÇÕES!O1994=""),NEGOCIAÇÕES!N1994,"")</f>
        <v/>
      </c>
    </row>
    <row r="1995" spans="2:5" ht="31.95" hidden="1" customHeight="1" x14ac:dyDescent="0.3">
      <c r="B1995" s="6" t="str">
        <f ca="1">IF(AND(NEGOCIAÇÕES!O1995="",NEGOCIAÇÕES!N1995&gt;TODAY()),NEGOCIAÇÕES!C1995,"")</f>
        <v/>
      </c>
      <c r="C1995" s="6" t="str">
        <f ca="1">IF(AND(NEGOCIAÇÕES!O1995="",NEGOCIAÇÕES!N1995&gt;TODAY()),NEGOCIAÇÕES!E1995,"")</f>
        <v/>
      </c>
      <c r="D1995" s="6" t="str">
        <f ca="1">IF(AND(NEGOCIAÇÕES!O1995="",NEGOCIAÇÕES!N1995&gt;TODAY()),NEGOCIAÇÕES!D1995,"")</f>
        <v/>
      </c>
      <c r="E1995" s="9" t="str">
        <f>IF(AND(NEGOCIAÇÕES!B1995&lt;&gt;"",NEGOCIAÇÕES!O1995=""),NEGOCIAÇÕES!N1995,"")</f>
        <v/>
      </c>
    </row>
    <row r="1996" spans="2:5" ht="31.95" hidden="1" customHeight="1" x14ac:dyDescent="0.3">
      <c r="B1996" s="6" t="str">
        <f ca="1">IF(AND(NEGOCIAÇÕES!O1996="",NEGOCIAÇÕES!N1996&gt;TODAY()),NEGOCIAÇÕES!C1996,"")</f>
        <v/>
      </c>
      <c r="C1996" s="6" t="str">
        <f ca="1">IF(AND(NEGOCIAÇÕES!O1996="",NEGOCIAÇÕES!N1996&gt;TODAY()),NEGOCIAÇÕES!E1996,"")</f>
        <v/>
      </c>
      <c r="D1996" s="6" t="str">
        <f ca="1">IF(AND(NEGOCIAÇÕES!O1996="",NEGOCIAÇÕES!N1996&gt;TODAY()),NEGOCIAÇÕES!D1996,"")</f>
        <v/>
      </c>
      <c r="E1996" s="9" t="str">
        <f>IF(AND(NEGOCIAÇÕES!B1996&lt;&gt;"",NEGOCIAÇÕES!O1996=""),NEGOCIAÇÕES!N1996,"")</f>
        <v/>
      </c>
    </row>
    <row r="1997" spans="2:5" ht="31.95" hidden="1" customHeight="1" x14ac:dyDescent="0.3">
      <c r="B1997" s="6" t="str">
        <f ca="1">IF(AND(NEGOCIAÇÕES!O1997="",NEGOCIAÇÕES!N1997&gt;TODAY()),NEGOCIAÇÕES!C1997,"")</f>
        <v/>
      </c>
      <c r="C1997" s="6" t="str">
        <f ca="1">IF(AND(NEGOCIAÇÕES!O1997="",NEGOCIAÇÕES!N1997&gt;TODAY()),NEGOCIAÇÕES!E1997,"")</f>
        <v/>
      </c>
      <c r="D1997" s="6" t="str">
        <f ca="1">IF(AND(NEGOCIAÇÕES!O1997="",NEGOCIAÇÕES!N1997&gt;TODAY()),NEGOCIAÇÕES!D1997,"")</f>
        <v/>
      </c>
      <c r="E1997" s="9" t="str">
        <f>IF(AND(NEGOCIAÇÕES!B1997&lt;&gt;"",NEGOCIAÇÕES!O1997=""),NEGOCIAÇÕES!N1997,"")</f>
        <v/>
      </c>
    </row>
    <row r="1998" spans="2:5" ht="31.95" hidden="1" customHeight="1" x14ac:dyDescent="0.3">
      <c r="B1998" s="6" t="str">
        <f ca="1">IF(AND(NEGOCIAÇÕES!O1998="",NEGOCIAÇÕES!N1998&gt;TODAY()),NEGOCIAÇÕES!C1998,"")</f>
        <v/>
      </c>
      <c r="C1998" s="6" t="str">
        <f ca="1">IF(AND(NEGOCIAÇÕES!O1998="",NEGOCIAÇÕES!N1998&gt;TODAY()),NEGOCIAÇÕES!E1998,"")</f>
        <v/>
      </c>
      <c r="D1998" s="6" t="str">
        <f ca="1">IF(AND(NEGOCIAÇÕES!O1998="",NEGOCIAÇÕES!N1998&gt;TODAY()),NEGOCIAÇÕES!D1998,"")</f>
        <v/>
      </c>
      <c r="E1998" s="9" t="str">
        <f>IF(AND(NEGOCIAÇÕES!B1998&lt;&gt;"",NEGOCIAÇÕES!O1998=""),NEGOCIAÇÕES!N1998,"")</f>
        <v/>
      </c>
    </row>
    <row r="1999" spans="2:5" ht="31.95" hidden="1" customHeight="1" x14ac:dyDescent="0.3">
      <c r="B1999" s="6" t="str">
        <f ca="1">IF(AND(NEGOCIAÇÕES!O1999="",NEGOCIAÇÕES!N1999&gt;TODAY()),NEGOCIAÇÕES!C1999,"")</f>
        <v/>
      </c>
      <c r="C1999" s="6" t="str">
        <f ca="1">IF(AND(NEGOCIAÇÕES!O1999="",NEGOCIAÇÕES!N1999&gt;TODAY()),NEGOCIAÇÕES!E1999,"")</f>
        <v/>
      </c>
      <c r="D1999" s="6" t="str">
        <f ca="1">IF(AND(NEGOCIAÇÕES!O1999="",NEGOCIAÇÕES!N1999&gt;TODAY()),NEGOCIAÇÕES!D1999,"")</f>
        <v/>
      </c>
      <c r="E1999" s="9" t="str">
        <f>IF(AND(NEGOCIAÇÕES!B1999&lt;&gt;"",NEGOCIAÇÕES!O1999=""),NEGOCIAÇÕES!N1999,"")</f>
        <v/>
      </c>
    </row>
    <row r="2000" spans="2:5" ht="31.95" hidden="1" customHeight="1" x14ac:dyDescent="0.3">
      <c r="B2000" s="6" t="str">
        <f ca="1">IF(AND(NEGOCIAÇÕES!O2000="",NEGOCIAÇÕES!N2000&gt;TODAY()),NEGOCIAÇÕES!C2000,"")</f>
        <v/>
      </c>
      <c r="C2000" s="6" t="str">
        <f ca="1">IF(AND(NEGOCIAÇÕES!O2000="",NEGOCIAÇÕES!N2000&gt;TODAY()),NEGOCIAÇÕES!E2000,"")</f>
        <v/>
      </c>
      <c r="D2000" s="6" t="str">
        <f ca="1">IF(AND(NEGOCIAÇÕES!O2000="",NEGOCIAÇÕES!N2000&gt;TODAY()),NEGOCIAÇÕES!D2000,"")</f>
        <v/>
      </c>
      <c r="E2000" s="9" t="str">
        <f>IF(AND(NEGOCIAÇÕES!B2000&lt;&gt;"",NEGOCIAÇÕES!O2000=""),NEGOCIAÇÕES!N2000,"")</f>
        <v/>
      </c>
    </row>
  </sheetData>
  <sheetProtection formatCells="0" formatColumns="0" formatRows="0" insertColumns="0" insertRows="0" insertHyperlinks="0" deleteColumns="0" deleteRows="0" sort="0" autoFilter="0" pivotTables="0"/>
  <autoFilter ref="B4:E2000" xr:uid="{79EE4BC2-4709-4BC1-9ACE-8860E377022A}">
    <filterColumn colId="0">
      <customFilters>
        <customFilter operator="notEqual" val=" "/>
      </customFilters>
    </filterColumn>
  </autoFilter>
  <hyperlinks>
    <hyperlink ref="A1" location="'Ordem de compra'!A1" display="'Ordem de compra'!A1" xr:uid="{CFA441BC-2111-4C32-AE7C-58AF0844E11B}"/>
  </hyperlink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25C97-9D69-4093-BA9B-0F9F90DE8749}">
  <sheetPr codeName="Planilha9"/>
  <dimension ref="A1:X250"/>
  <sheetViews>
    <sheetView showGridLine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10.6640625" style="2" customWidth="1"/>
    <col min="2" max="2" width="42.6640625" style="2" customWidth="1"/>
    <col min="3" max="13" width="15.6640625" style="2" customWidth="1"/>
    <col min="14" max="16384" width="8.88671875" style="2"/>
  </cols>
  <sheetData>
    <row r="1" spans="1:24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4" spans="1:24" ht="31.95" customHeight="1" x14ac:dyDescent="0.3">
      <c r="B4" s="5" t="s">
        <v>1275</v>
      </c>
      <c r="C4" s="30" t="s">
        <v>1283</v>
      </c>
      <c r="D4" s="30" t="s">
        <v>1284</v>
      </c>
      <c r="E4" s="30" t="s">
        <v>1286</v>
      </c>
      <c r="F4" s="30" t="s">
        <v>1285</v>
      </c>
      <c r="G4" s="30" t="s">
        <v>1286</v>
      </c>
      <c r="H4" s="10"/>
      <c r="I4" s="10"/>
      <c r="J4" s="10"/>
      <c r="K4" s="10"/>
      <c r="L4" s="10"/>
      <c r="M4" s="11"/>
    </row>
    <row r="5" spans="1:24" ht="31.95" customHeight="1" x14ac:dyDescent="0.3">
      <c r="B5" s="6" t="str">
        <f>CAD_CL!B5</f>
        <v>A.N.J COMERCIAL LTDA</v>
      </c>
      <c r="C5" s="156">
        <f>SUMIF(NEGOCIAÇÕES!D:D,REL_LIBERADAS!B5,NEGOCIAÇÕES!Q:Q)</f>
        <v>3</v>
      </c>
      <c r="D5" s="156">
        <f>SUMIF(NEGOCIAÇÕES!D:D,REL_LIBERADAS!B5,NEGOCIAÇÕES!S:S)</f>
        <v>3</v>
      </c>
      <c r="E5" s="158">
        <f>IFERROR(D5/C5,0)</f>
        <v>1</v>
      </c>
      <c r="F5" s="156">
        <f>SUMIF(NEGOCIAÇÕES!D:D,REL_LIBERADAS!B5,NEGOCIAÇÕES!T:T)</f>
        <v>3</v>
      </c>
      <c r="G5" s="158">
        <f>IFERROR(F5/C5,0)</f>
        <v>1</v>
      </c>
      <c r="H5" s="6"/>
      <c r="I5" s="6"/>
      <c r="J5" s="9"/>
      <c r="K5" s="9"/>
      <c r="L5" s="6"/>
      <c r="M5" s="8"/>
    </row>
    <row r="6" spans="1:24" ht="31.95" customHeight="1" x14ac:dyDescent="0.3">
      <c r="B6" s="6" t="str">
        <f>CAD_CL!B6</f>
        <v>ABC AÇOS COMÉRCIO DE PRODUTOS METALÚRGICOS EIRELI ME.</v>
      </c>
      <c r="C6" s="156">
        <f>SUMIF(NEGOCIAÇÕES!D:D,REL_LIBERADAS!B6,NEGOCIAÇÕES!Q:Q)</f>
        <v>0</v>
      </c>
      <c r="D6" s="156">
        <f>SUMIF(NEGOCIAÇÕES!D:D,REL_LIBERADAS!B6,NEGOCIAÇÕES!S:S)</f>
        <v>0</v>
      </c>
      <c r="E6" s="158">
        <f>IFERROR(D6/C6,0)</f>
        <v>0</v>
      </c>
      <c r="F6" s="156">
        <f>SUMIF(NEGOCIAÇÕES!D:D,REL_LIBERADAS!B6,NEGOCIAÇÕES!T:T)</f>
        <v>0</v>
      </c>
      <c r="G6" s="158">
        <f>IFERROR(F6/C6,0)</f>
        <v>0</v>
      </c>
    </row>
    <row r="7" spans="1:24" ht="31.95" customHeight="1" x14ac:dyDescent="0.3">
      <c r="B7" s="6" t="str">
        <f>CAD_CL!B7</f>
        <v>ABRASEG COMERCIAL SOLDAS LTDA</v>
      </c>
      <c r="C7" s="156">
        <f>SUMIF(NEGOCIAÇÕES!D:D,REL_LIBERADAS!B7,NEGOCIAÇÕES!Q:Q)</f>
        <v>58</v>
      </c>
      <c r="D7" s="156">
        <f>SUMIF(NEGOCIAÇÕES!D:D,REL_LIBERADAS!B7,NEGOCIAÇÕES!S:S)</f>
        <v>54</v>
      </c>
      <c r="E7" s="158">
        <f>IFERROR(D7/C7,0)</f>
        <v>0.93103448275862066</v>
      </c>
      <c r="F7" s="156">
        <f>SUMIF(NEGOCIAÇÕES!D:D,REL_LIBERADAS!B7,NEGOCIAÇÕES!T:T)</f>
        <v>55</v>
      </c>
      <c r="G7" s="158">
        <f>IFERROR(F7/C7,0)</f>
        <v>0.94827586206896552</v>
      </c>
    </row>
    <row r="8" spans="1:24" ht="31.95" customHeight="1" x14ac:dyDescent="0.3">
      <c r="B8" s="6" t="str">
        <f>CAD_CL!B8</f>
        <v>ACEPIL COMERCIAL E IMPORTADORA LTDA.</v>
      </c>
      <c r="C8" s="156">
        <f>SUMIF(NEGOCIAÇÕES!D:D,REL_LIBERADAS!B8,NEGOCIAÇÕES!Q:Q)</f>
        <v>0</v>
      </c>
      <c r="D8" s="156">
        <f>SUMIF(NEGOCIAÇÕES!D:D,REL_LIBERADAS!B8,NEGOCIAÇÕES!S:S)</f>
        <v>0</v>
      </c>
      <c r="E8" s="158">
        <f t="shared" ref="E8:E71" si="0">IFERROR(D8/C8,0)</f>
        <v>0</v>
      </c>
      <c r="F8" s="156">
        <f>SUMIF(NEGOCIAÇÕES!D:D,REL_LIBERADAS!B8,NEGOCIAÇÕES!T:T)</f>
        <v>0</v>
      </c>
      <c r="G8" s="158">
        <f t="shared" ref="G8:G71" si="1">IFERROR(F8/C8,0)</f>
        <v>0</v>
      </c>
    </row>
    <row r="9" spans="1:24" ht="31.95" customHeight="1" x14ac:dyDescent="0.3">
      <c r="B9" s="6" t="str">
        <f>CAD_CL!B9</f>
        <v>ACIVA PRODUTOS SIDERÚRGICOS LTDA</v>
      </c>
      <c r="C9" s="156">
        <f>SUMIF(NEGOCIAÇÕES!D:D,REL_LIBERADAS!B9,NEGOCIAÇÕES!Q:Q)</f>
        <v>1</v>
      </c>
      <c r="D9" s="156">
        <f>SUMIF(NEGOCIAÇÕES!D:D,REL_LIBERADAS!B9,NEGOCIAÇÕES!S:S)</f>
        <v>1</v>
      </c>
      <c r="E9" s="158">
        <f t="shared" si="0"/>
        <v>1</v>
      </c>
      <c r="F9" s="156">
        <f>SUMIF(NEGOCIAÇÕES!D:D,REL_LIBERADAS!B9,NEGOCIAÇÕES!T:T)</f>
        <v>1</v>
      </c>
      <c r="G9" s="158">
        <f t="shared" si="1"/>
        <v>1</v>
      </c>
    </row>
    <row r="10" spans="1:24" ht="31.95" customHeight="1" x14ac:dyDescent="0.3">
      <c r="B10" s="6" t="str">
        <f>CAD_CL!B10</f>
        <v>AÇOS GRANJO COMERCIAL LTDA</v>
      </c>
      <c r="C10" s="156">
        <f>SUMIF(NEGOCIAÇÕES!D:D,REL_LIBERADAS!B10,NEGOCIAÇÕES!Q:Q)</f>
        <v>1</v>
      </c>
      <c r="D10" s="156">
        <f>SUMIF(NEGOCIAÇÕES!D:D,REL_LIBERADAS!B10,NEGOCIAÇÕES!S:S)</f>
        <v>1</v>
      </c>
      <c r="E10" s="158">
        <f t="shared" si="0"/>
        <v>1</v>
      </c>
      <c r="F10" s="156">
        <f>SUMIF(NEGOCIAÇÕES!D:D,REL_LIBERADAS!B10,NEGOCIAÇÕES!T:T)</f>
        <v>1</v>
      </c>
      <c r="G10" s="158">
        <f t="shared" si="1"/>
        <v>1</v>
      </c>
    </row>
    <row r="11" spans="1:24" ht="31.95" customHeight="1" x14ac:dyDescent="0.3">
      <c r="B11" s="6" t="str">
        <f>CAD_CL!B11</f>
        <v>ACOTUBO INDUSTRIA E COMERCIO LTDA - TUBOS E AÇOS RJ</v>
      </c>
      <c r="C11" s="156">
        <f>SUMIF(NEGOCIAÇÕES!D:D,REL_LIBERADAS!B11,NEGOCIAÇÕES!Q:Q)</f>
        <v>7</v>
      </c>
      <c r="D11" s="156">
        <f>SUMIF(NEGOCIAÇÕES!D:D,REL_LIBERADAS!B11,NEGOCIAÇÕES!S:S)</f>
        <v>7</v>
      </c>
      <c r="E11" s="158">
        <f t="shared" si="0"/>
        <v>1</v>
      </c>
      <c r="F11" s="156">
        <f>SUMIF(NEGOCIAÇÕES!D:D,REL_LIBERADAS!B11,NEGOCIAÇÕES!T:T)</f>
        <v>7</v>
      </c>
      <c r="G11" s="158">
        <f t="shared" si="1"/>
        <v>1</v>
      </c>
    </row>
    <row r="12" spans="1:24" ht="31.95" customHeight="1" x14ac:dyDescent="0.3">
      <c r="B12" s="6" t="str">
        <f>CAD_CL!B12</f>
        <v>AENEJOTA FERRAGENS LTDA</v>
      </c>
      <c r="C12" s="156">
        <f>SUMIF(NEGOCIAÇÕES!D:D,REL_LIBERADAS!B12,NEGOCIAÇÕES!Q:Q)</f>
        <v>168</v>
      </c>
      <c r="D12" s="156">
        <f>SUMIF(NEGOCIAÇÕES!D:D,REL_LIBERADAS!B12,NEGOCIAÇÕES!S:S)</f>
        <v>160</v>
      </c>
      <c r="E12" s="158">
        <f t="shared" si="0"/>
        <v>0.95238095238095233</v>
      </c>
      <c r="F12" s="156">
        <f>SUMIF(NEGOCIAÇÕES!D:D,REL_LIBERADAS!B12,NEGOCIAÇÕES!T:T)</f>
        <v>160</v>
      </c>
      <c r="G12" s="158">
        <f t="shared" si="1"/>
        <v>0.95238095238095233</v>
      </c>
    </row>
    <row r="13" spans="1:24" ht="31.95" customHeight="1" x14ac:dyDescent="0.3">
      <c r="B13" s="6" t="str">
        <f>CAD_CL!B13</f>
        <v>AMJ COMÉRCIO DE EQUIPAMENTOS INDUSTRIAIS EIRELI - EPP</v>
      </c>
      <c r="C13" s="156">
        <f>SUMIF(NEGOCIAÇÕES!D:D,REL_LIBERADAS!B13,NEGOCIAÇÕES!Q:Q)</f>
        <v>1</v>
      </c>
      <c r="D13" s="156">
        <f>SUMIF(NEGOCIAÇÕES!D:D,REL_LIBERADAS!B13,NEGOCIAÇÕES!S:S)</f>
        <v>1</v>
      </c>
      <c r="E13" s="158">
        <f t="shared" si="0"/>
        <v>1</v>
      </c>
      <c r="F13" s="156">
        <f>SUMIF(NEGOCIAÇÕES!D:D,REL_LIBERADAS!B13,NEGOCIAÇÕES!T:T)</f>
        <v>1</v>
      </c>
      <c r="G13" s="158">
        <f t="shared" si="1"/>
        <v>1</v>
      </c>
    </row>
    <row r="14" spans="1:24" ht="31.95" customHeight="1" x14ac:dyDescent="0.3">
      <c r="B14" s="6" t="str">
        <f>CAD_CL!B14</f>
        <v>ANJ COMERCIAL LTDA</v>
      </c>
      <c r="C14" s="156">
        <f>SUMIF(NEGOCIAÇÕES!D:D,REL_LIBERADAS!B14,NEGOCIAÇÕES!Q:Q)</f>
        <v>13</v>
      </c>
      <c r="D14" s="156">
        <f>SUMIF(NEGOCIAÇÕES!D:D,REL_LIBERADAS!B14,NEGOCIAÇÕES!S:S)</f>
        <v>11</v>
      </c>
      <c r="E14" s="158">
        <f t="shared" si="0"/>
        <v>0.84615384615384615</v>
      </c>
      <c r="F14" s="156">
        <f>SUMIF(NEGOCIAÇÕES!D:D,REL_LIBERADAS!B14,NEGOCIAÇÕES!T:T)</f>
        <v>11</v>
      </c>
      <c r="G14" s="158">
        <f t="shared" si="1"/>
        <v>0.84615384615384615</v>
      </c>
    </row>
    <row r="15" spans="1:24" ht="31.95" customHeight="1" x14ac:dyDescent="0.3">
      <c r="B15" s="6" t="str">
        <f>CAD_CL!B15</f>
        <v>ANJ TINTAS NAVAIS E INDUSTRIAL LTDA</v>
      </c>
      <c r="C15" s="156">
        <f>SUMIF(NEGOCIAÇÕES!D:D,REL_LIBERADAS!B15,NEGOCIAÇÕES!Q:Q)</f>
        <v>47</v>
      </c>
      <c r="D15" s="156">
        <f>SUMIF(NEGOCIAÇÕES!D:D,REL_LIBERADAS!B15,NEGOCIAÇÕES!S:S)</f>
        <v>42</v>
      </c>
      <c r="E15" s="158">
        <f t="shared" si="0"/>
        <v>0.8936170212765957</v>
      </c>
      <c r="F15" s="156">
        <f>SUMIF(NEGOCIAÇÕES!D:D,REL_LIBERADAS!B15,NEGOCIAÇÕES!T:T)</f>
        <v>42</v>
      </c>
      <c r="G15" s="158">
        <f t="shared" si="1"/>
        <v>0.8936170212765957</v>
      </c>
    </row>
    <row r="16" spans="1:24" ht="31.95" customHeight="1" x14ac:dyDescent="0.3">
      <c r="B16" s="6" t="str">
        <f>CAD_CL!B16</f>
        <v>ANSINOX TUBOS E CONEXOES LTDA</v>
      </c>
      <c r="C16" s="156">
        <f>SUMIF(NEGOCIAÇÕES!D:D,REL_LIBERADAS!B16,NEGOCIAÇÕES!Q:Q)</f>
        <v>1</v>
      </c>
      <c r="D16" s="156">
        <f>SUMIF(NEGOCIAÇÕES!D:D,REL_LIBERADAS!B16,NEGOCIAÇÕES!S:S)</f>
        <v>1</v>
      </c>
      <c r="E16" s="158">
        <f t="shared" si="0"/>
        <v>1</v>
      </c>
      <c r="F16" s="156">
        <f>SUMIF(NEGOCIAÇÕES!D:D,REL_LIBERADAS!B16,NEGOCIAÇÕES!T:T)</f>
        <v>1</v>
      </c>
      <c r="G16" s="158">
        <f t="shared" si="1"/>
        <v>1</v>
      </c>
    </row>
    <row r="17" spans="2:7" ht="31.95" customHeight="1" x14ac:dyDescent="0.3">
      <c r="B17" s="6" t="str">
        <f>CAD_CL!B17</f>
        <v>APY SOLDAS COMERCIO E SERVICOS DE SOLDAS PECAS E ACESSORIOS</v>
      </c>
      <c r="C17" s="156">
        <f>SUMIF(NEGOCIAÇÕES!D:D,REL_LIBERADAS!B17,NEGOCIAÇÕES!Q:Q)</f>
        <v>2</v>
      </c>
      <c r="D17" s="156">
        <f>SUMIF(NEGOCIAÇÕES!D:D,REL_LIBERADAS!B17,NEGOCIAÇÕES!S:S)</f>
        <v>2</v>
      </c>
      <c r="E17" s="158">
        <f t="shared" si="0"/>
        <v>1</v>
      </c>
      <c r="F17" s="156">
        <f>SUMIF(NEGOCIAÇÕES!D:D,REL_LIBERADAS!B17,NEGOCIAÇÕES!T:T)</f>
        <v>2</v>
      </c>
      <c r="G17" s="158">
        <f t="shared" si="1"/>
        <v>1</v>
      </c>
    </row>
    <row r="18" spans="2:7" ht="31.95" customHeight="1" x14ac:dyDescent="0.3">
      <c r="B18" s="6" t="str">
        <f>CAD_CL!B18</f>
        <v>ARCELORMITTAL BRASIL AS</v>
      </c>
      <c r="C18" s="156">
        <f>SUMIF(NEGOCIAÇÕES!D:D,REL_LIBERADAS!B18,NEGOCIAÇÕES!Q:Q)</f>
        <v>1</v>
      </c>
      <c r="D18" s="156">
        <f>SUMIF(NEGOCIAÇÕES!D:D,REL_LIBERADAS!B18,NEGOCIAÇÕES!S:S)</f>
        <v>1</v>
      </c>
      <c r="E18" s="158">
        <f t="shared" si="0"/>
        <v>1</v>
      </c>
      <c r="F18" s="156">
        <f>SUMIF(NEGOCIAÇÕES!D:D,REL_LIBERADAS!B18,NEGOCIAÇÕES!T:T)</f>
        <v>1</v>
      </c>
      <c r="G18" s="158">
        <f t="shared" si="1"/>
        <v>1</v>
      </c>
    </row>
    <row r="19" spans="2:7" ht="31.95" customHeight="1" x14ac:dyDescent="0.3">
      <c r="B19" s="6" t="str">
        <f>CAD_CL!B19</f>
        <v>ARLE PARAFUSOS E FERRAGENS LTDA</v>
      </c>
      <c r="C19" s="156">
        <f>SUMIF(NEGOCIAÇÕES!D:D,REL_LIBERADAS!B19,NEGOCIAÇÕES!Q:Q)</f>
        <v>14</v>
      </c>
      <c r="D19" s="156">
        <f>SUMIF(NEGOCIAÇÕES!D:D,REL_LIBERADAS!B19,NEGOCIAÇÕES!S:S)</f>
        <v>14</v>
      </c>
      <c r="E19" s="158">
        <f t="shared" si="0"/>
        <v>1</v>
      </c>
      <c r="F19" s="156">
        <f>SUMIF(NEGOCIAÇÕES!D:D,REL_LIBERADAS!B19,NEGOCIAÇÕES!T:T)</f>
        <v>14</v>
      </c>
      <c r="G19" s="158">
        <f t="shared" si="1"/>
        <v>1</v>
      </c>
    </row>
    <row r="20" spans="2:7" ht="31.95" customHeight="1" x14ac:dyDescent="0.3">
      <c r="B20" s="6" t="str">
        <f>CAD_CL!B20</f>
        <v>ARM NITEROI PRODUTOS E SERVIÇOS</v>
      </c>
      <c r="C20" s="156">
        <f>SUMIF(NEGOCIAÇÕES!D:D,REL_LIBERADAS!B20,NEGOCIAÇÕES!Q:Q)</f>
        <v>5</v>
      </c>
      <c r="D20" s="156">
        <f>SUMIF(NEGOCIAÇÕES!D:D,REL_LIBERADAS!B20,NEGOCIAÇÕES!S:S)</f>
        <v>5</v>
      </c>
      <c r="E20" s="158">
        <f t="shared" si="0"/>
        <v>1</v>
      </c>
      <c r="F20" s="156">
        <f>SUMIF(NEGOCIAÇÕES!D:D,REL_LIBERADAS!B20,NEGOCIAÇÕES!T:T)</f>
        <v>5</v>
      </c>
      <c r="G20" s="158">
        <f t="shared" si="1"/>
        <v>1</v>
      </c>
    </row>
    <row r="21" spans="2:7" ht="31.95" customHeight="1" x14ac:dyDescent="0.3">
      <c r="B21" s="6" t="str">
        <f>CAD_CL!B21</f>
        <v>ASTM ACESSORIOS SERVIÇOS TÉCNICOS METALÚRGICOS LTDA</v>
      </c>
      <c r="C21" s="156">
        <f>SUMIF(NEGOCIAÇÕES!D:D,REL_LIBERADAS!B21,NEGOCIAÇÕES!Q:Q)</f>
        <v>0</v>
      </c>
      <c r="D21" s="156">
        <f>SUMIF(NEGOCIAÇÕES!D:D,REL_LIBERADAS!B21,NEGOCIAÇÕES!S:S)</f>
        <v>0</v>
      </c>
      <c r="E21" s="158">
        <f t="shared" si="0"/>
        <v>0</v>
      </c>
      <c r="F21" s="156">
        <f>SUMIF(NEGOCIAÇÕES!D:D,REL_LIBERADAS!B21,NEGOCIAÇÕES!T:T)</f>
        <v>0</v>
      </c>
      <c r="G21" s="158">
        <f t="shared" si="1"/>
        <v>0</v>
      </c>
    </row>
    <row r="22" spans="2:7" ht="31.95" customHeight="1" x14ac:dyDescent="0.3">
      <c r="B22" s="6" t="str">
        <f>CAD_CL!B22</f>
        <v>ATLANTA FERRO E AÇO</v>
      </c>
      <c r="C22" s="156">
        <f>SUMIF(NEGOCIAÇÕES!D:D,REL_LIBERADAS!B22,NEGOCIAÇÕES!Q:Q)</f>
        <v>0</v>
      </c>
      <c r="D22" s="156">
        <f>SUMIF(NEGOCIAÇÕES!D:D,REL_LIBERADAS!B22,NEGOCIAÇÕES!S:S)</f>
        <v>0</v>
      </c>
      <c r="E22" s="158">
        <f t="shared" si="0"/>
        <v>0</v>
      </c>
      <c r="F22" s="156">
        <f>SUMIF(NEGOCIAÇÕES!D:D,REL_LIBERADAS!B22,NEGOCIAÇÕES!T:T)</f>
        <v>0</v>
      </c>
      <c r="G22" s="158">
        <f t="shared" si="1"/>
        <v>0</v>
      </c>
    </row>
    <row r="23" spans="2:7" ht="31.95" customHeight="1" x14ac:dyDescent="0.3">
      <c r="B23" s="6" t="str">
        <f>CAD_CL!B23</f>
        <v>Autrotec Sistemas Eletrônicos Ltda.</v>
      </c>
      <c r="C23" s="156">
        <f>SUMIF(NEGOCIAÇÕES!D:D,REL_LIBERADAS!B23,NEGOCIAÇÕES!Q:Q)</f>
        <v>2</v>
      </c>
      <c r="D23" s="156">
        <f>SUMIF(NEGOCIAÇÕES!D:D,REL_LIBERADAS!B23,NEGOCIAÇÕES!S:S)</f>
        <v>2</v>
      </c>
      <c r="E23" s="158">
        <f t="shared" si="0"/>
        <v>1</v>
      </c>
      <c r="F23" s="156">
        <f>SUMIF(NEGOCIAÇÕES!D:D,REL_LIBERADAS!B23,NEGOCIAÇÕES!T:T)</f>
        <v>2</v>
      </c>
      <c r="G23" s="158">
        <f t="shared" si="1"/>
        <v>1</v>
      </c>
    </row>
    <row r="24" spans="2:7" ht="31.95" customHeight="1" x14ac:dyDescent="0.3">
      <c r="B24" s="6" t="str">
        <f>CAD_CL!B24</f>
        <v>BENAFER SA COMÉRCIO E INDÚSTRIA.</v>
      </c>
      <c r="C24" s="156">
        <f>SUMIF(NEGOCIAÇÕES!D:D,REL_LIBERADAS!B24,NEGOCIAÇÕES!Q:Q)</f>
        <v>0</v>
      </c>
      <c r="D24" s="156">
        <f>SUMIF(NEGOCIAÇÕES!D:D,REL_LIBERADAS!B24,NEGOCIAÇÕES!S:S)</f>
        <v>0</v>
      </c>
      <c r="E24" s="158">
        <f t="shared" si="0"/>
        <v>0</v>
      </c>
      <c r="F24" s="156">
        <f>SUMIF(NEGOCIAÇÕES!D:D,REL_LIBERADAS!B24,NEGOCIAÇÕES!T:T)</f>
        <v>0</v>
      </c>
      <c r="G24" s="158">
        <f t="shared" si="1"/>
        <v>0</v>
      </c>
    </row>
    <row r="25" spans="2:7" ht="31.95" customHeight="1" x14ac:dyDescent="0.3">
      <c r="B25" s="6" t="str">
        <f>CAD_CL!B25</f>
        <v>BRASFORGE CONEXÕES E VÁLVULAS LTDA</v>
      </c>
      <c r="C25" s="156">
        <f>SUMIF(NEGOCIAÇÕES!D:D,REL_LIBERADAS!B25,NEGOCIAÇÕES!Q:Q)</f>
        <v>2</v>
      </c>
      <c r="D25" s="156">
        <f>SUMIF(NEGOCIAÇÕES!D:D,REL_LIBERADAS!B25,NEGOCIAÇÕES!S:S)</f>
        <v>2</v>
      </c>
      <c r="E25" s="158">
        <f t="shared" si="0"/>
        <v>1</v>
      </c>
      <c r="F25" s="156">
        <f>SUMIF(NEGOCIAÇÕES!D:D,REL_LIBERADAS!B25,NEGOCIAÇÕES!T:T)</f>
        <v>2</v>
      </c>
      <c r="G25" s="158">
        <f t="shared" si="1"/>
        <v>1</v>
      </c>
    </row>
    <row r="26" spans="2:7" ht="31.95" customHeight="1" x14ac:dyDescent="0.3">
      <c r="B26" s="6" t="str">
        <f>CAD_CL!B26</f>
        <v>BRAZAO COMERCIAL E IMPORTADORA EIRELI</v>
      </c>
      <c r="C26" s="156">
        <f>SUMIF(NEGOCIAÇÕES!D:D,REL_LIBERADAS!B26,NEGOCIAÇÕES!Q:Q)</f>
        <v>0</v>
      </c>
      <c r="D26" s="156">
        <f>SUMIF(NEGOCIAÇÕES!D:D,REL_LIBERADAS!B26,NEGOCIAÇÕES!S:S)</f>
        <v>0</v>
      </c>
      <c r="E26" s="158">
        <f t="shared" si="0"/>
        <v>0</v>
      </c>
      <c r="F26" s="156">
        <f>SUMIF(NEGOCIAÇÕES!D:D,REL_LIBERADAS!B26,NEGOCIAÇÕES!T:T)</f>
        <v>0</v>
      </c>
      <c r="G26" s="158">
        <f t="shared" si="1"/>
        <v>0</v>
      </c>
    </row>
    <row r="27" spans="2:7" ht="31.95" customHeight="1" x14ac:dyDescent="0.3">
      <c r="B27" s="6" t="str">
        <f>CAD_CL!B27</f>
        <v>BUZAS INDUSTRIA E COMÉRCIO LTDA</v>
      </c>
      <c r="C27" s="156">
        <f>SUMIF(NEGOCIAÇÕES!D:D,REL_LIBERADAS!B27,NEGOCIAÇÕES!Q:Q)</f>
        <v>0</v>
      </c>
      <c r="D27" s="156">
        <f>SUMIF(NEGOCIAÇÕES!D:D,REL_LIBERADAS!B27,NEGOCIAÇÕES!S:S)</f>
        <v>0</v>
      </c>
      <c r="E27" s="158">
        <f t="shared" si="0"/>
        <v>0</v>
      </c>
      <c r="F27" s="156">
        <f>SUMIF(NEGOCIAÇÕES!D:D,REL_LIBERADAS!B27,NEGOCIAÇÕES!T:T)</f>
        <v>0</v>
      </c>
      <c r="G27" s="158">
        <f t="shared" si="1"/>
        <v>0</v>
      </c>
    </row>
    <row r="28" spans="2:7" ht="31.95" customHeight="1" x14ac:dyDescent="0.3">
      <c r="B28" s="6" t="str">
        <f>CAD_CL!B28</f>
        <v>C B INSP. - CONTROLE DE QUALIDADE ENDS LTDA</v>
      </c>
      <c r="C28" s="156">
        <f>SUMIF(NEGOCIAÇÕES!D:D,REL_LIBERADAS!B28,NEGOCIAÇÕES!Q:Q)</f>
        <v>14</v>
      </c>
      <c r="D28" s="156">
        <f>SUMIF(NEGOCIAÇÕES!D:D,REL_LIBERADAS!B28,NEGOCIAÇÕES!S:S)</f>
        <v>13</v>
      </c>
      <c r="E28" s="158">
        <f t="shared" si="0"/>
        <v>0.9285714285714286</v>
      </c>
      <c r="F28" s="156">
        <f>SUMIF(NEGOCIAÇÕES!D:D,REL_LIBERADAS!B28,NEGOCIAÇÕES!T:T)</f>
        <v>13</v>
      </c>
      <c r="G28" s="158">
        <f t="shared" si="1"/>
        <v>0.9285714285714286</v>
      </c>
    </row>
    <row r="29" spans="2:7" ht="31.95" customHeight="1" x14ac:dyDescent="0.3">
      <c r="B29" s="6" t="str">
        <f>CAD_CL!B29</f>
        <v>CALIBRARIO SERVIÇOS DE CALIBRAÇÃO EIRELI EPP</v>
      </c>
      <c r="C29" s="156">
        <f>SUMIF(NEGOCIAÇÕES!D:D,REL_LIBERADAS!B29,NEGOCIAÇÕES!Q:Q)</f>
        <v>3</v>
      </c>
      <c r="D29" s="156">
        <f>SUMIF(NEGOCIAÇÕES!D:D,REL_LIBERADAS!B29,NEGOCIAÇÕES!S:S)</f>
        <v>3</v>
      </c>
      <c r="E29" s="158">
        <f t="shared" si="0"/>
        <v>1</v>
      </c>
      <c r="F29" s="156">
        <f>SUMIF(NEGOCIAÇÕES!D:D,REL_LIBERADAS!B29,NEGOCIAÇÕES!T:T)</f>
        <v>3</v>
      </c>
      <c r="G29" s="158">
        <f t="shared" si="1"/>
        <v>1</v>
      </c>
    </row>
    <row r="30" spans="2:7" ht="31.95" customHeight="1" x14ac:dyDescent="0.3">
      <c r="B30" s="6" t="str">
        <f>CAD_CL!B30</f>
        <v>CALINOX AÇOS E METAIS LTDA</v>
      </c>
      <c r="C30" s="156">
        <f>SUMIF(NEGOCIAÇÕES!D:D,REL_LIBERADAS!B30,NEGOCIAÇÕES!Q:Q)</f>
        <v>0</v>
      </c>
      <c r="D30" s="156">
        <f>SUMIF(NEGOCIAÇÕES!D:D,REL_LIBERADAS!B30,NEGOCIAÇÕES!S:S)</f>
        <v>0</v>
      </c>
      <c r="E30" s="158">
        <f t="shared" si="0"/>
        <v>0</v>
      </c>
      <c r="F30" s="156">
        <f>SUMIF(NEGOCIAÇÕES!D:D,REL_LIBERADAS!B30,NEGOCIAÇÕES!T:T)</f>
        <v>0</v>
      </c>
      <c r="G30" s="158">
        <f t="shared" si="1"/>
        <v>0</v>
      </c>
    </row>
    <row r="31" spans="2:7" ht="31.95" customHeight="1" x14ac:dyDescent="0.3">
      <c r="B31" s="6" t="str">
        <f>CAD_CL!B31</f>
        <v>CAMARC COMERCIO DE ACESSORIOS INDUSTRIAIS LTDA</v>
      </c>
      <c r="C31" s="156">
        <f>SUMIF(NEGOCIAÇÕES!D:D,REL_LIBERADAS!B31,NEGOCIAÇÕES!Q:Q)</f>
        <v>5</v>
      </c>
      <c r="D31" s="156">
        <f>SUMIF(NEGOCIAÇÕES!D:D,REL_LIBERADAS!B31,NEGOCIAÇÕES!S:S)</f>
        <v>5</v>
      </c>
      <c r="E31" s="158">
        <f t="shared" si="0"/>
        <v>1</v>
      </c>
      <c r="F31" s="156">
        <f>SUMIF(NEGOCIAÇÕES!D:D,REL_LIBERADAS!B31,NEGOCIAÇÕES!T:T)</f>
        <v>5</v>
      </c>
      <c r="G31" s="158">
        <f t="shared" si="1"/>
        <v>1</v>
      </c>
    </row>
    <row r="32" spans="2:7" ht="31.95" customHeight="1" x14ac:dyDescent="0.3">
      <c r="B32" s="6" t="str">
        <f>CAD_CL!B32</f>
        <v xml:space="preserve">CENTRO MANUFATUREIRO DO AÇO LTDA. </v>
      </c>
      <c r="C32" s="156">
        <f>SUMIF(NEGOCIAÇÕES!D:D,REL_LIBERADAS!B32,NEGOCIAÇÕES!Q:Q)</f>
        <v>5</v>
      </c>
      <c r="D32" s="156">
        <f>SUMIF(NEGOCIAÇÕES!D:D,REL_LIBERADAS!B32,NEGOCIAÇÕES!S:S)</f>
        <v>5</v>
      </c>
      <c r="E32" s="158">
        <f t="shared" si="0"/>
        <v>1</v>
      </c>
      <c r="F32" s="156">
        <f>SUMIF(NEGOCIAÇÕES!D:D,REL_LIBERADAS!B32,NEGOCIAÇÕES!T:T)</f>
        <v>4</v>
      </c>
      <c r="G32" s="158">
        <f t="shared" si="1"/>
        <v>0.8</v>
      </c>
    </row>
    <row r="33" spans="2:7" ht="31.95" customHeight="1" x14ac:dyDescent="0.3">
      <c r="B33" s="6" t="str">
        <f>CAD_CL!B33</f>
        <v>Century Comércio de Tubos LTDA</v>
      </c>
      <c r="C33" s="156">
        <f>SUMIF(NEGOCIAÇÕES!D:D,REL_LIBERADAS!B33,NEGOCIAÇÕES!Q:Q)</f>
        <v>1</v>
      </c>
      <c r="D33" s="156">
        <f>SUMIF(NEGOCIAÇÕES!D:D,REL_LIBERADAS!B33,NEGOCIAÇÕES!S:S)</f>
        <v>1</v>
      </c>
      <c r="E33" s="158">
        <f t="shared" si="0"/>
        <v>1</v>
      </c>
      <c r="F33" s="156">
        <f>SUMIF(NEGOCIAÇÕES!D:D,REL_LIBERADAS!B33,NEGOCIAÇÕES!T:T)</f>
        <v>1</v>
      </c>
      <c r="G33" s="158">
        <f t="shared" si="1"/>
        <v>1</v>
      </c>
    </row>
    <row r="34" spans="2:7" ht="31.95" customHeight="1" x14ac:dyDescent="0.3">
      <c r="B34" s="6" t="str">
        <f>CAD_CL!B34</f>
        <v>CIMEQ - CENTRO INTEGRADO DE METROLOGIA E QUALIDADE INDUSTRIAL LTDA</v>
      </c>
      <c r="C34" s="156">
        <f>SUMIF(NEGOCIAÇÕES!D:D,REL_LIBERADAS!B34,NEGOCIAÇÕES!Q:Q)</f>
        <v>1</v>
      </c>
      <c r="D34" s="156">
        <f>SUMIF(NEGOCIAÇÕES!D:D,REL_LIBERADAS!B34,NEGOCIAÇÕES!S:S)</f>
        <v>1</v>
      </c>
      <c r="E34" s="158">
        <f t="shared" si="0"/>
        <v>1</v>
      </c>
      <c r="F34" s="156">
        <f>SUMIF(NEGOCIAÇÕES!D:D,REL_LIBERADAS!B34,NEGOCIAÇÕES!T:T)</f>
        <v>1</v>
      </c>
      <c r="G34" s="158">
        <f t="shared" si="1"/>
        <v>1</v>
      </c>
    </row>
    <row r="35" spans="2:7" ht="31.95" customHeight="1" x14ac:dyDescent="0.3">
      <c r="B35" s="6" t="str">
        <f>CAD_CL!B35</f>
        <v>CONECTAR MANGUEIRAS COMERCIO LTDA</v>
      </c>
      <c r="C35" s="156">
        <f>SUMIF(NEGOCIAÇÕES!D:D,REL_LIBERADAS!B35,NEGOCIAÇÕES!Q:Q)</f>
        <v>1</v>
      </c>
      <c r="D35" s="156">
        <f>SUMIF(NEGOCIAÇÕES!D:D,REL_LIBERADAS!B35,NEGOCIAÇÕES!S:S)</f>
        <v>1</v>
      </c>
      <c r="E35" s="158">
        <f t="shared" si="0"/>
        <v>1</v>
      </c>
      <c r="F35" s="156">
        <f>SUMIF(NEGOCIAÇÕES!D:D,REL_LIBERADAS!B35,NEGOCIAÇÕES!T:T)</f>
        <v>1</v>
      </c>
      <c r="G35" s="158">
        <f t="shared" si="1"/>
        <v>1</v>
      </c>
    </row>
    <row r="36" spans="2:7" ht="31.95" customHeight="1" x14ac:dyDescent="0.3">
      <c r="B36" s="6" t="str">
        <f>CAD_CL!B36</f>
        <v>CRISTIANO R. FUZARO COMERCIO DE BORRACHAS LTDA</v>
      </c>
      <c r="C36" s="156">
        <f>SUMIF(NEGOCIAÇÕES!D:D,REL_LIBERADAS!B36,NEGOCIAÇÕES!Q:Q)</f>
        <v>1</v>
      </c>
      <c r="D36" s="156">
        <f>SUMIF(NEGOCIAÇÕES!D:D,REL_LIBERADAS!B36,NEGOCIAÇÕES!S:S)</f>
        <v>1</v>
      </c>
      <c r="E36" s="158">
        <f t="shared" si="0"/>
        <v>1</v>
      </c>
      <c r="F36" s="156">
        <f>SUMIF(NEGOCIAÇÕES!D:D,REL_LIBERADAS!B36,NEGOCIAÇÕES!T:T)</f>
        <v>1</v>
      </c>
      <c r="G36" s="158">
        <f t="shared" si="1"/>
        <v>1</v>
      </c>
    </row>
    <row r="37" spans="2:7" ht="31.95" customHeight="1" x14ac:dyDescent="0.3">
      <c r="B37" s="6" t="str">
        <f>CAD_CL!B37</f>
        <v>DECAPAMETAL QUALIDADE E TECNOLOGIA</v>
      </c>
      <c r="C37" s="156">
        <f>SUMIF(NEGOCIAÇÕES!D:D,REL_LIBERADAS!B37,NEGOCIAÇÕES!Q:Q)</f>
        <v>2</v>
      </c>
      <c r="D37" s="156">
        <f>SUMIF(NEGOCIAÇÕES!D:D,REL_LIBERADAS!B37,NEGOCIAÇÕES!S:S)</f>
        <v>2</v>
      </c>
      <c r="E37" s="158">
        <f t="shared" si="0"/>
        <v>1</v>
      </c>
      <c r="F37" s="156">
        <f>SUMIF(NEGOCIAÇÕES!D:D,REL_LIBERADAS!B37,NEGOCIAÇÕES!T:T)</f>
        <v>2</v>
      </c>
      <c r="G37" s="158">
        <f t="shared" si="1"/>
        <v>1</v>
      </c>
    </row>
    <row r="38" spans="2:7" ht="31.95" customHeight="1" x14ac:dyDescent="0.3">
      <c r="B38" s="6" t="str">
        <f>CAD_CL!B38</f>
        <v>DILMAR - Comércio de Materiais Elétrcios Ltda</v>
      </c>
      <c r="C38" s="156">
        <f>SUMIF(NEGOCIAÇÕES!D:D,REL_LIBERADAS!B38,NEGOCIAÇÕES!Q:Q)</f>
        <v>1</v>
      </c>
      <c r="D38" s="156">
        <f>SUMIF(NEGOCIAÇÕES!D:D,REL_LIBERADAS!B38,NEGOCIAÇÕES!S:S)</f>
        <v>1</v>
      </c>
      <c r="E38" s="158">
        <f t="shared" si="0"/>
        <v>1</v>
      </c>
      <c r="F38" s="156">
        <f>SUMIF(NEGOCIAÇÕES!D:D,REL_LIBERADAS!B38,NEGOCIAÇÕES!T:T)</f>
        <v>1</v>
      </c>
      <c r="G38" s="158">
        <f t="shared" si="1"/>
        <v>1</v>
      </c>
    </row>
    <row r="39" spans="2:7" ht="31.95" customHeight="1" x14ac:dyDescent="0.3">
      <c r="B39" s="6" t="str">
        <f>CAD_CL!B39</f>
        <v>DINATÉCNICA INDÚSTRIA E COMÉRCIO LTDA</v>
      </c>
      <c r="C39" s="156">
        <f>SUMIF(NEGOCIAÇÕES!D:D,REL_LIBERADAS!B39,NEGOCIAÇÕES!Q:Q)</f>
        <v>2</v>
      </c>
      <c r="D39" s="156">
        <f>SUMIF(NEGOCIAÇÕES!D:D,REL_LIBERADAS!B39,NEGOCIAÇÕES!S:S)</f>
        <v>2</v>
      </c>
      <c r="E39" s="158">
        <f t="shared" si="0"/>
        <v>1</v>
      </c>
      <c r="F39" s="156">
        <f>SUMIF(NEGOCIAÇÕES!D:D,REL_LIBERADAS!B39,NEGOCIAÇÕES!T:T)</f>
        <v>2</v>
      </c>
      <c r="G39" s="158">
        <f t="shared" si="1"/>
        <v>1</v>
      </c>
    </row>
    <row r="40" spans="2:7" ht="31.95" customHeight="1" x14ac:dyDescent="0.3">
      <c r="B40" s="6" t="str">
        <f>CAD_CL!B40</f>
        <v>DNV CLASSIFICAÇÃO, CERTIFICAÇÃO E CONSULTORIA BRASIL LTDA</v>
      </c>
      <c r="C40" s="156">
        <f>SUMIF(NEGOCIAÇÕES!D:D,REL_LIBERADAS!B40,NEGOCIAÇÕES!Q:Q)</f>
        <v>3</v>
      </c>
      <c r="D40" s="156">
        <f>SUMIF(NEGOCIAÇÕES!D:D,REL_LIBERADAS!B40,NEGOCIAÇÕES!S:S)</f>
        <v>3</v>
      </c>
      <c r="E40" s="158">
        <f t="shared" si="0"/>
        <v>1</v>
      </c>
      <c r="F40" s="156">
        <f>SUMIF(NEGOCIAÇÕES!D:D,REL_LIBERADAS!B40,NEGOCIAÇÕES!T:T)</f>
        <v>3</v>
      </c>
      <c r="G40" s="158">
        <f t="shared" si="1"/>
        <v>1</v>
      </c>
    </row>
    <row r="41" spans="2:7" ht="31.95" customHeight="1" x14ac:dyDescent="0.3">
      <c r="B41" s="6" t="str">
        <f>CAD_CL!B41</f>
        <v>DS RIO VEDAÇÕES  - EIRELI</v>
      </c>
      <c r="C41" s="156">
        <f>SUMIF(NEGOCIAÇÕES!D:D,REL_LIBERADAS!B41,NEGOCIAÇÕES!Q:Q)</f>
        <v>20</v>
      </c>
      <c r="D41" s="156">
        <f>SUMIF(NEGOCIAÇÕES!D:D,REL_LIBERADAS!B41,NEGOCIAÇÕES!S:S)</f>
        <v>18</v>
      </c>
      <c r="E41" s="158">
        <f t="shared" si="0"/>
        <v>0.9</v>
      </c>
      <c r="F41" s="156">
        <f>SUMIF(NEGOCIAÇÕES!D:D,REL_LIBERADAS!B41,NEGOCIAÇÕES!T:T)</f>
        <v>18</v>
      </c>
      <c r="G41" s="158">
        <f t="shared" si="1"/>
        <v>0.9</v>
      </c>
    </row>
    <row r="42" spans="2:7" ht="31.95" customHeight="1" x14ac:dyDescent="0.3">
      <c r="B42" s="6" t="str">
        <f>CAD_CL!B42</f>
        <v>DUFERRO COMÉRCIO DE FERROS E AÇOS LTDA.</v>
      </c>
      <c r="C42" s="156">
        <f>SUMIF(NEGOCIAÇÕES!D:D,REL_LIBERADAS!B42,NEGOCIAÇÕES!Q:Q)</f>
        <v>0</v>
      </c>
      <c r="D42" s="156">
        <f>SUMIF(NEGOCIAÇÕES!D:D,REL_LIBERADAS!B42,NEGOCIAÇÕES!S:S)</f>
        <v>0</v>
      </c>
      <c r="E42" s="158">
        <f t="shared" si="0"/>
        <v>0</v>
      </c>
      <c r="F42" s="156">
        <f>SUMIF(NEGOCIAÇÕES!D:D,REL_LIBERADAS!B42,NEGOCIAÇÕES!T:T)</f>
        <v>0</v>
      </c>
      <c r="G42" s="158">
        <f t="shared" si="1"/>
        <v>0</v>
      </c>
    </row>
    <row r="43" spans="2:7" ht="31.95" customHeight="1" x14ac:dyDescent="0.3">
      <c r="B43" s="6" t="str">
        <f>CAD_CL!B43</f>
        <v>E M DE OLIVEIRA LABORATORIO DE METROLOGIA EIRELI – ME</v>
      </c>
      <c r="C43" s="156">
        <f>SUMIF(NEGOCIAÇÕES!D:D,REL_LIBERADAS!B43,NEGOCIAÇÕES!Q:Q)</f>
        <v>0</v>
      </c>
      <c r="D43" s="156">
        <f>SUMIF(NEGOCIAÇÕES!D:D,REL_LIBERADAS!B43,NEGOCIAÇÕES!S:S)</f>
        <v>0</v>
      </c>
      <c r="E43" s="158">
        <f t="shared" si="0"/>
        <v>0</v>
      </c>
      <c r="F43" s="156">
        <f>SUMIF(NEGOCIAÇÕES!D:D,REL_LIBERADAS!B43,NEGOCIAÇÕES!T:T)</f>
        <v>0</v>
      </c>
      <c r="G43" s="158">
        <f t="shared" si="1"/>
        <v>0</v>
      </c>
    </row>
    <row r="44" spans="2:7" ht="31.95" customHeight="1" x14ac:dyDescent="0.3">
      <c r="B44" s="6" t="str">
        <f>CAD_CL!B44</f>
        <v>EDEN GASES E SOLDAS LTDA</v>
      </c>
      <c r="C44" s="156">
        <f>SUMIF(NEGOCIAÇÕES!D:D,REL_LIBERADAS!B44,NEGOCIAÇÕES!Q:Q)</f>
        <v>4</v>
      </c>
      <c r="D44" s="156">
        <f>SUMIF(NEGOCIAÇÕES!D:D,REL_LIBERADAS!B44,NEGOCIAÇÕES!S:S)</f>
        <v>4</v>
      </c>
      <c r="E44" s="158">
        <f t="shared" si="0"/>
        <v>1</v>
      </c>
      <c r="F44" s="156">
        <f>SUMIF(NEGOCIAÇÕES!D:D,REL_LIBERADAS!B44,NEGOCIAÇÕES!T:T)</f>
        <v>4</v>
      </c>
      <c r="G44" s="158">
        <f t="shared" si="1"/>
        <v>1</v>
      </c>
    </row>
    <row r="45" spans="2:7" ht="31.95" customHeight="1" x14ac:dyDescent="0.3">
      <c r="B45" s="6" t="str">
        <f>CAD_CL!B45</f>
        <v>ELINOX CENTRAL DE AÇO INOXIDÁVEL LTDA.</v>
      </c>
      <c r="C45" s="156">
        <f>SUMIF(NEGOCIAÇÕES!D:D,REL_LIBERADAS!B45,NEGOCIAÇÕES!Q:Q)</f>
        <v>2</v>
      </c>
      <c r="D45" s="156">
        <f>SUMIF(NEGOCIAÇÕES!D:D,REL_LIBERADAS!B45,NEGOCIAÇÕES!S:S)</f>
        <v>2</v>
      </c>
      <c r="E45" s="158">
        <f t="shared" si="0"/>
        <v>1</v>
      </c>
      <c r="F45" s="156">
        <f>SUMIF(NEGOCIAÇÕES!D:D,REL_LIBERADAS!B45,NEGOCIAÇÕES!T:T)</f>
        <v>2</v>
      </c>
      <c r="G45" s="158">
        <f t="shared" si="1"/>
        <v>1</v>
      </c>
    </row>
    <row r="46" spans="2:7" ht="31.95" customHeight="1" x14ac:dyDescent="0.3">
      <c r="B46" s="6" t="str">
        <f>CAD_CL!B46</f>
        <v>ESTRELAÇO TUBOS E CONEXÕES COMERCIO E SERVIÇO LTDA</v>
      </c>
      <c r="C46" s="156">
        <f>SUMIF(NEGOCIAÇÕES!D:D,REL_LIBERADAS!B46,NEGOCIAÇÕES!Q:Q)</f>
        <v>126</v>
      </c>
      <c r="D46" s="156">
        <f>SUMIF(NEGOCIAÇÕES!D:D,REL_LIBERADAS!B46,NEGOCIAÇÕES!S:S)</f>
        <v>124</v>
      </c>
      <c r="E46" s="158">
        <f t="shared" si="0"/>
        <v>0.98412698412698407</v>
      </c>
      <c r="F46" s="156">
        <f>SUMIF(NEGOCIAÇÕES!D:D,REL_LIBERADAS!B46,NEGOCIAÇÕES!T:T)</f>
        <v>122</v>
      </c>
      <c r="G46" s="158">
        <f t="shared" si="1"/>
        <v>0.96825396825396826</v>
      </c>
    </row>
    <row r="47" spans="2:7" ht="31.95" customHeight="1" x14ac:dyDescent="0.3">
      <c r="B47" s="6" t="str">
        <f>CAD_CL!B47</f>
        <v>FARO TECHNOLOGIES DO BRASIL LTDA.</v>
      </c>
      <c r="C47" s="156">
        <f>SUMIF(NEGOCIAÇÕES!D:D,REL_LIBERADAS!B47,NEGOCIAÇÕES!Q:Q)</f>
        <v>1</v>
      </c>
      <c r="D47" s="156">
        <f>SUMIF(NEGOCIAÇÕES!D:D,REL_LIBERADAS!B47,NEGOCIAÇÕES!S:S)</f>
        <v>1</v>
      </c>
      <c r="E47" s="158">
        <f t="shared" si="0"/>
        <v>1</v>
      </c>
      <c r="F47" s="156">
        <f>SUMIF(NEGOCIAÇÕES!D:D,REL_LIBERADAS!B47,NEGOCIAÇÕES!T:T)</f>
        <v>1</v>
      </c>
      <c r="G47" s="158">
        <f t="shared" si="1"/>
        <v>1</v>
      </c>
    </row>
    <row r="48" spans="2:7" ht="31.95" customHeight="1" x14ac:dyDescent="0.3">
      <c r="B48" s="6" t="str">
        <f>CAD_CL!B48</f>
        <v>FATOR K ISOLANTES TÉRMICOS E REFRATÁRIOS LTDA</v>
      </c>
      <c r="C48" s="156">
        <f>SUMIF(NEGOCIAÇÕES!D:D,REL_LIBERADAS!B48,NEGOCIAÇÕES!Q:Q)</f>
        <v>0</v>
      </c>
      <c r="D48" s="156">
        <f>SUMIF(NEGOCIAÇÕES!D:D,REL_LIBERADAS!B48,NEGOCIAÇÕES!S:S)</f>
        <v>0</v>
      </c>
      <c r="E48" s="158">
        <f t="shared" si="0"/>
        <v>0</v>
      </c>
      <c r="F48" s="156">
        <f>SUMIF(NEGOCIAÇÕES!D:D,REL_LIBERADAS!B48,NEGOCIAÇÕES!T:T)</f>
        <v>0</v>
      </c>
      <c r="G48" s="158">
        <f t="shared" si="1"/>
        <v>0</v>
      </c>
    </row>
    <row r="49" spans="2:7" ht="31.95" customHeight="1" x14ac:dyDescent="0.3">
      <c r="B49" s="6" t="str">
        <f>CAD_CL!B49</f>
        <v>FERRAGENS DUAS PATRIAS DE BONSUCESSO LTDA</v>
      </c>
      <c r="C49" s="156">
        <f>SUMIF(NEGOCIAÇÕES!D:D,REL_LIBERADAS!B49,NEGOCIAÇÕES!Q:Q)</f>
        <v>0</v>
      </c>
      <c r="D49" s="156">
        <f>SUMIF(NEGOCIAÇÕES!D:D,REL_LIBERADAS!B49,NEGOCIAÇÕES!S:S)</f>
        <v>0</v>
      </c>
      <c r="E49" s="158">
        <f t="shared" si="0"/>
        <v>0</v>
      </c>
      <c r="F49" s="156">
        <f>SUMIF(NEGOCIAÇÕES!D:D,REL_LIBERADAS!B49,NEGOCIAÇÕES!T:T)</f>
        <v>0</v>
      </c>
      <c r="G49" s="158">
        <f t="shared" si="1"/>
        <v>0</v>
      </c>
    </row>
    <row r="50" spans="2:7" ht="31.95" customHeight="1" x14ac:dyDescent="0.3">
      <c r="B50" s="6" t="str">
        <f>CAD_CL!B50</f>
        <v>FF PEREIRA PRODUTOS INDUSTRIAIS LTDA</v>
      </c>
      <c r="C50" s="156">
        <f>SUMIF(NEGOCIAÇÕES!D:D,REL_LIBERADAS!B50,NEGOCIAÇÕES!Q:Q)</f>
        <v>2</v>
      </c>
      <c r="D50" s="156">
        <f>SUMIF(NEGOCIAÇÕES!D:D,REL_LIBERADAS!B50,NEGOCIAÇÕES!S:S)</f>
        <v>2</v>
      </c>
      <c r="E50" s="158">
        <f t="shared" si="0"/>
        <v>1</v>
      </c>
      <c r="F50" s="156">
        <f>SUMIF(NEGOCIAÇÕES!D:D,REL_LIBERADAS!B50,NEGOCIAÇÕES!T:T)</f>
        <v>2</v>
      </c>
      <c r="G50" s="158">
        <f t="shared" si="1"/>
        <v>1</v>
      </c>
    </row>
    <row r="51" spans="2:7" ht="31.95" customHeight="1" x14ac:dyDescent="0.3">
      <c r="B51" s="6" t="str">
        <f>CAD_CL!B51</f>
        <v xml:space="preserve">FIBERTEX LOUVEIRA PRODUTOS TÊXTEIS LTDA. </v>
      </c>
      <c r="C51" s="156">
        <f>SUMIF(NEGOCIAÇÕES!D:D,REL_LIBERADAS!B51,NEGOCIAÇÕES!Q:Q)</f>
        <v>0</v>
      </c>
      <c r="D51" s="156">
        <f>SUMIF(NEGOCIAÇÕES!D:D,REL_LIBERADAS!B51,NEGOCIAÇÕES!S:S)</f>
        <v>0</v>
      </c>
      <c r="E51" s="158">
        <f t="shared" si="0"/>
        <v>0</v>
      </c>
      <c r="F51" s="156">
        <f>SUMIF(NEGOCIAÇÕES!D:D,REL_LIBERADAS!B51,NEGOCIAÇÕES!T:T)</f>
        <v>0</v>
      </c>
      <c r="G51" s="158">
        <f t="shared" si="1"/>
        <v>0</v>
      </c>
    </row>
    <row r="52" spans="2:7" ht="31.95" customHeight="1" x14ac:dyDescent="0.3">
      <c r="B52" s="6" t="str">
        <f>CAD_CL!B52</f>
        <v>FLAVIENSE INDUSTRIA DE SOLUCOES EM MADEIRA LTDA</v>
      </c>
      <c r="C52" s="156">
        <f>SUMIF(NEGOCIAÇÕES!D:D,REL_LIBERADAS!B52,NEGOCIAÇÕES!Q:Q)</f>
        <v>1</v>
      </c>
      <c r="D52" s="156">
        <f>SUMIF(NEGOCIAÇÕES!D:D,REL_LIBERADAS!B52,NEGOCIAÇÕES!S:S)</f>
        <v>1</v>
      </c>
      <c r="E52" s="158">
        <f t="shared" si="0"/>
        <v>1</v>
      </c>
      <c r="F52" s="156">
        <f>SUMIF(NEGOCIAÇÕES!D:D,REL_LIBERADAS!B52,NEGOCIAÇÕES!T:T)</f>
        <v>1</v>
      </c>
      <c r="G52" s="158">
        <f t="shared" si="1"/>
        <v>1</v>
      </c>
    </row>
    <row r="53" spans="2:7" ht="31.95" customHeight="1" x14ac:dyDescent="0.3">
      <c r="B53" s="6" t="str">
        <f>CAD_CL!B53</f>
        <v>FLUTROL RIO EQUIPAMENTOS INDUSTRIAIS LTDA.</v>
      </c>
      <c r="C53" s="156">
        <f>SUMIF(NEGOCIAÇÕES!D:D,REL_LIBERADAS!B53,NEGOCIAÇÕES!Q:Q)</f>
        <v>2</v>
      </c>
      <c r="D53" s="156">
        <f>SUMIF(NEGOCIAÇÕES!D:D,REL_LIBERADAS!B53,NEGOCIAÇÕES!S:S)</f>
        <v>2</v>
      </c>
      <c r="E53" s="158">
        <f t="shared" si="0"/>
        <v>1</v>
      </c>
      <c r="F53" s="156">
        <f>SUMIF(NEGOCIAÇÕES!D:D,REL_LIBERADAS!B53,NEGOCIAÇÕES!T:T)</f>
        <v>2</v>
      </c>
      <c r="G53" s="158">
        <f t="shared" si="1"/>
        <v>1</v>
      </c>
    </row>
    <row r="54" spans="2:7" ht="31.95" customHeight="1" x14ac:dyDescent="0.3">
      <c r="B54" s="6" t="str">
        <f>CAD_CL!B54</f>
        <v>FRANIK VÁLVULAS E CONEXÕES LTDA EPP</v>
      </c>
      <c r="C54" s="156">
        <f>SUMIF(NEGOCIAÇÕES!D:D,REL_LIBERADAS!B54,NEGOCIAÇÕES!Q:Q)</f>
        <v>0</v>
      </c>
      <c r="D54" s="156">
        <f>SUMIF(NEGOCIAÇÕES!D:D,REL_LIBERADAS!B54,NEGOCIAÇÕES!S:S)</f>
        <v>0</v>
      </c>
      <c r="E54" s="158">
        <f t="shared" si="0"/>
        <v>0</v>
      </c>
      <c r="F54" s="156">
        <f>SUMIF(NEGOCIAÇÕES!D:D,REL_LIBERADAS!B54,NEGOCIAÇÕES!T:T)</f>
        <v>0</v>
      </c>
      <c r="G54" s="158">
        <f t="shared" si="1"/>
        <v>0</v>
      </c>
    </row>
    <row r="55" spans="2:7" ht="31.95" customHeight="1" x14ac:dyDescent="0.3">
      <c r="B55" s="6" t="str">
        <f>CAD_CL!B55</f>
        <v>FULL SET ENGENHARIA INTERMODAL E METALURGICA EIRELI</v>
      </c>
      <c r="C55" s="156">
        <f>SUMIF(NEGOCIAÇÕES!D:D,REL_LIBERADAS!B55,NEGOCIAÇÕES!Q:Q)</f>
        <v>3</v>
      </c>
      <c r="D55" s="156">
        <f>SUMIF(NEGOCIAÇÕES!D:D,REL_LIBERADAS!B55,NEGOCIAÇÕES!S:S)</f>
        <v>3</v>
      </c>
      <c r="E55" s="158">
        <f t="shared" si="0"/>
        <v>1</v>
      </c>
      <c r="F55" s="156">
        <f>SUMIF(NEGOCIAÇÕES!D:D,REL_LIBERADAS!B55,NEGOCIAÇÕES!T:T)</f>
        <v>3</v>
      </c>
      <c r="G55" s="158">
        <f t="shared" si="1"/>
        <v>1</v>
      </c>
    </row>
    <row r="56" spans="2:7" ht="31.95" customHeight="1" x14ac:dyDescent="0.3">
      <c r="B56" s="6" t="str">
        <f>CAD_CL!B56</f>
        <v>GALILEIA FERRO E AÇO LTDA</v>
      </c>
      <c r="C56" s="156">
        <f>SUMIF(NEGOCIAÇÕES!D:D,REL_LIBERADAS!B56,NEGOCIAÇÕES!Q:Q)</f>
        <v>0</v>
      </c>
      <c r="D56" s="156">
        <f>SUMIF(NEGOCIAÇÕES!D:D,REL_LIBERADAS!B56,NEGOCIAÇÕES!S:S)</f>
        <v>0</v>
      </c>
      <c r="E56" s="158">
        <f t="shared" si="0"/>
        <v>0</v>
      </c>
      <c r="F56" s="156">
        <f>SUMIF(NEGOCIAÇÕES!D:D,REL_LIBERADAS!B56,NEGOCIAÇÕES!T:T)</f>
        <v>0</v>
      </c>
      <c r="G56" s="158">
        <f t="shared" si="1"/>
        <v>0</v>
      </c>
    </row>
    <row r="57" spans="2:7" ht="31.95" customHeight="1" x14ac:dyDescent="0.3">
      <c r="B57" s="6" t="str">
        <f>CAD_CL!B57</f>
        <v>GAL-TEC GALVANIZAÇÃO TÉCNICA LTDA</v>
      </c>
      <c r="C57" s="156">
        <f>SUMIF(NEGOCIAÇÕES!D:D,REL_LIBERADAS!B57,NEGOCIAÇÕES!Q:Q)</f>
        <v>1</v>
      </c>
      <c r="D57" s="156">
        <f>SUMIF(NEGOCIAÇÕES!D:D,REL_LIBERADAS!B57,NEGOCIAÇÕES!S:S)</f>
        <v>1</v>
      </c>
      <c r="E57" s="158">
        <f t="shared" si="0"/>
        <v>1</v>
      </c>
      <c r="F57" s="156">
        <f>SUMIF(NEGOCIAÇÕES!D:D,REL_LIBERADAS!B57,NEGOCIAÇÕES!T:T)</f>
        <v>1</v>
      </c>
      <c r="G57" s="158">
        <f t="shared" si="1"/>
        <v>1</v>
      </c>
    </row>
    <row r="58" spans="2:7" ht="31.95" customHeight="1" x14ac:dyDescent="0.3">
      <c r="B58" s="6" t="str">
        <f>CAD_CL!B58</f>
        <v>GB JUNTAS EQUIPAMENTOS INDUSTRIAIS LITDA</v>
      </c>
      <c r="C58" s="156">
        <f>SUMIF(NEGOCIAÇÕES!D:D,REL_LIBERADAS!B58,NEGOCIAÇÕES!Q:Q)</f>
        <v>43</v>
      </c>
      <c r="D58" s="156">
        <f>SUMIF(NEGOCIAÇÕES!D:D,REL_LIBERADAS!B58,NEGOCIAÇÕES!S:S)</f>
        <v>43</v>
      </c>
      <c r="E58" s="158">
        <f t="shared" si="0"/>
        <v>1</v>
      </c>
      <c r="F58" s="156">
        <f>SUMIF(NEGOCIAÇÕES!D:D,REL_LIBERADAS!B58,NEGOCIAÇÕES!T:T)</f>
        <v>42</v>
      </c>
      <c r="G58" s="158">
        <f t="shared" si="1"/>
        <v>0.97674418604651159</v>
      </c>
    </row>
    <row r="59" spans="2:7" ht="31.95" customHeight="1" x14ac:dyDescent="0.3">
      <c r="B59" s="6" t="str">
        <f>CAD_CL!B59</f>
        <v>GON PETRO COMERCIAL LTDA</v>
      </c>
      <c r="C59" s="156">
        <f>SUMIF(NEGOCIAÇÕES!D:D,REL_LIBERADAS!B59,NEGOCIAÇÕES!Q:Q)</f>
        <v>47</v>
      </c>
      <c r="D59" s="156">
        <f>SUMIF(NEGOCIAÇÕES!D:D,REL_LIBERADAS!B59,NEGOCIAÇÕES!S:S)</f>
        <v>47</v>
      </c>
      <c r="E59" s="158">
        <f t="shared" si="0"/>
        <v>1</v>
      </c>
      <c r="F59" s="156">
        <f>SUMIF(NEGOCIAÇÕES!D:D,REL_LIBERADAS!B59,NEGOCIAÇÕES!T:T)</f>
        <v>47</v>
      </c>
      <c r="G59" s="158">
        <f t="shared" si="1"/>
        <v>1</v>
      </c>
    </row>
    <row r="60" spans="2:7" ht="31.95" customHeight="1" x14ac:dyDescent="0.3">
      <c r="B60" s="6" t="str">
        <f>CAD_CL!B60</f>
        <v>Gradefuros Grades e Metais Perfurados Eireli – EPP</v>
      </c>
      <c r="C60" s="156">
        <f>SUMIF(NEGOCIAÇÕES!D:D,REL_LIBERADAS!B60,NEGOCIAÇÕES!Q:Q)</f>
        <v>1</v>
      </c>
      <c r="D60" s="156">
        <f>SUMIF(NEGOCIAÇÕES!D:D,REL_LIBERADAS!B60,NEGOCIAÇÕES!S:S)</f>
        <v>1</v>
      </c>
      <c r="E60" s="158">
        <f t="shared" si="0"/>
        <v>1</v>
      </c>
      <c r="F60" s="156">
        <f>SUMIF(NEGOCIAÇÕES!D:D,REL_LIBERADAS!B60,NEGOCIAÇÕES!T:T)</f>
        <v>1</v>
      </c>
      <c r="G60" s="158">
        <f t="shared" si="1"/>
        <v>1</v>
      </c>
    </row>
    <row r="61" spans="2:7" ht="31.95" customHeight="1" x14ac:dyDescent="0.3">
      <c r="B61" s="6" t="str">
        <f>CAD_CL!B61</f>
        <v>GRADETEC INDUSTRIAL LTDA.</v>
      </c>
      <c r="C61" s="156">
        <f>SUMIF(NEGOCIAÇÕES!D:D,REL_LIBERADAS!B61,NEGOCIAÇÕES!Q:Q)</f>
        <v>0</v>
      </c>
      <c r="D61" s="156">
        <f>SUMIF(NEGOCIAÇÕES!D:D,REL_LIBERADAS!B61,NEGOCIAÇÕES!S:S)</f>
        <v>0</v>
      </c>
      <c r="E61" s="158">
        <f t="shared" si="0"/>
        <v>0</v>
      </c>
      <c r="F61" s="156">
        <f>SUMIF(NEGOCIAÇÕES!D:D,REL_LIBERADAS!B61,NEGOCIAÇÕES!T:T)</f>
        <v>0</v>
      </c>
      <c r="G61" s="158">
        <f t="shared" si="1"/>
        <v>0</v>
      </c>
    </row>
    <row r="62" spans="2:7" ht="31.95" customHeight="1" x14ac:dyDescent="0.3">
      <c r="B62" s="6" t="str">
        <f>CAD_CL!B62</f>
        <v>HIDEO NAKAYAMA IMPORTAÇÃO E EXPORTAÇÃO COMÉRCIO E INDÚSTRIA LTDA.</v>
      </c>
      <c r="C62" s="156">
        <f>SUMIF(NEGOCIAÇÕES!D:D,REL_LIBERADAS!B62,NEGOCIAÇÕES!Q:Q)</f>
        <v>2</v>
      </c>
      <c r="D62" s="156">
        <f>SUMIF(NEGOCIAÇÕES!D:D,REL_LIBERADAS!B62,NEGOCIAÇÕES!S:S)</f>
        <v>2</v>
      </c>
      <c r="E62" s="158">
        <f t="shared" si="0"/>
        <v>1</v>
      </c>
      <c r="F62" s="156">
        <f>SUMIF(NEGOCIAÇÕES!D:D,REL_LIBERADAS!B62,NEGOCIAÇÕES!T:T)</f>
        <v>2</v>
      </c>
      <c r="G62" s="158">
        <f t="shared" si="1"/>
        <v>1</v>
      </c>
    </row>
    <row r="63" spans="2:7" ht="31.95" customHeight="1" x14ac:dyDescent="0.3">
      <c r="B63" s="6" t="str">
        <f>CAD_CL!B63</f>
        <v>HYPNEUMAT SOLUÇÕES EM HIDRÁULICA, PNEUMÁTICA E DECAP.</v>
      </c>
      <c r="C63" s="156">
        <f>SUMIF(NEGOCIAÇÕES!D:D,REL_LIBERADAS!B63,NEGOCIAÇÕES!Q:Q)</f>
        <v>0</v>
      </c>
      <c r="D63" s="156">
        <f>SUMIF(NEGOCIAÇÕES!D:D,REL_LIBERADAS!B63,NEGOCIAÇÕES!S:S)</f>
        <v>0</v>
      </c>
      <c r="E63" s="158">
        <f t="shared" si="0"/>
        <v>0</v>
      </c>
      <c r="F63" s="156">
        <f>SUMIF(NEGOCIAÇÕES!D:D,REL_LIBERADAS!B63,NEGOCIAÇÕES!T:T)</f>
        <v>0</v>
      </c>
      <c r="G63" s="158">
        <f t="shared" si="1"/>
        <v>0</v>
      </c>
    </row>
    <row r="64" spans="2:7" ht="31.95" customHeight="1" x14ac:dyDescent="0.3">
      <c r="B64" s="6" t="str">
        <f>CAD_CL!B64</f>
        <v>IMI INSTITUTO DE METROLOGIA INDUSTRIAL LTDA.</v>
      </c>
      <c r="C64" s="156">
        <f>SUMIF(NEGOCIAÇÕES!D:D,REL_LIBERADAS!B64,NEGOCIAÇÕES!Q:Q)</f>
        <v>0</v>
      </c>
      <c r="D64" s="156">
        <f>SUMIF(NEGOCIAÇÕES!D:D,REL_LIBERADAS!B64,NEGOCIAÇÕES!S:S)</f>
        <v>0</v>
      </c>
      <c r="E64" s="158">
        <f t="shared" si="0"/>
        <v>0</v>
      </c>
      <c r="F64" s="156">
        <f>SUMIF(NEGOCIAÇÕES!D:D,REL_LIBERADAS!B64,NEGOCIAÇÕES!T:T)</f>
        <v>0</v>
      </c>
      <c r="G64" s="158">
        <f t="shared" si="1"/>
        <v>0</v>
      </c>
    </row>
    <row r="65" spans="2:7" ht="31.95" customHeight="1" x14ac:dyDescent="0.3">
      <c r="B65" s="6" t="str">
        <f>CAD_CL!B65</f>
        <v>INCAL SERVICE LTDA-ME</v>
      </c>
      <c r="C65" s="156">
        <f>SUMIF(NEGOCIAÇÕES!D:D,REL_LIBERADAS!B65,NEGOCIAÇÕES!Q:Q)</f>
        <v>1</v>
      </c>
      <c r="D65" s="156">
        <f>SUMIF(NEGOCIAÇÕES!D:D,REL_LIBERADAS!B65,NEGOCIAÇÕES!S:S)</f>
        <v>1</v>
      </c>
      <c r="E65" s="158">
        <f t="shared" si="0"/>
        <v>1</v>
      </c>
      <c r="F65" s="156">
        <f>SUMIF(NEGOCIAÇÕES!D:D,REL_LIBERADAS!B65,NEGOCIAÇÕES!T:T)</f>
        <v>1</v>
      </c>
      <c r="G65" s="158">
        <f t="shared" si="1"/>
        <v>1</v>
      </c>
    </row>
    <row r="66" spans="2:7" ht="31.95" customHeight="1" x14ac:dyDescent="0.3">
      <c r="B66" s="6" t="str">
        <f>CAD_CL!B66</f>
        <v>INCOMPLAST POLÍMEROS E METAIS</v>
      </c>
      <c r="C66" s="156">
        <f>SUMIF(NEGOCIAÇÕES!D:D,REL_LIBERADAS!B66,NEGOCIAÇÕES!Q:Q)</f>
        <v>12</v>
      </c>
      <c r="D66" s="156">
        <f>SUMIF(NEGOCIAÇÕES!D:D,REL_LIBERADAS!B66,NEGOCIAÇÕES!S:S)</f>
        <v>11</v>
      </c>
      <c r="E66" s="158">
        <f t="shared" si="0"/>
        <v>0.91666666666666663</v>
      </c>
      <c r="F66" s="156">
        <f>SUMIF(NEGOCIAÇÕES!D:D,REL_LIBERADAS!B66,NEGOCIAÇÕES!T:T)</f>
        <v>11</v>
      </c>
      <c r="G66" s="158">
        <f t="shared" si="1"/>
        <v>0.91666666666666663</v>
      </c>
    </row>
    <row r="67" spans="2:7" ht="31.95" customHeight="1" x14ac:dyDescent="0.3">
      <c r="B67" s="6" t="str">
        <f>CAD_CL!B67</f>
        <v>INDÚSTRIA DE TELAS METÁLICAS MM LTDA.</v>
      </c>
      <c r="C67" s="156">
        <f>SUMIF(NEGOCIAÇÕES!D:D,REL_LIBERADAS!B67,NEGOCIAÇÕES!Q:Q)</f>
        <v>0</v>
      </c>
      <c r="D67" s="156">
        <f>SUMIF(NEGOCIAÇÕES!D:D,REL_LIBERADAS!B67,NEGOCIAÇÕES!S:S)</f>
        <v>0</v>
      </c>
      <c r="E67" s="158">
        <f t="shared" si="0"/>
        <v>0</v>
      </c>
      <c r="F67" s="156">
        <f>SUMIF(NEGOCIAÇÕES!D:D,REL_LIBERADAS!B67,NEGOCIAÇÕES!T:T)</f>
        <v>0</v>
      </c>
      <c r="G67" s="158">
        <f t="shared" si="1"/>
        <v>0</v>
      </c>
    </row>
    <row r="68" spans="2:7" ht="31.95" customHeight="1" x14ac:dyDescent="0.3">
      <c r="B68" s="6" t="str">
        <f>CAD_CL!B68</f>
        <v>INOX CONEXÕES, VALVULAS E TUBOS LTDA - ME</v>
      </c>
      <c r="C68" s="156">
        <f>SUMIF(NEGOCIAÇÕES!D:D,REL_LIBERADAS!B68,NEGOCIAÇÕES!Q:Q)</f>
        <v>0</v>
      </c>
      <c r="D68" s="156">
        <f>SUMIF(NEGOCIAÇÕES!D:D,REL_LIBERADAS!B68,NEGOCIAÇÕES!S:S)</f>
        <v>0</v>
      </c>
      <c r="E68" s="158">
        <f t="shared" si="0"/>
        <v>0</v>
      </c>
      <c r="F68" s="156">
        <f>SUMIF(NEGOCIAÇÕES!D:D,REL_LIBERADAS!B68,NEGOCIAÇÕES!T:T)</f>
        <v>0</v>
      </c>
      <c r="G68" s="158">
        <f t="shared" si="1"/>
        <v>0</v>
      </c>
    </row>
    <row r="69" spans="2:7" ht="31.95" customHeight="1" x14ac:dyDescent="0.3">
      <c r="B69" s="6" t="str">
        <f>CAD_CL!B69</f>
        <v>INOXPLASMA COMÉRCIO DE METAIS LTDA</v>
      </c>
      <c r="C69" s="156">
        <f>SUMIF(NEGOCIAÇÕES!D:D,REL_LIBERADAS!B69,NEGOCIAÇÕES!Q:Q)</f>
        <v>1</v>
      </c>
      <c r="D69" s="156">
        <f>SUMIF(NEGOCIAÇÕES!D:D,REL_LIBERADAS!B69,NEGOCIAÇÕES!S:S)</f>
        <v>1</v>
      </c>
      <c r="E69" s="158">
        <f t="shared" si="0"/>
        <v>1</v>
      </c>
      <c r="F69" s="156">
        <f>SUMIF(NEGOCIAÇÕES!D:D,REL_LIBERADAS!B69,NEGOCIAÇÕES!T:T)</f>
        <v>1</v>
      </c>
      <c r="G69" s="158">
        <f t="shared" si="1"/>
        <v>1</v>
      </c>
    </row>
    <row r="70" spans="2:7" ht="31.95" customHeight="1" x14ac:dyDescent="0.3">
      <c r="B70" s="6" t="str">
        <f>CAD_CL!B70</f>
        <v>INOX-TECH COMÉRCIO DE AÇOS INOXIDÁVEIS LTDA  (FEITAL)</v>
      </c>
      <c r="C70" s="156">
        <f>SUMIF(NEGOCIAÇÕES!D:D,REL_LIBERADAS!B70,NEGOCIAÇÕES!Q:Q)</f>
        <v>2</v>
      </c>
      <c r="D70" s="156">
        <f>SUMIF(NEGOCIAÇÕES!D:D,REL_LIBERADAS!B70,NEGOCIAÇÕES!S:S)</f>
        <v>2</v>
      </c>
      <c r="E70" s="158">
        <f t="shared" si="0"/>
        <v>1</v>
      </c>
      <c r="F70" s="156">
        <f>SUMIF(NEGOCIAÇÕES!D:D,REL_LIBERADAS!B70,NEGOCIAÇÕES!T:T)</f>
        <v>2</v>
      </c>
      <c r="G70" s="158">
        <f t="shared" si="1"/>
        <v>1</v>
      </c>
    </row>
    <row r="71" spans="2:7" ht="31.95" customHeight="1" x14ac:dyDescent="0.3">
      <c r="B71" s="6" t="str">
        <f>CAD_CL!B71</f>
        <v xml:space="preserve">INTERCABOS INDUSTRIAL E COMERCIAL LTDA </v>
      </c>
      <c r="C71" s="156">
        <f>SUMIF(NEGOCIAÇÕES!D:D,REL_LIBERADAS!B71,NEGOCIAÇÕES!Q:Q)</f>
        <v>1</v>
      </c>
      <c r="D71" s="156">
        <f>SUMIF(NEGOCIAÇÕES!D:D,REL_LIBERADAS!B71,NEGOCIAÇÕES!S:S)</f>
        <v>1</v>
      </c>
      <c r="E71" s="158">
        <f t="shared" si="0"/>
        <v>1</v>
      </c>
      <c r="F71" s="156">
        <f>SUMIF(NEGOCIAÇÕES!D:D,REL_LIBERADAS!B71,NEGOCIAÇÕES!T:T)</f>
        <v>1</v>
      </c>
      <c r="G71" s="158">
        <f t="shared" si="1"/>
        <v>1</v>
      </c>
    </row>
    <row r="72" spans="2:7" ht="31.95" customHeight="1" x14ac:dyDescent="0.3">
      <c r="B72" s="6" t="str">
        <f>CAD_CL!B72</f>
        <v xml:space="preserve">IPH DO BRASIL COMERCIO E REPRESENTAÇÕES LTDA </v>
      </c>
      <c r="C72" s="156">
        <f>SUMIF(NEGOCIAÇÕES!D:D,REL_LIBERADAS!B72,NEGOCIAÇÕES!Q:Q)</f>
        <v>0</v>
      </c>
      <c r="D72" s="156">
        <f>SUMIF(NEGOCIAÇÕES!D:D,REL_LIBERADAS!B72,NEGOCIAÇÕES!S:S)</f>
        <v>0</v>
      </c>
      <c r="E72" s="158">
        <f t="shared" ref="E72:E135" si="2">IFERROR(D72/C72,0)</f>
        <v>0</v>
      </c>
      <c r="F72" s="156">
        <f>SUMIF(NEGOCIAÇÕES!D:D,REL_LIBERADAS!B72,NEGOCIAÇÕES!T:T)</f>
        <v>0</v>
      </c>
      <c r="G72" s="158">
        <f t="shared" ref="G72:G135" si="3">IFERROR(F72/C72,0)</f>
        <v>0</v>
      </c>
    </row>
    <row r="73" spans="2:7" ht="31.95" customHeight="1" x14ac:dyDescent="0.3">
      <c r="B73" s="6" t="str">
        <f>CAD_CL!B73</f>
        <v>ISAR ISOLAMENTOS TÉRMICOS E ACÚSTICOS LTDA</v>
      </c>
      <c r="C73" s="156">
        <f>SUMIF(NEGOCIAÇÕES!D:D,REL_LIBERADAS!B73,NEGOCIAÇÕES!Q:Q)</f>
        <v>1</v>
      </c>
      <c r="D73" s="156">
        <f>SUMIF(NEGOCIAÇÕES!D:D,REL_LIBERADAS!B73,NEGOCIAÇÕES!S:S)</f>
        <v>1</v>
      </c>
      <c r="E73" s="158">
        <f t="shared" si="2"/>
        <v>1</v>
      </c>
      <c r="F73" s="156">
        <f>SUMIF(NEGOCIAÇÕES!D:D,REL_LIBERADAS!B73,NEGOCIAÇÕES!T:T)</f>
        <v>1</v>
      </c>
      <c r="G73" s="158">
        <f t="shared" si="3"/>
        <v>1</v>
      </c>
    </row>
    <row r="74" spans="2:7" ht="31.95" customHeight="1" x14ac:dyDescent="0.3">
      <c r="B74" s="6" t="str">
        <f>CAD_CL!B74</f>
        <v>ISOPRO COMERCIO DE JUNTAS E SOLDAS LTDA</v>
      </c>
      <c r="C74" s="156">
        <f>SUMIF(NEGOCIAÇÕES!D:D,REL_LIBERADAS!B74,NEGOCIAÇÕES!Q:Q)</f>
        <v>106</v>
      </c>
      <c r="D74" s="156" t="e">
        <f>SUMIF(NEGOCIAÇÕES!D:D,REL_LIBERADAS!B74,NEGOCIAÇÕES!S:S)</f>
        <v>#REF!</v>
      </c>
      <c r="E74" s="158">
        <f t="shared" si="2"/>
        <v>0</v>
      </c>
      <c r="F74" s="156" t="e">
        <f>SUMIF(NEGOCIAÇÕES!D:D,REL_LIBERADAS!B74,NEGOCIAÇÕES!T:T)</f>
        <v>#REF!</v>
      </c>
      <c r="G74" s="158">
        <f t="shared" si="3"/>
        <v>0</v>
      </c>
    </row>
    <row r="75" spans="2:7" ht="31.95" customHeight="1" x14ac:dyDescent="0.3">
      <c r="B75" s="6" t="str">
        <f>CAD_CL!B75</f>
        <v>ISOVAL VÁLVULAS  E CONEXÕES LTDA</v>
      </c>
      <c r="C75" s="156">
        <f>SUMIF(NEGOCIAÇÕES!D:D,REL_LIBERADAS!B75,NEGOCIAÇÕES!Q:Q)</f>
        <v>0</v>
      </c>
      <c r="D75" s="156">
        <f>SUMIF(NEGOCIAÇÕES!D:D,REL_LIBERADAS!B75,NEGOCIAÇÕES!S:S)</f>
        <v>0</v>
      </c>
      <c r="E75" s="158">
        <f t="shared" si="2"/>
        <v>0</v>
      </c>
      <c r="F75" s="156">
        <f>SUMIF(NEGOCIAÇÕES!D:D,REL_LIBERADAS!B75,NEGOCIAÇÕES!T:T)</f>
        <v>0</v>
      </c>
      <c r="G75" s="158">
        <f t="shared" si="3"/>
        <v>0</v>
      </c>
    </row>
    <row r="76" spans="2:7" ht="31.95" customHeight="1" x14ac:dyDescent="0.3">
      <c r="B76" s="6" t="str">
        <f>CAD_CL!B76</f>
        <v>JEVINETWORK COMÉCIO E SERVIÇOS LTDA-ME</v>
      </c>
      <c r="C76" s="156">
        <f>SUMIF(NEGOCIAÇÕES!D:D,REL_LIBERADAS!B76,NEGOCIAÇÕES!Q:Q)</f>
        <v>2</v>
      </c>
      <c r="D76" s="156">
        <f>SUMIF(NEGOCIAÇÕES!D:D,REL_LIBERADAS!B76,NEGOCIAÇÕES!S:S)</f>
        <v>2</v>
      </c>
      <c r="E76" s="158">
        <f t="shared" si="2"/>
        <v>1</v>
      </c>
      <c r="F76" s="156">
        <f>SUMIF(NEGOCIAÇÕES!D:D,REL_LIBERADAS!B76,NEGOCIAÇÕES!T:T)</f>
        <v>2</v>
      </c>
      <c r="G76" s="158">
        <f t="shared" si="3"/>
        <v>1</v>
      </c>
    </row>
    <row r="77" spans="2:7" ht="31.95" customHeight="1" x14ac:dyDescent="0.3">
      <c r="B77" s="6" t="str">
        <f>CAD_CL!B77</f>
        <v>JOTUN BRASIL IMP.EXP.E INDUSTRIA DE TINTAS LTDA.</v>
      </c>
      <c r="C77" s="156">
        <f>SUMIF(NEGOCIAÇÕES!D:D,REL_LIBERADAS!B77,NEGOCIAÇÕES!Q:Q)</f>
        <v>11</v>
      </c>
      <c r="D77" s="156">
        <f>SUMIF(NEGOCIAÇÕES!D:D,REL_LIBERADAS!B77,NEGOCIAÇÕES!S:S)</f>
        <v>10</v>
      </c>
      <c r="E77" s="158">
        <f t="shared" si="2"/>
        <v>0.90909090909090906</v>
      </c>
      <c r="F77" s="156">
        <f>SUMIF(NEGOCIAÇÕES!D:D,REL_LIBERADAS!B77,NEGOCIAÇÕES!T:T)</f>
        <v>8</v>
      </c>
      <c r="G77" s="158">
        <f t="shared" si="3"/>
        <v>0.72727272727272729</v>
      </c>
    </row>
    <row r="78" spans="2:7" ht="31.95" customHeight="1" x14ac:dyDescent="0.3">
      <c r="B78" s="6" t="str">
        <f>CAD_CL!B78</f>
        <v>JOY TUBOS COMERCIAL EIRELI</v>
      </c>
      <c r="C78" s="156">
        <f>SUMIF(NEGOCIAÇÕES!D:D,REL_LIBERADAS!B78,NEGOCIAÇÕES!Q:Q)</f>
        <v>1</v>
      </c>
      <c r="D78" s="156">
        <f>SUMIF(NEGOCIAÇÕES!D:D,REL_LIBERADAS!B78,NEGOCIAÇÕES!S:S)</f>
        <v>1</v>
      </c>
      <c r="E78" s="158">
        <f t="shared" si="2"/>
        <v>1</v>
      </c>
      <c r="F78" s="156">
        <f>SUMIF(NEGOCIAÇÕES!D:D,REL_LIBERADAS!B78,NEGOCIAÇÕES!T:T)</f>
        <v>1</v>
      </c>
      <c r="G78" s="158">
        <f t="shared" si="3"/>
        <v>1</v>
      </c>
    </row>
    <row r="79" spans="2:7" ht="31.95" customHeight="1" x14ac:dyDescent="0.3">
      <c r="B79" s="6" t="str">
        <f>CAD_CL!B79</f>
        <v>KROMINOX AÇOS E METAIS LTDA</v>
      </c>
      <c r="C79" s="156">
        <f>SUMIF(NEGOCIAÇÕES!D:D,REL_LIBERADAS!B79,NEGOCIAÇÕES!Q:Q)</f>
        <v>1</v>
      </c>
      <c r="D79" s="156">
        <f>SUMIF(NEGOCIAÇÕES!D:D,REL_LIBERADAS!B79,NEGOCIAÇÕES!S:S)</f>
        <v>1</v>
      </c>
      <c r="E79" s="158">
        <f t="shared" si="2"/>
        <v>1</v>
      </c>
      <c r="F79" s="156">
        <f>SUMIF(NEGOCIAÇÕES!D:D,REL_LIBERADAS!B79,NEGOCIAÇÕES!T:T)</f>
        <v>1</v>
      </c>
      <c r="G79" s="158">
        <f t="shared" si="3"/>
        <v>1</v>
      </c>
    </row>
    <row r="80" spans="2:7" ht="31.95" customHeight="1" x14ac:dyDescent="0.3">
      <c r="B80" s="6" t="str">
        <f>CAD_CL!B80</f>
        <v>L E M CALIBRAÇÃO E METROLOGIA PADRÃO LTDA</v>
      </c>
      <c r="C80" s="156">
        <f>SUMIF(NEGOCIAÇÕES!D:D,REL_LIBERADAS!B80,NEGOCIAÇÕES!Q:Q)</f>
        <v>9</v>
      </c>
      <c r="D80" s="156">
        <f>SUMIF(NEGOCIAÇÕES!D:D,REL_LIBERADAS!B80,NEGOCIAÇÕES!S:S)</f>
        <v>7</v>
      </c>
      <c r="E80" s="158">
        <f t="shared" si="2"/>
        <v>0.77777777777777779</v>
      </c>
      <c r="F80" s="156">
        <f>SUMIF(NEGOCIAÇÕES!D:D,REL_LIBERADAS!B80,NEGOCIAÇÕES!T:T)</f>
        <v>7</v>
      </c>
      <c r="G80" s="158">
        <f t="shared" si="3"/>
        <v>0.77777777777777779</v>
      </c>
    </row>
    <row r="81" spans="2:7" ht="31.95" customHeight="1" x14ac:dyDescent="0.3">
      <c r="B81" s="6" t="str">
        <f>CAD_CL!B81</f>
        <v>LABOMETRIQ METROLOGIA E ENSAIOS TECNICOS EIRELLI</v>
      </c>
      <c r="C81" s="156">
        <f>SUMIF(NEGOCIAÇÕES!D:D,REL_LIBERADAS!B81,NEGOCIAÇÕES!Q:Q)</f>
        <v>0</v>
      </c>
      <c r="D81" s="156">
        <f>SUMIF(NEGOCIAÇÕES!D:D,REL_LIBERADAS!B81,NEGOCIAÇÕES!S:S)</f>
        <v>0</v>
      </c>
      <c r="E81" s="158">
        <f t="shared" si="2"/>
        <v>0</v>
      </c>
      <c r="F81" s="156">
        <f>SUMIF(NEGOCIAÇÕES!D:D,REL_LIBERADAS!B81,NEGOCIAÇÕES!T:T)</f>
        <v>0</v>
      </c>
      <c r="G81" s="158">
        <f t="shared" si="3"/>
        <v>0</v>
      </c>
    </row>
    <row r="82" spans="2:7" ht="31.95" customHeight="1" x14ac:dyDescent="0.3">
      <c r="B82" s="6" t="str">
        <f>CAD_CL!B82</f>
        <v>LABY AMBIENTAL</v>
      </c>
      <c r="C82" s="156">
        <f>SUMIF(NEGOCIAÇÕES!D:D,REL_LIBERADAS!B82,NEGOCIAÇÕES!Q:Q)</f>
        <v>0</v>
      </c>
      <c r="D82" s="156">
        <f>SUMIF(NEGOCIAÇÕES!D:D,REL_LIBERADAS!B82,NEGOCIAÇÕES!S:S)</f>
        <v>0</v>
      </c>
      <c r="E82" s="158">
        <f t="shared" si="2"/>
        <v>0</v>
      </c>
      <c r="F82" s="156">
        <f>SUMIF(NEGOCIAÇÕES!D:D,REL_LIBERADAS!B82,NEGOCIAÇÕES!T:T)</f>
        <v>0</v>
      </c>
      <c r="G82" s="158">
        <f t="shared" si="3"/>
        <v>0</v>
      </c>
    </row>
    <row r="83" spans="2:7" ht="31.95" customHeight="1" x14ac:dyDescent="0.3">
      <c r="B83" s="6" t="str">
        <f>CAD_CL!B83</f>
        <v xml:space="preserve">Lapefer Comércio e Indústria de Laminados Ltda </v>
      </c>
      <c r="C83" s="156">
        <f>SUMIF(NEGOCIAÇÕES!D:D,REL_LIBERADAS!B83,NEGOCIAÇÕES!Q:Q)</f>
        <v>2</v>
      </c>
      <c r="D83" s="156">
        <f>SUMIF(NEGOCIAÇÕES!D:D,REL_LIBERADAS!B83,NEGOCIAÇÕES!S:S)</f>
        <v>1</v>
      </c>
      <c r="E83" s="158">
        <f t="shared" si="2"/>
        <v>0.5</v>
      </c>
      <c r="F83" s="156">
        <f>SUMIF(NEGOCIAÇÕES!D:D,REL_LIBERADAS!B83,NEGOCIAÇÕES!T:T)</f>
        <v>1</v>
      </c>
      <c r="G83" s="158">
        <f t="shared" si="3"/>
        <v>0.5</v>
      </c>
    </row>
    <row r="84" spans="2:7" ht="31.95" customHeight="1" x14ac:dyDescent="0.3">
      <c r="B84" s="6" t="str">
        <f>CAD_CL!B84</f>
        <v>LARREF COMÉRCIO DE MATERIAL ELÉTRICO E CONSTRUÇÃO LTDA</v>
      </c>
      <c r="C84" s="156">
        <f>SUMIF(NEGOCIAÇÕES!D:D,REL_LIBERADAS!B84,NEGOCIAÇÕES!Q:Q)</f>
        <v>1</v>
      </c>
      <c r="D84" s="156">
        <f>SUMIF(NEGOCIAÇÕES!D:D,REL_LIBERADAS!B84,NEGOCIAÇÕES!S:S)</f>
        <v>1</v>
      </c>
      <c r="E84" s="158">
        <f t="shared" si="2"/>
        <v>1</v>
      </c>
      <c r="F84" s="156">
        <f>SUMIF(NEGOCIAÇÕES!D:D,REL_LIBERADAS!B84,NEGOCIAÇÕES!T:T)</f>
        <v>1</v>
      </c>
      <c r="G84" s="158">
        <f t="shared" si="3"/>
        <v>1</v>
      </c>
    </row>
    <row r="85" spans="2:7" ht="31.95" customHeight="1" x14ac:dyDescent="0.3">
      <c r="B85" s="6" t="str">
        <f>CAD_CL!B85</f>
        <v>LFC INOX LTDA</v>
      </c>
      <c r="C85" s="156">
        <f>SUMIF(NEGOCIAÇÕES!D:D,REL_LIBERADAS!B85,NEGOCIAÇÕES!Q:Q)</f>
        <v>4</v>
      </c>
      <c r="D85" s="156">
        <f>SUMIF(NEGOCIAÇÕES!D:D,REL_LIBERADAS!B85,NEGOCIAÇÕES!S:S)</f>
        <v>4</v>
      </c>
      <c r="E85" s="158">
        <f t="shared" si="2"/>
        <v>1</v>
      </c>
      <c r="F85" s="156">
        <f>SUMIF(NEGOCIAÇÕES!D:D,REL_LIBERADAS!B85,NEGOCIAÇÕES!T:T)</f>
        <v>2</v>
      </c>
      <c r="G85" s="158">
        <f t="shared" si="3"/>
        <v>0.5</v>
      </c>
    </row>
    <row r="86" spans="2:7" ht="31.95" customHeight="1" x14ac:dyDescent="0.3">
      <c r="B86" s="6" t="str">
        <f>CAD_CL!B86</f>
        <v>LORRING UNITED KINGDOM</v>
      </c>
      <c r="C86" s="156">
        <f>SUMIF(NEGOCIAÇÕES!D:D,REL_LIBERADAS!B86,NEGOCIAÇÕES!Q:Q)</f>
        <v>1</v>
      </c>
      <c r="D86" s="156">
        <f>SUMIF(NEGOCIAÇÕES!D:D,REL_LIBERADAS!B86,NEGOCIAÇÕES!S:S)</f>
        <v>1</v>
      </c>
      <c r="E86" s="158">
        <f t="shared" si="2"/>
        <v>1</v>
      </c>
      <c r="F86" s="156">
        <f>SUMIF(NEGOCIAÇÕES!D:D,REL_LIBERADAS!B86,NEGOCIAÇÕES!T:T)</f>
        <v>1</v>
      </c>
      <c r="G86" s="158">
        <f t="shared" si="3"/>
        <v>1</v>
      </c>
    </row>
    <row r="87" spans="2:7" ht="31.95" customHeight="1" x14ac:dyDescent="0.3">
      <c r="B87" s="6" t="str">
        <f>CAD_CL!B87</f>
        <v>M.P.L NITEROI PRODUTOS E SERVIÇOS LTDA</v>
      </c>
      <c r="C87" s="156">
        <f>SUMIF(NEGOCIAÇÕES!D:D,REL_LIBERADAS!B87,NEGOCIAÇÕES!Q:Q)</f>
        <v>11</v>
      </c>
      <c r="D87" s="156">
        <f>SUMIF(NEGOCIAÇÕES!D:D,REL_LIBERADAS!B87,NEGOCIAÇÕES!S:S)</f>
        <v>11</v>
      </c>
      <c r="E87" s="158">
        <f t="shared" si="2"/>
        <v>1</v>
      </c>
      <c r="F87" s="156">
        <f>SUMIF(NEGOCIAÇÕES!D:D,REL_LIBERADAS!B87,NEGOCIAÇÕES!T:T)</f>
        <v>11</v>
      </c>
      <c r="G87" s="158">
        <f t="shared" si="3"/>
        <v>1</v>
      </c>
    </row>
    <row r="88" spans="2:7" ht="31.95" customHeight="1" x14ac:dyDescent="0.3">
      <c r="B88" s="6" t="str">
        <f>CAD_CL!B88</f>
        <v>MACCAFER COMÉRCIO DE MÁQUINAS E EQUIPAMENTOS LTDA</v>
      </c>
      <c r="C88" s="156">
        <f>SUMIF(NEGOCIAÇÕES!D:D,REL_LIBERADAS!B88,NEGOCIAÇÕES!Q:Q)</f>
        <v>3</v>
      </c>
      <c r="D88" s="156">
        <f>SUMIF(NEGOCIAÇÕES!D:D,REL_LIBERADAS!B88,NEGOCIAÇÕES!S:S)</f>
        <v>3</v>
      </c>
      <c r="E88" s="158">
        <f t="shared" si="2"/>
        <v>1</v>
      </c>
      <c r="F88" s="156">
        <f>SUMIF(NEGOCIAÇÕES!D:D,REL_LIBERADAS!B88,NEGOCIAÇÕES!T:T)</f>
        <v>3</v>
      </c>
      <c r="G88" s="158">
        <f t="shared" si="3"/>
        <v>1</v>
      </c>
    </row>
    <row r="89" spans="2:7" ht="31.95" customHeight="1" x14ac:dyDescent="0.3">
      <c r="B89" s="6" t="str">
        <f>CAD_CL!B89</f>
        <v>MADIBA LIGAS ESPECIAIS IMPORTAÇÕES E EXPORTAÇÕES LTDA.</v>
      </c>
      <c r="C89" s="156">
        <f>SUMIF(NEGOCIAÇÕES!D:D,REL_LIBERADAS!B89,NEGOCIAÇÕES!Q:Q)</f>
        <v>0</v>
      </c>
      <c r="D89" s="156">
        <f>SUMIF(NEGOCIAÇÕES!D:D,REL_LIBERADAS!B89,NEGOCIAÇÕES!S:S)</f>
        <v>0</v>
      </c>
      <c r="E89" s="158">
        <f t="shared" si="2"/>
        <v>0</v>
      </c>
      <c r="F89" s="156">
        <f>SUMIF(NEGOCIAÇÕES!D:D,REL_LIBERADAS!B89,NEGOCIAÇÕES!T:T)</f>
        <v>0</v>
      </c>
      <c r="G89" s="158">
        <f t="shared" si="3"/>
        <v>0</v>
      </c>
    </row>
    <row r="90" spans="2:7" ht="31.95" customHeight="1" x14ac:dyDescent="0.3">
      <c r="B90" s="6" t="str">
        <f>CAD_CL!B90</f>
        <v>MASTER MAQUINAS E EQUIPAMENTOS LTDA</v>
      </c>
      <c r="C90" s="156">
        <f>SUMIF(NEGOCIAÇÕES!D:D,REL_LIBERADAS!B90,NEGOCIAÇÕES!Q:Q)</f>
        <v>0</v>
      </c>
      <c r="D90" s="156">
        <f>SUMIF(NEGOCIAÇÕES!D:D,REL_LIBERADAS!B90,NEGOCIAÇÕES!S:S)</f>
        <v>0</v>
      </c>
      <c r="E90" s="158">
        <f t="shared" si="2"/>
        <v>0</v>
      </c>
      <c r="F90" s="156">
        <f>SUMIF(NEGOCIAÇÕES!D:D,REL_LIBERADAS!B90,NEGOCIAÇÕES!T:T)</f>
        <v>0</v>
      </c>
      <c r="G90" s="158">
        <f t="shared" si="3"/>
        <v>0</v>
      </c>
    </row>
    <row r="91" spans="2:7" ht="31.95" customHeight="1" x14ac:dyDescent="0.3">
      <c r="B91" s="6" t="str">
        <f>CAD_CL!B91</f>
        <v>MATERIALS TEST CENTER LTDA</v>
      </c>
      <c r="C91" s="156">
        <f>SUMIF(NEGOCIAÇÕES!D:D,REL_LIBERADAS!B91,NEGOCIAÇÕES!Q:Q)</f>
        <v>0</v>
      </c>
      <c r="D91" s="156">
        <f>SUMIF(NEGOCIAÇÕES!D:D,REL_LIBERADAS!B91,NEGOCIAÇÕES!S:S)</f>
        <v>0</v>
      </c>
      <c r="E91" s="158">
        <f t="shared" si="2"/>
        <v>0</v>
      </c>
      <c r="F91" s="156">
        <f>SUMIF(NEGOCIAÇÕES!D:D,REL_LIBERADAS!B91,NEGOCIAÇÕES!T:T)</f>
        <v>0</v>
      </c>
      <c r="G91" s="158">
        <f t="shared" si="3"/>
        <v>0</v>
      </c>
    </row>
    <row r="92" spans="2:7" ht="31.95" customHeight="1" x14ac:dyDescent="0.3">
      <c r="B92" s="6" t="str">
        <f>CAD_CL!B92</f>
        <v>METAL CUT COMERCIO CORTE LASER CALÇOS CALIBRADOS E FOTO FABRICAÇÃO EIRELI</v>
      </c>
      <c r="C92" s="156">
        <f>SUMIF(NEGOCIAÇÕES!D:D,REL_LIBERADAS!B92,NEGOCIAÇÕES!Q:Q)</f>
        <v>2</v>
      </c>
      <c r="D92" s="156">
        <f>SUMIF(NEGOCIAÇÕES!D:D,REL_LIBERADAS!B92,NEGOCIAÇÕES!S:S)</f>
        <v>2</v>
      </c>
      <c r="E92" s="158">
        <f t="shared" si="2"/>
        <v>1</v>
      </c>
      <c r="F92" s="156">
        <f>SUMIF(NEGOCIAÇÕES!D:D,REL_LIBERADAS!B92,NEGOCIAÇÕES!T:T)</f>
        <v>2</v>
      </c>
      <c r="G92" s="158">
        <f t="shared" si="3"/>
        <v>1</v>
      </c>
    </row>
    <row r="93" spans="2:7" ht="31.95" customHeight="1" x14ac:dyDescent="0.3">
      <c r="B93" s="6" t="str">
        <f>CAD_CL!B93</f>
        <v>METAL FECHO IND. E COM. LTDA</v>
      </c>
      <c r="C93" s="156">
        <f>SUMIF(NEGOCIAÇÕES!D:D,REL_LIBERADAS!B93,NEGOCIAÇÕES!Q:Q)</f>
        <v>0</v>
      </c>
      <c r="D93" s="156">
        <f>SUMIF(NEGOCIAÇÕES!D:D,REL_LIBERADAS!B93,NEGOCIAÇÕES!S:S)</f>
        <v>0</v>
      </c>
      <c r="E93" s="158">
        <f t="shared" si="2"/>
        <v>0</v>
      </c>
      <c r="F93" s="156">
        <f>SUMIF(NEGOCIAÇÕES!D:D,REL_LIBERADAS!B93,NEGOCIAÇÕES!T:T)</f>
        <v>0</v>
      </c>
      <c r="G93" s="158">
        <f t="shared" si="3"/>
        <v>0</v>
      </c>
    </row>
    <row r="94" spans="2:7" ht="31.95" customHeight="1" x14ac:dyDescent="0.3">
      <c r="B94" s="6" t="str">
        <f>CAD_CL!B94</f>
        <v>METALRIO VÁLVULAS, TUBOS E CONEXÕES INDUSTRIAIS LTDA</v>
      </c>
      <c r="C94" s="156">
        <f>SUMIF(NEGOCIAÇÕES!D:D,REL_LIBERADAS!B94,NEGOCIAÇÕES!Q:Q)</f>
        <v>32</v>
      </c>
      <c r="D94" s="156">
        <f>SUMIF(NEGOCIAÇÕES!D:D,REL_LIBERADAS!B94,NEGOCIAÇÕES!S:S)</f>
        <v>26</v>
      </c>
      <c r="E94" s="158">
        <f t="shared" si="2"/>
        <v>0.8125</v>
      </c>
      <c r="F94" s="156">
        <f>SUMIF(NEGOCIAÇÕES!D:D,REL_LIBERADAS!B94,NEGOCIAÇÕES!T:T)</f>
        <v>22</v>
      </c>
      <c r="G94" s="158">
        <f t="shared" si="3"/>
        <v>0.6875</v>
      </c>
    </row>
    <row r="95" spans="2:7" ht="31.95" customHeight="1" x14ac:dyDescent="0.3">
      <c r="B95" s="6" t="str">
        <f>CAD_CL!B95</f>
        <v>MG3 COMERCIAL</v>
      </c>
      <c r="C95" s="156">
        <f>SUMIF(NEGOCIAÇÕES!D:D,REL_LIBERADAS!B95,NEGOCIAÇÕES!Q:Q)</f>
        <v>2</v>
      </c>
      <c r="D95" s="156">
        <f>SUMIF(NEGOCIAÇÕES!D:D,REL_LIBERADAS!B95,NEGOCIAÇÕES!S:S)</f>
        <v>2</v>
      </c>
      <c r="E95" s="158">
        <f t="shared" si="2"/>
        <v>1</v>
      </c>
      <c r="F95" s="156">
        <f>SUMIF(NEGOCIAÇÕES!D:D,REL_LIBERADAS!B95,NEGOCIAÇÕES!T:T)</f>
        <v>2</v>
      </c>
      <c r="G95" s="158">
        <f t="shared" si="3"/>
        <v>1</v>
      </c>
    </row>
    <row r="96" spans="2:7" ht="31.95" customHeight="1" x14ac:dyDescent="0.3">
      <c r="B96" s="6" t="str">
        <f>CAD_CL!B96</f>
        <v>MJS COMERCIO E SERVIÇOS LTDA</v>
      </c>
      <c r="C96" s="156">
        <f>SUMIF(NEGOCIAÇÕES!D:D,REL_LIBERADAS!B96,NEGOCIAÇÕES!Q:Q)</f>
        <v>14</v>
      </c>
      <c r="D96" s="156">
        <f>SUMIF(NEGOCIAÇÕES!D:D,REL_LIBERADAS!B96,NEGOCIAÇÕES!S:S)</f>
        <v>14</v>
      </c>
      <c r="E96" s="158">
        <f t="shared" si="2"/>
        <v>1</v>
      </c>
      <c r="F96" s="156">
        <f>SUMIF(NEGOCIAÇÕES!D:D,REL_LIBERADAS!B96,NEGOCIAÇÕES!T:T)</f>
        <v>14</v>
      </c>
      <c r="G96" s="158">
        <f t="shared" si="3"/>
        <v>1</v>
      </c>
    </row>
    <row r="97" spans="2:7" ht="31.95" customHeight="1" x14ac:dyDescent="0.3">
      <c r="B97" s="6" t="str">
        <f>CAD_CL!B97</f>
        <v>MULTIAÇO COMÉRCIO DE FERRO E AÇO LTDA.</v>
      </c>
      <c r="C97" s="156">
        <f>SUMIF(NEGOCIAÇÕES!D:D,REL_LIBERADAS!B97,NEGOCIAÇÕES!Q:Q)</f>
        <v>0</v>
      </c>
      <c r="D97" s="156">
        <f>SUMIF(NEGOCIAÇÕES!D:D,REL_LIBERADAS!B97,NEGOCIAÇÕES!S:S)</f>
        <v>0</v>
      </c>
      <c r="E97" s="158">
        <f t="shared" si="2"/>
        <v>0</v>
      </c>
      <c r="F97" s="156">
        <f>SUMIF(NEGOCIAÇÕES!D:D,REL_LIBERADAS!B97,NEGOCIAÇÕES!T:T)</f>
        <v>0</v>
      </c>
      <c r="G97" s="158">
        <f t="shared" si="3"/>
        <v>0</v>
      </c>
    </row>
    <row r="98" spans="2:7" ht="31.95" customHeight="1" x14ac:dyDescent="0.3">
      <c r="B98" s="6" t="str">
        <f>CAD_CL!B98</f>
        <v>MN SERVICE ENGENHARIA LTDA</v>
      </c>
      <c r="C98" s="156">
        <f>SUMIF(NEGOCIAÇÕES!D:D,REL_LIBERADAS!B98,NEGOCIAÇÕES!Q:Q)</f>
        <v>1</v>
      </c>
      <c r="D98" s="156">
        <f>SUMIF(NEGOCIAÇÕES!D:D,REL_LIBERADAS!B98,NEGOCIAÇÕES!S:S)</f>
        <v>1</v>
      </c>
      <c r="E98" s="158">
        <f t="shared" si="2"/>
        <v>1</v>
      </c>
      <c r="F98" s="156">
        <f>SUMIF(NEGOCIAÇÕES!D:D,REL_LIBERADAS!B98,NEGOCIAÇÕES!T:T)</f>
        <v>1</v>
      </c>
      <c r="G98" s="158">
        <f t="shared" si="3"/>
        <v>1</v>
      </c>
    </row>
    <row r="99" spans="2:7" ht="31.95" customHeight="1" x14ac:dyDescent="0.3">
      <c r="B99" s="6" t="str">
        <f>CAD_CL!B99</f>
        <v>NOBRE DISTRIBUIDORA DE PRODUTOS METALICOS LTDA</v>
      </c>
      <c r="C99" s="156">
        <f>SUMIF(NEGOCIAÇÕES!D:D,REL_LIBERADAS!B99,NEGOCIAÇÕES!Q:Q)</f>
        <v>2</v>
      </c>
      <c r="D99" s="156">
        <f>SUMIF(NEGOCIAÇÕES!D:D,REL_LIBERADAS!B99,NEGOCIAÇÕES!S:S)</f>
        <v>2</v>
      </c>
      <c r="E99" s="158">
        <f t="shared" si="2"/>
        <v>1</v>
      </c>
      <c r="F99" s="156">
        <f>SUMIF(NEGOCIAÇÕES!D:D,REL_LIBERADAS!B99,NEGOCIAÇÕES!T:T)</f>
        <v>2</v>
      </c>
      <c r="G99" s="158">
        <f t="shared" si="3"/>
        <v>1</v>
      </c>
    </row>
    <row r="100" spans="2:7" ht="31.95" customHeight="1" x14ac:dyDescent="0.3">
      <c r="B100" s="6" t="str">
        <f>CAD_CL!B100</f>
        <v>NOVA SUPPLY COMERCIAL LTDA</v>
      </c>
      <c r="C100" s="156">
        <f>SUMIF(NEGOCIAÇÕES!D:D,REL_LIBERADAS!B100,NEGOCIAÇÕES!Q:Q)</f>
        <v>69</v>
      </c>
      <c r="D100" s="156">
        <f>SUMIF(NEGOCIAÇÕES!D:D,REL_LIBERADAS!B100,NEGOCIAÇÕES!S:S)</f>
        <v>69</v>
      </c>
      <c r="E100" s="158">
        <f t="shared" si="2"/>
        <v>1</v>
      </c>
      <c r="F100" s="156">
        <f>SUMIF(NEGOCIAÇÕES!D:D,REL_LIBERADAS!B100,NEGOCIAÇÕES!T:T)</f>
        <v>69</v>
      </c>
      <c r="G100" s="158">
        <f t="shared" si="3"/>
        <v>1</v>
      </c>
    </row>
    <row r="101" spans="2:7" ht="31.95" customHeight="1" x14ac:dyDescent="0.3">
      <c r="B101" s="6" t="str">
        <f>CAD_CL!B101</f>
        <v>NOVALLOY INDUSTRIA COMERCIO DE AÇOS E LIGAS ESPECIAIS LTDA</v>
      </c>
      <c r="C101" s="156">
        <f>SUMIF(NEGOCIAÇÕES!D:D,REL_LIBERADAS!B101,NEGOCIAÇÕES!Q:Q)</f>
        <v>3</v>
      </c>
      <c r="D101" s="156">
        <f>SUMIF(NEGOCIAÇÕES!D:D,REL_LIBERADAS!B101,NEGOCIAÇÕES!S:S)</f>
        <v>3</v>
      </c>
      <c r="E101" s="158">
        <f t="shared" si="2"/>
        <v>1</v>
      </c>
      <c r="F101" s="156">
        <f>SUMIF(NEGOCIAÇÕES!D:D,REL_LIBERADAS!B101,NEGOCIAÇÕES!T:T)</f>
        <v>3</v>
      </c>
      <c r="G101" s="158">
        <f t="shared" si="3"/>
        <v>1</v>
      </c>
    </row>
    <row r="102" spans="2:7" ht="31.95" customHeight="1" x14ac:dyDescent="0.3">
      <c r="B102" s="6" t="str">
        <f>CAD_CL!B102</f>
        <v>NOVO MUNDO VEDAÇÕES LTDA</v>
      </c>
      <c r="C102" s="156">
        <f>SUMIF(NEGOCIAÇÕES!D:D,REL_LIBERADAS!B102,NEGOCIAÇÕES!Q:Q)</f>
        <v>81</v>
      </c>
      <c r="D102" s="156">
        <f>SUMIF(NEGOCIAÇÕES!D:D,REL_LIBERADAS!B102,NEGOCIAÇÕES!S:S)</f>
        <v>78</v>
      </c>
      <c r="E102" s="158">
        <f t="shared" si="2"/>
        <v>0.96296296296296291</v>
      </c>
      <c r="F102" s="156">
        <f>SUMIF(NEGOCIAÇÕES!D:D,REL_LIBERADAS!B102,NEGOCIAÇÕES!T:T)</f>
        <v>78</v>
      </c>
      <c r="G102" s="158">
        <f t="shared" si="3"/>
        <v>0.96296296296296291</v>
      </c>
    </row>
    <row r="103" spans="2:7" ht="31.95" customHeight="1" x14ac:dyDescent="0.3">
      <c r="B103" s="6" t="str">
        <f>CAD_CL!B103</f>
        <v>NOXI QUÍMICA LTDA</v>
      </c>
      <c r="C103" s="156">
        <f>SUMIF(NEGOCIAÇÕES!D:D,REL_LIBERADAS!B103,NEGOCIAÇÕES!Q:Q)</f>
        <v>0</v>
      </c>
      <c r="D103" s="156">
        <f>SUMIF(NEGOCIAÇÕES!D:D,REL_LIBERADAS!B103,NEGOCIAÇÕES!S:S)</f>
        <v>0</v>
      </c>
      <c r="E103" s="158">
        <f t="shared" si="2"/>
        <v>0</v>
      </c>
      <c r="F103" s="156">
        <f>SUMIF(NEGOCIAÇÕES!D:D,REL_LIBERADAS!B103,NEGOCIAÇÕES!T:T)</f>
        <v>0</v>
      </c>
      <c r="G103" s="158">
        <f t="shared" si="3"/>
        <v>0</v>
      </c>
    </row>
    <row r="104" spans="2:7" ht="31.95" customHeight="1" x14ac:dyDescent="0.3">
      <c r="B104" s="6" t="str">
        <f>CAD_CL!B104</f>
        <v>OX-FER IND. E COM. DE FERRO E ACO</v>
      </c>
      <c r="C104" s="156">
        <f>SUMIF(NEGOCIAÇÕES!D:D,REL_LIBERADAS!B104,NEGOCIAÇÕES!Q:Q)</f>
        <v>2</v>
      </c>
      <c r="D104" s="156">
        <f>SUMIF(NEGOCIAÇÕES!D:D,REL_LIBERADAS!B104,NEGOCIAÇÕES!S:S)</f>
        <v>2</v>
      </c>
      <c r="E104" s="158">
        <f t="shared" si="2"/>
        <v>1</v>
      </c>
      <c r="F104" s="156">
        <f>SUMIF(NEGOCIAÇÕES!D:D,REL_LIBERADAS!B104,NEGOCIAÇÕES!T:T)</f>
        <v>2</v>
      </c>
      <c r="G104" s="158">
        <f t="shared" si="3"/>
        <v>1</v>
      </c>
    </row>
    <row r="105" spans="2:7" ht="31.95" customHeight="1" x14ac:dyDescent="0.3">
      <c r="B105" s="6" t="str">
        <f>CAD_CL!B105</f>
        <v>PAFER COMÉRCIO E REPRESENTAÇÕES LTDA</v>
      </c>
      <c r="C105" s="156">
        <f>SUMIF(NEGOCIAÇÕES!D:D,REL_LIBERADAS!B105,NEGOCIAÇÕES!Q:Q)</f>
        <v>149</v>
      </c>
      <c r="D105" s="156">
        <f>SUMIF(NEGOCIAÇÕES!D:D,REL_LIBERADAS!B105,NEGOCIAÇÕES!S:S)</f>
        <v>138</v>
      </c>
      <c r="E105" s="158">
        <f t="shared" si="2"/>
        <v>0.9261744966442953</v>
      </c>
      <c r="F105" s="156">
        <f>SUMIF(NEGOCIAÇÕES!D:D,REL_LIBERADAS!B105,NEGOCIAÇÕES!T:T)</f>
        <v>136</v>
      </c>
      <c r="G105" s="158">
        <f t="shared" si="3"/>
        <v>0.91275167785234901</v>
      </c>
    </row>
    <row r="106" spans="2:7" ht="31.95" customHeight="1" x14ac:dyDescent="0.3">
      <c r="B106" s="6" t="str">
        <f>CAD_CL!B106</f>
        <v>PARAFUSOS UNC COMERCIAL E INDUSTRIAL LTDA.</v>
      </c>
      <c r="C106" s="156">
        <f>SUMIF(NEGOCIAÇÕES!D:D,REL_LIBERADAS!B106,NEGOCIAÇÕES!Q:Q)</f>
        <v>1</v>
      </c>
      <c r="D106" s="156">
        <f>SUMIF(NEGOCIAÇÕES!D:D,REL_LIBERADAS!B106,NEGOCIAÇÕES!S:S)</f>
        <v>1</v>
      </c>
      <c r="E106" s="158">
        <f t="shared" si="2"/>
        <v>1</v>
      </c>
      <c r="F106" s="156">
        <f>SUMIF(NEGOCIAÇÕES!D:D,REL_LIBERADAS!B106,NEGOCIAÇÕES!T:T)</f>
        <v>1</v>
      </c>
      <c r="G106" s="158">
        <f t="shared" si="3"/>
        <v>1</v>
      </c>
    </row>
    <row r="107" spans="2:7" ht="31.95" customHeight="1" x14ac:dyDescent="0.3">
      <c r="B107" s="6" t="str">
        <f>CAD_CL!B107</f>
        <v>PAULO ROBERTO VICTORINO – ME (TERINOX)</v>
      </c>
      <c r="C107" s="156">
        <f>SUMIF(NEGOCIAÇÕES!D:D,REL_LIBERADAS!B107,NEGOCIAÇÕES!Q:Q)</f>
        <v>0</v>
      </c>
      <c r="D107" s="156">
        <f>SUMIF(NEGOCIAÇÕES!D:D,REL_LIBERADAS!B107,NEGOCIAÇÕES!S:S)</f>
        <v>0</v>
      </c>
      <c r="E107" s="158">
        <f t="shared" si="2"/>
        <v>0</v>
      </c>
      <c r="F107" s="156">
        <f>SUMIF(NEGOCIAÇÕES!D:D,REL_LIBERADAS!B107,NEGOCIAÇÕES!T:T)</f>
        <v>0</v>
      </c>
      <c r="G107" s="158">
        <f t="shared" si="3"/>
        <v>0</v>
      </c>
    </row>
    <row r="108" spans="2:7" ht="31.95" customHeight="1" x14ac:dyDescent="0.3">
      <c r="B108" s="6" t="str">
        <f>CAD_CL!B108</f>
        <v>POLIFIX ENGENHARIA MONTAGEM INDÚSTRIA E COMÉRCIO EI</v>
      </c>
      <c r="C108" s="156">
        <f>SUMIF(NEGOCIAÇÕES!D:D,REL_LIBERADAS!B108,NEGOCIAÇÕES!Q:Q)</f>
        <v>0</v>
      </c>
      <c r="D108" s="156">
        <f>SUMIF(NEGOCIAÇÕES!D:D,REL_LIBERADAS!B108,NEGOCIAÇÕES!S:S)</f>
        <v>0</v>
      </c>
      <c r="E108" s="158">
        <f t="shared" si="2"/>
        <v>0</v>
      </c>
      <c r="F108" s="156">
        <f>SUMIF(NEGOCIAÇÕES!D:D,REL_LIBERADAS!B108,NEGOCIAÇÕES!T:T)</f>
        <v>0</v>
      </c>
      <c r="G108" s="158">
        <f t="shared" si="3"/>
        <v>0</v>
      </c>
    </row>
    <row r="109" spans="2:7" ht="31.95" customHeight="1" x14ac:dyDescent="0.3">
      <c r="B109" s="6" t="str">
        <f>CAD_CL!B109</f>
        <v>PORTELLA CABOS DE AÇO E SERVIÇOS EMPRESARIAIS EIRELI</v>
      </c>
      <c r="C109" s="156">
        <f>SUMIF(NEGOCIAÇÕES!D:D,REL_LIBERADAS!B109,NEGOCIAÇÕES!Q:Q)</f>
        <v>14</v>
      </c>
      <c r="D109" s="156">
        <f>SUMIF(NEGOCIAÇÕES!D:D,REL_LIBERADAS!B109,NEGOCIAÇÕES!S:S)</f>
        <v>14</v>
      </c>
      <c r="E109" s="158">
        <f t="shared" si="2"/>
        <v>1</v>
      </c>
      <c r="F109" s="156">
        <f>SUMIF(NEGOCIAÇÕES!D:D,REL_LIBERADAS!B109,NEGOCIAÇÕES!T:T)</f>
        <v>12</v>
      </c>
      <c r="G109" s="158">
        <f t="shared" si="3"/>
        <v>0.8571428571428571</v>
      </c>
    </row>
    <row r="110" spans="2:7" ht="31.95" customHeight="1" x14ac:dyDescent="0.3">
      <c r="B110" s="6" t="str">
        <f>CAD_CL!B110</f>
        <v>PRESSURE COMERCIAL LTDA</v>
      </c>
      <c r="C110" s="156">
        <f>SUMIF(NEGOCIAÇÕES!D:D,REL_LIBERADAS!B110,NEGOCIAÇÕES!Q:Q)</f>
        <v>0</v>
      </c>
      <c r="D110" s="156">
        <f>SUMIF(NEGOCIAÇÕES!D:D,REL_LIBERADAS!B110,NEGOCIAÇÕES!S:S)</f>
        <v>0</v>
      </c>
      <c r="E110" s="158">
        <f t="shared" si="2"/>
        <v>0</v>
      </c>
      <c r="F110" s="156">
        <f>SUMIF(NEGOCIAÇÕES!D:D,REL_LIBERADAS!B110,NEGOCIAÇÕES!T:T)</f>
        <v>0</v>
      </c>
      <c r="G110" s="158">
        <f t="shared" si="3"/>
        <v>0</v>
      </c>
    </row>
    <row r="111" spans="2:7" ht="31.95" customHeight="1" x14ac:dyDescent="0.3">
      <c r="B111" s="6" t="str">
        <f>CAD_CL!B111</f>
        <v xml:space="preserve">Project Indústria e Comércio de Grades e Elementos Metálicos Ltda. </v>
      </c>
      <c r="C111" s="156">
        <f>SUMIF(NEGOCIAÇÕES!D:D,REL_LIBERADAS!B111,NEGOCIAÇÕES!Q:Q)</f>
        <v>1</v>
      </c>
      <c r="D111" s="156">
        <f>SUMIF(NEGOCIAÇÕES!D:D,REL_LIBERADAS!B111,NEGOCIAÇÕES!S:S)</f>
        <v>1</v>
      </c>
      <c r="E111" s="158">
        <f t="shared" si="2"/>
        <v>1</v>
      </c>
      <c r="F111" s="156">
        <f>SUMIF(NEGOCIAÇÕES!D:D,REL_LIBERADAS!B111,NEGOCIAÇÕES!T:T)</f>
        <v>1</v>
      </c>
      <c r="G111" s="158">
        <f t="shared" si="3"/>
        <v>1</v>
      </c>
    </row>
    <row r="112" spans="2:7" ht="31.95" customHeight="1" x14ac:dyDescent="0.3">
      <c r="B112" s="6" t="str">
        <f>CAD_CL!B112</f>
        <v>Promar Tratamento Anticorrosivo Ltda</v>
      </c>
      <c r="C112" s="156">
        <f>SUMIF(NEGOCIAÇÕES!D:D,REL_LIBERADAS!B112,NEGOCIAÇÕES!Q:Q)</f>
        <v>1</v>
      </c>
      <c r="D112" s="156">
        <f>SUMIF(NEGOCIAÇÕES!D:D,REL_LIBERADAS!B112,NEGOCIAÇÕES!S:S)</f>
        <v>1</v>
      </c>
      <c r="E112" s="158">
        <f t="shared" si="2"/>
        <v>1</v>
      </c>
      <c r="F112" s="156">
        <f>SUMIF(NEGOCIAÇÕES!D:D,REL_LIBERADAS!B112,NEGOCIAÇÕES!T:T)</f>
        <v>1</v>
      </c>
      <c r="G112" s="158">
        <f t="shared" si="3"/>
        <v>1</v>
      </c>
    </row>
    <row r="113" spans="2:7" ht="31.95" customHeight="1" x14ac:dyDescent="0.3">
      <c r="B113" s="6" t="str">
        <f>CAD_CL!B113</f>
        <v>PROPER MARINE PROJETO, CONSULTORIA E SERVIÇOS DE ENGENHARIA</v>
      </c>
      <c r="C113" s="156">
        <f>SUMIF(NEGOCIAÇÕES!D:D,REL_LIBERADAS!B113,NEGOCIAÇÕES!Q:Q)</f>
        <v>0</v>
      </c>
      <c r="D113" s="156">
        <f>SUMIF(NEGOCIAÇÕES!D:D,REL_LIBERADAS!B113,NEGOCIAÇÕES!S:S)</f>
        <v>0</v>
      </c>
      <c r="E113" s="158">
        <f t="shared" si="2"/>
        <v>0</v>
      </c>
      <c r="F113" s="156">
        <f>SUMIF(NEGOCIAÇÕES!D:D,REL_LIBERADAS!B113,NEGOCIAÇÕES!T:T)</f>
        <v>0</v>
      </c>
      <c r="G113" s="158">
        <f t="shared" si="3"/>
        <v>0</v>
      </c>
    </row>
    <row r="114" spans="2:7" ht="31.95" customHeight="1" x14ac:dyDescent="0.3">
      <c r="B114" s="6" t="str">
        <f>CAD_CL!B114</f>
        <v>QUALITY FIX DO BRASIL INDUSTRIA, COMERCIO, IMPORTAÇÃO E EXPORTAÇÃO LTDA.</v>
      </c>
      <c r="C114" s="156">
        <f>SUMIF(NEGOCIAÇÕES!D:D,REL_LIBERADAS!B114,NEGOCIAÇÕES!Q:Q)</f>
        <v>1</v>
      </c>
      <c r="D114" s="156">
        <f>SUMIF(NEGOCIAÇÕES!D:D,REL_LIBERADAS!B114,NEGOCIAÇÕES!S:S)</f>
        <v>1</v>
      </c>
      <c r="E114" s="158">
        <f t="shared" si="2"/>
        <v>1</v>
      </c>
      <c r="F114" s="156">
        <f>SUMIF(NEGOCIAÇÕES!D:D,REL_LIBERADAS!B114,NEGOCIAÇÕES!T:T)</f>
        <v>1</v>
      </c>
      <c r="G114" s="158">
        <f t="shared" si="3"/>
        <v>1</v>
      </c>
    </row>
    <row r="115" spans="2:7" ht="31.95" customHeight="1" x14ac:dyDescent="0.3">
      <c r="B115" s="6" t="str">
        <f>CAD_CL!B115</f>
        <v>RAITZ RESENDE LTDA</v>
      </c>
      <c r="C115" s="156">
        <f>SUMIF(NEGOCIAÇÕES!D:D,REL_LIBERADAS!B115,NEGOCIAÇÕES!Q:Q)</f>
        <v>6</v>
      </c>
      <c r="D115" s="156">
        <f>SUMIF(NEGOCIAÇÕES!D:D,REL_LIBERADAS!B115,NEGOCIAÇÕES!S:S)</f>
        <v>6</v>
      </c>
      <c r="E115" s="158">
        <f t="shared" si="2"/>
        <v>1</v>
      </c>
      <c r="F115" s="156">
        <f>SUMIF(NEGOCIAÇÕES!D:D,REL_LIBERADAS!B115,NEGOCIAÇÕES!T:T)</f>
        <v>6</v>
      </c>
      <c r="G115" s="158">
        <f t="shared" si="3"/>
        <v>1</v>
      </c>
    </row>
    <row r="116" spans="2:7" ht="31.95" customHeight="1" x14ac:dyDescent="0.3">
      <c r="B116" s="6" t="str">
        <f>CAD_CL!B116</f>
        <v>RENAVI ENGENHARIA</v>
      </c>
      <c r="C116" s="156">
        <f>SUMIF(NEGOCIAÇÕES!D:D,REL_LIBERADAS!B116,NEGOCIAÇÕES!Q:Q)</f>
        <v>8</v>
      </c>
      <c r="D116" s="156">
        <f>SUMIF(NEGOCIAÇÕES!D:D,REL_LIBERADAS!B116,NEGOCIAÇÕES!S:S)</f>
        <v>6</v>
      </c>
      <c r="E116" s="158">
        <f t="shared" si="2"/>
        <v>0.75</v>
      </c>
      <c r="F116" s="156">
        <f>SUMIF(NEGOCIAÇÕES!D:D,REL_LIBERADAS!B116,NEGOCIAÇÕES!T:T)</f>
        <v>6</v>
      </c>
      <c r="G116" s="158">
        <f t="shared" si="3"/>
        <v>0.75</v>
      </c>
    </row>
    <row r="117" spans="2:7" ht="31.95" customHeight="1" x14ac:dyDescent="0.3">
      <c r="B117" s="6" t="str">
        <f>CAD_CL!B117</f>
        <v>Rental Parts do Brasil Ltda</v>
      </c>
      <c r="C117" s="156">
        <f>SUMIF(NEGOCIAÇÕES!D:D,REL_LIBERADAS!B117,NEGOCIAÇÕES!Q:Q)</f>
        <v>2</v>
      </c>
      <c r="D117" s="156">
        <f>SUMIF(NEGOCIAÇÕES!D:D,REL_LIBERADAS!B117,NEGOCIAÇÕES!S:S)</f>
        <v>2</v>
      </c>
      <c r="E117" s="158">
        <f t="shared" si="2"/>
        <v>1</v>
      </c>
      <c r="F117" s="156">
        <f>SUMIF(NEGOCIAÇÕES!D:D,REL_LIBERADAS!B117,NEGOCIAÇÕES!T:T)</f>
        <v>2</v>
      </c>
      <c r="G117" s="158">
        <f t="shared" si="3"/>
        <v>1</v>
      </c>
    </row>
    <row r="118" spans="2:7" ht="31.95" customHeight="1" x14ac:dyDescent="0.3">
      <c r="B118" s="6" t="str">
        <f>CAD_CL!B118</f>
        <v>RIO LAB NDT LTDA</v>
      </c>
      <c r="C118" s="156">
        <f>SUMIF(NEGOCIAÇÕES!D:D,REL_LIBERADAS!B118,NEGOCIAÇÕES!Q:Q)</f>
        <v>4</v>
      </c>
      <c r="D118" s="156">
        <f>SUMIF(NEGOCIAÇÕES!D:D,REL_LIBERADAS!B118,NEGOCIAÇÕES!S:S)</f>
        <v>4</v>
      </c>
      <c r="E118" s="158">
        <f t="shared" si="2"/>
        <v>1</v>
      </c>
      <c r="F118" s="156">
        <f>SUMIF(NEGOCIAÇÕES!D:D,REL_LIBERADAS!B118,NEGOCIAÇÕES!T:T)</f>
        <v>4</v>
      </c>
      <c r="G118" s="158">
        <f t="shared" si="3"/>
        <v>1</v>
      </c>
    </row>
    <row r="119" spans="2:7" ht="31.95" customHeight="1" x14ac:dyDescent="0.3">
      <c r="B119" s="6" t="str">
        <f>CAD_CL!B119</f>
        <v>RIO SUPERCORTE FERRO E AÇO LTDA.</v>
      </c>
      <c r="C119" s="156">
        <f>SUMIF(NEGOCIAÇÕES!D:D,REL_LIBERADAS!B119,NEGOCIAÇÕES!Q:Q)</f>
        <v>3</v>
      </c>
      <c r="D119" s="156">
        <f>SUMIF(NEGOCIAÇÕES!D:D,REL_LIBERADAS!B119,NEGOCIAÇÕES!S:S)</f>
        <v>3</v>
      </c>
      <c r="E119" s="158">
        <f t="shared" si="2"/>
        <v>1</v>
      </c>
      <c r="F119" s="156">
        <f>SUMIF(NEGOCIAÇÕES!D:D,REL_LIBERADAS!B119,NEGOCIAÇÕES!T:T)</f>
        <v>3</v>
      </c>
      <c r="G119" s="158">
        <f t="shared" si="3"/>
        <v>1</v>
      </c>
    </row>
    <row r="120" spans="2:7" ht="31.95" customHeight="1" x14ac:dyDescent="0.3">
      <c r="B120" s="6" t="str">
        <f>CAD_CL!B120</f>
        <v xml:space="preserve">RJM COMERCIO E CONEXÕES EIRELI </v>
      </c>
      <c r="C120" s="156">
        <f>SUMIF(NEGOCIAÇÕES!D:D,REL_LIBERADAS!B120,NEGOCIAÇÕES!Q:Q)</f>
        <v>66</v>
      </c>
      <c r="D120" s="156">
        <f>SUMIF(NEGOCIAÇÕES!D:D,REL_LIBERADAS!B120,NEGOCIAÇÕES!S:S)</f>
        <v>62</v>
      </c>
      <c r="E120" s="158">
        <f t="shared" si="2"/>
        <v>0.93939393939393945</v>
      </c>
      <c r="F120" s="156">
        <f>SUMIF(NEGOCIAÇÕES!D:D,REL_LIBERADAS!B120,NEGOCIAÇÕES!T:T)</f>
        <v>61</v>
      </c>
      <c r="G120" s="158">
        <f t="shared" si="3"/>
        <v>0.9242424242424242</v>
      </c>
    </row>
    <row r="121" spans="2:7" ht="31.95" customHeight="1" x14ac:dyDescent="0.3">
      <c r="B121" s="6" t="str">
        <f>CAD_CL!B121</f>
        <v>RMT Aços Especiais Ltda - Cavallo Aço</v>
      </c>
      <c r="C121" s="156">
        <f>SUMIF(NEGOCIAÇÕES!D:D,REL_LIBERADAS!B121,NEGOCIAÇÕES!Q:Q)</f>
        <v>1</v>
      </c>
      <c r="D121" s="156">
        <f>SUMIF(NEGOCIAÇÕES!D:D,REL_LIBERADAS!B121,NEGOCIAÇÕES!S:S)</f>
        <v>1</v>
      </c>
      <c r="E121" s="158">
        <f t="shared" si="2"/>
        <v>1</v>
      </c>
      <c r="F121" s="156">
        <f>SUMIF(NEGOCIAÇÕES!D:D,REL_LIBERADAS!B121,NEGOCIAÇÕES!T:T)</f>
        <v>1</v>
      </c>
      <c r="G121" s="158">
        <f t="shared" si="3"/>
        <v>1</v>
      </c>
    </row>
    <row r="122" spans="2:7" ht="31.95" customHeight="1" x14ac:dyDescent="0.3">
      <c r="B122" s="6" t="str">
        <f>CAD_CL!B122</f>
        <v>ROBUSTA GRADES IND. COM. DE ESTRUTURAS E ARTEFATOS METÁLICOS EIRELI</v>
      </c>
      <c r="C122" s="156">
        <f>SUMIF(NEGOCIAÇÕES!D:D,REL_LIBERADAS!B122,NEGOCIAÇÕES!Q:Q)</f>
        <v>2</v>
      </c>
      <c r="D122" s="156">
        <f>SUMIF(NEGOCIAÇÕES!D:D,REL_LIBERADAS!B122,NEGOCIAÇÕES!S:S)</f>
        <v>2</v>
      </c>
      <c r="E122" s="158">
        <f t="shared" si="2"/>
        <v>1</v>
      </c>
      <c r="F122" s="156">
        <f>SUMIF(NEGOCIAÇÕES!D:D,REL_LIBERADAS!B122,NEGOCIAÇÕES!T:T)</f>
        <v>2</v>
      </c>
      <c r="G122" s="158">
        <f t="shared" si="3"/>
        <v>1</v>
      </c>
    </row>
    <row r="123" spans="2:7" ht="31.95" customHeight="1" x14ac:dyDescent="0.3">
      <c r="B123" s="6" t="str">
        <f>CAD_CL!B123</f>
        <v>RODOMAC DE MACAÉ RODOVIÁRIO LTDA</v>
      </c>
      <c r="C123" s="156">
        <f>SUMIF(NEGOCIAÇÕES!D:D,REL_LIBERADAS!B123,NEGOCIAÇÕES!Q:Q)</f>
        <v>1</v>
      </c>
      <c r="D123" s="156">
        <f>SUMIF(NEGOCIAÇÕES!D:D,REL_LIBERADAS!B123,NEGOCIAÇÕES!S:S)</f>
        <v>1</v>
      </c>
      <c r="E123" s="158">
        <f t="shared" si="2"/>
        <v>1</v>
      </c>
      <c r="F123" s="156">
        <f>SUMIF(NEGOCIAÇÕES!D:D,REL_LIBERADAS!B123,NEGOCIAÇÕES!T:T)</f>
        <v>1</v>
      </c>
      <c r="G123" s="158">
        <f t="shared" si="3"/>
        <v>1</v>
      </c>
    </row>
    <row r="124" spans="2:7" ht="31.95" customHeight="1" x14ac:dyDescent="0.3">
      <c r="B124" s="6" t="str">
        <f>CAD_CL!B124</f>
        <v>ROXTEC LATIN AMÉRICA LTDA</v>
      </c>
      <c r="C124" s="156">
        <f>SUMIF(NEGOCIAÇÕES!D:D,REL_LIBERADAS!B124,NEGOCIAÇÕES!Q:Q)</f>
        <v>1</v>
      </c>
      <c r="D124" s="156">
        <f>SUMIF(NEGOCIAÇÕES!D:D,REL_LIBERADAS!B124,NEGOCIAÇÕES!S:S)</f>
        <v>1</v>
      </c>
      <c r="E124" s="158">
        <f t="shared" si="2"/>
        <v>1</v>
      </c>
      <c r="F124" s="156">
        <f>SUMIF(NEGOCIAÇÕES!D:D,REL_LIBERADAS!B124,NEGOCIAÇÕES!T:T)</f>
        <v>1</v>
      </c>
      <c r="G124" s="158">
        <f t="shared" si="3"/>
        <v>1</v>
      </c>
    </row>
    <row r="125" spans="2:7" ht="31.95" customHeight="1" x14ac:dyDescent="0.3">
      <c r="B125" s="6" t="str">
        <f>CAD_CL!B125</f>
        <v>SAFE-TEC EQUIPAMENTOS DE SEGURANÇA LTDA. - EPP</v>
      </c>
      <c r="C125" s="156">
        <f>SUMIF(NEGOCIAÇÕES!D:D,REL_LIBERADAS!B125,NEGOCIAÇÕES!Q:Q)</f>
        <v>1</v>
      </c>
      <c r="D125" s="156">
        <f>SUMIF(NEGOCIAÇÕES!D:D,REL_LIBERADAS!B125,NEGOCIAÇÕES!S:S)</f>
        <v>1</v>
      </c>
      <c r="E125" s="158">
        <f t="shared" si="2"/>
        <v>1</v>
      </c>
      <c r="F125" s="156">
        <f>SUMIF(NEGOCIAÇÕES!D:D,REL_LIBERADAS!B125,NEGOCIAÇÕES!T:T)</f>
        <v>1</v>
      </c>
      <c r="G125" s="158">
        <f t="shared" si="3"/>
        <v>1</v>
      </c>
    </row>
    <row r="126" spans="2:7" ht="31.95" customHeight="1" x14ac:dyDescent="0.3">
      <c r="B126" s="6" t="str">
        <f>CAD_CL!B126</f>
        <v>SEAFER COMERCIAL LTDA.</v>
      </c>
      <c r="C126" s="156">
        <f>SUMIF(NEGOCIAÇÕES!D:D,REL_LIBERADAS!B126,NEGOCIAÇÕES!Q:Q)</f>
        <v>1</v>
      </c>
      <c r="D126" s="156">
        <f>SUMIF(NEGOCIAÇÕES!D:D,REL_LIBERADAS!B126,NEGOCIAÇÕES!S:S)</f>
        <v>1</v>
      </c>
      <c r="E126" s="158">
        <f t="shared" si="2"/>
        <v>1</v>
      </c>
      <c r="F126" s="156">
        <f>SUMIF(NEGOCIAÇÕES!D:D,REL_LIBERADAS!B126,NEGOCIAÇÕES!T:T)</f>
        <v>1</v>
      </c>
      <c r="G126" s="158">
        <f t="shared" si="3"/>
        <v>1</v>
      </c>
    </row>
    <row r="127" spans="2:7" ht="31.95" customHeight="1" x14ac:dyDescent="0.3">
      <c r="B127" s="6" t="str">
        <f>CAD_CL!B127</f>
        <v>SEAFIX DO BRASIL SOCIEDADE UNIPESSOAL LTDA.</v>
      </c>
      <c r="C127" s="156">
        <f>SUMIF(NEGOCIAÇÕES!D:D,REL_LIBERADAS!B127,NEGOCIAÇÕES!Q:Q)</f>
        <v>1</v>
      </c>
      <c r="D127" s="156">
        <f>SUMIF(NEGOCIAÇÕES!D:D,REL_LIBERADAS!B127,NEGOCIAÇÕES!S:S)</f>
        <v>1</v>
      </c>
      <c r="E127" s="158">
        <f t="shared" si="2"/>
        <v>1</v>
      </c>
      <c r="F127" s="156">
        <f>SUMIF(NEGOCIAÇÕES!D:D,REL_LIBERADAS!B127,NEGOCIAÇÕES!T:T)</f>
        <v>1</v>
      </c>
      <c r="G127" s="158">
        <f t="shared" si="3"/>
        <v>1</v>
      </c>
    </row>
    <row r="128" spans="2:7" ht="31.95" customHeight="1" x14ac:dyDescent="0.3">
      <c r="B128" s="6" t="str">
        <f>CAD_CL!B128</f>
        <v>SERFER COMERCIO E INDUSTRIA DE FERRO E AÇO LTDA</v>
      </c>
      <c r="C128" s="156">
        <f>SUMIF(NEGOCIAÇÕES!D:D,REL_LIBERADAS!B128,NEGOCIAÇÕES!Q:Q)</f>
        <v>7</v>
      </c>
      <c r="D128" s="156">
        <f>SUMIF(NEGOCIAÇÕES!D:D,REL_LIBERADAS!B128,NEGOCIAÇÕES!S:S)</f>
        <v>7</v>
      </c>
      <c r="E128" s="158">
        <f t="shared" si="2"/>
        <v>1</v>
      </c>
      <c r="F128" s="156">
        <f>SUMIF(NEGOCIAÇÕES!D:D,REL_LIBERADAS!B128,NEGOCIAÇÕES!T:T)</f>
        <v>7</v>
      </c>
      <c r="G128" s="158">
        <f t="shared" si="3"/>
        <v>1</v>
      </c>
    </row>
    <row r="129" spans="2:7" ht="31.95" customHeight="1" x14ac:dyDescent="0.3">
      <c r="B129" s="6" t="str">
        <f>CAD_CL!B129</f>
        <v>SERVIÇOS REPAROS NAVAIS LTDA</v>
      </c>
      <c r="C129" s="156">
        <f>SUMIF(NEGOCIAÇÕES!D:D,REL_LIBERADAS!B129,NEGOCIAÇÕES!Q:Q)</f>
        <v>1</v>
      </c>
      <c r="D129" s="156">
        <f>SUMIF(NEGOCIAÇÕES!D:D,REL_LIBERADAS!B129,NEGOCIAÇÕES!S:S)</f>
        <v>1</v>
      </c>
      <c r="E129" s="158">
        <f t="shared" si="2"/>
        <v>1</v>
      </c>
      <c r="F129" s="156">
        <f>SUMIF(NEGOCIAÇÕES!D:D,REL_LIBERADAS!B129,NEGOCIAÇÕES!T:T)</f>
        <v>1</v>
      </c>
      <c r="G129" s="158">
        <f t="shared" si="3"/>
        <v>1</v>
      </c>
    </row>
    <row r="130" spans="2:7" ht="31.95" customHeight="1" x14ac:dyDescent="0.3">
      <c r="B130" s="6" t="str">
        <f>CAD_CL!B130</f>
        <v>SFFAL SOCIEDADE FABRICADORA DE FIXADORES E AFINS LTDA</v>
      </c>
      <c r="C130" s="156">
        <f>SUMIF(NEGOCIAÇÕES!D:D,REL_LIBERADAS!B130,NEGOCIAÇÕES!Q:Q)</f>
        <v>5</v>
      </c>
      <c r="D130" s="156">
        <f>SUMIF(NEGOCIAÇÕES!D:D,REL_LIBERADAS!B130,NEGOCIAÇÕES!S:S)</f>
        <v>5</v>
      </c>
      <c r="E130" s="158">
        <f t="shared" si="2"/>
        <v>1</v>
      </c>
      <c r="F130" s="156">
        <f>SUMIF(NEGOCIAÇÕES!D:D,REL_LIBERADAS!B130,NEGOCIAÇÕES!T:T)</f>
        <v>5</v>
      </c>
      <c r="G130" s="158">
        <f t="shared" si="3"/>
        <v>1</v>
      </c>
    </row>
    <row r="131" spans="2:7" ht="31.95" customHeight="1" x14ac:dyDescent="0.3">
      <c r="B131" s="6" t="str">
        <f>CAD_CL!B131</f>
        <v>SHUTTLE LOGISTICA INTEGRADA LTDA.</v>
      </c>
      <c r="C131" s="156">
        <f>SUMIF(NEGOCIAÇÕES!D:D,REL_LIBERADAS!B131,NEGOCIAÇÕES!Q:Q)</f>
        <v>1</v>
      </c>
      <c r="D131" s="156">
        <f>SUMIF(NEGOCIAÇÕES!D:D,REL_LIBERADAS!B131,NEGOCIAÇÕES!S:S)</f>
        <v>1</v>
      </c>
      <c r="E131" s="158">
        <f t="shared" si="2"/>
        <v>1</v>
      </c>
      <c r="F131" s="156">
        <f>SUMIF(NEGOCIAÇÕES!D:D,REL_LIBERADAS!B131,NEGOCIAÇÕES!T:T)</f>
        <v>1</v>
      </c>
      <c r="G131" s="158">
        <f t="shared" si="3"/>
        <v>1</v>
      </c>
    </row>
    <row r="132" spans="2:7" ht="31.95" customHeight="1" x14ac:dyDescent="0.3">
      <c r="B132" s="6" t="str">
        <f>CAD_CL!B132</f>
        <v>SIDERACO S.A.</v>
      </c>
      <c r="C132" s="156">
        <f>SUMIF(NEGOCIAÇÕES!D:D,REL_LIBERADAS!B132,NEGOCIAÇÕES!Q:Q)</f>
        <v>6</v>
      </c>
      <c r="D132" s="156">
        <f>SUMIF(NEGOCIAÇÕES!D:D,REL_LIBERADAS!B132,NEGOCIAÇÕES!S:S)</f>
        <v>6</v>
      </c>
      <c r="E132" s="158">
        <f t="shared" si="2"/>
        <v>1</v>
      </c>
      <c r="F132" s="156">
        <f>SUMIF(NEGOCIAÇÕES!D:D,REL_LIBERADAS!B132,NEGOCIAÇÕES!T:T)</f>
        <v>6</v>
      </c>
      <c r="G132" s="158">
        <f t="shared" si="3"/>
        <v>1</v>
      </c>
    </row>
    <row r="133" spans="2:7" ht="31.95" customHeight="1" x14ac:dyDescent="0.3">
      <c r="B133" s="6" t="str">
        <f>CAD_CL!B133</f>
        <v>SIENA JUNTAS INDUSTRIAIS EIRELI</v>
      </c>
      <c r="C133" s="156">
        <f>SUMIF(NEGOCIAÇÕES!D:D,REL_LIBERADAS!B133,NEGOCIAÇÕES!Q:Q)</f>
        <v>0</v>
      </c>
      <c r="D133" s="156">
        <f>SUMIF(NEGOCIAÇÕES!D:D,REL_LIBERADAS!B133,NEGOCIAÇÕES!S:S)</f>
        <v>0</v>
      </c>
      <c r="E133" s="158">
        <f t="shared" si="2"/>
        <v>0</v>
      </c>
      <c r="F133" s="156">
        <f>SUMIF(NEGOCIAÇÕES!D:D,REL_LIBERADAS!B133,NEGOCIAÇÕES!T:T)</f>
        <v>0</v>
      </c>
      <c r="G133" s="158">
        <f t="shared" si="3"/>
        <v>0</v>
      </c>
    </row>
    <row r="134" spans="2:7" ht="31.95" customHeight="1" x14ac:dyDescent="0.3">
      <c r="B134" s="6" t="str">
        <f>CAD_CL!B134</f>
        <v xml:space="preserve">SIENA VEDAÇÕES INDUSTRIAIS </v>
      </c>
      <c r="C134" s="156">
        <f>SUMIF(NEGOCIAÇÕES!D:D,REL_LIBERADAS!B134,NEGOCIAÇÕES!Q:Q)</f>
        <v>5</v>
      </c>
      <c r="D134" s="156">
        <f>SUMIF(NEGOCIAÇÕES!D:D,REL_LIBERADAS!B134,NEGOCIAÇÕES!S:S)</f>
        <v>5</v>
      </c>
      <c r="E134" s="158">
        <f t="shared" si="2"/>
        <v>1</v>
      </c>
      <c r="F134" s="156">
        <f>SUMIF(NEGOCIAÇÕES!D:D,REL_LIBERADAS!B134,NEGOCIAÇÕES!T:T)</f>
        <v>5</v>
      </c>
      <c r="G134" s="158">
        <f t="shared" si="3"/>
        <v>1</v>
      </c>
    </row>
    <row r="135" spans="2:7" ht="31.95" customHeight="1" x14ac:dyDescent="0.3">
      <c r="B135" s="6" t="str">
        <f>CAD_CL!B135</f>
        <v>SINTO BRASIL PRODUTOS LIMITADA</v>
      </c>
      <c r="C135" s="156">
        <f>SUMIF(NEGOCIAÇÕES!D:D,REL_LIBERADAS!B135,NEGOCIAÇÕES!Q:Q)</f>
        <v>2</v>
      </c>
      <c r="D135" s="156">
        <f>SUMIF(NEGOCIAÇÕES!D:D,REL_LIBERADAS!B135,NEGOCIAÇÕES!S:S)</f>
        <v>2</v>
      </c>
      <c r="E135" s="158">
        <f t="shared" si="2"/>
        <v>1</v>
      </c>
      <c r="F135" s="156">
        <f>SUMIF(NEGOCIAÇÕES!D:D,REL_LIBERADAS!B135,NEGOCIAÇÕES!T:T)</f>
        <v>2</v>
      </c>
      <c r="G135" s="158">
        <f t="shared" si="3"/>
        <v>1</v>
      </c>
    </row>
    <row r="136" spans="2:7" ht="31.95" customHeight="1" x14ac:dyDescent="0.3">
      <c r="B136" s="6" t="str">
        <f>CAD_CL!B136</f>
        <v>SOLDAS BRASIL COMERCIAL IMPORTADORA LTDA</v>
      </c>
      <c r="C136" s="156">
        <f>SUMIF(NEGOCIAÇÕES!D:D,REL_LIBERADAS!B136,NEGOCIAÇÕES!Q:Q)</f>
        <v>2</v>
      </c>
      <c r="D136" s="156">
        <f>SUMIF(NEGOCIAÇÕES!D:D,REL_LIBERADAS!B136,NEGOCIAÇÕES!S:S)</f>
        <v>2</v>
      </c>
      <c r="E136" s="158">
        <f t="shared" ref="E136:E199" si="4">IFERROR(D136/C136,0)</f>
        <v>1</v>
      </c>
      <c r="F136" s="156">
        <f>SUMIF(NEGOCIAÇÕES!D:D,REL_LIBERADAS!B136,NEGOCIAÇÕES!T:T)</f>
        <v>2</v>
      </c>
      <c r="G136" s="158">
        <f t="shared" ref="G136:G199" si="5">IFERROR(F136/C136,0)</f>
        <v>1</v>
      </c>
    </row>
    <row r="137" spans="2:7" ht="31.95" customHeight="1" x14ac:dyDescent="0.3">
      <c r="B137" s="6" t="str">
        <f>CAD_CL!B137</f>
        <v>Soluel Soluções Industriais Comercio De Produtos Intermediários Ltda</v>
      </c>
      <c r="C137" s="156">
        <f>SUMIF(NEGOCIAÇÕES!D:D,REL_LIBERADAS!B137,NEGOCIAÇÕES!Q:Q)</f>
        <v>1</v>
      </c>
      <c r="D137" s="156">
        <f>SUMIF(NEGOCIAÇÕES!D:D,REL_LIBERADAS!B137,NEGOCIAÇÕES!S:S)</f>
        <v>1</v>
      </c>
      <c r="E137" s="158">
        <f t="shared" si="4"/>
        <v>1</v>
      </c>
      <c r="F137" s="156">
        <f>SUMIF(NEGOCIAÇÕES!D:D,REL_LIBERADAS!B137,NEGOCIAÇÕES!T:T)</f>
        <v>1</v>
      </c>
      <c r="G137" s="158">
        <f t="shared" si="5"/>
        <v>1</v>
      </c>
    </row>
    <row r="138" spans="2:7" ht="31.95" customHeight="1" x14ac:dyDescent="0.3">
      <c r="B138" s="6" t="str">
        <f>CAD_CL!B138</f>
        <v>SPANSET DO BRASIL LTDA</v>
      </c>
      <c r="C138" s="156">
        <f>SUMIF(NEGOCIAÇÕES!D:D,REL_LIBERADAS!B138,NEGOCIAÇÕES!Q:Q)</f>
        <v>1</v>
      </c>
      <c r="D138" s="156">
        <f>SUMIF(NEGOCIAÇÕES!D:D,REL_LIBERADAS!B138,NEGOCIAÇÕES!S:S)</f>
        <v>1</v>
      </c>
      <c r="E138" s="158">
        <f t="shared" si="4"/>
        <v>1</v>
      </c>
      <c r="F138" s="156">
        <f>SUMIF(NEGOCIAÇÕES!D:D,REL_LIBERADAS!B138,NEGOCIAÇÕES!T:T)</f>
        <v>1</v>
      </c>
      <c r="G138" s="158">
        <f t="shared" si="5"/>
        <v>1</v>
      </c>
    </row>
    <row r="139" spans="2:7" ht="31.95" customHeight="1" x14ac:dyDescent="0.3">
      <c r="B139" s="6" t="str">
        <f>CAD_CL!B139</f>
        <v>STAUFF BRASIL LTDA.</v>
      </c>
      <c r="C139" s="156">
        <f>SUMIF(NEGOCIAÇÕES!D:D,REL_LIBERADAS!B139,NEGOCIAÇÕES!Q:Q)</f>
        <v>2</v>
      </c>
      <c r="D139" s="156">
        <f>SUMIF(NEGOCIAÇÕES!D:D,REL_LIBERADAS!B139,NEGOCIAÇÕES!S:S)</f>
        <v>2</v>
      </c>
      <c r="E139" s="158">
        <f t="shared" si="4"/>
        <v>1</v>
      </c>
      <c r="F139" s="156">
        <f>SUMIF(NEGOCIAÇÕES!D:D,REL_LIBERADAS!B139,NEGOCIAÇÕES!T:T)</f>
        <v>2</v>
      </c>
      <c r="G139" s="158">
        <f t="shared" si="5"/>
        <v>1</v>
      </c>
    </row>
    <row r="140" spans="2:7" ht="31.95" customHeight="1" x14ac:dyDescent="0.3">
      <c r="B140" s="6" t="str">
        <f>CAD_CL!B140</f>
        <v>SUB &amp; SUB ROUPAS DE MERGULHO EIRELI</v>
      </c>
      <c r="C140" s="156">
        <f>SUMIF(NEGOCIAÇÕES!D:D,REL_LIBERADAS!B140,NEGOCIAÇÕES!Q:Q)</f>
        <v>2</v>
      </c>
      <c r="D140" s="156">
        <f>SUMIF(NEGOCIAÇÕES!D:D,REL_LIBERADAS!B140,NEGOCIAÇÕES!S:S)</f>
        <v>2</v>
      </c>
      <c r="E140" s="158">
        <f t="shared" si="4"/>
        <v>1</v>
      </c>
      <c r="F140" s="156">
        <f>SUMIF(NEGOCIAÇÕES!D:D,REL_LIBERADAS!B140,NEGOCIAÇÕES!T:T)</f>
        <v>2</v>
      </c>
      <c r="G140" s="158">
        <f t="shared" si="5"/>
        <v>1</v>
      </c>
    </row>
    <row r="141" spans="2:7" ht="31.95" customHeight="1" x14ac:dyDescent="0.3">
      <c r="B141" s="6" t="str">
        <f>CAD_CL!B141</f>
        <v>SUPERALLOY - EDUARDO OLIVEIRA WILLIANS</v>
      </c>
      <c r="C141" s="156">
        <f>SUMIF(NEGOCIAÇÕES!D:D,REL_LIBERADAS!B141,NEGOCIAÇÕES!Q:Q)</f>
        <v>0</v>
      </c>
      <c r="D141" s="156">
        <f>SUMIF(NEGOCIAÇÕES!D:D,REL_LIBERADAS!B141,NEGOCIAÇÕES!S:S)</f>
        <v>0</v>
      </c>
      <c r="E141" s="158">
        <f t="shared" si="4"/>
        <v>0</v>
      </c>
      <c r="F141" s="156">
        <f>SUMIF(NEGOCIAÇÕES!D:D,REL_LIBERADAS!B141,NEGOCIAÇÕES!T:T)</f>
        <v>0</v>
      </c>
      <c r="G141" s="158">
        <f t="shared" si="5"/>
        <v>0</v>
      </c>
    </row>
    <row r="142" spans="2:7" ht="31.95" customHeight="1" x14ac:dyDescent="0.3">
      <c r="B142" s="6" t="str">
        <f>CAD_CL!B142</f>
        <v>SUPRINDO AMPARO INDUSTRIAL EIRELI</v>
      </c>
      <c r="C142" s="156">
        <f>SUMIF(NEGOCIAÇÕES!D:D,REL_LIBERADAS!B142,NEGOCIAÇÕES!Q:Q)</f>
        <v>1</v>
      </c>
      <c r="D142" s="156">
        <f>SUMIF(NEGOCIAÇÕES!D:D,REL_LIBERADAS!B142,NEGOCIAÇÕES!S:S)</f>
        <v>1</v>
      </c>
      <c r="E142" s="158">
        <f t="shared" si="4"/>
        <v>1</v>
      </c>
      <c r="F142" s="156">
        <f>SUMIF(NEGOCIAÇÕES!D:D,REL_LIBERADAS!B142,NEGOCIAÇÕES!T:T)</f>
        <v>1</v>
      </c>
      <c r="G142" s="158">
        <f t="shared" si="5"/>
        <v>1</v>
      </c>
    </row>
    <row r="143" spans="2:7" ht="31.95" customHeight="1" x14ac:dyDescent="0.3">
      <c r="B143" s="6" t="str">
        <f>CAD_CL!B143</f>
        <v>TAECO RIO COMÉRCIO DE TINTAS LTDA</v>
      </c>
      <c r="C143" s="156">
        <f>SUMIF(NEGOCIAÇÕES!D:D,REL_LIBERADAS!B143,NEGOCIAÇÕES!Q:Q)</f>
        <v>18</v>
      </c>
      <c r="D143" s="156">
        <f>SUMIF(NEGOCIAÇÕES!D:D,REL_LIBERADAS!B143,NEGOCIAÇÕES!S:S)</f>
        <v>17</v>
      </c>
      <c r="E143" s="158">
        <f t="shared" si="4"/>
        <v>0.94444444444444442</v>
      </c>
      <c r="F143" s="156">
        <f>SUMIF(NEGOCIAÇÕES!D:D,REL_LIBERADAS!B143,NEGOCIAÇÕES!T:T)</f>
        <v>17</v>
      </c>
      <c r="G143" s="158">
        <f t="shared" si="5"/>
        <v>0.94444444444444442</v>
      </c>
    </row>
    <row r="144" spans="2:7" ht="31.95" customHeight="1" x14ac:dyDescent="0.3">
      <c r="B144" s="6" t="str">
        <f>CAD_CL!B144</f>
        <v>TCA -TUBOS E CONEXÕES DE AÇO LTDA</v>
      </c>
      <c r="C144" s="156">
        <f>SUMIF(NEGOCIAÇÕES!D:D,REL_LIBERADAS!B144,NEGOCIAÇÕES!Q:Q)</f>
        <v>2</v>
      </c>
      <c r="D144" s="156">
        <f>SUMIF(NEGOCIAÇÕES!D:D,REL_LIBERADAS!B144,NEGOCIAÇÕES!S:S)</f>
        <v>2</v>
      </c>
      <c r="E144" s="158">
        <f t="shared" si="4"/>
        <v>1</v>
      </c>
      <c r="F144" s="156">
        <f>SUMIF(NEGOCIAÇÕES!D:D,REL_LIBERADAS!B144,NEGOCIAÇÕES!T:T)</f>
        <v>2</v>
      </c>
      <c r="G144" s="158">
        <f t="shared" si="5"/>
        <v>1</v>
      </c>
    </row>
    <row r="145" spans="2:7" ht="31.95" customHeight="1" x14ac:dyDescent="0.3">
      <c r="B145" s="6" t="str">
        <f>CAD_CL!B145</f>
        <v>TECFLUX LTDA.</v>
      </c>
      <c r="C145" s="156">
        <f>SUMIF(NEGOCIAÇÕES!D:D,REL_LIBERADAS!B145,NEGOCIAÇÕES!Q:Q)</f>
        <v>0</v>
      </c>
      <c r="D145" s="156">
        <f>SUMIF(NEGOCIAÇÕES!D:D,REL_LIBERADAS!B145,NEGOCIAÇÕES!S:S)</f>
        <v>0</v>
      </c>
      <c r="E145" s="158">
        <f t="shared" si="4"/>
        <v>0</v>
      </c>
      <c r="F145" s="156">
        <f>SUMIF(NEGOCIAÇÕES!D:D,REL_LIBERADAS!B145,NEGOCIAÇÕES!T:T)</f>
        <v>0</v>
      </c>
      <c r="G145" s="158">
        <f t="shared" si="5"/>
        <v>0</v>
      </c>
    </row>
    <row r="146" spans="2:7" ht="31.95" customHeight="1" x14ac:dyDescent="0.3">
      <c r="B146" s="6" t="str">
        <f>CAD_CL!B146</f>
        <v>TECNOGRAPH LTDA</v>
      </c>
      <c r="C146" s="156">
        <f>SUMIF(NEGOCIAÇÕES!D:D,REL_LIBERADAS!B146,NEGOCIAÇÕES!Q:Q)</f>
        <v>1</v>
      </c>
      <c r="D146" s="156">
        <f>SUMIF(NEGOCIAÇÕES!D:D,REL_LIBERADAS!B146,NEGOCIAÇÕES!S:S)</f>
        <v>1</v>
      </c>
      <c r="E146" s="158">
        <f t="shared" si="4"/>
        <v>1</v>
      </c>
      <c r="F146" s="156">
        <f>SUMIF(NEGOCIAÇÕES!D:D,REL_LIBERADAS!B146,NEGOCIAÇÕES!T:T)</f>
        <v>1</v>
      </c>
      <c r="G146" s="158">
        <f t="shared" si="5"/>
        <v>1</v>
      </c>
    </row>
    <row r="147" spans="2:7" ht="31.95" customHeight="1" x14ac:dyDescent="0.3">
      <c r="B147" s="6" t="str">
        <f>CAD_CL!B147</f>
        <v>TENAX ACO E FERRO MATRIZ</v>
      </c>
      <c r="C147" s="156">
        <f>SUMIF(NEGOCIAÇÕES!D:D,REL_LIBERADAS!B147,NEGOCIAÇÕES!Q:Q)</f>
        <v>53</v>
      </c>
      <c r="D147" s="156">
        <f>SUMIF(NEGOCIAÇÕES!D:D,REL_LIBERADAS!B147,NEGOCIAÇÕES!S:S)</f>
        <v>45</v>
      </c>
      <c r="E147" s="158">
        <f t="shared" si="4"/>
        <v>0.84905660377358494</v>
      </c>
      <c r="F147" s="156">
        <f>SUMIF(NEGOCIAÇÕES!D:D,REL_LIBERADAS!B147,NEGOCIAÇÕES!T:T)</f>
        <v>42</v>
      </c>
      <c r="G147" s="158">
        <f t="shared" si="5"/>
        <v>0.79245283018867929</v>
      </c>
    </row>
    <row r="148" spans="2:7" ht="31.95" customHeight="1" x14ac:dyDescent="0.3">
      <c r="B148" s="6" t="str">
        <f>CAD_CL!B148</f>
        <v>TERCONLIGAS ACESSÓRIOS INDUSTRIAIS LTDA</v>
      </c>
      <c r="C148" s="156">
        <f>SUMIF(NEGOCIAÇÕES!D:D,REL_LIBERADAS!B148,NEGOCIAÇÕES!Q:Q)</f>
        <v>0</v>
      </c>
      <c r="D148" s="156">
        <f>SUMIF(NEGOCIAÇÕES!D:D,REL_LIBERADAS!B148,NEGOCIAÇÕES!S:S)</f>
        <v>0</v>
      </c>
      <c r="E148" s="158">
        <f t="shared" si="4"/>
        <v>0</v>
      </c>
      <c r="F148" s="156">
        <f>SUMIF(NEGOCIAÇÕES!D:D,REL_LIBERADAS!B148,NEGOCIAÇÕES!T:T)</f>
        <v>0</v>
      </c>
      <c r="G148" s="158">
        <f t="shared" si="5"/>
        <v>0</v>
      </c>
    </row>
    <row r="149" spans="2:7" ht="31.95" customHeight="1" x14ac:dyDescent="0.3">
      <c r="B149" s="6" t="str">
        <f>CAD_CL!B149</f>
        <v xml:space="preserve">TFI DO BRASIL COMERCIAL E IMPORTADORA LTDA. </v>
      </c>
      <c r="C149" s="156">
        <f>SUMIF(NEGOCIAÇÕES!D:D,REL_LIBERADAS!B149,NEGOCIAÇÕES!Q:Q)</f>
        <v>0</v>
      </c>
      <c r="D149" s="156">
        <f>SUMIF(NEGOCIAÇÕES!D:D,REL_LIBERADAS!B149,NEGOCIAÇÕES!S:S)</f>
        <v>0</v>
      </c>
      <c r="E149" s="158">
        <f t="shared" si="4"/>
        <v>0</v>
      </c>
      <c r="F149" s="156">
        <f>SUMIF(NEGOCIAÇÕES!D:D,REL_LIBERADAS!B149,NEGOCIAÇÕES!T:T)</f>
        <v>0</v>
      </c>
      <c r="G149" s="158">
        <f t="shared" si="5"/>
        <v>0</v>
      </c>
    </row>
    <row r="150" spans="2:7" ht="31.95" customHeight="1" x14ac:dyDescent="0.3">
      <c r="B150" s="6" t="str">
        <f>CAD_CL!B150</f>
        <v>TGM ENGENHARIA DE INSPECAO INDUSTRIAL LTDA</v>
      </c>
      <c r="C150" s="156">
        <f>SUMIF(NEGOCIAÇÕES!D:D,REL_LIBERADAS!B150,NEGOCIAÇÕES!Q:Q)</f>
        <v>0</v>
      </c>
      <c r="D150" s="156">
        <f>SUMIF(NEGOCIAÇÕES!D:D,REL_LIBERADAS!B150,NEGOCIAÇÕES!S:S)</f>
        <v>0</v>
      </c>
      <c r="E150" s="158">
        <f t="shared" si="4"/>
        <v>0</v>
      </c>
      <c r="F150" s="156">
        <f>SUMIF(NEGOCIAÇÕES!D:D,REL_LIBERADAS!B150,NEGOCIAÇÕES!T:T)</f>
        <v>0</v>
      </c>
      <c r="G150" s="158">
        <f t="shared" si="5"/>
        <v>0</v>
      </c>
    </row>
    <row r="151" spans="2:7" ht="31.95" customHeight="1" x14ac:dyDescent="0.3">
      <c r="B151" s="6" t="str">
        <f>CAD_CL!B151</f>
        <v xml:space="preserve">TOGNI S/A MATERIAIS REFRATARIOS </v>
      </c>
      <c r="C151" s="156">
        <f>SUMIF(NEGOCIAÇÕES!D:D,REL_LIBERADAS!B151,NEGOCIAÇÕES!Q:Q)</f>
        <v>0</v>
      </c>
      <c r="D151" s="156">
        <f>SUMIF(NEGOCIAÇÕES!D:D,REL_LIBERADAS!B151,NEGOCIAÇÕES!S:S)</f>
        <v>0</v>
      </c>
      <c r="E151" s="158">
        <f t="shared" si="4"/>
        <v>0</v>
      </c>
      <c r="F151" s="156">
        <f>SUMIF(NEGOCIAÇÕES!D:D,REL_LIBERADAS!B151,NEGOCIAÇÕES!T:T)</f>
        <v>0</v>
      </c>
      <c r="G151" s="158">
        <f t="shared" si="5"/>
        <v>0</v>
      </c>
    </row>
    <row r="152" spans="2:7" ht="31.95" customHeight="1" x14ac:dyDescent="0.3">
      <c r="B152" s="6" t="str">
        <f>CAD_CL!B152</f>
        <v>TRANPOSRTE SANTA RITA LTDA</v>
      </c>
      <c r="C152" s="156">
        <f>SUMIF(NEGOCIAÇÕES!D:D,REL_LIBERADAS!B152,NEGOCIAÇÕES!Q:Q)</f>
        <v>0</v>
      </c>
      <c r="D152" s="156">
        <f>SUMIF(NEGOCIAÇÕES!D:D,REL_LIBERADAS!B152,NEGOCIAÇÕES!S:S)</f>
        <v>0</v>
      </c>
      <c r="E152" s="158">
        <f t="shared" si="4"/>
        <v>0</v>
      </c>
      <c r="F152" s="156">
        <f>SUMIF(NEGOCIAÇÕES!D:D,REL_LIBERADAS!B152,NEGOCIAÇÕES!T:T)</f>
        <v>0</v>
      </c>
      <c r="G152" s="158">
        <f t="shared" si="5"/>
        <v>0</v>
      </c>
    </row>
    <row r="153" spans="2:7" ht="31.95" customHeight="1" x14ac:dyDescent="0.3">
      <c r="B153" s="6" t="str">
        <f>CAD_CL!B153</f>
        <v>TRATAMENTO TÉRMICO DE AÇO E METAIS LTDA</v>
      </c>
      <c r="C153" s="156">
        <f>SUMIF(NEGOCIAÇÕES!D:D,REL_LIBERADAS!B153,NEGOCIAÇÕES!Q:Q)</f>
        <v>1</v>
      </c>
      <c r="D153" s="156">
        <f>SUMIF(NEGOCIAÇÕES!D:D,REL_LIBERADAS!B153,NEGOCIAÇÕES!S:S)</f>
        <v>1</v>
      </c>
      <c r="E153" s="158">
        <f t="shared" si="4"/>
        <v>1</v>
      </c>
      <c r="F153" s="156">
        <f>SUMIF(NEGOCIAÇÕES!D:D,REL_LIBERADAS!B153,NEGOCIAÇÕES!T:T)</f>
        <v>1</v>
      </c>
      <c r="G153" s="158">
        <f t="shared" si="5"/>
        <v>1</v>
      </c>
    </row>
    <row r="154" spans="2:7" ht="31.95" customHeight="1" x14ac:dyDescent="0.3">
      <c r="B154" s="6" t="str">
        <f>CAD_CL!B154</f>
        <v>TRIDIMENSIONAL LEKAS MEDIÇÕES LTDA</v>
      </c>
      <c r="C154" s="156">
        <f>SUMIF(NEGOCIAÇÕES!D:D,REL_LIBERADAS!B154,NEGOCIAÇÕES!Q:Q)</f>
        <v>0</v>
      </c>
      <c r="D154" s="156">
        <f>SUMIF(NEGOCIAÇÕES!D:D,REL_LIBERADAS!B154,NEGOCIAÇÕES!S:S)</f>
        <v>0</v>
      </c>
      <c r="E154" s="158">
        <f t="shared" si="4"/>
        <v>0</v>
      </c>
      <c r="F154" s="156">
        <f>SUMIF(NEGOCIAÇÕES!D:D,REL_LIBERADAS!B154,NEGOCIAÇÕES!T:T)</f>
        <v>0</v>
      </c>
      <c r="G154" s="158">
        <f t="shared" si="5"/>
        <v>0</v>
      </c>
    </row>
    <row r="155" spans="2:7" ht="31.95" customHeight="1" x14ac:dyDescent="0.3">
      <c r="B155" s="6" t="str">
        <f>CAD_CL!B155</f>
        <v>TRIZELL ASSESSORIA PLANEJAMENTO E EXECUCAO DE SERVICOS EIRELI</v>
      </c>
      <c r="C155" s="156">
        <f>SUMIF(NEGOCIAÇÕES!D:D,REL_LIBERADAS!B155,NEGOCIAÇÕES!Q:Q)</f>
        <v>36</v>
      </c>
      <c r="D155" s="156">
        <f>SUMIF(NEGOCIAÇÕES!D:D,REL_LIBERADAS!B155,NEGOCIAÇÕES!S:S)</f>
        <v>36</v>
      </c>
      <c r="E155" s="158">
        <f t="shared" si="4"/>
        <v>1</v>
      </c>
      <c r="F155" s="156">
        <f>SUMIF(NEGOCIAÇÕES!D:D,REL_LIBERADAS!B155,NEGOCIAÇÕES!T:T)</f>
        <v>36</v>
      </c>
      <c r="G155" s="158">
        <f t="shared" si="5"/>
        <v>1</v>
      </c>
    </row>
    <row r="156" spans="2:7" ht="31.95" customHeight="1" x14ac:dyDescent="0.3">
      <c r="B156" s="6" t="str">
        <f>CAD_CL!B156</f>
        <v>TUBOS OLIVEIRA LTDA.</v>
      </c>
      <c r="C156" s="156">
        <f>SUMIF(NEGOCIAÇÕES!D:D,REL_LIBERADAS!B156,NEGOCIAÇÕES!Q:Q)</f>
        <v>3</v>
      </c>
      <c r="D156" s="156">
        <f>SUMIF(NEGOCIAÇÕES!D:D,REL_LIBERADAS!B156,NEGOCIAÇÕES!S:S)</f>
        <v>3</v>
      </c>
      <c r="E156" s="158">
        <f t="shared" si="4"/>
        <v>1</v>
      </c>
      <c r="F156" s="156">
        <f>SUMIF(NEGOCIAÇÕES!D:D,REL_LIBERADAS!B156,NEGOCIAÇÕES!T:T)</f>
        <v>3</v>
      </c>
      <c r="G156" s="158">
        <f t="shared" si="5"/>
        <v>1</v>
      </c>
    </row>
    <row r="157" spans="2:7" ht="31.95" customHeight="1" x14ac:dyDescent="0.3">
      <c r="B157" s="6" t="str">
        <f>CAD_CL!B157</f>
        <v>VEDATEC COMÉRCIO DE VEDAÇÕES LTDA</v>
      </c>
      <c r="C157" s="156">
        <f>SUMIF(NEGOCIAÇÕES!D:D,REL_LIBERADAS!B157,NEGOCIAÇÕES!Q:Q)</f>
        <v>2</v>
      </c>
      <c r="D157" s="156">
        <f>SUMIF(NEGOCIAÇÕES!D:D,REL_LIBERADAS!B157,NEGOCIAÇÕES!S:S)</f>
        <v>2</v>
      </c>
      <c r="E157" s="158">
        <f t="shared" si="4"/>
        <v>1</v>
      </c>
      <c r="F157" s="156">
        <f>SUMIF(NEGOCIAÇÕES!D:D,REL_LIBERADAS!B157,NEGOCIAÇÕES!T:T)</f>
        <v>2</v>
      </c>
      <c r="G157" s="158">
        <f t="shared" si="5"/>
        <v>1</v>
      </c>
    </row>
    <row r="158" spans="2:7" ht="31.95" customHeight="1" x14ac:dyDescent="0.3">
      <c r="B158" s="6" t="str">
        <f>CAD_CL!B158</f>
        <v>VIDRAK VISORES DE VIDROS INDUSTRIAIS</v>
      </c>
      <c r="C158" s="156">
        <f>SUMIF(NEGOCIAÇÕES!D:D,REL_LIBERADAS!B158,NEGOCIAÇÕES!Q:Q)</f>
        <v>1</v>
      </c>
      <c r="D158" s="156">
        <f>SUMIF(NEGOCIAÇÕES!D:D,REL_LIBERADAS!B158,NEGOCIAÇÕES!S:S)</f>
        <v>1</v>
      </c>
      <c r="E158" s="158">
        <f t="shared" si="4"/>
        <v>1</v>
      </c>
      <c r="F158" s="156">
        <f>SUMIF(NEGOCIAÇÕES!D:D,REL_LIBERADAS!B158,NEGOCIAÇÕES!T:T)</f>
        <v>1</v>
      </c>
      <c r="G158" s="158">
        <f t="shared" si="5"/>
        <v>1</v>
      </c>
    </row>
    <row r="159" spans="2:7" ht="31.95" customHeight="1" x14ac:dyDescent="0.3">
      <c r="B159" s="6" t="str">
        <f>CAD_CL!B159</f>
        <v>WAN INDUSTRIA E BENEFICIAMENTO DE CHAPAS LTDA</v>
      </c>
      <c r="C159" s="156">
        <f>SUMIF(NEGOCIAÇÕES!D:D,REL_LIBERADAS!B159,NEGOCIAÇÕES!Q:Q)</f>
        <v>1</v>
      </c>
      <c r="D159" s="156">
        <f>SUMIF(NEGOCIAÇÕES!D:D,REL_LIBERADAS!B159,NEGOCIAÇÕES!S:S)</f>
        <v>1</v>
      </c>
      <c r="E159" s="158">
        <f t="shared" si="4"/>
        <v>1</v>
      </c>
      <c r="F159" s="156">
        <f>SUMIF(NEGOCIAÇÕES!D:D,REL_LIBERADAS!B159,NEGOCIAÇÕES!T:T)</f>
        <v>1</v>
      </c>
      <c r="G159" s="158">
        <f t="shared" si="5"/>
        <v>1</v>
      </c>
    </row>
    <row r="160" spans="2:7" ht="31.95" customHeight="1" x14ac:dyDescent="0.3">
      <c r="B160" s="6" t="str">
        <f>CAD_CL!B160</f>
        <v>WELD-INOX SOLDAS ESPECIAIS LTDA</v>
      </c>
      <c r="C160" s="156">
        <f>SUMIF(NEGOCIAÇÕES!D:D,REL_LIBERADAS!B160,NEGOCIAÇÕES!Q:Q)</f>
        <v>1</v>
      </c>
      <c r="D160" s="156">
        <f>SUMIF(NEGOCIAÇÕES!D:D,REL_LIBERADAS!B160,NEGOCIAÇÕES!S:S)</f>
        <v>1</v>
      </c>
      <c r="E160" s="158">
        <f t="shared" si="4"/>
        <v>1</v>
      </c>
      <c r="F160" s="156">
        <f>SUMIF(NEGOCIAÇÕES!D:D,REL_LIBERADAS!B160,NEGOCIAÇÕES!T:T)</f>
        <v>1</v>
      </c>
      <c r="G160" s="158">
        <f t="shared" si="5"/>
        <v>1</v>
      </c>
    </row>
    <row r="161" spans="2:7" ht="31.95" customHeight="1" x14ac:dyDescent="0.3">
      <c r="B161" s="6" t="str">
        <f>CAD_CL!B161</f>
        <v>JR VÁLVULAS E CONEXÕES EIRELI</v>
      </c>
      <c r="C161" s="156">
        <f>SUMIF(NEGOCIAÇÕES!D:D,REL_LIBERADAS!B161,NEGOCIAÇÕES!Q:Q)</f>
        <v>1</v>
      </c>
      <c r="D161" s="156">
        <f>SUMIF(NEGOCIAÇÕES!D:D,REL_LIBERADAS!B161,NEGOCIAÇÕES!S:S)</f>
        <v>1</v>
      </c>
      <c r="E161" s="158">
        <f t="shared" si="4"/>
        <v>1</v>
      </c>
      <c r="F161" s="156">
        <f>SUMIF(NEGOCIAÇÕES!D:D,REL_LIBERADAS!B161,NEGOCIAÇÕES!T:T)</f>
        <v>1</v>
      </c>
      <c r="G161" s="158">
        <f t="shared" si="5"/>
        <v>1</v>
      </c>
    </row>
    <row r="162" spans="2:7" ht="31.95" customHeight="1" x14ac:dyDescent="0.3">
      <c r="B162" s="6" t="str">
        <f>CAD_CL!B162</f>
        <v>MERCADO LIVRE</v>
      </c>
      <c r="C162" s="156">
        <f>SUMIF(NEGOCIAÇÕES!D:D,REL_LIBERADAS!B162,NEGOCIAÇÕES!Q:Q)</f>
        <v>14</v>
      </c>
      <c r="D162" s="156">
        <f>SUMIF(NEGOCIAÇÕES!D:D,REL_LIBERADAS!B162,NEGOCIAÇÕES!S:S)</f>
        <v>12</v>
      </c>
      <c r="E162" s="158">
        <f t="shared" si="4"/>
        <v>0.8571428571428571</v>
      </c>
      <c r="F162" s="156">
        <f>SUMIF(NEGOCIAÇÕES!D:D,REL_LIBERADAS!B162,NEGOCIAÇÕES!T:T)</f>
        <v>12</v>
      </c>
      <c r="G162" s="158">
        <f t="shared" si="5"/>
        <v>0.8571428571428571</v>
      </c>
    </row>
    <row r="163" spans="2:7" ht="31.95" customHeight="1" x14ac:dyDescent="0.3">
      <c r="B163" s="6" t="str">
        <f>CAD_CL!B163</f>
        <v>CARTÃO DE CRÉDITO</v>
      </c>
      <c r="C163" s="156">
        <f>SUMIF(NEGOCIAÇÕES!D:D,REL_LIBERADAS!B163,NEGOCIAÇÕES!Q:Q)</f>
        <v>0</v>
      </c>
      <c r="D163" s="156">
        <f>SUMIF(NEGOCIAÇÕES!D:D,REL_LIBERADAS!B163,NEGOCIAÇÕES!S:S)</f>
        <v>0</v>
      </c>
      <c r="E163" s="158">
        <f t="shared" si="4"/>
        <v>0</v>
      </c>
      <c r="F163" s="156">
        <f>SUMIF(NEGOCIAÇÕES!D:D,REL_LIBERADAS!B163,NEGOCIAÇÕES!T:T)</f>
        <v>0</v>
      </c>
      <c r="G163" s="158">
        <f t="shared" si="5"/>
        <v>0</v>
      </c>
    </row>
    <row r="164" spans="2:7" ht="31.95" customHeight="1" x14ac:dyDescent="0.3">
      <c r="B164" s="6" t="str">
        <f>CAD_CL!B164</f>
        <v>AUTOTRAFO SERVIÇOS E COMÉRCIO DE EQUIP. ELÉTRICOS LTDA</v>
      </c>
      <c r="C164" s="156">
        <f>SUMIF(NEGOCIAÇÕES!D:D,REL_LIBERADAS!B164,NEGOCIAÇÕES!Q:Q)</f>
        <v>1</v>
      </c>
      <c r="D164" s="156">
        <f>SUMIF(NEGOCIAÇÕES!D:D,REL_LIBERADAS!B164,NEGOCIAÇÕES!S:S)</f>
        <v>1</v>
      </c>
      <c r="E164" s="158">
        <f t="shared" si="4"/>
        <v>1</v>
      </c>
      <c r="F164" s="156">
        <f>SUMIF(NEGOCIAÇÕES!D:D,REL_LIBERADAS!B164,NEGOCIAÇÕES!T:T)</f>
        <v>1</v>
      </c>
      <c r="G164" s="158">
        <f t="shared" si="5"/>
        <v>1</v>
      </c>
    </row>
    <row r="165" spans="2:7" ht="31.95" customHeight="1" x14ac:dyDescent="0.3">
      <c r="B165" s="6" t="str">
        <f>CAD_CL!B165</f>
        <v>RV - COMPOSITOS</v>
      </c>
      <c r="C165" s="156">
        <f>SUMIF(NEGOCIAÇÕES!D:D,REL_LIBERADAS!B165,NEGOCIAÇÕES!Q:Q)</f>
        <v>2</v>
      </c>
      <c r="D165" s="156">
        <f>SUMIF(NEGOCIAÇÕES!D:D,REL_LIBERADAS!B165,NEGOCIAÇÕES!S:S)</f>
        <v>0</v>
      </c>
      <c r="E165" s="158">
        <f t="shared" si="4"/>
        <v>0</v>
      </c>
      <c r="F165" s="156">
        <f>SUMIF(NEGOCIAÇÕES!D:D,REL_LIBERADAS!B165,NEGOCIAÇÕES!T:T)</f>
        <v>0</v>
      </c>
      <c r="G165" s="158">
        <f t="shared" si="5"/>
        <v>0</v>
      </c>
    </row>
    <row r="166" spans="2:7" ht="31.95" customHeight="1" x14ac:dyDescent="0.3">
      <c r="B166" s="6" t="str">
        <f>CAD_CL!B166</f>
        <v>Maziero Máquinas e equipamentos</v>
      </c>
      <c r="C166" s="156">
        <f>SUMIF(NEGOCIAÇÕES!D:D,REL_LIBERADAS!B166,NEGOCIAÇÕES!Q:Q)</f>
        <v>2</v>
      </c>
      <c r="D166" s="156">
        <f>SUMIF(NEGOCIAÇÕES!D:D,REL_LIBERADAS!B166,NEGOCIAÇÕES!S:S)</f>
        <v>0</v>
      </c>
      <c r="E166" s="158">
        <f t="shared" si="4"/>
        <v>0</v>
      </c>
      <c r="F166" s="156">
        <f>SUMIF(NEGOCIAÇÕES!D:D,REL_LIBERADAS!B166,NEGOCIAÇÕES!T:T)</f>
        <v>0</v>
      </c>
      <c r="G166" s="158">
        <f t="shared" si="5"/>
        <v>0</v>
      </c>
    </row>
    <row r="167" spans="2:7" ht="31.95" customHeight="1" x14ac:dyDescent="0.3">
      <c r="B167" s="6" t="str">
        <f>CAD_CL!B167</f>
        <v>SPECIAL TUBOS E AÇOS LTDA.</v>
      </c>
      <c r="C167" s="156">
        <f>SUMIF(NEGOCIAÇÕES!D:D,REL_LIBERADAS!B167,NEGOCIAÇÕES!Q:Q)</f>
        <v>1</v>
      </c>
      <c r="D167" s="156">
        <f>SUMIF(NEGOCIAÇÕES!D:D,REL_LIBERADAS!B167,NEGOCIAÇÕES!S:S)</f>
        <v>0</v>
      </c>
      <c r="E167" s="158">
        <f t="shared" si="4"/>
        <v>0</v>
      </c>
      <c r="F167" s="156">
        <f>SUMIF(NEGOCIAÇÕES!D:D,REL_LIBERADAS!B167,NEGOCIAÇÕES!T:T)</f>
        <v>0</v>
      </c>
      <c r="G167" s="158">
        <f t="shared" si="5"/>
        <v>0</v>
      </c>
    </row>
    <row r="168" spans="2:7" ht="31.95" customHeight="1" x14ac:dyDescent="0.3">
      <c r="B168" s="6" t="str">
        <f>CAD_CL!B168</f>
        <v>MERCANTE TUBOS E AÇOS LTDA.</v>
      </c>
      <c r="C168" s="156">
        <f>SUMIF(NEGOCIAÇÕES!D:D,REL_LIBERADAS!B168,NEGOCIAÇÕES!Q:Q)</f>
        <v>1</v>
      </c>
      <c r="D168" s="156">
        <f>SUMIF(NEGOCIAÇÕES!D:D,REL_LIBERADAS!B168,NEGOCIAÇÕES!S:S)</f>
        <v>0</v>
      </c>
      <c r="E168" s="158">
        <f t="shared" si="4"/>
        <v>0</v>
      </c>
      <c r="F168" s="156">
        <f>SUMIF(NEGOCIAÇÕES!D:D,REL_LIBERADAS!B168,NEGOCIAÇÕES!T:T)</f>
        <v>0</v>
      </c>
      <c r="G168" s="158">
        <f t="shared" si="5"/>
        <v>0</v>
      </c>
    </row>
    <row r="169" spans="2:7" ht="31.95" customHeight="1" x14ac:dyDescent="0.3">
      <c r="B169" s="6" t="str">
        <f>CAD_CL!B169</f>
        <v>CONEC RIO Conexões e Peças Ltda</v>
      </c>
      <c r="C169" s="156">
        <f>SUMIF(NEGOCIAÇÕES!D:D,REL_LIBERADAS!B169,NEGOCIAÇÕES!Q:Q)</f>
        <v>2</v>
      </c>
      <c r="D169" s="156">
        <f>SUMIF(NEGOCIAÇÕES!D:D,REL_LIBERADAS!B169,NEGOCIAÇÕES!S:S)</f>
        <v>0</v>
      </c>
      <c r="E169" s="158">
        <f t="shared" si="4"/>
        <v>0</v>
      </c>
      <c r="F169" s="156">
        <f>SUMIF(NEGOCIAÇÕES!D:D,REL_LIBERADAS!B169,NEGOCIAÇÕES!T:T)</f>
        <v>0</v>
      </c>
      <c r="G169" s="158">
        <f t="shared" si="5"/>
        <v>0</v>
      </c>
    </row>
    <row r="170" spans="2:7" ht="31.95" customHeight="1" x14ac:dyDescent="0.3">
      <c r="B170" s="6" t="str">
        <f>CAD_CL!B170</f>
        <v>TECNOLUVA INDUSTRIA E COMERCIO LTDA</v>
      </c>
      <c r="C170" s="156">
        <f>SUMIF(NEGOCIAÇÕES!D:D,REL_LIBERADAS!B170,NEGOCIAÇÕES!Q:Q)</f>
        <v>1</v>
      </c>
      <c r="D170" s="156">
        <f>SUMIF(NEGOCIAÇÕES!D:D,REL_LIBERADAS!B170,NEGOCIAÇÕES!S:S)</f>
        <v>0</v>
      </c>
      <c r="E170" s="158">
        <f t="shared" si="4"/>
        <v>0</v>
      </c>
      <c r="F170" s="156">
        <f>SUMIF(NEGOCIAÇÕES!D:D,REL_LIBERADAS!B170,NEGOCIAÇÕES!T:T)</f>
        <v>0</v>
      </c>
      <c r="G170" s="158">
        <f t="shared" si="5"/>
        <v>0</v>
      </c>
    </row>
    <row r="171" spans="2:7" ht="31.95" customHeight="1" x14ac:dyDescent="0.3">
      <c r="B171" s="6" t="str">
        <f>CAD_CL!B171</f>
        <v>IVM - ITALY VÁLVULAS E METAIS LTDA</v>
      </c>
      <c r="C171" s="156">
        <f>SUMIF(NEGOCIAÇÕES!D:D,REL_LIBERADAS!B171,NEGOCIAÇÕES!Q:Q)</f>
        <v>2</v>
      </c>
      <c r="D171" s="156">
        <f>SUMIF(NEGOCIAÇÕES!D:D,REL_LIBERADAS!B171,NEGOCIAÇÕES!S:S)</f>
        <v>1</v>
      </c>
      <c r="E171" s="158">
        <f t="shared" si="4"/>
        <v>0.5</v>
      </c>
      <c r="F171" s="156">
        <f>SUMIF(NEGOCIAÇÕES!D:D,REL_LIBERADAS!B171,NEGOCIAÇÕES!T:T)</f>
        <v>0</v>
      </c>
      <c r="G171" s="158">
        <f t="shared" si="5"/>
        <v>0</v>
      </c>
    </row>
    <row r="172" spans="2:7" ht="31.95" customHeight="1" x14ac:dyDescent="0.3">
      <c r="B172" s="6" t="str">
        <f>CAD_CL!B172</f>
        <v>GRADISA SOLUÇÕES EM FERRO LTDA</v>
      </c>
      <c r="C172" s="156">
        <f>SUMIF(NEGOCIAÇÕES!D:D,REL_LIBERADAS!B172,NEGOCIAÇÕES!Q:Q)</f>
        <v>1</v>
      </c>
      <c r="D172" s="156">
        <f>SUMIF(NEGOCIAÇÕES!D:D,REL_LIBERADAS!B172,NEGOCIAÇÕES!S:S)</f>
        <v>0</v>
      </c>
      <c r="E172" s="158">
        <f t="shared" si="4"/>
        <v>0</v>
      </c>
      <c r="F172" s="156">
        <f>SUMIF(NEGOCIAÇÕES!D:D,REL_LIBERADAS!B172,NEGOCIAÇÕES!T:T)</f>
        <v>0</v>
      </c>
      <c r="G172" s="158">
        <f t="shared" si="5"/>
        <v>0</v>
      </c>
    </row>
    <row r="173" spans="2:7" ht="31.95" customHeight="1" x14ac:dyDescent="0.3">
      <c r="B173" s="6" t="str">
        <f>CAD_CL!B173</f>
        <v>NHJ DO BRASIL</v>
      </c>
      <c r="C173" s="156">
        <f>SUMIF(NEGOCIAÇÕES!D:D,REL_LIBERADAS!B173,NEGOCIAÇÕES!Q:Q)</f>
        <v>1</v>
      </c>
      <c r="D173" s="156">
        <f>SUMIF(NEGOCIAÇÕES!D:D,REL_LIBERADAS!B173,NEGOCIAÇÕES!S:S)</f>
        <v>0</v>
      </c>
      <c r="E173" s="158">
        <f t="shared" si="4"/>
        <v>0</v>
      </c>
      <c r="F173" s="156">
        <f>SUMIF(NEGOCIAÇÕES!D:D,REL_LIBERADAS!B173,NEGOCIAÇÕES!T:T)</f>
        <v>0</v>
      </c>
      <c r="G173" s="158">
        <f t="shared" si="5"/>
        <v>0</v>
      </c>
    </row>
    <row r="174" spans="2:7" ht="31.95" customHeight="1" x14ac:dyDescent="0.3">
      <c r="B174" s="6" t="str">
        <f>CAD_CL!B174</f>
        <v>UNIVERSO ROUPAS EIRELI EPP</v>
      </c>
      <c r="C174" s="156">
        <f>SUMIF(NEGOCIAÇÕES!D:D,REL_LIBERADAS!B174,NEGOCIAÇÕES!Q:Q)</f>
        <v>1</v>
      </c>
      <c r="D174" s="156">
        <f>SUMIF(NEGOCIAÇÕES!D:D,REL_LIBERADAS!B174,NEGOCIAÇÕES!S:S)</f>
        <v>0</v>
      </c>
      <c r="E174" s="158">
        <f t="shared" si="4"/>
        <v>0</v>
      </c>
      <c r="F174" s="156">
        <f>SUMIF(NEGOCIAÇÕES!D:D,REL_LIBERADAS!B174,NEGOCIAÇÕES!T:T)</f>
        <v>0</v>
      </c>
      <c r="G174" s="158">
        <f t="shared" si="5"/>
        <v>0</v>
      </c>
    </row>
    <row r="175" spans="2:7" ht="31.95" customHeight="1" x14ac:dyDescent="0.3">
      <c r="B175" s="6">
        <f>CAD_CL!B175</f>
        <v>0</v>
      </c>
      <c r="C175" s="156">
        <f>SUMIF(NEGOCIAÇÕES!D:D,REL_LIBERADAS!B175,NEGOCIAÇÕES!Q:Q)</f>
        <v>0</v>
      </c>
      <c r="D175" s="156">
        <f>SUMIF(NEGOCIAÇÕES!D:D,REL_LIBERADAS!B175,NEGOCIAÇÕES!S:S)</f>
        <v>0</v>
      </c>
      <c r="E175" s="158">
        <f t="shared" si="4"/>
        <v>0</v>
      </c>
      <c r="F175" s="156">
        <f>SUMIF(NEGOCIAÇÕES!D:D,REL_LIBERADAS!B175,NEGOCIAÇÕES!T:T)</f>
        <v>0</v>
      </c>
      <c r="G175" s="158">
        <f t="shared" si="5"/>
        <v>0</v>
      </c>
    </row>
    <row r="176" spans="2:7" ht="31.95" customHeight="1" x14ac:dyDescent="0.3">
      <c r="B176" s="6">
        <f>CAD_CL!B176</f>
        <v>0</v>
      </c>
      <c r="C176" s="156">
        <f>SUMIF(NEGOCIAÇÕES!D:D,REL_LIBERADAS!B176,NEGOCIAÇÕES!Q:Q)</f>
        <v>0</v>
      </c>
      <c r="D176" s="156">
        <f>SUMIF(NEGOCIAÇÕES!D:D,REL_LIBERADAS!B176,NEGOCIAÇÕES!S:S)</f>
        <v>0</v>
      </c>
      <c r="E176" s="158">
        <f t="shared" si="4"/>
        <v>0</v>
      </c>
      <c r="F176" s="156">
        <f>SUMIF(NEGOCIAÇÕES!D:D,REL_LIBERADAS!B176,NEGOCIAÇÕES!T:T)</f>
        <v>0</v>
      </c>
      <c r="G176" s="158">
        <f t="shared" si="5"/>
        <v>0</v>
      </c>
    </row>
    <row r="177" spans="2:7" ht="31.95" customHeight="1" x14ac:dyDescent="0.3">
      <c r="B177" s="6">
        <f>CAD_CL!B177</f>
        <v>0</v>
      </c>
      <c r="C177" s="156">
        <f>SUMIF(NEGOCIAÇÕES!D:D,REL_LIBERADAS!B177,NEGOCIAÇÕES!Q:Q)</f>
        <v>0</v>
      </c>
      <c r="D177" s="156">
        <f>SUMIF(NEGOCIAÇÕES!D:D,REL_LIBERADAS!B177,NEGOCIAÇÕES!S:S)</f>
        <v>0</v>
      </c>
      <c r="E177" s="158">
        <f t="shared" si="4"/>
        <v>0</v>
      </c>
      <c r="F177" s="156">
        <f>SUMIF(NEGOCIAÇÕES!D:D,REL_LIBERADAS!B177,NEGOCIAÇÕES!T:T)</f>
        <v>0</v>
      </c>
      <c r="G177" s="158">
        <f t="shared" si="5"/>
        <v>0</v>
      </c>
    </row>
    <row r="178" spans="2:7" ht="31.95" customHeight="1" x14ac:dyDescent="0.3">
      <c r="B178" s="6">
        <f>CAD_CL!B178</f>
        <v>0</v>
      </c>
      <c r="C178" s="156">
        <f>SUMIF(NEGOCIAÇÕES!D:D,REL_LIBERADAS!B178,NEGOCIAÇÕES!Q:Q)</f>
        <v>0</v>
      </c>
      <c r="D178" s="156">
        <f>SUMIF(NEGOCIAÇÕES!D:D,REL_LIBERADAS!B178,NEGOCIAÇÕES!S:S)</f>
        <v>0</v>
      </c>
      <c r="E178" s="158">
        <f t="shared" si="4"/>
        <v>0</v>
      </c>
      <c r="F178" s="156">
        <f>SUMIF(NEGOCIAÇÕES!D:D,REL_LIBERADAS!B178,NEGOCIAÇÕES!T:T)</f>
        <v>0</v>
      </c>
      <c r="G178" s="158">
        <f t="shared" si="5"/>
        <v>0</v>
      </c>
    </row>
    <row r="179" spans="2:7" ht="31.95" customHeight="1" x14ac:dyDescent="0.3">
      <c r="B179" s="6">
        <f>CAD_CL!B179</f>
        <v>0</v>
      </c>
      <c r="C179" s="156">
        <f>SUMIF(NEGOCIAÇÕES!D:D,REL_LIBERADAS!B179,NEGOCIAÇÕES!Q:Q)</f>
        <v>0</v>
      </c>
      <c r="D179" s="156">
        <f>SUMIF(NEGOCIAÇÕES!D:D,REL_LIBERADAS!B179,NEGOCIAÇÕES!S:S)</f>
        <v>0</v>
      </c>
      <c r="E179" s="158">
        <f t="shared" si="4"/>
        <v>0</v>
      </c>
      <c r="F179" s="156">
        <f>SUMIF(NEGOCIAÇÕES!D:D,REL_LIBERADAS!B179,NEGOCIAÇÕES!T:T)</f>
        <v>0</v>
      </c>
      <c r="G179" s="158">
        <f t="shared" si="5"/>
        <v>0</v>
      </c>
    </row>
    <row r="180" spans="2:7" ht="31.95" customHeight="1" x14ac:dyDescent="0.3">
      <c r="B180" s="6">
        <f>CAD_CL!B180</f>
        <v>0</v>
      </c>
      <c r="C180" s="156">
        <f>SUMIF(NEGOCIAÇÕES!D:D,REL_LIBERADAS!B180,NEGOCIAÇÕES!Q:Q)</f>
        <v>0</v>
      </c>
      <c r="D180" s="156">
        <f>SUMIF(NEGOCIAÇÕES!D:D,REL_LIBERADAS!B180,NEGOCIAÇÕES!S:S)</f>
        <v>0</v>
      </c>
      <c r="E180" s="158">
        <f t="shared" si="4"/>
        <v>0</v>
      </c>
      <c r="F180" s="156">
        <f>SUMIF(NEGOCIAÇÕES!D:D,REL_LIBERADAS!B180,NEGOCIAÇÕES!T:T)</f>
        <v>0</v>
      </c>
      <c r="G180" s="158">
        <f t="shared" si="5"/>
        <v>0</v>
      </c>
    </row>
    <row r="181" spans="2:7" ht="31.95" customHeight="1" x14ac:dyDescent="0.3">
      <c r="B181" s="6">
        <f>CAD_CL!B181</f>
        <v>0</v>
      </c>
      <c r="C181" s="156">
        <f>SUMIF(NEGOCIAÇÕES!D:D,REL_LIBERADAS!B181,NEGOCIAÇÕES!Q:Q)</f>
        <v>0</v>
      </c>
      <c r="D181" s="156">
        <f>SUMIF(NEGOCIAÇÕES!D:D,REL_LIBERADAS!B181,NEGOCIAÇÕES!S:S)</f>
        <v>0</v>
      </c>
      <c r="E181" s="158">
        <f t="shared" si="4"/>
        <v>0</v>
      </c>
      <c r="F181" s="156">
        <f>SUMIF(NEGOCIAÇÕES!D:D,REL_LIBERADAS!B181,NEGOCIAÇÕES!T:T)</f>
        <v>0</v>
      </c>
      <c r="G181" s="158">
        <f t="shared" si="5"/>
        <v>0</v>
      </c>
    </row>
    <row r="182" spans="2:7" ht="31.95" customHeight="1" x14ac:dyDescent="0.3">
      <c r="B182" s="6">
        <f>CAD_CL!B182</f>
        <v>0</v>
      </c>
      <c r="C182" s="156">
        <f>SUMIF(NEGOCIAÇÕES!D:D,REL_LIBERADAS!B182,NEGOCIAÇÕES!Q:Q)</f>
        <v>0</v>
      </c>
      <c r="D182" s="156">
        <f>SUMIF(NEGOCIAÇÕES!D:D,REL_LIBERADAS!B182,NEGOCIAÇÕES!S:S)</f>
        <v>0</v>
      </c>
      <c r="E182" s="158">
        <f t="shared" si="4"/>
        <v>0</v>
      </c>
      <c r="F182" s="156">
        <f>SUMIF(NEGOCIAÇÕES!D:D,REL_LIBERADAS!B182,NEGOCIAÇÕES!T:T)</f>
        <v>0</v>
      </c>
      <c r="G182" s="158">
        <f t="shared" si="5"/>
        <v>0</v>
      </c>
    </row>
    <row r="183" spans="2:7" ht="31.95" customHeight="1" x14ac:dyDescent="0.3">
      <c r="B183" s="6">
        <f>CAD_CL!B183</f>
        <v>0</v>
      </c>
      <c r="C183" s="156">
        <f>SUMIF(NEGOCIAÇÕES!D:D,REL_LIBERADAS!B183,NEGOCIAÇÕES!Q:Q)</f>
        <v>0</v>
      </c>
      <c r="D183" s="156">
        <f>SUMIF(NEGOCIAÇÕES!D:D,REL_LIBERADAS!B183,NEGOCIAÇÕES!S:S)</f>
        <v>0</v>
      </c>
      <c r="E183" s="158">
        <f t="shared" si="4"/>
        <v>0</v>
      </c>
      <c r="F183" s="156">
        <f>SUMIF(NEGOCIAÇÕES!D:D,REL_LIBERADAS!B183,NEGOCIAÇÕES!T:T)</f>
        <v>0</v>
      </c>
      <c r="G183" s="158">
        <f t="shared" si="5"/>
        <v>0</v>
      </c>
    </row>
    <row r="184" spans="2:7" ht="31.95" customHeight="1" x14ac:dyDescent="0.3">
      <c r="B184" s="6">
        <f>CAD_CL!B184</f>
        <v>0</v>
      </c>
      <c r="C184" s="156">
        <f>SUMIF(NEGOCIAÇÕES!D:D,REL_LIBERADAS!B184,NEGOCIAÇÕES!Q:Q)</f>
        <v>0</v>
      </c>
      <c r="D184" s="156">
        <f>SUMIF(NEGOCIAÇÕES!D:D,REL_LIBERADAS!B184,NEGOCIAÇÕES!S:S)</f>
        <v>0</v>
      </c>
      <c r="E184" s="158">
        <f t="shared" si="4"/>
        <v>0</v>
      </c>
      <c r="F184" s="156">
        <f>SUMIF(NEGOCIAÇÕES!D:D,REL_LIBERADAS!B184,NEGOCIAÇÕES!T:T)</f>
        <v>0</v>
      </c>
      <c r="G184" s="158">
        <f t="shared" si="5"/>
        <v>0</v>
      </c>
    </row>
    <row r="185" spans="2:7" ht="31.95" customHeight="1" x14ac:dyDescent="0.3">
      <c r="B185" s="6">
        <f>CAD_CL!B185</f>
        <v>0</v>
      </c>
      <c r="C185" s="156">
        <f>SUMIF(NEGOCIAÇÕES!D:D,REL_LIBERADAS!B185,NEGOCIAÇÕES!Q:Q)</f>
        <v>0</v>
      </c>
      <c r="D185" s="156">
        <f>SUMIF(NEGOCIAÇÕES!D:D,REL_LIBERADAS!B185,NEGOCIAÇÕES!S:S)</f>
        <v>0</v>
      </c>
      <c r="E185" s="158">
        <f t="shared" si="4"/>
        <v>0</v>
      </c>
      <c r="F185" s="156">
        <f>SUMIF(NEGOCIAÇÕES!D:D,REL_LIBERADAS!B185,NEGOCIAÇÕES!T:T)</f>
        <v>0</v>
      </c>
      <c r="G185" s="158">
        <f t="shared" si="5"/>
        <v>0</v>
      </c>
    </row>
    <row r="186" spans="2:7" ht="31.95" customHeight="1" x14ac:dyDescent="0.3">
      <c r="B186" s="6">
        <f>CAD_CL!B186</f>
        <v>0</v>
      </c>
      <c r="C186" s="156">
        <f>SUMIF(NEGOCIAÇÕES!D:D,REL_LIBERADAS!B186,NEGOCIAÇÕES!Q:Q)</f>
        <v>0</v>
      </c>
      <c r="D186" s="156">
        <f>SUMIF(NEGOCIAÇÕES!D:D,REL_LIBERADAS!B186,NEGOCIAÇÕES!S:S)</f>
        <v>0</v>
      </c>
      <c r="E186" s="158">
        <f t="shared" si="4"/>
        <v>0</v>
      </c>
      <c r="F186" s="156">
        <f>SUMIF(NEGOCIAÇÕES!D:D,REL_LIBERADAS!B186,NEGOCIAÇÕES!T:T)</f>
        <v>0</v>
      </c>
      <c r="G186" s="158">
        <f t="shared" si="5"/>
        <v>0</v>
      </c>
    </row>
    <row r="187" spans="2:7" ht="31.95" customHeight="1" x14ac:dyDescent="0.3">
      <c r="B187" s="6">
        <f>CAD_CL!B187</f>
        <v>0</v>
      </c>
      <c r="C187" s="156">
        <f>SUMIF(NEGOCIAÇÕES!D:D,REL_LIBERADAS!B187,NEGOCIAÇÕES!Q:Q)</f>
        <v>0</v>
      </c>
      <c r="D187" s="156">
        <f>SUMIF(NEGOCIAÇÕES!D:D,REL_LIBERADAS!B187,NEGOCIAÇÕES!S:S)</f>
        <v>0</v>
      </c>
      <c r="E187" s="158">
        <f t="shared" si="4"/>
        <v>0</v>
      </c>
      <c r="F187" s="156">
        <f>SUMIF(NEGOCIAÇÕES!D:D,REL_LIBERADAS!B187,NEGOCIAÇÕES!T:T)</f>
        <v>0</v>
      </c>
      <c r="G187" s="158">
        <f t="shared" si="5"/>
        <v>0</v>
      </c>
    </row>
    <row r="188" spans="2:7" ht="31.95" customHeight="1" x14ac:dyDescent="0.3">
      <c r="B188" s="6">
        <f>CAD_CL!B188</f>
        <v>0</v>
      </c>
      <c r="C188" s="156">
        <f>SUMIF(NEGOCIAÇÕES!D:D,REL_LIBERADAS!B188,NEGOCIAÇÕES!Q:Q)</f>
        <v>0</v>
      </c>
      <c r="D188" s="156">
        <f>SUMIF(NEGOCIAÇÕES!D:D,REL_LIBERADAS!B188,NEGOCIAÇÕES!S:S)</f>
        <v>0</v>
      </c>
      <c r="E188" s="158">
        <f t="shared" si="4"/>
        <v>0</v>
      </c>
      <c r="F188" s="156">
        <f>SUMIF(NEGOCIAÇÕES!D:D,REL_LIBERADAS!B188,NEGOCIAÇÕES!T:T)</f>
        <v>0</v>
      </c>
      <c r="G188" s="158">
        <f t="shared" si="5"/>
        <v>0</v>
      </c>
    </row>
    <row r="189" spans="2:7" ht="31.95" customHeight="1" x14ac:dyDescent="0.3">
      <c r="B189" s="6">
        <f>CAD_CL!B189</f>
        <v>0</v>
      </c>
      <c r="C189" s="156">
        <f>SUMIF(NEGOCIAÇÕES!D:D,REL_LIBERADAS!B189,NEGOCIAÇÕES!Q:Q)</f>
        <v>0</v>
      </c>
      <c r="D189" s="156">
        <f>SUMIF(NEGOCIAÇÕES!D:D,REL_LIBERADAS!B189,NEGOCIAÇÕES!S:S)</f>
        <v>0</v>
      </c>
      <c r="E189" s="158">
        <f t="shared" si="4"/>
        <v>0</v>
      </c>
      <c r="F189" s="156">
        <f>SUMIF(NEGOCIAÇÕES!D:D,REL_LIBERADAS!B189,NEGOCIAÇÕES!T:T)</f>
        <v>0</v>
      </c>
      <c r="G189" s="158">
        <f t="shared" si="5"/>
        <v>0</v>
      </c>
    </row>
    <row r="190" spans="2:7" ht="31.95" customHeight="1" x14ac:dyDescent="0.3">
      <c r="B190" s="6">
        <f>CAD_CL!B190</f>
        <v>0</v>
      </c>
      <c r="C190" s="156">
        <f>SUMIF(NEGOCIAÇÕES!D:D,REL_LIBERADAS!B190,NEGOCIAÇÕES!Q:Q)</f>
        <v>0</v>
      </c>
      <c r="D190" s="156">
        <f>SUMIF(NEGOCIAÇÕES!D:D,REL_LIBERADAS!B190,NEGOCIAÇÕES!S:S)</f>
        <v>0</v>
      </c>
      <c r="E190" s="158">
        <f t="shared" si="4"/>
        <v>0</v>
      </c>
      <c r="F190" s="156">
        <f>SUMIF(NEGOCIAÇÕES!D:D,REL_LIBERADAS!B190,NEGOCIAÇÕES!T:T)</f>
        <v>0</v>
      </c>
      <c r="G190" s="158">
        <f t="shared" si="5"/>
        <v>0</v>
      </c>
    </row>
    <row r="191" spans="2:7" ht="31.95" customHeight="1" x14ac:dyDescent="0.3">
      <c r="B191" s="6">
        <f>CAD_CL!B191</f>
        <v>0</v>
      </c>
      <c r="C191" s="156">
        <f>SUMIF(NEGOCIAÇÕES!D:D,REL_LIBERADAS!B191,NEGOCIAÇÕES!Q:Q)</f>
        <v>0</v>
      </c>
      <c r="D191" s="156">
        <f>SUMIF(NEGOCIAÇÕES!D:D,REL_LIBERADAS!B191,NEGOCIAÇÕES!S:S)</f>
        <v>0</v>
      </c>
      <c r="E191" s="158">
        <f t="shared" si="4"/>
        <v>0</v>
      </c>
      <c r="F191" s="156">
        <f>SUMIF(NEGOCIAÇÕES!D:D,REL_LIBERADAS!B191,NEGOCIAÇÕES!T:T)</f>
        <v>0</v>
      </c>
      <c r="G191" s="158">
        <f t="shared" si="5"/>
        <v>0</v>
      </c>
    </row>
    <row r="192" spans="2:7" ht="31.95" customHeight="1" x14ac:dyDescent="0.3">
      <c r="B192" s="6">
        <f>CAD_CL!B192</f>
        <v>0</v>
      </c>
      <c r="C192" s="156">
        <f>SUMIF(NEGOCIAÇÕES!D:D,REL_LIBERADAS!B192,NEGOCIAÇÕES!Q:Q)</f>
        <v>0</v>
      </c>
      <c r="D192" s="156">
        <f>SUMIF(NEGOCIAÇÕES!D:D,REL_LIBERADAS!B192,NEGOCIAÇÕES!S:S)</f>
        <v>0</v>
      </c>
      <c r="E192" s="158">
        <f t="shared" si="4"/>
        <v>0</v>
      </c>
      <c r="F192" s="156">
        <f>SUMIF(NEGOCIAÇÕES!D:D,REL_LIBERADAS!B192,NEGOCIAÇÕES!T:T)</f>
        <v>0</v>
      </c>
      <c r="G192" s="158">
        <f t="shared" si="5"/>
        <v>0</v>
      </c>
    </row>
    <row r="193" spans="2:7" ht="31.95" customHeight="1" x14ac:dyDescent="0.3">
      <c r="B193" s="6">
        <f>CAD_CL!B193</f>
        <v>0</v>
      </c>
      <c r="C193" s="156">
        <f>SUMIF(NEGOCIAÇÕES!D:D,REL_LIBERADAS!B193,NEGOCIAÇÕES!Q:Q)</f>
        <v>0</v>
      </c>
      <c r="D193" s="156">
        <f>SUMIF(NEGOCIAÇÕES!D:D,REL_LIBERADAS!B193,NEGOCIAÇÕES!S:S)</f>
        <v>0</v>
      </c>
      <c r="E193" s="158">
        <f t="shared" si="4"/>
        <v>0</v>
      </c>
      <c r="F193" s="156">
        <f>SUMIF(NEGOCIAÇÕES!D:D,REL_LIBERADAS!B193,NEGOCIAÇÕES!T:T)</f>
        <v>0</v>
      </c>
      <c r="G193" s="158">
        <f t="shared" si="5"/>
        <v>0</v>
      </c>
    </row>
    <row r="194" spans="2:7" ht="31.95" customHeight="1" x14ac:dyDescent="0.3">
      <c r="B194" s="6">
        <f>CAD_CL!B194</f>
        <v>0</v>
      </c>
      <c r="C194" s="156">
        <f>SUMIF(NEGOCIAÇÕES!D:D,REL_LIBERADAS!B194,NEGOCIAÇÕES!Q:Q)</f>
        <v>0</v>
      </c>
      <c r="D194" s="156">
        <f>SUMIF(NEGOCIAÇÕES!D:D,REL_LIBERADAS!B194,NEGOCIAÇÕES!S:S)</f>
        <v>0</v>
      </c>
      <c r="E194" s="158">
        <f t="shared" si="4"/>
        <v>0</v>
      </c>
      <c r="F194" s="156">
        <f>SUMIF(NEGOCIAÇÕES!D:D,REL_LIBERADAS!B194,NEGOCIAÇÕES!T:T)</f>
        <v>0</v>
      </c>
      <c r="G194" s="158">
        <f t="shared" si="5"/>
        <v>0</v>
      </c>
    </row>
    <row r="195" spans="2:7" ht="31.95" customHeight="1" x14ac:dyDescent="0.3">
      <c r="B195" s="6">
        <f>CAD_CL!B195</f>
        <v>0</v>
      </c>
      <c r="C195" s="156">
        <f>SUMIF(NEGOCIAÇÕES!D:D,REL_LIBERADAS!B195,NEGOCIAÇÕES!Q:Q)</f>
        <v>0</v>
      </c>
      <c r="D195" s="156">
        <f>SUMIF(NEGOCIAÇÕES!D:D,REL_LIBERADAS!B195,NEGOCIAÇÕES!S:S)</f>
        <v>0</v>
      </c>
      <c r="E195" s="158">
        <f t="shared" si="4"/>
        <v>0</v>
      </c>
      <c r="F195" s="156">
        <f>SUMIF(NEGOCIAÇÕES!D:D,REL_LIBERADAS!B195,NEGOCIAÇÕES!T:T)</f>
        <v>0</v>
      </c>
      <c r="G195" s="158">
        <f t="shared" si="5"/>
        <v>0</v>
      </c>
    </row>
    <row r="196" spans="2:7" ht="31.95" customHeight="1" x14ac:dyDescent="0.3">
      <c r="B196" s="6">
        <f>CAD_CL!B196</f>
        <v>0</v>
      </c>
      <c r="C196" s="156">
        <f>SUMIF(NEGOCIAÇÕES!D:D,REL_LIBERADAS!B196,NEGOCIAÇÕES!Q:Q)</f>
        <v>0</v>
      </c>
      <c r="D196" s="156">
        <f>SUMIF(NEGOCIAÇÕES!D:D,REL_LIBERADAS!B196,NEGOCIAÇÕES!S:S)</f>
        <v>0</v>
      </c>
      <c r="E196" s="158">
        <f t="shared" si="4"/>
        <v>0</v>
      </c>
      <c r="F196" s="156">
        <f>SUMIF(NEGOCIAÇÕES!D:D,REL_LIBERADAS!B196,NEGOCIAÇÕES!T:T)</f>
        <v>0</v>
      </c>
      <c r="G196" s="158">
        <f t="shared" si="5"/>
        <v>0</v>
      </c>
    </row>
    <row r="197" spans="2:7" ht="31.95" customHeight="1" x14ac:dyDescent="0.3">
      <c r="B197" s="6">
        <f>CAD_CL!B197</f>
        <v>0</v>
      </c>
      <c r="C197" s="156">
        <f>SUMIF(NEGOCIAÇÕES!D:D,REL_LIBERADAS!B197,NEGOCIAÇÕES!Q:Q)</f>
        <v>0</v>
      </c>
      <c r="D197" s="156">
        <f>SUMIF(NEGOCIAÇÕES!D:D,REL_LIBERADAS!B197,NEGOCIAÇÕES!S:S)</f>
        <v>0</v>
      </c>
      <c r="E197" s="158">
        <f t="shared" si="4"/>
        <v>0</v>
      </c>
      <c r="F197" s="156">
        <f>SUMIF(NEGOCIAÇÕES!D:D,REL_LIBERADAS!B197,NEGOCIAÇÕES!T:T)</f>
        <v>0</v>
      </c>
      <c r="G197" s="158">
        <f t="shared" si="5"/>
        <v>0</v>
      </c>
    </row>
    <row r="198" spans="2:7" ht="31.95" customHeight="1" x14ac:dyDescent="0.3">
      <c r="B198" s="6">
        <f>CAD_CL!B198</f>
        <v>0</v>
      </c>
      <c r="C198" s="156">
        <f>SUMIF(NEGOCIAÇÕES!D:D,REL_LIBERADAS!B198,NEGOCIAÇÕES!Q:Q)</f>
        <v>0</v>
      </c>
      <c r="D198" s="156">
        <f>SUMIF(NEGOCIAÇÕES!D:D,REL_LIBERADAS!B198,NEGOCIAÇÕES!S:S)</f>
        <v>0</v>
      </c>
      <c r="E198" s="158">
        <f t="shared" si="4"/>
        <v>0</v>
      </c>
      <c r="F198" s="156">
        <f>SUMIF(NEGOCIAÇÕES!D:D,REL_LIBERADAS!B198,NEGOCIAÇÕES!T:T)</f>
        <v>0</v>
      </c>
      <c r="G198" s="158">
        <f t="shared" si="5"/>
        <v>0</v>
      </c>
    </row>
    <row r="199" spans="2:7" ht="31.95" customHeight="1" x14ac:dyDescent="0.3">
      <c r="B199" s="6">
        <f>CAD_CL!B199</f>
        <v>0</v>
      </c>
      <c r="C199" s="156">
        <f>SUMIF(NEGOCIAÇÕES!D:D,REL_LIBERADAS!B199,NEGOCIAÇÕES!Q:Q)</f>
        <v>0</v>
      </c>
      <c r="D199" s="156">
        <f>SUMIF(NEGOCIAÇÕES!D:D,REL_LIBERADAS!B199,NEGOCIAÇÕES!S:S)</f>
        <v>0</v>
      </c>
      <c r="E199" s="158">
        <f t="shared" si="4"/>
        <v>0</v>
      </c>
      <c r="F199" s="156">
        <f>SUMIF(NEGOCIAÇÕES!D:D,REL_LIBERADAS!B199,NEGOCIAÇÕES!T:T)</f>
        <v>0</v>
      </c>
      <c r="G199" s="158">
        <f t="shared" si="5"/>
        <v>0</v>
      </c>
    </row>
    <row r="200" spans="2:7" ht="31.95" customHeight="1" x14ac:dyDescent="0.3">
      <c r="B200" s="6">
        <f>CAD_CL!B200</f>
        <v>0</v>
      </c>
      <c r="C200" s="156">
        <f>SUMIF(NEGOCIAÇÕES!D:D,REL_LIBERADAS!B200,NEGOCIAÇÕES!Q:Q)</f>
        <v>0</v>
      </c>
      <c r="D200" s="156">
        <f>SUMIF(NEGOCIAÇÕES!D:D,REL_LIBERADAS!B200,NEGOCIAÇÕES!S:S)</f>
        <v>0</v>
      </c>
      <c r="E200" s="158">
        <f t="shared" ref="E200:E250" si="6">IFERROR(D200/C200,0)</f>
        <v>0</v>
      </c>
      <c r="F200" s="156">
        <f>SUMIF(NEGOCIAÇÕES!D:D,REL_LIBERADAS!B200,NEGOCIAÇÕES!T:T)</f>
        <v>0</v>
      </c>
      <c r="G200" s="158">
        <f t="shared" ref="G200:G250" si="7">IFERROR(F200/C200,0)</f>
        <v>0</v>
      </c>
    </row>
    <row r="201" spans="2:7" ht="31.95" customHeight="1" x14ac:dyDescent="0.3">
      <c r="B201" s="6">
        <f>CAD_CL!B201</f>
        <v>0</v>
      </c>
      <c r="C201" s="156">
        <f>SUMIF(NEGOCIAÇÕES!D:D,REL_LIBERADAS!B201,NEGOCIAÇÕES!Q:Q)</f>
        <v>0</v>
      </c>
      <c r="D201" s="156">
        <f>SUMIF(NEGOCIAÇÕES!D:D,REL_LIBERADAS!B201,NEGOCIAÇÕES!S:S)</f>
        <v>0</v>
      </c>
      <c r="E201" s="158">
        <f t="shared" si="6"/>
        <v>0</v>
      </c>
      <c r="F201" s="156">
        <f>SUMIF(NEGOCIAÇÕES!D:D,REL_LIBERADAS!B201,NEGOCIAÇÕES!T:T)</f>
        <v>0</v>
      </c>
      <c r="G201" s="158">
        <f t="shared" si="7"/>
        <v>0</v>
      </c>
    </row>
    <row r="202" spans="2:7" ht="31.95" customHeight="1" x14ac:dyDescent="0.3">
      <c r="B202" s="6">
        <f>CAD_CL!B202</f>
        <v>0</v>
      </c>
      <c r="C202" s="156">
        <f>SUMIF(NEGOCIAÇÕES!D:D,REL_LIBERADAS!B202,NEGOCIAÇÕES!Q:Q)</f>
        <v>0</v>
      </c>
      <c r="D202" s="156">
        <f>SUMIF(NEGOCIAÇÕES!D:D,REL_LIBERADAS!B202,NEGOCIAÇÕES!S:S)</f>
        <v>0</v>
      </c>
      <c r="E202" s="158">
        <f t="shared" si="6"/>
        <v>0</v>
      </c>
      <c r="F202" s="156">
        <f>SUMIF(NEGOCIAÇÕES!D:D,REL_LIBERADAS!B202,NEGOCIAÇÕES!T:T)</f>
        <v>0</v>
      </c>
      <c r="G202" s="158">
        <f t="shared" si="7"/>
        <v>0</v>
      </c>
    </row>
    <row r="203" spans="2:7" ht="31.95" customHeight="1" x14ac:dyDescent="0.3">
      <c r="B203" s="6">
        <f>CAD_CL!B203</f>
        <v>0</v>
      </c>
      <c r="C203" s="156">
        <f>SUMIF(NEGOCIAÇÕES!D:D,REL_LIBERADAS!B203,NEGOCIAÇÕES!Q:Q)</f>
        <v>0</v>
      </c>
      <c r="D203" s="156">
        <f>SUMIF(NEGOCIAÇÕES!D:D,REL_LIBERADAS!B203,NEGOCIAÇÕES!S:S)</f>
        <v>0</v>
      </c>
      <c r="E203" s="158">
        <f t="shared" si="6"/>
        <v>0</v>
      </c>
      <c r="F203" s="156">
        <f>SUMIF(NEGOCIAÇÕES!D:D,REL_LIBERADAS!B203,NEGOCIAÇÕES!T:T)</f>
        <v>0</v>
      </c>
      <c r="G203" s="158">
        <f t="shared" si="7"/>
        <v>0</v>
      </c>
    </row>
    <row r="204" spans="2:7" ht="31.95" customHeight="1" x14ac:dyDescent="0.3">
      <c r="B204" s="6">
        <f>CAD_CL!B204</f>
        <v>0</v>
      </c>
      <c r="C204" s="156">
        <f>SUMIF(NEGOCIAÇÕES!D:D,REL_LIBERADAS!B204,NEGOCIAÇÕES!Q:Q)</f>
        <v>0</v>
      </c>
      <c r="D204" s="156">
        <f>SUMIF(NEGOCIAÇÕES!D:D,REL_LIBERADAS!B204,NEGOCIAÇÕES!S:S)</f>
        <v>0</v>
      </c>
      <c r="E204" s="158">
        <f t="shared" si="6"/>
        <v>0</v>
      </c>
      <c r="F204" s="156">
        <f>SUMIF(NEGOCIAÇÕES!D:D,REL_LIBERADAS!B204,NEGOCIAÇÕES!T:T)</f>
        <v>0</v>
      </c>
      <c r="G204" s="158">
        <f t="shared" si="7"/>
        <v>0</v>
      </c>
    </row>
    <row r="205" spans="2:7" ht="31.95" customHeight="1" x14ac:dyDescent="0.3">
      <c r="B205" s="6">
        <f>CAD_CL!B205</f>
        <v>0</v>
      </c>
      <c r="C205" s="156">
        <f>SUMIF(NEGOCIAÇÕES!D:D,REL_LIBERADAS!B205,NEGOCIAÇÕES!Q:Q)</f>
        <v>0</v>
      </c>
      <c r="D205" s="156">
        <f>SUMIF(NEGOCIAÇÕES!D:D,REL_LIBERADAS!B205,NEGOCIAÇÕES!S:S)</f>
        <v>0</v>
      </c>
      <c r="E205" s="158">
        <f t="shared" si="6"/>
        <v>0</v>
      </c>
      <c r="F205" s="156">
        <f>SUMIF(NEGOCIAÇÕES!D:D,REL_LIBERADAS!B205,NEGOCIAÇÕES!T:T)</f>
        <v>0</v>
      </c>
      <c r="G205" s="158">
        <f t="shared" si="7"/>
        <v>0</v>
      </c>
    </row>
    <row r="206" spans="2:7" ht="31.95" customHeight="1" x14ac:dyDescent="0.3">
      <c r="B206" s="6">
        <f>CAD_CL!B206</f>
        <v>0</v>
      </c>
      <c r="C206" s="156">
        <f>SUMIF(NEGOCIAÇÕES!D:D,REL_LIBERADAS!B206,NEGOCIAÇÕES!Q:Q)</f>
        <v>0</v>
      </c>
      <c r="D206" s="156">
        <f>SUMIF(NEGOCIAÇÕES!D:D,REL_LIBERADAS!B206,NEGOCIAÇÕES!S:S)</f>
        <v>0</v>
      </c>
      <c r="E206" s="158">
        <f t="shared" si="6"/>
        <v>0</v>
      </c>
      <c r="F206" s="156">
        <f>SUMIF(NEGOCIAÇÕES!D:D,REL_LIBERADAS!B206,NEGOCIAÇÕES!T:T)</f>
        <v>0</v>
      </c>
      <c r="G206" s="158">
        <f t="shared" si="7"/>
        <v>0</v>
      </c>
    </row>
    <row r="207" spans="2:7" ht="31.95" customHeight="1" x14ac:dyDescent="0.3">
      <c r="B207" s="6">
        <f>CAD_CL!B207</f>
        <v>0</v>
      </c>
      <c r="C207" s="156">
        <f>SUMIF(NEGOCIAÇÕES!D:D,REL_LIBERADAS!B207,NEGOCIAÇÕES!Q:Q)</f>
        <v>0</v>
      </c>
      <c r="D207" s="156">
        <f>SUMIF(NEGOCIAÇÕES!D:D,REL_LIBERADAS!B207,NEGOCIAÇÕES!S:S)</f>
        <v>0</v>
      </c>
      <c r="E207" s="158">
        <f t="shared" si="6"/>
        <v>0</v>
      </c>
      <c r="F207" s="156">
        <f>SUMIF(NEGOCIAÇÕES!D:D,REL_LIBERADAS!B207,NEGOCIAÇÕES!T:T)</f>
        <v>0</v>
      </c>
      <c r="G207" s="158">
        <f t="shared" si="7"/>
        <v>0</v>
      </c>
    </row>
    <row r="208" spans="2:7" ht="31.95" customHeight="1" x14ac:dyDescent="0.3">
      <c r="B208" s="6">
        <f>CAD_CL!B208</f>
        <v>0</v>
      </c>
      <c r="C208" s="156">
        <f>SUMIF(NEGOCIAÇÕES!D:D,REL_LIBERADAS!B208,NEGOCIAÇÕES!Q:Q)</f>
        <v>0</v>
      </c>
      <c r="D208" s="156">
        <f>SUMIF(NEGOCIAÇÕES!D:D,REL_LIBERADAS!B208,NEGOCIAÇÕES!S:S)</f>
        <v>0</v>
      </c>
      <c r="E208" s="158">
        <f t="shared" si="6"/>
        <v>0</v>
      </c>
      <c r="F208" s="156">
        <f>SUMIF(NEGOCIAÇÕES!D:D,REL_LIBERADAS!B208,NEGOCIAÇÕES!T:T)</f>
        <v>0</v>
      </c>
      <c r="G208" s="158">
        <f t="shared" si="7"/>
        <v>0</v>
      </c>
    </row>
    <row r="209" spans="2:7" ht="31.95" customHeight="1" x14ac:dyDescent="0.3">
      <c r="B209" s="6">
        <f>CAD_CL!B209</f>
        <v>0</v>
      </c>
      <c r="C209" s="156">
        <f>SUMIF(NEGOCIAÇÕES!D:D,REL_LIBERADAS!B209,NEGOCIAÇÕES!Q:Q)</f>
        <v>0</v>
      </c>
      <c r="D209" s="156">
        <f>SUMIF(NEGOCIAÇÕES!D:D,REL_LIBERADAS!B209,NEGOCIAÇÕES!S:S)</f>
        <v>0</v>
      </c>
      <c r="E209" s="158">
        <f t="shared" si="6"/>
        <v>0</v>
      </c>
      <c r="F209" s="156">
        <f>SUMIF(NEGOCIAÇÕES!D:D,REL_LIBERADAS!B209,NEGOCIAÇÕES!T:T)</f>
        <v>0</v>
      </c>
      <c r="G209" s="158">
        <f t="shared" si="7"/>
        <v>0</v>
      </c>
    </row>
    <row r="210" spans="2:7" ht="31.95" customHeight="1" x14ac:dyDescent="0.3">
      <c r="B210" s="6">
        <f>CAD_CL!B210</f>
        <v>0</v>
      </c>
      <c r="C210" s="156">
        <f>SUMIF(NEGOCIAÇÕES!D:D,REL_LIBERADAS!B210,NEGOCIAÇÕES!Q:Q)</f>
        <v>0</v>
      </c>
      <c r="D210" s="156">
        <f>SUMIF(NEGOCIAÇÕES!D:D,REL_LIBERADAS!B210,NEGOCIAÇÕES!S:S)</f>
        <v>0</v>
      </c>
      <c r="E210" s="158">
        <f t="shared" si="6"/>
        <v>0</v>
      </c>
      <c r="F210" s="156">
        <f>SUMIF(NEGOCIAÇÕES!D:D,REL_LIBERADAS!B210,NEGOCIAÇÕES!T:T)</f>
        <v>0</v>
      </c>
      <c r="G210" s="158">
        <f t="shared" si="7"/>
        <v>0</v>
      </c>
    </row>
    <row r="211" spans="2:7" ht="31.95" customHeight="1" x14ac:dyDescent="0.3">
      <c r="B211" s="6">
        <f>CAD_CL!B211</f>
        <v>0</v>
      </c>
      <c r="C211" s="156">
        <f>SUMIF(NEGOCIAÇÕES!D:D,REL_LIBERADAS!B211,NEGOCIAÇÕES!Q:Q)</f>
        <v>0</v>
      </c>
      <c r="D211" s="156">
        <f>SUMIF(NEGOCIAÇÕES!D:D,REL_LIBERADAS!B211,NEGOCIAÇÕES!S:S)</f>
        <v>0</v>
      </c>
      <c r="E211" s="158">
        <f t="shared" si="6"/>
        <v>0</v>
      </c>
      <c r="F211" s="156">
        <f>SUMIF(NEGOCIAÇÕES!D:D,REL_LIBERADAS!B211,NEGOCIAÇÕES!T:T)</f>
        <v>0</v>
      </c>
      <c r="G211" s="158">
        <f t="shared" si="7"/>
        <v>0</v>
      </c>
    </row>
    <row r="212" spans="2:7" ht="31.95" customHeight="1" x14ac:dyDescent="0.3">
      <c r="B212" s="6">
        <f>CAD_CL!B212</f>
        <v>0</v>
      </c>
      <c r="C212" s="156">
        <f>SUMIF(NEGOCIAÇÕES!D:D,REL_LIBERADAS!B212,NEGOCIAÇÕES!Q:Q)</f>
        <v>0</v>
      </c>
      <c r="D212" s="156">
        <f>SUMIF(NEGOCIAÇÕES!D:D,REL_LIBERADAS!B212,NEGOCIAÇÕES!S:S)</f>
        <v>0</v>
      </c>
      <c r="E212" s="158">
        <f t="shared" si="6"/>
        <v>0</v>
      </c>
      <c r="F212" s="156">
        <f>SUMIF(NEGOCIAÇÕES!D:D,REL_LIBERADAS!B212,NEGOCIAÇÕES!T:T)</f>
        <v>0</v>
      </c>
      <c r="G212" s="158">
        <f t="shared" si="7"/>
        <v>0</v>
      </c>
    </row>
    <row r="213" spans="2:7" ht="31.95" customHeight="1" x14ac:dyDescent="0.3">
      <c r="B213" s="6">
        <f>CAD_CL!B213</f>
        <v>0</v>
      </c>
      <c r="C213" s="156">
        <f>SUMIF(NEGOCIAÇÕES!D:D,REL_LIBERADAS!B213,NEGOCIAÇÕES!Q:Q)</f>
        <v>0</v>
      </c>
      <c r="D213" s="156">
        <f>SUMIF(NEGOCIAÇÕES!D:D,REL_LIBERADAS!B213,NEGOCIAÇÕES!S:S)</f>
        <v>0</v>
      </c>
      <c r="E213" s="158">
        <f t="shared" si="6"/>
        <v>0</v>
      </c>
      <c r="F213" s="156">
        <f>SUMIF(NEGOCIAÇÕES!D:D,REL_LIBERADAS!B213,NEGOCIAÇÕES!T:T)</f>
        <v>0</v>
      </c>
      <c r="G213" s="158">
        <f t="shared" si="7"/>
        <v>0</v>
      </c>
    </row>
    <row r="214" spans="2:7" ht="31.95" customHeight="1" x14ac:dyDescent="0.3">
      <c r="B214" s="6">
        <f>CAD_CL!B214</f>
        <v>0</v>
      </c>
      <c r="C214" s="156">
        <f>SUMIF(NEGOCIAÇÕES!D:D,REL_LIBERADAS!B214,NEGOCIAÇÕES!Q:Q)</f>
        <v>0</v>
      </c>
      <c r="D214" s="156">
        <f>SUMIF(NEGOCIAÇÕES!D:D,REL_LIBERADAS!B214,NEGOCIAÇÕES!S:S)</f>
        <v>0</v>
      </c>
      <c r="E214" s="158">
        <f t="shared" si="6"/>
        <v>0</v>
      </c>
      <c r="F214" s="156">
        <f>SUMIF(NEGOCIAÇÕES!D:D,REL_LIBERADAS!B214,NEGOCIAÇÕES!T:T)</f>
        <v>0</v>
      </c>
      <c r="G214" s="158">
        <f t="shared" si="7"/>
        <v>0</v>
      </c>
    </row>
    <row r="215" spans="2:7" ht="31.95" customHeight="1" x14ac:dyDescent="0.3">
      <c r="B215" s="6">
        <f>CAD_CL!B215</f>
        <v>0</v>
      </c>
      <c r="C215" s="156">
        <f>SUMIF(NEGOCIAÇÕES!D:D,REL_LIBERADAS!B215,NEGOCIAÇÕES!Q:Q)</f>
        <v>0</v>
      </c>
      <c r="D215" s="156">
        <f>SUMIF(NEGOCIAÇÕES!D:D,REL_LIBERADAS!B215,NEGOCIAÇÕES!S:S)</f>
        <v>0</v>
      </c>
      <c r="E215" s="158">
        <f t="shared" si="6"/>
        <v>0</v>
      </c>
      <c r="F215" s="156">
        <f>SUMIF(NEGOCIAÇÕES!D:D,REL_LIBERADAS!B215,NEGOCIAÇÕES!T:T)</f>
        <v>0</v>
      </c>
      <c r="G215" s="158">
        <f t="shared" si="7"/>
        <v>0</v>
      </c>
    </row>
    <row r="216" spans="2:7" ht="31.95" customHeight="1" x14ac:dyDescent="0.3">
      <c r="B216" s="6">
        <f>CAD_CL!B216</f>
        <v>0</v>
      </c>
      <c r="C216" s="156">
        <f>SUMIF(NEGOCIAÇÕES!D:D,REL_LIBERADAS!B216,NEGOCIAÇÕES!Q:Q)</f>
        <v>0</v>
      </c>
      <c r="D216" s="156">
        <f>SUMIF(NEGOCIAÇÕES!D:D,REL_LIBERADAS!B216,NEGOCIAÇÕES!S:S)</f>
        <v>0</v>
      </c>
      <c r="E216" s="158">
        <f t="shared" si="6"/>
        <v>0</v>
      </c>
      <c r="F216" s="156">
        <f>SUMIF(NEGOCIAÇÕES!D:D,REL_LIBERADAS!B216,NEGOCIAÇÕES!T:T)</f>
        <v>0</v>
      </c>
      <c r="G216" s="158">
        <f t="shared" si="7"/>
        <v>0</v>
      </c>
    </row>
    <row r="217" spans="2:7" ht="31.95" customHeight="1" x14ac:dyDescent="0.3">
      <c r="B217" s="6">
        <f>CAD_CL!B217</f>
        <v>0</v>
      </c>
      <c r="C217" s="156">
        <f>SUMIF(NEGOCIAÇÕES!D:D,REL_LIBERADAS!B217,NEGOCIAÇÕES!Q:Q)</f>
        <v>0</v>
      </c>
      <c r="D217" s="156">
        <f>SUMIF(NEGOCIAÇÕES!D:D,REL_LIBERADAS!B217,NEGOCIAÇÕES!S:S)</f>
        <v>0</v>
      </c>
      <c r="E217" s="158">
        <f t="shared" si="6"/>
        <v>0</v>
      </c>
      <c r="F217" s="156">
        <f>SUMIF(NEGOCIAÇÕES!D:D,REL_LIBERADAS!B217,NEGOCIAÇÕES!T:T)</f>
        <v>0</v>
      </c>
      <c r="G217" s="158">
        <f t="shared" si="7"/>
        <v>0</v>
      </c>
    </row>
    <row r="218" spans="2:7" ht="31.95" customHeight="1" x14ac:dyDescent="0.3">
      <c r="B218" s="6">
        <f>CAD_CL!B218</f>
        <v>0</v>
      </c>
      <c r="C218" s="156">
        <f>SUMIF(NEGOCIAÇÕES!D:D,REL_LIBERADAS!B218,NEGOCIAÇÕES!Q:Q)</f>
        <v>0</v>
      </c>
      <c r="D218" s="156">
        <f>SUMIF(NEGOCIAÇÕES!D:D,REL_LIBERADAS!B218,NEGOCIAÇÕES!S:S)</f>
        <v>0</v>
      </c>
      <c r="E218" s="158">
        <f t="shared" si="6"/>
        <v>0</v>
      </c>
      <c r="F218" s="156">
        <f>SUMIF(NEGOCIAÇÕES!D:D,REL_LIBERADAS!B218,NEGOCIAÇÕES!T:T)</f>
        <v>0</v>
      </c>
      <c r="G218" s="158">
        <f t="shared" si="7"/>
        <v>0</v>
      </c>
    </row>
    <row r="219" spans="2:7" ht="31.95" customHeight="1" x14ac:dyDescent="0.3">
      <c r="B219" s="6">
        <f>CAD_CL!B219</f>
        <v>0</v>
      </c>
      <c r="C219" s="156">
        <f>SUMIF(NEGOCIAÇÕES!D:D,REL_LIBERADAS!B219,NEGOCIAÇÕES!Q:Q)</f>
        <v>0</v>
      </c>
      <c r="D219" s="156">
        <f>SUMIF(NEGOCIAÇÕES!D:D,REL_LIBERADAS!B219,NEGOCIAÇÕES!S:S)</f>
        <v>0</v>
      </c>
      <c r="E219" s="158">
        <f t="shared" si="6"/>
        <v>0</v>
      </c>
      <c r="F219" s="156">
        <f>SUMIF(NEGOCIAÇÕES!D:D,REL_LIBERADAS!B219,NEGOCIAÇÕES!T:T)</f>
        <v>0</v>
      </c>
      <c r="G219" s="158">
        <f t="shared" si="7"/>
        <v>0</v>
      </c>
    </row>
    <row r="220" spans="2:7" ht="31.95" customHeight="1" x14ac:dyDescent="0.3">
      <c r="B220" s="6">
        <f>CAD_CL!B220</f>
        <v>0</v>
      </c>
      <c r="C220" s="156">
        <f>SUMIF(NEGOCIAÇÕES!D:D,REL_LIBERADAS!B220,NEGOCIAÇÕES!Q:Q)</f>
        <v>0</v>
      </c>
      <c r="D220" s="156">
        <f>SUMIF(NEGOCIAÇÕES!D:D,REL_LIBERADAS!B220,NEGOCIAÇÕES!S:S)</f>
        <v>0</v>
      </c>
      <c r="E220" s="158">
        <f t="shared" si="6"/>
        <v>0</v>
      </c>
      <c r="F220" s="156">
        <f>SUMIF(NEGOCIAÇÕES!D:D,REL_LIBERADAS!B220,NEGOCIAÇÕES!T:T)</f>
        <v>0</v>
      </c>
      <c r="G220" s="158">
        <f t="shared" si="7"/>
        <v>0</v>
      </c>
    </row>
    <row r="221" spans="2:7" ht="31.95" customHeight="1" x14ac:dyDescent="0.3">
      <c r="B221" s="6">
        <f>CAD_CL!B221</f>
        <v>0</v>
      </c>
      <c r="C221" s="156">
        <f>SUMIF(NEGOCIAÇÕES!D:D,REL_LIBERADAS!B221,NEGOCIAÇÕES!Q:Q)</f>
        <v>0</v>
      </c>
      <c r="D221" s="156">
        <f>SUMIF(NEGOCIAÇÕES!D:D,REL_LIBERADAS!B221,NEGOCIAÇÕES!S:S)</f>
        <v>0</v>
      </c>
      <c r="E221" s="158">
        <f t="shared" si="6"/>
        <v>0</v>
      </c>
      <c r="F221" s="156">
        <f>SUMIF(NEGOCIAÇÕES!D:D,REL_LIBERADAS!B221,NEGOCIAÇÕES!T:T)</f>
        <v>0</v>
      </c>
      <c r="G221" s="158">
        <f t="shared" si="7"/>
        <v>0</v>
      </c>
    </row>
    <row r="222" spans="2:7" ht="31.95" customHeight="1" x14ac:dyDescent="0.3">
      <c r="B222" s="6">
        <f>CAD_CL!B222</f>
        <v>0</v>
      </c>
      <c r="C222" s="156">
        <f>SUMIF(NEGOCIAÇÕES!D:D,REL_LIBERADAS!B222,NEGOCIAÇÕES!Q:Q)</f>
        <v>0</v>
      </c>
      <c r="D222" s="156">
        <f>SUMIF(NEGOCIAÇÕES!D:D,REL_LIBERADAS!B222,NEGOCIAÇÕES!S:S)</f>
        <v>0</v>
      </c>
      <c r="E222" s="158">
        <f t="shared" si="6"/>
        <v>0</v>
      </c>
      <c r="F222" s="156">
        <f>SUMIF(NEGOCIAÇÕES!D:D,REL_LIBERADAS!B222,NEGOCIAÇÕES!T:T)</f>
        <v>0</v>
      </c>
      <c r="G222" s="158">
        <f t="shared" si="7"/>
        <v>0</v>
      </c>
    </row>
    <row r="223" spans="2:7" ht="31.95" customHeight="1" x14ac:dyDescent="0.3">
      <c r="B223" s="6">
        <f>CAD_CL!B223</f>
        <v>0</v>
      </c>
      <c r="C223" s="156">
        <f>SUMIF(NEGOCIAÇÕES!D:D,REL_LIBERADAS!B223,NEGOCIAÇÕES!Q:Q)</f>
        <v>0</v>
      </c>
      <c r="D223" s="156">
        <f>SUMIF(NEGOCIAÇÕES!D:D,REL_LIBERADAS!B223,NEGOCIAÇÕES!S:S)</f>
        <v>0</v>
      </c>
      <c r="E223" s="158">
        <f t="shared" si="6"/>
        <v>0</v>
      </c>
      <c r="F223" s="156">
        <f>SUMIF(NEGOCIAÇÕES!D:D,REL_LIBERADAS!B223,NEGOCIAÇÕES!T:T)</f>
        <v>0</v>
      </c>
      <c r="G223" s="158">
        <f t="shared" si="7"/>
        <v>0</v>
      </c>
    </row>
    <row r="224" spans="2:7" ht="31.95" customHeight="1" x14ac:dyDescent="0.3">
      <c r="B224" s="6">
        <f>CAD_CL!B224</f>
        <v>0</v>
      </c>
      <c r="C224" s="156">
        <f>SUMIF(NEGOCIAÇÕES!D:D,REL_LIBERADAS!B224,NEGOCIAÇÕES!Q:Q)</f>
        <v>0</v>
      </c>
      <c r="D224" s="156">
        <f>SUMIF(NEGOCIAÇÕES!D:D,REL_LIBERADAS!B224,NEGOCIAÇÕES!S:S)</f>
        <v>0</v>
      </c>
      <c r="E224" s="158">
        <f t="shared" si="6"/>
        <v>0</v>
      </c>
      <c r="F224" s="156">
        <f>SUMIF(NEGOCIAÇÕES!D:D,REL_LIBERADAS!B224,NEGOCIAÇÕES!T:T)</f>
        <v>0</v>
      </c>
      <c r="G224" s="158">
        <f t="shared" si="7"/>
        <v>0</v>
      </c>
    </row>
    <row r="225" spans="2:7" ht="31.95" customHeight="1" x14ac:dyDescent="0.3">
      <c r="B225" s="6">
        <f>CAD_CL!B225</f>
        <v>0</v>
      </c>
      <c r="C225" s="156">
        <f>SUMIF(NEGOCIAÇÕES!D:D,REL_LIBERADAS!B225,NEGOCIAÇÕES!Q:Q)</f>
        <v>0</v>
      </c>
      <c r="D225" s="156">
        <f>SUMIF(NEGOCIAÇÕES!D:D,REL_LIBERADAS!B225,NEGOCIAÇÕES!S:S)</f>
        <v>0</v>
      </c>
      <c r="E225" s="158">
        <f t="shared" si="6"/>
        <v>0</v>
      </c>
      <c r="F225" s="156">
        <f>SUMIF(NEGOCIAÇÕES!D:D,REL_LIBERADAS!B225,NEGOCIAÇÕES!T:T)</f>
        <v>0</v>
      </c>
      <c r="G225" s="158">
        <f t="shared" si="7"/>
        <v>0</v>
      </c>
    </row>
    <row r="226" spans="2:7" ht="31.95" customHeight="1" x14ac:dyDescent="0.3">
      <c r="B226" s="6">
        <f>CAD_CL!B226</f>
        <v>0</v>
      </c>
      <c r="C226" s="156">
        <f>SUMIF(NEGOCIAÇÕES!D:D,REL_LIBERADAS!B226,NEGOCIAÇÕES!Q:Q)</f>
        <v>0</v>
      </c>
      <c r="D226" s="156">
        <f>SUMIF(NEGOCIAÇÕES!D:D,REL_LIBERADAS!B226,NEGOCIAÇÕES!S:S)</f>
        <v>0</v>
      </c>
      <c r="E226" s="158">
        <f t="shared" si="6"/>
        <v>0</v>
      </c>
      <c r="F226" s="156">
        <f>SUMIF(NEGOCIAÇÕES!D:D,REL_LIBERADAS!B226,NEGOCIAÇÕES!T:T)</f>
        <v>0</v>
      </c>
      <c r="G226" s="158">
        <f t="shared" si="7"/>
        <v>0</v>
      </c>
    </row>
    <row r="227" spans="2:7" ht="31.95" customHeight="1" x14ac:dyDescent="0.3">
      <c r="B227" s="6">
        <f>CAD_CL!B227</f>
        <v>0</v>
      </c>
      <c r="C227" s="156">
        <f>SUMIF(NEGOCIAÇÕES!D:D,REL_LIBERADAS!B227,NEGOCIAÇÕES!Q:Q)</f>
        <v>0</v>
      </c>
      <c r="D227" s="156">
        <f>SUMIF(NEGOCIAÇÕES!D:D,REL_LIBERADAS!B227,NEGOCIAÇÕES!S:S)</f>
        <v>0</v>
      </c>
      <c r="E227" s="158">
        <f t="shared" si="6"/>
        <v>0</v>
      </c>
      <c r="F227" s="156">
        <f>SUMIF(NEGOCIAÇÕES!D:D,REL_LIBERADAS!B227,NEGOCIAÇÕES!T:T)</f>
        <v>0</v>
      </c>
      <c r="G227" s="158">
        <f t="shared" si="7"/>
        <v>0</v>
      </c>
    </row>
    <row r="228" spans="2:7" ht="31.95" customHeight="1" x14ac:dyDescent="0.3">
      <c r="B228" s="6">
        <f>CAD_CL!B228</f>
        <v>0</v>
      </c>
      <c r="C228" s="156">
        <f>SUMIF(NEGOCIAÇÕES!D:D,REL_LIBERADAS!B228,NEGOCIAÇÕES!Q:Q)</f>
        <v>0</v>
      </c>
      <c r="D228" s="156">
        <f>SUMIF(NEGOCIAÇÕES!D:D,REL_LIBERADAS!B228,NEGOCIAÇÕES!S:S)</f>
        <v>0</v>
      </c>
      <c r="E228" s="158">
        <f t="shared" si="6"/>
        <v>0</v>
      </c>
      <c r="F228" s="156">
        <f>SUMIF(NEGOCIAÇÕES!D:D,REL_LIBERADAS!B228,NEGOCIAÇÕES!T:T)</f>
        <v>0</v>
      </c>
      <c r="G228" s="158">
        <f t="shared" si="7"/>
        <v>0</v>
      </c>
    </row>
    <row r="229" spans="2:7" ht="31.95" customHeight="1" x14ac:dyDescent="0.3">
      <c r="B229" s="6">
        <f>CAD_CL!B229</f>
        <v>0</v>
      </c>
      <c r="C229" s="156">
        <f>SUMIF(NEGOCIAÇÕES!D:D,REL_LIBERADAS!B229,NEGOCIAÇÕES!Q:Q)</f>
        <v>0</v>
      </c>
      <c r="D229" s="156">
        <f>SUMIF(NEGOCIAÇÕES!D:D,REL_LIBERADAS!B229,NEGOCIAÇÕES!S:S)</f>
        <v>0</v>
      </c>
      <c r="E229" s="158">
        <f t="shared" si="6"/>
        <v>0</v>
      </c>
      <c r="F229" s="156">
        <f>SUMIF(NEGOCIAÇÕES!D:D,REL_LIBERADAS!B229,NEGOCIAÇÕES!T:T)</f>
        <v>0</v>
      </c>
      <c r="G229" s="158">
        <f t="shared" si="7"/>
        <v>0</v>
      </c>
    </row>
    <row r="230" spans="2:7" ht="31.95" customHeight="1" x14ac:dyDescent="0.3">
      <c r="B230" s="6">
        <f>CAD_CL!B230</f>
        <v>0</v>
      </c>
      <c r="C230" s="156">
        <f>SUMIF(NEGOCIAÇÕES!D:D,REL_LIBERADAS!B230,NEGOCIAÇÕES!Q:Q)</f>
        <v>0</v>
      </c>
      <c r="D230" s="156">
        <f>SUMIF(NEGOCIAÇÕES!D:D,REL_LIBERADAS!B230,NEGOCIAÇÕES!S:S)</f>
        <v>0</v>
      </c>
      <c r="E230" s="158">
        <f t="shared" si="6"/>
        <v>0</v>
      </c>
      <c r="F230" s="156">
        <f>SUMIF(NEGOCIAÇÕES!D:D,REL_LIBERADAS!B230,NEGOCIAÇÕES!T:T)</f>
        <v>0</v>
      </c>
      <c r="G230" s="158">
        <f t="shared" si="7"/>
        <v>0</v>
      </c>
    </row>
    <row r="231" spans="2:7" ht="31.95" customHeight="1" x14ac:dyDescent="0.3">
      <c r="B231" s="6">
        <f>CAD_CL!B231</f>
        <v>0</v>
      </c>
      <c r="C231" s="156">
        <f>SUMIF(NEGOCIAÇÕES!D:D,REL_LIBERADAS!B231,NEGOCIAÇÕES!Q:Q)</f>
        <v>0</v>
      </c>
      <c r="D231" s="156">
        <f>SUMIF(NEGOCIAÇÕES!D:D,REL_LIBERADAS!B231,NEGOCIAÇÕES!S:S)</f>
        <v>0</v>
      </c>
      <c r="E231" s="158">
        <f t="shared" si="6"/>
        <v>0</v>
      </c>
      <c r="F231" s="156">
        <f>SUMIF(NEGOCIAÇÕES!D:D,REL_LIBERADAS!B231,NEGOCIAÇÕES!T:T)</f>
        <v>0</v>
      </c>
      <c r="G231" s="158">
        <f t="shared" si="7"/>
        <v>0</v>
      </c>
    </row>
    <row r="232" spans="2:7" ht="31.95" customHeight="1" x14ac:dyDescent="0.3">
      <c r="B232" s="6">
        <f>CAD_CL!B232</f>
        <v>0</v>
      </c>
      <c r="C232" s="156">
        <f>SUMIF(NEGOCIAÇÕES!D:D,REL_LIBERADAS!B232,NEGOCIAÇÕES!Q:Q)</f>
        <v>0</v>
      </c>
      <c r="D232" s="156">
        <f>SUMIF(NEGOCIAÇÕES!D:D,REL_LIBERADAS!B232,NEGOCIAÇÕES!S:S)</f>
        <v>0</v>
      </c>
      <c r="E232" s="158">
        <f t="shared" si="6"/>
        <v>0</v>
      </c>
      <c r="F232" s="156">
        <f>SUMIF(NEGOCIAÇÕES!D:D,REL_LIBERADAS!B232,NEGOCIAÇÕES!T:T)</f>
        <v>0</v>
      </c>
      <c r="G232" s="158">
        <f t="shared" si="7"/>
        <v>0</v>
      </c>
    </row>
    <row r="233" spans="2:7" ht="31.95" customHeight="1" x14ac:dyDescent="0.3">
      <c r="B233" s="6">
        <f>CAD_CL!B233</f>
        <v>0</v>
      </c>
      <c r="C233" s="156">
        <f>SUMIF(NEGOCIAÇÕES!D:D,REL_LIBERADAS!B233,NEGOCIAÇÕES!Q:Q)</f>
        <v>0</v>
      </c>
      <c r="D233" s="156">
        <f>SUMIF(NEGOCIAÇÕES!D:D,REL_LIBERADAS!B233,NEGOCIAÇÕES!S:S)</f>
        <v>0</v>
      </c>
      <c r="E233" s="158">
        <f t="shared" si="6"/>
        <v>0</v>
      </c>
      <c r="F233" s="156">
        <f>SUMIF(NEGOCIAÇÕES!D:D,REL_LIBERADAS!B233,NEGOCIAÇÕES!T:T)</f>
        <v>0</v>
      </c>
      <c r="G233" s="158">
        <f t="shared" si="7"/>
        <v>0</v>
      </c>
    </row>
    <row r="234" spans="2:7" ht="31.95" customHeight="1" x14ac:dyDescent="0.3">
      <c r="B234" s="6">
        <f>CAD_CL!B234</f>
        <v>0</v>
      </c>
      <c r="C234" s="156">
        <f>SUMIF(NEGOCIAÇÕES!D:D,REL_LIBERADAS!B234,NEGOCIAÇÕES!Q:Q)</f>
        <v>0</v>
      </c>
      <c r="D234" s="156">
        <f>SUMIF(NEGOCIAÇÕES!D:D,REL_LIBERADAS!B234,NEGOCIAÇÕES!S:S)</f>
        <v>0</v>
      </c>
      <c r="E234" s="158">
        <f t="shared" si="6"/>
        <v>0</v>
      </c>
      <c r="F234" s="156">
        <f>SUMIF(NEGOCIAÇÕES!D:D,REL_LIBERADAS!B234,NEGOCIAÇÕES!T:T)</f>
        <v>0</v>
      </c>
      <c r="G234" s="158">
        <f t="shared" si="7"/>
        <v>0</v>
      </c>
    </row>
    <row r="235" spans="2:7" ht="31.95" customHeight="1" x14ac:dyDescent="0.3">
      <c r="B235" s="6">
        <f>CAD_CL!B235</f>
        <v>0</v>
      </c>
      <c r="C235" s="156">
        <f>SUMIF(NEGOCIAÇÕES!D:D,REL_LIBERADAS!B235,NEGOCIAÇÕES!Q:Q)</f>
        <v>0</v>
      </c>
      <c r="D235" s="156">
        <f>SUMIF(NEGOCIAÇÕES!D:D,REL_LIBERADAS!B235,NEGOCIAÇÕES!S:S)</f>
        <v>0</v>
      </c>
      <c r="E235" s="158">
        <f t="shared" si="6"/>
        <v>0</v>
      </c>
      <c r="F235" s="156">
        <f>SUMIF(NEGOCIAÇÕES!D:D,REL_LIBERADAS!B235,NEGOCIAÇÕES!T:T)</f>
        <v>0</v>
      </c>
      <c r="G235" s="158">
        <f t="shared" si="7"/>
        <v>0</v>
      </c>
    </row>
    <row r="236" spans="2:7" ht="31.95" customHeight="1" x14ac:dyDescent="0.3">
      <c r="B236" s="6">
        <f>CAD_CL!B236</f>
        <v>0</v>
      </c>
      <c r="C236" s="156">
        <f>SUMIF(NEGOCIAÇÕES!D:D,REL_LIBERADAS!B236,NEGOCIAÇÕES!Q:Q)</f>
        <v>0</v>
      </c>
      <c r="D236" s="156">
        <f>SUMIF(NEGOCIAÇÕES!D:D,REL_LIBERADAS!B236,NEGOCIAÇÕES!S:S)</f>
        <v>0</v>
      </c>
      <c r="E236" s="158">
        <f t="shared" si="6"/>
        <v>0</v>
      </c>
      <c r="F236" s="156">
        <f>SUMIF(NEGOCIAÇÕES!D:D,REL_LIBERADAS!B236,NEGOCIAÇÕES!T:T)</f>
        <v>0</v>
      </c>
      <c r="G236" s="158">
        <f t="shared" si="7"/>
        <v>0</v>
      </c>
    </row>
    <row r="237" spans="2:7" ht="31.95" customHeight="1" x14ac:dyDescent="0.3">
      <c r="B237" s="6">
        <f>CAD_CL!B237</f>
        <v>0</v>
      </c>
      <c r="C237" s="156">
        <f>SUMIF(NEGOCIAÇÕES!D:D,REL_LIBERADAS!B237,NEGOCIAÇÕES!Q:Q)</f>
        <v>0</v>
      </c>
      <c r="D237" s="156">
        <f>SUMIF(NEGOCIAÇÕES!D:D,REL_LIBERADAS!B237,NEGOCIAÇÕES!S:S)</f>
        <v>0</v>
      </c>
      <c r="E237" s="158">
        <f t="shared" si="6"/>
        <v>0</v>
      </c>
      <c r="F237" s="156">
        <f>SUMIF(NEGOCIAÇÕES!D:D,REL_LIBERADAS!B237,NEGOCIAÇÕES!T:T)</f>
        <v>0</v>
      </c>
      <c r="G237" s="158">
        <f t="shared" si="7"/>
        <v>0</v>
      </c>
    </row>
    <row r="238" spans="2:7" ht="31.95" customHeight="1" x14ac:dyDescent="0.3">
      <c r="B238" s="6">
        <f>CAD_CL!B238</f>
        <v>0</v>
      </c>
      <c r="C238" s="156">
        <f>SUMIF(NEGOCIAÇÕES!D:D,REL_LIBERADAS!B238,NEGOCIAÇÕES!Q:Q)</f>
        <v>0</v>
      </c>
      <c r="D238" s="156">
        <f>SUMIF(NEGOCIAÇÕES!D:D,REL_LIBERADAS!B238,NEGOCIAÇÕES!S:S)</f>
        <v>0</v>
      </c>
      <c r="E238" s="158">
        <f t="shared" si="6"/>
        <v>0</v>
      </c>
      <c r="F238" s="156">
        <f>SUMIF(NEGOCIAÇÕES!D:D,REL_LIBERADAS!B238,NEGOCIAÇÕES!T:T)</f>
        <v>0</v>
      </c>
      <c r="G238" s="158">
        <f t="shared" si="7"/>
        <v>0</v>
      </c>
    </row>
    <row r="239" spans="2:7" ht="31.95" customHeight="1" x14ac:dyDescent="0.3">
      <c r="B239" s="6">
        <f>CAD_CL!B239</f>
        <v>0</v>
      </c>
      <c r="C239" s="156">
        <f>SUMIF(NEGOCIAÇÕES!D:D,REL_LIBERADAS!B239,NEGOCIAÇÕES!Q:Q)</f>
        <v>0</v>
      </c>
      <c r="D239" s="156">
        <f>SUMIF(NEGOCIAÇÕES!D:D,REL_LIBERADAS!B239,NEGOCIAÇÕES!S:S)</f>
        <v>0</v>
      </c>
      <c r="E239" s="158">
        <f t="shared" si="6"/>
        <v>0</v>
      </c>
      <c r="F239" s="156">
        <f>SUMIF(NEGOCIAÇÕES!D:D,REL_LIBERADAS!B239,NEGOCIAÇÕES!T:T)</f>
        <v>0</v>
      </c>
      <c r="G239" s="158">
        <f t="shared" si="7"/>
        <v>0</v>
      </c>
    </row>
    <row r="240" spans="2:7" ht="31.95" customHeight="1" x14ac:dyDescent="0.3">
      <c r="B240" s="6">
        <f>CAD_CL!B240</f>
        <v>0</v>
      </c>
      <c r="C240" s="156">
        <f>SUMIF(NEGOCIAÇÕES!D:D,REL_LIBERADAS!B240,NEGOCIAÇÕES!Q:Q)</f>
        <v>0</v>
      </c>
      <c r="D240" s="156">
        <f>SUMIF(NEGOCIAÇÕES!D:D,REL_LIBERADAS!B240,NEGOCIAÇÕES!S:S)</f>
        <v>0</v>
      </c>
      <c r="E240" s="158">
        <f t="shared" si="6"/>
        <v>0</v>
      </c>
      <c r="F240" s="156">
        <f>SUMIF(NEGOCIAÇÕES!D:D,REL_LIBERADAS!B240,NEGOCIAÇÕES!T:T)</f>
        <v>0</v>
      </c>
      <c r="G240" s="158">
        <f t="shared" si="7"/>
        <v>0</v>
      </c>
    </row>
    <row r="241" spans="2:7" ht="31.95" customHeight="1" x14ac:dyDescent="0.3">
      <c r="B241" s="6">
        <f>CAD_CL!B241</f>
        <v>0</v>
      </c>
      <c r="C241" s="156">
        <f>SUMIF(NEGOCIAÇÕES!D:D,REL_LIBERADAS!B241,NEGOCIAÇÕES!Q:Q)</f>
        <v>0</v>
      </c>
      <c r="D241" s="156">
        <f>SUMIF(NEGOCIAÇÕES!D:D,REL_LIBERADAS!B241,NEGOCIAÇÕES!S:S)</f>
        <v>0</v>
      </c>
      <c r="E241" s="158">
        <f t="shared" si="6"/>
        <v>0</v>
      </c>
      <c r="F241" s="156">
        <f>SUMIF(NEGOCIAÇÕES!D:D,REL_LIBERADAS!B241,NEGOCIAÇÕES!T:T)</f>
        <v>0</v>
      </c>
      <c r="G241" s="158">
        <f t="shared" si="7"/>
        <v>0</v>
      </c>
    </row>
    <row r="242" spans="2:7" ht="31.95" customHeight="1" x14ac:dyDescent="0.3">
      <c r="B242" s="6">
        <f>CAD_CL!B242</f>
        <v>0</v>
      </c>
      <c r="C242" s="156">
        <f>SUMIF(NEGOCIAÇÕES!D:D,REL_LIBERADAS!B242,NEGOCIAÇÕES!Q:Q)</f>
        <v>0</v>
      </c>
      <c r="D242" s="156">
        <f>SUMIF(NEGOCIAÇÕES!D:D,REL_LIBERADAS!B242,NEGOCIAÇÕES!S:S)</f>
        <v>0</v>
      </c>
      <c r="E242" s="158">
        <f t="shared" si="6"/>
        <v>0</v>
      </c>
      <c r="F242" s="156">
        <f>SUMIF(NEGOCIAÇÕES!D:D,REL_LIBERADAS!B242,NEGOCIAÇÕES!T:T)</f>
        <v>0</v>
      </c>
      <c r="G242" s="158">
        <f t="shared" si="7"/>
        <v>0</v>
      </c>
    </row>
    <row r="243" spans="2:7" ht="31.95" customHeight="1" x14ac:dyDescent="0.3">
      <c r="B243" s="6">
        <f>CAD_CL!B243</f>
        <v>0</v>
      </c>
      <c r="C243" s="156">
        <f>SUMIF(NEGOCIAÇÕES!D:D,REL_LIBERADAS!B243,NEGOCIAÇÕES!Q:Q)</f>
        <v>0</v>
      </c>
      <c r="D243" s="156">
        <f>SUMIF(NEGOCIAÇÕES!D:D,REL_LIBERADAS!B243,NEGOCIAÇÕES!S:S)</f>
        <v>0</v>
      </c>
      <c r="E243" s="158">
        <f t="shared" si="6"/>
        <v>0</v>
      </c>
      <c r="F243" s="156">
        <f>SUMIF(NEGOCIAÇÕES!D:D,REL_LIBERADAS!B243,NEGOCIAÇÕES!T:T)</f>
        <v>0</v>
      </c>
      <c r="G243" s="158">
        <f t="shared" si="7"/>
        <v>0</v>
      </c>
    </row>
    <row r="244" spans="2:7" ht="31.95" customHeight="1" x14ac:dyDescent="0.3">
      <c r="B244" s="6">
        <f>CAD_CL!B244</f>
        <v>0</v>
      </c>
      <c r="C244" s="156">
        <f>SUMIF(NEGOCIAÇÕES!D:D,REL_LIBERADAS!B244,NEGOCIAÇÕES!Q:Q)</f>
        <v>0</v>
      </c>
      <c r="D244" s="156">
        <f>SUMIF(NEGOCIAÇÕES!D:D,REL_LIBERADAS!B244,NEGOCIAÇÕES!S:S)</f>
        <v>0</v>
      </c>
      <c r="E244" s="158">
        <f t="shared" si="6"/>
        <v>0</v>
      </c>
      <c r="F244" s="156">
        <f>SUMIF(NEGOCIAÇÕES!D:D,REL_LIBERADAS!B244,NEGOCIAÇÕES!T:T)</f>
        <v>0</v>
      </c>
      <c r="G244" s="158">
        <f t="shared" si="7"/>
        <v>0</v>
      </c>
    </row>
    <row r="245" spans="2:7" ht="31.95" customHeight="1" x14ac:dyDescent="0.3">
      <c r="B245" s="6">
        <f>CAD_CL!B245</f>
        <v>0</v>
      </c>
      <c r="C245" s="156">
        <f>SUMIF(NEGOCIAÇÕES!D:D,REL_LIBERADAS!B245,NEGOCIAÇÕES!Q:Q)</f>
        <v>0</v>
      </c>
      <c r="D245" s="156">
        <f>SUMIF(NEGOCIAÇÕES!D:D,REL_LIBERADAS!B245,NEGOCIAÇÕES!S:S)</f>
        <v>0</v>
      </c>
      <c r="E245" s="158">
        <f t="shared" si="6"/>
        <v>0</v>
      </c>
      <c r="F245" s="156">
        <f>SUMIF(NEGOCIAÇÕES!D:D,REL_LIBERADAS!B245,NEGOCIAÇÕES!T:T)</f>
        <v>0</v>
      </c>
      <c r="G245" s="158">
        <f t="shared" si="7"/>
        <v>0</v>
      </c>
    </row>
    <row r="246" spans="2:7" ht="31.95" customHeight="1" x14ac:dyDescent="0.3">
      <c r="B246" s="6">
        <f>CAD_CL!B246</f>
        <v>0</v>
      </c>
      <c r="C246" s="156">
        <f>SUMIF(NEGOCIAÇÕES!D:D,REL_LIBERADAS!B246,NEGOCIAÇÕES!Q:Q)</f>
        <v>0</v>
      </c>
      <c r="D246" s="156">
        <f>SUMIF(NEGOCIAÇÕES!D:D,REL_LIBERADAS!B246,NEGOCIAÇÕES!S:S)</f>
        <v>0</v>
      </c>
      <c r="E246" s="158">
        <f t="shared" si="6"/>
        <v>0</v>
      </c>
      <c r="F246" s="156">
        <f>SUMIF(NEGOCIAÇÕES!D:D,REL_LIBERADAS!B246,NEGOCIAÇÕES!T:T)</f>
        <v>0</v>
      </c>
      <c r="G246" s="158">
        <f t="shared" si="7"/>
        <v>0</v>
      </c>
    </row>
    <row r="247" spans="2:7" ht="31.95" customHeight="1" x14ac:dyDescent="0.3">
      <c r="B247" s="6">
        <f>CAD_CL!B247</f>
        <v>0</v>
      </c>
      <c r="C247" s="156">
        <f>SUMIF(NEGOCIAÇÕES!D:D,REL_LIBERADAS!B247,NEGOCIAÇÕES!Q:Q)</f>
        <v>0</v>
      </c>
      <c r="D247" s="156">
        <f>SUMIF(NEGOCIAÇÕES!D:D,REL_LIBERADAS!B247,NEGOCIAÇÕES!S:S)</f>
        <v>0</v>
      </c>
      <c r="E247" s="158">
        <f t="shared" si="6"/>
        <v>0</v>
      </c>
      <c r="F247" s="156">
        <f>SUMIF(NEGOCIAÇÕES!D:D,REL_LIBERADAS!B247,NEGOCIAÇÕES!T:T)</f>
        <v>0</v>
      </c>
      <c r="G247" s="158">
        <f t="shared" si="7"/>
        <v>0</v>
      </c>
    </row>
    <row r="248" spans="2:7" ht="31.95" customHeight="1" x14ac:dyDescent="0.3">
      <c r="B248" s="6">
        <f>CAD_CL!B248</f>
        <v>0</v>
      </c>
      <c r="C248" s="156">
        <f>SUMIF(NEGOCIAÇÕES!D:D,REL_LIBERADAS!B248,NEGOCIAÇÕES!Q:Q)</f>
        <v>0</v>
      </c>
      <c r="D248" s="156">
        <f>SUMIF(NEGOCIAÇÕES!D:D,REL_LIBERADAS!B248,NEGOCIAÇÕES!S:S)</f>
        <v>0</v>
      </c>
      <c r="E248" s="158">
        <f t="shared" si="6"/>
        <v>0</v>
      </c>
      <c r="F248" s="156">
        <f>SUMIF(NEGOCIAÇÕES!D:D,REL_LIBERADAS!B248,NEGOCIAÇÕES!T:T)</f>
        <v>0</v>
      </c>
      <c r="G248" s="158">
        <f t="shared" si="7"/>
        <v>0</v>
      </c>
    </row>
    <row r="249" spans="2:7" ht="31.95" customHeight="1" x14ac:dyDescent="0.3">
      <c r="B249" s="6">
        <f>CAD_CL!B249</f>
        <v>0</v>
      </c>
      <c r="C249" s="156">
        <f>SUMIF(NEGOCIAÇÕES!D:D,REL_LIBERADAS!B249,NEGOCIAÇÕES!Q:Q)</f>
        <v>0</v>
      </c>
      <c r="D249" s="156">
        <f>SUMIF(NEGOCIAÇÕES!D:D,REL_LIBERADAS!B249,NEGOCIAÇÕES!S:S)</f>
        <v>0</v>
      </c>
      <c r="E249" s="158">
        <f t="shared" si="6"/>
        <v>0</v>
      </c>
      <c r="F249" s="156">
        <f>SUMIF(NEGOCIAÇÕES!D:D,REL_LIBERADAS!B249,NEGOCIAÇÕES!T:T)</f>
        <v>0</v>
      </c>
      <c r="G249" s="158">
        <f t="shared" si="7"/>
        <v>0</v>
      </c>
    </row>
    <row r="250" spans="2:7" ht="31.95" customHeight="1" x14ac:dyDescent="0.3">
      <c r="B250" s="6">
        <f>CAD_CL!B250</f>
        <v>0</v>
      </c>
      <c r="C250" s="156">
        <f>SUMIF(NEGOCIAÇÕES!D:D,REL_LIBERADAS!B250,NEGOCIAÇÕES!Q:Q)</f>
        <v>0</v>
      </c>
      <c r="D250" s="156">
        <f>SUMIF(NEGOCIAÇÕES!D:D,REL_LIBERADAS!B250,NEGOCIAÇÕES!S:S)</f>
        <v>0</v>
      </c>
      <c r="E250" s="158">
        <f t="shared" si="6"/>
        <v>0</v>
      </c>
      <c r="F250" s="156">
        <f>SUMIF(NEGOCIAÇÕES!D:D,REL_LIBERADAS!B250,NEGOCIAÇÕES!T:T)</f>
        <v>0</v>
      </c>
      <c r="G250" s="158">
        <f t="shared" si="7"/>
        <v>0</v>
      </c>
    </row>
  </sheetData>
  <sheetProtection formatCells="0" formatColumns="0" formatRows="0" insertColumns="0" insertRows="0" insertHyperlinks="0" deleteColumns="0" deleteRows="0" sort="0" autoFilter="0" pivotTables="0"/>
  <autoFilter ref="B4:F250" xr:uid="{64E25C97-9D69-4093-BA9B-0F9F90DE8749}"/>
  <hyperlinks>
    <hyperlink ref="A1" location="'Ordem de compra'!A1" display="'Ordem de compra'!A1" xr:uid="{01D3CC88-33E2-4DA8-A0D5-D34D9BFF46A5}"/>
  </hyperlink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349BB-F7BA-4A9A-840B-118B6AB44CE9}">
  <sheetPr codeName="Planilha12"/>
  <dimension ref="A1:AD1413"/>
  <sheetViews>
    <sheetView showGridLines="0" workbookViewId="0"/>
  </sheetViews>
  <sheetFormatPr defaultColWidth="8.88671875" defaultRowHeight="14.4" x14ac:dyDescent="0.3"/>
  <cols>
    <col min="1" max="1" width="10.6640625" style="2" customWidth="1"/>
    <col min="2" max="2" width="30.6640625" style="2" customWidth="1"/>
    <col min="3" max="3" width="5.6640625" style="2" customWidth="1"/>
    <col min="4" max="4" width="30.6640625" style="2" customWidth="1"/>
    <col min="5" max="5" width="5.6640625" style="2" customWidth="1"/>
    <col min="6" max="6" width="30.6640625" style="2" customWidth="1"/>
    <col min="7" max="7" width="5.6640625" style="2" customWidth="1"/>
    <col min="8" max="8" width="30.6640625" style="2" customWidth="1"/>
    <col min="9" max="9" width="5.6640625" style="2" customWidth="1"/>
    <col min="10" max="10" width="30.6640625" style="2" customWidth="1"/>
    <col min="11" max="21" width="15.6640625" style="2" customWidth="1"/>
    <col min="22" max="16384" width="8.88671875" style="2"/>
  </cols>
  <sheetData>
    <row r="1" spans="1:30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4" spans="1:30" ht="31.95" customHeight="1" x14ac:dyDescent="0.3">
      <c r="B4" s="16" t="s">
        <v>1381</v>
      </c>
      <c r="C4"/>
      <c r="D4" s="16" t="s">
        <v>1380</v>
      </c>
      <c r="E4"/>
      <c r="F4" s="172" t="s">
        <v>1379</v>
      </c>
      <c r="G4"/>
      <c r="H4" s="201"/>
      <c r="I4" s="202"/>
      <c r="J4" s="201"/>
      <c r="U4" s="14"/>
    </row>
    <row r="5" spans="1:30" ht="31.95" customHeight="1" x14ac:dyDescent="0.3">
      <c r="B5" s="18">
        <f>INDICADORES!O8</f>
        <v>306</v>
      </c>
      <c r="C5"/>
      <c r="D5" s="19">
        <f>INDICADORES!O9</f>
        <v>296</v>
      </c>
      <c r="E5"/>
      <c r="F5" s="19">
        <f>INDICADORES!O12</f>
        <v>296</v>
      </c>
      <c r="G5"/>
      <c r="H5" s="203"/>
      <c r="I5" s="202"/>
      <c r="J5" s="203"/>
    </row>
    <row r="6" spans="1:30" ht="31.95" customHeight="1" x14ac:dyDescent="0.3">
      <c r="B6"/>
      <c r="C6"/>
      <c r="D6"/>
      <c r="E6"/>
      <c r="F6"/>
      <c r="G6"/>
      <c r="H6"/>
      <c r="I6" s="17"/>
      <c r="J6" s="17"/>
    </row>
    <row r="7" spans="1:30" ht="31.95" customHeight="1" x14ac:dyDescent="0.3">
      <c r="B7"/>
      <c r="C7"/>
      <c r="D7"/>
      <c r="E7"/>
      <c r="F7"/>
      <c r="G7"/>
      <c r="H7"/>
      <c r="I7" s="17"/>
      <c r="J7" s="17"/>
    </row>
    <row r="8" spans="1:30" ht="31.95" customHeight="1" x14ac:dyDescent="0.3">
      <c r="B8"/>
      <c r="C8"/>
      <c r="D8"/>
      <c r="E8"/>
      <c r="F8"/>
      <c r="G8"/>
      <c r="H8"/>
      <c r="I8" s="17"/>
      <c r="J8" s="17"/>
    </row>
    <row r="9" spans="1:30" ht="31.95" customHeight="1" x14ac:dyDescent="0.3">
      <c r="B9"/>
      <c r="C9"/>
      <c r="D9"/>
      <c r="E9"/>
      <c r="F9"/>
      <c r="G9"/>
      <c r="H9"/>
      <c r="I9" s="17"/>
      <c r="J9" s="17"/>
    </row>
    <row r="10" spans="1:30" ht="31.95" customHeight="1" x14ac:dyDescent="0.3">
      <c r="B10"/>
      <c r="C10"/>
      <c r="D10"/>
      <c r="E10"/>
      <c r="F10"/>
      <c r="G10"/>
      <c r="H10"/>
      <c r="I10" s="17"/>
      <c r="J10" s="17"/>
    </row>
    <row r="11" spans="1:30" ht="31.95" customHeight="1" x14ac:dyDescent="0.3">
      <c r="B11"/>
      <c r="C11"/>
      <c r="D11"/>
      <c r="E11"/>
      <c r="F11"/>
      <c r="G11"/>
      <c r="H11"/>
      <c r="I11" s="17"/>
      <c r="J11" s="17"/>
    </row>
    <row r="12" spans="1:30" ht="31.95" customHeight="1" x14ac:dyDescent="0.3">
      <c r="B12"/>
      <c r="C12"/>
      <c r="D12"/>
      <c r="E12"/>
      <c r="F12"/>
      <c r="G12"/>
      <c r="H12"/>
      <c r="I12" s="17"/>
      <c r="J12" s="17"/>
    </row>
    <row r="13" spans="1:30" ht="31.95" customHeight="1" x14ac:dyDescent="0.3">
      <c r="B13"/>
      <c r="C13"/>
      <c r="D13"/>
      <c r="E13"/>
      <c r="F13"/>
      <c r="G13"/>
      <c r="H13"/>
      <c r="I13" s="17"/>
      <c r="J13" s="17"/>
    </row>
    <row r="14" spans="1:30" ht="31.95" customHeight="1" x14ac:dyDescent="0.3">
      <c r="B14"/>
      <c r="C14"/>
      <c r="D14"/>
      <c r="E14"/>
      <c r="F14"/>
      <c r="G14"/>
      <c r="H14"/>
      <c r="I14" s="17"/>
      <c r="J14" s="17"/>
    </row>
    <row r="15" spans="1:30" ht="31.95" customHeight="1" x14ac:dyDescent="0.3">
      <c r="B15"/>
      <c r="C15"/>
      <c r="D15"/>
      <c r="E15"/>
      <c r="F15"/>
      <c r="G15"/>
      <c r="H15"/>
      <c r="I15" s="17"/>
      <c r="J15" s="17"/>
    </row>
    <row r="16" spans="1:30" ht="31.95" customHeight="1" x14ac:dyDescent="0.3">
      <c r="B16"/>
      <c r="C16"/>
      <c r="D16"/>
      <c r="E16"/>
      <c r="F16"/>
      <c r="G16"/>
      <c r="H16"/>
      <c r="I16" s="17"/>
      <c r="J16" s="17"/>
    </row>
    <row r="17" spans="2:10" ht="31.95" customHeight="1" x14ac:dyDescent="0.3">
      <c r="B17"/>
      <c r="C17"/>
      <c r="D17"/>
      <c r="E17"/>
      <c r="F17"/>
      <c r="G17"/>
      <c r="H17"/>
      <c r="I17" s="17"/>
      <c r="J17" s="17"/>
    </row>
    <row r="18" spans="2:10" ht="31.95" customHeight="1" x14ac:dyDescent="0.3">
      <c r="B18"/>
      <c r="C18"/>
      <c r="D18"/>
      <c r="E18"/>
      <c r="F18"/>
      <c r="G18"/>
      <c r="H18"/>
      <c r="I18" s="17"/>
      <c r="J18" s="17"/>
    </row>
    <row r="19" spans="2:10" ht="31.95" customHeight="1" x14ac:dyDescent="0.3">
      <c r="B19"/>
      <c r="C19"/>
      <c r="D19"/>
      <c r="E19"/>
      <c r="F19"/>
      <c r="G19"/>
      <c r="H19"/>
      <c r="I19" s="17"/>
      <c r="J19" s="17"/>
    </row>
    <row r="20" spans="2:10" ht="31.95" customHeight="1" x14ac:dyDescent="0.3">
      <c r="B20"/>
      <c r="C20"/>
      <c r="D20"/>
      <c r="E20"/>
      <c r="F20"/>
      <c r="G20"/>
      <c r="H20"/>
      <c r="I20" s="17"/>
      <c r="J20" s="17"/>
    </row>
    <row r="21" spans="2:10" ht="31.95" customHeight="1" x14ac:dyDescent="0.3">
      <c r="B21"/>
      <c r="C21"/>
      <c r="D21"/>
      <c r="E21"/>
      <c r="F21"/>
      <c r="G21"/>
      <c r="H21"/>
      <c r="I21" s="17"/>
      <c r="J21" s="17"/>
    </row>
    <row r="22" spans="2:10" ht="31.95" customHeight="1" x14ac:dyDescent="0.3"/>
    <row r="23" spans="2:10" ht="31.95" customHeight="1" x14ac:dyDescent="0.3"/>
    <row r="24" spans="2:10" ht="31.95" customHeight="1" x14ac:dyDescent="0.3"/>
    <row r="25" spans="2:10" ht="31.95" customHeight="1" x14ac:dyDescent="0.3"/>
    <row r="26" spans="2:10" ht="31.95" customHeight="1" x14ac:dyDescent="0.3"/>
    <row r="27" spans="2:10" ht="31.95" customHeight="1" x14ac:dyDescent="0.3"/>
    <row r="28" spans="2:10" ht="31.95" customHeight="1" x14ac:dyDescent="0.3"/>
    <row r="29" spans="2:10" ht="31.95" customHeight="1" x14ac:dyDescent="0.3"/>
    <row r="30" spans="2:10" ht="31.95" customHeight="1" x14ac:dyDescent="0.3"/>
    <row r="31" spans="2:10" ht="31.95" customHeight="1" x14ac:dyDescent="0.3"/>
    <row r="32" spans="2:10" ht="31.95" customHeight="1" x14ac:dyDescent="0.3"/>
    <row r="33" ht="31.95" customHeight="1" x14ac:dyDescent="0.3"/>
    <row r="34" ht="31.95" customHeight="1" x14ac:dyDescent="0.3"/>
    <row r="35" ht="31.95" customHeight="1" x14ac:dyDescent="0.3"/>
    <row r="36" ht="31.95" customHeight="1" x14ac:dyDescent="0.3"/>
    <row r="37" ht="31.95" customHeight="1" x14ac:dyDescent="0.3"/>
    <row r="38" ht="31.95" customHeight="1" x14ac:dyDescent="0.3"/>
    <row r="39" ht="31.95" customHeight="1" x14ac:dyDescent="0.3"/>
    <row r="40" ht="31.95" customHeight="1" x14ac:dyDescent="0.3"/>
    <row r="41" ht="31.95" customHeight="1" x14ac:dyDescent="0.3"/>
    <row r="42" ht="31.95" customHeight="1" x14ac:dyDescent="0.3"/>
    <row r="43" ht="31.95" customHeight="1" x14ac:dyDescent="0.3"/>
    <row r="44" ht="31.95" customHeight="1" x14ac:dyDescent="0.3"/>
    <row r="45" ht="31.95" customHeight="1" x14ac:dyDescent="0.3"/>
    <row r="46" ht="31.95" customHeight="1" x14ac:dyDescent="0.3"/>
    <row r="47" ht="31.95" customHeight="1" x14ac:dyDescent="0.3"/>
    <row r="48" ht="31.95" customHeight="1" x14ac:dyDescent="0.3"/>
    <row r="49" ht="31.95" customHeight="1" x14ac:dyDescent="0.3"/>
    <row r="50" ht="31.95" customHeight="1" x14ac:dyDescent="0.3"/>
    <row r="51" ht="31.95" customHeight="1" x14ac:dyDescent="0.3"/>
    <row r="52" ht="31.95" customHeight="1" x14ac:dyDescent="0.3"/>
    <row r="53" ht="31.95" customHeight="1" x14ac:dyDescent="0.3"/>
    <row r="54" ht="31.95" customHeight="1" x14ac:dyDescent="0.3"/>
    <row r="55" ht="31.95" customHeight="1" x14ac:dyDescent="0.3"/>
    <row r="56" ht="31.95" customHeight="1" x14ac:dyDescent="0.3"/>
    <row r="57" ht="31.95" customHeight="1" x14ac:dyDescent="0.3"/>
    <row r="58" ht="31.95" customHeight="1" x14ac:dyDescent="0.3"/>
    <row r="59" ht="31.95" customHeight="1" x14ac:dyDescent="0.3"/>
    <row r="60" ht="31.95" customHeight="1" x14ac:dyDescent="0.3"/>
    <row r="61" ht="31.95" customHeight="1" x14ac:dyDescent="0.3"/>
    <row r="62" ht="31.95" customHeight="1" x14ac:dyDescent="0.3"/>
    <row r="63" ht="31.95" customHeight="1" x14ac:dyDescent="0.3"/>
    <row r="64" ht="31.95" customHeight="1" x14ac:dyDescent="0.3"/>
    <row r="65" ht="31.95" customHeight="1" x14ac:dyDescent="0.3"/>
    <row r="66" ht="31.95" customHeight="1" x14ac:dyDescent="0.3"/>
    <row r="67" ht="31.95" customHeight="1" x14ac:dyDescent="0.3"/>
    <row r="68" ht="31.95" customHeight="1" x14ac:dyDescent="0.3"/>
    <row r="69" ht="31.95" customHeight="1" x14ac:dyDescent="0.3"/>
    <row r="70" ht="31.95" customHeight="1" x14ac:dyDescent="0.3"/>
    <row r="71" ht="31.95" customHeight="1" x14ac:dyDescent="0.3"/>
    <row r="72" ht="31.95" customHeight="1" x14ac:dyDescent="0.3"/>
    <row r="73" ht="31.95" customHeight="1" x14ac:dyDescent="0.3"/>
    <row r="74" ht="31.95" customHeight="1" x14ac:dyDescent="0.3"/>
    <row r="75" ht="31.95" customHeight="1" x14ac:dyDescent="0.3"/>
    <row r="76" ht="31.95" customHeight="1" x14ac:dyDescent="0.3"/>
    <row r="77" ht="31.95" customHeight="1" x14ac:dyDescent="0.3"/>
    <row r="78" ht="31.95" customHeight="1" x14ac:dyDescent="0.3"/>
    <row r="79" ht="31.95" customHeight="1" x14ac:dyDescent="0.3"/>
    <row r="80" ht="31.95" customHeight="1" x14ac:dyDescent="0.3"/>
    <row r="81" ht="31.95" customHeight="1" x14ac:dyDescent="0.3"/>
    <row r="82" ht="31.95" customHeight="1" x14ac:dyDescent="0.3"/>
    <row r="83" ht="31.95" customHeight="1" x14ac:dyDescent="0.3"/>
    <row r="84" ht="31.95" customHeight="1" x14ac:dyDescent="0.3"/>
    <row r="85" ht="31.95" customHeight="1" x14ac:dyDescent="0.3"/>
    <row r="86" ht="31.95" customHeight="1" x14ac:dyDescent="0.3"/>
    <row r="87" ht="31.95" customHeight="1" x14ac:dyDescent="0.3"/>
    <row r="88" ht="31.95" customHeight="1" x14ac:dyDescent="0.3"/>
    <row r="89" ht="31.95" customHeight="1" x14ac:dyDescent="0.3"/>
    <row r="90" ht="31.95" customHeight="1" x14ac:dyDescent="0.3"/>
    <row r="91" ht="31.95" customHeight="1" x14ac:dyDescent="0.3"/>
    <row r="92" ht="31.95" customHeight="1" x14ac:dyDescent="0.3"/>
    <row r="93" ht="31.95" customHeight="1" x14ac:dyDescent="0.3"/>
    <row r="94" ht="31.95" customHeight="1" x14ac:dyDescent="0.3"/>
    <row r="95" ht="31.95" customHeight="1" x14ac:dyDescent="0.3"/>
    <row r="96" ht="31.95" customHeight="1" x14ac:dyDescent="0.3"/>
    <row r="97" ht="31.95" customHeight="1" x14ac:dyDescent="0.3"/>
    <row r="98" ht="31.95" customHeight="1" x14ac:dyDescent="0.3"/>
    <row r="99" ht="31.95" customHeight="1" x14ac:dyDescent="0.3"/>
    <row r="100" ht="31.95" customHeight="1" x14ac:dyDescent="0.3"/>
    <row r="101" ht="31.95" customHeight="1" x14ac:dyDescent="0.3"/>
    <row r="102" ht="31.95" customHeight="1" x14ac:dyDescent="0.3"/>
    <row r="103" ht="31.95" customHeight="1" x14ac:dyDescent="0.3"/>
    <row r="104" ht="31.95" customHeight="1" x14ac:dyDescent="0.3"/>
    <row r="105" ht="31.95" customHeight="1" x14ac:dyDescent="0.3"/>
    <row r="106" ht="31.95" customHeight="1" x14ac:dyDescent="0.3"/>
    <row r="107" ht="31.95" customHeight="1" x14ac:dyDescent="0.3"/>
    <row r="108" ht="31.95" customHeight="1" x14ac:dyDescent="0.3"/>
    <row r="109" ht="31.95" customHeight="1" x14ac:dyDescent="0.3"/>
    <row r="110" ht="31.95" customHeight="1" x14ac:dyDescent="0.3"/>
    <row r="111" ht="31.95" customHeight="1" x14ac:dyDescent="0.3"/>
    <row r="112" ht="31.95" customHeight="1" x14ac:dyDescent="0.3"/>
    <row r="113" ht="31.95" customHeight="1" x14ac:dyDescent="0.3"/>
    <row r="114" ht="31.95" customHeight="1" x14ac:dyDescent="0.3"/>
    <row r="115" ht="31.95" customHeight="1" x14ac:dyDescent="0.3"/>
    <row r="116" ht="31.95" customHeight="1" x14ac:dyDescent="0.3"/>
    <row r="117" ht="31.95" customHeight="1" x14ac:dyDescent="0.3"/>
    <row r="118" ht="31.95" customHeight="1" x14ac:dyDescent="0.3"/>
    <row r="119" ht="31.95" customHeight="1" x14ac:dyDescent="0.3"/>
    <row r="120" ht="31.95" customHeight="1" x14ac:dyDescent="0.3"/>
    <row r="121" ht="31.95" customHeight="1" x14ac:dyDescent="0.3"/>
    <row r="122" ht="31.95" customHeight="1" x14ac:dyDescent="0.3"/>
    <row r="123" ht="31.95" customHeight="1" x14ac:dyDescent="0.3"/>
    <row r="124" ht="31.95" customHeight="1" x14ac:dyDescent="0.3"/>
    <row r="125" ht="31.95" customHeight="1" x14ac:dyDescent="0.3"/>
    <row r="126" ht="31.95" customHeight="1" x14ac:dyDescent="0.3"/>
    <row r="127" ht="31.95" customHeight="1" x14ac:dyDescent="0.3"/>
    <row r="128" ht="31.95" customHeight="1" x14ac:dyDescent="0.3"/>
    <row r="129" ht="31.95" customHeight="1" x14ac:dyDescent="0.3"/>
    <row r="130" ht="31.95" customHeight="1" x14ac:dyDescent="0.3"/>
    <row r="131" ht="31.95" customHeight="1" x14ac:dyDescent="0.3"/>
    <row r="132" ht="31.95" customHeight="1" x14ac:dyDescent="0.3"/>
    <row r="133" ht="31.95" customHeight="1" x14ac:dyDescent="0.3"/>
    <row r="134" ht="31.95" customHeight="1" x14ac:dyDescent="0.3"/>
    <row r="135" ht="31.95" customHeight="1" x14ac:dyDescent="0.3"/>
    <row r="136" ht="31.95" customHeight="1" x14ac:dyDescent="0.3"/>
    <row r="137" ht="31.95" customHeight="1" x14ac:dyDescent="0.3"/>
    <row r="138" ht="31.95" customHeight="1" x14ac:dyDescent="0.3"/>
    <row r="139" ht="31.95" customHeight="1" x14ac:dyDescent="0.3"/>
    <row r="140" ht="31.95" customHeight="1" x14ac:dyDescent="0.3"/>
    <row r="141" ht="31.95" customHeight="1" x14ac:dyDescent="0.3"/>
    <row r="142" ht="31.95" customHeight="1" x14ac:dyDescent="0.3"/>
    <row r="143" ht="31.95" customHeight="1" x14ac:dyDescent="0.3"/>
    <row r="144" ht="31.95" customHeight="1" x14ac:dyDescent="0.3"/>
    <row r="145" ht="31.95" customHeight="1" x14ac:dyDescent="0.3"/>
    <row r="146" ht="31.95" customHeight="1" x14ac:dyDescent="0.3"/>
    <row r="147" ht="31.95" customHeight="1" x14ac:dyDescent="0.3"/>
    <row r="148" ht="31.95" customHeight="1" x14ac:dyDescent="0.3"/>
    <row r="149" ht="31.95" customHeight="1" x14ac:dyDescent="0.3"/>
    <row r="150" ht="31.95" customHeight="1" x14ac:dyDescent="0.3"/>
    <row r="151" ht="31.95" customHeight="1" x14ac:dyDescent="0.3"/>
    <row r="152" ht="31.95" customHeight="1" x14ac:dyDescent="0.3"/>
    <row r="153" ht="31.95" customHeight="1" x14ac:dyDescent="0.3"/>
    <row r="154" ht="31.95" customHeight="1" x14ac:dyDescent="0.3"/>
    <row r="155" ht="31.95" customHeight="1" x14ac:dyDescent="0.3"/>
    <row r="156" ht="31.95" customHeight="1" x14ac:dyDescent="0.3"/>
    <row r="157" ht="31.95" customHeight="1" x14ac:dyDescent="0.3"/>
    <row r="158" ht="31.95" customHeight="1" x14ac:dyDescent="0.3"/>
    <row r="159" ht="31.95" customHeight="1" x14ac:dyDescent="0.3"/>
    <row r="160" ht="31.95" customHeight="1" x14ac:dyDescent="0.3"/>
    <row r="161" ht="31.95" customHeight="1" x14ac:dyDescent="0.3"/>
    <row r="162" ht="31.95" customHeight="1" x14ac:dyDescent="0.3"/>
    <row r="163" ht="31.95" customHeight="1" x14ac:dyDescent="0.3"/>
    <row r="164" ht="31.95" customHeight="1" x14ac:dyDescent="0.3"/>
    <row r="165" ht="31.95" customHeight="1" x14ac:dyDescent="0.3"/>
    <row r="166" ht="31.95" customHeight="1" x14ac:dyDescent="0.3"/>
    <row r="167" ht="31.95" customHeight="1" x14ac:dyDescent="0.3"/>
    <row r="168" ht="31.95" customHeight="1" x14ac:dyDescent="0.3"/>
    <row r="169" ht="31.95" customHeight="1" x14ac:dyDescent="0.3"/>
    <row r="170" ht="31.95" customHeight="1" x14ac:dyDescent="0.3"/>
    <row r="171" ht="31.95" customHeight="1" x14ac:dyDescent="0.3"/>
    <row r="172" ht="31.95" customHeight="1" x14ac:dyDescent="0.3"/>
    <row r="173" ht="31.95" customHeight="1" x14ac:dyDescent="0.3"/>
    <row r="174" ht="31.95" customHeight="1" x14ac:dyDescent="0.3"/>
    <row r="175" ht="31.95" customHeight="1" x14ac:dyDescent="0.3"/>
    <row r="176" ht="31.95" customHeight="1" x14ac:dyDescent="0.3"/>
    <row r="177" ht="31.95" customHeight="1" x14ac:dyDescent="0.3"/>
    <row r="178" ht="31.95" customHeight="1" x14ac:dyDescent="0.3"/>
    <row r="179" ht="31.95" customHeight="1" x14ac:dyDescent="0.3"/>
    <row r="180" ht="31.95" customHeight="1" x14ac:dyDescent="0.3"/>
    <row r="181" ht="31.95" customHeight="1" x14ac:dyDescent="0.3"/>
    <row r="182" ht="31.95" customHeight="1" x14ac:dyDescent="0.3"/>
    <row r="183" ht="31.95" customHeight="1" x14ac:dyDescent="0.3"/>
    <row r="184" ht="31.95" customHeight="1" x14ac:dyDescent="0.3"/>
    <row r="185" ht="31.95" customHeight="1" x14ac:dyDescent="0.3"/>
    <row r="186" ht="31.95" customHeight="1" x14ac:dyDescent="0.3"/>
    <row r="187" ht="31.95" customHeight="1" x14ac:dyDescent="0.3"/>
    <row r="188" ht="31.95" customHeight="1" x14ac:dyDescent="0.3"/>
    <row r="189" ht="31.95" customHeight="1" x14ac:dyDescent="0.3"/>
    <row r="190" ht="31.95" customHeight="1" x14ac:dyDescent="0.3"/>
    <row r="191" ht="31.95" customHeight="1" x14ac:dyDescent="0.3"/>
    <row r="192" ht="31.95" customHeight="1" x14ac:dyDescent="0.3"/>
    <row r="193" ht="31.95" customHeight="1" x14ac:dyDescent="0.3"/>
    <row r="194" ht="31.95" customHeight="1" x14ac:dyDescent="0.3"/>
    <row r="195" ht="31.95" customHeight="1" x14ac:dyDescent="0.3"/>
    <row r="196" ht="31.95" customHeight="1" x14ac:dyDescent="0.3"/>
    <row r="197" ht="31.95" customHeight="1" x14ac:dyDescent="0.3"/>
    <row r="198" ht="31.95" customHeight="1" x14ac:dyDescent="0.3"/>
    <row r="199" ht="31.95" customHeight="1" x14ac:dyDescent="0.3"/>
    <row r="200" ht="31.95" customHeight="1" x14ac:dyDescent="0.3"/>
    <row r="201" ht="31.95" customHeight="1" x14ac:dyDescent="0.3"/>
    <row r="202" ht="31.95" customHeight="1" x14ac:dyDescent="0.3"/>
    <row r="203" ht="31.95" customHeight="1" x14ac:dyDescent="0.3"/>
    <row r="204" ht="31.95" customHeight="1" x14ac:dyDescent="0.3"/>
    <row r="205" ht="31.95" customHeight="1" x14ac:dyDescent="0.3"/>
    <row r="206" ht="31.95" customHeight="1" x14ac:dyDescent="0.3"/>
    <row r="207" ht="31.95" customHeight="1" x14ac:dyDescent="0.3"/>
    <row r="208" ht="31.95" customHeight="1" x14ac:dyDescent="0.3"/>
    <row r="209" ht="31.95" customHeight="1" x14ac:dyDescent="0.3"/>
    <row r="210" ht="31.95" customHeight="1" x14ac:dyDescent="0.3"/>
    <row r="211" ht="31.95" customHeight="1" x14ac:dyDescent="0.3"/>
    <row r="212" ht="31.95" customHeight="1" x14ac:dyDescent="0.3"/>
    <row r="213" ht="31.95" customHeight="1" x14ac:dyDescent="0.3"/>
    <row r="214" ht="31.95" customHeight="1" x14ac:dyDescent="0.3"/>
    <row r="215" ht="31.95" customHeight="1" x14ac:dyDescent="0.3"/>
    <row r="216" ht="31.95" customHeight="1" x14ac:dyDescent="0.3"/>
    <row r="217" ht="31.95" customHeight="1" x14ac:dyDescent="0.3"/>
    <row r="218" ht="31.95" customHeight="1" x14ac:dyDescent="0.3"/>
    <row r="219" ht="31.95" customHeight="1" x14ac:dyDescent="0.3"/>
    <row r="220" ht="31.95" customHeight="1" x14ac:dyDescent="0.3"/>
    <row r="221" ht="31.95" customHeight="1" x14ac:dyDescent="0.3"/>
    <row r="222" ht="31.95" customHeight="1" x14ac:dyDescent="0.3"/>
    <row r="223" ht="31.95" customHeight="1" x14ac:dyDescent="0.3"/>
    <row r="224" ht="31.95" customHeight="1" x14ac:dyDescent="0.3"/>
    <row r="225" ht="31.95" customHeight="1" x14ac:dyDescent="0.3"/>
    <row r="226" ht="31.95" customHeight="1" x14ac:dyDescent="0.3"/>
    <row r="227" ht="31.95" customHeight="1" x14ac:dyDescent="0.3"/>
    <row r="228" ht="31.95" customHeight="1" x14ac:dyDescent="0.3"/>
    <row r="229" ht="31.95" customHeight="1" x14ac:dyDescent="0.3"/>
    <row r="230" ht="31.95" customHeight="1" x14ac:dyDescent="0.3"/>
    <row r="231" ht="31.95" customHeight="1" x14ac:dyDescent="0.3"/>
    <row r="232" ht="31.95" customHeight="1" x14ac:dyDescent="0.3"/>
    <row r="233" ht="31.95" customHeight="1" x14ac:dyDescent="0.3"/>
    <row r="234" ht="31.95" customHeight="1" x14ac:dyDescent="0.3"/>
    <row r="235" ht="31.95" customHeight="1" x14ac:dyDescent="0.3"/>
    <row r="236" ht="31.95" customHeight="1" x14ac:dyDescent="0.3"/>
    <row r="237" ht="31.95" customHeight="1" x14ac:dyDescent="0.3"/>
    <row r="238" ht="31.95" customHeight="1" x14ac:dyDescent="0.3"/>
    <row r="239" ht="31.95" customHeight="1" x14ac:dyDescent="0.3"/>
    <row r="240" ht="31.95" customHeight="1" x14ac:dyDescent="0.3"/>
    <row r="241" ht="31.95" customHeight="1" x14ac:dyDescent="0.3"/>
    <row r="242" ht="31.95" customHeight="1" x14ac:dyDescent="0.3"/>
    <row r="243" ht="31.95" customHeight="1" x14ac:dyDescent="0.3"/>
    <row r="244" ht="31.95" customHeight="1" x14ac:dyDescent="0.3"/>
    <row r="245" ht="31.95" customHeight="1" x14ac:dyDescent="0.3"/>
    <row r="246" ht="31.95" customHeight="1" x14ac:dyDescent="0.3"/>
    <row r="247" ht="31.95" customHeight="1" x14ac:dyDescent="0.3"/>
    <row r="248" ht="31.95" customHeight="1" x14ac:dyDescent="0.3"/>
    <row r="249" ht="31.95" customHeight="1" x14ac:dyDescent="0.3"/>
    <row r="250" ht="31.95" customHeight="1" x14ac:dyDescent="0.3"/>
    <row r="251" ht="31.95" customHeight="1" x14ac:dyDescent="0.3"/>
    <row r="252" ht="31.95" customHeight="1" x14ac:dyDescent="0.3"/>
    <row r="253" ht="31.95" customHeight="1" x14ac:dyDescent="0.3"/>
    <row r="254" ht="31.95" customHeight="1" x14ac:dyDescent="0.3"/>
    <row r="255" ht="31.95" customHeight="1" x14ac:dyDescent="0.3"/>
    <row r="256" ht="31.95" customHeight="1" x14ac:dyDescent="0.3"/>
    <row r="257" ht="31.95" customHeight="1" x14ac:dyDescent="0.3"/>
    <row r="258" ht="31.95" customHeight="1" x14ac:dyDescent="0.3"/>
    <row r="259" ht="31.95" customHeight="1" x14ac:dyDescent="0.3"/>
    <row r="260" ht="31.95" customHeight="1" x14ac:dyDescent="0.3"/>
    <row r="261" ht="31.95" customHeight="1" x14ac:dyDescent="0.3"/>
    <row r="262" ht="31.95" customHeight="1" x14ac:dyDescent="0.3"/>
    <row r="263" ht="31.95" customHeight="1" x14ac:dyDescent="0.3"/>
    <row r="264" ht="31.95" customHeight="1" x14ac:dyDescent="0.3"/>
    <row r="265" ht="31.95" customHeight="1" x14ac:dyDescent="0.3"/>
    <row r="266" ht="31.95" customHeight="1" x14ac:dyDescent="0.3"/>
    <row r="267" ht="31.95" customHeight="1" x14ac:dyDescent="0.3"/>
    <row r="268" ht="31.95" customHeight="1" x14ac:dyDescent="0.3"/>
    <row r="269" ht="31.95" customHeight="1" x14ac:dyDescent="0.3"/>
    <row r="270" ht="31.95" customHeight="1" x14ac:dyDescent="0.3"/>
    <row r="271" ht="31.95" customHeight="1" x14ac:dyDescent="0.3"/>
    <row r="272" ht="31.95" customHeight="1" x14ac:dyDescent="0.3"/>
    <row r="273" ht="31.95" customHeight="1" x14ac:dyDescent="0.3"/>
    <row r="274" ht="31.95" customHeight="1" x14ac:dyDescent="0.3"/>
    <row r="275" ht="31.95" customHeight="1" x14ac:dyDescent="0.3"/>
    <row r="276" ht="31.95" customHeight="1" x14ac:dyDescent="0.3"/>
    <row r="277" ht="31.95" customHeight="1" x14ac:dyDescent="0.3"/>
    <row r="278" ht="31.95" customHeight="1" x14ac:dyDescent="0.3"/>
    <row r="279" ht="31.95" customHeight="1" x14ac:dyDescent="0.3"/>
    <row r="280" ht="31.95" customHeight="1" x14ac:dyDescent="0.3"/>
    <row r="281" ht="31.95" customHeight="1" x14ac:dyDescent="0.3"/>
    <row r="282" ht="31.95" customHeight="1" x14ac:dyDescent="0.3"/>
    <row r="283" ht="31.95" customHeight="1" x14ac:dyDescent="0.3"/>
    <row r="284" ht="31.95" customHeight="1" x14ac:dyDescent="0.3"/>
    <row r="285" ht="31.95" customHeight="1" x14ac:dyDescent="0.3"/>
    <row r="286" ht="31.95" customHeight="1" x14ac:dyDescent="0.3"/>
    <row r="287" ht="31.95" customHeight="1" x14ac:dyDescent="0.3"/>
    <row r="288" ht="31.95" customHeight="1" x14ac:dyDescent="0.3"/>
    <row r="289" ht="31.95" customHeight="1" x14ac:dyDescent="0.3"/>
    <row r="290" ht="31.95" customHeight="1" x14ac:dyDescent="0.3"/>
    <row r="291" ht="31.95" customHeight="1" x14ac:dyDescent="0.3"/>
    <row r="292" ht="31.95" customHeight="1" x14ac:dyDescent="0.3"/>
    <row r="293" ht="31.95" customHeight="1" x14ac:dyDescent="0.3"/>
    <row r="294" ht="31.95" customHeight="1" x14ac:dyDescent="0.3"/>
    <row r="295" ht="31.95" customHeight="1" x14ac:dyDescent="0.3"/>
    <row r="296" ht="31.95" customHeight="1" x14ac:dyDescent="0.3"/>
    <row r="297" ht="31.95" customHeight="1" x14ac:dyDescent="0.3"/>
    <row r="298" ht="31.95" customHeight="1" x14ac:dyDescent="0.3"/>
    <row r="299" ht="31.95" customHeight="1" x14ac:dyDescent="0.3"/>
    <row r="300" ht="31.95" customHeight="1" x14ac:dyDescent="0.3"/>
    <row r="301" ht="31.95" customHeight="1" x14ac:dyDescent="0.3"/>
    <row r="302" ht="31.95" customHeight="1" x14ac:dyDescent="0.3"/>
    <row r="303" ht="31.95" customHeight="1" x14ac:dyDescent="0.3"/>
    <row r="304" ht="31.95" customHeight="1" x14ac:dyDescent="0.3"/>
    <row r="305" ht="31.95" customHeight="1" x14ac:dyDescent="0.3"/>
    <row r="306" ht="31.95" customHeight="1" x14ac:dyDescent="0.3"/>
    <row r="307" ht="31.95" customHeight="1" x14ac:dyDescent="0.3"/>
    <row r="308" ht="31.95" customHeight="1" x14ac:dyDescent="0.3"/>
    <row r="309" ht="31.95" customHeight="1" x14ac:dyDescent="0.3"/>
    <row r="310" ht="31.95" customHeight="1" x14ac:dyDescent="0.3"/>
    <row r="311" ht="31.95" customHeight="1" x14ac:dyDescent="0.3"/>
    <row r="312" ht="31.95" customHeight="1" x14ac:dyDescent="0.3"/>
    <row r="313" ht="31.95" customHeight="1" x14ac:dyDescent="0.3"/>
    <row r="314" ht="31.95" customHeight="1" x14ac:dyDescent="0.3"/>
    <row r="315" ht="31.95" customHeight="1" x14ac:dyDescent="0.3"/>
    <row r="316" ht="31.95" customHeight="1" x14ac:dyDescent="0.3"/>
    <row r="317" ht="31.95" customHeight="1" x14ac:dyDescent="0.3"/>
    <row r="318" ht="31.95" customHeight="1" x14ac:dyDescent="0.3"/>
    <row r="319" ht="31.95" customHeight="1" x14ac:dyDescent="0.3"/>
    <row r="320" ht="31.95" customHeight="1" x14ac:dyDescent="0.3"/>
    <row r="321" ht="31.95" customHeight="1" x14ac:dyDescent="0.3"/>
    <row r="322" ht="31.95" customHeight="1" x14ac:dyDescent="0.3"/>
    <row r="323" ht="31.95" customHeight="1" x14ac:dyDescent="0.3"/>
    <row r="324" ht="31.95" customHeight="1" x14ac:dyDescent="0.3"/>
    <row r="325" ht="31.95" customHeight="1" x14ac:dyDescent="0.3"/>
    <row r="326" ht="31.95" customHeight="1" x14ac:dyDescent="0.3"/>
    <row r="327" ht="31.95" customHeight="1" x14ac:dyDescent="0.3"/>
    <row r="328" ht="31.95" customHeight="1" x14ac:dyDescent="0.3"/>
    <row r="329" ht="31.95" customHeight="1" x14ac:dyDescent="0.3"/>
    <row r="330" ht="31.95" customHeight="1" x14ac:dyDescent="0.3"/>
    <row r="331" ht="31.95" customHeight="1" x14ac:dyDescent="0.3"/>
    <row r="332" ht="31.95" customHeight="1" x14ac:dyDescent="0.3"/>
    <row r="333" ht="31.95" customHeight="1" x14ac:dyDescent="0.3"/>
    <row r="334" ht="31.95" customHeight="1" x14ac:dyDescent="0.3"/>
    <row r="335" ht="31.95" customHeight="1" x14ac:dyDescent="0.3"/>
    <row r="336" ht="31.95" customHeight="1" x14ac:dyDescent="0.3"/>
    <row r="337" ht="31.95" customHeight="1" x14ac:dyDescent="0.3"/>
    <row r="338" ht="31.95" customHeight="1" x14ac:dyDescent="0.3"/>
    <row r="339" ht="31.95" customHeight="1" x14ac:dyDescent="0.3"/>
    <row r="340" ht="31.95" customHeight="1" x14ac:dyDescent="0.3"/>
    <row r="341" ht="31.95" customHeight="1" x14ac:dyDescent="0.3"/>
    <row r="342" ht="31.95" customHeight="1" x14ac:dyDescent="0.3"/>
    <row r="343" ht="31.95" customHeight="1" x14ac:dyDescent="0.3"/>
    <row r="344" ht="31.95" customHeight="1" x14ac:dyDescent="0.3"/>
    <row r="345" ht="31.95" customHeight="1" x14ac:dyDescent="0.3"/>
    <row r="346" ht="31.95" customHeight="1" x14ac:dyDescent="0.3"/>
    <row r="347" ht="31.95" customHeight="1" x14ac:dyDescent="0.3"/>
    <row r="348" ht="31.95" customHeight="1" x14ac:dyDescent="0.3"/>
    <row r="349" ht="31.95" customHeight="1" x14ac:dyDescent="0.3"/>
    <row r="350" ht="31.95" customHeight="1" x14ac:dyDescent="0.3"/>
    <row r="351" ht="31.95" customHeight="1" x14ac:dyDescent="0.3"/>
    <row r="352" ht="31.95" customHeight="1" x14ac:dyDescent="0.3"/>
    <row r="353" ht="31.95" customHeight="1" x14ac:dyDescent="0.3"/>
    <row r="354" ht="31.95" customHeight="1" x14ac:dyDescent="0.3"/>
    <row r="355" ht="31.95" customHeight="1" x14ac:dyDescent="0.3"/>
    <row r="356" ht="31.95" customHeight="1" x14ac:dyDescent="0.3"/>
    <row r="357" ht="31.95" customHeight="1" x14ac:dyDescent="0.3"/>
    <row r="358" ht="31.95" customHeight="1" x14ac:dyDescent="0.3"/>
    <row r="359" ht="31.95" customHeight="1" x14ac:dyDescent="0.3"/>
    <row r="360" ht="31.95" customHeight="1" x14ac:dyDescent="0.3"/>
    <row r="361" ht="31.95" customHeight="1" x14ac:dyDescent="0.3"/>
    <row r="362" ht="31.95" customHeight="1" x14ac:dyDescent="0.3"/>
    <row r="363" ht="31.95" customHeight="1" x14ac:dyDescent="0.3"/>
    <row r="364" ht="31.95" customHeight="1" x14ac:dyDescent="0.3"/>
    <row r="365" ht="31.95" customHeight="1" x14ac:dyDescent="0.3"/>
    <row r="366" ht="31.95" customHeight="1" x14ac:dyDescent="0.3"/>
    <row r="367" ht="31.95" customHeight="1" x14ac:dyDescent="0.3"/>
    <row r="368" ht="31.95" customHeight="1" x14ac:dyDescent="0.3"/>
    <row r="369" ht="31.95" customHeight="1" x14ac:dyDescent="0.3"/>
    <row r="370" ht="31.95" customHeight="1" x14ac:dyDescent="0.3"/>
    <row r="371" ht="31.95" customHeight="1" x14ac:dyDescent="0.3"/>
    <row r="372" ht="31.95" customHeight="1" x14ac:dyDescent="0.3"/>
    <row r="373" ht="31.95" customHeight="1" x14ac:dyDescent="0.3"/>
    <row r="374" ht="31.95" customHeight="1" x14ac:dyDescent="0.3"/>
    <row r="375" ht="31.95" customHeight="1" x14ac:dyDescent="0.3"/>
    <row r="376" ht="31.95" customHeight="1" x14ac:dyDescent="0.3"/>
    <row r="377" ht="31.95" customHeight="1" x14ac:dyDescent="0.3"/>
    <row r="378" ht="31.95" customHeight="1" x14ac:dyDescent="0.3"/>
    <row r="379" ht="31.95" customHeight="1" x14ac:dyDescent="0.3"/>
    <row r="380" ht="31.95" customHeight="1" x14ac:dyDescent="0.3"/>
    <row r="381" ht="31.95" customHeight="1" x14ac:dyDescent="0.3"/>
    <row r="382" ht="31.95" customHeight="1" x14ac:dyDescent="0.3"/>
    <row r="383" ht="31.95" customHeight="1" x14ac:dyDescent="0.3"/>
    <row r="384" ht="31.95" customHeight="1" x14ac:dyDescent="0.3"/>
    <row r="385" ht="31.95" customHeight="1" x14ac:dyDescent="0.3"/>
    <row r="386" ht="31.95" customHeight="1" x14ac:dyDescent="0.3"/>
    <row r="387" ht="31.95" customHeight="1" x14ac:dyDescent="0.3"/>
    <row r="388" ht="31.95" customHeight="1" x14ac:dyDescent="0.3"/>
    <row r="389" ht="31.95" customHeight="1" x14ac:dyDescent="0.3"/>
    <row r="390" ht="31.95" customHeight="1" x14ac:dyDescent="0.3"/>
    <row r="391" ht="31.95" customHeight="1" x14ac:dyDescent="0.3"/>
    <row r="392" ht="31.95" customHeight="1" x14ac:dyDescent="0.3"/>
    <row r="393" ht="31.95" customHeight="1" x14ac:dyDescent="0.3"/>
    <row r="394" ht="31.95" customHeight="1" x14ac:dyDescent="0.3"/>
    <row r="395" ht="31.95" customHeight="1" x14ac:dyDescent="0.3"/>
    <row r="396" ht="31.95" customHeight="1" x14ac:dyDescent="0.3"/>
    <row r="397" ht="31.95" customHeight="1" x14ac:dyDescent="0.3"/>
    <row r="398" ht="31.95" customHeight="1" x14ac:dyDescent="0.3"/>
    <row r="399" ht="31.95" customHeight="1" x14ac:dyDescent="0.3"/>
    <row r="400" ht="31.95" customHeight="1" x14ac:dyDescent="0.3"/>
    <row r="401" ht="31.95" customHeight="1" x14ac:dyDescent="0.3"/>
    <row r="402" ht="31.95" customHeight="1" x14ac:dyDescent="0.3"/>
    <row r="403" ht="31.95" customHeight="1" x14ac:dyDescent="0.3"/>
    <row r="404" ht="31.95" customHeight="1" x14ac:dyDescent="0.3"/>
    <row r="405" ht="31.95" customHeight="1" x14ac:dyDescent="0.3"/>
    <row r="406" ht="31.95" customHeight="1" x14ac:dyDescent="0.3"/>
    <row r="407" ht="31.95" customHeight="1" x14ac:dyDescent="0.3"/>
    <row r="408" ht="31.95" customHeight="1" x14ac:dyDescent="0.3"/>
    <row r="409" ht="31.95" customHeight="1" x14ac:dyDescent="0.3"/>
    <row r="410" ht="31.95" customHeight="1" x14ac:dyDescent="0.3"/>
    <row r="411" ht="31.95" customHeight="1" x14ac:dyDescent="0.3"/>
    <row r="412" ht="31.95" customHeight="1" x14ac:dyDescent="0.3"/>
    <row r="413" ht="31.95" customHeight="1" x14ac:dyDescent="0.3"/>
    <row r="414" ht="31.95" customHeight="1" x14ac:dyDescent="0.3"/>
    <row r="415" ht="31.95" customHeight="1" x14ac:dyDescent="0.3"/>
    <row r="416" ht="31.95" customHeight="1" x14ac:dyDescent="0.3"/>
    <row r="417" ht="31.95" customHeight="1" x14ac:dyDescent="0.3"/>
    <row r="418" ht="31.95" customHeight="1" x14ac:dyDescent="0.3"/>
    <row r="419" ht="31.95" customHeight="1" x14ac:dyDescent="0.3"/>
    <row r="420" ht="31.95" customHeight="1" x14ac:dyDescent="0.3"/>
    <row r="421" ht="31.95" customHeight="1" x14ac:dyDescent="0.3"/>
    <row r="422" ht="31.95" customHeight="1" x14ac:dyDescent="0.3"/>
    <row r="423" ht="31.95" customHeight="1" x14ac:dyDescent="0.3"/>
    <row r="424" ht="31.95" customHeight="1" x14ac:dyDescent="0.3"/>
    <row r="425" ht="31.95" customHeight="1" x14ac:dyDescent="0.3"/>
    <row r="426" ht="31.95" customHeight="1" x14ac:dyDescent="0.3"/>
    <row r="427" ht="31.95" customHeight="1" x14ac:dyDescent="0.3"/>
    <row r="428" ht="31.95" customHeight="1" x14ac:dyDescent="0.3"/>
    <row r="429" ht="31.95" customHeight="1" x14ac:dyDescent="0.3"/>
    <row r="430" ht="31.95" customHeight="1" x14ac:dyDescent="0.3"/>
    <row r="431" ht="31.95" customHeight="1" x14ac:dyDescent="0.3"/>
    <row r="432" ht="31.95" customHeight="1" x14ac:dyDescent="0.3"/>
    <row r="433" ht="31.95" customHeight="1" x14ac:dyDescent="0.3"/>
    <row r="434" ht="31.95" customHeight="1" x14ac:dyDescent="0.3"/>
    <row r="435" ht="31.95" customHeight="1" x14ac:dyDescent="0.3"/>
    <row r="436" ht="31.95" customHeight="1" x14ac:dyDescent="0.3"/>
    <row r="437" ht="31.95" customHeight="1" x14ac:dyDescent="0.3"/>
    <row r="438" ht="31.95" customHeight="1" x14ac:dyDescent="0.3"/>
    <row r="439" ht="31.95" customHeight="1" x14ac:dyDescent="0.3"/>
    <row r="440" ht="31.95" customHeight="1" x14ac:dyDescent="0.3"/>
    <row r="441" ht="31.95" customHeight="1" x14ac:dyDescent="0.3"/>
    <row r="442" ht="31.95" customHeight="1" x14ac:dyDescent="0.3"/>
    <row r="443" ht="31.95" customHeight="1" x14ac:dyDescent="0.3"/>
    <row r="444" ht="31.95" customHeight="1" x14ac:dyDescent="0.3"/>
    <row r="445" ht="31.95" customHeight="1" x14ac:dyDescent="0.3"/>
    <row r="446" ht="31.95" customHeight="1" x14ac:dyDescent="0.3"/>
    <row r="447" ht="31.95" customHeight="1" x14ac:dyDescent="0.3"/>
    <row r="448" ht="31.95" customHeight="1" x14ac:dyDescent="0.3"/>
    <row r="449" ht="31.95" customHeight="1" x14ac:dyDescent="0.3"/>
    <row r="450" ht="31.95" customHeight="1" x14ac:dyDescent="0.3"/>
    <row r="451" ht="31.95" customHeight="1" x14ac:dyDescent="0.3"/>
    <row r="452" ht="31.95" customHeight="1" x14ac:dyDescent="0.3"/>
    <row r="453" ht="31.95" customHeight="1" x14ac:dyDescent="0.3"/>
    <row r="454" ht="31.95" customHeight="1" x14ac:dyDescent="0.3"/>
    <row r="455" ht="31.95" customHeight="1" x14ac:dyDescent="0.3"/>
    <row r="456" ht="31.95" customHeight="1" x14ac:dyDescent="0.3"/>
    <row r="457" ht="31.95" customHeight="1" x14ac:dyDescent="0.3"/>
    <row r="458" ht="31.95" customHeight="1" x14ac:dyDescent="0.3"/>
    <row r="459" ht="31.95" customHeight="1" x14ac:dyDescent="0.3"/>
    <row r="460" ht="31.95" customHeight="1" x14ac:dyDescent="0.3"/>
    <row r="461" ht="31.95" customHeight="1" x14ac:dyDescent="0.3"/>
    <row r="462" ht="31.95" customHeight="1" x14ac:dyDescent="0.3"/>
    <row r="463" ht="31.95" customHeight="1" x14ac:dyDescent="0.3"/>
    <row r="464" ht="31.95" customHeight="1" x14ac:dyDescent="0.3"/>
    <row r="465" ht="31.95" customHeight="1" x14ac:dyDescent="0.3"/>
    <row r="466" ht="31.95" customHeight="1" x14ac:dyDescent="0.3"/>
    <row r="467" ht="31.95" customHeight="1" x14ac:dyDescent="0.3"/>
    <row r="468" ht="31.95" customHeight="1" x14ac:dyDescent="0.3"/>
    <row r="469" ht="31.95" customHeight="1" x14ac:dyDescent="0.3"/>
    <row r="470" ht="31.95" customHeight="1" x14ac:dyDescent="0.3"/>
    <row r="471" ht="31.95" customHeight="1" x14ac:dyDescent="0.3"/>
    <row r="472" ht="31.95" customHeight="1" x14ac:dyDescent="0.3"/>
    <row r="473" ht="31.95" customHeight="1" x14ac:dyDescent="0.3"/>
    <row r="474" ht="31.95" customHeight="1" x14ac:dyDescent="0.3"/>
    <row r="475" ht="31.95" customHeight="1" x14ac:dyDescent="0.3"/>
    <row r="476" ht="31.95" customHeight="1" x14ac:dyDescent="0.3"/>
    <row r="477" ht="31.95" customHeight="1" x14ac:dyDescent="0.3"/>
    <row r="478" ht="31.95" customHeight="1" x14ac:dyDescent="0.3"/>
    <row r="479" ht="31.95" customHeight="1" x14ac:dyDescent="0.3"/>
    <row r="480" ht="31.95" customHeight="1" x14ac:dyDescent="0.3"/>
    <row r="481" ht="31.95" customHeight="1" x14ac:dyDescent="0.3"/>
    <row r="482" ht="31.95" customHeight="1" x14ac:dyDescent="0.3"/>
    <row r="483" ht="31.95" customHeight="1" x14ac:dyDescent="0.3"/>
    <row r="484" ht="31.95" customHeight="1" x14ac:dyDescent="0.3"/>
    <row r="485" ht="31.95" customHeight="1" x14ac:dyDescent="0.3"/>
    <row r="486" ht="31.95" customHeight="1" x14ac:dyDescent="0.3"/>
    <row r="487" ht="31.95" customHeight="1" x14ac:dyDescent="0.3"/>
    <row r="488" ht="31.95" customHeight="1" x14ac:dyDescent="0.3"/>
    <row r="489" ht="31.95" customHeight="1" x14ac:dyDescent="0.3"/>
    <row r="490" ht="31.95" customHeight="1" x14ac:dyDescent="0.3"/>
    <row r="491" ht="31.95" customHeight="1" x14ac:dyDescent="0.3"/>
    <row r="492" ht="31.95" customHeight="1" x14ac:dyDescent="0.3"/>
    <row r="493" ht="31.95" customHeight="1" x14ac:dyDescent="0.3"/>
    <row r="494" ht="31.95" customHeight="1" x14ac:dyDescent="0.3"/>
    <row r="495" ht="31.95" customHeight="1" x14ac:dyDescent="0.3"/>
    <row r="496" ht="31.95" customHeight="1" x14ac:dyDescent="0.3"/>
    <row r="497" ht="31.95" customHeight="1" x14ac:dyDescent="0.3"/>
    <row r="498" ht="31.95" customHeight="1" x14ac:dyDescent="0.3"/>
    <row r="499" ht="31.95" customHeight="1" x14ac:dyDescent="0.3"/>
    <row r="500" ht="31.95" customHeight="1" x14ac:dyDescent="0.3"/>
    <row r="501" ht="31.95" customHeight="1" x14ac:dyDescent="0.3"/>
    <row r="502" ht="31.95" customHeight="1" x14ac:dyDescent="0.3"/>
    <row r="503" ht="31.95" customHeight="1" x14ac:dyDescent="0.3"/>
    <row r="504" ht="31.95" customHeight="1" x14ac:dyDescent="0.3"/>
    <row r="505" ht="31.95" customHeight="1" x14ac:dyDescent="0.3"/>
    <row r="506" ht="31.95" customHeight="1" x14ac:dyDescent="0.3"/>
    <row r="507" ht="31.95" customHeight="1" x14ac:dyDescent="0.3"/>
    <row r="508" ht="31.95" customHeight="1" x14ac:dyDescent="0.3"/>
    <row r="509" ht="31.95" customHeight="1" x14ac:dyDescent="0.3"/>
    <row r="510" ht="31.95" customHeight="1" x14ac:dyDescent="0.3"/>
    <row r="511" ht="31.95" customHeight="1" x14ac:dyDescent="0.3"/>
    <row r="512" ht="31.95" customHeight="1" x14ac:dyDescent="0.3"/>
    <row r="513" ht="31.95" customHeight="1" x14ac:dyDescent="0.3"/>
    <row r="514" ht="31.95" customHeight="1" x14ac:dyDescent="0.3"/>
    <row r="515" ht="31.95" customHeight="1" x14ac:dyDescent="0.3"/>
    <row r="516" ht="31.95" customHeight="1" x14ac:dyDescent="0.3"/>
    <row r="517" ht="31.95" customHeight="1" x14ac:dyDescent="0.3"/>
    <row r="518" ht="31.95" customHeight="1" x14ac:dyDescent="0.3"/>
    <row r="519" ht="31.95" customHeight="1" x14ac:dyDescent="0.3"/>
    <row r="520" ht="31.95" customHeight="1" x14ac:dyDescent="0.3"/>
    <row r="521" ht="31.95" customHeight="1" x14ac:dyDescent="0.3"/>
    <row r="522" ht="31.95" customHeight="1" x14ac:dyDescent="0.3"/>
    <row r="523" ht="31.95" customHeight="1" x14ac:dyDescent="0.3"/>
    <row r="524" ht="31.95" customHeight="1" x14ac:dyDescent="0.3"/>
    <row r="525" ht="31.95" customHeight="1" x14ac:dyDescent="0.3"/>
    <row r="526" ht="31.95" customHeight="1" x14ac:dyDescent="0.3"/>
    <row r="527" ht="31.95" customHeight="1" x14ac:dyDescent="0.3"/>
    <row r="528" ht="31.95" customHeight="1" x14ac:dyDescent="0.3"/>
    <row r="529" ht="31.95" customHeight="1" x14ac:dyDescent="0.3"/>
    <row r="530" ht="31.95" customHeight="1" x14ac:dyDescent="0.3"/>
    <row r="531" ht="31.95" customHeight="1" x14ac:dyDescent="0.3"/>
    <row r="532" ht="31.95" customHeight="1" x14ac:dyDescent="0.3"/>
    <row r="533" ht="31.95" customHeight="1" x14ac:dyDescent="0.3"/>
    <row r="534" ht="31.95" customHeight="1" x14ac:dyDescent="0.3"/>
    <row r="535" ht="31.95" customHeight="1" x14ac:dyDescent="0.3"/>
    <row r="536" ht="31.95" customHeight="1" x14ac:dyDescent="0.3"/>
    <row r="537" ht="31.95" customHeight="1" x14ac:dyDescent="0.3"/>
    <row r="538" ht="31.95" customHeight="1" x14ac:dyDescent="0.3"/>
    <row r="539" ht="31.95" customHeight="1" x14ac:dyDescent="0.3"/>
    <row r="540" ht="31.95" customHeight="1" x14ac:dyDescent="0.3"/>
    <row r="541" ht="31.95" customHeight="1" x14ac:dyDescent="0.3"/>
    <row r="542" ht="31.95" customHeight="1" x14ac:dyDescent="0.3"/>
    <row r="543" ht="31.95" customHeight="1" x14ac:dyDescent="0.3"/>
    <row r="544" ht="31.95" customHeight="1" x14ac:dyDescent="0.3"/>
    <row r="545" ht="31.95" customHeight="1" x14ac:dyDescent="0.3"/>
    <row r="546" ht="31.95" customHeight="1" x14ac:dyDescent="0.3"/>
    <row r="547" ht="31.95" customHeight="1" x14ac:dyDescent="0.3"/>
    <row r="548" ht="31.95" customHeight="1" x14ac:dyDescent="0.3"/>
    <row r="549" ht="31.95" customHeight="1" x14ac:dyDescent="0.3"/>
    <row r="550" ht="31.95" customHeight="1" x14ac:dyDescent="0.3"/>
    <row r="551" ht="31.95" customHeight="1" x14ac:dyDescent="0.3"/>
    <row r="552" ht="31.95" customHeight="1" x14ac:dyDescent="0.3"/>
    <row r="553" ht="31.95" customHeight="1" x14ac:dyDescent="0.3"/>
    <row r="554" ht="31.95" customHeight="1" x14ac:dyDescent="0.3"/>
    <row r="555" ht="31.95" customHeight="1" x14ac:dyDescent="0.3"/>
    <row r="556" ht="31.95" customHeight="1" x14ac:dyDescent="0.3"/>
    <row r="557" ht="31.95" customHeight="1" x14ac:dyDescent="0.3"/>
    <row r="558" ht="31.95" customHeight="1" x14ac:dyDescent="0.3"/>
    <row r="559" ht="31.95" customHeight="1" x14ac:dyDescent="0.3"/>
    <row r="560" ht="31.95" customHeight="1" x14ac:dyDescent="0.3"/>
    <row r="561" ht="31.95" customHeight="1" x14ac:dyDescent="0.3"/>
    <row r="562" ht="31.95" customHeight="1" x14ac:dyDescent="0.3"/>
    <row r="563" ht="31.95" customHeight="1" x14ac:dyDescent="0.3"/>
    <row r="564" ht="31.95" customHeight="1" x14ac:dyDescent="0.3"/>
    <row r="565" ht="31.95" customHeight="1" x14ac:dyDescent="0.3"/>
    <row r="566" ht="31.95" customHeight="1" x14ac:dyDescent="0.3"/>
    <row r="567" ht="31.95" customHeight="1" x14ac:dyDescent="0.3"/>
    <row r="568" ht="31.95" customHeight="1" x14ac:dyDescent="0.3"/>
    <row r="569" ht="31.95" customHeight="1" x14ac:dyDescent="0.3"/>
    <row r="570" ht="31.95" customHeight="1" x14ac:dyDescent="0.3"/>
    <row r="571" ht="31.95" customHeight="1" x14ac:dyDescent="0.3"/>
    <row r="572" ht="31.95" customHeight="1" x14ac:dyDescent="0.3"/>
    <row r="573" ht="31.95" customHeight="1" x14ac:dyDescent="0.3"/>
    <row r="574" ht="31.95" customHeight="1" x14ac:dyDescent="0.3"/>
    <row r="575" ht="31.95" customHeight="1" x14ac:dyDescent="0.3"/>
    <row r="576" ht="31.95" customHeight="1" x14ac:dyDescent="0.3"/>
    <row r="577" ht="31.95" customHeight="1" x14ac:dyDescent="0.3"/>
    <row r="578" ht="31.95" customHeight="1" x14ac:dyDescent="0.3"/>
    <row r="579" ht="31.95" customHeight="1" x14ac:dyDescent="0.3"/>
    <row r="580" ht="31.95" customHeight="1" x14ac:dyDescent="0.3"/>
    <row r="581" ht="31.95" customHeight="1" x14ac:dyDescent="0.3"/>
    <row r="582" ht="31.95" customHeight="1" x14ac:dyDescent="0.3"/>
    <row r="583" ht="31.95" customHeight="1" x14ac:dyDescent="0.3"/>
    <row r="584" ht="31.95" customHeight="1" x14ac:dyDescent="0.3"/>
    <row r="585" ht="31.95" customHeight="1" x14ac:dyDescent="0.3"/>
    <row r="586" ht="31.95" customHeight="1" x14ac:dyDescent="0.3"/>
    <row r="587" ht="31.95" customHeight="1" x14ac:dyDescent="0.3"/>
    <row r="588" ht="31.95" customHeight="1" x14ac:dyDescent="0.3"/>
    <row r="589" ht="31.95" customHeight="1" x14ac:dyDescent="0.3"/>
    <row r="590" ht="31.95" customHeight="1" x14ac:dyDescent="0.3"/>
    <row r="591" ht="31.95" customHeight="1" x14ac:dyDescent="0.3"/>
    <row r="592" ht="31.95" customHeight="1" x14ac:dyDescent="0.3"/>
    <row r="593" ht="31.95" customHeight="1" x14ac:dyDescent="0.3"/>
    <row r="594" ht="31.95" customHeight="1" x14ac:dyDescent="0.3"/>
    <row r="595" ht="31.95" customHeight="1" x14ac:dyDescent="0.3"/>
    <row r="596" ht="31.95" customHeight="1" x14ac:dyDescent="0.3"/>
    <row r="597" ht="31.95" customHeight="1" x14ac:dyDescent="0.3"/>
    <row r="598" ht="31.95" customHeight="1" x14ac:dyDescent="0.3"/>
    <row r="599" ht="31.95" customHeight="1" x14ac:dyDescent="0.3"/>
    <row r="600" ht="31.95" customHeight="1" x14ac:dyDescent="0.3"/>
    <row r="601" ht="31.95" customHeight="1" x14ac:dyDescent="0.3"/>
    <row r="602" ht="31.95" customHeight="1" x14ac:dyDescent="0.3"/>
    <row r="603" ht="31.95" customHeight="1" x14ac:dyDescent="0.3"/>
    <row r="604" ht="31.95" customHeight="1" x14ac:dyDescent="0.3"/>
    <row r="605" ht="31.95" customHeight="1" x14ac:dyDescent="0.3"/>
    <row r="606" ht="31.95" customHeight="1" x14ac:dyDescent="0.3"/>
    <row r="607" ht="31.95" customHeight="1" x14ac:dyDescent="0.3"/>
    <row r="608" ht="31.95" customHeight="1" x14ac:dyDescent="0.3"/>
    <row r="609" ht="31.95" customHeight="1" x14ac:dyDescent="0.3"/>
    <row r="610" ht="31.95" customHeight="1" x14ac:dyDescent="0.3"/>
    <row r="611" ht="31.95" customHeight="1" x14ac:dyDescent="0.3"/>
    <row r="612" ht="31.95" customHeight="1" x14ac:dyDescent="0.3"/>
    <row r="613" ht="31.95" customHeight="1" x14ac:dyDescent="0.3"/>
    <row r="614" ht="31.95" customHeight="1" x14ac:dyDescent="0.3"/>
    <row r="615" ht="31.95" customHeight="1" x14ac:dyDescent="0.3"/>
    <row r="616" ht="31.95" customHeight="1" x14ac:dyDescent="0.3"/>
    <row r="617" ht="31.95" customHeight="1" x14ac:dyDescent="0.3"/>
    <row r="618" ht="31.95" customHeight="1" x14ac:dyDescent="0.3"/>
    <row r="619" ht="31.95" customHeight="1" x14ac:dyDescent="0.3"/>
    <row r="620" ht="31.95" customHeight="1" x14ac:dyDescent="0.3"/>
    <row r="621" ht="31.95" customHeight="1" x14ac:dyDescent="0.3"/>
    <row r="622" ht="31.95" customHeight="1" x14ac:dyDescent="0.3"/>
    <row r="623" ht="31.95" customHeight="1" x14ac:dyDescent="0.3"/>
    <row r="624" ht="31.95" customHeight="1" x14ac:dyDescent="0.3"/>
    <row r="625" ht="31.95" customHeight="1" x14ac:dyDescent="0.3"/>
    <row r="626" ht="31.95" customHeight="1" x14ac:dyDescent="0.3"/>
    <row r="627" ht="31.95" customHeight="1" x14ac:dyDescent="0.3"/>
    <row r="628" ht="31.95" customHeight="1" x14ac:dyDescent="0.3"/>
    <row r="629" ht="31.95" customHeight="1" x14ac:dyDescent="0.3"/>
    <row r="630" ht="31.95" customHeight="1" x14ac:dyDescent="0.3"/>
    <row r="631" ht="31.95" customHeight="1" x14ac:dyDescent="0.3"/>
    <row r="632" ht="31.95" customHeight="1" x14ac:dyDescent="0.3"/>
    <row r="633" ht="31.95" customHeight="1" x14ac:dyDescent="0.3"/>
    <row r="634" ht="31.95" customHeight="1" x14ac:dyDescent="0.3"/>
    <row r="635" ht="31.95" customHeight="1" x14ac:dyDescent="0.3"/>
    <row r="636" ht="31.95" customHeight="1" x14ac:dyDescent="0.3"/>
    <row r="637" ht="31.95" customHeight="1" x14ac:dyDescent="0.3"/>
    <row r="638" ht="31.95" customHeight="1" x14ac:dyDescent="0.3"/>
    <row r="639" ht="31.95" customHeight="1" x14ac:dyDescent="0.3"/>
    <row r="640" ht="31.95" customHeight="1" x14ac:dyDescent="0.3"/>
    <row r="641" ht="31.95" customHeight="1" x14ac:dyDescent="0.3"/>
    <row r="642" ht="31.95" customHeight="1" x14ac:dyDescent="0.3"/>
    <row r="643" ht="31.95" customHeight="1" x14ac:dyDescent="0.3"/>
    <row r="644" ht="31.95" customHeight="1" x14ac:dyDescent="0.3"/>
    <row r="645" ht="31.95" customHeight="1" x14ac:dyDescent="0.3"/>
    <row r="646" ht="31.95" customHeight="1" x14ac:dyDescent="0.3"/>
    <row r="647" ht="31.95" customHeight="1" x14ac:dyDescent="0.3"/>
    <row r="648" ht="31.95" customHeight="1" x14ac:dyDescent="0.3"/>
    <row r="649" ht="31.95" customHeight="1" x14ac:dyDescent="0.3"/>
    <row r="650" ht="31.95" customHeight="1" x14ac:dyDescent="0.3"/>
    <row r="651" ht="31.95" customHeight="1" x14ac:dyDescent="0.3"/>
    <row r="652" ht="31.95" customHeight="1" x14ac:dyDescent="0.3"/>
    <row r="653" ht="31.95" customHeight="1" x14ac:dyDescent="0.3"/>
    <row r="654" ht="31.95" customHeight="1" x14ac:dyDescent="0.3"/>
    <row r="655" ht="31.95" customHeight="1" x14ac:dyDescent="0.3"/>
    <row r="656" ht="31.95" customHeight="1" x14ac:dyDescent="0.3"/>
    <row r="657" ht="31.95" customHeight="1" x14ac:dyDescent="0.3"/>
    <row r="658" ht="31.95" customHeight="1" x14ac:dyDescent="0.3"/>
    <row r="659" ht="31.95" customHeight="1" x14ac:dyDescent="0.3"/>
    <row r="660" ht="31.95" customHeight="1" x14ac:dyDescent="0.3"/>
    <row r="661" ht="31.95" customHeight="1" x14ac:dyDescent="0.3"/>
    <row r="662" ht="31.95" customHeight="1" x14ac:dyDescent="0.3"/>
    <row r="663" ht="31.95" customHeight="1" x14ac:dyDescent="0.3"/>
    <row r="664" ht="31.95" customHeight="1" x14ac:dyDescent="0.3"/>
    <row r="665" ht="31.95" customHeight="1" x14ac:dyDescent="0.3"/>
    <row r="666" ht="31.95" customHeight="1" x14ac:dyDescent="0.3"/>
    <row r="667" ht="31.95" customHeight="1" x14ac:dyDescent="0.3"/>
    <row r="668" ht="31.95" customHeight="1" x14ac:dyDescent="0.3"/>
    <row r="669" ht="31.95" customHeight="1" x14ac:dyDescent="0.3"/>
    <row r="670" ht="31.95" customHeight="1" x14ac:dyDescent="0.3"/>
    <row r="671" ht="31.95" customHeight="1" x14ac:dyDescent="0.3"/>
    <row r="672" ht="31.95" customHeight="1" x14ac:dyDescent="0.3"/>
    <row r="673" ht="31.95" customHeight="1" x14ac:dyDescent="0.3"/>
    <row r="674" ht="31.95" customHeight="1" x14ac:dyDescent="0.3"/>
    <row r="675" ht="31.95" customHeight="1" x14ac:dyDescent="0.3"/>
    <row r="676" ht="31.95" customHeight="1" x14ac:dyDescent="0.3"/>
    <row r="677" ht="31.95" customHeight="1" x14ac:dyDescent="0.3"/>
    <row r="678" ht="31.95" customHeight="1" x14ac:dyDescent="0.3"/>
    <row r="679" ht="31.95" customHeight="1" x14ac:dyDescent="0.3"/>
    <row r="680" ht="31.95" customHeight="1" x14ac:dyDescent="0.3"/>
    <row r="681" ht="31.95" customHeight="1" x14ac:dyDescent="0.3"/>
    <row r="682" ht="31.95" customHeight="1" x14ac:dyDescent="0.3"/>
    <row r="683" ht="31.95" customHeight="1" x14ac:dyDescent="0.3"/>
    <row r="684" ht="31.95" customHeight="1" x14ac:dyDescent="0.3"/>
    <row r="685" ht="31.95" customHeight="1" x14ac:dyDescent="0.3"/>
    <row r="686" ht="31.95" customHeight="1" x14ac:dyDescent="0.3"/>
    <row r="687" ht="31.95" customHeight="1" x14ac:dyDescent="0.3"/>
    <row r="688" ht="31.95" customHeight="1" x14ac:dyDescent="0.3"/>
    <row r="689" ht="31.95" customHeight="1" x14ac:dyDescent="0.3"/>
    <row r="690" ht="31.95" customHeight="1" x14ac:dyDescent="0.3"/>
    <row r="691" ht="31.95" customHeight="1" x14ac:dyDescent="0.3"/>
    <row r="692" ht="31.95" customHeight="1" x14ac:dyDescent="0.3"/>
    <row r="693" ht="31.95" customHeight="1" x14ac:dyDescent="0.3"/>
    <row r="694" ht="31.95" customHeight="1" x14ac:dyDescent="0.3"/>
    <row r="695" ht="31.95" customHeight="1" x14ac:dyDescent="0.3"/>
    <row r="696" ht="31.95" customHeight="1" x14ac:dyDescent="0.3"/>
    <row r="697" ht="31.95" customHeight="1" x14ac:dyDescent="0.3"/>
    <row r="698" ht="31.95" customHeight="1" x14ac:dyDescent="0.3"/>
    <row r="699" ht="31.95" customHeight="1" x14ac:dyDescent="0.3"/>
    <row r="700" ht="31.95" customHeight="1" x14ac:dyDescent="0.3"/>
    <row r="701" ht="31.95" customHeight="1" x14ac:dyDescent="0.3"/>
    <row r="702" ht="31.95" customHeight="1" x14ac:dyDescent="0.3"/>
    <row r="703" ht="31.95" customHeight="1" x14ac:dyDescent="0.3"/>
    <row r="704" ht="31.95" customHeight="1" x14ac:dyDescent="0.3"/>
    <row r="705" ht="31.95" customHeight="1" x14ac:dyDescent="0.3"/>
    <row r="706" ht="31.95" customHeight="1" x14ac:dyDescent="0.3"/>
    <row r="707" ht="31.95" customHeight="1" x14ac:dyDescent="0.3"/>
    <row r="708" ht="31.95" customHeight="1" x14ac:dyDescent="0.3"/>
    <row r="709" ht="31.95" customHeight="1" x14ac:dyDescent="0.3"/>
    <row r="710" ht="31.95" customHeight="1" x14ac:dyDescent="0.3"/>
    <row r="711" ht="31.95" customHeight="1" x14ac:dyDescent="0.3"/>
    <row r="712" ht="31.95" customHeight="1" x14ac:dyDescent="0.3"/>
    <row r="713" ht="31.95" customHeight="1" x14ac:dyDescent="0.3"/>
    <row r="714" ht="31.95" customHeight="1" x14ac:dyDescent="0.3"/>
    <row r="715" ht="31.95" customHeight="1" x14ac:dyDescent="0.3"/>
    <row r="716" ht="31.95" customHeight="1" x14ac:dyDescent="0.3"/>
    <row r="717" ht="31.95" customHeight="1" x14ac:dyDescent="0.3"/>
    <row r="718" ht="31.95" customHeight="1" x14ac:dyDescent="0.3"/>
    <row r="719" ht="31.95" customHeight="1" x14ac:dyDescent="0.3"/>
    <row r="720" ht="31.95" customHeight="1" x14ac:dyDescent="0.3"/>
    <row r="721" ht="31.95" customHeight="1" x14ac:dyDescent="0.3"/>
    <row r="722" ht="31.95" customHeight="1" x14ac:dyDescent="0.3"/>
    <row r="723" ht="31.95" customHeight="1" x14ac:dyDescent="0.3"/>
    <row r="724" ht="31.95" customHeight="1" x14ac:dyDescent="0.3"/>
    <row r="725" ht="31.95" customHeight="1" x14ac:dyDescent="0.3"/>
    <row r="726" ht="31.95" customHeight="1" x14ac:dyDescent="0.3"/>
    <row r="727" ht="31.95" customHeight="1" x14ac:dyDescent="0.3"/>
    <row r="728" ht="31.95" customHeight="1" x14ac:dyDescent="0.3"/>
    <row r="729" ht="31.95" customHeight="1" x14ac:dyDescent="0.3"/>
    <row r="730" ht="31.95" customHeight="1" x14ac:dyDescent="0.3"/>
    <row r="731" ht="31.95" customHeight="1" x14ac:dyDescent="0.3"/>
    <row r="732" ht="31.95" customHeight="1" x14ac:dyDescent="0.3"/>
    <row r="733" ht="31.95" customHeight="1" x14ac:dyDescent="0.3"/>
    <row r="734" ht="31.95" customHeight="1" x14ac:dyDescent="0.3"/>
    <row r="735" ht="31.95" customHeight="1" x14ac:dyDescent="0.3"/>
    <row r="736" ht="31.95" customHeight="1" x14ac:dyDescent="0.3"/>
    <row r="737" ht="31.95" customHeight="1" x14ac:dyDescent="0.3"/>
    <row r="738" ht="31.95" customHeight="1" x14ac:dyDescent="0.3"/>
    <row r="739" ht="31.95" customHeight="1" x14ac:dyDescent="0.3"/>
    <row r="740" ht="31.95" customHeight="1" x14ac:dyDescent="0.3"/>
    <row r="741" ht="31.95" customHeight="1" x14ac:dyDescent="0.3"/>
    <row r="742" ht="31.95" customHeight="1" x14ac:dyDescent="0.3"/>
    <row r="743" ht="31.95" customHeight="1" x14ac:dyDescent="0.3"/>
    <row r="744" ht="31.95" customHeight="1" x14ac:dyDescent="0.3"/>
    <row r="745" ht="31.95" customHeight="1" x14ac:dyDescent="0.3"/>
    <row r="746" ht="31.95" customHeight="1" x14ac:dyDescent="0.3"/>
    <row r="747" ht="31.95" customHeight="1" x14ac:dyDescent="0.3"/>
    <row r="748" ht="31.95" customHeight="1" x14ac:dyDescent="0.3"/>
    <row r="749" ht="31.95" customHeight="1" x14ac:dyDescent="0.3"/>
    <row r="750" ht="31.95" customHeight="1" x14ac:dyDescent="0.3"/>
    <row r="751" ht="31.95" customHeight="1" x14ac:dyDescent="0.3"/>
    <row r="752" ht="31.95" customHeight="1" x14ac:dyDescent="0.3"/>
    <row r="753" ht="31.95" customHeight="1" x14ac:dyDescent="0.3"/>
    <row r="754" ht="31.95" customHeight="1" x14ac:dyDescent="0.3"/>
    <row r="755" ht="31.95" customHeight="1" x14ac:dyDescent="0.3"/>
    <row r="756" ht="31.95" customHeight="1" x14ac:dyDescent="0.3"/>
    <row r="757" ht="31.95" customHeight="1" x14ac:dyDescent="0.3"/>
    <row r="758" ht="31.95" customHeight="1" x14ac:dyDescent="0.3"/>
    <row r="759" ht="31.95" customHeight="1" x14ac:dyDescent="0.3"/>
    <row r="760" ht="31.95" customHeight="1" x14ac:dyDescent="0.3"/>
    <row r="761" ht="31.95" customHeight="1" x14ac:dyDescent="0.3"/>
    <row r="762" ht="31.95" customHeight="1" x14ac:dyDescent="0.3"/>
    <row r="763" ht="31.95" customHeight="1" x14ac:dyDescent="0.3"/>
    <row r="764" ht="31.95" customHeight="1" x14ac:dyDescent="0.3"/>
    <row r="765" ht="31.95" customHeight="1" x14ac:dyDescent="0.3"/>
    <row r="766" ht="31.95" customHeight="1" x14ac:dyDescent="0.3"/>
    <row r="767" ht="31.95" customHeight="1" x14ac:dyDescent="0.3"/>
    <row r="768" ht="31.95" customHeight="1" x14ac:dyDescent="0.3"/>
    <row r="769" ht="31.95" customHeight="1" x14ac:dyDescent="0.3"/>
    <row r="770" ht="31.95" customHeight="1" x14ac:dyDescent="0.3"/>
    <row r="771" ht="31.95" customHeight="1" x14ac:dyDescent="0.3"/>
    <row r="772" ht="31.95" customHeight="1" x14ac:dyDescent="0.3"/>
    <row r="773" ht="31.95" customHeight="1" x14ac:dyDescent="0.3"/>
    <row r="774" ht="31.95" customHeight="1" x14ac:dyDescent="0.3"/>
    <row r="775" ht="31.95" customHeight="1" x14ac:dyDescent="0.3"/>
    <row r="776" ht="31.95" customHeight="1" x14ac:dyDescent="0.3"/>
    <row r="777" ht="31.95" customHeight="1" x14ac:dyDescent="0.3"/>
    <row r="778" ht="31.95" customHeight="1" x14ac:dyDescent="0.3"/>
    <row r="779" ht="31.95" customHeight="1" x14ac:dyDescent="0.3"/>
    <row r="780" ht="31.95" customHeight="1" x14ac:dyDescent="0.3"/>
    <row r="781" ht="31.95" customHeight="1" x14ac:dyDescent="0.3"/>
    <row r="782" ht="31.95" customHeight="1" x14ac:dyDescent="0.3"/>
    <row r="783" ht="31.95" customHeight="1" x14ac:dyDescent="0.3"/>
    <row r="784" ht="31.95" customHeight="1" x14ac:dyDescent="0.3"/>
    <row r="785" ht="31.95" customHeight="1" x14ac:dyDescent="0.3"/>
    <row r="786" ht="31.95" customHeight="1" x14ac:dyDescent="0.3"/>
    <row r="787" ht="31.95" customHeight="1" x14ac:dyDescent="0.3"/>
    <row r="788" ht="31.95" customHeight="1" x14ac:dyDescent="0.3"/>
    <row r="789" ht="31.95" customHeight="1" x14ac:dyDescent="0.3"/>
    <row r="790" ht="31.95" customHeight="1" x14ac:dyDescent="0.3"/>
    <row r="791" ht="31.95" customHeight="1" x14ac:dyDescent="0.3"/>
    <row r="792" ht="31.95" customHeight="1" x14ac:dyDescent="0.3"/>
    <row r="793" ht="31.95" customHeight="1" x14ac:dyDescent="0.3"/>
    <row r="794" ht="31.95" customHeight="1" x14ac:dyDescent="0.3"/>
    <row r="795" ht="31.95" customHeight="1" x14ac:dyDescent="0.3"/>
    <row r="796" ht="31.95" customHeight="1" x14ac:dyDescent="0.3"/>
    <row r="797" ht="31.95" customHeight="1" x14ac:dyDescent="0.3"/>
    <row r="798" ht="31.95" customHeight="1" x14ac:dyDescent="0.3"/>
    <row r="799" ht="31.95" customHeight="1" x14ac:dyDescent="0.3"/>
    <row r="800" ht="31.95" customHeight="1" x14ac:dyDescent="0.3"/>
    <row r="801" ht="31.95" customHeight="1" x14ac:dyDescent="0.3"/>
    <row r="802" ht="31.95" customHeight="1" x14ac:dyDescent="0.3"/>
    <row r="803" ht="31.95" customHeight="1" x14ac:dyDescent="0.3"/>
    <row r="804" ht="31.95" customHeight="1" x14ac:dyDescent="0.3"/>
    <row r="805" ht="31.95" customHeight="1" x14ac:dyDescent="0.3"/>
    <row r="806" ht="31.95" customHeight="1" x14ac:dyDescent="0.3"/>
    <row r="807" ht="31.95" customHeight="1" x14ac:dyDescent="0.3"/>
    <row r="808" ht="31.95" customHeight="1" x14ac:dyDescent="0.3"/>
    <row r="809" ht="31.95" customHeight="1" x14ac:dyDescent="0.3"/>
    <row r="810" ht="31.95" customHeight="1" x14ac:dyDescent="0.3"/>
    <row r="811" ht="31.95" customHeight="1" x14ac:dyDescent="0.3"/>
    <row r="812" ht="31.95" customHeight="1" x14ac:dyDescent="0.3"/>
    <row r="813" ht="31.95" customHeight="1" x14ac:dyDescent="0.3"/>
    <row r="814" ht="31.95" customHeight="1" x14ac:dyDescent="0.3"/>
    <row r="815" ht="31.95" customHeight="1" x14ac:dyDescent="0.3"/>
    <row r="816" ht="31.95" customHeight="1" x14ac:dyDescent="0.3"/>
    <row r="817" ht="31.95" customHeight="1" x14ac:dyDescent="0.3"/>
    <row r="818" ht="31.95" customHeight="1" x14ac:dyDescent="0.3"/>
    <row r="819" ht="31.95" customHeight="1" x14ac:dyDescent="0.3"/>
    <row r="820" ht="31.95" customHeight="1" x14ac:dyDescent="0.3"/>
    <row r="821" ht="31.95" customHeight="1" x14ac:dyDescent="0.3"/>
    <row r="822" ht="31.95" customHeight="1" x14ac:dyDescent="0.3"/>
    <row r="823" ht="31.95" customHeight="1" x14ac:dyDescent="0.3"/>
    <row r="824" ht="31.95" customHeight="1" x14ac:dyDescent="0.3"/>
    <row r="825" ht="31.95" customHeight="1" x14ac:dyDescent="0.3"/>
    <row r="826" ht="31.95" customHeight="1" x14ac:dyDescent="0.3"/>
    <row r="827" ht="31.95" customHeight="1" x14ac:dyDescent="0.3"/>
    <row r="828" ht="31.95" customHeight="1" x14ac:dyDescent="0.3"/>
    <row r="829" ht="31.95" customHeight="1" x14ac:dyDescent="0.3"/>
    <row r="830" ht="31.95" customHeight="1" x14ac:dyDescent="0.3"/>
    <row r="831" ht="31.95" customHeight="1" x14ac:dyDescent="0.3"/>
    <row r="832" ht="31.95" customHeight="1" x14ac:dyDescent="0.3"/>
    <row r="833" ht="31.95" customHeight="1" x14ac:dyDescent="0.3"/>
    <row r="834" ht="31.95" customHeight="1" x14ac:dyDescent="0.3"/>
    <row r="835" ht="31.95" customHeight="1" x14ac:dyDescent="0.3"/>
    <row r="836" ht="31.95" customHeight="1" x14ac:dyDescent="0.3"/>
    <row r="837" ht="31.95" customHeight="1" x14ac:dyDescent="0.3"/>
    <row r="838" ht="31.95" customHeight="1" x14ac:dyDescent="0.3"/>
    <row r="839" ht="31.95" customHeight="1" x14ac:dyDescent="0.3"/>
    <row r="840" ht="31.95" customHeight="1" x14ac:dyDescent="0.3"/>
    <row r="841" ht="31.95" customHeight="1" x14ac:dyDescent="0.3"/>
    <row r="842" ht="31.95" customHeight="1" x14ac:dyDescent="0.3"/>
    <row r="843" ht="31.95" customHeight="1" x14ac:dyDescent="0.3"/>
    <row r="844" ht="31.95" customHeight="1" x14ac:dyDescent="0.3"/>
    <row r="845" ht="31.95" customHeight="1" x14ac:dyDescent="0.3"/>
    <row r="846" ht="31.95" customHeight="1" x14ac:dyDescent="0.3"/>
    <row r="847" ht="31.95" customHeight="1" x14ac:dyDescent="0.3"/>
    <row r="848" ht="31.95" customHeight="1" x14ac:dyDescent="0.3"/>
    <row r="849" ht="31.95" customHeight="1" x14ac:dyDescent="0.3"/>
    <row r="850" ht="31.95" customHeight="1" x14ac:dyDescent="0.3"/>
    <row r="851" ht="31.95" customHeight="1" x14ac:dyDescent="0.3"/>
    <row r="852" ht="31.95" customHeight="1" x14ac:dyDescent="0.3"/>
    <row r="853" ht="31.95" customHeight="1" x14ac:dyDescent="0.3"/>
    <row r="854" ht="31.95" customHeight="1" x14ac:dyDescent="0.3"/>
    <row r="855" ht="31.95" customHeight="1" x14ac:dyDescent="0.3"/>
    <row r="856" ht="31.95" customHeight="1" x14ac:dyDescent="0.3"/>
    <row r="857" ht="31.95" customHeight="1" x14ac:dyDescent="0.3"/>
    <row r="858" ht="31.95" customHeight="1" x14ac:dyDescent="0.3"/>
    <row r="859" ht="31.95" customHeight="1" x14ac:dyDescent="0.3"/>
    <row r="860" ht="31.95" customHeight="1" x14ac:dyDescent="0.3"/>
    <row r="861" ht="31.95" customHeight="1" x14ac:dyDescent="0.3"/>
    <row r="862" ht="31.95" customHeight="1" x14ac:dyDescent="0.3"/>
    <row r="863" ht="31.95" customHeight="1" x14ac:dyDescent="0.3"/>
    <row r="864" ht="31.95" customHeight="1" x14ac:dyDescent="0.3"/>
    <row r="865" ht="31.95" customHeight="1" x14ac:dyDescent="0.3"/>
    <row r="866" ht="31.95" customHeight="1" x14ac:dyDescent="0.3"/>
    <row r="867" ht="31.95" customHeight="1" x14ac:dyDescent="0.3"/>
    <row r="868" ht="31.95" customHeight="1" x14ac:dyDescent="0.3"/>
    <row r="869" ht="31.95" customHeight="1" x14ac:dyDescent="0.3"/>
    <row r="870" ht="31.95" customHeight="1" x14ac:dyDescent="0.3"/>
    <row r="871" ht="31.95" customHeight="1" x14ac:dyDescent="0.3"/>
    <row r="872" ht="31.95" customHeight="1" x14ac:dyDescent="0.3"/>
    <row r="873" ht="31.95" customHeight="1" x14ac:dyDescent="0.3"/>
    <row r="874" ht="31.95" customHeight="1" x14ac:dyDescent="0.3"/>
    <row r="875" ht="31.95" customHeight="1" x14ac:dyDescent="0.3"/>
    <row r="876" ht="31.95" customHeight="1" x14ac:dyDescent="0.3"/>
    <row r="877" ht="31.95" customHeight="1" x14ac:dyDescent="0.3"/>
    <row r="878" ht="31.95" customHeight="1" x14ac:dyDescent="0.3"/>
    <row r="879" ht="31.95" customHeight="1" x14ac:dyDescent="0.3"/>
    <row r="880" ht="31.95" customHeight="1" x14ac:dyDescent="0.3"/>
    <row r="881" ht="31.95" customHeight="1" x14ac:dyDescent="0.3"/>
    <row r="882" ht="31.95" customHeight="1" x14ac:dyDescent="0.3"/>
    <row r="883" ht="31.95" customHeight="1" x14ac:dyDescent="0.3"/>
    <row r="884" ht="31.95" customHeight="1" x14ac:dyDescent="0.3"/>
    <row r="885" ht="31.95" customHeight="1" x14ac:dyDescent="0.3"/>
    <row r="886" ht="31.95" customHeight="1" x14ac:dyDescent="0.3"/>
    <row r="887" ht="31.95" customHeight="1" x14ac:dyDescent="0.3"/>
    <row r="888" ht="31.95" customHeight="1" x14ac:dyDescent="0.3"/>
    <row r="889" ht="31.95" customHeight="1" x14ac:dyDescent="0.3"/>
    <row r="890" ht="31.95" customHeight="1" x14ac:dyDescent="0.3"/>
    <row r="891" ht="31.95" customHeight="1" x14ac:dyDescent="0.3"/>
    <row r="892" ht="31.95" customHeight="1" x14ac:dyDescent="0.3"/>
    <row r="893" ht="31.95" customHeight="1" x14ac:dyDescent="0.3"/>
    <row r="894" ht="31.95" customHeight="1" x14ac:dyDescent="0.3"/>
    <row r="895" ht="31.95" customHeight="1" x14ac:dyDescent="0.3"/>
    <row r="896" ht="31.95" customHeight="1" x14ac:dyDescent="0.3"/>
    <row r="897" ht="31.95" customHeight="1" x14ac:dyDescent="0.3"/>
    <row r="898" ht="31.95" customHeight="1" x14ac:dyDescent="0.3"/>
    <row r="899" ht="31.95" customHeight="1" x14ac:dyDescent="0.3"/>
    <row r="900" ht="31.95" customHeight="1" x14ac:dyDescent="0.3"/>
    <row r="901" ht="31.95" customHeight="1" x14ac:dyDescent="0.3"/>
    <row r="902" ht="31.95" customHeight="1" x14ac:dyDescent="0.3"/>
    <row r="903" ht="31.95" customHeight="1" x14ac:dyDescent="0.3"/>
    <row r="904" ht="31.95" customHeight="1" x14ac:dyDescent="0.3"/>
    <row r="905" ht="31.95" customHeight="1" x14ac:dyDescent="0.3"/>
    <row r="906" ht="31.95" customHeight="1" x14ac:dyDescent="0.3"/>
    <row r="907" ht="31.95" customHeight="1" x14ac:dyDescent="0.3"/>
    <row r="908" ht="31.95" customHeight="1" x14ac:dyDescent="0.3"/>
    <row r="909" ht="31.95" customHeight="1" x14ac:dyDescent="0.3"/>
    <row r="910" ht="31.95" customHeight="1" x14ac:dyDescent="0.3"/>
    <row r="911" ht="31.95" customHeight="1" x14ac:dyDescent="0.3"/>
    <row r="912" ht="31.95" customHeight="1" x14ac:dyDescent="0.3"/>
    <row r="913" ht="31.95" customHeight="1" x14ac:dyDescent="0.3"/>
    <row r="914" ht="31.95" customHeight="1" x14ac:dyDescent="0.3"/>
    <row r="915" ht="31.95" customHeight="1" x14ac:dyDescent="0.3"/>
    <row r="916" ht="31.95" customHeight="1" x14ac:dyDescent="0.3"/>
    <row r="917" ht="31.95" customHeight="1" x14ac:dyDescent="0.3"/>
    <row r="918" ht="31.95" customHeight="1" x14ac:dyDescent="0.3"/>
    <row r="919" ht="31.95" customHeight="1" x14ac:dyDescent="0.3"/>
    <row r="920" ht="31.95" customHeight="1" x14ac:dyDescent="0.3"/>
    <row r="921" ht="31.95" customHeight="1" x14ac:dyDescent="0.3"/>
    <row r="922" ht="31.95" customHeight="1" x14ac:dyDescent="0.3"/>
    <row r="923" ht="31.95" customHeight="1" x14ac:dyDescent="0.3"/>
    <row r="924" ht="31.95" customHeight="1" x14ac:dyDescent="0.3"/>
    <row r="925" ht="31.95" customHeight="1" x14ac:dyDescent="0.3"/>
    <row r="926" ht="31.95" customHeight="1" x14ac:dyDescent="0.3"/>
    <row r="927" ht="31.95" customHeight="1" x14ac:dyDescent="0.3"/>
    <row r="928" ht="31.95" customHeight="1" x14ac:dyDescent="0.3"/>
    <row r="929" ht="31.95" customHeight="1" x14ac:dyDescent="0.3"/>
    <row r="930" ht="31.95" customHeight="1" x14ac:dyDescent="0.3"/>
    <row r="931" ht="31.95" customHeight="1" x14ac:dyDescent="0.3"/>
    <row r="932" ht="31.95" customHeight="1" x14ac:dyDescent="0.3"/>
    <row r="933" ht="31.95" customHeight="1" x14ac:dyDescent="0.3"/>
    <row r="934" ht="31.95" customHeight="1" x14ac:dyDescent="0.3"/>
    <row r="935" ht="31.95" customHeight="1" x14ac:dyDescent="0.3"/>
    <row r="936" ht="31.95" customHeight="1" x14ac:dyDescent="0.3"/>
    <row r="937" ht="31.95" customHeight="1" x14ac:dyDescent="0.3"/>
    <row r="938" ht="31.95" customHeight="1" x14ac:dyDescent="0.3"/>
    <row r="939" ht="31.95" customHeight="1" x14ac:dyDescent="0.3"/>
    <row r="940" ht="31.95" customHeight="1" x14ac:dyDescent="0.3"/>
    <row r="941" ht="31.95" customHeight="1" x14ac:dyDescent="0.3"/>
    <row r="942" ht="31.95" customHeight="1" x14ac:dyDescent="0.3"/>
    <row r="943" ht="31.95" customHeight="1" x14ac:dyDescent="0.3"/>
    <row r="944" ht="31.95" customHeight="1" x14ac:dyDescent="0.3"/>
    <row r="945" ht="31.95" customHeight="1" x14ac:dyDescent="0.3"/>
    <row r="946" ht="31.95" customHeight="1" x14ac:dyDescent="0.3"/>
    <row r="947" ht="31.95" customHeight="1" x14ac:dyDescent="0.3"/>
    <row r="948" ht="31.95" customHeight="1" x14ac:dyDescent="0.3"/>
    <row r="949" ht="31.95" customHeight="1" x14ac:dyDescent="0.3"/>
    <row r="950" ht="31.95" customHeight="1" x14ac:dyDescent="0.3"/>
    <row r="951" ht="31.95" customHeight="1" x14ac:dyDescent="0.3"/>
    <row r="952" ht="31.95" customHeight="1" x14ac:dyDescent="0.3"/>
    <row r="953" ht="31.95" customHeight="1" x14ac:dyDescent="0.3"/>
    <row r="954" ht="31.95" customHeight="1" x14ac:dyDescent="0.3"/>
    <row r="955" ht="31.95" customHeight="1" x14ac:dyDescent="0.3"/>
    <row r="956" ht="31.95" customHeight="1" x14ac:dyDescent="0.3"/>
    <row r="957" ht="31.95" customHeight="1" x14ac:dyDescent="0.3"/>
    <row r="958" ht="31.95" customHeight="1" x14ac:dyDescent="0.3"/>
    <row r="959" ht="31.95" customHeight="1" x14ac:dyDescent="0.3"/>
    <row r="960" ht="31.95" customHeight="1" x14ac:dyDescent="0.3"/>
    <row r="961" ht="31.95" customHeight="1" x14ac:dyDescent="0.3"/>
    <row r="962" ht="31.95" customHeight="1" x14ac:dyDescent="0.3"/>
    <row r="963" ht="31.95" customHeight="1" x14ac:dyDescent="0.3"/>
    <row r="964" ht="31.95" customHeight="1" x14ac:dyDescent="0.3"/>
    <row r="965" ht="31.95" customHeight="1" x14ac:dyDescent="0.3"/>
    <row r="966" ht="31.95" customHeight="1" x14ac:dyDescent="0.3"/>
    <row r="967" ht="31.95" customHeight="1" x14ac:dyDescent="0.3"/>
    <row r="968" ht="31.95" customHeight="1" x14ac:dyDescent="0.3"/>
    <row r="969" ht="31.95" customHeight="1" x14ac:dyDescent="0.3"/>
    <row r="970" ht="31.95" customHeight="1" x14ac:dyDescent="0.3"/>
    <row r="971" ht="31.95" customHeight="1" x14ac:dyDescent="0.3"/>
    <row r="972" ht="31.95" customHeight="1" x14ac:dyDescent="0.3"/>
    <row r="973" ht="31.95" customHeight="1" x14ac:dyDescent="0.3"/>
    <row r="974" ht="31.95" customHeight="1" x14ac:dyDescent="0.3"/>
    <row r="975" ht="31.95" customHeight="1" x14ac:dyDescent="0.3"/>
    <row r="976" ht="31.95" customHeight="1" x14ac:dyDescent="0.3"/>
    <row r="977" ht="31.95" customHeight="1" x14ac:dyDescent="0.3"/>
    <row r="978" ht="31.95" customHeight="1" x14ac:dyDescent="0.3"/>
    <row r="979" ht="31.95" customHeight="1" x14ac:dyDescent="0.3"/>
    <row r="980" ht="31.95" customHeight="1" x14ac:dyDescent="0.3"/>
    <row r="981" ht="31.95" customHeight="1" x14ac:dyDescent="0.3"/>
    <row r="982" ht="31.95" customHeight="1" x14ac:dyDescent="0.3"/>
    <row r="983" ht="31.95" customHeight="1" x14ac:dyDescent="0.3"/>
    <row r="984" ht="31.95" customHeight="1" x14ac:dyDescent="0.3"/>
    <row r="985" ht="31.95" customHeight="1" x14ac:dyDescent="0.3"/>
    <row r="986" ht="31.95" customHeight="1" x14ac:dyDescent="0.3"/>
    <row r="987" ht="31.95" customHeight="1" x14ac:dyDescent="0.3"/>
    <row r="988" ht="31.95" customHeight="1" x14ac:dyDescent="0.3"/>
    <row r="989" ht="31.95" customHeight="1" x14ac:dyDescent="0.3"/>
    <row r="990" ht="31.95" customHeight="1" x14ac:dyDescent="0.3"/>
    <row r="991" ht="31.95" customHeight="1" x14ac:dyDescent="0.3"/>
    <row r="992" ht="31.95" customHeight="1" x14ac:dyDescent="0.3"/>
    <row r="993" ht="31.95" customHeight="1" x14ac:dyDescent="0.3"/>
    <row r="994" ht="31.95" customHeight="1" x14ac:dyDescent="0.3"/>
    <row r="995" ht="31.95" customHeight="1" x14ac:dyDescent="0.3"/>
    <row r="996" ht="31.95" customHeight="1" x14ac:dyDescent="0.3"/>
    <row r="997" ht="31.95" customHeight="1" x14ac:dyDescent="0.3"/>
    <row r="998" ht="31.95" customHeight="1" x14ac:dyDescent="0.3"/>
    <row r="999" ht="31.95" customHeight="1" x14ac:dyDescent="0.3"/>
    <row r="1000" ht="31.95" customHeight="1" x14ac:dyDescent="0.3"/>
    <row r="1001" ht="31.95" customHeight="1" x14ac:dyDescent="0.3"/>
    <row r="1002" ht="31.95" customHeight="1" x14ac:dyDescent="0.3"/>
    <row r="1003" ht="31.95" customHeight="1" x14ac:dyDescent="0.3"/>
    <row r="1004" ht="31.95" customHeight="1" x14ac:dyDescent="0.3"/>
    <row r="1005" ht="31.95" customHeight="1" x14ac:dyDescent="0.3"/>
    <row r="1006" ht="31.95" customHeight="1" x14ac:dyDescent="0.3"/>
    <row r="1007" ht="31.95" customHeight="1" x14ac:dyDescent="0.3"/>
    <row r="1008" ht="31.95" customHeight="1" x14ac:dyDescent="0.3"/>
    <row r="1009" ht="31.95" customHeight="1" x14ac:dyDescent="0.3"/>
    <row r="1010" ht="31.95" customHeight="1" x14ac:dyDescent="0.3"/>
    <row r="1011" ht="31.95" customHeight="1" x14ac:dyDescent="0.3"/>
    <row r="1012" ht="31.95" customHeight="1" x14ac:dyDescent="0.3"/>
    <row r="1013" ht="31.95" customHeight="1" x14ac:dyDescent="0.3"/>
    <row r="1014" ht="31.95" customHeight="1" x14ac:dyDescent="0.3"/>
    <row r="1015" ht="31.95" customHeight="1" x14ac:dyDescent="0.3"/>
    <row r="1016" ht="31.95" customHeight="1" x14ac:dyDescent="0.3"/>
    <row r="1017" ht="31.95" customHeight="1" x14ac:dyDescent="0.3"/>
    <row r="1018" ht="31.95" customHeight="1" x14ac:dyDescent="0.3"/>
    <row r="1019" ht="31.95" customHeight="1" x14ac:dyDescent="0.3"/>
    <row r="1020" ht="31.95" customHeight="1" x14ac:dyDescent="0.3"/>
    <row r="1021" ht="31.95" customHeight="1" x14ac:dyDescent="0.3"/>
    <row r="1022" ht="31.95" customHeight="1" x14ac:dyDescent="0.3"/>
    <row r="1023" ht="31.95" customHeight="1" x14ac:dyDescent="0.3"/>
    <row r="1024" ht="31.95" customHeight="1" x14ac:dyDescent="0.3"/>
    <row r="1025" ht="31.95" customHeight="1" x14ac:dyDescent="0.3"/>
    <row r="1026" ht="31.95" customHeight="1" x14ac:dyDescent="0.3"/>
    <row r="1027" ht="31.95" customHeight="1" x14ac:dyDescent="0.3"/>
    <row r="1028" ht="31.95" customHeight="1" x14ac:dyDescent="0.3"/>
    <row r="1029" ht="31.95" customHeight="1" x14ac:dyDescent="0.3"/>
    <row r="1030" ht="31.95" customHeight="1" x14ac:dyDescent="0.3"/>
    <row r="1031" ht="31.95" customHeight="1" x14ac:dyDescent="0.3"/>
    <row r="1032" ht="31.95" customHeight="1" x14ac:dyDescent="0.3"/>
    <row r="1033" ht="31.95" customHeight="1" x14ac:dyDescent="0.3"/>
    <row r="1034" ht="31.95" customHeight="1" x14ac:dyDescent="0.3"/>
    <row r="1035" ht="31.95" customHeight="1" x14ac:dyDescent="0.3"/>
    <row r="1036" ht="31.95" customHeight="1" x14ac:dyDescent="0.3"/>
    <row r="1037" ht="31.95" customHeight="1" x14ac:dyDescent="0.3"/>
    <row r="1038" ht="31.95" customHeight="1" x14ac:dyDescent="0.3"/>
    <row r="1039" ht="31.95" customHeight="1" x14ac:dyDescent="0.3"/>
    <row r="1040" ht="31.95" customHeight="1" x14ac:dyDescent="0.3"/>
    <row r="1041" ht="31.95" customHeight="1" x14ac:dyDescent="0.3"/>
    <row r="1042" ht="31.95" customHeight="1" x14ac:dyDescent="0.3"/>
    <row r="1043" ht="31.95" customHeight="1" x14ac:dyDescent="0.3"/>
    <row r="1044" ht="31.95" customHeight="1" x14ac:dyDescent="0.3"/>
    <row r="1045" ht="31.95" customHeight="1" x14ac:dyDescent="0.3"/>
    <row r="1046" ht="31.95" customHeight="1" x14ac:dyDescent="0.3"/>
    <row r="1047" ht="31.95" customHeight="1" x14ac:dyDescent="0.3"/>
    <row r="1048" ht="31.95" customHeight="1" x14ac:dyDescent="0.3"/>
    <row r="1049" ht="31.95" customHeight="1" x14ac:dyDescent="0.3"/>
    <row r="1050" ht="31.95" customHeight="1" x14ac:dyDescent="0.3"/>
    <row r="1051" ht="31.95" customHeight="1" x14ac:dyDescent="0.3"/>
    <row r="1052" ht="31.95" customHeight="1" x14ac:dyDescent="0.3"/>
    <row r="1053" ht="31.95" customHeight="1" x14ac:dyDescent="0.3"/>
    <row r="1054" ht="31.95" customHeight="1" x14ac:dyDescent="0.3"/>
    <row r="1055" ht="31.95" customHeight="1" x14ac:dyDescent="0.3"/>
    <row r="1056" ht="31.95" customHeight="1" x14ac:dyDescent="0.3"/>
    <row r="1057" ht="31.95" customHeight="1" x14ac:dyDescent="0.3"/>
    <row r="1058" ht="31.95" customHeight="1" x14ac:dyDescent="0.3"/>
    <row r="1059" ht="31.95" customHeight="1" x14ac:dyDescent="0.3"/>
    <row r="1060" ht="31.95" customHeight="1" x14ac:dyDescent="0.3"/>
    <row r="1061" ht="31.95" customHeight="1" x14ac:dyDescent="0.3"/>
    <row r="1062" ht="31.95" customHeight="1" x14ac:dyDescent="0.3"/>
    <row r="1063" ht="31.95" customHeight="1" x14ac:dyDescent="0.3"/>
    <row r="1064" ht="31.95" customHeight="1" x14ac:dyDescent="0.3"/>
    <row r="1065" ht="31.95" customHeight="1" x14ac:dyDescent="0.3"/>
    <row r="1066" ht="31.95" customHeight="1" x14ac:dyDescent="0.3"/>
    <row r="1067" ht="31.95" customHeight="1" x14ac:dyDescent="0.3"/>
    <row r="1068" ht="31.95" customHeight="1" x14ac:dyDescent="0.3"/>
    <row r="1069" ht="31.95" customHeight="1" x14ac:dyDescent="0.3"/>
    <row r="1070" ht="31.95" customHeight="1" x14ac:dyDescent="0.3"/>
    <row r="1071" ht="31.95" customHeight="1" x14ac:dyDescent="0.3"/>
    <row r="1072" ht="31.95" customHeight="1" x14ac:dyDescent="0.3"/>
    <row r="1073" ht="31.95" customHeight="1" x14ac:dyDescent="0.3"/>
    <row r="1074" ht="31.95" customHeight="1" x14ac:dyDescent="0.3"/>
    <row r="1075" ht="31.95" customHeight="1" x14ac:dyDescent="0.3"/>
    <row r="1076" ht="31.95" customHeight="1" x14ac:dyDescent="0.3"/>
    <row r="1077" ht="31.95" customHeight="1" x14ac:dyDescent="0.3"/>
    <row r="1078" ht="31.95" customHeight="1" x14ac:dyDescent="0.3"/>
    <row r="1079" ht="31.95" customHeight="1" x14ac:dyDescent="0.3"/>
    <row r="1080" ht="31.95" customHeight="1" x14ac:dyDescent="0.3"/>
    <row r="1081" ht="31.95" customHeight="1" x14ac:dyDescent="0.3"/>
    <row r="1082" ht="31.95" customHeight="1" x14ac:dyDescent="0.3"/>
    <row r="1083" ht="31.95" customHeight="1" x14ac:dyDescent="0.3"/>
    <row r="1084" ht="31.95" customHeight="1" x14ac:dyDescent="0.3"/>
    <row r="1085" ht="31.95" customHeight="1" x14ac:dyDescent="0.3"/>
    <row r="1086" ht="31.95" customHeight="1" x14ac:dyDescent="0.3"/>
    <row r="1087" ht="31.95" customHeight="1" x14ac:dyDescent="0.3"/>
    <row r="1088" ht="31.95" customHeight="1" x14ac:dyDescent="0.3"/>
    <row r="1089" ht="31.95" customHeight="1" x14ac:dyDescent="0.3"/>
    <row r="1090" ht="31.95" customHeight="1" x14ac:dyDescent="0.3"/>
    <row r="1091" ht="31.95" customHeight="1" x14ac:dyDescent="0.3"/>
    <row r="1092" ht="31.95" customHeight="1" x14ac:dyDescent="0.3"/>
    <row r="1093" ht="31.95" customHeight="1" x14ac:dyDescent="0.3"/>
    <row r="1094" ht="31.95" customHeight="1" x14ac:dyDescent="0.3"/>
    <row r="1095" ht="31.95" customHeight="1" x14ac:dyDescent="0.3"/>
    <row r="1096" ht="31.95" customHeight="1" x14ac:dyDescent="0.3"/>
    <row r="1097" ht="31.95" customHeight="1" x14ac:dyDescent="0.3"/>
    <row r="1098" ht="31.95" customHeight="1" x14ac:dyDescent="0.3"/>
    <row r="1099" ht="31.95" customHeight="1" x14ac:dyDescent="0.3"/>
    <row r="1100" ht="31.95" customHeight="1" x14ac:dyDescent="0.3"/>
    <row r="1101" ht="31.95" customHeight="1" x14ac:dyDescent="0.3"/>
    <row r="1102" ht="31.95" customHeight="1" x14ac:dyDescent="0.3"/>
    <row r="1103" ht="31.95" customHeight="1" x14ac:dyDescent="0.3"/>
    <row r="1104" ht="31.95" customHeight="1" x14ac:dyDescent="0.3"/>
    <row r="1105" ht="31.95" customHeight="1" x14ac:dyDescent="0.3"/>
    <row r="1106" ht="31.95" customHeight="1" x14ac:dyDescent="0.3"/>
    <row r="1107" ht="31.95" customHeight="1" x14ac:dyDescent="0.3"/>
    <row r="1108" ht="31.95" customHeight="1" x14ac:dyDescent="0.3"/>
    <row r="1109" ht="31.95" customHeight="1" x14ac:dyDescent="0.3"/>
    <row r="1110" ht="31.95" customHeight="1" x14ac:dyDescent="0.3"/>
    <row r="1111" ht="31.95" customHeight="1" x14ac:dyDescent="0.3"/>
    <row r="1112" ht="31.95" customHeight="1" x14ac:dyDescent="0.3"/>
    <row r="1113" ht="31.95" customHeight="1" x14ac:dyDescent="0.3"/>
    <row r="1114" ht="31.95" customHeight="1" x14ac:dyDescent="0.3"/>
    <row r="1115" ht="31.95" customHeight="1" x14ac:dyDescent="0.3"/>
    <row r="1116" ht="31.95" customHeight="1" x14ac:dyDescent="0.3"/>
    <row r="1117" ht="31.95" customHeight="1" x14ac:dyDescent="0.3"/>
    <row r="1118" ht="31.95" customHeight="1" x14ac:dyDescent="0.3"/>
    <row r="1119" ht="31.95" customHeight="1" x14ac:dyDescent="0.3"/>
    <row r="1120" ht="31.95" customHeight="1" x14ac:dyDescent="0.3"/>
    <row r="1121" ht="31.95" customHeight="1" x14ac:dyDescent="0.3"/>
    <row r="1122" ht="31.95" customHeight="1" x14ac:dyDescent="0.3"/>
    <row r="1123" ht="31.95" customHeight="1" x14ac:dyDescent="0.3"/>
    <row r="1124" ht="31.95" customHeight="1" x14ac:dyDescent="0.3"/>
    <row r="1125" ht="31.95" customHeight="1" x14ac:dyDescent="0.3"/>
    <row r="1126" ht="31.95" customHeight="1" x14ac:dyDescent="0.3"/>
    <row r="1127" ht="31.95" customHeight="1" x14ac:dyDescent="0.3"/>
    <row r="1128" ht="31.95" customHeight="1" x14ac:dyDescent="0.3"/>
    <row r="1129" ht="31.95" customHeight="1" x14ac:dyDescent="0.3"/>
    <row r="1130" ht="31.95" customHeight="1" x14ac:dyDescent="0.3"/>
    <row r="1131" ht="31.95" customHeight="1" x14ac:dyDescent="0.3"/>
    <row r="1132" ht="31.95" customHeight="1" x14ac:dyDescent="0.3"/>
    <row r="1133" ht="31.95" customHeight="1" x14ac:dyDescent="0.3"/>
    <row r="1134" ht="31.95" customHeight="1" x14ac:dyDescent="0.3"/>
    <row r="1135" ht="31.95" customHeight="1" x14ac:dyDescent="0.3"/>
    <row r="1136" ht="31.95" customHeight="1" x14ac:dyDescent="0.3"/>
    <row r="1137" ht="31.95" customHeight="1" x14ac:dyDescent="0.3"/>
    <row r="1138" ht="31.95" customHeight="1" x14ac:dyDescent="0.3"/>
    <row r="1139" ht="31.95" customHeight="1" x14ac:dyDescent="0.3"/>
    <row r="1140" ht="31.95" customHeight="1" x14ac:dyDescent="0.3"/>
    <row r="1141" ht="31.95" customHeight="1" x14ac:dyDescent="0.3"/>
    <row r="1142" ht="31.95" customHeight="1" x14ac:dyDescent="0.3"/>
    <row r="1143" ht="31.95" customHeight="1" x14ac:dyDescent="0.3"/>
    <row r="1144" ht="31.95" customHeight="1" x14ac:dyDescent="0.3"/>
    <row r="1145" ht="31.95" customHeight="1" x14ac:dyDescent="0.3"/>
    <row r="1146" ht="31.95" customHeight="1" x14ac:dyDescent="0.3"/>
    <row r="1147" ht="31.95" customHeight="1" x14ac:dyDescent="0.3"/>
    <row r="1148" ht="31.95" customHeight="1" x14ac:dyDescent="0.3"/>
    <row r="1149" ht="31.95" customHeight="1" x14ac:dyDescent="0.3"/>
    <row r="1150" ht="31.95" customHeight="1" x14ac:dyDescent="0.3"/>
    <row r="1151" ht="31.95" customHeight="1" x14ac:dyDescent="0.3"/>
    <row r="1152" ht="31.95" customHeight="1" x14ac:dyDescent="0.3"/>
    <row r="1153" ht="31.95" customHeight="1" x14ac:dyDescent="0.3"/>
    <row r="1154" ht="31.95" customHeight="1" x14ac:dyDescent="0.3"/>
    <row r="1155" ht="31.95" customHeight="1" x14ac:dyDescent="0.3"/>
    <row r="1156" ht="31.95" customHeight="1" x14ac:dyDescent="0.3"/>
    <row r="1157" ht="31.95" customHeight="1" x14ac:dyDescent="0.3"/>
    <row r="1158" ht="31.95" customHeight="1" x14ac:dyDescent="0.3"/>
    <row r="1159" ht="31.95" customHeight="1" x14ac:dyDescent="0.3"/>
    <row r="1160" ht="31.95" customHeight="1" x14ac:dyDescent="0.3"/>
    <row r="1161" ht="31.95" customHeight="1" x14ac:dyDescent="0.3"/>
    <row r="1162" ht="31.95" customHeight="1" x14ac:dyDescent="0.3"/>
    <row r="1163" ht="31.95" customHeight="1" x14ac:dyDescent="0.3"/>
    <row r="1164" ht="31.95" customHeight="1" x14ac:dyDescent="0.3"/>
    <row r="1165" ht="31.95" customHeight="1" x14ac:dyDescent="0.3"/>
    <row r="1166" ht="31.95" customHeight="1" x14ac:dyDescent="0.3"/>
    <row r="1167" ht="31.95" customHeight="1" x14ac:dyDescent="0.3"/>
    <row r="1168" ht="31.95" customHeight="1" x14ac:dyDescent="0.3"/>
    <row r="1169" ht="31.95" customHeight="1" x14ac:dyDescent="0.3"/>
    <row r="1170" ht="31.95" customHeight="1" x14ac:dyDescent="0.3"/>
    <row r="1171" ht="31.95" customHeight="1" x14ac:dyDescent="0.3"/>
    <row r="1172" ht="31.95" customHeight="1" x14ac:dyDescent="0.3"/>
    <row r="1173" ht="31.95" customHeight="1" x14ac:dyDescent="0.3"/>
    <row r="1174" ht="31.95" customHeight="1" x14ac:dyDescent="0.3"/>
    <row r="1175" ht="31.95" customHeight="1" x14ac:dyDescent="0.3"/>
    <row r="1176" ht="31.95" customHeight="1" x14ac:dyDescent="0.3"/>
    <row r="1177" ht="31.95" customHeight="1" x14ac:dyDescent="0.3"/>
    <row r="1178" ht="31.95" customHeight="1" x14ac:dyDescent="0.3"/>
    <row r="1179" ht="31.95" customHeight="1" x14ac:dyDescent="0.3"/>
    <row r="1180" ht="31.95" customHeight="1" x14ac:dyDescent="0.3"/>
    <row r="1181" ht="31.95" customHeight="1" x14ac:dyDescent="0.3"/>
    <row r="1182" ht="31.95" customHeight="1" x14ac:dyDescent="0.3"/>
    <row r="1183" ht="31.95" customHeight="1" x14ac:dyDescent="0.3"/>
    <row r="1184" ht="31.95" customHeight="1" x14ac:dyDescent="0.3"/>
    <row r="1185" ht="31.95" customHeight="1" x14ac:dyDescent="0.3"/>
    <row r="1186" ht="31.95" customHeight="1" x14ac:dyDescent="0.3"/>
    <row r="1187" ht="31.95" customHeight="1" x14ac:dyDescent="0.3"/>
    <row r="1188" ht="31.95" customHeight="1" x14ac:dyDescent="0.3"/>
    <row r="1189" ht="31.95" customHeight="1" x14ac:dyDescent="0.3"/>
    <row r="1190" ht="31.95" customHeight="1" x14ac:dyDescent="0.3"/>
    <row r="1191" ht="31.95" customHeight="1" x14ac:dyDescent="0.3"/>
    <row r="1192" ht="31.95" customHeight="1" x14ac:dyDescent="0.3"/>
    <row r="1193" ht="31.95" customHeight="1" x14ac:dyDescent="0.3"/>
    <row r="1194" ht="31.95" customHeight="1" x14ac:dyDescent="0.3"/>
    <row r="1195" ht="31.95" customHeight="1" x14ac:dyDescent="0.3"/>
    <row r="1196" ht="31.95" customHeight="1" x14ac:dyDescent="0.3"/>
    <row r="1197" ht="31.95" customHeight="1" x14ac:dyDescent="0.3"/>
    <row r="1198" ht="31.95" customHeight="1" x14ac:dyDescent="0.3"/>
    <row r="1199" ht="31.95" customHeight="1" x14ac:dyDescent="0.3"/>
    <row r="1200" ht="31.95" customHeight="1" x14ac:dyDescent="0.3"/>
    <row r="1201" ht="31.95" customHeight="1" x14ac:dyDescent="0.3"/>
    <row r="1202" ht="31.95" customHeight="1" x14ac:dyDescent="0.3"/>
    <row r="1203" ht="31.95" customHeight="1" x14ac:dyDescent="0.3"/>
    <row r="1204" ht="31.95" customHeight="1" x14ac:dyDescent="0.3"/>
    <row r="1205" ht="31.95" customHeight="1" x14ac:dyDescent="0.3"/>
    <row r="1206" ht="31.95" customHeight="1" x14ac:dyDescent="0.3"/>
    <row r="1207" ht="31.95" customHeight="1" x14ac:dyDescent="0.3"/>
    <row r="1208" ht="31.95" customHeight="1" x14ac:dyDescent="0.3"/>
    <row r="1209" ht="31.95" customHeight="1" x14ac:dyDescent="0.3"/>
    <row r="1210" ht="31.95" customHeight="1" x14ac:dyDescent="0.3"/>
    <row r="1211" ht="31.95" customHeight="1" x14ac:dyDescent="0.3"/>
    <row r="1212" ht="31.95" customHeight="1" x14ac:dyDescent="0.3"/>
    <row r="1213" ht="31.95" customHeight="1" x14ac:dyDescent="0.3"/>
    <row r="1214" ht="31.95" customHeight="1" x14ac:dyDescent="0.3"/>
    <row r="1215" ht="31.95" customHeight="1" x14ac:dyDescent="0.3"/>
    <row r="1216" ht="31.95" customHeight="1" x14ac:dyDescent="0.3"/>
    <row r="1217" ht="31.95" customHeight="1" x14ac:dyDescent="0.3"/>
    <row r="1218" ht="31.95" customHeight="1" x14ac:dyDescent="0.3"/>
    <row r="1219" ht="31.95" customHeight="1" x14ac:dyDescent="0.3"/>
    <row r="1220" ht="31.95" customHeight="1" x14ac:dyDescent="0.3"/>
    <row r="1221" ht="31.95" customHeight="1" x14ac:dyDescent="0.3"/>
    <row r="1222" ht="31.95" customHeight="1" x14ac:dyDescent="0.3"/>
    <row r="1223" ht="31.95" customHeight="1" x14ac:dyDescent="0.3"/>
    <row r="1224" ht="31.95" customHeight="1" x14ac:dyDescent="0.3"/>
    <row r="1225" ht="31.95" customHeight="1" x14ac:dyDescent="0.3"/>
    <row r="1226" ht="31.95" customHeight="1" x14ac:dyDescent="0.3"/>
    <row r="1227" ht="31.95" customHeight="1" x14ac:dyDescent="0.3"/>
    <row r="1228" ht="31.95" customHeight="1" x14ac:dyDescent="0.3"/>
    <row r="1229" ht="31.95" customHeight="1" x14ac:dyDescent="0.3"/>
    <row r="1230" ht="31.95" customHeight="1" x14ac:dyDescent="0.3"/>
    <row r="1231" ht="31.95" customHeight="1" x14ac:dyDescent="0.3"/>
    <row r="1232" ht="31.95" customHeight="1" x14ac:dyDescent="0.3"/>
    <row r="1233" ht="31.95" customHeight="1" x14ac:dyDescent="0.3"/>
    <row r="1234" ht="31.95" customHeight="1" x14ac:dyDescent="0.3"/>
    <row r="1235" ht="31.95" customHeight="1" x14ac:dyDescent="0.3"/>
    <row r="1236" ht="31.95" customHeight="1" x14ac:dyDescent="0.3"/>
    <row r="1237" ht="31.95" customHeight="1" x14ac:dyDescent="0.3"/>
    <row r="1238" ht="31.95" customHeight="1" x14ac:dyDescent="0.3"/>
    <row r="1239" ht="31.95" customHeight="1" x14ac:dyDescent="0.3"/>
    <row r="1240" ht="31.95" customHeight="1" x14ac:dyDescent="0.3"/>
    <row r="1241" ht="31.95" customHeight="1" x14ac:dyDescent="0.3"/>
    <row r="1242" ht="31.95" customHeight="1" x14ac:dyDescent="0.3"/>
    <row r="1243" ht="31.95" customHeight="1" x14ac:dyDescent="0.3"/>
    <row r="1244" ht="31.95" customHeight="1" x14ac:dyDescent="0.3"/>
    <row r="1245" ht="31.95" customHeight="1" x14ac:dyDescent="0.3"/>
    <row r="1246" ht="31.95" customHeight="1" x14ac:dyDescent="0.3"/>
    <row r="1247" ht="31.95" customHeight="1" x14ac:dyDescent="0.3"/>
    <row r="1248" ht="31.95" customHeight="1" x14ac:dyDescent="0.3"/>
    <row r="1249" ht="31.95" customHeight="1" x14ac:dyDescent="0.3"/>
    <row r="1250" ht="31.95" customHeight="1" x14ac:dyDescent="0.3"/>
    <row r="1251" ht="31.95" customHeight="1" x14ac:dyDescent="0.3"/>
    <row r="1252" ht="31.95" customHeight="1" x14ac:dyDescent="0.3"/>
    <row r="1253" ht="31.95" customHeight="1" x14ac:dyDescent="0.3"/>
    <row r="1254" ht="31.95" customHeight="1" x14ac:dyDescent="0.3"/>
    <row r="1255" ht="31.95" customHeight="1" x14ac:dyDescent="0.3"/>
    <row r="1256" ht="31.95" customHeight="1" x14ac:dyDescent="0.3"/>
    <row r="1257" ht="31.95" customHeight="1" x14ac:dyDescent="0.3"/>
    <row r="1258" ht="31.95" customHeight="1" x14ac:dyDescent="0.3"/>
    <row r="1259" ht="31.95" customHeight="1" x14ac:dyDescent="0.3"/>
    <row r="1260" ht="31.95" customHeight="1" x14ac:dyDescent="0.3"/>
    <row r="1261" ht="31.95" customHeight="1" x14ac:dyDescent="0.3"/>
    <row r="1262" ht="31.95" customHeight="1" x14ac:dyDescent="0.3"/>
    <row r="1263" ht="31.95" customHeight="1" x14ac:dyDescent="0.3"/>
    <row r="1264" ht="31.95" customHeight="1" x14ac:dyDescent="0.3"/>
    <row r="1265" ht="31.95" customHeight="1" x14ac:dyDescent="0.3"/>
    <row r="1266" ht="31.95" customHeight="1" x14ac:dyDescent="0.3"/>
    <row r="1267" ht="31.95" customHeight="1" x14ac:dyDescent="0.3"/>
    <row r="1268" ht="31.95" customHeight="1" x14ac:dyDescent="0.3"/>
    <row r="1269" ht="31.95" customHeight="1" x14ac:dyDescent="0.3"/>
    <row r="1270" ht="31.95" customHeight="1" x14ac:dyDescent="0.3"/>
    <row r="1271" ht="31.95" customHeight="1" x14ac:dyDescent="0.3"/>
    <row r="1272" ht="31.95" customHeight="1" x14ac:dyDescent="0.3"/>
    <row r="1273" ht="31.95" customHeight="1" x14ac:dyDescent="0.3"/>
    <row r="1274" ht="31.95" customHeight="1" x14ac:dyDescent="0.3"/>
    <row r="1275" ht="31.95" customHeight="1" x14ac:dyDescent="0.3"/>
    <row r="1276" ht="31.95" customHeight="1" x14ac:dyDescent="0.3"/>
    <row r="1277" ht="31.95" customHeight="1" x14ac:dyDescent="0.3"/>
    <row r="1278" ht="31.95" customHeight="1" x14ac:dyDescent="0.3"/>
    <row r="1279" ht="31.95" customHeight="1" x14ac:dyDescent="0.3"/>
    <row r="1280" ht="31.95" customHeight="1" x14ac:dyDescent="0.3"/>
    <row r="1281" ht="31.95" customHeight="1" x14ac:dyDescent="0.3"/>
    <row r="1282" ht="31.95" customHeight="1" x14ac:dyDescent="0.3"/>
    <row r="1283" ht="31.95" customHeight="1" x14ac:dyDescent="0.3"/>
    <row r="1284" ht="31.95" customHeight="1" x14ac:dyDescent="0.3"/>
    <row r="1285" ht="31.95" customHeight="1" x14ac:dyDescent="0.3"/>
    <row r="1286" ht="31.95" customHeight="1" x14ac:dyDescent="0.3"/>
    <row r="1287" ht="31.95" customHeight="1" x14ac:dyDescent="0.3"/>
    <row r="1288" ht="31.95" customHeight="1" x14ac:dyDescent="0.3"/>
    <row r="1289" ht="31.95" customHeight="1" x14ac:dyDescent="0.3"/>
    <row r="1290" ht="31.95" customHeight="1" x14ac:dyDescent="0.3"/>
    <row r="1291" ht="31.95" customHeight="1" x14ac:dyDescent="0.3"/>
    <row r="1292" ht="31.95" customHeight="1" x14ac:dyDescent="0.3"/>
    <row r="1293" ht="31.95" customHeight="1" x14ac:dyDescent="0.3"/>
    <row r="1294" ht="31.95" customHeight="1" x14ac:dyDescent="0.3"/>
    <row r="1295" ht="31.95" customHeight="1" x14ac:dyDescent="0.3"/>
    <row r="1296" ht="31.95" customHeight="1" x14ac:dyDescent="0.3"/>
    <row r="1297" ht="31.95" customHeight="1" x14ac:dyDescent="0.3"/>
    <row r="1298" ht="31.95" customHeight="1" x14ac:dyDescent="0.3"/>
    <row r="1299" ht="31.95" customHeight="1" x14ac:dyDescent="0.3"/>
    <row r="1300" ht="31.95" customHeight="1" x14ac:dyDescent="0.3"/>
    <row r="1301" ht="31.95" customHeight="1" x14ac:dyDescent="0.3"/>
    <row r="1302" ht="31.95" customHeight="1" x14ac:dyDescent="0.3"/>
    <row r="1303" ht="31.95" customHeight="1" x14ac:dyDescent="0.3"/>
    <row r="1304" ht="31.95" customHeight="1" x14ac:dyDescent="0.3"/>
    <row r="1305" ht="31.95" customHeight="1" x14ac:dyDescent="0.3"/>
    <row r="1306" ht="31.95" customHeight="1" x14ac:dyDescent="0.3"/>
    <row r="1307" ht="31.95" customHeight="1" x14ac:dyDescent="0.3"/>
    <row r="1308" ht="31.95" customHeight="1" x14ac:dyDescent="0.3"/>
    <row r="1309" ht="31.95" customHeight="1" x14ac:dyDescent="0.3"/>
    <row r="1310" ht="31.95" customHeight="1" x14ac:dyDescent="0.3"/>
    <row r="1311" ht="31.95" customHeight="1" x14ac:dyDescent="0.3"/>
    <row r="1312" ht="31.95" customHeight="1" x14ac:dyDescent="0.3"/>
    <row r="1313" ht="31.95" customHeight="1" x14ac:dyDescent="0.3"/>
    <row r="1314" ht="31.95" customHeight="1" x14ac:dyDescent="0.3"/>
    <row r="1315" ht="31.95" customHeight="1" x14ac:dyDescent="0.3"/>
    <row r="1316" ht="31.95" customHeight="1" x14ac:dyDescent="0.3"/>
    <row r="1317" ht="31.95" customHeight="1" x14ac:dyDescent="0.3"/>
    <row r="1318" ht="31.95" customHeight="1" x14ac:dyDescent="0.3"/>
    <row r="1319" ht="31.95" customHeight="1" x14ac:dyDescent="0.3"/>
    <row r="1320" ht="31.95" customHeight="1" x14ac:dyDescent="0.3"/>
    <row r="1321" ht="31.95" customHeight="1" x14ac:dyDescent="0.3"/>
    <row r="1322" ht="31.95" customHeight="1" x14ac:dyDescent="0.3"/>
    <row r="1323" ht="31.95" customHeight="1" x14ac:dyDescent="0.3"/>
    <row r="1324" ht="31.95" customHeight="1" x14ac:dyDescent="0.3"/>
    <row r="1325" ht="31.95" customHeight="1" x14ac:dyDescent="0.3"/>
    <row r="1326" ht="31.95" customHeight="1" x14ac:dyDescent="0.3"/>
    <row r="1327" ht="31.95" customHeight="1" x14ac:dyDescent="0.3"/>
    <row r="1328" ht="31.95" customHeight="1" x14ac:dyDescent="0.3"/>
    <row r="1329" ht="31.95" customHeight="1" x14ac:dyDescent="0.3"/>
    <row r="1330" ht="31.95" customHeight="1" x14ac:dyDescent="0.3"/>
    <row r="1331" ht="31.95" customHeight="1" x14ac:dyDescent="0.3"/>
    <row r="1332" ht="31.95" customHeight="1" x14ac:dyDescent="0.3"/>
    <row r="1333" ht="31.95" customHeight="1" x14ac:dyDescent="0.3"/>
    <row r="1334" ht="31.95" customHeight="1" x14ac:dyDescent="0.3"/>
    <row r="1335" ht="31.95" customHeight="1" x14ac:dyDescent="0.3"/>
    <row r="1336" ht="31.95" customHeight="1" x14ac:dyDescent="0.3"/>
    <row r="1337" ht="31.95" customHeight="1" x14ac:dyDescent="0.3"/>
    <row r="1338" ht="31.95" customHeight="1" x14ac:dyDescent="0.3"/>
    <row r="1339" ht="31.95" customHeight="1" x14ac:dyDescent="0.3"/>
    <row r="1340" ht="31.95" customHeight="1" x14ac:dyDescent="0.3"/>
    <row r="1341" ht="31.95" customHeight="1" x14ac:dyDescent="0.3"/>
    <row r="1342" ht="31.95" customHeight="1" x14ac:dyDescent="0.3"/>
    <row r="1343" ht="31.95" customHeight="1" x14ac:dyDescent="0.3"/>
    <row r="1344" ht="31.95" customHeight="1" x14ac:dyDescent="0.3"/>
    <row r="1345" ht="31.95" customHeight="1" x14ac:dyDescent="0.3"/>
    <row r="1346" ht="31.95" customHeight="1" x14ac:dyDescent="0.3"/>
    <row r="1347" ht="31.95" customHeight="1" x14ac:dyDescent="0.3"/>
    <row r="1348" ht="31.95" customHeight="1" x14ac:dyDescent="0.3"/>
    <row r="1349" ht="31.95" customHeight="1" x14ac:dyDescent="0.3"/>
    <row r="1350" ht="31.95" customHeight="1" x14ac:dyDescent="0.3"/>
    <row r="1351" ht="31.95" customHeight="1" x14ac:dyDescent="0.3"/>
    <row r="1352" ht="31.95" customHeight="1" x14ac:dyDescent="0.3"/>
    <row r="1353" ht="31.95" customHeight="1" x14ac:dyDescent="0.3"/>
    <row r="1354" ht="31.95" customHeight="1" x14ac:dyDescent="0.3"/>
    <row r="1355" ht="31.95" customHeight="1" x14ac:dyDescent="0.3"/>
    <row r="1356" ht="31.95" customHeight="1" x14ac:dyDescent="0.3"/>
    <row r="1357" ht="31.95" customHeight="1" x14ac:dyDescent="0.3"/>
    <row r="1358" ht="31.95" customHeight="1" x14ac:dyDescent="0.3"/>
    <row r="1359" ht="31.95" customHeight="1" x14ac:dyDescent="0.3"/>
    <row r="1360" ht="31.95" customHeight="1" x14ac:dyDescent="0.3"/>
    <row r="1361" ht="31.95" customHeight="1" x14ac:dyDescent="0.3"/>
    <row r="1362" ht="31.95" customHeight="1" x14ac:dyDescent="0.3"/>
    <row r="1363" ht="31.95" customHeight="1" x14ac:dyDescent="0.3"/>
    <row r="1364" ht="31.95" customHeight="1" x14ac:dyDescent="0.3"/>
    <row r="1365" ht="31.95" customHeight="1" x14ac:dyDescent="0.3"/>
    <row r="1366" ht="31.95" customHeight="1" x14ac:dyDescent="0.3"/>
    <row r="1367" ht="31.95" customHeight="1" x14ac:dyDescent="0.3"/>
    <row r="1368" ht="31.95" customHeight="1" x14ac:dyDescent="0.3"/>
    <row r="1369" ht="31.95" customHeight="1" x14ac:dyDescent="0.3"/>
    <row r="1370" ht="31.95" customHeight="1" x14ac:dyDescent="0.3"/>
    <row r="1371" ht="31.95" customHeight="1" x14ac:dyDescent="0.3"/>
    <row r="1372" ht="31.95" customHeight="1" x14ac:dyDescent="0.3"/>
    <row r="1373" ht="31.95" customHeight="1" x14ac:dyDescent="0.3"/>
    <row r="1374" ht="31.95" customHeight="1" x14ac:dyDescent="0.3"/>
    <row r="1375" ht="31.95" customHeight="1" x14ac:dyDescent="0.3"/>
    <row r="1376" ht="31.95" customHeight="1" x14ac:dyDescent="0.3"/>
    <row r="1377" ht="31.95" customHeight="1" x14ac:dyDescent="0.3"/>
    <row r="1378" ht="31.95" customHeight="1" x14ac:dyDescent="0.3"/>
    <row r="1379" ht="31.95" customHeight="1" x14ac:dyDescent="0.3"/>
    <row r="1380" ht="31.95" customHeight="1" x14ac:dyDescent="0.3"/>
    <row r="1381" ht="31.95" customHeight="1" x14ac:dyDescent="0.3"/>
    <row r="1382" ht="31.95" customHeight="1" x14ac:dyDescent="0.3"/>
    <row r="1383" ht="31.95" customHeight="1" x14ac:dyDescent="0.3"/>
    <row r="1384" ht="31.95" customHeight="1" x14ac:dyDescent="0.3"/>
    <row r="1385" ht="31.95" customHeight="1" x14ac:dyDescent="0.3"/>
    <row r="1386" ht="31.95" customHeight="1" x14ac:dyDescent="0.3"/>
    <row r="1387" ht="31.95" customHeight="1" x14ac:dyDescent="0.3"/>
    <row r="1388" ht="31.95" customHeight="1" x14ac:dyDescent="0.3"/>
    <row r="1389" ht="31.95" customHeight="1" x14ac:dyDescent="0.3"/>
    <row r="1390" ht="31.95" customHeight="1" x14ac:dyDescent="0.3"/>
    <row r="1391" ht="31.95" customHeight="1" x14ac:dyDescent="0.3"/>
    <row r="1392" ht="31.95" customHeight="1" x14ac:dyDescent="0.3"/>
    <row r="1393" ht="31.95" customHeight="1" x14ac:dyDescent="0.3"/>
    <row r="1394" ht="31.95" customHeight="1" x14ac:dyDescent="0.3"/>
    <row r="1395" ht="31.95" customHeight="1" x14ac:dyDescent="0.3"/>
    <row r="1396" ht="31.95" customHeight="1" x14ac:dyDescent="0.3"/>
    <row r="1397" ht="31.95" customHeight="1" x14ac:dyDescent="0.3"/>
    <row r="1398" ht="31.95" customHeight="1" x14ac:dyDescent="0.3"/>
    <row r="1399" ht="31.95" customHeight="1" x14ac:dyDescent="0.3"/>
    <row r="1400" ht="31.95" customHeight="1" x14ac:dyDescent="0.3"/>
    <row r="1401" ht="31.95" customHeight="1" x14ac:dyDescent="0.3"/>
    <row r="1402" ht="31.95" customHeight="1" x14ac:dyDescent="0.3"/>
    <row r="1403" ht="31.95" customHeight="1" x14ac:dyDescent="0.3"/>
    <row r="1404" ht="31.95" customHeight="1" x14ac:dyDescent="0.3"/>
    <row r="1405" ht="31.95" customHeight="1" x14ac:dyDescent="0.3"/>
    <row r="1406" ht="31.95" customHeight="1" x14ac:dyDescent="0.3"/>
    <row r="1407" ht="31.95" customHeight="1" x14ac:dyDescent="0.3"/>
    <row r="1408" ht="31.95" customHeight="1" x14ac:dyDescent="0.3"/>
    <row r="1409" ht="31.95" customHeight="1" x14ac:dyDescent="0.3"/>
    <row r="1410" ht="31.95" customHeight="1" x14ac:dyDescent="0.3"/>
    <row r="1411" ht="31.95" customHeight="1" x14ac:dyDescent="0.3"/>
    <row r="1412" ht="31.95" customHeight="1" x14ac:dyDescent="0.3"/>
    <row r="1413" ht="31.95" customHeight="1" x14ac:dyDescent="0.3"/>
  </sheetData>
  <hyperlinks>
    <hyperlink ref="A1" location="'Ordem de compra'!A1" display="'Ordem de compra'!A1" xr:uid="{C2E20AFC-2971-4F06-9164-0EE5DC83E314}"/>
  </hyperlink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6292C-CEDE-48B7-A1EF-75C596E525FD}">
  <sheetPr codeName="Planilha14"/>
  <dimension ref="A1:AL1413"/>
  <sheetViews>
    <sheetView showGridLines="0" workbookViewId="0">
      <selection activeCell="L13" sqref="L13"/>
    </sheetView>
  </sheetViews>
  <sheetFormatPr defaultColWidth="8.88671875" defaultRowHeight="14.4" x14ac:dyDescent="0.3"/>
  <cols>
    <col min="1" max="1" width="10.6640625" style="2" customWidth="1"/>
    <col min="2" max="2" width="5.88671875" style="2" customWidth="1"/>
    <col min="3" max="4" width="10.6640625" style="2" customWidth="1"/>
    <col min="5" max="7" width="20.6640625" style="2" customWidth="1"/>
    <col min="8" max="8" width="30.6640625" style="2" customWidth="1"/>
    <col min="9" max="9" width="10.6640625" style="2" customWidth="1"/>
    <col min="10" max="10" width="30.6640625" style="2" customWidth="1"/>
    <col min="11" max="21" width="15.6640625" style="2" customWidth="1"/>
    <col min="22" max="25" width="8.88671875" style="2" customWidth="1"/>
    <col min="26" max="26" width="33.5546875" style="2" bestFit="1" customWidth="1"/>
    <col min="27" max="27" width="9" style="2" customWidth="1"/>
    <col min="28" max="30" width="8.88671875" style="2" customWidth="1"/>
    <col min="31" max="16384" width="8.88671875" style="2"/>
  </cols>
  <sheetData>
    <row r="1" spans="1:38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8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8" ht="10.199999999999999" customHeight="1" x14ac:dyDescent="0.3">
      <c r="A3" s="183"/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</row>
    <row r="4" spans="1:38" ht="31.95" customHeight="1" x14ac:dyDescent="0.3">
      <c r="A4" s="183"/>
      <c r="B4" s="321" t="s">
        <v>1430</v>
      </c>
      <c r="C4" s="321"/>
      <c r="D4" s="321"/>
      <c r="E4" s="322" t="s">
        <v>1459</v>
      </c>
      <c r="F4" s="323"/>
      <c r="G4" s="323"/>
      <c r="H4" s="324"/>
      <c r="I4" s="241"/>
      <c r="J4" s="313">
        <f>INDICADORES!C5</f>
        <v>2025</v>
      </c>
      <c r="K4" s="183"/>
      <c r="L4" s="183"/>
      <c r="Y4" s="214" t="s">
        <v>1430</v>
      </c>
      <c r="Z4" s="2" t="s">
        <v>1459</v>
      </c>
      <c r="AB4" s="214" t="s">
        <v>1431</v>
      </c>
      <c r="AC4" s="2" t="s">
        <v>1462</v>
      </c>
    </row>
    <row r="5" spans="1:38" ht="31.95" customHeight="1" x14ac:dyDescent="0.3">
      <c r="A5" s="183"/>
      <c r="B5" s="314" t="s">
        <v>1431</v>
      </c>
      <c r="C5" s="314" t="s">
        <v>1431</v>
      </c>
      <c r="D5" s="314"/>
      <c r="E5" s="315" t="str">
        <f>IF(E4=Z4,AC4,IF(E4=Z5,AC5,IF(E4=Z6,AC6,"")))</f>
        <v xml:space="preserve">Medir o prazo de entrega dos clientes </v>
      </c>
      <c r="F5" s="315"/>
      <c r="G5" s="315"/>
      <c r="H5" s="315"/>
      <c r="I5" s="242"/>
      <c r="J5" s="313"/>
      <c r="K5" s="183"/>
      <c r="L5" s="183"/>
      <c r="Z5" s="2" t="s">
        <v>1460</v>
      </c>
      <c r="AC5" s="2" t="s">
        <v>1463</v>
      </c>
    </row>
    <row r="6" spans="1:38" ht="31.95" customHeight="1" x14ac:dyDescent="0.3">
      <c r="A6" s="183"/>
      <c r="B6" s="314" t="s">
        <v>1433</v>
      </c>
      <c r="C6" s="314" t="s">
        <v>1432</v>
      </c>
      <c r="D6" s="314"/>
      <c r="E6" s="316" t="str">
        <f>IF(X13&lt;D13,"Fora da meta","Dentro da meta")</f>
        <v>Fora da meta</v>
      </c>
      <c r="F6" s="315"/>
      <c r="G6" s="315"/>
      <c r="H6" s="315"/>
      <c r="I6" s="242"/>
      <c r="J6" s="313"/>
      <c r="K6" s="183"/>
      <c r="L6" s="183"/>
    </row>
    <row r="7" spans="1:38" ht="31.95" customHeight="1" x14ac:dyDescent="0.3">
      <c r="A7" s="183"/>
      <c r="B7" s="314" t="s">
        <v>1434</v>
      </c>
      <c r="C7" s="314"/>
      <c r="D7" s="314"/>
      <c r="E7" s="315" t="s">
        <v>1461</v>
      </c>
      <c r="F7" s="315"/>
      <c r="G7" s="315"/>
      <c r="H7" s="315"/>
      <c r="I7" s="242"/>
      <c r="J7" s="313"/>
      <c r="K7" s="183"/>
      <c r="L7" s="183"/>
      <c r="Y7" s="2" t="str">
        <f>IF(E4=Z4,INDICADORES!B10,INDICADORES!B13)</f>
        <v>ENTREGUE NO PRAZO</v>
      </c>
    </row>
    <row r="8" spans="1:38" ht="31.95" customHeight="1" x14ac:dyDescent="0.3">
      <c r="A8" s="183"/>
      <c r="B8" s="314" t="s">
        <v>1435</v>
      </c>
      <c r="C8" s="314"/>
      <c r="D8" s="314"/>
      <c r="E8" s="315" t="s">
        <v>1436</v>
      </c>
      <c r="F8" s="315"/>
      <c r="G8" s="315"/>
      <c r="H8" s="315"/>
      <c r="I8" s="242"/>
      <c r="J8" s="313"/>
      <c r="K8" s="183"/>
      <c r="L8" s="183"/>
      <c r="Y8" s="2" t="str">
        <f>IF(E4=Z4,INDICADORES!B11,INDICADORES!B14)</f>
        <v>META ENTREGA</v>
      </c>
    </row>
    <row r="9" spans="1:38" ht="10.199999999999999" customHeight="1" x14ac:dyDescent="0.3">
      <c r="A9" s="183"/>
      <c r="B9" s="182"/>
      <c r="C9" s="216"/>
      <c r="D9" s="216"/>
      <c r="E9" s="216"/>
      <c r="F9" s="182"/>
      <c r="G9" s="182"/>
      <c r="H9" s="182"/>
      <c r="I9" s="183"/>
      <c r="J9" s="183"/>
      <c r="K9" s="183"/>
      <c r="L9" s="183"/>
    </row>
    <row r="10" spans="1:38" ht="30" customHeight="1" x14ac:dyDescent="0.3">
      <c r="A10" s="183"/>
      <c r="B10" s="217" t="s">
        <v>235</v>
      </c>
      <c r="C10" s="317" t="s">
        <v>1437</v>
      </c>
      <c r="D10" s="317"/>
      <c r="E10" s="317"/>
      <c r="F10" s="317" t="s">
        <v>1438</v>
      </c>
      <c r="G10" s="317"/>
      <c r="H10" s="218" t="s">
        <v>1439</v>
      </c>
      <c r="I10" s="219" t="s">
        <v>1440</v>
      </c>
      <c r="J10" s="220" t="s">
        <v>1441</v>
      </c>
      <c r="L10" s="244"/>
      <c r="M10" s="244"/>
      <c r="N10" s="244"/>
      <c r="O10" s="244"/>
      <c r="P10" s="244"/>
      <c r="Q10" s="244"/>
      <c r="R10" s="244"/>
      <c r="S10" s="244"/>
      <c r="T10" s="244"/>
      <c r="U10" s="244"/>
      <c r="V10" s="244"/>
      <c r="W10" s="244"/>
      <c r="X10" s="15"/>
      <c r="Y10" s="244">
        <f>IF($E$4=$Z$4,INDICADORES!C10,INDICADORES!C13)</f>
        <v>1</v>
      </c>
      <c r="Z10" s="244">
        <f>IF($E$4=$Z$4,INDICADORES!D10,INDICADORES!D13)</f>
        <v>1</v>
      </c>
      <c r="AA10" s="244">
        <f>IF($E$4=$Z$4,INDICADORES!E10,INDICADORES!E13)</f>
        <v>1</v>
      </c>
      <c r="AB10" s="244">
        <f>IF($E$4=$Z$4,INDICADORES!F10,INDICADORES!F13)</f>
        <v>1</v>
      </c>
      <c r="AC10" s="244">
        <f>IF($E$4=$Z$4,INDICADORES!G10,INDICADORES!G13)</f>
        <v>1</v>
      </c>
      <c r="AD10" s="244">
        <f>IF($E$4=$Z$4,INDICADORES!H10,INDICADORES!H13)</f>
        <v>1</v>
      </c>
      <c r="AE10" s="244">
        <f>IF($E$4=$Z$4,INDICADORES!I10,INDICADORES!I13)</f>
        <v>0.9375</v>
      </c>
      <c r="AF10" s="244">
        <f>IF($E$4=$Z$4,INDICADORES!J10,INDICADORES!J13)</f>
        <v>1</v>
      </c>
      <c r="AG10" s="244">
        <f>IF($E$4=$Z$4,INDICADORES!K10,INDICADORES!K13)</f>
        <v>1</v>
      </c>
      <c r="AH10" s="244">
        <f>IF($E$4=$Z$4,INDICADORES!L10,INDICADORES!L13)</f>
        <v>0.94444444444444442</v>
      </c>
      <c r="AI10" s="244">
        <f>IF($E$4=$Z$4,INDICADORES!M10,INDICADORES!M13)</f>
        <v>1</v>
      </c>
      <c r="AJ10" s="244">
        <f>IF($E$4=$Z$4,INDICADORES!N10,INDICADORES!N13)</f>
        <v>0.76</v>
      </c>
      <c r="AK10" s="244"/>
      <c r="AL10" s="244"/>
    </row>
    <row r="11" spans="1:38" ht="79.95" customHeight="1" x14ac:dyDescent="0.3">
      <c r="A11" s="183"/>
      <c r="B11" s="318" t="s">
        <v>1442</v>
      </c>
      <c r="C11" s="319" t="str">
        <f>IF(C13&gt;D13,"Eficiência no setor suprimentos, mostrando resultado nas ações implementas.",IF(C13=D13,"Meta atingida mas com baixa eficiência.",IF(C13&lt;D13,"Meta não atingida, verificar","")))</f>
        <v>Eficiência no setor suprimentos, mostrando resultado nas ações implementas.</v>
      </c>
      <c r="D11" s="320"/>
      <c r="E11" s="320"/>
      <c r="F11" s="319" t="str">
        <f>IF(C13&gt;D13,"Proatividade e follow up perto ao fornecedor.",IF(C13=D13,"Follow up sendo feito, mas verificar oportunidade de melhoria.",IF(C13&lt;D13,"Baixa eficiência do setor de Suprimentos.","")))</f>
        <v>Proatividade e follow up perto ao fornecedor.</v>
      </c>
      <c r="G11" s="320"/>
      <c r="H11" s="319" t="str">
        <f>IF(C13&gt;D13,"Sem ação necessária.",IF(C13=D13,"Sem ação necessária.",IF(C13&lt;D13,"Estamos estudando a contratação de um colaborador dedicado a parte de orçamentos e precisamos reavaliar nossa estrutura de precificação.","")))</f>
        <v>Sem ação necessária.</v>
      </c>
      <c r="I11" s="325" t="s">
        <v>11</v>
      </c>
      <c r="J11" s="327" t="s">
        <v>11</v>
      </c>
      <c r="K11" s="15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5">
        <f>IF($E$4=$Z$4,INDICADORES!C11,INDICADORES!C14)</f>
        <v>0.9</v>
      </c>
      <c r="Z11" s="245">
        <f>IF($E$4=$Z$4,INDICADORES!D11,INDICADORES!D14)</f>
        <v>0.9</v>
      </c>
      <c r="AA11" s="245">
        <f>IF($E$4=$Z$4,INDICADORES!E11,INDICADORES!E14)</f>
        <v>0.9</v>
      </c>
      <c r="AB11" s="245">
        <f>IF($E$4=$Z$4,INDICADORES!F11,INDICADORES!F14)</f>
        <v>0.9</v>
      </c>
      <c r="AC11" s="245">
        <f>IF($E$4=$Z$4,INDICADORES!G11,INDICADORES!G14)</f>
        <v>0.9</v>
      </c>
      <c r="AD11" s="245">
        <f>IF($E$4=$Z$4,INDICADORES!H11,INDICADORES!H14)</f>
        <v>0.9</v>
      </c>
      <c r="AE11" s="245">
        <f>IF($E$4=$Z$4,INDICADORES!I11,INDICADORES!I14)</f>
        <v>0.9</v>
      </c>
      <c r="AF11" s="245">
        <f>IF($E$4=$Z$4,INDICADORES!J11,INDICADORES!J14)</f>
        <v>0.9</v>
      </c>
      <c r="AG11" s="245">
        <f>IF($E$4=$Z$4,INDICADORES!K11,INDICADORES!K14)</f>
        <v>0.9</v>
      </c>
      <c r="AH11" s="245">
        <f>IF($E$4=$Z$4,INDICADORES!L11,INDICADORES!L14)</f>
        <v>0.9</v>
      </c>
      <c r="AI11" s="245">
        <f>IF($E$4=$Z$4,INDICADORES!M11,INDICADORES!M14)</f>
        <v>0.9</v>
      </c>
      <c r="AJ11" s="245">
        <f>IF($E$4=$Z$4,INDICADORES!N11,INDICADORES!N14)</f>
        <v>0.9</v>
      </c>
    </row>
    <row r="12" spans="1:38" ht="30" customHeight="1" x14ac:dyDescent="0.3">
      <c r="A12" s="183"/>
      <c r="B12" s="318"/>
      <c r="C12" s="221" t="s">
        <v>1443</v>
      </c>
      <c r="D12" s="222" t="s">
        <v>1432</v>
      </c>
      <c r="E12" s="223" t="s">
        <v>1444</v>
      </c>
      <c r="F12" s="221" t="s">
        <v>1445</v>
      </c>
      <c r="G12" s="222" t="s">
        <v>1446</v>
      </c>
      <c r="H12" s="320"/>
      <c r="I12" s="326"/>
      <c r="J12" s="328"/>
      <c r="K12" s="215"/>
      <c r="L12" s="224" t="s">
        <v>1442</v>
      </c>
      <c r="M12" s="224" t="s">
        <v>1447</v>
      </c>
      <c r="N12" s="224" t="s">
        <v>1448</v>
      </c>
      <c r="O12" s="224" t="s">
        <v>1449</v>
      </c>
      <c r="P12" s="224" t="s">
        <v>1450</v>
      </c>
      <c r="Q12" s="224" t="s">
        <v>1451</v>
      </c>
      <c r="R12" s="224" t="s">
        <v>1452</v>
      </c>
      <c r="S12" s="224" t="s">
        <v>1453</v>
      </c>
      <c r="T12" s="224" t="s">
        <v>1454</v>
      </c>
      <c r="U12" s="224" t="s">
        <v>1455</v>
      </c>
      <c r="V12" s="224" t="s">
        <v>1456</v>
      </c>
      <c r="W12" s="224" t="s">
        <v>1457</v>
      </c>
      <c r="X12" s="215" t="s">
        <v>1458</v>
      </c>
      <c r="Y12" s="215"/>
      <c r="Z12" s="15"/>
    </row>
    <row r="13" spans="1:38" ht="30" customHeight="1" x14ac:dyDescent="0.3">
      <c r="A13" s="183"/>
      <c r="B13" s="318"/>
      <c r="C13" s="225">
        <f>VLOOKUP($Y$7,INDICADORES!$B$10:$N$14,2,0)</f>
        <v>1</v>
      </c>
      <c r="D13" s="225">
        <f>VLOOKUP($Y$8,INDICADORES!$B$10:$N$14,2,0)</f>
        <v>0.9</v>
      </c>
      <c r="E13" s="226" t="str">
        <f>IF(C13&gt;=D13,"Sim","Não")</f>
        <v>Sim</v>
      </c>
      <c r="F13" s="227" t="str">
        <f>IF(E13="Sim","Não","Sim")</f>
        <v>Não</v>
      </c>
      <c r="G13" s="225" t="str">
        <f>F13</f>
        <v>Não</v>
      </c>
      <c r="H13" s="320"/>
      <c r="I13" s="326"/>
      <c r="J13" s="328"/>
      <c r="K13" s="215" t="s">
        <v>1443</v>
      </c>
      <c r="L13" s="224">
        <f>C13</f>
        <v>1</v>
      </c>
      <c r="M13" s="224">
        <f>C18</f>
        <v>1</v>
      </c>
      <c r="N13" s="224">
        <f>C23</f>
        <v>1</v>
      </c>
      <c r="O13" s="224">
        <f>C28</f>
        <v>1</v>
      </c>
      <c r="P13" s="224">
        <f>C33</f>
        <v>1</v>
      </c>
      <c r="Q13" s="224">
        <f>C38</f>
        <v>1</v>
      </c>
      <c r="R13" s="224">
        <f>C43</f>
        <v>0.9375</v>
      </c>
      <c r="S13" s="224">
        <f>C48</f>
        <v>1</v>
      </c>
      <c r="T13" s="224">
        <f>C53</f>
        <v>1</v>
      </c>
      <c r="U13" s="224">
        <f>C58</f>
        <v>0.94444444444444442</v>
      </c>
      <c r="V13" s="224">
        <f>C63</f>
        <v>1</v>
      </c>
      <c r="W13" s="224">
        <f>C68</f>
        <v>0.76</v>
      </c>
      <c r="X13" s="224">
        <v>0.47993697478991598</v>
      </c>
      <c r="Y13" s="215"/>
      <c r="Z13" s="15"/>
    </row>
    <row r="14" spans="1:38" ht="10.199999999999999" customHeight="1" x14ac:dyDescent="0.3">
      <c r="A14" s="183"/>
      <c r="B14" s="228"/>
      <c r="C14" s="229"/>
      <c r="D14" s="230"/>
      <c r="E14" s="182"/>
      <c r="F14" s="182"/>
      <c r="G14" s="182"/>
      <c r="H14" s="182"/>
      <c r="I14" s="231"/>
      <c r="J14" s="231"/>
      <c r="K14" s="215" t="s">
        <v>1432</v>
      </c>
      <c r="L14" s="232">
        <f>D13</f>
        <v>0.9</v>
      </c>
      <c r="M14" s="224">
        <f>D18</f>
        <v>0.9</v>
      </c>
      <c r="N14" s="224">
        <f>D23</f>
        <v>0.9</v>
      </c>
      <c r="O14" s="224">
        <f>D28</f>
        <v>0.9</v>
      </c>
      <c r="P14" s="224">
        <f>D23</f>
        <v>0.9</v>
      </c>
      <c r="Q14" s="224">
        <f>D38</f>
        <v>0.9</v>
      </c>
      <c r="R14" s="224">
        <f>D43</f>
        <v>0.9</v>
      </c>
      <c r="S14" s="224">
        <f>D48</f>
        <v>0.9</v>
      </c>
      <c r="T14" s="224">
        <f>D53</f>
        <v>0.9</v>
      </c>
      <c r="U14" s="224">
        <f>D58</f>
        <v>0.9</v>
      </c>
      <c r="V14" s="224">
        <f>D63</f>
        <v>0.9</v>
      </c>
      <c r="W14" s="224">
        <f>D68</f>
        <v>0.9</v>
      </c>
      <c r="X14" s="224"/>
      <c r="Y14" s="215"/>
      <c r="Z14" s="15"/>
    </row>
    <row r="15" spans="1:38" ht="30" customHeight="1" x14ac:dyDescent="0.3">
      <c r="A15" s="183"/>
      <c r="B15" s="217" t="s">
        <v>235</v>
      </c>
      <c r="C15" s="317" t="s">
        <v>1437</v>
      </c>
      <c r="D15" s="317"/>
      <c r="E15" s="317"/>
      <c r="F15" s="317" t="s">
        <v>1438</v>
      </c>
      <c r="G15" s="317"/>
      <c r="H15" s="218" t="s">
        <v>1439</v>
      </c>
      <c r="I15" s="233" t="s">
        <v>1440</v>
      </c>
      <c r="J15" s="234" t="s">
        <v>1441</v>
      </c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15"/>
    </row>
    <row r="16" spans="1:38" ht="79.95" customHeight="1" x14ac:dyDescent="0.3">
      <c r="A16" s="183"/>
      <c r="B16" s="318" t="s">
        <v>1447</v>
      </c>
      <c r="C16" s="319" t="str">
        <f>IF(C18&gt;D18,"Eficiência no setor suprimentos, mostrando resultado nas ações implementas.",IF(C18=D18,"Meta atingida mas com baixa eficiência.",IF(C18&lt;D18,"Meta não atingida, verificar","")))</f>
        <v>Eficiência no setor suprimentos, mostrando resultado nas ações implementas.</v>
      </c>
      <c r="D16" s="320"/>
      <c r="E16" s="320"/>
      <c r="F16" s="319" t="str">
        <f>IF(C18&gt;D18,"Proatividade e follow up perto ao fornecedor.",IF(C18=D18,"Follow up sendo feito, mas verificar oportunidade de melhoria.",IF(C18&lt;D18,"Baixa eficiência do setor de Suprimentos.","")))</f>
        <v>Proatividade e follow up perto ao fornecedor.</v>
      </c>
      <c r="G16" s="320"/>
      <c r="H16" s="319" t="str">
        <f>IF(C18&gt;D18,"Sem ação necessária.",IF(C18=D18,"Sem ação necessária.",IF(C18&lt;D18,"Estamos estudando a contratação de um colaborador dedicado a parte de orçamentos e precisamos reavaliar nossa estrutura de precificação.","")))</f>
        <v>Sem ação necessária.</v>
      </c>
      <c r="I16" s="325" t="s">
        <v>11</v>
      </c>
      <c r="J16" s="327" t="s">
        <v>11</v>
      </c>
    </row>
    <row r="17" spans="1:12" ht="30" customHeight="1" x14ac:dyDescent="0.3">
      <c r="A17" s="183"/>
      <c r="B17" s="318"/>
      <c r="C17" s="221" t="s">
        <v>1443</v>
      </c>
      <c r="D17" s="222" t="s">
        <v>1432</v>
      </c>
      <c r="E17" s="223" t="s">
        <v>1444</v>
      </c>
      <c r="F17" s="221" t="s">
        <v>1445</v>
      </c>
      <c r="G17" s="222" t="s">
        <v>1446</v>
      </c>
      <c r="H17" s="320"/>
      <c r="I17" s="326"/>
      <c r="J17" s="328"/>
      <c r="K17" s="183"/>
      <c r="L17" s="183"/>
    </row>
    <row r="18" spans="1:12" ht="30" customHeight="1" x14ac:dyDescent="0.3">
      <c r="A18" s="183"/>
      <c r="B18" s="318"/>
      <c r="C18" s="225">
        <f>VLOOKUP($Y$7,INDICADORES!$B$10:$N$14,3,0)</f>
        <v>1</v>
      </c>
      <c r="D18" s="225">
        <f>VLOOKUP($Y$8,INDICADORES!$B$10:$N$14,3,0)</f>
        <v>0.9</v>
      </c>
      <c r="E18" s="226" t="str">
        <f>IF(C18&gt;=D18,"Sim","Não")</f>
        <v>Sim</v>
      </c>
      <c r="F18" s="227" t="str">
        <f>IF(E18="Sim","Não","Sim")</f>
        <v>Não</v>
      </c>
      <c r="G18" s="225" t="str">
        <f>F18</f>
        <v>Não</v>
      </c>
      <c r="H18" s="320"/>
      <c r="I18" s="326"/>
      <c r="J18" s="328"/>
      <c r="K18" s="183"/>
      <c r="L18" s="183"/>
    </row>
    <row r="19" spans="1:12" ht="10.199999999999999" customHeight="1" x14ac:dyDescent="0.3">
      <c r="A19" s="183"/>
      <c r="B19" s="228"/>
      <c r="C19" s="229"/>
      <c r="D19" s="230"/>
      <c r="E19" s="182"/>
      <c r="F19" s="182"/>
      <c r="G19" s="182"/>
      <c r="H19" s="182"/>
      <c r="I19" s="231"/>
      <c r="J19" s="231"/>
      <c r="K19" s="183"/>
      <c r="L19" s="183"/>
    </row>
    <row r="20" spans="1:12" ht="30" customHeight="1" x14ac:dyDescent="0.3">
      <c r="A20" s="183"/>
      <c r="B20" s="217" t="s">
        <v>235</v>
      </c>
      <c r="C20" s="317" t="s">
        <v>1437</v>
      </c>
      <c r="D20" s="317"/>
      <c r="E20" s="317"/>
      <c r="F20" s="317" t="s">
        <v>1438</v>
      </c>
      <c r="G20" s="317"/>
      <c r="H20" s="218" t="s">
        <v>1439</v>
      </c>
      <c r="I20" s="233" t="s">
        <v>1440</v>
      </c>
      <c r="J20" s="234" t="s">
        <v>1441</v>
      </c>
      <c r="K20" s="183"/>
      <c r="L20" s="183"/>
    </row>
    <row r="21" spans="1:12" ht="79.95" customHeight="1" x14ac:dyDescent="0.3">
      <c r="A21" s="183"/>
      <c r="B21" s="318" t="s">
        <v>1448</v>
      </c>
      <c r="C21" s="319" t="str">
        <f>IF(C23&gt;D23,"Eficiência no setor suprimentos, mostrando resultado nas ações implementas.",IF(C23=D23,"Meta atingida mas com baixa eficiência.",IF(C23&lt;D23,"Meta não atingida, verificar","")))</f>
        <v>Eficiência no setor suprimentos, mostrando resultado nas ações implementas.</v>
      </c>
      <c r="D21" s="320"/>
      <c r="E21" s="320"/>
      <c r="F21" s="319" t="str">
        <f>IF(C23&gt;D23,"Proatividade e follow up perto ao fornecedor.",IF(C23=D23,"Follow up sendo feito, mas verificar oportunidade de melhoria.",IF(C23&lt;D23,"Baixa eficiência do setor de Suprimentos.","")))</f>
        <v>Proatividade e follow up perto ao fornecedor.</v>
      </c>
      <c r="G21" s="320"/>
      <c r="H21" s="319" t="str">
        <f>IF(C23&gt;D23,"Sem ação necessária.",IF(C23=D23,"Sem ação necessária.",IF(C23&lt;D23,"Estamos estudando a contratação de um colaborador dedicado a parte de orçamentos e precisamos reavaliar nossa estrutura de precificação.","")))</f>
        <v>Sem ação necessária.</v>
      </c>
      <c r="I21" s="325" t="s">
        <v>11</v>
      </c>
      <c r="J21" s="327" t="s">
        <v>11</v>
      </c>
      <c r="K21" s="183"/>
      <c r="L21" s="183"/>
    </row>
    <row r="22" spans="1:12" ht="30" customHeight="1" x14ac:dyDescent="0.3">
      <c r="A22" s="183"/>
      <c r="B22" s="318"/>
      <c r="C22" s="221" t="s">
        <v>1443</v>
      </c>
      <c r="D22" s="222" t="s">
        <v>1432</v>
      </c>
      <c r="E22" s="223" t="s">
        <v>1444</v>
      </c>
      <c r="F22" s="221" t="s">
        <v>1445</v>
      </c>
      <c r="G22" s="222" t="s">
        <v>1446</v>
      </c>
      <c r="H22" s="320"/>
      <c r="I22" s="326"/>
      <c r="J22" s="328"/>
      <c r="K22" s="183"/>
      <c r="L22" s="183"/>
    </row>
    <row r="23" spans="1:12" ht="30" customHeight="1" x14ac:dyDescent="0.3">
      <c r="A23" s="183"/>
      <c r="B23" s="318"/>
      <c r="C23" s="225">
        <f>VLOOKUP($Y$7,INDICADORES!$B$10:$N$14,4,0)</f>
        <v>1</v>
      </c>
      <c r="D23" s="225">
        <f>VLOOKUP($Y$8,INDICADORES!$B$10:$N$14,4,0)</f>
        <v>0.9</v>
      </c>
      <c r="E23" s="226" t="str">
        <f>IF(C23&gt;=D23,"Sim","Não")</f>
        <v>Sim</v>
      </c>
      <c r="F23" s="227" t="str">
        <f>IF(E23="Sim","Não","Sim")</f>
        <v>Não</v>
      </c>
      <c r="G23" s="225" t="str">
        <f>F23</f>
        <v>Não</v>
      </c>
      <c r="H23" s="320"/>
      <c r="I23" s="326"/>
      <c r="J23" s="328"/>
      <c r="K23" s="183"/>
      <c r="L23" s="183"/>
    </row>
    <row r="24" spans="1:12" ht="10.199999999999999" customHeight="1" x14ac:dyDescent="0.3">
      <c r="A24" s="183"/>
      <c r="B24" s="182"/>
      <c r="C24" s="182"/>
      <c r="D24" s="182"/>
      <c r="E24" s="182"/>
      <c r="F24" s="182"/>
      <c r="G24" s="182"/>
      <c r="H24" s="182"/>
      <c r="I24" s="231"/>
      <c r="J24" s="231"/>
      <c r="K24" s="183"/>
      <c r="L24" s="183"/>
    </row>
    <row r="25" spans="1:12" ht="30" customHeight="1" x14ac:dyDescent="0.3">
      <c r="A25" s="183"/>
      <c r="B25" s="217" t="s">
        <v>235</v>
      </c>
      <c r="C25" s="317" t="s">
        <v>1437</v>
      </c>
      <c r="D25" s="317"/>
      <c r="E25" s="317"/>
      <c r="F25" s="317" t="s">
        <v>1438</v>
      </c>
      <c r="G25" s="317"/>
      <c r="H25" s="218" t="s">
        <v>1439</v>
      </c>
      <c r="I25" s="233" t="s">
        <v>1440</v>
      </c>
      <c r="J25" s="234" t="s">
        <v>1441</v>
      </c>
      <c r="K25" s="183"/>
      <c r="L25" s="183"/>
    </row>
    <row r="26" spans="1:12" ht="79.95" customHeight="1" x14ac:dyDescent="0.3">
      <c r="A26" s="183"/>
      <c r="B26" s="318" t="s">
        <v>1449</v>
      </c>
      <c r="C26" s="319" t="str">
        <f>IF(C28&gt;D28,"Eficiência no setor suprimentos, mostrando resultado nas ações implementas.",IF(C28=D28,"Meta atingida mas com baixa eficiência.",IF(C28&lt;D28,"Meta não atingida, verificar","")))</f>
        <v>Eficiência no setor suprimentos, mostrando resultado nas ações implementas.</v>
      </c>
      <c r="D26" s="320"/>
      <c r="E26" s="320"/>
      <c r="F26" s="319" t="str">
        <f>IF(C28&gt;D28,"Proatividade e follow up perto ao fornecedor.",IF(C28=D28,"Follow up sendo feito, mas verificar oportunidade de melhoria.",IF(C28&lt;D28,"Baixa eficiência do setor de Suprimentos.","")))</f>
        <v>Proatividade e follow up perto ao fornecedor.</v>
      </c>
      <c r="G26" s="320"/>
      <c r="H26" s="319" t="str">
        <f>IF(C28&gt;D28,"Sem ação necessária.",IF(C28=D28,"Sem ação necessária.",IF(C28&lt;D28,"Estamos estudando a contratação de um colaborador dedicado a parte de orçamentos e precisamos reavaliar nossa estrutura de precificação.","")))</f>
        <v>Sem ação necessária.</v>
      </c>
      <c r="I26" s="325" t="s">
        <v>11</v>
      </c>
      <c r="J26" s="327" t="s">
        <v>11</v>
      </c>
      <c r="K26" s="183"/>
      <c r="L26" s="183"/>
    </row>
    <row r="27" spans="1:12" ht="30" customHeight="1" x14ac:dyDescent="0.3">
      <c r="A27" s="183"/>
      <c r="B27" s="318"/>
      <c r="C27" s="221" t="s">
        <v>1443</v>
      </c>
      <c r="D27" s="222" t="s">
        <v>1432</v>
      </c>
      <c r="E27" s="223" t="s">
        <v>1444</v>
      </c>
      <c r="F27" s="221" t="s">
        <v>1445</v>
      </c>
      <c r="G27" s="222" t="s">
        <v>1446</v>
      </c>
      <c r="H27" s="320"/>
      <c r="I27" s="326"/>
      <c r="J27" s="328"/>
      <c r="K27" s="183"/>
      <c r="L27" s="183"/>
    </row>
    <row r="28" spans="1:12" ht="30" customHeight="1" x14ac:dyDescent="0.3">
      <c r="A28" s="183"/>
      <c r="B28" s="318"/>
      <c r="C28" s="225">
        <f>VLOOKUP($Y$7,INDICADORES!$B$10:$N$14,5,0)</f>
        <v>1</v>
      </c>
      <c r="D28" s="225">
        <f>VLOOKUP($Y$8,INDICADORES!$B$10:$N$14,5,0)</f>
        <v>0.9</v>
      </c>
      <c r="E28" s="226" t="str">
        <f>IF(C28&gt;=D28,"Sim","Não")</f>
        <v>Sim</v>
      </c>
      <c r="F28" s="227" t="str">
        <f>IF(E28="Sim","Não","Sim")</f>
        <v>Não</v>
      </c>
      <c r="G28" s="225" t="str">
        <f>F28</f>
        <v>Não</v>
      </c>
      <c r="H28" s="320"/>
      <c r="I28" s="326"/>
      <c r="J28" s="328"/>
      <c r="K28" s="183"/>
      <c r="L28" s="183"/>
    </row>
    <row r="29" spans="1:12" ht="10.199999999999999" customHeight="1" x14ac:dyDescent="0.3">
      <c r="A29" s="183"/>
      <c r="B29" s="183"/>
      <c r="C29" s="183"/>
      <c r="D29" s="183"/>
      <c r="E29" s="183"/>
      <c r="F29" s="183"/>
      <c r="G29" s="183"/>
      <c r="H29" s="183"/>
      <c r="I29" s="231"/>
      <c r="J29" s="231"/>
      <c r="K29" s="183"/>
      <c r="L29" s="183"/>
    </row>
    <row r="30" spans="1:12" ht="30" customHeight="1" x14ac:dyDescent="0.3">
      <c r="A30" s="183"/>
      <c r="B30" s="217" t="s">
        <v>235</v>
      </c>
      <c r="C30" s="317" t="s">
        <v>1437</v>
      </c>
      <c r="D30" s="317"/>
      <c r="E30" s="317"/>
      <c r="F30" s="317" t="s">
        <v>1438</v>
      </c>
      <c r="G30" s="317"/>
      <c r="H30" s="218" t="s">
        <v>1439</v>
      </c>
      <c r="I30" s="233" t="s">
        <v>1440</v>
      </c>
      <c r="J30" s="234" t="s">
        <v>1441</v>
      </c>
      <c r="K30" s="183"/>
      <c r="L30" s="183"/>
    </row>
    <row r="31" spans="1:12" ht="79.95" customHeight="1" x14ac:dyDescent="0.3">
      <c r="A31" s="183"/>
      <c r="B31" s="318" t="s">
        <v>1450</v>
      </c>
      <c r="C31" s="319" t="str">
        <f>IF(C33&gt;D33,"Eficiência no setor suprimentos, mostrando resultado nas ações implementas.",IF(C33=D33,"Meta atingida mas com baixa eficiência.",IF(C33&lt;D33,"Meta não atingida, verificar","")))</f>
        <v>Eficiência no setor suprimentos, mostrando resultado nas ações implementas.</v>
      </c>
      <c r="D31" s="320"/>
      <c r="E31" s="320"/>
      <c r="F31" s="319" t="str">
        <f>IF(C33&gt;D33,"Proatividade e follow up perto ao fornecedor.",IF(C33=D33,"Follow up sendo feito, mas verificar oportunidade de melhoria.",IF(C33&lt;D33,"Baixa eficiência do setor de Suprimentos.","")))</f>
        <v>Proatividade e follow up perto ao fornecedor.</v>
      </c>
      <c r="G31" s="320"/>
      <c r="H31" s="319" t="str">
        <f>IF(C33&gt;D33,"Sem ação necessária.",IF(C33=D33,"Sem ação necessária.",IF(C33&lt;D33,"Estamos estudando a contratação de um colaborador dedicado a parte de orçamentos e precisamos reavaliar nossa estrutura de precificação.","")))</f>
        <v>Sem ação necessária.</v>
      </c>
      <c r="I31" s="325" t="s">
        <v>11</v>
      </c>
      <c r="J31" s="327" t="s">
        <v>11</v>
      </c>
      <c r="K31" s="183"/>
      <c r="L31" s="183"/>
    </row>
    <row r="32" spans="1:12" ht="30" customHeight="1" x14ac:dyDescent="0.3">
      <c r="A32" s="183"/>
      <c r="B32" s="318"/>
      <c r="C32" s="221" t="s">
        <v>1443</v>
      </c>
      <c r="D32" s="222" t="s">
        <v>1432</v>
      </c>
      <c r="E32" s="223" t="s">
        <v>1444</v>
      </c>
      <c r="F32" s="221" t="s">
        <v>1445</v>
      </c>
      <c r="G32" s="222" t="s">
        <v>1446</v>
      </c>
      <c r="H32" s="320"/>
      <c r="I32" s="326"/>
      <c r="J32" s="328"/>
      <c r="K32" s="183"/>
      <c r="L32" s="183"/>
    </row>
    <row r="33" spans="1:12" ht="30" customHeight="1" x14ac:dyDescent="0.3">
      <c r="A33" s="183"/>
      <c r="B33" s="318"/>
      <c r="C33" s="225">
        <f>VLOOKUP($Y$7,INDICADORES!$B$10:$N$14,6,0)</f>
        <v>1</v>
      </c>
      <c r="D33" s="225">
        <f>VLOOKUP($Y$8,INDICADORES!$B$10:$N$14,6,0)</f>
        <v>0.9</v>
      </c>
      <c r="E33" s="226" t="str">
        <f>IF(C33&gt;=D33,"Sim","Não")</f>
        <v>Sim</v>
      </c>
      <c r="F33" s="227" t="str">
        <f>IF(E33="Sim","Não","Sim")</f>
        <v>Não</v>
      </c>
      <c r="G33" s="225" t="str">
        <f>F33</f>
        <v>Não</v>
      </c>
      <c r="H33" s="320"/>
      <c r="I33" s="326"/>
      <c r="J33" s="328"/>
      <c r="K33" s="183"/>
      <c r="L33" s="183"/>
    </row>
    <row r="34" spans="1:12" ht="10.199999999999999" customHeight="1" x14ac:dyDescent="0.3">
      <c r="A34" s="183"/>
      <c r="B34" s="183"/>
      <c r="C34" s="183"/>
      <c r="D34" s="183"/>
      <c r="E34" s="183"/>
      <c r="F34" s="183"/>
      <c r="G34" s="183"/>
      <c r="H34" s="183"/>
      <c r="I34" s="231"/>
      <c r="J34" s="231"/>
      <c r="K34" s="183"/>
      <c r="L34" s="183"/>
    </row>
    <row r="35" spans="1:12" ht="30" customHeight="1" x14ac:dyDescent="0.3">
      <c r="A35" s="183"/>
      <c r="B35" s="217" t="s">
        <v>235</v>
      </c>
      <c r="C35" s="317" t="s">
        <v>1437</v>
      </c>
      <c r="D35" s="317"/>
      <c r="E35" s="317"/>
      <c r="F35" s="317" t="s">
        <v>1438</v>
      </c>
      <c r="G35" s="317"/>
      <c r="H35" s="218" t="s">
        <v>1439</v>
      </c>
      <c r="I35" s="233" t="s">
        <v>1440</v>
      </c>
      <c r="J35" s="234" t="s">
        <v>1441</v>
      </c>
      <c r="K35" s="183"/>
      <c r="L35" s="183"/>
    </row>
    <row r="36" spans="1:12" ht="79.95" customHeight="1" x14ac:dyDescent="0.3">
      <c r="A36" s="183"/>
      <c r="B36" s="318" t="s">
        <v>1451</v>
      </c>
      <c r="C36" s="319" t="str">
        <f>IF(C38&gt;D38,"Eficiência no setor suprimentos, mostrando resultado nas ações implementas.",IF(C38=D38,"Meta atingida mas com baixa eficiência.",IF(C38&lt;D38,"Meta não atingida, verificar","")))</f>
        <v>Eficiência no setor suprimentos, mostrando resultado nas ações implementas.</v>
      </c>
      <c r="D36" s="320"/>
      <c r="E36" s="320"/>
      <c r="F36" s="319" t="str">
        <f>IF(C38&gt;D38,"Proatividade e follow up perto ao fornecedor.",IF(C38=D38,"Follow up sendo feito, mas verificar oportunidade de melhoria.",IF(C38&lt;D38,"Baixa eficiência do setor de Suprimentos.","")))</f>
        <v>Proatividade e follow up perto ao fornecedor.</v>
      </c>
      <c r="G36" s="320"/>
      <c r="H36" s="319" t="str">
        <f>IF(C38&gt;D38,"Sem ação necessária.",IF(C38=D38,"Sem ação necessária.",IF(C38&lt;D38,"Estamos estudando a contratação de um colaborador dedicado a parte de orçamentos e precisamos reavaliar nossa estrutura de precificação.","")))</f>
        <v>Sem ação necessária.</v>
      </c>
      <c r="I36" s="325" t="s">
        <v>11</v>
      </c>
      <c r="J36" s="327" t="s">
        <v>11</v>
      </c>
      <c r="K36" s="183"/>
      <c r="L36" s="183"/>
    </row>
    <row r="37" spans="1:12" ht="30" customHeight="1" x14ac:dyDescent="0.3">
      <c r="A37" s="183"/>
      <c r="B37" s="318"/>
      <c r="C37" s="221" t="s">
        <v>1443</v>
      </c>
      <c r="D37" s="222" t="s">
        <v>1432</v>
      </c>
      <c r="E37" s="223" t="s">
        <v>1444</v>
      </c>
      <c r="F37" s="221" t="s">
        <v>1445</v>
      </c>
      <c r="G37" s="222" t="s">
        <v>1446</v>
      </c>
      <c r="H37" s="320"/>
      <c r="I37" s="326"/>
      <c r="J37" s="328"/>
      <c r="K37" s="183"/>
      <c r="L37" s="183"/>
    </row>
    <row r="38" spans="1:12" ht="30" customHeight="1" x14ac:dyDescent="0.3">
      <c r="A38" s="183"/>
      <c r="B38" s="318"/>
      <c r="C38" s="225">
        <f>VLOOKUP($Y$7,INDICADORES!$B$10:$N$14,7,0)</f>
        <v>1</v>
      </c>
      <c r="D38" s="225">
        <f>VLOOKUP($Y$8,INDICADORES!$B$10:$N$14,7,0)</f>
        <v>0.9</v>
      </c>
      <c r="E38" s="226" t="str">
        <f>IF(C38&gt;=D38,"Sim","Não")</f>
        <v>Sim</v>
      </c>
      <c r="F38" s="227" t="str">
        <f>IF(E38="Sim","Não","Sim")</f>
        <v>Não</v>
      </c>
      <c r="G38" s="225" t="str">
        <f>F38</f>
        <v>Não</v>
      </c>
      <c r="H38" s="320"/>
      <c r="I38" s="326"/>
      <c r="J38" s="328"/>
      <c r="K38" s="183"/>
      <c r="L38" s="183"/>
    </row>
    <row r="39" spans="1:12" ht="10.199999999999999" customHeight="1" x14ac:dyDescent="0.3">
      <c r="A39" s="183"/>
      <c r="B39" s="183"/>
      <c r="C39" s="183"/>
      <c r="D39" s="183"/>
      <c r="E39" s="183"/>
      <c r="F39" s="183"/>
      <c r="G39" s="183"/>
      <c r="H39" s="183"/>
      <c r="I39" s="231"/>
      <c r="J39" s="231"/>
      <c r="K39" s="183"/>
      <c r="L39" s="183"/>
    </row>
    <row r="40" spans="1:12" ht="30" customHeight="1" x14ac:dyDescent="0.3">
      <c r="A40" s="183"/>
      <c r="B40" s="217" t="s">
        <v>235</v>
      </c>
      <c r="C40" s="317" t="s">
        <v>1437</v>
      </c>
      <c r="D40" s="317"/>
      <c r="E40" s="317"/>
      <c r="F40" s="317" t="s">
        <v>1438</v>
      </c>
      <c r="G40" s="317"/>
      <c r="H40" s="218" t="s">
        <v>1439</v>
      </c>
      <c r="I40" s="233" t="s">
        <v>1440</v>
      </c>
      <c r="J40" s="234" t="s">
        <v>1441</v>
      </c>
      <c r="K40" s="183"/>
      <c r="L40" s="183"/>
    </row>
    <row r="41" spans="1:12" ht="79.95" customHeight="1" x14ac:dyDescent="0.3">
      <c r="A41" s="183"/>
      <c r="B41" s="318" t="s">
        <v>1452</v>
      </c>
      <c r="C41" s="319" t="str">
        <f>IF(C43&gt;D43,"Eficiência no setor suprimentos, mostrando resultado nas ações implementas.",IF(C43=D43,"Meta atingida mas com baixa eficiência.",IF(C43&lt;D43,"Meta não atingida, verificar","")))</f>
        <v>Eficiência no setor suprimentos, mostrando resultado nas ações implementas.</v>
      </c>
      <c r="D41" s="320"/>
      <c r="E41" s="320"/>
      <c r="F41" s="319" t="str">
        <f>IF(C43&gt;D43,"Proatividade e follow up perto ao fornecedor.",IF(C43=D43,"Follow up sendo feito, mas verificar oportunidade de melhoria.",IF(C43&lt;D43,"Baixa eficiência do setor de Suprimentos.","")))</f>
        <v>Proatividade e follow up perto ao fornecedor.</v>
      </c>
      <c r="G41" s="320"/>
      <c r="H41" s="319" t="str">
        <f>IF(C43&gt;D43,"Sem ação necessária.",IF(C43=D43,"Sem ação necessária.",IF(C43&lt;D43,"Estamos estudando a contratação de um colaborador dedicado a parte de orçamentos e precisamos reavaliar nossa estrutura de precificação.","")))</f>
        <v>Sem ação necessária.</v>
      </c>
      <c r="I41" s="325" t="s">
        <v>11</v>
      </c>
      <c r="J41" s="327" t="s">
        <v>11</v>
      </c>
      <c r="K41" s="183"/>
      <c r="L41" s="183"/>
    </row>
    <row r="42" spans="1:12" ht="30" customHeight="1" x14ac:dyDescent="0.3">
      <c r="A42" s="183"/>
      <c r="B42" s="318"/>
      <c r="C42" s="221" t="s">
        <v>1443</v>
      </c>
      <c r="D42" s="222" t="s">
        <v>1432</v>
      </c>
      <c r="E42" s="223" t="s">
        <v>1444</v>
      </c>
      <c r="F42" s="221" t="s">
        <v>1445</v>
      </c>
      <c r="G42" s="222" t="s">
        <v>1446</v>
      </c>
      <c r="H42" s="320"/>
      <c r="I42" s="326"/>
      <c r="J42" s="328"/>
      <c r="K42" s="183"/>
      <c r="L42" s="183"/>
    </row>
    <row r="43" spans="1:12" ht="30" customHeight="1" x14ac:dyDescent="0.3">
      <c r="A43" s="183"/>
      <c r="B43" s="318"/>
      <c r="C43" s="225">
        <f>VLOOKUP($Y$7,INDICADORES!$B$10:$N$14,8,0)</f>
        <v>0.9375</v>
      </c>
      <c r="D43" s="225">
        <f>VLOOKUP($Y$8,INDICADORES!$B$10:$N$14,8,0)</f>
        <v>0.9</v>
      </c>
      <c r="E43" s="226" t="str">
        <f>IF(C43&gt;=D43,"Sim","Não")</f>
        <v>Sim</v>
      </c>
      <c r="F43" s="227" t="str">
        <f>IF(E43="Sim","Não","Sim")</f>
        <v>Não</v>
      </c>
      <c r="G43" s="225" t="str">
        <f>F43</f>
        <v>Não</v>
      </c>
      <c r="H43" s="320"/>
      <c r="I43" s="326"/>
      <c r="J43" s="328"/>
      <c r="K43" s="183"/>
      <c r="L43" s="183"/>
    </row>
    <row r="44" spans="1:12" ht="10.199999999999999" customHeight="1" x14ac:dyDescent="0.3">
      <c r="A44" s="183"/>
      <c r="B44" s="183"/>
      <c r="C44" s="183"/>
      <c r="D44" s="183"/>
      <c r="E44" s="183"/>
      <c r="F44" s="183"/>
      <c r="G44" s="183"/>
      <c r="H44" s="183"/>
      <c r="I44" s="231"/>
      <c r="J44" s="231"/>
      <c r="K44" s="183"/>
      <c r="L44" s="183"/>
    </row>
    <row r="45" spans="1:12" ht="30" customHeight="1" x14ac:dyDescent="0.3">
      <c r="A45" s="183"/>
      <c r="B45" s="217" t="s">
        <v>235</v>
      </c>
      <c r="C45" s="317" t="s">
        <v>1437</v>
      </c>
      <c r="D45" s="317"/>
      <c r="E45" s="317"/>
      <c r="F45" s="317" t="s">
        <v>1438</v>
      </c>
      <c r="G45" s="317"/>
      <c r="H45" s="218" t="s">
        <v>1439</v>
      </c>
      <c r="I45" s="233" t="s">
        <v>1440</v>
      </c>
      <c r="J45" s="234" t="s">
        <v>1441</v>
      </c>
      <c r="K45" s="183"/>
      <c r="L45" s="183"/>
    </row>
    <row r="46" spans="1:12" ht="79.95" customHeight="1" x14ac:dyDescent="0.3">
      <c r="A46" s="183"/>
      <c r="B46" s="318" t="s">
        <v>1453</v>
      </c>
      <c r="C46" s="319" t="str">
        <f>IF(C48&gt;D48,"Eficiência no setor suprimentos, mostrando resultado nas ações implementas.",IF(C48=D48,"Meta atingida mas com baixa eficiência.",IF(C48&lt;D48,"Meta não atingida, verificar","")))</f>
        <v>Eficiência no setor suprimentos, mostrando resultado nas ações implementas.</v>
      </c>
      <c r="D46" s="320"/>
      <c r="E46" s="320"/>
      <c r="F46" s="319" t="str">
        <f>IF(C48&gt;D48,"Proatividade e follow up perto ao fornecedor.",IF(C48=D48,"Follow up sendo feito, mas verificar oportunidade de melhoria.",IF(C48&lt;D48,"Baixa eficiência do setor de Suprimentos.","")))</f>
        <v>Proatividade e follow up perto ao fornecedor.</v>
      </c>
      <c r="G46" s="320"/>
      <c r="H46" s="319" t="str">
        <f>IF(C48&gt;D48,"Sem ação necessária.",IF(C48=D48,"Sem ação necessária.",IF(C48&lt;D48,"Estamos estudando a contratação de um colaborador dedicado a parte de orçamentos e precisamos reavaliar nossa estrutura de precificação.","")))</f>
        <v>Sem ação necessária.</v>
      </c>
      <c r="I46" s="325" t="s">
        <v>11</v>
      </c>
      <c r="J46" s="327" t="s">
        <v>11</v>
      </c>
      <c r="K46" s="183"/>
      <c r="L46" s="183"/>
    </row>
    <row r="47" spans="1:12" ht="30" customHeight="1" x14ac:dyDescent="0.3">
      <c r="A47" s="183"/>
      <c r="B47" s="318"/>
      <c r="C47" s="221" t="s">
        <v>1443</v>
      </c>
      <c r="D47" s="222" t="s">
        <v>1432</v>
      </c>
      <c r="E47" s="223" t="s">
        <v>1444</v>
      </c>
      <c r="F47" s="221" t="s">
        <v>1445</v>
      </c>
      <c r="G47" s="222" t="s">
        <v>1446</v>
      </c>
      <c r="H47" s="320"/>
      <c r="I47" s="326"/>
      <c r="J47" s="328"/>
      <c r="K47" s="183"/>
      <c r="L47" s="183"/>
    </row>
    <row r="48" spans="1:12" ht="30" customHeight="1" x14ac:dyDescent="0.3">
      <c r="A48" s="183"/>
      <c r="B48" s="318"/>
      <c r="C48" s="225">
        <f>VLOOKUP($Y$7,INDICADORES!$B$10:$N$14,9,0)</f>
        <v>1</v>
      </c>
      <c r="D48" s="225">
        <f>VLOOKUP($Y$8,INDICADORES!$B$10:$N$14,9,0)</f>
        <v>0.9</v>
      </c>
      <c r="E48" s="226" t="str">
        <f>IF(C48&gt;=D48,"Sim","Não")</f>
        <v>Sim</v>
      </c>
      <c r="F48" s="227" t="str">
        <f>IF(E48="Sim","Não","Sim")</f>
        <v>Não</v>
      </c>
      <c r="G48" s="225" t="str">
        <f>F48</f>
        <v>Não</v>
      </c>
      <c r="H48" s="320"/>
      <c r="I48" s="326"/>
      <c r="J48" s="328"/>
      <c r="K48" s="183"/>
      <c r="L48" s="183"/>
    </row>
    <row r="49" spans="1:12" ht="10.199999999999999" customHeight="1" x14ac:dyDescent="0.3">
      <c r="A49" s="183"/>
      <c r="B49" s="183"/>
      <c r="C49" s="183"/>
      <c r="D49" s="183"/>
      <c r="E49" s="183"/>
      <c r="F49" s="183"/>
      <c r="G49" s="183"/>
      <c r="H49" s="183"/>
      <c r="I49" s="231"/>
      <c r="J49" s="231"/>
      <c r="K49" s="183"/>
      <c r="L49" s="183"/>
    </row>
    <row r="50" spans="1:12" ht="30" customHeight="1" x14ac:dyDescent="0.3">
      <c r="A50" s="183"/>
      <c r="B50" s="217" t="s">
        <v>235</v>
      </c>
      <c r="C50" s="317" t="s">
        <v>1437</v>
      </c>
      <c r="D50" s="317"/>
      <c r="E50" s="317"/>
      <c r="F50" s="317" t="s">
        <v>1438</v>
      </c>
      <c r="G50" s="317"/>
      <c r="H50" s="218" t="s">
        <v>1439</v>
      </c>
      <c r="I50" s="233" t="s">
        <v>1440</v>
      </c>
      <c r="J50" s="234" t="s">
        <v>1441</v>
      </c>
      <c r="K50" s="183"/>
      <c r="L50" s="183"/>
    </row>
    <row r="51" spans="1:12" ht="79.95" customHeight="1" x14ac:dyDescent="0.3">
      <c r="A51" s="183"/>
      <c r="B51" s="318" t="s">
        <v>1454</v>
      </c>
      <c r="C51" s="319" t="str">
        <f>IF(C53&gt;D53,"Eficiência no setor suprimentos, mostrando resultado nas ações implementas.",IF(C53=D53,"Meta atingida mas com baixa eficiência.",IF(C53&lt;D53,"Meta não atingida, verificar","")))</f>
        <v>Eficiência no setor suprimentos, mostrando resultado nas ações implementas.</v>
      </c>
      <c r="D51" s="320"/>
      <c r="E51" s="320"/>
      <c r="F51" s="319" t="str">
        <f>IF(C53&gt;D53,"Proatividade e follow up perto ao fornecedor.",IF(C53=D53,"Follow up sendo feito, mas verificar oportunidade de melhoria.",IF(C53&lt;D53,"Baixa eficiência do setor de Suprimentos.","")))</f>
        <v>Proatividade e follow up perto ao fornecedor.</v>
      </c>
      <c r="G51" s="320"/>
      <c r="H51" s="319" t="str">
        <f>IF(C53&gt;D53,"Sem ação necessária.",IF(C53=D53,"Sem ação necessária.",IF(C53&lt;D53,"Estamos estudando a contratação de um colaborador dedicado a parte de orçamentos e precisamos reavaliar nossa estrutura de precificação.","")))</f>
        <v>Sem ação necessária.</v>
      </c>
      <c r="I51" s="325" t="s">
        <v>11</v>
      </c>
      <c r="J51" s="327" t="s">
        <v>11</v>
      </c>
      <c r="K51" s="183"/>
      <c r="L51" s="183"/>
    </row>
    <row r="52" spans="1:12" ht="30" customHeight="1" x14ac:dyDescent="0.3">
      <c r="A52" s="183"/>
      <c r="B52" s="318"/>
      <c r="C52" s="221" t="s">
        <v>1443</v>
      </c>
      <c r="D52" s="222" t="s">
        <v>1432</v>
      </c>
      <c r="E52" s="223" t="s">
        <v>1444</v>
      </c>
      <c r="F52" s="221" t="s">
        <v>1445</v>
      </c>
      <c r="G52" s="222" t="s">
        <v>1446</v>
      </c>
      <c r="H52" s="320"/>
      <c r="I52" s="326"/>
      <c r="J52" s="328"/>
      <c r="K52" s="183"/>
      <c r="L52" s="183"/>
    </row>
    <row r="53" spans="1:12" ht="30" customHeight="1" x14ac:dyDescent="0.3">
      <c r="A53" s="183"/>
      <c r="B53" s="318"/>
      <c r="C53" s="225">
        <f>VLOOKUP($Y$7,INDICADORES!$B$10:$N$14,10,0)</f>
        <v>1</v>
      </c>
      <c r="D53" s="225">
        <f>VLOOKUP($Y$8,INDICADORES!$B$10:$N$14,10,0)</f>
        <v>0.9</v>
      </c>
      <c r="E53" s="226" t="str">
        <f>IF(C53&gt;=D53,"Sim","Não")</f>
        <v>Sim</v>
      </c>
      <c r="F53" s="227" t="str">
        <f>IF(E53="Sim","Não","Sim")</f>
        <v>Não</v>
      </c>
      <c r="G53" s="225" t="str">
        <f>F53</f>
        <v>Não</v>
      </c>
      <c r="H53" s="320"/>
      <c r="I53" s="326"/>
      <c r="J53" s="328"/>
      <c r="K53" s="183"/>
      <c r="L53" s="183"/>
    </row>
    <row r="54" spans="1:12" ht="10.199999999999999" customHeight="1" x14ac:dyDescent="0.3">
      <c r="A54" s="183"/>
      <c r="B54" s="183"/>
      <c r="C54" s="183"/>
      <c r="D54" s="183"/>
      <c r="E54" s="183"/>
      <c r="F54" s="183"/>
      <c r="G54" s="183"/>
      <c r="H54" s="183"/>
      <c r="I54" s="231"/>
      <c r="J54" s="231"/>
      <c r="K54" s="183"/>
      <c r="L54" s="183"/>
    </row>
    <row r="55" spans="1:12" ht="30" customHeight="1" x14ac:dyDescent="0.3">
      <c r="A55" s="183"/>
      <c r="B55" s="217" t="s">
        <v>235</v>
      </c>
      <c r="C55" s="317" t="s">
        <v>1437</v>
      </c>
      <c r="D55" s="317"/>
      <c r="E55" s="317"/>
      <c r="F55" s="317" t="s">
        <v>1438</v>
      </c>
      <c r="G55" s="317"/>
      <c r="H55" s="218" t="s">
        <v>1439</v>
      </c>
      <c r="I55" s="233" t="s">
        <v>1440</v>
      </c>
      <c r="J55" s="234" t="s">
        <v>1441</v>
      </c>
      <c r="K55" s="183"/>
      <c r="L55" s="183"/>
    </row>
    <row r="56" spans="1:12" ht="79.95" customHeight="1" x14ac:dyDescent="0.3">
      <c r="A56" s="183"/>
      <c r="B56" s="318" t="s">
        <v>1455</v>
      </c>
      <c r="C56" s="319" t="str">
        <f>IF(C58&gt;D58,"Eficiência no setor suprimentos, mostrando resultado nas ações implementas.",IF(C58=D58,"Meta atingida mas com baixa eficiência.",IF(C58&lt;D58,"Meta não atingida, verificar","")))</f>
        <v>Eficiência no setor suprimentos, mostrando resultado nas ações implementas.</v>
      </c>
      <c r="D56" s="320"/>
      <c r="E56" s="320"/>
      <c r="F56" s="319" t="str">
        <f>IF(C58&gt;D58,"Proatividade e follow up perto ao fornecedor.",IF(C58=D58,"Follow up sendo feito, mas verificar oportunidade de melhoria.",IF(C58&lt;D58,"Baixa eficiência do setor de Suprimentos.","")))</f>
        <v>Proatividade e follow up perto ao fornecedor.</v>
      </c>
      <c r="G56" s="320"/>
      <c r="H56" s="319" t="str">
        <f>IF(C58&gt;D58,"Sem ação necessária.",IF(C58=D58,"Sem ação necessária.",IF(C58&lt;D58,"Estamos estudando a contratação de um colaborador dedicado a parte de orçamentos e precisamos reavaliar nossa estrutura de precificação.","")))</f>
        <v>Sem ação necessária.</v>
      </c>
      <c r="I56" s="325" t="s">
        <v>11</v>
      </c>
      <c r="J56" s="327" t="s">
        <v>11</v>
      </c>
      <c r="K56" s="183"/>
      <c r="L56" s="183"/>
    </row>
    <row r="57" spans="1:12" ht="30" customHeight="1" x14ac:dyDescent="0.3">
      <c r="A57" s="183"/>
      <c r="B57" s="318"/>
      <c r="C57" s="221" t="s">
        <v>1443</v>
      </c>
      <c r="D57" s="222" t="s">
        <v>1432</v>
      </c>
      <c r="E57" s="223" t="s">
        <v>1444</v>
      </c>
      <c r="F57" s="221" t="s">
        <v>1445</v>
      </c>
      <c r="G57" s="222" t="s">
        <v>1446</v>
      </c>
      <c r="H57" s="320"/>
      <c r="I57" s="326"/>
      <c r="J57" s="328"/>
      <c r="K57" s="183"/>
      <c r="L57" s="183"/>
    </row>
    <row r="58" spans="1:12" ht="30" customHeight="1" x14ac:dyDescent="0.3">
      <c r="A58" s="183"/>
      <c r="B58" s="318"/>
      <c r="C58" s="225">
        <f>VLOOKUP($Y$7,INDICADORES!$B$10:$N$14,11,0)</f>
        <v>0.94444444444444442</v>
      </c>
      <c r="D58" s="225">
        <f>VLOOKUP($Y$8,INDICADORES!$B$10:$N$14,11,0)</f>
        <v>0.9</v>
      </c>
      <c r="E58" s="226" t="str">
        <f>IF(C58&gt;=D58,"Sim","Não")</f>
        <v>Sim</v>
      </c>
      <c r="F58" s="227" t="str">
        <f>IF(E58="Sim","Não","Sim")</f>
        <v>Não</v>
      </c>
      <c r="G58" s="225" t="str">
        <f>F58</f>
        <v>Não</v>
      </c>
      <c r="H58" s="320"/>
      <c r="I58" s="326"/>
      <c r="J58" s="328"/>
      <c r="K58" s="183"/>
      <c r="L58" s="183"/>
    </row>
    <row r="59" spans="1:12" ht="10.199999999999999" customHeight="1" x14ac:dyDescent="0.3">
      <c r="A59" s="183"/>
      <c r="B59" s="183"/>
      <c r="C59" s="183"/>
      <c r="D59" s="183"/>
      <c r="E59" s="183"/>
      <c r="F59" s="183"/>
      <c r="G59" s="183"/>
      <c r="H59" s="183"/>
      <c r="I59" s="231"/>
      <c r="J59" s="231"/>
      <c r="K59" s="183"/>
      <c r="L59" s="183"/>
    </row>
    <row r="60" spans="1:12" ht="30" customHeight="1" x14ac:dyDescent="0.3">
      <c r="A60" s="183"/>
      <c r="B60" s="217" t="s">
        <v>235</v>
      </c>
      <c r="C60" s="317" t="s">
        <v>1437</v>
      </c>
      <c r="D60" s="317"/>
      <c r="E60" s="317"/>
      <c r="F60" s="317" t="s">
        <v>1438</v>
      </c>
      <c r="G60" s="317"/>
      <c r="H60" s="218" t="s">
        <v>1439</v>
      </c>
      <c r="I60" s="233" t="s">
        <v>1440</v>
      </c>
      <c r="J60" s="234" t="s">
        <v>1441</v>
      </c>
      <c r="K60" s="183"/>
      <c r="L60" s="183"/>
    </row>
    <row r="61" spans="1:12" ht="79.95" customHeight="1" x14ac:dyDescent="0.3">
      <c r="A61" s="183"/>
      <c r="B61" s="318" t="s">
        <v>1456</v>
      </c>
      <c r="C61" s="319" t="str">
        <f>IF(C63&gt;D63,"Eficiência no setor suprimentos, mostrando resultado nas ações implementas.",IF(C63=D63,"Meta atingida mas com baixa eficiência.",IF(C63&lt;D63,"Meta não atingida, verificar","")))</f>
        <v>Eficiência no setor suprimentos, mostrando resultado nas ações implementas.</v>
      </c>
      <c r="D61" s="320"/>
      <c r="E61" s="320"/>
      <c r="F61" s="319" t="str">
        <f>IF(C63&gt;D63,"Proatividade e follow up perto ao fornecedor.",IF(C63=D63,"Follow up sendo feito, mas verificar oportunidade de melhoria.",IF(C63&lt;D63,"Baixa eficiência do setor de Suprimentos.","")))</f>
        <v>Proatividade e follow up perto ao fornecedor.</v>
      </c>
      <c r="G61" s="320"/>
      <c r="H61" s="319" t="str">
        <f>IF(C63&gt;D63,"Sem ação necessária.",IF(C63=D63,"Sem ação necessária.",IF(C63&lt;D63,"Estamos estudando a contratação de um colaborador dedicado a parte de orçamentos e precisamos reavaliar nossa estrutura de precificação.","")))</f>
        <v>Sem ação necessária.</v>
      </c>
      <c r="I61" s="325" t="s">
        <v>11</v>
      </c>
      <c r="J61" s="327" t="s">
        <v>11</v>
      </c>
      <c r="K61" s="183"/>
      <c r="L61" s="183"/>
    </row>
    <row r="62" spans="1:12" ht="30" customHeight="1" x14ac:dyDescent="0.3">
      <c r="A62" s="183"/>
      <c r="B62" s="318"/>
      <c r="C62" s="221" t="s">
        <v>1443</v>
      </c>
      <c r="D62" s="222" t="s">
        <v>1432</v>
      </c>
      <c r="E62" s="223" t="s">
        <v>1444</v>
      </c>
      <c r="F62" s="221" t="s">
        <v>1445</v>
      </c>
      <c r="G62" s="222" t="s">
        <v>1446</v>
      </c>
      <c r="H62" s="320"/>
      <c r="I62" s="326"/>
      <c r="J62" s="328"/>
      <c r="K62" s="183"/>
      <c r="L62" s="183"/>
    </row>
    <row r="63" spans="1:12" ht="30" customHeight="1" x14ac:dyDescent="0.3">
      <c r="A63" s="183"/>
      <c r="B63" s="318"/>
      <c r="C63" s="225">
        <f>VLOOKUP($Y$7,INDICADORES!$B$10:$N$14,12,0)</f>
        <v>1</v>
      </c>
      <c r="D63" s="225">
        <f>VLOOKUP($Y$8,INDICADORES!$B$10:$N$14,12,0)</f>
        <v>0.9</v>
      </c>
      <c r="E63" s="226" t="str">
        <f>IF(C63&gt;=D63,"Sim","Não")</f>
        <v>Sim</v>
      </c>
      <c r="F63" s="227" t="str">
        <f>IF(E63="Sim","Não","Sim")</f>
        <v>Não</v>
      </c>
      <c r="G63" s="225" t="str">
        <f>F63</f>
        <v>Não</v>
      </c>
      <c r="H63" s="320"/>
      <c r="I63" s="326"/>
      <c r="J63" s="328"/>
      <c r="K63" s="183"/>
      <c r="L63" s="183"/>
    </row>
    <row r="64" spans="1:12" ht="10.199999999999999" customHeight="1" x14ac:dyDescent="0.3">
      <c r="A64" s="183"/>
      <c r="B64" s="183"/>
      <c r="C64" s="183"/>
      <c r="D64" s="183"/>
      <c r="E64" s="183"/>
      <c r="F64" s="183"/>
      <c r="G64" s="183"/>
      <c r="H64" s="183"/>
      <c r="I64" s="231"/>
      <c r="J64" s="231"/>
      <c r="K64" s="183"/>
      <c r="L64" s="183"/>
    </row>
    <row r="65" spans="1:12" ht="30" customHeight="1" x14ac:dyDescent="0.3">
      <c r="A65" s="183"/>
      <c r="B65" s="217" t="s">
        <v>235</v>
      </c>
      <c r="C65" s="317" t="s">
        <v>1437</v>
      </c>
      <c r="D65" s="317"/>
      <c r="E65" s="317"/>
      <c r="F65" s="317" t="s">
        <v>1438</v>
      </c>
      <c r="G65" s="317"/>
      <c r="H65" s="218" t="s">
        <v>1439</v>
      </c>
      <c r="I65" s="233" t="s">
        <v>1440</v>
      </c>
      <c r="J65" s="234" t="s">
        <v>1441</v>
      </c>
      <c r="K65" s="183"/>
      <c r="L65" s="183"/>
    </row>
    <row r="66" spans="1:12" ht="79.95" customHeight="1" x14ac:dyDescent="0.3">
      <c r="B66" s="318" t="s">
        <v>1457</v>
      </c>
      <c r="C66" s="319" t="str">
        <f>IF(C68&gt;D68,"Eficiência no setor suprimentos, mostrando resultado nas ações implementas.",IF(C68=D68,"Meta atingida mas com baixa eficiência.",IF(C68&lt;D68,"Meta não atingida, verificar","")))</f>
        <v>Meta não atingida, verificar</v>
      </c>
      <c r="D66" s="320"/>
      <c r="E66" s="320"/>
      <c r="F66" s="319" t="str">
        <f>IF(C68&gt;D68,"Proatividade e follow up perto ao fornecedor.",IF(C68=D68,"Follow up sendo feito, mas verificar oportunidade de melhoria.",IF(C68&lt;D68,"Baixa eficiência do setor de Suprimentos.","")))</f>
        <v>Baixa eficiência do setor de Suprimentos.</v>
      </c>
      <c r="G66" s="320"/>
      <c r="H66" s="319" t="str">
        <f>IF(C68&gt;D68,"Sem ação necessária.",IF(C68=D68,"Sem ação necessária.",IF(C68&lt;D68,"Estamos estudando a contratação de um colaborador dedicado a parte de orçamentos e precisamos reavaliar nossa estrutura de precificação.","")))</f>
        <v>Estamos estudando a contratação de um colaborador dedicado a parte de orçamentos e precisamos reavaliar nossa estrutura de precificação.</v>
      </c>
      <c r="I66" s="325" t="s">
        <v>11</v>
      </c>
      <c r="J66" s="327" t="s">
        <v>11</v>
      </c>
    </row>
    <row r="67" spans="1:12" ht="30" customHeight="1" x14ac:dyDescent="0.3">
      <c r="B67" s="318"/>
      <c r="C67" s="221" t="s">
        <v>1443</v>
      </c>
      <c r="D67" s="222" t="s">
        <v>1432</v>
      </c>
      <c r="E67" s="223" t="s">
        <v>1444</v>
      </c>
      <c r="F67" s="221" t="s">
        <v>1445</v>
      </c>
      <c r="G67" s="222" t="s">
        <v>1446</v>
      </c>
      <c r="H67" s="320"/>
      <c r="I67" s="326"/>
      <c r="J67" s="328"/>
    </row>
    <row r="68" spans="1:12" ht="30" customHeight="1" x14ac:dyDescent="0.3">
      <c r="B68" s="318"/>
      <c r="C68" s="225">
        <f>VLOOKUP($Y$7,INDICADORES!$B$10:$N$14,13,0)</f>
        <v>0.76</v>
      </c>
      <c r="D68" s="225">
        <f>VLOOKUP($Y$8,INDICADORES!$B$10:$N$14,13,0)</f>
        <v>0.9</v>
      </c>
      <c r="E68" s="226" t="str">
        <f>IF(C68&gt;=D68,"Sim","Não")</f>
        <v>Não</v>
      </c>
      <c r="F68" s="227" t="str">
        <f>IF(E68="Sim","Não","Sim")</f>
        <v>Sim</v>
      </c>
      <c r="G68" s="225" t="str">
        <f>F68</f>
        <v>Sim</v>
      </c>
      <c r="H68" s="320"/>
      <c r="I68" s="326"/>
      <c r="J68" s="328"/>
    </row>
    <row r="69" spans="1:12" ht="31.95" customHeight="1" x14ac:dyDescent="0.3"/>
    <row r="70" spans="1:12" ht="31.95" customHeight="1" x14ac:dyDescent="0.3"/>
    <row r="71" spans="1:12" ht="31.95" customHeight="1" x14ac:dyDescent="0.3"/>
    <row r="72" spans="1:12" ht="31.95" customHeight="1" x14ac:dyDescent="0.3"/>
    <row r="73" spans="1:12" ht="31.95" customHeight="1" x14ac:dyDescent="0.3"/>
    <row r="74" spans="1:12" ht="31.95" customHeight="1" x14ac:dyDescent="0.3"/>
    <row r="75" spans="1:12" ht="31.95" customHeight="1" x14ac:dyDescent="0.3"/>
    <row r="76" spans="1:12" ht="31.95" customHeight="1" x14ac:dyDescent="0.3"/>
    <row r="77" spans="1:12" ht="31.95" customHeight="1" x14ac:dyDescent="0.3"/>
    <row r="78" spans="1:12" ht="31.95" customHeight="1" x14ac:dyDescent="0.3"/>
    <row r="79" spans="1:12" ht="31.95" customHeight="1" x14ac:dyDescent="0.3"/>
    <row r="80" spans="1:12" ht="31.95" customHeight="1" x14ac:dyDescent="0.3"/>
    <row r="81" ht="31.95" customHeight="1" x14ac:dyDescent="0.3"/>
    <row r="82" ht="31.95" customHeight="1" x14ac:dyDescent="0.3"/>
    <row r="83" ht="31.95" customHeight="1" x14ac:dyDescent="0.3"/>
    <row r="84" ht="31.95" customHeight="1" x14ac:dyDescent="0.3"/>
    <row r="85" ht="31.95" customHeight="1" x14ac:dyDescent="0.3"/>
    <row r="86" ht="31.95" customHeight="1" x14ac:dyDescent="0.3"/>
    <row r="87" ht="31.95" customHeight="1" x14ac:dyDescent="0.3"/>
    <row r="88" ht="31.95" customHeight="1" x14ac:dyDescent="0.3"/>
    <row r="89" ht="31.95" customHeight="1" x14ac:dyDescent="0.3"/>
    <row r="90" ht="31.95" customHeight="1" x14ac:dyDescent="0.3"/>
    <row r="91" ht="31.95" customHeight="1" x14ac:dyDescent="0.3"/>
    <row r="92" ht="31.95" customHeight="1" x14ac:dyDescent="0.3"/>
    <row r="93" ht="31.95" customHeight="1" x14ac:dyDescent="0.3"/>
    <row r="94" ht="31.95" customHeight="1" x14ac:dyDescent="0.3"/>
    <row r="95" ht="31.95" customHeight="1" x14ac:dyDescent="0.3"/>
    <row r="96" ht="31.95" customHeight="1" x14ac:dyDescent="0.3"/>
    <row r="97" ht="31.95" customHeight="1" x14ac:dyDescent="0.3"/>
    <row r="98" ht="31.95" customHeight="1" x14ac:dyDescent="0.3"/>
    <row r="99" ht="31.95" customHeight="1" x14ac:dyDescent="0.3"/>
    <row r="100" ht="31.95" customHeight="1" x14ac:dyDescent="0.3"/>
    <row r="101" ht="31.95" customHeight="1" x14ac:dyDescent="0.3"/>
    <row r="102" ht="31.95" customHeight="1" x14ac:dyDescent="0.3"/>
    <row r="103" ht="31.95" customHeight="1" x14ac:dyDescent="0.3"/>
    <row r="104" ht="31.95" customHeight="1" x14ac:dyDescent="0.3"/>
    <row r="105" ht="31.95" customHeight="1" x14ac:dyDescent="0.3"/>
    <row r="106" ht="31.95" customHeight="1" x14ac:dyDescent="0.3"/>
    <row r="107" ht="31.95" customHeight="1" x14ac:dyDescent="0.3"/>
    <row r="108" ht="31.95" customHeight="1" x14ac:dyDescent="0.3"/>
    <row r="109" ht="31.95" customHeight="1" x14ac:dyDescent="0.3"/>
    <row r="110" ht="31.95" customHeight="1" x14ac:dyDescent="0.3"/>
    <row r="111" ht="31.95" customHeight="1" x14ac:dyDescent="0.3"/>
    <row r="112" ht="31.95" customHeight="1" x14ac:dyDescent="0.3"/>
    <row r="113" ht="31.95" customHeight="1" x14ac:dyDescent="0.3"/>
    <row r="114" ht="31.95" customHeight="1" x14ac:dyDescent="0.3"/>
    <row r="115" ht="31.95" customHeight="1" x14ac:dyDescent="0.3"/>
    <row r="116" ht="31.95" customHeight="1" x14ac:dyDescent="0.3"/>
    <row r="117" ht="31.95" customHeight="1" x14ac:dyDescent="0.3"/>
    <row r="118" ht="31.95" customHeight="1" x14ac:dyDescent="0.3"/>
    <row r="119" ht="31.95" customHeight="1" x14ac:dyDescent="0.3"/>
    <row r="120" ht="31.95" customHeight="1" x14ac:dyDescent="0.3"/>
    <row r="121" ht="31.95" customHeight="1" x14ac:dyDescent="0.3"/>
    <row r="122" ht="31.95" customHeight="1" x14ac:dyDescent="0.3"/>
    <row r="123" ht="31.95" customHeight="1" x14ac:dyDescent="0.3"/>
    <row r="124" ht="31.95" customHeight="1" x14ac:dyDescent="0.3"/>
    <row r="125" ht="31.95" customHeight="1" x14ac:dyDescent="0.3"/>
    <row r="126" ht="31.95" customHeight="1" x14ac:dyDescent="0.3"/>
    <row r="127" ht="31.95" customHeight="1" x14ac:dyDescent="0.3"/>
    <row r="128" ht="31.95" customHeight="1" x14ac:dyDescent="0.3"/>
    <row r="129" ht="31.95" customHeight="1" x14ac:dyDescent="0.3"/>
    <row r="130" ht="31.95" customHeight="1" x14ac:dyDescent="0.3"/>
    <row r="131" ht="31.95" customHeight="1" x14ac:dyDescent="0.3"/>
    <row r="132" ht="31.95" customHeight="1" x14ac:dyDescent="0.3"/>
    <row r="133" ht="31.95" customHeight="1" x14ac:dyDescent="0.3"/>
    <row r="134" ht="31.95" customHeight="1" x14ac:dyDescent="0.3"/>
    <row r="135" ht="31.95" customHeight="1" x14ac:dyDescent="0.3"/>
    <row r="136" ht="31.95" customHeight="1" x14ac:dyDescent="0.3"/>
    <row r="137" ht="31.95" customHeight="1" x14ac:dyDescent="0.3"/>
    <row r="138" ht="31.95" customHeight="1" x14ac:dyDescent="0.3"/>
    <row r="139" ht="31.95" customHeight="1" x14ac:dyDescent="0.3"/>
    <row r="140" ht="31.95" customHeight="1" x14ac:dyDescent="0.3"/>
    <row r="141" ht="31.95" customHeight="1" x14ac:dyDescent="0.3"/>
    <row r="142" ht="31.95" customHeight="1" x14ac:dyDescent="0.3"/>
    <row r="143" ht="31.95" customHeight="1" x14ac:dyDescent="0.3"/>
    <row r="144" ht="31.95" customHeight="1" x14ac:dyDescent="0.3"/>
    <row r="145" ht="31.95" customHeight="1" x14ac:dyDescent="0.3"/>
    <row r="146" ht="31.95" customHeight="1" x14ac:dyDescent="0.3"/>
    <row r="147" ht="31.95" customHeight="1" x14ac:dyDescent="0.3"/>
    <row r="148" ht="31.95" customHeight="1" x14ac:dyDescent="0.3"/>
    <row r="149" ht="31.95" customHeight="1" x14ac:dyDescent="0.3"/>
    <row r="150" ht="31.95" customHeight="1" x14ac:dyDescent="0.3"/>
    <row r="151" ht="31.95" customHeight="1" x14ac:dyDescent="0.3"/>
    <row r="152" ht="31.95" customHeight="1" x14ac:dyDescent="0.3"/>
    <row r="153" ht="31.95" customHeight="1" x14ac:dyDescent="0.3"/>
    <row r="154" ht="31.95" customHeight="1" x14ac:dyDescent="0.3"/>
    <row r="155" ht="31.95" customHeight="1" x14ac:dyDescent="0.3"/>
    <row r="156" ht="31.95" customHeight="1" x14ac:dyDescent="0.3"/>
    <row r="157" ht="31.95" customHeight="1" x14ac:dyDescent="0.3"/>
    <row r="158" ht="31.95" customHeight="1" x14ac:dyDescent="0.3"/>
    <row r="159" ht="31.95" customHeight="1" x14ac:dyDescent="0.3"/>
    <row r="160" ht="31.95" customHeight="1" x14ac:dyDescent="0.3"/>
    <row r="161" ht="31.95" customHeight="1" x14ac:dyDescent="0.3"/>
    <row r="162" ht="31.95" customHeight="1" x14ac:dyDescent="0.3"/>
    <row r="163" ht="31.95" customHeight="1" x14ac:dyDescent="0.3"/>
    <row r="164" ht="31.95" customHeight="1" x14ac:dyDescent="0.3"/>
    <row r="165" ht="31.95" customHeight="1" x14ac:dyDescent="0.3"/>
    <row r="166" ht="31.95" customHeight="1" x14ac:dyDescent="0.3"/>
    <row r="167" ht="31.95" customHeight="1" x14ac:dyDescent="0.3"/>
    <row r="168" ht="31.95" customHeight="1" x14ac:dyDescent="0.3"/>
    <row r="169" ht="31.95" customHeight="1" x14ac:dyDescent="0.3"/>
    <row r="170" ht="31.95" customHeight="1" x14ac:dyDescent="0.3"/>
    <row r="171" ht="31.95" customHeight="1" x14ac:dyDescent="0.3"/>
    <row r="172" ht="31.95" customHeight="1" x14ac:dyDescent="0.3"/>
    <row r="173" ht="31.95" customHeight="1" x14ac:dyDescent="0.3"/>
    <row r="174" ht="31.95" customHeight="1" x14ac:dyDescent="0.3"/>
    <row r="175" ht="31.95" customHeight="1" x14ac:dyDescent="0.3"/>
    <row r="176" ht="31.95" customHeight="1" x14ac:dyDescent="0.3"/>
    <row r="177" ht="31.95" customHeight="1" x14ac:dyDescent="0.3"/>
    <row r="178" ht="31.95" customHeight="1" x14ac:dyDescent="0.3"/>
    <row r="179" ht="31.95" customHeight="1" x14ac:dyDescent="0.3"/>
    <row r="180" ht="31.95" customHeight="1" x14ac:dyDescent="0.3"/>
    <row r="181" ht="31.95" customHeight="1" x14ac:dyDescent="0.3"/>
    <row r="182" ht="31.95" customHeight="1" x14ac:dyDescent="0.3"/>
    <row r="183" ht="31.95" customHeight="1" x14ac:dyDescent="0.3"/>
    <row r="184" ht="31.95" customHeight="1" x14ac:dyDescent="0.3"/>
    <row r="185" ht="31.95" customHeight="1" x14ac:dyDescent="0.3"/>
    <row r="186" ht="31.95" customHeight="1" x14ac:dyDescent="0.3"/>
    <row r="187" ht="31.95" customHeight="1" x14ac:dyDescent="0.3"/>
    <row r="188" ht="31.95" customHeight="1" x14ac:dyDescent="0.3"/>
    <row r="189" ht="31.95" customHeight="1" x14ac:dyDescent="0.3"/>
    <row r="190" ht="31.95" customHeight="1" x14ac:dyDescent="0.3"/>
    <row r="191" ht="31.95" customHeight="1" x14ac:dyDescent="0.3"/>
    <row r="192" ht="31.95" customHeight="1" x14ac:dyDescent="0.3"/>
    <row r="193" ht="31.95" customHeight="1" x14ac:dyDescent="0.3"/>
    <row r="194" ht="31.95" customHeight="1" x14ac:dyDescent="0.3"/>
    <row r="195" ht="31.95" customHeight="1" x14ac:dyDescent="0.3"/>
    <row r="196" ht="31.95" customHeight="1" x14ac:dyDescent="0.3"/>
    <row r="197" ht="31.95" customHeight="1" x14ac:dyDescent="0.3"/>
    <row r="198" ht="31.95" customHeight="1" x14ac:dyDescent="0.3"/>
    <row r="199" ht="31.95" customHeight="1" x14ac:dyDescent="0.3"/>
    <row r="200" ht="31.95" customHeight="1" x14ac:dyDescent="0.3"/>
    <row r="201" ht="31.95" customHeight="1" x14ac:dyDescent="0.3"/>
    <row r="202" ht="31.95" customHeight="1" x14ac:dyDescent="0.3"/>
    <row r="203" ht="31.95" customHeight="1" x14ac:dyDescent="0.3"/>
    <row r="204" ht="31.95" customHeight="1" x14ac:dyDescent="0.3"/>
    <row r="205" ht="31.95" customHeight="1" x14ac:dyDescent="0.3"/>
    <row r="206" ht="31.95" customHeight="1" x14ac:dyDescent="0.3"/>
    <row r="207" ht="31.95" customHeight="1" x14ac:dyDescent="0.3"/>
    <row r="208" ht="31.95" customHeight="1" x14ac:dyDescent="0.3"/>
    <row r="209" ht="31.95" customHeight="1" x14ac:dyDescent="0.3"/>
    <row r="210" ht="31.95" customHeight="1" x14ac:dyDescent="0.3"/>
    <row r="211" ht="31.95" customHeight="1" x14ac:dyDescent="0.3"/>
    <row r="212" ht="31.95" customHeight="1" x14ac:dyDescent="0.3"/>
    <row r="213" ht="31.95" customHeight="1" x14ac:dyDescent="0.3"/>
    <row r="214" ht="31.95" customHeight="1" x14ac:dyDescent="0.3"/>
    <row r="215" ht="31.95" customHeight="1" x14ac:dyDescent="0.3"/>
    <row r="216" ht="31.95" customHeight="1" x14ac:dyDescent="0.3"/>
    <row r="217" ht="31.95" customHeight="1" x14ac:dyDescent="0.3"/>
    <row r="218" ht="31.95" customHeight="1" x14ac:dyDescent="0.3"/>
    <row r="219" ht="31.95" customHeight="1" x14ac:dyDescent="0.3"/>
    <row r="220" ht="31.95" customHeight="1" x14ac:dyDescent="0.3"/>
    <row r="221" ht="31.95" customHeight="1" x14ac:dyDescent="0.3"/>
    <row r="222" ht="31.95" customHeight="1" x14ac:dyDescent="0.3"/>
    <row r="223" ht="31.95" customHeight="1" x14ac:dyDescent="0.3"/>
    <row r="224" ht="31.95" customHeight="1" x14ac:dyDescent="0.3"/>
    <row r="225" ht="31.95" customHeight="1" x14ac:dyDescent="0.3"/>
    <row r="226" ht="31.95" customHeight="1" x14ac:dyDescent="0.3"/>
    <row r="227" ht="31.95" customHeight="1" x14ac:dyDescent="0.3"/>
    <row r="228" ht="31.95" customHeight="1" x14ac:dyDescent="0.3"/>
    <row r="229" ht="31.95" customHeight="1" x14ac:dyDescent="0.3"/>
    <row r="230" ht="31.95" customHeight="1" x14ac:dyDescent="0.3"/>
    <row r="231" ht="31.95" customHeight="1" x14ac:dyDescent="0.3"/>
    <row r="232" ht="31.95" customHeight="1" x14ac:dyDescent="0.3"/>
    <row r="233" ht="31.95" customHeight="1" x14ac:dyDescent="0.3"/>
    <row r="234" ht="31.95" customHeight="1" x14ac:dyDescent="0.3"/>
    <row r="235" ht="31.95" customHeight="1" x14ac:dyDescent="0.3"/>
    <row r="236" ht="31.95" customHeight="1" x14ac:dyDescent="0.3"/>
    <row r="237" ht="31.95" customHeight="1" x14ac:dyDescent="0.3"/>
    <row r="238" ht="31.95" customHeight="1" x14ac:dyDescent="0.3"/>
    <row r="239" ht="31.95" customHeight="1" x14ac:dyDescent="0.3"/>
    <row r="240" ht="31.95" customHeight="1" x14ac:dyDescent="0.3"/>
    <row r="241" ht="31.95" customHeight="1" x14ac:dyDescent="0.3"/>
    <row r="242" ht="31.95" customHeight="1" x14ac:dyDescent="0.3"/>
    <row r="243" ht="31.95" customHeight="1" x14ac:dyDescent="0.3"/>
    <row r="244" ht="31.95" customHeight="1" x14ac:dyDescent="0.3"/>
    <row r="245" ht="31.95" customHeight="1" x14ac:dyDescent="0.3"/>
    <row r="246" ht="31.95" customHeight="1" x14ac:dyDescent="0.3"/>
    <row r="247" ht="31.95" customHeight="1" x14ac:dyDescent="0.3"/>
    <row r="248" ht="31.95" customHeight="1" x14ac:dyDescent="0.3"/>
    <row r="249" ht="31.95" customHeight="1" x14ac:dyDescent="0.3"/>
    <row r="250" ht="31.95" customHeight="1" x14ac:dyDescent="0.3"/>
    <row r="251" ht="31.95" customHeight="1" x14ac:dyDescent="0.3"/>
    <row r="252" ht="31.95" customHeight="1" x14ac:dyDescent="0.3"/>
    <row r="253" ht="31.95" customHeight="1" x14ac:dyDescent="0.3"/>
    <row r="254" ht="31.95" customHeight="1" x14ac:dyDescent="0.3"/>
    <row r="255" ht="31.95" customHeight="1" x14ac:dyDescent="0.3"/>
    <row r="256" ht="31.95" customHeight="1" x14ac:dyDescent="0.3"/>
    <row r="257" ht="31.95" customHeight="1" x14ac:dyDescent="0.3"/>
    <row r="258" ht="31.95" customHeight="1" x14ac:dyDescent="0.3"/>
    <row r="259" ht="31.95" customHeight="1" x14ac:dyDescent="0.3"/>
    <row r="260" ht="31.95" customHeight="1" x14ac:dyDescent="0.3"/>
    <row r="261" ht="31.95" customHeight="1" x14ac:dyDescent="0.3"/>
    <row r="262" ht="31.95" customHeight="1" x14ac:dyDescent="0.3"/>
    <row r="263" ht="31.95" customHeight="1" x14ac:dyDescent="0.3"/>
    <row r="264" ht="31.95" customHeight="1" x14ac:dyDescent="0.3"/>
    <row r="265" ht="31.95" customHeight="1" x14ac:dyDescent="0.3"/>
    <row r="266" ht="31.95" customHeight="1" x14ac:dyDescent="0.3"/>
    <row r="267" ht="31.95" customHeight="1" x14ac:dyDescent="0.3"/>
    <row r="268" ht="31.95" customHeight="1" x14ac:dyDescent="0.3"/>
    <row r="269" ht="31.95" customHeight="1" x14ac:dyDescent="0.3"/>
    <row r="270" ht="31.95" customHeight="1" x14ac:dyDescent="0.3"/>
    <row r="271" ht="31.95" customHeight="1" x14ac:dyDescent="0.3"/>
    <row r="272" ht="31.95" customHeight="1" x14ac:dyDescent="0.3"/>
    <row r="273" ht="31.95" customHeight="1" x14ac:dyDescent="0.3"/>
    <row r="274" ht="31.95" customHeight="1" x14ac:dyDescent="0.3"/>
    <row r="275" ht="31.95" customHeight="1" x14ac:dyDescent="0.3"/>
    <row r="276" ht="31.95" customHeight="1" x14ac:dyDescent="0.3"/>
    <row r="277" ht="31.95" customHeight="1" x14ac:dyDescent="0.3"/>
    <row r="278" ht="31.95" customHeight="1" x14ac:dyDescent="0.3"/>
    <row r="279" ht="31.95" customHeight="1" x14ac:dyDescent="0.3"/>
    <row r="280" ht="31.95" customHeight="1" x14ac:dyDescent="0.3"/>
    <row r="281" ht="31.95" customHeight="1" x14ac:dyDescent="0.3"/>
    <row r="282" ht="31.95" customHeight="1" x14ac:dyDescent="0.3"/>
    <row r="283" ht="31.95" customHeight="1" x14ac:dyDescent="0.3"/>
    <row r="284" ht="31.95" customHeight="1" x14ac:dyDescent="0.3"/>
    <row r="285" ht="31.95" customHeight="1" x14ac:dyDescent="0.3"/>
    <row r="286" ht="31.95" customHeight="1" x14ac:dyDescent="0.3"/>
    <row r="287" ht="31.95" customHeight="1" x14ac:dyDescent="0.3"/>
    <row r="288" ht="31.95" customHeight="1" x14ac:dyDescent="0.3"/>
    <row r="289" ht="31.95" customHeight="1" x14ac:dyDescent="0.3"/>
    <row r="290" ht="31.95" customHeight="1" x14ac:dyDescent="0.3"/>
    <row r="291" ht="31.95" customHeight="1" x14ac:dyDescent="0.3"/>
    <row r="292" ht="31.95" customHeight="1" x14ac:dyDescent="0.3"/>
    <row r="293" ht="31.95" customHeight="1" x14ac:dyDescent="0.3"/>
    <row r="294" ht="31.95" customHeight="1" x14ac:dyDescent="0.3"/>
    <row r="295" ht="31.95" customHeight="1" x14ac:dyDescent="0.3"/>
    <row r="296" ht="31.95" customHeight="1" x14ac:dyDescent="0.3"/>
    <row r="297" ht="31.95" customHeight="1" x14ac:dyDescent="0.3"/>
    <row r="298" ht="31.95" customHeight="1" x14ac:dyDescent="0.3"/>
    <row r="299" ht="31.95" customHeight="1" x14ac:dyDescent="0.3"/>
    <row r="300" ht="31.95" customHeight="1" x14ac:dyDescent="0.3"/>
    <row r="301" ht="31.95" customHeight="1" x14ac:dyDescent="0.3"/>
    <row r="302" ht="31.95" customHeight="1" x14ac:dyDescent="0.3"/>
    <row r="303" ht="31.95" customHeight="1" x14ac:dyDescent="0.3"/>
    <row r="304" ht="31.95" customHeight="1" x14ac:dyDescent="0.3"/>
    <row r="305" ht="31.95" customHeight="1" x14ac:dyDescent="0.3"/>
    <row r="306" ht="31.95" customHeight="1" x14ac:dyDescent="0.3"/>
    <row r="307" ht="31.95" customHeight="1" x14ac:dyDescent="0.3"/>
    <row r="308" ht="31.95" customHeight="1" x14ac:dyDescent="0.3"/>
    <row r="309" ht="31.95" customHeight="1" x14ac:dyDescent="0.3"/>
    <row r="310" ht="31.95" customHeight="1" x14ac:dyDescent="0.3"/>
    <row r="311" ht="31.95" customHeight="1" x14ac:dyDescent="0.3"/>
    <row r="312" ht="31.95" customHeight="1" x14ac:dyDescent="0.3"/>
    <row r="313" ht="31.95" customHeight="1" x14ac:dyDescent="0.3"/>
    <row r="314" ht="31.95" customHeight="1" x14ac:dyDescent="0.3"/>
    <row r="315" ht="31.95" customHeight="1" x14ac:dyDescent="0.3"/>
    <row r="316" ht="31.95" customHeight="1" x14ac:dyDescent="0.3"/>
    <row r="317" ht="31.95" customHeight="1" x14ac:dyDescent="0.3"/>
    <row r="318" ht="31.95" customHeight="1" x14ac:dyDescent="0.3"/>
    <row r="319" ht="31.95" customHeight="1" x14ac:dyDescent="0.3"/>
    <row r="320" ht="31.95" customHeight="1" x14ac:dyDescent="0.3"/>
    <row r="321" ht="31.95" customHeight="1" x14ac:dyDescent="0.3"/>
    <row r="322" ht="31.95" customHeight="1" x14ac:dyDescent="0.3"/>
    <row r="323" ht="31.95" customHeight="1" x14ac:dyDescent="0.3"/>
    <row r="324" ht="31.95" customHeight="1" x14ac:dyDescent="0.3"/>
    <row r="325" ht="31.95" customHeight="1" x14ac:dyDescent="0.3"/>
    <row r="326" ht="31.95" customHeight="1" x14ac:dyDescent="0.3"/>
    <row r="327" ht="31.95" customHeight="1" x14ac:dyDescent="0.3"/>
    <row r="328" ht="31.95" customHeight="1" x14ac:dyDescent="0.3"/>
    <row r="329" ht="31.95" customHeight="1" x14ac:dyDescent="0.3"/>
    <row r="330" ht="31.95" customHeight="1" x14ac:dyDescent="0.3"/>
    <row r="331" ht="31.95" customHeight="1" x14ac:dyDescent="0.3"/>
    <row r="332" ht="31.95" customHeight="1" x14ac:dyDescent="0.3"/>
    <row r="333" ht="31.95" customHeight="1" x14ac:dyDescent="0.3"/>
    <row r="334" ht="31.95" customHeight="1" x14ac:dyDescent="0.3"/>
    <row r="335" ht="31.95" customHeight="1" x14ac:dyDescent="0.3"/>
    <row r="336" ht="31.95" customHeight="1" x14ac:dyDescent="0.3"/>
    <row r="337" ht="31.95" customHeight="1" x14ac:dyDescent="0.3"/>
    <row r="338" ht="31.95" customHeight="1" x14ac:dyDescent="0.3"/>
    <row r="339" ht="31.95" customHeight="1" x14ac:dyDescent="0.3"/>
    <row r="340" ht="31.95" customHeight="1" x14ac:dyDescent="0.3"/>
    <row r="341" ht="31.95" customHeight="1" x14ac:dyDescent="0.3"/>
    <row r="342" ht="31.95" customHeight="1" x14ac:dyDescent="0.3"/>
    <row r="343" ht="31.95" customHeight="1" x14ac:dyDescent="0.3"/>
    <row r="344" ht="31.95" customHeight="1" x14ac:dyDescent="0.3"/>
    <row r="345" ht="31.95" customHeight="1" x14ac:dyDescent="0.3"/>
    <row r="346" ht="31.95" customHeight="1" x14ac:dyDescent="0.3"/>
    <row r="347" ht="31.95" customHeight="1" x14ac:dyDescent="0.3"/>
    <row r="348" ht="31.95" customHeight="1" x14ac:dyDescent="0.3"/>
    <row r="349" ht="31.95" customHeight="1" x14ac:dyDescent="0.3"/>
    <row r="350" ht="31.95" customHeight="1" x14ac:dyDescent="0.3"/>
    <row r="351" ht="31.95" customHeight="1" x14ac:dyDescent="0.3"/>
    <row r="352" ht="31.95" customHeight="1" x14ac:dyDescent="0.3"/>
    <row r="353" ht="31.95" customHeight="1" x14ac:dyDescent="0.3"/>
    <row r="354" ht="31.95" customHeight="1" x14ac:dyDescent="0.3"/>
    <row r="355" ht="31.95" customHeight="1" x14ac:dyDescent="0.3"/>
    <row r="356" ht="31.95" customHeight="1" x14ac:dyDescent="0.3"/>
    <row r="357" ht="31.95" customHeight="1" x14ac:dyDescent="0.3"/>
    <row r="358" ht="31.95" customHeight="1" x14ac:dyDescent="0.3"/>
    <row r="359" ht="31.95" customHeight="1" x14ac:dyDescent="0.3"/>
    <row r="360" ht="31.95" customHeight="1" x14ac:dyDescent="0.3"/>
    <row r="361" ht="31.95" customHeight="1" x14ac:dyDescent="0.3"/>
    <row r="362" ht="31.95" customHeight="1" x14ac:dyDescent="0.3"/>
    <row r="363" ht="31.95" customHeight="1" x14ac:dyDescent="0.3"/>
    <row r="364" ht="31.95" customHeight="1" x14ac:dyDescent="0.3"/>
    <row r="365" ht="31.95" customHeight="1" x14ac:dyDescent="0.3"/>
    <row r="366" ht="31.95" customHeight="1" x14ac:dyDescent="0.3"/>
    <row r="367" ht="31.95" customHeight="1" x14ac:dyDescent="0.3"/>
    <row r="368" ht="31.95" customHeight="1" x14ac:dyDescent="0.3"/>
    <row r="369" ht="31.95" customHeight="1" x14ac:dyDescent="0.3"/>
    <row r="370" ht="31.95" customHeight="1" x14ac:dyDescent="0.3"/>
    <row r="371" ht="31.95" customHeight="1" x14ac:dyDescent="0.3"/>
    <row r="372" ht="31.95" customHeight="1" x14ac:dyDescent="0.3"/>
    <row r="373" ht="31.95" customHeight="1" x14ac:dyDescent="0.3"/>
    <row r="374" ht="31.95" customHeight="1" x14ac:dyDescent="0.3"/>
    <row r="375" ht="31.95" customHeight="1" x14ac:dyDescent="0.3"/>
    <row r="376" ht="31.95" customHeight="1" x14ac:dyDescent="0.3"/>
    <row r="377" ht="31.95" customHeight="1" x14ac:dyDescent="0.3"/>
    <row r="378" ht="31.95" customHeight="1" x14ac:dyDescent="0.3"/>
    <row r="379" ht="31.95" customHeight="1" x14ac:dyDescent="0.3"/>
    <row r="380" ht="31.95" customHeight="1" x14ac:dyDescent="0.3"/>
    <row r="381" ht="31.95" customHeight="1" x14ac:dyDescent="0.3"/>
    <row r="382" ht="31.95" customHeight="1" x14ac:dyDescent="0.3"/>
    <row r="383" ht="31.95" customHeight="1" x14ac:dyDescent="0.3"/>
    <row r="384" ht="31.95" customHeight="1" x14ac:dyDescent="0.3"/>
    <row r="385" ht="31.95" customHeight="1" x14ac:dyDescent="0.3"/>
    <row r="386" ht="31.95" customHeight="1" x14ac:dyDescent="0.3"/>
    <row r="387" ht="31.95" customHeight="1" x14ac:dyDescent="0.3"/>
    <row r="388" ht="31.95" customHeight="1" x14ac:dyDescent="0.3"/>
    <row r="389" ht="31.95" customHeight="1" x14ac:dyDescent="0.3"/>
    <row r="390" ht="31.95" customHeight="1" x14ac:dyDescent="0.3"/>
    <row r="391" ht="31.95" customHeight="1" x14ac:dyDescent="0.3"/>
    <row r="392" ht="31.95" customHeight="1" x14ac:dyDescent="0.3"/>
    <row r="393" ht="31.95" customHeight="1" x14ac:dyDescent="0.3"/>
    <row r="394" ht="31.95" customHeight="1" x14ac:dyDescent="0.3"/>
    <row r="395" ht="31.95" customHeight="1" x14ac:dyDescent="0.3"/>
    <row r="396" ht="31.95" customHeight="1" x14ac:dyDescent="0.3"/>
    <row r="397" ht="31.95" customHeight="1" x14ac:dyDescent="0.3"/>
    <row r="398" ht="31.95" customHeight="1" x14ac:dyDescent="0.3"/>
    <row r="399" ht="31.95" customHeight="1" x14ac:dyDescent="0.3"/>
    <row r="400" ht="31.95" customHeight="1" x14ac:dyDescent="0.3"/>
    <row r="401" ht="31.95" customHeight="1" x14ac:dyDescent="0.3"/>
    <row r="402" ht="31.95" customHeight="1" x14ac:dyDescent="0.3"/>
    <row r="403" ht="31.95" customHeight="1" x14ac:dyDescent="0.3"/>
    <row r="404" ht="31.95" customHeight="1" x14ac:dyDescent="0.3"/>
    <row r="405" ht="31.95" customHeight="1" x14ac:dyDescent="0.3"/>
    <row r="406" ht="31.95" customHeight="1" x14ac:dyDescent="0.3"/>
    <row r="407" ht="31.95" customHeight="1" x14ac:dyDescent="0.3"/>
    <row r="408" ht="31.95" customHeight="1" x14ac:dyDescent="0.3"/>
    <row r="409" ht="31.95" customHeight="1" x14ac:dyDescent="0.3"/>
    <row r="410" ht="31.95" customHeight="1" x14ac:dyDescent="0.3"/>
    <row r="411" ht="31.95" customHeight="1" x14ac:dyDescent="0.3"/>
    <row r="412" ht="31.95" customHeight="1" x14ac:dyDescent="0.3"/>
    <row r="413" ht="31.95" customHeight="1" x14ac:dyDescent="0.3"/>
    <row r="414" ht="31.95" customHeight="1" x14ac:dyDescent="0.3"/>
    <row r="415" ht="31.95" customHeight="1" x14ac:dyDescent="0.3"/>
    <row r="416" ht="31.95" customHeight="1" x14ac:dyDescent="0.3"/>
    <row r="417" ht="31.95" customHeight="1" x14ac:dyDescent="0.3"/>
    <row r="418" ht="31.95" customHeight="1" x14ac:dyDescent="0.3"/>
    <row r="419" ht="31.95" customHeight="1" x14ac:dyDescent="0.3"/>
    <row r="420" ht="31.95" customHeight="1" x14ac:dyDescent="0.3"/>
    <row r="421" ht="31.95" customHeight="1" x14ac:dyDescent="0.3"/>
    <row r="422" ht="31.95" customHeight="1" x14ac:dyDescent="0.3"/>
    <row r="423" ht="31.95" customHeight="1" x14ac:dyDescent="0.3"/>
    <row r="424" ht="31.95" customHeight="1" x14ac:dyDescent="0.3"/>
    <row r="425" ht="31.95" customHeight="1" x14ac:dyDescent="0.3"/>
    <row r="426" ht="31.95" customHeight="1" x14ac:dyDescent="0.3"/>
    <row r="427" ht="31.95" customHeight="1" x14ac:dyDescent="0.3"/>
    <row r="428" ht="31.95" customHeight="1" x14ac:dyDescent="0.3"/>
    <row r="429" ht="31.95" customHeight="1" x14ac:dyDescent="0.3"/>
    <row r="430" ht="31.95" customHeight="1" x14ac:dyDescent="0.3"/>
    <row r="431" ht="31.95" customHeight="1" x14ac:dyDescent="0.3"/>
    <row r="432" ht="31.95" customHeight="1" x14ac:dyDescent="0.3"/>
    <row r="433" ht="31.95" customHeight="1" x14ac:dyDescent="0.3"/>
    <row r="434" ht="31.95" customHeight="1" x14ac:dyDescent="0.3"/>
    <row r="435" ht="31.95" customHeight="1" x14ac:dyDescent="0.3"/>
    <row r="436" ht="31.95" customHeight="1" x14ac:dyDescent="0.3"/>
    <row r="437" ht="31.95" customHeight="1" x14ac:dyDescent="0.3"/>
    <row r="438" ht="31.95" customHeight="1" x14ac:dyDescent="0.3"/>
    <row r="439" ht="31.95" customHeight="1" x14ac:dyDescent="0.3"/>
    <row r="440" ht="31.95" customHeight="1" x14ac:dyDescent="0.3"/>
    <row r="441" ht="31.95" customHeight="1" x14ac:dyDescent="0.3"/>
    <row r="442" ht="31.95" customHeight="1" x14ac:dyDescent="0.3"/>
    <row r="443" ht="31.95" customHeight="1" x14ac:dyDescent="0.3"/>
    <row r="444" ht="31.95" customHeight="1" x14ac:dyDescent="0.3"/>
    <row r="445" ht="31.95" customHeight="1" x14ac:dyDescent="0.3"/>
    <row r="446" ht="31.95" customHeight="1" x14ac:dyDescent="0.3"/>
    <row r="447" ht="31.95" customHeight="1" x14ac:dyDescent="0.3"/>
    <row r="448" ht="31.95" customHeight="1" x14ac:dyDescent="0.3"/>
    <row r="449" ht="31.95" customHeight="1" x14ac:dyDescent="0.3"/>
    <row r="450" ht="31.95" customHeight="1" x14ac:dyDescent="0.3"/>
    <row r="451" ht="31.95" customHeight="1" x14ac:dyDescent="0.3"/>
    <row r="452" ht="31.95" customHeight="1" x14ac:dyDescent="0.3"/>
    <row r="453" ht="31.95" customHeight="1" x14ac:dyDescent="0.3"/>
    <row r="454" ht="31.95" customHeight="1" x14ac:dyDescent="0.3"/>
    <row r="455" ht="31.95" customHeight="1" x14ac:dyDescent="0.3"/>
    <row r="456" ht="31.95" customHeight="1" x14ac:dyDescent="0.3"/>
    <row r="457" ht="31.95" customHeight="1" x14ac:dyDescent="0.3"/>
    <row r="458" ht="31.95" customHeight="1" x14ac:dyDescent="0.3"/>
    <row r="459" ht="31.95" customHeight="1" x14ac:dyDescent="0.3"/>
    <row r="460" ht="31.95" customHeight="1" x14ac:dyDescent="0.3"/>
    <row r="461" ht="31.95" customHeight="1" x14ac:dyDescent="0.3"/>
    <row r="462" ht="31.95" customHeight="1" x14ac:dyDescent="0.3"/>
    <row r="463" ht="31.95" customHeight="1" x14ac:dyDescent="0.3"/>
    <row r="464" ht="31.95" customHeight="1" x14ac:dyDescent="0.3"/>
    <row r="465" ht="31.95" customHeight="1" x14ac:dyDescent="0.3"/>
    <row r="466" ht="31.95" customHeight="1" x14ac:dyDescent="0.3"/>
    <row r="467" ht="31.95" customHeight="1" x14ac:dyDescent="0.3"/>
    <row r="468" ht="31.95" customHeight="1" x14ac:dyDescent="0.3"/>
    <row r="469" ht="31.95" customHeight="1" x14ac:dyDescent="0.3"/>
    <row r="470" ht="31.95" customHeight="1" x14ac:dyDescent="0.3"/>
    <row r="471" ht="31.95" customHeight="1" x14ac:dyDescent="0.3"/>
    <row r="472" ht="31.95" customHeight="1" x14ac:dyDescent="0.3"/>
    <row r="473" ht="31.95" customHeight="1" x14ac:dyDescent="0.3"/>
    <row r="474" ht="31.95" customHeight="1" x14ac:dyDescent="0.3"/>
    <row r="475" ht="31.95" customHeight="1" x14ac:dyDescent="0.3"/>
    <row r="476" ht="31.95" customHeight="1" x14ac:dyDescent="0.3"/>
    <row r="477" ht="31.95" customHeight="1" x14ac:dyDescent="0.3"/>
    <row r="478" ht="31.95" customHeight="1" x14ac:dyDescent="0.3"/>
    <row r="479" ht="31.95" customHeight="1" x14ac:dyDescent="0.3"/>
    <row r="480" ht="31.95" customHeight="1" x14ac:dyDescent="0.3"/>
    <row r="481" ht="31.95" customHeight="1" x14ac:dyDescent="0.3"/>
    <row r="482" ht="31.95" customHeight="1" x14ac:dyDescent="0.3"/>
    <row r="483" ht="31.95" customHeight="1" x14ac:dyDescent="0.3"/>
    <row r="484" ht="31.95" customHeight="1" x14ac:dyDescent="0.3"/>
    <row r="485" ht="31.95" customHeight="1" x14ac:dyDescent="0.3"/>
    <row r="486" ht="31.95" customHeight="1" x14ac:dyDescent="0.3"/>
    <row r="487" ht="31.95" customHeight="1" x14ac:dyDescent="0.3"/>
    <row r="488" ht="31.95" customHeight="1" x14ac:dyDescent="0.3"/>
    <row r="489" ht="31.95" customHeight="1" x14ac:dyDescent="0.3"/>
    <row r="490" ht="31.95" customHeight="1" x14ac:dyDescent="0.3"/>
    <row r="491" ht="31.95" customHeight="1" x14ac:dyDescent="0.3"/>
    <row r="492" ht="31.95" customHeight="1" x14ac:dyDescent="0.3"/>
    <row r="493" ht="31.95" customHeight="1" x14ac:dyDescent="0.3"/>
    <row r="494" ht="31.95" customHeight="1" x14ac:dyDescent="0.3"/>
    <row r="495" ht="31.95" customHeight="1" x14ac:dyDescent="0.3"/>
    <row r="496" ht="31.95" customHeight="1" x14ac:dyDescent="0.3"/>
    <row r="497" ht="31.95" customHeight="1" x14ac:dyDescent="0.3"/>
    <row r="498" ht="31.95" customHeight="1" x14ac:dyDescent="0.3"/>
    <row r="499" ht="31.95" customHeight="1" x14ac:dyDescent="0.3"/>
    <row r="500" ht="31.95" customHeight="1" x14ac:dyDescent="0.3"/>
    <row r="501" ht="31.95" customHeight="1" x14ac:dyDescent="0.3"/>
    <row r="502" ht="31.95" customHeight="1" x14ac:dyDescent="0.3"/>
    <row r="503" ht="31.95" customHeight="1" x14ac:dyDescent="0.3"/>
    <row r="504" ht="31.95" customHeight="1" x14ac:dyDescent="0.3"/>
    <row r="505" ht="31.95" customHeight="1" x14ac:dyDescent="0.3"/>
    <row r="506" ht="31.95" customHeight="1" x14ac:dyDescent="0.3"/>
    <row r="507" ht="31.95" customHeight="1" x14ac:dyDescent="0.3"/>
    <row r="508" ht="31.95" customHeight="1" x14ac:dyDescent="0.3"/>
    <row r="509" ht="31.95" customHeight="1" x14ac:dyDescent="0.3"/>
    <row r="510" ht="31.95" customHeight="1" x14ac:dyDescent="0.3"/>
    <row r="511" ht="31.95" customHeight="1" x14ac:dyDescent="0.3"/>
    <row r="512" ht="31.95" customHeight="1" x14ac:dyDescent="0.3"/>
    <row r="513" ht="31.95" customHeight="1" x14ac:dyDescent="0.3"/>
    <row r="514" ht="31.95" customHeight="1" x14ac:dyDescent="0.3"/>
    <row r="515" ht="31.95" customHeight="1" x14ac:dyDescent="0.3"/>
    <row r="516" ht="31.95" customHeight="1" x14ac:dyDescent="0.3"/>
    <row r="517" ht="31.95" customHeight="1" x14ac:dyDescent="0.3"/>
    <row r="518" ht="31.95" customHeight="1" x14ac:dyDescent="0.3"/>
    <row r="519" ht="31.95" customHeight="1" x14ac:dyDescent="0.3"/>
    <row r="520" ht="31.95" customHeight="1" x14ac:dyDescent="0.3"/>
    <row r="521" ht="31.95" customHeight="1" x14ac:dyDescent="0.3"/>
    <row r="522" ht="31.95" customHeight="1" x14ac:dyDescent="0.3"/>
    <row r="523" ht="31.95" customHeight="1" x14ac:dyDescent="0.3"/>
    <row r="524" ht="31.95" customHeight="1" x14ac:dyDescent="0.3"/>
    <row r="525" ht="31.95" customHeight="1" x14ac:dyDescent="0.3"/>
    <row r="526" ht="31.95" customHeight="1" x14ac:dyDescent="0.3"/>
    <row r="527" ht="31.95" customHeight="1" x14ac:dyDescent="0.3"/>
    <row r="528" ht="31.95" customHeight="1" x14ac:dyDescent="0.3"/>
    <row r="529" ht="31.95" customHeight="1" x14ac:dyDescent="0.3"/>
    <row r="530" ht="31.95" customHeight="1" x14ac:dyDescent="0.3"/>
    <row r="531" ht="31.95" customHeight="1" x14ac:dyDescent="0.3"/>
    <row r="532" ht="31.95" customHeight="1" x14ac:dyDescent="0.3"/>
    <row r="533" ht="31.95" customHeight="1" x14ac:dyDescent="0.3"/>
    <row r="534" ht="31.95" customHeight="1" x14ac:dyDescent="0.3"/>
    <row r="535" ht="31.95" customHeight="1" x14ac:dyDescent="0.3"/>
    <row r="536" ht="31.95" customHeight="1" x14ac:dyDescent="0.3"/>
    <row r="537" ht="31.95" customHeight="1" x14ac:dyDescent="0.3"/>
    <row r="538" ht="31.95" customHeight="1" x14ac:dyDescent="0.3"/>
    <row r="539" ht="31.95" customHeight="1" x14ac:dyDescent="0.3"/>
    <row r="540" ht="31.95" customHeight="1" x14ac:dyDescent="0.3"/>
    <row r="541" ht="31.95" customHeight="1" x14ac:dyDescent="0.3"/>
    <row r="542" ht="31.95" customHeight="1" x14ac:dyDescent="0.3"/>
    <row r="543" ht="31.95" customHeight="1" x14ac:dyDescent="0.3"/>
    <row r="544" ht="31.95" customHeight="1" x14ac:dyDescent="0.3"/>
    <row r="545" ht="31.95" customHeight="1" x14ac:dyDescent="0.3"/>
    <row r="546" ht="31.95" customHeight="1" x14ac:dyDescent="0.3"/>
    <row r="547" ht="31.95" customHeight="1" x14ac:dyDescent="0.3"/>
    <row r="548" ht="31.95" customHeight="1" x14ac:dyDescent="0.3"/>
    <row r="549" ht="31.95" customHeight="1" x14ac:dyDescent="0.3"/>
    <row r="550" ht="31.95" customHeight="1" x14ac:dyDescent="0.3"/>
    <row r="551" ht="31.95" customHeight="1" x14ac:dyDescent="0.3"/>
    <row r="552" ht="31.95" customHeight="1" x14ac:dyDescent="0.3"/>
    <row r="553" ht="31.95" customHeight="1" x14ac:dyDescent="0.3"/>
    <row r="554" ht="31.95" customHeight="1" x14ac:dyDescent="0.3"/>
    <row r="555" ht="31.95" customHeight="1" x14ac:dyDescent="0.3"/>
    <row r="556" ht="31.95" customHeight="1" x14ac:dyDescent="0.3"/>
    <row r="557" ht="31.95" customHeight="1" x14ac:dyDescent="0.3"/>
    <row r="558" ht="31.95" customHeight="1" x14ac:dyDescent="0.3"/>
    <row r="559" ht="31.95" customHeight="1" x14ac:dyDescent="0.3"/>
    <row r="560" ht="31.95" customHeight="1" x14ac:dyDescent="0.3"/>
    <row r="561" ht="31.95" customHeight="1" x14ac:dyDescent="0.3"/>
    <row r="562" ht="31.95" customHeight="1" x14ac:dyDescent="0.3"/>
    <row r="563" ht="31.95" customHeight="1" x14ac:dyDescent="0.3"/>
    <row r="564" ht="31.95" customHeight="1" x14ac:dyDescent="0.3"/>
    <row r="565" ht="31.95" customHeight="1" x14ac:dyDescent="0.3"/>
    <row r="566" ht="31.95" customHeight="1" x14ac:dyDescent="0.3"/>
    <row r="567" ht="31.95" customHeight="1" x14ac:dyDescent="0.3"/>
    <row r="568" ht="31.95" customHeight="1" x14ac:dyDescent="0.3"/>
    <row r="569" ht="31.95" customHeight="1" x14ac:dyDescent="0.3"/>
    <row r="570" ht="31.95" customHeight="1" x14ac:dyDescent="0.3"/>
    <row r="571" ht="31.95" customHeight="1" x14ac:dyDescent="0.3"/>
    <row r="572" ht="31.95" customHeight="1" x14ac:dyDescent="0.3"/>
    <row r="573" ht="31.95" customHeight="1" x14ac:dyDescent="0.3"/>
    <row r="574" ht="31.95" customHeight="1" x14ac:dyDescent="0.3"/>
    <row r="575" ht="31.95" customHeight="1" x14ac:dyDescent="0.3"/>
    <row r="576" ht="31.95" customHeight="1" x14ac:dyDescent="0.3"/>
    <row r="577" ht="31.95" customHeight="1" x14ac:dyDescent="0.3"/>
    <row r="578" ht="31.95" customHeight="1" x14ac:dyDescent="0.3"/>
    <row r="579" ht="31.95" customHeight="1" x14ac:dyDescent="0.3"/>
    <row r="580" ht="31.95" customHeight="1" x14ac:dyDescent="0.3"/>
    <row r="581" ht="31.95" customHeight="1" x14ac:dyDescent="0.3"/>
    <row r="582" ht="31.95" customHeight="1" x14ac:dyDescent="0.3"/>
    <row r="583" ht="31.95" customHeight="1" x14ac:dyDescent="0.3"/>
    <row r="584" ht="31.95" customHeight="1" x14ac:dyDescent="0.3"/>
    <row r="585" ht="31.95" customHeight="1" x14ac:dyDescent="0.3"/>
    <row r="586" ht="31.95" customHeight="1" x14ac:dyDescent="0.3"/>
    <row r="587" ht="31.95" customHeight="1" x14ac:dyDescent="0.3"/>
    <row r="588" ht="31.95" customHeight="1" x14ac:dyDescent="0.3"/>
    <row r="589" ht="31.95" customHeight="1" x14ac:dyDescent="0.3"/>
    <row r="590" ht="31.95" customHeight="1" x14ac:dyDescent="0.3"/>
    <row r="591" ht="31.95" customHeight="1" x14ac:dyDescent="0.3"/>
    <row r="592" ht="31.95" customHeight="1" x14ac:dyDescent="0.3"/>
    <row r="593" ht="31.95" customHeight="1" x14ac:dyDescent="0.3"/>
    <row r="594" ht="31.95" customHeight="1" x14ac:dyDescent="0.3"/>
    <row r="595" ht="31.95" customHeight="1" x14ac:dyDescent="0.3"/>
    <row r="596" ht="31.95" customHeight="1" x14ac:dyDescent="0.3"/>
    <row r="597" ht="31.95" customHeight="1" x14ac:dyDescent="0.3"/>
    <row r="598" ht="31.95" customHeight="1" x14ac:dyDescent="0.3"/>
    <row r="599" ht="31.95" customHeight="1" x14ac:dyDescent="0.3"/>
    <row r="600" ht="31.95" customHeight="1" x14ac:dyDescent="0.3"/>
    <row r="601" ht="31.95" customHeight="1" x14ac:dyDescent="0.3"/>
    <row r="602" ht="31.95" customHeight="1" x14ac:dyDescent="0.3"/>
    <row r="603" ht="31.95" customHeight="1" x14ac:dyDescent="0.3"/>
    <row r="604" ht="31.95" customHeight="1" x14ac:dyDescent="0.3"/>
    <row r="605" ht="31.95" customHeight="1" x14ac:dyDescent="0.3"/>
    <row r="606" ht="31.95" customHeight="1" x14ac:dyDescent="0.3"/>
    <row r="607" ht="31.95" customHeight="1" x14ac:dyDescent="0.3"/>
    <row r="608" ht="31.95" customHeight="1" x14ac:dyDescent="0.3"/>
    <row r="609" ht="31.95" customHeight="1" x14ac:dyDescent="0.3"/>
    <row r="610" ht="31.95" customHeight="1" x14ac:dyDescent="0.3"/>
    <row r="611" ht="31.95" customHeight="1" x14ac:dyDescent="0.3"/>
    <row r="612" ht="31.95" customHeight="1" x14ac:dyDescent="0.3"/>
    <row r="613" ht="31.95" customHeight="1" x14ac:dyDescent="0.3"/>
    <row r="614" ht="31.95" customHeight="1" x14ac:dyDescent="0.3"/>
    <row r="615" ht="31.95" customHeight="1" x14ac:dyDescent="0.3"/>
    <row r="616" ht="31.95" customHeight="1" x14ac:dyDescent="0.3"/>
    <row r="617" ht="31.95" customHeight="1" x14ac:dyDescent="0.3"/>
    <row r="618" ht="31.95" customHeight="1" x14ac:dyDescent="0.3"/>
    <row r="619" ht="31.95" customHeight="1" x14ac:dyDescent="0.3"/>
    <row r="620" ht="31.95" customHeight="1" x14ac:dyDescent="0.3"/>
    <row r="621" ht="31.95" customHeight="1" x14ac:dyDescent="0.3"/>
    <row r="622" ht="31.95" customHeight="1" x14ac:dyDescent="0.3"/>
    <row r="623" ht="31.95" customHeight="1" x14ac:dyDescent="0.3"/>
    <row r="624" ht="31.95" customHeight="1" x14ac:dyDescent="0.3"/>
    <row r="625" ht="31.95" customHeight="1" x14ac:dyDescent="0.3"/>
    <row r="626" ht="31.95" customHeight="1" x14ac:dyDescent="0.3"/>
    <row r="627" ht="31.95" customHeight="1" x14ac:dyDescent="0.3"/>
    <row r="628" ht="31.95" customHeight="1" x14ac:dyDescent="0.3"/>
    <row r="629" ht="31.95" customHeight="1" x14ac:dyDescent="0.3"/>
    <row r="630" ht="31.95" customHeight="1" x14ac:dyDescent="0.3"/>
    <row r="631" ht="31.95" customHeight="1" x14ac:dyDescent="0.3"/>
    <row r="632" ht="31.95" customHeight="1" x14ac:dyDescent="0.3"/>
    <row r="633" ht="31.95" customHeight="1" x14ac:dyDescent="0.3"/>
    <row r="634" ht="31.95" customHeight="1" x14ac:dyDescent="0.3"/>
    <row r="635" ht="31.95" customHeight="1" x14ac:dyDescent="0.3"/>
    <row r="636" ht="31.95" customHeight="1" x14ac:dyDescent="0.3"/>
    <row r="637" ht="31.95" customHeight="1" x14ac:dyDescent="0.3"/>
    <row r="638" ht="31.95" customHeight="1" x14ac:dyDescent="0.3"/>
    <row r="639" ht="31.95" customHeight="1" x14ac:dyDescent="0.3"/>
    <row r="640" ht="31.95" customHeight="1" x14ac:dyDescent="0.3"/>
    <row r="641" ht="31.95" customHeight="1" x14ac:dyDescent="0.3"/>
    <row r="642" ht="31.95" customHeight="1" x14ac:dyDescent="0.3"/>
    <row r="643" ht="31.95" customHeight="1" x14ac:dyDescent="0.3"/>
    <row r="644" ht="31.95" customHeight="1" x14ac:dyDescent="0.3"/>
    <row r="645" ht="31.95" customHeight="1" x14ac:dyDescent="0.3"/>
    <row r="646" ht="31.95" customHeight="1" x14ac:dyDescent="0.3"/>
    <row r="647" ht="31.95" customHeight="1" x14ac:dyDescent="0.3"/>
    <row r="648" ht="31.95" customHeight="1" x14ac:dyDescent="0.3"/>
    <row r="649" ht="31.95" customHeight="1" x14ac:dyDescent="0.3"/>
    <row r="650" ht="31.95" customHeight="1" x14ac:dyDescent="0.3"/>
    <row r="651" ht="31.95" customHeight="1" x14ac:dyDescent="0.3"/>
    <row r="652" ht="31.95" customHeight="1" x14ac:dyDescent="0.3"/>
    <row r="653" ht="31.95" customHeight="1" x14ac:dyDescent="0.3"/>
    <row r="654" ht="31.95" customHeight="1" x14ac:dyDescent="0.3"/>
    <row r="655" ht="31.95" customHeight="1" x14ac:dyDescent="0.3"/>
    <row r="656" ht="31.95" customHeight="1" x14ac:dyDescent="0.3"/>
    <row r="657" ht="31.95" customHeight="1" x14ac:dyDescent="0.3"/>
    <row r="658" ht="31.95" customHeight="1" x14ac:dyDescent="0.3"/>
    <row r="659" ht="31.95" customHeight="1" x14ac:dyDescent="0.3"/>
    <row r="660" ht="31.95" customHeight="1" x14ac:dyDescent="0.3"/>
    <row r="661" ht="31.95" customHeight="1" x14ac:dyDescent="0.3"/>
    <row r="662" ht="31.95" customHeight="1" x14ac:dyDescent="0.3"/>
    <row r="663" ht="31.95" customHeight="1" x14ac:dyDescent="0.3"/>
    <row r="664" ht="31.95" customHeight="1" x14ac:dyDescent="0.3"/>
    <row r="665" ht="31.95" customHeight="1" x14ac:dyDescent="0.3"/>
    <row r="666" ht="31.95" customHeight="1" x14ac:dyDescent="0.3"/>
    <row r="667" ht="31.95" customHeight="1" x14ac:dyDescent="0.3"/>
    <row r="668" ht="31.95" customHeight="1" x14ac:dyDescent="0.3"/>
    <row r="669" ht="31.95" customHeight="1" x14ac:dyDescent="0.3"/>
    <row r="670" ht="31.95" customHeight="1" x14ac:dyDescent="0.3"/>
    <row r="671" ht="31.95" customHeight="1" x14ac:dyDescent="0.3"/>
    <row r="672" ht="31.95" customHeight="1" x14ac:dyDescent="0.3"/>
    <row r="673" ht="31.95" customHeight="1" x14ac:dyDescent="0.3"/>
    <row r="674" ht="31.95" customHeight="1" x14ac:dyDescent="0.3"/>
    <row r="675" ht="31.95" customHeight="1" x14ac:dyDescent="0.3"/>
    <row r="676" ht="31.95" customHeight="1" x14ac:dyDescent="0.3"/>
    <row r="677" ht="31.95" customHeight="1" x14ac:dyDescent="0.3"/>
    <row r="678" ht="31.95" customHeight="1" x14ac:dyDescent="0.3"/>
    <row r="679" ht="31.95" customHeight="1" x14ac:dyDescent="0.3"/>
    <row r="680" ht="31.95" customHeight="1" x14ac:dyDescent="0.3"/>
    <row r="681" ht="31.95" customHeight="1" x14ac:dyDescent="0.3"/>
    <row r="682" ht="31.95" customHeight="1" x14ac:dyDescent="0.3"/>
    <row r="683" ht="31.95" customHeight="1" x14ac:dyDescent="0.3"/>
    <row r="684" ht="31.95" customHeight="1" x14ac:dyDescent="0.3"/>
    <row r="685" ht="31.95" customHeight="1" x14ac:dyDescent="0.3"/>
    <row r="686" ht="31.95" customHeight="1" x14ac:dyDescent="0.3"/>
    <row r="687" ht="31.95" customHeight="1" x14ac:dyDescent="0.3"/>
    <row r="688" ht="31.95" customHeight="1" x14ac:dyDescent="0.3"/>
    <row r="689" ht="31.95" customHeight="1" x14ac:dyDescent="0.3"/>
    <row r="690" ht="31.95" customHeight="1" x14ac:dyDescent="0.3"/>
    <row r="691" ht="31.95" customHeight="1" x14ac:dyDescent="0.3"/>
    <row r="692" ht="31.95" customHeight="1" x14ac:dyDescent="0.3"/>
    <row r="693" ht="31.95" customHeight="1" x14ac:dyDescent="0.3"/>
    <row r="694" ht="31.95" customHeight="1" x14ac:dyDescent="0.3"/>
    <row r="695" ht="31.95" customHeight="1" x14ac:dyDescent="0.3"/>
    <row r="696" ht="31.95" customHeight="1" x14ac:dyDescent="0.3"/>
    <row r="697" ht="31.95" customHeight="1" x14ac:dyDescent="0.3"/>
    <row r="698" ht="31.95" customHeight="1" x14ac:dyDescent="0.3"/>
    <row r="699" ht="31.95" customHeight="1" x14ac:dyDescent="0.3"/>
    <row r="700" ht="31.95" customHeight="1" x14ac:dyDescent="0.3"/>
    <row r="701" ht="31.95" customHeight="1" x14ac:dyDescent="0.3"/>
    <row r="702" ht="31.95" customHeight="1" x14ac:dyDescent="0.3"/>
    <row r="703" ht="31.95" customHeight="1" x14ac:dyDescent="0.3"/>
    <row r="704" ht="31.95" customHeight="1" x14ac:dyDescent="0.3"/>
    <row r="705" ht="31.95" customHeight="1" x14ac:dyDescent="0.3"/>
    <row r="706" ht="31.95" customHeight="1" x14ac:dyDescent="0.3"/>
    <row r="707" ht="31.95" customHeight="1" x14ac:dyDescent="0.3"/>
    <row r="708" ht="31.95" customHeight="1" x14ac:dyDescent="0.3"/>
    <row r="709" ht="31.95" customHeight="1" x14ac:dyDescent="0.3"/>
    <row r="710" ht="31.95" customHeight="1" x14ac:dyDescent="0.3"/>
    <row r="711" ht="31.95" customHeight="1" x14ac:dyDescent="0.3"/>
    <row r="712" ht="31.95" customHeight="1" x14ac:dyDescent="0.3"/>
    <row r="713" ht="31.95" customHeight="1" x14ac:dyDescent="0.3"/>
    <row r="714" ht="31.95" customHeight="1" x14ac:dyDescent="0.3"/>
    <row r="715" ht="31.95" customHeight="1" x14ac:dyDescent="0.3"/>
    <row r="716" ht="31.95" customHeight="1" x14ac:dyDescent="0.3"/>
    <row r="717" ht="31.95" customHeight="1" x14ac:dyDescent="0.3"/>
    <row r="718" ht="31.95" customHeight="1" x14ac:dyDescent="0.3"/>
    <row r="719" ht="31.95" customHeight="1" x14ac:dyDescent="0.3"/>
    <row r="720" ht="31.95" customHeight="1" x14ac:dyDescent="0.3"/>
    <row r="721" ht="31.95" customHeight="1" x14ac:dyDescent="0.3"/>
    <row r="722" ht="31.95" customHeight="1" x14ac:dyDescent="0.3"/>
    <row r="723" ht="31.95" customHeight="1" x14ac:dyDescent="0.3"/>
    <row r="724" ht="31.95" customHeight="1" x14ac:dyDescent="0.3"/>
    <row r="725" ht="31.95" customHeight="1" x14ac:dyDescent="0.3"/>
    <row r="726" ht="31.95" customHeight="1" x14ac:dyDescent="0.3"/>
    <row r="727" ht="31.95" customHeight="1" x14ac:dyDescent="0.3"/>
    <row r="728" ht="31.95" customHeight="1" x14ac:dyDescent="0.3"/>
    <row r="729" ht="31.95" customHeight="1" x14ac:dyDescent="0.3"/>
    <row r="730" ht="31.95" customHeight="1" x14ac:dyDescent="0.3"/>
    <row r="731" ht="31.95" customHeight="1" x14ac:dyDescent="0.3"/>
    <row r="732" ht="31.95" customHeight="1" x14ac:dyDescent="0.3"/>
    <row r="733" ht="31.95" customHeight="1" x14ac:dyDescent="0.3"/>
    <row r="734" ht="31.95" customHeight="1" x14ac:dyDescent="0.3"/>
    <row r="735" ht="31.95" customHeight="1" x14ac:dyDescent="0.3"/>
    <row r="736" ht="31.95" customHeight="1" x14ac:dyDescent="0.3"/>
    <row r="737" ht="31.95" customHeight="1" x14ac:dyDescent="0.3"/>
    <row r="738" ht="31.95" customHeight="1" x14ac:dyDescent="0.3"/>
    <row r="739" ht="31.95" customHeight="1" x14ac:dyDescent="0.3"/>
    <row r="740" ht="31.95" customHeight="1" x14ac:dyDescent="0.3"/>
    <row r="741" ht="31.95" customHeight="1" x14ac:dyDescent="0.3"/>
    <row r="742" ht="31.95" customHeight="1" x14ac:dyDescent="0.3"/>
    <row r="743" ht="31.95" customHeight="1" x14ac:dyDescent="0.3"/>
    <row r="744" ht="31.95" customHeight="1" x14ac:dyDescent="0.3"/>
    <row r="745" ht="31.95" customHeight="1" x14ac:dyDescent="0.3"/>
    <row r="746" ht="31.95" customHeight="1" x14ac:dyDescent="0.3"/>
    <row r="747" ht="31.95" customHeight="1" x14ac:dyDescent="0.3"/>
    <row r="748" ht="31.95" customHeight="1" x14ac:dyDescent="0.3"/>
    <row r="749" ht="31.95" customHeight="1" x14ac:dyDescent="0.3"/>
    <row r="750" ht="31.95" customHeight="1" x14ac:dyDescent="0.3"/>
    <row r="751" ht="31.95" customHeight="1" x14ac:dyDescent="0.3"/>
    <row r="752" ht="31.95" customHeight="1" x14ac:dyDescent="0.3"/>
    <row r="753" ht="31.95" customHeight="1" x14ac:dyDescent="0.3"/>
    <row r="754" ht="31.95" customHeight="1" x14ac:dyDescent="0.3"/>
    <row r="755" ht="31.95" customHeight="1" x14ac:dyDescent="0.3"/>
    <row r="756" ht="31.95" customHeight="1" x14ac:dyDescent="0.3"/>
    <row r="757" ht="31.95" customHeight="1" x14ac:dyDescent="0.3"/>
    <row r="758" ht="31.95" customHeight="1" x14ac:dyDescent="0.3"/>
    <row r="759" ht="31.95" customHeight="1" x14ac:dyDescent="0.3"/>
    <row r="760" ht="31.95" customHeight="1" x14ac:dyDescent="0.3"/>
    <row r="761" ht="31.95" customHeight="1" x14ac:dyDescent="0.3"/>
    <row r="762" ht="31.95" customHeight="1" x14ac:dyDescent="0.3"/>
    <row r="763" ht="31.95" customHeight="1" x14ac:dyDescent="0.3"/>
    <row r="764" ht="31.95" customHeight="1" x14ac:dyDescent="0.3"/>
    <row r="765" ht="31.95" customHeight="1" x14ac:dyDescent="0.3"/>
    <row r="766" ht="31.95" customHeight="1" x14ac:dyDescent="0.3"/>
    <row r="767" ht="31.95" customHeight="1" x14ac:dyDescent="0.3"/>
    <row r="768" ht="31.95" customHeight="1" x14ac:dyDescent="0.3"/>
    <row r="769" ht="31.95" customHeight="1" x14ac:dyDescent="0.3"/>
    <row r="770" ht="31.95" customHeight="1" x14ac:dyDescent="0.3"/>
    <row r="771" ht="31.95" customHeight="1" x14ac:dyDescent="0.3"/>
    <row r="772" ht="31.95" customHeight="1" x14ac:dyDescent="0.3"/>
    <row r="773" ht="31.95" customHeight="1" x14ac:dyDescent="0.3"/>
    <row r="774" ht="31.95" customHeight="1" x14ac:dyDescent="0.3"/>
    <row r="775" ht="31.95" customHeight="1" x14ac:dyDescent="0.3"/>
    <row r="776" ht="31.95" customHeight="1" x14ac:dyDescent="0.3"/>
    <row r="777" ht="31.95" customHeight="1" x14ac:dyDescent="0.3"/>
    <row r="778" ht="31.95" customHeight="1" x14ac:dyDescent="0.3"/>
    <row r="779" ht="31.95" customHeight="1" x14ac:dyDescent="0.3"/>
    <row r="780" ht="31.95" customHeight="1" x14ac:dyDescent="0.3"/>
    <row r="781" ht="31.95" customHeight="1" x14ac:dyDescent="0.3"/>
    <row r="782" ht="31.95" customHeight="1" x14ac:dyDescent="0.3"/>
    <row r="783" ht="31.95" customHeight="1" x14ac:dyDescent="0.3"/>
    <row r="784" ht="31.95" customHeight="1" x14ac:dyDescent="0.3"/>
    <row r="785" ht="31.95" customHeight="1" x14ac:dyDescent="0.3"/>
    <row r="786" ht="31.95" customHeight="1" x14ac:dyDescent="0.3"/>
    <row r="787" ht="31.95" customHeight="1" x14ac:dyDescent="0.3"/>
    <row r="788" ht="31.95" customHeight="1" x14ac:dyDescent="0.3"/>
    <row r="789" ht="31.95" customHeight="1" x14ac:dyDescent="0.3"/>
    <row r="790" ht="31.95" customHeight="1" x14ac:dyDescent="0.3"/>
    <row r="791" ht="31.95" customHeight="1" x14ac:dyDescent="0.3"/>
    <row r="792" ht="31.95" customHeight="1" x14ac:dyDescent="0.3"/>
    <row r="793" ht="31.95" customHeight="1" x14ac:dyDescent="0.3"/>
    <row r="794" ht="31.95" customHeight="1" x14ac:dyDescent="0.3"/>
    <row r="795" ht="31.95" customHeight="1" x14ac:dyDescent="0.3"/>
    <row r="796" ht="31.95" customHeight="1" x14ac:dyDescent="0.3"/>
    <row r="797" ht="31.95" customHeight="1" x14ac:dyDescent="0.3"/>
    <row r="798" ht="31.95" customHeight="1" x14ac:dyDescent="0.3"/>
    <row r="799" ht="31.95" customHeight="1" x14ac:dyDescent="0.3"/>
    <row r="800" ht="31.95" customHeight="1" x14ac:dyDescent="0.3"/>
    <row r="801" ht="31.95" customHeight="1" x14ac:dyDescent="0.3"/>
    <row r="802" ht="31.95" customHeight="1" x14ac:dyDescent="0.3"/>
    <row r="803" ht="31.95" customHeight="1" x14ac:dyDescent="0.3"/>
    <row r="804" ht="31.95" customHeight="1" x14ac:dyDescent="0.3"/>
    <row r="805" ht="31.95" customHeight="1" x14ac:dyDescent="0.3"/>
    <row r="806" ht="31.95" customHeight="1" x14ac:dyDescent="0.3"/>
    <row r="807" ht="31.95" customHeight="1" x14ac:dyDescent="0.3"/>
    <row r="808" ht="31.95" customHeight="1" x14ac:dyDescent="0.3"/>
    <row r="809" ht="31.95" customHeight="1" x14ac:dyDescent="0.3"/>
    <row r="810" ht="31.95" customHeight="1" x14ac:dyDescent="0.3"/>
    <row r="811" ht="31.95" customHeight="1" x14ac:dyDescent="0.3"/>
    <row r="812" ht="31.95" customHeight="1" x14ac:dyDescent="0.3"/>
    <row r="813" ht="31.95" customHeight="1" x14ac:dyDescent="0.3"/>
    <row r="814" ht="31.95" customHeight="1" x14ac:dyDescent="0.3"/>
    <row r="815" ht="31.95" customHeight="1" x14ac:dyDescent="0.3"/>
    <row r="816" ht="31.95" customHeight="1" x14ac:dyDescent="0.3"/>
    <row r="817" ht="31.95" customHeight="1" x14ac:dyDescent="0.3"/>
    <row r="818" ht="31.95" customHeight="1" x14ac:dyDescent="0.3"/>
    <row r="819" ht="31.95" customHeight="1" x14ac:dyDescent="0.3"/>
    <row r="820" ht="31.95" customHeight="1" x14ac:dyDescent="0.3"/>
    <row r="821" ht="31.95" customHeight="1" x14ac:dyDescent="0.3"/>
    <row r="822" ht="31.95" customHeight="1" x14ac:dyDescent="0.3"/>
    <row r="823" ht="31.95" customHeight="1" x14ac:dyDescent="0.3"/>
    <row r="824" ht="31.95" customHeight="1" x14ac:dyDescent="0.3"/>
    <row r="825" ht="31.95" customHeight="1" x14ac:dyDescent="0.3"/>
    <row r="826" ht="31.95" customHeight="1" x14ac:dyDescent="0.3"/>
    <row r="827" ht="31.95" customHeight="1" x14ac:dyDescent="0.3"/>
    <row r="828" ht="31.95" customHeight="1" x14ac:dyDescent="0.3"/>
    <row r="829" ht="31.95" customHeight="1" x14ac:dyDescent="0.3"/>
    <row r="830" ht="31.95" customHeight="1" x14ac:dyDescent="0.3"/>
    <row r="831" ht="31.95" customHeight="1" x14ac:dyDescent="0.3"/>
    <row r="832" ht="31.95" customHeight="1" x14ac:dyDescent="0.3"/>
    <row r="833" ht="31.95" customHeight="1" x14ac:dyDescent="0.3"/>
    <row r="834" ht="31.95" customHeight="1" x14ac:dyDescent="0.3"/>
    <row r="835" ht="31.95" customHeight="1" x14ac:dyDescent="0.3"/>
    <row r="836" ht="31.95" customHeight="1" x14ac:dyDescent="0.3"/>
    <row r="837" ht="31.95" customHeight="1" x14ac:dyDescent="0.3"/>
    <row r="838" ht="31.95" customHeight="1" x14ac:dyDescent="0.3"/>
    <row r="839" ht="31.95" customHeight="1" x14ac:dyDescent="0.3"/>
    <row r="840" ht="31.95" customHeight="1" x14ac:dyDescent="0.3"/>
    <row r="841" ht="31.95" customHeight="1" x14ac:dyDescent="0.3"/>
    <row r="842" ht="31.95" customHeight="1" x14ac:dyDescent="0.3"/>
    <row r="843" ht="31.95" customHeight="1" x14ac:dyDescent="0.3"/>
    <row r="844" ht="31.95" customHeight="1" x14ac:dyDescent="0.3"/>
    <row r="845" ht="31.95" customHeight="1" x14ac:dyDescent="0.3"/>
    <row r="846" ht="31.95" customHeight="1" x14ac:dyDescent="0.3"/>
    <row r="847" ht="31.95" customHeight="1" x14ac:dyDescent="0.3"/>
    <row r="848" ht="31.95" customHeight="1" x14ac:dyDescent="0.3"/>
    <row r="849" ht="31.95" customHeight="1" x14ac:dyDescent="0.3"/>
    <row r="850" ht="31.95" customHeight="1" x14ac:dyDescent="0.3"/>
    <row r="851" ht="31.95" customHeight="1" x14ac:dyDescent="0.3"/>
    <row r="852" ht="31.95" customHeight="1" x14ac:dyDescent="0.3"/>
    <row r="853" ht="31.95" customHeight="1" x14ac:dyDescent="0.3"/>
    <row r="854" ht="31.95" customHeight="1" x14ac:dyDescent="0.3"/>
    <row r="855" ht="31.95" customHeight="1" x14ac:dyDescent="0.3"/>
    <row r="856" ht="31.95" customHeight="1" x14ac:dyDescent="0.3"/>
    <row r="857" ht="31.95" customHeight="1" x14ac:dyDescent="0.3"/>
    <row r="858" ht="31.95" customHeight="1" x14ac:dyDescent="0.3"/>
    <row r="859" ht="31.95" customHeight="1" x14ac:dyDescent="0.3"/>
    <row r="860" ht="31.95" customHeight="1" x14ac:dyDescent="0.3"/>
    <row r="861" ht="31.95" customHeight="1" x14ac:dyDescent="0.3"/>
    <row r="862" ht="31.95" customHeight="1" x14ac:dyDescent="0.3"/>
    <row r="863" ht="31.95" customHeight="1" x14ac:dyDescent="0.3"/>
    <row r="864" ht="31.95" customHeight="1" x14ac:dyDescent="0.3"/>
    <row r="865" ht="31.95" customHeight="1" x14ac:dyDescent="0.3"/>
    <row r="866" ht="31.95" customHeight="1" x14ac:dyDescent="0.3"/>
    <row r="867" ht="31.95" customHeight="1" x14ac:dyDescent="0.3"/>
    <row r="868" ht="31.95" customHeight="1" x14ac:dyDescent="0.3"/>
    <row r="869" ht="31.95" customHeight="1" x14ac:dyDescent="0.3"/>
    <row r="870" ht="31.95" customHeight="1" x14ac:dyDescent="0.3"/>
    <row r="871" ht="31.95" customHeight="1" x14ac:dyDescent="0.3"/>
    <row r="872" ht="31.95" customHeight="1" x14ac:dyDescent="0.3"/>
    <row r="873" ht="31.95" customHeight="1" x14ac:dyDescent="0.3"/>
    <row r="874" ht="31.95" customHeight="1" x14ac:dyDescent="0.3"/>
    <row r="875" ht="31.95" customHeight="1" x14ac:dyDescent="0.3"/>
    <row r="876" ht="31.95" customHeight="1" x14ac:dyDescent="0.3"/>
    <row r="877" ht="31.95" customHeight="1" x14ac:dyDescent="0.3"/>
    <row r="878" ht="31.95" customHeight="1" x14ac:dyDescent="0.3"/>
    <row r="879" ht="31.95" customHeight="1" x14ac:dyDescent="0.3"/>
    <row r="880" ht="31.95" customHeight="1" x14ac:dyDescent="0.3"/>
    <row r="881" ht="31.95" customHeight="1" x14ac:dyDescent="0.3"/>
    <row r="882" ht="31.95" customHeight="1" x14ac:dyDescent="0.3"/>
    <row r="883" ht="31.95" customHeight="1" x14ac:dyDescent="0.3"/>
    <row r="884" ht="31.95" customHeight="1" x14ac:dyDescent="0.3"/>
    <row r="885" ht="31.95" customHeight="1" x14ac:dyDescent="0.3"/>
    <row r="886" ht="31.95" customHeight="1" x14ac:dyDescent="0.3"/>
    <row r="887" ht="31.95" customHeight="1" x14ac:dyDescent="0.3"/>
    <row r="888" ht="31.95" customHeight="1" x14ac:dyDescent="0.3"/>
    <row r="889" ht="31.95" customHeight="1" x14ac:dyDescent="0.3"/>
    <row r="890" ht="31.95" customHeight="1" x14ac:dyDescent="0.3"/>
    <row r="891" ht="31.95" customHeight="1" x14ac:dyDescent="0.3"/>
    <row r="892" ht="31.95" customHeight="1" x14ac:dyDescent="0.3"/>
    <row r="893" ht="31.95" customHeight="1" x14ac:dyDescent="0.3"/>
    <row r="894" ht="31.95" customHeight="1" x14ac:dyDescent="0.3"/>
    <row r="895" ht="31.95" customHeight="1" x14ac:dyDescent="0.3"/>
    <row r="896" ht="31.95" customHeight="1" x14ac:dyDescent="0.3"/>
    <row r="897" ht="31.95" customHeight="1" x14ac:dyDescent="0.3"/>
    <row r="898" ht="31.95" customHeight="1" x14ac:dyDescent="0.3"/>
    <row r="899" ht="31.95" customHeight="1" x14ac:dyDescent="0.3"/>
    <row r="900" ht="31.95" customHeight="1" x14ac:dyDescent="0.3"/>
    <row r="901" ht="31.95" customHeight="1" x14ac:dyDescent="0.3"/>
    <row r="902" ht="31.95" customHeight="1" x14ac:dyDescent="0.3"/>
    <row r="903" ht="31.95" customHeight="1" x14ac:dyDescent="0.3"/>
    <row r="904" ht="31.95" customHeight="1" x14ac:dyDescent="0.3"/>
    <row r="905" ht="31.95" customHeight="1" x14ac:dyDescent="0.3"/>
    <row r="906" ht="31.95" customHeight="1" x14ac:dyDescent="0.3"/>
    <row r="907" ht="31.95" customHeight="1" x14ac:dyDescent="0.3"/>
    <row r="908" ht="31.95" customHeight="1" x14ac:dyDescent="0.3"/>
    <row r="909" ht="31.95" customHeight="1" x14ac:dyDescent="0.3"/>
    <row r="910" ht="31.95" customHeight="1" x14ac:dyDescent="0.3"/>
    <row r="911" ht="31.95" customHeight="1" x14ac:dyDescent="0.3"/>
    <row r="912" ht="31.95" customHeight="1" x14ac:dyDescent="0.3"/>
    <row r="913" ht="31.95" customHeight="1" x14ac:dyDescent="0.3"/>
    <row r="914" ht="31.95" customHeight="1" x14ac:dyDescent="0.3"/>
    <row r="915" ht="31.95" customHeight="1" x14ac:dyDescent="0.3"/>
    <row r="916" ht="31.95" customHeight="1" x14ac:dyDescent="0.3"/>
    <row r="917" ht="31.95" customHeight="1" x14ac:dyDescent="0.3"/>
    <row r="918" ht="31.95" customHeight="1" x14ac:dyDescent="0.3"/>
    <row r="919" ht="31.95" customHeight="1" x14ac:dyDescent="0.3"/>
    <row r="920" ht="31.95" customHeight="1" x14ac:dyDescent="0.3"/>
    <row r="921" ht="31.95" customHeight="1" x14ac:dyDescent="0.3"/>
    <row r="922" ht="31.95" customHeight="1" x14ac:dyDescent="0.3"/>
    <row r="923" ht="31.95" customHeight="1" x14ac:dyDescent="0.3"/>
    <row r="924" ht="31.95" customHeight="1" x14ac:dyDescent="0.3"/>
    <row r="925" ht="31.95" customHeight="1" x14ac:dyDescent="0.3"/>
    <row r="926" ht="31.95" customHeight="1" x14ac:dyDescent="0.3"/>
    <row r="927" ht="31.95" customHeight="1" x14ac:dyDescent="0.3"/>
    <row r="928" ht="31.95" customHeight="1" x14ac:dyDescent="0.3"/>
    <row r="929" ht="31.95" customHeight="1" x14ac:dyDescent="0.3"/>
    <row r="930" ht="31.95" customHeight="1" x14ac:dyDescent="0.3"/>
    <row r="931" ht="31.95" customHeight="1" x14ac:dyDescent="0.3"/>
    <row r="932" ht="31.95" customHeight="1" x14ac:dyDescent="0.3"/>
    <row r="933" ht="31.95" customHeight="1" x14ac:dyDescent="0.3"/>
    <row r="934" ht="31.95" customHeight="1" x14ac:dyDescent="0.3"/>
    <row r="935" ht="31.95" customHeight="1" x14ac:dyDescent="0.3"/>
    <row r="936" ht="31.95" customHeight="1" x14ac:dyDescent="0.3"/>
    <row r="937" ht="31.95" customHeight="1" x14ac:dyDescent="0.3"/>
    <row r="938" ht="31.95" customHeight="1" x14ac:dyDescent="0.3"/>
    <row r="939" ht="31.95" customHeight="1" x14ac:dyDescent="0.3"/>
    <row r="940" ht="31.95" customHeight="1" x14ac:dyDescent="0.3"/>
    <row r="941" ht="31.95" customHeight="1" x14ac:dyDescent="0.3"/>
    <row r="942" ht="31.95" customHeight="1" x14ac:dyDescent="0.3"/>
    <row r="943" ht="31.95" customHeight="1" x14ac:dyDescent="0.3"/>
    <row r="944" ht="31.95" customHeight="1" x14ac:dyDescent="0.3"/>
    <row r="945" ht="31.95" customHeight="1" x14ac:dyDescent="0.3"/>
    <row r="946" ht="31.95" customHeight="1" x14ac:dyDescent="0.3"/>
    <row r="947" ht="31.95" customHeight="1" x14ac:dyDescent="0.3"/>
    <row r="948" ht="31.95" customHeight="1" x14ac:dyDescent="0.3"/>
    <row r="949" ht="31.95" customHeight="1" x14ac:dyDescent="0.3"/>
    <row r="950" ht="31.95" customHeight="1" x14ac:dyDescent="0.3"/>
    <row r="951" ht="31.95" customHeight="1" x14ac:dyDescent="0.3"/>
    <row r="952" ht="31.95" customHeight="1" x14ac:dyDescent="0.3"/>
    <row r="953" ht="31.95" customHeight="1" x14ac:dyDescent="0.3"/>
    <row r="954" ht="31.95" customHeight="1" x14ac:dyDescent="0.3"/>
    <row r="955" ht="31.95" customHeight="1" x14ac:dyDescent="0.3"/>
    <row r="956" ht="31.95" customHeight="1" x14ac:dyDescent="0.3"/>
    <row r="957" ht="31.95" customHeight="1" x14ac:dyDescent="0.3"/>
    <row r="958" ht="31.95" customHeight="1" x14ac:dyDescent="0.3"/>
    <row r="959" ht="31.95" customHeight="1" x14ac:dyDescent="0.3"/>
    <row r="960" ht="31.95" customHeight="1" x14ac:dyDescent="0.3"/>
    <row r="961" ht="31.95" customHeight="1" x14ac:dyDescent="0.3"/>
    <row r="962" ht="31.95" customHeight="1" x14ac:dyDescent="0.3"/>
    <row r="963" ht="31.95" customHeight="1" x14ac:dyDescent="0.3"/>
    <row r="964" ht="31.95" customHeight="1" x14ac:dyDescent="0.3"/>
    <row r="965" ht="31.95" customHeight="1" x14ac:dyDescent="0.3"/>
    <row r="966" ht="31.95" customHeight="1" x14ac:dyDescent="0.3"/>
    <row r="967" ht="31.95" customHeight="1" x14ac:dyDescent="0.3"/>
    <row r="968" ht="31.95" customHeight="1" x14ac:dyDescent="0.3"/>
    <row r="969" ht="31.95" customHeight="1" x14ac:dyDescent="0.3"/>
    <row r="970" ht="31.95" customHeight="1" x14ac:dyDescent="0.3"/>
    <row r="971" ht="31.95" customHeight="1" x14ac:dyDescent="0.3"/>
    <row r="972" ht="31.95" customHeight="1" x14ac:dyDescent="0.3"/>
    <row r="973" ht="31.95" customHeight="1" x14ac:dyDescent="0.3"/>
    <row r="974" ht="31.95" customHeight="1" x14ac:dyDescent="0.3"/>
    <row r="975" ht="31.95" customHeight="1" x14ac:dyDescent="0.3"/>
    <row r="976" ht="31.95" customHeight="1" x14ac:dyDescent="0.3"/>
    <row r="977" ht="31.95" customHeight="1" x14ac:dyDescent="0.3"/>
    <row r="978" ht="31.95" customHeight="1" x14ac:dyDescent="0.3"/>
    <row r="979" ht="31.95" customHeight="1" x14ac:dyDescent="0.3"/>
    <row r="980" ht="31.95" customHeight="1" x14ac:dyDescent="0.3"/>
    <row r="981" ht="31.95" customHeight="1" x14ac:dyDescent="0.3"/>
    <row r="982" ht="31.95" customHeight="1" x14ac:dyDescent="0.3"/>
    <row r="983" ht="31.95" customHeight="1" x14ac:dyDescent="0.3"/>
    <row r="984" ht="31.95" customHeight="1" x14ac:dyDescent="0.3"/>
    <row r="985" ht="31.95" customHeight="1" x14ac:dyDescent="0.3"/>
    <row r="986" ht="31.95" customHeight="1" x14ac:dyDescent="0.3"/>
    <row r="987" ht="31.95" customHeight="1" x14ac:dyDescent="0.3"/>
    <row r="988" ht="31.95" customHeight="1" x14ac:dyDescent="0.3"/>
    <row r="989" ht="31.95" customHeight="1" x14ac:dyDescent="0.3"/>
    <row r="990" ht="31.95" customHeight="1" x14ac:dyDescent="0.3"/>
    <row r="991" ht="31.95" customHeight="1" x14ac:dyDescent="0.3"/>
    <row r="992" ht="31.95" customHeight="1" x14ac:dyDescent="0.3"/>
    <row r="993" ht="31.95" customHeight="1" x14ac:dyDescent="0.3"/>
    <row r="994" ht="31.95" customHeight="1" x14ac:dyDescent="0.3"/>
    <row r="995" ht="31.95" customHeight="1" x14ac:dyDescent="0.3"/>
    <row r="996" ht="31.95" customHeight="1" x14ac:dyDescent="0.3"/>
    <row r="997" ht="31.95" customHeight="1" x14ac:dyDescent="0.3"/>
    <row r="998" ht="31.95" customHeight="1" x14ac:dyDescent="0.3"/>
    <row r="999" ht="31.95" customHeight="1" x14ac:dyDescent="0.3"/>
    <row r="1000" ht="31.95" customHeight="1" x14ac:dyDescent="0.3"/>
    <row r="1001" ht="31.95" customHeight="1" x14ac:dyDescent="0.3"/>
    <row r="1002" ht="31.95" customHeight="1" x14ac:dyDescent="0.3"/>
    <row r="1003" ht="31.95" customHeight="1" x14ac:dyDescent="0.3"/>
    <row r="1004" ht="31.95" customHeight="1" x14ac:dyDescent="0.3"/>
    <row r="1005" ht="31.95" customHeight="1" x14ac:dyDescent="0.3"/>
    <row r="1006" ht="31.95" customHeight="1" x14ac:dyDescent="0.3"/>
    <row r="1007" ht="31.95" customHeight="1" x14ac:dyDescent="0.3"/>
    <row r="1008" ht="31.95" customHeight="1" x14ac:dyDescent="0.3"/>
    <row r="1009" ht="31.95" customHeight="1" x14ac:dyDescent="0.3"/>
    <row r="1010" ht="31.95" customHeight="1" x14ac:dyDescent="0.3"/>
    <row r="1011" ht="31.95" customHeight="1" x14ac:dyDescent="0.3"/>
    <row r="1012" ht="31.95" customHeight="1" x14ac:dyDescent="0.3"/>
    <row r="1013" ht="31.95" customHeight="1" x14ac:dyDescent="0.3"/>
    <row r="1014" ht="31.95" customHeight="1" x14ac:dyDescent="0.3"/>
    <row r="1015" ht="31.95" customHeight="1" x14ac:dyDescent="0.3"/>
    <row r="1016" ht="31.95" customHeight="1" x14ac:dyDescent="0.3"/>
    <row r="1017" ht="31.95" customHeight="1" x14ac:dyDescent="0.3"/>
    <row r="1018" ht="31.95" customHeight="1" x14ac:dyDescent="0.3"/>
    <row r="1019" ht="31.95" customHeight="1" x14ac:dyDescent="0.3"/>
    <row r="1020" ht="31.95" customHeight="1" x14ac:dyDescent="0.3"/>
    <row r="1021" ht="31.95" customHeight="1" x14ac:dyDescent="0.3"/>
    <row r="1022" ht="31.95" customHeight="1" x14ac:dyDescent="0.3"/>
    <row r="1023" ht="31.95" customHeight="1" x14ac:dyDescent="0.3"/>
    <row r="1024" ht="31.95" customHeight="1" x14ac:dyDescent="0.3"/>
    <row r="1025" ht="31.95" customHeight="1" x14ac:dyDescent="0.3"/>
    <row r="1026" ht="31.95" customHeight="1" x14ac:dyDescent="0.3"/>
    <row r="1027" ht="31.95" customHeight="1" x14ac:dyDescent="0.3"/>
    <row r="1028" ht="31.95" customHeight="1" x14ac:dyDescent="0.3"/>
    <row r="1029" ht="31.95" customHeight="1" x14ac:dyDescent="0.3"/>
    <row r="1030" ht="31.95" customHeight="1" x14ac:dyDescent="0.3"/>
    <row r="1031" ht="31.95" customHeight="1" x14ac:dyDescent="0.3"/>
    <row r="1032" ht="31.95" customHeight="1" x14ac:dyDescent="0.3"/>
    <row r="1033" ht="31.95" customHeight="1" x14ac:dyDescent="0.3"/>
    <row r="1034" ht="31.95" customHeight="1" x14ac:dyDescent="0.3"/>
    <row r="1035" ht="31.95" customHeight="1" x14ac:dyDescent="0.3"/>
    <row r="1036" ht="31.95" customHeight="1" x14ac:dyDescent="0.3"/>
    <row r="1037" ht="31.95" customHeight="1" x14ac:dyDescent="0.3"/>
    <row r="1038" ht="31.95" customHeight="1" x14ac:dyDescent="0.3"/>
    <row r="1039" ht="31.95" customHeight="1" x14ac:dyDescent="0.3"/>
    <row r="1040" ht="31.95" customHeight="1" x14ac:dyDescent="0.3"/>
    <row r="1041" ht="31.95" customHeight="1" x14ac:dyDescent="0.3"/>
    <row r="1042" ht="31.95" customHeight="1" x14ac:dyDescent="0.3"/>
    <row r="1043" ht="31.95" customHeight="1" x14ac:dyDescent="0.3"/>
    <row r="1044" ht="31.95" customHeight="1" x14ac:dyDescent="0.3"/>
    <row r="1045" ht="31.95" customHeight="1" x14ac:dyDescent="0.3"/>
    <row r="1046" ht="31.95" customHeight="1" x14ac:dyDescent="0.3"/>
    <row r="1047" ht="31.95" customHeight="1" x14ac:dyDescent="0.3"/>
    <row r="1048" ht="31.95" customHeight="1" x14ac:dyDescent="0.3"/>
    <row r="1049" ht="31.95" customHeight="1" x14ac:dyDescent="0.3"/>
    <row r="1050" ht="31.95" customHeight="1" x14ac:dyDescent="0.3"/>
    <row r="1051" ht="31.95" customHeight="1" x14ac:dyDescent="0.3"/>
    <row r="1052" ht="31.95" customHeight="1" x14ac:dyDescent="0.3"/>
    <row r="1053" ht="31.95" customHeight="1" x14ac:dyDescent="0.3"/>
    <row r="1054" ht="31.95" customHeight="1" x14ac:dyDescent="0.3"/>
    <row r="1055" ht="31.95" customHeight="1" x14ac:dyDescent="0.3"/>
    <row r="1056" ht="31.95" customHeight="1" x14ac:dyDescent="0.3"/>
    <row r="1057" ht="31.95" customHeight="1" x14ac:dyDescent="0.3"/>
    <row r="1058" ht="31.95" customHeight="1" x14ac:dyDescent="0.3"/>
    <row r="1059" ht="31.95" customHeight="1" x14ac:dyDescent="0.3"/>
    <row r="1060" ht="31.95" customHeight="1" x14ac:dyDescent="0.3"/>
    <row r="1061" ht="31.95" customHeight="1" x14ac:dyDescent="0.3"/>
    <row r="1062" ht="31.95" customHeight="1" x14ac:dyDescent="0.3"/>
    <row r="1063" ht="31.95" customHeight="1" x14ac:dyDescent="0.3"/>
    <row r="1064" ht="31.95" customHeight="1" x14ac:dyDescent="0.3"/>
    <row r="1065" ht="31.95" customHeight="1" x14ac:dyDescent="0.3"/>
    <row r="1066" ht="31.95" customHeight="1" x14ac:dyDescent="0.3"/>
    <row r="1067" ht="31.95" customHeight="1" x14ac:dyDescent="0.3"/>
    <row r="1068" ht="31.95" customHeight="1" x14ac:dyDescent="0.3"/>
    <row r="1069" ht="31.95" customHeight="1" x14ac:dyDescent="0.3"/>
    <row r="1070" ht="31.95" customHeight="1" x14ac:dyDescent="0.3"/>
    <row r="1071" ht="31.95" customHeight="1" x14ac:dyDescent="0.3"/>
    <row r="1072" ht="31.95" customHeight="1" x14ac:dyDescent="0.3"/>
    <row r="1073" ht="31.95" customHeight="1" x14ac:dyDescent="0.3"/>
    <row r="1074" ht="31.95" customHeight="1" x14ac:dyDescent="0.3"/>
    <row r="1075" ht="31.95" customHeight="1" x14ac:dyDescent="0.3"/>
    <row r="1076" ht="31.95" customHeight="1" x14ac:dyDescent="0.3"/>
    <row r="1077" ht="31.95" customHeight="1" x14ac:dyDescent="0.3"/>
    <row r="1078" ht="31.95" customHeight="1" x14ac:dyDescent="0.3"/>
    <row r="1079" ht="31.95" customHeight="1" x14ac:dyDescent="0.3"/>
    <row r="1080" ht="31.95" customHeight="1" x14ac:dyDescent="0.3"/>
    <row r="1081" ht="31.95" customHeight="1" x14ac:dyDescent="0.3"/>
    <row r="1082" ht="31.95" customHeight="1" x14ac:dyDescent="0.3"/>
    <row r="1083" ht="31.95" customHeight="1" x14ac:dyDescent="0.3"/>
    <row r="1084" ht="31.95" customHeight="1" x14ac:dyDescent="0.3"/>
    <row r="1085" ht="31.95" customHeight="1" x14ac:dyDescent="0.3"/>
    <row r="1086" ht="31.95" customHeight="1" x14ac:dyDescent="0.3"/>
    <row r="1087" ht="31.95" customHeight="1" x14ac:dyDescent="0.3"/>
    <row r="1088" ht="31.95" customHeight="1" x14ac:dyDescent="0.3"/>
    <row r="1089" ht="31.95" customHeight="1" x14ac:dyDescent="0.3"/>
    <row r="1090" ht="31.95" customHeight="1" x14ac:dyDescent="0.3"/>
    <row r="1091" ht="31.95" customHeight="1" x14ac:dyDescent="0.3"/>
    <row r="1092" ht="31.95" customHeight="1" x14ac:dyDescent="0.3"/>
    <row r="1093" ht="31.95" customHeight="1" x14ac:dyDescent="0.3"/>
    <row r="1094" ht="31.95" customHeight="1" x14ac:dyDescent="0.3"/>
    <row r="1095" ht="31.95" customHeight="1" x14ac:dyDescent="0.3"/>
    <row r="1096" ht="31.95" customHeight="1" x14ac:dyDescent="0.3"/>
    <row r="1097" ht="31.95" customHeight="1" x14ac:dyDescent="0.3"/>
    <row r="1098" ht="31.95" customHeight="1" x14ac:dyDescent="0.3"/>
    <row r="1099" ht="31.95" customHeight="1" x14ac:dyDescent="0.3"/>
    <row r="1100" ht="31.95" customHeight="1" x14ac:dyDescent="0.3"/>
    <row r="1101" ht="31.95" customHeight="1" x14ac:dyDescent="0.3"/>
    <row r="1102" ht="31.95" customHeight="1" x14ac:dyDescent="0.3"/>
    <row r="1103" ht="31.95" customHeight="1" x14ac:dyDescent="0.3"/>
    <row r="1104" ht="31.95" customHeight="1" x14ac:dyDescent="0.3"/>
    <row r="1105" ht="31.95" customHeight="1" x14ac:dyDescent="0.3"/>
    <row r="1106" ht="31.95" customHeight="1" x14ac:dyDescent="0.3"/>
    <row r="1107" ht="31.95" customHeight="1" x14ac:dyDescent="0.3"/>
    <row r="1108" ht="31.95" customHeight="1" x14ac:dyDescent="0.3"/>
    <row r="1109" ht="31.95" customHeight="1" x14ac:dyDescent="0.3"/>
    <row r="1110" ht="31.95" customHeight="1" x14ac:dyDescent="0.3"/>
    <row r="1111" ht="31.95" customHeight="1" x14ac:dyDescent="0.3"/>
    <row r="1112" ht="31.95" customHeight="1" x14ac:dyDescent="0.3"/>
    <row r="1113" ht="31.95" customHeight="1" x14ac:dyDescent="0.3"/>
    <row r="1114" ht="31.95" customHeight="1" x14ac:dyDescent="0.3"/>
    <row r="1115" ht="31.95" customHeight="1" x14ac:dyDescent="0.3"/>
    <row r="1116" ht="31.95" customHeight="1" x14ac:dyDescent="0.3"/>
    <row r="1117" ht="31.95" customHeight="1" x14ac:dyDescent="0.3"/>
    <row r="1118" ht="31.95" customHeight="1" x14ac:dyDescent="0.3"/>
    <row r="1119" ht="31.95" customHeight="1" x14ac:dyDescent="0.3"/>
    <row r="1120" ht="31.95" customHeight="1" x14ac:dyDescent="0.3"/>
    <row r="1121" ht="31.95" customHeight="1" x14ac:dyDescent="0.3"/>
    <row r="1122" ht="31.95" customHeight="1" x14ac:dyDescent="0.3"/>
    <row r="1123" ht="31.95" customHeight="1" x14ac:dyDescent="0.3"/>
    <row r="1124" ht="31.95" customHeight="1" x14ac:dyDescent="0.3"/>
    <row r="1125" ht="31.95" customHeight="1" x14ac:dyDescent="0.3"/>
    <row r="1126" ht="31.95" customHeight="1" x14ac:dyDescent="0.3"/>
    <row r="1127" ht="31.95" customHeight="1" x14ac:dyDescent="0.3"/>
    <row r="1128" ht="31.95" customHeight="1" x14ac:dyDescent="0.3"/>
    <row r="1129" ht="31.95" customHeight="1" x14ac:dyDescent="0.3"/>
    <row r="1130" ht="31.95" customHeight="1" x14ac:dyDescent="0.3"/>
    <row r="1131" ht="31.95" customHeight="1" x14ac:dyDescent="0.3"/>
    <row r="1132" ht="31.95" customHeight="1" x14ac:dyDescent="0.3"/>
    <row r="1133" ht="31.95" customHeight="1" x14ac:dyDescent="0.3"/>
    <row r="1134" ht="31.95" customHeight="1" x14ac:dyDescent="0.3"/>
    <row r="1135" ht="31.95" customHeight="1" x14ac:dyDescent="0.3"/>
    <row r="1136" ht="31.95" customHeight="1" x14ac:dyDescent="0.3"/>
    <row r="1137" ht="31.95" customHeight="1" x14ac:dyDescent="0.3"/>
    <row r="1138" ht="31.95" customHeight="1" x14ac:dyDescent="0.3"/>
    <row r="1139" ht="31.95" customHeight="1" x14ac:dyDescent="0.3"/>
    <row r="1140" ht="31.95" customHeight="1" x14ac:dyDescent="0.3"/>
    <row r="1141" ht="31.95" customHeight="1" x14ac:dyDescent="0.3"/>
    <row r="1142" ht="31.95" customHeight="1" x14ac:dyDescent="0.3"/>
    <row r="1143" ht="31.95" customHeight="1" x14ac:dyDescent="0.3"/>
    <row r="1144" ht="31.95" customHeight="1" x14ac:dyDescent="0.3"/>
    <row r="1145" ht="31.95" customHeight="1" x14ac:dyDescent="0.3"/>
    <row r="1146" ht="31.95" customHeight="1" x14ac:dyDescent="0.3"/>
    <row r="1147" ht="31.95" customHeight="1" x14ac:dyDescent="0.3"/>
    <row r="1148" ht="31.95" customHeight="1" x14ac:dyDescent="0.3"/>
    <row r="1149" ht="31.95" customHeight="1" x14ac:dyDescent="0.3"/>
    <row r="1150" ht="31.95" customHeight="1" x14ac:dyDescent="0.3"/>
    <row r="1151" ht="31.95" customHeight="1" x14ac:dyDescent="0.3"/>
    <row r="1152" ht="31.95" customHeight="1" x14ac:dyDescent="0.3"/>
    <row r="1153" ht="31.95" customHeight="1" x14ac:dyDescent="0.3"/>
    <row r="1154" ht="31.95" customHeight="1" x14ac:dyDescent="0.3"/>
    <row r="1155" ht="31.95" customHeight="1" x14ac:dyDescent="0.3"/>
    <row r="1156" ht="31.95" customHeight="1" x14ac:dyDescent="0.3"/>
    <row r="1157" ht="31.95" customHeight="1" x14ac:dyDescent="0.3"/>
    <row r="1158" ht="31.95" customHeight="1" x14ac:dyDescent="0.3"/>
    <row r="1159" ht="31.95" customHeight="1" x14ac:dyDescent="0.3"/>
    <row r="1160" ht="31.95" customHeight="1" x14ac:dyDescent="0.3"/>
    <row r="1161" ht="31.95" customHeight="1" x14ac:dyDescent="0.3"/>
    <row r="1162" ht="31.95" customHeight="1" x14ac:dyDescent="0.3"/>
    <row r="1163" ht="31.95" customHeight="1" x14ac:dyDescent="0.3"/>
    <row r="1164" ht="31.95" customHeight="1" x14ac:dyDescent="0.3"/>
    <row r="1165" ht="31.95" customHeight="1" x14ac:dyDescent="0.3"/>
    <row r="1166" ht="31.95" customHeight="1" x14ac:dyDescent="0.3"/>
    <row r="1167" ht="31.95" customHeight="1" x14ac:dyDescent="0.3"/>
    <row r="1168" ht="31.95" customHeight="1" x14ac:dyDescent="0.3"/>
    <row r="1169" ht="31.95" customHeight="1" x14ac:dyDescent="0.3"/>
    <row r="1170" ht="31.95" customHeight="1" x14ac:dyDescent="0.3"/>
    <row r="1171" ht="31.95" customHeight="1" x14ac:dyDescent="0.3"/>
    <row r="1172" ht="31.95" customHeight="1" x14ac:dyDescent="0.3"/>
    <row r="1173" ht="31.95" customHeight="1" x14ac:dyDescent="0.3"/>
    <row r="1174" ht="31.95" customHeight="1" x14ac:dyDescent="0.3"/>
    <row r="1175" ht="31.95" customHeight="1" x14ac:dyDescent="0.3"/>
    <row r="1176" ht="31.95" customHeight="1" x14ac:dyDescent="0.3"/>
    <row r="1177" ht="31.95" customHeight="1" x14ac:dyDescent="0.3"/>
    <row r="1178" ht="31.95" customHeight="1" x14ac:dyDescent="0.3"/>
    <row r="1179" ht="31.95" customHeight="1" x14ac:dyDescent="0.3"/>
    <row r="1180" ht="31.95" customHeight="1" x14ac:dyDescent="0.3"/>
    <row r="1181" ht="31.95" customHeight="1" x14ac:dyDescent="0.3"/>
    <row r="1182" ht="31.95" customHeight="1" x14ac:dyDescent="0.3"/>
    <row r="1183" ht="31.95" customHeight="1" x14ac:dyDescent="0.3"/>
    <row r="1184" ht="31.95" customHeight="1" x14ac:dyDescent="0.3"/>
    <row r="1185" ht="31.95" customHeight="1" x14ac:dyDescent="0.3"/>
    <row r="1186" ht="31.95" customHeight="1" x14ac:dyDescent="0.3"/>
    <row r="1187" ht="31.95" customHeight="1" x14ac:dyDescent="0.3"/>
    <row r="1188" ht="31.95" customHeight="1" x14ac:dyDescent="0.3"/>
    <row r="1189" ht="31.95" customHeight="1" x14ac:dyDescent="0.3"/>
    <row r="1190" ht="31.95" customHeight="1" x14ac:dyDescent="0.3"/>
    <row r="1191" ht="31.95" customHeight="1" x14ac:dyDescent="0.3"/>
    <row r="1192" ht="31.95" customHeight="1" x14ac:dyDescent="0.3"/>
    <row r="1193" ht="31.95" customHeight="1" x14ac:dyDescent="0.3"/>
    <row r="1194" ht="31.95" customHeight="1" x14ac:dyDescent="0.3"/>
    <row r="1195" ht="31.95" customHeight="1" x14ac:dyDescent="0.3"/>
    <row r="1196" ht="31.95" customHeight="1" x14ac:dyDescent="0.3"/>
    <row r="1197" ht="31.95" customHeight="1" x14ac:dyDescent="0.3"/>
    <row r="1198" ht="31.95" customHeight="1" x14ac:dyDescent="0.3"/>
    <row r="1199" ht="31.95" customHeight="1" x14ac:dyDescent="0.3"/>
    <row r="1200" ht="31.95" customHeight="1" x14ac:dyDescent="0.3"/>
    <row r="1201" ht="31.95" customHeight="1" x14ac:dyDescent="0.3"/>
    <row r="1202" ht="31.95" customHeight="1" x14ac:dyDescent="0.3"/>
    <row r="1203" ht="31.95" customHeight="1" x14ac:dyDescent="0.3"/>
    <row r="1204" ht="31.95" customHeight="1" x14ac:dyDescent="0.3"/>
    <row r="1205" ht="31.95" customHeight="1" x14ac:dyDescent="0.3"/>
    <row r="1206" ht="31.95" customHeight="1" x14ac:dyDescent="0.3"/>
    <row r="1207" ht="31.95" customHeight="1" x14ac:dyDescent="0.3"/>
    <row r="1208" ht="31.95" customHeight="1" x14ac:dyDescent="0.3"/>
    <row r="1209" ht="31.95" customHeight="1" x14ac:dyDescent="0.3"/>
    <row r="1210" ht="31.95" customHeight="1" x14ac:dyDescent="0.3"/>
    <row r="1211" ht="31.95" customHeight="1" x14ac:dyDescent="0.3"/>
    <row r="1212" ht="31.95" customHeight="1" x14ac:dyDescent="0.3"/>
    <row r="1213" ht="31.95" customHeight="1" x14ac:dyDescent="0.3"/>
    <row r="1214" ht="31.95" customHeight="1" x14ac:dyDescent="0.3"/>
    <row r="1215" ht="31.95" customHeight="1" x14ac:dyDescent="0.3"/>
    <row r="1216" ht="31.95" customHeight="1" x14ac:dyDescent="0.3"/>
    <row r="1217" ht="31.95" customHeight="1" x14ac:dyDescent="0.3"/>
    <row r="1218" ht="31.95" customHeight="1" x14ac:dyDescent="0.3"/>
    <row r="1219" ht="31.95" customHeight="1" x14ac:dyDescent="0.3"/>
    <row r="1220" ht="31.95" customHeight="1" x14ac:dyDescent="0.3"/>
    <row r="1221" ht="31.95" customHeight="1" x14ac:dyDescent="0.3"/>
    <row r="1222" ht="31.95" customHeight="1" x14ac:dyDescent="0.3"/>
    <row r="1223" ht="31.95" customHeight="1" x14ac:dyDescent="0.3"/>
    <row r="1224" ht="31.95" customHeight="1" x14ac:dyDescent="0.3"/>
    <row r="1225" ht="31.95" customHeight="1" x14ac:dyDescent="0.3"/>
    <row r="1226" ht="31.95" customHeight="1" x14ac:dyDescent="0.3"/>
    <row r="1227" ht="31.95" customHeight="1" x14ac:dyDescent="0.3"/>
    <row r="1228" ht="31.95" customHeight="1" x14ac:dyDescent="0.3"/>
    <row r="1229" ht="31.95" customHeight="1" x14ac:dyDescent="0.3"/>
    <row r="1230" ht="31.95" customHeight="1" x14ac:dyDescent="0.3"/>
    <row r="1231" ht="31.95" customHeight="1" x14ac:dyDescent="0.3"/>
    <row r="1232" ht="31.95" customHeight="1" x14ac:dyDescent="0.3"/>
    <row r="1233" ht="31.95" customHeight="1" x14ac:dyDescent="0.3"/>
    <row r="1234" ht="31.95" customHeight="1" x14ac:dyDescent="0.3"/>
    <row r="1235" ht="31.95" customHeight="1" x14ac:dyDescent="0.3"/>
    <row r="1236" ht="31.95" customHeight="1" x14ac:dyDescent="0.3"/>
    <row r="1237" ht="31.95" customHeight="1" x14ac:dyDescent="0.3"/>
    <row r="1238" ht="31.95" customHeight="1" x14ac:dyDescent="0.3"/>
    <row r="1239" ht="31.95" customHeight="1" x14ac:dyDescent="0.3"/>
    <row r="1240" ht="31.95" customHeight="1" x14ac:dyDescent="0.3"/>
    <row r="1241" ht="31.95" customHeight="1" x14ac:dyDescent="0.3"/>
    <row r="1242" ht="31.95" customHeight="1" x14ac:dyDescent="0.3"/>
    <row r="1243" ht="31.95" customHeight="1" x14ac:dyDescent="0.3"/>
    <row r="1244" ht="31.95" customHeight="1" x14ac:dyDescent="0.3"/>
    <row r="1245" ht="31.95" customHeight="1" x14ac:dyDescent="0.3"/>
    <row r="1246" ht="31.95" customHeight="1" x14ac:dyDescent="0.3"/>
    <row r="1247" ht="31.95" customHeight="1" x14ac:dyDescent="0.3"/>
    <row r="1248" ht="31.95" customHeight="1" x14ac:dyDescent="0.3"/>
    <row r="1249" ht="31.95" customHeight="1" x14ac:dyDescent="0.3"/>
    <row r="1250" ht="31.95" customHeight="1" x14ac:dyDescent="0.3"/>
    <row r="1251" ht="31.95" customHeight="1" x14ac:dyDescent="0.3"/>
    <row r="1252" ht="31.95" customHeight="1" x14ac:dyDescent="0.3"/>
    <row r="1253" ht="31.95" customHeight="1" x14ac:dyDescent="0.3"/>
    <row r="1254" ht="31.95" customHeight="1" x14ac:dyDescent="0.3"/>
    <row r="1255" ht="31.95" customHeight="1" x14ac:dyDescent="0.3"/>
    <row r="1256" ht="31.95" customHeight="1" x14ac:dyDescent="0.3"/>
    <row r="1257" ht="31.95" customHeight="1" x14ac:dyDescent="0.3"/>
    <row r="1258" ht="31.95" customHeight="1" x14ac:dyDescent="0.3"/>
    <row r="1259" ht="31.95" customHeight="1" x14ac:dyDescent="0.3"/>
    <row r="1260" ht="31.95" customHeight="1" x14ac:dyDescent="0.3"/>
    <row r="1261" ht="31.95" customHeight="1" x14ac:dyDescent="0.3"/>
    <row r="1262" ht="31.95" customHeight="1" x14ac:dyDescent="0.3"/>
    <row r="1263" ht="31.95" customHeight="1" x14ac:dyDescent="0.3"/>
    <row r="1264" ht="31.95" customHeight="1" x14ac:dyDescent="0.3"/>
    <row r="1265" ht="31.95" customHeight="1" x14ac:dyDescent="0.3"/>
    <row r="1266" ht="31.95" customHeight="1" x14ac:dyDescent="0.3"/>
    <row r="1267" ht="31.95" customHeight="1" x14ac:dyDescent="0.3"/>
    <row r="1268" ht="31.95" customHeight="1" x14ac:dyDescent="0.3"/>
    <row r="1269" ht="31.95" customHeight="1" x14ac:dyDescent="0.3"/>
    <row r="1270" ht="31.95" customHeight="1" x14ac:dyDescent="0.3"/>
    <row r="1271" ht="31.95" customHeight="1" x14ac:dyDescent="0.3"/>
    <row r="1272" ht="31.95" customHeight="1" x14ac:dyDescent="0.3"/>
    <row r="1273" ht="31.95" customHeight="1" x14ac:dyDescent="0.3"/>
    <row r="1274" ht="31.95" customHeight="1" x14ac:dyDescent="0.3"/>
    <row r="1275" ht="31.95" customHeight="1" x14ac:dyDescent="0.3"/>
    <row r="1276" ht="31.95" customHeight="1" x14ac:dyDescent="0.3"/>
    <row r="1277" ht="31.95" customHeight="1" x14ac:dyDescent="0.3"/>
    <row r="1278" ht="31.95" customHeight="1" x14ac:dyDescent="0.3"/>
    <row r="1279" ht="31.95" customHeight="1" x14ac:dyDescent="0.3"/>
    <row r="1280" ht="31.95" customHeight="1" x14ac:dyDescent="0.3"/>
    <row r="1281" ht="31.95" customHeight="1" x14ac:dyDescent="0.3"/>
    <row r="1282" ht="31.95" customHeight="1" x14ac:dyDescent="0.3"/>
    <row r="1283" ht="31.95" customHeight="1" x14ac:dyDescent="0.3"/>
    <row r="1284" ht="31.95" customHeight="1" x14ac:dyDescent="0.3"/>
    <row r="1285" ht="31.95" customHeight="1" x14ac:dyDescent="0.3"/>
    <row r="1286" ht="31.95" customHeight="1" x14ac:dyDescent="0.3"/>
    <row r="1287" ht="31.95" customHeight="1" x14ac:dyDescent="0.3"/>
    <row r="1288" ht="31.95" customHeight="1" x14ac:dyDescent="0.3"/>
    <row r="1289" ht="31.95" customHeight="1" x14ac:dyDescent="0.3"/>
    <row r="1290" ht="31.95" customHeight="1" x14ac:dyDescent="0.3"/>
    <row r="1291" ht="31.95" customHeight="1" x14ac:dyDescent="0.3"/>
    <row r="1292" ht="31.95" customHeight="1" x14ac:dyDescent="0.3"/>
    <row r="1293" ht="31.95" customHeight="1" x14ac:dyDescent="0.3"/>
    <row r="1294" ht="31.95" customHeight="1" x14ac:dyDescent="0.3"/>
    <row r="1295" ht="31.95" customHeight="1" x14ac:dyDescent="0.3"/>
    <row r="1296" ht="31.95" customHeight="1" x14ac:dyDescent="0.3"/>
    <row r="1297" ht="31.95" customHeight="1" x14ac:dyDescent="0.3"/>
    <row r="1298" ht="31.95" customHeight="1" x14ac:dyDescent="0.3"/>
    <row r="1299" ht="31.95" customHeight="1" x14ac:dyDescent="0.3"/>
    <row r="1300" ht="31.95" customHeight="1" x14ac:dyDescent="0.3"/>
    <row r="1301" ht="31.95" customHeight="1" x14ac:dyDescent="0.3"/>
    <row r="1302" ht="31.95" customHeight="1" x14ac:dyDescent="0.3"/>
    <row r="1303" ht="31.95" customHeight="1" x14ac:dyDescent="0.3"/>
    <row r="1304" ht="31.95" customHeight="1" x14ac:dyDescent="0.3"/>
    <row r="1305" ht="31.95" customHeight="1" x14ac:dyDescent="0.3"/>
    <row r="1306" ht="31.95" customHeight="1" x14ac:dyDescent="0.3"/>
    <row r="1307" ht="31.95" customHeight="1" x14ac:dyDescent="0.3"/>
    <row r="1308" ht="31.95" customHeight="1" x14ac:dyDescent="0.3"/>
    <row r="1309" ht="31.95" customHeight="1" x14ac:dyDescent="0.3"/>
    <row r="1310" ht="31.95" customHeight="1" x14ac:dyDescent="0.3"/>
    <row r="1311" ht="31.95" customHeight="1" x14ac:dyDescent="0.3"/>
    <row r="1312" ht="31.95" customHeight="1" x14ac:dyDescent="0.3"/>
    <row r="1313" ht="31.95" customHeight="1" x14ac:dyDescent="0.3"/>
    <row r="1314" ht="31.95" customHeight="1" x14ac:dyDescent="0.3"/>
    <row r="1315" ht="31.95" customHeight="1" x14ac:dyDescent="0.3"/>
    <row r="1316" ht="31.95" customHeight="1" x14ac:dyDescent="0.3"/>
    <row r="1317" ht="31.95" customHeight="1" x14ac:dyDescent="0.3"/>
    <row r="1318" ht="31.95" customHeight="1" x14ac:dyDescent="0.3"/>
    <row r="1319" ht="31.95" customHeight="1" x14ac:dyDescent="0.3"/>
    <row r="1320" ht="31.95" customHeight="1" x14ac:dyDescent="0.3"/>
    <row r="1321" ht="31.95" customHeight="1" x14ac:dyDescent="0.3"/>
    <row r="1322" ht="31.95" customHeight="1" x14ac:dyDescent="0.3"/>
    <row r="1323" ht="31.95" customHeight="1" x14ac:dyDescent="0.3"/>
    <row r="1324" ht="31.95" customHeight="1" x14ac:dyDescent="0.3"/>
    <row r="1325" ht="31.95" customHeight="1" x14ac:dyDescent="0.3"/>
    <row r="1326" ht="31.95" customHeight="1" x14ac:dyDescent="0.3"/>
    <row r="1327" ht="31.95" customHeight="1" x14ac:dyDescent="0.3"/>
    <row r="1328" ht="31.95" customHeight="1" x14ac:dyDescent="0.3"/>
    <row r="1329" ht="31.95" customHeight="1" x14ac:dyDescent="0.3"/>
    <row r="1330" ht="31.95" customHeight="1" x14ac:dyDescent="0.3"/>
    <row r="1331" ht="31.95" customHeight="1" x14ac:dyDescent="0.3"/>
    <row r="1332" ht="31.95" customHeight="1" x14ac:dyDescent="0.3"/>
    <row r="1333" ht="31.95" customHeight="1" x14ac:dyDescent="0.3"/>
    <row r="1334" ht="31.95" customHeight="1" x14ac:dyDescent="0.3"/>
    <row r="1335" ht="31.95" customHeight="1" x14ac:dyDescent="0.3"/>
    <row r="1336" ht="31.95" customHeight="1" x14ac:dyDescent="0.3"/>
    <row r="1337" ht="31.95" customHeight="1" x14ac:dyDescent="0.3"/>
    <row r="1338" ht="31.95" customHeight="1" x14ac:dyDescent="0.3"/>
    <row r="1339" ht="31.95" customHeight="1" x14ac:dyDescent="0.3"/>
    <row r="1340" ht="31.95" customHeight="1" x14ac:dyDescent="0.3"/>
    <row r="1341" ht="31.95" customHeight="1" x14ac:dyDescent="0.3"/>
    <row r="1342" ht="31.95" customHeight="1" x14ac:dyDescent="0.3"/>
    <row r="1343" ht="31.95" customHeight="1" x14ac:dyDescent="0.3"/>
    <row r="1344" ht="31.95" customHeight="1" x14ac:dyDescent="0.3"/>
    <row r="1345" ht="31.95" customHeight="1" x14ac:dyDescent="0.3"/>
    <row r="1346" ht="31.95" customHeight="1" x14ac:dyDescent="0.3"/>
    <row r="1347" ht="31.95" customHeight="1" x14ac:dyDescent="0.3"/>
    <row r="1348" ht="31.95" customHeight="1" x14ac:dyDescent="0.3"/>
    <row r="1349" ht="31.95" customHeight="1" x14ac:dyDescent="0.3"/>
    <row r="1350" ht="31.95" customHeight="1" x14ac:dyDescent="0.3"/>
    <row r="1351" ht="31.95" customHeight="1" x14ac:dyDescent="0.3"/>
    <row r="1352" ht="31.95" customHeight="1" x14ac:dyDescent="0.3"/>
    <row r="1353" ht="31.95" customHeight="1" x14ac:dyDescent="0.3"/>
    <row r="1354" ht="31.95" customHeight="1" x14ac:dyDescent="0.3"/>
    <row r="1355" ht="31.95" customHeight="1" x14ac:dyDescent="0.3"/>
    <row r="1356" ht="31.95" customHeight="1" x14ac:dyDescent="0.3"/>
    <row r="1357" ht="31.95" customHeight="1" x14ac:dyDescent="0.3"/>
    <row r="1358" ht="31.95" customHeight="1" x14ac:dyDescent="0.3"/>
    <row r="1359" ht="31.95" customHeight="1" x14ac:dyDescent="0.3"/>
    <row r="1360" ht="31.95" customHeight="1" x14ac:dyDescent="0.3"/>
    <row r="1361" ht="31.95" customHeight="1" x14ac:dyDescent="0.3"/>
    <row r="1362" ht="31.95" customHeight="1" x14ac:dyDescent="0.3"/>
    <row r="1363" ht="31.95" customHeight="1" x14ac:dyDescent="0.3"/>
    <row r="1364" ht="31.95" customHeight="1" x14ac:dyDescent="0.3"/>
    <row r="1365" ht="31.95" customHeight="1" x14ac:dyDescent="0.3"/>
    <row r="1366" ht="31.95" customHeight="1" x14ac:dyDescent="0.3"/>
    <row r="1367" ht="31.95" customHeight="1" x14ac:dyDescent="0.3"/>
    <row r="1368" ht="31.95" customHeight="1" x14ac:dyDescent="0.3"/>
    <row r="1369" ht="31.95" customHeight="1" x14ac:dyDescent="0.3"/>
    <row r="1370" ht="31.95" customHeight="1" x14ac:dyDescent="0.3"/>
    <row r="1371" ht="31.95" customHeight="1" x14ac:dyDescent="0.3"/>
    <row r="1372" ht="31.95" customHeight="1" x14ac:dyDescent="0.3"/>
    <row r="1373" ht="31.95" customHeight="1" x14ac:dyDescent="0.3"/>
    <row r="1374" ht="31.95" customHeight="1" x14ac:dyDescent="0.3"/>
    <row r="1375" ht="31.95" customHeight="1" x14ac:dyDescent="0.3"/>
    <row r="1376" ht="31.95" customHeight="1" x14ac:dyDescent="0.3"/>
    <row r="1377" ht="31.95" customHeight="1" x14ac:dyDescent="0.3"/>
    <row r="1378" ht="31.95" customHeight="1" x14ac:dyDescent="0.3"/>
    <row r="1379" ht="31.95" customHeight="1" x14ac:dyDescent="0.3"/>
    <row r="1380" ht="31.95" customHeight="1" x14ac:dyDescent="0.3"/>
    <row r="1381" ht="31.95" customHeight="1" x14ac:dyDescent="0.3"/>
    <row r="1382" ht="31.95" customHeight="1" x14ac:dyDescent="0.3"/>
    <row r="1383" ht="31.95" customHeight="1" x14ac:dyDescent="0.3"/>
    <row r="1384" ht="31.95" customHeight="1" x14ac:dyDescent="0.3"/>
    <row r="1385" ht="31.95" customHeight="1" x14ac:dyDescent="0.3"/>
    <row r="1386" ht="31.95" customHeight="1" x14ac:dyDescent="0.3"/>
    <row r="1387" ht="31.95" customHeight="1" x14ac:dyDescent="0.3"/>
    <row r="1388" ht="31.95" customHeight="1" x14ac:dyDescent="0.3"/>
    <row r="1389" ht="31.95" customHeight="1" x14ac:dyDescent="0.3"/>
    <row r="1390" ht="31.95" customHeight="1" x14ac:dyDescent="0.3"/>
    <row r="1391" ht="31.95" customHeight="1" x14ac:dyDescent="0.3"/>
    <row r="1392" ht="31.95" customHeight="1" x14ac:dyDescent="0.3"/>
    <row r="1393" ht="31.95" customHeight="1" x14ac:dyDescent="0.3"/>
    <row r="1394" ht="31.95" customHeight="1" x14ac:dyDescent="0.3"/>
    <row r="1395" ht="31.95" customHeight="1" x14ac:dyDescent="0.3"/>
    <row r="1396" ht="31.95" customHeight="1" x14ac:dyDescent="0.3"/>
    <row r="1397" ht="31.95" customHeight="1" x14ac:dyDescent="0.3"/>
    <row r="1398" ht="31.95" customHeight="1" x14ac:dyDescent="0.3"/>
    <row r="1399" ht="31.95" customHeight="1" x14ac:dyDescent="0.3"/>
    <row r="1400" ht="31.95" customHeight="1" x14ac:dyDescent="0.3"/>
    <row r="1401" ht="31.95" customHeight="1" x14ac:dyDescent="0.3"/>
    <row r="1402" ht="31.95" customHeight="1" x14ac:dyDescent="0.3"/>
    <row r="1403" ht="31.95" customHeight="1" x14ac:dyDescent="0.3"/>
    <row r="1404" ht="31.95" customHeight="1" x14ac:dyDescent="0.3"/>
    <row r="1405" ht="31.95" customHeight="1" x14ac:dyDescent="0.3"/>
    <row r="1406" ht="31.95" customHeight="1" x14ac:dyDescent="0.3"/>
    <row r="1407" ht="31.95" customHeight="1" x14ac:dyDescent="0.3"/>
    <row r="1408" ht="31.95" customHeight="1" x14ac:dyDescent="0.3"/>
    <row r="1409" ht="31.95" customHeight="1" x14ac:dyDescent="0.3"/>
    <row r="1410" ht="31.95" customHeight="1" x14ac:dyDescent="0.3"/>
    <row r="1411" ht="31.95" customHeight="1" x14ac:dyDescent="0.3"/>
    <row r="1412" ht="31.95" customHeight="1" x14ac:dyDescent="0.3"/>
    <row r="1413" ht="31.95" customHeight="1" x14ac:dyDescent="0.3"/>
  </sheetData>
  <mergeCells count="107">
    <mergeCell ref="B66:B68"/>
    <mergeCell ref="C66:E66"/>
    <mergeCell ref="F66:G66"/>
    <mergeCell ref="H66:H68"/>
    <mergeCell ref="I66:I68"/>
    <mergeCell ref="J66:J68"/>
    <mergeCell ref="C60:E60"/>
    <mergeCell ref="F60:G60"/>
    <mergeCell ref="B61:B63"/>
    <mergeCell ref="C61:E61"/>
    <mergeCell ref="F61:G61"/>
    <mergeCell ref="H61:H63"/>
    <mergeCell ref="I61:I63"/>
    <mergeCell ref="J61:J63"/>
    <mergeCell ref="C55:E55"/>
    <mergeCell ref="F55:G55"/>
    <mergeCell ref="B56:B58"/>
    <mergeCell ref="C56:E56"/>
    <mergeCell ref="F56:G56"/>
    <mergeCell ref="H56:H58"/>
    <mergeCell ref="I56:I58"/>
    <mergeCell ref="J56:J58"/>
    <mergeCell ref="C65:E65"/>
    <mergeCell ref="F65:G65"/>
    <mergeCell ref="C50:E50"/>
    <mergeCell ref="F50:G50"/>
    <mergeCell ref="B51:B53"/>
    <mergeCell ref="C51:E51"/>
    <mergeCell ref="F51:G51"/>
    <mergeCell ref="H51:H53"/>
    <mergeCell ref="I41:I43"/>
    <mergeCell ref="J41:J43"/>
    <mergeCell ref="C45:E45"/>
    <mergeCell ref="F45:G45"/>
    <mergeCell ref="B46:B48"/>
    <mergeCell ref="C46:E46"/>
    <mergeCell ref="F46:G46"/>
    <mergeCell ref="H46:H48"/>
    <mergeCell ref="I46:I48"/>
    <mergeCell ref="J46:J48"/>
    <mergeCell ref="I51:I53"/>
    <mergeCell ref="J51:J53"/>
    <mergeCell ref="C40:E40"/>
    <mergeCell ref="F40:G40"/>
    <mergeCell ref="B41:B43"/>
    <mergeCell ref="C41:E41"/>
    <mergeCell ref="F41:G41"/>
    <mergeCell ref="H41:H43"/>
    <mergeCell ref="I31:I33"/>
    <mergeCell ref="J31:J33"/>
    <mergeCell ref="C35:E35"/>
    <mergeCell ref="F35:G35"/>
    <mergeCell ref="B36:B38"/>
    <mergeCell ref="C36:E36"/>
    <mergeCell ref="F36:G36"/>
    <mergeCell ref="H36:H38"/>
    <mergeCell ref="I36:I38"/>
    <mergeCell ref="J36:J38"/>
    <mergeCell ref="C30:E30"/>
    <mergeCell ref="F30:G30"/>
    <mergeCell ref="B31:B33"/>
    <mergeCell ref="C31:E31"/>
    <mergeCell ref="F31:G31"/>
    <mergeCell ref="H31:H33"/>
    <mergeCell ref="I21:I23"/>
    <mergeCell ref="J21:J23"/>
    <mergeCell ref="C25:E25"/>
    <mergeCell ref="F25:G25"/>
    <mergeCell ref="B26:B28"/>
    <mergeCell ref="C26:E26"/>
    <mergeCell ref="F26:G26"/>
    <mergeCell ref="H26:H28"/>
    <mergeCell ref="I26:I28"/>
    <mergeCell ref="J26:J28"/>
    <mergeCell ref="B21:B23"/>
    <mergeCell ref="C21:E21"/>
    <mergeCell ref="F21:G21"/>
    <mergeCell ref="H21:H23"/>
    <mergeCell ref="I11:I13"/>
    <mergeCell ref="J11:J13"/>
    <mergeCell ref="C15:E15"/>
    <mergeCell ref="F15:G15"/>
    <mergeCell ref="B16:B18"/>
    <mergeCell ref="C16:E16"/>
    <mergeCell ref="F16:G16"/>
    <mergeCell ref="H16:H18"/>
    <mergeCell ref="I16:I18"/>
    <mergeCell ref="J16:J18"/>
    <mergeCell ref="C10:E10"/>
    <mergeCell ref="F10:G10"/>
    <mergeCell ref="B11:B13"/>
    <mergeCell ref="C11:E11"/>
    <mergeCell ref="F11:G11"/>
    <mergeCell ref="H11:H13"/>
    <mergeCell ref="B4:D4"/>
    <mergeCell ref="E4:H4"/>
    <mergeCell ref="C20:E20"/>
    <mergeCell ref="F20:G20"/>
    <mergeCell ref="J4:J8"/>
    <mergeCell ref="B5:D5"/>
    <mergeCell ref="E5:H5"/>
    <mergeCell ref="B6:D6"/>
    <mergeCell ref="E6:H6"/>
    <mergeCell ref="B7:D7"/>
    <mergeCell ref="E7:H7"/>
    <mergeCell ref="B8:D8"/>
    <mergeCell ref="E8:H8"/>
  </mergeCells>
  <conditionalFormatting sqref="E6:H6">
    <cfRule type="containsText" dxfId="1" priority="1" operator="containsText" text="Dentro da meta">
      <formula>NOT(ISERROR(SEARCH("Dentro da meta",E6)))</formula>
    </cfRule>
    <cfRule type="containsText" dxfId="0" priority="2" operator="containsText" text="Fora da meta">
      <formula>NOT(ISERROR(SEARCH("Fora da meta",E6)))</formula>
    </cfRule>
  </conditionalFormatting>
  <dataValidations count="1">
    <dataValidation type="list" allowBlank="1" showInputMessage="1" showErrorMessage="1" sqref="E4:H4" xr:uid="{D7178D2D-2613-4D22-88D7-CE1EA35A9B02}">
      <formula1>$Z$4:$Z$6</formula1>
    </dataValidation>
  </dataValidations>
  <hyperlinks>
    <hyperlink ref="A1" location="'Ordem de compra'!A1" display="'Ordem de compra'!A1" xr:uid="{EF036B8F-37D3-4E38-B9B0-7C34E23D0118}"/>
  </hyperlink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CD854-9D65-4C98-9C54-E54595797479}">
  <sheetPr codeName="Planilha13"/>
  <dimension ref="A1:AD1416"/>
  <sheetViews>
    <sheetView showGridLines="0" workbookViewId="0">
      <selection activeCell="B10" sqref="B10:B14"/>
    </sheetView>
  </sheetViews>
  <sheetFormatPr defaultColWidth="8.88671875" defaultRowHeight="14.4" x14ac:dyDescent="0.3"/>
  <cols>
    <col min="1" max="1" width="10.6640625" style="2" customWidth="1"/>
    <col min="2" max="2" width="25.6640625" style="2" customWidth="1"/>
    <col min="3" max="21" width="15.6640625" style="2" customWidth="1"/>
    <col min="22" max="16384" width="8.88671875" style="2"/>
  </cols>
  <sheetData>
    <row r="1" spans="1:30" ht="82.2" customHeight="1" x14ac:dyDescent="0.3">
      <c r="A1" s="167" t="e" vm="1">
        <v>#VALUE!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31.9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4" spans="1:30" ht="31.95" customHeight="1" x14ac:dyDescent="0.3">
      <c r="B4" s="16"/>
      <c r="C4"/>
      <c r="D4" s="16"/>
      <c r="E4"/>
      <c r="F4" s="172"/>
      <c r="G4"/>
      <c r="H4" s="16"/>
      <c r="I4" s="17"/>
      <c r="J4" s="16"/>
      <c r="U4" s="14"/>
    </row>
    <row r="5" spans="1:30" ht="31.95" customHeight="1" x14ac:dyDescent="0.45">
      <c r="B5" s="180" t="s">
        <v>1360</v>
      </c>
      <c r="C5" s="179">
        <v>2025</v>
      </c>
      <c r="D5" s="176"/>
      <c r="E5"/>
      <c r="F5" s="177"/>
      <c r="G5"/>
      <c r="H5" s="178"/>
      <c r="I5" s="17"/>
      <c r="J5" s="178"/>
    </row>
    <row r="6" spans="1:30" ht="31.95" customHeight="1" x14ac:dyDescent="0.3">
      <c r="B6"/>
      <c r="C6" s="198">
        <v>1</v>
      </c>
      <c r="D6" s="198">
        <v>2</v>
      </c>
      <c r="E6" s="198">
        <v>3</v>
      </c>
      <c r="F6" s="198">
        <v>4</v>
      </c>
      <c r="G6" s="198">
        <v>5</v>
      </c>
      <c r="H6" s="198">
        <v>6</v>
      </c>
      <c r="I6" s="198">
        <v>7</v>
      </c>
      <c r="J6" s="198">
        <v>8</v>
      </c>
      <c r="K6" s="198">
        <v>9</v>
      </c>
      <c r="L6" s="198">
        <v>10</v>
      </c>
      <c r="M6" s="198">
        <v>11</v>
      </c>
      <c r="N6" s="198">
        <v>12</v>
      </c>
    </row>
    <row r="7" spans="1:30" ht="31.95" customHeight="1" x14ac:dyDescent="0.3">
      <c r="B7" s="181" t="s">
        <v>1365</v>
      </c>
      <c r="C7" s="193" t="s">
        <v>1366</v>
      </c>
      <c r="D7" s="193" t="s">
        <v>1367</v>
      </c>
      <c r="E7" s="193" t="s">
        <v>1368</v>
      </c>
      <c r="F7" s="193" t="s">
        <v>1369</v>
      </c>
      <c r="G7" s="193" t="s">
        <v>1370</v>
      </c>
      <c r="H7" s="193" t="s">
        <v>1371</v>
      </c>
      <c r="I7" s="193" t="s">
        <v>1372</v>
      </c>
      <c r="J7" s="193" t="s">
        <v>1373</v>
      </c>
      <c r="K7" s="194" t="s">
        <v>1374</v>
      </c>
      <c r="L7" s="194" t="s">
        <v>1375</v>
      </c>
      <c r="M7" s="194" t="s">
        <v>1376</v>
      </c>
      <c r="N7" s="194" t="s">
        <v>1377</v>
      </c>
      <c r="O7" s="194" t="s">
        <v>1378</v>
      </c>
    </row>
    <row r="8" spans="1:30" ht="31.95" customHeight="1" x14ac:dyDescent="0.3">
      <c r="B8" s="181" t="s">
        <v>1361</v>
      </c>
      <c r="C8" s="192">
        <f>COUNTIFS(NEGOCIAÇÕES!$V:$V,INDICADORES!C6,NEGOCIAÇÕES!$W:$W,INDICADORES!$C$5)</f>
        <v>15</v>
      </c>
      <c r="D8" s="192">
        <f>COUNTIFS(NEGOCIAÇÕES!$V:$V,INDICADORES!D6,NEGOCIAÇÕES!$W:$W,INDICADORES!$C$5)</f>
        <v>9</v>
      </c>
      <c r="E8" s="192">
        <f>COUNTIFS(NEGOCIAÇÕES!$V:$V,INDICADORES!E6,NEGOCIAÇÕES!$W:$W,INDICADORES!$C$5)</f>
        <v>23</v>
      </c>
      <c r="F8" s="192">
        <f>COUNTIFS(NEGOCIAÇÕES!$V:$V,INDICADORES!F6,NEGOCIAÇÕES!$W:$W,INDICADORES!$C$5)</f>
        <v>30</v>
      </c>
      <c r="G8" s="192">
        <f>COUNTIFS(NEGOCIAÇÕES!$V:$V,INDICADORES!G6,NEGOCIAÇÕES!$W:$W,INDICADORES!$C$5)</f>
        <v>26</v>
      </c>
      <c r="H8" s="192">
        <f>COUNTIFS(NEGOCIAÇÕES!$V:$V,INDICADORES!H6,NEGOCIAÇÕES!$W:$W,INDICADORES!$C$5)</f>
        <v>32</v>
      </c>
      <c r="I8" s="192">
        <f>COUNTIFS(NEGOCIAÇÕES!$V:$V,INDICADORES!I6,NEGOCIAÇÕES!$W:$W,INDICADORES!$C$5)</f>
        <v>48</v>
      </c>
      <c r="J8" s="192">
        <f>COUNTIFS(NEGOCIAÇÕES!$V:$V,INDICADORES!J6,NEGOCIAÇÕES!$W:$W,INDICADORES!$C$5)</f>
        <v>27</v>
      </c>
      <c r="K8" s="192">
        <f>COUNTIFS(NEGOCIAÇÕES!$V:$V,INDICADORES!K6,NEGOCIAÇÕES!$W:$W,INDICADORES!$C$5)</f>
        <v>39</v>
      </c>
      <c r="L8" s="192">
        <f>COUNTIFS(NEGOCIAÇÕES!$V:$V,INDICADORES!L6,NEGOCIAÇÕES!$W:$W,INDICADORES!$C$5)</f>
        <v>18</v>
      </c>
      <c r="M8" s="192">
        <f>COUNTIFS(NEGOCIAÇÕES!$V:$V,INDICADORES!M6,NEGOCIAÇÕES!$W:$W,INDICADORES!$C$5)</f>
        <v>14</v>
      </c>
      <c r="N8" s="192">
        <f>COUNTIFS(NEGOCIAÇÕES!$V:$V,INDICADORES!N6,NEGOCIAÇÕES!$W:$W,INDICADORES!$C$5)</f>
        <v>25</v>
      </c>
      <c r="O8" s="197">
        <f>SUM(C8:N8)</f>
        <v>306</v>
      </c>
    </row>
    <row r="9" spans="1:30" ht="31.95" customHeight="1" x14ac:dyDescent="0.3">
      <c r="B9"/>
      <c r="C9" s="199">
        <f>COUNTIFS(NEGOCIAÇÕES!$V:$V,INDICADORES!C6,NEGOCIAÇÕES!$W:$W,INDICADORES!$C$5,NEGOCIAÇÕES!$S:$S,1)</f>
        <v>15</v>
      </c>
      <c r="D9" s="199">
        <f>COUNTIFS(NEGOCIAÇÕES!$V:$V,INDICADORES!D6,NEGOCIAÇÕES!$W:$W,INDICADORES!$C$5,NEGOCIAÇÕES!$S:$S,1)</f>
        <v>9</v>
      </c>
      <c r="E9" s="199">
        <f>COUNTIFS(NEGOCIAÇÕES!$V:$V,INDICADORES!E6,NEGOCIAÇÕES!$W:$W,INDICADORES!$C$5,NEGOCIAÇÕES!$S:$S,1)</f>
        <v>23</v>
      </c>
      <c r="F9" s="199">
        <f>COUNTIFS(NEGOCIAÇÕES!$V:$V,INDICADORES!F6,NEGOCIAÇÕES!$W:$W,INDICADORES!$C$5,NEGOCIAÇÕES!$S:$S,1)</f>
        <v>30</v>
      </c>
      <c r="G9" s="199">
        <f>COUNTIFS(NEGOCIAÇÕES!$V:$V,INDICADORES!G6,NEGOCIAÇÕES!$W:$W,INDICADORES!$C$5,NEGOCIAÇÕES!$S:$S,1)</f>
        <v>26</v>
      </c>
      <c r="H9" s="199">
        <f>COUNTIFS(NEGOCIAÇÕES!$V:$V,INDICADORES!H6,NEGOCIAÇÕES!$W:$W,INDICADORES!$C$5,NEGOCIAÇÕES!$S:$S,1)</f>
        <v>32</v>
      </c>
      <c r="I9" s="199">
        <f>COUNTIFS(NEGOCIAÇÕES!$V:$V,INDICADORES!I6,NEGOCIAÇÕES!$W:$W,INDICADORES!$C$5,NEGOCIAÇÕES!$S:$S,1)</f>
        <v>45</v>
      </c>
      <c r="J9" s="199">
        <f>COUNTIFS(NEGOCIAÇÕES!$V:$V,INDICADORES!J6,NEGOCIAÇÕES!$W:$W,INDICADORES!$C$5,NEGOCIAÇÕES!$S:$S,1)</f>
        <v>27</v>
      </c>
      <c r="K9" s="199">
        <f>COUNTIFS(NEGOCIAÇÕES!$V:$V,INDICADORES!K6,NEGOCIAÇÕES!$W:$W,INDICADORES!$C$5,NEGOCIAÇÕES!$S:$S,1)</f>
        <v>39</v>
      </c>
      <c r="L9" s="199">
        <f>COUNTIFS(NEGOCIAÇÕES!$V:$V,INDICADORES!L6,NEGOCIAÇÕES!$W:$W,INDICADORES!$C$5,NEGOCIAÇÕES!$S:$S,1)</f>
        <v>17</v>
      </c>
      <c r="M9" s="199">
        <f>COUNTIFS(NEGOCIAÇÕES!$V:$V,INDICADORES!M6,NEGOCIAÇÕES!$W:$W,INDICADORES!$C$5,NEGOCIAÇÕES!$S:$S,1)</f>
        <v>14</v>
      </c>
      <c r="N9" s="199">
        <f>COUNTIFS(NEGOCIAÇÕES!$V:$V,INDICADORES!N6,NEGOCIAÇÕES!$W:$W,INDICADORES!$C$5,NEGOCIAÇÕES!$S:$S,1)</f>
        <v>19</v>
      </c>
      <c r="O9" s="200">
        <f>SUM(C9:N9)</f>
        <v>296</v>
      </c>
    </row>
    <row r="10" spans="1:30" ht="31.95" customHeight="1" x14ac:dyDescent="0.3">
      <c r="B10" s="181" t="s">
        <v>1362</v>
      </c>
      <c r="C10" s="195">
        <f>IFERROR(COUNTIFS(NEGOCIAÇÕES!$V:$V,INDICADORES!C6,NEGOCIAÇÕES!$W:$W,INDICADORES!$C$5,NEGOCIAÇÕES!$S:$S,1)/C8,0)</f>
        <v>1</v>
      </c>
      <c r="D10" s="195">
        <f>IFERROR(COUNTIFS(NEGOCIAÇÕES!$V:$V,INDICADORES!D6,NEGOCIAÇÕES!$W:$W,INDICADORES!$C$5,NEGOCIAÇÕES!$S:$S,1)/D8,0)</f>
        <v>1</v>
      </c>
      <c r="E10" s="195">
        <f>IFERROR(COUNTIFS(NEGOCIAÇÕES!$V:$V,INDICADORES!E6,NEGOCIAÇÕES!$W:$W,INDICADORES!$C$5,NEGOCIAÇÕES!$S:$S,1)/E8,0)</f>
        <v>1</v>
      </c>
      <c r="F10" s="195">
        <f>IFERROR(COUNTIFS(NEGOCIAÇÕES!$V:$V,INDICADORES!F6,NEGOCIAÇÕES!$W:$W,INDICADORES!$C$5,NEGOCIAÇÕES!$S:$S,1)/F8,0)</f>
        <v>1</v>
      </c>
      <c r="G10" s="195">
        <f>IFERROR(COUNTIFS(NEGOCIAÇÕES!$V:$V,INDICADORES!G6,NEGOCIAÇÕES!$W:$W,INDICADORES!$C$5,NEGOCIAÇÕES!$S:$S,1)/G8,0)</f>
        <v>1</v>
      </c>
      <c r="H10" s="195">
        <f>IFERROR(COUNTIFS(NEGOCIAÇÕES!$V:$V,INDICADORES!H6,NEGOCIAÇÕES!$W:$W,INDICADORES!$C$5,NEGOCIAÇÕES!$S:$S,1)/H8,0)</f>
        <v>1</v>
      </c>
      <c r="I10" s="195">
        <f>IFERROR(COUNTIFS(NEGOCIAÇÕES!$V:$V,INDICADORES!I6,NEGOCIAÇÕES!$W:$W,INDICADORES!$C$5,NEGOCIAÇÕES!$S:$S,1)/I8,0)</f>
        <v>0.9375</v>
      </c>
      <c r="J10" s="195">
        <f>IFERROR(COUNTIFS(NEGOCIAÇÕES!$V:$V,INDICADORES!J6,NEGOCIAÇÕES!$W:$W,INDICADORES!$C$5,NEGOCIAÇÕES!$S:$S,1)/J8,0)</f>
        <v>1</v>
      </c>
      <c r="K10" s="195">
        <f>IFERROR(COUNTIFS(NEGOCIAÇÕES!$V:$V,INDICADORES!K6,NEGOCIAÇÕES!$W:$W,INDICADORES!$C$5,NEGOCIAÇÕES!$S:$S,1)/K8,0)</f>
        <v>1</v>
      </c>
      <c r="L10" s="195">
        <f>IFERROR(COUNTIFS(NEGOCIAÇÕES!$V:$V,INDICADORES!L6,NEGOCIAÇÕES!$W:$W,INDICADORES!$C$5,NEGOCIAÇÕES!$S:$S,1)/L8,0)</f>
        <v>0.94444444444444442</v>
      </c>
      <c r="M10" s="195">
        <f>IFERROR(COUNTIFS(NEGOCIAÇÕES!$V:$V,INDICADORES!M6,NEGOCIAÇÕES!$W:$W,INDICADORES!$C$5,NEGOCIAÇÕES!$S:$S,1)/M8,0)</f>
        <v>1</v>
      </c>
      <c r="N10" s="195">
        <f>IFERROR(COUNTIFS(NEGOCIAÇÕES!$V:$V,INDICADORES!N6,NEGOCIAÇÕES!$W:$W,INDICADORES!$C$5,NEGOCIAÇÕES!$S:$S,1)/N8,0)</f>
        <v>0.76</v>
      </c>
      <c r="O10" s="196">
        <f>AVERAGE(C10:N10)</f>
        <v>0.97016203703703707</v>
      </c>
    </row>
    <row r="11" spans="1:30" ht="31.95" customHeight="1" x14ac:dyDescent="0.3">
      <c r="B11" s="181" t="s">
        <v>1482</v>
      </c>
      <c r="C11" s="189">
        <f>VLOOKUP($C$5,$B$19:$C$27,2,0)</f>
        <v>0.9</v>
      </c>
      <c r="D11" s="189">
        <f t="shared" ref="D11:O11" si="0">VLOOKUP($C$5,$B$19:$C$27,2,0)</f>
        <v>0.9</v>
      </c>
      <c r="E11" s="189">
        <f t="shared" si="0"/>
        <v>0.9</v>
      </c>
      <c r="F11" s="189">
        <f t="shared" si="0"/>
        <v>0.9</v>
      </c>
      <c r="G11" s="189">
        <f t="shared" si="0"/>
        <v>0.9</v>
      </c>
      <c r="H11" s="189">
        <f t="shared" si="0"/>
        <v>0.9</v>
      </c>
      <c r="I11" s="189">
        <f t="shared" si="0"/>
        <v>0.9</v>
      </c>
      <c r="J11" s="189">
        <f t="shared" si="0"/>
        <v>0.9</v>
      </c>
      <c r="K11" s="189">
        <f t="shared" si="0"/>
        <v>0.9</v>
      </c>
      <c r="L11" s="189">
        <f t="shared" si="0"/>
        <v>0.9</v>
      </c>
      <c r="M11" s="189">
        <f t="shared" si="0"/>
        <v>0.9</v>
      </c>
      <c r="N11" s="189">
        <f t="shared" si="0"/>
        <v>0.9</v>
      </c>
      <c r="O11" s="189">
        <f t="shared" si="0"/>
        <v>0.9</v>
      </c>
    </row>
    <row r="12" spans="1:30" ht="31.95" customHeight="1" x14ac:dyDescent="0.3">
      <c r="B12"/>
      <c r="C12" s="199">
        <f>COUNTIFS(NEGOCIAÇÕES!$V:$V,INDICADORES!C6,NEGOCIAÇÕES!$W:$W,INDICADORES!$C$5,NEGOCIAÇÕES!$S:$S,1)</f>
        <v>15</v>
      </c>
      <c r="D12" s="199">
        <f>COUNTIFS(NEGOCIAÇÕES!$V:$V,INDICADORES!D6,NEGOCIAÇÕES!$W:$W,INDICADORES!$C$5,NEGOCIAÇÕES!$S:$S,1)</f>
        <v>9</v>
      </c>
      <c r="E12" s="199">
        <f>COUNTIFS(NEGOCIAÇÕES!$V:$V,INDICADORES!E6,NEGOCIAÇÕES!$W:$W,INDICADORES!$C$5,NEGOCIAÇÕES!$S:$S,1)</f>
        <v>23</v>
      </c>
      <c r="F12" s="199">
        <f>COUNTIFS(NEGOCIAÇÕES!$V:$V,INDICADORES!F6,NEGOCIAÇÕES!$W:$W,INDICADORES!$C$5,NEGOCIAÇÕES!$S:$S,1)</f>
        <v>30</v>
      </c>
      <c r="G12" s="199">
        <f>COUNTIFS(NEGOCIAÇÕES!$V:$V,INDICADORES!G6,NEGOCIAÇÕES!$W:$W,INDICADORES!$C$5,NEGOCIAÇÕES!$S:$S,1)</f>
        <v>26</v>
      </c>
      <c r="H12" s="199">
        <f>COUNTIFS(NEGOCIAÇÕES!$V:$V,INDICADORES!H6,NEGOCIAÇÕES!$W:$W,INDICADORES!$C$5,NEGOCIAÇÕES!$S:$S,1)</f>
        <v>32</v>
      </c>
      <c r="I12" s="199">
        <f>COUNTIFS(NEGOCIAÇÕES!$V:$V,INDICADORES!I6,NEGOCIAÇÕES!$W:$W,INDICADORES!$C$5,NEGOCIAÇÕES!$S:$S,1)</f>
        <v>45</v>
      </c>
      <c r="J12" s="199">
        <f>COUNTIFS(NEGOCIAÇÕES!$V:$V,INDICADORES!J6,NEGOCIAÇÕES!$W:$W,INDICADORES!$C$5,NEGOCIAÇÕES!$S:$S,1)</f>
        <v>27</v>
      </c>
      <c r="K12" s="199">
        <f>COUNTIFS(NEGOCIAÇÕES!$V:$V,INDICADORES!K6,NEGOCIAÇÕES!$W:$W,INDICADORES!$C$5,NEGOCIAÇÕES!$S:$S,1)</f>
        <v>39</v>
      </c>
      <c r="L12" s="199">
        <f>COUNTIFS(NEGOCIAÇÕES!$V:$V,INDICADORES!L6,NEGOCIAÇÕES!$W:$W,INDICADORES!$C$5,NEGOCIAÇÕES!$S:$S,1)</f>
        <v>17</v>
      </c>
      <c r="M12" s="199">
        <f>COUNTIFS(NEGOCIAÇÕES!$V:$V,INDICADORES!M6,NEGOCIAÇÕES!$W:$W,INDICADORES!$C$5,NEGOCIAÇÕES!$S:$S,1)</f>
        <v>14</v>
      </c>
      <c r="N12" s="199">
        <f>COUNTIFS(NEGOCIAÇÕES!$V:$V,INDICADORES!N6,NEGOCIAÇÕES!$W:$W,INDICADORES!$C$5,NEGOCIAÇÕES!$S:$S,1)</f>
        <v>19</v>
      </c>
      <c r="O12" s="200">
        <f>SUM(C12:N12)</f>
        <v>296</v>
      </c>
    </row>
    <row r="13" spans="1:30" ht="31.95" customHeight="1" x14ac:dyDescent="0.3">
      <c r="B13" s="190" t="s">
        <v>1363</v>
      </c>
      <c r="C13" s="195">
        <f>IFERROR(COUNTIFS(NEGOCIAÇÕES!$V:$V,INDICADORES!C6,NEGOCIAÇÕES!$W:$W,INDICADORES!$C$5,NEGOCIAÇÕES!$S:$S,1)/C8,0)</f>
        <v>1</v>
      </c>
      <c r="D13" s="195">
        <f>IFERROR(COUNTIFS(NEGOCIAÇÕES!$V:$V,INDICADORES!D6,NEGOCIAÇÕES!$W:$W,INDICADORES!$C$5,NEGOCIAÇÕES!$S:$S,1)/D8,0)</f>
        <v>1</v>
      </c>
      <c r="E13" s="195">
        <f>IFERROR(COUNTIFS(NEGOCIAÇÕES!$V:$V,INDICADORES!E6,NEGOCIAÇÕES!$W:$W,INDICADORES!$C$5,NEGOCIAÇÕES!$S:$S,1)/E8,0)</f>
        <v>1</v>
      </c>
      <c r="F13" s="195">
        <f>IFERROR(COUNTIFS(NEGOCIAÇÕES!$V:$V,INDICADORES!F6,NEGOCIAÇÕES!$W:$W,INDICADORES!$C$5,NEGOCIAÇÕES!$S:$S,1)/F8,0)</f>
        <v>1</v>
      </c>
      <c r="G13" s="195">
        <f>IFERROR(COUNTIFS(NEGOCIAÇÕES!$V:$V,INDICADORES!G6,NEGOCIAÇÕES!$W:$W,INDICADORES!$C$5,NEGOCIAÇÕES!$S:$S,1)/G8,0)</f>
        <v>1</v>
      </c>
      <c r="H13" s="195">
        <f>IFERROR(COUNTIFS(NEGOCIAÇÕES!$V:$V,INDICADORES!H6,NEGOCIAÇÕES!$W:$W,INDICADORES!$C$5,NEGOCIAÇÕES!$S:$S,1)/H8,0)</f>
        <v>1</v>
      </c>
      <c r="I13" s="195">
        <f>IFERROR(COUNTIFS(NEGOCIAÇÕES!$V:$V,INDICADORES!I6,NEGOCIAÇÕES!$W:$W,INDICADORES!$C$5,NEGOCIAÇÕES!$S:$S,1)/I8,0)</f>
        <v>0.9375</v>
      </c>
      <c r="J13" s="195">
        <f>IFERROR(COUNTIFS(NEGOCIAÇÕES!$V:$V,INDICADORES!J6,NEGOCIAÇÕES!$W:$W,INDICADORES!$C$5,NEGOCIAÇÕES!$S:$S,1)/J8,0)</f>
        <v>1</v>
      </c>
      <c r="K13" s="195">
        <f>IFERROR(COUNTIFS(NEGOCIAÇÕES!$V:$V,INDICADORES!K6,NEGOCIAÇÕES!$W:$W,INDICADORES!$C$5,NEGOCIAÇÕES!$S:$S,1)/K8,0)</f>
        <v>1</v>
      </c>
      <c r="L13" s="195">
        <f>IFERROR(COUNTIFS(NEGOCIAÇÕES!$V:$V,INDICADORES!L6,NEGOCIAÇÕES!$W:$W,INDICADORES!$C$5,NEGOCIAÇÕES!$S:$S,1)/L8,0)</f>
        <v>0.94444444444444442</v>
      </c>
      <c r="M13" s="195">
        <f>IFERROR(COUNTIFS(NEGOCIAÇÕES!$V:$V,INDICADORES!M6,NEGOCIAÇÕES!$W:$W,INDICADORES!$C$5,NEGOCIAÇÕES!$S:$S,1)/M8,0)</f>
        <v>1</v>
      </c>
      <c r="N13" s="195">
        <f>IFERROR(COUNTIFS(NEGOCIAÇÕES!$V:$V,INDICADORES!N6,NEGOCIAÇÕES!$W:$W,INDICADORES!$C$5,NEGOCIAÇÕES!$S:$S,1)/N8,0)</f>
        <v>0.76</v>
      </c>
      <c r="O13" s="196">
        <f>AVERAGE(C13:N13)</f>
        <v>0.97016203703703707</v>
      </c>
    </row>
    <row r="14" spans="1:30" ht="31.95" customHeight="1" x14ac:dyDescent="0.3">
      <c r="B14" s="181" t="s">
        <v>1483</v>
      </c>
      <c r="C14" s="189">
        <f>VLOOKUP($C$5,$E$19:$F$27,2,0)</f>
        <v>0.9</v>
      </c>
      <c r="D14" s="189">
        <f t="shared" ref="D14:O14" si="1">VLOOKUP($C$5,$E$19:$F$27,2,0)</f>
        <v>0.9</v>
      </c>
      <c r="E14" s="189">
        <f t="shared" si="1"/>
        <v>0.9</v>
      </c>
      <c r="F14" s="189">
        <f t="shared" si="1"/>
        <v>0.9</v>
      </c>
      <c r="G14" s="189">
        <f t="shared" si="1"/>
        <v>0.9</v>
      </c>
      <c r="H14" s="189">
        <f t="shared" si="1"/>
        <v>0.9</v>
      </c>
      <c r="I14" s="189">
        <f t="shared" si="1"/>
        <v>0.9</v>
      </c>
      <c r="J14" s="189">
        <f t="shared" si="1"/>
        <v>0.9</v>
      </c>
      <c r="K14" s="189">
        <f t="shared" si="1"/>
        <v>0.9</v>
      </c>
      <c r="L14" s="189">
        <f t="shared" si="1"/>
        <v>0.9</v>
      </c>
      <c r="M14" s="189">
        <f t="shared" si="1"/>
        <v>0.9</v>
      </c>
      <c r="N14" s="189">
        <f t="shared" si="1"/>
        <v>0.9</v>
      </c>
      <c r="O14" s="189">
        <f t="shared" si="1"/>
        <v>0.9</v>
      </c>
    </row>
    <row r="15" spans="1:30" ht="31.95" customHeight="1" x14ac:dyDescent="0.3">
      <c r="B15"/>
      <c r="C15"/>
      <c r="D15"/>
      <c r="E15"/>
      <c r="F15"/>
      <c r="G15"/>
      <c r="H15"/>
      <c r="I15" s="17"/>
      <c r="J15" s="17"/>
    </row>
    <row r="16" spans="1:30" ht="31.95" customHeight="1" x14ac:dyDescent="0.3">
      <c r="B16"/>
      <c r="C16"/>
      <c r="D16"/>
      <c r="E16"/>
      <c r="F16"/>
      <c r="G16"/>
      <c r="H16"/>
      <c r="I16" s="17"/>
      <c r="J16" s="17"/>
    </row>
    <row r="17" spans="2:12" ht="31.95" customHeight="1" x14ac:dyDescent="0.3">
      <c r="B17"/>
      <c r="C17"/>
      <c r="D17"/>
      <c r="E17"/>
      <c r="F17"/>
      <c r="G17"/>
      <c r="H17"/>
      <c r="I17" s="17"/>
      <c r="J17" s="17"/>
    </row>
    <row r="18" spans="2:12" ht="31.95" customHeight="1" x14ac:dyDescent="0.3">
      <c r="B18" s="186" t="s">
        <v>1362</v>
      </c>
      <c r="C18" s="187" t="s">
        <v>1364</v>
      </c>
      <c r="D18" s="182"/>
      <c r="E18" s="190" t="s">
        <v>1363</v>
      </c>
      <c r="F18" s="187" t="s">
        <v>1364</v>
      </c>
      <c r="G18" s="182"/>
      <c r="H18" s="182"/>
      <c r="I18" s="182"/>
      <c r="J18" s="182"/>
      <c r="K18" s="183"/>
      <c r="L18" s="183"/>
    </row>
    <row r="19" spans="2:12" ht="31.95" customHeight="1" x14ac:dyDescent="0.3">
      <c r="B19" s="188">
        <v>2022</v>
      </c>
      <c r="C19" s="189">
        <v>0.9</v>
      </c>
      <c r="D19" s="184"/>
      <c r="E19" s="188">
        <v>2022</v>
      </c>
      <c r="F19" s="189">
        <v>0.9</v>
      </c>
      <c r="G19" s="184"/>
      <c r="H19" s="184"/>
      <c r="I19" s="184"/>
      <c r="J19" s="184"/>
      <c r="K19" s="185"/>
      <c r="L19" s="185"/>
    </row>
    <row r="20" spans="2:12" ht="31.95" customHeight="1" x14ac:dyDescent="0.3">
      <c r="B20" s="188">
        <v>2023</v>
      </c>
      <c r="C20" s="189">
        <v>0.9</v>
      </c>
      <c r="D20"/>
      <c r="E20" s="188">
        <v>2023</v>
      </c>
      <c r="F20" s="189">
        <v>0.9</v>
      </c>
      <c r="G20"/>
      <c r="H20"/>
      <c r="I20" s="17"/>
      <c r="J20" s="17"/>
    </row>
    <row r="21" spans="2:12" ht="31.95" customHeight="1" x14ac:dyDescent="0.3">
      <c r="B21" s="188">
        <v>2024</v>
      </c>
      <c r="C21" s="189">
        <v>0.9</v>
      </c>
      <c r="E21" s="188">
        <v>2024</v>
      </c>
      <c r="F21" s="189">
        <v>0.9</v>
      </c>
    </row>
    <row r="22" spans="2:12" ht="31.95" customHeight="1" x14ac:dyDescent="0.3">
      <c r="B22" s="188">
        <v>2025</v>
      </c>
      <c r="C22" s="189">
        <v>0.9</v>
      </c>
      <c r="D22"/>
      <c r="E22" s="188">
        <v>2025</v>
      </c>
      <c r="F22" s="189">
        <v>0.9</v>
      </c>
      <c r="G22"/>
      <c r="H22"/>
      <c r="I22" s="17"/>
      <c r="J22" s="17"/>
    </row>
    <row r="23" spans="2:12" ht="31.95" customHeight="1" x14ac:dyDescent="0.3">
      <c r="B23" s="188">
        <v>2026</v>
      </c>
      <c r="C23" s="189">
        <v>0.9</v>
      </c>
      <c r="E23" s="188">
        <v>2026</v>
      </c>
      <c r="F23" s="189">
        <v>0.9</v>
      </c>
    </row>
    <row r="24" spans="2:12" ht="31.95" customHeight="1" x14ac:dyDescent="0.3">
      <c r="B24" s="188">
        <v>2027</v>
      </c>
      <c r="C24" s="189">
        <v>0.9</v>
      </c>
      <c r="D24"/>
      <c r="E24" s="188">
        <v>2027</v>
      </c>
      <c r="F24" s="189">
        <v>0.9</v>
      </c>
      <c r="G24"/>
      <c r="H24"/>
      <c r="I24" s="17"/>
      <c r="J24" s="17"/>
    </row>
    <row r="25" spans="2:12" ht="31.95" customHeight="1" x14ac:dyDescent="0.3">
      <c r="B25" s="188">
        <v>2028</v>
      </c>
      <c r="C25" s="189">
        <v>0.9</v>
      </c>
      <c r="E25" s="188">
        <v>2028</v>
      </c>
      <c r="F25" s="189">
        <v>0.9</v>
      </c>
    </row>
    <row r="26" spans="2:12" ht="31.95" customHeight="1" x14ac:dyDescent="0.3">
      <c r="B26" s="188">
        <v>2029</v>
      </c>
      <c r="C26" s="189">
        <v>0.9</v>
      </c>
      <c r="E26" s="188">
        <v>2029</v>
      </c>
      <c r="F26" s="189">
        <v>0.9</v>
      </c>
    </row>
    <row r="27" spans="2:12" ht="31.95" customHeight="1" x14ac:dyDescent="0.3">
      <c r="B27" s="188">
        <v>2030</v>
      </c>
      <c r="C27" s="189">
        <v>0.9</v>
      </c>
      <c r="E27" s="188">
        <v>2030</v>
      </c>
      <c r="F27" s="189">
        <v>0.9</v>
      </c>
    </row>
    <row r="28" spans="2:12" ht="31.95" customHeight="1" x14ac:dyDescent="0.3"/>
    <row r="29" spans="2:12" ht="31.95" customHeight="1" x14ac:dyDescent="0.3"/>
    <row r="30" spans="2:12" ht="31.95" customHeight="1" x14ac:dyDescent="0.3"/>
    <row r="31" spans="2:12" ht="31.95" customHeight="1" x14ac:dyDescent="0.3"/>
    <row r="32" spans="2:12" ht="31.95" customHeight="1" x14ac:dyDescent="0.3"/>
    <row r="33" ht="31.95" customHeight="1" x14ac:dyDescent="0.3"/>
    <row r="34" ht="31.95" customHeight="1" x14ac:dyDescent="0.3"/>
    <row r="35" ht="31.95" customHeight="1" x14ac:dyDescent="0.3"/>
    <row r="36" ht="31.95" customHeight="1" x14ac:dyDescent="0.3"/>
    <row r="37" ht="31.95" customHeight="1" x14ac:dyDescent="0.3"/>
    <row r="38" ht="31.95" customHeight="1" x14ac:dyDescent="0.3"/>
    <row r="39" ht="31.95" customHeight="1" x14ac:dyDescent="0.3"/>
    <row r="40" ht="31.95" customHeight="1" x14ac:dyDescent="0.3"/>
    <row r="41" ht="31.95" customHeight="1" x14ac:dyDescent="0.3"/>
    <row r="42" ht="31.95" customHeight="1" x14ac:dyDescent="0.3"/>
    <row r="43" ht="31.95" customHeight="1" x14ac:dyDescent="0.3"/>
    <row r="44" ht="31.95" customHeight="1" x14ac:dyDescent="0.3"/>
    <row r="45" ht="31.95" customHeight="1" x14ac:dyDescent="0.3"/>
    <row r="46" ht="31.95" customHeight="1" x14ac:dyDescent="0.3"/>
    <row r="47" ht="31.95" customHeight="1" x14ac:dyDescent="0.3"/>
    <row r="48" ht="31.95" customHeight="1" x14ac:dyDescent="0.3"/>
    <row r="49" ht="31.95" customHeight="1" x14ac:dyDescent="0.3"/>
    <row r="50" ht="31.95" customHeight="1" x14ac:dyDescent="0.3"/>
    <row r="51" ht="31.95" customHeight="1" x14ac:dyDescent="0.3"/>
    <row r="52" ht="31.95" customHeight="1" x14ac:dyDescent="0.3"/>
    <row r="53" ht="31.95" customHeight="1" x14ac:dyDescent="0.3"/>
    <row r="54" ht="31.95" customHeight="1" x14ac:dyDescent="0.3"/>
    <row r="55" ht="31.95" customHeight="1" x14ac:dyDescent="0.3"/>
    <row r="56" ht="31.95" customHeight="1" x14ac:dyDescent="0.3"/>
    <row r="57" ht="31.95" customHeight="1" x14ac:dyDescent="0.3"/>
    <row r="58" ht="31.95" customHeight="1" x14ac:dyDescent="0.3"/>
    <row r="59" ht="31.95" customHeight="1" x14ac:dyDescent="0.3"/>
    <row r="60" ht="31.95" customHeight="1" x14ac:dyDescent="0.3"/>
    <row r="61" ht="31.95" customHeight="1" x14ac:dyDescent="0.3"/>
    <row r="62" ht="31.95" customHeight="1" x14ac:dyDescent="0.3"/>
    <row r="63" ht="31.95" customHeight="1" x14ac:dyDescent="0.3"/>
    <row r="64" ht="31.95" customHeight="1" x14ac:dyDescent="0.3"/>
    <row r="65" ht="31.95" customHeight="1" x14ac:dyDescent="0.3"/>
    <row r="66" ht="31.95" customHeight="1" x14ac:dyDescent="0.3"/>
    <row r="67" ht="31.95" customHeight="1" x14ac:dyDescent="0.3"/>
    <row r="68" ht="31.95" customHeight="1" x14ac:dyDescent="0.3"/>
    <row r="69" ht="31.95" customHeight="1" x14ac:dyDescent="0.3"/>
    <row r="70" ht="31.95" customHeight="1" x14ac:dyDescent="0.3"/>
    <row r="71" ht="31.95" customHeight="1" x14ac:dyDescent="0.3"/>
    <row r="72" ht="31.95" customHeight="1" x14ac:dyDescent="0.3"/>
    <row r="73" ht="31.95" customHeight="1" x14ac:dyDescent="0.3"/>
    <row r="74" ht="31.95" customHeight="1" x14ac:dyDescent="0.3"/>
    <row r="75" ht="31.95" customHeight="1" x14ac:dyDescent="0.3"/>
    <row r="76" ht="31.95" customHeight="1" x14ac:dyDescent="0.3"/>
    <row r="77" ht="31.95" customHeight="1" x14ac:dyDescent="0.3"/>
    <row r="78" ht="31.95" customHeight="1" x14ac:dyDescent="0.3"/>
    <row r="79" ht="31.95" customHeight="1" x14ac:dyDescent="0.3"/>
    <row r="80" ht="31.95" customHeight="1" x14ac:dyDescent="0.3"/>
    <row r="81" ht="31.95" customHeight="1" x14ac:dyDescent="0.3"/>
    <row r="82" ht="31.95" customHeight="1" x14ac:dyDescent="0.3"/>
    <row r="83" ht="31.95" customHeight="1" x14ac:dyDescent="0.3"/>
    <row r="84" ht="31.95" customHeight="1" x14ac:dyDescent="0.3"/>
    <row r="85" ht="31.95" customHeight="1" x14ac:dyDescent="0.3"/>
    <row r="86" ht="31.95" customHeight="1" x14ac:dyDescent="0.3"/>
    <row r="87" ht="31.95" customHeight="1" x14ac:dyDescent="0.3"/>
    <row r="88" ht="31.95" customHeight="1" x14ac:dyDescent="0.3"/>
    <row r="89" ht="31.95" customHeight="1" x14ac:dyDescent="0.3"/>
    <row r="90" ht="31.95" customHeight="1" x14ac:dyDescent="0.3"/>
    <row r="91" ht="31.95" customHeight="1" x14ac:dyDescent="0.3"/>
    <row r="92" ht="31.95" customHeight="1" x14ac:dyDescent="0.3"/>
    <row r="93" ht="31.95" customHeight="1" x14ac:dyDescent="0.3"/>
    <row r="94" ht="31.95" customHeight="1" x14ac:dyDescent="0.3"/>
    <row r="95" ht="31.95" customHeight="1" x14ac:dyDescent="0.3"/>
    <row r="96" ht="31.95" customHeight="1" x14ac:dyDescent="0.3"/>
    <row r="97" ht="31.95" customHeight="1" x14ac:dyDescent="0.3"/>
    <row r="98" ht="31.95" customHeight="1" x14ac:dyDescent="0.3"/>
    <row r="99" ht="31.95" customHeight="1" x14ac:dyDescent="0.3"/>
    <row r="100" ht="31.95" customHeight="1" x14ac:dyDescent="0.3"/>
    <row r="101" ht="31.95" customHeight="1" x14ac:dyDescent="0.3"/>
    <row r="102" ht="31.95" customHeight="1" x14ac:dyDescent="0.3"/>
    <row r="103" ht="31.95" customHeight="1" x14ac:dyDescent="0.3"/>
    <row r="104" ht="31.95" customHeight="1" x14ac:dyDescent="0.3"/>
    <row r="105" ht="31.95" customHeight="1" x14ac:dyDescent="0.3"/>
    <row r="106" ht="31.95" customHeight="1" x14ac:dyDescent="0.3"/>
    <row r="107" ht="31.95" customHeight="1" x14ac:dyDescent="0.3"/>
    <row r="108" ht="31.95" customHeight="1" x14ac:dyDescent="0.3"/>
    <row r="109" ht="31.95" customHeight="1" x14ac:dyDescent="0.3"/>
    <row r="110" ht="31.95" customHeight="1" x14ac:dyDescent="0.3"/>
    <row r="111" ht="31.95" customHeight="1" x14ac:dyDescent="0.3"/>
    <row r="112" ht="31.95" customHeight="1" x14ac:dyDescent="0.3"/>
    <row r="113" ht="31.95" customHeight="1" x14ac:dyDescent="0.3"/>
    <row r="114" ht="31.95" customHeight="1" x14ac:dyDescent="0.3"/>
    <row r="115" ht="31.95" customHeight="1" x14ac:dyDescent="0.3"/>
    <row r="116" ht="31.95" customHeight="1" x14ac:dyDescent="0.3"/>
    <row r="117" ht="31.95" customHeight="1" x14ac:dyDescent="0.3"/>
    <row r="118" ht="31.95" customHeight="1" x14ac:dyDescent="0.3"/>
    <row r="119" ht="31.95" customHeight="1" x14ac:dyDescent="0.3"/>
    <row r="120" ht="31.95" customHeight="1" x14ac:dyDescent="0.3"/>
    <row r="121" ht="31.95" customHeight="1" x14ac:dyDescent="0.3"/>
    <row r="122" ht="31.95" customHeight="1" x14ac:dyDescent="0.3"/>
    <row r="123" ht="31.95" customHeight="1" x14ac:dyDescent="0.3"/>
    <row r="124" ht="31.95" customHeight="1" x14ac:dyDescent="0.3"/>
    <row r="125" ht="31.95" customHeight="1" x14ac:dyDescent="0.3"/>
    <row r="126" ht="31.95" customHeight="1" x14ac:dyDescent="0.3"/>
    <row r="127" ht="31.95" customHeight="1" x14ac:dyDescent="0.3"/>
    <row r="128" ht="31.95" customHeight="1" x14ac:dyDescent="0.3"/>
    <row r="129" ht="31.95" customHeight="1" x14ac:dyDescent="0.3"/>
    <row r="130" ht="31.95" customHeight="1" x14ac:dyDescent="0.3"/>
    <row r="131" ht="31.95" customHeight="1" x14ac:dyDescent="0.3"/>
    <row r="132" ht="31.95" customHeight="1" x14ac:dyDescent="0.3"/>
    <row r="133" ht="31.95" customHeight="1" x14ac:dyDescent="0.3"/>
    <row r="134" ht="31.95" customHeight="1" x14ac:dyDescent="0.3"/>
    <row r="135" ht="31.95" customHeight="1" x14ac:dyDescent="0.3"/>
    <row r="136" ht="31.95" customHeight="1" x14ac:dyDescent="0.3"/>
    <row r="137" ht="31.95" customHeight="1" x14ac:dyDescent="0.3"/>
    <row r="138" ht="31.95" customHeight="1" x14ac:dyDescent="0.3"/>
    <row r="139" ht="31.95" customHeight="1" x14ac:dyDescent="0.3"/>
    <row r="140" ht="31.95" customHeight="1" x14ac:dyDescent="0.3"/>
    <row r="141" ht="31.95" customHeight="1" x14ac:dyDescent="0.3"/>
    <row r="142" ht="31.95" customHeight="1" x14ac:dyDescent="0.3"/>
    <row r="143" ht="31.95" customHeight="1" x14ac:dyDescent="0.3"/>
    <row r="144" ht="31.95" customHeight="1" x14ac:dyDescent="0.3"/>
    <row r="145" ht="31.95" customHeight="1" x14ac:dyDescent="0.3"/>
    <row r="146" ht="31.95" customHeight="1" x14ac:dyDescent="0.3"/>
    <row r="147" ht="31.95" customHeight="1" x14ac:dyDescent="0.3"/>
    <row r="148" ht="31.95" customHeight="1" x14ac:dyDescent="0.3"/>
    <row r="149" ht="31.95" customHeight="1" x14ac:dyDescent="0.3"/>
    <row r="150" ht="31.95" customHeight="1" x14ac:dyDescent="0.3"/>
    <row r="151" ht="31.95" customHeight="1" x14ac:dyDescent="0.3"/>
    <row r="152" ht="31.95" customHeight="1" x14ac:dyDescent="0.3"/>
    <row r="153" ht="31.95" customHeight="1" x14ac:dyDescent="0.3"/>
    <row r="154" ht="31.95" customHeight="1" x14ac:dyDescent="0.3"/>
    <row r="155" ht="31.95" customHeight="1" x14ac:dyDescent="0.3"/>
    <row r="156" ht="31.95" customHeight="1" x14ac:dyDescent="0.3"/>
    <row r="157" ht="31.95" customHeight="1" x14ac:dyDescent="0.3"/>
    <row r="158" ht="31.95" customHeight="1" x14ac:dyDescent="0.3"/>
    <row r="159" ht="31.95" customHeight="1" x14ac:dyDescent="0.3"/>
    <row r="160" ht="31.95" customHeight="1" x14ac:dyDescent="0.3"/>
    <row r="161" ht="31.95" customHeight="1" x14ac:dyDescent="0.3"/>
    <row r="162" ht="31.95" customHeight="1" x14ac:dyDescent="0.3"/>
    <row r="163" ht="31.95" customHeight="1" x14ac:dyDescent="0.3"/>
    <row r="164" ht="31.95" customHeight="1" x14ac:dyDescent="0.3"/>
    <row r="165" ht="31.95" customHeight="1" x14ac:dyDescent="0.3"/>
    <row r="166" ht="31.95" customHeight="1" x14ac:dyDescent="0.3"/>
    <row r="167" ht="31.95" customHeight="1" x14ac:dyDescent="0.3"/>
    <row r="168" ht="31.95" customHeight="1" x14ac:dyDescent="0.3"/>
    <row r="169" ht="31.95" customHeight="1" x14ac:dyDescent="0.3"/>
    <row r="170" ht="31.95" customHeight="1" x14ac:dyDescent="0.3"/>
    <row r="171" ht="31.95" customHeight="1" x14ac:dyDescent="0.3"/>
    <row r="172" ht="31.95" customHeight="1" x14ac:dyDescent="0.3"/>
    <row r="173" ht="31.95" customHeight="1" x14ac:dyDescent="0.3"/>
    <row r="174" ht="31.95" customHeight="1" x14ac:dyDescent="0.3"/>
    <row r="175" ht="31.95" customHeight="1" x14ac:dyDescent="0.3"/>
    <row r="176" ht="31.95" customHeight="1" x14ac:dyDescent="0.3"/>
    <row r="177" ht="31.95" customHeight="1" x14ac:dyDescent="0.3"/>
    <row r="178" ht="31.95" customHeight="1" x14ac:dyDescent="0.3"/>
    <row r="179" ht="31.95" customHeight="1" x14ac:dyDescent="0.3"/>
    <row r="180" ht="31.95" customHeight="1" x14ac:dyDescent="0.3"/>
    <row r="181" ht="31.95" customHeight="1" x14ac:dyDescent="0.3"/>
    <row r="182" ht="31.95" customHeight="1" x14ac:dyDescent="0.3"/>
    <row r="183" ht="31.95" customHeight="1" x14ac:dyDescent="0.3"/>
    <row r="184" ht="31.95" customHeight="1" x14ac:dyDescent="0.3"/>
    <row r="185" ht="31.95" customHeight="1" x14ac:dyDescent="0.3"/>
    <row r="186" ht="31.95" customHeight="1" x14ac:dyDescent="0.3"/>
    <row r="187" ht="31.95" customHeight="1" x14ac:dyDescent="0.3"/>
    <row r="188" ht="31.95" customHeight="1" x14ac:dyDescent="0.3"/>
    <row r="189" ht="31.95" customHeight="1" x14ac:dyDescent="0.3"/>
    <row r="190" ht="31.95" customHeight="1" x14ac:dyDescent="0.3"/>
    <row r="191" ht="31.95" customHeight="1" x14ac:dyDescent="0.3"/>
    <row r="192" ht="31.95" customHeight="1" x14ac:dyDescent="0.3"/>
    <row r="193" ht="31.95" customHeight="1" x14ac:dyDescent="0.3"/>
    <row r="194" ht="31.95" customHeight="1" x14ac:dyDescent="0.3"/>
    <row r="195" ht="31.95" customHeight="1" x14ac:dyDescent="0.3"/>
    <row r="196" ht="31.95" customHeight="1" x14ac:dyDescent="0.3"/>
    <row r="197" ht="31.95" customHeight="1" x14ac:dyDescent="0.3"/>
    <row r="198" ht="31.95" customHeight="1" x14ac:dyDescent="0.3"/>
    <row r="199" ht="31.95" customHeight="1" x14ac:dyDescent="0.3"/>
    <row r="200" ht="31.95" customHeight="1" x14ac:dyDescent="0.3"/>
    <row r="201" ht="31.95" customHeight="1" x14ac:dyDescent="0.3"/>
    <row r="202" ht="31.95" customHeight="1" x14ac:dyDescent="0.3"/>
    <row r="203" ht="31.95" customHeight="1" x14ac:dyDescent="0.3"/>
    <row r="204" ht="31.95" customHeight="1" x14ac:dyDescent="0.3"/>
    <row r="205" ht="31.95" customHeight="1" x14ac:dyDescent="0.3"/>
    <row r="206" ht="31.95" customHeight="1" x14ac:dyDescent="0.3"/>
    <row r="207" ht="31.95" customHeight="1" x14ac:dyDescent="0.3"/>
    <row r="208" ht="31.95" customHeight="1" x14ac:dyDescent="0.3"/>
    <row r="209" ht="31.95" customHeight="1" x14ac:dyDescent="0.3"/>
    <row r="210" ht="31.95" customHeight="1" x14ac:dyDescent="0.3"/>
    <row r="211" ht="31.95" customHeight="1" x14ac:dyDescent="0.3"/>
    <row r="212" ht="31.95" customHeight="1" x14ac:dyDescent="0.3"/>
    <row r="213" ht="31.95" customHeight="1" x14ac:dyDescent="0.3"/>
    <row r="214" ht="31.95" customHeight="1" x14ac:dyDescent="0.3"/>
    <row r="215" ht="31.95" customHeight="1" x14ac:dyDescent="0.3"/>
    <row r="216" ht="31.95" customHeight="1" x14ac:dyDescent="0.3"/>
    <row r="217" ht="31.95" customHeight="1" x14ac:dyDescent="0.3"/>
    <row r="218" ht="31.95" customHeight="1" x14ac:dyDescent="0.3"/>
    <row r="219" ht="31.95" customHeight="1" x14ac:dyDescent="0.3"/>
    <row r="220" ht="31.95" customHeight="1" x14ac:dyDescent="0.3"/>
    <row r="221" ht="31.95" customHeight="1" x14ac:dyDescent="0.3"/>
    <row r="222" ht="31.95" customHeight="1" x14ac:dyDescent="0.3"/>
    <row r="223" ht="31.95" customHeight="1" x14ac:dyDescent="0.3"/>
    <row r="224" ht="31.95" customHeight="1" x14ac:dyDescent="0.3"/>
    <row r="225" ht="31.95" customHeight="1" x14ac:dyDescent="0.3"/>
    <row r="226" ht="31.95" customHeight="1" x14ac:dyDescent="0.3"/>
    <row r="227" ht="31.95" customHeight="1" x14ac:dyDescent="0.3"/>
    <row r="228" ht="31.95" customHeight="1" x14ac:dyDescent="0.3"/>
    <row r="229" ht="31.95" customHeight="1" x14ac:dyDescent="0.3"/>
    <row r="230" ht="31.95" customHeight="1" x14ac:dyDescent="0.3"/>
    <row r="231" ht="31.95" customHeight="1" x14ac:dyDescent="0.3"/>
    <row r="232" ht="31.95" customHeight="1" x14ac:dyDescent="0.3"/>
    <row r="233" ht="31.95" customHeight="1" x14ac:dyDescent="0.3"/>
    <row r="234" ht="31.95" customHeight="1" x14ac:dyDescent="0.3"/>
    <row r="235" ht="31.95" customHeight="1" x14ac:dyDescent="0.3"/>
    <row r="236" ht="31.95" customHeight="1" x14ac:dyDescent="0.3"/>
    <row r="237" ht="31.95" customHeight="1" x14ac:dyDescent="0.3"/>
    <row r="238" ht="31.95" customHeight="1" x14ac:dyDescent="0.3"/>
    <row r="239" ht="31.95" customHeight="1" x14ac:dyDescent="0.3"/>
    <row r="240" ht="31.95" customHeight="1" x14ac:dyDescent="0.3"/>
    <row r="241" ht="31.95" customHeight="1" x14ac:dyDescent="0.3"/>
    <row r="242" ht="31.95" customHeight="1" x14ac:dyDescent="0.3"/>
    <row r="243" ht="31.95" customHeight="1" x14ac:dyDescent="0.3"/>
    <row r="244" ht="31.95" customHeight="1" x14ac:dyDescent="0.3"/>
    <row r="245" ht="31.95" customHeight="1" x14ac:dyDescent="0.3"/>
    <row r="246" ht="31.95" customHeight="1" x14ac:dyDescent="0.3"/>
    <row r="247" ht="31.95" customHeight="1" x14ac:dyDescent="0.3"/>
    <row r="248" ht="31.95" customHeight="1" x14ac:dyDescent="0.3"/>
    <row r="249" ht="31.95" customHeight="1" x14ac:dyDescent="0.3"/>
    <row r="250" ht="31.95" customHeight="1" x14ac:dyDescent="0.3"/>
    <row r="251" ht="31.95" customHeight="1" x14ac:dyDescent="0.3"/>
    <row r="252" ht="31.95" customHeight="1" x14ac:dyDescent="0.3"/>
    <row r="253" ht="31.95" customHeight="1" x14ac:dyDescent="0.3"/>
    <row r="254" ht="31.95" customHeight="1" x14ac:dyDescent="0.3"/>
    <row r="255" ht="31.95" customHeight="1" x14ac:dyDescent="0.3"/>
    <row r="256" ht="31.95" customHeight="1" x14ac:dyDescent="0.3"/>
    <row r="257" ht="31.95" customHeight="1" x14ac:dyDescent="0.3"/>
    <row r="258" ht="31.95" customHeight="1" x14ac:dyDescent="0.3"/>
    <row r="259" ht="31.95" customHeight="1" x14ac:dyDescent="0.3"/>
    <row r="260" ht="31.95" customHeight="1" x14ac:dyDescent="0.3"/>
    <row r="261" ht="31.95" customHeight="1" x14ac:dyDescent="0.3"/>
    <row r="262" ht="31.95" customHeight="1" x14ac:dyDescent="0.3"/>
    <row r="263" ht="31.95" customHeight="1" x14ac:dyDescent="0.3"/>
    <row r="264" ht="31.95" customHeight="1" x14ac:dyDescent="0.3"/>
    <row r="265" ht="31.95" customHeight="1" x14ac:dyDescent="0.3"/>
    <row r="266" ht="31.95" customHeight="1" x14ac:dyDescent="0.3"/>
    <row r="267" ht="31.95" customHeight="1" x14ac:dyDescent="0.3"/>
    <row r="268" ht="31.95" customHeight="1" x14ac:dyDescent="0.3"/>
    <row r="269" ht="31.95" customHeight="1" x14ac:dyDescent="0.3"/>
    <row r="270" ht="31.95" customHeight="1" x14ac:dyDescent="0.3"/>
    <row r="271" ht="31.95" customHeight="1" x14ac:dyDescent="0.3"/>
    <row r="272" ht="31.95" customHeight="1" x14ac:dyDescent="0.3"/>
    <row r="273" ht="31.95" customHeight="1" x14ac:dyDescent="0.3"/>
    <row r="274" ht="31.95" customHeight="1" x14ac:dyDescent="0.3"/>
    <row r="275" ht="31.95" customHeight="1" x14ac:dyDescent="0.3"/>
    <row r="276" ht="31.95" customHeight="1" x14ac:dyDescent="0.3"/>
    <row r="277" ht="31.95" customHeight="1" x14ac:dyDescent="0.3"/>
    <row r="278" ht="31.95" customHeight="1" x14ac:dyDescent="0.3"/>
    <row r="279" ht="31.95" customHeight="1" x14ac:dyDescent="0.3"/>
    <row r="280" ht="31.95" customHeight="1" x14ac:dyDescent="0.3"/>
    <row r="281" ht="31.95" customHeight="1" x14ac:dyDescent="0.3"/>
    <row r="282" ht="31.95" customHeight="1" x14ac:dyDescent="0.3"/>
    <row r="283" ht="31.95" customHeight="1" x14ac:dyDescent="0.3"/>
    <row r="284" ht="31.95" customHeight="1" x14ac:dyDescent="0.3"/>
    <row r="285" ht="31.95" customHeight="1" x14ac:dyDescent="0.3"/>
    <row r="286" ht="31.95" customHeight="1" x14ac:dyDescent="0.3"/>
    <row r="287" ht="31.95" customHeight="1" x14ac:dyDescent="0.3"/>
    <row r="288" ht="31.95" customHeight="1" x14ac:dyDescent="0.3"/>
    <row r="289" ht="31.95" customHeight="1" x14ac:dyDescent="0.3"/>
    <row r="290" ht="31.95" customHeight="1" x14ac:dyDescent="0.3"/>
    <row r="291" ht="31.95" customHeight="1" x14ac:dyDescent="0.3"/>
    <row r="292" ht="31.95" customHeight="1" x14ac:dyDescent="0.3"/>
    <row r="293" ht="31.95" customHeight="1" x14ac:dyDescent="0.3"/>
    <row r="294" ht="31.95" customHeight="1" x14ac:dyDescent="0.3"/>
    <row r="295" ht="31.95" customHeight="1" x14ac:dyDescent="0.3"/>
    <row r="296" ht="31.95" customHeight="1" x14ac:dyDescent="0.3"/>
    <row r="297" ht="31.95" customHeight="1" x14ac:dyDescent="0.3"/>
    <row r="298" ht="31.95" customHeight="1" x14ac:dyDescent="0.3"/>
    <row r="299" ht="31.95" customHeight="1" x14ac:dyDescent="0.3"/>
    <row r="300" ht="31.95" customHeight="1" x14ac:dyDescent="0.3"/>
    <row r="301" ht="31.95" customHeight="1" x14ac:dyDescent="0.3"/>
    <row r="302" ht="31.95" customHeight="1" x14ac:dyDescent="0.3"/>
    <row r="303" ht="31.95" customHeight="1" x14ac:dyDescent="0.3"/>
    <row r="304" ht="31.95" customHeight="1" x14ac:dyDescent="0.3"/>
    <row r="305" ht="31.95" customHeight="1" x14ac:dyDescent="0.3"/>
    <row r="306" ht="31.95" customHeight="1" x14ac:dyDescent="0.3"/>
    <row r="307" ht="31.95" customHeight="1" x14ac:dyDescent="0.3"/>
    <row r="308" ht="31.95" customHeight="1" x14ac:dyDescent="0.3"/>
    <row r="309" ht="31.95" customHeight="1" x14ac:dyDescent="0.3"/>
    <row r="310" ht="31.95" customHeight="1" x14ac:dyDescent="0.3"/>
    <row r="311" ht="31.95" customHeight="1" x14ac:dyDescent="0.3"/>
    <row r="312" ht="31.95" customHeight="1" x14ac:dyDescent="0.3"/>
    <row r="313" ht="31.95" customHeight="1" x14ac:dyDescent="0.3"/>
    <row r="314" ht="31.95" customHeight="1" x14ac:dyDescent="0.3"/>
    <row r="315" ht="31.95" customHeight="1" x14ac:dyDescent="0.3"/>
    <row r="316" ht="31.95" customHeight="1" x14ac:dyDescent="0.3"/>
    <row r="317" ht="31.95" customHeight="1" x14ac:dyDescent="0.3"/>
    <row r="318" ht="31.95" customHeight="1" x14ac:dyDescent="0.3"/>
    <row r="319" ht="31.95" customHeight="1" x14ac:dyDescent="0.3"/>
    <row r="320" ht="31.95" customHeight="1" x14ac:dyDescent="0.3"/>
    <row r="321" ht="31.95" customHeight="1" x14ac:dyDescent="0.3"/>
    <row r="322" ht="31.95" customHeight="1" x14ac:dyDescent="0.3"/>
    <row r="323" ht="31.95" customHeight="1" x14ac:dyDescent="0.3"/>
    <row r="324" ht="31.95" customHeight="1" x14ac:dyDescent="0.3"/>
    <row r="325" ht="31.95" customHeight="1" x14ac:dyDescent="0.3"/>
    <row r="326" ht="31.95" customHeight="1" x14ac:dyDescent="0.3"/>
    <row r="327" ht="31.95" customHeight="1" x14ac:dyDescent="0.3"/>
    <row r="328" ht="31.95" customHeight="1" x14ac:dyDescent="0.3"/>
    <row r="329" ht="31.95" customHeight="1" x14ac:dyDescent="0.3"/>
    <row r="330" ht="31.95" customHeight="1" x14ac:dyDescent="0.3"/>
    <row r="331" ht="31.95" customHeight="1" x14ac:dyDescent="0.3"/>
    <row r="332" ht="31.95" customHeight="1" x14ac:dyDescent="0.3"/>
    <row r="333" ht="31.95" customHeight="1" x14ac:dyDescent="0.3"/>
    <row r="334" ht="31.95" customHeight="1" x14ac:dyDescent="0.3"/>
    <row r="335" ht="31.95" customHeight="1" x14ac:dyDescent="0.3"/>
    <row r="336" ht="31.95" customHeight="1" x14ac:dyDescent="0.3"/>
    <row r="337" ht="31.95" customHeight="1" x14ac:dyDescent="0.3"/>
    <row r="338" ht="31.95" customHeight="1" x14ac:dyDescent="0.3"/>
    <row r="339" ht="31.95" customHeight="1" x14ac:dyDescent="0.3"/>
    <row r="340" ht="31.95" customHeight="1" x14ac:dyDescent="0.3"/>
    <row r="341" ht="31.95" customHeight="1" x14ac:dyDescent="0.3"/>
    <row r="342" ht="31.95" customHeight="1" x14ac:dyDescent="0.3"/>
    <row r="343" ht="31.95" customHeight="1" x14ac:dyDescent="0.3"/>
    <row r="344" ht="31.95" customHeight="1" x14ac:dyDescent="0.3"/>
    <row r="345" ht="31.95" customHeight="1" x14ac:dyDescent="0.3"/>
    <row r="346" ht="31.95" customHeight="1" x14ac:dyDescent="0.3"/>
    <row r="347" ht="31.95" customHeight="1" x14ac:dyDescent="0.3"/>
    <row r="348" ht="31.95" customHeight="1" x14ac:dyDescent="0.3"/>
    <row r="349" ht="31.95" customHeight="1" x14ac:dyDescent="0.3"/>
    <row r="350" ht="31.95" customHeight="1" x14ac:dyDescent="0.3"/>
    <row r="351" ht="31.95" customHeight="1" x14ac:dyDescent="0.3"/>
    <row r="352" ht="31.95" customHeight="1" x14ac:dyDescent="0.3"/>
    <row r="353" ht="31.95" customHeight="1" x14ac:dyDescent="0.3"/>
    <row r="354" ht="31.95" customHeight="1" x14ac:dyDescent="0.3"/>
    <row r="355" ht="31.95" customHeight="1" x14ac:dyDescent="0.3"/>
    <row r="356" ht="31.95" customHeight="1" x14ac:dyDescent="0.3"/>
    <row r="357" ht="31.95" customHeight="1" x14ac:dyDescent="0.3"/>
    <row r="358" ht="31.95" customHeight="1" x14ac:dyDescent="0.3"/>
    <row r="359" ht="31.95" customHeight="1" x14ac:dyDescent="0.3"/>
    <row r="360" ht="31.95" customHeight="1" x14ac:dyDescent="0.3"/>
    <row r="361" ht="31.95" customHeight="1" x14ac:dyDescent="0.3"/>
    <row r="362" ht="31.95" customHeight="1" x14ac:dyDescent="0.3"/>
    <row r="363" ht="31.95" customHeight="1" x14ac:dyDescent="0.3"/>
    <row r="364" ht="31.95" customHeight="1" x14ac:dyDescent="0.3"/>
    <row r="365" ht="31.95" customHeight="1" x14ac:dyDescent="0.3"/>
    <row r="366" ht="31.95" customHeight="1" x14ac:dyDescent="0.3"/>
    <row r="367" ht="31.95" customHeight="1" x14ac:dyDescent="0.3"/>
    <row r="368" ht="31.95" customHeight="1" x14ac:dyDescent="0.3"/>
    <row r="369" ht="31.95" customHeight="1" x14ac:dyDescent="0.3"/>
    <row r="370" ht="31.95" customHeight="1" x14ac:dyDescent="0.3"/>
    <row r="371" ht="31.95" customHeight="1" x14ac:dyDescent="0.3"/>
    <row r="372" ht="31.95" customHeight="1" x14ac:dyDescent="0.3"/>
    <row r="373" ht="31.95" customHeight="1" x14ac:dyDescent="0.3"/>
    <row r="374" ht="31.95" customHeight="1" x14ac:dyDescent="0.3"/>
    <row r="375" ht="31.95" customHeight="1" x14ac:dyDescent="0.3"/>
    <row r="376" ht="31.95" customHeight="1" x14ac:dyDescent="0.3"/>
    <row r="377" ht="31.95" customHeight="1" x14ac:dyDescent="0.3"/>
    <row r="378" ht="31.95" customHeight="1" x14ac:dyDescent="0.3"/>
    <row r="379" ht="31.95" customHeight="1" x14ac:dyDescent="0.3"/>
    <row r="380" ht="31.95" customHeight="1" x14ac:dyDescent="0.3"/>
    <row r="381" ht="31.95" customHeight="1" x14ac:dyDescent="0.3"/>
    <row r="382" ht="31.95" customHeight="1" x14ac:dyDescent="0.3"/>
    <row r="383" ht="31.95" customHeight="1" x14ac:dyDescent="0.3"/>
    <row r="384" ht="31.95" customHeight="1" x14ac:dyDescent="0.3"/>
    <row r="385" ht="31.95" customHeight="1" x14ac:dyDescent="0.3"/>
    <row r="386" ht="31.95" customHeight="1" x14ac:dyDescent="0.3"/>
    <row r="387" ht="31.95" customHeight="1" x14ac:dyDescent="0.3"/>
    <row r="388" ht="31.95" customHeight="1" x14ac:dyDescent="0.3"/>
    <row r="389" ht="31.95" customHeight="1" x14ac:dyDescent="0.3"/>
    <row r="390" ht="31.95" customHeight="1" x14ac:dyDescent="0.3"/>
    <row r="391" ht="31.95" customHeight="1" x14ac:dyDescent="0.3"/>
    <row r="392" ht="31.95" customHeight="1" x14ac:dyDescent="0.3"/>
    <row r="393" ht="31.95" customHeight="1" x14ac:dyDescent="0.3"/>
    <row r="394" ht="31.95" customHeight="1" x14ac:dyDescent="0.3"/>
    <row r="395" ht="31.95" customHeight="1" x14ac:dyDescent="0.3"/>
    <row r="396" ht="31.95" customHeight="1" x14ac:dyDescent="0.3"/>
    <row r="397" ht="31.95" customHeight="1" x14ac:dyDescent="0.3"/>
    <row r="398" ht="31.95" customHeight="1" x14ac:dyDescent="0.3"/>
    <row r="399" ht="31.95" customHeight="1" x14ac:dyDescent="0.3"/>
    <row r="400" ht="31.95" customHeight="1" x14ac:dyDescent="0.3"/>
    <row r="401" ht="31.95" customHeight="1" x14ac:dyDescent="0.3"/>
    <row r="402" ht="31.95" customHeight="1" x14ac:dyDescent="0.3"/>
    <row r="403" ht="31.95" customHeight="1" x14ac:dyDescent="0.3"/>
    <row r="404" ht="31.95" customHeight="1" x14ac:dyDescent="0.3"/>
    <row r="405" ht="31.95" customHeight="1" x14ac:dyDescent="0.3"/>
    <row r="406" ht="31.95" customHeight="1" x14ac:dyDescent="0.3"/>
    <row r="407" ht="31.95" customHeight="1" x14ac:dyDescent="0.3"/>
    <row r="408" ht="31.95" customHeight="1" x14ac:dyDescent="0.3"/>
    <row r="409" ht="31.95" customHeight="1" x14ac:dyDescent="0.3"/>
    <row r="410" ht="31.95" customHeight="1" x14ac:dyDescent="0.3"/>
    <row r="411" ht="31.95" customHeight="1" x14ac:dyDescent="0.3"/>
    <row r="412" ht="31.95" customHeight="1" x14ac:dyDescent="0.3"/>
    <row r="413" ht="31.95" customHeight="1" x14ac:dyDescent="0.3"/>
    <row r="414" ht="31.95" customHeight="1" x14ac:dyDescent="0.3"/>
    <row r="415" ht="31.95" customHeight="1" x14ac:dyDescent="0.3"/>
    <row r="416" ht="31.95" customHeight="1" x14ac:dyDescent="0.3"/>
    <row r="417" ht="31.95" customHeight="1" x14ac:dyDescent="0.3"/>
    <row r="418" ht="31.95" customHeight="1" x14ac:dyDescent="0.3"/>
    <row r="419" ht="31.95" customHeight="1" x14ac:dyDescent="0.3"/>
    <row r="420" ht="31.95" customHeight="1" x14ac:dyDescent="0.3"/>
    <row r="421" ht="31.95" customHeight="1" x14ac:dyDescent="0.3"/>
    <row r="422" ht="31.95" customHeight="1" x14ac:dyDescent="0.3"/>
    <row r="423" ht="31.95" customHeight="1" x14ac:dyDescent="0.3"/>
    <row r="424" ht="31.95" customHeight="1" x14ac:dyDescent="0.3"/>
    <row r="425" ht="31.95" customHeight="1" x14ac:dyDescent="0.3"/>
    <row r="426" ht="31.95" customHeight="1" x14ac:dyDescent="0.3"/>
    <row r="427" ht="31.95" customHeight="1" x14ac:dyDescent="0.3"/>
    <row r="428" ht="31.95" customHeight="1" x14ac:dyDescent="0.3"/>
    <row r="429" ht="31.95" customHeight="1" x14ac:dyDescent="0.3"/>
    <row r="430" ht="31.95" customHeight="1" x14ac:dyDescent="0.3"/>
    <row r="431" ht="31.95" customHeight="1" x14ac:dyDescent="0.3"/>
    <row r="432" ht="31.95" customHeight="1" x14ac:dyDescent="0.3"/>
    <row r="433" ht="31.95" customHeight="1" x14ac:dyDescent="0.3"/>
    <row r="434" ht="31.95" customHeight="1" x14ac:dyDescent="0.3"/>
    <row r="435" ht="31.95" customHeight="1" x14ac:dyDescent="0.3"/>
    <row r="436" ht="31.95" customHeight="1" x14ac:dyDescent="0.3"/>
    <row r="437" ht="31.95" customHeight="1" x14ac:dyDescent="0.3"/>
    <row r="438" ht="31.95" customHeight="1" x14ac:dyDescent="0.3"/>
    <row r="439" ht="31.95" customHeight="1" x14ac:dyDescent="0.3"/>
    <row r="440" ht="31.95" customHeight="1" x14ac:dyDescent="0.3"/>
    <row r="441" ht="31.95" customHeight="1" x14ac:dyDescent="0.3"/>
    <row r="442" ht="31.95" customHeight="1" x14ac:dyDescent="0.3"/>
    <row r="443" ht="31.95" customHeight="1" x14ac:dyDescent="0.3"/>
    <row r="444" ht="31.95" customHeight="1" x14ac:dyDescent="0.3"/>
    <row r="445" ht="31.95" customHeight="1" x14ac:dyDescent="0.3"/>
    <row r="446" ht="31.95" customHeight="1" x14ac:dyDescent="0.3"/>
    <row r="447" ht="31.95" customHeight="1" x14ac:dyDescent="0.3"/>
    <row r="448" ht="31.95" customHeight="1" x14ac:dyDescent="0.3"/>
    <row r="449" ht="31.95" customHeight="1" x14ac:dyDescent="0.3"/>
    <row r="450" ht="31.95" customHeight="1" x14ac:dyDescent="0.3"/>
    <row r="451" ht="31.95" customHeight="1" x14ac:dyDescent="0.3"/>
    <row r="452" ht="31.95" customHeight="1" x14ac:dyDescent="0.3"/>
    <row r="453" ht="31.95" customHeight="1" x14ac:dyDescent="0.3"/>
    <row r="454" ht="31.95" customHeight="1" x14ac:dyDescent="0.3"/>
    <row r="455" ht="31.95" customHeight="1" x14ac:dyDescent="0.3"/>
    <row r="456" ht="31.95" customHeight="1" x14ac:dyDescent="0.3"/>
    <row r="457" ht="31.95" customHeight="1" x14ac:dyDescent="0.3"/>
    <row r="458" ht="31.95" customHeight="1" x14ac:dyDescent="0.3"/>
    <row r="459" ht="31.95" customHeight="1" x14ac:dyDescent="0.3"/>
    <row r="460" ht="31.95" customHeight="1" x14ac:dyDescent="0.3"/>
    <row r="461" ht="31.95" customHeight="1" x14ac:dyDescent="0.3"/>
    <row r="462" ht="31.95" customHeight="1" x14ac:dyDescent="0.3"/>
    <row r="463" ht="31.95" customHeight="1" x14ac:dyDescent="0.3"/>
    <row r="464" ht="31.95" customHeight="1" x14ac:dyDescent="0.3"/>
    <row r="465" ht="31.95" customHeight="1" x14ac:dyDescent="0.3"/>
    <row r="466" ht="31.95" customHeight="1" x14ac:dyDescent="0.3"/>
    <row r="467" ht="31.95" customHeight="1" x14ac:dyDescent="0.3"/>
    <row r="468" ht="31.95" customHeight="1" x14ac:dyDescent="0.3"/>
    <row r="469" ht="31.95" customHeight="1" x14ac:dyDescent="0.3"/>
    <row r="470" ht="31.95" customHeight="1" x14ac:dyDescent="0.3"/>
    <row r="471" ht="31.95" customHeight="1" x14ac:dyDescent="0.3"/>
    <row r="472" ht="31.95" customHeight="1" x14ac:dyDescent="0.3"/>
    <row r="473" ht="31.95" customHeight="1" x14ac:dyDescent="0.3"/>
    <row r="474" ht="31.95" customHeight="1" x14ac:dyDescent="0.3"/>
    <row r="475" ht="31.95" customHeight="1" x14ac:dyDescent="0.3"/>
    <row r="476" ht="31.95" customHeight="1" x14ac:dyDescent="0.3"/>
    <row r="477" ht="31.95" customHeight="1" x14ac:dyDescent="0.3"/>
    <row r="478" ht="31.95" customHeight="1" x14ac:dyDescent="0.3"/>
    <row r="479" ht="31.95" customHeight="1" x14ac:dyDescent="0.3"/>
    <row r="480" ht="31.95" customHeight="1" x14ac:dyDescent="0.3"/>
    <row r="481" ht="31.95" customHeight="1" x14ac:dyDescent="0.3"/>
    <row r="482" ht="31.95" customHeight="1" x14ac:dyDescent="0.3"/>
    <row r="483" ht="31.95" customHeight="1" x14ac:dyDescent="0.3"/>
    <row r="484" ht="31.95" customHeight="1" x14ac:dyDescent="0.3"/>
    <row r="485" ht="31.95" customHeight="1" x14ac:dyDescent="0.3"/>
    <row r="486" ht="31.95" customHeight="1" x14ac:dyDescent="0.3"/>
    <row r="487" ht="31.95" customHeight="1" x14ac:dyDescent="0.3"/>
    <row r="488" ht="31.95" customHeight="1" x14ac:dyDescent="0.3"/>
    <row r="489" ht="31.95" customHeight="1" x14ac:dyDescent="0.3"/>
    <row r="490" ht="31.95" customHeight="1" x14ac:dyDescent="0.3"/>
    <row r="491" ht="31.95" customHeight="1" x14ac:dyDescent="0.3"/>
    <row r="492" ht="31.95" customHeight="1" x14ac:dyDescent="0.3"/>
    <row r="493" ht="31.95" customHeight="1" x14ac:dyDescent="0.3"/>
    <row r="494" ht="31.95" customHeight="1" x14ac:dyDescent="0.3"/>
    <row r="495" ht="31.95" customHeight="1" x14ac:dyDescent="0.3"/>
    <row r="496" ht="31.95" customHeight="1" x14ac:dyDescent="0.3"/>
    <row r="497" ht="31.95" customHeight="1" x14ac:dyDescent="0.3"/>
    <row r="498" ht="31.95" customHeight="1" x14ac:dyDescent="0.3"/>
    <row r="499" ht="31.95" customHeight="1" x14ac:dyDescent="0.3"/>
    <row r="500" ht="31.95" customHeight="1" x14ac:dyDescent="0.3"/>
    <row r="501" ht="31.95" customHeight="1" x14ac:dyDescent="0.3"/>
    <row r="502" ht="31.95" customHeight="1" x14ac:dyDescent="0.3"/>
    <row r="503" ht="31.95" customHeight="1" x14ac:dyDescent="0.3"/>
    <row r="504" ht="31.95" customHeight="1" x14ac:dyDescent="0.3"/>
    <row r="505" ht="31.95" customHeight="1" x14ac:dyDescent="0.3"/>
    <row r="506" ht="31.95" customHeight="1" x14ac:dyDescent="0.3"/>
    <row r="507" ht="31.95" customHeight="1" x14ac:dyDescent="0.3"/>
    <row r="508" ht="31.95" customHeight="1" x14ac:dyDescent="0.3"/>
    <row r="509" ht="31.95" customHeight="1" x14ac:dyDescent="0.3"/>
    <row r="510" ht="31.95" customHeight="1" x14ac:dyDescent="0.3"/>
    <row r="511" ht="31.95" customHeight="1" x14ac:dyDescent="0.3"/>
    <row r="512" ht="31.95" customHeight="1" x14ac:dyDescent="0.3"/>
    <row r="513" ht="31.95" customHeight="1" x14ac:dyDescent="0.3"/>
    <row r="514" ht="31.95" customHeight="1" x14ac:dyDescent="0.3"/>
    <row r="515" ht="31.95" customHeight="1" x14ac:dyDescent="0.3"/>
    <row r="516" ht="31.95" customHeight="1" x14ac:dyDescent="0.3"/>
    <row r="517" ht="31.95" customHeight="1" x14ac:dyDescent="0.3"/>
    <row r="518" ht="31.95" customHeight="1" x14ac:dyDescent="0.3"/>
    <row r="519" ht="31.95" customHeight="1" x14ac:dyDescent="0.3"/>
    <row r="520" ht="31.95" customHeight="1" x14ac:dyDescent="0.3"/>
    <row r="521" ht="31.95" customHeight="1" x14ac:dyDescent="0.3"/>
    <row r="522" ht="31.95" customHeight="1" x14ac:dyDescent="0.3"/>
    <row r="523" ht="31.95" customHeight="1" x14ac:dyDescent="0.3"/>
    <row r="524" ht="31.95" customHeight="1" x14ac:dyDescent="0.3"/>
    <row r="525" ht="31.95" customHeight="1" x14ac:dyDescent="0.3"/>
    <row r="526" ht="31.95" customHeight="1" x14ac:dyDescent="0.3"/>
    <row r="527" ht="31.95" customHeight="1" x14ac:dyDescent="0.3"/>
    <row r="528" ht="31.95" customHeight="1" x14ac:dyDescent="0.3"/>
    <row r="529" ht="31.95" customHeight="1" x14ac:dyDescent="0.3"/>
    <row r="530" ht="31.95" customHeight="1" x14ac:dyDescent="0.3"/>
    <row r="531" ht="31.95" customHeight="1" x14ac:dyDescent="0.3"/>
    <row r="532" ht="31.95" customHeight="1" x14ac:dyDescent="0.3"/>
    <row r="533" ht="31.95" customHeight="1" x14ac:dyDescent="0.3"/>
    <row r="534" ht="31.95" customHeight="1" x14ac:dyDescent="0.3"/>
    <row r="535" ht="31.95" customHeight="1" x14ac:dyDescent="0.3"/>
    <row r="536" ht="31.95" customHeight="1" x14ac:dyDescent="0.3"/>
    <row r="537" ht="31.95" customHeight="1" x14ac:dyDescent="0.3"/>
    <row r="538" ht="31.95" customHeight="1" x14ac:dyDescent="0.3"/>
    <row r="539" ht="31.95" customHeight="1" x14ac:dyDescent="0.3"/>
    <row r="540" ht="31.95" customHeight="1" x14ac:dyDescent="0.3"/>
    <row r="541" ht="31.95" customHeight="1" x14ac:dyDescent="0.3"/>
    <row r="542" ht="31.95" customHeight="1" x14ac:dyDescent="0.3"/>
    <row r="543" ht="31.95" customHeight="1" x14ac:dyDescent="0.3"/>
    <row r="544" ht="31.95" customHeight="1" x14ac:dyDescent="0.3"/>
    <row r="545" ht="31.95" customHeight="1" x14ac:dyDescent="0.3"/>
    <row r="546" ht="31.95" customHeight="1" x14ac:dyDescent="0.3"/>
    <row r="547" ht="31.95" customHeight="1" x14ac:dyDescent="0.3"/>
    <row r="548" ht="31.95" customHeight="1" x14ac:dyDescent="0.3"/>
    <row r="549" ht="31.95" customHeight="1" x14ac:dyDescent="0.3"/>
    <row r="550" ht="31.95" customHeight="1" x14ac:dyDescent="0.3"/>
    <row r="551" ht="31.95" customHeight="1" x14ac:dyDescent="0.3"/>
    <row r="552" ht="31.95" customHeight="1" x14ac:dyDescent="0.3"/>
    <row r="553" ht="31.95" customHeight="1" x14ac:dyDescent="0.3"/>
    <row r="554" ht="31.95" customHeight="1" x14ac:dyDescent="0.3"/>
    <row r="555" ht="31.95" customHeight="1" x14ac:dyDescent="0.3"/>
    <row r="556" ht="31.95" customHeight="1" x14ac:dyDescent="0.3"/>
    <row r="557" ht="31.95" customHeight="1" x14ac:dyDescent="0.3"/>
    <row r="558" ht="31.95" customHeight="1" x14ac:dyDescent="0.3"/>
    <row r="559" ht="31.95" customHeight="1" x14ac:dyDescent="0.3"/>
    <row r="560" ht="31.95" customHeight="1" x14ac:dyDescent="0.3"/>
    <row r="561" ht="31.95" customHeight="1" x14ac:dyDescent="0.3"/>
    <row r="562" ht="31.95" customHeight="1" x14ac:dyDescent="0.3"/>
    <row r="563" ht="31.95" customHeight="1" x14ac:dyDescent="0.3"/>
    <row r="564" ht="31.95" customHeight="1" x14ac:dyDescent="0.3"/>
    <row r="565" ht="31.95" customHeight="1" x14ac:dyDescent="0.3"/>
    <row r="566" ht="31.95" customHeight="1" x14ac:dyDescent="0.3"/>
    <row r="567" ht="31.95" customHeight="1" x14ac:dyDescent="0.3"/>
    <row r="568" ht="31.95" customHeight="1" x14ac:dyDescent="0.3"/>
    <row r="569" ht="31.95" customHeight="1" x14ac:dyDescent="0.3"/>
    <row r="570" ht="31.95" customHeight="1" x14ac:dyDescent="0.3"/>
    <row r="571" ht="31.95" customHeight="1" x14ac:dyDescent="0.3"/>
    <row r="572" ht="31.95" customHeight="1" x14ac:dyDescent="0.3"/>
    <row r="573" ht="31.95" customHeight="1" x14ac:dyDescent="0.3"/>
    <row r="574" ht="31.95" customHeight="1" x14ac:dyDescent="0.3"/>
    <row r="575" ht="31.95" customHeight="1" x14ac:dyDescent="0.3"/>
    <row r="576" ht="31.95" customHeight="1" x14ac:dyDescent="0.3"/>
    <row r="577" ht="31.95" customHeight="1" x14ac:dyDescent="0.3"/>
    <row r="578" ht="31.95" customHeight="1" x14ac:dyDescent="0.3"/>
    <row r="579" ht="31.95" customHeight="1" x14ac:dyDescent="0.3"/>
    <row r="580" ht="31.95" customHeight="1" x14ac:dyDescent="0.3"/>
    <row r="581" ht="31.95" customHeight="1" x14ac:dyDescent="0.3"/>
    <row r="582" ht="31.95" customHeight="1" x14ac:dyDescent="0.3"/>
    <row r="583" ht="31.95" customHeight="1" x14ac:dyDescent="0.3"/>
    <row r="584" ht="31.95" customHeight="1" x14ac:dyDescent="0.3"/>
    <row r="585" ht="31.95" customHeight="1" x14ac:dyDescent="0.3"/>
    <row r="586" ht="31.95" customHeight="1" x14ac:dyDescent="0.3"/>
    <row r="587" ht="31.95" customHeight="1" x14ac:dyDescent="0.3"/>
    <row r="588" ht="31.95" customHeight="1" x14ac:dyDescent="0.3"/>
    <row r="589" ht="31.95" customHeight="1" x14ac:dyDescent="0.3"/>
    <row r="590" ht="31.95" customHeight="1" x14ac:dyDescent="0.3"/>
    <row r="591" ht="31.95" customHeight="1" x14ac:dyDescent="0.3"/>
    <row r="592" ht="31.95" customHeight="1" x14ac:dyDescent="0.3"/>
    <row r="593" ht="31.95" customHeight="1" x14ac:dyDescent="0.3"/>
    <row r="594" ht="31.95" customHeight="1" x14ac:dyDescent="0.3"/>
    <row r="595" ht="31.95" customHeight="1" x14ac:dyDescent="0.3"/>
    <row r="596" ht="31.95" customHeight="1" x14ac:dyDescent="0.3"/>
    <row r="597" ht="31.95" customHeight="1" x14ac:dyDescent="0.3"/>
    <row r="598" ht="31.95" customHeight="1" x14ac:dyDescent="0.3"/>
    <row r="599" ht="31.95" customHeight="1" x14ac:dyDescent="0.3"/>
    <row r="600" ht="31.95" customHeight="1" x14ac:dyDescent="0.3"/>
    <row r="601" ht="31.95" customHeight="1" x14ac:dyDescent="0.3"/>
    <row r="602" ht="31.95" customHeight="1" x14ac:dyDescent="0.3"/>
    <row r="603" ht="31.95" customHeight="1" x14ac:dyDescent="0.3"/>
    <row r="604" ht="31.95" customHeight="1" x14ac:dyDescent="0.3"/>
    <row r="605" ht="31.95" customHeight="1" x14ac:dyDescent="0.3"/>
    <row r="606" ht="31.95" customHeight="1" x14ac:dyDescent="0.3"/>
    <row r="607" ht="31.95" customHeight="1" x14ac:dyDescent="0.3"/>
    <row r="608" ht="31.95" customHeight="1" x14ac:dyDescent="0.3"/>
    <row r="609" ht="31.95" customHeight="1" x14ac:dyDescent="0.3"/>
    <row r="610" ht="31.95" customHeight="1" x14ac:dyDescent="0.3"/>
    <row r="611" ht="31.95" customHeight="1" x14ac:dyDescent="0.3"/>
    <row r="612" ht="31.95" customHeight="1" x14ac:dyDescent="0.3"/>
    <row r="613" ht="31.95" customHeight="1" x14ac:dyDescent="0.3"/>
    <row r="614" ht="31.95" customHeight="1" x14ac:dyDescent="0.3"/>
    <row r="615" ht="31.95" customHeight="1" x14ac:dyDescent="0.3"/>
    <row r="616" ht="31.95" customHeight="1" x14ac:dyDescent="0.3"/>
    <row r="617" ht="31.95" customHeight="1" x14ac:dyDescent="0.3"/>
    <row r="618" ht="31.95" customHeight="1" x14ac:dyDescent="0.3"/>
    <row r="619" ht="31.95" customHeight="1" x14ac:dyDescent="0.3"/>
    <row r="620" ht="31.95" customHeight="1" x14ac:dyDescent="0.3"/>
    <row r="621" ht="31.95" customHeight="1" x14ac:dyDescent="0.3"/>
    <row r="622" ht="31.95" customHeight="1" x14ac:dyDescent="0.3"/>
    <row r="623" ht="31.95" customHeight="1" x14ac:dyDescent="0.3"/>
    <row r="624" ht="31.95" customHeight="1" x14ac:dyDescent="0.3"/>
    <row r="625" ht="31.95" customHeight="1" x14ac:dyDescent="0.3"/>
    <row r="626" ht="31.95" customHeight="1" x14ac:dyDescent="0.3"/>
    <row r="627" ht="31.95" customHeight="1" x14ac:dyDescent="0.3"/>
    <row r="628" ht="31.95" customHeight="1" x14ac:dyDescent="0.3"/>
    <row r="629" ht="31.95" customHeight="1" x14ac:dyDescent="0.3"/>
    <row r="630" ht="31.95" customHeight="1" x14ac:dyDescent="0.3"/>
    <row r="631" ht="31.95" customHeight="1" x14ac:dyDescent="0.3"/>
    <row r="632" ht="31.95" customHeight="1" x14ac:dyDescent="0.3"/>
    <row r="633" ht="31.95" customHeight="1" x14ac:dyDescent="0.3"/>
    <row r="634" ht="31.95" customHeight="1" x14ac:dyDescent="0.3"/>
    <row r="635" ht="31.95" customHeight="1" x14ac:dyDescent="0.3"/>
    <row r="636" ht="31.95" customHeight="1" x14ac:dyDescent="0.3"/>
    <row r="637" ht="31.95" customHeight="1" x14ac:dyDescent="0.3"/>
    <row r="638" ht="31.95" customHeight="1" x14ac:dyDescent="0.3"/>
    <row r="639" ht="31.95" customHeight="1" x14ac:dyDescent="0.3"/>
    <row r="640" ht="31.95" customHeight="1" x14ac:dyDescent="0.3"/>
    <row r="641" ht="31.95" customHeight="1" x14ac:dyDescent="0.3"/>
    <row r="642" ht="31.95" customHeight="1" x14ac:dyDescent="0.3"/>
    <row r="643" ht="31.95" customHeight="1" x14ac:dyDescent="0.3"/>
    <row r="644" ht="31.95" customHeight="1" x14ac:dyDescent="0.3"/>
    <row r="645" ht="31.95" customHeight="1" x14ac:dyDescent="0.3"/>
    <row r="646" ht="31.95" customHeight="1" x14ac:dyDescent="0.3"/>
    <row r="647" ht="31.95" customHeight="1" x14ac:dyDescent="0.3"/>
    <row r="648" ht="31.95" customHeight="1" x14ac:dyDescent="0.3"/>
    <row r="649" ht="31.95" customHeight="1" x14ac:dyDescent="0.3"/>
    <row r="650" ht="31.95" customHeight="1" x14ac:dyDescent="0.3"/>
    <row r="651" ht="31.95" customHeight="1" x14ac:dyDescent="0.3"/>
    <row r="652" ht="31.95" customHeight="1" x14ac:dyDescent="0.3"/>
    <row r="653" ht="31.95" customHeight="1" x14ac:dyDescent="0.3"/>
    <row r="654" ht="31.95" customHeight="1" x14ac:dyDescent="0.3"/>
    <row r="655" ht="31.95" customHeight="1" x14ac:dyDescent="0.3"/>
    <row r="656" ht="31.95" customHeight="1" x14ac:dyDescent="0.3"/>
    <row r="657" ht="31.95" customHeight="1" x14ac:dyDescent="0.3"/>
    <row r="658" ht="31.95" customHeight="1" x14ac:dyDescent="0.3"/>
    <row r="659" ht="31.95" customHeight="1" x14ac:dyDescent="0.3"/>
    <row r="660" ht="31.95" customHeight="1" x14ac:dyDescent="0.3"/>
    <row r="661" ht="31.95" customHeight="1" x14ac:dyDescent="0.3"/>
    <row r="662" ht="31.95" customHeight="1" x14ac:dyDescent="0.3"/>
    <row r="663" ht="31.95" customHeight="1" x14ac:dyDescent="0.3"/>
    <row r="664" ht="31.95" customHeight="1" x14ac:dyDescent="0.3"/>
    <row r="665" ht="31.95" customHeight="1" x14ac:dyDescent="0.3"/>
    <row r="666" ht="31.95" customHeight="1" x14ac:dyDescent="0.3"/>
    <row r="667" ht="31.95" customHeight="1" x14ac:dyDescent="0.3"/>
    <row r="668" ht="31.95" customHeight="1" x14ac:dyDescent="0.3"/>
    <row r="669" ht="31.95" customHeight="1" x14ac:dyDescent="0.3"/>
    <row r="670" ht="31.95" customHeight="1" x14ac:dyDescent="0.3"/>
    <row r="671" ht="31.95" customHeight="1" x14ac:dyDescent="0.3"/>
    <row r="672" ht="31.95" customHeight="1" x14ac:dyDescent="0.3"/>
    <row r="673" ht="31.95" customHeight="1" x14ac:dyDescent="0.3"/>
    <row r="674" ht="31.95" customHeight="1" x14ac:dyDescent="0.3"/>
    <row r="675" ht="31.95" customHeight="1" x14ac:dyDescent="0.3"/>
    <row r="676" ht="31.95" customHeight="1" x14ac:dyDescent="0.3"/>
    <row r="677" ht="31.95" customHeight="1" x14ac:dyDescent="0.3"/>
    <row r="678" ht="31.95" customHeight="1" x14ac:dyDescent="0.3"/>
    <row r="679" ht="31.95" customHeight="1" x14ac:dyDescent="0.3"/>
    <row r="680" ht="31.95" customHeight="1" x14ac:dyDescent="0.3"/>
    <row r="681" ht="31.95" customHeight="1" x14ac:dyDescent="0.3"/>
    <row r="682" ht="31.95" customHeight="1" x14ac:dyDescent="0.3"/>
    <row r="683" ht="31.95" customHeight="1" x14ac:dyDescent="0.3"/>
    <row r="684" ht="31.95" customHeight="1" x14ac:dyDescent="0.3"/>
    <row r="685" ht="31.95" customHeight="1" x14ac:dyDescent="0.3"/>
    <row r="686" ht="31.95" customHeight="1" x14ac:dyDescent="0.3"/>
    <row r="687" ht="31.95" customHeight="1" x14ac:dyDescent="0.3"/>
    <row r="688" ht="31.95" customHeight="1" x14ac:dyDescent="0.3"/>
    <row r="689" ht="31.95" customHeight="1" x14ac:dyDescent="0.3"/>
    <row r="690" ht="31.95" customHeight="1" x14ac:dyDescent="0.3"/>
    <row r="691" ht="31.95" customHeight="1" x14ac:dyDescent="0.3"/>
    <row r="692" ht="31.95" customHeight="1" x14ac:dyDescent="0.3"/>
    <row r="693" ht="31.95" customHeight="1" x14ac:dyDescent="0.3"/>
    <row r="694" ht="31.95" customHeight="1" x14ac:dyDescent="0.3"/>
    <row r="695" ht="31.95" customHeight="1" x14ac:dyDescent="0.3"/>
    <row r="696" ht="31.95" customHeight="1" x14ac:dyDescent="0.3"/>
    <row r="697" ht="31.95" customHeight="1" x14ac:dyDescent="0.3"/>
    <row r="698" ht="31.95" customHeight="1" x14ac:dyDescent="0.3"/>
    <row r="699" ht="31.95" customHeight="1" x14ac:dyDescent="0.3"/>
    <row r="700" ht="31.95" customHeight="1" x14ac:dyDescent="0.3"/>
    <row r="701" ht="31.95" customHeight="1" x14ac:dyDescent="0.3"/>
    <row r="702" ht="31.95" customHeight="1" x14ac:dyDescent="0.3"/>
    <row r="703" ht="31.95" customHeight="1" x14ac:dyDescent="0.3"/>
    <row r="704" ht="31.95" customHeight="1" x14ac:dyDescent="0.3"/>
    <row r="705" ht="31.95" customHeight="1" x14ac:dyDescent="0.3"/>
    <row r="706" ht="31.95" customHeight="1" x14ac:dyDescent="0.3"/>
    <row r="707" ht="31.95" customHeight="1" x14ac:dyDescent="0.3"/>
    <row r="708" ht="31.95" customHeight="1" x14ac:dyDescent="0.3"/>
    <row r="709" ht="31.95" customHeight="1" x14ac:dyDescent="0.3"/>
    <row r="710" ht="31.95" customHeight="1" x14ac:dyDescent="0.3"/>
    <row r="711" ht="31.95" customHeight="1" x14ac:dyDescent="0.3"/>
    <row r="712" ht="31.95" customHeight="1" x14ac:dyDescent="0.3"/>
    <row r="713" ht="31.95" customHeight="1" x14ac:dyDescent="0.3"/>
    <row r="714" ht="31.95" customHeight="1" x14ac:dyDescent="0.3"/>
    <row r="715" ht="31.95" customHeight="1" x14ac:dyDescent="0.3"/>
    <row r="716" ht="31.95" customHeight="1" x14ac:dyDescent="0.3"/>
    <row r="717" ht="31.95" customHeight="1" x14ac:dyDescent="0.3"/>
    <row r="718" ht="31.95" customHeight="1" x14ac:dyDescent="0.3"/>
    <row r="719" ht="31.95" customHeight="1" x14ac:dyDescent="0.3"/>
    <row r="720" ht="31.95" customHeight="1" x14ac:dyDescent="0.3"/>
    <row r="721" ht="31.95" customHeight="1" x14ac:dyDescent="0.3"/>
    <row r="722" ht="31.95" customHeight="1" x14ac:dyDescent="0.3"/>
    <row r="723" ht="31.95" customHeight="1" x14ac:dyDescent="0.3"/>
    <row r="724" ht="31.95" customHeight="1" x14ac:dyDescent="0.3"/>
    <row r="725" ht="31.95" customHeight="1" x14ac:dyDescent="0.3"/>
    <row r="726" ht="31.95" customHeight="1" x14ac:dyDescent="0.3"/>
    <row r="727" ht="31.95" customHeight="1" x14ac:dyDescent="0.3"/>
    <row r="728" ht="31.95" customHeight="1" x14ac:dyDescent="0.3"/>
    <row r="729" ht="31.95" customHeight="1" x14ac:dyDescent="0.3"/>
    <row r="730" ht="31.95" customHeight="1" x14ac:dyDescent="0.3"/>
    <row r="731" ht="31.95" customHeight="1" x14ac:dyDescent="0.3"/>
    <row r="732" ht="31.95" customHeight="1" x14ac:dyDescent="0.3"/>
    <row r="733" ht="31.95" customHeight="1" x14ac:dyDescent="0.3"/>
    <row r="734" ht="31.95" customHeight="1" x14ac:dyDescent="0.3"/>
    <row r="735" ht="31.95" customHeight="1" x14ac:dyDescent="0.3"/>
    <row r="736" ht="31.95" customHeight="1" x14ac:dyDescent="0.3"/>
    <row r="737" ht="31.95" customHeight="1" x14ac:dyDescent="0.3"/>
    <row r="738" ht="31.95" customHeight="1" x14ac:dyDescent="0.3"/>
    <row r="739" ht="31.95" customHeight="1" x14ac:dyDescent="0.3"/>
    <row r="740" ht="31.95" customHeight="1" x14ac:dyDescent="0.3"/>
    <row r="741" ht="31.95" customHeight="1" x14ac:dyDescent="0.3"/>
    <row r="742" ht="31.95" customHeight="1" x14ac:dyDescent="0.3"/>
    <row r="743" ht="31.95" customHeight="1" x14ac:dyDescent="0.3"/>
    <row r="744" ht="31.95" customHeight="1" x14ac:dyDescent="0.3"/>
    <row r="745" ht="31.95" customHeight="1" x14ac:dyDescent="0.3"/>
    <row r="746" ht="31.95" customHeight="1" x14ac:dyDescent="0.3"/>
    <row r="747" ht="31.95" customHeight="1" x14ac:dyDescent="0.3"/>
    <row r="748" ht="31.95" customHeight="1" x14ac:dyDescent="0.3"/>
    <row r="749" ht="31.95" customHeight="1" x14ac:dyDescent="0.3"/>
    <row r="750" ht="31.95" customHeight="1" x14ac:dyDescent="0.3"/>
    <row r="751" ht="31.95" customHeight="1" x14ac:dyDescent="0.3"/>
    <row r="752" ht="31.95" customHeight="1" x14ac:dyDescent="0.3"/>
    <row r="753" ht="31.95" customHeight="1" x14ac:dyDescent="0.3"/>
    <row r="754" ht="31.95" customHeight="1" x14ac:dyDescent="0.3"/>
    <row r="755" ht="31.95" customHeight="1" x14ac:dyDescent="0.3"/>
    <row r="756" ht="31.95" customHeight="1" x14ac:dyDescent="0.3"/>
    <row r="757" ht="31.95" customHeight="1" x14ac:dyDescent="0.3"/>
    <row r="758" ht="31.95" customHeight="1" x14ac:dyDescent="0.3"/>
    <row r="759" ht="31.95" customHeight="1" x14ac:dyDescent="0.3"/>
    <row r="760" ht="31.95" customHeight="1" x14ac:dyDescent="0.3"/>
    <row r="761" ht="31.95" customHeight="1" x14ac:dyDescent="0.3"/>
    <row r="762" ht="31.95" customHeight="1" x14ac:dyDescent="0.3"/>
    <row r="763" ht="31.95" customHeight="1" x14ac:dyDescent="0.3"/>
    <row r="764" ht="31.95" customHeight="1" x14ac:dyDescent="0.3"/>
    <row r="765" ht="31.95" customHeight="1" x14ac:dyDescent="0.3"/>
    <row r="766" ht="31.95" customHeight="1" x14ac:dyDescent="0.3"/>
    <row r="767" ht="31.95" customHeight="1" x14ac:dyDescent="0.3"/>
    <row r="768" ht="31.95" customHeight="1" x14ac:dyDescent="0.3"/>
    <row r="769" ht="31.95" customHeight="1" x14ac:dyDescent="0.3"/>
    <row r="770" ht="31.95" customHeight="1" x14ac:dyDescent="0.3"/>
    <row r="771" ht="31.95" customHeight="1" x14ac:dyDescent="0.3"/>
    <row r="772" ht="31.95" customHeight="1" x14ac:dyDescent="0.3"/>
    <row r="773" ht="31.95" customHeight="1" x14ac:dyDescent="0.3"/>
    <row r="774" ht="31.95" customHeight="1" x14ac:dyDescent="0.3"/>
    <row r="775" ht="31.95" customHeight="1" x14ac:dyDescent="0.3"/>
    <row r="776" ht="31.95" customHeight="1" x14ac:dyDescent="0.3"/>
    <row r="777" ht="31.95" customHeight="1" x14ac:dyDescent="0.3"/>
    <row r="778" ht="31.95" customHeight="1" x14ac:dyDescent="0.3"/>
    <row r="779" ht="31.95" customHeight="1" x14ac:dyDescent="0.3"/>
    <row r="780" ht="31.95" customHeight="1" x14ac:dyDescent="0.3"/>
    <row r="781" ht="31.95" customHeight="1" x14ac:dyDescent="0.3"/>
    <row r="782" ht="31.95" customHeight="1" x14ac:dyDescent="0.3"/>
    <row r="783" ht="31.95" customHeight="1" x14ac:dyDescent="0.3"/>
    <row r="784" ht="31.95" customHeight="1" x14ac:dyDescent="0.3"/>
    <row r="785" ht="31.95" customHeight="1" x14ac:dyDescent="0.3"/>
    <row r="786" ht="31.95" customHeight="1" x14ac:dyDescent="0.3"/>
    <row r="787" ht="31.95" customHeight="1" x14ac:dyDescent="0.3"/>
    <row r="788" ht="31.95" customHeight="1" x14ac:dyDescent="0.3"/>
    <row r="789" ht="31.95" customHeight="1" x14ac:dyDescent="0.3"/>
    <row r="790" ht="31.95" customHeight="1" x14ac:dyDescent="0.3"/>
    <row r="791" ht="31.95" customHeight="1" x14ac:dyDescent="0.3"/>
    <row r="792" ht="31.95" customHeight="1" x14ac:dyDescent="0.3"/>
    <row r="793" ht="31.95" customHeight="1" x14ac:dyDescent="0.3"/>
    <row r="794" ht="31.95" customHeight="1" x14ac:dyDescent="0.3"/>
    <row r="795" ht="31.95" customHeight="1" x14ac:dyDescent="0.3"/>
    <row r="796" ht="31.95" customHeight="1" x14ac:dyDescent="0.3"/>
    <row r="797" ht="31.95" customHeight="1" x14ac:dyDescent="0.3"/>
    <row r="798" ht="31.95" customHeight="1" x14ac:dyDescent="0.3"/>
    <row r="799" ht="31.95" customHeight="1" x14ac:dyDescent="0.3"/>
    <row r="800" ht="31.95" customHeight="1" x14ac:dyDescent="0.3"/>
    <row r="801" ht="31.95" customHeight="1" x14ac:dyDescent="0.3"/>
    <row r="802" ht="31.95" customHeight="1" x14ac:dyDescent="0.3"/>
    <row r="803" ht="31.95" customHeight="1" x14ac:dyDescent="0.3"/>
    <row r="804" ht="31.95" customHeight="1" x14ac:dyDescent="0.3"/>
    <row r="805" ht="31.95" customHeight="1" x14ac:dyDescent="0.3"/>
    <row r="806" ht="31.95" customHeight="1" x14ac:dyDescent="0.3"/>
    <row r="807" ht="31.95" customHeight="1" x14ac:dyDescent="0.3"/>
    <row r="808" ht="31.95" customHeight="1" x14ac:dyDescent="0.3"/>
    <row r="809" ht="31.95" customHeight="1" x14ac:dyDescent="0.3"/>
    <row r="810" ht="31.95" customHeight="1" x14ac:dyDescent="0.3"/>
    <row r="811" ht="31.95" customHeight="1" x14ac:dyDescent="0.3"/>
    <row r="812" ht="31.95" customHeight="1" x14ac:dyDescent="0.3"/>
    <row r="813" ht="31.95" customHeight="1" x14ac:dyDescent="0.3"/>
    <row r="814" ht="31.95" customHeight="1" x14ac:dyDescent="0.3"/>
    <row r="815" ht="31.95" customHeight="1" x14ac:dyDescent="0.3"/>
    <row r="816" ht="31.95" customHeight="1" x14ac:dyDescent="0.3"/>
    <row r="817" ht="31.95" customHeight="1" x14ac:dyDescent="0.3"/>
    <row r="818" ht="31.95" customHeight="1" x14ac:dyDescent="0.3"/>
    <row r="819" ht="31.95" customHeight="1" x14ac:dyDescent="0.3"/>
    <row r="820" ht="31.95" customHeight="1" x14ac:dyDescent="0.3"/>
    <row r="821" ht="31.95" customHeight="1" x14ac:dyDescent="0.3"/>
    <row r="822" ht="31.95" customHeight="1" x14ac:dyDescent="0.3"/>
    <row r="823" ht="31.95" customHeight="1" x14ac:dyDescent="0.3"/>
    <row r="824" ht="31.95" customHeight="1" x14ac:dyDescent="0.3"/>
    <row r="825" ht="31.95" customHeight="1" x14ac:dyDescent="0.3"/>
    <row r="826" ht="31.95" customHeight="1" x14ac:dyDescent="0.3"/>
    <row r="827" ht="31.95" customHeight="1" x14ac:dyDescent="0.3"/>
    <row r="828" ht="31.95" customHeight="1" x14ac:dyDescent="0.3"/>
    <row r="829" ht="31.95" customHeight="1" x14ac:dyDescent="0.3"/>
    <row r="830" ht="31.95" customHeight="1" x14ac:dyDescent="0.3"/>
    <row r="831" ht="31.95" customHeight="1" x14ac:dyDescent="0.3"/>
    <row r="832" ht="31.95" customHeight="1" x14ac:dyDescent="0.3"/>
    <row r="833" ht="31.95" customHeight="1" x14ac:dyDescent="0.3"/>
    <row r="834" ht="31.95" customHeight="1" x14ac:dyDescent="0.3"/>
    <row r="835" ht="31.95" customHeight="1" x14ac:dyDescent="0.3"/>
    <row r="836" ht="31.95" customHeight="1" x14ac:dyDescent="0.3"/>
    <row r="837" ht="31.95" customHeight="1" x14ac:dyDescent="0.3"/>
    <row r="838" ht="31.95" customHeight="1" x14ac:dyDescent="0.3"/>
    <row r="839" ht="31.95" customHeight="1" x14ac:dyDescent="0.3"/>
    <row r="840" ht="31.95" customHeight="1" x14ac:dyDescent="0.3"/>
    <row r="841" ht="31.95" customHeight="1" x14ac:dyDescent="0.3"/>
    <row r="842" ht="31.95" customHeight="1" x14ac:dyDescent="0.3"/>
    <row r="843" ht="31.95" customHeight="1" x14ac:dyDescent="0.3"/>
    <row r="844" ht="31.95" customHeight="1" x14ac:dyDescent="0.3"/>
    <row r="845" ht="31.95" customHeight="1" x14ac:dyDescent="0.3"/>
    <row r="846" ht="31.95" customHeight="1" x14ac:dyDescent="0.3"/>
    <row r="847" ht="31.95" customHeight="1" x14ac:dyDescent="0.3"/>
    <row r="848" ht="31.95" customHeight="1" x14ac:dyDescent="0.3"/>
    <row r="849" ht="31.95" customHeight="1" x14ac:dyDescent="0.3"/>
    <row r="850" ht="31.95" customHeight="1" x14ac:dyDescent="0.3"/>
    <row r="851" ht="31.95" customHeight="1" x14ac:dyDescent="0.3"/>
    <row r="852" ht="31.95" customHeight="1" x14ac:dyDescent="0.3"/>
    <row r="853" ht="31.95" customHeight="1" x14ac:dyDescent="0.3"/>
    <row r="854" ht="31.95" customHeight="1" x14ac:dyDescent="0.3"/>
    <row r="855" ht="31.95" customHeight="1" x14ac:dyDescent="0.3"/>
    <row r="856" ht="31.95" customHeight="1" x14ac:dyDescent="0.3"/>
    <row r="857" ht="31.95" customHeight="1" x14ac:dyDescent="0.3"/>
    <row r="858" ht="31.95" customHeight="1" x14ac:dyDescent="0.3"/>
    <row r="859" ht="31.95" customHeight="1" x14ac:dyDescent="0.3"/>
    <row r="860" ht="31.95" customHeight="1" x14ac:dyDescent="0.3"/>
    <row r="861" ht="31.95" customHeight="1" x14ac:dyDescent="0.3"/>
    <row r="862" ht="31.95" customHeight="1" x14ac:dyDescent="0.3"/>
    <row r="863" ht="31.95" customHeight="1" x14ac:dyDescent="0.3"/>
    <row r="864" ht="31.95" customHeight="1" x14ac:dyDescent="0.3"/>
    <row r="865" ht="31.95" customHeight="1" x14ac:dyDescent="0.3"/>
    <row r="866" ht="31.95" customHeight="1" x14ac:dyDescent="0.3"/>
    <row r="867" ht="31.95" customHeight="1" x14ac:dyDescent="0.3"/>
    <row r="868" ht="31.95" customHeight="1" x14ac:dyDescent="0.3"/>
    <row r="869" ht="31.95" customHeight="1" x14ac:dyDescent="0.3"/>
    <row r="870" ht="31.95" customHeight="1" x14ac:dyDescent="0.3"/>
    <row r="871" ht="31.95" customHeight="1" x14ac:dyDescent="0.3"/>
    <row r="872" ht="31.95" customHeight="1" x14ac:dyDescent="0.3"/>
    <row r="873" ht="31.95" customHeight="1" x14ac:dyDescent="0.3"/>
    <row r="874" ht="31.95" customHeight="1" x14ac:dyDescent="0.3"/>
    <row r="875" ht="31.95" customHeight="1" x14ac:dyDescent="0.3"/>
    <row r="876" ht="31.95" customHeight="1" x14ac:dyDescent="0.3"/>
    <row r="877" ht="31.95" customHeight="1" x14ac:dyDescent="0.3"/>
    <row r="878" ht="31.95" customHeight="1" x14ac:dyDescent="0.3"/>
    <row r="879" ht="31.95" customHeight="1" x14ac:dyDescent="0.3"/>
    <row r="880" ht="31.95" customHeight="1" x14ac:dyDescent="0.3"/>
    <row r="881" ht="31.95" customHeight="1" x14ac:dyDescent="0.3"/>
    <row r="882" ht="31.95" customHeight="1" x14ac:dyDescent="0.3"/>
    <row r="883" ht="31.95" customHeight="1" x14ac:dyDescent="0.3"/>
    <row r="884" ht="31.95" customHeight="1" x14ac:dyDescent="0.3"/>
    <row r="885" ht="31.95" customHeight="1" x14ac:dyDescent="0.3"/>
    <row r="886" ht="31.95" customHeight="1" x14ac:dyDescent="0.3"/>
    <row r="887" ht="31.95" customHeight="1" x14ac:dyDescent="0.3"/>
    <row r="888" ht="31.95" customHeight="1" x14ac:dyDescent="0.3"/>
    <row r="889" ht="31.95" customHeight="1" x14ac:dyDescent="0.3"/>
    <row r="890" ht="31.95" customHeight="1" x14ac:dyDescent="0.3"/>
    <row r="891" ht="31.95" customHeight="1" x14ac:dyDescent="0.3"/>
    <row r="892" ht="31.95" customHeight="1" x14ac:dyDescent="0.3"/>
    <row r="893" ht="31.95" customHeight="1" x14ac:dyDescent="0.3"/>
    <row r="894" ht="31.95" customHeight="1" x14ac:dyDescent="0.3"/>
    <row r="895" ht="31.95" customHeight="1" x14ac:dyDescent="0.3"/>
    <row r="896" ht="31.95" customHeight="1" x14ac:dyDescent="0.3"/>
    <row r="897" ht="31.95" customHeight="1" x14ac:dyDescent="0.3"/>
    <row r="898" ht="31.95" customHeight="1" x14ac:dyDescent="0.3"/>
    <row r="899" ht="31.95" customHeight="1" x14ac:dyDescent="0.3"/>
    <row r="900" ht="31.95" customHeight="1" x14ac:dyDescent="0.3"/>
    <row r="901" ht="31.95" customHeight="1" x14ac:dyDescent="0.3"/>
    <row r="902" ht="31.95" customHeight="1" x14ac:dyDescent="0.3"/>
    <row r="903" ht="31.95" customHeight="1" x14ac:dyDescent="0.3"/>
    <row r="904" ht="31.95" customHeight="1" x14ac:dyDescent="0.3"/>
    <row r="905" ht="31.95" customHeight="1" x14ac:dyDescent="0.3"/>
    <row r="906" ht="31.95" customHeight="1" x14ac:dyDescent="0.3"/>
    <row r="907" ht="31.95" customHeight="1" x14ac:dyDescent="0.3"/>
    <row r="908" ht="31.95" customHeight="1" x14ac:dyDescent="0.3"/>
    <row r="909" ht="31.95" customHeight="1" x14ac:dyDescent="0.3"/>
    <row r="910" ht="31.95" customHeight="1" x14ac:dyDescent="0.3"/>
    <row r="911" ht="31.95" customHeight="1" x14ac:dyDescent="0.3"/>
    <row r="912" ht="31.95" customHeight="1" x14ac:dyDescent="0.3"/>
    <row r="913" ht="31.95" customHeight="1" x14ac:dyDescent="0.3"/>
    <row r="914" ht="31.95" customHeight="1" x14ac:dyDescent="0.3"/>
    <row r="915" ht="31.95" customHeight="1" x14ac:dyDescent="0.3"/>
    <row r="916" ht="31.95" customHeight="1" x14ac:dyDescent="0.3"/>
    <row r="917" ht="31.95" customHeight="1" x14ac:dyDescent="0.3"/>
    <row r="918" ht="31.95" customHeight="1" x14ac:dyDescent="0.3"/>
    <row r="919" ht="31.95" customHeight="1" x14ac:dyDescent="0.3"/>
    <row r="920" ht="31.95" customHeight="1" x14ac:dyDescent="0.3"/>
    <row r="921" ht="31.95" customHeight="1" x14ac:dyDescent="0.3"/>
    <row r="922" ht="31.95" customHeight="1" x14ac:dyDescent="0.3"/>
    <row r="923" ht="31.95" customHeight="1" x14ac:dyDescent="0.3"/>
    <row r="924" ht="31.95" customHeight="1" x14ac:dyDescent="0.3"/>
    <row r="925" ht="31.95" customHeight="1" x14ac:dyDescent="0.3"/>
    <row r="926" ht="31.95" customHeight="1" x14ac:dyDescent="0.3"/>
    <row r="927" ht="31.95" customHeight="1" x14ac:dyDescent="0.3"/>
    <row r="928" ht="31.95" customHeight="1" x14ac:dyDescent="0.3"/>
    <row r="929" ht="31.95" customHeight="1" x14ac:dyDescent="0.3"/>
    <row r="930" ht="31.95" customHeight="1" x14ac:dyDescent="0.3"/>
    <row r="931" ht="31.95" customHeight="1" x14ac:dyDescent="0.3"/>
    <row r="932" ht="31.95" customHeight="1" x14ac:dyDescent="0.3"/>
    <row r="933" ht="31.95" customHeight="1" x14ac:dyDescent="0.3"/>
    <row r="934" ht="31.95" customHeight="1" x14ac:dyDescent="0.3"/>
    <row r="935" ht="31.95" customHeight="1" x14ac:dyDescent="0.3"/>
    <row r="936" ht="31.95" customHeight="1" x14ac:dyDescent="0.3"/>
    <row r="937" ht="31.95" customHeight="1" x14ac:dyDescent="0.3"/>
    <row r="938" ht="31.95" customHeight="1" x14ac:dyDescent="0.3"/>
    <row r="939" ht="31.95" customHeight="1" x14ac:dyDescent="0.3"/>
    <row r="940" ht="31.95" customHeight="1" x14ac:dyDescent="0.3"/>
    <row r="941" ht="31.95" customHeight="1" x14ac:dyDescent="0.3"/>
    <row r="942" ht="31.95" customHeight="1" x14ac:dyDescent="0.3"/>
    <row r="943" ht="31.95" customHeight="1" x14ac:dyDescent="0.3"/>
    <row r="944" ht="31.95" customHeight="1" x14ac:dyDescent="0.3"/>
    <row r="945" ht="31.95" customHeight="1" x14ac:dyDescent="0.3"/>
    <row r="946" ht="31.95" customHeight="1" x14ac:dyDescent="0.3"/>
    <row r="947" ht="31.95" customHeight="1" x14ac:dyDescent="0.3"/>
    <row r="948" ht="31.95" customHeight="1" x14ac:dyDescent="0.3"/>
    <row r="949" ht="31.95" customHeight="1" x14ac:dyDescent="0.3"/>
    <row r="950" ht="31.95" customHeight="1" x14ac:dyDescent="0.3"/>
    <row r="951" ht="31.95" customHeight="1" x14ac:dyDescent="0.3"/>
    <row r="952" ht="31.95" customHeight="1" x14ac:dyDescent="0.3"/>
    <row r="953" ht="31.95" customHeight="1" x14ac:dyDescent="0.3"/>
    <row r="954" ht="31.95" customHeight="1" x14ac:dyDescent="0.3"/>
    <row r="955" ht="31.95" customHeight="1" x14ac:dyDescent="0.3"/>
    <row r="956" ht="31.95" customHeight="1" x14ac:dyDescent="0.3"/>
    <row r="957" ht="31.95" customHeight="1" x14ac:dyDescent="0.3"/>
    <row r="958" ht="31.95" customHeight="1" x14ac:dyDescent="0.3"/>
    <row r="959" ht="31.95" customHeight="1" x14ac:dyDescent="0.3"/>
    <row r="960" ht="31.95" customHeight="1" x14ac:dyDescent="0.3"/>
    <row r="961" ht="31.95" customHeight="1" x14ac:dyDescent="0.3"/>
    <row r="962" ht="31.95" customHeight="1" x14ac:dyDescent="0.3"/>
    <row r="963" ht="31.95" customHeight="1" x14ac:dyDescent="0.3"/>
    <row r="964" ht="31.95" customHeight="1" x14ac:dyDescent="0.3"/>
    <row r="965" ht="31.95" customHeight="1" x14ac:dyDescent="0.3"/>
    <row r="966" ht="31.95" customHeight="1" x14ac:dyDescent="0.3"/>
    <row r="967" ht="31.95" customHeight="1" x14ac:dyDescent="0.3"/>
    <row r="968" ht="31.95" customHeight="1" x14ac:dyDescent="0.3"/>
    <row r="969" ht="31.95" customHeight="1" x14ac:dyDescent="0.3"/>
    <row r="970" ht="31.95" customHeight="1" x14ac:dyDescent="0.3"/>
    <row r="971" ht="31.95" customHeight="1" x14ac:dyDescent="0.3"/>
    <row r="972" ht="31.95" customHeight="1" x14ac:dyDescent="0.3"/>
    <row r="973" ht="31.95" customHeight="1" x14ac:dyDescent="0.3"/>
    <row r="974" ht="31.95" customHeight="1" x14ac:dyDescent="0.3"/>
    <row r="975" ht="31.95" customHeight="1" x14ac:dyDescent="0.3"/>
    <row r="976" ht="31.95" customHeight="1" x14ac:dyDescent="0.3"/>
    <row r="977" ht="31.95" customHeight="1" x14ac:dyDescent="0.3"/>
    <row r="978" ht="31.95" customHeight="1" x14ac:dyDescent="0.3"/>
    <row r="979" ht="31.95" customHeight="1" x14ac:dyDescent="0.3"/>
    <row r="980" ht="31.95" customHeight="1" x14ac:dyDescent="0.3"/>
    <row r="981" ht="31.95" customHeight="1" x14ac:dyDescent="0.3"/>
    <row r="982" ht="31.95" customHeight="1" x14ac:dyDescent="0.3"/>
    <row r="983" ht="31.95" customHeight="1" x14ac:dyDescent="0.3"/>
    <row r="984" ht="31.95" customHeight="1" x14ac:dyDescent="0.3"/>
    <row r="985" ht="31.95" customHeight="1" x14ac:dyDescent="0.3"/>
    <row r="986" ht="31.95" customHeight="1" x14ac:dyDescent="0.3"/>
    <row r="987" ht="31.95" customHeight="1" x14ac:dyDescent="0.3"/>
    <row r="988" ht="31.95" customHeight="1" x14ac:dyDescent="0.3"/>
    <row r="989" ht="31.95" customHeight="1" x14ac:dyDescent="0.3"/>
    <row r="990" ht="31.95" customHeight="1" x14ac:dyDescent="0.3"/>
    <row r="991" ht="31.95" customHeight="1" x14ac:dyDescent="0.3"/>
    <row r="992" ht="31.95" customHeight="1" x14ac:dyDescent="0.3"/>
    <row r="993" ht="31.95" customHeight="1" x14ac:dyDescent="0.3"/>
    <row r="994" ht="31.95" customHeight="1" x14ac:dyDescent="0.3"/>
    <row r="995" ht="31.95" customHeight="1" x14ac:dyDescent="0.3"/>
    <row r="996" ht="31.95" customHeight="1" x14ac:dyDescent="0.3"/>
    <row r="997" ht="31.95" customHeight="1" x14ac:dyDescent="0.3"/>
    <row r="998" ht="31.95" customHeight="1" x14ac:dyDescent="0.3"/>
    <row r="999" ht="31.95" customHeight="1" x14ac:dyDescent="0.3"/>
    <row r="1000" ht="31.95" customHeight="1" x14ac:dyDescent="0.3"/>
    <row r="1001" ht="31.95" customHeight="1" x14ac:dyDescent="0.3"/>
    <row r="1002" ht="31.95" customHeight="1" x14ac:dyDescent="0.3"/>
    <row r="1003" ht="31.95" customHeight="1" x14ac:dyDescent="0.3"/>
    <row r="1004" ht="31.95" customHeight="1" x14ac:dyDescent="0.3"/>
    <row r="1005" ht="31.95" customHeight="1" x14ac:dyDescent="0.3"/>
    <row r="1006" ht="31.95" customHeight="1" x14ac:dyDescent="0.3"/>
    <row r="1007" ht="31.95" customHeight="1" x14ac:dyDescent="0.3"/>
    <row r="1008" ht="31.95" customHeight="1" x14ac:dyDescent="0.3"/>
    <row r="1009" ht="31.95" customHeight="1" x14ac:dyDescent="0.3"/>
    <row r="1010" ht="31.95" customHeight="1" x14ac:dyDescent="0.3"/>
    <row r="1011" ht="31.95" customHeight="1" x14ac:dyDescent="0.3"/>
    <row r="1012" ht="31.95" customHeight="1" x14ac:dyDescent="0.3"/>
    <row r="1013" ht="31.95" customHeight="1" x14ac:dyDescent="0.3"/>
    <row r="1014" ht="31.95" customHeight="1" x14ac:dyDescent="0.3"/>
    <row r="1015" ht="31.95" customHeight="1" x14ac:dyDescent="0.3"/>
    <row r="1016" ht="31.95" customHeight="1" x14ac:dyDescent="0.3"/>
    <row r="1017" ht="31.95" customHeight="1" x14ac:dyDescent="0.3"/>
    <row r="1018" ht="31.95" customHeight="1" x14ac:dyDescent="0.3"/>
    <row r="1019" ht="31.95" customHeight="1" x14ac:dyDescent="0.3"/>
    <row r="1020" ht="31.95" customHeight="1" x14ac:dyDescent="0.3"/>
    <row r="1021" ht="31.95" customHeight="1" x14ac:dyDescent="0.3"/>
    <row r="1022" ht="31.95" customHeight="1" x14ac:dyDescent="0.3"/>
    <row r="1023" ht="31.95" customHeight="1" x14ac:dyDescent="0.3"/>
    <row r="1024" ht="31.95" customHeight="1" x14ac:dyDescent="0.3"/>
    <row r="1025" ht="31.95" customHeight="1" x14ac:dyDescent="0.3"/>
    <row r="1026" ht="31.95" customHeight="1" x14ac:dyDescent="0.3"/>
    <row r="1027" ht="31.95" customHeight="1" x14ac:dyDescent="0.3"/>
    <row r="1028" ht="31.95" customHeight="1" x14ac:dyDescent="0.3"/>
    <row r="1029" ht="31.95" customHeight="1" x14ac:dyDescent="0.3"/>
    <row r="1030" ht="31.95" customHeight="1" x14ac:dyDescent="0.3"/>
    <row r="1031" ht="31.95" customHeight="1" x14ac:dyDescent="0.3"/>
    <row r="1032" ht="31.95" customHeight="1" x14ac:dyDescent="0.3"/>
    <row r="1033" ht="31.95" customHeight="1" x14ac:dyDescent="0.3"/>
    <row r="1034" ht="31.95" customHeight="1" x14ac:dyDescent="0.3"/>
    <row r="1035" ht="31.95" customHeight="1" x14ac:dyDescent="0.3"/>
    <row r="1036" ht="31.95" customHeight="1" x14ac:dyDescent="0.3"/>
    <row r="1037" ht="31.95" customHeight="1" x14ac:dyDescent="0.3"/>
    <row r="1038" ht="31.95" customHeight="1" x14ac:dyDescent="0.3"/>
    <row r="1039" ht="31.95" customHeight="1" x14ac:dyDescent="0.3"/>
    <row r="1040" ht="31.95" customHeight="1" x14ac:dyDescent="0.3"/>
    <row r="1041" ht="31.95" customHeight="1" x14ac:dyDescent="0.3"/>
    <row r="1042" ht="31.95" customHeight="1" x14ac:dyDescent="0.3"/>
    <row r="1043" ht="31.95" customHeight="1" x14ac:dyDescent="0.3"/>
    <row r="1044" ht="31.95" customHeight="1" x14ac:dyDescent="0.3"/>
    <row r="1045" ht="31.95" customHeight="1" x14ac:dyDescent="0.3"/>
    <row r="1046" ht="31.95" customHeight="1" x14ac:dyDescent="0.3"/>
    <row r="1047" ht="31.95" customHeight="1" x14ac:dyDescent="0.3"/>
    <row r="1048" ht="31.95" customHeight="1" x14ac:dyDescent="0.3"/>
    <row r="1049" ht="31.95" customHeight="1" x14ac:dyDescent="0.3"/>
    <row r="1050" ht="31.95" customHeight="1" x14ac:dyDescent="0.3"/>
    <row r="1051" ht="31.95" customHeight="1" x14ac:dyDescent="0.3"/>
    <row r="1052" ht="31.95" customHeight="1" x14ac:dyDescent="0.3"/>
    <row r="1053" ht="31.95" customHeight="1" x14ac:dyDescent="0.3"/>
    <row r="1054" ht="31.95" customHeight="1" x14ac:dyDescent="0.3"/>
    <row r="1055" ht="31.95" customHeight="1" x14ac:dyDescent="0.3"/>
    <row r="1056" ht="31.95" customHeight="1" x14ac:dyDescent="0.3"/>
    <row r="1057" ht="31.95" customHeight="1" x14ac:dyDescent="0.3"/>
    <row r="1058" ht="31.95" customHeight="1" x14ac:dyDescent="0.3"/>
    <row r="1059" ht="31.95" customHeight="1" x14ac:dyDescent="0.3"/>
    <row r="1060" ht="31.95" customHeight="1" x14ac:dyDescent="0.3"/>
    <row r="1061" ht="31.95" customHeight="1" x14ac:dyDescent="0.3"/>
    <row r="1062" ht="31.95" customHeight="1" x14ac:dyDescent="0.3"/>
    <row r="1063" ht="31.95" customHeight="1" x14ac:dyDescent="0.3"/>
    <row r="1064" ht="31.95" customHeight="1" x14ac:dyDescent="0.3"/>
    <row r="1065" ht="31.95" customHeight="1" x14ac:dyDescent="0.3"/>
    <row r="1066" ht="31.95" customHeight="1" x14ac:dyDescent="0.3"/>
    <row r="1067" ht="31.95" customHeight="1" x14ac:dyDescent="0.3"/>
    <row r="1068" ht="31.95" customHeight="1" x14ac:dyDescent="0.3"/>
    <row r="1069" ht="31.95" customHeight="1" x14ac:dyDescent="0.3"/>
    <row r="1070" ht="31.95" customHeight="1" x14ac:dyDescent="0.3"/>
    <row r="1071" ht="31.95" customHeight="1" x14ac:dyDescent="0.3"/>
    <row r="1072" ht="31.95" customHeight="1" x14ac:dyDescent="0.3"/>
    <row r="1073" ht="31.95" customHeight="1" x14ac:dyDescent="0.3"/>
    <row r="1074" ht="31.95" customHeight="1" x14ac:dyDescent="0.3"/>
    <row r="1075" ht="31.95" customHeight="1" x14ac:dyDescent="0.3"/>
    <row r="1076" ht="31.95" customHeight="1" x14ac:dyDescent="0.3"/>
    <row r="1077" ht="31.95" customHeight="1" x14ac:dyDescent="0.3"/>
    <row r="1078" ht="31.95" customHeight="1" x14ac:dyDescent="0.3"/>
    <row r="1079" ht="31.95" customHeight="1" x14ac:dyDescent="0.3"/>
    <row r="1080" ht="31.95" customHeight="1" x14ac:dyDescent="0.3"/>
    <row r="1081" ht="31.95" customHeight="1" x14ac:dyDescent="0.3"/>
    <row r="1082" ht="31.95" customHeight="1" x14ac:dyDescent="0.3"/>
    <row r="1083" ht="31.95" customHeight="1" x14ac:dyDescent="0.3"/>
    <row r="1084" ht="31.95" customHeight="1" x14ac:dyDescent="0.3"/>
    <row r="1085" ht="31.95" customHeight="1" x14ac:dyDescent="0.3"/>
    <row r="1086" ht="31.95" customHeight="1" x14ac:dyDescent="0.3"/>
    <row r="1087" ht="31.95" customHeight="1" x14ac:dyDescent="0.3"/>
    <row r="1088" ht="31.95" customHeight="1" x14ac:dyDescent="0.3"/>
    <row r="1089" ht="31.95" customHeight="1" x14ac:dyDescent="0.3"/>
    <row r="1090" ht="31.95" customHeight="1" x14ac:dyDescent="0.3"/>
    <row r="1091" ht="31.95" customHeight="1" x14ac:dyDescent="0.3"/>
    <row r="1092" ht="31.95" customHeight="1" x14ac:dyDescent="0.3"/>
    <row r="1093" ht="31.95" customHeight="1" x14ac:dyDescent="0.3"/>
    <row r="1094" ht="31.95" customHeight="1" x14ac:dyDescent="0.3"/>
    <row r="1095" ht="31.95" customHeight="1" x14ac:dyDescent="0.3"/>
    <row r="1096" ht="31.95" customHeight="1" x14ac:dyDescent="0.3"/>
    <row r="1097" ht="31.95" customHeight="1" x14ac:dyDescent="0.3"/>
    <row r="1098" ht="31.95" customHeight="1" x14ac:dyDescent="0.3"/>
    <row r="1099" ht="31.95" customHeight="1" x14ac:dyDescent="0.3"/>
    <row r="1100" ht="31.95" customHeight="1" x14ac:dyDescent="0.3"/>
    <row r="1101" ht="31.95" customHeight="1" x14ac:dyDescent="0.3"/>
    <row r="1102" ht="31.95" customHeight="1" x14ac:dyDescent="0.3"/>
    <row r="1103" ht="31.95" customHeight="1" x14ac:dyDescent="0.3"/>
    <row r="1104" ht="31.95" customHeight="1" x14ac:dyDescent="0.3"/>
    <row r="1105" ht="31.95" customHeight="1" x14ac:dyDescent="0.3"/>
    <row r="1106" ht="31.95" customHeight="1" x14ac:dyDescent="0.3"/>
    <row r="1107" ht="31.95" customHeight="1" x14ac:dyDescent="0.3"/>
    <row r="1108" ht="31.95" customHeight="1" x14ac:dyDescent="0.3"/>
    <row r="1109" ht="31.95" customHeight="1" x14ac:dyDescent="0.3"/>
    <row r="1110" ht="31.95" customHeight="1" x14ac:dyDescent="0.3"/>
    <row r="1111" ht="31.95" customHeight="1" x14ac:dyDescent="0.3"/>
    <row r="1112" ht="31.95" customHeight="1" x14ac:dyDescent="0.3"/>
    <row r="1113" ht="31.95" customHeight="1" x14ac:dyDescent="0.3"/>
    <row r="1114" ht="31.95" customHeight="1" x14ac:dyDescent="0.3"/>
    <row r="1115" ht="31.95" customHeight="1" x14ac:dyDescent="0.3"/>
    <row r="1116" ht="31.95" customHeight="1" x14ac:dyDescent="0.3"/>
    <row r="1117" ht="31.95" customHeight="1" x14ac:dyDescent="0.3"/>
    <row r="1118" ht="31.95" customHeight="1" x14ac:dyDescent="0.3"/>
    <row r="1119" ht="31.95" customHeight="1" x14ac:dyDescent="0.3"/>
    <row r="1120" ht="31.95" customHeight="1" x14ac:dyDescent="0.3"/>
    <row r="1121" ht="31.95" customHeight="1" x14ac:dyDescent="0.3"/>
    <row r="1122" ht="31.95" customHeight="1" x14ac:dyDescent="0.3"/>
    <row r="1123" ht="31.95" customHeight="1" x14ac:dyDescent="0.3"/>
    <row r="1124" ht="31.95" customHeight="1" x14ac:dyDescent="0.3"/>
    <row r="1125" ht="31.95" customHeight="1" x14ac:dyDescent="0.3"/>
    <row r="1126" ht="31.95" customHeight="1" x14ac:dyDescent="0.3"/>
    <row r="1127" ht="31.95" customHeight="1" x14ac:dyDescent="0.3"/>
    <row r="1128" ht="31.95" customHeight="1" x14ac:dyDescent="0.3"/>
    <row r="1129" ht="31.95" customHeight="1" x14ac:dyDescent="0.3"/>
    <row r="1130" ht="31.95" customHeight="1" x14ac:dyDescent="0.3"/>
    <row r="1131" ht="31.95" customHeight="1" x14ac:dyDescent="0.3"/>
    <row r="1132" ht="31.95" customHeight="1" x14ac:dyDescent="0.3"/>
    <row r="1133" ht="31.95" customHeight="1" x14ac:dyDescent="0.3"/>
    <row r="1134" ht="31.95" customHeight="1" x14ac:dyDescent="0.3"/>
    <row r="1135" ht="31.95" customHeight="1" x14ac:dyDescent="0.3"/>
    <row r="1136" ht="31.95" customHeight="1" x14ac:dyDescent="0.3"/>
    <row r="1137" ht="31.95" customHeight="1" x14ac:dyDescent="0.3"/>
    <row r="1138" ht="31.95" customHeight="1" x14ac:dyDescent="0.3"/>
    <row r="1139" ht="31.95" customHeight="1" x14ac:dyDescent="0.3"/>
    <row r="1140" ht="31.95" customHeight="1" x14ac:dyDescent="0.3"/>
    <row r="1141" ht="31.95" customHeight="1" x14ac:dyDescent="0.3"/>
    <row r="1142" ht="31.95" customHeight="1" x14ac:dyDescent="0.3"/>
    <row r="1143" ht="31.95" customHeight="1" x14ac:dyDescent="0.3"/>
    <row r="1144" ht="31.95" customHeight="1" x14ac:dyDescent="0.3"/>
    <row r="1145" ht="31.95" customHeight="1" x14ac:dyDescent="0.3"/>
    <row r="1146" ht="31.95" customHeight="1" x14ac:dyDescent="0.3"/>
    <row r="1147" ht="31.95" customHeight="1" x14ac:dyDescent="0.3"/>
    <row r="1148" ht="31.95" customHeight="1" x14ac:dyDescent="0.3"/>
    <row r="1149" ht="31.95" customHeight="1" x14ac:dyDescent="0.3"/>
    <row r="1150" ht="31.95" customHeight="1" x14ac:dyDescent="0.3"/>
    <row r="1151" ht="31.95" customHeight="1" x14ac:dyDescent="0.3"/>
    <row r="1152" ht="31.95" customHeight="1" x14ac:dyDescent="0.3"/>
    <row r="1153" ht="31.95" customHeight="1" x14ac:dyDescent="0.3"/>
    <row r="1154" ht="31.95" customHeight="1" x14ac:dyDescent="0.3"/>
    <row r="1155" ht="31.95" customHeight="1" x14ac:dyDescent="0.3"/>
    <row r="1156" ht="31.95" customHeight="1" x14ac:dyDescent="0.3"/>
    <row r="1157" ht="31.95" customHeight="1" x14ac:dyDescent="0.3"/>
    <row r="1158" ht="31.95" customHeight="1" x14ac:dyDescent="0.3"/>
    <row r="1159" ht="31.95" customHeight="1" x14ac:dyDescent="0.3"/>
    <row r="1160" ht="31.95" customHeight="1" x14ac:dyDescent="0.3"/>
    <row r="1161" ht="31.95" customHeight="1" x14ac:dyDescent="0.3"/>
    <row r="1162" ht="31.95" customHeight="1" x14ac:dyDescent="0.3"/>
    <row r="1163" ht="31.95" customHeight="1" x14ac:dyDescent="0.3"/>
    <row r="1164" ht="31.95" customHeight="1" x14ac:dyDescent="0.3"/>
    <row r="1165" ht="31.95" customHeight="1" x14ac:dyDescent="0.3"/>
    <row r="1166" ht="31.95" customHeight="1" x14ac:dyDescent="0.3"/>
    <row r="1167" ht="31.95" customHeight="1" x14ac:dyDescent="0.3"/>
    <row r="1168" ht="31.95" customHeight="1" x14ac:dyDescent="0.3"/>
    <row r="1169" ht="31.95" customHeight="1" x14ac:dyDescent="0.3"/>
    <row r="1170" ht="31.95" customHeight="1" x14ac:dyDescent="0.3"/>
    <row r="1171" ht="31.95" customHeight="1" x14ac:dyDescent="0.3"/>
    <row r="1172" ht="31.95" customHeight="1" x14ac:dyDescent="0.3"/>
    <row r="1173" ht="31.95" customHeight="1" x14ac:dyDescent="0.3"/>
    <row r="1174" ht="31.95" customHeight="1" x14ac:dyDescent="0.3"/>
    <row r="1175" ht="31.95" customHeight="1" x14ac:dyDescent="0.3"/>
    <row r="1176" ht="31.95" customHeight="1" x14ac:dyDescent="0.3"/>
    <row r="1177" ht="31.95" customHeight="1" x14ac:dyDescent="0.3"/>
    <row r="1178" ht="31.95" customHeight="1" x14ac:dyDescent="0.3"/>
    <row r="1179" ht="31.95" customHeight="1" x14ac:dyDescent="0.3"/>
    <row r="1180" ht="31.95" customHeight="1" x14ac:dyDescent="0.3"/>
    <row r="1181" ht="31.95" customHeight="1" x14ac:dyDescent="0.3"/>
    <row r="1182" ht="31.95" customHeight="1" x14ac:dyDescent="0.3"/>
    <row r="1183" ht="31.95" customHeight="1" x14ac:dyDescent="0.3"/>
    <row r="1184" ht="31.95" customHeight="1" x14ac:dyDescent="0.3"/>
    <row r="1185" ht="31.95" customHeight="1" x14ac:dyDescent="0.3"/>
    <row r="1186" ht="31.95" customHeight="1" x14ac:dyDescent="0.3"/>
    <row r="1187" ht="31.95" customHeight="1" x14ac:dyDescent="0.3"/>
    <row r="1188" ht="31.95" customHeight="1" x14ac:dyDescent="0.3"/>
    <row r="1189" ht="31.95" customHeight="1" x14ac:dyDescent="0.3"/>
    <row r="1190" ht="31.95" customHeight="1" x14ac:dyDescent="0.3"/>
    <row r="1191" ht="31.95" customHeight="1" x14ac:dyDescent="0.3"/>
    <row r="1192" ht="31.95" customHeight="1" x14ac:dyDescent="0.3"/>
    <row r="1193" ht="31.95" customHeight="1" x14ac:dyDescent="0.3"/>
    <row r="1194" ht="31.95" customHeight="1" x14ac:dyDescent="0.3"/>
    <row r="1195" ht="31.95" customHeight="1" x14ac:dyDescent="0.3"/>
    <row r="1196" ht="31.95" customHeight="1" x14ac:dyDescent="0.3"/>
    <row r="1197" ht="31.95" customHeight="1" x14ac:dyDescent="0.3"/>
    <row r="1198" ht="31.95" customHeight="1" x14ac:dyDescent="0.3"/>
    <row r="1199" ht="31.95" customHeight="1" x14ac:dyDescent="0.3"/>
    <row r="1200" ht="31.95" customHeight="1" x14ac:dyDescent="0.3"/>
    <row r="1201" ht="31.95" customHeight="1" x14ac:dyDescent="0.3"/>
    <row r="1202" ht="31.95" customHeight="1" x14ac:dyDescent="0.3"/>
    <row r="1203" ht="31.95" customHeight="1" x14ac:dyDescent="0.3"/>
    <row r="1204" ht="31.95" customHeight="1" x14ac:dyDescent="0.3"/>
    <row r="1205" ht="31.95" customHeight="1" x14ac:dyDescent="0.3"/>
    <row r="1206" ht="31.95" customHeight="1" x14ac:dyDescent="0.3"/>
    <row r="1207" ht="31.95" customHeight="1" x14ac:dyDescent="0.3"/>
    <row r="1208" ht="31.95" customHeight="1" x14ac:dyDescent="0.3"/>
    <row r="1209" ht="31.95" customHeight="1" x14ac:dyDescent="0.3"/>
    <row r="1210" ht="31.95" customHeight="1" x14ac:dyDescent="0.3"/>
    <row r="1211" ht="31.95" customHeight="1" x14ac:dyDescent="0.3"/>
    <row r="1212" ht="31.95" customHeight="1" x14ac:dyDescent="0.3"/>
    <row r="1213" ht="31.95" customHeight="1" x14ac:dyDescent="0.3"/>
    <row r="1214" ht="31.95" customHeight="1" x14ac:dyDescent="0.3"/>
    <row r="1215" ht="31.95" customHeight="1" x14ac:dyDescent="0.3"/>
    <row r="1216" ht="31.95" customHeight="1" x14ac:dyDescent="0.3"/>
    <row r="1217" ht="31.95" customHeight="1" x14ac:dyDescent="0.3"/>
    <row r="1218" ht="31.95" customHeight="1" x14ac:dyDescent="0.3"/>
    <row r="1219" ht="31.95" customHeight="1" x14ac:dyDescent="0.3"/>
    <row r="1220" ht="31.95" customHeight="1" x14ac:dyDescent="0.3"/>
    <row r="1221" ht="31.95" customHeight="1" x14ac:dyDescent="0.3"/>
    <row r="1222" ht="31.95" customHeight="1" x14ac:dyDescent="0.3"/>
    <row r="1223" ht="31.95" customHeight="1" x14ac:dyDescent="0.3"/>
    <row r="1224" ht="31.95" customHeight="1" x14ac:dyDescent="0.3"/>
    <row r="1225" ht="31.95" customHeight="1" x14ac:dyDescent="0.3"/>
    <row r="1226" ht="31.95" customHeight="1" x14ac:dyDescent="0.3"/>
    <row r="1227" ht="31.95" customHeight="1" x14ac:dyDescent="0.3"/>
    <row r="1228" ht="31.95" customHeight="1" x14ac:dyDescent="0.3"/>
    <row r="1229" ht="31.95" customHeight="1" x14ac:dyDescent="0.3"/>
    <row r="1230" ht="31.95" customHeight="1" x14ac:dyDescent="0.3"/>
    <row r="1231" ht="31.95" customHeight="1" x14ac:dyDescent="0.3"/>
    <row r="1232" ht="31.95" customHeight="1" x14ac:dyDescent="0.3"/>
    <row r="1233" ht="31.95" customHeight="1" x14ac:dyDescent="0.3"/>
    <row r="1234" ht="31.95" customHeight="1" x14ac:dyDescent="0.3"/>
    <row r="1235" ht="31.95" customHeight="1" x14ac:dyDescent="0.3"/>
    <row r="1236" ht="31.95" customHeight="1" x14ac:dyDescent="0.3"/>
    <row r="1237" ht="31.95" customHeight="1" x14ac:dyDescent="0.3"/>
    <row r="1238" ht="31.95" customHeight="1" x14ac:dyDescent="0.3"/>
    <row r="1239" ht="31.95" customHeight="1" x14ac:dyDescent="0.3"/>
    <row r="1240" ht="31.95" customHeight="1" x14ac:dyDescent="0.3"/>
    <row r="1241" ht="31.95" customHeight="1" x14ac:dyDescent="0.3"/>
    <row r="1242" ht="31.95" customHeight="1" x14ac:dyDescent="0.3"/>
    <row r="1243" ht="31.95" customHeight="1" x14ac:dyDescent="0.3"/>
    <row r="1244" ht="31.95" customHeight="1" x14ac:dyDescent="0.3"/>
    <row r="1245" ht="31.95" customHeight="1" x14ac:dyDescent="0.3"/>
    <row r="1246" ht="31.95" customHeight="1" x14ac:dyDescent="0.3"/>
    <row r="1247" ht="31.95" customHeight="1" x14ac:dyDescent="0.3"/>
    <row r="1248" ht="31.95" customHeight="1" x14ac:dyDescent="0.3"/>
    <row r="1249" ht="31.95" customHeight="1" x14ac:dyDescent="0.3"/>
    <row r="1250" ht="31.95" customHeight="1" x14ac:dyDescent="0.3"/>
    <row r="1251" ht="31.95" customHeight="1" x14ac:dyDescent="0.3"/>
    <row r="1252" ht="31.95" customHeight="1" x14ac:dyDescent="0.3"/>
    <row r="1253" ht="31.95" customHeight="1" x14ac:dyDescent="0.3"/>
    <row r="1254" ht="31.95" customHeight="1" x14ac:dyDescent="0.3"/>
    <row r="1255" ht="31.95" customHeight="1" x14ac:dyDescent="0.3"/>
    <row r="1256" ht="31.95" customHeight="1" x14ac:dyDescent="0.3"/>
    <row r="1257" ht="31.95" customHeight="1" x14ac:dyDescent="0.3"/>
    <row r="1258" ht="31.95" customHeight="1" x14ac:dyDescent="0.3"/>
    <row r="1259" ht="31.95" customHeight="1" x14ac:dyDescent="0.3"/>
    <row r="1260" ht="31.95" customHeight="1" x14ac:dyDescent="0.3"/>
    <row r="1261" ht="31.95" customHeight="1" x14ac:dyDescent="0.3"/>
    <row r="1262" ht="31.95" customHeight="1" x14ac:dyDescent="0.3"/>
    <row r="1263" ht="31.95" customHeight="1" x14ac:dyDescent="0.3"/>
    <row r="1264" ht="31.95" customHeight="1" x14ac:dyDescent="0.3"/>
    <row r="1265" ht="31.95" customHeight="1" x14ac:dyDescent="0.3"/>
    <row r="1266" ht="31.95" customHeight="1" x14ac:dyDescent="0.3"/>
    <row r="1267" ht="31.95" customHeight="1" x14ac:dyDescent="0.3"/>
    <row r="1268" ht="31.95" customHeight="1" x14ac:dyDescent="0.3"/>
    <row r="1269" ht="31.95" customHeight="1" x14ac:dyDescent="0.3"/>
    <row r="1270" ht="31.95" customHeight="1" x14ac:dyDescent="0.3"/>
    <row r="1271" ht="31.95" customHeight="1" x14ac:dyDescent="0.3"/>
    <row r="1272" ht="31.95" customHeight="1" x14ac:dyDescent="0.3"/>
    <row r="1273" ht="31.95" customHeight="1" x14ac:dyDescent="0.3"/>
    <row r="1274" ht="31.95" customHeight="1" x14ac:dyDescent="0.3"/>
    <row r="1275" ht="31.95" customHeight="1" x14ac:dyDescent="0.3"/>
    <row r="1276" ht="31.95" customHeight="1" x14ac:dyDescent="0.3"/>
    <row r="1277" ht="31.95" customHeight="1" x14ac:dyDescent="0.3"/>
    <row r="1278" ht="31.95" customHeight="1" x14ac:dyDescent="0.3"/>
    <row r="1279" ht="31.95" customHeight="1" x14ac:dyDescent="0.3"/>
    <row r="1280" ht="31.95" customHeight="1" x14ac:dyDescent="0.3"/>
    <row r="1281" ht="31.95" customHeight="1" x14ac:dyDescent="0.3"/>
    <row r="1282" ht="31.95" customHeight="1" x14ac:dyDescent="0.3"/>
    <row r="1283" ht="31.95" customHeight="1" x14ac:dyDescent="0.3"/>
    <row r="1284" ht="31.95" customHeight="1" x14ac:dyDescent="0.3"/>
    <row r="1285" ht="31.95" customHeight="1" x14ac:dyDescent="0.3"/>
    <row r="1286" ht="31.95" customHeight="1" x14ac:dyDescent="0.3"/>
    <row r="1287" ht="31.95" customHeight="1" x14ac:dyDescent="0.3"/>
    <row r="1288" ht="31.95" customHeight="1" x14ac:dyDescent="0.3"/>
    <row r="1289" ht="31.95" customHeight="1" x14ac:dyDescent="0.3"/>
    <row r="1290" ht="31.95" customHeight="1" x14ac:dyDescent="0.3"/>
    <row r="1291" ht="31.95" customHeight="1" x14ac:dyDescent="0.3"/>
    <row r="1292" ht="31.95" customHeight="1" x14ac:dyDescent="0.3"/>
    <row r="1293" ht="31.95" customHeight="1" x14ac:dyDescent="0.3"/>
    <row r="1294" ht="31.95" customHeight="1" x14ac:dyDescent="0.3"/>
    <row r="1295" ht="31.95" customHeight="1" x14ac:dyDescent="0.3"/>
    <row r="1296" ht="31.95" customHeight="1" x14ac:dyDescent="0.3"/>
    <row r="1297" ht="31.95" customHeight="1" x14ac:dyDescent="0.3"/>
    <row r="1298" ht="31.95" customHeight="1" x14ac:dyDescent="0.3"/>
    <row r="1299" ht="31.95" customHeight="1" x14ac:dyDescent="0.3"/>
    <row r="1300" ht="31.95" customHeight="1" x14ac:dyDescent="0.3"/>
    <row r="1301" ht="31.95" customHeight="1" x14ac:dyDescent="0.3"/>
    <row r="1302" ht="31.95" customHeight="1" x14ac:dyDescent="0.3"/>
    <row r="1303" ht="31.95" customHeight="1" x14ac:dyDescent="0.3"/>
    <row r="1304" ht="31.95" customHeight="1" x14ac:dyDescent="0.3"/>
    <row r="1305" ht="31.95" customHeight="1" x14ac:dyDescent="0.3"/>
    <row r="1306" ht="31.95" customHeight="1" x14ac:dyDescent="0.3"/>
    <row r="1307" ht="31.95" customHeight="1" x14ac:dyDescent="0.3"/>
    <row r="1308" ht="31.95" customHeight="1" x14ac:dyDescent="0.3"/>
    <row r="1309" ht="31.95" customHeight="1" x14ac:dyDescent="0.3"/>
    <row r="1310" ht="31.95" customHeight="1" x14ac:dyDescent="0.3"/>
    <row r="1311" ht="31.95" customHeight="1" x14ac:dyDescent="0.3"/>
    <row r="1312" ht="31.95" customHeight="1" x14ac:dyDescent="0.3"/>
    <row r="1313" ht="31.95" customHeight="1" x14ac:dyDescent="0.3"/>
    <row r="1314" ht="31.95" customHeight="1" x14ac:dyDescent="0.3"/>
    <row r="1315" ht="31.95" customHeight="1" x14ac:dyDescent="0.3"/>
    <row r="1316" ht="31.95" customHeight="1" x14ac:dyDescent="0.3"/>
    <row r="1317" ht="31.95" customHeight="1" x14ac:dyDescent="0.3"/>
    <row r="1318" ht="31.95" customHeight="1" x14ac:dyDescent="0.3"/>
    <row r="1319" ht="31.95" customHeight="1" x14ac:dyDescent="0.3"/>
    <row r="1320" ht="31.95" customHeight="1" x14ac:dyDescent="0.3"/>
    <row r="1321" ht="31.95" customHeight="1" x14ac:dyDescent="0.3"/>
    <row r="1322" ht="31.95" customHeight="1" x14ac:dyDescent="0.3"/>
    <row r="1323" ht="31.95" customHeight="1" x14ac:dyDescent="0.3"/>
    <row r="1324" ht="31.95" customHeight="1" x14ac:dyDescent="0.3"/>
    <row r="1325" ht="31.95" customHeight="1" x14ac:dyDescent="0.3"/>
    <row r="1326" ht="31.95" customHeight="1" x14ac:dyDescent="0.3"/>
    <row r="1327" ht="31.95" customHeight="1" x14ac:dyDescent="0.3"/>
    <row r="1328" ht="31.95" customHeight="1" x14ac:dyDescent="0.3"/>
    <row r="1329" ht="31.95" customHeight="1" x14ac:dyDescent="0.3"/>
    <row r="1330" ht="31.95" customHeight="1" x14ac:dyDescent="0.3"/>
    <row r="1331" ht="31.95" customHeight="1" x14ac:dyDescent="0.3"/>
    <row r="1332" ht="31.95" customHeight="1" x14ac:dyDescent="0.3"/>
    <row r="1333" ht="31.95" customHeight="1" x14ac:dyDescent="0.3"/>
    <row r="1334" ht="31.95" customHeight="1" x14ac:dyDescent="0.3"/>
    <row r="1335" ht="31.95" customHeight="1" x14ac:dyDescent="0.3"/>
    <row r="1336" ht="31.95" customHeight="1" x14ac:dyDescent="0.3"/>
    <row r="1337" ht="31.95" customHeight="1" x14ac:dyDescent="0.3"/>
    <row r="1338" ht="31.95" customHeight="1" x14ac:dyDescent="0.3"/>
    <row r="1339" ht="31.95" customHeight="1" x14ac:dyDescent="0.3"/>
    <row r="1340" ht="31.95" customHeight="1" x14ac:dyDescent="0.3"/>
    <row r="1341" ht="31.95" customHeight="1" x14ac:dyDescent="0.3"/>
    <row r="1342" ht="31.95" customHeight="1" x14ac:dyDescent="0.3"/>
    <row r="1343" ht="31.95" customHeight="1" x14ac:dyDescent="0.3"/>
    <row r="1344" ht="31.95" customHeight="1" x14ac:dyDescent="0.3"/>
    <row r="1345" ht="31.95" customHeight="1" x14ac:dyDescent="0.3"/>
    <row r="1346" ht="31.95" customHeight="1" x14ac:dyDescent="0.3"/>
    <row r="1347" ht="31.95" customHeight="1" x14ac:dyDescent="0.3"/>
    <row r="1348" ht="31.95" customHeight="1" x14ac:dyDescent="0.3"/>
    <row r="1349" ht="31.95" customHeight="1" x14ac:dyDescent="0.3"/>
    <row r="1350" ht="31.95" customHeight="1" x14ac:dyDescent="0.3"/>
    <row r="1351" ht="31.95" customHeight="1" x14ac:dyDescent="0.3"/>
    <row r="1352" ht="31.95" customHeight="1" x14ac:dyDescent="0.3"/>
    <row r="1353" ht="31.95" customHeight="1" x14ac:dyDescent="0.3"/>
    <row r="1354" ht="31.95" customHeight="1" x14ac:dyDescent="0.3"/>
    <row r="1355" ht="31.95" customHeight="1" x14ac:dyDescent="0.3"/>
    <row r="1356" ht="31.95" customHeight="1" x14ac:dyDescent="0.3"/>
    <row r="1357" ht="31.95" customHeight="1" x14ac:dyDescent="0.3"/>
    <row r="1358" ht="31.95" customHeight="1" x14ac:dyDescent="0.3"/>
    <row r="1359" ht="31.95" customHeight="1" x14ac:dyDescent="0.3"/>
    <row r="1360" ht="31.95" customHeight="1" x14ac:dyDescent="0.3"/>
    <row r="1361" ht="31.95" customHeight="1" x14ac:dyDescent="0.3"/>
    <row r="1362" ht="31.95" customHeight="1" x14ac:dyDescent="0.3"/>
    <row r="1363" ht="31.95" customHeight="1" x14ac:dyDescent="0.3"/>
    <row r="1364" ht="31.95" customHeight="1" x14ac:dyDescent="0.3"/>
    <row r="1365" ht="31.95" customHeight="1" x14ac:dyDescent="0.3"/>
    <row r="1366" ht="31.95" customHeight="1" x14ac:dyDescent="0.3"/>
    <row r="1367" ht="31.95" customHeight="1" x14ac:dyDescent="0.3"/>
    <row r="1368" ht="31.95" customHeight="1" x14ac:dyDescent="0.3"/>
    <row r="1369" ht="31.95" customHeight="1" x14ac:dyDescent="0.3"/>
    <row r="1370" ht="31.95" customHeight="1" x14ac:dyDescent="0.3"/>
    <row r="1371" ht="31.95" customHeight="1" x14ac:dyDescent="0.3"/>
    <row r="1372" ht="31.95" customHeight="1" x14ac:dyDescent="0.3"/>
    <row r="1373" ht="31.95" customHeight="1" x14ac:dyDescent="0.3"/>
    <row r="1374" ht="31.95" customHeight="1" x14ac:dyDescent="0.3"/>
    <row r="1375" ht="31.95" customHeight="1" x14ac:dyDescent="0.3"/>
    <row r="1376" ht="31.95" customHeight="1" x14ac:dyDescent="0.3"/>
    <row r="1377" ht="31.95" customHeight="1" x14ac:dyDescent="0.3"/>
    <row r="1378" ht="31.95" customHeight="1" x14ac:dyDescent="0.3"/>
    <row r="1379" ht="31.95" customHeight="1" x14ac:dyDescent="0.3"/>
    <row r="1380" ht="31.95" customHeight="1" x14ac:dyDescent="0.3"/>
    <row r="1381" ht="31.95" customHeight="1" x14ac:dyDescent="0.3"/>
    <row r="1382" ht="31.95" customHeight="1" x14ac:dyDescent="0.3"/>
    <row r="1383" ht="31.95" customHeight="1" x14ac:dyDescent="0.3"/>
    <row r="1384" ht="31.95" customHeight="1" x14ac:dyDescent="0.3"/>
    <row r="1385" ht="31.95" customHeight="1" x14ac:dyDescent="0.3"/>
    <row r="1386" ht="31.95" customHeight="1" x14ac:dyDescent="0.3"/>
    <row r="1387" ht="31.95" customHeight="1" x14ac:dyDescent="0.3"/>
    <row r="1388" ht="31.95" customHeight="1" x14ac:dyDescent="0.3"/>
    <row r="1389" ht="31.95" customHeight="1" x14ac:dyDescent="0.3"/>
    <row r="1390" ht="31.95" customHeight="1" x14ac:dyDescent="0.3"/>
    <row r="1391" ht="31.95" customHeight="1" x14ac:dyDescent="0.3"/>
    <row r="1392" ht="31.95" customHeight="1" x14ac:dyDescent="0.3"/>
    <row r="1393" ht="31.95" customHeight="1" x14ac:dyDescent="0.3"/>
    <row r="1394" ht="31.95" customHeight="1" x14ac:dyDescent="0.3"/>
    <row r="1395" ht="31.95" customHeight="1" x14ac:dyDescent="0.3"/>
    <row r="1396" ht="31.95" customHeight="1" x14ac:dyDescent="0.3"/>
    <row r="1397" ht="31.95" customHeight="1" x14ac:dyDescent="0.3"/>
    <row r="1398" ht="31.95" customHeight="1" x14ac:dyDescent="0.3"/>
    <row r="1399" ht="31.95" customHeight="1" x14ac:dyDescent="0.3"/>
    <row r="1400" ht="31.95" customHeight="1" x14ac:dyDescent="0.3"/>
    <row r="1401" ht="31.95" customHeight="1" x14ac:dyDescent="0.3"/>
    <row r="1402" ht="31.95" customHeight="1" x14ac:dyDescent="0.3"/>
    <row r="1403" ht="31.95" customHeight="1" x14ac:dyDescent="0.3"/>
    <row r="1404" ht="31.95" customHeight="1" x14ac:dyDescent="0.3"/>
    <row r="1405" ht="31.95" customHeight="1" x14ac:dyDescent="0.3"/>
    <row r="1406" ht="31.95" customHeight="1" x14ac:dyDescent="0.3"/>
    <row r="1407" ht="31.95" customHeight="1" x14ac:dyDescent="0.3"/>
    <row r="1408" ht="31.95" customHeight="1" x14ac:dyDescent="0.3"/>
    <row r="1409" ht="31.95" customHeight="1" x14ac:dyDescent="0.3"/>
    <row r="1410" ht="31.95" customHeight="1" x14ac:dyDescent="0.3"/>
    <row r="1411" ht="31.95" customHeight="1" x14ac:dyDescent="0.3"/>
    <row r="1412" ht="31.95" customHeight="1" x14ac:dyDescent="0.3"/>
    <row r="1413" ht="31.95" customHeight="1" x14ac:dyDescent="0.3"/>
    <row r="1414" ht="31.95" customHeight="1" x14ac:dyDescent="0.3"/>
    <row r="1415" ht="31.95" customHeight="1" x14ac:dyDescent="0.3"/>
    <row r="1416" ht="31.95" customHeight="1" x14ac:dyDescent="0.3"/>
  </sheetData>
  <phoneticPr fontId="4" type="noConversion"/>
  <hyperlinks>
    <hyperlink ref="A1" location="'Ordem de compra'!A1" display="'Ordem de compra'!A1" xr:uid="{B8428E69-4119-4F86-92B1-1838A7AEE4EF}"/>
  </hyperlink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FF91A5C-DF48-4C04-BA16-53A14793CBAB}">
          <x14:formula1>
            <xm:f>CAD_CO!$J$5:$J$13</xm:f>
          </x14:formula1>
          <xm:sqref>C5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2</vt:i4>
      </vt:variant>
    </vt:vector>
  </HeadingPairs>
  <TitlesOfParts>
    <vt:vector size="16" baseType="lpstr">
      <vt:lpstr>Ordem de compra</vt:lpstr>
      <vt:lpstr>CAD_CO</vt:lpstr>
      <vt:lpstr>CAD_CL</vt:lpstr>
      <vt:lpstr>CAD_ME</vt:lpstr>
      <vt:lpstr>NEGOCIAÇÕES</vt:lpstr>
      <vt:lpstr>CONTROLE_RM</vt:lpstr>
      <vt:lpstr>CONTROLE_CCI</vt:lpstr>
      <vt:lpstr>REL_ATRASADAS</vt:lpstr>
      <vt:lpstr>REL_FOLLOW UP</vt:lpstr>
      <vt:lpstr>REL_ANDAMENTO</vt:lpstr>
      <vt:lpstr>REL_LIBERADAS</vt:lpstr>
      <vt:lpstr>DASHBOARD</vt:lpstr>
      <vt:lpstr>ANALISE</vt:lpstr>
      <vt:lpstr>INDICADORES</vt:lpstr>
      <vt:lpstr>'Ordem de compra'!Area_de_impressao</vt:lpstr>
      <vt:lpstr>REL_ATRASADAS!Area_de_impressao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Pimentel</dc:creator>
  <cp:lastModifiedBy>Marcelo Pimentel</cp:lastModifiedBy>
  <cp:lastPrinted>2026-02-05T17:16:34Z</cp:lastPrinted>
  <dcterms:created xsi:type="dcterms:W3CDTF">2025-06-04T22:26:24Z</dcterms:created>
  <dcterms:modified xsi:type="dcterms:W3CDTF">2026-02-10T16:27:12Z</dcterms:modified>
</cp:coreProperties>
</file>